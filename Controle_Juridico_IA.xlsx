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uiga\Downloads\Controle_Juridico\"/>
    </mc:Choice>
  </mc:AlternateContent>
  <xr:revisionPtr revIDLastSave="0" documentId="13_ncr:1_{0F4F18CD-03D5-4EB8-8FB8-FE632769083F}" xr6:coauthVersionLast="47" xr6:coauthVersionMax="47" xr10:uidLastSave="{00000000-0000-0000-0000-000000000000}"/>
  <bookViews>
    <workbookView xWindow="-120" yWindow="-120" windowWidth="29040" windowHeight="15720" xr2:uid="{00000000-000D-0000-FFFF-FFFF00000000}"/>
  </bookViews>
  <sheets>
    <sheet name="Painel" sheetId="1" r:id="rId1"/>
    <sheet name="Ficha" sheetId="4" r:id="rId2"/>
    <sheet name="Central IA" sheetId="10" r:id="rId3"/>
    <sheet name="Críticos" sheetId="2" r:id="rId4"/>
    <sheet name="Escritórios" sheetId="3" r:id="rId5"/>
    <sheet name="Processos" sheetId="5" r:id="rId6"/>
    <sheet name="Valores" sheetId="7" r:id="rId7"/>
    <sheet name="Andamentos" sheetId="8" r:id="rId8"/>
    <sheet name="Configurar" sheetId="9" r:id="rId9"/>
    <sheet name="Critérios" sheetId="12" r:id="rId10"/>
    <sheet name="Origem" sheetId="11" r:id="rId11"/>
    <sheet name="Ações" sheetId="6" state="veryHidden" r:id="rId12"/>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6" l="1"/>
  <c r="G4" i="6"/>
  <c r="D4" i="6"/>
  <c r="A4" i="6"/>
  <c r="A5" i="11"/>
  <c r="L32" i="12"/>
  <c r="L31" i="12"/>
  <c r="L30" i="12"/>
  <c r="L29" i="12"/>
  <c r="L28" i="12"/>
  <c r="L27" i="12"/>
  <c r="L26" i="12"/>
  <c r="L25" i="12"/>
  <c r="L24" i="12"/>
  <c r="L23" i="12"/>
  <c r="L22" i="12"/>
  <c r="L21" i="12"/>
  <c r="L20" i="12"/>
  <c r="L19" i="12"/>
  <c r="L18" i="12"/>
  <c r="L17" i="12"/>
  <c r="L16" i="12"/>
  <c r="L15" i="12"/>
  <c r="L14" i="12"/>
  <c r="L13" i="12"/>
  <c r="L12" i="12"/>
  <c r="L11" i="12"/>
  <c r="L10" i="12"/>
  <c r="E4" i="12"/>
  <c r="A4" i="12"/>
  <c r="W18" i="9"/>
  <c r="X18" i="9" s="1"/>
  <c r="W17" i="9"/>
  <c r="X17" i="9" s="1"/>
  <c r="W16" i="9"/>
  <c r="X16" i="9" s="1"/>
  <c r="W15" i="9"/>
  <c r="W14" i="9"/>
  <c r="W13" i="9"/>
  <c r="W12" i="9"/>
  <c r="J12" i="9"/>
  <c r="W11" i="9"/>
  <c r="W10" i="9"/>
  <c r="W9" i="9"/>
  <c r="A5" i="9"/>
  <c r="Q4" i="9"/>
  <c r="O4" i="9"/>
  <c r="M4" i="9"/>
  <c r="K4" i="9"/>
  <c r="I4" i="9"/>
  <c r="G4" i="9"/>
  <c r="E4" i="9"/>
  <c r="C4" i="9"/>
  <c r="A4" i="9"/>
  <c r="L2009" i="8"/>
  <c r="K2009" i="8"/>
  <c r="I2009" i="8"/>
  <c r="L2008" i="8"/>
  <c r="K2008" i="8"/>
  <c r="I2008" i="8"/>
  <c r="L2007" i="8"/>
  <c r="K2007" i="8"/>
  <c r="I2007" i="8"/>
  <c r="L2006" i="8"/>
  <c r="K2006" i="8"/>
  <c r="I2006" i="8"/>
  <c r="L2005" i="8"/>
  <c r="K2005" i="8"/>
  <c r="I2005" i="8"/>
  <c r="L2004" i="8"/>
  <c r="K2004" i="8"/>
  <c r="I2004" i="8"/>
  <c r="L2003" i="8"/>
  <c r="K2003" i="8"/>
  <c r="I2003" i="8"/>
  <c r="L2002" i="8"/>
  <c r="K2002" i="8"/>
  <c r="I2002" i="8"/>
  <c r="L2001" i="8"/>
  <c r="K2001" i="8"/>
  <c r="I2001" i="8"/>
  <c r="L2000" i="8"/>
  <c r="K2000" i="8"/>
  <c r="I2000" i="8"/>
  <c r="L1999" i="8"/>
  <c r="K1999" i="8"/>
  <c r="I1999" i="8"/>
  <c r="L1998" i="8"/>
  <c r="K1998" i="8"/>
  <c r="I1998" i="8"/>
  <c r="L1997" i="8"/>
  <c r="K1997" i="8"/>
  <c r="I1997" i="8"/>
  <c r="L1996" i="8"/>
  <c r="K1996" i="8"/>
  <c r="I1996" i="8"/>
  <c r="L1995" i="8"/>
  <c r="K1995" i="8"/>
  <c r="I1995" i="8"/>
  <c r="L1994" i="8"/>
  <c r="K1994" i="8"/>
  <c r="I1994" i="8"/>
  <c r="L1993" i="8"/>
  <c r="K1993" i="8"/>
  <c r="I1993" i="8"/>
  <c r="L1992" i="8"/>
  <c r="K1992" i="8"/>
  <c r="I1992" i="8"/>
  <c r="L1991" i="8"/>
  <c r="K1991" i="8"/>
  <c r="I1991" i="8"/>
  <c r="L1990" i="8"/>
  <c r="K1990" i="8"/>
  <c r="I1990" i="8"/>
  <c r="L1989" i="8"/>
  <c r="K1989" i="8"/>
  <c r="I1989" i="8"/>
  <c r="L1988" i="8"/>
  <c r="K1988" i="8"/>
  <c r="I1988" i="8"/>
  <c r="L1987" i="8"/>
  <c r="K1987" i="8"/>
  <c r="I1987" i="8"/>
  <c r="L1986" i="8"/>
  <c r="K1986" i="8"/>
  <c r="I1986" i="8"/>
  <c r="L1985" i="8"/>
  <c r="K1985" i="8"/>
  <c r="I1985" i="8"/>
  <c r="L1984" i="8"/>
  <c r="K1984" i="8"/>
  <c r="I1984" i="8"/>
  <c r="L1983" i="8"/>
  <c r="K1983" i="8"/>
  <c r="I1983" i="8"/>
  <c r="L1982" i="8"/>
  <c r="K1982" i="8"/>
  <c r="I1982" i="8"/>
  <c r="L1981" i="8"/>
  <c r="K1981" i="8"/>
  <c r="I1981" i="8"/>
  <c r="L1980" i="8"/>
  <c r="K1980" i="8"/>
  <c r="I1980" i="8"/>
  <c r="L1979" i="8"/>
  <c r="K1979" i="8"/>
  <c r="I1979" i="8"/>
  <c r="L1978" i="8"/>
  <c r="K1978" i="8"/>
  <c r="I1978" i="8"/>
  <c r="L1977" i="8"/>
  <c r="K1977" i="8"/>
  <c r="I1977" i="8"/>
  <c r="L1976" i="8"/>
  <c r="K1976" i="8"/>
  <c r="I1976" i="8"/>
  <c r="L1975" i="8"/>
  <c r="K1975" i="8"/>
  <c r="I1975" i="8"/>
  <c r="L1974" i="8"/>
  <c r="K1974" i="8"/>
  <c r="I1974" i="8"/>
  <c r="L1973" i="8"/>
  <c r="K1973" i="8"/>
  <c r="I1973" i="8"/>
  <c r="L1972" i="8"/>
  <c r="K1972" i="8"/>
  <c r="I1972" i="8"/>
  <c r="L1971" i="8"/>
  <c r="K1971" i="8"/>
  <c r="I1971" i="8"/>
  <c r="L1970" i="8"/>
  <c r="K1970" i="8"/>
  <c r="I1970" i="8"/>
  <c r="L1969" i="8"/>
  <c r="K1969" i="8"/>
  <c r="I1969" i="8"/>
  <c r="L1968" i="8"/>
  <c r="K1968" i="8"/>
  <c r="I1968" i="8"/>
  <c r="L1967" i="8"/>
  <c r="K1967" i="8"/>
  <c r="I1967" i="8"/>
  <c r="L1966" i="8"/>
  <c r="K1966" i="8"/>
  <c r="I1966" i="8"/>
  <c r="L1965" i="8"/>
  <c r="K1965" i="8"/>
  <c r="I1965" i="8"/>
  <c r="L1964" i="8"/>
  <c r="K1964" i="8"/>
  <c r="I1964" i="8"/>
  <c r="L1963" i="8"/>
  <c r="K1963" i="8"/>
  <c r="I1963" i="8"/>
  <c r="L1962" i="8"/>
  <c r="K1962" i="8"/>
  <c r="I1962" i="8"/>
  <c r="L1961" i="8"/>
  <c r="K1961" i="8"/>
  <c r="I1961" i="8"/>
  <c r="L1960" i="8"/>
  <c r="K1960" i="8"/>
  <c r="I1960" i="8"/>
  <c r="L1959" i="8"/>
  <c r="K1959" i="8"/>
  <c r="I1959" i="8"/>
  <c r="L1958" i="8"/>
  <c r="K1958" i="8"/>
  <c r="I1958" i="8"/>
  <c r="L1957" i="8"/>
  <c r="K1957" i="8"/>
  <c r="I1957" i="8"/>
  <c r="L1956" i="8"/>
  <c r="K1956" i="8"/>
  <c r="I1956" i="8"/>
  <c r="L1955" i="8"/>
  <c r="K1955" i="8"/>
  <c r="I1955" i="8"/>
  <c r="L1954" i="8"/>
  <c r="K1954" i="8"/>
  <c r="I1954" i="8"/>
  <c r="L1953" i="8"/>
  <c r="K1953" i="8"/>
  <c r="I1953" i="8"/>
  <c r="L1952" i="8"/>
  <c r="K1952" i="8"/>
  <c r="I1952" i="8"/>
  <c r="L1951" i="8"/>
  <c r="K1951" i="8"/>
  <c r="I1951" i="8"/>
  <c r="L1950" i="8"/>
  <c r="K1950" i="8"/>
  <c r="I1950" i="8"/>
  <c r="L1949" i="8"/>
  <c r="K1949" i="8"/>
  <c r="I1949" i="8"/>
  <c r="L1948" i="8"/>
  <c r="K1948" i="8"/>
  <c r="I1948" i="8"/>
  <c r="L1947" i="8"/>
  <c r="K1947" i="8"/>
  <c r="I1947" i="8"/>
  <c r="L1946" i="8"/>
  <c r="K1946" i="8"/>
  <c r="I1946" i="8"/>
  <c r="L1945" i="8"/>
  <c r="K1945" i="8"/>
  <c r="I1945" i="8"/>
  <c r="L1944" i="8"/>
  <c r="K1944" i="8"/>
  <c r="I1944" i="8"/>
  <c r="L1943" i="8"/>
  <c r="K1943" i="8"/>
  <c r="I1943" i="8"/>
  <c r="L1942" i="8"/>
  <c r="K1942" i="8"/>
  <c r="I1942" i="8"/>
  <c r="L1941" i="8"/>
  <c r="K1941" i="8"/>
  <c r="I1941" i="8"/>
  <c r="L1940" i="8"/>
  <c r="K1940" i="8"/>
  <c r="I1940" i="8"/>
  <c r="L1939" i="8"/>
  <c r="K1939" i="8"/>
  <c r="I1939" i="8"/>
  <c r="L1938" i="8"/>
  <c r="K1938" i="8"/>
  <c r="I1938" i="8"/>
  <c r="L1937" i="8"/>
  <c r="K1937" i="8"/>
  <c r="I1937" i="8"/>
  <c r="L1936" i="8"/>
  <c r="K1936" i="8"/>
  <c r="I1936" i="8"/>
  <c r="L1935" i="8"/>
  <c r="K1935" i="8"/>
  <c r="I1935" i="8"/>
  <c r="L1934" i="8"/>
  <c r="K1934" i="8"/>
  <c r="I1934" i="8"/>
  <c r="L1933" i="8"/>
  <c r="K1933" i="8"/>
  <c r="I1933" i="8"/>
  <c r="L1932" i="8"/>
  <c r="K1932" i="8"/>
  <c r="I1932" i="8"/>
  <c r="L1931" i="8"/>
  <c r="K1931" i="8"/>
  <c r="I1931" i="8"/>
  <c r="L1930" i="8"/>
  <c r="K1930" i="8"/>
  <c r="I1930" i="8"/>
  <c r="L1929" i="8"/>
  <c r="K1929" i="8"/>
  <c r="I1929" i="8"/>
  <c r="L1928" i="8"/>
  <c r="K1928" i="8"/>
  <c r="I1928" i="8"/>
  <c r="L1927" i="8"/>
  <c r="K1927" i="8"/>
  <c r="I1927" i="8"/>
  <c r="L1926" i="8"/>
  <c r="K1926" i="8"/>
  <c r="I1926" i="8"/>
  <c r="L1925" i="8"/>
  <c r="K1925" i="8"/>
  <c r="I1925" i="8"/>
  <c r="L1924" i="8"/>
  <c r="K1924" i="8"/>
  <c r="I1924" i="8"/>
  <c r="L1923" i="8"/>
  <c r="K1923" i="8"/>
  <c r="I1923" i="8"/>
  <c r="L1922" i="8"/>
  <c r="K1922" i="8"/>
  <c r="I1922" i="8"/>
  <c r="L1921" i="8"/>
  <c r="K1921" i="8"/>
  <c r="I1921" i="8"/>
  <c r="L1920" i="8"/>
  <c r="K1920" i="8"/>
  <c r="I1920" i="8"/>
  <c r="L1919" i="8"/>
  <c r="K1919" i="8"/>
  <c r="I1919" i="8"/>
  <c r="L1918" i="8"/>
  <c r="K1918" i="8"/>
  <c r="I1918" i="8"/>
  <c r="L1917" i="8"/>
  <c r="K1917" i="8"/>
  <c r="I1917" i="8"/>
  <c r="L1916" i="8"/>
  <c r="K1916" i="8"/>
  <c r="I1916" i="8"/>
  <c r="L1915" i="8"/>
  <c r="K1915" i="8"/>
  <c r="I1915" i="8"/>
  <c r="L1914" i="8"/>
  <c r="K1914" i="8"/>
  <c r="I1914" i="8"/>
  <c r="L1913" i="8"/>
  <c r="K1913" i="8"/>
  <c r="I1913" i="8"/>
  <c r="L1912" i="8"/>
  <c r="K1912" i="8"/>
  <c r="I1912" i="8"/>
  <c r="L1911" i="8"/>
  <c r="K1911" i="8"/>
  <c r="I1911" i="8"/>
  <c r="L1910" i="8"/>
  <c r="K1910" i="8"/>
  <c r="I1910" i="8"/>
  <c r="L1909" i="8"/>
  <c r="K1909" i="8"/>
  <c r="I1909" i="8"/>
  <c r="L1908" i="8"/>
  <c r="K1908" i="8"/>
  <c r="I1908" i="8"/>
  <c r="L1907" i="8"/>
  <c r="K1907" i="8"/>
  <c r="I1907" i="8"/>
  <c r="L1906" i="8"/>
  <c r="K1906" i="8"/>
  <c r="I1906" i="8"/>
  <c r="L1905" i="8"/>
  <c r="K1905" i="8"/>
  <c r="I1905" i="8"/>
  <c r="L1904" i="8"/>
  <c r="K1904" i="8"/>
  <c r="I1904" i="8"/>
  <c r="L1903" i="8"/>
  <c r="K1903" i="8"/>
  <c r="I1903" i="8"/>
  <c r="L1902" i="8"/>
  <c r="K1902" i="8"/>
  <c r="I1902" i="8"/>
  <c r="L1901" i="8"/>
  <c r="K1901" i="8"/>
  <c r="I1901" i="8"/>
  <c r="L1900" i="8"/>
  <c r="K1900" i="8"/>
  <c r="I1900" i="8"/>
  <c r="L1899" i="8"/>
  <c r="K1899" i="8"/>
  <c r="I1899" i="8"/>
  <c r="L1898" i="8"/>
  <c r="K1898" i="8"/>
  <c r="I1898" i="8"/>
  <c r="L1897" i="8"/>
  <c r="K1897" i="8"/>
  <c r="I1897" i="8"/>
  <c r="L1896" i="8"/>
  <c r="K1896" i="8"/>
  <c r="I1896" i="8"/>
  <c r="L1895" i="8"/>
  <c r="K1895" i="8"/>
  <c r="I1895" i="8"/>
  <c r="L1894" i="8"/>
  <c r="K1894" i="8"/>
  <c r="I1894" i="8"/>
  <c r="L1893" i="8"/>
  <c r="K1893" i="8"/>
  <c r="I1893" i="8"/>
  <c r="L1892" i="8"/>
  <c r="K1892" i="8"/>
  <c r="I1892" i="8"/>
  <c r="L1891" i="8"/>
  <c r="K1891" i="8"/>
  <c r="I1891" i="8"/>
  <c r="L1890" i="8"/>
  <c r="K1890" i="8"/>
  <c r="I1890" i="8"/>
  <c r="L1889" i="8"/>
  <c r="K1889" i="8"/>
  <c r="I1889" i="8"/>
  <c r="L1888" i="8"/>
  <c r="K1888" i="8"/>
  <c r="I1888" i="8"/>
  <c r="L1887" i="8"/>
  <c r="K1887" i="8"/>
  <c r="I1887" i="8"/>
  <c r="L1886" i="8"/>
  <c r="K1886" i="8"/>
  <c r="I1886" i="8"/>
  <c r="L1885" i="8"/>
  <c r="K1885" i="8"/>
  <c r="I1885" i="8"/>
  <c r="L1884" i="8"/>
  <c r="K1884" i="8"/>
  <c r="I1884" i="8"/>
  <c r="L1883" i="8"/>
  <c r="K1883" i="8"/>
  <c r="I1883" i="8"/>
  <c r="L1882" i="8"/>
  <c r="K1882" i="8"/>
  <c r="I1882" i="8"/>
  <c r="L1881" i="8"/>
  <c r="K1881" i="8"/>
  <c r="I1881" i="8"/>
  <c r="L1880" i="8"/>
  <c r="K1880" i="8"/>
  <c r="I1880" i="8"/>
  <c r="L1879" i="8"/>
  <c r="K1879" i="8"/>
  <c r="I1879" i="8"/>
  <c r="L1878" i="8"/>
  <c r="K1878" i="8"/>
  <c r="I1878" i="8"/>
  <c r="L1877" i="8"/>
  <c r="K1877" i="8"/>
  <c r="I1877" i="8"/>
  <c r="L1876" i="8"/>
  <c r="K1876" i="8"/>
  <c r="I1876" i="8"/>
  <c r="L1875" i="8"/>
  <c r="K1875" i="8"/>
  <c r="I1875" i="8"/>
  <c r="L1874" i="8"/>
  <c r="K1874" i="8"/>
  <c r="I1874" i="8"/>
  <c r="L1873" i="8"/>
  <c r="K1873" i="8"/>
  <c r="I1873" i="8"/>
  <c r="L1872" i="8"/>
  <c r="K1872" i="8"/>
  <c r="I1872" i="8"/>
  <c r="L1871" i="8"/>
  <c r="K1871" i="8"/>
  <c r="I1871" i="8"/>
  <c r="L1870" i="8"/>
  <c r="K1870" i="8"/>
  <c r="I1870" i="8"/>
  <c r="L1869" i="8"/>
  <c r="K1869" i="8"/>
  <c r="I1869" i="8"/>
  <c r="L1868" i="8"/>
  <c r="K1868" i="8"/>
  <c r="I1868" i="8"/>
  <c r="L1867" i="8"/>
  <c r="K1867" i="8"/>
  <c r="I1867" i="8"/>
  <c r="L1866" i="8"/>
  <c r="K1866" i="8"/>
  <c r="I1866" i="8"/>
  <c r="L1865" i="8"/>
  <c r="K1865" i="8"/>
  <c r="I1865" i="8"/>
  <c r="L1864" i="8"/>
  <c r="K1864" i="8"/>
  <c r="I1864" i="8"/>
  <c r="L1863" i="8"/>
  <c r="K1863" i="8"/>
  <c r="I1863" i="8"/>
  <c r="L1862" i="8"/>
  <c r="K1862" i="8"/>
  <c r="I1862" i="8"/>
  <c r="L1861" i="8"/>
  <c r="K1861" i="8"/>
  <c r="I1861" i="8"/>
  <c r="L1860" i="8"/>
  <c r="K1860" i="8"/>
  <c r="I1860" i="8"/>
  <c r="L1859" i="8"/>
  <c r="K1859" i="8"/>
  <c r="I1859" i="8"/>
  <c r="L1858" i="8"/>
  <c r="K1858" i="8"/>
  <c r="I1858" i="8"/>
  <c r="L1857" i="8"/>
  <c r="K1857" i="8"/>
  <c r="I1857" i="8"/>
  <c r="L1856" i="8"/>
  <c r="K1856" i="8"/>
  <c r="I1856" i="8"/>
  <c r="L1855" i="8"/>
  <c r="K1855" i="8"/>
  <c r="I1855" i="8"/>
  <c r="L1854" i="8"/>
  <c r="K1854" i="8"/>
  <c r="I1854" i="8"/>
  <c r="L1853" i="8"/>
  <c r="K1853" i="8"/>
  <c r="I1853" i="8"/>
  <c r="L1852" i="8"/>
  <c r="K1852" i="8"/>
  <c r="I1852" i="8"/>
  <c r="L1851" i="8"/>
  <c r="K1851" i="8"/>
  <c r="I1851" i="8"/>
  <c r="L1850" i="8"/>
  <c r="K1850" i="8"/>
  <c r="I1850" i="8"/>
  <c r="L1849" i="8"/>
  <c r="K1849" i="8"/>
  <c r="I1849" i="8"/>
  <c r="L1848" i="8"/>
  <c r="K1848" i="8"/>
  <c r="I1848" i="8"/>
  <c r="L1847" i="8"/>
  <c r="K1847" i="8"/>
  <c r="I1847" i="8"/>
  <c r="L1846" i="8"/>
  <c r="K1846" i="8"/>
  <c r="I1846" i="8"/>
  <c r="L1845" i="8"/>
  <c r="K1845" i="8"/>
  <c r="I1845" i="8"/>
  <c r="L1844" i="8"/>
  <c r="K1844" i="8"/>
  <c r="I1844" i="8"/>
  <c r="L1843" i="8"/>
  <c r="K1843" i="8"/>
  <c r="I1843" i="8"/>
  <c r="L1842" i="8"/>
  <c r="K1842" i="8"/>
  <c r="I1842" i="8"/>
  <c r="L1841" i="8"/>
  <c r="K1841" i="8"/>
  <c r="I1841" i="8"/>
  <c r="L1840" i="8"/>
  <c r="K1840" i="8"/>
  <c r="I1840" i="8"/>
  <c r="L1839" i="8"/>
  <c r="K1839" i="8"/>
  <c r="I1839" i="8"/>
  <c r="L1838" i="8"/>
  <c r="K1838" i="8"/>
  <c r="I1838" i="8"/>
  <c r="L1837" i="8"/>
  <c r="K1837" i="8"/>
  <c r="I1837" i="8"/>
  <c r="L1836" i="8"/>
  <c r="K1836" i="8"/>
  <c r="I1836" i="8"/>
  <c r="L1835" i="8"/>
  <c r="K1835" i="8"/>
  <c r="I1835" i="8"/>
  <c r="L1834" i="8"/>
  <c r="K1834" i="8"/>
  <c r="I1834" i="8"/>
  <c r="L1833" i="8"/>
  <c r="K1833" i="8"/>
  <c r="I1833" i="8"/>
  <c r="L1832" i="8"/>
  <c r="K1832" i="8"/>
  <c r="I1832" i="8"/>
  <c r="L1831" i="8"/>
  <c r="K1831" i="8"/>
  <c r="I1831" i="8"/>
  <c r="L1830" i="8"/>
  <c r="K1830" i="8"/>
  <c r="I1830" i="8"/>
  <c r="L1829" i="8"/>
  <c r="K1829" i="8"/>
  <c r="I1829" i="8"/>
  <c r="L1828" i="8"/>
  <c r="K1828" i="8"/>
  <c r="I1828" i="8"/>
  <c r="L1827" i="8"/>
  <c r="K1827" i="8"/>
  <c r="I1827" i="8"/>
  <c r="L1826" i="8"/>
  <c r="K1826" i="8"/>
  <c r="I1826" i="8"/>
  <c r="L1825" i="8"/>
  <c r="K1825" i="8"/>
  <c r="I1825" i="8"/>
  <c r="L1824" i="8"/>
  <c r="K1824" i="8"/>
  <c r="I1824" i="8"/>
  <c r="L1823" i="8"/>
  <c r="K1823" i="8"/>
  <c r="I1823" i="8"/>
  <c r="L1822" i="8"/>
  <c r="K1822" i="8"/>
  <c r="I1822" i="8"/>
  <c r="L1821" i="8"/>
  <c r="K1821" i="8"/>
  <c r="I1821" i="8"/>
  <c r="L1820" i="8"/>
  <c r="K1820" i="8"/>
  <c r="I1820" i="8"/>
  <c r="L1819" i="8"/>
  <c r="K1819" i="8"/>
  <c r="I1819" i="8"/>
  <c r="L1818" i="8"/>
  <c r="K1818" i="8"/>
  <c r="I1818" i="8"/>
  <c r="L1817" i="8"/>
  <c r="K1817" i="8"/>
  <c r="I1817" i="8"/>
  <c r="L1816" i="8"/>
  <c r="K1816" i="8"/>
  <c r="I1816" i="8"/>
  <c r="L1815" i="8"/>
  <c r="K1815" i="8"/>
  <c r="I1815" i="8"/>
  <c r="L1814" i="8"/>
  <c r="K1814" i="8"/>
  <c r="I1814" i="8"/>
  <c r="L1813" i="8"/>
  <c r="K1813" i="8"/>
  <c r="I1813" i="8"/>
  <c r="L1812" i="8"/>
  <c r="K1812" i="8"/>
  <c r="I1812" i="8"/>
  <c r="L1811" i="8"/>
  <c r="K1811" i="8"/>
  <c r="I1811" i="8"/>
  <c r="L1810" i="8"/>
  <c r="K1810" i="8"/>
  <c r="I1810" i="8"/>
  <c r="L1809" i="8"/>
  <c r="K1809" i="8"/>
  <c r="I1809" i="8"/>
  <c r="L1808" i="8"/>
  <c r="K1808" i="8"/>
  <c r="I1808" i="8"/>
  <c r="L1807" i="8"/>
  <c r="K1807" i="8"/>
  <c r="I1807" i="8"/>
  <c r="L1806" i="8"/>
  <c r="K1806" i="8"/>
  <c r="I1806" i="8"/>
  <c r="L1805" i="8"/>
  <c r="K1805" i="8"/>
  <c r="I1805" i="8"/>
  <c r="L1804" i="8"/>
  <c r="K1804" i="8"/>
  <c r="I1804" i="8"/>
  <c r="L1803" i="8"/>
  <c r="K1803" i="8"/>
  <c r="I1803" i="8"/>
  <c r="L1802" i="8"/>
  <c r="K1802" i="8"/>
  <c r="I1802" i="8"/>
  <c r="L1801" i="8"/>
  <c r="K1801" i="8"/>
  <c r="I1801" i="8"/>
  <c r="L1800" i="8"/>
  <c r="K1800" i="8"/>
  <c r="I1800" i="8"/>
  <c r="L1799" i="8"/>
  <c r="K1799" i="8"/>
  <c r="I1799" i="8"/>
  <c r="L1798" i="8"/>
  <c r="K1798" i="8"/>
  <c r="I1798" i="8"/>
  <c r="L1797" i="8"/>
  <c r="K1797" i="8"/>
  <c r="I1797" i="8"/>
  <c r="L1796" i="8"/>
  <c r="K1796" i="8"/>
  <c r="I1796" i="8"/>
  <c r="L1795" i="8"/>
  <c r="K1795" i="8"/>
  <c r="I1795" i="8"/>
  <c r="L1794" i="8"/>
  <c r="K1794" i="8"/>
  <c r="I1794" i="8"/>
  <c r="L1793" i="8"/>
  <c r="K1793" i="8"/>
  <c r="I1793" i="8"/>
  <c r="L1792" i="8"/>
  <c r="K1792" i="8"/>
  <c r="I1792" i="8"/>
  <c r="L1791" i="8"/>
  <c r="K1791" i="8"/>
  <c r="I1791" i="8"/>
  <c r="L1790" i="8"/>
  <c r="K1790" i="8"/>
  <c r="I1790" i="8"/>
  <c r="L1789" i="8"/>
  <c r="K1789" i="8"/>
  <c r="I1789" i="8"/>
  <c r="L1788" i="8"/>
  <c r="K1788" i="8"/>
  <c r="I1788" i="8"/>
  <c r="L1787" i="8"/>
  <c r="K1787" i="8"/>
  <c r="I1787" i="8"/>
  <c r="L1786" i="8"/>
  <c r="K1786" i="8"/>
  <c r="I1786" i="8"/>
  <c r="L1785" i="8"/>
  <c r="K1785" i="8"/>
  <c r="I1785" i="8"/>
  <c r="L1784" i="8"/>
  <c r="K1784" i="8"/>
  <c r="I1784" i="8"/>
  <c r="L1783" i="8"/>
  <c r="K1783" i="8"/>
  <c r="I1783" i="8"/>
  <c r="L1782" i="8"/>
  <c r="K1782" i="8"/>
  <c r="I1782" i="8"/>
  <c r="L1781" i="8"/>
  <c r="K1781" i="8"/>
  <c r="I1781" i="8"/>
  <c r="L1780" i="8"/>
  <c r="K1780" i="8"/>
  <c r="I1780" i="8"/>
  <c r="L1779" i="8"/>
  <c r="K1779" i="8"/>
  <c r="I1779" i="8"/>
  <c r="L1778" i="8"/>
  <c r="K1778" i="8"/>
  <c r="I1778" i="8"/>
  <c r="L1777" i="8"/>
  <c r="K1777" i="8"/>
  <c r="I1777" i="8"/>
  <c r="L1776" i="8"/>
  <c r="K1776" i="8"/>
  <c r="I1776" i="8"/>
  <c r="L1775" i="8"/>
  <c r="K1775" i="8"/>
  <c r="I1775" i="8"/>
  <c r="L1774" i="8"/>
  <c r="K1774" i="8"/>
  <c r="I1774" i="8"/>
  <c r="L1773" i="8"/>
  <c r="K1773" i="8"/>
  <c r="I1773" i="8"/>
  <c r="L1772" i="8"/>
  <c r="K1772" i="8"/>
  <c r="I1772" i="8"/>
  <c r="L1771" i="8"/>
  <c r="K1771" i="8"/>
  <c r="I1771" i="8"/>
  <c r="L1770" i="8"/>
  <c r="K1770" i="8"/>
  <c r="I1770" i="8"/>
  <c r="L1769" i="8"/>
  <c r="K1769" i="8"/>
  <c r="I1769" i="8"/>
  <c r="L1768" i="8"/>
  <c r="K1768" i="8"/>
  <c r="I1768" i="8"/>
  <c r="L1767" i="8"/>
  <c r="K1767" i="8"/>
  <c r="I1767" i="8"/>
  <c r="L1766" i="8"/>
  <c r="K1766" i="8"/>
  <c r="I1766" i="8"/>
  <c r="L1765" i="8"/>
  <c r="K1765" i="8"/>
  <c r="I1765" i="8"/>
  <c r="L1764" i="8"/>
  <c r="K1764" i="8"/>
  <c r="I1764" i="8"/>
  <c r="L1763" i="8"/>
  <c r="K1763" i="8"/>
  <c r="I1763" i="8"/>
  <c r="L1762" i="8"/>
  <c r="K1762" i="8"/>
  <c r="I1762" i="8"/>
  <c r="L1761" i="8"/>
  <c r="K1761" i="8"/>
  <c r="I1761" i="8"/>
  <c r="L1760" i="8"/>
  <c r="K1760" i="8"/>
  <c r="I1760" i="8"/>
  <c r="L1759" i="8"/>
  <c r="K1759" i="8"/>
  <c r="I1759" i="8"/>
  <c r="L1758" i="8"/>
  <c r="K1758" i="8"/>
  <c r="I1758" i="8"/>
  <c r="L1757" i="8"/>
  <c r="K1757" i="8"/>
  <c r="I1757" i="8"/>
  <c r="L1756" i="8"/>
  <c r="K1756" i="8"/>
  <c r="I1756" i="8"/>
  <c r="L1755" i="8"/>
  <c r="K1755" i="8"/>
  <c r="I1755" i="8"/>
  <c r="L1754" i="8"/>
  <c r="K1754" i="8"/>
  <c r="I1754" i="8"/>
  <c r="L1753" i="8"/>
  <c r="K1753" i="8"/>
  <c r="I1753" i="8"/>
  <c r="L1752" i="8"/>
  <c r="K1752" i="8"/>
  <c r="I1752" i="8"/>
  <c r="L1751" i="8"/>
  <c r="K1751" i="8"/>
  <c r="I1751" i="8"/>
  <c r="L1750" i="8"/>
  <c r="K1750" i="8"/>
  <c r="I1750" i="8"/>
  <c r="L1749" i="8"/>
  <c r="K1749" i="8"/>
  <c r="I1749" i="8"/>
  <c r="L1748" i="8"/>
  <c r="K1748" i="8"/>
  <c r="I1748" i="8"/>
  <c r="L1747" i="8"/>
  <c r="K1747" i="8"/>
  <c r="I1747" i="8"/>
  <c r="L1746" i="8"/>
  <c r="K1746" i="8"/>
  <c r="I1746" i="8"/>
  <c r="L1745" i="8"/>
  <c r="K1745" i="8"/>
  <c r="I1745" i="8"/>
  <c r="L1744" i="8"/>
  <c r="K1744" i="8"/>
  <c r="I1744" i="8"/>
  <c r="L1743" i="8"/>
  <c r="K1743" i="8"/>
  <c r="I1743" i="8"/>
  <c r="L1742" i="8"/>
  <c r="K1742" i="8"/>
  <c r="I1742" i="8"/>
  <c r="L1741" i="8"/>
  <c r="K1741" i="8"/>
  <c r="I1741" i="8"/>
  <c r="L1740" i="8"/>
  <c r="K1740" i="8"/>
  <c r="I1740" i="8"/>
  <c r="L1739" i="8"/>
  <c r="K1739" i="8"/>
  <c r="I1739" i="8"/>
  <c r="L1738" i="8"/>
  <c r="K1738" i="8"/>
  <c r="I1738" i="8"/>
  <c r="L1737" i="8"/>
  <c r="K1737" i="8"/>
  <c r="I1737" i="8"/>
  <c r="L1736" i="8"/>
  <c r="K1736" i="8"/>
  <c r="I1736" i="8"/>
  <c r="L1735" i="8"/>
  <c r="K1735" i="8"/>
  <c r="I1735" i="8"/>
  <c r="L1734" i="8"/>
  <c r="K1734" i="8"/>
  <c r="I1734" i="8"/>
  <c r="L1733" i="8"/>
  <c r="K1733" i="8"/>
  <c r="I1733" i="8"/>
  <c r="L1732" i="8"/>
  <c r="K1732" i="8"/>
  <c r="I1732" i="8"/>
  <c r="L1731" i="8"/>
  <c r="K1731" i="8"/>
  <c r="I1731" i="8"/>
  <c r="L1730" i="8"/>
  <c r="K1730" i="8"/>
  <c r="I1730" i="8"/>
  <c r="L1729" i="8"/>
  <c r="K1729" i="8"/>
  <c r="I1729" i="8"/>
  <c r="L1728" i="8"/>
  <c r="K1728" i="8"/>
  <c r="I1728" i="8"/>
  <c r="L1727" i="8"/>
  <c r="K1727" i="8"/>
  <c r="I1727" i="8"/>
  <c r="L1726" i="8"/>
  <c r="K1726" i="8"/>
  <c r="I1726" i="8"/>
  <c r="L1725" i="8"/>
  <c r="K1725" i="8"/>
  <c r="I1725" i="8"/>
  <c r="L1724" i="8"/>
  <c r="K1724" i="8"/>
  <c r="I1724" i="8"/>
  <c r="L1723" i="8"/>
  <c r="K1723" i="8"/>
  <c r="I1723" i="8"/>
  <c r="L1722" i="8"/>
  <c r="K1722" i="8"/>
  <c r="I1722" i="8"/>
  <c r="L1721" i="8"/>
  <c r="K1721" i="8"/>
  <c r="I1721" i="8"/>
  <c r="L1720" i="8"/>
  <c r="K1720" i="8"/>
  <c r="I1720" i="8"/>
  <c r="L1719" i="8"/>
  <c r="K1719" i="8"/>
  <c r="I1719" i="8"/>
  <c r="L1718" i="8"/>
  <c r="K1718" i="8"/>
  <c r="I1718" i="8"/>
  <c r="L1717" i="8"/>
  <c r="K1717" i="8"/>
  <c r="I1717" i="8"/>
  <c r="L1716" i="8"/>
  <c r="K1716" i="8"/>
  <c r="I1716" i="8"/>
  <c r="L1715" i="8"/>
  <c r="K1715" i="8"/>
  <c r="I1715" i="8"/>
  <c r="L1714" i="8"/>
  <c r="K1714" i="8"/>
  <c r="I1714" i="8"/>
  <c r="L1713" i="8"/>
  <c r="K1713" i="8"/>
  <c r="I1713" i="8"/>
  <c r="L1712" i="8"/>
  <c r="K1712" i="8"/>
  <c r="I1712" i="8"/>
  <c r="L1711" i="8"/>
  <c r="K1711" i="8"/>
  <c r="I1711" i="8"/>
  <c r="L1710" i="8"/>
  <c r="K1710" i="8"/>
  <c r="I1710" i="8"/>
  <c r="L1709" i="8"/>
  <c r="K1709" i="8"/>
  <c r="I1709" i="8"/>
  <c r="L1708" i="8"/>
  <c r="K1708" i="8"/>
  <c r="I1708" i="8"/>
  <c r="L1707" i="8"/>
  <c r="K1707" i="8"/>
  <c r="I1707" i="8"/>
  <c r="L1706" i="8"/>
  <c r="K1706" i="8"/>
  <c r="I1706" i="8"/>
  <c r="L1705" i="8"/>
  <c r="K1705" i="8"/>
  <c r="I1705" i="8"/>
  <c r="L1704" i="8"/>
  <c r="K1704" i="8"/>
  <c r="I1704" i="8"/>
  <c r="L1703" i="8"/>
  <c r="K1703" i="8"/>
  <c r="I1703" i="8"/>
  <c r="L1702" i="8"/>
  <c r="K1702" i="8"/>
  <c r="I1702" i="8"/>
  <c r="L1701" i="8"/>
  <c r="K1701" i="8"/>
  <c r="I1701" i="8"/>
  <c r="L1700" i="8"/>
  <c r="K1700" i="8"/>
  <c r="I1700" i="8"/>
  <c r="L1699" i="8"/>
  <c r="K1699" i="8"/>
  <c r="I1699" i="8"/>
  <c r="L1698" i="8"/>
  <c r="K1698" i="8"/>
  <c r="I1698" i="8"/>
  <c r="L1697" i="8"/>
  <c r="K1697" i="8"/>
  <c r="I1697" i="8"/>
  <c r="L1696" i="8"/>
  <c r="K1696" i="8"/>
  <c r="I1696" i="8"/>
  <c r="L1695" i="8"/>
  <c r="K1695" i="8"/>
  <c r="I1695" i="8"/>
  <c r="L1694" i="8"/>
  <c r="K1694" i="8"/>
  <c r="I1694" i="8"/>
  <c r="L1693" i="8"/>
  <c r="K1693" i="8"/>
  <c r="I1693" i="8"/>
  <c r="L1692" i="8"/>
  <c r="K1692" i="8"/>
  <c r="I1692" i="8"/>
  <c r="L1691" i="8"/>
  <c r="K1691" i="8"/>
  <c r="I1691" i="8"/>
  <c r="L1690" i="8"/>
  <c r="K1690" i="8"/>
  <c r="I1690" i="8"/>
  <c r="L1689" i="8"/>
  <c r="K1689" i="8"/>
  <c r="I1689" i="8"/>
  <c r="L1688" i="8"/>
  <c r="K1688" i="8"/>
  <c r="I1688" i="8"/>
  <c r="L1687" i="8"/>
  <c r="K1687" i="8"/>
  <c r="I1687" i="8"/>
  <c r="L1686" i="8"/>
  <c r="K1686" i="8"/>
  <c r="I1686" i="8"/>
  <c r="L1685" i="8"/>
  <c r="K1685" i="8"/>
  <c r="I1685" i="8"/>
  <c r="L1684" i="8"/>
  <c r="K1684" i="8"/>
  <c r="I1684" i="8"/>
  <c r="L1683" i="8"/>
  <c r="K1683" i="8"/>
  <c r="I1683" i="8"/>
  <c r="L1682" i="8"/>
  <c r="K1682" i="8"/>
  <c r="I1682" i="8"/>
  <c r="L1681" i="8"/>
  <c r="K1681" i="8"/>
  <c r="I1681" i="8"/>
  <c r="L1680" i="8"/>
  <c r="K1680" i="8"/>
  <c r="I1680" i="8"/>
  <c r="L1679" i="8"/>
  <c r="K1679" i="8"/>
  <c r="I1679" i="8"/>
  <c r="L1678" i="8"/>
  <c r="K1678" i="8"/>
  <c r="I1678" i="8"/>
  <c r="L1677" i="8"/>
  <c r="K1677" i="8"/>
  <c r="I1677" i="8"/>
  <c r="L1676" i="8"/>
  <c r="K1676" i="8"/>
  <c r="I1676" i="8"/>
  <c r="L1675" i="8"/>
  <c r="K1675" i="8"/>
  <c r="I1675" i="8"/>
  <c r="L1674" i="8"/>
  <c r="K1674" i="8"/>
  <c r="I1674" i="8"/>
  <c r="L1673" i="8"/>
  <c r="K1673" i="8"/>
  <c r="I1673" i="8"/>
  <c r="L1672" i="8"/>
  <c r="K1672" i="8"/>
  <c r="I1672" i="8"/>
  <c r="L1671" i="8"/>
  <c r="K1671" i="8"/>
  <c r="I1671" i="8"/>
  <c r="L1670" i="8"/>
  <c r="K1670" i="8"/>
  <c r="I1670" i="8"/>
  <c r="L1669" i="8"/>
  <c r="K1669" i="8"/>
  <c r="I1669" i="8"/>
  <c r="L1668" i="8"/>
  <c r="K1668" i="8"/>
  <c r="I1668" i="8"/>
  <c r="L1667" i="8"/>
  <c r="K1667" i="8"/>
  <c r="I1667" i="8"/>
  <c r="L1666" i="8"/>
  <c r="K1666" i="8"/>
  <c r="I1666" i="8"/>
  <c r="L1665" i="8"/>
  <c r="K1665" i="8"/>
  <c r="I1665" i="8"/>
  <c r="L1664" i="8"/>
  <c r="K1664" i="8"/>
  <c r="I1664" i="8"/>
  <c r="L1663" i="8"/>
  <c r="K1663" i="8"/>
  <c r="I1663" i="8"/>
  <c r="L1662" i="8"/>
  <c r="K1662" i="8"/>
  <c r="I1662" i="8"/>
  <c r="L1661" i="8"/>
  <c r="K1661" i="8"/>
  <c r="I1661" i="8"/>
  <c r="L1660" i="8"/>
  <c r="K1660" i="8"/>
  <c r="I1660" i="8"/>
  <c r="L1659" i="8"/>
  <c r="K1659" i="8"/>
  <c r="I1659" i="8"/>
  <c r="L1658" i="8"/>
  <c r="K1658" i="8"/>
  <c r="I1658" i="8"/>
  <c r="L1657" i="8"/>
  <c r="K1657" i="8"/>
  <c r="I1657" i="8"/>
  <c r="L1656" i="8"/>
  <c r="K1656" i="8"/>
  <c r="I1656" i="8"/>
  <c r="L1655" i="8"/>
  <c r="K1655" i="8"/>
  <c r="I1655" i="8"/>
  <c r="L1654" i="8"/>
  <c r="K1654" i="8"/>
  <c r="I1654" i="8"/>
  <c r="L1653" i="8"/>
  <c r="K1653" i="8"/>
  <c r="I1653" i="8"/>
  <c r="L1652" i="8"/>
  <c r="K1652" i="8"/>
  <c r="I1652" i="8"/>
  <c r="L1651" i="8"/>
  <c r="K1651" i="8"/>
  <c r="I1651" i="8"/>
  <c r="L1650" i="8"/>
  <c r="K1650" i="8"/>
  <c r="I1650" i="8"/>
  <c r="L1649" i="8"/>
  <c r="K1649" i="8"/>
  <c r="I1649" i="8"/>
  <c r="L1648" i="8"/>
  <c r="K1648" i="8"/>
  <c r="I1648" i="8"/>
  <c r="L1647" i="8"/>
  <c r="K1647" i="8"/>
  <c r="I1647" i="8"/>
  <c r="L1646" i="8"/>
  <c r="K1646" i="8"/>
  <c r="I1646" i="8"/>
  <c r="L1645" i="8"/>
  <c r="K1645" i="8"/>
  <c r="I1645" i="8"/>
  <c r="L1644" i="8"/>
  <c r="K1644" i="8"/>
  <c r="I1644" i="8"/>
  <c r="L1643" i="8"/>
  <c r="K1643" i="8"/>
  <c r="I1643" i="8"/>
  <c r="L1642" i="8"/>
  <c r="K1642" i="8"/>
  <c r="I1642" i="8"/>
  <c r="L1641" i="8"/>
  <c r="K1641" i="8"/>
  <c r="I1641" i="8"/>
  <c r="L1640" i="8"/>
  <c r="K1640" i="8"/>
  <c r="I1640" i="8"/>
  <c r="L1639" i="8"/>
  <c r="K1639" i="8"/>
  <c r="I1639" i="8"/>
  <c r="L1638" i="8"/>
  <c r="K1638" i="8"/>
  <c r="I1638" i="8"/>
  <c r="L1637" i="8"/>
  <c r="K1637" i="8"/>
  <c r="I1637" i="8"/>
  <c r="L1636" i="8"/>
  <c r="K1636" i="8"/>
  <c r="I1636" i="8"/>
  <c r="L1635" i="8"/>
  <c r="K1635" i="8"/>
  <c r="I1635" i="8"/>
  <c r="L1634" i="8"/>
  <c r="K1634" i="8"/>
  <c r="I1634" i="8"/>
  <c r="L1633" i="8"/>
  <c r="K1633" i="8"/>
  <c r="I1633" i="8"/>
  <c r="L1632" i="8"/>
  <c r="K1632" i="8"/>
  <c r="I1632" i="8"/>
  <c r="L1631" i="8"/>
  <c r="K1631" i="8"/>
  <c r="I1631" i="8"/>
  <c r="L1630" i="8"/>
  <c r="K1630" i="8"/>
  <c r="I1630" i="8"/>
  <c r="L1629" i="8"/>
  <c r="K1629" i="8"/>
  <c r="I1629" i="8"/>
  <c r="L1628" i="8"/>
  <c r="K1628" i="8"/>
  <c r="I1628" i="8"/>
  <c r="L1627" i="8"/>
  <c r="K1627" i="8"/>
  <c r="I1627" i="8"/>
  <c r="L1626" i="8"/>
  <c r="K1626" i="8"/>
  <c r="I1626" i="8"/>
  <c r="L1625" i="8"/>
  <c r="K1625" i="8"/>
  <c r="I1625" i="8"/>
  <c r="L1624" i="8"/>
  <c r="K1624" i="8"/>
  <c r="I1624" i="8"/>
  <c r="L1623" i="8"/>
  <c r="K1623" i="8"/>
  <c r="I1623" i="8"/>
  <c r="L1622" i="8"/>
  <c r="K1622" i="8"/>
  <c r="I1622" i="8"/>
  <c r="L1621" i="8"/>
  <c r="K1621" i="8"/>
  <c r="I1621" i="8"/>
  <c r="L1620" i="8"/>
  <c r="K1620" i="8"/>
  <c r="I1620" i="8"/>
  <c r="L1619" i="8"/>
  <c r="K1619" i="8"/>
  <c r="I1619" i="8"/>
  <c r="L1618" i="8"/>
  <c r="K1618" i="8"/>
  <c r="I1618" i="8"/>
  <c r="L1617" i="8"/>
  <c r="K1617" i="8"/>
  <c r="I1617" i="8"/>
  <c r="L1616" i="8"/>
  <c r="K1616" i="8"/>
  <c r="I1616" i="8"/>
  <c r="L1615" i="8"/>
  <c r="K1615" i="8"/>
  <c r="I1615" i="8"/>
  <c r="L1614" i="8"/>
  <c r="K1614" i="8"/>
  <c r="I1614" i="8"/>
  <c r="L1613" i="8"/>
  <c r="K1613" i="8"/>
  <c r="I1613" i="8"/>
  <c r="L1612" i="8"/>
  <c r="K1612" i="8"/>
  <c r="I1612" i="8"/>
  <c r="L1611" i="8"/>
  <c r="K1611" i="8"/>
  <c r="I1611" i="8"/>
  <c r="L1610" i="8"/>
  <c r="K1610" i="8"/>
  <c r="I1610" i="8"/>
  <c r="L1609" i="8"/>
  <c r="K1609" i="8"/>
  <c r="I1609" i="8"/>
  <c r="L1608" i="8"/>
  <c r="K1608" i="8"/>
  <c r="I1608" i="8"/>
  <c r="L1607" i="8"/>
  <c r="K1607" i="8"/>
  <c r="I1607" i="8"/>
  <c r="L1606" i="8"/>
  <c r="K1606" i="8"/>
  <c r="I1606" i="8"/>
  <c r="L1605" i="8"/>
  <c r="K1605" i="8"/>
  <c r="I1605" i="8"/>
  <c r="L1604" i="8"/>
  <c r="K1604" i="8"/>
  <c r="I1604" i="8"/>
  <c r="L1603" i="8"/>
  <c r="K1603" i="8"/>
  <c r="I1603" i="8"/>
  <c r="L1602" i="8"/>
  <c r="K1602" i="8"/>
  <c r="I1602" i="8"/>
  <c r="L1601" i="8"/>
  <c r="K1601" i="8"/>
  <c r="I1601" i="8"/>
  <c r="L1600" i="8"/>
  <c r="K1600" i="8"/>
  <c r="I1600" i="8"/>
  <c r="L1599" i="8"/>
  <c r="K1599" i="8"/>
  <c r="I1599" i="8"/>
  <c r="L1598" i="8"/>
  <c r="K1598" i="8"/>
  <c r="I1598" i="8"/>
  <c r="L1597" i="8"/>
  <c r="K1597" i="8"/>
  <c r="I1597" i="8"/>
  <c r="L1596" i="8"/>
  <c r="K1596" i="8"/>
  <c r="I1596" i="8"/>
  <c r="L1595" i="8"/>
  <c r="K1595" i="8"/>
  <c r="I1595" i="8"/>
  <c r="L1594" i="8"/>
  <c r="K1594" i="8"/>
  <c r="I1594" i="8"/>
  <c r="L1593" i="8"/>
  <c r="K1593" i="8"/>
  <c r="I1593" i="8"/>
  <c r="L1592" i="8"/>
  <c r="K1592" i="8"/>
  <c r="I1592" i="8"/>
  <c r="L1591" i="8"/>
  <c r="K1591" i="8"/>
  <c r="I1591" i="8"/>
  <c r="L1590" i="8"/>
  <c r="K1590" i="8"/>
  <c r="I1590" i="8"/>
  <c r="L1589" i="8"/>
  <c r="K1589" i="8"/>
  <c r="I1589" i="8"/>
  <c r="L1588" i="8"/>
  <c r="K1588" i="8"/>
  <c r="I1588" i="8"/>
  <c r="L1587" i="8"/>
  <c r="K1587" i="8"/>
  <c r="I1587" i="8"/>
  <c r="L1586" i="8"/>
  <c r="K1586" i="8"/>
  <c r="I1586" i="8"/>
  <c r="L1585" i="8"/>
  <c r="K1585" i="8"/>
  <c r="I1585" i="8"/>
  <c r="L1584" i="8"/>
  <c r="K1584" i="8"/>
  <c r="I1584" i="8"/>
  <c r="L1583" i="8"/>
  <c r="K1583" i="8"/>
  <c r="I1583" i="8"/>
  <c r="L1582" i="8"/>
  <c r="K1582" i="8"/>
  <c r="I1582" i="8"/>
  <c r="L1581" i="8"/>
  <c r="K1581" i="8"/>
  <c r="I1581" i="8"/>
  <c r="L1580" i="8"/>
  <c r="K1580" i="8"/>
  <c r="I1580" i="8"/>
  <c r="L1579" i="8"/>
  <c r="K1579" i="8"/>
  <c r="I1579" i="8"/>
  <c r="L1578" i="8"/>
  <c r="K1578" i="8"/>
  <c r="I1578" i="8"/>
  <c r="L1577" i="8"/>
  <c r="K1577" i="8"/>
  <c r="I1577" i="8"/>
  <c r="L1576" i="8"/>
  <c r="K1576" i="8"/>
  <c r="I1576" i="8"/>
  <c r="L1575" i="8"/>
  <c r="K1575" i="8"/>
  <c r="I1575" i="8"/>
  <c r="L1574" i="8"/>
  <c r="K1574" i="8"/>
  <c r="I1574" i="8"/>
  <c r="L1573" i="8"/>
  <c r="K1573" i="8"/>
  <c r="I1573" i="8"/>
  <c r="L1572" i="8"/>
  <c r="K1572" i="8"/>
  <c r="I1572" i="8"/>
  <c r="L1571" i="8"/>
  <c r="K1571" i="8"/>
  <c r="I1571" i="8"/>
  <c r="L1570" i="8"/>
  <c r="K1570" i="8"/>
  <c r="I1570" i="8"/>
  <c r="L1569" i="8"/>
  <c r="K1569" i="8"/>
  <c r="I1569" i="8"/>
  <c r="L1568" i="8"/>
  <c r="K1568" i="8"/>
  <c r="I1568" i="8"/>
  <c r="L1567" i="8"/>
  <c r="K1567" i="8"/>
  <c r="I1567" i="8"/>
  <c r="L1566" i="8"/>
  <c r="K1566" i="8"/>
  <c r="I1566" i="8"/>
  <c r="L1565" i="8"/>
  <c r="K1565" i="8"/>
  <c r="I1565" i="8"/>
  <c r="L1564" i="8"/>
  <c r="K1564" i="8"/>
  <c r="I1564" i="8"/>
  <c r="L1563" i="8"/>
  <c r="K1563" i="8"/>
  <c r="I1563" i="8"/>
  <c r="L1562" i="8"/>
  <c r="K1562" i="8"/>
  <c r="I1562" i="8"/>
  <c r="L1561" i="8"/>
  <c r="K1561" i="8"/>
  <c r="I1561" i="8"/>
  <c r="L1560" i="8"/>
  <c r="K1560" i="8"/>
  <c r="I1560" i="8"/>
  <c r="L1559" i="8"/>
  <c r="K1559" i="8"/>
  <c r="I1559" i="8"/>
  <c r="L1558" i="8"/>
  <c r="K1558" i="8"/>
  <c r="I1558" i="8"/>
  <c r="L1557" i="8"/>
  <c r="K1557" i="8"/>
  <c r="I1557" i="8"/>
  <c r="L1556" i="8"/>
  <c r="K1556" i="8"/>
  <c r="I1556" i="8"/>
  <c r="L1555" i="8"/>
  <c r="K1555" i="8"/>
  <c r="I1555" i="8"/>
  <c r="L1554" i="8"/>
  <c r="K1554" i="8"/>
  <c r="I1554" i="8"/>
  <c r="L1553" i="8"/>
  <c r="K1553" i="8"/>
  <c r="I1553" i="8"/>
  <c r="L1552" i="8"/>
  <c r="K1552" i="8"/>
  <c r="I1552" i="8"/>
  <c r="L1551" i="8"/>
  <c r="K1551" i="8"/>
  <c r="I1551" i="8"/>
  <c r="L1550" i="8"/>
  <c r="K1550" i="8"/>
  <c r="I1550" i="8"/>
  <c r="L1549" i="8"/>
  <c r="K1549" i="8"/>
  <c r="I1549" i="8"/>
  <c r="L1548" i="8"/>
  <c r="K1548" i="8"/>
  <c r="I1548" i="8"/>
  <c r="L1547" i="8"/>
  <c r="K1547" i="8"/>
  <c r="I1547" i="8"/>
  <c r="L1546" i="8"/>
  <c r="K1546" i="8"/>
  <c r="I1546" i="8"/>
  <c r="L1545" i="8"/>
  <c r="K1545" i="8"/>
  <c r="I1545" i="8"/>
  <c r="L1544" i="8"/>
  <c r="K1544" i="8"/>
  <c r="I1544" i="8"/>
  <c r="L1543" i="8"/>
  <c r="K1543" i="8"/>
  <c r="I1543" i="8"/>
  <c r="L1542" i="8"/>
  <c r="K1542" i="8"/>
  <c r="I1542" i="8"/>
  <c r="L1541" i="8"/>
  <c r="K1541" i="8"/>
  <c r="I1541" i="8"/>
  <c r="L1540" i="8"/>
  <c r="K1540" i="8"/>
  <c r="I1540" i="8"/>
  <c r="L1539" i="8"/>
  <c r="K1539" i="8"/>
  <c r="I1539" i="8"/>
  <c r="L1538" i="8"/>
  <c r="K1538" i="8"/>
  <c r="I1538" i="8"/>
  <c r="L1537" i="8"/>
  <c r="K1537" i="8"/>
  <c r="I1537" i="8"/>
  <c r="L1536" i="8"/>
  <c r="K1536" i="8"/>
  <c r="I1536" i="8"/>
  <c r="L1535" i="8"/>
  <c r="K1535" i="8"/>
  <c r="I1535" i="8"/>
  <c r="L1534" i="8"/>
  <c r="K1534" i="8"/>
  <c r="I1534" i="8"/>
  <c r="L1533" i="8"/>
  <c r="K1533" i="8"/>
  <c r="I1533" i="8"/>
  <c r="L1532" i="8"/>
  <c r="K1532" i="8"/>
  <c r="I1532" i="8"/>
  <c r="L1531" i="8"/>
  <c r="K1531" i="8"/>
  <c r="I1531" i="8"/>
  <c r="L1530" i="8"/>
  <c r="K1530" i="8"/>
  <c r="I1530" i="8"/>
  <c r="L1529" i="8"/>
  <c r="K1529" i="8"/>
  <c r="I1529" i="8"/>
  <c r="L1528" i="8"/>
  <c r="K1528" i="8"/>
  <c r="I1528" i="8"/>
  <c r="L1527" i="8"/>
  <c r="K1527" i="8"/>
  <c r="I1527" i="8"/>
  <c r="L1526" i="8"/>
  <c r="K1526" i="8"/>
  <c r="I1526" i="8"/>
  <c r="L1525" i="8"/>
  <c r="K1525" i="8"/>
  <c r="I1525" i="8"/>
  <c r="L1524" i="8"/>
  <c r="K1524" i="8"/>
  <c r="I1524" i="8"/>
  <c r="L1523" i="8"/>
  <c r="K1523" i="8"/>
  <c r="I1523" i="8"/>
  <c r="L1522" i="8"/>
  <c r="K1522" i="8"/>
  <c r="I1522" i="8"/>
  <c r="L1521" i="8"/>
  <c r="K1521" i="8"/>
  <c r="I1521" i="8"/>
  <c r="L1520" i="8"/>
  <c r="K1520" i="8"/>
  <c r="I1520" i="8"/>
  <c r="L1519" i="8"/>
  <c r="K1519" i="8"/>
  <c r="I1519" i="8"/>
  <c r="L1518" i="8"/>
  <c r="K1518" i="8"/>
  <c r="I1518" i="8"/>
  <c r="L1517" i="8"/>
  <c r="K1517" i="8"/>
  <c r="I1517" i="8"/>
  <c r="L1516" i="8"/>
  <c r="K1516" i="8"/>
  <c r="I1516" i="8"/>
  <c r="L1515" i="8"/>
  <c r="K1515" i="8"/>
  <c r="I1515" i="8"/>
  <c r="L1514" i="8"/>
  <c r="K1514" i="8"/>
  <c r="I1514" i="8"/>
  <c r="L1513" i="8"/>
  <c r="K1513" i="8"/>
  <c r="I1513" i="8"/>
  <c r="L1512" i="8"/>
  <c r="K1512" i="8"/>
  <c r="I1512" i="8"/>
  <c r="L1511" i="8"/>
  <c r="K1511" i="8"/>
  <c r="I1511" i="8"/>
  <c r="L1510" i="8"/>
  <c r="K1510" i="8"/>
  <c r="I1510" i="8"/>
  <c r="L1509" i="8"/>
  <c r="K1509" i="8"/>
  <c r="I1509" i="8"/>
  <c r="L1508" i="8"/>
  <c r="K1508" i="8"/>
  <c r="I1508" i="8"/>
  <c r="L1507" i="8"/>
  <c r="K1507" i="8"/>
  <c r="I1507" i="8"/>
  <c r="L1506" i="8"/>
  <c r="K1506" i="8"/>
  <c r="I1506" i="8"/>
  <c r="L1505" i="8"/>
  <c r="K1505" i="8"/>
  <c r="I1505" i="8"/>
  <c r="L1504" i="8"/>
  <c r="K1504" i="8"/>
  <c r="I1504" i="8"/>
  <c r="L1503" i="8"/>
  <c r="K1503" i="8"/>
  <c r="I1503" i="8"/>
  <c r="L1502" i="8"/>
  <c r="K1502" i="8"/>
  <c r="I1502" i="8"/>
  <c r="L1501" i="8"/>
  <c r="K1501" i="8"/>
  <c r="I1501" i="8"/>
  <c r="L1500" i="8"/>
  <c r="K1500" i="8"/>
  <c r="I1500" i="8"/>
  <c r="L1499" i="8"/>
  <c r="K1499" i="8"/>
  <c r="I1499" i="8"/>
  <c r="L1498" i="8"/>
  <c r="K1498" i="8"/>
  <c r="I1498" i="8"/>
  <c r="L1497" i="8"/>
  <c r="K1497" i="8"/>
  <c r="I1497" i="8"/>
  <c r="L1496" i="8"/>
  <c r="K1496" i="8"/>
  <c r="I1496" i="8"/>
  <c r="L1495" i="8"/>
  <c r="K1495" i="8"/>
  <c r="I1495" i="8"/>
  <c r="L1494" i="8"/>
  <c r="K1494" i="8"/>
  <c r="I1494" i="8"/>
  <c r="L1493" i="8"/>
  <c r="K1493" i="8"/>
  <c r="I1493" i="8"/>
  <c r="L1492" i="8"/>
  <c r="K1492" i="8"/>
  <c r="I1492" i="8"/>
  <c r="L1491" i="8"/>
  <c r="K1491" i="8"/>
  <c r="I1491" i="8"/>
  <c r="L1490" i="8"/>
  <c r="K1490" i="8"/>
  <c r="I1490" i="8"/>
  <c r="L1489" i="8"/>
  <c r="K1489" i="8"/>
  <c r="I1489" i="8"/>
  <c r="L1488" i="8"/>
  <c r="K1488" i="8"/>
  <c r="I1488" i="8"/>
  <c r="L1487" i="8"/>
  <c r="K1487" i="8"/>
  <c r="I1487" i="8"/>
  <c r="L1486" i="8"/>
  <c r="K1486" i="8"/>
  <c r="I1486" i="8"/>
  <c r="L1485" i="8"/>
  <c r="K1485" i="8"/>
  <c r="I1485" i="8"/>
  <c r="L1484" i="8"/>
  <c r="K1484" i="8"/>
  <c r="I1484" i="8"/>
  <c r="L1483" i="8"/>
  <c r="K1483" i="8"/>
  <c r="I1483" i="8"/>
  <c r="L1482" i="8"/>
  <c r="K1482" i="8"/>
  <c r="I1482" i="8"/>
  <c r="L1481" i="8"/>
  <c r="K1481" i="8"/>
  <c r="I1481" i="8"/>
  <c r="L1480" i="8"/>
  <c r="K1480" i="8"/>
  <c r="I1480" i="8"/>
  <c r="L1479" i="8"/>
  <c r="K1479" i="8"/>
  <c r="I1479" i="8"/>
  <c r="L1478" i="8"/>
  <c r="K1478" i="8"/>
  <c r="I1478" i="8"/>
  <c r="L1477" i="8"/>
  <c r="K1477" i="8"/>
  <c r="I1477" i="8"/>
  <c r="L1476" i="8"/>
  <c r="K1476" i="8"/>
  <c r="I1476" i="8"/>
  <c r="L1475" i="8"/>
  <c r="K1475" i="8"/>
  <c r="I1475" i="8"/>
  <c r="L1474" i="8"/>
  <c r="K1474" i="8"/>
  <c r="I1474" i="8"/>
  <c r="L1473" i="8"/>
  <c r="K1473" i="8"/>
  <c r="I1473" i="8"/>
  <c r="L1472" i="8"/>
  <c r="K1472" i="8"/>
  <c r="I1472" i="8"/>
  <c r="L1471" i="8"/>
  <c r="K1471" i="8"/>
  <c r="I1471" i="8"/>
  <c r="L1470" i="8"/>
  <c r="K1470" i="8"/>
  <c r="I1470" i="8"/>
  <c r="L1469" i="8"/>
  <c r="K1469" i="8"/>
  <c r="I1469" i="8"/>
  <c r="L1468" i="8"/>
  <c r="K1468" i="8"/>
  <c r="I1468" i="8"/>
  <c r="L1467" i="8"/>
  <c r="K1467" i="8"/>
  <c r="I1467" i="8"/>
  <c r="L1466" i="8"/>
  <c r="K1466" i="8"/>
  <c r="I1466" i="8"/>
  <c r="L1465" i="8"/>
  <c r="K1465" i="8"/>
  <c r="I1465" i="8"/>
  <c r="L1464" i="8"/>
  <c r="K1464" i="8"/>
  <c r="I1464" i="8"/>
  <c r="L1463" i="8"/>
  <c r="K1463" i="8"/>
  <c r="I1463" i="8"/>
  <c r="L1462" i="8"/>
  <c r="K1462" i="8"/>
  <c r="I1462" i="8"/>
  <c r="L1461" i="8"/>
  <c r="K1461" i="8"/>
  <c r="I1461" i="8"/>
  <c r="L1460" i="8"/>
  <c r="K1460" i="8"/>
  <c r="I1460" i="8"/>
  <c r="L1459" i="8"/>
  <c r="K1459" i="8"/>
  <c r="I1459" i="8"/>
  <c r="L1458" i="8"/>
  <c r="K1458" i="8"/>
  <c r="I1458" i="8"/>
  <c r="L1457" i="8"/>
  <c r="K1457" i="8"/>
  <c r="I1457" i="8"/>
  <c r="L1456" i="8"/>
  <c r="K1456" i="8"/>
  <c r="I1456" i="8"/>
  <c r="L1455" i="8"/>
  <c r="K1455" i="8"/>
  <c r="I1455" i="8"/>
  <c r="L1454" i="8"/>
  <c r="K1454" i="8"/>
  <c r="I1454" i="8"/>
  <c r="L1453" i="8"/>
  <c r="K1453" i="8"/>
  <c r="I1453" i="8"/>
  <c r="L1452" i="8"/>
  <c r="K1452" i="8"/>
  <c r="I1452" i="8"/>
  <c r="L1451" i="8"/>
  <c r="K1451" i="8"/>
  <c r="I1451" i="8"/>
  <c r="L1450" i="8"/>
  <c r="K1450" i="8"/>
  <c r="I1450" i="8"/>
  <c r="L1449" i="8"/>
  <c r="K1449" i="8"/>
  <c r="I1449" i="8"/>
  <c r="L1448" i="8"/>
  <c r="K1448" i="8"/>
  <c r="I1448" i="8"/>
  <c r="L1447" i="8"/>
  <c r="K1447" i="8"/>
  <c r="I1447" i="8"/>
  <c r="L1446" i="8"/>
  <c r="K1446" i="8"/>
  <c r="I1446" i="8"/>
  <c r="L1445" i="8"/>
  <c r="K1445" i="8"/>
  <c r="I1445" i="8"/>
  <c r="L1444" i="8"/>
  <c r="K1444" i="8"/>
  <c r="I1444" i="8"/>
  <c r="L1443" i="8"/>
  <c r="K1443" i="8"/>
  <c r="I1443" i="8"/>
  <c r="L1442" i="8"/>
  <c r="K1442" i="8"/>
  <c r="I1442" i="8"/>
  <c r="L1441" i="8"/>
  <c r="K1441" i="8"/>
  <c r="I1441" i="8"/>
  <c r="L1440" i="8"/>
  <c r="K1440" i="8"/>
  <c r="I1440" i="8"/>
  <c r="L1439" i="8"/>
  <c r="K1439" i="8"/>
  <c r="I1439" i="8"/>
  <c r="L1438" i="8"/>
  <c r="K1438" i="8"/>
  <c r="I1438" i="8"/>
  <c r="L1437" i="8"/>
  <c r="K1437" i="8"/>
  <c r="I1437" i="8"/>
  <c r="L1436" i="8"/>
  <c r="K1436" i="8"/>
  <c r="I1436" i="8"/>
  <c r="L1435" i="8"/>
  <c r="K1435" i="8"/>
  <c r="I1435" i="8"/>
  <c r="L1434" i="8"/>
  <c r="K1434" i="8"/>
  <c r="I1434" i="8"/>
  <c r="L1433" i="8"/>
  <c r="K1433" i="8"/>
  <c r="I1433" i="8"/>
  <c r="L1432" i="8"/>
  <c r="K1432" i="8"/>
  <c r="I1432" i="8"/>
  <c r="L1431" i="8"/>
  <c r="K1431" i="8"/>
  <c r="I1431" i="8"/>
  <c r="L1430" i="8"/>
  <c r="K1430" i="8"/>
  <c r="I1430" i="8"/>
  <c r="L1429" i="8"/>
  <c r="K1429" i="8"/>
  <c r="I1429" i="8"/>
  <c r="L1428" i="8"/>
  <c r="K1428" i="8"/>
  <c r="I1428" i="8"/>
  <c r="L1427" i="8"/>
  <c r="K1427" i="8"/>
  <c r="I1427" i="8"/>
  <c r="L1426" i="8"/>
  <c r="K1426" i="8"/>
  <c r="I1426" i="8"/>
  <c r="L1425" i="8"/>
  <c r="K1425" i="8"/>
  <c r="I1425" i="8"/>
  <c r="L1424" i="8"/>
  <c r="K1424" i="8"/>
  <c r="I1424" i="8"/>
  <c r="L1423" i="8"/>
  <c r="K1423" i="8"/>
  <c r="I1423" i="8"/>
  <c r="L1422" i="8"/>
  <c r="K1422" i="8"/>
  <c r="I1422" i="8"/>
  <c r="L1421" i="8"/>
  <c r="K1421" i="8"/>
  <c r="I1421" i="8"/>
  <c r="L1420" i="8"/>
  <c r="K1420" i="8"/>
  <c r="I1420" i="8"/>
  <c r="L1419" i="8"/>
  <c r="K1419" i="8"/>
  <c r="I1419" i="8"/>
  <c r="L1418" i="8"/>
  <c r="K1418" i="8"/>
  <c r="I1418" i="8"/>
  <c r="L1417" i="8"/>
  <c r="K1417" i="8"/>
  <c r="I1417" i="8"/>
  <c r="L1416" i="8"/>
  <c r="K1416" i="8"/>
  <c r="I1416" i="8"/>
  <c r="L1415" i="8"/>
  <c r="K1415" i="8"/>
  <c r="I1415" i="8"/>
  <c r="L1414" i="8"/>
  <c r="K1414" i="8"/>
  <c r="I1414" i="8"/>
  <c r="L1413" i="8"/>
  <c r="K1413" i="8"/>
  <c r="I1413" i="8"/>
  <c r="L1412" i="8"/>
  <c r="K1412" i="8"/>
  <c r="I1412" i="8"/>
  <c r="L1411" i="8"/>
  <c r="K1411" i="8"/>
  <c r="I1411" i="8"/>
  <c r="L1410" i="8"/>
  <c r="K1410" i="8"/>
  <c r="I1410" i="8"/>
  <c r="L1409" i="8"/>
  <c r="K1409" i="8"/>
  <c r="I1409" i="8"/>
  <c r="L1408" i="8"/>
  <c r="K1408" i="8"/>
  <c r="I1408" i="8"/>
  <c r="L1407" i="8"/>
  <c r="K1407" i="8"/>
  <c r="I1407" i="8"/>
  <c r="L1406" i="8"/>
  <c r="K1406" i="8"/>
  <c r="I1406" i="8"/>
  <c r="L1405" i="8"/>
  <c r="K1405" i="8"/>
  <c r="I1405" i="8"/>
  <c r="L1404" i="8"/>
  <c r="K1404" i="8"/>
  <c r="I1404" i="8"/>
  <c r="L1403" i="8"/>
  <c r="K1403" i="8"/>
  <c r="I1403" i="8"/>
  <c r="L1402" i="8"/>
  <c r="K1402" i="8"/>
  <c r="I1402" i="8"/>
  <c r="L1401" i="8"/>
  <c r="K1401" i="8"/>
  <c r="I1401" i="8"/>
  <c r="L1400" i="8"/>
  <c r="K1400" i="8"/>
  <c r="I1400" i="8"/>
  <c r="L1399" i="8"/>
  <c r="K1399" i="8"/>
  <c r="I1399" i="8"/>
  <c r="L1398" i="8"/>
  <c r="K1398" i="8"/>
  <c r="I1398" i="8"/>
  <c r="L1397" i="8"/>
  <c r="K1397" i="8"/>
  <c r="I1397" i="8"/>
  <c r="L1396" i="8"/>
  <c r="K1396" i="8"/>
  <c r="I1396" i="8"/>
  <c r="L1395" i="8"/>
  <c r="K1395" i="8"/>
  <c r="I1395" i="8"/>
  <c r="L1394" i="8"/>
  <c r="K1394" i="8"/>
  <c r="I1394" i="8"/>
  <c r="L1393" i="8"/>
  <c r="K1393" i="8"/>
  <c r="I1393" i="8"/>
  <c r="L1392" i="8"/>
  <c r="K1392" i="8"/>
  <c r="I1392" i="8"/>
  <c r="L1391" i="8"/>
  <c r="K1391" i="8"/>
  <c r="I1391" i="8"/>
  <c r="L1390" i="8"/>
  <c r="K1390" i="8"/>
  <c r="I1390" i="8"/>
  <c r="L1389" i="8"/>
  <c r="K1389" i="8"/>
  <c r="I1389" i="8"/>
  <c r="L1388" i="8"/>
  <c r="K1388" i="8"/>
  <c r="I1388" i="8"/>
  <c r="L1387" i="8"/>
  <c r="K1387" i="8"/>
  <c r="I1387" i="8"/>
  <c r="L1386" i="8"/>
  <c r="K1386" i="8"/>
  <c r="I1386" i="8"/>
  <c r="L1385" i="8"/>
  <c r="K1385" i="8"/>
  <c r="I1385" i="8"/>
  <c r="L1384" i="8"/>
  <c r="K1384" i="8"/>
  <c r="I1384" i="8"/>
  <c r="L1383" i="8"/>
  <c r="K1383" i="8"/>
  <c r="I1383" i="8"/>
  <c r="L1382" i="8"/>
  <c r="K1382" i="8"/>
  <c r="I1382" i="8"/>
  <c r="L1381" i="8"/>
  <c r="K1381" i="8"/>
  <c r="I1381" i="8"/>
  <c r="L1380" i="8"/>
  <c r="K1380" i="8"/>
  <c r="I1380" i="8"/>
  <c r="L1379" i="8"/>
  <c r="K1379" i="8"/>
  <c r="I1379" i="8"/>
  <c r="L1378" i="8"/>
  <c r="K1378" i="8"/>
  <c r="I1378" i="8"/>
  <c r="L1377" i="8"/>
  <c r="K1377" i="8"/>
  <c r="I1377" i="8"/>
  <c r="L1376" i="8"/>
  <c r="K1376" i="8"/>
  <c r="I1376" i="8"/>
  <c r="L1375" i="8"/>
  <c r="K1375" i="8"/>
  <c r="I1375" i="8"/>
  <c r="L1374" i="8"/>
  <c r="K1374" i="8"/>
  <c r="I1374" i="8"/>
  <c r="L1373" i="8"/>
  <c r="K1373" i="8"/>
  <c r="I1373" i="8"/>
  <c r="L1372" i="8"/>
  <c r="K1372" i="8"/>
  <c r="I1372" i="8"/>
  <c r="L1371" i="8"/>
  <c r="K1371" i="8"/>
  <c r="I1371" i="8"/>
  <c r="L1370" i="8"/>
  <c r="K1370" i="8"/>
  <c r="I1370" i="8"/>
  <c r="L1369" i="8"/>
  <c r="K1369" i="8"/>
  <c r="I1369" i="8"/>
  <c r="L1368" i="8"/>
  <c r="K1368" i="8"/>
  <c r="I1368" i="8"/>
  <c r="L1367" i="8"/>
  <c r="K1367" i="8"/>
  <c r="I1367" i="8"/>
  <c r="L1366" i="8"/>
  <c r="K1366" i="8"/>
  <c r="I1366" i="8"/>
  <c r="L1365" i="8"/>
  <c r="K1365" i="8"/>
  <c r="I1365" i="8"/>
  <c r="L1364" i="8"/>
  <c r="K1364" i="8"/>
  <c r="I1364" i="8"/>
  <c r="L1363" i="8"/>
  <c r="K1363" i="8"/>
  <c r="I1363" i="8"/>
  <c r="L1362" i="8"/>
  <c r="K1362" i="8"/>
  <c r="I1362" i="8"/>
  <c r="L1361" i="8"/>
  <c r="K1361" i="8"/>
  <c r="I1361" i="8"/>
  <c r="L1360" i="8"/>
  <c r="K1360" i="8"/>
  <c r="I1360" i="8"/>
  <c r="L1359" i="8"/>
  <c r="K1359" i="8"/>
  <c r="I1359" i="8"/>
  <c r="L1358" i="8"/>
  <c r="K1358" i="8"/>
  <c r="I1358" i="8"/>
  <c r="L1357" i="8"/>
  <c r="K1357" i="8"/>
  <c r="I1357" i="8"/>
  <c r="L1356" i="8"/>
  <c r="K1356" i="8"/>
  <c r="I1356" i="8"/>
  <c r="L1355" i="8"/>
  <c r="K1355" i="8"/>
  <c r="I1355" i="8"/>
  <c r="L1354" i="8"/>
  <c r="K1354" i="8"/>
  <c r="I1354" i="8"/>
  <c r="L1353" i="8"/>
  <c r="K1353" i="8"/>
  <c r="I1353" i="8"/>
  <c r="L1352" i="8"/>
  <c r="K1352" i="8"/>
  <c r="I1352" i="8"/>
  <c r="L1351" i="8"/>
  <c r="K1351" i="8"/>
  <c r="I1351" i="8"/>
  <c r="L1350" i="8"/>
  <c r="K1350" i="8"/>
  <c r="I1350" i="8"/>
  <c r="L1349" i="8"/>
  <c r="K1349" i="8"/>
  <c r="I1349" i="8"/>
  <c r="L1348" i="8"/>
  <c r="K1348" i="8"/>
  <c r="I1348" i="8"/>
  <c r="L1347" i="8"/>
  <c r="K1347" i="8"/>
  <c r="I1347" i="8"/>
  <c r="L1346" i="8"/>
  <c r="K1346" i="8"/>
  <c r="I1346" i="8"/>
  <c r="L1345" i="8"/>
  <c r="K1345" i="8"/>
  <c r="I1345" i="8"/>
  <c r="L1344" i="8"/>
  <c r="K1344" i="8"/>
  <c r="I1344" i="8"/>
  <c r="L1343" i="8"/>
  <c r="K1343" i="8"/>
  <c r="I1343" i="8"/>
  <c r="L1342" i="8"/>
  <c r="K1342" i="8"/>
  <c r="I1342" i="8"/>
  <c r="L1341" i="8"/>
  <c r="K1341" i="8"/>
  <c r="I1341" i="8"/>
  <c r="L1340" i="8"/>
  <c r="K1340" i="8"/>
  <c r="I1340" i="8"/>
  <c r="L1339" i="8"/>
  <c r="K1339" i="8"/>
  <c r="I1339" i="8"/>
  <c r="L1338" i="8"/>
  <c r="K1338" i="8"/>
  <c r="I1338" i="8"/>
  <c r="L1337" i="8"/>
  <c r="K1337" i="8"/>
  <c r="I1337" i="8"/>
  <c r="L1336" i="8"/>
  <c r="K1336" i="8"/>
  <c r="I1336" i="8"/>
  <c r="L1335" i="8"/>
  <c r="K1335" i="8"/>
  <c r="I1335" i="8"/>
  <c r="L1334" i="8"/>
  <c r="K1334" i="8"/>
  <c r="I1334" i="8"/>
  <c r="L1333" i="8"/>
  <c r="K1333" i="8"/>
  <c r="I1333" i="8"/>
  <c r="L1332" i="8"/>
  <c r="K1332" i="8"/>
  <c r="I1332" i="8"/>
  <c r="L1331" i="8"/>
  <c r="K1331" i="8"/>
  <c r="I1331" i="8"/>
  <c r="L1330" i="8"/>
  <c r="K1330" i="8"/>
  <c r="I1330" i="8"/>
  <c r="L1329" i="8"/>
  <c r="K1329" i="8"/>
  <c r="I1329" i="8"/>
  <c r="L1328" i="8"/>
  <c r="K1328" i="8"/>
  <c r="I1328" i="8"/>
  <c r="L1327" i="8"/>
  <c r="K1327" i="8"/>
  <c r="I1327" i="8"/>
  <c r="L1326" i="8"/>
  <c r="K1326" i="8"/>
  <c r="I1326" i="8"/>
  <c r="L1325" i="8"/>
  <c r="K1325" i="8"/>
  <c r="I1325" i="8"/>
  <c r="L1324" i="8"/>
  <c r="K1324" i="8"/>
  <c r="I1324" i="8"/>
  <c r="L1323" i="8"/>
  <c r="K1323" i="8"/>
  <c r="I1323" i="8"/>
  <c r="L1322" i="8"/>
  <c r="K1322" i="8"/>
  <c r="I1322" i="8"/>
  <c r="L1321" i="8"/>
  <c r="K1321" i="8"/>
  <c r="I1321" i="8"/>
  <c r="L1320" i="8"/>
  <c r="K1320" i="8"/>
  <c r="I1320" i="8"/>
  <c r="L1319" i="8"/>
  <c r="K1319" i="8"/>
  <c r="I1319" i="8"/>
  <c r="L1318" i="8"/>
  <c r="K1318" i="8"/>
  <c r="I1318" i="8"/>
  <c r="L1317" i="8"/>
  <c r="K1317" i="8"/>
  <c r="I1317" i="8"/>
  <c r="L1316" i="8"/>
  <c r="K1316" i="8"/>
  <c r="I1316" i="8"/>
  <c r="L1315" i="8"/>
  <c r="K1315" i="8"/>
  <c r="I1315" i="8"/>
  <c r="L1314" i="8"/>
  <c r="K1314" i="8"/>
  <c r="I1314" i="8"/>
  <c r="L1313" i="8"/>
  <c r="K1313" i="8"/>
  <c r="I1313" i="8"/>
  <c r="L1312" i="8"/>
  <c r="K1312" i="8"/>
  <c r="I1312" i="8"/>
  <c r="L1311" i="8"/>
  <c r="K1311" i="8"/>
  <c r="I1311" i="8"/>
  <c r="L1310" i="8"/>
  <c r="K1310" i="8"/>
  <c r="I1310" i="8"/>
  <c r="L1309" i="8"/>
  <c r="K1309" i="8"/>
  <c r="I1309" i="8"/>
  <c r="L1308" i="8"/>
  <c r="K1308" i="8"/>
  <c r="I1308" i="8"/>
  <c r="L1307" i="8"/>
  <c r="K1307" i="8"/>
  <c r="I1307" i="8"/>
  <c r="L1306" i="8"/>
  <c r="K1306" i="8"/>
  <c r="I1306" i="8"/>
  <c r="L1305" i="8"/>
  <c r="K1305" i="8"/>
  <c r="I1305" i="8"/>
  <c r="L1304" i="8"/>
  <c r="K1304" i="8"/>
  <c r="I1304" i="8"/>
  <c r="L1303" i="8"/>
  <c r="K1303" i="8"/>
  <c r="I1303" i="8"/>
  <c r="L1302" i="8"/>
  <c r="K1302" i="8"/>
  <c r="I1302" i="8"/>
  <c r="L1301" i="8"/>
  <c r="K1301" i="8"/>
  <c r="I1301" i="8"/>
  <c r="L1300" i="8"/>
  <c r="K1300" i="8"/>
  <c r="I1300" i="8"/>
  <c r="L1299" i="8"/>
  <c r="K1299" i="8"/>
  <c r="I1299" i="8"/>
  <c r="L1298" i="8"/>
  <c r="K1298" i="8"/>
  <c r="I1298" i="8"/>
  <c r="L1297" i="8"/>
  <c r="K1297" i="8"/>
  <c r="I1297" i="8"/>
  <c r="L1296" i="8"/>
  <c r="K1296" i="8"/>
  <c r="I1296" i="8"/>
  <c r="L1295" i="8"/>
  <c r="K1295" i="8"/>
  <c r="I1295" i="8"/>
  <c r="L1294" i="8"/>
  <c r="K1294" i="8"/>
  <c r="I1294" i="8"/>
  <c r="L1293" i="8"/>
  <c r="K1293" i="8"/>
  <c r="I1293" i="8"/>
  <c r="L1292" i="8"/>
  <c r="K1292" i="8"/>
  <c r="I1292" i="8"/>
  <c r="L1291" i="8"/>
  <c r="K1291" i="8"/>
  <c r="I1291" i="8"/>
  <c r="L1290" i="8"/>
  <c r="K1290" i="8"/>
  <c r="I1290" i="8"/>
  <c r="L1289" i="8"/>
  <c r="K1289" i="8"/>
  <c r="I1289" i="8"/>
  <c r="L1288" i="8"/>
  <c r="K1288" i="8"/>
  <c r="I1288" i="8"/>
  <c r="L1287" i="8"/>
  <c r="K1287" i="8"/>
  <c r="I1287" i="8"/>
  <c r="L1286" i="8"/>
  <c r="K1286" i="8"/>
  <c r="I1286" i="8"/>
  <c r="L1285" i="8"/>
  <c r="K1285" i="8"/>
  <c r="I1285" i="8"/>
  <c r="L1284" i="8"/>
  <c r="K1284" i="8"/>
  <c r="I1284" i="8"/>
  <c r="L1283" i="8"/>
  <c r="K1283" i="8"/>
  <c r="I1283" i="8"/>
  <c r="L1282" i="8"/>
  <c r="K1282" i="8"/>
  <c r="I1282" i="8"/>
  <c r="L1281" i="8"/>
  <c r="K1281" i="8"/>
  <c r="I1281" i="8"/>
  <c r="L1280" i="8"/>
  <c r="K1280" i="8"/>
  <c r="I1280" i="8"/>
  <c r="L1279" i="8"/>
  <c r="K1279" i="8"/>
  <c r="I1279" i="8"/>
  <c r="L1278" i="8"/>
  <c r="K1278" i="8"/>
  <c r="I1278" i="8"/>
  <c r="L1277" i="8"/>
  <c r="K1277" i="8"/>
  <c r="I1277" i="8"/>
  <c r="L1276" i="8"/>
  <c r="K1276" i="8"/>
  <c r="I1276" i="8"/>
  <c r="L1275" i="8"/>
  <c r="K1275" i="8"/>
  <c r="I1275" i="8"/>
  <c r="L1274" i="8"/>
  <c r="K1274" i="8"/>
  <c r="I1274" i="8"/>
  <c r="L1273" i="8"/>
  <c r="K1273" i="8"/>
  <c r="I1273" i="8"/>
  <c r="L1272" i="8"/>
  <c r="K1272" i="8"/>
  <c r="I1272" i="8"/>
  <c r="L1271" i="8"/>
  <c r="K1271" i="8"/>
  <c r="I1271" i="8"/>
  <c r="L1270" i="8"/>
  <c r="K1270" i="8"/>
  <c r="I1270" i="8"/>
  <c r="L1269" i="8"/>
  <c r="K1269" i="8"/>
  <c r="I1269" i="8"/>
  <c r="L1268" i="8"/>
  <c r="K1268" i="8"/>
  <c r="I1268" i="8"/>
  <c r="L1267" i="8"/>
  <c r="K1267" i="8"/>
  <c r="I1267" i="8"/>
  <c r="L1266" i="8"/>
  <c r="K1266" i="8"/>
  <c r="I1266" i="8"/>
  <c r="L1265" i="8"/>
  <c r="K1265" i="8"/>
  <c r="I1265" i="8"/>
  <c r="L1264" i="8"/>
  <c r="K1264" i="8"/>
  <c r="I1264" i="8"/>
  <c r="L1263" i="8"/>
  <c r="K1263" i="8"/>
  <c r="I1263" i="8"/>
  <c r="L1262" i="8"/>
  <c r="K1262" i="8"/>
  <c r="I1262" i="8"/>
  <c r="L1261" i="8"/>
  <c r="K1261" i="8"/>
  <c r="I1261" i="8"/>
  <c r="L1260" i="8"/>
  <c r="K1260" i="8"/>
  <c r="I1260" i="8"/>
  <c r="L1259" i="8"/>
  <c r="K1259" i="8"/>
  <c r="I1259" i="8"/>
  <c r="L1258" i="8"/>
  <c r="K1258" i="8"/>
  <c r="I1258" i="8"/>
  <c r="L1257" i="8"/>
  <c r="K1257" i="8"/>
  <c r="I1257" i="8"/>
  <c r="L1256" i="8"/>
  <c r="K1256" i="8"/>
  <c r="I1256" i="8"/>
  <c r="L1255" i="8"/>
  <c r="K1255" i="8"/>
  <c r="I1255" i="8"/>
  <c r="L1254" i="8"/>
  <c r="K1254" i="8"/>
  <c r="I1254" i="8"/>
  <c r="L1253" i="8"/>
  <c r="K1253" i="8"/>
  <c r="I1253" i="8"/>
  <c r="L1252" i="8"/>
  <c r="K1252" i="8"/>
  <c r="I1252" i="8"/>
  <c r="L1251" i="8"/>
  <c r="K1251" i="8"/>
  <c r="I1251" i="8"/>
  <c r="L1250" i="8"/>
  <c r="K1250" i="8"/>
  <c r="I1250" i="8"/>
  <c r="L1249" i="8"/>
  <c r="K1249" i="8"/>
  <c r="I1249" i="8"/>
  <c r="L1248" i="8"/>
  <c r="K1248" i="8"/>
  <c r="I1248" i="8"/>
  <c r="L1247" i="8"/>
  <c r="K1247" i="8"/>
  <c r="I1247" i="8"/>
  <c r="L1246" i="8"/>
  <c r="K1246" i="8"/>
  <c r="I1246" i="8"/>
  <c r="L1245" i="8"/>
  <c r="K1245" i="8"/>
  <c r="I1245" i="8"/>
  <c r="L1244" i="8"/>
  <c r="K1244" i="8"/>
  <c r="I1244" i="8"/>
  <c r="L1243" i="8"/>
  <c r="K1243" i="8"/>
  <c r="I1243" i="8"/>
  <c r="L1242" i="8"/>
  <c r="K1242" i="8"/>
  <c r="I1242" i="8"/>
  <c r="L1241" i="8"/>
  <c r="K1241" i="8"/>
  <c r="I1241" i="8"/>
  <c r="L1240" i="8"/>
  <c r="K1240" i="8"/>
  <c r="I1240" i="8"/>
  <c r="L1239" i="8"/>
  <c r="K1239" i="8"/>
  <c r="I1239" i="8"/>
  <c r="L1238" i="8"/>
  <c r="K1238" i="8"/>
  <c r="I1238" i="8"/>
  <c r="L1237" i="8"/>
  <c r="K1237" i="8"/>
  <c r="I1237" i="8"/>
  <c r="L1236" i="8"/>
  <c r="K1236" i="8"/>
  <c r="I1236" i="8"/>
  <c r="L1235" i="8"/>
  <c r="K1235" i="8"/>
  <c r="I1235" i="8"/>
  <c r="L1234" i="8"/>
  <c r="K1234" i="8"/>
  <c r="I1234" i="8"/>
  <c r="L1233" i="8"/>
  <c r="K1233" i="8"/>
  <c r="I1233" i="8"/>
  <c r="L1232" i="8"/>
  <c r="K1232" i="8"/>
  <c r="I1232" i="8"/>
  <c r="L1231" i="8"/>
  <c r="K1231" i="8"/>
  <c r="I1231" i="8"/>
  <c r="L1230" i="8"/>
  <c r="K1230" i="8"/>
  <c r="I1230" i="8"/>
  <c r="L1229" i="8"/>
  <c r="K1229" i="8"/>
  <c r="I1229" i="8"/>
  <c r="L1228" i="8"/>
  <c r="K1228" i="8"/>
  <c r="I1228" i="8"/>
  <c r="L1227" i="8"/>
  <c r="K1227" i="8"/>
  <c r="I1227" i="8"/>
  <c r="L1226" i="8"/>
  <c r="K1226" i="8"/>
  <c r="I1226" i="8"/>
  <c r="L1225" i="8"/>
  <c r="K1225" i="8"/>
  <c r="I1225" i="8"/>
  <c r="L1224" i="8"/>
  <c r="K1224" i="8"/>
  <c r="I1224" i="8"/>
  <c r="L1223" i="8"/>
  <c r="K1223" i="8"/>
  <c r="I1223" i="8"/>
  <c r="L1222" i="8"/>
  <c r="K1222" i="8"/>
  <c r="I1222" i="8"/>
  <c r="L1221" i="8"/>
  <c r="K1221" i="8"/>
  <c r="I1221" i="8"/>
  <c r="L1220" i="8"/>
  <c r="K1220" i="8"/>
  <c r="I1220" i="8"/>
  <c r="L1219" i="8"/>
  <c r="K1219" i="8"/>
  <c r="I1219" i="8"/>
  <c r="L1218" i="8"/>
  <c r="K1218" i="8"/>
  <c r="I1218" i="8"/>
  <c r="L1217" i="8"/>
  <c r="K1217" i="8"/>
  <c r="I1217" i="8"/>
  <c r="L1216" i="8"/>
  <c r="K1216" i="8"/>
  <c r="I1216" i="8"/>
  <c r="L1215" i="8"/>
  <c r="K1215" i="8"/>
  <c r="I1215" i="8"/>
  <c r="L1214" i="8"/>
  <c r="K1214" i="8"/>
  <c r="I1214" i="8"/>
  <c r="L1213" i="8"/>
  <c r="K1213" i="8"/>
  <c r="I1213" i="8"/>
  <c r="L1212" i="8"/>
  <c r="K1212" i="8"/>
  <c r="I1212" i="8"/>
  <c r="L1211" i="8"/>
  <c r="K1211" i="8"/>
  <c r="I1211" i="8"/>
  <c r="L1210" i="8"/>
  <c r="K1210" i="8"/>
  <c r="I1210" i="8"/>
  <c r="L1209" i="8"/>
  <c r="K1209" i="8"/>
  <c r="I1209" i="8"/>
  <c r="L1208" i="8"/>
  <c r="K1208" i="8"/>
  <c r="I1208" i="8"/>
  <c r="L1207" i="8"/>
  <c r="K1207" i="8"/>
  <c r="I1207" i="8"/>
  <c r="L1206" i="8"/>
  <c r="K1206" i="8"/>
  <c r="I1206" i="8"/>
  <c r="L1205" i="8"/>
  <c r="K1205" i="8"/>
  <c r="I1205" i="8"/>
  <c r="L1204" i="8"/>
  <c r="K1204" i="8"/>
  <c r="I1204" i="8"/>
  <c r="L1203" i="8"/>
  <c r="K1203" i="8"/>
  <c r="I1203" i="8"/>
  <c r="L1202" i="8"/>
  <c r="K1202" i="8"/>
  <c r="I1202" i="8"/>
  <c r="L1201" i="8"/>
  <c r="K1201" i="8"/>
  <c r="I1201" i="8"/>
  <c r="L1200" i="8"/>
  <c r="K1200" i="8"/>
  <c r="I1200" i="8"/>
  <c r="L1199" i="8"/>
  <c r="K1199" i="8"/>
  <c r="I1199" i="8"/>
  <c r="L1198" i="8"/>
  <c r="K1198" i="8"/>
  <c r="I1198" i="8"/>
  <c r="L1197" i="8"/>
  <c r="K1197" i="8"/>
  <c r="I1197" i="8"/>
  <c r="L1196" i="8"/>
  <c r="K1196" i="8"/>
  <c r="I1196" i="8"/>
  <c r="L1195" i="8"/>
  <c r="K1195" i="8"/>
  <c r="I1195" i="8"/>
  <c r="L1194" i="8"/>
  <c r="K1194" i="8"/>
  <c r="I1194" i="8"/>
  <c r="L1193" i="8"/>
  <c r="K1193" i="8"/>
  <c r="I1193" i="8"/>
  <c r="L1192" i="8"/>
  <c r="K1192" i="8"/>
  <c r="I1192" i="8"/>
  <c r="L1191" i="8"/>
  <c r="K1191" i="8"/>
  <c r="I1191" i="8"/>
  <c r="L1190" i="8"/>
  <c r="K1190" i="8"/>
  <c r="I1190" i="8"/>
  <c r="L1189" i="8"/>
  <c r="K1189" i="8"/>
  <c r="I1189" i="8"/>
  <c r="L1188" i="8"/>
  <c r="K1188" i="8"/>
  <c r="I1188" i="8"/>
  <c r="L1187" i="8"/>
  <c r="K1187" i="8"/>
  <c r="I1187" i="8"/>
  <c r="L1186" i="8"/>
  <c r="K1186" i="8"/>
  <c r="I1186" i="8"/>
  <c r="L1185" i="8"/>
  <c r="K1185" i="8"/>
  <c r="I1185" i="8"/>
  <c r="L1184" i="8"/>
  <c r="K1184" i="8"/>
  <c r="I1184" i="8"/>
  <c r="L1183" i="8"/>
  <c r="K1183" i="8"/>
  <c r="I1183" i="8"/>
  <c r="L1182" i="8"/>
  <c r="K1182" i="8"/>
  <c r="I1182" i="8"/>
  <c r="L1181" i="8"/>
  <c r="K1181" i="8"/>
  <c r="I1181" i="8"/>
  <c r="L1180" i="8"/>
  <c r="K1180" i="8"/>
  <c r="I1180" i="8"/>
  <c r="L1179" i="8"/>
  <c r="K1179" i="8"/>
  <c r="I1179" i="8"/>
  <c r="L1178" i="8"/>
  <c r="K1178" i="8"/>
  <c r="I1178" i="8"/>
  <c r="L1177" i="8"/>
  <c r="K1177" i="8"/>
  <c r="I1177" i="8"/>
  <c r="L1176" i="8"/>
  <c r="K1176" i="8"/>
  <c r="I1176" i="8"/>
  <c r="L1175" i="8"/>
  <c r="K1175" i="8"/>
  <c r="I1175" i="8"/>
  <c r="L1174" i="8"/>
  <c r="K1174" i="8"/>
  <c r="I1174" i="8"/>
  <c r="L1173" i="8"/>
  <c r="K1173" i="8"/>
  <c r="I1173" i="8"/>
  <c r="L1172" i="8"/>
  <c r="K1172" i="8"/>
  <c r="I1172" i="8"/>
  <c r="L1171" i="8"/>
  <c r="K1171" i="8"/>
  <c r="I1171" i="8"/>
  <c r="L1170" i="8"/>
  <c r="K1170" i="8"/>
  <c r="I1170" i="8"/>
  <c r="L1169" i="8"/>
  <c r="K1169" i="8"/>
  <c r="I1169" i="8"/>
  <c r="L1168" i="8"/>
  <c r="K1168" i="8"/>
  <c r="I1168" i="8"/>
  <c r="L1167" i="8"/>
  <c r="K1167" i="8"/>
  <c r="I1167" i="8"/>
  <c r="L1166" i="8"/>
  <c r="K1166" i="8"/>
  <c r="I1166" i="8"/>
  <c r="L1165" i="8"/>
  <c r="K1165" i="8"/>
  <c r="I1165" i="8"/>
  <c r="L1164" i="8"/>
  <c r="K1164" i="8"/>
  <c r="I1164" i="8"/>
  <c r="L1163" i="8"/>
  <c r="K1163" i="8"/>
  <c r="I1163" i="8"/>
  <c r="L1162" i="8"/>
  <c r="K1162" i="8"/>
  <c r="I1162" i="8"/>
  <c r="L1161" i="8"/>
  <c r="K1161" i="8"/>
  <c r="I1161" i="8"/>
  <c r="L1160" i="8"/>
  <c r="K1160" i="8"/>
  <c r="I1160" i="8"/>
  <c r="L1159" i="8"/>
  <c r="K1159" i="8"/>
  <c r="I1159" i="8"/>
  <c r="L1158" i="8"/>
  <c r="K1158" i="8"/>
  <c r="I1158" i="8"/>
  <c r="L1157" i="8"/>
  <c r="K1157" i="8"/>
  <c r="I1157" i="8"/>
  <c r="L1156" i="8"/>
  <c r="K1156" i="8"/>
  <c r="I1156" i="8"/>
  <c r="L1155" i="8"/>
  <c r="K1155" i="8"/>
  <c r="I1155" i="8"/>
  <c r="L1154" i="8"/>
  <c r="K1154" i="8"/>
  <c r="I1154" i="8"/>
  <c r="L1153" i="8"/>
  <c r="K1153" i="8"/>
  <c r="I1153" i="8"/>
  <c r="L1152" i="8"/>
  <c r="K1152" i="8"/>
  <c r="I1152" i="8"/>
  <c r="L1151" i="8"/>
  <c r="K1151" i="8"/>
  <c r="I1151" i="8"/>
  <c r="L1150" i="8"/>
  <c r="K1150" i="8"/>
  <c r="I1150" i="8"/>
  <c r="L1149" i="8"/>
  <c r="K1149" i="8"/>
  <c r="I1149" i="8"/>
  <c r="L1148" i="8"/>
  <c r="K1148" i="8"/>
  <c r="I1148" i="8"/>
  <c r="L1147" i="8"/>
  <c r="K1147" i="8"/>
  <c r="I1147" i="8"/>
  <c r="L1146" i="8"/>
  <c r="K1146" i="8"/>
  <c r="I1146" i="8"/>
  <c r="L1145" i="8"/>
  <c r="K1145" i="8"/>
  <c r="I1145" i="8"/>
  <c r="L1144" i="8"/>
  <c r="K1144" i="8"/>
  <c r="I1144" i="8"/>
  <c r="L1143" i="8"/>
  <c r="K1143" i="8"/>
  <c r="I1143" i="8"/>
  <c r="L1142" i="8"/>
  <c r="K1142" i="8"/>
  <c r="I1142" i="8"/>
  <c r="L1141" i="8"/>
  <c r="K1141" i="8"/>
  <c r="I1141" i="8"/>
  <c r="L1140" i="8"/>
  <c r="K1140" i="8"/>
  <c r="I1140" i="8"/>
  <c r="L1139" i="8"/>
  <c r="K1139" i="8"/>
  <c r="I1139" i="8"/>
  <c r="L1138" i="8"/>
  <c r="K1138" i="8"/>
  <c r="I1138" i="8"/>
  <c r="L1137" i="8"/>
  <c r="K1137" i="8"/>
  <c r="I1137" i="8"/>
  <c r="L1136" i="8"/>
  <c r="K1136" i="8"/>
  <c r="I1136" i="8"/>
  <c r="L1135" i="8"/>
  <c r="K1135" i="8"/>
  <c r="I1135" i="8"/>
  <c r="L1134" i="8"/>
  <c r="K1134" i="8"/>
  <c r="I1134" i="8"/>
  <c r="L1133" i="8"/>
  <c r="K1133" i="8"/>
  <c r="I1133" i="8"/>
  <c r="L1132" i="8"/>
  <c r="K1132" i="8"/>
  <c r="I1132" i="8"/>
  <c r="L1131" i="8"/>
  <c r="K1131" i="8"/>
  <c r="I1131" i="8"/>
  <c r="L1130" i="8"/>
  <c r="K1130" i="8"/>
  <c r="I1130" i="8"/>
  <c r="L1129" i="8"/>
  <c r="K1129" i="8"/>
  <c r="I1129" i="8"/>
  <c r="L1128" i="8"/>
  <c r="K1128" i="8"/>
  <c r="I1128" i="8"/>
  <c r="L1127" i="8"/>
  <c r="K1127" i="8"/>
  <c r="I1127" i="8"/>
  <c r="L1126" i="8"/>
  <c r="K1126" i="8"/>
  <c r="I1126" i="8"/>
  <c r="L1125" i="8"/>
  <c r="K1125" i="8"/>
  <c r="I1125" i="8"/>
  <c r="L1124" i="8"/>
  <c r="K1124" i="8"/>
  <c r="I1124" i="8"/>
  <c r="L1123" i="8"/>
  <c r="K1123" i="8"/>
  <c r="I1123" i="8"/>
  <c r="L1122" i="8"/>
  <c r="K1122" i="8"/>
  <c r="I1122" i="8"/>
  <c r="L1121" i="8"/>
  <c r="K1121" i="8"/>
  <c r="I1121" i="8"/>
  <c r="L1120" i="8"/>
  <c r="K1120" i="8"/>
  <c r="I1120" i="8"/>
  <c r="L1119" i="8"/>
  <c r="K1119" i="8"/>
  <c r="I1119" i="8"/>
  <c r="L1118" i="8"/>
  <c r="K1118" i="8"/>
  <c r="I1118" i="8"/>
  <c r="L1117" i="8"/>
  <c r="K1117" i="8"/>
  <c r="I1117" i="8"/>
  <c r="L1116" i="8"/>
  <c r="K1116" i="8"/>
  <c r="I1116" i="8"/>
  <c r="L1115" i="8"/>
  <c r="K1115" i="8"/>
  <c r="I1115" i="8"/>
  <c r="L1114" i="8"/>
  <c r="K1114" i="8"/>
  <c r="I1114" i="8"/>
  <c r="L1113" i="8"/>
  <c r="K1113" i="8"/>
  <c r="I1113" i="8"/>
  <c r="L1112" i="8"/>
  <c r="K1112" i="8"/>
  <c r="I1112" i="8"/>
  <c r="L1111" i="8"/>
  <c r="K1111" i="8"/>
  <c r="I1111" i="8"/>
  <c r="L1110" i="8"/>
  <c r="K1110" i="8"/>
  <c r="I1110" i="8"/>
  <c r="L1109" i="8"/>
  <c r="K1109" i="8"/>
  <c r="I1109" i="8"/>
  <c r="L1108" i="8"/>
  <c r="K1108" i="8"/>
  <c r="I1108" i="8"/>
  <c r="L1107" i="8"/>
  <c r="K1107" i="8"/>
  <c r="I1107" i="8"/>
  <c r="L1106" i="8"/>
  <c r="K1106" i="8"/>
  <c r="I1106" i="8"/>
  <c r="L1105" i="8"/>
  <c r="K1105" i="8"/>
  <c r="I1105" i="8"/>
  <c r="L1104" i="8"/>
  <c r="K1104" i="8"/>
  <c r="I1104" i="8"/>
  <c r="L1103" i="8"/>
  <c r="K1103" i="8"/>
  <c r="I1103" i="8"/>
  <c r="L1102" i="8"/>
  <c r="K1102" i="8"/>
  <c r="I1102" i="8"/>
  <c r="L1101" i="8"/>
  <c r="K1101" i="8"/>
  <c r="I1101" i="8"/>
  <c r="L1100" i="8"/>
  <c r="K1100" i="8"/>
  <c r="I1100" i="8"/>
  <c r="L1099" i="8"/>
  <c r="K1099" i="8"/>
  <c r="I1099" i="8"/>
  <c r="L1098" i="8"/>
  <c r="K1098" i="8"/>
  <c r="I1098" i="8"/>
  <c r="L1097" i="8"/>
  <c r="K1097" i="8"/>
  <c r="I1097" i="8"/>
  <c r="L1096" i="8"/>
  <c r="K1096" i="8"/>
  <c r="I1096" i="8"/>
  <c r="L1095" i="8"/>
  <c r="K1095" i="8"/>
  <c r="I1095" i="8"/>
  <c r="L1094" i="8"/>
  <c r="K1094" i="8"/>
  <c r="I1094" i="8"/>
  <c r="L1093" i="8"/>
  <c r="K1093" i="8"/>
  <c r="I1093" i="8"/>
  <c r="L1092" i="8"/>
  <c r="K1092" i="8"/>
  <c r="I1092" i="8"/>
  <c r="L1091" i="8"/>
  <c r="K1091" i="8"/>
  <c r="I1091" i="8"/>
  <c r="L1090" i="8"/>
  <c r="K1090" i="8"/>
  <c r="I1090" i="8"/>
  <c r="L1089" i="8"/>
  <c r="K1089" i="8"/>
  <c r="I1089" i="8"/>
  <c r="L1088" i="8"/>
  <c r="K1088" i="8"/>
  <c r="I1088" i="8"/>
  <c r="L1087" i="8"/>
  <c r="K1087" i="8"/>
  <c r="I1087" i="8"/>
  <c r="L1086" i="8"/>
  <c r="K1086" i="8"/>
  <c r="I1086" i="8"/>
  <c r="L1085" i="8"/>
  <c r="K1085" i="8"/>
  <c r="I1085" i="8"/>
  <c r="L1084" i="8"/>
  <c r="K1084" i="8"/>
  <c r="I1084" i="8"/>
  <c r="L1083" i="8"/>
  <c r="K1083" i="8"/>
  <c r="I1083" i="8"/>
  <c r="L1082" i="8"/>
  <c r="K1082" i="8"/>
  <c r="I1082" i="8"/>
  <c r="L1081" i="8"/>
  <c r="K1081" i="8"/>
  <c r="I1081" i="8"/>
  <c r="L1080" i="8"/>
  <c r="K1080" i="8"/>
  <c r="I1080" i="8"/>
  <c r="L1079" i="8"/>
  <c r="K1079" i="8"/>
  <c r="I1079" i="8"/>
  <c r="L1078" i="8"/>
  <c r="K1078" i="8"/>
  <c r="I1078" i="8"/>
  <c r="L1077" i="8"/>
  <c r="K1077" i="8"/>
  <c r="I1077" i="8"/>
  <c r="L1076" i="8"/>
  <c r="K1076" i="8"/>
  <c r="I1076" i="8"/>
  <c r="L1075" i="8"/>
  <c r="K1075" i="8"/>
  <c r="I1075" i="8"/>
  <c r="L1074" i="8"/>
  <c r="K1074" i="8"/>
  <c r="I1074" i="8"/>
  <c r="L1073" i="8"/>
  <c r="K1073" i="8"/>
  <c r="I1073" i="8"/>
  <c r="L1072" i="8"/>
  <c r="K1072" i="8"/>
  <c r="I1072" i="8"/>
  <c r="L1071" i="8"/>
  <c r="K1071" i="8"/>
  <c r="I1071" i="8"/>
  <c r="L1070" i="8"/>
  <c r="K1070" i="8"/>
  <c r="I1070" i="8"/>
  <c r="L1069" i="8"/>
  <c r="K1069" i="8"/>
  <c r="I1069" i="8"/>
  <c r="L1068" i="8"/>
  <c r="K1068" i="8"/>
  <c r="I1068" i="8"/>
  <c r="L1067" i="8"/>
  <c r="K1067" i="8"/>
  <c r="I1067" i="8"/>
  <c r="L1066" i="8"/>
  <c r="K1066" i="8"/>
  <c r="I1066" i="8"/>
  <c r="L1065" i="8"/>
  <c r="K1065" i="8"/>
  <c r="I1065" i="8"/>
  <c r="L1064" i="8"/>
  <c r="K1064" i="8"/>
  <c r="I1064" i="8"/>
  <c r="L1063" i="8"/>
  <c r="K1063" i="8"/>
  <c r="I1063" i="8"/>
  <c r="L1062" i="8"/>
  <c r="K1062" i="8"/>
  <c r="I1062" i="8"/>
  <c r="L1061" i="8"/>
  <c r="K1061" i="8"/>
  <c r="I1061" i="8"/>
  <c r="L1060" i="8"/>
  <c r="K1060" i="8"/>
  <c r="I1060" i="8"/>
  <c r="L1059" i="8"/>
  <c r="K1059" i="8"/>
  <c r="I1059" i="8"/>
  <c r="L1058" i="8"/>
  <c r="K1058" i="8"/>
  <c r="I1058" i="8"/>
  <c r="L1057" i="8"/>
  <c r="K1057" i="8"/>
  <c r="I1057" i="8"/>
  <c r="L1056" i="8"/>
  <c r="K1056" i="8"/>
  <c r="I1056" i="8"/>
  <c r="L1055" i="8"/>
  <c r="K1055" i="8"/>
  <c r="I1055" i="8"/>
  <c r="L1054" i="8"/>
  <c r="K1054" i="8"/>
  <c r="I1054" i="8"/>
  <c r="L1053" i="8"/>
  <c r="K1053" i="8"/>
  <c r="I1053" i="8"/>
  <c r="L1052" i="8"/>
  <c r="K1052" i="8"/>
  <c r="I1052" i="8"/>
  <c r="L1051" i="8"/>
  <c r="K1051" i="8"/>
  <c r="I1051" i="8"/>
  <c r="L1050" i="8"/>
  <c r="K1050" i="8"/>
  <c r="I1050" i="8"/>
  <c r="L1049" i="8"/>
  <c r="K1049" i="8"/>
  <c r="I1049" i="8"/>
  <c r="L1048" i="8"/>
  <c r="K1048" i="8"/>
  <c r="I1048" i="8"/>
  <c r="L1047" i="8"/>
  <c r="K1047" i="8"/>
  <c r="I1047" i="8"/>
  <c r="L1046" i="8"/>
  <c r="K1046" i="8"/>
  <c r="I1046" i="8"/>
  <c r="L1045" i="8"/>
  <c r="K1045" i="8"/>
  <c r="I1045" i="8"/>
  <c r="L1044" i="8"/>
  <c r="K1044" i="8"/>
  <c r="I1044" i="8"/>
  <c r="L1043" i="8"/>
  <c r="K1043" i="8"/>
  <c r="I1043" i="8"/>
  <c r="L1042" i="8"/>
  <c r="K1042" i="8"/>
  <c r="I1042" i="8"/>
  <c r="L1041" i="8"/>
  <c r="K1041" i="8"/>
  <c r="I1041" i="8"/>
  <c r="L1040" i="8"/>
  <c r="K1040" i="8"/>
  <c r="I1040" i="8"/>
  <c r="L1039" i="8"/>
  <c r="K1039" i="8"/>
  <c r="I1039" i="8"/>
  <c r="L1038" i="8"/>
  <c r="K1038" i="8"/>
  <c r="I1038" i="8"/>
  <c r="L1037" i="8"/>
  <c r="K1037" i="8"/>
  <c r="I1037" i="8"/>
  <c r="L1036" i="8"/>
  <c r="K1036" i="8"/>
  <c r="I1036" i="8"/>
  <c r="L1035" i="8"/>
  <c r="K1035" i="8"/>
  <c r="I1035" i="8"/>
  <c r="L1034" i="8"/>
  <c r="K1034" i="8"/>
  <c r="I1034" i="8"/>
  <c r="L1033" i="8"/>
  <c r="K1033" i="8"/>
  <c r="I1033" i="8"/>
  <c r="L1032" i="8"/>
  <c r="K1032" i="8"/>
  <c r="I1032" i="8"/>
  <c r="L1031" i="8"/>
  <c r="K1031" i="8"/>
  <c r="I1031" i="8"/>
  <c r="L1030" i="8"/>
  <c r="K1030" i="8"/>
  <c r="I1030" i="8"/>
  <c r="L1029" i="8"/>
  <c r="K1029" i="8"/>
  <c r="I1029" i="8"/>
  <c r="L1028" i="8"/>
  <c r="K1028" i="8"/>
  <c r="I1028" i="8"/>
  <c r="L1027" i="8"/>
  <c r="K1027" i="8"/>
  <c r="I1027" i="8"/>
  <c r="L1026" i="8"/>
  <c r="K1026" i="8"/>
  <c r="I1026" i="8"/>
  <c r="L1025" i="8"/>
  <c r="K1025" i="8"/>
  <c r="I1025" i="8"/>
  <c r="L1024" i="8"/>
  <c r="K1024" i="8"/>
  <c r="I1024" i="8"/>
  <c r="L1023" i="8"/>
  <c r="K1023" i="8"/>
  <c r="I1023" i="8"/>
  <c r="L1022" i="8"/>
  <c r="K1022" i="8"/>
  <c r="I1022" i="8"/>
  <c r="L1021" i="8"/>
  <c r="K1021" i="8"/>
  <c r="I1021" i="8"/>
  <c r="L1020" i="8"/>
  <c r="K1020" i="8"/>
  <c r="I1020" i="8"/>
  <c r="L1019" i="8"/>
  <c r="K1019" i="8"/>
  <c r="I1019" i="8"/>
  <c r="L1018" i="8"/>
  <c r="K1018" i="8"/>
  <c r="I1018" i="8"/>
  <c r="L1017" i="8"/>
  <c r="K1017" i="8"/>
  <c r="I1017" i="8"/>
  <c r="L1016" i="8"/>
  <c r="K1016" i="8"/>
  <c r="I1016" i="8"/>
  <c r="L1015" i="8"/>
  <c r="K1015" i="8"/>
  <c r="I1015" i="8"/>
  <c r="L1014" i="8"/>
  <c r="K1014" i="8"/>
  <c r="I1014" i="8"/>
  <c r="L1013" i="8"/>
  <c r="K1013" i="8"/>
  <c r="I1013" i="8"/>
  <c r="L1012" i="8"/>
  <c r="K1012" i="8"/>
  <c r="I1012" i="8"/>
  <c r="L1011" i="8"/>
  <c r="K1011" i="8"/>
  <c r="I1011" i="8"/>
  <c r="L1010" i="8"/>
  <c r="K1010" i="8"/>
  <c r="I1010" i="8"/>
  <c r="L1009" i="8"/>
  <c r="K1009" i="8"/>
  <c r="I1009" i="8"/>
  <c r="L1008" i="8"/>
  <c r="K1008" i="8"/>
  <c r="I1008" i="8"/>
  <c r="L1007" i="8"/>
  <c r="K1007" i="8"/>
  <c r="I1007" i="8"/>
  <c r="L1006" i="8"/>
  <c r="K1006" i="8"/>
  <c r="I1006" i="8"/>
  <c r="L1005" i="8"/>
  <c r="K1005" i="8"/>
  <c r="I1005" i="8"/>
  <c r="L1004" i="8"/>
  <c r="K1004" i="8"/>
  <c r="I1004" i="8"/>
  <c r="L1003" i="8"/>
  <c r="K1003" i="8"/>
  <c r="I1003" i="8"/>
  <c r="L1002" i="8"/>
  <c r="K1002" i="8"/>
  <c r="I1002" i="8"/>
  <c r="L1001" i="8"/>
  <c r="K1001" i="8"/>
  <c r="I1001" i="8"/>
  <c r="L1000" i="8"/>
  <c r="K1000" i="8"/>
  <c r="I1000" i="8"/>
  <c r="L999" i="8"/>
  <c r="K999" i="8"/>
  <c r="I999" i="8"/>
  <c r="L998" i="8"/>
  <c r="K998" i="8"/>
  <c r="I998" i="8"/>
  <c r="L997" i="8"/>
  <c r="K997" i="8"/>
  <c r="I997" i="8"/>
  <c r="L996" i="8"/>
  <c r="K996" i="8"/>
  <c r="I996" i="8"/>
  <c r="L995" i="8"/>
  <c r="K995" i="8"/>
  <c r="I995" i="8"/>
  <c r="L994" i="8"/>
  <c r="K994" i="8"/>
  <c r="I994" i="8"/>
  <c r="L993" i="8"/>
  <c r="K993" i="8"/>
  <c r="I993" i="8"/>
  <c r="L992" i="8"/>
  <c r="K992" i="8"/>
  <c r="I992" i="8"/>
  <c r="L991" i="8"/>
  <c r="K991" i="8"/>
  <c r="I991" i="8"/>
  <c r="L990" i="8"/>
  <c r="K990" i="8"/>
  <c r="I990" i="8"/>
  <c r="L989" i="8"/>
  <c r="K989" i="8"/>
  <c r="I989" i="8"/>
  <c r="L988" i="8"/>
  <c r="K988" i="8"/>
  <c r="I988" i="8"/>
  <c r="L987" i="8"/>
  <c r="K987" i="8"/>
  <c r="I987" i="8"/>
  <c r="L986" i="8"/>
  <c r="K986" i="8"/>
  <c r="I986" i="8"/>
  <c r="L985" i="8"/>
  <c r="K985" i="8"/>
  <c r="I985" i="8"/>
  <c r="L984" i="8"/>
  <c r="K984" i="8"/>
  <c r="I984" i="8"/>
  <c r="L983" i="8"/>
  <c r="K983" i="8"/>
  <c r="I983" i="8"/>
  <c r="L982" i="8"/>
  <c r="K982" i="8"/>
  <c r="I982" i="8"/>
  <c r="L981" i="8"/>
  <c r="K981" i="8"/>
  <c r="I981" i="8"/>
  <c r="L980" i="8"/>
  <c r="K980" i="8"/>
  <c r="I980" i="8"/>
  <c r="L979" i="8"/>
  <c r="K979" i="8"/>
  <c r="I979" i="8"/>
  <c r="L978" i="8"/>
  <c r="K978" i="8"/>
  <c r="I978" i="8"/>
  <c r="L977" i="8"/>
  <c r="K977" i="8"/>
  <c r="I977" i="8"/>
  <c r="L976" i="8"/>
  <c r="K976" i="8"/>
  <c r="I976" i="8"/>
  <c r="L975" i="8"/>
  <c r="K975" i="8"/>
  <c r="I975" i="8"/>
  <c r="L974" i="8"/>
  <c r="K974" i="8"/>
  <c r="I974" i="8"/>
  <c r="L973" i="8"/>
  <c r="K973" i="8"/>
  <c r="I973" i="8"/>
  <c r="L972" i="8"/>
  <c r="K972" i="8"/>
  <c r="I972" i="8"/>
  <c r="L971" i="8"/>
  <c r="K971" i="8"/>
  <c r="I971" i="8"/>
  <c r="L970" i="8"/>
  <c r="K970" i="8"/>
  <c r="I970" i="8"/>
  <c r="L969" i="8"/>
  <c r="K969" i="8"/>
  <c r="I969" i="8"/>
  <c r="L968" i="8"/>
  <c r="K968" i="8"/>
  <c r="I968" i="8"/>
  <c r="L967" i="8"/>
  <c r="K967" i="8"/>
  <c r="I967" i="8"/>
  <c r="L966" i="8"/>
  <c r="K966" i="8"/>
  <c r="I966" i="8"/>
  <c r="L965" i="8"/>
  <c r="K965" i="8"/>
  <c r="I965" i="8"/>
  <c r="L964" i="8"/>
  <c r="K964" i="8"/>
  <c r="I964" i="8"/>
  <c r="L963" i="8"/>
  <c r="K963" i="8"/>
  <c r="I963" i="8"/>
  <c r="L962" i="8"/>
  <c r="K962" i="8"/>
  <c r="I962" i="8"/>
  <c r="L961" i="8"/>
  <c r="K961" i="8"/>
  <c r="I961" i="8"/>
  <c r="L960" i="8"/>
  <c r="K960" i="8"/>
  <c r="I960" i="8"/>
  <c r="L959" i="8"/>
  <c r="K959" i="8"/>
  <c r="I959" i="8"/>
  <c r="L958" i="8"/>
  <c r="K958" i="8"/>
  <c r="I958" i="8"/>
  <c r="L957" i="8"/>
  <c r="K957" i="8"/>
  <c r="I957" i="8"/>
  <c r="L956" i="8"/>
  <c r="K956" i="8"/>
  <c r="I956" i="8"/>
  <c r="L955" i="8"/>
  <c r="K955" i="8"/>
  <c r="I955" i="8"/>
  <c r="L954" i="8"/>
  <c r="K954" i="8"/>
  <c r="I954" i="8"/>
  <c r="L953" i="8"/>
  <c r="K953" i="8"/>
  <c r="I953" i="8"/>
  <c r="L952" i="8"/>
  <c r="K952" i="8"/>
  <c r="I952" i="8"/>
  <c r="L951" i="8"/>
  <c r="K951" i="8"/>
  <c r="I951" i="8"/>
  <c r="L950" i="8"/>
  <c r="K950" i="8"/>
  <c r="I950" i="8"/>
  <c r="L949" i="8"/>
  <c r="K949" i="8"/>
  <c r="I949" i="8"/>
  <c r="L948" i="8"/>
  <c r="K948" i="8"/>
  <c r="I948" i="8"/>
  <c r="L947" i="8"/>
  <c r="K947" i="8"/>
  <c r="I947" i="8"/>
  <c r="L946" i="8"/>
  <c r="K946" i="8"/>
  <c r="I946" i="8"/>
  <c r="L945" i="8"/>
  <c r="K945" i="8"/>
  <c r="I945" i="8"/>
  <c r="L944" i="8"/>
  <c r="K944" i="8"/>
  <c r="I944" i="8"/>
  <c r="L943" i="8"/>
  <c r="K943" i="8"/>
  <c r="I943" i="8"/>
  <c r="L942" i="8"/>
  <c r="K942" i="8"/>
  <c r="I942" i="8"/>
  <c r="L941" i="8"/>
  <c r="K941" i="8"/>
  <c r="I941" i="8"/>
  <c r="L940" i="8"/>
  <c r="K940" i="8"/>
  <c r="I940" i="8"/>
  <c r="L939" i="8"/>
  <c r="K939" i="8"/>
  <c r="I939" i="8"/>
  <c r="L938" i="8"/>
  <c r="K938" i="8"/>
  <c r="I938" i="8"/>
  <c r="L937" i="8"/>
  <c r="K937" i="8"/>
  <c r="I937" i="8"/>
  <c r="L936" i="8"/>
  <c r="K936" i="8"/>
  <c r="I936" i="8"/>
  <c r="L935" i="8"/>
  <c r="K935" i="8"/>
  <c r="I935" i="8"/>
  <c r="L934" i="8"/>
  <c r="K934" i="8"/>
  <c r="I934" i="8"/>
  <c r="L933" i="8"/>
  <c r="K933" i="8"/>
  <c r="I933" i="8"/>
  <c r="L932" i="8"/>
  <c r="K932" i="8"/>
  <c r="I932" i="8"/>
  <c r="L931" i="8"/>
  <c r="K931" i="8"/>
  <c r="I931" i="8"/>
  <c r="L930" i="8"/>
  <c r="K930" i="8"/>
  <c r="I930" i="8"/>
  <c r="L929" i="8"/>
  <c r="K929" i="8"/>
  <c r="I929" i="8"/>
  <c r="L928" i="8"/>
  <c r="K928" i="8"/>
  <c r="I928" i="8"/>
  <c r="L927" i="8"/>
  <c r="K927" i="8"/>
  <c r="I927" i="8"/>
  <c r="L926" i="8"/>
  <c r="K926" i="8"/>
  <c r="I926" i="8"/>
  <c r="L925" i="8"/>
  <c r="K925" i="8"/>
  <c r="I925" i="8"/>
  <c r="L924" i="8"/>
  <c r="K924" i="8"/>
  <c r="I924" i="8"/>
  <c r="L923" i="8"/>
  <c r="K923" i="8"/>
  <c r="I923" i="8"/>
  <c r="L922" i="8"/>
  <c r="K922" i="8"/>
  <c r="I922" i="8"/>
  <c r="L921" i="8"/>
  <c r="K921" i="8"/>
  <c r="I921" i="8"/>
  <c r="L920" i="8"/>
  <c r="K920" i="8"/>
  <c r="I920" i="8"/>
  <c r="L919" i="8"/>
  <c r="K919" i="8"/>
  <c r="I919" i="8"/>
  <c r="L918" i="8"/>
  <c r="K918" i="8"/>
  <c r="I918" i="8"/>
  <c r="L917" i="8"/>
  <c r="K917" i="8"/>
  <c r="I917" i="8"/>
  <c r="L916" i="8"/>
  <c r="K916" i="8"/>
  <c r="I916" i="8"/>
  <c r="L915" i="8"/>
  <c r="K915" i="8"/>
  <c r="I915" i="8"/>
  <c r="L914" i="8"/>
  <c r="K914" i="8"/>
  <c r="I914" i="8"/>
  <c r="L913" i="8"/>
  <c r="K913" i="8"/>
  <c r="I913" i="8"/>
  <c r="L912" i="8"/>
  <c r="K912" i="8"/>
  <c r="I912" i="8"/>
  <c r="L911" i="8"/>
  <c r="K911" i="8"/>
  <c r="I911" i="8"/>
  <c r="L910" i="8"/>
  <c r="K910" i="8"/>
  <c r="I910" i="8"/>
  <c r="L909" i="8"/>
  <c r="K909" i="8"/>
  <c r="I909" i="8"/>
  <c r="L908" i="8"/>
  <c r="K908" i="8"/>
  <c r="I908" i="8"/>
  <c r="L907" i="8"/>
  <c r="K907" i="8"/>
  <c r="I907" i="8"/>
  <c r="L906" i="8"/>
  <c r="K906" i="8"/>
  <c r="I906" i="8"/>
  <c r="L905" i="8"/>
  <c r="K905" i="8"/>
  <c r="I905" i="8"/>
  <c r="L904" i="8"/>
  <c r="K904" i="8"/>
  <c r="I904" i="8"/>
  <c r="L903" i="8"/>
  <c r="K903" i="8"/>
  <c r="I903" i="8"/>
  <c r="L902" i="8"/>
  <c r="K902" i="8"/>
  <c r="I902" i="8"/>
  <c r="L901" i="8"/>
  <c r="K901" i="8"/>
  <c r="I901" i="8"/>
  <c r="L900" i="8"/>
  <c r="K900" i="8"/>
  <c r="I900" i="8"/>
  <c r="L899" i="8"/>
  <c r="K899" i="8"/>
  <c r="I899" i="8"/>
  <c r="L898" i="8"/>
  <c r="K898" i="8"/>
  <c r="I898" i="8"/>
  <c r="L897" i="8"/>
  <c r="K897" i="8"/>
  <c r="I897" i="8"/>
  <c r="L896" i="8"/>
  <c r="K896" i="8"/>
  <c r="I896" i="8"/>
  <c r="L895" i="8"/>
  <c r="K895" i="8"/>
  <c r="I895" i="8"/>
  <c r="L894" i="8"/>
  <c r="K894" i="8"/>
  <c r="I894" i="8"/>
  <c r="L893" i="8"/>
  <c r="K893" i="8"/>
  <c r="I893" i="8"/>
  <c r="L892" i="8"/>
  <c r="K892" i="8"/>
  <c r="I892" i="8"/>
  <c r="L891" i="8"/>
  <c r="K891" i="8"/>
  <c r="I891" i="8"/>
  <c r="L890" i="8"/>
  <c r="K890" i="8"/>
  <c r="I890" i="8"/>
  <c r="L889" i="8"/>
  <c r="K889" i="8"/>
  <c r="I889" i="8"/>
  <c r="L888" i="8"/>
  <c r="K888" i="8"/>
  <c r="I888" i="8"/>
  <c r="L887" i="8"/>
  <c r="K887" i="8"/>
  <c r="I887" i="8"/>
  <c r="L886" i="8"/>
  <c r="K886" i="8"/>
  <c r="I886" i="8"/>
  <c r="L885" i="8"/>
  <c r="K885" i="8"/>
  <c r="I885" i="8"/>
  <c r="L884" i="8"/>
  <c r="K884" i="8"/>
  <c r="I884" i="8"/>
  <c r="L883" i="8"/>
  <c r="K883" i="8"/>
  <c r="I883" i="8"/>
  <c r="L882" i="8"/>
  <c r="K882" i="8"/>
  <c r="I882" i="8"/>
  <c r="L881" i="8"/>
  <c r="K881" i="8"/>
  <c r="I881" i="8"/>
  <c r="L880" i="8"/>
  <c r="K880" i="8"/>
  <c r="I880" i="8"/>
  <c r="L879" i="8"/>
  <c r="K879" i="8"/>
  <c r="I879" i="8"/>
  <c r="L878" i="8"/>
  <c r="K878" i="8"/>
  <c r="I878" i="8"/>
  <c r="L877" i="8"/>
  <c r="K877" i="8"/>
  <c r="I877" i="8"/>
  <c r="L876" i="8"/>
  <c r="K876" i="8"/>
  <c r="I876" i="8"/>
  <c r="L875" i="8"/>
  <c r="K875" i="8"/>
  <c r="I875" i="8"/>
  <c r="L874" i="8"/>
  <c r="K874" i="8"/>
  <c r="I874" i="8"/>
  <c r="L873" i="8"/>
  <c r="K873" i="8"/>
  <c r="I873" i="8"/>
  <c r="L872" i="8"/>
  <c r="K872" i="8"/>
  <c r="I872" i="8"/>
  <c r="L871" i="8"/>
  <c r="K871" i="8"/>
  <c r="I871" i="8"/>
  <c r="L870" i="8"/>
  <c r="K870" i="8"/>
  <c r="I870" i="8"/>
  <c r="L869" i="8"/>
  <c r="K869" i="8"/>
  <c r="I869" i="8"/>
  <c r="L868" i="8"/>
  <c r="K868" i="8"/>
  <c r="I868" i="8"/>
  <c r="L867" i="8"/>
  <c r="K867" i="8"/>
  <c r="I867" i="8"/>
  <c r="L866" i="8"/>
  <c r="K866" i="8"/>
  <c r="I866" i="8"/>
  <c r="L865" i="8"/>
  <c r="K865" i="8"/>
  <c r="I865" i="8"/>
  <c r="L864" i="8"/>
  <c r="K864" i="8"/>
  <c r="I864" i="8"/>
  <c r="L863" i="8"/>
  <c r="K863" i="8"/>
  <c r="I863" i="8"/>
  <c r="L862" i="8"/>
  <c r="K862" i="8"/>
  <c r="I862" i="8"/>
  <c r="L861" i="8"/>
  <c r="K861" i="8"/>
  <c r="I861" i="8"/>
  <c r="L860" i="8"/>
  <c r="K860" i="8"/>
  <c r="I860" i="8"/>
  <c r="L859" i="8"/>
  <c r="K859" i="8"/>
  <c r="I859" i="8"/>
  <c r="L858" i="8"/>
  <c r="K858" i="8"/>
  <c r="I858" i="8"/>
  <c r="L857" i="8"/>
  <c r="K857" i="8"/>
  <c r="I857" i="8"/>
  <c r="L856" i="8"/>
  <c r="K856" i="8"/>
  <c r="I856" i="8"/>
  <c r="L855" i="8"/>
  <c r="K855" i="8"/>
  <c r="I855" i="8"/>
  <c r="L854" i="8"/>
  <c r="K854" i="8"/>
  <c r="I854" i="8"/>
  <c r="L853" i="8"/>
  <c r="K853" i="8"/>
  <c r="I853" i="8"/>
  <c r="L852" i="8"/>
  <c r="K852" i="8"/>
  <c r="I852" i="8"/>
  <c r="L851" i="8"/>
  <c r="K851" i="8"/>
  <c r="I851" i="8"/>
  <c r="L850" i="8"/>
  <c r="K850" i="8"/>
  <c r="I850" i="8"/>
  <c r="L849" i="8"/>
  <c r="K849" i="8"/>
  <c r="I849" i="8"/>
  <c r="L848" i="8"/>
  <c r="K848" i="8"/>
  <c r="I848" i="8"/>
  <c r="L847" i="8"/>
  <c r="K847" i="8"/>
  <c r="I847" i="8"/>
  <c r="L846" i="8"/>
  <c r="K846" i="8"/>
  <c r="I846" i="8"/>
  <c r="L845" i="8"/>
  <c r="K845" i="8"/>
  <c r="I845" i="8"/>
  <c r="L844" i="8"/>
  <c r="K844" i="8"/>
  <c r="I844" i="8"/>
  <c r="L843" i="8"/>
  <c r="K843" i="8"/>
  <c r="I843" i="8"/>
  <c r="L842" i="8"/>
  <c r="K842" i="8"/>
  <c r="I842" i="8"/>
  <c r="L841" i="8"/>
  <c r="K841" i="8"/>
  <c r="I841" i="8"/>
  <c r="L840" i="8"/>
  <c r="K840" i="8"/>
  <c r="I840" i="8"/>
  <c r="L839" i="8"/>
  <c r="K839" i="8"/>
  <c r="I839" i="8"/>
  <c r="L838" i="8"/>
  <c r="K838" i="8"/>
  <c r="I838" i="8"/>
  <c r="L837" i="8"/>
  <c r="K837" i="8"/>
  <c r="I837" i="8"/>
  <c r="L836" i="8"/>
  <c r="K836" i="8"/>
  <c r="I836" i="8"/>
  <c r="L835" i="8"/>
  <c r="K835" i="8"/>
  <c r="I835" i="8"/>
  <c r="L834" i="8"/>
  <c r="K834" i="8"/>
  <c r="I834" i="8"/>
  <c r="L833" i="8"/>
  <c r="K833" i="8"/>
  <c r="I833" i="8"/>
  <c r="L832" i="8"/>
  <c r="K832" i="8"/>
  <c r="I832" i="8"/>
  <c r="L831" i="8"/>
  <c r="K831" i="8"/>
  <c r="I831" i="8"/>
  <c r="L830" i="8"/>
  <c r="K830" i="8"/>
  <c r="I830" i="8"/>
  <c r="L829" i="8"/>
  <c r="K829" i="8"/>
  <c r="I829" i="8"/>
  <c r="L828" i="8"/>
  <c r="K828" i="8"/>
  <c r="I828" i="8"/>
  <c r="L827" i="8"/>
  <c r="K827" i="8"/>
  <c r="I827" i="8"/>
  <c r="L826" i="8"/>
  <c r="K826" i="8"/>
  <c r="I826" i="8"/>
  <c r="L825" i="8"/>
  <c r="K825" i="8"/>
  <c r="I825" i="8"/>
  <c r="L824" i="8"/>
  <c r="K824" i="8"/>
  <c r="I824" i="8"/>
  <c r="L823" i="8"/>
  <c r="K823" i="8"/>
  <c r="I823" i="8"/>
  <c r="L822" i="8"/>
  <c r="K822" i="8"/>
  <c r="I822" i="8"/>
  <c r="L821" i="8"/>
  <c r="K821" i="8"/>
  <c r="I821" i="8"/>
  <c r="L820" i="8"/>
  <c r="K820" i="8"/>
  <c r="I820" i="8"/>
  <c r="L819" i="8"/>
  <c r="K819" i="8"/>
  <c r="I819" i="8"/>
  <c r="L818" i="8"/>
  <c r="K818" i="8"/>
  <c r="I818" i="8"/>
  <c r="L817" i="8"/>
  <c r="K817" i="8"/>
  <c r="I817" i="8"/>
  <c r="L816" i="8"/>
  <c r="K816" i="8"/>
  <c r="I816" i="8"/>
  <c r="L815" i="8"/>
  <c r="K815" i="8"/>
  <c r="I815" i="8"/>
  <c r="L814" i="8"/>
  <c r="K814" i="8"/>
  <c r="I814" i="8"/>
  <c r="L813" i="8"/>
  <c r="K813" i="8"/>
  <c r="I813" i="8"/>
  <c r="L812" i="8"/>
  <c r="K812" i="8"/>
  <c r="I812" i="8"/>
  <c r="L811" i="8"/>
  <c r="K811" i="8"/>
  <c r="I811" i="8"/>
  <c r="L810" i="8"/>
  <c r="K810" i="8"/>
  <c r="I810" i="8"/>
  <c r="L809" i="8"/>
  <c r="K809" i="8"/>
  <c r="I809" i="8"/>
  <c r="L808" i="8"/>
  <c r="K808" i="8"/>
  <c r="I808" i="8"/>
  <c r="L807" i="8"/>
  <c r="K807" i="8"/>
  <c r="I807" i="8"/>
  <c r="L806" i="8"/>
  <c r="K806" i="8"/>
  <c r="I806" i="8"/>
  <c r="L805" i="8"/>
  <c r="K805" i="8"/>
  <c r="I805" i="8"/>
  <c r="L804" i="8"/>
  <c r="K804" i="8"/>
  <c r="I804" i="8"/>
  <c r="L803" i="8"/>
  <c r="K803" i="8"/>
  <c r="I803" i="8"/>
  <c r="L802" i="8"/>
  <c r="K802" i="8"/>
  <c r="I802" i="8"/>
  <c r="L801" i="8"/>
  <c r="K801" i="8"/>
  <c r="I801" i="8"/>
  <c r="L800" i="8"/>
  <c r="K800" i="8"/>
  <c r="I800" i="8"/>
  <c r="L799" i="8"/>
  <c r="K799" i="8"/>
  <c r="I799" i="8"/>
  <c r="L798" i="8"/>
  <c r="K798" i="8"/>
  <c r="I798" i="8"/>
  <c r="L797" i="8"/>
  <c r="K797" i="8"/>
  <c r="I797" i="8"/>
  <c r="L796" i="8"/>
  <c r="K796" i="8"/>
  <c r="I796" i="8"/>
  <c r="L795" i="8"/>
  <c r="K795" i="8"/>
  <c r="I795" i="8"/>
  <c r="L794" i="8"/>
  <c r="K794" i="8"/>
  <c r="I794" i="8"/>
  <c r="L793" i="8"/>
  <c r="K793" i="8"/>
  <c r="I793" i="8"/>
  <c r="L792" i="8"/>
  <c r="K792" i="8"/>
  <c r="I792" i="8"/>
  <c r="L791" i="8"/>
  <c r="K791" i="8"/>
  <c r="I791" i="8"/>
  <c r="L790" i="8"/>
  <c r="K790" i="8"/>
  <c r="I790" i="8"/>
  <c r="L789" i="8"/>
  <c r="K789" i="8"/>
  <c r="I789" i="8"/>
  <c r="L788" i="8"/>
  <c r="K788" i="8"/>
  <c r="I788" i="8"/>
  <c r="L787" i="8"/>
  <c r="K787" i="8"/>
  <c r="I787" i="8"/>
  <c r="L786" i="8"/>
  <c r="K786" i="8"/>
  <c r="I786" i="8"/>
  <c r="L785" i="8"/>
  <c r="K785" i="8"/>
  <c r="I785" i="8"/>
  <c r="L784" i="8"/>
  <c r="K784" i="8"/>
  <c r="I784" i="8"/>
  <c r="L783" i="8"/>
  <c r="K783" i="8"/>
  <c r="I783" i="8"/>
  <c r="L782" i="8"/>
  <c r="K782" i="8"/>
  <c r="I782" i="8"/>
  <c r="L781" i="8"/>
  <c r="K781" i="8"/>
  <c r="I781" i="8"/>
  <c r="L780" i="8"/>
  <c r="K780" i="8"/>
  <c r="I780" i="8"/>
  <c r="L779" i="8"/>
  <c r="K779" i="8"/>
  <c r="I779" i="8"/>
  <c r="L778" i="8"/>
  <c r="K778" i="8"/>
  <c r="I778" i="8"/>
  <c r="L777" i="8"/>
  <c r="K777" i="8"/>
  <c r="I777" i="8"/>
  <c r="L776" i="8"/>
  <c r="K776" i="8"/>
  <c r="I776" i="8"/>
  <c r="L775" i="8"/>
  <c r="K775" i="8"/>
  <c r="I775" i="8"/>
  <c r="L774" i="8"/>
  <c r="K774" i="8"/>
  <c r="I774" i="8"/>
  <c r="L773" i="8"/>
  <c r="K773" i="8"/>
  <c r="I773" i="8"/>
  <c r="L772" i="8"/>
  <c r="K772" i="8"/>
  <c r="I772" i="8"/>
  <c r="L771" i="8"/>
  <c r="K771" i="8"/>
  <c r="I771" i="8"/>
  <c r="L770" i="8"/>
  <c r="K770" i="8"/>
  <c r="I770" i="8"/>
  <c r="L769" i="8"/>
  <c r="K769" i="8"/>
  <c r="I769" i="8"/>
  <c r="L768" i="8"/>
  <c r="K768" i="8"/>
  <c r="I768" i="8"/>
  <c r="L767" i="8"/>
  <c r="K767" i="8"/>
  <c r="I767" i="8"/>
  <c r="L766" i="8"/>
  <c r="K766" i="8"/>
  <c r="I766" i="8"/>
  <c r="L765" i="8"/>
  <c r="K765" i="8"/>
  <c r="I765" i="8"/>
  <c r="L764" i="8"/>
  <c r="K764" i="8"/>
  <c r="I764" i="8"/>
  <c r="L763" i="8"/>
  <c r="K763" i="8"/>
  <c r="I763" i="8"/>
  <c r="L762" i="8"/>
  <c r="K762" i="8"/>
  <c r="I762" i="8"/>
  <c r="L761" i="8"/>
  <c r="K761" i="8"/>
  <c r="I761" i="8"/>
  <c r="L760" i="8"/>
  <c r="K760" i="8"/>
  <c r="I760" i="8"/>
  <c r="L759" i="8"/>
  <c r="K759" i="8"/>
  <c r="I759" i="8"/>
  <c r="L758" i="8"/>
  <c r="K758" i="8"/>
  <c r="I758" i="8"/>
  <c r="L757" i="8"/>
  <c r="K757" i="8"/>
  <c r="I757" i="8"/>
  <c r="L756" i="8"/>
  <c r="K756" i="8"/>
  <c r="I756" i="8"/>
  <c r="L755" i="8"/>
  <c r="K755" i="8"/>
  <c r="I755" i="8"/>
  <c r="L754" i="8"/>
  <c r="K754" i="8"/>
  <c r="I754" i="8"/>
  <c r="L753" i="8"/>
  <c r="K753" i="8"/>
  <c r="I753" i="8"/>
  <c r="L752" i="8"/>
  <c r="K752" i="8"/>
  <c r="I752" i="8"/>
  <c r="L751" i="8"/>
  <c r="K751" i="8"/>
  <c r="I751" i="8"/>
  <c r="L750" i="8"/>
  <c r="K750" i="8"/>
  <c r="I750" i="8"/>
  <c r="L749" i="8"/>
  <c r="K749" i="8"/>
  <c r="I749" i="8"/>
  <c r="L748" i="8"/>
  <c r="K748" i="8"/>
  <c r="I748" i="8"/>
  <c r="L747" i="8"/>
  <c r="K747" i="8"/>
  <c r="I747" i="8"/>
  <c r="L746" i="8"/>
  <c r="K746" i="8"/>
  <c r="I746" i="8"/>
  <c r="L745" i="8"/>
  <c r="K745" i="8"/>
  <c r="I745" i="8"/>
  <c r="L744" i="8"/>
  <c r="K744" i="8"/>
  <c r="I744" i="8"/>
  <c r="L743" i="8"/>
  <c r="K743" i="8"/>
  <c r="I743" i="8"/>
  <c r="L742" i="8"/>
  <c r="K742" i="8"/>
  <c r="I742" i="8"/>
  <c r="L741" i="8"/>
  <c r="K741" i="8"/>
  <c r="I741" i="8"/>
  <c r="L740" i="8"/>
  <c r="K740" i="8"/>
  <c r="I740" i="8"/>
  <c r="L739" i="8"/>
  <c r="K739" i="8"/>
  <c r="I739" i="8"/>
  <c r="L738" i="8"/>
  <c r="K738" i="8"/>
  <c r="I738" i="8"/>
  <c r="L737" i="8"/>
  <c r="K737" i="8"/>
  <c r="I737" i="8"/>
  <c r="L736" i="8"/>
  <c r="K736" i="8"/>
  <c r="I736" i="8"/>
  <c r="L735" i="8"/>
  <c r="K735" i="8"/>
  <c r="I735" i="8"/>
  <c r="L734" i="8"/>
  <c r="K734" i="8"/>
  <c r="I734" i="8"/>
  <c r="L733" i="8"/>
  <c r="K733" i="8"/>
  <c r="I733" i="8"/>
  <c r="L732" i="8"/>
  <c r="K732" i="8"/>
  <c r="I732" i="8"/>
  <c r="L731" i="8"/>
  <c r="K731" i="8"/>
  <c r="I731" i="8"/>
  <c r="L730" i="8"/>
  <c r="K730" i="8"/>
  <c r="I730" i="8"/>
  <c r="L729" i="8"/>
  <c r="K729" i="8"/>
  <c r="I729" i="8"/>
  <c r="L728" i="8"/>
  <c r="K728" i="8"/>
  <c r="I728" i="8"/>
  <c r="L727" i="8"/>
  <c r="K727" i="8"/>
  <c r="I727" i="8"/>
  <c r="L726" i="8"/>
  <c r="K726" i="8"/>
  <c r="I726" i="8"/>
  <c r="L725" i="8"/>
  <c r="K725" i="8"/>
  <c r="I725" i="8"/>
  <c r="L724" i="8"/>
  <c r="K724" i="8"/>
  <c r="I724" i="8"/>
  <c r="L723" i="8"/>
  <c r="K723" i="8"/>
  <c r="I723" i="8"/>
  <c r="L722" i="8"/>
  <c r="K722" i="8"/>
  <c r="I722" i="8"/>
  <c r="L721" i="8"/>
  <c r="K721" i="8"/>
  <c r="I721" i="8"/>
  <c r="L720" i="8"/>
  <c r="K720" i="8"/>
  <c r="I720" i="8"/>
  <c r="L719" i="8"/>
  <c r="K719" i="8"/>
  <c r="I719" i="8"/>
  <c r="L718" i="8"/>
  <c r="K718" i="8"/>
  <c r="I718" i="8"/>
  <c r="L717" i="8"/>
  <c r="K717" i="8"/>
  <c r="I717" i="8"/>
  <c r="L716" i="8"/>
  <c r="K716" i="8"/>
  <c r="I716" i="8"/>
  <c r="L715" i="8"/>
  <c r="K715" i="8"/>
  <c r="I715" i="8"/>
  <c r="L714" i="8"/>
  <c r="K714" i="8"/>
  <c r="I714" i="8"/>
  <c r="L713" i="8"/>
  <c r="K713" i="8"/>
  <c r="I713" i="8"/>
  <c r="L712" i="8"/>
  <c r="K712" i="8"/>
  <c r="I712" i="8"/>
  <c r="L711" i="8"/>
  <c r="K711" i="8"/>
  <c r="I711" i="8"/>
  <c r="L710" i="8"/>
  <c r="K710" i="8"/>
  <c r="I710" i="8"/>
  <c r="L709" i="8"/>
  <c r="K709" i="8"/>
  <c r="I709" i="8"/>
  <c r="L708" i="8"/>
  <c r="K708" i="8"/>
  <c r="I708" i="8"/>
  <c r="L707" i="8"/>
  <c r="K707" i="8"/>
  <c r="I707" i="8"/>
  <c r="L706" i="8"/>
  <c r="K706" i="8"/>
  <c r="I706" i="8"/>
  <c r="L705" i="8"/>
  <c r="K705" i="8"/>
  <c r="I705" i="8"/>
  <c r="L704" i="8"/>
  <c r="K704" i="8"/>
  <c r="I704" i="8"/>
  <c r="L703" i="8"/>
  <c r="K703" i="8"/>
  <c r="I703" i="8"/>
  <c r="L702" i="8"/>
  <c r="K702" i="8"/>
  <c r="I702" i="8"/>
  <c r="L701" i="8"/>
  <c r="K701" i="8"/>
  <c r="I701" i="8"/>
  <c r="L700" i="8"/>
  <c r="K700" i="8"/>
  <c r="I700" i="8"/>
  <c r="L699" i="8"/>
  <c r="K699" i="8"/>
  <c r="I699" i="8"/>
  <c r="L698" i="8"/>
  <c r="K698" i="8"/>
  <c r="I698" i="8"/>
  <c r="L697" i="8"/>
  <c r="K697" i="8"/>
  <c r="I697" i="8"/>
  <c r="L696" i="8"/>
  <c r="K696" i="8"/>
  <c r="I696" i="8"/>
  <c r="L695" i="8"/>
  <c r="K695" i="8"/>
  <c r="I695" i="8"/>
  <c r="L694" i="8"/>
  <c r="K694" i="8"/>
  <c r="I694" i="8"/>
  <c r="L693" i="8"/>
  <c r="K693" i="8"/>
  <c r="I693" i="8"/>
  <c r="L692" i="8"/>
  <c r="K692" i="8"/>
  <c r="I692" i="8"/>
  <c r="L691" i="8"/>
  <c r="K691" i="8"/>
  <c r="I691" i="8"/>
  <c r="L690" i="8"/>
  <c r="K690" i="8"/>
  <c r="I690" i="8"/>
  <c r="L689" i="8"/>
  <c r="K689" i="8"/>
  <c r="I689" i="8"/>
  <c r="L688" i="8"/>
  <c r="K688" i="8"/>
  <c r="I688" i="8"/>
  <c r="L687" i="8"/>
  <c r="K687" i="8"/>
  <c r="I687" i="8"/>
  <c r="L686" i="8"/>
  <c r="K686" i="8"/>
  <c r="I686" i="8"/>
  <c r="L685" i="8"/>
  <c r="K685" i="8"/>
  <c r="I685" i="8"/>
  <c r="L684" i="8"/>
  <c r="K684" i="8"/>
  <c r="I684" i="8"/>
  <c r="L683" i="8"/>
  <c r="K683" i="8"/>
  <c r="I683" i="8"/>
  <c r="L682" i="8"/>
  <c r="K682" i="8"/>
  <c r="I682" i="8"/>
  <c r="L681" i="8"/>
  <c r="K681" i="8"/>
  <c r="I681" i="8"/>
  <c r="L680" i="8"/>
  <c r="K680" i="8"/>
  <c r="I680" i="8"/>
  <c r="L679" i="8"/>
  <c r="K679" i="8"/>
  <c r="I679" i="8"/>
  <c r="L678" i="8"/>
  <c r="K678" i="8"/>
  <c r="I678" i="8"/>
  <c r="L677" i="8"/>
  <c r="K677" i="8"/>
  <c r="I677" i="8"/>
  <c r="L676" i="8"/>
  <c r="K676" i="8"/>
  <c r="I676" i="8"/>
  <c r="L675" i="8"/>
  <c r="K675" i="8"/>
  <c r="I675" i="8"/>
  <c r="L674" i="8"/>
  <c r="K674" i="8"/>
  <c r="I674" i="8"/>
  <c r="L673" i="8"/>
  <c r="K673" i="8"/>
  <c r="I673" i="8"/>
  <c r="L672" i="8"/>
  <c r="K672" i="8"/>
  <c r="I672" i="8"/>
  <c r="L671" i="8"/>
  <c r="K671" i="8"/>
  <c r="I671" i="8"/>
  <c r="L670" i="8"/>
  <c r="K670" i="8"/>
  <c r="I670" i="8"/>
  <c r="L669" i="8"/>
  <c r="K669" i="8"/>
  <c r="I669" i="8"/>
  <c r="L668" i="8"/>
  <c r="K668" i="8"/>
  <c r="I668" i="8"/>
  <c r="L667" i="8"/>
  <c r="K667" i="8"/>
  <c r="I667" i="8"/>
  <c r="L666" i="8"/>
  <c r="K666" i="8"/>
  <c r="I666" i="8"/>
  <c r="L665" i="8"/>
  <c r="K665" i="8"/>
  <c r="I665" i="8"/>
  <c r="L664" i="8"/>
  <c r="K664" i="8"/>
  <c r="I664" i="8"/>
  <c r="L663" i="8"/>
  <c r="K663" i="8"/>
  <c r="I663" i="8"/>
  <c r="L662" i="8"/>
  <c r="K662" i="8"/>
  <c r="I662" i="8"/>
  <c r="L661" i="8"/>
  <c r="K661" i="8"/>
  <c r="I661" i="8"/>
  <c r="L660" i="8"/>
  <c r="K660" i="8"/>
  <c r="I660" i="8"/>
  <c r="L659" i="8"/>
  <c r="K659" i="8"/>
  <c r="I659" i="8"/>
  <c r="L658" i="8"/>
  <c r="K658" i="8"/>
  <c r="I658" i="8"/>
  <c r="L657" i="8"/>
  <c r="K657" i="8"/>
  <c r="I657" i="8"/>
  <c r="L656" i="8"/>
  <c r="K656" i="8"/>
  <c r="I656" i="8"/>
  <c r="L655" i="8"/>
  <c r="K655" i="8"/>
  <c r="I655" i="8"/>
  <c r="L654" i="8"/>
  <c r="K654" i="8"/>
  <c r="I654" i="8"/>
  <c r="L653" i="8"/>
  <c r="K653" i="8"/>
  <c r="I653" i="8"/>
  <c r="L652" i="8"/>
  <c r="K652" i="8"/>
  <c r="I652" i="8"/>
  <c r="L651" i="8"/>
  <c r="K651" i="8"/>
  <c r="I651" i="8"/>
  <c r="L650" i="8"/>
  <c r="K650" i="8"/>
  <c r="I650" i="8"/>
  <c r="L649" i="8"/>
  <c r="K649" i="8"/>
  <c r="I649" i="8"/>
  <c r="L648" i="8"/>
  <c r="K648" i="8"/>
  <c r="I648" i="8"/>
  <c r="L647" i="8"/>
  <c r="K647" i="8"/>
  <c r="I647" i="8"/>
  <c r="L646" i="8"/>
  <c r="K646" i="8"/>
  <c r="I646" i="8"/>
  <c r="L645" i="8"/>
  <c r="K645" i="8"/>
  <c r="I645" i="8"/>
  <c r="L644" i="8"/>
  <c r="K644" i="8"/>
  <c r="I644" i="8"/>
  <c r="L643" i="8"/>
  <c r="K643" i="8"/>
  <c r="I643" i="8"/>
  <c r="L642" i="8"/>
  <c r="K642" i="8"/>
  <c r="I642" i="8"/>
  <c r="L641" i="8"/>
  <c r="K641" i="8"/>
  <c r="I641" i="8"/>
  <c r="L640" i="8"/>
  <c r="K640" i="8"/>
  <c r="I640" i="8"/>
  <c r="L639" i="8"/>
  <c r="K639" i="8"/>
  <c r="I639" i="8"/>
  <c r="L638" i="8"/>
  <c r="K638" i="8"/>
  <c r="I638" i="8"/>
  <c r="L637" i="8"/>
  <c r="K637" i="8"/>
  <c r="I637" i="8"/>
  <c r="L636" i="8"/>
  <c r="K636" i="8"/>
  <c r="I636" i="8"/>
  <c r="L635" i="8"/>
  <c r="K635" i="8"/>
  <c r="I635" i="8"/>
  <c r="L634" i="8"/>
  <c r="K634" i="8"/>
  <c r="I634" i="8"/>
  <c r="L633" i="8"/>
  <c r="K633" i="8"/>
  <c r="I633" i="8"/>
  <c r="L632" i="8"/>
  <c r="K632" i="8"/>
  <c r="I632" i="8"/>
  <c r="L631" i="8"/>
  <c r="K631" i="8"/>
  <c r="I631" i="8"/>
  <c r="L630" i="8"/>
  <c r="K630" i="8"/>
  <c r="I630" i="8"/>
  <c r="L629" i="8"/>
  <c r="K629" i="8"/>
  <c r="I629" i="8"/>
  <c r="L628" i="8"/>
  <c r="K628" i="8"/>
  <c r="I628" i="8"/>
  <c r="L627" i="8"/>
  <c r="K627" i="8"/>
  <c r="I627" i="8"/>
  <c r="L626" i="8"/>
  <c r="K626" i="8"/>
  <c r="I626" i="8"/>
  <c r="L625" i="8"/>
  <c r="K625" i="8"/>
  <c r="I625" i="8"/>
  <c r="L624" i="8"/>
  <c r="K624" i="8"/>
  <c r="I624" i="8"/>
  <c r="L623" i="8"/>
  <c r="K623" i="8"/>
  <c r="I623" i="8"/>
  <c r="L622" i="8"/>
  <c r="K622" i="8"/>
  <c r="I622" i="8"/>
  <c r="L621" i="8"/>
  <c r="K621" i="8"/>
  <c r="I621" i="8"/>
  <c r="L620" i="8"/>
  <c r="K620" i="8"/>
  <c r="I620" i="8"/>
  <c r="L619" i="8"/>
  <c r="K619" i="8"/>
  <c r="I619" i="8"/>
  <c r="L618" i="8"/>
  <c r="K618" i="8"/>
  <c r="I618" i="8"/>
  <c r="L617" i="8"/>
  <c r="K617" i="8"/>
  <c r="I617" i="8"/>
  <c r="L616" i="8"/>
  <c r="K616" i="8"/>
  <c r="I616" i="8"/>
  <c r="L615" i="8"/>
  <c r="K615" i="8"/>
  <c r="I615" i="8"/>
  <c r="L614" i="8"/>
  <c r="K614" i="8"/>
  <c r="I614" i="8"/>
  <c r="L613" i="8"/>
  <c r="K613" i="8"/>
  <c r="I613" i="8"/>
  <c r="L612" i="8"/>
  <c r="K612" i="8"/>
  <c r="I612" i="8"/>
  <c r="L611" i="8"/>
  <c r="K611" i="8"/>
  <c r="I611" i="8"/>
  <c r="L610" i="8"/>
  <c r="K610" i="8"/>
  <c r="I610" i="8"/>
  <c r="L609" i="8"/>
  <c r="K609" i="8"/>
  <c r="I609" i="8"/>
  <c r="L608" i="8"/>
  <c r="K608" i="8"/>
  <c r="I608" i="8"/>
  <c r="L607" i="8"/>
  <c r="K607" i="8"/>
  <c r="I607" i="8"/>
  <c r="L606" i="8"/>
  <c r="K606" i="8"/>
  <c r="I606" i="8"/>
  <c r="L605" i="8"/>
  <c r="K605" i="8"/>
  <c r="I605" i="8"/>
  <c r="L604" i="8"/>
  <c r="K604" i="8"/>
  <c r="I604" i="8"/>
  <c r="L603" i="8"/>
  <c r="K603" i="8"/>
  <c r="I603" i="8"/>
  <c r="L602" i="8"/>
  <c r="K602" i="8"/>
  <c r="I602" i="8"/>
  <c r="L601" i="8"/>
  <c r="K601" i="8"/>
  <c r="I601" i="8"/>
  <c r="L600" i="8"/>
  <c r="K600" i="8"/>
  <c r="I600" i="8"/>
  <c r="L599" i="8"/>
  <c r="K599" i="8"/>
  <c r="I599" i="8"/>
  <c r="L598" i="8"/>
  <c r="K598" i="8"/>
  <c r="I598" i="8"/>
  <c r="L597" i="8"/>
  <c r="K597" i="8"/>
  <c r="I597" i="8"/>
  <c r="L596" i="8"/>
  <c r="K596" i="8"/>
  <c r="I596" i="8"/>
  <c r="L595" i="8"/>
  <c r="K595" i="8"/>
  <c r="I595" i="8"/>
  <c r="L594" i="8"/>
  <c r="K594" i="8"/>
  <c r="I594" i="8"/>
  <c r="L593" i="8"/>
  <c r="K593" i="8"/>
  <c r="I593" i="8"/>
  <c r="L592" i="8"/>
  <c r="K592" i="8"/>
  <c r="I592" i="8"/>
  <c r="L591" i="8"/>
  <c r="K591" i="8"/>
  <c r="I591" i="8"/>
  <c r="L590" i="8"/>
  <c r="K590" i="8"/>
  <c r="I590" i="8"/>
  <c r="L589" i="8"/>
  <c r="K589" i="8"/>
  <c r="I589" i="8"/>
  <c r="L588" i="8"/>
  <c r="K588" i="8"/>
  <c r="I588" i="8"/>
  <c r="L587" i="8"/>
  <c r="K587" i="8"/>
  <c r="I587" i="8"/>
  <c r="L586" i="8"/>
  <c r="K586" i="8"/>
  <c r="I586" i="8"/>
  <c r="L585" i="8"/>
  <c r="K585" i="8"/>
  <c r="I585" i="8"/>
  <c r="L584" i="8"/>
  <c r="K584" i="8"/>
  <c r="I584" i="8"/>
  <c r="L583" i="8"/>
  <c r="K583" i="8"/>
  <c r="I583" i="8"/>
  <c r="L582" i="8"/>
  <c r="K582" i="8"/>
  <c r="I582" i="8"/>
  <c r="L581" i="8"/>
  <c r="K581" i="8"/>
  <c r="I581" i="8"/>
  <c r="L580" i="8"/>
  <c r="K580" i="8"/>
  <c r="I580" i="8"/>
  <c r="L579" i="8"/>
  <c r="K579" i="8"/>
  <c r="I579" i="8"/>
  <c r="L578" i="8"/>
  <c r="K578" i="8"/>
  <c r="I578" i="8"/>
  <c r="L577" i="8"/>
  <c r="K577" i="8"/>
  <c r="I577" i="8"/>
  <c r="L576" i="8"/>
  <c r="K576" i="8"/>
  <c r="I576" i="8"/>
  <c r="L575" i="8"/>
  <c r="K575" i="8"/>
  <c r="I575" i="8"/>
  <c r="L574" i="8"/>
  <c r="K574" i="8"/>
  <c r="I574" i="8"/>
  <c r="L573" i="8"/>
  <c r="K573" i="8"/>
  <c r="I573" i="8"/>
  <c r="L572" i="8"/>
  <c r="K572" i="8"/>
  <c r="I572" i="8"/>
  <c r="L571" i="8"/>
  <c r="K571" i="8"/>
  <c r="I571" i="8"/>
  <c r="L570" i="8"/>
  <c r="K570" i="8"/>
  <c r="I570" i="8"/>
  <c r="L569" i="8"/>
  <c r="K569" i="8"/>
  <c r="I569" i="8"/>
  <c r="L568" i="8"/>
  <c r="K568" i="8"/>
  <c r="I568" i="8"/>
  <c r="L567" i="8"/>
  <c r="K567" i="8"/>
  <c r="I567" i="8"/>
  <c r="L566" i="8"/>
  <c r="K566" i="8"/>
  <c r="I566" i="8"/>
  <c r="L565" i="8"/>
  <c r="K565" i="8"/>
  <c r="I565" i="8"/>
  <c r="L564" i="8"/>
  <c r="K564" i="8"/>
  <c r="I564" i="8"/>
  <c r="L563" i="8"/>
  <c r="K563" i="8"/>
  <c r="I563" i="8"/>
  <c r="L562" i="8"/>
  <c r="K562" i="8"/>
  <c r="I562" i="8"/>
  <c r="L561" i="8"/>
  <c r="K561" i="8"/>
  <c r="I561" i="8"/>
  <c r="L560" i="8"/>
  <c r="K560" i="8"/>
  <c r="I560" i="8"/>
  <c r="L559" i="8"/>
  <c r="K559" i="8"/>
  <c r="I559" i="8"/>
  <c r="L558" i="8"/>
  <c r="K558" i="8"/>
  <c r="I558" i="8"/>
  <c r="L557" i="8"/>
  <c r="K557" i="8"/>
  <c r="I557" i="8"/>
  <c r="L556" i="8"/>
  <c r="K556" i="8"/>
  <c r="I556" i="8"/>
  <c r="L555" i="8"/>
  <c r="K555" i="8"/>
  <c r="I555" i="8"/>
  <c r="L554" i="8"/>
  <c r="K554" i="8"/>
  <c r="I554" i="8"/>
  <c r="L553" i="8"/>
  <c r="K553" i="8"/>
  <c r="I553" i="8"/>
  <c r="L552" i="8"/>
  <c r="K552" i="8"/>
  <c r="I552" i="8"/>
  <c r="L551" i="8"/>
  <c r="K551" i="8"/>
  <c r="I551" i="8"/>
  <c r="L550" i="8"/>
  <c r="K550" i="8"/>
  <c r="I550" i="8"/>
  <c r="L549" i="8"/>
  <c r="K549" i="8"/>
  <c r="I549" i="8"/>
  <c r="L548" i="8"/>
  <c r="K548" i="8"/>
  <c r="I548" i="8"/>
  <c r="L547" i="8"/>
  <c r="K547" i="8"/>
  <c r="I547" i="8"/>
  <c r="L546" i="8"/>
  <c r="K546" i="8"/>
  <c r="I546" i="8"/>
  <c r="L545" i="8"/>
  <c r="K545" i="8"/>
  <c r="I545" i="8"/>
  <c r="L544" i="8"/>
  <c r="K544" i="8"/>
  <c r="I544" i="8"/>
  <c r="L543" i="8"/>
  <c r="K543" i="8"/>
  <c r="I543" i="8"/>
  <c r="L542" i="8"/>
  <c r="K542" i="8"/>
  <c r="I542" i="8"/>
  <c r="L541" i="8"/>
  <c r="K541" i="8"/>
  <c r="I541" i="8"/>
  <c r="L540" i="8"/>
  <c r="K540" i="8"/>
  <c r="I540" i="8"/>
  <c r="L539" i="8"/>
  <c r="K539" i="8"/>
  <c r="I539" i="8"/>
  <c r="L538" i="8"/>
  <c r="K538" i="8"/>
  <c r="I538" i="8"/>
  <c r="L537" i="8"/>
  <c r="K537" i="8"/>
  <c r="I537" i="8"/>
  <c r="L536" i="8"/>
  <c r="K536" i="8"/>
  <c r="I536" i="8"/>
  <c r="L535" i="8"/>
  <c r="K535" i="8"/>
  <c r="I535" i="8"/>
  <c r="L534" i="8"/>
  <c r="K534" i="8"/>
  <c r="I534" i="8"/>
  <c r="L533" i="8"/>
  <c r="K533" i="8"/>
  <c r="I533" i="8"/>
  <c r="L532" i="8"/>
  <c r="K532" i="8"/>
  <c r="I532" i="8"/>
  <c r="L531" i="8"/>
  <c r="K531" i="8"/>
  <c r="I531" i="8"/>
  <c r="L530" i="8"/>
  <c r="K530" i="8"/>
  <c r="I530" i="8"/>
  <c r="L529" i="8"/>
  <c r="K529" i="8"/>
  <c r="I529" i="8"/>
  <c r="L528" i="8"/>
  <c r="K528" i="8"/>
  <c r="I528" i="8"/>
  <c r="L527" i="8"/>
  <c r="K527" i="8"/>
  <c r="I527" i="8"/>
  <c r="L526" i="8"/>
  <c r="K526" i="8"/>
  <c r="I526" i="8"/>
  <c r="L525" i="8"/>
  <c r="K525" i="8"/>
  <c r="I525" i="8"/>
  <c r="L524" i="8"/>
  <c r="K524" i="8"/>
  <c r="I524" i="8"/>
  <c r="L523" i="8"/>
  <c r="K523" i="8"/>
  <c r="I523" i="8"/>
  <c r="L522" i="8"/>
  <c r="K522" i="8"/>
  <c r="I522" i="8"/>
  <c r="L521" i="8"/>
  <c r="K521" i="8"/>
  <c r="I521" i="8"/>
  <c r="L520" i="8"/>
  <c r="K520" i="8"/>
  <c r="I520" i="8"/>
  <c r="L519" i="8"/>
  <c r="K519" i="8"/>
  <c r="I519" i="8"/>
  <c r="L518" i="8"/>
  <c r="K518" i="8"/>
  <c r="I518" i="8"/>
  <c r="L517" i="8"/>
  <c r="K517" i="8"/>
  <c r="I517" i="8"/>
  <c r="L516" i="8"/>
  <c r="K516" i="8"/>
  <c r="I516" i="8"/>
  <c r="L515" i="8"/>
  <c r="K515" i="8"/>
  <c r="I515" i="8"/>
  <c r="L514" i="8"/>
  <c r="K514" i="8"/>
  <c r="I514" i="8"/>
  <c r="L513" i="8"/>
  <c r="K513" i="8"/>
  <c r="I513" i="8"/>
  <c r="L512" i="8"/>
  <c r="K512" i="8"/>
  <c r="I512" i="8"/>
  <c r="L511" i="8"/>
  <c r="K511" i="8"/>
  <c r="I511" i="8"/>
  <c r="L510" i="8"/>
  <c r="K510" i="8"/>
  <c r="I510" i="8"/>
  <c r="L509" i="8"/>
  <c r="K509" i="8"/>
  <c r="I509" i="8"/>
  <c r="L508" i="8"/>
  <c r="K508" i="8"/>
  <c r="I508" i="8"/>
  <c r="L507" i="8"/>
  <c r="K507" i="8"/>
  <c r="I507" i="8"/>
  <c r="L506" i="8"/>
  <c r="K506" i="8"/>
  <c r="I506" i="8"/>
  <c r="L505" i="8"/>
  <c r="K505" i="8"/>
  <c r="I505" i="8"/>
  <c r="L504" i="8"/>
  <c r="K504" i="8"/>
  <c r="I504" i="8"/>
  <c r="L503" i="8"/>
  <c r="K503" i="8"/>
  <c r="I503" i="8"/>
  <c r="L502" i="8"/>
  <c r="K502" i="8"/>
  <c r="I502" i="8"/>
  <c r="L501" i="8"/>
  <c r="K501" i="8"/>
  <c r="I501" i="8"/>
  <c r="L500" i="8"/>
  <c r="K500" i="8"/>
  <c r="I500" i="8"/>
  <c r="L499" i="8"/>
  <c r="K499" i="8"/>
  <c r="I499" i="8"/>
  <c r="L498" i="8"/>
  <c r="K498" i="8"/>
  <c r="I498" i="8"/>
  <c r="L497" i="8"/>
  <c r="K497" i="8"/>
  <c r="I497" i="8"/>
  <c r="L496" i="8"/>
  <c r="K496" i="8"/>
  <c r="I496" i="8"/>
  <c r="L495" i="8"/>
  <c r="K495" i="8"/>
  <c r="I495" i="8"/>
  <c r="L494" i="8"/>
  <c r="K494" i="8"/>
  <c r="I494" i="8"/>
  <c r="L493" i="8"/>
  <c r="K493" i="8"/>
  <c r="I493" i="8"/>
  <c r="L492" i="8"/>
  <c r="K492" i="8"/>
  <c r="I492" i="8"/>
  <c r="L491" i="8"/>
  <c r="K491" i="8"/>
  <c r="I491" i="8"/>
  <c r="L490" i="8"/>
  <c r="K490" i="8"/>
  <c r="I490" i="8"/>
  <c r="L489" i="8"/>
  <c r="K489" i="8"/>
  <c r="I489" i="8"/>
  <c r="L488" i="8"/>
  <c r="K488" i="8"/>
  <c r="I488" i="8"/>
  <c r="L487" i="8"/>
  <c r="K487" i="8"/>
  <c r="I487" i="8"/>
  <c r="L486" i="8"/>
  <c r="K486" i="8"/>
  <c r="I486" i="8"/>
  <c r="L485" i="8"/>
  <c r="K485" i="8"/>
  <c r="I485" i="8"/>
  <c r="L484" i="8"/>
  <c r="K484" i="8"/>
  <c r="I484" i="8"/>
  <c r="L483" i="8"/>
  <c r="K483" i="8"/>
  <c r="I483" i="8"/>
  <c r="L482" i="8"/>
  <c r="K482" i="8"/>
  <c r="I482" i="8"/>
  <c r="L481" i="8"/>
  <c r="K481" i="8"/>
  <c r="I481" i="8"/>
  <c r="L480" i="8"/>
  <c r="K480" i="8"/>
  <c r="I480" i="8"/>
  <c r="L479" i="8"/>
  <c r="K479" i="8"/>
  <c r="I479" i="8"/>
  <c r="L478" i="8"/>
  <c r="K478" i="8"/>
  <c r="I478" i="8"/>
  <c r="L477" i="8"/>
  <c r="K477" i="8"/>
  <c r="I477" i="8"/>
  <c r="L476" i="8"/>
  <c r="K476" i="8"/>
  <c r="I476" i="8"/>
  <c r="L475" i="8"/>
  <c r="K475" i="8"/>
  <c r="I475" i="8"/>
  <c r="L474" i="8"/>
  <c r="K474" i="8"/>
  <c r="I474" i="8"/>
  <c r="L473" i="8"/>
  <c r="K473" i="8"/>
  <c r="I473" i="8"/>
  <c r="L472" i="8"/>
  <c r="K472" i="8"/>
  <c r="I472" i="8"/>
  <c r="L471" i="8"/>
  <c r="K471" i="8"/>
  <c r="I471" i="8"/>
  <c r="L470" i="8"/>
  <c r="K470" i="8"/>
  <c r="I470" i="8"/>
  <c r="L469" i="8"/>
  <c r="K469" i="8"/>
  <c r="I469" i="8"/>
  <c r="L468" i="8"/>
  <c r="K468" i="8"/>
  <c r="I468" i="8"/>
  <c r="L467" i="8"/>
  <c r="K467" i="8"/>
  <c r="I467" i="8"/>
  <c r="L466" i="8"/>
  <c r="K466" i="8"/>
  <c r="I466" i="8"/>
  <c r="L465" i="8"/>
  <c r="K465" i="8"/>
  <c r="I465" i="8"/>
  <c r="L464" i="8"/>
  <c r="K464" i="8"/>
  <c r="I464" i="8"/>
  <c r="L463" i="8"/>
  <c r="K463" i="8"/>
  <c r="I463" i="8"/>
  <c r="L462" i="8"/>
  <c r="K462" i="8"/>
  <c r="I462" i="8"/>
  <c r="L461" i="8"/>
  <c r="K461" i="8"/>
  <c r="I461" i="8"/>
  <c r="L460" i="8"/>
  <c r="K460" i="8"/>
  <c r="I460" i="8"/>
  <c r="L459" i="8"/>
  <c r="K459" i="8"/>
  <c r="I459" i="8"/>
  <c r="L458" i="8"/>
  <c r="K458" i="8"/>
  <c r="I458" i="8"/>
  <c r="L457" i="8"/>
  <c r="K457" i="8"/>
  <c r="I457" i="8"/>
  <c r="L456" i="8"/>
  <c r="K456" i="8"/>
  <c r="I456" i="8"/>
  <c r="L455" i="8"/>
  <c r="K455" i="8"/>
  <c r="I455" i="8"/>
  <c r="L454" i="8"/>
  <c r="K454" i="8"/>
  <c r="I454" i="8"/>
  <c r="L453" i="8"/>
  <c r="K453" i="8"/>
  <c r="I453" i="8"/>
  <c r="L452" i="8"/>
  <c r="K452" i="8"/>
  <c r="I452" i="8"/>
  <c r="L451" i="8"/>
  <c r="K451" i="8"/>
  <c r="I451" i="8"/>
  <c r="L450" i="8"/>
  <c r="K450" i="8"/>
  <c r="I450" i="8"/>
  <c r="L449" i="8"/>
  <c r="K449" i="8"/>
  <c r="I449" i="8"/>
  <c r="L448" i="8"/>
  <c r="K448" i="8"/>
  <c r="I448" i="8"/>
  <c r="L447" i="8"/>
  <c r="K447" i="8"/>
  <c r="I447" i="8"/>
  <c r="L446" i="8"/>
  <c r="K446" i="8"/>
  <c r="I446" i="8"/>
  <c r="L445" i="8"/>
  <c r="K445" i="8"/>
  <c r="I445" i="8"/>
  <c r="L444" i="8"/>
  <c r="K444" i="8"/>
  <c r="I444" i="8"/>
  <c r="L443" i="8"/>
  <c r="K443" i="8"/>
  <c r="I443" i="8"/>
  <c r="L442" i="8"/>
  <c r="K442" i="8"/>
  <c r="I442" i="8"/>
  <c r="L441" i="8"/>
  <c r="K441" i="8"/>
  <c r="I441" i="8"/>
  <c r="L440" i="8"/>
  <c r="K440" i="8"/>
  <c r="I440" i="8"/>
  <c r="L439" i="8"/>
  <c r="K439" i="8"/>
  <c r="I439" i="8"/>
  <c r="L438" i="8"/>
  <c r="K438" i="8"/>
  <c r="I438" i="8"/>
  <c r="L437" i="8"/>
  <c r="K437" i="8"/>
  <c r="I437" i="8"/>
  <c r="L436" i="8"/>
  <c r="K436" i="8"/>
  <c r="I436" i="8"/>
  <c r="L435" i="8"/>
  <c r="K435" i="8"/>
  <c r="I435" i="8"/>
  <c r="L434" i="8"/>
  <c r="K434" i="8"/>
  <c r="I434" i="8"/>
  <c r="L433" i="8"/>
  <c r="K433" i="8"/>
  <c r="I433" i="8"/>
  <c r="L432" i="8"/>
  <c r="K432" i="8"/>
  <c r="I432" i="8"/>
  <c r="L431" i="8"/>
  <c r="K431" i="8"/>
  <c r="I431" i="8"/>
  <c r="L430" i="8"/>
  <c r="K430" i="8"/>
  <c r="I430" i="8"/>
  <c r="L429" i="8"/>
  <c r="K429" i="8"/>
  <c r="I429" i="8"/>
  <c r="L428" i="8"/>
  <c r="K428" i="8"/>
  <c r="I428" i="8"/>
  <c r="L427" i="8"/>
  <c r="K427" i="8"/>
  <c r="I427" i="8"/>
  <c r="L426" i="8"/>
  <c r="K426" i="8"/>
  <c r="I426" i="8"/>
  <c r="L425" i="8"/>
  <c r="K425" i="8"/>
  <c r="I425" i="8"/>
  <c r="L424" i="8"/>
  <c r="K424" i="8"/>
  <c r="I424" i="8"/>
  <c r="L423" i="8"/>
  <c r="K423" i="8"/>
  <c r="I423" i="8"/>
  <c r="L422" i="8"/>
  <c r="K422" i="8"/>
  <c r="I422" i="8"/>
  <c r="L421" i="8"/>
  <c r="K421" i="8"/>
  <c r="I421" i="8"/>
  <c r="L420" i="8"/>
  <c r="K420" i="8"/>
  <c r="I420" i="8"/>
  <c r="L419" i="8"/>
  <c r="K419" i="8"/>
  <c r="I419" i="8"/>
  <c r="L418" i="8"/>
  <c r="K418" i="8"/>
  <c r="I418" i="8"/>
  <c r="L417" i="8"/>
  <c r="K417" i="8"/>
  <c r="I417" i="8"/>
  <c r="L416" i="8"/>
  <c r="K416" i="8"/>
  <c r="I416" i="8"/>
  <c r="L415" i="8"/>
  <c r="K415" i="8"/>
  <c r="I415" i="8"/>
  <c r="L414" i="8"/>
  <c r="K414" i="8"/>
  <c r="I414" i="8"/>
  <c r="L413" i="8"/>
  <c r="K413" i="8"/>
  <c r="I413" i="8"/>
  <c r="L412" i="8"/>
  <c r="K412" i="8"/>
  <c r="I412" i="8"/>
  <c r="L411" i="8"/>
  <c r="K411" i="8"/>
  <c r="I411" i="8"/>
  <c r="L410" i="8"/>
  <c r="K410" i="8"/>
  <c r="I410" i="8"/>
  <c r="L409" i="8"/>
  <c r="K409" i="8"/>
  <c r="I409" i="8"/>
  <c r="L408" i="8"/>
  <c r="K408" i="8"/>
  <c r="I408" i="8"/>
  <c r="L407" i="8"/>
  <c r="K407" i="8"/>
  <c r="I407" i="8"/>
  <c r="L406" i="8"/>
  <c r="K406" i="8"/>
  <c r="I406" i="8"/>
  <c r="L405" i="8"/>
  <c r="K405" i="8"/>
  <c r="I405" i="8"/>
  <c r="L404" i="8"/>
  <c r="K404" i="8"/>
  <c r="I404" i="8"/>
  <c r="L403" i="8"/>
  <c r="K403" i="8"/>
  <c r="I403" i="8"/>
  <c r="L402" i="8"/>
  <c r="K402" i="8"/>
  <c r="I402" i="8"/>
  <c r="L401" i="8"/>
  <c r="K401" i="8"/>
  <c r="I401" i="8"/>
  <c r="L400" i="8"/>
  <c r="K400" i="8"/>
  <c r="I400" i="8"/>
  <c r="L399" i="8"/>
  <c r="K399" i="8"/>
  <c r="I399" i="8"/>
  <c r="L398" i="8"/>
  <c r="K398" i="8"/>
  <c r="I398" i="8"/>
  <c r="L397" i="8"/>
  <c r="K397" i="8"/>
  <c r="I397" i="8"/>
  <c r="L396" i="8"/>
  <c r="K396" i="8"/>
  <c r="I396" i="8"/>
  <c r="L395" i="8"/>
  <c r="K395" i="8"/>
  <c r="I395" i="8"/>
  <c r="L394" i="8"/>
  <c r="K394" i="8"/>
  <c r="I394" i="8"/>
  <c r="L393" i="8"/>
  <c r="K393" i="8"/>
  <c r="I393" i="8"/>
  <c r="L392" i="8"/>
  <c r="K392" i="8"/>
  <c r="I392" i="8"/>
  <c r="L391" i="8"/>
  <c r="K391" i="8"/>
  <c r="I391" i="8"/>
  <c r="L390" i="8"/>
  <c r="K390" i="8"/>
  <c r="I390" i="8"/>
  <c r="L389" i="8"/>
  <c r="K389" i="8"/>
  <c r="I389" i="8"/>
  <c r="L388" i="8"/>
  <c r="K388" i="8"/>
  <c r="I388" i="8"/>
  <c r="L387" i="8"/>
  <c r="K387" i="8"/>
  <c r="I387" i="8"/>
  <c r="L386" i="8"/>
  <c r="K386" i="8"/>
  <c r="I386" i="8"/>
  <c r="L385" i="8"/>
  <c r="K385" i="8"/>
  <c r="I385" i="8"/>
  <c r="L384" i="8"/>
  <c r="K384" i="8"/>
  <c r="I384" i="8"/>
  <c r="L383" i="8"/>
  <c r="K383" i="8"/>
  <c r="I383" i="8"/>
  <c r="L382" i="8"/>
  <c r="K382" i="8"/>
  <c r="I382" i="8"/>
  <c r="L381" i="8"/>
  <c r="K381" i="8"/>
  <c r="I381" i="8"/>
  <c r="L380" i="8"/>
  <c r="K380" i="8"/>
  <c r="I380" i="8"/>
  <c r="L379" i="8"/>
  <c r="K379" i="8"/>
  <c r="I379" i="8"/>
  <c r="L378" i="8"/>
  <c r="K378" i="8"/>
  <c r="I378" i="8"/>
  <c r="L377" i="8"/>
  <c r="K377" i="8"/>
  <c r="I377" i="8"/>
  <c r="L376" i="8"/>
  <c r="K376" i="8"/>
  <c r="I376" i="8"/>
  <c r="L375" i="8"/>
  <c r="K375" i="8"/>
  <c r="I375" i="8"/>
  <c r="L374" i="8"/>
  <c r="K374" i="8"/>
  <c r="I374" i="8"/>
  <c r="L373" i="8"/>
  <c r="K373" i="8"/>
  <c r="I373" i="8"/>
  <c r="L372" i="8"/>
  <c r="K372" i="8"/>
  <c r="I372" i="8"/>
  <c r="L371" i="8"/>
  <c r="K371" i="8"/>
  <c r="I371" i="8"/>
  <c r="L370" i="8"/>
  <c r="K370" i="8"/>
  <c r="I370" i="8"/>
  <c r="L369" i="8"/>
  <c r="K369" i="8"/>
  <c r="I369" i="8"/>
  <c r="L368" i="8"/>
  <c r="K368" i="8"/>
  <c r="I368" i="8"/>
  <c r="L367" i="8"/>
  <c r="K367" i="8"/>
  <c r="I367" i="8"/>
  <c r="L366" i="8"/>
  <c r="K366" i="8"/>
  <c r="I366" i="8"/>
  <c r="L365" i="8"/>
  <c r="K365" i="8"/>
  <c r="I365" i="8"/>
  <c r="L364" i="8"/>
  <c r="K364" i="8"/>
  <c r="I364" i="8"/>
  <c r="L363" i="8"/>
  <c r="K363" i="8"/>
  <c r="I363" i="8"/>
  <c r="L362" i="8"/>
  <c r="K362" i="8"/>
  <c r="I362" i="8"/>
  <c r="L361" i="8"/>
  <c r="K361" i="8"/>
  <c r="I361" i="8"/>
  <c r="L360" i="8"/>
  <c r="K360" i="8"/>
  <c r="I360" i="8"/>
  <c r="L359" i="8"/>
  <c r="K359" i="8"/>
  <c r="I359" i="8"/>
  <c r="L358" i="8"/>
  <c r="K358" i="8"/>
  <c r="I358" i="8"/>
  <c r="L357" i="8"/>
  <c r="K357" i="8"/>
  <c r="I357" i="8"/>
  <c r="L356" i="8"/>
  <c r="K356" i="8"/>
  <c r="I356" i="8"/>
  <c r="L355" i="8"/>
  <c r="K355" i="8"/>
  <c r="I355" i="8"/>
  <c r="L354" i="8"/>
  <c r="K354" i="8"/>
  <c r="I354" i="8"/>
  <c r="L353" i="8"/>
  <c r="K353" i="8"/>
  <c r="I353" i="8"/>
  <c r="L352" i="8"/>
  <c r="K352" i="8"/>
  <c r="I352" i="8"/>
  <c r="L351" i="8"/>
  <c r="K351" i="8"/>
  <c r="I351" i="8"/>
  <c r="L350" i="8"/>
  <c r="K350" i="8"/>
  <c r="I350" i="8"/>
  <c r="L349" i="8"/>
  <c r="K349" i="8"/>
  <c r="I349" i="8"/>
  <c r="L348" i="8"/>
  <c r="K348" i="8"/>
  <c r="I348" i="8"/>
  <c r="L347" i="8"/>
  <c r="K347" i="8"/>
  <c r="I347" i="8"/>
  <c r="L346" i="8"/>
  <c r="K346" i="8"/>
  <c r="I346" i="8"/>
  <c r="L345" i="8"/>
  <c r="K345" i="8"/>
  <c r="I345" i="8"/>
  <c r="L344" i="8"/>
  <c r="K344" i="8"/>
  <c r="I344" i="8"/>
  <c r="L343" i="8"/>
  <c r="K343" i="8"/>
  <c r="I343" i="8"/>
  <c r="L342" i="8"/>
  <c r="K342" i="8"/>
  <c r="I342" i="8"/>
  <c r="L341" i="8"/>
  <c r="K341" i="8"/>
  <c r="I341" i="8"/>
  <c r="L340" i="8"/>
  <c r="K340" i="8"/>
  <c r="I340" i="8"/>
  <c r="L339" i="8"/>
  <c r="K339" i="8"/>
  <c r="I339" i="8"/>
  <c r="L338" i="8"/>
  <c r="K338" i="8"/>
  <c r="I338" i="8"/>
  <c r="L337" i="8"/>
  <c r="K337" i="8"/>
  <c r="I337" i="8"/>
  <c r="L336" i="8"/>
  <c r="K336" i="8"/>
  <c r="I336" i="8"/>
  <c r="L335" i="8"/>
  <c r="K335" i="8"/>
  <c r="I335" i="8"/>
  <c r="L334" i="8"/>
  <c r="K334" i="8"/>
  <c r="I334" i="8"/>
  <c r="L333" i="8"/>
  <c r="K333" i="8"/>
  <c r="I333" i="8"/>
  <c r="L332" i="8"/>
  <c r="K332" i="8"/>
  <c r="I332" i="8"/>
  <c r="L331" i="8"/>
  <c r="K331" i="8"/>
  <c r="I331" i="8"/>
  <c r="L330" i="8"/>
  <c r="K330" i="8"/>
  <c r="I330" i="8"/>
  <c r="L329" i="8"/>
  <c r="K329" i="8"/>
  <c r="I329" i="8"/>
  <c r="L328" i="8"/>
  <c r="K328" i="8"/>
  <c r="I328" i="8"/>
  <c r="L327" i="8"/>
  <c r="K327" i="8"/>
  <c r="I327" i="8"/>
  <c r="L326" i="8"/>
  <c r="K326" i="8"/>
  <c r="I326" i="8"/>
  <c r="L325" i="8"/>
  <c r="K325" i="8"/>
  <c r="I325" i="8"/>
  <c r="L324" i="8"/>
  <c r="K324" i="8"/>
  <c r="I324" i="8"/>
  <c r="L323" i="8"/>
  <c r="K323" i="8"/>
  <c r="I323" i="8"/>
  <c r="L322" i="8"/>
  <c r="K322" i="8"/>
  <c r="I322" i="8"/>
  <c r="L321" i="8"/>
  <c r="K321" i="8"/>
  <c r="I321" i="8"/>
  <c r="L320" i="8"/>
  <c r="K320" i="8"/>
  <c r="I320" i="8"/>
  <c r="L319" i="8"/>
  <c r="K319" i="8"/>
  <c r="I319" i="8"/>
  <c r="L318" i="8"/>
  <c r="K318" i="8"/>
  <c r="I318" i="8"/>
  <c r="L317" i="8"/>
  <c r="K317" i="8"/>
  <c r="I317" i="8"/>
  <c r="L316" i="8"/>
  <c r="K316" i="8"/>
  <c r="I316" i="8"/>
  <c r="L315" i="8"/>
  <c r="K315" i="8"/>
  <c r="I315" i="8"/>
  <c r="L314" i="8"/>
  <c r="K314" i="8"/>
  <c r="I314" i="8"/>
  <c r="L313" i="8"/>
  <c r="K313" i="8"/>
  <c r="I313" i="8"/>
  <c r="L312" i="8"/>
  <c r="K312" i="8"/>
  <c r="I312" i="8"/>
  <c r="L311" i="8"/>
  <c r="K311" i="8"/>
  <c r="I311" i="8"/>
  <c r="L310" i="8"/>
  <c r="K310" i="8"/>
  <c r="I310" i="8"/>
  <c r="L309" i="8"/>
  <c r="K309" i="8"/>
  <c r="I309" i="8"/>
  <c r="L308" i="8"/>
  <c r="K308" i="8"/>
  <c r="I308" i="8"/>
  <c r="L307" i="8"/>
  <c r="K307" i="8"/>
  <c r="I307" i="8"/>
  <c r="L306" i="8"/>
  <c r="K306" i="8"/>
  <c r="I306" i="8"/>
  <c r="L305" i="8"/>
  <c r="K305" i="8"/>
  <c r="I305" i="8"/>
  <c r="L304" i="8"/>
  <c r="K304" i="8"/>
  <c r="I304" i="8"/>
  <c r="L303" i="8"/>
  <c r="K303" i="8"/>
  <c r="I303" i="8"/>
  <c r="L302" i="8"/>
  <c r="K302" i="8"/>
  <c r="I302" i="8"/>
  <c r="L301" i="8"/>
  <c r="K301" i="8"/>
  <c r="I301" i="8"/>
  <c r="L300" i="8"/>
  <c r="K300" i="8"/>
  <c r="I300" i="8"/>
  <c r="L299" i="8"/>
  <c r="K299" i="8"/>
  <c r="I299" i="8"/>
  <c r="L298" i="8"/>
  <c r="K298" i="8"/>
  <c r="I298" i="8"/>
  <c r="L297" i="8"/>
  <c r="K297" i="8"/>
  <c r="I297" i="8"/>
  <c r="L296" i="8"/>
  <c r="K296" i="8"/>
  <c r="I296" i="8"/>
  <c r="L295" i="8"/>
  <c r="K295" i="8"/>
  <c r="I295" i="8"/>
  <c r="L294" i="8"/>
  <c r="K294" i="8"/>
  <c r="I294" i="8"/>
  <c r="L293" i="8"/>
  <c r="K293" i="8"/>
  <c r="I293" i="8"/>
  <c r="L292" i="8"/>
  <c r="K292" i="8"/>
  <c r="I292" i="8"/>
  <c r="L291" i="8"/>
  <c r="K291" i="8"/>
  <c r="I291" i="8"/>
  <c r="L290" i="8"/>
  <c r="K290" i="8"/>
  <c r="I290" i="8"/>
  <c r="L289" i="8"/>
  <c r="K289" i="8"/>
  <c r="I289" i="8"/>
  <c r="L288" i="8"/>
  <c r="K288" i="8"/>
  <c r="I288" i="8"/>
  <c r="L287" i="8"/>
  <c r="K287" i="8"/>
  <c r="I287" i="8"/>
  <c r="L286" i="8"/>
  <c r="K286" i="8"/>
  <c r="I286" i="8"/>
  <c r="L285" i="8"/>
  <c r="K285" i="8"/>
  <c r="I285" i="8"/>
  <c r="L284" i="8"/>
  <c r="K284" i="8"/>
  <c r="I284" i="8"/>
  <c r="L283" i="8"/>
  <c r="K283" i="8"/>
  <c r="I283" i="8"/>
  <c r="L282" i="8"/>
  <c r="K282" i="8"/>
  <c r="I282" i="8"/>
  <c r="L281" i="8"/>
  <c r="K281" i="8"/>
  <c r="I281" i="8"/>
  <c r="L280" i="8"/>
  <c r="K280" i="8"/>
  <c r="I280" i="8"/>
  <c r="L279" i="8"/>
  <c r="K279" i="8"/>
  <c r="I279" i="8"/>
  <c r="L278" i="8"/>
  <c r="K278" i="8"/>
  <c r="I278" i="8"/>
  <c r="L277" i="8"/>
  <c r="K277" i="8"/>
  <c r="I277" i="8"/>
  <c r="L276" i="8"/>
  <c r="K276" i="8"/>
  <c r="I276" i="8"/>
  <c r="L275" i="8"/>
  <c r="K275" i="8"/>
  <c r="I275" i="8"/>
  <c r="L274" i="8"/>
  <c r="K274" i="8"/>
  <c r="I274" i="8"/>
  <c r="L273" i="8"/>
  <c r="K273" i="8"/>
  <c r="I273" i="8"/>
  <c r="L272" i="8"/>
  <c r="K272" i="8"/>
  <c r="I272" i="8"/>
  <c r="L271" i="8"/>
  <c r="K271" i="8"/>
  <c r="I271" i="8"/>
  <c r="L270" i="8"/>
  <c r="K270" i="8"/>
  <c r="I270" i="8"/>
  <c r="L269" i="8"/>
  <c r="K269" i="8"/>
  <c r="I269" i="8"/>
  <c r="L268" i="8"/>
  <c r="K268" i="8"/>
  <c r="I268" i="8"/>
  <c r="L267" i="8"/>
  <c r="K267" i="8"/>
  <c r="I267" i="8"/>
  <c r="L266" i="8"/>
  <c r="K266" i="8"/>
  <c r="I266" i="8"/>
  <c r="L265" i="8"/>
  <c r="K265" i="8"/>
  <c r="I265" i="8"/>
  <c r="L264" i="8"/>
  <c r="K264" i="8"/>
  <c r="I264" i="8"/>
  <c r="L263" i="8"/>
  <c r="K263" i="8"/>
  <c r="I263" i="8"/>
  <c r="L262" i="8"/>
  <c r="K262" i="8"/>
  <c r="I262" i="8"/>
  <c r="L261" i="8"/>
  <c r="K261" i="8"/>
  <c r="I261" i="8"/>
  <c r="L260" i="8"/>
  <c r="K260" i="8"/>
  <c r="I260" i="8"/>
  <c r="L259" i="8"/>
  <c r="K259" i="8"/>
  <c r="I259" i="8"/>
  <c r="L258" i="8"/>
  <c r="K258" i="8"/>
  <c r="I258" i="8"/>
  <c r="L257" i="8"/>
  <c r="K257" i="8"/>
  <c r="I257" i="8"/>
  <c r="L256" i="8"/>
  <c r="K256" i="8"/>
  <c r="I256" i="8"/>
  <c r="L255" i="8"/>
  <c r="K255" i="8"/>
  <c r="I255" i="8"/>
  <c r="L254" i="8"/>
  <c r="K254" i="8"/>
  <c r="I254" i="8"/>
  <c r="L253" i="8"/>
  <c r="K253" i="8"/>
  <c r="I253" i="8"/>
  <c r="L252" i="8"/>
  <c r="K252" i="8"/>
  <c r="I252" i="8"/>
  <c r="L251" i="8"/>
  <c r="K251" i="8"/>
  <c r="I251" i="8"/>
  <c r="L250" i="8"/>
  <c r="K250" i="8"/>
  <c r="I250" i="8"/>
  <c r="L249" i="8"/>
  <c r="K249" i="8"/>
  <c r="I249" i="8"/>
  <c r="L248" i="8"/>
  <c r="K248" i="8"/>
  <c r="I248" i="8"/>
  <c r="L247" i="8"/>
  <c r="K247" i="8"/>
  <c r="I247" i="8"/>
  <c r="L246" i="8"/>
  <c r="K246" i="8"/>
  <c r="I246" i="8"/>
  <c r="L245" i="8"/>
  <c r="K245" i="8"/>
  <c r="I245" i="8"/>
  <c r="L244" i="8"/>
  <c r="K244" i="8"/>
  <c r="I244" i="8"/>
  <c r="L243" i="8"/>
  <c r="K243" i="8"/>
  <c r="I243" i="8"/>
  <c r="L242" i="8"/>
  <c r="K242" i="8"/>
  <c r="I242" i="8"/>
  <c r="L241" i="8"/>
  <c r="K241" i="8"/>
  <c r="I241" i="8"/>
  <c r="L240" i="8"/>
  <c r="K240" i="8"/>
  <c r="I240" i="8"/>
  <c r="L239" i="8"/>
  <c r="K239" i="8"/>
  <c r="I239" i="8"/>
  <c r="L238" i="8"/>
  <c r="K238" i="8"/>
  <c r="I238" i="8"/>
  <c r="L237" i="8"/>
  <c r="K237" i="8"/>
  <c r="I237" i="8"/>
  <c r="L236" i="8"/>
  <c r="K236" i="8"/>
  <c r="I236" i="8"/>
  <c r="L235" i="8"/>
  <c r="K235" i="8"/>
  <c r="I235" i="8"/>
  <c r="L234" i="8"/>
  <c r="K234" i="8"/>
  <c r="I234" i="8"/>
  <c r="L233" i="8"/>
  <c r="K233" i="8"/>
  <c r="I233" i="8"/>
  <c r="L232" i="8"/>
  <c r="K232" i="8"/>
  <c r="I232" i="8"/>
  <c r="L231" i="8"/>
  <c r="K231" i="8"/>
  <c r="I231" i="8"/>
  <c r="L230" i="8"/>
  <c r="K230" i="8"/>
  <c r="I230" i="8"/>
  <c r="L229" i="8"/>
  <c r="K229" i="8"/>
  <c r="I229" i="8"/>
  <c r="L228" i="8"/>
  <c r="K228" i="8"/>
  <c r="I228" i="8"/>
  <c r="L227" i="8"/>
  <c r="K227" i="8"/>
  <c r="I227" i="8"/>
  <c r="L226" i="8"/>
  <c r="K226" i="8"/>
  <c r="I226" i="8"/>
  <c r="L225" i="8"/>
  <c r="K225" i="8"/>
  <c r="I225" i="8"/>
  <c r="L224" i="8"/>
  <c r="K224" i="8"/>
  <c r="I224" i="8"/>
  <c r="L223" i="8"/>
  <c r="K223" i="8"/>
  <c r="I223" i="8"/>
  <c r="L222" i="8"/>
  <c r="K222" i="8"/>
  <c r="I222" i="8"/>
  <c r="L221" i="8"/>
  <c r="K221" i="8"/>
  <c r="I221" i="8"/>
  <c r="L220" i="8"/>
  <c r="K220" i="8"/>
  <c r="I220" i="8"/>
  <c r="L219" i="8"/>
  <c r="K219" i="8"/>
  <c r="I219" i="8"/>
  <c r="L218" i="8"/>
  <c r="K218" i="8"/>
  <c r="I218" i="8"/>
  <c r="L217" i="8"/>
  <c r="K217" i="8"/>
  <c r="I217" i="8"/>
  <c r="L216" i="8"/>
  <c r="K216" i="8"/>
  <c r="I216" i="8"/>
  <c r="L215" i="8"/>
  <c r="K215" i="8"/>
  <c r="I215" i="8"/>
  <c r="L214" i="8"/>
  <c r="K214" i="8"/>
  <c r="I214" i="8"/>
  <c r="L213" i="8"/>
  <c r="K213" i="8"/>
  <c r="I213" i="8"/>
  <c r="L212" i="8"/>
  <c r="K212" i="8"/>
  <c r="I212" i="8"/>
  <c r="L211" i="8"/>
  <c r="K211" i="8"/>
  <c r="I211" i="8"/>
  <c r="L210" i="8"/>
  <c r="K210" i="8"/>
  <c r="I210" i="8"/>
  <c r="L209" i="8"/>
  <c r="K209" i="8"/>
  <c r="I209" i="8"/>
  <c r="L208" i="8"/>
  <c r="K208" i="8"/>
  <c r="I208" i="8"/>
  <c r="L207" i="8"/>
  <c r="K207" i="8"/>
  <c r="I207" i="8"/>
  <c r="L206" i="8"/>
  <c r="K206" i="8"/>
  <c r="I206" i="8"/>
  <c r="L205" i="8"/>
  <c r="K205" i="8"/>
  <c r="I205" i="8"/>
  <c r="L204" i="8"/>
  <c r="K204" i="8"/>
  <c r="I204" i="8"/>
  <c r="L203" i="8"/>
  <c r="K203" i="8"/>
  <c r="I203" i="8"/>
  <c r="L202" i="8"/>
  <c r="K202" i="8"/>
  <c r="I202" i="8"/>
  <c r="L201" i="8"/>
  <c r="K201" i="8"/>
  <c r="I201" i="8"/>
  <c r="L200" i="8"/>
  <c r="K200" i="8"/>
  <c r="I200" i="8"/>
  <c r="L199" i="8"/>
  <c r="K199" i="8"/>
  <c r="I199" i="8"/>
  <c r="L198" i="8"/>
  <c r="K198" i="8"/>
  <c r="I198" i="8"/>
  <c r="L197" i="8"/>
  <c r="K197" i="8"/>
  <c r="I197" i="8"/>
  <c r="L196" i="8"/>
  <c r="K196" i="8"/>
  <c r="I196" i="8"/>
  <c r="L195" i="8"/>
  <c r="K195" i="8"/>
  <c r="I195" i="8"/>
  <c r="L194" i="8"/>
  <c r="K194" i="8"/>
  <c r="I194" i="8"/>
  <c r="L193" i="8"/>
  <c r="K193" i="8"/>
  <c r="I193" i="8"/>
  <c r="L192" i="8"/>
  <c r="K192" i="8"/>
  <c r="I192" i="8"/>
  <c r="L191" i="8"/>
  <c r="K191" i="8"/>
  <c r="I191" i="8"/>
  <c r="L190" i="8"/>
  <c r="K190" i="8"/>
  <c r="I190" i="8"/>
  <c r="L189" i="8"/>
  <c r="K189" i="8"/>
  <c r="I189" i="8"/>
  <c r="L188" i="8"/>
  <c r="K188" i="8"/>
  <c r="I188" i="8"/>
  <c r="L187" i="8"/>
  <c r="K187" i="8"/>
  <c r="I187" i="8"/>
  <c r="L186" i="8"/>
  <c r="K186" i="8"/>
  <c r="I186" i="8"/>
  <c r="L185" i="8"/>
  <c r="K185" i="8"/>
  <c r="I185" i="8"/>
  <c r="L184" i="8"/>
  <c r="K184" i="8"/>
  <c r="I184" i="8"/>
  <c r="L183" i="8"/>
  <c r="K183" i="8"/>
  <c r="I183" i="8"/>
  <c r="L182" i="8"/>
  <c r="K182" i="8"/>
  <c r="I182" i="8"/>
  <c r="L181" i="8"/>
  <c r="K181" i="8"/>
  <c r="I181" i="8"/>
  <c r="L180" i="8"/>
  <c r="K180" i="8"/>
  <c r="I180" i="8"/>
  <c r="L179" i="8"/>
  <c r="K179" i="8"/>
  <c r="I179" i="8"/>
  <c r="L178" i="8"/>
  <c r="K178" i="8"/>
  <c r="I178" i="8"/>
  <c r="L177" i="8"/>
  <c r="K177" i="8"/>
  <c r="I177" i="8"/>
  <c r="L176" i="8"/>
  <c r="K176" i="8"/>
  <c r="I176" i="8"/>
  <c r="L175" i="8"/>
  <c r="K175" i="8"/>
  <c r="I175" i="8"/>
  <c r="L174" i="8"/>
  <c r="K174" i="8"/>
  <c r="I174" i="8"/>
  <c r="L173" i="8"/>
  <c r="K173" i="8"/>
  <c r="I173" i="8"/>
  <c r="L172" i="8"/>
  <c r="K172" i="8"/>
  <c r="I172" i="8"/>
  <c r="L171" i="8"/>
  <c r="K171" i="8"/>
  <c r="I171" i="8"/>
  <c r="L170" i="8"/>
  <c r="K170" i="8"/>
  <c r="I170" i="8"/>
  <c r="L169" i="8"/>
  <c r="K169" i="8"/>
  <c r="I169" i="8"/>
  <c r="L168" i="8"/>
  <c r="K168" i="8"/>
  <c r="I168" i="8"/>
  <c r="L167" i="8"/>
  <c r="K167" i="8"/>
  <c r="I167" i="8"/>
  <c r="L166" i="8"/>
  <c r="K166" i="8"/>
  <c r="I166" i="8"/>
  <c r="L165" i="8"/>
  <c r="K165" i="8"/>
  <c r="I165" i="8"/>
  <c r="L164" i="8"/>
  <c r="K164" i="8"/>
  <c r="I164" i="8"/>
  <c r="L163" i="8"/>
  <c r="K163" i="8"/>
  <c r="I163" i="8"/>
  <c r="L162" i="8"/>
  <c r="K162" i="8"/>
  <c r="I162" i="8"/>
  <c r="L161" i="8"/>
  <c r="K161" i="8"/>
  <c r="I161" i="8"/>
  <c r="L160" i="8"/>
  <c r="K160" i="8"/>
  <c r="I160" i="8"/>
  <c r="L159" i="8"/>
  <c r="K159" i="8"/>
  <c r="I159" i="8"/>
  <c r="L158" i="8"/>
  <c r="K158" i="8"/>
  <c r="I158" i="8"/>
  <c r="L157" i="8"/>
  <c r="K157" i="8"/>
  <c r="I157" i="8"/>
  <c r="L156" i="8"/>
  <c r="K156" i="8"/>
  <c r="L155" i="8"/>
  <c r="K155" i="8"/>
  <c r="L154" i="8"/>
  <c r="K154" i="8"/>
  <c r="L153" i="8"/>
  <c r="K153" i="8"/>
  <c r="L152" i="8"/>
  <c r="K152" i="8"/>
  <c r="L151" i="8"/>
  <c r="K151" i="8"/>
  <c r="L150" i="8"/>
  <c r="K150" i="8"/>
  <c r="L149" i="8"/>
  <c r="K149" i="8"/>
  <c r="L148" i="8"/>
  <c r="K148" i="8"/>
  <c r="L147" i="8"/>
  <c r="K147" i="8"/>
  <c r="L146" i="8"/>
  <c r="K146" i="8"/>
  <c r="L145" i="8"/>
  <c r="K145" i="8"/>
  <c r="L144" i="8"/>
  <c r="K144" i="8"/>
  <c r="L143" i="8"/>
  <c r="K143" i="8"/>
  <c r="L142" i="8"/>
  <c r="K142" i="8"/>
  <c r="L141" i="8"/>
  <c r="K141" i="8"/>
  <c r="L140" i="8"/>
  <c r="K140" i="8"/>
  <c r="L139" i="8"/>
  <c r="K139" i="8"/>
  <c r="L138" i="8"/>
  <c r="K138" i="8"/>
  <c r="L137" i="8"/>
  <c r="K137" i="8"/>
  <c r="L136" i="8"/>
  <c r="K136" i="8"/>
  <c r="L135" i="8"/>
  <c r="K135" i="8"/>
  <c r="L134" i="8"/>
  <c r="K134" i="8"/>
  <c r="L133" i="8"/>
  <c r="K133" i="8"/>
  <c r="L132" i="8"/>
  <c r="K132" i="8"/>
  <c r="L131" i="8"/>
  <c r="K131" i="8"/>
  <c r="L130" i="8"/>
  <c r="K130" i="8"/>
  <c r="L129" i="8"/>
  <c r="K129" i="8"/>
  <c r="L128" i="8"/>
  <c r="K128" i="8"/>
  <c r="L127" i="8"/>
  <c r="K127" i="8"/>
  <c r="L126" i="8"/>
  <c r="K126" i="8"/>
  <c r="L125" i="8"/>
  <c r="K125" i="8"/>
  <c r="L124" i="8"/>
  <c r="K124" i="8"/>
  <c r="L123" i="8"/>
  <c r="K123" i="8"/>
  <c r="L122" i="8"/>
  <c r="K122" i="8"/>
  <c r="L121" i="8"/>
  <c r="K121" i="8"/>
  <c r="L120" i="8"/>
  <c r="K120" i="8"/>
  <c r="L119" i="8"/>
  <c r="K119" i="8"/>
  <c r="L118" i="8"/>
  <c r="K118" i="8"/>
  <c r="L117" i="8"/>
  <c r="K117" i="8"/>
  <c r="L116" i="8"/>
  <c r="K116" i="8"/>
  <c r="L115" i="8"/>
  <c r="K115" i="8"/>
  <c r="L114" i="8"/>
  <c r="K114" i="8"/>
  <c r="L113" i="8"/>
  <c r="K113" i="8"/>
  <c r="L112" i="8"/>
  <c r="K112" i="8"/>
  <c r="L111" i="8"/>
  <c r="K111" i="8"/>
  <c r="L110" i="8"/>
  <c r="K110" i="8"/>
  <c r="L109" i="8"/>
  <c r="K109" i="8"/>
  <c r="L108" i="8"/>
  <c r="K108" i="8"/>
  <c r="L107" i="8"/>
  <c r="K107" i="8"/>
  <c r="L106" i="8"/>
  <c r="K106" i="8"/>
  <c r="L105" i="8"/>
  <c r="K105" i="8"/>
  <c r="L104" i="8"/>
  <c r="K104" i="8"/>
  <c r="L103" i="8"/>
  <c r="K103" i="8"/>
  <c r="L102" i="8"/>
  <c r="K102" i="8"/>
  <c r="L101" i="8"/>
  <c r="K101" i="8"/>
  <c r="L100" i="8"/>
  <c r="K100" i="8"/>
  <c r="L99" i="8"/>
  <c r="K99" i="8"/>
  <c r="L98" i="8"/>
  <c r="K98" i="8"/>
  <c r="L97" i="8"/>
  <c r="K97" i="8"/>
  <c r="L96" i="8"/>
  <c r="K96" i="8"/>
  <c r="L95" i="8"/>
  <c r="K95" i="8"/>
  <c r="L94" i="8"/>
  <c r="K94" i="8"/>
  <c r="L93" i="8"/>
  <c r="K93" i="8"/>
  <c r="L92" i="8"/>
  <c r="K92" i="8"/>
  <c r="L91" i="8"/>
  <c r="K91" i="8"/>
  <c r="L90" i="8"/>
  <c r="K90" i="8"/>
  <c r="L89" i="8"/>
  <c r="K89" i="8"/>
  <c r="L88" i="8"/>
  <c r="K88" i="8"/>
  <c r="L87" i="8"/>
  <c r="K87" i="8"/>
  <c r="L86" i="8"/>
  <c r="K86" i="8"/>
  <c r="L85" i="8"/>
  <c r="K85" i="8"/>
  <c r="L84" i="8"/>
  <c r="K84" i="8"/>
  <c r="L83" i="8"/>
  <c r="K83" i="8"/>
  <c r="L82" i="8"/>
  <c r="K82" i="8"/>
  <c r="L81" i="8"/>
  <c r="K81" i="8"/>
  <c r="L80" i="8"/>
  <c r="K80" i="8"/>
  <c r="L79" i="8"/>
  <c r="K79" i="8"/>
  <c r="L78" i="8"/>
  <c r="K78" i="8"/>
  <c r="L77" i="8"/>
  <c r="K77" i="8"/>
  <c r="L76" i="8"/>
  <c r="K76" i="8"/>
  <c r="L75" i="8"/>
  <c r="K75" i="8"/>
  <c r="L74" i="8"/>
  <c r="K74" i="8"/>
  <c r="L73" i="8"/>
  <c r="K73" i="8"/>
  <c r="L72" i="8"/>
  <c r="K72" i="8"/>
  <c r="L71" i="8"/>
  <c r="K71" i="8"/>
  <c r="L70" i="8"/>
  <c r="K70" i="8"/>
  <c r="L69" i="8"/>
  <c r="K69" i="8"/>
  <c r="L68" i="8"/>
  <c r="K68" i="8"/>
  <c r="L67" i="8"/>
  <c r="K67" i="8"/>
  <c r="L66" i="8"/>
  <c r="K66" i="8"/>
  <c r="L65" i="8"/>
  <c r="K65" i="8"/>
  <c r="L64" i="8"/>
  <c r="K64" i="8"/>
  <c r="L63" i="8"/>
  <c r="K63" i="8"/>
  <c r="L62" i="8"/>
  <c r="K62" i="8"/>
  <c r="L61" i="8"/>
  <c r="K61" i="8"/>
  <c r="L60" i="8"/>
  <c r="K60" i="8"/>
  <c r="L59" i="8"/>
  <c r="K59" i="8"/>
  <c r="L58" i="8"/>
  <c r="K58" i="8"/>
  <c r="L57" i="8"/>
  <c r="K57" i="8"/>
  <c r="L56" i="8"/>
  <c r="K56" i="8"/>
  <c r="L55" i="8"/>
  <c r="K55" i="8"/>
  <c r="L54" i="8"/>
  <c r="K54" i="8"/>
  <c r="L53" i="8"/>
  <c r="K53" i="8"/>
  <c r="L52" i="8"/>
  <c r="K52" i="8"/>
  <c r="L51" i="8"/>
  <c r="K51" i="8"/>
  <c r="L50" i="8"/>
  <c r="K50" i="8"/>
  <c r="L49" i="8"/>
  <c r="K49" i="8"/>
  <c r="L48" i="8"/>
  <c r="K48" i="8"/>
  <c r="L47" i="8"/>
  <c r="K47" i="8"/>
  <c r="L46" i="8"/>
  <c r="K46" i="8"/>
  <c r="L45" i="8"/>
  <c r="K45" i="8"/>
  <c r="L44" i="8"/>
  <c r="K44" i="8"/>
  <c r="L43" i="8"/>
  <c r="K43" i="8"/>
  <c r="L42" i="8"/>
  <c r="K42" i="8"/>
  <c r="L41" i="8"/>
  <c r="K41" i="8"/>
  <c r="L40" i="8"/>
  <c r="K40" i="8"/>
  <c r="L39" i="8"/>
  <c r="K39" i="8"/>
  <c r="L38" i="8"/>
  <c r="K38" i="8"/>
  <c r="L37" i="8"/>
  <c r="K37" i="8"/>
  <c r="L36" i="8"/>
  <c r="K36" i="8"/>
  <c r="L35" i="8"/>
  <c r="K35" i="8"/>
  <c r="L34" i="8"/>
  <c r="K34" i="8"/>
  <c r="L33" i="8"/>
  <c r="K33" i="8"/>
  <c r="L32" i="8"/>
  <c r="K32" i="8"/>
  <c r="L31" i="8"/>
  <c r="K31" i="8"/>
  <c r="L30" i="8"/>
  <c r="K30" i="8"/>
  <c r="L29" i="8"/>
  <c r="K29" i="8"/>
  <c r="L28" i="8"/>
  <c r="K28" i="8"/>
  <c r="L27" i="8"/>
  <c r="K27" i="8"/>
  <c r="L26" i="8"/>
  <c r="K26" i="8"/>
  <c r="L25" i="8"/>
  <c r="K25" i="8"/>
  <c r="L24" i="8"/>
  <c r="K24" i="8"/>
  <c r="L23" i="8"/>
  <c r="K23" i="8"/>
  <c r="L22" i="8"/>
  <c r="K22" i="8"/>
  <c r="L21" i="8"/>
  <c r="K21" i="8"/>
  <c r="L20" i="8"/>
  <c r="K20" i="8"/>
  <c r="L19" i="8"/>
  <c r="K19" i="8"/>
  <c r="L18" i="8"/>
  <c r="K18" i="8"/>
  <c r="L17" i="8"/>
  <c r="K17" i="8"/>
  <c r="L16" i="8"/>
  <c r="K16" i="8"/>
  <c r="L15" i="8"/>
  <c r="K15" i="8"/>
  <c r="L14" i="8"/>
  <c r="K14" i="8"/>
  <c r="L13" i="8"/>
  <c r="K13" i="8"/>
  <c r="L12" i="8"/>
  <c r="K12" i="8"/>
  <c r="L11" i="8"/>
  <c r="K11" i="8"/>
  <c r="L10" i="8"/>
  <c r="K10" i="8"/>
  <c r="G4" i="8"/>
  <c r="D4" i="8"/>
  <c r="A4" i="8"/>
  <c r="S509" i="7"/>
  <c r="R509" i="7"/>
  <c r="N509" i="7"/>
  <c r="S508" i="7"/>
  <c r="R508" i="7"/>
  <c r="N508" i="7"/>
  <c r="S507" i="7"/>
  <c r="R507" i="7"/>
  <c r="N507" i="7"/>
  <c r="S506" i="7"/>
  <c r="R506" i="7"/>
  <c r="N506" i="7"/>
  <c r="S505" i="7"/>
  <c r="R505" i="7"/>
  <c r="N505" i="7"/>
  <c r="S504" i="7"/>
  <c r="R504" i="7"/>
  <c r="N504" i="7"/>
  <c r="S503" i="7"/>
  <c r="R503" i="7"/>
  <c r="N503" i="7"/>
  <c r="S502" i="7"/>
  <c r="R502" i="7"/>
  <c r="N502" i="7"/>
  <c r="S501" i="7"/>
  <c r="R501" i="7"/>
  <c r="N501" i="7"/>
  <c r="S500" i="7"/>
  <c r="R500" i="7"/>
  <c r="N500" i="7"/>
  <c r="S499" i="7"/>
  <c r="R499" i="7"/>
  <c r="N499" i="7"/>
  <c r="S498" i="7"/>
  <c r="R498" i="7"/>
  <c r="N498" i="7"/>
  <c r="S497" i="7"/>
  <c r="R497" i="7"/>
  <c r="N497" i="7"/>
  <c r="S496" i="7"/>
  <c r="R496" i="7"/>
  <c r="N496" i="7"/>
  <c r="S495" i="7"/>
  <c r="R495" i="7"/>
  <c r="N495" i="7"/>
  <c r="S494" i="7"/>
  <c r="R494" i="7"/>
  <c r="N494" i="7"/>
  <c r="S493" i="7"/>
  <c r="R493" i="7"/>
  <c r="N493" i="7"/>
  <c r="S492" i="7"/>
  <c r="R492" i="7"/>
  <c r="N492" i="7"/>
  <c r="S491" i="7"/>
  <c r="R491" i="7"/>
  <c r="N491" i="7"/>
  <c r="S490" i="7"/>
  <c r="R490" i="7"/>
  <c r="N490" i="7"/>
  <c r="S489" i="7"/>
  <c r="R489" i="7"/>
  <c r="N489" i="7"/>
  <c r="S488" i="7"/>
  <c r="R488" i="7"/>
  <c r="N488" i="7"/>
  <c r="S487" i="7"/>
  <c r="R487" i="7"/>
  <c r="N487" i="7"/>
  <c r="S486" i="7"/>
  <c r="R486" i="7"/>
  <c r="N486" i="7"/>
  <c r="S485" i="7"/>
  <c r="R485" i="7"/>
  <c r="N485" i="7"/>
  <c r="S484" i="7"/>
  <c r="R484" i="7"/>
  <c r="N484" i="7"/>
  <c r="S483" i="7"/>
  <c r="R483" i="7"/>
  <c r="N483" i="7"/>
  <c r="S482" i="7"/>
  <c r="R482" i="7"/>
  <c r="N482" i="7"/>
  <c r="S481" i="7"/>
  <c r="R481" i="7"/>
  <c r="N481" i="7"/>
  <c r="S480" i="7"/>
  <c r="R480" i="7"/>
  <c r="N480" i="7"/>
  <c r="S479" i="7"/>
  <c r="R479" i="7"/>
  <c r="N479" i="7"/>
  <c r="S478" i="7"/>
  <c r="R478" i="7"/>
  <c r="N478" i="7"/>
  <c r="S477" i="7"/>
  <c r="R477" i="7"/>
  <c r="N477" i="7"/>
  <c r="S476" i="7"/>
  <c r="R476" i="7"/>
  <c r="N476" i="7"/>
  <c r="S475" i="7"/>
  <c r="R475" i="7"/>
  <c r="N475" i="7"/>
  <c r="S474" i="7"/>
  <c r="R474" i="7"/>
  <c r="N474" i="7"/>
  <c r="S473" i="7"/>
  <c r="R473" i="7"/>
  <c r="N473" i="7"/>
  <c r="S472" i="7"/>
  <c r="R472" i="7"/>
  <c r="N472" i="7"/>
  <c r="S471" i="7"/>
  <c r="R471" i="7"/>
  <c r="N471" i="7"/>
  <c r="S470" i="7"/>
  <c r="R470" i="7"/>
  <c r="N470" i="7"/>
  <c r="S469" i="7"/>
  <c r="R469" i="7"/>
  <c r="N469" i="7"/>
  <c r="S468" i="7"/>
  <c r="R468" i="7"/>
  <c r="N468" i="7"/>
  <c r="S467" i="7"/>
  <c r="R467" i="7"/>
  <c r="N467" i="7"/>
  <c r="S466" i="7"/>
  <c r="R466" i="7"/>
  <c r="N466" i="7"/>
  <c r="S465" i="7"/>
  <c r="R465" i="7"/>
  <c r="N465" i="7"/>
  <c r="S464" i="7"/>
  <c r="R464" i="7"/>
  <c r="N464" i="7"/>
  <c r="S463" i="7"/>
  <c r="R463" i="7"/>
  <c r="N463" i="7"/>
  <c r="S462" i="7"/>
  <c r="R462" i="7"/>
  <c r="N462" i="7"/>
  <c r="S461" i="7"/>
  <c r="R461" i="7"/>
  <c r="N461" i="7"/>
  <c r="S460" i="7"/>
  <c r="R460" i="7"/>
  <c r="N460" i="7"/>
  <c r="S459" i="7"/>
  <c r="R459" i="7"/>
  <c r="N459" i="7"/>
  <c r="S458" i="7"/>
  <c r="R458" i="7"/>
  <c r="N458" i="7"/>
  <c r="S457" i="7"/>
  <c r="R457" i="7"/>
  <c r="N457" i="7"/>
  <c r="S456" i="7"/>
  <c r="R456" i="7"/>
  <c r="N456" i="7"/>
  <c r="S455" i="7"/>
  <c r="R455" i="7"/>
  <c r="N455" i="7"/>
  <c r="S454" i="7"/>
  <c r="R454" i="7"/>
  <c r="N454" i="7"/>
  <c r="S453" i="7"/>
  <c r="R453" i="7"/>
  <c r="N453" i="7"/>
  <c r="S452" i="7"/>
  <c r="R452" i="7"/>
  <c r="N452" i="7"/>
  <c r="S451" i="7"/>
  <c r="R451" i="7"/>
  <c r="N451" i="7"/>
  <c r="S450" i="7"/>
  <c r="R450" i="7"/>
  <c r="N450" i="7"/>
  <c r="S449" i="7"/>
  <c r="R449" i="7"/>
  <c r="N449" i="7"/>
  <c r="S448" i="7"/>
  <c r="R448" i="7"/>
  <c r="N448" i="7"/>
  <c r="S447" i="7"/>
  <c r="R447" i="7"/>
  <c r="N447" i="7"/>
  <c r="S446" i="7"/>
  <c r="R446" i="7"/>
  <c r="N446" i="7"/>
  <c r="S445" i="7"/>
  <c r="R445" i="7"/>
  <c r="N445" i="7"/>
  <c r="S444" i="7"/>
  <c r="R444" i="7"/>
  <c r="N444" i="7"/>
  <c r="S443" i="7"/>
  <c r="R443" i="7"/>
  <c r="N443" i="7"/>
  <c r="S442" i="7"/>
  <c r="R442" i="7"/>
  <c r="N442" i="7"/>
  <c r="S441" i="7"/>
  <c r="R441" i="7"/>
  <c r="N441" i="7"/>
  <c r="S440" i="7"/>
  <c r="R440" i="7"/>
  <c r="N440" i="7"/>
  <c r="S439" i="7"/>
  <c r="R439" i="7"/>
  <c r="N439" i="7"/>
  <c r="S438" i="7"/>
  <c r="R438" i="7"/>
  <c r="N438" i="7"/>
  <c r="S437" i="7"/>
  <c r="R437" i="7"/>
  <c r="N437" i="7"/>
  <c r="S436" i="7"/>
  <c r="R436" i="7"/>
  <c r="N436" i="7"/>
  <c r="S435" i="7"/>
  <c r="R435" i="7"/>
  <c r="N435" i="7"/>
  <c r="S434" i="7"/>
  <c r="R434" i="7"/>
  <c r="N434" i="7"/>
  <c r="S433" i="7"/>
  <c r="R433" i="7"/>
  <c r="N433" i="7"/>
  <c r="S432" i="7"/>
  <c r="R432" i="7"/>
  <c r="N432" i="7"/>
  <c r="S431" i="7"/>
  <c r="R431" i="7"/>
  <c r="N431" i="7"/>
  <c r="S430" i="7"/>
  <c r="R430" i="7"/>
  <c r="N430" i="7"/>
  <c r="S429" i="7"/>
  <c r="R429" i="7"/>
  <c r="N429" i="7"/>
  <c r="S428" i="7"/>
  <c r="R428" i="7"/>
  <c r="N428" i="7"/>
  <c r="S427" i="7"/>
  <c r="R427" i="7"/>
  <c r="N427" i="7"/>
  <c r="S426" i="7"/>
  <c r="R426" i="7"/>
  <c r="N426" i="7"/>
  <c r="S425" i="7"/>
  <c r="R425" i="7"/>
  <c r="N425" i="7"/>
  <c r="S424" i="7"/>
  <c r="R424" i="7"/>
  <c r="N424" i="7"/>
  <c r="S423" i="7"/>
  <c r="R423" i="7"/>
  <c r="N423" i="7"/>
  <c r="S422" i="7"/>
  <c r="R422" i="7"/>
  <c r="N422" i="7"/>
  <c r="S421" i="7"/>
  <c r="R421" i="7"/>
  <c r="N421" i="7"/>
  <c r="S420" i="7"/>
  <c r="R420" i="7"/>
  <c r="N420" i="7"/>
  <c r="S419" i="7"/>
  <c r="R419" i="7"/>
  <c r="N419" i="7"/>
  <c r="S418" i="7"/>
  <c r="R418" i="7"/>
  <c r="N418" i="7"/>
  <c r="S417" i="7"/>
  <c r="R417" i="7"/>
  <c r="N417" i="7"/>
  <c r="S416" i="7"/>
  <c r="R416" i="7"/>
  <c r="N416" i="7"/>
  <c r="S415" i="7"/>
  <c r="R415" i="7"/>
  <c r="N415" i="7"/>
  <c r="S414" i="7"/>
  <c r="R414" i="7"/>
  <c r="N414" i="7"/>
  <c r="S413" i="7"/>
  <c r="R413" i="7"/>
  <c r="N413" i="7"/>
  <c r="S412" i="7"/>
  <c r="R412" i="7"/>
  <c r="N412" i="7"/>
  <c r="S411" i="7"/>
  <c r="R411" i="7"/>
  <c r="N411" i="7"/>
  <c r="S410" i="7"/>
  <c r="R410" i="7"/>
  <c r="N410" i="7"/>
  <c r="S409" i="7"/>
  <c r="R409" i="7"/>
  <c r="N409" i="7"/>
  <c r="S408" i="7"/>
  <c r="R408" i="7"/>
  <c r="N408" i="7"/>
  <c r="S407" i="7"/>
  <c r="R407" i="7"/>
  <c r="N407" i="7"/>
  <c r="S406" i="7"/>
  <c r="R406" i="7"/>
  <c r="N406" i="7"/>
  <c r="S405" i="7"/>
  <c r="R405" i="7"/>
  <c r="N405" i="7"/>
  <c r="S404" i="7"/>
  <c r="R404" i="7"/>
  <c r="N404" i="7"/>
  <c r="S403" i="7"/>
  <c r="R403" i="7"/>
  <c r="N403" i="7"/>
  <c r="S402" i="7"/>
  <c r="R402" i="7"/>
  <c r="N402" i="7"/>
  <c r="S401" i="7"/>
  <c r="R401" i="7"/>
  <c r="N401" i="7"/>
  <c r="S400" i="7"/>
  <c r="R400" i="7"/>
  <c r="N400" i="7"/>
  <c r="S399" i="7"/>
  <c r="R399" i="7"/>
  <c r="N399" i="7"/>
  <c r="S398" i="7"/>
  <c r="R398" i="7"/>
  <c r="N398" i="7"/>
  <c r="S397" i="7"/>
  <c r="R397" i="7"/>
  <c r="N397" i="7"/>
  <c r="S396" i="7"/>
  <c r="R396" i="7"/>
  <c r="N396" i="7"/>
  <c r="S395" i="7"/>
  <c r="R395" i="7"/>
  <c r="N395" i="7"/>
  <c r="S394" i="7"/>
  <c r="R394" i="7"/>
  <c r="N394" i="7"/>
  <c r="S393" i="7"/>
  <c r="R393" i="7"/>
  <c r="N393" i="7"/>
  <c r="S392" i="7"/>
  <c r="R392" i="7"/>
  <c r="N392" i="7"/>
  <c r="S391" i="7"/>
  <c r="R391" i="7"/>
  <c r="N391" i="7"/>
  <c r="S390" i="7"/>
  <c r="R390" i="7"/>
  <c r="N390" i="7"/>
  <c r="S389" i="7"/>
  <c r="R389" i="7"/>
  <c r="N389" i="7"/>
  <c r="S388" i="7"/>
  <c r="R388" i="7"/>
  <c r="N388" i="7"/>
  <c r="S387" i="7"/>
  <c r="R387" i="7"/>
  <c r="N387" i="7"/>
  <c r="S386" i="7"/>
  <c r="R386" i="7"/>
  <c r="N386" i="7"/>
  <c r="S385" i="7"/>
  <c r="R385" i="7"/>
  <c r="N385" i="7"/>
  <c r="S384" i="7"/>
  <c r="R384" i="7"/>
  <c r="N384" i="7"/>
  <c r="S383" i="7"/>
  <c r="R383" i="7"/>
  <c r="N383" i="7"/>
  <c r="S382" i="7"/>
  <c r="R382" i="7"/>
  <c r="N382" i="7"/>
  <c r="S381" i="7"/>
  <c r="R381" i="7"/>
  <c r="N381" i="7"/>
  <c r="S380" i="7"/>
  <c r="R380" i="7"/>
  <c r="N380" i="7"/>
  <c r="S379" i="7"/>
  <c r="R379" i="7"/>
  <c r="N379" i="7"/>
  <c r="S378" i="7"/>
  <c r="R378" i="7"/>
  <c r="N378" i="7"/>
  <c r="S377" i="7"/>
  <c r="R377" i="7"/>
  <c r="N377" i="7"/>
  <c r="S376" i="7"/>
  <c r="R376" i="7"/>
  <c r="N376" i="7"/>
  <c r="S375" i="7"/>
  <c r="R375" i="7"/>
  <c r="N375" i="7"/>
  <c r="S374" i="7"/>
  <c r="R374" i="7"/>
  <c r="N374" i="7"/>
  <c r="S373" i="7"/>
  <c r="R373" i="7"/>
  <c r="N373" i="7"/>
  <c r="S372" i="7"/>
  <c r="R372" i="7"/>
  <c r="N372" i="7"/>
  <c r="S371" i="7"/>
  <c r="R371" i="7"/>
  <c r="N371" i="7"/>
  <c r="S370" i="7"/>
  <c r="R370" i="7"/>
  <c r="N370" i="7"/>
  <c r="S369" i="7"/>
  <c r="R369" i="7"/>
  <c r="N369" i="7"/>
  <c r="S368" i="7"/>
  <c r="R368" i="7"/>
  <c r="N368" i="7"/>
  <c r="S367" i="7"/>
  <c r="R367" i="7"/>
  <c r="N367" i="7"/>
  <c r="S366" i="7"/>
  <c r="R366" i="7"/>
  <c r="N366" i="7"/>
  <c r="S365" i="7"/>
  <c r="R365" i="7"/>
  <c r="N365" i="7"/>
  <c r="S364" i="7"/>
  <c r="R364" i="7"/>
  <c r="N364" i="7"/>
  <c r="S363" i="7"/>
  <c r="R363" i="7"/>
  <c r="N363" i="7"/>
  <c r="S362" i="7"/>
  <c r="R362" i="7"/>
  <c r="N362" i="7"/>
  <c r="S361" i="7"/>
  <c r="R361" i="7"/>
  <c r="N361" i="7"/>
  <c r="S360" i="7"/>
  <c r="R360" i="7"/>
  <c r="N360" i="7"/>
  <c r="S359" i="7"/>
  <c r="R359" i="7"/>
  <c r="N359" i="7"/>
  <c r="S358" i="7"/>
  <c r="R358" i="7"/>
  <c r="N358" i="7"/>
  <c r="S357" i="7"/>
  <c r="R357" i="7"/>
  <c r="N357" i="7"/>
  <c r="S356" i="7"/>
  <c r="R356" i="7"/>
  <c r="N356" i="7"/>
  <c r="S355" i="7"/>
  <c r="R355" i="7"/>
  <c r="N355" i="7"/>
  <c r="S354" i="7"/>
  <c r="R354" i="7"/>
  <c r="N354" i="7"/>
  <c r="S353" i="7"/>
  <c r="R353" i="7"/>
  <c r="N353" i="7"/>
  <c r="S352" i="7"/>
  <c r="R352" i="7"/>
  <c r="N352" i="7"/>
  <c r="S351" i="7"/>
  <c r="R351" i="7"/>
  <c r="N351" i="7"/>
  <c r="S350" i="7"/>
  <c r="R350" i="7"/>
  <c r="N350" i="7"/>
  <c r="S349" i="7"/>
  <c r="R349" i="7"/>
  <c r="N349" i="7"/>
  <c r="S348" i="7"/>
  <c r="R348" i="7"/>
  <c r="N348" i="7"/>
  <c r="S347" i="7"/>
  <c r="R347" i="7"/>
  <c r="N347" i="7"/>
  <c r="S346" i="7"/>
  <c r="R346" i="7"/>
  <c r="N346" i="7"/>
  <c r="S345" i="7"/>
  <c r="R345" i="7"/>
  <c r="N345" i="7"/>
  <c r="S344" i="7"/>
  <c r="R344" i="7"/>
  <c r="N344" i="7"/>
  <c r="S343" i="7"/>
  <c r="R343" i="7"/>
  <c r="N343" i="7"/>
  <c r="S342" i="7"/>
  <c r="R342" i="7"/>
  <c r="N342" i="7"/>
  <c r="S341" i="7"/>
  <c r="R341" i="7"/>
  <c r="N341" i="7"/>
  <c r="S340" i="7"/>
  <c r="R340" i="7"/>
  <c r="N340" i="7"/>
  <c r="S339" i="7"/>
  <c r="R339" i="7"/>
  <c r="N339" i="7"/>
  <c r="S338" i="7"/>
  <c r="R338" i="7"/>
  <c r="N338" i="7"/>
  <c r="S337" i="7"/>
  <c r="R337" i="7"/>
  <c r="N337" i="7"/>
  <c r="S336" i="7"/>
  <c r="R336" i="7"/>
  <c r="N336" i="7"/>
  <c r="S335" i="7"/>
  <c r="R335" i="7"/>
  <c r="N335" i="7"/>
  <c r="S334" i="7"/>
  <c r="R334" i="7"/>
  <c r="N334" i="7"/>
  <c r="S333" i="7"/>
  <c r="R333" i="7"/>
  <c r="N333" i="7"/>
  <c r="S332" i="7"/>
  <c r="R332" i="7"/>
  <c r="N332" i="7"/>
  <c r="S331" i="7"/>
  <c r="R331" i="7"/>
  <c r="N331" i="7"/>
  <c r="S330" i="7"/>
  <c r="R330" i="7"/>
  <c r="N330" i="7"/>
  <c r="S329" i="7"/>
  <c r="R329" i="7"/>
  <c r="N329" i="7"/>
  <c r="S328" i="7"/>
  <c r="R328" i="7"/>
  <c r="N328" i="7"/>
  <c r="S327" i="7"/>
  <c r="R327" i="7"/>
  <c r="N327" i="7"/>
  <c r="S326" i="7"/>
  <c r="R326" i="7"/>
  <c r="N326" i="7"/>
  <c r="S325" i="7"/>
  <c r="R325" i="7"/>
  <c r="N325" i="7"/>
  <c r="S324" i="7"/>
  <c r="R324" i="7"/>
  <c r="N324" i="7"/>
  <c r="S323" i="7"/>
  <c r="R323" i="7"/>
  <c r="N323" i="7"/>
  <c r="S322" i="7"/>
  <c r="R322" i="7"/>
  <c r="N322" i="7"/>
  <c r="S321" i="7"/>
  <c r="R321" i="7"/>
  <c r="N321" i="7"/>
  <c r="S320" i="7"/>
  <c r="R320" i="7"/>
  <c r="N320" i="7"/>
  <c r="S319" i="7"/>
  <c r="R319" i="7"/>
  <c r="N319" i="7"/>
  <c r="S318" i="7"/>
  <c r="R318" i="7"/>
  <c r="N318" i="7"/>
  <c r="S317" i="7"/>
  <c r="R317" i="7"/>
  <c r="N317" i="7"/>
  <c r="S316" i="7"/>
  <c r="R316" i="7"/>
  <c r="N316" i="7"/>
  <c r="S315" i="7"/>
  <c r="R315" i="7"/>
  <c r="N315" i="7"/>
  <c r="S314" i="7"/>
  <c r="R314" i="7"/>
  <c r="N314" i="7"/>
  <c r="S313" i="7"/>
  <c r="R313" i="7"/>
  <c r="N313" i="7"/>
  <c r="S312" i="7"/>
  <c r="R312" i="7"/>
  <c r="N312" i="7"/>
  <c r="S311" i="7"/>
  <c r="R311" i="7"/>
  <c r="N311" i="7"/>
  <c r="S310" i="7"/>
  <c r="R310" i="7"/>
  <c r="N310" i="7"/>
  <c r="S309" i="7"/>
  <c r="R309" i="7"/>
  <c r="N309" i="7"/>
  <c r="S308" i="7"/>
  <c r="R308" i="7"/>
  <c r="N308" i="7"/>
  <c r="S307" i="7"/>
  <c r="R307" i="7"/>
  <c r="N307" i="7"/>
  <c r="S306" i="7"/>
  <c r="R306" i="7"/>
  <c r="N306" i="7"/>
  <c r="S305" i="7"/>
  <c r="R305" i="7"/>
  <c r="N305" i="7"/>
  <c r="S304" i="7"/>
  <c r="R304" i="7"/>
  <c r="N304" i="7"/>
  <c r="S303" i="7"/>
  <c r="R303" i="7"/>
  <c r="N303" i="7"/>
  <c r="S302" i="7"/>
  <c r="R302" i="7"/>
  <c r="N302" i="7"/>
  <c r="S301" i="7"/>
  <c r="R301" i="7"/>
  <c r="N301" i="7"/>
  <c r="S300" i="7"/>
  <c r="R300" i="7"/>
  <c r="N300" i="7"/>
  <c r="S299" i="7"/>
  <c r="R299" i="7"/>
  <c r="N299" i="7"/>
  <c r="S298" i="7"/>
  <c r="R298" i="7"/>
  <c r="N298" i="7"/>
  <c r="S297" i="7"/>
  <c r="R297" i="7"/>
  <c r="N297" i="7"/>
  <c r="S296" i="7"/>
  <c r="R296" i="7"/>
  <c r="N296" i="7"/>
  <c r="S295" i="7"/>
  <c r="R295" i="7"/>
  <c r="N295" i="7"/>
  <c r="S294" i="7"/>
  <c r="R294" i="7"/>
  <c r="N294" i="7"/>
  <c r="S293" i="7"/>
  <c r="R293" i="7"/>
  <c r="N293" i="7"/>
  <c r="S292" i="7"/>
  <c r="R292" i="7"/>
  <c r="N292" i="7"/>
  <c r="S291" i="7"/>
  <c r="R291" i="7"/>
  <c r="N291" i="7"/>
  <c r="S290" i="7"/>
  <c r="R290" i="7"/>
  <c r="N290" i="7"/>
  <c r="S289" i="7"/>
  <c r="R289" i="7"/>
  <c r="N289" i="7"/>
  <c r="S288" i="7"/>
  <c r="R288" i="7"/>
  <c r="N288" i="7"/>
  <c r="S287" i="7"/>
  <c r="R287" i="7"/>
  <c r="N287" i="7"/>
  <c r="S286" i="7"/>
  <c r="R286" i="7"/>
  <c r="N286" i="7"/>
  <c r="S285" i="7"/>
  <c r="R285" i="7"/>
  <c r="N285" i="7"/>
  <c r="S284" i="7"/>
  <c r="R284" i="7"/>
  <c r="N284" i="7"/>
  <c r="S283" i="7"/>
  <c r="R283" i="7"/>
  <c r="N283" i="7"/>
  <c r="S282" i="7"/>
  <c r="R282" i="7"/>
  <c r="N282" i="7"/>
  <c r="S281" i="7"/>
  <c r="R281" i="7"/>
  <c r="N281" i="7"/>
  <c r="S280" i="7"/>
  <c r="R280" i="7"/>
  <c r="N280" i="7"/>
  <c r="S279" i="7"/>
  <c r="R279" i="7"/>
  <c r="N279" i="7"/>
  <c r="S278" i="7"/>
  <c r="R278" i="7"/>
  <c r="N278" i="7"/>
  <c r="S277" i="7"/>
  <c r="R277" i="7"/>
  <c r="N277" i="7"/>
  <c r="S276" i="7"/>
  <c r="R276" i="7"/>
  <c r="N276" i="7"/>
  <c r="S275" i="7"/>
  <c r="R275" i="7"/>
  <c r="N275" i="7"/>
  <c r="S274" i="7"/>
  <c r="R274" i="7"/>
  <c r="N274" i="7"/>
  <c r="S273" i="7"/>
  <c r="R273" i="7"/>
  <c r="N273" i="7"/>
  <c r="S272" i="7"/>
  <c r="R272" i="7"/>
  <c r="N272" i="7"/>
  <c r="S271" i="7"/>
  <c r="R271" i="7"/>
  <c r="N271" i="7"/>
  <c r="S270" i="7"/>
  <c r="R270" i="7"/>
  <c r="N270" i="7"/>
  <c r="S269" i="7"/>
  <c r="R269" i="7"/>
  <c r="N269" i="7"/>
  <c r="S268" i="7"/>
  <c r="R268" i="7"/>
  <c r="N268" i="7"/>
  <c r="S267" i="7"/>
  <c r="R267" i="7"/>
  <c r="N267" i="7"/>
  <c r="S266" i="7"/>
  <c r="R266" i="7"/>
  <c r="N266" i="7"/>
  <c r="S265" i="7"/>
  <c r="R265" i="7"/>
  <c r="N265" i="7"/>
  <c r="S264" i="7"/>
  <c r="R264" i="7"/>
  <c r="N264" i="7"/>
  <c r="S263" i="7"/>
  <c r="R263" i="7"/>
  <c r="N263" i="7"/>
  <c r="S262" i="7"/>
  <c r="R262" i="7"/>
  <c r="N262" i="7"/>
  <c r="S261" i="7"/>
  <c r="R261" i="7"/>
  <c r="N261" i="7"/>
  <c r="S260" i="7"/>
  <c r="R260" i="7"/>
  <c r="N260" i="7"/>
  <c r="S259" i="7"/>
  <c r="R259" i="7"/>
  <c r="N259" i="7"/>
  <c r="S258" i="7"/>
  <c r="R258" i="7"/>
  <c r="N258" i="7"/>
  <c r="S257" i="7"/>
  <c r="R257" i="7"/>
  <c r="N257" i="7"/>
  <c r="S256" i="7"/>
  <c r="R256" i="7"/>
  <c r="N256" i="7"/>
  <c r="S255" i="7"/>
  <c r="R255" i="7"/>
  <c r="N255" i="7"/>
  <c r="S254" i="7"/>
  <c r="R254" i="7"/>
  <c r="N254" i="7"/>
  <c r="S253" i="7"/>
  <c r="R253" i="7"/>
  <c r="N253" i="7"/>
  <c r="S252" i="7"/>
  <c r="R252" i="7"/>
  <c r="N252" i="7"/>
  <c r="S251" i="7"/>
  <c r="R251" i="7"/>
  <c r="N251" i="7"/>
  <c r="S250" i="7"/>
  <c r="R250" i="7"/>
  <c r="N250" i="7"/>
  <c r="S249" i="7"/>
  <c r="R249" i="7"/>
  <c r="N249" i="7"/>
  <c r="S248" i="7"/>
  <c r="R248" i="7"/>
  <c r="N248" i="7"/>
  <c r="S247" i="7"/>
  <c r="R247" i="7"/>
  <c r="N247" i="7"/>
  <c r="S246" i="7"/>
  <c r="R246" i="7"/>
  <c r="N246" i="7"/>
  <c r="S245" i="7"/>
  <c r="R245" i="7"/>
  <c r="N245" i="7"/>
  <c r="S244" i="7"/>
  <c r="R244" i="7"/>
  <c r="N244" i="7"/>
  <c r="S243" i="7"/>
  <c r="R243" i="7"/>
  <c r="N243" i="7"/>
  <c r="S242" i="7"/>
  <c r="R242" i="7"/>
  <c r="N242" i="7"/>
  <c r="S241" i="7"/>
  <c r="R241" i="7"/>
  <c r="N241" i="7"/>
  <c r="S240" i="7"/>
  <c r="R240" i="7"/>
  <c r="N240" i="7"/>
  <c r="S239" i="7"/>
  <c r="R239" i="7"/>
  <c r="N239" i="7"/>
  <c r="S238" i="7"/>
  <c r="R238" i="7"/>
  <c r="N238" i="7"/>
  <c r="S237" i="7"/>
  <c r="R237" i="7"/>
  <c r="N237" i="7"/>
  <c r="S236" i="7"/>
  <c r="R236" i="7"/>
  <c r="N236" i="7"/>
  <c r="S235" i="7"/>
  <c r="R235" i="7"/>
  <c r="N235" i="7"/>
  <c r="S234" i="7"/>
  <c r="R234" i="7"/>
  <c r="N234" i="7"/>
  <c r="S233" i="7"/>
  <c r="R233" i="7"/>
  <c r="N233" i="7"/>
  <c r="S232" i="7"/>
  <c r="R232" i="7"/>
  <c r="N232" i="7"/>
  <c r="S231" i="7"/>
  <c r="R231" i="7"/>
  <c r="N231" i="7"/>
  <c r="S230" i="7"/>
  <c r="R230" i="7"/>
  <c r="N230" i="7"/>
  <c r="S229" i="7"/>
  <c r="R229" i="7"/>
  <c r="N229" i="7"/>
  <c r="S228" i="7"/>
  <c r="R228" i="7"/>
  <c r="N228" i="7"/>
  <c r="S227" i="7"/>
  <c r="R227" i="7"/>
  <c r="N227" i="7"/>
  <c r="S226" i="7"/>
  <c r="R226" i="7"/>
  <c r="N226" i="7"/>
  <c r="S225" i="7"/>
  <c r="R225" i="7"/>
  <c r="N225" i="7"/>
  <c r="S224" i="7"/>
  <c r="R224" i="7"/>
  <c r="N224" i="7"/>
  <c r="S223" i="7"/>
  <c r="R223" i="7"/>
  <c r="N223" i="7"/>
  <c r="S222" i="7"/>
  <c r="R222" i="7"/>
  <c r="N222" i="7"/>
  <c r="S221" i="7"/>
  <c r="R221" i="7"/>
  <c r="N221" i="7"/>
  <c r="S220" i="7"/>
  <c r="R220" i="7"/>
  <c r="N220" i="7"/>
  <c r="S219" i="7"/>
  <c r="R219" i="7"/>
  <c r="N219" i="7"/>
  <c r="S218" i="7"/>
  <c r="R218" i="7"/>
  <c r="N218" i="7"/>
  <c r="S217" i="7"/>
  <c r="R217" i="7"/>
  <c r="N217" i="7"/>
  <c r="S216" i="7"/>
  <c r="R216" i="7"/>
  <c r="N216" i="7"/>
  <c r="S215" i="7"/>
  <c r="R215" i="7"/>
  <c r="N215" i="7"/>
  <c r="S214" i="7"/>
  <c r="R214" i="7"/>
  <c r="N214" i="7"/>
  <c r="S213" i="7"/>
  <c r="R213" i="7"/>
  <c r="N213" i="7"/>
  <c r="S212" i="7"/>
  <c r="R212" i="7"/>
  <c r="N212" i="7"/>
  <c r="S211" i="7"/>
  <c r="R211" i="7"/>
  <c r="N211" i="7"/>
  <c r="S210" i="7"/>
  <c r="R210" i="7"/>
  <c r="N210" i="7"/>
  <c r="S209" i="7"/>
  <c r="R209" i="7"/>
  <c r="N209" i="7"/>
  <c r="S208" i="7"/>
  <c r="R208" i="7"/>
  <c r="N208" i="7"/>
  <c r="S207" i="7"/>
  <c r="R207" i="7"/>
  <c r="N207" i="7"/>
  <c r="S206" i="7"/>
  <c r="R206" i="7"/>
  <c r="N206" i="7"/>
  <c r="S205" i="7"/>
  <c r="R205" i="7"/>
  <c r="N205" i="7"/>
  <c r="S204" i="7"/>
  <c r="R204" i="7"/>
  <c r="N204" i="7"/>
  <c r="S203" i="7"/>
  <c r="R203" i="7"/>
  <c r="N203" i="7"/>
  <c r="S202" i="7"/>
  <c r="R202" i="7"/>
  <c r="N202" i="7"/>
  <c r="S201" i="7"/>
  <c r="R201" i="7"/>
  <c r="N201" i="7"/>
  <c r="S200" i="7"/>
  <c r="R200" i="7"/>
  <c r="N200" i="7"/>
  <c r="S199" i="7"/>
  <c r="R199" i="7"/>
  <c r="N199" i="7"/>
  <c r="S198" i="7"/>
  <c r="R198" i="7"/>
  <c r="N198" i="7"/>
  <c r="S197" i="7"/>
  <c r="R197" i="7"/>
  <c r="N197" i="7"/>
  <c r="S196" i="7"/>
  <c r="R196" i="7"/>
  <c r="N196" i="7"/>
  <c r="S195" i="7"/>
  <c r="R195" i="7"/>
  <c r="N195" i="7"/>
  <c r="S194" i="7"/>
  <c r="R194" i="7"/>
  <c r="N194" i="7"/>
  <c r="S193" i="7"/>
  <c r="R193" i="7"/>
  <c r="N193" i="7"/>
  <c r="S192" i="7"/>
  <c r="R192" i="7"/>
  <c r="N192" i="7"/>
  <c r="S191" i="7"/>
  <c r="R191" i="7"/>
  <c r="N191" i="7"/>
  <c r="S190" i="7"/>
  <c r="R190" i="7"/>
  <c r="N190" i="7"/>
  <c r="S189" i="7"/>
  <c r="R189" i="7"/>
  <c r="N189" i="7"/>
  <c r="S188" i="7"/>
  <c r="R188" i="7"/>
  <c r="N188" i="7"/>
  <c r="S187" i="7"/>
  <c r="R187" i="7"/>
  <c r="N187" i="7"/>
  <c r="S186" i="7"/>
  <c r="R186" i="7"/>
  <c r="N186" i="7"/>
  <c r="S185" i="7"/>
  <c r="R185" i="7"/>
  <c r="N185" i="7"/>
  <c r="S184" i="7"/>
  <c r="R184" i="7"/>
  <c r="N184" i="7"/>
  <c r="S183" i="7"/>
  <c r="R183" i="7"/>
  <c r="N183" i="7"/>
  <c r="S182" i="7"/>
  <c r="R182" i="7"/>
  <c r="N182" i="7"/>
  <c r="S181" i="7"/>
  <c r="R181" i="7"/>
  <c r="N181" i="7"/>
  <c r="S180" i="7"/>
  <c r="R180" i="7"/>
  <c r="N180" i="7"/>
  <c r="S179" i="7"/>
  <c r="R179" i="7"/>
  <c r="N179" i="7"/>
  <c r="S178" i="7"/>
  <c r="R178" i="7"/>
  <c r="N178" i="7"/>
  <c r="S177" i="7"/>
  <c r="R177" i="7"/>
  <c r="N177" i="7"/>
  <c r="S176" i="7"/>
  <c r="R176" i="7"/>
  <c r="N176" i="7"/>
  <c r="S175" i="7"/>
  <c r="R175" i="7"/>
  <c r="N175" i="7"/>
  <c r="S174" i="7"/>
  <c r="R174" i="7"/>
  <c r="N174" i="7"/>
  <c r="S173" i="7"/>
  <c r="R173" i="7"/>
  <c r="N173" i="7"/>
  <c r="S172" i="7"/>
  <c r="R172" i="7"/>
  <c r="N172" i="7"/>
  <c r="S171" i="7"/>
  <c r="R171" i="7"/>
  <c r="N171" i="7"/>
  <c r="S170" i="7"/>
  <c r="R170" i="7"/>
  <c r="N170" i="7"/>
  <c r="S169" i="7"/>
  <c r="R169" i="7"/>
  <c r="N169" i="7"/>
  <c r="S168" i="7"/>
  <c r="R168" i="7"/>
  <c r="N168" i="7"/>
  <c r="S167" i="7"/>
  <c r="R167" i="7"/>
  <c r="N167" i="7"/>
  <c r="S166" i="7"/>
  <c r="R166" i="7"/>
  <c r="N166" i="7"/>
  <c r="S165" i="7"/>
  <c r="R165" i="7"/>
  <c r="N165" i="7"/>
  <c r="S164" i="7"/>
  <c r="R164" i="7"/>
  <c r="N164" i="7"/>
  <c r="S163" i="7"/>
  <c r="R163" i="7"/>
  <c r="N163" i="7"/>
  <c r="S162" i="7"/>
  <c r="R162" i="7"/>
  <c r="N162" i="7"/>
  <c r="S161" i="7"/>
  <c r="R161" i="7"/>
  <c r="N161" i="7"/>
  <c r="S160" i="7"/>
  <c r="R160" i="7"/>
  <c r="N160" i="7"/>
  <c r="S159" i="7"/>
  <c r="R159" i="7"/>
  <c r="N159" i="7"/>
  <c r="S158" i="7"/>
  <c r="R158" i="7"/>
  <c r="N158" i="7"/>
  <c r="S157" i="7"/>
  <c r="R157" i="7"/>
  <c r="S156" i="7"/>
  <c r="R156" i="7"/>
  <c r="S155" i="7"/>
  <c r="R155" i="7"/>
  <c r="S154" i="7"/>
  <c r="R154" i="7"/>
  <c r="S153" i="7"/>
  <c r="R153" i="7"/>
  <c r="S152" i="7"/>
  <c r="R152" i="7"/>
  <c r="S151" i="7"/>
  <c r="R151" i="7"/>
  <c r="S150" i="7"/>
  <c r="R150" i="7"/>
  <c r="S149" i="7"/>
  <c r="R149" i="7"/>
  <c r="S148" i="7"/>
  <c r="R148" i="7"/>
  <c r="S147" i="7"/>
  <c r="R147" i="7"/>
  <c r="S146" i="7"/>
  <c r="R146" i="7"/>
  <c r="S145" i="7"/>
  <c r="R145" i="7"/>
  <c r="S144" i="7"/>
  <c r="R144" i="7"/>
  <c r="S143" i="7"/>
  <c r="R143" i="7"/>
  <c r="S142" i="7"/>
  <c r="R142" i="7"/>
  <c r="S141" i="7"/>
  <c r="R141" i="7"/>
  <c r="S140" i="7"/>
  <c r="R140" i="7"/>
  <c r="S139" i="7"/>
  <c r="R139" i="7"/>
  <c r="S138" i="7"/>
  <c r="R138" i="7"/>
  <c r="S137" i="7"/>
  <c r="R137" i="7"/>
  <c r="S136" i="7"/>
  <c r="R136" i="7"/>
  <c r="S135" i="7"/>
  <c r="R135" i="7"/>
  <c r="S134" i="7"/>
  <c r="R134" i="7"/>
  <c r="S133" i="7"/>
  <c r="R133" i="7"/>
  <c r="S132" i="7"/>
  <c r="R132" i="7"/>
  <c r="S131" i="7"/>
  <c r="R131" i="7"/>
  <c r="S130" i="7"/>
  <c r="R130" i="7"/>
  <c r="S129" i="7"/>
  <c r="R129" i="7"/>
  <c r="S128" i="7"/>
  <c r="R128" i="7"/>
  <c r="S127" i="7"/>
  <c r="R127" i="7"/>
  <c r="S126" i="7"/>
  <c r="R126" i="7"/>
  <c r="S125" i="7"/>
  <c r="R125" i="7"/>
  <c r="S124" i="7"/>
  <c r="R124" i="7"/>
  <c r="S123" i="7"/>
  <c r="R123" i="7"/>
  <c r="S122" i="7"/>
  <c r="R122" i="7"/>
  <c r="S121" i="7"/>
  <c r="R121" i="7"/>
  <c r="S120" i="7"/>
  <c r="R120" i="7"/>
  <c r="S119" i="7"/>
  <c r="R119" i="7"/>
  <c r="S118" i="7"/>
  <c r="R118" i="7"/>
  <c r="S117" i="7"/>
  <c r="R117" i="7"/>
  <c r="S116" i="7"/>
  <c r="R116" i="7"/>
  <c r="S115" i="7"/>
  <c r="R115" i="7"/>
  <c r="S114" i="7"/>
  <c r="R114" i="7"/>
  <c r="S113" i="7"/>
  <c r="R113" i="7"/>
  <c r="S112" i="7"/>
  <c r="R112" i="7"/>
  <c r="S111" i="7"/>
  <c r="R111" i="7"/>
  <c r="S110" i="7"/>
  <c r="R110" i="7"/>
  <c r="S109" i="7"/>
  <c r="R109" i="7"/>
  <c r="S108" i="7"/>
  <c r="R108" i="7"/>
  <c r="S107" i="7"/>
  <c r="R107" i="7"/>
  <c r="S106" i="7"/>
  <c r="R106" i="7"/>
  <c r="S105" i="7"/>
  <c r="R105" i="7"/>
  <c r="S104" i="7"/>
  <c r="R104" i="7"/>
  <c r="S103" i="7"/>
  <c r="R103" i="7"/>
  <c r="S102" i="7"/>
  <c r="R102" i="7"/>
  <c r="S101" i="7"/>
  <c r="R101" i="7"/>
  <c r="S100" i="7"/>
  <c r="R100" i="7"/>
  <c r="S99" i="7"/>
  <c r="R99" i="7"/>
  <c r="S98" i="7"/>
  <c r="R98" i="7"/>
  <c r="S97" i="7"/>
  <c r="R97" i="7"/>
  <c r="S96" i="7"/>
  <c r="R96" i="7"/>
  <c r="S95" i="7"/>
  <c r="R95" i="7"/>
  <c r="S94" i="7"/>
  <c r="R94" i="7"/>
  <c r="S93" i="7"/>
  <c r="R93" i="7"/>
  <c r="S92" i="7"/>
  <c r="R92" i="7"/>
  <c r="S91" i="7"/>
  <c r="R91" i="7"/>
  <c r="S90" i="7"/>
  <c r="R90" i="7"/>
  <c r="S89" i="7"/>
  <c r="R89" i="7"/>
  <c r="S88" i="7"/>
  <c r="R88" i="7"/>
  <c r="S87" i="7"/>
  <c r="R87" i="7"/>
  <c r="S86" i="7"/>
  <c r="R86" i="7"/>
  <c r="S85" i="7"/>
  <c r="R85" i="7"/>
  <c r="S84" i="7"/>
  <c r="R84" i="7"/>
  <c r="S83" i="7"/>
  <c r="R83" i="7"/>
  <c r="S82" i="7"/>
  <c r="R82" i="7"/>
  <c r="S81" i="7"/>
  <c r="R81" i="7"/>
  <c r="S80" i="7"/>
  <c r="R80" i="7"/>
  <c r="S79" i="7"/>
  <c r="R79" i="7"/>
  <c r="S78" i="7"/>
  <c r="R78" i="7"/>
  <c r="S77" i="7"/>
  <c r="R77" i="7"/>
  <c r="S76" i="7"/>
  <c r="R76" i="7"/>
  <c r="S75" i="7"/>
  <c r="R75" i="7"/>
  <c r="S74" i="7"/>
  <c r="R74" i="7"/>
  <c r="S73" i="7"/>
  <c r="R73" i="7"/>
  <c r="S72" i="7"/>
  <c r="R72" i="7"/>
  <c r="S71" i="7"/>
  <c r="R71" i="7"/>
  <c r="S70" i="7"/>
  <c r="R70" i="7"/>
  <c r="S69" i="7"/>
  <c r="R69" i="7"/>
  <c r="S68" i="7"/>
  <c r="R68" i="7"/>
  <c r="S67" i="7"/>
  <c r="R67" i="7"/>
  <c r="S66" i="7"/>
  <c r="R66" i="7"/>
  <c r="S65" i="7"/>
  <c r="R65" i="7"/>
  <c r="S64" i="7"/>
  <c r="R64" i="7"/>
  <c r="S63" i="7"/>
  <c r="R63" i="7"/>
  <c r="S62" i="7"/>
  <c r="R62" i="7"/>
  <c r="S61" i="7"/>
  <c r="R61" i="7"/>
  <c r="S60" i="7"/>
  <c r="R60" i="7"/>
  <c r="S59" i="7"/>
  <c r="R59" i="7"/>
  <c r="S58" i="7"/>
  <c r="R58" i="7"/>
  <c r="S57" i="7"/>
  <c r="R57" i="7"/>
  <c r="S56" i="7"/>
  <c r="R56" i="7"/>
  <c r="S55" i="7"/>
  <c r="R55" i="7"/>
  <c r="S54" i="7"/>
  <c r="R54" i="7"/>
  <c r="S53" i="7"/>
  <c r="R53" i="7"/>
  <c r="S52" i="7"/>
  <c r="R52" i="7"/>
  <c r="S51" i="7"/>
  <c r="R51" i="7"/>
  <c r="S50" i="7"/>
  <c r="R50" i="7"/>
  <c r="S49" i="7"/>
  <c r="R49" i="7"/>
  <c r="S48" i="7"/>
  <c r="R48" i="7"/>
  <c r="S47" i="7"/>
  <c r="R47" i="7"/>
  <c r="S46" i="7"/>
  <c r="R46" i="7"/>
  <c r="S45" i="7"/>
  <c r="R45" i="7"/>
  <c r="S44" i="7"/>
  <c r="R44" i="7"/>
  <c r="S43" i="7"/>
  <c r="R43" i="7"/>
  <c r="S42" i="7"/>
  <c r="R42" i="7"/>
  <c r="S41" i="7"/>
  <c r="R41" i="7"/>
  <c r="S40" i="7"/>
  <c r="R40" i="7"/>
  <c r="S39" i="7"/>
  <c r="R39" i="7"/>
  <c r="S38" i="7"/>
  <c r="R38" i="7"/>
  <c r="S37" i="7"/>
  <c r="R37" i="7"/>
  <c r="S36" i="7"/>
  <c r="R36" i="7"/>
  <c r="S35" i="7"/>
  <c r="R35" i="7"/>
  <c r="S34" i="7"/>
  <c r="R34" i="7"/>
  <c r="S33" i="7"/>
  <c r="R33" i="7"/>
  <c r="S32" i="7"/>
  <c r="R32" i="7"/>
  <c r="S31" i="7"/>
  <c r="R31" i="7"/>
  <c r="S30" i="7"/>
  <c r="R30" i="7"/>
  <c r="S29" i="7"/>
  <c r="R29" i="7"/>
  <c r="S28" i="7"/>
  <c r="R28" i="7"/>
  <c r="S27" i="7"/>
  <c r="R27" i="7"/>
  <c r="S26" i="7"/>
  <c r="R26" i="7"/>
  <c r="S25" i="7"/>
  <c r="R25" i="7"/>
  <c r="S24" i="7"/>
  <c r="R24" i="7"/>
  <c r="S23" i="7"/>
  <c r="R23" i="7"/>
  <c r="S22" i="7"/>
  <c r="R22" i="7"/>
  <c r="S21" i="7"/>
  <c r="R21" i="7"/>
  <c r="S20" i="7"/>
  <c r="R20" i="7"/>
  <c r="S19" i="7"/>
  <c r="R19" i="7"/>
  <c r="S18" i="7"/>
  <c r="R18" i="7"/>
  <c r="S17" i="7"/>
  <c r="R17" i="7"/>
  <c r="S16" i="7"/>
  <c r="R16" i="7"/>
  <c r="S15" i="7"/>
  <c r="R15" i="7"/>
  <c r="S14" i="7"/>
  <c r="R14" i="7"/>
  <c r="S13" i="7"/>
  <c r="R13" i="7"/>
  <c r="S12" i="7"/>
  <c r="R12" i="7"/>
  <c r="S11" i="7"/>
  <c r="R11" i="7"/>
  <c r="S10" i="7"/>
  <c r="R10" i="7"/>
  <c r="G4" i="7"/>
  <c r="D4" i="7"/>
  <c r="A4" i="7"/>
  <c r="BB509" i="5"/>
  <c r="BA509" i="5"/>
  <c r="AS509" i="5"/>
  <c r="AM509" i="5"/>
  <c r="AI509" i="5"/>
  <c r="BB508" i="5"/>
  <c r="BA508" i="5"/>
  <c r="AS508" i="5"/>
  <c r="AM508" i="5"/>
  <c r="AI508" i="5"/>
  <c r="BB507" i="5"/>
  <c r="BA507" i="5"/>
  <c r="AS507" i="5"/>
  <c r="AM507" i="5"/>
  <c r="AI507" i="5"/>
  <c r="BB506" i="5"/>
  <c r="BA506" i="5"/>
  <c r="AS506" i="5"/>
  <c r="AM506" i="5"/>
  <c r="AI506" i="5"/>
  <c r="BB505" i="5"/>
  <c r="BA505" i="5"/>
  <c r="AS505" i="5"/>
  <c r="AM505" i="5"/>
  <c r="AI505" i="5"/>
  <c r="BB504" i="5"/>
  <c r="BA504" i="5"/>
  <c r="AS504" i="5"/>
  <c r="AM504" i="5"/>
  <c r="AI504" i="5"/>
  <c r="BB503" i="5"/>
  <c r="BA503" i="5"/>
  <c r="AS503" i="5"/>
  <c r="AM503" i="5"/>
  <c r="AI503" i="5"/>
  <c r="BB502" i="5"/>
  <c r="BA502" i="5"/>
  <c r="AS502" i="5"/>
  <c r="AM502" i="5"/>
  <c r="AI502" i="5"/>
  <c r="BB501" i="5"/>
  <c r="BA501" i="5"/>
  <c r="AS501" i="5"/>
  <c r="AM501" i="5"/>
  <c r="AI501" i="5"/>
  <c r="BB500" i="5"/>
  <c r="BA500" i="5"/>
  <c r="AS500" i="5"/>
  <c r="AM500" i="5"/>
  <c r="AI500" i="5"/>
  <c r="BB499" i="5"/>
  <c r="BA499" i="5"/>
  <c r="AS499" i="5"/>
  <c r="AM499" i="5"/>
  <c r="AI499" i="5"/>
  <c r="BB498" i="5"/>
  <c r="BA498" i="5"/>
  <c r="AS498" i="5"/>
  <c r="AM498" i="5"/>
  <c r="AI498" i="5"/>
  <c r="BB497" i="5"/>
  <c r="BA497" i="5"/>
  <c r="AS497" i="5"/>
  <c r="AM497" i="5"/>
  <c r="AI497" i="5"/>
  <c r="BB496" i="5"/>
  <c r="BA496" i="5"/>
  <c r="AS496" i="5"/>
  <c r="AM496" i="5"/>
  <c r="AI496" i="5"/>
  <c r="BB495" i="5"/>
  <c r="BA495" i="5"/>
  <c r="AS495" i="5"/>
  <c r="AM495" i="5"/>
  <c r="AI495" i="5"/>
  <c r="BB494" i="5"/>
  <c r="BA494" i="5"/>
  <c r="AS494" i="5"/>
  <c r="AM494" i="5"/>
  <c r="AI494" i="5"/>
  <c r="BB493" i="5"/>
  <c r="BA493" i="5"/>
  <c r="AS493" i="5"/>
  <c r="AM493" i="5"/>
  <c r="AI493" i="5"/>
  <c r="BB492" i="5"/>
  <c r="BA492" i="5"/>
  <c r="AS492" i="5"/>
  <c r="AM492" i="5"/>
  <c r="AI492" i="5"/>
  <c r="BB491" i="5"/>
  <c r="BA491" i="5"/>
  <c r="AS491" i="5"/>
  <c r="AM491" i="5"/>
  <c r="AI491" i="5"/>
  <c r="BB490" i="5"/>
  <c r="BA490" i="5"/>
  <c r="AS490" i="5"/>
  <c r="AM490" i="5"/>
  <c r="AI490" i="5"/>
  <c r="BB489" i="5"/>
  <c r="BA489" i="5"/>
  <c r="AS489" i="5"/>
  <c r="AM489" i="5"/>
  <c r="AI489" i="5"/>
  <c r="BB488" i="5"/>
  <c r="BA488" i="5"/>
  <c r="AS488" i="5"/>
  <c r="AM488" i="5"/>
  <c r="AI488" i="5"/>
  <c r="BB487" i="5"/>
  <c r="BA487" i="5"/>
  <c r="AS487" i="5"/>
  <c r="AM487" i="5"/>
  <c r="AI487" i="5"/>
  <c r="BB486" i="5"/>
  <c r="BA486" i="5"/>
  <c r="AS486" i="5"/>
  <c r="AM486" i="5"/>
  <c r="AI486" i="5"/>
  <c r="BB485" i="5"/>
  <c r="BA485" i="5"/>
  <c r="AS485" i="5"/>
  <c r="AM485" i="5"/>
  <c r="AI485" i="5"/>
  <c r="BB484" i="5"/>
  <c r="BA484" i="5"/>
  <c r="AS484" i="5"/>
  <c r="AM484" i="5"/>
  <c r="AI484" i="5"/>
  <c r="BB483" i="5"/>
  <c r="BA483" i="5"/>
  <c r="AS483" i="5"/>
  <c r="AM483" i="5"/>
  <c r="AI483" i="5"/>
  <c r="BB482" i="5"/>
  <c r="BA482" i="5"/>
  <c r="AS482" i="5"/>
  <c r="AM482" i="5"/>
  <c r="AI482" i="5"/>
  <c r="BB481" i="5"/>
  <c r="BA481" i="5"/>
  <c r="AS481" i="5"/>
  <c r="AM481" i="5"/>
  <c r="AI481" i="5"/>
  <c r="BB480" i="5"/>
  <c r="BA480" i="5"/>
  <c r="AS480" i="5"/>
  <c r="AM480" i="5"/>
  <c r="AI480" i="5"/>
  <c r="BB479" i="5"/>
  <c r="BA479" i="5"/>
  <c r="AS479" i="5"/>
  <c r="AM479" i="5"/>
  <c r="AI479" i="5"/>
  <c r="BB478" i="5"/>
  <c r="BA478" i="5"/>
  <c r="AS478" i="5"/>
  <c r="AM478" i="5"/>
  <c r="AI478" i="5"/>
  <c r="BB477" i="5"/>
  <c r="BA477" i="5"/>
  <c r="AS477" i="5"/>
  <c r="AM477" i="5"/>
  <c r="AI477" i="5"/>
  <c r="BB476" i="5"/>
  <c r="BA476" i="5"/>
  <c r="AS476" i="5"/>
  <c r="AM476" i="5"/>
  <c r="AI476" i="5"/>
  <c r="BB475" i="5"/>
  <c r="BA475" i="5"/>
  <c r="AS475" i="5"/>
  <c r="AM475" i="5"/>
  <c r="AI475" i="5"/>
  <c r="BB474" i="5"/>
  <c r="BA474" i="5"/>
  <c r="AS474" i="5"/>
  <c r="AM474" i="5"/>
  <c r="AI474" i="5"/>
  <c r="BB473" i="5"/>
  <c r="BA473" i="5"/>
  <c r="AS473" i="5"/>
  <c r="AM473" i="5"/>
  <c r="AI473" i="5"/>
  <c r="BB472" i="5"/>
  <c r="BA472" i="5"/>
  <c r="AS472" i="5"/>
  <c r="AM472" i="5"/>
  <c r="AI472" i="5"/>
  <c r="BB471" i="5"/>
  <c r="BA471" i="5"/>
  <c r="AS471" i="5"/>
  <c r="AM471" i="5"/>
  <c r="AI471" i="5"/>
  <c r="BB470" i="5"/>
  <c r="BA470" i="5"/>
  <c r="AS470" i="5"/>
  <c r="AM470" i="5"/>
  <c r="AI470" i="5"/>
  <c r="BB469" i="5"/>
  <c r="BA469" i="5"/>
  <c r="AS469" i="5"/>
  <c r="AM469" i="5"/>
  <c r="AI469" i="5"/>
  <c r="BB468" i="5"/>
  <c r="BA468" i="5"/>
  <c r="AS468" i="5"/>
  <c r="AM468" i="5"/>
  <c r="AI468" i="5"/>
  <c r="BB467" i="5"/>
  <c r="BA467" i="5"/>
  <c r="AS467" i="5"/>
  <c r="AM467" i="5"/>
  <c r="AI467" i="5"/>
  <c r="BB466" i="5"/>
  <c r="BA466" i="5"/>
  <c r="AS466" i="5"/>
  <c r="AM466" i="5"/>
  <c r="AI466" i="5"/>
  <c r="BB465" i="5"/>
  <c r="BA465" i="5"/>
  <c r="AS465" i="5"/>
  <c r="AM465" i="5"/>
  <c r="AI465" i="5"/>
  <c r="BB464" i="5"/>
  <c r="BA464" i="5"/>
  <c r="AS464" i="5"/>
  <c r="AM464" i="5"/>
  <c r="AI464" i="5"/>
  <c r="BB463" i="5"/>
  <c r="BA463" i="5"/>
  <c r="AS463" i="5"/>
  <c r="AM463" i="5"/>
  <c r="AI463" i="5"/>
  <c r="BB462" i="5"/>
  <c r="BA462" i="5"/>
  <c r="AS462" i="5"/>
  <c r="AM462" i="5"/>
  <c r="AI462" i="5"/>
  <c r="BB461" i="5"/>
  <c r="BA461" i="5"/>
  <c r="AS461" i="5"/>
  <c r="AM461" i="5"/>
  <c r="AI461" i="5"/>
  <c r="BB460" i="5"/>
  <c r="BA460" i="5"/>
  <c r="AS460" i="5"/>
  <c r="AM460" i="5"/>
  <c r="AI460" i="5"/>
  <c r="BB459" i="5"/>
  <c r="BA459" i="5"/>
  <c r="AS459" i="5"/>
  <c r="AM459" i="5"/>
  <c r="AI459" i="5"/>
  <c r="BB458" i="5"/>
  <c r="BA458" i="5"/>
  <c r="AS458" i="5"/>
  <c r="AM458" i="5"/>
  <c r="AI458" i="5"/>
  <c r="BB457" i="5"/>
  <c r="BA457" i="5"/>
  <c r="AS457" i="5"/>
  <c r="AM457" i="5"/>
  <c r="AI457" i="5"/>
  <c r="BB456" i="5"/>
  <c r="BA456" i="5"/>
  <c r="AS456" i="5"/>
  <c r="AM456" i="5"/>
  <c r="AI456" i="5"/>
  <c r="BB455" i="5"/>
  <c r="BA455" i="5"/>
  <c r="AS455" i="5"/>
  <c r="AM455" i="5"/>
  <c r="AI455" i="5"/>
  <c r="BB454" i="5"/>
  <c r="BA454" i="5"/>
  <c r="AS454" i="5"/>
  <c r="AM454" i="5"/>
  <c r="AI454" i="5"/>
  <c r="BB453" i="5"/>
  <c r="BA453" i="5"/>
  <c r="AS453" i="5"/>
  <c r="AM453" i="5"/>
  <c r="AI453" i="5"/>
  <c r="BB452" i="5"/>
  <c r="BA452" i="5"/>
  <c r="AS452" i="5"/>
  <c r="AM452" i="5"/>
  <c r="AI452" i="5"/>
  <c r="BB451" i="5"/>
  <c r="BA451" i="5"/>
  <c r="AS451" i="5"/>
  <c r="AM451" i="5"/>
  <c r="AI451" i="5"/>
  <c r="BB450" i="5"/>
  <c r="BA450" i="5"/>
  <c r="AS450" i="5"/>
  <c r="AM450" i="5"/>
  <c r="AI450" i="5"/>
  <c r="BB449" i="5"/>
  <c r="BA449" i="5"/>
  <c r="AS449" i="5"/>
  <c r="AM449" i="5"/>
  <c r="AI449" i="5"/>
  <c r="BB448" i="5"/>
  <c r="BA448" i="5"/>
  <c r="AS448" i="5"/>
  <c r="AM448" i="5"/>
  <c r="AI448" i="5"/>
  <c r="BB447" i="5"/>
  <c r="BA447" i="5"/>
  <c r="AS447" i="5"/>
  <c r="AM447" i="5"/>
  <c r="AI447" i="5"/>
  <c r="BB446" i="5"/>
  <c r="BA446" i="5"/>
  <c r="AS446" i="5"/>
  <c r="AM446" i="5"/>
  <c r="AI446" i="5"/>
  <c r="BB445" i="5"/>
  <c r="BA445" i="5"/>
  <c r="AS445" i="5"/>
  <c r="AM445" i="5"/>
  <c r="AI445" i="5"/>
  <c r="BB444" i="5"/>
  <c r="BA444" i="5"/>
  <c r="AS444" i="5"/>
  <c r="AM444" i="5"/>
  <c r="AI444" i="5"/>
  <c r="BB443" i="5"/>
  <c r="BA443" i="5"/>
  <c r="AS443" i="5"/>
  <c r="AM443" i="5"/>
  <c r="AI443" i="5"/>
  <c r="BB442" i="5"/>
  <c r="BA442" i="5"/>
  <c r="AS442" i="5"/>
  <c r="AM442" i="5"/>
  <c r="AI442" i="5"/>
  <c r="BB441" i="5"/>
  <c r="BA441" i="5"/>
  <c r="AS441" i="5"/>
  <c r="AM441" i="5"/>
  <c r="AI441" i="5"/>
  <c r="BB440" i="5"/>
  <c r="BA440" i="5"/>
  <c r="AS440" i="5"/>
  <c r="AM440" i="5"/>
  <c r="AI440" i="5"/>
  <c r="BB439" i="5"/>
  <c r="BA439" i="5"/>
  <c r="AS439" i="5"/>
  <c r="AM439" i="5"/>
  <c r="AI439" i="5"/>
  <c r="BB438" i="5"/>
  <c r="BA438" i="5"/>
  <c r="AS438" i="5"/>
  <c r="AM438" i="5"/>
  <c r="AI438" i="5"/>
  <c r="BB437" i="5"/>
  <c r="BA437" i="5"/>
  <c r="AS437" i="5"/>
  <c r="AM437" i="5"/>
  <c r="AI437" i="5"/>
  <c r="BB436" i="5"/>
  <c r="BA436" i="5"/>
  <c r="AS436" i="5"/>
  <c r="AM436" i="5"/>
  <c r="AI436" i="5"/>
  <c r="BB435" i="5"/>
  <c r="BA435" i="5"/>
  <c r="AS435" i="5"/>
  <c r="AM435" i="5"/>
  <c r="AI435" i="5"/>
  <c r="BB434" i="5"/>
  <c r="BA434" i="5"/>
  <c r="AS434" i="5"/>
  <c r="AM434" i="5"/>
  <c r="AI434" i="5"/>
  <c r="BB433" i="5"/>
  <c r="BA433" i="5"/>
  <c r="AS433" i="5"/>
  <c r="AM433" i="5"/>
  <c r="AI433" i="5"/>
  <c r="BB432" i="5"/>
  <c r="BA432" i="5"/>
  <c r="AS432" i="5"/>
  <c r="AM432" i="5"/>
  <c r="AI432" i="5"/>
  <c r="BB431" i="5"/>
  <c r="BA431" i="5"/>
  <c r="AS431" i="5"/>
  <c r="AM431" i="5"/>
  <c r="AI431" i="5"/>
  <c r="BB430" i="5"/>
  <c r="BA430" i="5"/>
  <c r="AS430" i="5"/>
  <c r="AM430" i="5"/>
  <c r="AI430" i="5"/>
  <c r="BB429" i="5"/>
  <c r="BA429" i="5"/>
  <c r="AS429" i="5"/>
  <c r="AM429" i="5"/>
  <c r="AI429" i="5"/>
  <c r="BB428" i="5"/>
  <c r="BA428" i="5"/>
  <c r="AS428" i="5"/>
  <c r="AM428" i="5"/>
  <c r="AI428" i="5"/>
  <c r="BB427" i="5"/>
  <c r="BA427" i="5"/>
  <c r="AS427" i="5"/>
  <c r="AM427" i="5"/>
  <c r="AI427" i="5"/>
  <c r="BB426" i="5"/>
  <c r="BA426" i="5"/>
  <c r="AS426" i="5"/>
  <c r="AM426" i="5"/>
  <c r="AI426" i="5"/>
  <c r="BB425" i="5"/>
  <c r="BA425" i="5"/>
  <c r="AS425" i="5"/>
  <c r="AM425" i="5"/>
  <c r="AI425" i="5"/>
  <c r="BB424" i="5"/>
  <c r="BA424" i="5"/>
  <c r="AS424" i="5"/>
  <c r="AM424" i="5"/>
  <c r="AI424" i="5"/>
  <c r="BB423" i="5"/>
  <c r="BA423" i="5"/>
  <c r="AS423" i="5"/>
  <c r="AM423" i="5"/>
  <c r="AI423" i="5"/>
  <c r="BB422" i="5"/>
  <c r="BA422" i="5"/>
  <c r="AS422" i="5"/>
  <c r="AM422" i="5"/>
  <c r="AI422" i="5"/>
  <c r="BB421" i="5"/>
  <c r="BA421" i="5"/>
  <c r="AS421" i="5"/>
  <c r="AM421" i="5"/>
  <c r="AI421" i="5"/>
  <c r="BB420" i="5"/>
  <c r="BA420" i="5"/>
  <c r="AS420" i="5"/>
  <c r="AM420" i="5"/>
  <c r="AI420" i="5"/>
  <c r="BB419" i="5"/>
  <c r="BA419" i="5"/>
  <c r="AS419" i="5"/>
  <c r="AM419" i="5"/>
  <c r="AI419" i="5"/>
  <c r="BB418" i="5"/>
  <c r="BA418" i="5"/>
  <c r="AS418" i="5"/>
  <c r="AM418" i="5"/>
  <c r="AI418" i="5"/>
  <c r="BB417" i="5"/>
  <c r="BA417" i="5"/>
  <c r="AS417" i="5"/>
  <c r="AM417" i="5"/>
  <c r="AI417" i="5"/>
  <c r="BB416" i="5"/>
  <c r="BA416" i="5"/>
  <c r="AS416" i="5"/>
  <c r="AM416" i="5"/>
  <c r="AI416" i="5"/>
  <c r="BB415" i="5"/>
  <c r="BA415" i="5"/>
  <c r="AS415" i="5"/>
  <c r="AM415" i="5"/>
  <c r="AI415" i="5"/>
  <c r="BB414" i="5"/>
  <c r="BA414" i="5"/>
  <c r="AS414" i="5"/>
  <c r="AM414" i="5"/>
  <c r="AI414" i="5"/>
  <c r="BB413" i="5"/>
  <c r="BA413" i="5"/>
  <c r="AS413" i="5"/>
  <c r="AM413" i="5"/>
  <c r="AI413" i="5"/>
  <c r="BB412" i="5"/>
  <c r="BA412" i="5"/>
  <c r="AS412" i="5"/>
  <c r="AM412" i="5"/>
  <c r="AI412" i="5"/>
  <c r="BB411" i="5"/>
  <c r="BA411" i="5"/>
  <c r="AS411" i="5"/>
  <c r="AM411" i="5"/>
  <c r="AI411" i="5"/>
  <c r="BB410" i="5"/>
  <c r="BA410" i="5"/>
  <c r="AS410" i="5"/>
  <c r="AM410" i="5"/>
  <c r="AI410" i="5"/>
  <c r="BB409" i="5"/>
  <c r="BA409" i="5"/>
  <c r="AS409" i="5"/>
  <c r="AM409" i="5"/>
  <c r="AI409" i="5"/>
  <c r="BB408" i="5"/>
  <c r="BA408" i="5"/>
  <c r="AS408" i="5"/>
  <c r="AM408" i="5"/>
  <c r="AI408" i="5"/>
  <c r="BB407" i="5"/>
  <c r="BA407" i="5"/>
  <c r="AS407" i="5"/>
  <c r="AM407" i="5"/>
  <c r="AI407" i="5"/>
  <c r="BB406" i="5"/>
  <c r="BA406" i="5"/>
  <c r="AS406" i="5"/>
  <c r="AM406" i="5"/>
  <c r="AI406" i="5"/>
  <c r="BB405" i="5"/>
  <c r="BA405" i="5"/>
  <c r="AS405" i="5"/>
  <c r="AM405" i="5"/>
  <c r="AI405" i="5"/>
  <c r="BB404" i="5"/>
  <c r="BA404" i="5"/>
  <c r="AS404" i="5"/>
  <c r="AM404" i="5"/>
  <c r="AI404" i="5"/>
  <c r="BB403" i="5"/>
  <c r="BA403" i="5"/>
  <c r="AS403" i="5"/>
  <c r="AM403" i="5"/>
  <c r="AI403" i="5"/>
  <c r="BB402" i="5"/>
  <c r="BA402" i="5"/>
  <c r="AS402" i="5"/>
  <c r="AM402" i="5"/>
  <c r="AI402" i="5"/>
  <c r="BB401" i="5"/>
  <c r="BA401" i="5"/>
  <c r="AS401" i="5"/>
  <c r="AM401" i="5"/>
  <c r="AI401" i="5"/>
  <c r="BB400" i="5"/>
  <c r="BA400" i="5"/>
  <c r="AS400" i="5"/>
  <c r="AM400" i="5"/>
  <c r="AI400" i="5"/>
  <c r="BB399" i="5"/>
  <c r="BA399" i="5"/>
  <c r="AS399" i="5"/>
  <c r="AM399" i="5"/>
  <c r="AI399" i="5"/>
  <c r="BB398" i="5"/>
  <c r="BA398" i="5"/>
  <c r="AS398" i="5"/>
  <c r="AM398" i="5"/>
  <c r="AI398" i="5"/>
  <c r="BB397" i="5"/>
  <c r="BA397" i="5"/>
  <c r="AS397" i="5"/>
  <c r="AM397" i="5"/>
  <c r="AI397" i="5"/>
  <c r="BB396" i="5"/>
  <c r="BA396" i="5"/>
  <c r="AS396" i="5"/>
  <c r="AM396" i="5"/>
  <c r="AI396" i="5"/>
  <c r="BB395" i="5"/>
  <c r="BA395" i="5"/>
  <c r="AS395" i="5"/>
  <c r="AM395" i="5"/>
  <c r="AI395" i="5"/>
  <c r="BB394" i="5"/>
  <c r="BA394" i="5"/>
  <c r="AS394" i="5"/>
  <c r="AM394" i="5"/>
  <c r="AI394" i="5"/>
  <c r="BB393" i="5"/>
  <c r="BA393" i="5"/>
  <c r="AS393" i="5"/>
  <c r="AM393" i="5"/>
  <c r="AI393" i="5"/>
  <c r="BB392" i="5"/>
  <c r="BA392" i="5"/>
  <c r="AS392" i="5"/>
  <c r="AM392" i="5"/>
  <c r="AI392" i="5"/>
  <c r="BB391" i="5"/>
  <c r="BA391" i="5"/>
  <c r="AS391" i="5"/>
  <c r="AM391" i="5"/>
  <c r="AI391" i="5"/>
  <c r="BB390" i="5"/>
  <c r="BA390" i="5"/>
  <c r="AS390" i="5"/>
  <c r="AM390" i="5"/>
  <c r="AI390" i="5"/>
  <c r="BB389" i="5"/>
  <c r="BA389" i="5"/>
  <c r="AS389" i="5"/>
  <c r="AM389" i="5"/>
  <c r="AI389" i="5"/>
  <c r="BB388" i="5"/>
  <c r="BA388" i="5"/>
  <c r="AS388" i="5"/>
  <c r="AM388" i="5"/>
  <c r="AI388" i="5"/>
  <c r="BB387" i="5"/>
  <c r="BA387" i="5"/>
  <c r="AS387" i="5"/>
  <c r="AM387" i="5"/>
  <c r="AI387" i="5"/>
  <c r="BB386" i="5"/>
  <c r="BA386" i="5"/>
  <c r="AS386" i="5"/>
  <c r="AM386" i="5"/>
  <c r="AI386" i="5"/>
  <c r="BB385" i="5"/>
  <c r="BA385" i="5"/>
  <c r="AS385" i="5"/>
  <c r="AM385" i="5"/>
  <c r="AI385" i="5"/>
  <c r="BB384" i="5"/>
  <c r="BA384" i="5"/>
  <c r="AS384" i="5"/>
  <c r="AM384" i="5"/>
  <c r="AI384" i="5"/>
  <c r="BB383" i="5"/>
  <c r="BA383" i="5"/>
  <c r="AS383" i="5"/>
  <c r="AM383" i="5"/>
  <c r="AI383" i="5"/>
  <c r="BB382" i="5"/>
  <c r="BA382" i="5"/>
  <c r="AS382" i="5"/>
  <c r="AM382" i="5"/>
  <c r="AI382" i="5"/>
  <c r="BB381" i="5"/>
  <c r="BA381" i="5"/>
  <c r="AS381" i="5"/>
  <c r="AM381" i="5"/>
  <c r="AI381" i="5"/>
  <c r="BB380" i="5"/>
  <c r="BA380" i="5"/>
  <c r="AS380" i="5"/>
  <c r="AM380" i="5"/>
  <c r="AI380" i="5"/>
  <c r="BB379" i="5"/>
  <c r="BA379" i="5"/>
  <c r="AS379" i="5"/>
  <c r="AM379" i="5"/>
  <c r="AI379" i="5"/>
  <c r="BB378" i="5"/>
  <c r="BA378" i="5"/>
  <c r="AS378" i="5"/>
  <c r="AM378" i="5"/>
  <c r="AI378" i="5"/>
  <c r="BB377" i="5"/>
  <c r="BA377" i="5"/>
  <c r="AS377" i="5"/>
  <c r="AM377" i="5"/>
  <c r="AI377" i="5"/>
  <c r="BB376" i="5"/>
  <c r="BA376" i="5"/>
  <c r="AS376" i="5"/>
  <c r="AM376" i="5"/>
  <c r="AI376" i="5"/>
  <c r="BB375" i="5"/>
  <c r="BA375" i="5"/>
  <c r="AS375" i="5"/>
  <c r="AM375" i="5"/>
  <c r="AI375" i="5"/>
  <c r="BB374" i="5"/>
  <c r="BA374" i="5"/>
  <c r="AS374" i="5"/>
  <c r="AM374" i="5"/>
  <c r="AI374" i="5"/>
  <c r="BB373" i="5"/>
  <c r="BA373" i="5"/>
  <c r="AS373" i="5"/>
  <c r="AM373" i="5"/>
  <c r="AI373" i="5"/>
  <c r="BB372" i="5"/>
  <c r="BA372" i="5"/>
  <c r="AS372" i="5"/>
  <c r="AM372" i="5"/>
  <c r="AI372" i="5"/>
  <c r="BB371" i="5"/>
  <c r="BA371" i="5"/>
  <c r="AS371" i="5"/>
  <c r="AM371" i="5"/>
  <c r="AI371" i="5"/>
  <c r="BB370" i="5"/>
  <c r="BA370" i="5"/>
  <c r="AS370" i="5"/>
  <c r="AM370" i="5"/>
  <c r="AI370" i="5"/>
  <c r="BB369" i="5"/>
  <c r="BA369" i="5"/>
  <c r="AS369" i="5"/>
  <c r="AM369" i="5"/>
  <c r="AI369" i="5"/>
  <c r="BB368" i="5"/>
  <c r="BA368" i="5"/>
  <c r="AS368" i="5"/>
  <c r="AM368" i="5"/>
  <c r="AI368" i="5"/>
  <c r="BB367" i="5"/>
  <c r="BA367" i="5"/>
  <c r="AS367" i="5"/>
  <c r="AM367" i="5"/>
  <c r="AI367" i="5"/>
  <c r="BB366" i="5"/>
  <c r="BA366" i="5"/>
  <c r="AS366" i="5"/>
  <c r="AM366" i="5"/>
  <c r="AI366" i="5"/>
  <c r="BB365" i="5"/>
  <c r="BA365" i="5"/>
  <c r="AS365" i="5"/>
  <c r="AM365" i="5"/>
  <c r="AI365" i="5"/>
  <c r="BB364" i="5"/>
  <c r="BA364" i="5"/>
  <c r="AS364" i="5"/>
  <c r="AM364" i="5"/>
  <c r="AI364" i="5"/>
  <c r="BB363" i="5"/>
  <c r="BA363" i="5"/>
  <c r="AS363" i="5"/>
  <c r="AM363" i="5"/>
  <c r="AI363" i="5"/>
  <c r="BB362" i="5"/>
  <c r="BA362" i="5"/>
  <c r="AS362" i="5"/>
  <c r="AM362" i="5"/>
  <c r="AI362" i="5"/>
  <c r="BB361" i="5"/>
  <c r="BA361" i="5"/>
  <c r="AS361" i="5"/>
  <c r="AM361" i="5"/>
  <c r="AI361" i="5"/>
  <c r="BB360" i="5"/>
  <c r="BA360" i="5"/>
  <c r="AS360" i="5"/>
  <c r="AM360" i="5"/>
  <c r="AI360" i="5"/>
  <c r="BB359" i="5"/>
  <c r="BA359" i="5"/>
  <c r="AS359" i="5"/>
  <c r="AM359" i="5"/>
  <c r="AI359" i="5"/>
  <c r="BB358" i="5"/>
  <c r="BA358" i="5"/>
  <c r="AS358" i="5"/>
  <c r="AM358" i="5"/>
  <c r="AI358" i="5"/>
  <c r="BB357" i="5"/>
  <c r="BA357" i="5"/>
  <c r="AS357" i="5"/>
  <c r="AM357" i="5"/>
  <c r="AI357" i="5"/>
  <c r="BB356" i="5"/>
  <c r="BA356" i="5"/>
  <c r="AS356" i="5"/>
  <c r="AM356" i="5"/>
  <c r="AI356" i="5"/>
  <c r="BB355" i="5"/>
  <c r="BA355" i="5"/>
  <c r="AS355" i="5"/>
  <c r="AM355" i="5"/>
  <c r="AI355" i="5"/>
  <c r="BB354" i="5"/>
  <c r="BA354" i="5"/>
  <c r="AS354" i="5"/>
  <c r="AM354" i="5"/>
  <c r="AI354" i="5"/>
  <c r="BB353" i="5"/>
  <c r="BA353" i="5"/>
  <c r="AS353" i="5"/>
  <c r="AM353" i="5"/>
  <c r="AI353" i="5"/>
  <c r="BB352" i="5"/>
  <c r="BA352" i="5"/>
  <c r="AS352" i="5"/>
  <c r="AM352" i="5"/>
  <c r="AI352" i="5"/>
  <c r="BB351" i="5"/>
  <c r="BA351" i="5"/>
  <c r="AS351" i="5"/>
  <c r="AM351" i="5"/>
  <c r="AI351" i="5"/>
  <c r="BB350" i="5"/>
  <c r="BA350" i="5"/>
  <c r="AS350" i="5"/>
  <c r="AM350" i="5"/>
  <c r="AI350" i="5"/>
  <c r="BB349" i="5"/>
  <c r="BA349" i="5"/>
  <c r="AS349" i="5"/>
  <c r="AM349" i="5"/>
  <c r="AI349" i="5"/>
  <c r="BB348" i="5"/>
  <c r="BA348" i="5"/>
  <c r="AS348" i="5"/>
  <c r="AM348" i="5"/>
  <c r="AI348" i="5"/>
  <c r="BB347" i="5"/>
  <c r="BA347" i="5"/>
  <c r="AS347" i="5"/>
  <c r="AM347" i="5"/>
  <c r="AI347" i="5"/>
  <c r="BB346" i="5"/>
  <c r="BA346" i="5"/>
  <c r="AS346" i="5"/>
  <c r="AM346" i="5"/>
  <c r="AI346" i="5"/>
  <c r="BB345" i="5"/>
  <c r="BA345" i="5"/>
  <c r="AS345" i="5"/>
  <c r="AM345" i="5"/>
  <c r="AI345" i="5"/>
  <c r="BB344" i="5"/>
  <c r="BA344" i="5"/>
  <c r="AS344" i="5"/>
  <c r="AM344" i="5"/>
  <c r="AI344" i="5"/>
  <c r="BB343" i="5"/>
  <c r="BA343" i="5"/>
  <c r="AS343" i="5"/>
  <c r="AM343" i="5"/>
  <c r="AI343" i="5"/>
  <c r="BB342" i="5"/>
  <c r="BA342" i="5"/>
  <c r="AS342" i="5"/>
  <c r="AM342" i="5"/>
  <c r="AI342" i="5"/>
  <c r="BB341" i="5"/>
  <c r="BA341" i="5"/>
  <c r="AS341" i="5"/>
  <c r="AM341" i="5"/>
  <c r="AI341" i="5"/>
  <c r="BB340" i="5"/>
  <c r="BA340" i="5"/>
  <c r="AS340" i="5"/>
  <c r="AM340" i="5"/>
  <c r="AI340" i="5"/>
  <c r="BB339" i="5"/>
  <c r="BA339" i="5"/>
  <c r="AS339" i="5"/>
  <c r="AM339" i="5"/>
  <c r="AI339" i="5"/>
  <c r="BB338" i="5"/>
  <c r="BA338" i="5"/>
  <c r="AS338" i="5"/>
  <c r="AM338" i="5"/>
  <c r="AI338" i="5"/>
  <c r="BB337" i="5"/>
  <c r="BA337" i="5"/>
  <c r="AS337" i="5"/>
  <c r="AM337" i="5"/>
  <c r="AI337" i="5"/>
  <c r="BB336" i="5"/>
  <c r="BA336" i="5"/>
  <c r="AS336" i="5"/>
  <c r="AM336" i="5"/>
  <c r="AI336" i="5"/>
  <c r="BB335" i="5"/>
  <c r="BA335" i="5"/>
  <c r="AS335" i="5"/>
  <c r="AM335" i="5"/>
  <c r="AI335" i="5"/>
  <c r="BB334" i="5"/>
  <c r="BA334" i="5"/>
  <c r="AS334" i="5"/>
  <c r="AM334" i="5"/>
  <c r="AI334" i="5"/>
  <c r="BB333" i="5"/>
  <c r="BA333" i="5"/>
  <c r="AS333" i="5"/>
  <c r="AM333" i="5"/>
  <c r="AI333" i="5"/>
  <c r="BB332" i="5"/>
  <c r="BA332" i="5"/>
  <c r="AS332" i="5"/>
  <c r="AM332" i="5"/>
  <c r="AI332" i="5"/>
  <c r="BB331" i="5"/>
  <c r="BA331" i="5"/>
  <c r="AS331" i="5"/>
  <c r="AM331" i="5"/>
  <c r="AI331" i="5"/>
  <c r="BB330" i="5"/>
  <c r="BA330" i="5"/>
  <c r="AS330" i="5"/>
  <c r="AM330" i="5"/>
  <c r="AI330" i="5"/>
  <c r="BB329" i="5"/>
  <c r="BA329" i="5"/>
  <c r="AS329" i="5"/>
  <c r="AM329" i="5"/>
  <c r="AI329" i="5"/>
  <c r="BB328" i="5"/>
  <c r="BA328" i="5"/>
  <c r="AS328" i="5"/>
  <c r="AM328" i="5"/>
  <c r="AI328" i="5"/>
  <c r="BB327" i="5"/>
  <c r="BA327" i="5"/>
  <c r="AS327" i="5"/>
  <c r="AM327" i="5"/>
  <c r="AI327" i="5"/>
  <c r="BB326" i="5"/>
  <c r="BA326" i="5"/>
  <c r="AS326" i="5"/>
  <c r="AM326" i="5"/>
  <c r="AI326" i="5"/>
  <c r="BB325" i="5"/>
  <c r="BA325" i="5"/>
  <c r="AS325" i="5"/>
  <c r="AM325" i="5"/>
  <c r="AI325" i="5"/>
  <c r="BB324" i="5"/>
  <c r="BA324" i="5"/>
  <c r="AS324" i="5"/>
  <c r="AM324" i="5"/>
  <c r="AI324" i="5"/>
  <c r="BB323" i="5"/>
  <c r="BA323" i="5"/>
  <c r="AS323" i="5"/>
  <c r="AM323" i="5"/>
  <c r="AI323" i="5"/>
  <c r="BB322" i="5"/>
  <c r="BA322" i="5"/>
  <c r="AS322" i="5"/>
  <c r="AM322" i="5"/>
  <c r="AI322" i="5"/>
  <c r="BB321" i="5"/>
  <c r="BA321" i="5"/>
  <c r="AS321" i="5"/>
  <c r="AM321" i="5"/>
  <c r="AI321" i="5"/>
  <c r="BB320" i="5"/>
  <c r="BA320" i="5"/>
  <c r="AS320" i="5"/>
  <c r="AM320" i="5"/>
  <c r="AI320" i="5"/>
  <c r="BB319" i="5"/>
  <c r="BA319" i="5"/>
  <c r="AS319" i="5"/>
  <c r="AM319" i="5"/>
  <c r="AI319" i="5"/>
  <c r="BB318" i="5"/>
  <c r="BA318" i="5"/>
  <c r="AS318" i="5"/>
  <c r="AM318" i="5"/>
  <c r="AI318" i="5"/>
  <c r="BB317" i="5"/>
  <c r="BA317" i="5"/>
  <c r="AS317" i="5"/>
  <c r="AM317" i="5"/>
  <c r="AI317" i="5"/>
  <c r="BB316" i="5"/>
  <c r="BA316" i="5"/>
  <c r="AS316" i="5"/>
  <c r="AM316" i="5"/>
  <c r="AI316" i="5"/>
  <c r="BB315" i="5"/>
  <c r="BA315" i="5"/>
  <c r="AS315" i="5"/>
  <c r="AM315" i="5"/>
  <c r="AI315" i="5"/>
  <c r="BB314" i="5"/>
  <c r="BA314" i="5"/>
  <c r="AS314" i="5"/>
  <c r="AM314" i="5"/>
  <c r="AI314" i="5"/>
  <c r="BB313" i="5"/>
  <c r="BA313" i="5"/>
  <c r="AS313" i="5"/>
  <c r="AM313" i="5"/>
  <c r="AI313" i="5"/>
  <c r="BB312" i="5"/>
  <c r="BA312" i="5"/>
  <c r="AS312" i="5"/>
  <c r="AM312" i="5"/>
  <c r="AI312" i="5"/>
  <c r="BB311" i="5"/>
  <c r="BA311" i="5"/>
  <c r="AS311" i="5"/>
  <c r="AM311" i="5"/>
  <c r="AI311" i="5"/>
  <c r="BB310" i="5"/>
  <c r="BA310" i="5"/>
  <c r="AS310" i="5"/>
  <c r="AM310" i="5"/>
  <c r="AI310" i="5"/>
  <c r="BB309" i="5"/>
  <c r="BA309" i="5"/>
  <c r="AS309" i="5"/>
  <c r="AM309" i="5"/>
  <c r="AI309" i="5"/>
  <c r="BB308" i="5"/>
  <c r="BA308" i="5"/>
  <c r="AS308" i="5"/>
  <c r="AM308" i="5"/>
  <c r="AI308" i="5"/>
  <c r="BB307" i="5"/>
  <c r="BA307" i="5"/>
  <c r="AS307" i="5"/>
  <c r="AM307" i="5"/>
  <c r="AI307" i="5"/>
  <c r="BB306" i="5"/>
  <c r="BA306" i="5"/>
  <c r="AS306" i="5"/>
  <c r="AM306" i="5"/>
  <c r="AI306" i="5"/>
  <c r="BB305" i="5"/>
  <c r="BA305" i="5"/>
  <c r="AS305" i="5"/>
  <c r="AM305" i="5"/>
  <c r="AI305" i="5"/>
  <c r="BB304" i="5"/>
  <c r="BA304" i="5"/>
  <c r="AS304" i="5"/>
  <c r="AM304" i="5"/>
  <c r="AI304" i="5"/>
  <c r="BB303" i="5"/>
  <c r="BA303" i="5"/>
  <c r="AS303" i="5"/>
  <c r="AM303" i="5"/>
  <c r="AI303" i="5"/>
  <c r="BB302" i="5"/>
  <c r="BA302" i="5"/>
  <c r="AS302" i="5"/>
  <c r="AM302" i="5"/>
  <c r="AI302" i="5"/>
  <c r="BB301" i="5"/>
  <c r="BA301" i="5"/>
  <c r="AS301" i="5"/>
  <c r="AM301" i="5"/>
  <c r="AI301" i="5"/>
  <c r="BB300" i="5"/>
  <c r="BA300" i="5"/>
  <c r="AS300" i="5"/>
  <c r="AM300" i="5"/>
  <c r="AI300" i="5"/>
  <c r="BB299" i="5"/>
  <c r="BA299" i="5"/>
  <c r="AS299" i="5"/>
  <c r="AM299" i="5"/>
  <c r="AI299" i="5"/>
  <c r="BB298" i="5"/>
  <c r="BA298" i="5"/>
  <c r="AS298" i="5"/>
  <c r="AM298" i="5"/>
  <c r="AI298" i="5"/>
  <c r="BB297" i="5"/>
  <c r="BA297" i="5"/>
  <c r="AS297" i="5"/>
  <c r="AM297" i="5"/>
  <c r="AI297" i="5"/>
  <c r="BB296" i="5"/>
  <c r="BA296" i="5"/>
  <c r="AS296" i="5"/>
  <c r="AM296" i="5"/>
  <c r="AI296" i="5"/>
  <c r="BB295" i="5"/>
  <c r="BA295" i="5"/>
  <c r="AS295" i="5"/>
  <c r="AM295" i="5"/>
  <c r="AI295" i="5"/>
  <c r="BB294" i="5"/>
  <c r="BA294" i="5"/>
  <c r="AS294" i="5"/>
  <c r="AM294" i="5"/>
  <c r="AI294" i="5"/>
  <c r="BB293" i="5"/>
  <c r="BA293" i="5"/>
  <c r="AS293" i="5"/>
  <c r="AM293" i="5"/>
  <c r="AI293" i="5"/>
  <c r="BB292" i="5"/>
  <c r="BA292" i="5"/>
  <c r="AS292" i="5"/>
  <c r="AM292" i="5"/>
  <c r="AI292" i="5"/>
  <c r="BB291" i="5"/>
  <c r="BA291" i="5"/>
  <c r="AS291" i="5"/>
  <c r="AM291" i="5"/>
  <c r="AI291" i="5"/>
  <c r="BB290" i="5"/>
  <c r="BA290" i="5"/>
  <c r="AS290" i="5"/>
  <c r="AM290" i="5"/>
  <c r="AI290" i="5"/>
  <c r="BB289" i="5"/>
  <c r="BA289" i="5"/>
  <c r="AS289" i="5"/>
  <c r="AM289" i="5"/>
  <c r="AI289" i="5"/>
  <c r="BB288" i="5"/>
  <c r="BA288" i="5"/>
  <c r="AS288" i="5"/>
  <c r="AM288" i="5"/>
  <c r="AI288" i="5"/>
  <c r="BB287" i="5"/>
  <c r="BA287" i="5"/>
  <c r="AS287" i="5"/>
  <c r="AM287" i="5"/>
  <c r="AI287" i="5"/>
  <c r="BB286" i="5"/>
  <c r="BA286" i="5"/>
  <c r="AS286" i="5"/>
  <c r="AM286" i="5"/>
  <c r="AI286" i="5"/>
  <c r="BB285" i="5"/>
  <c r="BA285" i="5"/>
  <c r="AS285" i="5"/>
  <c r="AM285" i="5"/>
  <c r="AI285" i="5"/>
  <c r="BB284" i="5"/>
  <c r="BA284" i="5"/>
  <c r="AS284" i="5"/>
  <c r="AM284" i="5"/>
  <c r="AI284" i="5"/>
  <c r="BB283" i="5"/>
  <c r="BA283" i="5"/>
  <c r="AS283" i="5"/>
  <c r="AM283" i="5"/>
  <c r="AI283" i="5"/>
  <c r="BB282" i="5"/>
  <c r="BA282" i="5"/>
  <c r="AS282" i="5"/>
  <c r="AM282" i="5"/>
  <c r="AI282" i="5"/>
  <c r="BB281" i="5"/>
  <c r="BA281" i="5"/>
  <c r="AS281" i="5"/>
  <c r="AM281" i="5"/>
  <c r="AI281" i="5"/>
  <c r="BB280" i="5"/>
  <c r="BA280" i="5"/>
  <c r="AS280" i="5"/>
  <c r="AM280" i="5"/>
  <c r="AI280" i="5"/>
  <c r="BB279" i="5"/>
  <c r="BA279" i="5"/>
  <c r="AS279" i="5"/>
  <c r="AM279" i="5"/>
  <c r="AI279" i="5"/>
  <c r="BB278" i="5"/>
  <c r="BA278" i="5"/>
  <c r="AS278" i="5"/>
  <c r="AM278" i="5"/>
  <c r="AI278" i="5"/>
  <c r="BB277" i="5"/>
  <c r="BA277" i="5"/>
  <c r="AS277" i="5"/>
  <c r="AM277" i="5"/>
  <c r="AI277" i="5"/>
  <c r="BB276" i="5"/>
  <c r="BA276" i="5"/>
  <c r="AS276" i="5"/>
  <c r="AM276" i="5"/>
  <c r="AI276" i="5"/>
  <c r="BB275" i="5"/>
  <c r="BA275" i="5"/>
  <c r="AS275" i="5"/>
  <c r="AM275" i="5"/>
  <c r="AI275" i="5"/>
  <c r="BB274" i="5"/>
  <c r="BA274" i="5"/>
  <c r="AS274" i="5"/>
  <c r="AM274" i="5"/>
  <c r="AI274" i="5"/>
  <c r="BB273" i="5"/>
  <c r="BA273" i="5"/>
  <c r="AS273" i="5"/>
  <c r="AM273" i="5"/>
  <c r="AI273" i="5"/>
  <c r="BB272" i="5"/>
  <c r="BA272" i="5"/>
  <c r="AS272" i="5"/>
  <c r="AM272" i="5"/>
  <c r="AI272" i="5"/>
  <c r="BB271" i="5"/>
  <c r="BA271" i="5"/>
  <c r="AS271" i="5"/>
  <c r="AM271" i="5"/>
  <c r="AI271" i="5"/>
  <c r="BB270" i="5"/>
  <c r="BA270" i="5"/>
  <c r="AS270" i="5"/>
  <c r="AM270" i="5"/>
  <c r="AI270" i="5"/>
  <c r="BB269" i="5"/>
  <c r="BA269" i="5"/>
  <c r="AS269" i="5"/>
  <c r="AM269" i="5"/>
  <c r="AI269" i="5"/>
  <c r="BB268" i="5"/>
  <c r="BA268" i="5"/>
  <c r="AS268" i="5"/>
  <c r="AM268" i="5"/>
  <c r="AI268" i="5"/>
  <c r="BB267" i="5"/>
  <c r="BA267" i="5"/>
  <c r="AS267" i="5"/>
  <c r="AM267" i="5"/>
  <c r="AI267" i="5"/>
  <c r="BB266" i="5"/>
  <c r="BA266" i="5"/>
  <c r="AS266" i="5"/>
  <c r="AM266" i="5"/>
  <c r="AI266" i="5"/>
  <c r="BB265" i="5"/>
  <c r="BA265" i="5"/>
  <c r="AS265" i="5"/>
  <c r="AM265" i="5"/>
  <c r="AI265" i="5"/>
  <c r="BB264" i="5"/>
  <c r="BA264" i="5"/>
  <c r="AS264" i="5"/>
  <c r="AM264" i="5"/>
  <c r="AI264" i="5"/>
  <c r="BB263" i="5"/>
  <c r="BA263" i="5"/>
  <c r="AS263" i="5"/>
  <c r="AM263" i="5"/>
  <c r="AI263" i="5"/>
  <c r="BB262" i="5"/>
  <c r="BA262" i="5"/>
  <c r="AS262" i="5"/>
  <c r="AM262" i="5"/>
  <c r="AI262" i="5"/>
  <c r="BB261" i="5"/>
  <c r="BA261" i="5"/>
  <c r="AS261" i="5"/>
  <c r="AM261" i="5"/>
  <c r="AI261" i="5"/>
  <c r="BB260" i="5"/>
  <c r="BA260" i="5"/>
  <c r="AS260" i="5"/>
  <c r="AM260" i="5"/>
  <c r="AI260" i="5"/>
  <c r="BB259" i="5"/>
  <c r="BA259" i="5"/>
  <c r="AS259" i="5"/>
  <c r="AM259" i="5"/>
  <c r="AI259" i="5"/>
  <c r="BB258" i="5"/>
  <c r="BA258" i="5"/>
  <c r="AS258" i="5"/>
  <c r="AM258" i="5"/>
  <c r="AI258" i="5"/>
  <c r="BB257" i="5"/>
  <c r="BA257" i="5"/>
  <c r="AS257" i="5"/>
  <c r="AM257" i="5"/>
  <c r="AI257" i="5"/>
  <c r="BB256" i="5"/>
  <c r="BA256" i="5"/>
  <c r="AS256" i="5"/>
  <c r="AM256" i="5"/>
  <c r="AI256" i="5"/>
  <c r="BB255" i="5"/>
  <c r="BA255" i="5"/>
  <c r="AS255" i="5"/>
  <c r="AM255" i="5"/>
  <c r="AI255" i="5"/>
  <c r="BB254" i="5"/>
  <c r="BA254" i="5"/>
  <c r="AS254" i="5"/>
  <c r="AM254" i="5"/>
  <c r="AI254" i="5"/>
  <c r="BB253" i="5"/>
  <c r="BA253" i="5"/>
  <c r="AS253" i="5"/>
  <c r="AM253" i="5"/>
  <c r="AI253" i="5"/>
  <c r="BB252" i="5"/>
  <c r="BA252" i="5"/>
  <c r="AS252" i="5"/>
  <c r="AM252" i="5"/>
  <c r="AI252" i="5"/>
  <c r="BB251" i="5"/>
  <c r="BA251" i="5"/>
  <c r="AS251" i="5"/>
  <c r="AM251" i="5"/>
  <c r="AI251" i="5"/>
  <c r="BB250" i="5"/>
  <c r="BA250" i="5"/>
  <c r="AS250" i="5"/>
  <c r="AM250" i="5"/>
  <c r="AI250" i="5"/>
  <c r="BB249" i="5"/>
  <c r="BA249" i="5"/>
  <c r="AS249" i="5"/>
  <c r="AM249" i="5"/>
  <c r="AI249" i="5"/>
  <c r="BB248" i="5"/>
  <c r="BA248" i="5"/>
  <c r="AS248" i="5"/>
  <c r="AM248" i="5"/>
  <c r="AI248" i="5"/>
  <c r="BB247" i="5"/>
  <c r="BA247" i="5"/>
  <c r="AS247" i="5"/>
  <c r="AM247" i="5"/>
  <c r="AI247" i="5"/>
  <c r="BB246" i="5"/>
  <c r="BA246" i="5"/>
  <c r="AS246" i="5"/>
  <c r="AM246" i="5"/>
  <c r="AI246" i="5"/>
  <c r="BB245" i="5"/>
  <c r="BA245" i="5"/>
  <c r="AS245" i="5"/>
  <c r="AM245" i="5"/>
  <c r="AI245" i="5"/>
  <c r="BB244" i="5"/>
  <c r="BA244" i="5"/>
  <c r="AS244" i="5"/>
  <c r="AM244" i="5"/>
  <c r="AI244" i="5"/>
  <c r="BB243" i="5"/>
  <c r="BA243" i="5"/>
  <c r="AS243" i="5"/>
  <c r="AM243" i="5"/>
  <c r="AI243" i="5"/>
  <c r="BB242" i="5"/>
  <c r="BA242" i="5"/>
  <c r="AS242" i="5"/>
  <c r="AM242" i="5"/>
  <c r="AI242" i="5"/>
  <c r="BB241" i="5"/>
  <c r="BA241" i="5"/>
  <c r="AS241" i="5"/>
  <c r="AM241" i="5"/>
  <c r="AI241" i="5"/>
  <c r="BB240" i="5"/>
  <c r="BA240" i="5"/>
  <c r="AS240" i="5"/>
  <c r="AM240" i="5"/>
  <c r="AI240" i="5"/>
  <c r="BB239" i="5"/>
  <c r="BA239" i="5"/>
  <c r="AS239" i="5"/>
  <c r="AM239" i="5"/>
  <c r="AI239" i="5"/>
  <c r="BB238" i="5"/>
  <c r="BA238" i="5"/>
  <c r="AS238" i="5"/>
  <c r="AM238" i="5"/>
  <c r="AI238" i="5"/>
  <c r="BB237" i="5"/>
  <c r="BA237" i="5"/>
  <c r="AS237" i="5"/>
  <c r="AM237" i="5"/>
  <c r="AI237" i="5"/>
  <c r="BB236" i="5"/>
  <c r="BA236" i="5"/>
  <c r="AS236" i="5"/>
  <c r="AM236" i="5"/>
  <c r="AI236" i="5"/>
  <c r="BB235" i="5"/>
  <c r="BA235" i="5"/>
  <c r="AS235" i="5"/>
  <c r="AM235" i="5"/>
  <c r="AI235" i="5"/>
  <c r="BB234" i="5"/>
  <c r="BA234" i="5"/>
  <c r="AS234" i="5"/>
  <c r="AM234" i="5"/>
  <c r="AI234" i="5"/>
  <c r="BB233" i="5"/>
  <c r="BA233" i="5"/>
  <c r="AS233" i="5"/>
  <c r="AM233" i="5"/>
  <c r="AI233" i="5"/>
  <c r="BB232" i="5"/>
  <c r="BA232" i="5"/>
  <c r="AS232" i="5"/>
  <c r="AM232" i="5"/>
  <c r="AI232" i="5"/>
  <c r="BB231" i="5"/>
  <c r="BA231" i="5"/>
  <c r="AS231" i="5"/>
  <c r="AM231" i="5"/>
  <c r="AI231" i="5"/>
  <c r="BB230" i="5"/>
  <c r="BA230" i="5"/>
  <c r="AS230" i="5"/>
  <c r="AM230" i="5"/>
  <c r="AI230" i="5"/>
  <c r="BB229" i="5"/>
  <c r="BA229" i="5"/>
  <c r="AS229" i="5"/>
  <c r="AM229" i="5"/>
  <c r="AI229" i="5"/>
  <c r="BB228" i="5"/>
  <c r="BA228" i="5"/>
  <c r="AS228" i="5"/>
  <c r="AM228" i="5"/>
  <c r="AI228" i="5"/>
  <c r="BB227" i="5"/>
  <c r="BA227" i="5"/>
  <c r="AS227" i="5"/>
  <c r="AM227" i="5"/>
  <c r="AI227" i="5"/>
  <c r="BB226" i="5"/>
  <c r="BA226" i="5"/>
  <c r="AS226" i="5"/>
  <c r="AM226" i="5"/>
  <c r="AI226" i="5"/>
  <c r="BB225" i="5"/>
  <c r="BA225" i="5"/>
  <c r="AS225" i="5"/>
  <c r="AM225" i="5"/>
  <c r="AI225" i="5"/>
  <c r="BB224" i="5"/>
  <c r="BA224" i="5"/>
  <c r="AS224" i="5"/>
  <c r="AM224" i="5"/>
  <c r="AI224" i="5"/>
  <c r="BB223" i="5"/>
  <c r="BA223" i="5"/>
  <c r="AS223" i="5"/>
  <c r="AM223" i="5"/>
  <c r="AI223" i="5"/>
  <c r="BB222" i="5"/>
  <c r="BA222" i="5"/>
  <c r="AS222" i="5"/>
  <c r="AM222" i="5"/>
  <c r="AI222" i="5"/>
  <c r="BB221" i="5"/>
  <c r="BA221" i="5"/>
  <c r="AS221" i="5"/>
  <c r="AM221" i="5"/>
  <c r="AI221" i="5"/>
  <c r="BB220" i="5"/>
  <c r="BA220" i="5"/>
  <c r="AS220" i="5"/>
  <c r="AM220" i="5"/>
  <c r="AI220" i="5"/>
  <c r="BB219" i="5"/>
  <c r="BA219" i="5"/>
  <c r="AS219" i="5"/>
  <c r="AM219" i="5"/>
  <c r="AI219" i="5"/>
  <c r="BB218" i="5"/>
  <c r="BA218" i="5"/>
  <c r="AS218" i="5"/>
  <c r="AM218" i="5"/>
  <c r="AI218" i="5"/>
  <c r="BB217" i="5"/>
  <c r="BA217" i="5"/>
  <c r="AS217" i="5"/>
  <c r="AM217" i="5"/>
  <c r="AI217" i="5"/>
  <c r="BB216" i="5"/>
  <c r="BA216" i="5"/>
  <c r="AS216" i="5"/>
  <c r="AM216" i="5"/>
  <c r="AI216" i="5"/>
  <c r="BB215" i="5"/>
  <c r="BA215" i="5"/>
  <c r="AS215" i="5"/>
  <c r="AM215" i="5"/>
  <c r="AI215" i="5"/>
  <c r="BB214" i="5"/>
  <c r="BA214" i="5"/>
  <c r="AS214" i="5"/>
  <c r="AM214" i="5"/>
  <c r="AI214" i="5"/>
  <c r="BB213" i="5"/>
  <c r="BA213" i="5"/>
  <c r="AS213" i="5"/>
  <c r="AM213" i="5"/>
  <c r="AI213" i="5"/>
  <c r="BB212" i="5"/>
  <c r="BA212" i="5"/>
  <c r="AS212" i="5"/>
  <c r="AM212" i="5"/>
  <c r="AI212" i="5"/>
  <c r="BB211" i="5"/>
  <c r="BA211" i="5"/>
  <c r="AS211" i="5"/>
  <c r="AM211" i="5"/>
  <c r="AI211" i="5"/>
  <c r="BB210" i="5"/>
  <c r="BA210" i="5"/>
  <c r="AS210" i="5"/>
  <c r="AM210" i="5"/>
  <c r="AI210" i="5"/>
  <c r="BB209" i="5"/>
  <c r="BA209" i="5"/>
  <c r="AS209" i="5"/>
  <c r="AM209" i="5"/>
  <c r="AI209" i="5"/>
  <c r="BB208" i="5"/>
  <c r="BA208" i="5"/>
  <c r="AS208" i="5"/>
  <c r="AM208" i="5"/>
  <c r="AI208" i="5"/>
  <c r="BB207" i="5"/>
  <c r="BA207" i="5"/>
  <c r="AS207" i="5"/>
  <c r="AM207" i="5"/>
  <c r="AI207" i="5"/>
  <c r="BB206" i="5"/>
  <c r="BA206" i="5"/>
  <c r="AS206" i="5"/>
  <c r="AM206" i="5"/>
  <c r="AI206" i="5"/>
  <c r="BB205" i="5"/>
  <c r="BA205" i="5"/>
  <c r="AS205" i="5"/>
  <c r="AM205" i="5"/>
  <c r="AI205" i="5"/>
  <c r="BB204" i="5"/>
  <c r="BA204" i="5"/>
  <c r="AS204" i="5"/>
  <c r="AM204" i="5"/>
  <c r="AI204" i="5"/>
  <c r="BB203" i="5"/>
  <c r="BA203" i="5"/>
  <c r="AS203" i="5"/>
  <c r="AM203" i="5"/>
  <c r="AI203" i="5"/>
  <c r="BB202" i="5"/>
  <c r="BA202" i="5"/>
  <c r="AS202" i="5"/>
  <c r="AM202" i="5"/>
  <c r="AI202" i="5"/>
  <c r="BB201" i="5"/>
  <c r="BA201" i="5"/>
  <c r="AS201" i="5"/>
  <c r="AM201" i="5"/>
  <c r="AI201" i="5"/>
  <c r="BB200" i="5"/>
  <c r="BA200" i="5"/>
  <c r="AS200" i="5"/>
  <c r="AM200" i="5"/>
  <c r="AI200" i="5"/>
  <c r="BB199" i="5"/>
  <c r="BA199" i="5"/>
  <c r="AS199" i="5"/>
  <c r="AM199" i="5"/>
  <c r="AI199" i="5"/>
  <c r="BB198" i="5"/>
  <c r="BA198" i="5"/>
  <c r="AS198" i="5"/>
  <c r="AM198" i="5"/>
  <c r="AI198" i="5"/>
  <c r="BB197" i="5"/>
  <c r="BA197" i="5"/>
  <c r="AS197" i="5"/>
  <c r="AM197" i="5"/>
  <c r="AI197" i="5"/>
  <c r="BB196" i="5"/>
  <c r="BA196" i="5"/>
  <c r="AS196" i="5"/>
  <c r="AM196" i="5"/>
  <c r="AI196" i="5"/>
  <c r="BB195" i="5"/>
  <c r="BA195" i="5"/>
  <c r="AS195" i="5"/>
  <c r="AM195" i="5"/>
  <c r="AI195" i="5"/>
  <c r="BB194" i="5"/>
  <c r="BA194" i="5"/>
  <c r="AS194" i="5"/>
  <c r="AM194" i="5"/>
  <c r="AI194" i="5"/>
  <c r="BB193" i="5"/>
  <c r="BA193" i="5"/>
  <c r="AS193" i="5"/>
  <c r="AM193" i="5"/>
  <c r="AI193" i="5"/>
  <c r="BB192" i="5"/>
  <c r="BA192" i="5"/>
  <c r="AS192" i="5"/>
  <c r="AM192" i="5"/>
  <c r="AI192" i="5"/>
  <c r="BB191" i="5"/>
  <c r="BA191" i="5"/>
  <c r="AS191" i="5"/>
  <c r="AM191" i="5"/>
  <c r="AI191" i="5"/>
  <c r="BB190" i="5"/>
  <c r="BA190" i="5"/>
  <c r="AS190" i="5"/>
  <c r="AM190" i="5"/>
  <c r="AI190" i="5"/>
  <c r="BB189" i="5"/>
  <c r="BA189" i="5"/>
  <c r="AS189" i="5"/>
  <c r="AM189" i="5"/>
  <c r="AI189" i="5"/>
  <c r="BB188" i="5"/>
  <c r="BA188" i="5"/>
  <c r="AS188" i="5"/>
  <c r="AM188" i="5"/>
  <c r="AI188" i="5"/>
  <c r="BB187" i="5"/>
  <c r="BA187" i="5"/>
  <c r="AS187" i="5"/>
  <c r="AM187" i="5"/>
  <c r="AI187" i="5"/>
  <c r="BB186" i="5"/>
  <c r="BA186" i="5"/>
  <c r="AS186" i="5"/>
  <c r="AM186" i="5"/>
  <c r="AI186" i="5"/>
  <c r="BB185" i="5"/>
  <c r="BA185" i="5"/>
  <c r="AS185" i="5"/>
  <c r="AM185" i="5"/>
  <c r="AI185" i="5"/>
  <c r="BB184" i="5"/>
  <c r="BA184" i="5"/>
  <c r="AS184" i="5"/>
  <c r="AM184" i="5"/>
  <c r="AI184" i="5"/>
  <c r="BB183" i="5"/>
  <c r="BA183" i="5"/>
  <c r="AS183" i="5"/>
  <c r="AM183" i="5"/>
  <c r="AI183" i="5"/>
  <c r="BB182" i="5"/>
  <c r="BA182" i="5"/>
  <c r="AS182" i="5"/>
  <c r="AM182" i="5"/>
  <c r="AI182" i="5"/>
  <c r="BB181" i="5"/>
  <c r="BA181" i="5"/>
  <c r="AS181" i="5"/>
  <c r="AM181" i="5"/>
  <c r="AI181" i="5"/>
  <c r="BB180" i="5"/>
  <c r="BA180" i="5"/>
  <c r="AS180" i="5"/>
  <c r="AM180" i="5"/>
  <c r="AI180" i="5"/>
  <c r="BB179" i="5"/>
  <c r="BA179" i="5"/>
  <c r="AS179" i="5"/>
  <c r="AM179" i="5"/>
  <c r="AI179" i="5"/>
  <c r="BB178" i="5"/>
  <c r="BA178" i="5"/>
  <c r="AS178" i="5"/>
  <c r="AM178" i="5"/>
  <c r="AI178" i="5"/>
  <c r="BB177" i="5"/>
  <c r="BA177" i="5"/>
  <c r="AS177" i="5"/>
  <c r="AM177" i="5"/>
  <c r="AI177" i="5"/>
  <c r="BB176" i="5"/>
  <c r="BA176" i="5"/>
  <c r="AS176" i="5"/>
  <c r="AM176" i="5"/>
  <c r="AI176" i="5"/>
  <c r="BB175" i="5"/>
  <c r="BA175" i="5"/>
  <c r="AS175" i="5"/>
  <c r="AM175" i="5"/>
  <c r="AI175" i="5"/>
  <c r="BB174" i="5"/>
  <c r="BA174" i="5"/>
  <c r="AS174" i="5"/>
  <c r="AM174" i="5"/>
  <c r="AI174" i="5"/>
  <c r="BB173" i="5"/>
  <c r="BA173" i="5"/>
  <c r="AS173" i="5"/>
  <c r="AM173" i="5"/>
  <c r="AI173" i="5"/>
  <c r="BB172" i="5"/>
  <c r="BA172" i="5"/>
  <c r="AS172" i="5"/>
  <c r="AM172" i="5"/>
  <c r="AI172" i="5"/>
  <c r="BB171" i="5"/>
  <c r="BA171" i="5"/>
  <c r="AS171" i="5"/>
  <c r="AM171" i="5"/>
  <c r="AI171" i="5"/>
  <c r="BB170" i="5"/>
  <c r="BA170" i="5"/>
  <c r="AS170" i="5"/>
  <c r="AM170" i="5"/>
  <c r="AI170" i="5"/>
  <c r="BB169" i="5"/>
  <c r="BA169" i="5"/>
  <c r="AS169" i="5"/>
  <c r="AM169" i="5"/>
  <c r="AI169" i="5"/>
  <c r="BB168" i="5"/>
  <c r="BA168" i="5"/>
  <c r="AS168" i="5"/>
  <c r="AM168" i="5"/>
  <c r="AI168" i="5"/>
  <c r="BB167" i="5"/>
  <c r="BA167" i="5"/>
  <c r="AS167" i="5"/>
  <c r="AM167" i="5"/>
  <c r="AI167" i="5"/>
  <c r="BB166" i="5"/>
  <c r="BA166" i="5"/>
  <c r="AS166" i="5"/>
  <c r="AM166" i="5"/>
  <c r="AI166" i="5"/>
  <c r="BB165" i="5"/>
  <c r="BA165" i="5"/>
  <c r="AS165" i="5"/>
  <c r="AM165" i="5"/>
  <c r="AI165" i="5"/>
  <c r="BB164" i="5"/>
  <c r="BA164" i="5"/>
  <c r="AS164" i="5"/>
  <c r="AM164" i="5"/>
  <c r="AI164" i="5"/>
  <c r="BB163" i="5"/>
  <c r="BA163" i="5"/>
  <c r="AS163" i="5"/>
  <c r="AM163" i="5"/>
  <c r="AI163" i="5"/>
  <c r="BB162" i="5"/>
  <c r="BA162" i="5"/>
  <c r="AS162" i="5"/>
  <c r="AM162" i="5"/>
  <c r="AI162" i="5"/>
  <c r="BB161" i="5"/>
  <c r="BA161" i="5"/>
  <c r="AS161" i="5"/>
  <c r="AM161" i="5"/>
  <c r="AI161" i="5"/>
  <c r="BB160" i="5"/>
  <c r="BA160" i="5"/>
  <c r="AS160" i="5"/>
  <c r="AM160" i="5"/>
  <c r="AI160" i="5"/>
  <c r="BB159" i="5"/>
  <c r="BA159" i="5"/>
  <c r="AS159" i="5"/>
  <c r="AM159" i="5"/>
  <c r="AI159" i="5"/>
  <c r="BB158" i="5"/>
  <c r="BA158" i="5"/>
  <c r="AS158" i="5"/>
  <c r="AM158" i="5"/>
  <c r="AI158" i="5"/>
  <c r="BA157" i="5"/>
  <c r="AS157" i="5"/>
  <c r="AM157" i="5"/>
  <c r="BA156" i="5"/>
  <c r="AS156" i="5"/>
  <c r="AM156" i="5"/>
  <c r="BA155" i="5"/>
  <c r="AS155" i="5"/>
  <c r="AM155" i="5"/>
  <c r="BA154" i="5"/>
  <c r="AS154" i="5"/>
  <c r="AM154" i="5"/>
  <c r="BA153" i="5"/>
  <c r="AS153" i="5"/>
  <c r="AM153" i="5"/>
  <c r="BA152" i="5"/>
  <c r="AS152" i="5"/>
  <c r="AM152" i="5"/>
  <c r="BA151" i="5"/>
  <c r="AS151" i="5"/>
  <c r="AM151" i="5"/>
  <c r="BA150" i="5"/>
  <c r="AS150" i="5"/>
  <c r="AM150" i="5"/>
  <c r="BA149" i="5"/>
  <c r="AS149" i="5"/>
  <c r="AM149" i="5"/>
  <c r="BA148" i="5"/>
  <c r="AS148" i="5"/>
  <c r="AM148" i="5"/>
  <c r="BA147" i="5"/>
  <c r="AS147" i="5"/>
  <c r="AM147" i="5"/>
  <c r="BA146" i="5"/>
  <c r="AS146" i="5"/>
  <c r="AM146" i="5"/>
  <c r="BA145" i="5"/>
  <c r="AS145" i="5"/>
  <c r="AM145" i="5"/>
  <c r="BA144" i="5"/>
  <c r="AS144" i="5"/>
  <c r="AM144" i="5"/>
  <c r="BA143" i="5"/>
  <c r="AS143" i="5"/>
  <c r="AM143" i="5"/>
  <c r="BA142" i="5"/>
  <c r="AS142" i="5"/>
  <c r="AM142" i="5"/>
  <c r="BA141" i="5"/>
  <c r="AS141" i="5"/>
  <c r="AM141" i="5"/>
  <c r="BA140" i="5"/>
  <c r="AS140" i="5"/>
  <c r="AM140" i="5"/>
  <c r="BA139" i="5"/>
  <c r="AS139" i="5"/>
  <c r="AM139" i="5"/>
  <c r="BA138" i="5"/>
  <c r="AS138" i="5"/>
  <c r="AM138" i="5"/>
  <c r="BA137" i="5"/>
  <c r="AS137" i="5"/>
  <c r="AM137" i="5"/>
  <c r="BA136" i="5"/>
  <c r="AS136" i="5"/>
  <c r="AM136" i="5"/>
  <c r="BA135" i="5"/>
  <c r="AS135" i="5"/>
  <c r="AM135" i="5"/>
  <c r="BA134" i="5"/>
  <c r="AS134" i="5"/>
  <c r="AM134" i="5"/>
  <c r="BA133" i="5"/>
  <c r="AS133" i="5"/>
  <c r="AM133" i="5"/>
  <c r="BA132" i="5"/>
  <c r="AS132" i="5"/>
  <c r="AM132" i="5"/>
  <c r="BA131" i="5"/>
  <c r="AS131" i="5"/>
  <c r="AM131" i="5"/>
  <c r="BA130" i="5"/>
  <c r="AS130" i="5"/>
  <c r="AM130" i="5"/>
  <c r="BA129" i="5"/>
  <c r="AS129" i="5"/>
  <c r="AM129" i="5"/>
  <c r="BA128" i="5"/>
  <c r="AS128" i="5"/>
  <c r="AM128" i="5"/>
  <c r="BA127" i="5"/>
  <c r="AS127" i="5"/>
  <c r="AM127" i="5"/>
  <c r="BA126" i="5"/>
  <c r="AS126" i="5"/>
  <c r="AM126" i="5"/>
  <c r="BA125" i="5"/>
  <c r="AS125" i="5"/>
  <c r="AM125" i="5"/>
  <c r="BA124" i="5"/>
  <c r="AS124" i="5"/>
  <c r="AM124" i="5"/>
  <c r="BA123" i="5"/>
  <c r="AS123" i="5"/>
  <c r="AM123" i="5"/>
  <c r="BA122" i="5"/>
  <c r="AS122" i="5"/>
  <c r="AM122" i="5"/>
  <c r="BA121" i="5"/>
  <c r="AS121" i="5"/>
  <c r="AM121" i="5"/>
  <c r="BA120" i="5"/>
  <c r="AS120" i="5"/>
  <c r="AM120" i="5"/>
  <c r="BA119" i="5"/>
  <c r="AS119" i="5"/>
  <c r="AM119" i="5"/>
  <c r="BA118" i="5"/>
  <c r="AS118" i="5"/>
  <c r="AM118" i="5"/>
  <c r="BA117" i="5"/>
  <c r="AS117" i="5"/>
  <c r="AM117" i="5"/>
  <c r="BA116" i="5"/>
  <c r="AS116" i="5"/>
  <c r="AM116" i="5"/>
  <c r="BA115" i="5"/>
  <c r="AS115" i="5"/>
  <c r="AM115" i="5"/>
  <c r="BA114" i="5"/>
  <c r="AS114" i="5"/>
  <c r="AM114" i="5"/>
  <c r="BA113" i="5"/>
  <c r="AS113" i="5"/>
  <c r="AM113" i="5"/>
  <c r="BA112" i="5"/>
  <c r="AS112" i="5"/>
  <c r="AM112" i="5"/>
  <c r="BA111" i="5"/>
  <c r="AS111" i="5"/>
  <c r="AM111" i="5"/>
  <c r="BA110" i="5"/>
  <c r="AS110" i="5"/>
  <c r="AM110" i="5"/>
  <c r="BA109" i="5"/>
  <c r="AS109" i="5"/>
  <c r="AM109" i="5"/>
  <c r="BA108" i="5"/>
  <c r="AS108" i="5"/>
  <c r="AM108" i="5"/>
  <c r="BA107" i="5"/>
  <c r="AS107" i="5"/>
  <c r="AM107" i="5"/>
  <c r="BA106" i="5"/>
  <c r="AS106" i="5"/>
  <c r="AM106" i="5"/>
  <c r="BA105" i="5"/>
  <c r="AS105" i="5"/>
  <c r="AM105" i="5"/>
  <c r="BA104" i="5"/>
  <c r="AS104" i="5"/>
  <c r="AM104" i="5"/>
  <c r="BA103" i="5"/>
  <c r="AS103" i="5"/>
  <c r="AM103" i="5"/>
  <c r="BA102" i="5"/>
  <c r="AS102" i="5"/>
  <c r="AM102" i="5"/>
  <c r="BA101" i="5"/>
  <c r="AS101" i="5"/>
  <c r="AM101" i="5"/>
  <c r="BA100" i="5"/>
  <c r="AS100" i="5"/>
  <c r="AM100" i="5"/>
  <c r="BA99" i="5"/>
  <c r="AS99" i="5"/>
  <c r="AM99" i="5"/>
  <c r="BA98" i="5"/>
  <c r="AS98" i="5"/>
  <c r="AM98" i="5"/>
  <c r="BA97" i="5"/>
  <c r="AS97" i="5"/>
  <c r="AM97" i="5"/>
  <c r="BA96" i="5"/>
  <c r="AS96" i="5"/>
  <c r="AM96" i="5"/>
  <c r="BA95" i="5"/>
  <c r="AS95" i="5"/>
  <c r="AM95" i="5"/>
  <c r="BA94" i="5"/>
  <c r="AS94" i="5"/>
  <c r="AM94" i="5"/>
  <c r="BA93" i="5"/>
  <c r="AS93" i="5"/>
  <c r="AM93" i="5"/>
  <c r="BA92" i="5"/>
  <c r="AS92" i="5"/>
  <c r="AM92" i="5"/>
  <c r="BA91" i="5"/>
  <c r="AS91" i="5"/>
  <c r="AM91" i="5"/>
  <c r="BA90" i="5"/>
  <c r="AS90" i="5"/>
  <c r="AM90" i="5"/>
  <c r="BA89" i="5"/>
  <c r="AS89" i="5"/>
  <c r="AM89" i="5"/>
  <c r="BA88" i="5"/>
  <c r="AS88" i="5"/>
  <c r="AM88" i="5"/>
  <c r="BA87" i="5"/>
  <c r="AS87" i="5"/>
  <c r="AM87" i="5"/>
  <c r="BA86" i="5"/>
  <c r="AS86" i="5"/>
  <c r="AM86" i="5"/>
  <c r="BA85" i="5"/>
  <c r="AS85" i="5"/>
  <c r="AM85" i="5"/>
  <c r="BA84" i="5"/>
  <c r="AS84" i="5"/>
  <c r="AM84" i="5"/>
  <c r="BA83" i="5"/>
  <c r="AS83" i="5"/>
  <c r="AM83" i="5"/>
  <c r="BA82" i="5"/>
  <c r="AS82" i="5"/>
  <c r="AM82" i="5"/>
  <c r="BA81" i="5"/>
  <c r="AS81" i="5"/>
  <c r="AM81" i="5"/>
  <c r="BA80" i="5"/>
  <c r="AS80" i="5"/>
  <c r="AM80" i="5"/>
  <c r="BA79" i="5"/>
  <c r="AS79" i="5"/>
  <c r="AM79" i="5"/>
  <c r="BA78" i="5"/>
  <c r="AS78" i="5"/>
  <c r="AM78" i="5"/>
  <c r="BA77" i="5"/>
  <c r="AS77" i="5"/>
  <c r="AM77" i="5"/>
  <c r="BA76" i="5"/>
  <c r="AS76" i="5"/>
  <c r="AM76" i="5"/>
  <c r="BA75" i="5"/>
  <c r="AS75" i="5"/>
  <c r="AM75" i="5"/>
  <c r="BA74" i="5"/>
  <c r="AS74" i="5"/>
  <c r="AM74" i="5"/>
  <c r="BA73" i="5"/>
  <c r="AS73" i="5"/>
  <c r="AM73" i="5"/>
  <c r="BA72" i="5"/>
  <c r="AS72" i="5"/>
  <c r="AM72" i="5"/>
  <c r="BA71" i="5"/>
  <c r="AS71" i="5"/>
  <c r="AM71" i="5"/>
  <c r="BA70" i="5"/>
  <c r="AS70" i="5"/>
  <c r="AM70" i="5"/>
  <c r="BA69" i="5"/>
  <c r="AS69" i="5"/>
  <c r="AM69" i="5"/>
  <c r="BA68" i="5"/>
  <c r="AS68" i="5"/>
  <c r="AM68" i="5"/>
  <c r="BA67" i="5"/>
  <c r="AS67" i="5"/>
  <c r="AM67" i="5"/>
  <c r="BA66" i="5"/>
  <c r="AS66" i="5"/>
  <c r="AM66" i="5"/>
  <c r="BA65" i="5"/>
  <c r="AS65" i="5"/>
  <c r="AM65" i="5"/>
  <c r="BA64" i="5"/>
  <c r="AS64" i="5"/>
  <c r="AM64" i="5"/>
  <c r="BA63" i="5"/>
  <c r="AS63" i="5"/>
  <c r="AM63" i="5"/>
  <c r="BA62" i="5"/>
  <c r="AS62" i="5"/>
  <c r="AM62" i="5"/>
  <c r="BA61" i="5"/>
  <c r="AS61" i="5"/>
  <c r="AM61" i="5"/>
  <c r="BA60" i="5"/>
  <c r="AS60" i="5"/>
  <c r="AM60" i="5"/>
  <c r="BA59" i="5"/>
  <c r="AS59" i="5"/>
  <c r="AM59" i="5"/>
  <c r="BA58" i="5"/>
  <c r="AS58" i="5"/>
  <c r="AM58" i="5"/>
  <c r="BA57" i="5"/>
  <c r="AS57" i="5"/>
  <c r="AM57" i="5"/>
  <c r="BA56" i="5"/>
  <c r="AS56" i="5"/>
  <c r="AM56" i="5"/>
  <c r="BA55" i="5"/>
  <c r="AS55" i="5"/>
  <c r="AM55" i="5"/>
  <c r="BA54" i="5"/>
  <c r="AS54" i="5"/>
  <c r="AM54" i="5"/>
  <c r="BA53" i="5"/>
  <c r="AS53" i="5"/>
  <c r="AM53" i="5"/>
  <c r="BA52" i="5"/>
  <c r="AS52" i="5"/>
  <c r="AM52" i="5"/>
  <c r="BA51" i="5"/>
  <c r="AS51" i="5"/>
  <c r="AM51" i="5"/>
  <c r="BA50" i="5"/>
  <c r="AS50" i="5"/>
  <c r="AM50" i="5"/>
  <c r="BA49" i="5"/>
  <c r="AS49" i="5"/>
  <c r="AM49" i="5"/>
  <c r="BA48" i="5"/>
  <c r="AS48" i="5"/>
  <c r="AM48" i="5"/>
  <c r="BA47" i="5"/>
  <c r="AS47" i="5"/>
  <c r="AM47" i="5"/>
  <c r="BA46" i="5"/>
  <c r="AS46" i="5"/>
  <c r="AM46" i="5"/>
  <c r="BA45" i="5"/>
  <c r="AS45" i="5"/>
  <c r="AM45" i="5"/>
  <c r="BA44" i="5"/>
  <c r="AS44" i="5"/>
  <c r="AM44" i="5"/>
  <c r="BA43" i="5"/>
  <c r="AS43" i="5"/>
  <c r="AM43" i="5"/>
  <c r="BA42" i="5"/>
  <c r="AS42" i="5"/>
  <c r="AM42" i="5"/>
  <c r="BA41" i="5"/>
  <c r="AS41" i="5"/>
  <c r="AM41" i="5"/>
  <c r="BA40" i="5"/>
  <c r="AS40" i="5"/>
  <c r="AM40" i="5"/>
  <c r="BA39" i="5"/>
  <c r="AS39" i="5"/>
  <c r="AM39" i="5"/>
  <c r="BA38" i="5"/>
  <c r="AS38" i="5"/>
  <c r="AM38" i="5"/>
  <c r="BA37" i="5"/>
  <c r="AS37" i="5"/>
  <c r="AM37" i="5"/>
  <c r="BA36" i="5"/>
  <c r="AS36" i="5"/>
  <c r="AM36" i="5"/>
  <c r="BA35" i="5"/>
  <c r="AS35" i="5"/>
  <c r="AM35" i="5"/>
  <c r="BA34" i="5"/>
  <c r="AS34" i="5"/>
  <c r="AM34" i="5"/>
  <c r="BA33" i="5"/>
  <c r="AS33" i="5"/>
  <c r="AM33" i="5"/>
  <c r="BA32" i="5"/>
  <c r="AS32" i="5"/>
  <c r="AM32" i="5"/>
  <c r="BA31" i="5"/>
  <c r="AS31" i="5"/>
  <c r="AM31" i="5"/>
  <c r="BA30" i="5"/>
  <c r="AS30" i="5"/>
  <c r="AM30" i="5"/>
  <c r="BA29" i="5"/>
  <c r="AS29" i="5"/>
  <c r="AM29" i="5"/>
  <c r="BA28" i="5"/>
  <c r="AS28" i="5"/>
  <c r="AM28" i="5"/>
  <c r="BA27" i="5"/>
  <c r="AS27" i="5"/>
  <c r="AM27" i="5"/>
  <c r="BA26" i="5"/>
  <c r="AS26" i="5"/>
  <c r="AM26" i="5"/>
  <c r="BA25" i="5"/>
  <c r="AS25" i="5"/>
  <c r="AM25" i="5"/>
  <c r="BA24" i="5"/>
  <c r="AS24" i="5"/>
  <c r="AM24" i="5"/>
  <c r="BA23" i="5"/>
  <c r="AS23" i="5"/>
  <c r="AM23" i="5"/>
  <c r="BA22" i="5"/>
  <c r="AS22" i="5"/>
  <c r="AM22" i="5"/>
  <c r="BA21" i="5"/>
  <c r="AS21" i="5"/>
  <c r="AM21" i="5"/>
  <c r="BA20" i="5"/>
  <c r="AS20" i="5"/>
  <c r="AM20" i="5"/>
  <c r="BA19" i="5"/>
  <c r="AS19" i="5"/>
  <c r="AM19" i="5"/>
  <c r="BA18" i="5"/>
  <c r="AS18" i="5"/>
  <c r="AM18" i="5"/>
  <c r="BA17" i="5"/>
  <c r="AS17" i="5"/>
  <c r="AM17" i="5"/>
  <c r="BA16" i="5"/>
  <c r="AS16" i="5"/>
  <c r="AM16" i="5"/>
  <c r="BA15" i="5"/>
  <c r="AS15" i="5"/>
  <c r="AM15" i="5"/>
  <c r="BA14" i="5"/>
  <c r="AS14" i="5"/>
  <c r="AM14" i="5"/>
  <c r="BA13" i="5"/>
  <c r="AS13" i="5"/>
  <c r="AM13" i="5"/>
  <c r="BA12" i="5"/>
  <c r="AS12" i="5"/>
  <c r="AM12" i="5"/>
  <c r="BA11" i="5"/>
  <c r="AS11" i="5"/>
  <c r="AM11" i="5"/>
  <c r="BA10" i="5"/>
  <c r="AS10" i="5"/>
  <c r="AM10" i="5"/>
  <c r="G6" i="5"/>
  <c r="D6" i="5"/>
  <c r="A6" i="5"/>
  <c r="G4" i="5"/>
  <c r="D4" i="5"/>
  <c r="A4" i="5"/>
  <c r="A29" i="3"/>
  <c r="A28" i="3"/>
  <c r="A27" i="3"/>
  <c r="A26" i="3"/>
  <c r="A25" i="3"/>
  <c r="A24" i="3"/>
  <c r="A23" i="3"/>
  <c r="A22" i="3"/>
  <c r="A21" i="3"/>
  <c r="A20" i="3"/>
  <c r="A19" i="3"/>
  <c r="A18" i="3"/>
  <c r="A17" i="3"/>
  <c r="A16" i="3"/>
  <c r="A15" i="3"/>
  <c r="A14" i="3"/>
  <c r="A13" i="3"/>
  <c r="A12" i="3"/>
  <c r="A11" i="3"/>
  <c r="A10" i="3"/>
  <c r="A6" i="3"/>
  <c r="G4" i="3"/>
  <c r="D4" i="3"/>
  <c r="A4" i="3"/>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8" i="2"/>
  <c r="G4" i="2"/>
  <c r="D4" i="2"/>
  <c r="A4" i="2"/>
  <c r="G4" i="10"/>
  <c r="D4" i="10"/>
  <c r="A4" i="10"/>
  <c r="A100" i="4"/>
  <c r="K76" i="4"/>
  <c r="N21" i="4"/>
  <c r="M5" i="4"/>
  <c r="G5" i="4"/>
  <c r="A5" i="4"/>
  <c r="P4" i="4"/>
  <c r="M4" i="4"/>
  <c r="J4" i="4"/>
  <c r="G4" i="4"/>
  <c r="D4" i="4"/>
  <c r="A4" i="4"/>
  <c r="K59" i="1"/>
  <c r="K58" i="1"/>
  <c r="A58" i="1"/>
  <c r="K57" i="1"/>
  <c r="A57" i="1"/>
  <c r="K56" i="1"/>
  <c r="A56" i="1"/>
  <c r="K55" i="1"/>
  <c r="A55" i="1"/>
  <c r="K54" i="1"/>
  <c r="A54" i="1"/>
  <c r="K53" i="1"/>
  <c r="A53" i="1"/>
  <c r="K52" i="1"/>
  <c r="A52" i="1"/>
  <c r="K51" i="1"/>
  <c r="A51" i="1"/>
  <c r="K50" i="1"/>
  <c r="A50" i="1"/>
  <c r="M45" i="1"/>
  <c r="P23" i="1"/>
  <c r="K23" i="1"/>
  <c r="A23" i="1"/>
  <c r="M5" i="1"/>
  <c r="G5" i="1"/>
  <c r="A5" i="1"/>
  <c r="P4" i="1"/>
  <c r="M4" i="1"/>
  <c r="J4" i="1"/>
  <c r="G4" i="1"/>
  <c r="D4" i="1"/>
  <c r="A4" i="1"/>
  <c r="BB11" i="5" l="1"/>
  <c r="BB10" i="5"/>
  <c r="J849" i="8"/>
  <c r="G849" i="8" s="1"/>
  <c r="H849" i="8" s="1"/>
  <c r="J389" i="8"/>
  <c r="G389" i="8" s="1"/>
  <c r="H389" i="8" s="1"/>
  <c r="O195" i="7"/>
  <c r="O187" i="7"/>
  <c r="O179" i="7"/>
  <c r="O186" i="7"/>
  <c r="O173" i="7"/>
  <c r="L173" i="7" s="1"/>
  <c r="O185" i="7"/>
  <c r="O175" i="7"/>
  <c r="L175" i="7" s="1"/>
  <c r="J850" i="8"/>
  <c r="G850" i="8" s="1"/>
  <c r="H850" i="8" s="1"/>
  <c r="J843" i="8"/>
  <c r="G843" i="8" s="1"/>
  <c r="H843" i="8" s="1"/>
  <c r="J391" i="8"/>
  <c r="G391" i="8" s="1"/>
  <c r="H391" i="8" s="1"/>
  <c r="J847" i="8"/>
  <c r="G847" i="8" s="1"/>
  <c r="H847" i="8" s="1"/>
  <c r="J867" i="8"/>
  <c r="G867" i="8" s="1"/>
  <c r="H867" i="8" s="1"/>
  <c r="J866" i="8"/>
  <c r="G866" i="8" s="1"/>
  <c r="H866" i="8" s="1"/>
  <c r="J865" i="8"/>
  <c r="G865" i="8" s="1"/>
  <c r="H865" i="8" s="1"/>
  <c r="J864" i="8"/>
  <c r="G864" i="8" s="1"/>
  <c r="H864" i="8" s="1"/>
  <c r="J863" i="8"/>
  <c r="G863" i="8" s="1"/>
  <c r="H863" i="8" s="1"/>
  <c r="J862" i="8"/>
  <c r="G862" i="8" s="1"/>
  <c r="H862" i="8" s="1"/>
  <c r="J860" i="8"/>
  <c r="G860" i="8" s="1"/>
  <c r="H860" i="8" s="1"/>
  <c r="J858" i="8"/>
  <c r="G858" i="8" s="1"/>
  <c r="H858" i="8" s="1"/>
  <c r="J856" i="8"/>
  <c r="G856" i="8" s="1"/>
  <c r="H856" i="8" s="1"/>
  <c r="J854" i="8"/>
  <c r="G854" i="8" s="1"/>
  <c r="H854" i="8" s="1"/>
  <c r="J852" i="8"/>
  <c r="G852" i="8" s="1"/>
  <c r="H852" i="8" s="1"/>
  <c r="O190" i="7"/>
  <c r="J844" i="8"/>
  <c r="G844" i="8" s="1"/>
  <c r="H844" i="8" s="1"/>
  <c r="J390" i="8"/>
  <c r="G390" i="8" s="1"/>
  <c r="H390" i="8" s="1"/>
  <c r="O191" i="7"/>
  <c r="O183" i="7"/>
  <c r="O176" i="7"/>
  <c r="L176" i="7" s="1"/>
  <c r="O177" i="7"/>
  <c r="O182" i="7"/>
  <c r="J405" i="8"/>
  <c r="G405" i="8" s="1"/>
  <c r="H405" i="8" s="1"/>
  <c r="J404" i="8"/>
  <c r="G404" i="8" s="1"/>
  <c r="H404" i="8" s="1"/>
  <c r="J403" i="8"/>
  <c r="G403" i="8" s="1"/>
  <c r="H403" i="8" s="1"/>
  <c r="J861" i="8"/>
  <c r="G861" i="8" s="1"/>
  <c r="H861" i="8" s="1"/>
  <c r="J859" i="8"/>
  <c r="G859" i="8" s="1"/>
  <c r="H859" i="8" s="1"/>
  <c r="J857" i="8"/>
  <c r="G857" i="8" s="1"/>
  <c r="H857" i="8" s="1"/>
  <c r="J855" i="8"/>
  <c r="G855" i="8" s="1"/>
  <c r="H855" i="8" s="1"/>
  <c r="J853" i="8"/>
  <c r="G853" i="8" s="1"/>
  <c r="H853" i="8" s="1"/>
  <c r="J848" i="8"/>
  <c r="G848" i="8" s="1"/>
  <c r="H848" i="8" s="1"/>
  <c r="J845" i="8"/>
  <c r="G845" i="8" s="1"/>
  <c r="H845" i="8" s="1"/>
  <c r="O194" i="7"/>
  <c r="O184" i="7"/>
  <c r="O178" i="7"/>
  <c r="J402" i="8"/>
  <c r="G402" i="8" s="1"/>
  <c r="H402" i="8" s="1"/>
  <c r="J401" i="8"/>
  <c r="G401" i="8" s="1"/>
  <c r="H401" i="8" s="1"/>
  <c r="J400" i="8"/>
  <c r="G400" i="8" s="1"/>
  <c r="H400" i="8" s="1"/>
  <c r="J399" i="8"/>
  <c r="G399" i="8" s="1"/>
  <c r="H399" i="8" s="1"/>
  <c r="J398" i="8"/>
  <c r="G398" i="8" s="1"/>
  <c r="H398" i="8" s="1"/>
  <c r="J397" i="8"/>
  <c r="G397" i="8" s="1"/>
  <c r="H397" i="8" s="1"/>
  <c r="J396" i="8"/>
  <c r="G396" i="8" s="1"/>
  <c r="H396" i="8" s="1"/>
  <c r="J395" i="8"/>
  <c r="G395" i="8" s="1"/>
  <c r="H395" i="8" s="1"/>
  <c r="J394" i="8"/>
  <c r="G394" i="8" s="1"/>
  <c r="H394" i="8" s="1"/>
  <c r="J393" i="8"/>
  <c r="G393" i="8" s="1"/>
  <c r="H393" i="8" s="1"/>
  <c r="J392" i="8"/>
  <c r="G392" i="8" s="1"/>
  <c r="H392" i="8" s="1"/>
  <c r="J387" i="8"/>
  <c r="G387" i="8" s="1"/>
  <c r="H387" i="8" s="1"/>
  <c r="O192" i="7"/>
  <c r="O200" i="7"/>
  <c r="O198" i="7"/>
  <c r="O196" i="7"/>
  <c r="O188" i="7"/>
  <c r="O180" i="7"/>
  <c r="O172" i="7"/>
  <c r="L172" i="7" s="1"/>
  <c r="O213" i="7"/>
  <c r="O212" i="7"/>
  <c r="O211" i="7"/>
  <c r="O210" i="7"/>
  <c r="O209" i="7"/>
  <c r="O208" i="7"/>
  <c r="O207" i="7"/>
  <c r="O206" i="7"/>
  <c r="O205" i="7"/>
  <c r="O204" i="7"/>
  <c r="O203" i="7"/>
  <c r="O202" i="7"/>
  <c r="O201" i="7"/>
  <c r="O199" i="7"/>
  <c r="O197" i="7"/>
  <c r="O189" i="7"/>
  <c r="O181" i="7"/>
  <c r="O174" i="7"/>
  <c r="L174" i="7" s="1"/>
  <c r="J851" i="8"/>
  <c r="G851" i="8" s="1"/>
  <c r="H851" i="8" s="1"/>
  <c r="J846" i="8"/>
  <c r="G846" i="8" s="1"/>
  <c r="H846" i="8" s="1"/>
  <c r="J388" i="8"/>
  <c r="G388" i="8" s="1"/>
  <c r="H388" i="8" s="1"/>
  <c r="O193" i="7"/>
  <c r="J873" i="8"/>
  <c r="G873" i="8" s="1"/>
  <c r="H873" i="8" s="1"/>
  <c r="J872" i="8"/>
  <c r="G872" i="8" s="1"/>
  <c r="H872" i="8" s="1"/>
  <c r="J871" i="8"/>
  <c r="G871" i="8" s="1"/>
  <c r="H871" i="8" s="1"/>
  <c r="J870" i="8"/>
  <c r="G870" i="8" s="1"/>
  <c r="H870" i="8" s="1"/>
  <c r="J869" i="8"/>
  <c r="G869" i="8" s="1"/>
  <c r="H869" i="8" s="1"/>
  <c r="J868" i="8"/>
  <c r="G868" i="8" s="1"/>
  <c r="H868" i="8" s="1"/>
  <c r="J406" i="8"/>
  <c r="G406" i="8" s="1"/>
  <c r="H406" i="8" s="1"/>
  <c r="O215" i="7"/>
  <c r="O214" i="7"/>
  <c r="O219" i="7"/>
  <c r="O218" i="7"/>
  <c r="O217" i="7"/>
  <c r="O216" i="7"/>
  <c r="J876" i="8"/>
  <c r="G876" i="8" s="1"/>
  <c r="H876" i="8" s="1"/>
  <c r="J875" i="8"/>
  <c r="G875" i="8" s="1"/>
  <c r="H875" i="8" s="1"/>
  <c r="J874" i="8"/>
  <c r="G874" i="8" s="1"/>
  <c r="H874" i="8" s="1"/>
  <c r="J205" i="8"/>
  <c r="G205" i="8" s="1"/>
  <c r="H205" i="8" s="1"/>
  <c r="J204" i="8"/>
  <c r="G204" i="8" s="1"/>
  <c r="H204" i="8" s="1"/>
  <c r="J203" i="8"/>
  <c r="G203" i="8" s="1"/>
  <c r="H203" i="8" s="1"/>
  <c r="J202" i="8"/>
  <c r="G202" i="8" s="1"/>
  <c r="H202" i="8" s="1"/>
  <c r="J201" i="8"/>
  <c r="G201" i="8" s="1"/>
  <c r="H201" i="8" s="1"/>
  <c r="J200" i="8"/>
  <c r="G200" i="8" s="1"/>
  <c r="H200" i="8" s="1"/>
  <c r="J199" i="8"/>
  <c r="G199" i="8" s="1"/>
  <c r="H199" i="8" s="1"/>
  <c r="J198" i="8"/>
  <c r="G198" i="8" s="1"/>
  <c r="H198" i="8" s="1"/>
  <c r="J197" i="8"/>
  <c r="G197" i="8" s="1"/>
  <c r="H197" i="8" s="1"/>
  <c r="J196" i="8"/>
  <c r="G196" i="8" s="1"/>
  <c r="H196" i="8" s="1"/>
  <c r="J195" i="8"/>
  <c r="G195" i="8" s="1"/>
  <c r="H195" i="8" s="1"/>
  <c r="J194" i="8"/>
  <c r="G194" i="8" s="1"/>
  <c r="H194" i="8" s="1"/>
  <c r="J193" i="8"/>
  <c r="G193" i="8" s="1"/>
  <c r="H193" i="8" s="1"/>
  <c r="J192" i="8"/>
  <c r="G192" i="8" s="1"/>
  <c r="H192" i="8" s="1"/>
  <c r="J191" i="8"/>
  <c r="G191" i="8" s="1"/>
  <c r="H191" i="8" s="1"/>
  <c r="J1561" i="8"/>
  <c r="G1561" i="8" s="1"/>
  <c r="H1561" i="8" s="1"/>
  <c r="J189" i="8"/>
  <c r="G189" i="8" s="1"/>
  <c r="H189" i="8" s="1"/>
  <c r="J188" i="8"/>
  <c r="G188" i="8" s="1"/>
  <c r="H188" i="8" s="1"/>
  <c r="J187" i="8"/>
  <c r="G187" i="8" s="1"/>
  <c r="H187" i="8" s="1"/>
  <c r="J186" i="8"/>
  <c r="G186" i="8" s="1"/>
  <c r="H186" i="8" s="1"/>
  <c r="J185" i="8"/>
  <c r="G185" i="8" s="1"/>
  <c r="H185" i="8" s="1"/>
  <c r="J184" i="8"/>
  <c r="G184" i="8" s="1"/>
  <c r="H184" i="8" s="1"/>
  <c r="J183" i="8"/>
  <c r="G183" i="8" s="1"/>
  <c r="H183" i="8" s="1"/>
  <c r="J182" i="8"/>
  <c r="G182" i="8" s="1"/>
  <c r="H182" i="8" s="1"/>
  <c r="J181" i="8"/>
  <c r="G181" i="8" s="1"/>
  <c r="H181" i="8" s="1"/>
  <c r="J180" i="8"/>
  <c r="G180" i="8" s="1"/>
  <c r="H180" i="8" s="1"/>
  <c r="J179" i="8"/>
  <c r="G179" i="8" s="1"/>
  <c r="H179" i="8" s="1"/>
  <c r="J178" i="8"/>
  <c r="G178" i="8" s="1"/>
  <c r="H178" i="8" s="1"/>
  <c r="J177" i="8"/>
  <c r="G177" i="8" s="1"/>
  <c r="H177" i="8" s="1"/>
  <c r="J176" i="8"/>
  <c r="G176" i="8" s="1"/>
  <c r="H176" i="8" s="1"/>
  <c r="J175" i="8"/>
  <c r="G175" i="8" s="1"/>
  <c r="H175" i="8" s="1"/>
  <c r="J174" i="8"/>
  <c r="G174" i="8" s="1"/>
  <c r="H174" i="8" s="1"/>
  <c r="J1585" i="8"/>
  <c r="G1585" i="8" s="1"/>
  <c r="H1585" i="8" s="1"/>
  <c r="J1584" i="8"/>
  <c r="G1584" i="8" s="1"/>
  <c r="H1584" i="8" s="1"/>
  <c r="J1583" i="8"/>
  <c r="G1583" i="8" s="1"/>
  <c r="H1583" i="8" s="1"/>
  <c r="J1582" i="8"/>
  <c r="G1582" i="8" s="1"/>
  <c r="H1582" i="8" s="1"/>
  <c r="J1581" i="8"/>
  <c r="G1581" i="8" s="1"/>
  <c r="H1581" i="8" s="1"/>
  <c r="J1580" i="8"/>
  <c r="G1580" i="8" s="1"/>
  <c r="H1580" i="8" s="1"/>
  <c r="O277" i="7"/>
  <c r="O276" i="7"/>
  <c r="O275" i="7"/>
  <c r="O274" i="7"/>
  <c r="O273" i="7"/>
  <c r="O272" i="7"/>
  <c r="O271" i="7"/>
  <c r="O270" i="7"/>
  <c r="O269" i="7"/>
  <c r="O268" i="7"/>
  <c r="O267" i="7"/>
  <c r="O266" i="7"/>
  <c r="O265" i="7"/>
  <c r="O264" i="7"/>
  <c r="O263" i="7"/>
  <c r="O262" i="7"/>
  <c r="O261" i="7"/>
  <c r="O260" i="7"/>
  <c r="O259" i="7"/>
  <c r="O258" i="7"/>
  <c r="O257" i="7"/>
  <c r="O256" i="7"/>
  <c r="O255" i="7"/>
  <c r="O254" i="7"/>
  <c r="O253" i="7"/>
  <c r="O252" i="7"/>
  <c r="O251" i="7"/>
  <c r="O250" i="7"/>
  <c r="O249" i="7"/>
  <c r="O248" i="7"/>
  <c r="O247" i="7"/>
  <c r="O246" i="7"/>
  <c r="O245" i="7"/>
  <c r="O244" i="7"/>
  <c r="O243" i="7"/>
  <c r="J1579" i="8"/>
  <c r="G1579" i="8" s="1"/>
  <c r="H1579" i="8" s="1"/>
  <c r="O241" i="7"/>
  <c r="O240" i="7"/>
  <c r="O239" i="7"/>
  <c r="O238" i="7"/>
  <c r="O237" i="7"/>
  <c r="O236" i="7"/>
  <c r="O235" i="7"/>
  <c r="O234" i="7"/>
  <c r="O233" i="7"/>
  <c r="O232" i="7"/>
  <c r="O231" i="7"/>
  <c r="O230" i="7"/>
  <c r="O229" i="7"/>
  <c r="O228" i="7"/>
  <c r="O227" i="7"/>
  <c r="O226" i="7"/>
  <c r="O225" i="7"/>
  <c r="O224" i="7"/>
  <c r="O223" i="7"/>
  <c r="O222" i="7"/>
  <c r="O221" i="7"/>
  <c r="O220" i="7"/>
  <c r="J1578" i="8"/>
  <c r="G1578" i="8" s="1"/>
  <c r="H1578" i="8" s="1"/>
  <c r="J1577" i="8"/>
  <c r="G1577" i="8" s="1"/>
  <c r="H1577" i="8" s="1"/>
  <c r="J1576" i="8"/>
  <c r="G1576" i="8" s="1"/>
  <c r="H1576" i="8" s="1"/>
  <c r="J1575" i="8"/>
  <c r="G1575" i="8" s="1"/>
  <c r="H1575" i="8" s="1"/>
  <c r="J1574" i="8"/>
  <c r="G1574" i="8" s="1"/>
  <c r="H1574" i="8" s="1"/>
  <c r="J1573" i="8"/>
  <c r="G1573" i="8" s="1"/>
  <c r="H1573" i="8" s="1"/>
  <c r="J190" i="8"/>
  <c r="G190" i="8" s="1"/>
  <c r="H190" i="8" s="1"/>
  <c r="J1572" i="8"/>
  <c r="G1572" i="8" s="1"/>
  <c r="H1572" i="8" s="1"/>
  <c r="J1571" i="8"/>
  <c r="G1571" i="8" s="1"/>
  <c r="H1571" i="8" s="1"/>
  <c r="J1570" i="8"/>
  <c r="G1570" i="8" s="1"/>
  <c r="H1570" i="8" s="1"/>
  <c r="J1569" i="8"/>
  <c r="G1569" i="8" s="1"/>
  <c r="H1569" i="8" s="1"/>
  <c r="J1568" i="8"/>
  <c r="G1568" i="8" s="1"/>
  <c r="H1568" i="8" s="1"/>
  <c r="J1567" i="8"/>
  <c r="G1567" i="8" s="1"/>
  <c r="H1567" i="8" s="1"/>
  <c r="J1566" i="8"/>
  <c r="G1566" i="8" s="1"/>
  <c r="H1566" i="8" s="1"/>
  <c r="J1565" i="8"/>
  <c r="G1565" i="8" s="1"/>
  <c r="H1565" i="8" s="1"/>
  <c r="J1564" i="8"/>
  <c r="G1564" i="8" s="1"/>
  <c r="H1564" i="8" s="1"/>
  <c r="J1563" i="8"/>
  <c r="G1563" i="8" s="1"/>
  <c r="H1563" i="8" s="1"/>
  <c r="J1562" i="8"/>
  <c r="G1562" i="8" s="1"/>
  <c r="H1562" i="8" s="1"/>
  <c r="J1560" i="8"/>
  <c r="G1560" i="8" s="1"/>
  <c r="H1560" i="8" s="1"/>
  <c r="J1559" i="8"/>
  <c r="G1559" i="8" s="1"/>
  <c r="H1559" i="8" s="1"/>
  <c r="J1558" i="8"/>
  <c r="G1558" i="8" s="1"/>
  <c r="H1558" i="8" s="1"/>
  <c r="J1557" i="8"/>
  <c r="G1557" i="8" s="1"/>
  <c r="H1557" i="8" s="1"/>
  <c r="J1556" i="8"/>
  <c r="G1556" i="8" s="1"/>
  <c r="H1556" i="8" s="1"/>
  <c r="J888" i="8"/>
  <c r="G888" i="8" s="1"/>
  <c r="H888" i="8" s="1"/>
  <c r="J887" i="8"/>
  <c r="G887" i="8" s="1"/>
  <c r="H887" i="8" s="1"/>
  <c r="J886" i="8"/>
  <c r="G886" i="8" s="1"/>
  <c r="H886" i="8" s="1"/>
  <c r="J885" i="8"/>
  <c r="G885" i="8" s="1"/>
  <c r="H885" i="8" s="1"/>
  <c r="J884" i="8"/>
  <c r="G884" i="8" s="1"/>
  <c r="H884" i="8" s="1"/>
  <c r="J883" i="8"/>
  <c r="G883" i="8" s="1"/>
  <c r="H883" i="8" s="1"/>
  <c r="J882" i="8"/>
  <c r="G882" i="8" s="1"/>
  <c r="H882" i="8" s="1"/>
  <c r="J881" i="8"/>
  <c r="G881" i="8" s="1"/>
  <c r="H881" i="8" s="1"/>
  <c r="J880" i="8"/>
  <c r="G880" i="8" s="1"/>
  <c r="H880" i="8" s="1"/>
  <c r="J879" i="8"/>
  <c r="G879" i="8" s="1"/>
  <c r="H879" i="8" s="1"/>
  <c r="J878" i="8"/>
  <c r="G878" i="8" s="1"/>
  <c r="H878" i="8" s="1"/>
  <c r="J877" i="8"/>
  <c r="G877" i="8" s="1"/>
  <c r="H877" i="8" s="1"/>
  <c r="O242" i="7"/>
  <c r="L252" i="7"/>
  <c r="L246" i="7"/>
  <c r="L237" i="7"/>
  <c r="L231" i="7"/>
  <c r="L222" i="7"/>
  <c r="L214" i="7"/>
  <c r="L207" i="7"/>
  <c r="L197" i="7"/>
  <c r="L190" i="7"/>
  <c r="L181" i="7"/>
  <c r="L257" i="7"/>
  <c r="L243" i="7"/>
  <c r="L235" i="7"/>
  <c r="L227" i="7"/>
  <c r="L219" i="7"/>
  <c r="L211" i="7"/>
  <c r="L203" i="7"/>
  <c r="L196" i="7"/>
  <c r="L187" i="7"/>
  <c r="L180" i="7"/>
  <c r="L254" i="7"/>
  <c r="L245" i="7"/>
  <c r="L240" i="7"/>
  <c r="L232" i="7"/>
  <c r="L224" i="7"/>
  <c r="L215" i="7"/>
  <c r="L208" i="7"/>
  <c r="L200" i="7"/>
  <c r="L192" i="7"/>
  <c r="L184" i="7"/>
  <c r="L251" i="7"/>
  <c r="L244" i="7"/>
  <c r="L236" i="7"/>
  <c r="L228" i="7"/>
  <c r="L221" i="7"/>
  <c r="L213" i="7"/>
  <c r="L204" i="7"/>
  <c r="L195" i="7"/>
  <c r="L188" i="7"/>
  <c r="L179" i="7"/>
  <c r="L255" i="7"/>
  <c r="L247" i="7"/>
  <c r="L238" i="7"/>
  <c r="L229" i="7"/>
  <c r="L223" i="7"/>
  <c r="L216" i="7"/>
  <c r="L206" i="7"/>
  <c r="L199" i="7"/>
  <c r="L189" i="7"/>
  <c r="L182" i="7"/>
  <c r="L277" i="7"/>
  <c r="L276" i="7"/>
  <c r="L275" i="7"/>
  <c r="L274" i="7"/>
  <c r="L273" i="7"/>
  <c r="L272" i="7"/>
  <c r="L271" i="7"/>
  <c r="L270" i="7"/>
  <c r="L269" i="7"/>
  <c r="L268" i="7"/>
  <c r="L267" i="7"/>
  <c r="L266" i="7"/>
  <c r="L265" i="7"/>
  <c r="L264" i="7"/>
  <c r="L263" i="7"/>
  <c r="L262" i="7"/>
  <c r="L261" i="7"/>
  <c r="L260" i="7"/>
  <c r="L259" i="7"/>
  <c r="L258" i="7"/>
  <c r="L250" i="7"/>
  <c r="L242" i="7"/>
  <c r="L234" i="7"/>
  <c r="L226" i="7"/>
  <c r="L218" i="7"/>
  <c r="L210" i="7"/>
  <c r="L202" i="7"/>
  <c r="L194" i="7"/>
  <c r="L186" i="7"/>
  <c r="L178" i="7"/>
  <c r="BB21" i="5"/>
  <c r="BB17" i="5"/>
  <c r="BB15" i="5"/>
  <c r="BB13" i="5"/>
  <c r="L253" i="7"/>
  <c r="L248" i="7"/>
  <c r="L239" i="7"/>
  <c r="L230" i="7"/>
  <c r="L220" i="7"/>
  <c r="L212" i="7"/>
  <c r="L205" i="7"/>
  <c r="L198" i="7"/>
  <c r="L191" i="7"/>
  <c r="L183" i="7"/>
  <c r="BB157" i="5"/>
  <c r="BB156" i="5"/>
  <c r="BB155" i="5"/>
  <c r="BB154" i="5"/>
  <c r="BB153" i="5"/>
  <c r="BB152" i="5"/>
  <c r="BB151" i="5"/>
  <c r="BB150" i="5"/>
  <c r="BB149" i="5"/>
  <c r="BB148" i="5"/>
  <c r="BB147" i="5"/>
  <c r="BB146" i="5"/>
  <c r="BB145" i="5"/>
  <c r="BB144" i="5"/>
  <c r="BB143" i="5"/>
  <c r="BB142" i="5"/>
  <c r="BB141" i="5"/>
  <c r="BB140" i="5"/>
  <c r="BB139" i="5"/>
  <c r="BB138" i="5"/>
  <c r="BB137" i="5"/>
  <c r="BB136" i="5"/>
  <c r="BB135" i="5"/>
  <c r="BB134" i="5"/>
  <c r="BB133" i="5"/>
  <c r="BB132" i="5"/>
  <c r="BB131" i="5"/>
  <c r="BB130" i="5"/>
  <c r="BB129" i="5"/>
  <c r="BB128" i="5"/>
  <c r="BB127" i="5"/>
  <c r="BB126" i="5"/>
  <c r="BB125" i="5"/>
  <c r="BB124" i="5"/>
  <c r="BB123" i="5"/>
  <c r="BB122" i="5"/>
  <c r="BB121" i="5"/>
  <c r="BB120" i="5"/>
  <c r="BB119" i="5"/>
  <c r="BB118" i="5"/>
  <c r="BB117" i="5"/>
  <c r="BB116" i="5"/>
  <c r="BB115" i="5"/>
  <c r="BB114" i="5"/>
  <c r="BB113" i="5"/>
  <c r="BB112" i="5"/>
  <c r="BB111" i="5"/>
  <c r="BB110" i="5"/>
  <c r="BB109" i="5"/>
  <c r="BB108" i="5"/>
  <c r="BB107" i="5"/>
  <c r="BB106" i="5"/>
  <c r="BB105" i="5"/>
  <c r="BB104" i="5"/>
  <c r="BB103" i="5"/>
  <c r="BB102" i="5"/>
  <c r="BB101" i="5"/>
  <c r="BB100" i="5"/>
  <c r="BB99" i="5"/>
  <c r="BB98" i="5"/>
  <c r="BB97" i="5"/>
  <c r="BB96" i="5"/>
  <c r="BB95" i="5"/>
  <c r="BB94" i="5"/>
  <c r="BB93" i="5"/>
  <c r="BB92" i="5"/>
  <c r="BB91" i="5"/>
  <c r="BB90" i="5"/>
  <c r="BB89" i="5"/>
  <c r="BB88" i="5"/>
  <c r="BB87" i="5"/>
  <c r="BB86" i="5"/>
  <c r="BB85" i="5"/>
  <c r="BB84" i="5"/>
  <c r="BB83" i="5"/>
  <c r="BB82" i="5"/>
  <c r="BB81" i="5"/>
  <c r="BB80" i="5"/>
  <c r="BB79" i="5"/>
  <c r="BB78" i="5"/>
  <c r="BB77" i="5"/>
  <c r="BB76" i="5"/>
  <c r="BB75" i="5"/>
  <c r="BB74" i="5"/>
  <c r="BB73" i="5"/>
  <c r="BB72" i="5"/>
  <c r="BB71" i="5"/>
  <c r="BB70" i="5"/>
  <c r="BB69" i="5"/>
  <c r="BB68" i="5"/>
  <c r="BB67" i="5"/>
  <c r="BB66" i="5"/>
  <c r="BB65" i="5"/>
  <c r="BB64" i="5"/>
  <c r="BB63" i="5"/>
  <c r="BB62" i="5"/>
  <c r="BB61" i="5"/>
  <c r="BB60" i="5"/>
  <c r="BB59" i="5"/>
  <c r="BB58" i="5"/>
  <c r="BB57" i="5"/>
  <c r="BB56" i="5"/>
  <c r="BB55" i="5"/>
  <c r="BB54" i="5"/>
  <c r="BB53" i="5"/>
  <c r="BB52" i="5"/>
  <c r="BB51" i="5"/>
  <c r="BB50" i="5"/>
  <c r="BB49" i="5"/>
  <c r="BB48" i="5"/>
  <c r="BB47" i="5"/>
  <c r="BB46" i="5"/>
  <c r="BB45" i="5"/>
  <c r="BB44" i="5"/>
  <c r="BB43" i="5"/>
  <c r="BB42" i="5"/>
  <c r="BB41" i="5"/>
  <c r="BB40" i="5"/>
  <c r="BB39" i="5"/>
  <c r="BB38" i="5"/>
  <c r="BB37" i="5"/>
  <c r="BB36" i="5"/>
  <c r="BB35" i="5"/>
  <c r="BB34" i="5"/>
  <c r="BB33" i="5"/>
  <c r="BB32" i="5"/>
  <c r="BB31" i="5"/>
  <c r="BB30" i="5"/>
  <c r="BB29" i="5"/>
  <c r="BB28" i="5"/>
  <c r="BB27" i="5"/>
  <c r="BB26" i="5"/>
  <c r="BB25" i="5"/>
  <c r="BB24" i="5"/>
  <c r="BB23" i="5"/>
  <c r="BB22" i="5"/>
  <c r="BB20" i="5"/>
  <c r="BB19" i="5"/>
  <c r="BB18" i="5"/>
  <c r="BB16" i="5"/>
  <c r="BB14" i="5"/>
  <c r="BB12" i="5"/>
  <c r="L256" i="7"/>
  <c r="L249" i="7"/>
  <c r="L241" i="7"/>
  <c r="L233" i="7"/>
  <c r="L225" i="7"/>
  <c r="L217" i="7"/>
  <c r="L209" i="7"/>
  <c r="L201" i="7"/>
  <c r="L193" i="7"/>
  <c r="L185" i="7"/>
  <c r="L177" i="7"/>
  <c r="J1689" i="8"/>
  <c r="G1689" i="8" s="1"/>
  <c r="H1689" i="8" s="1"/>
  <c r="J1612" i="8"/>
  <c r="G1612" i="8" s="1"/>
  <c r="H1612" i="8" s="1"/>
  <c r="J1611" i="8"/>
  <c r="G1611" i="8" s="1"/>
  <c r="H1611" i="8" s="1"/>
  <c r="J1610" i="8"/>
  <c r="G1610" i="8" s="1"/>
  <c r="H1610" i="8" s="1"/>
  <c r="J1609" i="8"/>
  <c r="G1609" i="8" s="1"/>
  <c r="H1609" i="8" s="1"/>
  <c r="J1608" i="8"/>
  <c r="G1608" i="8" s="1"/>
  <c r="H1608" i="8" s="1"/>
  <c r="J1607" i="8"/>
  <c r="G1607" i="8" s="1"/>
  <c r="H1607" i="8" s="1"/>
  <c r="J1606" i="8"/>
  <c r="G1606" i="8" s="1"/>
  <c r="H1606" i="8" s="1"/>
  <c r="J1605" i="8"/>
  <c r="G1605" i="8" s="1"/>
  <c r="H1605" i="8" s="1"/>
  <c r="J1604" i="8"/>
  <c r="G1604" i="8" s="1"/>
  <c r="H1604" i="8" s="1"/>
  <c r="J1603" i="8"/>
  <c r="G1603" i="8" s="1"/>
  <c r="H1603" i="8" s="1"/>
  <c r="J1602" i="8"/>
  <c r="G1602" i="8" s="1"/>
  <c r="H1602" i="8" s="1"/>
  <c r="J1601" i="8"/>
  <c r="G1601" i="8" s="1"/>
  <c r="H1601" i="8" s="1"/>
  <c r="J1600" i="8"/>
  <c r="G1600" i="8" s="1"/>
  <c r="H1600" i="8" s="1"/>
  <c r="J1599" i="8"/>
  <c r="G1599" i="8" s="1"/>
  <c r="H1599" i="8" s="1"/>
  <c r="J1598" i="8"/>
  <c r="G1598" i="8" s="1"/>
  <c r="H1598" i="8" s="1"/>
  <c r="J1597" i="8"/>
  <c r="G1597" i="8" s="1"/>
  <c r="H1597" i="8" s="1"/>
  <c r="J1596" i="8"/>
  <c r="G1596" i="8" s="1"/>
  <c r="H1596" i="8" s="1"/>
  <c r="J1595" i="8"/>
  <c r="G1595" i="8" s="1"/>
  <c r="H1595" i="8" s="1"/>
  <c r="J1594" i="8"/>
  <c r="G1594" i="8" s="1"/>
  <c r="H1594" i="8" s="1"/>
  <c r="J1593" i="8"/>
  <c r="G1593" i="8" s="1"/>
  <c r="H1593" i="8" s="1"/>
  <c r="J1592" i="8"/>
  <c r="G1592" i="8" s="1"/>
  <c r="H1592" i="8" s="1"/>
  <c r="J1591" i="8"/>
  <c r="G1591" i="8" s="1"/>
  <c r="H1591" i="8" s="1"/>
  <c r="J1590" i="8"/>
  <c r="G1590" i="8" s="1"/>
  <c r="H1590" i="8" s="1"/>
  <c r="J1589" i="8"/>
  <c r="G1589" i="8" s="1"/>
  <c r="H1589" i="8" s="1"/>
  <c r="J1588" i="8"/>
  <c r="G1588" i="8" s="1"/>
  <c r="H1588" i="8" s="1"/>
  <c r="J1587" i="8"/>
  <c r="G1587" i="8" s="1"/>
  <c r="H1587" i="8" s="1"/>
  <c r="J1586" i="8"/>
  <c r="G1586" i="8" s="1"/>
  <c r="H1586" i="8" s="1"/>
  <c r="J1555" i="8"/>
  <c r="G1555" i="8" s="1"/>
  <c r="H1555" i="8" s="1"/>
  <c r="J1554" i="8"/>
  <c r="G1554" i="8" s="1"/>
  <c r="H1554" i="8" s="1"/>
  <c r="J1553" i="8"/>
  <c r="G1553" i="8" s="1"/>
  <c r="H1553" i="8" s="1"/>
  <c r="J1552" i="8"/>
  <c r="G1552" i="8" s="1"/>
  <c r="H1552" i="8" s="1"/>
  <c r="J1551" i="8"/>
  <c r="G1551" i="8" s="1"/>
  <c r="H1551" i="8" s="1"/>
  <c r="J1550" i="8"/>
  <c r="G1550" i="8" s="1"/>
  <c r="H1550" i="8" s="1"/>
  <c r="J1549" i="8"/>
  <c r="G1549" i="8" s="1"/>
  <c r="H1549" i="8" s="1"/>
  <c r="J1548" i="8"/>
  <c r="G1548" i="8" s="1"/>
  <c r="H1548" i="8" s="1"/>
  <c r="J1547" i="8"/>
  <c r="G1547" i="8" s="1"/>
  <c r="H1547" i="8" s="1"/>
  <c r="J1546" i="8"/>
  <c r="G1546" i="8" s="1"/>
  <c r="H1546" i="8" s="1"/>
  <c r="J1545" i="8"/>
  <c r="G1545" i="8" s="1"/>
  <c r="H1545" i="8" s="1"/>
  <c r="J1544" i="8"/>
  <c r="G1544" i="8" s="1"/>
  <c r="H1544" i="8" s="1"/>
  <c r="J1543" i="8"/>
  <c r="G1543" i="8" s="1"/>
  <c r="H1543" i="8" s="1"/>
  <c r="J1542" i="8"/>
  <c r="G1542" i="8" s="1"/>
  <c r="H1542" i="8" s="1"/>
  <c r="J1541" i="8"/>
  <c r="G1541" i="8" s="1"/>
  <c r="H1541" i="8" s="1"/>
  <c r="J1540" i="8"/>
  <c r="G1540" i="8" s="1"/>
  <c r="H1540" i="8" s="1"/>
  <c r="J1539" i="8"/>
  <c r="G1539" i="8" s="1"/>
  <c r="H1539" i="8" s="1"/>
  <c r="J1538" i="8"/>
  <c r="G1538" i="8" s="1"/>
  <c r="H1538" i="8" s="1"/>
  <c r="J1537" i="8"/>
  <c r="G1537" i="8" s="1"/>
  <c r="H1537" i="8" s="1"/>
  <c r="J1536" i="8"/>
  <c r="G1536" i="8" s="1"/>
  <c r="H1536" i="8" s="1"/>
  <c r="J1535" i="8"/>
  <c r="G1535" i="8" s="1"/>
  <c r="H1535" i="8" s="1"/>
  <c r="J1534" i="8"/>
  <c r="G1534" i="8" s="1"/>
  <c r="H1534" i="8" s="1"/>
  <c r="J1533" i="8"/>
  <c r="G1533" i="8" s="1"/>
  <c r="H1533" i="8" s="1"/>
  <c r="J1532" i="8"/>
  <c r="G1532" i="8" s="1"/>
  <c r="H1532" i="8" s="1"/>
  <c r="J1531" i="8"/>
  <c r="G1531" i="8" s="1"/>
  <c r="H1531" i="8" s="1"/>
  <c r="J1530" i="8"/>
  <c r="G1530" i="8" s="1"/>
  <c r="H1530" i="8" s="1"/>
  <c r="J1529" i="8"/>
  <c r="G1529" i="8" s="1"/>
  <c r="H1529" i="8" s="1"/>
  <c r="J1528" i="8"/>
  <c r="G1528" i="8" s="1"/>
  <c r="H1528" i="8" s="1"/>
  <c r="J1527" i="8"/>
  <c r="G1527" i="8" s="1"/>
  <c r="H1527" i="8" s="1"/>
  <c r="J1526" i="8"/>
  <c r="G1526" i="8" s="1"/>
  <c r="H1526" i="8" s="1"/>
  <c r="J1525" i="8"/>
  <c r="G1525" i="8" s="1"/>
  <c r="H1525" i="8" s="1"/>
  <c r="J1524" i="8"/>
  <c r="G1524" i="8" s="1"/>
  <c r="H1524" i="8" s="1"/>
  <c r="J1523" i="8"/>
  <c r="G1523" i="8" s="1"/>
  <c r="H1523" i="8" s="1"/>
  <c r="J1522" i="8"/>
  <c r="G1522" i="8" s="1"/>
  <c r="H1522" i="8" s="1"/>
  <c r="J1521" i="8"/>
  <c r="G1521" i="8" s="1"/>
  <c r="H1521" i="8" s="1"/>
  <c r="J1520" i="8"/>
  <c r="G1520" i="8" s="1"/>
  <c r="H1520" i="8" s="1"/>
  <c r="J1519" i="8"/>
  <c r="G1519" i="8" s="1"/>
  <c r="H1519" i="8" s="1"/>
  <c r="J1518" i="8"/>
  <c r="G1518" i="8" s="1"/>
  <c r="H1518" i="8" s="1"/>
  <c r="J1517" i="8"/>
  <c r="G1517" i="8" s="1"/>
  <c r="H1517" i="8" s="1"/>
  <c r="J1516" i="8"/>
  <c r="G1516" i="8" s="1"/>
  <c r="H1516" i="8" s="1"/>
  <c r="J1515" i="8"/>
  <c r="G1515" i="8" s="1"/>
  <c r="H1515" i="8" s="1"/>
  <c r="J1514" i="8"/>
  <c r="G1514" i="8" s="1"/>
  <c r="H1514" i="8" s="1"/>
  <c r="J1513" i="8"/>
  <c r="G1513" i="8" s="1"/>
  <c r="H1513" i="8" s="1"/>
  <c r="J1512" i="8"/>
  <c r="G1512" i="8" s="1"/>
  <c r="H1512" i="8" s="1"/>
  <c r="J1511" i="8"/>
  <c r="G1511" i="8" s="1"/>
  <c r="H1511" i="8" s="1"/>
  <c r="J1510" i="8"/>
  <c r="G1510" i="8" s="1"/>
  <c r="H1510" i="8" s="1"/>
  <c r="J1509" i="8"/>
  <c r="G1509" i="8" s="1"/>
  <c r="H1509" i="8" s="1"/>
  <c r="J1508" i="8"/>
  <c r="G1508" i="8" s="1"/>
  <c r="H1508" i="8" s="1"/>
  <c r="J1507" i="8"/>
  <c r="G1507" i="8" s="1"/>
  <c r="H1507" i="8" s="1"/>
  <c r="J1506" i="8"/>
  <c r="G1506" i="8" s="1"/>
  <c r="H1506" i="8" s="1"/>
  <c r="J1505" i="8"/>
  <c r="G1505" i="8" s="1"/>
  <c r="H1505" i="8" s="1"/>
  <c r="J1504" i="8"/>
  <c r="G1504" i="8" s="1"/>
  <c r="H1504" i="8" s="1"/>
  <c r="J1503" i="8"/>
  <c r="G1503" i="8" s="1"/>
  <c r="H1503" i="8" s="1"/>
  <c r="J1502" i="8"/>
  <c r="G1502" i="8" s="1"/>
  <c r="H1502" i="8" s="1"/>
  <c r="J1501" i="8"/>
  <c r="G1501" i="8" s="1"/>
  <c r="H1501" i="8" s="1"/>
  <c r="J1500" i="8"/>
  <c r="G1500" i="8" s="1"/>
  <c r="H1500" i="8" s="1"/>
  <c r="J1499" i="8"/>
  <c r="G1499" i="8" s="1"/>
  <c r="H1499" i="8" s="1"/>
  <c r="J1498" i="8"/>
  <c r="G1498" i="8" s="1"/>
  <c r="H1498" i="8" s="1"/>
  <c r="J1497" i="8"/>
  <c r="G1497" i="8" s="1"/>
  <c r="H1497" i="8" s="1"/>
  <c r="J1496" i="8"/>
  <c r="G1496" i="8" s="1"/>
  <c r="H1496" i="8" s="1"/>
  <c r="J1495" i="8"/>
  <c r="G1495" i="8" s="1"/>
  <c r="H1495" i="8" s="1"/>
  <c r="J1494" i="8"/>
  <c r="G1494" i="8" s="1"/>
  <c r="H1494" i="8" s="1"/>
  <c r="J1493" i="8"/>
  <c r="G1493" i="8" s="1"/>
  <c r="H1493" i="8" s="1"/>
  <c r="J1492" i="8"/>
  <c r="G1492" i="8" s="1"/>
  <c r="H1492" i="8" s="1"/>
  <c r="J1491" i="8"/>
  <c r="G1491" i="8" s="1"/>
  <c r="H1491" i="8" s="1"/>
  <c r="J1490" i="8"/>
  <c r="G1490" i="8" s="1"/>
  <c r="H1490" i="8" s="1"/>
  <c r="J1489" i="8"/>
  <c r="G1489" i="8" s="1"/>
  <c r="H1489" i="8" s="1"/>
  <c r="J1488" i="8"/>
  <c r="G1488" i="8" s="1"/>
  <c r="H1488" i="8" s="1"/>
  <c r="J1487" i="8"/>
  <c r="G1487" i="8" s="1"/>
  <c r="H1487" i="8" s="1"/>
  <c r="J1486" i="8"/>
  <c r="G1486" i="8" s="1"/>
  <c r="H1486" i="8" s="1"/>
  <c r="J1485" i="8"/>
  <c r="G1485" i="8" s="1"/>
  <c r="H1485" i="8" s="1"/>
  <c r="J1484" i="8"/>
  <c r="G1484" i="8" s="1"/>
  <c r="H1484" i="8" s="1"/>
  <c r="J1483" i="8"/>
  <c r="G1483" i="8" s="1"/>
  <c r="H1483" i="8" s="1"/>
  <c r="J1482" i="8"/>
  <c r="G1482" i="8" s="1"/>
  <c r="H1482" i="8" s="1"/>
  <c r="J1481" i="8"/>
  <c r="G1481" i="8" s="1"/>
  <c r="H1481" i="8" s="1"/>
  <c r="J1480" i="8"/>
  <c r="G1480" i="8" s="1"/>
  <c r="H1480" i="8" s="1"/>
  <c r="J1479" i="8"/>
  <c r="G1479" i="8" s="1"/>
  <c r="H1479" i="8" s="1"/>
  <c r="J1478" i="8"/>
  <c r="G1478" i="8" s="1"/>
  <c r="H1478" i="8" s="1"/>
  <c r="J1477" i="8"/>
  <c r="G1477" i="8" s="1"/>
  <c r="H1477" i="8" s="1"/>
  <c r="J1476" i="8"/>
  <c r="G1476" i="8" s="1"/>
  <c r="H1476" i="8" s="1"/>
  <c r="J1475" i="8"/>
  <c r="G1475" i="8" s="1"/>
  <c r="H1475" i="8" s="1"/>
  <c r="J1474" i="8"/>
  <c r="G1474" i="8" s="1"/>
  <c r="H1474" i="8" s="1"/>
  <c r="J1473" i="8"/>
  <c r="G1473" i="8" s="1"/>
  <c r="H1473" i="8" s="1"/>
  <c r="J1472" i="8"/>
  <c r="G1472" i="8" s="1"/>
  <c r="H1472" i="8" s="1"/>
  <c r="J1471" i="8"/>
  <c r="G1471" i="8" s="1"/>
  <c r="H1471" i="8" s="1"/>
  <c r="J1470" i="8"/>
  <c r="G1470" i="8" s="1"/>
  <c r="H1470" i="8" s="1"/>
  <c r="J1469" i="8"/>
  <c r="G1469" i="8" s="1"/>
  <c r="H1469" i="8" s="1"/>
  <c r="J1468" i="8"/>
  <c r="G1468" i="8" s="1"/>
  <c r="H1468" i="8" s="1"/>
  <c r="J1467" i="8"/>
  <c r="G1467" i="8" s="1"/>
  <c r="H1467" i="8" s="1"/>
  <c r="J1466" i="8"/>
  <c r="G1466" i="8" s="1"/>
  <c r="H1466" i="8" s="1"/>
  <c r="J1465" i="8"/>
  <c r="G1465" i="8" s="1"/>
  <c r="H1465" i="8" s="1"/>
  <c r="J1464" i="8"/>
  <c r="G1464" i="8" s="1"/>
  <c r="H1464" i="8" s="1"/>
  <c r="J1463" i="8"/>
  <c r="G1463" i="8" s="1"/>
  <c r="H1463" i="8" s="1"/>
  <c r="J1462" i="8"/>
  <c r="G1462" i="8" s="1"/>
  <c r="H1462" i="8" s="1"/>
  <c r="J1461" i="8"/>
  <c r="G1461" i="8" s="1"/>
  <c r="H1461" i="8" s="1"/>
  <c r="J1460" i="8"/>
  <c r="G1460" i="8" s="1"/>
  <c r="H1460" i="8" s="1"/>
  <c r="J1459" i="8"/>
  <c r="G1459" i="8" s="1"/>
  <c r="H1459" i="8" s="1"/>
  <c r="J1458" i="8"/>
  <c r="G1458" i="8" s="1"/>
  <c r="H1458" i="8" s="1"/>
  <c r="J1457" i="8"/>
  <c r="G1457" i="8" s="1"/>
  <c r="H1457" i="8" s="1"/>
  <c r="J1456" i="8"/>
  <c r="G1456" i="8" s="1"/>
  <c r="H1456" i="8" s="1"/>
  <c r="J1455" i="8"/>
  <c r="G1455" i="8" s="1"/>
  <c r="H1455" i="8" s="1"/>
  <c r="J1454" i="8"/>
  <c r="G1454" i="8" s="1"/>
  <c r="H1454" i="8" s="1"/>
  <c r="J1453" i="8"/>
  <c r="G1453" i="8" s="1"/>
  <c r="H1453" i="8" s="1"/>
  <c r="J1452" i="8"/>
  <c r="G1452" i="8" s="1"/>
  <c r="H1452" i="8" s="1"/>
  <c r="J1451" i="8"/>
  <c r="G1451" i="8" s="1"/>
  <c r="H1451" i="8" s="1"/>
  <c r="J1450" i="8"/>
  <c r="G1450" i="8" s="1"/>
  <c r="H1450" i="8" s="1"/>
  <c r="J1449" i="8"/>
  <c r="G1449" i="8" s="1"/>
  <c r="H1449" i="8" s="1"/>
  <c r="J1448" i="8"/>
  <c r="G1448" i="8" s="1"/>
  <c r="H1448" i="8" s="1"/>
  <c r="J1447" i="8"/>
  <c r="G1447" i="8" s="1"/>
  <c r="H1447" i="8" s="1"/>
  <c r="J1446" i="8"/>
  <c r="G1446" i="8" s="1"/>
  <c r="H1446" i="8" s="1"/>
  <c r="J1445" i="8"/>
  <c r="G1445" i="8" s="1"/>
  <c r="H1445" i="8" s="1"/>
  <c r="J1444" i="8"/>
  <c r="G1444" i="8" s="1"/>
  <c r="H1444" i="8" s="1"/>
  <c r="J1443" i="8"/>
  <c r="G1443" i="8" s="1"/>
  <c r="H1443" i="8" s="1"/>
  <c r="J1442" i="8"/>
  <c r="G1442" i="8" s="1"/>
  <c r="H1442" i="8" s="1"/>
  <c r="J1441" i="8"/>
  <c r="G1441" i="8" s="1"/>
  <c r="H1441" i="8" s="1"/>
  <c r="J1440" i="8"/>
  <c r="G1440" i="8" s="1"/>
  <c r="H1440" i="8" s="1"/>
  <c r="J1439" i="8"/>
  <c r="G1439" i="8" s="1"/>
  <c r="H1439" i="8" s="1"/>
  <c r="J1438" i="8"/>
  <c r="G1438" i="8" s="1"/>
  <c r="H1438" i="8" s="1"/>
  <c r="J1437" i="8"/>
  <c r="G1437" i="8" s="1"/>
  <c r="H1437" i="8" s="1"/>
  <c r="J1436" i="8"/>
  <c r="G1436" i="8" s="1"/>
  <c r="H1436" i="8" s="1"/>
  <c r="J1435" i="8"/>
  <c r="G1435" i="8" s="1"/>
  <c r="H1435" i="8" s="1"/>
  <c r="J1434" i="8"/>
  <c r="G1434" i="8" s="1"/>
  <c r="H1434" i="8" s="1"/>
  <c r="J1433" i="8"/>
  <c r="G1433" i="8" s="1"/>
  <c r="H1433" i="8" s="1"/>
  <c r="J1432" i="8"/>
  <c r="G1432" i="8" s="1"/>
  <c r="H1432" i="8" s="1"/>
  <c r="J1431" i="8"/>
  <c r="G1431" i="8" s="1"/>
  <c r="H1431" i="8" s="1"/>
  <c r="J1430" i="8"/>
  <c r="G1430" i="8" s="1"/>
  <c r="H1430" i="8" s="1"/>
  <c r="J1429" i="8"/>
  <c r="G1429" i="8" s="1"/>
  <c r="H1429" i="8" s="1"/>
  <c r="J1428" i="8"/>
  <c r="G1428" i="8" s="1"/>
  <c r="H1428" i="8" s="1"/>
  <c r="J1427" i="8"/>
  <c r="G1427" i="8" s="1"/>
  <c r="H1427" i="8" s="1"/>
  <c r="J1426" i="8"/>
  <c r="G1426" i="8" s="1"/>
  <c r="H1426" i="8" s="1"/>
  <c r="J1425" i="8"/>
  <c r="G1425" i="8" s="1"/>
  <c r="H1425" i="8" s="1"/>
  <c r="J1424" i="8"/>
  <c r="G1424" i="8" s="1"/>
  <c r="H1424" i="8" s="1"/>
  <c r="J1423" i="8"/>
  <c r="G1423" i="8" s="1"/>
  <c r="H1423" i="8" s="1"/>
  <c r="J1422" i="8"/>
  <c r="G1422" i="8" s="1"/>
  <c r="H1422" i="8" s="1"/>
  <c r="J1421" i="8"/>
  <c r="G1421" i="8" s="1"/>
  <c r="H1421" i="8" s="1"/>
  <c r="J1420" i="8"/>
  <c r="G1420" i="8" s="1"/>
  <c r="H1420" i="8" s="1"/>
  <c r="J1419" i="8"/>
  <c r="G1419" i="8" s="1"/>
  <c r="H1419" i="8" s="1"/>
  <c r="J1418" i="8"/>
  <c r="G1418" i="8" s="1"/>
  <c r="H1418" i="8" s="1"/>
  <c r="J1417" i="8"/>
  <c r="G1417" i="8" s="1"/>
  <c r="H1417" i="8" s="1"/>
  <c r="J1416" i="8"/>
  <c r="G1416" i="8" s="1"/>
  <c r="H1416" i="8" s="1"/>
  <c r="J1415" i="8"/>
  <c r="G1415" i="8" s="1"/>
  <c r="H1415" i="8" s="1"/>
  <c r="J1414" i="8"/>
  <c r="G1414" i="8" s="1"/>
  <c r="H1414" i="8" s="1"/>
  <c r="J1413" i="8"/>
  <c r="G1413" i="8" s="1"/>
  <c r="H1413" i="8" s="1"/>
  <c r="J1412" i="8"/>
  <c r="G1412" i="8" s="1"/>
  <c r="H1412" i="8" s="1"/>
  <c r="J1411" i="8"/>
  <c r="G1411" i="8" s="1"/>
  <c r="H1411" i="8" s="1"/>
  <c r="J1410" i="8"/>
  <c r="G1410" i="8" s="1"/>
  <c r="H1410" i="8" s="1"/>
  <c r="J1409" i="8"/>
  <c r="G1409" i="8" s="1"/>
  <c r="H1409" i="8" s="1"/>
  <c r="J1408" i="8"/>
  <c r="G1408" i="8" s="1"/>
  <c r="H1408" i="8" s="1"/>
  <c r="J1407" i="8"/>
  <c r="G1407" i="8" s="1"/>
  <c r="H1407" i="8" s="1"/>
  <c r="J1406" i="8"/>
  <c r="G1406" i="8" s="1"/>
  <c r="H1406" i="8" s="1"/>
  <c r="J1405" i="8"/>
  <c r="G1405" i="8" s="1"/>
  <c r="H1405" i="8" s="1"/>
  <c r="J1040" i="8"/>
  <c r="G1040" i="8" s="1"/>
  <c r="H1040" i="8" s="1"/>
  <c r="J1039" i="8"/>
  <c r="G1039" i="8" s="1"/>
  <c r="H1039" i="8" s="1"/>
  <c r="J1038" i="8"/>
  <c r="G1038" i="8" s="1"/>
  <c r="H1038" i="8" s="1"/>
  <c r="J1037" i="8"/>
  <c r="G1037" i="8" s="1"/>
  <c r="H1037" i="8" s="1"/>
  <c r="J1036" i="8"/>
  <c r="G1036" i="8" s="1"/>
  <c r="H1036" i="8" s="1"/>
  <c r="J1035" i="8"/>
  <c r="G1035" i="8" s="1"/>
  <c r="H1035" i="8" s="1"/>
  <c r="J1034" i="8"/>
  <c r="G1034" i="8" s="1"/>
  <c r="H1034" i="8" s="1"/>
  <c r="J1033" i="8"/>
  <c r="G1033" i="8" s="1"/>
  <c r="H1033" i="8" s="1"/>
  <c r="J1032" i="8"/>
  <c r="G1032" i="8" s="1"/>
  <c r="H1032" i="8" s="1"/>
  <c r="J1031" i="8"/>
  <c r="G1031" i="8" s="1"/>
  <c r="H1031" i="8" s="1"/>
  <c r="J1030" i="8"/>
  <c r="G1030" i="8" s="1"/>
  <c r="H1030" i="8" s="1"/>
  <c r="J1029" i="8"/>
  <c r="G1029" i="8" s="1"/>
  <c r="H1029" i="8" s="1"/>
  <c r="J1028" i="8"/>
  <c r="G1028" i="8" s="1"/>
  <c r="H1028" i="8" s="1"/>
  <c r="J1027" i="8"/>
  <c r="G1027" i="8" s="1"/>
  <c r="H1027" i="8" s="1"/>
  <c r="J1026" i="8"/>
  <c r="G1026" i="8" s="1"/>
  <c r="H1026" i="8" s="1"/>
  <c r="J1025" i="8"/>
  <c r="G1025" i="8" s="1"/>
  <c r="H1025" i="8" s="1"/>
  <c r="J1024" i="8"/>
  <c r="G1024" i="8" s="1"/>
  <c r="H1024" i="8" s="1"/>
  <c r="J1023" i="8"/>
  <c r="G1023" i="8" s="1"/>
  <c r="H1023" i="8" s="1"/>
  <c r="J1022" i="8"/>
  <c r="G1022" i="8" s="1"/>
  <c r="H1022" i="8" s="1"/>
  <c r="J1021" i="8"/>
  <c r="G1021" i="8" s="1"/>
  <c r="H1021" i="8" s="1"/>
  <c r="J1020" i="8"/>
  <c r="G1020" i="8" s="1"/>
  <c r="H1020" i="8" s="1"/>
  <c r="J1019" i="8"/>
  <c r="G1019" i="8" s="1"/>
  <c r="H1019" i="8" s="1"/>
  <c r="J1018" i="8"/>
  <c r="G1018" i="8" s="1"/>
  <c r="H1018" i="8" s="1"/>
  <c r="J1017" i="8"/>
  <c r="G1017" i="8" s="1"/>
  <c r="H1017" i="8" s="1"/>
  <c r="J1016" i="8"/>
  <c r="G1016" i="8" s="1"/>
  <c r="H1016" i="8" s="1"/>
  <c r="J1015" i="8"/>
  <c r="G1015" i="8" s="1"/>
  <c r="H1015" i="8" s="1"/>
  <c r="J1014" i="8"/>
  <c r="G1014" i="8" s="1"/>
  <c r="H1014" i="8" s="1"/>
  <c r="J1013" i="8"/>
  <c r="G1013" i="8" s="1"/>
  <c r="H1013" i="8" s="1"/>
  <c r="J1012" i="8"/>
  <c r="G1012" i="8" s="1"/>
  <c r="H1012" i="8" s="1"/>
  <c r="J1011" i="8"/>
  <c r="G1011" i="8" s="1"/>
  <c r="H1011" i="8" s="1"/>
  <c r="J1010" i="8"/>
  <c r="G1010" i="8" s="1"/>
  <c r="H1010" i="8" s="1"/>
  <c r="J1009" i="8"/>
  <c r="G1009" i="8" s="1"/>
  <c r="H1009" i="8" s="1"/>
  <c r="J1008" i="8"/>
  <c r="G1008" i="8" s="1"/>
  <c r="H1008" i="8" s="1"/>
  <c r="J1007" i="8"/>
  <c r="G1007" i="8" s="1"/>
  <c r="H1007" i="8" s="1"/>
  <c r="J1006" i="8"/>
  <c r="G1006" i="8" s="1"/>
  <c r="H1006" i="8" s="1"/>
  <c r="J1005" i="8"/>
  <c r="G1005" i="8" s="1"/>
  <c r="H1005" i="8" s="1"/>
  <c r="J1004" i="8"/>
  <c r="G1004" i="8" s="1"/>
  <c r="H1004" i="8" s="1"/>
  <c r="J1003" i="8"/>
  <c r="G1003" i="8" s="1"/>
  <c r="H1003" i="8" s="1"/>
  <c r="J1002" i="8"/>
  <c r="G1002" i="8" s="1"/>
  <c r="H1002" i="8" s="1"/>
  <c r="J1001" i="8"/>
  <c r="G1001" i="8" s="1"/>
  <c r="H1001" i="8" s="1"/>
  <c r="J1000" i="8"/>
  <c r="G1000" i="8" s="1"/>
  <c r="H1000" i="8" s="1"/>
  <c r="J999" i="8"/>
  <c r="G999" i="8" s="1"/>
  <c r="H999" i="8" s="1"/>
  <c r="J998" i="8"/>
  <c r="G998" i="8" s="1"/>
  <c r="H998" i="8" s="1"/>
  <c r="J997" i="8"/>
  <c r="G997" i="8" s="1"/>
  <c r="H997" i="8" s="1"/>
  <c r="J996" i="8"/>
  <c r="G996" i="8" s="1"/>
  <c r="H996" i="8" s="1"/>
  <c r="J995" i="8"/>
  <c r="G995" i="8" s="1"/>
  <c r="H995" i="8" s="1"/>
  <c r="J994" i="8"/>
  <c r="G994" i="8" s="1"/>
  <c r="H994" i="8" s="1"/>
  <c r="J993" i="8"/>
  <c r="G993" i="8" s="1"/>
  <c r="H993" i="8" s="1"/>
  <c r="J992" i="8"/>
  <c r="G992" i="8" s="1"/>
  <c r="H992" i="8" s="1"/>
  <c r="J991" i="8"/>
  <c r="G991" i="8" s="1"/>
  <c r="H991" i="8" s="1"/>
  <c r="J990" i="8"/>
  <c r="G990" i="8" s="1"/>
  <c r="H990" i="8" s="1"/>
  <c r="J989" i="8"/>
  <c r="G989" i="8" s="1"/>
  <c r="H989" i="8" s="1"/>
  <c r="J988" i="8"/>
  <c r="G988" i="8" s="1"/>
  <c r="H988" i="8" s="1"/>
  <c r="J987" i="8"/>
  <c r="G987" i="8" s="1"/>
  <c r="H987" i="8" s="1"/>
  <c r="J986" i="8"/>
  <c r="G986" i="8" s="1"/>
  <c r="H986" i="8" s="1"/>
  <c r="J985" i="8"/>
  <c r="G985" i="8" s="1"/>
  <c r="H985" i="8" s="1"/>
  <c r="J984" i="8"/>
  <c r="G984" i="8" s="1"/>
  <c r="H984" i="8" s="1"/>
  <c r="J983" i="8"/>
  <c r="G983" i="8" s="1"/>
  <c r="H983" i="8" s="1"/>
  <c r="J982" i="8"/>
  <c r="G982" i="8" s="1"/>
  <c r="H982" i="8" s="1"/>
  <c r="J981" i="8"/>
  <c r="G981" i="8" s="1"/>
  <c r="H981" i="8" s="1"/>
  <c r="J980" i="8"/>
  <c r="G980" i="8" s="1"/>
  <c r="H980" i="8" s="1"/>
  <c r="J979" i="8"/>
  <c r="G979" i="8" s="1"/>
  <c r="H979" i="8" s="1"/>
  <c r="J978" i="8"/>
  <c r="G978" i="8" s="1"/>
  <c r="H978" i="8" s="1"/>
  <c r="J977" i="8"/>
  <c r="G977" i="8" s="1"/>
  <c r="H977" i="8" s="1"/>
  <c r="J976" i="8"/>
  <c r="G976" i="8" s="1"/>
  <c r="H976" i="8" s="1"/>
  <c r="J975" i="8"/>
  <c r="G975" i="8" s="1"/>
  <c r="H975" i="8" s="1"/>
  <c r="J974" i="8"/>
  <c r="G974" i="8" s="1"/>
  <c r="H974" i="8" s="1"/>
  <c r="J973" i="8"/>
  <c r="G973" i="8" s="1"/>
  <c r="H973" i="8" s="1"/>
  <c r="J972" i="8"/>
  <c r="G972" i="8" s="1"/>
  <c r="H972" i="8" s="1"/>
  <c r="J971" i="8"/>
  <c r="G971" i="8" s="1"/>
  <c r="H971" i="8" s="1"/>
  <c r="J970" i="8"/>
  <c r="G970" i="8" s="1"/>
  <c r="H970" i="8" s="1"/>
  <c r="J969" i="8"/>
  <c r="G969" i="8" s="1"/>
  <c r="H969" i="8" s="1"/>
  <c r="J968" i="8"/>
  <c r="G968" i="8" s="1"/>
  <c r="H968" i="8" s="1"/>
  <c r="J967" i="8"/>
  <c r="G967" i="8" s="1"/>
  <c r="H967" i="8" s="1"/>
  <c r="J966" i="8"/>
  <c r="G966" i="8" s="1"/>
  <c r="H966" i="8" s="1"/>
  <c r="J965" i="8"/>
  <c r="G965" i="8" s="1"/>
  <c r="H965" i="8" s="1"/>
  <c r="J964" i="8"/>
  <c r="G964" i="8" s="1"/>
  <c r="H964" i="8" s="1"/>
  <c r="J963" i="8"/>
  <c r="G963" i="8" s="1"/>
  <c r="H963" i="8" s="1"/>
  <c r="J962" i="8"/>
  <c r="G962" i="8" s="1"/>
  <c r="H962" i="8" s="1"/>
  <c r="J961" i="8"/>
  <c r="G961" i="8" s="1"/>
  <c r="H961" i="8" s="1"/>
  <c r="J960" i="8"/>
  <c r="G960" i="8" s="1"/>
  <c r="H960" i="8" s="1"/>
  <c r="J959" i="8"/>
  <c r="G959" i="8" s="1"/>
  <c r="H959" i="8" s="1"/>
  <c r="J958" i="8"/>
  <c r="G958" i="8" s="1"/>
  <c r="H958" i="8" s="1"/>
  <c r="J957" i="8"/>
  <c r="G957" i="8" s="1"/>
  <c r="H957" i="8" s="1"/>
  <c r="J956" i="8"/>
  <c r="G956" i="8" s="1"/>
  <c r="H956" i="8" s="1"/>
  <c r="J955" i="8"/>
  <c r="G955" i="8" s="1"/>
  <c r="H955" i="8" s="1"/>
  <c r="J954" i="8"/>
  <c r="G954" i="8" s="1"/>
  <c r="H954" i="8" s="1"/>
  <c r="J953" i="8"/>
  <c r="G953" i="8" s="1"/>
  <c r="H953" i="8" s="1"/>
  <c r="J952" i="8"/>
  <c r="G952" i="8" s="1"/>
  <c r="H952" i="8" s="1"/>
  <c r="J951" i="8"/>
  <c r="G951" i="8" s="1"/>
  <c r="H951" i="8" s="1"/>
  <c r="J950" i="8"/>
  <c r="G950" i="8" s="1"/>
  <c r="H950" i="8" s="1"/>
  <c r="J949" i="8"/>
  <c r="G949" i="8" s="1"/>
  <c r="H949" i="8" s="1"/>
  <c r="J948" i="8"/>
  <c r="G948" i="8" s="1"/>
  <c r="H948" i="8" s="1"/>
  <c r="J947" i="8"/>
  <c r="G947" i="8" s="1"/>
  <c r="H947" i="8" s="1"/>
  <c r="J946" i="8"/>
  <c r="G946" i="8" s="1"/>
  <c r="H946" i="8" s="1"/>
  <c r="J945" i="8"/>
  <c r="G945" i="8" s="1"/>
  <c r="H945" i="8" s="1"/>
  <c r="J944" i="8"/>
  <c r="G944" i="8" s="1"/>
  <c r="H944" i="8" s="1"/>
  <c r="J943" i="8"/>
  <c r="G943" i="8" s="1"/>
  <c r="H943" i="8" s="1"/>
  <c r="J942" i="8"/>
  <c r="G942" i="8" s="1"/>
  <c r="H942" i="8" s="1"/>
  <c r="J941" i="8"/>
  <c r="G941" i="8" s="1"/>
  <c r="H941" i="8" s="1"/>
  <c r="J940" i="8"/>
  <c r="G940" i="8" s="1"/>
  <c r="H940" i="8" s="1"/>
  <c r="J939" i="8"/>
  <c r="G939" i="8" s="1"/>
  <c r="H939" i="8" s="1"/>
  <c r="J938" i="8"/>
  <c r="G938" i="8" s="1"/>
  <c r="H938" i="8" s="1"/>
  <c r="J937" i="8"/>
  <c r="G937" i="8" s="1"/>
  <c r="H937" i="8" s="1"/>
  <c r="J936" i="8"/>
  <c r="G936" i="8" s="1"/>
  <c r="H936" i="8" s="1"/>
  <c r="J935" i="8"/>
  <c r="G935" i="8" s="1"/>
  <c r="H935" i="8" s="1"/>
  <c r="J934" i="8"/>
  <c r="G934" i="8" s="1"/>
  <c r="H934" i="8" s="1"/>
  <c r="J933" i="8"/>
  <c r="G933" i="8" s="1"/>
  <c r="H933" i="8" s="1"/>
  <c r="J932" i="8"/>
  <c r="G932" i="8" s="1"/>
  <c r="H932" i="8" s="1"/>
  <c r="J931" i="8"/>
  <c r="G931" i="8" s="1"/>
  <c r="H931" i="8" s="1"/>
  <c r="J930" i="8"/>
  <c r="G930" i="8" s="1"/>
  <c r="H930" i="8" s="1"/>
  <c r="J929" i="8"/>
  <c r="G929" i="8" s="1"/>
  <c r="H929" i="8" s="1"/>
  <c r="J928" i="8"/>
  <c r="G928" i="8" s="1"/>
  <c r="H928" i="8" s="1"/>
  <c r="J927" i="8"/>
  <c r="G927" i="8" s="1"/>
  <c r="H927" i="8" s="1"/>
  <c r="J926" i="8"/>
  <c r="G926" i="8" s="1"/>
  <c r="H926" i="8" s="1"/>
  <c r="J925" i="8"/>
  <c r="G925" i="8" s="1"/>
  <c r="H925" i="8" s="1"/>
  <c r="J924" i="8"/>
  <c r="G924" i="8" s="1"/>
  <c r="H924" i="8" s="1"/>
  <c r="J923" i="8"/>
  <c r="G923" i="8" s="1"/>
  <c r="H923" i="8" s="1"/>
  <c r="J922" i="8"/>
  <c r="G922" i="8" s="1"/>
  <c r="H922" i="8" s="1"/>
  <c r="J921" i="8"/>
  <c r="G921" i="8" s="1"/>
  <c r="H921" i="8" s="1"/>
  <c r="J920" i="8"/>
  <c r="G920" i="8" s="1"/>
  <c r="H920" i="8" s="1"/>
  <c r="J919" i="8"/>
  <c r="G919" i="8" s="1"/>
  <c r="H919" i="8" s="1"/>
  <c r="J918" i="8"/>
  <c r="G918" i="8" s="1"/>
  <c r="H918" i="8" s="1"/>
  <c r="J917" i="8"/>
  <c r="G917" i="8" s="1"/>
  <c r="H917" i="8" s="1"/>
  <c r="J916" i="8"/>
  <c r="G916" i="8" s="1"/>
  <c r="H916" i="8" s="1"/>
  <c r="J915" i="8"/>
  <c r="G915" i="8" s="1"/>
  <c r="H915" i="8" s="1"/>
  <c r="J914" i="8"/>
  <c r="G914" i="8" s="1"/>
  <c r="H914" i="8" s="1"/>
  <c r="J913" i="8"/>
  <c r="G913" i="8" s="1"/>
  <c r="H913" i="8" s="1"/>
  <c r="J912" i="8"/>
  <c r="G912" i="8" s="1"/>
  <c r="H912" i="8" s="1"/>
  <c r="J911" i="8"/>
  <c r="G911" i="8" s="1"/>
  <c r="H911" i="8" s="1"/>
  <c r="J910" i="8"/>
  <c r="G910" i="8" s="1"/>
  <c r="H910" i="8" s="1"/>
  <c r="J909" i="8"/>
  <c r="G909" i="8" s="1"/>
  <c r="H909" i="8" s="1"/>
  <c r="J908" i="8"/>
  <c r="G908" i="8" s="1"/>
  <c r="H908" i="8" s="1"/>
  <c r="J907" i="8"/>
  <c r="G907" i="8" s="1"/>
  <c r="H907" i="8" s="1"/>
  <c r="J906" i="8"/>
  <c r="G906" i="8" s="1"/>
  <c r="H906" i="8" s="1"/>
  <c r="J905" i="8"/>
  <c r="G905" i="8" s="1"/>
  <c r="H905" i="8" s="1"/>
  <c r="J904" i="8"/>
  <c r="G904" i="8" s="1"/>
  <c r="H904" i="8" s="1"/>
  <c r="J903" i="8"/>
  <c r="G903" i="8" s="1"/>
  <c r="H903" i="8" s="1"/>
  <c r="J902" i="8"/>
  <c r="G902" i="8" s="1"/>
  <c r="H902" i="8" s="1"/>
  <c r="J901" i="8"/>
  <c r="G901" i="8" s="1"/>
  <c r="H901" i="8" s="1"/>
  <c r="J900" i="8"/>
  <c r="G900" i="8" s="1"/>
  <c r="H900" i="8" s="1"/>
  <c r="J899" i="8"/>
  <c r="G899" i="8" s="1"/>
  <c r="H899" i="8" s="1"/>
  <c r="J898" i="8"/>
  <c r="G898" i="8" s="1"/>
  <c r="H898" i="8" s="1"/>
  <c r="J897" i="8"/>
  <c r="G897" i="8" s="1"/>
  <c r="H897" i="8" s="1"/>
  <c r="J896" i="8"/>
  <c r="G896" i="8" s="1"/>
  <c r="H896" i="8" s="1"/>
  <c r="J895" i="8"/>
  <c r="G895" i="8" s="1"/>
  <c r="H895" i="8" s="1"/>
  <c r="J894" i="8"/>
  <c r="G894" i="8" s="1"/>
  <c r="H894" i="8" s="1"/>
  <c r="J893" i="8"/>
  <c r="G893" i="8" s="1"/>
  <c r="H893" i="8" s="1"/>
  <c r="J892" i="8"/>
  <c r="G892" i="8" s="1"/>
  <c r="H892" i="8" s="1"/>
  <c r="J891" i="8"/>
  <c r="G891" i="8" s="1"/>
  <c r="H891" i="8" s="1"/>
  <c r="J890" i="8"/>
  <c r="G890" i="8" s="1"/>
  <c r="H890" i="8" s="1"/>
  <c r="J889" i="8"/>
  <c r="G889" i="8" s="1"/>
  <c r="H889" i="8" s="1"/>
  <c r="J842" i="8"/>
  <c r="G842" i="8" s="1"/>
  <c r="H842" i="8" s="1"/>
  <c r="J841" i="8"/>
  <c r="G841" i="8" s="1"/>
  <c r="H841" i="8" s="1"/>
  <c r="J840" i="8"/>
  <c r="G840" i="8" s="1"/>
  <c r="H840" i="8" s="1"/>
  <c r="J839" i="8"/>
  <c r="G839" i="8" s="1"/>
  <c r="H839" i="8" s="1"/>
  <c r="J838" i="8"/>
  <c r="G838" i="8" s="1"/>
  <c r="H838" i="8" s="1"/>
  <c r="J837" i="8"/>
  <c r="G837" i="8" s="1"/>
  <c r="H837" i="8" s="1"/>
  <c r="J836" i="8"/>
  <c r="G836" i="8" s="1"/>
  <c r="H836" i="8" s="1"/>
  <c r="J835" i="8"/>
  <c r="G835" i="8" s="1"/>
  <c r="H835" i="8" s="1"/>
  <c r="J834" i="8"/>
  <c r="G834" i="8" s="1"/>
  <c r="H834" i="8" s="1"/>
  <c r="J833" i="8"/>
  <c r="G833" i="8" s="1"/>
  <c r="H833" i="8" s="1"/>
  <c r="J832" i="8"/>
  <c r="G832" i="8" s="1"/>
  <c r="H832" i="8" s="1"/>
  <c r="J831" i="8"/>
  <c r="G831" i="8" s="1"/>
  <c r="H831" i="8" s="1"/>
  <c r="J830" i="8"/>
  <c r="G830" i="8" s="1"/>
  <c r="H830" i="8" s="1"/>
  <c r="J829" i="8"/>
  <c r="G829" i="8" s="1"/>
  <c r="H829" i="8" s="1"/>
  <c r="J828" i="8"/>
  <c r="G828" i="8" s="1"/>
  <c r="H828" i="8" s="1"/>
  <c r="J827" i="8"/>
  <c r="G827" i="8" s="1"/>
  <c r="H827" i="8" s="1"/>
  <c r="J826" i="8"/>
  <c r="G826" i="8" s="1"/>
  <c r="H826" i="8" s="1"/>
  <c r="J825" i="8"/>
  <c r="G825" i="8" s="1"/>
  <c r="H825" i="8" s="1"/>
  <c r="J824" i="8"/>
  <c r="G824" i="8" s="1"/>
  <c r="H824" i="8" s="1"/>
  <c r="J823" i="8"/>
  <c r="G823" i="8" s="1"/>
  <c r="H823" i="8" s="1"/>
  <c r="J822" i="8"/>
  <c r="G822" i="8" s="1"/>
  <c r="H822" i="8" s="1"/>
  <c r="J821" i="8"/>
  <c r="G821" i="8" s="1"/>
  <c r="H821" i="8" s="1"/>
  <c r="J820" i="8"/>
  <c r="G820" i="8" s="1"/>
  <c r="H820" i="8" s="1"/>
  <c r="J819" i="8"/>
  <c r="G819" i="8" s="1"/>
  <c r="H819" i="8" s="1"/>
  <c r="J818" i="8"/>
  <c r="G818" i="8" s="1"/>
  <c r="H818" i="8" s="1"/>
  <c r="J817" i="8"/>
  <c r="G817" i="8" s="1"/>
  <c r="H817" i="8" s="1"/>
  <c r="J816" i="8"/>
  <c r="G816" i="8" s="1"/>
  <c r="H816" i="8" s="1"/>
  <c r="J815" i="8"/>
  <c r="G815" i="8" s="1"/>
  <c r="H815" i="8" s="1"/>
  <c r="J814" i="8"/>
  <c r="G814" i="8" s="1"/>
  <c r="H814" i="8" s="1"/>
  <c r="J813" i="8"/>
  <c r="G813" i="8" s="1"/>
  <c r="H813" i="8" s="1"/>
  <c r="J812" i="8"/>
  <c r="G812" i="8" s="1"/>
  <c r="H812" i="8" s="1"/>
  <c r="J811" i="8"/>
  <c r="G811" i="8" s="1"/>
  <c r="H811" i="8" s="1"/>
  <c r="J810" i="8"/>
  <c r="G810" i="8" s="1"/>
  <c r="H810" i="8" s="1"/>
  <c r="J809" i="8"/>
  <c r="G809" i="8" s="1"/>
  <c r="H809" i="8" s="1"/>
  <c r="J808" i="8"/>
  <c r="G808" i="8" s="1"/>
  <c r="H808" i="8" s="1"/>
  <c r="J807" i="8"/>
  <c r="G807" i="8" s="1"/>
  <c r="H807" i="8" s="1"/>
  <c r="J806" i="8"/>
  <c r="G806" i="8" s="1"/>
  <c r="H806" i="8" s="1"/>
  <c r="J805" i="8"/>
  <c r="G805" i="8" s="1"/>
  <c r="H805" i="8" s="1"/>
  <c r="J804" i="8"/>
  <c r="G804" i="8" s="1"/>
  <c r="H804" i="8" s="1"/>
  <c r="J803" i="8"/>
  <c r="G803" i="8" s="1"/>
  <c r="H803" i="8" s="1"/>
  <c r="J802" i="8"/>
  <c r="G802" i="8" s="1"/>
  <c r="H802" i="8" s="1"/>
  <c r="J801" i="8"/>
  <c r="G801" i="8" s="1"/>
  <c r="H801" i="8" s="1"/>
  <c r="J800" i="8"/>
  <c r="G800" i="8" s="1"/>
  <c r="H800" i="8" s="1"/>
  <c r="J799" i="8"/>
  <c r="G799" i="8" s="1"/>
  <c r="H799" i="8" s="1"/>
  <c r="J798" i="8"/>
  <c r="G798" i="8" s="1"/>
  <c r="H798" i="8" s="1"/>
  <c r="J797" i="8"/>
  <c r="G797" i="8" s="1"/>
  <c r="H797" i="8" s="1"/>
  <c r="J796" i="8"/>
  <c r="G796" i="8" s="1"/>
  <c r="H796" i="8" s="1"/>
  <c r="J795" i="8"/>
  <c r="G795" i="8" s="1"/>
  <c r="H795" i="8" s="1"/>
  <c r="J794" i="8"/>
  <c r="G794" i="8" s="1"/>
  <c r="H794" i="8" s="1"/>
  <c r="J793" i="8"/>
  <c r="G793" i="8" s="1"/>
  <c r="H793" i="8" s="1"/>
  <c r="J792" i="8"/>
  <c r="G792" i="8" s="1"/>
  <c r="H792" i="8" s="1"/>
  <c r="J791" i="8"/>
  <c r="G791" i="8" s="1"/>
  <c r="H791" i="8" s="1"/>
  <c r="J790" i="8"/>
  <c r="G790" i="8" s="1"/>
  <c r="H790" i="8" s="1"/>
  <c r="J386" i="8"/>
  <c r="G386" i="8" s="1"/>
  <c r="H386" i="8" s="1"/>
  <c r="J385" i="8"/>
  <c r="G385" i="8" s="1"/>
  <c r="H385" i="8" s="1"/>
  <c r="J384" i="8"/>
  <c r="G384" i="8" s="1"/>
  <c r="H384" i="8" s="1"/>
  <c r="J383" i="8"/>
  <c r="G383" i="8" s="1"/>
  <c r="H383" i="8" s="1"/>
  <c r="J382" i="8"/>
  <c r="G382" i="8" s="1"/>
  <c r="H382" i="8" s="1"/>
  <c r="J381" i="8"/>
  <c r="G381" i="8" s="1"/>
  <c r="H381" i="8" s="1"/>
  <c r="J380" i="8"/>
  <c r="G380" i="8" s="1"/>
  <c r="H380" i="8" s="1"/>
  <c r="J379" i="8"/>
  <c r="G379" i="8" s="1"/>
  <c r="H379" i="8" s="1"/>
  <c r="J378" i="8"/>
  <c r="G378" i="8" s="1"/>
  <c r="H378" i="8" s="1"/>
  <c r="J377" i="8"/>
  <c r="G377" i="8" s="1"/>
  <c r="H377" i="8" s="1"/>
  <c r="J376" i="8"/>
  <c r="G376" i="8" s="1"/>
  <c r="H376" i="8" s="1"/>
  <c r="J375" i="8"/>
  <c r="G375" i="8" s="1"/>
  <c r="H375" i="8" s="1"/>
  <c r="J374" i="8"/>
  <c r="G374" i="8" s="1"/>
  <c r="H374" i="8" s="1"/>
  <c r="J373" i="8"/>
  <c r="G373" i="8" s="1"/>
  <c r="H373" i="8" s="1"/>
  <c r="J372" i="8"/>
  <c r="G372" i="8" s="1"/>
  <c r="H372" i="8" s="1"/>
  <c r="J371" i="8"/>
  <c r="G371" i="8" s="1"/>
  <c r="H371" i="8" s="1"/>
  <c r="J370" i="8"/>
  <c r="G370" i="8" s="1"/>
  <c r="H370" i="8" s="1"/>
  <c r="J369" i="8"/>
  <c r="G369" i="8" s="1"/>
  <c r="H369" i="8" s="1"/>
  <c r="J368" i="8"/>
  <c r="G368" i="8" s="1"/>
  <c r="H368" i="8" s="1"/>
  <c r="J367" i="8"/>
  <c r="G367" i="8" s="1"/>
  <c r="H367" i="8" s="1"/>
  <c r="J366" i="8"/>
  <c r="G366" i="8" s="1"/>
  <c r="H366" i="8" s="1"/>
  <c r="J365" i="8"/>
  <c r="G365" i="8" s="1"/>
  <c r="H365" i="8" s="1"/>
  <c r="J364" i="8"/>
  <c r="G364" i="8" s="1"/>
  <c r="H364" i="8" s="1"/>
  <c r="J363" i="8"/>
  <c r="G363" i="8" s="1"/>
  <c r="H363" i="8" s="1"/>
  <c r="J362" i="8"/>
  <c r="G362" i="8" s="1"/>
  <c r="H362" i="8" s="1"/>
  <c r="J361" i="8"/>
  <c r="G361" i="8" s="1"/>
  <c r="H361" i="8" s="1"/>
  <c r="J360" i="8"/>
  <c r="G360" i="8" s="1"/>
  <c r="H360" i="8" s="1"/>
  <c r="J359" i="8"/>
  <c r="G359" i="8" s="1"/>
  <c r="H359" i="8" s="1"/>
  <c r="J358" i="8"/>
  <c r="G358" i="8" s="1"/>
  <c r="H358" i="8" s="1"/>
  <c r="J357" i="8"/>
  <c r="G357" i="8" s="1"/>
  <c r="H357" i="8" s="1"/>
  <c r="J356" i="8"/>
  <c r="G356" i="8" s="1"/>
  <c r="H356" i="8" s="1"/>
  <c r="J355" i="8"/>
  <c r="G355" i="8" s="1"/>
  <c r="H355" i="8" s="1"/>
  <c r="J354" i="8"/>
  <c r="G354" i="8" s="1"/>
  <c r="H354" i="8" s="1"/>
  <c r="J353" i="8"/>
  <c r="G353" i="8" s="1"/>
  <c r="H353" i="8" s="1"/>
  <c r="J352" i="8"/>
  <c r="G352" i="8" s="1"/>
  <c r="H352" i="8" s="1"/>
  <c r="J351" i="8"/>
  <c r="G351" i="8" s="1"/>
  <c r="H351" i="8" s="1"/>
  <c r="J350" i="8"/>
  <c r="G350" i="8" s="1"/>
  <c r="H350" i="8" s="1"/>
  <c r="J349" i="8"/>
  <c r="G349" i="8" s="1"/>
  <c r="H349" i="8" s="1"/>
  <c r="J348" i="8"/>
  <c r="G348" i="8" s="1"/>
  <c r="H348" i="8" s="1"/>
  <c r="J347" i="8"/>
  <c r="G347" i="8" s="1"/>
  <c r="H347" i="8" s="1"/>
  <c r="J346" i="8"/>
  <c r="G346" i="8" s="1"/>
  <c r="H346" i="8" s="1"/>
  <c r="J345" i="8"/>
  <c r="G345" i="8" s="1"/>
  <c r="H345" i="8" s="1"/>
  <c r="J344" i="8"/>
  <c r="G344" i="8" s="1"/>
  <c r="H344" i="8" s="1"/>
  <c r="J343" i="8"/>
  <c r="G343" i="8" s="1"/>
  <c r="H343" i="8" s="1"/>
  <c r="J342" i="8"/>
  <c r="G342" i="8" s="1"/>
  <c r="H342" i="8" s="1"/>
  <c r="J341" i="8"/>
  <c r="G341" i="8" s="1"/>
  <c r="H341" i="8" s="1"/>
  <c r="J340" i="8"/>
  <c r="G340" i="8" s="1"/>
  <c r="H340" i="8" s="1"/>
  <c r="J339" i="8"/>
  <c r="G339" i="8" s="1"/>
  <c r="H339" i="8" s="1"/>
  <c r="J338" i="8"/>
  <c r="G338" i="8" s="1"/>
  <c r="H338" i="8" s="1"/>
  <c r="J337" i="8"/>
  <c r="G337" i="8" s="1"/>
  <c r="H337" i="8" s="1"/>
  <c r="J336" i="8"/>
  <c r="G336" i="8" s="1"/>
  <c r="H336" i="8" s="1"/>
  <c r="J335" i="8"/>
  <c r="G335" i="8" s="1"/>
  <c r="H335" i="8" s="1"/>
  <c r="J334" i="8"/>
  <c r="G334" i="8" s="1"/>
  <c r="H334" i="8" s="1"/>
  <c r="J333" i="8"/>
  <c r="G333" i="8" s="1"/>
  <c r="H333" i="8" s="1"/>
  <c r="J332" i="8"/>
  <c r="G332" i="8" s="1"/>
  <c r="H332" i="8" s="1"/>
  <c r="J331" i="8"/>
  <c r="G331" i="8" s="1"/>
  <c r="H331" i="8" s="1"/>
  <c r="J330" i="8"/>
  <c r="G330" i="8" s="1"/>
  <c r="H330" i="8" s="1"/>
  <c r="J329" i="8"/>
  <c r="G329" i="8" s="1"/>
  <c r="H329" i="8" s="1"/>
  <c r="J328" i="8"/>
  <c r="G328" i="8" s="1"/>
  <c r="H328" i="8" s="1"/>
  <c r="J327" i="8"/>
  <c r="G327" i="8" s="1"/>
  <c r="H327" i="8" s="1"/>
  <c r="J326" i="8"/>
  <c r="G326" i="8" s="1"/>
  <c r="H326" i="8" s="1"/>
  <c r="J325" i="8"/>
  <c r="G325" i="8" s="1"/>
  <c r="H325" i="8" s="1"/>
  <c r="J324" i="8"/>
  <c r="G324" i="8" s="1"/>
  <c r="H324" i="8" s="1"/>
  <c r="J323" i="8"/>
  <c r="G323" i="8" s="1"/>
  <c r="H323" i="8" s="1"/>
  <c r="J322" i="8"/>
  <c r="G322" i="8" s="1"/>
  <c r="H322" i="8" s="1"/>
  <c r="J321" i="8"/>
  <c r="G321" i="8" s="1"/>
  <c r="H321" i="8" s="1"/>
  <c r="J320" i="8"/>
  <c r="G320" i="8" s="1"/>
  <c r="H320" i="8" s="1"/>
  <c r="J319" i="8"/>
  <c r="G319" i="8" s="1"/>
  <c r="H319" i="8" s="1"/>
  <c r="J318" i="8"/>
  <c r="G318" i="8" s="1"/>
  <c r="H318" i="8" s="1"/>
  <c r="J317" i="8"/>
  <c r="G317" i="8" s="1"/>
  <c r="H317" i="8" s="1"/>
  <c r="J316" i="8"/>
  <c r="G316" i="8" s="1"/>
  <c r="H316" i="8" s="1"/>
  <c r="J315" i="8"/>
  <c r="G315" i="8" s="1"/>
  <c r="H315" i="8" s="1"/>
  <c r="J314" i="8"/>
  <c r="G314" i="8" s="1"/>
  <c r="H314" i="8" s="1"/>
  <c r="J313" i="8"/>
  <c r="G313" i="8" s="1"/>
  <c r="H313" i="8" s="1"/>
  <c r="J312" i="8"/>
  <c r="G312" i="8" s="1"/>
  <c r="H312" i="8" s="1"/>
  <c r="J311" i="8"/>
  <c r="G311" i="8" s="1"/>
  <c r="H311" i="8" s="1"/>
  <c r="J310" i="8"/>
  <c r="G310" i="8" s="1"/>
  <c r="H310" i="8" s="1"/>
  <c r="J309" i="8"/>
  <c r="G309" i="8" s="1"/>
  <c r="H309" i="8" s="1"/>
  <c r="J308" i="8"/>
  <c r="G308" i="8" s="1"/>
  <c r="H308" i="8" s="1"/>
  <c r="J307" i="8"/>
  <c r="G307" i="8" s="1"/>
  <c r="H307" i="8" s="1"/>
  <c r="J306" i="8"/>
  <c r="G306" i="8" s="1"/>
  <c r="H306" i="8" s="1"/>
  <c r="J305" i="8"/>
  <c r="G305" i="8" s="1"/>
  <c r="H305" i="8" s="1"/>
  <c r="J304" i="8"/>
  <c r="G304" i="8" s="1"/>
  <c r="H304" i="8" s="1"/>
  <c r="J303" i="8"/>
  <c r="G303" i="8" s="1"/>
  <c r="H303" i="8" s="1"/>
  <c r="J302" i="8"/>
  <c r="G302" i="8" s="1"/>
  <c r="H302" i="8" s="1"/>
  <c r="J301" i="8"/>
  <c r="G301" i="8" s="1"/>
  <c r="H301" i="8" s="1"/>
  <c r="J300" i="8"/>
  <c r="G300" i="8" s="1"/>
  <c r="H300" i="8" s="1"/>
  <c r="J299" i="8"/>
  <c r="G299" i="8" s="1"/>
  <c r="H299" i="8" s="1"/>
  <c r="J298" i="8"/>
  <c r="G298" i="8" s="1"/>
  <c r="H298" i="8" s="1"/>
  <c r="J297" i="8"/>
  <c r="G297" i="8" s="1"/>
  <c r="H297" i="8" s="1"/>
  <c r="J296" i="8"/>
  <c r="G296" i="8" s="1"/>
  <c r="H296" i="8" s="1"/>
  <c r="J295" i="8"/>
  <c r="G295" i="8" s="1"/>
  <c r="H295" i="8" s="1"/>
  <c r="J294" i="8"/>
  <c r="G294" i="8" s="1"/>
  <c r="H294" i="8" s="1"/>
  <c r="J293" i="8"/>
  <c r="G293" i="8" s="1"/>
  <c r="H293" i="8" s="1"/>
  <c r="J292" i="8"/>
  <c r="G292" i="8" s="1"/>
  <c r="H292" i="8" s="1"/>
  <c r="J291" i="8"/>
  <c r="G291" i="8" s="1"/>
  <c r="H291" i="8" s="1"/>
  <c r="J290" i="8"/>
  <c r="G290" i="8" s="1"/>
  <c r="H290" i="8" s="1"/>
  <c r="J289" i="8"/>
  <c r="G289" i="8" s="1"/>
  <c r="H289" i="8" s="1"/>
  <c r="J288" i="8"/>
  <c r="G288" i="8" s="1"/>
  <c r="H288" i="8" s="1"/>
  <c r="J287" i="8"/>
  <c r="G287" i="8" s="1"/>
  <c r="H287" i="8" s="1"/>
  <c r="J286" i="8"/>
  <c r="G286" i="8" s="1"/>
  <c r="H286" i="8" s="1"/>
  <c r="J285" i="8"/>
  <c r="G285" i="8" s="1"/>
  <c r="H285" i="8" s="1"/>
  <c r="J284" i="8"/>
  <c r="G284" i="8" s="1"/>
  <c r="H284" i="8" s="1"/>
  <c r="J283" i="8"/>
  <c r="G283" i="8" s="1"/>
  <c r="H283" i="8" s="1"/>
  <c r="J282" i="8"/>
  <c r="G282" i="8" s="1"/>
  <c r="H282" i="8" s="1"/>
  <c r="J281" i="8"/>
  <c r="G281" i="8" s="1"/>
  <c r="H281" i="8" s="1"/>
  <c r="J280" i="8"/>
  <c r="G280" i="8" s="1"/>
  <c r="H280" i="8" s="1"/>
  <c r="J279" i="8"/>
  <c r="G279" i="8" s="1"/>
  <c r="H279" i="8" s="1"/>
  <c r="J278" i="8"/>
  <c r="G278" i="8" s="1"/>
  <c r="H278" i="8" s="1"/>
  <c r="J277" i="8"/>
  <c r="G277" i="8" s="1"/>
  <c r="H277" i="8" s="1"/>
  <c r="J276" i="8"/>
  <c r="G276" i="8" s="1"/>
  <c r="H276" i="8" s="1"/>
  <c r="J275" i="8"/>
  <c r="G275" i="8" s="1"/>
  <c r="H275" i="8" s="1"/>
  <c r="J274" i="8"/>
  <c r="G274" i="8" s="1"/>
  <c r="H274" i="8" s="1"/>
  <c r="J273" i="8"/>
  <c r="G273" i="8" s="1"/>
  <c r="H273" i="8" s="1"/>
  <c r="J272" i="8"/>
  <c r="G272" i="8" s="1"/>
  <c r="H272" i="8" s="1"/>
  <c r="J271" i="8"/>
  <c r="G271" i="8" s="1"/>
  <c r="H271" i="8" s="1"/>
  <c r="J270" i="8"/>
  <c r="G270" i="8" s="1"/>
  <c r="H270" i="8" s="1"/>
  <c r="J269" i="8"/>
  <c r="G269" i="8" s="1"/>
  <c r="H269" i="8" s="1"/>
  <c r="J268" i="8"/>
  <c r="G268" i="8" s="1"/>
  <c r="H268" i="8" s="1"/>
  <c r="J267" i="8"/>
  <c r="G267" i="8" s="1"/>
  <c r="H267" i="8" s="1"/>
  <c r="J266" i="8"/>
  <c r="G266" i="8" s="1"/>
  <c r="H266" i="8" s="1"/>
  <c r="J265" i="8"/>
  <c r="G265" i="8" s="1"/>
  <c r="H265" i="8" s="1"/>
  <c r="J264" i="8"/>
  <c r="G264" i="8" s="1"/>
  <c r="H264" i="8" s="1"/>
  <c r="J263" i="8"/>
  <c r="G263" i="8" s="1"/>
  <c r="H263" i="8" s="1"/>
  <c r="J262" i="8"/>
  <c r="G262" i="8" s="1"/>
  <c r="H262" i="8" s="1"/>
  <c r="J261" i="8"/>
  <c r="G261" i="8" s="1"/>
  <c r="H261" i="8" s="1"/>
  <c r="J260" i="8"/>
  <c r="G260" i="8" s="1"/>
  <c r="H260" i="8" s="1"/>
  <c r="J259" i="8"/>
  <c r="G259" i="8" s="1"/>
  <c r="H259" i="8" s="1"/>
  <c r="J258" i="8"/>
  <c r="G258" i="8" s="1"/>
  <c r="H258" i="8" s="1"/>
  <c r="J257" i="8"/>
  <c r="G257" i="8" s="1"/>
  <c r="H257" i="8" s="1"/>
  <c r="J256" i="8"/>
  <c r="G256" i="8" s="1"/>
  <c r="H256" i="8" s="1"/>
  <c r="J255" i="8"/>
  <c r="G255" i="8" s="1"/>
  <c r="H255" i="8" s="1"/>
  <c r="J254" i="8"/>
  <c r="G254" i="8" s="1"/>
  <c r="H254" i="8" s="1"/>
  <c r="J253" i="8"/>
  <c r="G253" i="8" s="1"/>
  <c r="H253" i="8" s="1"/>
  <c r="J252" i="8"/>
  <c r="G252" i="8" s="1"/>
  <c r="H252" i="8" s="1"/>
  <c r="J251" i="8"/>
  <c r="G251" i="8" s="1"/>
  <c r="H251" i="8" s="1"/>
  <c r="J250" i="8"/>
  <c r="G250" i="8" s="1"/>
  <c r="H250" i="8" s="1"/>
  <c r="J249" i="8"/>
  <c r="G249" i="8" s="1"/>
  <c r="H249" i="8" s="1"/>
  <c r="J248" i="8"/>
  <c r="G248" i="8" s="1"/>
  <c r="H248" i="8" s="1"/>
  <c r="J247" i="8"/>
  <c r="G247" i="8" s="1"/>
  <c r="H247" i="8" s="1"/>
  <c r="J246" i="8"/>
  <c r="G246" i="8" s="1"/>
  <c r="H246" i="8" s="1"/>
  <c r="J245" i="8"/>
  <c r="G245" i="8" s="1"/>
  <c r="H245" i="8" s="1"/>
  <c r="J244" i="8"/>
  <c r="G244" i="8" s="1"/>
  <c r="H244" i="8" s="1"/>
  <c r="J243" i="8"/>
  <c r="G243" i="8" s="1"/>
  <c r="H243" i="8" s="1"/>
  <c r="J242" i="8"/>
  <c r="G242" i="8" s="1"/>
  <c r="H242" i="8" s="1"/>
  <c r="J241" i="8"/>
  <c r="G241" i="8" s="1"/>
  <c r="H241" i="8" s="1"/>
  <c r="J240" i="8"/>
  <c r="G240" i="8" s="1"/>
  <c r="H240" i="8" s="1"/>
  <c r="J239" i="8"/>
  <c r="G239" i="8" s="1"/>
  <c r="H239" i="8" s="1"/>
  <c r="J238" i="8"/>
  <c r="G238" i="8" s="1"/>
  <c r="H238" i="8" s="1"/>
  <c r="J237" i="8"/>
  <c r="G237" i="8" s="1"/>
  <c r="H237" i="8" s="1"/>
  <c r="J236" i="8"/>
  <c r="G236" i="8" s="1"/>
  <c r="H236" i="8" s="1"/>
  <c r="J235" i="8"/>
  <c r="G235" i="8" s="1"/>
  <c r="H235" i="8" s="1"/>
  <c r="J234" i="8"/>
  <c r="G234" i="8" s="1"/>
  <c r="H234" i="8" s="1"/>
  <c r="J233" i="8"/>
  <c r="G233" i="8" s="1"/>
  <c r="H233" i="8" s="1"/>
  <c r="J232" i="8"/>
  <c r="G232" i="8" s="1"/>
  <c r="H232" i="8" s="1"/>
  <c r="J231" i="8"/>
  <c r="G231" i="8" s="1"/>
  <c r="H231" i="8" s="1"/>
  <c r="J230" i="8"/>
  <c r="G230" i="8" s="1"/>
  <c r="H230" i="8" s="1"/>
  <c r="J229" i="8"/>
  <c r="G229" i="8" s="1"/>
  <c r="H229" i="8" s="1"/>
  <c r="J228" i="8"/>
  <c r="G228" i="8" s="1"/>
  <c r="H228" i="8" s="1"/>
  <c r="J227" i="8"/>
  <c r="G227" i="8" s="1"/>
  <c r="H227" i="8" s="1"/>
  <c r="J226" i="8"/>
  <c r="G226" i="8" s="1"/>
  <c r="H226" i="8" s="1"/>
  <c r="J225" i="8"/>
  <c r="G225" i="8" s="1"/>
  <c r="H225" i="8" s="1"/>
  <c r="J224" i="8"/>
  <c r="G224" i="8" s="1"/>
  <c r="H224" i="8" s="1"/>
  <c r="J223" i="8"/>
  <c r="G223" i="8" s="1"/>
  <c r="H223" i="8" s="1"/>
  <c r="J222" i="8"/>
  <c r="G222" i="8" s="1"/>
  <c r="H222" i="8" s="1"/>
  <c r="J221" i="8"/>
  <c r="G221" i="8" s="1"/>
  <c r="H221" i="8" s="1"/>
  <c r="J220" i="8"/>
  <c r="G220" i="8" s="1"/>
  <c r="H220" i="8" s="1"/>
  <c r="J219" i="8"/>
  <c r="G219" i="8" s="1"/>
  <c r="H219" i="8" s="1"/>
  <c r="J218" i="8"/>
  <c r="G218" i="8" s="1"/>
  <c r="H218" i="8" s="1"/>
  <c r="J217" i="8"/>
  <c r="G217" i="8" s="1"/>
  <c r="H217" i="8" s="1"/>
  <c r="J216" i="8"/>
  <c r="G216" i="8" s="1"/>
  <c r="H216" i="8" s="1"/>
  <c r="J215" i="8"/>
  <c r="G215" i="8" s="1"/>
  <c r="H215" i="8" s="1"/>
  <c r="J214" i="8"/>
  <c r="G214" i="8" s="1"/>
  <c r="H214" i="8" s="1"/>
  <c r="J213" i="8"/>
  <c r="G213" i="8" s="1"/>
  <c r="H213" i="8" s="1"/>
  <c r="J212" i="8"/>
  <c r="G212" i="8" s="1"/>
  <c r="H212" i="8" s="1"/>
  <c r="J211" i="8"/>
  <c r="G211" i="8" s="1"/>
  <c r="H211" i="8" s="1"/>
  <c r="J210" i="8"/>
  <c r="G210" i="8" s="1"/>
  <c r="H210" i="8" s="1"/>
  <c r="J209" i="8"/>
  <c r="G209" i="8" s="1"/>
  <c r="H209" i="8" s="1"/>
  <c r="J208" i="8"/>
  <c r="G208" i="8" s="1"/>
  <c r="H208" i="8" s="1"/>
  <c r="J207" i="8"/>
  <c r="G207" i="8" s="1"/>
  <c r="H207" i="8" s="1"/>
  <c r="J206" i="8"/>
  <c r="G206" i="8" s="1"/>
  <c r="H206" i="8" s="1"/>
  <c r="O446" i="7"/>
  <c r="L446" i="7" s="1"/>
  <c r="O445" i="7"/>
  <c r="L445" i="7" s="1"/>
  <c r="O444" i="7"/>
  <c r="L444" i="7" s="1"/>
  <c r="O443" i="7"/>
  <c r="L443" i="7" s="1"/>
  <c r="O442" i="7"/>
  <c r="L442" i="7" s="1"/>
  <c r="O441" i="7"/>
  <c r="L441" i="7" s="1"/>
  <c r="O440" i="7"/>
  <c r="L440" i="7" s="1"/>
  <c r="O439" i="7"/>
  <c r="L439" i="7" s="1"/>
  <c r="O438" i="7"/>
  <c r="L438" i="7" s="1"/>
  <c r="O437" i="7"/>
  <c r="L437" i="7" s="1"/>
  <c r="O436" i="7"/>
  <c r="L436" i="7" s="1"/>
  <c r="O435" i="7"/>
  <c r="L435" i="7" s="1"/>
  <c r="O434" i="7"/>
  <c r="L434" i="7" s="1"/>
  <c r="O433" i="7"/>
  <c r="L433" i="7" s="1"/>
  <c r="O432" i="7"/>
  <c r="L432" i="7" s="1"/>
  <c r="O431" i="7"/>
  <c r="L431" i="7" s="1"/>
  <c r="O430" i="7"/>
  <c r="L430" i="7" s="1"/>
  <c r="O429" i="7"/>
  <c r="L429" i="7" s="1"/>
  <c r="O428" i="7"/>
  <c r="L428" i="7" s="1"/>
  <c r="O427" i="7"/>
  <c r="L427" i="7" s="1"/>
  <c r="O426" i="7"/>
  <c r="L426" i="7" s="1"/>
  <c r="O425" i="7"/>
  <c r="L425" i="7" s="1"/>
  <c r="O424" i="7"/>
  <c r="L424" i="7" s="1"/>
  <c r="O423" i="7"/>
  <c r="L423" i="7" s="1"/>
  <c r="O422" i="7"/>
  <c r="L422" i="7" s="1"/>
  <c r="O421" i="7"/>
  <c r="L421" i="7" s="1"/>
  <c r="O420" i="7"/>
  <c r="L420" i="7" s="1"/>
  <c r="O419" i="7"/>
  <c r="L419" i="7" s="1"/>
  <c r="O418" i="7"/>
  <c r="L418" i="7" s="1"/>
  <c r="O417" i="7"/>
  <c r="L417" i="7" s="1"/>
  <c r="O416" i="7"/>
  <c r="L416" i="7" s="1"/>
  <c r="O415" i="7"/>
  <c r="L415" i="7" s="1"/>
  <c r="O414" i="7"/>
  <c r="L414" i="7" s="1"/>
  <c r="O413" i="7"/>
  <c r="L413" i="7" s="1"/>
  <c r="O412" i="7"/>
  <c r="L412" i="7" s="1"/>
  <c r="O411" i="7"/>
  <c r="L411" i="7" s="1"/>
  <c r="O410" i="7"/>
  <c r="L410" i="7" s="1"/>
  <c r="O409" i="7"/>
  <c r="L409" i="7" s="1"/>
  <c r="O408" i="7"/>
  <c r="L408" i="7" s="1"/>
  <c r="O407" i="7"/>
  <c r="L407" i="7" s="1"/>
  <c r="O406" i="7"/>
  <c r="L406" i="7" s="1"/>
  <c r="O405" i="7"/>
  <c r="L405" i="7" s="1"/>
  <c r="O404" i="7"/>
  <c r="L404" i="7" s="1"/>
  <c r="O403" i="7"/>
  <c r="L403" i="7" s="1"/>
  <c r="O402" i="7"/>
  <c r="L402" i="7" s="1"/>
  <c r="O401" i="7"/>
  <c r="L401" i="7" s="1"/>
  <c r="O400" i="7"/>
  <c r="L400" i="7" s="1"/>
  <c r="O399" i="7"/>
  <c r="L399" i="7" s="1"/>
  <c r="O398" i="7"/>
  <c r="L398" i="7" s="1"/>
  <c r="O397" i="7"/>
  <c r="L397" i="7" s="1"/>
  <c r="O396" i="7"/>
  <c r="L396" i="7" s="1"/>
  <c r="O395" i="7"/>
  <c r="L395" i="7" s="1"/>
  <c r="O394" i="7"/>
  <c r="L394" i="7" s="1"/>
  <c r="O393" i="7"/>
  <c r="L393" i="7" s="1"/>
  <c r="O392" i="7"/>
  <c r="L392" i="7" s="1"/>
  <c r="O391" i="7"/>
  <c r="L391" i="7" s="1"/>
  <c r="O390" i="7"/>
  <c r="L390" i="7" s="1"/>
  <c r="O389" i="7"/>
  <c r="L389" i="7" s="1"/>
  <c r="O388" i="7"/>
  <c r="L388" i="7" s="1"/>
  <c r="O387" i="7"/>
  <c r="L387" i="7" s="1"/>
  <c r="O386" i="7"/>
  <c r="L386" i="7" s="1"/>
  <c r="O385" i="7"/>
  <c r="L385" i="7" s="1"/>
  <c r="O384" i="7"/>
  <c r="L384" i="7" s="1"/>
  <c r="O383" i="7"/>
  <c r="L383" i="7" s="1"/>
  <c r="O382" i="7"/>
  <c r="L382" i="7" s="1"/>
  <c r="O381" i="7"/>
  <c r="L381" i="7" s="1"/>
  <c r="O380" i="7"/>
  <c r="L380" i="7" s="1"/>
  <c r="O379" i="7"/>
  <c r="L379" i="7" s="1"/>
  <c r="O378" i="7"/>
  <c r="L378" i="7" s="1"/>
  <c r="O377" i="7"/>
  <c r="L377" i="7" s="1"/>
  <c r="O376" i="7"/>
  <c r="L376" i="7" s="1"/>
  <c r="O375" i="7"/>
  <c r="L375" i="7" s="1"/>
  <c r="O374" i="7"/>
  <c r="L374" i="7" s="1"/>
  <c r="O373" i="7"/>
  <c r="L373" i="7" s="1"/>
  <c r="O372" i="7"/>
  <c r="L372" i="7" s="1"/>
  <c r="O371" i="7"/>
  <c r="L371" i="7" s="1"/>
  <c r="O370" i="7"/>
  <c r="L370" i="7" s="1"/>
  <c r="O369" i="7"/>
  <c r="L369" i="7" s="1"/>
  <c r="O368" i="7"/>
  <c r="L368" i="7" s="1"/>
  <c r="O367" i="7"/>
  <c r="L367" i="7" s="1"/>
  <c r="O366" i="7"/>
  <c r="L366" i="7" s="1"/>
  <c r="O365" i="7"/>
  <c r="L365" i="7" s="1"/>
  <c r="O364" i="7"/>
  <c r="L364" i="7" s="1"/>
  <c r="O363" i="7"/>
  <c r="L363" i="7" s="1"/>
  <c r="O362" i="7"/>
  <c r="L362" i="7" s="1"/>
  <c r="O361" i="7"/>
  <c r="L361" i="7" s="1"/>
  <c r="O360" i="7"/>
  <c r="L360" i="7" s="1"/>
  <c r="O359" i="7"/>
  <c r="L359" i="7" s="1"/>
  <c r="O358" i="7"/>
  <c r="L358" i="7" s="1"/>
  <c r="O357" i="7"/>
  <c r="L357" i="7" s="1"/>
  <c r="O356" i="7"/>
  <c r="L356" i="7" s="1"/>
  <c r="O355" i="7"/>
  <c r="L355" i="7" s="1"/>
  <c r="O354" i="7"/>
  <c r="L354" i="7" s="1"/>
  <c r="O353" i="7"/>
  <c r="L353" i="7" s="1"/>
  <c r="O352" i="7"/>
  <c r="L352" i="7" s="1"/>
  <c r="O351" i="7"/>
  <c r="L351" i="7" s="1"/>
  <c r="O350" i="7"/>
  <c r="L350" i="7" s="1"/>
  <c r="O349" i="7"/>
  <c r="L349" i="7" s="1"/>
  <c r="O348" i="7"/>
  <c r="L348" i="7" s="1"/>
  <c r="O347" i="7"/>
  <c r="L347" i="7" s="1"/>
  <c r="O346" i="7"/>
  <c r="L346" i="7" s="1"/>
  <c r="O345" i="7"/>
  <c r="L345" i="7" s="1"/>
  <c r="O344" i="7"/>
  <c r="L344" i="7" s="1"/>
  <c r="O343" i="7"/>
  <c r="L343" i="7" s="1"/>
  <c r="O342" i="7"/>
  <c r="L342" i="7" s="1"/>
  <c r="O341" i="7"/>
  <c r="L341" i="7" s="1"/>
  <c r="O340" i="7"/>
  <c r="L340" i="7" s="1"/>
  <c r="O339" i="7"/>
  <c r="L339" i="7" s="1"/>
  <c r="O338" i="7"/>
  <c r="L338" i="7" s="1"/>
  <c r="O337" i="7"/>
  <c r="L337" i="7" s="1"/>
  <c r="O336" i="7"/>
  <c r="L336" i="7" s="1"/>
  <c r="O335" i="7"/>
  <c r="L335" i="7" s="1"/>
  <c r="O334" i="7"/>
  <c r="L334" i="7" s="1"/>
  <c r="O333" i="7"/>
  <c r="L333" i="7" s="1"/>
  <c r="O332" i="7"/>
  <c r="L332" i="7" s="1"/>
  <c r="O331" i="7"/>
  <c r="L331" i="7" s="1"/>
  <c r="O330" i="7"/>
  <c r="L330" i="7" s="1"/>
  <c r="O329" i="7"/>
  <c r="L329" i="7" s="1"/>
  <c r="O328" i="7"/>
  <c r="L328" i="7" s="1"/>
  <c r="O327" i="7"/>
  <c r="L327" i="7" s="1"/>
  <c r="O326" i="7"/>
  <c r="L326" i="7" s="1"/>
  <c r="O325" i="7"/>
  <c r="L325" i="7" s="1"/>
  <c r="O324" i="7"/>
  <c r="L324" i="7" s="1"/>
  <c r="O323" i="7"/>
  <c r="L323" i="7" s="1"/>
  <c r="O322" i="7"/>
  <c r="L322" i="7" s="1"/>
  <c r="O321" i="7"/>
  <c r="L321" i="7" s="1"/>
  <c r="O320" i="7"/>
  <c r="L320" i="7" s="1"/>
  <c r="O319" i="7"/>
  <c r="L319" i="7" s="1"/>
  <c r="O318" i="7"/>
  <c r="L318" i="7" s="1"/>
  <c r="O317" i="7"/>
  <c r="L317" i="7" s="1"/>
  <c r="O316" i="7"/>
  <c r="L316" i="7" s="1"/>
  <c r="O315" i="7"/>
  <c r="L315" i="7" s="1"/>
  <c r="O314" i="7"/>
  <c r="L314" i="7" s="1"/>
  <c r="O313" i="7"/>
  <c r="L313" i="7" s="1"/>
  <c r="O312" i="7"/>
  <c r="L312" i="7" s="1"/>
  <c r="O311" i="7"/>
  <c r="L311" i="7" s="1"/>
  <c r="O310" i="7"/>
  <c r="L310" i="7" s="1"/>
  <c r="O309" i="7"/>
  <c r="L309" i="7" s="1"/>
  <c r="O308" i="7"/>
  <c r="L308" i="7" s="1"/>
  <c r="O307" i="7"/>
  <c r="L307" i="7" s="1"/>
  <c r="O306" i="7"/>
  <c r="L306" i="7" s="1"/>
  <c r="O305" i="7"/>
  <c r="L305" i="7" s="1"/>
  <c r="O304" i="7"/>
  <c r="L304" i="7" s="1"/>
  <c r="O303" i="7"/>
  <c r="L303" i="7" s="1"/>
  <c r="O302" i="7"/>
  <c r="L302" i="7" s="1"/>
  <c r="O301" i="7"/>
  <c r="L301" i="7" s="1"/>
  <c r="O300" i="7"/>
  <c r="L300" i="7" s="1"/>
  <c r="O299" i="7"/>
  <c r="L299" i="7" s="1"/>
  <c r="O298" i="7"/>
  <c r="L298" i="7" s="1"/>
  <c r="O297" i="7"/>
  <c r="L297" i="7" s="1"/>
  <c r="O296" i="7"/>
  <c r="L296" i="7" s="1"/>
  <c r="O295" i="7"/>
  <c r="L295" i="7" s="1"/>
  <c r="O294" i="7"/>
  <c r="L294" i="7" s="1"/>
  <c r="O293" i="7"/>
  <c r="L293" i="7" s="1"/>
  <c r="O292" i="7"/>
  <c r="L292" i="7" s="1"/>
  <c r="O291" i="7"/>
  <c r="L291" i="7" s="1"/>
  <c r="O290" i="7"/>
  <c r="L290" i="7" s="1"/>
  <c r="O289" i="7"/>
  <c r="L289" i="7" s="1"/>
  <c r="O288" i="7"/>
  <c r="L288" i="7" s="1"/>
  <c r="O287" i="7"/>
  <c r="L287" i="7" s="1"/>
  <c r="O286" i="7"/>
  <c r="L286" i="7" s="1"/>
  <c r="O285" i="7"/>
  <c r="L285" i="7" s="1"/>
  <c r="O284" i="7"/>
  <c r="L284" i="7" s="1"/>
  <c r="O283" i="7"/>
  <c r="L283" i="7" s="1"/>
  <c r="O282" i="7"/>
  <c r="L282" i="7" s="1"/>
  <c r="O281" i="7"/>
  <c r="L281" i="7" s="1"/>
  <c r="O280" i="7"/>
  <c r="L280" i="7" s="1"/>
  <c r="O279" i="7"/>
  <c r="L279" i="7" s="1"/>
  <c r="O278" i="7"/>
  <c r="L278" i="7" s="1"/>
  <c r="J1064" i="8"/>
  <c r="G1064" i="8" s="1"/>
  <c r="H1064" i="8" s="1"/>
  <c r="J1711" i="8"/>
  <c r="G1711" i="8" s="1"/>
  <c r="H1711" i="8" s="1"/>
  <c r="J1708" i="8"/>
  <c r="G1708" i="8" s="1"/>
  <c r="H1708" i="8" s="1"/>
  <c r="J1704" i="8"/>
  <c r="G1704" i="8" s="1"/>
  <c r="H1704" i="8" s="1"/>
  <c r="J1701" i="8"/>
  <c r="G1701" i="8" s="1"/>
  <c r="H1701" i="8" s="1"/>
  <c r="J1698" i="8"/>
  <c r="G1698" i="8" s="1"/>
  <c r="H1698" i="8" s="1"/>
  <c r="J1695" i="8"/>
  <c r="G1695" i="8" s="1"/>
  <c r="H1695" i="8" s="1"/>
  <c r="J1692" i="8"/>
  <c r="G1692" i="8" s="1"/>
  <c r="H1692" i="8" s="1"/>
  <c r="J1690" i="8"/>
  <c r="G1690" i="8" s="1"/>
  <c r="H1690" i="8" s="1"/>
  <c r="J1687" i="8"/>
  <c r="G1687" i="8" s="1"/>
  <c r="H1687" i="8" s="1"/>
  <c r="J1685" i="8"/>
  <c r="G1685" i="8" s="1"/>
  <c r="H1685" i="8" s="1"/>
  <c r="J1683" i="8"/>
  <c r="G1683" i="8" s="1"/>
  <c r="H1683" i="8" s="1"/>
  <c r="J1680" i="8"/>
  <c r="G1680" i="8" s="1"/>
  <c r="H1680" i="8" s="1"/>
  <c r="J1676" i="8"/>
  <c r="G1676" i="8" s="1"/>
  <c r="H1676" i="8" s="1"/>
  <c r="J1674" i="8"/>
  <c r="G1674" i="8" s="1"/>
  <c r="H1674" i="8" s="1"/>
  <c r="J1671" i="8"/>
  <c r="G1671" i="8" s="1"/>
  <c r="H1671" i="8" s="1"/>
  <c r="J1667" i="8"/>
  <c r="G1667" i="8" s="1"/>
  <c r="H1667" i="8" s="1"/>
  <c r="J1665" i="8"/>
  <c r="G1665" i="8" s="1"/>
  <c r="H1665" i="8" s="1"/>
  <c r="J1661" i="8"/>
  <c r="G1661" i="8" s="1"/>
  <c r="H1661" i="8" s="1"/>
  <c r="J1659" i="8"/>
  <c r="G1659" i="8" s="1"/>
  <c r="H1659" i="8" s="1"/>
  <c r="J1655" i="8"/>
  <c r="G1655" i="8" s="1"/>
  <c r="H1655" i="8" s="1"/>
  <c r="J1653" i="8"/>
  <c r="G1653" i="8" s="1"/>
  <c r="H1653" i="8" s="1"/>
  <c r="J1649" i="8"/>
  <c r="G1649" i="8" s="1"/>
  <c r="H1649" i="8" s="1"/>
  <c r="J1646" i="8"/>
  <c r="G1646" i="8" s="1"/>
  <c r="H1646" i="8" s="1"/>
  <c r="J1644" i="8"/>
  <c r="G1644" i="8" s="1"/>
  <c r="H1644" i="8" s="1"/>
  <c r="J1640" i="8"/>
  <c r="G1640" i="8" s="1"/>
  <c r="H1640" i="8" s="1"/>
  <c r="J1638" i="8"/>
  <c r="G1638" i="8" s="1"/>
  <c r="H1638" i="8" s="1"/>
  <c r="J1636" i="8"/>
  <c r="G1636" i="8" s="1"/>
  <c r="H1636" i="8" s="1"/>
  <c r="J1631" i="8"/>
  <c r="G1631" i="8" s="1"/>
  <c r="H1631" i="8" s="1"/>
  <c r="J1629" i="8"/>
  <c r="G1629" i="8" s="1"/>
  <c r="H1629" i="8" s="1"/>
  <c r="J1626" i="8"/>
  <c r="G1626" i="8" s="1"/>
  <c r="H1626" i="8" s="1"/>
  <c r="J1622" i="8"/>
  <c r="G1622" i="8" s="1"/>
  <c r="H1622" i="8" s="1"/>
  <c r="J1619" i="8"/>
  <c r="G1619" i="8" s="1"/>
  <c r="H1619" i="8" s="1"/>
  <c r="J1617" i="8"/>
  <c r="G1617" i="8" s="1"/>
  <c r="H1617" i="8" s="1"/>
  <c r="J1615" i="8"/>
  <c r="G1615" i="8" s="1"/>
  <c r="H1615" i="8" s="1"/>
  <c r="J424" i="8"/>
  <c r="G424" i="8" s="1"/>
  <c r="H424" i="8" s="1"/>
  <c r="J425" i="8"/>
  <c r="G425" i="8" s="1"/>
  <c r="H425" i="8" s="1"/>
  <c r="J426" i="8"/>
  <c r="G426" i="8" s="1"/>
  <c r="H426" i="8" s="1"/>
  <c r="J427" i="8"/>
  <c r="G427" i="8" s="1"/>
  <c r="H427" i="8" s="1"/>
  <c r="J428" i="8"/>
  <c r="G428" i="8" s="1"/>
  <c r="H428" i="8" s="1"/>
  <c r="J429" i="8"/>
  <c r="G429" i="8" s="1"/>
  <c r="H429" i="8" s="1"/>
  <c r="J430" i="8"/>
  <c r="G430" i="8" s="1"/>
  <c r="H430" i="8" s="1"/>
  <c r="J431" i="8"/>
  <c r="G431" i="8" s="1"/>
  <c r="H431" i="8" s="1"/>
  <c r="J432" i="8"/>
  <c r="G432" i="8" s="1"/>
  <c r="H432" i="8" s="1"/>
  <c r="J433" i="8"/>
  <c r="G433" i="8" s="1"/>
  <c r="H433" i="8" s="1"/>
  <c r="J434" i="8"/>
  <c r="G434" i="8" s="1"/>
  <c r="H434" i="8" s="1"/>
  <c r="J435" i="8"/>
  <c r="G435" i="8" s="1"/>
  <c r="H435" i="8" s="1"/>
  <c r="J436" i="8"/>
  <c r="G436" i="8" s="1"/>
  <c r="H436" i="8" s="1"/>
  <c r="J437" i="8"/>
  <c r="G437" i="8" s="1"/>
  <c r="H437" i="8" s="1"/>
  <c r="J438" i="8"/>
  <c r="G438" i="8" s="1"/>
  <c r="H438" i="8" s="1"/>
  <c r="J439" i="8"/>
  <c r="G439" i="8" s="1"/>
  <c r="H439" i="8" s="1"/>
  <c r="J441" i="8"/>
  <c r="G441" i="8" s="1"/>
  <c r="H441" i="8" s="1"/>
  <c r="J442" i="8"/>
  <c r="G442" i="8" s="1"/>
  <c r="H442" i="8" s="1"/>
  <c r="J443" i="8"/>
  <c r="G443" i="8" s="1"/>
  <c r="H443" i="8" s="1"/>
  <c r="J444" i="8"/>
  <c r="G444" i="8" s="1"/>
  <c r="H444" i="8" s="1"/>
  <c r="J445" i="8"/>
  <c r="G445" i="8" s="1"/>
  <c r="H445" i="8" s="1"/>
  <c r="J446" i="8"/>
  <c r="G446" i="8" s="1"/>
  <c r="H446" i="8" s="1"/>
  <c r="J447" i="8"/>
  <c r="G447" i="8" s="1"/>
  <c r="H447" i="8" s="1"/>
  <c r="J448" i="8"/>
  <c r="G448" i="8" s="1"/>
  <c r="H448" i="8" s="1"/>
  <c r="J449" i="8"/>
  <c r="G449" i="8" s="1"/>
  <c r="H449" i="8" s="1"/>
  <c r="J450" i="8"/>
  <c r="G450" i="8" s="1"/>
  <c r="H450" i="8" s="1"/>
  <c r="J451" i="8"/>
  <c r="G451" i="8" s="1"/>
  <c r="H451" i="8" s="1"/>
  <c r="J452" i="8"/>
  <c r="G452" i="8" s="1"/>
  <c r="H452" i="8" s="1"/>
  <c r="J453" i="8"/>
  <c r="G453" i="8" s="1"/>
  <c r="H453" i="8" s="1"/>
  <c r="J454" i="8"/>
  <c r="G454" i="8" s="1"/>
  <c r="H454" i="8" s="1"/>
  <c r="J455" i="8"/>
  <c r="G455" i="8" s="1"/>
  <c r="H455" i="8" s="1"/>
  <c r="J456" i="8"/>
  <c r="G456" i="8" s="1"/>
  <c r="H456" i="8" s="1"/>
  <c r="J457" i="8"/>
  <c r="G457" i="8" s="1"/>
  <c r="H457" i="8" s="1"/>
  <c r="J458" i="8"/>
  <c r="G458" i="8" s="1"/>
  <c r="H458" i="8" s="1"/>
  <c r="J459" i="8"/>
  <c r="G459" i="8" s="1"/>
  <c r="H459" i="8" s="1"/>
  <c r="J460" i="8"/>
  <c r="G460" i="8" s="1"/>
  <c r="H460" i="8" s="1"/>
  <c r="J461" i="8"/>
  <c r="G461" i="8" s="1"/>
  <c r="H461" i="8" s="1"/>
  <c r="J462" i="8"/>
  <c r="G462" i="8" s="1"/>
  <c r="H462" i="8" s="1"/>
  <c r="J463" i="8"/>
  <c r="G463" i="8" s="1"/>
  <c r="H463" i="8" s="1"/>
  <c r="J464" i="8"/>
  <c r="G464" i="8" s="1"/>
  <c r="H464" i="8" s="1"/>
  <c r="J465" i="8"/>
  <c r="G465" i="8" s="1"/>
  <c r="H465" i="8" s="1"/>
  <c r="J466" i="8"/>
  <c r="G466" i="8" s="1"/>
  <c r="H466" i="8" s="1"/>
  <c r="J467" i="8"/>
  <c r="G467" i="8" s="1"/>
  <c r="H467" i="8" s="1"/>
  <c r="J468" i="8"/>
  <c r="G468" i="8" s="1"/>
  <c r="H468" i="8" s="1"/>
  <c r="J469" i="8"/>
  <c r="G469" i="8" s="1"/>
  <c r="H469" i="8" s="1"/>
  <c r="J470" i="8"/>
  <c r="G470" i="8" s="1"/>
  <c r="H470" i="8" s="1"/>
  <c r="J1103" i="8"/>
  <c r="G1103" i="8" s="1"/>
  <c r="H1103" i="8" s="1"/>
  <c r="J1102" i="8"/>
  <c r="G1102" i="8" s="1"/>
  <c r="H1102" i="8" s="1"/>
  <c r="J1101" i="8"/>
  <c r="G1101" i="8" s="1"/>
  <c r="H1101" i="8" s="1"/>
  <c r="J1100" i="8"/>
  <c r="G1100" i="8" s="1"/>
  <c r="H1100" i="8" s="1"/>
  <c r="J1099" i="8"/>
  <c r="G1099" i="8" s="1"/>
  <c r="H1099" i="8" s="1"/>
  <c r="J1098" i="8"/>
  <c r="G1098" i="8" s="1"/>
  <c r="H1098" i="8" s="1"/>
  <c r="J1097" i="8"/>
  <c r="G1097" i="8" s="1"/>
  <c r="H1097" i="8" s="1"/>
  <c r="J1096" i="8"/>
  <c r="G1096" i="8" s="1"/>
  <c r="H1096" i="8" s="1"/>
  <c r="J1095" i="8"/>
  <c r="G1095" i="8" s="1"/>
  <c r="H1095" i="8" s="1"/>
  <c r="J1094" i="8"/>
  <c r="G1094" i="8" s="1"/>
  <c r="H1094" i="8" s="1"/>
  <c r="J1093" i="8"/>
  <c r="G1093" i="8" s="1"/>
  <c r="H1093" i="8" s="1"/>
  <c r="J1092" i="8"/>
  <c r="G1092" i="8" s="1"/>
  <c r="H1092" i="8" s="1"/>
  <c r="J1091" i="8"/>
  <c r="G1091" i="8" s="1"/>
  <c r="H1091" i="8" s="1"/>
  <c r="J1090" i="8"/>
  <c r="G1090" i="8" s="1"/>
  <c r="H1090" i="8" s="1"/>
  <c r="J1089" i="8"/>
  <c r="G1089" i="8" s="1"/>
  <c r="H1089" i="8" s="1"/>
  <c r="J1088" i="8"/>
  <c r="G1088" i="8" s="1"/>
  <c r="H1088" i="8" s="1"/>
  <c r="J1087" i="8"/>
  <c r="G1087" i="8" s="1"/>
  <c r="H1087" i="8" s="1"/>
  <c r="J1086" i="8"/>
  <c r="G1086" i="8" s="1"/>
  <c r="H1086" i="8" s="1"/>
  <c r="J1085" i="8"/>
  <c r="G1085" i="8" s="1"/>
  <c r="H1085" i="8" s="1"/>
  <c r="J1084" i="8"/>
  <c r="G1084" i="8" s="1"/>
  <c r="H1084" i="8" s="1"/>
  <c r="J1083" i="8"/>
  <c r="G1083" i="8" s="1"/>
  <c r="H1083" i="8" s="1"/>
  <c r="J1082" i="8"/>
  <c r="G1082" i="8" s="1"/>
  <c r="H1082" i="8" s="1"/>
  <c r="J1081" i="8"/>
  <c r="G1081" i="8" s="1"/>
  <c r="H1081" i="8" s="1"/>
  <c r="J1080" i="8"/>
  <c r="G1080" i="8" s="1"/>
  <c r="H1080" i="8" s="1"/>
  <c r="J1079" i="8"/>
  <c r="G1079" i="8" s="1"/>
  <c r="H1079" i="8" s="1"/>
  <c r="J1078" i="8"/>
  <c r="G1078" i="8" s="1"/>
  <c r="H1078" i="8" s="1"/>
  <c r="J1077" i="8"/>
  <c r="G1077" i="8" s="1"/>
  <c r="H1077" i="8" s="1"/>
  <c r="J1076" i="8"/>
  <c r="G1076" i="8" s="1"/>
  <c r="H1076" i="8" s="1"/>
  <c r="J1075" i="8"/>
  <c r="G1075" i="8" s="1"/>
  <c r="H1075" i="8" s="1"/>
  <c r="J1074" i="8"/>
  <c r="G1074" i="8" s="1"/>
  <c r="H1074" i="8" s="1"/>
  <c r="J1073" i="8"/>
  <c r="G1073" i="8" s="1"/>
  <c r="H1073" i="8" s="1"/>
  <c r="J1072" i="8"/>
  <c r="G1072" i="8" s="1"/>
  <c r="H1072" i="8" s="1"/>
  <c r="J1071" i="8"/>
  <c r="G1071" i="8" s="1"/>
  <c r="H1071" i="8" s="1"/>
  <c r="J1070" i="8"/>
  <c r="G1070" i="8" s="1"/>
  <c r="H1070" i="8" s="1"/>
  <c r="J1069" i="8"/>
  <c r="G1069" i="8" s="1"/>
  <c r="H1069" i="8" s="1"/>
  <c r="J1068" i="8"/>
  <c r="G1068" i="8" s="1"/>
  <c r="H1068" i="8" s="1"/>
  <c r="J1067" i="8"/>
  <c r="G1067" i="8" s="1"/>
  <c r="H1067" i="8" s="1"/>
  <c r="J1066" i="8"/>
  <c r="G1066" i="8" s="1"/>
  <c r="H1066" i="8" s="1"/>
  <c r="J1065" i="8"/>
  <c r="G1065" i="8" s="1"/>
  <c r="H1065" i="8" s="1"/>
  <c r="J471" i="8"/>
  <c r="G471" i="8" s="1"/>
  <c r="H471" i="8" s="1"/>
  <c r="J1063" i="8"/>
  <c r="G1063" i="8" s="1"/>
  <c r="H1063" i="8" s="1"/>
  <c r="J1062" i="8"/>
  <c r="G1062" i="8" s="1"/>
  <c r="H1062" i="8" s="1"/>
  <c r="J1061" i="8"/>
  <c r="G1061" i="8" s="1"/>
  <c r="H1061" i="8" s="1"/>
  <c r="J1060" i="8"/>
  <c r="G1060" i="8" s="1"/>
  <c r="H1060" i="8" s="1"/>
  <c r="J1059" i="8"/>
  <c r="G1059" i="8" s="1"/>
  <c r="H1059" i="8" s="1"/>
  <c r="J1058" i="8"/>
  <c r="G1058" i="8" s="1"/>
  <c r="H1058" i="8" s="1"/>
  <c r="J1057" i="8"/>
  <c r="G1057" i="8" s="1"/>
  <c r="H1057" i="8" s="1"/>
  <c r="J1056" i="8"/>
  <c r="G1056" i="8" s="1"/>
  <c r="H1056" i="8" s="1"/>
  <c r="J1055" i="8"/>
  <c r="G1055" i="8" s="1"/>
  <c r="H1055" i="8" s="1"/>
  <c r="J1054" i="8"/>
  <c r="G1054" i="8" s="1"/>
  <c r="H1054" i="8" s="1"/>
  <c r="J1053" i="8"/>
  <c r="G1053" i="8" s="1"/>
  <c r="H1053" i="8" s="1"/>
  <c r="J1052" i="8"/>
  <c r="G1052" i="8" s="1"/>
  <c r="H1052" i="8" s="1"/>
  <c r="J1051" i="8"/>
  <c r="G1051" i="8" s="1"/>
  <c r="H1051" i="8" s="1"/>
  <c r="J1050" i="8"/>
  <c r="G1050" i="8" s="1"/>
  <c r="H1050" i="8" s="1"/>
  <c r="J1049" i="8"/>
  <c r="G1049" i="8" s="1"/>
  <c r="H1049" i="8" s="1"/>
  <c r="J1048" i="8"/>
  <c r="G1048" i="8" s="1"/>
  <c r="H1048" i="8" s="1"/>
  <c r="J1047" i="8"/>
  <c r="G1047" i="8" s="1"/>
  <c r="H1047" i="8" s="1"/>
  <c r="J1046" i="8"/>
  <c r="G1046" i="8" s="1"/>
  <c r="H1046" i="8" s="1"/>
  <c r="J1045" i="8"/>
  <c r="G1045" i="8" s="1"/>
  <c r="H1045" i="8" s="1"/>
  <c r="J1044" i="8"/>
  <c r="G1044" i="8" s="1"/>
  <c r="H1044" i="8" s="1"/>
  <c r="J1043" i="8"/>
  <c r="G1043" i="8" s="1"/>
  <c r="H1043" i="8" s="1"/>
  <c r="J1042" i="8"/>
  <c r="G1042" i="8" s="1"/>
  <c r="H1042" i="8" s="1"/>
  <c r="J1041" i="8"/>
  <c r="G1041" i="8" s="1"/>
  <c r="H1041" i="8" s="1"/>
  <c r="J472" i="8"/>
  <c r="G472" i="8" s="1"/>
  <c r="H472" i="8" s="1"/>
  <c r="J473" i="8"/>
  <c r="G473" i="8" s="1"/>
  <c r="H473" i="8" s="1"/>
  <c r="J474" i="8"/>
  <c r="G474" i="8" s="1"/>
  <c r="H474" i="8" s="1"/>
  <c r="J475" i="8"/>
  <c r="G475" i="8" s="1"/>
  <c r="H475" i="8" s="1"/>
  <c r="J476" i="8"/>
  <c r="G476" i="8" s="1"/>
  <c r="H476" i="8" s="1"/>
  <c r="J477" i="8"/>
  <c r="G477" i="8" s="1"/>
  <c r="H477" i="8" s="1"/>
  <c r="J478" i="8"/>
  <c r="G478" i="8" s="1"/>
  <c r="H478" i="8" s="1"/>
  <c r="J479" i="8"/>
  <c r="G479" i="8" s="1"/>
  <c r="H479" i="8" s="1"/>
  <c r="J480" i="8"/>
  <c r="G480" i="8" s="1"/>
  <c r="H480" i="8" s="1"/>
  <c r="J481" i="8"/>
  <c r="G481" i="8" s="1"/>
  <c r="H481" i="8" s="1"/>
  <c r="J482" i="8"/>
  <c r="G482" i="8" s="1"/>
  <c r="H482" i="8" s="1"/>
  <c r="J483" i="8"/>
  <c r="G483" i="8" s="1"/>
  <c r="H483" i="8" s="1"/>
  <c r="J484" i="8"/>
  <c r="G484" i="8" s="1"/>
  <c r="H484" i="8" s="1"/>
  <c r="J485" i="8"/>
  <c r="G485" i="8" s="1"/>
  <c r="H485" i="8" s="1"/>
  <c r="J486" i="8"/>
  <c r="G486" i="8" s="1"/>
  <c r="H486" i="8" s="1"/>
  <c r="J487" i="8"/>
  <c r="G487" i="8" s="1"/>
  <c r="H487" i="8" s="1"/>
  <c r="J488" i="8"/>
  <c r="G488" i="8" s="1"/>
  <c r="H488" i="8" s="1"/>
  <c r="J440" i="8"/>
  <c r="G440" i="8" s="1"/>
  <c r="H440" i="8" s="1"/>
  <c r="J1681" i="8"/>
  <c r="G1681" i="8" s="1"/>
  <c r="H1681" i="8" s="1"/>
  <c r="J1678" i="8"/>
  <c r="G1678" i="8" s="1"/>
  <c r="H1678" i="8" s="1"/>
  <c r="J1675" i="8"/>
  <c r="G1675" i="8" s="1"/>
  <c r="H1675" i="8" s="1"/>
  <c r="J1672" i="8"/>
  <c r="G1672" i="8" s="1"/>
  <c r="H1672" i="8" s="1"/>
  <c r="J1669" i="8"/>
  <c r="G1669" i="8" s="1"/>
  <c r="H1669" i="8" s="1"/>
  <c r="J1666" i="8"/>
  <c r="G1666" i="8" s="1"/>
  <c r="H1666" i="8" s="1"/>
  <c r="J1844" i="8"/>
  <c r="G1844" i="8" s="1"/>
  <c r="H1844" i="8" s="1"/>
  <c r="J1843" i="8"/>
  <c r="G1843" i="8" s="1"/>
  <c r="H1843" i="8" s="1"/>
  <c r="J1842" i="8"/>
  <c r="G1842" i="8" s="1"/>
  <c r="H1842" i="8" s="1"/>
  <c r="J1841" i="8"/>
  <c r="G1841" i="8" s="1"/>
  <c r="H1841" i="8" s="1"/>
  <c r="J1840" i="8"/>
  <c r="G1840" i="8" s="1"/>
  <c r="H1840" i="8" s="1"/>
  <c r="J1839" i="8"/>
  <c r="G1839" i="8" s="1"/>
  <c r="H1839" i="8" s="1"/>
  <c r="J1838" i="8"/>
  <c r="G1838" i="8" s="1"/>
  <c r="H1838" i="8" s="1"/>
  <c r="J1837" i="8"/>
  <c r="G1837" i="8" s="1"/>
  <c r="H1837" i="8" s="1"/>
  <c r="J1835" i="8"/>
  <c r="G1835" i="8" s="1"/>
  <c r="H1835" i="8" s="1"/>
  <c r="J1833" i="8"/>
  <c r="G1833" i="8" s="1"/>
  <c r="H1833" i="8" s="1"/>
  <c r="J1831" i="8"/>
  <c r="G1831" i="8" s="1"/>
  <c r="H1831" i="8" s="1"/>
  <c r="J1829" i="8"/>
  <c r="G1829" i="8" s="1"/>
  <c r="H1829" i="8" s="1"/>
  <c r="J1826" i="8"/>
  <c r="G1826" i="8" s="1"/>
  <c r="H1826" i="8" s="1"/>
  <c r="J1824" i="8"/>
  <c r="G1824" i="8" s="1"/>
  <c r="H1824" i="8" s="1"/>
  <c r="J1822" i="8"/>
  <c r="G1822" i="8" s="1"/>
  <c r="H1822" i="8" s="1"/>
  <c r="J1821" i="8"/>
  <c r="G1821" i="8" s="1"/>
  <c r="H1821" i="8" s="1"/>
  <c r="J1819" i="8"/>
  <c r="G1819" i="8" s="1"/>
  <c r="H1819" i="8" s="1"/>
  <c r="J1817" i="8"/>
  <c r="G1817" i="8" s="1"/>
  <c r="H1817" i="8" s="1"/>
  <c r="J1815" i="8"/>
  <c r="G1815" i="8" s="1"/>
  <c r="H1815" i="8" s="1"/>
  <c r="J1813" i="8"/>
  <c r="G1813" i="8" s="1"/>
  <c r="H1813" i="8" s="1"/>
  <c r="J1811" i="8"/>
  <c r="G1811" i="8" s="1"/>
  <c r="H1811" i="8" s="1"/>
  <c r="J1808" i="8"/>
  <c r="G1808" i="8" s="1"/>
  <c r="H1808" i="8" s="1"/>
  <c r="J1805" i="8"/>
  <c r="G1805" i="8" s="1"/>
  <c r="H1805" i="8" s="1"/>
  <c r="J1802" i="8"/>
  <c r="G1802" i="8" s="1"/>
  <c r="H1802" i="8" s="1"/>
  <c r="J1799" i="8"/>
  <c r="G1799" i="8" s="1"/>
  <c r="H1799" i="8" s="1"/>
  <c r="J1797" i="8"/>
  <c r="G1797" i="8" s="1"/>
  <c r="H1797" i="8" s="1"/>
  <c r="J1794" i="8"/>
  <c r="G1794" i="8" s="1"/>
  <c r="H1794" i="8" s="1"/>
  <c r="J1791" i="8"/>
  <c r="G1791" i="8" s="1"/>
  <c r="H1791" i="8" s="1"/>
  <c r="J1789" i="8"/>
  <c r="G1789" i="8" s="1"/>
  <c r="H1789" i="8" s="1"/>
  <c r="J1786" i="8"/>
  <c r="G1786" i="8" s="1"/>
  <c r="H1786" i="8" s="1"/>
  <c r="J1783" i="8"/>
  <c r="G1783" i="8" s="1"/>
  <c r="H1783" i="8" s="1"/>
  <c r="J1780" i="8"/>
  <c r="G1780" i="8" s="1"/>
  <c r="H1780" i="8" s="1"/>
  <c r="J1777" i="8"/>
  <c r="G1777" i="8" s="1"/>
  <c r="H1777" i="8" s="1"/>
  <c r="J1774" i="8"/>
  <c r="G1774" i="8" s="1"/>
  <c r="H1774" i="8" s="1"/>
  <c r="J1765" i="8"/>
  <c r="G1765" i="8" s="1"/>
  <c r="H1765" i="8" s="1"/>
  <c r="J1762" i="8"/>
  <c r="G1762" i="8" s="1"/>
  <c r="H1762" i="8" s="1"/>
  <c r="J1758" i="8"/>
  <c r="G1758" i="8" s="1"/>
  <c r="H1758" i="8" s="1"/>
  <c r="J1754" i="8"/>
  <c r="G1754" i="8" s="1"/>
  <c r="H1754" i="8" s="1"/>
  <c r="J1752" i="8"/>
  <c r="G1752" i="8" s="1"/>
  <c r="H1752" i="8" s="1"/>
  <c r="J1749" i="8"/>
  <c r="G1749" i="8" s="1"/>
  <c r="H1749" i="8" s="1"/>
  <c r="J1746" i="8"/>
  <c r="G1746" i="8" s="1"/>
  <c r="H1746" i="8" s="1"/>
  <c r="J1743" i="8"/>
  <c r="G1743" i="8" s="1"/>
  <c r="H1743" i="8" s="1"/>
  <c r="J1740" i="8"/>
  <c r="G1740" i="8" s="1"/>
  <c r="H1740" i="8" s="1"/>
  <c r="J1737" i="8"/>
  <c r="G1737" i="8" s="1"/>
  <c r="H1737" i="8" s="1"/>
  <c r="J1734" i="8"/>
  <c r="G1734" i="8" s="1"/>
  <c r="H1734" i="8" s="1"/>
  <c r="J1731" i="8"/>
  <c r="G1731" i="8" s="1"/>
  <c r="H1731" i="8" s="1"/>
  <c r="J1728" i="8"/>
  <c r="G1728" i="8" s="1"/>
  <c r="H1728" i="8" s="1"/>
  <c r="J1726" i="8"/>
  <c r="G1726" i="8" s="1"/>
  <c r="H1726" i="8" s="1"/>
  <c r="J1722" i="8"/>
  <c r="G1722" i="8" s="1"/>
  <c r="H1722" i="8" s="1"/>
  <c r="J1719" i="8"/>
  <c r="G1719" i="8" s="1"/>
  <c r="H1719" i="8" s="1"/>
  <c r="J1717" i="8"/>
  <c r="G1717" i="8" s="1"/>
  <c r="H1717" i="8" s="1"/>
  <c r="J1714" i="8"/>
  <c r="G1714" i="8" s="1"/>
  <c r="H1714" i="8" s="1"/>
  <c r="J1710" i="8"/>
  <c r="G1710" i="8" s="1"/>
  <c r="H1710" i="8" s="1"/>
  <c r="J1707" i="8"/>
  <c r="G1707" i="8" s="1"/>
  <c r="H1707" i="8" s="1"/>
  <c r="J1705" i="8"/>
  <c r="G1705" i="8" s="1"/>
  <c r="H1705" i="8" s="1"/>
  <c r="J1702" i="8"/>
  <c r="G1702" i="8" s="1"/>
  <c r="H1702" i="8" s="1"/>
  <c r="J1699" i="8"/>
  <c r="G1699" i="8" s="1"/>
  <c r="H1699" i="8" s="1"/>
  <c r="J1696" i="8"/>
  <c r="G1696" i="8" s="1"/>
  <c r="H1696" i="8" s="1"/>
  <c r="J1693" i="8"/>
  <c r="G1693" i="8" s="1"/>
  <c r="H1693" i="8" s="1"/>
  <c r="J1688" i="8"/>
  <c r="G1688" i="8" s="1"/>
  <c r="H1688" i="8" s="1"/>
  <c r="J1686" i="8"/>
  <c r="G1686" i="8" s="1"/>
  <c r="H1686" i="8" s="1"/>
  <c r="J1684" i="8"/>
  <c r="G1684" i="8" s="1"/>
  <c r="H1684" i="8" s="1"/>
  <c r="J1682" i="8"/>
  <c r="G1682" i="8" s="1"/>
  <c r="H1682" i="8" s="1"/>
  <c r="J1679" i="8"/>
  <c r="G1679" i="8" s="1"/>
  <c r="H1679" i="8" s="1"/>
  <c r="J1677" i="8"/>
  <c r="G1677" i="8" s="1"/>
  <c r="H1677" i="8" s="1"/>
  <c r="J1673" i="8"/>
  <c r="G1673" i="8" s="1"/>
  <c r="H1673" i="8" s="1"/>
  <c r="J1670" i="8"/>
  <c r="G1670" i="8" s="1"/>
  <c r="H1670" i="8" s="1"/>
  <c r="J1668" i="8"/>
  <c r="G1668" i="8" s="1"/>
  <c r="H1668" i="8" s="1"/>
  <c r="J1664" i="8"/>
  <c r="G1664" i="8" s="1"/>
  <c r="H1664" i="8" s="1"/>
  <c r="J1662" i="8"/>
  <c r="G1662" i="8" s="1"/>
  <c r="H1662" i="8" s="1"/>
  <c r="J1658" i="8"/>
  <c r="G1658" i="8" s="1"/>
  <c r="H1658" i="8" s="1"/>
  <c r="J1656" i="8"/>
  <c r="G1656" i="8" s="1"/>
  <c r="H1656" i="8" s="1"/>
  <c r="J1652" i="8"/>
  <c r="G1652" i="8" s="1"/>
  <c r="H1652" i="8" s="1"/>
  <c r="J1650" i="8"/>
  <c r="G1650" i="8" s="1"/>
  <c r="H1650" i="8" s="1"/>
  <c r="J1647" i="8"/>
  <c r="G1647" i="8" s="1"/>
  <c r="H1647" i="8" s="1"/>
  <c r="J1643" i="8"/>
  <c r="G1643" i="8" s="1"/>
  <c r="H1643" i="8" s="1"/>
  <c r="J1641" i="8"/>
  <c r="G1641" i="8" s="1"/>
  <c r="H1641" i="8" s="1"/>
  <c r="J1639" i="8"/>
  <c r="G1639" i="8" s="1"/>
  <c r="H1639" i="8" s="1"/>
  <c r="J1635" i="8"/>
  <c r="G1635" i="8" s="1"/>
  <c r="H1635" i="8" s="1"/>
  <c r="J1633" i="8"/>
  <c r="G1633" i="8" s="1"/>
  <c r="H1633" i="8" s="1"/>
  <c r="J1628" i="8"/>
  <c r="G1628" i="8" s="1"/>
  <c r="H1628" i="8" s="1"/>
  <c r="J1625" i="8"/>
  <c r="G1625" i="8" s="1"/>
  <c r="H1625" i="8" s="1"/>
  <c r="J1623" i="8"/>
  <c r="G1623" i="8" s="1"/>
  <c r="H1623" i="8" s="1"/>
  <c r="J1621" i="8"/>
  <c r="G1621" i="8" s="1"/>
  <c r="H1621" i="8" s="1"/>
  <c r="J1618" i="8"/>
  <c r="G1618" i="8" s="1"/>
  <c r="H1618" i="8" s="1"/>
  <c r="J1614" i="8"/>
  <c r="G1614" i="8" s="1"/>
  <c r="H1614" i="8" s="1"/>
  <c r="J1663" i="8"/>
  <c r="G1663" i="8" s="1"/>
  <c r="H1663" i="8" s="1"/>
  <c r="J1660" i="8"/>
  <c r="G1660" i="8" s="1"/>
  <c r="H1660" i="8" s="1"/>
  <c r="J1657" i="8"/>
  <c r="G1657" i="8" s="1"/>
  <c r="H1657" i="8" s="1"/>
  <c r="J1654" i="8"/>
  <c r="G1654" i="8" s="1"/>
  <c r="H1654" i="8" s="1"/>
  <c r="J1651" i="8"/>
  <c r="G1651" i="8" s="1"/>
  <c r="H1651" i="8" s="1"/>
  <c r="J1648" i="8"/>
  <c r="G1648" i="8" s="1"/>
  <c r="H1648" i="8" s="1"/>
  <c r="J1645" i="8"/>
  <c r="G1645" i="8" s="1"/>
  <c r="H1645" i="8" s="1"/>
  <c r="J1642" i="8"/>
  <c r="G1642" i="8" s="1"/>
  <c r="H1642" i="8" s="1"/>
  <c r="J1637" i="8"/>
  <c r="G1637" i="8" s="1"/>
  <c r="H1637" i="8" s="1"/>
  <c r="J1634" i="8"/>
  <c r="G1634" i="8" s="1"/>
  <c r="H1634" i="8" s="1"/>
  <c r="J1632" i="8"/>
  <c r="G1632" i="8" s="1"/>
  <c r="H1632" i="8" s="1"/>
  <c r="J1630" i="8"/>
  <c r="G1630" i="8" s="1"/>
  <c r="H1630" i="8" s="1"/>
  <c r="J1627" i="8"/>
  <c r="G1627" i="8" s="1"/>
  <c r="H1627" i="8" s="1"/>
  <c r="O454" i="7"/>
  <c r="L454" i="7" s="1"/>
  <c r="J1624" i="8"/>
  <c r="G1624" i="8" s="1"/>
  <c r="H1624" i="8" s="1"/>
  <c r="J1620" i="8"/>
  <c r="G1620" i="8" s="1"/>
  <c r="H1620" i="8" s="1"/>
  <c r="J1616" i="8"/>
  <c r="G1616" i="8" s="1"/>
  <c r="H1616" i="8" s="1"/>
  <c r="J1613" i="8"/>
  <c r="G1613" i="8" s="1"/>
  <c r="H1613" i="8" s="1"/>
  <c r="V466" i="5"/>
  <c r="V465" i="5"/>
  <c r="V464" i="5"/>
  <c r="V463" i="5"/>
  <c r="V462" i="5"/>
  <c r="V461" i="5"/>
  <c r="V460" i="5"/>
  <c r="V459" i="5"/>
  <c r="V458" i="5"/>
  <c r="V457" i="5"/>
  <c r="V456" i="5"/>
  <c r="V455" i="5"/>
  <c r="V454" i="5"/>
  <c r="V453" i="5"/>
  <c r="V452" i="5"/>
  <c r="V451" i="5"/>
  <c r="V450" i="5"/>
  <c r="V449" i="5"/>
  <c r="V448" i="5"/>
  <c r="V447" i="5"/>
  <c r="V446" i="5"/>
  <c r="V445" i="5"/>
  <c r="V444" i="5"/>
  <c r="V443" i="5"/>
  <c r="V442" i="5"/>
  <c r="V441" i="5"/>
  <c r="V440" i="5"/>
  <c r="V439" i="5"/>
  <c r="V438" i="5"/>
  <c r="V437" i="5"/>
  <c r="V436" i="5"/>
  <c r="V435" i="5"/>
  <c r="V434" i="5"/>
  <c r="V433" i="5"/>
  <c r="V432" i="5"/>
  <c r="V431" i="5"/>
  <c r="V430" i="5"/>
  <c r="V429" i="5"/>
  <c r="V428" i="5"/>
  <c r="V427" i="5"/>
  <c r="V426" i="5"/>
  <c r="V425" i="5"/>
  <c r="V424" i="5"/>
  <c r="V423" i="5"/>
  <c r="V422" i="5"/>
  <c r="V421" i="5"/>
  <c r="V420" i="5"/>
  <c r="V419" i="5"/>
  <c r="V418" i="5"/>
  <c r="V417" i="5"/>
  <c r="V416" i="5"/>
  <c r="V415" i="5"/>
  <c r="V414" i="5"/>
  <c r="V413" i="5"/>
  <c r="V412" i="5"/>
  <c r="V411" i="5"/>
  <c r="V410" i="5"/>
  <c r="V409" i="5"/>
  <c r="V408" i="5"/>
  <c r="V407" i="5"/>
  <c r="V406" i="5"/>
  <c r="V405" i="5"/>
  <c r="V404" i="5"/>
  <c r="V403" i="5"/>
  <c r="V402" i="5"/>
  <c r="O478" i="7"/>
  <c r="L478" i="7" s="1"/>
  <c r="O453" i="7"/>
  <c r="L453" i="7" s="1"/>
  <c r="O452" i="7"/>
  <c r="L452" i="7" s="1"/>
  <c r="O451" i="7"/>
  <c r="L451" i="7" s="1"/>
  <c r="O450" i="7"/>
  <c r="L450" i="7" s="1"/>
  <c r="O449" i="7"/>
  <c r="L449" i="7" s="1"/>
  <c r="O448" i="7"/>
  <c r="L448" i="7" s="1"/>
  <c r="O447" i="7"/>
  <c r="L447" i="7" s="1"/>
  <c r="O455" i="7"/>
  <c r="L455" i="7" s="1"/>
  <c r="O456" i="7"/>
  <c r="L456" i="7" s="1"/>
  <c r="O457" i="7"/>
  <c r="L457" i="7" s="1"/>
  <c r="O458" i="7"/>
  <c r="L458" i="7" s="1"/>
  <c r="O459" i="7"/>
  <c r="L459" i="7" s="1"/>
  <c r="O460" i="7"/>
  <c r="L460" i="7" s="1"/>
  <c r="O461" i="7"/>
  <c r="L461" i="7" s="1"/>
  <c r="O462" i="7"/>
  <c r="L462" i="7" s="1"/>
  <c r="O463" i="7"/>
  <c r="L463" i="7" s="1"/>
  <c r="O464" i="7"/>
  <c r="L464" i="7" s="1"/>
  <c r="O465" i="7"/>
  <c r="L465" i="7" s="1"/>
  <c r="O466" i="7"/>
  <c r="L466" i="7" s="1"/>
  <c r="O467" i="7"/>
  <c r="L467" i="7" s="1"/>
  <c r="O468" i="7"/>
  <c r="L468" i="7" s="1"/>
  <c r="O469" i="7"/>
  <c r="L469" i="7" s="1"/>
  <c r="O470" i="7"/>
  <c r="L470" i="7" s="1"/>
  <c r="O471" i="7"/>
  <c r="L471" i="7" s="1"/>
  <c r="O472" i="7"/>
  <c r="L472" i="7" s="1"/>
  <c r="O473" i="7"/>
  <c r="L473" i="7" s="1"/>
  <c r="O474" i="7"/>
  <c r="L474" i="7" s="1"/>
  <c r="O475" i="7"/>
  <c r="L475" i="7" s="1"/>
  <c r="O476" i="7"/>
  <c r="L476" i="7" s="1"/>
  <c r="O477" i="7"/>
  <c r="L477" i="7" s="1"/>
  <c r="J1810" i="8"/>
  <c r="G1810" i="8" s="1"/>
  <c r="H1810" i="8" s="1"/>
  <c r="J1807" i="8"/>
  <c r="G1807" i="8" s="1"/>
  <c r="H1807" i="8" s="1"/>
  <c r="J1803" i="8"/>
  <c r="G1803" i="8" s="1"/>
  <c r="H1803" i="8" s="1"/>
  <c r="J1801" i="8"/>
  <c r="G1801" i="8" s="1"/>
  <c r="H1801" i="8" s="1"/>
  <c r="J1798" i="8"/>
  <c r="G1798" i="8" s="1"/>
  <c r="H1798" i="8" s="1"/>
  <c r="J1795" i="8"/>
  <c r="G1795" i="8" s="1"/>
  <c r="H1795" i="8" s="1"/>
  <c r="J1792" i="8"/>
  <c r="G1792" i="8" s="1"/>
  <c r="H1792" i="8" s="1"/>
  <c r="J1788" i="8"/>
  <c r="G1788" i="8" s="1"/>
  <c r="H1788" i="8" s="1"/>
  <c r="J1785" i="8"/>
  <c r="G1785" i="8" s="1"/>
  <c r="H1785" i="8" s="1"/>
  <c r="J1781" i="8"/>
  <c r="G1781" i="8" s="1"/>
  <c r="H1781" i="8" s="1"/>
  <c r="J1779" i="8"/>
  <c r="G1779" i="8" s="1"/>
  <c r="H1779" i="8" s="1"/>
  <c r="J1775" i="8"/>
  <c r="G1775" i="8" s="1"/>
  <c r="H1775" i="8" s="1"/>
  <c r="J1772" i="8"/>
  <c r="G1772" i="8" s="1"/>
  <c r="H1772" i="8" s="1"/>
  <c r="J1770" i="8"/>
  <c r="G1770" i="8" s="1"/>
  <c r="H1770" i="8" s="1"/>
  <c r="J1768" i="8"/>
  <c r="G1768" i="8" s="1"/>
  <c r="H1768" i="8" s="1"/>
  <c r="J1766" i="8"/>
  <c r="G1766" i="8" s="1"/>
  <c r="H1766" i="8" s="1"/>
  <c r="J1763" i="8"/>
  <c r="G1763" i="8" s="1"/>
  <c r="H1763" i="8" s="1"/>
  <c r="J1760" i="8"/>
  <c r="G1760" i="8" s="1"/>
  <c r="H1760" i="8" s="1"/>
  <c r="J1757" i="8"/>
  <c r="G1757" i="8" s="1"/>
  <c r="H1757" i="8" s="1"/>
  <c r="J1755" i="8"/>
  <c r="G1755" i="8" s="1"/>
  <c r="H1755" i="8" s="1"/>
  <c r="J1751" i="8"/>
  <c r="G1751" i="8" s="1"/>
  <c r="H1751" i="8" s="1"/>
  <c r="J1748" i="8"/>
  <c r="G1748" i="8" s="1"/>
  <c r="H1748" i="8" s="1"/>
  <c r="J1745" i="8"/>
  <c r="G1745" i="8" s="1"/>
  <c r="H1745" i="8" s="1"/>
  <c r="J1742" i="8"/>
  <c r="G1742" i="8" s="1"/>
  <c r="H1742" i="8" s="1"/>
  <c r="J1739" i="8"/>
  <c r="G1739" i="8" s="1"/>
  <c r="H1739" i="8" s="1"/>
  <c r="J1735" i="8"/>
  <c r="G1735" i="8" s="1"/>
  <c r="H1735" i="8" s="1"/>
  <c r="J1732" i="8"/>
  <c r="G1732" i="8" s="1"/>
  <c r="H1732" i="8" s="1"/>
  <c r="J1729" i="8"/>
  <c r="G1729" i="8" s="1"/>
  <c r="H1729" i="8" s="1"/>
  <c r="J1727" i="8"/>
  <c r="G1727" i="8" s="1"/>
  <c r="H1727" i="8" s="1"/>
  <c r="J1724" i="8"/>
  <c r="G1724" i="8" s="1"/>
  <c r="H1724" i="8" s="1"/>
  <c r="J1721" i="8"/>
  <c r="G1721" i="8" s="1"/>
  <c r="H1721" i="8" s="1"/>
  <c r="J1718" i="8"/>
  <c r="G1718" i="8" s="1"/>
  <c r="H1718" i="8" s="1"/>
  <c r="J1715" i="8"/>
  <c r="G1715" i="8" s="1"/>
  <c r="H1715" i="8" s="1"/>
  <c r="J1712" i="8"/>
  <c r="G1712" i="8" s="1"/>
  <c r="H1712" i="8" s="1"/>
  <c r="J1709" i="8"/>
  <c r="G1709" i="8" s="1"/>
  <c r="H1709" i="8" s="1"/>
  <c r="J1706" i="8"/>
  <c r="G1706" i="8" s="1"/>
  <c r="H1706" i="8" s="1"/>
  <c r="J1703" i="8"/>
  <c r="G1703" i="8" s="1"/>
  <c r="H1703" i="8" s="1"/>
  <c r="J1700" i="8"/>
  <c r="G1700" i="8" s="1"/>
  <c r="H1700" i="8" s="1"/>
  <c r="J1697" i="8"/>
  <c r="G1697" i="8" s="1"/>
  <c r="H1697" i="8" s="1"/>
  <c r="J1694" i="8"/>
  <c r="G1694" i="8" s="1"/>
  <c r="H1694" i="8" s="1"/>
  <c r="J1691" i="8"/>
  <c r="G1691" i="8" s="1"/>
  <c r="H1691" i="8" s="1"/>
  <c r="J407" i="8"/>
  <c r="G407" i="8" s="1"/>
  <c r="H407" i="8" s="1"/>
  <c r="J408" i="8"/>
  <c r="G408" i="8" s="1"/>
  <c r="H408" i="8" s="1"/>
  <c r="J409" i="8"/>
  <c r="G409" i="8" s="1"/>
  <c r="H409" i="8" s="1"/>
  <c r="J410" i="8"/>
  <c r="G410" i="8" s="1"/>
  <c r="H410" i="8" s="1"/>
  <c r="J411" i="8"/>
  <c r="G411" i="8" s="1"/>
  <c r="H411" i="8" s="1"/>
  <c r="J412" i="8"/>
  <c r="G412" i="8" s="1"/>
  <c r="H412" i="8" s="1"/>
  <c r="J413" i="8"/>
  <c r="G413" i="8" s="1"/>
  <c r="H413" i="8" s="1"/>
  <c r="J414" i="8"/>
  <c r="G414" i="8" s="1"/>
  <c r="H414" i="8" s="1"/>
  <c r="J415" i="8"/>
  <c r="G415" i="8" s="1"/>
  <c r="H415" i="8" s="1"/>
  <c r="J416" i="8"/>
  <c r="G416" i="8" s="1"/>
  <c r="H416" i="8" s="1"/>
  <c r="J417" i="8"/>
  <c r="G417" i="8" s="1"/>
  <c r="H417" i="8" s="1"/>
  <c r="J418" i="8"/>
  <c r="G418" i="8" s="1"/>
  <c r="H418" i="8" s="1"/>
  <c r="J419" i="8"/>
  <c r="G419" i="8" s="1"/>
  <c r="H419" i="8" s="1"/>
  <c r="J420" i="8"/>
  <c r="G420" i="8" s="1"/>
  <c r="H420" i="8" s="1"/>
  <c r="J421" i="8"/>
  <c r="G421" i="8" s="1"/>
  <c r="H421" i="8" s="1"/>
  <c r="J422" i="8"/>
  <c r="G422" i="8" s="1"/>
  <c r="H422" i="8" s="1"/>
  <c r="J423" i="8"/>
  <c r="G423" i="8" s="1"/>
  <c r="H423" i="8" s="1"/>
  <c r="V66" i="5"/>
  <c r="J1836" i="8"/>
  <c r="G1836" i="8" s="1"/>
  <c r="H1836" i="8" s="1"/>
  <c r="J1834" i="8"/>
  <c r="G1834" i="8" s="1"/>
  <c r="H1834" i="8" s="1"/>
  <c r="J1832" i="8"/>
  <c r="G1832" i="8" s="1"/>
  <c r="H1832" i="8" s="1"/>
  <c r="J1830" i="8"/>
  <c r="G1830" i="8" s="1"/>
  <c r="H1830" i="8" s="1"/>
  <c r="J1828" i="8"/>
  <c r="G1828" i="8" s="1"/>
  <c r="H1828" i="8" s="1"/>
  <c r="J1827" i="8"/>
  <c r="G1827" i="8" s="1"/>
  <c r="H1827" i="8" s="1"/>
  <c r="J1825" i="8"/>
  <c r="G1825" i="8" s="1"/>
  <c r="H1825" i="8" s="1"/>
  <c r="J1823" i="8"/>
  <c r="G1823" i="8" s="1"/>
  <c r="H1823" i="8" s="1"/>
  <c r="J1820" i="8"/>
  <c r="G1820" i="8" s="1"/>
  <c r="H1820" i="8" s="1"/>
  <c r="J1818" i="8"/>
  <c r="G1818" i="8" s="1"/>
  <c r="H1818" i="8" s="1"/>
  <c r="J1816" i="8"/>
  <c r="G1816" i="8" s="1"/>
  <c r="H1816" i="8" s="1"/>
  <c r="J1814" i="8"/>
  <c r="G1814" i="8" s="1"/>
  <c r="H1814" i="8" s="1"/>
  <c r="J1812" i="8"/>
  <c r="G1812" i="8" s="1"/>
  <c r="H1812" i="8" s="1"/>
  <c r="J1809" i="8"/>
  <c r="G1809" i="8" s="1"/>
  <c r="H1809" i="8" s="1"/>
  <c r="J1806" i="8"/>
  <c r="G1806" i="8" s="1"/>
  <c r="H1806" i="8" s="1"/>
  <c r="J1804" i="8"/>
  <c r="G1804" i="8" s="1"/>
  <c r="H1804" i="8" s="1"/>
  <c r="J1800" i="8"/>
  <c r="G1800" i="8" s="1"/>
  <c r="H1800" i="8" s="1"/>
  <c r="J1796" i="8"/>
  <c r="G1796" i="8" s="1"/>
  <c r="H1796" i="8" s="1"/>
  <c r="J1793" i="8"/>
  <c r="G1793" i="8" s="1"/>
  <c r="H1793" i="8" s="1"/>
  <c r="J1790" i="8"/>
  <c r="G1790" i="8" s="1"/>
  <c r="H1790" i="8" s="1"/>
  <c r="J1787" i="8"/>
  <c r="G1787" i="8" s="1"/>
  <c r="H1787" i="8" s="1"/>
  <c r="J1784" i="8"/>
  <c r="G1784" i="8" s="1"/>
  <c r="H1784" i="8" s="1"/>
  <c r="J1782" i="8"/>
  <c r="G1782" i="8" s="1"/>
  <c r="H1782" i="8" s="1"/>
  <c r="J1778" i="8"/>
  <c r="G1778" i="8" s="1"/>
  <c r="H1778" i="8" s="1"/>
  <c r="J1776" i="8"/>
  <c r="G1776" i="8" s="1"/>
  <c r="H1776" i="8" s="1"/>
  <c r="J1773" i="8"/>
  <c r="G1773" i="8" s="1"/>
  <c r="H1773" i="8" s="1"/>
  <c r="J1771" i="8"/>
  <c r="G1771" i="8" s="1"/>
  <c r="H1771" i="8" s="1"/>
  <c r="J1769" i="8"/>
  <c r="G1769" i="8" s="1"/>
  <c r="H1769" i="8" s="1"/>
  <c r="J1767" i="8"/>
  <c r="G1767" i="8" s="1"/>
  <c r="H1767" i="8" s="1"/>
  <c r="J1764" i="8"/>
  <c r="G1764" i="8" s="1"/>
  <c r="H1764" i="8" s="1"/>
  <c r="J1761" i="8"/>
  <c r="G1761" i="8" s="1"/>
  <c r="H1761" i="8" s="1"/>
  <c r="J1759" i="8"/>
  <c r="G1759" i="8" s="1"/>
  <c r="H1759" i="8" s="1"/>
  <c r="J1756" i="8"/>
  <c r="G1756" i="8" s="1"/>
  <c r="H1756" i="8" s="1"/>
  <c r="J1753" i="8"/>
  <c r="G1753" i="8" s="1"/>
  <c r="H1753" i="8" s="1"/>
  <c r="J1750" i="8"/>
  <c r="G1750" i="8" s="1"/>
  <c r="H1750" i="8" s="1"/>
  <c r="J1747" i="8"/>
  <c r="G1747" i="8" s="1"/>
  <c r="H1747" i="8" s="1"/>
  <c r="J1744" i="8"/>
  <c r="G1744" i="8" s="1"/>
  <c r="H1744" i="8" s="1"/>
  <c r="J1741" i="8"/>
  <c r="G1741" i="8" s="1"/>
  <c r="H1741" i="8" s="1"/>
  <c r="J1738" i="8"/>
  <c r="G1738" i="8" s="1"/>
  <c r="H1738" i="8" s="1"/>
  <c r="J1736" i="8"/>
  <c r="G1736" i="8" s="1"/>
  <c r="H1736" i="8" s="1"/>
  <c r="J1733" i="8"/>
  <c r="G1733" i="8" s="1"/>
  <c r="H1733" i="8" s="1"/>
  <c r="J1730" i="8"/>
  <c r="G1730" i="8" s="1"/>
  <c r="H1730" i="8" s="1"/>
  <c r="J1725" i="8"/>
  <c r="G1725" i="8" s="1"/>
  <c r="H1725" i="8" s="1"/>
  <c r="J1723" i="8"/>
  <c r="G1723" i="8" s="1"/>
  <c r="H1723" i="8" s="1"/>
  <c r="J1720" i="8"/>
  <c r="G1720" i="8" s="1"/>
  <c r="H1720" i="8" s="1"/>
  <c r="J1716" i="8"/>
  <c r="G1716" i="8" s="1"/>
  <c r="H1716" i="8" s="1"/>
  <c r="J1713" i="8"/>
  <c r="G1713" i="8" s="1"/>
  <c r="H1713" i="8" s="1"/>
  <c r="J1934" i="8"/>
  <c r="G1934" i="8" s="1"/>
  <c r="H1934" i="8" s="1"/>
  <c r="J1933" i="8"/>
  <c r="G1933" i="8" s="1"/>
  <c r="H1933" i="8" s="1"/>
  <c r="J1932" i="8"/>
  <c r="G1932" i="8" s="1"/>
  <c r="H1932" i="8" s="1"/>
  <c r="J1931" i="8"/>
  <c r="G1931" i="8" s="1"/>
  <c r="H1931" i="8" s="1"/>
  <c r="J1930" i="8"/>
  <c r="G1930" i="8" s="1"/>
  <c r="H1930" i="8" s="1"/>
  <c r="J1929" i="8"/>
  <c r="G1929" i="8" s="1"/>
  <c r="H1929" i="8" s="1"/>
  <c r="J1928" i="8"/>
  <c r="G1928" i="8" s="1"/>
  <c r="H1928" i="8" s="1"/>
  <c r="J1927" i="8"/>
  <c r="G1927" i="8" s="1"/>
  <c r="H1927" i="8" s="1"/>
  <c r="J1926" i="8"/>
  <c r="G1926" i="8" s="1"/>
  <c r="H1926" i="8" s="1"/>
  <c r="J1925" i="8"/>
  <c r="G1925" i="8" s="1"/>
  <c r="H1925" i="8" s="1"/>
  <c r="J1924" i="8"/>
  <c r="G1924" i="8" s="1"/>
  <c r="H1924" i="8" s="1"/>
  <c r="J1923" i="8"/>
  <c r="G1923" i="8" s="1"/>
  <c r="H1923" i="8" s="1"/>
  <c r="J1922" i="8"/>
  <c r="G1922" i="8" s="1"/>
  <c r="H1922" i="8" s="1"/>
  <c r="J1921" i="8"/>
  <c r="G1921" i="8" s="1"/>
  <c r="H1921" i="8" s="1"/>
  <c r="J1920" i="8"/>
  <c r="G1920" i="8" s="1"/>
  <c r="H1920" i="8" s="1"/>
  <c r="J1919" i="8"/>
  <c r="G1919" i="8" s="1"/>
  <c r="H1919" i="8" s="1"/>
  <c r="J1918" i="8"/>
  <c r="G1918" i="8" s="1"/>
  <c r="H1918" i="8" s="1"/>
  <c r="J1917" i="8"/>
  <c r="G1917" i="8" s="1"/>
  <c r="H1917" i="8" s="1"/>
  <c r="J1916" i="8"/>
  <c r="G1916" i="8" s="1"/>
  <c r="H1916" i="8" s="1"/>
  <c r="J1915" i="8"/>
  <c r="G1915" i="8" s="1"/>
  <c r="H1915" i="8" s="1"/>
  <c r="J1914" i="8"/>
  <c r="G1914" i="8" s="1"/>
  <c r="H1914" i="8" s="1"/>
  <c r="J1913" i="8"/>
  <c r="G1913" i="8" s="1"/>
  <c r="H1913" i="8" s="1"/>
  <c r="J1912" i="8"/>
  <c r="G1912" i="8" s="1"/>
  <c r="H1912" i="8" s="1"/>
  <c r="J1911" i="8"/>
  <c r="G1911" i="8" s="1"/>
  <c r="H1911" i="8" s="1"/>
  <c r="J1910" i="8"/>
  <c r="G1910" i="8" s="1"/>
  <c r="H1910" i="8" s="1"/>
  <c r="J1909" i="8"/>
  <c r="G1909" i="8" s="1"/>
  <c r="H1909" i="8" s="1"/>
  <c r="J1908" i="8"/>
  <c r="G1908" i="8" s="1"/>
  <c r="H1908" i="8" s="1"/>
  <c r="J1907" i="8"/>
  <c r="G1907" i="8" s="1"/>
  <c r="H1907" i="8" s="1"/>
  <c r="J1906" i="8"/>
  <c r="G1906" i="8" s="1"/>
  <c r="H1906" i="8" s="1"/>
  <c r="J1905" i="8"/>
  <c r="G1905" i="8" s="1"/>
  <c r="H1905" i="8" s="1"/>
  <c r="J1904" i="8"/>
  <c r="G1904" i="8" s="1"/>
  <c r="H1904" i="8" s="1"/>
  <c r="J1903" i="8"/>
  <c r="G1903" i="8" s="1"/>
  <c r="H1903" i="8" s="1"/>
  <c r="J1902" i="8"/>
  <c r="G1902" i="8" s="1"/>
  <c r="H1902" i="8" s="1"/>
  <c r="J1901" i="8"/>
  <c r="G1901" i="8" s="1"/>
  <c r="H1901" i="8" s="1"/>
  <c r="J1900" i="8"/>
  <c r="G1900" i="8" s="1"/>
  <c r="H1900" i="8" s="1"/>
  <c r="J1899" i="8"/>
  <c r="G1899" i="8" s="1"/>
  <c r="H1899" i="8" s="1"/>
  <c r="J1898" i="8"/>
  <c r="G1898" i="8" s="1"/>
  <c r="H1898" i="8" s="1"/>
  <c r="J1897" i="8"/>
  <c r="G1897" i="8" s="1"/>
  <c r="H1897" i="8" s="1"/>
  <c r="J1896" i="8"/>
  <c r="G1896" i="8" s="1"/>
  <c r="H1896" i="8" s="1"/>
  <c r="J1895" i="8"/>
  <c r="G1895" i="8" s="1"/>
  <c r="H1895" i="8" s="1"/>
  <c r="J1894" i="8"/>
  <c r="G1894" i="8" s="1"/>
  <c r="H1894" i="8" s="1"/>
  <c r="J1893" i="8"/>
  <c r="G1893" i="8" s="1"/>
  <c r="H1893" i="8" s="1"/>
  <c r="J1892" i="8"/>
  <c r="G1892" i="8" s="1"/>
  <c r="H1892" i="8" s="1"/>
  <c r="J1891" i="8"/>
  <c r="G1891" i="8" s="1"/>
  <c r="H1891" i="8" s="1"/>
  <c r="J1890" i="8"/>
  <c r="G1890" i="8" s="1"/>
  <c r="H1890" i="8" s="1"/>
  <c r="J1889" i="8"/>
  <c r="G1889" i="8" s="1"/>
  <c r="H1889" i="8" s="1"/>
  <c r="J1888" i="8"/>
  <c r="G1888" i="8" s="1"/>
  <c r="H1888" i="8" s="1"/>
  <c r="J1887" i="8"/>
  <c r="G1887" i="8" s="1"/>
  <c r="H1887" i="8" s="1"/>
  <c r="J1886" i="8"/>
  <c r="G1886" i="8" s="1"/>
  <c r="H1886" i="8" s="1"/>
  <c r="J1885" i="8"/>
  <c r="G1885" i="8" s="1"/>
  <c r="H1885" i="8" s="1"/>
  <c r="J1884" i="8"/>
  <c r="G1884" i="8" s="1"/>
  <c r="H1884" i="8" s="1"/>
  <c r="J1883" i="8"/>
  <c r="G1883" i="8" s="1"/>
  <c r="H1883" i="8" s="1"/>
  <c r="J1882" i="8"/>
  <c r="G1882" i="8" s="1"/>
  <c r="H1882" i="8" s="1"/>
  <c r="J1881" i="8"/>
  <c r="G1881" i="8" s="1"/>
  <c r="H1881" i="8" s="1"/>
  <c r="J1880" i="8"/>
  <c r="G1880" i="8" s="1"/>
  <c r="H1880" i="8" s="1"/>
  <c r="J1879" i="8"/>
  <c r="G1879" i="8" s="1"/>
  <c r="H1879" i="8" s="1"/>
  <c r="J1878" i="8"/>
  <c r="G1878" i="8" s="1"/>
  <c r="H1878" i="8" s="1"/>
  <c r="J1877" i="8"/>
  <c r="G1877" i="8" s="1"/>
  <c r="H1877" i="8" s="1"/>
  <c r="J1876" i="8"/>
  <c r="G1876" i="8" s="1"/>
  <c r="H1876" i="8" s="1"/>
  <c r="J1875" i="8"/>
  <c r="G1875" i="8" s="1"/>
  <c r="H1875" i="8" s="1"/>
  <c r="O27" i="7"/>
  <c r="J1873" i="8"/>
  <c r="G1873" i="8" s="1"/>
  <c r="H1873" i="8" s="1"/>
  <c r="J1872" i="8"/>
  <c r="G1872" i="8" s="1"/>
  <c r="H1872" i="8" s="1"/>
  <c r="J1871" i="8"/>
  <c r="G1871" i="8" s="1"/>
  <c r="H1871" i="8" s="1"/>
  <c r="J1870" i="8"/>
  <c r="G1870" i="8" s="1"/>
  <c r="H1870" i="8" s="1"/>
  <c r="J1869" i="8"/>
  <c r="G1869" i="8" s="1"/>
  <c r="H1869" i="8" s="1"/>
  <c r="J1868" i="8"/>
  <c r="G1868" i="8" s="1"/>
  <c r="H1868" i="8" s="1"/>
  <c r="J1867" i="8"/>
  <c r="G1867" i="8" s="1"/>
  <c r="H1867" i="8" s="1"/>
  <c r="J1866" i="8"/>
  <c r="G1866" i="8" s="1"/>
  <c r="H1866" i="8" s="1"/>
  <c r="J1865" i="8"/>
  <c r="G1865" i="8" s="1"/>
  <c r="H1865" i="8" s="1"/>
  <c r="J1864" i="8"/>
  <c r="G1864" i="8" s="1"/>
  <c r="H1864" i="8" s="1"/>
  <c r="J1863" i="8"/>
  <c r="G1863" i="8" s="1"/>
  <c r="H1863" i="8" s="1"/>
  <c r="J1862" i="8"/>
  <c r="G1862" i="8" s="1"/>
  <c r="H1862" i="8" s="1"/>
  <c r="J1861" i="8"/>
  <c r="G1861" i="8" s="1"/>
  <c r="H1861" i="8" s="1"/>
  <c r="J1860" i="8"/>
  <c r="G1860" i="8" s="1"/>
  <c r="H1860" i="8" s="1"/>
  <c r="J1859" i="8"/>
  <c r="G1859" i="8" s="1"/>
  <c r="H1859" i="8" s="1"/>
  <c r="J1858" i="8"/>
  <c r="G1858" i="8" s="1"/>
  <c r="H1858" i="8" s="1"/>
  <c r="J1857" i="8"/>
  <c r="G1857" i="8" s="1"/>
  <c r="H1857" i="8" s="1"/>
  <c r="J1856" i="8"/>
  <c r="G1856" i="8" s="1"/>
  <c r="H1856" i="8" s="1"/>
  <c r="J1855" i="8"/>
  <c r="G1855" i="8" s="1"/>
  <c r="H1855" i="8" s="1"/>
  <c r="J1854" i="8"/>
  <c r="G1854" i="8" s="1"/>
  <c r="H1854" i="8" s="1"/>
  <c r="J1853" i="8"/>
  <c r="G1853" i="8" s="1"/>
  <c r="H1853" i="8" s="1"/>
  <c r="J1852" i="8"/>
  <c r="G1852" i="8" s="1"/>
  <c r="H1852" i="8" s="1"/>
  <c r="J1851" i="8"/>
  <c r="G1851" i="8" s="1"/>
  <c r="H1851" i="8" s="1"/>
  <c r="J1850" i="8"/>
  <c r="G1850" i="8" s="1"/>
  <c r="H1850" i="8" s="1"/>
  <c r="J1849" i="8"/>
  <c r="G1849" i="8" s="1"/>
  <c r="H1849" i="8" s="1"/>
  <c r="J1848" i="8"/>
  <c r="G1848" i="8" s="1"/>
  <c r="H1848" i="8" s="1"/>
  <c r="J1847" i="8"/>
  <c r="G1847" i="8" s="1"/>
  <c r="H1847" i="8" s="1"/>
  <c r="J1846" i="8"/>
  <c r="G1846" i="8" s="1"/>
  <c r="H1846" i="8" s="1"/>
  <c r="J1845" i="8"/>
  <c r="G1845" i="8" s="1"/>
  <c r="H1845" i="8" s="1"/>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72" i="8"/>
  <c r="J52" i="8"/>
  <c r="J53" i="8"/>
  <c r="J54" i="8"/>
  <c r="J55" i="8"/>
  <c r="J56" i="8"/>
  <c r="J57" i="8"/>
  <c r="J58" i="8"/>
  <c r="J59" i="8"/>
  <c r="J60" i="8"/>
  <c r="J61" i="8"/>
  <c r="J62" i="8"/>
  <c r="J63" i="8"/>
  <c r="J64" i="8"/>
  <c r="J65" i="8"/>
  <c r="J66" i="8"/>
  <c r="J67" i="8"/>
  <c r="J68" i="8"/>
  <c r="J69" i="8"/>
  <c r="J70" i="8"/>
  <c r="J71" i="8"/>
  <c r="O84" i="7"/>
  <c r="O83" i="7"/>
  <c r="O82" i="7"/>
  <c r="O81" i="7"/>
  <c r="O80" i="7"/>
  <c r="O79" i="7"/>
  <c r="O78" i="7"/>
  <c r="O77" i="7"/>
  <c r="O76" i="7"/>
  <c r="O75" i="7"/>
  <c r="O74" i="7"/>
  <c r="O73" i="7"/>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34" i="7"/>
  <c r="O33" i="7"/>
  <c r="O32" i="7"/>
  <c r="O31" i="7"/>
  <c r="O30" i="7"/>
  <c r="O29" i="7"/>
  <c r="O28" i="7"/>
  <c r="O26" i="7"/>
  <c r="O25" i="7"/>
  <c r="O24" i="7"/>
  <c r="O23" i="7"/>
  <c r="O22" i="7"/>
  <c r="O21" i="7"/>
  <c r="O20" i="7"/>
  <c r="O19" i="7"/>
  <c r="O18" i="7"/>
  <c r="O17" i="7"/>
  <c r="O16" i="7"/>
  <c r="O15" i="7"/>
  <c r="O14" i="7"/>
  <c r="J1281" i="8"/>
  <c r="G1281" i="8" s="1"/>
  <c r="H1281" i="8" s="1"/>
  <c r="J1280" i="8"/>
  <c r="G1280" i="8" s="1"/>
  <c r="H1280" i="8" s="1"/>
  <c r="J1279" i="8"/>
  <c r="G1279" i="8" s="1"/>
  <c r="H1279" i="8" s="1"/>
  <c r="J1278" i="8"/>
  <c r="G1278" i="8" s="1"/>
  <c r="H1278" i="8" s="1"/>
  <c r="J1277" i="8"/>
  <c r="G1277" i="8" s="1"/>
  <c r="H1277" i="8" s="1"/>
  <c r="J1276" i="8"/>
  <c r="G1276" i="8" s="1"/>
  <c r="H1276" i="8" s="1"/>
  <c r="J1275" i="8"/>
  <c r="G1275" i="8" s="1"/>
  <c r="H1275" i="8" s="1"/>
  <c r="J1274" i="8"/>
  <c r="G1274" i="8" s="1"/>
  <c r="H1274" i="8" s="1"/>
  <c r="J1273" i="8"/>
  <c r="G1273" i="8" s="1"/>
  <c r="H1273" i="8" s="1"/>
  <c r="J1272" i="8"/>
  <c r="G1272" i="8" s="1"/>
  <c r="H1272" i="8" s="1"/>
  <c r="J1271" i="8"/>
  <c r="G1271" i="8" s="1"/>
  <c r="H1271" i="8" s="1"/>
  <c r="J1270" i="8"/>
  <c r="G1270" i="8" s="1"/>
  <c r="H1270" i="8" s="1"/>
  <c r="J1269" i="8"/>
  <c r="G1269" i="8" s="1"/>
  <c r="H1269" i="8" s="1"/>
  <c r="J1268" i="8"/>
  <c r="G1268" i="8" s="1"/>
  <c r="H1268" i="8" s="1"/>
  <c r="J1267" i="8"/>
  <c r="G1267" i="8" s="1"/>
  <c r="H1267" i="8" s="1"/>
  <c r="J1266" i="8"/>
  <c r="G1266" i="8" s="1"/>
  <c r="H1266" i="8" s="1"/>
  <c r="J1265" i="8"/>
  <c r="G1265" i="8" s="1"/>
  <c r="H1265" i="8" s="1"/>
  <c r="J1264" i="8"/>
  <c r="G1264" i="8" s="1"/>
  <c r="H1264" i="8" s="1"/>
  <c r="J1263" i="8"/>
  <c r="G1263" i="8" s="1"/>
  <c r="H1263" i="8" s="1"/>
  <c r="J1262" i="8"/>
  <c r="G1262" i="8" s="1"/>
  <c r="H1262" i="8" s="1"/>
  <c r="J1261" i="8"/>
  <c r="G1261" i="8" s="1"/>
  <c r="H1261" i="8" s="1"/>
  <c r="J1260" i="8"/>
  <c r="G1260" i="8" s="1"/>
  <c r="H1260" i="8" s="1"/>
  <c r="J1259" i="8"/>
  <c r="G1259" i="8" s="1"/>
  <c r="H1259" i="8" s="1"/>
  <c r="J1258" i="8"/>
  <c r="G1258" i="8" s="1"/>
  <c r="H1258" i="8" s="1"/>
  <c r="J1257" i="8"/>
  <c r="G1257" i="8" s="1"/>
  <c r="H1257" i="8" s="1"/>
  <c r="J1256" i="8"/>
  <c r="G1256" i="8" s="1"/>
  <c r="H1256" i="8" s="1"/>
  <c r="J1255" i="8"/>
  <c r="G1255" i="8" s="1"/>
  <c r="H1255" i="8" s="1"/>
  <c r="J1254" i="8"/>
  <c r="G1254" i="8" s="1"/>
  <c r="H1254" i="8" s="1"/>
  <c r="J1253" i="8"/>
  <c r="G1253" i="8" s="1"/>
  <c r="H1253" i="8" s="1"/>
  <c r="J1252" i="8"/>
  <c r="G1252" i="8" s="1"/>
  <c r="H1252" i="8" s="1"/>
  <c r="J1251" i="8"/>
  <c r="G1251" i="8" s="1"/>
  <c r="H1251" i="8" s="1"/>
  <c r="J1250" i="8"/>
  <c r="G1250" i="8" s="1"/>
  <c r="H1250" i="8" s="1"/>
  <c r="J1249" i="8"/>
  <c r="G1249" i="8" s="1"/>
  <c r="H1249" i="8" s="1"/>
  <c r="J1248" i="8"/>
  <c r="G1248" i="8" s="1"/>
  <c r="H1248" i="8" s="1"/>
  <c r="J1247" i="8"/>
  <c r="G1247" i="8" s="1"/>
  <c r="H1247" i="8" s="1"/>
  <c r="J1246" i="8"/>
  <c r="G1246" i="8" s="1"/>
  <c r="H1246" i="8" s="1"/>
  <c r="J1245" i="8"/>
  <c r="G1245" i="8" s="1"/>
  <c r="H1245" i="8" s="1"/>
  <c r="J1244" i="8"/>
  <c r="G1244" i="8" s="1"/>
  <c r="H1244" i="8" s="1"/>
  <c r="J1243" i="8"/>
  <c r="G1243" i="8" s="1"/>
  <c r="H1243" i="8" s="1"/>
  <c r="J1242" i="8"/>
  <c r="G1242" i="8" s="1"/>
  <c r="H1242" i="8" s="1"/>
  <c r="J1241" i="8"/>
  <c r="G1241" i="8" s="1"/>
  <c r="H1241" i="8" s="1"/>
  <c r="J1240" i="8"/>
  <c r="G1240" i="8" s="1"/>
  <c r="H1240" i="8" s="1"/>
  <c r="J1239" i="8"/>
  <c r="G1239" i="8" s="1"/>
  <c r="H1239" i="8" s="1"/>
  <c r="J1238" i="8"/>
  <c r="G1238" i="8" s="1"/>
  <c r="H1238" i="8" s="1"/>
  <c r="J1237" i="8"/>
  <c r="G1237" i="8" s="1"/>
  <c r="H1237" i="8" s="1"/>
  <c r="J1236" i="8"/>
  <c r="G1236" i="8" s="1"/>
  <c r="H1236" i="8" s="1"/>
  <c r="J1235" i="8"/>
  <c r="G1235" i="8" s="1"/>
  <c r="H1235" i="8" s="1"/>
  <c r="J1234" i="8"/>
  <c r="G1234" i="8" s="1"/>
  <c r="H1234" i="8" s="1"/>
  <c r="J1233" i="8"/>
  <c r="G1233" i="8" s="1"/>
  <c r="H1233" i="8" s="1"/>
  <c r="J1232" i="8"/>
  <c r="G1232" i="8" s="1"/>
  <c r="H1232" i="8" s="1"/>
  <c r="J1231" i="8"/>
  <c r="G1231" i="8" s="1"/>
  <c r="H1231" i="8" s="1"/>
  <c r="J1230" i="8"/>
  <c r="G1230" i="8" s="1"/>
  <c r="H1230" i="8" s="1"/>
  <c r="J1229" i="8"/>
  <c r="G1229" i="8" s="1"/>
  <c r="H1229" i="8" s="1"/>
  <c r="J1228" i="8"/>
  <c r="G1228" i="8" s="1"/>
  <c r="H1228" i="8" s="1"/>
  <c r="J1227" i="8"/>
  <c r="G1227" i="8" s="1"/>
  <c r="H1227" i="8" s="1"/>
  <c r="J1226" i="8"/>
  <c r="G1226" i="8" s="1"/>
  <c r="H1226" i="8" s="1"/>
  <c r="J1225" i="8"/>
  <c r="G1225" i="8" s="1"/>
  <c r="H1225" i="8" s="1"/>
  <c r="J1224" i="8"/>
  <c r="G1224" i="8" s="1"/>
  <c r="H1224" i="8" s="1"/>
  <c r="J1223" i="8"/>
  <c r="G1223" i="8" s="1"/>
  <c r="H1223" i="8" s="1"/>
  <c r="J1222" i="8"/>
  <c r="G1222" i="8" s="1"/>
  <c r="H1222" i="8" s="1"/>
  <c r="J1221" i="8"/>
  <c r="G1221" i="8" s="1"/>
  <c r="H1221" i="8" s="1"/>
  <c r="J1220" i="8"/>
  <c r="G1220" i="8" s="1"/>
  <c r="H1220" i="8" s="1"/>
  <c r="J1219" i="8"/>
  <c r="G1219" i="8" s="1"/>
  <c r="H1219" i="8" s="1"/>
  <c r="J1218" i="8"/>
  <c r="G1218" i="8" s="1"/>
  <c r="H1218" i="8" s="1"/>
  <c r="J1217" i="8"/>
  <c r="G1217" i="8" s="1"/>
  <c r="H1217" i="8" s="1"/>
  <c r="J1216" i="8"/>
  <c r="G1216" i="8" s="1"/>
  <c r="H1216" i="8" s="1"/>
  <c r="J1215" i="8"/>
  <c r="G1215" i="8" s="1"/>
  <c r="H1215" i="8" s="1"/>
  <c r="J1214" i="8"/>
  <c r="G1214" i="8" s="1"/>
  <c r="H1214" i="8" s="1"/>
  <c r="J1213" i="8"/>
  <c r="G1213" i="8" s="1"/>
  <c r="H1213" i="8" s="1"/>
  <c r="J1212" i="8"/>
  <c r="G1212" i="8" s="1"/>
  <c r="H1212" i="8" s="1"/>
  <c r="J1211" i="8"/>
  <c r="G1211" i="8" s="1"/>
  <c r="H1211" i="8" s="1"/>
  <c r="J1210" i="8"/>
  <c r="G1210" i="8" s="1"/>
  <c r="H1210" i="8" s="1"/>
  <c r="J1209" i="8"/>
  <c r="G1209" i="8" s="1"/>
  <c r="H1209" i="8" s="1"/>
  <c r="J1208" i="8"/>
  <c r="G1208" i="8" s="1"/>
  <c r="H1208" i="8" s="1"/>
  <c r="J1207" i="8"/>
  <c r="G1207" i="8" s="1"/>
  <c r="H1207" i="8" s="1"/>
  <c r="J1206" i="8"/>
  <c r="G1206" i="8" s="1"/>
  <c r="H1206" i="8" s="1"/>
  <c r="J1205" i="8"/>
  <c r="G1205" i="8" s="1"/>
  <c r="H1205" i="8" s="1"/>
  <c r="J1204" i="8"/>
  <c r="G1204" i="8" s="1"/>
  <c r="H1204" i="8" s="1"/>
  <c r="J1203" i="8"/>
  <c r="G1203" i="8" s="1"/>
  <c r="H1203" i="8" s="1"/>
  <c r="J1202" i="8"/>
  <c r="G1202" i="8" s="1"/>
  <c r="H1202" i="8" s="1"/>
  <c r="J1201" i="8"/>
  <c r="G1201" i="8" s="1"/>
  <c r="H1201" i="8" s="1"/>
  <c r="J1200" i="8"/>
  <c r="G1200" i="8" s="1"/>
  <c r="H1200" i="8" s="1"/>
  <c r="J1199" i="8"/>
  <c r="G1199" i="8" s="1"/>
  <c r="H1199" i="8" s="1"/>
  <c r="J1198" i="8"/>
  <c r="G1198" i="8" s="1"/>
  <c r="H1198" i="8" s="1"/>
  <c r="J1197" i="8"/>
  <c r="G1197" i="8" s="1"/>
  <c r="H1197" i="8" s="1"/>
  <c r="J1196" i="8"/>
  <c r="G1196" i="8" s="1"/>
  <c r="H1196" i="8" s="1"/>
  <c r="J1195" i="8"/>
  <c r="G1195" i="8" s="1"/>
  <c r="H1195" i="8" s="1"/>
  <c r="J1194" i="8"/>
  <c r="G1194" i="8" s="1"/>
  <c r="H1194" i="8" s="1"/>
  <c r="J1193" i="8"/>
  <c r="G1193" i="8" s="1"/>
  <c r="H1193" i="8" s="1"/>
  <c r="J1192" i="8"/>
  <c r="G1192" i="8" s="1"/>
  <c r="H1192" i="8" s="1"/>
  <c r="J1191" i="8"/>
  <c r="G1191" i="8" s="1"/>
  <c r="H1191" i="8" s="1"/>
  <c r="J1190" i="8"/>
  <c r="G1190" i="8" s="1"/>
  <c r="H1190" i="8" s="1"/>
  <c r="J1189" i="8"/>
  <c r="G1189" i="8" s="1"/>
  <c r="H1189" i="8" s="1"/>
  <c r="J1188" i="8"/>
  <c r="G1188" i="8" s="1"/>
  <c r="H1188" i="8" s="1"/>
  <c r="J1187" i="8"/>
  <c r="G1187" i="8" s="1"/>
  <c r="H1187" i="8" s="1"/>
  <c r="J1186" i="8"/>
  <c r="G1186" i="8" s="1"/>
  <c r="H1186" i="8" s="1"/>
  <c r="J1185" i="8"/>
  <c r="G1185" i="8" s="1"/>
  <c r="H1185" i="8" s="1"/>
  <c r="J1184" i="8"/>
  <c r="G1184" i="8" s="1"/>
  <c r="H1184" i="8" s="1"/>
  <c r="J1183" i="8"/>
  <c r="G1183" i="8" s="1"/>
  <c r="H1183" i="8" s="1"/>
  <c r="J1182" i="8"/>
  <c r="G1182" i="8" s="1"/>
  <c r="H1182" i="8" s="1"/>
  <c r="J1181" i="8"/>
  <c r="G1181" i="8" s="1"/>
  <c r="H1181" i="8" s="1"/>
  <c r="J1180" i="8"/>
  <c r="G1180" i="8" s="1"/>
  <c r="H1180" i="8" s="1"/>
  <c r="J1179" i="8"/>
  <c r="G1179" i="8" s="1"/>
  <c r="H1179" i="8" s="1"/>
  <c r="J1178" i="8"/>
  <c r="G1178" i="8" s="1"/>
  <c r="H1178" i="8" s="1"/>
  <c r="J1177" i="8"/>
  <c r="G1177" i="8" s="1"/>
  <c r="H1177" i="8" s="1"/>
  <c r="J1176" i="8"/>
  <c r="G1176" i="8" s="1"/>
  <c r="H1176" i="8" s="1"/>
  <c r="J1175" i="8"/>
  <c r="G1175" i="8" s="1"/>
  <c r="H1175" i="8" s="1"/>
  <c r="J1174" i="8"/>
  <c r="G1174" i="8" s="1"/>
  <c r="H1174" i="8" s="1"/>
  <c r="J1173" i="8"/>
  <c r="G1173" i="8" s="1"/>
  <c r="H1173" i="8" s="1"/>
  <c r="J1172" i="8"/>
  <c r="G1172" i="8" s="1"/>
  <c r="H1172" i="8" s="1"/>
  <c r="J1171" i="8"/>
  <c r="G1171" i="8" s="1"/>
  <c r="H1171" i="8" s="1"/>
  <c r="J1170" i="8"/>
  <c r="G1170" i="8" s="1"/>
  <c r="H1170" i="8" s="1"/>
  <c r="J1169" i="8"/>
  <c r="G1169" i="8" s="1"/>
  <c r="H1169" i="8" s="1"/>
  <c r="J1168" i="8"/>
  <c r="G1168" i="8" s="1"/>
  <c r="H1168" i="8" s="1"/>
  <c r="J1167" i="8"/>
  <c r="G1167" i="8" s="1"/>
  <c r="H1167" i="8" s="1"/>
  <c r="J1166" i="8"/>
  <c r="G1166" i="8" s="1"/>
  <c r="H1166" i="8" s="1"/>
  <c r="J1165" i="8"/>
  <c r="G1165" i="8" s="1"/>
  <c r="H1165" i="8" s="1"/>
  <c r="J1164" i="8"/>
  <c r="G1164" i="8" s="1"/>
  <c r="H1164" i="8" s="1"/>
  <c r="J1163" i="8"/>
  <c r="G1163" i="8" s="1"/>
  <c r="H1163" i="8" s="1"/>
  <c r="J1162" i="8"/>
  <c r="G1162" i="8" s="1"/>
  <c r="H1162" i="8" s="1"/>
  <c r="J1161" i="8"/>
  <c r="G1161" i="8" s="1"/>
  <c r="H1161" i="8" s="1"/>
  <c r="J1160" i="8"/>
  <c r="G1160" i="8" s="1"/>
  <c r="H1160" i="8" s="1"/>
  <c r="J1159" i="8"/>
  <c r="G1159" i="8" s="1"/>
  <c r="H1159" i="8" s="1"/>
  <c r="J1158" i="8"/>
  <c r="G1158" i="8" s="1"/>
  <c r="H1158" i="8" s="1"/>
  <c r="J1157" i="8"/>
  <c r="G1157" i="8" s="1"/>
  <c r="H1157" i="8" s="1"/>
  <c r="J1156" i="8"/>
  <c r="G1156" i="8" s="1"/>
  <c r="H1156" i="8" s="1"/>
  <c r="J1155" i="8"/>
  <c r="G1155" i="8" s="1"/>
  <c r="H1155" i="8" s="1"/>
  <c r="J1154" i="8"/>
  <c r="G1154" i="8" s="1"/>
  <c r="H1154" i="8" s="1"/>
  <c r="J1153" i="8"/>
  <c r="G1153" i="8" s="1"/>
  <c r="H1153" i="8" s="1"/>
  <c r="J1152" i="8"/>
  <c r="G1152" i="8" s="1"/>
  <c r="H1152" i="8" s="1"/>
  <c r="J1151" i="8"/>
  <c r="G1151" i="8" s="1"/>
  <c r="H1151" i="8" s="1"/>
  <c r="J1150" i="8"/>
  <c r="G1150" i="8" s="1"/>
  <c r="H1150" i="8" s="1"/>
  <c r="J1149" i="8"/>
  <c r="G1149" i="8" s="1"/>
  <c r="H1149" i="8" s="1"/>
  <c r="J1148" i="8"/>
  <c r="G1148" i="8" s="1"/>
  <c r="H1148" i="8" s="1"/>
  <c r="J1147" i="8"/>
  <c r="G1147" i="8" s="1"/>
  <c r="H1147" i="8" s="1"/>
  <c r="J1146" i="8"/>
  <c r="G1146" i="8" s="1"/>
  <c r="H1146" i="8" s="1"/>
  <c r="J1145" i="8"/>
  <c r="G1145" i="8" s="1"/>
  <c r="H1145" i="8" s="1"/>
  <c r="J1144" i="8"/>
  <c r="G1144" i="8" s="1"/>
  <c r="H1144" i="8" s="1"/>
  <c r="J1143" i="8"/>
  <c r="G1143" i="8" s="1"/>
  <c r="H1143" i="8" s="1"/>
  <c r="J1142" i="8"/>
  <c r="G1142" i="8" s="1"/>
  <c r="H1142" i="8" s="1"/>
  <c r="J1141" i="8"/>
  <c r="G1141" i="8" s="1"/>
  <c r="H1141" i="8" s="1"/>
  <c r="J1140" i="8"/>
  <c r="G1140" i="8" s="1"/>
  <c r="H1140" i="8" s="1"/>
  <c r="J1139" i="8"/>
  <c r="G1139" i="8" s="1"/>
  <c r="H1139" i="8" s="1"/>
  <c r="J1138" i="8"/>
  <c r="G1138" i="8" s="1"/>
  <c r="H1138" i="8" s="1"/>
  <c r="J1137" i="8"/>
  <c r="G1137" i="8" s="1"/>
  <c r="H1137" i="8" s="1"/>
  <c r="J1136" i="8"/>
  <c r="G1136" i="8" s="1"/>
  <c r="H1136" i="8" s="1"/>
  <c r="J1135" i="8"/>
  <c r="G1135" i="8" s="1"/>
  <c r="H1135" i="8" s="1"/>
  <c r="J1134" i="8"/>
  <c r="G1134" i="8" s="1"/>
  <c r="H1134" i="8" s="1"/>
  <c r="J1133" i="8"/>
  <c r="G1133" i="8" s="1"/>
  <c r="H1133" i="8" s="1"/>
  <c r="J1132" i="8"/>
  <c r="G1132" i="8" s="1"/>
  <c r="H1132" i="8" s="1"/>
  <c r="J1131" i="8"/>
  <c r="G1131" i="8" s="1"/>
  <c r="H1131" i="8" s="1"/>
  <c r="J1130" i="8"/>
  <c r="G1130" i="8" s="1"/>
  <c r="H1130" i="8" s="1"/>
  <c r="J1129" i="8"/>
  <c r="G1129" i="8" s="1"/>
  <c r="H1129" i="8" s="1"/>
  <c r="J1128" i="8"/>
  <c r="G1128" i="8" s="1"/>
  <c r="H1128" i="8" s="1"/>
  <c r="J1127" i="8"/>
  <c r="G1127" i="8" s="1"/>
  <c r="H1127" i="8" s="1"/>
  <c r="J1126" i="8"/>
  <c r="G1126" i="8" s="1"/>
  <c r="H1126" i="8" s="1"/>
  <c r="J1125" i="8"/>
  <c r="G1125" i="8" s="1"/>
  <c r="H1125" i="8" s="1"/>
  <c r="J1124" i="8"/>
  <c r="G1124" i="8" s="1"/>
  <c r="H1124" i="8" s="1"/>
  <c r="J1123" i="8"/>
  <c r="G1123" i="8" s="1"/>
  <c r="H1123" i="8" s="1"/>
  <c r="J1122" i="8"/>
  <c r="G1122" i="8" s="1"/>
  <c r="H1122" i="8" s="1"/>
  <c r="J1121" i="8"/>
  <c r="G1121" i="8" s="1"/>
  <c r="H1121" i="8" s="1"/>
  <c r="J1120" i="8"/>
  <c r="G1120" i="8" s="1"/>
  <c r="H1120" i="8" s="1"/>
  <c r="J1119" i="8"/>
  <c r="G1119" i="8" s="1"/>
  <c r="H1119" i="8" s="1"/>
  <c r="J1118" i="8"/>
  <c r="G1118" i="8" s="1"/>
  <c r="H1118" i="8" s="1"/>
  <c r="J1117" i="8"/>
  <c r="G1117" i="8" s="1"/>
  <c r="H1117" i="8" s="1"/>
  <c r="J1116" i="8"/>
  <c r="G1116" i="8" s="1"/>
  <c r="H1116" i="8" s="1"/>
  <c r="J1115" i="8"/>
  <c r="G1115" i="8" s="1"/>
  <c r="H1115" i="8" s="1"/>
  <c r="J1114" i="8"/>
  <c r="G1114" i="8" s="1"/>
  <c r="H1114" i="8" s="1"/>
  <c r="J1113" i="8"/>
  <c r="G1113" i="8" s="1"/>
  <c r="H1113" i="8" s="1"/>
  <c r="J1112" i="8"/>
  <c r="G1112" i="8" s="1"/>
  <c r="H1112" i="8" s="1"/>
  <c r="J1111" i="8"/>
  <c r="G1111" i="8" s="1"/>
  <c r="H1111" i="8" s="1"/>
  <c r="J1110" i="8"/>
  <c r="G1110" i="8" s="1"/>
  <c r="H1110" i="8" s="1"/>
  <c r="J1109" i="8"/>
  <c r="G1109" i="8" s="1"/>
  <c r="H1109" i="8" s="1"/>
  <c r="J1108" i="8"/>
  <c r="G1108" i="8" s="1"/>
  <c r="H1108" i="8" s="1"/>
  <c r="J1107" i="8"/>
  <c r="G1107" i="8" s="1"/>
  <c r="H1107" i="8" s="1"/>
  <c r="J1106" i="8"/>
  <c r="G1106" i="8" s="1"/>
  <c r="H1106" i="8" s="1"/>
  <c r="J1105" i="8"/>
  <c r="G1105" i="8" s="1"/>
  <c r="H1105" i="8" s="1"/>
  <c r="J1104" i="8"/>
  <c r="G1104" i="8" s="1"/>
  <c r="H1104" i="8" s="1"/>
  <c r="O13" i="7"/>
  <c r="O12" i="7"/>
  <c r="O11" i="7"/>
  <c r="O10" i="7"/>
  <c r="V509" i="5"/>
  <c r="V508" i="5"/>
  <c r="V507" i="5"/>
  <c r="V506" i="5"/>
  <c r="V505" i="5"/>
  <c r="V504" i="5"/>
  <c r="V503" i="5"/>
  <c r="V502" i="5"/>
  <c r="V501" i="5"/>
  <c r="V500" i="5"/>
  <c r="V499" i="5"/>
  <c r="V498" i="5"/>
  <c r="V497" i="5"/>
  <c r="V496" i="5"/>
  <c r="V495" i="5"/>
  <c r="V494" i="5"/>
  <c r="V493" i="5"/>
  <c r="V492" i="5"/>
  <c r="V491" i="5"/>
  <c r="V490" i="5"/>
  <c r="V489" i="5"/>
  <c r="V488" i="5"/>
  <c r="V487" i="5"/>
  <c r="V486" i="5"/>
  <c r="V485" i="5"/>
  <c r="V484" i="5"/>
  <c r="V483" i="5"/>
  <c r="V482" i="5"/>
  <c r="V481" i="5"/>
  <c r="V480" i="5"/>
  <c r="V479" i="5"/>
  <c r="V478" i="5"/>
  <c r="V477" i="5"/>
  <c r="V476" i="5"/>
  <c r="V475" i="5"/>
  <c r="V474" i="5"/>
  <c r="V473" i="5"/>
  <c r="V472" i="5"/>
  <c r="O485" i="7"/>
  <c r="L485" i="7" s="1"/>
  <c r="O484" i="7"/>
  <c r="L484" i="7" s="1"/>
  <c r="O483" i="7"/>
  <c r="L483" i="7" s="1"/>
  <c r="V324" i="5"/>
  <c r="V166" i="5"/>
  <c r="V165" i="5"/>
  <c r="V164" i="5"/>
  <c r="V163" i="5"/>
  <c r="V162" i="5"/>
  <c r="V161" i="5"/>
  <c r="V160" i="5"/>
  <c r="V159" i="5"/>
  <c r="V158" i="5"/>
  <c r="V157" i="5"/>
  <c r="V156" i="5"/>
  <c r="V155" i="5"/>
  <c r="V154" i="5"/>
  <c r="V153" i="5"/>
  <c r="V152" i="5"/>
  <c r="V151" i="5"/>
  <c r="V150" i="5"/>
  <c r="V149" i="5"/>
  <c r="V148" i="5"/>
  <c r="V147" i="5"/>
  <c r="V146" i="5"/>
  <c r="V145" i="5"/>
  <c r="V144" i="5"/>
  <c r="V143" i="5"/>
  <c r="V142" i="5"/>
  <c r="J1874" i="8"/>
  <c r="G1874" i="8" s="1"/>
  <c r="H1874" i="8" s="1"/>
  <c r="V141" i="5"/>
  <c r="U10" i="9"/>
  <c r="V140" i="5"/>
  <c r="J2009" i="8"/>
  <c r="G2009" i="8" s="1"/>
  <c r="H2009" i="8" s="1"/>
  <c r="V139" i="5"/>
  <c r="J2008" i="8"/>
  <c r="G2008" i="8" s="1"/>
  <c r="H2008" i="8" s="1"/>
  <c r="V138" i="5"/>
  <c r="J2007" i="8"/>
  <c r="G2007" i="8" s="1"/>
  <c r="H2007" i="8" s="1"/>
  <c r="V137" i="5"/>
  <c r="J2006" i="8"/>
  <c r="G2006" i="8" s="1"/>
  <c r="H2006" i="8" s="1"/>
  <c r="V136" i="5"/>
  <c r="J2005" i="8"/>
  <c r="G2005" i="8" s="1"/>
  <c r="H2005" i="8" s="1"/>
  <c r="V135" i="5"/>
  <c r="J2004" i="8"/>
  <c r="G2004" i="8" s="1"/>
  <c r="H2004" i="8" s="1"/>
  <c r="V134" i="5"/>
  <c r="J2003" i="8"/>
  <c r="G2003" i="8" s="1"/>
  <c r="H2003" i="8" s="1"/>
  <c r="V133" i="5"/>
  <c r="J2002" i="8"/>
  <c r="G2002" i="8" s="1"/>
  <c r="H2002" i="8" s="1"/>
  <c r="V132" i="5"/>
  <c r="J2001" i="8"/>
  <c r="G2001" i="8" s="1"/>
  <c r="H2001" i="8" s="1"/>
  <c r="V131" i="5"/>
  <c r="J2000" i="8"/>
  <c r="G2000" i="8" s="1"/>
  <c r="H2000" i="8" s="1"/>
  <c r="V130" i="5"/>
  <c r="J1999" i="8"/>
  <c r="G1999" i="8" s="1"/>
  <c r="H1999" i="8" s="1"/>
  <c r="V129" i="5"/>
  <c r="J1998" i="8"/>
  <c r="G1998" i="8" s="1"/>
  <c r="H1998" i="8" s="1"/>
  <c r="V128" i="5"/>
  <c r="J1997" i="8"/>
  <c r="G1997" i="8" s="1"/>
  <c r="H1997" i="8" s="1"/>
  <c r="V127" i="5"/>
  <c r="J1996" i="8"/>
  <c r="G1996" i="8" s="1"/>
  <c r="H1996" i="8" s="1"/>
  <c r="V126" i="5"/>
  <c r="J1995" i="8"/>
  <c r="G1995" i="8" s="1"/>
  <c r="H1995" i="8" s="1"/>
  <c r="V125" i="5"/>
  <c r="J1994" i="8"/>
  <c r="G1994" i="8" s="1"/>
  <c r="H1994" i="8" s="1"/>
  <c r="V124" i="5"/>
  <c r="J1993" i="8"/>
  <c r="G1993" i="8" s="1"/>
  <c r="H1993" i="8" s="1"/>
  <c r="V123" i="5"/>
  <c r="J1992" i="8"/>
  <c r="G1992" i="8" s="1"/>
  <c r="H1992" i="8" s="1"/>
  <c r="V122" i="5"/>
  <c r="J1991" i="8"/>
  <c r="G1991" i="8" s="1"/>
  <c r="H1991" i="8" s="1"/>
  <c r="V121" i="5"/>
  <c r="J1990" i="8"/>
  <c r="G1990" i="8" s="1"/>
  <c r="H1990" i="8" s="1"/>
  <c r="V120" i="5"/>
  <c r="J1989" i="8"/>
  <c r="G1989" i="8" s="1"/>
  <c r="H1989" i="8" s="1"/>
  <c r="V119" i="5"/>
  <c r="J1988" i="8"/>
  <c r="G1988" i="8" s="1"/>
  <c r="H1988" i="8" s="1"/>
  <c r="V118" i="5"/>
  <c r="J1987" i="8"/>
  <c r="G1987" i="8" s="1"/>
  <c r="H1987" i="8" s="1"/>
  <c r="V117" i="5"/>
  <c r="J1986" i="8"/>
  <c r="G1986" i="8" s="1"/>
  <c r="H1986" i="8" s="1"/>
  <c r="V116" i="5"/>
  <c r="J1985" i="8"/>
  <c r="G1985" i="8" s="1"/>
  <c r="H1985" i="8" s="1"/>
  <c r="V115" i="5"/>
  <c r="J1984" i="8"/>
  <c r="G1984" i="8" s="1"/>
  <c r="H1984" i="8" s="1"/>
  <c r="V114" i="5"/>
  <c r="J1983" i="8"/>
  <c r="G1983" i="8" s="1"/>
  <c r="H1983" i="8" s="1"/>
  <c r="V113" i="5"/>
  <c r="J1982" i="8"/>
  <c r="G1982" i="8" s="1"/>
  <c r="H1982" i="8" s="1"/>
  <c r="V112" i="5"/>
  <c r="J1981" i="8"/>
  <c r="G1981" i="8" s="1"/>
  <c r="H1981" i="8" s="1"/>
  <c r="V111" i="5"/>
  <c r="J1980" i="8"/>
  <c r="G1980" i="8" s="1"/>
  <c r="H1980" i="8" s="1"/>
  <c r="V110" i="5"/>
  <c r="J1979" i="8"/>
  <c r="G1979" i="8" s="1"/>
  <c r="H1979" i="8" s="1"/>
  <c r="V109" i="5"/>
  <c r="J1978" i="8"/>
  <c r="G1978" i="8" s="1"/>
  <c r="H1978" i="8" s="1"/>
  <c r="V108" i="5"/>
  <c r="J1977" i="8"/>
  <c r="G1977" i="8" s="1"/>
  <c r="H1977" i="8" s="1"/>
  <c r="V107" i="5"/>
  <c r="J1976" i="8"/>
  <c r="G1976" i="8" s="1"/>
  <c r="H1976" i="8" s="1"/>
  <c r="V106" i="5"/>
  <c r="J1975" i="8"/>
  <c r="G1975" i="8" s="1"/>
  <c r="H1975" i="8" s="1"/>
  <c r="V105" i="5"/>
  <c r="J1974" i="8"/>
  <c r="G1974" i="8" s="1"/>
  <c r="H1974" i="8" s="1"/>
  <c r="V104" i="5"/>
  <c r="J1973" i="8"/>
  <c r="G1973" i="8" s="1"/>
  <c r="H1973" i="8" s="1"/>
  <c r="V103" i="5"/>
  <c r="J1972" i="8"/>
  <c r="G1972" i="8" s="1"/>
  <c r="H1972" i="8" s="1"/>
  <c r="V102" i="5"/>
  <c r="J1971" i="8"/>
  <c r="G1971" i="8" s="1"/>
  <c r="H1971" i="8" s="1"/>
  <c r="V101" i="5"/>
  <c r="J1970" i="8"/>
  <c r="G1970" i="8" s="1"/>
  <c r="H1970" i="8" s="1"/>
  <c r="V100" i="5"/>
  <c r="J1969" i="8"/>
  <c r="G1969" i="8" s="1"/>
  <c r="H1969" i="8" s="1"/>
  <c r="V99" i="5"/>
  <c r="J1968" i="8"/>
  <c r="G1968" i="8" s="1"/>
  <c r="H1968" i="8" s="1"/>
  <c r="V98" i="5"/>
  <c r="J1967" i="8"/>
  <c r="G1967" i="8" s="1"/>
  <c r="H1967" i="8" s="1"/>
  <c r="V97" i="5"/>
  <c r="J1966" i="8"/>
  <c r="G1966" i="8" s="1"/>
  <c r="H1966" i="8" s="1"/>
  <c r="V96" i="5"/>
  <c r="J1965" i="8"/>
  <c r="G1965" i="8" s="1"/>
  <c r="H1965" i="8" s="1"/>
  <c r="V95" i="5"/>
  <c r="J1964" i="8"/>
  <c r="G1964" i="8" s="1"/>
  <c r="H1964" i="8" s="1"/>
  <c r="V94" i="5"/>
  <c r="J1963" i="8"/>
  <c r="G1963" i="8" s="1"/>
  <c r="H1963" i="8" s="1"/>
  <c r="V93" i="5"/>
  <c r="J1962" i="8"/>
  <c r="G1962" i="8" s="1"/>
  <c r="H1962" i="8" s="1"/>
  <c r="V92" i="5"/>
  <c r="J1961" i="8"/>
  <c r="G1961" i="8" s="1"/>
  <c r="H1961" i="8" s="1"/>
  <c r="V91" i="5"/>
  <c r="J1960" i="8"/>
  <c r="G1960" i="8" s="1"/>
  <c r="H1960" i="8" s="1"/>
  <c r="V90" i="5"/>
  <c r="J1959" i="8"/>
  <c r="G1959" i="8" s="1"/>
  <c r="H1959" i="8" s="1"/>
  <c r="V89" i="5"/>
  <c r="J1958" i="8"/>
  <c r="G1958" i="8" s="1"/>
  <c r="H1958" i="8" s="1"/>
  <c r="V88" i="5"/>
  <c r="J1957" i="8"/>
  <c r="G1957" i="8" s="1"/>
  <c r="H1957" i="8" s="1"/>
  <c r="V87" i="5"/>
  <c r="J1956" i="8"/>
  <c r="G1956" i="8" s="1"/>
  <c r="H1956" i="8" s="1"/>
  <c r="V86" i="5"/>
  <c r="J1955" i="8"/>
  <c r="G1955" i="8" s="1"/>
  <c r="H1955" i="8" s="1"/>
  <c r="V85" i="5"/>
  <c r="J1954" i="8"/>
  <c r="G1954" i="8" s="1"/>
  <c r="H1954" i="8" s="1"/>
  <c r="V84" i="5"/>
  <c r="J1953" i="8"/>
  <c r="G1953" i="8" s="1"/>
  <c r="H1953" i="8" s="1"/>
  <c r="V83" i="5"/>
  <c r="J1952" i="8"/>
  <c r="G1952" i="8" s="1"/>
  <c r="H1952" i="8" s="1"/>
  <c r="V82" i="5"/>
  <c r="J1951" i="8"/>
  <c r="G1951" i="8" s="1"/>
  <c r="H1951" i="8" s="1"/>
  <c r="J1950" i="8"/>
  <c r="G1950" i="8" s="1"/>
  <c r="H1950" i="8" s="1"/>
  <c r="V79" i="5"/>
  <c r="J1949" i="8"/>
  <c r="G1949" i="8" s="1"/>
  <c r="H1949" i="8" s="1"/>
  <c r="V78" i="5"/>
  <c r="J1948" i="8"/>
  <c r="G1948" i="8" s="1"/>
  <c r="H1948" i="8" s="1"/>
  <c r="V76" i="5"/>
  <c r="J1947" i="8"/>
  <c r="G1947" i="8" s="1"/>
  <c r="H1947" i="8" s="1"/>
  <c r="V74" i="5"/>
  <c r="J1946" i="8"/>
  <c r="G1946" i="8" s="1"/>
  <c r="H1946" i="8" s="1"/>
  <c r="V72" i="5"/>
  <c r="V71" i="5"/>
  <c r="V70" i="5"/>
  <c r="J1945" i="8"/>
  <c r="G1945" i="8" s="1"/>
  <c r="H1945" i="8" s="1"/>
  <c r="J1944" i="8"/>
  <c r="G1944" i="8" s="1"/>
  <c r="H1944" i="8" s="1"/>
  <c r="V67" i="5"/>
  <c r="V323" i="5"/>
  <c r="V322" i="5"/>
  <c r="V321" i="5"/>
  <c r="V320" i="5"/>
  <c r="V319" i="5"/>
  <c r="V318" i="5"/>
  <c r="V317" i="5"/>
  <c r="V316" i="5"/>
  <c r="V315" i="5"/>
  <c r="V314" i="5"/>
  <c r="V313" i="5"/>
  <c r="V312" i="5"/>
  <c r="V311" i="5"/>
  <c r="V310" i="5"/>
  <c r="V309" i="5"/>
  <c r="V308" i="5"/>
  <c r="V307" i="5"/>
  <c r="V306" i="5"/>
  <c r="V305" i="5"/>
  <c r="V304" i="5"/>
  <c r="V303" i="5"/>
  <c r="V302" i="5"/>
  <c r="V301" i="5"/>
  <c r="V300" i="5"/>
  <c r="V299" i="5"/>
  <c r="V298" i="5"/>
  <c r="V297" i="5"/>
  <c r="V296" i="5"/>
  <c r="V295" i="5"/>
  <c r="V294" i="5"/>
  <c r="V293" i="5"/>
  <c r="V292" i="5"/>
  <c r="V291" i="5"/>
  <c r="V290" i="5"/>
  <c r="V289" i="5"/>
  <c r="V288" i="5"/>
  <c r="V287" i="5"/>
  <c r="V286" i="5"/>
  <c r="V285" i="5"/>
  <c r="V284" i="5"/>
  <c r="V283" i="5"/>
  <c r="V282" i="5"/>
  <c r="V281" i="5"/>
  <c r="V280" i="5"/>
  <c r="V279" i="5"/>
  <c r="V278" i="5"/>
  <c r="V277" i="5"/>
  <c r="V276" i="5"/>
  <c r="V275" i="5"/>
  <c r="V274" i="5"/>
  <c r="V273" i="5"/>
  <c r="V272" i="5"/>
  <c r="V271" i="5"/>
  <c r="V270" i="5"/>
  <c r="V269" i="5"/>
  <c r="V268" i="5"/>
  <c r="V267" i="5"/>
  <c r="V266" i="5"/>
  <c r="V265" i="5"/>
  <c r="V264" i="5"/>
  <c r="V263" i="5"/>
  <c r="V262" i="5"/>
  <c r="V261" i="5"/>
  <c r="V260" i="5"/>
  <c r="V259" i="5"/>
  <c r="V258" i="5"/>
  <c r="V257" i="5"/>
  <c r="V256" i="5"/>
  <c r="V255" i="5"/>
  <c r="V254" i="5"/>
  <c r="V253" i="5"/>
  <c r="V252" i="5"/>
  <c r="V251" i="5"/>
  <c r="V250" i="5"/>
  <c r="V249" i="5"/>
  <c r="V248" i="5"/>
  <c r="V247" i="5"/>
  <c r="V246" i="5"/>
  <c r="V245" i="5"/>
  <c r="V244" i="5"/>
  <c r="V243" i="5"/>
  <c r="V242" i="5"/>
  <c r="V241" i="5"/>
  <c r="V240" i="5"/>
  <c r="V239" i="5"/>
  <c r="V238" i="5"/>
  <c r="V237" i="5"/>
  <c r="V236" i="5"/>
  <c r="V235" i="5"/>
  <c r="V234" i="5"/>
  <c r="V81" i="5"/>
  <c r="J1943" i="8"/>
  <c r="G1943" i="8" s="1"/>
  <c r="H1943" i="8" s="1"/>
  <c r="V80" i="5"/>
  <c r="J1942" i="8"/>
  <c r="G1942" i="8" s="1"/>
  <c r="H1942" i="8" s="1"/>
  <c r="V77" i="5"/>
  <c r="J1941" i="8"/>
  <c r="G1941" i="8" s="1"/>
  <c r="H1941" i="8" s="1"/>
  <c r="V75" i="5"/>
  <c r="J1940" i="8"/>
  <c r="G1940" i="8" s="1"/>
  <c r="H1940" i="8" s="1"/>
  <c r="V73" i="5"/>
  <c r="J1939" i="8"/>
  <c r="G1939" i="8" s="1"/>
  <c r="H1939" i="8" s="1"/>
  <c r="J1938" i="8"/>
  <c r="G1938" i="8" s="1"/>
  <c r="H1938" i="8" s="1"/>
  <c r="J1937" i="8"/>
  <c r="G1937" i="8" s="1"/>
  <c r="H1937" i="8" s="1"/>
  <c r="V69" i="5"/>
  <c r="V68" i="5"/>
  <c r="J1936" i="8"/>
  <c r="G1936" i="8" s="1"/>
  <c r="H1936" i="8" s="1"/>
  <c r="J1935" i="8"/>
  <c r="G1935" i="8" s="1"/>
  <c r="H1935" i="8" s="1"/>
  <c r="J662" i="8"/>
  <c r="G662" i="8" s="1"/>
  <c r="H662" i="8" s="1"/>
  <c r="J663" i="8"/>
  <c r="G663" i="8" s="1"/>
  <c r="H663" i="8" s="1"/>
  <c r="J664" i="8"/>
  <c r="G664" i="8" s="1"/>
  <c r="H664" i="8" s="1"/>
  <c r="O487" i="7"/>
  <c r="L487" i="7" s="1"/>
  <c r="O488" i="7"/>
  <c r="L488" i="7" s="1"/>
  <c r="O489" i="7"/>
  <c r="L489" i="7" s="1"/>
  <c r="O490" i="7"/>
  <c r="L490" i="7" s="1"/>
  <c r="O491" i="7"/>
  <c r="L491" i="7" s="1"/>
  <c r="O492" i="7"/>
  <c r="L492" i="7" s="1"/>
  <c r="O493" i="7"/>
  <c r="L493" i="7" s="1"/>
  <c r="O494" i="7"/>
  <c r="L494" i="7" s="1"/>
  <c r="O495" i="7"/>
  <c r="L495" i="7" s="1"/>
  <c r="O496" i="7"/>
  <c r="L496" i="7" s="1"/>
  <c r="O497" i="7"/>
  <c r="L497" i="7" s="1"/>
  <c r="O498" i="7"/>
  <c r="L498" i="7" s="1"/>
  <c r="O499" i="7"/>
  <c r="L499" i="7" s="1"/>
  <c r="O500" i="7"/>
  <c r="L500" i="7" s="1"/>
  <c r="O501" i="7"/>
  <c r="L501" i="7" s="1"/>
  <c r="O502" i="7"/>
  <c r="L502" i="7" s="1"/>
  <c r="O503" i="7"/>
  <c r="L503" i="7" s="1"/>
  <c r="O504" i="7"/>
  <c r="L504" i="7" s="1"/>
  <c r="O505" i="7"/>
  <c r="L505" i="7" s="1"/>
  <c r="O506" i="7"/>
  <c r="L506" i="7" s="1"/>
  <c r="O507" i="7"/>
  <c r="L507" i="7" s="1"/>
  <c r="O508" i="7"/>
  <c r="L508" i="7" s="1"/>
  <c r="O509" i="7"/>
  <c r="L509" i="7" s="1"/>
  <c r="J10" i="8"/>
  <c r="J11" i="8"/>
  <c r="J12" i="8"/>
  <c r="J13" i="8"/>
  <c r="J14" i="8"/>
  <c r="J15" i="8"/>
  <c r="J16" i="8"/>
  <c r="J17" i="8"/>
  <c r="J18" i="8"/>
  <c r="J19" i="8"/>
  <c r="J20" i="8"/>
  <c r="J21" i="8"/>
  <c r="J22" i="8"/>
  <c r="J23" i="8"/>
  <c r="J489" i="8"/>
  <c r="G489" i="8" s="1"/>
  <c r="H489" i="8" s="1"/>
  <c r="J490" i="8"/>
  <c r="G490" i="8" s="1"/>
  <c r="H490" i="8" s="1"/>
  <c r="J491" i="8"/>
  <c r="G491" i="8" s="1"/>
  <c r="H491" i="8" s="1"/>
  <c r="J492" i="8"/>
  <c r="G492" i="8" s="1"/>
  <c r="H492" i="8" s="1"/>
  <c r="J493" i="8"/>
  <c r="G493" i="8" s="1"/>
  <c r="H493" i="8" s="1"/>
  <c r="J494" i="8"/>
  <c r="G494" i="8" s="1"/>
  <c r="H494" i="8" s="1"/>
  <c r="J495" i="8"/>
  <c r="G495" i="8" s="1"/>
  <c r="H495" i="8" s="1"/>
  <c r="J496" i="8"/>
  <c r="G496" i="8" s="1"/>
  <c r="H496" i="8" s="1"/>
  <c r="J497" i="8"/>
  <c r="G497" i="8" s="1"/>
  <c r="H497" i="8" s="1"/>
  <c r="J498" i="8"/>
  <c r="G498" i="8" s="1"/>
  <c r="H498" i="8" s="1"/>
  <c r="J499" i="8"/>
  <c r="G499" i="8" s="1"/>
  <c r="H499" i="8" s="1"/>
  <c r="J500" i="8"/>
  <c r="G500" i="8" s="1"/>
  <c r="H500" i="8" s="1"/>
  <c r="J501" i="8"/>
  <c r="G501" i="8" s="1"/>
  <c r="H501" i="8" s="1"/>
  <c r="J502" i="8"/>
  <c r="G502" i="8" s="1"/>
  <c r="H502" i="8" s="1"/>
  <c r="J503" i="8"/>
  <c r="G503" i="8" s="1"/>
  <c r="H503" i="8" s="1"/>
  <c r="J504" i="8"/>
  <c r="G504" i="8" s="1"/>
  <c r="H504" i="8" s="1"/>
  <c r="J505" i="8"/>
  <c r="G505" i="8" s="1"/>
  <c r="H505" i="8" s="1"/>
  <c r="J506" i="8"/>
  <c r="G506" i="8" s="1"/>
  <c r="H506" i="8" s="1"/>
  <c r="J507" i="8"/>
  <c r="G507" i="8" s="1"/>
  <c r="H507" i="8" s="1"/>
  <c r="J508" i="8"/>
  <c r="G508" i="8" s="1"/>
  <c r="H508" i="8" s="1"/>
  <c r="J509" i="8"/>
  <c r="G509" i="8" s="1"/>
  <c r="H509" i="8" s="1"/>
  <c r="J510" i="8"/>
  <c r="G510" i="8" s="1"/>
  <c r="H510" i="8" s="1"/>
  <c r="J511" i="8"/>
  <c r="G511" i="8" s="1"/>
  <c r="H511" i="8" s="1"/>
  <c r="J512" i="8"/>
  <c r="G512" i="8" s="1"/>
  <c r="H512" i="8" s="1"/>
  <c r="J513" i="8"/>
  <c r="G513" i="8" s="1"/>
  <c r="H513" i="8" s="1"/>
  <c r="J514" i="8"/>
  <c r="G514" i="8" s="1"/>
  <c r="H514" i="8" s="1"/>
  <c r="J73" i="8"/>
  <c r="J515" i="8"/>
  <c r="G515" i="8" s="1"/>
  <c r="H515" i="8" s="1"/>
  <c r="J516" i="8"/>
  <c r="G516" i="8" s="1"/>
  <c r="H516" i="8" s="1"/>
  <c r="J517" i="8"/>
  <c r="G517" i="8" s="1"/>
  <c r="H517" i="8" s="1"/>
  <c r="J518" i="8"/>
  <c r="G518" i="8" s="1"/>
  <c r="H518" i="8" s="1"/>
  <c r="J519" i="8"/>
  <c r="G519" i="8" s="1"/>
  <c r="H519" i="8" s="1"/>
  <c r="J520" i="8"/>
  <c r="G520" i="8" s="1"/>
  <c r="H520" i="8" s="1"/>
  <c r="J521" i="8"/>
  <c r="G521" i="8" s="1"/>
  <c r="H521" i="8" s="1"/>
  <c r="J522" i="8"/>
  <c r="G522" i="8" s="1"/>
  <c r="H522" i="8" s="1"/>
  <c r="J523" i="8"/>
  <c r="G523" i="8" s="1"/>
  <c r="H523" i="8" s="1"/>
  <c r="J524" i="8"/>
  <c r="G524" i="8" s="1"/>
  <c r="H524" i="8" s="1"/>
  <c r="J525" i="8"/>
  <c r="G525" i="8" s="1"/>
  <c r="H525" i="8" s="1"/>
  <c r="J526" i="8"/>
  <c r="G526" i="8" s="1"/>
  <c r="H526" i="8" s="1"/>
  <c r="J527" i="8"/>
  <c r="G527" i="8" s="1"/>
  <c r="H527" i="8" s="1"/>
  <c r="J528" i="8"/>
  <c r="G528" i="8" s="1"/>
  <c r="H528" i="8" s="1"/>
  <c r="J529" i="8"/>
  <c r="G529" i="8" s="1"/>
  <c r="H529" i="8" s="1"/>
  <c r="J530" i="8"/>
  <c r="G530" i="8" s="1"/>
  <c r="H530" i="8" s="1"/>
  <c r="J531" i="8"/>
  <c r="G531" i="8" s="1"/>
  <c r="H531" i="8" s="1"/>
  <c r="J532" i="8"/>
  <c r="G532" i="8" s="1"/>
  <c r="H532" i="8" s="1"/>
  <c r="J533" i="8"/>
  <c r="G533" i="8" s="1"/>
  <c r="H533" i="8" s="1"/>
  <c r="J534" i="8"/>
  <c r="G534" i="8" s="1"/>
  <c r="H534" i="8" s="1"/>
  <c r="J535" i="8"/>
  <c r="G535" i="8" s="1"/>
  <c r="H535" i="8" s="1"/>
  <c r="J536" i="8"/>
  <c r="G536" i="8" s="1"/>
  <c r="H536" i="8" s="1"/>
  <c r="J537" i="8"/>
  <c r="G537" i="8" s="1"/>
  <c r="H537" i="8" s="1"/>
  <c r="J538" i="8"/>
  <c r="G538" i="8" s="1"/>
  <c r="H538" i="8" s="1"/>
  <c r="J539" i="8"/>
  <c r="G539" i="8" s="1"/>
  <c r="H539" i="8" s="1"/>
  <c r="J540" i="8"/>
  <c r="G540" i="8" s="1"/>
  <c r="H540" i="8" s="1"/>
  <c r="J541" i="8"/>
  <c r="G541" i="8" s="1"/>
  <c r="H541" i="8" s="1"/>
  <c r="J542" i="8"/>
  <c r="G542" i="8" s="1"/>
  <c r="H542" i="8" s="1"/>
  <c r="J543" i="8"/>
  <c r="G543" i="8" s="1"/>
  <c r="H543" i="8" s="1"/>
  <c r="J544" i="8"/>
  <c r="G544" i="8" s="1"/>
  <c r="H544" i="8" s="1"/>
  <c r="J545" i="8"/>
  <c r="G545" i="8" s="1"/>
  <c r="H545" i="8" s="1"/>
  <c r="J546" i="8"/>
  <c r="G546" i="8" s="1"/>
  <c r="H546" i="8" s="1"/>
  <c r="J547" i="8"/>
  <c r="G547" i="8" s="1"/>
  <c r="H547" i="8" s="1"/>
  <c r="J548" i="8"/>
  <c r="G548" i="8" s="1"/>
  <c r="H548" i="8" s="1"/>
  <c r="J549" i="8"/>
  <c r="G549" i="8" s="1"/>
  <c r="H549" i="8" s="1"/>
  <c r="J550" i="8"/>
  <c r="G550" i="8" s="1"/>
  <c r="H550" i="8" s="1"/>
  <c r="J551" i="8"/>
  <c r="G551" i="8" s="1"/>
  <c r="H551" i="8" s="1"/>
  <c r="J552" i="8"/>
  <c r="G552" i="8" s="1"/>
  <c r="H552" i="8" s="1"/>
  <c r="J553" i="8"/>
  <c r="G553" i="8" s="1"/>
  <c r="H553" i="8" s="1"/>
  <c r="J554" i="8"/>
  <c r="G554" i="8" s="1"/>
  <c r="H554" i="8" s="1"/>
  <c r="J555" i="8"/>
  <c r="G555" i="8" s="1"/>
  <c r="H555" i="8" s="1"/>
  <c r="J556" i="8"/>
  <c r="G556" i="8" s="1"/>
  <c r="H556" i="8" s="1"/>
  <c r="J557" i="8"/>
  <c r="G557" i="8" s="1"/>
  <c r="H557" i="8" s="1"/>
  <c r="J558" i="8"/>
  <c r="G558" i="8" s="1"/>
  <c r="H558" i="8" s="1"/>
  <c r="J559" i="8"/>
  <c r="G559" i="8" s="1"/>
  <c r="H559" i="8" s="1"/>
  <c r="J560" i="8"/>
  <c r="G560" i="8" s="1"/>
  <c r="H560" i="8" s="1"/>
  <c r="J561" i="8"/>
  <c r="G561" i="8" s="1"/>
  <c r="H561" i="8" s="1"/>
  <c r="J562" i="8"/>
  <c r="G562" i="8" s="1"/>
  <c r="H562" i="8" s="1"/>
  <c r="J563" i="8"/>
  <c r="G563" i="8" s="1"/>
  <c r="H563" i="8" s="1"/>
  <c r="J564" i="8"/>
  <c r="G564" i="8" s="1"/>
  <c r="H564" i="8" s="1"/>
  <c r="J565" i="8"/>
  <c r="G565" i="8" s="1"/>
  <c r="H565" i="8" s="1"/>
  <c r="J566" i="8"/>
  <c r="G566" i="8" s="1"/>
  <c r="H566" i="8" s="1"/>
  <c r="O482" i="7"/>
  <c r="L482" i="7" s="1"/>
  <c r="O481" i="7"/>
  <c r="L481" i="7" s="1"/>
  <c r="O480" i="7"/>
  <c r="L480" i="7" s="1"/>
  <c r="O479" i="7"/>
  <c r="L479" i="7" s="1"/>
  <c r="V467" i="5"/>
  <c r="V468" i="5"/>
  <c r="V469" i="5"/>
  <c r="V470" i="5"/>
  <c r="V471" i="5"/>
  <c r="J661" i="8"/>
  <c r="G661" i="8" s="1"/>
  <c r="H661" i="8" s="1"/>
  <c r="V10" i="5"/>
  <c r="J665" i="8"/>
  <c r="G665" i="8" s="1"/>
  <c r="H665" i="8" s="1"/>
  <c r="J666" i="8"/>
  <c r="G666" i="8" s="1"/>
  <c r="H666" i="8" s="1"/>
  <c r="J667" i="8"/>
  <c r="G667" i="8" s="1"/>
  <c r="H667" i="8" s="1"/>
  <c r="J668" i="8"/>
  <c r="G668" i="8" s="1"/>
  <c r="H668" i="8" s="1"/>
  <c r="J74" i="8"/>
  <c r="J75" i="8"/>
  <c r="J76" i="8"/>
  <c r="J77" i="8"/>
  <c r="J78" i="8"/>
  <c r="J79" i="8"/>
  <c r="V334" i="5"/>
  <c r="V333" i="5"/>
  <c r="V332" i="5"/>
  <c r="V331" i="5"/>
  <c r="V330" i="5"/>
  <c r="V329" i="5"/>
  <c r="V328" i="5"/>
  <c r="V327" i="5"/>
  <c r="V326" i="5"/>
  <c r="V325" i="5"/>
  <c r="J669" i="8"/>
  <c r="G669" i="8" s="1"/>
  <c r="H669" i="8" s="1"/>
  <c r="J670" i="8"/>
  <c r="G670" i="8" s="1"/>
  <c r="H670" i="8" s="1"/>
  <c r="O486" i="7"/>
  <c r="L486" i="7" s="1"/>
  <c r="J567" i="8"/>
  <c r="G567" i="8" s="1"/>
  <c r="H567" i="8" s="1"/>
  <c r="J568" i="8"/>
  <c r="G568" i="8" s="1"/>
  <c r="H568" i="8" s="1"/>
  <c r="J569" i="8"/>
  <c r="G569" i="8" s="1"/>
  <c r="H569" i="8" s="1"/>
  <c r="J570" i="8"/>
  <c r="G570" i="8" s="1"/>
  <c r="H570" i="8" s="1"/>
  <c r="J571" i="8"/>
  <c r="G571" i="8" s="1"/>
  <c r="H571" i="8" s="1"/>
  <c r="J572" i="8"/>
  <c r="G572" i="8" s="1"/>
  <c r="H572" i="8" s="1"/>
  <c r="J573" i="8"/>
  <c r="G573" i="8" s="1"/>
  <c r="H573" i="8" s="1"/>
  <c r="J574" i="8"/>
  <c r="G574" i="8" s="1"/>
  <c r="H574" i="8" s="1"/>
  <c r="J575" i="8"/>
  <c r="G575" i="8" s="1"/>
  <c r="H575" i="8" s="1"/>
  <c r="J576" i="8"/>
  <c r="G576" i="8" s="1"/>
  <c r="H576" i="8" s="1"/>
  <c r="J577" i="8"/>
  <c r="G577" i="8" s="1"/>
  <c r="H577" i="8" s="1"/>
  <c r="J578" i="8"/>
  <c r="G578" i="8" s="1"/>
  <c r="H578" i="8" s="1"/>
  <c r="J579" i="8"/>
  <c r="G579" i="8" s="1"/>
  <c r="H579" i="8" s="1"/>
  <c r="J580" i="8"/>
  <c r="G580" i="8" s="1"/>
  <c r="H580" i="8" s="1"/>
  <c r="J581" i="8"/>
  <c r="G581" i="8" s="1"/>
  <c r="H581" i="8" s="1"/>
  <c r="J582" i="8"/>
  <c r="G582" i="8" s="1"/>
  <c r="H582" i="8" s="1"/>
  <c r="J583" i="8"/>
  <c r="G583" i="8" s="1"/>
  <c r="H583" i="8" s="1"/>
  <c r="J584" i="8"/>
  <c r="G584" i="8" s="1"/>
  <c r="H584" i="8" s="1"/>
  <c r="J585" i="8"/>
  <c r="G585" i="8" s="1"/>
  <c r="H585" i="8" s="1"/>
  <c r="J586" i="8"/>
  <c r="G586" i="8" s="1"/>
  <c r="H586" i="8" s="1"/>
  <c r="J587" i="8"/>
  <c r="G587" i="8" s="1"/>
  <c r="H587" i="8" s="1"/>
  <c r="J588" i="8"/>
  <c r="G588" i="8" s="1"/>
  <c r="H588" i="8" s="1"/>
  <c r="J589" i="8"/>
  <c r="G589" i="8" s="1"/>
  <c r="H589" i="8" s="1"/>
  <c r="J590" i="8"/>
  <c r="G590" i="8" s="1"/>
  <c r="H590" i="8" s="1"/>
  <c r="J591" i="8"/>
  <c r="G591" i="8" s="1"/>
  <c r="H591" i="8" s="1"/>
  <c r="J592" i="8"/>
  <c r="G592" i="8" s="1"/>
  <c r="H592" i="8" s="1"/>
  <c r="J593" i="8"/>
  <c r="G593" i="8" s="1"/>
  <c r="H593" i="8" s="1"/>
  <c r="J594" i="8"/>
  <c r="G594" i="8" s="1"/>
  <c r="H594" i="8" s="1"/>
  <c r="J595" i="8"/>
  <c r="G595" i="8" s="1"/>
  <c r="H595" i="8" s="1"/>
  <c r="J596" i="8"/>
  <c r="G596" i="8" s="1"/>
  <c r="H596" i="8" s="1"/>
  <c r="J597" i="8"/>
  <c r="G597" i="8" s="1"/>
  <c r="H597" i="8" s="1"/>
  <c r="J598" i="8"/>
  <c r="G598" i="8" s="1"/>
  <c r="H598" i="8" s="1"/>
  <c r="J599" i="8"/>
  <c r="G599" i="8" s="1"/>
  <c r="H599" i="8" s="1"/>
  <c r="J600" i="8"/>
  <c r="G600" i="8" s="1"/>
  <c r="H600" i="8" s="1"/>
  <c r="J601" i="8"/>
  <c r="G601" i="8" s="1"/>
  <c r="H601" i="8" s="1"/>
  <c r="J602" i="8"/>
  <c r="G602" i="8" s="1"/>
  <c r="H602" i="8" s="1"/>
  <c r="J603" i="8"/>
  <c r="G603" i="8" s="1"/>
  <c r="H603" i="8" s="1"/>
  <c r="J604" i="8"/>
  <c r="G604" i="8" s="1"/>
  <c r="H604" i="8" s="1"/>
  <c r="J605" i="8"/>
  <c r="G605" i="8" s="1"/>
  <c r="H605" i="8" s="1"/>
  <c r="J606" i="8"/>
  <c r="G606" i="8" s="1"/>
  <c r="H606" i="8" s="1"/>
  <c r="J607" i="8"/>
  <c r="G607" i="8" s="1"/>
  <c r="H607" i="8" s="1"/>
  <c r="J608" i="8"/>
  <c r="G608" i="8" s="1"/>
  <c r="H608" i="8" s="1"/>
  <c r="J609" i="8"/>
  <c r="G609" i="8" s="1"/>
  <c r="H609" i="8" s="1"/>
  <c r="J610" i="8"/>
  <c r="G610" i="8" s="1"/>
  <c r="H610" i="8" s="1"/>
  <c r="J611" i="8"/>
  <c r="G611" i="8" s="1"/>
  <c r="H611" i="8" s="1"/>
  <c r="J612" i="8"/>
  <c r="G612" i="8" s="1"/>
  <c r="H612" i="8" s="1"/>
  <c r="J613" i="8"/>
  <c r="G613" i="8" s="1"/>
  <c r="H613" i="8" s="1"/>
  <c r="J614" i="8"/>
  <c r="G614" i="8" s="1"/>
  <c r="H614" i="8" s="1"/>
  <c r="J615" i="8"/>
  <c r="G615" i="8" s="1"/>
  <c r="H615" i="8" s="1"/>
  <c r="J616" i="8"/>
  <c r="G616" i="8" s="1"/>
  <c r="H616" i="8" s="1"/>
  <c r="J617" i="8"/>
  <c r="G617" i="8" s="1"/>
  <c r="H617" i="8" s="1"/>
  <c r="J618" i="8"/>
  <c r="G618" i="8" s="1"/>
  <c r="H618" i="8" s="1"/>
  <c r="J619" i="8"/>
  <c r="G619" i="8" s="1"/>
  <c r="H619" i="8" s="1"/>
  <c r="J620" i="8"/>
  <c r="G620" i="8" s="1"/>
  <c r="H620" i="8" s="1"/>
  <c r="J621" i="8"/>
  <c r="G621" i="8" s="1"/>
  <c r="H621" i="8" s="1"/>
  <c r="J622" i="8"/>
  <c r="G622" i="8" s="1"/>
  <c r="H622" i="8" s="1"/>
  <c r="J623" i="8"/>
  <c r="G623" i="8" s="1"/>
  <c r="H623" i="8" s="1"/>
  <c r="J624" i="8"/>
  <c r="G624" i="8" s="1"/>
  <c r="H624" i="8" s="1"/>
  <c r="J625" i="8"/>
  <c r="G625" i="8" s="1"/>
  <c r="H625" i="8" s="1"/>
  <c r="J626" i="8"/>
  <c r="G626" i="8" s="1"/>
  <c r="H626" i="8" s="1"/>
  <c r="J627" i="8"/>
  <c r="G627" i="8" s="1"/>
  <c r="H627" i="8" s="1"/>
  <c r="J628" i="8"/>
  <c r="G628" i="8" s="1"/>
  <c r="H628" i="8" s="1"/>
  <c r="J629" i="8"/>
  <c r="G629" i="8" s="1"/>
  <c r="H629" i="8" s="1"/>
  <c r="J630" i="8"/>
  <c r="G630" i="8" s="1"/>
  <c r="H630" i="8" s="1"/>
  <c r="J631" i="8"/>
  <c r="G631" i="8" s="1"/>
  <c r="H631" i="8" s="1"/>
  <c r="J632" i="8"/>
  <c r="G632" i="8" s="1"/>
  <c r="H632" i="8" s="1"/>
  <c r="J633" i="8"/>
  <c r="G633" i="8" s="1"/>
  <c r="H633" i="8" s="1"/>
  <c r="J634" i="8"/>
  <c r="G634" i="8" s="1"/>
  <c r="H634" i="8" s="1"/>
  <c r="J635" i="8"/>
  <c r="G635" i="8" s="1"/>
  <c r="H635" i="8" s="1"/>
  <c r="J636" i="8"/>
  <c r="G636" i="8" s="1"/>
  <c r="H636" i="8" s="1"/>
  <c r="J637" i="8"/>
  <c r="G637" i="8" s="1"/>
  <c r="H637" i="8" s="1"/>
  <c r="J638" i="8"/>
  <c r="G638" i="8" s="1"/>
  <c r="H638" i="8" s="1"/>
  <c r="J639" i="8"/>
  <c r="G639" i="8" s="1"/>
  <c r="H639" i="8" s="1"/>
  <c r="J640" i="8"/>
  <c r="G640" i="8" s="1"/>
  <c r="H640" i="8" s="1"/>
  <c r="J641" i="8"/>
  <c r="G641" i="8" s="1"/>
  <c r="H641" i="8" s="1"/>
  <c r="J642" i="8"/>
  <c r="G642" i="8" s="1"/>
  <c r="H642" i="8" s="1"/>
  <c r="J643" i="8"/>
  <c r="G643" i="8" s="1"/>
  <c r="H643" i="8" s="1"/>
  <c r="J644" i="8"/>
  <c r="G644" i="8" s="1"/>
  <c r="H644" i="8" s="1"/>
  <c r="J645" i="8"/>
  <c r="G645" i="8" s="1"/>
  <c r="H645" i="8" s="1"/>
  <c r="J646" i="8"/>
  <c r="G646" i="8" s="1"/>
  <c r="H646" i="8" s="1"/>
  <c r="J647" i="8"/>
  <c r="G647" i="8" s="1"/>
  <c r="H647" i="8" s="1"/>
  <c r="J648" i="8"/>
  <c r="G648" i="8" s="1"/>
  <c r="H648" i="8" s="1"/>
  <c r="J649" i="8"/>
  <c r="G649" i="8" s="1"/>
  <c r="H649" i="8" s="1"/>
  <c r="J650" i="8"/>
  <c r="G650" i="8" s="1"/>
  <c r="H650" i="8" s="1"/>
  <c r="J651" i="8"/>
  <c r="G651" i="8" s="1"/>
  <c r="H651" i="8" s="1"/>
  <c r="J652" i="8"/>
  <c r="G652" i="8" s="1"/>
  <c r="H652" i="8" s="1"/>
  <c r="J653" i="8"/>
  <c r="G653" i="8" s="1"/>
  <c r="H653" i="8" s="1"/>
  <c r="J654" i="8"/>
  <c r="G654" i="8" s="1"/>
  <c r="H654" i="8" s="1"/>
  <c r="J655" i="8"/>
  <c r="G655" i="8" s="1"/>
  <c r="H655" i="8" s="1"/>
  <c r="J656" i="8"/>
  <c r="G656" i="8" s="1"/>
  <c r="H656" i="8" s="1"/>
  <c r="J657" i="8"/>
  <c r="G657" i="8" s="1"/>
  <c r="H657" i="8" s="1"/>
  <c r="J658" i="8"/>
  <c r="G658" i="8" s="1"/>
  <c r="H658" i="8" s="1"/>
  <c r="J659" i="8"/>
  <c r="G659" i="8" s="1"/>
  <c r="H659" i="8" s="1"/>
  <c r="J660" i="8"/>
  <c r="G660" i="8" s="1"/>
  <c r="H660" i="8" s="1"/>
  <c r="U12" i="9"/>
  <c r="U13" i="9"/>
  <c r="A45" i="1" s="1"/>
  <c r="J691" i="8"/>
  <c r="G691" i="8" s="1"/>
  <c r="H691" i="8" s="1"/>
  <c r="J690" i="8"/>
  <c r="G690" i="8" s="1"/>
  <c r="H690" i="8" s="1"/>
  <c r="J689" i="8"/>
  <c r="G689" i="8" s="1"/>
  <c r="H689" i="8" s="1"/>
  <c r="J688" i="8"/>
  <c r="G688" i="8" s="1"/>
  <c r="H688" i="8" s="1"/>
  <c r="J687" i="8"/>
  <c r="G687" i="8" s="1"/>
  <c r="H687" i="8" s="1"/>
  <c r="J686" i="8"/>
  <c r="G686" i="8" s="1"/>
  <c r="H686" i="8" s="1"/>
  <c r="J685" i="8"/>
  <c r="G685" i="8" s="1"/>
  <c r="H685" i="8" s="1"/>
  <c r="J684" i="8"/>
  <c r="G684" i="8" s="1"/>
  <c r="H684" i="8" s="1"/>
  <c r="J683" i="8"/>
  <c r="G683" i="8" s="1"/>
  <c r="H683" i="8" s="1"/>
  <c r="J682" i="8"/>
  <c r="G682" i="8" s="1"/>
  <c r="H682" i="8" s="1"/>
  <c r="J681" i="8"/>
  <c r="G681" i="8" s="1"/>
  <c r="H681" i="8" s="1"/>
  <c r="J680" i="8"/>
  <c r="G680" i="8" s="1"/>
  <c r="H680" i="8" s="1"/>
  <c r="J679" i="8"/>
  <c r="G679" i="8" s="1"/>
  <c r="H679" i="8" s="1"/>
  <c r="J678" i="8"/>
  <c r="G678" i="8" s="1"/>
  <c r="H678" i="8" s="1"/>
  <c r="J677" i="8"/>
  <c r="G677" i="8" s="1"/>
  <c r="H677" i="8" s="1"/>
  <c r="J676" i="8"/>
  <c r="G676" i="8" s="1"/>
  <c r="H676" i="8" s="1"/>
  <c r="J675" i="8"/>
  <c r="G675" i="8" s="1"/>
  <c r="H675" i="8" s="1"/>
  <c r="J674" i="8"/>
  <c r="G674" i="8" s="1"/>
  <c r="H674" i="8" s="1"/>
  <c r="J673" i="8"/>
  <c r="G673" i="8" s="1"/>
  <c r="H673" i="8" s="1"/>
  <c r="J672" i="8"/>
  <c r="G672" i="8" s="1"/>
  <c r="H672" i="8" s="1"/>
  <c r="J671" i="8"/>
  <c r="G671" i="8" s="1"/>
  <c r="H671" i="8" s="1"/>
  <c r="O171" i="7"/>
  <c r="L171" i="7" s="1"/>
  <c r="O170" i="7"/>
  <c r="L170" i="7" s="1"/>
  <c r="O169" i="7"/>
  <c r="L169" i="7" s="1"/>
  <c r="O168" i="7"/>
  <c r="L168" i="7" s="1"/>
  <c r="O167" i="7"/>
  <c r="L167" i="7" s="1"/>
  <c r="O166" i="7"/>
  <c r="L166" i="7" s="1"/>
  <c r="O165" i="7"/>
  <c r="L165" i="7" s="1"/>
  <c r="O164" i="7"/>
  <c r="L164" i="7" s="1"/>
  <c r="O163" i="7"/>
  <c r="L163" i="7" s="1"/>
  <c r="O162" i="7"/>
  <c r="L162" i="7" s="1"/>
  <c r="O161" i="7"/>
  <c r="L161" i="7" s="1"/>
  <c r="O160" i="7"/>
  <c r="L160" i="7" s="1"/>
  <c r="O159" i="7"/>
  <c r="L159" i="7" s="1"/>
  <c r="O158" i="7"/>
  <c r="L158" i="7" s="1"/>
  <c r="O157" i="7"/>
  <c r="O156" i="7"/>
  <c r="O155" i="7"/>
  <c r="O154" i="7"/>
  <c r="O153" i="7"/>
  <c r="O152" i="7"/>
  <c r="O151" i="7"/>
  <c r="O150" i="7"/>
  <c r="O149" i="7"/>
  <c r="O148" i="7"/>
  <c r="O147" i="7"/>
  <c r="O146" i="7"/>
  <c r="O145" i="7"/>
  <c r="O144" i="7"/>
  <c r="O143" i="7"/>
  <c r="O142" i="7"/>
  <c r="O141" i="7"/>
  <c r="O140" i="7"/>
  <c r="O139" i="7"/>
  <c r="O138" i="7"/>
  <c r="O137" i="7"/>
  <c r="O136" i="7"/>
  <c r="O135" i="7"/>
  <c r="O134" i="7"/>
  <c r="O133" i="7"/>
  <c r="O132" i="7"/>
  <c r="O131" i="7"/>
  <c r="O130" i="7"/>
  <c r="O129" i="7"/>
  <c r="O128" i="7"/>
  <c r="O127" i="7"/>
  <c r="O126" i="7"/>
  <c r="O125" i="7"/>
  <c r="O124" i="7"/>
  <c r="O123" i="7"/>
  <c r="O122" i="7"/>
  <c r="O121" i="7"/>
  <c r="O120" i="7"/>
  <c r="O119" i="7"/>
  <c r="O118" i="7"/>
  <c r="O117" i="7"/>
  <c r="O116" i="7"/>
  <c r="O115" i="7"/>
  <c r="O114" i="7"/>
  <c r="O113" i="7"/>
  <c r="O112" i="7"/>
  <c r="O111" i="7"/>
  <c r="O110" i="7"/>
  <c r="O109" i="7"/>
  <c r="O108" i="7"/>
  <c r="O107" i="7"/>
  <c r="O106" i="7"/>
  <c r="O104" i="7"/>
  <c r="O103" i="7"/>
  <c r="O102" i="7"/>
  <c r="O101" i="7"/>
  <c r="O100" i="7"/>
  <c r="O99" i="7"/>
  <c r="O98" i="7"/>
  <c r="O97" i="7"/>
  <c r="O96" i="7"/>
  <c r="O95" i="7"/>
  <c r="O94" i="7"/>
  <c r="O93" i="7"/>
  <c r="O92" i="7"/>
  <c r="O91" i="7"/>
  <c r="O90" i="7"/>
  <c r="O89" i="7"/>
  <c r="O88" i="7"/>
  <c r="O87" i="7"/>
  <c r="O86" i="7"/>
  <c r="O85" i="7"/>
  <c r="O105" i="7"/>
  <c r="J1404" i="8"/>
  <c r="G1404" i="8" s="1"/>
  <c r="H1404" i="8" s="1"/>
  <c r="J1403" i="8"/>
  <c r="G1403" i="8" s="1"/>
  <c r="H1403" i="8" s="1"/>
  <c r="J1402" i="8"/>
  <c r="G1402" i="8" s="1"/>
  <c r="H1402" i="8" s="1"/>
  <c r="J1401" i="8"/>
  <c r="G1401" i="8" s="1"/>
  <c r="H1401" i="8" s="1"/>
  <c r="J1400" i="8"/>
  <c r="G1400" i="8" s="1"/>
  <c r="H1400" i="8" s="1"/>
  <c r="J1399" i="8"/>
  <c r="G1399" i="8" s="1"/>
  <c r="H1399" i="8" s="1"/>
  <c r="J1398" i="8"/>
  <c r="G1398" i="8" s="1"/>
  <c r="H1398" i="8" s="1"/>
  <c r="J80" i="8"/>
  <c r="J81" i="8"/>
  <c r="V401" i="5"/>
  <c r="V400" i="5"/>
  <c r="V399" i="5"/>
  <c r="V398" i="5"/>
  <c r="V397" i="5"/>
  <c r="V396" i="5"/>
  <c r="V395" i="5"/>
  <c r="V394" i="5"/>
  <c r="V393" i="5"/>
  <c r="V392" i="5"/>
  <c r="V391" i="5"/>
  <c r="V390" i="5"/>
  <c r="V389" i="5"/>
  <c r="V388" i="5"/>
  <c r="V387" i="5"/>
  <c r="V386" i="5"/>
  <c r="V385" i="5"/>
  <c r="V384" i="5"/>
  <c r="V383" i="5"/>
  <c r="V382" i="5"/>
  <c r="V381" i="5"/>
  <c r="V380" i="5"/>
  <c r="V379" i="5"/>
  <c r="V378" i="5"/>
  <c r="V377" i="5"/>
  <c r="V376" i="5"/>
  <c r="V375" i="5"/>
  <c r="V374" i="5"/>
  <c r="V373" i="5"/>
  <c r="V372" i="5"/>
  <c r="V371" i="5"/>
  <c r="V370" i="5"/>
  <c r="V369" i="5"/>
  <c r="V368" i="5"/>
  <c r="V367" i="5"/>
  <c r="V366" i="5"/>
  <c r="V365" i="5"/>
  <c r="V364" i="5"/>
  <c r="V363" i="5"/>
  <c r="V362" i="5"/>
  <c r="V361" i="5"/>
  <c r="V360" i="5"/>
  <c r="V359" i="5"/>
  <c r="V358" i="5"/>
  <c r="V357" i="5"/>
  <c r="V356" i="5"/>
  <c r="V355" i="5"/>
  <c r="V354" i="5"/>
  <c r="V353" i="5"/>
  <c r="V352" i="5"/>
  <c r="V351" i="5"/>
  <c r="V350" i="5"/>
  <c r="V349" i="5"/>
  <c r="V348" i="5"/>
  <c r="V347" i="5"/>
  <c r="V346" i="5"/>
  <c r="V345" i="5"/>
  <c r="V344" i="5"/>
  <c r="V343" i="5"/>
  <c r="V342" i="5"/>
  <c r="V341" i="5"/>
  <c r="V340" i="5"/>
  <c r="V339" i="5"/>
  <c r="V338" i="5"/>
  <c r="V337" i="5"/>
  <c r="V336" i="5"/>
  <c r="V335" i="5"/>
  <c r="J1397" i="8"/>
  <c r="G1397" i="8" s="1"/>
  <c r="H1397" i="8" s="1"/>
  <c r="J1396" i="8"/>
  <c r="G1396" i="8" s="1"/>
  <c r="H1396" i="8" s="1"/>
  <c r="J1394" i="8"/>
  <c r="G1394" i="8" s="1"/>
  <c r="H1394" i="8" s="1"/>
  <c r="J1393" i="8"/>
  <c r="G1393" i="8" s="1"/>
  <c r="H1393" i="8" s="1"/>
  <c r="J1392" i="8"/>
  <c r="G1392" i="8" s="1"/>
  <c r="H1392" i="8" s="1"/>
  <c r="J1391" i="8"/>
  <c r="G1391" i="8" s="1"/>
  <c r="H1391" i="8" s="1"/>
  <c r="J1390" i="8"/>
  <c r="G1390" i="8" s="1"/>
  <c r="H1390" i="8" s="1"/>
  <c r="J1389" i="8"/>
  <c r="G1389" i="8" s="1"/>
  <c r="H1389" i="8" s="1"/>
  <c r="J1388" i="8"/>
  <c r="G1388" i="8" s="1"/>
  <c r="H1388" i="8" s="1"/>
  <c r="J1387" i="8"/>
  <c r="G1387" i="8" s="1"/>
  <c r="H1387" i="8" s="1"/>
  <c r="J1386" i="8"/>
  <c r="G1386" i="8" s="1"/>
  <c r="H1386" i="8" s="1"/>
  <c r="J1385" i="8"/>
  <c r="G1385" i="8" s="1"/>
  <c r="H1385" i="8" s="1"/>
  <c r="J1384" i="8"/>
  <c r="G1384" i="8" s="1"/>
  <c r="H1384" i="8" s="1"/>
  <c r="J1383" i="8"/>
  <c r="G1383" i="8" s="1"/>
  <c r="H1383" i="8" s="1"/>
  <c r="J1382" i="8"/>
  <c r="G1382" i="8" s="1"/>
  <c r="H1382" i="8" s="1"/>
  <c r="J1381" i="8"/>
  <c r="G1381" i="8" s="1"/>
  <c r="H1381" i="8" s="1"/>
  <c r="J1380" i="8"/>
  <c r="G1380" i="8" s="1"/>
  <c r="H1380" i="8" s="1"/>
  <c r="J1379" i="8"/>
  <c r="G1379" i="8" s="1"/>
  <c r="H1379" i="8" s="1"/>
  <c r="J1378" i="8"/>
  <c r="G1378" i="8" s="1"/>
  <c r="H1378" i="8" s="1"/>
  <c r="J1377" i="8"/>
  <c r="G1377" i="8" s="1"/>
  <c r="H1377" i="8" s="1"/>
  <c r="J1376" i="8"/>
  <c r="G1376" i="8" s="1"/>
  <c r="H1376" i="8" s="1"/>
  <c r="J1375" i="8"/>
  <c r="G1375" i="8" s="1"/>
  <c r="H1375" i="8" s="1"/>
  <c r="J1374" i="8"/>
  <c r="G1374" i="8" s="1"/>
  <c r="H1374" i="8" s="1"/>
  <c r="J1373" i="8"/>
  <c r="G1373" i="8" s="1"/>
  <c r="H1373" i="8" s="1"/>
  <c r="J1372" i="8"/>
  <c r="G1372" i="8" s="1"/>
  <c r="H1372" i="8" s="1"/>
  <c r="J1371" i="8"/>
  <c r="G1371" i="8" s="1"/>
  <c r="H1371" i="8" s="1"/>
  <c r="J1370" i="8"/>
  <c r="G1370" i="8" s="1"/>
  <c r="H1370" i="8" s="1"/>
  <c r="J1369" i="8"/>
  <c r="G1369" i="8" s="1"/>
  <c r="H1369" i="8" s="1"/>
  <c r="J1368" i="8"/>
  <c r="G1368" i="8" s="1"/>
  <c r="H1368" i="8" s="1"/>
  <c r="J1367" i="8"/>
  <c r="G1367" i="8" s="1"/>
  <c r="H1367" i="8" s="1"/>
  <c r="J1366" i="8"/>
  <c r="G1366" i="8" s="1"/>
  <c r="H1366" i="8" s="1"/>
  <c r="J1365" i="8"/>
  <c r="G1365" i="8" s="1"/>
  <c r="H1365" i="8" s="1"/>
  <c r="J1364" i="8"/>
  <c r="G1364" i="8" s="1"/>
  <c r="H1364" i="8" s="1"/>
  <c r="J1362" i="8"/>
  <c r="G1362" i="8" s="1"/>
  <c r="H1362" i="8" s="1"/>
  <c r="J1361" i="8"/>
  <c r="G1361" i="8" s="1"/>
  <c r="H1361" i="8" s="1"/>
  <c r="J1360" i="8"/>
  <c r="G1360" i="8" s="1"/>
  <c r="H1360" i="8" s="1"/>
  <c r="J1359" i="8"/>
  <c r="G1359" i="8" s="1"/>
  <c r="H1359" i="8" s="1"/>
  <c r="J1358" i="8"/>
  <c r="G1358" i="8" s="1"/>
  <c r="H1358" i="8" s="1"/>
  <c r="J1357" i="8"/>
  <c r="G1357" i="8" s="1"/>
  <c r="H1357" i="8" s="1"/>
  <c r="J1356" i="8"/>
  <c r="G1356" i="8" s="1"/>
  <c r="H1356" i="8" s="1"/>
  <c r="J1355" i="8"/>
  <c r="G1355" i="8" s="1"/>
  <c r="H1355" i="8" s="1"/>
  <c r="J1354" i="8"/>
  <c r="G1354" i="8" s="1"/>
  <c r="H1354" i="8" s="1"/>
  <c r="J1353" i="8"/>
  <c r="G1353" i="8" s="1"/>
  <c r="H1353" i="8" s="1"/>
  <c r="J1352" i="8"/>
  <c r="G1352" i="8" s="1"/>
  <c r="H1352" i="8" s="1"/>
  <c r="J1351" i="8"/>
  <c r="G1351" i="8" s="1"/>
  <c r="H1351" i="8" s="1"/>
  <c r="J1350" i="8"/>
  <c r="G1350" i="8" s="1"/>
  <c r="H1350" i="8" s="1"/>
  <c r="J1349" i="8"/>
  <c r="G1349" i="8" s="1"/>
  <c r="H1349" i="8" s="1"/>
  <c r="J1348" i="8"/>
  <c r="G1348" i="8" s="1"/>
  <c r="H1348" i="8" s="1"/>
  <c r="J1347" i="8"/>
  <c r="G1347" i="8" s="1"/>
  <c r="H1347" i="8" s="1"/>
  <c r="J1346" i="8"/>
  <c r="G1346" i="8" s="1"/>
  <c r="H1346" i="8" s="1"/>
  <c r="J1345" i="8"/>
  <c r="G1345" i="8" s="1"/>
  <c r="H1345" i="8" s="1"/>
  <c r="J1344" i="8"/>
  <c r="G1344" i="8" s="1"/>
  <c r="H1344" i="8" s="1"/>
  <c r="J1343" i="8"/>
  <c r="G1343" i="8" s="1"/>
  <c r="H1343" i="8" s="1"/>
  <c r="J1342" i="8"/>
  <c r="G1342" i="8" s="1"/>
  <c r="H1342" i="8" s="1"/>
  <c r="J1341" i="8"/>
  <c r="G1341" i="8" s="1"/>
  <c r="H1341" i="8" s="1"/>
  <c r="J1340" i="8"/>
  <c r="G1340" i="8" s="1"/>
  <c r="H1340" i="8" s="1"/>
  <c r="J1339" i="8"/>
  <c r="G1339" i="8" s="1"/>
  <c r="H1339" i="8" s="1"/>
  <c r="J1338" i="8"/>
  <c r="G1338" i="8" s="1"/>
  <c r="H1338" i="8" s="1"/>
  <c r="J1337" i="8"/>
  <c r="G1337" i="8" s="1"/>
  <c r="H1337" i="8" s="1"/>
  <c r="J1336" i="8"/>
  <c r="G1336" i="8" s="1"/>
  <c r="H1336" i="8" s="1"/>
  <c r="J1335" i="8"/>
  <c r="G1335" i="8" s="1"/>
  <c r="H1335" i="8" s="1"/>
  <c r="J1334" i="8"/>
  <c r="G1334" i="8" s="1"/>
  <c r="H1334" i="8" s="1"/>
  <c r="J1333" i="8"/>
  <c r="G1333" i="8" s="1"/>
  <c r="H1333" i="8" s="1"/>
  <c r="J1332" i="8"/>
  <c r="G1332" i="8" s="1"/>
  <c r="H1332" i="8" s="1"/>
  <c r="J1331" i="8"/>
  <c r="G1331" i="8" s="1"/>
  <c r="H1331" i="8" s="1"/>
  <c r="J1330" i="8"/>
  <c r="G1330" i="8" s="1"/>
  <c r="H1330" i="8" s="1"/>
  <c r="J1329" i="8"/>
  <c r="G1329" i="8" s="1"/>
  <c r="H1329" i="8" s="1"/>
  <c r="J1328" i="8"/>
  <c r="G1328" i="8" s="1"/>
  <c r="H1328" i="8" s="1"/>
  <c r="J1327" i="8"/>
  <c r="G1327" i="8" s="1"/>
  <c r="H1327" i="8" s="1"/>
  <c r="J1326" i="8"/>
  <c r="G1326" i="8" s="1"/>
  <c r="H1326" i="8" s="1"/>
  <c r="J1325" i="8"/>
  <c r="G1325" i="8" s="1"/>
  <c r="H1325" i="8" s="1"/>
  <c r="J1324" i="8"/>
  <c r="G1324" i="8" s="1"/>
  <c r="H1324" i="8" s="1"/>
  <c r="J1323" i="8"/>
  <c r="G1323" i="8" s="1"/>
  <c r="H1323" i="8" s="1"/>
  <c r="J1322" i="8"/>
  <c r="G1322" i="8" s="1"/>
  <c r="H1322" i="8" s="1"/>
  <c r="J1321" i="8"/>
  <c r="G1321" i="8" s="1"/>
  <c r="H1321" i="8" s="1"/>
  <c r="J1320" i="8"/>
  <c r="G1320" i="8" s="1"/>
  <c r="H1320" i="8" s="1"/>
  <c r="J1319" i="8"/>
  <c r="G1319" i="8" s="1"/>
  <c r="H1319" i="8" s="1"/>
  <c r="J1318" i="8"/>
  <c r="G1318" i="8" s="1"/>
  <c r="H1318" i="8" s="1"/>
  <c r="J1317" i="8"/>
  <c r="G1317" i="8" s="1"/>
  <c r="H1317" i="8" s="1"/>
  <c r="J1316" i="8"/>
  <c r="G1316" i="8" s="1"/>
  <c r="H1316" i="8" s="1"/>
  <c r="J1315" i="8"/>
  <c r="G1315" i="8" s="1"/>
  <c r="H1315" i="8" s="1"/>
  <c r="J1314" i="8"/>
  <c r="G1314" i="8" s="1"/>
  <c r="H1314" i="8" s="1"/>
  <c r="J1313" i="8"/>
  <c r="G1313" i="8" s="1"/>
  <c r="H1313" i="8" s="1"/>
  <c r="J1312" i="8"/>
  <c r="G1312" i="8" s="1"/>
  <c r="H1312" i="8" s="1"/>
  <c r="J1311" i="8"/>
  <c r="G1311" i="8" s="1"/>
  <c r="H1311" i="8" s="1"/>
  <c r="J1310" i="8"/>
  <c r="G1310" i="8" s="1"/>
  <c r="H1310" i="8" s="1"/>
  <c r="J1309" i="8"/>
  <c r="G1309" i="8" s="1"/>
  <c r="H1309" i="8" s="1"/>
  <c r="J1308" i="8"/>
  <c r="G1308" i="8" s="1"/>
  <c r="H1308" i="8" s="1"/>
  <c r="J1307" i="8"/>
  <c r="G1307" i="8" s="1"/>
  <c r="H1307" i="8" s="1"/>
  <c r="J1306" i="8"/>
  <c r="G1306" i="8" s="1"/>
  <c r="H1306" i="8" s="1"/>
  <c r="J1305" i="8"/>
  <c r="G1305" i="8" s="1"/>
  <c r="H1305" i="8" s="1"/>
  <c r="J1304" i="8"/>
  <c r="G1304" i="8" s="1"/>
  <c r="H1304" i="8" s="1"/>
  <c r="J1303" i="8"/>
  <c r="G1303" i="8" s="1"/>
  <c r="H1303" i="8" s="1"/>
  <c r="J1302" i="8"/>
  <c r="G1302" i="8" s="1"/>
  <c r="H1302" i="8" s="1"/>
  <c r="J1301" i="8"/>
  <c r="G1301" i="8" s="1"/>
  <c r="H1301" i="8" s="1"/>
  <c r="J1300" i="8"/>
  <c r="G1300" i="8" s="1"/>
  <c r="H1300" i="8" s="1"/>
  <c r="J1299" i="8"/>
  <c r="G1299" i="8" s="1"/>
  <c r="H1299" i="8" s="1"/>
  <c r="J1298" i="8"/>
  <c r="G1298" i="8" s="1"/>
  <c r="H1298" i="8" s="1"/>
  <c r="J1297" i="8"/>
  <c r="G1297" i="8" s="1"/>
  <c r="H1297" i="8" s="1"/>
  <c r="J1296" i="8"/>
  <c r="G1296" i="8" s="1"/>
  <c r="H1296" i="8" s="1"/>
  <c r="J1295" i="8"/>
  <c r="G1295" i="8" s="1"/>
  <c r="H1295" i="8" s="1"/>
  <c r="J1294" i="8"/>
  <c r="G1294" i="8" s="1"/>
  <c r="H1294" i="8" s="1"/>
  <c r="J1293" i="8"/>
  <c r="G1293" i="8" s="1"/>
  <c r="H1293" i="8" s="1"/>
  <c r="J1292" i="8"/>
  <c r="G1292" i="8" s="1"/>
  <c r="H1292" i="8" s="1"/>
  <c r="J1291" i="8"/>
  <c r="G1291" i="8" s="1"/>
  <c r="H1291" i="8" s="1"/>
  <c r="J1290" i="8"/>
  <c r="G1290" i="8" s="1"/>
  <c r="H1290" i="8" s="1"/>
  <c r="J1289" i="8"/>
  <c r="G1289" i="8" s="1"/>
  <c r="H1289" i="8" s="1"/>
  <c r="J1288" i="8"/>
  <c r="G1288" i="8" s="1"/>
  <c r="H1288" i="8" s="1"/>
  <c r="J1287" i="8"/>
  <c r="G1287" i="8" s="1"/>
  <c r="H1287" i="8" s="1"/>
  <c r="J1286" i="8"/>
  <c r="G1286" i="8" s="1"/>
  <c r="H1286" i="8" s="1"/>
  <c r="J1285" i="8"/>
  <c r="G1285" i="8" s="1"/>
  <c r="H1285" i="8" s="1"/>
  <c r="J1284" i="8"/>
  <c r="G1284" i="8" s="1"/>
  <c r="H1284" i="8" s="1"/>
  <c r="J1283" i="8"/>
  <c r="G1283" i="8" s="1"/>
  <c r="H1283" i="8" s="1"/>
  <c r="J1282" i="8"/>
  <c r="G1282" i="8" s="1"/>
  <c r="H1282" i="8" s="1"/>
  <c r="J1363" i="8"/>
  <c r="G1363" i="8" s="1"/>
  <c r="H1363" i="8" s="1"/>
  <c r="J1395" i="8"/>
  <c r="G1395" i="8" s="1"/>
  <c r="H1395" i="8" s="1"/>
  <c r="J789" i="8"/>
  <c r="G789" i="8" s="1"/>
  <c r="H789" i="8" s="1"/>
  <c r="J788" i="8"/>
  <c r="G788" i="8" s="1"/>
  <c r="H788" i="8" s="1"/>
  <c r="J787" i="8"/>
  <c r="G787" i="8" s="1"/>
  <c r="H787" i="8" s="1"/>
  <c r="J786" i="8"/>
  <c r="G786" i="8" s="1"/>
  <c r="H786" i="8" s="1"/>
  <c r="J785" i="8"/>
  <c r="G785" i="8" s="1"/>
  <c r="H785" i="8" s="1"/>
  <c r="J784" i="8"/>
  <c r="G784" i="8" s="1"/>
  <c r="H784" i="8" s="1"/>
  <c r="J783" i="8"/>
  <c r="G783" i="8" s="1"/>
  <c r="H783" i="8" s="1"/>
  <c r="J782" i="8"/>
  <c r="G782" i="8" s="1"/>
  <c r="H782" i="8" s="1"/>
  <c r="J781" i="8"/>
  <c r="G781" i="8" s="1"/>
  <c r="H781" i="8" s="1"/>
  <c r="J780" i="8"/>
  <c r="G780" i="8" s="1"/>
  <c r="H780" i="8" s="1"/>
  <c r="J779" i="8"/>
  <c r="G779" i="8" s="1"/>
  <c r="H779" i="8" s="1"/>
  <c r="J778" i="8"/>
  <c r="G778" i="8" s="1"/>
  <c r="H778" i="8" s="1"/>
  <c r="J777" i="8"/>
  <c r="G777" i="8" s="1"/>
  <c r="H777" i="8" s="1"/>
  <c r="J776" i="8"/>
  <c r="G776" i="8" s="1"/>
  <c r="H776" i="8" s="1"/>
  <c r="J775" i="8"/>
  <c r="G775" i="8" s="1"/>
  <c r="H775" i="8" s="1"/>
  <c r="J774" i="8"/>
  <c r="G774" i="8" s="1"/>
  <c r="H774" i="8" s="1"/>
  <c r="J773" i="8"/>
  <c r="G773" i="8" s="1"/>
  <c r="H773" i="8" s="1"/>
  <c r="J772" i="8"/>
  <c r="G772" i="8" s="1"/>
  <c r="H772" i="8" s="1"/>
  <c r="J771" i="8"/>
  <c r="G771" i="8" s="1"/>
  <c r="H771" i="8" s="1"/>
  <c r="J770" i="8"/>
  <c r="G770" i="8" s="1"/>
  <c r="H770" i="8" s="1"/>
  <c r="J769" i="8"/>
  <c r="G769" i="8" s="1"/>
  <c r="H769" i="8" s="1"/>
  <c r="J768" i="8"/>
  <c r="G768" i="8" s="1"/>
  <c r="H768" i="8" s="1"/>
  <c r="J767" i="8"/>
  <c r="G767" i="8" s="1"/>
  <c r="H767" i="8" s="1"/>
  <c r="J766" i="8"/>
  <c r="G766" i="8" s="1"/>
  <c r="H766" i="8" s="1"/>
  <c r="J765" i="8"/>
  <c r="G765" i="8" s="1"/>
  <c r="H765" i="8" s="1"/>
  <c r="J764" i="8"/>
  <c r="G764" i="8" s="1"/>
  <c r="H764" i="8" s="1"/>
  <c r="J763" i="8"/>
  <c r="G763" i="8" s="1"/>
  <c r="H763" i="8" s="1"/>
  <c r="J762" i="8"/>
  <c r="G762" i="8" s="1"/>
  <c r="H762" i="8" s="1"/>
  <c r="J761" i="8"/>
  <c r="G761" i="8" s="1"/>
  <c r="H761" i="8" s="1"/>
  <c r="J760" i="8"/>
  <c r="G760" i="8" s="1"/>
  <c r="H760" i="8" s="1"/>
  <c r="J759" i="8"/>
  <c r="G759" i="8" s="1"/>
  <c r="H759" i="8" s="1"/>
  <c r="J758" i="8"/>
  <c r="G758" i="8" s="1"/>
  <c r="H758" i="8" s="1"/>
  <c r="J757" i="8"/>
  <c r="G757" i="8" s="1"/>
  <c r="H757" i="8" s="1"/>
  <c r="J756" i="8"/>
  <c r="G756" i="8" s="1"/>
  <c r="H756" i="8" s="1"/>
  <c r="J755" i="8"/>
  <c r="G755" i="8" s="1"/>
  <c r="H755" i="8" s="1"/>
  <c r="J754" i="8"/>
  <c r="G754" i="8" s="1"/>
  <c r="H754" i="8" s="1"/>
  <c r="J753" i="8"/>
  <c r="G753" i="8" s="1"/>
  <c r="H753" i="8" s="1"/>
  <c r="J752" i="8"/>
  <c r="G752" i="8" s="1"/>
  <c r="H752" i="8" s="1"/>
  <c r="J751" i="8"/>
  <c r="G751" i="8" s="1"/>
  <c r="H751" i="8" s="1"/>
  <c r="J750" i="8"/>
  <c r="G750" i="8" s="1"/>
  <c r="H750" i="8" s="1"/>
  <c r="J749" i="8"/>
  <c r="G749" i="8" s="1"/>
  <c r="H749" i="8" s="1"/>
  <c r="J748" i="8"/>
  <c r="G748" i="8" s="1"/>
  <c r="H748" i="8" s="1"/>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V65" i="5"/>
  <c r="J122" i="8"/>
  <c r="V64" i="5"/>
  <c r="J123" i="8"/>
  <c r="V63" i="5"/>
  <c r="J124" i="8"/>
  <c r="V62" i="5"/>
  <c r="J125" i="8"/>
  <c r="V61" i="5"/>
  <c r="J126" i="8"/>
  <c r="V60" i="5"/>
  <c r="J127" i="8"/>
  <c r="V59" i="5"/>
  <c r="J128" i="8"/>
  <c r="V58" i="5"/>
  <c r="J129" i="8"/>
  <c r="V57" i="5"/>
  <c r="J130" i="8"/>
  <c r="V56" i="5"/>
  <c r="J131" i="8"/>
  <c r="V55" i="5"/>
  <c r="J132" i="8"/>
  <c r="V54" i="5"/>
  <c r="J133" i="8"/>
  <c r="V53" i="5"/>
  <c r="J134" i="8"/>
  <c r="V52" i="5"/>
  <c r="J135" i="8"/>
  <c r="V51" i="5"/>
  <c r="J136" i="8"/>
  <c r="V50" i="5"/>
  <c r="J137" i="8"/>
  <c r="V49" i="5"/>
  <c r="J138" i="8"/>
  <c r="V48" i="5"/>
  <c r="J139" i="8"/>
  <c r="V47" i="5"/>
  <c r="J140" i="8"/>
  <c r="V46" i="5"/>
  <c r="J141" i="8"/>
  <c r="V45" i="5"/>
  <c r="J142" i="8"/>
  <c r="V44" i="5"/>
  <c r="J143" i="8"/>
  <c r="V43" i="5"/>
  <c r="J144" i="8"/>
  <c r="V42" i="5"/>
  <c r="J145" i="8"/>
  <c r="V41" i="5"/>
  <c r="J146" i="8"/>
  <c r="V40" i="5"/>
  <c r="J147" i="8"/>
  <c r="V39" i="5"/>
  <c r="J148" i="8"/>
  <c r="V38" i="5"/>
  <c r="J149" i="8"/>
  <c r="V37" i="5"/>
  <c r="J150" i="8"/>
  <c r="V36" i="5"/>
  <c r="J151" i="8"/>
  <c r="V35" i="5"/>
  <c r="J152" i="8"/>
  <c r="V34" i="5"/>
  <c r="J153" i="8"/>
  <c r="V33" i="5"/>
  <c r="J154" i="8"/>
  <c r="V32" i="5"/>
  <c r="J155" i="8"/>
  <c r="V31" i="5"/>
  <c r="J156" i="8"/>
  <c r="V30" i="5"/>
  <c r="J157" i="8"/>
  <c r="G157" i="8" s="1"/>
  <c r="H157" i="8" s="1"/>
  <c r="V29" i="5"/>
  <c r="J158" i="8"/>
  <c r="G158" i="8" s="1"/>
  <c r="H158" i="8" s="1"/>
  <c r="V28" i="5"/>
  <c r="J159" i="8"/>
  <c r="G159" i="8" s="1"/>
  <c r="H159" i="8" s="1"/>
  <c r="V27" i="5"/>
  <c r="J160" i="8"/>
  <c r="G160" i="8" s="1"/>
  <c r="H160" i="8" s="1"/>
  <c r="V26" i="5"/>
  <c r="J161" i="8"/>
  <c r="G161" i="8" s="1"/>
  <c r="H161" i="8" s="1"/>
  <c r="V25" i="5"/>
  <c r="J162" i="8"/>
  <c r="G162" i="8" s="1"/>
  <c r="H162" i="8" s="1"/>
  <c r="V24" i="5"/>
  <c r="J163" i="8"/>
  <c r="G163" i="8" s="1"/>
  <c r="H163" i="8" s="1"/>
  <c r="V23" i="5"/>
  <c r="J164" i="8"/>
  <c r="G164" i="8" s="1"/>
  <c r="H164" i="8" s="1"/>
  <c r="V22" i="5"/>
  <c r="J165" i="8"/>
  <c r="G165" i="8" s="1"/>
  <c r="H165" i="8" s="1"/>
  <c r="V21" i="5"/>
  <c r="J166" i="8"/>
  <c r="G166" i="8" s="1"/>
  <c r="H166" i="8" s="1"/>
  <c r="V20" i="5"/>
  <c r="J167" i="8"/>
  <c r="G167" i="8" s="1"/>
  <c r="H167" i="8" s="1"/>
  <c r="V19" i="5"/>
  <c r="J168" i="8"/>
  <c r="G168" i="8" s="1"/>
  <c r="H168" i="8" s="1"/>
  <c r="V18" i="5"/>
  <c r="J169" i="8"/>
  <c r="G169" i="8" s="1"/>
  <c r="H169" i="8" s="1"/>
  <c r="V17" i="5"/>
  <c r="J170" i="8"/>
  <c r="G170" i="8" s="1"/>
  <c r="H170" i="8" s="1"/>
  <c r="V16" i="5"/>
  <c r="J171" i="8"/>
  <c r="G171" i="8" s="1"/>
  <c r="H171" i="8" s="1"/>
  <c r="V15" i="5"/>
  <c r="J172" i="8"/>
  <c r="G172" i="8" s="1"/>
  <c r="H172" i="8" s="1"/>
  <c r="V14" i="5"/>
  <c r="J173" i="8"/>
  <c r="G173" i="8" s="1"/>
  <c r="H173" i="8" s="1"/>
  <c r="V13" i="5"/>
  <c r="J747" i="8"/>
  <c r="G747" i="8" s="1"/>
  <c r="H747" i="8" s="1"/>
  <c r="V12" i="5"/>
  <c r="J746" i="8"/>
  <c r="G746" i="8" s="1"/>
  <c r="H746" i="8" s="1"/>
  <c r="V11" i="5"/>
  <c r="J745" i="8"/>
  <c r="G745" i="8" s="1"/>
  <c r="H745" i="8" s="1"/>
  <c r="J744" i="8"/>
  <c r="G744" i="8" s="1"/>
  <c r="H744" i="8" s="1"/>
  <c r="J743" i="8"/>
  <c r="G743" i="8" s="1"/>
  <c r="H743" i="8" s="1"/>
  <c r="J742" i="8"/>
  <c r="G742" i="8" s="1"/>
  <c r="H742" i="8" s="1"/>
  <c r="J741" i="8"/>
  <c r="G741" i="8" s="1"/>
  <c r="H741" i="8" s="1"/>
  <c r="J740" i="8"/>
  <c r="G740" i="8" s="1"/>
  <c r="H740" i="8" s="1"/>
  <c r="J739" i="8"/>
  <c r="G739" i="8" s="1"/>
  <c r="H739" i="8" s="1"/>
  <c r="J738" i="8"/>
  <c r="G738" i="8" s="1"/>
  <c r="H738" i="8" s="1"/>
  <c r="J737" i="8"/>
  <c r="G737" i="8" s="1"/>
  <c r="H737" i="8" s="1"/>
  <c r="J736" i="8"/>
  <c r="G736" i="8" s="1"/>
  <c r="H736" i="8" s="1"/>
  <c r="J735" i="8"/>
  <c r="G735" i="8" s="1"/>
  <c r="H735" i="8" s="1"/>
  <c r="J734" i="8"/>
  <c r="G734" i="8" s="1"/>
  <c r="H734" i="8" s="1"/>
  <c r="J733" i="8"/>
  <c r="G733" i="8" s="1"/>
  <c r="H733" i="8" s="1"/>
  <c r="J732" i="8"/>
  <c r="G732" i="8" s="1"/>
  <c r="H732" i="8" s="1"/>
  <c r="J731" i="8"/>
  <c r="G731" i="8" s="1"/>
  <c r="H731" i="8" s="1"/>
  <c r="J730" i="8"/>
  <c r="G730" i="8" s="1"/>
  <c r="H730" i="8" s="1"/>
  <c r="J729" i="8"/>
  <c r="G729" i="8" s="1"/>
  <c r="H729" i="8" s="1"/>
  <c r="J728" i="8"/>
  <c r="G728" i="8" s="1"/>
  <c r="H728" i="8" s="1"/>
  <c r="J727" i="8"/>
  <c r="G727" i="8" s="1"/>
  <c r="H727" i="8" s="1"/>
  <c r="J726" i="8"/>
  <c r="G726" i="8" s="1"/>
  <c r="H726" i="8" s="1"/>
  <c r="J725" i="8"/>
  <c r="G725" i="8" s="1"/>
  <c r="H725" i="8" s="1"/>
  <c r="J724" i="8"/>
  <c r="G724" i="8" s="1"/>
  <c r="H724" i="8" s="1"/>
  <c r="J723" i="8"/>
  <c r="G723" i="8" s="1"/>
  <c r="H723" i="8" s="1"/>
  <c r="J722" i="8"/>
  <c r="G722" i="8" s="1"/>
  <c r="H722" i="8" s="1"/>
  <c r="V233" i="5"/>
  <c r="V232" i="5"/>
  <c r="V231" i="5"/>
  <c r="V230" i="5"/>
  <c r="V229" i="5"/>
  <c r="V228" i="5"/>
  <c r="V227" i="5"/>
  <c r="V226" i="5"/>
  <c r="V225" i="5"/>
  <c r="V224" i="5"/>
  <c r="V223" i="5"/>
  <c r="V222" i="5"/>
  <c r="V221" i="5"/>
  <c r="V220" i="5"/>
  <c r="V219" i="5"/>
  <c r="V218" i="5"/>
  <c r="V217" i="5"/>
  <c r="J721" i="8"/>
  <c r="G721" i="8" s="1"/>
  <c r="H721" i="8" s="1"/>
  <c r="V215" i="5"/>
  <c r="V214" i="5"/>
  <c r="V213" i="5"/>
  <c r="V212" i="5"/>
  <c r="V211" i="5"/>
  <c r="V210" i="5"/>
  <c r="V209" i="5"/>
  <c r="V208" i="5"/>
  <c r="V207" i="5"/>
  <c r="V206" i="5"/>
  <c r="V205" i="5"/>
  <c r="V204" i="5"/>
  <c r="V203" i="5"/>
  <c r="V202" i="5"/>
  <c r="V201" i="5"/>
  <c r="V200" i="5"/>
  <c r="V199" i="5"/>
  <c r="V198" i="5"/>
  <c r="V197" i="5"/>
  <c r="V196" i="5"/>
  <c r="V195" i="5"/>
  <c r="V194" i="5"/>
  <c r="V193" i="5"/>
  <c r="V192" i="5"/>
  <c r="V191" i="5"/>
  <c r="V190" i="5"/>
  <c r="V189" i="5"/>
  <c r="V188" i="5"/>
  <c r="V187" i="5"/>
  <c r="V186" i="5"/>
  <c r="V185" i="5"/>
  <c r="V184" i="5"/>
  <c r="V183" i="5"/>
  <c r="V182" i="5"/>
  <c r="V181" i="5"/>
  <c r="V180" i="5"/>
  <c r="V179" i="5"/>
  <c r="V178" i="5"/>
  <c r="V177" i="5"/>
  <c r="V176" i="5"/>
  <c r="V175" i="5"/>
  <c r="V174" i="5"/>
  <c r="V173" i="5"/>
  <c r="V172" i="5"/>
  <c r="V171" i="5"/>
  <c r="V170" i="5"/>
  <c r="V169" i="5"/>
  <c r="V168" i="5"/>
  <c r="V167" i="5"/>
  <c r="J720" i="8"/>
  <c r="G720" i="8" s="1"/>
  <c r="H720" i="8" s="1"/>
  <c r="J719" i="8"/>
  <c r="G719" i="8" s="1"/>
  <c r="H719" i="8" s="1"/>
  <c r="J718" i="8"/>
  <c r="G718" i="8" s="1"/>
  <c r="H718" i="8" s="1"/>
  <c r="J717" i="8"/>
  <c r="G717" i="8" s="1"/>
  <c r="H717" i="8" s="1"/>
  <c r="J716" i="8"/>
  <c r="G716" i="8" s="1"/>
  <c r="H716" i="8" s="1"/>
  <c r="J715" i="8"/>
  <c r="G715" i="8" s="1"/>
  <c r="H715" i="8" s="1"/>
  <c r="J714" i="8"/>
  <c r="G714" i="8" s="1"/>
  <c r="H714" i="8" s="1"/>
  <c r="J713" i="8"/>
  <c r="G713" i="8" s="1"/>
  <c r="H713" i="8" s="1"/>
  <c r="J712" i="8"/>
  <c r="G712" i="8" s="1"/>
  <c r="H712" i="8" s="1"/>
  <c r="J711" i="8"/>
  <c r="G711" i="8" s="1"/>
  <c r="H711" i="8" s="1"/>
  <c r="J710" i="8"/>
  <c r="G710" i="8" s="1"/>
  <c r="H710" i="8" s="1"/>
  <c r="J709" i="8"/>
  <c r="G709" i="8" s="1"/>
  <c r="H709" i="8" s="1"/>
  <c r="J708" i="8"/>
  <c r="G708" i="8" s="1"/>
  <c r="H708" i="8" s="1"/>
  <c r="J707" i="8"/>
  <c r="G707" i="8" s="1"/>
  <c r="H707" i="8" s="1"/>
  <c r="J706" i="8"/>
  <c r="G706" i="8" s="1"/>
  <c r="H706" i="8" s="1"/>
  <c r="J705" i="8"/>
  <c r="G705" i="8" s="1"/>
  <c r="H705" i="8" s="1"/>
  <c r="J704" i="8"/>
  <c r="G704" i="8" s="1"/>
  <c r="H704" i="8" s="1"/>
  <c r="J703" i="8"/>
  <c r="G703" i="8" s="1"/>
  <c r="H703" i="8" s="1"/>
  <c r="J702" i="8"/>
  <c r="G702" i="8" s="1"/>
  <c r="H702" i="8" s="1"/>
  <c r="J701" i="8"/>
  <c r="G701" i="8" s="1"/>
  <c r="H701" i="8" s="1"/>
  <c r="J700" i="8"/>
  <c r="G700" i="8" s="1"/>
  <c r="H700" i="8" s="1"/>
  <c r="J699" i="8"/>
  <c r="G699" i="8" s="1"/>
  <c r="H699" i="8" s="1"/>
  <c r="J698" i="8"/>
  <c r="G698" i="8" s="1"/>
  <c r="H698" i="8" s="1"/>
  <c r="J697" i="8"/>
  <c r="G697" i="8" s="1"/>
  <c r="H697" i="8" s="1"/>
  <c r="J696" i="8"/>
  <c r="G696" i="8" s="1"/>
  <c r="H696" i="8" s="1"/>
  <c r="J695" i="8"/>
  <c r="G695" i="8" s="1"/>
  <c r="H695" i="8" s="1"/>
  <c r="J694" i="8"/>
  <c r="G694" i="8" s="1"/>
  <c r="H694" i="8" s="1"/>
  <c r="J693" i="8"/>
  <c r="G693" i="8" s="1"/>
  <c r="H693" i="8" s="1"/>
  <c r="J692" i="8"/>
  <c r="G692" i="8" s="1"/>
  <c r="H692" i="8" s="1"/>
  <c r="V216" i="5"/>
  <c r="G29" i="3"/>
  <c r="B29" i="3"/>
  <c r="C29" i="3"/>
  <c r="D29" i="3"/>
  <c r="E29" i="3"/>
  <c r="F29" i="3"/>
  <c r="B28" i="3"/>
  <c r="C28" i="3"/>
  <c r="E28" i="3"/>
  <c r="F28" i="3"/>
  <c r="D28" i="3"/>
  <c r="G28" i="3"/>
  <c r="D27" i="3"/>
  <c r="E27" i="3"/>
  <c r="F27" i="3"/>
  <c r="G27" i="3"/>
  <c r="B27" i="3"/>
  <c r="C27" i="3"/>
  <c r="B26" i="3"/>
  <c r="C26" i="3"/>
  <c r="D26" i="3"/>
  <c r="E26" i="3"/>
  <c r="F26" i="3"/>
  <c r="G26" i="3"/>
  <c r="E25" i="3"/>
  <c r="D25" i="3"/>
  <c r="C25" i="3"/>
  <c r="B25" i="3"/>
  <c r="G25" i="3"/>
  <c r="F25" i="3"/>
  <c r="F24" i="3"/>
  <c r="G24" i="3"/>
  <c r="E24" i="3"/>
  <c r="D24" i="3"/>
  <c r="C24" i="3"/>
  <c r="B24" i="3"/>
  <c r="M398" i="7" l="1"/>
  <c r="P398" i="7"/>
  <c r="Q398" i="7"/>
  <c r="M397" i="7"/>
  <c r="Q397" i="7"/>
  <c r="P397" i="7"/>
  <c r="P396" i="7"/>
  <c r="Q396" i="7"/>
  <c r="M396" i="7"/>
  <c r="M395" i="7"/>
  <c r="P395" i="7"/>
  <c r="Q395" i="7"/>
  <c r="M394" i="7"/>
  <c r="Q394" i="7"/>
  <c r="P394" i="7"/>
  <c r="M393" i="7"/>
  <c r="P393" i="7"/>
  <c r="Q393" i="7"/>
  <c r="M392" i="7"/>
  <c r="P392" i="7"/>
  <c r="Q392" i="7"/>
  <c r="M391" i="7"/>
  <c r="P391" i="7"/>
  <c r="Q391" i="7"/>
  <c r="M390" i="7"/>
  <c r="P390" i="7"/>
  <c r="Q390" i="7"/>
  <c r="M389" i="7"/>
  <c r="P389" i="7"/>
  <c r="Q389" i="7"/>
  <c r="P388" i="7"/>
  <c r="M388" i="7"/>
  <c r="Q388" i="7"/>
  <c r="M387" i="7"/>
  <c r="P387" i="7"/>
  <c r="Q387" i="7"/>
  <c r="P386" i="7"/>
  <c r="M386" i="7"/>
  <c r="Q386" i="7"/>
  <c r="M385" i="7"/>
  <c r="P385" i="7"/>
  <c r="Q385" i="7"/>
  <c r="M384" i="7"/>
  <c r="P384" i="7"/>
  <c r="Q384" i="7"/>
  <c r="M383" i="7"/>
  <c r="P383" i="7"/>
  <c r="Q383" i="7"/>
  <c r="M382" i="7"/>
  <c r="P382" i="7"/>
  <c r="Q382" i="7"/>
  <c r="M381" i="7"/>
  <c r="P381" i="7"/>
  <c r="Q381" i="7"/>
  <c r="M380" i="7"/>
  <c r="P380" i="7"/>
  <c r="Q380" i="7"/>
  <c r="P379" i="7"/>
  <c r="Q379" i="7"/>
  <c r="M379" i="7"/>
  <c r="M378" i="7"/>
  <c r="P378" i="7"/>
  <c r="Q378" i="7"/>
  <c r="M377" i="7"/>
  <c r="P377" i="7"/>
  <c r="Q377" i="7"/>
  <c r="M376" i="7"/>
  <c r="P376" i="7"/>
  <c r="Q376" i="7"/>
  <c r="M375" i="7"/>
  <c r="P375" i="7"/>
  <c r="Q375" i="7"/>
  <c r="M374" i="7"/>
  <c r="P374" i="7"/>
  <c r="Q374" i="7"/>
  <c r="M373" i="7"/>
  <c r="P373" i="7"/>
  <c r="Q373" i="7"/>
  <c r="M372" i="7"/>
  <c r="P372" i="7"/>
  <c r="Q372" i="7"/>
  <c r="M371" i="7"/>
  <c r="P371" i="7"/>
  <c r="Q371" i="7"/>
  <c r="M370" i="7"/>
  <c r="P370" i="7"/>
  <c r="Q370" i="7"/>
  <c r="M369" i="7"/>
  <c r="P369" i="7"/>
  <c r="Q369" i="7"/>
  <c r="M368" i="7"/>
  <c r="P368" i="7"/>
  <c r="Q368" i="7"/>
  <c r="M367" i="7"/>
  <c r="P367" i="7"/>
  <c r="Q367" i="7"/>
  <c r="M366" i="7"/>
  <c r="P366" i="7"/>
  <c r="Q366" i="7"/>
  <c r="P365" i="7"/>
  <c r="Q365" i="7"/>
  <c r="M365" i="7"/>
  <c r="M364" i="7"/>
  <c r="P364" i="7"/>
  <c r="Q364" i="7"/>
  <c r="P363" i="7"/>
  <c r="Q363" i="7"/>
  <c r="M363" i="7"/>
  <c r="M362" i="7"/>
  <c r="P362" i="7"/>
  <c r="Q362" i="7"/>
  <c r="M361" i="7"/>
  <c r="P361" i="7"/>
  <c r="Q361" i="7"/>
  <c r="M360" i="7"/>
  <c r="P360" i="7"/>
  <c r="Q360" i="7"/>
  <c r="M359" i="7"/>
  <c r="P359" i="7"/>
  <c r="Q359" i="7"/>
  <c r="M358" i="7"/>
  <c r="P358" i="7"/>
  <c r="Q358" i="7"/>
  <c r="P357" i="7"/>
  <c r="M357" i="7"/>
  <c r="Q357" i="7"/>
  <c r="M356" i="7"/>
  <c r="P356" i="7"/>
  <c r="Q356" i="7"/>
  <c r="M355" i="7"/>
  <c r="P355" i="7"/>
  <c r="Q355" i="7"/>
  <c r="M354" i="7"/>
  <c r="P354" i="7"/>
  <c r="Q354" i="7"/>
  <c r="M353" i="7"/>
  <c r="P353" i="7"/>
  <c r="Q353" i="7"/>
  <c r="M352" i="7"/>
  <c r="P352" i="7"/>
  <c r="Q352" i="7"/>
  <c r="M351" i="7"/>
  <c r="P351" i="7"/>
  <c r="Q351" i="7"/>
  <c r="M350" i="7"/>
  <c r="P350" i="7"/>
  <c r="Q350" i="7"/>
  <c r="M349" i="7"/>
  <c r="P349" i="7"/>
  <c r="Q349" i="7"/>
  <c r="M348" i="7"/>
  <c r="P348" i="7"/>
  <c r="Q348" i="7"/>
  <c r="Q173" i="7"/>
  <c r="P173" i="7"/>
  <c r="M173" i="7"/>
  <c r="Q175" i="7"/>
  <c r="P175" i="7"/>
  <c r="M175" i="7"/>
  <c r="M176" i="7"/>
  <c r="P176" i="7"/>
  <c r="Q176" i="7"/>
  <c r="Q172" i="7"/>
  <c r="M172" i="7"/>
  <c r="P172" i="7"/>
  <c r="Q174" i="7"/>
  <c r="P174" i="7"/>
  <c r="M174" i="7"/>
  <c r="M252" i="7"/>
  <c r="Q252" i="7"/>
  <c r="P252" i="7"/>
  <c r="M246" i="7"/>
  <c r="P246" i="7"/>
  <c r="Q246" i="7"/>
  <c r="Q237" i="7"/>
  <c r="P237" i="7"/>
  <c r="M237" i="7"/>
  <c r="M231" i="7"/>
  <c r="P231" i="7"/>
  <c r="Q231" i="7"/>
  <c r="M222" i="7"/>
  <c r="Q222" i="7"/>
  <c r="P222" i="7"/>
  <c r="Q214" i="7"/>
  <c r="M214" i="7"/>
  <c r="P214" i="7"/>
  <c r="Q257" i="7"/>
  <c r="P257" i="7"/>
  <c r="M257" i="7"/>
  <c r="Q243" i="7"/>
  <c r="P243" i="7"/>
  <c r="M243" i="7"/>
  <c r="P235" i="7"/>
  <c r="M235" i="7"/>
  <c r="Q235" i="7"/>
  <c r="P227" i="7"/>
  <c r="M227" i="7"/>
  <c r="Q227" i="7"/>
  <c r="Q219" i="7"/>
  <c r="P219" i="7"/>
  <c r="M219" i="7"/>
  <c r="M254" i="7"/>
  <c r="Q254" i="7"/>
  <c r="P254" i="7"/>
  <c r="M245" i="7"/>
  <c r="P245" i="7"/>
  <c r="Q245" i="7"/>
  <c r="Q240" i="7"/>
  <c r="M240" i="7"/>
  <c r="P240" i="7"/>
  <c r="Q232" i="7"/>
  <c r="M232" i="7"/>
  <c r="P232" i="7"/>
  <c r="M224" i="7"/>
  <c r="Q224" i="7"/>
  <c r="P224" i="7"/>
  <c r="P215" i="7"/>
  <c r="M215" i="7"/>
  <c r="Q215" i="7"/>
  <c r="Q251" i="7"/>
  <c r="M251" i="7"/>
  <c r="P251" i="7"/>
  <c r="Q244" i="7"/>
  <c r="P244" i="7"/>
  <c r="M244" i="7"/>
  <c r="M236" i="7"/>
  <c r="Q236" i="7"/>
  <c r="P236" i="7"/>
  <c r="M228" i="7"/>
  <c r="P228" i="7"/>
  <c r="Q228" i="7"/>
  <c r="Q221" i="7"/>
  <c r="M221" i="7"/>
  <c r="P221" i="7"/>
  <c r="M255" i="7"/>
  <c r="P255" i="7"/>
  <c r="Q255" i="7"/>
  <c r="P247" i="7"/>
  <c r="M247" i="7"/>
  <c r="Q247" i="7"/>
  <c r="P238" i="7"/>
  <c r="M238" i="7"/>
  <c r="Q238" i="7"/>
  <c r="P229" i="7"/>
  <c r="Q229" i="7"/>
  <c r="M229" i="7"/>
  <c r="M223" i="7"/>
  <c r="P223" i="7"/>
  <c r="Q223" i="7"/>
  <c r="Q216" i="7"/>
  <c r="M216" i="7"/>
  <c r="P216" i="7"/>
  <c r="P277" i="7"/>
  <c r="Q277" i="7"/>
  <c r="M277" i="7"/>
  <c r="M276" i="7"/>
  <c r="P276" i="7"/>
  <c r="Q276" i="7"/>
  <c r="Q275" i="7"/>
  <c r="P275" i="7"/>
  <c r="M275" i="7"/>
  <c r="Q274" i="7"/>
  <c r="P274" i="7"/>
  <c r="M274" i="7"/>
  <c r="P273" i="7"/>
  <c r="Q273" i="7"/>
  <c r="M273" i="7"/>
  <c r="P272" i="7"/>
  <c r="Q272" i="7"/>
  <c r="M272" i="7"/>
  <c r="Q271" i="7"/>
  <c r="M271" i="7"/>
  <c r="P271" i="7"/>
  <c r="Q270" i="7"/>
  <c r="M270" i="7"/>
  <c r="P270" i="7"/>
  <c r="Q269" i="7"/>
  <c r="M269" i="7"/>
  <c r="P269" i="7"/>
  <c r="M268" i="7"/>
  <c r="P268" i="7"/>
  <c r="Q268" i="7"/>
  <c r="Q267" i="7"/>
  <c r="P267" i="7"/>
  <c r="M267" i="7"/>
  <c r="M266" i="7"/>
  <c r="P266" i="7"/>
  <c r="Q266" i="7"/>
  <c r="M265" i="7"/>
  <c r="P265" i="7"/>
  <c r="Q265" i="7"/>
  <c r="M264" i="7"/>
  <c r="P264" i="7"/>
  <c r="Q264" i="7"/>
  <c r="P263" i="7"/>
  <c r="Q263" i="7"/>
  <c r="M263" i="7"/>
  <c r="Q262" i="7"/>
  <c r="M262" i="7"/>
  <c r="P262" i="7"/>
  <c r="Q261" i="7"/>
  <c r="M261" i="7"/>
  <c r="P261" i="7"/>
  <c r="Q260" i="7"/>
  <c r="P260" i="7"/>
  <c r="M260" i="7"/>
  <c r="Q259" i="7"/>
  <c r="P259" i="7"/>
  <c r="M259" i="7"/>
  <c r="Q258" i="7"/>
  <c r="P258" i="7"/>
  <c r="M258" i="7"/>
  <c r="Q250" i="7"/>
  <c r="P250" i="7"/>
  <c r="M250" i="7"/>
  <c r="P242" i="7"/>
  <c r="Q242" i="7"/>
  <c r="M242" i="7"/>
  <c r="P234" i="7"/>
  <c r="Q234" i="7"/>
  <c r="M234" i="7"/>
  <c r="P226" i="7"/>
  <c r="Q226" i="7"/>
  <c r="M226" i="7"/>
  <c r="Q218" i="7"/>
  <c r="P218" i="7"/>
  <c r="M218" i="7"/>
  <c r="M253" i="7"/>
  <c r="Q253" i="7"/>
  <c r="P253" i="7"/>
  <c r="P248" i="7"/>
  <c r="M248" i="7"/>
  <c r="Q248" i="7"/>
  <c r="Q239" i="7"/>
  <c r="P239" i="7"/>
  <c r="M239" i="7"/>
  <c r="Q230" i="7"/>
  <c r="P230" i="7"/>
  <c r="M230" i="7"/>
  <c r="Q220" i="7"/>
  <c r="P220" i="7"/>
  <c r="M220" i="7"/>
  <c r="P256" i="7"/>
  <c r="M256" i="7"/>
  <c r="Q256" i="7"/>
  <c r="Q249" i="7"/>
  <c r="P249" i="7"/>
  <c r="M249" i="7"/>
  <c r="M241" i="7"/>
  <c r="P241" i="7"/>
  <c r="Q241" i="7"/>
  <c r="Q233" i="7"/>
  <c r="P233" i="7"/>
  <c r="M233" i="7"/>
  <c r="M225" i="7"/>
  <c r="Q225" i="7"/>
  <c r="P225" i="7"/>
  <c r="Q217" i="7"/>
  <c r="P217" i="7"/>
  <c r="M217" i="7"/>
  <c r="M347" i="7"/>
  <c r="Q347" i="7"/>
  <c r="P347" i="7"/>
  <c r="Q346" i="7"/>
  <c r="P346" i="7"/>
  <c r="M346" i="7"/>
  <c r="P345" i="7"/>
  <c r="M345" i="7"/>
  <c r="Q345" i="7"/>
  <c r="Q344" i="7"/>
  <c r="P344" i="7"/>
  <c r="M344" i="7"/>
  <c r="P343" i="7"/>
  <c r="Q343" i="7"/>
  <c r="M343" i="7"/>
  <c r="P342" i="7"/>
  <c r="M342" i="7"/>
  <c r="Q342" i="7"/>
  <c r="M341" i="7"/>
  <c r="P341" i="7"/>
  <c r="Q341" i="7"/>
  <c r="M340" i="7"/>
  <c r="Q340" i="7"/>
  <c r="P340" i="7"/>
  <c r="M339" i="7"/>
  <c r="P339" i="7"/>
  <c r="Q339" i="7"/>
  <c r="M338" i="7"/>
  <c r="P338" i="7"/>
  <c r="Q338" i="7"/>
  <c r="P337" i="7"/>
  <c r="Q337" i="7"/>
  <c r="M337" i="7"/>
  <c r="M336" i="7"/>
  <c r="Q336" i="7"/>
  <c r="P336" i="7"/>
  <c r="Q335" i="7"/>
  <c r="P335" i="7"/>
  <c r="M335" i="7"/>
  <c r="M334" i="7"/>
  <c r="Q334" i="7"/>
  <c r="P334" i="7"/>
  <c r="P333" i="7"/>
  <c r="Q333" i="7"/>
  <c r="M333" i="7"/>
  <c r="Q332" i="7"/>
  <c r="P332" i="7"/>
  <c r="M332" i="7"/>
  <c r="M331" i="7"/>
  <c r="Q331" i="7"/>
  <c r="P331" i="7"/>
  <c r="M330" i="7"/>
  <c r="Q330" i="7"/>
  <c r="P330" i="7"/>
  <c r="P329" i="7"/>
  <c r="M329" i="7"/>
  <c r="Q329" i="7"/>
  <c r="Q328" i="7"/>
  <c r="P328" i="7"/>
  <c r="M328" i="7"/>
  <c r="M327" i="7"/>
  <c r="P327" i="7"/>
  <c r="Q327" i="7"/>
  <c r="P326" i="7"/>
  <c r="Q326" i="7"/>
  <c r="M326" i="7"/>
  <c r="P325" i="7"/>
  <c r="Q325" i="7"/>
  <c r="M325" i="7"/>
  <c r="Q324" i="7"/>
  <c r="M324" i="7"/>
  <c r="P324" i="7"/>
  <c r="P323" i="7"/>
  <c r="M323" i="7"/>
  <c r="Q323" i="7"/>
  <c r="P322" i="7"/>
  <c r="M322" i="7"/>
  <c r="Q322" i="7"/>
  <c r="Q321" i="7"/>
  <c r="P321" i="7"/>
  <c r="M321" i="7"/>
  <c r="M320" i="7"/>
  <c r="P320" i="7"/>
  <c r="Q320" i="7"/>
  <c r="P319" i="7"/>
  <c r="Q319" i="7"/>
  <c r="M319" i="7"/>
  <c r="Q318" i="7"/>
  <c r="P318" i="7"/>
  <c r="M318" i="7"/>
  <c r="P317" i="7"/>
  <c r="Q317" i="7"/>
  <c r="M317" i="7"/>
  <c r="P316" i="7"/>
  <c r="M316" i="7"/>
  <c r="Q316" i="7"/>
  <c r="Q315" i="7"/>
  <c r="M315" i="7"/>
  <c r="P315" i="7"/>
  <c r="Q314" i="7"/>
  <c r="P314" i="7"/>
  <c r="M314" i="7"/>
  <c r="P313" i="7"/>
  <c r="M313" i="7"/>
  <c r="Q313" i="7"/>
  <c r="P312" i="7"/>
  <c r="M312" i="7"/>
  <c r="Q312" i="7"/>
  <c r="Q311" i="7"/>
  <c r="M311" i="7"/>
  <c r="P311" i="7"/>
  <c r="M310" i="7"/>
  <c r="P310" i="7"/>
  <c r="Q310" i="7"/>
  <c r="P309" i="7"/>
  <c r="M309" i="7"/>
  <c r="Q309" i="7"/>
  <c r="M308" i="7"/>
  <c r="P308" i="7"/>
  <c r="Q308" i="7"/>
  <c r="M307" i="7"/>
  <c r="Q307" i="7"/>
  <c r="P307" i="7"/>
  <c r="M306" i="7"/>
  <c r="P306" i="7"/>
  <c r="Q306" i="7"/>
  <c r="M305" i="7"/>
  <c r="P305" i="7"/>
  <c r="Q305" i="7"/>
  <c r="M304" i="7"/>
  <c r="P304" i="7"/>
  <c r="Q304" i="7"/>
  <c r="M303" i="7"/>
  <c r="P303" i="7"/>
  <c r="Q303" i="7"/>
  <c r="Q302" i="7"/>
  <c r="P302" i="7"/>
  <c r="M302" i="7"/>
  <c r="M301" i="7"/>
  <c r="Q301" i="7"/>
  <c r="P301" i="7"/>
  <c r="M300" i="7"/>
  <c r="P300" i="7"/>
  <c r="Q300" i="7"/>
  <c r="Q299" i="7"/>
  <c r="M299" i="7"/>
  <c r="P299" i="7"/>
  <c r="P298" i="7"/>
  <c r="Q298" i="7"/>
  <c r="M298" i="7"/>
  <c r="M297" i="7"/>
  <c r="P297" i="7"/>
  <c r="Q297" i="7"/>
  <c r="M296" i="7"/>
  <c r="P296" i="7"/>
  <c r="Q296" i="7"/>
  <c r="P295" i="7"/>
  <c r="M295" i="7"/>
  <c r="Q295" i="7"/>
  <c r="M294" i="7"/>
  <c r="P294" i="7"/>
  <c r="Q294" i="7"/>
  <c r="M293" i="7"/>
  <c r="P293" i="7"/>
  <c r="Q293" i="7"/>
  <c r="P292" i="7"/>
  <c r="M292" i="7"/>
  <c r="Q292" i="7"/>
  <c r="M291" i="7"/>
  <c r="P291" i="7"/>
  <c r="Q291" i="7"/>
  <c r="M290" i="7"/>
  <c r="P290" i="7"/>
  <c r="Q290" i="7"/>
  <c r="P289" i="7"/>
  <c r="M289" i="7"/>
  <c r="Q289" i="7"/>
  <c r="Q288" i="7"/>
  <c r="P288" i="7"/>
  <c r="M288" i="7"/>
  <c r="Q287" i="7"/>
  <c r="P287" i="7"/>
  <c r="M287" i="7"/>
  <c r="Q286" i="7"/>
  <c r="M286" i="7"/>
  <c r="P286" i="7"/>
  <c r="Q285" i="7"/>
  <c r="P285" i="7"/>
  <c r="M285" i="7"/>
  <c r="M284" i="7"/>
  <c r="Q284" i="7"/>
  <c r="P284" i="7"/>
  <c r="P283" i="7"/>
  <c r="Q283" i="7"/>
  <c r="M283" i="7"/>
  <c r="Q282" i="7"/>
  <c r="P282" i="7"/>
  <c r="M282" i="7"/>
  <c r="P281" i="7"/>
  <c r="Q281" i="7"/>
  <c r="M281" i="7"/>
  <c r="M280" i="7"/>
  <c r="P280" i="7"/>
  <c r="Q280" i="7"/>
  <c r="M279" i="7"/>
  <c r="P279" i="7"/>
  <c r="Q279" i="7"/>
  <c r="M278" i="7"/>
  <c r="Q278" i="7"/>
  <c r="P278" i="7"/>
  <c r="M207" i="7"/>
  <c r="P207" i="7"/>
  <c r="Q207" i="7"/>
  <c r="M197" i="7"/>
  <c r="P197" i="7"/>
  <c r="Q197" i="7"/>
  <c r="M190" i="7"/>
  <c r="P190" i="7"/>
  <c r="Q190" i="7"/>
  <c r="Q181" i="7"/>
  <c r="P181" i="7"/>
  <c r="M181" i="7"/>
  <c r="M211" i="7"/>
  <c r="P211" i="7"/>
  <c r="Q211" i="7"/>
  <c r="M203" i="7"/>
  <c r="P203" i="7"/>
  <c r="Q203" i="7"/>
  <c r="M196" i="7"/>
  <c r="P196" i="7"/>
  <c r="Q196" i="7"/>
  <c r="P187" i="7"/>
  <c r="Q187" i="7"/>
  <c r="M187" i="7"/>
  <c r="Q180" i="7"/>
  <c r="M180" i="7"/>
  <c r="P180" i="7"/>
  <c r="Q208" i="7"/>
  <c r="M208" i="7"/>
  <c r="P208" i="7"/>
  <c r="M200" i="7"/>
  <c r="P200" i="7"/>
  <c r="Q200" i="7"/>
  <c r="Q192" i="7"/>
  <c r="P192" i="7"/>
  <c r="M192" i="7"/>
  <c r="P184" i="7"/>
  <c r="Q184" i="7"/>
  <c r="M184" i="7"/>
  <c r="P213" i="7"/>
  <c r="Q213" i="7"/>
  <c r="M213" i="7"/>
  <c r="P204" i="7"/>
  <c r="M204" i="7"/>
  <c r="Q204" i="7"/>
  <c r="Q195" i="7"/>
  <c r="P195" i="7"/>
  <c r="M195" i="7"/>
  <c r="P188" i="7"/>
  <c r="Q188" i="7"/>
  <c r="M188" i="7"/>
  <c r="Q179" i="7"/>
  <c r="P179" i="7"/>
  <c r="M179" i="7"/>
  <c r="M206" i="7"/>
  <c r="Q206" i="7"/>
  <c r="P206" i="7"/>
  <c r="P199" i="7"/>
  <c r="Q199" i="7"/>
  <c r="M199" i="7"/>
  <c r="M189" i="7"/>
  <c r="P189" i="7"/>
  <c r="Q189" i="7"/>
  <c r="P182" i="7"/>
  <c r="M182" i="7"/>
  <c r="Q182" i="7"/>
  <c r="M210" i="7"/>
  <c r="P210" i="7"/>
  <c r="Q210" i="7"/>
  <c r="P202" i="7"/>
  <c r="Q202" i="7"/>
  <c r="M202" i="7"/>
  <c r="M194" i="7"/>
  <c r="Q194" i="7"/>
  <c r="P194" i="7"/>
  <c r="M186" i="7"/>
  <c r="P186" i="7"/>
  <c r="Q186" i="7"/>
  <c r="M178" i="7"/>
  <c r="Q178" i="7"/>
  <c r="P178" i="7"/>
  <c r="P212" i="7"/>
  <c r="Q212" i="7"/>
  <c r="M212" i="7"/>
  <c r="Q205" i="7"/>
  <c r="P205" i="7"/>
  <c r="M205" i="7"/>
  <c r="M198" i="7"/>
  <c r="Q198" i="7"/>
  <c r="P198" i="7"/>
  <c r="M191" i="7"/>
  <c r="Q191" i="7"/>
  <c r="P191" i="7"/>
  <c r="Q183" i="7"/>
  <c r="M183" i="7"/>
  <c r="P183" i="7"/>
  <c r="M209" i="7"/>
  <c r="Q209" i="7"/>
  <c r="P209" i="7"/>
  <c r="Q201" i="7"/>
  <c r="P201" i="7"/>
  <c r="M201" i="7"/>
  <c r="Q193" i="7"/>
  <c r="P193" i="7"/>
  <c r="M193" i="7"/>
  <c r="Q185" i="7"/>
  <c r="P185" i="7"/>
  <c r="M185" i="7"/>
  <c r="M177" i="7"/>
  <c r="P177" i="7"/>
  <c r="Q177" i="7"/>
  <c r="M404" i="7"/>
  <c r="P404" i="7"/>
  <c r="Q404" i="7"/>
  <c r="M403" i="7"/>
  <c r="P403" i="7"/>
  <c r="Q403" i="7"/>
  <c r="M402" i="7"/>
  <c r="P402" i="7"/>
  <c r="Q402" i="7"/>
  <c r="M401" i="7"/>
  <c r="P401" i="7"/>
  <c r="Q401" i="7"/>
  <c r="M400" i="7"/>
  <c r="P400" i="7"/>
  <c r="Q400" i="7"/>
  <c r="M399" i="7"/>
  <c r="P399" i="7"/>
  <c r="Q399" i="7"/>
  <c r="M446" i="7"/>
  <c r="P446" i="7"/>
  <c r="Q446" i="7"/>
  <c r="M445" i="7"/>
  <c r="P445" i="7"/>
  <c r="Q445" i="7"/>
  <c r="M444" i="7"/>
  <c r="P444" i="7"/>
  <c r="Q444" i="7"/>
  <c r="M443" i="7"/>
  <c r="P443" i="7"/>
  <c r="Q443" i="7"/>
  <c r="M442" i="7"/>
  <c r="P442" i="7"/>
  <c r="Q442" i="7"/>
  <c r="M441" i="7"/>
  <c r="P441" i="7"/>
  <c r="Q441" i="7"/>
  <c r="M440" i="7"/>
  <c r="P440" i="7"/>
  <c r="Q440" i="7"/>
  <c r="M439" i="7"/>
  <c r="P439" i="7"/>
  <c r="Q439" i="7"/>
  <c r="M438" i="7"/>
  <c r="P438" i="7"/>
  <c r="Q438" i="7"/>
  <c r="M437" i="7"/>
  <c r="P437" i="7"/>
  <c r="Q437" i="7"/>
  <c r="M436" i="7"/>
  <c r="P436" i="7"/>
  <c r="Q436" i="7"/>
  <c r="M435" i="7"/>
  <c r="P435" i="7"/>
  <c r="Q435" i="7"/>
  <c r="M434" i="7"/>
  <c r="P434" i="7"/>
  <c r="Q434" i="7"/>
  <c r="M433" i="7"/>
  <c r="P433" i="7"/>
  <c r="Q433" i="7"/>
  <c r="M432" i="7"/>
  <c r="P432" i="7"/>
  <c r="Q432" i="7"/>
  <c r="M431" i="7"/>
  <c r="P431" i="7"/>
  <c r="Q431" i="7"/>
  <c r="M430" i="7"/>
  <c r="P430" i="7"/>
  <c r="Q430" i="7"/>
  <c r="M429" i="7"/>
  <c r="P429" i="7"/>
  <c r="Q429" i="7"/>
  <c r="M428" i="7"/>
  <c r="P428" i="7"/>
  <c r="Q428" i="7"/>
  <c r="M427" i="7"/>
  <c r="P427" i="7"/>
  <c r="Q427" i="7"/>
  <c r="M426" i="7"/>
  <c r="P426" i="7"/>
  <c r="Q426" i="7"/>
  <c r="M425" i="7"/>
  <c r="P425" i="7"/>
  <c r="Q425" i="7"/>
  <c r="M424" i="7"/>
  <c r="P424" i="7"/>
  <c r="Q424" i="7"/>
  <c r="M423" i="7"/>
  <c r="P423" i="7"/>
  <c r="Q423" i="7"/>
  <c r="M421" i="7"/>
  <c r="P421" i="7"/>
  <c r="Q421" i="7"/>
  <c r="M420" i="7"/>
  <c r="P420" i="7"/>
  <c r="Q420" i="7"/>
  <c r="M419" i="7"/>
  <c r="P419" i="7"/>
  <c r="Q419" i="7"/>
  <c r="M418" i="7"/>
  <c r="P418" i="7"/>
  <c r="Q418" i="7"/>
  <c r="M417" i="7"/>
  <c r="P417" i="7"/>
  <c r="Q417" i="7"/>
  <c r="M416" i="7"/>
  <c r="P416" i="7"/>
  <c r="Q416" i="7"/>
  <c r="M415" i="7"/>
  <c r="P415" i="7"/>
  <c r="Q415" i="7"/>
  <c r="M414" i="7"/>
  <c r="P414" i="7"/>
  <c r="Q414" i="7"/>
  <c r="M422" i="7"/>
  <c r="P422" i="7"/>
  <c r="Q422" i="7"/>
  <c r="M412" i="7"/>
  <c r="P412" i="7"/>
  <c r="Q412" i="7"/>
  <c r="M411" i="7"/>
  <c r="P411" i="7"/>
  <c r="Q411" i="7"/>
  <c r="M410" i="7"/>
  <c r="P410" i="7"/>
  <c r="Q410" i="7"/>
  <c r="M409" i="7"/>
  <c r="P409" i="7"/>
  <c r="Q409" i="7"/>
  <c r="M408" i="7"/>
  <c r="P408" i="7"/>
  <c r="Q408" i="7"/>
  <c r="M407" i="7"/>
  <c r="P407" i="7"/>
  <c r="Q407" i="7"/>
  <c r="M406" i="7"/>
  <c r="P406" i="7"/>
  <c r="Q406" i="7"/>
  <c r="M405" i="7"/>
  <c r="P405" i="7"/>
  <c r="Q405" i="7"/>
  <c r="M413" i="7"/>
  <c r="P413" i="7"/>
  <c r="Q413" i="7"/>
  <c r="M454" i="7"/>
  <c r="P454" i="7"/>
  <c r="Q454" i="7"/>
  <c r="W466" i="5"/>
  <c r="X466" i="5"/>
  <c r="Z466" i="5"/>
  <c r="AA466" i="5" s="1"/>
  <c r="AB466" i="5" s="1"/>
  <c r="AP466" i="5" s="1"/>
  <c r="AC466" i="5"/>
  <c r="AH466" i="5"/>
  <c r="AQ466" i="5" s="1"/>
  <c r="AL466" i="5"/>
  <c r="W465" i="5"/>
  <c r="X465" i="5"/>
  <c r="Z465" i="5"/>
  <c r="AA465" i="5" s="1"/>
  <c r="AB465" i="5" s="1"/>
  <c r="AP465" i="5" s="1"/>
  <c r="AC465" i="5"/>
  <c r="AH465" i="5"/>
  <c r="AQ465" i="5" s="1"/>
  <c r="AL465" i="5"/>
  <c r="W464" i="5"/>
  <c r="X464" i="5"/>
  <c r="Z464" i="5"/>
  <c r="AA464" i="5" s="1"/>
  <c r="AB464" i="5" s="1"/>
  <c r="AP464" i="5" s="1"/>
  <c r="AC464" i="5"/>
  <c r="AH464" i="5"/>
  <c r="AQ464" i="5" s="1"/>
  <c r="AL464" i="5"/>
  <c r="W463" i="5"/>
  <c r="X463" i="5"/>
  <c r="Z463" i="5"/>
  <c r="AA463" i="5" s="1"/>
  <c r="AB463" i="5" s="1"/>
  <c r="AP463" i="5" s="1"/>
  <c r="AC463" i="5"/>
  <c r="AH463" i="5"/>
  <c r="AQ463" i="5" s="1"/>
  <c r="AL463" i="5"/>
  <c r="W462" i="5"/>
  <c r="X462" i="5"/>
  <c r="Z462" i="5"/>
  <c r="AA462" i="5" s="1"/>
  <c r="AB462" i="5" s="1"/>
  <c r="AP462" i="5" s="1"/>
  <c r="AC462" i="5"/>
  <c r="AH462" i="5"/>
  <c r="AQ462" i="5" s="1"/>
  <c r="AL462" i="5"/>
  <c r="W461" i="5"/>
  <c r="X461" i="5"/>
  <c r="Z461" i="5"/>
  <c r="AA461" i="5" s="1"/>
  <c r="AB461" i="5" s="1"/>
  <c r="AP461" i="5" s="1"/>
  <c r="AC461" i="5"/>
  <c r="AH461" i="5"/>
  <c r="AQ461" i="5" s="1"/>
  <c r="AL461" i="5"/>
  <c r="W460" i="5"/>
  <c r="X460" i="5"/>
  <c r="Z460" i="5"/>
  <c r="AA460" i="5" s="1"/>
  <c r="AB460" i="5" s="1"/>
  <c r="AP460" i="5" s="1"/>
  <c r="AC460" i="5"/>
  <c r="AH460" i="5"/>
  <c r="AQ460" i="5" s="1"/>
  <c r="AL460" i="5"/>
  <c r="W459" i="5"/>
  <c r="X459" i="5"/>
  <c r="Z459" i="5"/>
  <c r="AA459" i="5" s="1"/>
  <c r="AB459" i="5" s="1"/>
  <c r="AP459" i="5" s="1"/>
  <c r="AC459" i="5"/>
  <c r="AH459" i="5"/>
  <c r="AQ459" i="5" s="1"/>
  <c r="AL459" i="5"/>
  <c r="W458" i="5"/>
  <c r="X458" i="5"/>
  <c r="Z458" i="5"/>
  <c r="AA458" i="5" s="1"/>
  <c r="AB458" i="5" s="1"/>
  <c r="AP458" i="5" s="1"/>
  <c r="AC458" i="5"/>
  <c r="AH458" i="5"/>
  <c r="AQ458" i="5" s="1"/>
  <c r="AL458" i="5"/>
  <c r="W457" i="5"/>
  <c r="X457" i="5"/>
  <c r="Z457" i="5"/>
  <c r="AA457" i="5" s="1"/>
  <c r="AB457" i="5" s="1"/>
  <c r="AP457" i="5" s="1"/>
  <c r="AC457" i="5"/>
  <c r="AH457" i="5"/>
  <c r="AQ457" i="5" s="1"/>
  <c r="AL457" i="5"/>
  <c r="W456" i="5"/>
  <c r="X456" i="5"/>
  <c r="Z456" i="5"/>
  <c r="AA456" i="5" s="1"/>
  <c r="AB456" i="5" s="1"/>
  <c r="AP456" i="5" s="1"/>
  <c r="AC456" i="5"/>
  <c r="AH456" i="5"/>
  <c r="AQ456" i="5" s="1"/>
  <c r="AL456" i="5"/>
  <c r="W455" i="5"/>
  <c r="X455" i="5"/>
  <c r="Z455" i="5"/>
  <c r="AA455" i="5" s="1"/>
  <c r="AB455" i="5" s="1"/>
  <c r="AP455" i="5" s="1"/>
  <c r="AC455" i="5"/>
  <c r="AH455" i="5"/>
  <c r="AQ455" i="5" s="1"/>
  <c r="AL455" i="5"/>
  <c r="W454" i="5"/>
  <c r="X454" i="5"/>
  <c r="Z454" i="5"/>
  <c r="AA454" i="5" s="1"/>
  <c r="AB454" i="5" s="1"/>
  <c r="AP454" i="5" s="1"/>
  <c r="AC454" i="5"/>
  <c r="AH454" i="5"/>
  <c r="AQ454" i="5" s="1"/>
  <c r="AL454" i="5"/>
  <c r="W453" i="5"/>
  <c r="X453" i="5"/>
  <c r="Z453" i="5"/>
  <c r="AA453" i="5" s="1"/>
  <c r="AB453" i="5" s="1"/>
  <c r="AP453" i="5" s="1"/>
  <c r="AC453" i="5"/>
  <c r="AH453" i="5"/>
  <c r="AQ453" i="5" s="1"/>
  <c r="AL453" i="5"/>
  <c r="W452" i="5"/>
  <c r="X452" i="5"/>
  <c r="Z452" i="5"/>
  <c r="AA452" i="5" s="1"/>
  <c r="AB452" i="5" s="1"/>
  <c r="AP452" i="5" s="1"/>
  <c r="AC452" i="5"/>
  <c r="AH452" i="5"/>
  <c r="AQ452" i="5" s="1"/>
  <c r="AL452" i="5"/>
  <c r="W451" i="5"/>
  <c r="X451" i="5"/>
  <c r="Z451" i="5"/>
  <c r="AA451" i="5" s="1"/>
  <c r="AB451" i="5" s="1"/>
  <c r="AP451" i="5" s="1"/>
  <c r="AC451" i="5"/>
  <c r="AH451" i="5"/>
  <c r="AQ451" i="5" s="1"/>
  <c r="AL451" i="5"/>
  <c r="W450" i="5"/>
  <c r="X450" i="5"/>
  <c r="Z450" i="5"/>
  <c r="AA450" i="5" s="1"/>
  <c r="AB450" i="5" s="1"/>
  <c r="AP450" i="5" s="1"/>
  <c r="AC450" i="5"/>
  <c r="AH450" i="5"/>
  <c r="AQ450" i="5" s="1"/>
  <c r="AL450" i="5"/>
  <c r="W449" i="5"/>
  <c r="X449" i="5"/>
  <c r="Z449" i="5"/>
  <c r="AA449" i="5" s="1"/>
  <c r="AB449" i="5" s="1"/>
  <c r="AP449" i="5" s="1"/>
  <c r="AC449" i="5"/>
  <c r="AH449" i="5"/>
  <c r="AQ449" i="5" s="1"/>
  <c r="AL449" i="5"/>
  <c r="W448" i="5"/>
  <c r="X448" i="5"/>
  <c r="Z448" i="5"/>
  <c r="AA448" i="5" s="1"/>
  <c r="AB448" i="5" s="1"/>
  <c r="AP448" i="5" s="1"/>
  <c r="AC448" i="5"/>
  <c r="AH448" i="5"/>
  <c r="AQ448" i="5" s="1"/>
  <c r="AL448" i="5"/>
  <c r="W447" i="5"/>
  <c r="X447" i="5"/>
  <c r="Z447" i="5"/>
  <c r="AA447" i="5" s="1"/>
  <c r="AB447" i="5" s="1"/>
  <c r="AP447" i="5" s="1"/>
  <c r="AC447" i="5"/>
  <c r="AH447" i="5"/>
  <c r="AQ447" i="5" s="1"/>
  <c r="AL447" i="5"/>
  <c r="W446" i="5"/>
  <c r="X446" i="5"/>
  <c r="Z446" i="5"/>
  <c r="AA446" i="5" s="1"/>
  <c r="AB446" i="5" s="1"/>
  <c r="AP446" i="5" s="1"/>
  <c r="AC446" i="5"/>
  <c r="AH446" i="5"/>
  <c r="AQ446" i="5" s="1"/>
  <c r="AL446" i="5"/>
  <c r="W445" i="5"/>
  <c r="X445" i="5"/>
  <c r="Z445" i="5"/>
  <c r="AA445" i="5" s="1"/>
  <c r="AB445" i="5" s="1"/>
  <c r="AP445" i="5" s="1"/>
  <c r="AC445" i="5"/>
  <c r="AH445" i="5"/>
  <c r="AQ445" i="5" s="1"/>
  <c r="AL445" i="5"/>
  <c r="W444" i="5"/>
  <c r="X444" i="5"/>
  <c r="Z444" i="5"/>
  <c r="AA444" i="5" s="1"/>
  <c r="AB444" i="5" s="1"/>
  <c r="AP444" i="5" s="1"/>
  <c r="AC444" i="5"/>
  <c r="AH444" i="5"/>
  <c r="AQ444" i="5" s="1"/>
  <c r="AL444" i="5"/>
  <c r="W443" i="5"/>
  <c r="X443" i="5"/>
  <c r="Z443" i="5"/>
  <c r="AA443" i="5" s="1"/>
  <c r="AB443" i="5" s="1"/>
  <c r="AP443" i="5" s="1"/>
  <c r="AC443" i="5"/>
  <c r="AH443" i="5"/>
  <c r="AQ443" i="5" s="1"/>
  <c r="AL443" i="5"/>
  <c r="W442" i="5"/>
  <c r="X442" i="5"/>
  <c r="Z442" i="5"/>
  <c r="AA442" i="5" s="1"/>
  <c r="AB442" i="5" s="1"/>
  <c r="AP442" i="5" s="1"/>
  <c r="AC442" i="5"/>
  <c r="AH442" i="5"/>
  <c r="AQ442" i="5" s="1"/>
  <c r="AL442" i="5"/>
  <c r="W441" i="5"/>
  <c r="X441" i="5"/>
  <c r="Z441" i="5"/>
  <c r="AA441" i="5" s="1"/>
  <c r="AB441" i="5" s="1"/>
  <c r="AP441" i="5" s="1"/>
  <c r="AC441" i="5"/>
  <c r="AH441" i="5"/>
  <c r="AQ441" i="5" s="1"/>
  <c r="AL441" i="5"/>
  <c r="W440" i="5"/>
  <c r="X440" i="5"/>
  <c r="Z440" i="5"/>
  <c r="AA440" i="5" s="1"/>
  <c r="AB440" i="5" s="1"/>
  <c r="AP440" i="5" s="1"/>
  <c r="AC440" i="5"/>
  <c r="AH440" i="5"/>
  <c r="AQ440" i="5" s="1"/>
  <c r="AL440" i="5"/>
  <c r="W439" i="5"/>
  <c r="X439" i="5"/>
  <c r="Z439" i="5"/>
  <c r="AA439" i="5" s="1"/>
  <c r="AB439" i="5" s="1"/>
  <c r="AP439" i="5" s="1"/>
  <c r="AC439" i="5"/>
  <c r="AH439" i="5"/>
  <c r="AQ439" i="5" s="1"/>
  <c r="AL439" i="5"/>
  <c r="W438" i="5"/>
  <c r="X438" i="5"/>
  <c r="Z438" i="5"/>
  <c r="AA438" i="5" s="1"/>
  <c r="AB438" i="5" s="1"/>
  <c r="AP438" i="5" s="1"/>
  <c r="AC438" i="5"/>
  <c r="AH438" i="5"/>
  <c r="AQ438" i="5" s="1"/>
  <c r="AL438" i="5"/>
  <c r="W437" i="5"/>
  <c r="X437" i="5"/>
  <c r="Z437" i="5"/>
  <c r="AA437" i="5" s="1"/>
  <c r="AB437" i="5" s="1"/>
  <c r="AP437" i="5" s="1"/>
  <c r="AC437" i="5"/>
  <c r="AH437" i="5"/>
  <c r="AQ437" i="5" s="1"/>
  <c r="AL437" i="5"/>
  <c r="W436" i="5"/>
  <c r="X436" i="5"/>
  <c r="Z436" i="5"/>
  <c r="AA436" i="5" s="1"/>
  <c r="AB436" i="5" s="1"/>
  <c r="AP436" i="5" s="1"/>
  <c r="AC436" i="5"/>
  <c r="AH436" i="5"/>
  <c r="AQ436" i="5" s="1"/>
  <c r="AL436" i="5"/>
  <c r="W435" i="5"/>
  <c r="X435" i="5"/>
  <c r="Z435" i="5"/>
  <c r="AA435" i="5" s="1"/>
  <c r="AB435" i="5" s="1"/>
  <c r="AP435" i="5" s="1"/>
  <c r="AC435" i="5"/>
  <c r="AH435" i="5"/>
  <c r="AQ435" i="5" s="1"/>
  <c r="AL435" i="5"/>
  <c r="W434" i="5"/>
  <c r="X434" i="5"/>
  <c r="Z434" i="5"/>
  <c r="AA434" i="5" s="1"/>
  <c r="AB434" i="5" s="1"/>
  <c r="AP434" i="5" s="1"/>
  <c r="AC434" i="5"/>
  <c r="AH434" i="5"/>
  <c r="AQ434" i="5" s="1"/>
  <c r="AL434" i="5"/>
  <c r="W433" i="5"/>
  <c r="X433" i="5"/>
  <c r="Z433" i="5"/>
  <c r="AA433" i="5" s="1"/>
  <c r="AB433" i="5" s="1"/>
  <c r="AP433" i="5" s="1"/>
  <c r="AC433" i="5"/>
  <c r="AH433" i="5"/>
  <c r="AQ433" i="5" s="1"/>
  <c r="AL433" i="5"/>
  <c r="W432" i="5"/>
  <c r="X432" i="5"/>
  <c r="Z432" i="5"/>
  <c r="AA432" i="5" s="1"/>
  <c r="AB432" i="5" s="1"/>
  <c r="AP432" i="5" s="1"/>
  <c r="AC432" i="5"/>
  <c r="AH432" i="5"/>
  <c r="AQ432" i="5" s="1"/>
  <c r="AL432" i="5"/>
  <c r="W431" i="5"/>
  <c r="X431" i="5"/>
  <c r="Z431" i="5"/>
  <c r="AA431" i="5" s="1"/>
  <c r="AB431" i="5" s="1"/>
  <c r="AP431" i="5" s="1"/>
  <c r="AC431" i="5"/>
  <c r="AH431" i="5"/>
  <c r="AQ431" i="5" s="1"/>
  <c r="AL431" i="5"/>
  <c r="W430" i="5"/>
  <c r="X430" i="5"/>
  <c r="Z430" i="5"/>
  <c r="AA430" i="5" s="1"/>
  <c r="AB430" i="5" s="1"/>
  <c r="AP430" i="5" s="1"/>
  <c r="AC430" i="5"/>
  <c r="AH430" i="5"/>
  <c r="AQ430" i="5" s="1"/>
  <c r="AL430" i="5"/>
  <c r="W429" i="5"/>
  <c r="X429" i="5"/>
  <c r="Z429" i="5"/>
  <c r="AA429" i="5" s="1"/>
  <c r="AB429" i="5" s="1"/>
  <c r="AP429" i="5" s="1"/>
  <c r="AC429" i="5"/>
  <c r="AH429" i="5"/>
  <c r="AQ429" i="5" s="1"/>
  <c r="AL429" i="5"/>
  <c r="W428" i="5"/>
  <c r="X428" i="5"/>
  <c r="Z428" i="5"/>
  <c r="AA428" i="5" s="1"/>
  <c r="AB428" i="5" s="1"/>
  <c r="AP428" i="5" s="1"/>
  <c r="AC428" i="5"/>
  <c r="AH428" i="5"/>
  <c r="AQ428" i="5" s="1"/>
  <c r="AL428" i="5"/>
  <c r="W427" i="5"/>
  <c r="X427" i="5"/>
  <c r="Z427" i="5"/>
  <c r="AA427" i="5" s="1"/>
  <c r="AB427" i="5" s="1"/>
  <c r="AP427" i="5" s="1"/>
  <c r="AC427" i="5"/>
  <c r="AH427" i="5"/>
  <c r="AQ427" i="5" s="1"/>
  <c r="AL427" i="5"/>
  <c r="W426" i="5"/>
  <c r="X426" i="5"/>
  <c r="Z426" i="5"/>
  <c r="AA426" i="5" s="1"/>
  <c r="AB426" i="5" s="1"/>
  <c r="AP426" i="5" s="1"/>
  <c r="AC426" i="5"/>
  <c r="AH426" i="5"/>
  <c r="AQ426" i="5" s="1"/>
  <c r="AL426" i="5"/>
  <c r="W425" i="5"/>
  <c r="X425" i="5"/>
  <c r="Z425" i="5"/>
  <c r="AA425" i="5" s="1"/>
  <c r="AB425" i="5" s="1"/>
  <c r="AP425" i="5" s="1"/>
  <c r="AC425" i="5"/>
  <c r="AH425" i="5"/>
  <c r="AQ425" i="5" s="1"/>
  <c r="AL425" i="5"/>
  <c r="W424" i="5"/>
  <c r="X424" i="5"/>
  <c r="Z424" i="5"/>
  <c r="AA424" i="5" s="1"/>
  <c r="AB424" i="5" s="1"/>
  <c r="AP424" i="5" s="1"/>
  <c r="AC424" i="5"/>
  <c r="AH424" i="5"/>
  <c r="AQ424" i="5" s="1"/>
  <c r="AL424" i="5"/>
  <c r="W423" i="5"/>
  <c r="X423" i="5"/>
  <c r="Z423" i="5"/>
  <c r="AA423" i="5" s="1"/>
  <c r="AB423" i="5" s="1"/>
  <c r="AP423" i="5" s="1"/>
  <c r="AC423" i="5"/>
  <c r="AH423" i="5"/>
  <c r="AQ423" i="5" s="1"/>
  <c r="AL423" i="5"/>
  <c r="W422" i="5"/>
  <c r="X422" i="5"/>
  <c r="Z422" i="5"/>
  <c r="AA422" i="5" s="1"/>
  <c r="AB422" i="5" s="1"/>
  <c r="AP422" i="5" s="1"/>
  <c r="AC422" i="5"/>
  <c r="AH422" i="5"/>
  <c r="AQ422" i="5" s="1"/>
  <c r="AL422" i="5"/>
  <c r="W421" i="5"/>
  <c r="X421" i="5"/>
  <c r="Z421" i="5"/>
  <c r="AA421" i="5" s="1"/>
  <c r="AB421" i="5" s="1"/>
  <c r="AP421" i="5" s="1"/>
  <c r="AC421" i="5"/>
  <c r="AH421" i="5"/>
  <c r="AQ421" i="5" s="1"/>
  <c r="AL421" i="5"/>
  <c r="W420" i="5"/>
  <c r="X420" i="5"/>
  <c r="Z420" i="5"/>
  <c r="AA420" i="5" s="1"/>
  <c r="AB420" i="5" s="1"/>
  <c r="AP420" i="5" s="1"/>
  <c r="AC420" i="5"/>
  <c r="AH420" i="5"/>
  <c r="AQ420" i="5" s="1"/>
  <c r="AL420" i="5"/>
  <c r="W419" i="5"/>
  <c r="X419" i="5"/>
  <c r="Z419" i="5"/>
  <c r="AA419" i="5" s="1"/>
  <c r="AB419" i="5" s="1"/>
  <c r="AP419" i="5" s="1"/>
  <c r="AC419" i="5"/>
  <c r="AH419" i="5"/>
  <c r="AQ419" i="5" s="1"/>
  <c r="AL419" i="5"/>
  <c r="W418" i="5"/>
  <c r="X418" i="5"/>
  <c r="Z418" i="5"/>
  <c r="AA418" i="5" s="1"/>
  <c r="AB418" i="5" s="1"/>
  <c r="AP418" i="5" s="1"/>
  <c r="AC418" i="5"/>
  <c r="AH418" i="5"/>
  <c r="AQ418" i="5" s="1"/>
  <c r="AL418" i="5"/>
  <c r="W417" i="5"/>
  <c r="X417" i="5"/>
  <c r="Z417" i="5"/>
  <c r="AA417" i="5" s="1"/>
  <c r="AB417" i="5" s="1"/>
  <c r="AP417" i="5" s="1"/>
  <c r="AC417" i="5"/>
  <c r="AH417" i="5"/>
  <c r="AQ417" i="5" s="1"/>
  <c r="AL417" i="5"/>
  <c r="W416" i="5"/>
  <c r="X416" i="5"/>
  <c r="Z416" i="5"/>
  <c r="AA416" i="5" s="1"/>
  <c r="AB416" i="5" s="1"/>
  <c r="AP416" i="5" s="1"/>
  <c r="AC416" i="5"/>
  <c r="AH416" i="5"/>
  <c r="AQ416" i="5" s="1"/>
  <c r="AL416" i="5"/>
  <c r="W415" i="5"/>
  <c r="X415" i="5"/>
  <c r="Z415" i="5"/>
  <c r="AA415" i="5" s="1"/>
  <c r="AB415" i="5" s="1"/>
  <c r="AP415" i="5" s="1"/>
  <c r="AC415" i="5"/>
  <c r="AH415" i="5"/>
  <c r="AQ415" i="5" s="1"/>
  <c r="AL415" i="5"/>
  <c r="W414" i="5"/>
  <c r="X414" i="5"/>
  <c r="Z414" i="5"/>
  <c r="AA414" i="5" s="1"/>
  <c r="AB414" i="5" s="1"/>
  <c r="AP414" i="5" s="1"/>
  <c r="AC414" i="5"/>
  <c r="AH414" i="5"/>
  <c r="AQ414" i="5" s="1"/>
  <c r="AL414" i="5"/>
  <c r="W413" i="5"/>
  <c r="X413" i="5"/>
  <c r="Z413" i="5"/>
  <c r="AA413" i="5" s="1"/>
  <c r="AB413" i="5" s="1"/>
  <c r="AP413" i="5" s="1"/>
  <c r="AC413" i="5"/>
  <c r="AH413" i="5"/>
  <c r="AQ413" i="5" s="1"/>
  <c r="AL413" i="5"/>
  <c r="W412" i="5"/>
  <c r="X412" i="5"/>
  <c r="Z412" i="5"/>
  <c r="AA412" i="5" s="1"/>
  <c r="AB412" i="5" s="1"/>
  <c r="AP412" i="5" s="1"/>
  <c r="AC412" i="5"/>
  <c r="AH412" i="5"/>
  <c r="AQ412" i="5" s="1"/>
  <c r="AL412" i="5"/>
  <c r="W411" i="5"/>
  <c r="X411" i="5"/>
  <c r="Z411" i="5"/>
  <c r="AA411" i="5" s="1"/>
  <c r="AB411" i="5" s="1"/>
  <c r="AP411" i="5" s="1"/>
  <c r="AC411" i="5"/>
  <c r="AH411" i="5"/>
  <c r="AQ411" i="5" s="1"/>
  <c r="AL411" i="5"/>
  <c r="W410" i="5"/>
  <c r="X410" i="5"/>
  <c r="Z410" i="5"/>
  <c r="AA410" i="5" s="1"/>
  <c r="AB410" i="5" s="1"/>
  <c r="AP410" i="5" s="1"/>
  <c r="AC410" i="5"/>
  <c r="AH410" i="5"/>
  <c r="AQ410" i="5" s="1"/>
  <c r="AL410" i="5"/>
  <c r="W409" i="5"/>
  <c r="X409" i="5"/>
  <c r="Z409" i="5"/>
  <c r="AA409" i="5" s="1"/>
  <c r="AB409" i="5" s="1"/>
  <c r="AP409" i="5" s="1"/>
  <c r="AC409" i="5"/>
  <c r="AH409" i="5"/>
  <c r="AQ409" i="5" s="1"/>
  <c r="AL409" i="5"/>
  <c r="W408" i="5"/>
  <c r="X408" i="5"/>
  <c r="Z408" i="5"/>
  <c r="AA408" i="5" s="1"/>
  <c r="AB408" i="5" s="1"/>
  <c r="AP408" i="5" s="1"/>
  <c r="AC408" i="5"/>
  <c r="AH408" i="5"/>
  <c r="AQ408" i="5" s="1"/>
  <c r="AL408" i="5"/>
  <c r="W407" i="5"/>
  <c r="X407" i="5"/>
  <c r="Z407" i="5"/>
  <c r="AA407" i="5" s="1"/>
  <c r="AB407" i="5" s="1"/>
  <c r="AP407" i="5" s="1"/>
  <c r="AC407" i="5"/>
  <c r="AH407" i="5"/>
  <c r="AQ407" i="5" s="1"/>
  <c r="AL407" i="5"/>
  <c r="W406" i="5"/>
  <c r="X406" i="5"/>
  <c r="Z406" i="5"/>
  <c r="AA406" i="5" s="1"/>
  <c r="AB406" i="5" s="1"/>
  <c r="AP406" i="5" s="1"/>
  <c r="AC406" i="5"/>
  <c r="AH406" i="5"/>
  <c r="AQ406" i="5" s="1"/>
  <c r="AL406" i="5"/>
  <c r="W405" i="5"/>
  <c r="X405" i="5"/>
  <c r="Z405" i="5"/>
  <c r="AA405" i="5" s="1"/>
  <c r="AB405" i="5" s="1"/>
  <c r="AP405" i="5" s="1"/>
  <c r="AC405" i="5"/>
  <c r="AH405" i="5"/>
  <c r="AQ405" i="5" s="1"/>
  <c r="AL405" i="5"/>
  <c r="W404" i="5"/>
  <c r="X404" i="5"/>
  <c r="Z404" i="5"/>
  <c r="AA404" i="5" s="1"/>
  <c r="AB404" i="5" s="1"/>
  <c r="AP404" i="5" s="1"/>
  <c r="AC404" i="5"/>
  <c r="AH404" i="5"/>
  <c r="AQ404" i="5" s="1"/>
  <c r="AL404" i="5"/>
  <c r="W403" i="5"/>
  <c r="X403" i="5"/>
  <c r="Z403" i="5"/>
  <c r="AA403" i="5" s="1"/>
  <c r="AB403" i="5" s="1"/>
  <c r="AP403" i="5" s="1"/>
  <c r="AC403" i="5"/>
  <c r="AH403" i="5"/>
  <c r="AQ403" i="5" s="1"/>
  <c r="AL403" i="5"/>
  <c r="W402" i="5"/>
  <c r="X402" i="5"/>
  <c r="Z402" i="5"/>
  <c r="AA402" i="5" s="1"/>
  <c r="AB402" i="5" s="1"/>
  <c r="AP402" i="5" s="1"/>
  <c r="AC402" i="5"/>
  <c r="AH402" i="5"/>
  <c r="AQ402" i="5" s="1"/>
  <c r="AL402" i="5"/>
  <c r="M478" i="7"/>
  <c r="P478" i="7"/>
  <c r="Q478" i="7"/>
  <c r="M453" i="7"/>
  <c r="P453" i="7"/>
  <c r="Q453" i="7"/>
  <c r="M452" i="7"/>
  <c r="P452" i="7"/>
  <c r="Q452" i="7"/>
  <c r="M451" i="7"/>
  <c r="P451" i="7"/>
  <c r="Q451" i="7"/>
  <c r="M450" i="7"/>
  <c r="P450" i="7"/>
  <c r="Q450" i="7"/>
  <c r="M449" i="7"/>
  <c r="P449" i="7"/>
  <c r="Q449" i="7"/>
  <c r="M448" i="7"/>
  <c r="P448" i="7"/>
  <c r="Q448" i="7"/>
  <c r="M447" i="7"/>
  <c r="P447" i="7"/>
  <c r="Q447" i="7"/>
  <c r="M455" i="7"/>
  <c r="P455" i="7"/>
  <c r="Q455" i="7"/>
  <c r="M456" i="7"/>
  <c r="P456" i="7"/>
  <c r="Q456" i="7"/>
  <c r="M457" i="7"/>
  <c r="P457" i="7"/>
  <c r="Q457" i="7"/>
  <c r="M458" i="7"/>
  <c r="P458" i="7"/>
  <c r="Q458" i="7"/>
  <c r="M459" i="7"/>
  <c r="P459" i="7"/>
  <c r="Q459" i="7"/>
  <c r="M460" i="7"/>
  <c r="P460" i="7"/>
  <c r="Q460" i="7"/>
  <c r="M461" i="7"/>
  <c r="P461" i="7"/>
  <c r="Q461" i="7"/>
  <c r="M462" i="7"/>
  <c r="P462" i="7"/>
  <c r="Q462" i="7"/>
  <c r="M463" i="7"/>
  <c r="P463" i="7"/>
  <c r="Q463" i="7"/>
  <c r="M464" i="7"/>
  <c r="P464" i="7"/>
  <c r="Q464" i="7"/>
  <c r="M465" i="7"/>
  <c r="P465" i="7"/>
  <c r="Q465" i="7"/>
  <c r="M466" i="7"/>
  <c r="P466" i="7"/>
  <c r="Q466" i="7"/>
  <c r="M467" i="7"/>
  <c r="P467" i="7"/>
  <c r="Q467" i="7"/>
  <c r="M468" i="7"/>
  <c r="P468" i="7"/>
  <c r="Q468" i="7"/>
  <c r="M469" i="7"/>
  <c r="P469" i="7"/>
  <c r="Q469" i="7"/>
  <c r="M470" i="7"/>
  <c r="P470" i="7"/>
  <c r="Q470" i="7"/>
  <c r="M471" i="7"/>
  <c r="P471" i="7"/>
  <c r="Q471" i="7"/>
  <c r="M472" i="7"/>
  <c r="P472" i="7"/>
  <c r="Q472" i="7"/>
  <c r="M473" i="7"/>
  <c r="P473" i="7"/>
  <c r="Q473" i="7"/>
  <c r="M474" i="7"/>
  <c r="P474" i="7"/>
  <c r="Q474" i="7"/>
  <c r="M475" i="7"/>
  <c r="P475" i="7"/>
  <c r="Q475" i="7"/>
  <c r="M476" i="7"/>
  <c r="P476" i="7"/>
  <c r="Q476" i="7"/>
  <c r="M477" i="7"/>
  <c r="P477" i="7"/>
  <c r="Q477" i="7"/>
  <c r="X66" i="5"/>
  <c r="W66" i="5"/>
  <c r="AH66" i="5"/>
  <c r="AQ66" i="5" s="1"/>
  <c r="AI66" i="5"/>
  <c r="AL66" i="5"/>
  <c r="L27" i="7"/>
  <c r="N27" i="7"/>
  <c r="G24" i="8"/>
  <c r="H24" i="8" s="1"/>
  <c r="I24" i="8"/>
  <c r="G25" i="8"/>
  <c r="I25" i="8"/>
  <c r="G26" i="8"/>
  <c r="I26" i="8"/>
  <c r="G27" i="8"/>
  <c r="I27" i="8"/>
  <c r="G28" i="8"/>
  <c r="H28" i="8" s="1"/>
  <c r="I28" i="8"/>
  <c r="G29" i="8"/>
  <c r="H29" i="8" s="1"/>
  <c r="I29" i="8"/>
  <c r="G30" i="8"/>
  <c r="H30" i="8" s="1"/>
  <c r="I30" i="8"/>
  <c r="G31" i="8"/>
  <c r="H31" i="8" s="1"/>
  <c r="I31" i="8"/>
  <c r="G32" i="8"/>
  <c r="H32" i="8" s="1"/>
  <c r="I32" i="8"/>
  <c r="G33" i="8"/>
  <c r="H33" i="8" s="1"/>
  <c r="I33" i="8"/>
  <c r="G34" i="8"/>
  <c r="H34" i="8" s="1"/>
  <c r="I34" i="8"/>
  <c r="G35" i="8"/>
  <c r="H35" i="8" s="1"/>
  <c r="I35" i="8"/>
  <c r="G36" i="8"/>
  <c r="H36" i="8" s="1"/>
  <c r="I36" i="8"/>
  <c r="G37" i="8"/>
  <c r="H37" i="8" s="1"/>
  <c r="I37" i="8"/>
  <c r="G38" i="8"/>
  <c r="H38" i="8" s="1"/>
  <c r="I38" i="8"/>
  <c r="G39" i="8"/>
  <c r="H39" i="8" s="1"/>
  <c r="I39" i="8"/>
  <c r="G40" i="8"/>
  <c r="H40" i="8" s="1"/>
  <c r="I40" i="8"/>
  <c r="G41" i="8"/>
  <c r="H41" i="8" s="1"/>
  <c r="I41" i="8"/>
  <c r="G42" i="8"/>
  <c r="H42" i="8" s="1"/>
  <c r="I42" i="8"/>
  <c r="G43" i="8"/>
  <c r="H43" i="8" s="1"/>
  <c r="I43" i="8"/>
  <c r="G44" i="8"/>
  <c r="H44" i="8" s="1"/>
  <c r="I44" i="8"/>
  <c r="G45" i="8"/>
  <c r="H45" i="8" s="1"/>
  <c r="I45" i="8"/>
  <c r="G46" i="8"/>
  <c r="H46" i="8" s="1"/>
  <c r="I46" i="8"/>
  <c r="G47" i="8"/>
  <c r="H47" i="8" s="1"/>
  <c r="I47" i="8"/>
  <c r="G48" i="8"/>
  <c r="H48" i="8" s="1"/>
  <c r="I48" i="8"/>
  <c r="G49" i="8"/>
  <c r="H49" i="8" s="1"/>
  <c r="I49" i="8"/>
  <c r="G50" i="8"/>
  <c r="H50" i="8" s="1"/>
  <c r="I50" i="8"/>
  <c r="G51" i="8"/>
  <c r="G72" i="8"/>
  <c r="H72" i="8" s="1"/>
  <c r="I72" i="8"/>
  <c r="G52" i="8"/>
  <c r="H52" i="8" s="1"/>
  <c r="I52" i="8"/>
  <c r="G53" i="8"/>
  <c r="H53" i="8" s="1"/>
  <c r="I53" i="8"/>
  <c r="G54" i="8"/>
  <c r="H54" i="8" s="1"/>
  <c r="I54" i="8"/>
  <c r="G55" i="8"/>
  <c r="H55" i="8" s="1"/>
  <c r="I55" i="8"/>
  <c r="G56" i="8"/>
  <c r="H56" i="8" s="1"/>
  <c r="I56" i="8"/>
  <c r="G57" i="8"/>
  <c r="H57" i="8" s="1"/>
  <c r="I57" i="8"/>
  <c r="G58" i="8"/>
  <c r="H58" i="8" s="1"/>
  <c r="I58" i="8"/>
  <c r="G59" i="8"/>
  <c r="H59" i="8" s="1"/>
  <c r="I59" i="8"/>
  <c r="G60" i="8"/>
  <c r="H60" i="8" s="1"/>
  <c r="I60" i="8"/>
  <c r="G61" i="8"/>
  <c r="H61" i="8" s="1"/>
  <c r="I61" i="8"/>
  <c r="G62" i="8"/>
  <c r="I62" i="8"/>
  <c r="G63" i="8"/>
  <c r="I63" i="8" s="1"/>
  <c r="G64" i="8"/>
  <c r="I64" i="8"/>
  <c r="G65" i="8"/>
  <c r="I65" i="8"/>
  <c r="G66" i="8"/>
  <c r="I66" i="8"/>
  <c r="G67" i="8"/>
  <c r="H67" i="8" s="1"/>
  <c r="I67" i="8"/>
  <c r="G68" i="8"/>
  <c r="H68" i="8" s="1"/>
  <c r="I68" i="8"/>
  <c r="G69" i="8"/>
  <c r="I69" i="8"/>
  <c r="G70" i="8"/>
  <c r="H70" i="8" s="1"/>
  <c r="I70" i="8"/>
  <c r="G71" i="8"/>
  <c r="H71" i="8" s="1"/>
  <c r="I71" i="8"/>
  <c r="L84" i="7"/>
  <c r="N84" i="7"/>
  <c r="L83" i="7"/>
  <c r="N83" i="7"/>
  <c r="L82" i="7"/>
  <c r="N82" i="7"/>
  <c r="L81" i="7"/>
  <c r="N81" i="7"/>
  <c r="L80" i="7"/>
  <c r="N80" i="7"/>
  <c r="L79" i="7"/>
  <c r="N79" i="7"/>
  <c r="L78" i="7"/>
  <c r="N78" i="7"/>
  <c r="L77" i="7"/>
  <c r="N77" i="7"/>
  <c r="L76" i="7"/>
  <c r="N76" i="7"/>
  <c r="L75" i="7"/>
  <c r="N75" i="7"/>
  <c r="L74" i="7"/>
  <c r="N74" i="7"/>
  <c r="L73" i="7"/>
  <c r="N73" i="7"/>
  <c r="L72" i="7"/>
  <c r="N72" i="7"/>
  <c r="L71" i="7"/>
  <c r="N71" i="7"/>
  <c r="L70" i="7"/>
  <c r="N70" i="7"/>
  <c r="L69" i="7"/>
  <c r="N69" i="7"/>
  <c r="L68" i="7"/>
  <c r="N68" i="7"/>
  <c r="L67" i="7"/>
  <c r="N67" i="7"/>
  <c r="L66" i="7"/>
  <c r="N66" i="7"/>
  <c r="L65" i="7"/>
  <c r="N65" i="7"/>
  <c r="L64" i="7"/>
  <c r="N64" i="7"/>
  <c r="L63" i="7"/>
  <c r="N63" i="7"/>
  <c r="L62" i="7"/>
  <c r="N62" i="7"/>
  <c r="L61" i="7"/>
  <c r="N61" i="7"/>
  <c r="L60" i="7"/>
  <c r="N60" i="7"/>
  <c r="L59" i="7"/>
  <c r="N59" i="7"/>
  <c r="L58" i="7"/>
  <c r="N58" i="7"/>
  <c r="L57" i="7"/>
  <c r="N57" i="7"/>
  <c r="L56" i="7"/>
  <c r="N56" i="7"/>
  <c r="L55" i="7"/>
  <c r="N55" i="7"/>
  <c r="L54" i="7"/>
  <c r="N54" i="7"/>
  <c r="L53" i="7"/>
  <c r="N53" i="7"/>
  <c r="L52" i="7"/>
  <c r="N52" i="7"/>
  <c r="L51" i="7"/>
  <c r="N51" i="7"/>
  <c r="L50" i="7"/>
  <c r="N50" i="7"/>
  <c r="L49" i="7"/>
  <c r="N49" i="7"/>
  <c r="L48" i="7"/>
  <c r="N48" i="7"/>
  <c r="L47" i="7"/>
  <c r="N47" i="7"/>
  <c r="L46" i="7"/>
  <c r="N46" i="7"/>
  <c r="L45" i="7"/>
  <c r="N45" i="7"/>
  <c r="L44" i="7"/>
  <c r="N44" i="7"/>
  <c r="L43" i="7"/>
  <c r="N43" i="7"/>
  <c r="L42" i="7"/>
  <c r="N42" i="7"/>
  <c r="L41" i="7"/>
  <c r="N41" i="7"/>
  <c r="L40" i="7"/>
  <c r="N40" i="7"/>
  <c r="L39" i="7"/>
  <c r="N39" i="7"/>
  <c r="L38" i="7"/>
  <c r="N38" i="7"/>
  <c r="L37" i="7"/>
  <c r="N37" i="7"/>
  <c r="L36" i="7"/>
  <c r="N36" i="7"/>
  <c r="L35" i="7"/>
  <c r="N35" i="7"/>
  <c r="L34" i="7"/>
  <c r="N34" i="7"/>
  <c r="L33" i="7"/>
  <c r="N33" i="7"/>
  <c r="L32" i="7"/>
  <c r="N32" i="7"/>
  <c r="L31" i="7"/>
  <c r="N31" i="7"/>
  <c r="L30" i="7"/>
  <c r="N30" i="7"/>
  <c r="L29" i="7"/>
  <c r="N29" i="7"/>
  <c r="L28" i="7"/>
  <c r="N28" i="7"/>
  <c r="L26" i="7"/>
  <c r="N26" i="7"/>
  <c r="L25" i="7"/>
  <c r="N25" i="7"/>
  <c r="L24" i="7"/>
  <c r="N24" i="7"/>
  <c r="L23" i="7"/>
  <c r="N23" i="7"/>
  <c r="L22" i="7"/>
  <c r="N22" i="7"/>
  <c r="L21" i="7"/>
  <c r="N21" i="7"/>
  <c r="L20" i="7"/>
  <c r="N20" i="7"/>
  <c r="L19" i="7"/>
  <c r="N19" i="7"/>
  <c r="L18" i="7"/>
  <c r="N18" i="7"/>
  <c r="L17" i="7"/>
  <c r="N17" i="7"/>
  <c r="L16" i="7"/>
  <c r="N16" i="7"/>
  <c r="L15" i="7"/>
  <c r="N15" i="7"/>
  <c r="L14" i="7"/>
  <c r="N14" i="7"/>
  <c r="L13" i="7"/>
  <c r="N13" i="7"/>
  <c r="L12" i="7"/>
  <c r="N12" i="7"/>
  <c r="L11" i="7"/>
  <c r="N11" i="7"/>
  <c r="L10" i="7"/>
  <c r="N10" i="7"/>
  <c r="W509" i="5"/>
  <c r="X509" i="5"/>
  <c r="Z509" i="5"/>
  <c r="AA509" i="5" s="1"/>
  <c r="AB509" i="5" s="1"/>
  <c r="AP509" i="5" s="1"/>
  <c r="AC509" i="5"/>
  <c r="AH509" i="5"/>
  <c r="AQ509" i="5" s="1"/>
  <c r="AL509" i="5"/>
  <c r="W508" i="5"/>
  <c r="X508" i="5"/>
  <c r="Z508" i="5"/>
  <c r="AA508" i="5" s="1"/>
  <c r="AB508" i="5" s="1"/>
  <c r="AP508" i="5" s="1"/>
  <c r="AC508" i="5"/>
  <c r="AH508" i="5"/>
  <c r="AQ508" i="5" s="1"/>
  <c r="AL508" i="5"/>
  <c r="W507" i="5"/>
  <c r="X507" i="5"/>
  <c r="Z507" i="5"/>
  <c r="AA507" i="5" s="1"/>
  <c r="AB507" i="5" s="1"/>
  <c r="AP507" i="5" s="1"/>
  <c r="AC507" i="5"/>
  <c r="AH507" i="5"/>
  <c r="AQ507" i="5" s="1"/>
  <c r="AL507" i="5"/>
  <c r="W506" i="5"/>
  <c r="X506" i="5"/>
  <c r="Z506" i="5"/>
  <c r="AA506" i="5" s="1"/>
  <c r="AB506" i="5" s="1"/>
  <c r="AP506" i="5" s="1"/>
  <c r="AC506" i="5"/>
  <c r="AH506" i="5"/>
  <c r="AQ506" i="5" s="1"/>
  <c r="AL506" i="5"/>
  <c r="W505" i="5"/>
  <c r="X505" i="5"/>
  <c r="Z505" i="5"/>
  <c r="AA505" i="5" s="1"/>
  <c r="AB505" i="5" s="1"/>
  <c r="AP505" i="5" s="1"/>
  <c r="AC505" i="5"/>
  <c r="AH505" i="5"/>
  <c r="AQ505" i="5" s="1"/>
  <c r="AL505" i="5"/>
  <c r="W504" i="5"/>
  <c r="X504" i="5"/>
  <c r="Z504" i="5"/>
  <c r="AA504" i="5" s="1"/>
  <c r="AB504" i="5" s="1"/>
  <c r="AP504" i="5" s="1"/>
  <c r="AC504" i="5"/>
  <c r="AH504" i="5"/>
  <c r="AQ504" i="5" s="1"/>
  <c r="AL504" i="5"/>
  <c r="W503" i="5"/>
  <c r="X503" i="5"/>
  <c r="Z503" i="5"/>
  <c r="AA503" i="5" s="1"/>
  <c r="AB503" i="5" s="1"/>
  <c r="AP503" i="5" s="1"/>
  <c r="AC503" i="5"/>
  <c r="AH503" i="5"/>
  <c r="AQ503" i="5" s="1"/>
  <c r="AL503" i="5"/>
  <c r="W502" i="5"/>
  <c r="X502" i="5"/>
  <c r="Z502" i="5"/>
  <c r="AA502" i="5" s="1"/>
  <c r="AB502" i="5" s="1"/>
  <c r="AP502" i="5" s="1"/>
  <c r="AC502" i="5"/>
  <c r="AH502" i="5"/>
  <c r="AQ502" i="5" s="1"/>
  <c r="AL502" i="5"/>
  <c r="W501" i="5"/>
  <c r="X501" i="5"/>
  <c r="Z501" i="5"/>
  <c r="AA501" i="5" s="1"/>
  <c r="AB501" i="5" s="1"/>
  <c r="AP501" i="5" s="1"/>
  <c r="AC501" i="5"/>
  <c r="AH501" i="5"/>
  <c r="AQ501" i="5" s="1"/>
  <c r="AL501" i="5"/>
  <c r="W500" i="5"/>
  <c r="X500" i="5"/>
  <c r="Z500" i="5"/>
  <c r="AA500" i="5" s="1"/>
  <c r="AB500" i="5" s="1"/>
  <c r="AP500" i="5" s="1"/>
  <c r="AC500" i="5"/>
  <c r="AH500" i="5"/>
  <c r="AQ500" i="5" s="1"/>
  <c r="AL500" i="5"/>
  <c r="W499" i="5"/>
  <c r="X499" i="5"/>
  <c r="Z499" i="5"/>
  <c r="AA499" i="5" s="1"/>
  <c r="AB499" i="5" s="1"/>
  <c r="AP499" i="5" s="1"/>
  <c r="AC499" i="5"/>
  <c r="AH499" i="5"/>
  <c r="AQ499" i="5" s="1"/>
  <c r="AL499" i="5"/>
  <c r="W498" i="5"/>
  <c r="X498" i="5"/>
  <c r="Z498" i="5"/>
  <c r="AA498" i="5" s="1"/>
  <c r="AB498" i="5" s="1"/>
  <c r="AP498" i="5" s="1"/>
  <c r="AC498" i="5"/>
  <c r="AH498" i="5"/>
  <c r="AQ498" i="5" s="1"/>
  <c r="AL498" i="5"/>
  <c r="W497" i="5"/>
  <c r="X497" i="5"/>
  <c r="Z497" i="5"/>
  <c r="AA497" i="5" s="1"/>
  <c r="AB497" i="5" s="1"/>
  <c r="AP497" i="5" s="1"/>
  <c r="AC497" i="5"/>
  <c r="AH497" i="5"/>
  <c r="AQ497" i="5" s="1"/>
  <c r="AL497" i="5"/>
  <c r="W496" i="5"/>
  <c r="X496" i="5"/>
  <c r="Z496" i="5"/>
  <c r="AA496" i="5" s="1"/>
  <c r="AB496" i="5" s="1"/>
  <c r="AP496" i="5" s="1"/>
  <c r="AC496" i="5"/>
  <c r="AH496" i="5"/>
  <c r="AQ496" i="5" s="1"/>
  <c r="AL496" i="5"/>
  <c r="W495" i="5"/>
  <c r="X495" i="5"/>
  <c r="Z495" i="5"/>
  <c r="AA495" i="5" s="1"/>
  <c r="AB495" i="5" s="1"/>
  <c r="AP495" i="5" s="1"/>
  <c r="AC495" i="5"/>
  <c r="AH495" i="5"/>
  <c r="AQ495" i="5" s="1"/>
  <c r="AL495" i="5"/>
  <c r="W494" i="5"/>
  <c r="X494" i="5"/>
  <c r="Z494" i="5"/>
  <c r="AA494" i="5" s="1"/>
  <c r="AB494" i="5" s="1"/>
  <c r="AP494" i="5" s="1"/>
  <c r="AC494" i="5"/>
  <c r="AH494" i="5"/>
  <c r="AQ494" i="5" s="1"/>
  <c r="AL494" i="5"/>
  <c r="W493" i="5"/>
  <c r="X493" i="5"/>
  <c r="Z493" i="5"/>
  <c r="AA493" i="5" s="1"/>
  <c r="AB493" i="5" s="1"/>
  <c r="AP493" i="5" s="1"/>
  <c r="AC493" i="5"/>
  <c r="AH493" i="5"/>
  <c r="AQ493" i="5" s="1"/>
  <c r="AL493" i="5"/>
  <c r="W492" i="5"/>
  <c r="X492" i="5"/>
  <c r="Z492" i="5"/>
  <c r="AA492" i="5" s="1"/>
  <c r="AB492" i="5" s="1"/>
  <c r="AP492" i="5" s="1"/>
  <c r="AC492" i="5"/>
  <c r="AH492" i="5"/>
  <c r="AQ492" i="5" s="1"/>
  <c r="AL492" i="5"/>
  <c r="W491" i="5"/>
  <c r="X491" i="5"/>
  <c r="Z491" i="5"/>
  <c r="AA491" i="5" s="1"/>
  <c r="AB491" i="5" s="1"/>
  <c r="AP491" i="5" s="1"/>
  <c r="AC491" i="5"/>
  <c r="AH491" i="5"/>
  <c r="AQ491" i="5" s="1"/>
  <c r="AL491" i="5"/>
  <c r="W490" i="5"/>
  <c r="X490" i="5"/>
  <c r="Z490" i="5"/>
  <c r="AA490" i="5" s="1"/>
  <c r="AB490" i="5" s="1"/>
  <c r="AP490" i="5" s="1"/>
  <c r="AC490" i="5"/>
  <c r="AH490" i="5"/>
  <c r="AQ490" i="5" s="1"/>
  <c r="AL490" i="5"/>
  <c r="W489" i="5"/>
  <c r="X489" i="5"/>
  <c r="Z489" i="5"/>
  <c r="AA489" i="5" s="1"/>
  <c r="AB489" i="5" s="1"/>
  <c r="AP489" i="5" s="1"/>
  <c r="AC489" i="5"/>
  <c r="AH489" i="5"/>
  <c r="AQ489" i="5" s="1"/>
  <c r="AL489" i="5"/>
  <c r="W488" i="5"/>
  <c r="X488" i="5"/>
  <c r="Z488" i="5"/>
  <c r="AA488" i="5" s="1"/>
  <c r="AB488" i="5" s="1"/>
  <c r="AP488" i="5" s="1"/>
  <c r="AC488" i="5"/>
  <c r="AH488" i="5"/>
  <c r="AQ488" i="5" s="1"/>
  <c r="AL488" i="5"/>
  <c r="W487" i="5"/>
  <c r="X487" i="5"/>
  <c r="Z487" i="5"/>
  <c r="AA487" i="5" s="1"/>
  <c r="AB487" i="5" s="1"/>
  <c r="AP487" i="5" s="1"/>
  <c r="AC487" i="5"/>
  <c r="AH487" i="5"/>
  <c r="AQ487" i="5" s="1"/>
  <c r="AL487" i="5"/>
  <c r="W486" i="5"/>
  <c r="X486" i="5"/>
  <c r="Z486" i="5"/>
  <c r="AA486" i="5" s="1"/>
  <c r="AB486" i="5" s="1"/>
  <c r="AP486" i="5" s="1"/>
  <c r="AC486" i="5"/>
  <c r="AH486" i="5"/>
  <c r="AQ486" i="5" s="1"/>
  <c r="AL486" i="5"/>
  <c r="W485" i="5"/>
  <c r="X485" i="5"/>
  <c r="Z485" i="5"/>
  <c r="AA485" i="5" s="1"/>
  <c r="AB485" i="5" s="1"/>
  <c r="AP485" i="5" s="1"/>
  <c r="AC485" i="5"/>
  <c r="AH485" i="5"/>
  <c r="AQ485" i="5" s="1"/>
  <c r="AL485" i="5"/>
  <c r="W484" i="5"/>
  <c r="X484" i="5"/>
  <c r="Z484" i="5"/>
  <c r="AA484" i="5" s="1"/>
  <c r="AB484" i="5" s="1"/>
  <c r="AP484" i="5" s="1"/>
  <c r="AC484" i="5"/>
  <c r="AH484" i="5"/>
  <c r="AQ484" i="5" s="1"/>
  <c r="AL484" i="5"/>
  <c r="W483" i="5"/>
  <c r="X483" i="5"/>
  <c r="Z483" i="5"/>
  <c r="AA483" i="5" s="1"/>
  <c r="AB483" i="5" s="1"/>
  <c r="AP483" i="5" s="1"/>
  <c r="AC483" i="5"/>
  <c r="AH483" i="5"/>
  <c r="AQ483" i="5" s="1"/>
  <c r="AL483" i="5"/>
  <c r="W482" i="5"/>
  <c r="X482" i="5"/>
  <c r="Z482" i="5"/>
  <c r="AA482" i="5" s="1"/>
  <c r="AB482" i="5" s="1"/>
  <c r="AP482" i="5" s="1"/>
  <c r="AC482" i="5"/>
  <c r="AH482" i="5"/>
  <c r="AQ482" i="5" s="1"/>
  <c r="AL482" i="5"/>
  <c r="W481" i="5"/>
  <c r="X481" i="5"/>
  <c r="Z481" i="5"/>
  <c r="AA481" i="5" s="1"/>
  <c r="AB481" i="5" s="1"/>
  <c r="AP481" i="5" s="1"/>
  <c r="AC481" i="5"/>
  <c r="AH481" i="5"/>
  <c r="AQ481" i="5" s="1"/>
  <c r="AL481" i="5"/>
  <c r="W480" i="5"/>
  <c r="X480" i="5"/>
  <c r="Z480" i="5"/>
  <c r="AA480" i="5" s="1"/>
  <c r="AB480" i="5" s="1"/>
  <c r="AP480" i="5" s="1"/>
  <c r="AC480" i="5"/>
  <c r="AH480" i="5"/>
  <c r="AQ480" i="5" s="1"/>
  <c r="AL480" i="5"/>
  <c r="W479" i="5"/>
  <c r="X479" i="5"/>
  <c r="Z479" i="5"/>
  <c r="AA479" i="5" s="1"/>
  <c r="AB479" i="5" s="1"/>
  <c r="AP479" i="5" s="1"/>
  <c r="AC479" i="5"/>
  <c r="AH479" i="5"/>
  <c r="AQ479" i="5" s="1"/>
  <c r="AL479" i="5"/>
  <c r="W478" i="5"/>
  <c r="X478" i="5"/>
  <c r="Z478" i="5"/>
  <c r="AA478" i="5" s="1"/>
  <c r="AB478" i="5" s="1"/>
  <c r="AP478" i="5" s="1"/>
  <c r="AC478" i="5"/>
  <c r="AH478" i="5"/>
  <c r="AQ478" i="5" s="1"/>
  <c r="AL478" i="5"/>
  <c r="W477" i="5"/>
  <c r="X477" i="5"/>
  <c r="Z477" i="5"/>
  <c r="AA477" i="5" s="1"/>
  <c r="AB477" i="5" s="1"/>
  <c r="AP477" i="5" s="1"/>
  <c r="AC477" i="5"/>
  <c r="AH477" i="5"/>
  <c r="AQ477" i="5" s="1"/>
  <c r="AL477" i="5"/>
  <c r="W476" i="5"/>
  <c r="X476" i="5"/>
  <c r="Z476" i="5"/>
  <c r="AA476" i="5" s="1"/>
  <c r="AB476" i="5" s="1"/>
  <c r="AP476" i="5" s="1"/>
  <c r="AC476" i="5"/>
  <c r="AH476" i="5"/>
  <c r="AQ476" i="5" s="1"/>
  <c r="AL476" i="5"/>
  <c r="W475" i="5"/>
  <c r="X475" i="5"/>
  <c r="Z475" i="5"/>
  <c r="AA475" i="5" s="1"/>
  <c r="AB475" i="5" s="1"/>
  <c r="AP475" i="5" s="1"/>
  <c r="AC475" i="5"/>
  <c r="AH475" i="5"/>
  <c r="AQ475" i="5" s="1"/>
  <c r="AL475" i="5"/>
  <c r="W474" i="5"/>
  <c r="X474" i="5"/>
  <c r="Z474" i="5"/>
  <c r="AA474" i="5" s="1"/>
  <c r="AB474" i="5" s="1"/>
  <c r="AP474" i="5" s="1"/>
  <c r="AC474" i="5"/>
  <c r="AH474" i="5"/>
  <c r="AQ474" i="5" s="1"/>
  <c r="AL474" i="5"/>
  <c r="W473" i="5"/>
  <c r="X473" i="5"/>
  <c r="Z473" i="5"/>
  <c r="AA473" i="5" s="1"/>
  <c r="AB473" i="5" s="1"/>
  <c r="AP473" i="5" s="1"/>
  <c r="AC473" i="5"/>
  <c r="AH473" i="5"/>
  <c r="AQ473" i="5" s="1"/>
  <c r="AL473" i="5"/>
  <c r="W472" i="5"/>
  <c r="X472" i="5"/>
  <c r="Z472" i="5"/>
  <c r="AA472" i="5" s="1"/>
  <c r="AB472" i="5" s="1"/>
  <c r="AP472" i="5" s="1"/>
  <c r="AC472" i="5"/>
  <c r="AH472" i="5"/>
  <c r="AQ472" i="5" s="1"/>
  <c r="AL472" i="5"/>
  <c r="M485" i="7"/>
  <c r="P485" i="7"/>
  <c r="Q485" i="7"/>
  <c r="M484" i="7"/>
  <c r="P484" i="7"/>
  <c r="Q484" i="7"/>
  <c r="M483" i="7"/>
  <c r="P483" i="7"/>
  <c r="Q483" i="7"/>
  <c r="W324" i="5"/>
  <c r="X324" i="5"/>
  <c r="Z324" i="5"/>
  <c r="AA324" i="5" s="1"/>
  <c r="AB324" i="5" s="1"/>
  <c r="AP324" i="5" s="1"/>
  <c r="AC324" i="5"/>
  <c r="AH324" i="5"/>
  <c r="AQ324" i="5" s="1"/>
  <c r="AL324" i="5"/>
  <c r="W166" i="5"/>
  <c r="X166" i="5"/>
  <c r="Z166" i="5"/>
  <c r="AA166" i="5" s="1"/>
  <c r="AB166" i="5" s="1"/>
  <c r="AP166" i="5" s="1"/>
  <c r="AC166" i="5"/>
  <c r="AH166" i="5"/>
  <c r="AQ166" i="5" s="1"/>
  <c r="AL166" i="5"/>
  <c r="W165" i="5"/>
  <c r="X165" i="5"/>
  <c r="Z165" i="5"/>
  <c r="AA165" i="5" s="1"/>
  <c r="AB165" i="5" s="1"/>
  <c r="AP165" i="5" s="1"/>
  <c r="AC165" i="5"/>
  <c r="AH165" i="5"/>
  <c r="AQ165" i="5" s="1"/>
  <c r="AL165" i="5"/>
  <c r="W164" i="5"/>
  <c r="X164" i="5"/>
  <c r="Z164" i="5"/>
  <c r="AA164" i="5" s="1"/>
  <c r="AB164" i="5" s="1"/>
  <c r="AP164" i="5" s="1"/>
  <c r="AC164" i="5"/>
  <c r="AH164" i="5"/>
  <c r="AQ164" i="5" s="1"/>
  <c r="AL164" i="5"/>
  <c r="W163" i="5"/>
  <c r="X163" i="5"/>
  <c r="Z163" i="5"/>
  <c r="AA163" i="5" s="1"/>
  <c r="AB163" i="5" s="1"/>
  <c r="AP163" i="5" s="1"/>
  <c r="AC163" i="5"/>
  <c r="AH163" i="5"/>
  <c r="AQ163" i="5" s="1"/>
  <c r="AL163" i="5"/>
  <c r="W162" i="5"/>
  <c r="X162" i="5"/>
  <c r="Z162" i="5"/>
  <c r="AA162" i="5" s="1"/>
  <c r="AB162" i="5" s="1"/>
  <c r="AP162" i="5" s="1"/>
  <c r="AC162" i="5"/>
  <c r="AH162" i="5"/>
  <c r="AQ162" i="5" s="1"/>
  <c r="AL162" i="5"/>
  <c r="W161" i="5"/>
  <c r="X161" i="5"/>
  <c r="Z161" i="5"/>
  <c r="AA161" i="5" s="1"/>
  <c r="AB161" i="5" s="1"/>
  <c r="AP161" i="5" s="1"/>
  <c r="AC161" i="5"/>
  <c r="AH161" i="5"/>
  <c r="AQ161" i="5" s="1"/>
  <c r="AL161" i="5"/>
  <c r="W160" i="5"/>
  <c r="X160" i="5"/>
  <c r="Z160" i="5"/>
  <c r="AA160" i="5" s="1"/>
  <c r="AB160" i="5" s="1"/>
  <c r="AP160" i="5" s="1"/>
  <c r="AC160" i="5"/>
  <c r="AH160" i="5"/>
  <c r="AQ160" i="5" s="1"/>
  <c r="AL160" i="5"/>
  <c r="W159" i="5"/>
  <c r="X159" i="5"/>
  <c r="Z159" i="5"/>
  <c r="AA159" i="5" s="1"/>
  <c r="AB159" i="5" s="1"/>
  <c r="AP159" i="5" s="1"/>
  <c r="AC159" i="5"/>
  <c r="AH159" i="5"/>
  <c r="AQ159" i="5" s="1"/>
  <c r="AL159" i="5"/>
  <c r="W158" i="5"/>
  <c r="X158" i="5"/>
  <c r="Z158" i="5"/>
  <c r="AA158" i="5" s="1"/>
  <c r="AB158" i="5" s="1"/>
  <c r="AP158" i="5" s="1"/>
  <c r="AC158" i="5"/>
  <c r="AH158" i="5"/>
  <c r="AQ158" i="5" s="1"/>
  <c r="AL158" i="5"/>
  <c r="W157" i="5"/>
  <c r="X157" i="5"/>
  <c r="AH157" i="5"/>
  <c r="AQ157" i="5" s="1"/>
  <c r="AI157" i="5"/>
  <c r="AL157" i="5"/>
  <c r="W156" i="5"/>
  <c r="X156" i="5"/>
  <c r="AH156" i="5"/>
  <c r="AQ156" i="5" s="1"/>
  <c r="AI156" i="5"/>
  <c r="AL156" i="5"/>
  <c r="W155" i="5"/>
  <c r="X155" i="5"/>
  <c r="AH155" i="5"/>
  <c r="AQ155" i="5" s="1"/>
  <c r="AI155" i="5"/>
  <c r="AL155" i="5"/>
  <c r="W154" i="5"/>
  <c r="X154" i="5"/>
  <c r="AH154" i="5"/>
  <c r="AQ154" i="5" s="1"/>
  <c r="AI154" i="5"/>
  <c r="AL154" i="5"/>
  <c r="W153" i="5"/>
  <c r="X153" i="5"/>
  <c r="AH153" i="5"/>
  <c r="AQ153" i="5" s="1"/>
  <c r="AI153" i="5"/>
  <c r="AL153" i="5"/>
  <c r="W152" i="5"/>
  <c r="X152" i="5"/>
  <c r="AH152" i="5"/>
  <c r="AQ152" i="5" s="1"/>
  <c r="AI152" i="5"/>
  <c r="AL152" i="5"/>
  <c r="W151" i="5"/>
  <c r="X151" i="5"/>
  <c r="AH151" i="5"/>
  <c r="AQ151" i="5" s="1"/>
  <c r="AI151" i="5"/>
  <c r="AL151" i="5"/>
  <c r="W150" i="5"/>
  <c r="X150" i="5"/>
  <c r="AH150" i="5"/>
  <c r="AQ150" i="5" s="1"/>
  <c r="AI150" i="5"/>
  <c r="AL150" i="5"/>
  <c r="W149" i="5"/>
  <c r="X149" i="5"/>
  <c r="AH149" i="5"/>
  <c r="AQ149" i="5" s="1"/>
  <c r="AI149" i="5"/>
  <c r="AL149" i="5"/>
  <c r="W148" i="5"/>
  <c r="X148" i="5"/>
  <c r="AH148" i="5"/>
  <c r="AQ148" i="5" s="1"/>
  <c r="AI148" i="5"/>
  <c r="AL148" i="5"/>
  <c r="W147" i="5"/>
  <c r="X147" i="5"/>
  <c r="AH147" i="5"/>
  <c r="AQ147" i="5" s="1"/>
  <c r="AI147" i="5"/>
  <c r="AL147" i="5"/>
  <c r="W146" i="5"/>
  <c r="X146" i="5"/>
  <c r="AH146" i="5"/>
  <c r="AQ146" i="5" s="1"/>
  <c r="AI146" i="5"/>
  <c r="AL146" i="5"/>
  <c r="W145" i="5"/>
  <c r="X145" i="5"/>
  <c r="AH145" i="5"/>
  <c r="AQ145" i="5" s="1"/>
  <c r="AI145" i="5"/>
  <c r="AL145" i="5"/>
  <c r="W144" i="5"/>
  <c r="X144" i="5"/>
  <c r="AH144" i="5"/>
  <c r="AQ144" i="5" s="1"/>
  <c r="AI144" i="5"/>
  <c r="AL144" i="5"/>
  <c r="W143" i="5"/>
  <c r="X143" i="5"/>
  <c r="AH143" i="5"/>
  <c r="AQ143" i="5" s="1"/>
  <c r="AI143" i="5"/>
  <c r="AL143" i="5"/>
  <c r="W142" i="5"/>
  <c r="X142" i="5"/>
  <c r="AH142" i="5"/>
  <c r="AQ142" i="5" s="1"/>
  <c r="AI142" i="5"/>
  <c r="AL142" i="5"/>
  <c r="W141" i="5"/>
  <c r="X141" i="5"/>
  <c r="AH141" i="5"/>
  <c r="AQ141" i="5" s="1"/>
  <c r="AI141" i="5"/>
  <c r="AL141" i="5"/>
  <c r="A25" i="4"/>
  <c r="H30" i="4"/>
  <c r="N6" i="4"/>
  <c r="A9" i="4"/>
  <c r="N9" i="4"/>
  <c r="A12" i="4"/>
  <c r="H12" i="4"/>
  <c r="N12" i="4"/>
  <c r="A16" i="4"/>
  <c r="K16" i="4"/>
  <c r="A21" i="4"/>
  <c r="H21" i="4"/>
  <c r="A30" i="4"/>
  <c r="N30" i="4"/>
  <c r="A69" i="4"/>
  <c r="A76" i="4"/>
  <c r="W140" i="5"/>
  <c r="X140" i="5"/>
  <c r="AH140" i="5"/>
  <c r="AQ140" i="5" s="1"/>
  <c r="AI140" i="5"/>
  <c r="AL140" i="5"/>
  <c r="W139" i="5"/>
  <c r="X139" i="5"/>
  <c r="AH139" i="5"/>
  <c r="AQ139" i="5" s="1"/>
  <c r="AI139" i="5"/>
  <c r="AL139" i="5"/>
  <c r="W138" i="5"/>
  <c r="X138" i="5"/>
  <c r="AH138" i="5"/>
  <c r="AQ138" i="5" s="1"/>
  <c r="AI138" i="5"/>
  <c r="AL138" i="5"/>
  <c r="W137" i="5"/>
  <c r="X137" i="5"/>
  <c r="AH137" i="5"/>
  <c r="AQ137" i="5" s="1"/>
  <c r="AI137" i="5"/>
  <c r="AL137" i="5"/>
  <c r="W136" i="5"/>
  <c r="X136" i="5"/>
  <c r="AH136" i="5"/>
  <c r="AQ136" i="5" s="1"/>
  <c r="AI136" i="5"/>
  <c r="AL136" i="5"/>
  <c r="W135" i="5"/>
  <c r="X135" i="5"/>
  <c r="AH135" i="5"/>
  <c r="AQ135" i="5" s="1"/>
  <c r="AI135" i="5"/>
  <c r="AL135" i="5"/>
  <c r="W134" i="5"/>
  <c r="X134" i="5"/>
  <c r="AH134" i="5"/>
  <c r="AQ134" i="5" s="1"/>
  <c r="AI134" i="5"/>
  <c r="AL134" i="5"/>
  <c r="W133" i="5"/>
  <c r="X133" i="5"/>
  <c r="AH133" i="5"/>
  <c r="AQ133" i="5" s="1"/>
  <c r="AI133" i="5"/>
  <c r="AL133" i="5"/>
  <c r="W132" i="5"/>
  <c r="X132" i="5"/>
  <c r="AH132" i="5"/>
  <c r="AQ132" i="5" s="1"/>
  <c r="AI132" i="5"/>
  <c r="AL132" i="5"/>
  <c r="W131" i="5"/>
  <c r="X131" i="5"/>
  <c r="AH131" i="5"/>
  <c r="AQ131" i="5" s="1"/>
  <c r="AI131" i="5"/>
  <c r="AL131" i="5"/>
  <c r="W130" i="5"/>
  <c r="X130" i="5"/>
  <c r="AH130" i="5"/>
  <c r="AQ130" i="5" s="1"/>
  <c r="AI130" i="5"/>
  <c r="AL130" i="5"/>
  <c r="W129" i="5"/>
  <c r="X129" i="5"/>
  <c r="AH129" i="5"/>
  <c r="AQ129" i="5" s="1"/>
  <c r="AI129" i="5"/>
  <c r="AL129" i="5"/>
  <c r="W128" i="5"/>
  <c r="X128" i="5"/>
  <c r="AH128" i="5"/>
  <c r="AQ128" i="5" s="1"/>
  <c r="AI128" i="5"/>
  <c r="AL128" i="5"/>
  <c r="W127" i="5"/>
  <c r="X127" i="5"/>
  <c r="AH127" i="5"/>
  <c r="AQ127" i="5" s="1"/>
  <c r="AI127" i="5"/>
  <c r="AL127" i="5"/>
  <c r="W126" i="5"/>
  <c r="X126" i="5"/>
  <c r="AH126" i="5"/>
  <c r="AQ126" i="5" s="1"/>
  <c r="AI126" i="5"/>
  <c r="AL126" i="5"/>
  <c r="W125" i="5"/>
  <c r="X125" i="5"/>
  <c r="AH125" i="5"/>
  <c r="AQ125" i="5" s="1"/>
  <c r="AI125" i="5"/>
  <c r="AL125" i="5"/>
  <c r="W124" i="5"/>
  <c r="X124" i="5"/>
  <c r="AH124" i="5"/>
  <c r="AQ124" i="5" s="1"/>
  <c r="AI124" i="5"/>
  <c r="AL124" i="5"/>
  <c r="W123" i="5"/>
  <c r="X123" i="5"/>
  <c r="AH123" i="5"/>
  <c r="AQ123" i="5" s="1"/>
  <c r="AI123" i="5"/>
  <c r="AL123" i="5"/>
  <c r="W122" i="5"/>
  <c r="X122" i="5"/>
  <c r="AH122" i="5"/>
  <c r="AQ122" i="5" s="1"/>
  <c r="AI122" i="5"/>
  <c r="AL122" i="5"/>
  <c r="W121" i="5"/>
  <c r="X121" i="5"/>
  <c r="AH121" i="5"/>
  <c r="AQ121" i="5" s="1"/>
  <c r="AI121" i="5"/>
  <c r="AL121" i="5"/>
  <c r="W120" i="5"/>
  <c r="X120" i="5"/>
  <c r="AH120" i="5"/>
  <c r="AQ120" i="5" s="1"/>
  <c r="AI120" i="5"/>
  <c r="AL120" i="5"/>
  <c r="W119" i="5"/>
  <c r="X119" i="5"/>
  <c r="AH119" i="5"/>
  <c r="AQ119" i="5" s="1"/>
  <c r="AI119" i="5"/>
  <c r="AL119" i="5"/>
  <c r="W118" i="5"/>
  <c r="X118" i="5"/>
  <c r="AH118" i="5"/>
  <c r="AQ118" i="5" s="1"/>
  <c r="AI118" i="5"/>
  <c r="AL118" i="5"/>
  <c r="W117" i="5"/>
  <c r="X117" i="5"/>
  <c r="AH117" i="5"/>
  <c r="AQ117" i="5" s="1"/>
  <c r="AI117" i="5"/>
  <c r="AL117" i="5"/>
  <c r="W116" i="5"/>
  <c r="X116" i="5"/>
  <c r="AH116" i="5"/>
  <c r="AQ116" i="5" s="1"/>
  <c r="AI116" i="5"/>
  <c r="AL116" i="5"/>
  <c r="W115" i="5"/>
  <c r="X115" i="5"/>
  <c r="AH115" i="5"/>
  <c r="AQ115" i="5" s="1"/>
  <c r="AI115" i="5"/>
  <c r="AL115" i="5"/>
  <c r="W114" i="5"/>
  <c r="X114" i="5"/>
  <c r="AH114" i="5"/>
  <c r="AQ114" i="5" s="1"/>
  <c r="AI114" i="5"/>
  <c r="AL114" i="5"/>
  <c r="W113" i="5"/>
  <c r="X113" i="5"/>
  <c r="AH113" i="5"/>
  <c r="AQ113" i="5" s="1"/>
  <c r="AI113" i="5"/>
  <c r="AL113" i="5"/>
  <c r="W112" i="5"/>
  <c r="X112" i="5"/>
  <c r="AH112" i="5"/>
  <c r="AQ112" i="5" s="1"/>
  <c r="AI112" i="5"/>
  <c r="AL112" i="5"/>
  <c r="W111" i="5"/>
  <c r="X111" i="5"/>
  <c r="AH111" i="5"/>
  <c r="AQ111" i="5" s="1"/>
  <c r="AI111" i="5"/>
  <c r="AL111" i="5"/>
  <c r="W110" i="5"/>
  <c r="X110" i="5"/>
  <c r="AH110" i="5"/>
  <c r="AQ110" i="5" s="1"/>
  <c r="AI110" i="5"/>
  <c r="AL110" i="5"/>
  <c r="W109" i="5"/>
  <c r="X109" i="5"/>
  <c r="AH109" i="5"/>
  <c r="AQ109" i="5" s="1"/>
  <c r="AI109" i="5"/>
  <c r="AL109" i="5"/>
  <c r="W108" i="5"/>
  <c r="X108" i="5"/>
  <c r="AH108" i="5"/>
  <c r="AQ108" i="5" s="1"/>
  <c r="AI108" i="5"/>
  <c r="AL108" i="5"/>
  <c r="W107" i="5"/>
  <c r="X107" i="5"/>
  <c r="AH107" i="5"/>
  <c r="AQ107" i="5" s="1"/>
  <c r="AI107" i="5"/>
  <c r="AL107" i="5"/>
  <c r="W106" i="5"/>
  <c r="X106" i="5"/>
  <c r="AH106" i="5"/>
  <c r="AQ106" i="5" s="1"/>
  <c r="AI106" i="5"/>
  <c r="AL106" i="5"/>
  <c r="W105" i="5"/>
  <c r="X105" i="5"/>
  <c r="Z105" i="5"/>
  <c r="AA105" i="5" s="1"/>
  <c r="AH105" i="5"/>
  <c r="AQ105" i="5" s="1"/>
  <c r="AI105" i="5"/>
  <c r="AL105" i="5"/>
  <c r="W104" i="5"/>
  <c r="X104" i="5"/>
  <c r="AH104" i="5"/>
  <c r="AQ104" i="5" s="1"/>
  <c r="AI104" i="5"/>
  <c r="AL104" i="5"/>
  <c r="W103" i="5"/>
  <c r="X103" i="5"/>
  <c r="AH103" i="5"/>
  <c r="AQ103" i="5" s="1"/>
  <c r="AI103" i="5"/>
  <c r="AL103" i="5"/>
  <c r="W102" i="5"/>
  <c r="X102" i="5"/>
  <c r="AH102" i="5"/>
  <c r="AQ102" i="5" s="1"/>
  <c r="AI102" i="5"/>
  <c r="AL102" i="5"/>
  <c r="W101" i="5"/>
  <c r="X101" i="5"/>
  <c r="AH101" i="5"/>
  <c r="AQ101" i="5" s="1"/>
  <c r="AI101" i="5"/>
  <c r="AL101" i="5"/>
  <c r="W100" i="5"/>
  <c r="X100" i="5"/>
  <c r="AH100" i="5"/>
  <c r="AQ100" i="5" s="1"/>
  <c r="AI100" i="5"/>
  <c r="AL100" i="5"/>
  <c r="W99" i="5"/>
  <c r="X99" i="5"/>
  <c r="AH99" i="5"/>
  <c r="AQ99" i="5" s="1"/>
  <c r="AI99" i="5"/>
  <c r="AL99" i="5"/>
  <c r="W98" i="5"/>
  <c r="X98" i="5"/>
  <c r="AH98" i="5"/>
  <c r="AQ98" i="5" s="1"/>
  <c r="AI98" i="5"/>
  <c r="AL98" i="5"/>
  <c r="W97" i="5"/>
  <c r="X97" i="5"/>
  <c r="AH97" i="5"/>
  <c r="AQ97" i="5" s="1"/>
  <c r="AI97" i="5"/>
  <c r="AL97" i="5"/>
  <c r="W96" i="5"/>
  <c r="X96" i="5"/>
  <c r="AH96" i="5"/>
  <c r="AQ96" i="5" s="1"/>
  <c r="AI96" i="5"/>
  <c r="AL96" i="5"/>
  <c r="W95" i="5"/>
  <c r="X95" i="5"/>
  <c r="AH95" i="5"/>
  <c r="AQ95" i="5" s="1"/>
  <c r="AI95" i="5"/>
  <c r="AL95" i="5"/>
  <c r="W94" i="5"/>
  <c r="X94" i="5"/>
  <c r="AH94" i="5"/>
  <c r="AQ94" i="5" s="1"/>
  <c r="AI94" i="5"/>
  <c r="AL94" i="5"/>
  <c r="W93" i="5"/>
  <c r="X93" i="5"/>
  <c r="AH93" i="5"/>
  <c r="AQ93" i="5" s="1"/>
  <c r="AI93" i="5"/>
  <c r="AL93" i="5"/>
  <c r="W92" i="5"/>
  <c r="X92" i="5"/>
  <c r="AH92" i="5"/>
  <c r="AQ92" i="5" s="1"/>
  <c r="AI92" i="5"/>
  <c r="AL92" i="5"/>
  <c r="W91" i="5"/>
  <c r="X91" i="5"/>
  <c r="AH91" i="5"/>
  <c r="AQ91" i="5" s="1"/>
  <c r="AI91" i="5"/>
  <c r="AL91" i="5"/>
  <c r="W90" i="5"/>
  <c r="X90" i="5"/>
  <c r="AH90" i="5"/>
  <c r="AQ90" i="5" s="1"/>
  <c r="AI90" i="5"/>
  <c r="AL90" i="5"/>
  <c r="W89" i="5"/>
  <c r="X89" i="5"/>
  <c r="AH89" i="5"/>
  <c r="AQ89" i="5" s="1"/>
  <c r="AI89" i="5"/>
  <c r="AL89" i="5"/>
  <c r="W88" i="5"/>
  <c r="X88" i="5"/>
  <c r="AH88" i="5"/>
  <c r="AQ88" i="5" s="1"/>
  <c r="AI88" i="5"/>
  <c r="AL88" i="5"/>
  <c r="W87" i="5"/>
  <c r="X87" i="5"/>
  <c r="AH87" i="5"/>
  <c r="AQ87" i="5" s="1"/>
  <c r="AI87" i="5"/>
  <c r="AL87" i="5"/>
  <c r="W86" i="5"/>
  <c r="X86" i="5"/>
  <c r="AH86" i="5"/>
  <c r="AQ86" i="5" s="1"/>
  <c r="AI86" i="5"/>
  <c r="AL86" i="5"/>
  <c r="W85" i="5"/>
  <c r="X85" i="5"/>
  <c r="AH85" i="5"/>
  <c r="AQ85" i="5" s="1"/>
  <c r="AI85" i="5"/>
  <c r="AL85" i="5"/>
  <c r="W84" i="5"/>
  <c r="X84" i="5"/>
  <c r="AH84" i="5"/>
  <c r="AQ84" i="5" s="1"/>
  <c r="AI84" i="5"/>
  <c r="AL84" i="5"/>
  <c r="W83" i="5"/>
  <c r="X83" i="5"/>
  <c r="AH83" i="5"/>
  <c r="AQ83" i="5" s="1"/>
  <c r="AI83" i="5"/>
  <c r="AL83" i="5"/>
  <c r="W82" i="5"/>
  <c r="X82" i="5"/>
  <c r="AH82" i="5"/>
  <c r="AQ82" i="5" s="1"/>
  <c r="AI82" i="5"/>
  <c r="AL82" i="5"/>
  <c r="W79" i="5"/>
  <c r="X79" i="5"/>
  <c r="AH79" i="5"/>
  <c r="AQ79" i="5" s="1"/>
  <c r="AI79" i="5"/>
  <c r="AL79" i="5"/>
  <c r="W78" i="5"/>
  <c r="X78" i="5"/>
  <c r="AH78" i="5"/>
  <c r="AQ78" i="5" s="1"/>
  <c r="AI78" i="5"/>
  <c r="AL78" i="5"/>
  <c r="W76" i="5"/>
  <c r="X76" i="5"/>
  <c r="AH76" i="5"/>
  <c r="AQ76" i="5" s="1"/>
  <c r="AI76" i="5"/>
  <c r="AL76" i="5"/>
  <c r="X74" i="5"/>
  <c r="AH74" i="5"/>
  <c r="AQ74" i="5" s="1"/>
  <c r="AI74" i="5"/>
  <c r="AL74" i="5"/>
  <c r="W74" i="5"/>
  <c r="X72" i="5"/>
  <c r="AH72" i="5"/>
  <c r="AQ72" i="5" s="1"/>
  <c r="AI72" i="5"/>
  <c r="AL72" i="5"/>
  <c r="W72" i="5"/>
  <c r="W71" i="5"/>
  <c r="X71" i="5"/>
  <c r="AH71" i="5"/>
  <c r="AQ71" i="5" s="1"/>
  <c r="AI71" i="5"/>
  <c r="AL71" i="5"/>
  <c r="W70" i="5"/>
  <c r="X70" i="5"/>
  <c r="AH70" i="5"/>
  <c r="AQ70" i="5" s="1"/>
  <c r="AI70" i="5"/>
  <c r="AL70" i="5"/>
  <c r="X67" i="5"/>
  <c r="AH67" i="5"/>
  <c r="AQ67" i="5" s="1"/>
  <c r="AI67" i="5"/>
  <c r="AL67" i="5"/>
  <c r="W67" i="5"/>
  <c r="W323" i="5"/>
  <c r="X323" i="5"/>
  <c r="Z323" i="5"/>
  <c r="AA323" i="5" s="1"/>
  <c r="AB323" i="5" s="1"/>
  <c r="AP323" i="5" s="1"/>
  <c r="AC323" i="5"/>
  <c r="AH323" i="5"/>
  <c r="AQ323" i="5" s="1"/>
  <c r="AL323" i="5"/>
  <c r="W322" i="5"/>
  <c r="X322" i="5"/>
  <c r="Z322" i="5"/>
  <c r="AA322" i="5" s="1"/>
  <c r="AB322" i="5" s="1"/>
  <c r="AP322" i="5" s="1"/>
  <c r="AC322" i="5"/>
  <c r="AH322" i="5"/>
  <c r="AQ322" i="5" s="1"/>
  <c r="AL322" i="5"/>
  <c r="W321" i="5"/>
  <c r="X321" i="5"/>
  <c r="Z321" i="5"/>
  <c r="AA321" i="5" s="1"/>
  <c r="AB321" i="5" s="1"/>
  <c r="AP321" i="5" s="1"/>
  <c r="AC321" i="5"/>
  <c r="AH321" i="5"/>
  <c r="AQ321" i="5" s="1"/>
  <c r="AL321" i="5"/>
  <c r="W320" i="5"/>
  <c r="X320" i="5"/>
  <c r="Z320" i="5"/>
  <c r="AA320" i="5" s="1"/>
  <c r="AB320" i="5" s="1"/>
  <c r="AP320" i="5" s="1"/>
  <c r="AC320" i="5"/>
  <c r="AH320" i="5"/>
  <c r="AQ320" i="5" s="1"/>
  <c r="AL320" i="5"/>
  <c r="W319" i="5"/>
  <c r="X319" i="5"/>
  <c r="Z319" i="5"/>
  <c r="AA319" i="5" s="1"/>
  <c r="AB319" i="5" s="1"/>
  <c r="AP319" i="5" s="1"/>
  <c r="AC319" i="5"/>
  <c r="AH319" i="5"/>
  <c r="AQ319" i="5" s="1"/>
  <c r="AL319" i="5"/>
  <c r="W318" i="5"/>
  <c r="X318" i="5"/>
  <c r="Z318" i="5"/>
  <c r="AA318" i="5" s="1"/>
  <c r="AB318" i="5" s="1"/>
  <c r="AP318" i="5" s="1"/>
  <c r="AC318" i="5"/>
  <c r="AH318" i="5"/>
  <c r="AQ318" i="5" s="1"/>
  <c r="AL318" i="5"/>
  <c r="W317" i="5"/>
  <c r="X317" i="5"/>
  <c r="Z317" i="5"/>
  <c r="AA317" i="5" s="1"/>
  <c r="AB317" i="5" s="1"/>
  <c r="AP317" i="5" s="1"/>
  <c r="AC317" i="5"/>
  <c r="AH317" i="5"/>
  <c r="AQ317" i="5" s="1"/>
  <c r="AL317" i="5"/>
  <c r="W316" i="5"/>
  <c r="X316" i="5"/>
  <c r="Z316" i="5"/>
  <c r="AA316" i="5" s="1"/>
  <c r="AB316" i="5" s="1"/>
  <c r="AP316" i="5" s="1"/>
  <c r="AC316" i="5"/>
  <c r="AH316" i="5"/>
  <c r="AQ316" i="5" s="1"/>
  <c r="AL316" i="5"/>
  <c r="W315" i="5"/>
  <c r="X315" i="5"/>
  <c r="Z315" i="5"/>
  <c r="AA315" i="5" s="1"/>
  <c r="AB315" i="5" s="1"/>
  <c r="AP315" i="5" s="1"/>
  <c r="AC315" i="5"/>
  <c r="AH315" i="5"/>
  <c r="AQ315" i="5" s="1"/>
  <c r="AL315" i="5"/>
  <c r="W314" i="5"/>
  <c r="X314" i="5"/>
  <c r="Z314" i="5"/>
  <c r="AA314" i="5" s="1"/>
  <c r="AB314" i="5" s="1"/>
  <c r="AP314" i="5" s="1"/>
  <c r="AC314" i="5"/>
  <c r="AH314" i="5"/>
  <c r="AQ314" i="5" s="1"/>
  <c r="AL314" i="5"/>
  <c r="W313" i="5"/>
  <c r="X313" i="5"/>
  <c r="Z313" i="5"/>
  <c r="AA313" i="5" s="1"/>
  <c r="AB313" i="5" s="1"/>
  <c r="AP313" i="5" s="1"/>
  <c r="AC313" i="5"/>
  <c r="AH313" i="5"/>
  <c r="AQ313" i="5" s="1"/>
  <c r="AL313" i="5"/>
  <c r="W312" i="5"/>
  <c r="X312" i="5"/>
  <c r="Z312" i="5"/>
  <c r="AA312" i="5" s="1"/>
  <c r="AB312" i="5" s="1"/>
  <c r="AP312" i="5" s="1"/>
  <c r="AC312" i="5"/>
  <c r="AH312" i="5"/>
  <c r="AQ312" i="5" s="1"/>
  <c r="AL312" i="5"/>
  <c r="W311" i="5"/>
  <c r="X311" i="5"/>
  <c r="Z311" i="5"/>
  <c r="AA311" i="5" s="1"/>
  <c r="AB311" i="5" s="1"/>
  <c r="AP311" i="5" s="1"/>
  <c r="AC311" i="5"/>
  <c r="AH311" i="5"/>
  <c r="AQ311" i="5" s="1"/>
  <c r="AL311" i="5"/>
  <c r="W310" i="5"/>
  <c r="X310" i="5"/>
  <c r="Z310" i="5"/>
  <c r="AA310" i="5" s="1"/>
  <c r="AB310" i="5" s="1"/>
  <c r="AP310" i="5" s="1"/>
  <c r="AC310" i="5"/>
  <c r="AH310" i="5"/>
  <c r="AQ310" i="5" s="1"/>
  <c r="AL310" i="5"/>
  <c r="W309" i="5"/>
  <c r="X309" i="5"/>
  <c r="Z309" i="5"/>
  <c r="AA309" i="5" s="1"/>
  <c r="AB309" i="5" s="1"/>
  <c r="AP309" i="5" s="1"/>
  <c r="AC309" i="5"/>
  <c r="AH309" i="5"/>
  <c r="AQ309" i="5" s="1"/>
  <c r="AL309" i="5"/>
  <c r="W308" i="5"/>
  <c r="X308" i="5"/>
  <c r="Z308" i="5"/>
  <c r="AA308" i="5" s="1"/>
  <c r="AB308" i="5" s="1"/>
  <c r="AP308" i="5" s="1"/>
  <c r="AC308" i="5"/>
  <c r="AH308" i="5"/>
  <c r="AQ308" i="5" s="1"/>
  <c r="AL308" i="5"/>
  <c r="W307" i="5"/>
  <c r="X307" i="5"/>
  <c r="Z307" i="5"/>
  <c r="AA307" i="5" s="1"/>
  <c r="AB307" i="5" s="1"/>
  <c r="AP307" i="5" s="1"/>
  <c r="AC307" i="5"/>
  <c r="AH307" i="5"/>
  <c r="AQ307" i="5" s="1"/>
  <c r="AL307" i="5"/>
  <c r="W306" i="5"/>
  <c r="X306" i="5"/>
  <c r="Z306" i="5"/>
  <c r="AA306" i="5" s="1"/>
  <c r="AB306" i="5" s="1"/>
  <c r="AP306" i="5" s="1"/>
  <c r="AC306" i="5"/>
  <c r="AH306" i="5"/>
  <c r="AQ306" i="5" s="1"/>
  <c r="AL306" i="5"/>
  <c r="W305" i="5"/>
  <c r="X305" i="5"/>
  <c r="Z305" i="5"/>
  <c r="AA305" i="5" s="1"/>
  <c r="AB305" i="5" s="1"/>
  <c r="AP305" i="5" s="1"/>
  <c r="AC305" i="5"/>
  <c r="AH305" i="5"/>
  <c r="AQ305" i="5" s="1"/>
  <c r="AL305" i="5"/>
  <c r="W304" i="5"/>
  <c r="X304" i="5"/>
  <c r="Z304" i="5"/>
  <c r="AA304" i="5" s="1"/>
  <c r="AB304" i="5" s="1"/>
  <c r="AP304" i="5" s="1"/>
  <c r="AC304" i="5"/>
  <c r="AH304" i="5"/>
  <c r="AQ304" i="5" s="1"/>
  <c r="AL304" i="5"/>
  <c r="W303" i="5"/>
  <c r="X303" i="5"/>
  <c r="Z303" i="5"/>
  <c r="AA303" i="5" s="1"/>
  <c r="AB303" i="5" s="1"/>
  <c r="AP303" i="5" s="1"/>
  <c r="AC303" i="5"/>
  <c r="AH303" i="5"/>
  <c r="AQ303" i="5" s="1"/>
  <c r="AL303" i="5"/>
  <c r="W302" i="5"/>
  <c r="X302" i="5"/>
  <c r="Z302" i="5"/>
  <c r="AA302" i="5" s="1"/>
  <c r="AB302" i="5" s="1"/>
  <c r="AP302" i="5" s="1"/>
  <c r="AC302" i="5"/>
  <c r="AH302" i="5"/>
  <c r="AQ302" i="5" s="1"/>
  <c r="AL302" i="5"/>
  <c r="W301" i="5"/>
  <c r="X301" i="5"/>
  <c r="Z301" i="5"/>
  <c r="AA301" i="5" s="1"/>
  <c r="AB301" i="5" s="1"/>
  <c r="AP301" i="5" s="1"/>
  <c r="AC301" i="5"/>
  <c r="AH301" i="5"/>
  <c r="AQ301" i="5" s="1"/>
  <c r="AL301" i="5"/>
  <c r="W300" i="5"/>
  <c r="X300" i="5"/>
  <c r="Z300" i="5"/>
  <c r="AA300" i="5" s="1"/>
  <c r="AB300" i="5" s="1"/>
  <c r="AP300" i="5" s="1"/>
  <c r="AC300" i="5"/>
  <c r="AH300" i="5"/>
  <c r="AQ300" i="5" s="1"/>
  <c r="AL300" i="5"/>
  <c r="W299" i="5"/>
  <c r="X299" i="5"/>
  <c r="Z299" i="5"/>
  <c r="AA299" i="5" s="1"/>
  <c r="AB299" i="5" s="1"/>
  <c r="AP299" i="5" s="1"/>
  <c r="AC299" i="5"/>
  <c r="AH299" i="5"/>
  <c r="AQ299" i="5" s="1"/>
  <c r="AL299" i="5"/>
  <c r="W298" i="5"/>
  <c r="X298" i="5"/>
  <c r="Z298" i="5"/>
  <c r="AA298" i="5" s="1"/>
  <c r="AB298" i="5" s="1"/>
  <c r="AP298" i="5" s="1"/>
  <c r="AC298" i="5"/>
  <c r="AH298" i="5"/>
  <c r="AQ298" i="5" s="1"/>
  <c r="AL298" i="5"/>
  <c r="W297" i="5"/>
  <c r="X297" i="5"/>
  <c r="Z297" i="5"/>
  <c r="AA297" i="5" s="1"/>
  <c r="AB297" i="5" s="1"/>
  <c r="AP297" i="5" s="1"/>
  <c r="AC297" i="5"/>
  <c r="AH297" i="5"/>
  <c r="AQ297" i="5" s="1"/>
  <c r="AL297" i="5"/>
  <c r="W296" i="5"/>
  <c r="X296" i="5"/>
  <c r="Z296" i="5"/>
  <c r="AA296" i="5" s="1"/>
  <c r="AB296" i="5" s="1"/>
  <c r="AP296" i="5" s="1"/>
  <c r="AC296" i="5"/>
  <c r="AH296" i="5"/>
  <c r="AQ296" i="5" s="1"/>
  <c r="AL296" i="5"/>
  <c r="W295" i="5"/>
  <c r="X295" i="5"/>
  <c r="Z295" i="5"/>
  <c r="AA295" i="5" s="1"/>
  <c r="AB295" i="5" s="1"/>
  <c r="AP295" i="5" s="1"/>
  <c r="AC295" i="5"/>
  <c r="AH295" i="5"/>
  <c r="AQ295" i="5" s="1"/>
  <c r="AL295" i="5"/>
  <c r="W294" i="5"/>
  <c r="X294" i="5"/>
  <c r="Z294" i="5"/>
  <c r="AA294" i="5" s="1"/>
  <c r="AB294" i="5" s="1"/>
  <c r="AP294" i="5" s="1"/>
  <c r="AC294" i="5"/>
  <c r="AH294" i="5"/>
  <c r="AQ294" i="5" s="1"/>
  <c r="AL294" i="5"/>
  <c r="W293" i="5"/>
  <c r="X293" i="5"/>
  <c r="Z293" i="5"/>
  <c r="AA293" i="5" s="1"/>
  <c r="AB293" i="5" s="1"/>
  <c r="AP293" i="5" s="1"/>
  <c r="AC293" i="5"/>
  <c r="AH293" i="5"/>
  <c r="AQ293" i="5" s="1"/>
  <c r="AL293" i="5"/>
  <c r="W292" i="5"/>
  <c r="X292" i="5"/>
  <c r="Z292" i="5"/>
  <c r="AA292" i="5" s="1"/>
  <c r="AB292" i="5" s="1"/>
  <c r="AP292" i="5" s="1"/>
  <c r="AC292" i="5"/>
  <c r="AH292" i="5"/>
  <c r="AQ292" i="5" s="1"/>
  <c r="AL292" i="5"/>
  <c r="W291" i="5"/>
  <c r="X291" i="5"/>
  <c r="Z291" i="5"/>
  <c r="AA291" i="5" s="1"/>
  <c r="AB291" i="5" s="1"/>
  <c r="AP291" i="5" s="1"/>
  <c r="AC291" i="5"/>
  <c r="AH291" i="5"/>
  <c r="AQ291" i="5" s="1"/>
  <c r="AL291" i="5"/>
  <c r="W290" i="5"/>
  <c r="X290" i="5"/>
  <c r="Z290" i="5"/>
  <c r="AA290" i="5" s="1"/>
  <c r="AB290" i="5" s="1"/>
  <c r="AP290" i="5" s="1"/>
  <c r="AC290" i="5"/>
  <c r="AH290" i="5"/>
  <c r="AQ290" i="5" s="1"/>
  <c r="AL290" i="5"/>
  <c r="W289" i="5"/>
  <c r="X289" i="5"/>
  <c r="Z289" i="5"/>
  <c r="AA289" i="5" s="1"/>
  <c r="AB289" i="5" s="1"/>
  <c r="AP289" i="5" s="1"/>
  <c r="AC289" i="5"/>
  <c r="AH289" i="5"/>
  <c r="AQ289" i="5" s="1"/>
  <c r="AL289" i="5"/>
  <c r="W288" i="5"/>
  <c r="X288" i="5"/>
  <c r="Z288" i="5"/>
  <c r="AA288" i="5" s="1"/>
  <c r="AB288" i="5" s="1"/>
  <c r="AP288" i="5" s="1"/>
  <c r="AC288" i="5"/>
  <c r="AH288" i="5"/>
  <c r="AQ288" i="5" s="1"/>
  <c r="AL288" i="5"/>
  <c r="W287" i="5"/>
  <c r="X287" i="5"/>
  <c r="Z287" i="5"/>
  <c r="AA287" i="5" s="1"/>
  <c r="AB287" i="5" s="1"/>
  <c r="AP287" i="5" s="1"/>
  <c r="AC287" i="5"/>
  <c r="AH287" i="5"/>
  <c r="AQ287" i="5" s="1"/>
  <c r="AL287" i="5"/>
  <c r="W286" i="5"/>
  <c r="X286" i="5"/>
  <c r="Z286" i="5"/>
  <c r="AA286" i="5" s="1"/>
  <c r="AB286" i="5" s="1"/>
  <c r="AP286" i="5" s="1"/>
  <c r="AC286" i="5"/>
  <c r="AH286" i="5"/>
  <c r="AQ286" i="5" s="1"/>
  <c r="AL286" i="5"/>
  <c r="W285" i="5"/>
  <c r="X285" i="5"/>
  <c r="Z285" i="5"/>
  <c r="AA285" i="5" s="1"/>
  <c r="AB285" i="5" s="1"/>
  <c r="AP285" i="5" s="1"/>
  <c r="AC285" i="5"/>
  <c r="AH285" i="5"/>
  <c r="AQ285" i="5" s="1"/>
  <c r="AL285" i="5"/>
  <c r="W284" i="5"/>
  <c r="X284" i="5"/>
  <c r="Z284" i="5"/>
  <c r="AA284" i="5" s="1"/>
  <c r="AB284" i="5" s="1"/>
  <c r="AP284" i="5" s="1"/>
  <c r="AC284" i="5"/>
  <c r="AH284" i="5"/>
  <c r="AQ284" i="5" s="1"/>
  <c r="AL284" i="5"/>
  <c r="W283" i="5"/>
  <c r="X283" i="5"/>
  <c r="Z283" i="5"/>
  <c r="AA283" i="5" s="1"/>
  <c r="AB283" i="5" s="1"/>
  <c r="AP283" i="5" s="1"/>
  <c r="AC283" i="5"/>
  <c r="AH283" i="5"/>
  <c r="AQ283" i="5" s="1"/>
  <c r="AL283" i="5"/>
  <c r="W282" i="5"/>
  <c r="X282" i="5"/>
  <c r="Z282" i="5"/>
  <c r="AA282" i="5" s="1"/>
  <c r="AB282" i="5" s="1"/>
  <c r="AP282" i="5" s="1"/>
  <c r="AC282" i="5"/>
  <c r="AH282" i="5"/>
  <c r="AQ282" i="5" s="1"/>
  <c r="AL282" i="5"/>
  <c r="W281" i="5"/>
  <c r="X281" i="5"/>
  <c r="Z281" i="5"/>
  <c r="AA281" i="5" s="1"/>
  <c r="AB281" i="5" s="1"/>
  <c r="AP281" i="5" s="1"/>
  <c r="AC281" i="5"/>
  <c r="AH281" i="5"/>
  <c r="AQ281" i="5" s="1"/>
  <c r="AL281" i="5"/>
  <c r="W280" i="5"/>
  <c r="X280" i="5"/>
  <c r="Z280" i="5"/>
  <c r="AA280" i="5" s="1"/>
  <c r="AB280" i="5" s="1"/>
  <c r="AP280" i="5" s="1"/>
  <c r="AC280" i="5"/>
  <c r="AH280" i="5"/>
  <c r="AQ280" i="5" s="1"/>
  <c r="AL280" i="5"/>
  <c r="W279" i="5"/>
  <c r="X279" i="5"/>
  <c r="Z279" i="5"/>
  <c r="AA279" i="5" s="1"/>
  <c r="AB279" i="5" s="1"/>
  <c r="AP279" i="5" s="1"/>
  <c r="AC279" i="5"/>
  <c r="AH279" i="5"/>
  <c r="AQ279" i="5" s="1"/>
  <c r="AL279" i="5"/>
  <c r="W278" i="5"/>
  <c r="X278" i="5"/>
  <c r="Z278" i="5"/>
  <c r="AA278" i="5" s="1"/>
  <c r="AB278" i="5" s="1"/>
  <c r="AP278" i="5" s="1"/>
  <c r="AC278" i="5"/>
  <c r="AH278" i="5"/>
  <c r="AQ278" i="5" s="1"/>
  <c r="AL278" i="5"/>
  <c r="W277" i="5"/>
  <c r="X277" i="5"/>
  <c r="Z277" i="5"/>
  <c r="AA277" i="5" s="1"/>
  <c r="AB277" i="5" s="1"/>
  <c r="AP277" i="5" s="1"/>
  <c r="AC277" i="5"/>
  <c r="AH277" i="5"/>
  <c r="AQ277" i="5" s="1"/>
  <c r="AL277" i="5"/>
  <c r="W276" i="5"/>
  <c r="X276" i="5"/>
  <c r="Z276" i="5"/>
  <c r="AA276" i="5" s="1"/>
  <c r="AB276" i="5" s="1"/>
  <c r="AP276" i="5" s="1"/>
  <c r="AC276" i="5"/>
  <c r="AH276" i="5"/>
  <c r="AQ276" i="5" s="1"/>
  <c r="AL276" i="5"/>
  <c r="W275" i="5"/>
  <c r="X275" i="5"/>
  <c r="Z275" i="5"/>
  <c r="AA275" i="5" s="1"/>
  <c r="AB275" i="5" s="1"/>
  <c r="AP275" i="5" s="1"/>
  <c r="AC275" i="5"/>
  <c r="AH275" i="5"/>
  <c r="AQ275" i="5" s="1"/>
  <c r="AL275" i="5"/>
  <c r="W274" i="5"/>
  <c r="X274" i="5"/>
  <c r="Z274" i="5"/>
  <c r="AA274" i="5" s="1"/>
  <c r="AB274" i="5" s="1"/>
  <c r="AP274" i="5" s="1"/>
  <c r="AC274" i="5"/>
  <c r="AH274" i="5"/>
  <c r="AQ274" i="5" s="1"/>
  <c r="AL274" i="5"/>
  <c r="W273" i="5"/>
  <c r="X273" i="5"/>
  <c r="Z273" i="5"/>
  <c r="AA273" i="5" s="1"/>
  <c r="AB273" i="5" s="1"/>
  <c r="AP273" i="5" s="1"/>
  <c r="AC273" i="5"/>
  <c r="AH273" i="5"/>
  <c r="AQ273" i="5" s="1"/>
  <c r="AL273" i="5"/>
  <c r="W272" i="5"/>
  <c r="X272" i="5"/>
  <c r="Z272" i="5"/>
  <c r="AA272" i="5" s="1"/>
  <c r="AB272" i="5" s="1"/>
  <c r="AP272" i="5" s="1"/>
  <c r="AC272" i="5"/>
  <c r="AH272" i="5"/>
  <c r="AQ272" i="5" s="1"/>
  <c r="AL272" i="5"/>
  <c r="W271" i="5"/>
  <c r="X271" i="5"/>
  <c r="Z271" i="5"/>
  <c r="AA271" i="5" s="1"/>
  <c r="AB271" i="5" s="1"/>
  <c r="AP271" i="5" s="1"/>
  <c r="AC271" i="5"/>
  <c r="AH271" i="5"/>
  <c r="AQ271" i="5" s="1"/>
  <c r="AL271" i="5"/>
  <c r="W270" i="5"/>
  <c r="X270" i="5"/>
  <c r="Z270" i="5"/>
  <c r="AA270" i="5" s="1"/>
  <c r="AB270" i="5" s="1"/>
  <c r="AP270" i="5" s="1"/>
  <c r="AC270" i="5"/>
  <c r="AH270" i="5"/>
  <c r="AQ270" i="5" s="1"/>
  <c r="AL270" i="5"/>
  <c r="W269" i="5"/>
  <c r="X269" i="5"/>
  <c r="Z269" i="5"/>
  <c r="AA269" i="5" s="1"/>
  <c r="AB269" i="5" s="1"/>
  <c r="AP269" i="5" s="1"/>
  <c r="AC269" i="5"/>
  <c r="AH269" i="5"/>
  <c r="AQ269" i="5" s="1"/>
  <c r="AL269" i="5"/>
  <c r="W268" i="5"/>
  <c r="X268" i="5"/>
  <c r="Z268" i="5"/>
  <c r="AA268" i="5" s="1"/>
  <c r="AB268" i="5" s="1"/>
  <c r="AP268" i="5" s="1"/>
  <c r="AC268" i="5"/>
  <c r="AH268" i="5"/>
  <c r="AQ268" i="5" s="1"/>
  <c r="AL268" i="5"/>
  <c r="W267" i="5"/>
  <c r="X267" i="5"/>
  <c r="Z267" i="5"/>
  <c r="AA267" i="5" s="1"/>
  <c r="AB267" i="5" s="1"/>
  <c r="AP267" i="5" s="1"/>
  <c r="AC267" i="5"/>
  <c r="AH267" i="5"/>
  <c r="AQ267" i="5" s="1"/>
  <c r="AL267" i="5"/>
  <c r="W266" i="5"/>
  <c r="X266" i="5"/>
  <c r="Z266" i="5"/>
  <c r="AA266" i="5" s="1"/>
  <c r="AB266" i="5" s="1"/>
  <c r="AP266" i="5" s="1"/>
  <c r="AC266" i="5"/>
  <c r="AH266" i="5"/>
  <c r="AQ266" i="5" s="1"/>
  <c r="AL266" i="5"/>
  <c r="W265" i="5"/>
  <c r="X265" i="5"/>
  <c r="Z265" i="5"/>
  <c r="AA265" i="5" s="1"/>
  <c r="AB265" i="5" s="1"/>
  <c r="AP265" i="5" s="1"/>
  <c r="AC265" i="5"/>
  <c r="AH265" i="5"/>
  <c r="AQ265" i="5" s="1"/>
  <c r="AL265" i="5"/>
  <c r="W264" i="5"/>
  <c r="X264" i="5"/>
  <c r="Z264" i="5"/>
  <c r="AA264" i="5" s="1"/>
  <c r="AB264" i="5" s="1"/>
  <c r="AP264" i="5" s="1"/>
  <c r="AC264" i="5"/>
  <c r="AH264" i="5"/>
  <c r="AQ264" i="5" s="1"/>
  <c r="AL264" i="5"/>
  <c r="W263" i="5"/>
  <c r="X263" i="5"/>
  <c r="Z263" i="5"/>
  <c r="AA263" i="5" s="1"/>
  <c r="AB263" i="5" s="1"/>
  <c r="AP263" i="5" s="1"/>
  <c r="AC263" i="5"/>
  <c r="AH263" i="5"/>
  <c r="AQ263" i="5" s="1"/>
  <c r="AL263" i="5"/>
  <c r="W262" i="5"/>
  <c r="X262" i="5"/>
  <c r="Z262" i="5"/>
  <c r="AA262" i="5" s="1"/>
  <c r="AB262" i="5" s="1"/>
  <c r="AP262" i="5" s="1"/>
  <c r="AC262" i="5"/>
  <c r="AH262" i="5"/>
  <c r="AQ262" i="5" s="1"/>
  <c r="AL262" i="5"/>
  <c r="W261" i="5"/>
  <c r="X261" i="5"/>
  <c r="Z261" i="5"/>
  <c r="AA261" i="5" s="1"/>
  <c r="AB261" i="5" s="1"/>
  <c r="AP261" i="5" s="1"/>
  <c r="AC261" i="5"/>
  <c r="AH261" i="5"/>
  <c r="AQ261" i="5" s="1"/>
  <c r="AL261" i="5"/>
  <c r="W260" i="5"/>
  <c r="X260" i="5"/>
  <c r="Z260" i="5"/>
  <c r="AA260" i="5" s="1"/>
  <c r="AB260" i="5" s="1"/>
  <c r="AP260" i="5" s="1"/>
  <c r="AC260" i="5"/>
  <c r="AH260" i="5"/>
  <c r="AQ260" i="5" s="1"/>
  <c r="AL260" i="5"/>
  <c r="W259" i="5"/>
  <c r="X259" i="5"/>
  <c r="Z259" i="5"/>
  <c r="AA259" i="5" s="1"/>
  <c r="AB259" i="5" s="1"/>
  <c r="AP259" i="5" s="1"/>
  <c r="AC259" i="5"/>
  <c r="AH259" i="5"/>
  <c r="AQ259" i="5" s="1"/>
  <c r="AL259" i="5"/>
  <c r="W258" i="5"/>
  <c r="X258" i="5"/>
  <c r="Z258" i="5"/>
  <c r="AA258" i="5" s="1"/>
  <c r="AB258" i="5" s="1"/>
  <c r="AP258" i="5" s="1"/>
  <c r="AC258" i="5"/>
  <c r="AH258" i="5"/>
  <c r="AQ258" i="5" s="1"/>
  <c r="AL258" i="5"/>
  <c r="W257" i="5"/>
  <c r="X257" i="5"/>
  <c r="Z257" i="5"/>
  <c r="AA257" i="5" s="1"/>
  <c r="AB257" i="5" s="1"/>
  <c r="AP257" i="5" s="1"/>
  <c r="AC257" i="5"/>
  <c r="AH257" i="5"/>
  <c r="AQ257" i="5" s="1"/>
  <c r="AL257" i="5"/>
  <c r="W256" i="5"/>
  <c r="X256" i="5"/>
  <c r="Z256" i="5"/>
  <c r="AA256" i="5" s="1"/>
  <c r="AB256" i="5" s="1"/>
  <c r="AP256" i="5" s="1"/>
  <c r="AC256" i="5"/>
  <c r="AH256" i="5"/>
  <c r="AQ256" i="5" s="1"/>
  <c r="AL256" i="5"/>
  <c r="W255" i="5"/>
  <c r="X255" i="5"/>
  <c r="Z255" i="5"/>
  <c r="AA255" i="5" s="1"/>
  <c r="AB255" i="5" s="1"/>
  <c r="AP255" i="5" s="1"/>
  <c r="AC255" i="5"/>
  <c r="AH255" i="5"/>
  <c r="AQ255" i="5" s="1"/>
  <c r="AL255" i="5"/>
  <c r="W254" i="5"/>
  <c r="X254" i="5"/>
  <c r="Z254" i="5"/>
  <c r="AA254" i="5" s="1"/>
  <c r="AB254" i="5" s="1"/>
  <c r="AP254" i="5" s="1"/>
  <c r="AC254" i="5"/>
  <c r="AH254" i="5"/>
  <c r="AQ254" i="5" s="1"/>
  <c r="AL254" i="5"/>
  <c r="W253" i="5"/>
  <c r="X253" i="5"/>
  <c r="Z253" i="5"/>
  <c r="AA253" i="5" s="1"/>
  <c r="AB253" i="5" s="1"/>
  <c r="AP253" i="5" s="1"/>
  <c r="AC253" i="5"/>
  <c r="AH253" i="5"/>
  <c r="AQ253" i="5" s="1"/>
  <c r="AL253" i="5"/>
  <c r="W252" i="5"/>
  <c r="X252" i="5"/>
  <c r="Z252" i="5"/>
  <c r="AA252" i="5" s="1"/>
  <c r="AB252" i="5" s="1"/>
  <c r="AP252" i="5" s="1"/>
  <c r="AC252" i="5"/>
  <c r="AH252" i="5"/>
  <c r="AQ252" i="5" s="1"/>
  <c r="AL252" i="5"/>
  <c r="W251" i="5"/>
  <c r="X251" i="5"/>
  <c r="Z251" i="5"/>
  <c r="AA251" i="5" s="1"/>
  <c r="AB251" i="5" s="1"/>
  <c r="AP251" i="5" s="1"/>
  <c r="AC251" i="5"/>
  <c r="AH251" i="5"/>
  <c r="AQ251" i="5" s="1"/>
  <c r="AL251" i="5"/>
  <c r="W250" i="5"/>
  <c r="X250" i="5"/>
  <c r="Z250" i="5"/>
  <c r="AA250" i="5" s="1"/>
  <c r="AB250" i="5" s="1"/>
  <c r="AP250" i="5" s="1"/>
  <c r="AC250" i="5"/>
  <c r="AH250" i="5"/>
  <c r="AQ250" i="5" s="1"/>
  <c r="AL250" i="5"/>
  <c r="W249" i="5"/>
  <c r="X249" i="5"/>
  <c r="Z249" i="5"/>
  <c r="AA249" i="5" s="1"/>
  <c r="AB249" i="5" s="1"/>
  <c r="AP249" i="5" s="1"/>
  <c r="AC249" i="5"/>
  <c r="AH249" i="5"/>
  <c r="AQ249" i="5" s="1"/>
  <c r="AL249" i="5"/>
  <c r="W248" i="5"/>
  <c r="X248" i="5"/>
  <c r="Z248" i="5"/>
  <c r="AA248" i="5" s="1"/>
  <c r="AB248" i="5" s="1"/>
  <c r="AP248" i="5" s="1"/>
  <c r="AC248" i="5"/>
  <c r="AH248" i="5"/>
  <c r="AQ248" i="5" s="1"/>
  <c r="AL248" i="5"/>
  <c r="W247" i="5"/>
  <c r="X247" i="5"/>
  <c r="Z247" i="5"/>
  <c r="AA247" i="5" s="1"/>
  <c r="AB247" i="5" s="1"/>
  <c r="AP247" i="5" s="1"/>
  <c r="AC247" i="5"/>
  <c r="AH247" i="5"/>
  <c r="AQ247" i="5" s="1"/>
  <c r="AL247" i="5"/>
  <c r="W246" i="5"/>
  <c r="X246" i="5"/>
  <c r="Z246" i="5"/>
  <c r="AA246" i="5" s="1"/>
  <c r="AB246" i="5" s="1"/>
  <c r="AP246" i="5" s="1"/>
  <c r="AC246" i="5"/>
  <c r="AH246" i="5"/>
  <c r="AQ246" i="5" s="1"/>
  <c r="AL246" i="5"/>
  <c r="W245" i="5"/>
  <c r="X245" i="5"/>
  <c r="Z245" i="5"/>
  <c r="AA245" i="5" s="1"/>
  <c r="AB245" i="5" s="1"/>
  <c r="AP245" i="5" s="1"/>
  <c r="AC245" i="5"/>
  <c r="AH245" i="5"/>
  <c r="AQ245" i="5" s="1"/>
  <c r="AL245" i="5"/>
  <c r="W244" i="5"/>
  <c r="X244" i="5"/>
  <c r="Z244" i="5"/>
  <c r="AA244" i="5" s="1"/>
  <c r="AB244" i="5" s="1"/>
  <c r="AP244" i="5" s="1"/>
  <c r="AC244" i="5"/>
  <c r="AH244" i="5"/>
  <c r="AQ244" i="5" s="1"/>
  <c r="AL244" i="5"/>
  <c r="W243" i="5"/>
  <c r="X243" i="5"/>
  <c r="Z243" i="5"/>
  <c r="AA243" i="5" s="1"/>
  <c r="AB243" i="5" s="1"/>
  <c r="AP243" i="5" s="1"/>
  <c r="AC243" i="5"/>
  <c r="AH243" i="5"/>
  <c r="AQ243" i="5" s="1"/>
  <c r="AL243" i="5"/>
  <c r="W242" i="5"/>
  <c r="X242" i="5"/>
  <c r="Z242" i="5"/>
  <c r="AA242" i="5" s="1"/>
  <c r="AB242" i="5" s="1"/>
  <c r="AP242" i="5" s="1"/>
  <c r="AC242" i="5"/>
  <c r="AH242" i="5"/>
  <c r="AQ242" i="5" s="1"/>
  <c r="AL242" i="5"/>
  <c r="W241" i="5"/>
  <c r="X241" i="5"/>
  <c r="Z241" i="5"/>
  <c r="AA241" i="5" s="1"/>
  <c r="AB241" i="5" s="1"/>
  <c r="AP241" i="5" s="1"/>
  <c r="AC241" i="5"/>
  <c r="AH241" i="5"/>
  <c r="AQ241" i="5" s="1"/>
  <c r="AL241" i="5"/>
  <c r="W240" i="5"/>
  <c r="X240" i="5"/>
  <c r="Z240" i="5"/>
  <c r="AA240" i="5" s="1"/>
  <c r="AB240" i="5" s="1"/>
  <c r="AP240" i="5" s="1"/>
  <c r="AC240" i="5"/>
  <c r="AH240" i="5"/>
  <c r="AQ240" i="5" s="1"/>
  <c r="AL240" i="5"/>
  <c r="W239" i="5"/>
  <c r="X239" i="5"/>
  <c r="Z239" i="5"/>
  <c r="AA239" i="5" s="1"/>
  <c r="AB239" i="5" s="1"/>
  <c r="AP239" i="5" s="1"/>
  <c r="AC239" i="5"/>
  <c r="AH239" i="5"/>
  <c r="AQ239" i="5" s="1"/>
  <c r="AL239" i="5"/>
  <c r="W238" i="5"/>
  <c r="X238" i="5"/>
  <c r="Z238" i="5"/>
  <c r="AA238" i="5" s="1"/>
  <c r="AB238" i="5" s="1"/>
  <c r="AP238" i="5" s="1"/>
  <c r="AC238" i="5"/>
  <c r="AH238" i="5"/>
  <c r="AQ238" i="5" s="1"/>
  <c r="AL238" i="5"/>
  <c r="W237" i="5"/>
  <c r="X237" i="5"/>
  <c r="Z237" i="5"/>
  <c r="AA237" i="5" s="1"/>
  <c r="AB237" i="5" s="1"/>
  <c r="AP237" i="5" s="1"/>
  <c r="AC237" i="5"/>
  <c r="AH237" i="5"/>
  <c r="AQ237" i="5" s="1"/>
  <c r="AL237" i="5"/>
  <c r="W236" i="5"/>
  <c r="X236" i="5"/>
  <c r="Z236" i="5"/>
  <c r="AA236" i="5" s="1"/>
  <c r="AB236" i="5" s="1"/>
  <c r="AP236" i="5" s="1"/>
  <c r="AC236" i="5"/>
  <c r="AH236" i="5"/>
  <c r="AQ236" i="5" s="1"/>
  <c r="AL236" i="5"/>
  <c r="W235" i="5"/>
  <c r="X235" i="5"/>
  <c r="Z235" i="5"/>
  <c r="AA235" i="5" s="1"/>
  <c r="AB235" i="5" s="1"/>
  <c r="AP235" i="5" s="1"/>
  <c r="AC235" i="5"/>
  <c r="AH235" i="5"/>
  <c r="AQ235" i="5" s="1"/>
  <c r="AL235" i="5"/>
  <c r="W234" i="5"/>
  <c r="X234" i="5"/>
  <c r="Z234" i="5"/>
  <c r="AA234" i="5" s="1"/>
  <c r="AB234" i="5" s="1"/>
  <c r="AP234" i="5" s="1"/>
  <c r="AC234" i="5"/>
  <c r="AH234" i="5"/>
  <c r="AQ234" i="5" s="1"/>
  <c r="AL234" i="5"/>
  <c r="W81" i="5"/>
  <c r="X81" i="5"/>
  <c r="AH81" i="5"/>
  <c r="AQ81" i="5" s="1"/>
  <c r="AI81" i="5"/>
  <c r="AL81" i="5"/>
  <c r="W80" i="5"/>
  <c r="X80" i="5"/>
  <c r="AH80" i="5"/>
  <c r="AQ80" i="5" s="1"/>
  <c r="AI80" i="5"/>
  <c r="AL80" i="5"/>
  <c r="W77" i="5"/>
  <c r="X77" i="5"/>
  <c r="AH77" i="5"/>
  <c r="AQ77" i="5" s="1"/>
  <c r="AI77" i="5"/>
  <c r="AL77" i="5"/>
  <c r="X75" i="5"/>
  <c r="AI75" i="5"/>
  <c r="W75" i="5"/>
  <c r="AH75" i="5"/>
  <c r="AQ75" i="5" s="1"/>
  <c r="AL75" i="5"/>
  <c r="X73" i="5"/>
  <c r="AI73" i="5"/>
  <c r="AL73" i="5"/>
  <c r="W73" i="5"/>
  <c r="AH73" i="5"/>
  <c r="AQ73" i="5" s="1"/>
  <c r="W69" i="5"/>
  <c r="AH69" i="5"/>
  <c r="AQ69" i="5" s="1"/>
  <c r="AI69" i="5"/>
  <c r="AL69" i="5"/>
  <c r="X69" i="5"/>
  <c r="X68" i="5"/>
  <c r="AH68" i="5"/>
  <c r="AQ68" i="5" s="1"/>
  <c r="W68" i="5"/>
  <c r="AI68" i="5"/>
  <c r="AL68" i="5"/>
  <c r="M487" i="7"/>
  <c r="P487" i="7"/>
  <c r="Q487" i="7"/>
  <c r="M488" i="7"/>
  <c r="P488" i="7"/>
  <c r="Q488" i="7"/>
  <c r="M489" i="7"/>
  <c r="P489" i="7"/>
  <c r="Q489" i="7"/>
  <c r="M490" i="7"/>
  <c r="P490" i="7"/>
  <c r="Q490" i="7"/>
  <c r="M491" i="7"/>
  <c r="P491" i="7"/>
  <c r="Q491" i="7"/>
  <c r="M492" i="7"/>
  <c r="P492" i="7"/>
  <c r="Q492" i="7"/>
  <c r="M493" i="7"/>
  <c r="P493" i="7"/>
  <c r="Q493" i="7"/>
  <c r="M494" i="7"/>
  <c r="P494" i="7"/>
  <c r="Q494" i="7"/>
  <c r="M495" i="7"/>
  <c r="P495" i="7"/>
  <c r="Q495" i="7"/>
  <c r="M496" i="7"/>
  <c r="P496" i="7"/>
  <c r="Q496" i="7"/>
  <c r="M497" i="7"/>
  <c r="P497" i="7"/>
  <c r="Q497" i="7"/>
  <c r="M498" i="7"/>
  <c r="P498" i="7"/>
  <c r="Q498" i="7"/>
  <c r="M499" i="7"/>
  <c r="P499" i="7"/>
  <c r="Q499" i="7"/>
  <c r="M500" i="7"/>
  <c r="P500" i="7"/>
  <c r="Q500" i="7"/>
  <c r="M501" i="7"/>
  <c r="P501" i="7"/>
  <c r="Q501" i="7"/>
  <c r="M502" i="7"/>
  <c r="P502" i="7"/>
  <c r="Q502" i="7"/>
  <c r="M503" i="7"/>
  <c r="P503" i="7"/>
  <c r="Q503" i="7"/>
  <c r="M504" i="7"/>
  <c r="P504" i="7"/>
  <c r="Q504" i="7"/>
  <c r="M505" i="7"/>
  <c r="P505" i="7"/>
  <c r="Q505" i="7"/>
  <c r="M506" i="7"/>
  <c r="P506" i="7"/>
  <c r="Q506" i="7"/>
  <c r="M507" i="7"/>
  <c r="P507" i="7"/>
  <c r="Q507" i="7"/>
  <c r="M508" i="7"/>
  <c r="P508" i="7"/>
  <c r="Q508" i="7"/>
  <c r="M509" i="7"/>
  <c r="P509" i="7"/>
  <c r="Q509" i="7"/>
  <c r="G10" i="8"/>
  <c r="I10" i="8"/>
  <c r="G11" i="8"/>
  <c r="I11" i="8"/>
  <c r="G12" i="8"/>
  <c r="I12" i="8"/>
  <c r="G13" i="8"/>
  <c r="I13" i="8"/>
  <c r="G14" i="8"/>
  <c r="I14" i="8"/>
  <c r="G15" i="8"/>
  <c r="I15" i="8"/>
  <c r="G16" i="8"/>
  <c r="I16" i="8"/>
  <c r="G17" i="8"/>
  <c r="I17" i="8"/>
  <c r="G18" i="8"/>
  <c r="I18" i="8"/>
  <c r="G19" i="8"/>
  <c r="I19" i="8"/>
  <c r="G20" i="8"/>
  <c r="I20" i="8"/>
  <c r="G21" i="8"/>
  <c r="I21" i="8"/>
  <c r="G22" i="8"/>
  <c r="I22" i="8"/>
  <c r="G23" i="8"/>
  <c r="I23" i="8"/>
  <c r="G73" i="8"/>
  <c r="I73" i="8"/>
  <c r="M482" i="7"/>
  <c r="P482" i="7"/>
  <c r="Q482" i="7"/>
  <c r="M481" i="7"/>
  <c r="P481" i="7"/>
  <c r="Q481" i="7"/>
  <c r="M480" i="7"/>
  <c r="P480" i="7"/>
  <c r="Q480" i="7"/>
  <c r="M479" i="7"/>
  <c r="P479" i="7"/>
  <c r="Q479" i="7"/>
  <c r="W467" i="5"/>
  <c r="X467" i="5"/>
  <c r="Z467" i="5"/>
  <c r="AA467" i="5" s="1"/>
  <c r="AB467" i="5" s="1"/>
  <c r="AP467" i="5" s="1"/>
  <c r="AC467" i="5"/>
  <c r="AH467" i="5"/>
  <c r="AQ467" i="5" s="1"/>
  <c r="AL467" i="5"/>
  <c r="W468" i="5"/>
  <c r="X468" i="5"/>
  <c r="Z468" i="5"/>
  <c r="AA468" i="5" s="1"/>
  <c r="AB468" i="5" s="1"/>
  <c r="AP468" i="5" s="1"/>
  <c r="AC468" i="5"/>
  <c r="AH468" i="5"/>
  <c r="AQ468" i="5" s="1"/>
  <c r="AL468" i="5"/>
  <c r="W469" i="5"/>
  <c r="X469" i="5"/>
  <c r="Z469" i="5"/>
  <c r="AA469" i="5" s="1"/>
  <c r="AB469" i="5" s="1"/>
  <c r="AP469" i="5" s="1"/>
  <c r="AC469" i="5"/>
  <c r="AH469" i="5"/>
  <c r="AQ469" i="5" s="1"/>
  <c r="AL469" i="5"/>
  <c r="W470" i="5"/>
  <c r="X470" i="5"/>
  <c r="Z470" i="5"/>
  <c r="AA470" i="5" s="1"/>
  <c r="AB470" i="5" s="1"/>
  <c r="AP470" i="5" s="1"/>
  <c r="AC470" i="5"/>
  <c r="AH470" i="5"/>
  <c r="AQ470" i="5" s="1"/>
  <c r="AL470" i="5"/>
  <c r="W471" i="5"/>
  <c r="X471" i="5"/>
  <c r="Z471" i="5"/>
  <c r="AA471" i="5" s="1"/>
  <c r="AB471" i="5" s="1"/>
  <c r="AP471" i="5" s="1"/>
  <c r="AC471" i="5"/>
  <c r="AH471" i="5"/>
  <c r="AQ471" i="5" s="1"/>
  <c r="AL471" i="5"/>
  <c r="W10" i="5"/>
  <c r="X10" i="5"/>
  <c r="AH10" i="5"/>
  <c r="AQ10" i="5" s="1"/>
  <c r="AI10" i="5"/>
  <c r="AL10" i="5"/>
  <c r="G74" i="8"/>
  <c r="I74" i="8"/>
  <c r="G75" i="8"/>
  <c r="I75" i="8"/>
  <c r="G76" i="8"/>
  <c r="H76" i="8" s="1"/>
  <c r="I76" i="8"/>
  <c r="G77" i="8"/>
  <c r="I77" i="8"/>
  <c r="G78" i="8"/>
  <c r="H78" i="8" s="1"/>
  <c r="I78" i="8"/>
  <c r="G79" i="8"/>
  <c r="H79" i="8" s="1"/>
  <c r="I79" i="8"/>
  <c r="W334" i="5"/>
  <c r="X334" i="5"/>
  <c r="Z334" i="5"/>
  <c r="AA334" i="5" s="1"/>
  <c r="AB334" i="5" s="1"/>
  <c r="AP334" i="5" s="1"/>
  <c r="AC334" i="5"/>
  <c r="AH334" i="5"/>
  <c r="AQ334" i="5" s="1"/>
  <c r="AL334" i="5"/>
  <c r="W333" i="5"/>
  <c r="X333" i="5"/>
  <c r="Z333" i="5"/>
  <c r="AA333" i="5" s="1"/>
  <c r="AB333" i="5" s="1"/>
  <c r="AP333" i="5" s="1"/>
  <c r="AC333" i="5"/>
  <c r="AH333" i="5"/>
  <c r="AQ333" i="5" s="1"/>
  <c r="AL333" i="5"/>
  <c r="W332" i="5"/>
  <c r="X332" i="5"/>
  <c r="Z332" i="5"/>
  <c r="AA332" i="5" s="1"/>
  <c r="AB332" i="5" s="1"/>
  <c r="AP332" i="5" s="1"/>
  <c r="AC332" i="5"/>
  <c r="AH332" i="5"/>
  <c r="AQ332" i="5" s="1"/>
  <c r="AL332" i="5"/>
  <c r="W331" i="5"/>
  <c r="X331" i="5"/>
  <c r="Z331" i="5"/>
  <c r="AA331" i="5" s="1"/>
  <c r="AB331" i="5" s="1"/>
  <c r="AP331" i="5" s="1"/>
  <c r="AC331" i="5"/>
  <c r="AH331" i="5"/>
  <c r="AQ331" i="5" s="1"/>
  <c r="AL331" i="5"/>
  <c r="W330" i="5"/>
  <c r="X330" i="5"/>
  <c r="Z330" i="5"/>
  <c r="AA330" i="5" s="1"/>
  <c r="AB330" i="5" s="1"/>
  <c r="AP330" i="5" s="1"/>
  <c r="AC330" i="5"/>
  <c r="AH330" i="5"/>
  <c r="AQ330" i="5" s="1"/>
  <c r="AL330" i="5"/>
  <c r="W329" i="5"/>
  <c r="X329" i="5"/>
  <c r="Z329" i="5"/>
  <c r="AA329" i="5" s="1"/>
  <c r="AB329" i="5" s="1"/>
  <c r="AP329" i="5" s="1"/>
  <c r="AC329" i="5"/>
  <c r="AH329" i="5"/>
  <c r="AQ329" i="5" s="1"/>
  <c r="AL329" i="5"/>
  <c r="W328" i="5"/>
  <c r="X328" i="5"/>
  <c r="Z328" i="5"/>
  <c r="AA328" i="5" s="1"/>
  <c r="AB328" i="5" s="1"/>
  <c r="AP328" i="5" s="1"/>
  <c r="AC328" i="5"/>
  <c r="AH328" i="5"/>
  <c r="AQ328" i="5" s="1"/>
  <c r="AL328" i="5"/>
  <c r="W327" i="5"/>
  <c r="X327" i="5"/>
  <c r="Z327" i="5"/>
  <c r="AA327" i="5" s="1"/>
  <c r="AB327" i="5" s="1"/>
  <c r="AP327" i="5" s="1"/>
  <c r="AC327" i="5"/>
  <c r="AH327" i="5"/>
  <c r="AQ327" i="5" s="1"/>
  <c r="AL327" i="5"/>
  <c r="W326" i="5"/>
  <c r="X326" i="5"/>
  <c r="Z326" i="5"/>
  <c r="AA326" i="5" s="1"/>
  <c r="AB326" i="5" s="1"/>
  <c r="AP326" i="5" s="1"/>
  <c r="AC326" i="5"/>
  <c r="AH326" i="5"/>
  <c r="AQ326" i="5" s="1"/>
  <c r="AL326" i="5"/>
  <c r="W325" i="5"/>
  <c r="X325" i="5"/>
  <c r="Z325" i="5"/>
  <c r="AA325" i="5" s="1"/>
  <c r="AB325" i="5" s="1"/>
  <c r="AP325" i="5" s="1"/>
  <c r="AC325" i="5"/>
  <c r="AH325" i="5"/>
  <c r="AQ325" i="5" s="1"/>
  <c r="AL325" i="5"/>
  <c r="M486" i="7"/>
  <c r="P486" i="7"/>
  <c r="Q486" i="7"/>
  <c r="M171" i="7"/>
  <c r="P171" i="7"/>
  <c r="Q171" i="7"/>
  <c r="M170" i="7"/>
  <c r="P170" i="7"/>
  <c r="Q170" i="7"/>
  <c r="M169" i="7"/>
  <c r="P169" i="7"/>
  <c r="Q169" i="7"/>
  <c r="M168" i="7"/>
  <c r="P168" i="7"/>
  <c r="Q168" i="7"/>
  <c r="M167" i="7"/>
  <c r="P167" i="7"/>
  <c r="Q167" i="7"/>
  <c r="M166" i="7"/>
  <c r="P166" i="7"/>
  <c r="Q166" i="7"/>
  <c r="M165" i="7"/>
  <c r="P165" i="7"/>
  <c r="Q165" i="7"/>
  <c r="M164" i="7"/>
  <c r="P164" i="7"/>
  <c r="Q164" i="7"/>
  <c r="M163" i="7"/>
  <c r="P163" i="7"/>
  <c r="Q163" i="7"/>
  <c r="M162" i="7"/>
  <c r="P162" i="7"/>
  <c r="Q162" i="7"/>
  <c r="M161" i="7"/>
  <c r="P161" i="7"/>
  <c r="Q161" i="7"/>
  <c r="M160" i="7"/>
  <c r="P160" i="7"/>
  <c r="Q160" i="7"/>
  <c r="M159" i="7"/>
  <c r="P159" i="7"/>
  <c r="Q159" i="7"/>
  <c r="M158" i="7"/>
  <c r="P158" i="7"/>
  <c r="Q158" i="7"/>
  <c r="L157" i="7"/>
  <c r="N157" i="7"/>
  <c r="L156" i="7"/>
  <c r="N156" i="7"/>
  <c r="L155" i="7"/>
  <c r="N155" i="7"/>
  <c r="L154" i="7"/>
  <c r="N154" i="7"/>
  <c r="L153" i="7"/>
  <c r="N153" i="7"/>
  <c r="L152" i="7"/>
  <c r="N152" i="7"/>
  <c r="L151" i="7"/>
  <c r="N151" i="7"/>
  <c r="L150" i="7"/>
  <c r="N150" i="7"/>
  <c r="L149" i="7"/>
  <c r="N149" i="7"/>
  <c r="L148" i="7"/>
  <c r="N148" i="7"/>
  <c r="L147" i="7"/>
  <c r="N147" i="7"/>
  <c r="L146" i="7"/>
  <c r="N146" i="7"/>
  <c r="L145" i="7"/>
  <c r="N145" i="7"/>
  <c r="L144" i="7"/>
  <c r="N144" i="7"/>
  <c r="L143" i="7"/>
  <c r="N143" i="7"/>
  <c r="L142" i="7"/>
  <c r="N142" i="7"/>
  <c r="L141" i="7"/>
  <c r="N141" i="7"/>
  <c r="L140" i="7"/>
  <c r="N140" i="7"/>
  <c r="L139" i="7"/>
  <c r="N139" i="7"/>
  <c r="L138" i="7"/>
  <c r="N138" i="7"/>
  <c r="L137" i="7"/>
  <c r="N137" i="7"/>
  <c r="L136" i="7"/>
  <c r="N136" i="7"/>
  <c r="L135" i="7"/>
  <c r="N135" i="7"/>
  <c r="L134" i="7"/>
  <c r="N134" i="7"/>
  <c r="L133" i="7"/>
  <c r="N133" i="7"/>
  <c r="L132" i="7"/>
  <c r="N132" i="7"/>
  <c r="L131" i="7"/>
  <c r="N131" i="7"/>
  <c r="L130" i="7"/>
  <c r="N130" i="7"/>
  <c r="L129" i="7"/>
  <c r="N129" i="7"/>
  <c r="L128" i="7"/>
  <c r="N128" i="7"/>
  <c r="L127" i="7"/>
  <c r="N127" i="7"/>
  <c r="L126" i="7"/>
  <c r="N126" i="7"/>
  <c r="L125" i="7"/>
  <c r="N125" i="7"/>
  <c r="L124" i="7"/>
  <c r="N124" i="7"/>
  <c r="L123" i="7"/>
  <c r="N123" i="7"/>
  <c r="L122" i="7"/>
  <c r="N122" i="7"/>
  <c r="L121" i="7"/>
  <c r="N121" i="7"/>
  <c r="L120" i="7"/>
  <c r="N120" i="7"/>
  <c r="L119" i="7"/>
  <c r="N119" i="7"/>
  <c r="L118" i="7"/>
  <c r="N118" i="7"/>
  <c r="L117" i="7"/>
  <c r="N117" i="7"/>
  <c r="L116" i="7"/>
  <c r="N116" i="7"/>
  <c r="L115" i="7"/>
  <c r="N115" i="7"/>
  <c r="L114" i="7"/>
  <c r="N114" i="7"/>
  <c r="L113" i="7"/>
  <c r="N113" i="7"/>
  <c r="L112" i="7"/>
  <c r="N112" i="7"/>
  <c r="L111" i="7"/>
  <c r="N111" i="7"/>
  <c r="L110" i="7"/>
  <c r="N110" i="7"/>
  <c r="L109" i="7"/>
  <c r="N109" i="7"/>
  <c r="L108" i="7"/>
  <c r="N108" i="7"/>
  <c r="L107" i="7"/>
  <c r="N107" i="7"/>
  <c r="L106" i="7"/>
  <c r="N106" i="7"/>
  <c r="L104" i="7"/>
  <c r="N104" i="7"/>
  <c r="L103" i="7"/>
  <c r="N103" i="7"/>
  <c r="L102" i="7"/>
  <c r="N102" i="7"/>
  <c r="L101" i="7"/>
  <c r="N101" i="7"/>
  <c r="L100" i="7"/>
  <c r="N100" i="7"/>
  <c r="L99" i="7"/>
  <c r="N99" i="7"/>
  <c r="L98" i="7"/>
  <c r="N98" i="7"/>
  <c r="L97" i="7"/>
  <c r="N97" i="7"/>
  <c r="L96" i="7"/>
  <c r="N96" i="7"/>
  <c r="L95" i="7"/>
  <c r="N95" i="7"/>
  <c r="L94" i="7"/>
  <c r="N94" i="7"/>
  <c r="L93" i="7"/>
  <c r="N93" i="7"/>
  <c r="L92" i="7"/>
  <c r="N92" i="7"/>
  <c r="L91" i="7"/>
  <c r="N91" i="7"/>
  <c r="L90" i="7"/>
  <c r="N90" i="7"/>
  <c r="L89" i="7"/>
  <c r="N89" i="7"/>
  <c r="L88" i="7"/>
  <c r="N88" i="7"/>
  <c r="L87" i="7"/>
  <c r="N87" i="7"/>
  <c r="L86" i="7"/>
  <c r="N86" i="7"/>
  <c r="L85" i="7"/>
  <c r="N85" i="7"/>
  <c r="L105" i="7"/>
  <c r="N105" i="7"/>
  <c r="G80" i="8"/>
  <c r="I80" i="8"/>
  <c r="G81" i="8"/>
  <c r="I81" i="8"/>
  <c r="W401" i="5"/>
  <c r="X401" i="5"/>
  <c r="Z401" i="5"/>
  <c r="AA401" i="5" s="1"/>
  <c r="AB401" i="5" s="1"/>
  <c r="AP401" i="5" s="1"/>
  <c r="AC401" i="5"/>
  <c r="AH401" i="5"/>
  <c r="AQ401" i="5" s="1"/>
  <c r="AL401" i="5"/>
  <c r="W400" i="5"/>
  <c r="X400" i="5"/>
  <c r="Z400" i="5"/>
  <c r="AA400" i="5" s="1"/>
  <c r="AB400" i="5" s="1"/>
  <c r="AP400" i="5" s="1"/>
  <c r="AC400" i="5"/>
  <c r="AH400" i="5"/>
  <c r="AQ400" i="5" s="1"/>
  <c r="AL400" i="5"/>
  <c r="W399" i="5"/>
  <c r="X399" i="5"/>
  <c r="Z399" i="5"/>
  <c r="AA399" i="5" s="1"/>
  <c r="AB399" i="5" s="1"/>
  <c r="AP399" i="5" s="1"/>
  <c r="AC399" i="5"/>
  <c r="AH399" i="5"/>
  <c r="AQ399" i="5" s="1"/>
  <c r="AL399" i="5"/>
  <c r="W398" i="5"/>
  <c r="X398" i="5"/>
  <c r="Z398" i="5"/>
  <c r="AA398" i="5" s="1"/>
  <c r="AB398" i="5" s="1"/>
  <c r="AP398" i="5" s="1"/>
  <c r="AC398" i="5"/>
  <c r="AH398" i="5"/>
  <c r="AQ398" i="5" s="1"/>
  <c r="AL398" i="5"/>
  <c r="W397" i="5"/>
  <c r="X397" i="5"/>
  <c r="Z397" i="5"/>
  <c r="AA397" i="5" s="1"/>
  <c r="AB397" i="5" s="1"/>
  <c r="AP397" i="5" s="1"/>
  <c r="AC397" i="5"/>
  <c r="AH397" i="5"/>
  <c r="AQ397" i="5" s="1"/>
  <c r="AL397" i="5"/>
  <c r="W396" i="5"/>
  <c r="X396" i="5"/>
  <c r="Z396" i="5"/>
  <c r="AA396" i="5" s="1"/>
  <c r="AB396" i="5" s="1"/>
  <c r="AP396" i="5" s="1"/>
  <c r="AC396" i="5"/>
  <c r="AH396" i="5"/>
  <c r="AQ396" i="5" s="1"/>
  <c r="AL396" i="5"/>
  <c r="W395" i="5"/>
  <c r="X395" i="5"/>
  <c r="Z395" i="5"/>
  <c r="AA395" i="5" s="1"/>
  <c r="AB395" i="5" s="1"/>
  <c r="AP395" i="5" s="1"/>
  <c r="AC395" i="5"/>
  <c r="AH395" i="5"/>
  <c r="AQ395" i="5" s="1"/>
  <c r="AL395" i="5"/>
  <c r="W394" i="5"/>
  <c r="X394" i="5"/>
  <c r="Z394" i="5"/>
  <c r="AA394" i="5" s="1"/>
  <c r="AB394" i="5" s="1"/>
  <c r="AP394" i="5" s="1"/>
  <c r="AC394" i="5"/>
  <c r="AH394" i="5"/>
  <c r="AQ394" i="5" s="1"/>
  <c r="AL394" i="5"/>
  <c r="W393" i="5"/>
  <c r="X393" i="5"/>
  <c r="Z393" i="5"/>
  <c r="AA393" i="5" s="1"/>
  <c r="AB393" i="5" s="1"/>
  <c r="AP393" i="5" s="1"/>
  <c r="AC393" i="5"/>
  <c r="AH393" i="5"/>
  <c r="AQ393" i="5" s="1"/>
  <c r="AL393" i="5"/>
  <c r="W392" i="5"/>
  <c r="X392" i="5"/>
  <c r="Z392" i="5"/>
  <c r="AA392" i="5" s="1"/>
  <c r="AB392" i="5" s="1"/>
  <c r="AP392" i="5" s="1"/>
  <c r="AC392" i="5"/>
  <c r="AH392" i="5"/>
  <c r="AQ392" i="5" s="1"/>
  <c r="AL392" i="5"/>
  <c r="W391" i="5"/>
  <c r="X391" i="5"/>
  <c r="Z391" i="5"/>
  <c r="AA391" i="5" s="1"/>
  <c r="AB391" i="5" s="1"/>
  <c r="AP391" i="5" s="1"/>
  <c r="AC391" i="5"/>
  <c r="AH391" i="5"/>
  <c r="AQ391" i="5" s="1"/>
  <c r="AL391" i="5"/>
  <c r="W390" i="5"/>
  <c r="X390" i="5"/>
  <c r="Z390" i="5"/>
  <c r="AA390" i="5" s="1"/>
  <c r="AB390" i="5" s="1"/>
  <c r="AP390" i="5" s="1"/>
  <c r="AC390" i="5"/>
  <c r="AH390" i="5"/>
  <c r="AQ390" i="5" s="1"/>
  <c r="AL390" i="5"/>
  <c r="W389" i="5"/>
  <c r="X389" i="5"/>
  <c r="Z389" i="5"/>
  <c r="AA389" i="5" s="1"/>
  <c r="AB389" i="5" s="1"/>
  <c r="AP389" i="5" s="1"/>
  <c r="AC389" i="5"/>
  <c r="AH389" i="5"/>
  <c r="AQ389" i="5" s="1"/>
  <c r="AL389" i="5"/>
  <c r="W388" i="5"/>
  <c r="X388" i="5"/>
  <c r="Z388" i="5"/>
  <c r="AA388" i="5" s="1"/>
  <c r="AB388" i="5" s="1"/>
  <c r="AP388" i="5" s="1"/>
  <c r="AC388" i="5"/>
  <c r="AH388" i="5"/>
  <c r="AQ388" i="5" s="1"/>
  <c r="AL388" i="5"/>
  <c r="W387" i="5"/>
  <c r="X387" i="5"/>
  <c r="Z387" i="5"/>
  <c r="AA387" i="5" s="1"/>
  <c r="AB387" i="5" s="1"/>
  <c r="AP387" i="5" s="1"/>
  <c r="AC387" i="5"/>
  <c r="AH387" i="5"/>
  <c r="AQ387" i="5" s="1"/>
  <c r="AL387" i="5"/>
  <c r="W386" i="5"/>
  <c r="X386" i="5"/>
  <c r="Z386" i="5"/>
  <c r="AA386" i="5" s="1"/>
  <c r="AB386" i="5" s="1"/>
  <c r="AP386" i="5" s="1"/>
  <c r="AC386" i="5"/>
  <c r="AH386" i="5"/>
  <c r="AQ386" i="5" s="1"/>
  <c r="AL386" i="5"/>
  <c r="W385" i="5"/>
  <c r="X385" i="5"/>
  <c r="Z385" i="5"/>
  <c r="AA385" i="5" s="1"/>
  <c r="AB385" i="5" s="1"/>
  <c r="AP385" i="5" s="1"/>
  <c r="AC385" i="5"/>
  <c r="AH385" i="5"/>
  <c r="AQ385" i="5" s="1"/>
  <c r="AL385" i="5"/>
  <c r="W384" i="5"/>
  <c r="X384" i="5"/>
  <c r="Z384" i="5"/>
  <c r="AA384" i="5" s="1"/>
  <c r="AB384" i="5" s="1"/>
  <c r="AP384" i="5" s="1"/>
  <c r="AC384" i="5"/>
  <c r="AH384" i="5"/>
  <c r="AQ384" i="5" s="1"/>
  <c r="AL384" i="5"/>
  <c r="W383" i="5"/>
  <c r="X383" i="5"/>
  <c r="Z383" i="5"/>
  <c r="AA383" i="5" s="1"/>
  <c r="AB383" i="5" s="1"/>
  <c r="AP383" i="5" s="1"/>
  <c r="AC383" i="5"/>
  <c r="AH383" i="5"/>
  <c r="AQ383" i="5" s="1"/>
  <c r="AL383" i="5"/>
  <c r="W382" i="5"/>
  <c r="X382" i="5"/>
  <c r="Z382" i="5"/>
  <c r="AA382" i="5" s="1"/>
  <c r="AB382" i="5" s="1"/>
  <c r="AP382" i="5" s="1"/>
  <c r="AC382" i="5"/>
  <c r="AH382" i="5"/>
  <c r="AQ382" i="5" s="1"/>
  <c r="AL382" i="5"/>
  <c r="W381" i="5"/>
  <c r="X381" i="5"/>
  <c r="Z381" i="5"/>
  <c r="AA381" i="5" s="1"/>
  <c r="AB381" i="5" s="1"/>
  <c r="AP381" i="5" s="1"/>
  <c r="AC381" i="5"/>
  <c r="AH381" i="5"/>
  <c r="AQ381" i="5" s="1"/>
  <c r="AL381" i="5"/>
  <c r="W380" i="5"/>
  <c r="X380" i="5"/>
  <c r="Z380" i="5"/>
  <c r="AA380" i="5" s="1"/>
  <c r="AB380" i="5" s="1"/>
  <c r="AP380" i="5" s="1"/>
  <c r="AC380" i="5"/>
  <c r="AH380" i="5"/>
  <c r="AQ380" i="5" s="1"/>
  <c r="AL380" i="5"/>
  <c r="W379" i="5"/>
  <c r="X379" i="5"/>
  <c r="Z379" i="5"/>
  <c r="AA379" i="5" s="1"/>
  <c r="AB379" i="5" s="1"/>
  <c r="AP379" i="5" s="1"/>
  <c r="AC379" i="5"/>
  <c r="AH379" i="5"/>
  <c r="AQ379" i="5" s="1"/>
  <c r="AL379" i="5"/>
  <c r="W378" i="5"/>
  <c r="X378" i="5"/>
  <c r="Z378" i="5"/>
  <c r="AA378" i="5" s="1"/>
  <c r="AB378" i="5" s="1"/>
  <c r="AP378" i="5" s="1"/>
  <c r="AC378" i="5"/>
  <c r="AH378" i="5"/>
  <c r="AQ378" i="5" s="1"/>
  <c r="AL378" i="5"/>
  <c r="W377" i="5"/>
  <c r="X377" i="5"/>
  <c r="Z377" i="5"/>
  <c r="AA377" i="5" s="1"/>
  <c r="AB377" i="5" s="1"/>
  <c r="AP377" i="5" s="1"/>
  <c r="AC377" i="5"/>
  <c r="AH377" i="5"/>
  <c r="AQ377" i="5" s="1"/>
  <c r="AL377" i="5"/>
  <c r="W376" i="5"/>
  <c r="X376" i="5"/>
  <c r="Z376" i="5"/>
  <c r="AA376" i="5" s="1"/>
  <c r="AB376" i="5" s="1"/>
  <c r="AP376" i="5" s="1"/>
  <c r="AC376" i="5"/>
  <c r="AH376" i="5"/>
  <c r="AQ376" i="5" s="1"/>
  <c r="AL376" i="5"/>
  <c r="W375" i="5"/>
  <c r="X375" i="5"/>
  <c r="Z375" i="5"/>
  <c r="AA375" i="5" s="1"/>
  <c r="AB375" i="5" s="1"/>
  <c r="AP375" i="5" s="1"/>
  <c r="AC375" i="5"/>
  <c r="AH375" i="5"/>
  <c r="AQ375" i="5" s="1"/>
  <c r="AL375" i="5"/>
  <c r="W374" i="5"/>
  <c r="X374" i="5"/>
  <c r="Z374" i="5"/>
  <c r="AA374" i="5" s="1"/>
  <c r="AB374" i="5" s="1"/>
  <c r="AP374" i="5" s="1"/>
  <c r="AC374" i="5"/>
  <c r="AH374" i="5"/>
  <c r="AQ374" i="5" s="1"/>
  <c r="AL374" i="5"/>
  <c r="W373" i="5"/>
  <c r="X373" i="5"/>
  <c r="Z373" i="5"/>
  <c r="AA373" i="5" s="1"/>
  <c r="AB373" i="5" s="1"/>
  <c r="AP373" i="5" s="1"/>
  <c r="AC373" i="5"/>
  <c r="AH373" i="5"/>
  <c r="AQ373" i="5" s="1"/>
  <c r="AL373" i="5"/>
  <c r="W372" i="5"/>
  <c r="X372" i="5"/>
  <c r="Z372" i="5"/>
  <c r="AA372" i="5" s="1"/>
  <c r="AB372" i="5" s="1"/>
  <c r="AP372" i="5" s="1"/>
  <c r="AC372" i="5"/>
  <c r="AH372" i="5"/>
  <c r="AQ372" i="5" s="1"/>
  <c r="AL372" i="5"/>
  <c r="W371" i="5"/>
  <c r="X371" i="5"/>
  <c r="Z371" i="5"/>
  <c r="AA371" i="5" s="1"/>
  <c r="AB371" i="5" s="1"/>
  <c r="AP371" i="5" s="1"/>
  <c r="AC371" i="5"/>
  <c r="AH371" i="5"/>
  <c r="AQ371" i="5" s="1"/>
  <c r="AL371" i="5"/>
  <c r="W370" i="5"/>
  <c r="X370" i="5"/>
  <c r="Z370" i="5"/>
  <c r="AA370" i="5" s="1"/>
  <c r="AB370" i="5" s="1"/>
  <c r="AP370" i="5" s="1"/>
  <c r="AC370" i="5"/>
  <c r="AH370" i="5"/>
  <c r="AQ370" i="5" s="1"/>
  <c r="AL370" i="5"/>
  <c r="W369" i="5"/>
  <c r="X369" i="5"/>
  <c r="Z369" i="5"/>
  <c r="AA369" i="5" s="1"/>
  <c r="AB369" i="5" s="1"/>
  <c r="AP369" i="5" s="1"/>
  <c r="AC369" i="5"/>
  <c r="AH369" i="5"/>
  <c r="AQ369" i="5" s="1"/>
  <c r="AL369" i="5"/>
  <c r="W368" i="5"/>
  <c r="X368" i="5"/>
  <c r="Z368" i="5"/>
  <c r="AA368" i="5" s="1"/>
  <c r="AB368" i="5" s="1"/>
  <c r="AP368" i="5" s="1"/>
  <c r="AC368" i="5"/>
  <c r="AH368" i="5"/>
  <c r="AQ368" i="5" s="1"/>
  <c r="AL368" i="5"/>
  <c r="W367" i="5"/>
  <c r="X367" i="5"/>
  <c r="Z367" i="5"/>
  <c r="AA367" i="5" s="1"/>
  <c r="AB367" i="5" s="1"/>
  <c r="AP367" i="5" s="1"/>
  <c r="AC367" i="5"/>
  <c r="AH367" i="5"/>
  <c r="AQ367" i="5" s="1"/>
  <c r="AL367" i="5"/>
  <c r="W366" i="5"/>
  <c r="X366" i="5"/>
  <c r="Z366" i="5"/>
  <c r="AA366" i="5" s="1"/>
  <c r="AB366" i="5" s="1"/>
  <c r="AP366" i="5" s="1"/>
  <c r="AC366" i="5"/>
  <c r="AH366" i="5"/>
  <c r="AQ366" i="5" s="1"/>
  <c r="AL366" i="5"/>
  <c r="W365" i="5"/>
  <c r="X365" i="5"/>
  <c r="Z365" i="5"/>
  <c r="AA365" i="5" s="1"/>
  <c r="AB365" i="5" s="1"/>
  <c r="AP365" i="5" s="1"/>
  <c r="AC365" i="5"/>
  <c r="AH365" i="5"/>
  <c r="AQ365" i="5" s="1"/>
  <c r="AL365" i="5"/>
  <c r="W364" i="5"/>
  <c r="X364" i="5"/>
  <c r="Z364" i="5"/>
  <c r="AA364" i="5" s="1"/>
  <c r="AB364" i="5" s="1"/>
  <c r="AP364" i="5" s="1"/>
  <c r="AC364" i="5"/>
  <c r="AH364" i="5"/>
  <c r="AQ364" i="5" s="1"/>
  <c r="AL364" i="5"/>
  <c r="W363" i="5"/>
  <c r="X363" i="5"/>
  <c r="Z363" i="5"/>
  <c r="AA363" i="5" s="1"/>
  <c r="AB363" i="5" s="1"/>
  <c r="AP363" i="5" s="1"/>
  <c r="AC363" i="5"/>
  <c r="AH363" i="5"/>
  <c r="AQ363" i="5" s="1"/>
  <c r="AL363" i="5"/>
  <c r="W362" i="5"/>
  <c r="X362" i="5"/>
  <c r="Z362" i="5"/>
  <c r="AA362" i="5" s="1"/>
  <c r="AB362" i="5" s="1"/>
  <c r="AP362" i="5" s="1"/>
  <c r="AC362" i="5"/>
  <c r="AH362" i="5"/>
  <c r="AQ362" i="5" s="1"/>
  <c r="AL362" i="5"/>
  <c r="W361" i="5"/>
  <c r="X361" i="5"/>
  <c r="Z361" i="5"/>
  <c r="AA361" i="5" s="1"/>
  <c r="AB361" i="5" s="1"/>
  <c r="AP361" i="5" s="1"/>
  <c r="AC361" i="5"/>
  <c r="AH361" i="5"/>
  <c r="AQ361" i="5" s="1"/>
  <c r="AL361" i="5"/>
  <c r="W360" i="5"/>
  <c r="X360" i="5"/>
  <c r="Z360" i="5"/>
  <c r="AA360" i="5" s="1"/>
  <c r="AB360" i="5" s="1"/>
  <c r="AP360" i="5" s="1"/>
  <c r="AC360" i="5"/>
  <c r="AH360" i="5"/>
  <c r="AQ360" i="5" s="1"/>
  <c r="AL360" i="5"/>
  <c r="W359" i="5"/>
  <c r="X359" i="5"/>
  <c r="Z359" i="5"/>
  <c r="AA359" i="5" s="1"/>
  <c r="AB359" i="5" s="1"/>
  <c r="AP359" i="5" s="1"/>
  <c r="AC359" i="5"/>
  <c r="AH359" i="5"/>
  <c r="AQ359" i="5" s="1"/>
  <c r="AL359" i="5"/>
  <c r="W358" i="5"/>
  <c r="X358" i="5"/>
  <c r="Z358" i="5"/>
  <c r="AA358" i="5" s="1"/>
  <c r="AB358" i="5" s="1"/>
  <c r="AP358" i="5" s="1"/>
  <c r="AC358" i="5"/>
  <c r="AH358" i="5"/>
  <c r="AQ358" i="5" s="1"/>
  <c r="AL358" i="5"/>
  <c r="W357" i="5"/>
  <c r="X357" i="5"/>
  <c r="Z357" i="5"/>
  <c r="AA357" i="5" s="1"/>
  <c r="AB357" i="5" s="1"/>
  <c r="AP357" i="5" s="1"/>
  <c r="AC357" i="5"/>
  <c r="AH357" i="5"/>
  <c r="AQ357" i="5" s="1"/>
  <c r="AL357" i="5"/>
  <c r="W356" i="5"/>
  <c r="X356" i="5"/>
  <c r="Z356" i="5"/>
  <c r="AA356" i="5" s="1"/>
  <c r="AB356" i="5" s="1"/>
  <c r="AP356" i="5" s="1"/>
  <c r="AC356" i="5"/>
  <c r="AH356" i="5"/>
  <c r="AQ356" i="5" s="1"/>
  <c r="AL356" i="5"/>
  <c r="W355" i="5"/>
  <c r="X355" i="5"/>
  <c r="Z355" i="5"/>
  <c r="AA355" i="5" s="1"/>
  <c r="AB355" i="5" s="1"/>
  <c r="AP355" i="5" s="1"/>
  <c r="AC355" i="5"/>
  <c r="AH355" i="5"/>
  <c r="AQ355" i="5" s="1"/>
  <c r="AL355" i="5"/>
  <c r="W354" i="5"/>
  <c r="X354" i="5"/>
  <c r="Z354" i="5"/>
  <c r="AA354" i="5" s="1"/>
  <c r="AB354" i="5" s="1"/>
  <c r="AP354" i="5" s="1"/>
  <c r="AC354" i="5"/>
  <c r="AH354" i="5"/>
  <c r="AQ354" i="5" s="1"/>
  <c r="AL354" i="5"/>
  <c r="W353" i="5"/>
  <c r="X353" i="5"/>
  <c r="Z353" i="5"/>
  <c r="AA353" i="5" s="1"/>
  <c r="AB353" i="5" s="1"/>
  <c r="AP353" i="5" s="1"/>
  <c r="AC353" i="5"/>
  <c r="AH353" i="5"/>
  <c r="AQ353" i="5" s="1"/>
  <c r="AL353" i="5"/>
  <c r="W352" i="5"/>
  <c r="X352" i="5"/>
  <c r="Z352" i="5"/>
  <c r="AA352" i="5" s="1"/>
  <c r="AB352" i="5" s="1"/>
  <c r="AP352" i="5" s="1"/>
  <c r="AC352" i="5"/>
  <c r="AH352" i="5"/>
  <c r="AQ352" i="5" s="1"/>
  <c r="AL352" i="5"/>
  <c r="W351" i="5"/>
  <c r="X351" i="5"/>
  <c r="Z351" i="5"/>
  <c r="AA351" i="5" s="1"/>
  <c r="AB351" i="5" s="1"/>
  <c r="AP351" i="5" s="1"/>
  <c r="AC351" i="5"/>
  <c r="AH351" i="5"/>
  <c r="AQ351" i="5" s="1"/>
  <c r="AL351" i="5"/>
  <c r="W350" i="5"/>
  <c r="X350" i="5"/>
  <c r="Z350" i="5"/>
  <c r="AA350" i="5" s="1"/>
  <c r="AB350" i="5" s="1"/>
  <c r="AP350" i="5" s="1"/>
  <c r="AC350" i="5"/>
  <c r="AH350" i="5"/>
  <c r="AQ350" i="5" s="1"/>
  <c r="AL350" i="5"/>
  <c r="W349" i="5"/>
  <c r="X349" i="5"/>
  <c r="Z349" i="5"/>
  <c r="AA349" i="5" s="1"/>
  <c r="AB349" i="5" s="1"/>
  <c r="AP349" i="5" s="1"/>
  <c r="AC349" i="5"/>
  <c r="AH349" i="5"/>
  <c r="AQ349" i="5" s="1"/>
  <c r="AL349" i="5"/>
  <c r="W348" i="5"/>
  <c r="X348" i="5"/>
  <c r="Z348" i="5"/>
  <c r="AA348" i="5" s="1"/>
  <c r="AB348" i="5" s="1"/>
  <c r="AP348" i="5" s="1"/>
  <c r="AC348" i="5"/>
  <c r="AH348" i="5"/>
  <c r="AQ348" i="5" s="1"/>
  <c r="AL348" i="5"/>
  <c r="W347" i="5"/>
  <c r="X347" i="5"/>
  <c r="Z347" i="5"/>
  <c r="AA347" i="5" s="1"/>
  <c r="AB347" i="5" s="1"/>
  <c r="AP347" i="5" s="1"/>
  <c r="AC347" i="5"/>
  <c r="AH347" i="5"/>
  <c r="AQ347" i="5" s="1"/>
  <c r="AL347" i="5"/>
  <c r="W346" i="5"/>
  <c r="X346" i="5"/>
  <c r="Z346" i="5"/>
  <c r="AA346" i="5" s="1"/>
  <c r="AB346" i="5" s="1"/>
  <c r="AP346" i="5" s="1"/>
  <c r="AC346" i="5"/>
  <c r="AH346" i="5"/>
  <c r="AQ346" i="5" s="1"/>
  <c r="AL346" i="5"/>
  <c r="W345" i="5"/>
  <c r="X345" i="5"/>
  <c r="Z345" i="5"/>
  <c r="AA345" i="5" s="1"/>
  <c r="AB345" i="5" s="1"/>
  <c r="AP345" i="5" s="1"/>
  <c r="AC345" i="5"/>
  <c r="AH345" i="5"/>
  <c r="AQ345" i="5" s="1"/>
  <c r="AL345" i="5"/>
  <c r="W344" i="5"/>
  <c r="X344" i="5"/>
  <c r="Z344" i="5"/>
  <c r="AA344" i="5" s="1"/>
  <c r="AB344" i="5" s="1"/>
  <c r="AP344" i="5" s="1"/>
  <c r="AC344" i="5"/>
  <c r="AH344" i="5"/>
  <c r="AQ344" i="5" s="1"/>
  <c r="AL344" i="5"/>
  <c r="W343" i="5"/>
  <c r="X343" i="5"/>
  <c r="Z343" i="5"/>
  <c r="AA343" i="5" s="1"/>
  <c r="AB343" i="5" s="1"/>
  <c r="AP343" i="5" s="1"/>
  <c r="AC343" i="5"/>
  <c r="AH343" i="5"/>
  <c r="AQ343" i="5" s="1"/>
  <c r="AL343" i="5"/>
  <c r="W342" i="5"/>
  <c r="X342" i="5"/>
  <c r="Z342" i="5"/>
  <c r="AA342" i="5" s="1"/>
  <c r="AB342" i="5" s="1"/>
  <c r="AP342" i="5" s="1"/>
  <c r="AC342" i="5"/>
  <c r="AH342" i="5"/>
  <c r="AQ342" i="5" s="1"/>
  <c r="AL342" i="5"/>
  <c r="W341" i="5"/>
  <c r="X341" i="5"/>
  <c r="Z341" i="5"/>
  <c r="AA341" i="5" s="1"/>
  <c r="AB341" i="5" s="1"/>
  <c r="AP341" i="5" s="1"/>
  <c r="AC341" i="5"/>
  <c r="AH341" i="5"/>
  <c r="AQ341" i="5" s="1"/>
  <c r="AL341" i="5"/>
  <c r="W340" i="5"/>
  <c r="X340" i="5"/>
  <c r="Z340" i="5"/>
  <c r="AA340" i="5" s="1"/>
  <c r="AB340" i="5" s="1"/>
  <c r="AP340" i="5" s="1"/>
  <c r="AC340" i="5"/>
  <c r="AH340" i="5"/>
  <c r="AQ340" i="5" s="1"/>
  <c r="AL340" i="5"/>
  <c r="W339" i="5"/>
  <c r="X339" i="5"/>
  <c r="Z339" i="5"/>
  <c r="AA339" i="5" s="1"/>
  <c r="AB339" i="5" s="1"/>
  <c r="AP339" i="5" s="1"/>
  <c r="AC339" i="5"/>
  <c r="AH339" i="5"/>
  <c r="AQ339" i="5" s="1"/>
  <c r="AL339" i="5"/>
  <c r="W338" i="5"/>
  <c r="X338" i="5"/>
  <c r="Z338" i="5"/>
  <c r="AA338" i="5" s="1"/>
  <c r="AB338" i="5" s="1"/>
  <c r="AP338" i="5" s="1"/>
  <c r="AC338" i="5"/>
  <c r="AH338" i="5"/>
  <c r="AQ338" i="5" s="1"/>
  <c r="AL338" i="5"/>
  <c r="W337" i="5"/>
  <c r="X337" i="5"/>
  <c r="Z337" i="5"/>
  <c r="AA337" i="5" s="1"/>
  <c r="AB337" i="5" s="1"/>
  <c r="AP337" i="5" s="1"/>
  <c r="AC337" i="5"/>
  <c r="AH337" i="5"/>
  <c r="AQ337" i="5" s="1"/>
  <c r="AL337" i="5"/>
  <c r="W336" i="5"/>
  <c r="X336" i="5"/>
  <c r="Z336" i="5"/>
  <c r="AA336" i="5" s="1"/>
  <c r="AB336" i="5" s="1"/>
  <c r="AP336" i="5" s="1"/>
  <c r="AC336" i="5"/>
  <c r="AH336" i="5"/>
  <c r="AQ336" i="5" s="1"/>
  <c r="AL336" i="5"/>
  <c r="W335" i="5"/>
  <c r="X335" i="5"/>
  <c r="Z335" i="5"/>
  <c r="AA335" i="5" s="1"/>
  <c r="AB335" i="5" s="1"/>
  <c r="AP335" i="5" s="1"/>
  <c r="AC335" i="5"/>
  <c r="AH335" i="5"/>
  <c r="AQ335" i="5" s="1"/>
  <c r="AL335" i="5"/>
  <c r="G82" i="8"/>
  <c r="G83" i="8"/>
  <c r="H83" i="8" s="1"/>
  <c r="I83" i="8"/>
  <c r="G84" i="8"/>
  <c r="H84" i="8" s="1"/>
  <c r="I84" i="8"/>
  <c r="G85" i="8"/>
  <c r="H85" i="8" s="1"/>
  <c r="I85" i="8"/>
  <c r="G86" i="8"/>
  <c r="H86" i="8" s="1"/>
  <c r="I86" i="8"/>
  <c r="G87" i="8"/>
  <c r="H87" i="8" s="1"/>
  <c r="I87" i="8"/>
  <c r="G88" i="8"/>
  <c r="H88" i="8" s="1"/>
  <c r="I88" i="8"/>
  <c r="G89" i="8"/>
  <c r="H89" i="8" s="1"/>
  <c r="I89" i="8"/>
  <c r="G90" i="8"/>
  <c r="H90" i="8" s="1"/>
  <c r="I90" i="8"/>
  <c r="G91" i="8"/>
  <c r="H91" i="8" s="1"/>
  <c r="I91" i="8"/>
  <c r="G92" i="8"/>
  <c r="H92" i="8" s="1"/>
  <c r="I92" i="8"/>
  <c r="G93" i="8"/>
  <c r="I93" i="8"/>
  <c r="G94" i="8"/>
  <c r="I94" i="8"/>
  <c r="G95" i="8"/>
  <c r="I95" i="8"/>
  <c r="G96" i="8"/>
  <c r="I96" i="8"/>
  <c r="G97" i="8"/>
  <c r="I97" i="8"/>
  <c r="G98" i="8"/>
  <c r="I98" i="8"/>
  <c r="G99" i="8"/>
  <c r="H99" i="8" s="1"/>
  <c r="I99" i="8"/>
  <c r="G100" i="8"/>
  <c r="H100" i="8" s="1"/>
  <c r="I100" i="8"/>
  <c r="G101" i="8"/>
  <c r="H101" i="8" s="1"/>
  <c r="I101" i="8"/>
  <c r="G102" i="8"/>
  <c r="H102" i="8" s="1"/>
  <c r="I102" i="8"/>
  <c r="G103" i="8"/>
  <c r="H103" i="8" s="1"/>
  <c r="I103" i="8"/>
  <c r="G104" i="8"/>
  <c r="H104" i="8" s="1"/>
  <c r="I104" i="8"/>
  <c r="G105" i="8"/>
  <c r="H105" i="8" s="1"/>
  <c r="I105" i="8"/>
  <c r="G106" i="8"/>
  <c r="H106" i="8" s="1"/>
  <c r="I106" i="8"/>
  <c r="G107" i="8"/>
  <c r="H107" i="8" s="1"/>
  <c r="I107" i="8"/>
  <c r="G108" i="8"/>
  <c r="H108" i="8" s="1"/>
  <c r="I108" i="8"/>
  <c r="G109" i="8"/>
  <c r="H109" i="8" s="1"/>
  <c r="I109" i="8"/>
  <c r="G110" i="8"/>
  <c r="H110" i="8" s="1"/>
  <c r="I110" i="8"/>
  <c r="G111" i="8"/>
  <c r="H111" i="8" s="1"/>
  <c r="I111" i="8"/>
  <c r="G112" i="8"/>
  <c r="H112" i="8" s="1"/>
  <c r="I112" i="8"/>
  <c r="G113" i="8"/>
  <c r="H113" i="8" s="1"/>
  <c r="I113" i="8"/>
  <c r="G114" i="8"/>
  <c r="H114" i="8" s="1"/>
  <c r="I114" i="8"/>
  <c r="G115" i="8"/>
  <c r="H115" i="8" s="1"/>
  <c r="I115" i="8"/>
  <c r="G116" i="8"/>
  <c r="H116" i="8" s="1"/>
  <c r="I116" i="8"/>
  <c r="G117" i="8"/>
  <c r="H117" i="8" s="1"/>
  <c r="I117" i="8"/>
  <c r="G118" i="8"/>
  <c r="H118" i="8" s="1"/>
  <c r="I118" i="8"/>
  <c r="G119" i="8"/>
  <c r="H119" i="8" s="1"/>
  <c r="I119" i="8"/>
  <c r="G120" i="8"/>
  <c r="H120" i="8" s="1"/>
  <c r="I120" i="8"/>
  <c r="G121" i="8"/>
  <c r="H121" i="8" s="1"/>
  <c r="I121" i="8"/>
  <c r="W65" i="5"/>
  <c r="X65" i="5"/>
  <c r="AH65" i="5"/>
  <c r="AQ65" i="5" s="1"/>
  <c r="AI65" i="5"/>
  <c r="AL65" i="5"/>
  <c r="G122" i="8"/>
  <c r="H122" i="8" s="1"/>
  <c r="I122" i="8"/>
  <c r="W64" i="5"/>
  <c r="X64" i="5"/>
  <c r="AH64" i="5"/>
  <c r="AQ64" i="5" s="1"/>
  <c r="AI64" i="5"/>
  <c r="AL64" i="5"/>
  <c r="G123" i="8"/>
  <c r="H123" i="8" s="1"/>
  <c r="I123" i="8"/>
  <c r="W63" i="5"/>
  <c r="X63" i="5"/>
  <c r="AH63" i="5"/>
  <c r="AQ63" i="5" s="1"/>
  <c r="AI63" i="5"/>
  <c r="AL63" i="5"/>
  <c r="G124" i="8"/>
  <c r="H124" i="8" s="1"/>
  <c r="I124" i="8"/>
  <c r="W62" i="5"/>
  <c r="X62" i="5"/>
  <c r="AH62" i="5"/>
  <c r="AQ62" i="5" s="1"/>
  <c r="AI62" i="5"/>
  <c r="AL62" i="5"/>
  <c r="G125" i="8"/>
  <c r="H125" i="8" s="1"/>
  <c r="I125" i="8"/>
  <c r="W61" i="5"/>
  <c r="X61" i="5"/>
  <c r="AH61" i="5"/>
  <c r="AQ61" i="5" s="1"/>
  <c r="AI61" i="5"/>
  <c r="AL61" i="5"/>
  <c r="G126" i="8"/>
  <c r="H126" i="8" s="1"/>
  <c r="I126" i="8"/>
  <c r="W60" i="5"/>
  <c r="X60" i="5"/>
  <c r="AH60" i="5"/>
  <c r="AQ60" i="5" s="1"/>
  <c r="AI60" i="5"/>
  <c r="AL60" i="5"/>
  <c r="G127" i="8"/>
  <c r="I127" i="8"/>
  <c r="W59" i="5"/>
  <c r="X59" i="5"/>
  <c r="AH59" i="5"/>
  <c r="AI59" i="5"/>
  <c r="AL59" i="5"/>
  <c r="G128" i="8"/>
  <c r="I128" i="8"/>
  <c r="W58" i="5"/>
  <c r="X58" i="5"/>
  <c r="AH58" i="5"/>
  <c r="AQ58" i="5" s="1"/>
  <c r="AI58" i="5"/>
  <c r="AL58" i="5"/>
  <c r="G129" i="8"/>
  <c r="I129" i="8"/>
  <c r="W57" i="5"/>
  <c r="X57" i="5"/>
  <c r="AH57" i="5"/>
  <c r="AQ57" i="5" s="1"/>
  <c r="AI57" i="5"/>
  <c r="AL57" i="5"/>
  <c r="G130" i="8"/>
  <c r="I130" i="8"/>
  <c r="W56" i="5"/>
  <c r="X56" i="5"/>
  <c r="AH56" i="5"/>
  <c r="AQ56" i="5" s="1"/>
  <c r="AI56" i="5"/>
  <c r="AL56" i="5"/>
  <c r="G131" i="8"/>
  <c r="I131" i="8"/>
  <c r="W55" i="5"/>
  <c r="X55" i="5"/>
  <c r="AH55" i="5"/>
  <c r="AQ55" i="5" s="1"/>
  <c r="AI55" i="5"/>
  <c r="AL55" i="5"/>
  <c r="G132" i="8"/>
  <c r="I132" i="8"/>
  <c r="W54" i="5"/>
  <c r="X54" i="5"/>
  <c r="AH54" i="5"/>
  <c r="AQ54" i="5" s="1"/>
  <c r="AI54" i="5"/>
  <c r="AL54" i="5"/>
  <c r="G133" i="8"/>
  <c r="I133" i="8"/>
  <c r="W53" i="5"/>
  <c r="X53" i="5"/>
  <c r="AH53" i="5"/>
  <c r="AQ53" i="5" s="1"/>
  <c r="AI53" i="5"/>
  <c r="AL53" i="5"/>
  <c r="G134" i="8"/>
  <c r="I134" i="8"/>
  <c r="W52" i="5"/>
  <c r="X52" i="5"/>
  <c r="AH52" i="5"/>
  <c r="AQ52" i="5" s="1"/>
  <c r="AI52" i="5"/>
  <c r="AL52" i="5"/>
  <c r="G135" i="8"/>
  <c r="I135" i="8"/>
  <c r="W51" i="5"/>
  <c r="X51" i="5"/>
  <c r="AH51" i="5"/>
  <c r="AQ51" i="5" s="1"/>
  <c r="AI51" i="5"/>
  <c r="AL51" i="5"/>
  <c r="G136" i="8"/>
  <c r="I136" i="8"/>
  <c r="W50" i="5"/>
  <c r="X50" i="5"/>
  <c r="AH50" i="5"/>
  <c r="AQ50" i="5" s="1"/>
  <c r="AI50" i="5"/>
  <c r="AL50" i="5"/>
  <c r="G137" i="8"/>
  <c r="I137" i="8"/>
  <c r="W49" i="5"/>
  <c r="X49" i="5"/>
  <c r="AH49" i="5"/>
  <c r="AQ49" i="5" s="1"/>
  <c r="AI49" i="5"/>
  <c r="AL49" i="5"/>
  <c r="G138" i="8"/>
  <c r="I138" i="8"/>
  <c r="W48" i="5"/>
  <c r="X48" i="5"/>
  <c r="AH48" i="5"/>
  <c r="AQ48" i="5" s="1"/>
  <c r="AI48" i="5"/>
  <c r="AL48" i="5"/>
  <c r="G139" i="8"/>
  <c r="I139" i="8"/>
  <c r="W47" i="5"/>
  <c r="X47" i="5"/>
  <c r="AH47" i="5"/>
  <c r="AQ47" i="5" s="1"/>
  <c r="AI47" i="5"/>
  <c r="AL47" i="5"/>
  <c r="G140" i="8"/>
  <c r="I140" i="8"/>
  <c r="W46" i="5"/>
  <c r="X46" i="5"/>
  <c r="AH46" i="5"/>
  <c r="AQ46" i="5" s="1"/>
  <c r="AI46" i="5"/>
  <c r="AL46" i="5"/>
  <c r="G141" i="8"/>
  <c r="I141" i="8"/>
  <c r="W45" i="5"/>
  <c r="X45" i="5"/>
  <c r="AH45" i="5"/>
  <c r="AQ45" i="5" s="1"/>
  <c r="AI45" i="5"/>
  <c r="AL45" i="5"/>
  <c r="G142" i="8"/>
  <c r="I142" i="8"/>
  <c r="W44" i="5"/>
  <c r="X44" i="5"/>
  <c r="AH44" i="5"/>
  <c r="AQ44" i="5" s="1"/>
  <c r="AI44" i="5"/>
  <c r="AL44" i="5"/>
  <c r="G143" i="8"/>
  <c r="I143" i="8"/>
  <c r="W43" i="5"/>
  <c r="X43" i="5"/>
  <c r="AH43" i="5"/>
  <c r="AQ43" i="5" s="1"/>
  <c r="AI43" i="5"/>
  <c r="AL43" i="5"/>
  <c r="G144" i="8"/>
  <c r="I144" i="8"/>
  <c r="W42" i="5"/>
  <c r="X42" i="5"/>
  <c r="AH42" i="5"/>
  <c r="AQ42" i="5" s="1"/>
  <c r="AI42" i="5"/>
  <c r="AL42" i="5"/>
  <c r="G145" i="8"/>
  <c r="I145" i="8"/>
  <c r="W41" i="5"/>
  <c r="X41" i="5"/>
  <c r="AH41" i="5"/>
  <c r="AQ41" i="5" s="1"/>
  <c r="AI41" i="5"/>
  <c r="AL41" i="5"/>
  <c r="G146" i="8"/>
  <c r="I146" i="8"/>
  <c r="W40" i="5"/>
  <c r="X40" i="5"/>
  <c r="AH40" i="5"/>
  <c r="AQ40" i="5" s="1"/>
  <c r="AI40" i="5"/>
  <c r="AL40" i="5"/>
  <c r="G147" i="8"/>
  <c r="I147" i="8"/>
  <c r="W39" i="5"/>
  <c r="X39" i="5"/>
  <c r="AH39" i="5"/>
  <c r="AQ39" i="5" s="1"/>
  <c r="AI39" i="5"/>
  <c r="AL39" i="5"/>
  <c r="G148" i="8"/>
  <c r="I148" i="8"/>
  <c r="W38" i="5"/>
  <c r="X38" i="5"/>
  <c r="AH38" i="5"/>
  <c r="AQ38" i="5" s="1"/>
  <c r="AI38" i="5"/>
  <c r="AL38" i="5"/>
  <c r="G149" i="8"/>
  <c r="I149" i="8"/>
  <c r="W37" i="5"/>
  <c r="X37" i="5"/>
  <c r="AH37" i="5"/>
  <c r="AQ37" i="5" s="1"/>
  <c r="AI37" i="5"/>
  <c r="AL37" i="5"/>
  <c r="G150" i="8"/>
  <c r="I150" i="8"/>
  <c r="W36" i="5"/>
  <c r="X36" i="5"/>
  <c r="AH36" i="5"/>
  <c r="AQ36" i="5" s="1"/>
  <c r="AI36" i="5"/>
  <c r="AL36" i="5"/>
  <c r="G151" i="8"/>
  <c r="I151" i="8"/>
  <c r="W35" i="5"/>
  <c r="X35" i="5"/>
  <c r="AH35" i="5"/>
  <c r="AQ35" i="5" s="1"/>
  <c r="AI35" i="5"/>
  <c r="AL35" i="5"/>
  <c r="G152" i="8"/>
  <c r="I152" i="8"/>
  <c r="W34" i="5"/>
  <c r="X34" i="5"/>
  <c r="AH34" i="5"/>
  <c r="AQ34" i="5" s="1"/>
  <c r="AI34" i="5"/>
  <c r="AL34" i="5"/>
  <c r="G153" i="8"/>
  <c r="I153" i="8"/>
  <c r="W33" i="5"/>
  <c r="X33" i="5"/>
  <c r="AH33" i="5"/>
  <c r="AQ33" i="5" s="1"/>
  <c r="AI33" i="5"/>
  <c r="AL33" i="5"/>
  <c r="G154" i="8"/>
  <c r="I154" i="8"/>
  <c r="W32" i="5"/>
  <c r="X32" i="5"/>
  <c r="AH32" i="5"/>
  <c r="AQ32" i="5" s="1"/>
  <c r="AI32" i="5"/>
  <c r="AL32" i="5"/>
  <c r="G155" i="8"/>
  <c r="I155" i="8"/>
  <c r="W31" i="5"/>
  <c r="X31" i="5"/>
  <c r="AH31" i="5"/>
  <c r="AQ31" i="5" s="1"/>
  <c r="AI31" i="5"/>
  <c r="AL31" i="5"/>
  <c r="G156" i="8"/>
  <c r="I156" i="8"/>
  <c r="W30" i="5"/>
  <c r="X30" i="5"/>
  <c r="AH30" i="5"/>
  <c r="AQ30" i="5" s="1"/>
  <c r="AI30" i="5"/>
  <c r="AL30" i="5"/>
  <c r="W29" i="5"/>
  <c r="X29" i="5"/>
  <c r="AH29" i="5"/>
  <c r="AQ29" i="5" s="1"/>
  <c r="AI29" i="5"/>
  <c r="AL29" i="5"/>
  <c r="W28" i="5"/>
  <c r="X28" i="5"/>
  <c r="AH28" i="5"/>
  <c r="AQ28" i="5" s="1"/>
  <c r="AI28" i="5"/>
  <c r="AL28" i="5"/>
  <c r="W27" i="5"/>
  <c r="X27" i="5"/>
  <c r="AH27" i="5"/>
  <c r="AQ27" i="5" s="1"/>
  <c r="AI27" i="5"/>
  <c r="AL27" i="5"/>
  <c r="W26" i="5"/>
  <c r="X26" i="5"/>
  <c r="AH26" i="5"/>
  <c r="AQ26" i="5" s="1"/>
  <c r="AI26" i="5"/>
  <c r="AL26" i="5"/>
  <c r="W25" i="5"/>
  <c r="X25" i="5"/>
  <c r="AH25" i="5"/>
  <c r="AQ25" i="5" s="1"/>
  <c r="AI25" i="5"/>
  <c r="AL25" i="5"/>
  <c r="W24" i="5"/>
  <c r="X24" i="5"/>
  <c r="AH24" i="5"/>
  <c r="AQ24" i="5" s="1"/>
  <c r="AI24" i="5"/>
  <c r="AL24" i="5"/>
  <c r="W23" i="5"/>
  <c r="X23" i="5"/>
  <c r="AH23" i="5"/>
  <c r="AQ23" i="5" s="1"/>
  <c r="AI23" i="5"/>
  <c r="AL23" i="5"/>
  <c r="W22" i="5"/>
  <c r="X22" i="5"/>
  <c r="AH22" i="5"/>
  <c r="AQ22" i="5" s="1"/>
  <c r="AI22" i="5"/>
  <c r="AL22" i="5"/>
  <c r="W21" i="5"/>
  <c r="X21" i="5"/>
  <c r="AH21" i="5"/>
  <c r="AQ21" i="5" s="1"/>
  <c r="AI21" i="5"/>
  <c r="AL21" i="5"/>
  <c r="W20" i="5"/>
  <c r="X20" i="5"/>
  <c r="AH20" i="5"/>
  <c r="AQ20" i="5" s="1"/>
  <c r="AI20" i="5"/>
  <c r="AL20" i="5"/>
  <c r="W19" i="5"/>
  <c r="X19" i="5"/>
  <c r="AH19" i="5"/>
  <c r="AQ19" i="5" s="1"/>
  <c r="AI19" i="5"/>
  <c r="AL19" i="5"/>
  <c r="W18" i="5"/>
  <c r="X18" i="5"/>
  <c r="AH18" i="5"/>
  <c r="AQ18" i="5" s="1"/>
  <c r="AI18" i="5"/>
  <c r="AL18" i="5"/>
  <c r="W17" i="5"/>
  <c r="X17" i="5"/>
  <c r="AH17" i="5"/>
  <c r="AQ17" i="5" s="1"/>
  <c r="AI17" i="5"/>
  <c r="AL17" i="5"/>
  <c r="W16" i="5"/>
  <c r="X16" i="5"/>
  <c r="AH16" i="5"/>
  <c r="AQ16" i="5" s="1"/>
  <c r="AI16" i="5"/>
  <c r="AL16" i="5"/>
  <c r="W15" i="5"/>
  <c r="X15" i="5"/>
  <c r="AH15" i="5"/>
  <c r="AQ15" i="5" s="1"/>
  <c r="AI15" i="5"/>
  <c r="AL15" i="5"/>
  <c r="W14" i="5"/>
  <c r="X14" i="5"/>
  <c r="AH14" i="5"/>
  <c r="AQ14" i="5" s="1"/>
  <c r="AI14" i="5"/>
  <c r="AL14" i="5"/>
  <c r="W13" i="5"/>
  <c r="X13" i="5"/>
  <c r="AH13" i="5"/>
  <c r="AQ13" i="5" s="1"/>
  <c r="AI13" i="5"/>
  <c r="AL13" i="5"/>
  <c r="W12" i="5"/>
  <c r="X12" i="5"/>
  <c r="AH12" i="5"/>
  <c r="AQ12" i="5" s="1"/>
  <c r="AI12" i="5"/>
  <c r="AL12" i="5"/>
  <c r="W11" i="5"/>
  <c r="X11" i="5"/>
  <c r="AH11" i="5"/>
  <c r="AQ11" i="5" s="1"/>
  <c r="AI11" i="5"/>
  <c r="AL11" i="5"/>
  <c r="W233" i="5"/>
  <c r="X233" i="5"/>
  <c r="Z233" i="5"/>
  <c r="AA233" i="5" s="1"/>
  <c r="AB233" i="5" s="1"/>
  <c r="AP233" i="5" s="1"/>
  <c r="AC233" i="5"/>
  <c r="AH233" i="5"/>
  <c r="AQ233" i="5" s="1"/>
  <c r="AL233" i="5"/>
  <c r="W232" i="5"/>
  <c r="X232" i="5"/>
  <c r="Z232" i="5"/>
  <c r="AA232" i="5" s="1"/>
  <c r="AB232" i="5" s="1"/>
  <c r="AP232" i="5" s="1"/>
  <c r="AC232" i="5"/>
  <c r="AH232" i="5"/>
  <c r="AQ232" i="5" s="1"/>
  <c r="AL232" i="5"/>
  <c r="W231" i="5"/>
  <c r="X231" i="5"/>
  <c r="Z231" i="5"/>
  <c r="AA231" i="5" s="1"/>
  <c r="AB231" i="5" s="1"/>
  <c r="AP231" i="5" s="1"/>
  <c r="AC231" i="5"/>
  <c r="AH231" i="5"/>
  <c r="AQ231" i="5" s="1"/>
  <c r="AL231" i="5"/>
  <c r="W230" i="5"/>
  <c r="X230" i="5"/>
  <c r="Z230" i="5"/>
  <c r="AA230" i="5" s="1"/>
  <c r="AB230" i="5" s="1"/>
  <c r="AP230" i="5" s="1"/>
  <c r="AC230" i="5"/>
  <c r="AH230" i="5"/>
  <c r="AQ230" i="5" s="1"/>
  <c r="AL230" i="5"/>
  <c r="W229" i="5"/>
  <c r="X229" i="5"/>
  <c r="Z229" i="5"/>
  <c r="AA229" i="5" s="1"/>
  <c r="AB229" i="5" s="1"/>
  <c r="AP229" i="5" s="1"/>
  <c r="AC229" i="5"/>
  <c r="AH229" i="5"/>
  <c r="AQ229" i="5" s="1"/>
  <c r="AL229" i="5"/>
  <c r="W228" i="5"/>
  <c r="X228" i="5"/>
  <c r="Z228" i="5"/>
  <c r="AA228" i="5" s="1"/>
  <c r="AB228" i="5" s="1"/>
  <c r="AP228" i="5" s="1"/>
  <c r="AC228" i="5"/>
  <c r="AH228" i="5"/>
  <c r="AQ228" i="5" s="1"/>
  <c r="AL228" i="5"/>
  <c r="W227" i="5"/>
  <c r="X227" i="5"/>
  <c r="Z227" i="5"/>
  <c r="AA227" i="5" s="1"/>
  <c r="AB227" i="5" s="1"/>
  <c r="AP227" i="5" s="1"/>
  <c r="AC227" i="5"/>
  <c r="AH227" i="5"/>
  <c r="AQ227" i="5" s="1"/>
  <c r="AL227" i="5"/>
  <c r="W226" i="5"/>
  <c r="X226" i="5"/>
  <c r="Z226" i="5"/>
  <c r="AA226" i="5" s="1"/>
  <c r="AB226" i="5" s="1"/>
  <c r="AP226" i="5" s="1"/>
  <c r="AC226" i="5"/>
  <c r="AH226" i="5"/>
  <c r="AQ226" i="5" s="1"/>
  <c r="AL226" i="5"/>
  <c r="W225" i="5"/>
  <c r="X225" i="5"/>
  <c r="Z225" i="5"/>
  <c r="AA225" i="5" s="1"/>
  <c r="AB225" i="5" s="1"/>
  <c r="AP225" i="5" s="1"/>
  <c r="AC225" i="5"/>
  <c r="AH225" i="5"/>
  <c r="AQ225" i="5" s="1"/>
  <c r="AL225" i="5"/>
  <c r="W224" i="5"/>
  <c r="X224" i="5"/>
  <c r="Z224" i="5"/>
  <c r="AA224" i="5" s="1"/>
  <c r="AB224" i="5" s="1"/>
  <c r="AP224" i="5" s="1"/>
  <c r="AC224" i="5"/>
  <c r="AH224" i="5"/>
  <c r="AQ224" i="5" s="1"/>
  <c r="AL224" i="5"/>
  <c r="W223" i="5"/>
  <c r="X223" i="5"/>
  <c r="Z223" i="5"/>
  <c r="AA223" i="5" s="1"/>
  <c r="AB223" i="5" s="1"/>
  <c r="AP223" i="5" s="1"/>
  <c r="AC223" i="5"/>
  <c r="AH223" i="5"/>
  <c r="AQ223" i="5" s="1"/>
  <c r="AL223" i="5"/>
  <c r="W222" i="5"/>
  <c r="X222" i="5"/>
  <c r="Z222" i="5"/>
  <c r="AA222" i="5" s="1"/>
  <c r="AB222" i="5" s="1"/>
  <c r="AP222" i="5" s="1"/>
  <c r="AC222" i="5"/>
  <c r="AH222" i="5"/>
  <c r="AQ222" i="5" s="1"/>
  <c r="AL222" i="5"/>
  <c r="W221" i="5"/>
  <c r="X221" i="5"/>
  <c r="Z221" i="5"/>
  <c r="AA221" i="5" s="1"/>
  <c r="AB221" i="5" s="1"/>
  <c r="AP221" i="5" s="1"/>
  <c r="AC221" i="5"/>
  <c r="AH221" i="5"/>
  <c r="AQ221" i="5" s="1"/>
  <c r="AL221" i="5"/>
  <c r="W220" i="5"/>
  <c r="X220" i="5"/>
  <c r="Z220" i="5"/>
  <c r="AA220" i="5" s="1"/>
  <c r="AB220" i="5" s="1"/>
  <c r="AP220" i="5" s="1"/>
  <c r="AC220" i="5"/>
  <c r="AH220" i="5"/>
  <c r="AQ220" i="5" s="1"/>
  <c r="AL220" i="5"/>
  <c r="W219" i="5"/>
  <c r="X219" i="5"/>
  <c r="Z219" i="5"/>
  <c r="AA219" i="5" s="1"/>
  <c r="AB219" i="5" s="1"/>
  <c r="AP219" i="5" s="1"/>
  <c r="AC219" i="5"/>
  <c r="AH219" i="5"/>
  <c r="AQ219" i="5" s="1"/>
  <c r="AL219" i="5"/>
  <c r="W218" i="5"/>
  <c r="X218" i="5"/>
  <c r="Z218" i="5"/>
  <c r="AA218" i="5" s="1"/>
  <c r="AB218" i="5" s="1"/>
  <c r="AP218" i="5" s="1"/>
  <c r="AC218" i="5"/>
  <c r="AH218" i="5"/>
  <c r="AQ218" i="5" s="1"/>
  <c r="AL218" i="5"/>
  <c r="W217" i="5"/>
  <c r="X217" i="5"/>
  <c r="Z217" i="5"/>
  <c r="AA217" i="5" s="1"/>
  <c r="AB217" i="5" s="1"/>
  <c r="AP217" i="5" s="1"/>
  <c r="AC217" i="5"/>
  <c r="AH217" i="5"/>
  <c r="AQ217" i="5" s="1"/>
  <c r="AL217" i="5"/>
  <c r="W215" i="5"/>
  <c r="X215" i="5"/>
  <c r="Z215" i="5"/>
  <c r="AA215" i="5" s="1"/>
  <c r="AB215" i="5" s="1"/>
  <c r="AP215" i="5" s="1"/>
  <c r="AC215" i="5"/>
  <c r="AH215" i="5"/>
  <c r="AQ215" i="5" s="1"/>
  <c r="AL215" i="5"/>
  <c r="W214" i="5"/>
  <c r="X214" i="5"/>
  <c r="Z214" i="5"/>
  <c r="AA214" i="5" s="1"/>
  <c r="AB214" i="5" s="1"/>
  <c r="AP214" i="5" s="1"/>
  <c r="AC214" i="5"/>
  <c r="AH214" i="5"/>
  <c r="AQ214" i="5" s="1"/>
  <c r="AL214" i="5"/>
  <c r="W213" i="5"/>
  <c r="X213" i="5"/>
  <c r="Z213" i="5"/>
  <c r="AA213" i="5" s="1"/>
  <c r="AB213" i="5" s="1"/>
  <c r="AP213" i="5" s="1"/>
  <c r="AC213" i="5"/>
  <c r="AH213" i="5"/>
  <c r="AQ213" i="5" s="1"/>
  <c r="AL213" i="5"/>
  <c r="W212" i="5"/>
  <c r="X212" i="5"/>
  <c r="Z212" i="5"/>
  <c r="AA212" i="5" s="1"/>
  <c r="AB212" i="5" s="1"/>
  <c r="AP212" i="5" s="1"/>
  <c r="AC212" i="5"/>
  <c r="AH212" i="5"/>
  <c r="AQ212" i="5" s="1"/>
  <c r="AL212" i="5"/>
  <c r="W211" i="5"/>
  <c r="X211" i="5"/>
  <c r="Z211" i="5"/>
  <c r="AA211" i="5" s="1"/>
  <c r="AB211" i="5" s="1"/>
  <c r="AP211" i="5" s="1"/>
  <c r="AC211" i="5"/>
  <c r="AH211" i="5"/>
  <c r="AQ211" i="5" s="1"/>
  <c r="AL211" i="5"/>
  <c r="W210" i="5"/>
  <c r="X210" i="5"/>
  <c r="Z210" i="5"/>
  <c r="AA210" i="5" s="1"/>
  <c r="AB210" i="5" s="1"/>
  <c r="AP210" i="5" s="1"/>
  <c r="AC210" i="5"/>
  <c r="AH210" i="5"/>
  <c r="AQ210" i="5" s="1"/>
  <c r="AL210" i="5"/>
  <c r="W209" i="5"/>
  <c r="X209" i="5"/>
  <c r="Z209" i="5"/>
  <c r="AA209" i="5" s="1"/>
  <c r="AB209" i="5" s="1"/>
  <c r="AP209" i="5" s="1"/>
  <c r="AC209" i="5"/>
  <c r="AH209" i="5"/>
  <c r="AQ209" i="5" s="1"/>
  <c r="AL209" i="5"/>
  <c r="W208" i="5"/>
  <c r="X208" i="5"/>
  <c r="Z208" i="5"/>
  <c r="AA208" i="5" s="1"/>
  <c r="AB208" i="5" s="1"/>
  <c r="AP208" i="5" s="1"/>
  <c r="AC208" i="5"/>
  <c r="AH208" i="5"/>
  <c r="AQ208" i="5" s="1"/>
  <c r="AL208" i="5"/>
  <c r="W207" i="5"/>
  <c r="X207" i="5"/>
  <c r="Z207" i="5"/>
  <c r="AA207" i="5" s="1"/>
  <c r="AB207" i="5" s="1"/>
  <c r="AP207" i="5" s="1"/>
  <c r="AC207" i="5"/>
  <c r="AH207" i="5"/>
  <c r="AQ207" i="5" s="1"/>
  <c r="AL207" i="5"/>
  <c r="W206" i="5"/>
  <c r="X206" i="5"/>
  <c r="Z206" i="5"/>
  <c r="AA206" i="5" s="1"/>
  <c r="AB206" i="5" s="1"/>
  <c r="AP206" i="5" s="1"/>
  <c r="AC206" i="5"/>
  <c r="AH206" i="5"/>
  <c r="AQ206" i="5" s="1"/>
  <c r="AL206" i="5"/>
  <c r="W205" i="5"/>
  <c r="X205" i="5"/>
  <c r="Z205" i="5"/>
  <c r="AA205" i="5" s="1"/>
  <c r="AB205" i="5" s="1"/>
  <c r="AP205" i="5" s="1"/>
  <c r="AC205" i="5"/>
  <c r="AH205" i="5"/>
  <c r="AQ205" i="5" s="1"/>
  <c r="AL205" i="5"/>
  <c r="W204" i="5"/>
  <c r="X204" i="5"/>
  <c r="Z204" i="5"/>
  <c r="AA204" i="5" s="1"/>
  <c r="AB204" i="5" s="1"/>
  <c r="AP204" i="5" s="1"/>
  <c r="AC204" i="5"/>
  <c r="AH204" i="5"/>
  <c r="AQ204" i="5" s="1"/>
  <c r="AL204" i="5"/>
  <c r="W203" i="5"/>
  <c r="X203" i="5"/>
  <c r="Z203" i="5"/>
  <c r="AA203" i="5" s="1"/>
  <c r="AB203" i="5" s="1"/>
  <c r="AP203" i="5" s="1"/>
  <c r="AC203" i="5"/>
  <c r="AH203" i="5"/>
  <c r="AQ203" i="5" s="1"/>
  <c r="AL203" i="5"/>
  <c r="W202" i="5"/>
  <c r="X202" i="5"/>
  <c r="Z202" i="5"/>
  <c r="AA202" i="5" s="1"/>
  <c r="AB202" i="5" s="1"/>
  <c r="AP202" i="5" s="1"/>
  <c r="AC202" i="5"/>
  <c r="AH202" i="5"/>
  <c r="AQ202" i="5" s="1"/>
  <c r="AL202" i="5"/>
  <c r="W201" i="5"/>
  <c r="X201" i="5"/>
  <c r="Z201" i="5"/>
  <c r="AA201" i="5" s="1"/>
  <c r="AB201" i="5" s="1"/>
  <c r="AP201" i="5" s="1"/>
  <c r="AC201" i="5"/>
  <c r="AH201" i="5"/>
  <c r="AQ201" i="5" s="1"/>
  <c r="AL201" i="5"/>
  <c r="W200" i="5"/>
  <c r="X200" i="5"/>
  <c r="Z200" i="5"/>
  <c r="AA200" i="5" s="1"/>
  <c r="AB200" i="5" s="1"/>
  <c r="AP200" i="5" s="1"/>
  <c r="AC200" i="5"/>
  <c r="AH200" i="5"/>
  <c r="AQ200" i="5" s="1"/>
  <c r="AL200" i="5"/>
  <c r="W199" i="5"/>
  <c r="X199" i="5"/>
  <c r="Z199" i="5"/>
  <c r="AA199" i="5" s="1"/>
  <c r="AB199" i="5" s="1"/>
  <c r="AP199" i="5" s="1"/>
  <c r="AC199" i="5"/>
  <c r="AH199" i="5"/>
  <c r="AQ199" i="5" s="1"/>
  <c r="AL199" i="5"/>
  <c r="W198" i="5"/>
  <c r="X198" i="5"/>
  <c r="Z198" i="5"/>
  <c r="AA198" i="5" s="1"/>
  <c r="AB198" i="5" s="1"/>
  <c r="AP198" i="5" s="1"/>
  <c r="AC198" i="5"/>
  <c r="AH198" i="5"/>
  <c r="AQ198" i="5" s="1"/>
  <c r="AL198" i="5"/>
  <c r="W197" i="5"/>
  <c r="X197" i="5"/>
  <c r="Z197" i="5"/>
  <c r="AA197" i="5" s="1"/>
  <c r="AB197" i="5" s="1"/>
  <c r="AP197" i="5" s="1"/>
  <c r="AC197" i="5"/>
  <c r="AH197" i="5"/>
  <c r="AQ197" i="5" s="1"/>
  <c r="AL197" i="5"/>
  <c r="W196" i="5"/>
  <c r="X196" i="5"/>
  <c r="Z196" i="5"/>
  <c r="AA196" i="5" s="1"/>
  <c r="AB196" i="5" s="1"/>
  <c r="AP196" i="5" s="1"/>
  <c r="AC196" i="5"/>
  <c r="AH196" i="5"/>
  <c r="AQ196" i="5" s="1"/>
  <c r="AL196" i="5"/>
  <c r="W195" i="5"/>
  <c r="X195" i="5"/>
  <c r="Z195" i="5"/>
  <c r="AA195" i="5" s="1"/>
  <c r="AB195" i="5" s="1"/>
  <c r="AP195" i="5" s="1"/>
  <c r="AC195" i="5"/>
  <c r="AH195" i="5"/>
  <c r="AQ195" i="5" s="1"/>
  <c r="AL195" i="5"/>
  <c r="W194" i="5"/>
  <c r="X194" i="5"/>
  <c r="Z194" i="5"/>
  <c r="AA194" i="5" s="1"/>
  <c r="AB194" i="5" s="1"/>
  <c r="AP194" i="5" s="1"/>
  <c r="AC194" i="5"/>
  <c r="AH194" i="5"/>
  <c r="AQ194" i="5" s="1"/>
  <c r="AL194" i="5"/>
  <c r="W193" i="5"/>
  <c r="X193" i="5"/>
  <c r="Z193" i="5"/>
  <c r="AA193" i="5" s="1"/>
  <c r="AB193" i="5" s="1"/>
  <c r="AP193" i="5" s="1"/>
  <c r="AC193" i="5"/>
  <c r="AH193" i="5"/>
  <c r="AQ193" i="5" s="1"/>
  <c r="AL193" i="5"/>
  <c r="W192" i="5"/>
  <c r="X192" i="5"/>
  <c r="Z192" i="5"/>
  <c r="AA192" i="5" s="1"/>
  <c r="AB192" i="5" s="1"/>
  <c r="AP192" i="5" s="1"/>
  <c r="AC192" i="5"/>
  <c r="AH192" i="5"/>
  <c r="AQ192" i="5" s="1"/>
  <c r="AL192" i="5"/>
  <c r="W191" i="5"/>
  <c r="X191" i="5"/>
  <c r="Z191" i="5"/>
  <c r="AA191" i="5" s="1"/>
  <c r="AB191" i="5" s="1"/>
  <c r="AP191" i="5" s="1"/>
  <c r="AC191" i="5"/>
  <c r="AH191" i="5"/>
  <c r="AQ191" i="5" s="1"/>
  <c r="AL191" i="5"/>
  <c r="W190" i="5"/>
  <c r="X190" i="5"/>
  <c r="Z190" i="5"/>
  <c r="AA190" i="5" s="1"/>
  <c r="AB190" i="5" s="1"/>
  <c r="AP190" i="5" s="1"/>
  <c r="AC190" i="5"/>
  <c r="AH190" i="5"/>
  <c r="AQ190" i="5" s="1"/>
  <c r="AL190" i="5"/>
  <c r="W189" i="5"/>
  <c r="X189" i="5"/>
  <c r="Z189" i="5"/>
  <c r="AA189" i="5" s="1"/>
  <c r="AB189" i="5" s="1"/>
  <c r="AP189" i="5" s="1"/>
  <c r="AC189" i="5"/>
  <c r="AH189" i="5"/>
  <c r="AQ189" i="5" s="1"/>
  <c r="AL189" i="5"/>
  <c r="W188" i="5"/>
  <c r="X188" i="5"/>
  <c r="Z188" i="5"/>
  <c r="AA188" i="5" s="1"/>
  <c r="AB188" i="5" s="1"/>
  <c r="AP188" i="5" s="1"/>
  <c r="AC188" i="5"/>
  <c r="AH188" i="5"/>
  <c r="AQ188" i="5" s="1"/>
  <c r="AL188" i="5"/>
  <c r="W187" i="5"/>
  <c r="X187" i="5"/>
  <c r="Z187" i="5"/>
  <c r="AA187" i="5" s="1"/>
  <c r="AB187" i="5" s="1"/>
  <c r="AP187" i="5" s="1"/>
  <c r="AC187" i="5"/>
  <c r="AH187" i="5"/>
  <c r="AQ187" i="5" s="1"/>
  <c r="AL187" i="5"/>
  <c r="W186" i="5"/>
  <c r="X186" i="5"/>
  <c r="Z186" i="5"/>
  <c r="AA186" i="5" s="1"/>
  <c r="AB186" i="5" s="1"/>
  <c r="AP186" i="5" s="1"/>
  <c r="AC186" i="5"/>
  <c r="AH186" i="5"/>
  <c r="AQ186" i="5" s="1"/>
  <c r="AL186" i="5"/>
  <c r="W185" i="5"/>
  <c r="X185" i="5"/>
  <c r="Z185" i="5"/>
  <c r="AA185" i="5" s="1"/>
  <c r="AB185" i="5" s="1"/>
  <c r="AP185" i="5" s="1"/>
  <c r="AC185" i="5"/>
  <c r="AH185" i="5"/>
  <c r="AQ185" i="5" s="1"/>
  <c r="AL185" i="5"/>
  <c r="W184" i="5"/>
  <c r="X184" i="5"/>
  <c r="Z184" i="5"/>
  <c r="AA184" i="5" s="1"/>
  <c r="AB184" i="5" s="1"/>
  <c r="AP184" i="5" s="1"/>
  <c r="AC184" i="5"/>
  <c r="AH184" i="5"/>
  <c r="AQ184" i="5" s="1"/>
  <c r="AL184" i="5"/>
  <c r="W183" i="5"/>
  <c r="X183" i="5"/>
  <c r="Z183" i="5"/>
  <c r="AA183" i="5" s="1"/>
  <c r="AB183" i="5" s="1"/>
  <c r="AP183" i="5" s="1"/>
  <c r="AC183" i="5"/>
  <c r="AH183" i="5"/>
  <c r="AQ183" i="5" s="1"/>
  <c r="AL183" i="5"/>
  <c r="W182" i="5"/>
  <c r="X182" i="5"/>
  <c r="Z182" i="5"/>
  <c r="AA182" i="5" s="1"/>
  <c r="AB182" i="5" s="1"/>
  <c r="AP182" i="5" s="1"/>
  <c r="AC182" i="5"/>
  <c r="AH182" i="5"/>
  <c r="AQ182" i="5" s="1"/>
  <c r="AL182" i="5"/>
  <c r="W181" i="5"/>
  <c r="X181" i="5"/>
  <c r="Z181" i="5"/>
  <c r="AA181" i="5" s="1"/>
  <c r="AB181" i="5" s="1"/>
  <c r="AP181" i="5" s="1"/>
  <c r="AC181" i="5"/>
  <c r="AH181" i="5"/>
  <c r="AQ181" i="5" s="1"/>
  <c r="AL181" i="5"/>
  <c r="W180" i="5"/>
  <c r="X180" i="5"/>
  <c r="Z180" i="5"/>
  <c r="AA180" i="5" s="1"/>
  <c r="AB180" i="5" s="1"/>
  <c r="AP180" i="5" s="1"/>
  <c r="AC180" i="5"/>
  <c r="AH180" i="5"/>
  <c r="AQ180" i="5" s="1"/>
  <c r="AL180" i="5"/>
  <c r="W179" i="5"/>
  <c r="X179" i="5"/>
  <c r="Z179" i="5"/>
  <c r="AA179" i="5" s="1"/>
  <c r="AB179" i="5" s="1"/>
  <c r="AP179" i="5" s="1"/>
  <c r="AC179" i="5"/>
  <c r="AH179" i="5"/>
  <c r="AQ179" i="5" s="1"/>
  <c r="AL179" i="5"/>
  <c r="W178" i="5"/>
  <c r="X178" i="5"/>
  <c r="Z178" i="5"/>
  <c r="AA178" i="5" s="1"/>
  <c r="AB178" i="5" s="1"/>
  <c r="AP178" i="5" s="1"/>
  <c r="AC178" i="5"/>
  <c r="AH178" i="5"/>
  <c r="AQ178" i="5" s="1"/>
  <c r="AL178" i="5"/>
  <c r="W177" i="5"/>
  <c r="X177" i="5"/>
  <c r="Z177" i="5"/>
  <c r="AA177" i="5" s="1"/>
  <c r="AB177" i="5" s="1"/>
  <c r="AP177" i="5" s="1"/>
  <c r="AC177" i="5"/>
  <c r="AH177" i="5"/>
  <c r="AQ177" i="5" s="1"/>
  <c r="AL177" i="5"/>
  <c r="W176" i="5"/>
  <c r="X176" i="5"/>
  <c r="Z176" i="5"/>
  <c r="AA176" i="5" s="1"/>
  <c r="AB176" i="5" s="1"/>
  <c r="AP176" i="5" s="1"/>
  <c r="AC176" i="5"/>
  <c r="AH176" i="5"/>
  <c r="AQ176" i="5" s="1"/>
  <c r="AL176" i="5"/>
  <c r="W175" i="5"/>
  <c r="X175" i="5"/>
  <c r="Z175" i="5"/>
  <c r="AA175" i="5" s="1"/>
  <c r="AB175" i="5" s="1"/>
  <c r="AP175" i="5" s="1"/>
  <c r="AC175" i="5"/>
  <c r="AH175" i="5"/>
  <c r="AQ175" i="5" s="1"/>
  <c r="AL175" i="5"/>
  <c r="W174" i="5"/>
  <c r="X174" i="5"/>
  <c r="Z174" i="5"/>
  <c r="AA174" i="5" s="1"/>
  <c r="AB174" i="5" s="1"/>
  <c r="AP174" i="5" s="1"/>
  <c r="AC174" i="5"/>
  <c r="AH174" i="5"/>
  <c r="AQ174" i="5" s="1"/>
  <c r="AL174" i="5"/>
  <c r="W173" i="5"/>
  <c r="X173" i="5"/>
  <c r="Z173" i="5"/>
  <c r="AA173" i="5" s="1"/>
  <c r="AB173" i="5" s="1"/>
  <c r="AP173" i="5" s="1"/>
  <c r="AC173" i="5"/>
  <c r="AH173" i="5"/>
  <c r="AQ173" i="5" s="1"/>
  <c r="AL173" i="5"/>
  <c r="W172" i="5"/>
  <c r="X172" i="5"/>
  <c r="Z172" i="5"/>
  <c r="AA172" i="5" s="1"/>
  <c r="AB172" i="5" s="1"/>
  <c r="AP172" i="5" s="1"/>
  <c r="AC172" i="5"/>
  <c r="AH172" i="5"/>
  <c r="AQ172" i="5" s="1"/>
  <c r="AL172" i="5"/>
  <c r="W171" i="5"/>
  <c r="X171" i="5"/>
  <c r="Z171" i="5"/>
  <c r="AA171" i="5" s="1"/>
  <c r="AB171" i="5" s="1"/>
  <c r="AP171" i="5" s="1"/>
  <c r="AC171" i="5"/>
  <c r="AH171" i="5"/>
  <c r="AQ171" i="5" s="1"/>
  <c r="AL171" i="5"/>
  <c r="W170" i="5"/>
  <c r="X170" i="5"/>
  <c r="Z170" i="5"/>
  <c r="AA170" i="5" s="1"/>
  <c r="AB170" i="5" s="1"/>
  <c r="AP170" i="5" s="1"/>
  <c r="AC170" i="5"/>
  <c r="AH170" i="5"/>
  <c r="AQ170" i="5" s="1"/>
  <c r="AL170" i="5"/>
  <c r="W169" i="5"/>
  <c r="X169" i="5"/>
  <c r="Z169" i="5"/>
  <c r="AA169" i="5" s="1"/>
  <c r="AB169" i="5" s="1"/>
  <c r="AP169" i="5" s="1"/>
  <c r="AC169" i="5"/>
  <c r="AH169" i="5"/>
  <c r="AQ169" i="5" s="1"/>
  <c r="AL169" i="5"/>
  <c r="W168" i="5"/>
  <c r="X168" i="5"/>
  <c r="Z168" i="5"/>
  <c r="AA168" i="5" s="1"/>
  <c r="AB168" i="5" s="1"/>
  <c r="AP168" i="5" s="1"/>
  <c r="AC168" i="5"/>
  <c r="AH168" i="5"/>
  <c r="AQ168" i="5" s="1"/>
  <c r="AL168" i="5"/>
  <c r="W167" i="5"/>
  <c r="X167" i="5"/>
  <c r="Z167" i="5"/>
  <c r="AA167" i="5" s="1"/>
  <c r="AB167" i="5" s="1"/>
  <c r="AP167" i="5" s="1"/>
  <c r="AC167" i="5"/>
  <c r="AH167" i="5"/>
  <c r="AQ167" i="5" s="1"/>
  <c r="AL167" i="5"/>
  <c r="W216" i="5"/>
  <c r="X216" i="5"/>
  <c r="Z216" i="5"/>
  <c r="AA216" i="5" s="1"/>
  <c r="AB216" i="5" s="1"/>
  <c r="AP216" i="5" s="1"/>
  <c r="AC216" i="5"/>
  <c r="AH216" i="5"/>
  <c r="AQ216" i="5" s="1"/>
  <c r="AL216" i="5"/>
  <c r="Z29" i="5" l="1"/>
  <c r="AA29" i="5" s="1"/>
  <c r="Z28" i="5"/>
  <c r="AA28" i="5" s="1"/>
  <c r="H82" i="8"/>
  <c r="I82" i="8"/>
  <c r="Z31" i="5"/>
  <c r="Z30" i="5"/>
  <c r="AB105" i="5"/>
  <c r="AP105" i="5" s="1"/>
  <c r="AC105" i="5"/>
  <c r="Z24" i="5"/>
  <c r="AA24" i="5" s="1"/>
  <c r="H27" i="8"/>
  <c r="Z27" i="5"/>
  <c r="AA27" i="5" s="1"/>
  <c r="Z33" i="5"/>
  <c r="AA33" i="5" s="1"/>
  <c r="Z32" i="5"/>
  <c r="H25" i="8"/>
  <c r="Z25" i="5"/>
  <c r="AA25" i="5" s="1"/>
  <c r="H26" i="8"/>
  <c r="Z26" i="5"/>
  <c r="AA26" i="5" s="1"/>
  <c r="Z34" i="5"/>
  <c r="H51" i="8"/>
  <c r="I51" i="8"/>
  <c r="A22" i="1" s="1"/>
  <c r="H21" i="8"/>
  <c r="Z21" i="5"/>
  <c r="AA21" i="5" s="1"/>
  <c r="H22" i="8"/>
  <c r="Z22" i="5"/>
  <c r="AA22" i="5" s="1"/>
  <c r="H23" i="8"/>
  <c r="Z23" i="5"/>
  <c r="AA23" i="5" s="1"/>
  <c r="Y466" i="5"/>
  <c r="AR466" i="5" s="1"/>
  <c r="AD466" i="5"/>
  <c r="AJ466" i="5"/>
  <c r="AK466" i="5"/>
  <c r="BC466" i="5"/>
  <c r="Y465" i="5"/>
  <c r="AR465" i="5" s="1"/>
  <c r="AD465" i="5"/>
  <c r="AJ465" i="5"/>
  <c r="AK465" i="5"/>
  <c r="BC465" i="5"/>
  <c r="Y464" i="5"/>
  <c r="AR464" i="5" s="1"/>
  <c r="AD464" i="5"/>
  <c r="AJ464" i="5"/>
  <c r="AK464" i="5"/>
  <c r="BC464" i="5"/>
  <c r="Y463" i="5"/>
  <c r="AR463" i="5" s="1"/>
  <c r="AD463" i="5"/>
  <c r="AJ463" i="5"/>
  <c r="AK463" i="5"/>
  <c r="BC463" i="5"/>
  <c r="Y462" i="5"/>
  <c r="AR462" i="5" s="1"/>
  <c r="AD462" i="5"/>
  <c r="AJ462" i="5"/>
  <c r="AK462" i="5"/>
  <c r="BC462" i="5"/>
  <c r="Y461" i="5"/>
  <c r="AR461" i="5" s="1"/>
  <c r="AD461" i="5"/>
  <c r="AJ461" i="5"/>
  <c r="AK461" i="5"/>
  <c r="BC461" i="5"/>
  <c r="Y460" i="5"/>
  <c r="AR460" i="5" s="1"/>
  <c r="AD460" i="5"/>
  <c r="AJ460" i="5"/>
  <c r="AK460" i="5"/>
  <c r="BC460" i="5"/>
  <c r="Y459" i="5"/>
  <c r="AR459" i="5" s="1"/>
  <c r="AD459" i="5"/>
  <c r="AJ459" i="5"/>
  <c r="AK459" i="5"/>
  <c r="BC459" i="5"/>
  <c r="Y458" i="5"/>
  <c r="AR458" i="5" s="1"/>
  <c r="AD458" i="5"/>
  <c r="AJ458" i="5"/>
  <c r="AK458" i="5"/>
  <c r="BC458" i="5"/>
  <c r="Y457" i="5"/>
  <c r="AR457" i="5" s="1"/>
  <c r="AD457" i="5"/>
  <c r="AJ457" i="5"/>
  <c r="AK457" i="5"/>
  <c r="BC457" i="5"/>
  <c r="Y456" i="5"/>
  <c r="AR456" i="5" s="1"/>
  <c r="AD456" i="5"/>
  <c r="AJ456" i="5"/>
  <c r="AK456" i="5"/>
  <c r="BC456" i="5"/>
  <c r="Y455" i="5"/>
  <c r="AR455" i="5" s="1"/>
  <c r="AD455" i="5"/>
  <c r="AJ455" i="5"/>
  <c r="AK455" i="5"/>
  <c r="BC455" i="5"/>
  <c r="Y454" i="5"/>
  <c r="AR454" i="5" s="1"/>
  <c r="AD454" i="5"/>
  <c r="AJ454" i="5"/>
  <c r="AK454" i="5"/>
  <c r="BC454" i="5"/>
  <c r="Y453" i="5"/>
  <c r="AR453" i="5" s="1"/>
  <c r="AD453" i="5"/>
  <c r="AJ453" i="5"/>
  <c r="AK453" i="5"/>
  <c r="BC453" i="5"/>
  <c r="Y452" i="5"/>
  <c r="AR452" i="5" s="1"/>
  <c r="AD452" i="5"/>
  <c r="AJ452" i="5"/>
  <c r="AK452" i="5"/>
  <c r="BC452" i="5"/>
  <c r="Y451" i="5"/>
  <c r="AR451" i="5" s="1"/>
  <c r="AD451" i="5"/>
  <c r="AJ451" i="5"/>
  <c r="AK451" i="5"/>
  <c r="BC451" i="5"/>
  <c r="Y450" i="5"/>
  <c r="AR450" i="5" s="1"/>
  <c r="AD450" i="5"/>
  <c r="AJ450" i="5"/>
  <c r="AK450" i="5"/>
  <c r="BC450" i="5"/>
  <c r="Y449" i="5"/>
  <c r="AR449" i="5" s="1"/>
  <c r="AD449" i="5"/>
  <c r="AJ449" i="5"/>
  <c r="AK449" i="5"/>
  <c r="BC449" i="5"/>
  <c r="Y448" i="5"/>
  <c r="AR448" i="5" s="1"/>
  <c r="AD448" i="5"/>
  <c r="AJ448" i="5"/>
  <c r="AK448" i="5"/>
  <c r="BC448" i="5"/>
  <c r="Y447" i="5"/>
  <c r="AR447" i="5" s="1"/>
  <c r="AD447" i="5"/>
  <c r="AJ447" i="5"/>
  <c r="AK447" i="5"/>
  <c r="BC447" i="5"/>
  <c r="Y446" i="5"/>
  <c r="AR446" i="5" s="1"/>
  <c r="AD446" i="5"/>
  <c r="AJ446" i="5"/>
  <c r="AK446" i="5"/>
  <c r="BC446" i="5"/>
  <c r="Y445" i="5"/>
  <c r="AR445" i="5" s="1"/>
  <c r="AD445" i="5"/>
  <c r="AJ445" i="5"/>
  <c r="AK445" i="5"/>
  <c r="BC445" i="5"/>
  <c r="Y444" i="5"/>
  <c r="AR444" i="5" s="1"/>
  <c r="AD444" i="5"/>
  <c r="AJ444" i="5"/>
  <c r="AK444" i="5"/>
  <c r="BC444" i="5"/>
  <c r="Y443" i="5"/>
  <c r="AR443" i="5" s="1"/>
  <c r="AD443" i="5"/>
  <c r="AJ443" i="5"/>
  <c r="AK443" i="5"/>
  <c r="BC443" i="5"/>
  <c r="Y442" i="5"/>
  <c r="AR442" i="5" s="1"/>
  <c r="AD442" i="5"/>
  <c r="AJ442" i="5"/>
  <c r="AK442" i="5"/>
  <c r="BC442" i="5"/>
  <c r="Y441" i="5"/>
  <c r="AR441" i="5" s="1"/>
  <c r="AD441" i="5"/>
  <c r="AJ441" i="5"/>
  <c r="AK441" i="5"/>
  <c r="BC441" i="5"/>
  <c r="Y440" i="5"/>
  <c r="AR440" i="5" s="1"/>
  <c r="AD440" i="5"/>
  <c r="AJ440" i="5"/>
  <c r="AK440" i="5"/>
  <c r="BC440" i="5"/>
  <c r="Y439" i="5"/>
  <c r="AR439" i="5" s="1"/>
  <c r="AD439" i="5"/>
  <c r="AJ439" i="5"/>
  <c r="AK439" i="5"/>
  <c r="BC439" i="5"/>
  <c r="Y438" i="5"/>
  <c r="AR438" i="5" s="1"/>
  <c r="AD438" i="5"/>
  <c r="AJ438" i="5"/>
  <c r="AK438" i="5"/>
  <c r="BC438" i="5"/>
  <c r="Y437" i="5"/>
  <c r="AR437" i="5" s="1"/>
  <c r="AD437" i="5"/>
  <c r="AJ437" i="5"/>
  <c r="AK437" i="5"/>
  <c r="BC437" i="5"/>
  <c r="Y436" i="5"/>
  <c r="AR436" i="5" s="1"/>
  <c r="AD436" i="5"/>
  <c r="AJ436" i="5"/>
  <c r="AK436" i="5"/>
  <c r="BC436" i="5"/>
  <c r="Y435" i="5"/>
  <c r="AR435" i="5" s="1"/>
  <c r="AD435" i="5"/>
  <c r="AJ435" i="5"/>
  <c r="AK435" i="5"/>
  <c r="BC435" i="5"/>
  <c r="Y434" i="5"/>
  <c r="AR434" i="5" s="1"/>
  <c r="AD434" i="5"/>
  <c r="AJ434" i="5"/>
  <c r="AK434" i="5"/>
  <c r="BC434" i="5"/>
  <c r="Y433" i="5"/>
  <c r="AR433" i="5" s="1"/>
  <c r="AD433" i="5"/>
  <c r="AJ433" i="5"/>
  <c r="AK433" i="5"/>
  <c r="BC433" i="5"/>
  <c r="Y432" i="5"/>
  <c r="AR432" i="5" s="1"/>
  <c r="AD432" i="5"/>
  <c r="AJ432" i="5"/>
  <c r="AK432" i="5"/>
  <c r="BC432" i="5"/>
  <c r="Y431" i="5"/>
  <c r="AR431" i="5" s="1"/>
  <c r="AD431" i="5"/>
  <c r="AJ431" i="5"/>
  <c r="AK431" i="5"/>
  <c r="BC431" i="5"/>
  <c r="Y430" i="5"/>
  <c r="AR430" i="5" s="1"/>
  <c r="AD430" i="5"/>
  <c r="AJ430" i="5"/>
  <c r="AK430" i="5"/>
  <c r="BC430" i="5"/>
  <c r="Y429" i="5"/>
  <c r="AR429" i="5" s="1"/>
  <c r="AD429" i="5"/>
  <c r="AJ429" i="5"/>
  <c r="AK429" i="5"/>
  <c r="BC429" i="5"/>
  <c r="Y428" i="5"/>
  <c r="AR428" i="5" s="1"/>
  <c r="AD428" i="5"/>
  <c r="AJ428" i="5"/>
  <c r="AK428" i="5"/>
  <c r="BC428" i="5"/>
  <c r="Y427" i="5"/>
  <c r="AR427" i="5" s="1"/>
  <c r="AD427" i="5"/>
  <c r="AJ427" i="5"/>
  <c r="AK427" i="5"/>
  <c r="BC427" i="5"/>
  <c r="Y426" i="5"/>
  <c r="AR426" i="5" s="1"/>
  <c r="AD426" i="5"/>
  <c r="AJ426" i="5"/>
  <c r="AK426" i="5"/>
  <c r="BC426" i="5"/>
  <c r="Y425" i="5"/>
  <c r="AR425" i="5" s="1"/>
  <c r="AD425" i="5"/>
  <c r="AJ425" i="5"/>
  <c r="AK425" i="5"/>
  <c r="BC425" i="5"/>
  <c r="Y424" i="5"/>
  <c r="AR424" i="5" s="1"/>
  <c r="AD424" i="5"/>
  <c r="AJ424" i="5"/>
  <c r="AK424" i="5"/>
  <c r="BC424" i="5"/>
  <c r="Y423" i="5"/>
  <c r="AR423" i="5" s="1"/>
  <c r="AD423" i="5"/>
  <c r="AJ423" i="5"/>
  <c r="AK423" i="5"/>
  <c r="BC423" i="5"/>
  <c r="Y422" i="5"/>
  <c r="AR422" i="5" s="1"/>
  <c r="AD422" i="5"/>
  <c r="AJ422" i="5"/>
  <c r="AK422" i="5"/>
  <c r="BC422" i="5"/>
  <c r="Y421" i="5"/>
  <c r="AR421" i="5" s="1"/>
  <c r="AD421" i="5"/>
  <c r="AJ421" i="5"/>
  <c r="AK421" i="5"/>
  <c r="BC421" i="5"/>
  <c r="Y420" i="5"/>
  <c r="AR420" i="5" s="1"/>
  <c r="AD420" i="5"/>
  <c r="AJ420" i="5"/>
  <c r="AK420" i="5"/>
  <c r="BC420" i="5"/>
  <c r="Y419" i="5"/>
  <c r="AR419" i="5" s="1"/>
  <c r="AD419" i="5"/>
  <c r="AJ419" i="5"/>
  <c r="AK419" i="5"/>
  <c r="BC419" i="5"/>
  <c r="Y418" i="5"/>
  <c r="AR418" i="5" s="1"/>
  <c r="AD418" i="5"/>
  <c r="AJ418" i="5"/>
  <c r="AK418" i="5"/>
  <c r="BC418" i="5"/>
  <c r="Y417" i="5"/>
  <c r="AR417" i="5" s="1"/>
  <c r="AD417" i="5"/>
  <c r="AJ417" i="5"/>
  <c r="AK417" i="5"/>
  <c r="BC417" i="5"/>
  <c r="Y416" i="5"/>
  <c r="AR416" i="5" s="1"/>
  <c r="AD416" i="5"/>
  <c r="AJ416" i="5"/>
  <c r="AK416" i="5"/>
  <c r="BC416" i="5"/>
  <c r="Y415" i="5"/>
  <c r="AR415" i="5" s="1"/>
  <c r="AD415" i="5"/>
  <c r="AJ415" i="5"/>
  <c r="AK415" i="5"/>
  <c r="BC415" i="5"/>
  <c r="Y414" i="5"/>
  <c r="AR414" i="5" s="1"/>
  <c r="AD414" i="5"/>
  <c r="AJ414" i="5"/>
  <c r="AK414" i="5"/>
  <c r="BC414" i="5"/>
  <c r="Y413" i="5"/>
  <c r="AR413" i="5" s="1"/>
  <c r="AD413" i="5"/>
  <c r="AJ413" i="5"/>
  <c r="AK413" i="5"/>
  <c r="BC413" i="5"/>
  <c r="Y412" i="5"/>
  <c r="AR412" i="5" s="1"/>
  <c r="AD412" i="5"/>
  <c r="AJ412" i="5"/>
  <c r="AK412" i="5"/>
  <c r="BC412" i="5"/>
  <c r="Y411" i="5"/>
  <c r="AR411" i="5" s="1"/>
  <c r="AD411" i="5"/>
  <c r="AJ411" i="5"/>
  <c r="AK411" i="5"/>
  <c r="BC411" i="5"/>
  <c r="Y410" i="5"/>
  <c r="AR410" i="5" s="1"/>
  <c r="AD410" i="5"/>
  <c r="AJ410" i="5"/>
  <c r="AK410" i="5"/>
  <c r="BC410" i="5"/>
  <c r="Y409" i="5"/>
  <c r="AR409" i="5" s="1"/>
  <c r="AD409" i="5"/>
  <c r="AJ409" i="5"/>
  <c r="AK409" i="5"/>
  <c r="BC409" i="5"/>
  <c r="Y408" i="5"/>
  <c r="AD408" i="5"/>
  <c r="AK408" i="5"/>
  <c r="BC408" i="5"/>
  <c r="Y407" i="5"/>
  <c r="AD407" i="5"/>
  <c r="AK407" i="5"/>
  <c r="BC407" i="5"/>
  <c r="Y406" i="5"/>
  <c r="AD406" i="5"/>
  <c r="AK406" i="5"/>
  <c r="BC406" i="5"/>
  <c r="Y405" i="5"/>
  <c r="AD405" i="5"/>
  <c r="AK405" i="5"/>
  <c r="BC405" i="5"/>
  <c r="Y404" i="5"/>
  <c r="AR404" i="5" s="1"/>
  <c r="AD404" i="5"/>
  <c r="AJ404" i="5"/>
  <c r="AK404" i="5"/>
  <c r="BC404" i="5"/>
  <c r="Y403" i="5"/>
  <c r="AD403" i="5"/>
  <c r="AK403" i="5"/>
  <c r="BC403" i="5"/>
  <c r="Y402" i="5"/>
  <c r="AD402" i="5"/>
  <c r="AK402" i="5"/>
  <c r="BC402" i="5"/>
  <c r="AK66" i="5"/>
  <c r="BC66" i="5"/>
  <c r="Y66" i="5"/>
  <c r="AD66" i="5"/>
  <c r="M27" i="7"/>
  <c r="P27" i="7"/>
  <c r="Q27" i="7"/>
  <c r="M84" i="7"/>
  <c r="P84" i="7"/>
  <c r="Q84" i="7"/>
  <c r="M83" i="7"/>
  <c r="P83" i="7"/>
  <c r="Q83" i="7"/>
  <c r="M82" i="7"/>
  <c r="P82" i="7"/>
  <c r="Q82" i="7"/>
  <c r="M81" i="7"/>
  <c r="P81" i="7"/>
  <c r="Q81" i="7"/>
  <c r="M80" i="7"/>
  <c r="P80" i="7"/>
  <c r="Q80" i="7"/>
  <c r="M79" i="7"/>
  <c r="P79" i="7"/>
  <c r="Q79" i="7"/>
  <c r="M78" i="7"/>
  <c r="P78" i="7"/>
  <c r="Q78" i="7"/>
  <c r="M77" i="7"/>
  <c r="P77" i="7"/>
  <c r="Q77" i="7"/>
  <c r="M76" i="7"/>
  <c r="P76" i="7"/>
  <c r="Q76" i="7"/>
  <c r="M75" i="7"/>
  <c r="P75" i="7"/>
  <c r="Q75" i="7"/>
  <c r="M74" i="7"/>
  <c r="P74" i="7"/>
  <c r="Q74" i="7"/>
  <c r="M73" i="7"/>
  <c r="P73" i="7"/>
  <c r="Q73" i="7"/>
  <c r="M72" i="7"/>
  <c r="P72" i="7"/>
  <c r="Q72" i="7"/>
  <c r="M71" i="7"/>
  <c r="P71" i="7"/>
  <c r="Q71" i="7"/>
  <c r="M70" i="7"/>
  <c r="P70" i="7"/>
  <c r="Q70" i="7"/>
  <c r="M69" i="7"/>
  <c r="P69" i="7"/>
  <c r="Q69" i="7"/>
  <c r="M68" i="7"/>
  <c r="P68" i="7"/>
  <c r="Q68" i="7"/>
  <c r="M67" i="7"/>
  <c r="P67" i="7"/>
  <c r="Q67" i="7"/>
  <c r="M66" i="7"/>
  <c r="P66" i="7"/>
  <c r="Q66" i="7"/>
  <c r="M65" i="7"/>
  <c r="P65" i="7"/>
  <c r="Q65" i="7"/>
  <c r="M64" i="7"/>
  <c r="P64" i="7"/>
  <c r="Q64" i="7"/>
  <c r="M63" i="7"/>
  <c r="P63" i="7"/>
  <c r="Q63" i="7"/>
  <c r="M62" i="7"/>
  <c r="P62" i="7"/>
  <c r="Q62" i="7"/>
  <c r="M61" i="7"/>
  <c r="P61" i="7"/>
  <c r="Q61" i="7"/>
  <c r="M60" i="7"/>
  <c r="P60" i="7"/>
  <c r="Q60" i="7"/>
  <c r="M59" i="7"/>
  <c r="P59" i="7"/>
  <c r="Q59" i="7"/>
  <c r="M58" i="7"/>
  <c r="P58" i="7"/>
  <c r="Q58" i="7"/>
  <c r="M57" i="7"/>
  <c r="P57" i="7"/>
  <c r="Q57" i="7"/>
  <c r="M56" i="7"/>
  <c r="P56" i="7"/>
  <c r="Q56" i="7"/>
  <c r="M55" i="7"/>
  <c r="P55" i="7"/>
  <c r="Q55" i="7"/>
  <c r="M54" i="7"/>
  <c r="P54" i="7"/>
  <c r="Q54" i="7"/>
  <c r="M53" i="7"/>
  <c r="P53" i="7"/>
  <c r="Q53" i="7"/>
  <c r="M52" i="7"/>
  <c r="P52" i="7"/>
  <c r="Q52" i="7"/>
  <c r="M51" i="7"/>
  <c r="P51" i="7"/>
  <c r="Q51" i="7"/>
  <c r="M50" i="7"/>
  <c r="P50" i="7"/>
  <c r="Q50" i="7"/>
  <c r="M49" i="7"/>
  <c r="P49" i="7"/>
  <c r="Q49" i="7"/>
  <c r="M48" i="7"/>
  <c r="P48" i="7"/>
  <c r="Q48" i="7"/>
  <c r="M47" i="7"/>
  <c r="P47" i="7"/>
  <c r="Q47" i="7"/>
  <c r="M46" i="7"/>
  <c r="P46" i="7"/>
  <c r="Q46" i="7"/>
  <c r="M45" i="7"/>
  <c r="P45" i="7"/>
  <c r="Q45" i="7"/>
  <c r="M44" i="7"/>
  <c r="P44" i="7"/>
  <c r="Q44" i="7"/>
  <c r="M43" i="7"/>
  <c r="P43" i="7"/>
  <c r="Q43" i="7"/>
  <c r="M42" i="7"/>
  <c r="P42" i="7"/>
  <c r="Q42" i="7"/>
  <c r="M41" i="7"/>
  <c r="P41" i="7"/>
  <c r="Q41" i="7"/>
  <c r="M40" i="7"/>
  <c r="P40" i="7"/>
  <c r="Q40" i="7"/>
  <c r="M39" i="7"/>
  <c r="P39" i="7"/>
  <c r="Q39" i="7"/>
  <c r="M38" i="7"/>
  <c r="P38" i="7"/>
  <c r="Q38" i="7"/>
  <c r="M37" i="7"/>
  <c r="P37" i="7"/>
  <c r="Q37" i="7"/>
  <c r="M36" i="7"/>
  <c r="P36" i="7"/>
  <c r="Q36" i="7"/>
  <c r="M35" i="7"/>
  <c r="P35" i="7"/>
  <c r="Q35" i="7"/>
  <c r="M34" i="7"/>
  <c r="P34" i="7"/>
  <c r="Q34" i="7"/>
  <c r="M33" i="7"/>
  <c r="P33" i="7"/>
  <c r="Q33" i="7"/>
  <c r="M32" i="7"/>
  <c r="P32" i="7"/>
  <c r="Q32" i="7"/>
  <c r="M31" i="7"/>
  <c r="P31" i="7"/>
  <c r="Q31" i="7"/>
  <c r="M30" i="7"/>
  <c r="P30" i="7"/>
  <c r="Q30" i="7"/>
  <c r="M29" i="7"/>
  <c r="P29" i="7"/>
  <c r="Q29" i="7"/>
  <c r="M28" i="7"/>
  <c r="P28" i="7"/>
  <c r="Q28" i="7"/>
  <c r="M26" i="7"/>
  <c r="P26" i="7"/>
  <c r="Q26" i="7"/>
  <c r="M25" i="7"/>
  <c r="P25" i="7"/>
  <c r="Q25" i="7"/>
  <c r="M24" i="7"/>
  <c r="P24" i="7"/>
  <c r="Q24" i="7"/>
  <c r="M23" i="7"/>
  <c r="P23" i="7"/>
  <c r="Q23" i="7"/>
  <c r="M22" i="7"/>
  <c r="P22" i="7"/>
  <c r="Q22" i="7"/>
  <c r="M21" i="7"/>
  <c r="P21" i="7"/>
  <c r="Q21" i="7"/>
  <c r="M20" i="7"/>
  <c r="P20" i="7"/>
  <c r="Q20" i="7"/>
  <c r="M19" i="7"/>
  <c r="P19" i="7"/>
  <c r="Q19" i="7"/>
  <c r="M18" i="7"/>
  <c r="P18" i="7"/>
  <c r="Q18" i="7"/>
  <c r="M17" i="7"/>
  <c r="P17" i="7"/>
  <c r="Q17" i="7"/>
  <c r="M16" i="7"/>
  <c r="P16" i="7"/>
  <c r="Q16" i="7"/>
  <c r="M15" i="7"/>
  <c r="P15" i="7"/>
  <c r="Q15" i="7"/>
  <c r="M14" i="7"/>
  <c r="P14" i="7"/>
  <c r="Q14" i="7"/>
  <c r="M13" i="7"/>
  <c r="P13" i="7"/>
  <c r="Q13" i="7"/>
  <c r="M12" i="7"/>
  <c r="P12" i="7"/>
  <c r="Q12" i="7"/>
  <c r="M11" i="7"/>
  <c r="P11" i="7"/>
  <c r="Q11" i="7"/>
  <c r="M10" i="7"/>
  <c r="P10" i="7"/>
  <c r="Q10" i="7"/>
  <c r="Y509" i="5"/>
  <c r="AR509" i="5" s="1"/>
  <c r="AD509" i="5"/>
  <c r="AJ509" i="5"/>
  <c r="AK509" i="5"/>
  <c r="BC509" i="5"/>
  <c r="Y508" i="5"/>
  <c r="AR508" i="5" s="1"/>
  <c r="AD508" i="5"/>
  <c r="AJ508" i="5"/>
  <c r="AK508" i="5"/>
  <c r="BC508" i="5"/>
  <c r="Y507" i="5"/>
  <c r="AR507" i="5" s="1"/>
  <c r="AD507" i="5"/>
  <c r="AJ507" i="5"/>
  <c r="AK507" i="5"/>
  <c r="BC507" i="5"/>
  <c r="Y506" i="5"/>
  <c r="AR506" i="5" s="1"/>
  <c r="AD506" i="5"/>
  <c r="AJ506" i="5"/>
  <c r="AK506" i="5"/>
  <c r="BC506" i="5"/>
  <c r="Y505" i="5"/>
  <c r="AR505" i="5" s="1"/>
  <c r="AD505" i="5"/>
  <c r="AJ505" i="5"/>
  <c r="AK505" i="5"/>
  <c r="BC505" i="5"/>
  <c r="Y504" i="5"/>
  <c r="AR504" i="5" s="1"/>
  <c r="AD504" i="5"/>
  <c r="AJ504" i="5"/>
  <c r="AK504" i="5"/>
  <c r="BC504" i="5"/>
  <c r="Y503" i="5"/>
  <c r="AR503" i="5" s="1"/>
  <c r="AD503" i="5"/>
  <c r="AJ503" i="5"/>
  <c r="AK503" i="5"/>
  <c r="BC503" i="5"/>
  <c r="Y502" i="5"/>
  <c r="AR502" i="5" s="1"/>
  <c r="AD502" i="5"/>
  <c r="AJ502" i="5"/>
  <c r="AK502" i="5"/>
  <c r="BC502" i="5"/>
  <c r="Y501" i="5"/>
  <c r="AR501" i="5" s="1"/>
  <c r="AD501" i="5"/>
  <c r="AJ501" i="5"/>
  <c r="AK501" i="5"/>
  <c r="BC501" i="5"/>
  <c r="Y500" i="5"/>
  <c r="AR500" i="5" s="1"/>
  <c r="AD500" i="5"/>
  <c r="AJ500" i="5"/>
  <c r="AK500" i="5"/>
  <c r="BC500" i="5"/>
  <c r="Y499" i="5"/>
  <c r="AR499" i="5" s="1"/>
  <c r="AD499" i="5"/>
  <c r="AJ499" i="5"/>
  <c r="AK499" i="5"/>
  <c r="BC499" i="5"/>
  <c r="Y498" i="5"/>
  <c r="AR498" i="5" s="1"/>
  <c r="AD498" i="5"/>
  <c r="AJ498" i="5"/>
  <c r="AK498" i="5"/>
  <c r="BC498" i="5"/>
  <c r="Y497" i="5"/>
  <c r="AR497" i="5" s="1"/>
  <c r="AD497" i="5"/>
  <c r="AJ497" i="5"/>
  <c r="AK497" i="5"/>
  <c r="BC497" i="5"/>
  <c r="Y496" i="5"/>
  <c r="AR496" i="5" s="1"/>
  <c r="AD496" i="5"/>
  <c r="AJ496" i="5"/>
  <c r="AK496" i="5"/>
  <c r="BC496" i="5"/>
  <c r="Y495" i="5"/>
  <c r="AR495" i="5" s="1"/>
  <c r="AD495" i="5"/>
  <c r="AJ495" i="5"/>
  <c r="AK495" i="5"/>
  <c r="BC495" i="5"/>
  <c r="Y494" i="5"/>
  <c r="AR494" i="5" s="1"/>
  <c r="AD494" i="5"/>
  <c r="AJ494" i="5"/>
  <c r="AK494" i="5"/>
  <c r="BC494" i="5"/>
  <c r="Y493" i="5"/>
  <c r="AR493" i="5" s="1"/>
  <c r="AD493" i="5"/>
  <c r="AJ493" i="5"/>
  <c r="AK493" i="5"/>
  <c r="BC493" i="5"/>
  <c r="Y492" i="5"/>
  <c r="AR492" i="5" s="1"/>
  <c r="AD492" i="5"/>
  <c r="AJ492" i="5"/>
  <c r="AK492" i="5"/>
  <c r="BC492" i="5"/>
  <c r="Y491" i="5"/>
  <c r="AR491" i="5" s="1"/>
  <c r="AD491" i="5"/>
  <c r="AJ491" i="5"/>
  <c r="AK491" i="5"/>
  <c r="BC491" i="5"/>
  <c r="Y490" i="5"/>
  <c r="AR490" i="5" s="1"/>
  <c r="AD490" i="5"/>
  <c r="AJ490" i="5"/>
  <c r="AK490" i="5"/>
  <c r="BC490" i="5"/>
  <c r="Y489" i="5"/>
  <c r="AR489" i="5" s="1"/>
  <c r="AD489" i="5"/>
  <c r="AJ489" i="5"/>
  <c r="AK489" i="5"/>
  <c r="BC489" i="5"/>
  <c r="Y488" i="5"/>
  <c r="AR488" i="5" s="1"/>
  <c r="AD488" i="5"/>
  <c r="AJ488" i="5"/>
  <c r="AK488" i="5"/>
  <c r="BC488" i="5"/>
  <c r="Y487" i="5"/>
  <c r="AD487" i="5"/>
  <c r="AK487" i="5"/>
  <c r="BC487" i="5"/>
  <c r="Y486" i="5"/>
  <c r="AD486" i="5"/>
  <c r="AK486" i="5"/>
  <c r="BC486" i="5"/>
  <c r="Y485" i="5"/>
  <c r="AD485" i="5"/>
  <c r="AK485" i="5"/>
  <c r="BC485" i="5"/>
  <c r="Y484" i="5"/>
  <c r="AR484" i="5" s="1"/>
  <c r="AD484" i="5"/>
  <c r="AJ484" i="5"/>
  <c r="AK484" i="5"/>
  <c r="BC484" i="5"/>
  <c r="Y483" i="5"/>
  <c r="AD483" i="5"/>
  <c r="AK483" i="5"/>
  <c r="BC483" i="5"/>
  <c r="Y482" i="5"/>
  <c r="AR482" i="5" s="1"/>
  <c r="AD482" i="5"/>
  <c r="AJ482" i="5"/>
  <c r="AK482" i="5"/>
  <c r="BC482" i="5"/>
  <c r="Y481" i="5"/>
  <c r="AD481" i="5"/>
  <c r="AK481" i="5"/>
  <c r="BC481" i="5"/>
  <c r="Y480" i="5"/>
  <c r="AD480" i="5"/>
  <c r="AK480" i="5"/>
  <c r="BC480" i="5"/>
  <c r="Y479" i="5"/>
  <c r="AD479" i="5"/>
  <c r="AK479" i="5"/>
  <c r="BC479" i="5"/>
  <c r="Y478" i="5"/>
  <c r="AD478" i="5"/>
  <c r="AK478" i="5"/>
  <c r="BC478" i="5"/>
  <c r="Y477" i="5"/>
  <c r="AD477" i="5"/>
  <c r="AK477" i="5"/>
  <c r="BC477" i="5"/>
  <c r="Y476" i="5"/>
  <c r="AD476" i="5"/>
  <c r="AK476" i="5"/>
  <c r="BC476" i="5"/>
  <c r="Y475" i="5"/>
  <c r="AD475" i="5"/>
  <c r="AK475" i="5"/>
  <c r="BC475" i="5"/>
  <c r="Y474" i="5"/>
  <c r="AD474" i="5"/>
  <c r="AK474" i="5"/>
  <c r="BC474" i="5"/>
  <c r="Y473" i="5"/>
  <c r="AD473" i="5"/>
  <c r="AK473" i="5"/>
  <c r="BC473" i="5"/>
  <c r="Y472" i="5"/>
  <c r="AD472" i="5"/>
  <c r="AK472" i="5"/>
  <c r="BC472" i="5"/>
  <c r="Y324" i="5"/>
  <c r="AD324" i="5"/>
  <c r="AK324" i="5"/>
  <c r="BC324" i="5"/>
  <c r="Y166" i="5"/>
  <c r="AD166" i="5"/>
  <c r="AK166" i="5"/>
  <c r="BC166" i="5"/>
  <c r="Y165" i="5"/>
  <c r="AD165" i="5"/>
  <c r="AK165" i="5"/>
  <c r="BC165" i="5"/>
  <c r="Y164" i="5"/>
  <c r="AD164" i="5"/>
  <c r="AK164" i="5"/>
  <c r="BC164" i="5"/>
  <c r="Y163" i="5"/>
  <c r="AD163" i="5"/>
  <c r="AK163" i="5"/>
  <c r="BC163" i="5"/>
  <c r="Y162" i="5"/>
  <c r="AD162" i="5"/>
  <c r="AK162" i="5"/>
  <c r="BC162" i="5"/>
  <c r="Y161" i="5"/>
  <c r="AD161" i="5"/>
  <c r="AK161" i="5"/>
  <c r="BC161" i="5"/>
  <c r="Y160" i="5"/>
  <c r="AD160" i="5"/>
  <c r="AK160" i="5"/>
  <c r="BC160" i="5"/>
  <c r="Y159" i="5"/>
  <c r="AD159" i="5"/>
  <c r="AK159" i="5"/>
  <c r="BC159" i="5"/>
  <c r="Y158" i="5"/>
  <c r="AD158" i="5"/>
  <c r="AK158" i="5"/>
  <c r="BC158" i="5"/>
  <c r="Y157" i="5"/>
  <c r="AD157" i="5"/>
  <c r="D23" i="3" s="1"/>
  <c r="AK157" i="5"/>
  <c r="BC157" i="5"/>
  <c r="B23" i="3"/>
  <c r="Y156" i="5"/>
  <c r="AD156" i="5"/>
  <c r="AJ156" i="5"/>
  <c r="AK156" i="5"/>
  <c r="BC156" i="5"/>
  <c r="D22" i="3"/>
  <c r="B22" i="3"/>
  <c r="Y155" i="5"/>
  <c r="AR155" i="5" s="1"/>
  <c r="AJ155" i="5"/>
  <c r="AK155" i="5"/>
  <c r="BC155" i="5"/>
  <c r="C21" i="3"/>
  <c r="B21" i="3"/>
  <c r="Y154" i="5"/>
  <c r="AR154" i="5" s="1"/>
  <c r="AJ154" i="5"/>
  <c r="AK154" i="5"/>
  <c r="BC154" i="5"/>
  <c r="B20" i="3"/>
  <c r="C20" i="3"/>
  <c r="Y153" i="5"/>
  <c r="AR153" i="5" s="1"/>
  <c r="AJ153" i="5"/>
  <c r="AK153" i="5"/>
  <c r="BC153" i="5"/>
  <c r="Y152" i="5"/>
  <c r="AR152" i="5" s="1"/>
  <c r="AJ152" i="5"/>
  <c r="AK152" i="5"/>
  <c r="BC152" i="5"/>
  <c r="Y151" i="5"/>
  <c r="AR151" i="5" s="1"/>
  <c r="AJ151" i="5"/>
  <c r="AK151" i="5"/>
  <c r="BC151" i="5"/>
  <c r="Y150" i="5"/>
  <c r="AR150" i="5" s="1"/>
  <c r="AJ150" i="5"/>
  <c r="AK150" i="5"/>
  <c r="BC150" i="5"/>
  <c r="Y149" i="5"/>
  <c r="AJ149" i="5"/>
  <c r="AK149" i="5"/>
  <c r="BC149" i="5"/>
  <c r="B19" i="3"/>
  <c r="Y148" i="5"/>
  <c r="AR148" i="5" s="1"/>
  <c r="AK148" i="5"/>
  <c r="BC148" i="5"/>
  <c r="Y147" i="5"/>
  <c r="AK147" i="5"/>
  <c r="BC147" i="5"/>
  <c r="B18" i="3"/>
  <c r="C18" i="3"/>
  <c r="Y146" i="5"/>
  <c r="AK146" i="5"/>
  <c r="BC146" i="5"/>
  <c r="C17" i="3"/>
  <c r="B17" i="3"/>
  <c r="Y145" i="5"/>
  <c r="AK145" i="5"/>
  <c r="BC145" i="5"/>
  <c r="Y144" i="5"/>
  <c r="AR144" i="5" s="1"/>
  <c r="AJ144" i="5"/>
  <c r="AK144" i="5"/>
  <c r="BC144" i="5"/>
  <c r="Y143" i="5"/>
  <c r="AR143" i="5" s="1"/>
  <c r="AJ143" i="5"/>
  <c r="AK143" i="5"/>
  <c r="BC143" i="5"/>
  <c r="B16" i="3"/>
  <c r="C16" i="3"/>
  <c r="Y142" i="5"/>
  <c r="AR142" i="5" s="1"/>
  <c r="AJ142" i="5"/>
  <c r="AK142" i="5"/>
  <c r="BC142" i="5"/>
  <c r="Y141" i="5"/>
  <c r="AK141" i="5"/>
  <c r="BC141" i="5"/>
  <c r="B15" i="3"/>
  <c r="C15" i="3"/>
  <c r="Y140" i="5"/>
  <c r="AR140" i="5" s="1"/>
  <c r="AJ140" i="5"/>
  <c r="AK140" i="5"/>
  <c r="BC140" i="5"/>
  <c r="C14" i="3"/>
  <c r="B14" i="3"/>
  <c r="Y139" i="5"/>
  <c r="AR139" i="5" s="1"/>
  <c r="AD139" i="5"/>
  <c r="AJ139" i="5"/>
  <c r="AK139" i="5"/>
  <c r="BC139" i="5"/>
  <c r="B13" i="3"/>
  <c r="C13" i="3"/>
  <c r="D13" i="3"/>
  <c r="Y138" i="5"/>
  <c r="AR138" i="5" s="1"/>
  <c r="AJ138" i="5"/>
  <c r="AK138" i="5"/>
  <c r="BC138" i="5"/>
  <c r="Y137" i="5"/>
  <c r="AR137" i="5" s="1"/>
  <c r="AD137" i="5"/>
  <c r="AJ137" i="5"/>
  <c r="AK137" i="5"/>
  <c r="BC137" i="5"/>
  <c r="Y136" i="5"/>
  <c r="AR136" i="5" s="1"/>
  <c r="AJ136" i="5"/>
  <c r="AK136" i="5"/>
  <c r="BC136" i="5"/>
  <c r="Y135" i="5"/>
  <c r="AK135" i="5"/>
  <c r="BC135" i="5"/>
  <c r="Y134" i="5"/>
  <c r="AR134" i="5" s="1"/>
  <c r="AD134" i="5"/>
  <c r="AJ134" i="5"/>
  <c r="AK134" i="5"/>
  <c r="BC134" i="5"/>
  <c r="Y133" i="5"/>
  <c r="AR133" i="5" s="1"/>
  <c r="AJ133" i="5"/>
  <c r="AK133" i="5"/>
  <c r="BC133" i="5"/>
  <c r="Y132" i="5"/>
  <c r="AR132" i="5" s="1"/>
  <c r="AJ132" i="5"/>
  <c r="AK132" i="5"/>
  <c r="BC132" i="5"/>
  <c r="Y131" i="5"/>
  <c r="AR131" i="5" s="1"/>
  <c r="AD131" i="5"/>
  <c r="AJ131" i="5"/>
  <c r="AK131" i="5"/>
  <c r="BC131" i="5"/>
  <c r="Y130" i="5"/>
  <c r="AR130" i="5" s="1"/>
  <c r="AD130" i="5"/>
  <c r="AJ130" i="5"/>
  <c r="AK130" i="5"/>
  <c r="BC130" i="5"/>
  <c r="B12" i="3"/>
  <c r="Y129" i="5"/>
  <c r="AK129" i="5"/>
  <c r="BC129" i="5"/>
  <c r="Y128" i="5"/>
  <c r="AR128" i="5" s="1"/>
  <c r="AJ128" i="5"/>
  <c r="AK128" i="5"/>
  <c r="BC128" i="5"/>
  <c r="Y127" i="5"/>
  <c r="AR127" i="5" s="1"/>
  <c r="AJ127" i="5"/>
  <c r="AK127" i="5"/>
  <c r="BC127" i="5"/>
  <c r="Y126" i="5"/>
  <c r="AR126" i="5" s="1"/>
  <c r="AD126" i="5"/>
  <c r="AJ126" i="5"/>
  <c r="AK126" i="5"/>
  <c r="BC126" i="5"/>
  <c r="Y125" i="5"/>
  <c r="AK125" i="5"/>
  <c r="BC125" i="5"/>
  <c r="Y124" i="5"/>
  <c r="AR124" i="5" s="1"/>
  <c r="AD124" i="5"/>
  <c r="AJ124" i="5"/>
  <c r="AK124" i="5"/>
  <c r="BC124" i="5"/>
  <c r="Y123" i="5"/>
  <c r="AR123" i="5" s="1"/>
  <c r="AD123" i="5"/>
  <c r="AJ123" i="5"/>
  <c r="AK123" i="5"/>
  <c r="BC123" i="5"/>
  <c r="Y122" i="5"/>
  <c r="AR122" i="5" s="1"/>
  <c r="AJ122" i="5"/>
  <c r="AK122" i="5"/>
  <c r="BC122" i="5"/>
  <c r="Y121" i="5"/>
  <c r="AR121" i="5" s="1"/>
  <c r="AJ121" i="5"/>
  <c r="AK121" i="5"/>
  <c r="BC121" i="5"/>
  <c r="Y120" i="5"/>
  <c r="AR120" i="5" s="1"/>
  <c r="AJ120" i="5"/>
  <c r="AK120" i="5"/>
  <c r="BC120" i="5"/>
  <c r="Y119" i="5"/>
  <c r="AR119" i="5" s="1"/>
  <c r="AJ119" i="5"/>
  <c r="AK119" i="5"/>
  <c r="BC119" i="5"/>
  <c r="Y118" i="5"/>
  <c r="AR118" i="5" s="1"/>
  <c r="AJ118" i="5"/>
  <c r="AK118" i="5"/>
  <c r="BC118" i="5"/>
  <c r="Y117" i="5"/>
  <c r="AD117" i="5"/>
  <c r="AK117" i="5"/>
  <c r="BC117" i="5"/>
  <c r="Y116" i="5"/>
  <c r="AK116" i="5"/>
  <c r="BC116" i="5"/>
  <c r="Y115" i="5"/>
  <c r="AR115" i="5" s="1"/>
  <c r="AD115" i="5"/>
  <c r="AJ115" i="5"/>
  <c r="AK115" i="5"/>
  <c r="BC115" i="5"/>
  <c r="C11" i="3"/>
  <c r="B11" i="3"/>
  <c r="Y114" i="5"/>
  <c r="AK114" i="5"/>
  <c r="BC114" i="5"/>
  <c r="Y113" i="5"/>
  <c r="AR113" i="5" s="1"/>
  <c r="AJ113" i="5"/>
  <c r="AK113" i="5"/>
  <c r="BC113" i="5"/>
  <c r="Y112" i="5"/>
  <c r="AR112" i="5" s="1"/>
  <c r="AJ112" i="5"/>
  <c r="AK112" i="5"/>
  <c r="BC112" i="5"/>
  <c r="Y111" i="5"/>
  <c r="AR111" i="5" s="1"/>
  <c r="AJ111" i="5"/>
  <c r="AK111" i="5"/>
  <c r="BC111" i="5"/>
  <c r="Y110" i="5"/>
  <c r="AR110" i="5" s="1"/>
  <c r="AJ110" i="5"/>
  <c r="AK110" i="5"/>
  <c r="BC110" i="5"/>
  <c r="Y109" i="5"/>
  <c r="AR109" i="5" s="1"/>
  <c r="AJ109" i="5"/>
  <c r="AK109" i="5"/>
  <c r="BC109" i="5"/>
  <c r="Y108" i="5"/>
  <c r="AR108" i="5" s="1"/>
  <c r="AD108" i="5"/>
  <c r="AJ108" i="5"/>
  <c r="AK108" i="5"/>
  <c r="BC108" i="5"/>
  <c r="Y107" i="5"/>
  <c r="AR107" i="5" s="1"/>
  <c r="AD107" i="5"/>
  <c r="AJ107" i="5"/>
  <c r="AK107" i="5"/>
  <c r="BC107" i="5"/>
  <c r="Y106" i="5"/>
  <c r="AR106" i="5" s="1"/>
  <c r="AD106" i="5"/>
  <c r="AJ106" i="5"/>
  <c r="AK106" i="5"/>
  <c r="BC106" i="5"/>
  <c r="Y105" i="5"/>
  <c r="AD105" i="5"/>
  <c r="AK105" i="5"/>
  <c r="BC105" i="5"/>
  <c r="Y104" i="5"/>
  <c r="AK104" i="5"/>
  <c r="BC104" i="5"/>
  <c r="Y103" i="5"/>
  <c r="AR103" i="5" s="1"/>
  <c r="AJ103" i="5"/>
  <c r="AK103" i="5"/>
  <c r="BC103" i="5"/>
  <c r="Y102" i="5"/>
  <c r="AR102" i="5" s="1"/>
  <c r="AJ102" i="5"/>
  <c r="AK102" i="5"/>
  <c r="BC102" i="5"/>
  <c r="Y101" i="5"/>
  <c r="AD101" i="5"/>
  <c r="AK101" i="5"/>
  <c r="BC101" i="5"/>
  <c r="Y100" i="5"/>
  <c r="AR100" i="5" s="1"/>
  <c r="AJ100" i="5"/>
  <c r="AK100" i="5"/>
  <c r="BC100" i="5"/>
  <c r="Y99" i="5"/>
  <c r="AR99" i="5" s="1"/>
  <c r="AJ99" i="5"/>
  <c r="AK99" i="5"/>
  <c r="BC99" i="5"/>
  <c r="Y98" i="5"/>
  <c r="AR98" i="5" s="1"/>
  <c r="AJ98" i="5"/>
  <c r="AK98" i="5"/>
  <c r="BC98" i="5"/>
  <c r="Y97" i="5"/>
  <c r="AR97" i="5" s="1"/>
  <c r="AD97" i="5"/>
  <c r="AJ97" i="5"/>
  <c r="AK97" i="5"/>
  <c r="BC97" i="5"/>
  <c r="Y96" i="5"/>
  <c r="AR96" i="5" s="1"/>
  <c r="AK96" i="5"/>
  <c r="BC96" i="5"/>
  <c r="Y95" i="5"/>
  <c r="AK95" i="5"/>
  <c r="BC95" i="5"/>
  <c r="Y94" i="5"/>
  <c r="AR94" i="5" s="1"/>
  <c r="AK94" i="5"/>
  <c r="BC94" i="5"/>
  <c r="Y93" i="5"/>
  <c r="AR93" i="5" s="1"/>
  <c r="AJ93" i="5"/>
  <c r="AK93" i="5"/>
  <c r="BC93" i="5"/>
  <c r="Y92" i="5"/>
  <c r="AR92" i="5" s="1"/>
  <c r="AJ92" i="5"/>
  <c r="AK92" i="5"/>
  <c r="BC92" i="5"/>
  <c r="Y91" i="5"/>
  <c r="AR91" i="5" s="1"/>
  <c r="AJ91" i="5"/>
  <c r="AK91" i="5"/>
  <c r="BC91" i="5"/>
  <c r="Y90" i="5"/>
  <c r="AR90" i="5" s="1"/>
  <c r="AD90" i="5"/>
  <c r="AJ90" i="5"/>
  <c r="AK90" i="5"/>
  <c r="BC90" i="5"/>
  <c r="Y89" i="5"/>
  <c r="AR89" i="5" s="1"/>
  <c r="AD89" i="5"/>
  <c r="AJ89" i="5"/>
  <c r="AK89" i="5"/>
  <c r="BC89" i="5"/>
  <c r="Y88" i="5"/>
  <c r="AR88" i="5" s="1"/>
  <c r="AD88" i="5"/>
  <c r="AJ88" i="5"/>
  <c r="AK88" i="5"/>
  <c r="BC88" i="5"/>
  <c r="Y87" i="5"/>
  <c r="AR87" i="5" s="1"/>
  <c r="AD87" i="5"/>
  <c r="AJ87" i="5"/>
  <c r="AK87" i="5"/>
  <c r="BC87" i="5"/>
  <c r="Y86" i="5"/>
  <c r="AR86" i="5" s="1"/>
  <c r="AD86" i="5"/>
  <c r="AJ86" i="5"/>
  <c r="AK86" i="5"/>
  <c r="BC86" i="5"/>
  <c r="Y85" i="5"/>
  <c r="AK85" i="5"/>
  <c r="BC85" i="5"/>
  <c r="Y84" i="5"/>
  <c r="AR84" i="5" s="1"/>
  <c r="AJ84" i="5"/>
  <c r="AK84" i="5"/>
  <c r="BC84" i="5"/>
  <c r="Y83" i="5"/>
  <c r="AR83" i="5" s="1"/>
  <c r="AD83" i="5"/>
  <c r="AJ83" i="5"/>
  <c r="AK83" i="5"/>
  <c r="BC83" i="5"/>
  <c r="Y82" i="5"/>
  <c r="AR82" i="5" s="1"/>
  <c r="AK82" i="5"/>
  <c r="BC82" i="5"/>
  <c r="Y79" i="5"/>
  <c r="AK79" i="5"/>
  <c r="BC79" i="5"/>
  <c r="Y78" i="5"/>
  <c r="AR78" i="5" s="1"/>
  <c r="AJ78" i="5"/>
  <c r="AK78" i="5"/>
  <c r="BC78" i="5"/>
  <c r="Y76" i="5"/>
  <c r="AD76" i="5"/>
  <c r="AK76" i="5"/>
  <c r="BC76" i="5"/>
  <c r="AK74" i="5"/>
  <c r="BC74" i="5"/>
  <c r="Y74" i="5"/>
  <c r="AK72" i="5"/>
  <c r="BC72" i="5"/>
  <c r="Y72" i="5"/>
  <c r="Y71" i="5"/>
  <c r="AR71" i="5" s="1"/>
  <c r="AJ71" i="5"/>
  <c r="AK71" i="5"/>
  <c r="BC71" i="5"/>
  <c r="Y70" i="5"/>
  <c r="AR70" i="5" s="1"/>
  <c r="AK70" i="5"/>
  <c r="BC70" i="5"/>
  <c r="AK67" i="5"/>
  <c r="BC67" i="5"/>
  <c r="Y67" i="5"/>
  <c r="Y323" i="5"/>
  <c r="AD323" i="5"/>
  <c r="AK323" i="5"/>
  <c r="BC323" i="5"/>
  <c r="Y322" i="5"/>
  <c r="AD322" i="5"/>
  <c r="AK322" i="5"/>
  <c r="BC322" i="5"/>
  <c r="Y321" i="5"/>
  <c r="AD321" i="5"/>
  <c r="AK321" i="5"/>
  <c r="BC321" i="5"/>
  <c r="Y320" i="5"/>
  <c r="AD320" i="5"/>
  <c r="AK320" i="5"/>
  <c r="BC320" i="5"/>
  <c r="Y319" i="5"/>
  <c r="AD319" i="5"/>
  <c r="AK319" i="5"/>
  <c r="BC319" i="5"/>
  <c r="Y318" i="5"/>
  <c r="AD318" i="5"/>
  <c r="AK318" i="5"/>
  <c r="BC318" i="5"/>
  <c r="Y317" i="5"/>
  <c r="AD317" i="5"/>
  <c r="AK317" i="5"/>
  <c r="BC317" i="5"/>
  <c r="Y316" i="5"/>
  <c r="AD316" i="5"/>
  <c r="AK316" i="5"/>
  <c r="BC316" i="5"/>
  <c r="Y315" i="5"/>
  <c r="AD315" i="5"/>
  <c r="AK315" i="5"/>
  <c r="BC315" i="5"/>
  <c r="Y314" i="5"/>
  <c r="AD314" i="5"/>
  <c r="AK314" i="5"/>
  <c r="BC314" i="5"/>
  <c r="Y313" i="5"/>
  <c r="AD313" i="5"/>
  <c r="AK313" i="5"/>
  <c r="BC313" i="5"/>
  <c r="Y312" i="5"/>
  <c r="AD312" i="5"/>
  <c r="AK312" i="5"/>
  <c r="BC312" i="5"/>
  <c r="Y311" i="5"/>
  <c r="AD311" i="5"/>
  <c r="AK311" i="5"/>
  <c r="BC311" i="5"/>
  <c r="Y310" i="5"/>
  <c r="AD310" i="5"/>
  <c r="AK310" i="5"/>
  <c r="BC310" i="5"/>
  <c r="Y309" i="5"/>
  <c r="AD309" i="5"/>
  <c r="AK309" i="5"/>
  <c r="BC309" i="5"/>
  <c r="Y308" i="5"/>
  <c r="AD308" i="5"/>
  <c r="AK308" i="5"/>
  <c r="BC308" i="5"/>
  <c r="Y307" i="5"/>
  <c r="AD307" i="5"/>
  <c r="AK307" i="5"/>
  <c r="BC307" i="5"/>
  <c r="Y306" i="5"/>
  <c r="AD306" i="5"/>
  <c r="AK306" i="5"/>
  <c r="BC306" i="5"/>
  <c r="Y305" i="5"/>
  <c r="AD305" i="5"/>
  <c r="AK305" i="5"/>
  <c r="BC305" i="5"/>
  <c r="Y304" i="5"/>
  <c r="AD304" i="5"/>
  <c r="AK304" i="5"/>
  <c r="BC304" i="5"/>
  <c r="Y303" i="5"/>
  <c r="AD303" i="5"/>
  <c r="AK303" i="5"/>
  <c r="BC303" i="5"/>
  <c r="Y302" i="5"/>
  <c r="AD302" i="5"/>
  <c r="AK302" i="5"/>
  <c r="BC302" i="5"/>
  <c r="Y301" i="5"/>
  <c r="AD301" i="5"/>
  <c r="AK301" i="5"/>
  <c r="BC301" i="5"/>
  <c r="Y300" i="5"/>
  <c r="AD300" i="5"/>
  <c r="AK300" i="5"/>
  <c r="BC300" i="5"/>
  <c r="Y299" i="5"/>
  <c r="AD299" i="5"/>
  <c r="AK299" i="5"/>
  <c r="BC299" i="5"/>
  <c r="Y298" i="5"/>
  <c r="AD298" i="5"/>
  <c r="AK298" i="5"/>
  <c r="BC298" i="5"/>
  <c r="Y297" i="5"/>
  <c r="AD297" i="5"/>
  <c r="AK297" i="5"/>
  <c r="BC297" i="5"/>
  <c r="Y296" i="5"/>
  <c r="AD296" i="5"/>
  <c r="AK296" i="5"/>
  <c r="BC296" i="5"/>
  <c r="Y295" i="5"/>
  <c r="AD295" i="5"/>
  <c r="AK295" i="5"/>
  <c r="BC295" i="5"/>
  <c r="Y294" i="5"/>
  <c r="AD294" i="5"/>
  <c r="AK294" i="5"/>
  <c r="BC294" i="5"/>
  <c r="Y293" i="5"/>
  <c r="AD293" i="5"/>
  <c r="AK293" i="5"/>
  <c r="BC293" i="5"/>
  <c r="Y292" i="5"/>
  <c r="AD292" i="5"/>
  <c r="AK292" i="5"/>
  <c r="BC292" i="5"/>
  <c r="Y291" i="5"/>
  <c r="AD291" i="5"/>
  <c r="AK291" i="5"/>
  <c r="BC291" i="5"/>
  <c r="Y290" i="5"/>
  <c r="AD290" i="5"/>
  <c r="AK290" i="5"/>
  <c r="BC290" i="5"/>
  <c r="Y289" i="5"/>
  <c r="AD289" i="5"/>
  <c r="AK289" i="5"/>
  <c r="BC289" i="5"/>
  <c r="Y288" i="5"/>
  <c r="AD288" i="5"/>
  <c r="AK288" i="5"/>
  <c r="BC288" i="5"/>
  <c r="Y287" i="5"/>
  <c r="AD287" i="5"/>
  <c r="AK287" i="5"/>
  <c r="BC287" i="5"/>
  <c r="Y286" i="5"/>
  <c r="AD286" i="5"/>
  <c r="AK286" i="5"/>
  <c r="BC286" i="5"/>
  <c r="Y285" i="5"/>
  <c r="AD285" i="5"/>
  <c r="AK285" i="5"/>
  <c r="BC285" i="5"/>
  <c r="Y284" i="5"/>
  <c r="AD284" i="5"/>
  <c r="AK284" i="5"/>
  <c r="BC284" i="5"/>
  <c r="Y283" i="5"/>
  <c r="AD283" i="5"/>
  <c r="AK283" i="5"/>
  <c r="BC283" i="5"/>
  <c r="Y282" i="5"/>
  <c r="AD282" i="5"/>
  <c r="AK282" i="5"/>
  <c r="BC282" i="5"/>
  <c r="Y281" i="5"/>
  <c r="AD281" i="5"/>
  <c r="AK281" i="5"/>
  <c r="BC281" i="5"/>
  <c r="Y280" i="5"/>
  <c r="AD280" i="5"/>
  <c r="AK280" i="5"/>
  <c r="BC280" i="5"/>
  <c r="Y279" i="5"/>
  <c r="AD279" i="5"/>
  <c r="AK279" i="5"/>
  <c r="BC279" i="5"/>
  <c r="Y278" i="5"/>
  <c r="AD278" i="5"/>
  <c r="AK278" i="5"/>
  <c r="BC278" i="5"/>
  <c r="Y277" i="5"/>
  <c r="AD277" i="5"/>
  <c r="AK277" i="5"/>
  <c r="BC277" i="5"/>
  <c r="Y276" i="5"/>
  <c r="AD276" i="5"/>
  <c r="AK276" i="5"/>
  <c r="BC276" i="5"/>
  <c r="Y275" i="5"/>
  <c r="AD275" i="5"/>
  <c r="AK275" i="5"/>
  <c r="BC275" i="5"/>
  <c r="Y274" i="5"/>
  <c r="AD274" i="5"/>
  <c r="AK274" i="5"/>
  <c r="BC274" i="5"/>
  <c r="Y273" i="5"/>
  <c r="AD273" i="5"/>
  <c r="AK273" i="5"/>
  <c r="BC273" i="5"/>
  <c r="Y272" i="5"/>
  <c r="AD272" i="5"/>
  <c r="AK272" i="5"/>
  <c r="BC272" i="5"/>
  <c r="Y271" i="5"/>
  <c r="AD271" i="5"/>
  <c r="AK271" i="5"/>
  <c r="BC271" i="5"/>
  <c r="Y270" i="5"/>
  <c r="AD270" i="5"/>
  <c r="AK270" i="5"/>
  <c r="BC270" i="5"/>
  <c r="Y269" i="5"/>
  <c r="AD269" i="5"/>
  <c r="AK269" i="5"/>
  <c r="BC269" i="5"/>
  <c r="Y268" i="5"/>
  <c r="AD268" i="5"/>
  <c r="AK268" i="5"/>
  <c r="BC268" i="5"/>
  <c r="Y267" i="5"/>
  <c r="AD267" i="5"/>
  <c r="AK267" i="5"/>
  <c r="BC267" i="5"/>
  <c r="Y266" i="5"/>
  <c r="AD266" i="5"/>
  <c r="AK266" i="5"/>
  <c r="BC266" i="5"/>
  <c r="Y265" i="5"/>
  <c r="AD265" i="5"/>
  <c r="AK265" i="5"/>
  <c r="BC265" i="5"/>
  <c r="Y264" i="5"/>
  <c r="AD264" i="5"/>
  <c r="AK264" i="5"/>
  <c r="BC264" i="5"/>
  <c r="Y263" i="5"/>
  <c r="AD263" i="5"/>
  <c r="AK263" i="5"/>
  <c r="BC263" i="5"/>
  <c r="Y262" i="5"/>
  <c r="AD262" i="5"/>
  <c r="AK262" i="5"/>
  <c r="BC262" i="5"/>
  <c r="Y261" i="5"/>
  <c r="AD261" i="5"/>
  <c r="AK261" i="5"/>
  <c r="BC261" i="5"/>
  <c r="Y260" i="5"/>
  <c r="AD260" i="5"/>
  <c r="AK260" i="5"/>
  <c r="BC260" i="5"/>
  <c r="Y259" i="5"/>
  <c r="AR259" i="5" s="1"/>
  <c r="AD259" i="5"/>
  <c r="AJ259" i="5"/>
  <c r="AK259" i="5"/>
  <c r="BC259" i="5"/>
  <c r="Y258" i="5"/>
  <c r="AD258" i="5"/>
  <c r="AK258" i="5"/>
  <c r="BC258" i="5"/>
  <c r="Y257" i="5"/>
  <c r="AR257" i="5" s="1"/>
  <c r="AD257" i="5"/>
  <c r="AJ257" i="5"/>
  <c r="AK257" i="5"/>
  <c r="BC257" i="5"/>
  <c r="Y256" i="5"/>
  <c r="AR256" i="5" s="1"/>
  <c r="AD256" i="5"/>
  <c r="AJ256" i="5"/>
  <c r="AK256" i="5"/>
  <c r="BC256" i="5"/>
  <c r="Y255" i="5"/>
  <c r="AD255" i="5"/>
  <c r="AK255" i="5"/>
  <c r="BC255" i="5"/>
  <c r="Y254" i="5"/>
  <c r="AR254" i="5" s="1"/>
  <c r="AD254" i="5"/>
  <c r="AJ254" i="5"/>
  <c r="AK254" i="5"/>
  <c r="BC254" i="5"/>
  <c r="Y253" i="5"/>
  <c r="AD253" i="5"/>
  <c r="AK253" i="5"/>
  <c r="BC253" i="5"/>
  <c r="Y252" i="5"/>
  <c r="AR252" i="5" s="1"/>
  <c r="AD252" i="5"/>
  <c r="AJ252" i="5"/>
  <c r="AK252" i="5"/>
  <c r="BC252" i="5"/>
  <c r="Y251" i="5"/>
  <c r="AR251" i="5" s="1"/>
  <c r="AD251" i="5"/>
  <c r="AJ251" i="5"/>
  <c r="AK251" i="5"/>
  <c r="BC251" i="5"/>
  <c r="Y250" i="5"/>
  <c r="AD250" i="5"/>
  <c r="AK250" i="5"/>
  <c r="BC250" i="5"/>
  <c r="Y249" i="5"/>
  <c r="AR249" i="5" s="1"/>
  <c r="AD249" i="5"/>
  <c r="AJ249" i="5"/>
  <c r="AK249" i="5"/>
  <c r="BC249" i="5"/>
  <c r="Y248" i="5"/>
  <c r="AR248" i="5" s="1"/>
  <c r="AD248" i="5"/>
  <c r="AJ248" i="5"/>
  <c r="AK248" i="5"/>
  <c r="BC248" i="5"/>
  <c r="Y247" i="5"/>
  <c r="AD247" i="5"/>
  <c r="AK247" i="5"/>
  <c r="BC247" i="5"/>
  <c r="Y246" i="5"/>
  <c r="AR246" i="5" s="1"/>
  <c r="AD246" i="5"/>
  <c r="AJ246" i="5"/>
  <c r="AK246" i="5"/>
  <c r="BC246" i="5"/>
  <c r="Y245" i="5"/>
  <c r="AR245" i="5" s="1"/>
  <c r="AD245" i="5"/>
  <c r="AJ245" i="5"/>
  <c r="AK245" i="5"/>
  <c r="BC245" i="5"/>
  <c r="Y244" i="5"/>
  <c r="AR244" i="5" s="1"/>
  <c r="AD244" i="5"/>
  <c r="AJ244" i="5"/>
  <c r="AK244" i="5"/>
  <c r="BC244" i="5"/>
  <c r="Y243" i="5"/>
  <c r="AR243" i="5" s="1"/>
  <c r="AD243" i="5"/>
  <c r="AJ243" i="5"/>
  <c r="AK243" i="5"/>
  <c r="BC243" i="5"/>
  <c r="Y242" i="5"/>
  <c r="AR242" i="5" s="1"/>
  <c r="AD242" i="5"/>
  <c r="AJ242" i="5"/>
  <c r="AK242" i="5"/>
  <c r="BC242" i="5"/>
  <c r="Y241" i="5"/>
  <c r="AD241" i="5"/>
  <c r="AK241" i="5"/>
  <c r="BC241" i="5"/>
  <c r="Y240" i="5"/>
  <c r="AR240" i="5" s="1"/>
  <c r="AD240" i="5"/>
  <c r="AJ240" i="5"/>
  <c r="AK240" i="5"/>
  <c r="BC240" i="5"/>
  <c r="Y239" i="5"/>
  <c r="AR239" i="5" s="1"/>
  <c r="AD239" i="5"/>
  <c r="AJ239" i="5"/>
  <c r="AK239" i="5"/>
  <c r="BC239" i="5"/>
  <c r="Y238" i="5"/>
  <c r="AR238" i="5" s="1"/>
  <c r="AD238" i="5"/>
  <c r="AJ238" i="5"/>
  <c r="AK238" i="5"/>
  <c r="BC238" i="5"/>
  <c r="Y237" i="5"/>
  <c r="AR237" i="5" s="1"/>
  <c r="AD237" i="5"/>
  <c r="AJ237" i="5"/>
  <c r="AK237" i="5"/>
  <c r="BC237" i="5"/>
  <c r="Y236" i="5"/>
  <c r="AR236" i="5" s="1"/>
  <c r="AD236" i="5"/>
  <c r="AJ236" i="5"/>
  <c r="AK236" i="5"/>
  <c r="BC236" i="5"/>
  <c r="Y235" i="5"/>
  <c r="AR235" i="5" s="1"/>
  <c r="AD235" i="5"/>
  <c r="AJ235" i="5"/>
  <c r="AK235" i="5"/>
  <c r="BC235" i="5"/>
  <c r="Y234" i="5"/>
  <c r="AR234" i="5" s="1"/>
  <c r="AD234" i="5"/>
  <c r="AJ234" i="5"/>
  <c r="AK234" i="5"/>
  <c r="BC234" i="5"/>
  <c r="Y81" i="5"/>
  <c r="AR81" i="5" s="1"/>
  <c r="AJ81" i="5"/>
  <c r="AK81" i="5"/>
  <c r="BC81" i="5"/>
  <c r="Y80" i="5"/>
  <c r="AR80" i="5" s="1"/>
  <c r="AJ80" i="5"/>
  <c r="AK80" i="5"/>
  <c r="BC80" i="5"/>
  <c r="Y77" i="5"/>
  <c r="AR77" i="5" s="1"/>
  <c r="AD77" i="5"/>
  <c r="AJ77" i="5"/>
  <c r="AK77" i="5"/>
  <c r="BC77" i="5"/>
  <c r="BC75" i="5"/>
  <c r="AK75" i="5"/>
  <c r="Y75" i="5"/>
  <c r="AD75" i="5"/>
  <c r="AK73" i="5"/>
  <c r="BC73" i="5"/>
  <c r="Y73" i="5"/>
  <c r="AD73" i="5"/>
  <c r="Y69" i="5"/>
  <c r="AR69" i="5" s="1"/>
  <c r="AJ69" i="5"/>
  <c r="AK69" i="5"/>
  <c r="BC69" i="5"/>
  <c r="AK68" i="5"/>
  <c r="BC68" i="5"/>
  <c r="Y68" i="5"/>
  <c r="AD68" i="5"/>
  <c r="Y467" i="5"/>
  <c r="AR467" i="5" s="1"/>
  <c r="AD467" i="5"/>
  <c r="AJ467" i="5"/>
  <c r="AK467" i="5"/>
  <c r="BC467" i="5"/>
  <c r="Y468" i="5"/>
  <c r="AR468" i="5" s="1"/>
  <c r="AD468" i="5"/>
  <c r="AJ468" i="5"/>
  <c r="AK468" i="5"/>
  <c r="BC468" i="5"/>
  <c r="Y469" i="5"/>
  <c r="AR469" i="5" s="1"/>
  <c r="AD469" i="5"/>
  <c r="AJ469" i="5"/>
  <c r="AK469" i="5"/>
  <c r="BC469" i="5"/>
  <c r="Y470" i="5"/>
  <c r="AR470" i="5" s="1"/>
  <c r="AD470" i="5"/>
  <c r="AJ470" i="5"/>
  <c r="AK470" i="5"/>
  <c r="BC470" i="5"/>
  <c r="Y471" i="5"/>
  <c r="AD471" i="5"/>
  <c r="AK471" i="5"/>
  <c r="BC471" i="5"/>
  <c r="Y10" i="5"/>
  <c r="G50" i="1"/>
  <c r="G53" i="1"/>
  <c r="Q54" i="1"/>
  <c r="G57" i="1"/>
  <c r="G52" i="1"/>
  <c r="Q56" i="1"/>
  <c r="Q50" i="1"/>
  <c r="G54" i="1"/>
  <c r="G51" i="1"/>
  <c r="G56" i="1"/>
  <c r="Q51" i="1"/>
  <c r="G55" i="1"/>
  <c r="Q52" i="1"/>
  <c r="Q53" i="1"/>
  <c r="Q55" i="1"/>
  <c r="Q57" i="1"/>
  <c r="G58" i="1"/>
  <c r="Q58" i="1"/>
  <c r="Q59" i="1"/>
  <c r="AJ10" i="5"/>
  <c r="AK10" i="5"/>
  <c r="BC10" i="5"/>
  <c r="A15" i="1"/>
  <c r="A20" i="1"/>
  <c r="K20" i="1"/>
  <c r="G60" i="1"/>
  <c r="X9" i="9"/>
  <c r="X10" i="9"/>
  <c r="X11" i="9"/>
  <c r="X12" i="9"/>
  <c r="X13" i="9"/>
  <c r="X14" i="9"/>
  <c r="X15" i="9"/>
  <c r="I35" i="3"/>
  <c r="J35" i="3" s="1"/>
  <c r="B10" i="3"/>
  <c r="Y334" i="5"/>
  <c r="AR334" i="5" s="1"/>
  <c r="AD334" i="5"/>
  <c r="AJ334" i="5"/>
  <c r="AK334" i="5"/>
  <c r="BC334" i="5"/>
  <c r="Y333" i="5"/>
  <c r="AD333" i="5"/>
  <c r="AK333" i="5"/>
  <c r="BC333" i="5"/>
  <c r="Y332" i="5"/>
  <c r="AD332" i="5"/>
  <c r="AK332" i="5"/>
  <c r="BC332" i="5"/>
  <c r="Y331" i="5"/>
  <c r="AD331" i="5"/>
  <c r="AK331" i="5"/>
  <c r="BC331" i="5"/>
  <c r="Y330" i="5"/>
  <c r="AD330" i="5"/>
  <c r="AK330" i="5"/>
  <c r="BC330" i="5"/>
  <c r="Y329" i="5"/>
  <c r="AD329" i="5"/>
  <c r="AK329" i="5"/>
  <c r="BC329" i="5"/>
  <c r="Y328" i="5"/>
  <c r="AD328" i="5"/>
  <c r="AK328" i="5"/>
  <c r="BC328" i="5"/>
  <c r="Y327" i="5"/>
  <c r="AD327" i="5"/>
  <c r="AK327" i="5"/>
  <c r="BC327" i="5"/>
  <c r="Y326" i="5"/>
  <c r="AD326" i="5"/>
  <c r="AK326" i="5"/>
  <c r="BC326" i="5"/>
  <c r="Y325" i="5"/>
  <c r="AD325" i="5"/>
  <c r="AK325" i="5"/>
  <c r="BC325" i="5"/>
  <c r="M157" i="7"/>
  <c r="P157" i="7"/>
  <c r="Q157" i="7"/>
  <c r="M156" i="7"/>
  <c r="P156" i="7"/>
  <c r="Q156" i="7"/>
  <c r="M155" i="7"/>
  <c r="P155" i="7"/>
  <c r="Q155" i="7"/>
  <c r="M154" i="7"/>
  <c r="P154" i="7"/>
  <c r="Q154" i="7"/>
  <c r="M153" i="7"/>
  <c r="P153" i="7"/>
  <c r="Q153" i="7"/>
  <c r="M152" i="7"/>
  <c r="P152" i="7"/>
  <c r="Q152" i="7"/>
  <c r="M151" i="7"/>
  <c r="P151" i="7"/>
  <c r="Q151" i="7"/>
  <c r="M150" i="7"/>
  <c r="P150" i="7"/>
  <c r="Q150" i="7"/>
  <c r="M149" i="7"/>
  <c r="P149" i="7"/>
  <c r="Q149" i="7"/>
  <c r="M148" i="7"/>
  <c r="P148" i="7"/>
  <c r="Q148" i="7"/>
  <c r="M147" i="7"/>
  <c r="P147" i="7"/>
  <c r="Q147" i="7"/>
  <c r="M146" i="7"/>
  <c r="P146" i="7"/>
  <c r="Q146" i="7"/>
  <c r="M145" i="7"/>
  <c r="P145" i="7"/>
  <c r="Q145" i="7"/>
  <c r="M144" i="7"/>
  <c r="P144" i="7"/>
  <c r="Q144" i="7"/>
  <c r="M143" i="7"/>
  <c r="P143" i="7"/>
  <c r="Q143" i="7"/>
  <c r="M142" i="7"/>
  <c r="P142" i="7"/>
  <c r="Q142" i="7"/>
  <c r="M141" i="7"/>
  <c r="P141" i="7"/>
  <c r="Q141" i="7"/>
  <c r="M140" i="7"/>
  <c r="P140" i="7"/>
  <c r="Q140" i="7"/>
  <c r="M139" i="7"/>
  <c r="P139" i="7"/>
  <c r="Q139" i="7"/>
  <c r="M138" i="7"/>
  <c r="P138" i="7"/>
  <c r="Q138" i="7"/>
  <c r="M137" i="7"/>
  <c r="P137" i="7"/>
  <c r="Q137" i="7"/>
  <c r="M136" i="7"/>
  <c r="P136" i="7"/>
  <c r="Q136" i="7"/>
  <c r="M135" i="7"/>
  <c r="P135" i="7"/>
  <c r="Q135" i="7"/>
  <c r="M134" i="7"/>
  <c r="P134" i="7"/>
  <c r="Q134" i="7"/>
  <c r="M133" i="7"/>
  <c r="P133" i="7"/>
  <c r="Q133" i="7"/>
  <c r="M132" i="7"/>
  <c r="P132" i="7"/>
  <c r="Q132" i="7"/>
  <c r="M131" i="7"/>
  <c r="P131" i="7"/>
  <c r="Q131" i="7"/>
  <c r="M130" i="7"/>
  <c r="P130" i="7"/>
  <c r="Q130" i="7"/>
  <c r="M129" i="7"/>
  <c r="P129" i="7"/>
  <c r="Q129" i="7"/>
  <c r="M128" i="7"/>
  <c r="P128" i="7"/>
  <c r="Q128" i="7"/>
  <c r="M127" i="7"/>
  <c r="P127" i="7"/>
  <c r="Q127" i="7"/>
  <c r="M126" i="7"/>
  <c r="P126" i="7"/>
  <c r="Q126" i="7"/>
  <c r="M125" i="7"/>
  <c r="P125" i="7"/>
  <c r="Q125" i="7"/>
  <c r="M124" i="7"/>
  <c r="P124" i="7"/>
  <c r="Q124" i="7"/>
  <c r="M123" i="7"/>
  <c r="P123" i="7"/>
  <c r="Q123" i="7"/>
  <c r="M122" i="7"/>
  <c r="P122" i="7"/>
  <c r="Q122" i="7"/>
  <c r="M121" i="7"/>
  <c r="P121" i="7"/>
  <c r="Q121" i="7"/>
  <c r="M120" i="7"/>
  <c r="P120" i="7"/>
  <c r="Q120" i="7"/>
  <c r="M119" i="7"/>
  <c r="P119" i="7"/>
  <c r="Q119" i="7"/>
  <c r="M118" i="7"/>
  <c r="P118" i="7"/>
  <c r="Q118" i="7"/>
  <c r="M117" i="7"/>
  <c r="P117" i="7"/>
  <c r="Q117" i="7"/>
  <c r="M116" i="7"/>
  <c r="P116" i="7"/>
  <c r="Q116" i="7"/>
  <c r="M115" i="7"/>
  <c r="P115" i="7"/>
  <c r="Q115" i="7"/>
  <c r="M114" i="7"/>
  <c r="P114" i="7"/>
  <c r="Q114" i="7"/>
  <c r="M113" i="7"/>
  <c r="P113" i="7"/>
  <c r="Q113" i="7"/>
  <c r="M112" i="7"/>
  <c r="P112" i="7"/>
  <c r="Q112" i="7"/>
  <c r="M111" i="7"/>
  <c r="P111" i="7"/>
  <c r="Q111" i="7"/>
  <c r="M110" i="7"/>
  <c r="P110" i="7"/>
  <c r="Q110" i="7"/>
  <c r="M109" i="7"/>
  <c r="P109" i="7"/>
  <c r="Q109" i="7"/>
  <c r="M108" i="7"/>
  <c r="P108" i="7"/>
  <c r="Q108" i="7"/>
  <c r="M107" i="7"/>
  <c r="P107" i="7"/>
  <c r="Q107" i="7"/>
  <c r="M106" i="7"/>
  <c r="P106" i="7"/>
  <c r="Q106" i="7"/>
  <c r="M104" i="7"/>
  <c r="P104" i="7"/>
  <c r="Q104" i="7"/>
  <c r="M103" i="7"/>
  <c r="P103" i="7"/>
  <c r="Q103" i="7"/>
  <c r="M102" i="7"/>
  <c r="P102" i="7"/>
  <c r="Q102" i="7"/>
  <c r="M101" i="7"/>
  <c r="P101" i="7"/>
  <c r="Q101" i="7"/>
  <c r="M100" i="7"/>
  <c r="P100" i="7"/>
  <c r="Q100" i="7"/>
  <c r="M99" i="7"/>
  <c r="P99" i="7"/>
  <c r="Q99" i="7"/>
  <c r="M98" i="7"/>
  <c r="P98" i="7"/>
  <c r="Q98" i="7"/>
  <c r="M97" i="7"/>
  <c r="P97" i="7"/>
  <c r="Q97" i="7"/>
  <c r="M96" i="7"/>
  <c r="P96" i="7"/>
  <c r="Q96" i="7"/>
  <c r="M95" i="7"/>
  <c r="P95" i="7"/>
  <c r="Q95" i="7"/>
  <c r="M94" i="7"/>
  <c r="P94" i="7"/>
  <c r="Q94" i="7"/>
  <c r="M93" i="7"/>
  <c r="P93" i="7"/>
  <c r="Q93" i="7"/>
  <c r="M92" i="7"/>
  <c r="P92" i="7"/>
  <c r="Q92" i="7"/>
  <c r="M91" i="7"/>
  <c r="P91" i="7"/>
  <c r="Q91" i="7"/>
  <c r="M90" i="7"/>
  <c r="P90" i="7"/>
  <c r="Q90" i="7"/>
  <c r="M89" i="7"/>
  <c r="P89" i="7"/>
  <c r="Q89" i="7"/>
  <c r="M88" i="7"/>
  <c r="P88" i="7"/>
  <c r="Q88" i="7"/>
  <c r="M87" i="7"/>
  <c r="P87" i="7"/>
  <c r="Q87" i="7"/>
  <c r="M86" i="7"/>
  <c r="P86" i="7"/>
  <c r="Q86" i="7"/>
  <c r="M85" i="7"/>
  <c r="P85" i="7"/>
  <c r="Q85" i="7"/>
  <c r="M105" i="7"/>
  <c r="P105" i="7"/>
  <c r="Q105" i="7"/>
  <c r="Y401" i="5"/>
  <c r="AD401" i="5"/>
  <c r="AK401" i="5"/>
  <c r="BC401" i="5"/>
  <c r="Y400" i="5"/>
  <c r="AD400" i="5"/>
  <c r="AK400" i="5"/>
  <c r="BC400" i="5"/>
  <c r="Y399" i="5"/>
  <c r="AD399" i="5"/>
  <c r="AK399" i="5"/>
  <c r="BC399" i="5"/>
  <c r="Y398" i="5"/>
  <c r="AD398" i="5"/>
  <c r="AK398" i="5"/>
  <c r="BC398" i="5"/>
  <c r="Y397" i="5"/>
  <c r="AD397" i="5"/>
  <c r="AK397" i="5"/>
  <c r="BC397" i="5"/>
  <c r="Y396" i="5"/>
  <c r="AD396" i="5"/>
  <c r="AK396" i="5"/>
  <c r="BC396" i="5"/>
  <c r="Y395" i="5"/>
  <c r="AD395" i="5"/>
  <c r="AK395" i="5"/>
  <c r="BC395" i="5"/>
  <c r="Y394" i="5"/>
  <c r="AD394" i="5"/>
  <c r="AK394" i="5"/>
  <c r="BC394" i="5"/>
  <c r="Y393" i="5"/>
  <c r="AD393" i="5"/>
  <c r="AK393" i="5"/>
  <c r="BC393" i="5"/>
  <c r="Y392" i="5"/>
  <c r="AD392" i="5"/>
  <c r="AK392" i="5"/>
  <c r="BC392" i="5"/>
  <c r="Y391" i="5"/>
  <c r="AD391" i="5"/>
  <c r="AK391" i="5"/>
  <c r="BC391" i="5"/>
  <c r="Y390" i="5"/>
  <c r="AD390" i="5"/>
  <c r="AK390" i="5"/>
  <c r="BC390" i="5"/>
  <c r="Y389" i="5"/>
  <c r="AD389" i="5"/>
  <c r="AK389" i="5"/>
  <c r="BC389" i="5"/>
  <c r="Y388" i="5"/>
  <c r="AD388" i="5"/>
  <c r="AK388" i="5"/>
  <c r="BC388" i="5"/>
  <c r="Y387" i="5"/>
  <c r="AD387" i="5"/>
  <c r="AK387" i="5"/>
  <c r="BC387" i="5"/>
  <c r="Y386" i="5"/>
  <c r="AD386" i="5"/>
  <c r="AK386" i="5"/>
  <c r="BC386" i="5"/>
  <c r="Y385" i="5"/>
  <c r="AD385" i="5"/>
  <c r="AK385" i="5"/>
  <c r="BC385" i="5"/>
  <c r="Y384" i="5"/>
  <c r="AD384" i="5"/>
  <c r="AK384" i="5"/>
  <c r="BC384" i="5"/>
  <c r="Y383" i="5"/>
  <c r="AD383" i="5"/>
  <c r="AK383" i="5"/>
  <c r="BC383" i="5"/>
  <c r="Y382" i="5"/>
  <c r="AD382" i="5"/>
  <c r="AK382" i="5"/>
  <c r="BC382" i="5"/>
  <c r="Y381" i="5"/>
  <c r="AD381" i="5"/>
  <c r="AK381" i="5"/>
  <c r="BC381" i="5"/>
  <c r="Y380" i="5"/>
  <c r="AD380" i="5"/>
  <c r="AK380" i="5"/>
  <c r="BC380" i="5"/>
  <c r="Y379" i="5"/>
  <c r="AD379" i="5"/>
  <c r="AK379" i="5"/>
  <c r="BC379" i="5"/>
  <c r="Y378" i="5"/>
  <c r="AD378" i="5"/>
  <c r="AK378" i="5"/>
  <c r="BC378" i="5"/>
  <c r="Y377" i="5"/>
  <c r="AD377" i="5"/>
  <c r="AK377" i="5"/>
  <c r="BC377" i="5"/>
  <c r="Y376" i="5"/>
  <c r="AD376" i="5"/>
  <c r="AK376" i="5"/>
  <c r="BC376" i="5"/>
  <c r="Y375" i="5"/>
  <c r="AD375" i="5"/>
  <c r="AK375" i="5"/>
  <c r="BC375" i="5"/>
  <c r="Y374" i="5"/>
  <c r="AD374" i="5"/>
  <c r="AK374" i="5"/>
  <c r="BC374" i="5"/>
  <c r="Y373" i="5"/>
  <c r="AD373" i="5"/>
  <c r="AK373" i="5"/>
  <c r="BC373" i="5"/>
  <c r="Y372" i="5"/>
  <c r="AD372" i="5"/>
  <c r="AK372" i="5"/>
  <c r="BC372" i="5"/>
  <c r="Y371" i="5"/>
  <c r="AD371" i="5"/>
  <c r="AK371" i="5"/>
  <c r="BC371" i="5"/>
  <c r="Y370" i="5"/>
  <c r="AD370" i="5"/>
  <c r="AK370" i="5"/>
  <c r="BC370" i="5"/>
  <c r="Y369" i="5"/>
  <c r="AD369" i="5"/>
  <c r="AK369" i="5"/>
  <c r="BC369" i="5"/>
  <c r="Y368" i="5"/>
  <c r="AD368" i="5"/>
  <c r="AK368" i="5"/>
  <c r="BC368" i="5"/>
  <c r="Y367" i="5"/>
  <c r="AD367" i="5"/>
  <c r="AK367" i="5"/>
  <c r="BC367" i="5"/>
  <c r="Y366" i="5"/>
  <c r="AD366" i="5"/>
  <c r="AK366" i="5"/>
  <c r="BC366" i="5"/>
  <c r="Y365" i="5"/>
  <c r="AD365" i="5"/>
  <c r="AK365" i="5"/>
  <c r="BC365" i="5"/>
  <c r="Y364" i="5"/>
  <c r="AD364" i="5"/>
  <c r="AK364" i="5"/>
  <c r="BC364" i="5"/>
  <c r="Y363" i="5"/>
  <c r="AD363" i="5"/>
  <c r="AK363" i="5"/>
  <c r="BC363" i="5"/>
  <c r="Y362" i="5"/>
  <c r="AD362" i="5"/>
  <c r="AK362" i="5"/>
  <c r="BC362" i="5"/>
  <c r="Y361" i="5"/>
  <c r="AD361" i="5"/>
  <c r="AK361" i="5"/>
  <c r="BC361" i="5"/>
  <c r="Y360" i="5"/>
  <c r="AD360" i="5"/>
  <c r="AK360" i="5"/>
  <c r="BC360" i="5"/>
  <c r="Y359" i="5"/>
  <c r="AD359" i="5"/>
  <c r="AK359" i="5"/>
  <c r="BC359" i="5"/>
  <c r="Y358" i="5"/>
  <c r="AD358" i="5"/>
  <c r="AK358" i="5"/>
  <c r="BC358" i="5"/>
  <c r="Y357" i="5"/>
  <c r="AD357" i="5"/>
  <c r="AK357" i="5"/>
  <c r="BC357" i="5"/>
  <c r="Y356" i="5"/>
  <c r="AD356" i="5"/>
  <c r="AK356" i="5"/>
  <c r="BC356" i="5"/>
  <c r="Y355" i="5"/>
  <c r="AD355" i="5"/>
  <c r="AK355" i="5"/>
  <c r="BC355" i="5"/>
  <c r="Y354" i="5"/>
  <c r="AD354" i="5"/>
  <c r="AK354" i="5"/>
  <c r="BC354" i="5"/>
  <c r="Y353" i="5"/>
  <c r="AD353" i="5"/>
  <c r="AK353" i="5"/>
  <c r="BC353" i="5"/>
  <c r="Y352" i="5"/>
  <c r="AD352" i="5"/>
  <c r="AK352" i="5"/>
  <c r="BC352" i="5"/>
  <c r="Y351" i="5"/>
  <c r="AD351" i="5"/>
  <c r="AK351" i="5"/>
  <c r="BC351" i="5"/>
  <c r="Y350" i="5"/>
  <c r="AD350" i="5"/>
  <c r="AK350" i="5"/>
  <c r="BC350" i="5"/>
  <c r="Y349" i="5"/>
  <c r="AD349" i="5"/>
  <c r="AK349" i="5"/>
  <c r="BC349" i="5"/>
  <c r="Y348" i="5"/>
  <c r="AD348" i="5"/>
  <c r="AK348" i="5"/>
  <c r="BC348" i="5"/>
  <c r="Y347" i="5"/>
  <c r="AD347" i="5"/>
  <c r="AK347" i="5"/>
  <c r="BC347" i="5"/>
  <c r="Y346" i="5"/>
  <c r="AD346" i="5"/>
  <c r="AK346" i="5"/>
  <c r="BC346" i="5"/>
  <c r="Y345" i="5"/>
  <c r="AD345" i="5"/>
  <c r="AK345" i="5"/>
  <c r="BC345" i="5"/>
  <c r="Y344" i="5"/>
  <c r="AD344" i="5"/>
  <c r="AK344" i="5"/>
  <c r="BC344" i="5"/>
  <c r="Y343" i="5"/>
  <c r="AD343" i="5"/>
  <c r="AK343" i="5"/>
  <c r="BC343" i="5"/>
  <c r="Y342" i="5"/>
  <c r="AD342" i="5"/>
  <c r="AK342" i="5"/>
  <c r="BC342" i="5"/>
  <c r="Y341" i="5"/>
  <c r="AD341" i="5"/>
  <c r="AK341" i="5"/>
  <c r="BC341" i="5"/>
  <c r="Y340" i="5"/>
  <c r="AD340" i="5"/>
  <c r="AK340" i="5"/>
  <c r="BC340" i="5"/>
  <c r="Y339" i="5"/>
  <c r="AD339" i="5"/>
  <c r="AK339" i="5"/>
  <c r="BC339" i="5"/>
  <c r="Y338" i="5"/>
  <c r="AD338" i="5"/>
  <c r="AK338" i="5"/>
  <c r="BC338" i="5"/>
  <c r="Y337" i="5"/>
  <c r="AD337" i="5"/>
  <c r="AK337" i="5"/>
  <c r="BC337" i="5"/>
  <c r="Y336" i="5"/>
  <c r="AD336" i="5"/>
  <c r="AK336" i="5"/>
  <c r="BC336" i="5"/>
  <c r="Y335" i="5"/>
  <c r="AD335" i="5"/>
  <c r="AK335" i="5"/>
  <c r="BC335" i="5"/>
  <c r="Y65" i="5"/>
  <c r="AK65" i="5"/>
  <c r="BC65" i="5"/>
  <c r="Y64" i="5"/>
  <c r="AK64" i="5"/>
  <c r="BC64" i="5"/>
  <c r="Y63" i="5"/>
  <c r="AR63" i="5" s="1"/>
  <c r="AJ63" i="5"/>
  <c r="AK63" i="5"/>
  <c r="BC63" i="5"/>
  <c r="Y62" i="5"/>
  <c r="AK62" i="5"/>
  <c r="BC62" i="5"/>
  <c r="Y61" i="5"/>
  <c r="AR61" i="5" s="1"/>
  <c r="AJ61" i="5"/>
  <c r="AK61" i="5"/>
  <c r="BC61" i="5"/>
  <c r="Y60" i="5"/>
  <c r="AR60" i="5" s="1"/>
  <c r="AJ60" i="5"/>
  <c r="AK60" i="5"/>
  <c r="BC60" i="5"/>
  <c r="Y59" i="5"/>
  <c r="AR59" i="5" s="1"/>
  <c r="AK59" i="5"/>
  <c r="BC59" i="5"/>
  <c r="Y58" i="5"/>
  <c r="AR58" i="5" s="1"/>
  <c r="AJ58" i="5"/>
  <c r="AK58" i="5"/>
  <c r="BC58" i="5"/>
  <c r="Y57" i="5"/>
  <c r="AR57" i="5" s="1"/>
  <c r="AJ57" i="5"/>
  <c r="AK57" i="5"/>
  <c r="BC57" i="5"/>
  <c r="Y56" i="5"/>
  <c r="AR56" i="5" s="1"/>
  <c r="AJ56" i="5"/>
  <c r="AK56" i="5"/>
  <c r="BC56" i="5"/>
  <c r="Y55" i="5"/>
  <c r="AR55" i="5" s="1"/>
  <c r="AJ55" i="5"/>
  <c r="AK55" i="5"/>
  <c r="BC55" i="5"/>
  <c r="Y54" i="5"/>
  <c r="AR54" i="5" s="1"/>
  <c r="AJ54" i="5"/>
  <c r="AK54" i="5"/>
  <c r="BC54" i="5"/>
  <c r="Y53" i="5"/>
  <c r="AR53" i="5" s="1"/>
  <c r="AD53" i="5"/>
  <c r="AJ53" i="5"/>
  <c r="AK53" i="5"/>
  <c r="BC53" i="5"/>
  <c r="Y52" i="5"/>
  <c r="AR52" i="5" s="1"/>
  <c r="AD52" i="5"/>
  <c r="AJ52" i="5"/>
  <c r="AK52" i="5"/>
  <c r="BC52" i="5"/>
  <c r="Y51" i="5"/>
  <c r="AR51" i="5" s="1"/>
  <c r="AJ51" i="5"/>
  <c r="AK51" i="5"/>
  <c r="BC51" i="5"/>
  <c r="Y50" i="5"/>
  <c r="AR50" i="5" s="1"/>
  <c r="AJ50" i="5"/>
  <c r="AK50" i="5"/>
  <c r="BC50" i="5"/>
  <c r="Y49" i="5"/>
  <c r="AR49" i="5" s="1"/>
  <c r="AJ49" i="5"/>
  <c r="AK49" i="5"/>
  <c r="BC49" i="5"/>
  <c r="Y48" i="5"/>
  <c r="AR48" i="5" s="1"/>
  <c r="AJ48" i="5"/>
  <c r="AK48" i="5"/>
  <c r="BC48" i="5"/>
  <c r="Y47" i="5"/>
  <c r="AR47" i="5" s="1"/>
  <c r="AJ47" i="5"/>
  <c r="AK47" i="5"/>
  <c r="BC47" i="5"/>
  <c r="Y46" i="5"/>
  <c r="AR46" i="5" s="1"/>
  <c r="AJ46" i="5"/>
  <c r="AK46" i="5"/>
  <c r="BC46" i="5"/>
  <c r="Y45" i="5"/>
  <c r="AD45" i="5"/>
  <c r="AK45" i="5"/>
  <c r="BC45" i="5"/>
  <c r="Y44" i="5"/>
  <c r="AK44" i="5"/>
  <c r="BC44" i="5"/>
  <c r="Y43" i="5"/>
  <c r="AR43" i="5" s="1"/>
  <c r="AJ43" i="5"/>
  <c r="AK43" i="5"/>
  <c r="BC43" i="5"/>
  <c r="Y42" i="5"/>
  <c r="AR42" i="5" s="1"/>
  <c r="AJ42" i="5"/>
  <c r="AK42" i="5"/>
  <c r="BC42" i="5"/>
  <c r="Y41" i="5"/>
  <c r="AR41" i="5" s="1"/>
  <c r="AJ41" i="5"/>
  <c r="AK41" i="5"/>
  <c r="BC41" i="5"/>
  <c r="Y40" i="5"/>
  <c r="AR40" i="5" s="1"/>
  <c r="AJ40" i="5"/>
  <c r="AK40" i="5"/>
  <c r="BC40" i="5"/>
  <c r="Y39" i="5"/>
  <c r="AR39" i="5" s="1"/>
  <c r="AD39" i="5"/>
  <c r="AJ39" i="5"/>
  <c r="AK39" i="5"/>
  <c r="BC39" i="5"/>
  <c r="Y38" i="5"/>
  <c r="AR38" i="5" s="1"/>
  <c r="AD38" i="5"/>
  <c r="AJ38" i="5"/>
  <c r="AK38" i="5"/>
  <c r="BC38" i="5"/>
  <c r="Y37" i="5"/>
  <c r="AR37" i="5" s="1"/>
  <c r="AJ37" i="5"/>
  <c r="AK37" i="5"/>
  <c r="BC37" i="5"/>
  <c r="Y36" i="5"/>
  <c r="AD36" i="5"/>
  <c r="AK36" i="5"/>
  <c r="BC36" i="5"/>
  <c r="Y35" i="5"/>
  <c r="AR35" i="5" s="1"/>
  <c r="AD35" i="5"/>
  <c r="AJ35" i="5"/>
  <c r="AK35" i="5"/>
  <c r="BC35" i="5"/>
  <c r="Y34" i="5"/>
  <c r="AK34" i="5"/>
  <c r="BC34" i="5"/>
  <c r="Y33" i="5"/>
  <c r="AR33" i="5" s="1"/>
  <c r="AD33" i="5"/>
  <c r="AJ33" i="5"/>
  <c r="AK33" i="5"/>
  <c r="BC33" i="5"/>
  <c r="Y32" i="5"/>
  <c r="AK32" i="5"/>
  <c r="BC32" i="5"/>
  <c r="Y31" i="5"/>
  <c r="AK31" i="5"/>
  <c r="BC31" i="5"/>
  <c r="Y30" i="5"/>
  <c r="AK30" i="5"/>
  <c r="BC30" i="5"/>
  <c r="Y29" i="5"/>
  <c r="AD29" i="5"/>
  <c r="AK29" i="5"/>
  <c r="BC29" i="5"/>
  <c r="Y28" i="5"/>
  <c r="AR28" i="5" s="1"/>
  <c r="AD28" i="5"/>
  <c r="AJ28" i="5"/>
  <c r="AK28" i="5"/>
  <c r="BC28" i="5"/>
  <c r="Y27" i="5"/>
  <c r="AD27" i="5"/>
  <c r="AK27" i="5"/>
  <c r="BC27" i="5"/>
  <c r="Y26" i="5"/>
  <c r="AD26" i="5"/>
  <c r="AK26" i="5"/>
  <c r="BC26" i="5"/>
  <c r="Y25" i="5"/>
  <c r="AR25" i="5" s="1"/>
  <c r="AD25" i="5"/>
  <c r="AJ25" i="5"/>
  <c r="AK25" i="5"/>
  <c r="BC25" i="5"/>
  <c r="Y24" i="5"/>
  <c r="AR24" i="5" s="1"/>
  <c r="AD24" i="5"/>
  <c r="AJ24" i="5"/>
  <c r="AK24" i="5"/>
  <c r="BC24" i="5"/>
  <c r="Y23" i="5"/>
  <c r="AD23" i="5"/>
  <c r="AK23" i="5"/>
  <c r="BC23" i="5"/>
  <c r="Y22" i="5"/>
  <c r="AD22" i="5"/>
  <c r="AK22" i="5"/>
  <c r="BC22" i="5"/>
  <c r="Y21" i="5"/>
  <c r="AR21" i="5" s="1"/>
  <c r="AD21" i="5"/>
  <c r="AJ21" i="5"/>
  <c r="AK21" i="5"/>
  <c r="BC21" i="5"/>
  <c r="Y20" i="5"/>
  <c r="AD20" i="5"/>
  <c r="AK20" i="5"/>
  <c r="BC20" i="5"/>
  <c r="Y19" i="5"/>
  <c r="AD19" i="5"/>
  <c r="AK19" i="5"/>
  <c r="BC19" i="5"/>
  <c r="Y18" i="5"/>
  <c r="AD18" i="5"/>
  <c r="AK18" i="5"/>
  <c r="BC18" i="5"/>
  <c r="Y17" i="5"/>
  <c r="AD17" i="5"/>
  <c r="AK17" i="5"/>
  <c r="BC17" i="5"/>
  <c r="Y16" i="5"/>
  <c r="AR16" i="5" s="1"/>
  <c r="AD16" i="5"/>
  <c r="AJ16" i="5"/>
  <c r="AK16" i="5"/>
  <c r="BC16" i="5"/>
  <c r="Y15" i="5"/>
  <c r="AD15" i="5"/>
  <c r="AK15" i="5"/>
  <c r="BC15" i="5"/>
  <c r="Y14" i="5"/>
  <c r="AD14" i="5"/>
  <c r="AK14" i="5"/>
  <c r="BC14" i="5"/>
  <c r="Y13" i="5"/>
  <c r="AR13" i="5" s="1"/>
  <c r="AD13" i="5"/>
  <c r="AJ13" i="5"/>
  <c r="AK13" i="5"/>
  <c r="BC13" i="5"/>
  <c r="Y12" i="5"/>
  <c r="AR12" i="5" s="1"/>
  <c r="AD12" i="5"/>
  <c r="AJ12" i="5"/>
  <c r="AK12" i="5"/>
  <c r="BC12" i="5"/>
  <c r="Y11" i="5"/>
  <c r="AD11" i="5"/>
  <c r="AJ11" i="5"/>
  <c r="AK11" i="5"/>
  <c r="BC11" i="5"/>
  <c r="Y233" i="5"/>
  <c r="AD233" i="5"/>
  <c r="AK233" i="5"/>
  <c r="BC233" i="5"/>
  <c r="Y232" i="5"/>
  <c r="AD232" i="5"/>
  <c r="AK232" i="5"/>
  <c r="BC232" i="5"/>
  <c r="Y231" i="5"/>
  <c r="AD231" i="5"/>
  <c r="AK231" i="5"/>
  <c r="BC231" i="5"/>
  <c r="Y230" i="5"/>
  <c r="AD230" i="5"/>
  <c r="AK230" i="5"/>
  <c r="BC230" i="5"/>
  <c r="Y229" i="5"/>
  <c r="AD229" i="5"/>
  <c r="AK229" i="5"/>
  <c r="BC229" i="5"/>
  <c r="Y228" i="5"/>
  <c r="AD228" i="5"/>
  <c r="AK228" i="5"/>
  <c r="BC228" i="5"/>
  <c r="Y227" i="5"/>
  <c r="AD227" i="5"/>
  <c r="AK227" i="5"/>
  <c r="BC227" i="5"/>
  <c r="Y226" i="5"/>
  <c r="AD226" i="5"/>
  <c r="AK226" i="5"/>
  <c r="BC226" i="5"/>
  <c r="Y225" i="5"/>
  <c r="AD225" i="5"/>
  <c r="AK225" i="5"/>
  <c r="BC225" i="5"/>
  <c r="Y224" i="5"/>
  <c r="AD224" i="5"/>
  <c r="AK224" i="5"/>
  <c r="BC224" i="5"/>
  <c r="Y223" i="5"/>
  <c r="AD223" i="5"/>
  <c r="AK223" i="5"/>
  <c r="BC223" i="5"/>
  <c r="Y222" i="5"/>
  <c r="AD222" i="5"/>
  <c r="AK222" i="5"/>
  <c r="BC222" i="5"/>
  <c r="Y221" i="5"/>
  <c r="AD221" i="5"/>
  <c r="AK221" i="5"/>
  <c r="BC221" i="5"/>
  <c r="Y220" i="5"/>
  <c r="AD220" i="5"/>
  <c r="AK220" i="5"/>
  <c r="BC220" i="5"/>
  <c r="Y219" i="5"/>
  <c r="AD219" i="5"/>
  <c r="AK219" i="5"/>
  <c r="BC219" i="5"/>
  <c r="Y218" i="5"/>
  <c r="AD218" i="5"/>
  <c r="AK218" i="5"/>
  <c r="BC218" i="5"/>
  <c r="Y217" i="5"/>
  <c r="AD217" i="5"/>
  <c r="AK217" i="5"/>
  <c r="BC217" i="5"/>
  <c r="Y215" i="5"/>
  <c r="AD215" i="5"/>
  <c r="AK215" i="5"/>
  <c r="BC215" i="5"/>
  <c r="Y214" i="5"/>
  <c r="AD214" i="5"/>
  <c r="AK214" i="5"/>
  <c r="BC214" i="5"/>
  <c r="Y213" i="5"/>
  <c r="AD213" i="5"/>
  <c r="AK213" i="5"/>
  <c r="BC213" i="5"/>
  <c r="Y212" i="5"/>
  <c r="AD212" i="5"/>
  <c r="AK212" i="5"/>
  <c r="BC212" i="5"/>
  <c r="Y211" i="5"/>
  <c r="AD211" i="5"/>
  <c r="AK211" i="5"/>
  <c r="BC211" i="5"/>
  <c r="Y210" i="5"/>
  <c r="AD210" i="5"/>
  <c r="AK210" i="5"/>
  <c r="BC210" i="5"/>
  <c r="Y209" i="5"/>
  <c r="AD209" i="5"/>
  <c r="AK209" i="5"/>
  <c r="BC209" i="5"/>
  <c r="Y208" i="5"/>
  <c r="AD208" i="5"/>
  <c r="AK208" i="5"/>
  <c r="BC208" i="5"/>
  <c r="Y207" i="5"/>
  <c r="AD207" i="5"/>
  <c r="AK207" i="5"/>
  <c r="BC207" i="5"/>
  <c r="Y206" i="5"/>
  <c r="AD206" i="5"/>
  <c r="AK206" i="5"/>
  <c r="BC206" i="5"/>
  <c r="Y205" i="5"/>
  <c r="AD205" i="5"/>
  <c r="AK205" i="5"/>
  <c r="BC205" i="5"/>
  <c r="Y204" i="5"/>
  <c r="AD204" i="5"/>
  <c r="AK204" i="5"/>
  <c r="BC204" i="5"/>
  <c r="Y203" i="5"/>
  <c r="AD203" i="5"/>
  <c r="AK203" i="5"/>
  <c r="BC203" i="5"/>
  <c r="Y202" i="5"/>
  <c r="AD202" i="5"/>
  <c r="AK202" i="5"/>
  <c r="BC202" i="5"/>
  <c r="Y201" i="5"/>
  <c r="AD201" i="5"/>
  <c r="AK201" i="5"/>
  <c r="BC201" i="5"/>
  <c r="Y200" i="5"/>
  <c r="AD200" i="5"/>
  <c r="AK200" i="5"/>
  <c r="BC200" i="5"/>
  <c r="Y199" i="5"/>
  <c r="AD199" i="5"/>
  <c r="AK199" i="5"/>
  <c r="BC199" i="5"/>
  <c r="Y198" i="5"/>
  <c r="AD198" i="5"/>
  <c r="AK198" i="5"/>
  <c r="BC198" i="5"/>
  <c r="Y197" i="5"/>
  <c r="AD197" i="5"/>
  <c r="AK197" i="5"/>
  <c r="BC197" i="5"/>
  <c r="Y196" i="5"/>
  <c r="AD196" i="5"/>
  <c r="AK196" i="5"/>
  <c r="BC196" i="5"/>
  <c r="Y195" i="5"/>
  <c r="AD195" i="5"/>
  <c r="AK195" i="5"/>
  <c r="BC195" i="5"/>
  <c r="Y194" i="5"/>
  <c r="AD194" i="5"/>
  <c r="AK194" i="5"/>
  <c r="BC194" i="5"/>
  <c r="Y193" i="5"/>
  <c r="AD193" i="5"/>
  <c r="AK193" i="5"/>
  <c r="BC193" i="5"/>
  <c r="Y192" i="5"/>
  <c r="AD192" i="5"/>
  <c r="AK192" i="5"/>
  <c r="BC192" i="5"/>
  <c r="Y191" i="5"/>
  <c r="AD191" i="5"/>
  <c r="AK191" i="5"/>
  <c r="BC191" i="5"/>
  <c r="Y190" i="5"/>
  <c r="AD190" i="5"/>
  <c r="AK190" i="5"/>
  <c r="BC190" i="5"/>
  <c r="Y189" i="5"/>
  <c r="AD189" i="5"/>
  <c r="AK189" i="5"/>
  <c r="BC189" i="5"/>
  <c r="Y188" i="5"/>
  <c r="AD188" i="5"/>
  <c r="AK188" i="5"/>
  <c r="BC188" i="5"/>
  <c r="Y187" i="5"/>
  <c r="AD187" i="5"/>
  <c r="AK187" i="5"/>
  <c r="BC187" i="5"/>
  <c r="Y186" i="5"/>
  <c r="AD186" i="5"/>
  <c r="AK186" i="5"/>
  <c r="BC186" i="5"/>
  <c r="Y185" i="5"/>
  <c r="AD185" i="5"/>
  <c r="AK185" i="5"/>
  <c r="BC185" i="5"/>
  <c r="Y184" i="5"/>
  <c r="AD184" i="5"/>
  <c r="AK184" i="5"/>
  <c r="BC184" i="5"/>
  <c r="Y183" i="5"/>
  <c r="AD183" i="5"/>
  <c r="AK183" i="5"/>
  <c r="BC183" i="5"/>
  <c r="Y182" i="5"/>
  <c r="AD182" i="5"/>
  <c r="AK182" i="5"/>
  <c r="BC182" i="5"/>
  <c r="Y181" i="5"/>
  <c r="AD181" i="5"/>
  <c r="AK181" i="5"/>
  <c r="BC181" i="5"/>
  <c r="Y180" i="5"/>
  <c r="AD180" i="5"/>
  <c r="AK180" i="5"/>
  <c r="BC180" i="5"/>
  <c r="Y179" i="5"/>
  <c r="AD179" i="5"/>
  <c r="AK179" i="5"/>
  <c r="BC179" i="5"/>
  <c r="Y178" i="5"/>
  <c r="AD178" i="5"/>
  <c r="AK178" i="5"/>
  <c r="BC178" i="5"/>
  <c r="Y177" i="5"/>
  <c r="AD177" i="5"/>
  <c r="AK177" i="5"/>
  <c r="BC177" i="5"/>
  <c r="Y176" i="5"/>
  <c r="AD176" i="5"/>
  <c r="AK176" i="5"/>
  <c r="BC176" i="5"/>
  <c r="Y175" i="5"/>
  <c r="AD175" i="5"/>
  <c r="AK175" i="5"/>
  <c r="BC175" i="5"/>
  <c r="Y174" i="5"/>
  <c r="AD174" i="5"/>
  <c r="AK174" i="5"/>
  <c r="BC174" i="5"/>
  <c r="Y173" i="5"/>
  <c r="AD173" i="5"/>
  <c r="AK173" i="5"/>
  <c r="BC173" i="5"/>
  <c r="Y172" i="5"/>
  <c r="AD172" i="5"/>
  <c r="AK172" i="5"/>
  <c r="BC172" i="5"/>
  <c r="Y171" i="5"/>
  <c r="AD171" i="5"/>
  <c r="AK171" i="5"/>
  <c r="BC171" i="5"/>
  <c r="Y170" i="5"/>
  <c r="AD170" i="5"/>
  <c r="AK170" i="5"/>
  <c r="BC170" i="5"/>
  <c r="Y169" i="5"/>
  <c r="AD169" i="5"/>
  <c r="AK169" i="5"/>
  <c r="BC169" i="5"/>
  <c r="Y168" i="5"/>
  <c r="AD168" i="5"/>
  <c r="AK168" i="5"/>
  <c r="BC168" i="5"/>
  <c r="Y167" i="5"/>
  <c r="AD167" i="5"/>
  <c r="AK167" i="5"/>
  <c r="BC167" i="5"/>
  <c r="Y216" i="5"/>
  <c r="AD216" i="5"/>
  <c r="AK216" i="5"/>
  <c r="BC216" i="5"/>
  <c r="H62" i="8"/>
  <c r="Z62" i="5"/>
  <c r="H63" i="8"/>
  <c r="Z63" i="5"/>
  <c r="H64" i="8"/>
  <c r="Z64" i="5"/>
  <c r="H65" i="8"/>
  <c r="Z65" i="5"/>
  <c r="H66" i="8"/>
  <c r="Z66" i="5"/>
  <c r="AA66" i="5" s="1"/>
  <c r="H69" i="8"/>
  <c r="Z69" i="5"/>
  <c r="H10" i="8"/>
  <c r="Z68" i="5"/>
  <c r="AA68" i="5" s="1"/>
  <c r="Z92" i="5"/>
  <c r="Z91" i="5"/>
  <c r="Z61" i="5"/>
  <c r="H11" i="8"/>
  <c r="Z11" i="5"/>
  <c r="AA11" i="5" s="1"/>
  <c r="H12" i="8"/>
  <c r="Z12" i="5"/>
  <c r="AA12" i="5" s="1"/>
  <c r="H13" i="8"/>
  <c r="Z13" i="5"/>
  <c r="AA13" i="5" s="1"/>
  <c r="H14" i="8"/>
  <c r="Z14" i="5"/>
  <c r="AA14" i="5" s="1"/>
  <c r="H15" i="8"/>
  <c r="Z15" i="5"/>
  <c r="AA15" i="5" s="1"/>
  <c r="H16" i="8"/>
  <c r="Z16" i="5"/>
  <c r="AA16" i="5" s="1"/>
  <c r="H17" i="8"/>
  <c r="Z17" i="5"/>
  <c r="AA17" i="5" s="1"/>
  <c r="H18" i="8"/>
  <c r="Z18" i="5"/>
  <c r="AA18" i="5" s="1"/>
  <c r="H19" i="8"/>
  <c r="Z19" i="5"/>
  <c r="AA19" i="5" s="1"/>
  <c r="H20" i="8"/>
  <c r="Z20" i="5"/>
  <c r="AA20" i="5" s="1"/>
  <c r="H73" i="8"/>
  <c r="Z73" i="5"/>
  <c r="AA73" i="5" s="1"/>
  <c r="H74" i="8"/>
  <c r="Z60" i="5"/>
  <c r="Z10" i="5"/>
  <c r="Z127" i="5"/>
  <c r="Z90" i="5"/>
  <c r="AA90" i="5" s="1"/>
  <c r="Z59" i="5"/>
  <c r="AD59" i="5" s="1"/>
  <c r="N60" i="4" s="1"/>
  <c r="H75" i="8"/>
  <c r="Z75" i="5"/>
  <c r="AA75" i="5" s="1"/>
  <c r="Z89" i="5"/>
  <c r="AA89" i="5" s="1"/>
  <c r="H77" i="8"/>
  <c r="Z77" i="5"/>
  <c r="AA77" i="5" s="1"/>
  <c r="H80" i="8"/>
  <c r="Z80" i="5"/>
  <c r="H81" i="8"/>
  <c r="Z81" i="5"/>
  <c r="H93" i="8"/>
  <c r="Z93" i="5"/>
  <c r="H94" i="8"/>
  <c r="Z94" i="5"/>
  <c r="H95" i="8"/>
  <c r="Z95" i="5"/>
  <c r="H96" i="8"/>
  <c r="Z96" i="5"/>
  <c r="H97" i="8"/>
  <c r="Z97" i="5"/>
  <c r="AA97" i="5" s="1"/>
  <c r="H98" i="8"/>
  <c r="Z98" i="5"/>
  <c r="H127" i="8"/>
  <c r="Z128" i="5"/>
  <c r="AQ59" i="5"/>
  <c r="U11" i="9"/>
  <c r="H128" i="8"/>
  <c r="Z129" i="5"/>
  <c r="H129" i="8"/>
  <c r="Z58" i="5"/>
  <c r="Z125" i="5"/>
  <c r="Z124" i="5"/>
  <c r="AA124" i="5" s="1"/>
  <c r="Z123" i="5"/>
  <c r="AA123" i="5" s="1"/>
  <c r="Z88" i="5"/>
  <c r="AA88" i="5" s="1"/>
  <c r="Z126" i="5"/>
  <c r="AA126" i="5" s="1"/>
  <c r="Z130" i="5"/>
  <c r="AA130" i="5" s="1"/>
  <c r="H130" i="8"/>
  <c r="Z122" i="5"/>
  <c r="Z131" i="5"/>
  <c r="AA131" i="5" s="1"/>
  <c r="H131" i="8"/>
  <c r="Z132" i="5"/>
  <c r="H132" i="8"/>
  <c r="Z120" i="5"/>
  <c r="Z119" i="5"/>
  <c r="Z121" i="5"/>
  <c r="Z133" i="5"/>
  <c r="Z87" i="5"/>
  <c r="AA87" i="5" s="1"/>
  <c r="Z55" i="5"/>
  <c r="Z56" i="5"/>
  <c r="Z57" i="5"/>
  <c r="H133" i="8"/>
  <c r="Z118" i="5"/>
  <c r="Z134" i="5"/>
  <c r="AA134" i="5" s="1"/>
  <c r="H134" i="8"/>
  <c r="Z135" i="5"/>
  <c r="H135" i="8"/>
  <c r="Z117" i="5"/>
  <c r="AA117" i="5" s="1"/>
  <c r="Z116" i="5"/>
  <c r="Z86" i="5"/>
  <c r="AA86" i="5" s="1"/>
  <c r="Z136" i="5"/>
  <c r="Z53" i="5"/>
  <c r="AA53" i="5" s="1"/>
  <c r="Z54" i="5"/>
  <c r="H136" i="8"/>
  <c r="Z137" i="5"/>
  <c r="AA137" i="5" s="1"/>
  <c r="Z114" i="5"/>
  <c r="Z52" i="5"/>
  <c r="AA52" i="5" s="1"/>
  <c r="Z115" i="5"/>
  <c r="AA115" i="5" s="1"/>
  <c r="H137" i="8"/>
  <c r="Z50" i="5"/>
  <c r="Z51" i="5"/>
  <c r="Z138" i="5"/>
  <c r="H138" i="8"/>
  <c r="Z112" i="5"/>
  <c r="Z113" i="5"/>
  <c r="Z85" i="5"/>
  <c r="Z139" i="5"/>
  <c r="AA139" i="5" s="1"/>
  <c r="H139" i="8"/>
  <c r="Z111" i="5"/>
  <c r="Z49" i="5"/>
  <c r="Z110" i="5"/>
  <c r="Z140" i="5"/>
  <c r="H140" i="8"/>
  <c r="Z48" i="5"/>
  <c r="Z141" i="5"/>
  <c r="H141" i="8"/>
  <c r="Z108" i="5"/>
  <c r="AA108" i="5" s="1"/>
  <c r="Z142" i="5"/>
  <c r="Z107" i="5"/>
  <c r="AA107" i="5" s="1"/>
  <c r="Z47" i="5"/>
  <c r="Z84" i="5"/>
  <c r="Z109" i="5"/>
  <c r="H142" i="8"/>
  <c r="Z143" i="5"/>
  <c r="Z46" i="5"/>
  <c r="Z106" i="5"/>
  <c r="AA106" i="5" s="1"/>
  <c r="H143" i="8"/>
  <c r="Z45" i="5"/>
  <c r="AA45" i="5" s="1"/>
  <c r="Z144" i="5"/>
  <c r="H144" i="8"/>
  <c r="Z104" i="5"/>
  <c r="Z44" i="5"/>
  <c r="Z145" i="5"/>
  <c r="Z102" i="5"/>
  <c r="Z83" i="5"/>
  <c r="AA83" i="5" s="1"/>
  <c r="Z103" i="5"/>
  <c r="H145" i="8"/>
  <c r="Z101" i="5"/>
  <c r="AA101" i="5" s="1"/>
  <c r="Z43" i="5"/>
  <c r="Z146" i="5"/>
  <c r="H146" i="8"/>
  <c r="Z42" i="5"/>
  <c r="Z41" i="5"/>
  <c r="Z147" i="5"/>
  <c r="H147" i="8"/>
  <c r="Z82" i="5"/>
  <c r="Z148" i="5"/>
  <c r="Z99" i="5"/>
  <c r="Z79" i="5"/>
  <c r="Z100" i="5"/>
  <c r="H148" i="8"/>
  <c r="Z40" i="5"/>
  <c r="Z78" i="5"/>
  <c r="Z149" i="5"/>
  <c r="H149" i="8"/>
  <c r="Z38" i="5"/>
  <c r="AA38" i="5" s="1"/>
  <c r="Z39" i="5"/>
  <c r="AA39" i="5" s="1"/>
  <c r="Z150" i="5"/>
  <c r="H150" i="8"/>
  <c r="Z74" i="5"/>
  <c r="Z72" i="5"/>
  <c r="Z151" i="5"/>
  <c r="Z71" i="5"/>
  <c r="Z76" i="5"/>
  <c r="AA76" i="5" s="1"/>
  <c r="H151" i="8"/>
  <c r="Z152" i="5"/>
  <c r="H152" i="8"/>
  <c r="Z153" i="5"/>
  <c r="Z35" i="5"/>
  <c r="AA35" i="5" s="1"/>
  <c r="Z37" i="5"/>
  <c r="Z36" i="5"/>
  <c r="AA36" i="5" s="1"/>
  <c r="Z70" i="5"/>
  <c r="Z67" i="5"/>
  <c r="H153" i="8"/>
  <c r="Z154" i="5"/>
  <c r="AB33" i="5"/>
  <c r="H154" i="8"/>
  <c r="Z155" i="5"/>
  <c r="H155" i="8"/>
  <c r="Z156" i="5"/>
  <c r="AA156" i="5" s="1"/>
  <c r="H156" i="8"/>
  <c r="Z157" i="5"/>
  <c r="AA157" i="5" s="1"/>
  <c r="AB29" i="5"/>
  <c r="AB28" i="5"/>
  <c r="AB27" i="5"/>
  <c r="AB26" i="5"/>
  <c r="AB25" i="5"/>
  <c r="AB24" i="5"/>
  <c r="AB23" i="5"/>
  <c r="AB22" i="5"/>
  <c r="AB21" i="5"/>
  <c r="AR408" i="5" l="1"/>
  <c r="AJ408" i="5"/>
  <c r="AR64" i="5"/>
  <c r="AJ64" i="5"/>
  <c r="AR23" i="5"/>
  <c r="AJ23" i="5"/>
  <c r="AR19" i="5"/>
  <c r="AJ19" i="5"/>
  <c r="AR135" i="5"/>
  <c r="AJ135" i="5"/>
  <c r="C12" i="3"/>
  <c r="AR116" i="5"/>
  <c r="AJ116" i="5"/>
  <c r="AR85" i="5"/>
  <c r="AJ85" i="5"/>
  <c r="AR311" i="5"/>
  <c r="AJ311" i="5"/>
  <c r="AR487" i="5"/>
  <c r="AJ487" i="5"/>
  <c r="AR114" i="5"/>
  <c r="AJ114" i="5"/>
  <c r="AR125" i="5"/>
  <c r="AJ125" i="5"/>
  <c r="AR129" i="5"/>
  <c r="AJ129" i="5"/>
  <c r="AR179" i="5"/>
  <c r="AJ179" i="5"/>
  <c r="AR36" i="5"/>
  <c r="AJ36" i="5"/>
  <c r="AR401" i="5"/>
  <c r="AJ401" i="5"/>
  <c r="AR379" i="5"/>
  <c r="AJ379" i="5"/>
  <c r="AR355" i="5"/>
  <c r="AJ355" i="5"/>
  <c r="AR104" i="5"/>
  <c r="AJ104" i="5"/>
  <c r="AR481" i="5"/>
  <c r="AJ481" i="5"/>
  <c r="AR145" i="5"/>
  <c r="AJ145" i="5"/>
  <c r="AR29" i="5"/>
  <c r="AJ29" i="5"/>
  <c r="AR117" i="5"/>
  <c r="AJ117" i="5"/>
  <c r="Q60" i="1"/>
  <c r="AR407" i="5"/>
  <c r="AJ407" i="5"/>
  <c r="AR486" i="5"/>
  <c r="AJ486" i="5"/>
  <c r="AR105" i="5"/>
  <c r="AJ105" i="5"/>
  <c r="AR282" i="5"/>
  <c r="AJ282" i="5"/>
  <c r="AR278" i="5"/>
  <c r="AJ278" i="5"/>
  <c r="AR31" i="5"/>
  <c r="AJ31" i="5"/>
  <c r="AR333" i="5"/>
  <c r="AJ333" i="5"/>
  <c r="AR406" i="5"/>
  <c r="AJ406" i="5"/>
  <c r="AR485" i="5"/>
  <c r="AJ485" i="5"/>
  <c r="AR297" i="5"/>
  <c r="AJ297" i="5"/>
  <c r="AR258" i="5"/>
  <c r="AJ258" i="5"/>
  <c r="AR393" i="5"/>
  <c r="AJ393" i="5"/>
  <c r="AR391" i="5"/>
  <c r="AJ391" i="5"/>
  <c r="AR388" i="5"/>
  <c r="AJ388" i="5"/>
  <c r="AR373" i="5"/>
  <c r="AJ373" i="5"/>
  <c r="AR372" i="5"/>
  <c r="AJ372" i="5"/>
  <c r="AR369" i="5"/>
  <c r="AJ369" i="5"/>
  <c r="AR366" i="5"/>
  <c r="AJ366" i="5"/>
  <c r="AR364" i="5"/>
  <c r="AJ364" i="5"/>
  <c r="AR356" i="5"/>
  <c r="AJ356" i="5"/>
  <c r="AR335" i="5"/>
  <c r="AJ335" i="5"/>
  <c r="AR65" i="5"/>
  <c r="AJ65" i="5"/>
  <c r="AR62" i="5"/>
  <c r="AJ62" i="5"/>
  <c r="AR27" i="5"/>
  <c r="AJ27" i="5"/>
  <c r="AR26" i="5"/>
  <c r="AJ26" i="5"/>
  <c r="AR22" i="5"/>
  <c r="AJ22" i="5"/>
  <c r="AR20" i="5"/>
  <c r="AJ20" i="5"/>
  <c r="AR18" i="5"/>
  <c r="AJ18" i="5"/>
  <c r="AR17" i="5"/>
  <c r="AJ17" i="5"/>
  <c r="AR15" i="5"/>
  <c r="AJ15" i="5"/>
  <c r="AR14" i="5"/>
  <c r="AJ14" i="5"/>
  <c r="AR233" i="5"/>
  <c r="AJ233" i="5"/>
  <c r="AR101" i="5"/>
  <c r="AJ101" i="5"/>
  <c r="AR483" i="5"/>
  <c r="AJ483" i="5"/>
  <c r="AR405" i="5"/>
  <c r="AJ405" i="5"/>
  <c r="AR392" i="5"/>
  <c r="AJ392" i="5"/>
  <c r="AR390" i="5"/>
  <c r="AJ390" i="5"/>
  <c r="AR389" i="5"/>
  <c r="AJ389" i="5"/>
  <c r="AR387" i="5"/>
  <c r="AJ387" i="5"/>
  <c r="AR386" i="5"/>
  <c r="AJ386" i="5"/>
  <c r="AR385" i="5"/>
  <c r="AJ385" i="5"/>
  <c r="AR384" i="5"/>
  <c r="AJ384" i="5"/>
  <c r="AR383" i="5"/>
  <c r="AJ383" i="5"/>
  <c r="AR382" i="5"/>
  <c r="AJ382" i="5"/>
  <c r="AR381" i="5"/>
  <c r="AJ381" i="5"/>
  <c r="AR380" i="5"/>
  <c r="AJ380" i="5"/>
  <c r="AR378" i="5"/>
  <c r="AJ378" i="5"/>
  <c r="AR377" i="5"/>
  <c r="AJ377" i="5"/>
  <c r="AR376" i="5"/>
  <c r="AJ376" i="5"/>
  <c r="AR375" i="5"/>
  <c r="AJ375" i="5"/>
  <c r="AR374" i="5"/>
  <c r="AJ374" i="5"/>
  <c r="AR371" i="5"/>
  <c r="AJ371" i="5"/>
  <c r="AR370" i="5"/>
  <c r="AJ370" i="5"/>
  <c r="AR368" i="5"/>
  <c r="AJ368" i="5"/>
  <c r="AR367" i="5"/>
  <c r="AJ367" i="5"/>
  <c r="AR365" i="5"/>
  <c r="AJ365" i="5"/>
  <c r="AR363" i="5"/>
  <c r="AJ363" i="5"/>
  <c r="AR362" i="5"/>
  <c r="AJ362" i="5"/>
  <c r="AR361" i="5"/>
  <c r="AJ361" i="5"/>
  <c r="AR360" i="5"/>
  <c r="AJ360" i="5"/>
  <c r="AR359" i="5"/>
  <c r="AJ359" i="5"/>
  <c r="AR358" i="5"/>
  <c r="AJ358" i="5"/>
  <c r="AR357" i="5"/>
  <c r="AJ357" i="5"/>
  <c r="AR354" i="5"/>
  <c r="AJ354" i="5"/>
  <c r="AR353" i="5"/>
  <c r="AJ353" i="5"/>
  <c r="AR352" i="5"/>
  <c r="AJ352" i="5"/>
  <c r="AR351" i="5"/>
  <c r="AJ351" i="5"/>
  <c r="AR350" i="5"/>
  <c r="AJ350" i="5"/>
  <c r="AR349" i="5"/>
  <c r="AJ349" i="5"/>
  <c r="AR348" i="5"/>
  <c r="AJ348" i="5"/>
  <c r="AR347" i="5"/>
  <c r="AJ347" i="5"/>
  <c r="AR346" i="5"/>
  <c r="AJ346" i="5"/>
  <c r="AR345" i="5"/>
  <c r="AJ345" i="5"/>
  <c r="AR344" i="5"/>
  <c r="AJ344" i="5"/>
  <c r="AR343" i="5"/>
  <c r="AJ343" i="5"/>
  <c r="AR342" i="5"/>
  <c r="AJ342" i="5"/>
  <c r="AR341" i="5"/>
  <c r="AJ341" i="5"/>
  <c r="AR339" i="5"/>
  <c r="AJ339" i="5"/>
  <c r="AR338" i="5"/>
  <c r="AJ338" i="5"/>
  <c r="AR95" i="5"/>
  <c r="AJ95" i="5"/>
  <c r="AR337" i="5"/>
  <c r="AJ337" i="5"/>
  <c r="AR193" i="5"/>
  <c r="AJ193" i="5"/>
  <c r="AR192" i="5"/>
  <c r="AJ192" i="5"/>
  <c r="AR180" i="5"/>
  <c r="AJ180" i="5"/>
  <c r="AR330" i="5"/>
  <c r="AJ330" i="5"/>
  <c r="AR403" i="5"/>
  <c r="AJ403" i="5"/>
  <c r="AR34" i="5"/>
  <c r="AJ34" i="5"/>
  <c r="AR30" i="5"/>
  <c r="AJ30" i="5"/>
  <c r="AR146" i="5"/>
  <c r="AJ146" i="5"/>
  <c r="AR250" i="5"/>
  <c r="AJ250" i="5"/>
  <c r="AA10" i="5"/>
  <c r="AB10" i="5" s="1"/>
  <c r="AD10" i="5"/>
  <c r="AR402" i="5"/>
  <c r="AJ402" i="5"/>
  <c r="AR336" i="5"/>
  <c r="AJ336" i="5"/>
  <c r="AA31" i="5"/>
  <c r="AB31" i="5" s="1"/>
  <c r="AD31" i="5"/>
  <c r="AA30" i="5"/>
  <c r="AB30" i="5" s="1"/>
  <c r="AD30" i="5"/>
  <c r="AR321" i="5"/>
  <c r="AJ321" i="5"/>
  <c r="AR320" i="5"/>
  <c r="AJ320" i="5"/>
  <c r="AR319" i="5"/>
  <c r="AJ319" i="5"/>
  <c r="AR318" i="5"/>
  <c r="AJ318" i="5"/>
  <c r="AR317" i="5"/>
  <c r="AJ317" i="5"/>
  <c r="AR316" i="5"/>
  <c r="AJ316" i="5"/>
  <c r="AR315" i="5"/>
  <c r="AJ315" i="5"/>
  <c r="AR314" i="5"/>
  <c r="AJ314" i="5"/>
  <c r="AR313" i="5"/>
  <c r="AJ313" i="5"/>
  <c r="AR312" i="5"/>
  <c r="AJ312" i="5"/>
  <c r="AR310" i="5"/>
  <c r="AJ310" i="5"/>
  <c r="AR309" i="5"/>
  <c r="AJ309" i="5"/>
  <c r="AR308" i="5"/>
  <c r="AJ308" i="5"/>
  <c r="AR307" i="5"/>
  <c r="AJ307" i="5"/>
  <c r="AR306" i="5"/>
  <c r="AJ306" i="5"/>
  <c r="AR305" i="5"/>
  <c r="AJ305" i="5"/>
  <c r="AR304" i="5"/>
  <c r="AJ304" i="5"/>
  <c r="AR303" i="5"/>
  <c r="AJ303" i="5"/>
  <c r="AR302" i="5"/>
  <c r="AJ302" i="5"/>
  <c r="AR301" i="5"/>
  <c r="AJ301" i="5"/>
  <c r="AR300" i="5"/>
  <c r="AJ300" i="5"/>
  <c r="AR299" i="5"/>
  <c r="AJ299" i="5"/>
  <c r="AR298" i="5"/>
  <c r="AJ298" i="5"/>
  <c r="AR296" i="5"/>
  <c r="AJ296" i="5"/>
  <c r="AR295" i="5"/>
  <c r="AJ295" i="5"/>
  <c r="AR294" i="5"/>
  <c r="AJ294" i="5"/>
  <c r="AR293" i="5"/>
  <c r="AJ293" i="5"/>
  <c r="AR292" i="5"/>
  <c r="AJ292" i="5"/>
  <c r="AR291" i="5"/>
  <c r="AJ291" i="5"/>
  <c r="AR290" i="5"/>
  <c r="AJ290" i="5"/>
  <c r="AR289" i="5"/>
  <c r="AJ289" i="5"/>
  <c r="AR288" i="5"/>
  <c r="AJ288" i="5"/>
  <c r="AR287" i="5"/>
  <c r="AJ287" i="5"/>
  <c r="AR286" i="5"/>
  <c r="AJ286" i="5"/>
  <c r="AR285" i="5"/>
  <c r="AJ285" i="5"/>
  <c r="AR284" i="5"/>
  <c r="AJ284" i="5"/>
  <c r="AR283" i="5"/>
  <c r="AJ283" i="5"/>
  <c r="AR281" i="5"/>
  <c r="AJ281" i="5"/>
  <c r="AR280" i="5"/>
  <c r="AJ280" i="5"/>
  <c r="AR279" i="5"/>
  <c r="AJ279" i="5"/>
  <c r="AR277" i="5"/>
  <c r="AJ277" i="5"/>
  <c r="AR276" i="5"/>
  <c r="AJ276" i="5"/>
  <c r="AR275" i="5"/>
  <c r="AJ275" i="5"/>
  <c r="AR274" i="5"/>
  <c r="AJ274" i="5"/>
  <c r="AR273" i="5"/>
  <c r="AJ273" i="5"/>
  <c r="AR272" i="5"/>
  <c r="AJ272" i="5"/>
  <c r="AR271" i="5"/>
  <c r="AJ271" i="5"/>
  <c r="AR270" i="5"/>
  <c r="AJ270" i="5"/>
  <c r="AR269" i="5"/>
  <c r="AJ269" i="5"/>
  <c r="AR268" i="5"/>
  <c r="AJ268" i="5"/>
  <c r="AR267" i="5"/>
  <c r="AJ267" i="5"/>
  <c r="AR266" i="5"/>
  <c r="AJ266" i="5"/>
  <c r="AR265" i="5"/>
  <c r="AJ265" i="5"/>
  <c r="AR264" i="5"/>
  <c r="AJ264" i="5"/>
  <c r="AR263" i="5"/>
  <c r="AJ263" i="5"/>
  <c r="AR262" i="5"/>
  <c r="AJ262" i="5"/>
  <c r="AR261" i="5"/>
  <c r="AJ261" i="5"/>
  <c r="AR260" i="5"/>
  <c r="AJ260" i="5"/>
  <c r="AR340" i="5"/>
  <c r="AJ340" i="5"/>
  <c r="AR45" i="5"/>
  <c r="AJ45" i="5"/>
  <c r="AR255" i="5"/>
  <c r="AJ255" i="5"/>
  <c r="AR191" i="5"/>
  <c r="AJ191" i="5"/>
  <c r="AR190" i="5"/>
  <c r="AJ190" i="5"/>
  <c r="AR189" i="5"/>
  <c r="AJ189" i="5"/>
  <c r="AR188" i="5"/>
  <c r="AJ188" i="5"/>
  <c r="AR187" i="5"/>
  <c r="AJ187" i="5"/>
  <c r="AR186" i="5"/>
  <c r="AJ186" i="5"/>
  <c r="AR184" i="5"/>
  <c r="AJ184" i="5"/>
  <c r="AR183" i="5"/>
  <c r="AJ183" i="5"/>
  <c r="AR182" i="5"/>
  <c r="AJ182" i="5"/>
  <c r="AR181" i="5"/>
  <c r="AJ181" i="5"/>
  <c r="AR178" i="5"/>
  <c r="AJ178" i="5"/>
  <c r="AR177" i="5"/>
  <c r="AJ177" i="5"/>
  <c r="AR176" i="5"/>
  <c r="AJ176" i="5"/>
  <c r="AR175" i="5"/>
  <c r="AJ175" i="5"/>
  <c r="AR174" i="5"/>
  <c r="AJ174" i="5"/>
  <c r="AR173" i="5"/>
  <c r="AJ173" i="5"/>
  <c r="AR172" i="5"/>
  <c r="AJ172" i="5"/>
  <c r="AR171" i="5"/>
  <c r="AJ171" i="5"/>
  <c r="AR170" i="5"/>
  <c r="AJ170" i="5"/>
  <c r="AR169" i="5"/>
  <c r="AJ169" i="5"/>
  <c r="AR168" i="5"/>
  <c r="AJ168" i="5"/>
  <c r="AR167" i="5"/>
  <c r="AJ167" i="5"/>
  <c r="AR216" i="5"/>
  <c r="AJ216" i="5"/>
  <c r="AR32" i="5"/>
  <c r="AJ32" i="5"/>
  <c r="AA32" i="5"/>
  <c r="AB32" i="5" s="1"/>
  <c r="AD32" i="5"/>
  <c r="AR147" i="5"/>
  <c r="AJ147" i="5"/>
  <c r="AR79" i="5"/>
  <c r="AJ79" i="5"/>
  <c r="AR332" i="5"/>
  <c r="AJ332" i="5"/>
  <c r="AR331" i="5"/>
  <c r="AJ331" i="5"/>
  <c r="AR76" i="5"/>
  <c r="AJ76" i="5"/>
  <c r="AR253" i="5"/>
  <c r="AJ253" i="5"/>
  <c r="AR228" i="5"/>
  <c r="AJ228" i="5"/>
  <c r="AR205" i="5"/>
  <c r="AJ205" i="5"/>
  <c r="AR201" i="5"/>
  <c r="AJ201" i="5"/>
  <c r="AA34" i="5"/>
  <c r="AB34" i="5" s="1"/>
  <c r="AD34" i="5"/>
  <c r="AR156" i="5"/>
  <c r="C22" i="3"/>
  <c r="AR247" i="5"/>
  <c r="AJ247" i="5"/>
  <c r="AR232" i="5"/>
  <c r="AJ232" i="5"/>
  <c r="AR231" i="5"/>
  <c r="AJ231" i="5"/>
  <c r="AR230" i="5"/>
  <c r="AJ230" i="5"/>
  <c r="AR229" i="5"/>
  <c r="AJ229" i="5"/>
  <c r="AR227" i="5"/>
  <c r="AJ227" i="5"/>
  <c r="AR226" i="5"/>
  <c r="AJ226" i="5"/>
  <c r="AR225" i="5"/>
  <c r="AJ225" i="5"/>
  <c r="AR224" i="5"/>
  <c r="AJ224" i="5"/>
  <c r="AR223" i="5"/>
  <c r="AJ223" i="5"/>
  <c r="AR222" i="5"/>
  <c r="AJ222" i="5"/>
  <c r="AR221" i="5"/>
  <c r="AJ221" i="5"/>
  <c r="AR220" i="5"/>
  <c r="AJ220" i="5"/>
  <c r="AR219" i="5"/>
  <c r="AJ219" i="5"/>
  <c r="AR218" i="5"/>
  <c r="AJ218" i="5"/>
  <c r="AR217" i="5"/>
  <c r="AJ217" i="5"/>
  <c r="AR215" i="5"/>
  <c r="AJ215" i="5"/>
  <c r="AR214" i="5"/>
  <c r="AJ214" i="5"/>
  <c r="AR213" i="5"/>
  <c r="AJ213" i="5"/>
  <c r="AR212" i="5"/>
  <c r="AJ212" i="5"/>
  <c r="AR211" i="5"/>
  <c r="AJ211" i="5"/>
  <c r="AR210" i="5"/>
  <c r="AJ210" i="5"/>
  <c r="AR209" i="5"/>
  <c r="AJ209" i="5"/>
  <c r="AR208" i="5"/>
  <c r="AJ208" i="5"/>
  <c r="AR207" i="5"/>
  <c r="AJ207" i="5"/>
  <c r="AR206" i="5"/>
  <c r="AJ206" i="5"/>
  <c r="AR204" i="5"/>
  <c r="AJ204" i="5"/>
  <c r="AR203" i="5"/>
  <c r="AJ203" i="5"/>
  <c r="AR202" i="5"/>
  <c r="AJ202" i="5"/>
  <c r="AR200" i="5"/>
  <c r="AJ200" i="5"/>
  <c r="AR199" i="5"/>
  <c r="AJ199" i="5"/>
  <c r="AR198" i="5"/>
  <c r="AJ198" i="5"/>
  <c r="AP33" i="5"/>
  <c r="AC33" i="5"/>
  <c r="AR480" i="5"/>
  <c r="AJ480" i="5"/>
  <c r="AR479" i="5"/>
  <c r="AJ479" i="5"/>
  <c r="AR478" i="5"/>
  <c r="AJ478" i="5"/>
  <c r="AR477" i="5"/>
  <c r="AJ477" i="5"/>
  <c r="AR476" i="5"/>
  <c r="AJ476" i="5"/>
  <c r="AR475" i="5"/>
  <c r="AJ475" i="5"/>
  <c r="AR474" i="5"/>
  <c r="AJ474" i="5"/>
  <c r="AR473" i="5"/>
  <c r="AJ473" i="5"/>
  <c r="AR472" i="5"/>
  <c r="AJ472" i="5"/>
  <c r="AR324" i="5"/>
  <c r="AJ324" i="5"/>
  <c r="AR166" i="5"/>
  <c r="AJ166" i="5"/>
  <c r="AR165" i="5"/>
  <c r="AJ165" i="5"/>
  <c r="AR164" i="5"/>
  <c r="AJ164" i="5"/>
  <c r="AR163" i="5"/>
  <c r="AJ163" i="5"/>
  <c r="AR162" i="5"/>
  <c r="AJ162" i="5"/>
  <c r="AR161" i="5"/>
  <c r="AJ161" i="5"/>
  <c r="AR160" i="5"/>
  <c r="AJ160" i="5"/>
  <c r="AR159" i="5"/>
  <c r="AJ159" i="5"/>
  <c r="AR158" i="5"/>
  <c r="AJ158" i="5"/>
  <c r="AR157" i="5"/>
  <c r="AJ157" i="5"/>
  <c r="C23" i="3"/>
  <c r="AR141" i="5"/>
  <c r="AJ141" i="5"/>
  <c r="AR323" i="5"/>
  <c r="AJ323" i="5"/>
  <c r="AR471" i="5"/>
  <c r="AJ471" i="5"/>
  <c r="AR400" i="5"/>
  <c r="AJ400" i="5"/>
  <c r="AR197" i="5"/>
  <c r="AJ197" i="5"/>
  <c r="AR196" i="5"/>
  <c r="AJ196" i="5"/>
  <c r="AR195" i="5"/>
  <c r="AJ195" i="5"/>
  <c r="AR194" i="5"/>
  <c r="AJ194" i="5"/>
  <c r="AP29" i="5"/>
  <c r="AC29" i="5"/>
  <c r="AP28" i="5"/>
  <c r="AC28" i="5"/>
  <c r="AP27" i="5"/>
  <c r="AC27" i="5"/>
  <c r="AP26" i="5"/>
  <c r="AC26" i="5"/>
  <c r="AP25" i="5"/>
  <c r="AC25" i="5"/>
  <c r="AP24" i="5"/>
  <c r="AC24" i="5"/>
  <c r="AP23" i="5"/>
  <c r="AC23" i="5"/>
  <c r="AP22" i="5"/>
  <c r="AC22" i="5"/>
  <c r="AP21" i="5"/>
  <c r="AC21" i="5"/>
  <c r="F28" i="1"/>
  <c r="F26" i="1"/>
  <c r="F27" i="1"/>
  <c r="G12" i="3"/>
  <c r="F14" i="3"/>
  <c r="F15" i="3"/>
  <c r="F17" i="3"/>
  <c r="F20" i="3"/>
  <c r="F16" i="3"/>
  <c r="G16" i="3"/>
  <c r="E17" i="3"/>
  <c r="G22" i="3"/>
  <c r="E23" i="3"/>
  <c r="F11" i="3"/>
  <c r="F13" i="3"/>
  <c r="E14" i="3"/>
  <c r="G18" i="3"/>
  <c r="G19" i="3"/>
  <c r="G20" i="3"/>
  <c r="F21" i="3"/>
  <c r="E12" i="3"/>
  <c r="E18" i="3"/>
  <c r="E19" i="3"/>
  <c r="E20" i="3"/>
  <c r="G21" i="3"/>
  <c r="G10" i="3"/>
  <c r="E13" i="3"/>
  <c r="F19" i="3"/>
  <c r="E22" i="3"/>
  <c r="F22" i="3"/>
  <c r="F23" i="3"/>
  <c r="E10" i="3"/>
  <c r="G15" i="3"/>
  <c r="F10" i="3"/>
  <c r="E11" i="3"/>
  <c r="F12" i="3"/>
  <c r="G14" i="3"/>
  <c r="E15" i="3"/>
  <c r="G17" i="3"/>
  <c r="F18" i="3"/>
  <c r="G23" i="3"/>
  <c r="G11" i="3"/>
  <c r="G13" i="3"/>
  <c r="E16" i="3"/>
  <c r="E21" i="3"/>
  <c r="A37" i="3"/>
  <c r="B37" i="3"/>
  <c r="C37" i="3"/>
  <c r="D37" i="3"/>
  <c r="E37" i="3"/>
  <c r="F37" i="3"/>
  <c r="G37" i="3"/>
  <c r="A38" i="3"/>
  <c r="B38" i="3"/>
  <c r="C38" i="3"/>
  <c r="D38" i="3"/>
  <c r="E38" i="3"/>
  <c r="F38" i="3"/>
  <c r="G38" i="3"/>
  <c r="A39" i="3"/>
  <c r="B39" i="3"/>
  <c r="C39" i="3"/>
  <c r="D39" i="3"/>
  <c r="E39" i="3"/>
  <c r="F39" i="3"/>
  <c r="G39" i="3"/>
  <c r="A40" i="3"/>
  <c r="B40" i="3"/>
  <c r="C40" i="3"/>
  <c r="D40" i="3"/>
  <c r="E40" i="3"/>
  <c r="F40" i="3"/>
  <c r="G40" i="3"/>
  <c r="A41" i="3"/>
  <c r="B41" i="3"/>
  <c r="C41" i="3"/>
  <c r="D41" i="3"/>
  <c r="E41" i="3"/>
  <c r="F41" i="3"/>
  <c r="G41" i="3"/>
  <c r="A42" i="3"/>
  <c r="B42" i="3"/>
  <c r="C42" i="3"/>
  <c r="D42" i="3"/>
  <c r="E42" i="3"/>
  <c r="F42" i="3"/>
  <c r="G42" i="3"/>
  <c r="A43" i="3"/>
  <c r="B43" i="3"/>
  <c r="C43" i="3"/>
  <c r="D43" i="3"/>
  <c r="E43" i="3"/>
  <c r="F43" i="3"/>
  <c r="G43" i="3"/>
  <c r="A44" i="3"/>
  <c r="B44" i="3"/>
  <c r="C44" i="3"/>
  <c r="D44" i="3"/>
  <c r="E44" i="3"/>
  <c r="F44" i="3"/>
  <c r="G44" i="3"/>
  <c r="A45" i="3"/>
  <c r="B45" i="3"/>
  <c r="C45" i="3"/>
  <c r="D45" i="3"/>
  <c r="E45" i="3"/>
  <c r="F45" i="3"/>
  <c r="G45" i="3"/>
  <c r="A46" i="3"/>
  <c r="B46" i="3"/>
  <c r="C46" i="3"/>
  <c r="D46" i="3"/>
  <c r="E46" i="3"/>
  <c r="F46" i="3"/>
  <c r="G46" i="3"/>
  <c r="A47" i="3"/>
  <c r="B47" i="3"/>
  <c r="C47" i="3"/>
  <c r="D47" i="3"/>
  <c r="E47" i="3"/>
  <c r="F47" i="3"/>
  <c r="G47" i="3"/>
  <c r="A48" i="3"/>
  <c r="B48" i="3"/>
  <c r="C48" i="3"/>
  <c r="D48" i="3"/>
  <c r="E48" i="3"/>
  <c r="F48" i="3"/>
  <c r="G48" i="3"/>
  <c r="A49" i="3"/>
  <c r="B49" i="3"/>
  <c r="C49" i="3"/>
  <c r="D49" i="3"/>
  <c r="E49" i="3"/>
  <c r="F49" i="3"/>
  <c r="G49" i="3"/>
  <c r="A50" i="3"/>
  <c r="B50" i="3"/>
  <c r="C50" i="3"/>
  <c r="D50" i="3"/>
  <c r="E50" i="3"/>
  <c r="F50" i="3"/>
  <c r="G50" i="3"/>
  <c r="A51" i="3"/>
  <c r="B51" i="3"/>
  <c r="C51" i="3"/>
  <c r="D51" i="3"/>
  <c r="E51" i="3"/>
  <c r="F51" i="3"/>
  <c r="G51" i="3"/>
  <c r="A52" i="3"/>
  <c r="B52" i="3"/>
  <c r="C52" i="3"/>
  <c r="D52" i="3"/>
  <c r="E52" i="3"/>
  <c r="F52" i="3"/>
  <c r="G52" i="3"/>
  <c r="A53" i="3"/>
  <c r="B53" i="3"/>
  <c r="C53" i="3"/>
  <c r="D53" i="3"/>
  <c r="E53" i="3"/>
  <c r="F53" i="3"/>
  <c r="G53" i="3"/>
  <c r="A54" i="3"/>
  <c r="B54" i="3"/>
  <c r="C54" i="3"/>
  <c r="D54" i="3"/>
  <c r="E54" i="3"/>
  <c r="F54" i="3"/>
  <c r="G54" i="3"/>
  <c r="A55" i="3"/>
  <c r="B55" i="3"/>
  <c r="C55" i="3"/>
  <c r="D55" i="3"/>
  <c r="E55" i="3"/>
  <c r="F55" i="3"/>
  <c r="G55" i="3"/>
  <c r="A56" i="3"/>
  <c r="B56" i="3"/>
  <c r="C56" i="3"/>
  <c r="D56" i="3"/>
  <c r="E56" i="3"/>
  <c r="F56" i="3"/>
  <c r="G56" i="3"/>
  <c r="A57" i="3"/>
  <c r="B57" i="3"/>
  <c r="C57" i="3"/>
  <c r="D57" i="3"/>
  <c r="E57" i="3"/>
  <c r="F57" i="3"/>
  <c r="G57" i="3"/>
  <c r="A58" i="3"/>
  <c r="B58" i="3"/>
  <c r="C58" i="3"/>
  <c r="D58" i="3"/>
  <c r="E58" i="3"/>
  <c r="F58" i="3"/>
  <c r="G58" i="3"/>
  <c r="A59" i="3"/>
  <c r="B59" i="3"/>
  <c r="C59" i="3"/>
  <c r="D59" i="3"/>
  <c r="E59" i="3"/>
  <c r="F59" i="3"/>
  <c r="G59" i="3"/>
  <c r="A60" i="3"/>
  <c r="B60" i="3"/>
  <c r="C60" i="3"/>
  <c r="D60" i="3"/>
  <c r="E60" i="3"/>
  <c r="F60" i="3"/>
  <c r="G60" i="3"/>
  <c r="A61" i="3"/>
  <c r="B61" i="3"/>
  <c r="C61" i="3"/>
  <c r="D61" i="3"/>
  <c r="E61" i="3"/>
  <c r="F61" i="3"/>
  <c r="G61" i="3"/>
  <c r="A62" i="3"/>
  <c r="B62" i="3"/>
  <c r="C62" i="3"/>
  <c r="D62" i="3"/>
  <c r="E62" i="3"/>
  <c r="F62" i="3"/>
  <c r="G62" i="3"/>
  <c r="A63" i="3"/>
  <c r="B63" i="3"/>
  <c r="C63" i="3"/>
  <c r="D63" i="3"/>
  <c r="E63" i="3"/>
  <c r="F63" i="3"/>
  <c r="G63" i="3"/>
  <c r="A64" i="3"/>
  <c r="B64" i="3"/>
  <c r="C64" i="3"/>
  <c r="D64" i="3"/>
  <c r="E64" i="3"/>
  <c r="F64" i="3"/>
  <c r="G64" i="3"/>
  <c r="A65" i="3"/>
  <c r="B65" i="3"/>
  <c r="C65" i="3"/>
  <c r="D65" i="3"/>
  <c r="E65" i="3"/>
  <c r="F65" i="3"/>
  <c r="G65" i="3"/>
  <c r="A66" i="3"/>
  <c r="B66" i="3"/>
  <c r="C66" i="3"/>
  <c r="D66" i="3"/>
  <c r="E66" i="3"/>
  <c r="F66" i="3"/>
  <c r="G66" i="3"/>
  <c r="A67" i="3"/>
  <c r="B67" i="3"/>
  <c r="C67" i="3"/>
  <c r="D67" i="3"/>
  <c r="E67" i="3"/>
  <c r="F67" i="3"/>
  <c r="G67" i="3"/>
  <c r="A68" i="3"/>
  <c r="B68" i="3"/>
  <c r="C68" i="3"/>
  <c r="D68" i="3"/>
  <c r="E68" i="3"/>
  <c r="F68" i="3"/>
  <c r="G68" i="3"/>
  <c r="A69" i="3"/>
  <c r="B69" i="3"/>
  <c r="C69" i="3"/>
  <c r="D69" i="3"/>
  <c r="E69" i="3"/>
  <c r="F69" i="3"/>
  <c r="G69" i="3"/>
  <c r="A70" i="3"/>
  <c r="B70" i="3"/>
  <c r="C70" i="3"/>
  <c r="D70" i="3"/>
  <c r="E70" i="3"/>
  <c r="F70" i="3"/>
  <c r="G70" i="3"/>
  <c r="A71" i="3"/>
  <c r="B71" i="3"/>
  <c r="C71" i="3"/>
  <c r="D71" i="3"/>
  <c r="E71" i="3"/>
  <c r="F71" i="3"/>
  <c r="G71" i="3"/>
  <c r="A72" i="3"/>
  <c r="B72" i="3"/>
  <c r="C72" i="3"/>
  <c r="D72" i="3"/>
  <c r="E72" i="3"/>
  <c r="F72" i="3"/>
  <c r="G72" i="3"/>
  <c r="A73" i="3"/>
  <c r="B73" i="3"/>
  <c r="C73" i="3"/>
  <c r="D73" i="3"/>
  <c r="E73" i="3"/>
  <c r="F73" i="3"/>
  <c r="G73" i="3"/>
  <c r="A74" i="3"/>
  <c r="B74" i="3"/>
  <c r="C74" i="3"/>
  <c r="D74" i="3"/>
  <c r="E74" i="3"/>
  <c r="F74" i="3"/>
  <c r="G74" i="3"/>
  <c r="A75" i="3"/>
  <c r="B75" i="3"/>
  <c r="C75" i="3"/>
  <c r="D75" i="3"/>
  <c r="E75" i="3"/>
  <c r="F75" i="3"/>
  <c r="G75" i="3"/>
  <c r="A76" i="3"/>
  <c r="B76" i="3"/>
  <c r="C76" i="3"/>
  <c r="D76" i="3"/>
  <c r="E76" i="3"/>
  <c r="F76" i="3"/>
  <c r="G76" i="3"/>
  <c r="A77" i="3"/>
  <c r="B77" i="3"/>
  <c r="C77" i="3"/>
  <c r="D77" i="3"/>
  <c r="E77" i="3"/>
  <c r="F77" i="3"/>
  <c r="G77" i="3"/>
  <c r="A78" i="3"/>
  <c r="B78" i="3"/>
  <c r="C78" i="3"/>
  <c r="D78" i="3"/>
  <c r="E78" i="3"/>
  <c r="F78" i="3"/>
  <c r="G78" i="3"/>
  <c r="A79" i="3"/>
  <c r="B79" i="3"/>
  <c r="C79" i="3"/>
  <c r="D79" i="3"/>
  <c r="E79" i="3"/>
  <c r="F79" i="3"/>
  <c r="G79" i="3"/>
  <c r="A80" i="3"/>
  <c r="B80" i="3"/>
  <c r="C80" i="3"/>
  <c r="D80" i="3"/>
  <c r="E80" i="3"/>
  <c r="F80" i="3"/>
  <c r="G80" i="3"/>
  <c r="A81" i="3"/>
  <c r="B81" i="3"/>
  <c r="C81" i="3"/>
  <c r="D81" i="3"/>
  <c r="E81" i="3"/>
  <c r="F81" i="3"/>
  <c r="G81" i="3"/>
  <c r="A82" i="3"/>
  <c r="B82" i="3"/>
  <c r="C82" i="3"/>
  <c r="D82" i="3"/>
  <c r="E82" i="3"/>
  <c r="F82" i="3"/>
  <c r="G82" i="3"/>
  <c r="A83" i="3"/>
  <c r="B83" i="3"/>
  <c r="C83" i="3"/>
  <c r="D83" i="3"/>
  <c r="E83" i="3"/>
  <c r="F83" i="3"/>
  <c r="G83" i="3"/>
  <c r="A84" i="3"/>
  <c r="B84" i="3"/>
  <c r="C84" i="3"/>
  <c r="D84" i="3"/>
  <c r="E84" i="3"/>
  <c r="F84" i="3"/>
  <c r="G84" i="3"/>
  <c r="A85" i="3"/>
  <c r="B85" i="3"/>
  <c r="C85" i="3"/>
  <c r="D85" i="3"/>
  <c r="E85" i="3"/>
  <c r="F85" i="3"/>
  <c r="G85" i="3"/>
  <c r="A86" i="3"/>
  <c r="B86" i="3"/>
  <c r="C86" i="3"/>
  <c r="D86" i="3"/>
  <c r="E86" i="3"/>
  <c r="F86" i="3"/>
  <c r="G86" i="3"/>
  <c r="A87" i="3"/>
  <c r="B87" i="3"/>
  <c r="C87" i="3"/>
  <c r="D87" i="3"/>
  <c r="E87" i="3"/>
  <c r="F87" i="3"/>
  <c r="G87" i="3"/>
  <c r="A88" i="3"/>
  <c r="B88" i="3"/>
  <c r="C88" i="3"/>
  <c r="D88" i="3"/>
  <c r="E88" i="3"/>
  <c r="F88" i="3"/>
  <c r="G88" i="3"/>
  <c r="A89" i="3"/>
  <c r="B89" i="3"/>
  <c r="C89" i="3"/>
  <c r="D89" i="3"/>
  <c r="E89" i="3"/>
  <c r="F89" i="3"/>
  <c r="G89" i="3"/>
  <c r="A90" i="3"/>
  <c r="B90" i="3"/>
  <c r="C90" i="3"/>
  <c r="D90" i="3"/>
  <c r="E90" i="3"/>
  <c r="F90" i="3"/>
  <c r="G90" i="3"/>
  <c r="A91" i="3"/>
  <c r="B91" i="3"/>
  <c r="C91" i="3"/>
  <c r="D91" i="3"/>
  <c r="E91" i="3"/>
  <c r="F91" i="3"/>
  <c r="G91" i="3"/>
  <c r="A92" i="3"/>
  <c r="B92" i="3"/>
  <c r="C92" i="3"/>
  <c r="D92" i="3"/>
  <c r="E92" i="3"/>
  <c r="F92" i="3"/>
  <c r="G92" i="3"/>
  <c r="A93" i="3"/>
  <c r="B93" i="3"/>
  <c r="C93" i="3"/>
  <c r="D93" i="3"/>
  <c r="E93" i="3"/>
  <c r="F93" i="3"/>
  <c r="G93" i="3"/>
  <c r="A94" i="3"/>
  <c r="B94" i="3"/>
  <c r="C94" i="3"/>
  <c r="D94" i="3"/>
  <c r="E94" i="3"/>
  <c r="F94" i="3"/>
  <c r="G94" i="3"/>
  <c r="A95" i="3"/>
  <c r="B95" i="3"/>
  <c r="C95" i="3"/>
  <c r="D95" i="3"/>
  <c r="E95" i="3"/>
  <c r="F95" i="3"/>
  <c r="G95" i="3"/>
  <c r="A96" i="3"/>
  <c r="B96" i="3"/>
  <c r="C96" i="3"/>
  <c r="D96" i="3"/>
  <c r="E96" i="3"/>
  <c r="F96" i="3"/>
  <c r="G96" i="3"/>
  <c r="A97" i="3"/>
  <c r="B97" i="3"/>
  <c r="C97" i="3"/>
  <c r="D97" i="3"/>
  <c r="E97" i="3"/>
  <c r="F97" i="3"/>
  <c r="G97" i="3"/>
  <c r="A98" i="3"/>
  <c r="B98" i="3"/>
  <c r="C98" i="3"/>
  <c r="D98" i="3"/>
  <c r="E98" i="3"/>
  <c r="F98" i="3"/>
  <c r="G98" i="3"/>
  <c r="A99" i="3"/>
  <c r="B99" i="3"/>
  <c r="C99" i="3"/>
  <c r="D99" i="3"/>
  <c r="E99" i="3"/>
  <c r="F99" i="3"/>
  <c r="G99" i="3"/>
  <c r="A100" i="3"/>
  <c r="B100" i="3"/>
  <c r="C100" i="3"/>
  <c r="D100" i="3"/>
  <c r="E100" i="3"/>
  <c r="F100" i="3"/>
  <c r="G100" i="3"/>
  <c r="A101" i="3"/>
  <c r="B101" i="3"/>
  <c r="C101" i="3"/>
  <c r="D101" i="3"/>
  <c r="E101" i="3"/>
  <c r="F101" i="3"/>
  <c r="G101" i="3"/>
  <c r="A102" i="3"/>
  <c r="B102" i="3"/>
  <c r="C102" i="3"/>
  <c r="D102" i="3"/>
  <c r="E102" i="3"/>
  <c r="F102" i="3"/>
  <c r="G102" i="3"/>
  <c r="A103" i="3"/>
  <c r="B103" i="3"/>
  <c r="C103" i="3"/>
  <c r="D103" i="3"/>
  <c r="E103" i="3"/>
  <c r="F103" i="3"/>
  <c r="G103" i="3"/>
  <c r="A104" i="3"/>
  <c r="B104" i="3"/>
  <c r="C104" i="3"/>
  <c r="D104" i="3"/>
  <c r="E104" i="3"/>
  <c r="F104" i="3"/>
  <c r="G104" i="3"/>
  <c r="A105" i="3"/>
  <c r="B105" i="3"/>
  <c r="C105" i="3"/>
  <c r="D105" i="3"/>
  <c r="E105" i="3"/>
  <c r="F105" i="3"/>
  <c r="G105" i="3"/>
  <c r="A106" i="3"/>
  <c r="B106" i="3"/>
  <c r="C106" i="3"/>
  <c r="D106" i="3"/>
  <c r="E106" i="3"/>
  <c r="F106" i="3"/>
  <c r="G106" i="3"/>
  <c r="A107" i="3"/>
  <c r="B107" i="3"/>
  <c r="C107" i="3"/>
  <c r="D107" i="3"/>
  <c r="E107" i="3"/>
  <c r="F107" i="3"/>
  <c r="G107" i="3"/>
  <c r="A108" i="3"/>
  <c r="B108" i="3"/>
  <c r="C108" i="3"/>
  <c r="D108" i="3"/>
  <c r="E108" i="3"/>
  <c r="F108" i="3"/>
  <c r="G108" i="3"/>
  <c r="A109" i="3"/>
  <c r="B109" i="3"/>
  <c r="C109" i="3"/>
  <c r="D109" i="3"/>
  <c r="E109" i="3"/>
  <c r="F109" i="3"/>
  <c r="G109" i="3"/>
  <c r="A110" i="3"/>
  <c r="B110" i="3"/>
  <c r="C110" i="3"/>
  <c r="D110" i="3"/>
  <c r="E110" i="3"/>
  <c r="F110" i="3"/>
  <c r="G110" i="3"/>
  <c r="A111" i="3"/>
  <c r="B111" i="3"/>
  <c r="C111" i="3"/>
  <c r="D111" i="3"/>
  <c r="E111" i="3"/>
  <c r="F111" i="3"/>
  <c r="G111" i="3"/>
  <c r="A112" i="3"/>
  <c r="B112" i="3"/>
  <c r="C112" i="3"/>
  <c r="D112" i="3"/>
  <c r="E112" i="3"/>
  <c r="F112" i="3"/>
  <c r="G112" i="3"/>
  <c r="A113" i="3"/>
  <c r="B113" i="3"/>
  <c r="C113" i="3"/>
  <c r="D113" i="3"/>
  <c r="E113" i="3"/>
  <c r="F113" i="3"/>
  <c r="G113" i="3"/>
  <c r="A114" i="3"/>
  <c r="B114" i="3"/>
  <c r="C114" i="3"/>
  <c r="D114" i="3"/>
  <c r="E114" i="3"/>
  <c r="F114" i="3"/>
  <c r="G114" i="3"/>
  <c r="A115" i="3"/>
  <c r="B115" i="3"/>
  <c r="C115" i="3"/>
  <c r="D115" i="3"/>
  <c r="E115" i="3"/>
  <c r="F115" i="3"/>
  <c r="G115" i="3"/>
  <c r="A116" i="3"/>
  <c r="B116" i="3"/>
  <c r="C116" i="3"/>
  <c r="D116" i="3"/>
  <c r="E116" i="3"/>
  <c r="F116" i="3"/>
  <c r="G116" i="3"/>
  <c r="A117" i="3"/>
  <c r="B117" i="3"/>
  <c r="C117" i="3"/>
  <c r="D117" i="3"/>
  <c r="E117" i="3"/>
  <c r="F117" i="3"/>
  <c r="G117" i="3"/>
  <c r="A118" i="3"/>
  <c r="B118" i="3"/>
  <c r="C118" i="3"/>
  <c r="D118" i="3"/>
  <c r="E118" i="3"/>
  <c r="F118" i="3"/>
  <c r="G118" i="3"/>
  <c r="A119" i="3"/>
  <c r="B119" i="3"/>
  <c r="C119" i="3"/>
  <c r="D119" i="3"/>
  <c r="E119" i="3"/>
  <c r="F119" i="3"/>
  <c r="G119" i="3"/>
  <c r="A120" i="3"/>
  <c r="B120" i="3"/>
  <c r="C120" i="3"/>
  <c r="D120" i="3"/>
  <c r="E120" i="3"/>
  <c r="F120" i="3"/>
  <c r="G120" i="3"/>
  <c r="A121" i="3"/>
  <c r="B121" i="3"/>
  <c r="C121" i="3"/>
  <c r="D121" i="3"/>
  <c r="E121" i="3"/>
  <c r="F121" i="3"/>
  <c r="G121" i="3"/>
  <c r="A122" i="3"/>
  <c r="B122" i="3"/>
  <c r="C122" i="3"/>
  <c r="D122" i="3"/>
  <c r="E122" i="3"/>
  <c r="F122" i="3"/>
  <c r="G122" i="3"/>
  <c r="A123" i="3"/>
  <c r="B123" i="3"/>
  <c r="C123" i="3"/>
  <c r="D123" i="3"/>
  <c r="E123" i="3"/>
  <c r="F123" i="3"/>
  <c r="G123" i="3"/>
  <c r="A124" i="3"/>
  <c r="B124" i="3"/>
  <c r="C124" i="3"/>
  <c r="D124" i="3"/>
  <c r="E124" i="3"/>
  <c r="F124" i="3"/>
  <c r="G124" i="3"/>
  <c r="A125" i="3"/>
  <c r="B125" i="3"/>
  <c r="C125" i="3"/>
  <c r="D125" i="3"/>
  <c r="E125" i="3"/>
  <c r="F125" i="3"/>
  <c r="G125" i="3"/>
  <c r="A126" i="3"/>
  <c r="B126" i="3"/>
  <c r="C126" i="3"/>
  <c r="D126" i="3"/>
  <c r="E126" i="3"/>
  <c r="F126" i="3"/>
  <c r="G126" i="3"/>
  <c r="A127" i="3"/>
  <c r="B127" i="3"/>
  <c r="C127" i="3"/>
  <c r="D127" i="3"/>
  <c r="E127" i="3"/>
  <c r="F127" i="3"/>
  <c r="G127" i="3"/>
  <c r="A128" i="3"/>
  <c r="B128" i="3"/>
  <c r="C128" i="3"/>
  <c r="D128" i="3"/>
  <c r="E128" i="3"/>
  <c r="F128" i="3"/>
  <c r="G128" i="3"/>
  <c r="A129" i="3"/>
  <c r="B129" i="3"/>
  <c r="C129" i="3"/>
  <c r="D129" i="3"/>
  <c r="E129" i="3"/>
  <c r="F129" i="3"/>
  <c r="G129" i="3"/>
  <c r="A130" i="3"/>
  <c r="B130" i="3"/>
  <c r="C130" i="3"/>
  <c r="D130" i="3"/>
  <c r="E130" i="3"/>
  <c r="F130" i="3"/>
  <c r="G130" i="3"/>
  <c r="A131" i="3"/>
  <c r="B131" i="3"/>
  <c r="C131" i="3"/>
  <c r="D131" i="3"/>
  <c r="E131" i="3"/>
  <c r="F131" i="3"/>
  <c r="G131" i="3"/>
  <c r="A132" i="3"/>
  <c r="B132" i="3"/>
  <c r="C132" i="3"/>
  <c r="D132" i="3"/>
  <c r="E132" i="3"/>
  <c r="F132" i="3"/>
  <c r="G132" i="3"/>
  <c r="A133" i="3"/>
  <c r="B133" i="3"/>
  <c r="C133" i="3"/>
  <c r="D133" i="3"/>
  <c r="E133" i="3"/>
  <c r="F133" i="3"/>
  <c r="G133" i="3"/>
  <c r="A134" i="3"/>
  <c r="B134" i="3"/>
  <c r="C134" i="3"/>
  <c r="D134" i="3"/>
  <c r="E134" i="3"/>
  <c r="F134" i="3"/>
  <c r="G134" i="3"/>
  <c r="A135" i="3"/>
  <c r="B135" i="3"/>
  <c r="C135" i="3"/>
  <c r="D135" i="3"/>
  <c r="E135" i="3"/>
  <c r="F135" i="3"/>
  <c r="G135" i="3"/>
  <c r="A136" i="3"/>
  <c r="B136" i="3"/>
  <c r="C136" i="3"/>
  <c r="D136" i="3"/>
  <c r="E136" i="3"/>
  <c r="F136" i="3"/>
  <c r="G136" i="3"/>
  <c r="A137" i="3"/>
  <c r="B137" i="3"/>
  <c r="C137" i="3"/>
  <c r="D137" i="3"/>
  <c r="E137" i="3"/>
  <c r="F137" i="3"/>
  <c r="G137" i="3"/>
  <c r="A138" i="3"/>
  <c r="B138" i="3"/>
  <c r="C138" i="3"/>
  <c r="D138" i="3"/>
  <c r="E138" i="3"/>
  <c r="F138" i="3"/>
  <c r="G138" i="3"/>
  <c r="A139" i="3"/>
  <c r="B139" i="3"/>
  <c r="C139" i="3"/>
  <c r="D139" i="3"/>
  <c r="E139" i="3"/>
  <c r="F139" i="3"/>
  <c r="G139" i="3"/>
  <c r="A140" i="3"/>
  <c r="B140" i="3"/>
  <c r="C140" i="3"/>
  <c r="D140" i="3"/>
  <c r="E140" i="3"/>
  <c r="F140" i="3"/>
  <c r="G140" i="3"/>
  <c r="A141" i="3"/>
  <c r="B141" i="3"/>
  <c r="C141" i="3"/>
  <c r="D141" i="3"/>
  <c r="E141" i="3"/>
  <c r="F141" i="3"/>
  <c r="G141" i="3"/>
  <c r="A142" i="3"/>
  <c r="B142" i="3"/>
  <c r="C142" i="3"/>
  <c r="D142" i="3"/>
  <c r="E142" i="3"/>
  <c r="F142" i="3"/>
  <c r="G142" i="3"/>
  <c r="A143" i="3"/>
  <c r="B143" i="3"/>
  <c r="C143" i="3"/>
  <c r="D143" i="3"/>
  <c r="E143" i="3"/>
  <c r="F143" i="3"/>
  <c r="G143" i="3"/>
  <c r="A144" i="3"/>
  <c r="B144" i="3"/>
  <c r="C144" i="3"/>
  <c r="D144" i="3"/>
  <c r="E144" i="3"/>
  <c r="F144" i="3"/>
  <c r="G144" i="3"/>
  <c r="A145" i="3"/>
  <c r="B145" i="3"/>
  <c r="C145" i="3"/>
  <c r="D145" i="3"/>
  <c r="E145" i="3"/>
  <c r="F145" i="3"/>
  <c r="G145" i="3"/>
  <c r="A146" i="3"/>
  <c r="B146" i="3"/>
  <c r="C146" i="3"/>
  <c r="D146" i="3"/>
  <c r="E146" i="3"/>
  <c r="F146" i="3"/>
  <c r="G146" i="3"/>
  <c r="A147" i="3"/>
  <c r="B147" i="3"/>
  <c r="C147" i="3"/>
  <c r="D147" i="3"/>
  <c r="E147" i="3"/>
  <c r="F147" i="3"/>
  <c r="G147" i="3"/>
  <c r="A148" i="3"/>
  <c r="B148" i="3"/>
  <c r="C148" i="3"/>
  <c r="D148" i="3"/>
  <c r="E148" i="3"/>
  <c r="F148" i="3"/>
  <c r="G148" i="3"/>
  <c r="A149" i="3"/>
  <c r="B149" i="3"/>
  <c r="C149" i="3"/>
  <c r="D149" i="3"/>
  <c r="E149" i="3"/>
  <c r="F149" i="3"/>
  <c r="G149" i="3"/>
  <c r="A150" i="3"/>
  <c r="B150" i="3"/>
  <c r="C150" i="3"/>
  <c r="D150" i="3"/>
  <c r="E150" i="3"/>
  <c r="F150" i="3"/>
  <c r="G150" i="3"/>
  <c r="A151" i="3"/>
  <c r="B151" i="3"/>
  <c r="C151" i="3"/>
  <c r="D151" i="3"/>
  <c r="E151" i="3"/>
  <c r="F151" i="3"/>
  <c r="G151" i="3"/>
  <c r="A152" i="3"/>
  <c r="B152" i="3"/>
  <c r="C152" i="3"/>
  <c r="D152" i="3"/>
  <c r="E152" i="3"/>
  <c r="F152" i="3"/>
  <c r="G152" i="3"/>
  <c r="A153" i="3"/>
  <c r="B153" i="3"/>
  <c r="C153" i="3"/>
  <c r="D153" i="3"/>
  <c r="E153" i="3"/>
  <c r="F153" i="3"/>
  <c r="G153" i="3"/>
  <c r="A154" i="3"/>
  <c r="B154" i="3"/>
  <c r="C154" i="3"/>
  <c r="D154" i="3"/>
  <c r="E154" i="3"/>
  <c r="F154" i="3"/>
  <c r="G154" i="3"/>
  <c r="A155" i="3"/>
  <c r="B155" i="3"/>
  <c r="C155" i="3"/>
  <c r="D155" i="3"/>
  <c r="E155" i="3"/>
  <c r="F155" i="3"/>
  <c r="G155" i="3"/>
  <c r="A156" i="3"/>
  <c r="B156" i="3"/>
  <c r="C156" i="3"/>
  <c r="D156" i="3"/>
  <c r="E156" i="3"/>
  <c r="F156" i="3"/>
  <c r="G156" i="3"/>
  <c r="A157" i="3"/>
  <c r="B157" i="3"/>
  <c r="C157" i="3"/>
  <c r="D157" i="3"/>
  <c r="E157" i="3"/>
  <c r="F157" i="3"/>
  <c r="G157" i="3"/>
  <c r="A158" i="3"/>
  <c r="B158" i="3"/>
  <c r="C158" i="3"/>
  <c r="D158" i="3"/>
  <c r="E158" i="3"/>
  <c r="F158" i="3"/>
  <c r="G158" i="3"/>
  <c r="A159" i="3"/>
  <c r="B159" i="3"/>
  <c r="C159" i="3"/>
  <c r="D159" i="3"/>
  <c r="E159" i="3"/>
  <c r="F159" i="3"/>
  <c r="G159" i="3"/>
  <c r="A160" i="3"/>
  <c r="B160" i="3"/>
  <c r="C160" i="3"/>
  <c r="D160" i="3"/>
  <c r="E160" i="3"/>
  <c r="F160" i="3"/>
  <c r="G160" i="3"/>
  <c r="A161" i="3"/>
  <c r="B161" i="3"/>
  <c r="C161" i="3"/>
  <c r="D161" i="3"/>
  <c r="E161" i="3"/>
  <c r="F161" i="3"/>
  <c r="G161" i="3"/>
  <c r="A162" i="3"/>
  <c r="B162" i="3"/>
  <c r="C162" i="3"/>
  <c r="D162" i="3"/>
  <c r="E162" i="3"/>
  <c r="F162" i="3"/>
  <c r="G162" i="3"/>
  <c r="A163" i="3"/>
  <c r="B163" i="3"/>
  <c r="C163" i="3"/>
  <c r="D163" i="3"/>
  <c r="E163" i="3"/>
  <c r="F163" i="3"/>
  <c r="G163" i="3"/>
  <c r="A164" i="3"/>
  <c r="B164" i="3"/>
  <c r="C164" i="3"/>
  <c r="D164" i="3"/>
  <c r="E164" i="3"/>
  <c r="F164" i="3"/>
  <c r="G164" i="3"/>
  <c r="A165" i="3"/>
  <c r="B165" i="3"/>
  <c r="C165" i="3"/>
  <c r="D165" i="3"/>
  <c r="E165" i="3"/>
  <c r="F165" i="3"/>
  <c r="G165" i="3"/>
  <c r="A166" i="3"/>
  <c r="B166" i="3"/>
  <c r="C166" i="3"/>
  <c r="D166" i="3"/>
  <c r="E166" i="3"/>
  <c r="F166" i="3"/>
  <c r="G166" i="3"/>
  <c r="A167" i="3"/>
  <c r="B167" i="3"/>
  <c r="C167" i="3"/>
  <c r="D167" i="3"/>
  <c r="E167" i="3"/>
  <c r="F167" i="3"/>
  <c r="G167" i="3"/>
  <c r="A168" i="3"/>
  <c r="B168" i="3"/>
  <c r="C168" i="3"/>
  <c r="D168" i="3"/>
  <c r="E168" i="3"/>
  <c r="F168" i="3"/>
  <c r="G168" i="3"/>
  <c r="A169" i="3"/>
  <c r="B169" i="3"/>
  <c r="C169" i="3"/>
  <c r="D169" i="3"/>
  <c r="E169" i="3"/>
  <c r="F169" i="3"/>
  <c r="G169" i="3"/>
  <c r="A170" i="3"/>
  <c r="B170" i="3"/>
  <c r="C170" i="3"/>
  <c r="D170" i="3"/>
  <c r="E170" i="3"/>
  <c r="F170" i="3"/>
  <c r="G170" i="3"/>
  <c r="A171" i="3"/>
  <c r="B171" i="3"/>
  <c r="C171" i="3"/>
  <c r="D171" i="3"/>
  <c r="E171" i="3"/>
  <c r="F171" i="3"/>
  <c r="G171" i="3"/>
  <c r="A172" i="3"/>
  <c r="B172" i="3"/>
  <c r="C172" i="3"/>
  <c r="D172" i="3"/>
  <c r="E172" i="3"/>
  <c r="F172" i="3"/>
  <c r="G172" i="3"/>
  <c r="A173" i="3"/>
  <c r="B173" i="3"/>
  <c r="C173" i="3"/>
  <c r="D173" i="3"/>
  <c r="E173" i="3"/>
  <c r="F173" i="3"/>
  <c r="G173" i="3"/>
  <c r="A174" i="3"/>
  <c r="B174" i="3"/>
  <c r="C174" i="3"/>
  <c r="D174" i="3"/>
  <c r="E174" i="3"/>
  <c r="F174" i="3"/>
  <c r="G174" i="3"/>
  <c r="A175" i="3"/>
  <c r="B175" i="3"/>
  <c r="C175" i="3"/>
  <c r="D175" i="3"/>
  <c r="E175" i="3"/>
  <c r="F175" i="3"/>
  <c r="G175" i="3"/>
  <c r="A176" i="3"/>
  <c r="B176" i="3"/>
  <c r="C176" i="3"/>
  <c r="D176" i="3"/>
  <c r="E176" i="3"/>
  <c r="F176" i="3"/>
  <c r="G176" i="3"/>
  <c r="A177" i="3"/>
  <c r="B177" i="3"/>
  <c r="C177" i="3"/>
  <c r="D177" i="3"/>
  <c r="E177" i="3"/>
  <c r="F177" i="3"/>
  <c r="G177" i="3"/>
  <c r="A178" i="3"/>
  <c r="B178" i="3"/>
  <c r="C178" i="3"/>
  <c r="D178" i="3"/>
  <c r="E178" i="3"/>
  <c r="F178" i="3"/>
  <c r="G178" i="3"/>
  <c r="A179" i="3"/>
  <c r="B179" i="3"/>
  <c r="C179" i="3"/>
  <c r="D179" i="3"/>
  <c r="E179" i="3"/>
  <c r="F179" i="3"/>
  <c r="G179" i="3"/>
  <c r="A180" i="3"/>
  <c r="B180" i="3"/>
  <c r="C180" i="3"/>
  <c r="D180" i="3"/>
  <c r="E180" i="3"/>
  <c r="F180" i="3"/>
  <c r="G180" i="3"/>
  <c r="A181" i="3"/>
  <c r="B181" i="3"/>
  <c r="C181" i="3"/>
  <c r="D181" i="3"/>
  <c r="E181" i="3"/>
  <c r="F181" i="3"/>
  <c r="G181" i="3"/>
  <c r="A182" i="3"/>
  <c r="B182" i="3"/>
  <c r="C182" i="3"/>
  <c r="D182" i="3"/>
  <c r="E182" i="3"/>
  <c r="F182" i="3"/>
  <c r="G182" i="3"/>
  <c r="A183" i="3"/>
  <c r="B183" i="3"/>
  <c r="C183" i="3"/>
  <c r="D183" i="3"/>
  <c r="E183" i="3"/>
  <c r="F183" i="3"/>
  <c r="G183" i="3"/>
  <c r="A184" i="3"/>
  <c r="B184" i="3"/>
  <c r="C184" i="3"/>
  <c r="D184" i="3"/>
  <c r="E184" i="3"/>
  <c r="F184" i="3"/>
  <c r="G184" i="3"/>
  <c r="A185" i="3"/>
  <c r="B185" i="3"/>
  <c r="C185" i="3"/>
  <c r="D185" i="3"/>
  <c r="E185" i="3"/>
  <c r="F185" i="3"/>
  <c r="G185" i="3"/>
  <c r="A186" i="3"/>
  <c r="B186" i="3"/>
  <c r="C186" i="3"/>
  <c r="D186" i="3"/>
  <c r="E186" i="3"/>
  <c r="F186" i="3"/>
  <c r="G186" i="3"/>
  <c r="A187" i="3"/>
  <c r="B187" i="3"/>
  <c r="C187" i="3"/>
  <c r="D187" i="3"/>
  <c r="E187" i="3"/>
  <c r="F187" i="3"/>
  <c r="G187" i="3"/>
  <c r="A188" i="3"/>
  <c r="B188" i="3"/>
  <c r="C188" i="3"/>
  <c r="D188" i="3"/>
  <c r="E188" i="3"/>
  <c r="F188" i="3"/>
  <c r="G188" i="3"/>
  <c r="A189" i="3"/>
  <c r="B189" i="3"/>
  <c r="C189" i="3"/>
  <c r="D189" i="3"/>
  <c r="E189" i="3"/>
  <c r="F189" i="3"/>
  <c r="G189" i="3"/>
  <c r="A190" i="3"/>
  <c r="B190" i="3"/>
  <c r="C190" i="3"/>
  <c r="D190" i="3"/>
  <c r="E190" i="3"/>
  <c r="F190" i="3"/>
  <c r="G190" i="3"/>
  <c r="A191" i="3"/>
  <c r="B191" i="3"/>
  <c r="C191" i="3"/>
  <c r="D191" i="3"/>
  <c r="E191" i="3"/>
  <c r="F191" i="3"/>
  <c r="G191" i="3"/>
  <c r="A192" i="3"/>
  <c r="B192" i="3"/>
  <c r="C192" i="3"/>
  <c r="D192" i="3"/>
  <c r="E192" i="3"/>
  <c r="F192" i="3"/>
  <c r="G192" i="3"/>
  <c r="A193" i="3"/>
  <c r="B193" i="3"/>
  <c r="C193" i="3"/>
  <c r="D193" i="3"/>
  <c r="E193" i="3"/>
  <c r="F193" i="3"/>
  <c r="G193" i="3"/>
  <c r="A194" i="3"/>
  <c r="B194" i="3"/>
  <c r="C194" i="3"/>
  <c r="D194" i="3"/>
  <c r="E194" i="3"/>
  <c r="F194" i="3"/>
  <c r="G194" i="3"/>
  <c r="A195" i="3"/>
  <c r="B195" i="3"/>
  <c r="C195" i="3"/>
  <c r="D195" i="3"/>
  <c r="E195" i="3"/>
  <c r="F195" i="3"/>
  <c r="G195" i="3"/>
  <c r="A196" i="3"/>
  <c r="B196" i="3"/>
  <c r="C196" i="3"/>
  <c r="D196" i="3"/>
  <c r="E196" i="3"/>
  <c r="F196" i="3"/>
  <c r="G196" i="3"/>
  <c r="A197" i="3"/>
  <c r="B197" i="3"/>
  <c r="C197" i="3"/>
  <c r="D197" i="3"/>
  <c r="E197" i="3"/>
  <c r="F197" i="3"/>
  <c r="G197" i="3"/>
  <c r="A198" i="3"/>
  <c r="B198" i="3"/>
  <c r="C198" i="3"/>
  <c r="D198" i="3"/>
  <c r="E198" i="3"/>
  <c r="F198" i="3"/>
  <c r="G198" i="3"/>
  <c r="A199" i="3"/>
  <c r="B199" i="3"/>
  <c r="C199" i="3"/>
  <c r="D199" i="3"/>
  <c r="E199" i="3"/>
  <c r="F199" i="3"/>
  <c r="G199" i="3"/>
  <c r="A200" i="3"/>
  <c r="B200" i="3"/>
  <c r="C200" i="3"/>
  <c r="D200" i="3"/>
  <c r="E200" i="3"/>
  <c r="F200" i="3"/>
  <c r="G200" i="3"/>
  <c r="A201" i="3"/>
  <c r="B201" i="3"/>
  <c r="C201" i="3"/>
  <c r="D201" i="3"/>
  <c r="E201" i="3"/>
  <c r="F201" i="3"/>
  <c r="G201" i="3"/>
  <c r="A202" i="3"/>
  <c r="B202" i="3"/>
  <c r="C202" i="3"/>
  <c r="D202" i="3"/>
  <c r="E202" i="3"/>
  <c r="F202" i="3"/>
  <c r="G202" i="3"/>
  <c r="A203" i="3"/>
  <c r="B203" i="3"/>
  <c r="C203" i="3"/>
  <c r="D203" i="3"/>
  <c r="E203" i="3"/>
  <c r="F203" i="3"/>
  <c r="G203" i="3"/>
  <c r="A204" i="3"/>
  <c r="B204" i="3"/>
  <c r="C204" i="3"/>
  <c r="D204" i="3"/>
  <c r="E204" i="3"/>
  <c r="F204" i="3"/>
  <c r="G204" i="3"/>
  <c r="A205" i="3"/>
  <c r="B205" i="3"/>
  <c r="C205" i="3"/>
  <c r="D205" i="3"/>
  <c r="E205" i="3"/>
  <c r="F205" i="3"/>
  <c r="G205" i="3"/>
  <c r="A206" i="3"/>
  <c r="B206" i="3"/>
  <c r="C206" i="3"/>
  <c r="D206" i="3"/>
  <c r="E206" i="3"/>
  <c r="F206" i="3"/>
  <c r="G206" i="3"/>
  <c r="A207" i="3"/>
  <c r="B207" i="3"/>
  <c r="C207" i="3"/>
  <c r="D207" i="3"/>
  <c r="E207" i="3"/>
  <c r="F207" i="3"/>
  <c r="G207" i="3"/>
  <c r="A208" i="3"/>
  <c r="B208" i="3"/>
  <c r="C208" i="3"/>
  <c r="D208" i="3"/>
  <c r="E208" i="3"/>
  <c r="F208" i="3"/>
  <c r="G208" i="3"/>
  <c r="A209" i="3"/>
  <c r="B209" i="3"/>
  <c r="C209" i="3"/>
  <c r="D209" i="3"/>
  <c r="E209" i="3"/>
  <c r="F209" i="3"/>
  <c r="G209" i="3"/>
  <c r="A210" i="3"/>
  <c r="B210" i="3"/>
  <c r="C210" i="3"/>
  <c r="D210" i="3"/>
  <c r="E210" i="3"/>
  <c r="F210" i="3"/>
  <c r="G210" i="3"/>
  <c r="A211" i="3"/>
  <c r="B211" i="3"/>
  <c r="C211" i="3"/>
  <c r="D211" i="3"/>
  <c r="E211" i="3"/>
  <c r="F211" i="3"/>
  <c r="G211" i="3"/>
  <c r="A212" i="3"/>
  <c r="B212" i="3"/>
  <c r="C212" i="3"/>
  <c r="D212" i="3"/>
  <c r="E212" i="3"/>
  <c r="F212" i="3"/>
  <c r="G212" i="3"/>
  <c r="A213" i="3"/>
  <c r="B213" i="3"/>
  <c r="C213" i="3"/>
  <c r="D213" i="3"/>
  <c r="E213" i="3"/>
  <c r="F213" i="3"/>
  <c r="G213" i="3"/>
  <c r="A214" i="3"/>
  <c r="B214" i="3"/>
  <c r="C214" i="3"/>
  <c r="D214" i="3"/>
  <c r="E214" i="3"/>
  <c r="F214" i="3"/>
  <c r="G214" i="3"/>
  <c r="A215" i="3"/>
  <c r="B215" i="3"/>
  <c r="C215" i="3"/>
  <c r="D215" i="3"/>
  <c r="E215" i="3"/>
  <c r="F215" i="3"/>
  <c r="G215" i="3"/>
  <c r="A216" i="3"/>
  <c r="B216" i="3"/>
  <c r="C216" i="3"/>
  <c r="D216" i="3"/>
  <c r="E216" i="3"/>
  <c r="F216" i="3"/>
  <c r="G216" i="3"/>
  <c r="A217" i="3"/>
  <c r="B217" i="3"/>
  <c r="C217" i="3"/>
  <c r="D217" i="3"/>
  <c r="E217" i="3"/>
  <c r="F217" i="3"/>
  <c r="G217" i="3"/>
  <c r="A218" i="3"/>
  <c r="B218" i="3"/>
  <c r="C218" i="3"/>
  <c r="D218" i="3"/>
  <c r="E218" i="3"/>
  <c r="F218" i="3"/>
  <c r="G218" i="3"/>
  <c r="A219" i="3"/>
  <c r="B219" i="3"/>
  <c r="C219" i="3"/>
  <c r="D219" i="3"/>
  <c r="E219" i="3"/>
  <c r="F219" i="3"/>
  <c r="G219" i="3"/>
  <c r="A220" i="3"/>
  <c r="B220" i="3"/>
  <c r="C220" i="3"/>
  <c r="D220" i="3"/>
  <c r="E220" i="3"/>
  <c r="F220" i="3"/>
  <c r="G220" i="3"/>
  <c r="A221" i="3"/>
  <c r="B221" i="3"/>
  <c r="C221" i="3"/>
  <c r="D221" i="3"/>
  <c r="E221" i="3"/>
  <c r="F221" i="3"/>
  <c r="G221" i="3"/>
  <c r="A222" i="3"/>
  <c r="B222" i="3"/>
  <c r="C222" i="3"/>
  <c r="D222" i="3"/>
  <c r="E222" i="3"/>
  <c r="F222" i="3"/>
  <c r="G222" i="3"/>
  <c r="A223" i="3"/>
  <c r="B223" i="3"/>
  <c r="C223" i="3"/>
  <c r="D223" i="3"/>
  <c r="E223" i="3"/>
  <c r="F223" i="3"/>
  <c r="G223" i="3"/>
  <c r="A224" i="3"/>
  <c r="B224" i="3"/>
  <c r="C224" i="3"/>
  <c r="D224" i="3"/>
  <c r="E224" i="3"/>
  <c r="F224" i="3"/>
  <c r="G224" i="3"/>
  <c r="A225" i="3"/>
  <c r="B225" i="3"/>
  <c r="C225" i="3"/>
  <c r="D225" i="3"/>
  <c r="E225" i="3"/>
  <c r="F225" i="3"/>
  <c r="G225" i="3"/>
  <c r="A226" i="3"/>
  <c r="B226" i="3"/>
  <c r="C226" i="3"/>
  <c r="D226" i="3"/>
  <c r="E226" i="3"/>
  <c r="F226" i="3"/>
  <c r="G226" i="3"/>
  <c r="A227" i="3"/>
  <c r="B227" i="3"/>
  <c r="C227" i="3"/>
  <c r="D227" i="3"/>
  <c r="E227" i="3"/>
  <c r="F227" i="3"/>
  <c r="G227" i="3"/>
  <c r="A228" i="3"/>
  <c r="B228" i="3"/>
  <c r="C228" i="3"/>
  <c r="D228" i="3"/>
  <c r="E228" i="3"/>
  <c r="F228" i="3"/>
  <c r="G228" i="3"/>
  <c r="A229" i="3"/>
  <c r="B229" i="3"/>
  <c r="C229" i="3"/>
  <c r="D229" i="3"/>
  <c r="E229" i="3"/>
  <c r="F229" i="3"/>
  <c r="G229" i="3"/>
  <c r="A230" i="3"/>
  <c r="B230" i="3"/>
  <c r="C230" i="3"/>
  <c r="D230" i="3"/>
  <c r="E230" i="3"/>
  <c r="F230" i="3"/>
  <c r="G230" i="3"/>
  <c r="A231" i="3"/>
  <c r="B231" i="3"/>
  <c r="C231" i="3"/>
  <c r="D231" i="3"/>
  <c r="E231" i="3"/>
  <c r="F231" i="3"/>
  <c r="G231" i="3"/>
  <c r="A232" i="3"/>
  <c r="B232" i="3"/>
  <c r="C232" i="3"/>
  <c r="D232" i="3"/>
  <c r="E232" i="3"/>
  <c r="F232" i="3"/>
  <c r="G232" i="3"/>
  <c r="A233" i="3"/>
  <c r="B233" i="3"/>
  <c r="C233" i="3"/>
  <c r="D233" i="3"/>
  <c r="E233" i="3"/>
  <c r="F233" i="3"/>
  <c r="G233" i="3"/>
  <c r="A234" i="3"/>
  <c r="B234" i="3"/>
  <c r="C234" i="3"/>
  <c r="D234" i="3"/>
  <c r="E234" i="3"/>
  <c r="F234" i="3"/>
  <c r="G234" i="3"/>
  <c r="A235" i="3"/>
  <c r="B235" i="3"/>
  <c r="C235" i="3"/>
  <c r="D235" i="3"/>
  <c r="E235" i="3"/>
  <c r="F235" i="3"/>
  <c r="G235" i="3"/>
  <c r="A236" i="3"/>
  <c r="B236" i="3"/>
  <c r="C236" i="3"/>
  <c r="D236" i="3"/>
  <c r="E236" i="3"/>
  <c r="F236" i="3"/>
  <c r="G236" i="3"/>
  <c r="AB66" i="5"/>
  <c r="AB68" i="5"/>
  <c r="AB11" i="5"/>
  <c r="AB12" i="5"/>
  <c r="AB13" i="5"/>
  <c r="AB14" i="5"/>
  <c r="AB15" i="5"/>
  <c r="AB16" i="5"/>
  <c r="AB17" i="5"/>
  <c r="AB18" i="5"/>
  <c r="AB19" i="5"/>
  <c r="AB20" i="5"/>
  <c r="AB73" i="5"/>
  <c r="AB90" i="5"/>
  <c r="H41" i="4"/>
  <c r="AA59" i="5"/>
  <c r="AB75" i="5"/>
  <c r="AB89" i="5"/>
  <c r="AB77" i="5"/>
  <c r="AB97" i="5"/>
  <c r="H87" i="4"/>
  <c r="H9" i="4"/>
  <c r="H97" i="4"/>
  <c r="H89" i="4"/>
  <c r="H86" i="4"/>
  <c r="H81" i="4"/>
  <c r="H60" i="4"/>
  <c r="H56" i="4"/>
  <c r="N52" i="4"/>
  <c r="A52" i="4"/>
  <c r="A60" i="4"/>
  <c r="A56" i="4"/>
  <c r="H52" i="4"/>
  <c r="AB124" i="5"/>
  <c r="AB123" i="5"/>
  <c r="AB88" i="5"/>
  <c r="AB126" i="5"/>
  <c r="AB130" i="5"/>
  <c r="AB131" i="5"/>
  <c r="AB87" i="5"/>
  <c r="AB134" i="5"/>
  <c r="AB117" i="5"/>
  <c r="AB86" i="5"/>
  <c r="AB53" i="5"/>
  <c r="AB137" i="5"/>
  <c r="AB52" i="5"/>
  <c r="AB115" i="5"/>
  <c r="AB139" i="5"/>
  <c r="AB108" i="5"/>
  <c r="AB107" i="5"/>
  <c r="AB106" i="5"/>
  <c r="AB45" i="5"/>
  <c r="AB83" i="5"/>
  <c r="AB101" i="5"/>
  <c r="AB38" i="5"/>
  <c r="AB39" i="5"/>
  <c r="AB76" i="5"/>
  <c r="AB35" i="5"/>
  <c r="AB36" i="5"/>
  <c r="AB156" i="5"/>
  <c r="AB157" i="5"/>
  <c r="A12" i="1"/>
  <c r="AR66" i="5"/>
  <c r="AJ66" i="5"/>
  <c r="AR149" i="5"/>
  <c r="C19" i="3"/>
  <c r="AR74" i="5"/>
  <c r="AJ74" i="5"/>
  <c r="AR72" i="5"/>
  <c r="AJ72" i="5"/>
  <c r="AR67" i="5"/>
  <c r="AJ94" i="5"/>
  <c r="C10" i="3"/>
  <c r="AJ70" i="5"/>
  <c r="I8" i="2"/>
  <c r="J8" i="2" s="1"/>
  <c r="AJ82" i="5"/>
  <c r="AJ67" i="5"/>
  <c r="AJ96" i="5"/>
  <c r="AR322" i="5"/>
  <c r="AJ322" i="5"/>
  <c r="AR241" i="5"/>
  <c r="AJ241" i="5"/>
  <c r="AR75" i="5"/>
  <c r="AJ75" i="5"/>
  <c r="AR73" i="5"/>
  <c r="AJ73" i="5"/>
  <c r="AR68" i="5"/>
  <c r="AJ68" i="5"/>
  <c r="AR10" i="5"/>
  <c r="AJ148" i="5"/>
  <c r="AR329" i="5"/>
  <c r="AJ329" i="5"/>
  <c r="AR328" i="5"/>
  <c r="AJ328" i="5"/>
  <c r="AR327" i="5"/>
  <c r="AJ327" i="5"/>
  <c r="AR326" i="5"/>
  <c r="AJ326" i="5"/>
  <c r="AR325" i="5"/>
  <c r="AJ325" i="5"/>
  <c r="AR399" i="5"/>
  <c r="AJ399" i="5"/>
  <c r="AR398" i="5"/>
  <c r="AJ398" i="5"/>
  <c r="AR397" i="5"/>
  <c r="AJ397" i="5"/>
  <c r="AR396" i="5"/>
  <c r="AJ396" i="5"/>
  <c r="AR395" i="5"/>
  <c r="AJ395" i="5"/>
  <c r="AR394" i="5"/>
  <c r="AJ394" i="5"/>
  <c r="AR44" i="5"/>
  <c r="AJ44" i="5"/>
  <c r="AR11" i="5"/>
  <c r="AJ59" i="5"/>
  <c r="A6" i="2"/>
  <c r="K15" i="1"/>
  <c r="AR185" i="5"/>
  <c r="AJ185" i="5"/>
  <c r="AA62" i="5"/>
  <c r="AD62" i="5"/>
  <c r="AA63" i="5"/>
  <c r="AD63" i="5"/>
  <c r="AA64" i="5"/>
  <c r="AD64" i="5"/>
  <c r="AA65" i="5"/>
  <c r="AD65" i="5"/>
  <c r="AA69" i="5"/>
  <c r="AD69" i="5"/>
  <c r="AA92" i="5"/>
  <c r="AD92" i="5"/>
  <c r="AA91" i="5"/>
  <c r="AD91" i="5"/>
  <c r="AA61" i="5"/>
  <c r="AD61" i="5"/>
  <c r="AA60" i="5"/>
  <c r="AD60" i="5"/>
  <c r="AA127" i="5"/>
  <c r="AD127" i="5"/>
  <c r="AA80" i="5"/>
  <c r="AD80" i="5"/>
  <c r="AA81" i="5"/>
  <c r="AD81" i="5"/>
  <c r="AA93" i="5"/>
  <c r="AD93" i="5"/>
  <c r="AA94" i="5"/>
  <c r="AD94" i="5"/>
  <c r="AA95" i="5"/>
  <c r="AD95" i="5"/>
  <c r="AA96" i="5"/>
  <c r="AD96" i="5"/>
  <c r="AA98" i="5"/>
  <c r="AD98" i="5"/>
  <c r="AA128" i="5"/>
  <c r="AD128" i="5"/>
  <c r="AA129" i="5"/>
  <c r="AD129" i="5"/>
  <c r="AA58" i="5"/>
  <c r="AD58" i="5"/>
  <c r="AA125" i="5"/>
  <c r="AD125" i="5"/>
  <c r="AA122" i="5"/>
  <c r="AD122" i="5"/>
  <c r="AA132" i="5"/>
  <c r="AD132" i="5"/>
  <c r="AA120" i="5"/>
  <c r="AD120" i="5"/>
  <c r="AA119" i="5"/>
  <c r="AD119" i="5"/>
  <c r="AA121" i="5"/>
  <c r="AD121" i="5"/>
  <c r="AA133" i="5"/>
  <c r="AD133" i="5"/>
  <c r="AA55" i="5"/>
  <c r="AD55" i="5"/>
  <c r="AA56" i="5"/>
  <c r="AD56" i="5"/>
  <c r="AA57" i="5"/>
  <c r="AD57" i="5"/>
  <c r="AA118" i="5"/>
  <c r="AD118" i="5"/>
  <c r="AA135" i="5"/>
  <c r="AD135" i="5"/>
  <c r="AA116" i="5"/>
  <c r="AD116" i="5"/>
  <c r="D11" i="3" s="1"/>
  <c r="AA136" i="5"/>
  <c r="AD136" i="5"/>
  <c r="AA54" i="5"/>
  <c r="AD54" i="5"/>
  <c r="AA114" i="5"/>
  <c r="AD114" i="5"/>
  <c r="AA50" i="5"/>
  <c r="AD50" i="5"/>
  <c r="AA51" i="5"/>
  <c r="AD51" i="5"/>
  <c r="AA138" i="5"/>
  <c r="AD138" i="5"/>
  <c r="AA112" i="5"/>
  <c r="AD112" i="5"/>
  <c r="AA113" i="5"/>
  <c r="AD113" i="5"/>
  <c r="AA85" i="5"/>
  <c r="AD85" i="5"/>
  <c r="AA111" i="5"/>
  <c r="AD111" i="5"/>
  <c r="AA49" i="5"/>
  <c r="AD49" i="5"/>
  <c r="AA110" i="5"/>
  <c r="AD110" i="5"/>
  <c r="AA140" i="5"/>
  <c r="AD140" i="5"/>
  <c r="D14" i="3" s="1"/>
  <c r="AA48" i="5"/>
  <c r="AD48" i="5"/>
  <c r="AA141" i="5"/>
  <c r="AD141" i="5"/>
  <c r="AA142" i="5"/>
  <c r="AD142" i="5"/>
  <c r="AA47" i="5"/>
  <c r="AD47" i="5"/>
  <c r="AA84" i="5"/>
  <c r="AD84" i="5"/>
  <c r="AA109" i="5"/>
  <c r="AD109" i="5"/>
  <c r="AA143" i="5"/>
  <c r="AD143" i="5"/>
  <c r="AA46" i="5"/>
  <c r="AD46" i="5"/>
  <c r="AA144" i="5"/>
  <c r="AD144" i="5"/>
  <c r="AA104" i="5"/>
  <c r="AD104" i="5"/>
  <c r="AA44" i="5"/>
  <c r="AD44" i="5"/>
  <c r="AA145" i="5"/>
  <c r="AD145" i="5"/>
  <c r="AA102" i="5"/>
  <c r="AD102" i="5"/>
  <c r="AA103" i="5"/>
  <c r="AD103" i="5"/>
  <c r="AA43" i="5"/>
  <c r="AD43" i="5"/>
  <c r="AA146" i="5"/>
  <c r="AD146" i="5"/>
  <c r="D17" i="3" s="1"/>
  <c r="AA42" i="5"/>
  <c r="AD42" i="5"/>
  <c r="AA41" i="5"/>
  <c r="AD41" i="5"/>
  <c r="AA147" i="5"/>
  <c r="AD147" i="5"/>
  <c r="AA82" i="5"/>
  <c r="AD82" i="5"/>
  <c r="AA148" i="5"/>
  <c r="AD148" i="5"/>
  <c r="AA99" i="5"/>
  <c r="AD99" i="5"/>
  <c r="AA79" i="5"/>
  <c r="AD79" i="5"/>
  <c r="AA100" i="5"/>
  <c r="AD100" i="5"/>
  <c r="AA40" i="5"/>
  <c r="AD40" i="5"/>
  <c r="AA78" i="5"/>
  <c r="AD78" i="5"/>
  <c r="AA149" i="5"/>
  <c r="AD149" i="5"/>
  <c r="AA150" i="5"/>
  <c r="AD150" i="5"/>
  <c r="AA74" i="5"/>
  <c r="AD74" i="5"/>
  <c r="AA72" i="5"/>
  <c r="AD72" i="5"/>
  <c r="AA151" i="5"/>
  <c r="AD151" i="5"/>
  <c r="AA71" i="5"/>
  <c r="AD71" i="5"/>
  <c r="AA152" i="5"/>
  <c r="AD152" i="5"/>
  <c r="AA153" i="5"/>
  <c r="AD153" i="5"/>
  <c r="AA37" i="5"/>
  <c r="AD37" i="5"/>
  <c r="AA70" i="5"/>
  <c r="AD70" i="5"/>
  <c r="AA67" i="5"/>
  <c r="AD67" i="5"/>
  <c r="AA154" i="5"/>
  <c r="AD154" i="5"/>
  <c r="D20" i="3" s="1"/>
  <c r="AA155" i="5"/>
  <c r="AD155" i="5"/>
  <c r="D21" i="3" s="1"/>
  <c r="AC31" i="5" l="1"/>
  <c r="AP31" i="5"/>
  <c r="AC30" i="5"/>
  <c r="AP30" i="5"/>
  <c r="AC32" i="5"/>
  <c r="AP32" i="5"/>
  <c r="AC34" i="5"/>
  <c r="AP34" i="5"/>
  <c r="AB59" i="5"/>
  <c r="G21" i="2"/>
  <c r="C21" i="2"/>
  <c r="F20" i="2"/>
  <c r="C20" i="2"/>
  <c r="A19" i="2"/>
  <c r="E19" i="2" s="1"/>
  <c r="D18" i="2"/>
  <c r="G17" i="2"/>
  <c r="C17" i="2"/>
  <c r="G16" i="2"/>
  <c r="C16" i="2"/>
  <c r="G15" i="2"/>
  <c r="D15" i="2"/>
  <c r="A15" i="2"/>
  <c r="E15" i="2" s="1"/>
  <c r="F11" i="2"/>
  <c r="B11" i="2"/>
  <c r="F10" i="2"/>
  <c r="C10" i="2"/>
  <c r="G59" i="2"/>
  <c r="F59" i="2"/>
  <c r="D59" i="2"/>
  <c r="C59" i="2"/>
  <c r="B59" i="2"/>
  <c r="A59" i="2"/>
  <c r="E59" i="2" s="1"/>
  <c r="G58" i="2"/>
  <c r="F58" i="2"/>
  <c r="D58" i="2"/>
  <c r="C58" i="2"/>
  <c r="B58" i="2"/>
  <c r="A58" i="2"/>
  <c r="E58" i="2" s="1"/>
  <c r="G57" i="2"/>
  <c r="F57" i="2"/>
  <c r="D57" i="2"/>
  <c r="C57" i="2"/>
  <c r="B57" i="2"/>
  <c r="A57" i="2"/>
  <c r="E57" i="2" s="1"/>
  <c r="G56" i="2"/>
  <c r="F56" i="2"/>
  <c r="D56" i="2"/>
  <c r="C56" i="2"/>
  <c r="B56" i="2"/>
  <c r="A56" i="2"/>
  <c r="E56" i="2" s="1"/>
  <c r="G55" i="2"/>
  <c r="F55" i="2"/>
  <c r="D55" i="2"/>
  <c r="C55" i="2"/>
  <c r="B55" i="2"/>
  <c r="A55" i="2"/>
  <c r="E55" i="2" s="1"/>
  <c r="G54" i="2"/>
  <c r="F54" i="2"/>
  <c r="D54" i="2"/>
  <c r="C54" i="2"/>
  <c r="B54" i="2"/>
  <c r="A54" i="2"/>
  <c r="E54" i="2" s="1"/>
  <c r="G53" i="2"/>
  <c r="F53" i="2"/>
  <c r="D53" i="2"/>
  <c r="C53" i="2"/>
  <c r="B53" i="2"/>
  <c r="A53" i="2"/>
  <c r="E53" i="2" s="1"/>
  <c r="G52" i="2"/>
  <c r="F52" i="2"/>
  <c r="D52" i="2"/>
  <c r="C52" i="2"/>
  <c r="B52" i="2"/>
  <c r="A52" i="2"/>
  <c r="E52" i="2" s="1"/>
  <c r="G51" i="2"/>
  <c r="F51" i="2"/>
  <c r="D51" i="2"/>
  <c r="C51" i="2"/>
  <c r="B51" i="2"/>
  <c r="A51" i="2"/>
  <c r="E51" i="2" s="1"/>
  <c r="G50" i="2"/>
  <c r="F50" i="2"/>
  <c r="D50" i="2"/>
  <c r="C50" i="2"/>
  <c r="B50" i="2"/>
  <c r="A50" i="2"/>
  <c r="E50" i="2" s="1"/>
  <c r="G49" i="2"/>
  <c r="F49" i="2"/>
  <c r="D49" i="2"/>
  <c r="C49" i="2"/>
  <c r="B49" i="2"/>
  <c r="A49" i="2"/>
  <c r="E49" i="2" s="1"/>
  <c r="G48" i="2"/>
  <c r="F48" i="2"/>
  <c r="D48" i="2"/>
  <c r="C48" i="2"/>
  <c r="B48" i="2"/>
  <c r="A48" i="2"/>
  <c r="E48" i="2" s="1"/>
  <c r="G47" i="2"/>
  <c r="F47" i="2"/>
  <c r="D47" i="2"/>
  <c r="C47" i="2"/>
  <c r="B47" i="2"/>
  <c r="A47" i="2"/>
  <c r="E47" i="2" s="1"/>
  <c r="G46" i="2"/>
  <c r="F46" i="2"/>
  <c r="D46" i="2"/>
  <c r="C46" i="2"/>
  <c r="B46" i="2"/>
  <c r="A46" i="2"/>
  <c r="E46" i="2" s="1"/>
  <c r="G45" i="2"/>
  <c r="F45" i="2"/>
  <c r="D45" i="2"/>
  <c r="C45" i="2"/>
  <c r="B45" i="2"/>
  <c r="A45" i="2"/>
  <c r="E45" i="2" s="1"/>
  <c r="G44" i="2"/>
  <c r="F44" i="2"/>
  <c r="D44" i="2"/>
  <c r="C44" i="2"/>
  <c r="B44" i="2"/>
  <c r="A44" i="2"/>
  <c r="E44" i="2" s="1"/>
  <c r="G43" i="2"/>
  <c r="F43" i="2"/>
  <c r="D43" i="2"/>
  <c r="C43" i="2"/>
  <c r="B43" i="2"/>
  <c r="A43" i="2"/>
  <c r="E43" i="2" s="1"/>
  <c r="G42" i="2"/>
  <c r="F42" i="2"/>
  <c r="D42" i="2"/>
  <c r="C42" i="2"/>
  <c r="B42" i="2"/>
  <c r="A42" i="2"/>
  <c r="E42" i="2" s="1"/>
  <c r="G41" i="2"/>
  <c r="F41" i="2"/>
  <c r="D41" i="2"/>
  <c r="C41" i="2"/>
  <c r="B41" i="2"/>
  <c r="A41" i="2"/>
  <c r="E41" i="2" s="1"/>
  <c r="G40" i="2"/>
  <c r="F40" i="2"/>
  <c r="D40" i="2"/>
  <c r="C40" i="2"/>
  <c r="B40" i="2"/>
  <c r="A40" i="2"/>
  <c r="E40" i="2" s="1"/>
  <c r="G39" i="2"/>
  <c r="F39" i="2"/>
  <c r="D39" i="2"/>
  <c r="C39" i="2"/>
  <c r="B39" i="2"/>
  <c r="A39" i="2"/>
  <c r="E39" i="2" s="1"/>
  <c r="G38" i="2"/>
  <c r="F38" i="2"/>
  <c r="D38" i="2"/>
  <c r="C38" i="2"/>
  <c r="A21" i="2"/>
  <c r="E21" i="2" s="1"/>
  <c r="A20" i="2"/>
  <c r="E20" i="2" s="1"/>
  <c r="F19" i="2"/>
  <c r="C19" i="2"/>
  <c r="G18" i="2"/>
  <c r="B18" i="2"/>
  <c r="A18" i="2"/>
  <c r="E18" i="2" s="1"/>
  <c r="B17" i="2"/>
  <c r="F16" i="2"/>
  <c r="D16" i="2"/>
  <c r="A16" i="2"/>
  <c r="E16" i="2" s="1"/>
  <c r="F15" i="2"/>
  <c r="C15" i="2"/>
  <c r="G14" i="2"/>
  <c r="D14" i="2"/>
  <c r="B14" i="2"/>
  <c r="A14" i="2"/>
  <c r="E14" i="2" s="1"/>
  <c r="F13" i="2"/>
  <c r="D13" i="2"/>
  <c r="B13" i="2"/>
  <c r="G12" i="2"/>
  <c r="C12" i="2"/>
  <c r="A12" i="2"/>
  <c r="E12" i="2" s="1"/>
  <c r="G10" i="2"/>
  <c r="B10" i="2"/>
  <c r="B38" i="2"/>
  <c r="A38" i="2"/>
  <c r="E38" i="2" s="1"/>
  <c r="G37" i="2"/>
  <c r="F37" i="2"/>
  <c r="D37" i="2"/>
  <c r="C37" i="2"/>
  <c r="B37" i="2"/>
  <c r="A37" i="2"/>
  <c r="E37" i="2" s="1"/>
  <c r="G36" i="2"/>
  <c r="F36" i="2"/>
  <c r="D36" i="2"/>
  <c r="C36" i="2"/>
  <c r="B36" i="2"/>
  <c r="A36" i="2"/>
  <c r="E36" i="2" s="1"/>
  <c r="G35" i="2"/>
  <c r="F35" i="2"/>
  <c r="D35" i="2"/>
  <c r="C35" i="2"/>
  <c r="B35" i="2"/>
  <c r="A35" i="2"/>
  <c r="E35" i="2" s="1"/>
  <c r="G34" i="2"/>
  <c r="F34" i="2"/>
  <c r="D34" i="2"/>
  <c r="C34" i="2"/>
  <c r="B34" i="2"/>
  <c r="A34" i="2"/>
  <c r="E34" i="2" s="1"/>
  <c r="G33" i="2"/>
  <c r="F33" i="2"/>
  <c r="D33" i="2"/>
  <c r="C33" i="2"/>
  <c r="B33" i="2"/>
  <c r="A33" i="2"/>
  <c r="E33" i="2" s="1"/>
  <c r="G32" i="2"/>
  <c r="F32" i="2"/>
  <c r="D32" i="2"/>
  <c r="C32" i="2"/>
  <c r="B32" i="2"/>
  <c r="A32" i="2"/>
  <c r="E32" i="2" s="1"/>
  <c r="G31" i="2"/>
  <c r="F31" i="2"/>
  <c r="D31" i="2"/>
  <c r="C31" i="2"/>
  <c r="B31" i="2"/>
  <c r="A31" i="2"/>
  <c r="E31" i="2" s="1"/>
  <c r="G30" i="2"/>
  <c r="F30" i="2"/>
  <c r="D30" i="2"/>
  <c r="C30" i="2"/>
  <c r="B30" i="2"/>
  <c r="A30" i="2"/>
  <c r="E30" i="2" s="1"/>
  <c r="G29" i="2"/>
  <c r="F29" i="2"/>
  <c r="D29" i="2"/>
  <c r="C29" i="2"/>
  <c r="B29" i="2"/>
  <c r="A29" i="2"/>
  <c r="E29" i="2" s="1"/>
  <c r="G28" i="2"/>
  <c r="F28" i="2"/>
  <c r="D28" i="2"/>
  <c r="C28" i="2"/>
  <c r="B28" i="2"/>
  <c r="A28" i="2"/>
  <c r="E28" i="2" s="1"/>
  <c r="G27" i="2"/>
  <c r="F27" i="2"/>
  <c r="D27" i="2"/>
  <c r="C27" i="2"/>
  <c r="B27" i="2"/>
  <c r="A27" i="2"/>
  <c r="E27" i="2" s="1"/>
  <c r="G26" i="2"/>
  <c r="F26" i="2"/>
  <c r="D26" i="2"/>
  <c r="C26" i="2"/>
  <c r="B26" i="2"/>
  <c r="A26" i="2"/>
  <c r="E26" i="2" s="1"/>
  <c r="G25" i="2"/>
  <c r="F25" i="2"/>
  <c r="D25" i="2"/>
  <c r="C25" i="2"/>
  <c r="B25" i="2"/>
  <c r="A25" i="2"/>
  <c r="E25" i="2" s="1"/>
  <c r="G24" i="2"/>
  <c r="F24" i="2"/>
  <c r="D24" i="2"/>
  <c r="C24" i="2"/>
  <c r="B24" i="2"/>
  <c r="A24" i="2"/>
  <c r="E24" i="2" s="1"/>
  <c r="G23" i="2"/>
  <c r="F23" i="2"/>
  <c r="D23" i="2"/>
  <c r="C23" i="2"/>
  <c r="B23" i="2"/>
  <c r="A23" i="2"/>
  <c r="E23" i="2" s="1"/>
  <c r="G22" i="2"/>
  <c r="F22" i="2"/>
  <c r="D22" i="2"/>
  <c r="C22" i="2"/>
  <c r="B22" i="2"/>
  <c r="A22" i="2"/>
  <c r="E22" i="2" s="1"/>
  <c r="F21" i="2"/>
  <c r="D21" i="2"/>
  <c r="B21" i="2"/>
  <c r="G20" i="2"/>
  <c r="D20" i="2"/>
  <c r="B20" i="2"/>
  <c r="G19" i="2"/>
  <c r="D19" i="2"/>
  <c r="B19" i="2"/>
  <c r="F18" i="2"/>
  <c r="C18" i="2"/>
  <c r="F17" i="2"/>
  <c r="D17" i="2"/>
  <c r="A17" i="2"/>
  <c r="E17" i="2" s="1"/>
  <c r="B16" i="2"/>
  <c r="B15" i="2"/>
  <c r="F14" i="2"/>
  <c r="C14" i="2"/>
  <c r="G13" i="2"/>
  <c r="C13" i="2"/>
  <c r="A13" i="2"/>
  <c r="E13" i="2" s="1"/>
  <c r="F12" i="2"/>
  <c r="D12" i="2"/>
  <c r="B12" i="2"/>
  <c r="G11" i="2"/>
  <c r="D11" i="2"/>
  <c r="C11" i="2"/>
  <c r="A11" i="2"/>
  <c r="E11" i="2" s="1"/>
  <c r="D10" i="2"/>
  <c r="A10" i="2"/>
  <c r="E10" i="2" s="1"/>
  <c r="AB62" i="5"/>
  <c r="AB63" i="5"/>
  <c r="AB64" i="5"/>
  <c r="AB65" i="5"/>
  <c r="AB69" i="5"/>
  <c r="AB92" i="5"/>
  <c r="AB91" i="5"/>
  <c r="AB61" i="5"/>
  <c r="AB60" i="5"/>
  <c r="AB127" i="5"/>
  <c r="AB80" i="5"/>
  <c r="AB81" i="5"/>
  <c r="AB93" i="5"/>
  <c r="AB94" i="5"/>
  <c r="AB95" i="5"/>
  <c r="AB96" i="5"/>
  <c r="AB98" i="5"/>
  <c r="AB128" i="5"/>
  <c r="AB129" i="5"/>
  <c r="AB58" i="5"/>
  <c r="AB125" i="5"/>
  <c r="AB122" i="5"/>
  <c r="AB132" i="5"/>
  <c r="AB120" i="5"/>
  <c r="AB119" i="5"/>
  <c r="AB121" i="5"/>
  <c r="AB133" i="5"/>
  <c r="AB55" i="5"/>
  <c r="AB56" i="5"/>
  <c r="AB57" i="5"/>
  <c r="AB118" i="5"/>
  <c r="AB135" i="5"/>
  <c r="AB116" i="5"/>
  <c r="AB136" i="5"/>
  <c r="AB54" i="5"/>
  <c r="AB114" i="5"/>
  <c r="AB50" i="5"/>
  <c r="AB51" i="5"/>
  <c r="AB138" i="5"/>
  <c r="AP138" i="5" s="1"/>
  <c r="AC138" i="5"/>
  <c r="AB112" i="5"/>
  <c r="AP112" i="5" s="1"/>
  <c r="AC112" i="5"/>
  <c r="AB113" i="5"/>
  <c r="AP113" i="5" s="1"/>
  <c r="AC113" i="5"/>
  <c r="AB85" i="5"/>
  <c r="AP85" i="5" s="1"/>
  <c r="AC85" i="5"/>
  <c r="AB111" i="5"/>
  <c r="AP111" i="5" s="1"/>
  <c r="AC111" i="5"/>
  <c r="AB49" i="5"/>
  <c r="AP49" i="5" s="1"/>
  <c r="AC49" i="5"/>
  <c r="AB110" i="5"/>
  <c r="AP110" i="5" s="1"/>
  <c r="AC110" i="5"/>
  <c r="AB140" i="5"/>
  <c r="AP140" i="5" s="1"/>
  <c r="AC140" i="5"/>
  <c r="AB48" i="5"/>
  <c r="AP48" i="5" s="1"/>
  <c r="AC48" i="5"/>
  <c r="AB141" i="5"/>
  <c r="AP141" i="5" s="1"/>
  <c r="AC141" i="5"/>
  <c r="AB142" i="5"/>
  <c r="AP142" i="5" s="1"/>
  <c r="AC142" i="5"/>
  <c r="AB47" i="5"/>
  <c r="AP47" i="5" s="1"/>
  <c r="AC47" i="5"/>
  <c r="AB84" i="5"/>
  <c r="AP84" i="5" s="1"/>
  <c r="AC84" i="5"/>
  <c r="AB109" i="5"/>
  <c r="AP109" i="5" s="1"/>
  <c r="AC109" i="5"/>
  <c r="AB143" i="5"/>
  <c r="AP143" i="5" s="1"/>
  <c r="AC143" i="5"/>
  <c r="AB46" i="5"/>
  <c r="AB144" i="5"/>
  <c r="AB104" i="5"/>
  <c r="AB44" i="5"/>
  <c r="AB145" i="5"/>
  <c r="AP145" i="5" s="1"/>
  <c r="AC145" i="5"/>
  <c r="AB102" i="5"/>
  <c r="AP102" i="5" s="1"/>
  <c r="AC102" i="5"/>
  <c r="AB103" i="5"/>
  <c r="AB43" i="5"/>
  <c r="AP43" i="5" s="1"/>
  <c r="AC43" i="5"/>
  <c r="AB146" i="5"/>
  <c r="AP146" i="5" s="1"/>
  <c r="AC146" i="5"/>
  <c r="AB42" i="5"/>
  <c r="AP42" i="5" s="1"/>
  <c r="AC42" i="5"/>
  <c r="AB41" i="5"/>
  <c r="AB147" i="5"/>
  <c r="AB82" i="5"/>
  <c r="AB148" i="5"/>
  <c r="AP148" i="5" s="1"/>
  <c r="AC148" i="5"/>
  <c r="AB99" i="5"/>
  <c r="AP99" i="5" s="1"/>
  <c r="AC99" i="5"/>
  <c r="AB79" i="5"/>
  <c r="AB100" i="5"/>
  <c r="AP100" i="5" s="1"/>
  <c r="AC100" i="5"/>
  <c r="AB40" i="5"/>
  <c r="AB78" i="5"/>
  <c r="AB149" i="5"/>
  <c r="AB150" i="5"/>
  <c r="AB74" i="5"/>
  <c r="AB72" i="5"/>
  <c r="AB151" i="5"/>
  <c r="AB71" i="5"/>
  <c r="AB152" i="5"/>
  <c r="AB153" i="5"/>
  <c r="AB37" i="5"/>
  <c r="A19" i="1"/>
  <c r="D10" i="3"/>
  <c r="AB70" i="5"/>
  <c r="AB67" i="5"/>
  <c r="AB154" i="5"/>
  <c r="AB155" i="5"/>
  <c r="D12" i="3"/>
  <c r="D15" i="3"/>
  <c r="D16" i="3"/>
  <c r="D18" i="3"/>
  <c r="D19" i="3"/>
  <c r="AP66" i="5"/>
  <c r="AC66" i="5"/>
  <c r="AP68" i="5"/>
  <c r="AC68" i="5"/>
  <c r="AP11" i="5"/>
  <c r="AC11" i="5"/>
  <c r="AP12" i="5"/>
  <c r="AC12" i="5"/>
  <c r="AP13" i="5"/>
  <c r="AC13" i="5"/>
  <c r="AP14" i="5"/>
  <c r="AC14" i="5"/>
  <c r="AP15" i="5"/>
  <c r="AC15" i="5"/>
  <c r="AP16" i="5"/>
  <c r="AC16" i="5"/>
  <c r="AP17" i="5"/>
  <c r="AC17" i="5"/>
  <c r="AP18" i="5"/>
  <c r="AC18" i="5"/>
  <c r="AP19" i="5"/>
  <c r="AC19" i="5"/>
  <c r="AP20" i="5"/>
  <c r="AC20" i="5"/>
  <c r="AP73" i="5"/>
  <c r="AC73" i="5"/>
  <c r="AP10" i="5"/>
  <c r="AC10" i="5"/>
  <c r="AP90" i="5"/>
  <c r="AC90" i="5"/>
  <c r="AP75" i="5"/>
  <c r="AC75" i="5"/>
  <c r="AP89" i="5"/>
  <c r="AC89" i="5"/>
  <c r="AP77" i="5"/>
  <c r="AC77" i="5"/>
  <c r="AP97" i="5"/>
  <c r="AC97" i="5"/>
  <c r="AP124" i="5"/>
  <c r="AC124" i="5"/>
  <c r="AP123" i="5"/>
  <c r="AC123" i="5"/>
  <c r="AP88" i="5"/>
  <c r="AC88" i="5"/>
  <c r="AP126" i="5"/>
  <c r="AC126" i="5"/>
  <c r="AP130" i="5"/>
  <c r="AC130" i="5"/>
  <c r="AP131" i="5"/>
  <c r="AC131" i="5"/>
  <c r="AP87" i="5"/>
  <c r="AC87" i="5"/>
  <c r="AP134" i="5"/>
  <c r="AC134" i="5"/>
  <c r="AP117" i="5"/>
  <c r="AC117" i="5"/>
  <c r="AP86" i="5"/>
  <c r="AC86" i="5"/>
  <c r="AP53" i="5"/>
  <c r="AC53" i="5"/>
  <c r="AP137" i="5"/>
  <c r="AC137" i="5"/>
  <c r="AP52" i="5"/>
  <c r="AC52" i="5"/>
  <c r="AP115" i="5"/>
  <c r="AC115" i="5"/>
  <c r="AP139" i="5"/>
  <c r="AC139" i="5"/>
  <c r="AP108" i="5"/>
  <c r="AC108" i="5"/>
  <c r="AP107" i="5"/>
  <c r="AC107" i="5"/>
  <c r="AP106" i="5"/>
  <c r="AC106" i="5"/>
  <c r="AP45" i="5"/>
  <c r="AC45" i="5"/>
  <c r="AP83" i="5"/>
  <c r="AC83" i="5"/>
  <c r="AP101" i="5"/>
  <c r="AC101" i="5"/>
  <c r="AP38" i="5"/>
  <c r="AC38" i="5"/>
  <c r="AP39" i="5"/>
  <c r="AC39" i="5"/>
  <c r="AP76" i="5"/>
  <c r="AC76" i="5"/>
  <c r="AP35" i="5"/>
  <c r="AC35" i="5"/>
  <c r="AP36" i="5"/>
  <c r="AC36" i="5"/>
  <c r="AP156" i="5"/>
  <c r="AC156" i="5"/>
  <c r="AP157" i="5"/>
  <c r="AC157" i="5"/>
  <c r="AP46" i="5" l="1"/>
  <c r="AC46" i="5"/>
  <c r="AP70" i="5"/>
  <c r="AC70" i="5"/>
  <c r="AP144" i="5"/>
  <c r="AC144" i="5"/>
  <c r="AP155" i="5"/>
  <c r="AC155" i="5"/>
  <c r="AP104" i="5"/>
  <c r="AC104" i="5"/>
  <c r="AP44" i="5"/>
  <c r="AC44" i="5"/>
  <c r="AP79" i="5"/>
  <c r="AC79" i="5"/>
  <c r="AP40" i="5"/>
  <c r="AC40" i="5"/>
  <c r="AP78" i="5"/>
  <c r="AC78" i="5"/>
  <c r="AP149" i="5"/>
  <c r="AC149" i="5"/>
  <c r="AP150" i="5"/>
  <c r="AC150" i="5"/>
  <c r="AP74" i="5"/>
  <c r="AC74" i="5"/>
  <c r="AP72" i="5"/>
  <c r="AC72" i="5"/>
  <c r="AP151" i="5"/>
  <c r="AC151" i="5"/>
  <c r="AP71" i="5"/>
  <c r="AC71" i="5"/>
  <c r="AP152" i="5"/>
  <c r="AC152" i="5"/>
  <c r="AP153" i="5"/>
  <c r="AC153" i="5"/>
  <c r="AP37" i="5"/>
  <c r="AC37" i="5"/>
  <c r="AP41" i="5"/>
  <c r="AC41" i="5"/>
  <c r="AP67" i="5"/>
  <c r="AC67" i="5"/>
  <c r="AP154" i="5"/>
  <c r="AC154" i="5"/>
  <c r="AP51" i="5"/>
  <c r="AC51" i="5"/>
  <c r="AP82" i="5"/>
  <c r="AC82" i="5"/>
  <c r="AP135" i="5"/>
  <c r="AC135" i="5"/>
  <c r="AP116" i="5"/>
  <c r="AC116" i="5"/>
  <c r="AP136" i="5"/>
  <c r="AC136" i="5"/>
  <c r="AP54" i="5"/>
  <c r="AC54" i="5"/>
  <c r="AP114" i="5"/>
  <c r="AC114" i="5"/>
  <c r="AP50" i="5"/>
  <c r="AC50" i="5"/>
  <c r="AP147" i="5"/>
  <c r="AC147" i="5"/>
  <c r="AP63" i="5"/>
  <c r="AC63" i="5"/>
  <c r="AP64" i="5"/>
  <c r="AC64" i="5"/>
  <c r="AP65" i="5"/>
  <c r="AC65" i="5"/>
  <c r="AP69" i="5"/>
  <c r="AC69" i="5"/>
  <c r="AP92" i="5"/>
  <c r="AC92" i="5"/>
  <c r="AP91" i="5"/>
  <c r="AC91" i="5"/>
  <c r="AP61" i="5"/>
  <c r="AC61" i="5"/>
  <c r="AP60" i="5"/>
  <c r="AC60" i="5"/>
  <c r="AP127" i="5"/>
  <c r="AC127" i="5"/>
  <c r="AP80" i="5"/>
  <c r="AC80" i="5"/>
  <c r="AP81" i="5"/>
  <c r="AC81" i="5"/>
  <c r="AP93" i="5"/>
  <c r="AC93" i="5"/>
  <c r="AP94" i="5"/>
  <c r="AC94" i="5"/>
  <c r="AP95" i="5"/>
  <c r="AC95" i="5"/>
  <c r="AP96" i="5"/>
  <c r="AC96" i="5"/>
  <c r="AP98" i="5"/>
  <c r="AC98" i="5"/>
  <c r="AP128" i="5"/>
  <c r="AC128" i="5"/>
  <c r="AP129" i="5"/>
  <c r="AC129" i="5"/>
  <c r="AP58" i="5"/>
  <c r="AC58" i="5"/>
  <c r="AP125" i="5"/>
  <c r="AC125" i="5"/>
  <c r="AP122" i="5"/>
  <c r="AC122" i="5"/>
  <c r="AP132" i="5"/>
  <c r="AC132" i="5"/>
  <c r="AP120" i="5"/>
  <c r="AC120" i="5"/>
  <c r="AP119" i="5"/>
  <c r="AC119" i="5"/>
  <c r="AP121" i="5"/>
  <c r="AC121" i="5"/>
  <c r="AP133" i="5"/>
  <c r="AC133" i="5"/>
  <c r="AP55" i="5"/>
  <c r="AC55" i="5"/>
  <c r="AP56" i="5"/>
  <c r="AC56" i="5"/>
  <c r="AP118" i="5"/>
  <c r="AC118" i="5"/>
  <c r="AP62" i="5"/>
  <c r="AC62" i="5"/>
  <c r="AP57" i="5"/>
  <c r="AC57" i="5"/>
  <c r="AP59" i="5"/>
  <c r="A41" i="4" s="1"/>
  <c r="AC59" i="5"/>
  <c r="A36" i="4" s="1"/>
  <c r="AP103" i="5"/>
  <c r="AC103" i="5"/>
</calcChain>
</file>

<file path=xl/sharedStrings.xml><?xml version="1.0" encoding="utf-8"?>
<sst xmlns="http://schemas.openxmlformats.org/spreadsheetml/2006/main" count="10764" uniqueCount="2853">
  <si>
    <t>Controle jurídico</t>
  </si>
  <si>
    <t>Escolha uma opção abaixo ou use os filtros em amarelo para acompanhar a carteira.</t>
  </si>
  <si>
    <t>ESCRITÓRIO</t>
  </si>
  <si>
    <t>Todos</t>
  </si>
  <si>
    <t>EMPRESA</t>
  </si>
  <si>
    <t>Todas</t>
  </si>
  <si>
    <t>CONSÓRCIO</t>
  </si>
  <si>
    <t>TEMA</t>
  </si>
  <si>
    <t>BUSCA</t>
  </si>
  <si>
    <t>Digite o número ou o nome de uma parte.</t>
  </si>
  <si>
    <t>REGISTROS</t>
  </si>
  <si>
    <t>CRÍTICOS</t>
  </si>
  <si>
    <t>linhas de acompanhamento no filtro</t>
  </si>
  <si>
    <t>prioridade ou restrição vigente</t>
  </si>
  <si>
    <t>VALORES INFORMADOS</t>
  </si>
  <si>
    <t>PROCESSOS POR TEMA</t>
  </si>
  <si>
    <t>Depósitos judiciais</t>
  </si>
  <si>
    <t>Bloqueios em dinheiro (saldo)</t>
  </si>
  <si>
    <t>Benefício econômico estimado</t>
  </si>
  <si>
    <t>Totais parciais: registros com número repetido ficam fora até a revisão na coluna T de Valores. Sem rateio de consórcio.</t>
  </si>
  <si>
    <t>EMPRESAS</t>
  </si>
  <si>
    <t>CONSÓRCIOS</t>
  </si>
  <si>
    <t>Empresa não informada / fora da lista</t>
  </si>
  <si>
    <t>Demais / sem classificação</t>
  </si>
  <si>
    <t>Ficha do processo</t>
  </si>
  <si>
    <t>Escolha o processo no campo amarelo. Use os atalhos abaixo para editar o cadastro, informar valores ou abrir o tribunal.</t>
  </si>
  <si>
    <t>PROCESSO</t>
  </si>
  <si>
    <t>0016196-95.2018.5.16.0017</t>
  </si>
  <si>
    <t>PARTE AUTORA</t>
  </si>
  <si>
    <t>PARTE RÉ</t>
  </si>
  <si>
    <t>TEMA / NATUREZA</t>
  </si>
  <si>
    <t>COMARCA / TRIBUNAL</t>
  </si>
  <si>
    <t>CRITICIDADE DE ORIGEM</t>
  </si>
  <si>
    <t>FATOS E MOTIVOS</t>
  </si>
  <si>
    <t>INSTAURAÇÃO</t>
  </si>
  <si>
    <t>PREVISÃO DE ENCERRAMENTO</t>
  </si>
  <si>
    <t>PRIORIDADE / RESTRIÇÕES</t>
  </si>
  <si>
    <t>ANDAMENTO</t>
  </si>
  <si>
    <t>ÚLTIMO ANDAMENTO REGISTRADO</t>
  </si>
  <si>
    <t>DATA DO ANDAMENTO</t>
  </si>
  <si>
    <t>REGISTRADO / ATUALIZADO</t>
  </si>
  <si>
    <t>FINANCEIRO E AVALIAÇÃO DO ESCRITÓRIO</t>
  </si>
  <si>
    <t>VALOR DA CAUSA</t>
  </si>
  <si>
    <t>CONDENAÇÃO / EXECUÇÃO</t>
  </si>
  <si>
    <t>ÊXITO ESTIMADO</t>
  </si>
  <si>
    <t>DEPÓSITOS JUDICIAIS</t>
  </si>
  <si>
    <t>BLOQUEIOS (SALDO)</t>
  </si>
  <si>
    <t>BENEFÍCIO ESTIMADO</t>
  </si>
  <si>
    <t>REVISADO EM</t>
  </si>
  <si>
    <t>COBRAR ATUALIZAÇÃO</t>
  </si>
  <si>
    <t>OBSERVAÇÕES</t>
  </si>
  <si>
    <t>Atualize Processos, Valores e Andamentos. Classificação e pontuação de origem são históricas; critérios detalhados na aba Critérios.</t>
  </si>
  <si>
    <t>DETALHES FINANCEIROS E REGISTRO ORIGINAL</t>
  </si>
  <si>
    <t>Valor atualizado da causa</t>
  </si>
  <si>
    <t>Perda classificada na origem</t>
  </si>
  <si>
    <t>Duração estimada</t>
  </si>
  <si>
    <t>Benefício econômico descrito</t>
  </si>
  <si>
    <t>Incluir nos totais financeiros?</t>
  </si>
  <si>
    <t>Classificações e datas importadas retratam a planilha recebida; não indicam uma nova consulta aos autos.</t>
  </si>
  <si>
    <t>Central IA</t>
  </si>
  <si>
    <t>1. Cole o texto recebido.  2. Escolha Analisar texto.  3. Confira a prévia e aplique os itens aprovados.</t>
  </si>
  <si>
    <t>2. ESCOLHA A AÇÃO</t>
  </si>
  <si>
    <t>PROCESSO, SE SOUBER</t>
  </si>
  <si>
    <t>FONTE DO TEXTO</t>
  </si>
  <si>
    <t>ESCRITÓRIO PADRÃO</t>
  </si>
  <si>
    <t>EMPRESA PADRÃO</t>
  </si>
  <si>
    <t>CONSÓRCIO PADRÃO</t>
  </si>
  <si>
    <t>COMO SALVAR</t>
  </si>
  <si>
    <t>Revisar tudo</t>
  </si>
  <si>
    <t>ÚLTIMA EXECUÇÃO</t>
  </si>
  <si>
    <t>1. COLE O TEXTO ABAIXO. Clique na área amarela, pressione F2 e cole.</t>
  </si>
  <si>
    <t>3. CONFIRA A PRÉVIA. Marque Sim no que deseja salvar e escolha Aplicar aprovados na ação acima.</t>
  </si>
  <si>
    <t>Aplicar?</t>
  </si>
  <si>
    <t>Processo</t>
  </si>
  <si>
    <t>Destino</t>
  </si>
  <si>
    <t>Campo / operação</t>
  </si>
  <si>
    <t>Atual</t>
  </si>
  <si>
    <t>Proposto</t>
  </si>
  <si>
    <t>Trecho da fonte</t>
  </si>
  <si>
    <t>Observação</t>
  </si>
  <si>
    <t>ID</t>
  </si>
  <si>
    <t>Aplicado em</t>
  </si>
  <si>
    <t>Processos críticos</t>
  </si>
  <si>
    <t>Ativos ou suspensos com prioridade Crítica, bloqueio ou penhora vigente. As cores indicam a classificação de origem.</t>
  </si>
  <si>
    <t>As listas seguem os filtros escolhidos no Painel.</t>
  </si>
  <si>
    <t>Para consultar um caso, copie o número e selecione-o na Ficha. Cada página mostra até 50 registros.</t>
  </si>
  <si>
    <t>Página</t>
  </si>
  <si>
    <t>Escritório</t>
  </si>
  <si>
    <t>Autor × réu</t>
  </si>
  <si>
    <t>Fatos e motivos</t>
  </si>
  <si>
    <t>Por que é crítico</t>
  </si>
  <si>
    <t>Valor da causa</t>
  </si>
  <si>
    <t>Consultar</t>
  </si>
  <si>
    <t>Acompanhamento dos escritórios</t>
  </si>
  <si>
    <t>Comparação por escritório e carteira filtrada. Os controles ficam no Painel.</t>
  </si>
  <si>
    <t>A comparação considera empresa, consórcio, tema e busca. A lista de processos também considera o escritório escolhido.</t>
  </si>
  <si>
    <t>Total</t>
  </si>
  <si>
    <t>Críticos</t>
  </si>
  <si>
    <t>Cobrar atualização</t>
  </si>
  <si>
    <t>Benefício estimado</t>
  </si>
  <si>
    <t>Valores são parciais: registros marcados “Revisar” em Valores não entram nos totais.</t>
  </si>
  <si>
    <t>PROCESSOS NA SELEÇÃO</t>
  </si>
  <si>
    <t>200 por página; escolha em D35. A lista segue os filtros do Painel.</t>
  </si>
  <si>
    <t>Situação</t>
  </si>
  <si>
    <t>Atualização recebida</t>
  </si>
  <si>
    <t>Crítico</t>
  </si>
  <si>
    <t>Processos</t>
  </si>
  <si>
    <t>Use os filtros dos cabeçalhos para localizar um registro. Número, natureza e situação ficam fixos ao rolar.</t>
  </si>
  <si>
    <t>Amarelo: preencher. Os avisos de conferência são calculados automaticamente.</t>
  </si>
  <si>
    <t>Uma linha por registro. Preserve o número completo, inclusive [ID]. Campos complementares ficam à direita dos avisos.</t>
  </si>
  <si>
    <t>Número do processo</t>
  </si>
  <si>
    <t>Natureza</t>
  </si>
  <si>
    <t>Empresa responsável</t>
  </si>
  <si>
    <t>Consórcio</t>
  </si>
  <si>
    <t>Tema</t>
  </si>
  <si>
    <t>Parte autora</t>
  </si>
  <si>
    <t>Parte ré</t>
  </si>
  <si>
    <t>Comarca / órgão</t>
  </si>
  <si>
    <t>Tribunal</t>
  </si>
  <si>
    <t>Instauração</t>
  </si>
  <si>
    <t>Prioridade</t>
  </si>
  <si>
    <t>Bloqueio vigente?</t>
  </si>
  <si>
    <t>Penhora vigente?</t>
  </si>
  <si>
    <t>Motivo da criticidade</t>
  </si>
  <si>
    <t>Responsável pelo acompanhamento</t>
  </si>
  <si>
    <t>Previsão de encerramento</t>
  </si>
  <si>
    <t>Link de documentos</t>
  </si>
  <si>
    <t>Observações</t>
  </si>
  <si>
    <t>Chave válida</t>
  </si>
  <si>
    <t>Em acompanhamento</t>
  </si>
  <si>
    <t>No filtro</t>
  </si>
  <si>
    <t>Último recebimento</t>
  </si>
  <si>
    <t>Empate de atualização</t>
  </si>
  <si>
    <t>Linha do andamento</t>
  </si>
  <si>
    <t>Último andamento</t>
  </si>
  <si>
    <t>Próximo prazo</t>
  </si>
  <si>
    <t>Linha da próxima ação</t>
  </si>
  <si>
    <t>Próxima ação</t>
  </si>
  <si>
    <t>Linha de valores</t>
  </si>
  <si>
    <t>Conferir cadastro</t>
  </si>
  <si>
    <t>Ordem de críticos</t>
  </si>
  <si>
    <t>Ordem da carteira</t>
  </si>
  <si>
    <t>Escopo sem escritório</t>
  </si>
  <si>
    <t>Linha preenchida</t>
  </si>
  <si>
    <t>Ações vencidas</t>
  </si>
  <si>
    <t>Ações abertas sem prazo</t>
  </si>
  <si>
    <t>Andamento em</t>
  </si>
  <si>
    <t>Motivo do alerta crítico</t>
  </si>
  <si>
    <t>Chave de comparação</t>
  </si>
  <si>
    <t>ID de origem</t>
  </si>
  <si>
    <t>Nº judicial</t>
  </si>
  <si>
    <t>Nº administrativo</t>
  </si>
  <si>
    <t>Fase</t>
  </si>
  <si>
    <t>Contrato</t>
  </si>
  <si>
    <t>Centro de custo</t>
  </si>
  <si>
    <t>Ano informado</t>
  </si>
  <si>
    <t>Número principal</t>
  </si>
  <si>
    <t>Número repetido?</t>
  </si>
  <si>
    <t>Único no filtro</t>
  </si>
  <si>
    <t>Atualização na origem</t>
  </si>
  <si>
    <t>0000365-30.2017.5.14.0071</t>
  </si>
  <si>
    <t>Judicial</t>
  </si>
  <si>
    <t>Arquivado</t>
  </si>
  <si>
    <t>BMM Advogados</t>
  </si>
  <si>
    <t>Trabalhista</t>
  </si>
  <si>
    <t>ELEANDRO VIEIRA DE ARAUJO</t>
  </si>
  <si>
    <t>ALTA</t>
  </si>
  <si>
    <t>VT de Guajará Mirim / RO</t>
  </si>
  <si>
    <t>TRT 14ª Região (RO/AC)</t>
  </si>
  <si>
    <t>Verbas trabalhistas e indenização</t>
  </si>
  <si>
    <t>Normal</t>
  </si>
  <si>
    <t>Origem: BMM!5 | ID BMM-001 | Situação original: Arquivado | Fase: Arquivado | Última atualização informada: 2026-02-02</t>
  </si>
  <si>
    <t>BMM-001</t>
  </si>
  <si>
    <t>0010045-55.2019.5.18.0201</t>
  </si>
  <si>
    <t>Consórcio Trail-Spavias-Alta</t>
  </si>
  <si>
    <t>PAULO CESAR DE FREITAS</t>
  </si>
  <si>
    <t>1 - Consórcio Trail-Spavias-Alta
2 - Trail Infraestrutura LTDA
3 - Spavias Engenharia LTDA
4 - Alta Engenharia de Infraestrutura
LTDA</t>
  </si>
  <si>
    <t>VT de Uruaçu</t>
  </si>
  <si>
    <t>TRT 18ª Região (GO)</t>
  </si>
  <si>
    <t>Origem: BMM!6 | ID BMM-002 | Situação original: Arquivado | Fase: Arquivado | Última atualização informada: 2024-08-08</t>
  </si>
  <si>
    <t>BMM-002</t>
  </si>
  <si>
    <t>0011340-98.2017.5.18.0104</t>
  </si>
  <si>
    <t>Consórcio Integral Spavias Trail Alta</t>
  </si>
  <si>
    <t>JURANDIR BUENO TEIXEIRA</t>
  </si>
  <si>
    <t>CONSÓRCIO INTEGRAL SPAVIAS TRAIL ALTA</t>
  </si>
  <si>
    <t>04ª VT de Rio Verde</t>
  </si>
  <si>
    <t>Origem: BMM!7 | ID BMM-003 | Situação original: Arquivado | Fase: Arquivado | Última atualização informada: 2024-08-08</t>
  </si>
  <si>
    <t>BMM-003</t>
  </si>
  <si>
    <t>0010110-19.2020.5.18.0103 [BMM-004]</t>
  </si>
  <si>
    <t>GILMAR FERREIRA DE FREITAS</t>
  </si>
  <si>
    <t>1 - Consórcio Integral Spavias Trail
Alta
2 - Spavias Engenharia LTDA
3 - Trail Infraestrutura LTDA
4 - Alta Engenharia de Infraestrurura
LTDA
5 - Valec</t>
  </si>
  <si>
    <t>3ª VT de Rio Verde</t>
  </si>
  <si>
    <t>Origem: BMM!8 | ID BMM-004 | Situação original: Arquivado | Fase: Arquivado | Última atualização informada: 2024-08-08 | Número repetido na origem: revisar registros; valores excluídos dos totais até revisão</t>
  </si>
  <si>
    <t>BMM-004</t>
  </si>
  <si>
    <t>0010110-19.2020.5.18.0103</t>
  </si>
  <si>
    <t>0010752-95.2020.5.18.0101</t>
  </si>
  <si>
    <t>JOSÉ ROSA MENDES</t>
  </si>
  <si>
    <t>1 VT de Rio Verde/GO</t>
  </si>
  <si>
    <t>Origem: BMM!9 | ID BMM-005 | Situação original: Arquivado | Fase: Arquivado | Última atualização informada: 2024-08-08</t>
  </si>
  <si>
    <t>BMM-005</t>
  </si>
  <si>
    <t>0010065-46.2019.5.18.0104</t>
  </si>
  <si>
    <t>DANIEL PEREIRA DA SILVA</t>
  </si>
  <si>
    <t>04ª - Rio Verde</t>
  </si>
  <si>
    <t>Origem: BMM!10 | ID BMM-006 | Situação original: Arquivado | Fase: Arquivado | Última atualização informada: 2024-08-08</t>
  </si>
  <si>
    <t>BMM-006</t>
  </si>
  <si>
    <t>0011079-71.2019.5.18.0102</t>
  </si>
  <si>
    <t>Consórcio Spavias Cava</t>
  </si>
  <si>
    <t>JOSÉ DA CONCEIÇÃO</t>
  </si>
  <si>
    <t>1 - Consórcio Spavias Cava
2 - Spavias Engenharia LTDA
3 - André Von Bentzeen Rodrigues
4 - Cava Engenharia de Infraestrutura
LTDA</t>
  </si>
  <si>
    <t>2 VT de Rio Verde</t>
  </si>
  <si>
    <t>Origem: BMM!11 | ID BMM-007 | Situação original: Arquivado | Fase: Arquivado | Última atualização informada: 2024-08-08</t>
  </si>
  <si>
    <t>BMM-007</t>
  </si>
  <si>
    <t>0010968-84.2019.5.18.0103 [BMM-008]</t>
  </si>
  <si>
    <t>SÔNIA MARIA RIBEIRO ROSA MOTA</t>
  </si>
  <si>
    <t>1 - Consórcio Integral Spavias Trail
Alta
2 - Valec Engenharia Construções e
Ferrovias S/A
3 - SPA Engenharia Indústria e
Comércio LTDA
4 - Trail Infraestrutura LTDA
5 - Alta Engenharia de Infraestrutura
LTDA</t>
  </si>
  <si>
    <t>Origem: BMM!12 | ID BMM-008 | Situação original: Arquivado | Fase: Arquivado | Última atualização informada: 2024-08-08 | Número repetido na origem: revisar registros; valores excluídos dos totais até revisão</t>
  </si>
  <si>
    <t>BMM-008</t>
  </si>
  <si>
    <t>0010968-84.2019.5.18.0103</t>
  </si>
  <si>
    <t>0010160-08.2021.5.18.0201</t>
  </si>
  <si>
    <t>BRUNO SILVA PEREIRA</t>
  </si>
  <si>
    <t>1 - Consórcio Trail-Spavias-Alta
2 - SPA Engenharia
3 - Consórcio TS
4 - VALEC</t>
  </si>
  <si>
    <t>Origem: BMM!13 | ID BMM-009 | Situação original: Arquivado | Fase: Arquivado | Última atualização informada: 2024-08-08</t>
  </si>
  <si>
    <t>BMM-009</t>
  </si>
  <si>
    <t>0000972-59.2016.5.08.0131</t>
  </si>
  <si>
    <t>Ednaldo Martins da Silva</t>
  </si>
  <si>
    <t>Consórcio Trail Spavias Alta</t>
  </si>
  <si>
    <t>4ª VT de Parauapebas/PA</t>
  </si>
  <si>
    <t>TRT 8ª Região (PA/AP)</t>
  </si>
  <si>
    <t>Origem: BMM!14 | ID BMM-010 | Situação original: Arquivado | Fase: Arquivado | Última atualização informada: 2024-08-08</t>
  </si>
  <si>
    <t>BMM-010</t>
  </si>
  <si>
    <t>0001354-49.2013.5.05.0581</t>
  </si>
  <si>
    <t>SINDICATO DOS TRAB. IND. DA CONST. EST. PAV OBRAS</t>
  </si>
  <si>
    <t>CONSÓRCIO TRAIL-SPAVIAS-ALTA</t>
  </si>
  <si>
    <t>VT de Ipiaú</t>
  </si>
  <si>
    <t>TRT 5ª Região (BA)</t>
  </si>
  <si>
    <t>Origem: BMM!15 | ID BMM-011 | Situação original: Arquivado | Fase: Arquivado | Última atualização informada: 2024-08-08</t>
  </si>
  <si>
    <t>BMM-011</t>
  </si>
  <si>
    <t>5179003-70.2022.8.09.0149</t>
  </si>
  <si>
    <t>Cível</t>
  </si>
  <si>
    <t>TV TRANSPORTES LTDA - ME</t>
  </si>
  <si>
    <t>CONSÓRCIO
INTEGRAL SPAVIAS TRAIL ALTA</t>
  </si>
  <si>
    <t>3ª Vara Cível de Trindade / GO</t>
  </si>
  <si>
    <t>TJGO</t>
  </si>
  <si>
    <t>No ano de 2013 á 2016,
prestação de serviço de LOCAÇÃO DE MAQUINAS E EQUIPAMENTOS SEM MÃO
DE OBRA, no município de Ceres – Goiás.
Ocorre que eram retido no contrato da autora o valor de 5 (cinco) % do valor de
cada nota, no intuito de algum dano no futuro. Ocorre que desde de 2017 vem
cobrando esse valor, porém sem êxito.
Informo que o valor dos 5 (cinco) % referente as notas em anexo resulta no
valor de R$ 41.800,00 (Quarenta e um mil e oitocentos reais).</t>
  </si>
  <si>
    <t>Origem: BMM!16 | ID BMM-012 | Situação original: Arquivado | Fase: Arquivado | Avaliação original: - | Contrato: N/A | Última atualização informada: 2026-03-12</t>
  </si>
  <si>
    <t>BMM-012</t>
  </si>
  <si>
    <t>N/A</t>
  </si>
  <si>
    <t>5200111-92.2021.8.09.0149</t>
  </si>
  <si>
    <t>No ano de 2013 á 2016, prestação de serviço de LOCAÇÃO DE MAQUINAS E EQUIPAMENTOS SEM MÃO
DE OBRA, no município de Ceres – Goiás.
Ocorre que não houve o pagamento do mês de 06/2016 e 07/2016 referente a locação do CAMINHÃO PIPA, MB, AXOR 3340K 2009, NLT-7274.
Informo que o valor dos alugueis corresponde a R$ 34.000,00.</t>
  </si>
  <si>
    <t>Origem: BMM!17 | ID BMM-013 | Situação original: Arquivado | Fase: Arquivado | Avaliação original: - | Última atualização informada: 2026-03-12</t>
  </si>
  <si>
    <t>BMM-013</t>
  </si>
  <si>
    <t>0766105-29.2022.8.07.0016</t>
  </si>
  <si>
    <t>Encerrado</t>
  </si>
  <si>
    <t>Consórcio Spavias Serne Spavias Trail Alta</t>
  </si>
  <si>
    <t>RAIZAMA LOCADORA E CONSTRUTORA EIRELI</t>
  </si>
  <si>
    <t>CONSÓRCIO SPAVIAS SERNE
SPAVIAS
TRAIL
ALTA</t>
  </si>
  <si>
    <t>3º Juizado Especial Cível de Brasília</t>
  </si>
  <si>
    <t>TJDFT</t>
  </si>
  <si>
    <t>Raizama move Ação de Cobrança contra o Consórcio INTEGRAL SPAVIAS TRAIL ALTA, referente ao Contrato de Locação nº 6/2016.</t>
  </si>
  <si>
    <t>Origem: BMM!18 | ID BMM-014 | Situação original: Encerrado | Fase: Liquidação / Cumprimento de sentença | Contrato: Contratos Empresariais | Última atualização informada: 2024-09-19</t>
  </si>
  <si>
    <t>BMM-014</t>
  </si>
  <si>
    <t>Liquidação / Cumprimento de sentença</t>
  </si>
  <si>
    <t>Contratos Empresariais</t>
  </si>
  <si>
    <t>0766128-72.2022.8.07.0016</t>
  </si>
  <si>
    <t>4º Juizado Especial Cível de Brasília</t>
  </si>
  <si>
    <t>Raizama move Ação de Cobrança contra o Consórcio INTEGRAL SPAVIAS TRAIL ALTA, referente ao Contrato de Locação nº 3/2016.</t>
  </si>
  <si>
    <t>Origem: BMM!19 | ID BMM-015 | Situação original: Encerrado | Fase: Liquidação / Cumprimento de sentença | Probabilidade de perda original: Remoto | Avaliação original: REMOTO | Contrato: Contratos Empresariais | Última atualização informada: 2026-01-30</t>
  </si>
  <si>
    <t>BMM-015</t>
  </si>
  <si>
    <t>0010110-19.2020.5.18.0103 [BMM-016]</t>
  </si>
  <si>
    <t>CONSORCIO INTEGRAL SPAVIAS TRAIL ALTA</t>
  </si>
  <si>
    <t>TRT 18ª REGIÃO / 3ª VARA DO TRABALHO RIO VERDE/GO</t>
  </si>
  <si>
    <t>Origem: BMM!20 | ID BMM-016 | Situação original: Arquivado | Fase: Arquivado | Avaliação original: - | Última atualização informada: 2026-03-12 | Número repetido na origem: revisar registros; valores excluídos dos totais até revisão</t>
  </si>
  <si>
    <t>BMM-016</t>
  </si>
  <si>
    <t>5116564-98.2018.8.09.0137 [BMM-017]</t>
  </si>
  <si>
    <t>AGUILLERA OLIVEIRA FERRAMENTAS E PROTEÇÃO LTDA ME</t>
  </si>
  <si>
    <t>1ª Vara Cível Fórum de Rio Verde</t>
  </si>
  <si>
    <t>Processo em razão dos autores serem credores no valor de R$29.921,02 e R$3.653,62.</t>
  </si>
  <si>
    <t>Origem: BMM!21 | ID BMM-017 | Situação original: Excluído da lide | Fase: Execução | Probabilidade de perda original: Possível | Avaliação original: PERDA POSSÍVEL | Última atualização informada: 2026-01-30 | Número repetido na origem: revisar registros; valores excluídos dos totais até revisão</t>
  </si>
  <si>
    <t>BMM-017</t>
  </si>
  <si>
    <t>5116564-98.2018.8.09.0137</t>
  </si>
  <si>
    <t>Execução</t>
  </si>
  <si>
    <t>0010551-59.2023.5.18.0211</t>
  </si>
  <si>
    <t>Consórcio Loctec Pavienge Cava Alta Setorsul</t>
  </si>
  <si>
    <t>ADEMILSON MENDES RIBEIRO</t>
  </si>
  <si>
    <t>Consorcio Loctec Pavienge Cava Alta Setorsul
Setorsul Transportes e Serviços de mão de obra
Pavienge Engenharia LTDA
BK Infraestrutura LTDA (Loctec)
Cava Engenharia de Infraestrutura LTDA
Alta Engenharia de Infraestrutura LTDA</t>
  </si>
  <si>
    <t>VT de Formosa</t>
  </si>
  <si>
    <t>Origem: BMM!22 | ID BMM-018 | Situação original: Arquivado | Fase: Arquivado | Avaliação original: FINALIZADO. PROCESSO JÁ QUITADO PELO CONSÓRCIO. | Última atualização informada: 2026-02-02</t>
  </si>
  <si>
    <t>BMM-018</t>
  </si>
  <si>
    <t>0010458-96.2023.5.18.0211</t>
  </si>
  <si>
    <t>FRANCIS ALVES PEREIRA</t>
  </si>
  <si>
    <t>Origem: BMM!23 | ID BMM-019 | Situação original: Arquivado | Fase: Arquivado | Avaliação original: FINALIZADO. CONSÓRCIO QUITOU A EXECUÇÃO. | Última atualização informada: 2026-02-02</t>
  </si>
  <si>
    <t>BMM-019</t>
  </si>
  <si>
    <t>0059400-23.2014.5.17.0141</t>
  </si>
  <si>
    <t>JHONNI AUGUSTO SANTOS DE PAULA</t>
  </si>
  <si>
    <t>Alta Engenharia de Infraestrutura LTDA
DNIT - Departamento Nacional de Infraestrutura de
Transportes</t>
  </si>
  <si>
    <t>VT de Colatina / ES</t>
  </si>
  <si>
    <t>TRT 17ª Região (ES)</t>
  </si>
  <si>
    <t>Origem: BMM!24 | ID BMM-020 | Situação original: Excluído da lide | Fase: Execução | Probabilidade de perda original: Remoto | Avaliação original: REMOTO. A ALTA FOI ABSOLVIDA. | Última atualização informada: 2026-02-02</t>
  </si>
  <si>
    <t>BMM-020</t>
  </si>
  <si>
    <t>5119575-46.2016.8.13.0024</t>
  </si>
  <si>
    <t>Ativo</t>
  </si>
  <si>
    <t>VIBRA ENERGIA S.A (vencidas no período de 16/10/2015 a 31/03/2016)</t>
  </si>
  <si>
    <t>24ª Vara Cível de Belo Horizonte - MG</t>
  </si>
  <si>
    <t>TJMG</t>
  </si>
  <si>
    <t>Execução de Título Extrajudicial
Execução movida pela PETROBRÁS contra o CONSÓRCIO INTEGRAL SPAVIAS TRAIL ALTA e suas Consorciadas (TRAIL, INTEGRAL, SPAVIAS e ALTA), visando o pagamento do valor original de R$ 50.921,25 a título de fornecimento de produto derivado do petróleo (vencidas no período de 16/10/2015 a 31/03/2016). 
No caso, a Integral compareceu espontaneamente nos autos, depositando sua parte proporcional à porcentagem de sua participação no consórcio. A Trail também procedeu ao pagamento. 
Com relação à Alta, houve uma tentativa de citação em 18/05/2018, sem êxito. Somente agora a Petrobras requereu novamente a citação da Alta, que neste consórcio possui uma participação de 6,00%.</t>
  </si>
  <si>
    <t>Origem: BMM!25 | ID BMM-021 | Situação original: Ativo | Fase: Execução | Probabilidade de perda original: Remoto | Avaliação original: PERDA REMOTA | Contrato: N/A | Última atualização informada: 2026-01-30</t>
  </si>
  <si>
    <t>BMM-021</t>
  </si>
  <si>
    <t>0052185-74.2016.8.09.0051</t>
  </si>
  <si>
    <t>MANOEL OLIVEIRA MACHADO NETTO</t>
  </si>
  <si>
    <t>CONSORCIO TRAIL SPAVIAS ALTA</t>
  </si>
  <si>
    <t>16ª Cível Goiania</t>
  </si>
  <si>
    <t>Trata-se de ação monitória proposta por Manoel Oliveira Machado Netto ME contra o Consórcio Trail Spavias Alta e Valec – Engenharia, Construções e Ferrovias S/A. O autor afirma que firmou contrato de subempreitada em 01/03/2014 (com aditamento em 02/12/2014) para execução de serviços de revestimento vegetal na obra da Ferrovia Norte-Sul (RDC 04 – GO). Alega que os serviços foram realizados e acompanhados por engenheiros dos réus, porém não recebeu o pagamento de R$ 78.535,81 referente ao plantio, além da retenção indevida da caução de R$ 55.065,23. Assim, sustenta ser credor do total de R$ 128.535,81, requerendo a condenação dos réus ao pagamento do valor devido, com correção monetária.</t>
  </si>
  <si>
    <t>Origem: BMM!26 | ID BMM-022 | Situação original: Ativo | Fase: Execução | Probabilidade de perda original: Remoto | Avaliação original: PERDA REMOTA | Contrato: RDC 04 - GO | Última atualização informada: 2026-01-30</t>
  </si>
  <si>
    <t>BMM-022</t>
  </si>
  <si>
    <t>RDC 04 - GO</t>
  </si>
  <si>
    <t>5131188-29.2017.8.13.0024</t>
  </si>
  <si>
    <t>Suspenso</t>
  </si>
  <si>
    <t>MSM ENGENHARIA LTDA - ME</t>
  </si>
  <si>
    <t>Trata-se de ação de execução de título extrajudicial proposta contra o Consórcio Integral Spavias Trail Alta. A exequente firmou com a executada o Contrato nº 006/2016 para locação de equipamentos utilizados na obra da Ferrovia Norte-Sul, no município de Rio Verde/GO, realizada para a VALEC. Alega que os equipamentos foram devidamente utilizados e comprovados por notas fiscais e relatórios de medição, porém a executada não efetuou o pagamento das faturas vencidas entre novembro de 2016 e fevereiro de 2017, totalizando R$ 264.796,83. Atualizado pelo INPC, o débito alcança R$ 267.720,77.</t>
  </si>
  <si>
    <t>Origem: BMM!27 | ID BMM-023 | Situação original: Suspenso / Sobrestado | Fase: Execução | Contrato: N/A | Última atualização informada: 2025-07-02</t>
  </si>
  <si>
    <t>BMM-023</t>
  </si>
  <si>
    <t>5071968-32.2019.8.13.0024</t>
  </si>
  <si>
    <t>BOMSUCESSO TRANSPORTES EIRELI EPP</t>
  </si>
  <si>
    <t>24ª Vara Cível de Belo Horizonte/MG</t>
  </si>
  <si>
    <t>Execução de Título Extrajudicial</t>
  </si>
  <si>
    <t>Origem: BMM!28 | ID BMM-024 | Situação original: Arquivado | Fase: Arquivado | Última atualização informada: 2024-09-27</t>
  </si>
  <si>
    <t>BMM-024</t>
  </si>
  <si>
    <t>5321924-94.2018.8.09.0051</t>
  </si>
  <si>
    <t>GLOBO SERVICOS E TURISMO LTDA</t>
  </si>
  <si>
    <t>3ª Vara Cível de Goiânia</t>
  </si>
  <si>
    <t>Trata-se de ação de execução de título extrajudicial proposta contra o Consórcio Integral Spavias Trail Alta. A exequente firmou com a executada, em 04/04/2016, o Contrato nº 0039/2016 para locação de veículos utilizados em suas atividades.
Os veículos foram devidamente entregues e utilizados, porém o consórcio tornou-se inadimplente a partir de 14/07/2017, deixando de pagar os valores devidos pela locação e encargos contratuais, incluindo possíveis reparos previstos no contrato.
O débito atualizado totaliza R$ 429.296,48, acrescido de juros de 1% ao mês e correção monetária pelo INPC.</t>
  </si>
  <si>
    <t>Origem: BMM!29 | ID BMM-025 | Situação original: Ativo | Fase: Execução | Probabilidade de perda original: Remoto | Avaliação original: PERDA REMOTA | Contrato: 0039/2016 | Última atualização informada: 2026-01-30</t>
  </si>
  <si>
    <t>BMM-025</t>
  </si>
  <si>
    <t>0039/2016</t>
  </si>
  <si>
    <t>5475775-26.2017.8.09.0137</t>
  </si>
  <si>
    <t>GERMAQ EQUIPAMENTOS AGRÍCOLAS</t>
  </si>
  <si>
    <t>Vara Cível - Rio Verde - GO</t>
  </si>
  <si>
    <t>Inadimplemento contratual (locação de equipamento)</t>
  </si>
  <si>
    <t>Origem: BMM!30 | ID BMM-026 | Situação original: Arquivado | Fase: Arquivado | Última atualização informada: 2026-02-20</t>
  </si>
  <si>
    <t>BMM-026</t>
  </si>
  <si>
    <t>5116564-98.2018.8.09.0137 [BMM-027]</t>
  </si>
  <si>
    <t>AQUILERA OLIVEIRA FERRAMENTAS</t>
  </si>
  <si>
    <t>Vara Cível - Rio Vede - GO</t>
  </si>
  <si>
    <t>Origem: BMM!31 | ID BMM-027 | Situação original: Encerrado | Fase: Execução | Última atualização informada: 2024-09-13 | Número repetido na origem: revisar registros; valores excluídos dos totais até revisão</t>
  </si>
  <si>
    <t>BMM-027</t>
  </si>
  <si>
    <t>5173200-24.2018.8.13.0024</t>
  </si>
  <si>
    <t>MACCAFERRI DO BRASIL LTDA</t>
  </si>
  <si>
    <t>1 - CONSÓRCIO SPAVIAS CAVA
2 - SPAVIAS ENGENHARIA LTDA</t>
  </si>
  <si>
    <t>36ª Vara Cível de Belo Horizonte-MG</t>
  </si>
  <si>
    <t>Trata-se de ação de execução por quantia certa proposta por Maccaferri do Brasil Ltda. contra o Consórcio Spavias – Alta e suas empresas consorciadas Spavias Engenharia Ltda. e Cava Engenharia de Infraestrutura Ltda.. A autora alega ser credora do valor de R$ 83.589,08, representado por duplicata mercantil vencida em 07/02/2018, emitida em razão de compra e venda mercantil.</t>
  </si>
  <si>
    <t>Origem: BMM!32 | ID BMM-028 | Situação original: Ativo | Fase: Execução | Avaliação original: - | Contrato: N/A | Última atualização informada: 2026-03-12</t>
  </si>
  <si>
    <t>BMM-028</t>
  </si>
  <si>
    <t>5028530-58.2016.8.13.0024</t>
  </si>
  <si>
    <t>GOYA INDUSTRIA E COMÉRCIO DE ÁGUA MINERAL LTDA</t>
  </si>
  <si>
    <t>4ª Vara Cível de Belo Horizonte-MG</t>
  </si>
  <si>
    <t>Execução de Título Extrajudicial (Trata-se de cumprimento de sentença de honorários )</t>
  </si>
  <si>
    <t>Origem: BMM!33 | ID BMM-029 | Situação original: Arquivado | Fase: Arquivado | Última atualização informada: 2025-04-16</t>
  </si>
  <si>
    <t>BMM-029</t>
  </si>
  <si>
    <t>5144250-31.2019.8.09.0137</t>
  </si>
  <si>
    <t>MARIA ANTONIA DE SATELES FARIA</t>
  </si>
  <si>
    <t>3ª Vara Cível de Rio Verde/GO</t>
  </si>
  <si>
    <t>Origem: BMM!34 | ID BMM-030 | Situação original: Arquivado | Fase: Arquivado | Última atualização informada: 2023-10-30</t>
  </si>
  <si>
    <t>BMM-030</t>
  </si>
  <si>
    <t>5116378-75.2018.8.09.0137</t>
  </si>
  <si>
    <t>SOLUÇÕES MATERIAIS DE LIMPEZA, HIGIENE, FERRAMENTAS</t>
  </si>
  <si>
    <t>2ª Vara Cível de Rio Verde/GO</t>
  </si>
  <si>
    <t>Solução Materiais de Limpeza, Higiene, Ferramentas e EPI Eireli EPP, ajuizou ação monitória em face do Consórcio Integral Spavias Trais Alta, visando o recebimento do valor de R$ 24.909,81, referente a cinco notas fiscais que não foram pagas pela requerida.</t>
  </si>
  <si>
    <t>Origem: BMM!35 | ID BMM-031 | Situação original: Ativo | Fase: Execução | Contrato: N/A | Última atualização informada: 2026-01-07</t>
  </si>
  <si>
    <t>BMM-031</t>
  </si>
  <si>
    <t>0001353-64.2013.5.05.0581</t>
  </si>
  <si>
    <t>Trata-se de processo trabalhista antigo, iniciado em 2013, originalmente em autos físicos na Vara do Trabalho de Ipiaú/BA. Em cumprimento às normas da Justiça do Trabalho, o processo foi posteriormente migrado para o sistema eletrônico PJe, passando a tramitar exclusivamente de forma digital. No andamento registrado, consta que foram homologados os cálculos apresentados pelo reclamante, diante da ausência de manifestação da parte reclamada no prazo concedido, dando continuidade à fase de execução para cobrança dos valores reconhecidos na ação.</t>
  </si>
  <si>
    <t>Origem: BMM!36 | ID BMM-032 | Situação original: Ativo | Fase: Execução | Última atualização informada: 2026-01-30</t>
  </si>
  <si>
    <t>BMM-032</t>
  </si>
  <si>
    <t>0010565-52.2018.5.18.0103</t>
  </si>
  <si>
    <t>WELLINGTON VIEIRA DE OLIVEIRA</t>
  </si>
  <si>
    <t>03ª VT de Rio Verde</t>
  </si>
  <si>
    <t>Alta</t>
  </si>
  <si>
    <t>Criticidade herdada da planilha de origem; validar. Não confirma bloqueio/penhora vigente.</t>
  </si>
  <si>
    <t>Origem: BMM!37 | ID BMM-033 | Situação original: Suspenso / Sobrestado | Fase: Execução | Probabilidade de perda original: Provável | Avaliação original: PROVÁVEL INCLUSÃO POR IDPJ | Contrato: RDC 6 | Última atualização informada: 2026-01-30</t>
  </si>
  <si>
    <t>BMM-033</t>
  </si>
  <si>
    <t>RDC 6</t>
  </si>
  <si>
    <t>0019397-14.2017.5.16.0023</t>
  </si>
  <si>
    <t>LEONARDO FERREIRA SOUSA</t>
  </si>
  <si>
    <t>2ª VT de Imperatriz/MA</t>
  </si>
  <si>
    <t>TRT 16ª Região (MA)</t>
  </si>
  <si>
    <t>Origem: BMM!38 | ID BMM-034 | Situação original: Ativo | Fase: Execução | Probabilidade de perda original: Provável | Avaliação original: PROVÁVEL INCLUSÃO POR IDPJ | Contrato: RDC 6 | Última atualização informada: 2026-01-30</t>
  </si>
  <si>
    <t>BMM-034</t>
  </si>
  <si>
    <t>0010754-56.2020.5.18.0104</t>
  </si>
  <si>
    <t>1 - Irani Vieira de
Almeida
2 - Claudete Lourdes
Antunes
3 - Elisângela Lourdes
Antuntes
4 - Anderson José
Antunes
5 - Eliane Lourdes
Antunes
6 - Odair José Antunes
7 - Luiz Carlos Reis
Antunes</t>
  </si>
  <si>
    <t>4 VT de Rio Verde</t>
  </si>
  <si>
    <t>Trata-se de reclamação trabalhista ajuizada pelos herdeiros de Luiz Antônio Antunes contra a empresa Consórcio Spavias Cava, visando o pagamento de salários atrasados, verbas rescisórias, horas extras, FGTS e demais direitos trabalhistas não pagos ao empregado até a data de seu falecimento. Ele rabalhou de 2015 a 2020, com função de motorista de onibus.</t>
  </si>
  <si>
    <t>Origem: BMM!39 | ID BMM-035 | Situação original: Ativo | Fase: Execução | Contrato: N/A | Última atualização informada: 2026-03-13</t>
  </si>
  <si>
    <t>BMM-035</t>
  </si>
  <si>
    <t>0010481-51.2018.5.18.0103</t>
  </si>
  <si>
    <t>PAULO SERGIO DO LAGO CASTRO</t>
  </si>
  <si>
    <t>1 - Consórcio Integral Spavias Trail
Alta
2 - Integral Engenharia LTDA
3 - Spavias Engenharia LTDA
4 - Trail Infraestrutura LTDA
5 - Alta Engenharia de Infraestrutura
LTDA</t>
  </si>
  <si>
    <t>Origem: BMM!40 | ID BMM-036 | Situação original: Arquivado | Fase: Arquivado | Última atualização informada: 2024-08-08</t>
  </si>
  <si>
    <t>BMM-036</t>
  </si>
  <si>
    <t>0010795-91.2018.5.18.0104</t>
  </si>
  <si>
    <t>JOÃO ROSA DA SILVA</t>
  </si>
  <si>
    <t>1 - Consórcio Integral Spavias Trail
Alta
2 - Valec
3 - Spavias Engenharia LTDA
4 - Bruno Von Bentzeen Rodrigues
5 - André Von Bentzeen Rodrigues
6 - Serne Engenharia Eireli</t>
  </si>
  <si>
    <t>04ª VT - Rio Verde</t>
  </si>
  <si>
    <t>Origem: BMM!41 | ID BMM-037 | Situação original: Ativo | Fase: Execução | Contrato: RDC 6 | Última atualização informada: 2024-12-27</t>
  </si>
  <si>
    <t>BMM-037</t>
  </si>
  <si>
    <t>0010860-95.2018.5.18.0101</t>
  </si>
  <si>
    <t>JAIME ANTÔNIO DE SOUZA</t>
  </si>
  <si>
    <t>1 - Consórcio Integral Spavias Trail
Alta
2 - André Von Bentzeen Rodrigues
3 - Jacques Rodrigues
4 - Andrigo Lobo Chiarotti
5 - Spavias Engenharia LTDA
6 - Integral Engenharia LTDA
7 - Trail Infraestrutura LTDA
8 - Alta Engenharia de Infraestrutura
Ltda
9 - Roney Geraldo Nogueira</t>
  </si>
  <si>
    <t>01ª VT - de Rio Verde</t>
  </si>
  <si>
    <t>Trata-se de um processo trabalhista em que o reclamante pleiteia diferenças nas verbas rescisórias, pagamento de horas extras, regularização de FGTS e indenização por danos morais decorrentes do contrato de trabalho.</t>
  </si>
  <si>
    <t>Origem: BMM!42 | ID BMM-038 | Situação original: Ativo | Fase: Execução | Probabilidade de perda original: Provável | Avaliação original: PROVÁVEL,INCLUSÃO POR IDPJ | Contrato: RDC 6 | Última atualização informada: 2026-02-02</t>
  </si>
  <si>
    <t>BMM-038</t>
  </si>
  <si>
    <t>0010941-35.2018.5.18.0104 [BMM-039]</t>
  </si>
  <si>
    <t>ISAIAS NUNES FROS FILHO</t>
  </si>
  <si>
    <t>1 - Consórcio Integral Spavias Trail
Alta
2 - André Von Bentzeen Rodrigues
3 - Spavias Engenharia LTDA
4 - Cava Engenharia de Infraestrutura
LTDA
5 - Alta Engenharia</t>
  </si>
  <si>
    <t>Trata-se de um processo trabalhista, no qual o reclamante pleiteia o pagamento de horas extras, intervalo intrajornada, diferenças de verbas rescisórias e FGTS acrescido de 40%, além de indenização por danos morais.</t>
  </si>
  <si>
    <t>Origem: BMM!43 | ID BMM-039 | Situação original: Suspenso / Sobrestado | Fase: Execução | Probabilidade de perda original: Provável | Avaliação original: PROVÁVEL INCLUSÃO POR IDPJ | Contrato: RDC 6 | Última atualização informada: 2026-02-02 | Número repetido na origem: revisar registros; valores excluídos dos totais até revisão</t>
  </si>
  <si>
    <t>BMM-039</t>
  </si>
  <si>
    <t>0010941-35.2018.5.18.0104</t>
  </si>
  <si>
    <t>0016188-50.2020.5.16.0017</t>
  </si>
  <si>
    <t>OSMAR CARNEIRO DA SILVA</t>
  </si>
  <si>
    <t>1 - Consórcio Integral Spavias Trail
Alta
2 - Spavias Engenharia LTDA</t>
  </si>
  <si>
    <t>VT de Estreito/MA</t>
  </si>
  <si>
    <t>Origem: BMM!44 | ID BMM-040 | Situação original: Ativo | Fase: Execução | Contrato: RDC 6 | Última atualização informada: 2024-12-27</t>
  </si>
  <si>
    <t>BMM-040</t>
  </si>
  <si>
    <t>0010704-04.2018.5.18.0103</t>
  </si>
  <si>
    <t>JOEL ALVES DOS SANTOS</t>
  </si>
  <si>
    <t>1 - Consórcio Integral Spavias Trail
2 - Spavias Engenharia LTDA
3 - Alta Engenharia de Infraestrutura
LTDA
4 - Roney Geraldo Nogueira</t>
  </si>
  <si>
    <t>03ª VT - Rio Verde</t>
  </si>
  <si>
    <t>O reclamante foi contratado pela reclamada em 02/06/2016 para a função de vigia, sendo dispensado sem justa causa em 03/03/2018, com aviso prévio indenizado. Durante o contrato, trabalhava das 17h às 05h e recebia remuneração aproximada de R$ 2.115,00. A reclamada não pagou as horas previstas em acordo coletivo, suprimiu o intervalo intrajornada, submeteu o trabalhador a condições precárias de trabalho e alojamento, além de calcular incorretamente as verbas rescisórias, desconsiderando parcelas salariais habituais.</t>
  </si>
  <si>
    <t>Origem: BMM!45 | ID BMM-041 | Situação original: Ativo | Fase: Execução | Probabilidade de perda original: Possível | Avaliação original: POSSÍVEL INCLUSÃO IDPJ | Contrato: RDC 6 | Última atualização informada: 2026-02-20</t>
  </si>
  <si>
    <t>BMM-041</t>
  </si>
  <si>
    <t>0000696-15.2019.5.05.0581</t>
  </si>
  <si>
    <t>CRISTIANO DE SOUZA PEREIRA</t>
  </si>
  <si>
    <t>CONSÓRCIO SPAVIAS CAVA</t>
  </si>
  <si>
    <t>VT de Ipiaú/BA</t>
  </si>
  <si>
    <t>Trata-se de reclamação trabalhista contra o Consórcio Integral Spavias Traisl, em que o trabalhador alega que foi demitido sem justa causa e não recebeu corretamente salários, verbas rescisórias, FGTS, aviso prévio e demais direitos, além de pedir indenização por danos morais pelo não pagamento das verbas devidas. Contratado em abril de 2017, demitido em outubro de 2018. Função de motorista.</t>
  </si>
  <si>
    <t>Origem: BMM!46 | ID BMM-042 | Situação original: Suspenso / Sobrestado | Fase: Execução | Contrato: RDC 6 | Última atualização informada: 2026-03-13</t>
  </si>
  <si>
    <t>BMM-042</t>
  </si>
  <si>
    <t>0000045-57.2021.5.10.0812</t>
  </si>
  <si>
    <t>JEFFERSON DE SOUSA RODRIGUES</t>
  </si>
  <si>
    <t>2ª VT de Araguaína</t>
  </si>
  <si>
    <t>TRT 10ª Região (DF/TO)</t>
  </si>
  <si>
    <t>Trata-se de reclamação trabalhista contra o Consórcio Integral Spavias Trail Alta, em que o trabalhador afirma ter sido demitido sem justa causa em 28/11/2018 sem receber as verbas rescisórias. Foi adimitido 13/06/2016 com função de operador regular.</t>
  </si>
  <si>
    <t>Origem: BMM!47 | ID BMM-043 | Situação original: Arquivado | Fase: Arquivado | Contrato: RDC 6 | Última atualização informada: 2025-02-18</t>
  </si>
  <si>
    <t>BMM-043</t>
  </si>
  <si>
    <t>0010574-51.2020.5.03.0009</t>
  </si>
  <si>
    <t>Consórcio Spavias Alta</t>
  </si>
  <si>
    <t>FREDERICO LUCAS MENDES DE ALMEIDA</t>
  </si>
  <si>
    <t>1 - Spavia Engenharia LTDA
2 - Consórcio Spavias Alta
3 - Valec</t>
  </si>
  <si>
    <t>9 VT de Belo Horizonte</t>
  </si>
  <si>
    <t>TRT 3ª Região (MG)</t>
  </si>
  <si>
    <t>Origem: BMM!48 | ID BMM-044 | Situação original: Arquivado | Fase: Arquivado | Contrato: RDC 6 | Última atualização informada: 2024-12-27</t>
  </si>
  <si>
    <t>BMM-044</t>
  </si>
  <si>
    <t>0010566-06.2019.5.18.0102</t>
  </si>
  <si>
    <t>JOSÉ MARIA DOS SANTOS</t>
  </si>
  <si>
    <t>2ª VT de Rio Verde/GO</t>
  </si>
  <si>
    <t>rata-se de reclamação trabalhista contra o Consórcio Integral Spavias Trail Alta, em que o trabalhador afirma ter sido demitido sem justa causa em 10/03/2018. Foi adimitido 21/03/2016 com função de eletricista.</t>
  </si>
  <si>
    <t>Origem: BMM!49 | ID BMM-045 | Situação original: Suspenso / Sobrestado | Fase: Execução | Contrato: RDC 6 | Última atualização informada: 2024-12-27</t>
  </si>
  <si>
    <t>BMM-045</t>
  </si>
  <si>
    <t>0010519-26.2019.5.18.0104</t>
  </si>
  <si>
    <t>EDMILSON SOUSA COIMBRA</t>
  </si>
  <si>
    <t>4ª VT de Rio Verde/GO</t>
  </si>
  <si>
    <t>Trata-se de reclamação trabalhista ajuizada contra o Consórcio. Foi adimitido em 08/04/2016 e demitido em 02/02/2018. Alega que o reclamante fez a rescição diretamente com a empresa onde as verbas rescisórias seriam parceladas em duas vezes, mas que não pagou a segunda parcela, não depositou os valores inerentes a multa compesatoria, não integralizou o FGTS, e não pagou a multa pelo atraso. O reclamantwe tinha o cargo de operador de escavadeira hidráulica.</t>
  </si>
  <si>
    <t>Origem: BMM!50 | ID BMM-046 | Situação original: Ativo | Fase: Execução | Probabilidade de perda original: Provável | Avaliação original: PROVÁVEL INCLUSÃO POR IDPJ | Contrato: RDC 6 | Última atualização informada: 2026-10-02</t>
  </si>
  <si>
    <t>BMM-046</t>
  </si>
  <si>
    <t>0010266-75.2018.5.18.0103</t>
  </si>
  <si>
    <t>FRANCISCO BISPO DE MORAIS</t>
  </si>
  <si>
    <t>Trata-se de reclamação trabalhista ajuizada contra o Consórcio. O trabalhador foi contratado como vigia 2016–2017 e demitido sem justa causa. Ele alega que não recebia intervalo adequado para descanso, trabalhava além da jornada aguardando transporte da empresa, prestava serviços em domingos e feriados sem adicional, tinha horas de deslocamento não pagas, diferenças de adicional noturno e falta de depósitos de FGTS. Também afirma que trabalhava em condições precárias.</t>
  </si>
  <si>
    <t>Origem: BMM!51 | ID BMM-047 | Situação original: Suspenso / Sobrestado | Fase: Execução | Probabilidade de perda original: Provável | Avaliação original: PROVÁVEL INCLUSÃO POR IDPJ | Contrato: RDC 6 | Última atualização informada: 2026-06-23</t>
  </si>
  <si>
    <t>BMM-047</t>
  </si>
  <si>
    <t>0010607-67.2019.5.18.0103</t>
  </si>
  <si>
    <t>JORGE AILTON PANTOJA DE CARVALHO</t>
  </si>
  <si>
    <t>3ª VT de Rio Verde/GO</t>
  </si>
  <si>
    <t>O trabalhador foi contratado como vigia em 2016, recebendo R$ 1.800,00, e pede rescisão indireta do contrato porque a empresa não pagou salários de janeiro a junho de 2019 e não depositou corretamente o FGTS. Ele afirma que trabalhava em jornada 12x36 das 17h às 08h sem intervalo, gerando horas extras e supressão do intervalo intrajornada.</t>
  </si>
  <si>
    <t>Origem: BMM!52 | ID BMM-048 | Situação original: Suspenso / Sobrestado | Fase: Execução | Probabilidade de perda original: Provável | Avaliação original: PROVÁVEL INCLUSÃO POR IDPJ | Contrato: RDC 6 | Última atualização informada: 2026-02-02</t>
  </si>
  <si>
    <t>BMM-048</t>
  </si>
  <si>
    <t>0010719-67.2018.5.18.0104</t>
  </si>
  <si>
    <t>JOSÉ CLAUDIO NASCIMENTO DE ALMEIDA</t>
  </si>
  <si>
    <t>1 - Consórcio Integral Spavias Trail
Alta
2 - André Von Bentzeen Rodrigues
3 - Cava Engenharia de Infraestrutura
LTDA
4 - Integral Engenharia LTDA
5 - Alta Engenharia de Infraestrutura
LTDA
6 - Trail Infraestrutura LTDA
7 - Spavias Engenharia LTDA</t>
  </si>
  <si>
    <t>O trabalhador foi contratado em 2016 como vigia, depois passou a soldador, e foi demitido sem justa causa em 2018. Ele alega que a empresa não pagou as horas de deslocamento, pois o local de trabalho era distante e de difícil acesso, sem transporte público, apesar de existir acordo coletivo prevendo pagamento dessas horas.</t>
  </si>
  <si>
    <t>Origem: BMM!53 | ID BMM-049 | Situação original: Suspenso / Sobrestado | Fase: Execução | Probabilidade de perda original: Provável | Avaliação original: PROVÁVEL INCLUSÃO POR IDPJ | Contrato: RDC 6 | Última atualização informada: 2026-02-02</t>
  </si>
  <si>
    <t>BMM-049</t>
  </si>
  <si>
    <t>RAIMUNDO DIAS DA SILVA</t>
  </si>
  <si>
    <t>Trata-se de um processo trabalhista em que o reclamante alega ter laborado em jornada extraordinária habitual, sem o devido pagamento das horas extras.</t>
  </si>
  <si>
    <t>Crítica</t>
  </si>
  <si>
    <t>Origem: BMM!54 | ID BMM-050 | Situação original: Ativo | Fase: Execução | Probabilidade de perda original: Provável | Avaliação original: PROVÁVEL INCLUSÃO POR IDPJ | Contrato: RDC 6 | Última atualização informada: 2026-02-02</t>
  </si>
  <si>
    <t>BMM-050</t>
  </si>
  <si>
    <t>0000273-60.2019.5.22.0103</t>
  </si>
  <si>
    <t>RODOLFO CONCEIÇÃO JUNIOR</t>
  </si>
  <si>
    <t>CONSÓRCIO SPAVIAS ALTA</t>
  </si>
  <si>
    <t>VT de Picos/PI</t>
  </si>
  <si>
    <t>TRT 22ª Região (PI)</t>
  </si>
  <si>
    <t>O trabalhador foi contratado em 2017 como ajudante geral, com salário médio de R$ 1.500, e foi demitido sem justa causa em 2018, sem aviso prévio. Ele alega que a empresa não depositou corretamente o FGTS e não pagou integralmente as verbas rescisórias, mesmo após acordo no sindicato, do qual apenas duas parcelas foram pagas.</t>
  </si>
  <si>
    <t>Origem: BMM!55 | ID BMM-051 | Situação original: Ativo | Fase: Execução | Contrato: N/A | Última atualização informada: 2026-01-30</t>
  </si>
  <si>
    <t>BMM-051</t>
  </si>
  <si>
    <t>0000743-86.2019.5.05.0581</t>
  </si>
  <si>
    <t>DEIGUISON MOTA FERREIRA DA SILVA</t>
  </si>
  <si>
    <t>O trabalhador foi contratado como motorista em 2016 e demitido sem justa causa em 2019. Ele alega que a empresa não pagou salários de setembro a dezembro de 2018, não quitou as verbas rescisórias, 13º salário, férias e diferenças de FGTS com multa de 40%. Também afirma que não recebeu aviso prévio e que os atrasos causaram dificuldades financeiras e danos morais, motivo pelo qual pede pagamento das verbas devidas, multa trabalhista e indenização.</t>
  </si>
  <si>
    <t>Origem: BMM!56 | ID BMM-052 | Situação original: Suspenso / Sobrestado | Fase: Execução | Última atualização informada: 2026-01-09</t>
  </si>
  <si>
    <t>BMM-052</t>
  </si>
  <si>
    <t>0010451-80.2022.5.18.0101</t>
  </si>
  <si>
    <t>FRANCISO CANINDE DA SILVA</t>
  </si>
  <si>
    <t>1 - Consórcio Integral Spavias Trail
Alta
2 - Spavias Engenharia
3 - Serne</t>
  </si>
  <si>
    <t>1ª VT de Rio Verde/GO</t>
  </si>
  <si>
    <t>O trabalhador ajuizou reclamação trabalhista contra o Consórcio Spavias Alta e as empresas integrantes do consórcio, alegando responsabilidade solidária entre elas. Foi contratado em 21/11/2017, trabalhou como servente e depois vigilante, e foi demitido sem justa causa em 07/11/2020, com salário médio de cerca de R$ 2.000,00. Afirma que a empresa não pagou corretamente diversas verbas, como salários atrasados de 2019, 13º salário de 2019, férias + 1/3, verbas rescisórias, FGTS e multa de 40%, além de pedir multas previstas na CLT.</t>
  </si>
  <si>
    <t>Origem: BMM!57 | ID BMM-053 | Situação original: Ativo | Fase: Execução | Contrato: N/A | Última atualização informada: 2026-02-22</t>
  </si>
  <si>
    <t>BMM-053</t>
  </si>
  <si>
    <t>0010450-95.2022.5.18.0101</t>
  </si>
  <si>
    <t>JOÃO FERNANDO BARROS DOURADO</t>
  </si>
  <si>
    <t>1 - Consórcio Integral Spavias
2 - Spavias Engenharia
3 - Serne</t>
  </si>
  <si>
    <t>O trabalhador ajuízou reclamação trabalhista contra o Consórcio Spavias Alta e empresas integrantes, pedindo responsabilidade solidária do grupo econômico. Foi admitido em 07/04/2016 como apropriador, com salário médio de R$ 3.000, e demitido sem justa causa em 13/11/2020. Alega não pagamento de diversas verbas, como salários atrasados de 2019, 13º salário de 2019, férias + 1/3, verbas rescisórias, FGTS e multa de 40%, além de requerer multas dos arts. 467 e 477 da CLT.</t>
  </si>
  <si>
    <t>Origem: BMM!58 | ID BMM-054 | Situação original: Ativo | Fase: Execução | Contrato: N/A | Última atualização informada: 2026-03-13</t>
  </si>
  <si>
    <t>BMM-054</t>
  </si>
  <si>
    <t>0010076-73.2022.5.18.0103</t>
  </si>
  <si>
    <t>ANTÔNIO DA COSTA SILVA</t>
  </si>
  <si>
    <t>1 - Consórcio Integral Spavias Trail
Alta
2 - Spavias
3 - Serne</t>
  </si>
  <si>
    <t>3ª VT de Rio Verde / GO</t>
  </si>
  <si>
    <t>O trabalhador ajuízou reclamação trabalhista contra o Consórcio Spavias Alta e empresas integrantes, alegando grupo econômico e responsabilidade solidária. Trabalhou como vigilante de 02/06/2016 a 02/10/2020, com salário médio de R$ 2.000. Afirma não ter recebido corretamente salários de 2019, 13º de 2019, FGTS e multa de 40%, além de verbas rescisórias, requerendo pagamento dessas parcelas, multas dos arts. 467 e 477 da CLT.</t>
  </si>
  <si>
    <t>Origem: BMM!59 | ID BMM-055 | Situação original: Suspenso / Sobrestado | Fase: Execução | Contrato: N/A | Última atualização informada: 2024-12-27</t>
  </si>
  <si>
    <t>BMM-055</t>
  </si>
  <si>
    <t>0010751-67.2021.5.18.0104</t>
  </si>
  <si>
    <t>GIONEI SILVA SANTOS</t>
  </si>
  <si>
    <t>1 - Consórcio Integral Spavias Trail
Alta
2 - Spavias Engenharia LTDA
3 - Serne Engenharia Eireli</t>
  </si>
  <si>
    <t>o Trabalhador ajuízou reclamação trabalhista contra o Consórcio Spavias Alta e empresas do consórcio, alegando grupo econômico e responsabilidade solidária. Trabalhou como servente e depois vigilante de 10/04/2017 a 02/10/2020, com salário médio de R$ 2.000. Afirma não ter recebido corretamente salários de 2019, férias + 1/3, 13º de 2019, FGTS e multa de 40%, além de verbas rescisórias, requerendo pagamento dessas parcelas, multas dos arts. 467 e 477 da CLT.</t>
  </si>
  <si>
    <t>Origem: BMM!60 | ID BMM-056 | Situação original: Ativo | Fase: Execução | Contrato: N/A | Última atualização informada: 2026-03-03</t>
  </si>
  <si>
    <t>BMM-056</t>
  </si>
  <si>
    <t>0010733-31.2019.5.03.0105</t>
  </si>
  <si>
    <t>ALISSON MOREIRA PEREIRA</t>
  </si>
  <si>
    <t>1 - Spa Engenharia Industria E
Comercio Ltda
2 - Consorcio Spavias - Alta</t>
  </si>
  <si>
    <t>26 VT de BH</t>
  </si>
  <si>
    <t>Origem: BMM!61 | ID BMM-057 | Situação original: Arquivado | Fase: Arquivado | Última atualização informada: 2026-01-27</t>
  </si>
  <si>
    <t>BMM-057</t>
  </si>
  <si>
    <t>0010751-72.2018.5.18.0104</t>
  </si>
  <si>
    <t>RODRIGO DE JESUS MOURA</t>
  </si>
  <si>
    <t>1 - Consórcio Integral Spavias Trail
Alta
2 - Spavias Engenharia LTDA
3 - André Von Bentzeen Rodrigues
4 - Cava Engenharia de Infraestrutura
LTDA
5 - Integral Engenharia LTDA
6 - Trail Infraestrutura LTDA
7 - Alta Engenharua de Infraestrutura
LTDA</t>
  </si>
  <si>
    <t>O trabalhador ajuízou reclamação contra o Consórcio Spavias Alta, alegando que trabalhou de 2016 a 2018 como servente e vigia. Requer horas extras por supressão de intervalo, diferenças nas verbas rescisórias, indenização por dano moral pelas condições precárias de trabalho e multas dos arts. 467 e 477 da CLT.</t>
  </si>
  <si>
    <t>Origem: BMM!62 | ID BMM-058 | Situação original: Ativo | Fase: Execução | Probabilidade de perda original: Provável | Avaliação original: PROVÁVEL INCLUSÃO POR IDPJ | Contrato: RDC 6 | Última atualização informada: 2026-09-02</t>
  </si>
  <si>
    <t>BMM-058</t>
  </si>
  <si>
    <t>0010251-67.2022.5.18.0103 [BMM-059]</t>
  </si>
  <si>
    <t>GERMANO DOS SANTOS BITENCOURT</t>
  </si>
  <si>
    <t>1 - Consórcio Spavias Cava
2 - Spavias Engenharia LTDA
3 - Cava Engenharia de Infraestrutura
LTDA
4 - Integral Engenharia LTDA
5 - Alta Engenharia de Infraestrutura LTDA</t>
  </si>
  <si>
    <t>3ª de Rio Verde</t>
  </si>
  <si>
    <t>Origem: BMM!63 | ID BMM-059 | Situação original: Arquivado | Fase: Arquivado | Última atualização informada: 2024-08-08 | Número repetido na origem: revisar registros; valores excluídos dos totais até revisão</t>
  </si>
  <si>
    <t>BMM-059</t>
  </si>
  <si>
    <t>0010251-67.2022.5.18.0103</t>
  </si>
  <si>
    <t>5540289-89.2025.8.09.0045</t>
  </si>
  <si>
    <t>PEDRO CORRÊA DO NASCIMENTO</t>
  </si>
  <si>
    <t>SETORSUL TRANSPORTES E SERVICOS DE MAO DE OBRA LTDA
BK INFRAESTRUTURA LTDA EM RECUPERACAO JUDICIAL
CAVA ENGENHARIA DE INFRAESTRUTURA LTDA
ALTA ENGENHARIA DE INFRAESTRUTURA LTDA
CONSORCIO LOCTEC PAVIENGE CAVA ALTA SETORSUL</t>
  </si>
  <si>
    <t>Trata-se de ação de cobrança ajuizada por PEDRO CORREA DO NASCIMENTO em
desfavor de Consórcio LOCTEC PAVIENGE CAVA ALTA SETOR SUL.
No caso concreto, houve a produção da prova oral (mov. 29/30). Ademais, estão
presentes as condições da ação (interesse e legitimidade) e os pressupostos processuais.
Portanto, tendo em vista que houve o encerramento da instrução com a produção de
provas em audiência e inexistem prejudiciais de mérito, assim passo a analisar o mérito
propriamente dito.
A parte autora visa a cobrança de valores referentes à locação de caminhão basculante
para execução de obras na BR-020 no Município de Formosa-GO. Afirma ter prestado serviço
para a requerida e essa, por sua vez, não efetuou o pagamento.
Em sede de contestação (mov. 12), a parte promovida alega jamais ter contratado o
serviço do promovente e que todos os serviços contratados pela promovida são feitos por meio
da formalização de contrato.</t>
  </si>
  <si>
    <t>Origem: BMM!64 | ID BMM-060 | Situação original: Ativo | Fase: Execução | Probabilidade de perda original: Remoto | Avaliação original: PERDA REMOTA | Contrato: N/A | Última atualização informada: 2026-01-30</t>
  </si>
  <si>
    <t>BMM-060</t>
  </si>
  <si>
    <t>0010552-28.2019.5.03.0138</t>
  </si>
  <si>
    <t>GUILHERME SANTOS MOREIRA</t>
  </si>
  <si>
    <t>1 - Consórcio Spavias - Alta
2 - Spavias Engenharia LTDA
3 - Alta Engenharia
4 - Cava Engenharia</t>
  </si>
  <si>
    <t>38ª VT de BH</t>
  </si>
  <si>
    <t>O trabalhador ajuizou ação contra o Consórcio Spavias Cava alegando que trabalhou de 2015 a 2019 como encarregado de departamento pessoal, com salário de R$ 4.076,43. Afirma que não recebeu verbas rescisórias, FGTS correto, salários a partir de setembro/2018, 13º de 2018, vale-alimentação, auxílio-aluguel e PLR, além de pedir retificação da CTPS, multa de 40% do FGTS, multas dos arts. 467 e 477 da CLT e demais diferenças trabalhistas.</t>
  </si>
  <si>
    <t>Origem: BMM!65 | ID BMM-061 | Situação original: Suspenso / Sobrestado | Fase: Execução | Probabilidade de perda original: Provável | Avaliação original: PROVÁVEL INCLUSÃO POR IDPJ | Contrato: RDC 6 | Última atualização informada: 2026-02-02</t>
  </si>
  <si>
    <t>BMM-061</t>
  </si>
  <si>
    <t>5158368-83.2018.8.13.0024</t>
  </si>
  <si>
    <t>TRANSVIAS ENGENHARIA LTDA</t>
  </si>
  <si>
    <t>24ª Vara Cível de BH</t>
  </si>
  <si>
    <t>Execução de Título Extrajudicial.</t>
  </si>
  <si>
    <t>Origem: BMM!66 | ID BMM-062 | Situação original: Ativo | Fase: Execução | Última atualização informada: 2024-09-13</t>
  </si>
  <si>
    <t>BMM-062</t>
  </si>
  <si>
    <t>0010471-11.2021.5.03.0138</t>
  </si>
  <si>
    <t>1 - Consórcio Spavias - Alta
Spavias Engenharia LTDA
2 - Alta Engenharia
3 - Cava Engenharia</t>
  </si>
  <si>
    <t>O trabalhador pede execução provisória da sentença porque a empresa não cumpriu acordo trabalhista de R$ 50.000. Após decisões favoráveis na Justiça e vários recursos das empresas, ele requer cobrança imediata da dívida atualizada de R$ 58.038,42, com possibilidade de penhora se não houver pagamento.</t>
  </si>
  <si>
    <t>Origem: BMM!67 | ID BMM-063 | Situação original: Suspenso / Sobrestado | Fase: Execução | Probabilidade de perda original: Provável | Avaliação original: PROVÁVEL INCLUSÃO POR IDPJ | Contrato: RDC 6 | Última atualização informada: 2026-02-26</t>
  </si>
  <si>
    <t>BMM-063</t>
  </si>
  <si>
    <t>0010251-67.2022.5.18.0103 [BMM-064]</t>
  </si>
  <si>
    <t>TRT 18ª Região</t>
  </si>
  <si>
    <t>Verbas trabalhistas e dano moral</t>
  </si>
  <si>
    <t>Origem: BMM!68 | ID BMM-064 | Situação original: Arquivado | Fase: Arquivado | Última atualização informada: 2024-08-08 | Número repetido na origem: revisar registros; valores excluídos dos totais até revisão</t>
  </si>
  <si>
    <t>BMM-064</t>
  </si>
  <si>
    <t>1002777-19.2018.4.01.3500</t>
  </si>
  <si>
    <t>INSS</t>
  </si>
  <si>
    <t>SPAVIAS 
ALTA ENGENHARIA 
TRAIL 
JOSE AMARO DA SILVA E CIA LTDA - ME</t>
  </si>
  <si>
    <t>087ª VF Goânia</t>
  </si>
  <si>
    <t>TRF 1ª Região</t>
  </si>
  <si>
    <t>Relacionado ao acidente reclamado no processo 01532-2015-005-10-00-6 - PROBATÓRIA (Ação de Regresso) - Acidente de trabalho JOSENILDO JOSÉ DE SOUZA</t>
  </si>
  <si>
    <t>Origem: BMM!69 | ID BMM-065 | Situação original: Ativo | Probabilidade de perda original: Possível | Avaliação original: PERDA POSSÍVEL | Contrato: AÇÃO DE COBRANÇA | Última atualização informada: 2026-01-30</t>
  </si>
  <si>
    <t>BMM-065</t>
  </si>
  <si>
    <t>AÇÃO DE COBRANÇA</t>
  </si>
  <si>
    <t>0015510-80.2013.4.01.3800</t>
  </si>
  <si>
    <t>Tributário / Fiscal</t>
  </si>
  <si>
    <t>DELEGADO DA RECEITA FEDERAL EM BH</t>
  </si>
  <si>
    <t>13ª Vara Federal Belo Horizonte</t>
  </si>
  <si>
    <t>Trata-se de Mandado de Segurança por meio do qual se busca o reconhecimento do direito ao não recolhimento das
contribuições previdenciárias incidentes sobre a folha de salários (contribuição de 20%, SAT/RAT) e das contribuições devidas ao SESI, ao SENAI, ao SEBRAE e ao Fundo Nacional de Desenvolvimento da Educação (Salário Educação) incidentes sobre o pagamento referente às férias gozadas</t>
  </si>
  <si>
    <t>Origem: BMM!70 | ID BMM-066 | Situação original: Arquivado | Fase: Arquivado | Última atualização informada: 2024-08-08</t>
  </si>
  <si>
    <t>BMM-066</t>
  </si>
  <si>
    <t>8002509-98.2021.8.05.0231</t>
  </si>
  <si>
    <t>MUNICÍPIO DE SÃO DESIDÉRIO / BA</t>
  </si>
  <si>
    <t>Vara Fórum de São Desidério</t>
  </si>
  <si>
    <t>TJBA</t>
  </si>
  <si>
    <t>Trata-se de Execução Fiscal ajuizada pelo Município de São Desidério, referente à Taxa de Fiscalização e Funcionamento dos exercícios de 2019 e 2020.</t>
  </si>
  <si>
    <t>Origem: BMM!71 | ID BMM-067 | Situação original: Arquivado | Fase: Arquivado | Última atualização informada: 2026-02-20</t>
  </si>
  <si>
    <t>BMM-067</t>
  </si>
  <si>
    <t>AUTO DE INFRAÇÃO Nº 06.2019</t>
  </si>
  <si>
    <t>Administrativo</t>
  </si>
  <si>
    <t>MUNICÍPIO DE GILBUÉS - PIAUÍ</t>
  </si>
  <si>
    <t>Cuida-se de Auto de Infração por meio do qual o fisco municipal pretende o recebimento de crédito tributário composto por ISS, multa e juros. O período albergado por esta fiscalização é de fevereiro de 2014 a junho de 2015. (Estranhamente, em outubro de 2019, a empresa recebeu um segundo Auto de Infração com a mesma cobrança. Foi apresentada uma segunda Impugnação atestando tal duplicidade. )</t>
  </si>
  <si>
    <t>Origem: BMM!72 | ID BMM-068 | Situação original: Arquivado | Fase: Arquivado | Última atualização informada: 2026-02-02</t>
  </si>
  <si>
    <t>BMM-068</t>
  </si>
  <si>
    <t>AUTO DE INFRAÇÃO Nº 07.2019</t>
  </si>
  <si>
    <t>PAVISOLOS E SONDAG CONSULTORIA LTDA</t>
  </si>
  <si>
    <t>Cuida-se de Auto de Infração por meio do qual o Município de Gilbués pretende o recebimento de ISS, multa e juros. O período albergado por esta fiscalização é de fevereiro de 2014 a junho de 2015.</t>
  </si>
  <si>
    <t>Origem: BMM!73 | ID BMM-069 | Situação original: Ativo | Fase: Distribuição / Citação | Probabilidade de perda original: Possível | Avaliação original: PERDA POSSÍVEL | Última atualização informada: 2026-01-22</t>
  </si>
  <si>
    <t>BMM-069</t>
  </si>
  <si>
    <t>Distribuição / Citação</t>
  </si>
  <si>
    <t>1012801-81.2019.4.01.3400</t>
  </si>
  <si>
    <t>VALEC ENGENHARIA CONTRUÇÕES E FERROVIAS S.A</t>
  </si>
  <si>
    <t>CONSORCIO SPAVIAS -ALTA</t>
  </si>
  <si>
    <t>Trata-se de um processo em que o consórcio autor busca a condenação da parte ré ao pagamento de R$ 1.501.326,27, referente à correção monetária e juros moratórios decorrentes de pagamentos realizados em atraso durante a execução de contrato administrativo.
O autor alega que a ré efetuou atrasos no pagamento de medições da obra nos anos de 2014 e 2016, o que o obrigou a buscar financiamento no mercado financeiro para manter a execução do contrato. Sustenta ainda que, quando os pagamentos foram realizados, não houve a aplicação da correção monetária pelo IGPM nem dos juros de mora de 6% ao ano, previstos na legislação e nas cláusulas contratuais, razão pela qual requer o pagamento das diferenças devidas.</t>
  </si>
  <si>
    <t>Origem: BMM!74 | ID BMM-070 | Situação original: Ativo | Fase: Distribuição / Citação | Última atualização informada: 2025-09-30</t>
  </si>
  <si>
    <t>BMM-070</t>
  </si>
  <si>
    <t>5074087-97.2018.8.13.0024</t>
  </si>
  <si>
    <t>MR COPIADORAS DIGITAIS LTDA</t>
  </si>
  <si>
    <t>35ª Vara Cível de BH</t>
  </si>
  <si>
    <t>MR Copiadoras Digitais Ltda entrou com ação monitória contra o Consórcio Integral Spavias Trail Alta para cobrar faturas não pagas de um contrato de locação de equipamentos, no valor aproximado de R$ 7.714,47, acrescido de correção, juros e honorários.</t>
  </si>
  <si>
    <t>Origem: BMM!75 | ID BMM-071 | Situação original: Ativo | Fase: Distribuição / Citação | Contrato: N/A | Última atualização informada: 2026-02-02</t>
  </si>
  <si>
    <t>BMM-071</t>
  </si>
  <si>
    <t>5096306-36.2020.8.13.0024</t>
  </si>
  <si>
    <t>Embargos à execução contra uma cobrança feita ple a TRANVSVIAS ENGENHARIA, O consórcio alega que parte dos documentos usados para cobrar a dívida (notas fiscais) não constitui título executivo válido, tentando assim anular ou impedir a execução da cobrança.</t>
  </si>
  <si>
    <t>Origem: BMM!76 | ID BMM-072 | Situação original: Ativo | Fase: Distribuição / Citação | Contrato: N/A | Última atualização informada: 2026-02-02</t>
  </si>
  <si>
    <t>BMM-072</t>
  </si>
  <si>
    <t>0001532-68.2015.5.10.0005</t>
  </si>
  <si>
    <t>1 - MARIA TERESA SOARES MOREIRA
2 - JOSÉ FONSECA FILHO</t>
  </si>
  <si>
    <t>1 - Cesar Transportes, Guindastes e
Equipamentos LTDA
2 - União - Ministérios dos Transportes
3 - União - Agência Nacional de
Transportes Terrestres
4 - Valec - Engenharia, Construções e
Ferrovias S/A
5 - Spavias Engenharia LTDA
6 - Alta Engenharia de Infraestrutura
LTDA
7 - Trail Infraestrutura LTDA
8 - Integral Engenharia LTDA</t>
  </si>
  <si>
    <t>05ª VT de Brasília</t>
  </si>
  <si>
    <t>Ação trabalhista de indenização proposta pelos pais de um trabalhador falecido (Juscelino Soares Fonseca) após acidente de trabalho em obra ferroviária. Eles alegam que o empregado morreu ao cair de uma estrutura de ponte durante o serviço, por falta de segurança no trabalho, e pedem indenização por danos morais e materiais, responsabilizando várias empresas da obra e órgãos públicos, como a União Federal, a Agência Nacional de Transportes Terrestres e a VALEC – Engenharia, Construções e Ferrovias S.A..
Empregado da CESAR TRASNP. GUINO E EQUIP LTDA. Admitido em 18/05/2011 sendo AUXILIAR DE REMOÇÃO.</t>
  </si>
  <si>
    <t>Origem: BMM!77 | ID BMM-073 | Situação original: Ativo | Fase: Liquidação / Cumprimento de sentença | Probabilidade de perda original: Provável | Avaliação original: PROVÁVEL | Contrato: RDC 04 | Última atualização informada: 2026-09-18</t>
  </si>
  <si>
    <t>BMM-073</t>
  </si>
  <si>
    <t>RDC 04</t>
  </si>
  <si>
    <t>0010968-84.2019.5.18.0103 [BMM-074]</t>
  </si>
  <si>
    <t>SONIA MARIA RIBEIRO ROSA MOTA</t>
  </si>
  <si>
    <t>Origem: BMM!78 | ID BMM-074 | Situação original: Arquivado | Fase: Arquivado | Última atualização informada: 2026-02-20 | Número repetido na origem: revisar registros; valores excluídos dos totais até revisão</t>
  </si>
  <si>
    <t>BMM-074</t>
  </si>
  <si>
    <t>0071379-91.2014.4.01.3800</t>
  </si>
  <si>
    <t>14ª Vara Federal Belo Horizonte</t>
  </si>
  <si>
    <t>Trata-se de Mandado de Segurança por meio do qual se busca afastar ato contrário ao Direito da Impetrante, consistente na
exigência do PIS e da COFINS inflados pela inserção, em suas bases de cáculo, do ISS.</t>
  </si>
  <si>
    <t>Origem: BMM!79 | ID BMM-075 | Situação original: Suspenso / Sobrestado | Fase: Recursos | Probabilidade de perda original: Possível | Avaliação original: PERDA POSSÍVEL | Contrato: N/A | Última atualização informada: 2026-01-30</t>
  </si>
  <si>
    <t>BMM-075</t>
  </si>
  <si>
    <t>Recursos</t>
  </si>
  <si>
    <t>0049710-50.2012.4.01.3800</t>
  </si>
  <si>
    <t>Trata-se de Mandado de Segurança por meio do qual se busca o reconhecimento do direito da Impetrante ao não recolhimento
das contribuições patronais (inclusive o SAT/RAT), Salário Educação, SESI, SENAI e SEBRAE sobre os valores pagos pela
empresa a título de 1/3 de férias, aviso-prévio indenizado, auxílios doença e acidente, auxílio maternidade, licença paternidade,
adicional de horas extraordinárias e 13º salário.</t>
  </si>
  <si>
    <t>Origem: BMM!80 | ID BMM-076 | Situação original: Ativo | Fase: Recursos | Probabilidade de perda original: Possível | Avaliação original: PERDA POSSÍVEL | Contrato: N/A | Última atualização informada: 2026-09-10</t>
  </si>
  <si>
    <t>BMM-076</t>
  </si>
  <si>
    <t>0032498-11.2015.4.01.3800</t>
  </si>
  <si>
    <t>UNIÃO FEDERAL</t>
  </si>
  <si>
    <t>15ª Vara Federal Belo Horizonte</t>
  </si>
  <si>
    <t>Trata-se de Ação Ordinária por meio da qual a Autora pretende seja declarada a ilegalidade do reenquadramento, pelo Decreto nº 6.957/09, do risco acidentário da atividade classificada sob CNAE 71.12-0-00, por ela desenvolvida, declarando-se, por conseguinte, o seu direito de continuar a recolher a contribuição ao SAT/RAT com incidência da alíquota de 1%, nos termos previstos no Decreto nº 6.042/07.</t>
  </si>
  <si>
    <t>Origem: BMM!81 | ID BMM-077 | Situação original: Arquivado | Fase: Arquivado | Probabilidade de perda original: Provável | Avaliação original: PERDA PROVÁVEL | Última atualização informada: 2026-01-30</t>
  </si>
  <si>
    <t>BMM-077</t>
  </si>
  <si>
    <t>5035486-22.2018.8.13.0024</t>
  </si>
  <si>
    <t>VIBRA ENERGIA S.A</t>
  </si>
  <si>
    <t>Processo distribuído por dependência dos autos nº 5119575-46.2016.8.13.0024 (Execução de Título Extrajudicial)</t>
  </si>
  <si>
    <t>Origem: BMM!82 | ID BMM-078 | Situação original: Arquivado | Fase: Arquivado | Última atualização informada: 2025-11-17</t>
  </si>
  <si>
    <t>BMM-078</t>
  </si>
  <si>
    <t>0010246-78.2024.5.18.0231</t>
  </si>
  <si>
    <t>Ailton Alves de Souza
Ana Claudia Alves de Souza</t>
  </si>
  <si>
    <t>1. BK Infraestrutura LTDA (Loctec)
2. Paviege Engenharia LTDA
3. Consórcio Loctec Pavienge Cava Alta Setorsul
4. Setor Sul Transportes e Serviços de mão de obra
5. Cava Engenharia de Infraestrutura LTDA
6. Alta Engenharia de Infraestrutura LTDA
7. Agencia Goiania de Infraestrutura e Transportes</t>
  </si>
  <si>
    <t>VT de Posse</t>
  </si>
  <si>
    <t>O obreiro, ADELCIO BONFIM DE SOUZA foi contratado em 17/06/2022, para exercer a função de motorista de caminhão basculante, função que exerceu até seu óbito em 30/11/2022.
Requerem reparação material, dano moral por lesão ao direito de natureza extrapatrimonial, e verbas trabalhistas pendentes. 
Alta não tem referência ao contrato em que Adelcio trabalhou, a contratação da obra e dos serviços foi exclusiva da LOCTEC.</t>
  </si>
  <si>
    <t>Origem: BMM!83 | ID BMM-079 | Situação original: Excluído da lide | Fase: Recursos | Probabilidade de perda original: Remoto | Avaliação original: REMOTO. A ALTA FOI ABSOLVIDA. | Última atualização informada: 2026-02-02</t>
  </si>
  <si>
    <t>BMM-079</t>
  </si>
  <si>
    <t>0010245-93.2024.5.18.0231</t>
  </si>
  <si>
    <t>Alessandra Magalhães do Prazo
Maria Eduarda Souza Magalhães
Antônio Neto Souza Magalhães</t>
  </si>
  <si>
    <t>Origem: BMM!84 | ID BMM-080 | Situação original: Encerrado | Fase: Recursos | Última atualização informada: 2026-09-08</t>
  </si>
  <si>
    <t>BMM-080</t>
  </si>
  <si>
    <t>0010298-49.2024.5.18.0013</t>
  </si>
  <si>
    <t>Francisco Rodriques de Oliveira Neto</t>
  </si>
  <si>
    <t>13ª VT de Goiânia</t>
  </si>
  <si>
    <t>O Reclamante alegou que foi contratado pela 01ª Reclamada no dia 07/08/2023 para exercer a função de topógrafo mediante remuneração mensal de R$9.040,00. Disse que em 01/05/2019 sofreu redução salarial para R$5.000,00. Sendo assim, ingressou com reclamatória trabalhista com os seguintes 
pedidos: 
1.Declaração de grupo econômico entre as Reclamadas.
2.Pagamento de salários de julho de 2018 a agosto de 2019.
3.Diferença salarial por redução salarial. 
4.Dobra das férias. 
5.Pagamento de décimo terceiro salário.
6.Diferença de FGTS e multa de 40%.
7.Nulidade do pedido de demissão para conversão em rescisão indireta. 
8.Verbas rescisórias.
9.Multa dos Arts. 467 e 477 da CLT. 
10. Honorários advocatícios.</t>
  </si>
  <si>
    <t>Origem: BMM!85 | ID BMM-081 | Situação original: Arquivado | Fase: Arquivado | Última atualização informada: 2026-02-02</t>
  </si>
  <si>
    <t>BMM-081</t>
  </si>
  <si>
    <t>0012596-61.2015.5.18.0261</t>
  </si>
  <si>
    <t>PAULO RIBEIRO PEREIRA</t>
  </si>
  <si>
    <t>1 - Consórcio Trail-Spavias-Alta
2 - VALEC</t>
  </si>
  <si>
    <t>VT de Goianésia</t>
  </si>
  <si>
    <t>Origem: BMM!86 | ID BMM-082 | Situação original: Suspenso / Sobrestado | Fase: Recursos | Última atualização informada: 2024-12-27</t>
  </si>
  <si>
    <t>BMM-082</t>
  </si>
  <si>
    <t>0010756-19.2018.5.18.0129</t>
  </si>
  <si>
    <t>BETOJOABE SOARES DO NASCIMENTO</t>
  </si>
  <si>
    <t>CONSÓRCIO INTEGRAL SPAVIAS TRAIL ALTA VALEC</t>
  </si>
  <si>
    <t>3 ªVT de Rio Verde</t>
  </si>
  <si>
    <t>O contrato de trabalho do reclamante perdurou de 05/04/2016 a 02/02/2018.</t>
  </si>
  <si>
    <t>Origem: BMM!87 | ID BMM-083 | Situação original: Ativo | Fase: Recursos | Probabilidade de perda original: Provável | Avaliação original: PROVÁVEL, INCLUSÃO POR IDPJ | Contrato: RDC 06 | Última atualização informada: 2026-09-15</t>
  </si>
  <si>
    <t>BMM-083</t>
  </si>
  <si>
    <t>RDC 06</t>
  </si>
  <si>
    <t>0010522-50.2020.5.18.0102</t>
  </si>
  <si>
    <t>LUIZ FERNANDO
MACEDO DE
OLIVEIRA</t>
  </si>
  <si>
    <t>1 - Consórcio Spavias Cava
2 - Spavias Engenharia LTDA
3 - Spavias Engenharia Indústria e
Comércio LTDA
4 - Cava Engenharia de Infraestrutura
LTDA
5 - Valec Engenharia</t>
  </si>
  <si>
    <t>02ª VT de Rio Verde</t>
  </si>
  <si>
    <t>Ação trabalhista em que um ex-funcionário cobra das empresas salários atrasados, verbas de rescisão não pagas,FGTS e multa, reembolso de despesas de trabalho.
Ele alega que foi demitido sem justa causa e não recebeu corretamente seus direitos, então pediu que as empresas do consórcio e a Valec Engenharia sejam responsabilizadas pelo pagamento. Foi admitido em 01/03/2017 como Gerente de contrato e ispensado sem justa causa em 02/12/2019.</t>
  </si>
  <si>
    <t>Origem: BMM!88 | ID BMM-084 | Situação original: Suspenso / Sobrestado | Fase: Recursos | Última atualização informada: 2026-02-06</t>
  </si>
  <si>
    <t>BMM-084</t>
  </si>
  <si>
    <t>0010993-94.2019.5.18.0104</t>
  </si>
  <si>
    <t>Sindicato Dos
Trabalhadores Nas
Industrias Da
Construcao</t>
  </si>
  <si>
    <t>1 - Consórcio Integral Spavias Trail
Alta
2 - SPA Engenharia Indústria e
Comércio LTDA
3 - Alta Engenharia de Infraestrutura
LTDA
4 - Spavias Engenharia LTDA
5 - Integral Engenharia LTDA
6 - Trail Infraestrutura LTDA
7 - Consórcio Telar - Spavias
8 - Valec Engenharia Construções e
Ferrovias S/A</t>
  </si>
  <si>
    <t>O recurso do Sindicato foi provido para condenar a
Alta até o período que ela particilou do processo,
porém, em sustenação oral feita pelo BMM, o Relator
pediu vista do processo. Estamos aguardando alguma
mudança no voto do relator. O Acórdão ainda não foi
publicado.</t>
  </si>
  <si>
    <t>Origem: BMM!89 | ID BMM-085 | Situação original: Ativo | Fase: Recursos | Probabilidade de perda original: Provável | Avaliação original: PROVÁVEL. AÇÃO COLETIVA DE SINDICATO. | Contrato: RDC 6 | Última atualização informada: 2026-02-02</t>
  </si>
  <si>
    <t>BMM-085</t>
  </si>
  <si>
    <t>1000876-51.2020.5.02.0261</t>
  </si>
  <si>
    <t>DAMIÃO DE JESUS RIBEIRO FIGUEIREDO</t>
  </si>
  <si>
    <t>1 - Consórcio Spavias Cava
2 - Valec</t>
  </si>
  <si>
    <t>1ª VT de Diadema</t>
  </si>
  <si>
    <t>TRT 2ª Região (SP)</t>
  </si>
  <si>
    <t>Trata-se de um processo trabalhista ajuizado por Damião em face do Consórcio Spavias Cava e Valec Engenharia Construções e Ferrovias S/A. O reclamante afirma ter trabalhado para a primeira reclamada de 01/09/2016 a 28/11/2018, na função de Operador Mantenedor Sacadora VI, percebendo última remuneração de R$ 5.155,20. Na ação, requer o reconhecimento da responsabilidade subsidiária da segunda reclamada, bem como o pagamento de verbas rescisórias, diferenças de FGTS acrescidas de 40%, multas dos artigos 467 e 477 da CLT, justiça gratuita e honorários advocatícios.</t>
  </si>
  <si>
    <t>Origem: BMM!90 | ID BMM-086 | Situação original: Ativo | Fase: Recursos | Contrato: N/A | Última atualização informada: 2026-02-06</t>
  </si>
  <si>
    <t>BMM-086</t>
  </si>
  <si>
    <t>0010723-70.2019.5.18.0104</t>
  </si>
  <si>
    <t>1 - Consórcio Integral Spavias Trail
Alta
2 - SPA Engenharia Indústria e
Comércio LTDA
3 - Alta Engenharua de Infraestrutura
LTDA
4 - Spavias Engenharia LTDA
5 - Integral Engenharia LTDA
6 - Trail Infraestrutura LTDA
7 - Consórcio Telar - Spavias
8 - Valec Engenharia Construções e
Ferrovias S/A</t>
  </si>
  <si>
    <t>Trata-se de um processo em que o Sindicato dos Trabalhadores nas Indústrias da Construção Pesada no Estado de Goiás (STICEP) ajuizou ação de obrigação de fazer em face de diversas empresas e consórcios, em razão do descumprimento de acordo coletivo de trabalho.O sindicato relata que foi firmado acordo em 08/02/2018, posteriormente aditado em 16/04/2019, prevendo o pagamento de salários atrasados, verbas rescisórias e FGTS, em parcelas. Diante do inadimplemento das obrigações assumidas pelas rés, o sindicato ingressou com a ação requerendo, entre outras medidas, o bloqueio de valores nas contas das empresas para garantir o cumprimento do acordo.</t>
  </si>
  <si>
    <t>Origem: BMM!91 | ID BMM-087 | Situação original: Ativo | Fase: Recursos | Probabilidade de perda original: Provável | Avaliação original: PROVÁVEL. AÇÃO COLETIVA DE SINDICATO. | Contrato: RDC 6 | Última atualização informada: 2026-04-23</t>
  </si>
  <si>
    <t>BMM-087</t>
  </si>
  <si>
    <t>0000159-22.2025.5.18.0201</t>
  </si>
  <si>
    <t>RODRYANGELO GABRIEL DE SOUZA</t>
  </si>
  <si>
    <t>18ª vt uruaçu/GO</t>
  </si>
  <si>
    <t>O sindicato relata que foi firmado acordo em 08/02/2018, posteriormente aditado em 16/04/2019, prevendo o pagamento de salários atrasados, verbas rescisórias e FGTS, em parcelas. Diante do inadimplemento das obrigações assumidas pelas rés, o sindicato ingressou com a ação requerendo, entre outras medidas, o bloqueio de valores nas contas das empresas para garantir o cumprimento do acordo.</t>
  </si>
  <si>
    <t>Origem: BMM!92 | ID BMM-088 | Situação original: Arquivado | Fase: Arquivado | Avaliação original: FINALIZADO. | Última atualização informada: 2026-02-02</t>
  </si>
  <si>
    <t>BMM-088</t>
  </si>
  <si>
    <t>0820668-09.2024.8.12.0001</t>
  </si>
  <si>
    <t>FRANCISNEY SILVA SOUZA</t>
  </si>
  <si>
    <t>13º vara Cível de Campo Grande</t>
  </si>
  <si>
    <t>TJMS</t>
  </si>
  <si>
    <t>Ação de obrigação de fazer c/c danos morais.
O autor fora desligado da empresa no dia 
03 de março de 2022, no entanto primeira e segunda requeridas (Alta e Movida) continuam 
renovando os contratos utilizando a assinatura do autor.</t>
  </si>
  <si>
    <t>Origem: BMM!93 | ID BMM-089 | Situação original: Ativo | Fase: Sentença | Contrato: N/A | Última atualização informada: 2026-09-09</t>
  </si>
  <si>
    <t>BMM-089</t>
  </si>
  <si>
    <t>Sentença</t>
  </si>
  <si>
    <t>0010941-35.2018.5.18.0104 [BMM-090]</t>
  </si>
  <si>
    <t>Secretaria da 4ª Turma</t>
  </si>
  <si>
    <t>Origem: BMM!94 | ID BMM-090 | Situação original: Suspenso / Sobrestado | Fase: Suspenso | Última atualização informada: 2024-08-08 | Número repetido na origem: revisar registros; valores excluídos dos totais até revisão</t>
  </si>
  <si>
    <t>BMM-090</t>
  </si>
  <si>
    <t>5263294-40.2021.8.09.0051</t>
  </si>
  <si>
    <t>ELECAUD ENGENHARIA LTDA</t>
  </si>
  <si>
    <t>CONSORCIO TRAIL SPAVIAS ALTA
SPAVIAS ENGENHARIA LTDA
ANDRÉ VON BENTZEEN RODRIGUES
TRAIL INFRAESTRUTURA LTDA
ALTA ENGENHARIA DE CONSULTORIA LTDA</t>
  </si>
  <si>
    <t>17ª Vara Cível de Goiania</t>
  </si>
  <si>
    <t>Contratação de serviços (fev/2014) ao longo da Ferrovia Norte Sul, sob o regime de subempreitada, com utilização de mão de obra equipamentos. Reajuste contratual firmado após um ano de contrato e reconhecimento de dívida de retenção de 5% do contrato. Pendência financeira, no pagamento das seguintes notas: NF 23 - R$ 23.954,81; NF 15 - R$ 268.625,84 e; rentenções de contrato nos valores de R$ 120+614,64 e R$ 73.174,10.</t>
  </si>
  <si>
    <t>Origem: BMM!95 | ID BMM-091 | Situação original: Ativo | Fase: Encerramento | Probabilidade de perda original: Remoto | Avaliação original: REMOTO | Contrato: Contratos Empresariais | Última atualização informada: 2026-01-30</t>
  </si>
  <si>
    <t>BMM-091</t>
  </si>
  <si>
    <t>Encerramento</t>
  </si>
  <si>
    <t>5542516-52.2025.8.09.0045</t>
  </si>
  <si>
    <t>ELIAS FERREIRA DE CASTRO FILHO</t>
  </si>
  <si>
    <t>CONSORCIO LOCTEC PAVIENGE CAVA ALTA SETORSUL
SETORSUL TRANSPORTES E SERVICOS DE MAO DE OBRA LTDA
BK INFRAESTRUTURA LTDA EM RECUPERACAO JUDICIAL
CAVA ENGENHARIA DE INFRAESTRUTURA LTDA
ALTA ENGENHARIA DE INFRAESTRUTURA LTDA</t>
  </si>
  <si>
    <t>Pedido de IDPJ - Incidente de Desconsideração de Personalidade Jurídica do Consórcio, no Juizado Especial de GO, para atingir as Consorciadas (como a Alta, que detém 1%), buscando cobrar delas, solidariamente, o valor de R$13.116,91.
O juiz extinguiu liminarmente o IDPJ, por entender que deveria ser requerido no próprio processo. O Elias (credor), apresentou Embargos de Declaração requerendo a revisão desta sentença, motivo pelo qual vocês foram intimados.</t>
  </si>
  <si>
    <t>Origem: BMM!96 | ID BMM-092 | Situação original: Arquivado | Fase: Arquivado | Avaliação original: FINALIZADO. PROCESSO JÁ FOI QUITADO. | Última atualização informada: 2026-02-02</t>
  </si>
  <si>
    <t>BMM-092</t>
  </si>
  <si>
    <t>0011074-81.2024.5.03.0008 [BMM-093]</t>
  </si>
  <si>
    <t>ALDEIR PEREIRA</t>
  </si>
  <si>
    <t>CHATEAU DE LINZ EMPREENDIMENTO IMOBILIARIO SPE LTDA</t>
  </si>
  <si>
    <t>Pedido de rescisçao indireta por descumprimento de obrigações trabalhistas como: Não depósito regular do FGTS, falta de recolhimento do INSS, atrasos salariais constantes e ausência de pagamento desde agosto/2024, não pagamento de cesta básica prevista em CCT, atraso/irregularidade no vale transporte, não concessão de café da manhã previsto em CCT, férias vencidas não concedidas nem pagas. Requer o reconhecimento da rescisão indireta e o pagamento de todas as verbas rescisórias devidas.</t>
  </si>
  <si>
    <t>Origem: BMM!97 | ID BMM-093 | Situação original: Ativo | Contrato: N/A | Última atualização informada: 2026-02-11 | Número repetido na origem: revisar registros; valores excluídos dos totais até revisão</t>
  </si>
  <si>
    <t>BMM-093</t>
  </si>
  <si>
    <t>0011074-81.2024.5.03.0008</t>
  </si>
  <si>
    <t>1095925-23.2025.8.13.0024</t>
  </si>
  <si>
    <t>EMBARGANTE: ALTA ENGENHARIA</t>
  </si>
  <si>
    <t>EMBARGADO: VIBRA ENERGIA S/A</t>
  </si>
  <si>
    <t>Tratam-se de Embargos à Execução (processo nº 5119575-46.2016.8.13.0024), por meio dos quais se argui a prescrição da 
pretensão executória, visando a extinção do feito com resolução de mérito.</t>
  </si>
  <si>
    <t>Origem: BMM!98 | ID BMM-094 | Situação original: Ativo | Probabilidade de perda original: Remoto | Avaliação original: PERDA REMOTA | Contrato: N/A | Última atualização informada: 2026-02-11</t>
  </si>
  <si>
    <t>BMM-094</t>
  </si>
  <si>
    <t>0000330-07.2025.5.10.0005</t>
  </si>
  <si>
    <t>MARIA TERESA SOARES MOREIRA E JOSÉ FONSECA FILHO</t>
  </si>
  <si>
    <t>ALTA ENGENHARIA DE INFRAESTRUTURA LTDA. CESAR TRANSPORTES GUINDASTES E EQUIPAMENTOS LTDA, UNIÃO MINISTÉRIOS DOS TRANSPORTES, UNIÃO AGÊNCIA NACIONAL DE TRANSPORTES TERRESTRES, VALEC ENGENHARIA CONSTRUÇÕES E FERROVIAS S/A, SPAVIAS ENGENHARIA LTDA, TRAIL INFRAESTRUTURA LTDA E INTEGRAL ENGENHARIA LTDA</t>
  </si>
  <si>
    <t>5ª VT de Tocantins</t>
  </si>
  <si>
    <t>Origem: BMM!99 | ID BMM-095 | Situação original: Ativo | Probabilidade de perda original: Provável | Avaliação original: PROVÁVEL | Contrato: RDC 04 | Última atualização informada: 2026-09-21</t>
  </si>
  <si>
    <t>BMM-095</t>
  </si>
  <si>
    <t>0001127-22.2025.5.18.0211</t>
  </si>
  <si>
    <t>AILTON ALVES DE SOUZA E ANA CLAUDIA ALVES DE SOUZA</t>
  </si>
  <si>
    <t>BK INFRAESTRUTURA LTDA, PAVIEGE ENGENHARIA LTDA, CONSÓRCIO LOCTEC PAVIENGE CAVA ALTA SETORSUL, SETOR SUL TRANSPORTES E SERVIÇOS DE MÃO DE OBRA, CAVA ENGENHARIA DE INFRAESTRUTURA LTDA, ALTA ENGENHARIA DE INFRAESTRUTURA LTDA, AGENCIA GOIANIA DE INFRAESTRUTURA E TRANSPORTES</t>
  </si>
  <si>
    <t>Origem: BMM!100 | ID BMM-096 | Situação original: Excluído da lide | Avaliação original: FINALIZADO PARA A ALTA. ALTA FOI EXCLUIDA DO PROCESSO PRINCIPAL. | Contrato: N/A | Última atualização informada: 2026-02-11</t>
  </si>
  <si>
    <t>BMM-096</t>
  </si>
  <si>
    <t>0001128-07.2025.5.18.0211</t>
  </si>
  <si>
    <t>ALESSANDRA MAGALHÃES DO PRAZO
MARIA EDUARDA SOUZA MAGALHÃES 
ANTÔNIO NETO SOUZA MAGALHÃES</t>
  </si>
  <si>
    <t>Origem: BMM!101 | ID BMM-097 | Situação original: Excluído da lide | Avaliação original: FINALIZADO PARA A ALTA. ALTA FOI EXCLUIDA DO PROCESSO PRINCIPAL. | Última atualização informada: 2026-02-11</t>
  </si>
  <si>
    <t>BMM-097</t>
  </si>
  <si>
    <t>0010890-77.2018.5.18.0054</t>
  </si>
  <si>
    <t>GENIVALDO RODRIGUES NEDINO</t>
  </si>
  <si>
    <t>BK INFRAESTRUTURA LTDA EM RECUPRAÇÃO JUDICIAL, JOAO SILVA FILHO, QUANTUM INVESTIMENTO E PARTICIPAÇÕES EIRELI, PAVIENGE ENGENHARIA LTDA, CAVA ENGENHARIA DE INFRESTRUTURA LTDA, SETORSUL TRANSPORTES E SERVIÇÕS DE MÃO DE OBRA LTDA, JOSE ELIAS ATTUX LOCPAR INVESTIMENTO E PARTICIPAÇÕES EIRELI</t>
  </si>
  <si>
    <t>Reclamação trabalhista em face da LOCTEC. foi contratado em 06/04/2018 como ajudante de obra, dispensado sem o pagamento de suas verbas. ALTA foi incluída como responsável solidária mesmo que o consórcio tenha sido constituido para obra diversa da prestação de serviços do esquente e em localizade distinta.</t>
  </si>
  <si>
    <t>Origem: BMM!102 | ID BMM-098 | Situação original: Arquivado | Fase: Arquivado | Probabilidade de perda original: Remoto | Avaliação original: REMOTO, O RECLAMANTE ERA EMPREGADO DA LOCTEC | Contrato: N/A | Última atualização informada: 2026-03-03</t>
  </si>
  <si>
    <t>BMM-098</t>
  </si>
  <si>
    <t>0010008-81.2019.5.18.0054</t>
  </si>
  <si>
    <t>VILMAR ALVES DOS SANTOS</t>
  </si>
  <si>
    <t>54ª VT de GO</t>
  </si>
  <si>
    <t>Trata-se de um processo trabalhista ajuizado em face de Loctec Engenharia Ltda. e Agência Goiana de Transportes e Obras, no qual o reclamante alega ter trabalhado para a primeira reclamada no período de 01/06/2017 a 24/11/2018. Na ação, pleiteia o pagamento de salários atrasados, verbas rescisórias, FGTS com multa de 40%, horas intervalares, indenização por dano moral, multas dos artigos 467 e 477 da CLT. Alta foi incluída como responsável solidário.</t>
  </si>
  <si>
    <t>Origem: BMM!103 | ID BMM-099 | Situação original: Arquivado | Fase: Arquivado | Probabilidade de perda original: Remoto | Avaliação original: REMOTO, O RECLAMANTE ERA EMPREGADO DA LOCTEC | Contrato: N/A | Última atualização informada: 2026-02-19</t>
  </si>
  <si>
    <t>BMM-099</t>
  </si>
  <si>
    <t>0010009-66.2019.5.18.0054</t>
  </si>
  <si>
    <t>WILAMIS CALIXTO DOS SANTOS</t>
  </si>
  <si>
    <t>Trata-se de processo trabalhista contra LOCTEC E AGETOPAG. ALTA foi incluída como responsável solidária mesmo que o consórcio tenha sido constituido para obra diversa da prestação de serviços do esquente e em localizade distinta. Afirmam que o contrato de trabalho do exequente coexistiu com o período de vigência do consórcio. Foi contratado em 10/04/2017 na função de ajudante de obra, e na data de 01/08/2017 foi promovido para operador de rolo campactador. Em 02/11/2018 foi dispensado. Obra AEROPORTUARIA.</t>
  </si>
  <si>
    <t>Origem: BMM!104 | ID BMM-100 | Situação original: Ativo | Probabilidade de perda original: Remoto | Avaliação original: REMOTO, O RECLAMANTE ERA EMPREGADO DA LOCTEC | Última atualização informada: 2026-02-20</t>
  </si>
  <si>
    <t>BMM-100</t>
  </si>
  <si>
    <t>0002951-37.2019.8.27.2729</t>
  </si>
  <si>
    <t>HELDER MAJELLA NOGUEIRA E MARIA LUCIA PASSOS NOGUEIRA</t>
  </si>
  <si>
    <t>LEONDARDO VERAS DICHOFF</t>
  </si>
  <si>
    <t>TJTO</t>
  </si>
  <si>
    <t>Demanda ajuizada referente ao pagamento pela venda do lote 02 e danos morais.</t>
  </si>
  <si>
    <t>Origem: BMM!105 | ID BMM-101 | Situação original: Ativo | Avaliação original: - | Contrato: N/A | Última atualização informada: 2026-02-19</t>
  </si>
  <si>
    <t>BMM-101</t>
  </si>
  <si>
    <t>5239168-56.2026.8.09.0145 [BMM-102]</t>
  </si>
  <si>
    <t>CAVA ENGENHARIA DE INFRAESTRUTURA LTDA E ALTA ENGENHARIA DE INFRAESTRUTURA LTDA</t>
  </si>
  <si>
    <t>CHARLES SHIN ITI KAWASAKI</t>
  </si>
  <si>
    <t>Origem: BMM!106 | ID BMM-102 | Situação original: Ativo | Contrato: N/A | Última atualização informada: 2026-09-08 | Número repetido na origem: revisar registros; valores excluídos dos totais até revisão</t>
  </si>
  <si>
    <t>BMM-102</t>
  </si>
  <si>
    <t>5239168-56.2026.8.09.0145</t>
  </si>
  <si>
    <t>5049644-08.2019.8.09.0138</t>
  </si>
  <si>
    <t>Consórcio GA 060</t>
  </si>
  <si>
    <t>PREFEITURA MUNICIPAL DE RIO VERDE</t>
  </si>
  <si>
    <t>CONSORCIO GA 060.
MPB SANEAMENTO LTDA.
ALTA ENGENHARIA DE INFRAESTRUTURA LTDA
HOLLUS SERVICOS TECNICOS ESPECIALIZADOS LTDA</t>
  </si>
  <si>
    <t>Trata-se de execução fiscal ajuizada em face do Consórcio GA 060, no valor de R$ 1.939,12.
A inclusão da empresa ALTA decorre de pedido formulado pelo Município de Rio Verde, com o objetivo de promover o redirecionamento da execução às empresas integrantes do Consórcio GA 060, consideradas corresponsáveis, conforme consta na Certidão de Dívida Ativa.
O pedido foi deferido, sendo determinada a inclusão das empresas ALTA, HOLLUS e MPB no polo passivo da demanda.</t>
  </si>
  <si>
    <t>Origem: BMM!107 | ID BMM-103 | Situação original: Ativo | Contrato: N/A | Última atualização informada: 2026-04-14</t>
  </si>
  <si>
    <t>BMM-103</t>
  </si>
  <si>
    <t>0011074-81.2024.5.03.0008 [BMM-104]</t>
  </si>
  <si>
    <t>ADAPTA GESTAO PARTICIPACOES LTDA
ATTUS PARTICIPACOES S.A.
FLAVIA VIANA NICACIO OLIVEIRA BRANDAO
G2FL PARTICIPACOES E EMPREENDIMENTOS LTDA
PMD PARTICIPACOES LTDA
TETYS DUARTE ROCHA</t>
  </si>
  <si>
    <t>Origem: BMM!108 | ID BMM-104 | Situação original: Ativo | Contrato: N/A | Última atualização informada: 2026-04-23 | Número repetido na origem: revisar registros; valores excluídos dos totais até revisão</t>
  </si>
  <si>
    <t>BMM-104</t>
  </si>
  <si>
    <t>5239168-56.2026.8.09.0145 [BMM-105]</t>
  </si>
  <si>
    <t>Csk Locacao De Maquinas E Equipamentos Ltda</t>
  </si>
  <si>
    <t>Cava Engenharia De Infraestrutura Ltda</t>
  </si>
  <si>
    <t>Trata-se de Incidente de Desconsideração da Personalidade Jurídica instaurado por CSK
Locação de Maquinas e Equipamentos LTDA em desfavor de Cava Engenharia de Infraestrutura LTDA e
Alta Engenharia de Infraestrutura LTDA, todos devidamente qualificados nos autos. 
A suscitante alega, em síntese, ser credora da empresa Pavienge Engenharia Ltda em virtude de
título executivo judicial formado nos autos do processo nº 5260613-67.2025.8.09.0145. Narra que, após
tentativas frustradas de satisfação do crédito, constatou indícios de abuso da personalidade jurídica e confusão
patrimonial entre a devedora originária e as empresas suscitadas, que formariam um grupo econômico de fato,
requerendo o redirecionamento da execução.</t>
  </si>
  <si>
    <t>Origem: BMM!109 | ID BMM-105 | Situação original: Ativo | Contrato: N/A | Última atualização informada: 2026-09-21 | Número repetido na origem: revisar registros; valores excluídos dos totais até revisão</t>
  </si>
  <si>
    <t>BMM-105</t>
  </si>
  <si>
    <t>50606.002121/2021-88</t>
  </si>
  <si>
    <t>SMP Advogados</t>
  </si>
  <si>
    <t>Administrativo / Contratos públicos</t>
  </si>
  <si>
    <t>DNIT/MG</t>
  </si>
  <si>
    <t>DNIT</t>
  </si>
  <si>
    <t>Descumprimento de obrigações contratuais.</t>
  </si>
  <si>
    <t>Origem: SMP!5 | ID SMP-001 | Situação original: Arquivado | Fase: Arquivado | Contrato: Contrato 378/13 - Lote 04 - BR 365 (Pato de Minas) | Última atualização informada: 2026-03-09</t>
  </si>
  <si>
    <t>SMP-001</t>
  </si>
  <si>
    <t>Contrato 378/13 - Lote 04 - BR 365 (Pato de Minas)</t>
  </si>
  <si>
    <t>0736630-73.2022.8.07.0001</t>
  </si>
  <si>
    <t>ROHR S.A. ESTRUTURAS TUBULARES</t>
  </si>
  <si>
    <t>13ª Vara Cível do DF</t>
  </si>
  <si>
    <t>RHOR move Açao Monitória contra as empresas do Consórcio CONSORCIO LOCTEC PAVIENGE CAVA ALTA SETORSUL, que era integrado pela Alta, com participação de 1%, pretendendo o credor receber o valor solidariamente das empresas</t>
  </si>
  <si>
    <t>Origem: SMP!6 | ID SMP-002 | Situação original: Ativo | Fase: Conhecimento | Duração estimada original: 3 ANOS | Probabilidade de perda original: Possível | Avaliação original: MÉDIO | Contrato: Contratos Empresariais | Última atualização informada: 2026-04-08</t>
  </si>
  <si>
    <t>SMP-002</t>
  </si>
  <si>
    <t>Conhecimento</t>
  </si>
  <si>
    <t>1135509-42.2021.8.26.0100</t>
  </si>
  <si>
    <t>14ª Vara Cível de SP</t>
  </si>
  <si>
    <t>TJSP</t>
  </si>
  <si>
    <t>Origem: SMP!7 | ID SMP-003 | Situação original: Excluído da lide | Fase: Recursos | Duração estimada original: 1 ANO | Probabilidade de perda original: Remoto | Avaliação original: 90%
REMOTA | Contrato: Contratos Empresariais | Última atualização informada: 2026-01-27</t>
  </si>
  <si>
    <t>SMP-003</t>
  </si>
  <si>
    <t>1017504-73.2022.4.06.3800</t>
  </si>
  <si>
    <t>Consórcio Alta-ECP</t>
  </si>
  <si>
    <t>ALTA/ECP</t>
  </si>
  <si>
    <t>9º Vara Federal Cível</t>
  </si>
  <si>
    <t>TRF 6ª Região</t>
  </si>
  <si>
    <t>Em 14/1/2022, o Consórcio Alta Engenharia e ECP Empresa de Consultoria e Planejamento ajuizou ação buscando suspender as sanções aplicadas ao Consórcio nos Processos Administrativos n. 50606.000752/2022-43 e n. 50606.001567/2019-71, referentes ao Lote 1 do Pregão Eletrônico 843/2012 – DNIT/MG. As sanções foram aplicadas por alegado descumprimento de obrigações do Contrato Administrativo TT 382/2013, que compreendia “Serviços de Apoio Técnico à Superintendência Regional do DNIT no Estado de Minas Gerais e Respectivas Unidades Locais - Supervisão da Execução das Obras do CREMA e Demais Obras de Manutenção Rodoviária”. As sanções discutidas consistem em multa de R$844.512,60 e suspenção do direito de licitar com o DNIT por 24 meses.</t>
  </si>
  <si>
    <t>Origem: SMP!8 | ID SMP-004 | Situação original: Ativo | Fase: Instrução | Duração estimada original: 3 ANOS | Probabilidade de perda original: Possível | Avaliação original: MÉDIO | Contrato: Contrato 382/13 - Lote 01 - BR 251 (Montes Claros) | Última atualização informada: 2026-04-08 | Identificador administrativo associado: 50606.001567/2019-71 e 50606.000752/2022-43</t>
  </si>
  <si>
    <t>SMP-004</t>
  </si>
  <si>
    <t>50606.001567/2019-71 e 50606.000752/2022-43</t>
  </si>
  <si>
    <t>Instrução</t>
  </si>
  <si>
    <t>Contrato 382/13 - Lote 01 - BR 251 (Montes Claros)</t>
  </si>
  <si>
    <t>1000658-95.2023.4.06.0000</t>
  </si>
  <si>
    <t>4ª Turma do TRF6</t>
  </si>
  <si>
    <t>Origem: SMP!9 | ID SMP-005 | Situação original: Ativo | Fase: Recursos | Duração estimada original: 3 ANOS | Probabilidade de perda original: Possível | Avaliação original: MÉDIO | Contrato: Licitações e Contratos Administrativos | Última atualização informada: 2026-04-08</t>
  </si>
  <si>
    <t>SMP-005</t>
  </si>
  <si>
    <t>Licitações e Contratos Administrativos</t>
  </si>
  <si>
    <t>1010455-53.2021.4.01.3800</t>
  </si>
  <si>
    <t>ALTA/CONTÉCNICA</t>
  </si>
  <si>
    <t>3ª Vara Federal Cível</t>
  </si>
  <si>
    <t>Mandado de Segurança impetrado em 08/03/2021, com o objetivo de reverter a decisão administrativa que rescindiu os contratos administrativos emergentes do RDC 0196/2020-00 (Lotes 3 e 4) e a continuidade da assinatura e execução dos contratos. Essa rescisão ilegal se deu sob a alegação de que o Consórcio não atendeu à exigência de oferecimento de garantia adicional, nos termos do art. 48, §2º da Lei 8.666/93.</t>
  </si>
  <si>
    <t>Origem: SMP!10 | ID SMP-006 | Situação original: Ativo | Fase: Recursos | Duração estimada original: 3 ANOS | Probabilidade de perda original: Possível | Avaliação original: MÉDIO | Contrato: Licitações e Contratos Administrativos | Última atualização informada: 2026-04-08</t>
  </si>
  <si>
    <t>SMP-006</t>
  </si>
  <si>
    <t>1021095-81.2022.4.01.3800</t>
  </si>
  <si>
    <t>Mandado de Segurança impetrado em 03/05/2022, com o objetivo de suspender as sanções aplicadas ao Consórcio nos Processos Administrativos nºs 50606.003597/2021-36 e 50606.003596/2021-91 – DNIT, referentes ao RDC 0196/2020-00, penas essas consistentes de multa de R$293.387,04, multa de R$410.830,20 e pena de impedimento de licitar e contratar com a administração pública federal, direta e indireta pelo prazo de 36 meses.</t>
  </si>
  <si>
    <t>Origem: SMP!11 | ID SMP-007 | Situação original: Ativo | Fase: Recursos | Duração estimada original: 3 ANOS | Probabilidade de perda original: Possível | Avaliação original: MÉDIO | Contrato: Contrato 735/20 - CREMA/MG LOTE 03 e Contrato 736/20 - CREMA/MG LOTE 04 | Última atualização informada: 2026-04-08 | Identificador administrativo associado: 50606.003596/2021-91 e 50606.003597/2021-36</t>
  </si>
  <si>
    <t>SMP-007</t>
  </si>
  <si>
    <t>50606.003596/2021-91 e 50606.003597/2021-36</t>
  </si>
  <si>
    <t>Contrato 735/20 - CREMA/MG LOTE 03 e Contrato 736/20 - CREMA/MG LOTE 04</t>
  </si>
  <si>
    <t>1119107-46.2022.8.26.0100</t>
  </si>
  <si>
    <t>27ª Vara Cível de SP</t>
  </si>
  <si>
    <t>A RHOR moveu Açao de Cobrança contra o CONSÓRCIO LOCTEC-PAVIENGECAVA-
ALTA SETORSUL, LOCTEC ENGENHARIA LTDA. - EM RECUPERAÇÃO JUDICIAL,
PAVIENGE ENGENHARIA LTDA., CAVA ENGENHARIA DE INFRAESTRUTURA LTDA., ALTA
ENGENHARIA DE INFRAESTRUTURA LTDA., SETORSUL TRANSPORTES E SERVIÇOS DE
MÃO DE OBRA LTDA, cobrando o valor aproximado de R$700 mil.</t>
  </si>
  <si>
    <t>Origem: SMP!12 | ID SMP-008 | Situação original: Ativo | Fase: Distribuição / Citação | Duração estimada original: 3 ANOS | Probabilidade de perda original: Possível | Avaliação original: MÉDIO | Contrato: Contratos Empresariais | Última atualização informada: 2026-04-08</t>
  </si>
  <si>
    <t>SMP-008</t>
  </si>
  <si>
    <t>1030389-28.2024.4.01.3400</t>
  </si>
  <si>
    <t>ALTA, CONTÉCNICA E CONSÓRCIO SUFER</t>
  </si>
  <si>
    <t>ANTT</t>
  </si>
  <si>
    <t>20ª Vara Federal Cível da SJDF</t>
  </si>
  <si>
    <t>O Consórcio SUFER impetrou Mandado de Segurança contra a ANTT, em razão da omissão em decidir sobre a liberação dos pagamentos referentes a serviços prestados. Após citada, a ANTT sanou a omissão e decidiu sobre os pagamentos, liberando aproximadamente R$80 mil, com a informação de que o remanescente, de aproximadamente R$200 mil, permaneceria retido como garantia do PAAR que estava em curso.</t>
  </si>
  <si>
    <t>Origem: SMP!13 | ID SMP-009 | Situação original: Encerrado | Fase: Sentença | Contrato: Licitações e Contratos Administrativos | Última atualização informada: 2025-09-01</t>
  </si>
  <si>
    <t>SMP-009</t>
  </si>
  <si>
    <t>1050120-10.2024.4.01.3400</t>
  </si>
  <si>
    <t>22ª Vara Federal da JFDF</t>
  </si>
  <si>
    <t>O Consórcio SUFER impetrou Mandado de Segurança contra a ANTT, em razão da retenção indevida de aproximadamente R$200 mil, sendo ilegal a retenção de valores na pendência de processo administrativo.</t>
  </si>
  <si>
    <t>Origem: SMP!14 | ID SMP-010 | Situação original: Encerrado | Fase: Encerramento | Duração estimada original: N/A | Avaliação original: N/A | Contrato: Licitações e Contratos Administrativos | Última atualização informada: 2026-01-27</t>
  </si>
  <si>
    <t>SMP-010</t>
  </si>
  <si>
    <t>0023079-86.2004.4.01.3400</t>
  </si>
  <si>
    <t>MINISTÉRIO PÚBLICO / DNIT</t>
  </si>
  <si>
    <t>STRATA ENG / CAMILO DE LELLIS</t>
  </si>
  <si>
    <t>17ª Vara Federal da JFDF</t>
  </si>
  <si>
    <t>A ação cívil pública de improbidade administrativa e reparação de danos, decorre de iniciativa do TCU envolvendo 06 (seis) contratos administrativos entre o DNER e a empresa STRATA engenharia (contratos PG-045/98, PG-121/98PG-017/98,PG-175/98,PG-016/98ePG-176/98) com dispensa indevida de licitação. Relativamente ao Sr. Camilo, a ação alega que atuou em conluio com os servidores públicos já nominados, na prática dos atos ilícitos descritos nesta peça, beneficiando-se diretamente dos mesmos</t>
  </si>
  <si>
    <t>Origem: SMP!15 | ID SMP-011 | Situação original: Ativo | Fase: Recursos | Duração estimada original: 5 ANOS | Probabilidade de perda original: Não avaliado | Avaliação original: PROCESSO INDISPONÍVEL | Contrato: N/A | Última atualização informada: 2026-04-08</t>
  </si>
  <si>
    <t>SMP-011</t>
  </si>
  <si>
    <t>50606.005625/2024-01</t>
  </si>
  <si>
    <t>ALTA ENGENHARIA</t>
  </si>
  <si>
    <t>PAAR instaurado pelo DNIT envolvendo o Contrato de Supervisão 378/2013, por alegada falha na supervisão do Contrato de Obras 136/2019, da Vilasa Construtora Ltda.</t>
  </si>
  <si>
    <t>Origem: SMP!16 | ID SMP-012 | Situação original: Encerrado | Fase: Encerramento | Duração estimada original: 1 ANO | Probabilidade de perda original: Não avaliado | Avaliação original: 0.25 | Contrato: Contrato 378/13 | Última atualização informada: 2026-06-17 | Êxito original 25% preservado em Valores H, fonte HIST_ORIGINAL X; origem AA de perda está Não avaliado</t>
  </si>
  <si>
    <t>SMP-012</t>
  </si>
  <si>
    <t>Contrato 378/13</t>
  </si>
  <si>
    <t>6355533-29.2025.4.06.3800 [SMP-013]</t>
  </si>
  <si>
    <t>Contrato de Supervisão nº 382/2013 para apoio técnico na supervisão de obras entre 2013 e 2019. Em 2022, o DNIT instaurou processo administrativo alegando falhas na supervisão de obras executadas pela Vilasa Construtora Ltda. O DNIT aplicou multa de R$ 795.152,14 e suspensão de licitar por seis meses. A penalidade é ilegal, pois configura bis in idem (dupla punição pelo mesmo fato), extrapola limites contratuais e desconsidera serviços executados corretamente. A ação busca anular a sanção e obter medida urgente para impedir a execução do seguro-garantia e a inscrição da empresa no CADIN/SICAF, que causariam graves prejuízos.</t>
  </si>
  <si>
    <t>Origem: SMP!17 | ID SMP-013 | Situação original: Ativo | Duração estimada original: ABARCADO AO PROCESSO ABAIXO | Probabilidade de perda original: Não avaliado | Avaliação original: ABARCADO AO PROCESSO ABAIXO | Contrato: Contrato 382/13 | Última atualização informada: 2026-04-08 | Número repetido na origem: revisar registros; valores excluídos dos totais até revisão | Identificador administrativo associado: 50606.004032/2021-76</t>
  </si>
  <si>
    <t>SMP-013</t>
  </si>
  <si>
    <t>6355533-29.2025.4.06.3800</t>
  </si>
  <si>
    <t>50606.004032/2021-76</t>
  </si>
  <si>
    <t>Contrato 382/13</t>
  </si>
  <si>
    <t>6355533-29.2025.4.06.3800 [SMP-014]</t>
  </si>
  <si>
    <t>Origem: SMP!18 | ID SMP-014 | Situação original: Ativo | Duração estimada original: 3 ANOS | Probabilidade de perda original: Possível | Avaliação original: MÉDIO | Contrato: Contrato 382/14 | Última atualização informada: 2026-04-08 | Número repetido na origem: revisar registros; valores excluídos dos totais até revisão | Identificador administrativo associado: 50606.004032/2021-76</t>
  </si>
  <si>
    <t>SMP-014</t>
  </si>
  <si>
    <t>Contrato 382/14</t>
  </si>
  <si>
    <t>50606.000326/2026-33</t>
  </si>
  <si>
    <t>Instauração de Tomada de Contas Especial — TCE, no âmbito do Contrato UT-369/2017 (CREMA 
— BR-251/MG), supervisionado pelo Contrato 382/2013, firmado com o Consórcio</t>
  </si>
  <si>
    <t>Origem: SMP!19 | ID SMP-015 | Situação original: Ativo | Contrato: Contrato 369/17 | Última atualização informada: 2026-04-10</t>
  </si>
  <si>
    <t>SMP-015</t>
  </si>
  <si>
    <t>Contrato 369/17</t>
  </si>
  <si>
    <t>51402.108343/2015-14</t>
  </si>
  <si>
    <t>Liporace</t>
  </si>
  <si>
    <t>VALEC</t>
  </si>
  <si>
    <t>A anulação parcial das medições, as quais ocorreram pagamentos indevidos de alimentação.</t>
  </si>
  <si>
    <t>Origem: LIPORACE!5 | ID LIP-001 | Situação original: Arquivado | Fase: Arquivado | Contrato: Contrato n° 053/2009 | Última atualização informada: 2025-05-13</t>
  </si>
  <si>
    <t>LIP-001</t>
  </si>
  <si>
    <t>Contrato n° 053/2009</t>
  </si>
  <si>
    <t>51402.108251/2015-34</t>
  </si>
  <si>
    <t>Trata-se de Processo Administrativo de Constituição de Débito, instaurado em desfavor da empresa ALTA ENGENHARIA DE CONSULTORIA LTDA, ante a constatação de pagamento indevido de despesas de mobilização no âmbito do Contrato n° 053/2009, que, após apuração dos argumentos da Valec e da Contratada, decidiu-se à época, arquivar o processo em epígrafe.
Advém, que em decorrência de novos trabalhos realizados pela equipe de Auditoria Interna da Valec, foram constatadas falhas em sede de reanálise dos autos em comento.</t>
  </si>
  <si>
    <t>Origem: LIPORACE!6 | ID LIP-002 | Situação original: Arquivado | Fase: Arquivado | Contrato: Contrato n° 053/2009 | Última atualização informada: 2025-07-14</t>
  </si>
  <si>
    <t>LIP-002</t>
  </si>
  <si>
    <t>51402.237467/2019-31</t>
  </si>
  <si>
    <t>Verificação da ocorrência de pagamento de Relatórios de Atividades produzidos com insumos custeados em duplicidade, no contratos de supervisão de obras de todo os lotes licitados, no âmbito da Ferrovia Norte-Sul –Extensão Sul e Ferrovia de Integração Oeste Leste</t>
  </si>
  <si>
    <t>Origem: LIPORACE!7 | ID LIP-003 | Situação original: Ativo | Fase: Pré-processual / Administrativo | Duração estimada original: 12 MESES | Probabilidade de perda original: Possível | Avaliação original: MÉDIO | Contrato: Contrato n° 053/2009 | Última atualização informada: 2026-03-31</t>
  </si>
  <si>
    <t>LIP-003</t>
  </si>
  <si>
    <t>Pré-processual / Administrativo</t>
  </si>
  <si>
    <t>1027128-89.2023.4.01.3400</t>
  </si>
  <si>
    <t>CONSÓRCIO TRAIL SPAVIAS ALTA</t>
  </si>
  <si>
    <t>7º Vara Federal Civil da SJDF</t>
  </si>
  <si>
    <t>A equipe da CGU apurou uma série de equívocos na quantificação dos serviços remanescentes a serem contratados. Tal fato implicou a utilização de um orçamento de referência com sobrepreço.</t>
  </si>
  <si>
    <t>Origem: LIPORACE!8 | ID LIP-004 | Situação original: Ativo | Duração estimada original: 36 MESES | Probabilidade de perda original: Não avaliado | Avaliação original: BAIXO | Contrato: Contrato n° 25/13 – RDC 004/2012 | Última atualização informada: 2026-03-31 | Identificador administrativo associado: 51402.100590/2021-11</t>
  </si>
  <si>
    <t>LIP-004</t>
  </si>
  <si>
    <t>51402.100590/2021-11</t>
  </si>
  <si>
    <t>Contrato n° 25/13 – RDC 004/2012</t>
  </si>
  <si>
    <t>51402.100591/2021-65</t>
  </si>
  <si>
    <t>Foi apurado um sobrepreço e superfaturamento, de R$ 19.413.278,96, ocorrido pela realização do serviço de hidrossemeadura (61.000 m²) e aplicação de rip-rap (880 m³) ao invés do serviço de contenção em solo grampeado sob o taludereconformado.</t>
  </si>
  <si>
    <t>Origem: LIPORACE!9 | ID LIP-005 | Situação original: Arquivado | Fase: Arquivado | Contrato: Contrato n° 25/13 – RDC 004/2012 | Última atualização informada: 2025-04-04</t>
  </si>
  <si>
    <t>LIP-005</t>
  </si>
  <si>
    <t>1030764-29.2024.4.01.3400</t>
  </si>
  <si>
    <t>7ª Vara Federal/DF</t>
  </si>
  <si>
    <t>A preços corrigidos CGU, a diferença do custo de transporte em função da não utilização da jazida mais próxima implicou sobrepreço e superfaturamento, dele decorrente de R$ 1.757.986,57.</t>
  </si>
  <si>
    <t>Origem: LIPORACE!10 | ID LIP-006 | Situação original: Ativo | Duração estimada original: 36 MESES | Probabilidade de perda original: Não avaliado | Avaliação original: BAIXO | Contrato: Contrato n° 25/13 – RDC 004/2012 | Última atualização informada: 2026-08-19 | Identificador administrativo associado: 51402.100592/2021-18</t>
  </si>
  <si>
    <t>LIP-006</t>
  </si>
  <si>
    <t>51402.100592/2021-18</t>
  </si>
  <si>
    <t>1029005-30.2024.4.01.3400</t>
  </si>
  <si>
    <t>A análise foi efetuada sobre os principais serviços da curva ABC, uma amostra de 13 serviços representativa de 76% do orçamento de referência. A análise resultou na identificação de preços de referência superiores ao mercado, e de superfaturamento, dele decorrente, no valor de R$ 6.728.440,39, conforme detalhado na Constatação 007.</t>
  </si>
  <si>
    <t>Origem: LIPORACE!11 | ID LIP-007 | Situação original: Ativo | Duração estimada original: 36 MESES | Probabilidade de perda original: Não avaliado | Avaliação original: BAIXO | Contrato: Contrato n° 25/13 – RDC 004/2012 | Última atualização informada: 2026-03-31 | Identificador administrativo associado: 51402.100593/2021-54</t>
  </si>
  <si>
    <t>LIP-007</t>
  </si>
  <si>
    <t>51402.100593/2021-54</t>
  </si>
  <si>
    <t>51402.102109/2020-41</t>
  </si>
  <si>
    <t>Instaurar processos de Tomada de Contas Especial a fim de cobrar dos responsáveis o montante de R$ 5.962.564,05 pago em decorrência de retrabalho desnecessário, relatado no ACHADO 003 (Constatação 008).</t>
  </si>
  <si>
    <t>Origem: LIPORACE!12 | ID LIP-008 | Situação original: Encerrado | Fase: Encerramento | Contrato: Contrato n° 25/13 – RDC 004/2012 | Última atualização informada: 2025-05-13</t>
  </si>
  <si>
    <t>LIP-008</t>
  </si>
  <si>
    <t>51402.201435/2018-15</t>
  </si>
  <si>
    <t>A CGU informa que teria havido sobrepreço em diversos itens do contrato , com ocorrência de provável pagamento indevido.</t>
  </si>
  <si>
    <t>Origem: LIPORACE!13 | ID LIP-009 | Situação original: Ativo | Fase: Pré-processual / Administrativo | Duração estimada original: 12 MESES | Probabilidade de perda original: Possível | Avaliação original: MÉDIO | Contrato: Contrato n° 25/13 – RDC 004/2012 | Última atualização informada: 2026-03-31</t>
  </si>
  <si>
    <t>LIP-009</t>
  </si>
  <si>
    <t>1023138-93.2019.4.01.3800</t>
  </si>
  <si>
    <t>Enver</t>
  </si>
  <si>
    <t>TRIBUNAL REGIONAL FEDERAL DA 1ª REGIÃO</t>
  </si>
  <si>
    <t>18ª Vara Federal Cível MG</t>
  </si>
  <si>
    <t>Exclusão do INSS sobre as verbas indenizatórias</t>
  </si>
  <si>
    <t>Origem: ENVER!5 | ID ENV-001 | Situação original: Encerrado | Fase: Encerramento | Contrato: N/A | Última atualização informada: 2026-02-27</t>
  </si>
  <si>
    <t>ENV-001</t>
  </si>
  <si>
    <t>0000935-94.2017.8.17.0810</t>
  </si>
  <si>
    <t>Pedro Calmon</t>
  </si>
  <si>
    <t>Penal / Inquérito</t>
  </si>
  <si>
    <t>MINISTÉRIO PÚBLICO</t>
  </si>
  <si>
    <t>CAMILO DE LÉLLIS NOGUEIRA</t>
  </si>
  <si>
    <t>TJPE</t>
  </si>
  <si>
    <t>O Ministério Público denunciou os nomes citados acima por infração ao art. 96, incisos III e V da Lei nº 8.666/93 c/c art. 29 do Código Penal (punia com detenção 3 a 6 anos e multa quem, em licitação, vendesse mercadoria falsificada ou deteriorada como verdadeira/perfeita. Combinado com o art. 29 do Código Penal (concurso de agentes), pune quem concorre para essa fraude. A Lei nº 14.133/2021 revogou este artigo).
Em 22 de março de 2018 os denunciados foram citados para responderem a acusação.</t>
  </si>
  <si>
    <t>Origem: P. CALMON!5 | ID PCA-001 | Situação original: Aguardando movimentação | Duração estimada original: 24 meses a depender do reconheciemento da prescrição ou, 60 meses caso sejam necessários recursos aos tribunais. | Probabilidade de perda original: Provável | Avaliação original: PPROVÁVEL | Contrato: N/A | Última atualização informada: 2026-02-27</t>
  </si>
  <si>
    <t>PCA-001</t>
  </si>
  <si>
    <t>1057475-42.2022.4.01.3400 [BRA-001]</t>
  </si>
  <si>
    <t>Brandão</t>
  </si>
  <si>
    <t>Consórcio JEA (JM/EHL/Alta)</t>
  </si>
  <si>
    <t>DNIT/AP</t>
  </si>
  <si>
    <t>JM/EHL/ALTA</t>
  </si>
  <si>
    <t>1ª Vara Federal Cível DF</t>
  </si>
  <si>
    <t>Descumprimento contratual por atraso na execução dos serviços, com alegação de não protocolamento da Impressão Definita do referido projeto.</t>
  </si>
  <si>
    <t>Origem: BRANDÃO!5 | ID BRA-001 | Situação original: Ativo | Fase: Suspenso | Duração estimada original: Não há como fazer estimativa segura de quanto tempo levará para tal. | Probabilidade de perda original: Não avaliado | Avaliação original: Há uma expectativa positiva atual. O deferimento da Tutela de Urgência depende que o juízo perceba a probabilidade do direito e risco ao resultado final do processo, de modo que é um indicativo positivo para o entendimento da sentença. | Contrato: Contrato 163/17 - BR 156/AP Lote 03 | Última atualização informada: 2026-02-24 | Número repetido na origem: revisar registros; valores excluídos dos totais até revisão | Identificador administrativo associado: 50600.000047/2020-34</t>
  </si>
  <si>
    <t>BRA-001</t>
  </si>
  <si>
    <t>1057475-42.2022.4.01.3400</t>
  </si>
  <si>
    <t>50600.000047/2020-34</t>
  </si>
  <si>
    <t>Contrato 163/17 - BR 156/AP Lote 03</t>
  </si>
  <si>
    <t>1005926-71.2023.4.01.0000 [BRA-002]</t>
  </si>
  <si>
    <t>Outros</t>
  </si>
  <si>
    <t>AGARAVADO ALTA ENGENHARIA</t>
  </si>
  <si>
    <t>AGRAVANTE DNIT/AP</t>
  </si>
  <si>
    <t>Agravo pedindo a nulidade da decisão que deferiu Tutela de Urgência da Alta Engenharia para suspender a exigibilidade da multa administrativa no valor de R$ 1.202.975,98, aplicada pelo DNIT.</t>
  </si>
  <si>
    <t>Origem: BRANDÃO!6 | ID BRA-002 | Situação original: Ativo | Duração estimada original: Não há como fazer estimativa segura de quanto tempo levará para tal. | Probabilidade de perda original: Não avaliado | Avaliação original: Há uma expectativa positiva atual, no que se refere ao Agravo, pois a ALTA já obteve uma decisão favorável em primeira instância. A juíza da 1ª Vara Federal Cível do DF deferiu a tutela de urgência a favor da ALTA, entendendo que as sanções administrativas (multa e suspensão) foram desproporcionais e que o DNIT ignorou o 4º Termo Aditivo, que prorrogava o prazo de execução do contrato e indicava que não havia atraso no período punido. | Contrato: N/A | Última atualização informada: 2026-02-24 | Número repetido na origem: revisar registros; valores excluídos dos totais até revisão</t>
  </si>
  <si>
    <t>BRA-002</t>
  </si>
  <si>
    <t>1005926-71.2023.4.01.0000</t>
  </si>
  <si>
    <t>1047703-21.2023.4.01.3400</t>
  </si>
  <si>
    <t>Cavalcanti</t>
  </si>
  <si>
    <t>JM/EHL/ALTA (CONSÓRCIO JEA)</t>
  </si>
  <si>
    <t>1ª Vara Federal DF</t>
  </si>
  <si>
    <t>Não cumprimento do cronograma previamente proposto pela entrega dos projetos básicos.</t>
  </si>
  <si>
    <t>Origem: CAVALCANTI!5 | ID CAV-001 | Situação original: Ativo | Fase: Suspenso | Duração estimada original: 3 ANOS | Probabilidade de perda original: Possível | Avaliação original: POSSÍVEL | Contrato: Contrato 163/2017 - LOTE 02 - BR 156 AP | Última atualização informada: 2026-09-22 | Identificador administrativo associado: 50600.002504/2020-25</t>
  </si>
  <si>
    <t>CAV-001</t>
  </si>
  <si>
    <t>50600.002504/2020-25</t>
  </si>
  <si>
    <t>Contrato 163/2017 - LOTE 02 - BR 156 AP</t>
  </si>
  <si>
    <t>1057475-42.2022.4.01.3400 [CAV-002]</t>
  </si>
  <si>
    <t>Origem: CAVALCANTI!6 | ID CAV-002 | Situação original: Ativo | Fase: Suspenso | Duração estimada original: Não há como fazer estimativa segura de quanto tempo levará para tal. | Probabilidade de perda original: Não avaliado | Avaliação original: Há uma expectativa positiva atual. O deferimento da Tutela de Urgência depende que o juízo perceba a probabilidade do direito e risco ao resultado final do processo, de modo que é um indicativo positivo para o entendimento da sentença. | Contrato: Contrato 163/17 - BR 156/AP Lote 03 | Última atualização informada: 2026-02-24 | Número repetido na origem: revisar registros; valores excluídos dos totais até revisão | Identificador administrativo associado: 50600.000047/2020-34</t>
  </si>
  <si>
    <t>CAV-002</t>
  </si>
  <si>
    <t>1005926-71.2023.4.01.0000 [CAV-003]</t>
  </si>
  <si>
    <t>Origem: CAVALCANTI!7 | ID CAV-003 | Situação original: Ativo | Duração estimada original: Não há como fazer estimativa segura de quanto tempo levará para tal. | Probabilidade de perda original: Não avaliado | Avaliação original: Há uma expectativa positiva atual, no que se refere ao Agravo, pois a ALTA já obteve uma decisão favorável em primeira instância. A juíza da 1ª Vara Federal Cível do DF deferiu a tutela de urgência a favor da ALTA, entendendo que as sanções administrativas (multa e suspensão) foram desproporcionais e que o DNIT ignorou o 4º Termo Aditivo, que prorrogava o prazo de execução do contrato e indicava que não havia atraso no período punido. | Contrato: N/A | Última atualização informada: 2026-02-24 | Número repetido na origem: revisar registros; valores excluídos dos totais até revisão</t>
  </si>
  <si>
    <t>CAV-003</t>
  </si>
  <si>
    <t>1019783-32.2022.4.06.3800</t>
  </si>
  <si>
    <t>Joaquim Carvalho</t>
  </si>
  <si>
    <t>Fazenda Nacional</t>
  </si>
  <si>
    <t>4ª Vara Federal Cível e Agrária da SSJ de Belo Horizonte</t>
  </si>
  <si>
    <t>Redução da base de cálculo para 20 salários-mínimos das contribuições parafiscais destinadas às terceiras entidades do sistema “S” - 5.8% - TEMA 1079 STJ</t>
  </si>
  <si>
    <t>Origem: J. CARVALHO!5 | ID JCA-001 | Situação original: Aguardando movimentação | Última atualização informada: 2026-03-03</t>
  </si>
  <si>
    <t>JCA-001</t>
  </si>
  <si>
    <t>5287392-91.2023.8.13.0024</t>
  </si>
  <si>
    <t>Sacha Calmon</t>
  </si>
  <si>
    <t>Município de Belo Horizonte</t>
  </si>
  <si>
    <t>1ª Vara de Feitos Tributários do Município de Belo Horizonte - TJMG</t>
  </si>
  <si>
    <t>ISSQN - Ação Anulatória ajuizada com o objetivo de desconstituir o lançamento tributário consubstanciado no AI n° 41.617-A, em que o Município de Belo Horizonte/MG pretende a cobrança do ISSQN próprio, acrescido das penalidades legais, sobre os serviços prestados pela Recorrente de (a) apoio à desapropriação; (b) gestão ambiental e (c) elaboração de projetos; retido por seus clientes e recolhido para os municípios nos quais tais serviços foram prestados. Administrativamente, a discussão tramitou no âmbito do PTA nº 010972601675 (Vide pasta adm ALT-001.00A).
--------------
Linha de defesa:
(a) inaplicabilidade do subitem 17.01 da Lista Anexa à LC nº 116/2003, pela ausência de juízo de valor caracterizador de assessoria ou consultoria nos serviços prestados pela Alta;
(b) inaplicabilidade do subitem 17.01 da Lista Anexa à LC nº 116/2003, uma vez que os serviços prestados pela Alta são de Engenharia;
(c) Da correção do enquadramento dos serviços prestados no subitem 7.19 da Lista Anexa à LC nº 116/2003;
(d) aplicabilidade do entendimento firmado pelo c. STJ no REsp Repetitivo nº 1.117.121/SP, posto que há a elaboração de projetos vinculados à obra de construção civil:;
(e) nulidade do lançamento por eventual reclassificação de todos os serviços no subitem 7.01 da Lista Anexa à LC nº 116/2003 ou, subsidiariamente, da redução do crédito tributário em virtude da alíquota menor deste subitem se comparado ao subitem 17.01;
(f) da existência de estabelecimentos prestadores nos Municípios em que executadas as obras;
(g) subsidiariamente, da inconstitucionalidade da atualização dos créditos tributários discutidos em índice superior à taxa Selic.
---------------
OBS: Quanto ao AITI nº 0041596A (Obrigação acessória) e AITI nº 0041618A (ISSQN-Fonte), que também foram discutidos no PTA nº 010972601675, o cliente procedeu com o pagamento dos débitos neles discutidos conforme documentos juntados à pasta da Execução Fiscal. Desta forma, estes dois Autos de Infração não são objeto da presente Ação Anulatória.
-------------
Valores sendo ajuizados na Execução Fiscal 52255536520238130024 (integração ALT-005.00).</t>
  </si>
  <si>
    <t>Origem: SACHA!5 | ID SAC-001 | Situação original: Ativo | Fase: Conhecimento | Duração estimada original: 2 ANOS | Probabilidade de perda original: Possível | Avaliação original: MÉDIO | Contrato: N/A | Última atualização informada: 2026-03-24</t>
  </si>
  <si>
    <t>SAC-001</t>
  </si>
  <si>
    <t>5225553-65.2023.8.13.0024</t>
  </si>
  <si>
    <t>ISS
Cobrança de 3 débitos, sendo que um está em discussão na Anulatória (ALT-001) e dois foram quitados pela Alta.
-----------
DÉBITO EM DISCUSSÃO NA AÇÃO ANULATÓRIA Nº 52873929120238130024 (ALT-001)
CDA NÚMERO - 2190924
TERMO DE INSCRIÇÃO: 20237701225
INSCRIÇÃO MUNICIPAL / ÍNDICE CADASTRAL - 01285060013
LANÇAMENTO - 1360416041617A
DATA OCORRÊNCIA FATO GERADOR 26/08/2016
------------
DÉBITO QUITADO À VISTA, NO BOJO DA ANISTIA "REATIVA BH" (DECRETO MUNICIPAL 18.593/2023)
CDA NÚMERO - 2190923
TERMO DE INSCRIÇÃO: 20237701254
INSCRIÇÃO MUNICIPAL / ÍNDICE CADASTRAL - 01285060013
LANÇAMENTO - 1360516041596A
DATA OCORRÊNCIA FATO GERADOR 22/07/2016
----------
DÉBITO QUITADO À VISTA, NO BOJO DA ANISTIA "REATIVA BH" (DECRETO MUNICIPAL 18.593/2023)
CDA NÚMERO - 2190925
TERMO DE INSCRIÇÃO: 20237701197
INSCRIÇÃO MUNICIPAL / ÍNDICE CADASTRAL - 01285060013
LANÇAMENTO - 1361516041618A
DATA OCORRÊNCIA FATO GERADOR 22/08/2016</t>
  </si>
  <si>
    <t>Origem: SACHA!6 | ID SAC-002 | Situação original: Ativo | Fase: Execução | Duração estimada original: 2 ANOS | Probabilidade de perda original: Possível | Avaliação original: MÉDIO | Contrato: N/A | Última atualização informada: 2026-03-24</t>
  </si>
  <si>
    <t>SAC-002</t>
  </si>
  <si>
    <t>Inquérito Policial 2022.0009514-SR/PF/MG</t>
  </si>
  <si>
    <t>Inquérito / Policial</t>
  </si>
  <si>
    <t>Frois</t>
  </si>
  <si>
    <t>Policia Federal de Minas Gerais</t>
  </si>
  <si>
    <t>Polícia Federal / Civil</t>
  </si>
  <si>
    <t>Apuração de irregularidades</t>
  </si>
  <si>
    <t>Origem: FROIS!5 | ID FRO-001 | Situação original: Aguardando movimentação | Fase: Pré-processual / Administrativo | Contrato: Contratos Empresariais | Última atualização informada: 2023-03-13</t>
  </si>
  <si>
    <t>FRO-001</t>
  </si>
  <si>
    <t>1110200-94.2023.4.06.3800</t>
  </si>
  <si>
    <t>A empresa manteve com o DNIT o Contrato nº 382/2013 – Consórcio Alta-ECP – Lote 01, cujo objeto consistia na prestação de serviços de apoio técnico à Superintendência Regional do DNIT em Minas Gerais e na supervisão de obras de manutenção rodoviária. No âmbito desse contrato, a empresa foi posteriormente demandada a apresentar documentação relativa à fiscalização das obras do Contrato nº 369/2017, firmado entre o DNIT e a empresa Vilasa Construtora Ltda.</t>
  </si>
  <si>
    <t>Origem: FROIS!6 | ID FRO-002 | Situação original: Aguardando movimentação | Contrato: Contratos Administrativos n. 369/2017, Contrato de Supervisão 382/2013 | Última atualização informada: 2026-01-20</t>
  </si>
  <si>
    <t>FRO-002</t>
  </si>
  <si>
    <t>Contratos Administrativos n. 369/2017, Contrato de Supervisão 382/2013</t>
  </si>
  <si>
    <t>1020133-58.2022.4.01.3800</t>
  </si>
  <si>
    <t>Origem: FROIS!7 | ID FRO-003 | Situação original: Aguardando movimentação | Contrato: 346/14 e. 717/18 | Última atualização informada: 2026-01-21</t>
  </si>
  <si>
    <t>FRO-003</t>
  </si>
  <si>
    <t>346/14 e. 717/18</t>
  </si>
  <si>
    <t>Inquérito Policial Federal n. 2024.0003162</t>
  </si>
  <si>
    <t>Origem: FROIS!8 | ID FRO-004 | Situação original: Aguardando movimentação | Contrato: 346/2014 e 717/2018 | Última atualização informada: 2026-01-22</t>
  </si>
  <si>
    <t>FRO-004</t>
  </si>
  <si>
    <t>346/2014 e 717/2018</t>
  </si>
  <si>
    <t>50050.005489/2024- 74</t>
  </si>
  <si>
    <t>INFRA</t>
  </si>
  <si>
    <t>Trata-se de Processo Administrativo de Responsabilização (PAR), instaurado pela Corregedoria da Infra S.A., por meio da Portaria nº 245, de 12 de agosto de 2024, com o objetivo de apurar possíveis irregularidades atribuídas à empresa Alta Engenharia de Infraestrutura Ltda. A apuração refere-se a indícios de patrocínio de interesse de empregado da Infra S.A., que à época atuava como gestor do Contrato nº 53/2009, firmado com a referida empresa, conduta que, em tese, pode caracterizar ato lesivo à administração pública, nos termos do art. 5º, incisos I e II, da Lei nº 12.846/2013.</t>
  </si>
  <si>
    <t>Origem: FROIS!9 | ID FRO-005 | Situação original: Aguardando movimentação | Contrato: Contrato n.º 53/2009 | Última atualização informada: 2026-01-20</t>
  </si>
  <si>
    <t>FRO-005</t>
  </si>
  <si>
    <t>Contrato n.º 53/2009</t>
  </si>
  <si>
    <t>004.551/2022-2</t>
  </si>
  <si>
    <t>Controle externo</t>
  </si>
  <si>
    <t>EHJC</t>
  </si>
  <si>
    <t>Controle externo (TCU/CGU)</t>
  </si>
  <si>
    <t>ANDRE MARTINS DE ARAUJO, CONSORCIO ALTA - ECP, DYNATEST ENGENHARIA LTDA, EDIMARQUES PEREIRA MAGALHÃES,
FABIANO MARTINS CUNHA, FABIO PESSOA DA SILVA NUNES, HERMES WILIAM BRESSANIN, LUIZ ANTONIO EHRET GARCIA, NILTON DE BRITTO, PAVIA BRASIL PAVIMENTOS E VIAS S.A, RICARDO LUIZ DE FREITAS, ROBERTO BORGES FURTADO DA SILVA, THAME DE CASTRO RIBEIRO MELLO E ALVARO CAMPOS DE CARVALHO</t>
  </si>
  <si>
    <t>TCU</t>
  </si>
  <si>
    <t>O Relatório de Fiscalização 106/2017, da unidade técnica do TCU, que apontou falhas no Contrato 00-1111/2012. Em medida cautelar, o Ministro Relator suspendeu pagamentos, decisão confirmada pelo Plenário. Posteriormente, a unidade técnica apurou possível dano de R$ 15 milhões e sugeriu a instauração da TCE, apesar de divergência interna sobre a efetiva existência do dano. O Plenário do TCU decidiu pela conversão em TCE. O Ministério Público manifestou-se pelo afastamento da prescrição e pela continuidade das apurações e o Despacho entendeu por seguir com o entendimento do MP.</t>
  </si>
  <si>
    <t>Origem: EHJC!5 | ID EHJ-001 | Situação original: Aguardando movimentação | Fase: Suspenso | Probabilidade de perda original: Remoto | Avaliação original: Considerando o atual estágio, nossa avaliação das chances de sucesso é: possível.
(Classificação: remota, possível, provável). | Última atualização informada: 2026-03-03</t>
  </si>
  <si>
    <t>EHJ-001</t>
  </si>
  <si>
    <t>50612.000400/2018-22</t>
  </si>
  <si>
    <t>Romanhol</t>
  </si>
  <si>
    <t>Consórcio Loctec/Pavienge/Cava/Alta/SetorSul</t>
  </si>
  <si>
    <t>Contrato UT/12-00955/2018, cujo objeto consiste na elaboração do projeto de engenharia e execução das obras de adequação de capacidade, implantação de melhoramentos e
eliminação de pontos críticos na rodovia BR-020/GO, perímetro urbano de Formosa/GO - Elaboração do Projeto de Engenharia e Execução das Obras de Adequação de Capacidade, Implantação de Melhoramentos e Eliminação de Pontos Críticos na Rodovia BR-020/GO, perímetro urbano de Formosa/GO, segmento compreendido entre o km 0,00 e o km 12,00. - atraso na entrega
dos projetos básico/executivo, atraso na execução da obra e ausência de planejamento executivo para gestão contratual; esclarecendo que, no tocante ao atraso na elaboração do projeto
executivo</t>
  </si>
  <si>
    <t>Origem: ROMANHOL!5 | ID ROM-001 | Situação original: Aguardando movimentação | Contrato: Contrato UT/12-00955/2018 | Última atualização informada: 2025-02-21</t>
  </si>
  <si>
    <t>ROM-001</t>
  </si>
  <si>
    <t>Contrato UT/12-00955/2018</t>
  </si>
  <si>
    <t>Concorrência Eletrônica nº 90157/2025 – DNIT/PB.</t>
  </si>
  <si>
    <t>Nazif</t>
  </si>
  <si>
    <t>O DNIT promove a Concorrência Eletrônica nº 90157/2025, do tipo Técnica e Preço, 
para a execução de serviços técnicos especializados de supervisão e apoio à fiscalização na 
execução das ações de manutenção e restauração rodoviária sob jurisdição da Superintendência 
Regional do DNIT na Paraíba.</t>
  </si>
  <si>
    <t>Origem: NAZIF!5 | ID NAZ-001 | Situação original: não informada | Última atualização informada: 2026-08-25</t>
  </si>
  <si>
    <t>NAZ-001</t>
  </si>
  <si>
    <t>51402.100197/2022-16</t>
  </si>
  <si>
    <t>Raimundo</t>
  </si>
  <si>
    <t>INFRA S.A</t>
  </si>
  <si>
    <t>Alta Engenharia</t>
  </si>
  <si>
    <t>Trata-se de processo administrativo de constituição de débito em desfavor da Empresa Alta Engenharia de Infraestrutura Ltda., no âmbito do Contrato n° 053/2009 (5094807), ante a investigação da possibilidade de fornecimento de produtos inferiores às especificações contratadas e a consequente responsabilidade por eventual dano ao erário. Tal possibilidade decorre de possível diferença entre os itens unitários medidos e as respectivas especificações de valores entre veículo "hatch e sedan", identificados em trabalhos realizados pela equipe de Auditoria Interna da VALEC, conforme consta no Relatório de Auditoria n° 06/2020 da AUDIN (5116402), no qual aduziu "1.3 Achado de auditoria: Divergências entre os itens unitários medidos e as respectivas especificações".</t>
  </si>
  <si>
    <t>Origem: RAIMUNDO!5 | ID RAI-001 | Situação original: não informada | Contrato: 053/2009 (5094807) | Última atualização informada: 2026-08-25</t>
  </si>
  <si>
    <t>RAI-001</t>
  </si>
  <si>
    <t>053/2009 (5094807)</t>
  </si>
  <si>
    <t>Valores e avaliação</t>
  </si>
  <si>
    <t>Informe os valores conhecidos. Deixe em branco o que ainda não recebeu. Use zero apenas quando o valor for realmente zero.</t>
  </si>
  <si>
    <t>Totais usam apenas Sim na coluna T. Revise números repetidos antes de incluir valores. Categorias são separadas e não há rateio automático por consórcio.</t>
  </si>
  <si>
    <t>Condenação / execução</t>
  </si>
  <si>
    <t>Pagamentos acumulados</t>
  </si>
  <si>
    <t>Probabilidade de êxito</t>
  </si>
  <si>
    <t>Sentença / decisão</t>
  </si>
  <si>
    <t>Revisado em</t>
  </si>
  <si>
    <t>Fonte / observações</t>
  </si>
  <si>
    <t>Vínculo válido</t>
  </si>
  <si>
    <t>Conferir valores</t>
  </si>
  <si>
    <t>Linha do processo</t>
  </si>
  <si>
    <t>Escritório (apoio)</t>
  </si>
  <si>
    <t>Linha de origem</t>
  </si>
  <si>
    <t>Incluir em totais?</t>
  </si>
  <si>
    <t>Causa atualizada</t>
  </si>
  <si>
    <t>Valor de acordo</t>
  </si>
  <si>
    <t>Exposição estimada</t>
  </si>
  <si>
    <t>Valor provisionado</t>
  </si>
  <si>
    <t>Benefício (descrição)</t>
  </si>
  <si>
    <t>Probabilidade de perda</t>
  </si>
  <si>
    <t>Duração estimada (texto)</t>
  </si>
  <si>
    <t>Decisão da diretoria</t>
  </si>
  <si>
    <t>Origem: BMM!5 | ID BMM-001 | Condenação/execução preservada sem reclassificar como sentença | Depósito informado não confirma saldo atual | Data de revisão financeira não informada | Atualização geral da origem: 2026-02-02 | Texto financeiro original: Causa: Valor da causa: R$ 50.000,00</t>
  </si>
  <si>
    <t>Sim</t>
  </si>
  <si>
    <t>Origem: BMM!6 | ID BMM-002 | Condenação/execução preservada sem reclassificar como sentença | Depósito informado não confirma saldo atual | Data de revisão financeira não informada | Atualização geral da origem: 2024-08-08 | Texto financeiro original: Execução: R$ 53.025,90 (Consórcio pagará a execução)</t>
  </si>
  <si>
    <t>Origem: BMM!7 | ID BMM-003 | Condenação/execução preservada sem reclassificar como sentença | Depósito informado não confirma saldo atual | Data de revisão financeira não informada | Atualização geral da origem: 2024-08-08</t>
  </si>
  <si>
    <t>Origem: BMM!8 | ID BMM-004 | Condenação/execução preservada sem reclassificar como sentença | Depósito informado não confirma saldo atual | Data de revisão financeira não informada | Atualização geral da origem: 2024-08-08 | Texto financeiro original: Execução: R$ 49.514,13 (Alta deposito R$ 20.000,00 | Número duplicado: revisão necessária; não somar automaticamente</t>
  </si>
  <si>
    <t>Revisar</t>
  </si>
  <si>
    <t>Origem: BMM!9 | ID BMM-005 | Condenação/execução preservada sem reclassificar como sentença | Depósito informado não confirma saldo atual | Data de revisão financeira não informada | Atualização geral da origem: 2024-08-08</t>
  </si>
  <si>
    <t>Origem: BMM!10 | ID BMM-006 | Condenação/execução preservada sem reclassificar como sentença | Depósito informado não confirma saldo atual | Data de revisão financeira não informada | Atualização geral da origem: 2024-08-08 | Texto financeiro original: Execução: R$ 17.740,52 ( Execução contra a Cava bloqueio de valore da Cava R$ 31.830,37)</t>
  </si>
  <si>
    <t>Origem: BMM!11 | ID BMM-007 | Condenação/execução preservada sem reclassificar como sentença | Depósito informado não confirma saldo atual | Data de revisão financeira não informada | Atualização geral da origem: 2024-08-08</t>
  </si>
  <si>
    <t>Origem: BMM!12 | ID BMM-008 | Condenação/execução preservada sem reclassificar como sentença | Depósito informado não confirma saldo atual | Data de revisão financeira não informada | Atualização geral da origem: 2024-08-08 | Texto financeiro original: Execução: R$ 1938,14 (Depósito recursal da Alta de R$10.986,80 / Valor da execução é R$29.722,96) | Número duplicado: revisão necessária; não somar automaticamente</t>
  </si>
  <si>
    <t>Origem: BMM!13 | ID BMM-009 | Condenação/execução preservada sem reclassificar como sentença | Depósito informado não confirma saldo atual | Data de revisão financeira não informada | Atualização geral da origem: 2024-08-08 | Texto financeiro original: Execução: R$ 51.000,00 (Trail quem efetuou o pagamento de depósito recursal. Rejeitado pedido da Valec de chamar a Alta ao processo.)</t>
  </si>
  <si>
    <t>Origem: BMM!14 | ID BMM-010 | Condenação/execução preservada sem reclassificar como sentença | Depósito informado não confirma saldo atual | Data de revisão financeira não informada | Atualização geral da origem: 2024-08-08</t>
  </si>
  <si>
    <t>Origem: BMM!15 | ID BMM-011 | Condenação/execução preservada sem reclassificar como sentença | Depósito informado não confirma saldo atual | Data de revisão financeira não informada | Atualização geral da origem: 2024-08-08</t>
  </si>
  <si>
    <t>Origem: BMM!16 | ID BMM-012 | Condenação/execução preservada sem reclassificar como sentença | Depósito informado não confirma saldo atual | Data de revisão financeira não informada | Atualização geral da origem: 2026-03-12</t>
  </si>
  <si>
    <t>Origem: BMM!17 | ID BMM-013 | Condenação/execução preservada sem reclassificar como sentença | Depósito informado não confirma saldo atual | Data de revisão financeira não informada | Atualização geral da origem: 2026-03-12</t>
  </si>
  <si>
    <t>Origem: BMM!18 | ID BMM-014 | Condenação/execução preservada sem reclassificar como sentença | Depósito informado não confirma saldo atual | Data de revisão financeira não informada | Atualização geral da origem: 2024-09-19</t>
  </si>
  <si>
    <t>Origem: BMM!19 | ID BMM-015 | Condenação/execução preservada sem reclassificar como sentença | Depósito informado não confirma saldo atual | Data de revisão financeira não informada | Atualização geral da origem: 2026-01-30</t>
  </si>
  <si>
    <t>Remoto</t>
  </si>
  <si>
    <t>Origem: BMM!20 | ID BMM-016 | Condenação/execução preservada sem reclassificar como sentença | Depósito informado não confirma saldo atual | Data de revisão financeira não informada | Atualização geral da origem: 2026-03-12 | Texto financeiro original: Causa: Condenação R$ 49.514,13 | Depósito: R$ 20.000,00 (não esta atualizado) | Número duplicado: revisão necessária; não somar automaticamente</t>
  </si>
  <si>
    <t>Origem: BMM!21 | ID BMM-017 | Condenação/execução preservada sem reclassificar como sentença | Depósito informado não confirma saldo atual | Data de revisão financeira não informada | Atualização geral da origem: 2026-01-30 | Número duplicado: revisão necessária; não somar automaticamente</t>
  </si>
  <si>
    <t>Possível</t>
  </si>
  <si>
    <t>Origem: BMM!22 | ID BMM-018 | Condenação/execução preservada sem reclassificar como sentença | Depósito informado não confirma saldo atual | Data de revisão financeira não informada | Atualização geral da origem: 2026-02-02 | Texto financeiro original: Causa: Valor da causa: R$ 24.328,71</t>
  </si>
  <si>
    <t>Origem: BMM!23 | ID BMM-019 | Condenação/execução preservada sem reclassificar como sentença | Depósito informado não confirma saldo atual | Data de revisão financeira não informada | Atualização geral da origem: 2026-02-02 | Texto financeiro original: Causa: Valor da causa: R$ 62.703,23 | Depósito: Sim</t>
  </si>
  <si>
    <t>Origem: BMM!24 | ID BMM-020 | Condenação/execução preservada sem reclassificar como sentença | Depósito informado não confirma saldo atual | Data de revisão financeira não informada | Atualização geral da origem: 2026-02-02 | Texto financeiro original: Causa: Valor da causa: R$ 29.000,00</t>
  </si>
  <si>
    <t>Origem: BMM!25 | ID BMM-021 | Condenação/execução preservada sem reclassificar como sentença | Depósito informado não confirma saldo atual | Data de revisão financeira não informada | Atualização geral da origem: 2026-01-30</t>
  </si>
  <si>
    <t>Origem: BMM!26 | ID BMM-022 | Condenação/execução preservada sem reclassificar como sentença | Depósito informado não confirma saldo atual | Data de revisão financeira não informada | Atualização geral da origem: 2026-01-30</t>
  </si>
  <si>
    <t>Origem: BMM!27 | ID BMM-023 | Condenação/execução preservada sem reclassificar como sentença | Depósito informado não confirma saldo atual | Data de revisão financeira não informada | Atualização geral da origem: 2025-07-02</t>
  </si>
  <si>
    <t>Origem: BMM!28 | ID BMM-024 | Condenação/execução preservada sem reclassificar como sentença | Depósito informado não confirma saldo atual | Data de revisão financeira não informada | Atualização geral da origem: 2024-09-27</t>
  </si>
  <si>
    <t>Origem: BMM!29 | ID BMM-025 | Condenação/execução preservada sem reclassificar como sentença | Depósito informado não confirma saldo atual | Data de revisão financeira não informada | Atualização geral da origem: 2026-01-30</t>
  </si>
  <si>
    <t>Origem: BMM!30 | ID BMM-026 | Condenação/execução preservada sem reclassificar como sentença | Depósito informado não confirma saldo atual | Data de revisão financeira não informada | Atualização geral da origem: 2026-02-20</t>
  </si>
  <si>
    <t>Origem: BMM!31 | ID BMM-027 | Condenação/execução preservada sem reclassificar como sentença | Depósito informado não confirma saldo atual | Data de revisão financeira não informada | Atualização geral da origem: 2024-09-13 | Número duplicado: revisão necessária; não somar automaticamente</t>
  </si>
  <si>
    <t>Origem: BMM!32 | ID BMM-028 | Condenação/execução preservada sem reclassificar como sentença | Depósito informado não confirma saldo atual | Data de revisão financeira não informada | Atualização geral da origem: 2026-03-12</t>
  </si>
  <si>
    <t>Origem: BMM!33 | ID BMM-029 | Condenação/execução preservada sem reclassificar como sentença | Depósito informado não confirma saldo atual | Data de revisão financeira não informada | Atualização geral da origem: 2025-04-16</t>
  </si>
  <si>
    <t>Origem: BMM!34 | ID BMM-030 | Condenação/execução preservada sem reclassificar como sentença | Depósito informado não confirma saldo atual | Data de revisão financeira não informada | Atualização geral da origem: 2023-10-30</t>
  </si>
  <si>
    <t>Origem: BMM!35 | ID BMM-031 | Condenação/execução preservada sem reclassificar como sentença | Depósito informado não confirma saldo atual | Data de revisão financeira não informada | Atualização geral da origem: 2026-01-07</t>
  </si>
  <si>
    <t>Origem: BMM!36 | ID BMM-032 | Condenação/execução preservada sem reclassificar como sentença | Depósito informado não confirma saldo atual | Data de revisão financeira não informada | Atualização geral da origem: 2026-01-30</t>
  </si>
  <si>
    <t>Origem: BMM!37 | ID BMM-033 | Condenação/execução preservada sem reclassificar como sentença | Depósito informado não confirma saldo atual | Data de revisão financeira não informada | Atualização geral da origem: 2026-01-30</t>
  </si>
  <si>
    <t>Provável</t>
  </si>
  <si>
    <t>Origem: BMM!38 | ID BMM-034 | Condenação/execução preservada sem reclassificar como sentença | Depósito informado não confirma saldo atual | Data de revisão financeira não informada | Atualização geral da origem: 2026-01-30 | Texto financeiro original: Execução: R$ 21.046,20 (A Alta foi incluída, porém, não foi citada. Penhorado da Alta valor de R$21.046,20.)</t>
  </si>
  <si>
    <t>Origem: BMM!39 | ID BMM-035 | Condenação/execução preservada sem reclassificar como sentença | Depósito informado não confirma saldo atual | Data de revisão financeira não informada | Atualização geral da origem: 2026-03-13</t>
  </si>
  <si>
    <t>Origem: BMM!40 | ID BMM-036 | Condenação/execução preservada sem reclassificar como sentença | Depósito informado não confirma saldo atual | Data de revisão financeira não informada | Atualização geral da origem: 2024-08-08</t>
  </si>
  <si>
    <t>Origem: BMM!41 | ID BMM-037 | Condenação/execução preservada sem reclassificar como sentença | Depósito informado não confirma saldo atual | Data de revisão financeira não informada | Atualização geral da origem: 2024-12-27</t>
  </si>
  <si>
    <t>Origem: BMM!42 | ID BMM-038 | Condenação/execução preservada sem reclassificar como sentença | Depósito informado não confirma saldo atual | Data de revisão financeira não informada | Atualização geral da origem: 2026-02-02 | Texto financeiro original: Execução: R$ 18.227,06 (Bloqueio do Roney no valor de R$1.894,86.)</t>
  </si>
  <si>
    <t>Origem: BMM!43 | ID BMM-039 | Condenação/execução preservada sem reclassificar como sentença | Depósito informado não confirma saldo atual | Data de revisão financeira não informada | Atualização geral da origem: 2026-02-02 | Número duplicado: revisão necessária; não somar automaticamente</t>
  </si>
  <si>
    <t>Origem: BMM!44 | ID BMM-040 | Condenação/execução preservada sem reclassificar como sentença | Depósito informado não confirma saldo atual | Data de revisão financeira não informada | Atualização geral da origem: 2024-12-27</t>
  </si>
  <si>
    <t>Origem: BMM!45 | ID BMM-041 | Condenação/execução preservada sem reclassificar como sentença | Depósito informado não confirma saldo atual | Data de revisão financeira não informada | Atualização geral da origem: 2026-02-20 | Texto financeiro original: Execução: R$ 20.360,76 (Iniciada a execução. Empresas incluídas. Há ordem de bloqueio de crédito das outras empresas.)</t>
  </si>
  <si>
    <t>Origem: BMM!46 | ID BMM-042 | Condenação/execução preservada sem reclassificar como sentença | Depósito informado não confirma saldo atual | Data de revisão financeira não informada | Atualização geral da origem: 2026-03-13</t>
  </si>
  <si>
    <t>Origem: BMM!47 | ID BMM-043 | Condenação/execução preservada sem reclassificar como sentença | Depósito informado não confirma saldo atual | Data de revisão financeira não informada | Atualização geral da origem: 2025-02-18</t>
  </si>
  <si>
    <t>Origem: BMM!48 | ID BMM-044 | Condenação/execução preservada sem reclassificar como sentença | Depósito informado não confirma saldo atual | Data de revisão financeira não informada | Atualização geral da origem: 2024-12-27</t>
  </si>
  <si>
    <t>Origem: BMM!49 | ID BMM-045 | Condenação/execução preservada sem reclassificar como sentença | Depósito informado não confirma saldo atual | Data de revisão financeira não informada | Atualização geral da origem: 2024-12-27 | Texto financeiro original: Execução: R$ 16.782,87 (Valor pago integral pela Cava. Multa em desfavor da Cava.)</t>
  </si>
  <si>
    <t>Origem: BMM!50 | ID BMM-046 | Condenação/execução preservada sem reclassificar como sentença | Depósito informado não confirma saldo atual | Data de revisão financeira não informada | Atualização geral da origem: 2026-10-02</t>
  </si>
  <si>
    <t>Origem: BMM!51 | ID BMM-047 | Condenação/execução preservada sem reclassificar como sentença | Depósito informado não confirma saldo atual | Data de revisão financeira não informada | Atualização geral da origem: 2026-06-23</t>
  </si>
  <si>
    <t>Origem: BMM!52 | ID BMM-048 | Condenação/execução preservada sem reclassificar como sentença | Depósito informado não confirma saldo atual | Data de revisão financeira não informada | Atualização geral da origem: 2026-02-02</t>
  </si>
  <si>
    <t>Origem: BMM!53 | ID BMM-049 | Condenação/execução preservada sem reclassificar como sentença | Depósito informado não confirma saldo atual | Data de revisão financeira não informada | Atualização geral da origem: 2026-02-02</t>
  </si>
  <si>
    <t>Origem: BMM!54 | ID BMM-050 | Condenação/execução preservada sem reclassificar como sentença | Depósito informado não confirma saldo atual | Data de revisão financeira não informada | Atualização geral da origem: 2026-02-02</t>
  </si>
  <si>
    <t>Origem: BMM!55 | ID BMM-051 | Condenação/execução preservada sem reclassificar como sentença | Depósito informado não confirma saldo atual | Data de revisão financeira não informada | Atualização geral da origem: 2026-01-30</t>
  </si>
  <si>
    <t>Origem: BMM!56 | ID BMM-052 | Condenação/execução preservada sem reclassificar como sentença | Depósito informado não confirma saldo atual | Data de revisão financeira não informada | Atualização geral da origem: 2026-01-09</t>
  </si>
  <si>
    <t>Origem: BMM!57 | ID BMM-053 | Condenação/execução preservada sem reclassificar como sentença | Depósito informado não confirma saldo atual | Data de revisão financeira não informada | Atualização geral da origem: 2026-02-22</t>
  </si>
  <si>
    <t>Origem: BMM!58 | ID BMM-054 | Condenação/execução preservada sem reclassificar como sentença | Depósito informado não confirma saldo atual | Data de revisão financeira não informada | Atualização geral da origem: 2026-03-13 | Texto financeiro original: Causa: .</t>
  </si>
  <si>
    <t>Origem: BMM!59 | ID BMM-055 | Condenação/execução preservada sem reclassificar como sentença | Depósito informado não confirma saldo atual | Data de revisão financeira não informada | Atualização geral da origem: 2024-12-27</t>
  </si>
  <si>
    <t>Origem: BMM!60 | ID BMM-056 | Condenação/execução preservada sem reclassificar como sentença | Depósito informado não confirma saldo atual | Data de revisão financeira não informada | Atualização geral da origem: 2026-03-03</t>
  </si>
  <si>
    <t>Origem: BMM!61 | ID BMM-057 | Condenação/execução preservada sem reclassificar como sentença | Depósito informado não confirma saldo atual | Data de revisão financeira não informada | Atualização geral da origem: 2026-01-27</t>
  </si>
  <si>
    <t>Origem: BMM!62 | ID BMM-058 | Condenação/execução preservada sem reclassificar como sentença | Depósito informado não confirma saldo atual | Data de revisão financeira não informada | Atualização geral da origem: 2026-09-02 | Texto financeiro original: Execução: R$ 39.654,31 R$ 16.267,56 ? | Depósito: Sim(Trail)</t>
  </si>
  <si>
    <t>Origem: BMM!63 | ID BMM-059 | Condenação/execução preservada sem reclassificar como sentença | Depósito informado não confirma saldo atual | Data de revisão financeira não informada | Atualização geral da origem: 2024-08-08 | Texto financeiro original: Execução: 14378,33 (O valor da execuçaõ está só pelo valor devido pela Alta. O valor total da execuçã é de R$203.731,64. Será liberado em favor do reclamante o depósito da Alta no valor de R$13.908,75.) | Número duplicado: revisão necessária; não somar automaticamente</t>
  </si>
  <si>
    <t>Origem: BMM!64 | ID BMM-060 | Condenação/execução preservada sem reclassificar como sentença | Depósito informado não confirma saldo atual | Data de revisão financeira não informada | Atualização geral da origem: 2026-01-30</t>
  </si>
  <si>
    <t>Origem: BMM!65 | ID BMM-061 | Condenação/execução preservada sem reclassificar como sentença | Depósito informado não confirma saldo atual | Data de revisão financeira não informada | Atualização geral da origem: 2026-02-02</t>
  </si>
  <si>
    <t>Origem: BMM!66 | ID BMM-062 | Condenação/execução preservada sem reclassificar como sentença | Depósito informado não confirma saldo atual | Data de revisão financeira não informada | Atualização geral da origem: 2024-09-13</t>
  </si>
  <si>
    <t>Origem: BMM!67 | ID BMM-063 | Condenação/execução preservada sem reclassificar como sentença | Depósito informado não confirma saldo atual | Data de revisão financeira não informada | Atualização geral da origem: 2026-02-26 | Texto financeiro original: Causa: 58038,42 (A Alta é foi condenada em 3/4 do débtido e subsidiária.)</t>
  </si>
  <si>
    <t>Origem: BMM!68 | ID BMM-064 | Condenação/execução preservada sem reclassificar como sentença | Depósito informado não confirma saldo atual | Data de revisão financeira não informada | Atualização geral da origem: 2024-08-08 | Texto financeiro original: Causa: Pretenção R$ 261.849,65 | Número duplicado: revisão necessária; não somar automaticamente</t>
  </si>
  <si>
    <t>Origem: BMM!69 | ID BMM-065 | Condenação/execução preservada sem reclassificar como sentença | Depósito informado não confirma saldo atual | Data de revisão financeira não informada | Atualização geral da origem: 2026-01-30</t>
  </si>
  <si>
    <t>Origem: BMM!70 | ID BMM-066 | Condenação/execução preservada sem reclassificar como sentença | Depósito informado não confirma saldo atual | Data de revisão financeira não informada | Atualização geral da origem: 2024-08-08</t>
  </si>
  <si>
    <t>Origem: BMM!71 | ID BMM-067 | Condenação/execução preservada sem reclassificar como sentença | Depósito informado não confirma saldo atual | Data de revisão financeira não informada | Atualização geral da origem: 2026-02-20 | Texto financeiro original: Causa: Valor da causa: R$ 7.335,99</t>
  </si>
  <si>
    <t>Origem: BMM!72 | ID BMM-068 | Condenação/execução preservada sem reclassificar como sentença | Depósito informado não confirma saldo atual | Data de revisão financeira não informada | Atualização geral da origem: 2026-02-02 | Texto financeiro original: Causa: Valor da causa: R$ 76.138,74</t>
  </si>
  <si>
    <t>Origem: BMM!73 | ID BMM-069 | Condenação/execução preservada sem reclassificar como sentença | Depósito informado não confirma saldo atual | Data de revisão financeira não informada | Atualização geral da origem: 2026-01-22 | Texto financeiro original: Causa: Valor da causa: R$ 187.427,45</t>
  </si>
  <si>
    <t>Origem: BMM!74 | ID BMM-070 | Condenação/execução preservada sem reclassificar como sentença | Depósito informado não confirma saldo atual | Data de revisão financeira não informada | Atualização geral da origem: 2025-09-30</t>
  </si>
  <si>
    <t>Origem: BMM!75 | ID BMM-071 | Condenação/execução preservada sem reclassificar como sentença | Depósito informado não confirma saldo atual | Data de revisão financeira não informada | Atualização geral da origem: 2026-02-02</t>
  </si>
  <si>
    <t>Origem: BMM!76 | ID BMM-072 | Condenação/execução preservada sem reclassificar como sentença | Depósito informado não confirma saldo atual | Data de revisão financeira não informada | Atualização geral da origem: 2026-02-02</t>
  </si>
  <si>
    <t>Origem: BMM!77 | ID BMM-073 | Condenação/execução preservada sem reclassificar como sentença | Depósito informado não confirma saldo atual | Data de revisão financeira não informada | Atualização geral da origem: 2026-09-18 | Texto financeiro original: Causa: R$ 3.000.000,00 | Execução: 488.857,89</t>
  </si>
  <si>
    <t>Origem: BMM!78 | ID BMM-074 | Condenação/execução preservada sem reclassificar como sentença | Depósito informado não confirma saldo atual | Data de revisão financeira não informada | Atualização geral da origem: 2026-02-20 | Texto financeiro original: Causa: Valor total da condenação: R$29.722,96. Valor devido pela Alta, condenação subsidiária: R$1.938,14. (Possível restituição/ Saldo de R$ 12.296,38 de deposito) | Número duplicado: revisão necessária; não somar automaticamente</t>
  </si>
  <si>
    <t>Origem: BMM!79 | ID BMM-075 | Condenação/execução preservada sem reclassificar como sentença | Depósito informado não confirma saldo atual | Data de revisão financeira não informada | Atualização geral da origem: 2026-01-30</t>
  </si>
  <si>
    <t>Origem: BMM!80 | ID BMM-076 | Condenação/execução preservada sem reclassificar como sentença | Depósito informado não confirma saldo atual | Data de revisão financeira não informada | Atualização geral da origem: 2026-09-10</t>
  </si>
  <si>
    <t>Origem: BMM!81 | ID BMM-077 | Condenação/execução preservada sem reclassificar como sentença | Depósito informado não confirma saldo atual | Data de revisão financeira não informada | Atualização geral da origem: 2026-01-30</t>
  </si>
  <si>
    <t>Origem: BMM!82 | ID BMM-078 | Condenação/execução preservada sem reclassificar como sentença | Depósito informado não confirma saldo atual | Data de revisão financeira não informada | Atualização geral da origem: 2025-11-17</t>
  </si>
  <si>
    <t>Origem: BMM!83 | ID BMM-079 | Condenação/execução preservada sem reclassificar como sentença | Depósito informado não confirma saldo atual | Data de revisão financeira não informada | Atualização geral da origem: 2026-02-02</t>
  </si>
  <si>
    <t>Origem: BMM!84 | ID BMM-080 | Condenação/execução preservada sem reclassificar como sentença | Depósito informado não confirma saldo atual | Data de revisão financeira não informada | Atualização geral da origem: 2026-09-08</t>
  </si>
  <si>
    <t>Origem: BMM!85 | ID BMM-081 | Condenação/execução preservada sem reclassificar como sentença | Depósito informado não confirma saldo atual | Data de revisão financeira não informada | Atualização geral da origem: 2026-02-02</t>
  </si>
  <si>
    <t>Origem: BMM!86 | ID BMM-082 | Condenação/execução preservada sem reclassificar como sentença | Depósito informado não confirma saldo atual | Data de revisão financeira não informada | Atualização geral da origem: 2024-12-27</t>
  </si>
  <si>
    <t>Origem: BMM!87 | ID BMM-083 | Condenação/execução preservada sem reclassificar como sentença | Depósito informado não confirma saldo atual | Data de revisão financeira não informada | Atualização geral da origem: 2026-09-15</t>
  </si>
  <si>
    <t>Origem: BMM!88 | ID BMM-084 | Condenação/execução preservada sem reclassificar como sentença | Depósito informado não confirma saldo atual | Data de revisão financeira não informada | Atualização geral da origem: 2026-02-06</t>
  </si>
  <si>
    <t>Origem: BMM!89 | ID BMM-085 | Condenação/execução preservada sem reclassificar como sentença | Depósito informado não confirma saldo atual | Data de revisão financeira não informada | Atualização geral da origem: 2026-02-02</t>
  </si>
  <si>
    <t>Origem: BMM!90 | ID BMM-086 | Condenação/execução preservada sem reclassificar como sentença | Depósito informado não confirma saldo atual | Data de revisão financeira não informada | Atualização geral da origem: 2026-02-06</t>
  </si>
  <si>
    <t>Origem: BMM!91 | ID BMM-087 | Condenação/execução preservada sem reclassificar como sentença | Depósito informado não confirma saldo atual | Data de revisão financeira não informada | Atualização geral da origem: 2026-04-23</t>
  </si>
  <si>
    <t>Origem: BMM!92 | ID BMM-088 | Condenação/execução preservada sem reclassificar como sentença | Depósito informado não confirma saldo atual | Data de revisão financeira não informada | Atualização geral da origem: 2026-02-02</t>
  </si>
  <si>
    <t>Origem: BMM!93 | ID BMM-089 | Condenação/execução preservada sem reclassificar como sentença | Depósito informado não confirma saldo atual | Data de revisão financeira não informada | Atualização geral da origem: 2026-09-09</t>
  </si>
  <si>
    <t>Origem: BMM!94 | ID BMM-090 | Condenação/execução preservada sem reclassificar como sentença | Depósito informado não confirma saldo atual | Data de revisão financeira não informada | Atualização geral da origem: 2024-08-08 | Número duplicado: revisão necessária; não somar automaticamente</t>
  </si>
  <si>
    <t>Origem: BMM!95 | ID BMM-091 | Condenação/execução preservada sem reclassificar como sentença | Depósito informado não confirma saldo atual | Data de revisão financeira não informada | Atualização geral da origem: 2026-01-30</t>
  </si>
  <si>
    <t>Origem: BMM!96 | ID BMM-092 | Condenação/execução preservada sem reclassificar como sentença | Depósito informado não confirma saldo atual | Data de revisão financeira não informada | Atualização geral da origem: 2026-02-02</t>
  </si>
  <si>
    <t>Origem: BMM!97 | ID BMM-093 | Condenação/execução preservada sem reclassificar como sentença | Depósito informado não confirma saldo atual | Data de revisão financeira não informada | Atualização geral da origem: 2026-02-11 | Número duplicado: revisão necessária; não somar automaticamente</t>
  </si>
  <si>
    <t>Origem: BMM!98 | ID BMM-094 | Condenação/execução preservada sem reclassificar como sentença | Depósito informado não confirma saldo atual | Data de revisão financeira não informada | Atualização geral da origem: 2026-02-11</t>
  </si>
  <si>
    <t>Origem: BMM!99 | ID BMM-095 | Condenação/execução preservada sem reclassificar como sentença | Depósito informado não confirma saldo atual | Data de revisão financeira não informada | Atualização geral da origem: 2026-09-21</t>
  </si>
  <si>
    <t>Origem: BMM!100 | ID BMM-096 | Condenação/execução preservada sem reclassificar como sentença | Depósito informado não confirma saldo atual | Data de revisão financeira não informada | Atualização geral da origem: 2026-02-11</t>
  </si>
  <si>
    <t>Origem: BMM!101 | ID BMM-097 | Condenação/execução preservada sem reclassificar como sentença | Depósito informado não confirma saldo atual | Data de revisão financeira não informada | Atualização geral da origem: 2026-02-11</t>
  </si>
  <si>
    <t>Origem: BMM!102 | ID BMM-098 | Condenação/execução preservada sem reclassificar como sentença | Depósito informado não confirma saldo atual | Data de revisão financeira não informada | Atualização geral da origem: 2026-03-03</t>
  </si>
  <si>
    <t>Origem: BMM!103 | ID BMM-099 | Condenação/execução preservada sem reclassificar como sentença | Depósito informado não confirma saldo atual | Data de revisão financeira não informada | Atualização geral da origem: 2026-02-19</t>
  </si>
  <si>
    <t>Origem: BMM!104 | ID BMM-100 | Condenação/execução preservada sem reclassificar como sentença | Depósito informado não confirma saldo atual | Data de revisão financeira não informada | Atualização geral da origem: 2026-02-20</t>
  </si>
  <si>
    <t>Origem: BMM!105 | ID BMM-101 | Condenação/execução preservada sem reclassificar como sentença | Depósito informado não confirma saldo atual | Data de revisão financeira não informada | Atualização geral da origem: 2026-02-19</t>
  </si>
  <si>
    <t>Origem: BMM!106 | ID BMM-102 | Condenação/execução preservada sem reclassificar como sentença | Depósito informado não confirma saldo atual | Data de revisão financeira não informada | Atualização geral da origem: 2026-09-08 | Número duplicado: revisão necessária; não somar automaticamente</t>
  </si>
  <si>
    <t>Origem: BMM!107 | ID BMM-103 | Condenação/execução preservada sem reclassificar como sentença | Depósito informado não confirma saldo atual | Data de revisão financeira não informada | Atualização geral da origem: 2026-04-14</t>
  </si>
  <si>
    <t>Origem: BMM!108 | ID BMM-104 | Condenação/execução preservada sem reclassificar como sentença | Depósito informado não confirma saldo atual | Data de revisão financeira não informada | Atualização geral da origem: 2026-04-23 | Texto financeiro original: Causa: R$ 68.004,68 | Número duplicado: revisão necessária; não somar automaticamente</t>
  </si>
  <si>
    <t>Origem: BMM!109 | ID BMM-105 | Condenação/execução preservada sem reclassificar como sentença | Depósito informado não confirma saldo atual | Data de revisão financeira não informada | Atualização geral da origem: 2026-09-21 | Número duplicado: revisão necessária; não somar automaticamente</t>
  </si>
  <si>
    <t>Origem: SMP!5 | ID SMP-001 | Condenação/execução preservada sem reclassificar como sentença | Depósito informado não confirma saldo atual | Data de revisão financeira não informada | Atualização geral da origem: 2026-03-09 | Texto financeiro original: Causa: Não estabelecido, pois o processo está em fase de apuração de responsabilidades e eventual Penalidade</t>
  </si>
  <si>
    <t>Origem: SMP!6 | ID SMP-002 | Condenação/execução preservada sem reclassificar como sentença | Depósito informado não confirma saldo atual | Data de revisão financeira não informada | Atualização geral da origem: 2026-04-08 | Benefício econômico em texto: N/A</t>
  </si>
  <si>
    <t>3 ANOS</t>
  </si>
  <si>
    <t>Origem: SMP!7 | ID SMP-003 | Condenação/execução preservada sem reclassificar como sentença | Depósito informado não confirma saldo atual | Data de revisão financeira não informada | Atualização geral da origem: 2026-01-27 | Benefício econômico em texto: NÃO</t>
  </si>
  <si>
    <t>NÃO</t>
  </si>
  <si>
    <t>1 ANO</t>
  </si>
  <si>
    <t>Origem: SMP!8 | ID SMP-004 | Condenação/execução preservada sem reclassificar como sentença | Depósito informado não confirma saldo atual | Data de revisão financeira não informada | Atualização geral da origem: 2026-04-08 | Benefício econômico em texto: N/A</t>
  </si>
  <si>
    <t>Origem: SMP!9 | ID SMP-005 | Condenação/execução preservada sem reclassificar como sentença | Depósito informado não confirma saldo atual | Data de revisão financeira não informada | Atualização geral da origem: 2026-04-08 | Benefício econômico em texto: N/A</t>
  </si>
  <si>
    <t>Origem: SMP!10 | ID SMP-006 | Condenação/execução preservada sem reclassificar como sentença | Depósito informado não confirma saldo atual | Data de revisão financeira não informada | Atualização geral da origem: 2026-04-08 | Benefício econômico em texto: N/A</t>
  </si>
  <si>
    <t>Origem: SMP!11 | ID SMP-007 | Condenação/execução preservada sem reclassificar como sentença | Depósito informado não confirma saldo atual | Data de revisão financeira não informada | Atualização geral da origem: 2026-04-08 | Benefício econômico em texto: N/A | Texto financeiro original: Impacto: R$ 1.760,543.10</t>
  </si>
  <si>
    <t>Origem: SMP!12 | ID SMP-008 | Condenação/execução preservada sem reclassificar como sentença | Depósito informado não confirma saldo atual | Data de revisão financeira não informada | Atualização geral da origem: 2026-04-08 | Benefício econômico em texto: N/A</t>
  </si>
  <si>
    <t>Origem: SMP!13 | ID SMP-009 | Condenação/execução preservada sem reclassificar como sentença | Depósito informado não confirma saldo atual | Data de revisão financeira não informada | Atualização geral da origem: 2025-09-01</t>
  </si>
  <si>
    <t>Origem: SMP!14 | ID SMP-010 | Condenação/execução preservada sem reclassificar como sentença | Depósito informado não confirma saldo atual | Data de revisão financeira não informada | Atualização geral da origem: 2026-01-27 | Benefício econômico em texto: N/A</t>
  </si>
  <si>
    <t>Origem: SMP!15 | ID SMP-011 | Condenação/execução preservada sem reclassificar como sentença | Depósito informado não confirma saldo atual | Data de revisão financeira não informada | Atualização geral da origem: 2026-04-08 | Benefício econômico em texto: N/A</t>
  </si>
  <si>
    <t>Não avaliado</t>
  </si>
  <si>
    <t>5 ANOS</t>
  </si>
  <si>
    <t>Origem: SMP!16 | ID SMP-012 | Condenação/execução preservada sem reclassificar como sentença | Depósito informado não confirma saldo atual | Data de revisão financeira não informada | Atualização geral da origem: 2026-06-17 | Benefício econômico em texto: NÃO | Êxito de 25% preservado de HIST_ORIGINAL coluna X, SMP linha 16; avaliação de perda normalizada AA = Não avaliado; não há nova avaliação</t>
  </si>
  <si>
    <t>Origem: SMP!17 | ID SMP-013 | Condenação/execução preservada sem reclassificar como sentença | Depósito informado não confirma saldo atual | Data de revisão financeira não informada | Atualização geral da origem: 2026-04-08 | Benefício econômico em texto: ABARCADO AO PROCESSO ABAIXO | Texto financeiro original: Causa: ABARCADO AO PROCESSO ABAIXO | Execução: ABARCADO AO PROCESSO ABAIXO | Depósito: ABARCADO AO PROCESSO ABAIXO | Impacto: ABARCADO AO PROCESSO ABAIXO | Número duplicado: revisão necessária; não somar automaticamente</t>
  </si>
  <si>
    <t>ABARCADO AO PROCESSO ABAIXO</t>
  </si>
  <si>
    <t>Origem: SMP!18 | ID SMP-014 | Condenação/execução preservada sem reclassificar como sentença | Depósito informado não confirma saldo atual | Data de revisão financeira não informada | Atualização geral da origem: 2026-04-08 | Benefício econômico em texto: N/A | Número duplicado: revisão necessária; não somar automaticamente</t>
  </si>
  <si>
    <t>Origem: SMP!19 | ID SMP-015 | Condenação/execução preservada sem reclassificar como sentença | Depósito informado não confirma saldo atual | Data de revisão financeira não informada | Atualização geral da origem: 2026-04-10</t>
  </si>
  <si>
    <t>Origem: LIPORACE!5 | ID LIP-001 | Condenação/execução preservada sem reclassificar como sentença | Depósito informado não confirma saldo atual | Data de revisão financeira não informada | Atualização geral da origem: 2025-05-13 | Texto financeiro original: Causa: Pretende-se a anulação parcial das medições realizadas a maior para constituir o débito em desfavor da Contratada no montante de R$ 10.294.882,11</t>
  </si>
  <si>
    <t>Origem: LIPORACE!6 | ID LIP-002 | Condenação/execução preservada sem reclassificar como sentença | Depósito informado não confirma saldo atual | Data de revisão financeira não informada | Atualização geral da origem: 2025-07-14 | Texto financeiro original: Causa: Pretende-se a anulação parcial das medições realizadas a maior para constituir o débito em desfavor da Contratada no montante de R$ 1.505.390,01</t>
  </si>
  <si>
    <t>Origem: LIPORACE!7 | ID LIP-003 | Condenação/execução preservada sem reclassificar como sentença | Depósito informado não confirma saldo atual | Data de revisão financeira não informada | Atualização geral da origem: 2026-03-31 | Benefício econômico em texto: N/A</t>
  </si>
  <si>
    <t>12 MESES</t>
  </si>
  <si>
    <t>Origem: LIPORACE!8 | ID LIP-004 | Condenação/execução preservada sem reclassificar como sentença | Depósito informado não confirma saldo atual | Data de revisão financeira não informada | Atualização geral da origem: 2026-03-31 | Benefício econômico em texto: N/A</t>
  </si>
  <si>
    <t>36 MESES</t>
  </si>
  <si>
    <t>Origem: LIPORACE!9 | ID LIP-005 | Condenação/execução preservada sem reclassificar como sentença | Depósito informado não confirma saldo atual | Data de revisão financeira não informada | Atualização geral da origem: 2025-04-04 | Texto financeiro original: Causa: Constituição de débito no importe de R$ 25.879.643,81 (R$ 92.277.980,00 atualizado)</t>
  </si>
  <si>
    <t>Origem: LIPORACE!10 | ID LIP-006 | Condenação/execução preservada sem reclassificar como sentença | Depósito informado não confirma saldo atual | Data de revisão financeira não informada | Atualização geral da origem: 2026-08-19 | Benefício econômico em texto: N/A</t>
  </si>
  <si>
    <t>Origem: LIPORACE!11 | ID LIP-007 | Condenação/execução preservada sem reclassificar como sentença | Depósito informado não confirma saldo atual | Data de revisão financeira não informada | Atualização geral da origem: 2026-03-31 | Benefício econômico em texto: N/A</t>
  </si>
  <si>
    <t>Origem: LIPORACE!12 | ID LIP-008 | Condenação/execução preservada sem reclassificar como sentença | Depósito informado não confirma saldo atual | Data de revisão financeira não informada | Atualização geral da origem: 2025-05-13 | Texto financeiro original: Causa: Valor pretendido – em torno de R$5.962.564,05</t>
  </si>
  <si>
    <t>Origem: LIPORACE!13 | ID LIP-009 | Condenação/execução preservada sem reclassificar como sentença | Depósito informado não confirma saldo atual | Data de revisão financeira não informada | Atualização geral da origem: 2026-03-31 | Benefício econômico em texto: N/A</t>
  </si>
  <si>
    <t>Origem: ENVER!5 | ID ENV-001 | Condenação/execução preservada sem reclassificar como sentença | Depósito informado não confirma saldo atual | Data de revisão financeira não informada | Atualização geral da origem: 2026-02-27 | Texto financeiro original: Causa: Não se aplica</t>
  </si>
  <si>
    <t>Origem: P. CALMON!5 | ID PCA-001 | Condenação/execução preservada sem reclassificar como sentença | Depósito informado não confirma saldo atual | Data de revisão financeira não informada | Atualização geral da origem: 2026-02-27 | Benefício econômico em texto: Não existe proveito econômico para esse processo.</t>
  </si>
  <si>
    <t>Não existe proveito econômico para esse processo.</t>
  </si>
  <si>
    <t>24 meses a depender do reconheciemento da prescrição ou, 60 meses caso sejam necessários recursos aos tribunais.</t>
  </si>
  <si>
    <t>Origem: BRANDÃO!5 | ID BRA-001 | Condenação/execução preservada sem reclassificar como sentença | Depósito informado não confirma saldo atual | Data de revisão financeira não informada | Atualização geral da origem: 2026-02-24 | Benefício econômico em texto: Suspensão da exigibilidade da multa punitiva no valor de R$ 1.202.975,98 e os benefícios econômicos decorrentes da retirada do nome da empresa do SICAF e do CADIN. | Texto financeiro original: Causa: Multa no valor de R$ 1.202.975,69 e impedimento de licitar e contrata com a administração pública federal, direta ou indireta, pelo prazo de 4 meses | Impacto: Se o agravo for provido, a empresa (solidariamente no consórcio) deverá pagar a multa aplicada pelo DNIT, no valor de R$ 1.202.975,98. Se a sentença for desfavorável à ALTA, também arcará com custas sucumbenciais calculadas sobre o valor da causa (R$ 50.000,00). Além disso, a perda do mérito pode resultar na reinserção do nome da empresa no SICAF e no CADIN, gerando impacto financeiro e restrições administrativas. | Número duplicado: revisão necessária; não somar automaticamente</t>
  </si>
  <si>
    <t>Suspensão da exigibilidade da multa punitiva no valor de R$ 1.202.975,98 e os benefícios econômicos decorrentes da retirada do nome da empresa do SICAF e do CADIN.</t>
  </si>
  <si>
    <t>Não há como fazer estimativa segura de quanto tempo levará para tal.</t>
  </si>
  <si>
    <t>Origem: BRANDÃO!6 | ID BRA-002 | Condenação/execução preservada sem reclassificar como sentença | Depósito informado não confirma saldo atual | Data de revisão financeira não informada | Atualização geral da origem: 2026-02-24 | Benefício econômico em texto: Em caso de decisão monocrática positiva, a ALTA fi caria desobrigada, preliminarmente, de pagar a multa punitiva no valor de R$1.202.975,98 imposta pelo DNIT. | Texto financeiro original: Impacto: Caso seja dado provimento ao agravo, a empresa (em solidariedade no consórcio) será obrigada a pagar a multa imposta pela DNIT no valor original de R$ 1.202.975,98. | Número duplicado: revisão necessária; não somar automaticamente</t>
  </si>
  <si>
    <t>Em caso de decisão monocrática positiva, a ALTA fi caria desobrigada, preliminarmente, de pagar a multa punitiva no valor de R$1.202.975,98 imposta pelo DNIT.</t>
  </si>
  <si>
    <t>Origem: CAVALCANTI!5 | ID CAV-001 | Condenação/execução preservada sem reclassificar como sentença | Depósito informado não confirma saldo atual | Data de revisão financeira não informada | Atualização geral da origem: 2026-09-22 | Benefício econômico em texto: APROXIMADAMENTE R$1.389.677,83 | Texto financeiro original: Causa: MULTA DE R$ 1.049.922,81</t>
  </si>
  <si>
    <t>APROXIMADAMENTE R$1.389.677,83</t>
  </si>
  <si>
    <t>Origem: CAVALCANTI!6 | ID CAV-002 | Condenação/execução preservada sem reclassificar como sentença | Depósito informado não confirma saldo atual | Data de revisão financeira não informada | Atualização geral da origem: 2026-02-24 | Benefício econômico em texto: Suspensão da exigibilidade da multa punitiva no valor de R$ 1.202.975,98 e os benefícios econômicos decorrentes da retirada do nome da empresa do SICAF e do CADIN. | Texto financeiro original: Causa: Multa no valor de R$ 1.202.975,69 e impedimento de licitar e contrata com a administração pública federal, direta ou indireta, pelo prazo de 4 meses | Impacto: Se o agravo for provido, a empresa (solidariamente no consórcio) deverá pagar a multa aplicada pelo DNIT, no valor de R$ 1.202.975,98. Se a sentença for desfavorável à ALTA, também arcará com custas sucumbenciais calculadas sobre o valor da causa (R$ 50.000,00). Além disso, a perda do mérito pode resultar na reinserção do nome da empresa no SICAF e no CADIN, gerando impacto financeiro e restrições administrativas. | Número duplicado: revisão necessária; não somar automaticamente</t>
  </si>
  <si>
    <t>Origem: CAVALCANTI!7 | ID CAV-003 | Condenação/execução preservada sem reclassificar como sentença | Depósito informado não confirma saldo atual | Data de revisão financeira não informada | Atualização geral da origem: 2026-02-24 | Benefício econômico em texto: Em caso de decisão monocrática positiva, a ALTA fi caria desobrigada, preliminarmente, de pagar a multa punitiva no valor de R$1.202.975,98 imposta pelo DNIT. | Texto financeiro original: Impacto: Caso seja dado provimento ao agravo, a empresa (em solidariedade no consórcio) será obrigada a pagar a multa imposta pela DNIT no valor original de R$ 1.202.975,98. | Número duplicado: revisão necessária; não somar automaticamente</t>
  </si>
  <si>
    <t>Origem: J. CARVALHO!5 | ID JCA-001 | Condenação/execução preservada sem reclassificar como sentença | Depósito informado não confirma saldo atual | Data de revisão financeira não informada | Atualização geral da origem: 2026-03-03 | Texto financeiro original: Causa: Crédito estimado em R$ 1.165.943,58</t>
  </si>
  <si>
    <t>Origem: SACHA!5 | ID SAC-001 | Condenação/execução preservada sem reclassificar como sentença | Depósito informado não confirma saldo atual | Data de revisão financeira não informada | Atualização geral da origem: 2026-03-24 | Benefício econômico em texto: N/A | Texto financeiro original: Causa: VALORES NA EXECUÇÃO FISCAL ABAIXO | Execução: VALORES NA EXECUÇÃO FISCAL ABAIXO | Impacto: VALORES NA EXECUÇÃO FISCAL ABAIXO</t>
  </si>
  <si>
    <t>2 ANOS</t>
  </si>
  <si>
    <t>Origem: SACHA!6 | ID SAC-002 | Condenação/execução preservada sem reclassificar como sentença | Depósito informado não confirma saldo atual | Data de revisão financeira não informada | Atualização geral da origem: 2026-03-24 | Benefício econômico em texto: N/A</t>
  </si>
  <si>
    <t>Origem: FROIS!5 | ID FRO-001 | Condenação/execução preservada sem reclassificar como sentença | Depósito informado não confirma saldo atual | Data de revisão financeira não informada | Atualização geral da origem: 2023-03-13 | Texto financeiro original: Causa: Não se aplica</t>
  </si>
  <si>
    <t>Origem: FROIS!6 | ID FRO-002 | Condenação/execução preservada sem reclassificar como sentença | Depósito informado não confirma saldo atual | Data de revisão financeira não informada | Atualização geral da origem: 2026-01-20 | Texto financeiro original: Causa: Não se aplica</t>
  </si>
  <si>
    <t>Origem: FROIS!7 | ID FRO-003 | Condenação/execução preservada sem reclassificar como sentença | Depósito informado não confirma saldo atual | Data de revisão financeira não informada | Atualização geral da origem: 2026-01-21 | Texto financeiro original: Causa: Não se aplica</t>
  </si>
  <si>
    <t>Origem: FROIS!8 | ID FRO-004 | Condenação/execução preservada sem reclassificar como sentença | Depósito informado não confirma saldo atual | Data de revisão financeira não informada | Atualização geral da origem: 2026-01-22 | Texto financeiro original: Causa: Não se aplica</t>
  </si>
  <si>
    <t>Origem: FROIS!9 | ID FRO-005 | Condenação/execução preservada sem reclassificar como sentença | Depósito informado não confirma saldo atual | Data de revisão financeira não informada | Atualização geral da origem: 2026-01-20</t>
  </si>
  <si>
    <t>Origem: EHJC!5 | ID EHJ-001 | Condenação/execução preservada sem reclassificar como sentença | Depósito informado não confirma saldo atual | Data de revisão financeira não informada | Atualização geral da origem: 2026-03-03</t>
  </si>
  <si>
    <t>Origem: ROMANHOL!5 | ID ROM-001 | Condenação/execução preservada sem reclassificar como sentença | Depósito informado não confirma saldo atual | Data de revisão financeira não informada | Atualização geral da origem: 2025-02-21 | Texto financeiro original: Causa: Não se aplica</t>
  </si>
  <si>
    <t>Origem: NAZIF!5 | ID NAZ-001 | Condenação/execução preservada sem reclassificar como sentença | Depósito informado não confirma saldo atual | Data de revisão financeira não informada | Atualização geral da origem: 2026-08-25</t>
  </si>
  <si>
    <t>Origem: RAIMUNDO!5 | ID RAI-001 | Condenação/execução preservada sem reclassificar como sentença | Depósito informado não confirma saldo atual | Data de revisão financeira não informada | Atualização geral da origem: 2026-08-25</t>
  </si>
  <si>
    <t>Andamentos recebidos</t>
  </si>
  <si>
    <t>Acrescente cada atualização em uma nova linha. O histórico anterior fica preservado.</t>
  </si>
  <si>
    <t>Informe processo, datas, descrição e fonte. O texto completo recebido pode ficar em Observações.</t>
  </si>
  <si>
    <t>Data do andamento</t>
  </si>
  <si>
    <t>Descrição do andamento</t>
  </si>
  <si>
    <t>Registrado / atualizado em</t>
  </si>
  <si>
    <t>Informado por / fonte</t>
  </si>
  <si>
    <t>Válido para consulta</t>
  </si>
  <si>
    <t>Chave de recebimento</t>
  </si>
  <si>
    <t>Conferir andamento</t>
  </si>
  <si>
    <t>20/09/2023 - Acordo para pagamento do saldo residual da execução de R$44.523,44.
Último pagamento para janeiro de 2024. [...] histórico completo em Observações</t>
  </si>
  <si>
    <t>BMM!5 | ID BMM-001</t>
  </si>
  <si>
    <t>Histórico original integral:
20/09/2023 - Acordo para pagamento do saldo residual da execução de R$44.523,44.
Último pagamento para janeiro de 2024.
16/06/2023 - Autor levantou os depósitos recursais.
30/03/2023 - Fixado valor da execução em R$89481,64.
20/02/2020 - Agaurdando julgamento AIRR.
28/08/2019 - Acórdão reformou a sentença.
26/04/2019 - Sentença parcialmente procedente.
Proveniência: Histórico completo da origem: BMM!5 | ID BMM-001 | A coluna D contém atualização geral informada na origem; não comprova recebimento do andamento | Não houve consulta a tribunal nem atualização externa</t>
  </si>
  <si>
    <t>26/02/2024 - Autos arquivados. [...] histórico completo em Observações</t>
  </si>
  <si>
    <t>BMM!6 | ID BMM-002</t>
  </si>
  <si>
    <t>Histórico original integral:
26/02/2024 - Autos arquivados.
03/01/2024 - Consórcio fez o pagamento integral do saldo residual da execução.
04/09/2023 - Intimação para pagameto do saldo devedor.
21/07/2023 - Consórcio fez o pagamento de 30% e pediu o parcelamento do restante.
19/07/2023 - Restrição CNIB e Renajud em desfavor da Alta e demais rés.
05/06/2023 - Intimação das Rés para pagarem a execução.
18/04/2023 - Negado seguimento ao AIRR do Consórcio.
20/12/2022 - AIRR do Consórcio.
08/12/2022 - RR do Consórcio.
30/11/2022 - Provido AP do Reclamante para readequar os cálculos.
03/08/2022 - AP do Reclamante.
22/07/2022 - Improcedente a impuganção à liquidação da sentença.
10/06/2022 - Intimação das partes para fins do Art. 884 da CLT.
06/06/2022 - Consórcio pagou a integralidade da execução.
27/05/2022 - Consórcio comprovou pagamento 1 parcela execução. Pediu dilação de prazo para pagar o
restante.
25/05/2022 - Juízo indeferiu o pedido de parcelamento e intimou as Rés para pagarem a execução.
28/04/2022 - Consórcio pediu parcelamento da execução.
18/11/2021 - vista dos cálculos atualizados.
12/12/2020 - Rejeitada impugnação ao cumprimento de sentença do Autor.
24/08/2020 - Intimação vista cálculos execução proviória
05/05/2020 - Provido RO do Reclamante. Condenação foi acrescida.
29/08/2019 - Sentença condenatória solidária multa Art. 477.
Proveniência: Histórico completo da origem: BMM!6 | ID BMM-002 | A coluna D contém atualização geral informada na origem; não comprova recebimento do andamento | Não houve consulta a tribunal nem atualização externa</t>
  </si>
  <si>
    <t>15/05/2024 - Senteça de extinção por prescrição intercorrente. [...] histórico completo em Observações</t>
  </si>
  <si>
    <t>BMM!7 | ID BMM-003</t>
  </si>
  <si>
    <t>Histórico original integral:
15/05/2024 - Senteça de extinção por prescrição intercorrente.
19/09/2023 - Consórcio intimado a pagar o saldo residual.
09/09/2020 - Autos arquivados provisoriamente
05/02/2020 - Leilão bens consórcio. Arrematado veículo no valor de R$3.250,00.
05/11/2019 - Intimado o Autor a indicar o endereço dos bens do Consórcio para que seja feita a penhora.
10/10/2019 - Exequente intimado para manifestar sobre o prosseguimento dio feito. 30/07/2019 - pagamento parcial ao Exequente
23/04/2019 - multa de litigância de má-fé em razão do Consórcio ter sumido com os aparelhos de ar condicionado.
16/01/2019 - Edital de leilção de penhora e a avaliação de 14 ar condicionados descritos no auto de penhora de fls. 337 ID. 9559cfd - Pág. 1, avaliados em R$ 9.000,00 (nove mil reais) e depositados com o Sr. Sandoval Moura Lima, funcionário da empresa.
Proveniência: Histórico completo da origem: BMM!7 | ID BMM-003 | A coluna D contém atualização geral informada na origem; não comprova recebimento do andamento | Não houve consulta a tribunal nem atualização externa</t>
  </si>
  <si>
    <t>26/01/2024 - Autos arquivados. [...] histórico completo em Observações</t>
  </si>
  <si>
    <t>BMM!8 | ID BMM-004</t>
  </si>
  <si>
    <t>Histórico original integral:
26/01/2024 - Autos arquivados.
30/11/2023 - Sentença extinção do processo.
20/10/2023 - Alvará em favor do Reclamante. Aguardar arquivamento.
29/09/2023 - Bloqueio integral da execução em desfavor da Alta. Foram deduzidos os depósitos recursais feitos pela Alta.
17/08/2023 - Vista dos cálculos
27/04/2023 - Negado provimento ao agravo interno da Alta.
03/02/2022 - Agravo Interno da Alta.
13/12/2022 - Acórdão - negado provimento ao AIRR da Alta.
08/09/2022 - AIRR da Alta.
26/08/2022 - Negado seguimento ao RR da Alta.
26/07/2022 - RR da Alta.
14/07/2022 - Provido parcialmente o RO da Alta.
20/04/2022 - Deliberado para conhecer o recurso da Alta, aguardar nova sessão.
07/04/2022 - Provido ED para declarar a nulidade.
17/02/2022 - ED da Alta.
10/02/2022 - Não conhecido RO da Alta.
04/10/2021 - RO apresentado pela Alta.
21/09/2021 - Negado provimento ao ED da Alta e fixada multa por embargos protelatórios.
26/08/2021 - ED apresentado pela Alta.
19/08/2021 - Sentença - condenação solidária da Alta.
18/05/2021 - AIJ.
31/08/2020 - Autos sobrestados até o término pandemia.
11/08/2020 - aprsesentada defesa da Alta Engenharia.
06/07/2020 - Devolvido prazo para a Alta apresentar defesa
24/06/2020 - Vista ao reclamante petição Alta com arguição de nulidade processual.
19/06/2020 - Arguição de nulidade processual por parte da Alta.
09/03/2020 - Audiência - nulidade - Alta não foi notificada.
Proveniência: Histórico completo da origem: BMM!8 | ID BMM-004 | A coluna D contém atualização geral informada na origem; não comprova recebimento do andamento | Não houve consulta a tribunal nem atualização externa</t>
  </si>
  <si>
    <t>08/06/2023 - Autos arquivados provisoriamente. [...] histórico completo em Observações</t>
  </si>
  <si>
    <t>BMM!9 | ID BMM-005</t>
  </si>
  <si>
    <t>Histórico original integral:
08/06/2023 - Autos arquivados provisoriamente.
12/04/2023 - Determinada a exclusão da Alta no polo passivo da ação.
13/02/2022 - Acórdão, provido AP da Alta para declarar nulidade da decisão que incluiu a Alta no polo passivo.
03/05/2022 - Reconhecida a responsabilidade da Cava.
02/02/2022 - Agravo de petição da Alta.
21/10/2021 - Apresentados embargos de declaração pela Alta.
13/10/2021 - Procedente o IDPJ contra a Alta, mas a Cava foi incluída no polo.
08/10/2021 - Protocolo de defesa IDPJ Alta.
15/09/2021 - Intimação para o Consórcio audiência de conciliação em execução designada para o dia
21/09/2021. 28/04/2021 - Intimação para Consórcio pagar a execução.
12/04/2021 - Intimação vista cálculos.
05/03/2021 - Sentença de procedência dos pedidos.
18/12/2020 - Consórcio intiamado a apresentar defesa.
16/12/2020 - Audiência inicial
Proveniência: Histórico completo da origem: BMM!9 | ID BMM-005 | A coluna D contém atualização geral informada na origem; não comprova recebimento do andamento | Não houve consulta a tribunal nem atualização externa</t>
  </si>
  <si>
    <t>08/04/2024 - Extinção da execução por cumprimento de acordo. [...] histórico completo em Observações</t>
  </si>
  <si>
    <t>BMM!10 | ID BMM-006</t>
  </si>
  <si>
    <t>Histórico original integral:
08/04/2024 - Extinção da execução por cumprimento de acordo.
26/09/2023 - Os Executados forma intimados para manifestarem acerca da proposta de acordo do
exequente. 22/06/2023 - AP da Cava.
19/05/2023 - Convolado em penhora o bloqueio integral da execução.
28/03/2023 - Convolado penhora bloqueio de R$ 6.702,31 da Cava.
15/09/2022 - Provido AP da Cava mas sem absolvição, apenas para falar que se garantida a execução ela poderá opor embargos à execução. Negado provimento ao AP da Serne.
05/04/2022 - Agravo de petição da Cava.
31/03/2022 - Rejeitado embargos de declaração da Cava.
11/03/2022 - AP da Serne.
10/03/2022 - ED da Cava.
08/12/2021 - Bloqueio parcial em desfavor da Cava no valor de R$25.155,68.
24/11/2021 - Homologados os cálculos de liquidação.
07/10/2021 - Negado provimento ao AIRR da Cava,
16/11/2020 - AIRR da Cava.
11/11/2020 - Inadimitido RR da Cava.
21/10/2020 - Rejeitado ED da Cava. Multa por recurso protelatório.
04/09/2020 - Negado provimento ao AP da Cava.
13/04/2020 - Protocolado AP pela Cava.
27/03/2020 - Rejeitado ED da Cava.
02/12/2019 - Cava apresentou defesa ao IDPJ e pediu denunciação à lide.
14/11/2019 - Incluída a Cava no processo.
31/10/2019 - Exequente fez pedido de IDPJ e bloqueio
17/09/2019 - Frustada a penhora - Exequente intimado opara manifestar. 02/09/2019 - aguardando cumprimento de mandado de penhora contra o Consórcio.
Proveniência: Histórico completo da origem: BMM!10 | ID BMM-006 | A coluna D contém atualização geral informada na origem; não comprova recebimento do andamento | Não houve consulta a tribunal nem atualização externa</t>
  </si>
  <si>
    <t>27/03/2024 - Autos arquivados. [...] histórico completo em Observações</t>
  </si>
  <si>
    <t>BMM!11 | ID BMM-007</t>
  </si>
  <si>
    <t>Histórico original integral:
27/03/2024 - Autos arquivados.
01/11/2023 - Expedidos alvarás.
26/10/2023 - Homologado valor da execução.
08/09/2023 - Acórdão, negado provimento aos EDs da Cava e aplicada multa de 2%.
18/08/2023 - Acórdão. Negado provimento ao AP da Cava.
28/06/2023 - AP da Cava.
26/06/2023 - Improcedente EE da Cava.
07/06/2023 - EE da Cava.
01/06/2023 - Bloqueio integral em conta da Cava.
04/05/2023 - Instaurado IDPJ contra o Roney.
30/03/2023 - Exequente intimado a impulsionar o feito.
15/03/2023 - Expedido ofício para penhora no rosto dos autos 0010076-73.2022.5.18.0103 (crédito com a
Valec) e CP para penhora de créditos da Valec.
08/11/2022 - Negado provimento ao AIAP da Cava.
12/07/2022 - Bloqueio de R$311,26 da Cava.
08/07/2022 - AI em AP da Cava.
06/07/2022 - Negado seguimento ao AP da Cava.
21/06/2022 - AP da Cava.
16/06/2022 - Juízo indeferiu o requerimento da Cava para expedir ofício à Valec.
24/05/2022 - Cava indicou crédito do Consórcio com a Valec.
20/05/2022 - Citados os réus para pagar a execução.
06/05/2022 - Homologados cálculos, citadas executadas para pagamento.
25/03/2022 - Não conhecida impugnação do Reclamante.
02/12/2021 - Impugnação aos cálculos apresentada pelo Reclamante.
26/11/2021 - Vista dos cálculos.
27/08/2021 - Determinada a retificação da conta de liquidação.
24/06/2021 - Vista às partes sobre o cálculo de liquidação da sentença.
05/04/2021 - Negado provimento ao RR do Reclamante.
15/10/2020 - Recebido RR do Reclamante. Não recebido RR da Cava.
Proveniência: Histórico completo da origem: BMM!11 | ID BMM-007 | A coluna D contém atualização geral informada na origem; não comprova recebimento do andamento | Não houve consulta a tribunal nem atualização externa</t>
  </si>
  <si>
    <t>02/02/2024 - Execução extinta. [...] histórico completo em Observações</t>
  </si>
  <si>
    <t>BMM!12 | ID BMM-008</t>
  </si>
  <si>
    <t>Histórico original integral:
02/02/2024 - Execução extinta.
20/11/2023 - Bloqueio integral da execução na conta da CAVA.
12/09/2023 - Provido AP da Alta para liberar o valor execedente.
26/07/2023 - AP da Alta.
14/07/2023 - Julgado improcedente impugnação aos cálculos. Retido valor da Alta.
04/04/2023 - Intimadas as partes sorbe os cálculos. Valor da Alta é de R$1.938,14
08/03/2023 - Negado seguimento ao RR da Cava.
14/02/2023 - RR da Cava.
08/02/2023 - Provido ED da Alta para sanar erros materiais e negado provimento ao EDs da Cava e Serne e provido o ED do Reclamante para suspender pagamento de honorários.
15/12/2022 - Provido RO da Alta, condenação subsidiária, e apenas pelas diferenças de FGTS até agosto de 2018.
29/09/2022 - RO da Alta.
19/09/2022 - Negado provimento aos EDs da Alta.
19/08/2022 - ED da Alta.
12/08/2022 - Sentença condenatória.
18/05/2022 - Realizada audiência, Serne chamada no polo passivo.
09/03/2022 - Determinada a citação da Cava.
07/12/2021 - Negado provimento aos EDs da Alta e providos os da Trail.
05/11/2021 - Ed da Alta.
26/10/2021 - Acórdão, provido RO da Alta para incluir a Cava.
27/08/2021 - RO da Alta.
17/08/2021 - Provido em parte ED da Alta.
20/07/2021 - Ed da Alta.
13/07/2021 - Sentença condenatória em desfavor da Alta.
17/05/2021 - AIJ.
19/08/2020 - Apresentada defesa Alta.
27/07/2020 - Devolvido prazo à Alta para apresentar defesa
22/06/2020 - Reclamante intimado a manifestar sobre pedido de nulidade processual arguido pela Alta.
Proveniência: Histórico completo da origem: BMM!12 | ID BMM-008 | A coluna D contém atualização geral informada na origem; não comprova recebimento do andamento | Não houve consulta a tribunal nem atualização externa</t>
  </si>
  <si>
    <t>09/04/2024 - Transferido saldo residual ao Reclamante. Processo arquivado. [...] histórico completo em Observações</t>
  </si>
  <si>
    <t>BMM!13 | ID BMM-009</t>
  </si>
  <si>
    <t>Histórico original integral:
09/04/2024 - Transferido saldo residual ao Reclamante. Processo arquivado.
22/11/2023 - Autos arquivados. pagamenots feitos.
07/07/2023 - Negado seguimento ao AIRR do Consórcio.
14/04/2022 - AIRR do Consórcio.
06/04/2022 - Negado seguimento ao RR do Consórcio.
23/02/2022 - RR do Sindicato.
15/02/2022 - Negado provimento aos embargos de declaração e multa ao consórcio.
17/12/2021 - Acórdão - majorar honoráriso devidos pelo Reclamante.
28/09/2021 - RO do Reclamante.
08/09/2021 - RO do Consórcio Spavias.
27/08/2021 - Ed do Consórcio TS.
23/08/2021 - Sentença.
12/04/2021 - Audiência inicial
Proveniência: Histórico completo da origem: BMM!13 | ID BMM-009 | A coluna D contém atualização geral informada na origem; não comprova recebimento do andamento | Não houve consulta a tribunal nem atualização externa</t>
  </si>
  <si>
    <t>(ABB/SPA- ENERGIA fez pagamento.) 13/05/2019 - Inclusão do Consórcio no polo passivo da ação.</t>
  </si>
  <si>
    <t>BMM!14 | ID BMM-010</t>
  </si>
  <si>
    <t>Histórico original integral:
(ABB/SPA- ENERGIA fez pagamento.) 13/05/2019 - Inclusão do Consórcio no polo passivo da ação.
Proveniência: Histórico completo da origem: BMM!14 | ID BMM-010 | A coluna D contém atualização geral informada na origem; não comprova recebimento do andamento | Não houve consulta a tribunal nem atualização externa | Data estruturada do movimento não confiável/ausente; texto original preservado</t>
  </si>
  <si>
    <t>21/11/2023 - Saneado o processo e excluído o Consórcio do polo passivo. [...] histórico completo em Observações</t>
  </si>
  <si>
    <t>BMM!15 | ID BMM-011</t>
  </si>
  <si>
    <t>Histórico original integral:
21/11/2023 - Saneado o processo e excluído o Consórcio do polo passivo.
16/06/2023 - Instaurado IDPJ contra o Consórcio.
Proveniência: Histórico completo da origem: BMM!15 | ID BMM-011 | A coluna D contém atualização geral informada na origem; não comprova recebimento do andamento | Não houve consulta a tribunal nem atualização externa</t>
  </si>
  <si>
    <t>06/06/2025 - Processo arquivado. [...] histórico completo em Observações</t>
  </si>
  <si>
    <t>BMM!16 | ID BMM-012</t>
  </si>
  <si>
    <t>Histórico original integral:
06/06/2025 - Processo arquivado.
22/04/2025 - Julgamento. Ácordão mantendo a sentença.
18/02/2025 - Sentença decretando a extinção do processo pois o autor não tem legitimidade para ajuizar a demanda.
02/08/2024 - Decretado revelia da Alta.
18/11/2022 - Audiência de conciliação.
Proveniência: Histórico completo da origem: BMM!16 | ID BMM-012 | A coluna D contém atualização geral informada na origem; não comprova recebimento do andamento | Não houve consulta a tribunal nem atualização externa</t>
  </si>
  <si>
    <t>18/07/2025 - Processo arquivado. [...] histórico completo em Observações</t>
  </si>
  <si>
    <t>BMM!17 | ID BMM-013</t>
  </si>
  <si>
    <t>Histórico original integral:
18/07/2025 - Processo arquivado.
16/06/2025 - Julgamento.
Proveniência: Histórico completo da origem: BMM!17 | ID BMM-013 | A coluna D contém atualização geral informada na origem; não comprova recebimento do andamento | Não houve consulta a tribunal nem atualização externa</t>
  </si>
  <si>
    <t>Audiência em 24/2/23 e apresentação da defesa. Não houve acordo e foi designada uma nova audiência para o dia 8/5/2023, pois faltou a citação da Integral Engenharia, que ainda precisa apresentar defesa.
(04/08/2023) Interposto recurso inominado por parte da Autora. [...] histórico completo em Observações</t>
  </si>
  <si>
    <t>BMM!18 | ID BMM-014</t>
  </si>
  <si>
    <t>Histórico original integral:
Audiência em 24/2/23 e apresentação da defesa. Não houve acordo e foi designada uma nova audiência para o dia 8/5/2023, pois faltou a citação da Integral Engenharia, que ainda precisa apresentar defesa.
(04/08/2023) Interposto recurso inominado por parte da Autora.
08/05/2023 - Audiência de conciliação - sem acordo
21/06/23 - Autos conclusos para decisão
18/07/2023 - Sentença - parcialmente procedente o pedido a condenar o Consórcio Spavias Serve no valor de R$ 28.680,00. Empresas consorciadas excluídas do processo, devido reconhecimento da ilegitimidade passiva. Sentença que extinguiu o processo em relação a Alta.
Proveniência: Histórico completo da origem: BMM!18 | ID BMM-014 | A coluna D contém atualização geral informada na origem; não comprova recebimento do andamento | Não houve consulta a tribunal nem atualização externa | Data estruturada do movimento não confiável/ausente; texto original preservado</t>
  </si>
  <si>
    <t>Audiência em 27/2/23 e apresentação da defesa. Não houve acordo e o processo seguiu ao gabinete para decisão por sentença ou eventual produção de provas.
21/06/23 - Autos conclusos para decisão
05/07/23 - Sentença - Juiz acatou parte da nossa tese, responsabilizando a Alta no pagamento de uma única fatura, no importe de R$ 3.600,00. Tal quantia atualizada perfaz R$ 10.330,01. Alta intimada para pagamento. [...] histórico completo em Observações</t>
  </si>
  <si>
    <t>BMM!19 | ID BMM-015</t>
  </si>
  <si>
    <t>Histórico original integral:
Audiência em 27/2/23 e apresentação da defesa. Não houve acordo e o processo seguiu ao gabinete para decisão por sentença ou eventual produção de provas.
21/06/23 - Autos conclusos para decisão
05/07/23 - Sentença - Juiz acatou parte da nossa tese, responsabilizando a Alta no pagamento de uma única fatura, no importe de R$ 3.600,00. Tal quantia atualizada perfaz R$ 10.330,01. Alta intimada para pagamento. 
26/08/2025 - Decisão. Extinto o processo por ausência de bens passíveis de penhora.
Proveniência: Histórico completo da origem: BMM!19 | ID BMM-015 | A coluna D contém atualização geral informada na origem; não comprova recebimento do andamento | Não houve consulta a tribunal nem atualização externa | Data estruturada do movimento não confiável/ausente; texto original preservado</t>
  </si>
  <si>
    <t>BMM!20 | ID BMM-016</t>
  </si>
  <si>
    <t>Histórico original integral:
26/01/2024 - Autos arquivados.
23.11.2023 - Distribuição.
13/12/22 - Negado provimento ao recurso da Alta (Agravo de Instrumento)
13/12/22 - Autorizado pela diretoria interposição de Agravo Interno
19/05/2023 - Negavo provimento ao Agravo Interno. Iniciada a execução a Alta será intimada para quitar sob pena de penhora / execução forçada. 
17/08/23 - Intimação de vista dos cálculos de liquidação da sentença (Valor da execução: R$ 49.514,13)
04/09/23 - Decisão de homologação dos cálculos da execução no valor de R$49.514,13. O juiz determinou a liberação dos depósitos recursais efetuados pela Alta no valor histórico de R$20.000,00. 
29/09/23 - Bloqueio na conta da Alta no valor de R$ 25.480,22
02/10/23 - Aguardar a certificação da penhora nos autos, para verificarmos se houve excesso de penhora, bem como se houve bloqueio nas contas do Consórcio e das outras empresas consorciadas.
Proveniência: Histórico completo da origem: BMM!20 | ID BMM-016 | A coluna D contém atualização geral informada na origem; não comprova recebimento do andamento | Não houve consulta a tribunal nem atualização externa</t>
  </si>
  <si>
    <t>Descião pela exclusão da ALTA e inclusão da CAVA no processo [...] histórico completo em Observações</t>
  </si>
  <si>
    <t>BMM!21 | ID BMM-017</t>
  </si>
  <si>
    <t>Histórico original integral:
Descião pela exclusão da ALTA e inclusão da CAVA no processo
14/08/2023 - Aguarda julgamento do Agravo de Instrumento interposto pelas partes - decisão que não respeitou o contraditório.
09/10/2023 - O TJGO negou provimento parcial ao Agravo de Instrumento nº 5116564-98.2018.8.09.0137 da Cava Engenharia, mantendo a empresa no polo passivo ao rejeitar sua preliminar de ilegitimidade.
15/03/2024 - O Juízo confirmou a inclusão definitiva de Cava Engenharia e Spavias Engenharia, mas acolheu a defesa da Alta Engenharia, determinando sua exclusão do polo passivo, por restar provado que a cessão de suas cotas ocorreu antes da dívida.
09/10/2026 - O TJGO, negou provimento ao Agravao de Instrumento nº 5116564-98.2018.8.09.0137 da Cava Engenharia mantendo a decisão que rejeitou sua preliminar de ilegitimidade passiva.
Proveniência: Histórico completo da origem: BMM!21 | ID BMM-017 | A coluna D contém atualização geral informada na origem; não comprova recebimento do andamento | Não houve consulta a tribunal nem atualização externa | Data estruturada do movimento não confiável/ausente; texto original preservado</t>
  </si>
  <si>
    <t>15/01/2026 - Transferido saldo residual para outro processo do Consórcio. 
Aguardando arquivamento. [...] histórico completo em Observações</t>
  </si>
  <si>
    <t>BMM!22 | ID BMM-018</t>
  </si>
  <si>
    <t>Histórico original integral:
15/01/2026 - Transferido saldo residual para outro processo do Consórcio. 
Aguardando arquivamento.
06/10/2025 - Expedidos alvarás para pagamentos.
08/09/2025 - Bloqueio em conta da Alta,cumprindo integralmente o valor
30/07/2025 - Intimação para pagamento, sob pena de bloqueio em conta.
08/07/2025 - Ocorreu bloqueio nas contas bancárias da ALTA.
30/06/2025 - Intimação de homologação dos cálculos e citação das empresas para pagamento da execução, sob pena de penhora a partir de 07/07/2025.
29/05/2025 - Intimação de homologação dos cálculos e citação das empresas para pagamento da execução, sob pena de penhora a partir de 03/06/2025.
07/04/2025 - Intimação de vista dos cálculos de liquidação da sentença.
04/06/2024 - Acórdão, provido RO do Reclamante para declarar responsabilidade
solidária da Alta por toda a condenação.
05/02/2024 - Sentença condenatória contra a Alta, porém, limitada a responsabilidade
ao percentual do Consórcio.
26/10/2023 - AIJ
31/08/2023 - Audiência inicial.
Proveniência: Histórico completo da origem: BMM!22 | ID BMM-018 | A coluna D contém atualização geral informada na origem; não comprova recebimento do andamento | Não houve consulta a tribunal nem atualização externa</t>
  </si>
  <si>
    <t>27/11/2025 - Processo arquivado. [...] histórico completo em Observações</t>
  </si>
  <si>
    <t>BMM!23 | ID BMM-019</t>
  </si>
  <si>
    <t>Histórico original integral:
27/11/2025 - Processo arquivado.
05/06/2025 - Decisão homologatória dos cálculos da execução. Valor devido: R$2.773,41. O depósito efetuado pelo Consórcio garante a integralidade da execução. Aguardaremos eventual recurso e posterior arquivamento do processo.
26/05/2025 - Intimação de vista dos cálculos apresentados pela contadoria. Há depósito recursal feito pelo Consórcio que garante a integralidade da execução. Deixaremos a impugnação para o Consórcio.
02/07/2024 - Acórdão, provido RO do Reclamante para declarar responsabilidade
solidária da Alta por toda a condenação.
22/02/2024 - Sentença condenatória contra a Alta, porém, limitada a responsabilidade
ao percentual do Consórcio.
11/10/2023 - Audiência Inicial
Proveniência: Histórico completo da origem: BMM!23 | ID BMM-019 | A coluna D contém atualização geral informada na origem; não comprova recebimento do andamento | Não houve consulta a tribunal nem atualização externa</t>
  </si>
  <si>
    <t>21/10/2025 - SALdo residual liberado na conta do Camilo [...] histórico completo em Observações</t>
  </si>
  <si>
    <t>BMM!24 | ID BMM-020</t>
  </si>
  <si>
    <t>Histórico original integral:
21/10/2025 - SALdo residual liberado na conta do Camilo
01/10/2025 - Liberação do deposito judicial para quitação da execução. 
02/07/2025 - Intimação de vista de laudo pericial contábil.
07/02/2023 - Agravo interno do DNIT.
01/12/2022 - Negado seguimento ao AIRR.
05/02/2022 - AIRR do DNIT.
14/01/2022 - Negado seguimento ao RR do DNIT.
25/05/2016 - Aguardando julgamento IRR 0000190- 53.2015.5.03.0090
11/12/2019 - Autos migrados para Pje.
Proveniência: Histórico completo da origem: BMM!24 | ID BMM-020 | A coluna D contém atualização geral informada na origem; não comprova recebimento do andamento | Não houve consulta a tribunal nem atualização externa</t>
  </si>
  <si>
    <t>03/11/2025 - Mandado de Citação e Execução, para pagamento em 03 dias, do valor de R$ 152.401,99 (atualizada até 15/04/2025), sob pena de penhora. (PRAZO DE 15 DIAS PARA DEFESA) [...] histórico completo em Observações</t>
  </si>
  <si>
    <t>BMM!25 | ID BMM-021</t>
  </si>
  <si>
    <t>Histórico original integral:
03/11/2025 - Mandado de Citação e Execução, para pagamento em 03 dias, do valor de R$ 152.401,99 (atualizada até 15/04/2025), sob pena de penhora. (PRAZO DE 15 DIAS PARA DEFESA)
24/08/2023 - Decisão que não acolheu os embargos de declaração do Consórcio. 
25/10/2023 - Interposto Agravo de Instrumento nº 2399592-67.2023.8.13.0000 pelo Executado Consórcio.
05/07/2024 - o Acórdão. Agravo de Instrumento nº 2399592-67.2023.8.13.0000, negado provimento.
14/01/2025 - Petição pela Exequente requerendo a citação da Executada Alta 
19/11/2025 - Citação da Executada Alta realizada.
27/11/2025 - Embargos à Execução nº 1095925-23.2025.8.13.0024, pela Executada Alta. (Vide 
processo autónomo).
Proveniência: Histórico completo da origem: BMM!25 | ID BMM-021 | A coluna D contém atualização geral informada na origem; não comprova recebimento do andamento | Não houve consulta a tribunal nem atualização externa</t>
  </si>
  <si>
    <t>20/10/2025 - Carta de intimação para apgamento do saldo remanescente no valor de R$ 26.728,17 (O Consórcio e a Spavias impugnaram o pedido.) 
(12/07/2023) Despacho intimando a Exequente para instaurar corretamente o incidente de desconsideração da personalidade jurídica, nos termos do Art. 133 do CPC, sob pena de indeferimento do pedido. [...] histórico completo em Observações</t>
  </si>
  <si>
    <t>BMM!26 | ID BMM-022</t>
  </si>
  <si>
    <t>Histórico original integral:
20/10/2025 - Carta de intimação para apgamento do saldo remanescente no valor de R$ 26.728,17 (O Consórcio e a Spavias impugnaram o pedido.) 
(12/07/2023) Despacho intimando a Exequente para instaurar corretamente o incidente de desconsideração da personalidade jurídica, nos termos do Art. 133 do CPC, sob pena de indeferimento do pedido.
12/09/2004 - Carta de Citação - Cumprimento de Setença
Proveniência: Histórico completo da origem: BMM!26 | ID BMM-022 | A coluna D contém atualização geral informada na origem; não comprova recebimento do andamento | Não houve consulta a tribunal nem atualização externa</t>
  </si>
  <si>
    <t>08/10/2025 - Processo arquivado provisioramente até encontrar bens para penhora. [...] histórico completo em Observações</t>
  </si>
  <si>
    <t>BMM!27 | ID BMM-023</t>
  </si>
  <si>
    <t>Histórico original integral:
08/10/2025 - Processo arquivado provisioramente até encontrar bens para penhora.
02/07/2025 - Despacho suspendendo por 1 ano.
21/09/2023 - Apresentada contestação por parte da parte da Spavias.
Proveniência: Histórico completo da origem: BMM!27 | ID BMM-023 | A coluna D contém atualização geral informada na origem; não comprova recebimento do andamento | Não houve consulta a tribunal nem atualização externa | Inconsistência original: data inicial do histórico posterior à data de atualização geral</t>
  </si>
  <si>
    <t>(16/08/2023) Decisão que determinou o desbloqueio da conta bancária do consórcio</t>
  </si>
  <si>
    <t>BMM!28 | ID BMM-024</t>
  </si>
  <si>
    <t>Histórico original integral:
(16/08/2023) Decisão que determinou o desbloqueio da conta bancária do consórcio
Proveniência: Histórico completo da origem: BMM!28 | ID BMM-024 | A coluna D contém atualização geral informada na origem; não comprova recebimento do andamento | Não houve consulta a tribunal nem atualização externa | Data estruturada do movimento não confiável/ausente; texto original preservado</t>
  </si>
  <si>
    <t>13/06/2023 - Deferido a instauração da desconsideração da Personalidade jurídic. Aguarda-se a citação da Alta. As outras empresas apresentaram contestação. [...] histórico completo em Observações</t>
  </si>
  <si>
    <t>BMM!29 | ID BMM-025</t>
  </si>
  <si>
    <t>Histórico original integral:
13/06/2023 - Deferido a instauração da desconsideração da Personalidade jurídic. Aguarda-se a citação da Alta. As outras empresas apresentaram contestação. 
28/10/2025 - Carta intimatória para resposta aos autos (diante do indeferimento do pedido de inclusão da Alta no polo passivo pelo Exequente, foi interposto o Recurso n.º 5781768-60.2025.8.09.0051)
04/11/2025 - Agravo de Instrumento nº 5769701-63.2025.8.09.0051, interposto pela Executada Spavias, não provido.
12/11/2025 - Contrarrazões pela Executada Alta no Agravo de Instrumento nº 5781768-60.2025.8.09.0051.
13/11/2025 - Embargos de Declaração opostos pela Executada Spavias contra a decisão do Agravo nº 5769701-63.2025.8.09.0051.
27/11/2025 - Contrarrazões aos Embargos de Declaração pela Exequente.
02/12/2025 - Acórdão - Agravo de Instrumento nº 5781768-60.2025.8.09.0051 pela Exequente, não provido.
12/12/2025 - Embargos de Declaração opostos pela Exequente.
15/12/2025 - Decisão. Embargos de Declaração rejeitados.
07/01/2026 - Contrarrazões aos Embargos de Declaração pela Executada Alta.
12/01/2026 - Recurso Especial interposto pela Executada Spavias.
Proveniência: Histórico completo da origem: BMM!29 | ID BMM-025 | A coluna D contém atualização geral informada na origem; não comprova recebimento do andamento | Não houve consulta a tribunal nem atualização externa</t>
  </si>
  <si>
    <t>01/12/2023 - Acordo celebrado entre as partes, Geramaq e o Consórcio Spavias. Alta foi retirada do cumprimento de sentença sendo, assim, liberada das cobranças e medidas executivas relativas à dívida.
(01/11/2023) Decisão que concedeu o efeito suspensivo ao agravo de instrumento da Alta. - Aguardaremos eventual manifestação por parte da Geramaq, bem como o julgamento do recurso.</t>
  </si>
  <si>
    <t>BMM!30 | ID BMM-026</t>
  </si>
  <si>
    <t>Histórico original integral:
01/12/2023 - Acordo celebrado entre as partes, Geramaq e o Consórcio Spavias. Alta foi retirada do cumprimento de sentença sendo, assim, liberada das cobranças e medidas executivas relativas à dívida.
(01/11/2023) Decisão que concedeu o efeito suspensivo ao agravo de instrumento da Alta. - Aguardaremos eventual manifestação por parte da Geramaq, bem como o julgamento do recurso.
Proveniência: Histórico completo da origem: BMM!30 | ID BMM-026 | A coluna D contém atualização geral informada na origem; não comprova recebimento do andamento | Não houve consulta a tribunal nem atualização externa</t>
  </si>
  <si>
    <t>14/08/2023 - Decisão determinando que se aguarde o julgamento do agravo de instrumento para o devido prosseguimento do processo. 
Houve sentença com a exclusão da Alta Engenharia e inclusão a CAVA Engenharia na cobrança.</t>
  </si>
  <si>
    <t>BMM!31 | ID BMM-027</t>
  </si>
  <si>
    <t>Histórico original integral:
14/08/2023 - Decisão determinando que se aguarde o julgamento do agravo de instrumento para o devido prosseguimento do processo. 
Houve sentença com a exclusão da Alta Engenharia e inclusão a CAVA Engenharia na cobrança.
Proveniência: Histórico completo da origem: BMM!31 | ID BMM-027 | A coluna D contém atualização geral informada na origem; não comprova recebimento do andamento | Não houve consulta a tribunal nem atualização externa</t>
  </si>
  <si>
    <t>29/08/2025 - Declarou extinta a execução em relação a CAVA 
(26/07/2022) Realizado bloqueio via Sisbajud nas contas da CAVA ENGENHARIA no valor de R$ 12.710,93.</t>
  </si>
  <si>
    <t>BMM!32 | ID BMM-028</t>
  </si>
  <si>
    <t>Histórico original integral:
29/08/2025 - Declarou extinta a execução em relação a CAVA 
(26/07/2022) Realizado bloqueio via Sisbajud nas contas da CAVA ENGENHARIA no valor de R$ 12.710,93.
Proveniência: Histórico completo da origem: BMM!32 | ID BMM-028 | A coluna D contém atualização geral informada na origem; não comprova recebimento do andamento | Não houve consulta a tribunal nem atualização externa</t>
  </si>
  <si>
    <t>(09/05/2023) Petição de manifestação do Consórcio.</t>
  </si>
  <si>
    <t>BMM!33 | ID BMM-029</t>
  </si>
  <si>
    <t>Histórico original integral:
(09/05/2023) Petição de manifestação do Consórcio.
Proveniência: Histórico completo da origem: BMM!33 | ID BMM-029 | A coluna D contém atualização geral informada na origem; não comprova recebimento do andamento | Não houve consulta a tribunal nem atualização externa | Data estruturada do movimento não confiável/ausente; texto original preservado</t>
  </si>
  <si>
    <t>(08/11/2022) Decisão que dererminou a exclusão da Cava e André do polo passivo da ação. (26/05/2023) A Autora juntou planilha atualizada do débito.</t>
  </si>
  <si>
    <t>BMM!34 | ID BMM-030</t>
  </si>
  <si>
    <t>Histórico original integral:
(08/11/2022) Decisão que dererminou a exclusão da Cava e André do polo passivo da ação. (26/05/2023) A Autora juntou planilha atualizada do débito.
Proveniência: Histórico completo da origem: BMM!34 | ID BMM-030 | A coluna D contém atualização geral informada na origem; não comprova recebimento do andamento | Não houve consulta a tribunal nem atualização externa | Data estruturada do movimento não confiável/ausente; texto original preservado</t>
  </si>
  <si>
    <t>07/01/2026 - Negado provimento ao agravo de instrumento. Prosseguimento do feito. [...] histórico completo em Observações</t>
  </si>
  <si>
    <t>BMM!35 | ID BMM-031</t>
  </si>
  <si>
    <t>Histórico original integral:
07/01/2026 - Negado provimento ao agravo de instrumento. Prosseguimento do feito.
17/05/2023 - Determinada a suspensão do processo até o julgamento do agravo de instrumento.
Proveniência: Histórico completo da origem: BMM!35 | ID BMM-031 | A coluna D contém atualização geral informada na origem; não comprova recebimento do andamento | Não houve consulta a tribunal nem atualização externa</t>
  </si>
  <si>
    <t>02/02/2026 - Redistribuido por sorteio. [...] histórico completo em Observações</t>
  </si>
  <si>
    <t>BMM!36 | ID BMM-032</t>
  </si>
  <si>
    <t>Histórico original integral:
02/02/2026 - Redistribuido por sorteio.
06/08/2024 - Bloqueio na conta do André.
15/06/2023 - Instaurado IDPJ contra o Consórcio.
Proveniência: Histórico completo da origem: BMM!36 | ID BMM-032 | A coluna D contém atualização geral informada na origem; não comprova recebimento do andamento | Não houve consulta a tribunal nem atualização externa | Inconsistência original: data inicial do histórico posterior à data de atualização geral</t>
  </si>
  <si>
    <t>25/01/2024 - Autos sobretados no TST. [...] histórico completo em Observações</t>
  </si>
  <si>
    <t>BMM!37 | ID BMM-033</t>
  </si>
  <si>
    <t>Histórico original integral:
25/01/2024 - Autos sobretados no TST.
19/04/2023 - Agravo interno da Alta.
04/04/2023 - Negado provimento ao AIRR da Alta.
25/01/2023 - AIRR da Alta.
12/12/2022 - Negado seguimento ao RR da Alta.
27/10/2022 - Acórdão, negado provimento ao ED da Cava com multa.
30/09/2022 - RR da Alta.
20/09/2022 - Acórdão, negado provimento ao AP da Alta.
10/02/2022 - AP da Alta.
31/01/2022 - Julgado procedente o IDPJ.
05/11/2021 - Apresentada defesa IDPJ Alta.
11/10/2021 - Restituído prazo de defesa Alta.
06/10/2021 - Alta arguiu nulidade de citação.
09/09/2021 - Alta incluída no polo passivo da ação.
20/08/2021 - Reclamante requereu o IDPJ empresas da SPA
11/08/2021 - Reclamante intimado para impulsionar o feito.
14/07/2021 - Juízo determinou expedição de ofício à JUCEMG.
05/07/2021 - Reclamante pediu a devolução da Carta precatória e pediu IDPJ.
03/12/2020 - Intimado o Reclamante a impulsionar o feito.
30/09/2020 - Determinada a expedição de ofício para penhora no rosto dos autos 0011155-
26.2018.5.18.020.
09/09/2020 - Aguardar nova hasta públlica.
13/08/2020 - substituído o bem à penhora.
18/03/2020 - Aguardando nova hasta pública.
05/03/2020 - Deferida nova hasta pública do bem penhorado.
05/02/2020 - Intimado exequente indicar meios de execução.
29/10/2019 - leilão designado para 05/12/02019
24/10/2019 - expedida carta precatória leilão
20/8/2019 - Despacho informando penhora de bem, no valor de R$ 100.000,00
Proveniência: Histórico completo da origem: BMM!37 | ID BMM-033 | A coluna D contém atualização geral informada na origem; não comprova recebimento do andamento | Não houve consulta a tribunal nem atualização externa</t>
  </si>
  <si>
    <t>31/01/2024 - AIRR da Alta. [...] histórico completo em Observações</t>
  </si>
  <si>
    <t>BMM!38 | ID BMM-034</t>
  </si>
  <si>
    <t>Histórico original integral:
31/01/2024 - AIRR da Alta.
03/01/2024 - Negado seguimento ao RR da Alta.
12/07/2023 - RR da Alta.
30/06/2023 - Acórdão - negado provimento aos Eds da Alta.
23/08/2022 - ED da Alta.
16/08/2022 - Negado provimento ao AP da Alta.
18/02/2022 - AP da Alta.
08/02/2022 - Rejeitados embargos à execução da Alta.
21/07/2021 - Embargos à execução apresentados pela Alta.
15/07/2021 - Alta intimada a opor embargos à execução.
09/07/2021 - Alta intimadada decisão que reconheceu a ausencia de intimação para embargos à execução.
13/04/2021 - ED da Alta.
06/04/2021 - Rejeitado pedido de nulidade processual arguido pela Alta.
06/08/2020 - Petição Alta arguindo nulidade processual.
27/05/2020 - Alta incluída no processo.
25/10/2019 - atualizado cálculos de liquidação.
13/08/2019 - Intimada o exequente para juntar o extrato bancário (comprovar o não pagamento do acordo)
29/04/2019 - Despacho. Determinada a notificação da reclamada para que informe, no prazo
Proveniência: Histórico completo da origem: BMM!38 | ID BMM-034 | A coluna D contém atualização geral informada na origem; não comprova recebimento do andamento | Não houve consulta a tribunal nem atualização externa</t>
  </si>
  <si>
    <t>24/02/2026 - Cava e Serne excluídas da execução [...] histórico completo em Observações</t>
  </si>
  <si>
    <t>BMM!39 | ID BMM-035</t>
  </si>
  <si>
    <t>Histórico original integral:
24/02/2026 - Cava e Serne excluídas da execução
10/02/2026 - Incluido em pauta de julgamento para o dia 23//02/2026.
12/01/2026 - Levantadaa suspensão do processo, conclusos para julgamento.
28/06/2023 - Autos sobrestados.
30/11/2022 -AP da Cava e da Serne.
25/11/2022 - Determinada expedição de ofício à Valec.
12/09/2022 - Procedente IDPJ e citadas para pagar: Serne, Spavias, Cava e André.
05/07/2022 - Serne citada por edital.
07/02/2022 - Autor intimado para ter vista da defesa da Cava.
30/11/2021 - Requerido IDPJ contra a Cava.
17/11/2021 - Autor intimado para promover a execução.
24/09/2021 - Audiência de conciliação.
14/06/2021 - Intimação do Consórcio para pagar o débito.
20/05/2021 - Intimação vista cálculos.
22/03/2021 - Sentença de procedência parcial.
16/03/2021 - Audiência inicial.
10/12/2020 - Audiência inicial
Proveniência: Histórico completo da origem: BMM!39 | ID BMM-035 | A coluna D contém atualização geral informada na origem; não comprova recebimento do andamento | Não houve consulta a tribunal nem atualização externa</t>
  </si>
  <si>
    <t>09/07/2024 - Alta intimada sobre garantia da execução. Aguardar liberação, arquivamento. [...] histórico completo em Observações</t>
  </si>
  <si>
    <t>BMM!40 | ID BMM-036</t>
  </si>
  <si>
    <t>Histórico original integral:
09/07/2024 - Alta intimada sobre garantia da execução. Aguardar liberação, arquivamento.
31/05/2024 - Negado seguimento ao AIRR da Alta.
01/02/2024 - Recebido valor do processo da Sônia - R$6.900,00 (Valor pago pela Alta)
02/02/2024 - AIRR da Alta.
23/01/2024 - Negado seguimento ao RR da Alta.
13/11/2023 - RR da Alta.
30/10/2023 - Acórdão, negado provimento ao AP da Alta.
06/07/2023 - AP da Alta.
26/06/2023 - Negado o pedido de sobrestamento do processo.
02/06/2023 - Executadas intimadas para vista dos cálculos.
14/04/2023 - Acórdão - negado provimento ao apelo da Alta e condenação de multa de 2%.
14/04/2023 - Negado provimento ao agravo interno da Alta e aplicada multa.
18/11/2022 - Agravo Interno apresentado pela Alta.
07/11/2022 - Negado seguimento ao AIRR da Alta.
09/09/2022 - AIRR da Alta.
29/08/2022 - Negado seguimento ao RR da Alta.
11/07/2022 - RR da Alta.
28/06/2022 - Acórdão, negado provimento ao ED da Alta.
02/06/2022 - ED Alta.
26/05/2022 - Acórdão, excluída a Cava do polo.
12/08/2021 - Autos remetidos ao Tribunal.
24/06/2021 - Reconhecida a responsabilidade da Serne.
09/04/2021 - Decisão reconhecendo responsabilidade da Cava.
29/01/2021 - Acórdão - Alta deve aguardar decisão final para apresentar recurso.
13/10/2020 -AP da Alta.
29/09/2020 - Instaurado novo IDPJ com a Cava e Alta.
03/09/2020 - Embargos de declaração apresentado pela Alta.
26/08/2020 - Decisão condenatória Alta.
13/07/2020 - Apresentada defesa Alta.
Proveniência: Histórico completo da origem: BMM!40 | ID BMM-036 | A coluna D contém atualização geral informada na origem; não comprova recebimento do andamento | Não houve consulta a tribunal nem atualização externa</t>
  </si>
  <si>
    <t>17/12/2024 - Convolado em penhora o valor bloqueado em conta da Serne (R$ 1.095,00) [...] histórico completo em Observações</t>
  </si>
  <si>
    <t>BMM!41 | ID BMM-037</t>
  </si>
  <si>
    <t>Histórico original integral:
17/12/2024 - Convolado em penhora o valor bloqueado em conta da Serne (R$ 1.095,00)
24/06/2024 - Determinado desbloqueio de aposentadoria do André.
29/04/2024 - Empresas do grupo SPA intimadas por edital para pagamento.
15/06/2023 - Intimados sobre o valor atualizado.
20/03/2023 - Procedente IDPJ contra empresas da SPA.
15/12/2022 - Instaurado o IDPJ.
28/10/2022 - Autor requereu o redirecionamento da execução contra empresas da SPA.
13/04/2022 - Rés intimadas para pagar a execução.
14/03/2022 - Sentença procedente IDPJ contra a Serne.
07/12/2021 - Serne intimada para defesa IDPJ.
21/10/2021 - Expedida CP contra SPA.
08/10/2021 - Recalmante requereu expedição de mandado de penhora e avaliação em desfavor da SPA.
01/10/2021 - Intimado do Exequente para promover a execução.
22/04/2021 - Expedida nova CP para penhora de bens Spa.
19/02/2021 - penhora infrutífera.
02/02/2021 - Carta precatória penhora bens consórcio.
16/10/2020 - Cava retirada do processo.
10/09/2020 - Provido AP da Cava.
29/05/2020 - Agravo Cava.
26/05/2020 - Consórcio e Cava intimadas a quitar o débito.
19/09/2019 - Apresentada defesa da Cava.
29/08/2019 - Exequente requereu a execução contra os sócios, mas o juízo, determinou o prosseguimento
com as consporciadas.
30/07/2019 - Exequente intimado a indicar meios de execução
16/07/2019 - expedição de mando de penhora contra o Consórcio
22/03/2019 - intimação para que o Consórcio pague a execução.
19/02/2019 - intimação para comprovar pagamento.
Acordo: R$11.000,00 em 4x
R$ 2.750,00 - 14/12/2018 a 14/03/2019.
18/12/2018 - intimação sobre descumprimento do acordo.
Proveniência: Histórico completo da origem: BMM!41 | ID BMM-037 | A coluna D contém atualização geral informada na origem; não comprova recebimento do andamento | Não houve consulta a tribunal nem atualização externa</t>
  </si>
  <si>
    <t>28/10/2025 - Restrição retirada [...] histórico completo em Observações</t>
  </si>
  <si>
    <t>BMM!42 | ID BMM-038</t>
  </si>
  <si>
    <t>Histórico original integral:
28/10/2025 - Restrição retirada
09/10/2025 - O juiz apreciou nossa manifestação, determinando a cessação das medidas de bloqueio bem como a liberação de todas as restrições sobre veículos.
23/09/2025 - 01 veículo foi levado a leilão pela Polícia Rodoviária Federal, sendo assim, o veículo será entregue ao arrematante. (Contato com a secretaria da Vara e explicamos a situação, e o processo foi concluso para o juiz apreciar nossa petição que pleiteia sejam cessadas as medidas restritivas e liberados o outro veículo)
12/08/2025 - Novo bloqueio em conta o valor de R$ 1.255,25 com devida transferêrencia.
11/08/2025 - Comprovante de deposito vinculado ao processo referente ao bloqueio de R$ 114,80.
30/07/2025 - Despacho: Renovação das tentativas de penhora
09/07/2025 - Despacho: Renovação das tentativas de penhora
17/09/2024 - Audiência de conciliação
23/07/2024 - Acórdão - provido para afastar bloqueio de aposentaria do Jacques e Andre.
03/04/2024 - Intimado exequente para promover execução.
28/02/2024 - Juntado relatório de operações imobiliárias da Alta.
16/02/2024 - Reclamante intimado para impulsionar o feito.
12/12/2023 - Atualizado valor da execução.
18/10/2023 - Acórdão, negado provimento ao AP do Roney.
22/06/2023 - AP do Roney.
14/06/2023 - Não conhecido AP do Roney.
22/06/2023 - AI do Roney.
19/06/2023 - Negado seguimento ao AP do Roney.
26/05/2023 - AP do Roney.
25/05/2023 - Rejeitados EE do Roney.
23/03/2023 - Atualizado valor da execução
09/03/2023 - Sisbajud em desfavor do Roney no valor de R$ 1.894,86.
29/08/2022 - Valor atualizado.
21/07/2022 - Vista às partes do cálculo da contadoria.
22/06/2022 - Provido parcialmente AP da Trail.
25/03/2022 - AP da Trail.
16/03/2022 - Reijeitada impugnação à liquidação apresentada pela Trail.
30/11/2021 - Provido em parte embargos à execução da Trail.
15/10/2021 - Embargos à execução da Tail.
13/10/2021 - Juízo determinou liberação do valor bloqueado da Trail.
20/08/2021 - Não admitidos os embargos da Alta.
23/06/2021 - Apresentados Embargos ao TST pela Alta.
11/06/2021 - Negado provimento ao agravo da Alta.
05/02/2021 - A Regimental da Alta.
14/12/2020 - Negado seguimento AIRR.
29/07/2020 - Apresentado AIRR pela Alta Engenharia
17/07/2020 - negado seguimento ao RR da Alta Engenharia.
Proveniência: Histórico completo da origem: BMM!42 | ID BMM-038 | A coluna D contém atualização geral informada na origem; não comprova recebimento do andamento | Não houve consulta a tribunal nem atualização externa</t>
  </si>
  <si>
    <t>16/08/2023 - Determinado sobrestamento do feito Tema 1.232 STF. [...] histórico completo em Observações</t>
  </si>
  <si>
    <t>BMM!43 | ID BMM-039</t>
  </si>
  <si>
    <t>Histórico original integral:
16/08/2023 - Determinado sobrestamento do feito Tema 1.232 STF.
12/05/2023 - AIRR da Alta.
03/04/2023 - RR da Alta.
03/04/2023 - RR da Alta.
22/03/2023 - Acórdão Negado provimento ao AP da Alta.
07/12/2022 - AP da Alta.
25/11/2022 - Provido em parte ED da Alta.
04/10/2022.
28/09/2022 - Procedente IDPJ.
12/05/2023 - AIRR da Alta.
03/04/2023 - RR da Alta.
17/03/2023 - Acórdão - não provido AP da Alta.
07/12/2022 - AP da Alta.
23/09/2022 - Procedente IDPJ.
20/06/2022 - Apresentada defesa da Alta ao IDPJ.
20/05/2022 - Alta intimada para apresentar defesa.
02/03/2021 - Denegado seguimento ao AIRR da Cava.
17/09/2021 - AIRR da Cava.
14/09/2021 - Denegado seguimento ao RR da Cava.
13/08/2021 - RR da Cava.
11/08/2021 - Negado provimento ao AP da Cava.
22/07/2021 - ED opostos pela Cava,
20/07/2021 - Acórdão - Cava incluida no processo.
09/06/2021 - Contraminuta apresentada pela Cava.
07/06/2021 - Provido ED da Cava para declarar nulo o acórdão e intimar a Cava a responder o AP.
23/04/2021 - ED da Cava.
22/04/2021 - Provido AP do Reclamante.
25/02/2021 - AP do Reclamante.
18/02/2021 - Exclusão da Cava e inclusão da Serne.
Proveniência: Histórico completo da origem: BMM!43 | ID BMM-039 | A coluna D contém atualização geral informada na origem; não comprova recebimento do andamento | Não houve consulta a tribunal nem atualização externa</t>
  </si>
  <si>
    <t>03/07/2024 - Procedente o IDPJ. [...] histórico completo em Observações</t>
  </si>
  <si>
    <t>BMM!44 | ID BMM-040</t>
  </si>
  <si>
    <t>Histórico original integral:
03/07/2024 - Procedente o IDPJ.
11/04/2024 - Instaurado IDPJ contra empresas do André.
22/02/2024 - Exequente intimado a impulsionar o feito.
14/07/2023 - Empresas citadas para pagar a execução.
28/10/2022 - Acórdão negado provimento ao AP da Serne.
14/06/2022 - AP apresentado pela Serne.
19/05/2022 - Procedente IDPJ contra a Serne.
01/12/2021 - Autor instaurou IDPJ contra a Serne.
19/10/2021 - Autor intimado para impulsionar o feito.
01/09/2021 - O Autor requereu IDPJA.
21/07/2021 - Autor intimado a impulsionar o feito.
20/05/2021 - Aguardando resposta ofício Valec.
17/11/2020 - Iniciada a execução forçada.
21/10/2020 - Audiência.
14/08/2020 - apresentadada defesa do Consórcio.
27/07/2020 - Rejeitada exceção de incompetência.
25/06/2020 - Autor intimado sobre Exceção de incompetência apresentada pelo Consórcio
18/05/2020 - Aguardar COVID.
Proveniência: Histórico completo da origem: BMM!44 | ID BMM-040 | A coluna D contém atualização geral informada na origem; não comprova recebimento do andamento | Não houve consulta a tribunal nem atualização externa</t>
  </si>
  <si>
    <t>20/02/2026 - Provido o recurso da Alta para afastar a responsabilidade pelos débitos do Consórcio (RDC 6). Cabe recurso. [...] histórico completo em Observações</t>
  </si>
  <si>
    <t>BMM!45 | ID BMM-041</t>
  </si>
  <si>
    <t>Histórico original integral:
20/02/2026 - Provido o recurso da Alta para afastar a responsabilidade pelos débitos do Consórcio (RDC 6). Cabe recurso.
10/12/2025 - Provido agravo interno da Alta para processar o RR. Aguardar julgamento do RR.
01/02/2024 - Recebido valor do processo da Sônia R$9.554,48 (depósito da Alta).
02/06/2023 - Autos sobrestados Tema 1.232.
23/03/2022 - Agravo interno apresentado pela Alta.
11/03/2022 - Negado provimento ao AIRR da Alta.
27/01/2022 - AIRR da Alta.
30/11/2021 - RR da Alta.
18/11/2021 - Acórdão ED da Cava e Roney - multa por embagos protelatórios.
01/10/2021 - Negado provimento ao AP da Alta. Mantida a Cava e o Roney (subsidiário).
23/04/2021 - Autos remetidos ao TRT.
05/04/2021 -AP da Cava.
04/03/2021 - Sustada ordem de bloqueio de crédito da Alta.
26/02/2021 - Rejeitada exceção de pré-executividade da Cava e expedida CP para bloqueio das
consorciadas na Valec.
19/01/2021 - Cava intimada a pagar a dívida.
10/11/2020 - Decisão dos EDs da Cava. Rejeitado. A Cava deve sofrer bloqueio.
08/10/2020 - Agravo de petição apresentado pela Alta.
07/10/2020 - Cava incluída no polo passivo.
03/09/2020 - Embargos apresentados pela Alta.
26/08/2020 - sentença IDPJ contra a Alta.
22/05/2020 - Apresentada defesa Alta.
18/03/2020 - Juíza acolheu pedido da Alta e concedeu prazo para resposta ao IDPJ.
29/11/2019 - Instaurado IDPJ.
12/11/2019 - Autor requereu IDPJ.
22/07/2019 - Por ora, execução somente contra o Consórcio
06/05/2019 - intimação para vista dos cálculos
08/02/2019 - Sentença.
Proveniência: Histórico completo da origem: BMM!45 | ID BMM-041 | A coluna D contém atualização geral informada na origem; não comprova recebimento do andamento | Não houve consulta a tribunal nem atualização externa</t>
  </si>
  <si>
    <t>09/01/2026 - Processo sobrestado aguardando manifestação da parte interessada. [...] histórico completo em Observações</t>
  </si>
  <si>
    <t>BMM!46 | ID BMM-042</t>
  </si>
  <si>
    <t>Histórico original integral:
09/01/2026 - Processo sobrestado aguardando manifestação da parte interessada.
23/07/2024 - Serne incluída no polo. Prosseguimento da execução.
22/05/2024 - Penhorado bem do André. Intimação para resposta aos embargos à execução.
10/05/2024 - Inclusão da Serne.
14/12/2023 - Reclamante pediu a inclusão de um outro consórcio.
13/10/2022 - Exequente intimado a impulsionar o feito.
07/07/2022 - Expedida CP para penhora de bens em nome do Consórcio.
11/08/2021 - Citação do Consórcio para pagar a execução sob pena de penhora.
09/06/2021 - Citação do Consórcio para pagamento.
05/05/2021 - Senteça.
09/12/2020 - AIJ.
29/06/2020 - Partes intimadas a especificar provas.
08/06/2020 - Autor intimado a impugnar a contestação.
28/05/2020 - Consórcio apresentou defesa.
19/05/2020 - Consórcio intimado a apresentar defesa.
18/03/2020 - Audiência cancelada.
24/03/2020 - Audiência una.
29/01/2020 - rejeitada a exceção de incompetência.
28/11/2019 - feito retirado de pauta para julgamento exceção de incompetência.
05/12/2019 - Audiência inicial.
Designada audiência inicial para o dia 04/11/2019 às 14:39
Proveniência: Histórico completo da origem: BMM!46 | ID BMM-042 | A coluna D contém atualização geral informada na origem; não comprova recebimento do andamento | Não houve consulta a tribunal nem atualização externa</t>
  </si>
  <si>
    <t>31/07/2024 - Convolada penhora de depósito da SPA. [...] histórico completo em Observações</t>
  </si>
  <si>
    <t>BMM!47 | ID BMM-043</t>
  </si>
  <si>
    <t>Histórico original integral:
31/07/2024 - Convolada penhora de depósito da SPA.
07/02/2024 - Procedente o IDPJ contra a SPA.
31/10/2023 - Instaurado IDPJ inverso contra a SPA.
12/07/2023 - Empresas citadas para pagar a execução.
28/04/2023 - Procedente o IDPJ.
09/02/2023 - Instaurado IDPJ contra a Serne, André e Spavias.
28/09/2022 - Juiz ordenou pesquisa INFOJUD para averiguar as empresas que compõem o Consórcio.
22/09/2022 - Requerimento de IDPJ.
01/04/2022 - Sisbajud em desfavor do Consórcio
09/03/2022 - Consórcio citado para pagar a execução.
07/02/2022 - Iniciada a liquidação da sentença.
20/01/2022 - Sentença condenatória em desfavor do Consórcio.
24/03/2021.
Proveniência: Histórico completo da origem: BMM!47 | ID BMM-043 | A coluna D contém atualização geral informada na origem; não comprova recebimento do andamento | Não houve consulta a tribunal nem atualização externa</t>
  </si>
  <si>
    <t>19/06/2024 - Suspenso o processo por depender do julgamento de outra causa 0013136-55.2023.5.03.000 [...] histórico completo em Observações</t>
  </si>
  <si>
    <t>BMM!48 | ID BMM-044</t>
  </si>
  <si>
    <t>Histórico original integral:
19/06/2024 - Suspenso o processo por depender do julgamento de outra causa 0013136-55.2023.5.03.000
26/06/2023 - Determinada expedição de RPV.
09/05/2023 - Valec citada para ciência da execução.
19/04/2023 - Procedentes os EE da Valec.
14/03/2023 - Valec apresentou embargos à execução.
26/01/2023 - Intimada a Valec para pagar a execução.
18/07/2022 - Provida Exceção de pré-executividade da Valec, o pagamento será por meio de precatório.
03/07/2022 - Valec apresentou exceção de pré-executividade.
30/06/2022 - Execução redirecionada para a Valec.
13/06/2022 - Autor intimado a impulsionar o feito.
09/05/2022 - Ordem de Sisbajud Consórcio e SPA.
02/05/2022 - Consórcio citado para pagamento da execução.
05/04/2022 - Reclamadas intimadas a apresentarem cálculos.
02/03/2022 - Negado seguimento ao recurso da Vale.
03/12/2021 - AIRR da Valec.
25/11/2021 - Negado seguimento ao RR da Valec.
23/07/2021 - RR da Valec.
13/07/2021 - Acórdão - mantida responsabilidade da Valec.
27/04/2021 - RO da Valec.
06/04/2021 - Sentença.
05/03/2021 - AIJ.
15/01/2021 - Decisão que não recebu o pedido de exceção de incompetência da Valec.
01/12/2020 - Audiência redesignada 27/01/2020.
03/11/2020 - Audiência inicial
Proveniência: Histórico completo da origem: BMM!48 | ID BMM-044 | A coluna D contém atualização geral informada na origem; não comprova recebimento do andamento | Não houve consulta a tribunal nem atualização externa</t>
  </si>
  <si>
    <t>09/08/2023 - Autos sobrestados. [...] histórico completo em Observações</t>
  </si>
  <si>
    <t>BMM!49 | ID BMM-045</t>
  </si>
  <si>
    <t>Histórico original integral:
09/08/2023 - Autos sobrestados.
10/11/2020 - AIRR da Cava.
06/11/2020 - Negado seguimento ao RR da Cava.
14/10/2020 - Negado provimento ao ED da Cava. Condenação por embargos protelatórios.
10/09/2020 - Negado provimento ao Agravo de petição da Cava.
08/06/2020 - Agravo de petição apresentado pela Cava.
24/03/2020 - Rejeitada a exceção de pré-executividade da Cava
16/03/2020 - Autor intimado a manifestar sobre exceção de pré-executividade aprsentada pela Cava.
14/11/2019 - Exequente requereu a execução forçada do Consórcio
12/09/2019 - Autor requereu a execução
20/08/2019 - Vista as partes do cálculo da contadoria Prazo de 08 dias para impugnação 22/07/2019 - Publicada sentença
Designada audiência inicial para o dia 04/07/2019 às 09:30.
Proveniência: Histórico completo da origem: BMM!49 | ID BMM-045 | A coluna D contém atualização geral informada na origem; não comprova recebimento do andamento | Não houve consulta a tribunal nem atualização externa</t>
  </si>
  <si>
    <t>02/10/2026 - intimação para pagamento da execução, Valor da execução: R$ 51.155,57. [...] histórico completo em Observações</t>
  </si>
  <si>
    <t>BMM!50 | ID BMM-046</t>
  </si>
  <si>
    <t>Histórico original integral:
02/10/2026 - intimação para pagamento da execução, Valor da execução: R$ 51.155,57.
02/09/2026 - Negado provimento ao recurso da Alta, autos retornarão ao juízo de primeiro grau para que seja reiniciada a execução
24/10/2025 - Levantada a suspensão do processo. Redistribuido por afastamento.
30/01/2024 - Autos sobrestados.
14/10/2022 - Agravo interno da Alta.
03/10/2022 - Negado seguimento ao AIRR da Alta.
26/10/2021 - AIRR da Alta.
14/10/2021 - Negado seguimento ao RR da Alta.
06/08/2021 - RR da Alta.
27/07/2021 - Negado provimento ao ED da Alta.
13/07/2021 - ED da Alta.
02/07/2021 - Acórdão - negado provimento.
23/04/2021 - AP da Alta.
12/04/2021 - Rejeição Ed da Alta.
16/03/2021 - ED apresentado pela Alta.
09/03/2021 - Procendente IDPJ contra a Alta.
10/02/2021 - Defesa apresentada pela Alta.
10/12/2020 - IDPJ, Alta incluída.
27/10/2020 - Intimado o Exequente para impulsionar a execução.
12/03/2020 - Expedida carta precatória para penhora de bens do Consórcio.
19/08/2019 - Expedida carta precatória expropriação de bens do Consórcio.
15/08/2019 - intimado o Consórcio para ter vista dos cálculos
27/06/2019 - publicada sentença
Designada audiência Una para o dia 24/06/2019 às 14:10.
Proveniência: Histórico completo da origem: BMM!50 | ID BMM-046 | A coluna D contém atualização geral informada na origem; não comprova recebimento do andamento | Não houve consulta a tribunal nem atualização externa</t>
  </si>
  <si>
    <t>23/06/2026 - Negado provimento ao recurso da alta, os autos retornarão ao juizo de primeiro grau para que seja reiniciada a execução. [...] histórico completo em Observações</t>
  </si>
  <si>
    <t>BMM!51 | ID BMM-047</t>
  </si>
  <si>
    <t>Histórico original integral:
23/06/2026 - Negado provimento ao recurso da alta, os autos retornarão ao juizo de primeiro grau para que seja reiniciada a execução.
11/10/2023 - Autos sobrestados.
19/05/2023 - Agravo Interno da Alta.
09/05/2023 - Negado seguimento ao AIRR da Alta.
24/08/2022 - AIRR da Alta.
12/08/2022 - Negado seguimento aos RRs.
14/07/2022 - RR da Alta.
04/07/2022 - Negado provimento ao ED da Alta.
15/06/2022 - ED da Alta.
08/06/2022 - Acórdão, mantida responsabilidade da Alta e Cava e excluída a Serne.
01/02/2022 - Agravo de petição da Trail.
10/12/2021 - Rejeitada exceção de pré-executividade da Trail.
26/10/2021 - Exceção de pré-executividade apresentada pela Trail.
19/07/2021 - Serne absolvida.
31/05/2021 - Instaurado IDPJ contra a CAVA.
25/05/2021 - AP Alta.
13/05/2021 - Negado provimento ao ED Alta.
30/03/2021 - ED Alta.
23/03/2021 - Procedente IDPJ contra Alta e Cava.
18/01/2021 - Cava incluida no processo.
23/09/2020 - Apresentada defesa da Alta.
27/08/2020 - Deferido prazo de defesa à Alta.
18/08/2020 - Manifestação Alta.
17/08/2020 - Alta intimada a quitar a execução.
24/06/2020 - Reclamante intimado a manifestar sober defesas. Alta não fo intimada.
03/03/2020 - Intimado responder agravo de petição do reclamante.
12/12/2019 - reconhecido grupo econômico com a Alta. empresa não foi citada.
21/10/2019 - Homologado cálculo de liquidação. Aguardar exequente impulsionar o feito.
10/10/2019 - acolhida impugnação do cálculo feito pelo Autor. Aguardar autalização.
16/08/2019 - Vistas as partes da planilha juntada, prazo de 8 dias para impugnação. 04/07/2019 - iniciada.
Proveniência: Histórico completo da origem: BMM!51 | ID BMM-047 | A coluna D contém atualização geral informada na origem; não comprova recebimento do andamento | Não houve consulta a tribunal nem atualização externa</t>
  </si>
  <si>
    <t>03/12/2024 - Autos sobrestados [...] histórico completo em Observações</t>
  </si>
  <si>
    <t>BMM!52 | ID BMM-048</t>
  </si>
  <si>
    <t>Histórico original integral:
03/12/2024 - Autos sobrestados
02/12/2024 - Decisão do TST no sentido de sobrestar o andamento do processo até o término do julgametno do Tema 1.232 do STF (iscutimos a inclusão da Alta Engenharia como responsável por débitos do Consórcio)
08/08/2022 - Agravo interno da Alta.
04/07/2022 - Negado provimento ao AIRR da Alta.
25/04/2022 - AIRR da Alta.
06/04/2022 - Negado seguimento ao RR da Alta.
'30/03/2022 - RR da Alta.
18/03/2022 - Negado provimento aos EDs da Alta.
27/01/2022 - ED apresentado pela Alta.
17/12/2021 - Acórdão - limitada a responsabilidade da Alta.
29/07/2021 - Procedente IDPJ contra a Serne.
23/06/2016 - Inclusão da Serne e BRP Participações.
05/05/2021 - AP da Cava.
23/03/2021 - Procedente IDPJ contra a Cava.
02/02/2021 - Apresentado AP da Alta.
18/01/2021 - Chamada a Cava ao processo.
27/08/2020 - Apresentada defesa Alta.
05/08/2020 - Autorizada a devolução do prazo para defesa
18/06/2020 - Arguição de nulidade processual por parte da Alta.
12/05/2020 - instaurado IDPJ.
07/04/2020 - Exequente intimado para indicar meios de execução.
10/03/2020 - Expedido mandado de penhora e avaliação contra bens do Consórcio.
23/01/2020 - homologados cálculos de liquidação.
05/12/2019 - Intimação para o Consórcio ter vista dos cálculos.
23/08/2019 -Consórcio intimado a se manifestar sobre inadimplemento do acordo
Designada audiência inicial para o dia 17/07/2019 às 08:30
Proveniência: Histórico completo da origem: BMM!52 | ID BMM-048 | A coluna D contém atualização geral informada na origem; não comprova recebimento do andamento | Não houve consulta a tribunal nem atualização externa</t>
  </si>
  <si>
    <t>08/11/2023 - Autos sobrestados. [...] histórico completo em Observações</t>
  </si>
  <si>
    <t>BMM!53 | ID BMM-049</t>
  </si>
  <si>
    <t>Histórico original integral:
08/11/2023 - Autos sobrestados.
19/06/2023 - Agravo interno da Alta.
06/06/2023 - Negado seguimento ao AIRR da Alta.
25/10/2021 - AIRR da Alta.
13/10/2021 - Negado seguimento ao RR da Alta.
03/09/2021 - RR da Alta.
24/08/2021 - Acórdão - provido parcialmente AP da Alta.
07/06/2021 - Reclamante intimado para indicar conta para sacar valor.
13/05/2021 - Recebido valor sobejante (R$3.487,81) dos autos de nº 0011320-71.2015.5.18.0171.
23/04/2021 - AP da Alta.
12/04/2021 - rejeião ED da Alta.
15/03/2021 - ED Alta.
08/03/2021 - Decisão IDPJ contrária a Alta.
09/10/2020 - Acórdão - anulado IDPJ. Atuação de ofício juízo.
29/01/2020 - Alta arguiu nulidades processuais.
12/12/2019 - condenada Spavia, André e Cava. Juíza nada mencionou sobre a Alta.
11/11/2019 - intimado o Autor a manifestar sobre as defesas IDPJ.
15/08/2019 - instaurado IDPJ
25/04/2019 - Homologado o cálculo apresentado pela contadoria, fixando a execução em 16.023,49. A Reclamada foi intimada para efetuar o pagamento no prazo de 15 dias. 05/04/2019 - vista dos cálculos da contadoria
11/02/2019 - Sentença publicada.
Proveniência: Histórico completo da origem: BMM!53 | ID BMM-049 | A coluna D contém atualização geral informada na origem; não comprova recebimento do andamento | Não houve consulta a tribunal nem atualização externa</t>
  </si>
  <si>
    <t>07/0/2023 - Remetido os autos para TST para processar recurso. [...] histórico completo em Observações</t>
  </si>
  <si>
    <t>BMM!54 | ID BMM-050</t>
  </si>
  <si>
    <t>Histórico original integral:
07/0/2023 - Remetido os autos para TST para processar recurso.
09/11/2022 - AIRR da Alta.
25/10/2022 - Negado seguimento ao RR da Alta.
05/04/2022 - RR da Alta.
24/03/2022 - Acórdão- negado provimento ao RR da Alta.
05/04/2022 - RR da Alta.
24/03/2022 - Acórdão - negado provimento ao AP da Alta.
30/03/2021 - Apresentado AP da Alta.
16/03/2021 - Procedente IDPJ.
25/11/2020 - Juízo acolheu alegação de nulidade processual arguida pela Alta e determina seguir o rito do
IDPJ.
02/06/2020 - incluída a Alta no polo passivo.
Proveniência: Histórico completo da origem: BMM!54 | ID BMM-050 | A coluna D contém atualização geral informada na origem; não comprova recebimento do andamento | Não houve consulta a tribunal nem atualização externa | Data estruturada do movimento não confiável/ausente; texto original preservado</t>
  </si>
  <si>
    <t>09/10/2025 - Conlusos os autos para julgamento do incidente de desconsideração da personalidade jurídica. [...] histórico completo em Observações</t>
  </si>
  <si>
    <t>BMM!55 | ID BMM-051</t>
  </si>
  <si>
    <t>Histórico original integral:
09/10/2025 - Conlusos os autos para julgamento do incidente de desconsideração da personalidade jurídica. 
24/09/2024 - Inclupidas as empresas HD Serviços, DK Comercio, Maserv, Industria Bom Gosto, Denzito, Maserge Maranhão
16/08/2024 - Requerido IDPJ para inclusões das empresas Andre Von Bentzeen Rodrigues
16/08/2024 - Reclamante intimado para impulsionar a execução
16/02/2023 - Juízo retomou de ofício a execução.
14/11/2022 - Intimado o Exequente para promover a execução sob pena de prescrição intercorrente.
07/07/2021 - Instaurado de ofício IDPJ contra a Serne.
14/02/2020 - Consórcio intimado para quitar o débito.
04/02/2020 - Autor intimado a iniciar a execução.
20/01/2020 - Reclamada intimada para impugnar os cáculos do Reclamante. 13/01/2020 - Reclamante
intimado para apresentar cálculos de liquidação. 10/12/2019 - Consórcio intimado a pagar.
26/11/2019 - Sentença
04/07/2019 - processo incluído em 29/07/2019
25/06/2019 - exceção rejeitada. Aguardando inclusão em pauta.
Designada audiência inicial para o dia 04/04/2019 às 08:45
Proveniência: Histórico completo da origem: BMM!55 | ID BMM-051 | A coluna D contém atualização geral informada na origem; não comprova recebimento do andamento | Não houve consulta a tribunal nem atualização externa</t>
  </si>
  <si>
    <t>03/09/2025 - Processo sobrestado. [...] histórico completo em Observações</t>
  </si>
  <si>
    <t>BMM!56 | ID BMM-052</t>
  </si>
  <si>
    <t>Histórico original integral:
03/09/2025 - Processo sobrestado.
04/03/2024 - Processo reunido ao processo 0000696-15.2019.5.05.05.0581.
14/12/2023 - Reclamante pediu a inclusão de um novo consórcio.
05/06/2023 - Pedido de IDPJ contra André e Bruno (SPA).
16/07/2021 - Consórci intimado para pagar o débito.
05/05/2021 - Sentença.
25/02/2021 - Audiência de instrução.
13/03/2020 -apreentada contestação.
17/03/2020 - Audiência una.
20/01/2020 - Rejeitada a Exceção de Incompetência.
Aguardando julgamento exceção de incompetência.
Proveniência: Histórico completo da origem: BMM!56 | ID BMM-052 | A coluna D contém atualização geral informada na origem; não comprova recebimento do andamento | Não houve consulta a tribunal nem atualização externa</t>
  </si>
  <si>
    <t>29/01/2025 - Julgado improcedente embargos Serne. [...] histórico completo em Observações</t>
  </si>
  <si>
    <t>BMM!57 | ID BMM-053</t>
  </si>
  <si>
    <t>Histórico original integral:
29/01/2025 - Julgado improcedente embargos Serne.
16/12/2024 - Embargos à execução Serne
06/05/2024 - Bloqueado saldo do André. Não é a integralidade da dexecução.
03/04/2024 - Intimado o Autor para promover meios de execução.
01/03/2024 - Acórdão - negado provimento ao AP do Roney.
18/12/2023 - AP do Roney.
10/11/2023 - Procedente o IDPJ contra Roney e André.
13/10/2023 - Anulada sentença. Será prolatada nova sentença de IDPJ.
05/10/2023 - Sentença que acolheu o pedido de IDPJ 
12/06/2023 - Autor intimado para promover a execução.
06/04/2023 - Sisbajud em desfavor dos Réus.
14/03/2023 - Citação para os réus pagarem a execução.
17/02/2023 - Intimadas as partes sobre os cálculos de liquidação.
09/01/2023 - Rejetado o ED da Serne e não conhecido o recurso oridnário por deserção.
13/12/2022 - Ed da Serne.
12/12/2022 - Serme intimada para solver custas.
03/11/2022 - RO da Serne.
25/10/2022 - Negado provimento aos Eds da Serne e com multa.
28/09/2022 - Sentença condenatória
22/09/2022 - AIJ.
21/06/2022 - Audiência inicial
Proveniência: Histórico completo da origem: BMM!57 | ID BMM-053 | A coluna D contém atualização geral informada na origem; não comprova recebimento do andamento | Não houve consulta a tribunal nem atualização externa</t>
  </si>
  <si>
    <t>20/02/2026 - Sentença mantendo a decisão. [...] histórico completo em Observações</t>
  </si>
  <si>
    <t>BMM!58 | ID BMM-054</t>
  </si>
  <si>
    <t>Histórico original integral:
20/02/2026 - Sentença mantendo a decisão.
02/02/2026 - Contrarrazões.
21/01/2026 - Juntada de embargos de declaração.
08/01/2026 - Decisão de aceitar o incidente de desconsideração inversa e que a CAVA passa a responder pela divida. 
15/04/2025 - Encerrada a suspensão.
18/02/2025 - Suspenso por prescrição intecorrente.
12/02/2025 - Encerrada a suspensão.
02/07/2024 - Processo suspenso por execução frustrada.
15/05/2024 - Autor intimado para promover a execução.
28/02/2024 - Acórdão com multa para o Roney.
02/02/2024 - Acórdão - negado provimento ao AP do Roney.
28/11/2023 - Agravo do Roney.
13/11/2023 - Procedente o IDPJ contra o Roney e o André.
16/08/2023 - IDPJ contra o Roney.
01/08/2023 - Requerido IDPJ
26/07/2023 - Intimado o exequente para fornecer meios de execução.
02/05/2023 - Citação para pagamento da execução.
23/03/2023 - Vista dos cálculos.
23/02/2023 - Não conhecido RO da Serne.
08/01/2023 - O ED da Serne foi rejeitado.
16/12/2022 - Ed da Serne.
15/12/2022 - Serne intimada para solver custas.
03/11/2022 - RO da Serne.
25/10/2022 - Negado provimento aos Eds da Serne e com multa.
04/10/2022 - Sentença condenatória
22/09/2022 - AIJ.
21/06/2022 - Audiência inicial
Proveniência: Histórico completo da origem: BMM!58 | ID BMM-054 | A coluna D contém atualização geral informada na origem; não comprova recebimento do andamento | Não houve consulta a tribunal nem atualização externa</t>
  </si>
  <si>
    <t>28/08/2024 - Suspenso o processo por execução frustrada [...] histórico completo em Observações</t>
  </si>
  <si>
    <t>BMM!59 | ID BMM-055</t>
  </si>
  <si>
    <t>Histórico original integral:
28/08/2024 - Suspenso o processo por execução frustrada
11/06/2024 - Intimação para o Reclamante.
27/04/2024 - IDPJ contra outras empresas da SPA.
27/02/2024 - Autos arquivados provisioriamente.
06/02/2024 - Exequente intimado para impulsionar o feito.
15/09/2023 - Atualizado valor da execução.
31/08/2023 - Bloqueio na conta do André.
21/06/2023 - Procedente IDPJ contra o Roney.
07/03/2023 - Expedida CP para penhora de créditos em favor da Valec.
17/01/2023 - Expedida Carta Precatória para Brasília.
16/12/2022 - Reclamante pediu expedição de ofício à Valec.
06/12/2022 - Exequente foi intimado para promover a execução.
27/09/2022 - Rés citadas para pagar a execução.
13/09/2022 - Apresentada liquidação da sentença pela contadoria.
30/05/2022 - Negado provimento aos Eds da Serne com multa.
03/05/2022 - Sentença condenatória da Serne.
11/03/2022 - Contestação da Serne. Pediu a inclusão da Alta.
24/02/2022 - Audiência inicial
Proveniência: Histórico completo da origem: BMM!59 | ID BMM-055 | A coluna D contém atualização geral informada na origem; não comprova recebimento do andamento | Não houve consulta a tribunal nem atualização externa</t>
  </si>
  <si>
    <t>03/03/2026 - Conclusos para despacho. [...] histórico completo em Observações</t>
  </si>
  <si>
    <t>BMM!60 | ID BMM-056</t>
  </si>
  <si>
    <t>Histórico original integral:
03/03/2026 - Conclusos para despacho.
28/03/2025 - Negado provimento do agravo de petição.
16/10/2024 - Agravo de petição.
07/10/2024 - Deferido IDPJ e incluídos Montana Participações LTDA, Andre Von Bentezeen Rodrigues, Serne Engenharia Eireli, Spavias Engenharia LTDA, Bruno Von Bentzeen Rodrigues, Brp-Participações e Locações LTDA, Roney Geraldo Nogueira.
01/08/2023 - Requerido IDPJ contra o Roney.
26/09/2022 - Intimação para pagamento da execução.
29/07/2022 - Vistas partes dos cálculos.
20/05/2022 - Não conhecido AIRO da Serne.
05/04/2022 - Relator intimou a Serne para fazer preparo RO.
20/12/2021 - AIRO da Serne.
14/12/2021 - Não recebido RO da Serne.
23/11/2021 - RO da Serne.
04/11/2021 - Procedente o pedido com condenação solidária da Serne.
13/09/2021 - Os autos foram distribuídos nesta data.
15/09/2021 - designada audiência inicial.
Proveniência: Histórico completo da origem: BMM!60 | ID BMM-056 | A coluna D contém atualização geral informada na origem; não comprova recebimento do andamento | Não houve consulta a tribunal nem atualização externa</t>
  </si>
  <si>
    <t>14/08/2023 - Determinado o registro de protesto da dívida em nome do Consórcio. [...] histórico completo em Observações</t>
  </si>
  <si>
    <t>BMM!61 | ID BMM-057</t>
  </si>
  <si>
    <t>Histórico original integral:
14/08/2023 - Determinado o registro de protesto da dívida em nome do Consórcio.
24/03/2023 - Homolgado saldo residual a pagar.
02/02/2023 - Liberado valor em favor do Reclamante.
11/10/2022 - Bloqueado valor de previdência de BRUNO VON BENTZEEN RODRIGUES
15/09/2022 - O processo foi reunido na execução piloto - 0010558-94.2020.5.03.0010.
30/08/2022 - Expedida notificação ao Consórcio.
Proveniência: Histórico completo da origem: BMM!61 | ID BMM-057 | A coluna D contém atualização geral informada na origem; não comprova recebimento do andamento | Não houve consulta a tribunal nem atualização externa</t>
  </si>
  <si>
    <t>02/09/2026 - Tendo havido o bloqueio integral do valor pela Alta, após o pagamento o processo será baixado. [...] histórico completo em Observações</t>
  </si>
  <si>
    <t>BMM!62 | ID BMM-058</t>
  </si>
  <si>
    <t>Histórico original integral:
02/09/2026 - Tendo havido o bloqueio integral do valor pela Alta, após o pagamento o processo será baixado.
30/07/2026 - Valor de R$ 18.518,51 bloqueado em contas da Alta.
12/06/2026 - intimação de cálculos com valor atualizado de execução em desfavor da Alta. Valor devido pela Alta: R$ 16.267,56.
21/10/2025 - intimação de cálculos com valor de execução em desfavor da Alta.
06/05/2025 - Audiência de conciliação realizada. Concluso para sentença. Os autos serão conclusos para análise do recurso do Trail que discute o bloqueio judicial.
29/05/2025 - Intimação de designação de audiência de conciliação. (A execução está integralmente garantida por bloqueio judicial em desfavor da Trail.)
09/05/2024 - Intimação das Rés para quitar a dívida.
26/03/2024 - Negado provimento ao AIRR da Alta.
23/01/2023 - AIRR da Alta.
19/12/2023 - Negado seguimento ao RR da Alta.
30/10/2023 - RR da Alta.
18/10/2023 - Acórdão negado provimento ao AP da Alta.
06/07/2023 - AP da Alta.
26/06/2023 - Negado o pedido de sobrestamento do processo.
14/06/2023 - Alta pediu o sobrestamento do processo.
06/03/2023 - Acórdão - negado provimento ao Agravo Interno da Alta.
19/09/2022 - Agravo interno da Alta.
06/09/2022 - Negado seguimento ao AIRR da Alta.
22/06/2022 - AIRR da Alta.
08/06/2022 - Negado seguimento ao RR da Alta.
05/05/2022 - RR da Alta.
22/04/2022 - Provido AP do Ronney para retirá-lo do polo por agora, e limitada a responsabilidade da Alta.
03/09/2021 - Agravo de Petição da Alta.
24/08/2021 - Decisão dos EDs. Execução redirecionada em desfavor do Ronney,
15/07/2021 - Ed apresentados pela Alta.
08/07/2021 - Provida a execeção de pré-executividade do Roney.
09/06/2021 - Apresentada Exceção de pré-executividade pelo Roney.
24/05/2021 - Lançada restrição imóvel do Roney.
30/04/2021 - Execução redirecionada ao Roney.
19/02/2021 - Intimado Reclamante para promover o feito.
12/11/2019 - Apresentada impugnação à defesa. Arguardar julgamento.
02/10/2019 - citada Alta para apresentar defesa ao IDPJ.
15/08/2019 - intimação o Exequente indicar meios de execução.
Proveniência: Histórico completo da origem: BMM!62 | ID BMM-058 | A coluna D contém atualização geral informada na origem; não comprova recebimento do andamento | Não houve consulta a tribunal nem atualização externa</t>
  </si>
  <si>
    <t>3/10/2024 - Arquivado para Alta, pagou a cota parte devida pela responsabilidade delimitada na sentença. [...] histórico completo em Observações</t>
  </si>
  <si>
    <t>BMM!63 | ID BMM-059</t>
  </si>
  <si>
    <t>Histórico original integral:
3/10/2024 - Arquivado para Alta, pagou a cota parte devida pela responsabilidade delimitada na sentença.
04/07/2024 - Bloqueio integral em desfavor da Alta.
17/06/2024 - Reclamadas intimadas para pagar a execução.
29/05/2024 - Homolgada execução.
22/03/2024 - Alta intimada para ter vista dos cálculos,
16/01/2024 - Negado seguimento ao RR do Reclamante.
09/10/2023 - Acórdão, negado provimento ao ED da Cava com multa.
22/09/2023 - RR do Reclamante.
13/09/2023 - ED da Cava.
12/09/2023 - Acórdão, provido parcialmente RO da Alta para limitar a condenação a 02/08/2018.
30/06/2023 - Audiência de conciliação sem acordo.
22/05/2023 - RO adesivo da Cava.
12/05/2023 - RO da Alta.
30/03/2023 - Sentença condenatória de todas as empresas, inclusive, subsidiariamente da Valec.
16/03/2023 - AIJ.
10/11/2022 - Audiência. Inclusão da Serne.
29/06/2022 - A Alta foi ressarcida das custas depositadas no TRT 6 Região.
31/05/2022 - Deferido o aditamento da petição inicial para incluir a Valec.
07/04/2022 - Audiência inicial perante 3 VT de Rio Verde.
24/03/2022 - Autuado os autos perante o TRT 18
21/10/2021 - Restituído valor em favor da Alta (R$10.279,48)
20/08/2021 - Provido em parte ED da Alta.
22/06/2021 - ED da Alta.
16/06/2021 - Acórdão - acolhida a exceção de incompetencia territorial arguida pela Cava.
19/10/2020 - RO da Alta.
05/10/2020 - Sentença dos Eds.
30/09/2020 - ED da Alta.
23/09/2020 - Sentença.
26/08/2020 - AIJ.
Proveniência: Histórico completo da origem: BMM!63 | ID BMM-059 | A coluna D contém atualização geral informada na origem; não comprova recebimento do andamento | Não houve consulta a tribunal nem atualização externa | Data estruturada do movimento não confiável/ausente; texto original preservado</t>
  </si>
  <si>
    <t>16/07/2025 - Carta de Citação e Intimação (INCIDENTE DE DESCONSIDERAÇÃO DA PERSONALIDADE JURÍDICA) [...] histórico completo em Observações</t>
  </si>
  <si>
    <t>BMM!64 | ID BMM-060</t>
  </si>
  <si>
    <t>Histórico original integral:
16/07/2025 - Carta de Citação e Intimação (INCIDENTE DE DESCONSIDERAÇÃO DA PERSONALIDADE JURÍDICA)
20/10/2025 - Sentença: improcedente o pedido quanto ao incidente de desconsideração da personalidade jurídica. (Aguardemos eventual recurso do Autor)
PROCESSO ORIGINAL MOVIDO SOMENTE CONTRA A SETOR SUL
18/11/2025 - Recurso de Apelação pelo CONSORCIO PLANEP - CEPPLA.
18/12/2025 - Contrarrazões ao Recurso de Apelação pela Movida.
21/01/2026 - Contrarrazões ao Recurso de Apelação pelo Francisney
Proveniência: Histórico completo da origem: BMM!64 | ID BMM-060 | A coluna D contém atualização geral informada na origem; não comprova recebimento do andamento | Não houve consulta a tribunal nem atualização externa</t>
  </si>
  <si>
    <t>11/10/2023 - Autos sobrestados. [...] histórico completo em Observações</t>
  </si>
  <si>
    <t>BMM!65 | ID BMM-061</t>
  </si>
  <si>
    <t>Histórico original integral:
11/10/2023 - Autos sobrestados.
08/03/2022 - Agravo interno da Alta.
22/02/2022 - Negado provimento ao AIRR por decisão monocrática.
05/08/2021 - Autos conclusos no TST.
29/03/2021 - AIRR Alta.
18/02/2021 - RR da Alta.
03/02/2021 - Acórdao em ED. Provido para retificar erros no julgado.
12/11/2020 - Acórdão- mantida decisão de 1º grau.
04/09/2020 - Agravo de petição protocolado pela Alta e Cava.
29/07/2020 - Sentença. Alta condenada subsidiariamente no percentual de 3/4. Cava condenação solidária.
23/06/2020 - Reaberto prazo para a Alta apresentar defesa.
05/06/2020 - Protocolo arguindo nulidades Alta
25/03/2020 - IDPJ
11/03/2020 - Autor intimado a manifestar pesquisa CCS.
27/11/2019 - Intimado Autor para fornecer meios de execução.
13/11/2019 - Bacenjud e Renajud infrutíferos.
18/10/2019 - homologado valor do débito. Intimação para pagamento.
01/10/2019 - Despacho intimando para comprovar o pgamento da execução no prazo de 48 horas.
20/09/2019 - Intimação para pagamento do débito no prazo de 48 horas, sob pena de execução.
Proveniência: Histórico completo da origem: BMM!65 | ID BMM-061 | A coluna D contém atualização geral informada na origem; não comprova recebimento do andamento | Não houve consulta a tribunal nem atualização externa</t>
  </si>
  <si>
    <t>07/01/2026 - Conclusos para decisão. [...] histórico completo em Observações</t>
  </si>
  <si>
    <t>BMM!66 | ID BMM-062</t>
  </si>
  <si>
    <t>Histórico original integral:
07/01/2026 - Conclusos para decisão.
22/08/2023 - Cuida-se de decisão que determinou o prosseguimento do feito com a realização de pesquisa Sniper eSisbajud.
Proveniência: Histórico completo da origem: BMM!66 | ID BMM-062 | A coluna D contém atualização geral informada na origem; não comprova recebimento do andamento | Não houve consulta a tribunal nem atualização externa | Inconsistência original: data inicial do histórico posterior à data de atualização geral</t>
  </si>
  <si>
    <t>03/04/2024 - Autos sobrestados aguardando o trânsito em julgado do processo principal. [...] histórico completo em Observações</t>
  </si>
  <si>
    <t>BMM!67 | ID BMM-063</t>
  </si>
  <si>
    <t>Histórico original integral:
03/04/2024 - Autos sobrestados aguardando o trânsito em julgado do processo principal.
27/04/2023 - Acórdão, negado provimento ao AP da Cava.
23/08/2022 - AP da Cava.
19/08/2022 - Negado provimento aos EDS da Cava.
20/05/2022 - Senteça de Embargos à Execução da Cava, rejeitada impugnação.
19/04/2022 - Sisbajud integral em desfavor da Cava.
30/06/2021 - Iniciada execução provisória.
Proveniência: Histórico completo da origem: BMM!67 | ID BMM-063 | A coluna D contém atualização geral informada na origem; não comprova recebimento do andamento | Não houve consulta a tribunal nem atualização externa</t>
  </si>
  <si>
    <t>3/10/2024 - Arquivado para Alta, pagou a cota parte devida pela responsabilidade delimitada na sentença [...] histórico completo em Observações</t>
  </si>
  <si>
    <t>BMM!68 | ID BMM-064</t>
  </si>
  <si>
    <t>Histórico original integral:
3/10/2024 - Arquivado para Alta, pagou a cota parte devida pela responsabilidade delimitada na sentença
29.12.2023 - Contestação apresentada pelo Município de Belo Horizonte.
Proveniência: Histórico completo da origem: BMM!68 | ID BMM-064 | A coluna D contém atualização geral informada na origem; não comprova recebimento do andamento | Não houve consulta a tribunal nem atualização externa | Data estruturada do movimento não confiável/ausente; texto original preservado</t>
  </si>
  <si>
    <t>(25/09/2023) O processo encontra-se paralisado, aguarda-se o prosseguimento do feito.
(06/08/2024) Aguarda-se realização da audiência AIJ [...] histórico completo em Observações</t>
  </si>
  <si>
    <t>BMM!69 | ID BMM-065</t>
  </si>
  <si>
    <t>Histórico original integral:
(25/09/2023) O processo encontra-se paralisado, aguarda-se o prosseguimento do feito.
(06/08/2024) Aguarda-se realização da audiência AIJ
17/12/2025 - Sentença. Pedido autoral julgado parcialmente procedente para condenar as rés Spavias, Alta e Trail, de forma solidária, ao ressarcimento de 50% das despesas efetuadas pelo INSS com o pagamento de beneficios de pensão por morte.
13/01/2026 - Embargos de Declaração opostos pela Ré Alta.
23/01/2026 - Contrarrazões aos Embargos de Declaração pelo INSS.
Proveniência: Histórico completo da origem: BMM!69 | ID BMM-065 | A coluna D contém atualização geral informada na origem; não comprova recebimento do andamento | Não houve consulta a tribunal nem atualização externa | Data estruturada do movimento não confiável/ausente; texto original preservado</t>
  </si>
  <si>
    <t>(13/04/2023) O Tribunal Regional Federal da 6ª Região deu provimento à Apelação da União e reformou a sentença, afirmando que os tributos questionados incidem sobre as férias gozadas. Este entendimento está de acordo com a posição adotada pelo STJ e pelo STF, razão pela qual não será interposto recurso por parte da empresa. (19/05/2023) Certificado o trânsito em julgado</t>
  </si>
  <si>
    <t>BMM!70 | ID BMM-066</t>
  </si>
  <si>
    <t>Histórico original integral:
(13/04/2023) O Tribunal Regional Federal da 6ª Região deu provimento à Apelação da União e reformou a sentença, afirmando que os tributos questionados incidem sobre as férias gozadas. Este entendimento está de acordo com a posição adotada pelo STJ e pelo STF, razão pela qual não será interposto recurso por parte da empresa. (19/05/2023) Certificado o trânsito em julgado
Proveniência: Histórico completo da origem: BMM!70 | ID BMM-066 | A coluna D contém atualização geral informada na origem; não comprova recebimento do andamento | Não houve consulta a tribunal nem atualização externa | Data estruturada do movimento não confiável/ausente; texto original preservado</t>
  </si>
  <si>
    <t>05/11/2021 - A Execução foi ajuizada nesta data. [...] histórico completo em Observações</t>
  </si>
  <si>
    <t>BMM!71 | ID BMM-067</t>
  </si>
  <si>
    <t>Histórico original integral:
05/11/2021 - A Execução foi ajuizada nesta data.
01/09/2023 - A empresa peticionou informando que não obteve a guia para quitação do débito
executado. Na mesma petição, requereu a intimação, com urgência, do Município, para
que este emita a guia de recolhimento para pagamento integral do referido débito.
14/09/2023 - O Município de São Desidério peticionou informando que o débito executado foi quitado. Diante disso, o Município pediu a extinção da Execução.
16/09/2023 - Proferida sentença por meio da qual foi extinta a Execução em virtude da quitação do débito.
14/11/2023 - Certificado o trânsito em julgado.
09/10/2024 - Pagamento da guia de custas finais.
Proveniência: Histórico completo da origem: BMM!71 | ID BMM-067 | A coluna D contém atualização geral informada na origem; não comprova recebimento do andamento | Não houve consulta a tribunal nem atualização externa</t>
  </si>
  <si>
    <t>(17/05/2019) A Impugnação foi apresentada nesta data. Demonstrou-se, nela, que foi aplicada legislação equivocada por parte da Prefeitura (a autuação se refere a um período que vai até junho de 2015, mas, no Auto de Infração, a Prefeitura mencionou a Lei 146 de
2017). Demonstrou-se, ainda, que a empresa já havia sido fiscalizada quanto a uma
parte do período agora autuado. Por fim, atestou-se que uma parcela dos débitos não
poderia ser cobrada, tendo em vista a perda de prazo pela Prefeitura. (19/09/2023) Aguarda-se o julgamento da Impugnação da empresa. [...] histórico completo em Observações</t>
  </si>
  <si>
    <t>BMM!72 | ID BMM-068</t>
  </si>
  <si>
    <t>Histórico original integral:
(17/05/2019) A Impugnação foi apresentada nesta data. Demonstrou-se, nela, que foi aplicada legislação equivocada por parte da Prefeitura (a autuação se refere a um período que vai até junho de 2015, mas, no Auto de Infração, a Prefeitura mencionou a Lei 146 de
2017). Demonstrou-se, ainda, que a empresa já havia sido fiscalizada quanto a uma
parte do período agora autuado. Por fim, atestou-se que uma parcela dos débitos não
poderia ser cobrada, tendo em vista a perda de prazo pela Prefeitura. (19/09/2023) Aguarda-se o julgamento da Impugnação da empresa.
19/08/2025- O Tribunal Regional Federal analisou os Agravos Internos interpostos pela empresa e 
entendeu que os Recursos Especial e Extraordinário por ela apresentados não devem 
ser admitidos. Tendo em vista a ausência de perspectiva de reversão da situação considerando-se o 
entendimento do Judiciário sobre a matéria, não serão apresentados novos recursos. 
11/10/2025 - Trânsito em julgado. 
28/11/2025- O processo foi recebido na primeira instância.
12/12/2025 - O processo foi arquivado definitivamente.
Proveniência: Histórico completo da origem: BMM!72 | ID BMM-068 | A coluna D contém atualização geral informada na origem; não comprova recebimento do andamento | Não houve consulta a tribunal nem atualização externa | Data estruturada do movimento não confiável/ausente; texto original preservado</t>
  </si>
  <si>
    <t>(17/05/2019) Apresentada, pela empresa, Impugnação ao Auto de Infração. 
(20/09/2023) Aguarda-se o julgamento da Impugnação apresentada pela empresa.</t>
  </si>
  <si>
    <t>BMM!73 | ID BMM-069</t>
  </si>
  <si>
    <t>Histórico original integral:
(17/05/2019) Apresentada, pela empresa, Impugnação ao Auto de Infração. 
(20/09/2023) Aguarda-se o julgamento da Impugnação apresentada pela empresa.
Proveniência: Histórico completo da origem: BMM!73 | ID BMM-069 | A coluna D contém atualização geral informada na origem; não comprova recebimento do andamento | Não houve consulta a tribunal nem atualização externa | Data estruturada do movimento não confiável/ausente; texto original preservado</t>
  </si>
  <si>
    <t>30/09/2025 - Remetido os autos em grau de recurso para tribunal. [...] histórico completo em Observações</t>
  </si>
  <si>
    <t>BMM!74 | ID BMM-070</t>
  </si>
  <si>
    <t>Histórico original integral:
30/09/2025 - Remetido os autos em grau de recurso para tribunal.
01/09/2023 - Cuida-se de sentença que julgou improcedente o pedido inicial.
Proveniência: Histórico completo da origem: BMM!74 | ID BMM-070 | A coluna D contém atualização geral informada na origem; não comprova recebimento do andamento | Não houve consulta a tribunal nem atualização externa</t>
  </si>
  <si>
    <t>12/09/2025 - O juiz não autorizou, por enquanto, bloquear valores das empresas consorciadas (Spavias Engenharia Ltda e Serne Engenharia Ltda), mesmo existindo cláusula de responsabilidade solidária no contrato do consórcio, porque essas empresas não participaram da fase inicial do processo e precisariam ser citadas para exercer defesa. [...] histórico completo em Observações</t>
  </si>
  <si>
    <t>BMM!75 | ID BMM-071</t>
  </si>
  <si>
    <t>Histórico original integral:
12/09/2025 - O juiz não autorizou, por enquanto, bloquear valores das empresas consorciadas (Spavias Engenharia Ltda e Serne Engenharia Ltda), mesmo existindo cláusula de responsabilidade solidária no contrato do consórcio, porque essas empresas não participaram da fase inicial do processo e precisariam ser citadas para exercer defesa.
18/06/2025 - O juiz determinou que a parte credora apresente em 15 dias o contrato completo de constituição do consórcio (e eventuais aditivos), devidamente registrado, para verificar se as empresas consorciadas têm responsabilidade pela dívida.
17/02/2025 - O juiz determinou que, se a parte devedora não pagar voluntariamente, a secretaria deve iniciar medidas para localizar e penhorar bens a fim de quitar a dívida, utilizando sistemas eletrônicos como SISBAJUD, RENAJUD, INFOJUD e SERASAJUD.
24/01/2024 - Remetidos os Autos (em cumprimento de sentença) para Centrase BH
25/09/2023 - Os autos se encontram conclusos para decisão
Proveniência: Histórico completo da origem: BMM!75 | ID BMM-071 | A coluna D contém atualização geral informada na origem; não comprova recebimento do andamento | Não houve consulta a tribunal nem atualização externa</t>
  </si>
  <si>
    <t>08/10/2025 - O juiz determinou que seja certificado o trânsito em julgado da sentença e verificado o pagamento das custas finais. Em seguida, a parte devedora será intimada para pagar a dívida em 15 dias. [...] histórico completo em Observações</t>
  </si>
  <si>
    <t>BMM!76 | ID BMM-072</t>
  </si>
  <si>
    <t>Histórico original integral:
08/10/2025 - O juiz determinou que seja certificado o trânsito em julgado da sentença e verificado o pagamento das custas finais. Em seguida, a parte devedora será intimada para pagar a dívida em 15 dias.
18/08/2023 - Os autos se encontram conclusos para julgamento.
Proveniência: Histórico completo da origem: BMM!76 | ID BMM-072 | A coluna D contém atualização geral informada na origem; não comprova recebimento do andamento | Não houve consulta a tribunal nem atualização externa</t>
  </si>
  <si>
    <t>18/09/2026 - Valor total vbloqueado em nome da reclamada CESAR TRANSPORTES. Negado provimento ao agravo interno apresentado pela alta, a execução provisória está integralmente garantida pela primeira reclamada, após o transito em julgado será possivel solicitar a restituição dos depositos judiciais feitos pela ALTA. [...] histórico completo em Observações</t>
  </si>
  <si>
    <t>BMM!77 | ID BMM-073</t>
  </si>
  <si>
    <t>Histórico original integral:
18/09/2026 - Valor total vbloqueado em nome da reclamada CESAR TRANSPORTES. Negado provimento ao agravo interno apresentado pela alta, a execução provisória está integralmente garantida pela primeira reclamada, após o transito em julgado será possivel solicitar a restituição dos depositos judiciais feitos pela ALTA.
09/07/2026 - Prazo para pagamento em 48hrs após sera acionado o SISBAJUD.
02/07/2026 - Pedido de SISBAJUD pela parde autora
16/06/2026 - Petição da outra empresa oferecendo possível acordo.
10/06/2026 - Intimados para pagamento do débito sob pena de execução
09/06/2026 - Petição negando o bem a penhora, aguardando manifestção do juízo.
27/04/2026 - Pedido de audiência de conciliação e penhora de bem em nome da empregadora.
22/04/2026 - ALTA foi notificada para pagamento da execução em 48hrs no valor de R$ 453.450,18 sob pena de bloqueio judicial.
15/04/2025 - Os reclamantes iniciaram cumprimento provisório de sentença, sendo assim, fomos intimados a liquidar a sentença.
24/02/2023 - Agravo Interno da Alta.
10/02/2022 - Negado provimento aos AIRR.
25/01/2022 - Agravo de Instrumento em Recurso de Revista da Alta.
10/12/2021 - Negado seguimento ao RR da Alta.
27/01/2020 - Recuro de Revista da Alta.
Aguardando julgamento dos novos embargos de declaração
Acórdão aumentou a condenação de primeiro grau, alcançando R$ 350.000,00.
Proveniência: Histórico completo da origem: BMM!77 | ID BMM-073 | A coluna D contém atualização geral informada na origem; não comprova recebimento do andamento | Não houve consulta a tribunal nem atualização externa</t>
  </si>
  <si>
    <t>19.02.2024 - Arquivados os autos definitivamente [...] histórico completo em Observações</t>
  </si>
  <si>
    <t>BMM!78 | ID BMM-074</t>
  </si>
  <si>
    <t>Histórico original integral:
19.02.2024 - Arquivados os autos definitivamente
02.02.2024 - Despacho: considerando que todas as obrigações foram devidamente adimplidas nos presentes autos, foi declaro extinta a execução.
(12/09/23) Provido o recurso para que seja restituído à Alta o valor que exceder ao valor devido, exceto se houver outra execução contra a empresa. Provavelmente haverá saldo a restituir à Alta.
Proveniência: Histórico completo da origem: BMM!78 | ID BMM-074 | A coluna D contém atualização geral informada na origem; não comprova recebimento do andamento | Não houve consulta a tribunal nem atualização externa | Data estruturada do movimento não confiável/ausente; texto original preservado</t>
  </si>
  <si>
    <t>(31/08/2017) Decisão suspendendo os Recursos Extraordinário e Especial da União, tendo em vista que a matéria encontra-se em julgamento no Supremo Tribunal Federal, na sistemática de repercussão geral. Aguarda-se, portanto, a posição a ser firmada pelo Supremo. (19/09/2023) Permanece suspenso.</t>
  </si>
  <si>
    <t>BMM!79 | ID BMM-075</t>
  </si>
  <si>
    <t>Histórico original integral:
(31/08/2017) Decisão suspendendo os Recursos Extraordinário e Especial da União, tendo em vista que a matéria encontra-se em julgamento no Supremo Tribunal Federal, na sistemática de repercussão geral. Aguarda-se, portanto, a posição a ser firmada pelo Supremo. (19/09/2023) Permanece suspenso.
Proveniência: Histórico completo da origem: BMM!79 | ID BMM-075 | A coluna D contém atualização geral informada na origem; não comprova recebimento do andamento | Não houve consulta a tribunal nem atualização externa | Data estruturada do movimento não confiável/ausente; texto original preservado</t>
  </si>
  <si>
    <t>10/09/2026 - Transitado em julgado em 13/08 tornando definitivos o direito ao crédito tributário decorrente da exclusão de determinadas verbas d abase de cálculo das contribuições previdenciárias patroniais. [...] histórico completo em Observações</t>
  </si>
  <si>
    <t>BMM!80 | ID BMM-076</t>
  </si>
  <si>
    <t>Histórico original integral:
10/09/2026 - Transitado em julgado em 13/08 tornando definitivos o direito ao crédito tributário decorrente da exclusão de determinadas verbas d abase de cálculo das contribuições previdenciárias patroniais.
18/04/2022 - Em juízo de retratação, o Tribunal Regional Federal decidiu: "Pelo exposto, em juízo de retratação (alinhamento jurisprudencial), aplico ao julgado a orientação vinculante supra,
retificando o dispositivo e, de consequência: dou provimento parcial ao apelo da União
(FN) e à remessa oficial para que a tributação incida sobre o valor pago a título de terço
constitucional de férias e dou provimento parcial ao apelo da impetrante para que a
tributação não incida sobre o valor pago a título de salário maternidade, julgado
confirmado quanto ao mais."
06/05/2022 - A empresa apresentou recurso de Embargos Declaratórios, requerendo a suspensão do processo até que o Supremo Tribunal Federal decida se ocorrerá a modulação de efeitos relativamente ao terço constitucional de férias.
11/05/2022 - A União se manifestou requerendo que seja negado provimento aos Embargos
Declaratórios apresentados pela empresa.
21/07/2022 - O Tribunal Regional Federal negou provimento aos Embargos Declaratórios
apresentados pela empresa.
22/08/2022 - A empresa peticionou complementando o Recurso Extraordinário que havia interposto.
19/08/2024 - Protocolizada, pela empresa, petição requerendo a agilização do processo.
22/01/2026 - Aguarda-se nova decisão por parte do Tribunal Regional Federal da Sexta Região.
Proveniência: Histórico completo da origem: BMM!80 | ID BMM-076 | A coluna D contém atualização geral informada na origem; não comprova recebimento do andamento | Não houve consulta a tribunal nem atualização externa</t>
  </si>
  <si>
    <t>31/03/2022 - A empresa apresentou Agravos Internos contra as decisões do Tribunal Regional Federal, que negaram seguimento aos seus Recursos Especial e Extraordinário. [...] histórico completo em Observações</t>
  </si>
  <si>
    <t>BMM!81 | ID BMM-077</t>
  </si>
  <si>
    <t>Histórico original integral:
31/03/2022 - A empresa apresentou Agravos Internos contra as decisões do Tribunal Regional Federal, que negaram seguimento aos seus Recursos Especial e Extraordinário.
05/05/2022 - A União apresentou suas respostas aos Agravos Internos interpostos pela empresa. (19/09/2023) O processo se encontra no Tribunal Regional Federal da Sexta Região, no aguardo de decisão.
19/08/2025 - O Tribunal Regional Federal analisou os Agravos Internos interpostos pela empresa e entendeu que os Recursos Especial e Extraordinário por ela apresentados não devem ser admitidos.
Tendo em vista a ausência de perspectiva de reversão da situação considerando-se o entendimento do Judiciário sobre a matéria, não serão apresentados novos recursos. 
11/10/2025 - Transito em julgado
28/11/2025 - O processo foi recebido na primeira instância.
12/12/2025 - O processo foi arquivado definitivamente.
Proveniência: Histórico completo da origem: BMM!81 | ID BMM-077 | A coluna D contém atualização geral informada na origem; não comprova recebimento do andamento | Não houve consulta a tribunal nem atualização externa</t>
  </si>
  <si>
    <t>(25/09/2023) Aguarda-se o julgamento do recurso de apelação.</t>
  </si>
  <si>
    <t>BMM!82 | ID BMM-078</t>
  </si>
  <si>
    <t>Histórico original integral:
(25/09/2023) Aguarda-se o julgamento do recurso de apelação.
Proveniência: Histórico completo da origem: BMM!82 | ID BMM-078 | A coluna D contém atualização geral informada na origem; não comprova recebimento do andamento | Não houve consulta a tribunal nem atualização externa | Data estruturada do movimento não confiável/ausente; texto original preservado</t>
  </si>
  <si>
    <t>09/06/2026 - Transitado em julgado, valores em depositados a receber pela ALTA. [...] histórico completo em Observações</t>
  </si>
  <si>
    <t>BMM!83 | ID BMM-079</t>
  </si>
  <si>
    <t>Histórico original integral:
09/06/2026 - Transitado em julgado, valores em depositados a receber pela ALTA.
21/10/2025 - Acórdão. Resultado:providos os embargos para prestar esclarecimentos no sentido de que, mesmo não tendo sido conhecido o recurso da Alta, ela foi absolvida da condenação. Mantida a questão de não conhecimento do recurso. (Alta foi absolvida da ação)
10/09/2025 - Acórdão. Resultado: não conhecido o recurso da Alta por alegação de vício no instrumento de procuração. Um absurdo o acórdão. No entanto, no mérito, a Relatora determinou que apenas as empresas LOCTEC e PAVIENGE respondem pelos débitos da ação. (interposição dos embargos de declaração)
01/08/2025 - Reclamantes AILTON ALVES DE SOUZA e ANA CLAUDIA ALVES DE SOUZA, vinculados aos autos de nº 0010246-78.2024.5.18.0231, apresentaram cumprimento provisório de sentença. Fomos intimados a ter vista dos cálculos. Aguardando impugnação da empregadora do de cujus. (Prazo: 12/08/25)
20/08/2024 - AIJ
23/07/2024 - Audiência inicial.
20/09/2024 - Senteça publicada (desfavorável para a Alta - condenação dos pagamentos)
06/11/2024 - Negavo provimento quanto ao Embargos de Declaração apresentado.
11/11/2024 - Prazo para recurso até 22/11/24
Proveniência: Histórico completo da origem: BMM!83 | ID BMM-079 | A coluna D contém atualização geral informada na origem; não comprova recebimento do andamento | Não houve consulta a tribunal nem atualização externa | Inconsistência original: data inicial do histórico posterior à data de atualização geral</t>
  </si>
  <si>
    <t>08/09/2026 - Aguardando pesquisa para recebermos valores. [...] histórico completo em Observações</t>
  </si>
  <si>
    <t>BMM!84 | ID BMM-080</t>
  </si>
  <si>
    <t>Histórico original integral:
08/09/2026 - Aguardando pesquisa para recebermos valores. 
09/06/2026 - Transitado em julgado, valores em depositados a receber pela ALTA.
18/08/2025 - Alta absolvida. Não houve recurso do reclamante quanto a esse.
09/10/2025 - Acórdão publicado no processo - Resultado: provido nossos Embargos de Declaração para sanar contradição, com efeito modificativo, para manter a sentença que deferiu o pagamento de honorários sucumbenciais aos procuradores da embargante, fixados em 10% do valor dos pedidos 
13/08/2025 - Acórdão publicado - Resultado: provido o recurso da Alta para afastar a responsabilidade por débitos do processo. De ofício, o juízo excluiu a condenação dos reclamantes ao pagamento de honorários advocatícios. Avaliarei se apresentarei embargos de declaração para arguir ofensa à tese fixada pelo STF.
julgados totalmente improcedentes, e suspendeu a sua exigibilidade
20/08/2024 - AIJ
23/07/2024 - Audiência inicial.
20/09/2024 - Senteça publicada (desfavorável para a Alta - condenação dos pagamentos)
06/11/2024 - Negavo provimento quanto ao Embargos de Declaração apresentado.
11/11/2024 - Prazo para recurso até 22/11/24
21/11/2024 - Recurso apresentado
Proveniência: Histórico completo da origem: BMM!84 | ID BMM-080 | A coluna D contém atualização geral informada na origem; não comprova recebimento do andamento | Não houve consulta a tribunal nem atualização externa</t>
  </si>
  <si>
    <t>12/12/2025 - Processo arquivado [...] histórico completo em Observações</t>
  </si>
  <si>
    <t>BMM!85 | ID BMM-081</t>
  </si>
  <si>
    <t>Histórico original integral:
12/12/2025 - Processo arquivado
18/09/2025 - Liberado alvará para restituição do valor - valor recebido em conta
29/08/2025 - Despacho: Arquivamento definitivo e restituição do depósito recursal à Alta Engenharia
12/12/2024 - Acórdão: provimento ao recurso da Alta, afastando a condeção ao pagamento de haveres trabalhista (empregado prestou serviço apenas para a LOCTEC) 
09/09/2024 - E-mail encaminando para o escritório, informando a autorização da diretoria para a interposição de Recurso Ordinário.
28/08/2024 - Sentença em Declaração de Embargos ( acolhimento em parte, condenando ainda quanto a diferença salarial de R$ 4.040, de set/2019 a ago/2022 e valor de R$3.416,50 de set/2022 a out/2022 com reflexos em DSR, férias + 1/3, gratificação natalina e FGTS; além de salários correspondentes a out/2018 a ago/2019, e saldo salário de nov/2022 (33 dias);
30/07/2024 - ED apresentado pela Alta.
23/07/2024 - Sentença condenatória, solidária, em desfavor da Alta por empregado da Loctec.
Proveniência: Histórico completo da origem: BMM!85 | ID BMM-081 | A coluna D contém atualização geral informada na origem; não comprova recebimento do andamento | Não houve consulta a tribunal nem atualização externa</t>
  </si>
  <si>
    <t>(29/06/2022) Autos sobrestados
Concluso TST admissibilidade de RE Condenação em valores ínfimos (R$ 600,00). 29/06/2022 - Autos sobrestados. [...] histórico completo em Observações</t>
  </si>
  <si>
    <t>BMM!86 | ID BMM-082</t>
  </si>
  <si>
    <t>Histórico original integral:
(29/06/2022) Autos sobrestados
Concluso TST admissibilidade de RE Condenação em valores ínfimos (R$ 600,00). 29/06/2022 - Autos sobrestados.
07/12/2020 - Acórdão TST - negado provimento ao AIRR da Valec.
22/10/2019 - Autos sobrestados.
30/11/18 - Aguardando julgamanto do Recurso Extraordinário.
Proveniência: Histórico completo da origem: BMM!86 | ID BMM-082 | A coluna D contém atualização geral informada na origem; não comprova recebimento do andamento | Não houve consulta a tribunal nem atualização externa | Data estruturada do movimento não confiável/ausente; texto original preservado</t>
  </si>
  <si>
    <t>15/09/2026 - Intimação sobre informação de prosseguimento da execução em desfavor da VALEC, R$ 30.000,00 [...] histórico completo em Observações</t>
  </si>
  <si>
    <t>BMM!87 | ID BMM-083</t>
  </si>
  <si>
    <t>Histórico original integral:
15/09/2026 - Intimação sobre informação de prosseguimento da execução em desfavor da VALEC, R$ 30.000,00
02/09/2026 - Despacho determinando o prosseguimento da execução em face da VAALEC
3/03/2026 - O juízo manteve o bloqueio apenas em nome da Trail, sendo assim, a ordem de bloqueio, por ora, será paralisada, a ordem de bloqueio será reiterada, pois a Trail possui débito no valor de R$ 4.755,40. Contudo, houve bloqueio de R$ 52.962,21, sendo que o valor total executado corresponde a R$ 29.457,95.
27/02/2026 - Bloqueio nas contas da ALTA
2/02/2026 - Partes intimadas para quitarem o débito R$29.457,95 prazo 8 dias 12/02/2026, sob pena de penhora.
9/01/2026 - Homologados cálculos, partes intimadas para quitar o débito.
10/10/2025 - Acórdão, negado provimento ao ED da Valec.
12/06/2025 - ED da Valec.
06/06/2025 - Negado provimento ao recurso da Valec.
08/09/2020 - Conhecido RR da Valec., aguardar julgamento TST.
23/06/2020 - Recurso de Revista Valec.
05/06/2020 - Acórdão - parcial provimento recursos.
11/02/2020 - Recurso da Valec.
31/01/2020 - Sentença condenando a Alta pelos débitos
05/11/2019 - intimado o Autor para responder a contestação Alta.
31/10/2019 - Apresentada defesa da Alta Engenharia.
09/10/2019 - sentença anulada. Aguardar defesa Alta.
07/10/2019 - Partes intimadas para apresentar contrarrazões ao RO. 20/08/2019 - sentença - revelia Alta.
Nulidade empresa não fo notificada.
28/03/2019 - deferido o chamamento das empresas que compoem o Consórcio. Aguardar intimação.
04/02/2019 - redesignada audiência para o dia 27/02/2019.
Proveniência: Histórico completo da origem: BMM!87 | ID BMM-083 | A coluna D contém atualização geral informada na origem; não comprova recebimento do andamento | Não houve consulta a tribunal nem atualização externa</t>
  </si>
  <si>
    <t>06/02/2026 - Suspenso por execução frustrada. [...] histórico completo em Observações</t>
  </si>
  <si>
    <t>BMM!88 | ID BMM-084</t>
  </si>
  <si>
    <t>Histórico original integral:
06/02/2026 - Suspenso por execução frustrada.
11/06/2024 - Reclamadas intimadas para comprovar recolhimento de FGTS.
13/05/2024 - Negado provimento ao agravo do reclamante.
31/01/2023 - Agravo Interno do Reclamante.
19/12/2022 - Negado seguimento ao AIRR do Reclamante.
26/08/2022 - Negado seguimento ao RR do Reclamante.
05/07/2022 - RR do Reclamante.
23/06/2022 - Negado provimento aos EDs do Reclamante.
12/05/2022 - Provido em parte RO do Autor e não conhecido RO da Cava.
21/02/2021 - Indeferida justiça gratuita à CAVA. Intimação para solver custas e depósito.
22/10/2021 - RO da Cava.
19/10/2021 - Sentença - negado provimento aos EDS da Cava e aplicada multa de 1% sobre o valor da
causa.
22/10/2021 - RO da Cava.
16/07/2021 - ED apresentado pela Cava.
16/07/2021 - Sentença condenando a Cava.
07/06/2021 - AIJ.
08/12/2020 - Indeferido pleito da Cava. Aguardar instrução.
11/11/2020 - Audiência de conciliação. Cava pediu a inclusão da nova Consorciada Serne.
03/09/2020 - E-mail enviado à Cava sobre o processo. Recebemos contato do conciliador de Rio Verde.
05/09/2020 - Audiência virtual designada para 03/09/2020.
Proveniência: Histórico completo da origem: BMM!88 | ID BMM-084 | A coluna D contém atualização geral informada na origem; não comprova recebimento do andamento | Não houve consulta a tribunal nem atualização externa</t>
  </si>
  <si>
    <t>25/02/2022 - Agravo interno da Alta. [...] histórico completo em Observações</t>
  </si>
  <si>
    <t>BMM!89 | ID BMM-085</t>
  </si>
  <si>
    <t>Histórico original integral:
25/02/2022 - Agravo interno da Alta.
15/02/2022 - Provido ED da Alta. Negado provimento ao AIRR da Alta.
31/08/2021 - ED apresentado pela Alta.
24/08/2021 - Negado seguimento ao AIRR da Alta.
14/05/2021 - AIRR da Alta.
06/04/2021 - RR da Alta.
22/03/2021 - Acórdão ED a Alta para prestar esclarecimentos.
12/02/2021 - ED Alta.
05/02/2021 - Provido RO do Sindicato para condenar a Alta até a data de saída do Consórcio.
10/12/2020 - Julgamnentos do recurso do sindicato.
25/08/2020 - Autos conclusos julgamento.
22/06/2020 - Recurso Ordinário sindicato.
08/06/2020 - Decisão ED. Alta foi absolvida.
06/04/2020 - Partes intimadas a responder aos Eds da Alta.
19/02/2020 - ED apresentado pela Alta.
19/11/2019 - designada audiência inicial.
Proveniência: Histórico completo da origem: BMM!89 | ID BMM-085 | A coluna D contém atualização geral informada na origem; não comprova recebimento do andamento | Não houve consulta a tribunal nem atualização externa</t>
  </si>
  <si>
    <t>06/02/2026 - Intimado a parte autora para apresenter cálculos [...] histórico completo em Observações</t>
  </si>
  <si>
    <t>BMM!90 | ID BMM-086</t>
  </si>
  <si>
    <t>Histórico original integral:
06/02/2026 - Intimado a parte autora para apresenter cálculos
04/05/2023 - Autos sobrestados Rext da Valec.
04/12/2022 - Rext da Valec.
11/11/2022 - Negado provimento ao agravo interno da Valec.
04/07/2022 - Negado provimento ao AIRR da Valec.
11/03/2022 - AIRR da Valec.
24/02/2022 - Negado seguimento ao RR da Valec.
29/01/2022 - RR da Valec.
07/01/2022 - Provido RO para condenar subsidariamente a Valec.
16/08/2021 - RO do Reclamante.
15/07/2021 - Sentença condenatória do Consórcio.
16/06/2021 - AIJ.
05/04/2021 - Audiência.
Proveniência: Histórico completo da origem: BMM!90 | ID BMM-086 | A coluna D contém atualização geral informada na origem; não comprova recebimento do andamento | Não houve consulta a tribunal nem atualização externa</t>
  </si>
  <si>
    <t>23/04/2026 - intimação para que as partes apresentem cálculos de liquidação da sentença no prazo de quinze dias [...] histórico completo em Observações</t>
  </si>
  <si>
    <t>BMM!91 | ID BMM-087</t>
  </si>
  <si>
    <t>Histórico original integral:
23/04/2026 - intimação para que as partes apresentem cálculos de liquidação da sentença no prazo de quinze dias
08/09/2025 - Intimação de admissibilidade do recurso interposto pela Alta. Resultado: negado seguimento. (Não interposição de novo recurso, devido risco de multa de até R$ 134.071,42)
31/01/2025 - Conhecido o recurso da Alta, conhecida a transcendência, em razão do elevado valor da condenação, CONTUDO, foi negado provimento ao apelo. (Autorizado interposição de recurso)
03/08/2021 - Autos conclusos ao ministro relator no TST.
31/05/2021 - AIRR da Alta.
01/02/2021 - RR da Alta.
18/12/2020 - Negado provimento ao ED da Alta. Renovado prazo recursal.
17/11/2020 - Embargos de declaração da Alta.
10/11/2020 - Acórdão - parcial provimento ao RO da Alta.
08/09/2020 - Aguardando remessa dos autos ao TRT para análise dos recursos.
09/07/2020 - Autos retornaram ao 1º grau para solução de pendências.
05/06/2020 - Remessa dos autos ao TRT. 1ª Turma. Relatra IARA TEIXEIRA RIOS.
01/04/2020 - Intimação Autor responder RO da Alta
21/02/2020 - RO apresentado pela Alta.
10/02/2020 - Sentença ED.
18/12/2019 - ED apresentado pela Alta.
09/12/2019 - Sentença Alta.
21/11/2019 - Encerramento da instrução.
05/11/2019. realizada.
01/10/2019 - Realizada audiência. Ante a falta de notificação da empresa Integral Engenharia, a audiência foi adiada para o dia 12/11/2019 às 08h. Dispensado o comparecimento das partes, com exceção da Integral e do Sindicato.
Proveniência: Histórico completo da origem: BMM!91 | ID BMM-087 | A coluna D contém atualização geral informada na origem; não comprova recebimento do andamento | Não houve consulta a tribunal nem atualização externa</t>
  </si>
  <si>
    <t>17/06/25 - Sentença publicada. Resultado: improcedência total dos pedidos. (Aguardando eventual recurso por parte do reclamante) [...] histórico completo em Observações</t>
  </si>
  <si>
    <t>BMM!92 | ID BMM-088</t>
  </si>
  <si>
    <t>Histórico original integral:
17/06/25 - Sentença publicada. Resultado: improcedência total dos pedidos. (Aguardando eventual recurso por parte do reclamante)
06/03/2025 - Audiência inicial
04/02/2025 - Alta recebeu a citação através do Domicílio Eletrônico e o processo foi direcionado ao escritório
Proveniência: Histórico completo da origem: BMM!92 | ID BMM-088 | A coluna D contém atualização geral informada na origem; não comprova recebimento do andamento | Não houve consulta a tribunal nem atualização externa | Data estruturada do movimento não confiável/ausente; texto original preservado</t>
  </si>
  <si>
    <t>09/09/2026 - Sentença que extinguiu o cumpromento de sentença, tendo em vista o pagamento voluntário, o consórcio planep-ceppla possui crédito a receber, eis que foi pago crédito maior em nome do autor. [...] histórico completo em Observações</t>
  </si>
  <si>
    <t>BMM!93 | ID BMM-089</t>
  </si>
  <si>
    <t>Histórico original integral:
09/09/2026 - Sentença que extinguiu o cumpromento de sentença, tendo em vista o pagamento voluntário, o consórcio planep-ceppla possui crédito a receber, eis que foi pago crédito maior em nome do autor.
24/03/2026 - Recurso improvido. Houve embargos, aguardando julgamento.
21/07/25 - Sentença favóravel ao autor. Decisão recorrida. 
26/06/24 - Audiência de conciliação.
09/07/2024 - Reunião com o advogado do Consórcio e com o chefe de frota da Alta
15/07/2024 - Apresentação da contestação pelo Consórcio Planep - Ceppla
16/07/2024 - Apresentação de contestação pela Alta
17/07/2024 - Apresentação de contetação pela Movida
Proveniência: Histórico completo da origem: BMM!93 | ID BMM-089 | A coluna D contém atualização geral informada na origem; não comprova recebimento do andamento | Não houve consulta a tribunal nem atualização externa</t>
  </si>
  <si>
    <t>16/08/23 - Decisão monocrática de suspensão do processo em razão da decisão do STF que avaliará se é possível incluir empresa integrante de grupo econômico na fase de execução processual.</t>
  </si>
  <si>
    <t>BMM!94 | ID BMM-090</t>
  </si>
  <si>
    <t>Histórico original integral:
16/08/23 - Decisão monocrática de suspensão do processo em razão da decisão do STF que avaliará se é possível incluir empresa integrante de grupo econômico na fase de execução processual.
Proveniência: Histórico completo da origem: BMM!94 | ID BMM-090 | A coluna D contém atualização geral informada na origem; não comprova recebimento do andamento | Não houve consulta a tribunal nem atualização externa | Data estruturada do movimento não confiável/ausente; texto original preservado</t>
  </si>
  <si>
    <t>Processo encontra-se no STJ- sentença e acórdão julgaram improcedentes os pedidos autorais. Sentença proferida em 16/01/2023, julgando extinto o processo com resolução do mérito e declaração de prescisão da pretensão autoral. No dia 23/08/2024 lavrado a Certidão de Trânsito em julgado e Termo de Baixa. [...] histórico completo em Observações</t>
  </si>
  <si>
    <t>BMM!95 | ID BMM-091</t>
  </si>
  <si>
    <t>Histórico original integral:
Processo encontra-se no STJ- sentença e acórdão julgaram improcedentes os pedidos autorais. Sentença proferida em 16/01/2023, julgando extinto o processo com resolução do mérito e declaração de prescisão da pretensão autoral. No dia 23/08/2024 lavrado a Certidão de Trânsito em julgado e Termo de Baixa. 
05/12/2024 - Deferido o pedido de penhora de ativos financeiros via sistema Sisbajud.
24/06/2025 - Deferido o pedido de penhora dos veículos localizados.
Proveniência: Histórico completo da origem: BMM!95 | ID BMM-091 | A coluna D contém atualização geral informada na origem; não comprova recebimento do andamento | Não houve consulta a tribunal nem atualização externa | Data estruturada do movimento não confiável/ausente; texto original preservado</t>
  </si>
  <si>
    <t>27/10/2025 - Processo arquivado.
08/08/25 - BMM optou por nãpa resentarmos as contrarrazões aos embargos de declaração, vez que não temos interesse recursal. Aguardaremos eventual citação da Alta Engenharia para apresentarmos a nossa contestação. [...] histórico completo em Observações</t>
  </si>
  <si>
    <t>BMM!96 | ID BMM-092</t>
  </si>
  <si>
    <t>Histórico original integral:
27/10/2025 - Processo arquivado.
08/08/25 - BMM optou por nãpa resentarmos as contrarrazões aos embargos de declaração, vez que não temos interesse recursal. Aguardaremos eventual citação da Alta Engenharia para apresentarmos a nossa contestação. 
01/08/2025 - carta de intimação
Proveniência: Histórico completo da origem: BMM!96 | ID BMM-092 | A coluna D contém atualização geral informada na origem; não comprova recebimento do andamento | Não houve consulta a tribunal nem atualização externa</t>
  </si>
  <si>
    <t>10/02/2026 - Recebemos a intimação pelo e-mail, embora tenha ocorrido a intimação, aparentemente houve pagamento desse valor. Pagaram parte maior pois divergiram do valor. De toda forma foi bloqueado o valor integral de uma das sociais garantindo a execução. Apresentaremos defesa de toda forma.</t>
  </si>
  <si>
    <t>BMM!97 | ID BMM-093</t>
  </si>
  <si>
    <t>Histórico original integral:
10/02/2026 - Recebemos a intimação pelo e-mail, embora tenha ocorrido a intimação, aparentemente houve pagamento desse valor. Pagaram parte maior pois divergiram do valor. De toda forma foi bloqueado o valor integral de uma das sociais garantindo a execução. Apresentaremos defesa de toda forma.
Proveniência: Histórico completo da origem: BMM!97 | ID BMM-093 | A coluna D contém atualização geral informada na origem; não comprova recebimento do andamento | Não houve consulta a tribunal nem atualização externa</t>
  </si>
  <si>
    <t>03/12/2025 Aguardando citação.</t>
  </si>
  <si>
    <t>BMM!98 | ID BMM-094</t>
  </si>
  <si>
    <t>Histórico original integral:
03/12/2025 Aguardando citação.
Proveniência: Histórico completo da origem: BMM!98 | ID BMM-094 | A coluna D contém atualização geral informada na origem; não comprova recebimento do andamento | Não houve consulta a tribunal nem atualização externa</t>
  </si>
  <si>
    <t>BMM!99 | ID BMM-095</t>
  </si>
  <si>
    <t>Histórico original integral:
18/09/2026 - Valor total vbloqueado em nome da reclamada CESAR TRANSPORTES. Negado provimento ao agravo interno apresentado pela alta, a execução provisória está integralmente garantida pela primeira reclamada, após o transito em julgado será possivel solicitar a restituição dos depositos judiciais feitos pela ALTA.
24/08/2026 - Saldo de R$ 270.934,05 bloqueado em desfavor de Cesar Transportes Guindastes e Equipamentos
09/07/2026 - Prazo para pagamento em 48hrs após sera acionado o SISBAJUD.
02/07/2026 - Pedido de SISBAJUD pela parte autora.
16/06/2026 - Petição da outra empresa oferecendo possível acordo.
10/06/2026 - Intimados para pagamento do débito sob pena de execução
09/06/2026 - Petição negando o bem a penhora, aguardando manifestção do juízo.
27/04/2026 - Pedido de audiência de conciliação e penhora de bem em nome da empregadora.
22/04/2026 - ALTA foi notificada para pagamento da execução em 48hrs no valor de R$ 453.450,18 sob pena de bloqueio judicial.
23/10/2025 - Apresentado laudo pericial.
04/06/2025 - Reclamante apresentou cálculos de R$ 727.812,20. 
22/05/2025 - 1ª Reclamada apresentou cálculos de R$ 423.472,55.
18/03/2025 - Iniciada execução provisória.
Proveniência: Histórico completo da origem: BMM!99 | ID BMM-095 | A coluna D contém atualização geral informada na origem; não comprova recebimento do andamento | Não houve consulta a tribunal nem atualização externa</t>
  </si>
  <si>
    <t>03/09/2025 - Determinada suspensão do processo pela absolvição das Consorciadas 
no processo principal. [...] histórico completo em Observações</t>
  </si>
  <si>
    <t>BMM!101 | ID BMM-097</t>
  </si>
  <si>
    <t>Histórico original integral:
03/09/2025 - Determinada suspensão do processo pela absolvição das Consorciadas 
no processo principal.
26/08/2025 - Apresentados cálculos pela contadoria.
02/06/2025 - Iniciada a execução provisória.
Proveniência: Histórico completo da origem: BMM!101 | ID BMM-097 | A coluna D contém atualização geral informada na origem; não comprova recebimento do andamento | Não houve consulta a tribunal nem atualização externa</t>
  </si>
  <si>
    <t>02/03/2026 - Recebemos a intimação [...] histórico completo em Observações</t>
  </si>
  <si>
    <t>BMM!102 | ID BMM-098</t>
  </si>
  <si>
    <t>Histórico original integral:
02/03/2026 - Recebemos a intimação 
24/02/2026 - Decisão favorável à ALTA, improcedendo o pedido de redirecionamento da execução em desfavor da ALTA.
12/11/2025 - Alta incluída no processo por IDPJ, aguardando notificação.
Proveniência: Histórico completo da origem: BMM!102 | ID BMM-098 | A coluna D contém atualização geral informada na origem; não comprova recebimento do andamento | Não houve consulta a tribunal nem atualização externa</t>
  </si>
  <si>
    <t>17/03/2026 - Setença que determinou a exclusão da Alta, Pavienge, Cava e Setorsul. [...] histórico completo em Observações</t>
  </si>
  <si>
    <t>BMM!103 | ID BMM-099</t>
  </si>
  <si>
    <t>Histórico original integral:
17/03/2026 - Setença que determinou a exclusão da Alta, Pavienge, Cava e Setorsul.
12/11/2025 - Alta incluída no processo por IDPJ, aguardando notificação.
Proveniência: Histórico completo da origem: BMM!103 | ID BMM-099 | A coluna D contém atualização geral informada na origem; não comprova recebimento do andamento | Não houve consulta a tribunal nem atualização externa | Inconsistência original: data inicial do histórico posterior à data de atualização geral</t>
  </si>
  <si>
    <t>09/03/2026 - Alta foi notificada. [...] histórico completo em Observações</t>
  </si>
  <si>
    <t>BMM!104 | ID BMM-100</t>
  </si>
  <si>
    <t>Histórico original integral:
09/03/2026 - Alta foi notificada.
12/11/2025 - Alta incluída no processo por IDPJ, aguardando notificação.
Proveniência: Histórico completo da origem: BMM!104 | ID BMM-100 | A coluna D contém atualização geral informada na origem; não comprova recebimento do andamento | Não houve consulta a tribunal nem atualização externa | Inconsistência original: data inicial do histórico posterior à data de atualização geral</t>
  </si>
  <si>
    <t>09/02/2026 - Cumprimento de sentença, SISBAJUD, RENAJUD, INFOJUD, CNID, SERASAJUD [...] histórico completo em Observações</t>
  </si>
  <si>
    <t>BMM!105 | ID BMM-101</t>
  </si>
  <si>
    <t>Histórico original integral:
09/02/2026 - Cumprimento de sentença, SISBAJUD, RENAJUD, INFOJUD, CNID, SERASAJUD
23/06/2022 - Decisão.
03/11/2021 - Audiência de instrução virtual.
23/05/2019 - Citou o Réu para pagamento do valor da inicial.
Proveniência: Histórico completo da origem: BMM!105 | ID BMM-101 | A coluna D contém atualização geral informada na origem; não comprova recebimento do andamento | Não houve consulta a tribunal nem atualização externa</t>
  </si>
  <si>
    <t>08/09/2026 - sentença que julgou improcedente o incidente de desconsideração da personalidade jurídica proposto pela CSK Locação. Buscaram direcionar a dívida do Consórcio para a Alta Engenharia e para a Cava Engenharia. Aguardemos eventual recurso. [...] histórico completo em Observações</t>
  </si>
  <si>
    <t>BMM!106 | ID BMM-102</t>
  </si>
  <si>
    <t>Histórico original integral:
08/09/2026 - sentença que julgou improcedente o incidente de desconsideração da personalidade jurídica proposto pela CSK Locação. Buscaram direcionar a dívida do Consórcio para a Alta Engenharia e para a Cava Engenharia. Aguardemos eventual recurso.  
31/03/2026 - Alta foi citada.
Proveniência: Histórico completo da origem: BMM!106 | ID BMM-102 | A coluna D contém atualização geral informada na origem; não comprova recebimento do andamento | Não houve consulta a tribunal nem atualização externa</t>
  </si>
  <si>
    <t>14/04/2026 - Alta foi citada.</t>
  </si>
  <si>
    <t>BMM!107 | ID BMM-103</t>
  </si>
  <si>
    <t>Histórico original integral:
14/04/2026 - Alta foi citada.
Proveniência: Histórico completo da origem: BMM!107 | ID BMM-103 | A coluna D contém atualização geral informada na origem; não comprova recebimento do andamento | Não houve consulta a tribunal nem atualização externa</t>
  </si>
  <si>
    <t>23/04/2026 - Reconhecida a responsabilidade das empresas para pagamento da execução [...] histórico completo em Observações</t>
  </si>
  <si>
    <t>BMM!108 | ID BMM-104</t>
  </si>
  <si>
    <t>Histórico original integral:
23/04/2026 - Reconhecida a responsabilidade das empresas para pagamento da execução 
11/02/2026 - ALTA foi notificada para defesa
Proveniência: Histórico completo da origem: BMM!108 | ID BMM-104 | A coluna D contém atualização geral informada na origem; não comprova recebimento do andamento | Não houve consulta a tribunal nem atualização externa</t>
  </si>
  <si>
    <t>04/09/2026 - sentença que julgou improcedente o incidente de desconsideração da personalidade jurídica proposto pela CSK Locação. Buscaram direcionar a dívida do Consórcio para a Alta Engenharia e para a Cava Engenharia, aguardando eventual recurso. [...] histórico completo em Observações</t>
  </si>
  <si>
    <t>BMM!109 | ID BMM-105</t>
  </si>
  <si>
    <t>Histórico original integral:
04/09/2026 - sentença que julgou improcedente o incidente de desconsideração da personalidade jurídica proposto pela CSK Locação. Buscaram direcionar a dívida do Consórcio para a Alta Engenharia e para a Cava Engenharia, aguardando eventual recurso.
31/03/2026 - Citação
24/03/2026 - Intimação para as empresas suscitadas para que manifeste-se sobre o incidente
Proveniência: Histórico completo da origem: BMM!109 | ID BMM-105 | A coluna D contém atualização geral informada na origem; não comprova recebimento do andamento | Não houve consulta a tribunal nem atualização externa</t>
  </si>
  <si>
    <t>Após oitiva da PFE/DNIT, que rebateu as nulidades suscitadas e orientou o prosseguimento do feito, a Coordenação de Engenharia emitiu, em novembro de 2023, Despacho Decisório aplicando a penalidade de advertência à contratada, considerando o descumprimento da Cláusula Sexta do contrato. Após a decisão, a penalidade foi registrada no SICAF em dezembro de 2023 e a Pottencial Seguradora foi comunicada sobre o encerramento da expectativa de sinistro, ante a ausência de recurso administrativo da empresa. O processo seguiu para arquivamento definitivo nos setores competentes após a consolidação das [...] histórico completo em Observações</t>
  </si>
  <si>
    <t>SMP!5 | ID SMP-001</t>
  </si>
  <si>
    <t>Histórico original integral:
Após oitiva da PFE/DNIT, que rebateu as nulidades suscitadas e orientou o prosseguimento do feito, a Coordenação de Engenharia emitiu, em novembro de 2023, Despacho Decisório aplicando a penalidade de advertência à contratada, considerando o descumprimento da Cláusula Sexta do contrato. Após a decisão, a penalidade foi registrada no SICAF em dezembro de 2023 e a Pottencial Seguradora foi comunicada sobre o encerramento da expectativa de sinistro, ante a ausência de recurso administrativo da empresa. O processo seguiu para arquivamento definitivo nos setores competentes após a consolidação das comunicações e registros.
Proveniência: Histórico completo da origem: SMP!5 | ID SMP-001 | A coluna D contém atualização geral informada na origem; não comprova recebimento do andamento | Não houve consulta a tribunal nem atualização externa | Data estruturada do movimento não confiável/ausente; texto original preservado</t>
  </si>
  <si>
    <t>A RHOR move Açao Monitória contra as empresas do Consórcio CONSORCIO LOCTEC PAVIENGE CAVA ALTA SETORSUL, que era integrado pela Alta, com participação de 1%, pretendendo o credor receber o valor solidariamente das empresas. Os Réus foram citados e apresentaram seus Embargos Monitórios, contestando a cobrança e alegando preliminares, como a de incompetência do Foro de Brasília. Foi acolhida a preliminar, tendo sido determinada a remessa dos autos para a Comarca de São Paulo, estando a deferida decisão em fase recursal, para que seja decidido sobre a competência, no âmbito do agravo, interposto [...] histórico completo em Observações</t>
  </si>
  <si>
    <t>SMP!6 | ID SMP-002</t>
  </si>
  <si>
    <t>Histórico original integral:
A RHOR move Açao Monitória contra as empresas do Consórcio CONSORCIO LOCTEC PAVIENGE CAVA ALTA SETORSUL, que era integrado pela Alta, com participação de 1%, pretendendo o credor receber o valor solidariamente das empresas. Os Réus foram citados e apresentaram seus Embargos Monitórios, contestando a cobrança e alegando preliminares, como a de incompetência do Foro de Brasília. Foi acolhida a preliminar, tendo sido determinada a remessa dos autos para a Comarca de São Paulo, estando a deferida decisão em fase recursal, para que seja decidido sobre a competência, no âmbito do agravo, interposto pela LOCTEC, que requer a remessa dos autos para aparecida de Goiânia/GO. Foi negado provimento ao recurso, mantendo a declinação da compêntencia para São Paulo. Foi interposto Recurso Especial, inadmitido, seguido de Agravo em Recurso Especial e os autos estão conclusos ao Desembargador presidente do RJDFT. O caso aguarda julgamento e definição da competência.
Proveniência: Histórico completo da origem: SMP!6 | ID SMP-002 | A coluna D contém atualização geral informada na origem; não comprova recebimento do andamento | Não houve consulta a tribunal nem atualização externa | Data estruturada do movimento não confiável/ausente; texto original preservado</t>
  </si>
  <si>
    <t>A RHOR moveu Açao de Cobrança contra o Consórcio Spavias Serne, Cava Engenharia e Spavias Engenharia, cobrando o valor aproximado de R$2 milhões. Todas as empresas demandadas foram citadas e apresentaram Contestação questionando a cobrnaça. A Cava Engenharia, em sua Contestação, denunciou a Alta, Serne e Trail à lide, alegando pretenso direito de regresso, caso condenada ao pagamento da dívida. A Alta, após citada, apresentou sua defesa, demosntrando que todas as obrigações envolvendo o contrato foram assumidas pela Cava, em razão da cisão empresarial que celebraram, não havendo que se falar e [...] histórico completo em Observações</t>
  </si>
  <si>
    <t>SMP!7 | ID SMP-003</t>
  </si>
  <si>
    <t>Histórico original integral:
A RHOR moveu Açao de Cobrança contra o Consórcio Spavias Serne, Cava Engenharia e Spavias Engenharia, cobrando o valor aproximado de R$2 milhões. Todas as empresas demandadas foram citadas e apresentaram Contestação questionando a cobrnaça. A Cava Engenharia, em sua Contestação, denunciou a Alta, Serne e Trail à lide, alegando pretenso direito de regresso, caso condenada ao pagamento da dívida. A Alta, após citada, apresentou sua defesa, demosntrando que todas as obrigações envolvendo o contrato foram assumidas pela Cava, em razão da cisão empresarial que celebraram, não havendo que se falar em direito de regresso. Foi proferida sentença julgando procedente a cobrança contra as empresas indicadas pela RHOR, e julgando improcedente a denunciação da lide em relação à Alta, afastando, assim, sua responsabilidade. Foram interpostas apelações que estão em fase de julgamento.
Proveniência: Histórico completo da origem: SMP!7 | ID SMP-003 | A coluna D contém atualização geral informada na origem; não comprova recebimento do andamento | Não houve consulta a tribunal nem atualização externa | Data estruturada do movimento não confiável/ausente; texto original preservado</t>
  </si>
  <si>
    <t>15/12/2022, foi proferida decisão indeferindo o pedido de tutela provisória, ao argumento de que a pena não seria grave por ter sido limitada ao DNIT, bem como sob o fundamento de que durante o Processo Administrativo o Consórcio não demonstrou ter cumprido o contrato corretamente, apesar das intimações que recebeu para sanar os problemas, além de ter entendido o juiz que o caso envolve discussão relacionada às investigações da Polícia FEderal sobre a ocorrência de sobrepreço em obras do CREAM. Foi determinando a citação do DNIT para responder à ação. 
02/2/2023, foi interposto Agravo de Instr [...] histórico completo em Observações</t>
  </si>
  <si>
    <t>SMP!8 | ID SMP-004</t>
  </si>
  <si>
    <t>Histórico original integral:
15/12/2022, foi proferida decisão indeferindo o pedido de tutela provisória, ao argumento de que a pena não seria grave por ter sido limitada ao DNIT, bem como sob o fundamento de que durante o Processo Administrativo o Consórcio não demonstrou ter cumprido o contrato corretamente, apesar das intimações que recebeu para sanar os problemas, além de ter entendido o juiz que o caso envolve discussão relacionada às investigações da Polícia FEderal sobre a ocorrência de sobrepreço em obras do CREAM. Foi determinando a citação do DNIT para responder à ação. 
02/2/2023, foi interposto Agravo de Instrumento, requerendo a suspensão liminar das penalidades. Foram expedidas as citaçoes ao DNIT, para que apresente defesa no prazo legal. O DNIT apresentou defesa pela legalidade dos atos que praticou, em alinhamento com o que havia decidido durante o PAAR. Aguarda a fase de produção de provas. Em 24/3/2024, em juízo de retratação manteve a decisão agravada. 
27/4/2023, o DNIT apresentou contestação. Em 6/10/2023, o Consórcio apresentou impugnação a contestação. Em 26/4/2024, foi proferido despacho que initmou as partes a especificarem provas. 
28/3/2024, o Consórcio requereu a produção de prova pericial, oral e documental. 
25/4/2024, o DNIT requereu a produção de prova documental. 
3/7/2024, os autos foram conclusos.
01/07/2026 - Este caso teve uma redução da pena de impedimento e ela foi declarada "quitada" administrativamente, mas a multa ainda está em discussão. O caso vai entrar em fase de perícia (para buscar afastar a alegação de inadimplemento da supervisão e, especialmente, para tratar da incorreta apuração do cálculo da multa, que foi aplicada considerando o valor total da medição e não apenas serviços questionados como não conformes).
Proveniência: Histórico completo da origem: SMP!8 | ID SMP-004 | A coluna D contém atualização geral informada na origem; não comprova recebimento do andamento | Não houve consulta a tribunal nem atualização externa</t>
  </si>
  <si>
    <t>Foi interposto Agravo de Instrumentocontra a decisão que negou a liminar no Caso 2 (CREMA-MOC), com pedido de antecipação de tutela para suspender as penalidades aplicadas pelo DNIT MG (R$844.512,60 e suspenção do direito de licitar com o DNIT por 24 meses. O Consórcio argumenta que: (a) não há que se falar em ausência de urgência em razão de penalidade de suspensar se limitar aos contratos do DNIT, pois os contratos com o DNIT representam cerca de 70% das contratações da empresa; (b) não há nenhuma investigação envolvendo o Consórcio ou lhe imputando responsabilidades; (c) os normativos invoc [...] histórico completo em Observações</t>
  </si>
  <si>
    <t>SMP!9 | ID SMP-005</t>
  </si>
  <si>
    <t>Histórico original integral:
Foi interposto Agravo de Instrumentocontra a decisão que negou a liminar no Caso 2 (CREMA-MOC), com pedido de antecipação de tutela para suspender as penalidades aplicadas pelo DNIT MG (R$844.512,60 e suspenção do direito de licitar com o DNIT por 24 meses. O Consórcio argumenta que: (a) não há que se falar em ausência de urgência em razão de penalidade de suspensar se limitar aos contratos do DNIT, pois os contratos com o DNIT representam cerca de 70% das contratações da empresa; (b) não há nenhuma investigação envolvendo o Consórcio ou lhe imputando responsabilidades; (c) os normativos invocados para penalizar o Consórcio não se aplicavam ao Contrato Administrativo, pois eram posteriores a ele e, assim, não poderia prejudicar o contratado; (d) as penalidades não abedeceram a legislação e são desproporcionais, pois não houve prejuízo, tratando-se de mera discussão envolvendo planilhas e seus ajustes, os quais foram realizados pelo contratado. Foi deferida parcialmente a liminar, para determinar a suspensão da execução da multa pecuniária. Em razão disso, foi interposto recurso pelo Consórcio, requerendo a suspensão também da pena de impedimento, estando o recurso a aguardar o seu julgamento.
***
Em razão de Processo Administrativo de Revisão de Pena, apresentada pela Alta perante o DNIT-Sede, as penas aplicadas às empresas estão suspensas administrativamente. O recurso perderá seu objeto, pois a penalidade de impedimento será cumprida pelo consórcio
Proveniência: Histórico completo da origem: SMP!9 | ID SMP-005 | A coluna D contém atualização geral informada na origem; não comprova recebimento do andamento | Não houve consulta a tribunal nem atualização externa | Data estruturada do movimento não confiável/ausente; texto original preservado</t>
  </si>
  <si>
    <t>Em 11/3/2021, foi deferida a liminar para suspender os “efeitos do ato impugnado, bem como a emissão das ordens de início dos serviços contratados, independentemente da apresentação da garantia adicional, nos termos em que calculada pelo DNIT”. Em 22/3/2021, o DNIT apresentou Agravo de Instrumento ao TRF-1 (1009853-16.2021.4.01.0000) e obteve decisão determinando a suspensão dos efeitos da liminar e, assim, mantendo a exigência de garantia adicional, o que levou, então, à rescisão administrativa dos contratos, como decorrência da revogação da liminar, e à aplicação das penalidades que são disc [...] histórico completo em Observações</t>
  </si>
  <si>
    <t>SMP!10 | ID SMP-006</t>
  </si>
  <si>
    <t>Histórico original integral:
Em 11/3/2021, foi deferida a liminar para suspender os “efeitos do ato impugnado, bem como a emissão das ordens de início dos serviços contratados, independentemente da apresentação da garantia adicional, nos termos em que calculada pelo DNIT”. Em 22/3/2021, o DNIT apresentou Agravo de Instrumento ao TRF-1 (1009853-16.2021.4.01.0000) e obteve decisão determinando a suspensão dos efeitos da liminar e, assim, mantendo a exigência de garantia adicional, o que levou, então, à rescisão administrativa dos contratos, como decorrência da revogação da liminar, e à aplicação das penalidades que são discutidas no Mandado de Segurança nº 1021095-81.2022.4.01.3800. Em março de 2021, o DNIT apresentou informações no Mandado de Segurança, que, em seguida, foi remetido para julgamento. Em 8/7/2022, o Consórcio constituiu novos advogados (SMP Advogados) e apresentou Alegações Finais, levando ao conhecimento do juiz a existência de precedentes favoráveis às teses do Consórcio, os quais declaram a ilegalidade da exigência de garantia adicional em sede de licitação pela modalidade de RDC. Em 22/3/2021, o DNIT apresentou Agravo de Instrumento ao TRF-1 (1009853-16.2021.4.01.0000) e obteve decisão determinando a suspensão dos efeitos da liminar e, assim, manteve a exigência administrativa de garantia adicional. Foi apresentada Contraminuta ao recurso, que aguarda julgamento atualmente pelo TRF-6. Autos conclusos para julgamento desde 24/05/2021. Em 08/07/2022, foram apresentadas Alegações Finais, requerendo o julgamento do caso procedente, conforme precedentes em casos análogos, reconhecendo a nulidade da exigência de garantia adicional. A sentença foi proferida no dia 02/02/2023, por meio da qual decidiu-se pela denegação da segurança pleiteada pela Alta. O MPF foi intimado em 03/02/2023 para manifestar-se acerca da sentença. Foi interposta Apelação pelo Consórcio, que aguarda julgamento. Em razão de Processo Administrativo de revisão de pena apresentado pela Alta/Contécnica perante o DNIT-Sede, a pena de impedimento foi reduzida para 24 meses, dos quais, segundo a decisão do DNIT. Considerando os cálculos apresentados ao DNIT, a penalidade de impedimeno deverá estar integralmente cumprida até o fim do primeiro semestre de 2026, estando a se aguardar o cálculo do DNIT.
Proveniência: Histórico completo da origem: SMP!10 | ID SMP-006 | A coluna D contém atualização geral informada na origem; não comprova recebimento do andamento | Não houve consulta a tribunal nem atualização externa | Data estruturada do movimento não confiável/ausente; texto original preservado</t>
  </si>
  <si>
    <t>Em 05/05/22, o juiz da 21ª Vara Federal decidiu postergar a apreciação do pedido de suspensão liminar das penalidades, que seria apreciado após manifestação do DNIT/MG. Em 12/05/2022, o Consórcio juntou manifestação em que reitera o seu pedido de reconsideração da liminar, diante da decisão que postergou. No dia 13/05/2022, foi proferida decisão que manteve a postergação da apreciação da liminar. Em 15/05/2022, foi interposto Agravo de Instrumento pelo Consórcio (1015793-25.2022.4.01.0000), mas a liminar foi indeferida. Em 19/05/2022, o DNIT/MG prestou informações ao juiz da 21ª Vara Federal, [...] histórico completo em Observações</t>
  </si>
  <si>
    <t>SMP!11 | ID SMP-007</t>
  </si>
  <si>
    <t>Histórico original integral:
Em 05/05/22, o juiz da 21ª Vara Federal decidiu postergar a apreciação do pedido de suspensão liminar das penalidades, que seria apreciado após manifestação do DNIT/MG. Em 12/05/2022, o Consórcio juntou manifestação em que reitera o seu pedido de reconsideração da liminar, diante da decisão que postergou. No dia 13/05/2022, foi proferida decisão que manteve a postergação da apreciação da liminar. Em 15/05/2022, foi interposto Agravo de Instrumento pelo Consórcio (1015793-25.2022.4.01.0000), mas a liminar foi indeferida. Em 19/05/2022, o DNIT/MG prestou informações ao juiz da 21ª Vara Federal, conforme determinado pelo juízo em decisão retro. Em 24/05/2022, o Consórcio constituiu novos advogados (SMP Advogados) e apresentou manifestação rebatendo os argumentos do DNIT/MG e requerendo a apreciação do pedido de urgência. Em 27/05/2022, o juiz da 21ª Vara Federal determinou a redistribuição do caso à 3ª Vara Federal, em razão da conexão com o Mandado de Segurança n° 1010455-53.2021.4.01.3800. Em 31/05/2022, foi deferido o pedido liminar para “suspender a penalidade de impedimento de licitar e contratar com a administração pública federal direta e indireta pelo prazo de 36 (trinta e seis) meses que foi aplicada às Impetrantes, até ulterior deliberação deste Juízo”. Em 29/06/2022, foi interposto Agravo de Instrumento pelo Consórcio (1022546-95.2022.4.01.0000). Em 25/7/2022, foi interposto Agravo de Instrumento pelo DNIT (1026051-94.2022.4.01.0000). Em 16/08/2022, foi proferida decisão em que indeferiu o pedido de reconsideração e intimou o MPF para manifestação nos autos do processo. Em 07/10/2022, o MPF junta parecer, por meio do qual se manifesta pela "suspensão do andamento deste writ até que haja decisão de mérito nos autos do processo nº 1010455-53.2021.4.01.3800". No dia 29/11/2022, o Consórcio se manifestou no sentido de pleitear que "a concessão da segurança no writ conexo levará, como consectário lógico, à concessão da segurança nesta demanda, pois as penas restarão prejudicada.". Foi proferida sentença denegando a segurança. Foi interposta Apelação pelo Consórcio. Em 13/6/2023, o DNIT apresentou contrrazões. Em 12/9/2023, o MPF se manifestou. Em 12/9/2023, os autos ficaram conclusos.
***
Em razão de Processo Administrativo de Revisão de Pena, apresentada pela Alta perante o DNIT-Sede, a pena de impedimento foi reduzida para 24 meses, dos quais, segundo a decisão do DNIT. Considerando os cálculos apresentados ao DNIT, a penalidade de impedimento deverá estar integralmente cumprida até o fim do promeiro semestre de 2026, estando a se aguardar o cálculo do DNIT. Após o julgamento do pedido de revisão de pena, foi gerada GRU no valor de R$ 1.760.543,10 para pagamento até 22/02/2026. Em razão disso, foi requerida a concessão de medida liminar para suspender a exigência da multa, considerando a existÊncia de seguro garantia no caso.
Proveniência: Histórico completo da origem: SMP!11 | ID SMP-007 | A coluna D contém atualização geral informada na origem; não comprova recebimento do andamento | Não houve consulta a tribunal nem atualização externa | Data estruturada do movimento não confiável/ausente; texto original preservado</t>
  </si>
  <si>
    <t>A Alta foi citada e apresentou defesa, demonstrando, além de outras razões, que não assumiu a obrigção objeto do contrato tratado na cobrança, bem como que não lhe deve ser imputada responsabilidade.
O processo aguarda a citação de todos os Réus, para que seja iniciada a fase de provas.</t>
  </si>
  <si>
    <t>SMP!12 | ID SMP-008</t>
  </si>
  <si>
    <t>Histórico original integral:
A Alta foi citada e apresentou defesa, demonstrando, além de outras razões, que não assumiu a obrigção objeto do contrato tratado na cobrança, bem como que não lhe deve ser imputada responsabilidade.
O processo aguarda a citação de todos os Réus, para que seja iniciada a fase de provas.
Proveniência: Histórico completo da origem: SMP!12 | ID SMP-008 | A coluna D contém atualização geral informada na origem; não comprova recebimento do andamento | Não houve consulta a tribunal nem atualização externa | Data estruturada do movimento não confiável/ausente; texto original preservado</t>
  </si>
  <si>
    <t>Foi apresentado pedido de desistência do MS, em razão do atingimento do seu objeto, tendo, então, sido a questão da retenção sido objeto de um novo MS.</t>
  </si>
  <si>
    <t>SMP!13 | ID SMP-009</t>
  </si>
  <si>
    <t>Histórico original integral:
Foi apresentado pedido de desistência do MS, em razão do atingimento do seu objeto, tendo, então, sido a questão da retenção sido objeto de um novo MS.
Proveniência: Histórico completo da origem: SMP!13 | ID SMP-009 | A coluna D contém atualização geral informada na origem; não comprova recebimento do andamento | Não houve consulta a tribunal nem atualização externa | Data estruturada do movimento não confiável/ausente; texto original preservado</t>
  </si>
  <si>
    <t>A ANTT foi citada e semanifestou, informando que finalmente decidiu a questão, aplicando pena de multa de aproximadamente R$21 mil, sendo liberado o reamenscente de R$180 mil ao Consórcio. Foi profedia a sentença homologando o pedido de desistência do processo, aguarda-se arquivamento. [...] histórico completo em Observações</t>
  </si>
  <si>
    <t>SMP!14 | ID SMP-010</t>
  </si>
  <si>
    <t>Histórico original integral:
A ANTT foi citada e semanifestou, informando que finalmente decidiu a questão, aplicando pena de multa de aproximadamente R$21 mil, sendo liberado o reamenscente de R$180 mil ao Consórcio. Foi profedia a sentença homologando o pedido de desistência do processo, aguarda-se arquivamento.
27/01/2026 - AGUARDANDO ARQUIVAMENTO DE ACORDO COM RELATÓRIO SETEMBRO/2025
Proveniência: Histórico completo da origem: SMP!14 | ID SMP-010 | A coluna D contém atualização geral informada na origem; não comprova recebimento do andamento | Não houve consulta a tribunal nem atualização externa | Data estruturada do movimento não confiável/ausente; texto original preservado</t>
  </si>
  <si>
    <t>SMP!15 | ID SMP-011</t>
  </si>
  <si>
    <t>Histórico original integral:
A ação cívil pública de improbidade administrativa e reparação de danos, decorre de iniciativa do TCU envolvendo 06 (seis) contratos administrativos entre o DNER e a empresa STRATA engenharia (contratos PG-045/98, PG-121/98PG-017/98,PG-175/98,PG-016/98ePG-176/98) com dispensa indevida de licitação. Relativamente ao Sr. Camilo, a ação alega que atuou em conluio com os servidores públicos já nominados, na prática dos atos ilícitos descritos nesta peça, beneficiando-se diretamente dos mesmos
Proveniência: Histórico completo da origem: SMP!15 | ID SMP-011 | A coluna D contém atualização geral informada na origem; não comprova recebimento do andamento | Não houve consulta a tribunal nem atualização externa | Data estruturada do movimento não confiável/ausente; texto original preservado</t>
  </si>
  <si>
    <t>17/06/2026 - Assinado o termo de confissão de divida. [...] histórico completo em Observações</t>
  </si>
  <si>
    <t>SMP!16 | ID SMP-012</t>
  </si>
  <si>
    <t>Histórico original integral:
17/06/2026 - Assinado o termo de confissão de divida.
30/03/2026 - DNIT acatou o pedido de parcelamento da multa  em 12 parcelas
13/02/2026 - Oficio decidindo aplicar multa no valor de R$3.946,68, referente a 15% do valor da parte indadimplente, refletida nos valoresindicados para ressarcimento, no montante de R$26.311,23, ambos os valores demonstrados na Nota Técnica 15 (20432955), totalizando o valor deR$30.257,91. 
26/01/2026 - Foi apresentada Nota Técnica opinando pela aplicação da pena de advertência e multa. Foi apresentada Defesa, estando o caso a aguardar julgamento.
Proveniência: Histórico completo da origem: SMP!16 | ID SMP-012 | A coluna D contém atualização geral informada na origem; não comprova recebimento do andamento | Não houve consulta a tribunal nem atualização externa</t>
  </si>
  <si>
    <t>22/9/2025 - foi proposta ação judicial questionando a multa, por ter sido aplicada em duplicidade sobre os mesmos fatos e por não haver inadimplemento na avaliação do Consórcio. Foi concedida a medida liminar para suspender a cobrança da multa. O DNIT foi citado e apresentou Contestação, que foi Impugnada pelo Consórcio. O caso aguarda decisão sobre as provas que serão produzidas.</t>
  </si>
  <si>
    <t>SMP!17 | ID SMP-013</t>
  </si>
  <si>
    <t>Histórico original integral:
22/9/2025 - foi proposta ação judicial questionando a multa, por ter sido aplicada em duplicidade sobre os mesmos fatos e por não haver inadimplemento na avaliação do Consórcio. Foi concedida a medida liminar para suspender a cobrança da multa. O DNIT foi citado e apresentou Contestação, que foi Impugnada pelo Consórcio. O caso aguarda decisão sobre as provas que serão produzidas.
Proveniência: Histórico completo da origem: SMP!17 | ID SMP-013 | A coluna D contém atualização geral informada na origem; não comprova recebimento do andamento | Não houve consulta a tribunal nem atualização externa | Data estruturada do movimento não confiável/ausente; texto original preservado</t>
  </si>
  <si>
    <t>PAAR instaurado pelo DNIT envolvendo o Contrato de Supervisão 382/2013, por alegada falha na supervisão do Contrato de Obras 369/2017, da Vilasa Construtora Ltda. Foi proferida decisão final apenando o Consórcio com 6 meses de suspensão do direito de licitar (já cumpridos) e multa no valor atualizado de R$1.025.576,73 (9/2025).</t>
  </si>
  <si>
    <t>SMP!18 | ID SMP-014</t>
  </si>
  <si>
    <t>Histórico original integral:
PAAR instaurado pelo DNIT envolvendo o Contrato de Supervisão 382/2013, por alegada falha na supervisão do Contrato de Obras 369/2017, da Vilasa Construtora Ltda. Foi proferida decisão final apenando o Consórcio com 6 meses de suspensão do direito de licitar (já cumpridos) e multa no valor atualizado de R$1.025.576,73 (9/2025).
Proveniência: Histórico completo da origem: SMP!18 | ID SMP-014 | A coluna D contém atualização geral informada na origem; não comprova recebimento do andamento | Não houve consulta a tribunal nem atualização externa | Data estruturada do movimento não confiável/ausente; texto original preservado</t>
  </si>
  <si>
    <t>23/06/2026 - Apresentação da defesa</t>
  </si>
  <si>
    <t>SMP!19 | ID SMP-015</t>
  </si>
  <si>
    <t>Histórico original integral:
23/06/2026 - Apresentação da defesa
Proveniência: Histórico completo da origem: SMP!19 | ID SMP-015 | A coluna D contém atualização geral informada na origem; não comprova recebimento do andamento | Não houve consulta a tribunal nem atualização externa | Inconsistência original: data inicial do histórico posterior à data de atualização geral</t>
  </si>
  <si>
    <t>Defesa Administrativa apresentada dia 15/10/2021
Sem informação de julgamento até aqui por parte da Administração. [...] histórico completo em Observações</t>
  </si>
  <si>
    <t>LIPORACE!5 | ID LIP-001</t>
  </si>
  <si>
    <t>Histórico original integral:
Defesa Administrativa apresentada dia 15/10/2021
Sem informação de julgamento até aqui por parte da Administração.
23.12.2024 – Arquivamento definitivo do Processo Administrativo n.º 51402.108343/2015-14
Proveniência: Histórico completo da origem: LIPORACE!5 | ID LIP-001 | A coluna D contém atualização geral informada na origem; não comprova recebimento do andamento | Não houve consulta a tribunal nem atualização externa | Data estruturada do movimento não confiável/ausente; texto original preservado</t>
  </si>
  <si>
    <t>Defesa Administrativa apresentada dia 05/07/2021(sem decisão). - Houve arquivamento.
Julho de 2021 – Defesa Prévia apresentada após reabertura.
Junho/2021- MS para suspender as medidas cautelares exaradas no Despacho Decisório n° 03/2021/SUGAT-VALEC/DIREM-VALEC (e qualquer futuro ato administrativo da mesma natureza), liberando-se os créditos retidos e cancelando o acionamento da garantia contratual, até que o mérito fosse discutido. Liminar indeferida. Desistência do MS diante do alto custo de honorários de sucumbência possíveis.
Em 24/01/2022 realizado novo agendamento de reunião com Agente [...] histórico completo em Observações</t>
  </si>
  <si>
    <t>LIPORACE!6 | ID LIP-002</t>
  </si>
  <si>
    <t>Histórico original integral:
Defesa Administrativa apresentada dia 05/07/2021(sem decisão). - Houve arquivamento.
Julho de 2021 – Defesa Prévia apresentada após reabertura.
Junho/2021- MS para suspender as medidas cautelares exaradas no Despacho Decisório n° 03/2021/SUGAT-VALEC/DIREM-VALEC (e qualquer futuro ato administrativo da mesma natureza), liberando-se os créditos retidos e cancelando o acionamento da garantia contratual, até que o mérito fosse discutido. Liminar indeferida. Desistência do MS diante do alto custo de honorários de sucumbência possíveis.
Em 24/01/2022 realizado novo agendamento de reunião com Agente de Instrução, porém processo em análise.
Sem intimação até então ao escritório. Sem informação da ALTA.
- Processo parado, chance de prescrição intercorrente.
10/07/25 - Despacho recebido a decisão de arquivamento definitivo do processo
Proveniência: Histórico completo da origem: LIPORACE!6 | ID LIP-002 | A coluna D contém atualização geral informada na origem; não comprova recebimento do andamento | Não houve consulta a tribunal nem atualização externa | Data estruturada do movimento não confiável/ausente; texto original preservado</t>
  </si>
  <si>
    <t>27/03/2026 - Intimação para alegações finais.
Defesa Administrativa apresentada dia 16/06/2021 
Processo em análise, aguardando posicionamento da área técnica da VALEC
Sem intimação do escritório. Sem informação da ALTA.
- Processo parado, chance de prescrição intercorrente.</t>
  </si>
  <si>
    <t>LIPORACE!7 | ID LIP-003</t>
  </si>
  <si>
    <t>Histórico original integral:
27/03/2026 - Intimação para alegações finais.
Defesa Administrativa apresentada dia 16/06/2021 
Processo em análise, aguardando posicionamento da área técnica da VALEC
Sem intimação do escritório. Sem informação da ALTA.
- Processo parado, chance de prescrição intercorrente.
Proveniência: Histórico completo da origem: LIPORACE!7 | ID LIP-003 | A coluna D contém atualização geral informada na origem; não comprova recebimento do andamento | Não houve consulta a tribunal nem atualização externa</t>
  </si>
  <si>
    <t>Em primeira instância, a juíza não concedeu a liminar para suspender o CADIN, por isso há um Agravo pendente de julgamento.
Despacho com JUIZ FEDERAL CONVOCADO GEORGE RIBEIRO DA SILVA feito em Novembro de 2023. Sem decisão de mérito ainda na Justiça. Concluso para julgamento desde julho de 2024.
Agravo de Instrumento n° 1036653-13.2023.4.01.0000. Sem decisão.</t>
  </si>
  <si>
    <t>LIPORACE!8 | ID LIP-004</t>
  </si>
  <si>
    <t>Histórico original integral:
Em primeira instância, a juíza não concedeu a liminar para suspender o CADIN, por isso há um Agravo pendente de julgamento.
Despacho com JUIZ FEDERAL CONVOCADO GEORGE RIBEIRO DA SILVA feito em Novembro de 2023. Sem decisão de mérito ainda na Justiça. Concluso para julgamento desde julho de 2024.
Agravo de Instrumento n° 1036653-13.2023.4.01.0000. Sem decisão.
Proveniência: Histórico completo da origem: LIPORACE!8 | ID LIP-004 | A coluna D contém atualização geral informada na origem; não comprova recebimento do andamento | Não houve consulta a tribunal nem atualização externa | Data estruturada do movimento não confiável/ausente; texto original preservado</t>
  </si>
  <si>
    <t>Defesa Administrativa apresentada em 31.05.2021;
Complemento da Defesa em 20.10.2021.
Alegações Finais apresentadas em 06.12.2021.
Decisão. Recurso apresentado em 29.09.2022
Nova manifestação nos autos para provocar nulidade em setembro de 2023 [...] histórico completo em Observações</t>
  </si>
  <si>
    <t>LIPORACE!9 | ID LIP-005</t>
  </si>
  <si>
    <t>Histórico original integral:
Defesa Administrativa apresentada em 31.05.2021;
Complemento da Defesa em 20.10.2021.
Alegações Finais apresentadas em 06.12.2021.
Decisão. Recurso apresentado em 29.09.2022
Nova manifestação nos autos para provocar nulidade em setembro de 2023
04.04.2025 - Decisão Recursal: IMPROCEDENTE a pretensão administrativa de constituição de débito formulada nos autos.
Proveniência: Histórico completo da origem: LIPORACE!9 | ID LIP-005 | A coluna D contém atualização geral informada na origem; não comprova recebimento do andamento | Não houve consulta a tribunal nem atualização externa | Data estruturada do movimento não confiável/ausente; texto original preservado</t>
  </si>
  <si>
    <t>Defesa Administrativa apresentada em 31.05.2021;
- Complemento da Defesa em 20.10.2021.
- Alegações Finais apresentadas em 14.12.2021.
- Decisão. Recurso já apresentado em 25.08.2022:
Decisão março/2024 - negado anulação parcial das medições decorrentes de pagamentos irregulares.
Tutela de urgência indeferida.
agosto/2026 - Houve um pedido de revisão da decisão, mas foi negado. Sem previsão de andamento dos autos no TRF.</t>
  </si>
  <si>
    <t>LIPORACE!10 | ID LIP-006</t>
  </si>
  <si>
    <t>Histórico original integral:
Defesa Administrativa apresentada em 31.05.2021;
- Complemento da Defesa em 20.10.2021.
- Alegações Finais apresentadas em 14.12.2021.
- Decisão. Recurso já apresentado em 25.08.2022:
Decisão março/2024 - negado anulação parcial das medições decorrentes de pagamentos irregulares.
Tutela de urgência indeferida.
agosto/2026 - Houve um pedido de revisão da decisão, mas foi negado. Sem previsão de andamento dos autos no TRF.
Proveniência: Histórico completo da origem: LIPORACE!10 | ID LIP-006 | A coluna D contém atualização geral informada na origem; não comprova recebimento do andamento | Não houve consulta a tribunal nem atualização externa | Data estruturada do movimento não confiável/ausente; texto original preservado</t>
  </si>
  <si>
    <t>Defesa Administrativa apresentada em 31.05.2021;
- Complemento da Defesa em 20.10.2021.
- Alegações Finais apresentadas em 27.12.2021.
- Decisão - Procedente a pretensão administrativa.
Recurso apresentado em 19.09.2022
Decisão março/2024 - negado anulação parcial das medições decorrentes de pagamentos irregulares.
Agravo de instrumento interposto em junho/2024 ainda sem julgamento. (1018988-47.2024.01.0000)</t>
  </si>
  <si>
    <t>LIPORACE!11 | ID LIP-007</t>
  </si>
  <si>
    <t>Histórico original integral:
Defesa Administrativa apresentada em 31.05.2021;
- Complemento da Defesa em 20.10.2021.
- Alegações Finais apresentadas em 27.12.2021.
- Decisão - Procedente a pretensão administrativa.
Recurso apresentado em 19.09.2022
Decisão março/2024 - negado anulação parcial das medições decorrentes de pagamentos irregulares.
Agravo de instrumento interposto em junho/2024 ainda sem julgamento. (1018988-47.2024.01.0000)
Proveniência: Histórico completo da origem: LIPORACE!11 | ID LIP-007 | A coluna D contém atualização geral informada na origem; não comprova recebimento do andamento | Não houve consulta a tribunal nem atualização externa | Data estruturada do movimento não confiável/ausente; texto original preservado</t>
  </si>
  <si>
    <t>(24/01/2022 ) Alegações finais apresentadas - Aguardando trâmite para julgamento [...] histórico completo em Observações</t>
  </si>
  <si>
    <t>LIPORACE!12 | ID LIP-008</t>
  </si>
  <si>
    <t>Histórico original integral:
(24/01/2022 ) Alegações finais apresentadas - Aguardando trâmite para julgamento 
05/10/2023 - Pretensão da VALEC IMPROCEDENTE - Defesa acatada
Proveniência: Histórico completo da origem: LIPORACE!12 | ID LIP-008 | A coluna D contém atualização geral informada na origem; não comprova recebimento do andamento | Não houve consulta a tribunal nem atualização externa | Data estruturada do movimento não confiável/ausente; texto original preservado</t>
  </si>
  <si>
    <t>Defesa Administrativa apresentada em 18/03/2020 
Sem decisão nos autos quanto a defesa
Já temos ciência de êxito parcial quanto à exclusão da pena de multa (honorários =
42.000.000,00*0,05*0,04 = 84.000,00). Processo caminhou sem a intimação da Alta a
partir das Alegações Finais. Haveria como anular a decisão e dar baixa no Cadin para
este caso específico. Há potencial de baixa em razão dos valores já reembolsados pela
brita.
- Análise feita em 2025, empresa decidiu por não provocar e seguir até que a INFRA 
intime a empresa da decisão final.</t>
  </si>
  <si>
    <t>LIPORACE!13 | ID LIP-009</t>
  </si>
  <si>
    <t>Histórico original integral:
Defesa Administrativa apresentada em 18/03/2020 
Sem decisão nos autos quanto a defesa
Já temos ciência de êxito parcial quanto à exclusão da pena de multa (honorários =
42.000.000,00*0,05*0,04 = 84.000,00). Processo caminhou sem a intimação da Alta a
partir das Alegações Finais. Haveria como anular a decisão e dar baixa no Cadin para
este caso específico. Há potencial de baixa em razão dos valores já reembolsados pela
brita.
- Análise feita em 2025, empresa decidiu por não provocar e seguir até que a INFRA 
intime a empresa da decisão final.
Proveniência: Histórico completo da origem: LIPORACE!13 | ID LIP-009 | A coluna D contém atualização geral informada na origem; não comprova recebimento do andamento | Não houve consulta a tribunal nem atualização externa | Data estruturada do movimento não confiável/ausente; texto original preservado</t>
  </si>
  <si>
    <t>20.04.08 - Sentencial parcial
22.04.12 - Acórdão [...] histórico completo em Observações</t>
  </si>
  <si>
    <t>ENVER!5 | ID ENV-001</t>
  </si>
  <si>
    <t>Histórico original integral:
20.04.08 - Sentencial parcial
22.04.12 - Acórdão
30/05/2022 - Trânsito em julgado
22.09.26 - Certidão de trânsito em julgado
Proveniência: Histórico completo da origem: ENVER!5 | ID ENV-001 | A coluna D contém atualização geral informada na origem; não comprova recebimento do andamento | Não houve consulta a tribunal nem atualização externa | Data estruturada do movimento não confiável/ausente; texto original preservado</t>
  </si>
  <si>
    <t>Audiência de instrução marcada para 09/04/2026 àS 10H [...] histórico completo em Observações</t>
  </si>
  <si>
    <t>P. CALMON!5 | ID PCA-001</t>
  </si>
  <si>
    <t>Histórico original integral:
Audiência de instrução marcada para 09/04/2026 àS 10H
14/11/2019 - OCORRÊNCIA: Mandado Juntada de Mandados-20180683005375 - Mandado
08/02/2019 - OCORRÊNCIA: Defesa Prévia Juntada de Petição - 20190680000005 - Petição
(outras)
08/02/2019 - OCORRÊNCIA: Defesa Prévia Juntada de Petição - 20190680000118 - Petição
(outras)
Proveniência: Histórico completo da origem: P. CALMON!5 | ID PCA-001 | A coluna D contém atualização geral informada na origem; não comprova recebimento do andamento | Não houve consulta a tribunal nem atualização externa | Data estruturada do movimento não confiável/ausente; texto original preservado</t>
  </si>
  <si>
    <t>O escritório apresentou manifestação em 16/07/2025 pedindo julgamento antecipado da lide e apresentando decisão favorável para Alta proferida em processo similar (Proc. nº 1047703-21.2023.4.01.3400), no qual a empresa e o DNIT também fi guram como partes. 
Processo encontra-se concluso para julgamento desde 29/03/2023
Concessão da liminar com suspensão de pena no dia 24/11/2022</t>
  </si>
  <si>
    <t>BRANDÃO!5 | ID BRA-001</t>
  </si>
  <si>
    <t>Histórico original integral:
O escritório apresentou manifestação em 16/07/2025 pedindo julgamento antecipado da lide e apresentando decisão favorável para Alta proferida em processo similar (Proc. nº 1047703-21.2023.4.01.3400), no qual a empresa e o DNIT também fi guram como partes. 
Processo encontra-se concluso para julgamento desde 29/03/2023
Concessão da liminar com suspensão de pena no dia 24/11/2022
Proveniência: Histórico completo da origem: BRANDÃO!5 | ID BRA-001 | A coluna D contém atualização geral informada na origem; não comprova recebimento do andamento | Não houve consulta a tribunal nem atualização externa | Data estruturada do movimento não confiável/ausente; texto original preservado</t>
  </si>
  <si>
    <t>18/06/2025 - Petição intercorrente juntada por DNIT, pedindo prioridade na apreciação do processo, no entanto, a petição ainda consta não apreciada.
O processo encontra-se concluso para decisão desde 29/03/2023.</t>
  </si>
  <si>
    <t>BRANDÃO!6 | ID BRA-002</t>
  </si>
  <si>
    <t>Histórico original integral:
18/06/2025 - Petição intercorrente juntada por DNIT, pedindo prioridade na apreciação do processo, no entanto, a petição ainda consta não apreciada.
O processo encontra-se concluso para decisão desde 29/03/2023.
Proveniência: Histórico completo da origem: BRANDÃO!6 | ID BRA-002 | A coluna D contém atualização geral informada na origem; não comprova recebimento do andamento | Não houve consulta a tribunal nem atualização externa</t>
  </si>
  <si>
    <t>22/09/2026 - obtivemos êxito integral no processo da Alta Engenharia x DNIT (BR 156/AP - Lote 2) [...] histórico completo em Observações</t>
  </si>
  <si>
    <t>CAVALCANTI!5 | ID CAV-001</t>
  </si>
  <si>
    <t>Histórico original integral:
22/09/2026 - obtivemos êxito integral no processo da Alta Engenharia x DNIT (BR 156/AP - Lote 2)
28/07/2026 - O julgado foi favorável à Alta. Recurso de Apelação do DNIT negado provimento.
09/07/2026 - Processo pautado para julgamento pelo TRF1 no dia 15/07. 
Concessão da liminar com suspensão de pena no dia 19/06/2023 
Apelação interposta pelo DNIT, com contrarrazões já apresentada pela ALTA, pendente de julgamento.
Proveniência: Histórico completo da origem: CAVALCANTI!5 | ID CAV-001 | A coluna D contém atualização geral informada na origem; não comprova recebimento do andamento | Não houve consulta a tribunal nem atualização externa</t>
  </si>
  <si>
    <t>CAVALCANTI!6 | ID CAV-002</t>
  </si>
  <si>
    <t>Histórico original integral:
O escritório apresentou manifestação em 16/07/2025 pedindo julgamento antecipado da lide e apresentando decisão favorável para Alta proferida em processo similar (Proc. nº 1047703-21.2023.4.01.3400), no qual a empresa e o DNIT também fi guram como partes. 
Processo encontra-se concluso para julgamento desde 29/03/2023
Concessão da liminar com suspensão de pena no dia 24/11/2022
Proveniência: Histórico completo da origem: CAVALCANTI!6 | ID CAV-002 | A coluna D contém atualização geral informada na origem; não comprova recebimento do andamento | Não houve consulta a tribunal nem atualização externa | Data estruturada do movimento não confiável/ausente; texto original preservado</t>
  </si>
  <si>
    <t>CAVALCANTI!7 | ID CAV-003</t>
  </si>
  <si>
    <t>Histórico original integral:
18/06/2025 - Petição intercorrente juntada por DNIT, pedindo prioridade na apreciação do processo, no entanto, a petição ainda consta não apreciada.
O processo encontra-se concluso para decisão desde 29/03/2023.
Proveniência: Histórico completo da origem: CAVALCANTI!7 | ID CAV-003 | A coluna D contém atualização geral informada na origem; não comprova recebimento do andamento | Não houve consulta a tribunal nem atualização externa</t>
  </si>
  <si>
    <t>O processo permanece suspenso, aguardando o julgamento definitivo do Tema Repetitivo 1079 pelo STJ. [...] histórico completo em Observações</t>
  </si>
  <si>
    <t>J. CARVALHO!5 | ID JCA-001</t>
  </si>
  <si>
    <t>Histórico original integral:
O processo permanece suspenso, aguardando o julgamento definitivo do Tema Repetitivo 1079 pelo STJ.
05/09/2025 - Redistribuição por sorteio por força de reestruturação administrativa
01/05/2025 - Migração de sistema
18/07/2023 - movimentação formalizando a suspensão condicional do processo, por depender do julgamento de outra causa em instância superior 
02/03/2023 - Intimação da decisão 
17/02/2023 - foi proferido despacho determinando a suspensão do processo, em razão de decisão do STJ no REsp nº 1.898.532/CE, afetado como representativo da controvérsia (Tema Repetitivo 1079), determinando a suspensão nacional dos processos que tratam da mesma matéria .
Proveniência: Histórico completo da origem: J. CARVALHO!5 | ID JCA-001 | A coluna D contém atualização geral informada na origem; não comprova recebimento do andamento | Não houve consulta a tribunal nem atualização externa | Data estruturada do movimento não confiável/ausente; texto original preservado</t>
  </si>
  <si>
    <t>Pendente da manifestação da Alta. [...] histórico completo em Observações</t>
  </si>
  <si>
    <t>SACHA!5 | ID SAC-001</t>
  </si>
  <si>
    <t>Histórico original integral:
Pendente da manifestação da Alta.
19.12.2025 - Despacho intimando a Alta a apresentar Contrarrazões à Apelação.
18.09.2025 - Apelação interposta pelo Município.
31.07.2025 - Sentença favorável - Procedente o pedido inicial para desconstituir o crédito tributário de ISSQN.
15.07.2024 - Petição protocolada pela Alta informando que não tem mais provas a produzir, senão os documentos já carreados aos autos 
01.07.2024 - Município sem provas a produzir
29.12.2023 - Contestação apresentada pelo Município de Belo Horizonte.
14.12.2023 - Decisão Liminar favorável publicada.
23.11.2023 - Distribuição.
Proveniência: Histórico completo da origem: SACHA!5 | ID SAC-001 | A coluna D contém atualização geral informada na origem; não comprova recebimento do andamento | Não houve consulta a tribunal nem atualização externa | Data estruturada do movimento não confiável/ausente; texto original preservado</t>
  </si>
  <si>
    <t>24.05.2024 - Petição protocolada pelo Município de Belo Horizonte manifestando ciência do despacho de ID 10233679717, que determinou a suspensão do feito. [...] histórico completo em Observações</t>
  </si>
  <si>
    <t>SACHA!6 | ID SAC-002</t>
  </si>
  <si>
    <t>Histórico original integral:
24.05.2024 - Petição protocolada pelo Município de Belo Horizonte manifestando ciência do despacho de ID 10233679717, que determinou a suspensão do feito.
24.05.2024 - Processo Suspenso ou Sobrestado.
24.05.2024 - Decisão suspendendo o feito até o transito em julgado da Ação Anulatória.
13.05.2024 - Conclusos para despacho.
23.04.2024 - Petição protocolada pelo Município de Belo Horizonte requerendo, nos termos do art. 151, inciso V, do CTN, a SUSPENSÃO do feito pelo prazo de um ano.
23.09.2023 - Distribuição.
Proveniência: Histórico completo da origem: SACHA!6 | ID SAC-002 | A coluna D contém atualização geral informada na origem; não comprova recebimento do andamento | Não houve consulta a tribunal nem atualização externa | Data estruturada do movimento não confiável/ausente; texto original preservado</t>
  </si>
  <si>
    <t>Oitiva do Coordenador Franz na data de 20/06/2023</t>
  </si>
  <si>
    <t>FROIS!5 | ID FRO-001</t>
  </si>
  <si>
    <t>Histórico original integral:
Oitiva do Coordenador Franz na data de 20/06/2023
Proveniência: Histórico completo da origem: FROIS!5 | ID FRO-001 | A coluna D contém atualização geral informada na origem; não comprova recebimento do andamento | Não houve consulta a tribunal nem atualização externa | Data estruturada do movimento não confiável/ausente; texto original preservado</t>
  </si>
  <si>
    <t>Processo sigiloso, sem possibilidade de acesso às decisões.</t>
  </si>
  <si>
    <t>FROIS!6 | ID FRO-002</t>
  </si>
  <si>
    <t>Histórico original integral:
Processo sigiloso, sem possibilidade de acesso às decisões.
Proveniência: Histórico completo da origem: FROIS!6 | ID FRO-002 | A coluna D contém atualização geral informada na origem; não comprova recebimento do andamento | Não houve consulta a tribunal nem atualização externa | Data estruturada do movimento não confiável/ausente; texto original preservado</t>
  </si>
  <si>
    <t>Em fase de recurso interposto pelas partes condenadas.</t>
  </si>
  <si>
    <t>FROIS!7 | ID FRO-003</t>
  </si>
  <si>
    <t>Histórico original integral:
Em fase de recurso interposto pelas partes condenadas.
Proveniência: Histórico completo da origem: FROIS!7 | ID FRO-003 | A coluna D contém atualização geral informada na origem; não comprova recebimento do andamento | Não houve consulta a tribunal nem atualização externa | Data estruturada do movimento não confiável/ausente; texto original preservado</t>
  </si>
  <si>
    <t>Enviamos as informações para que as cópias dos documentos fossem posteriormente solicitadas ao DNIT. Contudo, a Polícia Federal expediu novo ofício requisitando os documentos; assim, será encaminhada nova resposta pelo advogado criminalista.</t>
  </si>
  <si>
    <t>FROIS!8 | ID FRO-004</t>
  </si>
  <si>
    <t>Histórico original integral:
Enviamos as informações para que as cópias dos documentos fossem posteriormente solicitadas ao DNIT. Contudo, a Polícia Federal expediu novo ofício requisitando os documentos; assim, será encaminhada nova resposta pelo advogado criminalista.
Proveniência: Histórico completo da origem: FROIS!8 | ID FRO-004 | A coluna D contém atualização geral informada na origem; não comprova recebimento do andamento | Não houve consulta a tribunal nem atualização externa | Data estruturada do movimento não confiável/ausente; texto original preservado</t>
  </si>
  <si>
    <t>03/12/2025 - Decisão de multa de R$13.177,60 [...] histórico completo em Observações</t>
  </si>
  <si>
    <t>FROIS!9 | ID FRO-005</t>
  </si>
  <si>
    <t>Histórico original integral:
03/12/2025 - Decisão de multa de R$13.177,60
26/12/2024 - Defesa administrativa
Proveniência: Histórico completo da origem: FROIS!9 | ID FRO-005 | A coluna D contém atualização geral informada na origem; não comprova recebimento do andamento | Não houve consulta a tribunal nem atualização externa</t>
  </si>
  <si>
    <t>28/04/2026 - O parecer do MP propõe o julgamento das contas como regulares com ressalva, revogação da cautelar de suspesão de pagamentos e expedição de ciência ao DNIT para evitar a aprovação de projetos sem respaldo técnico-normativo adequado.
O processo encontra-se na fase instrutória da TCE, pendente de elaboração do relatório da Unidade Técnica. Esta etapa está focada na consolidação dos elementos de
prova para a formação da convicção sobre a responsabilidade dos envolvidos e a caracterização do eventual dano ao erário.
A última manifestação processual adveio de um Despacho, no qual se con [...] histórico completo em Observações</t>
  </si>
  <si>
    <t>EHJC!5 | ID EHJ-001</t>
  </si>
  <si>
    <t>Histórico original integral:
28/04/2026 - O parecer do MP propõe o julgamento das contas como regulares com ressalva, revogação da cautelar de suspesão de pagamentos e expedição de ciência ao DNIT para evitar a aprovação de projetos sem respaldo técnico-normativo adequado.
O processo encontra-se na fase instrutória da TCE, pendente de elaboração do relatório da Unidade Técnica. Esta etapa está focada na consolidação dos elementos de
prova para a formação da convicção sobre a responsabilidade dos envolvidos e a caracterização do eventual dano ao erário.
A última manifestação processual adveio de um Despacho, no qual se consignou que não houve prescrição das pretensões punitiva e ressarcitória. Determinou-se, assim, a restituição dos autos à AudRodoviaAviação para prosseguimento das análises das defesas e demais medidas necessárias ao exame do mérito
Proveniência: Histórico completo da origem: EHJC!5 | ID EHJ-001 | A coluna D contém atualização geral informada na origem; não comprova recebimento do andamento | Não houve consulta a tribunal nem atualização externa | Inconsistência original: data inicial do histórico posterior à data de atualização geral</t>
  </si>
  <si>
    <t>Em 09.08.2022 o DNIT enviou ofício notificação sobre a rescisão unilateral ao Contrato UT/12-00955/2018 (SEI 12145252);
Posteriormente, apresentamos (Consórcio) defesa/considerações ao ofício supramencionado, concordando com a rescisão, mas discordando quanto aos supostos motivos de rescisão elencados pelo órgão (SEI 123225492);
Após, o DNIT proferiu decisão administrativa de primeira instância, rejeitando os pedidos feitos, decidindo pela rescisão unilateral do contrato e com as consequências indicadas no artigo 80 da Lei 8.666/1993 (SEI 12447012);
Em 16.09.2022 o Consórcio informa sobre a pa [...] histórico completo em Observações</t>
  </si>
  <si>
    <t>ROMANHOL!5 | ID ROM-001</t>
  </si>
  <si>
    <t>Histórico original integral:
Em 09.08.2022 o DNIT enviou ofício notificação sobre a rescisão unilateral ao Contrato UT/12-00955/2018 (SEI 12145252);
Posteriormente, apresentamos (Consórcio) defesa/considerações ao ofício supramencionado, concordando com a rescisão, mas discordando quanto aos supostos motivos de rescisão elencados pelo órgão (SEI 123225492);
Após, o DNIT proferiu decisão administrativa de primeira instância, rejeitando os pedidos feitos, decidindo pela rescisão unilateral do contrato e com as consequências indicadas no artigo 80 da Lei 8.666/1993 (SEI 12447012);
Em 16.09.2022 o Consórcio informa sobre a paralisação das atividades desempenhadas, diante da notificação de Rescisão Unilateral (SEI 12492388);
Em 06.10.2022 é publicado no DOU o aviso da rescisão unilateral (SEI 12665285);
Diante da publicação da rescisão, apresentamos Recurso Administrativo, solicitando a reforma da decisão administrativa, bem como das penalidades previstas no art. 80 (SEI 12822994);
Em 14.12.2022 é emitido despacho decisório pela Superintendência Regional DNIT GO/DF, no qual opina pela rejeição do recurso administrativo, bem como pela rescisão unilateral do contrato (SEI 13218649);
31/03/2023 - Processo está com o Coordenador de Acompanhamento de Obras (Sr. Guilherme Pacheco) o qual irá emitir Nota Técnica antes da apreciação do Diretor
21/02/2025 - Recurso foi julgado improcedente. Paralelamente, há duas ações judiciais, em trâmite no TRF1, sob os protocolos nº 1052191-78.2021.4.01.3500 e 1029368-13.2021.4.01.3500.
Ambas estão sob patrocínio do Dr. Arthur Villamil Martins, foram julgadas improcedentes e estão em fase de recurso junto ao Tribunal.
Proveniência: Histórico completo da origem: ROMANHOL!5 | ID ROM-001 | A coluna D contém atualização geral informada na origem; não comprova recebimento do andamento | Não houve consulta a tribunal nem atualização externa | Data estruturada do movimento não confiável/ausente; texto original preservado</t>
  </si>
  <si>
    <t>Após a fase de julgamento das propostas técnicas e de preços, o Consórcio Parahyba 
foi classificado em primeiro lugar, com nota 97,18, enquanto o Consórcio Rodovias C_M_P 
obteve a segunda colocação, com nota 93,22. O Consórcio Parahyba foi convocado para 
apresentar planilha de preços e documentos de habilitação, tendo sua proposta aceita e sendo 
habilitado em 17 de abril de 2026.
O Consórcio Rodovias C_M_P interpôs recurso administrativo tempestivo, apontando 
irregularidades insanáveis na participação do Consórcio Parahyba.</t>
  </si>
  <si>
    <t>NAZIF!5 | ID NAZ-001</t>
  </si>
  <si>
    <t>Histórico original integral:
Após a fase de julgamento das propostas técnicas e de preços, o Consórcio Parahyba 
foi classificado em primeiro lugar, com nota 97,18, enquanto o Consórcio Rodovias C_M_P 
obteve a segunda colocação, com nota 93,22. O Consórcio Parahyba foi convocado para 
apresentar planilha de preços e documentos de habilitação, tendo sua proposta aceita e sendo 
habilitado em 17 de abril de 2026.
O Consórcio Rodovias C_M_P interpôs recurso administrativo tempestivo, apontando 
irregularidades insanáveis na participação do Consórcio Parahyba.
Proveniência: Histórico completo da origem: NAZIF!5 | ID NAZ-001 | A coluna D contém atualização geral informada na origem; não comprova recebimento do andamento | Não houve consulta a tribunal nem atualização externa | Data estruturada do movimento não confiável/ausente; texto original preservado</t>
  </si>
  <si>
    <t>25.08.2026 - Intimados para ciência do presente despacho.</t>
  </si>
  <si>
    <t>RAIMUNDO!5 | ID RAI-001</t>
  </si>
  <si>
    <t>Histórico original integral:
25.08.2026 - Intimados para ciência do presente despacho.
Proveniência: Histórico completo da origem: RAIMUNDO!5 | ID RAI-001 | A coluna D contém atualização geral informada na origem; não comprova recebimento do andamento | Não houve consulta a tribunal nem atualização externa | Data estruturada do movimento não confiável/ausente; texto original preservado</t>
  </si>
  <si>
    <t>Configurar e começar</t>
  </si>
  <si>
    <t>Cadastre os nomes usados nas listas. Ajuste o prazo de cobrança e consulte as orientações de uso à direita.</t>
  </si>
  <si>
    <t>1. CADASTRE OS NOMES</t>
  </si>
  <si>
    <t>2. AJUSTE OS ALERTAS</t>
  </si>
  <si>
    <t>Escritórios</t>
  </si>
  <si>
    <t>Empresas</t>
  </si>
  <si>
    <t>Consórcios</t>
  </si>
  <si>
    <t>Temas</t>
  </si>
  <si>
    <t>Alta Engenharia de Infraestrutura LTDA</t>
  </si>
  <si>
    <t>Sem consórcio</t>
  </si>
  <si>
    <t>Ficha: linha do processo</t>
  </si>
  <si>
    <t>Cava Engenharia de Infraestrutura LTDA</t>
  </si>
  <si>
    <t>Cobrar atualização após</t>
  </si>
  <si>
    <t>Dias corridos desde o último registro válido de atualização.</t>
  </si>
  <si>
    <t>Ficha: linha de valores</t>
  </si>
  <si>
    <t>Planep</t>
  </si>
  <si>
    <t>Data de referência</t>
  </si>
  <si>
    <t>Atualizada quando o Excel recalcula.</t>
  </si>
  <si>
    <t>Última linha preenchida</t>
  </si>
  <si>
    <t>Strata Engenharia</t>
  </si>
  <si>
    <t>Capacidade de processos</t>
  </si>
  <si>
    <t>Processos e Valores: linhas 10 a 509.</t>
  </si>
  <si>
    <t>Próxima linha livre</t>
  </si>
  <si>
    <t>Alltech</t>
  </si>
  <si>
    <t>Altabio Eucalipto</t>
  </si>
  <si>
    <t>Capacidade de andamentos</t>
  </si>
  <si>
    <t>Andamentos: linhas 10 a 2009.</t>
  </si>
  <si>
    <t>Altabio Pecuária</t>
  </si>
  <si>
    <t>Excel desktop para Windows. Fórmulas adaptadas para Excel 2016 e 2019, além de 2021/2024 e Microsoft 365. A integração IA exige o assistente aberto.</t>
  </si>
  <si>
    <t>CPC - Consultoria e Participações</t>
  </si>
  <si>
    <t>Camilo de Léllis Nogueira (PF)</t>
  </si>
  <si>
    <t>COMO USAR NO DIA A DIA</t>
  </si>
  <si>
    <t>1. CONSULTE</t>
  </si>
  <si>
    <t>Comece no Painel para filtrar a carteira. Abra a Ficha e escolha o processo para consultar os detalhes.</t>
  </si>
  <si>
    <t>2. ATUALIZE</t>
  </si>
  <si>
    <t>Abra a Central IA, cole o texto e escolha Analisar texto. No modo Revisar tudo, confira as propostas antes de salvar.</t>
  </si>
  <si>
    <t>3. INFORME VALORES</t>
  </si>
  <si>
    <t>Na Ficha, use Atualizar valores para abrir o registro. Campo vazio significa informação ausente.</t>
  </si>
  <si>
    <t>4. CONFIRA</t>
  </si>
  <si>
    <t>Acompanhe os críticos e os avisos de preenchimento no Painel. Os critérios e as cores estão na aba Critérios.</t>
  </si>
  <si>
    <t>Número do processo é a chave: mantenha como texto e use o identificador completo. Se houver números administrativos iguais em órgãos distintos, inclua o órgão no identificador.</t>
  </si>
  <si>
    <t>Se corrigir um número, atualize o mesmo número em Valores e Andamentos. Vínculos não encontrados aparecem como aviso.</t>
  </si>
  <si>
    <t>Processos encerrados e arquivados saem da lista de críticos. Revise restrições que ainda constarem vigentes.</t>
  </si>
  <si>
    <t>Crítico: prioridade Crítica, bloqueio ou penhora vigente. A aba Critérios explica as regras atuais e a classificação histórica com quatro cores.</t>
  </si>
  <si>
    <t>Recebimentos iguais para um mesmo processo exigem revisão da hora ou consolidação do registro. O modelo sinaliza o empate e não escolhe um deles silenciosamente.</t>
  </si>
  <si>
    <t>Resumos, alertas e gráficos usam os dados cadastrados. A Central IA requer o assistente Windows. Não há consulta automática aos tribunais.</t>
  </si>
  <si>
    <t>REFERÊNCIAS DE ORGANIZAÇÃO E USO DO EXCEL</t>
  </si>
  <si>
    <t>Modelos de acompanhamento jurídico</t>
  </si>
  <si>
    <t>https://www.smartsheet.com/content/legal-case-management-tracking-template</t>
  </si>
  <si>
    <t>Tabelas e referências do Excel</t>
  </si>
  <si>
    <t>https://support.microsoft.com/en-us/excel/using-structured-references-with-excel-tables</t>
  </si>
  <si>
    <t>Listas de seleção</t>
  </si>
  <si>
    <t>https://support.microsoft.com/en-us/excel/get-started/create-a-drop-down-list</t>
  </si>
  <si>
    <t>Importação futura com Power Query</t>
  </si>
  <si>
    <t>https://support.microsoft.com/en-us/excel/about-power-query-in-excel</t>
  </si>
  <si>
    <t>ATIVAR A CENTRAL IA</t>
  </si>
  <si>
    <t>Extraia o ZIP inteiro. Abra Iniciar-Assistente.cmd no Windows, selecione esta planilha e informe uma chave Groq válida uma vez. A chave fica protegida na sua conta do Windows.</t>
  </si>
  <si>
    <t>No dia a dia, use a Central IA: selecione o processo ou deixe em branco para detectar no texto, informe o contexto comum e escolha Analisar texto.</t>
  </si>
  <si>
    <t>A prévia reúne mudanças de cadastro, valores e andamentos. Marque o que deseja aplicar e escolha Aplicar aprovados. O assistente cria backup e registra o lote.</t>
  </si>
  <si>
    <t>Andamentos automáticos permite registrar novos andamentos com vínculo único e data explícita. Valores, situação, prioridade e restrições continuam na prévia.</t>
  </si>
  <si>
    <t>O texto enviado e o contexto escolhido são processados pela Groq. Dados ausentes não são inventados. Importação: TXT, CSV e XLSX. PDF e imagens precisam de texto extraído.</t>
  </si>
  <si>
    <t>O pacote inclui Poppins e sua licença. Se o Windows substituir a fonte, instale os arquivos da pasta Fontes e reabra o Excel. Não compartilhe sua chave em células ou arquivos.</t>
  </si>
  <si>
    <t>Os cálculos comuns funcionam sem IA. A automação externa só funciona enquanto o assistente estiver aberto. Regras da organização podem exigir liberação do aplicativo.</t>
  </si>
  <si>
    <t>DOCUMENTAÇÃO DA INTEGRAÇÃO</t>
  </si>
  <si>
    <t>Groq Structured Outputs: https://console.groq.com/docs/structured-outputs</t>
  </si>
  <si>
    <t>Microsoft DPAPI / SecureString: https://learn.microsoft.com/en-us/powershell/module/microsoft.powershell.security/convertfrom-securestring</t>
  </si>
  <si>
    <t>Critérios, cores e funcionamento</t>
  </si>
  <si>
    <t>Portais oficiais de consulta</t>
  </si>
  <si>
    <t>As descrições em vermelho foram tratadas como pedidos e perguntas. Esta aba registra os critérios aplicados e o que depende de informações adicionais.</t>
  </si>
  <si>
    <t>Links de acesso aos portais, verificados em 21/10/2026. A disponibilidade e o acesso aos autos dependem de cada órgão. O nome “Polícia Federal / Civil” exige identificar o órgão e o estado.</t>
  </si>
  <si>
    <t>1. Criticidade de origem</t>
  </si>
  <si>
    <t>Classificação e pontuação preservadas da planilha recebida, sem recalcular com dados ausentes. Exibidas na Ficha e em Origem. Não são uma avaliação atual do escritório.</t>
  </si>
  <si>
    <t>CRÍTICO</t>
  </si>
  <si>
    <t>65 pontos ou mais</t>
  </si>
  <si>
    <t>Tribunal / órgão</t>
  </si>
  <si>
    <t>URL oficial</t>
  </si>
  <si>
    <t>Acesso</t>
  </si>
  <si>
    <t>ALTO</t>
  </si>
  <si>
    <t>45 a 64 pontos</t>
  </si>
  <si>
    <t>https://www.gov.br/dnit/pt-br/assuntos/portais-tematicos/dnit-sem-papel</t>
  </si>
  <si>
    <t>Página oficial de orientação. Em 21/10/2026 informa que a consulta pública está temporariamente indisponível e orienta solicitar acesso via Fala.BR. O link não abre automaticamente os autos.</t>
  </si>
  <si>
    <t>MÉDIO</t>
  </si>
  <si>
    <t>25 a 44 pontos</t>
  </si>
  <si>
    <t>Denominação ambígua: não identifica a Polícia Civil da UF nem define se é Polícia Federal. Mantido sem link.</t>
  </si>
  <si>
    <t>BAIXO</t>
  </si>
  <si>
    <t>Menos de 25 pontos</t>
  </si>
  <si>
    <t>https://pesquisa.apps.tcu.gov.br/</t>
  </si>
  <si>
    <t>Pesquisa integrada oficial, indicada na página principal do TCU. O usuário informa os critérios de pesquisa; não localiza automaticamente os autos.</t>
  </si>
  <si>
    <t>Sem classificação: o arquivo de origem não informou um nível. Não equivale a risco baixo.</t>
  </si>
  <si>
    <t>https://www.tjba.jus.br/portal/</t>
  </si>
  <si>
    <t>Portal oficial com consulta processual e acesso aos sistemas, conforme turn13view1. Em 21/10/2026 apresenta comunicado de interrupção preventiva de serviços; sem promessa de disponibilidade.</t>
  </si>
  <si>
    <t>https://www.tjdft.jus.br/consultas/processuais</t>
  </si>
  <si>
    <t>Página oficial permite escolher PJe, processos físicos de 1ª/2ª instância e SEEU; usuário seleciona sistema/instância e pesquisa.</t>
  </si>
  <si>
    <t>Regra registrada no GUIA e em LISTAS da referência: soma dos componentes abaixo. É uma regra interna; não compara automaticamente jurisprudência.</t>
  </si>
  <si>
    <t>https://www.tjgo.jus.br/index.php/processos/consulta-processual</t>
  </si>
  <si>
    <t>Página oficial de consulta processual; pesquisa depende do preenchimento de dados no tribunal.</t>
  </si>
  <si>
    <t>Probabilidade de perda: Provável = 40; Possível = 20; Remoto = 5; Não avaliado = 10. A probabilidade é informada pelo escritório.</t>
  </si>
  <si>
    <t>https://www.tjmg.jus.br/portal-tjmg/processos/andamento-processual/</t>
  </si>
  <si>
    <t>Página oficial de andamento processual, confirmada pelo resultado de busca oficial. O mecanismo de leitura recebeu 403 na abertura, portanto disponibilidade interativa não testada.</t>
  </si>
  <si>
    <t>Valor envolvido: a partir de R$ 0 = 0; R$ 1 = 5; R$ 50 mil = 15; R$ 500 mil = 25; R$ 1 milhão = 30. Usa saldo de exposição; na falta, valor da causa.</t>
  </si>
  <si>
    <t>https://esaj.tjms.jus.br/esaj</t>
  </si>
  <si>
    <t>Portal e-SAJ oficial indicado no menu do TJMS (turn7view0). Há também eproc, acessível no portal institucional; o usuário deverá escolher o sistema em que tramita o processo. Não usar este link como localização automática do processo.</t>
  </si>
  <si>
    <t>Fase: Execução/Cumprimento = 15; Sentença/Recursos = 10; Instrução = 5. Decisão desfavorável = 10; bloqueio = 5.</t>
  </si>
  <si>
    <t>https://portal.tjpe.jus.br/servicos/consulta-processual</t>
  </si>
  <si>
    <t>Página oficial oferece consultas de 1º/2º grau e Juizados; usuário seleciona o serviço e fornece os dados.</t>
  </si>
  <si>
    <t>https://www.tjsp.jus.br/</t>
  </si>
  <si>
    <t>Portal oficial com Consulta Processual Unificada (eproc/SAJ), confirmado pela busca oficial e FAQ turn4search22. O mecanismo de leitura não conseguiu abrir a página; disponibilidade interativa não testada.</t>
  </si>
  <si>
    <t>2. Regra da lista atual de críticos</t>
  </si>
  <si>
    <t>https://www.tjto.jus.br/servicos/busca-processual</t>
  </si>
  <si>
    <t>Página oficial de Busca Processual. Em 21/10/2026 apresenta aviso de manutenção e acesso rápido aos sistemas eproc de 1º/2º grau. Sem promessa de disponibilidade.</t>
  </si>
  <si>
    <t>Entra na lista o processo ativo ou suspenso com prioridade Crítica, bloqueio vigente = Sim ou penhora vigente = Sim. Encerrados e arquivados ficam fora.</t>
  </si>
  <si>
    <t>https://www.trf1.jus.br/trf1/processual/consulta-processual</t>
  </si>
  <si>
    <t>Página oficial permite escolher PJe 1º/2º grau e outros sistemas; usuário informa os dados no sistema escolhido.</t>
  </si>
  <si>
    <t>A coluna “Por que é crítico” mostra o motivo atual e a classificação de origem. As quatro cores identificam a classificação de origem quando disponível. A prioridade operacional continua em Processos!N.</t>
  </si>
  <si>
    <t>https://portal.trf6.jus.br/consulta-processual-2/</t>
  </si>
  <si>
    <t>Página oficial de consulta processual permite seleção do sistema; há eproc/PJe. Portal apresentou aviso de indisponibilidade em 21/10/2026 (turn7view2), portanto não há promessa de disponibilidade.</t>
  </si>
  <si>
    <t>Prioridade Normal não significa risco baixo: a migração reuniu ali níveis médios, baixos e casos sem classificação. Consulte a classificação de origem na Ficha.</t>
  </si>
  <si>
    <t>https://pje.trt10.jus.br/consultaprocessual/</t>
  </si>
  <si>
    <t>Página inicial oficial encontrada e aberta; conteúdo depende de JavaScript. O usuário fornece os dados no formulário do tribunal; não há consulta ou atualização automática dos autos na planilha.</t>
  </si>
  <si>
    <t>https://pje.trt14.jus.br/consultaprocessual/</t>
  </si>
  <si>
    <t>Página inicial oficial indexada; abertura automatizada retornou 403. O usuário fornece os dados no formulário do tribunal; não há consulta ou atualização automática dos autos na planilha.</t>
  </si>
  <si>
    <t>3. Cadastro e atualização das visões</t>
  </si>
  <si>
    <t>https://pje.trt16.jus.br/consultaprocessual/</t>
  </si>
  <si>
    <t>Processos, Valores e Andamentos são as bases de cadastro. Painel, Críticos, Escritórios e Ficha atualizam suas fórmulas a partir dessas bases. Escritórios é uma visão filtrada.</t>
  </si>
  <si>
    <t>https://pje.trt17.jus.br/consultaprocessual/</t>
  </si>
  <si>
    <t>Críticos: autor e réu vêm de Processos!H/I; resumo vem de Processos!M; valor da causa vem de Valores!B. Os textos completos ficam na Ficha.</t>
  </si>
  <si>
    <t>https://pje.trt18.jus.br/consultaprocessual/</t>
  </si>
  <si>
    <t>Na aba Processos, número, natureza e situação permanecem visíveis ao rolar para a direita. A Ficha reúne comarca/vara e tribunal em um campo.</t>
  </si>
  <si>
    <t>https://pje.trt22.jus.br/consultaprocessual/</t>
  </si>
  <si>
    <t>O botão CONSULTAR TRIBUNAL na Ficha abre o portal oficial conforme o tribunal cadastrado. Não consulta autos nem importa andamentos. O cadastro de links está à direita.</t>
  </si>
  <si>
    <t>https://pje.trt2.jus.br/consultaprocessual/</t>
  </si>
  <si>
    <t>Endereço oficial indexado como Consulta Processual (pública); abertura automatizada retornou 403. O usuário fornece os dados no formulário do tribunal; não há consulta ou atualização automática dos autos na planilha.</t>
  </si>
  <si>
    <t>Estágio, na planilha antiga, era apenas a representação visual da fase em uma escala de 1 a 9 ou por ícones de situação. A fase original está preservada em Processos!AW.</t>
  </si>
  <si>
    <t>https://portal.trt3.jus.br/internet/servicos/pje/acesso-ao-sistema-pje</t>
  </si>
  <si>
    <t>Página oficial indexada com opção Consulta Pública Processual; abertura automatizada retornou 403. Página de acesso oficial usada como alternativa confirmada; usuário deve escolher a consulta pública.</t>
  </si>
  <si>
    <t>https://www.trt5.jus.br/</t>
  </si>
  <si>
    <t>Portal oficial indexado com Consulta Processual, Consulta Completa e Consulta Simplificada; abertura automatizada retornou 403. Portal oficial usado como alternativa confirmada; usuário deve selecionar a consulta processual.</t>
  </si>
  <si>
    <t>4. Resumos, histórico e estimativas</t>
  </si>
  <si>
    <t>https://pje.trt8.jus.br/consultaprocessual/</t>
  </si>
  <si>
    <t>Padrão de resumo: partes e objeto; fato ou pedido principal; última decisão ou evento; consequência ou pendência informada. Use frases curtas e preserve datas, valores e a fonte.</t>
  </si>
  <si>
    <t>O assistente organiza textos recebidos e mantém a prévia de alterações. Andamentos automáticos exigem vínculo único e data explícita. Não há monitoramento contínuo dos tribunais.</t>
  </si>
  <si>
    <t>Correção monetária automática depende de valor e data-base, índice, juros, períodos e regra aplicável. Sem esses parâmetros, o valor não foi estimado.</t>
  </si>
  <si>
    <t>Probabilidade de perda, benefício econômico e duração com base em casos semelhantes exigem fontes e uma metodologia definida. Esses cálculos comparativos ainda não estão implementados.</t>
  </si>
  <si>
    <t>Valores e estimativas informados pelo escritório permanecem registrados. Campo vazio significa informação ausente; zero significa valor conhecido igual a zero.</t>
  </si>
  <si>
    <t>5. Conferência da migração</t>
  </si>
  <si>
    <t>Origem e o arquivo na pasta Originais preservam o cadastro recebido para conferência. A classificação de origem usa a chave completa do processo, inclusive o identificador [ID] quando houver.</t>
  </si>
  <si>
    <t>As anotações em vermelho que continham explicações foram revisadas separadamente dos campos indicados para exclusão. As dúvidas e dependências estão registradas acima.</t>
  </si>
  <si>
    <t>Dados preservados da origem</t>
  </si>
  <si>
    <t>Snapshot de RQ-JUR-13 Controle Geral de Processos TESTE ANNA.xlsx. Alterações operacionais devem ser feitas nas bases atuais.</t>
  </si>
  <si>
    <t>Chave na nova planilha</t>
  </si>
  <si>
    <t>Aba original</t>
  </si>
  <si>
    <t>Linha original</t>
  </si>
  <si>
    <t>Nº PROCESSO JUDICIAL</t>
  </si>
  <si>
    <t>Nº PROCESSO SEI / ADMINISTRATIVO</t>
  </si>
  <si>
    <t>ESFERA</t>
  </si>
  <si>
    <t>EMPRESA DO GRUPO</t>
  </si>
  <si>
    <t>CNPJ</t>
  </si>
  <si>
    <t>CENTRO DE CUSTO</t>
  </si>
  <si>
    <t>CONTRATO</t>
  </si>
  <si>
    <t>POLO DA EMPRESA</t>
  </si>
  <si>
    <t>PARTE CONTRÁRIA</t>
  </si>
  <si>
    <t>TRIBUNAL / ÓRGÃO</t>
  </si>
  <si>
    <t>COMARCA / VARA</t>
  </si>
  <si>
    <t>DATA DE INSTAURAÇÃO</t>
  </si>
  <si>
    <t>ANO DE INSTAURAÇÃO</t>
  </si>
  <si>
    <t>LINK DOS AUTOS</t>
  </si>
  <si>
    <t>ADVOGADO RESPONSÁVEL</t>
  </si>
  <si>
    <t>STATUS</t>
  </si>
  <si>
    <t>FASE</t>
  </si>
  <si>
    <t>ESTÁGIO</t>
  </si>
  <si>
    <t>CRITICIDADE</t>
  </si>
  <si>
    <t>PONTUAÇÃO DE RISCO</t>
  </si>
  <si>
    <t>PROBABILIDADE DE PERDA</t>
  </si>
  <si>
    <t>RISCO DE BLOQUEIO / PENHORA</t>
  </si>
  <si>
    <t>DECISÃO DESFAVORÁVEL?</t>
  </si>
  <si>
    <t>OBJETO / FATOS E MOTIVOS</t>
  </si>
  <si>
    <t>SÍNTESE PROCESSUAL / RESUMO EXECUTIVO</t>
  </si>
  <si>
    <t>ÚLTIMA DECISÃO RELEVANTE</t>
  </si>
  <si>
    <t>PRÓXIMA PROVIDÊNCIA</t>
  </si>
  <si>
    <t>PRAZO DA PROVIDÊNCIA</t>
  </si>
  <si>
    <t>SITUAÇÃO DO PRAZO</t>
  </si>
  <si>
    <t>ANDAMENTO PROCESSUAL (HISTÓRICO)</t>
  </si>
  <si>
    <t>DATA DA ÚLTIMA MOVIMENTAÇÃO</t>
  </si>
  <si>
    <t>VALOR ATUALIZADO DA CAUSA</t>
  </si>
  <si>
    <t>VALOR CONDENAÇÃO / EXECUÇÃO</t>
  </si>
  <si>
    <t>VALOR DE ACORDO</t>
  </si>
  <si>
    <t>EXPOSIÇÃO ESTIMADA</t>
  </si>
  <si>
    <t>VALOR PROVISIONADO</t>
  </si>
  <si>
    <t>DEPÓSITO JUDICIAL</t>
  </si>
  <si>
    <t>VALOR JÁ PAGO</t>
  </si>
  <si>
    <t>SALDO DE EXPOSIÇÃO</t>
  </si>
  <si>
    <t>BENEFÍCIO ECONÔMICO</t>
  </si>
  <si>
    <t>EXPECTATIVA DE DURAÇÃO</t>
  </si>
  <si>
    <t>DECISÃO DA DIRETORIA</t>
  </si>
  <si>
    <t>DATA DA ÚLTIMA ATUALIZAÇÃO</t>
  </si>
  <si>
    <t>DIAS SEM ATUALIZAÇÃO</t>
  </si>
  <si>
    <t>SITUAÇÃO DA ATUALIZAÇÃO</t>
  </si>
  <si>
    <t>PENDÊNCIAS</t>
  </si>
  <si>
    <t>OBSERVAÇÕES / MIGRAÇÃO</t>
  </si>
  <si>
    <t>TIPO (ORIGINAL)</t>
  </si>
  <si>
    <t>STATUS (ORIGINAL)</t>
  </si>
  <si>
    <t>FASE (ORIGINAL)</t>
  </si>
  <si>
    <t>Nº PROCESSO (ORIGINAL)</t>
  </si>
  <si>
    <t>AVALIAÇÃO DE RISCO (ORIGINAL)</t>
  </si>
  <si>
    <t>VALORES FINANCEIROS (ORIGINAL)</t>
  </si>
  <si>
    <t>ALERTA DE DUPLICIDADE</t>
  </si>
  <si>
    <t>BMM</t>
  </si>
  <si>
    <t>Passivo (ré/reclamada)</t>
  </si>
  <si>
    <t>▣ ARQUIVADO</t>
  </si>
  <si>
    <t>—</t>
  </si>
  <si>
    <t>20/09/2023 - Acordo para pagamento do saldo residual da execução de R$44.523,44.
Último pagamento para janeiro de 2024.
16/06/2023 - Autor levantou os depósitos recursais.
30/03/2023 - Fixado valor da execução em R$89481,64.
20/02/2020 - Agaurdando julgamento AIRR.
28/08/2019 - Acórdão reformou a sentença.
26/04/2019 - Sentença parcialmente procedente.</t>
  </si>
  <si>
    <t>2023-09-20T00:00:00</t>
  </si>
  <si>
    <t>2026-02-02T00:00:00</t>
  </si>
  <si>
    <t>Origem: BMM linha 5. Polo inferido das colunas Autor/Réu. Revisar valores em texto (ver coluna VALORES ORIGINAIS)</t>
  </si>
  <si>
    <t>ARQUIVADO</t>
  </si>
  <si>
    <t>0000365-30.2017.5.14.0071 (VT de Guajará Mirim / RO)</t>
  </si>
  <si>
    <t>Causa: Valor da causa: R$ 50.000,00</t>
  </si>
  <si>
    <t>BMM - Gustavo Henrique de Resende</t>
  </si>
  <si>
    <t>26/02/2024 - Autos arquivados.
03/01/2024 - Consórcio fez o pagamento integral do saldo residual da execução.
04/09/2023 - Intimação para pagameto do saldo devedor.
21/07/2023 - Consórcio fez o pagamento de 30% e pediu o parcelamento do restante.
19/07/2023 - Restrição CNIB e Renajud em desfavor da Alta e demais rés.
05/06/2023 - Intimação das Rés para pagarem a execução.
18/04/2023 - Negado seguimento ao AIRR do Consórcio.
20/12/2022 - AIRR do Consórcio.
08/12/2022 - RR do Consórcio.
30/11/2022 - Provido AP do Reclamante para readequar os cálculos.
03/08/2022 - AP do Reclamante.
22/07/2022 - Improcedente a impuganção à liquidação da sentença.
10/06/2022 - Intimação das partes para fins do Art. 884 da CLT.
06/06/2022 - Consórcio pagou a integralidade da execução.
27/05/2022 - Consórcio comprovou pagamento 1 parcela execução. Pediu dilação de prazo para pagar o
restante.
25/05/2022 - Juízo indeferiu o pedido de parcelamento e intimou as Rés para pagarem a execução.
28/04/2022 - Consórcio pediu parcelamento da execução.
18/11/2021 - vista dos cálculos atualizados.
12/12/2020 - Rejeitada impugnação ao cumprimento de sentença do Autor.
24/08/2020 - Intimação vista cálculos execução proviória
05/05/2020 - Provido RO do Reclamante. Condenação foi acrescida.
29/08/2019 - Sentença condenatória solidária multa Art. 477.</t>
  </si>
  <si>
    <t>2024-02-26T00:00:00</t>
  </si>
  <si>
    <t>2024-08-08T00:00:00</t>
  </si>
  <si>
    <t>Origem: BMM linha 6. Outros nº vinculados: 0010874-02.2020.5.18.0201. Consórcio identificado a partir das partes. Polo inferido das colunas Autor/Réu. Revisar valores em texto (ver coluna VALORES ORIGINAIS)</t>
  </si>
  <si>
    <t>0010045-
55.2019.5.18.0201
0010874-
02.2020.5.18.0201 (VT de Uruaçu)</t>
  </si>
  <si>
    <t>Execução: R$ 53.025,90 (Consórcio pagará a execução)</t>
  </si>
  <si>
    <t>BMM - Pedro Henrique De Oliveira</t>
  </si>
  <si>
    <t>15/05/2024 - Senteça de extinção por prescrição intercorrente.
19/09/2023 - Consórcio intimado a pagar o saldo residual.
09/09/2020 - Autos arquivados provisoriamente
05/02/2020 - Leilão bens consórcio. Arrematado veículo no valor de R$3.250,00.
05/11/2019 - Intimado o Autor a indicar o endereço dos bens do Consórcio para que seja feita a penhora.
10/10/2019 - Exequente intimado para manifestar sobre o prosseguimento dio feito. 30/07/2019 - pagamento parcial ao Exequente
23/04/2019 - multa de litigância de má-fé em razão do Consórcio ter sumido com os aparelhos de ar condicionado.
16/01/2019 - Edital de leilção de penhora e a avaliação de 14 ar condicionados descritos no auto de penhora de fls. 337 ID. 9559cfd - Pág. 1, avaliados em R$ 9.000,00 (nove mil reais) e depositados com o Sr. Sandoval Moura Lima, funcionário da empresa.</t>
  </si>
  <si>
    <t>2024-05-15T00:00:00</t>
  </si>
  <si>
    <t>Origem: BMM linha 7. Consórcio identificado a partir das partes. Polo inferido das colunas Autor/Réu</t>
  </si>
  <si>
    <t>0011340-
98.2017.5.18.0104 (04ª VT de Rio Verde)</t>
  </si>
  <si>
    <t>BMM - Cristiane De Freitas Furlan De Oliveira</t>
  </si>
  <si>
    <t>26/01/2024 - Autos arquivados.
30/11/2023 - Sentença extinção do processo.
20/10/2023 - Alvará em favor do Reclamante. Aguardar arquivamento.
29/09/2023 - Bloqueio integral da execução em desfavor da Alta. Foram deduzidos os depósitos recursais feitos pela Alta.
17/08/2023 - Vista dos cálculos
27/04/2023 - Negado provimento ao agravo interno da Alta.
03/02/2022 - Agravo Interno da Alta.
13/12/2022 - Acórdão - negado provimento ao AIRR da Alta.
08/09/2022 - AIRR da Alta.
26/08/2022 - Negado seguimento ao RR da Alta.
26/07/2022 - RR da Alta.
14/07/2022 - Provido parcialmente o RO da Alta.
20/04/2022 - Deliberado para conhecer o recurso da Alta, aguardar nova sessão.
07/04/2022 - Provido ED para declarar a nulidade.
17/02/2022 - ED da Alta.
10/02/2022 - Não conhecido RO da Alta.
04/10/2021 - RO apresentado pela Alta.
21/09/2021 - Negado provimento ao ED da Alta e fixada multa por embargos protelatórios.
26/08/2021 - ED apresentado pela Alta.
19/08/2021 - Sentença - condenação solidária da Alta.
18/05/2021 - AIJ.
31/08/2020 - Autos sobrestados até o término pandemia.
11/08/2020 - aprsesentada defesa da Alta Engenharia.
06/07/2020 - Devolvido prazo para a Alta apresentar defesa
24/06/2020 - Vista ao reclamante petição Alta com arguição de nulidade processual.
19/06/2020 - Arguição de nulidade processual por parte da Alta.
09/03/2020 - Audiência - nulidade - Alta não foi notificada.</t>
  </si>
  <si>
    <t>2024-01-26T00:00:00</t>
  </si>
  <si>
    <t>Origem: BMM linha 8. POSSÍVEL DUPLICIDADE: mesmo nº em BMM L20. Consórcio identificado a partir das partes. Polo inferido das colunas Autor/Réu. Revisar valores em texto (ver coluna VALORES ORIGINAIS)</t>
  </si>
  <si>
    <t>0010110-
19.2020.5.18.0103 (3ª VT de Rio Verde)</t>
  </si>
  <si>
    <t>Execução: R$ 49.514,13 (Alta deposito R$ 20.000,00</t>
  </si>
  <si>
    <t>BMM - Carlos Augusto de Souza Pinheiro</t>
  </si>
  <si>
    <t>08/06/2023 - Autos arquivados provisoriamente.
12/04/2023 - Determinada a exclusão da Alta no polo passivo da ação.
13/02/2022 - Acórdão, provido AP da Alta para declarar nulidade da decisão que incluiu a Alta no polo passivo.
03/05/2022 - Reconhecida a responsabilidade da Cava.
02/02/2022 - Agravo de petição da Alta.
21/10/2021 - Apresentados embargos de declaração pela Alta.
13/10/2021 - Procedente o IDPJ contra a Alta, mas a Cava foi incluída no polo.
08/10/2021 - Protocolo de defesa IDPJ Alta.
15/09/2021 - Intimação para o Consórcio audiência de conciliação em execução designada para o dia
21/09/2021. 28/04/2021 - Intimação para Consórcio pagar a execução.
12/04/2021 - Intimação vista cálculos.
05/03/2021 - Sentença de procedência dos pedidos.
18/12/2020 - Consórcio intiamado a apresentar defesa.
16/12/2020 - Audiência inicial</t>
  </si>
  <si>
    <t>2023-06-08T00:00:00</t>
  </si>
  <si>
    <t>Origem: BMM linha 9. Consórcio identificado a partir das partes. Polo inferido das colunas Autor/Réu</t>
  </si>
  <si>
    <t>0010752-
95.2020.5.18.0101 (1 VT de Rio Verde/GO)</t>
  </si>
  <si>
    <t>BMM - Ana Dilma Conceição Melo De Miranda</t>
  </si>
  <si>
    <t>08/04/2024 - Extinção da execução por cumprimento de acordo.
26/09/2023 - Os Executados forma intimados para manifestarem acerca da proposta de acordo do
exequente. 22/06/2023 - AP da Cava.
19/05/2023 - Convolado em penhora o bloqueio integral da execução.
28/03/2023 - Convolado penhora bloqueio de R$ 6.702,31 da Cava.
15/09/2022 - Provido AP da Cava mas sem absolvição, apenas para falar que se garantida a execução ela poderá opor embargos à execução. Negado provimento ao AP da Serne.
05/04/2022 - Agravo de petição da Cava.
31/03/2022 - Rejeitado embargos de declaração da Cava.
11/03/2022 - AP da Serne.
10/03/2022 - ED da Cava.
08/12/2021 - Bloqueio parcial em desfavor da Cava no valor de R$25.155,68.
24/11/2021 - Homologados os cálculos de liquidação.
07/10/2021 - Negado provimento ao AIRR da Cava,
16/11/2020 - AIRR da Cava.
11/11/2020 - Inadimitido RR da Cava.
21/10/2020 - Rejeitado ED da Cava. Multa por recurso protelatório.
04/09/2020 - Negado provimento ao AP da Cava.
13/04/2020 - Protocolado AP pela Cava.
27/03/2020 - Rejeitado ED da Cava.
02/12/2019 - Cava apresentou defesa ao IDPJ e pediu denunciação à lide.
14/11/2019 - Incluída a Cava no processo.
31/10/2019 - Exequente fez pedido de IDPJ e bloqueio
17/09/2019 - Frustada a penhora - Exequente intimado opara manifestar. 02/09/2019 - aguardando cumprimento de mandado de penhora contra o Consórcio.</t>
  </si>
  <si>
    <t>2024-04-08T00:00:00</t>
  </si>
  <si>
    <t>Origem: BMM linha 10. Consórcio identificado a partir das partes. Polo inferido das colunas Autor/Réu. Revisar valores em texto (ver coluna VALORES ORIGINAIS)</t>
  </si>
  <si>
    <t>0010065-
46.2019.5.18.0104 (04ª - Rio Verde)</t>
  </si>
  <si>
    <t>Execução: R$ 17.740,52 ( Execução contra a Cava bloqueio de valore da Cava R$ 31.830,37)</t>
  </si>
  <si>
    <t>BMM - Carlos Antonio Vieira Barros Junior</t>
  </si>
  <si>
    <t>27/03/2024 - Autos arquivados.
01/11/2023 - Expedidos alvarás.
26/10/2023 - Homologado valor da execução.
08/09/2023 - Acórdão, negado provimento aos EDs da Cava e aplicada multa de 2%.
18/08/2023 - Acórdão. Negado provimento ao AP da Cava.
28/06/2023 - AP da Cava.
26/06/2023 - Improcedente EE da Cava.
07/06/2023 - EE da Cava.
01/06/2023 - Bloqueio integral em conta da Cava.
04/05/2023 - Instaurado IDPJ contra o Roney.
30/03/2023 - Exequente intimado a impulsionar o feito.
15/03/2023 - Expedido ofício para penhora no rosto dos autos 0010076-73.2022.5.18.0103 (crédito com a
Valec) e CP para penhora de créditos da Valec.
08/11/2022 - Negado provimento ao AIAP da Cava.
12/07/2022 - Bloqueio de R$311,26 da Cava.
08/07/2022 - AI em AP da Cava.
06/07/2022 - Negado seguimento ao AP da Cava.
21/06/2022 - AP da Cava.
16/06/2022 - Juízo indeferiu o requerimento da Cava para expedir ofício à Valec.
24/05/2022 - Cava indicou crédito do Consórcio com a Valec.
20/05/2022 - Citados os réus para pagar a execução.
06/05/2022 - Homologados cálculos, citadas executadas para pagamento.
25/03/2022 - Não conhecida impugnação do Reclamante.
02/12/2021 - Impugnação aos cálculos apresentada pelo Reclamante.
26/11/2021 - Vista dos cálculos.
27/08/2021 - Determinada a retificação da conta de liquidação.
24/06/2021 - Vista às partes sobre o cálculo de liquidação da sentença.
05/04/2021 - Negado provimento ao RR do Reclamante.
15/10/2020 - Recebido RR do Reclamante. Não recebido RR da Cava.</t>
  </si>
  <si>
    <t>2024-03-27T00:00:00</t>
  </si>
  <si>
    <t>Origem: BMM linha 11. Consórcio identificado a partir das partes. Polo inferido das colunas Autor/Réu</t>
  </si>
  <si>
    <t>0011079-
71.2019.5.18.0102 (2 VT de Rio Verde)</t>
  </si>
  <si>
    <t>02/02/2024 - Execução extinta.
20/11/2023 - Bloqueio integral da execução na conta da CAVA.
12/09/2023 - Provido AP da Alta para liberar o valor execedente.
26/07/2023 - AP da Alta.
14/07/2023 - Julgado improcedente impugnação aos cálculos. Retido valor da Alta.
04/04/2023 - Intimadas as partes sorbe os cálculos. Valor da Alta é de R$1.938,14
08/03/2023 - Negado seguimento ao RR da Cava.
14/02/2023 - RR da Cava.
08/02/2023 - Provido ED da Alta para sanar erros materiais e negado provimento ao EDs da Cava e Serne e provido o ED do Reclamante para suspender pagamento de honorários.
15/12/2022 - Provido RO da Alta, condenação subsidiária, e apenas pelas diferenças de FGTS até agosto de 2018.
29/09/2022 - RO da Alta.
19/09/2022 - Negado provimento aos EDs da Alta.
19/08/2022 - ED da Alta.
12/08/2022 - Sentença condenatória.
18/05/2022 - Realizada audiência, Serne chamada no polo passivo.
09/03/2022 - Determinada a citação da Cava.
07/12/2021 - Negado provimento aos EDs da Alta e providos os da Trail.
05/11/2021 - Ed da Alta.
26/10/2021 - Acórdão, provido RO da Alta para incluir a Cava.
27/08/2021 - RO da Alta.
17/08/2021 - Provido em parte ED da Alta.
20/07/2021 - Ed da Alta.
13/07/2021 - Sentença condenatória em desfavor da Alta.
17/05/2021 - AIJ.
19/08/2020 - Apresentada defesa Alta.
27/07/2020 - Devolvido prazo à Alta para apresentar defesa
22/06/2020 - Reclamante intimado a manifestar sobre pedido de nulidade processual arguido pela Alta.</t>
  </si>
  <si>
    <t>2024-02-02T00:00:00</t>
  </si>
  <si>
    <t>Origem: BMM linha 12. POSSÍVEL DUPLICIDADE: mesmo nº em BMM L78. Consórcio identificado a partir das partes. Polo inferido das colunas Autor/Réu. Revisar valores em texto (ver coluna VALORES ORIGINAIS)</t>
  </si>
  <si>
    <t>0010968-
84.2019.5.18.0103 (3ª VT de Rio Verde)</t>
  </si>
  <si>
    <t>Execução: R$ 1938,14 (Depósito recursal da Alta de R$10.986,80 / Valor da execução é R$29.722,96)</t>
  </si>
  <si>
    <t>BMM - Rogério Leandro Furquim</t>
  </si>
  <si>
    <t>09/04/2024 - Transferido saldo residual ao Reclamante. Processo arquivado.
22/11/2023 - Autos arquivados. pagamenots feitos.
07/07/2023 - Negado seguimento ao AIRR do Consórcio.
14/04/2022 - AIRR do Consórcio.
06/04/2022 - Negado seguimento ao RR do Consórcio.
23/02/2022 - RR do Sindicato.
15/02/2022 - Negado provimento aos embargos de declaração e multa ao consórcio.
17/12/2021 - Acórdão - majorar honoráriso devidos pelo Reclamante.
28/09/2021 - RO do Reclamante.
08/09/2021 - RO do Consórcio Spavias.
27/08/2021 - Ed do Consórcio TS.
23/08/2021 - Sentença.
12/04/2021 - Audiência inicial</t>
  </si>
  <si>
    <t>2024-04-09T00:00:00</t>
  </si>
  <si>
    <t>Origem: BMM linha 13. Consórcio identificado a partir das partes. Polo inferido das colunas Autor/Réu. Revisar valores em texto (ver coluna VALORES ORIGINAIS)</t>
  </si>
  <si>
    <t>0010160-
08.2021.5.18.0201 (VT de Uruaçu)</t>
  </si>
  <si>
    <t>Execução: R$ 51.000,00 (Trail quem efetuou o pagamento de depósito recursal. Rejeitado pedido da Valec de chamar a Alta ao processo.)</t>
  </si>
  <si>
    <t>BMM - Carlos Viana Braga</t>
  </si>
  <si>
    <t>Origem: BMM linha 14. Consórcio identificado a partir das partes. Polo inferido das colunas Autor/Réu</t>
  </si>
  <si>
    <t>0000972-
59.2016.5.08.0131 (4ª VT de
Parauapebas/PA)</t>
  </si>
  <si>
    <t>21/11/2023 - Saneado o processo e excluído o Consórcio do polo passivo.
16/06/2023 - Instaurado IDPJ contra o Consórcio.</t>
  </si>
  <si>
    <t>2023-11-21T00:00:00</t>
  </si>
  <si>
    <t>Origem: BMM linha 15. Consórcio identificado a partir das partes. Polo inferido das colunas Autor/Réu</t>
  </si>
  <si>
    <t>ARQUIVADO (para o Cons.)</t>
  </si>
  <si>
    <t>0001354-
49.2013.5.05.0581 (VT de Ipiaú)</t>
  </si>
  <si>
    <t>2022-03-29T00:00:00</t>
  </si>
  <si>
    <t>06/06/2025 - Processo arquivado.
22/04/2025 - Julgamento. Ácordão mantendo a sentença.
18/02/2025 - Sentença decretando a extinção do processo pois o autor não tem legitimidade para ajuizar a demanda.
02/08/2024 - Decretado revelia da Alta.
18/11/2022 - Audiência de conciliação.</t>
  </si>
  <si>
    <t>2025-06-06T00:00:00</t>
  </si>
  <si>
    <t>2026-03-12T00:00:00</t>
  </si>
  <si>
    <t>Origem: BMM linha 16. Consórcio identificado a partir das partes. Polo inferido das colunas Autor/Réu</t>
  </si>
  <si>
    <t>CONHECIMENTO (Ação de Restituição de Quantia)</t>
  </si>
  <si>
    <t>5179003-70.2022.8.09.0149 (3ª Vara Cível de Trindade / GO)</t>
  </si>
  <si>
    <t>-</t>
  </si>
  <si>
    <t>2021-04-26T00:00:00</t>
  </si>
  <si>
    <t>18/07/2025 - Processo arquivado.
16/06/2025 - Julgamento.</t>
  </si>
  <si>
    <t>2025-07-18T00:00:00</t>
  </si>
  <si>
    <t>Origem: BMM linha 17. Consórcio identificado a partir das partes. Polo inferido das colunas Autor/Réu</t>
  </si>
  <si>
    <t>5200111-92.2021.8.09.0149 (3ª Vara Cível de Trindade / GO)</t>
  </si>
  <si>
    <t>2022-09-27T00:00:00</t>
  </si>
  <si>
    <t>Dr. Bruno Gontijo</t>
  </si>
  <si>
    <t>■■■■■■■□□ 7/9</t>
  </si>
  <si>
    <t>Audiência em 24/2/23 e apresentação da defesa. Não houve acordo e foi designada uma nova audiência para o dia 8/5/2023, pois faltou a citação da Integral Engenharia, que ainda precisa apresentar defesa.
(04/08/2023) Interposto recurso inominado por parte da Autora.
08/05/2023 - Audiência de conciliação - sem acordo
21/06/23 - Autos conclusos para decisão
18/07/2023 - Sentença - parcialmente procedente o pedido a condenar o Consórcio Spavias Serve no valor de R$ 28.680,00. Empresas consorciadas excluídas do processo, devido reconhecimento da ilegitimidade passiva. Sentença que extinguiu o processo em relação a Alta.</t>
  </si>
  <si>
    <t>2024-09-19T00:00:00</t>
  </si>
  <si>
    <t>Origem: BMM linha 18. Consórcio identificado a partir das partes. Polo inferido das colunas Autor/Réu</t>
  </si>
  <si>
    <t>ENCERRADO</t>
  </si>
  <si>
    <t>CUMPRIMENTO DE SETENÇA</t>
  </si>
  <si>
    <t>0766105-29.2022.8.07.0016 (3º Juizado Especial Cível de Brasília)</t>
  </si>
  <si>
    <t>Audiência em 27/2/23 e apresentação da defesa. Não houve acordo e o processo seguiu ao gabinete para decisão por sentença ou eventual produção de provas.
21/06/23 - Autos conclusos para decisão
05/07/23 - Sentença - Juiz acatou parte da nossa tese, responsabilizando a Alta no pagamento de uma única fatura, no importe de R$ 3.600,00. Tal quantia atualizada perfaz R$ 10.330,01. Alta intimada para pagamento. 
26/08/2025 - Decisão. Extinto o processo por ausência de bens passíveis de penhora.</t>
  </si>
  <si>
    <t>2026-01-30T00:00:00</t>
  </si>
  <si>
    <t>Origem: BMM linha 19. Consórcio identificado a partir das partes. Polo inferido das colunas Autor/Réu</t>
  </si>
  <si>
    <t>EXTINTO</t>
  </si>
  <si>
    <t>0766128-72.2022.8.07.0016 (4º Juizado Especial Cível de Brasília)</t>
  </si>
  <si>
    <t>REMOTO</t>
  </si>
  <si>
    <t>2020-02-11T00:00:00</t>
  </si>
  <si>
    <t>26/01/2024 - Autos arquivados.
23.11.2023 - Distribuição.
13/12/22 - Negado provimento ao recurso da Alta (Agravo de Instrumento)
13/12/22 - Autorizado pela diretoria interposição de Agravo Interno
19/05/2023 - Negavo provimento ao Agravo Interno. Iniciada a execução a Alta será intimada para quitar sob pena de penhora / execução forçada. 
17/08/23 - Intimação de vista dos cálculos de liquidação da sentença (Valor da execução: R$ 49.514,13)
04/09/23 - Decisão de homologação dos cálculos da execução no valor de R$49.514,13. O juiz determinou a liberação dos depósitos recursais efetuados pela Alta no valor histórico de R$20.000,00. 
29/09/23 - Bloqueio na conta da Alta no valor de R$ 25.480,22
02/10/23 - Aguardar a certificação da penhora nos autos, para verificarmos se houve excesso de penhora, bem como se houve bloqueio nas contas do Consórcio e das outras empresas consorciadas.</t>
  </si>
  <si>
    <t>Origem: BMM linha 20. POSSÍVEL DUPLICIDADE: mesmo nº em BMM L8. Consórcio identificado a partir das partes. Polo inferido das colunas Autor/Réu. Revisar valores em texto (ver coluna VALORES ORIGINAIS)</t>
  </si>
  <si>
    <t>EXECUÇÃO</t>
  </si>
  <si>
    <t>ATSum 0010110-19.2020.5.18.0103 (TRT 18ª REGIÃO / 3ª VARA DO TRABALHO RIO VERDE/GO)</t>
  </si>
  <si>
    <t>Causa: Condenação R$ 49.514,13 | Depósito: R$ 20.000,00 (não esta atualizado)</t>
  </si>
  <si>
    <t>2020-10-14T00:00:00</t>
  </si>
  <si>
    <t>Excluído da lide</t>
  </si>
  <si>
    <t>■■■■■■■■□ 8/9</t>
  </si>
  <si>
    <t>Descião pela exclusão da ALTA e inclusão da CAVA no processo
14/08/2023 - Aguarda julgamento do Agravo de Instrumento interposto pelas partes - decisão que não respeitou o contraditório.
09/10/2023 - O TJGO negou provimento parcial ao Agravo de Instrumento nº 5116564-98.2018.8.09.0137 da Cava Engenharia, mantendo a empresa no polo passivo ao rejeitar sua preliminar de ilegitimidade.
15/03/2024 - O Juízo confirmou a inclusão definitiva de Cava Engenharia e Spavias Engenharia, mas acolheu a defesa da Alta Engenharia, determinando sua exclusão do polo passivo, por restar provado que a cessão de suas cotas ocorreu antes da dívida.
09/10/2026 - O TJGO, negou provimento ao Agravao de Instrumento nº 5116564-98.2018.8.09.0137 da Cava Engenharia mantendo a decisão que rejeitou sua preliminar de ilegitimidade passiva.</t>
  </si>
  <si>
    <t>Origem: BMM linha 21. POSSÍVEL DUPLICIDADE: mesmo nº em BMM L31. Consórcio identificado a partir das partes. Polo inferido das colunas Autor/Réu</t>
  </si>
  <si>
    <t>ALTA ABSOLVIDA</t>
  </si>
  <si>
    <t>5116564-98.2018.8.09.0137(1ª Vara Cível Fórum de Rio Verde)</t>
  </si>
  <si>
    <t>PERDA POSSÍVEL</t>
  </si>
  <si>
    <t>Pedro Henrique</t>
  </si>
  <si>
    <t>15/01/2026 - Transferido saldo residual para outro processo do Consórcio. 
Aguardando arquivamento.
06/10/2025 - Expedidos alvarás para pagamentos.
08/09/2025 - Bloqueio em conta da Alta,cumprindo integralmente o valor
30/07/2025 - Intimação para pagamento, sob pena de bloqueio em conta.
08/07/2025 - Ocorreu bloqueio nas contas bancárias da ALTA.
30/06/2025 - Intimação de homologação dos cálculos e citação das empresas para pagamento da execução, sob pena de penhora a partir de 07/07/2025.
29/05/2025 - Intimação de homologação dos cálculos e citação das empresas para pagamento da execução, sob pena de penhora a partir de 03/06/2025.
07/04/2025 - Intimação de vista dos cálculos de liquidação da sentença.
04/06/2024 - Acórdão, provido RO do Reclamante para declarar responsabilidade
solidária da Alta por toda a condenação.
05/02/2024 - Sentença condenatória contra a Alta, porém, limitada a responsabilidade
ao percentual do Consórcio.
26/10/2023 - AIJ
31/08/2023 - Audiência inicial.</t>
  </si>
  <si>
    <t>2026-01-15T00:00:00</t>
  </si>
  <si>
    <t>Origem: BMM linha 22. Consórcio identificado a partir das partes. Polo inferido das colunas Autor/Réu. Revisar valores em texto (ver coluna VALORES ORIGINAIS)</t>
  </si>
  <si>
    <t>0010551-59.2023.5.18.0211 (VT de Formosa)</t>
  </si>
  <si>
    <t>FINALIZADO. PROCESSO JÁ QUITADO PELO CONSÓRCIO.</t>
  </si>
  <si>
    <t>Causa: Valor da causa: R$ 24.328,71</t>
  </si>
  <si>
    <t>27/11/2025 - Processo arquivado.
05/06/2025 - Decisão homologatória dos cálculos da execução. Valor devido: R$2.773,41. O depósito efetuado pelo Consórcio garante a integralidade da execução. Aguardaremos eventual recurso e posterior arquivamento do processo.
26/05/2025 - Intimação de vista dos cálculos apresentados pela contadoria. Há depósito recursal feito pelo Consórcio que garante a integralidade da execução. Deixaremos a impugnação para o Consórcio.
02/07/2024 - Acórdão, provido RO do Reclamante para declarar responsabilidade
solidária da Alta por toda a condenação.
22/02/2024 - Sentença condenatória contra a Alta, porém, limitada a responsabilidade
ao percentual do Consórcio.
11/10/2023 - Audiência Inicial</t>
  </si>
  <si>
    <t>2025-11-27T00:00:00</t>
  </si>
  <si>
    <t>Origem: BMM linha 23. Consórcio identificado a partir das partes. Polo inferido das colunas Autor/Réu. Revisar valores em texto (ver coluna VALORES ORIGINAIS)</t>
  </si>
  <si>
    <t>0010458.96.2023.5.18.0211 (VT de Formosa)</t>
  </si>
  <si>
    <t>FINALIZADO. CONSÓRCIO QUITOU A EXECUÇÃO.</t>
  </si>
  <si>
    <t>Causa: Valor da causa: R$ 62.703,23 | Depósito: Sim</t>
  </si>
  <si>
    <t>21/10/2025 - SALdo residual liberado na conta do Camilo
01/10/2025 - Liberação do deposito judicial para quitação da execução. 
02/07/2025 - Intimação de vista de laudo pericial contábil.
07/02/2023 - Agravo interno do DNIT.
01/12/2022 - Negado seguimento ao AIRR.
05/02/2022 - AIRR do DNIT.
14/01/2022 - Negado seguimento ao RR do DNIT.
25/05/2016 - Aguardando julgamento IRR 0000190- 53.2015.5.03.0090
11/12/2019 - Autos migrados para Pje.</t>
  </si>
  <si>
    <t>2025-10-21T00:00:00</t>
  </si>
  <si>
    <t>Origem: BMM linha 24. Polo inferido das colunas Autor/Réu. Revisar valores em texto (ver coluna VALORES ORIGINAIS)</t>
  </si>
  <si>
    <t>0059400-23.2014.5.17.0141 (VT de Colatina / ES)</t>
  </si>
  <si>
    <t>REMOTO. A ALTA FOI ABSOLVIDA.</t>
  </si>
  <si>
    <t>Causa: Valor da causa: R$ 29.000,00</t>
  </si>
  <si>
    <t>2016-08-17T00:00:00</t>
  </si>
  <si>
    <t>🟡 MÉDIO</t>
  </si>
  <si>
    <t>03/11/2025 - Mandado de Citação e Execução, para pagamento em 03 dias, do valor de R$ 152.401,99 (atualizada até 15/04/2025), sob pena de penhora. (PRAZO DE 15 DIAS PARA DEFESA)
24/08/2023 - Decisão que não acolheu os embargos de declaração do Consórcio. 
25/10/2023 - Interposto Agravo de Instrumento nº 2399592-67.2023.8.13.0000 pelo Executado Consórcio.
05/07/2024 - o Acórdão. Agravo de Instrumento nº 2399592-67.2023.8.13.0000, negado provimento.
14/01/2025 - Petição pela Exequente requerendo a citação da Executada Alta 
19/11/2025 - Citação da Executada Alta realizada.
27/11/2025 - Embargos à Execução nº 1095925-23.2025.8.13.0024, pela Executada Alta. (Vide 
processo autónomo).</t>
  </si>
  <si>
    <t>2025-11-03T00:00:00</t>
  </si>
  <si>
    <t>Desatualizado</t>
  </si>
  <si>
    <t>Empresa; Síntese; Próx. providência</t>
  </si>
  <si>
    <t>Origem: BMM linha 25. Consórcio identificado a partir das partes. Polo inferido das colunas Autor/Réu</t>
  </si>
  <si>
    <t>EM ANDAMENTO</t>
  </si>
  <si>
    <t>5119575-46.2016.8.13.0024 (24ª Vara Cível de Belo Horizonte - MG)</t>
  </si>
  <si>
    <t>PERDA REMOTA</t>
  </si>
  <si>
    <t>20/10/2025 - Carta de intimação para apgamento do saldo remanescente no valor de R$ 26.728,17 (O Consórcio e a Spavias impugnaram o pedido.) 
(12/07/2023) Despacho intimando a Exequente para instaurar corretamente o incidente de desconsideração da personalidade jurídica, nos termos do Art. 133 do CPC, sob pena de indeferimento do pedido.
12/09/2004 - Carta de Citação - Cumprimento de Setença</t>
  </si>
  <si>
    <t>2025-10-20T00:00:00</t>
  </si>
  <si>
    <t>Origem: BMM linha 26. Outros nº vinculados: 0446459-88.2015.8.09.0051. Consórcio identificado a partir das partes. Polo inferido das colunas Autor/Réu</t>
  </si>
  <si>
    <t>0052185.74.2016.8.09.0051 (16ª Cível Goiania) 0446459.88.2015.8.09.0051 (ARQUIVADO)</t>
  </si>
  <si>
    <t>Suspenso / Sobrestado</t>
  </si>
  <si>
    <t>08/10/2025 - Processo arquivado provisioramente até encontrar bens para penhora.
02/07/2025 - Despacho suspendendo por 1 ano.
21/09/2023 - Apresentada contestação por parte da parte da Spavias.</t>
  </si>
  <si>
    <t>2025-10-08T00:00:00</t>
  </si>
  <si>
    <t>2025-07-02T00:00:00</t>
  </si>
  <si>
    <t>Empresa; Probabilidade; Exposição; Síntese; Próx. providência</t>
  </si>
  <si>
    <t>Origem: BMM linha 27. Consórcio identificado a partir das partes. Polo inferido das colunas Autor/Réu</t>
  </si>
  <si>
    <t>SUSPENSO</t>
  </si>
  <si>
    <t>5131188-29.2017.8.13.0024 (24ª Vara Cível de Belo Horizonte - MG)</t>
  </si>
  <si>
    <t>2024-09-27T00:00:00</t>
  </si>
  <si>
    <t>Origem: BMM linha 28. Consórcio identificado a partir das partes. Polo inferido das colunas Autor/Réu</t>
  </si>
  <si>
    <t>5071968-32.2019.8.13.0024 (24ª Vara Cível de Belo Horizonte/MG)</t>
  </si>
  <si>
    <t>Renata Silva</t>
  </si>
  <si>
    <t>13/06/2023 - Deferido a instauração da desconsideração da Personalidade jurídic. Aguarda-se a citação da Alta. As outras empresas apresentaram contestação. 
28/10/2025 - Carta intimatória para resposta aos autos (diante do indeferimento do pedido de inclusão da Alta no polo passivo pelo Exequente, foi interposto o Recurso n.º 5781768-60.2025.8.09.0051)
04/11/2025 - Agravo de Instrumento nº 5769701-63.2025.8.09.0051, interposto pela Executada Spavias, não provido.
12/11/2025 - Contrarrazões pela Executada Alta no Agravo de Instrumento nº 5781768-60.2025.8.09.0051.
13/11/2025 - Embargos de Declaração opostos pela Executada Spavias contra a decisão do Agravo nº 5769701-63.2025.8.09.0051.
27/11/2025 - Contrarrazões aos Embargos de Declaração pela Exequente.
02/12/2025 - Acórdão - Agravo de Instrumento nº 5781768-60.2025.8.09.0051 pela Exequente, não provido.
12/12/2025 - Embargos de Declaração opostos pela Exequente.
15/12/2025 - Decisão. Embargos de Declaração rejeitados.
07/01/2026 - Contrarrazões aos Embargos de Declaração pela Executada Alta.
12/01/2026 - Recurso Especial interposto pela Executada Spavias.</t>
  </si>
  <si>
    <t>2023-06-13T00:00:00</t>
  </si>
  <si>
    <t>Empresa; Exposição; Síntese; Próx. providência</t>
  </si>
  <si>
    <t>Origem: BMM linha 29. Consórcio identificado a partir das partes. Polo inferido das colunas Autor/Réu</t>
  </si>
  <si>
    <t>5321924.94.2018.8.09.0051 (3ª Vara Cível de Goiânia )</t>
  </si>
  <si>
    <t>2023-12-01T00:00:00</t>
  </si>
  <si>
    <t>2026-02-20T00:00:00</t>
  </si>
  <si>
    <t>Origem: BMM linha 30. Consórcio identificado a partir das partes. Polo inferido das colunas Autor/Réu</t>
  </si>
  <si>
    <t>5475775.26.2017.8.09.0137 (Vara Cível - Rio Verde - GO)</t>
  </si>
  <si>
    <t>2023-08-14T00:00:00</t>
  </si>
  <si>
    <t>2024-09-13T00:00:00</t>
  </si>
  <si>
    <t>Origem: BMM linha 31. POSSÍVEL DUPLICIDADE: mesmo nº em BMM L21. Consórcio identificado a partir das partes. Polo inferido das colunas Autor/Réu</t>
  </si>
  <si>
    <t>5116564.98.2018.8.09.0137 (Vara Cível - Rio Vede - GO)</t>
  </si>
  <si>
    <t>2025-08-29T00:00:00</t>
  </si>
  <si>
    <t>Empresa; Probabilidade; Síntese; Próx. providência</t>
  </si>
  <si>
    <t>Origem: BMM linha 32. Consórcio identificado a partir das partes. Polo inferido das colunas Autor/Réu</t>
  </si>
  <si>
    <t>5173200-24.2018.8.13.0024 (36ª Vara Cível de Belo Horizonte-MG)</t>
  </si>
  <si>
    <t>2025-04-16T00:00:00</t>
  </si>
  <si>
    <t>Origem: BMM linha 33. Consórcio identificado a partir das partes. Polo inferido das colunas Autor/Réu</t>
  </si>
  <si>
    <t>5028530-58.2016.8.13.0024 (4ª Vara Cível de Belo Horizonte-MG)</t>
  </si>
  <si>
    <t>2023-10-30T00:00:00</t>
  </si>
  <si>
    <t>Origem: BMM linha 34. Consórcio identificado a partir das partes. Polo inferido das colunas Autor/Réu</t>
  </si>
  <si>
    <t>5144250.31.2019.8.09.0137 (3ª Vara Cível de Rio Verde/GO)</t>
  </si>
  <si>
    <t>07/01/2026 - Negado provimento ao agravo de instrumento. Prosseguimento do feito.
17/05/2023 - Determinada a suspensão do processo até o julgamento do agravo de instrumento.</t>
  </si>
  <si>
    <t>2026-01-07T00:00:00</t>
  </si>
  <si>
    <t>Origem: BMM linha 35. Consórcio identificado a partir das partes. Polo inferido das colunas Autor/Réu</t>
  </si>
  <si>
    <t>5116378.75.2018.8.09.0137 (2ª Vara Cível de Rio Verde/GO)</t>
  </si>
  <si>
    <t>02/02/2026 - Redistribuido por sorteio.
06/08/2024 - Bloqueio na conta do André.
15/06/2023 - Instaurado IDPJ contra o Consórcio.</t>
  </si>
  <si>
    <t>Origem: BMM linha 36. Consórcio identificado a partir das partes. Polo inferido das colunas Autor/Réu</t>
  </si>
  <si>
    <t>0001353-
64.2013.5.05.0581 (VT de Ipiaú)</t>
  </si>
  <si>
    <t>BMM - Daniella Rodrigues Batista Alves Ribeiro</t>
  </si>
  <si>
    <t>🟠 ALTO</t>
  </si>
  <si>
    <t>25/01/2024 - Autos sobretados no TST.
19/04/2023 - Agravo interno da Alta.
04/04/2023 - Negado provimento ao AIRR da Alta.
25/01/2023 - AIRR da Alta.
12/12/2022 - Negado seguimento ao RR da Alta.
27/10/2022 - Acórdão, negado provimento ao ED da Cava com multa.
30/09/2022 - RR da Alta.
20/09/2022 - Acórdão, negado provimento ao AP da Alta.
10/02/2022 - AP da Alta.
31/01/2022 - Julgado procedente o IDPJ.
05/11/2021 - Apresentada defesa IDPJ Alta.
11/10/2021 - Restituído prazo de defesa Alta.
06/10/2021 - Alta arguiu nulidade de citação.
09/09/2021 - Alta incluída no polo passivo da ação.
20/08/2021 - Reclamante requereu o IDPJ empresas da SPA
11/08/2021 - Reclamante intimado para impulsionar o feito.
14/07/2021 - Juízo determinou expedição de ofício à JUCEMG.
05/07/2021 - Reclamante pediu a devolução da Carta precatória e pediu IDPJ.
03/12/2020 - Intimado o Reclamante a impulsionar o feito.
30/09/2020 - Determinada a expedição de ofício para penhora no rosto dos autos 0011155-
26.2018.5.18.020.
09/09/2020 - Aguardar nova hasta públlica.
13/08/2020 - substituído o bem à penhora.
18/03/2020 - Aguardando nova hasta pública.
05/03/2020 - Deferida nova hasta pública do bem penhorado.
05/02/2020 - Intimado exequente indicar meios de execução.
29/10/2019 - leilão designado para 05/12/02019
24/10/2019 - expedida carta precatória leilão
20/8/2019 - Despacho informando penhora de bem, no valor de R$ 100.000,00</t>
  </si>
  <si>
    <t>2024-01-25T00:00:00</t>
  </si>
  <si>
    <t>Origem: BMM linha 37. Consórcio identificado a partir das partes. Polo inferido das colunas Autor/Réu</t>
  </si>
  <si>
    <t>SOBRESTADO</t>
  </si>
  <si>
    <t>0010565-
52.2018.5.18.0103 (03ª VT de Rio Verde)</t>
  </si>
  <si>
    <t>PROVÁVEL INCLUSÃO POR IDPJ</t>
  </si>
  <si>
    <t>BMM - Jaqueline Ferraz Dos Santos</t>
  </si>
  <si>
    <t>31/01/2024 - AIRR da Alta.
03/01/2024 - Negado seguimento ao RR da Alta.
12/07/2023 - RR da Alta.
30/06/2023 - Acórdão - negado provimento aos Eds da Alta.
23/08/2022 - ED da Alta.
16/08/2022 - Negado provimento ao AP da Alta.
18/02/2022 - AP da Alta.
08/02/2022 - Rejeitados embargos à execução da Alta.
21/07/2021 - Embargos à execução apresentados pela Alta.
15/07/2021 - Alta intimada a opor embargos à execução.
09/07/2021 - Alta intimadada decisão que reconheceu a ausencia de intimação para embargos à execução.
13/04/2021 - ED da Alta.
06/04/2021 - Rejeitado pedido de nulidade processual arguido pela Alta.
06/08/2020 - Petição Alta arguindo nulidade processual.
27/05/2020 - Alta incluída no processo.
25/10/2019 - atualizado cálculos de liquidação.
13/08/2019 - Intimada o exequente para juntar o extrato bancário (comprovar o não pagamento do acordo)
29/04/2019 - Despacho. Determinada a notificação da reclamada para que informe, no prazo</t>
  </si>
  <si>
    <t>2024-01-31T00:00:00</t>
  </si>
  <si>
    <t>Origem: BMM linha 38. Consórcio identificado a partir das partes. Polo inferido das colunas Autor/Réu. Revisar valores em texto (ver coluna VALORES ORIGINAIS)</t>
  </si>
  <si>
    <t>0019397-
14.2017.5.16.0023 (2ª VT de
Imperatriz/MA)</t>
  </si>
  <si>
    <t>Execução: R$ 21.046,20 (A Alta foi incluída, porém, não foi citada. Penhorado da Alta valor de R$21.046,20.)</t>
  </si>
  <si>
    <t>BMM - Orivaldo Guimarães Rodrigues</t>
  </si>
  <si>
    <t>24/02/2026 - Cava e Serne excluídas da execução
10/02/2026 - Incluido em pauta de julgamento para o dia 23//02/2026.
12/01/2026 - Levantadaa suspensão do processo, conclusos para julgamento.
28/06/2023 - Autos sobrestados.
30/11/2022 -AP da Cava e da Serne.
25/11/2022 - Determinada expedição de ofício à Valec.
12/09/2022 - Procedente IDPJ e citadas para pagar: Serne, Spavias, Cava e André.
05/07/2022 - Serne citada por edital.
07/02/2022 - Autor intimado para ter vista da defesa da Cava.
30/11/2021 - Requerido IDPJ contra a Cava.
17/11/2021 - Autor intimado para promover a execução.
24/09/2021 - Audiência de conciliação.
14/06/2021 - Intimação do Consórcio para pagar o débito.
20/05/2021 - Intimação vista cálculos.
22/03/2021 - Sentença de procedência parcial.
16/03/2021 - Audiência inicial.
10/12/2020 - Audiência inicial</t>
  </si>
  <si>
    <t>2026-02-24T00:00:00</t>
  </si>
  <si>
    <t>2026-03-13T00:00:00</t>
  </si>
  <si>
    <t>Origem: BMM linha 39. Consórcio identificado a partir das partes. Polo inferido das colunas Autor/Réu</t>
  </si>
  <si>
    <t>0010754-
56.2020.5.18.0104 (4 VT de Rio Verde)</t>
  </si>
  <si>
    <t>BMM - Antonio Carlos Monteiro Da Silva</t>
  </si>
  <si>
    <t>09/07/2024 - Alta intimada sobre garantia da execução. Aguardar liberação, arquivamento.
31/05/2024 - Negado seguimento ao AIRR da Alta.
01/02/2024 - Recebido valor do processo da Sônia - R$6.900,00 (Valor pago pela Alta)
02/02/2024 - AIRR da Alta.
23/01/2024 - Negado seguimento ao RR da Alta.
13/11/2023 - RR da Alta.
30/10/2023 - Acórdão, negado provimento ao AP da Alta.
06/07/2023 - AP da Alta.
26/06/2023 - Negado o pedido de sobrestamento do processo.
02/06/2023 - Executadas intimadas para vista dos cálculos.
14/04/2023 - Acórdão - negado provimento ao apelo da Alta e condenação de multa de 2%.
14/04/2023 - Negado provimento ao agravo interno da Alta e aplicada multa.
18/11/2022 - Agravo Interno apresentado pela Alta.
07/11/2022 - Negado seguimento ao AIRR da Alta.
09/09/2022 - AIRR da Alta.
29/08/2022 - Negado seguimento ao RR da Alta.
11/07/2022 - RR da Alta.
28/06/2022 - Acórdão, negado provimento ao ED da Alta.
02/06/2022 - ED Alta.
26/05/2022 - Acórdão, excluída a Cava do polo.
12/08/2021 - Autos remetidos ao Tribunal.
24/06/2021 - Reconhecida a responsabilidade da Serne.
09/04/2021 - Decisão reconhecendo responsabilidade da Cava.
29/01/2021 - Acórdão - Alta deve aguardar decisão final para apresentar recurso.
13/10/2020 -AP da Alta.
29/09/2020 - Instaurado novo IDPJ com a Cava e Alta.
03/09/2020 - Embargos de declaração apresentado pela Alta.
26/08/2020 - Decisão condenatória Alta.
13/07/2020 - Apresentada defesa Alta.</t>
  </si>
  <si>
    <t>2024-07-09T00:00:00</t>
  </si>
  <si>
    <t>Origem: BMM linha 40. Consórcio identificado a partir das partes. Polo inferido das colunas Autor/Réu</t>
  </si>
  <si>
    <t>0010481-
51.2018.5.18.0103 (3ª VT de Rio Verde)</t>
  </si>
  <si>
    <t>BMM - Liliane Pereira</t>
  </si>
  <si>
    <t>17/12/2024 - Convolado em penhora o valor bloqueado em conta da Serne (R$ 1.095,00)
24/06/2024 - Determinado desbloqueio de aposentadoria do André.
29/04/2024 - Empresas do grupo SPA intimadas por edital para pagamento.
15/06/2023 - Intimados sobre o valor atualizado.
20/03/2023 - Procedente IDPJ contra empresas da SPA.
15/12/2022 - Instaurado o IDPJ.
28/10/2022 - Autor requereu o redirecionamento da execução contra empresas da SPA.
13/04/2022 - Rés intimadas para pagar a execução.
14/03/2022 - Sentença procedente IDPJ contra a Serne.
07/12/2021 - Serne intimada para defesa IDPJ.
21/10/2021 - Expedida CP contra SPA.
08/10/2021 - Recalmante requereu expedição de mandado de penhora e avaliação em desfavor da SPA.
01/10/2021 - Intimado do Exequente para promover a execução.
22/04/2021 - Expedida nova CP para penhora de bens Spa.
19/02/2021 - penhora infrutífera.
02/02/2021 - Carta precatória penhora bens consórcio.
16/10/2020 - Cava retirada do processo.
10/09/2020 - Provido AP da Cava.
29/05/2020 - Agravo Cava.
26/05/2020 - Consórcio e Cava intimadas a quitar o débito.
19/09/2019 - Apresentada defesa da Cava.
29/08/2019 - Exequente requereu a execução contra os sócios, mas o juízo, determinou o prosseguimento
com as consporciadas.
30/07/2019 - Exequente intimado a indicar meios de execução
16/07/2019 - expedição de mando de penhora contra o Consórcio
22/03/2019 - intimação para que o Consórcio pague a execução.
19/02/2019 - intimação para comprovar pagamento.
Acordo: R$11.000,00 em 4x
R$ 2.750,00 - 14/12/2018 a 14/03/2019.
18/12/2018 - intimação sobre descumprimento do acordo.</t>
  </si>
  <si>
    <t>2024-12-17T00:00:00</t>
  </si>
  <si>
    <t>2024-12-27T00:00:00</t>
  </si>
  <si>
    <t>Origem: BMM linha 41. Consórcio identificado a partir das partes. Polo inferido das colunas Autor/Réu</t>
  </si>
  <si>
    <t>0010795-
91.2018.5.18.0104 (04ª VT - Rio Verde)</t>
  </si>
  <si>
    <t>Dr. Pedro / Gabriela</t>
  </si>
  <si>
    <t>28/10/2025 - Restrição retirada
09/10/2025 - O juiz apreciou nossa manifestação, determinando a cessação das medidas de bloqueio bem como a liberação de todas as restrições sobre veículos.
23/09/2025 - 01 veículo foi levado a leilão pela Polícia Rodoviária Federal, sendo assim, o veículo será entregue ao arrematante. (Contato com a secretaria da Vara e explicamos a situação, e o processo foi concluso para o juiz apreciar nossa petição que pleiteia sejam cessadas as medidas restritivas e liberados o outro veículo)
12/08/2025 - Novo bloqueio em conta o valor de R$ 1.255,25 com devida transferêrencia.
11/08/2025 - Comprovante de deposito vinculado ao processo referente ao bloqueio de R$ 114,80.
30/07/2025 - Despacho: Renovação das tentativas de penhora
09/07/2025 - Despacho: Renovação das tentativas de penhora
17/09/2024 - Audiência de conciliação
23/07/2024 - Acórdão - provido para afastar bloqueio de aposentaria do Jacques e Andre.
03/04/2024 - Intimado exequente para promover execução.
28/02/2024 - Juntado relatório de operações imobiliárias da Alta.
16/02/2024 - Reclamante intimado para impulsionar o feito.
12/12/2023 - Atualizado valor da execução.
18/10/2023 - Acórdão, negado provimento ao AP do Roney.
22/06/2023 - AP do Roney.
14/06/2023 - Não conhecido AP do Roney.
22/06/2023 - AI do Roney.
19/06/2023 - Negado seguimento ao AP do Roney.
26/05/2023 - AP do Roney.
25/05/2023 - Rejeitados EE do Roney.
23/03/2023 - Atualizado valor da execução
09/03/2023 - Sisbajud em desfavor do Roney no valor de R$ 1.894,86.
29/08/2022 - Valor atualizado.
21/07/2022 - Vista às partes do cálculo da contadoria.
22/06/2022 - Provido parcialmente AP da Trail.
25/03/2022 - AP da Trail.
16/03/2022 - Reijeitada impugnação à liquidação apresentada pela Trail.
30/11/2021 - Provido em parte embargos à execução da Trail.
15/10/2021 - Embargos à execução da Tail.
13/10/2021 - Juízo determinou liberação do valor bloqueado da Trail.
20/08/2021 - Não admitidos os embargos da Alta.
23/06/2021 - Apresentados Embargos ao TST pela Alta.
11/06/2021 - Negado provimento ao agravo da Alta.
05/02/2021 - A Regimental da Alta.
14/12/2020 - Negado seguimento AIRR.
29/07/2020 - Apresentado AIRR pela Alta Engenharia
17/07/2020 - negado seguimento ao RR da Alta Engenharia.</t>
  </si>
  <si>
    <t>2025-10-28T00:00:00</t>
  </si>
  <si>
    <t>Origem: BMM linha 42. Consórcio identificado a partir das partes. Polo inferido das colunas Autor/Réu. Revisar valores em texto (ver coluna VALORES ORIGINAIS)</t>
  </si>
  <si>
    <t>0010860-
95.2018.5.18.0101 (01ª VT - de Rio Verde)</t>
  </si>
  <si>
    <t>PROVÁVEL,INCLUSÃO POR IDPJ</t>
  </si>
  <si>
    <t>Execução: R$ 18.227,06 (Bloqueio do Roney no valor de R$1.894,86.)</t>
  </si>
  <si>
    <t>BMM - Nathan Porto Lima</t>
  </si>
  <si>
    <t>16/08/2023 - Determinado sobrestamento do feito Tema 1.232 STF.
12/05/2023 - AIRR da Alta.
03/04/2023 - RR da Alta.
03/04/2023 - RR da Alta.
22/03/2023 - Acórdão Negado provimento ao AP da Alta.
07/12/2022 - AP da Alta.
25/11/2022 - Provido em parte ED da Alta.
04/10/2022.
28/09/2022 - Procedente IDPJ.
12/05/2023 - AIRR da Alta.
03/04/2023 - RR da Alta.
17/03/2023 - Acórdão - não provido AP da Alta.
07/12/2022 - AP da Alta.
23/09/2022 - Procedente IDPJ.
20/06/2022 - Apresentada defesa da Alta ao IDPJ.
20/05/2022 - Alta intimada para apresentar defesa.
02/03/2021 - Denegado seguimento ao AIRR da Cava.
17/09/2021 - AIRR da Cava.
14/09/2021 - Denegado seguimento ao RR da Cava.
13/08/2021 - RR da Cava.
11/08/2021 - Negado provimento ao AP da Cava.
22/07/2021 - ED opostos pela Cava,
20/07/2021 - Acórdão - Cava incluida no processo.
09/06/2021 - Contraminuta apresentada pela Cava.
07/06/2021 - Provido ED da Cava para declarar nulo o acórdão e intimar a Cava a responder o AP.
23/04/2021 - ED da Cava.
22/04/2021 - Provido AP do Reclamante.
25/02/2021 - AP do Reclamante.
18/02/2021 - Exclusão da Cava e inclusão da Serne.</t>
  </si>
  <si>
    <t>2023-08-16T00:00:00</t>
  </si>
  <si>
    <t>Origem: BMM linha 43. POSSÍVEL DUPLICIDADE: mesmo nº em BMM L94. Consórcio identificado a partir das partes. Polo inferido das colunas Autor/Réu</t>
  </si>
  <si>
    <t>0010941-
35.2018.5.18.0104 (04ª VT - Rio Verde)</t>
  </si>
  <si>
    <t>BMM - Amarildo Messias Maciel</t>
  </si>
  <si>
    <t>03/07/2024 - Procedente o IDPJ.
11/04/2024 - Instaurado IDPJ contra empresas do André.
22/02/2024 - Exequente intimado a impulsionar o feito.
14/07/2023 - Empresas citadas para pagar a execução.
28/10/2022 - Acórdão negado provimento ao AP da Serne.
14/06/2022 - AP apresentado pela Serne.
19/05/2022 - Procedente IDPJ contra a Serne.
01/12/2021 - Autor instaurou IDPJ contra a Serne.
19/10/2021 - Autor intimado para impulsionar o feito.
01/09/2021 - O Autor requereu IDPJA.
21/07/2021 - Autor intimado a impulsionar o feito.
20/05/2021 - Aguardando resposta ofício Valec.
17/11/2020 - Iniciada a execução forçada.
21/10/2020 - Audiência.
14/08/2020 - apresentadada defesa do Consórcio.
27/07/2020 - Rejeitada exceção de incompetência.
25/06/2020 - Autor intimado sobre Exceção de incompetência apresentada pelo Consórcio
18/05/2020 - Aguardar COVID.</t>
  </si>
  <si>
    <t>2024-07-03T00:00:00</t>
  </si>
  <si>
    <t>Origem: BMM linha 44. Consórcio identificado a partir das partes. Polo inferido das colunas Autor/Réu</t>
  </si>
  <si>
    <t>0016188-
50.2020.5.16.0017 (VT de Estreito/MA)</t>
  </si>
  <si>
    <t>20/02/2026 - Provido o recurso da Alta para afastar a responsabilidade pelos débitos do Consórcio (RDC 6). Cabe recurso.
10/12/2025 - Provido agravo interno da Alta para processar o RR. Aguardar julgamento do RR.
01/02/2024 - Recebido valor do processo da Sônia R$9.554,48 (depósito da Alta).
02/06/2023 - Autos sobrestados Tema 1.232.
23/03/2022 - Agravo interno apresentado pela Alta.
11/03/2022 - Negado provimento ao AIRR da Alta.
27/01/2022 - AIRR da Alta.
30/11/2021 - RR da Alta.
18/11/2021 - Acórdão ED da Cava e Roney - multa por embagos protelatórios.
01/10/2021 - Negado provimento ao AP da Alta. Mantida a Cava e o Roney (subsidiário).
23/04/2021 - Autos remetidos ao TRT.
05/04/2021 -AP da Cava.
04/03/2021 - Sustada ordem de bloqueio de crédito da Alta.
26/02/2021 - Rejeitada exceção de pré-executividade da Cava e expedida CP para bloqueio das
consorciadas na Valec.
19/01/2021 - Cava intimada a pagar a dívida.
10/11/2020 - Decisão dos EDs da Cava. Rejeitado. A Cava deve sofrer bloqueio.
08/10/2020 - Agravo de petição apresentado pela Alta.
07/10/2020 - Cava incluída no polo passivo.
03/09/2020 - Embargos apresentados pela Alta.
26/08/2020 - sentença IDPJ contra a Alta.
22/05/2020 - Apresentada defesa Alta.
18/03/2020 - Juíza acolheu pedido da Alta e concedeu prazo para resposta ao IDPJ.
29/11/2019 - Instaurado IDPJ.
12/11/2019 - Autor requereu IDPJ.
22/07/2019 - Por ora, execução somente contra o Consórcio
06/05/2019 - intimação para vista dos cálculos
08/02/2019 - Sentença.</t>
  </si>
  <si>
    <t>Origem: BMM linha 45. Consórcio identificado a partir das partes. Polo inferido das colunas Autor/Réu. Revisar valores em texto (ver coluna VALORES ORIGINAIS)</t>
  </si>
  <si>
    <t>0010704-
04.2018.5.18.0103 (03ª VT - Rio Verde)</t>
  </si>
  <si>
    <t>POSSÍVEL INCLUSÃO IDPJ</t>
  </si>
  <si>
    <t>Execução: R$ 20.360,76 (Iniciada a execução. Empresas incluídas. Há ordem de bloqueio de crédito das outras empresas.)</t>
  </si>
  <si>
    <t>BMM - Victoria Cordeiro De Andrade Santana</t>
  </si>
  <si>
    <t>09/01/2026 - Processo sobrestado aguardando manifestação da parte interessada.
23/07/2024 - Serne incluída no polo. Prosseguimento da execução.
22/05/2024 - Penhorado bem do André. Intimação para resposta aos embargos à execução.
10/05/2024 - Inclusão da Serne.
14/12/2023 - Reclamante pediu a inclusão de um outro consórcio.
13/10/2022 - Exequente intimado a impulsionar o feito.
07/07/2022 - Expedida CP para penhora de bens em nome do Consórcio.
11/08/2021 - Citação do Consórcio para pagar a execução sob pena de penhora.
09/06/2021 - Citação do Consórcio para pagamento.
05/05/2021 - Senteça.
09/12/2020 - AIJ.
29/06/2020 - Partes intimadas a especificar provas.
08/06/2020 - Autor intimado a impugnar a contestação.
28/05/2020 - Consórcio apresentou defesa.
19/05/2020 - Consórcio intimado a apresentar defesa.
18/03/2020 - Audiência cancelada.
24/03/2020 - Audiência una.
29/01/2020 - rejeitada a exceção de incompetência.
28/11/2019 - feito retirado de pauta para julgamento exceção de incompetência.
05/12/2019 - Audiência inicial.
Designada audiência inicial para o dia 04/11/2019 às 14:39</t>
  </si>
  <si>
    <t>2026-01-09T00:00:00</t>
  </si>
  <si>
    <t>Origem: BMM linha 46. Consórcio identificado a partir das partes. Polo inferido das colunas Autor/Réu</t>
  </si>
  <si>
    <t>0000696-
15.2019.5.05.0581 (VT de Ipiaú/BA)</t>
  </si>
  <si>
    <t>BMM - Allysson Cristiano Rodrigues Da Silva</t>
  </si>
  <si>
    <t>31/07/2024 - Convolada penhora de depósito da SPA.
07/02/2024 - Procedente o IDPJ contra a SPA.
31/10/2023 - Instaurado IDPJ inverso contra a SPA.
12/07/2023 - Empresas citadas para pagar a execução.
28/04/2023 - Procedente o IDPJ.
09/02/2023 - Instaurado IDPJ contra a Serne, André e Spavias.
28/09/2022 - Juiz ordenou pesquisa INFOJUD para averiguar as empresas que compõem o Consórcio.
22/09/2022 - Requerimento de IDPJ.
01/04/2022 - Sisbajud em desfavor do Consórcio
09/03/2022 - Consórcio citado para pagar a execução.
07/02/2022 - Iniciada a liquidação da sentença.
20/01/2022 - Sentença condenatória em desfavor do Consórcio.
24/03/2021.</t>
  </si>
  <si>
    <t>2024-07-31T00:00:00</t>
  </si>
  <si>
    <t>2025-02-18T00:00:00</t>
  </si>
  <si>
    <t>Origem: BMM linha 47. Consórcio identificado a partir das partes. Polo inferido das colunas Autor/Réu</t>
  </si>
  <si>
    <t>0000045-
57.2021.5.10.0812 (2ª VT de Araguaína)</t>
  </si>
  <si>
    <t>BMM - William Gouveia Galvao</t>
  </si>
  <si>
    <t>19/06/2024 - Suspenso o processo por depender do julgamento de outra causa 0013136-55.2023.5.03.000
26/06/2023 - Determinada expedição de RPV.
09/05/2023 - Valec citada para ciência da execução.
19/04/2023 - Procedentes os EE da Valec.
14/03/2023 - Valec apresentou embargos à execução.
26/01/2023 - Intimada a Valec para pagar a execução.
18/07/2022 - Provida Exceção de pré-executividade da Valec, o pagamento será por meio de precatório.
03/07/2022 - Valec apresentou exceção de pré-executividade.
30/06/2022 - Execução redirecionada para a Valec.
13/06/2022 - Autor intimado a impulsionar o feito.
09/05/2022 - Ordem de Sisbajud Consórcio e SPA.
02/05/2022 - Consórcio citado para pagamento da execução.
05/04/2022 - Reclamadas intimadas a apresentarem cálculos.
02/03/2022 - Negado seguimento ao recurso da Vale.
03/12/2021 - AIRR da Valec.
25/11/2021 - Negado seguimento ao RR da Valec.
23/07/2021 - RR da Valec.
13/07/2021 - Acórdão - mantida responsabilidade da Valec.
27/04/2021 - RO da Valec.
06/04/2021 - Sentença.
05/03/2021 - AIJ.
15/01/2021 - Decisão que não recebu o pedido de exceção de incompetência da Valec.
01/12/2020 - Audiência redesignada 27/01/2020.
03/11/2020 - Audiência inicial</t>
  </si>
  <si>
    <t>2024-06-19T00:00:00</t>
  </si>
  <si>
    <t>Origem: BMM linha 48. Consórcio identificado a partir das partes. Polo inferido das colunas Autor/Réu</t>
  </si>
  <si>
    <t>0010574-
51.2020.5.03.0009 (9 VT de Belo Horizonte)</t>
  </si>
  <si>
    <t>BMM - Amado José Ferreira Filho</t>
  </si>
  <si>
    <t>09/08/2023 - Autos sobrestados.
10/11/2020 - AIRR da Cava.
06/11/2020 - Negado seguimento ao RR da Cava.
14/10/2020 - Negado provimento ao ED da Cava. Condenação por embargos protelatórios.
10/09/2020 - Negado provimento ao Agravo de petição da Cava.
08/06/2020 - Agravo de petição apresentado pela Cava.
24/03/2020 - Rejeitada a exceção de pré-executividade da Cava
16/03/2020 - Autor intimado a manifestar sobre exceção de pré-executividade aprsentada pela Cava.
14/11/2019 - Exequente requereu a execução forçada do Consórcio
12/09/2019 - Autor requereu a execução
20/08/2019 - Vista as partes do cálculo da contadoria Prazo de 08 dias para impugnação 22/07/2019 - Publicada sentença
Designada audiência inicial para o dia 04/07/2019 às 09:30.</t>
  </si>
  <si>
    <t>2023-08-09T00:00:00</t>
  </si>
  <si>
    <t>Origem: BMM linha 49. Consórcio identificado a partir das partes. Polo inferido das colunas Autor/Réu. Revisar valores em texto (ver coluna VALORES ORIGINAIS)</t>
  </si>
  <si>
    <t>0010566-
06.2019.5.18.0102 (2ª VT de Rio Verde/GO)</t>
  </si>
  <si>
    <t>Execução: R$ 16.782,87 (Valor pago integral pela Cava. Multa em desfavor da Cava.)</t>
  </si>
  <si>
    <t>02/10/2026 - intimação para pagamento da execução, Valor da execução: R$ 51.155,57.
02/09/2026 - Negado provimento ao recurso da Alta, autos retornarão ao juízo de primeiro grau para que seja reiniciada a execução
24/10/2025 - Levantada a suspensão do processo. Redistribuido por afastamento.
30/01/2024 - Autos sobrestados.
14/10/2022 - Agravo interno da Alta.
03/10/2022 - Negado seguimento ao AIRR da Alta.
26/10/2021 - AIRR da Alta.
14/10/2021 - Negado seguimento ao RR da Alta.
06/08/2021 - RR da Alta.
27/07/2021 - Negado provimento ao ED da Alta.
13/07/2021 - ED da Alta.
02/07/2021 - Acórdão - negado provimento.
23/04/2021 - AP da Alta.
12/04/2021 - Rejeição Ed da Alta.
16/03/2021 - ED apresentado pela Alta.
09/03/2021 - Procendente IDPJ contra a Alta.
10/02/2021 - Defesa apresentada pela Alta.
10/12/2020 - IDPJ, Alta incluída.
27/10/2020 - Intimado o Exequente para impulsionar a execução.
12/03/2020 - Expedida carta precatória para penhora de bens do Consórcio.
19/08/2019 - Expedida carta precatória expropriação de bens do Consórcio.
15/08/2019 - intimado o Consórcio para ter vista dos cálculos
27/06/2019 - publicada sentença
Designada audiência Una para o dia 24/06/2019 às 14:10.</t>
  </si>
  <si>
    <t>2026-10-02T00:00:00</t>
  </si>
  <si>
    <t>Atenção</t>
  </si>
  <si>
    <t>Origem: BMM linha 50. Consórcio identificado a partir das partes. Polo inferido das colunas Autor/Réu</t>
  </si>
  <si>
    <t>0010519-
26.2019.5.18.0104 (4ª VT de Rio Verde/GO)</t>
  </si>
  <si>
    <t>23/06/2026 - Negado provimento ao recurso da alta, os autos retornarão ao juizo de primeiro grau para que seja reiniciada a execução.
11/10/2023 - Autos sobrestados.
19/05/2023 - Agravo Interno da Alta.
09/05/2023 - Negado seguimento ao AIRR da Alta.
24/08/2022 - AIRR da Alta.
12/08/2022 - Negado seguimento aos RRs.
14/07/2022 - RR da Alta.
04/07/2022 - Negado provimento ao ED da Alta.
15/06/2022 - ED da Alta.
08/06/2022 - Acórdão, mantida responsabilidade da Alta e Cava e excluída a Serne.
01/02/2022 - Agravo de petição da Trail.
10/12/2021 - Rejeitada exceção de pré-executividade da Trail.
26/10/2021 - Exceção de pré-executividade apresentada pela Trail.
19/07/2021 - Serne absolvida.
31/05/2021 - Instaurado IDPJ contra a CAVA.
25/05/2021 - AP Alta.
13/05/2021 - Negado provimento ao ED Alta.
30/03/2021 - ED Alta.
23/03/2021 - Procedente IDPJ contra Alta e Cava.
18/01/2021 - Cava incluida no processo.
23/09/2020 - Apresentada defesa da Alta.
27/08/2020 - Deferido prazo de defesa à Alta.
18/08/2020 - Manifestação Alta.
17/08/2020 - Alta intimada a quitar a execução.
24/06/2020 - Reclamante intimado a manifestar sober defesas. Alta não fo intimada.
03/03/2020 - Intimado responder agravo de petição do reclamante.
12/12/2019 - reconhecido grupo econômico com a Alta. empresa não foi citada.
21/10/2019 - Homologado cálculo de liquidação. Aguardar exequente impulsionar o feito.
10/10/2019 - acolhida impugnação do cálculo feito pelo Autor. Aguardar autalização.
16/08/2019 - Vistas as partes da planilha juntada, prazo de 8 dias para impugnação. 04/07/2019 - iniciada.</t>
  </si>
  <si>
    <t>2026-06-23T00:00:00</t>
  </si>
  <si>
    <t>Origem: BMM linha 51. Consórcio identificado a partir das partes. Polo inferido das colunas Autor/Réu</t>
  </si>
  <si>
    <t>0010266-
75.2018.5.18.0103 (03ª VT de Rio Verde)</t>
  </si>
  <si>
    <t>2019-06-26T00:00:00</t>
  </si>
  <si>
    <t>BMM - Sandro Aparecido Vieira De Moraes</t>
  </si>
  <si>
    <t>03/12/2024 - Autos sobrestados
02/12/2024 - Decisão do TST no sentido de sobrestar o andamento do processo até o término do julgametno do Tema 1.232 do STF (iscutimos a inclusão da Alta Engenharia como responsável por débitos do Consórcio)
08/08/2022 - Agravo interno da Alta.
04/07/2022 - Negado provimento ao AIRR da Alta.
25/04/2022 - AIRR da Alta.
06/04/2022 - Negado seguimento ao RR da Alta.
'30/03/2022 - RR da Alta.
18/03/2022 - Negado provimento aos EDs da Alta.
27/01/2022 - ED apresentado pela Alta.
17/12/2021 - Acórdão - limitada a responsabilidade da Alta.
29/07/2021 - Procedente IDPJ contra a Serne.
23/06/2016 - Inclusão da Serne e BRP Participações.
05/05/2021 - AP da Cava.
23/03/2021 - Procedente IDPJ contra a Cava.
02/02/2021 - Apresentado AP da Alta.
18/01/2021 - Chamada a Cava ao processo.
27/08/2020 - Apresentada defesa Alta.
05/08/2020 - Autorizada a devolução do prazo para defesa
18/06/2020 - Arguição de nulidade processual por parte da Alta.
12/05/2020 - instaurado IDPJ.
07/04/2020 - Exequente intimado para indicar meios de execução.
10/03/2020 - Expedido mandado de penhora e avaliação contra bens do Consórcio.
23/01/2020 - homologados cálculos de liquidação.
05/12/2019 - Intimação para o Consórcio ter vista dos cálculos.
23/08/2019 -Consórcio intimado a se manifestar sobre inadimplemento do acordo
Designada audiência inicial para o dia 17/07/2019 às 08:30</t>
  </si>
  <si>
    <t>2024-12-03T00:00:00</t>
  </si>
  <si>
    <t>Origem: BMM linha 52. Consórcio identificado a partir das partes. Polo inferido das colunas Autor/Réu</t>
  </si>
  <si>
    <t>0010607-
67.2019.5.18.0103 (3ª VT de Rio Verde/GO)</t>
  </si>
  <si>
    <t>08/11/2023 - Autos sobrestados.
19/06/2023 - Agravo interno da Alta.
06/06/2023 - Negado seguimento ao AIRR da Alta.
25/10/2021 - AIRR da Alta.
13/10/2021 - Negado seguimento ao RR da Alta.
03/09/2021 - RR da Alta.
24/08/2021 - Acórdão - provido parcialmente AP da Alta.
07/06/2021 - Reclamante intimado para indicar conta para sacar valor.
13/05/2021 - Recebido valor sobejante (R$3.487,81) dos autos de nº 0011320-71.2015.5.18.0171.
23/04/2021 - AP da Alta.
12/04/2021 - rejeião ED da Alta.
15/03/2021 - ED Alta.
08/03/2021 - Decisão IDPJ contrária a Alta.
09/10/2020 - Acórdão - anulado IDPJ. Atuação de ofício juízo.
29/01/2020 - Alta arguiu nulidades processuais.
12/12/2019 - condenada Spavia, André e Cava. Juíza nada mencionou sobre a Alta.
11/11/2019 - intimado o Autor a manifestar sobre as defesas IDPJ.
15/08/2019 - instaurado IDPJ
25/04/2019 - Homologado o cálculo apresentado pela contadoria, fixando a execução em 16.023,49. A Reclamada foi intimada para efetuar o pagamento no prazo de 15 dias. 05/04/2019 - vista dos cálculos da contadoria
11/02/2019 - Sentença publicada.</t>
  </si>
  <si>
    <t>2023-11-08T00:00:00</t>
  </si>
  <si>
    <t>Origem: BMM linha 53. Consórcio identificado a partir das partes. Polo inferido das colunas Autor/Réu</t>
  </si>
  <si>
    <t>0010719-
67.2018.5.18.0104 (04ª VT de Rio Verde)</t>
  </si>
  <si>
    <t>BMM - Maraisa Silva Sampaio</t>
  </si>
  <si>
    <t>🔴 CRÍTICO</t>
  </si>
  <si>
    <t>07/0/2023 - Remetido os autos para TST para processar recurso.
09/11/2022 - AIRR da Alta.
25/10/2022 - Negado seguimento ao RR da Alta.
05/04/2022 - RR da Alta.
24/03/2022 - Acórdão- negado provimento ao RR da Alta.
05/04/2022 - RR da Alta.
24/03/2022 - Acórdão - negado provimento ao AP da Alta.
30/03/2021 - Apresentado AP da Alta.
16/03/2021 - Procedente IDPJ.
25/11/2020 - Juízo acolheu alegação de nulidade processual arguida pela Alta e determina seguir o rito do
IDPJ.
02/06/2020 - incluída a Alta no polo passivo.</t>
  </si>
  <si>
    <t>Origem: BMM linha 54. Consórcio identificado a partir das partes. Polo inferido das colunas Autor/Réu</t>
  </si>
  <si>
    <t>0016196-
95.2018.5.16.0017 (VT de Estreito/MA)</t>
  </si>
  <si>
    <t>BMM - Gleuvan Araujo Portela</t>
  </si>
  <si>
    <t>09/10/2025 - Conlusos os autos para julgamento do incidente de desconsideração da personalidade jurídica. 
24/09/2024 - Inclupidas as empresas HD Serviços, DK Comercio, Maserv, Industria Bom Gosto, Denzito, Maserge Maranhão
16/08/2024 - Requerido IDPJ para inclusões das empresas Andre Von Bentzeen Rodrigues
16/08/2024 - Reclamante intimado para impulsionar a execução
16/02/2023 - Juízo retomou de ofício a execução.
14/11/2022 - Intimado o Exequente para promover a execução sob pena de prescrição intercorrente.
07/07/2021 - Instaurado de ofício IDPJ contra a Serne.
14/02/2020 - Consórcio intimado para quitar o débito.
04/02/2020 - Autor intimado a iniciar a execução.
20/01/2020 - Reclamada intimada para impugnar os cáculos do Reclamante. 13/01/2020 - Reclamante
intimado para apresentar cálculos de liquidação. 10/12/2019 - Consórcio intimado a pagar.
26/11/2019 - Sentença
04/07/2019 - processo incluído em 29/07/2019
25/06/2019 - exceção rejeitada. Aguardando inclusão em pauta.
Designada audiência inicial para o dia 04/04/2019 às 08:45</t>
  </si>
  <si>
    <t>2025-10-09T00:00:00</t>
  </si>
  <si>
    <t>Origem: BMM linha 55. Consórcio identificado a partir das partes. Polo inferido das colunas Autor/Réu</t>
  </si>
  <si>
    <t>0000273-
60.2019.5.22.0103 (VT de Picos/PI)</t>
  </si>
  <si>
    <t>03/09/2025 - Processo sobrestado.
04/03/2024 - Processo reunido ao processo 0000696-15.2019.5.05.05.0581.
14/12/2023 - Reclamante pediu a inclusão de um novo consórcio.
05/06/2023 - Pedido de IDPJ contra André e Bruno (SPA).
16/07/2021 - Consórci intimado para pagar o débito.
05/05/2021 - Sentença.
25/02/2021 - Audiência de instrução.
13/03/2020 -apreentada contestação.
17/03/2020 - Audiência una.
20/01/2020 - Rejeitada a Exceção de Incompetência.
Aguardando julgamento exceção de incompetência.</t>
  </si>
  <si>
    <t>2025-09-03T00:00:00</t>
  </si>
  <si>
    <t>Origem: BMM linha 56. Consórcio identificado a partir das partes. Polo inferido das colunas Autor/Réu</t>
  </si>
  <si>
    <t>0000743-
86.2019.5.05.0581 (VT de Ipiaú/BA)</t>
  </si>
  <si>
    <t>BMM - Gracielle Paiva Borges</t>
  </si>
  <si>
    <t>29/01/2025 - Julgado improcedente embargos Serne.
16/12/2024 - Embargos à execução Serne
06/05/2024 - Bloqueado saldo do André. Não é a integralidade da dexecução.
03/04/2024 - Intimado o Autor para promover meios de execução.
01/03/2024 - Acórdão - negado provimento ao AP do Roney.
18/12/2023 - AP do Roney.
10/11/2023 - Procedente o IDPJ contra Roney e André.
13/10/2023 - Anulada sentença. Será prolatada nova sentença de IDPJ.
05/10/2023 - Sentença que acolheu o pedido de IDPJ 
12/06/2023 - Autor intimado para promover a execução.
06/04/2023 - Sisbajud em desfavor dos Réus.
14/03/2023 - Citação para os réus pagarem a execução.
17/02/2023 - Intimadas as partes sobre os cálculos de liquidação.
09/01/2023 - Rejetado o ED da Serne e não conhecido o recurso oridnário por deserção.
13/12/2022 - Ed da Serne.
12/12/2022 - Serme intimada para solver custas.
03/11/2022 - RO da Serne.
25/10/2022 - Negado provimento aos Eds da Serne e com multa.
28/09/2022 - Sentença condenatória
22/09/2022 - AIJ.
21/06/2022 - Audiência inicial</t>
  </si>
  <si>
    <t>2025-01-29T00:00:00</t>
  </si>
  <si>
    <t>2026-02-22T00:00:00</t>
  </si>
  <si>
    <t>Origem: BMM linha 57. Consórcio identificado a partir das partes. Polo inferido das colunas Autor/Réu</t>
  </si>
  <si>
    <t>0010451-
80.2022.5.18.0101 (1ª VT de Rio Verde/GO)</t>
  </si>
  <si>
    <t>20/02/2026 - Sentença mantendo a decisão.
02/02/2026 - Contrarrazões.
21/01/2026 - Juntada de embargos de declaração.
08/01/2026 - Decisão de aceitar o incidente de desconsideração inversa e que a CAVA passa a responder pela divida. 
15/04/2025 - Encerrada a suspensão.
18/02/2025 - Suspenso por prescrição intecorrente.
12/02/2025 - Encerrada a suspensão.
02/07/2024 - Processo suspenso por execução frustrada.
15/05/2024 - Autor intimado para promover a execução.
28/02/2024 - Acórdão com multa para o Roney.
02/02/2024 - Acórdão - negado provimento ao AP do Roney.
28/11/2023 - Agravo do Roney.
13/11/2023 - Procedente o IDPJ contra o Roney e o André.
16/08/2023 - IDPJ contra o Roney.
01/08/2023 - Requerido IDPJ
26/07/2023 - Intimado o exequente para fornecer meios de execução.
02/05/2023 - Citação para pagamento da execução.
23/03/2023 - Vista dos cálculos.
23/02/2023 - Não conhecido RO da Serne.
08/01/2023 - O ED da Serne foi rejeitado.
16/12/2022 - Ed da Serne.
15/12/2022 - Serne intimada para solver custas.
03/11/2022 - RO da Serne.
25/10/2022 - Negado provimento aos Eds da Serne e com multa.
04/10/2022 - Sentença condenatória
22/09/2022 - AIJ.
21/06/2022 - Audiência inicial</t>
  </si>
  <si>
    <t>Origem: BMM linha 58. Consórcio identificado a partir das partes. Polo inferido das colunas Autor/Réu. Revisar valores em texto (ver coluna VALORES ORIGINAIS)</t>
  </si>
  <si>
    <t>0010450-
95.2022.5.18.0101 (1ª VT de Rio Verde/GO)</t>
  </si>
  <si>
    <t>Causa: .</t>
  </si>
  <si>
    <t>28/08/2024 - Suspenso o processo por execução frustrada
11/06/2024 - Intimação para o Reclamante.
27/04/2024 - IDPJ contra outras empresas da SPA.
27/02/2024 - Autos arquivados provisioriamente.
06/02/2024 - Exequente intimado para impulsionar o feito.
15/09/2023 - Atualizado valor da execução.
31/08/2023 - Bloqueio na conta do André.
21/06/2023 - Procedente IDPJ contra o Roney.
07/03/2023 - Expedida CP para penhora de créditos em favor da Valec.
17/01/2023 - Expedida Carta Precatória para Brasília.
16/12/2022 - Reclamante pediu expedição de ofício à Valec.
06/12/2022 - Exequente foi intimado para promover a execução.
27/09/2022 - Rés citadas para pagar a execução.
13/09/2022 - Apresentada liquidação da sentença pela contadoria.
30/05/2022 - Negado provimento aos Eds da Serne com multa.
03/05/2022 - Sentença condenatória da Serne.
11/03/2022 - Contestação da Serne. Pediu a inclusão da Alta.
24/02/2022 - Audiência inicial</t>
  </si>
  <si>
    <t>2024-08-28T00:00:00</t>
  </si>
  <si>
    <t>Origem: BMM linha 59. Consórcio identificado a partir das partes. Polo inferido das colunas Autor/Réu</t>
  </si>
  <si>
    <t>0010076-
73.2022.5.18.0103 (3ª VT de Rio Verde / GO)</t>
  </si>
  <si>
    <t>03/03/2026 - Conclusos para despacho.
28/03/2025 - Negado provimento do agravo de petição.
16/10/2024 - Agravo de petição.
07/10/2024 - Deferido IDPJ e incluídos Montana Participações LTDA, Andre Von Bentezeen Rodrigues, Serne Engenharia Eireli, Spavias Engenharia LTDA, Bruno Von Bentzeen Rodrigues, Brp-Participações e Locações LTDA, Roney Geraldo Nogueira.
01/08/2023 - Requerido IDPJ contra o Roney.
26/09/2022 - Intimação para pagamento da execução.
29/07/2022 - Vistas partes dos cálculos.
20/05/2022 - Não conhecido AIRO da Serne.
05/04/2022 - Relator intimou a Serne para fazer preparo RO.
20/12/2021 - AIRO da Serne.
14/12/2021 - Não recebido RO da Serne.
23/11/2021 - RO da Serne.
04/11/2021 - Procedente o pedido com condenação solidária da Serne.
13/09/2021 - Os autos foram distribuídos nesta data.
15/09/2021 - designada audiência inicial.</t>
  </si>
  <si>
    <t>2026-03-03T00:00:00</t>
  </si>
  <si>
    <t>Origem: BMM linha 60. Consórcio identificado a partir das partes. Polo inferido das colunas Autor/Réu</t>
  </si>
  <si>
    <t>0010751-
67.2021.5.18.0104 (4ª VT de Rio Verde/GO)</t>
  </si>
  <si>
    <t>BMM - Juracy Geraldo De Pinho</t>
  </si>
  <si>
    <t>14/08/2023 - Determinado o registro de protesto da dívida em nome do Consórcio.
24/03/2023 - Homolgado saldo residual a pagar.
02/02/2023 - Liberado valor em favor do Reclamante.
11/10/2022 - Bloqueado valor de previdência de BRUNO VON BENTZEEN RODRIGUES
15/09/2022 - O processo foi reunido na execução piloto - 0010558-94.2020.5.03.0010.
30/08/2022 - Expedida notificação ao Consórcio.</t>
  </si>
  <si>
    <t>2026-01-27T00:00:00</t>
  </si>
  <si>
    <t>Origem: BMM linha 61. Consórcio identificado a partir das partes. Polo inferido das colunas Autor/Réu</t>
  </si>
  <si>
    <t>0010733-
31.2019.5.03.0105 (26 VT de BH)</t>
  </si>
  <si>
    <t>02/09/2026 - Tendo havido o bloqueio integral do valor pela Alta, após o pagamento o processo será baixado.
30/07/2026 - Valor de R$ 18.518,51 bloqueado em contas da Alta.
12/06/2026 - intimação de cálculos com valor atualizado de execução em desfavor da Alta. Valor devido pela Alta: R$ 16.267,56.
21/10/2025 - intimação de cálculos com valor de execução em desfavor da Alta.
06/05/2025 - Audiência de conciliação realizada. Concluso para sentença. Os autos serão conclusos para análise do recurso do Trail que discute o bloqueio judicial.
29/05/2025 - Intimação de designação de audiência de conciliação. (A execução está integralmente garantida por bloqueio judicial em desfavor da Trail.)
09/05/2024 - Intimação das Rés para quitar a dívida.
26/03/2024 - Negado provimento ao AIRR da Alta.
23/01/2023 - AIRR da Alta.
19/12/2023 - Negado seguimento ao RR da Alta.
30/10/2023 - RR da Alta.
18/10/2023 - Acórdão negado provimento ao AP da Alta.
06/07/2023 - AP da Alta.
26/06/2023 - Negado o pedido de sobrestamento do processo.
14/06/2023 - Alta pediu o sobrestamento do processo.
06/03/2023 - Acórdão - negado provimento ao Agravo Interno da Alta.
19/09/2022 - Agravo interno da Alta.
06/09/2022 - Negado seguimento ao AIRR da Alta.
22/06/2022 - AIRR da Alta.
08/06/2022 - Negado seguimento ao RR da Alta.
05/05/2022 - RR da Alta.
22/04/2022 - Provido AP do Ronney para retirá-lo do polo por agora, e limitada a responsabilidade da Alta.
03/09/2021 - Agravo de Petição da Alta.
24/08/2021 - Decisão dos EDs. Execução redirecionada em desfavor do Ronney,
15/07/2021 - Ed apresentados pela Alta.
08/07/2021 - Provida a execeção de pré-executividade do Roney.
09/06/2021 - Apresentada Exceção de pré-executividade pelo Roney.
24/05/2021 - Lançada restrição imóvel do Roney.
30/04/2021 - Execução redirecionada ao Roney.
19/02/2021 - Intimado Reclamante para promover o feito.
12/11/2019 - Apresentada impugnação à defesa. Arguardar julgamento.
02/10/2019 - citada Alta para apresentar defesa ao IDPJ.
15/08/2019 - intimação o Exequente indicar meios de execução.</t>
  </si>
  <si>
    <t>2026-09-02T00:00:00</t>
  </si>
  <si>
    <t>Origem: BMM linha 62. Consórcio identificado a partir das partes. Polo inferido das colunas Autor/Réu. Revisar valores em texto (ver coluna VALORES ORIGINAIS)</t>
  </si>
  <si>
    <t>0010751-
72.2018.5.18.0104 (04ª VT - Rio Verde)</t>
  </si>
  <si>
    <t>Execução: R$ 39.654,31 R$ 16.267,56 ? | Depósito: Sim(Trail)</t>
  </si>
  <si>
    <t>BMM - João Luiz Arzeno da Silva / Pedro Henrique</t>
  </si>
  <si>
    <t>3/10/2024 - Arquivado para Alta, pagou a cota parte devida pela responsabilidade delimitada na sentença.
04/07/2024 - Bloqueio integral em desfavor da Alta.
17/06/2024 - Reclamadas intimadas para pagar a execução.
29/05/2024 - Homolgada execução.
22/03/2024 - Alta intimada para ter vista dos cálculos,
16/01/2024 - Negado seguimento ao RR do Reclamante.
09/10/2023 - Acórdão, negado provimento ao ED da Cava com multa.
22/09/2023 - RR do Reclamante.
13/09/2023 - ED da Cava.
12/09/2023 - Acórdão, provido parcialmente RO da Alta para limitar a condenação a 02/08/2018.
30/06/2023 - Audiência de conciliação sem acordo.
22/05/2023 - RO adesivo da Cava.
12/05/2023 - RO da Alta.
30/03/2023 - Sentença condenatória de todas as empresas, inclusive, subsidiariamente da Valec.
16/03/2023 - AIJ.
10/11/2022 - Audiência. Inclusão da Serne.
29/06/2022 - A Alta foi ressarcida das custas depositadas no TRT 6 Região.
31/05/2022 - Deferido o aditamento da petição inicial para incluir a Valec.
07/04/2022 - Audiência inicial perante 3 VT de Rio Verde.
24/03/2022 - Autuado os autos perante o TRT 18
21/10/2021 - Restituído valor em favor da Alta (R$10.279,48)
20/08/2021 - Provido em parte ED da Alta.
22/06/2021 - ED da Alta.
16/06/2021 - Acórdão - acolhida a exceção de incompetencia territorial arguida pela Cava.
19/10/2020 - RO da Alta.
05/10/2020 - Sentença dos Eds.
30/09/2020 - ED da Alta.
23/09/2020 - Sentença.
26/08/2020 - AIJ.</t>
  </si>
  <si>
    <t>Origem: BMM linha 63. POSSÍVEL DUPLICIDADE: mesmo nº em BMM L68. Consórcio identificado a partir das partes. Polo inferido das colunas Autor/Réu. Revisar valores em texto (ver coluna VALORES ORIGINAIS)</t>
  </si>
  <si>
    <t>0010251-
67.2022.5.18.0103 (3ª de Rio Verde)</t>
  </si>
  <si>
    <t>Execução: 14378,33 (O valor da execuçaõ está só pelo valor devido pela Alta. O valor total da execuçã é de R$203.731,64. Será liberado em favor do reclamante o depósito da Alta no valor de R$13.908,75.)</t>
  </si>
  <si>
    <t>2025-07-09T00:00:00</t>
  </si>
  <si>
    <t>16/07/2025 - Carta de Citação e Intimação (INCIDENTE DE DESCONSIDERAÇÃO DA PERSONALIDADE JURÍDICA)
20/10/2025 - Sentença: improcedente o pedido quanto ao incidente de desconsideração da personalidade jurídica. (Aguardemos eventual recurso do Autor)
PROCESSO ORIGINAL MOVIDO SOMENTE CONTRA A SETOR SUL
18/11/2025 - Recurso de Apelação pelo CONSORCIO PLANEP - CEPPLA.
18/12/2025 - Contrarrazões ao Recurso de Apelação pela Movida.
21/01/2026 - Contrarrazões ao Recurso de Apelação pelo Francisney</t>
  </si>
  <si>
    <t>2025-07-16T00:00:00</t>
  </si>
  <si>
    <t>Origem: BMM linha 64. Consórcio identificado a partir das partes. Polo inferido das colunas Autor/Réu</t>
  </si>
  <si>
    <t>BMM - Gil Vieira De Carvalho Neto</t>
  </si>
  <si>
    <t>11/10/2023 - Autos sobrestados.
08/03/2022 - Agravo interno da Alta.
22/02/2022 - Negado provimento ao AIRR por decisão monocrática.
05/08/2021 - Autos conclusos no TST.
29/03/2021 - AIRR Alta.
18/02/2021 - RR da Alta.
03/02/2021 - Acórdao em ED. Provido para retificar erros no julgado.
12/11/2020 - Acórdão- mantida decisão de 1º grau.
04/09/2020 - Agravo de petição protocolado pela Alta e Cava.
29/07/2020 - Sentença. Alta condenada subsidiariamente no percentual de 3/4. Cava condenação solidária.
23/06/2020 - Reaberto prazo para a Alta apresentar defesa.
05/06/2020 - Protocolo arguindo nulidades Alta
25/03/2020 - IDPJ
11/03/2020 - Autor intimado a manifestar pesquisa CCS.
27/11/2019 - Intimado Autor para fornecer meios de execução.
13/11/2019 - Bacenjud e Renajud infrutíferos.
18/10/2019 - homologado valor do débito. Intimação para pagamento.
01/10/2019 - Despacho intimando para comprovar o pgamento da execução no prazo de 48 horas.
20/09/2019 - Intimação para pagamento do débito no prazo de 48 horas, sob pena de execução.</t>
  </si>
  <si>
    <t>2023-10-11T00:00:00</t>
  </si>
  <si>
    <t>Origem: BMM linha 65. Consórcio identificado a partir das partes. Polo inferido das colunas Autor/Réu</t>
  </si>
  <si>
    <t>EXECUÇÃO (Alta Condenada subsidiariamente)</t>
  </si>
  <si>
    <t>0010552-
28.2019.5.03.0138 (38ª VT de BH)</t>
  </si>
  <si>
    <t>07/01/2026 - Conclusos para decisão.
22/08/2023 - Cuida-se de decisão que determinou o prosseguimento do feito com a realização de pesquisa Sniper eSisbajud.</t>
  </si>
  <si>
    <t>Origem: BMM linha 66. Consórcio identificado a partir das partes. Polo inferido das colunas Autor/Réu</t>
  </si>
  <si>
    <t>EXECUÇÃO DE TÍTULO EXTRAJUDICIAL</t>
  </si>
  <si>
    <t>5158368-83.2018.8.13.0024 (24ª Vara Cível de BH)</t>
  </si>
  <si>
    <t>03/04/2024 - Autos sobrestados aguardando o trânsito em julgado do processo principal.
27/04/2023 - Acórdão, negado provimento ao AP da Cava.
23/08/2022 - AP da Cava.
19/08/2022 - Negado provimento aos EDS da Cava.
20/05/2022 - Senteça de Embargos à Execução da Cava, rejeitada impugnação.
19/04/2022 - Sisbajud integral em desfavor da Cava.
30/06/2021 - Iniciada execução provisória.</t>
  </si>
  <si>
    <t>2024-04-03T00:00:00</t>
  </si>
  <si>
    <t>2026-02-26T00:00:00</t>
  </si>
  <si>
    <t>Origem: BMM linha 67. Consórcio identificado a partir das partes. Polo inferido das colunas Autor/Réu. Revisar valores em texto (ver coluna VALORES ORIGINAIS)</t>
  </si>
  <si>
    <t>EXECUÇÃO PROVISÓRIA</t>
  </si>
  <si>
    <t>0010471-
11.2021.5.03.0138 (38ª VT de BH)</t>
  </si>
  <si>
    <t>Causa: 58038,42 (A Alta é foi condenada em 3/4 do débtido e subsidiária.)</t>
  </si>
  <si>
    <t>2019-11-05T00:00:00</t>
  </si>
  <si>
    <t>3/10/2024 - Arquivado para Alta, pagou a cota parte devida pela responsabilidade delimitada na sentença
29.12.2023 - Contestação apresentada pelo Município de Belo Horizonte.</t>
  </si>
  <si>
    <t>Origem: BMM linha 68. POSSÍVEL DUPLICIDADE: mesmo nº em BMM L63. Consórcio identificado a partir das partes. Polo inferido das colunas Autor/Réu. Revisar valores em texto (ver coluna VALORES ORIGINAIS)</t>
  </si>
  <si>
    <t>FASE PROCESSUAL</t>
  </si>
  <si>
    <t>ATOrd 0010251-67.2022.5.18.0103 (TRT 18ª Região)</t>
  </si>
  <si>
    <t>Causa: Pretenção R$ 261.849,65</t>
  </si>
  <si>
    <t>(25/09/2023) O processo encontra-se paralisado, aguarda-se o prosseguimento do feito.
(06/08/2024) Aguarda-se realização da audiência AIJ
17/12/2025 - Sentença. Pedido autoral julgado parcialmente procedente para condenar as rés Spavias, Alta e Trail, de forma solidária, ao ressarcimento de 50% das despesas efetuadas pelo INSS com o pagamento de beneficios de pensão por morte.
13/01/2026 - Embargos de Declaração opostos pela Ré Alta.
23/01/2026 - Contrarrazões aos Embargos de Declaração pelo INSS.</t>
  </si>
  <si>
    <t>Fase; Empresa; Exposição; Síntese; Próx. providência</t>
  </si>
  <si>
    <t>Origem: BMM linha 69. Consórcio identificado a partir das partes. Polo inferido das colunas Autor/Réu</t>
  </si>
  <si>
    <t>1002777-19.2018.4.01.3500 (087ª VF Goânia)</t>
  </si>
  <si>
    <t>2013-04-03T00:00:00</t>
  </si>
  <si>
    <t>Dr Leonel Martins Bispo</t>
  </si>
  <si>
    <t>Origem: BMM linha 70. Polo inferido das colunas Autor/Réu</t>
  </si>
  <si>
    <t>TRIBUTÁRIO</t>
  </si>
  <si>
    <t>FINAL</t>
  </si>
  <si>
    <t>0015510.80.2013.4.01.3800 (13ª Vara Federal Belo Horizonte)</t>
  </si>
  <si>
    <t>2021-11-05T00:00:00</t>
  </si>
  <si>
    <t>Leonel Martins Bispo</t>
  </si>
  <si>
    <t>05/11/2021 - A Execução foi ajuizada nesta data.
01/09/2023 - A empresa peticionou informando que não obteve a guia para quitação do débito
executado. Na mesma petição, requereu a intimação, com urgência, do Município, para
que este emita a guia de recolhimento para pagamento integral do referido débito.
14/09/2023 - O Município de São Desidério peticionou informando que o débito executado foi quitado. Diante disso, o Município pediu a extinção da Execução.
16/09/2023 - Proferida sentença por meio da qual foi extinta a Execução em virtude da quitação do débito.
14/11/2023 - Certificado o trânsito em julgado.
09/10/2024 - Pagamento da guia de custas finais.</t>
  </si>
  <si>
    <t>Origem: BMM linha 71. Polo inferido das colunas Autor/Réu. Revisar valores em texto (ver coluna VALORES ORIGINAIS)</t>
  </si>
  <si>
    <t>8002509.98.2021.8.05.0231 (Vara Fórum de São Desidério)</t>
  </si>
  <si>
    <t>Causa: Valor da causa: R$ 7.335,99</t>
  </si>
  <si>
    <t>2019-05-14T00:00:00</t>
  </si>
  <si>
    <t>(17/05/2019) A Impugnação foi apresentada nesta data. Demonstrou-se, nela, que foi aplicada legislação equivocada por parte da Prefeitura (a autuação se refere a um período que vai até junho de 2015, mas, no Auto de Infração, a Prefeitura mencionou a Lei 146 de
2017). Demonstrou-se, ainda, que a empresa já havia sido fiscalizada quanto a uma
parte do período agora autuado. Por fim, atestou-se que uma parcela dos débitos não
poderia ser cobrada, tendo em vista a perda de prazo pela Prefeitura. (19/09/2023) Aguarda-se o julgamento da Impugnação da empresa.
19/08/2025- O Tribunal Regional Federal analisou os Agravos Internos interpostos pela empresa e 
entendeu que os Recursos Especial e Extraordinário por ela apresentados não devem 
ser admitidos. Tendo em vista a ausência de perspectiva de reversão da situação considerando-se o 
entendimento do Judiciário sobre a matéria, não serão apresentados novos recursos. 
11/10/2025 - Trânsito em julgado. 
28/11/2025- O processo foi recebido na primeira instância.
12/12/2025 - O processo foi arquivado definitivamente.</t>
  </si>
  <si>
    <t>Origem: BMM linha 72. Polo inferido das colunas Autor/Réu. Revisar valores em texto (ver coluna VALORES ORIGINAIS)</t>
  </si>
  <si>
    <t>TRIBUTÁRIO ADMINISTRATIVO</t>
  </si>
  <si>
    <t>INICIAL</t>
  </si>
  <si>
    <t>Causa: Valor da causa: R$ 76.138,74</t>
  </si>
  <si>
    <t>2019-05-02T00:00:00</t>
  </si>
  <si>
    <t>■■□□□□□□□ 2/9</t>
  </si>
  <si>
    <t>2026-01-22T00:00:00</t>
  </si>
  <si>
    <t>Origem: BMM linha 73. Revisar valores em texto (ver coluna VALORES ORIGINAIS)</t>
  </si>
  <si>
    <t>Causa: Valor da causa: R$ 187.427,45</t>
  </si>
  <si>
    <t>2019-05-19T00:00:00</t>
  </si>
  <si>
    <t>30/09/2025 - Remetido os autos em grau de recurso para tribunal.
01/09/2023 - Cuida-se de sentença que julgou improcedente o pedido inicial.</t>
  </si>
  <si>
    <t>2025-09-30T00:00:00</t>
  </si>
  <si>
    <t>Origem: BMM linha 74. Obs. no nº do processo: TRF1 BRASILIA. Consórcio identificado a partir das partes. Polo inferido das colunas Autor/Réu</t>
  </si>
  <si>
    <t>1012801-81.2019.4.01.3400 (TRF1 BRASILIA)</t>
  </si>
  <si>
    <t>🟢 BAIXO</t>
  </si>
  <si>
    <t>12/09/2025 - O juiz não autorizou, por enquanto, bloquear valores das empresas consorciadas (Spavias Engenharia Ltda e Serne Engenharia Ltda), mesmo existindo cláusula de responsabilidade solidária no contrato do consórcio, porque essas empresas não participaram da fase inicial do processo e precisariam ser citadas para exercer defesa.
18/06/2025 - O juiz determinou que a parte credora apresente em 15 dias o contrato completo de constituição do consórcio (e eventuais aditivos), devidamente registrado, para verificar se as empresas consorciadas têm responsabilidade pela dívida.
17/02/2025 - O juiz determinou que, se a parte devedora não pagar voluntariamente, a secretaria deve iniciar medidas para localizar e penhorar bens a fim de quitar a dívida, utilizando sistemas eletrônicos como SISBAJUD, RENAJUD, INFOJUD e SERASAJUD.
24/01/2024 - Remetidos os Autos (em cumprimento de sentença) para Centrase BH
25/09/2023 - Os autos se encontram conclusos para decisão</t>
  </si>
  <si>
    <t>2025-09-12T00:00:00</t>
  </si>
  <si>
    <t>Origem: BMM linha 75. Consórcio identificado a partir das partes. Polo inferido das colunas Autor/Réu</t>
  </si>
  <si>
    <t>5074087-97.2018.8.13.0024 (35ª Vara Cível de BH)</t>
  </si>
  <si>
    <t>08/10/2025 - O juiz determinou que seja certificado o trânsito em julgado da sentença e verificado o pagamento das custas finais. Em seguida, a parte devedora será intimada para pagar a dívida em 15 dias.
18/08/2023 - Os autos se encontram conclusos para julgamento.</t>
  </si>
  <si>
    <t>Origem: BMM linha 76. Consórcio identificado a partir das partes. Polo inferido das colunas Autor/Réu</t>
  </si>
  <si>
    <t>5096306-36.2020.8.13.0024 (24ª Vara Cível de BH)</t>
  </si>
  <si>
    <t>BMM - Pedro Henrique</t>
  </si>
  <si>
    <t>18/09/2026 - Valor total vbloqueado em nome da reclamada CESAR TRANSPORTES. Negado provimento ao agravo interno apresentado pela alta, a execução provisória está integralmente garantida pela primeira reclamada, após o transito em julgado será possivel solicitar a restituição dos depositos judiciais feitos pela ALTA.
09/07/2026 - Prazo para pagamento em 48hrs após sera acionado o SISBAJUD.
02/07/2026 - Pedido de SISBAJUD pela parde autora
16/06/2026 - Petição da outra empresa oferecendo possível acordo.
10/06/2026 - Intimados para pagamento do débito sob pena de execução
09/06/2026 - Petição negando o bem a penhora, aguardando manifestção do juízo.
27/04/2026 - Pedido de audiência de conciliação e penhora de bem em nome da empregadora.
22/04/2026 - ALTA foi notificada para pagamento da execução em 48hrs no valor de R$ 453.450,18 sob pena de bloqueio judicial.
15/04/2025 - Os reclamantes iniciaram cumprimento provisório de sentença, sendo assim, fomos intimados a liquidar a sentença.
24/02/2023 - Agravo Interno da Alta.
10/02/2022 - Negado provimento aos AIRR.
25/01/2022 - Agravo de Instrumento em Recurso de Revista da Alta.
10/12/2021 - Negado seguimento ao RR da Alta.
27/01/2020 - Recuro de Revista da Alta.
Aguardando julgamento dos novos embargos de declaração
Acórdão aumentou a condenação de primeiro grau, alcançando R$ 350.000,00.</t>
  </si>
  <si>
    <t>2026-09-18T00:00:00</t>
  </si>
  <si>
    <t>Origem: BMM linha 77. Outros nº vinculados: 0000330-07.2025.5.10.0005. Polo inferido das colunas Autor/Réu. Revisar valores em texto (ver coluna VALORES ORIGINAIS)</t>
  </si>
  <si>
    <t>LIQUIDAÇÃO DO PROCESSO</t>
  </si>
  <si>
    <t>0001532-
68.2015.5.10.0005 (05ª VT de Brasília) 0000330-07.2025.5.10.0005</t>
  </si>
  <si>
    <t>PROVÁVEL</t>
  </si>
  <si>
    <t>Causa: R$ 3.000.000,00 | Execução: 488.857,89</t>
  </si>
  <si>
    <t>19.02.2024 - Arquivados os autos definitivamente
02.02.2024 - Despacho: considerando que todas as obrigações foram devidamente adimplidas nos presentes autos, foi declaro extinta a execução.
(12/09/23) Provido o recurso para que seja restituído à Alta o valor que exceder ao valor devido, exceto se houver outra execução contra a empresa. Provavelmente haverá saldo a restituir à Alta.</t>
  </si>
  <si>
    <t>Origem: BMM linha 78. POSSÍVEL DUPLICIDADE: mesmo nº em BMM L12. Consórcio identificado a partir das partes. Polo inferido das colunas Autor/Réu. Revisar valores em texto (ver coluna VALORES ORIGINAIS)</t>
  </si>
  <si>
    <t>RECURSAL</t>
  </si>
  <si>
    <t>0010968-84.2019.5.18.0103 (TRT 18ª Região)</t>
  </si>
  <si>
    <t>Causa: Valor total da condenação: R$29.722,96. Valor devido pela Alta, condenação subsidiária: R$1.938,14. (Possível restituição/ Saldo de R$ 12.296,38 de deposito)</t>
  </si>
  <si>
    <t>2014-09-16T00:00:00</t>
  </si>
  <si>
    <t>■■■■■■□□□ 6/9</t>
  </si>
  <si>
    <t>Origem: BMM linha 79. Polo inferido das colunas Autor/Réu</t>
  </si>
  <si>
    <t>0071379-91.2014.4.01.3800 (14ª Vara Federal Belo Horizonte)</t>
  </si>
  <si>
    <t>2012-11-16T00:00:00</t>
  </si>
  <si>
    <t>10/09/2026 - Transitado em julgado em 13/08 tornando definitivos o direito ao crédito tributário decorrente da exclusão de determinadas verbas d abase de cálculo das contribuições previdenciárias patroniais.
18/04/2022 - Em juízo de retratação, o Tribunal Regional Federal decidiu: "Pelo exposto, em juízo de retratação (alinhamento jurisprudencial), aplico ao julgado a orientação vinculante supra,
retificando o dispositivo e, de consequência: dou provimento parcial ao apelo da União
(FN) e à remessa oficial para que a tributação incida sobre o valor pago a título de terço
constitucional de férias e dou provimento parcial ao apelo da impetrante para que a
tributação não incida sobre o valor pago a título de salário maternidade, julgado
confirmado quanto ao mais."
06/05/2022 - A empresa apresentou recurso de Embargos Declaratórios, requerendo a suspensão do processo até que o Supremo Tribunal Federal decida se ocorrerá a modulação de efeitos relativamente ao terço constitucional de férias.
11/05/2022 - A União se manifestou requerendo que seja negado provimento aos Embargos
Declaratórios apresentados pela empresa.
21/07/2022 - O Tribunal Regional Federal negou provimento aos Embargos Declaratórios
apresentados pela empresa.
22/08/2022 - A empresa peticionou complementando o Recurso Extraordinário que havia interposto.
19/08/2024 - Protocolizada, pela empresa, petição requerendo a agilização do processo.
22/01/2026 - Aguarda-se nova decisão por parte do Tribunal Regional Federal da Sexta Região.</t>
  </si>
  <si>
    <t>2026-09-10T00:00:00</t>
  </si>
  <si>
    <t>Origem: BMM linha 80. Polo inferido das colunas Autor/Réu</t>
  </si>
  <si>
    <t>0049710-50.2012.4.01.3800 (13ª Vara Federal Belo Horizonte)</t>
  </si>
  <si>
    <t>2015-06-12T00:00:00</t>
  </si>
  <si>
    <t>31/03/2022 - A empresa apresentou Agravos Internos contra as decisões do Tribunal Regional Federal, que negaram seguimento aos seus Recursos Especial e Extraordinário.
05/05/2022 - A União apresentou suas respostas aos Agravos Internos interpostos pela empresa. (19/09/2023) O processo se encontra no Tribunal Regional Federal da Sexta Região, no aguardo de decisão.
19/08/2025 - O Tribunal Regional Federal analisou os Agravos Internos interpostos pela empresa e entendeu que os Recursos Especial e Extraordinário por ela apresentados não devem ser admitidos.
Tendo em vista a ausência de perspectiva de reversão da situação considerando-se o entendimento do Judiciário sobre a matéria, não serão apresentados novos recursos. 
11/10/2025 - Transito em julgado
28/11/2025 - O processo foi recebido na primeira instância.
12/12/2025 - O processo foi arquivado definitivamente.</t>
  </si>
  <si>
    <t>2022-03-31T00:00:00</t>
  </si>
  <si>
    <t>Origem: BMM linha 81. Polo inferido das colunas Autor/Réu</t>
  </si>
  <si>
    <t>0032498.11.2015.4.01.3800 (15ª Vara Federal Belo Horizonte)</t>
  </si>
  <si>
    <t>PERDA PROVÁVEL</t>
  </si>
  <si>
    <t>2025-11-17T00:00:00</t>
  </si>
  <si>
    <t>Origem: BMM linha 82. Consórcio identificado a partir das partes. Polo inferido das colunas Autor/Réu</t>
  </si>
  <si>
    <t>5035486-22.2018.8.13.0024 (24ª Vara Cível de Belo Horizonte - MG)</t>
  </si>
  <si>
    <t>2024-07-22T00:00:00</t>
  </si>
  <si>
    <t>09/06/2026 - Transitado em julgado, valores em depositados a receber pela ALTA.
21/10/2025 - Acórdão. Resultado:providos os embargos para prestar esclarecimentos no sentido de que, mesmo não tendo sido conhecido o recurso da Alta, ela foi absolvida da condenação. Mantida a questão de não conhecimento do recurso. (Alta foi absolvida da ação)
10/09/2025 - Acórdão. Resultado: não conhecido o recurso da Alta por alegação de vício no instrumento de procuração. Um absurdo o acórdão. No entanto, no mérito, a Relatora determinou que apenas as empresas LOCTEC e PAVIENGE respondem pelos débitos da ação. (interposição dos embargos de declaração)
01/08/2025 - Reclamantes AILTON ALVES DE SOUZA e ANA CLAUDIA ALVES DE SOUZA, vinculados aos autos de nº 0010246-78.2024.5.18.0231, apresentaram cumprimento provisório de sentença. Fomos intimados a ter vista dos cálculos. Aguardando impugnação da empregadora do de cujus. (Prazo: 12/08/25)
20/08/2024 - AIJ
23/07/2024 - Audiência inicial.
20/09/2024 - Senteça publicada (desfavorável para a Alta - condenação dos pagamentos)
06/11/2024 - Negavo provimento quanto ao Embargos de Declaração apresentado.
11/11/2024 - Prazo para recurso até 22/11/24</t>
  </si>
  <si>
    <t>2026-06-09T00:00:00</t>
  </si>
  <si>
    <t>Origem: BMM linha 83. Consórcio identificado a partir das partes. Polo inferido das colunas Autor/Réu</t>
  </si>
  <si>
    <t>0010246-78.2024.5.18.0231 (VT de Posse)</t>
  </si>
  <si>
    <t>08/09/2026 - Aguardando pesquisa para recebermos valores. 
09/06/2026 - Transitado em julgado, valores em depositados a receber pela ALTA.
18/08/2025 - Alta absolvida. Não houve recurso do reclamante quanto a esse.
09/10/2025 - Acórdão publicado no processo - Resultado: provido nossos Embargos de Declaração para sanar contradição, com efeito modificativo, para manter a sentença que deferiu o pagamento de honorários sucumbenciais aos procuradores da embargante, fixados em 10% do valor dos pedidos 
13/08/2025 - Acórdão publicado - Resultado: provido o recurso da Alta para afastar a responsabilidade por débitos do processo. De ofício, o juízo excluiu a condenação dos reclamantes ao pagamento de honorários advocatícios. Avaliarei se apresentarei embargos de declaração para arguir ofensa à tese fixada pelo STF.
julgados totalmente improcedentes, e suspendeu a sua exigibilidade
20/08/2024 - AIJ
23/07/2024 - Audiência inicial.
20/09/2024 - Senteça publicada (desfavorável para a Alta - condenação dos pagamentos)
06/11/2024 - Negavo provimento quanto ao Embargos de Declaração apresentado.
11/11/2024 - Prazo para recurso até 22/11/24
21/11/2024 - Recurso apresentado</t>
  </si>
  <si>
    <t>2026-09-08T00:00:00</t>
  </si>
  <si>
    <t>Origem: BMM linha 84. Consórcio identificado a partir das partes. Polo inferido das colunas Autor/Réu. Status original 'Transitado em julgado' — confirmar se há cumprimento pendente</t>
  </si>
  <si>
    <t>TRANSITADO EM JULGADO</t>
  </si>
  <si>
    <t>0010245-93.2024.5.18.0231 (VT de Posse)</t>
  </si>
  <si>
    <t>2024-03-29T00:00:00</t>
  </si>
  <si>
    <t>12/12/2025 - Processo arquivado
18/09/2025 - Liberado alvará para restituição do valor - valor recebido em conta
29/08/2025 - Despacho: Arquivamento definitivo e restituição do depósito recursal à Alta Engenharia
12/12/2024 - Acórdão: provimento ao recurso da Alta, afastando a condeção ao pagamento de haveres trabalhista (empregado prestou serviço apenas para a LOCTEC) 
09/09/2024 - E-mail encaminando para o escritório, informando a autorização da diretoria para a interposição de Recurso Ordinário.
28/08/2024 - Sentença em Declaração de Embargos ( acolhimento em parte, condenando ainda quanto a diferença salarial de R$ 4.040, de set/2019 a ago/2022 e valor de R$3.416,50 de set/2022 a out/2022 com reflexos em DSR, férias + 1/3, gratificação natalina e FGTS; além de salários correspondentes a out/2018 a ago/2019, e saldo salário de nov/2022 (33 dias);
30/07/2024 - ED apresentado pela Alta.
23/07/2024 - Sentença condenatória, solidária, em desfavor da Alta por empregado da Loctec.</t>
  </si>
  <si>
    <t>2025-12-12T00:00:00</t>
  </si>
  <si>
    <t>Origem: BMM linha 85. Consórcio identificado a partir das partes. Polo inferido das colunas Autor/Réu</t>
  </si>
  <si>
    <t>TRABALHISTA</t>
  </si>
  <si>
    <t>ARQUIVAMENTO</t>
  </si>
  <si>
    <t>0010298-49.2024.5.18.0013 (13ª VT de Goiânia)</t>
  </si>
  <si>
    <t>BMM - Chrystian Azevedo Nunes</t>
  </si>
  <si>
    <t>(29/06/2022) Autos sobrestados
Concluso TST admissibilidade de RE Condenação em valores ínfimos (R$ 600,00). 29/06/2022 - Autos sobrestados.
07/12/2020 - Acórdão TST - negado provimento ao AIRR da Valec.
22/10/2019 - Autos sobrestados.
30/11/18 - Aguardando julgamanto do Recurso Extraordinário.</t>
  </si>
  <si>
    <t>Origem: BMM linha 86. Consórcio identificado a partir das partes. Polo inferido das colunas Autor/Réu</t>
  </si>
  <si>
    <t>0012596-
61.2015.5.18.0261 (VT de Goianésia)</t>
  </si>
  <si>
    <t>2018-10-18T00:00:00</t>
  </si>
  <si>
    <t>BMM - Rodrigo Martins Da Silva</t>
  </si>
  <si>
    <t>15/09/2026 - Intimação sobre informação de prosseguimento da execução em desfavor da VALEC, R$ 30.000,00
02/09/2026 - Despacho determinando o prosseguimento da execução em face da VAALEC
3/03/2026 - O juízo manteve o bloqueio apenas em nome da Trail, sendo assim, a ordem de bloqueio, por ora, será paralisada, a ordem de bloqueio será reiterada, pois a Trail possui débito no valor de R$ 4.755,40. Contudo, houve bloqueio de R$ 52.962,21, sendo que o valor total executado corresponde a R$ 29.457,95.
27/02/2026 - Bloqueio nas contas da ALTA
2/02/2026 - Partes intimadas para quitarem o débito R$29.457,95 prazo 8 dias 12/02/2026, sob pena de penhora.
9/01/2026 - Homologados cálculos, partes intimadas para quitar o débito.
10/10/2025 - Acórdão, negado provimento ao ED da Valec.
12/06/2025 - ED da Valec.
06/06/2025 - Negado provimento ao recurso da Valec.
08/09/2020 - Conhecido RR da Valec., aguardar julgamento TST.
23/06/2020 - Recurso de Revista Valec.
05/06/2020 - Acórdão - parcial provimento recursos.
11/02/2020 - Recurso da Valec.
31/01/2020 - Sentença condenando a Alta pelos débitos
05/11/2019 - intimado o Autor para responder a contestação Alta.
31/10/2019 - Apresentada defesa da Alta Engenharia.
09/10/2019 - sentença anulada. Aguardar defesa Alta.
07/10/2019 - Partes intimadas para apresentar contrarrazões ao RO. 20/08/2019 - sentença - revelia Alta.
Nulidade empresa não fo notificada.
28/03/2019 - deferido o chamamento das empresas que compoem o Consórcio. Aguardar intimação.
04/02/2019 - redesignada audiência para o dia 27/02/2019.</t>
  </si>
  <si>
    <t>2026-09-15T00:00:00</t>
  </si>
  <si>
    <t>Origem: BMM linha 87. Consórcio identificado a partir das partes. Polo inferido das colunas Autor/Réu</t>
  </si>
  <si>
    <t>0010756-19.2018.5.18.0129 (3 ªVT de Rio Verde)</t>
  </si>
  <si>
    <t>PROVÁVEL, INCLUSÃO POR IDPJ</t>
  </si>
  <si>
    <t>06/02/2026 - Suspenso por execução frustrada.
11/06/2024 - Reclamadas intimadas para comprovar recolhimento de FGTS.
13/05/2024 - Negado provimento ao agravo do reclamante.
31/01/2023 - Agravo Interno do Reclamante.
19/12/2022 - Negado seguimento ao AIRR do Reclamante.
26/08/2022 - Negado seguimento ao RR do Reclamante.
05/07/2022 - RR do Reclamante.
23/06/2022 - Negado provimento aos EDs do Reclamante.
12/05/2022 - Provido em parte RO do Autor e não conhecido RO da Cava.
21/02/2021 - Indeferida justiça gratuita à CAVA. Intimação para solver custas e depósito.
22/10/2021 - RO da Cava.
19/10/2021 - Sentença - negado provimento aos EDS da Cava e aplicada multa de 1% sobre o valor da
causa.
22/10/2021 - RO da Cava.
16/07/2021 - ED apresentado pela Cava.
16/07/2021 - Sentença condenando a Cava.
07/06/2021 - AIJ.
08/12/2020 - Indeferido pleito da Cava. Aguardar instrução.
11/11/2020 - Audiência de conciliação. Cava pediu a inclusão da nova Consorciada Serne.
03/09/2020 - E-mail enviado à Cava sobre o processo. Recebemos contato do conciliador de Rio Verde.
05/09/2020 - Audiência virtual designada para 03/09/2020.</t>
  </si>
  <si>
    <t>2026-02-06T00:00:00</t>
  </si>
  <si>
    <t>Origem: BMM linha 88. Consórcio identificado a partir das partes. Polo inferido das colunas Autor/Réu</t>
  </si>
  <si>
    <t>0010522-
50.2020.5.18.0102 (02ª VT de Rio Verde)</t>
  </si>
  <si>
    <t>BMM - Gecilda Facco Cargnin</t>
  </si>
  <si>
    <t>25/02/2022 - Agravo interno da Alta.
15/02/2022 - Provido ED da Alta. Negado provimento ao AIRR da Alta.
31/08/2021 - ED apresentado pela Alta.
24/08/2021 - Negado seguimento ao AIRR da Alta.
14/05/2021 - AIRR da Alta.
06/04/2021 - RR da Alta.
22/03/2021 - Acórdão ED a Alta para prestar esclarecimentos.
12/02/2021 - ED Alta.
05/02/2021 - Provido RO do Sindicato para condenar a Alta até a data de saída do Consórcio.
10/12/2020 - Julgamnentos do recurso do sindicato.
25/08/2020 - Autos conclusos julgamento.
22/06/2020 - Recurso Ordinário sindicato.
08/06/2020 - Decisão ED. Alta foi absolvida.
06/04/2020 - Partes intimadas a responder aos Eds da Alta.
19/02/2020 - ED apresentado pela Alta.
19/11/2019 - designada audiência inicial.</t>
  </si>
  <si>
    <t>2022-02-25T00:00:00</t>
  </si>
  <si>
    <t>Origem: BMM linha 89. Consórcio identificado a partir das partes. Polo inferido das colunas Autor/Réu</t>
  </si>
  <si>
    <t>0010993-
94.2019.5.18.0104 (4ª VT de Rio
Verde/GO)</t>
  </si>
  <si>
    <t>PROVÁVEL. AÇÃO COLETIVA DE SINDICATO.</t>
  </si>
  <si>
    <t>BMM - Claudia Aparecida Zanon Francisco</t>
  </si>
  <si>
    <t>06/02/2026 - Intimado a parte autora para apresenter cálculos
04/05/2023 - Autos sobrestados Rext da Valec.
04/12/2022 - Rext da Valec.
11/11/2022 - Negado provimento ao agravo interno da Valec.
04/07/2022 - Negado provimento ao AIRR da Valec.
11/03/2022 - AIRR da Valec.
24/02/2022 - Negado seguimento ao RR da Valec.
29/01/2022 - RR da Valec.
07/01/2022 - Provido RO para condenar subsidariamente a Valec.
16/08/2021 - RO do Reclamante.
15/07/2021 - Sentença condenatória do Consórcio.
16/06/2021 - AIJ.
05/04/2021 - Audiência.</t>
  </si>
  <si>
    <t>Origem: BMM linha 90. Consórcio identificado a partir das partes. Polo inferido das colunas Autor/Réu</t>
  </si>
  <si>
    <t>1000876-
51.2020.5.02.0261 (1ª VT de Diadema)</t>
  </si>
  <si>
    <t>Pedro Henrique Carvalho Batista</t>
  </si>
  <si>
    <t>23/04/2026 - intimação para que as partes apresentem cálculos de liquidação da sentença no prazo de quinze dias
08/09/2025 - Intimação de admissibilidade do recurso interposto pela Alta. Resultado: negado seguimento. (Não interposição de novo recurso, devido risco de multa de até R$ 134.071,42)
31/01/2025 - Conhecido o recurso da Alta, conhecida a transcendência, em razão do elevado valor da condenação, CONTUDO, foi negado provimento ao apelo. (Autorizado interposição de recurso)
03/08/2021 - Autos conclusos ao ministro relator no TST.
31/05/2021 - AIRR da Alta.
01/02/2021 - RR da Alta.
18/12/2020 - Negado provimento ao ED da Alta. Renovado prazo recursal.
17/11/2020 - Embargos de declaração da Alta.
10/11/2020 - Acórdão - parcial provimento ao RO da Alta.
08/09/2020 - Aguardando remessa dos autos ao TRT para análise dos recursos.
09/07/2020 - Autos retornaram ao 1º grau para solução de pendências.
05/06/2020 - Remessa dos autos ao TRT. 1ª Turma. Relatra IARA TEIXEIRA RIOS.
01/04/2020 - Intimação Autor responder RO da Alta
21/02/2020 - RO apresentado pela Alta.
10/02/2020 - Sentença ED.
18/12/2019 - ED apresentado pela Alta.
09/12/2019 - Sentença Alta.
21/11/2019 - Encerramento da instrução.
05/11/2019. realizada.
01/10/2019 - Realizada audiência. Ante a falta de notificação da empresa Integral Engenharia, a audiência foi adiada para o dia 12/11/2019 às 08h. Dispensado o comparecimento das partes, com exceção da Integral e do Sindicato.</t>
  </si>
  <si>
    <t>2026-04-23T00:00:00</t>
  </si>
  <si>
    <t>Origem: BMM linha 91. Consórcio identificado a partir das partes. Polo inferido das colunas Autor/Réu</t>
  </si>
  <si>
    <t>0010723-
70.2019.5.18.0104 (4ª VT de Rio Verde/GO)</t>
  </si>
  <si>
    <t>2025-01-31T00:00:00</t>
  </si>
  <si>
    <t>Joav Vieira</t>
  </si>
  <si>
    <t>17/06/25 - Sentença publicada. Resultado: improcedência total dos pedidos. (Aguardando eventual recurso por parte do reclamante)
06/03/2025 - Audiência inicial
04/02/2025 - Alta recebeu a citação através do Domicílio Eletrônico e o processo foi direcionado ao escritório</t>
  </si>
  <si>
    <t>Origem: BMM linha 92. Polo inferido das colunas Autor/Réu</t>
  </si>
  <si>
    <t>SENTEÇA</t>
  </si>
  <si>
    <t>0000159-22.2025.5.18.0201 (18ª vt uruaçu/GO)</t>
  </si>
  <si>
    <t>FINALIZADO.</t>
  </si>
  <si>
    <t>■■■■■□□□□ 5/9</t>
  </si>
  <si>
    <t>09/09/2026 - Sentença que extinguiu o cumpromento de sentença, tendo em vista o pagamento voluntário, o consórcio planep-ceppla possui crédito a receber, eis que foi pago crédito maior em nome do autor.
24/03/2026 - Recurso improvido. Houve embargos, aguardando julgamento.
21/07/25 - Sentença favóravel ao autor. Decisão recorrida. 
26/06/24 - Audiência de conciliação.
09/07/2024 - Reunião com o advogado do Consórcio e com o chefe de frota da Alta
15/07/2024 - Apresentação da contestação pelo Consórcio Planep - Ceppla
16/07/2024 - Apresentação de contestação pela Alta
17/07/2024 - Apresentação de contetação pela Movida</t>
  </si>
  <si>
    <t>2026-09-09T00:00:00</t>
  </si>
  <si>
    <t>Origem: BMM linha 93. Polo inferido das colunas Autor/Réu</t>
  </si>
  <si>
    <t>SENTENÇA</t>
  </si>
  <si>
    <t>0820668-09.2024.8.12.0001 (
13º vara Cível de Campo Grande)</t>
  </si>
  <si>
    <t>⏸ SUSPENSO</t>
  </si>
  <si>
    <t>Origem: BMM linha 94. POSSÍVEL DUPLICIDADE: mesmo nº em BMM L43. Polo inferido das colunas Autor/Réu</t>
  </si>
  <si>
    <t>TST-AIRR - 0010941-35.2018.5.18.0104 (Secretaria da 4ª Turma)</t>
  </si>
  <si>
    <t>2021-05-27T00:00:00</t>
  </si>
  <si>
    <t>✔ ENCERRADO</t>
  </si>
  <si>
    <t>Processo encontra-se no STJ- sentença e acórdão julgaram improcedentes os pedidos autorais. Sentença proferida em 16/01/2023, julgando extinto o processo com resolução do mérito e declaração de prescisão da pretensão autoral. No dia 23/08/2024 lavrado a Certidão de Trânsito em julgado e Termo de Baixa. 
05/12/2024 - Deferido o pedido de penhora de ativos financeiros via sistema Sisbajud.
24/06/2025 - Deferido o pedido de penhora dos veículos localizados.</t>
  </si>
  <si>
    <t>Origem: BMM linha 95. Consórcio identificado a partir das partes. Polo inferido das colunas Autor/Réu</t>
  </si>
  <si>
    <t>TRÂNSITO EM JULGADO</t>
  </si>
  <si>
    <t>5263294-40.2021.8.09.0051 (
17ª Vara Cível de Goiania)</t>
  </si>
  <si>
    <t>Bruno Gontijo</t>
  </si>
  <si>
    <t>27/10/2025 - Processo arquivado.
08/08/25 - BMM optou por nãpa resentarmos as contrarrazões aos embargos de declaração, vez que não temos interesse recursal. Aguardaremos eventual citação da Alta Engenharia para apresentarmos a nossa contestação. 
01/08/2025 - carta de intimação</t>
  </si>
  <si>
    <t>2025-10-27T00:00:00</t>
  </si>
  <si>
    <t>Origem: BMM linha 96. Consórcio identificado a partir das partes. Polo inferido das colunas Autor/Réu</t>
  </si>
  <si>
    <t>FINALIZADO. PROCESSO JÁ FOI QUITADO.</t>
  </si>
  <si>
    <t>2024-11-09T00:00:00</t>
  </si>
  <si>
    <t>2026-02-10T00:00:00</t>
  </si>
  <si>
    <t>2026-02-11T00:00:00</t>
  </si>
  <si>
    <t>Fase; Empresa; Probabilidade; Exposição; Síntese; Próx. providência</t>
  </si>
  <si>
    <t>Origem: BMM linha 97. POSSÍVEL DUPLICIDADE: mesmo nº em BMM L108</t>
  </si>
  <si>
    <t>Ativo (autora)</t>
  </si>
  <si>
    <t>2025-12-03T00:00:00</t>
  </si>
  <si>
    <t>Origem: BMM linha 98. Obs. no nº do processo: EMBARGOS A EXECUÇÃO. Polo inferido das colunas Autor/Réu</t>
  </si>
  <si>
    <t>AGUARDANDO CITAÇÃO</t>
  </si>
  <si>
    <t>1095925-23.2025.8.13.0024 (EMBARGOS A EXECUÇÃO)</t>
  </si>
  <si>
    <t>18/09/2026 - Valor total vbloqueado em nome da reclamada CESAR TRANSPORTES. Negado provimento ao agravo interno apresentado pela alta, a execução provisória está integralmente garantida pela primeira reclamada, após o transito em julgado será possivel solicitar a restituição dos depositos judiciais feitos pela ALTA.
24/08/2026 - Saldo de R$ 270.934,05 bloqueado em desfavor de Cesar Transportes Guindastes e Equipamentos
09/07/2026 - Prazo para pagamento em 48hrs após sera acionado o SISBAJUD.
02/07/2026 - Pedido de SISBAJUD pela parte autora.
16/06/2026 - Petição da outra empresa oferecendo possível acordo.
10/06/2026 - Intimados para pagamento do débito sob pena de execução
09/06/2026 - Petição negando o bem a penhora, aguardando manifestção do juízo.
27/04/2026 - Pedido de audiência de conciliação e penhora de bem em nome da empregadora.
22/04/2026 - ALTA foi notificada para pagamento da execução em 48hrs no valor de R$ 453.450,18 sob pena de bloqueio judicial.
23/10/2025 - Apresentado laudo pericial.
04/06/2025 - Reclamante apresentou cálculos de R$ 727.812,20. 
22/05/2025 - 1ª Reclamada apresentou cálculos de R$ 423.472,55.
18/03/2025 - Iniciada execução provisória.</t>
  </si>
  <si>
    <t>2026-09-21T00:00:00</t>
  </si>
  <si>
    <t>Fase; Empresa; Síntese; Próx. providência</t>
  </si>
  <si>
    <t>Origem: BMM linha 99. Polo inferido das colunas Autor/Réu</t>
  </si>
  <si>
    <t>0000330-07.2025.5.10.0005 (5ª VT de Tocantins)</t>
  </si>
  <si>
    <t>Origem: BMM linha 100. Consórcio identificado a partir das partes. Polo inferido das colunas Autor/Réu</t>
  </si>
  <si>
    <t>FINALIZADO PARA A ALTA. ALTA FOI EXCLUIDA DO PROCESSO PRINCIPAL.</t>
  </si>
  <si>
    <t>03/09/2025 - Determinada suspensão do processo pela absolvição das Consorciadas 
no processo principal.
26/08/2025 - Apresentados cálculos pela contadoria.
02/06/2025 - Iniciada a execução provisória.</t>
  </si>
  <si>
    <t>Origem: BMM linha 101. Consórcio identificado a partir das partes. Polo inferido das colunas Autor/Réu</t>
  </si>
  <si>
    <t>02/03/2026 - Recebemos a intimação 
24/02/2026 - Decisão favorável à ALTA, improcedendo o pedido de redirecionamento da execução em desfavor da ALTA.
12/11/2025 - Alta incluída no processo por IDPJ, aguardando notificação.</t>
  </si>
  <si>
    <t>2026-03-02T00:00:00</t>
  </si>
  <si>
    <t>Origem: BMM linha 102. Polo inferido das colunas Autor/Réu</t>
  </si>
  <si>
    <t>REMOTO, O RECLAMANTE ERA EMPREGADO DA LOCTEC</t>
  </si>
  <si>
    <t>17/03/2026 - Setença que determinou a exclusão da Alta, Pavienge, Cava e Setorsul.
12/11/2025 - Alta incluída no processo por IDPJ, aguardando notificação.</t>
  </si>
  <si>
    <t>2026-03-17T00:00:00</t>
  </si>
  <si>
    <t>2026-02-19T00:00:00</t>
  </si>
  <si>
    <t>Origem: BMM linha 103. Polo inferido das colunas Autor/Réu</t>
  </si>
  <si>
    <t>0010008-81.2019.5.18.0054 (54ª VT de GO)</t>
  </si>
  <si>
    <t>09/03/2026 - Alta foi notificada.
12/11/2025 - Alta incluída no processo por IDPJ, aguardando notificação.</t>
  </si>
  <si>
    <t>2026-03-09T00:00:00</t>
  </si>
  <si>
    <t>Origem: BMM linha 104. Polo inferido das colunas Autor/Réu</t>
  </si>
  <si>
    <t>2019-01-24T00:00:00</t>
  </si>
  <si>
    <t>09/02/2026 - Cumprimento de sentença, SISBAJUD, RENAJUD, INFOJUD, CNID, SERASAJUD
23/06/2022 - Decisão.
03/11/2021 - Audiência de instrução virtual.
23/05/2019 - Citou o Réu para pagamento do valor da inicial.</t>
  </si>
  <si>
    <t>2026-02-09T00:00:00</t>
  </si>
  <si>
    <t>Origem: BMM linha 105</t>
  </si>
  <si>
    <t>2026-03-19T00:00:00</t>
  </si>
  <si>
    <t>08/09/2026 - sentença que julgou improcedente o incidente de desconsideração da personalidade jurídica proposto pela CSK Locação. Buscaram direcionar a dívida do Consórcio para a Alta Engenharia e para a Cava Engenharia. Aguardemos eventual recurso.  
31/03/2026 - Alta foi citada.</t>
  </si>
  <si>
    <t>Origem: BMM linha 106. POSSÍVEL DUPLICIDADE: mesmo nº em BMM L109. Polo inferido das colunas Autor/Réu</t>
  </si>
  <si>
    <t>2019-02-04T00:00:00</t>
  </si>
  <si>
    <t>2026-04-14T00:00:00</t>
  </si>
  <si>
    <t>Origem: BMM linha 107. Consórcio identificado a partir das partes. Polo inferido das colunas Autor/Réu</t>
  </si>
  <si>
    <t>23/04/2026 - Reconhecida a responsabilidade das empresas para pagamento da execução 
11/02/2026 - ALTA foi notificada para defesa</t>
  </si>
  <si>
    <t>Origem: BMM linha 108. POSSÍVEL DUPLICIDADE: mesmo nº em BMM L97. Revisar valores em texto (ver coluna VALORES ORIGINAIS)</t>
  </si>
  <si>
    <t>Causa: R$ 68.004,68</t>
  </si>
  <si>
    <t>04/09/2026 - sentença que julgou improcedente o incidente de desconsideração da personalidade jurídica proposto pela CSK Locação. Buscaram direcionar a dívida do Consórcio para a Alta Engenharia e para a Cava Engenharia, aguardando eventual recurso.
31/03/2026 - Citação
24/03/2026 - Intimação para as empresas suscitadas para que manifeste-se sobre o incidente</t>
  </si>
  <si>
    <t>2026-09-04T00:00:00</t>
  </si>
  <si>
    <t>Origem: BMM linha 109. POSSÍVEL DUPLICIDADE: mesmo nº em BMM L106. Polo inferido das colunas Autor/Réu</t>
  </si>
  <si>
    <t>RECURSO</t>
  </si>
  <si>
    <t>SMP</t>
  </si>
  <si>
    <t>2022-07-18T00:00:00</t>
  </si>
  <si>
    <t>Dr Rafael Mourão - SMP Advogados</t>
  </si>
  <si>
    <t>Após oitiva da PFE/DNIT, que rebateu as nulidades suscitadas e orientou o prosseguimento do feito, a Coordenação de Engenharia emitiu, em novembro de 2023, Despacho Decisório aplicando a penalidade de advertência à contratada, considerando o descumprimento da Cláusula Sexta do contrato. Após a decisão, a penalidade foi registrada no SICAF em dezembro de 2023 e a Pottencial Seguradora foi comunicada sobre o encerramento da expectativa de sinistro, ante a ausência de recurso administrativo da empresa. O processo seguiu para arquivamento definitivo nos setores competentes após a consolidação das comunicações e registros.</t>
  </si>
  <si>
    <t>Origem: SMP linha 5. Polo inferido das colunas Autor/Réu. Revisar valores em texto (ver coluna VALORES ORIGINAIS)</t>
  </si>
  <si>
    <t>ADMINISTRATIVO</t>
  </si>
  <si>
    <t>FASE ADMINISTRATIVA</t>
  </si>
  <si>
    <t>Causa: Não estabelecido, pois o processo está em fase de apuração de responsabilidades e eventual Penalidade</t>
  </si>
  <si>
    <t>■■■□□□□□□ 3/9</t>
  </si>
  <si>
    <t>A RHOR move Açao Monitória contra as empresas do Consórcio CONSORCIO LOCTEC PAVIENGE CAVA ALTA SETORSUL, que era integrado pela Alta, com participação de 1%, pretendendo o credor receber o valor solidariamente das empresas. Os Réus foram citados e apresentaram seus Embargos Monitórios, contestando a cobrança e alegando preliminares, como a de incompetência do Foro de Brasília. Foi acolhida a preliminar, tendo sido determinada a remessa dos autos para a Comarca de São Paulo, estando a deferida decisão em fase recursal, para que seja decidido sobre a competência, no âmbito do agravo, interposto pela LOCTEC, que requer a remessa dos autos para aparecida de Goiânia/GO. Foi negado provimento ao recurso, mantendo a declinação da compêntencia para São Paulo. Foi interposto Recurso Especial, inadmitido, seguido de Agravo em Recurso Especial e os autos estão conclusos ao Desembargador presidente do RJDFT. O caso aguarda julgamento e definição da competência.</t>
  </si>
  <si>
    <t>2026-04-08T00:00:00</t>
  </si>
  <si>
    <t>Origem: SMP linha 6. Polo inferido das colunas Autor/Réu. Probabilidade 'MÉDIO' convertida para Possível — confirmar. Campo responsável continha: 3 ANOS</t>
  </si>
  <si>
    <t>CIVIL</t>
  </si>
  <si>
    <t>Aguarda decisão final sobre o Foro competente para julgar a ação monitória.</t>
  </si>
  <si>
    <t>0736630-73.2022.8.07.0001 (13ª Vara Cível do DF)</t>
  </si>
  <si>
    <t>2022-09-28T00:00:00</t>
  </si>
  <si>
    <t>A RHOR moveu Açao de Cobrança contra o Consórcio Spavias Serne, Cava Engenharia e Spavias Engenharia, cobrando o valor aproximado de R$2 milhões. Todas as empresas demandadas foram citadas e apresentaram Contestação questionando a cobrnaça. A Cava Engenharia, em sua Contestação, denunciou a Alta, Serne e Trail à lide, alegando pretenso direito de regresso, caso condenada ao pagamento da dívida. A Alta, após citada, apresentou sua defesa, demosntrando que todas as obrigações envolvendo o contrato foram assumidas pela Cava, em razão da cisão empresarial que celebraram, não havendo que se falar em direito de regresso. Foi proferida sentença julgando procedente a cobrança contra as empresas indicadas pela RHOR, e julgando improcedente a denunciação da lide em relação à Alta, afastando, assim, sua responsabilidade. Foram interpostas apelações que estão em fase de julgamento.</t>
  </si>
  <si>
    <t>Origem: SMP linha 7. Polo inferido das colunas Autor/Réu</t>
  </si>
  <si>
    <t>Julgada improcedente em relação à Alta, estando em fase de Apelação.</t>
  </si>
  <si>
    <t>1135509-42.2021.8.26.0100 (14ª Vara Cível de SP)</t>
  </si>
  <si>
    <t>90%
REMOTA</t>
  </si>
  <si>
    <t>2022-01-14T00:00:00</t>
  </si>
  <si>
    <t>■■■■□□□□□ 4/9</t>
  </si>
  <si>
    <t>15/12/2022, foi proferida decisão indeferindo o pedido de tutela provisória, ao argumento de que a pena não seria grave por ter sido limitada ao DNIT, bem como sob o fundamento de que durante o Processo Administrativo o Consórcio não demonstrou ter cumprido o contrato corretamente, apesar das intimações que recebeu para sanar os problemas, além de ter entendido o juiz que o caso envolve discussão relacionada às investigações da Polícia FEderal sobre a ocorrência de sobrepreço em obras do CREAM. Foi determinando a citação do DNIT para responder à ação. 
02/2/2023, foi interposto Agravo de Instrumento, requerendo a suspensão liminar das penalidades. Foram expedidas as citaçoes ao DNIT, para que apresente defesa no prazo legal. O DNIT apresentou defesa pela legalidade dos atos que praticou, em alinhamento com o que havia decidido durante o PAAR. Aguarda a fase de produção de provas. Em 24/3/2024, em juízo de retratação manteve a decisão agravada. 
27/4/2023, o DNIT apresentou contestação. Em 6/10/2023, o Consórcio apresentou impugnação a contestação. Em 26/4/2024, foi proferido despacho que initmou as partes a especificarem provas. 
28/3/2024, o Consórcio requereu a produção de prova pericial, oral e documental. 
25/4/2024, o DNIT requereu a produção de prova documental. 
3/7/2024, os autos foram conclusos.
01/07/2026 - Este caso teve uma redução da pena de impedimento e ela foi declarada "quitada" administrativamente, mas a multa ainda está em discussão. O caso vai entrar em fase de perícia (para buscar afastar a alegação de inadimplemento da supervisão e, especialmente, para tratar da incorreta apuração do cálculo da multa, que foi aplicada considerando o valor total da medição e não apenas serviços questionados como não conformes).</t>
  </si>
  <si>
    <t>2022-12-15T00:00:00</t>
  </si>
  <si>
    <t>Origem: SMP linha 8. Consórcio identificado a partir das partes. Polo inferido das colunas Autor/Réu. Probabilidade 'MÉDIO' convertida para Possível — confirmar</t>
  </si>
  <si>
    <t>Aguarda decisão produção de provas</t>
  </si>
  <si>
    <t>1017504-73.2022.4.06.3800 (9º Vara Federal Cível)</t>
  </si>
  <si>
    <t>Foi interposto Agravo de Instrumentocontra a decisão que negou a liminar no Caso 2 (CREMA-MOC), com pedido de antecipação de tutela para suspender as penalidades aplicadas pelo DNIT MG (R$844.512,60 e suspenção do direito de licitar com o DNIT por 24 meses. O Consórcio argumenta que: (a) não há que se falar em ausência de urgência em razão de penalidade de suspensar se limitar aos contratos do DNIT, pois os contratos com o DNIT representam cerca de 70% das contratações da empresa; (b) não há nenhuma investigação envolvendo o Consórcio ou lhe imputando responsabilidades; (c) os normativos invocados para penalizar o Consórcio não se aplicavam ao Contrato Administrativo, pois eram posteriores a ele e, assim, não poderia prejudicar o contratado; (d) as penalidades não abedeceram a legislação e são desproporcionais, pois não houve prejuízo, tratando-se de mera discussão envolvendo planilhas e seus ajustes, os quais foram realizados pelo contratado. Foi deferida parcialmente a liminar, para determinar a suspensão da execução da multa pecuniária. Em razão disso, foi interposto recurso pelo Consórcio, requerendo a suspensão também da pena de impedimento, estando o recurso a aguardar o seu julgamento.
***
Em razão de Processo Administrativo de Revisão de Pena, apresentada pela Alta perante o DNIT-Sede, as penas aplicadas às empresas estão suspensas administrativamente. O recurso perderá seu objeto, pois a penalidade de impedimento será cumprida pelo consórcio</t>
  </si>
  <si>
    <t>Origem: SMP linha 9. Consórcio identificado a partir das partes. Polo inferido das colunas Autor/Réu. Probabilidade 'MÉDIO' convertida para Possível — confirmar. Campo responsável continha: AGUARDA DECISÃO SOBRE AGRAVO INTERNO</t>
  </si>
  <si>
    <t>Aguarda decisão sobre agravo interno</t>
  </si>
  <si>
    <t>1000658-95.2023.4.06.0000 (4ª Turma do TRF6)</t>
  </si>
  <si>
    <t>2021-03-08T00:00:00</t>
  </si>
  <si>
    <t>Dr. Rafael Moura</t>
  </si>
  <si>
    <t>Em 11/3/2021, foi deferida a liminar para suspender os “efeitos do ato impugnado, bem como a emissão das ordens de início dos serviços contratados, independentemente da apresentação da garantia adicional, nos termos em que calculada pelo DNIT”. Em 22/3/2021, o DNIT apresentou Agravo de Instrumento ao TRF-1 (1009853-16.2021.4.01.0000) e obteve decisão determinando a suspensão dos efeitos da liminar e, assim, mantendo a exigência de garantia adicional, o que levou, então, à rescisão administrativa dos contratos, como decorrência da revogação da liminar, e à aplicação das penalidades que são discutidas no Mandado de Segurança nº 1021095-81.2022.4.01.3800. Em março de 2021, o DNIT apresentou informações no Mandado de Segurança, que, em seguida, foi remetido para julgamento. Em 8/7/2022, o Consórcio constituiu novos advogados (SMP Advogados) e apresentou Alegações Finais, levando ao conhecimento do juiz a existência de precedentes favoráveis às teses do Consórcio, os quais declaram a ilegalidade da exigência de garantia adicional em sede de licitação pela modalidade de RDC. Em 22/3/2021, o DNIT apresentou Agravo de Instrumento ao TRF-1 (1009853-16.2021.4.01.0000) e obteve decisão determinando a suspensão dos efeitos da liminar e, assim, manteve a exigência administrativa de garantia adicional. Foi apresentada Contraminuta ao recurso, que aguarda julgamento atualmente pelo TRF-6. Autos conclusos para julgamento desde 24/05/2021. Em 08/07/2022, foram apresentadas Alegações Finais, requerendo o julgamento do caso procedente, conforme precedentes em casos análogos, reconhecendo a nulidade da exigência de garantia adicional. A sentença foi proferida no dia 02/02/2023, por meio da qual decidiu-se pela denegação da segurança pleiteada pela Alta. O MPF foi intimado em 03/02/2023 para manifestar-se acerca da sentença. Foi interposta Apelação pelo Consórcio, que aguarda julgamento. Em razão de Processo Administrativo de revisão de pena apresentado pela Alta/Contécnica perante o DNIT-Sede, a pena de impedimento foi reduzida para 24 meses, dos quais, segundo a decisão do DNIT. Considerando os cálculos apresentados ao DNIT, a penalidade de impedimeno deverá estar integralmente cumprida até o fim do primeiro semestre de 2026, estando a se aguardar o cálculo do DNIT.</t>
  </si>
  <si>
    <t>Origem: SMP linha 10. Polo inferido das colunas Autor/Réu. Probabilidade 'MÉDIO' convertida para Possível — confirmar</t>
  </si>
  <si>
    <t>Aguarda julgamento da Apelação</t>
  </si>
  <si>
    <t>1010455-53.2021.4.01.3800 (
3ª Vara Federal Cível)</t>
  </si>
  <si>
    <t>2022-05-05T00:00:00</t>
  </si>
  <si>
    <t>Em 05/05/22, o juiz da 21ª Vara Federal decidiu postergar a apreciação do pedido de suspensão liminar das penalidades, que seria apreciado após manifestação do DNIT/MG. Em 12/05/2022, o Consórcio juntou manifestação em que reitera o seu pedido de reconsideração da liminar, diante da decisão que postergou. No dia 13/05/2022, foi proferida decisão que manteve a postergação da apreciação da liminar. Em 15/05/2022, foi interposto Agravo de Instrumento pelo Consórcio (1015793-25.2022.4.01.0000), mas a liminar foi indeferida. Em 19/05/2022, o DNIT/MG prestou informações ao juiz da 21ª Vara Federal, conforme determinado pelo juízo em decisão retro. Em 24/05/2022, o Consórcio constituiu novos advogados (SMP Advogados) e apresentou manifestação rebatendo os argumentos do DNIT/MG e requerendo a apreciação do pedido de urgência. Em 27/05/2022, o juiz da 21ª Vara Federal determinou a redistribuição do caso à 3ª Vara Federal, em razão da conexão com o Mandado de Segurança n° 1010455-53.2021.4.01.3800. Em 31/05/2022, foi deferido o pedido liminar para “suspender a penalidade de impedimento de licitar e contratar com a administração pública federal direta e indireta pelo prazo de 36 (trinta e seis) meses que foi aplicada às Impetrantes, até ulterior deliberação deste Juízo”. Em 29/06/2022, foi interposto Agravo de Instrumento pelo Consórcio (1022546-95.2022.4.01.0000). Em 25/7/2022, foi interposto Agravo de Instrumento pelo DNIT (1026051-94.2022.4.01.0000). Em 16/08/2022, foi proferida decisão em que indeferiu o pedido de reconsideração e intimou o MPF para manifestação nos autos do processo. Em 07/10/2022, o MPF junta parecer, por meio do qual se manifesta pela "suspensão do andamento deste writ até que haja decisão de mérito nos autos do processo nº 1010455-53.2021.4.01.3800". No dia 29/11/2022, o Consórcio se manifestou no sentido de pleitear que "a concessão da segurança no writ conexo levará, como consectário lógico, à concessão da segurança nesta demanda, pois as penas restarão prejudicada.". Foi proferida sentença denegando a segurança. Foi interposta Apelação pelo Consórcio. Em 13/6/2023, o DNIT apresentou contrrazões. Em 12/9/2023, o MPF se manifestou. Em 12/9/2023, os autos ficaram conclusos.
***
Em razão de Processo Administrativo de Revisão de Pena, apresentada pela Alta perante o DNIT-Sede, a pena de impedimento foi reduzida para 24 meses, dos quais, segundo a decisão do DNIT. Considerando os cálculos apresentados ao DNIT, a penalidade de impedimento deverá estar integralmente cumprida até o fim do promeiro semestre de 2026, estando a se aguardar o cálculo do DNIT. Após o julgamento do pedido de revisão de pena, foi gerada GRU no valor de R$ 1.760.543,10 para pagamento até 22/02/2026. Em razão disso, foi requerida a concessão de medida liminar para suspender a exigência da multa, considerando a existÊncia de seguro garantia no caso.</t>
  </si>
  <si>
    <t>Origem: SMP linha 11. Polo inferido das colunas Autor/Réu. Probabilidade 'MÉDIO' convertida para Possível — confirmar. Revisar valores em texto (ver coluna VALORES ORIGINAIS)</t>
  </si>
  <si>
    <t>1021095-81.2022.4.01.3800 (3ª Vara Federal Cível)</t>
  </si>
  <si>
    <t>Impacto: R$ 1.760,543.10</t>
  </si>
  <si>
    <t>Origem: SMP linha 12. Polo inferido das colunas Autor/Réu. Probabilidade 'MÉDIO' convertida para Possível — confirmar</t>
  </si>
  <si>
    <t>Aguarda a citação de todos os Réus.</t>
  </si>
  <si>
    <t>1119107-46.2022.8.26.0100 (27ª Vara Cível de SP)</t>
  </si>
  <si>
    <t>2025-09-01T00:00:00</t>
  </si>
  <si>
    <t>Origem: SMP linha 13. Polo inferido das colunas Autor/Réu</t>
  </si>
  <si>
    <t>Sentenciado</t>
  </si>
  <si>
    <t>1030389-28.2024.4.01.3400 (20ª Vara Federal Cível da SJDF)</t>
  </si>
  <si>
    <t>A ANTT foi citada e semanifestou, informando que finalmente decidiu a questão, aplicando pena de multa de aproximadamente R$21 mil, sendo liberado o reamenscente de R$180 mil ao Consórcio. Foi profedia a sentença homologando o pedido de desistência do processo, aguarda-se arquivamento.
27/01/2026 - AGUARDANDO ARQUIVAMENTO DE ACORDO COM RELATÓRIO SETEMBRO/2025</t>
  </si>
  <si>
    <t>Origem: SMP linha 14. Polo inferido das colunas Autor/Réu</t>
  </si>
  <si>
    <t>O processo aguarda encerramento, uma vez que atingiu seu objetivo.</t>
  </si>
  <si>
    <t>1050120-10.2024.4.01.3400 (22ª Vara Federal da JFDF)</t>
  </si>
  <si>
    <t>2013-01-18T00:00:00</t>
  </si>
  <si>
    <t>Origem: SMP linha 15. Polo inferido das colunas Autor/Réu. Avaliação de risco em texto livre — classificar. Campo responsável continha: AGUARDANDO IMIGRAÇÃO AO PJE.</t>
  </si>
  <si>
    <t>O STJ, em 26/6/2024, no RECURSO ESPECIAL Nº 1730703 - DF (2018/0062357-9), deu provimento ao recurso para "para que o Tribunal local continue no exame do recurso de apelação, analisando o pedido de ressarcimento dos danos, como entender de direito". Portanto, o processo poderá ser movimentado no sentido de apurar responsabilidades e danos e pode produzir efeitos em relação ao Sr. Camilo. O processo atualmente aguarda sua migração para o sistema PJE, conforme andamento do TRF1.</t>
  </si>
  <si>
    <t>0023079-86.2004.4.01.3400 (17ª Vara Federal da JFDF)</t>
  </si>
  <si>
    <t>PROCESSO INDISPONÍVEL</t>
  </si>
  <si>
    <t>17/06/2026 - Assinado o termo de confissão de divida.
30/03/2026 - DNIT acatou o pedido de parcelamento da multa  em 12 parcelas
13/02/2026 - Oficio decidindo aplicar multa no valor de R$3.946,68, referente a 15% do valor da parte indadimplente, refletida nos valoresindicados para ressarcimento, no montante de R$26.311,23, ambos os valores demonstrados na Nota Técnica 15 (20432955), totalizando o valor deR$30.257,91. 
26/01/2026 - Foi apresentada Nota Técnica opinando pela aplicação da pena de advertência e multa. Foi apresentada Defesa, estando o caso a aguardar julgamento.</t>
  </si>
  <si>
    <t>2026-06-17T00:00:00</t>
  </si>
  <si>
    <t>Origem: SMP linha 16. Polo inferido das colunas Autor/Réu. Avaliação de risco em texto livre — classificar</t>
  </si>
  <si>
    <t>Origem: SMP linha 17. POSSÍVEL DUPLICIDADE: mesmo nº em SMP L18. Polo inferido das colunas Autor/Réu. Avaliação de risco em texto livre — classificar. Revisar valores em texto (ver coluna VALORES ORIGINAIS)</t>
  </si>
  <si>
    <t>Causa: ABARCADO AO PROCESSO ABAIXO | Execução: ABARCADO AO PROCESSO ABAIXO | Depósito: ABARCADO AO PROCESSO ABAIXO | Impacto: ABARCADO AO PROCESSO ABAIXO</t>
  </si>
  <si>
    <t>Origem: SMP linha 18. POSSÍVEL DUPLICIDADE: mesmo nº em SMP L17. Polo inferido das colunas Autor/Réu. Probabilidade 'MÉDIO' convertida para Possível — confirmar</t>
  </si>
  <si>
    <t>2026-04-10T00:00:00</t>
  </si>
  <si>
    <t>Origem: SMP linha 19. Polo inferido das colunas Autor/Réu</t>
  </si>
  <si>
    <t>LIPORACE</t>
  </si>
  <si>
    <t>2015-01-19T00:00:00</t>
  </si>
  <si>
    <t>Dr Roberto Liporace</t>
  </si>
  <si>
    <t>Defesa Administrativa apresentada dia 15/10/2021
Sem informação de julgamento até aqui por parte da Administração.
23.12.2024 – Arquivamento definitivo do Processo Administrativo n.º 51402.108343/2015-14</t>
  </si>
  <si>
    <t>2025-05-13T00:00:00</t>
  </si>
  <si>
    <t>Origem: LIPORACE linha 5. Polo inferido das colunas Autor/Réu. Revisar valores em texto (ver coluna VALORES ORIGINAIS)</t>
  </si>
  <si>
    <t>Causa: Pretende-se a anulação parcial das medições realizadas a maior para constituir o débito em desfavor da Contratada no montante de R$ 10.294.882,11</t>
  </si>
  <si>
    <t>Defesa Administrativa apresentada dia 05/07/2021(sem decisão). - Houve arquivamento.
Julho de 2021 – Defesa Prévia apresentada após reabertura.
Junho/2021- MS para suspender as medidas cautelares exaradas no Despacho Decisório n° 03/2021/SUGAT-VALEC/DIREM-VALEC (e qualquer futuro ato administrativo da mesma natureza), liberando-se os créditos retidos e cancelando o acionamento da garantia contratual, até que o mérito fosse discutido. Liminar indeferida. Desistência do MS diante do alto custo de honorários de sucumbência possíveis.
Em 24/01/2022 realizado novo agendamento de reunião com Agente de Instrução, porém processo em análise.
Sem intimação até então ao escritório. Sem informação da ALTA.
- Processo parado, chance de prescrição intercorrente.
10/07/25 - Despacho recebido a decisão de arquivamento definitivo do processo</t>
  </si>
  <si>
    <t>2025-07-14T00:00:00</t>
  </si>
  <si>
    <t>Origem: LIPORACE linha 6. Polo inferido das colunas Autor/Réu. Revisar valores em texto (ver coluna VALORES ORIGINAIS)</t>
  </si>
  <si>
    <t>Causa: Pretende-se a anulação parcial das medições realizadas a maior para constituir o débito em desfavor da Contratada no montante de R$ 1.505.390,01</t>
  </si>
  <si>
    <t>2019-09-09T00:00:00</t>
  </si>
  <si>
    <t>■□□□□□□□□ 1/9</t>
  </si>
  <si>
    <t>2026-03-27T00:00:00</t>
  </si>
  <si>
    <t>2026-03-31T00:00:00</t>
  </si>
  <si>
    <t>Origem: LIPORACE linha 7. Polo inferido das colunas Autor/Réu. Probabilidade 'MÉDIO' convertida para Possível — confirmar</t>
  </si>
  <si>
    <t>Fase; Empresa; Probabilidade; Síntese; Próx. providência</t>
  </si>
  <si>
    <t>Origem: LIPORACE linha 8. Consórcio identificado a partir das partes. Polo inferido das colunas Autor/Réu. Avaliação de risco em texto livre — classificar</t>
  </si>
  <si>
    <t>1027128-89.2023.4.01.3400 (7º Vara Federal Civil da SJDF)</t>
  </si>
  <si>
    <t>2021-01-28T00:00:00</t>
  </si>
  <si>
    <t>Defesa Administrativa apresentada em 31.05.2021;
Complemento da Defesa em 20.10.2021.
Alegações Finais apresentadas em 06.12.2021.
Decisão. Recurso apresentado em 29.09.2022
Nova manifestação nos autos para provocar nulidade em setembro de 2023
04.04.2025 - Decisão Recursal: IMPROCEDENTE a pretensão administrativa de constituição de débito formulada nos autos.</t>
  </si>
  <si>
    <t>2025-04-04T00:00:00</t>
  </si>
  <si>
    <t>Origem: LIPORACE linha 9. Consórcio identificado a partir das partes. Polo inferido das colunas Autor/Réu. Revisar valores em texto (ver coluna VALORES ORIGINAIS)</t>
  </si>
  <si>
    <t>Causa: Constituição de débito no importe de R$ 25.879.643,81 (R$ 92.277.980,00 atualizado)</t>
  </si>
  <si>
    <t>2026-08-19T00:00:00</t>
  </si>
  <si>
    <t>Origem: LIPORACE linha 10. Consórcio identificado a partir das partes. Polo inferido das colunas Autor/Réu. Avaliação de risco em texto livre — classificar</t>
  </si>
  <si>
    <t>1030764-29.2024.4.01.3400 (7ª Vara Federal/DF) - Depedência 1027128-89.20233.4.01.3400</t>
  </si>
  <si>
    <t>Origem: LIPORACE linha 11. Outros nº vinculados: 1027128-89.2023.4.01.3400. Consórcio identificado a partir das partes. Polo inferido das colunas Autor/Réu. Avaliação de risco em texto livre — classificar</t>
  </si>
  <si>
    <t>1029005-30.2024.4.01.3400 (7ª Vara Federal/DF) - Depedência 1027128-89.2023.4.01.3400</t>
  </si>
  <si>
    <t>(24/01/2022 ) Alegações finais apresentadas - Aguardando trâmite para julgamento 
05/10/2023 - Pretensão da VALEC IMPROCEDENTE - Defesa acatada</t>
  </si>
  <si>
    <t>Origem: LIPORACE linha 12. Consórcio identificado a partir das partes. Polo inferido das colunas Autor/Réu. Revisar valores em texto (ver coluna VALORES ORIGINAIS)</t>
  </si>
  <si>
    <t>Causa: Valor pretendido – em torno de R$5.962.564,05</t>
  </si>
  <si>
    <t>2018-02-19T00:00:00</t>
  </si>
  <si>
    <t>Origem: LIPORACE linha 13. Consórcio identificado a partir das partes. Polo inferido das colunas Autor/Réu. Probabilidade 'MÉDIO' convertida para Possível — confirmar</t>
  </si>
  <si>
    <t>ENVER</t>
  </si>
  <si>
    <t>2019-12-10T00:00:00</t>
  </si>
  <si>
    <t>Dr. Paulo Enver</t>
  </si>
  <si>
    <t>20.04.08 - Sentencial parcial
22.04.12 - Acórdão
30/05/2022 - Trânsito em julgado
22.09.26 - Certidão de trânsito em julgado</t>
  </si>
  <si>
    <t>2026-02-27T00:00:00</t>
  </si>
  <si>
    <t>Origem: ENVER linha 5. Polo inferido das colunas Autor/Réu. Revisar valores em texto (ver coluna VALORES ORIGINAIS)</t>
  </si>
  <si>
    <t>FINALIZADO</t>
  </si>
  <si>
    <t>1023138-93.2019.4.01.3800 (18ª Vara Federal Cível MG)</t>
  </si>
  <si>
    <t>Causa: Não se aplica</t>
  </si>
  <si>
    <t>P. CALMON</t>
  </si>
  <si>
    <t>2019-10-17T00:00:00</t>
  </si>
  <si>
    <t>Dr. Pedro Calmon</t>
  </si>
  <si>
    <t>Aguardando movimentação</t>
  </si>
  <si>
    <t>Audiência de instrução marcada para 09/04/2026 àS 10H
14/11/2019 - OCORRÊNCIA: Mandado Juntada de Mandados-20180683005375 - Mandado
08/02/2019 - OCORRÊNCIA: Defesa Prévia Juntada de Petição - 20190680000005 - Petição
(outras)
08/02/2019 - OCORRÊNCIA: Defesa Prévia Juntada de Petição - 20190680000118 - Petição
(outras)</t>
  </si>
  <si>
    <t>Origem: P. CALMON linha 5. Polo inferido das colunas Autor/Réu</t>
  </si>
  <si>
    <t>PENAL</t>
  </si>
  <si>
    <t>AGUARDANDO MOVIMENTAÇÃO</t>
  </si>
  <si>
    <t>CNJ 0000935-94.2017.8.17.0810 - Origem - 1ª instância</t>
  </si>
  <si>
    <t>PPROVÁVEL</t>
  </si>
  <si>
    <t>BRANDÃO</t>
  </si>
  <si>
    <t>2020-01-03T00:00:00</t>
  </si>
  <si>
    <t>Dr. Antônio Brandão</t>
  </si>
  <si>
    <t>Origem: BRANDÃO linha 5. POSSÍVEL DUPLICIDADE: mesmo nº em CAVALCANTI L6. Consórcio identificado a partir das partes. Polo inferido das colunas Autor/Réu. Avaliação de risco em texto livre — classificar. Revisar valores em texto (ver coluna VALORES ORIGINAIS)</t>
  </si>
  <si>
    <t>1057475-42.2022.4.01.3400 (1ª Vara Federal Cível DF)</t>
  </si>
  <si>
    <t>Há uma expectativa positiva atual. O deferimento da Tutela de Urgência depende que o juízo perceba a probabilidade do direito e risco ao resultado final do processo, de modo que é um indicativo positivo para o entendimento da sentença.</t>
  </si>
  <si>
    <t>Causa: Multa no valor de R$ 1.202.975,69 e impedimento de licitar e contrata com a administração pública federal, direta ou indireta, pelo prazo de 4 meses | Impacto: Se o agravo for provido, a empresa (solidariamente no consórcio) deverá pagar a multa aplicada pelo DNIT, no valor de R$ 1.202.975,98. Se a sentença for desfavorável à ALTA, também arcará com custas sucumbenciais calculadas sobre o valor da causa (R$ 50.000,00). Além disso, a perda do mérito pode resultar na reinserção do nome da empresa no SICAF e no CADIN, gerando impacto financeiro e restrições administrativas.</t>
  </si>
  <si>
    <t>2023-02-17T00:00:00</t>
  </si>
  <si>
    <t>2025-06-18T00:00:00</t>
  </si>
  <si>
    <t>Origem: BRANDÃO linha 6. POSSÍVEL DUPLICIDADE: mesmo nº em CAVALCANTI L7. Outros nº vinculados: 1057475-42.2022.4.01.3400. Obs. no nº do processo: PROC. DE REFERÊNCIA Nº 1057475-42.2022.4.01.3400. Tema a definir (tipo original: AGRAVO DE INSTRUMENTO). Polo inferido das colunas Autor/Réu. Avaliação de risco em texto livre — classificar. Revisar valores em texto (ver coluna VALORES ORIGINAIS)</t>
  </si>
  <si>
    <t>AGRAVO DE INSTRUMENTO</t>
  </si>
  <si>
    <t>1005926-71.2023.4.01.0000 (PROC. DE REFERÊNCIA Nº 1057475-42.2022.4.01.3400)</t>
  </si>
  <si>
    <t>Há uma expectativa positiva atual, no que se refere ao Agravo, pois a ALTA já obteve uma decisão favorável em primeira instância. A juíza da 1ª Vara Federal Cível do DF deferiu a tutela de urgência a favor da ALTA, entendendo que as sanções administrativas (multa e suspensão) foram desproporcionais e que o DNIT ignorou o 4º Termo Aditivo, que prorrogava o prazo de execução do contrato e indicava que não havia atraso no período punido.</t>
  </si>
  <si>
    <t>Impacto: Caso seja dado provimento ao agravo, a empresa (em solidariedade no consórcio) será obrigada a pagar a multa imposta pela DNIT no valor original de R$ 1.202.975,98.</t>
  </si>
  <si>
    <t>CAVALCANTI</t>
  </si>
  <si>
    <t>2020-09-08T00:00:00</t>
  </si>
  <si>
    <t>Dr. Luis Felipe Cavalcanti</t>
  </si>
  <si>
    <t>22/09/2026 - obtivemos êxito integral no processo da Alta Engenharia x DNIT (BR 156/AP - Lote 2)
28/07/2026 - O julgado foi favorável à Alta. Recurso de Apelação do DNIT negado provimento.
09/07/2026 - Processo pautado para julgamento pelo TRF1 no dia 15/07. 
Concessão da liminar com suspensão de pena no dia 19/06/2023 
Apelação interposta pelo DNIT, com contrarrazões já apresentada pela ALTA, pendente de julgamento.</t>
  </si>
  <si>
    <t>2026-09-22T00:00:00</t>
  </si>
  <si>
    <t>Origem: CAVALCANTI linha 5. Consórcio identificado a partir das partes. Polo inferido das colunas Autor/Réu. Revisar valores em texto (ver coluna VALORES ORIGINAIS)</t>
  </si>
  <si>
    <t>1047703-21.2023.4.01.3400 (1ª Vara Federal DF)</t>
  </si>
  <si>
    <t>POSSÍVEL</t>
  </si>
  <si>
    <t>Causa: MULTA DE R$ 1.049.922,81</t>
  </si>
  <si>
    <t>Origem: CAVALCANTI linha 6. POSSÍVEL DUPLICIDADE: mesmo nº em BRANDÃO L5. Consórcio identificado a partir das partes. Polo inferido das colunas Autor/Réu. Avaliação de risco em texto livre — classificar. Revisar valores em texto (ver coluna VALORES ORIGINAIS)</t>
  </si>
  <si>
    <t>Origem: CAVALCANTI linha 7. POSSÍVEL DUPLICIDADE: mesmo nº em BRANDÃO L6. Outros nº vinculados: 1057475-42.2022.4.01.3400. Obs. no nº do processo: PROC. DE REFERÊNCIA Nº 1057475-42.2022.4.01.3400. Tema a definir (tipo original: AGRAVO DE INSTRUMENTO). Polo inferido das colunas Autor/Réu. Avaliação de risco em texto livre — classificar. Revisar valores em texto (ver coluna VALORES ORIGINAIS)</t>
  </si>
  <si>
    <t>J. CARVALHO</t>
  </si>
  <si>
    <t>2022-12-23T00:00:00</t>
  </si>
  <si>
    <t>Dr.Joaquim Carvalho</t>
  </si>
  <si>
    <t>O processo permanece suspenso, aguardando o julgamento definitivo do Tema Repetitivo 1079 pelo STJ.
05/09/2025 - Redistribuição por sorteio por força de reestruturação administrativa
01/05/2025 - Migração de sistema
18/07/2023 - movimentação formalizando a suspensão condicional do processo, por depender do julgamento de outra causa em instância superior 
02/03/2023 - Intimação da decisão 
17/02/2023 - foi proferido despacho determinando a suspensão do processo, em razão de decisão do STJ no REsp nº 1.898.532/CE, afetado como representativo da controvérsia (Tema Repetitivo 1079), determinando a suspensão nacional dos processos que tratam da mesma matéria .</t>
  </si>
  <si>
    <t>Origem: J. CARVALHO linha 5. Polo inferido das colunas Autor/Réu. Revisar valores em texto (ver coluna VALORES ORIGINAIS)</t>
  </si>
  <si>
    <t>1019783-32.2022.4.06.3800 (4ª Vara Federal Cível e Agrária da SSJ de Belo Horizonte)</t>
  </si>
  <si>
    <t>Causa: Crédito estimado em R$ 1.165.943,58</t>
  </si>
  <si>
    <t>SACHA</t>
  </si>
  <si>
    <t>2023-11-23T00:00:00</t>
  </si>
  <si>
    <t>Drª Maíra de Britto – Sacha Calmon</t>
  </si>
  <si>
    <t>Pendente da manifestação da Alta.
19.12.2025 - Despacho intimando a Alta a apresentar Contrarrazões à Apelação.
18.09.2025 - Apelação interposta pelo Município.
31.07.2025 - Sentença favorável - Procedente o pedido inicial para desconstituir o crédito tributário de ISSQN.
15.07.2024 - Petição protocolada pela Alta informando que não tem mais provas a produzir, senão os documentos já carreados aos autos 
01.07.2024 - Município sem provas a produzir
29.12.2023 - Contestação apresentada pelo Município de Belo Horizonte.
14.12.2023 - Decisão Liminar favorável publicada.
23.11.2023 - Distribuição.</t>
  </si>
  <si>
    <t>2026-03-24T00:00:00</t>
  </si>
  <si>
    <t>Origem: SACHA linha 5. Polo inferido das colunas Autor/Réu. Probabilidade 'MÉDIO' convertida para Possível — confirmar. Revisar valores em texto (ver coluna VALORES ORIGINAIS)</t>
  </si>
  <si>
    <t>CONHECIMENTO</t>
  </si>
  <si>
    <t>5287392-91.2023.8.13.0024 (1ª Vara de Feitos Tributários do Município de Belo Horizonte - TJMG)</t>
  </si>
  <si>
    <t>Causa: VALORES NA EXECUÇÃO FISCAL ABAIXO | Execução: VALORES NA EXECUÇÃO FISCAL ABAIXO | Impacto: VALORES NA EXECUÇÃO FISCAL ABAIXO</t>
  </si>
  <si>
    <t>2023-09-22T00:00:00</t>
  </si>
  <si>
    <t>24.05.2024 - Petição protocolada pelo Município de Belo Horizonte manifestando ciência do despacho de ID 10233679717, que determinou a suspensão do feito.
24.05.2024 - Processo Suspenso ou Sobrestado.
24.05.2024 - Decisão suspendendo o feito até o transito em julgado da Ação Anulatória.
13.05.2024 - Conclusos para despacho.
23.04.2024 - Petição protocolada pelo Município de Belo Horizonte requerendo, nos termos do art. 151, inciso V, do CTN, a SUSPENSÃO do feito pelo prazo de um ano.
23.09.2023 - Distribuição.</t>
  </si>
  <si>
    <t>Origem: SACHA linha 6. Polo inferido das colunas Autor/Réu. Probabilidade 'MÉDIO' convertida para Possível — confirmar</t>
  </si>
  <si>
    <t>EXECUÇÃO FISCAL</t>
  </si>
  <si>
    <t>5225553-65.2023.8.13.0024 (1ª Vara de Feitos Tributários do Município de Belo Horizonte - TJMG)</t>
  </si>
  <si>
    <t>FROIS</t>
  </si>
  <si>
    <t>2022-12-19T00:00:00</t>
  </si>
  <si>
    <t>Dr. Roberto Magalhães</t>
  </si>
  <si>
    <t>2023-03-13T00:00:00</t>
  </si>
  <si>
    <t>Origem: FROIS linha 5. Polo inferido das colunas Autor/Réu. Revisar valores em texto (ver coluna VALORES ORIGINAIS)</t>
  </si>
  <si>
    <t>INQUERITO</t>
  </si>
  <si>
    <t>2026-01-20T00:00:00</t>
  </si>
  <si>
    <t>Origem: FROIS linha 6. Revisar valores em texto (ver coluna VALORES ORIGINAIS)</t>
  </si>
  <si>
    <t>Ação Penal Federal n. 1110200-94.2023.4.06.3800</t>
  </si>
  <si>
    <t>2026-01-21T00:00:00</t>
  </si>
  <si>
    <t>Origem: FROIS linha 7. Revisar valores em texto (ver coluna VALORES ORIGINAIS)</t>
  </si>
  <si>
    <t>AÇÃO PENAL Nº 1020133-58.2022.4.01.3800</t>
  </si>
  <si>
    <t>Origem: FROIS linha 8. Revisar valores em texto (ver coluna VALORES ORIGINAIS)</t>
  </si>
  <si>
    <t>03/12/2025 - Decisão de multa de R$13.177,60
26/12/2024 - Defesa administrativa</t>
  </si>
  <si>
    <t>Origem: FROIS linha 9. Polo inferido das colunas Autor/Réu</t>
  </si>
  <si>
    <t>50050.005489/2024-
74</t>
  </si>
  <si>
    <t>28/04/2026 - O parecer do MP propõe o julgamento das contas como regulares com ressalva, revogação da cautelar de suspesão de pagamentos e expedição de ciência ao DNIT para evitar a aprovação de projetos sem respaldo técnico-normativo adequado.
O processo encontra-se na fase instrutória da TCE, pendente de elaboração do relatório da Unidade Técnica. Esta etapa está focada na consolidação dos elementos de
prova para a formação da convicção sobre a responsabilidade dos envolvidos e a caracterização do eventual dano ao erário.
A última manifestação processual adveio de um Despacho, no qual se consignou que não houve prescrição das pretensões punitiva e ressarcitória. Determinou-se, assim, a restituição dos autos à AudRodoviaAviação para prosseguimento das análises das defesas e demais medidas necessárias ao exame do mérito</t>
  </si>
  <si>
    <t>2026-04-28T00:00:00</t>
  </si>
  <si>
    <t>Origem: EHJC linha 5. Consórcio identificado a partir das partes. Polo inferido das colunas Autor/Réu</t>
  </si>
  <si>
    <t>TCU (TRIBUNAL DE CONTAS DA UNIÃO)</t>
  </si>
  <si>
    <t>Considerando o atual estágio, nossa avaliação das chances de sucesso é: possível.
(Classificação: remota, possível, provável).</t>
  </si>
  <si>
    <t>ROMANHOL</t>
  </si>
  <si>
    <t>2022-08-09T00:00:00</t>
  </si>
  <si>
    <t>Drª Thalyta Leite – Romanhol</t>
  </si>
  <si>
    <t>Em 09.08.2022 o DNIT enviou ofício notificação sobre a rescisão unilateral ao Contrato UT/12-00955/2018 (SEI 12145252);
Posteriormente, apresentamos (Consórcio) defesa/considerações ao ofício supramencionado, concordando com a rescisão, mas discordando quanto aos supostos motivos de rescisão elencados pelo órgão (SEI 123225492);
Após, o DNIT proferiu decisão administrativa de primeira instância, rejeitando os pedidos feitos, decidindo pela rescisão unilateral do contrato e com as consequências indicadas no artigo 80 da Lei 8.666/1993 (SEI 12447012);
Em 16.09.2022 o Consórcio informa sobre a paralisação das atividades desempenhadas, diante da notificação de Rescisão Unilateral (SEI 12492388);
Em 06.10.2022 é publicado no DOU o aviso da rescisão unilateral (SEI 12665285);
Diante da publicação da rescisão, apresentamos Recurso Administrativo, solicitando a reforma da decisão administrativa, bem como das penalidades previstas no art. 80 (SEI 12822994);
Em 14.12.2022 é emitido despacho decisório pela Superintendência Regional DNIT GO/DF, no qual opina pela rejeição do recurso administrativo, bem como pela rescisão unilateral do contrato (SEI 13218649);
31/03/2023 - Processo está com o Coordenador de Acompanhamento de Obras (Sr. Guilherme Pacheco) o qual irá emitir Nota Técnica antes da apreciação do Diretor
21/02/2025 - Recurso foi julgado improcedente. Paralelamente, há duas ações judiciais, em trâmite no TRF1, sob os protocolos nº 1052191-78.2021.4.01.3500 e 1029368-13.2021.4.01.3500.
Ambas estão sob patrocínio do Dr. Arthur Villamil Martins, foram julgadas improcedentes e estão em fase de recurso junto ao Tribunal.</t>
  </si>
  <si>
    <t>2025-02-21T00:00:00</t>
  </si>
  <si>
    <t>Origem: ROMANHOL linha 5. Consórcio identificado a partir das partes. Polo inferido das colunas Autor/Réu. Revisar valores em texto (ver coluna VALORES ORIGINAIS)</t>
  </si>
  <si>
    <t>NAZIF</t>
  </si>
  <si>
    <t>2026-08-25T00:00:00</t>
  </si>
  <si>
    <t>Status; Fase; Empresa; Probabilidade; Exposição; Síntese; Próx. providência</t>
  </si>
  <si>
    <t>Origem: NAZIF linha 5</t>
  </si>
  <si>
    <t>Processo administrativo</t>
  </si>
  <si>
    <t>RAIMUNDO</t>
  </si>
  <si>
    <t>Origem: RAIMUNDO linha 5. Polo inferido das colunas Autor/Réu</t>
  </si>
  <si>
    <t>Histórico anterior preservado no arquivo recebido</t>
  </si>
  <si>
    <t>ABA DE ORIGEM</t>
  </si>
  <si>
    <t>LINHA DE ORIGEM</t>
  </si>
  <si>
    <t>TIPO DO PROCESSO</t>
  </si>
  <si>
    <t>RÉU</t>
  </si>
  <si>
    <t>AUTOR</t>
  </si>
  <si>
    <t>Nº PROCESSO SEI</t>
  </si>
  <si>
    <t>Nº PROCESSO (JUDICIAL)</t>
  </si>
  <si>
    <t>DATA DA INSTAURAÇÃO</t>
  </si>
  <si>
    <t>ANDAMENTO PROCESSUAL</t>
  </si>
  <si>
    <t>PENALIDADE / VALOR DA CAUSA</t>
  </si>
  <si>
    <t>VALOR EXECUÇÃO</t>
  </si>
  <si>
    <t>DEPOSITO JUDICIAL</t>
  </si>
  <si>
    <t>RESPONSÁVEL PELO ACOMPANHAMENTO DO PROCESSO</t>
  </si>
  <si>
    <t>PROBABILIDADE DE ÊXITO</t>
  </si>
  <si>
    <t>BENEFÍCIO ECONÔMICO (LEVANTAMENTO DE DEPÓSITOS, RESTITUIÇÕES OU CRÉDITOS)</t>
  </si>
  <si>
    <t>IMPACTO FINANCEIRO (EM CASO DE PERDA)</t>
  </si>
  <si>
    <t>EXPECTATIVA DE DURAÇÃO DO PROCESSO</t>
  </si>
  <si>
    <t>STATUS/FASE</t>
  </si>
  <si>
    <t>PROBABILIDADE DE ÊXITO / EXPECTATIVA DE DECISÃO FAVORÁVEL</t>
  </si>
  <si>
    <t>Valor da causa: R$ 50.000,00</t>
  </si>
  <si>
    <t>2019 / 2020</t>
  </si>
  <si>
    <t>R$ 53.025,90 (Consórcio pagará a execução)</t>
  </si>
  <si>
    <t>BMM - Gustavo Henrique de
Resende</t>
  </si>
  <si>
    <t>BMM - Pedro Henrique De
Oliveira</t>
  </si>
  <si>
    <t>R$ 49.514,13 (Alta deposito R$ 20.000,00</t>
  </si>
  <si>
    <t>BMM - Cristiane De Freitas
Furlan De Oliveira</t>
  </si>
  <si>
    <t>BMM - Carlos Augusto de
Souza Pinheiro</t>
  </si>
  <si>
    <t>08/04/2024 - Extinção da execução por cumprimento de acordo.
26/09/2023 - Os Executados forma intimados para manifestarem acerca da proposta de acordo do
exequente. 22/06/2023 - AP da Cava.
19/05/2023 - Convolado em penhora o bloqueio integral da execução.
28/03/2023 - Convolado penhora bloqueio de R$ 6.702,31 da Cava.
15/09/2022 - Provido AP da Cava mas sem absolvição, apenas para falar que se garantida a execução ela poderá opor embargos à execução. Negado provimento ao AP da Serne.
05/04/2022 - Agravo de petição da Cava.
31/03/2022 - Rejeitado embargos de declaração da Cava.
11/03/2022 - AP da Serne.
10/03/2022 - ED da Cava.
08/12/2021 - Bloqueio parcial em desfavor da Cava no valor de R$25.155,68.
24/11/2021 - Homologados os cálculos de liquidação.
07/10/2021 - Negado provimento ao AIRR da Cava,
16/11/2020 - AIRR da Cava.
11/11/2020 - Inadimitido RR da Cava.
21/10/2020 - Rejeitado ED da Cava. Multa por recurso protelatório.
04/09/2020 - Negado provimento ao AP da Cava.
13/04/2020 - Protocolado AP pela Cava.
27/03/2020 - Rejeitado ED da Cava.
02/12/2019 - Cava apresentou defesa ao IDPJ e pediu denunciação à lide.
14/11/2019 - Incluída a Cava no processo.
31/10/2019 - Exequente fez pedido de IDPJ e bloqueio
17/09/2019 - Frustada a penhora - Exequente intimado opara manifestar.                          02/09/2019 - aguardando cumprimento de mandado de penhora contra o Consórcio.</t>
  </si>
  <si>
    <t>R$ 17.740,52 ( Execução contra a Cava
bloqueio de valore da Cava R$ 31.830,37)</t>
  </si>
  <si>
    <t>BMM - Ana Dilma Conceição
Melo De Miranda</t>
  </si>
  <si>
    <t>BMM - Carlos Antonio Vieira
Barros Junior</t>
  </si>
  <si>
    <t>R$ 1938,14 (Depósito recursal da Alta de R$10.986,80 / Valor da execução é R$29.722,96)</t>
  </si>
  <si>
    <t>R$ 51.000,00 (Trail quem efetuou o pagamento de
depósito recursal.
Rejeitado pedido da Valec de chamar a
Alta ao processo.)</t>
  </si>
  <si>
    <t>BMM - Rogério Leandro
Furquim</t>
  </si>
  <si>
    <t>(ABB/SPA- ENERGIA fez pagamento.)                                                                    13/05/2019 - Inclusão do Consórcio no polo passivo da ação.</t>
  </si>
  <si>
    <t>Condenação R$ 49.514,13</t>
  </si>
  <si>
    <t>R$ 20.000,00 (não esta atualizado)</t>
  </si>
  <si>
    <t>Descião pela exclusão da ALTA e inclusão da CAVA no processo
14/08/2023 - Aguarda julgamento do Agravo de Instrumento interposto pelas partes - decisão que não respeitou o contraditório.
09/10/2023 - O TJGO negou provimento parcial ao Agravo de Instrumento nº 5116564-98.2018.8.09.0137 da Cava Engenharia, mantendo a empresa no polo passivo ao rejeitar sua preliminar de ilegitimidade.
15/03/2024 -  O Juízo confirmou a inclusão definitiva de Cava Engenharia e Spavias Engenharia, mas acolheu a defesa da Alta Engenharia, determinando sua exclusão do polo passivo, por restar provado que a cessão de suas cotas ocorreu antes da dívida.
09/10/2026 - O TJGO, negou provimento ao Agravao de Instrumento nº 5116564-98.2018.8.09.0137 da Cava Engenharia mantendo a decisão que rejeitou sua preliminar de ilegitimidade passiva.</t>
  </si>
  <si>
    <t>15/01/2026 - Transferido saldo residual para outro processo do Consórcio. 
Aguardando arquivamento.
06/10/2025 - Expedidos alvarás para pagamentos.
08/09/2025 - Bloqueio em conta da Alta,cumprindo integralmente o valor
30/07/2025 -  Intimação para pagamento, sob pena de bloqueio em conta.
08/07/2025 - Ocorreu bloqueio nas contas bancárias da ALTA.
30/06/2025 - Intimação de homologação dos cálculos e citação das empresas para pagamento da execução, sob pena de penhora a partir de 07/07/2025.
29/05/2025 - Intimação de homologação dos cálculos e citação das empresas para pagamento da execução, sob pena de penhora a partir de 03/06/2025.
07/04/2025 - Intimação de vista dos cálculos de liquidação da sentença.
04/06/2024 - Acórdão, provido RO do Reclamante para declarar responsabilidade
solidária da Alta por toda a condenação.
05/02/2024 - Sentença condenatória contra a Alta, porém, limitada a responsabilidade
ao percentual do Consórcio.
26/10/2023 - AIJ
31/08/2023 - Audiência inicial.</t>
  </si>
  <si>
    <t>Valor da causa: R$ 24.328,71</t>
  </si>
  <si>
    <t>Valor da causa: R$ 62.703,23</t>
  </si>
  <si>
    <t>Valor da causa: R$ 29.000,00</t>
  </si>
  <si>
    <t>03/11/2025 - Mandado de Citação e Execução, para pagamento em 03 dias, do valor de R$ 152.401,99 (atualizada até 15/04/2025), sob pena de penhora. (PRAZO DE 15 DIAS PARA DEFESA)
24/08/2023 - Decisão que não acolheu os embargos de declaração do Consórcio. 
25/10/2023 - Interposto Agravo de Instrumento nº 2399592-67.2023.8.13.0000 pelo Executado Consórcio.
05/07/2024 - o Acórdão. Agravo de Instrumento nº 2399592-67.2023.8.13.0000, negado provimento.
14/01/2025 -  Petição pela Exequente requerendo a citação da Executada Alta 
19/11/2025 -  Citação da Executada Alta realizada.
27/11/2025 -  Embargos à Execução nº 1095925-23.2025.8.13.0024, pela Executada Alta. (Vide 
processo autónomo).</t>
  </si>
  <si>
    <t>Execução de Título Extrajudicial
Execução movida pela PETROBRÁS contra o CONSÓRCIO INTEGRAL SPAVIAS TRAIL ALTA e suas Consorciadas (TRAIL, INTEGRAL, SPAVIAS e ALTA), visando o pagamento do valor original de R$ 50.921,25 a título de fornecimento de produto derivado do petróleo (vencidas no período de 16/10/2015 a 31/03/2016). 
No caso, a Integral compareceu espontaneamente nos autos, depositando sua parte proporcional à porcentagem de sua participação no consórcio. A Trail também procedeu ao pagamento. 
Com relação à Alta, houve uma tentativa de citação em 18/05/2018, sem êxito. Somente agora a Petrobras requereu novamente a citação da Alta, que neste consórcio possui uma participação de 6,00%.</t>
  </si>
  <si>
    <t>0052185.74.2016.8.09.0051  (16ª Cível Goiania)                  0446459.88.2015.8.09.0051 (ARQUIVADO)</t>
  </si>
  <si>
    <t>Trata-se de ação de execução de título extrajudicial proposta contra o Consórcio Integral Spavias Trail Alta. A exequente firmou com a executada o Contrato nº 006/2016 para locação de equipamentos utilizados na obra da Ferrovia Norte-Sul, no município de Rio Verde/GO, realizada para a VALEC.  Alega que os equipamentos foram devidamente utilizados e comprovados por notas fiscais e relatórios de medição, porém a executada não efetuou o pagamento das faturas vencidas entre novembro de 2016 e fevereiro de 2017, totalizando R$ 264.796,83. Atualizado pelo INPC, o débito alcança R$ 267.720,77.</t>
  </si>
  <si>
    <t>13/06/2023 -  Deferido a instauração da desconsideração da Personalidade jurídic. Aguarda-se a citação da Alta. As outras empresas apresentaram contestação.  
28/10/2025 - Carta intimatória para resposta aos autos (diante do indeferimento do pedido de inclusão da Alta no polo passivo pelo Exequente, foi interposto o Recurso n.º 5781768-60.2025.8.09.0051)
04/11/2025 - Agravo de Instrumento nº 5769701-63.2025.8.09.0051, interposto pela Executada Spavias, não provido.
12/11/2025 - Contrarrazões pela Executada Alta no Agravo de Instrumento nº 5781768-60.2025.8.09.0051.
13/11/2025 - Embargos de Declaração opostos pela Executada Spavias contra a decisão do Agravo nº 5769701-63.2025.8.09.0051.
27/11/2025 - Contrarrazões aos Embargos de Declaração pela Exequente.
02/12/2025 - Acórdão - Agravo de Instrumento nº 5781768-60.2025.8.09.0051 pela Exequente, não provido.
12/12/2025 - Embargos de Declaração opostos pela Exequente.
15/12/2025 - Decisão. Embargos de Declaração rejeitados.
07/01/2026 - Contrarrazões aos Embargos de Declaração pela Executada Alta.
12/01/2026 - Recurso Especial interposto pela Executada Spavias.</t>
  </si>
  <si>
    <t>01/12/2023 - Acordo celebrado entre as partes,  Geramaq e o Consórcio Spavias. Alta foi retirada do cumprimento de sentença sendo, assim, liberada das cobranças e medidas executivas relativas à dívida.
(01/11/2023) Decisão que concedeu o efeito suspensivo ao agravo de instrumento da Alta. - Aguardaremos eventual manifestação por parte da Geramaq, bem como o julgamento do recurso.</t>
  </si>
  <si>
    <t>07/01/2026 - Negado provimento ao agravo de instrumento. Prosseguimento do feito.
17/05/2023 -  Determinada a suspensão do processo até o julgamento do agravo de instrumento.</t>
  </si>
  <si>
    <t>BMM - Daniella Rodrigues
Batista Alves Ribeiro</t>
  </si>
  <si>
    <t>R$ 21.046,20 (A Alta foi incluída, porém, não foi citada. Penhorado da Alta valor de R$21.046,20.)</t>
  </si>
  <si>
    <t>BMM - Jaqueline Ferraz Dos
Santos</t>
  </si>
  <si>
    <t>Trata-se de reclamação trabalhista ajuizada pelos herdeiros de Luiz Antônio Antunes contra a empresa Consórcio Spavias Cava, visando o pagamento de salários atrasados, verbas rescisórias, horas extras, FGTS e demais direitos trabalhistas não pagos ao empregado até a data de seu falecimento.  Ele rabalhou de 2015 a 2020, com função de motorista de onibus.</t>
  </si>
  <si>
    <t>BMM - Orivaldo Guimarães
Rodrigues</t>
  </si>
  <si>
    <t>BMM - Antonio Carlos
Monteiro Da Silva</t>
  </si>
  <si>
    <t>R$ 18.227,06 (Bloqueio do Roney no valor de R$1.894,86.)</t>
  </si>
  <si>
    <t>BMM - Amarildo Messias
Maciel</t>
  </si>
  <si>
    <t>O reclamante foi contratado pela reclamada em 02/06/2016 para a função de vigia, sendo dispensado sem justa causa em 03/03/2018, com aviso prévio indenizado. Durante o contrato, trabalhava das 17h às 05h e recebia remuneração aproximada de R$ 2.115,00. A reclamada não pagou as horas  previstas em acordo coletivo, suprimiu o intervalo intrajornada, submeteu o trabalhador a condições precárias de trabalho e alojamento, além de calcular incorretamente as verbas rescisórias, desconsiderando parcelas salariais habituais.</t>
  </si>
  <si>
    <t>R$ 20.360,76 (Iniciada a execução. Empresas incluídas. Há ordem de
bloqueio de crédito das outras empresas.)</t>
  </si>
  <si>
    <t>Trata-se de reclamação trabalhista  contra o Consórcio Integral Spavias Traisl, em que o trabalhador alega que foi demitido sem justa causa e não recebeu corretamente salários, verbas rescisórias, FGTS, aviso prévio e demais direitos, além de pedir indenização por danos morais pelo não pagamento das verbas devidas. Contratado em abril de 2017, demitido em outubro de 2018. Função de motorista.</t>
  </si>
  <si>
    <t>BMM - Victoria Cordeiro De
Andrade Santana</t>
  </si>
  <si>
    <t>BMM - Allysson Cristiano
Rodrigues Da Silva</t>
  </si>
  <si>
    <t>BMM - William Gouveia
Galvao</t>
  </si>
  <si>
    <t>R$ 16.782,87 (Valor pago integral pela Cava. Multa em desfavor da
Cava.)</t>
  </si>
  <si>
    <t>BMM - Amado José Ferreira
Filho</t>
  </si>
  <si>
    <t>02/10/2026 -  intimação para pagamento da execução, Valor da execução: R$ 51.155,57.
02/09/2026 - Negado provimento ao recurso da Alta, autos retornarão ao juízo de primeiro grau para que seja reiniciada a execução
24/10/2025 - Levantada a suspensão do processo. Redistribuido por afastamento.
30/01/2024 - Autos sobrestados.
14/10/2022 - Agravo interno da Alta.
03/10/2022 - Negado seguimento ao AIRR da Alta.
26/10/2021 - AIRR da Alta.
14/10/2021 - Negado seguimento ao RR da Alta.
06/08/2021 - RR da Alta.
27/07/2021 - Negado provimento ao ED da Alta.
13/07/2021 - ED da Alta.
02/07/2021 - Acórdão - negado provimento.
23/04/2021 - AP da Alta.
12/04/2021 - Rejeição Ed da Alta.
16/03/2021 - ED apresentado pela Alta.
09/03/2021 - Procendente IDPJ contra a Alta.
10/02/2021 - Defesa apresentada pela Alta.
10/12/2020 - IDPJ, Alta incluída.
27/10/2020 - Intimado o Exequente para impulsionar a execução.
12/03/2020 - Expedida carta precatória para penhora de bens do Consórcio.
19/08/2019 - Expedida carta precatória expropriação de bens do Consórcio.
15/08/2019 - intimado o Consórcio para ter vista dos cálculos
27/06/2019 - publicada sentença
Designada audiência Una para o dia 24/06/2019 às 14:10.</t>
  </si>
  <si>
    <t>BMM - Sandro Aparecido
Vieira De Moraes</t>
  </si>
  <si>
    <t>BMM - Maraisa Silva
Sampaio</t>
  </si>
  <si>
    <t>BMM - Gleuvan Araujo
Portela</t>
  </si>
  <si>
    <t>29/01/2025 - Julgado improcedente embargos Serne.
16/12/2024 - Embargos à execução Serne
06/05/2024 - Bloqueado saldo do André. Não é a integralidade da dexecução.
03/04/2024 - Intimado o Autor para promover meios de execução.
01/03/2024 - Acórdão - negado provimento ao AP do Roney.
18/12/2023 - AP do Roney.
10/11/2023 - Procedente o IDPJ contra Roney e André.
13/10/2023 - Anulada sentença. Será prolatada nova sentença de IDPJ.
05/10/2023 - Sentença que acolheu o pedido de IDPJ                                                               
12/06/2023 - Autor intimado para promover a execução.
06/04/2023 - Sisbajud em desfavor dos Réus.
14/03/2023 - Citação para os réus pagarem a execução.
17/02/2023 - Intimadas as partes sobre os cálculos de liquidação.
09/01/2023 - Rejetado o ED da Serne e não conhecido o recurso oridnário por deserção.
13/12/2022 - Ed da Serne.
12/12/2022 - Serme intimada para solver custas.
03/11/2022 - RO da Serne.
25/10/2022 - Negado provimento aos Eds da Serne e com multa.
28/09/2022 - Sentença condenatória
22/09/2022 - AIJ.
21/06/2022 - Audiência inicial</t>
  </si>
  <si>
    <t>.</t>
  </si>
  <si>
    <t>BMM - Juracy Geraldo De
Pinho</t>
  </si>
  <si>
    <t>R$ 39.654,31
R$ 16.267,56 ?</t>
  </si>
  <si>
    <t>Sim(Trail)</t>
  </si>
  <si>
    <t>14378,33 (O valor da execuçaõ está só pelo valor devido pela Alta.
O valor total da execuçã é de R$203.731,64. Será
liberado em favor do reclamante o depósito da Alta no
valor de R$13.908,75.)</t>
  </si>
  <si>
    <t>BMM - João Luiz Arzeno da
Silva / Pedro Henrique</t>
  </si>
  <si>
    <t>16/07/2025 - Carta de Citação e Intimação (INCIDENTE DE DESCONSIDERAÇÃO DA PERSONALIDADE JURÍDICA)
20/10/2025 - Sentença:  improcedente o pedido quanto ao incidente de desconsideração da personalidade jurídica. (Aguardemos eventual recurso do Autor)
PROCESSO ORIGINAL MOVIDO SOMENTE CONTRA A SETOR SUL
18/11/2025 - Recurso de Apelação pelo CONSORCIO PLANEP - CEPPLA.
18/12/2025 -  Contrarrazões ao Recurso de Apelação pela Movida.
21/01/2026 -  Contrarrazões ao Recurso de Apelação pelo Francisney</t>
  </si>
  <si>
    <t>Trata-se de ação de cobrança ajuizada por PEDRO CORREA DO NASCIMENTO em
desfavor de Consórcio LOCTEC PAVIENGE CAVA ALTA SETOR SUL.
No caso concreto, houve a produção da prova oral (mov. 29/30). Ademais, estão
presentes as condições da ação (interesse e legitimidade) e os pressupostos processuais.
Portanto, tendo em vista que houve o encerramento da instrução com a produção de
provas em audiência e inexistem prejudiciais de mérito, assim passo a analisar o mérito
propriamente dito.
A parte autora visa a cobrança de valores referentes à locação de caminhão basculante
para execução de obras na BR-020 no Município de Formosa-GO. Afirma ter prestado serviço
para a requerida e essa, por sua vez, não efetuou o pagamento.
Em sede de contestação (mov. 12), a parte promovida alega jamais ter contratado o
serviço do promovente e que todos os serviços contratados pela promovida são feitos por meio
da formalização de contrato.</t>
  </si>
  <si>
    <t>BMM - Gil Vieira De
Carvalho Neto</t>
  </si>
  <si>
    <t>58038,42 (A Alta é foi condenada em 3/4 do débtido e subsidiária.)</t>
  </si>
  <si>
    <t>Pretenção R$ 261.849,65</t>
  </si>
  <si>
    <t>SPAVIAS  
ALTA ENGENHARIA 
TRAIL 
JOSE AMARO DA SILVA E CIA LTDA - ME</t>
  </si>
  <si>
    <t>(25/09/2023) O processo encontra-se paralisado, aguarda-se o prosseguimento do feito.
(06/08/2024) Aguarda-se realização da audiência AIJ
17/12/2025 -  Sentença. Pedido autoral julgado parcialmente procedente para condenar as rés  Spavias, Alta e Trail, de forma solidária, ao ressarcimento de 50% das despesas efetuadas pelo INSS com o pagamento de beneficios de pensão por morte.
13/01/2026 -  Embargos de Declaração opostos pela Ré Alta.
23/01/2026 -  Contrarrazões aos Embargos de Declaração pelo INSS.</t>
  </si>
  <si>
    <t>Relacionado ao acidente reclamado no processo 01532-2015-005-10-00-6   - PROBATÓRIA (Ação de Regresso) -  Acidente de trabalho JOSENILDO JOSÉ DE SOUZA</t>
  </si>
  <si>
    <t>Valor da causa: R$ 7.335,99_x000D_</t>
  </si>
  <si>
    <t>(17/05/2019) A Impugnação foi apresentada nesta data. Demonstrou-se, nela, que foi aplicada legislação equivocada por parte da Prefeitura (a autuação se refere a um período que vai até junho de 2015, mas, no Auto de Infração, a Prefeitura mencionou a Lei 146 de
2017). Demonstrou-se, ainda, que a empresa já havia sido fiscalizada quanto a uma
parte do período agora autuado. Por fim, atestou-se que uma parcela dos débitos não
poderia ser cobrada, tendo em vista a perda de prazo pela Prefeitura. (19/09/2023) Aguarda-se o julgamento da Impugnação da empresa.
19/08/2025- O Tribunal Regional Federal analisou os Agravos Internos interpostos pela empresa e 
entendeu que os Recursos Especial e Extraordinário por ela apresentados não devem 
ser admitidos. Tendo em vista a ausência de perspectiva de reversão da situação considerando-se o 
entendimento do Judiciário sobre a matéria, não serão apresentados novos recursos. 
11/10/2025 - Trânsito em julgado. 
28/11/2025-  O processo foi recebido na primeira instância.
12/12/2025 - O processo foi arquivado definitivamente.</t>
  </si>
  <si>
    <t>Valor da causa: R$ 76.138,74_x000D_</t>
  </si>
  <si>
    <t>Valor da causa: R$ 187.427,45</t>
  </si>
  <si>
    <t>12/09/2025 - O juiz não autorizou, por enquanto, bloquear valores das empresas consorciadas (Spavias Engenharia Ltda e Serne Engenharia Ltda), mesmo existindo cláusula de responsabilidade solidária no contrato do consórcio, porque essas empresas não participaram da fase inicial do processo e precisariam ser citadas para exercer defesa.
18/06/2025 - O juiz determinou que a parte credora apresente em 15 dias o contrato completo de constituição do consórcio (e eventuais aditivos), devidamente registrado, para verificar se as empresas consorciadas têm responsabilidade pela dívida.
17/02/2025 - O juiz determinou que, se a parte devedora não pagar voluntariamente, a secretaria deve iniciar medidas para localizar e penhorar bens a fim de quitar a dívida, utilizando sistemas eletrônicos como SISBAJUD, RENAJUD, INFOJUD e SERASAJUD.
24/01/2024  - Remetidos os Autos (em cumprimento de sentença) para Centrase BH
25/09/2023 -  Os autos se encontram conclusos para decisão</t>
  </si>
  <si>
    <t>5096306-36.2020.8.13.0024  (24ª Vara Cível de BH)</t>
  </si>
  <si>
    <t>08/10/2025 - O juiz determinou que seja certificado o trânsito em julgado da sentença e verificado o pagamento das custas finais. Em seguida, a parte devedora será intimada para pagar a dívida em 15 dias.
18/08/2023 -  Os autos se encontram conclusos para julgamento.</t>
  </si>
  <si>
    <t>18/09/2026 - Valor total vbloqueado em nome da reclamada CESAR TRANSPORTES. Negado provimento ao agravo interno apresentado pela alta, a execução provisória está integralmente garantida pela primeira reclamada, após o transito em julgado será possivel solicitar a restituição dos depositos judiciais feitos pela ALTA.
09/07/2026 - Prazo para pagamento em 48hrs após sera acionado o SISBAJUD.
02/07/2026 - Pedido de SISBAJUD pela parde autora
16/06/2026 - Petição da outra empresa oferecendo possível acordo.
10/06/2026 - Intimados para pagamento do débito sob pena de execução
09/06/2026 - Petição negando o bem a penhora, aguardando manifestção do juízo.
27/04/2026 - Pedido de audiência de conciliação e penhora de bem em nome da empregadora.
22/04/2026 - ALTA foi notificada para pagamento da execução em 48hrs no valor de  R$ 453.450,18 sob pena de bloqueio judicial.
15/04/2025 - Os reclamantes iniciaram cumprimento provisório de sentença, sendo assim, fomos intimados a liquidar a sentença.
24/02/2023 - Agravo Interno da Alta.
10/02/2022 - Negado provimento aos AIRR.
25/01/2022 - Agravo de Instrumento em Recurso de Revista da Alta.
10/12/2021 - Negado seguimento ao RR da Alta.
27/01/2020 - Recuro de Revista da Alta.
Aguardando julgamento dos novos embargos de declaração
Acórdão aumentou a condenação de primeiro grau, alcançando R$ 350.000,00.</t>
  </si>
  <si>
    <t>R$ 3.000.000,00</t>
  </si>
  <si>
    <t>488.857,89</t>
  </si>
  <si>
    <t>17/10/2019</t>
  </si>
  <si>
    <t>19.02.2024 - Arquivados os autos definitivamente
02.02.2024 - Despacho: considerando que  todas  as  obrigações  foram devidamente adimplidas nos presentes autos, foi declaro extinta a execução.
(12/09/23) Provido o recurso para que seja restituído à Alta o valor que exceder ao valor devido, exceto se houver outra execução contra a empresa. Provavelmente haverá saldo a restituir à Alta.</t>
  </si>
  <si>
    <t>Valor total da condenação: R$29.722,96.
Valor devido pela Alta, condenação subsidiária: R$1.938,14. (Possível restituição/ Saldo de R$ 12.296,38 de deposito)</t>
  </si>
  <si>
    <t>Trata-se de Mandado de Segurança por meio do qual se busca afastar ato contrário ao Direito da Impetrante, consistente na
exigência do PIS e da COFINS inflados pela inserção, em suas bases de cáculo, do ISS._x000D_</t>
  </si>
  <si>
    <t>eonel Martins Bispo</t>
  </si>
  <si>
    <t>10/09/2026 - Transitado em julgado em 13/08 tornando definitivos o direito ao crédito tributário decorrente da exclusão de determinadas verbas d abase de cálculo das contribuições previdenciárias patroniais.
18/04/2022 - Em juízo de retratação, o Tribunal Regional Federal decidiu: "Pelo exposto, em juízo de retratação (alinhamento jurisprudencial), aplico ao julgado a orientação vinculante supra,
retificando o dispositivo e, de consequência: dou provimento parcial ao apelo da União
(FN) e à remessa oficial para que a tributação incida sobre o valor pago a título de terço
constitucional de férias e dou provimento parcial ao apelo da impetrante para que a
tributação não incida sobre o valor pago a título de salário maternidade, julgado
confirmado quanto ao mais."
06/05/2022 -  A empresa apresentou recurso de Embargos Declaratórios, requerendo a suspensão do processo até que o Supremo Tribunal Federal decida se ocorrerá a modulação de efeitos relativamente ao terço constitucional de férias.
11/05/2022 - A União se manifestou requerendo que seja negado provimento aos Embargos
Declaratórios apresentados pela empresa.
21/07/2022 - O Tribunal Regional Federal negou provimento aos Embargos Declaratórios
apresentados pela empresa.
22/08/2022 - A empresa peticionou complementando o Recurso Extraordinário que havia interposto.
19/08/2024 - Protocolizada, pela empresa, petição requerendo a agilização do processo.
22/01/2026 - Aguarda-se nova decisão por parte do Tribunal Regional Federal da Sexta Região.</t>
  </si>
  <si>
    <t>Trata-se de Mandado de Segurança por meio do qual se busca o reconhecimento do direito da Impetrante ao não recolhimento
das contribuições patronais (inclusive o SAT/RAT), Salário Educação, SESI, SENAI e SEBRAE sobre os valores pagos pela
empresa a título de 1/3 de férias, aviso-prévio indenizado, auxílios doença e acidente, auxílio maternidade, licença paternidade,
adicional de horas extraordinárias e 13º salário._x000D_</t>
  </si>
  <si>
    <t>O obreiro, ADELCIO BONFIM DE SOUZA foi contratado em 17/06/2022, para exercer a função de motorista de caminhão basculante, função que exerceu até seu óbito em 30/11/2022.
Requerem reparação material, dano moral por lesão ao direito de natureza extrapatrimonial, e verbas trabalhistas pendentes. 
Alta não tem referência ao contrato em que Adelcio trabalhou, a contratação da obra e dos serviços foi exclusiva da LOCTEC.</t>
  </si>
  <si>
    <t>ALTA  ABSOLVIDA</t>
  </si>
  <si>
    <t>(29/06/2022) Autos sobrestados
Concluso TST admissibilidade de RE Condenação em valores ínfimos (R$ 600,00).                                                                                                                       29/06/2022 - Autos sobrestados.
07/12/2020 - Acórdão TST - negado provimento ao AIRR da Valec.
22/10/2019 - Autos sobrestados.
30/11/18 - Aguardando julgamanto do Recurso Extraordinário.</t>
  </si>
  <si>
    <t>BMM - Chrystian Azevedo
Nunes</t>
  </si>
  <si>
    <t>15/09/2026 - Intimação sobre informação de prosseguimento da execução em desfavor da VALEC, R$ 30.000,00
02/09/2026 - Despacho determinando o prosseguimento da execução em face da VAALEC
3/03/2026   - O juízo manteve o bloqueio apenas em nome da Trail, sendo assim, a ordem de bloqueio, por ora, será paralisada, a ordem de bloqueio será reiterada, pois a Trail possui débito no valor de R$ 4.755,40. Contudo, houve bloqueio de R$ 52.962,21, sendo que o valor total executado corresponde a R$ 29.457,95.
27/02/2026 - Bloqueio nas contas da ALTA
2/02/2026 - Partes intimadas para quitarem o débito R$29.457,95 prazo 8 dias 12/02/2026, sob pena de penhora.
9/01/2026 - Homologados cálculos, partes intimadas para quitar o débito.
10/10/2025 - Acórdão, negado provimento ao ED da Valec.
12/06/2025 - ED da Valec.
06/06/2025 - Negado provimento ao recurso da Valec.
08/09/2020 - Conhecido RR da Valec., aguardar julgamento TST.
23/06/2020 - Recurso de Revista Valec.
05/06/2020 - Acórdão - parcial provimento recursos.
11/02/2020 - Recurso da Valec.
31/01/2020 - Sentença condenando a Alta pelos débitos
05/11/2019 - intimado o Autor para responder a contestação Alta.
31/10/2019 - Apresentada defesa da Alta Engenharia.
09/10/2019 - sentença anulada. Aguardar defesa Alta.
07/10/2019 - Partes intimadas para apresentar contrarrazões ao RO. 20/08/2019 - sentença - revelia Alta.
Nulidade empresa não fo notificada.
28/03/2019 - deferido o chamamento das empresas que compoem o Consórcio. Aguardar intimação.
04/02/2019 - redesignada audiência para o dia 27/02/2019.</t>
  </si>
  <si>
    <t>BMM - Rodrigo Martins Da
Silva</t>
  </si>
  <si>
    <t>BMM - Gecilda Facco
Cargnin</t>
  </si>
  <si>
    <t>BMM - Claudia Aparecida
Zanon Francisco</t>
  </si>
  <si>
    <t>Pedro  Henrique Carvalho Batista</t>
  </si>
  <si>
    <t>09/09/2026 - Sentença que extinguiu o cumpromento de sentença, tendo em vista o pagamento voluntário, o consórcio planep-ceppla possui crédito a receber, eis que foi pago crédito maior em nome do autor.
24/03/2026 - Recurso improvido. Houve embargos, aguardando julgamento.
21/07/25 - Sentença favóravel ao autor. Decisão recorrida. 
26/06/24 - Audiência de conciliação.
09/07/2024 - Reunião com o advogado do Consórcio e com o chefe de frota da Alta
15/07/2024 - Apresentação da contestação pelo Consórcio Planep - Ceppla
16/07/2024 -  Apresentação de contestação pela Alta
17/07/2024 -  Apresentação de contetação pela Movida</t>
  </si>
  <si>
    <t>Processo encontra-se no STJ- sentença e acórdão julgaram improcedentes os pedidos autorais. Sentença proferida em 16/01/2023, julgando extinto o processo com resolução do mérito e declaração de prescisão da pretensão autoral. No dia 23/08/2024 lavrado a Certidão de Trânsito em julgado e Termo de Baixa. 
05/12/2024 -  Deferido o pedido de penhora de ativos financeiros via sistema Sisbajud.
24/06/2025 -  Deferido o pedido de penhora dos veículos localizados.</t>
  </si>
  <si>
    <t>Pedido de IDPJ - Incidente de Desconsideração de Personalidade Jurídica do Consórcio, no Juizado Especial de GO, para atingir as Consorciadas (como a Alta, que detém 1%), buscando cobrar delas, solidariamente, o valor de R$13.116,91.
O juiz extinguiu liminarmente o IDPJ, por entender que deveria ser requerido no próprio processo. O Elias (credor), apresentou Embargos de Declaração requerendo a revisão desta sentença, motivo pelo qual vocês foram intimados.</t>
  </si>
  <si>
    <t>03/12/2025  Aguardando citação.</t>
  </si>
  <si>
    <t>PERDA  REMOTA</t>
  </si>
  <si>
    <t>18/09/2026 - Valor total vbloqueado em nome da reclamada CESAR TRANSPORTES. Negado provimento ao agravo interno apresentado pela alta, a execução provisória está integralmente garantida pela primeira reclamada, após o transito em julgado será possivel solicitar a restituição dos depositos judiciais feitos pela ALTA.
24/08/2026 - Saldo de R$ 270.934,05 bloqueado em desfavor de Cesar Transportes Guindastes e Equipamentos
09/07/2026 - Prazo para pagamento em 48hrs após sera acionado o SISBAJUD.
02/07/2026 - Pedido de SISBAJUD pela parte autora.
16/06/2026 - Petição da outra empresa oferecendo possível acordo.
10/06/2026 - Intimados para pagamento do débito sob pena de execução
09/06/2026 - Petição negando o bem a penhora, aguardando manifestção do juízo.
27/04/2026 - Pedido de audiência de conciliação e penhora de bem em nome da empregadora.
22/04/2026 - ALTA foi notificada para pagamento da execução em 48hrs no valor de  R$ 453.450,18 sob pena de bloqueio judicial.
23/10/2025 - Apresentado laudo pericial.
04/06/2025 - Reclamante apresentou cálculos de R$ 727.812,20. 
22/05/2025 - 1ª Reclamada apresentou cálculos de R$ 423.472,55.
18/03/2025 - Iniciada execução provisória.</t>
  </si>
  <si>
    <t/>
  </si>
  <si>
    <t>R$                                                      68.004,68</t>
  </si>
  <si>
    <t>Não estabelecido, pois o processo está em fase de apuração de responsabilidades e eventual
Penalidade</t>
  </si>
  <si>
    <t>R$                                      -</t>
  </si>
  <si>
    <t>50606.001567/2019-71 e  50606.000752/2022-43</t>
  </si>
  <si>
    <t>Foi interposto Agravo de Instrumentocontra a decisão que negou a liminar no Caso 2 (CREMA-MOC), com pedido de antecipação de tutela para suspender as penalidades aplicadas pelo DNIT MG (R$844.512,60 e suspenção do direito de licitar com o DNIT por 24 meses. O Consórcio argumenta que: (a) não há que se falar em ausência de urgência em razão de penalidade de suspensar se limitar aos contratos do DNIT, pois os contratos com o DNIT representam cerca de 70% das contratações da empresa; (b) não há nenhuma investigação envolvendo o Consórcio ou lhe imputando responsabilidades; (c) os normativos invocados para penalizar o Consórcio não se aplicavam ao Contrato Administrativo, pois eram posteriores a ele e, assim, não poderia prejudicar o contratado; (d) as penalidades não abedeceram a legislação e são desproporcionais, pois não houve prejuízo, tratando-se de mera discussão envolvendo planilhas e seus ajustes, os quais foram realizados pelo contratado. Foi deferida parcialmente a liminar, para determinar a suspensão da execução da multa pecuniária. Em razão disso, foi interposto recurso pelo Consórcio, requerendo a suspensão também da pena de impedimento, estando o recurso a aguardar o seu julgamento.
***
Em razão de Processo Administrativo de Revisão de Pena, apresentada pela Alta perante o DNIT-Sede, as penas aplicadas às empresas estão suspensas administrativamente. O recurso perderá seu objeto, pois a penalidade de impedimento será cumprida pelo consórcio</t>
  </si>
  <si>
    <t>AGUARDA DECISÃO SOBRE AGRAVO INTERNO</t>
  </si>
  <si>
    <t>Em 05/05/22, o juiz da 21ª Vara Federal decidiu postergar a apreciação do pedido de suspensão liminar das penalidades, que seria apreciado após manifestação do DNIT/MG. Em 12/05/2022, o Consórcio juntou manifestação em que reitera o seu pedido de reconsideração da liminar, diante da decisão que postergou. No dia 13/05/2022, foi proferida decisão que manteve a postergação da apreciação da liminar. Em 15/05/2022, foi interposto Agravo de Instrumento pelo Consórcio (1015793-25.2022.4.01.0000), mas a liminar foi indeferida. Em 19/05/2022, o DNIT/MG prestou informações ao juiz da 21ª Vara Federal, conforme determinado pelo juízo em decisão retro. Em 24/05/2022, o Consórcio constituiu novos advogados (SMP Advogados) e apresentou manifestação rebatendo os argumentos do DNIT/MG e requerendo a apreciação do pedido de urgência. Em 27/05/2022, o juiz da 21ª Vara Federal determinou a redistribuição do caso à 3ª Vara Federal, em razão da conexão com o Mandado de Segurança n° 1010455-53.2021.4.01.3800. Em 31/05/2022, foi deferido o pedido liminar para “suspender a penalidade de impedimento de licitar e contratar com a administração pública federal direta e indireta pelo prazo de 36 (trinta e seis) meses que foi aplicada às Impetrantes, até ulterior deliberação deste Juízo”. Em 29/06/2022, foi interposto Agravo de Instrumento pelo Consórcio (1022546-95.2022.4.01.0000). Em 25/7/2022, foi interposto Agravo de Instrumento pelo DNIT (1026051-94.2022.4.01.0000). Em 16/08/2022, foi proferida decisão em que indeferiu o pedido de reconsideração e intimou o MPF para manifestação nos autos do processo. Em 07/10/2022, o MPF junta parecer, por meio do qual se manifesta pela "suspensão do andamento deste writ até que haja decisão de mérito nos autos do processo nº 1010455-53.2021.4.01.3800". No dia 29/11/2022, o Consórcio se manifestou no sentido de pleitear que "a concessão da segurança no writ conexo levará, como consectário lógico, à concessão da  segurança  nesta  demanda,  pois  as  penas  restarão  prejudicada.". Foi proferida sentença denegando a segurança. Foi interposta Apelação pelo Consórcio. Em 13/6/2023, o DNIT apresentou contrrazões. Em 12/9/2023, o MPF se manifestou. Em 12/9/2023, os autos ficaram conclusos.
***
Em razão de Processo Administrativo de Revisão de Pena, apresentada pela Alta perante o DNIT-Sede, a pena de impedimento foi reduzida para 24 meses, dos quais, segundo a decisão do DNIT. Considerando os cálculos apresentados ao DNIT, a penalidade de impedimento deverá estar integralmente cumprida até o fim do promeiro semestre de 2026, estando a se aguardar o cálculo do DNIT. Após o julgamento do pedido de revisão de pena, foi gerada GRU no valor de R$ 1.760.543,10 para pagamento até 22/02/2026. Em razão disso, foi requerida a concessão de medida liminar para suspender a exigência da multa, considerando a existÊncia de seguro garantia no caso.</t>
  </si>
  <si>
    <t>R$ 1.760,543.10</t>
  </si>
  <si>
    <t>A Alta foi citada e apresentou defesa, demonstrando, além de outras razões, que não assumiu a obrigção objeto do contrato tratado na cobrança, bem como que não lhe deve ser imputada responsabilidade.
O processo aguarda a citação de todos os Réus, para que seja iniciada a fase de provas.</t>
  </si>
  <si>
    <t>O STJ, em 26/6/2024, no RECURSO ESPECIAL Nº 1730703 - DF (2018/0062357-9), deu provimento ao recurso para "para que o Tribunal local continue no exame do recurso de apelação, analisando o pedido de ressarcimento dos danos, como entender de direito". Portanto, o processo poderá ser movimentado no sentido de apurar responsabilidades e danos e pode produzir efeitos em relação ao Sr. Camilo. O processo atualmente aguarda sua migração para o sistema PJE, conforme andamento do TRF1. </t>
  </si>
  <si>
    <t>AGUARDANDO IMIGRAÇÃO AO PJE.</t>
  </si>
  <si>
    <t>51402.108343/2015-14.</t>
  </si>
  <si>
    <t>Defesa Administrativa apresentada dia 15/10/2021
Sem informação de julgamento até aqui por parte da Administração.
23.12.2024 – Arquivamento definitivo do Processo Administrativo n.º 51402.108343/2015-14</t>
  </si>
  <si>
    <t>A  anulação  parcial  das  medições,  as quais ocorreram pagamentos indevidos de alimentação.</t>
  </si>
  <si>
    <t>Pretende-se  a  anulação  parcial  das  medições  realizadas  a  maior  para  constituir  o  débito  em desfavor  da  Contratada  no  montante de  R$ 10.294.882,11</t>
  </si>
  <si>
    <t>Defesa Administrativa apresentada dia 05/07/2021(sem decisão). - Houve arquivamento.
Julho de 2021 – Defesa Prévia apresentada após reabertura.
Junho/2021- MS para suspender as medidas cautelares exaradas no Despacho Decisório n° 03/2021/SUGAT-VALEC/DIREM-VALEC (e qualquer futuro ato administrativo da mesma natureza), liberando-se os créditos retidos e cancelando o acionamento da garantia contratual, até que o mérito fosse discutido. Liminar indeferida. Desistência do MS diante do alto custo de honorários de sucumbência possíveis.
Em 24/01/2022 realizado novo agendamento de reunião com Agente de Instrução, porém processo em análise.
Sem intimação até então ao escritório. Sem informação da ALTA.
- Processo parado, chance de prescrição intercorrente.
10/07/25 - Despacho recebido a decisão de arquivamento definitivo do processo</t>
  </si>
  <si>
    <t>Trata-se de Processo Administrativo de Constituição de Débito, instaurado em desfavor da empresa ALTA ENGENHARIA DE CONSULTORIA LTDA, ante a constatação de pagamento indevido de despesas de mobilização no âmbito do Contrato n° 053/2009, que, após apuração dos argumentos da Valec e da Contratada, decidiu-se à época, arquivar o processo em epígrafe.
Advém, que em decorrência de novos trabalhos realizados pela equipe de Auditoria Interna da Valec, foram constatadas falhas em sede de reanálise dos autos em comento.</t>
  </si>
  <si>
    <t>Pretende-se a anulação parcial das medições realizadas a maior para constituir o débito em desfavor da Contratada no montante de R$ 1.505.390,01</t>
  </si>
  <si>
    <t>Verificação da  ocorrência  de  pagamento  de  Relatórios  de  Atividades produzidos com  insumos  custeados  em  duplicidade,  no  contratos  de supervisão de obras de todo os lotes licitados, no âmbito da Ferrovia Norte-Sul –Extensão Sul e Ferrovia de Integração Oeste Leste</t>
  </si>
  <si>
    <t>51402.100590/2021-11.</t>
  </si>
  <si>
    <t>Em primeira instância, a juíza não concedeu a liminar para suspender o CADIN, por isso há um Agravo pendente de julgamento.
Despacho com JUIZ FEDERAL CONVOCADO GEORGE RIBEIRO DA SILVA feito em Novembro de 2023. Sem decisão de mérito ainda na Justiça. Concluso para julgamento desde julho de 2024.
Agravo de Instrumento n° 1036653-13.2023.4.01.0000. Sem decisão.</t>
  </si>
  <si>
    <t>Defesa Administrativa apresentada em 31.05.2021;
Complemento da Defesa em 20.10.2021.
Alegações Finais apresentadas em 06.12.2021.
Decisão. Recurso apresentado em 29.09.2022
Nova manifestação nos autos para provocar nulidade em setembro de 2023
04.04.2025 - Decisão Recursal: IMPROCEDENTE a pretensão administrativa de constituição de débito formulada nos autos.</t>
  </si>
  <si>
    <t>Foi apurado um sobrepreço e superfaturamento,  de R$ 19.413.278,96, ocorrido  pela  realização  do  serviço  de  hidrossemeadura (61.000 m²) e aplicação de rip-rap (880 m³) ao invés do serviço de contenção em  solo  grampeado  sob  o  taludereconformado.</t>
  </si>
  <si>
    <t>Constituição de  débito no importe de R$ 25.879.643,81 (R$ 92.277.980,00 atualizado)</t>
  </si>
  <si>
    <t>1030764-29.2024.4.01.3400  (7ª Vara Federal/DF) - Depedência 1027128-89.20233.4.01.3400</t>
  </si>
  <si>
    <t>Defesa Administrativa apresentada em 31.05.2021;
- Complemento da Defesa em 20.10.2021.
- Alegações Finais apresentadas em 14.12.2021.
- Decisão. Recurso já apresentado em 25.08.2022:
Decisão março/2024 -  negado anulação parcial das medições decorrentes de pagamentos irregulares.
Tutela de urgência indeferida.
agosto/2026 - Houve um pedido de revisão da decisão, mas foi negado. Sem previsão de andamento dos autos no TRF.</t>
  </si>
  <si>
    <t>51402.100593/2021-54.</t>
  </si>
  <si>
    <t>Defesa Administrativa apresentada em 31.05.2021;
- Complemento da Defesa em 20.10.2021.
- Alegações Finais apresentadas em 27.12.2021.
- Decisão - Procedente a pretensão administrativa.
Recurso apresentado em 19.09.2022
Decisão março/2024 -  negado anulação parcial das medições decorrentes de pagamentos irregulares.
Agravo de instrumento interposto em junho/2024 ainda sem julgamento. (1018988-47.2024.01.0000)</t>
  </si>
  <si>
    <t>A  análise  foi  efetuada  sobre  os principais   serviços   da   curva   ABC,   uma   amostra   de   13   serviços representativa  de  76%  do  orçamento  de  referência.  A  análise  resultou  na identificação   de   preços   de referência   superiores   ao   mercado,   e   de superfaturamento, dele decorrente, no valor de R$ 6.728.440,39, conforme detalhado na Constatação 007.</t>
  </si>
  <si>
    <t>51402.102109/2020-41.</t>
  </si>
  <si>
    <t>Instaurar  processos  de  Tomada  de  Contas  Especial  a  fim  de  cobrar  dos responsáveis  o  montante  de  R$  5.962.564,05  pago  em  decorrência  de retrabalho desnecessário, relatado no ACHADO 003 (Constatação 008).</t>
  </si>
  <si>
    <t>Valor pretendido – em torno de R$5.962.564,05</t>
  </si>
  <si>
    <t>Defesa Administrativa apresentada em 18/03/2020 
Sem decisão nos autos quanto a defesa
Já temos ciência de êxito parcial quanto à exclusão da pena de multa (honorários =
42.000.000,00*0,05*0,04 = 84.000,00). Processo caminhou sem a intimação da Alta a
partir das Alegações Finais. Haveria como anular a decisão e dar baixa no Cadin para
este caso específico. Há potencial de baixa em razão dos valores já reembolsados pela
brita.
- Análise feita em 2025, empresa decidiu por não provocar e seguir até que a INFRA 
intime a empresa da decisão final.</t>
  </si>
  <si>
    <t>Não se aplica</t>
  </si>
  <si>
    <t>Multa no valor de R$ 1.202.975,69 e impedimento de licitar e contrata com a administração pública federal, direta ou indireta, pelo prazo de 4 meses</t>
  </si>
  <si>
    <t>Se o agravo for provido, a empresa (solidariamente no consórcio) deverá pagar a multa aplicada pelo DNIT, no valor de R$ 1.202.975,98. Se a sentença for desfavorável à ALTA, também arcará com custas sucumbenciais calculadas sobre o valor da causa (R$ 50.000,00). Além disso, a perda do mérito pode resultar na reinserção do nome da empresa no SICAF e no CADIN, gerando impacto financeiro e restrições administrativas.</t>
  </si>
  <si>
    <t>Caso seja dado provimento ao agravo, a empresa (em solidariedade no consórcio) será obrigada a pagar a multa imposta pela DNIT no valor original de R$ 1.202.975,98.</t>
  </si>
  <si>
    <t>MULTA DE R$ 1.049.922,81</t>
  </si>
  <si>
    <t>Crédito estimado em R$ 1.165.943,58</t>
  </si>
  <si>
    <t>VALORES NA EXECUÇÃO FISCAL ABAIXO</t>
  </si>
  <si>
    <t>346/2014 e  717/2018</t>
  </si>
  <si>
    <t>Contrato UT/12-00955/2018 </t>
  </si>
  <si>
    <t>Em 09.08.2022 o DNIT enviou ofício notificação sobre a rescisão unilateral ao Contrato UT/12-00955/2018 (SEI 12145252);
Posteriormente, apresentamos (Consórcio) defesa/considerações ao ofício supramencionado, concordando com a rescisão, mas discordando quanto aos supostos motivos de rescisão elencados pelo órgão (SEI 123225492);
Após, o DNIT proferiu decisão administrativa de primeira instância, rejeitando os pedidos feitos, decidindo pela rescisão unilateral do contrato e com as consequências indicadas no artigo 80 da Lei 8.666/1993 (SEI 12447012);
Em 16.09.2022 o Consórcio informa sobre a paralisação das atividades desempenhadas, diante da notificação de Rescisão Unilateral (SEI 12492388);
Em 06.10.2022 é publicado no DOU o aviso da rescisão unilateral (SEI 12665285);
Diante da publicação da rescisão, apresentamos Recurso Administrativo, solicitando a reforma da decisão administrativa, bem como das penalidades previstas no art. 80 (SEI 12822994);
Em 14.12.2022 é emitido despacho decisório pela Superintendência Regional DNIT GO/DF, no qual opina pela rejeição do recurso administrativo, bem como pela rescisão unilateral do contrato (SEI 13218649);
31/03/2023 - Processo está com o Coordenador de Acompanhamento de Obras (Sr. Guilherme Pacheco) o qual irá emitir Nota Técnica antes da apreciação do Diretor
21/02/2025 - Recurso foi julgado improcedente. Paralelamente, há duas ações judiciais, em trâmite no TRF1, sob os protocolos nº 1052191-78.2021.4.01.3500 e 1029368-13.2021.4.01.3500.
Ambas estão sob patrocínio do Dr. Arthur Villamil Martins, foram julgadas improcedentes e estão em fase de recurso junto ao Tribunal.</t>
  </si>
  <si>
    <t>Ações e prazos</t>
  </si>
  <si>
    <t>Uma linha por pendência. Marque Concluída e informe a data ao terminar. Não apague a linha.</t>
  </si>
  <si>
    <t>Use os filtros da tabela para localizar responsáveis, vencimentos e ações. Os alertas consideram a data configurada no arquivo.</t>
  </si>
  <si>
    <t>Ação</t>
  </si>
  <si>
    <t>Responsável</t>
  </si>
  <si>
    <t>Vencimento</t>
  </si>
  <si>
    <t>Concluída em</t>
  </si>
  <si>
    <t>Empresa</t>
  </si>
  <si>
    <t>Alerta</t>
  </si>
  <si>
    <t>Aberta válida</t>
  </si>
  <si>
    <t>Aberta com prazo</t>
  </si>
  <si>
    <t>Conferir ação</t>
  </si>
  <si>
    <t>Linha</t>
  </si>
  <si>
    <t>Ordem da agenda</t>
  </si>
  <si>
    <t>Conectado</t>
  </si>
  <si>
    <t>Processo movido via forum</t>
  </si>
  <si>
    <t>21/10/2026 19:42</t>
  </si>
  <si>
    <t>Cadastro salvo. O processo já está disponível para consulta e atualização.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</si>
</sst>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R$&quot;\ #,##0.00;[Red]\(&quot;R$&quot;\ #,##0.00\);&quot;R$&quot;\ 0.00"/>
    <numFmt numFmtId="165" formatCode="0.0%"/>
    <numFmt numFmtId="166" formatCode="dd/mm/yyyy\ hh:mm:ss"/>
    <numFmt numFmtId="167" formatCode="&quot;de &quot;0"/>
    <numFmt numFmtId="168" formatCode="&quot;R$&quot;\ #,##0.00"/>
  </numFmts>
  <fonts count="43">
    <font>
      <sz val="11"/>
      <name val="Carlito"/>
    </font>
    <font>
      <sz val="10"/>
      <color rgb="FF27374D"/>
      <name val="Poppins"/>
    </font>
    <font>
      <b/>
      <sz val="17"/>
      <color rgb="FF172439"/>
      <name val="Poppins"/>
    </font>
    <font>
      <sz val="10"/>
      <color rgb="FF6B7B90"/>
      <name val="Poppins"/>
    </font>
    <font>
      <b/>
      <sz val="10"/>
      <color rgb="FF3968D7"/>
      <name val="Poppins"/>
    </font>
    <font>
      <b/>
      <sz val="10"/>
      <color rgb="FFFFFFFF"/>
      <name val="Poppins"/>
    </font>
    <font>
      <b/>
      <sz val="9"/>
      <color rgb="FF6B7B90"/>
      <name val="Poppins"/>
    </font>
    <font>
      <sz val="9"/>
      <color rgb="FF6B7B90"/>
      <name val="Poppins"/>
    </font>
    <font>
      <sz val="10"/>
      <color rgb="FF3968D7"/>
      <name val="Poppins"/>
    </font>
    <font>
      <b/>
      <sz val="11"/>
      <color rgb="FF172439"/>
      <name val="Poppins"/>
    </font>
    <font>
      <b/>
      <sz val="12"/>
      <color rgb="FFB6404B"/>
      <name val="Poppins"/>
    </font>
    <font>
      <b/>
      <sz val="11"/>
      <color rgb="FF3968D7"/>
      <name val="Poppins"/>
    </font>
    <font>
      <b/>
      <sz val="10"/>
      <color rgb="FF6B7B90"/>
      <name val="Poppins"/>
    </font>
    <font>
      <sz val="10"/>
      <name val="Poppins"/>
    </font>
    <font>
      <b/>
      <sz val="10"/>
      <color rgb="FF172439"/>
      <name val="Poppins"/>
    </font>
    <font>
      <sz val="10"/>
      <color rgb="FFFFFFFF"/>
      <name val="Poppins"/>
    </font>
    <font>
      <b/>
      <sz val="10"/>
      <color rgb="FF27374D"/>
      <name val="Poppins"/>
    </font>
    <font>
      <b/>
      <sz val="10"/>
      <color rgb="FF285AC0"/>
      <name val="Poppins"/>
    </font>
    <font>
      <sz val="10"/>
      <color rgb="FF61758E"/>
      <name val="Poppins"/>
    </font>
    <font>
      <b/>
      <sz val="10"/>
      <color rgb="FF61758E"/>
      <name val="Poppins"/>
    </font>
    <font>
      <b/>
      <sz val="28"/>
      <color rgb="FF17243B"/>
      <name val="Poppins"/>
    </font>
    <font>
      <sz val="9"/>
      <color rgb="FF61758E"/>
      <name val="Poppins"/>
    </font>
    <font>
      <b/>
      <sz val="28"/>
      <color rgb="FFAE3827"/>
      <name val="Poppins"/>
    </font>
    <font>
      <sz val="10"/>
      <color rgb="FF17243B"/>
      <name val="Poppins"/>
    </font>
    <font>
      <b/>
      <sz val="12"/>
      <color rgb="FFFFFFFF"/>
      <name val="Poppins"/>
    </font>
    <font>
      <sz val="10"/>
      <color rgb="FF17243B"/>
      <name val="Poppins"/>
    </font>
    <font>
      <b/>
      <sz val="10"/>
      <color rgb="FF843C0C"/>
      <name val="Poppins"/>
    </font>
    <font>
      <sz val="10"/>
      <color rgb="FF7F6000"/>
      <name val="Poppins"/>
    </font>
    <font>
      <sz val="10"/>
      <color rgb="FF375623"/>
      <name val="Poppins"/>
    </font>
    <font>
      <b/>
      <sz val="14"/>
      <color rgb="FFFFFFFF"/>
      <name val="Poppins"/>
    </font>
    <font>
      <sz val="10"/>
      <color rgb="FF2166B1"/>
      <name val="Poppins"/>
    </font>
    <font>
      <b/>
      <sz val="10"/>
      <color rgb="FF2166B1"/>
      <name val="Poppins"/>
    </font>
    <font>
      <sz val="9"/>
      <color rgb="FF27374D"/>
      <name val="Poppins"/>
    </font>
    <font>
      <b/>
      <sz val="9"/>
      <color rgb="FF61758E"/>
      <name val="Poppins"/>
    </font>
    <font>
      <b/>
      <sz val="11"/>
      <color rgb="FF17243B"/>
      <name val="Poppins"/>
    </font>
    <font>
      <b/>
      <sz val="9"/>
      <color rgb="FF2166B1"/>
      <name val="Poppins"/>
    </font>
    <font>
      <sz val="10"/>
      <color rgb="FF63738A"/>
      <name val="Poppins"/>
    </font>
    <font>
      <b/>
      <sz val="18"/>
      <color rgb="FF213653"/>
      <name val="Poppins"/>
    </font>
    <font>
      <b/>
      <sz val="10"/>
      <color rgb="FF213653"/>
      <name val="Poppins"/>
    </font>
    <font>
      <b/>
      <sz val="10"/>
      <color rgb="FF63738A"/>
      <name val="Poppins"/>
    </font>
    <font>
      <sz val="9"/>
      <color rgb="FF63738A"/>
      <name val="Poppins"/>
    </font>
    <font>
      <b/>
      <sz val="12"/>
      <color rgb="FF17243B"/>
      <name val="Poppins"/>
    </font>
    <font>
      <b/>
      <sz val="13"/>
      <color rgb="FF17243B"/>
      <name val="Poppins"/>
    </font>
  </fonts>
  <fills count="29">
    <fill>
      <patternFill patternType="none"/>
    </fill>
    <fill>
      <patternFill patternType="gray125"/>
    </fill>
    <fill>
      <patternFill patternType="solid">
        <fgColor rgb="FFFFFFFF"/>
      </patternFill>
    </fill>
    <fill>
      <patternFill patternType="solid">
        <fgColor rgb="FFEAF0F7"/>
      </patternFill>
    </fill>
    <fill>
      <patternFill patternType="solid">
        <fgColor rgb="FF3968D7"/>
      </patternFill>
    </fill>
    <fill>
      <patternFill patternType="solid">
        <fgColor rgb="FFFFF1CE"/>
      </patternFill>
    </fill>
    <fill>
      <patternFill patternType="solid">
        <fgColor rgb="FFF3F6FA"/>
      </patternFill>
    </fill>
    <fill>
      <patternFill patternType="solid">
        <fgColor rgb="FF172439"/>
      </patternFill>
    </fill>
    <fill>
      <patternFill patternType="solid">
        <fgColor rgb="FFFCEAEC"/>
      </patternFill>
    </fill>
    <fill>
      <patternFill patternType="solid">
        <fgColor rgb="FF253A58"/>
      </patternFill>
    </fill>
    <fill>
      <patternFill patternType="solid">
        <fgColor rgb="FFFFF8E7"/>
      </patternFill>
    </fill>
    <fill>
      <patternFill patternType="solid">
        <fgColor rgb="FFEFF3F8"/>
      </patternFill>
    </fill>
    <fill>
      <patternFill patternType="solid">
        <fgColor rgb="FFEAF0FC"/>
      </patternFill>
    </fill>
    <fill>
      <patternFill patternType="solid">
        <fgColor rgb="FFFFFFFF"/>
      </patternFill>
    </fill>
    <fill>
      <patternFill patternType="solid">
        <fgColor rgb="FF17243B"/>
      </patternFill>
    </fill>
    <fill>
      <patternFill patternType="solid">
        <fgColor rgb="FFF4F7FA"/>
      </patternFill>
    </fill>
    <fill>
      <patternFill patternType="solid">
        <fgColor rgb="FFC00000"/>
      </patternFill>
    </fill>
    <fill>
      <patternFill patternType="solid">
        <fgColor rgb="FFF8CBAD"/>
      </patternFill>
    </fill>
    <fill>
      <patternFill patternType="solid">
        <fgColor rgb="FFFFF2CC"/>
      </patternFill>
    </fill>
    <fill>
      <patternFill patternType="solid">
        <fgColor rgb="FFE2EFDA"/>
      </patternFill>
    </fill>
    <fill>
      <patternFill patternType="solid">
        <fgColor rgb="FFEAF0F6"/>
      </patternFill>
    </fill>
    <fill>
      <patternFill patternType="solid">
        <fgColor rgb="FFF2F5F9"/>
      </patternFill>
    </fill>
    <fill>
      <patternFill patternType="solid">
        <fgColor rgb="FFFFFCF1"/>
      </patternFill>
    </fill>
    <fill>
      <patternFill patternType="solid">
        <fgColor rgb="FF213653"/>
      </patternFill>
    </fill>
    <fill>
      <patternFill patternType="solid">
        <fgColor rgb="FF315EA8"/>
      </patternFill>
    </fill>
    <fill>
      <patternFill patternType="solid">
        <fgColor rgb="FFEDF2F8"/>
      </patternFill>
    </fill>
    <fill>
      <patternFill patternType="solid">
        <fgColor rgb="FFF5F7FA"/>
      </patternFill>
    </fill>
    <fill>
      <patternFill patternType="solid">
        <fgColor rgb="FFFFF4CE"/>
      </patternFill>
    </fill>
    <fill>
      <patternFill patternType="solid">
        <fgColor rgb="FFF4F6FA"/>
      </patternFill>
    </fill>
  </fills>
  <borders count="12">
    <border>
      <left/>
      <right/>
      <top/>
      <bottom/>
      <diagonal/>
    </border>
    <border>
      <left style="thin">
        <color rgb="FFC9A754"/>
      </left>
      <right/>
      <top/>
      <bottom/>
      <diagonal/>
    </border>
    <border>
      <left/>
      <right/>
      <top/>
      <bottom style="thin">
        <color rgb="FFC9A754"/>
      </bottom>
      <diagonal/>
    </border>
    <border>
      <left/>
      <right/>
      <top style="thin">
        <color rgb="FFC9A754"/>
      </top>
      <bottom/>
      <diagonal/>
    </border>
    <border>
      <left/>
      <right style="thin">
        <color rgb="FFC9A754"/>
      </right>
      <top/>
      <bottom/>
      <diagonal/>
    </border>
    <border>
      <left style="thin">
        <color rgb="FFC9A754"/>
      </left>
      <right/>
      <top style="thin">
        <color rgb="FFC9A754"/>
      </top>
      <bottom style="thin">
        <color rgb="FFC9A754"/>
      </bottom>
      <diagonal/>
    </border>
    <border>
      <left/>
      <right/>
      <top style="thin">
        <color rgb="FFC9A754"/>
      </top>
      <bottom style="thin">
        <color rgb="FFC9A754"/>
      </bottom>
      <diagonal/>
    </border>
    <border>
      <left style="thin">
        <color rgb="FFC9A754"/>
      </left>
      <right/>
      <top/>
      <bottom style="thin">
        <color rgb="FFC9A754"/>
      </bottom>
      <diagonal/>
    </border>
    <border>
      <left/>
      <right style="thin">
        <color rgb="FFC9A754"/>
      </right>
      <top/>
      <bottom style="thin">
        <color rgb="FFC9A754"/>
      </bottom>
      <diagonal/>
    </border>
    <border>
      <left/>
      <right style="thin">
        <color rgb="FFC9A754"/>
      </right>
      <top style="thin">
        <color rgb="FFC9A754"/>
      </top>
      <bottom style="thin">
        <color rgb="FFC9A754"/>
      </bottom>
      <diagonal/>
    </border>
    <border>
      <left style="thin">
        <color rgb="FFC9A754"/>
      </left>
      <right/>
      <top style="thin">
        <color rgb="FFC9A754"/>
      </top>
      <bottom/>
      <diagonal/>
    </border>
    <border>
      <left/>
      <right style="thin">
        <color rgb="FFC9A754"/>
      </right>
      <top style="thin">
        <color rgb="FFC9A754"/>
      </top>
      <bottom/>
      <diagonal/>
    </border>
  </borders>
  <cellStyleXfs count="1">
    <xf numFmtId="0" fontId="0" fillId="0" borderId="0"/>
  </cellStyleXfs>
  <cellXfs count="142">
    <xf numFmtId="0" fontId="0" fillId="0" borderId="0" xfId="0"/>
    <xf numFmtId="0" fontId="1" fillId="2" borderId="0" xfId="0" applyFont="1" applyFill="1" applyAlignment="1">
      <alignment vertical="center"/>
    </xf>
    <xf numFmtId="0" fontId="1" fillId="5" borderId="0" xfId="0" applyFont="1" applyFill="1" applyAlignment="1">
      <alignment vertical="center" wrapText="1"/>
    </xf>
    <xf numFmtId="0" fontId="1" fillId="6" borderId="0" xfId="0" applyFont="1" applyFill="1" applyAlignment="1">
      <alignment vertical="center"/>
    </xf>
    <xf numFmtId="0" fontId="6" fillId="6" borderId="0" xfId="0" applyFont="1" applyFill="1" applyAlignment="1">
      <alignment vertical="center" wrapText="1"/>
    </xf>
    <xf numFmtId="0" fontId="1" fillId="6" borderId="0" xfId="0" applyFont="1" applyFill="1" applyAlignment="1">
      <alignment vertical="center" wrapText="1"/>
    </xf>
    <xf numFmtId="0" fontId="1" fillId="2" borderId="0" xfId="0" applyFont="1" applyFill="1" applyAlignment="1">
      <alignment vertical="center" wrapText="1"/>
    </xf>
    <xf numFmtId="49" fontId="1" fillId="2" borderId="0" xfId="0" applyNumberFormat="1" applyFont="1" applyFill="1" applyAlignment="1">
      <alignment vertical="center" wrapText="1"/>
    </xf>
    <xf numFmtId="14" fontId="1" fillId="2" borderId="0" xfId="0" applyNumberFormat="1" applyFont="1" applyFill="1" applyAlignment="1">
      <alignment vertical="center" wrapText="1"/>
    </xf>
    <xf numFmtId="0" fontId="5" fillId="7" borderId="0" xfId="0" applyFont="1" applyFill="1" applyAlignment="1">
      <alignment horizontal="center" vertical="center" wrapText="1"/>
    </xf>
    <xf numFmtId="164" fontId="1" fillId="2" borderId="0" xfId="0" applyNumberFormat="1" applyFont="1" applyFill="1" applyAlignment="1">
      <alignment vertical="center" wrapText="1"/>
    </xf>
    <xf numFmtId="0" fontId="1" fillId="3" borderId="0" xfId="0" applyFont="1" applyFill="1" applyAlignment="1">
      <alignment vertical="center" wrapText="1"/>
    </xf>
    <xf numFmtId="22" fontId="1" fillId="2" borderId="0" xfId="0" applyNumberFormat="1" applyFont="1" applyFill="1" applyAlignment="1">
      <alignment vertical="center" wrapText="1"/>
    </xf>
    <xf numFmtId="49" fontId="1" fillId="5" borderId="0" xfId="0" applyNumberFormat="1" applyFont="1" applyFill="1" applyAlignment="1">
      <alignment vertical="center" wrapText="1"/>
    </xf>
    <xf numFmtId="0" fontId="3" fillId="3" borderId="0" xfId="0" applyFont="1" applyFill="1" applyAlignment="1">
      <alignment vertical="center" wrapText="1"/>
    </xf>
    <xf numFmtId="166" fontId="3" fillId="3" borderId="0" xfId="0" applyNumberFormat="1" applyFont="1" applyFill="1" applyAlignment="1">
      <alignment vertical="center" wrapText="1"/>
    </xf>
    <xf numFmtId="14" fontId="3" fillId="3" borderId="0" xfId="0" applyNumberFormat="1" applyFont="1" applyFill="1" applyAlignment="1">
      <alignment vertical="center" wrapText="1"/>
    </xf>
    <xf numFmtId="164" fontId="3" fillId="3" borderId="0" xfId="0" applyNumberFormat="1" applyFont="1" applyFill="1" applyAlignment="1">
      <alignment vertical="center" wrapText="1"/>
    </xf>
    <xf numFmtId="0" fontId="13" fillId="0" borderId="0" xfId="0" applyFont="1"/>
    <xf numFmtId="14" fontId="1" fillId="3" borderId="0" xfId="0" applyNumberFormat="1" applyFont="1" applyFill="1" applyAlignment="1">
      <alignment vertical="center" wrapText="1"/>
    </xf>
    <xf numFmtId="49" fontId="1" fillId="2" borderId="0" xfId="0" applyNumberFormat="1" applyFont="1" applyFill="1" applyAlignment="1">
      <alignment vertical="top" wrapText="1"/>
    </xf>
    <xf numFmtId="0" fontId="1" fillId="2" borderId="0" xfId="0" applyFont="1" applyFill="1" applyAlignment="1">
      <alignment vertical="top" wrapText="1"/>
    </xf>
    <xf numFmtId="166" fontId="1" fillId="2" borderId="0" xfId="0" applyNumberFormat="1" applyFont="1" applyFill="1" applyAlignment="1">
      <alignment vertical="top" wrapText="1"/>
    </xf>
    <xf numFmtId="0" fontId="1" fillId="0" borderId="0" xfId="0" applyFont="1"/>
    <xf numFmtId="167" fontId="1" fillId="2" borderId="0" xfId="0" applyNumberFormat="1" applyFont="1" applyFill="1" applyAlignment="1">
      <alignment vertical="center" wrapText="1"/>
    </xf>
    <xf numFmtId="0" fontId="15" fillId="0" borderId="0" xfId="0" applyFont="1"/>
    <xf numFmtId="0" fontId="5" fillId="9" borderId="0" xfId="0" applyFont="1" applyFill="1" applyAlignment="1">
      <alignment wrapText="1"/>
    </xf>
    <xf numFmtId="0" fontId="1" fillId="10" borderId="0" xfId="0" applyFont="1" applyFill="1"/>
    <xf numFmtId="168" fontId="1" fillId="10" borderId="0" xfId="0" applyNumberFormat="1" applyFont="1" applyFill="1"/>
    <xf numFmtId="14" fontId="1" fillId="0" borderId="0" xfId="0" applyNumberFormat="1" applyFont="1"/>
    <xf numFmtId="0" fontId="1" fillId="11" borderId="0" xfId="0" applyFont="1" applyFill="1"/>
    <xf numFmtId="49" fontId="1" fillId="10" borderId="0" xfId="0" applyNumberFormat="1" applyFont="1" applyFill="1"/>
    <xf numFmtId="0" fontId="16" fillId="0" borderId="0" xfId="0" applyFont="1"/>
    <xf numFmtId="0" fontId="1" fillId="6" borderId="0" xfId="0" applyFont="1" applyFill="1" applyAlignment="1">
      <alignment horizontal="right" vertical="center"/>
    </xf>
    <xf numFmtId="0" fontId="3" fillId="3" borderId="0" xfId="0" applyFont="1" applyFill="1" applyAlignment="1">
      <alignment vertical="top" wrapText="1"/>
    </xf>
    <xf numFmtId="0" fontId="23" fillId="0" borderId="0" xfId="0" applyFont="1" applyAlignment="1">
      <alignment vertical="center"/>
    </xf>
    <xf numFmtId="0" fontId="23" fillId="0" borderId="0" xfId="0" applyFont="1" applyAlignment="1">
      <alignment vertical="center" wrapText="1"/>
    </xf>
    <xf numFmtId="0" fontId="5" fillId="14" borderId="0" xfId="0" applyFont="1" applyFill="1" applyAlignment="1">
      <alignment vertical="center"/>
    </xf>
    <xf numFmtId="0" fontId="30" fillId="0" borderId="0" xfId="0" applyFont="1" applyAlignment="1">
      <alignment vertical="center" wrapText="1"/>
    </xf>
    <xf numFmtId="0" fontId="32" fillId="2" borderId="0" xfId="0" applyFont="1" applyFill="1" applyAlignment="1">
      <alignment vertical="center" wrapText="1"/>
    </xf>
    <xf numFmtId="0" fontId="36" fillId="21" borderId="0" xfId="0" applyFont="1" applyFill="1" applyAlignment="1">
      <alignment vertical="center" wrapText="1"/>
    </xf>
    <xf numFmtId="49" fontId="1" fillId="22" borderId="0" xfId="0" applyNumberFormat="1" applyFont="1" applyFill="1" applyAlignment="1">
      <alignment vertical="top" wrapText="1"/>
    </xf>
    <xf numFmtId="164" fontId="1" fillId="22" borderId="0" xfId="0" applyNumberFormat="1" applyFont="1" applyFill="1" applyAlignment="1">
      <alignment vertical="top" wrapText="1"/>
    </xf>
    <xf numFmtId="14" fontId="1" fillId="22" borderId="0" xfId="0" applyNumberFormat="1" applyFont="1" applyFill="1" applyAlignment="1">
      <alignment vertical="top" wrapText="1"/>
    </xf>
    <xf numFmtId="0" fontId="1" fillId="22" borderId="0" xfId="0" applyFont="1" applyFill="1" applyAlignment="1">
      <alignment vertical="top" wrapText="1"/>
    </xf>
    <xf numFmtId="165" fontId="1" fillId="22" borderId="0" xfId="0" applyNumberFormat="1" applyFont="1" applyFill="1" applyAlignment="1">
      <alignment vertical="top" wrapText="1"/>
    </xf>
    <xf numFmtId="0" fontId="5" fillId="23" borderId="0" xfId="0" applyFont="1" applyFill="1" applyAlignment="1">
      <alignment horizontal="center" vertical="center" wrapText="1"/>
    </xf>
    <xf numFmtId="0" fontId="5" fillId="23" borderId="0" xfId="0" applyFont="1" applyFill="1" applyAlignment="1">
      <alignment vertical="center" wrapText="1"/>
    </xf>
    <xf numFmtId="0" fontId="1" fillId="22" borderId="0" xfId="0" applyFont="1" applyFill="1" applyAlignment="1">
      <alignment vertical="center" wrapText="1"/>
    </xf>
    <xf numFmtId="14" fontId="1" fillId="22" borderId="0" xfId="0" applyNumberFormat="1" applyFont="1" applyFill="1" applyAlignment="1">
      <alignment vertical="center" wrapText="1"/>
    </xf>
    <xf numFmtId="0" fontId="23" fillId="27" borderId="0" xfId="0" applyFont="1" applyFill="1" applyAlignment="1">
      <alignment vertical="center" wrapText="1"/>
    </xf>
    <xf numFmtId="166" fontId="1" fillId="22" borderId="0" xfId="0" applyNumberFormat="1" applyFont="1" applyFill="1" applyAlignment="1">
      <alignment vertical="top" wrapText="1"/>
    </xf>
    <xf numFmtId="0" fontId="36" fillId="21" borderId="0" xfId="0" applyFont="1" applyFill="1" applyAlignment="1">
      <alignment vertical="top" wrapText="1"/>
    </xf>
    <xf numFmtId="0" fontId="37" fillId="2" borderId="0" xfId="0" applyFont="1" applyFill="1" applyAlignment="1">
      <alignment vertical="center" wrapText="1"/>
    </xf>
    <xf numFmtId="0" fontId="36" fillId="2" borderId="0" xfId="0" applyFont="1" applyFill="1" applyAlignment="1">
      <alignment vertical="center" wrapText="1"/>
    </xf>
    <xf numFmtId="0" fontId="6" fillId="2" borderId="0" xfId="0" applyFont="1" applyFill="1" applyAlignment="1">
      <alignment vertical="center" wrapText="1"/>
    </xf>
    <xf numFmtId="0" fontId="23" fillId="27" borderId="0" xfId="0" applyFont="1" applyFill="1" applyAlignment="1">
      <alignment vertical="center" wrapText="1"/>
    </xf>
    <xf numFmtId="0" fontId="6" fillId="6" borderId="0" xfId="0" applyFont="1" applyFill="1" applyAlignment="1">
      <alignment vertical="center" wrapText="1"/>
    </xf>
    <xf numFmtId="0" fontId="40" fillId="6" borderId="0" xfId="0" applyFont="1" applyFill="1" applyAlignment="1">
      <alignment vertical="center" wrapText="1"/>
    </xf>
    <xf numFmtId="0" fontId="8" fillId="3" borderId="0" xfId="0" applyFont="1" applyFill="1" applyAlignment="1">
      <alignment vertical="center" wrapText="1"/>
    </xf>
    <xf numFmtId="0" fontId="1" fillId="6" borderId="0" xfId="0" applyFont="1" applyFill="1" applyAlignment="1">
      <alignment vertical="center" wrapText="1"/>
    </xf>
    <xf numFmtId="0" fontId="0" fillId="0" borderId="0" xfId="0"/>
    <xf numFmtId="0" fontId="3" fillId="2" borderId="0" xfId="0" applyFont="1" applyFill="1" applyAlignment="1">
      <alignment vertical="center" wrapText="1"/>
    </xf>
    <xf numFmtId="0" fontId="9" fillId="3" borderId="0" xfId="0" applyFont="1" applyFill="1" applyAlignment="1">
      <alignment vertical="center" wrapText="1"/>
    </xf>
    <xf numFmtId="0" fontId="23" fillId="13" borderId="0" xfId="0" applyFont="1" applyFill="1"/>
    <xf numFmtId="168" fontId="23" fillId="13" borderId="0" xfId="0" applyNumberFormat="1" applyFont="1" applyFill="1" applyAlignment="1">
      <alignment horizontal="right"/>
    </xf>
    <xf numFmtId="0" fontId="7" fillId="6" borderId="0" xfId="0" applyFont="1" applyFill="1" applyAlignment="1">
      <alignment vertical="center" wrapText="1"/>
    </xf>
    <xf numFmtId="0" fontId="5" fillId="4" borderId="0" xfId="0" applyFont="1" applyFill="1" applyAlignment="1">
      <alignment horizontal="center" vertical="center" wrapText="1"/>
    </xf>
    <xf numFmtId="0" fontId="4" fillId="3" borderId="0" xfId="0" applyFont="1" applyFill="1" applyAlignment="1">
      <alignment horizontal="center" vertical="center" wrapText="1"/>
    </xf>
    <xf numFmtId="0" fontId="1" fillId="6" borderId="0" xfId="0" applyFont="1" applyFill="1" applyAlignment="1">
      <alignment horizontal="right" vertical="center" wrapText="1"/>
    </xf>
    <xf numFmtId="0" fontId="1" fillId="6" borderId="0" xfId="0" applyFont="1" applyFill="1" applyAlignment="1">
      <alignment vertical="center"/>
    </xf>
    <xf numFmtId="0" fontId="1" fillId="6" borderId="0" xfId="0" applyFont="1" applyFill="1" applyAlignment="1">
      <alignment horizontal="right" vertical="center"/>
    </xf>
    <xf numFmtId="0" fontId="19" fillId="13" borderId="0" xfId="0" applyFont="1" applyFill="1"/>
    <xf numFmtId="0" fontId="18" fillId="13" borderId="0" xfId="0" applyFont="1" applyFill="1"/>
    <xf numFmtId="0" fontId="20" fillId="13" borderId="0" xfId="0" applyFont="1" applyFill="1" applyAlignment="1">
      <alignment horizontal="right"/>
    </xf>
    <xf numFmtId="0" fontId="21" fillId="13" borderId="0" xfId="0" applyFont="1" applyFill="1"/>
    <xf numFmtId="0" fontId="22" fillId="13" borderId="0" xfId="0" applyFont="1" applyFill="1" applyAlignment="1">
      <alignment horizontal="right"/>
    </xf>
    <xf numFmtId="0" fontId="5" fillId="24" borderId="0" xfId="0" applyFont="1" applyFill="1" applyAlignment="1">
      <alignment horizontal="center" vertical="center" wrapText="1"/>
    </xf>
    <xf numFmtId="0" fontId="38" fillId="25" borderId="0" xfId="0" applyFont="1" applyFill="1" applyAlignment="1">
      <alignment horizontal="center" vertical="center" wrapText="1"/>
    </xf>
    <xf numFmtId="0" fontId="4" fillId="2" borderId="0" xfId="0" applyFont="1" applyFill="1" applyAlignment="1">
      <alignment vertical="center" wrapText="1"/>
    </xf>
    <xf numFmtId="49" fontId="42" fillId="27" borderId="10" xfId="0" applyNumberFormat="1" applyFont="1" applyFill="1" applyBorder="1" applyAlignment="1">
      <alignment vertical="center" wrapText="1"/>
    </xf>
    <xf numFmtId="0" fontId="42" fillId="27" borderId="3" xfId="0" applyFont="1" applyFill="1" applyBorder="1" applyAlignment="1">
      <alignment vertical="center" wrapText="1"/>
    </xf>
    <xf numFmtId="0" fontId="42" fillId="27" borderId="11" xfId="0" applyFont="1" applyFill="1" applyBorder="1" applyAlignment="1">
      <alignment vertical="center" wrapText="1"/>
    </xf>
    <xf numFmtId="0" fontId="42" fillId="27" borderId="7" xfId="0" applyFont="1" applyFill="1" applyBorder="1" applyAlignment="1">
      <alignment vertical="center" wrapText="1"/>
    </xf>
    <xf numFmtId="0" fontId="42" fillId="27" borderId="2" xfId="0" applyFont="1" applyFill="1" applyBorder="1" applyAlignment="1">
      <alignment vertical="center" wrapText="1"/>
    </xf>
    <xf numFmtId="0" fontId="42" fillId="27" borderId="8" xfId="0" applyFont="1" applyFill="1" applyBorder="1" applyAlignment="1">
      <alignment vertical="center" wrapText="1"/>
    </xf>
    <xf numFmtId="0" fontId="11" fillId="3" borderId="0" xfId="0" applyFont="1" applyFill="1" applyAlignment="1">
      <alignment vertical="center" wrapText="1"/>
    </xf>
    <xf numFmtId="0" fontId="35" fillId="20" borderId="0" xfId="0" applyFont="1" applyFill="1" applyAlignment="1">
      <alignment horizontal="center"/>
    </xf>
    <xf numFmtId="0" fontId="1" fillId="2" borderId="0" xfId="0" applyFont="1" applyFill="1" applyAlignment="1">
      <alignment vertical="center" wrapText="1"/>
    </xf>
    <xf numFmtId="0" fontId="33" fillId="20" borderId="0" xfId="0" applyFont="1" applyFill="1"/>
    <xf numFmtId="0" fontId="34" fillId="0" borderId="0" xfId="0" applyFont="1" applyAlignment="1">
      <alignment wrapText="1"/>
    </xf>
    <xf numFmtId="14" fontId="1" fillId="2" borderId="0" xfId="0" applyNumberFormat="1" applyFont="1" applyFill="1" applyAlignment="1">
      <alignment vertical="center" wrapText="1"/>
    </xf>
    <xf numFmtId="22" fontId="1" fillId="2" borderId="0" xfId="0" applyNumberFormat="1" applyFont="1" applyFill="1" applyAlignment="1">
      <alignment vertical="center" wrapText="1"/>
    </xf>
    <xf numFmtId="164" fontId="1" fillId="2" borderId="0" xfId="0" applyNumberFormat="1" applyFont="1" applyFill="1" applyAlignment="1">
      <alignment vertical="center" wrapText="1"/>
    </xf>
    <xf numFmtId="165" fontId="1" fillId="2" borderId="0" xfId="0" applyNumberFormat="1" applyFont="1" applyFill="1" applyAlignment="1">
      <alignment vertical="center" wrapText="1"/>
    </xf>
    <xf numFmtId="0" fontId="3" fillId="3" borderId="0" xfId="0" applyFont="1" applyFill="1" applyAlignment="1">
      <alignment vertical="center" wrapText="1"/>
    </xf>
    <xf numFmtId="0" fontId="5" fillId="9" borderId="0" xfId="0" applyFont="1" applyFill="1" applyAlignment="1">
      <alignment vertical="center"/>
    </xf>
    <xf numFmtId="0" fontId="1" fillId="0" borderId="0" xfId="0" applyFont="1"/>
    <xf numFmtId="168" fontId="1" fillId="0" borderId="0" xfId="0" applyNumberFormat="1" applyFont="1" applyAlignment="1">
      <alignment wrapText="1"/>
    </xf>
    <xf numFmtId="0" fontId="1" fillId="0" borderId="0" xfId="0" applyFont="1" applyAlignment="1">
      <alignment wrapText="1"/>
    </xf>
    <xf numFmtId="0" fontId="17" fillId="12" borderId="0" xfId="0" applyFont="1" applyFill="1"/>
    <xf numFmtId="0" fontId="3" fillId="0" borderId="0" xfId="0" applyFont="1" applyAlignment="1">
      <alignment wrapText="1"/>
    </xf>
    <xf numFmtId="0" fontId="4" fillId="6" borderId="0" xfId="0" applyFont="1" applyFill="1" applyAlignment="1">
      <alignment vertical="center" wrapText="1"/>
    </xf>
    <xf numFmtId="0" fontId="41" fillId="27" borderId="5" xfId="0" applyFont="1" applyFill="1" applyBorder="1" applyAlignment="1">
      <alignment vertical="center" wrapText="1"/>
    </xf>
    <xf numFmtId="0" fontId="41" fillId="27" borderId="6" xfId="0" applyFont="1" applyFill="1" applyBorder="1" applyAlignment="1">
      <alignment vertical="center" wrapText="1"/>
    </xf>
    <xf numFmtId="0" fontId="41" fillId="27" borderId="9" xfId="0" applyFont="1" applyFill="1" applyBorder="1" applyAlignment="1">
      <alignment vertical="center" wrapText="1"/>
    </xf>
    <xf numFmtId="0" fontId="36" fillId="25" borderId="0" xfId="0" applyFont="1" applyFill="1" applyAlignment="1">
      <alignment vertical="center" wrapText="1"/>
    </xf>
    <xf numFmtId="49" fontId="23" fillId="27" borderId="0" xfId="0" applyNumberFormat="1" applyFont="1" applyFill="1" applyAlignment="1">
      <alignment vertical="center" wrapText="1"/>
    </xf>
    <xf numFmtId="0" fontId="0" fillId="28" borderId="0" xfId="0" applyFill="1"/>
    <xf numFmtId="166" fontId="1" fillId="3" borderId="0" xfId="0" applyNumberFormat="1" applyFont="1" applyFill="1" applyAlignment="1">
      <alignment vertical="center" wrapText="1"/>
    </xf>
    <xf numFmtId="0" fontId="1" fillId="3" borderId="0" xfId="0" applyFont="1" applyFill="1" applyAlignment="1">
      <alignment vertical="center" wrapText="1"/>
    </xf>
    <xf numFmtId="0" fontId="5" fillId="23" borderId="0" xfId="0" applyFont="1" applyFill="1" applyAlignment="1">
      <alignment vertical="center" wrapText="1"/>
    </xf>
    <xf numFmtId="49" fontId="23" fillId="27" borderId="10" xfId="0" applyNumberFormat="1" applyFont="1" applyFill="1" applyBorder="1" applyAlignment="1">
      <alignment vertical="top" wrapText="1"/>
    </xf>
    <xf numFmtId="0" fontId="23" fillId="27" borderId="3" xfId="0" applyFont="1" applyFill="1" applyBorder="1" applyAlignment="1">
      <alignment vertical="top" wrapText="1"/>
    </xf>
    <xf numFmtId="0" fontId="23" fillId="27" borderId="11" xfId="0" applyFont="1" applyFill="1" applyBorder="1" applyAlignment="1">
      <alignment vertical="top" wrapText="1"/>
    </xf>
    <xf numFmtId="0" fontId="23" fillId="27" borderId="1" xfId="0" applyFont="1" applyFill="1" applyBorder="1" applyAlignment="1">
      <alignment vertical="top" wrapText="1"/>
    </xf>
    <xf numFmtId="0" fontId="23" fillId="27" borderId="0" xfId="0" applyFont="1" applyFill="1" applyAlignment="1">
      <alignment vertical="top" wrapText="1"/>
    </xf>
    <xf numFmtId="0" fontId="23" fillId="27" borderId="4" xfId="0" applyFont="1" applyFill="1" applyBorder="1" applyAlignment="1">
      <alignment vertical="top" wrapText="1"/>
    </xf>
    <xf numFmtId="0" fontId="23" fillId="27" borderId="7" xfId="0" applyFont="1" applyFill="1" applyBorder="1" applyAlignment="1">
      <alignment vertical="top" wrapText="1"/>
    </xf>
    <xf numFmtId="0" fontId="23" fillId="27" borderId="2" xfId="0" applyFont="1" applyFill="1" applyBorder="1" applyAlignment="1">
      <alignment vertical="top" wrapText="1"/>
    </xf>
    <xf numFmtId="0" fontId="23" fillId="27" borderId="8" xfId="0" applyFont="1" applyFill="1" applyBorder="1" applyAlignment="1">
      <alignment vertical="top" wrapText="1"/>
    </xf>
    <xf numFmtId="0" fontId="10" fillId="8" borderId="0" xfId="0" applyFont="1" applyFill="1" applyAlignment="1">
      <alignment vertical="center" wrapText="1"/>
    </xf>
    <xf numFmtId="0" fontId="39" fillId="26" borderId="0" xfId="0" applyFont="1" applyFill="1" applyAlignment="1">
      <alignment horizontal="left" vertical="center" wrapText="1"/>
    </xf>
    <xf numFmtId="0" fontId="31" fillId="2" borderId="0" xfId="0" applyFont="1" applyFill="1" applyAlignment="1">
      <alignment vertical="center" wrapText="1"/>
    </xf>
    <xf numFmtId="0" fontId="31" fillId="0" borderId="0" xfId="0" applyFont="1"/>
    <xf numFmtId="0" fontId="7" fillId="2" borderId="0" xfId="0" applyFont="1" applyFill="1" applyAlignment="1">
      <alignment vertical="center" wrapText="1"/>
    </xf>
    <xf numFmtId="0" fontId="2" fillId="2" borderId="0" xfId="0" applyFont="1" applyFill="1" applyAlignment="1">
      <alignment vertical="center" wrapText="1"/>
    </xf>
    <xf numFmtId="0" fontId="9" fillId="2" borderId="0" xfId="0" applyFont="1" applyFill="1" applyAlignment="1">
      <alignment vertical="center" wrapText="1"/>
    </xf>
    <xf numFmtId="0" fontId="4" fillId="3" borderId="0" xfId="0" applyFont="1" applyFill="1" applyAlignment="1">
      <alignment vertical="center" wrapText="1"/>
    </xf>
    <xf numFmtId="0" fontId="9" fillId="6" borderId="0" xfId="0" applyFont="1" applyFill="1" applyAlignment="1">
      <alignment vertical="center" wrapText="1"/>
    </xf>
    <xf numFmtId="0" fontId="14" fillId="6" borderId="0" xfId="0" applyFont="1" applyFill="1" applyAlignment="1">
      <alignment vertical="center" wrapText="1"/>
    </xf>
    <xf numFmtId="0" fontId="12" fillId="0" borderId="0" xfId="0" applyFont="1" applyAlignment="1">
      <alignment vertical="center" wrapText="1"/>
    </xf>
    <xf numFmtId="0" fontId="7" fillId="0" borderId="0" xfId="0" applyFont="1" applyAlignment="1">
      <alignment vertical="center" wrapText="1"/>
    </xf>
    <xf numFmtId="0" fontId="24" fillId="14" borderId="0" xfId="0" applyFont="1" applyFill="1" applyAlignment="1">
      <alignment vertical="center" wrapText="1"/>
    </xf>
    <xf numFmtId="0" fontId="25" fillId="15" borderId="0" xfId="0" applyFont="1" applyFill="1" applyAlignment="1">
      <alignment vertical="center" wrapText="1"/>
    </xf>
    <xf numFmtId="0" fontId="23" fillId="0" borderId="0" xfId="0" applyFont="1" applyAlignment="1">
      <alignment vertical="center"/>
    </xf>
    <xf numFmtId="0" fontId="5" fillId="16" borderId="0" xfId="0" applyFont="1" applyFill="1" applyAlignment="1">
      <alignment vertical="center"/>
    </xf>
    <xf numFmtId="0" fontId="26" fillId="17" borderId="0" xfId="0" applyFont="1" applyFill="1" applyAlignment="1">
      <alignment vertical="center"/>
    </xf>
    <xf numFmtId="0" fontId="27" fillId="18" borderId="0" xfId="0" applyFont="1" applyFill="1" applyAlignment="1">
      <alignment vertical="center"/>
    </xf>
    <xf numFmtId="0" fontId="28" fillId="19" borderId="0" xfId="0" applyFont="1" applyFill="1" applyAlignment="1">
      <alignment vertical="center"/>
    </xf>
    <xf numFmtId="0" fontId="29" fillId="14" borderId="0" xfId="0" applyFont="1" applyFill="1" applyAlignment="1">
      <alignment vertical="center"/>
    </xf>
    <xf numFmtId="0" fontId="23" fillId="0" borderId="0" xfId="0" applyFont="1" applyAlignment="1">
      <alignment vertical="center" wrapText="1"/>
    </xf>
  </cellXfs>
  <cellStyles count="1">
    <cellStyle name="Normal" xfId="0" builtinId="0"/>
  </cellStyles>
  <dxfs count="23">
    <dxf>
      <font>
        <color rgb="FF8B5D10"/>
      </font>
      <fill>
        <patternFill>
          <bgColor rgb="FFFFF1CE"/>
        </patternFill>
      </fill>
    </dxf>
    <dxf>
      <font>
        <b/>
        <color rgb="FF9F341E"/>
      </font>
      <fill>
        <patternFill>
          <bgColor rgb="FFFCE8E2"/>
        </patternFill>
      </fill>
    </dxf>
    <dxf>
      <font>
        <color rgb="FF375623"/>
      </font>
      <fill>
        <patternFill patternType="solid">
          <bgColor rgb="FFE2EFDA"/>
        </patternFill>
      </fill>
    </dxf>
    <dxf>
      <font>
        <color rgb="FF7F6000"/>
      </font>
      <fill>
        <patternFill patternType="solid">
          <bgColor rgb="FFFFF2CC"/>
        </patternFill>
      </fill>
    </dxf>
    <dxf>
      <font>
        <b/>
        <color rgb="FF843C0C"/>
      </font>
      <fill>
        <patternFill patternType="solid">
          <bgColor rgb="FFF8CBAD"/>
        </patternFill>
      </fill>
    </dxf>
    <dxf>
      <font>
        <b/>
        <color rgb="FFFFFFFF"/>
      </font>
      <fill>
        <patternFill patternType="solid">
          <bgColor rgb="FFC00000"/>
        </patternFill>
      </fill>
    </dxf>
    <dxf>
      <font>
        <color rgb="FF8B5D10"/>
      </font>
      <fill>
        <patternFill>
          <bgColor rgb="FFFFF1CE"/>
        </patternFill>
      </fill>
    </dxf>
    <dxf>
      <font>
        <b/>
        <color rgb="FF9F341E"/>
      </font>
      <fill>
        <patternFill>
          <bgColor rgb="FFFBE4DC"/>
        </patternFill>
      </fill>
    </dxf>
    <dxf>
      <font>
        <color rgb="FF8B5D10"/>
      </font>
      <fill>
        <patternFill>
          <bgColor rgb="FFFFF1CE"/>
        </patternFill>
      </fill>
    </dxf>
    <dxf>
      <font>
        <b/>
        <color rgb="FF9F341E"/>
      </font>
      <fill>
        <patternFill>
          <bgColor rgb="FFFBE4DC"/>
        </patternFill>
      </fill>
    </dxf>
    <dxf>
      <font>
        <color rgb="FF8B5D10"/>
      </font>
      <fill>
        <patternFill>
          <bgColor rgb="FFFFF1CE"/>
        </patternFill>
      </fill>
    </dxf>
    <dxf>
      <font>
        <color rgb="FF8B5D10"/>
      </font>
      <fill>
        <patternFill>
          <bgColor rgb="FFFFF1CE"/>
        </patternFill>
      </fill>
    </dxf>
    <dxf>
      <font>
        <b/>
        <color rgb="FF9F341E"/>
      </font>
      <fill>
        <patternFill>
          <bgColor rgb="FFFCE8E2"/>
        </patternFill>
      </fill>
    </dxf>
    <dxf>
      <font>
        <color rgb="FF8B5D10"/>
      </font>
      <fill>
        <patternFill>
          <bgColor rgb="FFFFF1CE"/>
        </patternFill>
      </fill>
    </dxf>
    <dxf>
      <font>
        <color rgb="FF375623"/>
      </font>
      <fill>
        <patternFill patternType="solid">
          <bgColor rgb="FFE2EFDA"/>
        </patternFill>
      </fill>
    </dxf>
    <dxf>
      <font>
        <color rgb="FF7F6000"/>
      </font>
      <fill>
        <patternFill patternType="solid">
          <bgColor rgb="FFFFF2CC"/>
        </patternFill>
      </fill>
    </dxf>
    <dxf>
      <font>
        <b/>
        <color rgb="FF843C0C"/>
      </font>
      <fill>
        <patternFill patternType="solid">
          <bgColor rgb="FFF8CBAD"/>
        </patternFill>
      </fill>
    </dxf>
    <dxf>
      <font>
        <b/>
        <color rgb="FFFFFFFF"/>
      </font>
      <fill>
        <patternFill patternType="solid">
          <bgColor rgb="FFC00000"/>
        </patternFill>
      </fill>
    </dxf>
    <dxf>
      <font>
        <color rgb="FF375623"/>
      </font>
      <fill>
        <patternFill patternType="solid">
          <bgColor rgb="FFE2EFDA"/>
        </patternFill>
      </fill>
    </dxf>
    <dxf>
      <font>
        <color rgb="FF7F6000"/>
      </font>
      <fill>
        <patternFill patternType="solid">
          <bgColor rgb="FFFFF2CC"/>
        </patternFill>
      </fill>
    </dxf>
    <dxf>
      <font>
        <b/>
        <color rgb="FF843C0C"/>
      </font>
      <fill>
        <patternFill patternType="solid">
          <bgColor rgb="FFF8CBAD"/>
        </patternFill>
      </fill>
    </dxf>
    <dxf>
      <font>
        <b/>
        <color rgb="FFFFFFFF"/>
      </font>
      <fill>
        <patternFill patternType="solid">
          <bgColor rgb="FFC00000"/>
        </patternFill>
      </fill>
    </dxf>
    <dxf>
      <font>
        <b/>
        <color rgb="FF9F341E"/>
      </font>
      <fill>
        <patternFill>
          <bgColor rgb="FFFCE8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c:style val="2"/>
  <c:chart>
    <c:title>
      <c:overlay val="1"/>
      <c:txPr>
        <a:bodyPr anchorCtr="1"/>
        <a:lstStyle/>
        <a:p>
          <a:pPr>
            <a:defRPr>
              <a:latin typeface="Poppins"/>
              <a:ea typeface="Poppins"/>
              <a:cs typeface="Poppins"/>
            </a:defRPr>
          </a:pPr>
          <a:endParaRPr lang="pt-BR"/>
        </a:p>
      </c:txPr>
    </c:title>
    <c:autoTitleDeleted val="0"/>
    <c:plotArea>
      <c:layout/>
      <c:barChart>
        <c:barDir val="col"/>
        <c:grouping val="clustered"/>
        <c:varyColors val="0"/>
        <c:ser>
          <c:idx val="0"/>
          <c:order val="0"/>
          <c:tx>
            <c:v>Processos</c:v>
          </c:tx>
          <c:spPr>
            <a:solidFill>
              <a:srgbClr val="4168C8"/>
            </a:solidFill>
          </c:spPr>
          <c:invertIfNegative val="0"/>
          <c:cat>
            <c:strRef>
              <c:f>Configurar!$W$9:$W$15</c:f>
              <c:strCache>
                <c:ptCount val="7"/>
                <c:pt idx="0">
                  <c:v>Trabalhista</c:v>
                </c:pt>
                <c:pt idx="1">
                  <c:v>Cível</c:v>
                </c:pt>
                <c:pt idx="2">
                  <c:v>Tributário</c:v>
                </c:pt>
                <c:pt idx="3">
                  <c:v>Administrativo</c:v>
                </c:pt>
                <c:pt idx="4">
                  <c:v>Penal / Inquérito</c:v>
                </c:pt>
                <c:pt idx="5">
                  <c:v>Outros</c:v>
                </c:pt>
                <c:pt idx="6">
                  <c:v>Controle externo</c:v>
                </c:pt>
              </c:strCache>
            </c:strRef>
          </c:cat>
          <c:val>
            <c:numRef>
              <c:f>Configurar!$X$9:$X$15</c:f>
              <c:numCache>
                <c:formatCode>General</c:formatCode>
                <c:ptCount val="7"/>
                <c:pt idx="0">
                  <c:v>68</c:v>
                </c:pt>
                <c:pt idx="1">
                  <c:v>48</c:v>
                </c:pt>
                <c:pt idx="2">
                  <c:v>9</c:v>
                </c:pt>
                <c:pt idx="3">
                  <c:v>15</c:v>
                </c:pt>
                <c:pt idx="4">
                  <c:v>5</c:v>
                </c:pt>
                <c:pt idx="5">
                  <c:v>2</c:v>
                </c:pt>
                <c:pt idx="6">
                  <c:v>1</c:v>
                </c:pt>
              </c:numCache>
            </c:numRef>
          </c:val>
          <c:extLst>
            <c:ext xmlns:c16="http://schemas.microsoft.com/office/drawing/2014/chart" uri="{C3380CC4-5D6E-409C-BE32-E72D297353CC}">
              <c16:uniqueId val="{00000000-1D1C-47A1-AF2F-F38DF833A26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txPr>
          <a:bodyPr anchorCtr="1"/>
          <a:lstStyle/>
          <a:p>
            <a:pPr>
              <a:defRPr sz="675">
                <a:latin typeface="Poppins"/>
                <a:ea typeface="Poppins"/>
                <a:cs typeface="Poppins"/>
              </a:defRPr>
            </a:pPr>
            <a:endParaRPr lang="pt-BR"/>
          </a:p>
        </c:txPr>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txPr>
          <a:bodyPr anchorCtr="1"/>
          <a:lstStyle/>
          <a:p>
            <a:pPr>
              <a:defRPr sz="675">
                <a:latin typeface="Poppins"/>
                <a:ea typeface="Poppins"/>
                <a:cs typeface="Poppins"/>
              </a:defRPr>
            </a:pPr>
            <a:endParaRPr lang="pt-BR"/>
          </a:p>
        </c:txPr>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8740157499999996" l="0.511811024" r="0.511811024" t="0.78740157499999996" header="0.31496062000000002" footer="0.3149606200000000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24</xdr:row>
      <xdr:rowOff>0</xdr:rowOff>
    </xdr:from>
    <xdr:to>
      <xdr:col>18</xdr:col>
      <xdr:colOff>0</xdr:colOff>
      <xdr:row>32</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RevisaoIA" displayName="TRevisaoIA" ref="A28:J228" totalsRowShown="0">
  <tableColumns count="10">
    <tableColumn id="1" xr3:uid="{00000000-0010-0000-0000-000001000000}" name="Aplicar?"/>
    <tableColumn id="2" xr3:uid="{00000000-0010-0000-0000-000002000000}" name="Processo"/>
    <tableColumn id="3" xr3:uid="{00000000-0010-0000-0000-000003000000}" name="Destino"/>
    <tableColumn id="4" xr3:uid="{00000000-0010-0000-0000-000004000000}" name="Campo / operação"/>
    <tableColumn id="5" xr3:uid="{00000000-0010-0000-0000-000005000000}" name="Atual"/>
    <tableColumn id="6" xr3:uid="{00000000-0010-0000-0000-000006000000}" name="Proposto"/>
    <tableColumn id="7" xr3:uid="{00000000-0010-0000-0000-000007000000}" name="Trecho da fonte"/>
    <tableColumn id="8" xr3:uid="{00000000-0010-0000-0000-000008000000}" name="Observação"/>
    <tableColumn id="9" xr3:uid="{00000000-0010-0000-0000-000009000000}" name="ID"/>
    <tableColumn id="10" xr3:uid="{00000000-0010-0000-0000-00000A000000}" name="Aplicado e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Criticos" displayName="TCriticos" ref="A9:G59" totalsRowShown="0">
  <tableColumns count="7">
    <tableColumn id="1" xr3:uid="{00000000-0010-0000-0100-000001000000}" name="Processo"/>
    <tableColumn id="2" xr3:uid="{00000000-0010-0000-0100-000002000000}" name="Escritório"/>
    <tableColumn id="3" xr3:uid="{00000000-0010-0000-0100-000003000000}" name="Autor × réu"/>
    <tableColumn id="4" xr3:uid="{00000000-0010-0000-0100-000004000000}" name="Fatos e motivos"/>
    <tableColumn id="5" xr3:uid="{00000000-0010-0000-0100-000005000000}" name="Por que é crítico"/>
    <tableColumn id="6" xr3:uid="{00000000-0010-0000-0100-000006000000}" name="Valor da causa"/>
    <tableColumn id="7" xr3:uid="{00000000-0010-0000-0100-000007000000}" name="Consulta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Processos" displayName="TProcessos" ref="A9:BD509" totalsRowShown="0">
  <autoFilter ref="A9:BD509" xr:uid="{00000000-0009-0000-0100-000004000000}"/>
  <tableColumns count="56">
    <tableColumn id="1" xr3:uid="{00000000-0010-0000-0200-000001000000}" name="Número do processo"/>
    <tableColumn id="2" xr3:uid="{00000000-0010-0000-0200-000002000000}" name="Natureza"/>
    <tableColumn id="3" xr3:uid="{00000000-0010-0000-0200-000003000000}" name="Situação"/>
    <tableColumn id="4" xr3:uid="{00000000-0010-0000-0200-000004000000}" name="Escritório"/>
    <tableColumn id="5" xr3:uid="{00000000-0010-0000-0200-000005000000}" name="Empresa responsável"/>
    <tableColumn id="6" xr3:uid="{00000000-0010-0000-0200-000006000000}" name="Consórcio"/>
    <tableColumn id="7" xr3:uid="{00000000-0010-0000-0200-000007000000}" name="Tema"/>
    <tableColumn id="8" xr3:uid="{00000000-0010-0000-0200-000008000000}" name="Parte autora"/>
    <tableColumn id="9" xr3:uid="{00000000-0010-0000-0200-000009000000}" name="Parte ré"/>
    <tableColumn id="10" xr3:uid="{00000000-0010-0000-0200-00000A000000}" name="Comarca / órgão"/>
    <tableColumn id="11" xr3:uid="{00000000-0010-0000-0200-00000B000000}" name="Tribunal"/>
    <tableColumn id="12" xr3:uid="{00000000-0010-0000-0200-00000C000000}" name="Instauração"/>
    <tableColumn id="13" xr3:uid="{00000000-0010-0000-0200-00000D000000}" name="Fatos e motivos"/>
    <tableColumn id="14" xr3:uid="{00000000-0010-0000-0200-00000E000000}" name="Prioridade"/>
    <tableColumn id="15" xr3:uid="{00000000-0010-0000-0200-00000F000000}" name="Bloqueio vigente?"/>
    <tableColumn id="16" xr3:uid="{00000000-0010-0000-0200-000010000000}" name="Penhora vigente?"/>
    <tableColumn id="17" xr3:uid="{00000000-0010-0000-0200-000011000000}" name="Motivo da criticidade"/>
    <tableColumn id="18" xr3:uid="{00000000-0010-0000-0200-000012000000}" name="Responsável pelo acompanhamento"/>
    <tableColumn id="19" xr3:uid="{00000000-0010-0000-0200-000013000000}" name="Previsão de encerramento"/>
    <tableColumn id="20" xr3:uid="{00000000-0010-0000-0200-000014000000}" name="Link de documentos"/>
    <tableColumn id="21" xr3:uid="{00000000-0010-0000-0200-000015000000}" name="Observações"/>
    <tableColumn id="22" xr3:uid="{00000000-0010-0000-0200-000016000000}" name="Chave válida"/>
    <tableColumn id="23" xr3:uid="{00000000-0010-0000-0200-000017000000}" name="Em acompanhamento"/>
    <tableColumn id="24" xr3:uid="{00000000-0010-0000-0200-000018000000}" name="No filtro"/>
    <tableColumn id="25" xr3:uid="{00000000-0010-0000-0200-000019000000}" name="Crítico"/>
    <tableColumn id="26" xr3:uid="{00000000-0010-0000-0200-00001A000000}" name="Último recebimento"/>
    <tableColumn id="27" xr3:uid="{00000000-0010-0000-0200-00001B000000}" name="Empate de atualização"/>
    <tableColumn id="28" xr3:uid="{00000000-0010-0000-0200-00001C000000}" name="Linha do andamento"/>
    <tableColumn id="29" xr3:uid="{00000000-0010-0000-0200-00001D000000}" name="Último andamento"/>
    <tableColumn id="30" xr3:uid="{00000000-0010-0000-0200-00001E000000}" name="Cobrar atualização"/>
    <tableColumn id="31" xr3:uid="{00000000-0010-0000-0200-00001F000000}" name="Próximo prazo"/>
    <tableColumn id="32" xr3:uid="{00000000-0010-0000-0200-000020000000}" name="Linha da próxima ação"/>
    <tableColumn id="33" xr3:uid="{00000000-0010-0000-0200-000021000000}" name="Próxima ação"/>
    <tableColumn id="34" xr3:uid="{00000000-0010-0000-0200-000022000000}" name="Linha de valores"/>
    <tableColumn id="35" xr3:uid="{00000000-0010-0000-0200-000023000000}" name="Conferir cadastro"/>
    <tableColumn id="36" xr3:uid="{00000000-0010-0000-0200-000024000000}" name="Ordem de críticos"/>
    <tableColumn id="37" xr3:uid="{00000000-0010-0000-0200-000025000000}" name="Ordem da carteira"/>
    <tableColumn id="38" xr3:uid="{00000000-0010-0000-0200-000026000000}" name="Escopo sem escritório"/>
    <tableColumn id="39" xr3:uid="{00000000-0010-0000-0200-000027000000}" name="Linha preenchida"/>
    <tableColumn id="40" xr3:uid="{00000000-0010-0000-0200-000028000000}" name="Ações vencidas"/>
    <tableColumn id="41" xr3:uid="{00000000-0010-0000-0200-000029000000}" name="Ações abertas sem prazo"/>
    <tableColumn id="42" xr3:uid="{00000000-0010-0000-0200-00002A000000}" name="Andamento em"/>
    <tableColumn id="43" xr3:uid="{00000000-0010-0000-0200-00002B000000}" name="Valor da causa"/>
    <tableColumn id="44" xr3:uid="{00000000-0010-0000-0200-00002C000000}" name="Motivo do alerta crítico"/>
    <tableColumn id="45" xr3:uid="{00000000-0010-0000-0200-00002D000000}" name="Chave de comparação"/>
    <tableColumn id="46" xr3:uid="{00000000-0010-0000-0200-00002E000000}" name="ID de origem"/>
    <tableColumn id="47" xr3:uid="{00000000-0010-0000-0200-00002F000000}" name="Nº judicial"/>
    <tableColumn id="48" xr3:uid="{00000000-0010-0000-0200-000030000000}" name="Nº administrativo"/>
    <tableColumn id="49" xr3:uid="{00000000-0010-0000-0200-000031000000}" name="Fase"/>
    <tableColumn id="50" xr3:uid="{00000000-0010-0000-0200-000032000000}" name="Contrato"/>
    <tableColumn id="51" xr3:uid="{00000000-0010-0000-0200-000033000000}" name="Centro de custo"/>
    <tableColumn id="52" xr3:uid="{00000000-0010-0000-0200-000034000000}" name="Ano informado"/>
    <tableColumn id="53" xr3:uid="{00000000-0010-0000-0200-000035000000}" name="Número principal"/>
    <tableColumn id="54" xr3:uid="{00000000-0010-0000-0200-000036000000}" name="Número repetido?"/>
    <tableColumn id="55" xr3:uid="{00000000-0010-0000-0200-000037000000}" name="Único no filtro"/>
    <tableColumn id="56" xr3:uid="{00000000-0010-0000-0200-000038000000}" name="Atualização na origem"/>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Valores" displayName="TValores" ref="A9:AB509" totalsRowShown="0">
  <autoFilter ref="A9:AB509" xr:uid="{00000000-0009-0000-0100-000006000000}"/>
  <tableColumns count="28">
    <tableColumn id="1" xr3:uid="{00000000-0010-0000-0300-000001000000}" name="Número do processo"/>
    <tableColumn id="2" xr3:uid="{00000000-0010-0000-0300-000002000000}" name="Valor da causa"/>
    <tableColumn id="3" xr3:uid="{00000000-0010-0000-0300-000003000000}" name="Condenação / execução"/>
    <tableColumn id="4" xr3:uid="{00000000-0010-0000-0300-000004000000}" name="Depósitos judiciais"/>
    <tableColumn id="5" xr3:uid="{00000000-0010-0000-0300-000005000000}" name="Bloqueios em dinheiro (saldo)"/>
    <tableColumn id="6" xr3:uid="{00000000-0010-0000-0300-000006000000}" name="Pagamentos acumulados"/>
    <tableColumn id="7" xr3:uid="{00000000-0010-0000-0300-000007000000}" name="Benefício econômico estimado"/>
    <tableColumn id="8" xr3:uid="{00000000-0010-0000-0300-000008000000}" name="Probabilidade de êxito"/>
    <tableColumn id="9" xr3:uid="{00000000-0010-0000-0300-000009000000}" name="Sentença / decisão"/>
    <tableColumn id="10" xr3:uid="{00000000-0010-0000-0300-00000A000000}" name="Revisado em"/>
    <tableColumn id="11" xr3:uid="{00000000-0010-0000-0300-00000B000000}" name="Fonte / observações"/>
    <tableColumn id="12" xr3:uid="{00000000-0010-0000-0300-00000C000000}" name="Vínculo válido"/>
    <tableColumn id="13" xr3:uid="{00000000-0010-0000-0300-00000D000000}" name="No filtro"/>
    <tableColumn id="14" xr3:uid="{00000000-0010-0000-0300-00000E000000}" name="Conferir valores"/>
    <tableColumn id="15" xr3:uid="{00000000-0010-0000-0300-00000F000000}" name="Linha do processo"/>
    <tableColumn id="16" xr3:uid="{00000000-0010-0000-0300-000010000000}" name="Escritório (apoio)"/>
    <tableColumn id="17" xr3:uid="{00000000-0010-0000-0300-000011000000}" name="Escopo sem escritório"/>
    <tableColumn id="18" xr3:uid="{00000000-0010-0000-0300-000012000000}" name="Linha de origem"/>
    <tableColumn id="19" xr3:uid="{00000000-0010-0000-0300-000013000000}" name="Chave de comparação"/>
    <tableColumn id="20" xr3:uid="{00000000-0010-0000-0300-000014000000}" name="Incluir em totais?"/>
    <tableColumn id="21" xr3:uid="{00000000-0010-0000-0300-000015000000}" name="Causa atualizada"/>
    <tableColumn id="22" xr3:uid="{00000000-0010-0000-0300-000016000000}" name="Valor de acordo"/>
    <tableColumn id="23" xr3:uid="{00000000-0010-0000-0300-000017000000}" name="Exposição estimada"/>
    <tableColumn id="24" xr3:uid="{00000000-0010-0000-0300-000018000000}" name="Valor provisionado"/>
    <tableColumn id="25" xr3:uid="{00000000-0010-0000-0300-000019000000}" name="Benefício (descrição)"/>
    <tableColumn id="26" xr3:uid="{00000000-0010-0000-0300-00001A000000}" name="Probabilidade de perda"/>
    <tableColumn id="27" xr3:uid="{00000000-0010-0000-0300-00001B000000}" name="Duração estimada (texto)"/>
    <tableColumn id="28" xr3:uid="{00000000-0010-0000-0300-00001C000000}" name="Decisão da diretori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ndamentos" displayName="TAndamentos" ref="A9:L2009" totalsRowShown="0">
  <autoFilter ref="A9:L2009" xr:uid="{00000000-0009-0000-0100-000007000000}"/>
  <tableColumns count="12">
    <tableColumn id="1" xr3:uid="{00000000-0010-0000-0400-000001000000}" name="Número do processo"/>
    <tableColumn id="2" xr3:uid="{00000000-0010-0000-0400-000002000000}" name="Data do andamento"/>
    <tableColumn id="3" xr3:uid="{00000000-0010-0000-0400-000003000000}" name="Descrição do andamento"/>
    <tableColumn id="4" xr3:uid="{00000000-0010-0000-0400-000004000000}" name="Registrado / atualizado em"/>
    <tableColumn id="5" xr3:uid="{00000000-0010-0000-0400-000005000000}" name="Informado por / fonte"/>
    <tableColumn id="6" xr3:uid="{00000000-0010-0000-0400-000006000000}" name="Observações"/>
    <tableColumn id="7" xr3:uid="{00000000-0010-0000-0400-000007000000}" name="Válido para consulta"/>
    <tableColumn id="8" xr3:uid="{00000000-0010-0000-0400-000008000000}" name="Chave de recebimento"/>
    <tableColumn id="9" xr3:uid="{00000000-0010-0000-0400-000009000000}" name="Conferir andamento"/>
    <tableColumn id="10" xr3:uid="{00000000-0010-0000-0400-00000A000000}" name="Linha do processo"/>
    <tableColumn id="11" xr3:uid="{00000000-0010-0000-0400-00000B000000}" name="Chave de comparação"/>
    <tableColumn id="12" xr3:uid="{00000000-0010-0000-0400-00000C000000}" name="Linha de origem"/>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PortaisOficiais" displayName="TPortaisOficiais" ref="J9:M32" totalsRowShown="0">
  <tableColumns count="4">
    <tableColumn id="1" xr3:uid="{00000000-0010-0000-0500-000001000000}" name="Tribunal / órgão"/>
    <tableColumn id="2" xr3:uid="{00000000-0010-0000-0500-000002000000}" name="URL oficial"/>
    <tableColumn id="3" xr3:uid="{00000000-0010-0000-0500-000003000000}" name="Acesso"/>
    <tableColumn id="4" xr3:uid="{00000000-0010-0000-0500-000004000000}" name="Observaçõ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6000000}" name="OrigemPreservada" displayName="OrigemPreservada" ref="A9:BL157" totalsRowShown="0">
  <tableColumns count="64">
    <tableColumn id="1" xr3:uid="{00000000-0010-0000-0600-000001000000}" name="Chave na nova planilha"/>
    <tableColumn id="2" xr3:uid="{00000000-0010-0000-0600-000002000000}" name="Aba original"/>
    <tableColumn id="3" xr3:uid="{00000000-0010-0000-0600-000003000000}" name="Linha original"/>
    <tableColumn id="4" xr3:uid="{00000000-0010-0000-0600-000004000000}" name="ID"/>
    <tableColumn id="5" xr3:uid="{00000000-0010-0000-0600-000005000000}" name="Nº PROCESSO JUDICIAL"/>
    <tableColumn id="6" xr3:uid="{00000000-0010-0000-0600-000006000000}" name="Nº PROCESSO SEI / ADMINISTRATIVO"/>
    <tableColumn id="7" xr3:uid="{00000000-0010-0000-0600-000007000000}" name="ESFERA"/>
    <tableColumn id="8" xr3:uid="{00000000-0010-0000-0600-000008000000}" name="TEMA"/>
    <tableColumn id="9" xr3:uid="{00000000-0010-0000-0600-000009000000}" name="EMPRESA DO GRUPO"/>
    <tableColumn id="10" xr3:uid="{00000000-0010-0000-0600-00000A000000}" name="CONSÓRCIO"/>
    <tableColumn id="11" xr3:uid="{00000000-0010-0000-0600-00000B000000}" name="CNPJ"/>
    <tableColumn id="12" xr3:uid="{00000000-0010-0000-0600-00000C000000}" name="CENTRO DE CUSTO"/>
    <tableColumn id="13" xr3:uid="{00000000-0010-0000-0600-00000D000000}" name="CONTRATO"/>
    <tableColumn id="14" xr3:uid="{00000000-0010-0000-0600-00000E000000}" name="POLO DA EMPRESA"/>
    <tableColumn id="15" xr3:uid="{00000000-0010-0000-0600-00000F000000}" name="PARTE AUTORA"/>
    <tableColumn id="16" xr3:uid="{00000000-0010-0000-0600-000010000000}" name="PARTE RÉ"/>
    <tableColumn id="17" xr3:uid="{00000000-0010-0000-0600-000011000000}" name="PARTE CONTRÁRIA"/>
    <tableColumn id="18" xr3:uid="{00000000-0010-0000-0600-000012000000}" name="TRIBUNAL / ÓRGÃO"/>
    <tableColumn id="19" xr3:uid="{00000000-0010-0000-0600-000013000000}" name="COMARCA / VARA"/>
    <tableColumn id="20" xr3:uid="{00000000-0010-0000-0600-000014000000}" name="DATA DE INSTAURAÇÃO"/>
    <tableColumn id="21" xr3:uid="{00000000-0010-0000-0600-000015000000}" name="ANO DE INSTAURAÇÃO"/>
    <tableColumn id="22" xr3:uid="{00000000-0010-0000-0600-000016000000}" name="LINK DOS AUTOS"/>
    <tableColumn id="23" xr3:uid="{00000000-0010-0000-0600-000017000000}" name="ESCRITÓRIO"/>
    <tableColumn id="24" xr3:uid="{00000000-0010-0000-0600-000018000000}" name="ADVOGADO RESPONSÁVEL"/>
    <tableColumn id="25" xr3:uid="{00000000-0010-0000-0600-000019000000}" name="STATUS"/>
    <tableColumn id="26" xr3:uid="{00000000-0010-0000-0600-00001A000000}" name="FASE"/>
    <tableColumn id="27" xr3:uid="{00000000-0010-0000-0600-00001B000000}" name="ESTÁGIO"/>
    <tableColumn id="28" xr3:uid="{00000000-0010-0000-0600-00001C000000}" name="CRITICIDADE"/>
    <tableColumn id="29" xr3:uid="{00000000-0010-0000-0600-00001D000000}" name="PONTUAÇÃO DE RISCO"/>
    <tableColumn id="30" xr3:uid="{00000000-0010-0000-0600-00001E000000}" name="PROBABILIDADE DE PERDA"/>
    <tableColumn id="31" xr3:uid="{00000000-0010-0000-0600-00001F000000}" name="RISCO DE BLOQUEIO / PENHORA"/>
    <tableColumn id="32" xr3:uid="{00000000-0010-0000-0600-000020000000}" name="DECISÃO DESFAVORÁVEL?"/>
    <tableColumn id="33" xr3:uid="{00000000-0010-0000-0600-000021000000}" name="OBJETO / FATOS E MOTIVOS"/>
    <tableColumn id="34" xr3:uid="{00000000-0010-0000-0600-000022000000}" name="SÍNTESE PROCESSUAL / RESUMO EXECUTIVO"/>
    <tableColumn id="35" xr3:uid="{00000000-0010-0000-0600-000023000000}" name="ÚLTIMA DECISÃO RELEVANTE"/>
    <tableColumn id="36" xr3:uid="{00000000-0010-0000-0600-000024000000}" name="PRÓXIMA PROVIDÊNCIA"/>
    <tableColumn id="37" xr3:uid="{00000000-0010-0000-0600-000025000000}" name="PRAZO DA PROVIDÊNCIA"/>
    <tableColumn id="38" xr3:uid="{00000000-0010-0000-0600-000026000000}" name="SITUAÇÃO DO PRAZO"/>
    <tableColumn id="39" xr3:uid="{00000000-0010-0000-0600-000027000000}" name="ANDAMENTO PROCESSUAL (HISTÓRICO)"/>
    <tableColumn id="40" xr3:uid="{00000000-0010-0000-0600-000028000000}" name="DATA DA ÚLTIMA MOVIMENTAÇÃO"/>
    <tableColumn id="41" xr3:uid="{00000000-0010-0000-0600-000029000000}" name="VALOR DA CAUSA"/>
    <tableColumn id="42" xr3:uid="{00000000-0010-0000-0600-00002A000000}" name="VALOR ATUALIZADO DA CAUSA"/>
    <tableColumn id="43" xr3:uid="{00000000-0010-0000-0600-00002B000000}" name="VALOR CONDENAÇÃO / EXECUÇÃO"/>
    <tableColumn id="44" xr3:uid="{00000000-0010-0000-0600-00002C000000}" name="VALOR DE ACORDO"/>
    <tableColumn id="45" xr3:uid="{00000000-0010-0000-0600-00002D000000}" name="EXPOSIÇÃO ESTIMADA"/>
    <tableColumn id="46" xr3:uid="{00000000-0010-0000-0600-00002E000000}" name="VALOR PROVISIONADO"/>
    <tableColumn id="47" xr3:uid="{00000000-0010-0000-0600-00002F000000}" name="DEPÓSITO JUDICIAL"/>
    <tableColumn id="48" xr3:uid="{00000000-0010-0000-0600-000030000000}" name="VALOR JÁ PAGO"/>
    <tableColumn id="49" xr3:uid="{00000000-0010-0000-0600-000031000000}" name="SALDO DE EXPOSIÇÃO"/>
    <tableColumn id="50" xr3:uid="{00000000-0010-0000-0600-000032000000}" name="BENEFÍCIO ECONÔMICO"/>
    <tableColumn id="51" xr3:uid="{00000000-0010-0000-0600-000033000000}" name="EXPECTATIVA DE DURAÇÃO"/>
    <tableColumn id="52" xr3:uid="{00000000-0010-0000-0600-000034000000}" name="DECISÃO DA DIRETORIA"/>
    <tableColumn id="53" xr3:uid="{00000000-0010-0000-0600-000035000000}" name="DATA DA ÚLTIMA ATUALIZAÇÃO"/>
    <tableColumn id="54" xr3:uid="{00000000-0010-0000-0600-000036000000}" name="DIAS SEM ATUALIZAÇÃO"/>
    <tableColumn id="55" xr3:uid="{00000000-0010-0000-0600-000037000000}" name="SITUAÇÃO DA ATUALIZAÇÃO"/>
    <tableColumn id="56" xr3:uid="{00000000-0010-0000-0600-000038000000}" name="PENDÊNCIAS"/>
    <tableColumn id="57" xr3:uid="{00000000-0010-0000-0600-000039000000}" name="OBSERVAÇÕES / MIGRAÇÃO"/>
    <tableColumn id="58" xr3:uid="{00000000-0010-0000-0600-00003A000000}" name="TIPO (ORIGINAL)"/>
    <tableColumn id="59" xr3:uid="{00000000-0010-0000-0600-00003B000000}" name="STATUS (ORIGINAL)"/>
    <tableColumn id="60" xr3:uid="{00000000-0010-0000-0600-00003C000000}" name="FASE (ORIGINAL)"/>
    <tableColumn id="61" xr3:uid="{00000000-0010-0000-0600-00003D000000}" name="Nº PROCESSO (ORIGINAL)"/>
    <tableColumn id="62" xr3:uid="{00000000-0010-0000-0600-00003E000000}" name="AVALIAÇÃO DE RISCO (ORIGINAL)"/>
    <tableColumn id="63" xr3:uid="{00000000-0010-0000-0600-00003F000000}" name="VALORES FINANCEIROS (ORIGINAL)"/>
    <tableColumn id="64" xr3:uid="{00000000-0010-0000-0600-000040000000}" name="ALERTA DE DUPLICIDA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7000000}" name="HistoricoAnterior" displayName="HistoricoAnterior" ref="A164:Y312" totalsRowShown="0">
  <tableColumns count="25">
    <tableColumn id="1" xr3:uid="{00000000-0010-0000-0700-000001000000}" name="ABA DE ORIGEM"/>
    <tableColumn id="2" xr3:uid="{00000000-0010-0000-0700-000002000000}" name="LINHA DE ORIGEM"/>
    <tableColumn id="3" xr3:uid="{00000000-0010-0000-0700-000003000000}" name="TIPO DO PROCESSO"/>
    <tableColumn id="4" xr3:uid="{00000000-0010-0000-0700-000004000000}" name="CONTRATO"/>
    <tableColumn id="5" xr3:uid="{00000000-0010-0000-0700-000005000000}" name="RÉU"/>
    <tableColumn id="6" xr3:uid="{00000000-0010-0000-0700-000006000000}" name="AUTOR"/>
    <tableColumn id="7" xr3:uid="{00000000-0010-0000-0700-000007000000}" name="Nº PROCESSO SEI"/>
    <tableColumn id="8" xr3:uid="{00000000-0010-0000-0700-000008000000}" name="Nº PROCESSO (JUDICIAL)"/>
    <tableColumn id="9" xr3:uid="{00000000-0010-0000-0700-000009000000}" name="DATA DA INSTAURAÇÃO"/>
    <tableColumn id="10" xr3:uid="{00000000-0010-0000-0700-00000A000000}" name="FASE"/>
    <tableColumn id="11" xr3:uid="{00000000-0010-0000-0700-00000B000000}" name="ANDAMENTO PROCESSUAL"/>
    <tableColumn id="12" xr3:uid="{00000000-0010-0000-0700-00000C000000}" name="FATOS E MOTIVOS"/>
    <tableColumn id="13" xr3:uid="{00000000-0010-0000-0700-00000D000000}" name="PENALIDADE / VALOR DA CAUSA"/>
    <tableColumn id="14" xr3:uid="{00000000-0010-0000-0700-00000E000000}" name="VALOR EXECUÇÃO"/>
    <tableColumn id="15" xr3:uid="{00000000-0010-0000-0700-00000F000000}" name="DEPOSITO JUDICIAL"/>
    <tableColumn id="16" xr3:uid="{00000000-0010-0000-0700-000010000000}" name="RESPONSÁVEL PELO ACOMPANHAMENTO DO PROCESSO"/>
    <tableColumn id="17" xr3:uid="{00000000-0010-0000-0700-000011000000}" name="PROBABILIDADE DE ÊXITO"/>
    <tableColumn id="18" xr3:uid="{00000000-0010-0000-0700-000012000000}" name="BENEFÍCIO ECONÔMICO (LEVANTAMENTO DE DEPÓSITOS, RESTITUIÇÕES OU CRÉDITOS)"/>
    <tableColumn id="19" xr3:uid="{00000000-0010-0000-0700-000013000000}" name="IMPACTO FINANCEIRO (EM CASO DE PERDA)"/>
    <tableColumn id="20" xr3:uid="{00000000-0010-0000-0700-000014000000}" name="EXPECTATIVA DE DURAÇÃO DO PROCESSO"/>
    <tableColumn id="21" xr3:uid="{00000000-0010-0000-0700-000015000000}" name="STATUS/FASE"/>
    <tableColumn id="22" xr3:uid="{00000000-0010-0000-0700-000016000000}" name="DECISÃO DA DIRETORIA"/>
    <tableColumn id="23" xr3:uid="{00000000-0010-0000-0700-000017000000}" name="DATA DA ÚLTIMA ATUALIZAÇÃO"/>
    <tableColumn id="24" xr3:uid="{00000000-0010-0000-0700-000018000000}" name="PROBABILIDADE DE ÊXITO / EXPECTATIVA DE DECISÃO FAVORÁVEL"/>
    <tableColumn id="25" xr3:uid="{00000000-0010-0000-0700-000019000000}" name="STAT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8000000}" name="TAcoes" displayName="TAcoes" ref="A9:R1009" totalsRowShown="0">
  <tableColumns count="18">
    <tableColumn id="1" xr3:uid="{00000000-0010-0000-0800-000001000000}" name="Número do processo"/>
    <tableColumn id="2" xr3:uid="{00000000-0010-0000-0800-000002000000}" name="Ação"/>
    <tableColumn id="3" xr3:uid="{00000000-0010-0000-0800-000003000000}" name="Responsável"/>
    <tableColumn id="4" xr3:uid="{00000000-0010-0000-0800-000004000000}" name="Vencimento"/>
    <tableColumn id="5" xr3:uid="{00000000-0010-0000-0800-000005000000}" name="Situação"/>
    <tableColumn id="6" xr3:uid="{00000000-0010-0000-0800-000006000000}" name="Concluída em"/>
    <tableColumn id="7" xr3:uid="{00000000-0010-0000-0800-000007000000}" name="Observações"/>
    <tableColumn id="8" xr3:uid="{00000000-0010-0000-0800-000008000000}" name="Escritório"/>
    <tableColumn id="9" xr3:uid="{00000000-0010-0000-0800-000009000000}" name="Empresa"/>
    <tableColumn id="10" xr3:uid="{00000000-0010-0000-0800-00000A000000}" name="Alerta"/>
    <tableColumn id="11" xr3:uid="{00000000-0010-0000-0800-00000B000000}" name="Aberta válida"/>
    <tableColumn id="12" xr3:uid="{00000000-0010-0000-0800-00000C000000}" name="Aberta com prazo"/>
    <tableColumn id="13" xr3:uid="{00000000-0010-0000-0800-00000D000000}" name="No filtro"/>
    <tableColumn id="14" xr3:uid="{00000000-0010-0000-0800-00000E000000}" name="Conferir ação"/>
    <tableColumn id="15" xr3:uid="{00000000-0010-0000-0800-00000F000000}" name="Linha"/>
    <tableColumn id="16" xr3:uid="{00000000-0010-0000-0800-000010000000}" name="Ordem da agenda"/>
    <tableColumn id="17" xr3:uid="{00000000-0010-0000-0800-000011000000}" name="Linha do processo"/>
    <tableColumn id="18" xr3:uid="{00000000-0010-0000-0800-000012000000}" name="Chave de comparaçã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13653"/>
  </sheetPr>
  <dimension ref="A1:R62"/>
  <sheetViews>
    <sheetView showGridLines="0" tabSelected="1" topLeftCell="A7" workbookViewId="0"/>
  </sheetViews>
  <sheetFormatPr defaultRowHeight="14.25"/>
  <cols>
    <col min="1" max="18" width="9.5" customWidth="1"/>
  </cols>
  <sheetData>
    <row r="1" spans="1:18" ht="23.1" customHeight="1">
      <c r="A1" s="1"/>
      <c r="B1" s="1"/>
      <c r="C1" s="1"/>
      <c r="D1" s="1"/>
      <c r="E1" s="1"/>
      <c r="F1" s="1"/>
      <c r="G1" s="1"/>
      <c r="H1" s="1"/>
      <c r="I1" s="1"/>
      <c r="J1" s="1"/>
      <c r="K1" s="1"/>
      <c r="L1" s="1"/>
      <c r="M1" s="1"/>
      <c r="N1" s="1"/>
      <c r="O1" s="1"/>
      <c r="P1" s="1"/>
      <c r="Q1" s="1"/>
      <c r="R1" s="1"/>
    </row>
    <row r="2" spans="1:18" ht="33.950000000000003" customHeight="1">
      <c r="A2" s="53" t="s">
        <v>0</v>
      </c>
      <c r="B2" s="53"/>
      <c r="C2" s="53"/>
      <c r="D2" s="53"/>
      <c r="E2" s="53"/>
      <c r="F2" s="53"/>
      <c r="G2" s="53"/>
      <c r="H2" s="53"/>
      <c r="I2" s="53"/>
      <c r="J2" s="53"/>
      <c r="K2" s="53"/>
      <c r="L2" s="53"/>
      <c r="M2" s="53"/>
      <c r="N2" s="53"/>
      <c r="O2" s="53"/>
      <c r="P2" s="53"/>
      <c r="Q2" s="53"/>
      <c r="R2" s="53"/>
    </row>
    <row r="3" spans="1:18" ht="30" customHeight="1">
      <c r="A3" s="54" t="s">
        <v>1</v>
      </c>
      <c r="B3" s="54"/>
      <c r="C3" s="54"/>
      <c r="D3" s="54"/>
      <c r="E3" s="54"/>
      <c r="F3" s="54"/>
      <c r="G3" s="54"/>
      <c r="H3" s="54"/>
      <c r="I3" s="54"/>
      <c r="J3" s="54"/>
      <c r="K3" s="54"/>
      <c r="L3" s="54"/>
      <c r="M3" s="54"/>
      <c r="N3" s="54"/>
      <c r="O3" s="54"/>
      <c r="P3" s="54"/>
      <c r="Q3" s="54"/>
      <c r="R3" s="54"/>
    </row>
    <row r="4" spans="1:18" ht="27.95" customHeight="1">
      <c r="A4" s="77" t="str">
        <f>IFERROR(HYPERLINK("#'Painel'!A1","Painel"),"Painel")</f>
        <v>Painel</v>
      </c>
      <c r="B4" s="77"/>
      <c r="C4" s="77"/>
      <c r="D4" s="78" t="str">
        <f>IFERROR(HYPERLINK("#'Ficha'!C6","Ficha do processo"),"Ficha do processo")</f>
        <v>Ficha do processo</v>
      </c>
      <c r="E4" s="78"/>
      <c r="F4" s="78"/>
      <c r="G4" s="78" t="str">
        <f>IFERROR(HYPERLINK("#'Central IA'!C6","Central IA"),"Central IA")</f>
        <v>Central IA</v>
      </c>
      <c r="H4" s="78"/>
      <c r="I4" s="78"/>
      <c r="J4" s="78" t="str">
        <f>IFERROR(HYPERLINK("#'Críticos'!A1","Críticos"),"Críticos")</f>
        <v>Críticos</v>
      </c>
      <c r="K4" s="78"/>
      <c r="L4" s="78"/>
      <c r="M4" s="78" t="str">
        <f>IFERROR(HYPERLINK("#'Escritórios'!A1","Escritórios"),"Escritórios")</f>
        <v>Escritórios</v>
      </c>
      <c r="N4" s="78"/>
      <c r="O4" s="78"/>
      <c r="P4" s="78" t="str">
        <f>IFERROR(HYPERLINK("#'Configurar'!A1","Configurar"),"Configurar")</f>
        <v>Configurar</v>
      </c>
      <c r="Q4" s="78"/>
      <c r="R4" s="78"/>
    </row>
    <row r="5" spans="1:18" ht="27.95" customHeight="1">
      <c r="A5" s="78" t="str">
        <f>IFERROR(HYPERLINK("#'Processos'!A9","Cadastrar ou editar"),"Cadastrar ou editar")</f>
        <v>Cadastrar ou editar</v>
      </c>
      <c r="B5" s="78"/>
      <c r="C5" s="78"/>
      <c r="D5" s="78"/>
      <c r="E5" s="78"/>
      <c r="F5" s="78"/>
      <c r="G5" s="78" t="str">
        <f>IFERROR(HYPERLINK("#'Valores'!A9","Informar valores"),"Informar valores")</f>
        <v>Informar valores</v>
      </c>
      <c r="H5" s="78"/>
      <c r="I5" s="78"/>
      <c r="J5" s="78"/>
      <c r="K5" s="78"/>
      <c r="L5" s="78"/>
      <c r="M5" s="78" t="str">
        <f>IFERROR(HYPERLINK("#'Andamentos'!A9","Consultar histórico"),"Consultar histórico")</f>
        <v>Consultar histórico</v>
      </c>
      <c r="N5" s="78"/>
      <c r="O5" s="78"/>
      <c r="P5" s="78"/>
      <c r="Q5" s="78"/>
      <c r="R5" s="78"/>
    </row>
    <row r="6" spans="1:18" ht="27" customHeight="1">
      <c r="A6" s="55" t="s">
        <v>2</v>
      </c>
      <c r="B6" s="55"/>
      <c r="C6" s="56" t="s">
        <v>3</v>
      </c>
      <c r="D6" s="56"/>
      <c r="E6" s="56"/>
      <c r="F6" s="56"/>
      <c r="G6" s="56"/>
      <c r="H6" s="56"/>
      <c r="I6" s="1"/>
      <c r="J6" s="55" t="s">
        <v>4</v>
      </c>
      <c r="K6" s="55"/>
      <c r="L6" s="56" t="s">
        <v>5</v>
      </c>
      <c r="M6" s="56"/>
      <c r="N6" s="56"/>
      <c r="O6" s="56"/>
      <c r="P6" s="56"/>
      <c r="Q6" s="56"/>
      <c r="R6" s="56"/>
    </row>
    <row r="7" spans="1:18" ht="27" customHeight="1">
      <c r="A7" s="1"/>
      <c r="B7" s="1"/>
      <c r="C7" s="1"/>
      <c r="D7" s="1"/>
      <c r="E7" s="1"/>
      <c r="F7" s="1"/>
      <c r="G7" s="1"/>
      <c r="H7" s="1"/>
      <c r="I7" s="1"/>
      <c r="J7" s="1"/>
      <c r="K7" s="1"/>
      <c r="L7" s="1"/>
      <c r="M7" s="1"/>
      <c r="N7" s="1"/>
      <c r="O7" s="1"/>
      <c r="P7" s="1"/>
      <c r="Q7" s="1"/>
      <c r="R7" s="1"/>
    </row>
    <row r="8" spans="1:18" ht="27" customHeight="1">
      <c r="A8" s="55" t="s">
        <v>6</v>
      </c>
      <c r="B8" s="55"/>
      <c r="C8" s="56" t="s">
        <v>3</v>
      </c>
      <c r="D8" s="56"/>
      <c r="E8" s="56"/>
      <c r="F8" s="56"/>
      <c r="G8" s="56"/>
      <c r="H8" s="56"/>
      <c r="I8" s="1"/>
      <c r="J8" s="55" t="s">
        <v>7</v>
      </c>
      <c r="K8" s="55"/>
      <c r="L8" s="56" t="s">
        <v>3</v>
      </c>
      <c r="M8" s="56"/>
      <c r="N8" s="56"/>
      <c r="O8" s="56"/>
      <c r="P8" s="56"/>
      <c r="Q8" s="56"/>
      <c r="R8" s="56"/>
    </row>
    <row r="9" spans="1:18" ht="27" customHeight="1">
      <c r="A9" s="3"/>
      <c r="B9" s="3"/>
      <c r="C9" s="3"/>
      <c r="D9" s="3"/>
      <c r="E9" s="3"/>
      <c r="F9" s="3"/>
      <c r="G9" s="3"/>
      <c r="H9" s="3"/>
      <c r="I9" s="3"/>
      <c r="J9" s="3"/>
      <c r="K9" s="3"/>
      <c r="L9" s="3"/>
      <c r="M9" s="3"/>
      <c r="N9" s="3"/>
      <c r="O9" s="3"/>
      <c r="P9" s="3"/>
      <c r="Q9" s="3"/>
      <c r="R9" s="3"/>
    </row>
    <row r="10" spans="1:18" ht="27" customHeight="1">
      <c r="A10" s="57" t="s">
        <v>8</v>
      </c>
      <c r="B10" s="57"/>
      <c r="C10" s="56"/>
      <c r="D10" s="56"/>
      <c r="E10" s="56"/>
      <c r="F10" s="56"/>
      <c r="G10" s="56"/>
      <c r="H10" s="56"/>
      <c r="I10" s="56"/>
      <c r="J10" s="56"/>
      <c r="K10" s="56"/>
      <c r="L10" s="56"/>
      <c r="M10" s="3"/>
      <c r="N10" s="58" t="s">
        <v>9</v>
      </c>
      <c r="O10" s="58"/>
      <c r="P10" s="58"/>
      <c r="Q10" s="58"/>
      <c r="R10" s="58"/>
    </row>
    <row r="11" spans="1:18" ht="24" customHeight="1">
      <c r="A11" s="3"/>
      <c r="B11" s="3"/>
      <c r="C11" s="3"/>
      <c r="D11" s="3"/>
      <c r="E11" s="3"/>
      <c r="F11" s="3"/>
      <c r="G11" s="3"/>
      <c r="H11" s="3"/>
      <c r="I11" s="3"/>
      <c r="J11" s="3"/>
      <c r="K11" s="3"/>
      <c r="L11" s="3"/>
      <c r="M11" s="3"/>
      <c r="N11" s="3"/>
      <c r="O11" s="3"/>
      <c r="P11" s="3"/>
      <c r="Q11" s="3"/>
      <c r="R11" s="3"/>
    </row>
    <row r="12" spans="1:18" ht="24" customHeight="1">
      <c r="A12" s="59" t="str">
        <f>A15&amp;" registros / "&amp;SUM(Processos!$BC$10:$BC$509)&amp;" números principais no filtro. Use a Ficha para consultar."</f>
        <v>148 registros / 138 números principais no filtro. Use a Ficha para consultar.</v>
      </c>
      <c r="B12" s="59"/>
      <c r="C12" s="59"/>
      <c r="D12" s="59"/>
      <c r="E12" s="59"/>
      <c r="F12" s="59"/>
      <c r="G12" s="59"/>
      <c r="H12" s="59"/>
      <c r="I12" s="59"/>
      <c r="J12" s="59"/>
      <c r="K12" s="59"/>
      <c r="L12" s="59"/>
      <c r="M12" s="59"/>
      <c r="N12" s="59"/>
      <c r="O12" s="59"/>
      <c r="P12" s="59"/>
      <c r="Q12" s="59"/>
      <c r="R12" s="59"/>
    </row>
    <row r="13" spans="1:18" ht="24" customHeight="1">
      <c r="A13" s="3"/>
      <c r="B13" s="3"/>
      <c r="C13" s="3"/>
      <c r="D13" s="3"/>
      <c r="E13" s="3"/>
      <c r="F13" s="3"/>
      <c r="G13" s="3"/>
      <c r="H13" s="3"/>
      <c r="I13" s="3"/>
      <c r="J13" s="3"/>
      <c r="K13" s="3"/>
      <c r="L13" s="3"/>
      <c r="M13" s="3"/>
      <c r="N13" s="3"/>
      <c r="O13" s="3"/>
      <c r="P13" s="3"/>
      <c r="Q13" s="3"/>
      <c r="R13" s="3"/>
    </row>
    <row r="14" spans="1:18" ht="24" customHeight="1">
      <c r="A14" s="72" t="s">
        <v>10</v>
      </c>
      <c r="B14" s="73"/>
      <c r="C14" s="73"/>
      <c r="D14" s="73"/>
      <c r="E14" s="73"/>
      <c r="F14" s="73"/>
      <c r="G14" s="73"/>
      <c r="H14" s="73"/>
      <c r="K14" s="72" t="s">
        <v>11</v>
      </c>
      <c r="L14" s="73"/>
      <c r="M14" s="73"/>
      <c r="N14" s="73"/>
      <c r="O14" s="73"/>
      <c r="P14" s="73"/>
      <c r="Q14" s="73"/>
      <c r="R14" s="73"/>
    </row>
    <row r="15" spans="1:18" ht="24" customHeight="1">
      <c r="A15" s="74">
        <f>COUNTIFS(Processos!$X$10:$X$509,1)</f>
        <v>148</v>
      </c>
      <c r="B15" s="73"/>
      <c r="C15" s="73"/>
      <c r="D15" s="73"/>
      <c r="E15" s="73"/>
      <c r="F15" s="73"/>
      <c r="G15" s="73"/>
      <c r="H15" s="73"/>
      <c r="K15" s="76">
        <f>COUNTIFS(Processos!$X$10:$X$509,1,Processos!$Y$10:$Y$509,1)</f>
        <v>7</v>
      </c>
      <c r="L15" s="73"/>
      <c r="M15" s="73"/>
      <c r="N15" s="73"/>
      <c r="O15" s="73"/>
      <c r="P15" s="73"/>
      <c r="Q15" s="73"/>
      <c r="R15" s="73"/>
    </row>
    <row r="16" spans="1:18" ht="24" customHeight="1">
      <c r="A16" s="73"/>
      <c r="B16" s="73"/>
      <c r="C16" s="73"/>
      <c r="D16" s="73"/>
      <c r="E16" s="73"/>
      <c r="F16" s="73"/>
      <c r="G16" s="73"/>
      <c r="H16" s="73"/>
      <c r="K16" s="73"/>
      <c r="L16" s="73"/>
      <c r="M16" s="73"/>
      <c r="N16" s="73"/>
      <c r="O16" s="73"/>
      <c r="P16" s="73"/>
      <c r="Q16" s="73"/>
      <c r="R16" s="73"/>
    </row>
    <row r="17" spans="1:18" ht="24" customHeight="1">
      <c r="A17" s="75" t="s">
        <v>12</v>
      </c>
      <c r="B17" s="73"/>
      <c r="C17" s="73"/>
      <c r="D17" s="73"/>
      <c r="E17" s="73"/>
      <c r="F17" s="73"/>
      <c r="G17" s="73"/>
      <c r="H17" s="73"/>
      <c r="K17" s="75" t="s">
        <v>13</v>
      </c>
      <c r="L17" s="73"/>
      <c r="M17" s="73"/>
      <c r="N17" s="73"/>
      <c r="O17" s="73"/>
      <c r="P17" s="73"/>
      <c r="Q17" s="73"/>
      <c r="R17" s="73"/>
    </row>
    <row r="18" spans="1:18" ht="24" customHeight="1">
      <c r="A18" s="3"/>
      <c r="B18" s="3"/>
      <c r="C18" s="3"/>
      <c r="D18" s="3"/>
      <c r="E18" s="3"/>
      <c r="F18" s="3"/>
      <c r="G18" s="3"/>
      <c r="H18" s="3"/>
      <c r="I18" s="3"/>
      <c r="J18" s="3"/>
      <c r="K18" s="3"/>
      <c r="L18" s="3"/>
      <c r="M18" s="3"/>
      <c r="N18" s="3"/>
      <c r="O18" s="3"/>
      <c r="P18" s="3"/>
      <c r="Q18" s="3"/>
      <c r="R18" s="3"/>
    </row>
    <row r="19" spans="1:18" ht="24" customHeight="1">
      <c r="A19" s="60" t="str">
        <f ca="1">"Cobrar atualização: "&amp;COUNTIFS(Processos!$X$10:$X$509,1,Processos!$AD$10:$AD$509,1)&amp;" processos"</f>
        <v>Cobrar atualização: 87 processos</v>
      </c>
      <c r="B19" s="60"/>
      <c r="C19" s="60"/>
      <c r="D19" s="60"/>
      <c r="E19" s="60"/>
      <c r="F19" s="60"/>
      <c r="G19" s="60"/>
      <c r="H19" s="60"/>
      <c r="I19" s="60"/>
      <c r="J19" s="3"/>
      <c r="K19" s="61"/>
      <c r="L19" s="61"/>
      <c r="M19" s="61"/>
      <c r="N19" s="61"/>
      <c r="O19" s="61"/>
      <c r="P19" s="61"/>
      <c r="Q19" s="61"/>
      <c r="R19" s="61"/>
    </row>
    <row r="20" spans="1:18" ht="24" customHeight="1">
      <c r="A20" s="60" t="str">
        <f>"Ativos: "&amp;COUNTIFS(Processos!$X$10:$X$509,1,Processos!$C$10:$C$509,"Ativo")&amp;"   Suspensos: "&amp;COUNTIFS(Processos!$X$10:$X$509,1,Processos!$C$10:$C$509,"Suspenso")</f>
        <v>Ativos: 74   Suspensos: 17</v>
      </c>
      <c r="B20" s="60"/>
      <c r="C20" s="60"/>
      <c r="D20" s="60"/>
      <c r="E20" s="60"/>
      <c r="F20" s="60"/>
      <c r="G20" s="60"/>
      <c r="H20" s="60"/>
      <c r="I20" s="60"/>
      <c r="J20" s="3"/>
      <c r="K20" s="60" t="str">
        <f>"Encerrados: "&amp;COUNTIFS(Processos!$X$10:$X$509,1,Processos!$C$10:$C$509,"Encerrado")&amp;"   Arquivados: "&amp;COUNTIFS(Processos!$X$10:$X$509,1,Processos!$C$10:$C$509,"Arquivado")</f>
        <v>Encerrados: 15   Arquivados: 40</v>
      </c>
      <c r="L20" s="60"/>
      <c r="M20" s="60"/>
      <c r="N20" s="60"/>
      <c r="O20" s="60"/>
      <c r="P20" s="60"/>
      <c r="Q20" s="60"/>
      <c r="R20" s="60"/>
    </row>
    <row r="21" spans="1:18" ht="24" customHeight="1">
      <c r="A21" s="3"/>
      <c r="B21" s="3"/>
      <c r="C21" s="3"/>
      <c r="D21" s="3"/>
      <c r="E21" s="3"/>
      <c r="F21" s="3"/>
      <c r="G21" s="3"/>
      <c r="H21" s="3"/>
      <c r="I21" s="3"/>
      <c r="J21" s="3"/>
      <c r="K21" s="3"/>
      <c r="L21" s="3"/>
      <c r="M21" s="3"/>
      <c r="N21" s="3"/>
      <c r="O21" s="3"/>
      <c r="P21" s="3"/>
      <c r="Q21" s="3"/>
      <c r="R21" s="3"/>
    </row>
    <row r="22" spans="1:18" ht="24" customHeight="1">
      <c r="A22" s="62" t="str">
        <f>"Conferir preenchimento (carteira inteira): "&amp;SUMPRODUCT(--(Processos!$AI$10:$AI$509&lt;&gt;""))&amp;" cadastros, "&amp;SUMPRODUCT(--(Valores!$N$10:$N$509&lt;&gt;""))&amp;" valores e "&amp;SUMPRODUCT(--(Andamentos!$I$10:$I$2009&lt;&gt;""))&amp;" andamentos."</f>
        <v>Conferir preenchimento (carteira inteira): 148 cadastros, 119 valores e 55 andamentos.</v>
      </c>
      <c r="B22" s="62"/>
      <c r="C22" s="62"/>
      <c r="D22" s="62"/>
      <c r="E22" s="62"/>
      <c r="F22" s="62"/>
      <c r="G22" s="62"/>
      <c r="H22" s="62"/>
      <c r="I22" s="62"/>
      <c r="J22" s="62"/>
      <c r="K22" s="62"/>
      <c r="L22" s="62"/>
      <c r="M22" s="62"/>
      <c r="N22" s="62"/>
      <c r="O22" s="62"/>
      <c r="P22" s="62"/>
      <c r="Q22" s="62"/>
      <c r="R22" s="62"/>
    </row>
    <row r="23" spans="1:18" ht="24" customHeight="1">
      <c r="A23" s="68" t="str">
        <f>IFERROR(HYPERLINK("#'Processos'!AI9","REVISAR CADASTROS"),"REVISAR CADASTROS")</f>
        <v>REVISAR CADASTROS</v>
      </c>
      <c r="B23" s="68"/>
      <c r="C23" s="68"/>
      <c r="D23" s="68"/>
      <c r="E23" s="3"/>
      <c r="F23" s="61"/>
      <c r="G23" s="61"/>
      <c r="H23" s="61"/>
      <c r="I23" s="61"/>
      <c r="J23" s="3"/>
      <c r="K23" s="68" t="str">
        <f>IFERROR(HYPERLINK("#'Valores'!N9","REVISAR VALORES"),"REVISAR VALORES")</f>
        <v>REVISAR VALORES</v>
      </c>
      <c r="L23" s="68"/>
      <c r="M23" s="68"/>
      <c r="N23" s="68"/>
      <c r="O23" s="3"/>
      <c r="P23" s="68" t="str">
        <f>IFERROR(HYPERLINK("#'Andamentos'!I9","REVISAR HISTÓRICO"),"REVISAR HISTÓRICO")</f>
        <v>REVISAR HISTÓRICO</v>
      </c>
      <c r="Q23" s="68"/>
      <c r="R23" s="68"/>
    </row>
    <row r="24" spans="1:18" ht="24" customHeight="1">
      <c r="A24" s="63" t="s">
        <v>14</v>
      </c>
      <c r="B24" s="63"/>
      <c r="C24" s="63"/>
      <c r="D24" s="63"/>
      <c r="E24" s="63"/>
      <c r="F24" s="63"/>
      <c r="G24" s="63"/>
      <c r="H24" s="63"/>
      <c r="I24" s="3"/>
      <c r="J24" s="3"/>
      <c r="K24" s="63" t="s">
        <v>15</v>
      </c>
      <c r="L24" s="63"/>
      <c r="M24" s="63"/>
      <c r="N24" s="63"/>
      <c r="O24" s="63"/>
      <c r="P24" s="63"/>
      <c r="Q24" s="63"/>
      <c r="R24" s="63"/>
    </row>
    <row r="25" spans="1:18" ht="24" customHeight="1">
      <c r="A25" s="3"/>
      <c r="B25" s="3"/>
      <c r="C25" s="3"/>
      <c r="D25" s="3"/>
      <c r="E25" s="3"/>
      <c r="F25" s="3"/>
      <c r="G25" s="3"/>
      <c r="H25" s="3"/>
      <c r="I25" s="3"/>
      <c r="J25" s="3"/>
      <c r="K25" s="3"/>
      <c r="L25" s="3"/>
      <c r="M25" s="3"/>
      <c r="N25" s="3"/>
      <c r="O25" s="3"/>
      <c r="P25" s="3"/>
      <c r="Q25" s="3"/>
      <c r="R25" s="3"/>
    </row>
    <row r="26" spans="1:18" ht="24" customHeight="1">
      <c r="A26" s="64" t="s">
        <v>16</v>
      </c>
      <c r="B26" s="64"/>
      <c r="C26" s="64"/>
      <c r="D26" s="64"/>
      <c r="E26" s="64"/>
      <c r="F26" s="65">
        <f>IF(COUNTIFS(Valores!$M$10:$M$509,1,Valores!$D$10:$D$509,"&gt;0")+COUNTIFS(Valores!$M$10:$M$509,1,Valores!$D$10:$D$509,"=0",Valores!$D$10:$D$509,"&lt;&gt;")=0,"Não informado",SUMIFS(Valores!$D$10:$D$509,Valores!$M$10:$M$509,1))</f>
        <v>137749.45999999996</v>
      </c>
      <c r="G26" s="64"/>
      <c r="H26" s="64"/>
      <c r="I26" s="3"/>
      <c r="J26" s="3"/>
      <c r="K26" s="3"/>
      <c r="L26" s="3"/>
      <c r="M26" s="3"/>
      <c r="N26" s="3"/>
      <c r="O26" s="3"/>
      <c r="P26" s="3"/>
      <c r="Q26" s="3"/>
      <c r="R26" s="3"/>
    </row>
    <row r="27" spans="1:18" ht="24" customHeight="1">
      <c r="A27" s="64" t="s">
        <v>17</v>
      </c>
      <c r="B27" s="64"/>
      <c r="C27" s="64"/>
      <c r="D27" s="64"/>
      <c r="E27" s="64"/>
      <c r="F27" s="65" t="str">
        <f>IF(COUNTIFS(Valores!$M$10:$M$509,1,Valores!$E$10:$E$509,"&gt;0")+COUNTIFS(Valores!$M$10:$M$509,1,Valores!$E$10:$E$509,"=0",Valores!$E$10:$E$509,"&lt;&gt;")=0,"Não informado",SUMIFS(Valores!$E$10:$E$509,Valores!$M$10:$M$509,1))</f>
        <v>Não informado</v>
      </c>
      <c r="G27" s="64"/>
      <c r="H27" s="64"/>
      <c r="I27" s="3"/>
      <c r="J27" s="3"/>
      <c r="K27" s="3"/>
      <c r="L27" s="3"/>
      <c r="M27" s="3"/>
      <c r="N27" s="3"/>
      <c r="O27" s="3"/>
      <c r="P27" s="3"/>
      <c r="Q27" s="3"/>
      <c r="R27" s="3"/>
    </row>
    <row r="28" spans="1:18" ht="24" customHeight="1">
      <c r="A28" s="64" t="s">
        <v>18</v>
      </c>
      <c r="B28" s="64"/>
      <c r="C28" s="64"/>
      <c r="D28" s="64"/>
      <c r="E28" s="64"/>
      <c r="F28" s="65" t="str">
        <f>IF(COUNTIFS(Valores!$M$10:$M$509,1,Valores!$G$10:$G$509,"&gt;0")+COUNTIFS(Valores!$M$10:$M$509,1,Valores!$G$10:$G$509,"=0",Valores!$G$10:$G$509,"&lt;&gt;")=0,"Não informado",SUMIFS(Valores!$G$10:$G$509,Valores!$M$10:$M$509,1))</f>
        <v>Não informado</v>
      </c>
      <c r="G28" s="64"/>
      <c r="H28" s="64"/>
      <c r="I28" s="3"/>
      <c r="J28" s="3"/>
      <c r="K28" s="3"/>
      <c r="L28" s="3"/>
      <c r="M28" s="3"/>
      <c r="N28" s="3"/>
      <c r="O28" s="3"/>
      <c r="P28" s="3"/>
      <c r="Q28" s="3"/>
      <c r="R28" s="3"/>
    </row>
    <row r="29" spans="1:18" ht="24" customHeight="1">
      <c r="A29" s="61"/>
      <c r="B29" s="61"/>
      <c r="C29" s="61"/>
      <c r="D29" s="61"/>
      <c r="E29" s="61"/>
      <c r="F29" s="61"/>
      <c r="G29" s="61"/>
      <c r="H29" s="61"/>
      <c r="I29" s="3"/>
      <c r="J29" s="3"/>
      <c r="K29" s="3"/>
      <c r="L29" s="3"/>
      <c r="M29" s="3"/>
      <c r="N29" s="3"/>
      <c r="O29" s="3"/>
      <c r="P29" s="3"/>
      <c r="Q29" s="3"/>
      <c r="R29" s="3"/>
    </row>
    <row r="30" spans="1:18" ht="24" customHeight="1">
      <c r="A30" s="61"/>
      <c r="B30" s="61"/>
      <c r="C30" s="61"/>
      <c r="D30" s="61"/>
      <c r="E30" s="61"/>
      <c r="F30" s="61"/>
      <c r="G30" s="61"/>
      <c r="H30" s="61"/>
      <c r="I30" s="3"/>
      <c r="J30" s="3"/>
      <c r="K30" s="3"/>
      <c r="L30" s="3"/>
      <c r="M30" s="3"/>
      <c r="N30" s="3"/>
      <c r="O30" s="3"/>
      <c r="P30" s="3"/>
      <c r="Q30" s="3"/>
      <c r="R30" s="3"/>
    </row>
    <row r="31" spans="1:18" ht="24" customHeight="1">
      <c r="A31" s="61"/>
      <c r="B31" s="61"/>
      <c r="C31" s="61"/>
      <c r="D31" s="61"/>
      <c r="E31" s="61"/>
      <c r="F31" s="61"/>
      <c r="G31" s="61"/>
      <c r="H31" s="61"/>
      <c r="I31" s="3"/>
      <c r="J31" s="3"/>
      <c r="K31" s="3"/>
      <c r="L31" s="3"/>
      <c r="M31" s="3"/>
      <c r="N31" s="3"/>
      <c r="O31" s="3"/>
      <c r="P31" s="3"/>
      <c r="Q31" s="3"/>
      <c r="R31" s="3"/>
    </row>
    <row r="32" spans="1:18" ht="33.950000000000003" customHeight="1">
      <c r="A32" s="66" t="s">
        <v>19</v>
      </c>
      <c r="B32" s="66"/>
      <c r="C32" s="66"/>
      <c r="D32" s="66"/>
      <c r="E32" s="66"/>
      <c r="F32" s="66"/>
      <c r="G32" s="66"/>
      <c r="H32" s="66"/>
      <c r="I32" s="3"/>
      <c r="J32" s="3"/>
      <c r="K32" s="3"/>
      <c r="L32" s="3"/>
      <c r="M32" s="3"/>
      <c r="N32" s="3"/>
      <c r="O32" s="3"/>
      <c r="P32" s="3"/>
      <c r="Q32" s="3"/>
      <c r="R32" s="3"/>
    </row>
    <row r="33" spans="1:18" ht="24" customHeight="1">
      <c r="A33" s="66"/>
      <c r="B33" s="66"/>
      <c r="C33" s="66"/>
      <c r="D33" s="66"/>
      <c r="E33" s="66"/>
      <c r="F33" s="66"/>
      <c r="G33" s="66"/>
      <c r="H33" s="66"/>
      <c r="I33" s="3"/>
      <c r="J33" s="3"/>
      <c r="K33" s="3"/>
      <c r="L33" s="3"/>
      <c r="M33" s="3"/>
      <c r="N33" s="3"/>
      <c r="O33" s="3"/>
      <c r="P33" s="3"/>
      <c r="Q33" s="3"/>
      <c r="R33" s="3"/>
    </row>
    <row r="34" spans="1:18" ht="24" customHeight="1">
      <c r="A34" s="3"/>
      <c r="B34" s="3"/>
      <c r="C34" s="3"/>
      <c r="D34" s="3"/>
      <c r="E34" s="3"/>
      <c r="F34" s="3"/>
      <c r="G34" s="3"/>
      <c r="H34" s="3"/>
      <c r="I34" s="3"/>
      <c r="J34" s="3"/>
      <c r="K34" s="3"/>
      <c r="L34" s="3"/>
      <c r="M34" s="3"/>
      <c r="N34" s="3"/>
      <c r="O34" s="3"/>
      <c r="P34" s="3"/>
      <c r="Q34" s="3"/>
      <c r="R34" s="3"/>
    </row>
    <row r="35" spans="1:18" ht="15" hidden="1" customHeight="1">
      <c r="A35" s="61"/>
      <c r="B35" s="61"/>
      <c r="C35" s="61"/>
      <c r="D35" s="61"/>
      <c r="E35" s="61"/>
      <c r="F35" s="61"/>
      <c r="G35" s="61"/>
      <c r="H35" s="61"/>
      <c r="I35" s="61"/>
      <c r="J35" s="61"/>
      <c r="K35" s="61"/>
      <c r="L35" s="61"/>
      <c r="M35" s="61"/>
      <c r="N35" s="61"/>
      <c r="O35" s="61"/>
      <c r="P35" s="61"/>
      <c r="Q35" s="61"/>
      <c r="R35" s="61"/>
    </row>
    <row r="36" spans="1:18" ht="15" hidden="1" customHeight="1">
      <c r="A36" s="61"/>
      <c r="B36" s="61"/>
      <c r="C36" s="61"/>
      <c r="D36" s="61"/>
      <c r="E36" s="61"/>
      <c r="F36" s="61"/>
      <c r="G36" s="61"/>
      <c r="H36" s="61"/>
      <c r="I36" s="61"/>
      <c r="J36" s="61"/>
      <c r="K36" s="61"/>
      <c r="L36" s="61"/>
      <c r="M36" s="61"/>
      <c r="N36" s="61"/>
      <c r="O36" s="61"/>
      <c r="P36" s="61"/>
      <c r="Q36" s="61"/>
      <c r="R36" s="61"/>
    </row>
    <row r="37" spans="1:18" ht="15" hidden="1" customHeight="1">
      <c r="A37" s="61"/>
      <c r="B37" s="61"/>
      <c r="C37" s="61"/>
      <c r="D37" s="61"/>
      <c r="E37" s="61"/>
      <c r="F37" s="61"/>
      <c r="G37" s="61"/>
      <c r="H37" s="61"/>
      <c r="I37" s="61"/>
      <c r="J37" s="61"/>
      <c r="K37" s="61"/>
      <c r="L37" s="61"/>
      <c r="M37" s="61"/>
      <c r="N37" s="61"/>
      <c r="O37" s="61"/>
      <c r="P37" s="61"/>
      <c r="Q37" s="61"/>
      <c r="R37" s="61"/>
    </row>
    <row r="38" spans="1:18" ht="15" hidden="1" customHeight="1">
      <c r="A38" s="61"/>
      <c r="B38" s="61"/>
      <c r="C38" s="61"/>
      <c r="D38" s="61"/>
      <c r="E38" s="61"/>
      <c r="F38" s="61"/>
      <c r="G38" s="61"/>
      <c r="H38" s="61"/>
      <c r="I38" s="61"/>
      <c r="J38" s="61"/>
      <c r="K38" s="61"/>
      <c r="L38" s="61"/>
      <c r="M38" s="61"/>
      <c r="N38" s="61"/>
      <c r="O38" s="61"/>
      <c r="P38" s="61"/>
      <c r="Q38" s="61"/>
      <c r="R38" s="61"/>
    </row>
    <row r="39" spans="1:18" ht="15" hidden="1" customHeight="1">
      <c r="A39" s="61"/>
      <c r="B39" s="61"/>
      <c r="C39" s="61"/>
      <c r="D39" s="61"/>
      <c r="E39" s="61"/>
      <c r="F39" s="61"/>
      <c r="G39" s="61"/>
      <c r="H39" s="61"/>
      <c r="I39" s="61"/>
      <c r="J39" s="61"/>
      <c r="K39" s="61"/>
      <c r="L39" s="61"/>
      <c r="M39" s="61"/>
      <c r="N39" s="61"/>
      <c r="O39" s="61"/>
      <c r="P39" s="61"/>
      <c r="Q39" s="61"/>
      <c r="R39" s="61"/>
    </row>
    <row r="40" spans="1:18" ht="15" hidden="1" customHeight="1">
      <c r="A40" s="61"/>
      <c r="B40" s="61"/>
      <c r="C40" s="61"/>
      <c r="D40" s="61"/>
      <c r="E40" s="61"/>
      <c r="F40" s="61"/>
      <c r="G40" s="61"/>
      <c r="H40" s="61"/>
      <c r="I40" s="61"/>
      <c r="J40" s="61"/>
      <c r="K40" s="61"/>
      <c r="L40" s="61"/>
      <c r="M40" s="61"/>
      <c r="N40" s="61"/>
      <c r="O40" s="61"/>
      <c r="P40" s="61"/>
      <c r="Q40" s="61"/>
      <c r="R40" s="61"/>
    </row>
    <row r="41" spans="1:18" ht="15" hidden="1" customHeight="1">
      <c r="A41" s="61"/>
      <c r="B41" s="61"/>
      <c r="C41" s="61"/>
      <c r="D41" s="61"/>
      <c r="E41" s="61"/>
      <c r="F41" s="61"/>
      <c r="G41" s="61"/>
      <c r="H41" s="61"/>
      <c r="I41" s="61"/>
      <c r="J41" s="61"/>
      <c r="K41" s="61"/>
      <c r="L41" s="61"/>
      <c r="M41" s="61"/>
      <c r="N41" s="61"/>
      <c r="O41" s="61"/>
      <c r="P41" s="61"/>
      <c r="Q41" s="61"/>
      <c r="R41" s="61"/>
    </row>
    <row r="42" spans="1:18" ht="15" hidden="1" customHeight="1">
      <c r="A42" s="61"/>
      <c r="B42" s="61"/>
      <c r="C42" s="61"/>
      <c r="D42" s="61"/>
      <c r="E42" s="61"/>
      <c r="F42" s="61"/>
      <c r="G42" s="61"/>
      <c r="H42" s="61"/>
      <c r="I42" s="61"/>
      <c r="J42" s="61"/>
      <c r="K42" s="61"/>
      <c r="L42" s="61"/>
      <c r="M42" s="61"/>
      <c r="N42" s="61"/>
      <c r="O42" s="61"/>
      <c r="P42" s="61"/>
      <c r="Q42" s="61"/>
      <c r="R42" s="61"/>
    </row>
    <row r="43" spans="1:18" ht="15" hidden="1" customHeight="1">
      <c r="A43" s="61"/>
      <c r="B43" s="61"/>
      <c r="C43" s="61"/>
      <c r="D43" s="61"/>
      <c r="E43" s="61"/>
      <c r="F43" s="61"/>
      <c r="G43" s="61"/>
      <c r="H43" s="61"/>
      <c r="I43" s="61"/>
      <c r="J43" s="61"/>
      <c r="K43" s="61"/>
      <c r="L43" s="61"/>
      <c r="M43" s="61"/>
      <c r="N43" s="61"/>
      <c r="O43" s="61"/>
      <c r="P43" s="61"/>
      <c r="Q43" s="61"/>
      <c r="R43" s="61"/>
    </row>
    <row r="44" spans="1:18" ht="24" customHeight="1">
      <c r="A44" s="3"/>
      <c r="B44" s="3"/>
      <c r="C44" s="3"/>
      <c r="D44" s="3"/>
      <c r="E44" s="3"/>
      <c r="F44" s="3"/>
      <c r="G44" s="3"/>
      <c r="H44" s="3"/>
      <c r="I44" s="3"/>
      <c r="J44" s="3"/>
      <c r="K44" s="3"/>
      <c r="L44" s="3"/>
      <c r="M44" s="3"/>
      <c r="N44" s="3"/>
      <c r="O44" s="3"/>
      <c r="P44" s="3"/>
      <c r="Q44" s="3"/>
      <c r="R44" s="3"/>
    </row>
    <row r="45" spans="1:18" ht="24" customHeight="1">
      <c r="A45" s="67" t="str">
        <f>IFERROR(HYPERLINK("#'Processos'!A"&amp;Configurar!$U$13,"CADASTRAR PROCESSO"),"CADASTRAR PROCESSO")</f>
        <v>CADASTRAR PROCESSO</v>
      </c>
      <c r="B45" s="67"/>
      <c r="C45" s="67"/>
      <c r="D45" s="67"/>
      <c r="E45" s="67"/>
      <c r="F45" s="3"/>
      <c r="G45" s="61"/>
      <c r="H45" s="61"/>
      <c r="I45" s="61"/>
      <c r="J45" s="61"/>
      <c r="K45" s="61"/>
      <c r="L45" s="3"/>
      <c r="M45" s="68" t="str">
        <f>IFERROR(HYPERLINK("#'Andamentos'!A9","REGISTRAR ANDAMENTO"),"REGISTRAR ANDAMENTO")</f>
        <v>REGISTRAR ANDAMENTO</v>
      </c>
      <c r="N45" s="68"/>
      <c r="O45" s="68"/>
      <c r="P45" s="68"/>
      <c r="Q45" s="68"/>
      <c r="R45" s="68"/>
    </row>
    <row r="46" spans="1:18" ht="24" customHeight="1">
      <c r="A46" s="67"/>
      <c r="B46" s="67"/>
      <c r="C46" s="67"/>
      <c r="D46" s="67"/>
      <c r="E46" s="67"/>
      <c r="F46" s="3"/>
      <c r="G46" s="61"/>
      <c r="H46" s="61"/>
      <c r="I46" s="61"/>
      <c r="J46" s="61"/>
      <c r="K46" s="61"/>
      <c r="L46" s="3"/>
      <c r="M46" s="68"/>
      <c r="N46" s="68"/>
      <c r="O46" s="68"/>
      <c r="P46" s="68"/>
      <c r="Q46" s="68"/>
      <c r="R46" s="68"/>
    </row>
    <row r="47" spans="1:18" ht="24" customHeight="1">
      <c r="A47" s="3"/>
      <c r="B47" s="3"/>
      <c r="C47" s="3"/>
      <c r="D47" s="3"/>
      <c r="E47" s="3"/>
      <c r="F47" s="3"/>
      <c r="G47" s="3"/>
      <c r="H47" s="3"/>
      <c r="I47" s="3"/>
      <c r="J47" s="3"/>
      <c r="K47" s="3"/>
      <c r="L47" s="3"/>
      <c r="M47" s="3"/>
      <c r="N47" s="3"/>
      <c r="O47" s="3"/>
      <c r="P47" s="3"/>
      <c r="Q47" s="3"/>
      <c r="R47" s="3"/>
    </row>
    <row r="48" spans="1:18" ht="24" customHeight="1">
      <c r="A48" s="63" t="s">
        <v>20</v>
      </c>
      <c r="B48" s="63"/>
      <c r="C48" s="63"/>
      <c r="D48" s="63"/>
      <c r="E48" s="63"/>
      <c r="F48" s="63"/>
      <c r="G48" s="63"/>
      <c r="H48" s="63"/>
      <c r="I48" s="3"/>
      <c r="J48" s="3"/>
      <c r="K48" s="63" t="s">
        <v>21</v>
      </c>
      <c r="L48" s="63"/>
      <c r="M48" s="63"/>
      <c r="N48" s="63"/>
      <c r="O48" s="63"/>
      <c r="P48" s="63"/>
      <c r="Q48" s="63"/>
      <c r="R48" s="63"/>
    </row>
    <row r="49" spans="1:18" ht="24" customHeight="1">
      <c r="A49" s="3"/>
      <c r="B49" s="3"/>
      <c r="C49" s="3"/>
      <c r="D49" s="3"/>
      <c r="E49" s="3"/>
      <c r="F49" s="3"/>
      <c r="G49" s="3"/>
      <c r="H49" s="3"/>
      <c r="I49" s="3"/>
      <c r="J49" s="3"/>
      <c r="K49" s="3"/>
      <c r="L49" s="3"/>
      <c r="M49" s="3"/>
      <c r="N49" s="3"/>
      <c r="O49" s="3"/>
      <c r="P49" s="3"/>
      <c r="Q49" s="3"/>
      <c r="R49" s="3"/>
    </row>
    <row r="50" spans="1:18" ht="24" customHeight="1">
      <c r="A50" s="60" t="str">
        <f>IF(OR(Configurar!B10="",COUNTIFS(Configurar!$B$10:B10,Configurar!B10)&gt;1),"",Configurar!B10)</f>
        <v>Alta Engenharia de Infraestrutura LTDA</v>
      </c>
      <c r="B50" s="60"/>
      <c r="C50" s="60"/>
      <c r="D50" s="60"/>
      <c r="E50" s="60"/>
      <c r="F50" s="60"/>
      <c r="G50" s="69">
        <f>IF(A50="","",COUNTIFS(Processos!$X$10:$X$509,1,Processos!$E$10:$E$509,A50))</f>
        <v>0</v>
      </c>
      <c r="H50" s="69"/>
      <c r="I50" s="3"/>
      <c r="J50" s="3"/>
      <c r="K50" s="60" t="str">
        <f>IF(OR(Configurar!C10="",COUNTIFS(Configurar!$C$10:C10,Configurar!C10)&gt;1),"",Configurar!C10)</f>
        <v>Sem consórcio</v>
      </c>
      <c r="L50" s="60"/>
      <c r="M50" s="60"/>
      <c r="N50" s="60"/>
      <c r="O50" s="60"/>
      <c r="P50" s="60"/>
      <c r="Q50" s="69">
        <f>IF(K50="","",COUNTIFS(Processos!$X$10:$X$509,1,Processos!$F$10:$F$509,K50))</f>
        <v>0</v>
      </c>
      <c r="R50" s="69"/>
    </row>
    <row r="51" spans="1:18" ht="24" customHeight="1">
      <c r="A51" s="60" t="str">
        <f>IF(OR(Configurar!B11="",COUNTIFS(Configurar!$B$10:B11,Configurar!B11)&gt;1),"",Configurar!B11)</f>
        <v>Cava Engenharia de Infraestrutura LTDA</v>
      </c>
      <c r="B51" s="60"/>
      <c r="C51" s="60"/>
      <c r="D51" s="60"/>
      <c r="E51" s="60"/>
      <c r="F51" s="60"/>
      <c r="G51" s="69">
        <f>IF(A51="","",COUNTIFS(Processos!$X$10:$X$509,1,Processos!$E$10:$E$509,A51))</f>
        <v>0</v>
      </c>
      <c r="H51" s="69"/>
      <c r="I51" s="3"/>
      <c r="J51" s="3"/>
      <c r="K51" s="60" t="str">
        <f>IF(OR(Configurar!C11="",COUNTIFS(Configurar!$C$10:C11,Configurar!C11)&gt;1),"",Configurar!C11)</f>
        <v>Consórcio Trail-Spavias-Alta</v>
      </c>
      <c r="L51" s="60"/>
      <c r="M51" s="60"/>
      <c r="N51" s="60"/>
      <c r="O51" s="60"/>
      <c r="P51" s="60"/>
      <c r="Q51" s="69">
        <f>IF(K51="","",COUNTIFS(Processos!$X$10:$X$509,1,Processos!$F$10:$F$509,K51))</f>
        <v>14</v>
      </c>
      <c r="R51" s="69"/>
    </row>
    <row r="52" spans="1:18" ht="24" customHeight="1">
      <c r="A52" s="60" t="str">
        <f>IF(OR(Configurar!B12="",COUNTIFS(Configurar!$B$10:B12,Configurar!B12)&gt;1),"",Configurar!B12)</f>
        <v>Planep</v>
      </c>
      <c r="B52" s="60"/>
      <c r="C52" s="60"/>
      <c r="D52" s="60"/>
      <c r="E52" s="60"/>
      <c r="F52" s="60"/>
      <c r="G52" s="69">
        <f>IF(A52="","",COUNTIFS(Processos!$X$10:$X$509,1,Processos!$E$10:$E$509,A52))</f>
        <v>0</v>
      </c>
      <c r="H52" s="69"/>
      <c r="I52" s="3"/>
      <c r="J52" s="3"/>
      <c r="K52" s="60" t="str">
        <f>IF(OR(Configurar!C12="",COUNTIFS(Configurar!$C$10:C12,Configurar!C12)&gt;1),"",Configurar!C12)</f>
        <v>Consórcio Integral Spavias Trail Alta</v>
      </c>
      <c r="L52" s="60"/>
      <c r="M52" s="60"/>
      <c r="N52" s="60"/>
      <c r="O52" s="60"/>
      <c r="P52" s="60"/>
      <c r="Q52" s="69">
        <f>IF(K52="","",COUNTIFS(Processos!$X$10:$X$509,1,Processos!$F$10:$F$509,K52))</f>
        <v>48</v>
      </c>
      <c r="R52" s="69"/>
    </row>
    <row r="53" spans="1:18" ht="24" customHeight="1">
      <c r="A53" s="60" t="str">
        <f>IF(OR(Configurar!B13="",COUNTIFS(Configurar!$B$10:B13,Configurar!B13)&gt;1),"",Configurar!B13)</f>
        <v>Strata Engenharia</v>
      </c>
      <c r="B53" s="60"/>
      <c r="C53" s="60"/>
      <c r="D53" s="60"/>
      <c r="E53" s="60"/>
      <c r="F53" s="60"/>
      <c r="G53" s="69">
        <f>IF(A53="","",COUNTIFS(Processos!$X$10:$X$509,1,Processos!$E$10:$E$509,A53))</f>
        <v>0</v>
      </c>
      <c r="H53" s="69"/>
      <c r="I53" s="3"/>
      <c r="J53" s="3"/>
      <c r="K53" s="60" t="str">
        <f>IF(OR(Configurar!C13="",COUNTIFS(Configurar!$C$10:C13,Configurar!C13)&gt;1),"",Configurar!C13)</f>
        <v>Consórcio Spavias Cava</v>
      </c>
      <c r="L53" s="60"/>
      <c r="M53" s="60"/>
      <c r="N53" s="60"/>
      <c r="O53" s="60"/>
      <c r="P53" s="60"/>
      <c r="Q53" s="69">
        <f>IF(K53="","",COUNTIFS(Processos!$X$10:$X$509,1,Processos!$F$10:$F$509,K53))</f>
        <v>7</v>
      </c>
      <c r="R53" s="69"/>
    </row>
    <row r="54" spans="1:18" ht="24" customHeight="1">
      <c r="A54" s="60" t="str">
        <f>IF(OR(Configurar!B14="",COUNTIFS(Configurar!$B$10:B14,Configurar!B14)&gt;1),"",Configurar!B14)</f>
        <v>Alltech</v>
      </c>
      <c r="B54" s="60"/>
      <c r="C54" s="60"/>
      <c r="D54" s="60"/>
      <c r="E54" s="60"/>
      <c r="F54" s="60"/>
      <c r="G54" s="69">
        <f>IF(A54="","",COUNTIFS(Processos!$X$10:$X$509,1,Processos!$E$10:$E$509,A54))</f>
        <v>0</v>
      </c>
      <c r="H54" s="69"/>
      <c r="I54" s="3"/>
      <c r="J54" s="3"/>
      <c r="K54" s="60" t="str">
        <f>IF(OR(Configurar!C14="",COUNTIFS(Configurar!$C$10:C14,Configurar!C14)&gt;1),"",Configurar!C14)</f>
        <v>Consórcio Spavias Serne Spavias Trail Alta</v>
      </c>
      <c r="L54" s="60"/>
      <c r="M54" s="60"/>
      <c r="N54" s="60"/>
      <c r="O54" s="60"/>
      <c r="P54" s="60"/>
      <c r="Q54" s="69">
        <f>IF(K54="","",COUNTIFS(Processos!$X$10:$X$509,1,Processos!$F$10:$F$509,K54))</f>
        <v>2</v>
      </c>
      <c r="R54" s="69"/>
    </row>
    <row r="55" spans="1:18" ht="24" customHeight="1">
      <c r="A55" s="70" t="str">
        <f>IF(OR(Configurar!B15="",COUNTIFS(Configurar!$B$10:B15,Configurar!B15)&gt;1),"",Configurar!B15)</f>
        <v>Altabio Eucalipto</v>
      </c>
      <c r="B55" s="70"/>
      <c r="C55" s="70"/>
      <c r="D55" s="70"/>
      <c r="E55" s="70"/>
      <c r="F55" s="70"/>
      <c r="G55" s="71">
        <f>IF(A55="","",COUNTIFS(Processos!$X$10:$X$509,1,Processos!$E$10:$E$509,A55))</f>
        <v>0</v>
      </c>
      <c r="H55" s="71"/>
      <c r="I55" s="3"/>
      <c r="J55" s="3"/>
      <c r="K55" s="60" t="str">
        <f>IF(OR(Configurar!C15="",COUNTIFS(Configurar!$C$10:C15,Configurar!C15)&gt;1),"",Configurar!C15)</f>
        <v>Consórcio Loctec Pavienge Cava Alta Setorsul</v>
      </c>
      <c r="L55" s="60"/>
      <c r="M55" s="60"/>
      <c r="N55" s="60"/>
      <c r="O55" s="60"/>
      <c r="P55" s="60"/>
      <c r="Q55" s="69">
        <f>IF(K55="","",COUNTIFS(Processos!$X$10:$X$509,1,Processos!$F$10:$F$509,K55))</f>
        <v>10</v>
      </c>
      <c r="R55" s="69"/>
    </row>
    <row r="56" spans="1:18" ht="24" customHeight="1">
      <c r="A56" s="60" t="str">
        <f>IF(OR(Configurar!B16="",COUNTIFS(Configurar!$B$10:B16,Configurar!B16)&gt;1),"",Configurar!B16)</f>
        <v>Altabio Pecuária</v>
      </c>
      <c r="B56" s="60"/>
      <c r="C56" s="60"/>
      <c r="D56" s="60"/>
      <c r="E56" s="60"/>
      <c r="F56" s="60"/>
      <c r="G56" s="69">
        <f>IF(A56="","",COUNTIFS(Processos!$X$10:$X$509,1,Processos!$E$10:$E$509,A56))</f>
        <v>0</v>
      </c>
      <c r="H56" s="69"/>
      <c r="I56" s="3"/>
      <c r="J56" s="3"/>
      <c r="K56" s="60" t="str">
        <f>IF(OR(Configurar!C16="",COUNTIFS(Configurar!$C$10:C16,Configurar!C16)&gt;1),"",Configurar!C16)</f>
        <v>Consórcio Spavias Alta</v>
      </c>
      <c r="L56" s="60"/>
      <c r="M56" s="60"/>
      <c r="N56" s="60"/>
      <c r="O56" s="60"/>
      <c r="P56" s="60"/>
      <c r="Q56" s="69">
        <f>IF(K56="","",COUNTIFS(Processos!$X$10:$X$509,1,Processos!$F$10:$F$509,K56))</f>
        <v>7</v>
      </c>
      <c r="R56" s="69"/>
    </row>
    <row r="57" spans="1:18" ht="24" customHeight="1">
      <c r="A57" s="70" t="str">
        <f>IF(OR(Configurar!B17="",COUNTIFS(Configurar!$B$10:B17,Configurar!B17)&gt;1),"",Configurar!B17)</f>
        <v>CPC - Consultoria e Participações</v>
      </c>
      <c r="B57" s="70"/>
      <c r="C57" s="70"/>
      <c r="D57" s="70"/>
      <c r="E57" s="70"/>
      <c r="F57" s="70"/>
      <c r="G57" s="71">
        <f>IF(A57="","",COUNTIFS(Processos!$X$10:$X$509,1,Processos!$E$10:$E$509,A57))</f>
        <v>0</v>
      </c>
      <c r="H57" s="71"/>
      <c r="I57" s="3"/>
      <c r="J57" s="3"/>
      <c r="K57" s="60" t="str">
        <f>IF(OR(Configurar!C17="",COUNTIFS(Configurar!$C$10:C17,Configurar!C17)&gt;1),"",Configurar!C17)</f>
        <v>Consórcio GA 060</v>
      </c>
      <c r="L57" s="60"/>
      <c r="M57" s="60"/>
      <c r="N57" s="60"/>
      <c r="O57" s="60"/>
      <c r="P57" s="60"/>
      <c r="Q57" s="69">
        <f>IF(K57="","",COUNTIFS(Processos!$X$10:$X$509,1,Processos!$F$10:$F$509,K57))</f>
        <v>1</v>
      </c>
      <c r="R57" s="69"/>
    </row>
    <row r="58" spans="1:18" ht="24" customHeight="1">
      <c r="A58" s="70" t="str">
        <f>IF(OR(Configurar!B18="",COUNTIFS(Configurar!$B$10:B18,Configurar!B18)&gt;1),"",Configurar!B18)</f>
        <v>Camilo de Léllis Nogueira (PF)</v>
      </c>
      <c r="B58" s="70"/>
      <c r="C58" s="70"/>
      <c r="D58" s="70"/>
      <c r="E58" s="70"/>
      <c r="F58" s="70"/>
      <c r="G58" s="71">
        <f>IF(A58="","",COUNTIFS(Processos!$X$10:$X$509,1,Processos!$E$10:$E$509,A58))</f>
        <v>0</v>
      </c>
      <c r="H58" s="71"/>
      <c r="I58" s="3"/>
      <c r="J58" s="3"/>
      <c r="K58" s="60" t="str">
        <f>IF(OR(Configurar!C18="",COUNTIFS(Configurar!$C$10:C18,Configurar!C18)&gt;1),"",Configurar!C18)</f>
        <v>Consórcio Alta-ECP</v>
      </c>
      <c r="L58" s="60"/>
      <c r="M58" s="60"/>
      <c r="N58" s="60"/>
      <c r="O58" s="60"/>
      <c r="P58" s="60"/>
      <c r="Q58" s="69">
        <f>IF(K58="","",COUNTIFS(Processos!$X$10:$X$509,1,Processos!$F$10:$F$509,K58))</f>
        <v>3</v>
      </c>
      <c r="R58" s="69"/>
    </row>
    <row r="59" spans="1:18" ht="24" customHeight="1">
      <c r="A59" s="3"/>
      <c r="B59" s="3"/>
      <c r="C59" s="3"/>
      <c r="D59" s="3"/>
      <c r="E59" s="3"/>
      <c r="F59" s="3"/>
      <c r="G59" s="33"/>
      <c r="H59" s="33"/>
      <c r="I59" s="3"/>
      <c r="J59" s="3"/>
      <c r="K59" s="60" t="str">
        <f>IF(OR(Configurar!C19="",COUNTIFS(Configurar!$C$10:C19,Configurar!C19)&gt;1),"",Configurar!C19)</f>
        <v>Consórcio JEA (JM/EHL/Alta)</v>
      </c>
      <c r="L59" s="60"/>
      <c r="M59" s="60"/>
      <c r="N59" s="60"/>
      <c r="O59" s="60"/>
      <c r="P59" s="60"/>
      <c r="Q59" s="69">
        <f>IF(K59="","",COUNTIFS(Processos!$X$10:$X$509,1,Processos!$F$10:$F$509,K59))</f>
        <v>3</v>
      </c>
      <c r="R59" s="69"/>
    </row>
    <row r="60" spans="1:18" ht="24" customHeight="1">
      <c r="A60" s="70" t="s">
        <v>22</v>
      </c>
      <c r="B60" s="70"/>
      <c r="C60" s="70"/>
      <c r="D60" s="70"/>
      <c r="E60" s="70"/>
      <c r="F60" s="70"/>
      <c r="G60" s="71">
        <f>COUNTIFS(Processos!$X$10:$X$509,1)-SUM(G50:G58)</f>
        <v>148</v>
      </c>
      <c r="H60" s="71"/>
      <c r="I60" s="3"/>
      <c r="J60" s="3"/>
      <c r="K60" s="60" t="s">
        <v>23</v>
      </c>
      <c r="L60" s="60"/>
      <c r="M60" s="60"/>
      <c r="N60" s="60"/>
      <c r="O60" s="60"/>
      <c r="P60" s="60"/>
      <c r="Q60" s="69">
        <f>COUNTIFS(Processos!$X$10:$X$509,1)-SUM(Q50:Q59)</f>
        <v>53</v>
      </c>
      <c r="R60" s="69"/>
    </row>
    <row r="61" spans="1:18" ht="24" customHeight="1">
      <c r="A61" s="3"/>
      <c r="B61" s="3"/>
      <c r="C61" s="3"/>
      <c r="D61" s="3"/>
      <c r="E61" s="3"/>
      <c r="F61" s="3"/>
      <c r="G61" s="3"/>
      <c r="H61" s="3"/>
      <c r="I61" s="3"/>
      <c r="J61" s="3"/>
      <c r="K61" s="3"/>
      <c r="L61" s="3"/>
      <c r="M61" s="3"/>
      <c r="N61" s="3"/>
      <c r="O61" s="3"/>
      <c r="P61" s="3"/>
      <c r="Q61" s="3"/>
      <c r="R61" s="3"/>
    </row>
    <row r="62" spans="1:18" ht="24" customHeight="1">
      <c r="A62" s="3"/>
      <c r="B62" s="3"/>
      <c r="C62" s="3"/>
      <c r="D62" s="3"/>
      <c r="E62" s="3"/>
      <c r="F62" s="3"/>
      <c r="G62" s="3"/>
      <c r="H62" s="3"/>
      <c r="I62" s="3"/>
      <c r="J62" s="3"/>
      <c r="K62" s="3"/>
      <c r="L62" s="3"/>
      <c r="M62" s="3"/>
      <c r="N62" s="3"/>
      <c r="O62" s="3"/>
      <c r="P62" s="3"/>
      <c r="Q62" s="3"/>
      <c r="R62" s="3"/>
    </row>
  </sheetData>
  <mergeCells count="137">
    <mergeCell ref="A55:F55"/>
    <mergeCell ref="G55:H55"/>
    <mergeCell ref="A57:F57"/>
    <mergeCell ref="G57:H57"/>
    <mergeCell ref="A58:F58"/>
    <mergeCell ref="G58:H58"/>
    <mergeCell ref="K59:P59"/>
    <mergeCell ref="Q59:R59"/>
    <mergeCell ref="A56:F56"/>
    <mergeCell ref="G56:H56"/>
    <mergeCell ref="K60:P60"/>
    <mergeCell ref="Q60:R60"/>
    <mergeCell ref="A60:F60"/>
    <mergeCell ref="G60:H60"/>
    <mergeCell ref="K56:P56"/>
    <mergeCell ref="Q56:R56"/>
    <mergeCell ref="K57:P57"/>
    <mergeCell ref="Q57:R57"/>
    <mergeCell ref="K58:P58"/>
    <mergeCell ref="Q58:R58"/>
    <mergeCell ref="Q53:R53"/>
    <mergeCell ref="K54:P54"/>
    <mergeCell ref="Q54:R54"/>
    <mergeCell ref="K55:P55"/>
    <mergeCell ref="Q55:R55"/>
    <mergeCell ref="Q50:R50"/>
    <mergeCell ref="K51:P51"/>
    <mergeCell ref="Q51:R51"/>
    <mergeCell ref="K52:P52"/>
    <mergeCell ref="Q52:R52"/>
    <mergeCell ref="A53:F53"/>
    <mergeCell ref="G53:H53"/>
    <mergeCell ref="A54:F54"/>
    <mergeCell ref="G54:H54"/>
    <mergeCell ref="K50:P50"/>
    <mergeCell ref="K53:P53"/>
    <mergeCell ref="A50:F50"/>
    <mergeCell ref="G50:H50"/>
    <mergeCell ref="A51:F51"/>
    <mergeCell ref="G51:H51"/>
    <mergeCell ref="A52:F52"/>
    <mergeCell ref="G52:H52"/>
    <mergeCell ref="A43:R43"/>
    <mergeCell ref="A45:E46"/>
    <mergeCell ref="G45:K46"/>
    <mergeCell ref="M45:R46"/>
    <mergeCell ref="A48:H48"/>
    <mergeCell ref="K48:R48"/>
    <mergeCell ref="A42:D42"/>
    <mergeCell ref="E42:K42"/>
    <mergeCell ref="L42:N42"/>
    <mergeCell ref="O42:P42"/>
    <mergeCell ref="Q42:R42"/>
    <mergeCell ref="A41:D41"/>
    <mergeCell ref="E41:K41"/>
    <mergeCell ref="L41:N41"/>
    <mergeCell ref="O41:P41"/>
    <mergeCell ref="Q41:R41"/>
    <mergeCell ref="A40:D40"/>
    <mergeCell ref="E40:K40"/>
    <mergeCell ref="L40:N40"/>
    <mergeCell ref="O40:P40"/>
    <mergeCell ref="Q40:R40"/>
    <mergeCell ref="A39:D39"/>
    <mergeCell ref="E39:K39"/>
    <mergeCell ref="L39:N39"/>
    <mergeCell ref="O39:P39"/>
    <mergeCell ref="Q39:R39"/>
    <mergeCell ref="A38:D38"/>
    <mergeCell ref="E38:K38"/>
    <mergeCell ref="L38:N38"/>
    <mergeCell ref="O38:P38"/>
    <mergeCell ref="Q38:R38"/>
    <mergeCell ref="A37:D37"/>
    <mergeCell ref="E37:K37"/>
    <mergeCell ref="L37:N37"/>
    <mergeCell ref="O37:P37"/>
    <mergeCell ref="Q37:R37"/>
    <mergeCell ref="A35:R35"/>
    <mergeCell ref="A36:D36"/>
    <mergeCell ref="E36:K36"/>
    <mergeCell ref="L36:N36"/>
    <mergeCell ref="O36:P36"/>
    <mergeCell ref="Q36:R36"/>
    <mergeCell ref="A30:E30"/>
    <mergeCell ref="F30:H30"/>
    <mergeCell ref="A31:E31"/>
    <mergeCell ref="F31:H31"/>
    <mergeCell ref="A32:H33"/>
    <mergeCell ref="A27:E27"/>
    <mergeCell ref="F27:H27"/>
    <mergeCell ref="A28:E28"/>
    <mergeCell ref="F28:H28"/>
    <mergeCell ref="A29:E29"/>
    <mergeCell ref="F29:H29"/>
    <mergeCell ref="A22:R22"/>
    <mergeCell ref="A24:H24"/>
    <mergeCell ref="K24:R24"/>
    <mergeCell ref="A26:E26"/>
    <mergeCell ref="F26:H26"/>
    <mergeCell ref="A23:D23"/>
    <mergeCell ref="F23:I23"/>
    <mergeCell ref="K23:N23"/>
    <mergeCell ref="P23:R23"/>
    <mergeCell ref="A12:R12"/>
    <mergeCell ref="A19:I19"/>
    <mergeCell ref="K19:R19"/>
    <mergeCell ref="A20:I20"/>
    <mergeCell ref="K20:R20"/>
    <mergeCell ref="A14:H14"/>
    <mergeCell ref="A15:H16"/>
    <mergeCell ref="A17:H17"/>
    <mergeCell ref="K14:R14"/>
    <mergeCell ref="K15:R16"/>
    <mergeCell ref="K17:R17"/>
    <mergeCell ref="A8:B8"/>
    <mergeCell ref="C8:H8"/>
    <mergeCell ref="J8:K8"/>
    <mergeCell ref="L8:R8"/>
    <mergeCell ref="A10:B10"/>
    <mergeCell ref="C10:L10"/>
    <mergeCell ref="N10:R10"/>
    <mergeCell ref="A2:R2"/>
    <mergeCell ref="A3:R3"/>
    <mergeCell ref="A6:B6"/>
    <mergeCell ref="C6:H6"/>
    <mergeCell ref="J6:K6"/>
    <mergeCell ref="L6:R6"/>
    <mergeCell ref="A4:C4"/>
    <mergeCell ref="D4:F4"/>
    <mergeCell ref="G4:I4"/>
    <mergeCell ref="J4:L4"/>
    <mergeCell ref="M4:O4"/>
    <mergeCell ref="P4:R4"/>
    <mergeCell ref="A5:F5"/>
    <mergeCell ref="G5:L5"/>
    <mergeCell ref="M5:R5"/>
  </mergeCells>
  <conditionalFormatting sqref="K15">
    <cfRule type="cellIs" dxfId="22" priority="1" operator="greaterThan">
      <formula>0</formula>
    </cfRule>
  </conditionalFormatting>
  <dataValidations count="4">
    <dataValidation type="list" sqref="C6" xr:uid="{00000000-0002-0000-0000-000000000000}">
      <formula1>INDIRECT("'Configurar'!A9:A29")</formula1>
    </dataValidation>
    <dataValidation type="list" sqref="L6" xr:uid="{00000000-0002-0000-0000-000001000000}">
      <formula1>INDIRECT("'Configurar'!B9:B29")</formula1>
    </dataValidation>
    <dataValidation type="list" sqref="C8" xr:uid="{00000000-0002-0000-0000-000002000000}">
      <formula1>INDIRECT("'Configurar'!C9:C39")</formula1>
    </dataValidation>
    <dataValidation type="list" sqref="L8" xr:uid="{00000000-0002-0000-0000-000003000000}">
      <formula1>INDIRECT("'Configurar'!D9:D19")</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13653"/>
  </sheetPr>
  <dimension ref="A1:R102"/>
  <sheetViews>
    <sheetView showGridLines="0" workbookViewId="0">
      <pane ySplit="9" topLeftCell="A10" activePane="bottomLeft" state="frozen"/>
      <selection pane="bottomLeft"/>
    </sheetView>
  </sheetViews>
  <sheetFormatPr defaultRowHeight="14.25"/>
  <cols>
    <col min="1" max="18" width="9.5" customWidth="1"/>
  </cols>
  <sheetData>
    <row r="1" spans="1:18" ht="23.1" customHeight="1">
      <c r="A1" s="1"/>
      <c r="B1" s="1"/>
      <c r="C1" s="1"/>
      <c r="D1" s="1"/>
      <c r="E1" s="1"/>
      <c r="F1" s="1"/>
      <c r="G1" s="1"/>
      <c r="H1" s="1"/>
      <c r="I1" s="1"/>
      <c r="J1" s="1"/>
      <c r="K1" s="1"/>
      <c r="L1" s="1"/>
      <c r="M1" s="1"/>
      <c r="N1" s="1"/>
      <c r="O1" s="1"/>
      <c r="P1" s="1"/>
      <c r="Q1" s="1"/>
      <c r="R1" s="1"/>
    </row>
    <row r="2" spans="1:18" ht="33.950000000000003" customHeight="1">
      <c r="A2" s="53" t="s">
        <v>24</v>
      </c>
      <c r="B2" s="53"/>
      <c r="C2" s="53"/>
      <c r="D2" s="53"/>
      <c r="E2" s="53"/>
      <c r="F2" s="53"/>
      <c r="G2" s="53"/>
      <c r="H2" s="53"/>
      <c r="I2" s="53"/>
      <c r="J2" s="53"/>
      <c r="K2" s="53"/>
      <c r="L2" s="53"/>
      <c r="M2" s="53"/>
      <c r="N2" s="53"/>
      <c r="O2" s="53"/>
      <c r="P2" s="53"/>
      <c r="Q2" s="53"/>
      <c r="R2" s="53"/>
    </row>
    <row r="3" spans="1:18" ht="30" customHeight="1">
      <c r="A3" s="54" t="s">
        <v>25</v>
      </c>
      <c r="B3" s="54"/>
      <c r="C3" s="54"/>
      <c r="D3" s="54"/>
      <c r="E3" s="54"/>
      <c r="F3" s="54"/>
      <c r="G3" s="54"/>
      <c r="H3" s="54"/>
      <c r="I3" s="54"/>
      <c r="J3" s="54"/>
      <c r="K3" s="54"/>
      <c r="L3" s="54"/>
      <c r="M3" s="54"/>
      <c r="N3" s="54"/>
      <c r="O3" s="54"/>
      <c r="P3" s="54"/>
      <c r="Q3" s="54"/>
      <c r="R3" s="54"/>
    </row>
    <row r="4" spans="1:18" ht="27.95" customHeight="1">
      <c r="A4" s="78" t="str">
        <f>IFERROR(HYPERLINK("#'Painel'!A1","Painel"),"Painel")</f>
        <v>Painel</v>
      </c>
      <c r="B4" s="78"/>
      <c r="C4" s="78"/>
      <c r="D4" s="77" t="str">
        <f>IFERROR(HYPERLINK("#'Ficha'!C6","Ficha do processo"),"Ficha do processo")</f>
        <v>Ficha do processo</v>
      </c>
      <c r="E4" s="77"/>
      <c r="F4" s="77"/>
      <c r="G4" s="78" t="str">
        <f>IFERROR(HYPERLINK("#'Central IA'!C6","Central IA"),"Central IA")</f>
        <v>Central IA</v>
      </c>
      <c r="H4" s="78"/>
      <c r="I4" s="78"/>
      <c r="J4" s="78" t="str">
        <f>IFERROR(HYPERLINK("#'Críticos'!A1","Críticos"),"Críticos")</f>
        <v>Críticos</v>
      </c>
      <c r="K4" s="78"/>
      <c r="L4" s="78"/>
      <c r="M4" s="78" t="str">
        <f>IFERROR(HYPERLINK("#'Escritórios'!A1","Escritórios"),"Escritórios")</f>
        <v>Escritórios</v>
      </c>
      <c r="N4" s="78"/>
      <c r="O4" s="78"/>
      <c r="P4" s="78" t="str">
        <f>IFERROR(HYPERLINK("#'Configurar'!A1","Configurar"),"Configurar")</f>
        <v>Configurar</v>
      </c>
      <c r="Q4" s="78"/>
      <c r="R4" s="78"/>
    </row>
    <row r="5" spans="1:18" ht="27.95" customHeight="1">
      <c r="A5" s="78" t="str">
        <f>IFERROR(HYPERLINK("#'Processos'!A9","Cadastrar ou editar"),"Cadastrar ou editar")</f>
        <v>Cadastrar ou editar</v>
      </c>
      <c r="B5" s="78"/>
      <c r="C5" s="78"/>
      <c r="D5" s="78"/>
      <c r="E5" s="78"/>
      <c r="F5" s="78"/>
      <c r="G5" s="78" t="str">
        <f>IFERROR(HYPERLINK("#'Valores'!A9","Informar valores"),"Informar valores")</f>
        <v>Informar valores</v>
      </c>
      <c r="H5" s="78"/>
      <c r="I5" s="78"/>
      <c r="J5" s="78"/>
      <c r="K5" s="78"/>
      <c r="L5" s="78"/>
      <c r="M5" s="78" t="str">
        <f>IFERROR(HYPERLINK("#'Andamentos'!A9","Consultar histórico"),"Consultar histórico")</f>
        <v>Consultar histórico</v>
      </c>
      <c r="N5" s="78"/>
      <c r="O5" s="78"/>
      <c r="P5" s="78"/>
      <c r="Q5" s="78"/>
      <c r="R5" s="78"/>
    </row>
    <row r="6" spans="1:18" ht="23.1" customHeight="1">
      <c r="A6" s="79" t="s">
        <v>26</v>
      </c>
      <c r="B6" s="79"/>
      <c r="C6" s="80" t="s">
        <v>27</v>
      </c>
      <c r="D6" s="81"/>
      <c r="E6" s="81"/>
      <c r="F6" s="81"/>
      <c r="G6" s="81"/>
      <c r="H6" s="81"/>
      <c r="I6" s="81"/>
      <c r="J6" s="81"/>
      <c r="K6" s="81"/>
      <c r="L6" s="82"/>
      <c r="M6" s="1"/>
      <c r="N6" s="86" t="str">
        <f>IF(C6="","Selecione um processo",IF(Configurar!$U$10=0,"Número não encontrado ou duplicado",INDEX(Processos!$C$10:$C$509,Configurar!$U$10)))</f>
        <v>Ativo</v>
      </c>
      <c r="O6" s="86"/>
      <c r="P6" s="86"/>
      <c r="Q6" s="86"/>
      <c r="R6" s="86"/>
    </row>
    <row r="7" spans="1:18" ht="23.1" customHeight="1">
      <c r="A7" s="79"/>
      <c r="B7" s="79"/>
      <c r="C7" s="83"/>
      <c r="D7" s="84"/>
      <c r="E7" s="84"/>
      <c r="F7" s="84"/>
      <c r="G7" s="84"/>
      <c r="H7" s="84"/>
      <c r="I7" s="84"/>
      <c r="J7" s="84"/>
      <c r="K7" s="84"/>
      <c r="L7" s="85"/>
      <c r="M7" s="1"/>
      <c r="N7" s="86"/>
      <c r="O7" s="86"/>
      <c r="P7" s="86"/>
      <c r="Q7" s="86"/>
      <c r="R7" s="86"/>
    </row>
    <row r="8" spans="1:18" ht="23.1" customHeight="1">
      <c r="A8" s="1"/>
      <c r="B8" s="1"/>
      <c r="C8" s="1"/>
      <c r="D8" s="1"/>
      <c r="E8" s="1"/>
      <c r="F8" s="1"/>
      <c r="G8" s="1"/>
      <c r="H8" s="1"/>
      <c r="I8" s="1"/>
      <c r="J8" s="1"/>
      <c r="K8" s="1"/>
      <c r="L8" s="1"/>
      <c r="M8" s="1"/>
      <c r="N8" s="1"/>
      <c r="O8" s="1"/>
      <c r="P8" s="1"/>
      <c r="Q8" s="1"/>
      <c r="R8" s="1"/>
    </row>
    <row r="9" spans="1:18" ht="30" customHeight="1">
      <c r="A9" s="67" t="str">
        <f>IFERROR(HYPERLINK("#'Processos'!A"&amp;IF(Configurar!$U$10=0,9,Configurar!$U$10+9),"EDITAR CADASTRO"),"EDITAR CADASTRO")</f>
        <v>EDITAR CADASTRO</v>
      </c>
      <c r="B9" s="67"/>
      <c r="C9" s="67"/>
      <c r="D9" s="67"/>
      <c r="E9" s="67"/>
      <c r="F9" s="67"/>
      <c r="G9" s="3"/>
      <c r="H9" s="67" t="str">
        <f>IFERROR(HYPERLINK("#'Valores'!A"&amp;IF(Configurar!$U$11=0,9,Configurar!$U$11+9),"ATUALIZAR VALORES"),"ATUALIZAR VALORES")</f>
        <v>ATUALIZAR VALORES</v>
      </c>
      <c r="I9" s="67"/>
      <c r="J9" s="67"/>
      <c r="K9" s="67"/>
      <c r="L9" s="67"/>
      <c r="M9" s="3"/>
      <c r="N9" s="87" t="str">
        <f>IFERROR(IF(Configurar!$U$10=0,"CONSULTAR TRIBUNAL",IF(OR(IFERROR(INDEX(Critérios!$K$10:$K$32,MATCH(INDEX(Processos!$K$10:$K$509,Configurar!$U$10),Critérios!$J$10:$J$32,0)),"")="",IFERROR(INDEX(Critérios!$K$10:$K$32,MATCH(INDEX(Processos!$K$10:$K$509,Configurar!$U$10),Critérios!$J$10:$J$32,0)),"")=0),"IDENTIFICAR ÓRGÃO",HYPERLINK(IFERROR(INDEX(Critérios!$K$10:$K$32,MATCH(INDEX(Processos!$K$10:$K$509,Configurar!$U$10),Critérios!$J$10:$J$32,0)),""),"CONSULTAR TRIBUNAL"))),"CONSULTAR TRIBUNAL")</f>
        <v>CONSULTAR TRIBUNAL</v>
      </c>
      <c r="O9" s="87"/>
      <c r="P9" s="87"/>
      <c r="Q9" s="87"/>
      <c r="R9" s="87"/>
    </row>
    <row r="10" spans="1:18" ht="24" customHeight="1">
      <c r="A10" s="3"/>
      <c r="B10" s="3"/>
      <c r="C10" s="3"/>
      <c r="D10" s="3"/>
      <c r="E10" s="3"/>
      <c r="F10" s="3"/>
      <c r="G10" s="3"/>
      <c r="H10" s="3"/>
      <c r="I10" s="3"/>
      <c r="J10" s="3"/>
      <c r="K10" s="3"/>
      <c r="L10" s="3"/>
      <c r="M10" s="3"/>
      <c r="N10" s="3"/>
      <c r="O10" s="3"/>
      <c r="P10" s="3"/>
      <c r="Q10" s="3"/>
      <c r="R10" s="3"/>
    </row>
    <row r="11" spans="1:18" ht="24" customHeight="1">
      <c r="A11" s="57" t="s">
        <v>4</v>
      </c>
      <c r="B11" s="57"/>
      <c r="C11" s="57"/>
      <c r="D11" s="57"/>
      <c r="E11" s="57"/>
      <c r="F11" s="57"/>
      <c r="G11" s="3"/>
      <c r="H11" s="57" t="s">
        <v>6</v>
      </c>
      <c r="I11" s="57"/>
      <c r="J11" s="57"/>
      <c r="K11" s="57"/>
      <c r="L11" s="57"/>
      <c r="M11" s="3"/>
      <c r="N11" s="57" t="s">
        <v>2</v>
      </c>
      <c r="O11" s="57"/>
      <c r="P11" s="57"/>
      <c r="Q11" s="57"/>
      <c r="R11" s="57"/>
    </row>
    <row r="12" spans="1:18" ht="24" customHeight="1">
      <c r="A12" s="88" t="str">
        <f>IF(Configurar!$U$10=0,"",IF(INDEX(Processos!$E$10:$E$509,Configurar!$U$10)="","Não informado",INDEX(Processos!$E$10:$E$509,Configurar!$U$10)))</f>
        <v>Não informado</v>
      </c>
      <c r="B12" s="88"/>
      <c r="C12" s="88"/>
      <c r="D12" s="88"/>
      <c r="E12" s="88"/>
      <c r="F12" s="88"/>
      <c r="G12" s="3"/>
      <c r="H12" s="88" t="str">
        <f>IF(Configurar!$U$10=0,"",IF(INDEX(Processos!$F$10:$F$509,Configurar!$U$10)="","Não informado",INDEX(Processos!$F$10:$F$509,Configurar!$U$10)))</f>
        <v>Consórcio Integral Spavias Trail Alta</v>
      </c>
      <c r="I12" s="88"/>
      <c r="J12" s="88"/>
      <c r="K12" s="88"/>
      <c r="L12" s="88"/>
      <c r="M12" s="3"/>
      <c r="N12" s="88" t="str">
        <f>IF(Configurar!$U$10=0,"",IF(INDEX(Processos!$D$10:$D$509,Configurar!$U$10)="","Não informado",INDEX(Processos!$D$10:$D$509,Configurar!$U$10)))</f>
        <v>BMM Advogados</v>
      </c>
      <c r="O12" s="88"/>
      <c r="P12" s="88"/>
      <c r="Q12" s="88"/>
      <c r="R12" s="88"/>
    </row>
    <row r="13" spans="1:18" ht="24" customHeight="1">
      <c r="A13" s="88"/>
      <c r="B13" s="88"/>
      <c r="C13" s="88"/>
      <c r="D13" s="88"/>
      <c r="E13" s="88"/>
      <c r="F13" s="88"/>
      <c r="G13" s="3"/>
      <c r="H13" s="88"/>
      <c r="I13" s="88"/>
      <c r="J13" s="88"/>
      <c r="K13" s="88"/>
      <c r="L13" s="88"/>
      <c r="M13" s="3"/>
      <c r="N13" s="88"/>
      <c r="O13" s="88"/>
      <c r="P13" s="88"/>
      <c r="Q13" s="88"/>
      <c r="R13" s="88"/>
    </row>
    <row r="14" spans="1:18" ht="24" customHeight="1">
      <c r="A14" s="3"/>
      <c r="B14" s="3"/>
      <c r="C14" s="3"/>
      <c r="D14" s="3"/>
      <c r="E14" s="3"/>
      <c r="F14" s="3"/>
      <c r="G14" s="3"/>
      <c r="H14" s="3"/>
      <c r="I14" s="3"/>
      <c r="J14" s="3"/>
      <c r="K14" s="3"/>
      <c r="L14" s="3"/>
      <c r="M14" s="3"/>
      <c r="N14" s="3"/>
      <c r="O14" s="3"/>
      <c r="P14" s="3"/>
      <c r="Q14" s="3"/>
      <c r="R14" s="3"/>
    </row>
    <row r="15" spans="1:18" ht="24" customHeight="1">
      <c r="A15" s="57" t="s">
        <v>28</v>
      </c>
      <c r="B15" s="57"/>
      <c r="C15" s="57"/>
      <c r="D15" s="57"/>
      <c r="E15" s="57"/>
      <c r="F15" s="57"/>
      <c r="G15" s="57"/>
      <c r="H15" s="57"/>
      <c r="I15" s="57"/>
      <c r="J15" s="3"/>
      <c r="K15" s="57" t="s">
        <v>29</v>
      </c>
      <c r="L15" s="57"/>
      <c r="M15" s="57"/>
      <c r="N15" s="57"/>
      <c r="O15" s="57"/>
      <c r="P15" s="57"/>
      <c r="Q15" s="57"/>
      <c r="R15" s="57"/>
    </row>
    <row r="16" spans="1:18" ht="24" customHeight="1">
      <c r="A16" s="88" t="str">
        <f>IF(LEN(IF(Configurar!$U$10=0,"",IF(INDEX(Processos!$H$10:$H$509,Configurar!$U$10)="","Não informado",INDEX(Processos!$H$10:$H$509,Configurar!$U$10))))&gt;450,LEFT(SUBSTITUTE(SUBSTITUTE(IF(Configurar!$U$10=0,"",IF(INDEX(Processos!$H$10:$H$509,Configurar!$U$10)="","Não informado",INDEX(Processos!$H$10:$H$509,Configurar!$U$10))),CHAR(10)," "),CHAR(13)," "),450)&amp;" [...] Consulte o cadastro completo.",SUBSTITUTE(SUBSTITUTE(IF(Configurar!$U$10=0,"",IF(INDEX(Processos!$H$10:$H$509,Configurar!$U$10)="","Não informado",INDEX(Processos!$H$10:$H$509,Configurar!$U$10))),CHAR(10)," "),CHAR(13)," "))</f>
        <v>RAIMUNDO DIAS DA SILVA</v>
      </c>
      <c r="B16" s="88"/>
      <c r="C16" s="88"/>
      <c r="D16" s="88"/>
      <c r="E16" s="88"/>
      <c r="F16" s="88"/>
      <c r="G16" s="88"/>
      <c r="H16" s="88"/>
      <c r="I16" s="88"/>
      <c r="J16" s="3"/>
      <c r="K16" s="88" t="str">
        <f>IF(LEN(IF(Configurar!$U$10=0,"",IF(INDEX(Processos!$I$10:$I$509,Configurar!$U$10)="","Não informado",INDEX(Processos!$I$10:$I$509,Configurar!$U$10))))&gt;450,LEFT(SUBSTITUTE(SUBSTITUTE(IF(Configurar!$U$10=0,"",IF(INDEX(Processos!$I$10:$I$509,Configurar!$U$10)="","Não informado",INDEX(Processos!$I$10:$I$509,Configurar!$U$10))),CHAR(10)," "),CHAR(13)," "),450)&amp;" [...] Consulte o cadastro completo.",SUBSTITUTE(SUBSTITUTE(IF(Configurar!$U$10=0,"",IF(INDEX(Processos!$I$10:$I$509,Configurar!$U$10)="","Não informado",INDEX(Processos!$I$10:$I$509,Configurar!$U$10))),CHAR(10)," "),CHAR(13)," "))</f>
        <v>CONSÓRCIO INTEGRAL SPAVIAS TRAIL ALTA</v>
      </c>
      <c r="L16" s="88"/>
      <c r="M16" s="88"/>
      <c r="N16" s="88"/>
      <c r="O16" s="88"/>
      <c r="P16" s="88"/>
      <c r="Q16" s="88"/>
      <c r="R16" s="88"/>
    </row>
    <row r="17" spans="1:18" ht="24" customHeight="1">
      <c r="A17" s="88"/>
      <c r="B17" s="88"/>
      <c r="C17" s="88"/>
      <c r="D17" s="88"/>
      <c r="E17" s="88"/>
      <c r="F17" s="88"/>
      <c r="G17" s="88"/>
      <c r="H17" s="88"/>
      <c r="I17" s="88"/>
      <c r="J17" s="3"/>
      <c r="K17" s="88"/>
      <c r="L17" s="88"/>
      <c r="M17" s="88"/>
      <c r="N17" s="88"/>
      <c r="O17" s="88"/>
      <c r="P17" s="88"/>
      <c r="Q17" s="88"/>
      <c r="R17" s="88"/>
    </row>
    <row r="18" spans="1:18" ht="24" customHeight="1">
      <c r="A18" s="88"/>
      <c r="B18" s="88"/>
      <c r="C18" s="88"/>
      <c r="D18" s="88"/>
      <c r="E18" s="88"/>
      <c r="F18" s="88"/>
      <c r="G18" s="88"/>
      <c r="H18" s="88"/>
      <c r="I18" s="88"/>
      <c r="J18" s="3"/>
      <c r="K18" s="88"/>
      <c r="L18" s="88"/>
      <c r="M18" s="88"/>
      <c r="N18" s="88"/>
      <c r="O18" s="88"/>
      <c r="P18" s="88"/>
      <c r="Q18" s="88"/>
      <c r="R18" s="88"/>
    </row>
    <row r="19" spans="1:18" ht="24" customHeight="1">
      <c r="A19" s="3"/>
      <c r="B19" s="3"/>
      <c r="C19" s="3"/>
      <c r="D19" s="3"/>
      <c r="E19" s="3"/>
      <c r="F19" s="3"/>
      <c r="G19" s="3"/>
      <c r="H19" s="3"/>
      <c r="I19" s="3"/>
      <c r="J19" s="3"/>
      <c r="K19" s="3"/>
      <c r="L19" s="3"/>
      <c r="M19" s="3"/>
      <c r="N19" s="3"/>
      <c r="O19" s="3"/>
      <c r="P19" s="3"/>
      <c r="Q19" s="3"/>
      <c r="R19" s="3"/>
    </row>
    <row r="20" spans="1:18" ht="24" customHeight="1">
      <c r="A20" s="57" t="s">
        <v>30</v>
      </c>
      <c r="B20" s="57"/>
      <c r="C20" s="57"/>
      <c r="D20" s="57"/>
      <c r="E20" s="57"/>
      <c r="F20" s="57"/>
      <c r="G20" s="3"/>
      <c r="H20" s="57" t="s">
        <v>31</v>
      </c>
      <c r="I20" s="57"/>
      <c r="J20" s="57"/>
      <c r="K20" s="57"/>
      <c r="L20" s="57"/>
      <c r="M20" s="3"/>
      <c r="N20" s="89" t="s">
        <v>32</v>
      </c>
      <c r="O20" s="89"/>
      <c r="P20" s="89"/>
      <c r="Q20" s="89"/>
      <c r="R20" s="89"/>
    </row>
    <row r="21" spans="1:18" ht="24" customHeight="1">
      <c r="A21" s="88" t="str">
        <f>IF(Configurar!$U$10=0,"",INDEX(Processos!$G$10:$G$509,Configurar!$U$10)&amp;" / "&amp;INDEX(Processos!$B$10:$B$509,Configurar!$U$10))</f>
        <v>Trabalhista / Judicial</v>
      </c>
      <c r="B21" s="88"/>
      <c r="C21" s="88"/>
      <c r="D21" s="88"/>
      <c r="E21" s="88"/>
      <c r="F21" s="88"/>
      <c r="G21" s="3"/>
      <c r="H21" s="88" t="str">
        <f>IF(Configurar!$U$10=0,"",INDEX(Processos!$J$10:$J$509,Configurar!$U$10)&amp;" / "&amp;INDEX(Processos!$K$10:$K$509,Configurar!$U$10))</f>
        <v>VT de Estreito/MA / TRT 16ª Região (MA)</v>
      </c>
      <c r="I21" s="88"/>
      <c r="J21" s="88"/>
      <c r="K21" s="88"/>
      <c r="L21" s="88"/>
      <c r="M21" s="3"/>
      <c r="N21" s="90" t="str">
        <f>IF($C$6="","",IFERROR(IF(OR(INDEX(Origem!$AB$10:$AB$509,MATCH($C$6,Origem!$A$10:$A$509,0))="",INDEX(Origem!$AB$10:$AB$509,MATCH($C$6,Origem!$A$10:$A$509,0))="—"),"Sem classificação",INDEX(Origem!$AB$10:$AB$509,MATCH($C$6,Origem!$A$10:$A$509,0))&amp;CHAR(10)&amp;IF(INDEX(Origem!$AC$10:$AC$509,MATCH($C$6,Origem!$A$10:$A$509,0))="","Sem pontuação",INDEX(Origem!$AC$10:$AC$509,MATCH($C$6,Origem!$A$10:$A$509,0))&amp;" pontos")),"Sem classificação"))</f>
        <v>🔴 CRÍTICO
70 pontos</v>
      </c>
      <c r="O21" s="90"/>
      <c r="P21" s="90"/>
      <c r="Q21" s="90"/>
      <c r="R21" s="90"/>
    </row>
    <row r="22" spans="1:18" ht="24" customHeight="1">
      <c r="A22" s="88"/>
      <c r="B22" s="88"/>
      <c r="C22" s="88"/>
      <c r="D22" s="88"/>
      <c r="E22" s="88"/>
      <c r="F22" s="88"/>
      <c r="G22" s="3"/>
      <c r="H22" s="88"/>
      <c r="I22" s="88"/>
      <c r="J22" s="88"/>
      <c r="K22" s="88"/>
      <c r="L22" s="88"/>
      <c r="M22" s="3"/>
      <c r="N22" s="90"/>
      <c r="O22" s="90"/>
      <c r="P22" s="90"/>
      <c r="Q22" s="90"/>
      <c r="R22" s="90"/>
    </row>
    <row r="23" spans="1:18" ht="24" customHeight="1">
      <c r="A23" s="3"/>
      <c r="B23" s="3"/>
      <c r="C23" s="3"/>
      <c r="D23" s="3"/>
      <c r="E23" s="3"/>
      <c r="F23" s="3"/>
      <c r="G23" s="3"/>
      <c r="H23" s="3"/>
      <c r="I23" s="3"/>
      <c r="J23" s="3"/>
      <c r="K23" s="3"/>
      <c r="L23" s="3"/>
      <c r="M23" s="3"/>
      <c r="N23" s="3"/>
      <c r="O23" s="3"/>
      <c r="P23" s="3"/>
      <c r="Q23" s="3"/>
      <c r="R23" s="3"/>
    </row>
    <row r="24" spans="1:18" ht="24" customHeight="1">
      <c r="A24" s="57" t="s">
        <v>33</v>
      </c>
      <c r="B24" s="57"/>
      <c r="C24" s="57"/>
      <c r="D24" s="57"/>
      <c r="E24" s="57"/>
      <c r="F24" s="57"/>
      <c r="G24" s="57"/>
      <c r="H24" s="57"/>
      <c r="I24" s="57"/>
      <c r="J24" s="57"/>
      <c r="K24" s="57"/>
      <c r="L24" s="57"/>
      <c r="M24" s="57"/>
      <c r="N24" s="57"/>
      <c r="O24" s="57"/>
      <c r="P24" s="57"/>
      <c r="Q24" s="57"/>
      <c r="R24" s="57"/>
    </row>
    <row r="25" spans="1:18" ht="24" customHeight="1">
      <c r="A25" s="88" t="str">
        <f>IF(LEN(IF(Configurar!$U$10=0,"",IF(INDEX(Processos!$M$10:$M$509,Configurar!$U$10)="","Não informado",INDEX(Processos!$M$10:$M$509,Configurar!$U$10))))&gt;620,LEFT(IF(Configurar!$U$10=0,"",IF(INDEX(Processos!$M$10:$M$509,Configurar!$U$10)="","Não informado",INDEX(Processos!$M$10:$M$509,Configurar!$U$10))),620)&amp;" [...] Consulte o texto integral na base.",IF(Configurar!$U$10=0,"",IF(INDEX(Processos!$M$10:$M$509,Configurar!$U$10)="","Não informado",INDEX(Processos!$M$10:$M$509,Configurar!$U$10))))</f>
        <v>Trata-se de um processo trabalhista em que o reclamante alega ter laborado em jornada extraordinária habitual, sem o devido pagamento das horas extras.</v>
      </c>
      <c r="B25" s="88"/>
      <c r="C25" s="88"/>
      <c r="D25" s="88"/>
      <c r="E25" s="88"/>
      <c r="F25" s="88"/>
      <c r="G25" s="88"/>
      <c r="H25" s="88"/>
      <c r="I25" s="88"/>
      <c r="J25" s="88"/>
      <c r="K25" s="88"/>
      <c r="L25" s="88"/>
      <c r="M25" s="88"/>
      <c r="N25" s="88"/>
      <c r="O25" s="88"/>
      <c r="P25" s="88"/>
      <c r="Q25" s="88"/>
      <c r="R25" s="88"/>
    </row>
    <row r="26" spans="1:18" ht="24" customHeight="1">
      <c r="A26" s="88"/>
      <c r="B26" s="88"/>
      <c r="C26" s="88"/>
      <c r="D26" s="88"/>
      <c r="E26" s="88"/>
      <c r="F26" s="88"/>
      <c r="G26" s="88"/>
      <c r="H26" s="88"/>
      <c r="I26" s="88"/>
      <c r="J26" s="88"/>
      <c r="K26" s="88"/>
      <c r="L26" s="88"/>
      <c r="M26" s="88"/>
      <c r="N26" s="88"/>
      <c r="O26" s="88"/>
      <c r="P26" s="88"/>
      <c r="Q26" s="88"/>
      <c r="R26" s="88"/>
    </row>
    <row r="27" spans="1:18" ht="24" customHeight="1">
      <c r="A27" s="88"/>
      <c r="B27" s="88"/>
      <c r="C27" s="88"/>
      <c r="D27" s="88"/>
      <c r="E27" s="88"/>
      <c r="F27" s="88"/>
      <c r="G27" s="88"/>
      <c r="H27" s="88"/>
      <c r="I27" s="88"/>
      <c r="J27" s="88"/>
      <c r="K27" s="88"/>
      <c r="L27" s="88"/>
      <c r="M27" s="88"/>
      <c r="N27" s="88"/>
      <c r="O27" s="88"/>
      <c r="P27" s="88"/>
      <c r="Q27" s="88"/>
      <c r="R27" s="88"/>
    </row>
    <row r="28" spans="1:18" ht="24" customHeight="1">
      <c r="A28" s="3"/>
      <c r="B28" s="3"/>
      <c r="C28" s="3"/>
      <c r="D28" s="3"/>
      <c r="E28" s="3"/>
      <c r="F28" s="3"/>
      <c r="G28" s="3"/>
      <c r="H28" s="3"/>
      <c r="I28" s="3"/>
      <c r="J28" s="3"/>
      <c r="K28" s="3"/>
      <c r="L28" s="3"/>
      <c r="M28" s="3"/>
      <c r="N28" s="3"/>
      <c r="O28" s="3"/>
      <c r="P28" s="3"/>
      <c r="Q28" s="3"/>
      <c r="R28" s="3"/>
    </row>
    <row r="29" spans="1:18" ht="24" customHeight="1">
      <c r="A29" s="57" t="s">
        <v>34</v>
      </c>
      <c r="B29" s="57"/>
      <c r="C29" s="57"/>
      <c r="D29" s="57"/>
      <c r="E29" s="57"/>
      <c r="F29" s="57"/>
      <c r="G29" s="3"/>
      <c r="H29" s="57" t="s">
        <v>35</v>
      </c>
      <c r="I29" s="57"/>
      <c r="J29" s="57"/>
      <c r="K29" s="57"/>
      <c r="L29" s="57"/>
      <c r="M29" s="3"/>
      <c r="N29" s="57" t="s">
        <v>36</v>
      </c>
      <c r="O29" s="57"/>
      <c r="P29" s="57"/>
      <c r="Q29" s="57"/>
      <c r="R29" s="57"/>
    </row>
    <row r="30" spans="1:18" ht="24" customHeight="1">
      <c r="A30" s="91" t="str">
        <f>IF(Configurar!$U$10=0,"",IF(INDEX(Processos!$L$10:$L$509,Configurar!$U$10)="","Não informado",INDEX(Processos!$L$10:$L$509,Configurar!$U$10)))</f>
        <v>Não informado</v>
      </c>
      <c r="B30" s="88"/>
      <c r="C30" s="88"/>
      <c r="D30" s="88"/>
      <c r="E30" s="88"/>
      <c r="F30" s="88"/>
      <c r="G30" s="3"/>
      <c r="H30" s="91" t="str">
        <f>IF(Configurar!$U$10=0,"",IF(INDEX(Processos!$S$10:$S$509,Configurar!$U$10)="","Não informado",INDEX(Processos!$S$10:$S$509,Configurar!$U$10)))</f>
        <v>Não informado</v>
      </c>
      <c r="I30" s="88"/>
      <c r="J30" s="88"/>
      <c r="K30" s="88"/>
      <c r="L30" s="88"/>
      <c r="M30" s="3"/>
      <c r="N30" s="88" t="str">
        <f>IF(Configurar!$U$10=0,"",IF(INDEX(Processos!$N$10:$N$509,Configurar!$U$10)="","Prioridade não informada",INDEX(Processos!$N$10:$N$509,Configurar!$U$10))&amp;CHAR(10)&amp;"Bloqueio: "&amp;IF(INDEX(Processos!$O$10:$O$509,Configurar!$U$10)="","não informado",INDEX(Processos!$O$10:$O$509,Configurar!$U$10))&amp;" / Penhora: "&amp;IF(INDEX(Processos!$P$10:$P$509,Configurar!$U$10)="","não informada",INDEX(Processos!$P$10:$P$509,Configurar!$U$10)))</f>
        <v>Crítica
Bloqueio: não informado / Penhora: não informada</v>
      </c>
      <c r="O30" s="88"/>
      <c r="P30" s="88"/>
      <c r="Q30" s="88"/>
      <c r="R30" s="88"/>
    </row>
    <row r="31" spans="1:18" ht="24" customHeight="1">
      <c r="A31" s="88"/>
      <c r="B31" s="88"/>
      <c r="C31" s="88"/>
      <c r="D31" s="88"/>
      <c r="E31" s="88"/>
      <c r="F31" s="88"/>
      <c r="G31" s="3"/>
      <c r="H31" s="88"/>
      <c r="I31" s="88"/>
      <c r="J31" s="88"/>
      <c r="K31" s="88"/>
      <c r="L31" s="88"/>
      <c r="M31" s="3"/>
      <c r="N31" s="88"/>
      <c r="O31" s="88"/>
      <c r="P31" s="88"/>
      <c r="Q31" s="88"/>
      <c r="R31" s="88"/>
    </row>
    <row r="32" spans="1:18" ht="24" customHeight="1">
      <c r="A32" s="3"/>
      <c r="B32" s="3"/>
      <c r="C32" s="3"/>
      <c r="D32" s="3"/>
      <c r="E32" s="3"/>
      <c r="F32" s="3"/>
      <c r="G32" s="3"/>
      <c r="H32" s="3"/>
      <c r="I32" s="3"/>
      <c r="J32" s="3"/>
      <c r="K32" s="3"/>
      <c r="L32" s="3"/>
      <c r="M32" s="3"/>
      <c r="N32" s="3"/>
      <c r="O32" s="3"/>
      <c r="P32" s="3"/>
      <c r="Q32" s="3"/>
      <c r="R32" s="3"/>
    </row>
    <row r="33" spans="1:18" ht="24" customHeight="1">
      <c r="A33" s="63" t="s">
        <v>37</v>
      </c>
      <c r="B33" s="63"/>
      <c r="C33" s="63"/>
      <c r="D33" s="63"/>
      <c r="E33" s="63"/>
      <c r="F33" s="63"/>
      <c r="G33" s="63"/>
      <c r="H33" s="63"/>
      <c r="I33" s="63"/>
      <c r="J33" s="63"/>
      <c r="K33" s="63"/>
      <c r="L33" s="63"/>
      <c r="M33" s="63"/>
      <c r="N33" s="63"/>
      <c r="O33" s="63"/>
      <c r="P33" s="63"/>
      <c r="Q33" s="63"/>
      <c r="R33" s="63"/>
    </row>
    <row r="34" spans="1:18" ht="24" customHeight="1">
      <c r="A34" s="3"/>
      <c r="B34" s="3"/>
      <c r="C34" s="3"/>
      <c r="D34" s="3"/>
      <c r="E34" s="3"/>
      <c r="F34" s="3"/>
      <c r="G34" s="3"/>
      <c r="H34" s="3"/>
      <c r="I34" s="3"/>
      <c r="J34" s="3"/>
      <c r="K34" s="3"/>
      <c r="L34" s="3"/>
      <c r="M34" s="3"/>
      <c r="N34" s="3"/>
      <c r="O34" s="3"/>
      <c r="P34" s="3"/>
      <c r="Q34" s="3"/>
      <c r="R34" s="3"/>
    </row>
    <row r="35" spans="1:18" ht="24" customHeight="1">
      <c r="A35" s="57" t="s">
        <v>38</v>
      </c>
      <c r="B35" s="57"/>
      <c r="C35" s="57"/>
      <c r="D35" s="57"/>
      <c r="E35" s="57"/>
      <c r="F35" s="57"/>
      <c r="G35" s="57"/>
      <c r="H35" s="57"/>
      <c r="I35" s="57"/>
      <c r="J35" s="57"/>
      <c r="K35" s="57"/>
      <c r="L35" s="57"/>
      <c r="M35" s="57"/>
      <c r="N35" s="57"/>
      <c r="O35" s="57"/>
      <c r="P35" s="57"/>
      <c r="Q35" s="57"/>
      <c r="R35" s="57"/>
    </row>
    <row r="36" spans="1:18" ht="24" customHeight="1">
      <c r="A36" s="88" t="str">
        <f>IF(LEN(IF(Configurar!$U$10=0,"",IF(INDEX(Processos!$AC$10:$AC$509,Configurar!$U$10)="","Não informado",INDEX(Processos!$AC$10:$AC$509,Configurar!$U$10))))&gt;650,LEFT(IF(Configurar!$U$10=0,"",IF(INDEX(Processos!$AC$10:$AC$509,Configurar!$U$10)="","Não informado",INDEX(Processos!$AC$10:$AC$509,Configurar!$U$10))),650)&amp;" [...] Consulte o texto integral na base.",IF(Configurar!$U$10=0,"",IF(INDEX(Processos!$AC$10:$AC$509,Configurar!$U$10)="","Não informado",INDEX(Processos!$AC$10:$AC$509,Configurar!$U$10))))</f>
        <v>07/0/2023 - Remetido os autos para TST para processar recurso. [...] histórico completo em Observações</v>
      </c>
      <c r="B36" s="88"/>
      <c r="C36" s="88"/>
      <c r="D36" s="88"/>
      <c r="E36" s="88"/>
      <c r="F36" s="88"/>
      <c r="G36" s="88"/>
      <c r="H36" s="88"/>
      <c r="I36" s="88"/>
      <c r="J36" s="88"/>
      <c r="K36" s="88"/>
      <c r="L36" s="88"/>
      <c r="M36" s="88"/>
      <c r="N36" s="88"/>
      <c r="O36" s="88"/>
      <c r="P36" s="88"/>
      <c r="Q36" s="88"/>
      <c r="R36" s="88"/>
    </row>
    <row r="37" spans="1:18" ht="24" customHeight="1">
      <c r="A37" s="88"/>
      <c r="B37" s="88"/>
      <c r="C37" s="88"/>
      <c r="D37" s="88"/>
      <c r="E37" s="88"/>
      <c r="F37" s="88"/>
      <c r="G37" s="88"/>
      <c r="H37" s="88"/>
      <c r="I37" s="88"/>
      <c r="J37" s="88"/>
      <c r="K37" s="88"/>
      <c r="L37" s="88"/>
      <c r="M37" s="88"/>
      <c r="N37" s="88"/>
      <c r="O37" s="88"/>
      <c r="P37" s="88"/>
      <c r="Q37" s="88"/>
      <c r="R37" s="88"/>
    </row>
    <row r="38" spans="1:18" ht="24" customHeight="1">
      <c r="A38" s="88"/>
      <c r="B38" s="88"/>
      <c r="C38" s="88"/>
      <c r="D38" s="88"/>
      <c r="E38" s="88"/>
      <c r="F38" s="88"/>
      <c r="G38" s="88"/>
      <c r="H38" s="88"/>
      <c r="I38" s="88"/>
      <c r="J38" s="88"/>
      <c r="K38" s="88"/>
      <c r="L38" s="88"/>
      <c r="M38" s="88"/>
      <c r="N38" s="88"/>
      <c r="O38" s="88"/>
      <c r="P38" s="88"/>
      <c r="Q38" s="88"/>
      <c r="R38" s="88"/>
    </row>
    <row r="39" spans="1:18" ht="24" customHeight="1">
      <c r="A39" s="3"/>
      <c r="B39" s="3"/>
      <c r="C39" s="3"/>
      <c r="D39" s="3"/>
      <c r="E39" s="3"/>
      <c r="F39" s="3"/>
      <c r="G39" s="3"/>
      <c r="H39" s="3"/>
      <c r="I39" s="3"/>
      <c r="J39" s="3"/>
      <c r="K39" s="3"/>
      <c r="L39" s="3"/>
      <c r="M39" s="3"/>
      <c r="N39" s="3"/>
      <c r="O39" s="3"/>
      <c r="P39" s="3"/>
      <c r="Q39" s="3"/>
      <c r="R39" s="3"/>
    </row>
    <row r="40" spans="1:18" ht="24" customHeight="1">
      <c r="A40" s="57" t="s">
        <v>39</v>
      </c>
      <c r="B40" s="57"/>
      <c r="C40" s="57"/>
      <c r="D40" s="57"/>
      <c r="E40" s="57"/>
      <c r="F40" s="57"/>
      <c r="G40" s="3"/>
      <c r="H40" s="57" t="s">
        <v>40</v>
      </c>
      <c r="I40" s="57"/>
      <c r="J40" s="57"/>
      <c r="K40" s="57"/>
      <c r="L40" s="57"/>
      <c r="M40" s="3"/>
      <c r="N40" s="61"/>
      <c r="O40" s="61"/>
      <c r="P40" s="61"/>
      <c r="Q40" s="61"/>
      <c r="R40" s="61"/>
    </row>
    <row r="41" spans="1:18" ht="24" customHeight="1">
      <c r="A41" s="91" t="str">
        <f>IF(Configurar!$U$10=0,"",IF(INDEX(Processos!$AP$10:$AP$509,Configurar!$U$10)="","Não informado",INDEX(Processos!$AP$10:$AP$509,Configurar!$U$10)))</f>
        <v>Não informado</v>
      </c>
      <c r="B41" s="88"/>
      <c r="C41" s="88"/>
      <c r="D41" s="88"/>
      <c r="E41" s="88"/>
      <c r="F41" s="88"/>
      <c r="G41" s="3"/>
      <c r="H41" s="92">
        <f>IF(Configurar!$U$10=0,"",IF(INDEX(Processos!$Z$10:$Z$509,Configurar!$U$10)="","Não informado",INDEX(Processos!$Z$10:$Z$509,Configurar!$U$10)))</f>
        <v>46055</v>
      </c>
      <c r="I41" s="88"/>
      <c r="J41" s="88"/>
      <c r="K41" s="88"/>
      <c r="L41" s="88"/>
      <c r="M41" s="3"/>
      <c r="N41" s="61"/>
      <c r="O41" s="61"/>
      <c r="P41" s="61"/>
      <c r="Q41" s="61"/>
      <c r="R41" s="61"/>
    </row>
    <row r="42" spans="1:18" ht="24" customHeight="1">
      <c r="A42" s="88"/>
      <c r="B42" s="88"/>
      <c r="C42" s="88"/>
      <c r="D42" s="88"/>
      <c r="E42" s="88"/>
      <c r="F42" s="88"/>
      <c r="G42" s="3"/>
      <c r="H42" s="88"/>
      <c r="I42" s="88"/>
      <c r="J42" s="88"/>
      <c r="K42" s="88"/>
      <c r="L42" s="88"/>
      <c r="M42" s="3"/>
      <c r="N42" s="61"/>
      <c r="O42" s="61"/>
      <c r="P42" s="61"/>
      <c r="Q42" s="61"/>
      <c r="R42" s="61"/>
    </row>
    <row r="43" spans="1:18" ht="24" customHeight="1">
      <c r="A43" s="3"/>
      <c r="B43" s="3"/>
      <c r="C43" s="3"/>
      <c r="D43" s="3"/>
      <c r="E43" s="3"/>
      <c r="F43" s="3"/>
      <c r="G43" s="3"/>
      <c r="H43" s="3"/>
      <c r="I43" s="3"/>
      <c r="J43" s="3"/>
      <c r="K43" s="3"/>
      <c r="L43" s="3"/>
      <c r="M43" s="3"/>
      <c r="N43" s="3"/>
      <c r="O43" s="3"/>
      <c r="P43" s="3"/>
      <c r="Q43" s="3"/>
      <c r="R43" s="3"/>
    </row>
    <row r="44" spans="1:18" ht="15" hidden="1" customHeight="1">
      <c r="A44" s="61"/>
      <c r="B44" s="61"/>
      <c r="C44" s="61"/>
      <c r="D44" s="61"/>
      <c r="E44" s="61"/>
      <c r="F44" s="61"/>
      <c r="G44" s="61"/>
      <c r="H44" s="61"/>
      <c r="I44" s="61"/>
      <c r="J44" s="61"/>
      <c r="K44" s="61"/>
      <c r="L44" s="61"/>
      <c r="N44" s="61"/>
      <c r="O44" s="61"/>
      <c r="P44" s="61"/>
      <c r="Q44" s="61"/>
      <c r="R44" s="61"/>
    </row>
    <row r="45" spans="1:18" ht="15" hidden="1" customHeight="1">
      <c r="A45" s="61"/>
      <c r="B45" s="61"/>
      <c r="C45" s="61"/>
      <c r="D45" s="61"/>
      <c r="E45" s="61"/>
      <c r="F45" s="61"/>
      <c r="G45" s="61"/>
      <c r="H45" s="61"/>
      <c r="I45" s="61"/>
      <c r="J45" s="61"/>
      <c r="K45" s="61"/>
      <c r="L45" s="61"/>
      <c r="N45" s="61"/>
      <c r="O45" s="61"/>
      <c r="P45" s="61"/>
      <c r="Q45" s="61"/>
      <c r="R45" s="61"/>
    </row>
    <row r="46" spans="1:18" ht="15" hidden="1" customHeight="1">
      <c r="A46" s="61"/>
      <c r="B46" s="61"/>
      <c r="C46" s="61"/>
      <c r="D46" s="61"/>
      <c r="E46" s="61"/>
      <c r="F46" s="61"/>
      <c r="G46" s="61"/>
      <c r="H46" s="61"/>
      <c r="I46" s="61"/>
      <c r="J46" s="61"/>
      <c r="K46" s="61"/>
      <c r="L46" s="61"/>
      <c r="N46" s="61"/>
      <c r="O46" s="61"/>
      <c r="P46" s="61"/>
      <c r="Q46" s="61"/>
      <c r="R46" s="61"/>
    </row>
    <row r="47" spans="1:18" ht="15" hidden="1" customHeight="1">
      <c r="A47" s="61"/>
      <c r="B47" s="61"/>
      <c r="C47" s="61"/>
      <c r="D47" s="61"/>
      <c r="E47" s="61"/>
      <c r="F47" s="61"/>
      <c r="G47" s="61"/>
      <c r="H47" s="61"/>
      <c r="I47" s="61"/>
      <c r="J47" s="61"/>
      <c r="K47" s="61"/>
      <c r="L47" s="61"/>
      <c r="N47" s="61"/>
      <c r="O47" s="61"/>
      <c r="P47" s="61"/>
      <c r="Q47" s="61"/>
      <c r="R47" s="61"/>
    </row>
    <row r="48" spans="1:18" ht="24" customHeight="1">
      <c r="A48" s="3"/>
      <c r="B48" s="3"/>
      <c r="C48" s="3"/>
      <c r="D48" s="3"/>
      <c r="E48" s="3"/>
      <c r="F48" s="3"/>
      <c r="G48" s="3"/>
      <c r="H48" s="3"/>
      <c r="I48" s="3"/>
      <c r="J48" s="3"/>
      <c r="K48" s="3"/>
      <c r="L48" s="3"/>
      <c r="M48" s="3"/>
      <c r="N48" s="3"/>
      <c r="O48" s="3"/>
      <c r="P48" s="3"/>
      <c r="Q48" s="3"/>
      <c r="R48" s="3"/>
    </row>
    <row r="49" spans="1:18" ht="24" customHeight="1">
      <c r="A49" s="63" t="s">
        <v>41</v>
      </c>
      <c r="B49" s="63"/>
      <c r="C49" s="63"/>
      <c r="D49" s="63"/>
      <c r="E49" s="63"/>
      <c r="F49" s="63"/>
      <c r="G49" s="63"/>
      <c r="H49" s="63"/>
      <c r="I49" s="63"/>
      <c r="J49" s="63"/>
      <c r="K49" s="63"/>
      <c r="L49" s="63"/>
      <c r="M49" s="63"/>
      <c r="N49" s="63"/>
      <c r="O49" s="63"/>
      <c r="P49" s="63"/>
      <c r="Q49" s="63"/>
      <c r="R49" s="63"/>
    </row>
    <row r="50" spans="1:18" ht="24" customHeight="1">
      <c r="A50" s="3"/>
      <c r="B50" s="3"/>
      <c r="C50" s="3"/>
      <c r="D50" s="3"/>
      <c r="E50" s="3"/>
      <c r="F50" s="3"/>
      <c r="G50" s="3"/>
      <c r="H50" s="3"/>
      <c r="I50" s="3"/>
      <c r="J50" s="3"/>
      <c r="K50" s="3"/>
      <c r="L50" s="3"/>
      <c r="M50" s="3"/>
      <c r="N50" s="3"/>
      <c r="O50" s="3"/>
      <c r="P50" s="3"/>
      <c r="Q50" s="3"/>
      <c r="R50" s="3"/>
    </row>
    <row r="51" spans="1:18" ht="24" customHeight="1">
      <c r="A51" s="57" t="s">
        <v>42</v>
      </c>
      <c r="B51" s="57"/>
      <c r="C51" s="57"/>
      <c r="D51" s="57"/>
      <c r="E51" s="57"/>
      <c r="F51" s="57"/>
      <c r="G51" s="3"/>
      <c r="H51" s="57" t="s">
        <v>43</v>
      </c>
      <c r="I51" s="57"/>
      <c r="J51" s="57"/>
      <c r="K51" s="57"/>
      <c r="L51" s="57"/>
      <c r="M51" s="3"/>
      <c r="N51" s="57" t="s">
        <v>44</v>
      </c>
      <c r="O51" s="57"/>
      <c r="P51" s="57"/>
      <c r="Q51" s="57"/>
      <c r="R51" s="57"/>
    </row>
    <row r="52" spans="1:18" ht="24" customHeight="1">
      <c r="A52" s="93">
        <f>IF(Configurar!$U$10=0,"",IF(Configurar!$U$11=0,"Não informado",IF(INDEX(Valores!$B$10:$B$509,Configurar!$U$11)="","Não informado",INDEX(Valores!$B$10:$B$509,Configurar!$U$11))))</f>
        <v>119383.18</v>
      </c>
      <c r="B52" s="88"/>
      <c r="C52" s="88"/>
      <c r="D52" s="88"/>
      <c r="E52" s="88"/>
      <c r="F52" s="88"/>
      <c r="G52" s="3"/>
      <c r="H52" s="93">
        <f>IF(Configurar!$U$10=0,"",IF(Configurar!$U$11=0,"Não informado",IF(INDEX(Valores!$C$10:$C$509,Configurar!$U$11)="","Não informado",INDEX(Valores!$C$10:$C$509,Configurar!$U$11))))</f>
        <v>108062.21</v>
      </c>
      <c r="I52" s="88"/>
      <c r="J52" s="88"/>
      <c r="K52" s="88"/>
      <c r="L52" s="88"/>
      <c r="M52" s="3"/>
      <c r="N52" s="94" t="str">
        <f>IF(Configurar!$U$10=0,"",IF(Configurar!$U$11=0,"Não informado",IF(INDEX(Valores!$H$10:$H$509,Configurar!$U$11)="","Não informado",INDEX(Valores!$H$10:$H$509,Configurar!$U$11))))</f>
        <v>Não informado</v>
      </c>
      <c r="O52" s="88"/>
      <c r="P52" s="88"/>
      <c r="Q52" s="88"/>
      <c r="R52" s="88"/>
    </row>
    <row r="53" spans="1:18" ht="24" customHeight="1">
      <c r="A53" s="88"/>
      <c r="B53" s="88"/>
      <c r="C53" s="88"/>
      <c r="D53" s="88"/>
      <c r="E53" s="88"/>
      <c r="F53" s="88"/>
      <c r="G53" s="3"/>
      <c r="H53" s="88"/>
      <c r="I53" s="88"/>
      <c r="J53" s="88"/>
      <c r="K53" s="88"/>
      <c r="L53" s="88"/>
      <c r="M53" s="3"/>
      <c r="N53" s="88"/>
      <c r="O53" s="88"/>
      <c r="P53" s="88"/>
      <c r="Q53" s="88"/>
      <c r="R53" s="88"/>
    </row>
    <row r="54" spans="1:18" ht="24" customHeight="1">
      <c r="A54" s="3"/>
      <c r="B54" s="3"/>
      <c r="C54" s="3"/>
      <c r="D54" s="3"/>
      <c r="E54" s="3"/>
      <c r="F54" s="3"/>
      <c r="G54" s="3"/>
      <c r="H54" s="3"/>
      <c r="I54" s="3"/>
      <c r="J54" s="3"/>
      <c r="K54" s="3"/>
      <c r="L54" s="3"/>
      <c r="M54" s="3"/>
      <c r="N54" s="3"/>
      <c r="O54" s="3"/>
      <c r="P54" s="3"/>
      <c r="Q54" s="3"/>
      <c r="R54" s="3"/>
    </row>
    <row r="55" spans="1:18" ht="24" customHeight="1">
      <c r="A55" s="57" t="s">
        <v>45</v>
      </c>
      <c r="B55" s="57"/>
      <c r="C55" s="57"/>
      <c r="D55" s="57"/>
      <c r="E55" s="57"/>
      <c r="F55" s="57"/>
      <c r="G55" s="3"/>
      <c r="H55" s="57" t="s">
        <v>46</v>
      </c>
      <c r="I55" s="57"/>
      <c r="J55" s="57"/>
      <c r="K55" s="57"/>
      <c r="L55" s="57"/>
      <c r="M55" s="3"/>
      <c r="N55" s="61"/>
      <c r="O55" s="61"/>
      <c r="P55" s="61"/>
      <c r="Q55" s="61"/>
      <c r="R55" s="61"/>
    </row>
    <row r="56" spans="1:18" ht="24" customHeight="1">
      <c r="A56" s="93" t="str">
        <f>IF(Configurar!$U$10=0,"",IF(Configurar!$U$11=0,"Não informado",IF(INDEX(Valores!$D$10:$D$509,Configurar!$U$11)="","Não informado",INDEX(Valores!$D$10:$D$509,Configurar!$U$11))))</f>
        <v>Não informado</v>
      </c>
      <c r="B56" s="88"/>
      <c r="C56" s="88"/>
      <c r="D56" s="88"/>
      <c r="E56" s="88"/>
      <c r="F56" s="88"/>
      <c r="G56" s="3"/>
      <c r="H56" s="93" t="str">
        <f>IF(Configurar!$U$10=0,"",IF(Configurar!$U$11=0,"Não informado",IF(INDEX(Valores!$E$10:$E$509,Configurar!$U$11)="","Não informado",INDEX(Valores!$E$10:$E$509,Configurar!$U$11))))</f>
        <v>Não informado</v>
      </c>
      <c r="I56" s="88"/>
      <c r="J56" s="88"/>
      <c r="K56" s="88"/>
      <c r="L56" s="88"/>
      <c r="M56" s="3"/>
      <c r="N56" s="61"/>
      <c r="O56" s="61"/>
      <c r="P56" s="61"/>
      <c r="Q56" s="61"/>
      <c r="R56" s="61"/>
    </row>
    <row r="57" spans="1:18" ht="24" customHeight="1">
      <c r="A57" s="88"/>
      <c r="B57" s="88"/>
      <c r="C57" s="88"/>
      <c r="D57" s="88"/>
      <c r="E57" s="88"/>
      <c r="F57" s="88"/>
      <c r="G57" s="3"/>
      <c r="H57" s="88"/>
      <c r="I57" s="88"/>
      <c r="J57" s="88"/>
      <c r="K57" s="88"/>
      <c r="L57" s="88"/>
      <c r="M57" s="3"/>
      <c r="N57" s="61"/>
      <c r="O57" s="61"/>
      <c r="P57" s="61"/>
      <c r="Q57" s="61"/>
      <c r="R57" s="61"/>
    </row>
    <row r="58" spans="1:18" ht="24" customHeight="1">
      <c r="A58" s="3"/>
      <c r="B58" s="3"/>
      <c r="C58" s="3"/>
      <c r="D58" s="3"/>
      <c r="E58" s="3"/>
      <c r="F58" s="3"/>
      <c r="G58" s="3"/>
      <c r="H58" s="3"/>
      <c r="I58" s="3"/>
      <c r="J58" s="3"/>
      <c r="K58" s="3"/>
      <c r="L58" s="3"/>
      <c r="M58" s="3"/>
      <c r="N58" s="3"/>
      <c r="O58" s="3"/>
      <c r="P58" s="3"/>
      <c r="Q58" s="3"/>
      <c r="R58" s="3"/>
    </row>
    <row r="59" spans="1:18" ht="24" customHeight="1">
      <c r="A59" s="57" t="s">
        <v>47</v>
      </c>
      <c r="B59" s="57"/>
      <c r="C59" s="57"/>
      <c r="D59" s="57"/>
      <c r="E59" s="57"/>
      <c r="F59" s="57"/>
      <c r="G59" s="3"/>
      <c r="H59" s="57" t="s">
        <v>48</v>
      </c>
      <c r="I59" s="57"/>
      <c r="J59" s="57"/>
      <c r="K59" s="57"/>
      <c r="L59" s="57"/>
      <c r="M59" s="3"/>
      <c r="N59" s="57" t="s">
        <v>49</v>
      </c>
      <c r="O59" s="57"/>
      <c r="P59" s="57"/>
      <c r="Q59" s="57"/>
      <c r="R59" s="57"/>
    </row>
    <row r="60" spans="1:18" ht="24" customHeight="1">
      <c r="A60" s="93" t="str">
        <f>IF(Configurar!$U$10=0,"",IF(Configurar!$U$11=0,"Não informado",IF(INDEX(Valores!$G$10:$G$509,Configurar!$U$11)="","Não informado",INDEX(Valores!$G$10:$G$509,Configurar!$U$11))))</f>
        <v>Não informado</v>
      </c>
      <c r="B60" s="88"/>
      <c r="C60" s="88"/>
      <c r="D60" s="88"/>
      <c r="E60" s="88"/>
      <c r="F60" s="88"/>
      <c r="G60" s="3"/>
      <c r="H60" s="91" t="str">
        <f>IF(Configurar!$U$10=0,"",IF(Configurar!$U$11=0,"Não informado",IF(INDEX(Valores!$J$10:$J$509,Configurar!$U$11)="","Não informado",INDEX(Valores!$J$10:$J$509,Configurar!$U$11))))</f>
        <v>Não informado</v>
      </c>
      <c r="I60" s="88"/>
      <c r="J60" s="88"/>
      <c r="K60" s="88"/>
      <c r="L60" s="88"/>
      <c r="M60" s="3"/>
      <c r="N60" s="88" t="str">
        <f ca="1">IF(Configurar!$U$10=0,"",IF(INDEX(Processos!$AD$10:$AD$509,Configurar!$U$10)=1,"Sim","Não"))</f>
        <v>Sim</v>
      </c>
      <c r="O60" s="88"/>
      <c r="P60" s="88"/>
      <c r="Q60" s="88"/>
      <c r="R60" s="88"/>
    </row>
    <row r="61" spans="1:18" ht="24" customHeight="1">
      <c r="A61" s="88"/>
      <c r="B61" s="88"/>
      <c r="C61" s="88"/>
      <c r="D61" s="88"/>
      <c r="E61" s="88"/>
      <c r="F61" s="88"/>
      <c r="G61" s="3"/>
      <c r="H61" s="88"/>
      <c r="I61" s="88"/>
      <c r="J61" s="88"/>
      <c r="K61" s="88"/>
      <c r="L61" s="88"/>
      <c r="M61" s="3"/>
      <c r="N61" s="88"/>
      <c r="O61" s="88"/>
      <c r="P61" s="88"/>
      <c r="Q61" s="88"/>
      <c r="R61" s="88"/>
    </row>
    <row r="62" spans="1:18" ht="24" customHeight="1">
      <c r="A62" s="3"/>
      <c r="B62" s="3"/>
      <c r="C62" s="3"/>
      <c r="D62" s="3"/>
      <c r="E62" s="3"/>
      <c r="F62" s="3"/>
      <c r="G62" s="3"/>
      <c r="H62" s="3"/>
      <c r="I62" s="3"/>
      <c r="J62" s="3"/>
      <c r="K62" s="3"/>
      <c r="L62" s="3"/>
      <c r="M62" s="3"/>
      <c r="N62" s="3"/>
      <c r="O62" s="3"/>
      <c r="P62" s="3"/>
      <c r="Q62" s="3"/>
      <c r="R62" s="3"/>
    </row>
    <row r="63" spans="1:18" ht="15" hidden="1" customHeight="1">
      <c r="A63" s="61"/>
      <c r="B63" s="61"/>
      <c r="C63" s="61"/>
      <c r="D63" s="61"/>
      <c r="E63" s="61"/>
      <c r="F63" s="61"/>
      <c r="G63" s="61"/>
      <c r="H63" s="61"/>
      <c r="I63" s="61"/>
      <c r="J63" s="61"/>
      <c r="K63" s="61"/>
      <c r="L63" s="61"/>
      <c r="M63" s="61"/>
      <c r="N63" s="61"/>
      <c r="O63" s="61"/>
      <c r="P63" s="61"/>
      <c r="Q63" s="61"/>
      <c r="R63" s="61"/>
    </row>
    <row r="64" spans="1:18" ht="15" hidden="1" customHeight="1">
      <c r="A64" s="61"/>
      <c r="B64" s="61"/>
      <c r="C64" s="61"/>
      <c r="D64" s="61"/>
      <c r="E64" s="61"/>
      <c r="F64" s="61"/>
      <c r="G64" s="61"/>
      <c r="H64" s="61"/>
      <c r="I64" s="61"/>
      <c r="J64" s="61"/>
      <c r="K64" s="61"/>
      <c r="L64" s="61"/>
      <c r="M64" s="61"/>
      <c r="N64" s="61"/>
      <c r="O64" s="61"/>
      <c r="P64" s="61"/>
      <c r="Q64" s="61"/>
      <c r="R64" s="61"/>
    </row>
    <row r="65" spans="1:18" ht="15" hidden="1" customHeight="1">
      <c r="A65" s="61"/>
      <c r="B65" s="61"/>
      <c r="C65" s="61"/>
      <c r="D65" s="61"/>
      <c r="E65" s="61"/>
      <c r="F65" s="61"/>
      <c r="G65" s="61"/>
      <c r="H65" s="61"/>
      <c r="I65" s="61"/>
      <c r="J65" s="61"/>
      <c r="K65" s="61"/>
      <c r="L65" s="61"/>
      <c r="M65" s="61"/>
      <c r="N65" s="61"/>
      <c r="O65" s="61"/>
      <c r="P65" s="61"/>
      <c r="Q65" s="61"/>
      <c r="R65" s="61"/>
    </row>
    <row r="66" spans="1:18" ht="15" hidden="1" customHeight="1">
      <c r="A66" s="61"/>
      <c r="B66" s="61"/>
      <c r="C66" s="61"/>
      <c r="D66" s="61"/>
      <c r="E66" s="61"/>
      <c r="F66" s="61"/>
      <c r="G66" s="61"/>
      <c r="H66" s="61"/>
      <c r="I66" s="61"/>
      <c r="J66" s="61"/>
      <c r="K66" s="61"/>
      <c r="L66" s="61"/>
      <c r="M66" s="61"/>
      <c r="N66" s="61"/>
      <c r="O66" s="61"/>
      <c r="P66" s="61"/>
      <c r="Q66" s="61"/>
      <c r="R66" s="61"/>
    </row>
    <row r="67" spans="1:18" ht="24" customHeight="1">
      <c r="A67" s="3"/>
      <c r="B67" s="3"/>
      <c r="C67" s="3"/>
      <c r="D67" s="3"/>
      <c r="E67" s="3"/>
      <c r="F67" s="3"/>
      <c r="G67" s="3"/>
      <c r="H67" s="3"/>
      <c r="I67" s="3"/>
      <c r="J67" s="3"/>
      <c r="K67" s="3"/>
      <c r="L67" s="3"/>
      <c r="M67" s="3"/>
      <c r="N67" s="3"/>
      <c r="O67" s="3"/>
      <c r="P67" s="3"/>
      <c r="Q67" s="3"/>
      <c r="R67" s="3"/>
    </row>
    <row r="68" spans="1:18" ht="24" customHeight="1">
      <c r="A68" s="57" t="s">
        <v>50</v>
      </c>
      <c r="B68" s="57"/>
      <c r="C68" s="57"/>
      <c r="D68" s="57"/>
      <c r="E68" s="57"/>
      <c r="F68" s="57"/>
      <c r="G68" s="57"/>
      <c r="H68" s="57"/>
      <c r="I68" s="57"/>
      <c r="J68" s="57"/>
      <c r="K68" s="57"/>
      <c r="L68" s="57"/>
      <c r="M68" s="57"/>
      <c r="N68" s="57"/>
      <c r="O68" s="57"/>
      <c r="P68" s="57"/>
      <c r="Q68" s="57"/>
      <c r="R68" s="57"/>
    </row>
    <row r="69" spans="1:18" ht="24" customHeight="1">
      <c r="A69" s="88" t="str">
        <f>IF(LEN(IF(Configurar!$U$10=0,"",IF(INDEX(Processos!$U$10:$U$509,Configurar!$U$10)="","Sem observações adicionais",INDEX(Processos!$U$10:$U$509,Configurar!$U$10))))&gt;900,LEFT(IF(Configurar!$U$10=0,"",IF(INDEX(Processos!$U$10:$U$509,Configurar!$U$10)="","Sem observações adicionais",INDEX(Processos!$U$10:$U$509,Configurar!$U$10))),900)&amp;" [...] Consulte o texto integral na base.",IF(Configurar!$U$10=0,"",IF(INDEX(Processos!$U$10:$U$509,Configurar!$U$10)="","Sem observações adicionais",INDEX(Processos!$U$10:$U$509,Configurar!$U$10))))</f>
        <v>Origem: BMM!54 | ID BMM-050 | Situação original: Ativo | Fase: Execução | Probabilidade de perda original: Provável | Avaliação original: PROVÁVEL INCLUSÃO POR IDPJ | Contrato: RDC 6 | Última atualização informada: 2026-02-02</v>
      </c>
      <c r="B69" s="88"/>
      <c r="C69" s="88"/>
      <c r="D69" s="88"/>
      <c r="E69" s="88"/>
      <c r="F69" s="88"/>
      <c r="G69" s="88"/>
      <c r="H69" s="88"/>
      <c r="I69" s="88"/>
      <c r="J69" s="88"/>
      <c r="K69" s="88"/>
      <c r="L69" s="88"/>
      <c r="M69" s="88"/>
      <c r="N69" s="88"/>
      <c r="O69" s="88"/>
      <c r="P69" s="88"/>
      <c r="Q69" s="88"/>
      <c r="R69" s="88"/>
    </row>
    <row r="70" spans="1:18" ht="24" customHeight="1">
      <c r="A70" s="88"/>
      <c r="B70" s="88"/>
      <c r="C70" s="88"/>
      <c r="D70" s="88"/>
      <c r="E70" s="88"/>
      <c r="F70" s="88"/>
      <c r="G70" s="88"/>
      <c r="H70" s="88"/>
      <c r="I70" s="88"/>
      <c r="J70" s="88"/>
      <c r="K70" s="88"/>
      <c r="L70" s="88"/>
      <c r="M70" s="88"/>
      <c r="N70" s="88"/>
      <c r="O70" s="88"/>
      <c r="P70" s="88"/>
      <c r="Q70" s="88"/>
      <c r="R70" s="88"/>
    </row>
    <row r="71" spans="1:18" ht="24" customHeight="1">
      <c r="A71" s="88"/>
      <c r="B71" s="88"/>
      <c r="C71" s="88"/>
      <c r="D71" s="88"/>
      <c r="E71" s="88"/>
      <c r="F71" s="88"/>
      <c r="G71" s="88"/>
      <c r="H71" s="88"/>
      <c r="I71" s="88"/>
      <c r="J71" s="88"/>
      <c r="K71" s="88"/>
      <c r="L71" s="88"/>
      <c r="M71" s="88"/>
      <c r="N71" s="88"/>
      <c r="O71" s="88"/>
      <c r="P71" s="88"/>
      <c r="Q71" s="88"/>
      <c r="R71" s="88"/>
    </row>
    <row r="72" spans="1:18" ht="24" customHeight="1">
      <c r="A72" s="3"/>
      <c r="B72" s="3"/>
      <c r="C72" s="3"/>
      <c r="D72" s="3"/>
      <c r="E72" s="3"/>
      <c r="F72" s="3"/>
      <c r="G72" s="3"/>
      <c r="H72" s="3"/>
      <c r="I72" s="3"/>
      <c r="J72" s="3"/>
      <c r="K72" s="3"/>
      <c r="L72" s="3"/>
      <c r="M72" s="3"/>
      <c r="N72" s="3"/>
      <c r="O72" s="3"/>
      <c r="P72" s="3"/>
      <c r="Q72" s="3"/>
      <c r="R72" s="3"/>
    </row>
    <row r="73" spans="1:18" ht="24" customHeight="1">
      <c r="A73" s="95" t="s">
        <v>51</v>
      </c>
      <c r="B73" s="95"/>
      <c r="C73" s="95"/>
      <c r="D73" s="95"/>
      <c r="E73" s="95"/>
      <c r="F73" s="95"/>
      <c r="G73" s="95"/>
      <c r="H73" s="95"/>
      <c r="I73" s="95"/>
      <c r="J73" s="95"/>
      <c r="K73" s="95"/>
      <c r="L73" s="95"/>
      <c r="M73" s="95"/>
      <c r="N73" s="95"/>
      <c r="O73" s="95"/>
      <c r="P73" s="95"/>
      <c r="Q73" s="95"/>
      <c r="R73" s="95"/>
    </row>
    <row r="74" spans="1:18" ht="24" customHeight="1">
      <c r="A74" s="95"/>
      <c r="B74" s="95"/>
      <c r="C74" s="95"/>
      <c r="D74" s="95"/>
      <c r="E74" s="95"/>
      <c r="F74" s="95"/>
      <c r="G74" s="95"/>
      <c r="H74" s="95"/>
      <c r="I74" s="95"/>
      <c r="J74" s="95"/>
      <c r="K74" s="95"/>
      <c r="L74" s="95"/>
      <c r="M74" s="95"/>
      <c r="N74" s="95"/>
      <c r="O74" s="95"/>
      <c r="P74" s="95"/>
      <c r="Q74" s="95"/>
      <c r="R74" s="95"/>
    </row>
    <row r="75" spans="1:18" ht="24" customHeight="1">
      <c r="A75" s="3"/>
      <c r="B75" s="3"/>
      <c r="C75" s="3"/>
      <c r="D75" s="3"/>
      <c r="E75" s="3"/>
      <c r="F75" s="3"/>
      <c r="G75" s="3"/>
      <c r="H75" s="3"/>
      <c r="I75" s="3"/>
      <c r="J75" s="3"/>
      <c r="K75" s="3"/>
      <c r="L75" s="3"/>
      <c r="M75" s="3"/>
      <c r="N75" s="3"/>
      <c r="O75" s="3"/>
      <c r="P75" s="3"/>
      <c r="Q75" s="3"/>
      <c r="R75" s="3"/>
    </row>
    <row r="76" spans="1:18" ht="24" customHeight="1">
      <c r="A76" s="67" t="str">
        <f>IF(Configurar!$U$10=0,"DOCUMENTOS",IF(INDEX(Processos!$T$10:$T$509,Configurar!$U$10)="","Sem link de documentos",IFERROR(HYPERLINK(INDEX(Processos!$T$10:$T$509,Configurar!$U$10),"ABRIR DOCUMENTOS"),"ABRIR DOCUMENTOS")))</f>
        <v>Sem link de documentos</v>
      </c>
      <c r="B76" s="67"/>
      <c r="C76" s="67"/>
      <c r="D76" s="67"/>
      <c r="E76" s="67"/>
      <c r="F76" s="67"/>
      <c r="G76" s="67"/>
      <c r="H76" s="67"/>
      <c r="I76" s="3"/>
      <c r="J76" s="3"/>
      <c r="K76" s="68" t="str">
        <f>IFERROR(HYPERLINK("#'Andamentos'!A9","VER HISTÓRICO COMPLETO"),"VER HISTÓRICO COMPLETO")</f>
        <v>VER HISTÓRICO COMPLETO</v>
      </c>
      <c r="L76" s="68"/>
      <c r="M76" s="68"/>
      <c r="N76" s="68"/>
      <c r="O76" s="68"/>
      <c r="P76" s="68"/>
      <c r="Q76" s="68"/>
      <c r="R76" s="68"/>
    </row>
    <row r="77" spans="1:18" ht="24" customHeight="1">
      <c r="A77" s="67"/>
      <c r="B77" s="67"/>
      <c r="C77" s="67"/>
      <c r="D77" s="67"/>
      <c r="E77" s="67"/>
      <c r="F77" s="67"/>
      <c r="G77" s="67"/>
      <c r="H77" s="67"/>
      <c r="I77" s="3"/>
      <c r="J77" s="3"/>
      <c r="K77" s="68"/>
      <c r="L77" s="68"/>
      <c r="M77" s="68"/>
      <c r="N77" s="68"/>
      <c r="O77" s="68"/>
      <c r="P77" s="68"/>
      <c r="Q77" s="68"/>
      <c r="R77" s="68"/>
    </row>
    <row r="78" spans="1:18" ht="24" customHeight="1">
      <c r="A78" s="3"/>
      <c r="B78" s="3"/>
      <c r="C78" s="3"/>
      <c r="D78" s="3"/>
      <c r="E78" s="3"/>
      <c r="F78" s="3"/>
      <c r="G78" s="3"/>
      <c r="H78" s="3"/>
      <c r="I78" s="3"/>
      <c r="J78" s="3"/>
      <c r="K78" s="3"/>
      <c r="L78" s="3"/>
      <c r="M78" s="3"/>
      <c r="N78" s="3"/>
      <c r="O78" s="3"/>
      <c r="P78" s="3"/>
      <c r="Q78" s="3"/>
      <c r="R78" s="3"/>
    </row>
    <row r="79" spans="1:18" ht="27.95" customHeight="1">
      <c r="A79" s="96" t="s">
        <v>52</v>
      </c>
      <c r="B79" s="96"/>
      <c r="C79" s="96"/>
      <c r="D79" s="96"/>
      <c r="E79" s="96"/>
      <c r="F79" s="96"/>
      <c r="G79" s="96"/>
      <c r="H79" s="96"/>
      <c r="I79" s="96"/>
      <c r="J79" s="96"/>
      <c r="K79" s="96"/>
      <c r="L79" s="96"/>
      <c r="M79" s="96"/>
      <c r="N79" s="96"/>
      <c r="O79" s="96"/>
      <c r="P79" s="96"/>
      <c r="Q79" s="96"/>
      <c r="R79" s="3"/>
    </row>
    <row r="80" spans="1:18">
      <c r="A80" s="23"/>
      <c r="B80" s="23"/>
      <c r="C80" s="23"/>
      <c r="D80" s="23"/>
      <c r="E80" s="23"/>
      <c r="F80" s="23"/>
      <c r="G80" s="23"/>
      <c r="H80" s="23"/>
      <c r="I80" s="23"/>
      <c r="J80" s="23"/>
      <c r="K80" s="23"/>
      <c r="L80" s="23"/>
      <c r="M80" s="23"/>
      <c r="N80" s="23"/>
      <c r="O80" s="23"/>
      <c r="P80" s="23"/>
      <c r="Q80" s="23"/>
    </row>
    <row r="81" spans="1:17" ht="26.1" customHeight="1">
      <c r="A81" s="97" t="s">
        <v>53</v>
      </c>
      <c r="B81" s="97"/>
      <c r="C81" s="97"/>
      <c r="D81" s="97"/>
      <c r="E81" s="97"/>
      <c r="F81" s="97"/>
      <c r="G81" s="23"/>
      <c r="H81" s="98" t="str">
        <f>IF(Configurar!$U$11=0,"Não informado",IF(INDEX(Valores!$U$10:$U$509,Configurar!$U$11)="","Não informado",INDEX(Valores!$U$10:$U$509,Configurar!$U$11)))</f>
        <v>Não informado</v>
      </c>
      <c r="I81" s="99"/>
      <c r="J81" s="99"/>
      <c r="K81" s="99"/>
      <c r="L81" s="99"/>
      <c r="M81" s="99"/>
      <c r="N81" s="99"/>
      <c r="O81" s="99"/>
      <c r="P81" s="99"/>
      <c r="Q81" s="99"/>
    </row>
    <row r="82" spans="1:17" ht="15" hidden="1" customHeight="1">
      <c r="A82" s="61"/>
      <c r="B82" s="61"/>
      <c r="C82" s="61"/>
      <c r="D82" s="61"/>
      <c r="E82" s="61"/>
      <c r="F82" s="61"/>
      <c r="H82" s="61"/>
      <c r="I82" s="61"/>
      <c r="J82" s="61"/>
      <c r="K82" s="61"/>
      <c r="L82" s="61"/>
      <c r="M82" s="61"/>
      <c r="N82" s="61"/>
      <c r="O82" s="61"/>
      <c r="P82" s="61"/>
      <c r="Q82" s="61"/>
    </row>
    <row r="83" spans="1:17" ht="15" hidden="1" customHeight="1">
      <c r="A83" s="61"/>
      <c r="B83" s="61"/>
      <c r="C83" s="61"/>
      <c r="D83" s="61"/>
      <c r="E83" s="61"/>
      <c r="F83" s="61"/>
      <c r="H83" s="61"/>
      <c r="I83" s="61"/>
      <c r="J83" s="61"/>
      <c r="K83" s="61"/>
      <c r="L83" s="61"/>
      <c r="M83" s="61"/>
      <c r="N83" s="61"/>
      <c r="O83" s="61"/>
      <c r="P83" s="61"/>
      <c r="Q83" s="61"/>
    </row>
    <row r="84" spans="1:17" ht="15" hidden="1" customHeight="1">
      <c r="A84" s="61"/>
      <c r="B84" s="61"/>
      <c r="C84" s="61"/>
      <c r="D84" s="61"/>
      <c r="E84" s="61"/>
      <c r="F84" s="61"/>
      <c r="H84" s="61"/>
      <c r="I84" s="61"/>
      <c r="J84" s="61"/>
      <c r="K84" s="61"/>
      <c r="L84" s="61"/>
      <c r="M84" s="61"/>
      <c r="N84" s="61"/>
      <c r="O84" s="61"/>
      <c r="P84" s="61"/>
      <c r="Q84" s="61"/>
    </row>
    <row r="85" spans="1:17">
      <c r="A85" s="23"/>
      <c r="B85" s="23"/>
      <c r="C85" s="23"/>
      <c r="D85" s="23"/>
      <c r="E85" s="23"/>
      <c r="F85" s="23"/>
      <c r="G85" s="23"/>
      <c r="H85" s="23"/>
      <c r="I85" s="23"/>
      <c r="J85" s="23"/>
      <c r="K85" s="23"/>
      <c r="L85" s="23"/>
      <c r="M85" s="23"/>
      <c r="N85" s="23"/>
      <c r="O85" s="23"/>
      <c r="P85" s="23"/>
      <c r="Q85" s="23"/>
    </row>
    <row r="86" spans="1:17" ht="26.1" customHeight="1">
      <c r="A86" s="97" t="s">
        <v>54</v>
      </c>
      <c r="B86" s="97"/>
      <c r="C86" s="97"/>
      <c r="D86" s="97"/>
      <c r="E86" s="97"/>
      <c r="F86" s="97"/>
      <c r="G86" s="23"/>
      <c r="H86" s="99" t="str">
        <f>IF(Configurar!$U$11=0,"Não informado",IF(INDEX(Valores!$Z$10:$Z$509,Configurar!$U$11)="","Não informado",INDEX(Valores!$Z$10:$Z$509,Configurar!$U$11)))</f>
        <v>Provável</v>
      </c>
      <c r="I86" s="99"/>
      <c r="J86" s="99"/>
      <c r="K86" s="99"/>
      <c r="L86" s="99"/>
      <c r="M86" s="99"/>
      <c r="N86" s="99"/>
      <c r="O86" s="99"/>
      <c r="P86" s="99"/>
      <c r="Q86" s="99"/>
    </row>
    <row r="87" spans="1:17" ht="26.1" customHeight="1">
      <c r="A87" s="97" t="s">
        <v>55</v>
      </c>
      <c r="B87" s="97"/>
      <c r="C87" s="97"/>
      <c r="D87" s="97"/>
      <c r="E87" s="97"/>
      <c r="F87" s="97"/>
      <c r="G87" s="23"/>
      <c r="H87" s="99" t="str">
        <f>IF(Configurar!$U$11=0,"Não informado",IF(INDEX(Valores!$AA$10:$AA$509,Configurar!$U$11)="","Não informado",INDEX(Valores!$AA$10:$AA$509,Configurar!$U$11)))</f>
        <v>Não informado</v>
      </c>
      <c r="I87" s="99"/>
      <c r="J87" s="99"/>
      <c r="K87" s="99"/>
      <c r="L87" s="99"/>
      <c r="M87" s="99"/>
      <c r="N87" s="99"/>
      <c r="O87" s="99"/>
      <c r="P87" s="99"/>
      <c r="Q87" s="99"/>
    </row>
    <row r="88" spans="1:17">
      <c r="A88" s="23"/>
      <c r="B88" s="23"/>
      <c r="C88" s="23"/>
      <c r="D88" s="23"/>
      <c r="E88" s="23"/>
      <c r="F88" s="23"/>
      <c r="G88" s="23"/>
      <c r="H88" s="23"/>
      <c r="I88" s="23"/>
      <c r="J88" s="23"/>
      <c r="K88" s="23"/>
      <c r="L88" s="23"/>
      <c r="M88" s="23"/>
      <c r="N88" s="23"/>
      <c r="O88" s="23"/>
      <c r="P88" s="23"/>
      <c r="Q88" s="23"/>
    </row>
    <row r="89" spans="1:17" ht="26.1" customHeight="1">
      <c r="A89" s="97" t="s">
        <v>56</v>
      </c>
      <c r="B89" s="97"/>
      <c r="C89" s="97"/>
      <c r="D89" s="97"/>
      <c r="E89" s="97"/>
      <c r="F89" s="97"/>
      <c r="G89" s="23"/>
      <c r="H89" s="99" t="str">
        <f>IF(Configurar!$U$11=0,"Não informado",IF(INDEX(Valores!$Y$10:$Y$509,Configurar!$U$11)="","Não informado",INDEX(Valores!$Y$10:$Y$509,Configurar!$U$11)))</f>
        <v>Não informado</v>
      </c>
      <c r="I89" s="99"/>
      <c r="J89" s="99"/>
      <c r="K89" s="99"/>
      <c r="L89" s="99"/>
      <c r="M89" s="99"/>
      <c r="N89" s="99"/>
      <c r="O89" s="99"/>
      <c r="P89" s="99"/>
      <c r="Q89" s="99"/>
    </row>
    <row r="90" spans="1:17">
      <c r="A90" s="23"/>
      <c r="B90" s="23"/>
      <c r="C90" s="23"/>
      <c r="D90" s="23"/>
      <c r="E90" s="23"/>
      <c r="F90" s="23"/>
      <c r="G90" s="23"/>
      <c r="H90" s="99"/>
      <c r="I90" s="99"/>
      <c r="J90" s="99"/>
      <c r="K90" s="99"/>
      <c r="L90" s="99"/>
      <c r="M90" s="99"/>
      <c r="N90" s="99"/>
      <c r="O90" s="99"/>
      <c r="P90" s="99"/>
      <c r="Q90" s="99"/>
    </row>
    <row r="91" spans="1:17">
      <c r="A91" s="23"/>
      <c r="B91" s="23"/>
      <c r="C91" s="23"/>
      <c r="D91" s="23"/>
      <c r="E91" s="23"/>
      <c r="F91" s="23"/>
      <c r="G91" s="23"/>
      <c r="H91" s="99"/>
      <c r="I91" s="99"/>
      <c r="J91" s="99"/>
      <c r="K91" s="99"/>
      <c r="L91" s="99"/>
      <c r="M91" s="99"/>
      <c r="N91" s="99"/>
      <c r="O91" s="99"/>
      <c r="P91" s="99"/>
      <c r="Q91" s="99"/>
    </row>
    <row r="92" spans="1:17">
      <c r="A92" s="23"/>
      <c r="B92" s="23"/>
      <c r="C92" s="23"/>
      <c r="D92" s="23"/>
      <c r="E92" s="23"/>
      <c r="F92" s="23"/>
      <c r="G92" s="23"/>
      <c r="H92" s="23"/>
      <c r="I92" s="23"/>
      <c r="J92" s="23"/>
      <c r="K92" s="23"/>
      <c r="L92" s="23"/>
      <c r="M92" s="23"/>
      <c r="N92" s="23"/>
      <c r="O92" s="23"/>
      <c r="P92" s="23"/>
      <c r="Q92" s="23"/>
    </row>
    <row r="93" spans="1:17" ht="15" hidden="1" customHeight="1">
      <c r="A93" s="61"/>
      <c r="B93" s="61"/>
      <c r="C93" s="61"/>
      <c r="D93" s="61"/>
      <c r="E93" s="61"/>
      <c r="F93" s="61"/>
      <c r="H93" s="61"/>
      <c r="I93" s="61"/>
      <c r="J93" s="61"/>
      <c r="K93" s="61"/>
      <c r="L93" s="61"/>
      <c r="M93" s="61"/>
      <c r="N93" s="61"/>
      <c r="O93" s="61"/>
      <c r="P93" s="61"/>
      <c r="Q93" s="61"/>
    </row>
    <row r="94" spans="1:17" ht="15" hidden="1" customHeight="1">
      <c r="H94" s="61"/>
      <c r="I94" s="61"/>
      <c r="J94" s="61"/>
      <c r="K94" s="61"/>
      <c r="L94" s="61"/>
      <c r="M94" s="61"/>
      <c r="N94" s="61"/>
      <c r="O94" s="61"/>
      <c r="P94" s="61"/>
      <c r="Q94" s="61"/>
    </row>
    <row r="95" spans="1:17" ht="15" hidden="1" customHeight="1">
      <c r="H95" s="61"/>
      <c r="I95" s="61"/>
      <c r="J95" s="61"/>
      <c r="K95" s="61"/>
      <c r="L95" s="61"/>
      <c r="M95" s="61"/>
      <c r="N95" s="61"/>
      <c r="O95" s="61"/>
      <c r="P95" s="61"/>
      <c r="Q95" s="61"/>
    </row>
    <row r="96" spans="1:17">
      <c r="A96" s="23"/>
      <c r="B96" s="23"/>
      <c r="C96" s="23"/>
      <c r="D96" s="23"/>
      <c r="E96" s="23"/>
      <c r="F96" s="23"/>
      <c r="G96" s="23"/>
      <c r="H96" s="23"/>
      <c r="I96" s="23"/>
      <c r="J96" s="23"/>
      <c r="K96" s="23"/>
      <c r="L96" s="23"/>
      <c r="M96" s="23"/>
      <c r="N96" s="23"/>
      <c r="O96" s="23"/>
      <c r="P96" s="23"/>
      <c r="Q96" s="23"/>
    </row>
    <row r="97" spans="1:17" ht="26.1" customHeight="1">
      <c r="A97" s="97" t="s">
        <v>57</v>
      </c>
      <c r="B97" s="97"/>
      <c r="C97" s="97"/>
      <c r="D97" s="97"/>
      <c r="E97" s="97"/>
      <c r="F97" s="97"/>
      <c r="G97" s="23"/>
      <c r="H97" s="99" t="str">
        <f>IF(Configurar!$U$11=0,"Não informado",IF(INDEX(Valores!$T$10:$T$509,Configurar!$U$11)="","Não informado",INDEX(Valores!$T$10:$T$509,Configurar!$U$11)))</f>
        <v>Sim</v>
      </c>
      <c r="I97" s="99"/>
      <c r="J97" s="99"/>
      <c r="K97" s="99"/>
      <c r="L97" s="99"/>
      <c r="M97" s="99"/>
      <c r="N97" s="99"/>
      <c r="O97" s="99"/>
      <c r="P97" s="99"/>
      <c r="Q97" s="99"/>
    </row>
    <row r="98" spans="1:17">
      <c r="A98" s="23"/>
      <c r="B98" s="23"/>
      <c r="C98" s="23"/>
      <c r="D98" s="23"/>
      <c r="E98" s="23"/>
      <c r="F98" s="23"/>
      <c r="G98" s="23"/>
      <c r="H98" s="23"/>
      <c r="I98" s="23"/>
      <c r="J98" s="23"/>
      <c r="K98" s="23"/>
      <c r="L98" s="23"/>
      <c r="M98" s="23"/>
      <c r="N98" s="23"/>
      <c r="O98" s="23"/>
      <c r="P98" s="23"/>
      <c r="Q98" s="23"/>
    </row>
    <row r="99" spans="1:17">
      <c r="A99" s="23"/>
      <c r="B99" s="23"/>
      <c r="C99" s="23"/>
      <c r="D99" s="23"/>
      <c r="E99" s="23"/>
      <c r="F99" s="23"/>
      <c r="G99" s="23"/>
      <c r="H99" s="23"/>
      <c r="I99" s="23"/>
      <c r="J99" s="23"/>
      <c r="K99" s="23"/>
      <c r="L99" s="23"/>
      <c r="M99" s="23"/>
      <c r="N99" s="23"/>
      <c r="O99" s="23"/>
      <c r="P99" s="23"/>
      <c r="Q99" s="23"/>
    </row>
    <row r="100" spans="1:17" ht="30" customHeight="1">
      <c r="A100" s="100" t="str">
        <f>IFERROR(IF(COUNTIFS(Origem!$A$10:$A$157,C6)=1,HYPERLINK("#'Origem'!A"&amp;(MATCH(C6,Origem!$A$10:$A$157,0)+9),"ABRIR REGISTRO ORIGINAL COMPLETO"),"Processo cadastrado após a migração"),"ABRIR REGISTRO ORIGINAL COMPLETO")</f>
        <v>ABRIR REGISTRO ORIGINAL COMPLETO</v>
      </c>
      <c r="B100" s="100"/>
      <c r="C100" s="100"/>
      <c r="D100" s="100"/>
      <c r="E100" s="100"/>
      <c r="F100" s="100"/>
      <c r="G100" s="100"/>
      <c r="H100" s="100"/>
      <c r="I100" s="100"/>
      <c r="J100" s="100"/>
      <c r="K100" s="100"/>
      <c r="L100" s="100"/>
      <c r="M100" s="100"/>
      <c r="N100" s="100"/>
      <c r="O100" s="100"/>
      <c r="P100" s="100"/>
      <c r="Q100" s="100"/>
    </row>
    <row r="101" spans="1:17">
      <c r="A101" s="101" t="s">
        <v>58</v>
      </c>
      <c r="B101" s="101"/>
      <c r="C101" s="101"/>
      <c r="D101" s="101"/>
      <c r="E101" s="101"/>
      <c r="F101" s="101"/>
      <c r="G101" s="101"/>
      <c r="H101" s="101"/>
      <c r="I101" s="101"/>
      <c r="J101" s="101"/>
      <c r="K101" s="101"/>
      <c r="L101" s="101"/>
      <c r="M101" s="101"/>
      <c r="N101" s="101"/>
      <c r="O101" s="101"/>
      <c r="P101" s="101"/>
      <c r="Q101" s="101"/>
    </row>
    <row r="102" spans="1:17">
      <c r="A102" s="101"/>
      <c r="B102" s="101"/>
      <c r="C102" s="101"/>
      <c r="D102" s="101"/>
      <c r="E102" s="101"/>
      <c r="F102" s="101"/>
      <c r="G102" s="101"/>
      <c r="H102" s="101"/>
      <c r="I102" s="101"/>
      <c r="J102" s="101"/>
      <c r="K102" s="101"/>
      <c r="L102" s="101"/>
      <c r="M102" s="101"/>
      <c r="N102" s="101"/>
      <c r="O102" s="101"/>
      <c r="P102" s="101"/>
      <c r="Q102" s="101"/>
    </row>
  </sheetData>
  <mergeCells count="101">
    <mergeCell ref="A101:Q102"/>
    <mergeCell ref="A4:C4"/>
    <mergeCell ref="D4:F4"/>
    <mergeCell ref="G4:I4"/>
    <mergeCell ref="J4:L4"/>
    <mergeCell ref="M4:O4"/>
    <mergeCell ref="P4:R4"/>
    <mergeCell ref="A5:F5"/>
    <mergeCell ref="G5:L5"/>
    <mergeCell ref="M5:R5"/>
    <mergeCell ref="A93:F93"/>
    <mergeCell ref="H93:Q95"/>
    <mergeCell ref="A97:F97"/>
    <mergeCell ref="H97:Q97"/>
    <mergeCell ref="A100:Q100"/>
    <mergeCell ref="A86:F86"/>
    <mergeCell ref="H86:Q86"/>
    <mergeCell ref="A87:F87"/>
    <mergeCell ref="H87:Q87"/>
    <mergeCell ref="A89:F89"/>
    <mergeCell ref="H89:Q91"/>
    <mergeCell ref="A82:F82"/>
    <mergeCell ref="H82:Q82"/>
    <mergeCell ref="A83:F83"/>
    <mergeCell ref="H83:Q83"/>
    <mergeCell ref="A84:F84"/>
    <mergeCell ref="H84:Q84"/>
    <mergeCell ref="A76:H77"/>
    <mergeCell ref="K76:R77"/>
    <mergeCell ref="A79:Q79"/>
    <mergeCell ref="A81:F81"/>
    <mergeCell ref="H81:Q81"/>
    <mergeCell ref="A63:R63"/>
    <mergeCell ref="A64:R66"/>
    <mergeCell ref="A68:R68"/>
    <mergeCell ref="A69:R71"/>
    <mergeCell ref="A73:R74"/>
    <mergeCell ref="A59:F59"/>
    <mergeCell ref="A60:F61"/>
    <mergeCell ref="H59:L59"/>
    <mergeCell ref="H60:L61"/>
    <mergeCell ref="N59:R59"/>
    <mergeCell ref="N60:R61"/>
    <mergeCell ref="A55:F55"/>
    <mergeCell ref="A56:F57"/>
    <mergeCell ref="H55:L55"/>
    <mergeCell ref="H56:L57"/>
    <mergeCell ref="N55:R55"/>
    <mergeCell ref="N56:R57"/>
    <mergeCell ref="A51:F51"/>
    <mergeCell ref="A52:F53"/>
    <mergeCell ref="H51:L51"/>
    <mergeCell ref="H52:L53"/>
    <mergeCell ref="N51:R51"/>
    <mergeCell ref="N52:R53"/>
    <mergeCell ref="A44:L44"/>
    <mergeCell ref="A45:L47"/>
    <mergeCell ref="N44:R44"/>
    <mergeCell ref="N45:R47"/>
    <mergeCell ref="A49:R49"/>
    <mergeCell ref="A33:R33"/>
    <mergeCell ref="A35:R35"/>
    <mergeCell ref="A36:R38"/>
    <mergeCell ref="A40:F40"/>
    <mergeCell ref="A41:F42"/>
    <mergeCell ref="H40:L40"/>
    <mergeCell ref="H41:L42"/>
    <mergeCell ref="N40:R40"/>
    <mergeCell ref="N41:R42"/>
    <mergeCell ref="A24:R24"/>
    <mergeCell ref="A25:R27"/>
    <mergeCell ref="A29:F29"/>
    <mergeCell ref="A30:F31"/>
    <mergeCell ref="H29:L29"/>
    <mergeCell ref="H30:L31"/>
    <mergeCell ref="N29:R29"/>
    <mergeCell ref="N30:R31"/>
    <mergeCell ref="A21:F22"/>
    <mergeCell ref="H20:L20"/>
    <mergeCell ref="H21:L22"/>
    <mergeCell ref="N20:R20"/>
    <mergeCell ref="N21:R22"/>
    <mergeCell ref="A15:I15"/>
    <mergeCell ref="A16:I18"/>
    <mergeCell ref="K15:R15"/>
    <mergeCell ref="K16:R18"/>
    <mergeCell ref="A20:F20"/>
    <mergeCell ref="A9:F9"/>
    <mergeCell ref="H9:L9"/>
    <mergeCell ref="N9:R9"/>
    <mergeCell ref="A11:F11"/>
    <mergeCell ref="A12:F13"/>
    <mergeCell ref="H11:L11"/>
    <mergeCell ref="H12:L13"/>
    <mergeCell ref="N11:R11"/>
    <mergeCell ref="N12:R13"/>
    <mergeCell ref="A2:R2"/>
    <mergeCell ref="A3:R3"/>
    <mergeCell ref="A6:B7"/>
    <mergeCell ref="C6:L7"/>
    <mergeCell ref="N6:R7"/>
  </mergeCells>
  <conditionalFormatting sqref="N21:R22">
    <cfRule type="containsText" dxfId="21" priority="1" operator="containsText" text="CRÍTICO"/>
    <cfRule type="containsText" dxfId="20" priority="2" operator="containsText" text="ALTO"/>
    <cfRule type="containsText" dxfId="19" priority="3" operator="containsText" text="MÉDIO"/>
    <cfRule type="containsText" dxfId="18" priority="4" operator="containsText" text="BAIXO"/>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100-000000000000}">
          <x14:formula1>
            <xm:f>INDIRECT("'Processos'!$A$10:$A$"&amp;MAX(10,Configurar!$U$12))</xm:f>
          </x14:formula1>
          <xm:sqref>C6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15EA8"/>
  </sheetPr>
  <dimension ref="A1:J228"/>
  <sheetViews>
    <sheetView showGridLines="0" workbookViewId="0">
      <pane ySplit="6" topLeftCell="A7" activePane="bottomLeft" state="frozen"/>
      <selection pane="bottomLeft"/>
    </sheetView>
  </sheetViews>
  <sheetFormatPr defaultRowHeight="14.25"/>
  <cols>
    <col min="1" max="1" width="11" customWidth="1"/>
    <col min="2" max="2" width="27" customWidth="1"/>
    <col min="3" max="3" width="15" customWidth="1"/>
    <col min="4" max="4" width="17" customWidth="1"/>
    <col min="5" max="5" width="18" customWidth="1"/>
    <col min="6" max="7" width="23" customWidth="1"/>
    <col min="8" max="8" width="20" customWidth="1"/>
    <col min="9" max="9" width="8" customWidth="1"/>
    <col min="10" max="10" width="16" customWidth="1"/>
  </cols>
  <sheetData>
    <row r="1" spans="1:10" ht="27.95" customHeight="1">
      <c r="A1" s="5"/>
      <c r="B1" s="5"/>
      <c r="C1" s="5"/>
      <c r="D1" s="5"/>
      <c r="E1" s="5"/>
      <c r="F1" s="5"/>
      <c r="G1" s="5"/>
      <c r="H1" s="5"/>
      <c r="I1" s="5"/>
      <c r="J1" s="5"/>
    </row>
    <row r="2" spans="1:10" ht="33.950000000000003" customHeight="1">
      <c r="A2" s="53" t="s">
        <v>59</v>
      </c>
      <c r="B2" s="53"/>
      <c r="C2" s="53"/>
      <c r="D2" s="53"/>
      <c r="E2" s="53"/>
      <c r="F2" s="53"/>
      <c r="G2" s="53"/>
      <c r="H2" s="53"/>
      <c r="I2" s="53"/>
      <c r="J2" s="53"/>
    </row>
    <row r="3" spans="1:10" ht="30" customHeight="1">
      <c r="A3" s="54" t="s">
        <v>60</v>
      </c>
      <c r="B3" s="54"/>
      <c r="C3" s="54"/>
      <c r="D3" s="54"/>
      <c r="E3" s="54"/>
      <c r="F3" s="54"/>
      <c r="G3" s="54"/>
      <c r="H3" s="54"/>
      <c r="I3" s="54"/>
      <c r="J3" s="54"/>
    </row>
    <row r="4" spans="1:10" ht="27.95" customHeight="1">
      <c r="A4" s="78" t="str">
        <f>IFERROR(HYPERLINK("#'Painel'!A1","Painel"),"Painel")</f>
        <v>Painel</v>
      </c>
      <c r="B4" s="78"/>
      <c r="C4" s="78"/>
      <c r="D4" s="78" t="str">
        <f>IFERROR(HYPERLINK("#'Ficha'!C6","Ficha do processo"),"Ficha do processo")</f>
        <v>Ficha do processo</v>
      </c>
      <c r="E4" s="78"/>
      <c r="F4" s="78"/>
      <c r="G4" s="78" t="str">
        <f>IFERROR(HYPERLINK("#'Configurar'!G64","Como conectar a IA"),"Como conectar a IA")</f>
        <v>Como conectar a IA</v>
      </c>
      <c r="H4" s="78"/>
      <c r="I4" s="78"/>
      <c r="J4" s="78"/>
    </row>
    <row r="5" spans="1:10" ht="27.95" customHeight="1">
      <c r="A5" s="5"/>
      <c r="B5" s="5"/>
      <c r="C5" s="5"/>
      <c r="D5" s="5"/>
      <c r="E5" s="5"/>
      <c r="F5" s="5"/>
      <c r="G5" s="5"/>
      <c r="H5" s="5"/>
      <c r="I5" s="5"/>
      <c r="J5" s="5"/>
    </row>
    <row r="6" spans="1:10" ht="36" customHeight="1">
      <c r="A6" s="102" t="s">
        <v>61</v>
      </c>
      <c r="B6" s="102"/>
      <c r="C6" s="103"/>
      <c r="D6" s="104"/>
      <c r="E6" s="104"/>
      <c r="F6" s="105"/>
      <c r="G6" s="106" t="s">
        <v>2849</v>
      </c>
      <c r="H6" s="106"/>
      <c r="I6" s="106"/>
      <c r="J6" s="106"/>
    </row>
    <row r="7" spans="1:10" ht="27.95" customHeight="1">
      <c r="A7" s="5"/>
      <c r="B7" s="5"/>
      <c r="C7" s="5"/>
      <c r="D7" s="5"/>
      <c r="E7" s="5"/>
      <c r="F7" s="5"/>
      <c r="G7" s="5"/>
      <c r="H7" s="5"/>
      <c r="I7" s="5"/>
      <c r="J7" s="5"/>
    </row>
    <row r="8" spans="1:10" ht="35.1" customHeight="1">
      <c r="A8" s="57" t="s">
        <v>62</v>
      </c>
      <c r="B8" s="57"/>
      <c r="C8" s="107" t="s">
        <v>195</v>
      </c>
      <c r="D8" s="56"/>
      <c r="E8" s="56"/>
      <c r="F8" s="56"/>
      <c r="G8" s="4" t="s">
        <v>63</v>
      </c>
      <c r="H8" s="56"/>
      <c r="I8" s="56"/>
      <c r="J8" s="56"/>
    </row>
    <row r="9" spans="1:10" ht="27.95" customHeight="1">
      <c r="A9" s="5"/>
      <c r="B9" s="5"/>
      <c r="C9" s="5"/>
      <c r="D9" s="5"/>
      <c r="E9" s="5"/>
      <c r="F9" s="5"/>
      <c r="G9" s="5"/>
      <c r="H9" s="5"/>
      <c r="I9" s="5"/>
      <c r="J9" s="5"/>
    </row>
    <row r="10" spans="1:10" ht="35.1" customHeight="1">
      <c r="A10" s="57" t="s">
        <v>64</v>
      </c>
      <c r="B10" s="57"/>
      <c r="C10" s="56" t="s">
        <v>1035</v>
      </c>
      <c r="D10" s="56"/>
      <c r="E10" s="56"/>
      <c r="F10" s="56"/>
      <c r="G10" s="4" t="s">
        <v>65</v>
      </c>
      <c r="H10" s="56"/>
      <c r="I10" s="56"/>
      <c r="J10" s="56"/>
    </row>
    <row r="11" spans="1:10" ht="27.95" customHeight="1">
      <c r="A11" s="5"/>
      <c r="B11" s="5"/>
      <c r="C11" s="5"/>
      <c r="D11" s="5"/>
      <c r="E11" s="5"/>
      <c r="F11" s="5"/>
      <c r="G11" s="5"/>
      <c r="H11" s="5"/>
      <c r="I11" s="5"/>
      <c r="J11" s="5"/>
    </row>
    <row r="12" spans="1:10" ht="35.1" customHeight="1">
      <c r="A12" s="57" t="s">
        <v>66</v>
      </c>
      <c r="B12" s="57"/>
      <c r="C12" s="56" t="s">
        <v>182</v>
      </c>
      <c r="D12" s="56"/>
      <c r="E12" s="56"/>
      <c r="F12" s="56"/>
      <c r="H12" s="108"/>
      <c r="I12" s="108"/>
      <c r="J12" s="108"/>
    </row>
    <row r="13" spans="1:10" ht="27.95" customHeight="1">
      <c r="A13" s="5"/>
      <c r="B13" s="5"/>
      <c r="C13" s="5"/>
      <c r="D13" s="5"/>
      <c r="E13" s="5"/>
      <c r="F13" s="5"/>
    </row>
    <row r="14" spans="1:10" ht="35.1" customHeight="1">
      <c r="A14" s="57" t="s">
        <v>67</v>
      </c>
      <c r="B14" s="57"/>
      <c r="C14" s="56" t="s">
        <v>68</v>
      </c>
      <c r="D14" s="56"/>
      <c r="E14" s="56"/>
      <c r="F14" s="56"/>
      <c r="G14" s="4" t="s">
        <v>69</v>
      </c>
      <c r="H14" s="109" t="s">
        <v>2851</v>
      </c>
      <c r="I14" s="110"/>
      <c r="J14" s="110"/>
    </row>
    <row r="15" spans="1:10" ht="27.95" customHeight="1">
      <c r="A15" s="5"/>
      <c r="B15" s="5"/>
      <c r="C15" s="5"/>
      <c r="D15" s="5"/>
      <c r="E15" s="5"/>
      <c r="F15" s="5"/>
      <c r="G15" s="5"/>
      <c r="H15" s="5"/>
      <c r="I15" s="5"/>
      <c r="J15" s="5"/>
    </row>
    <row r="16" spans="1:10" ht="30" customHeight="1">
      <c r="A16" s="111" t="s">
        <v>70</v>
      </c>
      <c r="B16" s="111"/>
      <c r="C16" s="111"/>
      <c r="D16" s="111"/>
      <c r="E16" s="111"/>
      <c r="F16" s="111"/>
      <c r="G16" s="111"/>
      <c r="H16" s="111"/>
      <c r="I16" s="111"/>
      <c r="J16" s="111"/>
    </row>
    <row r="17" spans="1:10" ht="30" customHeight="1">
      <c r="A17" s="112" t="s">
        <v>2850</v>
      </c>
      <c r="B17" s="113"/>
      <c r="C17" s="113"/>
      <c r="D17" s="113"/>
      <c r="E17" s="113"/>
      <c r="F17" s="113"/>
      <c r="G17" s="113"/>
      <c r="H17" s="113"/>
      <c r="I17" s="113"/>
      <c r="J17" s="114"/>
    </row>
    <row r="18" spans="1:10" ht="30" customHeight="1">
      <c r="A18" s="115"/>
      <c r="B18" s="116"/>
      <c r="C18" s="116"/>
      <c r="D18" s="116"/>
      <c r="E18" s="116"/>
      <c r="F18" s="116"/>
      <c r="G18" s="116"/>
      <c r="H18" s="116"/>
      <c r="I18" s="116"/>
      <c r="J18" s="117"/>
    </row>
    <row r="19" spans="1:10" ht="30" customHeight="1">
      <c r="A19" s="115"/>
      <c r="B19" s="116"/>
      <c r="C19" s="116"/>
      <c r="D19" s="116"/>
      <c r="E19" s="116"/>
      <c r="F19" s="116"/>
      <c r="G19" s="116"/>
      <c r="H19" s="116"/>
      <c r="I19" s="116"/>
      <c r="J19" s="117"/>
    </row>
    <row r="20" spans="1:10" ht="30" customHeight="1">
      <c r="A20" s="115"/>
      <c r="B20" s="116"/>
      <c r="C20" s="116"/>
      <c r="D20" s="116"/>
      <c r="E20" s="116"/>
      <c r="F20" s="116"/>
      <c r="G20" s="116"/>
      <c r="H20" s="116"/>
      <c r="I20" s="116"/>
      <c r="J20" s="117"/>
    </row>
    <row r="21" spans="1:10" ht="30" customHeight="1">
      <c r="A21" s="115"/>
      <c r="B21" s="116"/>
      <c r="C21" s="116"/>
      <c r="D21" s="116"/>
      <c r="E21" s="116"/>
      <c r="F21" s="116"/>
      <c r="G21" s="116"/>
      <c r="H21" s="116"/>
      <c r="I21" s="116"/>
      <c r="J21" s="117"/>
    </row>
    <row r="22" spans="1:10" ht="30" customHeight="1">
      <c r="A22" s="118"/>
      <c r="B22" s="119"/>
      <c r="C22" s="119"/>
      <c r="D22" s="119"/>
      <c r="E22" s="119"/>
      <c r="F22" s="119"/>
      <c r="G22" s="119"/>
      <c r="H22" s="119"/>
      <c r="I22" s="119"/>
      <c r="J22" s="120"/>
    </row>
    <row r="23" spans="1:10" ht="27.95" customHeight="1">
      <c r="A23" s="5"/>
      <c r="B23" s="5"/>
      <c r="C23" s="5"/>
      <c r="D23" s="5"/>
      <c r="E23" s="5"/>
      <c r="F23" s="5"/>
      <c r="G23" s="5"/>
      <c r="H23" s="5"/>
      <c r="I23" s="5"/>
      <c r="J23" s="5"/>
    </row>
    <row r="24" spans="1:10" ht="27.95" customHeight="1">
      <c r="A24" s="106" t="s">
        <v>2852</v>
      </c>
      <c r="B24" s="106"/>
      <c r="C24" s="106"/>
      <c r="D24" s="106"/>
      <c r="E24" s="106"/>
      <c r="F24" s="106"/>
      <c r="G24" s="106"/>
      <c r="H24" s="106"/>
      <c r="I24" s="106"/>
      <c r="J24" s="106"/>
    </row>
    <row r="25" spans="1:10" ht="27.95" customHeight="1">
      <c r="A25" s="106"/>
      <c r="B25" s="106"/>
      <c r="C25" s="106"/>
      <c r="D25" s="106"/>
      <c r="E25" s="106"/>
      <c r="F25" s="106"/>
      <c r="G25" s="106"/>
      <c r="H25" s="106"/>
      <c r="I25" s="106"/>
      <c r="J25" s="106"/>
    </row>
    <row r="26" spans="1:10" ht="27.95" customHeight="1">
      <c r="A26" s="5"/>
      <c r="B26" s="5"/>
      <c r="C26" s="5"/>
      <c r="D26" s="5"/>
      <c r="E26" s="5"/>
      <c r="F26" s="5"/>
      <c r="G26" s="5"/>
      <c r="H26" s="5"/>
      <c r="I26" s="5"/>
      <c r="J26" s="5"/>
    </row>
    <row r="27" spans="1:10" ht="30" customHeight="1">
      <c r="A27" s="111" t="s">
        <v>71</v>
      </c>
      <c r="B27" s="111"/>
      <c r="C27" s="111"/>
      <c r="D27" s="111"/>
      <c r="E27" s="111"/>
      <c r="F27" s="111"/>
      <c r="G27" s="111"/>
      <c r="H27" s="111"/>
      <c r="I27" s="111"/>
      <c r="J27" s="111"/>
    </row>
    <row r="28" spans="1:10" ht="36" customHeight="1">
      <c r="A28" s="9" t="s">
        <v>72</v>
      </c>
      <c r="B28" s="9" t="s">
        <v>73</v>
      </c>
      <c r="C28" s="9" t="s">
        <v>74</v>
      </c>
      <c r="D28" s="9" t="s">
        <v>75</v>
      </c>
      <c r="E28" s="9" t="s">
        <v>76</v>
      </c>
      <c r="F28" s="9" t="s">
        <v>77</v>
      </c>
      <c r="G28" s="9" t="s">
        <v>78</v>
      </c>
      <c r="H28" s="9" t="s">
        <v>79</v>
      </c>
      <c r="I28" s="9" t="s">
        <v>80</v>
      </c>
      <c r="J28" s="9" t="s">
        <v>81</v>
      </c>
    </row>
    <row r="29" spans="1:10" ht="62.1" customHeight="1">
      <c r="A29" s="50"/>
      <c r="B29" s="20"/>
      <c r="C29" s="21"/>
      <c r="D29" s="21"/>
      <c r="E29" s="21"/>
      <c r="F29" s="21"/>
      <c r="G29" s="21"/>
      <c r="H29" s="21"/>
      <c r="I29" s="21"/>
      <c r="J29" s="22"/>
    </row>
    <row r="30" spans="1:10" ht="62.1" customHeight="1">
      <c r="A30" s="50"/>
      <c r="B30" s="20"/>
      <c r="C30" s="21"/>
      <c r="D30" s="21"/>
      <c r="E30" s="21"/>
      <c r="F30" s="21"/>
      <c r="G30" s="21"/>
      <c r="H30" s="21"/>
      <c r="I30" s="21"/>
      <c r="J30" s="22"/>
    </row>
    <row r="31" spans="1:10" ht="62.1" customHeight="1">
      <c r="A31" s="50"/>
      <c r="B31" s="20"/>
      <c r="C31" s="21"/>
      <c r="D31" s="21"/>
      <c r="E31" s="21"/>
      <c r="F31" s="21"/>
      <c r="G31" s="21"/>
      <c r="H31" s="21"/>
      <c r="I31" s="21"/>
      <c r="J31" s="22"/>
    </row>
    <row r="32" spans="1:10" ht="62.1" customHeight="1">
      <c r="A32" s="50"/>
      <c r="B32" s="20"/>
      <c r="C32" s="21"/>
      <c r="D32" s="21"/>
      <c r="E32" s="21"/>
      <c r="F32" s="21"/>
      <c r="G32" s="21"/>
      <c r="H32" s="21"/>
      <c r="I32" s="21"/>
      <c r="J32" s="22"/>
    </row>
    <row r="33" spans="1:10" ht="62.1" customHeight="1">
      <c r="A33" s="50"/>
      <c r="B33" s="20"/>
      <c r="C33" s="21"/>
      <c r="D33" s="21"/>
      <c r="E33" s="21"/>
      <c r="F33" s="21"/>
      <c r="G33" s="21"/>
      <c r="H33" s="21"/>
      <c r="I33" s="21"/>
      <c r="J33" s="22"/>
    </row>
    <row r="34" spans="1:10" ht="62.1" customHeight="1">
      <c r="A34" s="50"/>
      <c r="B34" s="20"/>
      <c r="C34" s="21"/>
      <c r="D34" s="21"/>
      <c r="E34" s="21"/>
      <c r="F34" s="21"/>
      <c r="G34" s="21"/>
      <c r="H34" s="21"/>
      <c r="I34" s="21"/>
      <c r="J34" s="22"/>
    </row>
    <row r="35" spans="1:10" ht="62.1" customHeight="1">
      <c r="A35" s="50"/>
      <c r="B35" s="20"/>
      <c r="C35" s="21"/>
      <c r="D35" s="21"/>
      <c r="E35" s="21"/>
      <c r="F35" s="21"/>
      <c r="G35" s="21"/>
      <c r="H35" s="21"/>
      <c r="I35" s="21"/>
      <c r="J35" s="22"/>
    </row>
    <row r="36" spans="1:10" ht="62.1" customHeight="1">
      <c r="A36" s="50"/>
      <c r="B36" s="20"/>
      <c r="C36" s="21"/>
      <c r="D36" s="21"/>
      <c r="E36" s="21"/>
      <c r="F36" s="21"/>
      <c r="G36" s="21"/>
      <c r="H36" s="21"/>
      <c r="I36" s="21"/>
      <c r="J36" s="22"/>
    </row>
    <row r="37" spans="1:10" ht="62.1" customHeight="1">
      <c r="A37" s="50"/>
      <c r="B37" s="20"/>
      <c r="C37" s="21"/>
      <c r="D37" s="21"/>
      <c r="E37" s="21"/>
      <c r="F37" s="21"/>
      <c r="G37" s="21"/>
      <c r="H37" s="21"/>
      <c r="I37" s="21"/>
      <c r="J37" s="22"/>
    </row>
    <row r="38" spans="1:10" ht="62.1" customHeight="1">
      <c r="A38" s="50"/>
      <c r="B38" s="20"/>
      <c r="C38" s="21"/>
      <c r="D38" s="21"/>
      <c r="E38" s="21"/>
      <c r="F38" s="21"/>
      <c r="G38" s="21"/>
      <c r="H38" s="21"/>
      <c r="I38" s="21"/>
      <c r="J38" s="22"/>
    </row>
    <row r="39" spans="1:10" ht="62.1" customHeight="1">
      <c r="A39" s="50"/>
      <c r="B39" s="20"/>
      <c r="C39" s="21"/>
      <c r="D39" s="21"/>
      <c r="E39" s="21"/>
      <c r="F39" s="21"/>
      <c r="G39" s="21"/>
      <c r="H39" s="21"/>
      <c r="I39" s="21"/>
      <c r="J39" s="22"/>
    </row>
    <row r="40" spans="1:10" ht="62.1" customHeight="1">
      <c r="A40" s="50"/>
      <c r="B40" s="20"/>
      <c r="C40" s="21"/>
      <c r="D40" s="21"/>
      <c r="E40" s="21"/>
      <c r="F40" s="21"/>
      <c r="G40" s="21"/>
      <c r="H40" s="21"/>
      <c r="I40" s="21"/>
      <c r="J40" s="22"/>
    </row>
    <row r="41" spans="1:10" ht="62.1" customHeight="1">
      <c r="A41" s="50"/>
      <c r="B41" s="20"/>
      <c r="C41" s="21"/>
      <c r="D41" s="21"/>
      <c r="E41" s="21"/>
      <c r="F41" s="21"/>
      <c r="G41" s="21"/>
      <c r="H41" s="21"/>
      <c r="I41" s="21"/>
      <c r="J41" s="22"/>
    </row>
    <row r="42" spans="1:10" ht="62.1" customHeight="1">
      <c r="A42" s="50"/>
      <c r="B42" s="20"/>
      <c r="C42" s="21"/>
      <c r="D42" s="21"/>
      <c r="E42" s="21"/>
      <c r="F42" s="21"/>
      <c r="G42" s="21"/>
      <c r="H42" s="21"/>
      <c r="I42" s="21"/>
      <c r="J42" s="22"/>
    </row>
    <row r="43" spans="1:10" ht="62.1" customHeight="1">
      <c r="A43" s="50"/>
      <c r="B43" s="20"/>
      <c r="C43" s="21"/>
      <c r="D43" s="21"/>
      <c r="E43" s="21"/>
      <c r="F43" s="21"/>
      <c r="G43" s="21"/>
      <c r="H43" s="21"/>
      <c r="I43" s="21"/>
      <c r="J43" s="22"/>
    </row>
    <row r="44" spans="1:10" ht="62.1" customHeight="1">
      <c r="A44" s="50"/>
      <c r="B44" s="20"/>
      <c r="C44" s="21"/>
      <c r="D44" s="21"/>
      <c r="E44" s="21"/>
      <c r="F44" s="21"/>
      <c r="G44" s="21"/>
      <c r="H44" s="21"/>
      <c r="I44" s="21"/>
      <c r="J44" s="22"/>
    </row>
    <row r="45" spans="1:10" ht="62.1" customHeight="1">
      <c r="A45" s="50"/>
      <c r="B45" s="20"/>
      <c r="C45" s="21"/>
      <c r="D45" s="21"/>
      <c r="E45" s="21"/>
      <c r="F45" s="21"/>
      <c r="G45" s="21"/>
      <c r="H45" s="21"/>
      <c r="I45" s="21"/>
      <c r="J45" s="22"/>
    </row>
    <row r="46" spans="1:10" ht="62.1" customHeight="1">
      <c r="A46" s="50"/>
      <c r="B46" s="20"/>
      <c r="C46" s="21"/>
      <c r="D46" s="21"/>
      <c r="E46" s="21"/>
      <c r="F46" s="21"/>
      <c r="G46" s="21"/>
      <c r="H46" s="21"/>
      <c r="I46" s="21"/>
      <c r="J46" s="22"/>
    </row>
    <row r="47" spans="1:10" ht="62.1" customHeight="1">
      <c r="A47" s="50"/>
      <c r="B47" s="20"/>
      <c r="C47" s="21"/>
      <c r="D47" s="21"/>
      <c r="E47" s="21"/>
      <c r="F47" s="21"/>
      <c r="G47" s="21"/>
      <c r="H47" s="21"/>
      <c r="I47" s="21"/>
      <c r="J47" s="22"/>
    </row>
    <row r="48" spans="1:10" ht="62.1" customHeight="1">
      <c r="A48" s="50"/>
      <c r="B48" s="20"/>
      <c r="C48" s="21"/>
      <c r="D48" s="21"/>
      <c r="E48" s="21"/>
      <c r="F48" s="21"/>
      <c r="G48" s="21"/>
      <c r="H48" s="21"/>
      <c r="I48" s="21"/>
      <c r="J48" s="22"/>
    </row>
    <row r="49" spans="1:10" ht="62.1" customHeight="1">
      <c r="A49" s="50"/>
      <c r="B49" s="20"/>
      <c r="C49" s="21"/>
      <c r="D49" s="21"/>
      <c r="E49" s="21"/>
      <c r="F49" s="21"/>
      <c r="G49" s="21"/>
      <c r="H49" s="21"/>
      <c r="I49" s="21"/>
      <c r="J49" s="22"/>
    </row>
    <row r="50" spans="1:10" ht="62.1" customHeight="1">
      <c r="A50" s="50"/>
      <c r="B50" s="20"/>
      <c r="C50" s="21"/>
      <c r="D50" s="21"/>
      <c r="E50" s="21"/>
      <c r="F50" s="21"/>
      <c r="G50" s="21"/>
      <c r="H50" s="21"/>
      <c r="I50" s="21"/>
      <c r="J50" s="22"/>
    </row>
    <row r="51" spans="1:10" ht="62.1" customHeight="1">
      <c r="A51" s="50"/>
      <c r="B51" s="20"/>
      <c r="C51" s="21"/>
      <c r="D51" s="21"/>
      <c r="E51" s="21"/>
      <c r="F51" s="21"/>
      <c r="G51" s="21"/>
      <c r="H51" s="21"/>
      <c r="I51" s="21"/>
      <c r="J51" s="22"/>
    </row>
    <row r="52" spans="1:10" ht="62.1" customHeight="1">
      <c r="A52" s="50"/>
      <c r="B52" s="20"/>
      <c r="C52" s="21"/>
      <c r="D52" s="21"/>
      <c r="E52" s="21"/>
      <c r="F52" s="21"/>
      <c r="G52" s="21"/>
      <c r="H52" s="21"/>
      <c r="I52" s="21"/>
      <c r="J52" s="22"/>
    </row>
    <row r="53" spans="1:10" ht="62.1" customHeight="1">
      <c r="A53" s="50"/>
      <c r="B53" s="20"/>
      <c r="C53" s="21"/>
      <c r="D53" s="21"/>
      <c r="E53" s="21"/>
      <c r="F53" s="21"/>
      <c r="G53" s="21"/>
      <c r="H53" s="21"/>
      <c r="I53" s="21"/>
      <c r="J53" s="22"/>
    </row>
    <row r="54" spans="1:10" ht="62.1" customHeight="1">
      <c r="A54" s="50"/>
      <c r="B54" s="20"/>
      <c r="C54" s="21"/>
      <c r="D54" s="21"/>
      <c r="E54" s="21"/>
      <c r="F54" s="21"/>
      <c r="G54" s="21"/>
      <c r="H54" s="21"/>
      <c r="I54" s="21"/>
      <c r="J54" s="22"/>
    </row>
    <row r="55" spans="1:10" ht="62.1" customHeight="1">
      <c r="A55" s="50"/>
      <c r="B55" s="20"/>
      <c r="C55" s="21"/>
      <c r="D55" s="21"/>
      <c r="E55" s="21"/>
      <c r="F55" s="21"/>
      <c r="G55" s="21"/>
      <c r="H55" s="21"/>
      <c r="I55" s="21"/>
      <c r="J55" s="22"/>
    </row>
    <row r="56" spans="1:10" ht="62.1" customHeight="1">
      <c r="A56" s="50"/>
      <c r="B56" s="20"/>
      <c r="C56" s="21"/>
      <c r="D56" s="21"/>
      <c r="E56" s="21"/>
      <c r="F56" s="21"/>
      <c r="G56" s="21"/>
      <c r="H56" s="21"/>
      <c r="I56" s="21"/>
      <c r="J56" s="22"/>
    </row>
    <row r="57" spans="1:10" ht="62.1" customHeight="1">
      <c r="A57" s="50"/>
      <c r="B57" s="20"/>
      <c r="C57" s="21"/>
      <c r="D57" s="21"/>
      <c r="E57" s="21"/>
      <c r="F57" s="21"/>
      <c r="G57" s="21"/>
      <c r="H57" s="21"/>
      <c r="I57" s="21"/>
      <c r="J57" s="22"/>
    </row>
    <row r="58" spans="1:10" ht="62.1" customHeight="1">
      <c r="A58" s="50"/>
      <c r="B58" s="20"/>
      <c r="C58" s="21"/>
      <c r="D58" s="21"/>
      <c r="E58" s="21"/>
      <c r="F58" s="21"/>
      <c r="G58" s="21"/>
      <c r="H58" s="21"/>
      <c r="I58" s="21"/>
      <c r="J58" s="22"/>
    </row>
    <row r="59" spans="1:10" ht="62.1" customHeight="1">
      <c r="A59" s="50"/>
      <c r="B59" s="20"/>
      <c r="C59" s="21"/>
      <c r="D59" s="21"/>
      <c r="E59" s="21"/>
      <c r="F59" s="21"/>
      <c r="G59" s="21"/>
      <c r="H59" s="21"/>
      <c r="I59" s="21"/>
      <c r="J59" s="22"/>
    </row>
    <row r="60" spans="1:10" ht="62.1" customHeight="1">
      <c r="A60" s="50"/>
      <c r="B60" s="20"/>
      <c r="C60" s="21"/>
      <c r="D60" s="21"/>
      <c r="E60" s="21"/>
      <c r="F60" s="21"/>
      <c r="G60" s="21"/>
      <c r="H60" s="21"/>
      <c r="I60" s="21"/>
      <c r="J60" s="22"/>
    </row>
    <row r="61" spans="1:10" ht="62.1" customHeight="1">
      <c r="A61" s="50"/>
      <c r="B61" s="20"/>
      <c r="C61" s="21"/>
      <c r="D61" s="21"/>
      <c r="E61" s="21"/>
      <c r="F61" s="21"/>
      <c r="G61" s="21"/>
      <c r="H61" s="21"/>
      <c r="I61" s="21"/>
      <c r="J61" s="22"/>
    </row>
    <row r="62" spans="1:10" ht="62.1" customHeight="1">
      <c r="A62" s="50"/>
      <c r="B62" s="20"/>
      <c r="C62" s="21"/>
      <c r="D62" s="21"/>
      <c r="E62" s="21"/>
      <c r="F62" s="21"/>
      <c r="G62" s="21"/>
      <c r="H62" s="21"/>
      <c r="I62" s="21"/>
      <c r="J62" s="22"/>
    </row>
    <row r="63" spans="1:10" ht="62.1" customHeight="1">
      <c r="A63" s="50"/>
      <c r="B63" s="20"/>
      <c r="C63" s="21"/>
      <c r="D63" s="21"/>
      <c r="E63" s="21"/>
      <c r="F63" s="21"/>
      <c r="G63" s="21"/>
      <c r="H63" s="21"/>
      <c r="I63" s="21"/>
      <c r="J63" s="22"/>
    </row>
    <row r="64" spans="1:10" ht="62.1" customHeight="1">
      <c r="A64" s="50"/>
      <c r="B64" s="20"/>
      <c r="C64" s="21"/>
      <c r="D64" s="21"/>
      <c r="E64" s="21"/>
      <c r="F64" s="21"/>
      <c r="G64" s="21"/>
      <c r="H64" s="21"/>
      <c r="I64" s="21"/>
      <c r="J64" s="22"/>
    </row>
    <row r="65" spans="1:10" ht="62.1" customHeight="1">
      <c r="A65" s="50"/>
      <c r="B65" s="20"/>
      <c r="C65" s="21"/>
      <c r="D65" s="21"/>
      <c r="E65" s="21"/>
      <c r="F65" s="21"/>
      <c r="G65" s="21"/>
      <c r="H65" s="21"/>
      <c r="I65" s="21"/>
      <c r="J65" s="22"/>
    </row>
    <row r="66" spans="1:10" ht="62.1" customHeight="1">
      <c r="A66" s="50"/>
      <c r="B66" s="20"/>
      <c r="C66" s="21"/>
      <c r="D66" s="21"/>
      <c r="E66" s="21"/>
      <c r="F66" s="21"/>
      <c r="G66" s="21"/>
      <c r="H66" s="21"/>
      <c r="I66" s="21"/>
      <c r="J66" s="22"/>
    </row>
    <row r="67" spans="1:10" ht="62.1" customHeight="1">
      <c r="A67" s="50"/>
      <c r="B67" s="20"/>
      <c r="C67" s="21"/>
      <c r="D67" s="21"/>
      <c r="E67" s="21"/>
      <c r="F67" s="21"/>
      <c r="G67" s="21"/>
      <c r="H67" s="21"/>
      <c r="I67" s="21"/>
      <c r="J67" s="22"/>
    </row>
    <row r="68" spans="1:10" ht="62.1" customHeight="1">
      <c r="A68" s="50"/>
      <c r="B68" s="20"/>
      <c r="C68" s="21"/>
      <c r="D68" s="21"/>
      <c r="E68" s="21"/>
      <c r="F68" s="21"/>
      <c r="G68" s="21"/>
      <c r="H68" s="21"/>
      <c r="I68" s="21"/>
      <c r="J68" s="22"/>
    </row>
    <row r="69" spans="1:10" ht="62.1" customHeight="1">
      <c r="A69" s="50"/>
      <c r="B69" s="20"/>
      <c r="C69" s="21"/>
      <c r="D69" s="21"/>
      <c r="E69" s="21"/>
      <c r="F69" s="21"/>
      <c r="G69" s="21"/>
      <c r="H69" s="21"/>
      <c r="I69" s="21"/>
      <c r="J69" s="22"/>
    </row>
    <row r="70" spans="1:10" ht="62.1" customHeight="1">
      <c r="A70" s="50"/>
      <c r="B70" s="20"/>
      <c r="C70" s="21"/>
      <c r="D70" s="21"/>
      <c r="E70" s="21"/>
      <c r="F70" s="21"/>
      <c r="G70" s="21"/>
      <c r="H70" s="21"/>
      <c r="I70" s="21"/>
      <c r="J70" s="22"/>
    </row>
    <row r="71" spans="1:10" ht="62.1" customHeight="1">
      <c r="A71" s="50"/>
      <c r="B71" s="20"/>
      <c r="C71" s="21"/>
      <c r="D71" s="21"/>
      <c r="E71" s="21"/>
      <c r="F71" s="21"/>
      <c r="G71" s="21"/>
      <c r="H71" s="21"/>
      <c r="I71" s="21"/>
      <c r="J71" s="22"/>
    </row>
    <row r="72" spans="1:10" ht="62.1" customHeight="1">
      <c r="A72" s="50"/>
      <c r="B72" s="20"/>
      <c r="C72" s="21"/>
      <c r="D72" s="21"/>
      <c r="E72" s="21"/>
      <c r="F72" s="21"/>
      <c r="G72" s="21"/>
      <c r="H72" s="21"/>
      <c r="I72" s="21"/>
      <c r="J72" s="22"/>
    </row>
    <row r="73" spans="1:10" ht="62.1" customHeight="1">
      <c r="A73" s="50"/>
      <c r="B73" s="20"/>
      <c r="C73" s="21"/>
      <c r="D73" s="21"/>
      <c r="E73" s="21"/>
      <c r="F73" s="21"/>
      <c r="G73" s="21"/>
      <c r="H73" s="21"/>
      <c r="I73" s="21"/>
      <c r="J73" s="22"/>
    </row>
    <row r="74" spans="1:10" ht="62.1" customHeight="1">
      <c r="A74" s="50"/>
      <c r="B74" s="20"/>
      <c r="C74" s="21"/>
      <c r="D74" s="21"/>
      <c r="E74" s="21"/>
      <c r="F74" s="21"/>
      <c r="G74" s="21"/>
      <c r="H74" s="21"/>
      <c r="I74" s="21"/>
      <c r="J74" s="22"/>
    </row>
    <row r="75" spans="1:10" ht="62.1" customHeight="1">
      <c r="A75" s="50"/>
      <c r="B75" s="20"/>
      <c r="C75" s="21"/>
      <c r="D75" s="21"/>
      <c r="E75" s="21"/>
      <c r="F75" s="21"/>
      <c r="G75" s="21"/>
      <c r="H75" s="21"/>
      <c r="I75" s="21"/>
      <c r="J75" s="22"/>
    </row>
    <row r="76" spans="1:10" ht="62.1" customHeight="1">
      <c r="A76" s="50"/>
      <c r="B76" s="20"/>
      <c r="C76" s="21"/>
      <c r="D76" s="21"/>
      <c r="E76" s="21"/>
      <c r="F76" s="21"/>
      <c r="G76" s="21"/>
      <c r="H76" s="21"/>
      <c r="I76" s="21"/>
      <c r="J76" s="22"/>
    </row>
    <row r="77" spans="1:10" ht="62.1" customHeight="1">
      <c r="A77" s="50"/>
      <c r="B77" s="20"/>
      <c r="C77" s="21"/>
      <c r="D77" s="21"/>
      <c r="E77" s="21"/>
      <c r="F77" s="21"/>
      <c r="G77" s="21"/>
      <c r="H77" s="21"/>
      <c r="I77" s="21"/>
      <c r="J77" s="22"/>
    </row>
    <row r="78" spans="1:10" ht="62.1" customHeight="1">
      <c r="A78" s="50"/>
      <c r="B78" s="20"/>
      <c r="C78" s="21"/>
      <c r="D78" s="21"/>
      <c r="E78" s="21"/>
      <c r="F78" s="21"/>
      <c r="G78" s="21"/>
      <c r="H78" s="21"/>
      <c r="I78" s="21"/>
      <c r="J78" s="22"/>
    </row>
    <row r="79" spans="1:10" ht="62.1" customHeight="1">
      <c r="A79" s="50"/>
      <c r="B79" s="20"/>
      <c r="C79" s="21"/>
      <c r="D79" s="21"/>
      <c r="E79" s="21"/>
      <c r="F79" s="21"/>
      <c r="G79" s="21"/>
      <c r="H79" s="21"/>
      <c r="I79" s="21"/>
      <c r="J79" s="22"/>
    </row>
    <row r="80" spans="1:10" ht="62.1" customHeight="1">
      <c r="A80" s="50"/>
      <c r="B80" s="20"/>
      <c r="C80" s="21"/>
      <c r="D80" s="21"/>
      <c r="E80" s="21"/>
      <c r="F80" s="21"/>
      <c r="G80" s="21"/>
      <c r="H80" s="21"/>
      <c r="I80" s="21"/>
      <c r="J80" s="22"/>
    </row>
    <row r="81" spans="1:10" ht="62.1" customHeight="1">
      <c r="A81" s="50"/>
      <c r="B81" s="20"/>
      <c r="C81" s="21"/>
      <c r="D81" s="21"/>
      <c r="E81" s="21"/>
      <c r="F81" s="21"/>
      <c r="G81" s="21"/>
      <c r="H81" s="21"/>
      <c r="I81" s="21"/>
      <c r="J81" s="22"/>
    </row>
    <row r="82" spans="1:10" ht="62.1" customHeight="1">
      <c r="A82" s="50"/>
      <c r="B82" s="20"/>
      <c r="C82" s="21"/>
      <c r="D82" s="21"/>
      <c r="E82" s="21"/>
      <c r="F82" s="21"/>
      <c r="G82" s="21"/>
      <c r="H82" s="21"/>
      <c r="I82" s="21"/>
      <c r="J82" s="22"/>
    </row>
    <row r="83" spans="1:10" ht="62.1" customHeight="1">
      <c r="A83" s="50"/>
      <c r="B83" s="20"/>
      <c r="C83" s="21"/>
      <c r="D83" s="21"/>
      <c r="E83" s="21"/>
      <c r="F83" s="21"/>
      <c r="G83" s="21"/>
      <c r="H83" s="21"/>
      <c r="I83" s="21"/>
      <c r="J83" s="22"/>
    </row>
    <row r="84" spans="1:10" ht="62.1" customHeight="1">
      <c r="A84" s="50"/>
      <c r="B84" s="20"/>
      <c r="C84" s="21"/>
      <c r="D84" s="21"/>
      <c r="E84" s="21"/>
      <c r="F84" s="21"/>
      <c r="G84" s="21"/>
      <c r="H84" s="21"/>
      <c r="I84" s="21"/>
      <c r="J84" s="22"/>
    </row>
    <row r="85" spans="1:10" ht="62.1" customHeight="1">
      <c r="A85" s="50"/>
      <c r="B85" s="20"/>
      <c r="C85" s="21"/>
      <c r="D85" s="21"/>
      <c r="E85" s="21"/>
      <c r="F85" s="21"/>
      <c r="G85" s="21"/>
      <c r="H85" s="21"/>
      <c r="I85" s="21"/>
      <c r="J85" s="22"/>
    </row>
    <row r="86" spans="1:10" ht="62.1" customHeight="1">
      <c r="A86" s="50"/>
      <c r="B86" s="20"/>
      <c r="C86" s="21"/>
      <c r="D86" s="21"/>
      <c r="E86" s="21"/>
      <c r="F86" s="21"/>
      <c r="G86" s="21"/>
      <c r="H86" s="21"/>
      <c r="I86" s="21"/>
      <c r="J86" s="22"/>
    </row>
    <row r="87" spans="1:10" ht="62.1" customHeight="1">
      <c r="A87" s="50"/>
      <c r="B87" s="20"/>
      <c r="C87" s="21"/>
      <c r="D87" s="21"/>
      <c r="E87" s="21"/>
      <c r="F87" s="21"/>
      <c r="G87" s="21"/>
      <c r="H87" s="21"/>
      <c r="I87" s="21"/>
      <c r="J87" s="22"/>
    </row>
    <row r="88" spans="1:10" ht="62.1" customHeight="1">
      <c r="A88" s="50"/>
      <c r="B88" s="20"/>
      <c r="C88" s="21"/>
      <c r="D88" s="21"/>
      <c r="E88" s="21"/>
      <c r="F88" s="21"/>
      <c r="G88" s="21"/>
      <c r="H88" s="21"/>
      <c r="I88" s="21"/>
      <c r="J88" s="22"/>
    </row>
    <row r="89" spans="1:10" ht="62.1" customHeight="1">
      <c r="A89" s="50"/>
      <c r="B89" s="20"/>
      <c r="C89" s="21"/>
      <c r="D89" s="21"/>
      <c r="E89" s="21"/>
      <c r="F89" s="21"/>
      <c r="G89" s="21"/>
      <c r="H89" s="21"/>
      <c r="I89" s="21"/>
      <c r="J89" s="22"/>
    </row>
    <row r="90" spans="1:10" ht="62.1" customHeight="1">
      <c r="A90" s="50"/>
      <c r="B90" s="20"/>
      <c r="C90" s="21"/>
      <c r="D90" s="21"/>
      <c r="E90" s="21"/>
      <c r="F90" s="21"/>
      <c r="G90" s="21"/>
      <c r="H90" s="21"/>
      <c r="I90" s="21"/>
      <c r="J90" s="22"/>
    </row>
    <row r="91" spans="1:10" ht="62.1" customHeight="1">
      <c r="A91" s="50"/>
      <c r="B91" s="20"/>
      <c r="C91" s="21"/>
      <c r="D91" s="21"/>
      <c r="E91" s="21"/>
      <c r="F91" s="21"/>
      <c r="G91" s="21"/>
      <c r="H91" s="21"/>
      <c r="I91" s="21"/>
      <c r="J91" s="22"/>
    </row>
    <row r="92" spans="1:10" ht="62.1" customHeight="1">
      <c r="A92" s="50"/>
      <c r="B92" s="20"/>
      <c r="C92" s="21"/>
      <c r="D92" s="21"/>
      <c r="E92" s="21"/>
      <c r="F92" s="21"/>
      <c r="G92" s="21"/>
      <c r="H92" s="21"/>
      <c r="I92" s="21"/>
      <c r="J92" s="22"/>
    </row>
    <row r="93" spans="1:10" ht="62.1" customHeight="1">
      <c r="A93" s="50"/>
      <c r="B93" s="20"/>
      <c r="C93" s="21"/>
      <c r="D93" s="21"/>
      <c r="E93" s="21"/>
      <c r="F93" s="21"/>
      <c r="G93" s="21"/>
      <c r="H93" s="21"/>
      <c r="I93" s="21"/>
      <c r="J93" s="22"/>
    </row>
    <row r="94" spans="1:10" ht="62.1" customHeight="1">
      <c r="A94" s="50"/>
      <c r="B94" s="20"/>
      <c r="C94" s="21"/>
      <c r="D94" s="21"/>
      <c r="E94" s="21"/>
      <c r="F94" s="21"/>
      <c r="G94" s="21"/>
      <c r="H94" s="21"/>
      <c r="I94" s="21"/>
      <c r="J94" s="22"/>
    </row>
    <row r="95" spans="1:10" ht="62.1" customHeight="1">
      <c r="A95" s="50"/>
      <c r="B95" s="20"/>
      <c r="C95" s="21"/>
      <c r="D95" s="21"/>
      <c r="E95" s="21"/>
      <c r="F95" s="21"/>
      <c r="G95" s="21"/>
      <c r="H95" s="21"/>
      <c r="I95" s="21"/>
      <c r="J95" s="22"/>
    </row>
    <row r="96" spans="1:10" ht="62.1" customHeight="1">
      <c r="A96" s="50"/>
      <c r="B96" s="20"/>
      <c r="C96" s="21"/>
      <c r="D96" s="21"/>
      <c r="E96" s="21"/>
      <c r="F96" s="21"/>
      <c r="G96" s="21"/>
      <c r="H96" s="21"/>
      <c r="I96" s="21"/>
      <c r="J96" s="22"/>
    </row>
    <row r="97" spans="1:10" ht="62.1" customHeight="1">
      <c r="A97" s="50"/>
      <c r="B97" s="20"/>
      <c r="C97" s="21"/>
      <c r="D97" s="21"/>
      <c r="E97" s="21"/>
      <c r="F97" s="21"/>
      <c r="G97" s="21"/>
      <c r="H97" s="21"/>
      <c r="I97" s="21"/>
      <c r="J97" s="22"/>
    </row>
    <row r="98" spans="1:10" ht="62.1" customHeight="1">
      <c r="A98" s="50"/>
      <c r="B98" s="20"/>
      <c r="C98" s="21"/>
      <c r="D98" s="21"/>
      <c r="E98" s="21"/>
      <c r="F98" s="21"/>
      <c r="G98" s="21"/>
      <c r="H98" s="21"/>
      <c r="I98" s="21"/>
      <c r="J98" s="22"/>
    </row>
    <row r="99" spans="1:10" ht="62.1" customHeight="1">
      <c r="A99" s="50"/>
      <c r="B99" s="20"/>
      <c r="C99" s="21"/>
      <c r="D99" s="21"/>
      <c r="E99" s="21"/>
      <c r="F99" s="21"/>
      <c r="G99" s="21"/>
      <c r="H99" s="21"/>
      <c r="I99" s="21"/>
      <c r="J99" s="22"/>
    </row>
    <row r="100" spans="1:10" ht="62.1" customHeight="1">
      <c r="A100" s="50"/>
      <c r="B100" s="20"/>
      <c r="C100" s="21"/>
      <c r="D100" s="21"/>
      <c r="E100" s="21"/>
      <c r="F100" s="21"/>
      <c r="G100" s="21"/>
      <c r="H100" s="21"/>
      <c r="I100" s="21"/>
      <c r="J100" s="22"/>
    </row>
    <row r="101" spans="1:10" ht="62.1" customHeight="1">
      <c r="A101" s="50"/>
      <c r="B101" s="20"/>
      <c r="C101" s="21"/>
      <c r="D101" s="21"/>
      <c r="E101" s="21"/>
      <c r="F101" s="21"/>
      <c r="G101" s="21"/>
      <c r="H101" s="21"/>
      <c r="I101" s="21"/>
      <c r="J101" s="22"/>
    </row>
    <row r="102" spans="1:10" ht="62.1" customHeight="1">
      <c r="A102" s="50"/>
      <c r="B102" s="20"/>
      <c r="C102" s="21"/>
      <c r="D102" s="21"/>
      <c r="E102" s="21"/>
      <c r="F102" s="21"/>
      <c r="G102" s="21"/>
      <c r="H102" s="21"/>
      <c r="I102" s="21"/>
      <c r="J102" s="22"/>
    </row>
    <row r="103" spans="1:10" ht="62.1" customHeight="1">
      <c r="A103" s="50"/>
      <c r="B103" s="20"/>
      <c r="C103" s="21"/>
      <c r="D103" s="21"/>
      <c r="E103" s="21"/>
      <c r="F103" s="21"/>
      <c r="G103" s="21"/>
      <c r="H103" s="21"/>
      <c r="I103" s="21"/>
      <c r="J103" s="22"/>
    </row>
    <row r="104" spans="1:10" ht="62.1" customHeight="1">
      <c r="A104" s="50"/>
      <c r="B104" s="20"/>
      <c r="C104" s="21"/>
      <c r="D104" s="21"/>
      <c r="E104" s="21"/>
      <c r="F104" s="21"/>
      <c r="G104" s="21"/>
      <c r="H104" s="21"/>
      <c r="I104" s="21"/>
      <c r="J104" s="22"/>
    </row>
    <row r="105" spans="1:10" ht="62.1" customHeight="1">
      <c r="A105" s="50"/>
      <c r="B105" s="20"/>
      <c r="C105" s="21"/>
      <c r="D105" s="21"/>
      <c r="E105" s="21"/>
      <c r="F105" s="21"/>
      <c r="G105" s="21"/>
      <c r="H105" s="21"/>
      <c r="I105" s="21"/>
      <c r="J105" s="22"/>
    </row>
    <row r="106" spans="1:10" ht="62.1" customHeight="1">
      <c r="A106" s="50"/>
      <c r="B106" s="20"/>
      <c r="C106" s="21"/>
      <c r="D106" s="21"/>
      <c r="E106" s="21"/>
      <c r="F106" s="21"/>
      <c r="G106" s="21"/>
      <c r="H106" s="21"/>
      <c r="I106" s="21"/>
      <c r="J106" s="22"/>
    </row>
    <row r="107" spans="1:10" ht="62.1" customHeight="1">
      <c r="A107" s="50"/>
      <c r="B107" s="20"/>
      <c r="C107" s="21"/>
      <c r="D107" s="21"/>
      <c r="E107" s="21"/>
      <c r="F107" s="21"/>
      <c r="G107" s="21"/>
      <c r="H107" s="21"/>
      <c r="I107" s="21"/>
      <c r="J107" s="22"/>
    </row>
    <row r="108" spans="1:10" ht="62.1" customHeight="1">
      <c r="A108" s="50"/>
      <c r="B108" s="20"/>
      <c r="C108" s="21"/>
      <c r="D108" s="21"/>
      <c r="E108" s="21"/>
      <c r="F108" s="21"/>
      <c r="G108" s="21"/>
      <c r="H108" s="21"/>
      <c r="I108" s="21"/>
      <c r="J108" s="22"/>
    </row>
    <row r="109" spans="1:10" ht="62.1" customHeight="1">
      <c r="A109" s="50"/>
      <c r="B109" s="20"/>
      <c r="C109" s="21"/>
      <c r="D109" s="21"/>
      <c r="E109" s="21"/>
      <c r="F109" s="21"/>
      <c r="G109" s="21"/>
      <c r="H109" s="21"/>
      <c r="I109" s="21"/>
      <c r="J109" s="22"/>
    </row>
    <row r="110" spans="1:10" ht="62.1" customHeight="1">
      <c r="A110" s="50"/>
      <c r="B110" s="20"/>
      <c r="C110" s="21"/>
      <c r="D110" s="21"/>
      <c r="E110" s="21"/>
      <c r="F110" s="21"/>
      <c r="G110" s="21"/>
      <c r="H110" s="21"/>
      <c r="I110" s="21"/>
      <c r="J110" s="22"/>
    </row>
    <row r="111" spans="1:10" ht="62.1" customHeight="1">
      <c r="A111" s="50"/>
      <c r="B111" s="20"/>
      <c r="C111" s="21"/>
      <c r="D111" s="21"/>
      <c r="E111" s="21"/>
      <c r="F111" s="21"/>
      <c r="G111" s="21"/>
      <c r="H111" s="21"/>
      <c r="I111" s="21"/>
      <c r="J111" s="22"/>
    </row>
    <row r="112" spans="1:10" ht="62.1" customHeight="1">
      <c r="A112" s="50"/>
      <c r="B112" s="20"/>
      <c r="C112" s="21"/>
      <c r="D112" s="21"/>
      <c r="E112" s="21"/>
      <c r="F112" s="21"/>
      <c r="G112" s="21"/>
      <c r="H112" s="21"/>
      <c r="I112" s="21"/>
      <c r="J112" s="22"/>
    </row>
    <row r="113" spans="1:10" ht="62.1" customHeight="1">
      <c r="A113" s="50"/>
      <c r="B113" s="20"/>
      <c r="C113" s="21"/>
      <c r="D113" s="21"/>
      <c r="E113" s="21"/>
      <c r="F113" s="21"/>
      <c r="G113" s="21"/>
      <c r="H113" s="21"/>
      <c r="I113" s="21"/>
      <c r="J113" s="22"/>
    </row>
    <row r="114" spans="1:10" ht="62.1" customHeight="1">
      <c r="A114" s="50"/>
      <c r="B114" s="20"/>
      <c r="C114" s="21"/>
      <c r="D114" s="21"/>
      <c r="E114" s="21"/>
      <c r="F114" s="21"/>
      <c r="G114" s="21"/>
      <c r="H114" s="21"/>
      <c r="I114" s="21"/>
      <c r="J114" s="22"/>
    </row>
    <row r="115" spans="1:10" ht="62.1" customHeight="1">
      <c r="A115" s="50"/>
      <c r="B115" s="20"/>
      <c r="C115" s="21"/>
      <c r="D115" s="21"/>
      <c r="E115" s="21"/>
      <c r="F115" s="21"/>
      <c r="G115" s="21"/>
      <c r="H115" s="21"/>
      <c r="I115" s="21"/>
      <c r="J115" s="22"/>
    </row>
    <row r="116" spans="1:10" ht="62.1" customHeight="1">
      <c r="A116" s="50"/>
      <c r="B116" s="20"/>
      <c r="C116" s="21"/>
      <c r="D116" s="21"/>
      <c r="E116" s="21"/>
      <c r="F116" s="21"/>
      <c r="G116" s="21"/>
      <c r="H116" s="21"/>
      <c r="I116" s="21"/>
      <c r="J116" s="22"/>
    </row>
    <row r="117" spans="1:10" ht="62.1" customHeight="1">
      <c r="A117" s="50"/>
      <c r="B117" s="20"/>
      <c r="C117" s="21"/>
      <c r="D117" s="21"/>
      <c r="E117" s="21"/>
      <c r="F117" s="21"/>
      <c r="G117" s="21"/>
      <c r="H117" s="21"/>
      <c r="I117" s="21"/>
      <c r="J117" s="22"/>
    </row>
    <row r="118" spans="1:10" ht="62.1" customHeight="1">
      <c r="A118" s="50"/>
      <c r="B118" s="20"/>
      <c r="C118" s="21"/>
      <c r="D118" s="21"/>
      <c r="E118" s="21"/>
      <c r="F118" s="21"/>
      <c r="G118" s="21"/>
      <c r="H118" s="21"/>
      <c r="I118" s="21"/>
      <c r="J118" s="22"/>
    </row>
    <row r="119" spans="1:10" ht="62.1" customHeight="1">
      <c r="A119" s="50"/>
      <c r="B119" s="20"/>
      <c r="C119" s="21"/>
      <c r="D119" s="21"/>
      <c r="E119" s="21"/>
      <c r="F119" s="21"/>
      <c r="G119" s="21"/>
      <c r="H119" s="21"/>
      <c r="I119" s="21"/>
      <c r="J119" s="22"/>
    </row>
    <row r="120" spans="1:10" ht="62.1" customHeight="1">
      <c r="A120" s="50"/>
      <c r="B120" s="20"/>
      <c r="C120" s="21"/>
      <c r="D120" s="21"/>
      <c r="E120" s="21"/>
      <c r="F120" s="21"/>
      <c r="G120" s="21"/>
      <c r="H120" s="21"/>
      <c r="I120" s="21"/>
      <c r="J120" s="22"/>
    </row>
    <row r="121" spans="1:10" ht="62.1" customHeight="1">
      <c r="A121" s="50"/>
      <c r="B121" s="20"/>
      <c r="C121" s="21"/>
      <c r="D121" s="21"/>
      <c r="E121" s="21"/>
      <c r="F121" s="21"/>
      <c r="G121" s="21"/>
      <c r="H121" s="21"/>
      <c r="I121" s="21"/>
      <c r="J121" s="22"/>
    </row>
    <row r="122" spans="1:10" ht="62.1" customHeight="1">
      <c r="A122" s="50"/>
      <c r="B122" s="20"/>
      <c r="C122" s="21"/>
      <c r="D122" s="21"/>
      <c r="E122" s="21"/>
      <c r="F122" s="21"/>
      <c r="G122" s="21"/>
      <c r="H122" s="21"/>
      <c r="I122" s="21"/>
      <c r="J122" s="22"/>
    </row>
    <row r="123" spans="1:10" ht="62.1" customHeight="1">
      <c r="A123" s="50"/>
      <c r="B123" s="20"/>
      <c r="C123" s="21"/>
      <c r="D123" s="21"/>
      <c r="E123" s="21"/>
      <c r="F123" s="21"/>
      <c r="G123" s="21"/>
      <c r="H123" s="21"/>
      <c r="I123" s="21"/>
      <c r="J123" s="22"/>
    </row>
    <row r="124" spans="1:10" ht="62.1" customHeight="1">
      <c r="A124" s="50"/>
      <c r="B124" s="20"/>
      <c r="C124" s="21"/>
      <c r="D124" s="21"/>
      <c r="E124" s="21"/>
      <c r="F124" s="21"/>
      <c r="G124" s="21"/>
      <c r="H124" s="21"/>
      <c r="I124" s="21"/>
      <c r="J124" s="22"/>
    </row>
    <row r="125" spans="1:10" ht="62.1" customHeight="1">
      <c r="A125" s="50"/>
      <c r="B125" s="20"/>
      <c r="C125" s="21"/>
      <c r="D125" s="21"/>
      <c r="E125" s="21"/>
      <c r="F125" s="21"/>
      <c r="G125" s="21"/>
      <c r="H125" s="21"/>
      <c r="I125" s="21"/>
      <c r="J125" s="22"/>
    </row>
    <row r="126" spans="1:10" ht="62.1" customHeight="1">
      <c r="A126" s="50"/>
      <c r="B126" s="20"/>
      <c r="C126" s="21"/>
      <c r="D126" s="21"/>
      <c r="E126" s="21"/>
      <c r="F126" s="21"/>
      <c r="G126" s="21"/>
      <c r="H126" s="21"/>
      <c r="I126" s="21"/>
      <c r="J126" s="22"/>
    </row>
    <row r="127" spans="1:10" ht="62.1" customHeight="1">
      <c r="A127" s="50"/>
      <c r="B127" s="20"/>
      <c r="C127" s="21"/>
      <c r="D127" s="21"/>
      <c r="E127" s="21"/>
      <c r="F127" s="21"/>
      <c r="G127" s="21"/>
      <c r="H127" s="21"/>
      <c r="I127" s="21"/>
      <c r="J127" s="22"/>
    </row>
    <row r="128" spans="1:10" ht="62.1" customHeight="1">
      <c r="A128" s="50"/>
      <c r="B128" s="20"/>
      <c r="C128" s="21"/>
      <c r="D128" s="21"/>
      <c r="E128" s="21"/>
      <c r="F128" s="21"/>
      <c r="G128" s="21"/>
      <c r="H128" s="21"/>
      <c r="I128" s="21"/>
      <c r="J128" s="22"/>
    </row>
    <row r="129" spans="1:10" ht="62.1" customHeight="1">
      <c r="A129" s="50"/>
      <c r="B129" s="20"/>
      <c r="C129" s="21"/>
      <c r="D129" s="21"/>
      <c r="E129" s="21"/>
      <c r="F129" s="21"/>
      <c r="G129" s="21"/>
      <c r="H129" s="21"/>
      <c r="I129" s="21"/>
      <c r="J129" s="22"/>
    </row>
    <row r="130" spans="1:10" ht="62.1" customHeight="1">
      <c r="A130" s="50"/>
      <c r="B130" s="20"/>
      <c r="C130" s="21"/>
      <c r="D130" s="21"/>
      <c r="E130" s="21"/>
      <c r="F130" s="21"/>
      <c r="G130" s="21"/>
      <c r="H130" s="21"/>
      <c r="I130" s="21"/>
      <c r="J130" s="22"/>
    </row>
    <row r="131" spans="1:10" ht="62.1" customHeight="1">
      <c r="A131" s="50"/>
      <c r="B131" s="20"/>
      <c r="C131" s="21"/>
      <c r="D131" s="21"/>
      <c r="E131" s="21"/>
      <c r="F131" s="21"/>
      <c r="G131" s="21"/>
      <c r="H131" s="21"/>
      <c r="I131" s="21"/>
      <c r="J131" s="22"/>
    </row>
    <row r="132" spans="1:10" ht="62.1" customHeight="1">
      <c r="A132" s="50"/>
      <c r="B132" s="20"/>
      <c r="C132" s="21"/>
      <c r="D132" s="21"/>
      <c r="E132" s="21"/>
      <c r="F132" s="21"/>
      <c r="G132" s="21"/>
      <c r="H132" s="21"/>
      <c r="I132" s="21"/>
      <c r="J132" s="22"/>
    </row>
    <row r="133" spans="1:10" ht="62.1" customHeight="1">
      <c r="A133" s="50"/>
      <c r="B133" s="20"/>
      <c r="C133" s="21"/>
      <c r="D133" s="21"/>
      <c r="E133" s="21"/>
      <c r="F133" s="21"/>
      <c r="G133" s="21"/>
      <c r="H133" s="21"/>
      <c r="I133" s="21"/>
      <c r="J133" s="22"/>
    </row>
    <row r="134" spans="1:10" ht="62.1" customHeight="1">
      <c r="A134" s="50"/>
      <c r="B134" s="20"/>
      <c r="C134" s="21"/>
      <c r="D134" s="21"/>
      <c r="E134" s="21"/>
      <c r="F134" s="21"/>
      <c r="G134" s="21"/>
      <c r="H134" s="21"/>
      <c r="I134" s="21"/>
      <c r="J134" s="22"/>
    </row>
    <row r="135" spans="1:10" ht="62.1" customHeight="1">
      <c r="A135" s="50"/>
      <c r="B135" s="20"/>
      <c r="C135" s="21"/>
      <c r="D135" s="21"/>
      <c r="E135" s="21"/>
      <c r="F135" s="21"/>
      <c r="G135" s="21"/>
      <c r="H135" s="21"/>
      <c r="I135" s="21"/>
      <c r="J135" s="22"/>
    </row>
    <row r="136" spans="1:10" ht="62.1" customHeight="1">
      <c r="A136" s="50"/>
      <c r="B136" s="20"/>
      <c r="C136" s="21"/>
      <c r="D136" s="21"/>
      <c r="E136" s="21"/>
      <c r="F136" s="21"/>
      <c r="G136" s="21"/>
      <c r="H136" s="21"/>
      <c r="I136" s="21"/>
      <c r="J136" s="22"/>
    </row>
    <row r="137" spans="1:10" ht="62.1" customHeight="1">
      <c r="A137" s="50"/>
      <c r="B137" s="20"/>
      <c r="C137" s="21"/>
      <c r="D137" s="21"/>
      <c r="E137" s="21"/>
      <c r="F137" s="21"/>
      <c r="G137" s="21"/>
      <c r="H137" s="21"/>
      <c r="I137" s="21"/>
      <c r="J137" s="22"/>
    </row>
    <row r="138" spans="1:10" ht="62.1" customHeight="1">
      <c r="A138" s="50"/>
      <c r="B138" s="20"/>
      <c r="C138" s="21"/>
      <c r="D138" s="21"/>
      <c r="E138" s="21"/>
      <c r="F138" s="21"/>
      <c r="G138" s="21"/>
      <c r="H138" s="21"/>
      <c r="I138" s="21"/>
      <c r="J138" s="22"/>
    </row>
    <row r="139" spans="1:10" ht="62.1" customHeight="1">
      <c r="A139" s="50"/>
      <c r="B139" s="20"/>
      <c r="C139" s="21"/>
      <c r="D139" s="21"/>
      <c r="E139" s="21"/>
      <c r="F139" s="21"/>
      <c r="G139" s="21"/>
      <c r="H139" s="21"/>
      <c r="I139" s="21"/>
      <c r="J139" s="22"/>
    </row>
    <row r="140" spans="1:10" ht="62.1" customHeight="1">
      <c r="A140" s="50"/>
      <c r="B140" s="20"/>
      <c r="C140" s="21"/>
      <c r="D140" s="21"/>
      <c r="E140" s="21"/>
      <c r="F140" s="21"/>
      <c r="G140" s="21"/>
      <c r="H140" s="21"/>
      <c r="I140" s="21"/>
      <c r="J140" s="22"/>
    </row>
    <row r="141" spans="1:10" ht="62.1" customHeight="1">
      <c r="A141" s="50"/>
      <c r="B141" s="20"/>
      <c r="C141" s="21"/>
      <c r="D141" s="21"/>
      <c r="E141" s="21"/>
      <c r="F141" s="21"/>
      <c r="G141" s="21"/>
      <c r="H141" s="21"/>
      <c r="I141" s="21"/>
      <c r="J141" s="22"/>
    </row>
    <row r="142" spans="1:10" ht="62.1" customHeight="1">
      <c r="A142" s="50"/>
      <c r="B142" s="20"/>
      <c r="C142" s="21"/>
      <c r="D142" s="21"/>
      <c r="E142" s="21"/>
      <c r="F142" s="21"/>
      <c r="G142" s="21"/>
      <c r="H142" s="21"/>
      <c r="I142" s="21"/>
      <c r="J142" s="22"/>
    </row>
    <row r="143" spans="1:10" ht="62.1" customHeight="1">
      <c r="A143" s="50"/>
      <c r="B143" s="20"/>
      <c r="C143" s="21"/>
      <c r="D143" s="21"/>
      <c r="E143" s="21"/>
      <c r="F143" s="21"/>
      <c r="G143" s="21"/>
      <c r="H143" s="21"/>
      <c r="I143" s="21"/>
      <c r="J143" s="22"/>
    </row>
    <row r="144" spans="1:10" ht="62.1" customHeight="1">
      <c r="A144" s="50"/>
      <c r="B144" s="20"/>
      <c r="C144" s="21"/>
      <c r="D144" s="21"/>
      <c r="E144" s="21"/>
      <c r="F144" s="21"/>
      <c r="G144" s="21"/>
      <c r="H144" s="21"/>
      <c r="I144" s="21"/>
      <c r="J144" s="22"/>
    </row>
    <row r="145" spans="1:10" ht="62.1" customHeight="1">
      <c r="A145" s="50"/>
      <c r="B145" s="20"/>
      <c r="C145" s="21"/>
      <c r="D145" s="21"/>
      <c r="E145" s="21"/>
      <c r="F145" s="21"/>
      <c r="G145" s="21"/>
      <c r="H145" s="21"/>
      <c r="I145" s="21"/>
      <c r="J145" s="22"/>
    </row>
    <row r="146" spans="1:10" ht="62.1" customHeight="1">
      <c r="A146" s="50"/>
      <c r="B146" s="20"/>
      <c r="C146" s="21"/>
      <c r="D146" s="21"/>
      <c r="E146" s="21"/>
      <c r="F146" s="21"/>
      <c r="G146" s="21"/>
      <c r="H146" s="21"/>
      <c r="I146" s="21"/>
      <c r="J146" s="22"/>
    </row>
    <row r="147" spans="1:10" ht="62.1" customHeight="1">
      <c r="A147" s="50"/>
      <c r="B147" s="20"/>
      <c r="C147" s="21"/>
      <c r="D147" s="21"/>
      <c r="E147" s="21"/>
      <c r="F147" s="21"/>
      <c r="G147" s="21"/>
      <c r="H147" s="21"/>
      <c r="I147" s="21"/>
      <c r="J147" s="22"/>
    </row>
    <row r="148" spans="1:10" ht="62.1" customHeight="1">
      <c r="A148" s="50"/>
      <c r="B148" s="20"/>
      <c r="C148" s="21"/>
      <c r="D148" s="21"/>
      <c r="E148" s="21"/>
      <c r="F148" s="21"/>
      <c r="G148" s="21"/>
      <c r="H148" s="21"/>
      <c r="I148" s="21"/>
      <c r="J148" s="22"/>
    </row>
    <row r="149" spans="1:10" ht="62.1" customHeight="1">
      <c r="A149" s="50"/>
      <c r="B149" s="20"/>
      <c r="C149" s="21"/>
      <c r="D149" s="21"/>
      <c r="E149" s="21"/>
      <c r="F149" s="21"/>
      <c r="G149" s="21"/>
      <c r="H149" s="21"/>
      <c r="I149" s="21"/>
      <c r="J149" s="22"/>
    </row>
    <row r="150" spans="1:10" ht="62.1" customHeight="1">
      <c r="A150" s="50"/>
      <c r="B150" s="20"/>
      <c r="C150" s="21"/>
      <c r="D150" s="21"/>
      <c r="E150" s="21"/>
      <c r="F150" s="21"/>
      <c r="G150" s="21"/>
      <c r="H150" s="21"/>
      <c r="I150" s="21"/>
      <c r="J150" s="22"/>
    </row>
    <row r="151" spans="1:10" ht="62.1" customHeight="1">
      <c r="A151" s="50"/>
      <c r="B151" s="20"/>
      <c r="C151" s="21"/>
      <c r="D151" s="21"/>
      <c r="E151" s="21"/>
      <c r="F151" s="21"/>
      <c r="G151" s="21"/>
      <c r="H151" s="21"/>
      <c r="I151" s="21"/>
      <c r="J151" s="22"/>
    </row>
    <row r="152" spans="1:10" ht="62.1" customHeight="1">
      <c r="A152" s="50"/>
      <c r="B152" s="20"/>
      <c r="C152" s="21"/>
      <c r="D152" s="21"/>
      <c r="E152" s="21"/>
      <c r="F152" s="21"/>
      <c r="G152" s="21"/>
      <c r="H152" s="21"/>
      <c r="I152" s="21"/>
      <c r="J152" s="22"/>
    </row>
    <row r="153" spans="1:10" ht="62.1" customHeight="1">
      <c r="A153" s="50"/>
      <c r="B153" s="20"/>
      <c r="C153" s="21"/>
      <c r="D153" s="21"/>
      <c r="E153" s="21"/>
      <c r="F153" s="21"/>
      <c r="G153" s="21"/>
      <c r="H153" s="21"/>
      <c r="I153" s="21"/>
      <c r="J153" s="22"/>
    </row>
    <row r="154" spans="1:10" ht="62.1" customHeight="1">
      <c r="A154" s="50"/>
      <c r="B154" s="20"/>
      <c r="C154" s="21"/>
      <c r="D154" s="21"/>
      <c r="E154" s="21"/>
      <c r="F154" s="21"/>
      <c r="G154" s="21"/>
      <c r="H154" s="21"/>
      <c r="I154" s="21"/>
      <c r="J154" s="22"/>
    </row>
    <row r="155" spans="1:10" ht="62.1" customHeight="1">
      <c r="A155" s="50"/>
      <c r="B155" s="20"/>
      <c r="C155" s="21"/>
      <c r="D155" s="21"/>
      <c r="E155" s="21"/>
      <c r="F155" s="21"/>
      <c r="G155" s="21"/>
      <c r="H155" s="21"/>
      <c r="I155" s="21"/>
      <c r="J155" s="22"/>
    </row>
    <row r="156" spans="1:10" ht="62.1" customHeight="1">
      <c r="A156" s="50"/>
      <c r="B156" s="20"/>
      <c r="C156" s="21"/>
      <c r="D156" s="21"/>
      <c r="E156" s="21"/>
      <c r="F156" s="21"/>
      <c r="G156" s="21"/>
      <c r="H156" s="21"/>
      <c r="I156" s="21"/>
      <c r="J156" s="22"/>
    </row>
    <row r="157" spans="1:10" ht="62.1" customHeight="1">
      <c r="A157" s="50"/>
      <c r="B157" s="20"/>
      <c r="C157" s="21"/>
      <c r="D157" s="21"/>
      <c r="E157" s="21"/>
      <c r="F157" s="21"/>
      <c r="G157" s="21"/>
      <c r="H157" s="21"/>
      <c r="I157" s="21"/>
      <c r="J157" s="22"/>
    </row>
    <row r="158" spans="1:10" ht="62.1" customHeight="1">
      <c r="A158" s="50"/>
      <c r="B158" s="20"/>
      <c r="C158" s="21"/>
      <c r="D158" s="21"/>
      <c r="E158" s="21"/>
      <c r="F158" s="21"/>
      <c r="G158" s="21"/>
      <c r="H158" s="21"/>
      <c r="I158" s="21"/>
      <c r="J158" s="22"/>
    </row>
    <row r="159" spans="1:10" ht="62.1" customHeight="1">
      <c r="A159" s="50"/>
      <c r="B159" s="20"/>
      <c r="C159" s="21"/>
      <c r="D159" s="21"/>
      <c r="E159" s="21"/>
      <c r="F159" s="21"/>
      <c r="G159" s="21"/>
      <c r="H159" s="21"/>
      <c r="I159" s="21"/>
      <c r="J159" s="22"/>
    </row>
    <row r="160" spans="1:10" ht="62.1" customHeight="1">
      <c r="A160" s="50"/>
      <c r="B160" s="20"/>
      <c r="C160" s="21"/>
      <c r="D160" s="21"/>
      <c r="E160" s="21"/>
      <c r="F160" s="21"/>
      <c r="G160" s="21"/>
      <c r="H160" s="21"/>
      <c r="I160" s="21"/>
      <c r="J160" s="22"/>
    </row>
    <row r="161" spans="1:10" ht="62.1" customHeight="1">
      <c r="A161" s="50"/>
      <c r="B161" s="20"/>
      <c r="C161" s="21"/>
      <c r="D161" s="21"/>
      <c r="E161" s="21"/>
      <c r="F161" s="21"/>
      <c r="G161" s="21"/>
      <c r="H161" s="21"/>
      <c r="I161" s="21"/>
      <c r="J161" s="22"/>
    </row>
    <row r="162" spans="1:10" ht="62.1" customHeight="1">
      <c r="A162" s="50"/>
      <c r="B162" s="20"/>
      <c r="C162" s="21"/>
      <c r="D162" s="21"/>
      <c r="E162" s="21"/>
      <c r="F162" s="21"/>
      <c r="G162" s="21"/>
      <c r="H162" s="21"/>
      <c r="I162" s="21"/>
      <c r="J162" s="22"/>
    </row>
    <row r="163" spans="1:10" ht="62.1" customHeight="1">
      <c r="A163" s="50"/>
      <c r="B163" s="20"/>
      <c r="C163" s="21"/>
      <c r="D163" s="21"/>
      <c r="E163" s="21"/>
      <c r="F163" s="21"/>
      <c r="G163" s="21"/>
      <c r="H163" s="21"/>
      <c r="I163" s="21"/>
      <c r="J163" s="22"/>
    </row>
    <row r="164" spans="1:10" ht="62.1" customHeight="1">
      <c r="A164" s="50"/>
      <c r="B164" s="20"/>
      <c r="C164" s="21"/>
      <c r="D164" s="21"/>
      <c r="E164" s="21"/>
      <c r="F164" s="21"/>
      <c r="G164" s="21"/>
      <c r="H164" s="21"/>
      <c r="I164" s="21"/>
      <c r="J164" s="22"/>
    </row>
    <row r="165" spans="1:10" ht="62.1" customHeight="1">
      <c r="A165" s="50"/>
      <c r="B165" s="20"/>
      <c r="C165" s="21"/>
      <c r="D165" s="21"/>
      <c r="E165" s="21"/>
      <c r="F165" s="21"/>
      <c r="G165" s="21"/>
      <c r="H165" s="21"/>
      <c r="I165" s="21"/>
      <c r="J165" s="22"/>
    </row>
    <row r="166" spans="1:10" ht="62.1" customHeight="1">
      <c r="A166" s="50"/>
      <c r="B166" s="20"/>
      <c r="C166" s="21"/>
      <c r="D166" s="21"/>
      <c r="E166" s="21"/>
      <c r="F166" s="21"/>
      <c r="G166" s="21"/>
      <c r="H166" s="21"/>
      <c r="I166" s="21"/>
      <c r="J166" s="22"/>
    </row>
    <row r="167" spans="1:10" ht="62.1" customHeight="1">
      <c r="A167" s="50"/>
      <c r="B167" s="20"/>
      <c r="C167" s="21"/>
      <c r="D167" s="21"/>
      <c r="E167" s="21"/>
      <c r="F167" s="21"/>
      <c r="G167" s="21"/>
      <c r="H167" s="21"/>
      <c r="I167" s="21"/>
      <c r="J167" s="22"/>
    </row>
    <row r="168" spans="1:10" ht="62.1" customHeight="1">
      <c r="A168" s="50"/>
      <c r="B168" s="20"/>
      <c r="C168" s="21"/>
      <c r="D168" s="21"/>
      <c r="E168" s="21"/>
      <c r="F168" s="21"/>
      <c r="G168" s="21"/>
      <c r="H168" s="21"/>
      <c r="I168" s="21"/>
      <c r="J168" s="22"/>
    </row>
    <row r="169" spans="1:10" ht="62.1" customHeight="1">
      <c r="A169" s="50"/>
      <c r="B169" s="20"/>
      <c r="C169" s="21"/>
      <c r="D169" s="21"/>
      <c r="E169" s="21"/>
      <c r="F169" s="21"/>
      <c r="G169" s="21"/>
      <c r="H169" s="21"/>
      <c r="I169" s="21"/>
      <c r="J169" s="22"/>
    </row>
    <row r="170" spans="1:10" ht="62.1" customHeight="1">
      <c r="A170" s="50"/>
      <c r="B170" s="20"/>
      <c r="C170" s="21"/>
      <c r="D170" s="21"/>
      <c r="E170" s="21"/>
      <c r="F170" s="21"/>
      <c r="G170" s="21"/>
      <c r="H170" s="21"/>
      <c r="I170" s="21"/>
      <c r="J170" s="22"/>
    </row>
    <row r="171" spans="1:10" ht="62.1" customHeight="1">
      <c r="A171" s="50"/>
      <c r="B171" s="20"/>
      <c r="C171" s="21"/>
      <c r="D171" s="21"/>
      <c r="E171" s="21"/>
      <c r="F171" s="21"/>
      <c r="G171" s="21"/>
      <c r="H171" s="21"/>
      <c r="I171" s="21"/>
      <c r="J171" s="22"/>
    </row>
    <row r="172" spans="1:10" ht="62.1" customHeight="1">
      <c r="A172" s="50"/>
      <c r="B172" s="20"/>
      <c r="C172" s="21"/>
      <c r="D172" s="21"/>
      <c r="E172" s="21"/>
      <c r="F172" s="21"/>
      <c r="G172" s="21"/>
      <c r="H172" s="21"/>
      <c r="I172" s="21"/>
      <c r="J172" s="22"/>
    </row>
    <row r="173" spans="1:10" ht="62.1" customHeight="1">
      <c r="A173" s="50"/>
      <c r="B173" s="20"/>
      <c r="C173" s="21"/>
      <c r="D173" s="21"/>
      <c r="E173" s="21"/>
      <c r="F173" s="21"/>
      <c r="G173" s="21"/>
      <c r="H173" s="21"/>
      <c r="I173" s="21"/>
      <c r="J173" s="22"/>
    </row>
    <row r="174" spans="1:10" ht="62.1" customHeight="1">
      <c r="A174" s="50"/>
      <c r="B174" s="20"/>
      <c r="C174" s="21"/>
      <c r="D174" s="21"/>
      <c r="E174" s="21"/>
      <c r="F174" s="21"/>
      <c r="G174" s="21"/>
      <c r="H174" s="21"/>
      <c r="I174" s="21"/>
      <c r="J174" s="22"/>
    </row>
    <row r="175" spans="1:10" ht="62.1" customHeight="1">
      <c r="A175" s="50"/>
      <c r="B175" s="20"/>
      <c r="C175" s="21"/>
      <c r="D175" s="21"/>
      <c r="E175" s="21"/>
      <c r="F175" s="21"/>
      <c r="G175" s="21"/>
      <c r="H175" s="21"/>
      <c r="I175" s="21"/>
      <c r="J175" s="22"/>
    </row>
    <row r="176" spans="1:10" ht="62.1" customHeight="1">
      <c r="A176" s="50"/>
      <c r="B176" s="20"/>
      <c r="C176" s="21"/>
      <c r="D176" s="21"/>
      <c r="E176" s="21"/>
      <c r="F176" s="21"/>
      <c r="G176" s="21"/>
      <c r="H176" s="21"/>
      <c r="I176" s="21"/>
      <c r="J176" s="22"/>
    </row>
    <row r="177" spans="1:10" ht="62.1" customHeight="1">
      <c r="A177" s="50"/>
      <c r="B177" s="20"/>
      <c r="C177" s="21"/>
      <c r="D177" s="21"/>
      <c r="E177" s="21"/>
      <c r="F177" s="21"/>
      <c r="G177" s="21"/>
      <c r="H177" s="21"/>
      <c r="I177" s="21"/>
      <c r="J177" s="22"/>
    </row>
    <row r="178" spans="1:10" ht="62.1" customHeight="1">
      <c r="A178" s="50"/>
      <c r="B178" s="20"/>
      <c r="C178" s="21"/>
      <c r="D178" s="21"/>
      <c r="E178" s="21"/>
      <c r="F178" s="21"/>
      <c r="G178" s="21"/>
      <c r="H178" s="21"/>
      <c r="I178" s="21"/>
      <c r="J178" s="22"/>
    </row>
    <row r="179" spans="1:10" ht="62.1" customHeight="1">
      <c r="A179" s="50"/>
      <c r="B179" s="20"/>
      <c r="C179" s="21"/>
      <c r="D179" s="21"/>
      <c r="E179" s="21"/>
      <c r="F179" s="21"/>
      <c r="G179" s="21"/>
      <c r="H179" s="21"/>
      <c r="I179" s="21"/>
      <c r="J179" s="22"/>
    </row>
    <row r="180" spans="1:10" ht="62.1" customHeight="1">
      <c r="A180" s="50"/>
      <c r="B180" s="20"/>
      <c r="C180" s="21"/>
      <c r="D180" s="21"/>
      <c r="E180" s="21"/>
      <c r="F180" s="21"/>
      <c r="G180" s="21"/>
      <c r="H180" s="21"/>
      <c r="I180" s="21"/>
      <c r="J180" s="22"/>
    </row>
    <row r="181" spans="1:10" ht="62.1" customHeight="1">
      <c r="A181" s="50"/>
      <c r="B181" s="20"/>
      <c r="C181" s="21"/>
      <c r="D181" s="21"/>
      <c r="E181" s="21"/>
      <c r="F181" s="21"/>
      <c r="G181" s="21"/>
      <c r="H181" s="21"/>
      <c r="I181" s="21"/>
      <c r="J181" s="22"/>
    </row>
    <row r="182" spans="1:10" ht="62.1" customHeight="1">
      <c r="A182" s="50"/>
      <c r="B182" s="20"/>
      <c r="C182" s="21"/>
      <c r="D182" s="21"/>
      <c r="E182" s="21"/>
      <c r="F182" s="21"/>
      <c r="G182" s="21"/>
      <c r="H182" s="21"/>
      <c r="I182" s="21"/>
      <c r="J182" s="22"/>
    </row>
    <row r="183" spans="1:10" ht="62.1" customHeight="1">
      <c r="A183" s="50"/>
      <c r="B183" s="20"/>
      <c r="C183" s="21"/>
      <c r="D183" s="21"/>
      <c r="E183" s="21"/>
      <c r="F183" s="21"/>
      <c r="G183" s="21"/>
      <c r="H183" s="21"/>
      <c r="I183" s="21"/>
      <c r="J183" s="22"/>
    </row>
    <row r="184" spans="1:10" ht="62.1" customHeight="1">
      <c r="A184" s="50"/>
      <c r="B184" s="20"/>
      <c r="C184" s="21"/>
      <c r="D184" s="21"/>
      <c r="E184" s="21"/>
      <c r="F184" s="21"/>
      <c r="G184" s="21"/>
      <c r="H184" s="21"/>
      <c r="I184" s="21"/>
      <c r="J184" s="22"/>
    </row>
    <row r="185" spans="1:10" ht="62.1" customHeight="1">
      <c r="A185" s="50"/>
      <c r="B185" s="20"/>
      <c r="C185" s="21"/>
      <c r="D185" s="21"/>
      <c r="E185" s="21"/>
      <c r="F185" s="21"/>
      <c r="G185" s="21"/>
      <c r="H185" s="21"/>
      <c r="I185" s="21"/>
      <c r="J185" s="22"/>
    </row>
    <row r="186" spans="1:10" ht="62.1" customHeight="1">
      <c r="A186" s="50"/>
      <c r="B186" s="20"/>
      <c r="C186" s="21"/>
      <c r="D186" s="21"/>
      <c r="E186" s="21"/>
      <c r="F186" s="21"/>
      <c r="G186" s="21"/>
      <c r="H186" s="21"/>
      <c r="I186" s="21"/>
      <c r="J186" s="22"/>
    </row>
    <row r="187" spans="1:10" ht="62.1" customHeight="1">
      <c r="A187" s="50"/>
      <c r="B187" s="20"/>
      <c r="C187" s="21"/>
      <c r="D187" s="21"/>
      <c r="E187" s="21"/>
      <c r="F187" s="21"/>
      <c r="G187" s="21"/>
      <c r="H187" s="21"/>
      <c r="I187" s="21"/>
      <c r="J187" s="22"/>
    </row>
    <row r="188" spans="1:10" ht="62.1" customHeight="1">
      <c r="A188" s="50"/>
      <c r="B188" s="20"/>
      <c r="C188" s="21"/>
      <c r="D188" s="21"/>
      <c r="E188" s="21"/>
      <c r="F188" s="21"/>
      <c r="G188" s="21"/>
      <c r="H188" s="21"/>
      <c r="I188" s="21"/>
      <c r="J188" s="22"/>
    </row>
    <row r="189" spans="1:10" ht="62.1" customHeight="1">
      <c r="A189" s="50"/>
      <c r="B189" s="20"/>
      <c r="C189" s="21"/>
      <c r="D189" s="21"/>
      <c r="E189" s="21"/>
      <c r="F189" s="21"/>
      <c r="G189" s="21"/>
      <c r="H189" s="21"/>
      <c r="I189" s="21"/>
      <c r="J189" s="22"/>
    </row>
    <row r="190" spans="1:10" ht="62.1" customHeight="1">
      <c r="A190" s="50"/>
      <c r="B190" s="20"/>
      <c r="C190" s="21"/>
      <c r="D190" s="21"/>
      <c r="E190" s="21"/>
      <c r="F190" s="21"/>
      <c r="G190" s="21"/>
      <c r="H190" s="21"/>
      <c r="I190" s="21"/>
      <c r="J190" s="22"/>
    </row>
    <row r="191" spans="1:10" ht="62.1" customHeight="1">
      <c r="A191" s="50"/>
      <c r="B191" s="20"/>
      <c r="C191" s="21"/>
      <c r="D191" s="21"/>
      <c r="E191" s="21"/>
      <c r="F191" s="21"/>
      <c r="G191" s="21"/>
      <c r="H191" s="21"/>
      <c r="I191" s="21"/>
      <c r="J191" s="22"/>
    </row>
    <row r="192" spans="1:10" ht="62.1" customHeight="1">
      <c r="A192" s="50"/>
      <c r="B192" s="20"/>
      <c r="C192" s="21"/>
      <c r="D192" s="21"/>
      <c r="E192" s="21"/>
      <c r="F192" s="21"/>
      <c r="G192" s="21"/>
      <c r="H192" s="21"/>
      <c r="I192" s="21"/>
      <c r="J192" s="22"/>
    </row>
    <row r="193" spans="1:10" ht="62.1" customHeight="1">
      <c r="A193" s="50"/>
      <c r="B193" s="20"/>
      <c r="C193" s="21"/>
      <c r="D193" s="21"/>
      <c r="E193" s="21"/>
      <c r="F193" s="21"/>
      <c r="G193" s="21"/>
      <c r="H193" s="21"/>
      <c r="I193" s="21"/>
      <c r="J193" s="22"/>
    </row>
    <row r="194" spans="1:10" ht="62.1" customHeight="1">
      <c r="A194" s="50"/>
      <c r="B194" s="20"/>
      <c r="C194" s="21"/>
      <c r="D194" s="21"/>
      <c r="E194" s="21"/>
      <c r="F194" s="21"/>
      <c r="G194" s="21"/>
      <c r="H194" s="21"/>
      <c r="I194" s="21"/>
      <c r="J194" s="22"/>
    </row>
    <row r="195" spans="1:10" ht="62.1" customHeight="1">
      <c r="A195" s="50"/>
      <c r="B195" s="20"/>
      <c r="C195" s="21"/>
      <c r="D195" s="21"/>
      <c r="E195" s="21"/>
      <c r="F195" s="21"/>
      <c r="G195" s="21"/>
      <c r="H195" s="21"/>
      <c r="I195" s="21"/>
      <c r="J195" s="22"/>
    </row>
    <row r="196" spans="1:10" ht="62.1" customHeight="1">
      <c r="A196" s="50"/>
      <c r="B196" s="20"/>
      <c r="C196" s="21"/>
      <c r="D196" s="21"/>
      <c r="E196" s="21"/>
      <c r="F196" s="21"/>
      <c r="G196" s="21"/>
      <c r="H196" s="21"/>
      <c r="I196" s="21"/>
      <c r="J196" s="22"/>
    </row>
    <row r="197" spans="1:10" ht="62.1" customHeight="1">
      <c r="A197" s="50"/>
      <c r="B197" s="20"/>
      <c r="C197" s="21"/>
      <c r="D197" s="21"/>
      <c r="E197" s="21"/>
      <c r="F197" s="21"/>
      <c r="G197" s="21"/>
      <c r="H197" s="21"/>
      <c r="I197" s="21"/>
      <c r="J197" s="22"/>
    </row>
    <row r="198" spans="1:10" ht="62.1" customHeight="1">
      <c r="A198" s="50"/>
      <c r="B198" s="20"/>
      <c r="C198" s="21"/>
      <c r="D198" s="21"/>
      <c r="E198" s="21"/>
      <c r="F198" s="21"/>
      <c r="G198" s="21"/>
      <c r="H198" s="21"/>
      <c r="I198" s="21"/>
      <c r="J198" s="22"/>
    </row>
    <row r="199" spans="1:10" ht="62.1" customHeight="1">
      <c r="A199" s="50"/>
      <c r="B199" s="20"/>
      <c r="C199" s="21"/>
      <c r="D199" s="21"/>
      <c r="E199" s="21"/>
      <c r="F199" s="21"/>
      <c r="G199" s="21"/>
      <c r="H199" s="21"/>
      <c r="I199" s="21"/>
      <c r="J199" s="22"/>
    </row>
    <row r="200" spans="1:10" ht="62.1" customHeight="1">
      <c r="A200" s="50"/>
      <c r="B200" s="20"/>
      <c r="C200" s="21"/>
      <c r="D200" s="21"/>
      <c r="E200" s="21"/>
      <c r="F200" s="21"/>
      <c r="G200" s="21"/>
      <c r="H200" s="21"/>
      <c r="I200" s="21"/>
      <c r="J200" s="22"/>
    </row>
    <row r="201" spans="1:10" ht="62.1" customHeight="1">
      <c r="A201" s="50"/>
      <c r="B201" s="20"/>
      <c r="C201" s="21"/>
      <c r="D201" s="21"/>
      <c r="E201" s="21"/>
      <c r="F201" s="21"/>
      <c r="G201" s="21"/>
      <c r="H201" s="21"/>
      <c r="I201" s="21"/>
      <c r="J201" s="22"/>
    </row>
    <row r="202" spans="1:10" ht="62.1" customHeight="1">
      <c r="A202" s="50"/>
      <c r="B202" s="20"/>
      <c r="C202" s="21"/>
      <c r="D202" s="21"/>
      <c r="E202" s="21"/>
      <c r="F202" s="21"/>
      <c r="G202" s="21"/>
      <c r="H202" s="21"/>
      <c r="I202" s="21"/>
      <c r="J202" s="22"/>
    </row>
    <row r="203" spans="1:10" ht="62.1" customHeight="1">
      <c r="A203" s="50"/>
      <c r="B203" s="20"/>
      <c r="C203" s="21"/>
      <c r="D203" s="21"/>
      <c r="E203" s="21"/>
      <c r="F203" s="21"/>
      <c r="G203" s="21"/>
      <c r="H203" s="21"/>
      <c r="I203" s="21"/>
      <c r="J203" s="22"/>
    </row>
    <row r="204" spans="1:10" ht="62.1" customHeight="1">
      <c r="A204" s="50"/>
      <c r="B204" s="20"/>
      <c r="C204" s="21"/>
      <c r="D204" s="21"/>
      <c r="E204" s="21"/>
      <c r="F204" s="21"/>
      <c r="G204" s="21"/>
      <c r="H204" s="21"/>
      <c r="I204" s="21"/>
      <c r="J204" s="22"/>
    </row>
    <row r="205" spans="1:10" ht="62.1" customHeight="1">
      <c r="A205" s="50"/>
      <c r="B205" s="20"/>
      <c r="C205" s="21"/>
      <c r="D205" s="21"/>
      <c r="E205" s="21"/>
      <c r="F205" s="21"/>
      <c r="G205" s="21"/>
      <c r="H205" s="21"/>
      <c r="I205" s="21"/>
      <c r="J205" s="22"/>
    </row>
    <row r="206" spans="1:10" ht="62.1" customHeight="1">
      <c r="A206" s="50"/>
      <c r="B206" s="20"/>
      <c r="C206" s="21"/>
      <c r="D206" s="21"/>
      <c r="E206" s="21"/>
      <c r="F206" s="21"/>
      <c r="G206" s="21"/>
      <c r="H206" s="21"/>
      <c r="I206" s="21"/>
      <c r="J206" s="22"/>
    </row>
    <row r="207" spans="1:10" ht="62.1" customHeight="1">
      <c r="A207" s="50"/>
      <c r="B207" s="20"/>
      <c r="C207" s="21"/>
      <c r="D207" s="21"/>
      <c r="E207" s="21"/>
      <c r="F207" s="21"/>
      <c r="G207" s="21"/>
      <c r="H207" s="21"/>
      <c r="I207" s="21"/>
      <c r="J207" s="22"/>
    </row>
    <row r="208" spans="1:10" ht="62.1" customHeight="1">
      <c r="A208" s="50"/>
      <c r="B208" s="20"/>
      <c r="C208" s="21"/>
      <c r="D208" s="21"/>
      <c r="E208" s="21"/>
      <c r="F208" s="21"/>
      <c r="G208" s="21"/>
      <c r="H208" s="21"/>
      <c r="I208" s="21"/>
      <c r="J208" s="22"/>
    </row>
    <row r="209" spans="1:10" ht="62.1" customHeight="1">
      <c r="A209" s="50"/>
      <c r="B209" s="20"/>
      <c r="C209" s="21"/>
      <c r="D209" s="21"/>
      <c r="E209" s="21"/>
      <c r="F209" s="21"/>
      <c r="G209" s="21"/>
      <c r="H209" s="21"/>
      <c r="I209" s="21"/>
      <c r="J209" s="22"/>
    </row>
    <row r="210" spans="1:10" ht="62.1" customHeight="1">
      <c r="A210" s="50"/>
      <c r="B210" s="20"/>
      <c r="C210" s="21"/>
      <c r="D210" s="21"/>
      <c r="E210" s="21"/>
      <c r="F210" s="21"/>
      <c r="G210" s="21"/>
      <c r="H210" s="21"/>
      <c r="I210" s="21"/>
      <c r="J210" s="22"/>
    </row>
    <row r="211" spans="1:10" ht="62.1" customHeight="1">
      <c r="A211" s="50"/>
      <c r="B211" s="20"/>
      <c r="C211" s="21"/>
      <c r="D211" s="21"/>
      <c r="E211" s="21"/>
      <c r="F211" s="21"/>
      <c r="G211" s="21"/>
      <c r="H211" s="21"/>
      <c r="I211" s="21"/>
      <c r="J211" s="22"/>
    </row>
    <row r="212" spans="1:10" ht="62.1" customHeight="1">
      <c r="A212" s="50"/>
      <c r="B212" s="20"/>
      <c r="C212" s="21"/>
      <c r="D212" s="21"/>
      <c r="E212" s="21"/>
      <c r="F212" s="21"/>
      <c r="G212" s="21"/>
      <c r="H212" s="21"/>
      <c r="I212" s="21"/>
      <c r="J212" s="22"/>
    </row>
    <row r="213" spans="1:10" ht="62.1" customHeight="1">
      <c r="A213" s="50"/>
      <c r="B213" s="20"/>
      <c r="C213" s="21"/>
      <c r="D213" s="21"/>
      <c r="E213" s="21"/>
      <c r="F213" s="21"/>
      <c r="G213" s="21"/>
      <c r="H213" s="21"/>
      <c r="I213" s="21"/>
      <c r="J213" s="22"/>
    </row>
    <row r="214" spans="1:10" ht="62.1" customHeight="1">
      <c r="A214" s="50"/>
      <c r="B214" s="20"/>
      <c r="C214" s="21"/>
      <c r="D214" s="21"/>
      <c r="E214" s="21"/>
      <c r="F214" s="21"/>
      <c r="G214" s="21"/>
      <c r="H214" s="21"/>
      <c r="I214" s="21"/>
      <c r="J214" s="22"/>
    </row>
    <row r="215" spans="1:10" ht="62.1" customHeight="1">
      <c r="A215" s="50"/>
      <c r="B215" s="20"/>
      <c r="C215" s="21"/>
      <c r="D215" s="21"/>
      <c r="E215" s="21"/>
      <c r="F215" s="21"/>
      <c r="G215" s="21"/>
      <c r="H215" s="21"/>
      <c r="I215" s="21"/>
      <c r="J215" s="22"/>
    </row>
    <row r="216" spans="1:10" ht="62.1" customHeight="1">
      <c r="A216" s="50"/>
      <c r="B216" s="20"/>
      <c r="C216" s="21"/>
      <c r="D216" s="21"/>
      <c r="E216" s="21"/>
      <c r="F216" s="21"/>
      <c r="G216" s="21"/>
      <c r="H216" s="21"/>
      <c r="I216" s="21"/>
      <c r="J216" s="22"/>
    </row>
    <row r="217" spans="1:10" ht="62.1" customHeight="1">
      <c r="A217" s="50"/>
      <c r="B217" s="20"/>
      <c r="C217" s="21"/>
      <c r="D217" s="21"/>
      <c r="E217" s="21"/>
      <c r="F217" s="21"/>
      <c r="G217" s="21"/>
      <c r="H217" s="21"/>
      <c r="I217" s="21"/>
      <c r="J217" s="22"/>
    </row>
    <row r="218" spans="1:10" ht="62.1" customHeight="1">
      <c r="A218" s="50"/>
      <c r="B218" s="20"/>
      <c r="C218" s="21"/>
      <c r="D218" s="21"/>
      <c r="E218" s="21"/>
      <c r="F218" s="21"/>
      <c r="G218" s="21"/>
      <c r="H218" s="21"/>
      <c r="I218" s="21"/>
      <c r="J218" s="22"/>
    </row>
    <row r="219" spans="1:10" ht="62.1" customHeight="1">
      <c r="A219" s="50"/>
      <c r="B219" s="20"/>
      <c r="C219" s="21"/>
      <c r="D219" s="21"/>
      <c r="E219" s="21"/>
      <c r="F219" s="21"/>
      <c r="G219" s="21"/>
      <c r="H219" s="21"/>
      <c r="I219" s="21"/>
      <c r="J219" s="22"/>
    </row>
    <row r="220" spans="1:10" ht="62.1" customHeight="1">
      <c r="A220" s="50"/>
      <c r="B220" s="20"/>
      <c r="C220" s="21"/>
      <c r="D220" s="21"/>
      <c r="E220" s="21"/>
      <c r="F220" s="21"/>
      <c r="G220" s="21"/>
      <c r="H220" s="21"/>
      <c r="I220" s="21"/>
      <c r="J220" s="22"/>
    </row>
    <row r="221" spans="1:10" ht="62.1" customHeight="1">
      <c r="A221" s="50"/>
      <c r="B221" s="20"/>
      <c r="C221" s="21"/>
      <c r="D221" s="21"/>
      <c r="E221" s="21"/>
      <c r="F221" s="21"/>
      <c r="G221" s="21"/>
      <c r="H221" s="21"/>
      <c r="I221" s="21"/>
      <c r="J221" s="22"/>
    </row>
    <row r="222" spans="1:10" ht="62.1" customHeight="1">
      <c r="A222" s="50"/>
      <c r="B222" s="20"/>
      <c r="C222" s="21"/>
      <c r="D222" s="21"/>
      <c r="E222" s="21"/>
      <c r="F222" s="21"/>
      <c r="G222" s="21"/>
      <c r="H222" s="21"/>
      <c r="I222" s="21"/>
      <c r="J222" s="22"/>
    </row>
    <row r="223" spans="1:10" ht="62.1" customHeight="1">
      <c r="A223" s="50"/>
      <c r="B223" s="20"/>
      <c r="C223" s="21"/>
      <c r="D223" s="21"/>
      <c r="E223" s="21"/>
      <c r="F223" s="21"/>
      <c r="G223" s="21"/>
      <c r="H223" s="21"/>
      <c r="I223" s="21"/>
      <c r="J223" s="22"/>
    </row>
    <row r="224" spans="1:10" ht="62.1" customHeight="1">
      <c r="A224" s="50"/>
      <c r="B224" s="20"/>
      <c r="C224" s="21"/>
      <c r="D224" s="21"/>
      <c r="E224" s="21"/>
      <c r="F224" s="21"/>
      <c r="G224" s="21"/>
      <c r="H224" s="21"/>
      <c r="I224" s="21"/>
      <c r="J224" s="22"/>
    </row>
    <row r="225" spans="1:10" ht="62.1" customHeight="1">
      <c r="A225" s="50"/>
      <c r="B225" s="20"/>
      <c r="C225" s="21"/>
      <c r="D225" s="21"/>
      <c r="E225" s="21"/>
      <c r="F225" s="21"/>
      <c r="G225" s="21"/>
      <c r="H225" s="21"/>
      <c r="I225" s="21"/>
      <c r="J225" s="22"/>
    </row>
    <row r="226" spans="1:10" ht="62.1" customHeight="1">
      <c r="A226" s="50"/>
      <c r="B226" s="20"/>
      <c r="C226" s="21"/>
      <c r="D226" s="21"/>
      <c r="E226" s="21"/>
      <c r="F226" s="21"/>
      <c r="G226" s="21"/>
      <c r="H226" s="21"/>
      <c r="I226" s="21"/>
      <c r="J226" s="22"/>
    </row>
    <row r="227" spans="1:10" ht="62.1" customHeight="1">
      <c r="A227" s="50"/>
      <c r="B227" s="20"/>
      <c r="C227" s="21"/>
      <c r="D227" s="21"/>
      <c r="E227" s="21"/>
      <c r="F227" s="21"/>
      <c r="G227" s="21"/>
      <c r="H227" s="21"/>
      <c r="I227" s="21"/>
      <c r="J227" s="22"/>
    </row>
    <row r="228" spans="1:10" ht="62.1" customHeight="1">
      <c r="A228" s="50"/>
      <c r="B228" s="20"/>
      <c r="C228" s="21"/>
      <c r="D228" s="21"/>
      <c r="E228" s="21"/>
      <c r="F228" s="21"/>
      <c r="G228" s="21"/>
      <c r="H228" s="21"/>
      <c r="I228" s="21"/>
      <c r="J228" s="22"/>
    </row>
  </sheetData>
  <mergeCells count="24">
    <mergeCell ref="A24:J25"/>
    <mergeCell ref="A27:J27"/>
    <mergeCell ref="A14:B14"/>
    <mergeCell ref="C14:F14"/>
    <mergeCell ref="H14:J14"/>
    <mergeCell ref="A16:J16"/>
    <mergeCell ref="A17:J22"/>
    <mergeCell ref="A10:B10"/>
    <mergeCell ref="C10:F10"/>
    <mergeCell ref="H10:J10"/>
    <mergeCell ref="A12:B12"/>
    <mergeCell ref="C12:F12"/>
    <mergeCell ref="H12:J12"/>
    <mergeCell ref="A6:B6"/>
    <mergeCell ref="C6:F6"/>
    <mergeCell ref="G6:J6"/>
    <mergeCell ref="A8:B8"/>
    <mergeCell ref="C8:F8"/>
    <mergeCell ref="H8:J8"/>
    <mergeCell ref="A2:J2"/>
    <mergeCell ref="A3:J3"/>
    <mergeCell ref="A4:C4"/>
    <mergeCell ref="D4:F4"/>
    <mergeCell ref="G4:J4"/>
  </mergeCells>
  <dataValidations count="8">
    <dataValidation type="list" sqref="C6" xr:uid="{00000000-0002-0000-0200-000000000000}">
      <formula1>"Analisar texto,Aplicar aprovados,Importar arquivo,Limpar entrada,Trocar chave"</formula1>
    </dataValidation>
    <dataValidation type="list" sqref="C8" xr:uid="{00000000-0002-0000-0200-000001000000}">
      <formula1>INDIRECT("'Processos'!A10:A509")</formula1>
    </dataValidation>
    <dataValidation type="list" sqref="C10" xr:uid="{00000000-0002-0000-0200-000002000000}">
      <formula1>INDIRECT("'Configurar'!A10:A29")</formula1>
    </dataValidation>
    <dataValidation type="list" sqref="H10" xr:uid="{00000000-0002-0000-0200-000003000000}">
      <formula1>INDIRECT("'Configurar'!B10:B29")</formula1>
    </dataValidation>
    <dataValidation type="list" sqref="C12" xr:uid="{00000000-0002-0000-0200-000004000000}">
      <formula1>INDIRECT("'Configurar'!C10:C39")</formula1>
    </dataValidation>
    <dataValidation type="list" sqref="H12" xr:uid="{00000000-0002-0000-0200-000005000000}">
      <formula1>INDIRECT("'Configurar'!E10:E29")</formula1>
    </dataValidation>
    <dataValidation type="list" sqref="C14" xr:uid="{00000000-0002-0000-0200-000006000000}">
      <formula1>"Revisar tudo,Andamentos automáticos"</formula1>
    </dataValidation>
    <dataValidation type="list" sqref="A29:A228" xr:uid="{00000000-0002-0000-0200-000007000000}">
      <formula1>"Sim,Não"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13653"/>
  </sheetPr>
  <dimension ref="A1:J509"/>
  <sheetViews>
    <sheetView showGridLines="0" workbookViewId="0">
      <pane xSplit="1" ySplit="9" topLeftCell="B10" activePane="bottomRight" state="frozen"/>
      <selection pane="topRight"/>
      <selection pane="bottomLeft"/>
      <selection pane="bottomRight" activeCell="B10" sqref="B10"/>
    </sheetView>
  </sheetViews>
  <sheetFormatPr defaultRowHeight="14.25"/>
  <cols>
    <col min="1" max="1" width="28" customWidth="1"/>
    <col min="2" max="2" width="20" customWidth="1"/>
    <col min="3" max="3" width="26" customWidth="1"/>
    <col min="4" max="4" width="28" customWidth="1"/>
    <col min="5" max="5" width="36" customWidth="1"/>
    <col min="6" max="6" width="18" customWidth="1"/>
    <col min="7" max="7" width="14" customWidth="1"/>
    <col min="8" max="10" width="0" hidden="1" customWidth="1"/>
  </cols>
  <sheetData>
    <row r="1" spans="1:10" ht="23.1" customHeight="1">
      <c r="A1" s="6"/>
      <c r="B1" s="6"/>
      <c r="C1" s="6"/>
      <c r="D1" s="6"/>
      <c r="E1" s="6"/>
      <c r="F1" s="6"/>
      <c r="G1" s="6"/>
      <c r="H1" s="6"/>
      <c r="I1" s="6"/>
    </row>
    <row r="2" spans="1:10" ht="33.950000000000003" customHeight="1">
      <c r="A2" s="53" t="s">
        <v>82</v>
      </c>
      <c r="B2" s="53"/>
      <c r="C2" s="53"/>
      <c r="D2" s="53"/>
      <c r="E2" s="53"/>
      <c r="F2" s="53"/>
      <c r="G2" s="53"/>
      <c r="H2" s="53"/>
      <c r="I2" s="53"/>
    </row>
    <row r="3" spans="1:10" ht="30" customHeight="1">
      <c r="A3" s="54" t="s">
        <v>83</v>
      </c>
      <c r="B3" s="54"/>
      <c r="C3" s="54"/>
      <c r="D3" s="54"/>
      <c r="E3" s="54"/>
      <c r="F3" s="54"/>
      <c r="G3" s="54"/>
      <c r="H3" s="54"/>
      <c r="I3" s="54"/>
    </row>
    <row r="4" spans="1:10" ht="27.95" customHeight="1">
      <c r="A4" s="78" t="str">
        <f>IFERROR(HYPERLINK("#'Painel'!A1","Painel"),"Painel")</f>
        <v>Painel</v>
      </c>
      <c r="B4" s="78"/>
      <c r="C4" s="78"/>
      <c r="D4" s="78" t="str">
        <f>IFERROR(HYPERLINK("#'Ficha'!C6","Ficha do processo"),"Ficha do processo")</f>
        <v>Ficha do processo</v>
      </c>
      <c r="E4" s="78"/>
      <c r="F4" s="78"/>
      <c r="G4" s="77" t="str">
        <f>IFERROR(HYPERLINK("#'Central IA'!C6","Atualizar com IA"),"Atualizar com IA")</f>
        <v>Atualizar com IA</v>
      </c>
      <c r="H4" s="77"/>
      <c r="I4" s="77"/>
    </row>
    <row r="5" spans="1:10" ht="27" customHeight="1">
      <c r="A5" s="122" t="s">
        <v>84</v>
      </c>
      <c r="B5" s="122"/>
      <c r="C5" s="122"/>
      <c r="D5" s="122"/>
      <c r="E5" s="122"/>
      <c r="F5" s="122"/>
      <c r="G5" s="122"/>
      <c r="H5" s="122"/>
      <c r="I5" s="122"/>
    </row>
    <row r="6" spans="1:10" ht="23.1" customHeight="1">
      <c r="A6" s="121" t="str">
        <f>COUNTIFS(Processos!$X$10:$X$509,1,Processos!$Y$10:$Y$509,1)&amp;" processos críticos na seleção do Painel"</f>
        <v>7 processos críticos na seleção do Painel</v>
      </c>
      <c r="B6" s="121"/>
      <c r="C6" s="121"/>
      <c r="D6" s="121"/>
      <c r="E6" s="121"/>
      <c r="F6" s="121"/>
      <c r="G6" s="121"/>
      <c r="H6" s="121"/>
      <c r="I6" s="121"/>
    </row>
    <row r="7" spans="1:10" ht="23.1" customHeight="1">
      <c r="A7" s="88" t="s">
        <v>85</v>
      </c>
      <c r="B7" s="88"/>
      <c r="C7" s="88"/>
      <c r="D7" s="88"/>
      <c r="E7" s="88"/>
      <c r="F7" s="88"/>
      <c r="G7" s="88"/>
      <c r="H7" s="88"/>
      <c r="I7" s="88"/>
    </row>
    <row r="8" spans="1:10" ht="23.1" customHeight="1">
      <c r="A8" s="6"/>
      <c r="B8" s="6"/>
      <c r="C8" s="6" t="s">
        <v>86</v>
      </c>
      <c r="D8" s="50">
        <v>1</v>
      </c>
      <c r="E8" s="123" t="str">
        <f>IFERROR(HYPERLINK("#'Critérios'!A6","VER CORES E CRITÉRIOS"),"VER CORES E CRITÉRIOS")</f>
        <v>VER CORES E CRITÉRIOS</v>
      </c>
      <c r="F8" s="123"/>
      <c r="G8" s="124"/>
      <c r="I8" s="24">
        <f>MAX(1,ROUNDUP(COUNTIFS(Processos!$X$10:$X$509,1,Processos!$Y$10:$Y$509,1)/50,0))</f>
        <v>1</v>
      </c>
      <c r="J8" s="25">
        <f>MAX(1,MIN(IFERROR(INT(D8),1),I8))</f>
        <v>1</v>
      </c>
    </row>
    <row r="9" spans="1:10" ht="39.950000000000003" customHeight="1">
      <c r="A9" s="9" t="s">
        <v>73</v>
      </c>
      <c r="B9" s="9" t="s">
        <v>87</v>
      </c>
      <c r="C9" s="9" t="s">
        <v>88</v>
      </c>
      <c r="D9" s="9" t="s">
        <v>89</v>
      </c>
      <c r="E9" s="9" t="s">
        <v>90</v>
      </c>
      <c r="F9" s="9" t="s">
        <v>91</v>
      </c>
      <c r="G9" s="9" t="s">
        <v>92</v>
      </c>
    </row>
    <row r="10" spans="1:10" ht="114.95" customHeight="1">
      <c r="A10" s="7" t="str">
        <f>IF((ROW()-9+($J$8-1)*50)&gt;COUNTIFS(Processos!$X$10:$X$509,1,Processos!$Y$10:$Y$509,1),"",IF(INDEX(Processos!$A$10:$A$509,MATCH((ROW()-9+($J$8-1)*50),Processos!$AJ$10:$AJ$509,0))="","",INDEX(Processos!$A$10:$A$509,MATCH((ROW()-9+($J$8-1)*50),Processos!$AJ$10:$AJ$509,0))))</f>
        <v>0016196-95.2018.5.16.0017</v>
      </c>
      <c r="B10" s="6" t="str">
        <f>IF((ROW()-9+($J$8-1)*50)&gt;COUNTIFS(Processos!$X$10:$X$509,1,Processos!$Y$10:$Y$509,1),"",IF(INDEX(Processos!$D$10:$D$509,MATCH((ROW()-9+($J$8-1)*50),Processos!$AJ$10:$AJ$509,0))="","",INDEX(Processos!$D$10:$D$509,MATCH((ROW()-9+($J$8-1)*50),Processos!$AJ$10:$AJ$509,0))))</f>
        <v>BMM Advogados</v>
      </c>
      <c r="C10"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RAIMUNDO DIAS DA SILVA × CONSÓRCIO INTEGRAL SPAVIAS TRAIL ALTA</v>
      </c>
      <c r="D10"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Trata-se de um processo trabalhista em que o reclamante alega ter laborado em jornada extraordinária habitual, sem o devido pagamento das horas extras.</v>
      </c>
      <c r="E10" s="39" t="str">
        <f>IF($A10="","",IFERROR(INDEX(Processos!$AR$10:$AR$509,MATCH($A10,Processos!$A$10:$A$509,0)),"")&amp;CHAR(10)&amp;IFERROR(IF(OR(INDEX(Origem!$AB$10:$AB$509,MATCH($A10,Origem!$A$10:$A$509,0))="",INDEX(Origem!$AB$10:$AB$509,MATCH($A10,Origem!$A$10:$A$509,0))="—"),"Origem: sem classificação","Origem: "&amp;INDEX(Origem!$AB$10:$AB$509,MATCH($A10,Origem!$A$10:$A$509,0))&amp;IF(INDEX(Origem!$AC$10:$AC$509,MATCH($A10,Origem!$A$10:$A$509,0))=""," (sem pontuação)"," • "&amp;INDEX(Origem!$AC$10:$AC$509,MATCH($A10,Origem!$A$10:$A$509,0))&amp;" pontos")),"Origem: sem classificação"))</f>
        <v>Prioridade crítica. Criticidade herdada da planilha de origem; validar. Não confirma bloqueio/penhora vigente.
Origem: 🔴 CRÍTICO • 70 pontos</v>
      </c>
      <c r="F10" s="10">
        <f>IF((ROW()-9+($J$8-1)*50)&gt;COUNTIFS(Processos!$X$10:$X$509,1,Processos!$Y$10:$Y$509,1),"",IF(INDEX(Processos!$AQ$10:$AQ$509,MATCH((ROW()-9+($J$8-1)*50),Processos!$AJ$10:$AJ$509,0))="","",INDEX(Processos!$AQ$10:$AQ$509,MATCH((ROW()-9+($J$8-1)*50),Processos!$AJ$10:$AJ$509,0))))</f>
        <v>119383.18</v>
      </c>
      <c r="G10" s="6" t="str">
        <f>IF((ROW()-9+($J$8-1)*50)&gt;COUNTIFS(Processos!$X$10:$X$509,1,Processos!$Y$10:$Y$509,1),"",IFERROR(HYPERLINK("#'Ficha'!C6","Selecionar na Ficha"),"Selecionar na Ficha"))</f>
        <v>Selecionar na Ficha</v>
      </c>
    </row>
    <row r="11" spans="1:10" ht="114.95" customHeight="1">
      <c r="A11" s="7" t="str">
        <f>IF((ROW()-9+($J$8-1)*50)&gt;COUNTIFS(Processos!$X$10:$X$509,1,Processos!$Y$10:$Y$509,1),"",IF(INDEX(Processos!$A$10:$A$509,MATCH((ROW()-9+($J$8-1)*50),Processos!$AJ$10:$AJ$509,0))="","",INDEX(Processos!$A$10:$A$509,MATCH((ROW()-9+($J$8-1)*50),Processos!$AJ$10:$AJ$509,0))))</f>
        <v>0010552-28.2019.5.03.0138</v>
      </c>
      <c r="B11" s="6" t="str">
        <f>IF((ROW()-9+($J$8-1)*50)&gt;COUNTIFS(Processos!$X$10:$X$509,1,Processos!$Y$10:$Y$509,1),"",IF(INDEX(Processos!$D$10:$D$509,MATCH((ROW()-9+($J$8-1)*50),Processos!$AJ$10:$AJ$509,0))="","",INDEX(Processos!$D$10:$D$509,MATCH((ROW()-9+($J$8-1)*50),Processos!$AJ$10:$AJ$509,0))))</f>
        <v>BMM Advogados</v>
      </c>
      <c r="C11"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GUILHERME SANTOS MOREIRA × 1 - Consórcio Spavias - Alta 2 - Spavias Engenharia LTDA 3 - Alta Engenharia 4 - Cava Engenharia</v>
      </c>
      <c r="D11"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O trabalhador ajuizou ação contra o Consórcio Spavias Cava alegando que trabalhou de 2015 a 2019 como encarregado de departamento pessoal, com salário de R$ 4.076,43. Afirma que não recebeu  [...]</v>
      </c>
      <c r="E11" s="39" t="str">
        <f>IF($A11="","",IFERROR(INDEX(Processos!$AR$10:$AR$509,MATCH($A11,Processos!$A$10:$A$509,0)),"")&amp;CHAR(10)&amp;IFERROR(IF(OR(INDEX(Origem!$AB$10:$AB$509,MATCH($A11,Origem!$A$10:$A$509,0))="",INDEX(Origem!$AB$10:$AB$509,MATCH($A11,Origem!$A$10:$A$509,0))="—"),"Origem: sem classificação","Origem: "&amp;INDEX(Origem!$AB$10:$AB$509,MATCH($A11,Origem!$A$10:$A$509,0))&amp;IF(INDEX(Origem!$AC$10:$AC$509,MATCH($A11,Origem!$A$10:$A$509,0))=""," (sem pontuação)"," • "&amp;INDEX(Origem!$AC$10:$AC$509,MATCH($A11,Origem!$A$10:$A$509,0))&amp;" pontos")),"Origem: sem classificação"))</f>
        <v>Prioridade crítica. Criticidade herdada da planilha de origem; validar. Não confirma bloqueio/penhora vigente.
Origem: 🔴 CRÍTICO • 70 pontos</v>
      </c>
      <c r="F11" s="10">
        <f>IF((ROW()-9+($J$8-1)*50)&gt;COUNTIFS(Processos!$X$10:$X$509,1,Processos!$Y$10:$Y$509,1),"",IF(INDEX(Processos!$AQ$10:$AQ$509,MATCH((ROW()-9+($J$8-1)*50),Processos!$AJ$10:$AJ$509,0))="","",INDEX(Processos!$AQ$10:$AQ$509,MATCH((ROW()-9+($J$8-1)*50),Processos!$AJ$10:$AJ$509,0))))</f>
        <v>80298.47</v>
      </c>
      <c r="G11" s="6" t="str">
        <f>IF((ROW()-9+($J$8-1)*50)&gt;COUNTIFS(Processos!$X$10:$X$509,1,Processos!$Y$10:$Y$509,1),"",IFERROR(HYPERLINK("#'Ficha'!C6","Selecionar na Ficha"),"Selecionar na Ficha"))</f>
        <v>Selecionar na Ficha</v>
      </c>
    </row>
    <row r="12" spans="1:10" ht="114.95" customHeight="1">
      <c r="A12" s="7" t="str">
        <f>IF((ROW()-9+($J$8-1)*50)&gt;COUNTIFS(Processos!$X$10:$X$509,1,Processos!$Y$10:$Y$509,1),"",IF(INDEX(Processos!$A$10:$A$509,MATCH((ROW()-9+($J$8-1)*50),Processos!$AJ$10:$AJ$509,0))="","",INDEX(Processos!$A$10:$A$509,MATCH((ROW()-9+($J$8-1)*50),Processos!$AJ$10:$AJ$509,0))))</f>
        <v>0010471-11.2021.5.03.0138</v>
      </c>
      <c r="B12" s="6" t="str">
        <f>IF((ROW()-9+($J$8-1)*50)&gt;COUNTIFS(Processos!$X$10:$X$509,1,Processos!$Y$10:$Y$509,1),"",IF(INDEX(Processos!$D$10:$D$509,MATCH((ROW()-9+($J$8-1)*50),Processos!$AJ$10:$AJ$509,0))="","",INDEX(Processos!$D$10:$D$509,MATCH((ROW()-9+($J$8-1)*50),Processos!$AJ$10:$AJ$509,0))))</f>
        <v>BMM Advogados</v>
      </c>
      <c r="C12"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GUILHERME SANTOS MOREIRA × 1 - Consórcio Spavias - Alta Spavias Engenharia LTDA 2 - Alta Engenharia 3 - Cava Engenharia</v>
      </c>
      <c r="D12"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O trabalhador pede execução provisória da sentença porque a empresa não cumpriu acordo trabalhista de R$ 50.000. Após decisões favoráveis na Justiça e vários recursos das empresas, ele reque [...]</v>
      </c>
      <c r="E12" s="39" t="str">
        <f>IF($A12="","",IFERROR(INDEX(Processos!$AR$10:$AR$509,MATCH($A12,Processos!$A$10:$A$509,0)),"")&amp;CHAR(10)&amp;IFERROR(IF(OR(INDEX(Origem!$AB$10:$AB$509,MATCH($A12,Origem!$A$10:$A$509,0))="",INDEX(Origem!$AB$10:$AB$509,MATCH($A12,Origem!$A$10:$A$509,0))="—"),"Origem: sem classificação","Origem: "&amp;INDEX(Origem!$AB$10:$AB$509,MATCH($A12,Origem!$A$10:$A$509,0))&amp;IF(INDEX(Origem!$AC$10:$AC$509,MATCH($A12,Origem!$A$10:$A$509,0))=""," (sem pontuação)"," • "&amp;INDEX(Origem!$AC$10:$AC$509,MATCH($A12,Origem!$A$10:$A$509,0))&amp;" pontos")),"Origem: sem classificação"))</f>
        <v>Prioridade crítica. Criticidade herdada da planilha de origem; validar. Não confirma bloqueio/penhora vigente.
Origem: 🔴 CRÍTICO • 70 pontos</v>
      </c>
      <c r="F12" s="10">
        <f>IF((ROW()-9+($J$8-1)*50)&gt;COUNTIFS(Processos!$X$10:$X$509,1,Processos!$Y$10:$Y$509,1),"",IF(INDEX(Processos!$AQ$10:$AQ$509,MATCH((ROW()-9+($J$8-1)*50),Processos!$AJ$10:$AJ$509,0))="","",INDEX(Processos!$AQ$10:$AQ$509,MATCH((ROW()-9+($J$8-1)*50),Processos!$AJ$10:$AJ$509,0))))</f>
        <v>58038.42</v>
      </c>
      <c r="G12" s="6" t="str">
        <f>IF((ROW()-9+($J$8-1)*50)&gt;COUNTIFS(Processos!$X$10:$X$509,1,Processos!$Y$10:$Y$509,1),"",IFERROR(HYPERLINK("#'Ficha'!C6","Selecionar na Ficha"),"Selecionar na Ficha"))</f>
        <v>Selecionar na Ficha</v>
      </c>
    </row>
    <row r="13" spans="1:10" ht="114.95" customHeight="1">
      <c r="A13" s="7" t="str">
        <f>IF((ROW()-9+($J$8-1)*50)&gt;COUNTIFS(Processos!$X$10:$X$509,1,Processos!$Y$10:$Y$509,1),"",IF(INDEX(Processos!$A$10:$A$509,MATCH((ROW()-9+($J$8-1)*50),Processos!$AJ$10:$AJ$509,0))="","",INDEX(Processos!$A$10:$A$509,MATCH((ROW()-9+($J$8-1)*50),Processos!$AJ$10:$AJ$509,0))))</f>
        <v>0001532-68.2015.5.10.0005</v>
      </c>
      <c r="B13" s="6" t="str">
        <f>IF((ROW()-9+($J$8-1)*50)&gt;COUNTIFS(Processos!$X$10:$X$509,1,Processos!$Y$10:$Y$509,1),"",IF(INDEX(Processos!$D$10:$D$509,MATCH((ROW()-9+($J$8-1)*50),Processos!$AJ$10:$AJ$509,0))="","",INDEX(Processos!$D$10:$D$509,MATCH((ROW()-9+($J$8-1)*50),Processos!$AJ$10:$AJ$509,0))))</f>
        <v>BMM Advogados</v>
      </c>
      <c r="C13"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1 - MARIA TERESA SOARES MOREIRA 2 - JOSÉ FONSECA FILHO × 1 - Cesar Transportes, Guindastes e Equipamentos LTDA 2 - União - Ministérios dos Transportes [...]</v>
      </c>
      <c r="D13"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Ação trabalhista de indenização proposta pelos pais de um trabalhador falecido (Juscelino Soares Fonseca) após acidente de trabalho em obra ferroviária. Eles alegam que o empregado morreu ao [...]</v>
      </c>
      <c r="E13" s="39" t="str">
        <f>IF($A13="","",IFERROR(INDEX(Processos!$AR$10:$AR$509,MATCH($A13,Processos!$A$10:$A$509,0)),"")&amp;CHAR(10)&amp;IFERROR(IF(OR(INDEX(Origem!$AB$10:$AB$509,MATCH($A13,Origem!$A$10:$A$509,0))="",INDEX(Origem!$AB$10:$AB$509,MATCH($A13,Origem!$A$10:$A$509,0))="—"),"Origem: sem classificação","Origem: "&amp;INDEX(Origem!$AB$10:$AB$509,MATCH($A13,Origem!$A$10:$A$509,0))&amp;IF(INDEX(Origem!$AC$10:$AC$509,MATCH($A13,Origem!$A$10:$A$509,0))=""," (sem pontuação)"," • "&amp;INDEX(Origem!$AC$10:$AC$509,MATCH($A13,Origem!$A$10:$A$509,0))&amp;" pontos")),"Origem: sem classificação"))</f>
        <v>Prioridade crítica. Criticidade herdada da planilha de origem; validar. Não confirma bloqueio/penhora vigente.
Origem: 🔴 CRÍTICO • 70 pontos</v>
      </c>
      <c r="F13" s="10">
        <f>IF((ROW()-9+($J$8-1)*50)&gt;COUNTIFS(Processos!$X$10:$X$509,1,Processos!$Y$10:$Y$509,1),"",IF(INDEX(Processos!$AQ$10:$AQ$509,MATCH((ROW()-9+($J$8-1)*50),Processos!$AJ$10:$AJ$509,0))="","",INDEX(Processos!$AQ$10:$AQ$509,MATCH((ROW()-9+($J$8-1)*50),Processos!$AJ$10:$AJ$509,0))))</f>
        <v>3000000</v>
      </c>
      <c r="G13" s="6" t="str">
        <f>IF((ROW()-9+($J$8-1)*50)&gt;COUNTIFS(Processos!$X$10:$X$509,1,Processos!$Y$10:$Y$509,1),"",IFERROR(HYPERLINK("#'Ficha'!C6","Selecionar na Ficha"),"Selecionar na Ficha"))</f>
        <v>Selecionar na Ficha</v>
      </c>
    </row>
    <row r="14" spans="1:10" ht="114.95" customHeight="1">
      <c r="A14" s="7" t="str">
        <f>IF((ROW()-9+($J$8-1)*50)&gt;COUNTIFS(Processos!$X$10:$X$509,1,Processos!$Y$10:$Y$509,1),"",IF(INDEX(Processos!$A$10:$A$509,MATCH((ROW()-9+($J$8-1)*50),Processos!$AJ$10:$AJ$509,0))="","",INDEX(Processos!$A$10:$A$509,MATCH((ROW()-9+($J$8-1)*50),Processos!$AJ$10:$AJ$509,0))))</f>
        <v>0010993-94.2019.5.18.0104</v>
      </c>
      <c r="B14" s="6" t="str">
        <f>IF((ROW()-9+($J$8-1)*50)&gt;COUNTIFS(Processos!$X$10:$X$509,1,Processos!$Y$10:$Y$509,1),"",IF(INDEX(Processos!$D$10:$D$509,MATCH((ROW()-9+($J$8-1)*50),Processos!$AJ$10:$AJ$509,0))="","",INDEX(Processos!$D$10:$D$509,MATCH((ROW()-9+($J$8-1)*50),Processos!$AJ$10:$AJ$509,0))))</f>
        <v>BMM Advogados</v>
      </c>
      <c r="C14"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Sindicato Dos Trabalhadores Nas Industrias Da Construcao × 1 - Consórcio Integral Spavias Trail Alta 2 - SPA Engenharia Indústria e Comércio LTDA 3 -  [...]</v>
      </c>
      <c r="D14"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O recurso do Sindicato foi provido para condenar a Alta até o período que ela particilou do processo, porém, em sustenação oral feita pelo BMM, o Relator pediu vista do processo. Estamos agu [...]</v>
      </c>
      <c r="E14" s="39" t="str">
        <f>IF($A14="","",IFERROR(INDEX(Processos!$AR$10:$AR$509,MATCH($A14,Processos!$A$10:$A$509,0)),"")&amp;CHAR(10)&amp;IFERROR(IF(OR(INDEX(Origem!$AB$10:$AB$509,MATCH($A14,Origem!$A$10:$A$509,0))="",INDEX(Origem!$AB$10:$AB$509,MATCH($A14,Origem!$A$10:$A$509,0))="—"),"Origem: sem classificação","Origem: "&amp;INDEX(Origem!$AB$10:$AB$509,MATCH($A14,Origem!$A$10:$A$509,0))&amp;IF(INDEX(Origem!$AC$10:$AC$509,MATCH($A14,Origem!$A$10:$A$509,0))=""," (sem pontuação)"," • "&amp;INDEX(Origem!$AC$10:$AC$509,MATCH($A14,Origem!$A$10:$A$509,0))&amp;" pontos")),"Origem: sem classificação"))</f>
        <v>Prioridade crítica. Criticidade herdada da planilha de origem; validar. Não confirma bloqueio/penhora vigente.
Origem: 🔴 CRÍTICO • 65 pontos</v>
      </c>
      <c r="F14" s="10">
        <f>IF((ROW()-9+($J$8-1)*50)&gt;COUNTIFS(Processos!$X$10:$X$509,1,Processos!$Y$10:$Y$509,1),"",IF(INDEX(Processos!$AQ$10:$AQ$509,MATCH((ROW()-9+($J$8-1)*50),Processos!$AJ$10:$AJ$509,0))="","",INDEX(Processos!$AQ$10:$AQ$509,MATCH((ROW()-9+($J$8-1)*50),Processos!$AJ$10:$AJ$509,0))))</f>
        <v>2018074.76</v>
      </c>
      <c r="G14" s="6" t="str">
        <f>IF((ROW()-9+($J$8-1)*50)&gt;COUNTIFS(Processos!$X$10:$X$509,1,Processos!$Y$10:$Y$509,1),"",IFERROR(HYPERLINK("#'Ficha'!C6","Selecionar na Ficha"),"Selecionar na Ficha"))</f>
        <v>Selecionar na Ficha</v>
      </c>
    </row>
    <row r="15" spans="1:10" ht="114.95" customHeight="1">
      <c r="A15" s="7" t="str">
        <f>IF((ROW()-9+($J$8-1)*50)&gt;COUNTIFS(Processos!$X$10:$X$509,1,Processos!$Y$10:$Y$509,1),"",IF(INDEX(Processos!$A$10:$A$509,MATCH((ROW()-9+($J$8-1)*50),Processos!$AJ$10:$AJ$509,0))="","",INDEX(Processos!$A$10:$A$509,MATCH((ROW()-9+($J$8-1)*50),Processos!$AJ$10:$AJ$509,0))))</f>
        <v>0010723-70.2019.5.18.0104</v>
      </c>
      <c r="B15" s="6" t="str">
        <f>IF((ROW()-9+($J$8-1)*50)&gt;COUNTIFS(Processos!$X$10:$X$509,1,Processos!$Y$10:$Y$509,1),"",IF(INDEX(Processos!$D$10:$D$509,MATCH((ROW()-9+($J$8-1)*50),Processos!$AJ$10:$AJ$509,0))="","",INDEX(Processos!$D$10:$D$509,MATCH((ROW()-9+($J$8-1)*50),Processos!$AJ$10:$AJ$509,0))))</f>
        <v>BMM Advogados</v>
      </c>
      <c r="C15"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Sindicato Dos Trabalhadores Nas Industrias Da Construcao × 1 - Consórcio Integral Spavias Trail Alta 2 - SPA Engenharia Indústria e Comércio LTDA 3 -  [...]</v>
      </c>
      <c r="D15"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Trata-se de um processo em que o Sindicato dos Trabalhadores nas Indústrias da Construção Pesada no Estado de Goiás (STICEP) ajuizou ação de obrigação de fazer em face de diversas empresas e [...]</v>
      </c>
      <c r="E15" s="39" t="str">
        <f>IF($A15="","",IFERROR(INDEX(Processos!$AR$10:$AR$509,MATCH($A15,Processos!$A$10:$A$509,0)),"")&amp;CHAR(10)&amp;IFERROR(IF(OR(INDEX(Origem!$AB$10:$AB$509,MATCH($A15,Origem!$A$10:$A$509,0))="",INDEX(Origem!$AB$10:$AB$509,MATCH($A15,Origem!$A$10:$A$509,0))="—"),"Origem: sem classificação","Origem: "&amp;INDEX(Origem!$AB$10:$AB$509,MATCH($A15,Origem!$A$10:$A$509,0))&amp;IF(INDEX(Origem!$AC$10:$AC$509,MATCH($A15,Origem!$A$10:$A$509,0))=""," (sem pontuação)"," • "&amp;INDEX(Origem!$AC$10:$AC$509,MATCH($A15,Origem!$A$10:$A$509,0))&amp;" pontos")),"Origem: sem classificação"))</f>
        <v>Prioridade crítica. Criticidade herdada da planilha de origem; validar. Não confirma bloqueio/penhora vigente.
Origem: 🔴 CRÍTICO • 80 pontos</v>
      </c>
      <c r="F15" s="10">
        <f>IF((ROW()-9+($J$8-1)*50)&gt;COUNTIFS(Processos!$X$10:$X$509,1,Processos!$Y$10:$Y$509,1),"",IF(INDEX(Processos!$AQ$10:$AQ$509,MATCH((ROW()-9+($J$8-1)*50),Processos!$AJ$10:$AJ$509,0))="","",INDEX(Processos!$AQ$10:$AQ$509,MATCH((ROW()-9+($J$8-1)*50),Processos!$AJ$10:$AJ$509,0))))</f>
        <v>2681428.54</v>
      </c>
      <c r="G15" s="6" t="str">
        <f>IF((ROW()-9+($J$8-1)*50)&gt;COUNTIFS(Processos!$X$10:$X$509,1,Processos!$Y$10:$Y$509,1),"",IFERROR(HYPERLINK("#'Ficha'!C6","Selecionar na Ficha"),"Selecionar na Ficha"))</f>
        <v>Selecionar na Ficha</v>
      </c>
    </row>
    <row r="16" spans="1:10" ht="114.95" customHeight="1">
      <c r="A16" s="7" t="str">
        <f>IF((ROW()-9+($J$8-1)*50)&gt;COUNTIFS(Processos!$X$10:$X$509,1,Processos!$Y$10:$Y$509,1),"",IF(INDEX(Processos!$A$10:$A$509,MATCH((ROW()-9+($J$8-1)*50),Processos!$AJ$10:$AJ$509,0))="","",INDEX(Processos!$A$10:$A$509,MATCH((ROW()-9+($J$8-1)*50),Processos!$AJ$10:$AJ$509,0))))</f>
        <v>5225553-65.2023.8.13.0024</v>
      </c>
      <c r="B16" s="6" t="str">
        <f>IF((ROW()-9+($J$8-1)*50)&gt;COUNTIFS(Processos!$X$10:$X$509,1,Processos!$Y$10:$Y$509,1),"",IF(INDEX(Processos!$D$10:$D$509,MATCH((ROW()-9+($J$8-1)*50),Processos!$AJ$10:$AJ$509,0))="","",INDEX(Processos!$D$10:$D$509,MATCH((ROW()-9+($J$8-1)*50),Processos!$AJ$10:$AJ$509,0))))</f>
        <v>Sacha Calmon</v>
      </c>
      <c r="C16"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Município de Belo Horizonte × ALTA</v>
      </c>
      <c r="D16"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ISS Cobrança de 3 débitos, sendo que um está em discussão na Anulatória (ALT-001) e dois foram quitados pela Alta. ----------- DÉBITO EM DISCUSSÃO NA AÇÃO ANULATÓRIA Nº 52873929120238130024  [...]</v>
      </c>
      <c r="E16" s="39" t="str">
        <f>IF($A16="","",IFERROR(INDEX(Processos!$AR$10:$AR$509,MATCH($A16,Processos!$A$10:$A$509,0)),"")&amp;CHAR(10)&amp;IFERROR(IF(OR(INDEX(Origem!$AB$10:$AB$509,MATCH($A16,Origem!$A$10:$A$509,0))="",INDEX(Origem!$AB$10:$AB$509,MATCH($A16,Origem!$A$10:$A$509,0))="—"),"Origem: sem classificação","Origem: "&amp;INDEX(Origem!$AB$10:$AB$509,MATCH($A16,Origem!$A$10:$A$509,0))&amp;IF(INDEX(Origem!$AC$10:$AC$509,MATCH($A16,Origem!$A$10:$A$509,0))=""," (sem pontuação)"," • "&amp;INDEX(Origem!$AC$10:$AC$509,MATCH($A16,Origem!$A$10:$A$509,0))&amp;" pontos")),"Origem: sem classificação"))</f>
        <v>Prioridade crítica. Criticidade herdada da planilha de origem; validar. Não confirma bloqueio/penhora vigente.
Origem: 🔴 CRÍTICO • 65 pontos</v>
      </c>
      <c r="F16" s="10">
        <f>IF((ROW()-9+($J$8-1)*50)&gt;COUNTIFS(Processos!$X$10:$X$509,1,Processos!$Y$10:$Y$509,1),"",IF(INDEX(Processos!$AQ$10:$AQ$509,MATCH((ROW()-9+($J$8-1)*50),Processos!$AJ$10:$AJ$509,0))="","",INDEX(Processos!$AQ$10:$AQ$509,MATCH((ROW()-9+($J$8-1)*50),Processos!$AJ$10:$AJ$509,0))))</f>
        <v>28362468.460000001</v>
      </c>
      <c r="G16" s="6" t="str">
        <f>IF((ROW()-9+($J$8-1)*50)&gt;COUNTIFS(Processos!$X$10:$X$509,1,Processos!$Y$10:$Y$509,1),"",IFERROR(HYPERLINK("#'Ficha'!C6","Selecionar na Ficha"),"Selecionar na Ficha"))</f>
        <v>Selecionar na Ficha</v>
      </c>
    </row>
    <row r="17" spans="1:7" ht="114.95" customHeight="1">
      <c r="A17" s="7" t="str">
        <f>IF((ROW()-9+($J$8-1)*50)&gt;COUNTIFS(Processos!$X$10:$X$509,1,Processos!$Y$10:$Y$509,1),"",IF(INDEX(Processos!$A$10:$A$509,MATCH((ROW()-9+($J$8-1)*50),Processos!$AJ$10:$AJ$509,0))="","",INDEX(Processos!$A$10:$A$509,MATCH((ROW()-9+($J$8-1)*50),Processos!$AJ$10:$AJ$509,0))))</f>
        <v/>
      </c>
      <c r="B17" s="6" t="str">
        <f>IF((ROW()-9+($J$8-1)*50)&gt;COUNTIFS(Processos!$X$10:$X$509,1,Processos!$Y$10:$Y$509,1),"",IF(INDEX(Processos!$D$10:$D$509,MATCH((ROW()-9+($J$8-1)*50),Processos!$AJ$10:$AJ$509,0))="","",INDEX(Processos!$D$10:$D$509,MATCH((ROW()-9+($J$8-1)*50),Processos!$AJ$10:$AJ$509,0))))</f>
        <v/>
      </c>
      <c r="C17"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17"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
      </c>
      <c r="E17" s="39" t="str">
        <f>IF($A17="","",IFERROR(INDEX(Processos!$AR$10:$AR$509,MATCH($A17,Processos!$A$10:$A$509,0)),"")&amp;CHAR(10)&amp;IFERROR(IF(OR(INDEX(Origem!$AB$10:$AB$509,MATCH($A17,Origem!$A$10:$A$509,0))="",INDEX(Origem!$AB$10:$AB$509,MATCH($A17,Origem!$A$10:$A$509,0))="—"),"Origem: sem classificação","Origem: "&amp;INDEX(Origem!$AB$10:$AB$509,MATCH($A17,Origem!$A$10:$A$509,0))&amp;IF(INDEX(Origem!$AC$10:$AC$509,MATCH($A17,Origem!$A$10:$A$509,0))=""," (sem pontuação)"," • "&amp;INDEX(Origem!$AC$10:$AC$509,MATCH($A17,Origem!$A$10:$A$509,0))&amp;" pontos")),"Origem: sem classificação"))</f>
        <v/>
      </c>
      <c r="F17" s="10" t="str">
        <f>IF((ROW()-9+($J$8-1)*50)&gt;COUNTIFS(Processos!$X$10:$X$509,1,Processos!$Y$10:$Y$509,1),"",IF(INDEX(Processos!$AQ$10:$AQ$509,MATCH((ROW()-9+($J$8-1)*50),Processos!$AJ$10:$AJ$509,0))="","",INDEX(Processos!$AQ$10:$AQ$509,MATCH((ROW()-9+($J$8-1)*50),Processos!$AJ$10:$AJ$509,0))))</f>
        <v/>
      </c>
      <c r="G17" s="6" t="str">
        <f>IF((ROW()-9+($J$8-1)*50)&gt;COUNTIFS(Processos!$X$10:$X$509,1,Processos!$Y$10:$Y$509,1),"",IFERROR(HYPERLINK("#'Ficha'!C6","Selecionar na Ficha"),"Selecionar na Ficha"))</f>
        <v/>
      </c>
    </row>
    <row r="18" spans="1:7" ht="114.95" customHeight="1">
      <c r="A18" s="7" t="str">
        <f>IF((ROW()-9+($J$8-1)*50)&gt;COUNTIFS(Processos!$X$10:$X$509,1,Processos!$Y$10:$Y$509,1),"",IF(INDEX(Processos!$A$10:$A$509,MATCH((ROW()-9+($J$8-1)*50),Processos!$AJ$10:$AJ$509,0))="","",INDEX(Processos!$A$10:$A$509,MATCH((ROW()-9+($J$8-1)*50),Processos!$AJ$10:$AJ$509,0))))</f>
        <v/>
      </c>
      <c r="B18" s="6" t="str">
        <f>IF((ROW()-9+($J$8-1)*50)&gt;COUNTIFS(Processos!$X$10:$X$509,1,Processos!$Y$10:$Y$509,1),"",IF(INDEX(Processos!$D$10:$D$509,MATCH((ROW()-9+($J$8-1)*50),Processos!$AJ$10:$AJ$509,0))="","",INDEX(Processos!$D$10:$D$509,MATCH((ROW()-9+($J$8-1)*50),Processos!$AJ$10:$AJ$509,0))))</f>
        <v/>
      </c>
      <c r="C18"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18"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
      </c>
      <c r="E18" s="39" t="str">
        <f>IF($A18="","",IFERROR(INDEX(Processos!$AR$10:$AR$509,MATCH($A18,Processos!$A$10:$A$509,0)),"")&amp;CHAR(10)&amp;IFERROR(IF(OR(INDEX(Origem!$AB$10:$AB$509,MATCH($A18,Origem!$A$10:$A$509,0))="",INDEX(Origem!$AB$10:$AB$509,MATCH($A18,Origem!$A$10:$A$509,0))="—"),"Origem: sem classificação","Origem: "&amp;INDEX(Origem!$AB$10:$AB$509,MATCH($A18,Origem!$A$10:$A$509,0))&amp;IF(INDEX(Origem!$AC$10:$AC$509,MATCH($A18,Origem!$A$10:$A$509,0))=""," (sem pontuação)"," • "&amp;INDEX(Origem!$AC$10:$AC$509,MATCH($A18,Origem!$A$10:$A$509,0))&amp;" pontos")),"Origem: sem classificação"))</f>
        <v/>
      </c>
      <c r="F18" s="10" t="str">
        <f>IF((ROW()-9+($J$8-1)*50)&gt;COUNTIFS(Processos!$X$10:$X$509,1,Processos!$Y$10:$Y$509,1),"",IF(INDEX(Processos!$AQ$10:$AQ$509,MATCH((ROW()-9+($J$8-1)*50),Processos!$AJ$10:$AJ$509,0))="","",INDEX(Processos!$AQ$10:$AQ$509,MATCH((ROW()-9+($J$8-1)*50),Processos!$AJ$10:$AJ$509,0))))</f>
        <v/>
      </c>
      <c r="G18" s="6" t="str">
        <f>IF((ROW()-9+($J$8-1)*50)&gt;COUNTIFS(Processos!$X$10:$X$509,1,Processos!$Y$10:$Y$509,1),"",IFERROR(HYPERLINK("#'Ficha'!C6","Selecionar na Ficha"),"Selecionar na Ficha"))</f>
        <v/>
      </c>
    </row>
    <row r="19" spans="1:7" ht="114.95" customHeight="1">
      <c r="A19" s="7" t="str">
        <f>IF((ROW()-9+($J$8-1)*50)&gt;COUNTIFS(Processos!$X$10:$X$509,1,Processos!$Y$10:$Y$509,1),"",IF(INDEX(Processos!$A$10:$A$509,MATCH((ROW()-9+($J$8-1)*50),Processos!$AJ$10:$AJ$509,0))="","",INDEX(Processos!$A$10:$A$509,MATCH((ROW()-9+($J$8-1)*50),Processos!$AJ$10:$AJ$509,0))))</f>
        <v/>
      </c>
      <c r="B19" s="6" t="str">
        <f>IF((ROW()-9+($J$8-1)*50)&gt;COUNTIFS(Processos!$X$10:$X$509,1,Processos!$Y$10:$Y$509,1),"",IF(INDEX(Processos!$D$10:$D$509,MATCH((ROW()-9+($J$8-1)*50),Processos!$AJ$10:$AJ$509,0))="","",INDEX(Processos!$D$10:$D$509,MATCH((ROW()-9+($J$8-1)*50),Processos!$AJ$10:$AJ$509,0))))</f>
        <v/>
      </c>
      <c r="C19"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19"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
      </c>
      <c r="E19" s="39" t="str">
        <f>IF($A19="","",IFERROR(INDEX(Processos!$AR$10:$AR$509,MATCH($A19,Processos!$A$10:$A$509,0)),"")&amp;CHAR(10)&amp;IFERROR(IF(OR(INDEX(Origem!$AB$10:$AB$509,MATCH($A19,Origem!$A$10:$A$509,0))="",INDEX(Origem!$AB$10:$AB$509,MATCH($A19,Origem!$A$10:$A$509,0))="—"),"Origem: sem classificação","Origem: "&amp;INDEX(Origem!$AB$10:$AB$509,MATCH($A19,Origem!$A$10:$A$509,0))&amp;IF(INDEX(Origem!$AC$10:$AC$509,MATCH($A19,Origem!$A$10:$A$509,0))=""," (sem pontuação)"," • "&amp;INDEX(Origem!$AC$10:$AC$509,MATCH($A19,Origem!$A$10:$A$509,0))&amp;" pontos")),"Origem: sem classificação"))</f>
        <v/>
      </c>
      <c r="F19" s="10" t="str">
        <f>IF((ROW()-9+($J$8-1)*50)&gt;COUNTIFS(Processos!$X$10:$X$509,1,Processos!$Y$10:$Y$509,1),"",IF(INDEX(Processos!$AQ$10:$AQ$509,MATCH((ROW()-9+($J$8-1)*50),Processos!$AJ$10:$AJ$509,0))="","",INDEX(Processos!$AQ$10:$AQ$509,MATCH((ROW()-9+($J$8-1)*50),Processos!$AJ$10:$AJ$509,0))))</f>
        <v/>
      </c>
      <c r="G19" s="6" t="str">
        <f>IF((ROW()-9+($J$8-1)*50)&gt;COUNTIFS(Processos!$X$10:$X$509,1,Processos!$Y$10:$Y$509,1),"",IFERROR(HYPERLINK("#'Ficha'!C6","Selecionar na Ficha"),"Selecionar na Ficha"))</f>
        <v/>
      </c>
    </row>
    <row r="20" spans="1:7" ht="114.95" customHeight="1">
      <c r="A20" s="7" t="str">
        <f>IF((ROW()-9+($J$8-1)*50)&gt;COUNTIFS(Processos!$X$10:$X$509,1,Processos!$Y$10:$Y$509,1),"",IF(INDEX(Processos!$A$10:$A$509,MATCH((ROW()-9+($J$8-1)*50),Processos!$AJ$10:$AJ$509,0))="","",INDEX(Processos!$A$10:$A$509,MATCH((ROW()-9+($J$8-1)*50),Processos!$AJ$10:$AJ$509,0))))</f>
        <v/>
      </c>
      <c r="B20" s="6" t="str">
        <f>IF((ROW()-9+($J$8-1)*50)&gt;COUNTIFS(Processos!$X$10:$X$509,1,Processos!$Y$10:$Y$509,1),"",IF(INDEX(Processos!$D$10:$D$509,MATCH((ROW()-9+($J$8-1)*50),Processos!$AJ$10:$AJ$509,0))="","",INDEX(Processos!$D$10:$D$509,MATCH((ROW()-9+($J$8-1)*50),Processos!$AJ$10:$AJ$509,0))))</f>
        <v/>
      </c>
      <c r="C20"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20"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
      </c>
      <c r="E20" s="39" t="str">
        <f>IF($A20="","",IFERROR(INDEX(Processos!$AR$10:$AR$509,MATCH($A20,Processos!$A$10:$A$509,0)),"")&amp;CHAR(10)&amp;IFERROR(IF(OR(INDEX(Origem!$AB$10:$AB$509,MATCH($A20,Origem!$A$10:$A$509,0))="",INDEX(Origem!$AB$10:$AB$509,MATCH($A20,Origem!$A$10:$A$509,0))="—"),"Origem: sem classificação","Origem: "&amp;INDEX(Origem!$AB$10:$AB$509,MATCH($A20,Origem!$A$10:$A$509,0))&amp;IF(INDEX(Origem!$AC$10:$AC$509,MATCH($A20,Origem!$A$10:$A$509,0))=""," (sem pontuação)"," • "&amp;INDEX(Origem!$AC$10:$AC$509,MATCH($A20,Origem!$A$10:$A$509,0))&amp;" pontos")),"Origem: sem classificação"))</f>
        <v/>
      </c>
      <c r="F20" s="10" t="str">
        <f>IF((ROW()-9+($J$8-1)*50)&gt;COUNTIFS(Processos!$X$10:$X$509,1,Processos!$Y$10:$Y$509,1),"",IF(INDEX(Processos!$AQ$10:$AQ$509,MATCH((ROW()-9+($J$8-1)*50),Processos!$AJ$10:$AJ$509,0))="","",INDEX(Processos!$AQ$10:$AQ$509,MATCH((ROW()-9+($J$8-1)*50),Processos!$AJ$10:$AJ$509,0))))</f>
        <v/>
      </c>
      <c r="G20" s="6" t="str">
        <f>IF((ROW()-9+($J$8-1)*50)&gt;COUNTIFS(Processos!$X$10:$X$509,1,Processos!$Y$10:$Y$509,1),"",IFERROR(HYPERLINK("#'Ficha'!C6","Selecionar na Ficha"),"Selecionar na Ficha"))</f>
        <v/>
      </c>
    </row>
    <row r="21" spans="1:7" ht="114.95" customHeight="1">
      <c r="A21" s="7" t="str">
        <f>IF((ROW()-9+($J$8-1)*50)&gt;COUNTIFS(Processos!$X$10:$X$509,1,Processos!$Y$10:$Y$509,1),"",IF(INDEX(Processos!$A$10:$A$509,MATCH((ROW()-9+($J$8-1)*50),Processos!$AJ$10:$AJ$509,0))="","",INDEX(Processos!$A$10:$A$509,MATCH((ROW()-9+($J$8-1)*50),Processos!$AJ$10:$AJ$509,0))))</f>
        <v/>
      </c>
      <c r="B21" s="6" t="str">
        <f>IF((ROW()-9+($J$8-1)*50)&gt;COUNTIFS(Processos!$X$10:$X$509,1,Processos!$Y$10:$Y$509,1),"",IF(INDEX(Processos!$D$10:$D$509,MATCH((ROW()-9+($J$8-1)*50),Processos!$AJ$10:$AJ$509,0))="","",INDEX(Processos!$D$10:$D$509,MATCH((ROW()-9+($J$8-1)*50),Processos!$AJ$10:$AJ$509,0))))</f>
        <v/>
      </c>
      <c r="C21"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21"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
      </c>
      <c r="E21" s="39" t="str">
        <f>IF($A21="","",IFERROR(INDEX(Processos!$AR$10:$AR$509,MATCH($A21,Processos!$A$10:$A$509,0)),"")&amp;CHAR(10)&amp;IFERROR(IF(OR(INDEX(Origem!$AB$10:$AB$509,MATCH($A21,Origem!$A$10:$A$509,0))="",INDEX(Origem!$AB$10:$AB$509,MATCH($A21,Origem!$A$10:$A$509,0))="—"),"Origem: sem classificação","Origem: "&amp;INDEX(Origem!$AB$10:$AB$509,MATCH($A21,Origem!$A$10:$A$509,0))&amp;IF(INDEX(Origem!$AC$10:$AC$509,MATCH($A21,Origem!$A$10:$A$509,0))=""," (sem pontuação)"," • "&amp;INDEX(Origem!$AC$10:$AC$509,MATCH($A21,Origem!$A$10:$A$509,0))&amp;" pontos")),"Origem: sem classificação"))</f>
        <v/>
      </c>
      <c r="F21" s="10" t="str">
        <f>IF((ROW()-9+($J$8-1)*50)&gt;COUNTIFS(Processos!$X$10:$X$509,1,Processos!$Y$10:$Y$509,1),"",IF(INDEX(Processos!$AQ$10:$AQ$509,MATCH((ROW()-9+($J$8-1)*50),Processos!$AJ$10:$AJ$509,0))="","",INDEX(Processos!$AQ$10:$AQ$509,MATCH((ROW()-9+($J$8-1)*50),Processos!$AJ$10:$AJ$509,0))))</f>
        <v/>
      </c>
      <c r="G21" s="6" t="str">
        <f>IF((ROW()-9+($J$8-1)*50)&gt;COUNTIFS(Processos!$X$10:$X$509,1,Processos!$Y$10:$Y$509,1),"",IFERROR(HYPERLINK("#'Ficha'!C6","Selecionar na Ficha"),"Selecionar na Ficha"))</f>
        <v/>
      </c>
    </row>
    <row r="22" spans="1:7" ht="114.95" customHeight="1">
      <c r="A22" s="7" t="str">
        <f>IF((ROW()-9+($J$8-1)*50)&gt;COUNTIFS(Processos!$X$10:$X$509,1,Processos!$Y$10:$Y$509,1),"",IF(INDEX(Processos!$A$10:$A$509,MATCH((ROW()-9+($J$8-1)*50),Processos!$AJ$10:$AJ$509,0))="","",INDEX(Processos!$A$10:$A$509,MATCH((ROW()-9+($J$8-1)*50),Processos!$AJ$10:$AJ$509,0))))</f>
        <v/>
      </c>
      <c r="B22" s="6" t="str">
        <f>IF((ROW()-9+($J$8-1)*50)&gt;COUNTIFS(Processos!$X$10:$X$509,1,Processos!$Y$10:$Y$509,1),"",IF(INDEX(Processos!$D$10:$D$509,MATCH((ROW()-9+($J$8-1)*50),Processos!$AJ$10:$AJ$509,0))="","",INDEX(Processos!$D$10:$D$509,MATCH((ROW()-9+($J$8-1)*50),Processos!$AJ$10:$AJ$509,0))))</f>
        <v/>
      </c>
      <c r="C22"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22"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
      </c>
      <c r="E22" s="39" t="str">
        <f>IF($A22="","",IFERROR(INDEX(Processos!$AR$10:$AR$509,MATCH($A22,Processos!$A$10:$A$509,0)),"")&amp;CHAR(10)&amp;IFERROR(IF(OR(INDEX(Origem!$AB$10:$AB$509,MATCH($A22,Origem!$A$10:$A$509,0))="",INDEX(Origem!$AB$10:$AB$509,MATCH($A22,Origem!$A$10:$A$509,0))="—"),"Origem: sem classificação","Origem: "&amp;INDEX(Origem!$AB$10:$AB$509,MATCH($A22,Origem!$A$10:$A$509,0))&amp;IF(INDEX(Origem!$AC$10:$AC$509,MATCH($A22,Origem!$A$10:$A$509,0))=""," (sem pontuação)"," • "&amp;INDEX(Origem!$AC$10:$AC$509,MATCH($A22,Origem!$A$10:$A$509,0))&amp;" pontos")),"Origem: sem classificação"))</f>
        <v/>
      </c>
      <c r="F22" s="10" t="str">
        <f>IF((ROW()-9+($J$8-1)*50)&gt;COUNTIFS(Processos!$X$10:$X$509,1,Processos!$Y$10:$Y$509,1),"",IF(INDEX(Processos!$AQ$10:$AQ$509,MATCH((ROW()-9+($J$8-1)*50),Processos!$AJ$10:$AJ$509,0))="","",INDEX(Processos!$AQ$10:$AQ$509,MATCH((ROW()-9+($J$8-1)*50),Processos!$AJ$10:$AJ$509,0))))</f>
        <v/>
      </c>
      <c r="G22" s="6" t="str">
        <f>IF((ROW()-9+($J$8-1)*50)&gt;COUNTIFS(Processos!$X$10:$X$509,1,Processos!$Y$10:$Y$509,1),"",IFERROR(HYPERLINK("#'Ficha'!C6","Selecionar na Ficha"),"Selecionar na Ficha"))</f>
        <v/>
      </c>
    </row>
    <row r="23" spans="1:7" ht="114.95" customHeight="1">
      <c r="A23" s="7" t="str">
        <f>IF((ROW()-9+($J$8-1)*50)&gt;COUNTIFS(Processos!$X$10:$X$509,1,Processos!$Y$10:$Y$509,1),"",IF(INDEX(Processos!$A$10:$A$509,MATCH((ROW()-9+($J$8-1)*50),Processos!$AJ$10:$AJ$509,0))="","",INDEX(Processos!$A$10:$A$509,MATCH((ROW()-9+($J$8-1)*50),Processos!$AJ$10:$AJ$509,0))))</f>
        <v/>
      </c>
      <c r="B23" s="6" t="str">
        <f>IF((ROW()-9+($J$8-1)*50)&gt;COUNTIFS(Processos!$X$10:$X$509,1,Processos!$Y$10:$Y$509,1),"",IF(INDEX(Processos!$D$10:$D$509,MATCH((ROW()-9+($J$8-1)*50),Processos!$AJ$10:$AJ$509,0))="","",INDEX(Processos!$D$10:$D$509,MATCH((ROW()-9+($J$8-1)*50),Processos!$AJ$10:$AJ$509,0))))</f>
        <v/>
      </c>
      <c r="C23"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23"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
      </c>
      <c r="E23" s="39" t="str">
        <f>IF($A23="","",IFERROR(INDEX(Processos!$AR$10:$AR$509,MATCH($A23,Processos!$A$10:$A$509,0)),"")&amp;CHAR(10)&amp;IFERROR(IF(OR(INDEX(Origem!$AB$10:$AB$509,MATCH($A23,Origem!$A$10:$A$509,0))="",INDEX(Origem!$AB$10:$AB$509,MATCH($A23,Origem!$A$10:$A$509,0))="—"),"Origem: sem classificação","Origem: "&amp;INDEX(Origem!$AB$10:$AB$509,MATCH($A23,Origem!$A$10:$A$509,0))&amp;IF(INDEX(Origem!$AC$10:$AC$509,MATCH($A23,Origem!$A$10:$A$509,0))=""," (sem pontuação)"," • "&amp;INDEX(Origem!$AC$10:$AC$509,MATCH($A23,Origem!$A$10:$A$509,0))&amp;" pontos")),"Origem: sem classificação"))</f>
        <v/>
      </c>
      <c r="F23" s="10" t="str">
        <f>IF((ROW()-9+($J$8-1)*50)&gt;COUNTIFS(Processos!$X$10:$X$509,1,Processos!$Y$10:$Y$509,1),"",IF(INDEX(Processos!$AQ$10:$AQ$509,MATCH((ROW()-9+($J$8-1)*50),Processos!$AJ$10:$AJ$509,0))="","",INDEX(Processos!$AQ$10:$AQ$509,MATCH((ROW()-9+($J$8-1)*50),Processos!$AJ$10:$AJ$509,0))))</f>
        <v/>
      </c>
      <c r="G23" s="6" t="str">
        <f>IF((ROW()-9+($J$8-1)*50)&gt;COUNTIFS(Processos!$X$10:$X$509,1,Processos!$Y$10:$Y$509,1),"",IFERROR(HYPERLINK("#'Ficha'!C6","Selecionar na Ficha"),"Selecionar na Ficha"))</f>
        <v/>
      </c>
    </row>
    <row r="24" spans="1:7" ht="114.95" customHeight="1">
      <c r="A24" s="7" t="str">
        <f>IF((ROW()-9+($J$8-1)*50)&gt;COUNTIFS(Processos!$X$10:$X$509,1,Processos!$Y$10:$Y$509,1),"",IF(INDEX(Processos!$A$10:$A$509,MATCH((ROW()-9+($J$8-1)*50),Processos!$AJ$10:$AJ$509,0))="","",INDEX(Processos!$A$10:$A$509,MATCH((ROW()-9+($J$8-1)*50),Processos!$AJ$10:$AJ$509,0))))</f>
        <v/>
      </c>
      <c r="B24" s="6" t="str">
        <f>IF((ROW()-9+($J$8-1)*50)&gt;COUNTIFS(Processos!$X$10:$X$509,1,Processos!$Y$10:$Y$509,1),"",IF(INDEX(Processos!$D$10:$D$509,MATCH((ROW()-9+($J$8-1)*50),Processos!$AJ$10:$AJ$509,0))="","",INDEX(Processos!$D$10:$D$509,MATCH((ROW()-9+($J$8-1)*50),Processos!$AJ$10:$AJ$509,0))))</f>
        <v/>
      </c>
      <c r="C24"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24"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
      </c>
      <c r="E24" s="39" t="str">
        <f>IF($A24="","",IFERROR(INDEX(Processos!$AR$10:$AR$509,MATCH($A24,Processos!$A$10:$A$509,0)),"")&amp;CHAR(10)&amp;IFERROR(IF(OR(INDEX(Origem!$AB$10:$AB$509,MATCH($A24,Origem!$A$10:$A$509,0))="",INDEX(Origem!$AB$10:$AB$509,MATCH($A24,Origem!$A$10:$A$509,0))="—"),"Origem: sem classificação","Origem: "&amp;INDEX(Origem!$AB$10:$AB$509,MATCH($A24,Origem!$A$10:$A$509,0))&amp;IF(INDEX(Origem!$AC$10:$AC$509,MATCH($A24,Origem!$A$10:$A$509,0))=""," (sem pontuação)"," • "&amp;INDEX(Origem!$AC$10:$AC$509,MATCH($A24,Origem!$A$10:$A$509,0))&amp;" pontos")),"Origem: sem classificação"))</f>
        <v/>
      </c>
      <c r="F24" s="10" t="str">
        <f>IF((ROW()-9+($J$8-1)*50)&gt;COUNTIFS(Processos!$X$10:$X$509,1,Processos!$Y$10:$Y$509,1),"",IF(INDEX(Processos!$AQ$10:$AQ$509,MATCH((ROW()-9+($J$8-1)*50),Processos!$AJ$10:$AJ$509,0))="","",INDEX(Processos!$AQ$10:$AQ$509,MATCH((ROW()-9+($J$8-1)*50),Processos!$AJ$10:$AJ$509,0))))</f>
        <v/>
      </c>
      <c r="G24" s="6" t="str">
        <f>IF((ROW()-9+($J$8-1)*50)&gt;COUNTIFS(Processos!$X$10:$X$509,1,Processos!$Y$10:$Y$509,1),"",IFERROR(HYPERLINK("#'Ficha'!C6","Selecionar na Ficha"),"Selecionar na Ficha"))</f>
        <v/>
      </c>
    </row>
    <row r="25" spans="1:7" ht="114.95" customHeight="1">
      <c r="A25" s="7" t="str">
        <f>IF((ROW()-9+($J$8-1)*50)&gt;COUNTIFS(Processos!$X$10:$X$509,1,Processos!$Y$10:$Y$509,1),"",IF(INDEX(Processos!$A$10:$A$509,MATCH((ROW()-9+($J$8-1)*50),Processos!$AJ$10:$AJ$509,0))="","",INDEX(Processos!$A$10:$A$509,MATCH((ROW()-9+($J$8-1)*50),Processos!$AJ$10:$AJ$509,0))))</f>
        <v/>
      </c>
      <c r="B25" s="6" t="str">
        <f>IF((ROW()-9+($J$8-1)*50)&gt;COUNTIFS(Processos!$X$10:$X$509,1,Processos!$Y$10:$Y$509,1),"",IF(INDEX(Processos!$D$10:$D$509,MATCH((ROW()-9+($J$8-1)*50),Processos!$AJ$10:$AJ$509,0))="","",INDEX(Processos!$D$10:$D$509,MATCH((ROW()-9+($J$8-1)*50),Processos!$AJ$10:$AJ$509,0))))</f>
        <v/>
      </c>
      <c r="C25"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25"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
      </c>
      <c r="E25" s="39" t="str">
        <f>IF($A25="","",IFERROR(INDEX(Processos!$AR$10:$AR$509,MATCH($A25,Processos!$A$10:$A$509,0)),"")&amp;CHAR(10)&amp;IFERROR(IF(OR(INDEX(Origem!$AB$10:$AB$509,MATCH($A25,Origem!$A$10:$A$509,0))="",INDEX(Origem!$AB$10:$AB$509,MATCH($A25,Origem!$A$10:$A$509,0))="—"),"Origem: sem classificação","Origem: "&amp;INDEX(Origem!$AB$10:$AB$509,MATCH($A25,Origem!$A$10:$A$509,0))&amp;IF(INDEX(Origem!$AC$10:$AC$509,MATCH($A25,Origem!$A$10:$A$509,0))=""," (sem pontuação)"," • "&amp;INDEX(Origem!$AC$10:$AC$509,MATCH($A25,Origem!$A$10:$A$509,0))&amp;" pontos")),"Origem: sem classificação"))</f>
        <v/>
      </c>
      <c r="F25" s="10" t="str">
        <f>IF((ROW()-9+($J$8-1)*50)&gt;COUNTIFS(Processos!$X$10:$X$509,1,Processos!$Y$10:$Y$509,1),"",IF(INDEX(Processos!$AQ$10:$AQ$509,MATCH((ROW()-9+($J$8-1)*50),Processos!$AJ$10:$AJ$509,0))="","",INDEX(Processos!$AQ$10:$AQ$509,MATCH((ROW()-9+($J$8-1)*50),Processos!$AJ$10:$AJ$509,0))))</f>
        <v/>
      </c>
      <c r="G25" s="6" t="str">
        <f>IF((ROW()-9+($J$8-1)*50)&gt;COUNTIFS(Processos!$X$10:$X$509,1,Processos!$Y$10:$Y$509,1),"",IFERROR(HYPERLINK("#'Ficha'!C6","Selecionar na Ficha"),"Selecionar na Ficha"))</f>
        <v/>
      </c>
    </row>
    <row r="26" spans="1:7" ht="114.95" customHeight="1">
      <c r="A26" s="7" t="str">
        <f>IF((ROW()-9+($J$8-1)*50)&gt;COUNTIFS(Processos!$X$10:$X$509,1,Processos!$Y$10:$Y$509,1),"",IF(INDEX(Processos!$A$10:$A$509,MATCH((ROW()-9+($J$8-1)*50),Processos!$AJ$10:$AJ$509,0))="","",INDEX(Processos!$A$10:$A$509,MATCH((ROW()-9+($J$8-1)*50),Processos!$AJ$10:$AJ$509,0))))</f>
        <v/>
      </c>
      <c r="B26" s="6" t="str">
        <f>IF((ROW()-9+($J$8-1)*50)&gt;COUNTIFS(Processos!$X$10:$X$509,1,Processos!$Y$10:$Y$509,1),"",IF(INDEX(Processos!$D$10:$D$509,MATCH((ROW()-9+($J$8-1)*50),Processos!$AJ$10:$AJ$509,0))="","",INDEX(Processos!$D$10:$D$509,MATCH((ROW()-9+($J$8-1)*50),Processos!$AJ$10:$AJ$509,0))))</f>
        <v/>
      </c>
      <c r="C26"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26"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
      </c>
      <c r="E26" s="39" t="str">
        <f>IF($A26="","",IFERROR(INDEX(Processos!$AR$10:$AR$509,MATCH($A26,Processos!$A$10:$A$509,0)),"")&amp;CHAR(10)&amp;IFERROR(IF(OR(INDEX(Origem!$AB$10:$AB$509,MATCH($A26,Origem!$A$10:$A$509,0))="",INDEX(Origem!$AB$10:$AB$509,MATCH($A26,Origem!$A$10:$A$509,0))="—"),"Origem: sem classificação","Origem: "&amp;INDEX(Origem!$AB$10:$AB$509,MATCH($A26,Origem!$A$10:$A$509,0))&amp;IF(INDEX(Origem!$AC$10:$AC$509,MATCH($A26,Origem!$A$10:$A$509,0))=""," (sem pontuação)"," • "&amp;INDEX(Origem!$AC$10:$AC$509,MATCH($A26,Origem!$A$10:$A$509,0))&amp;" pontos")),"Origem: sem classificação"))</f>
        <v/>
      </c>
      <c r="F26" s="10" t="str">
        <f>IF((ROW()-9+($J$8-1)*50)&gt;COUNTIFS(Processos!$X$10:$X$509,1,Processos!$Y$10:$Y$509,1),"",IF(INDEX(Processos!$AQ$10:$AQ$509,MATCH((ROW()-9+($J$8-1)*50),Processos!$AJ$10:$AJ$509,0))="","",INDEX(Processos!$AQ$10:$AQ$509,MATCH((ROW()-9+($J$8-1)*50),Processos!$AJ$10:$AJ$509,0))))</f>
        <v/>
      </c>
      <c r="G26" s="6" t="str">
        <f>IF((ROW()-9+($J$8-1)*50)&gt;COUNTIFS(Processos!$X$10:$X$509,1,Processos!$Y$10:$Y$509,1),"",IFERROR(HYPERLINK("#'Ficha'!C6","Selecionar na Ficha"),"Selecionar na Ficha"))</f>
        <v/>
      </c>
    </row>
    <row r="27" spans="1:7" ht="114.95" customHeight="1">
      <c r="A27" s="7" t="str">
        <f>IF((ROW()-9+($J$8-1)*50)&gt;COUNTIFS(Processos!$X$10:$X$509,1,Processos!$Y$10:$Y$509,1),"",IF(INDEX(Processos!$A$10:$A$509,MATCH((ROW()-9+($J$8-1)*50),Processos!$AJ$10:$AJ$509,0))="","",INDEX(Processos!$A$10:$A$509,MATCH((ROW()-9+($J$8-1)*50),Processos!$AJ$10:$AJ$509,0))))</f>
        <v/>
      </c>
      <c r="B27" s="6" t="str">
        <f>IF((ROW()-9+($J$8-1)*50)&gt;COUNTIFS(Processos!$X$10:$X$509,1,Processos!$Y$10:$Y$509,1),"",IF(INDEX(Processos!$D$10:$D$509,MATCH((ROW()-9+($J$8-1)*50),Processos!$AJ$10:$AJ$509,0))="","",INDEX(Processos!$D$10:$D$509,MATCH((ROW()-9+($J$8-1)*50),Processos!$AJ$10:$AJ$509,0))))</f>
        <v/>
      </c>
      <c r="C27"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27"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
      </c>
      <c r="E27" s="39" t="str">
        <f>IF($A27="","",IFERROR(INDEX(Processos!$AR$10:$AR$509,MATCH($A27,Processos!$A$10:$A$509,0)),"")&amp;CHAR(10)&amp;IFERROR(IF(OR(INDEX(Origem!$AB$10:$AB$509,MATCH($A27,Origem!$A$10:$A$509,0))="",INDEX(Origem!$AB$10:$AB$509,MATCH($A27,Origem!$A$10:$A$509,0))="—"),"Origem: sem classificação","Origem: "&amp;INDEX(Origem!$AB$10:$AB$509,MATCH($A27,Origem!$A$10:$A$509,0))&amp;IF(INDEX(Origem!$AC$10:$AC$509,MATCH($A27,Origem!$A$10:$A$509,0))=""," (sem pontuação)"," • "&amp;INDEX(Origem!$AC$10:$AC$509,MATCH($A27,Origem!$A$10:$A$509,0))&amp;" pontos")),"Origem: sem classificação"))</f>
        <v/>
      </c>
      <c r="F27" s="10" t="str">
        <f>IF((ROW()-9+($J$8-1)*50)&gt;COUNTIFS(Processos!$X$10:$X$509,1,Processos!$Y$10:$Y$509,1),"",IF(INDEX(Processos!$AQ$10:$AQ$509,MATCH((ROW()-9+($J$8-1)*50),Processos!$AJ$10:$AJ$509,0))="","",INDEX(Processos!$AQ$10:$AQ$509,MATCH((ROW()-9+($J$8-1)*50),Processos!$AJ$10:$AJ$509,0))))</f>
        <v/>
      </c>
      <c r="G27" s="6" t="str">
        <f>IF((ROW()-9+($J$8-1)*50)&gt;COUNTIFS(Processos!$X$10:$X$509,1,Processos!$Y$10:$Y$509,1),"",IFERROR(HYPERLINK("#'Ficha'!C6","Selecionar na Ficha"),"Selecionar na Ficha"))</f>
        <v/>
      </c>
    </row>
    <row r="28" spans="1:7" ht="114.95" customHeight="1">
      <c r="A28" s="7" t="str">
        <f>IF((ROW()-9+($J$8-1)*50)&gt;COUNTIFS(Processos!$X$10:$X$509,1,Processos!$Y$10:$Y$509,1),"",IF(INDEX(Processos!$A$10:$A$509,MATCH((ROW()-9+($J$8-1)*50),Processos!$AJ$10:$AJ$509,0))="","",INDEX(Processos!$A$10:$A$509,MATCH((ROW()-9+($J$8-1)*50),Processos!$AJ$10:$AJ$509,0))))</f>
        <v/>
      </c>
      <c r="B28" s="6" t="str">
        <f>IF((ROW()-9+($J$8-1)*50)&gt;COUNTIFS(Processos!$X$10:$X$509,1,Processos!$Y$10:$Y$509,1),"",IF(INDEX(Processos!$D$10:$D$509,MATCH((ROW()-9+($J$8-1)*50),Processos!$AJ$10:$AJ$509,0))="","",INDEX(Processos!$D$10:$D$509,MATCH((ROW()-9+($J$8-1)*50),Processos!$AJ$10:$AJ$509,0))))</f>
        <v/>
      </c>
      <c r="C28"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28"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
      </c>
      <c r="E28" s="39" t="str">
        <f>IF($A28="","",IFERROR(INDEX(Processos!$AR$10:$AR$509,MATCH($A28,Processos!$A$10:$A$509,0)),"")&amp;CHAR(10)&amp;IFERROR(IF(OR(INDEX(Origem!$AB$10:$AB$509,MATCH($A28,Origem!$A$10:$A$509,0))="",INDEX(Origem!$AB$10:$AB$509,MATCH($A28,Origem!$A$10:$A$509,0))="—"),"Origem: sem classificação","Origem: "&amp;INDEX(Origem!$AB$10:$AB$509,MATCH($A28,Origem!$A$10:$A$509,0))&amp;IF(INDEX(Origem!$AC$10:$AC$509,MATCH($A28,Origem!$A$10:$A$509,0))=""," (sem pontuação)"," • "&amp;INDEX(Origem!$AC$10:$AC$509,MATCH($A28,Origem!$A$10:$A$509,0))&amp;" pontos")),"Origem: sem classificação"))</f>
        <v/>
      </c>
      <c r="F28" s="10" t="str">
        <f>IF((ROW()-9+($J$8-1)*50)&gt;COUNTIFS(Processos!$X$10:$X$509,1,Processos!$Y$10:$Y$509,1),"",IF(INDEX(Processos!$AQ$10:$AQ$509,MATCH((ROW()-9+($J$8-1)*50),Processos!$AJ$10:$AJ$509,0))="","",INDEX(Processos!$AQ$10:$AQ$509,MATCH((ROW()-9+($J$8-1)*50),Processos!$AJ$10:$AJ$509,0))))</f>
        <v/>
      </c>
      <c r="G28" s="6" t="str">
        <f>IF((ROW()-9+($J$8-1)*50)&gt;COUNTIFS(Processos!$X$10:$X$509,1,Processos!$Y$10:$Y$509,1),"",IFERROR(HYPERLINK("#'Ficha'!C6","Selecionar na Ficha"),"Selecionar na Ficha"))</f>
        <v/>
      </c>
    </row>
    <row r="29" spans="1:7" ht="114.95" customHeight="1">
      <c r="A29" s="7" t="str">
        <f>IF((ROW()-9+($J$8-1)*50)&gt;COUNTIFS(Processos!$X$10:$X$509,1,Processos!$Y$10:$Y$509,1),"",IF(INDEX(Processos!$A$10:$A$509,MATCH((ROW()-9+($J$8-1)*50),Processos!$AJ$10:$AJ$509,0))="","",INDEX(Processos!$A$10:$A$509,MATCH((ROW()-9+($J$8-1)*50),Processos!$AJ$10:$AJ$509,0))))</f>
        <v/>
      </c>
      <c r="B29" s="6" t="str">
        <f>IF((ROW()-9+($J$8-1)*50)&gt;COUNTIFS(Processos!$X$10:$X$509,1,Processos!$Y$10:$Y$509,1),"",IF(INDEX(Processos!$D$10:$D$509,MATCH((ROW()-9+($J$8-1)*50),Processos!$AJ$10:$AJ$509,0))="","",INDEX(Processos!$D$10:$D$509,MATCH((ROW()-9+($J$8-1)*50),Processos!$AJ$10:$AJ$509,0))))</f>
        <v/>
      </c>
      <c r="C29" s="6" t="str">
        <f>IF(LEN(SUBSTITUTE(SUBSTITUTE(IF(LEN(IF((ROW()-9+($J$8-1)*50)&gt;COUNTIFS(Processos!$X$10:$X$509,1,Processos!$Y$10:$Y$509,1),"",IF(INDEX(Processos!$H$10:$H$509,MATCH((ROW()-9+($J$8-1)*50),Processos!$AJ$10:$AJ$509,0))&amp;"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[...]",SUBSTITUTE(SUBSTITUTE(IF(LEN(IF((ROW()-9+($J$8-1)*50)&gt;COUNTIFS(Processos!$X$10:$X$509,1,Processos!$Y$10:$Y$509,1),"",IF(INDEX(Processos!$H$10:$H$509,MATCH((ROW()-9+($J$8-1)*50),Processos!$AJ$10:$AJ$509,0))&amp;"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gt;190,LEFT(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"&amp;INDEX(Processos!$I$10:$I$509,MATCH((ROW()-9+($J$8-1)*50),Processos!$AJ$10:$AJ$509,0)))),190)&amp;" [...]",IF((ROW()-9+($J$8-1)*50)&gt;COUNTIFS(Processos!$X$10:$X$509,1,Processos!$Y$10:$Y$509,1),"",IF(INDEX(Processos!$H$10:$H$509,MATCH((ROW()-9+($J$8-1)*50),Processos!$AJ$10:$AJ$509,0))&amp;"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29" s="6" t="str">
        <f>SUBSTITUTE(SUBSTITUTE(IF(LEN(IF((ROW()-9+($J$8-1)*50)&gt;COUNTIFS(Processos!$X$10:$X$509,1,Processos!$Y$10:$Y$509,1),"",IF(INDEX(Processos!$M$10:$M$509,MATCH((ROW()-9+($J$8-1)*50),Processos!$AJ$10:$AJ$509,0))="","",INDEX(Processos!$M$10:$M$509,MATCH((ROW()-9+($J$8-1)*50),Processos!$AJ$10:$AJ$509,0)))))&gt;190,LEFT(IF((ROW()-9+($J$8-1)*50)&gt;COUNTIFS(Processos!$X$10:$X$509,1,Processos!$Y$10:$Y$509,1),"",IF(INDEX(Processos!$M$10:$M$509,MATCH((ROW()-9+($J$8-1)*50),Processos!$AJ$10:$AJ$509,0))="","",INDEX(Processos!$M$10:$M$509,MATCH((ROW()-9+($J$8-1)*50),Processos!$AJ$10:$AJ$509,0)))),190)&amp;" [...]",IF((ROW()-9+($J$8-1)*50)&gt;COUNTIFS(Processos!$X$10:$X$509,1,Processos!$Y$10:$Y$509,1),"",IF(INDEX(Processos!$M$10:$M$509,MATCH((ROW()-9+($J$8-1)*50),Processos!$AJ$10:$AJ$509,0))="","",INDEX(Processos!$M$10:$M$509,MATCH((ROW()-9+($J$8-1)*50),Processos!$AJ$10:$AJ$509,0))))),CHAR(10)," "),CHAR(13)," ")</f>
        <v/>
      </c>
      <c r="E29" s="39" t="str">
        <f>IF($A29="","",IFERROR(INDEX(Processos!$AR$10:$AR$509,MATCH($A29,Processos!$A$10:$A$509,0)),"")&amp;CHAR(10)&amp;IFERROR(IF(OR(INDEX(Origem!$AB$10:$AB$509,MATCH($A29,Origem!$A$10:$A$509,0))="",INDEX(Origem!$AB$10:$AB$509,MATCH($A29,Origem!$A$10:$A$509,0))="—"),"Origem: sem classificação","Origem: "&amp;INDEX(Origem!$AB$10:$AB$509,MATCH($A29,Origem!$A$10:$A$509,0))&amp;IF(INDEX(Origem!$AC$10:$AC$509,MATCH($A29,Origem!$A$10:$A$509,0))=""," (sem pontuação)"," • "&amp;INDEX(Origem!$AC$10:$AC$509,MATCH($A29,Origem!$A$10:$A$509,0))&amp;" pontos")),"Origem: sem classificação"))</f>
        <v/>
      </c>
      <c r="F29" s="10" t="str">
        <f>IF((ROW()-9+($J$8-1)*50)&gt;COUNTIFS(Processos!$X$10:$X$509,1,Processos!$Y$10:$Y$509,1),"",IF(INDEX(Processos!$AQ$10:$AQ$509,MATCH((ROW()-9+($J$8-1)*50),Processos!$AJ$10:$AJ$509,0))="","",INDEX(Processos!$AQ$10:$AQ$509,MATCH((ROW()-9+($J$8-1)*50),Processos!$AJ$10:$AJ$509,0))))</f>
        <v/>
      </c>
      <c r="G29" s="6" t="str">
        <f>IF((ROW()-9+($J$8-1)*50)&gt;COUNTIFS(Processos!$X$10:$X$509,1,Processos!$Y$10:$Y$509,1),"",IFERROR(HYPERLINK("#'Ficha'!C6","Selecionar na Ficha"),"Selecionar na Ficha"))</f>
        <v/>
      </c>
    </row>
    <row r="30" spans="1:7" ht="114.95" customHeight="1">
      <c r="A30" s="7" t="str">
        <f>IF((ROW()-9+($J$8-1)*50)&gt;COUNTIFS(Processos!$X$10:$X$509,1,Processos!$Y$10:$Y$509,1),"",IF(INDEX(Processos!$A$10:$A$509,MATCH((ROW()-9+($J$8-1)*50),Processos!$AJ$10:$AJ$509,0))="","",INDEX(Processos!$A$10:$A$509,MATCH((ROW()-9+($J$8-1)*50),Processos!$AJ$10:$AJ$509,0))))</f>
        <v/>
      </c>
      <c r="B30" s="6" t="str">
        <f>IF((ROW()-9+($J$8-1)*50)&gt;COUNTIFS(Processos!$X$10:$X$509,1,Processos!$Y$10:$Y$509,1),"",IF(INDEX(Processos!$D$10:$D$509,MATCH((ROW()-9+($J$8-1)*50),Processos!$AJ$10:$AJ$509,0))="","",INDEX(Processos!$D$10:$D$509,MATCH((ROW()-9+($J$8-1)*50),Processos!$AJ$10:$AJ$509,0))))</f>
        <v/>
      </c>
      <c r="C30"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30" s="6" t="str">
        <f>SUBSTITUTE(SUBSTITUTE(IF((ROW()-9+($J$8-1)*50)&gt;COUNTIFS(Processos!$X$10:$X$509,1,Processos!$Y$10:$Y$509,1),"",IF(INDEX(Processos!$M$10:$M$509,MATCH((ROW()-9+($J$8-1)*50),Processos!$AJ$10:$AJ$509,0))="","",INDEX(Processos!$M$10:$M$509,MATCH((ROW()-9+($J$8-1)*50),Processos!$AJ$10:$AJ$509,0)))),CHAR(10)," "),CHAR(13)," ")</f>
        <v/>
      </c>
      <c r="E30" s="39" t="str">
        <f>IF($A30="","",IFERROR(INDEX(Processos!$AR$10:$AR$509,MATCH($A30,Processos!$A$10:$A$509,0)),"")&amp;CHAR(10)&amp;IFERROR(IF(OR(INDEX(Origem!$AB$10:$AB$509,MATCH($A30,Origem!$A$10:$A$509,0))="",INDEX(Origem!$AB$10:$AB$509,MATCH($A30,Origem!$A$10:$A$509,0))="—"),"Origem: sem classificação","Origem: "&amp;INDEX(Origem!$AB$10:$AB$509,MATCH($A30,Origem!$A$10:$A$509,0))&amp;IF(INDEX(Origem!$AC$10:$AC$509,MATCH($A30,Origem!$A$10:$A$509,0))=""," (sem pontuação)"," • "&amp;INDEX(Origem!$AC$10:$AC$509,MATCH($A30,Origem!$A$10:$A$509,0))&amp;" pontos")),"Origem: sem classificação"))</f>
        <v/>
      </c>
      <c r="F30" s="10" t="str">
        <f>IF((ROW()-9+($J$8-1)*50)&gt;COUNTIFS(Processos!$X$10:$X$509,1,Processos!$Y$10:$Y$509,1),"",IF(INDEX(Processos!$AQ$10:$AQ$509,MATCH((ROW()-9+($J$8-1)*50),Processos!$AJ$10:$AJ$509,0))="","",INDEX(Processos!$AQ$10:$AQ$509,MATCH((ROW()-9+($J$8-1)*50),Processos!$AJ$10:$AJ$509,0))))</f>
        <v/>
      </c>
      <c r="G30" s="6" t="str">
        <f>IF((ROW()-9+($J$8-1)*50)&gt;COUNTIFS(Processos!$X$10:$X$509,1,Processos!$Y$10:$Y$509,1),"",IFERROR(HYPERLINK("#'Ficha'!C6","Selecionar na Ficha"),"Selecionar na Ficha"))</f>
        <v/>
      </c>
    </row>
    <row r="31" spans="1:7" ht="114.95" customHeight="1">
      <c r="A31" s="7" t="str">
        <f>IF((ROW()-9+($J$8-1)*50)&gt;COUNTIFS(Processos!$X$10:$X$509,1,Processos!$Y$10:$Y$509,1),"",IF(INDEX(Processos!$A$10:$A$509,MATCH((ROW()-9+($J$8-1)*50),Processos!$AJ$10:$AJ$509,0))="","",INDEX(Processos!$A$10:$A$509,MATCH((ROW()-9+($J$8-1)*50),Processos!$AJ$10:$AJ$509,0))))</f>
        <v/>
      </c>
      <c r="B31" s="6" t="str">
        <f>IF((ROW()-9+($J$8-1)*50)&gt;COUNTIFS(Processos!$X$10:$X$509,1,Processos!$Y$10:$Y$509,1),"",IF(INDEX(Processos!$D$10:$D$509,MATCH((ROW()-9+($J$8-1)*50),Processos!$AJ$10:$AJ$509,0))="","",INDEX(Processos!$D$10:$D$509,MATCH((ROW()-9+($J$8-1)*50),Processos!$AJ$10:$AJ$509,0))))</f>
        <v/>
      </c>
      <c r="C31"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31" s="6" t="str">
        <f>SUBSTITUTE(SUBSTITUTE(IF((ROW()-9+($J$8-1)*50)&gt;COUNTIFS(Processos!$X$10:$X$509,1,Processos!$Y$10:$Y$509,1),"",IF(INDEX(Processos!$M$10:$M$509,MATCH((ROW()-9+($J$8-1)*50),Processos!$AJ$10:$AJ$509,0))="","",INDEX(Processos!$M$10:$M$509,MATCH((ROW()-9+($J$8-1)*50),Processos!$AJ$10:$AJ$509,0)))),CHAR(10)," "),CHAR(13)," ")</f>
        <v/>
      </c>
      <c r="E31" s="39" t="str">
        <f>IF($A31="","",IFERROR(INDEX(Processos!$AR$10:$AR$509,MATCH($A31,Processos!$A$10:$A$509,0)),"")&amp;CHAR(10)&amp;IFERROR(IF(OR(INDEX(Origem!$AB$10:$AB$509,MATCH($A31,Origem!$A$10:$A$509,0))="",INDEX(Origem!$AB$10:$AB$509,MATCH($A31,Origem!$A$10:$A$509,0))="—"),"Origem: sem classificação","Origem: "&amp;INDEX(Origem!$AB$10:$AB$509,MATCH($A31,Origem!$A$10:$A$509,0))&amp;IF(INDEX(Origem!$AC$10:$AC$509,MATCH($A31,Origem!$A$10:$A$509,0))=""," (sem pontuação)"," • "&amp;INDEX(Origem!$AC$10:$AC$509,MATCH($A31,Origem!$A$10:$A$509,0))&amp;" pontos")),"Origem: sem classificação"))</f>
        <v/>
      </c>
      <c r="F31" s="10" t="str">
        <f>IF((ROW()-9+($J$8-1)*50)&gt;COUNTIFS(Processos!$X$10:$X$509,1,Processos!$Y$10:$Y$509,1),"",IF(INDEX(Processos!$AQ$10:$AQ$509,MATCH((ROW()-9+($J$8-1)*50),Processos!$AJ$10:$AJ$509,0))="","",INDEX(Processos!$AQ$10:$AQ$509,MATCH((ROW()-9+($J$8-1)*50),Processos!$AJ$10:$AJ$509,0))))</f>
        <v/>
      </c>
      <c r="G31" s="6" t="str">
        <f>IF((ROW()-9+($J$8-1)*50)&gt;COUNTIFS(Processos!$X$10:$X$509,1,Processos!$Y$10:$Y$509,1),"",IFERROR(HYPERLINK("#'Ficha'!C6","Selecionar na Ficha"),"Selecionar na Ficha"))</f>
        <v/>
      </c>
    </row>
    <row r="32" spans="1:7" ht="114.95" customHeight="1">
      <c r="A32" s="7" t="str">
        <f>IF((ROW()-9+($J$8-1)*50)&gt;COUNTIFS(Processos!$X$10:$X$509,1,Processos!$Y$10:$Y$509,1),"",IF(INDEX(Processos!$A$10:$A$509,MATCH((ROW()-9+($J$8-1)*50),Processos!$AJ$10:$AJ$509,0))="","",INDEX(Processos!$A$10:$A$509,MATCH((ROW()-9+($J$8-1)*50),Processos!$AJ$10:$AJ$509,0))))</f>
        <v/>
      </c>
      <c r="B32" s="6" t="str">
        <f>IF((ROW()-9+($J$8-1)*50)&gt;COUNTIFS(Processos!$X$10:$X$509,1,Processos!$Y$10:$Y$509,1),"",IF(INDEX(Processos!$D$10:$D$509,MATCH((ROW()-9+($J$8-1)*50),Processos!$AJ$10:$AJ$509,0))="","",INDEX(Processos!$D$10:$D$509,MATCH((ROW()-9+($J$8-1)*50),Processos!$AJ$10:$AJ$509,0))))</f>
        <v/>
      </c>
      <c r="C32"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32" s="6" t="str">
        <f>SUBSTITUTE(SUBSTITUTE(IF((ROW()-9+($J$8-1)*50)&gt;COUNTIFS(Processos!$X$10:$X$509,1,Processos!$Y$10:$Y$509,1),"",IF(INDEX(Processos!$M$10:$M$509,MATCH((ROW()-9+($J$8-1)*50),Processos!$AJ$10:$AJ$509,0))="","",INDEX(Processos!$M$10:$M$509,MATCH((ROW()-9+($J$8-1)*50),Processos!$AJ$10:$AJ$509,0)))),CHAR(10)," "),CHAR(13)," ")</f>
        <v/>
      </c>
      <c r="E32" s="39" t="str">
        <f>IF($A32="","",IFERROR(INDEX(Processos!$AR$10:$AR$509,MATCH($A32,Processos!$A$10:$A$509,0)),"")&amp;CHAR(10)&amp;IFERROR(IF(OR(INDEX(Origem!$AB$10:$AB$509,MATCH($A32,Origem!$A$10:$A$509,0))="",INDEX(Origem!$AB$10:$AB$509,MATCH($A32,Origem!$A$10:$A$509,0))="—"),"Origem: sem classificação","Origem: "&amp;INDEX(Origem!$AB$10:$AB$509,MATCH($A32,Origem!$A$10:$A$509,0))&amp;IF(INDEX(Origem!$AC$10:$AC$509,MATCH($A32,Origem!$A$10:$A$509,0))=""," (sem pontuação)"," • "&amp;INDEX(Origem!$AC$10:$AC$509,MATCH($A32,Origem!$A$10:$A$509,0))&amp;" pontos")),"Origem: sem classificação"))</f>
        <v/>
      </c>
      <c r="F32" s="10" t="str">
        <f>IF((ROW()-9+($J$8-1)*50)&gt;COUNTIFS(Processos!$X$10:$X$509,1,Processos!$Y$10:$Y$509,1),"",IF(INDEX(Processos!$AQ$10:$AQ$509,MATCH((ROW()-9+($J$8-1)*50),Processos!$AJ$10:$AJ$509,0))="","",INDEX(Processos!$AQ$10:$AQ$509,MATCH((ROW()-9+($J$8-1)*50),Processos!$AJ$10:$AJ$509,0))))</f>
        <v/>
      </c>
      <c r="G32" s="6" t="str">
        <f>IF((ROW()-9+($J$8-1)*50)&gt;COUNTIFS(Processos!$X$10:$X$509,1,Processos!$Y$10:$Y$509,1),"",IFERROR(HYPERLINK("#'Ficha'!C6","Selecionar na Ficha"),"Selecionar na Ficha"))</f>
        <v/>
      </c>
    </row>
    <row r="33" spans="1:7" ht="114.95" customHeight="1">
      <c r="A33" s="7" t="str">
        <f>IF((ROW()-9+($J$8-1)*50)&gt;COUNTIFS(Processos!$X$10:$X$509,1,Processos!$Y$10:$Y$509,1),"",IF(INDEX(Processos!$A$10:$A$509,MATCH((ROW()-9+($J$8-1)*50),Processos!$AJ$10:$AJ$509,0))="","",INDEX(Processos!$A$10:$A$509,MATCH((ROW()-9+($J$8-1)*50),Processos!$AJ$10:$AJ$509,0))))</f>
        <v/>
      </c>
      <c r="B33" s="6" t="str">
        <f>IF((ROW()-9+($J$8-1)*50)&gt;COUNTIFS(Processos!$X$10:$X$509,1,Processos!$Y$10:$Y$509,1),"",IF(INDEX(Processos!$D$10:$D$509,MATCH((ROW()-9+($J$8-1)*50),Processos!$AJ$10:$AJ$509,0))="","",INDEX(Processos!$D$10:$D$509,MATCH((ROW()-9+($J$8-1)*50),Processos!$AJ$10:$AJ$509,0))))</f>
        <v/>
      </c>
      <c r="C33"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33" s="6" t="str">
        <f>SUBSTITUTE(SUBSTITUTE(IF((ROW()-9+($J$8-1)*50)&gt;COUNTIFS(Processos!$X$10:$X$509,1,Processos!$Y$10:$Y$509,1),"",IF(INDEX(Processos!$M$10:$M$509,MATCH((ROW()-9+($J$8-1)*50),Processos!$AJ$10:$AJ$509,0))="","",INDEX(Processos!$M$10:$M$509,MATCH((ROW()-9+($J$8-1)*50),Processos!$AJ$10:$AJ$509,0)))),CHAR(10)," "),CHAR(13)," ")</f>
        <v/>
      </c>
      <c r="E33" s="39" t="str">
        <f>IF($A33="","",IFERROR(INDEX(Processos!$AR$10:$AR$509,MATCH($A33,Processos!$A$10:$A$509,0)),"")&amp;CHAR(10)&amp;IFERROR(IF(OR(INDEX(Origem!$AB$10:$AB$509,MATCH($A33,Origem!$A$10:$A$509,0))="",INDEX(Origem!$AB$10:$AB$509,MATCH($A33,Origem!$A$10:$A$509,0))="—"),"Origem: sem classificação","Origem: "&amp;INDEX(Origem!$AB$10:$AB$509,MATCH($A33,Origem!$A$10:$A$509,0))&amp;IF(INDEX(Origem!$AC$10:$AC$509,MATCH($A33,Origem!$A$10:$A$509,0))=""," (sem pontuação)"," • "&amp;INDEX(Origem!$AC$10:$AC$509,MATCH($A33,Origem!$A$10:$A$509,0))&amp;" pontos")),"Origem: sem classificação"))</f>
        <v/>
      </c>
      <c r="F33" s="10" t="str">
        <f>IF((ROW()-9+($J$8-1)*50)&gt;COUNTIFS(Processos!$X$10:$X$509,1,Processos!$Y$10:$Y$509,1),"",IF(INDEX(Processos!$AQ$10:$AQ$509,MATCH((ROW()-9+($J$8-1)*50),Processos!$AJ$10:$AJ$509,0))="","",INDEX(Processos!$AQ$10:$AQ$509,MATCH((ROW()-9+($J$8-1)*50),Processos!$AJ$10:$AJ$509,0))))</f>
        <v/>
      </c>
      <c r="G33" s="6" t="str">
        <f>IF((ROW()-9+($J$8-1)*50)&gt;COUNTIFS(Processos!$X$10:$X$509,1,Processos!$Y$10:$Y$509,1),"",IFERROR(HYPERLINK("#'Ficha'!C6","Selecionar na Ficha"),"Selecionar na Ficha"))</f>
        <v/>
      </c>
    </row>
    <row r="34" spans="1:7" ht="114.95" customHeight="1">
      <c r="A34" s="7" t="str">
        <f>IF((ROW()-9+($J$8-1)*50)&gt;COUNTIFS(Processos!$X$10:$X$509,1,Processos!$Y$10:$Y$509,1),"",IF(INDEX(Processos!$A$10:$A$509,MATCH((ROW()-9+($J$8-1)*50),Processos!$AJ$10:$AJ$509,0))="","",INDEX(Processos!$A$10:$A$509,MATCH((ROW()-9+($J$8-1)*50),Processos!$AJ$10:$AJ$509,0))))</f>
        <v/>
      </c>
      <c r="B34" s="6" t="str">
        <f>IF((ROW()-9+($J$8-1)*50)&gt;COUNTIFS(Processos!$X$10:$X$509,1,Processos!$Y$10:$Y$509,1),"",IF(INDEX(Processos!$D$10:$D$509,MATCH((ROW()-9+($J$8-1)*50),Processos!$AJ$10:$AJ$509,0))="","",INDEX(Processos!$D$10:$D$509,MATCH((ROW()-9+($J$8-1)*50),Processos!$AJ$10:$AJ$509,0))))</f>
        <v/>
      </c>
      <c r="C34"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34" s="6" t="str">
        <f>SUBSTITUTE(SUBSTITUTE(IF((ROW()-9+($J$8-1)*50)&gt;COUNTIFS(Processos!$X$10:$X$509,1,Processos!$Y$10:$Y$509,1),"",IF(INDEX(Processos!$M$10:$M$509,MATCH((ROW()-9+($J$8-1)*50),Processos!$AJ$10:$AJ$509,0))="","",INDEX(Processos!$M$10:$M$509,MATCH((ROW()-9+($J$8-1)*50),Processos!$AJ$10:$AJ$509,0)))),CHAR(10)," "),CHAR(13)," ")</f>
        <v/>
      </c>
      <c r="E34" s="39" t="str">
        <f>IF($A34="","",IFERROR(INDEX(Processos!$AR$10:$AR$509,MATCH($A34,Processos!$A$10:$A$509,0)),"")&amp;CHAR(10)&amp;IFERROR(IF(OR(INDEX(Origem!$AB$10:$AB$509,MATCH($A34,Origem!$A$10:$A$509,0))="",INDEX(Origem!$AB$10:$AB$509,MATCH($A34,Origem!$A$10:$A$509,0))="—"),"Origem: sem classificação","Origem: "&amp;INDEX(Origem!$AB$10:$AB$509,MATCH($A34,Origem!$A$10:$A$509,0))&amp;IF(INDEX(Origem!$AC$10:$AC$509,MATCH($A34,Origem!$A$10:$A$509,0))=""," (sem pontuação)"," • "&amp;INDEX(Origem!$AC$10:$AC$509,MATCH($A34,Origem!$A$10:$A$509,0))&amp;" pontos")),"Origem: sem classificação"))</f>
        <v/>
      </c>
      <c r="F34" s="10" t="str">
        <f>IF((ROW()-9+($J$8-1)*50)&gt;COUNTIFS(Processos!$X$10:$X$509,1,Processos!$Y$10:$Y$509,1),"",IF(INDEX(Processos!$AQ$10:$AQ$509,MATCH((ROW()-9+($J$8-1)*50),Processos!$AJ$10:$AJ$509,0))="","",INDEX(Processos!$AQ$10:$AQ$509,MATCH((ROW()-9+($J$8-1)*50),Processos!$AJ$10:$AJ$509,0))))</f>
        <v/>
      </c>
      <c r="G34" s="6" t="str">
        <f>IF((ROW()-9+($J$8-1)*50)&gt;COUNTIFS(Processos!$X$10:$X$509,1,Processos!$Y$10:$Y$509,1),"",IFERROR(HYPERLINK("#'Ficha'!C6","Selecionar na Ficha"),"Selecionar na Ficha"))</f>
        <v/>
      </c>
    </row>
    <row r="35" spans="1:7" ht="114.95" customHeight="1">
      <c r="A35" s="7" t="str">
        <f>IF((ROW()-9+($J$8-1)*50)&gt;COUNTIFS(Processos!$X$10:$X$509,1,Processos!$Y$10:$Y$509,1),"",IF(INDEX(Processos!$A$10:$A$509,MATCH((ROW()-9+($J$8-1)*50),Processos!$AJ$10:$AJ$509,0))="","",INDEX(Processos!$A$10:$A$509,MATCH((ROW()-9+($J$8-1)*50),Processos!$AJ$10:$AJ$509,0))))</f>
        <v/>
      </c>
      <c r="B35" s="6" t="str">
        <f>IF((ROW()-9+($J$8-1)*50)&gt;COUNTIFS(Processos!$X$10:$X$509,1,Processos!$Y$10:$Y$509,1),"",IF(INDEX(Processos!$D$10:$D$509,MATCH((ROW()-9+($J$8-1)*50),Processos!$AJ$10:$AJ$509,0))="","",INDEX(Processos!$D$10:$D$509,MATCH((ROW()-9+($J$8-1)*50),Processos!$AJ$10:$AJ$509,0))))</f>
        <v/>
      </c>
      <c r="C35"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35" s="6" t="str">
        <f>SUBSTITUTE(SUBSTITUTE(IF((ROW()-9+($J$8-1)*50)&gt;COUNTIFS(Processos!$X$10:$X$509,1,Processos!$Y$10:$Y$509,1),"",IF(INDEX(Processos!$M$10:$M$509,MATCH((ROW()-9+($J$8-1)*50),Processos!$AJ$10:$AJ$509,0))="","",INDEX(Processos!$M$10:$M$509,MATCH((ROW()-9+($J$8-1)*50),Processos!$AJ$10:$AJ$509,0)))),CHAR(10)," "),CHAR(13)," ")</f>
        <v/>
      </c>
      <c r="E35" s="39" t="str">
        <f>IF($A35="","",IFERROR(INDEX(Processos!$AR$10:$AR$509,MATCH($A35,Processos!$A$10:$A$509,0)),"")&amp;CHAR(10)&amp;IFERROR(IF(OR(INDEX(Origem!$AB$10:$AB$509,MATCH($A35,Origem!$A$10:$A$509,0))="",INDEX(Origem!$AB$10:$AB$509,MATCH($A35,Origem!$A$10:$A$509,0))="—"),"Origem: sem classificação","Origem: "&amp;INDEX(Origem!$AB$10:$AB$509,MATCH($A35,Origem!$A$10:$A$509,0))&amp;IF(INDEX(Origem!$AC$10:$AC$509,MATCH($A35,Origem!$A$10:$A$509,0))=""," (sem pontuação)"," • "&amp;INDEX(Origem!$AC$10:$AC$509,MATCH($A35,Origem!$A$10:$A$509,0))&amp;" pontos")),"Origem: sem classificação"))</f>
        <v/>
      </c>
      <c r="F35" s="10" t="str">
        <f>IF((ROW()-9+($J$8-1)*50)&gt;COUNTIFS(Processos!$X$10:$X$509,1,Processos!$Y$10:$Y$509,1),"",IF(INDEX(Processos!$AQ$10:$AQ$509,MATCH((ROW()-9+($J$8-1)*50),Processos!$AJ$10:$AJ$509,0))="","",INDEX(Processos!$AQ$10:$AQ$509,MATCH((ROW()-9+($J$8-1)*50),Processos!$AJ$10:$AJ$509,0))))</f>
        <v/>
      </c>
      <c r="G35" s="6" t="str">
        <f>IF((ROW()-9+($J$8-1)*50)&gt;COUNTIFS(Processos!$X$10:$X$509,1,Processos!$Y$10:$Y$509,1),"",IFERROR(HYPERLINK("#'Ficha'!C6","Selecionar na Ficha"),"Selecionar na Ficha"))</f>
        <v/>
      </c>
    </row>
    <row r="36" spans="1:7" ht="114.95" customHeight="1">
      <c r="A36" s="7" t="str">
        <f>IF((ROW()-9+($J$8-1)*50)&gt;COUNTIFS(Processos!$X$10:$X$509,1,Processos!$Y$10:$Y$509,1),"",IF(INDEX(Processos!$A$10:$A$509,MATCH((ROW()-9+($J$8-1)*50),Processos!$AJ$10:$AJ$509,0))="","",INDEX(Processos!$A$10:$A$509,MATCH((ROW()-9+($J$8-1)*50),Processos!$AJ$10:$AJ$509,0))))</f>
        <v/>
      </c>
      <c r="B36" s="6" t="str">
        <f>IF((ROW()-9+($J$8-1)*50)&gt;COUNTIFS(Processos!$X$10:$X$509,1,Processos!$Y$10:$Y$509,1),"",IF(INDEX(Processos!$D$10:$D$509,MATCH((ROW()-9+($J$8-1)*50),Processos!$AJ$10:$AJ$509,0))="","",INDEX(Processos!$D$10:$D$509,MATCH((ROW()-9+($J$8-1)*50),Processos!$AJ$10:$AJ$509,0))))</f>
        <v/>
      </c>
      <c r="C36"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36" s="6" t="str">
        <f>SUBSTITUTE(SUBSTITUTE(IF((ROW()-9+($J$8-1)*50)&gt;COUNTIFS(Processos!$X$10:$X$509,1,Processos!$Y$10:$Y$509,1),"",IF(INDEX(Processos!$M$10:$M$509,MATCH((ROW()-9+($J$8-1)*50),Processos!$AJ$10:$AJ$509,0))="","",INDEX(Processos!$M$10:$M$509,MATCH((ROW()-9+($J$8-1)*50),Processos!$AJ$10:$AJ$509,0)))),CHAR(10)," "),CHAR(13)," ")</f>
        <v/>
      </c>
      <c r="E36" s="39" t="str">
        <f>IF($A36="","",IFERROR(INDEX(Processos!$AR$10:$AR$509,MATCH($A36,Processos!$A$10:$A$509,0)),"")&amp;CHAR(10)&amp;IFERROR(IF(OR(INDEX(Origem!$AB$10:$AB$509,MATCH($A36,Origem!$A$10:$A$509,0))="",INDEX(Origem!$AB$10:$AB$509,MATCH($A36,Origem!$A$10:$A$509,0))="—"),"Origem: sem classificação","Origem: "&amp;INDEX(Origem!$AB$10:$AB$509,MATCH($A36,Origem!$A$10:$A$509,0))&amp;IF(INDEX(Origem!$AC$10:$AC$509,MATCH($A36,Origem!$A$10:$A$509,0))=""," (sem pontuação)"," • "&amp;INDEX(Origem!$AC$10:$AC$509,MATCH($A36,Origem!$A$10:$A$509,0))&amp;" pontos")),"Origem: sem classificação"))</f>
        <v/>
      </c>
      <c r="F36" s="10" t="str">
        <f>IF((ROW()-9+($J$8-1)*50)&gt;COUNTIFS(Processos!$X$10:$X$509,1,Processos!$Y$10:$Y$509,1),"",IF(INDEX(Processos!$AQ$10:$AQ$509,MATCH((ROW()-9+($J$8-1)*50),Processos!$AJ$10:$AJ$509,0))="","",INDEX(Processos!$AQ$10:$AQ$509,MATCH((ROW()-9+($J$8-1)*50),Processos!$AJ$10:$AJ$509,0))))</f>
        <v/>
      </c>
      <c r="G36" s="6" t="str">
        <f>IF((ROW()-9+($J$8-1)*50)&gt;COUNTIFS(Processos!$X$10:$X$509,1,Processos!$Y$10:$Y$509,1),"",IFERROR(HYPERLINK("#'Ficha'!C6","Selecionar na Ficha"),"Selecionar na Ficha"))</f>
        <v/>
      </c>
    </row>
    <row r="37" spans="1:7" ht="114.95" customHeight="1">
      <c r="A37" s="7" t="str">
        <f>IF((ROW()-9+($J$8-1)*50)&gt;COUNTIFS(Processos!$X$10:$X$509,1,Processos!$Y$10:$Y$509,1),"",IF(INDEX(Processos!$A$10:$A$509,MATCH((ROW()-9+($J$8-1)*50),Processos!$AJ$10:$AJ$509,0))="","",INDEX(Processos!$A$10:$A$509,MATCH((ROW()-9+($J$8-1)*50),Processos!$AJ$10:$AJ$509,0))))</f>
        <v/>
      </c>
      <c r="B37" s="6" t="str">
        <f>IF((ROW()-9+($J$8-1)*50)&gt;COUNTIFS(Processos!$X$10:$X$509,1,Processos!$Y$10:$Y$509,1),"",IF(INDEX(Processos!$D$10:$D$509,MATCH((ROW()-9+($J$8-1)*50),Processos!$AJ$10:$AJ$509,0))="","",INDEX(Processos!$D$10:$D$509,MATCH((ROW()-9+($J$8-1)*50),Processos!$AJ$10:$AJ$509,0))))</f>
        <v/>
      </c>
      <c r="C37"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37" s="6" t="str">
        <f>SUBSTITUTE(SUBSTITUTE(IF((ROW()-9+($J$8-1)*50)&gt;COUNTIFS(Processos!$X$10:$X$509,1,Processos!$Y$10:$Y$509,1),"",IF(INDEX(Processos!$M$10:$M$509,MATCH((ROW()-9+($J$8-1)*50),Processos!$AJ$10:$AJ$509,0))="","",INDEX(Processos!$M$10:$M$509,MATCH((ROW()-9+($J$8-1)*50),Processos!$AJ$10:$AJ$509,0)))),CHAR(10)," "),CHAR(13)," ")</f>
        <v/>
      </c>
      <c r="E37" s="39" t="str">
        <f>IF($A37="","",IFERROR(INDEX(Processos!$AR$10:$AR$509,MATCH($A37,Processos!$A$10:$A$509,0)),"")&amp;CHAR(10)&amp;IFERROR(IF(OR(INDEX(Origem!$AB$10:$AB$509,MATCH($A37,Origem!$A$10:$A$509,0))="",INDEX(Origem!$AB$10:$AB$509,MATCH($A37,Origem!$A$10:$A$509,0))="—"),"Origem: sem classificação","Origem: "&amp;INDEX(Origem!$AB$10:$AB$509,MATCH($A37,Origem!$A$10:$A$509,0))&amp;IF(INDEX(Origem!$AC$10:$AC$509,MATCH($A37,Origem!$A$10:$A$509,0))=""," (sem pontuação)"," • "&amp;INDEX(Origem!$AC$10:$AC$509,MATCH($A37,Origem!$A$10:$A$509,0))&amp;" pontos")),"Origem: sem classificação"))</f>
        <v/>
      </c>
      <c r="F37" s="10" t="str">
        <f>IF((ROW()-9+($J$8-1)*50)&gt;COUNTIFS(Processos!$X$10:$X$509,1,Processos!$Y$10:$Y$509,1),"",IF(INDEX(Processos!$AQ$10:$AQ$509,MATCH((ROW()-9+($J$8-1)*50),Processos!$AJ$10:$AJ$509,0))="","",INDEX(Processos!$AQ$10:$AQ$509,MATCH((ROW()-9+($J$8-1)*50),Processos!$AJ$10:$AJ$509,0))))</f>
        <v/>
      </c>
      <c r="G37" s="6" t="str">
        <f>IF((ROW()-9+($J$8-1)*50)&gt;COUNTIFS(Processos!$X$10:$X$509,1,Processos!$Y$10:$Y$509,1),"",IFERROR(HYPERLINK("#'Ficha'!C6","Selecionar na Ficha"),"Selecionar na Ficha"))</f>
        <v/>
      </c>
    </row>
    <row r="38" spans="1:7" ht="114.95" customHeight="1">
      <c r="A38" s="7" t="str">
        <f>IF((ROW()-9+($J$8-1)*50)&gt;COUNTIFS(Processos!$X$10:$X$509,1,Processos!$Y$10:$Y$509,1),"",IF(INDEX(Processos!$A$10:$A$509,MATCH((ROW()-9+($J$8-1)*50),Processos!$AJ$10:$AJ$509,0))="","",INDEX(Processos!$A$10:$A$509,MATCH((ROW()-9+($J$8-1)*50),Processos!$AJ$10:$AJ$509,0))))</f>
        <v/>
      </c>
      <c r="B38" s="6" t="str">
        <f>IF((ROW()-9+($J$8-1)*50)&gt;COUNTIFS(Processos!$X$10:$X$509,1,Processos!$Y$10:$Y$509,1),"",IF(INDEX(Processos!$D$10:$D$509,MATCH((ROW()-9+($J$8-1)*50),Processos!$AJ$10:$AJ$509,0))="","",INDEX(Processos!$D$10:$D$509,MATCH((ROW()-9+($J$8-1)*50),Processos!$AJ$10:$AJ$509,0))))</f>
        <v/>
      </c>
      <c r="C38"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38" s="6" t="str">
        <f>SUBSTITUTE(SUBSTITUTE(IF((ROW()-9+($J$8-1)*50)&gt;COUNTIFS(Processos!$X$10:$X$509,1,Processos!$Y$10:$Y$509,1),"",IF(INDEX(Processos!$M$10:$M$509,MATCH((ROW()-9+($J$8-1)*50),Processos!$AJ$10:$AJ$509,0))="","",INDEX(Processos!$M$10:$M$509,MATCH((ROW()-9+($J$8-1)*50),Processos!$AJ$10:$AJ$509,0)))),CHAR(10)," "),CHAR(13)," ")</f>
        <v/>
      </c>
      <c r="E38" s="39" t="str">
        <f>IF($A38="","",IFERROR(INDEX(Processos!$AR$10:$AR$509,MATCH($A38,Processos!$A$10:$A$509,0)),"")&amp;CHAR(10)&amp;IFERROR(IF(OR(INDEX(Origem!$AB$10:$AB$509,MATCH($A38,Origem!$A$10:$A$509,0))="",INDEX(Origem!$AB$10:$AB$509,MATCH($A38,Origem!$A$10:$A$509,0))="—"),"Origem: sem classificação","Origem: "&amp;INDEX(Origem!$AB$10:$AB$509,MATCH($A38,Origem!$A$10:$A$509,0))&amp;IF(INDEX(Origem!$AC$10:$AC$509,MATCH($A38,Origem!$A$10:$A$509,0))=""," (sem pontuação)"," • "&amp;INDEX(Origem!$AC$10:$AC$509,MATCH($A38,Origem!$A$10:$A$509,0))&amp;" pontos")),"Origem: sem classificação"))</f>
        <v/>
      </c>
      <c r="F38" s="10" t="str">
        <f>IF((ROW()-9+($J$8-1)*50)&gt;COUNTIFS(Processos!$X$10:$X$509,1,Processos!$Y$10:$Y$509,1),"",IF(INDEX(Processos!$AQ$10:$AQ$509,MATCH((ROW()-9+($J$8-1)*50),Processos!$AJ$10:$AJ$509,0))="","",INDEX(Processos!$AQ$10:$AQ$509,MATCH((ROW()-9+($J$8-1)*50),Processos!$AJ$10:$AJ$509,0))))</f>
        <v/>
      </c>
      <c r="G38" s="6" t="str">
        <f>IF((ROW()-9+($J$8-1)*50)&gt;COUNTIFS(Processos!$X$10:$X$509,1,Processos!$Y$10:$Y$509,1),"",IFERROR(HYPERLINK("#'Ficha'!C6","Selecionar na Ficha"),"Selecionar na Ficha"))</f>
        <v/>
      </c>
    </row>
    <row r="39" spans="1:7" ht="114.95" customHeight="1">
      <c r="A39" s="7" t="str">
        <f>IF((ROW()-9+($J$8-1)*50)&gt;COUNTIFS(Processos!$X$10:$X$509,1,Processos!$Y$10:$Y$509,1),"",IF(INDEX(Processos!$A$10:$A$509,MATCH((ROW()-9+($J$8-1)*50),Processos!$AJ$10:$AJ$509,0))="","",INDEX(Processos!$A$10:$A$509,MATCH((ROW()-9+($J$8-1)*50),Processos!$AJ$10:$AJ$509,0))))</f>
        <v/>
      </c>
      <c r="B39" s="6" t="str">
        <f>IF((ROW()-9+($J$8-1)*50)&gt;COUNTIFS(Processos!$X$10:$X$509,1,Processos!$Y$10:$Y$509,1),"",IF(INDEX(Processos!$D$10:$D$509,MATCH((ROW()-9+($J$8-1)*50),Processos!$AJ$10:$AJ$509,0))="","",INDEX(Processos!$D$10:$D$509,MATCH((ROW()-9+($J$8-1)*50),Processos!$AJ$10:$AJ$509,0))))</f>
        <v/>
      </c>
      <c r="C39"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39" s="6" t="str">
        <f>SUBSTITUTE(SUBSTITUTE(IF((ROW()-9+($J$8-1)*50)&gt;COUNTIFS(Processos!$X$10:$X$509,1,Processos!$Y$10:$Y$509,1),"",IF(INDEX(Processos!$M$10:$M$509,MATCH((ROW()-9+($J$8-1)*50),Processos!$AJ$10:$AJ$509,0))="","",INDEX(Processos!$M$10:$M$509,MATCH((ROW()-9+($J$8-1)*50),Processos!$AJ$10:$AJ$509,0)))),CHAR(10)," "),CHAR(13)," ")</f>
        <v/>
      </c>
      <c r="E39" s="39" t="str">
        <f>IF($A39="","",IFERROR(INDEX(Processos!$AR$10:$AR$509,MATCH($A39,Processos!$A$10:$A$509,0)),"")&amp;CHAR(10)&amp;IFERROR(IF(OR(INDEX(Origem!$AB$10:$AB$509,MATCH($A39,Origem!$A$10:$A$509,0))="",INDEX(Origem!$AB$10:$AB$509,MATCH($A39,Origem!$A$10:$A$509,0))="—"),"Origem: sem classificação","Origem: "&amp;INDEX(Origem!$AB$10:$AB$509,MATCH($A39,Origem!$A$10:$A$509,0))&amp;IF(INDEX(Origem!$AC$10:$AC$509,MATCH($A39,Origem!$A$10:$A$509,0))=""," (sem pontuação)"," • "&amp;INDEX(Origem!$AC$10:$AC$509,MATCH($A39,Origem!$A$10:$A$509,0))&amp;" pontos")),"Origem: sem classificação"))</f>
        <v/>
      </c>
      <c r="F39" s="10" t="str">
        <f>IF((ROW()-9+($J$8-1)*50)&gt;COUNTIFS(Processos!$X$10:$X$509,1,Processos!$Y$10:$Y$509,1),"",IF(INDEX(Processos!$AQ$10:$AQ$509,MATCH((ROW()-9+($J$8-1)*50),Processos!$AJ$10:$AJ$509,0))="","",INDEX(Processos!$AQ$10:$AQ$509,MATCH((ROW()-9+($J$8-1)*50),Processos!$AJ$10:$AJ$509,0))))</f>
        <v/>
      </c>
      <c r="G39" s="6" t="str">
        <f>IF((ROW()-9+($J$8-1)*50)&gt;COUNTIFS(Processos!$X$10:$X$509,1,Processos!$Y$10:$Y$509,1),"",IFERROR(HYPERLINK("#'Ficha'!C6","Selecionar na Ficha"),"Selecionar na Ficha"))</f>
        <v/>
      </c>
    </row>
    <row r="40" spans="1:7" ht="114.95" customHeight="1">
      <c r="A40" s="7" t="str">
        <f>IF((ROW()-9+($J$8-1)*50)&gt;COUNTIFS(Processos!$X$10:$X$509,1,Processos!$Y$10:$Y$509,1),"",IF(INDEX(Processos!$A$10:$A$509,MATCH((ROW()-9+($J$8-1)*50),Processos!$AJ$10:$AJ$509,0))="","",INDEX(Processos!$A$10:$A$509,MATCH((ROW()-9+($J$8-1)*50),Processos!$AJ$10:$AJ$509,0))))</f>
        <v/>
      </c>
      <c r="B40" s="6" t="str">
        <f>IF((ROW()-9+($J$8-1)*50)&gt;COUNTIFS(Processos!$X$10:$X$509,1,Processos!$Y$10:$Y$509,1),"",IF(INDEX(Processos!$D$10:$D$509,MATCH((ROW()-9+($J$8-1)*50),Processos!$AJ$10:$AJ$509,0))="","",INDEX(Processos!$D$10:$D$509,MATCH((ROW()-9+($J$8-1)*50),Processos!$AJ$10:$AJ$509,0))))</f>
        <v/>
      </c>
      <c r="C40"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40" s="6" t="str">
        <f>SUBSTITUTE(SUBSTITUTE(IF((ROW()-9+($J$8-1)*50)&gt;COUNTIFS(Processos!$X$10:$X$509,1,Processos!$Y$10:$Y$509,1),"",IF(INDEX(Processos!$M$10:$M$509,MATCH((ROW()-9+($J$8-1)*50),Processos!$AJ$10:$AJ$509,0))="","",INDEX(Processos!$M$10:$M$509,MATCH((ROW()-9+($J$8-1)*50),Processos!$AJ$10:$AJ$509,0)))),CHAR(10)," "),CHAR(13)," ")</f>
        <v/>
      </c>
      <c r="E40" s="39" t="str">
        <f>IF($A40="","",IFERROR(INDEX(Processos!$AR$10:$AR$509,MATCH($A40,Processos!$A$10:$A$509,0)),"")&amp;CHAR(10)&amp;IFERROR(IF(OR(INDEX(Origem!$AB$10:$AB$509,MATCH($A40,Origem!$A$10:$A$509,0))="",INDEX(Origem!$AB$10:$AB$509,MATCH($A40,Origem!$A$10:$A$509,0))="—"),"Origem: sem classificação","Origem: "&amp;INDEX(Origem!$AB$10:$AB$509,MATCH($A40,Origem!$A$10:$A$509,0))&amp;IF(INDEX(Origem!$AC$10:$AC$509,MATCH($A40,Origem!$A$10:$A$509,0))=""," (sem pontuação)"," • "&amp;INDEX(Origem!$AC$10:$AC$509,MATCH($A40,Origem!$A$10:$A$509,0))&amp;" pontos")),"Origem: sem classificação"))</f>
        <v/>
      </c>
      <c r="F40" s="10" t="str">
        <f>IF((ROW()-9+($J$8-1)*50)&gt;COUNTIFS(Processos!$X$10:$X$509,1,Processos!$Y$10:$Y$509,1),"",IF(INDEX(Processos!$AQ$10:$AQ$509,MATCH((ROW()-9+($J$8-1)*50),Processos!$AJ$10:$AJ$509,0))="","",INDEX(Processos!$AQ$10:$AQ$509,MATCH((ROW()-9+($J$8-1)*50),Processos!$AJ$10:$AJ$509,0))))</f>
        <v/>
      </c>
      <c r="G40" s="6" t="str">
        <f>IF((ROW()-9+($J$8-1)*50)&gt;COUNTIFS(Processos!$X$10:$X$509,1,Processos!$Y$10:$Y$509,1),"",IFERROR(HYPERLINK("#'Ficha'!C6","Selecionar na Ficha"),"Selecionar na Ficha"))</f>
        <v/>
      </c>
    </row>
    <row r="41" spans="1:7" ht="114.95" customHeight="1">
      <c r="A41" s="7" t="str">
        <f>IF((ROW()-9+($J$8-1)*50)&gt;COUNTIFS(Processos!$X$10:$X$509,1,Processos!$Y$10:$Y$509,1),"",IF(INDEX(Processos!$A$10:$A$509,MATCH((ROW()-9+($J$8-1)*50),Processos!$AJ$10:$AJ$509,0))="","",INDEX(Processos!$A$10:$A$509,MATCH((ROW()-9+($J$8-1)*50),Processos!$AJ$10:$AJ$509,0))))</f>
        <v/>
      </c>
      <c r="B41" s="6" t="str">
        <f>IF((ROW()-9+($J$8-1)*50)&gt;COUNTIFS(Processos!$X$10:$X$509,1,Processos!$Y$10:$Y$509,1),"",IF(INDEX(Processos!$D$10:$D$509,MATCH((ROW()-9+($J$8-1)*50),Processos!$AJ$10:$AJ$509,0))="","",INDEX(Processos!$D$10:$D$509,MATCH((ROW()-9+($J$8-1)*50),Processos!$AJ$10:$AJ$509,0))))</f>
        <v/>
      </c>
      <c r="C41"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41" s="6" t="str">
        <f>SUBSTITUTE(SUBSTITUTE(IF((ROW()-9+($J$8-1)*50)&gt;COUNTIFS(Processos!$X$10:$X$509,1,Processos!$Y$10:$Y$509,1),"",IF(INDEX(Processos!$M$10:$M$509,MATCH((ROW()-9+($J$8-1)*50),Processos!$AJ$10:$AJ$509,0))="","",INDEX(Processos!$M$10:$M$509,MATCH((ROW()-9+($J$8-1)*50),Processos!$AJ$10:$AJ$509,0)))),CHAR(10)," "),CHAR(13)," ")</f>
        <v/>
      </c>
      <c r="E41" s="39" t="str">
        <f>IF($A41="","",IFERROR(INDEX(Processos!$AR$10:$AR$509,MATCH($A41,Processos!$A$10:$A$509,0)),"")&amp;CHAR(10)&amp;IFERROR(IF(OR(INDEX(Origem!$AB$10:$AB$509,MATCH($A41,Origem!$A$10:$A$509,0))="",INDEX(Origem!$AB$10:$AB$509,MATCH($A41,Origem!$A$10:$A$509,0))="—"),"Origem: sem classificação","Origem: "&amp;INDEX(Origem!$AB$10:$AB$509,MATCH($A41,Origem!$A$10:$A$509,0))&amp;IF(INDEX(Origem!$AC$10:$AC$509,MATCH($A41,Origem!$A$10:$A$509,0))=""," (sem pontuação)"," • "&amp;INDEX(Origem!$AC$10:$AC$509,MATCH($A41,Origem!$A$10:$A$509,0))&amp;" pontos")),"Origem: sem classificação"))</f>
        <v/>
      </c>
      <c r="F41" s="10" t="str">
        <f>IF((ROW()-9+($J$8-1)*50)&gt;COUNTIFS(Processos!$X$10:$X$509,1,Processos!$Y$10:$Y$509,1),"",IF(INDEX(Processos!$AQ$10:$AQ$509,MATCH((ROW()-9+($J$8-1)*50),Processos!$AJ$10:$AJ$509,0))="","",INDEX(Processos!$AQ$10:$AQ$509,MATCH((ROW()-9+($J$8-1)*50),Processos!$AJ$10:$AJ$509,0))))</f>
        <v/>
      </c>
      <c r="G41" s="6" t="str">
        <f>IF((ROW()-9+($J$8-1)*50)&gt;COUNTIFS(Processos!$X$10:$X$509,1,Processos!$Y$10:$Y$509,1),"",IFERROR(HYPERLINK("#'Ficha'!C6","Selecionar na Ficha"),"Selecionar na Ficha"))</f>
        <v/>
      </c>
    </row>
    <row r="42" spans="1:7" ht="114.95" customHeight="1">
      <c r="A42" s="7" t="str">
        <f>IF((ROW()-9+($J$8-1)*50)&gt;COUNTIFS(Processos!$X$10:$X$509,1,Processos!$Y$10:$Y$509,1),"",IF(INDEX(Processos!$A$10:$A$509,MATCH((ROW()-9+($J$8-1)*50),Processos!$AJ$10:$AJ$509,0))="","",INDEX(Processos!$A$10:$A$509,MATCH((ROW()-9+($J$8-1)*50),Processos!$AJ$10:$AJ$509,0))))</f>
        <v/>
      </c>
      <c r="B42" s="6" t="str">
        <f>IF((ROW()-9+($J$8-1)*50)&gt;COUNTIFS(Processos!$X$10:$X$509,1,Processos!$Y$10:$Y$509,1),"",IF(INDEX(Processos!$D$10:$D$509,MATCH((ROW()-9+($J$8-1)*50),Processos!$AJ$10:$AJ$509,0))="","",INDEX(Processos!$D$10:$D$509,MATCH((ROW()-9+($J$8-1)*50),Processos!$AJ$10:$AJ$509,0))))</f>
        <v/>
      </c>
      <c r="C42"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42" s="6" t="str">
        <f>SUBSTITUTE(SUBSTITUTE(IF((ROW()-9+($J$8-1)*50)&gt;COUNTIFS(Processos!$X$10:$X$509,1,Processos!$Y$10:$Y$509,1),"",IF(INDEX(Processos!$M$10:$M$509,MATCH((ROW()-9+($J$8-1)*50),Processos!$AJ$10:$AJ$509,0))="","",INDEX(Processos!$M$10:$M$509,MATCH((ROW()-9+($J$8-1)*50),Processos!$AJ$10:$AJ$509,0)))),CHAR(10)," "),CHAR(13)," ")</f>
        <v/>
      </c>
      <c r="E42" s="39" t="str">
        <f>IF($A42="","",IFERROR(INDEX(Processos!$AR$10:$AR$509,MATCH($A42,Processos!$A$10:$A$509,0)),"")&amp;CHAR(10)&amp;IFERROR(IF(OR(INDEX(Origem!$AB$10:$AB$509,MATCH($A42,Origem!$A$10:$A$509,0))="",INDEX(Origem!$AB$10:$AB$509,MATCH($A42,Origem!$A$10:$A$509,0))="—"),"Origem: sem classificação","Origem: "&amp;INDEX(Origem!$AB$10:$AB$509,MATCH($A42,Origem!$A$10:$A$509,0))&amp;IF(INDEX(Origem!$AC$10:$AC$509,MATCH($A42,Origem!$A$10:$A$509,0))=""," (sem pontuação)"," • "&amp;INDEX(Origem!$AC$10:$AC$509,MATCH($A42,Origem!$A$10:$A$509,0))&amp;" pontos")),"Origem: sem classificação"))</f>
        <v/>
      </c>
      <c r="F42" s="10" t="str">
        <f>IF((ROW()-9+($J$8-1)*50)&gt;COUNTIFS(Processos!$X$10:$X$509,1,Processos!$Y$10:$Y$509,1),"",IF(INDEX(Processos!$AQ$10:$AQ$509,MATCH((ROW()-9+($J$8-1)*50),Processos!$AJ$10:$AJ$509,0))="","",INDEX(Processos!$AQ$10:$AQ$509,MATCH((ROW()-9+($J$8-1)*50),Processos!$AJ$10:$AJ$509,0))))</f>
        <v/>
      </c>
      <c r="G42" s="6" t="str">
        <f>IF((ROW()-9+($J$8-1)*50)&gt;COUNTIFS(Processos!$X$10:$X$509,1,Processos!$Y$10:$Y$509,1),"",IFERROR(HYPERLINK("#'Ficha'!C6","Selecionar na Ficha"),"Selecionar na Ficha"))</f>
        <v/>
      </c>
    </row>
    <row r="43" spans="1:7" ht="114.95" customHeight="1">
      <c r="A43" s="7" t="str">
        <f>IF((ROW()-9+($J$8-1)*50)&gt;COUNTIFS(Processos!$X$10:$X$509,1,Processos!$Y$10:$Y$509,1),"",IF(INDEX(Processos!$A$10:$A$509,MATCH((ROW()-9+($J$8-1)*50),Processos!$AJ$10:$AJ$509,0))="","",INDEX(Processos!$A$10:$A$509,MATCH((ROW()-9+($J$8-1)*50),Processos!$AJ$10:$AJ$509,0))))</f>
        <v/>
      </c>
      <c r="B43" s="6" t="str">
        <f>IF((ROW()-9+($J$8-1)*50)&gt;COUNTIFS(Processos!$X$10:$X$509,1,Processos!$Y$10:$Y$509,1),"",IF(INDEX(Processos!$D$10:$D$509,MATCH((ROW()-9+($J$8-1)*50),Processos!$AJ$10:$AJ$509,0))="","",INDEX(Processos!$D$10:$D$509,MATCH((ROW()-9+($J$8-1)*50),Processos!$AJ$10:$AJ$509,0))))</f>
        <v/>
      </c>
      <c r="C43"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43" s="6" t="str">
        <f>SUBSTITUTE(SUBSTITUTE(IF((ROW()-9+($J$8-1)*50)&gt;COUNTIFS(Processos!$X$10:$X$509,1,Processos!$Y$10:$Y$509,1),"",IF(INDEX(Processos!$M$10:$M$509,MATCH((ROW()-9+($J$8-1)*50),Processos!$AJ$10:$AJ$509,0))="","",INDEX(Processos!$M$10:$M$509,MATCH((ROW()-9+($J$8-1)*50),Processos!$AJ$10:$AJ$509,0)))),CHAR(10)," "),CHAR(13)," ")</f>
        <v/>
      </c>
      <c r="E43" s="39" t="str">
        <f>IF($A43="","",IFERROR(INDEX(Processos!$AR$10:$AR$509,MATCH($A43,Processos!$A$10:$A$509,0)),"")&amp;CHAR(10)&amp;IFERROR(IF(OR(INDEX(Origem!$AB$10:$AB$509,MATCH($A43,Origem!$A$10:$A$509,0))="",INDEX(Origem!$AB$10:$AB$509,MATCH($A43,Origem!$A$10:$A$509,0))="—"),"Origem: sem classificação","Origem: "&amp;INDEX(Origem!$AB$10:$AB$509,MATCH($A43,Origem!$A$10:$A$509,0))&amp;IF(INDEX(Origem!$AC$10:$AC$509,MATCH($A43,Origem!$A$10:$A$509,0))=""," (sem pontuação)"," • "&amp;INDEX(Origem!$AC$10:$AC$509,MATCH($A43,Origem!$A$10:$A$509,0))&amp;" pontos")),"Origem: sem classificação"))</f>
        <v/>
      </c>
      <c r="F43" s="10" t="str">
        <f>IF((ROW()-9+($J$8-1)*50)&gt;COUNTIFS(Processos!$X$10:$X$509,1,Processos!$Y$10:$Y$509,1),"",IF(INDEX(Processos!$AQ$10:$AQ$509,MATCH((ROW()-9+($J$8-1)*50),Processos!$AJ$10:$AJ$509,0))="","",INDEX(Processos!$AQ$10:$AQ$509,MATCH((ROW()-9+($J$8-1)*50),Processos!$AJ$10:$AJ$509,0))))</f>
        <v/>
      </c>
      <c r="G43" s="6" t="str">
        <f>IF((ROW()-9+($J$8-1)*50)&gt;COUNTIFS(Processos!$X$10:$X$509,1,Processos!$Y$10:$Y$509,1),"",IFERROR(HYPERLINK("#'Ficha'!C6","Selecionar na Ficha"),"Selecionar na Ficha"))</f>
        <v/>
      </c>
    </row>
    <row r="44" spans="1:7" ht="114.95" customHeight="1">
      <c r="A44" s="7" t="str">
        <f>IF((ROW()-9+($J$8-1)*50)&gt;COUNTIFS(Processos!$X$10:$X$509,1,Processos!$Y$10:$Y$509,1),"",IF(INDEX(Processos!$A$10:$A$509,MATCH((ROW()-9+($J$8-1)*50),Processos!$AJ$10:$AJ$509,0))="","",INDEX(Processos!$A$10:$A$509,MATCH((ROW()-9+($J$8-1)*50),Processos!$AJ$10:$AJ$509,0))))</f>
        <v/>
      </c>
      <c r="B44" s="6" t="str">
        <f>IF((ROW()-9+($J$8-1)*50)&gt;COUNTIFS(Processos!$X$10:$X$509,1,Processos!$Y$10:$Y$509,1),"",IF(INDEX(Processos!$D$10:$D$509,MATCH((ROW()-9+($J$8-1)*50),Processos!$AJ$10:$AJ$509,0))="","",INDEX(Processos!$D$10:$D$509,MATCH((ROW()-9+($J$8-1)*50),Processos!$AJ$10:$AJ$509,0))))</f>
        <v/>
      </c>
      <c r="C44"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44" s="6" t="str">
        <f>SUBSTITUTE(SUBSTITUTE(IF((ROW()-9+($J$8-1)*50)&gt;COUNTIFS(Processos!$X$10:$X$509,1,Processos!$Y$10:$Y$509,1),"",IF(INDEX(Processos!$M$10:$M$509,MATCH((ROW()-9+($J$8-1)*50),Processos!$AJ$10:$AJ$509,0))="","",INDEX(Processos!$M$10:$M$509,MATCH((ROW()-9+($J$8-1)*50),Processos!$AJ$10:$AJ$509,0)))),CHAR(10)," "),CHAR(13)," ")</f>
        <v/>
      </c>
      <c r="E44" s="39" t="str">
        <f>IF($A44="","",IFERROR(INDEX(Processos!$AR$10:$AR$509,MATCH($A44,Processos!$A$10:$A$509,0)),"")&amp;CHAR(10)&amp;IFERROR(IF(OR(INDEX(Origem!$AB$10:$AB$509,MATCH($A44,Origem!$A$10:$A$509,0))="",INDEX(Origem!$AB$10:$AB$509,MATCH($A44,Origem!$A$10:$A$509,0))="—"),"Origem: sem classificação","Origem: "&amp;INDEX(Origem!$AB$10:$AB$509,MATCH($A44,Origem!$A$10:$A$509,0))&amp;IF(INDEX(Origem!$AC$10:$AC$509,MATCH($A44,Origem!$A$10:$A$509,0))=""," (sem pontuação)"," • "&amp;INDEX(Origem!$AC$10:$AC$509,MATCH($A44,Origem!$A$10:$A$509,0))&amp;" pontos")),"Origem: sem classificação"))</f>
        <v/>
      </c>
      <c r="F44" s="10" t="str">
        <f>IF((ROW()-9+($J$8-1)*50)&gt;COUNTIFS(Processos!$X$10:$X$509,1,Processos!$Y$10:$Y$509,1),"",IF(INDEX(Processos!$AQ$10:$AQ$509,MATCH((ROW()-9+($J$8-1)*50),Processos!$AJ$10:$AJ$509,0))="","",INDEX(Processos!$AQ$10:$AQ$509,MATCH((ROW()-9+($J$8-1)*50),Processos!$AJ$10:$AJ$509,0))))</f>
        <v/>
      </c>
      <c r="G44" s="6" t="str">
        <f>IF((ROW()-9+($J$8-1)*50)&gt;COUNTIFS(Processos!$X$10:$X$509,1,Processos!$Y$10:$Y$509,1),"",IFERROR(HYPERLINK("#'Ficha'!C6","Selecionar na Ficha"),"Selecionar na Ficha"))</f>
        <v/>
      </c>
    </row>
    <row r="45" spans="1:7" ht="114.95" customHeight="1">
      <c r="A45" s="7" t="str">
        <f>IF((ROW()-9+($J$8-1)*50)&gt;COUNTIFS(Processos!$X$10:$X$509,1,Processos!$Y$10:$Y$509,1),"",IF(INDEX(Processos!$A$10:$A$509,MATCH((ROW()-9+($J$8-1)*50),Processos!$AJ$10:$AJ$509,0))="","",INDEX(Processos!$A$10:$A$509,MATCH((ROW()-9+($J$8-1)*50),Processos!$AJ$10:$AJ$509,0))))</f>
        <v/>
      </c>
      <c r="B45" s="6" t="str">
        <f>IF((ROW()-9+($J$8-1)*50)&gt;COUNTIFS(Processos!$X$10:$X$509,1,Processos!$Y$10:$Y$509,1),"",IF(INDEX(Processos!$D$10:$D$509,MATCH((ROW()-9+($J$8-1)*50),Processos!$AJ$10:$AJ$509,0))="","",INDEX(Processos!$D$10:$D$509,MATCH((ROW()-9+($J$8-1)*50),Processos!$AJ$10:$AJ$509,0))))</f>
        <v/>
      </c>
      <c r="C45"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45" s="6" t="str">
        <f>SUBSTITUTE(SUBSTITUTE(IF((ROW()-9+($J$8-1)*50)&gt;COUNTIFS(Processos!$X$10:$X$509,1,Processos!$Y$10:$Y$509,1),"",IF(INDEX(Processos!$M$10:$M$509,MATCH((ROW()-9+($J$8-1)*50),Processos!$AJ$10:$AJ$509,0))="","",INDEX(Processos!$M$10:$M$509,MATCH((ROW()-9+($J$8-1)*50),Processos!$AJ$10:$AJ$509,0)))),CHAR(10)," "),CHAR(13)," ")</f>
        <v/>
      </c>
      <c r="E45" s="39" t="str">
        <f>IF($A45="","",IFERROR(INDEX(Processos!$AR$10:$AR$509,MATCH($A45,Processos!$A$10:$A$509,0)),"")&amp;CHAR(10)&amp;IFERROR(IF(OR(INDEX(Origem!$AB$10:$AB$509,MATCH($A45,Origem!$A$10:$A$509,0))="",INDEX(Origem!$AB$10:$AB$509,MATCH($A45,Origem!$A$10:$A$509,0))="—"),"Origem: sem classificação","Origem: "&amp;INDEX(Origem!$AB$10:$AB$509,MATCH($A45,Origem!$A$10:$A$509,0))&amp;IF(INDEX(Origem!$AC$10:$AC$509,MATCH($A45,Origem!$A$10:$A$509,0))=""," (sem pontuação)"," • "&amp;INDEX(Origem!$AC$10:$AC$509,MATCH($A45,Origem!$A$10:$A$509,0))&amp;" pontos")),"Origem: sem classificação"))</f>
        <v/>
      </c>
      <c r="F45" s="10" t="str">
        <f>IF((ROW()-9+($J$8-1)*50)&gt;COUNTIFS(Processos!$X$10:$X$509,1,Processos!$Y$10:$Y$509,1),"",IF(INDEX(Processos!$AQ$10:$AQ$509,MATCH((ROW()-9+($J$8-1)*50),Processos!$AJ$10:$AJ$509,0))="","",INDEX(Processos!$AQ$10:$AQ$509,MATCH((ROW()-9+($J$8-1)*50),Processos!$AJ$10:$AJ$509,0))))</f>
        <v/>
      </c>
      <c r="G45" s="6" t="str">
        <f>IF((ROW()-9+($J$8-1)*50)&gt;COUNTIFS(Processos!$X$10:$X$509,1,Processos!$Y$10:$Y$509,1),"",IFERROR(HYPERLINK("#'Ficha'!C6","Selecionar na Ficha"),"Selecionar na Ficha"))</f>
        <v/>
      </c>
    </row>
    <row r="46" spans="1:7" ht="114.95" customHeight="1">
      <c r="A46" s="7" t="str">
        <f>IF((ROW()-9+($J$8-1)*50)&gt;COUNTIFS(Processos!$X$10:$X$509,1,Processos!$Y$10:$Y$509,1),"",IF(INDEX(Processos!$A$10:$A$509,MATCH((ROW()-9+($J$8-1)*50),Processos!$AJ$10:$AJ$509,0))="","",INDEX(Processos!$A$10:$A$509,MATCH((ROW()-9+($J$8-1)*50),Processos!$AJ$10:$AJ$509,0))))</f>
        <v/>
      </c>
      <c r="B46" s="6" t="str">
        <f>IF((ROW()-9+($J$8-1)*50)&gt;COUNTIFS(Processos!$X$10:$X$509,1,Processos!$Y$10:$Y$509,1),"",IF(INDEX(Processos!$D$10:$D$509,MATCH((ROW()-9+($J$8-1)*50),Processos!$AJ$10:$AJ$509,0))="","",INDEX(Processos!$D$10:$D$509,MATCH((ROW()-9+($J$8-1)*50),Processos!$AJ$10:$AJ$509,0))))</f>
        <v/>
      </c>
      <c r="C46"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46" s="6" t="str">
        <f>SUBSTITUTE(SUBSTITUTE(IF((ROW()-9+($J$8-1)*50)&gt;COUNTIFS(Processos!$X$10:$X$509,1,Processos!$Y$10:$Y$509,1),"",IF(INDEX(Processos!$M$10:$M$509,MATCH((ROW()-9+($J$8-1)*50),Processos!$AJ$10:$AJ$509,0))="","",INDEX(Processos!$M$10:$M$509,MATCH((ROW()-9+($J$8-1)*50),Processos!$AJ$10:$AJ$509,0)))),CHAR(10)," "),CHAR(13)," ")</f>
        <v/>
      </c>
      <c r="E46" s="39" t="str">
        <f>IF($A46="","",IFERROR(INDEX(Processos!$AR$10:$AR$509,MATCH($A46,Processos!$A$10:$A$509,0)),"")&amp;CHAR(10)&amp;IFERROR(IF(OR(INDEX(Origem!$AB$10:$AB$509,MATCH($A46,Origem!$A$10:$A$509,0))="",INDEX(Origem!$AB$10:$AB$509,MATCH($A46,Origem!$A$10:$A$509,0))="—"),"Origem: sem classificação","Origem: "&amp;INDEX(Origem!$AB$10:$AB$509,MATCH($A46,Origem!$A$10:$A$509,0))&amp;IF(INDEX(Origem!$AC$10:$AC$509,MATCH($A46,Origem!$A$10:$A$509,0))=""," (sem pontuação)"," • "&amp;INDEX(Origem!$AC$10:$AC$509,MATCH($A46,Origem!$A$10:$A$509,0))&amp;" pontos")),"Origem: sem classificação"))</f>
        <v/>
      </c>
      <c r="F46" s="10" t="str">
        <f>IF((ROW()-9+($J$8-1)*50)&gt;COUNTIFS(Processos!$X$10:$X$509,1,Processos!$Y$10:$Y$509,1),"",IF(INDEX(Processos!$AQ$10:$AQ$509,MATCH((ROW()-9+($J$8-1)*50),Processos!$AJ$10:$AJ$509,0))="","",INDEX(Processos!$AQ$10:$AQ$509,MATCH((ROW()-9+($J$8-1)*50),Processos!$AJ$10:$AJ$509,0))))</f>
        <v/>
      </c>
      <c r="G46" s="6" t="str">
        <f>IF((ROW()-9+($J$8-1)*50)&gt;COUNTIFS(Processos!$X$10:$X$509,1,Processos!$Y$10:$Y$509,1),"",IFERROR(HYPERLINK("#'Ficha'!C6","Selecionar na Ficha"),"Selecionar na Ficha"))</f>
        <v/>
      </c>
    </row>
    <row r="47" spans="1:7" ht="114.95" customHeight="1">
      <c r="A47" s="7" t="str">
        <f>IF((ROW()-9+($J$8-1)*50)&gt;COUNTIFS(Processos!$X$10:$X$509,1,Processos!$Y$10:$Y$509,1),"",IF(INDEX(Processos!$A$10:$A$509,MATCH((ROW()-9+($J$8-1)*50),Processos!$AJ$10:$AJ$509,0))="","",INDEX(Processos!$A$10:$A$509,MATCH((ROW()-9+($J$8-1)*50),Processos!$AJ$10:$AJ$509,0))))</f>
        <v/>
      </c>
      <c r="B47" s="6" t="str">
        <f>IF((ROW()-9+($J$8-1)*50)&gt;COUNTIFS(Processos!$X$10:$X$509,1,Processos!$Y$10:$Y$509,1),"",IF(INDEX(Processos!$D$10:$D$509,MATCH((ROW()-9+($J$8-1)*50),Processos!$AJ$10:$AJ$509,0))="","",INDEX(Processos!$D$10:$D$509,MATCH((ROW()-9+($J$8-1)*50),Processos!$AJ$10:$AJ$509,0))))</f>
        <v/>
      </c>
      <c r="C47"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47" s="6" t="str">
        <f>SUBSTITUTE(SUBSTITUTE(IF((ROW()-9+($J$8-1)*50)&gt;COUNTIFS(Processos!$X$10:$X$509,1,Processos!$Y$10:$Y$509,1),"",IF(INDEX(Processos!$M$10:$M$509,MATCH((ROW()-9+($J$8-1)*50),Processos!$AJ$10:$AJ$509,0))="","",INDEX(Processos!$M$10:$M$509,MATCH((ROW()-9+($J$8-1)*50),Processos!$AJ$10:$AJ$509,0)))),CHAR(10)," "),CHAR(13)," ")</f>
        <v/>
      </c>
      <c r="E47" s="39" t="str">
        <f>IF($A47="","",IFERROR(INDEX(Processos!$AR$10:$AR$509,MATCH($A47,Processos!$A$10:$A$509,0)),"")&amp;CHAR(10)&amp;IFERROR(IF(OR(INDEX(Origem!$AB$10:$AB$509,MATCH($A47,Origem!$A$10:$A$509,0))="",INDEX(Origem!$AB$10:$AB$509,MATCH($A47,Origem!$A$10:$A$509,0))="—"),"Origem: sem classificação","Origem: "&amp;INDEX(Origem!$AB$10:$AB$509,MATCH($A47,Origem!$A$10:$A$509,0))&amp;IF(INDEX(Origem!$AC$10:$AC$509,MATCH($A47,Origem!$A$10:$A$509,0))=""," (sem pontuação)"," • "&amp;INDEX(Origem!$AC$10:$AC$509,MATCH($A47,Origem!$A$10:$A$509,0))&amp;" pontos")),"Origem: sem classificação"))</f>
        <v/>
      </c>
      <c r="F47" s="10" t="str">
        <f>IF((ROW()-9+($J$8-1)*50)&gt;COUNTIFS(Processos!$X$10:$X$509,1,Processos!$Y$10:$Y$509,1),"",IF(INDEX(Processos!$AQ$10:$AQ$509,MATCH((ROW()-9+($J$8-1)*50),Processos!$AJ$10:$AJ$509,0))="","",INDEX(Processos!$AQ$10:$AQ$509,MATCH((ROW()-9+($J$8-1)*50),Processos!$AJ$10:$AJ$509,0))))</f>
        <v/>
      </c>
      <c r="G47" s="6" t="str">
        <f>IF((ROW()-9+($J$8-1)*50)&gt;COUNTIFS(Processos!$X$10:$X$509,1,Processos!$Y$10:$Y$509,1),"",IFERROR(HYPERLINK("#'Ficha'!C6","Selecionar na Ficha"),"Selecionar na Ficha"))</f>
        <v/>
      </c>
    </row>
    <row r="48" spans="1:7" ht="114.95" customHeight="1">
      <c r="A48" s="7" t="str">
        <f>IF((ROW()-9+($J$8-1)*50)&gt;COUNTIFS(Processos!$X$10:$X$509,1,Processos!$Y$10:$Y$509,1),"",IF(INDEX(Processos!$A$10:$A$509,MATCH((ROW()-9+($J$8-1)*50),Processos!$AJ$10:$AJ$509,0))="","",INDEX(Processos!$A$10:$A$509,MATCH((ROW()-9+($J$8-1)*50),Processos!$AJ$10:$AJ$509,0))))</f>
        <v/>
      </c>
      <c r="B48" s="6" t="str">
        <f>IF((ROW()-9+($J$8-1)*50)&gt;COUNTIFS(Processos!$X$10:$X$509,1,Processos!$Y$10:$Y$509,1),"",IF(INDEX(Processos!$D$10:$D$509,MATCH((ROW()-9+($J$8-1)*50),Processos!$AJ$10:$AJ$509,0))="","",INDEX(Processos!$D$10:$D$509,MATCH((ROW()-9+($J$8-1)*50),Processos!$AJ$10:$AJ$509,0))))</f>
        <v/>
      </c>
      <c r="C48"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48" s="6" t="str">
        <f>SUBSTITUTE(SUBSTITUTE(IF((ROW()-9+($J$8-1)*50)&gt;COUNTIFS(Processos!$X$10:$X$509,1,Processos!$Y$10:$Y$509,1),"",IF(INDEX(Processos!$M$10:$M$509,MATCH((ROW()-9+($J$8-1)*50),Processos!$AJ$10:$AJ$509,0))="","",INDEX(Processos!$M$10:$M$509,MATCH((ROW()-9+($J$8-1)*50),Processos!$AJ$10:$AJ$509,0)))),CHAR(10)," "),CHAR(13)," ")</f>
        <v/>
      </c>
      <c r="E48" s="39" t="str">
        <f>IF($A48="","",IFERROR(INDEX(Processos!$AR$10:$AR$509,MATCH($A48,Processos!$A$10:$A$509,0)),"")&amp;CHAR(10)&amp;IFERROR(IF(OR(INDEX(Origem!$AB$10:$AB$509,MATCH($A48,Origem!$A$10:$A$509,0))="",INDEX(Origem!$AB$10:$AB$509,MATCH($A48,Origem!$A$10:$A$509,0))="—"),"Origem: sem classificação","Origem: "&amp;INDEX(Origem!$AB$10:$AB$509,MATCH($A48,Origem!$A$10:$A$509,0))&amp;IF(INDEX(Origem!$AC$10:$AC$509,MATCH($A48,Origem!$A$10:$A$509,0))=""," (sem pontuação)"," • "&amp;INDEX(Origem!$AC$10:$AC$509,MATCH($A48,Origem!$A$10:$A$509,0))&amp;" pontos")),"Origem: sem classificação"))</f>
        <v/>
      </c>
      <c r="F48" s="10" t="str">
        <f>IF((ROW()-9+($J$8-1)*50)&gt;COUNTIFS(Processos!$X$10:$X$509,1,Processos!$Y$10:$Y$509,1),"",IF(INDEX(Processos!$AQ$10:$AQ$509,MATCH((ROW()-9+($J$8-1)*50),Processos!$AJ$10:$AJ$509,0))="","",INDEX(Processos!$AQ$10:$AQ$509,MATCH((ROW()-9+($J$8-1)*50),Processos!$AJ$10:$AJ$509,0))))</f>
        <v/>
      </c>
      <c r="G48" s="6" t="str">
        <f>IF((ROW()-9+($J$8-1)*50)&gt;COUNTIFS(Processos!$X$10:$X$509,1,Processos!$Y$10:$Y$509,1),"",IFERROR(HYPERLINK("#'Ficha'!C6","Selecionar na Ficha"),"Selecionar na Ficha"))</f>
        <v/>
      </c>
    </row>
    <row r="49" spans="1:7" ht="114.95" customHeight="1">
      <c r="A49" s="7" t="str">
        <f>IF((ROW()-9+($J$8-1)*50)&gt;COUNTIFS(Processos!$X$10:$X$509,1,Processos!$Y$10:$Y$509,1),"",IF(INDEX(Processos!$A$10:$A$509,MATCH((ROW()-9+($J$8-1)*50),Processos!$AJ$10:$AJ$509,0))="","",INDEX(Processos!$A$10:$A$509,MATCH((ROW()-9+($J$8-1)*50),Processos!$AJ$10:$AJ$509,0))))</f>
        <v/>
      </c>
      <c r="B49" s="6" t="str">
        <f>IF((ROW()-9+($J$8-1)*50)&gt;COUNTIFS(Processos!$X$10:$X$509,1,Processos!$Y$10:$Y$509,1),"",IF(INDEX(Processos!$D$10:$D$509,MATCH((ROW()-9+($J$8-1)*50),Processos!$AJ$10:$AJ$509,0))="","",INDEX(Processos!$D$10:$D$509,MATCH((ROW()-9+($J$8-1)*50),Processos!$AJ$10:$AJ$509,0))))</f>
        <v/>
      </c>
      <c r="C49"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49" s="6" t="str">
        <f>SUBSTITUTE(SUBSTITUTE(IF((ROW()-9+($J$8-1)*50)&gt;COUNTIFS(Processos!$X$10:$X$509,1,Processos!$Y$10:$Y$509,1),"",IF(INDEX(Processos!$M$10:$M$509,MATCH((ROW()-9+($J$8-1)*50),Processos!$AJ$10:$AJ$509,0))="","",INDEX(Processos!$M$10:$M$509,MATCH((ROW()-9+($J$8-1)*50),Processos!$AJ$10:$AJ$509,0)))),CHAR(10)," "),CHAR(13)," ")</f>
        <v/>
      </c>
      <c r="E49" s="39" t="str">
        <f>IF($A49="","",IFERROR(INDEX(Processos!$AR$10:$AR$509,MATCH($A49,Processos!$A$10:$A$509,0)),"")&amp;CHAR(10)&amp;IFERROR(IF(OR(INDEX(Origem!$AB$10:$AB$509,MATCH($A49,Origem!$A$10:$A$509,0))="",INDEX(Origem!$AB$10:$AB$509,MATCH($A49,Origem!$A$10:$A$509,0))="—"),"Origem: sem classificação","Origem: "&amp;INDEX(Origem!$AB$10:$AB$509,MATCH($A49,Origem!$A$10:$A$509,0))&amp;IF(INDEX(Origem!$AC$10:$AC$509,MATCH($A49,Origem!$A$10:$A$509,0))=""," (sem pontuação)"," • "&amp;INDEX(Origem!$AC$10:$AC$509,MATCH($A49,Origem!$A$10:$A$509,0))&amp;" pontos")),"Origem: sem classificação"))</f>
        <v/>
      </c>
      <c r="F49" s="10" t="str">
        <f>IF((ROW()-9+($J$8-1)*50)&gt;COUNTIFS(Processos!$X$10:$X$509,1,Processos!$Y$10:$Y$509,1),"",IF(INDEX(Processos!$AQ$10:$AQ$509,MATCH((ROW()-9+($J$8-1)*50),Processos!$AJ$10:$AJ$509,0))="","",INDEX(Processos!$AQ$10:$AQ$509,MATCH((ROW()-9+($J$8-1)*50),Processos!$AJ$10:$AJ$509,0))))</f>
        <v/>
      </c>
      <c r="G49" s="6" t="str">
        <f>IF((ROW()-9+($J$8-1)*50)&gt;COUNTIFS(Processos!$X$10:$X$509,1,Processos!$Y$10:$Y$509,1),"",IFERROR(HYPERLINK("#'Ficha'!C6","Selecionar na Ficha"),"Selecionar na Ficha"))</f>
        <v/>
      </c>
    </row>
    <row r="50" spans="1:7" ht="114.95" customHeight="1">
      <c r="A50" s="7" t="str">
        <f>IF((ROW()-9+($J$8-1)*50)&gt;COUNTIFS(Processos!$X$10:$X$509,1,Processos!$Y$10:$Y$509,1),"",IF(INDEX(Processos!$A$10:$A$509,MATCH((ROW()-9+($J$8-1)*50),Processos!$AJ$10:$AJ$509,0))="","",INDEX(Processos!$A$10:$A$509,MATCH((ROW()-9+($J$8-1)*50),Processos!$AJ$10:$AJ$509,0))))</f>
        <v/>
      </c>
      <c r="B50" s="6" t="str">
        <f>IF((ROW()-9+($J$8-1)*50)&gt;COUNTIFS(Processos!$X$10:$X$509,1,Processos!$Y$10:$Y$509,1),"",IF(INDEX(Processos!$D$10:$D$509,MATCH((ROW()-9+($J$8-1)*50),Processos!$AJ$10:$AJ$509,0))="","",INDEX(Processos!$D$10:$D$509,MATCH((ROW()-9+($J$8-1)*50),Processos!$AJ$10:$AJ$509,0))))</f>
        <v/>
      </c>
      <c r="C50"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50" s="6" t="str">
        <f>SUBSTITUTE(SUBSTITUTE(IF((ROW()-9+($J$8-1)*50)&gt;COUNTIFS(Processos!$X$10:$X$509,1,Processos!$Y$10:$Y$509,1),"",IF(INDEX(Processos!$M$10:$M$509,MATCH((ROW()-9+($J$8-1)*50),Processos!$AJ$10:$AJ$509,0))="","",INDEX(Processos!$M$10:$M$509,MATCH((ROW()-9+($J$8-1)*50),Processos!$AJ$10:$AJ$509,0)))),CHAR(10)," "),CHAR(13)," ")</f>
        <v/>
      </c>
      <c r="E50" s="39" t="str">
        <f>IF($A50="","",IFERROR(INDEX(Processos!$AR$10:$AR$509,MATCH($A50,Processos!$A$10:$A$509,0)),"")&amp;CHAR(10)&amp;IFERROR(IF(OR(INDEX(Origem!$AB$10:$AB$509,MATCH($A50,Origem!$A$10:$A$509,0))="",INDEX(Origem!$AB$10:$AB$509,MATCH($A50,Origem!$A$10:$A$509,0))="—"),"Origem: sem classificação","Origem: "&amp;INDEX(Origem!$AB$10:$AB$509,MATCH($A50,Origem!$A$10:$A$509,0))&amp;IF(INDEX(Origem!$AC$10:$AC$509,MATCH($A50,Origem!$A$10:$A$509,0))=""," (sem pontuação)"," • "&amp;INDEX(Origem!$AC$10:$AC$509,MATCH($A50,Origem!$A$10:$A$509,0))&amp;" pontos")),"Origem: sem classificação"))</f>
        <v/>
      </c>
      <c r="F50" s="10" t="str">
        <f>IF((ROW()-9+($J$8-1)*50)&gt;COUNTIFS(Processos!$X$10:$X$509,1,Processos!$Y$10:$Y$509,1),"",IF(INDEX(Processos!$AQ$10:$AQ$509,MATCH((ROW()-9+($J$8-1)*50),Processos!$AJ$10:$AJ$509,0))="","",INDEX(Processos!$AQ$10:$AQ$509,MATCH((ROW()-9+($J$8-1)*50),Processos!$AJ$10:$AJ$509,0))))</f>
        <v/>
      </c>
      <c r="G50" s="6" t="str">
        <f>IF((ROW()-9+($J$8-1)*50)&gt;COUNTIFS(Processos!$X$10:$X$509,1,Processos!$Y$10:$Y$509,1),"",IFERROR(HYPERLINK("#'Ficha'!C6","Selecionar na Ficha"),"Selecionar na Ficha"))</f>
        <v/>
      </c>
    </row>
    <row r="51" spans="1:7" ht="114.95" customHeight="1">
      <c r="A51" s="7" t="str">
        <f>IF((ROW()-9+($J$8-1)*50)&gt;COUNTIFS(Processos!$X$10:$X$509,1,Processos!$Y$10:$Y$509,1),"",IF(INDEX(Processos!$A$10:$A$509,MATCH((ROW()-9+($J$8-1)*50),Processos!$AJ$10:$AJ$509,0))="","",INDEX(Processos!$A$10:$A$509,MATCH((ROW()-9+($J$8-1)*50),Processos!$AJ$10:$AJ$509,0))))</f>
        <v/>
      </c>
      <c r="B51" s="6" t="str">
        <f>IF((ROW()-9+($J$8-1)*50)&gt;COUNTIFS(Processos!$X$10:$X$509,1,Processos!$Y$10:$Y$509,1),"",IF(INDEX(Processos!$D$10:$D$509,MATCH((ROW()-9+($J$8-1)*50),Processos!$AJ$10:$AJ$509,0))="","",INDEX(Processos!$D$10:$D$509,MATCH((ROW()-9+($J$8-1)*50),Processos!$AJ$10:$AJ$509,0))))</f>
        <v/>
      </c>
      <c r="C51"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51" s="6" t="str">
        <f>SUBSTITUTE(SUBSTITUTE(IF((ROW()-9+($J$8-1)*50)&gt;COUNTIFS(Processos!$X$10:$X$509,1,Processos!$Y$10:$Y$509,1),"",IF(INDEX(Processos!$M$10:$M$509,MATCH((ROW()-9+($J$8-1)*50),Processos!$AJ$10:$AJ$509,0))="","",INDEX(Processos!$M$10:$M$509,MATCH((ROW()-9+($J$8-1)*50),Processos!$AJ$10:$AJ$509,0)))),CHAR(10)," "),CHAR(13)," ")</f>
        <v/>
      </c>
      <c r="E51" s="39" t="str">
        <f>IF($A51="","",IFERROR(INDEX(Processos!$AR$10:$AR$509,MATCH($A51,Processos!$A$10:$A$509,0)),"")&amp;CHAR(10)&amp;IFERROR(IF(OR(INDEX(Origem!$AB$10:$AB$509,MATCH($A51,Origem!$A$10:$A$509,0))="",INDEX(Origem!$AB$10:$AB$509,MATCH($A51,Origem!$A$10:$A$509,0))="—"),"Origem: sem classificação","Origem: "&amp;INDEX(Origem!$AB$10:$AB$509,MATCH($A51,Origem!$A$10:$A$509,0))&amp;IF(INDEX(Origem!$AC$10:$AC$509,MATCH($A51,Origem!$A$10:$A$509,0))=""," (sem pontuação)"," • "&amp;INDEX(Origem!$AC$10:$AC$509,MATCH($A51,Origem!$A$10:$A$509,0))&amp;" pontos")),"Origem: sem classificação"))</f>
        <v/>
      </c>
      <c r="F51" s="10" t="str">
        <f>IF((ROW()-9+($J$8-1)*50)&gt;COUNTIFS(Processos!$X$10:$X$509,1,Processos!$Y$10:$Y$509,1),"",IF(INDEX(Processos!$AQ$10:$AQ$509,MATCH((ROW()-9+($J$8-1)*50),Processos!$AJ$10:$AJ$509,0))="","",INDEX(Processos!$AQ$10:$AQ$509,MATCH((ROW()-9+($J$8-1)*50),Processos!$AJ$10:$AJ$509,0))))</f>
        <v/>
      </c>
      <c r="G51" s="6" t="str">
        <f>IF((ROW()-9+($J$8-1)*50)&gt;COUNTIFS(Processos!$X$10:$X$509,1,Processos!$Y$10:$Y$509,1),"",IFERROR(HYPERLINK("#'Ficha'!C6","Selecionar na Ficha"),"Selecionar na Ficha"))</f>
        <v/>
      </c>
    </row>
    <row r="52" spans="1:7" ht="114.95" customHeight="1">
      <c r="A52" s="7" t="str">
        <f>IF((ROW()-9+($J$8-1)*50)&gt;COUNTIFS(Processos!$X$10:$X$509,1,Processos!$Y$10:$Y$509,1),"",IF(INDEX(Processos!$A$10:$A$509,MATCH((ROW()-9+($J$8-1)*50),Processos!$AJ$10:$AJ$509,0))="","",INDEX(Processos!$A$10:$A$509,MATCH((ROW()-9+($J$8-1)*50),Processos!$AJ$10:$AJ$509,0))))</f>
        <v/>
      </c>
      <c r="B52" s="6" t="str">
        <f>IF((ROW()-9+($J$8-1)*50)&gt;COUNTIFS(Processos!$X$10:$X$509,1,Processos!$Y$10:$Y$509,1),"",IF(INDEX(Processos!$D$10:$D$509,MATCH((ROW()-9+($J$8-1)*50),Processos!$AJ$10:$AJ$509,0))="","",INDEX(Processos!$D$10:$D$509,MATCH((ROW()-9+($J$8-1)*50),Processos!$AJ$10:$AJ$509,0))))</f>
        <v/>
      </c>
      <c r="C52"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52" s="6" t="str">
        <f>SUBSTITUTE(SUBSTITUTE(IF((ROW()-9+($J$8-1)*50)&gt;COUNTIFS(Processos!$X$10:$X$509,1,Processos!$Y$10:$Y$509,1),"",IF(INDEX(Processos!$M$10:$M$509,MATCH((ROW()-9+($J$8-1)*50),Processos!$AJ$10:$AJ$509,0))="","",INDEX(Processos!$M$10:$M$509,MATCH((ROW()-9+($J$8-1)*50),Processos!$AJ$10:$AJ$509,0)))),CHAR(10)," "),CHAR(13)," ")</f>
        <v/>
      </c>
      <c r="E52" s="39" t="str">
        <f>IF($A52="","",IFERROR(INDEX(Processos!$AR$10:$AR$509,MATCH($A52,Processos!$A$10:$A$509,0)),"")&amp;CHAR(10)&amp;IFERROR(IF(OR(INDEX(Origem!$AB$10:$AB$509,MATCH($A52,Origem!$A$10:$A$509,0))="",INDEX(Origem!$AB$10:$AB$509,MATCH($A52,Origem!$A$10:$A$509,0))="—"),"Origem: sem classificação","Origem: "&amp;INDEX(Origem!$AB$10:$AB$509,MATCH($A52,Origem!$A$10:$A$509,0))&amp;IF(INDEX(Origem!$AC$10:$AC$509,MATCH($A52,Origem!$A$10:$A$509,0))=""," (sem pontuação)"," • "&amp;INDEX(Origem!$AC$10:$AC$509,MATCH($A52,Origem!$A$10:$A$509,0))&amp;" pontos")),"Origem: sem classificação"))</f>
        <v/>
      </c>
      <c r="F52" s="10" t="str">
        <f>IF((ROW()-9+($J$8-1)*50)&gt;COUNTIFS(Processos!$X$10:$X$509,1,Processos!$Y$10:$Y$509,1),"",IF(INDEX(Processos!$AQ$10:$AQ$509,MATCH((ROW()-9+($J$8-1)*50),Processos!$AJ$10:$AJ$509,0))="","",INDEX(Processos!$AQ$10:$AQ$509,MATCH((ROW()-9+($J$8-1)*50),Processos!$AJ$10:$AJ$509,0))))</f>
        <v/>
      </c>
      <c r="G52" s="6" t="str">
        <f>IF((ROW()-9+($J$8-1)*50)&gt;COUNTIFS(Processos!$X$10:$X$509,1,Processos!$Y$10:$Y$509,1),"",IFERROR(HYPERLINK("#'Ficha'!C6","Selecionar na Ficha"),"Selecionar na Ficha"))</f>
        <v/>
      </c>
    </row>
    <row r="53" spans="1:7" ht="114.95" customHeight="1">
      <c r="A53" s="7" t="str">
        <f>IF((ROW()-9+($J$8-1)*50)&gt;COUNTIFS(Processos!$X$10:$X$509,1,Processos!$Y$10:$Y$509,1),"",IF(INDEX(Processos!$A$10:$A$509,MATCH((ROW()-9+($J$8-1)*50),Processos!$AJ$10:$AJ$509,0))="","",INDEX(Processos!$A$10:$A$509,MATCH((ROW()-9+($J$8-1)*50),Processos!$AJ$10:$AJ$509,0))))</f>
        <v/>
      </c>
      <c r="B53" s="6" t="str">
        <f>IF((ROW()-9+($J$8-1)*50)&gt;COUNTIFS(Processos!$X$10:$X$509,1,Processos!$Y$10:$Y$509,1),"",IF(INDEX(Processos!$D$10:$D$509,MATCH((ROW()-9+($J$8-1)*50),Processos!$AJ$10:$AJ$509,0))="","",INDEX(Processos!$D$10:$D$509,MATCH((ROW()-9+($J$8-1)*50),Processos!$AJ$10:$AJ$509,0))))</f>
        <v/>
      </c>
      <c r="C53"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53" s="6" t="str">
        <f>SUBSTITUTE(SUBSTITUTE(IF((ROW()-9+($J$8-1)*50)&gt;COUNTIFS(Processos!$X$10:$X$509,1,Processos!$Y$10:$Y$509,1),"",IF(INDEX(Processos!$M$10:$M$509,MATCH((ROW()-9+($J$8-1)*50),Processos!$AJ$10:$AJ$509,0))="","",INDEX(Processos!$M$10:$M$509,MATCH((ROW()-9+($J$8-1)*50),Processos!$AJ$10:$AJ$509,0)))),CHAR(10)," "),CHAR(13)," ")</f>
        <v/>
      </c>
      <c r="E53" s="39" t="str">
        <f>IF($A53="","",IFERROR(INDEX(Processos!$AR$10:$AR$509,MATCH($A53,Processos!$A$10:$A$509,0)),"")&amp;CHAR(10)&amp;IFERROR(IF(OR(INDEX(Origem!$AB$10:$AB$509,MATCH($A53,Origem!$A$10:$A$509,0))="",INDEX(Origem!$AB$10:$AB$509,MATCH($A53,Origem!$A$10:$A$509,0))="—"),"Origem: sem classificação","Origem: "&amp;INDEX(Origem!$AB$10:$AB$509,MATCH($A53,Origem!$A$10:$A$509,0))&amp;IF(INDEX(Origem!$AC$10:$AC$509,MATCH($A53,Origem!$A$10:$A$509,0))=""," (sem pontuação)"," • "&amp;INDEX(Origem!$AC$10:$AC$509,MATCH($A53,Origem!$A$10:$A$509,0))&amp;" pontos")),"Origem: sem classificação"))</f>
        <v/>
      </c>
      <c r="F53" s="10" t="str">
        <f>IF((ROW()-9+($J$8-1)*50)&gt;COUNTIFS(Processos!$X$10:$X$509,1,Processos!$Y$10:$Y$509,1),"",IF(INDEX(Processos!$AQ$10:$AQ$509,MATCH((ROW()-9+($J$8-1)*50),Processos!$AJ$10:$AJ$509,0))="","",INDEX(Processos!$AQ$10:$AQ$509,MATCH((ROW()-9+($J$8-1)*50),Processos!$AJ$10:$AJ$509,0))))</f>
        <v/>
      </c>
      <c r="G53" s="6" t="str">
        <f>IF((ROW()-9+($J$8-1)*50)&gt;COUNTIFS(Processos!$X$10:$X$509,1,Processos!$Y$10:$Y$509,1),"",IFERROR(HYPERLINK("#'Ficha'!C6","Selecionar na Ficha"),"Selecionar na Ficha"))</f>
        <v/>
      </c>
    </row>
    <row r="54" spans="1:7" ht="114.95" customHeight="1">
      <c r="A54" s="7" t="str">
        <f>IF((ROW()-9+($J$8-1)*50)&gt;COUNTIFS(Processos!$X$10:$X$509,1,Processos!$Y$10:$Y$509,1),"",IF(INDEX(Processos!$A$10:$A$509,MATCH((ROW()-9+($J$8-1)*50),Processos!$AJ$10:$AJ$509,0))="","",INDEX(Processos!$A$10:$A$509,MATCH((ROW()-9+($J$8-1)*50),Processos!$AJ$10:$AJ$509,0))))</f>
        <v/>
      </c>
      <c r="B54" s="6" t="str">
        <f>IF((ROW()-9+($J$8-1)*50)&gt;COUNTIFS(Processos!$X$10:$X$509,1,Processos!$Y$10:$Y$509,1),"",IF(INDEX(Processos!$D$10:$D$509,MATCH((ROW()-9+($J$8-1)*50),Processos!$AJ$10:$AJ$509,0))="","",INDEX(Processos!$D$10:$D$509,MATCH((ROW()-9+($J$8-1)*50),Processos!$AJ$10:$AJ$509,0))))</f>
        <v/>
      </c>
      <c r="C54"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54" s="6" t="str">
        <f>SUBSTITUTE(SUBSTITUTE(IF((ROW()-9+($J$8-1)*50)&gt;COUNTIFS(Processos!$X$10:$X$509,1,Processos!$Y$10:$Y$509,1),"",IF(INDEX(Processos!$M$10:$M$509,MATCH((ROW()-9+($J$8-1)*50),Processos!$AJ$10:$AJ$509,0))="","",INDEX(Processos!$M$10:$M$509,MATCH((ROW()-9+($J$8-1)*50),Processos!$AJ$10:$AJ$509,0)))),CHAR(10)," "),CHAR(13)," ")</f>
        <v/>
      </c>
      <c r="E54" s="39" t="str">
        <f>IF($A54="","",IFERROR(INDEX(Processos!$AR$10:$AR$509,MATCH($A54,Processos!$A$10:$A$509,0)),"")&amp;CHAR(10)&amp;IFERROR(IF(OR(INDEX(Origem!$AB$10:$AB$509,MATCH($A54,Origem!$A$10:$A$509,0))="",INDEX(Origem!$AB$10:$AB$509,MATCH($A54,Origem!$A$10:$A$509,0))="—"),"Origem: sem classificação","Origem: "&amp;INDEX(Origem!$AB$10:$AB$509,MATCH($A54,Origem!$A$10:$A$509,0))&amp;IF(INDEX(Origem!$AC$10:$AC$509,MATCH($A54,Origem!$A$10:$A$509,0))=""," (sem pontuação)"," • "&amp;INDEX(Origem!$AC$10:$AC$509,MATCH($A54,Origem!$A$10:$A$509,0))&amp;" pontos")),"Origem: sem classificação"))</f>
        <v/>
      </c>
      <c r="F54" s="10" t="str">
        <f>IF((ROW()-9+($J$8-1)*50)&gt;COUNTIFS(Processos!$X$10:$X$509,1,Processos!$Y$10:$Y$509,1),"",IF(INDEX(Processos!$AQ$10:$AQ$509,MATCH((ROW()-9+($J$8-1)*50),Processos!$AJ$10:$AJ$509,0))="","",INDEX(Processos!$AQ$10:$AQ$509,MATCH((ROW()-9+($J$8-1)*50),Processos!$AJ$10:$AJ$509,0))))</f>
        <v/>
      </c>
      <c r="G54" s="6" t="str">
        <f>IF((ROW()-9+($J$8-1)*50)&gt;COUNTIFS(Processos!$X$10:$X$509,1,Processos!$Y$10:$Y$509,1),"",IFERROR(HYPERLINK("#'Ficha'!C6","Selecionar na Ficha"),"Selecionar na Ficha"))</f>
        <v/>
      </c>
    </row>
    <row r="55" spans="1:7" ht="114.95" customHeight="1">
      <c r="A55" s="7" t="str">
        <f>IF((ROW()-9+($J$8-1)*50)&gt;COUNTIFS(Processos!$X$10:$X$509,1,Processos!$Y$10:$Y$509,1),"",IF(INDEX(Processos!$A$10:$A$509,MATCH((ROW()-9+($J$8-1)*50),Processos!$AJ$10:$AJ$509,0))="","",INDEX(Processos!$A$10:$A$509,MATCH((ROW()-9+($J$8-1)*50),Processos!$AJ$10:$AJ$509,0))))</f>
        <v/>
      </c>
      <c r="B55" s="6" t="str">
        <f>IF((ROW()-9+($J$8-1)*50)&gt;COUNTIFS(Processos!$X$10:$X$509,1,Processos!$Y$10:$Y$509,1),"",IF(INDEX(Processos!$D$10:$D$509,MATCH((ROW()-9+($J$8-1)*50),Processos!$AJ$10:$AJ$509,0))="","",INDEX(Processos!$D$10:$D$509,MATCH((ROW()-9+($J$8-1)*50),Processos!$AJ$10:$AJ$509,0))))</f>
        <v/>
      </c>
      <c r="C55"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55" s="6" t="str">
        <f>SUBSTITUTE(SUBSTITUTE(IF((ROW()-9+($J$8-1)*50)&gt;COUNTIFS(Processos!$X$10:$X$509,1,Processos!$Y$10:$Y$509,1),"",IF(INDEX(Processos!$M$10:$M$509,MATCH((ROW()-9+($J$8-1)*50),Processos!$AJ$10:$AJ$509,0))="","",INDEX(Processos!$M$10:$M$509,MATCH((ROW()-9+($J$8-1)*50),Processos!$AJ$10:$AJ$509,0)))),CHAR(10)," "),CHAR(13)," ")</f>
        <v/>
      </c>
      <c r="E55" s="39" t="str">
        <f>IF($A55="","",IFERROR(INDEX(Processos!$AR$10:$AR$509,MATCH($A55,Processos!$A$10:$A$509,0)),"")&amp;CHAR(10)&amp;IFERROR(IF(OR(INDEX(Origem!$AB$10:$AB$509,MATCH($A55,Origem!$A$10:$A$509,0))="",INDEX(Origem!$AB$10:$AB$509,MATCH($A55,Origem!$A$10:$A$509,0))="—"),"Origem: sem classificação","Origem: "&amp;INDEX(Origem!$AB$10:$AB$509,MATCH($A55,Origem!$A$10:$A$509,0))&amp;IF(INDEX(Origem!$AC$10:$AC$509,MATCH($A55,Origem!$A$10:$A$509,0))=""," (sem pontuação)"," • "&amp;INDEX(Origem!$AC$10:$AC$509,MATCH($A55,Origem!$A$10:$A$509,0))&amp;" pontos")),"Origem: sem classificação"))</f>
        <v/>
      </c>
      <c r="F55" s="10" t="str">
        <f>IF((ROW()-9+($J$8-1)*50)&gt;COUNTIFS(Processos!$X$10:$X$509,1,Processos!$Y$10:$Y$509,1),"",IF(INDEX(Processos!$AQ$10:$AQ$509,MATCH((ROW()-9+($J$8-1)*50),Processos!$AJ$10:$AJ$509,0))="","",INDEX(Processos!$AQ$10:$AQ$509,MATCH((ROW()-9+($J$8-1)*50),Processos!$AJ$10:$AJ$509,0))))</f>
        <v/>
      </c>
      <c r="G55" s="6" t="str">
        <f>IF((ROW()-9+($J$8-1)*50)&gt;COUNTIFS(Processos!$X$10:$X$509,1,Processos!$Y$10:$Y$509,1),"",IFERROR(HYPERLINK("#'Ficha'!C6","Selecionar na Ficha"),"Selecionar na Ficha"))</f>
        <v/>
      </c>
    </row>
    <row r="56" spans="1:7" ht="114.95" customHeight="1">
      <c r="A56" s="7" t="str">
        <f>IF((ROW()-9+($J$8-1)*50)&gt;COUNTIFS(Processos!$X$10:$X$509,1,Processos!$Y$10:$Y$509,1),"",IF(INDEX(Processos!$A$10:$A$509,MATCH((ROW()-9+($J$8-1)*50),Processos!$AJ$10:$AJ$509,0))="","",INDEX(Processos!$A$10:$A$509,MATCH((ROW()-9+($J$8-1)*50),Processos!$AJ$10:$AJ$509,0))))</f>
        <v/>
      </c>
      <c r="B56" s="6" t="str">
        <f>IF((ROW()-9+($J$8-1)*50)&gt;COUNTIFS(Processos!$X$10:$X$509,1,Processos!$Y$10:$Y$509,1),"",IF(INDEX(Processos!$D$10:$D$509,MATCH((ROW()-9+($J$8-1)*50),Processos!$AJ$10:$AJ$509,0))="","",INDEX(Processos!$D$10:$D$509,MATCH((ROW()-9+($J$8-1)*50),Processos!$AJ$10:$AJ$509,0))))</f>
        <v/>
      </c>
      <c r="C56"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56" s="6" t="str">
        <f>SUBSTITUTE(SUBSTITUTE(IF((ROW()-9+($J$8-1)*50)&gt;COUNTIFS(Processos!$X$10:$X$509,1,Processos!$Y$10:$Y$509,1),"",IF(INDEX(Processos!$M$10:$M$509,MATCH((ROW()-9+($J$8-1)*50),Processos!$AJ$10:$AJ$509,0))="","",INDEX(Processos!$M$10:$M$509,MATCH((ROW()-9+($J$8-1)*50),Processos!$AJ$10:$AJ$509,0)))),CHAR(10)," "),CHAR(13)," ")</f>
        <v/>
      </c>
      <c r="E56" s="39" t="str">
        <f>IF($A56="","",IFERROR(INDEX(Processos!$AR$10:$AR$509,MATCH($A56,Processos!$A$10:$A$509,0)),"")&amp;CHAR(10)&amp;IFERROR(IF(OR(INDEX(Origem!$AB$10:$AB$509,MATCH($A56,Origem!$A$10:$A$509,0))="",INDEX(Origem!$AB$10:$AB$509,MATCH($A56,Origem!$A$10:$A$509,0))="—"),"Origem: sem classificação","Origem: "&amp;INDEX(Origem!$AB$10:$AB$509,MATCH($A56,Origem!$A$10:$A$509,0))&amp;IF(INDEX(Origem!$AC$10:$AC$509,MATCH($A56,Origem!$A$10:$A$509,0))=""," (sem pontuação)"," • "&amp;INDEX(Origem!$AC$10:$AC$509,MATCH($A56,Origem!$A$10:$A$509,0))&amp;" pontos")),"Origem: sem classificação"))</f>
        <v/>
      </c>
      <c r="F56" s="10" t="str">
        <f>IF((ROW()-9+($J$8-1)*50)&gt;COUNTIFS(Processos!$X$10:$X$509,1,Processos!$Y$10:$Y$509,1),"",IF(INDEX(Processos!$AQ$10:$AQ$509,MATCH((ROW()-9+($J$8-1)*50),Processos!$AJ$10:$AJ$509,0))="","",INDEX(Processos!$AQ$10:$AQ$509,MATCH((ROW()-9+($J$8-1)*50),Processos!$AJ$10:$AJ$509,0))))</f>
        <v/>
      </c>
      <c r="G56" s="6" t="str">
        <f>IF((ROW()-9+($J$8-1)*50)&gt;COUNTIFS(Processos!$X$10:$X$509,1,Processos!$Y$10:$Y$509,1),"",IFERROR(HYPERLINK("#'Ficha'!C6","Selecionar na Ficha"),"Selecionar na Ficha"))</f>
        <v/>
      </c>
    </row>
    <row r="57" spans="1:7" ht="114.95" customHeight="1">
      <c r="A57" s="7" t="str">
        <f>IF((ROW()-9+($J$8-1)*50)&gt;COUNTIFS(Processos!$X$10:$X$509,1,Processos!$Y$10:$Y$509,1),"",IF(INDEX(Processos!$A$10:$A$509,MATCH((ROW()-9+($J$8-1)*50),Processos!$AJ$10:$AJ$509,0))="","",INDEX(Processos!$A$10:$A$509,MATCH((ROW()-9+($J$8-1)*50),Processos!$AJ$10:$AJ$509,0))))</f>
        <v/>
      </c>
      <c r="B57" s="6" t="str">
        <f>IF((ROW()-9+($J$8-1)*50)&gt;COUNTIFS(Processos!$X$10:$X$509,1,Processos!$Y$10:$Y$509,1),"",IF(INDEX(Processos!$D$10:$D$509,MATCH((ROW()-9+($J$8-1)*50),Processos!$AJ$10:$AJ$509,0))="","",INDEX(Processos!$D$10:$D$509,MATCH((ROW()-9+($J$8-1)*50),Processos!$AJ$10:$AJ$509,0))))</f>
        <v/>
      </c>
      <c r="C57"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57" s="6" t="str">
        <f>SUBSTITUTE(SUBSTITUTE(IF((ROW()-9+($J$8-1)*50)&gt;COUNTIFS(Processos!$X$10:$X$509,1,Processos!$Y$10:$Y$509,1),"",IF(INDEX(Processos!$M$10:$M$509,MATCH((ROW()-9+($J$8-1)*50),Processos!$AJ$10:$AJ$509,0))="","",INDEX(Processos!$M$10:$M$509,MATCH((ROW()-9+($J$8-1)*50),Processos!$AJ$10:$AJ$509,0)))),CHAR(10)," "),CHAR(13)," ")</f>
        <v/>
      </c>
      <c r="E57" s="39" t="str">
        <f>IF($A57="","",IFERROR(INDEX(Processos!$AR$10:$AR$509,MATCH($A57,Processos!$A$10:$A$509,0)),"")&amp;CHAR(10)&amp;IFERROR(IF(OR(INDEX(Origem!$AB$10:$AB$509,MATCH($A57,Origem!$A$10:$A$509,0))="",INDEX(Origem!$AB$10:$AB$509,MATCH($A57,Origem!$A$10:$A$509,0))="—"),"Origem: sem classificação","Origem: "&amp;INDEX(Origem!$AB$10:$AB$509,MATCH($A57,Origem!$A$10:$A$509,0))&amp;IF(INDEX(Origem!$AC$10:$AC$509,MATCH($A57,Origem!$A$10:$A$509,0))=""," (sem pontuação)"," • "&amp;INDEX(Origem!$AC$10:$AC$509,MATCH($A57,Origem!$A$10:$A$509,0))&amp;" pontos")),"Origem: sem classificação"))</f>
        <v/>
      </c>
      <c r="F57" s="10" t="str">
        <f>IF((ROW()-9+($J$8-1)*50)&gt;COUNTIFS(Processos!$X$10:$X$509,1,Processos!$Y$10:$Y$509,1),"",IF(INDEX(Processos!$AQ$10:$AQ$509,MATCH((ROW()-9+($J$8-1)*50),Processos!$AJ$10:$AJ$509,0))="","",INDEX(Processos!$AQ$10:$AQ$509,MATCH((ROW()-9+($J$8-1)*50),Processos!$AJ$10:$AJ$509,0))))</f>
        <v/>
      </c>
      <c r="G57" s="6" t="str">
        <f>IF((ROW()-9+($J$8-1)*50)&gt;COUNTIFS(Processos!$X$10:$X$509,1,Processos!$Y$10:$Y$509,1),"",IFERROR(HYPERLINK("#'Ficha'!C6","Selecionar na Ficha"),"Selecionar na Ficha"))</f>
        <v/>
      </c>
    </row>
    <row r="58" spans="1:7" ht="114.95" customHeight="1">
      <c r="A58" s="7" t="str">
        <f>IF((ROW()-9+($J$8-1)*50)&gt;COUNTIFS(Processos!$X$10:$X$509,1,Processos!$Y$10:$Y$509,1),"",IF(INDEX(Processos!$A$10:$A$509,MATCH((ROW()-9+($J$8-1)*50),Processos!$AJ$10:$AJ$509,0))="","",INDEX(Processos!$A$10:$A$509,MATCH((ROW()-9+($J$8-1)*50),Processos!$AJ$10:$AJ$509,0))))</f>
        <v/>
      </c>
      <c r="B58" s="6" t="str">
        <f>IF((ROW()-9+($J$8-1)*50)&gt;COUNTIFS(Processos!$X$10:$X$509,1,Processos!$Y$10:$Y$509,1),"",IF(INDEX(Processos!$D$10:$D$509,MATCH((ROW()-9+($J$8-1)*50),Processos!$AJ$10:$AJ$509,0))="","",INDEX(Processos!$D$10:$D$509,MATCH((ROW()-9+($J$8-1)*50),Processos!$AJ$10:$AJ$509,0))))</f>
        <v/>
      </c>
      <c r="C58"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58" s="6" t="str">
        <f>SUBSTITUTE(SUBSTITUTE(IF((ROW()-9+($J$8-1)*50)&gt;COUNTIFS(Processos!$X$10:$X$509,1,Processos!$Y$10:$Y$509,1),"",IF(INDEX(Processos!$M$10:$M$509,MATCH((ROW()-9+($J$8-1)*50),Processos!$AJ$10:$AJ$509,0))="","",INDEX(Processos!$M$10:$M$509,MATCH((ROW()-9+($J$8-1)*50),Processos!$AJ$10:$AJ$509,0)))),CHAR(10)," "),CHAR(13)," ")</f>
        <v/>
      </c>
      <c r="E58" s="39" t="str">
        <f>IF($A58="","",IFERROR(INDEX(Processos!$AR$10:$AR$509,MATCH($A58,Processos!$A$10:$A$509,0)),"")&amp;CHAR(10)&amp;IFERROR(IF(OR(INDEX(Origem!$AB$10:$AB$509,MATCH($A58,Origem!$A$10:$A$509,0))="",INDEX(Origem!$AB$10:$AB$509,MATCH($A58,Origem!$A$10:$A$509,0))="—"),"Origem: sem classificação","Origem: "&amp;INDEX(Origem!$AB$10:$AB$509,MATCH($A58,Origem!$A$10:$A$509,0))&amp;IF(INDEX(Origem!$AC$10:$AC$509,MATCH($A58,Origem!$A$10:$A$509,0))=""," (sem pontuação)"," • "&amp;INDEX(Origem!$AC$10:$AC$509,MATCH($A58,Origem!$A$10:$A$509,0))&amp;" pontos")),"Origem: sem classificação"))</f>
        <v/>
      </c>
      <c r="F58" s="10" t="str">
        <f>IF((ROW()-9+($J$8-1)*50)&gt;COUNTIFS(Processos!$X$10:$X$509,1,Processos!$Y$10:$Y$509,1),"",IF(INDEX(Processos!$AQ$10:$AQ$509,MATCH((ROW()-9+($J$8-1)*50),Processos!$AJ$10:$AJ$509,0))="","",INDEX(Processos!$AQ$10:$AQ$509,MATCH((ROW()-9+($J$8-1)*50),Processos!$AJ$10:$AJ$509,0))))</f>
        <v/>
      </c>
      <c r="G58" s="6" t="str">
        <f>IF((ROW()-9+($J$8-1)*50)&gt;COUNTIFS(Processos!$X$10:$X$509,1,Processos!$Y$10:$Y$509,1),"",IFERROR(HYPERLINK("#'Ficha'!C6","Selecionar na Ficha"),"Selecionar na Ficha"))</f>
        <v/>
      </c>
    </row>
    <row r="59" spans="1:7" ht="114.95" customHeight="1">
      <c r="A59" s="7" t="str">
        <f>IF((ROW()-9+($J$8-1)*50)&gt;COUNTIFS(Processos!$X$10:$X$509,1,Processos!$Y$10:$Y$509,1),"",IF(INDEX(Processos!$A$10:$A$509,MATCH((ROW()-9+($J$8-1)*50),Processos!$AJ$10:$AJ$509,0))="","",INDEX(Processos!$A$10:$A$509,MATCH((ROW()-9+($J$8-1)*50),Processos!$AJ$10:$AJ$509,0))))</f>
        <v/>
      </c>
      <c r="B59" s="6" t="str">
        <f>IF((ROW()-9+($J$8-1)*50)&gt;COUNTIFS(Processos!$X$10:$X$509,1,Processos!$Y$10:$Y$509,1),"",IF(INDEX(Processos!$D$10:$D$509,MATCH((ROW()-9+($J$8-1)*50),Processos!$AJ$10:$AJ$509,0))="","",INDEX(Processos!$D$10:$D$509,MATCH((ROW()-9+($J$8-1)*50),Processos!$AJ$10:$AJ$509,0))))</f>
        <v/>
      </c>
      <c r="C59" s="6" t="str">
        <f>IF(LEN(SUBSTITUTE(SUBSTITUTE(IF((ROW()-9+($J$8-1)*50)&gt;COUNTIFS(Processos!$X$10:$X$509,1,Processos!$Y$10:$Y$509,1),"",IF(INDEX(Processos!$H$10:$H$509,MATCH((ROW()-9+($J$8-1)*50),Processos!$AJ$10:$AJ$509,0))&amp;"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"))&gt;150,LEFT(SUBSTITUTE(SUBSTITUTE(IF((ROW()-9+($J$8-1)*50)&gt;COUNTIFS(Processos!$X$10:$X$509,1,Processos!$Y$10:$Y$509,1),"",IF(INDEX(Processos!$H$10:$H$509,MATCH((ROW()-9+($J$8-1)*50),Processos!$AJ$10:$AJ$509,0))&amp;"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"),150)&amp;" [...]",SUBSTITUTE(SUBSTITUTE(IF((ROW()-9+($J$8-1)*50)&gt;COUNTIFS(Processos!$X$10:$X$509,1,Processos!$Y$10:$Y$509,1),"",IF(INDEX(Processos!$H$10:$H$509,MATCH((ROW()-9+($J$8-1)*50),Processos!$AJ$10:$AJ$509,0))&amp;" × "&amp;INDEX(Processos!$I$10:$I$509,MATCH((ROW()-9+($J$8-1)*50),Processos!$AJ$10:$AJ$509,0))="","",INDEX(Processos!$H$10:$H$509,MATCH((ROW()-9+($J$8-1)*50),Processos!$AJ$10:$AJ$509,0))&amp;" × "&amp;INDEX(Processos!$I$10:$I$509,MATCH((ROW()-9+($J$8-1)*50),Processos!$AJ$10:$AJ$509,0)))),CHAR(10)," "),CHAR(13)," "))</f>
        <v/>
      </c>
      <c r="D59" s="6" t="str">
        <f>SUBSTITUTE(SUBSTITUTE(IF((ROW()-9+($J$8-1)*50)&gt;COUNTIFS(Processos!$X$10:$X$509,1,Processos!$Y$10:$Y$509,1),"",IF(INDEX(Processos!$M$10:$M$509,MATCH((ROW()-9+($J$8-1)*50),Processos!$AJ$10:$AJ$509,0))="","",INDEX(Processos!$M$10:$M$509,MATCH((ROW()-9+($J$8-1)*50),Processos!$AJ$10:$AJ$509,0)))),CHAR(10)," "),CHAR(13)," ")</f>
        <v/>
      </c>
      <c r="E59" s="39" t="str">
        <f>IF($A59="","",IFERROR(INDEX(Processos!$AR$10:$AR$509,MATCH($A59,Processos!$A$10:$A$509,0)),"")&amp;CHAR(10)&amp;IFERROR(IF(OR(INDEX(Origem!$AB$10:$AB$509,MATCH($A59,Origem!$A$10:$A$509,0))="",INDEX(Origem!$AB$10:$AB$509,MATCH($A59,Origem!$A$10:$A$509,0))="—"),"Origem: sem classificação","Origem: "&amp;INDEX(Origem!$AB$10:$AB$509,MATCH($A59,Origem!$A$10:$A$509,0))&amp;IF(INDEX(Origem!$AC$10:$AC$509,MATCH($A59,Origem!$A$10:$A$509,0))=""," (sem pontuação)"," • "&amp;INDEX(Origem!$AC$10:$AC$509,MATCH($A59,Origem!$A$10:$A$509,0))&amp;" pontos")),"Origem: sem classificação"))</f>
        <v/>
      </c>
      <c r="F59" s="10" t="str">
        <f>IF((ROW()-9+($J$8-1)*50)&gt;COUNTIFS(Processos!$X$10:$X$509,1,Processos!$Y$10:$Y$509,1),"",IF(INDEX(Processos!$AQ$10:$AQ$509,MATCH((ROW()-9+($J$8-1)*50),Processos!$AJ$10:$AJ$509,0))="","",INDEX(Processos!$AQ$10:$AQ$509,MATCH((ROW()-9+($J$8-1)*50),Processos!$AJ$10:$AJ$509,0))))</f>
        <v/>
      </c>
      <c r="G59" s="6" t="str">
        <f>IF((ROW()-9+($J$8-1)*50)&gt;COUNTIFS(Processos!$X$10:$X$509,1,Processos!$Y$10:$Y$509,1),"",IFERROR(HYPERLINK("#'Ficha'!C6","Selecionar na Ficha"),"Selecionar na Ficha"))</f>
        <v/>
      </c>
    </row>
    <row r="60" spans="1:7" ht="48" customHeight="1">
      <c r="A60" s="7"/>
      <c r="B60" s="6"/>
      <c r="C60" s="6"/>
      <c r="D60" s="6"/>
      <c r="E60" s="6" t="str">
        <f>IF($A60="","",IFERROR(INDEX(Processos!$AR$10:$AR$509,MATCH($A60,Processos!$A$10:$A$509,0)),"")&amp;CHAR(10)&amp;IFERROR(IF(OR(INDEX(Origem!$AB$10:$AB$509,MATCH($A60,Origem!$A$10:$A$509,0))="",INDEX(Origem!$AB$10:$AB$509,MATCH($A60,Origem!$A$10:$A$509,0))="—"),"Origem: sem classificação","Origem: "&amp;INDEX(Origem!$AB$10:$AB$509,MATCH($A60,Origem!$A$10:$A$509,0))&amp;IF(INDEX(Origem!$AC$10:$AC$509,MATCH($A60,Origem!$A$10:$A$509,0))=""," (sem pontuação)"," • "&amp;INDEX(Origem!$AC$10:$AC$509,MATCH($A60,Origem!$A$10:$A$509,0))&amp;" pontos")),"Origem: sem classificação"))</f>
        <v/>
      </c>
      <c r="F60" s="10"/>
      <c r="G60" s="6"/>
    </row>
    <row r="61" spans="1:7" ht="48" customHeight="1">
      <c r="A61" s="7"/>
      <c r="B61" s="6"/>
      <c r="C61" s="6"/>
      <c r="D61" s="6"/>
      <c r="E61" s="6" t="str">
        <f>IF($A61="","",IFERROR(INDEX(Processos!$AR$10:$AR$509,MATCH($A61,Processos!$A$10:$A$509,0)),"")&amp;CHAR(10)&amp;IFERROR(IF(OR(INDEX(Origem!$AB$10:$AB$509,MATCH($A61,Origem!$A$10:$A$509,0))="",INDEX(Origem!$AB$10:$AB$509,MATCH($A61,Origem!$A$10:$A$509,0))="—"),"Origem: sem classificação","Origem: "&amp;INDEX(Origem!$AB$10:$AB$509,MATCH($A61,Origem!$A$10:$A$509,0))&amp;IF(INDEX(Origem!$AC$10:$AC$509,MATCH($A61,Origem!$A$10:$A$509,0))=""," (sem pontuação)"," • "&amp;INDEX(Origem!$AC$10:$AC$509,MATCH($A61,Origem!$A$10:$A$509,0))&amp;" pontos")),"Origem: sem classificação"))</f>
        <v/>
      </c>
      <c r="F61" s="10"/>
      <c r="G61" s="6"/>
    </row>
    <row r="62" spans="1:7" ht="48" customHeight="1">
      <c r="A62" s="7"/>
      <c r="B62" s="6"/>
      <c r="C62" s="6"/>
      <c r="D62" s="6"/>
      <c r="E62" s="6" t="str">
        <f>IF($A62="","",IFERROR(INDEX(Processos!$AR$10:$AR$509,MATCH($A62,Processos!$A$10:$A$509,0)),"")&amp;CHAR(10)&amp;IFERROR(IF(OR(INDEX(Origem!$AB$10:$AB$509,MATCH($A62,Origem!$A$10:$A$509,0))="",INDEX(Origem!$AB$10:$AB$509,MATCH($A62,Origem!$A$10:$A$509,0))="—"),"Origem: sem classificação","Origem: "&amp;INDEX(Origem!$AB$10:$AB$509,MATCH($A62,Origem!$A$10:$A$509,0))&amp;IF(INDEX(Origem!$AC$10:$AC$509,MATCH($A62,Origem!$A$10:$A$509,0))=""," (sem pontuação)"," • "&amp;INDEX(Origem!$AC$10:$AC$509,MATCH($A62,Origem!$A$10:$A$509,0))&amp;" pontos")),"Origem: sem classificação"))</f>
        <v/>
      </c>
      <c r="F62" s="10"/>
      <c r="G62" s="6"/>
    </row>
    <row r="63" spans="1:7" ht="48" customHeight="1">
      <c r="A63" s="7"/>
      <c r="B63" s="6"/>
      <c r="C63" s="6"/>
      <c r="D63" s="6"/>
      <c r="E63" s="6" t="str">
        <f>IF($A63="","",IFERROR(INDEX(Processos!$AR$10:$AR$509,MATCH($A63,Processos!$A$10:$A$509,0)),"")&amp;CHAR(10)&amp;IFERROR(IF(OR(INDEX(Origem!$AB$10:$AB$509,MATCH($A63,Origem!$A$10:$A$509,0))="",INDEX(Origem!$AB$10:$AB$509,MATCH($A63,Origem!$A$10:$A$509,0))="—"),"Origem: sem classificação","Origem: "&amp;INDEX(Origem!$AB$10:$AB$509,MATCH($A63,Origem!$A$10:$A$509,0))&amp;IF(INDEX(Origem!$AC$10:$AC$509,MATCH($A63,Origem!$A$10:$A$509,0))=""," (sem pontuação)"," • "&amp;INDEX(Origem!$AC$10:$AC$509,MATCH($A63,Origem!$A$10:$A$509,0))&amp;" pontos")),"Origem: sem classificação"))</f>
        <v/>
      </c>
      <c r="F63" s="10"/>
      <c r="G63" s="6"/>
    </row>
    <row r="64" spans="1:7" ht="48" customHeight="1">
      <c r="A64" s="7"/>
      <c r="B64" s="6"/>
      <c r="C64" s="6"/>
      <c r="D64" s="6"/>
      <c r="E64" s="6" t="str">
        <f>IF($A64="","",IFERROR(INDEX(Processos!$AR$10:$AR$509,MATCH($A64,Processos!$A$10:$A$509,0)),"")&amp;CHAR(10)&amp;IFERROR(IF(OR(INDEX(Origem!$AB$10:$AB$509,MATCH($A64,Origem!$A$10:$A$509,0))="",INDEX(Origem!$AB$10:$AB$509,MATCH($A64,Origem!$A$10:$A$509,0))="—"),"Origem: sem classificação","Origem: "&amp;INDEX(Origem!$AB$10:$AB$509,MATCH($A64,Origem!$A$10:$A$509,0))&amp;IF(INDEX(Origem!$AC$10:$AC$509,MATCH($A64,Origem!$A$10:$A$509,0))=""," (sem pontuação)"," • "&amp;INDEX(Origem!$AC$10:$AC$509,MATCH($A64,Origem!$A$10:$A$509,0))&amp;" pontos")),"Origem: sem classificação"))</f>
        <v/>
      </c>
      <c r="F64" s="10"/>
      <c r="G64" s="6"/>
    </row>
    <row r="65" spans="1:7" ht="48" customHeight="1">
      <c r="A65" s="7"/>
      <c r="B65" s="6"/>
      <c r="C65" s="6"/>
      <c r="D65" s="6"/>
      <c r="E65" s="6" t="str">
        <f>IF($A65="","",IFERROR(INDEX(Processos!$AR$10:$AR$509,MATCH($A65,Processos!$A$10:$A$509,0)),"")&amp;CHAR(10)&amp;IFERROR(IF(OR(INDEX(Origem!$AB$10:$AB$509,MATCH($A65,Origem!$A$10:$A$509,0))="",INDEX(Origem!$AB$10:$AB$509,MATCH($A65,Origem!$A$10:$A$509,0))="—"),"Origem: sem classificação","Origem: "&amp;INDEX(Origem!$AB$10:$AB$509,MATCH($A65,Origem!$A$10:$A$509,0))&amp;IF(INDEX(Origem!$AC$10:$AC$509,MATCH($A65,Origem!$A$10:$A$509,0))=""," (sem pontuação)"," • "&amp;INDEX(Origem!$AC$10:$AC$509,MATCH($A65,Origem!$A$10:$A$509,0))&amp;" pontos")),"Origem: sem classificação"))</f>
        <v/>
      </c>
      <c r="F65" s="10"/>
      <c r="G65" s="6"/>
    </row>
    <row r="66" spans="1:7" ht="48" customHeight="1">
      <c r="A66" s="7"/>
      <c r="B66" s="6"/>
      <c r="C66" s="6"/>
      <c r="D66" s="6"/>
      <c r="E66" s="6" t="str">
        <f>IF($A66="","",IFERROR(INDEX(Processos!$AR$10:$AR$509,MATCH($A66,Processos!$A$10:$A$509,0)),"")&amp;CHAR(10)&amp;IFERROR(IF(OR(INDEX(Origem!$AB$10:$AB$509,MATCH($A66,Origem!$A$10:$A$509,0))="",INDEX(Origem!$AB$10:$AB$509,MATCH($A66,Origem!$A$10:$A$509,0))="—"),"Origem: sem classificação","Origem: "&amp;INDEX(Origem!$AB$10:$AB$509,MATCH($A66,Origem!$A$10:$A$509,0))&amp;IF(INDEX(Origem!$AC$10:$AC$509,MATCH($A66,Origem!$A$10:$A$509,0))=""," (sem pontuação)"," • "&amp;INDEX(Origem!$AC$10:$AC$509,MATCH($A66,Origem!$A$10:$A$509,0))&amp;" pontos")),"Origem: sem classificação"))</f>
        <v/>
      </c>
      <c r="F66" s="10"/>
      <c r="G66" s="6"/>
    </row>
    <row r="67" spans="1:7" ht="48" customHeight="1">
      <c r="A67" s="7"/>
      <c r="B67" s="6"/>
      <c r="C67" s="6"/>
      <c r="D67" s="6"/>
      <c r="E67" s="6" t="str">
        <f>IF($A67="","",IFERROR(INDEX(Processos!$AR$10:$AR$509,MATCH($A67,Processos!$A$10:$A$509,0)),"")&amp;CHAR(10)&amp;IFERROR(IF(OR(INDEX(Origem!$AB$10:$AB$509,MATCH($A67,Origem!$A$10:$A$509,0))="",INDEX(Origem!$AB$10:$AB$509,MATCH($A67,Origem!$A$10:$A$509,0))="—"),"Origem: sem classificação","Origem: "&amp;INDEX(Origem!$AB$10:$AB$509,MATCH($A67,Origem!$A$10:$A$509,0))&amp;IF(INDEX(Origem!$AC$10:$AC$509,MATCH($A67,Origem!$A$10:$A$509,0))=""," (sem pontuação)"," • "&amp;INDEX(Origem!$AC$10:$AC$509,MATCH($A67,Origem!$A$10:$A$509,0))&amp;" pontos")),"Origem: sem classificação"))</f>
        <v/>
      </c>
      <c r="F67" s="10"/>
      <c r="G67" s="6"/>
    </row>
    <row r="68" spans="1:7" ht="48" customHeight="1">
      <c r="A68" s="7"/>
      <c r="B68" s="6"/>
      <c r="C68" s="6"/>
      <c r="D68" s="6"/>
      <c r="E68" s="6" t="str">
        <f>IF($A68="","",IFERROR(INDEX(Processos!$AR$10:$AR$509,MATCH($A68,Processos!$A$10:$A$509,0)),"")&amp;CHAR(10)&amp;IFERROR(IF(OR(INDEX(Origem!$AB$10:$AB$509,MATCH($A68,Origem!$A$10:$A$509,0))="",INDEX(Origem!$AB$10:$AB$509,MATCH($A68,Origem!$A$10:$A$509,0))="—"),"Origem: sem classificação","Origem: "&amp;INDEX(Origem!$AB$10:$AB$509,MATCH($A68,Origem!$A$10:$A$509,0))&amp;IF(INDEX(Origem!$AC$10:$AC$509,MATCH($A68,Origem!$A$10:$A$509,0))=""," (sem pontuação)"," • "&amp;INDEX(Origem!$AC$10:$AC$509,MATCH($A68,Origem!$A$10:$A$509,0))&amp;" pontos")),"Origem: sem classificação"))</f>
        <v/>
      </c>
      <c r="F68" s="10"/>
      <c r="G68" s="6"/>
    </row>
    <row r="69" spans="1:7" ht="48" customHeight="1">
      <c r="A69" s="7"/>
      <c r="B69" s="6"/>
      <c r="C69" s="6"/>
      <c r="D69" s="6"/>
      <c r="E69" s="6" t="str">
        <f>IF($A69="","",IFERROR(INDEX(Processos!$AR$10:$AR$509,MATCH($A69,Processos!$A$10:$A$509,0)),"")&amp;CHAR(10)&amp;IFERROR(IF(OR(INDEX(Origem!$AB$10:$AB$509,MATCH($A69,Origem!$A$10:$A$509,0))="",INDEX(Origem!$AB$10:$AB$509,MATCH($A69,Origem!$A$10:$A$509,0))="—"),"Origem: sem classificação","Origem: "&amp;INDEX(Origem!$AB$10:$AB$509,MATCH($A69,Origem!$A$10:$A$509,0))&amp;IF(INDEX(Origem!$AC$10:$AC$509,MATCH($A69,Origem!$A$10:$A$509,0))=""," (sem pontuação)"," • "&amp;INDEX(Origem!$AC$10:$AC$509,MATCH($A69,Origem!$A$10:$A$509,0))&amp;" pontos")),"Origem: sem classificação"))</f>
        <v/>
      </c>
      <c r="F69" s="10"/>
      <c r="G69" s="6"/>
    </row>
    <row r="70" spans="1:7" ht="48" customHeight="1">
      <c r="A70" s="7"/>
      <c r="B70" s="6"/>
      <c r="C70" s="6"/>
      <c r="D70" s="6"/>
      <c r="E70" s="6" t="str">
        <f>IF($A70="","",IFERROR(INDEX(Processos!$AR$10:$AR$509,MATCH($A70,Processos!$A$10:$A$509,0)),"")&amp;CHAR(10)&amp;IFERROR(IF(OR(INDEX(Origem!$AB$10:$AB$509,MATCH($A70,Origem!$A$10:$A$509,0))="",INDEX(Origem!$AB$10:$AB$509,MATCH($A70,Origem!$A$10:$A$509,0))="—"),"Origem: sem classificação","Origem: "&amp;INDEX(Origem!$AB$10:$AB$509,MATCH($A70,Origem!$A$10:$A$509,0))&amp;IF(INDEX(Origem!$AC$10:$AC$509,MATCH($A70,Origem!$A$10:$A$509,0))=""," (sem pontuação)"," • "&amp;INDEX(Origem!$AC$10:$AC$509,MATCH($A70,Origem!$A$10:$A$509,0))&amp;" pontos")),"Origem: sem classificação"))</f>
        <v/>
      </c>
      <c r="F70" s="10"/>
      <c r="G70" s="6"/>
    </row>
    <row r="71" spans="1:7" ht="48" customHeight="1">
      <c r="A71" s="7"/>
      <c r="B71" s="6"/>
      <c r="C71" s="6"/>
      <c r="D71" s="6"/>
      <c r="E71" s="6" t="str">
        <f>IF($A71="","",IFERROR(INDEX(Processos!$AR$10:$AR$509,MATCH($A71,Processos!$A$10:$A$509,0)),"")&amp;CHAR(10)&amp;IFERROR(IF(OR(INDEX(Origem!$AB$10:$AB$509,MATCH($A71,Origem!$A$10:$A$509,0))="",INDEX(Origem!$AB$10:$AB$509,MATCH($A71,Origem!$A$10:$A$509,0))="—"),"Origem: sem classificação","Origem: "&amp;INDEX(Origem!$AB$10:$AB$509,MATCH($A71,Origem!$A$10:$A$509,0))&amp;IF(INDEX(Origem!$AC$10:$AC$509,MATCH($A71,Origem!$A$10:$A$509,0))=""," (sem pontuação)"," • "&amp;INDEX(Origem!$AC$10:$AC$509,MATCH($A71,Origem!$A$10:$A$509,0))&amp;" pontos")),"Origem: sem classificação"))</f>
        <v/>
      </c>
      <c r="F71" s="10"/>
      <c r="G71" s="6"/>
    </row>
    <row r="72" spans="1:7" ht="48" customHeight="1">
      <c r="A72" s="7"/>
      <c r="B72" s="6"/>
      <c r="C72" s="6"/>
      <c r="D72" s="6"/>
      <c r="E72" s="6" t="str">
        <f>IF($A72="","",IFERROR(INDEX(Processos!$AR$10:$AR$509,MATCH($A72,Processos!$A$10:$A$509,0)),"")&amp;CHAR(10)&amp;IFERROR(IF(OR(INDEX(Origem!$AB$10:$AB$509,MATCH($A72,Origem!$A$10:$A$509,0))="",INDEX(Origem!$AB$10:$AB$509,MATCH($A72,Origem!$A$10:$A$509,0))="—"),"Origem: sem classificação","Origem: "&amp;INDEX(Origem!$AB$10:$AB$509,MATCH($A72,Origem!$A$10:$A$509,0))&amp;IF(INDEX(Origem!$AC$10:$AC$509,MATCH($A72,Origem!$A$10:$A$509,0))=""," (sem pontuação)"," • "&amp;INDEX(Origem!$AC$10:$AC$509,MATCH($A72,Origem!$A$10:$A$509,0))&amp;" pontos")),"Origem: sem classificação"))</f>
        <v/>
      </c>
      <c r="F72" s="10"/>
      <c r="G72" s="6"/>
    </row>
    <row r="73" spans="1:7" ht="48" customHeight="1">
      <c r="A73" s="7"/>
      <c r="B73" s="6"/>
      <c r="C73" s="6"/>
      <c r="D73" s="6"/>
      <c r="E73" s="6" t="str">
        <f>IF($A73="","",IFERROR(INDEX(Processos!$AR$10:$AR$509,MATCH($A73,Processos!$A$10:$A$509,0)),"")&amp;CHAR(10)&amp;IFERROR(IF(OR(INDEX(Origem!$AB$10:$AB$509,MATCH($A73,Origem!$A$10:$A$509,0))="",INDEX(Origem!$AB$10:$AB$509,MATCH($A73,Origem!$A$10:$A$509,0))="—"),"Origem: sem classificação","Origem: "&amp;INDEX(Origem!$AB$10:$AB$509,MATCH($A73,Origem!$A$10:$A$509,0))&amp;IF(INDEX(Origem!$AC$10:$AC$509,MATCH($A73,Origem!$A$10:$A$509,0))=""," (sem pontuação)"," • "&amp;INDEX(Origem!$AC$10:$AC$509,MATCH($A73,Origem!$A$10:$A$509,0))&amp;" pontos")),"Origem: sem classificação"))</f>
        <v/>
      </c>
      <c r="F73" s="10"/>
      <c r="G73" s="6"/>
    </row>
    <row r="74" spans="1:7" ht="48" customHeight="1">
      <c r="A74" s="7"/>
      <c r="B74" s="6"/>
      <c r="C74" s="6"/>
      <c r="D74" s="6"/>
      <c r="E74" s="6" t="str">
        <f>IF($A74="","",IFERROR(INDEX(Processos!$AR$10:$AR$509,MATCH($A74,Processos!$A$10:$A$509,0)),"")&amp;CHAR(10)&amp;IFERROR(IF(OR(INDEX(Origem!$AB$10:$AB$509,MATCH($A74,Origem!$A$10:$A$509,0))="",INDEX(Origem!$AB$10:$AB$509,MATCH($A74,Origem!$A$10:$A$509,0))="—"),"Origem: sem classificação","Origem: "&amp;INDEX(Origem!$AB$10:$AB$509,MATCH($A74,Origem!$A$10:$A$509,0))&amp;IF(INDEX(Origem!$AC$10:$AC$509,MATCH($A74,Origem!$A$10:$A$509,0))=""," (sem pontuação)"," • "&amp;INDEX(Origem!$AC$10:$AC$509,MATCH($A74,Origem!$A$10:$A$509,0))&amp;" pontos")),"Origem: sem classificação"))</f>
        <v/>
      </c>
      <c r="F74" s="10"/>
      <c r="G74" s="6"/>
    </row>
    <row r="75" spans="1:7" ht="48" customHeight="1">
      <c r="A75" s="7"/>
      <c r="B75" s="6"/>
      <c r="C75" s="6"/>
      <c r="D75" s="6"/>
      <c r="E75" s="6" t="str">
        <f>IF($A75="","",IFERROR(INDEX(Processos!$AR$10:$AR$509,MATCH($A75,Processos!$A$10:$A$509,0)),"")&amp;CHAR(10)&amp;IFERROR(IF(OR(INDEX(Origem!$AB$10:$AB$509,MATCH($A75,Origem!$A$10:$A$509,0))="",INDEX(Origem!$AB$10:$AB$509,MATCH($A75,Origem!$A$10:$A$509,0))="—"),"Origem: sem classificação","Origem: "&amp;INDEX(Origem!$AB$10:$AB$509,MATCH($A75,Origem!$A$10:$A$509,0))&amp;IF(INDEX(Origem!$AC$10:$AC$509,MATCH($A75,Origem!$A$10:$A$509,0))=""," (sem pontuação)"," • "&amp;INDEX(Origem!$AC$10:$AC$509,MATCH($A75,Origem!$A$10:$A$509,0))&amp;" pontos")),"Origem: sem classificação"))</f>
        <v/>
      </c>
      <c r="F75" s="10"/>
      <c r="G75" s="6"/>
    </row>
    <row r="76" spans="1:7" ht="48" customHeight="1">
      <c r="A76" s="7"/>
      <c r="B76" s="6"/>
      <c r="C76" s="6"/>
      <c r="D76" s="6"/>
      <c r="E76" s="6" t="str">
        <f>IF($A76="","",IFERROR(INDEX(Processos!$AR$10:$AR$509,MATCH($A76,Processos!$A$10:$A$509,0)),"")&amp;CHAR(10)&amp;IFERROR(IF(OR(INDEX(Origem!$AB$10:$AB$509,MATCH($A76,Origem!$A$10:$A$509,0))="",INDEX(Origem!$AB$10:$AB$509,MATCH($A76,Origem!$A$10:$A$509,0))="—"),"Origem: sem classificação","Origem: "&amp;INDEX(Origem!$AB$10:$AB$509,MATCH($A76,Origem!$A$10:$A$509,0))&amp;IF(INDEX(Origem!$AC$10:$AC$509,MATCH($A76,Origem!$A$10:$A$509,0))=""," (sem pontuação)"," • "&amp;INDEX(Origem!$AC$10:$AC$509,MATCH($A76,Origem!$A$10:$A$509,0))&amp;" pontos")),"Origem: sem classificação"))</f>
        <v/>
      </c>
      <c r="F76" s="10"/>
      <c r="G76" s="6"/>
    </row>
    <row r="77" spans="1:7" ht="48" customHeight="1">
      <c r="A77" s="7"/>
      <c r="B77" s="6"/>
      <c r="C77" s="6"/>
      <c r="D77" s="6"/>
      <c r="E77" s="6" t="str">
        <f>IF($A77="","",IFERROR(INDEX(Processos!$AR$10:$AR$509,MATCH($A77,Processos!$A$10:$A$509,0)),"")&amp;CHAR(10)&amp;IFERROR(IF(OR(INDEX(Origem!$AB$10:$AB$509,MATCH($A77,Origem!$A$10:$A$509,0))="",INDEX(Origem!$AB$10:$AB$509,MATCH($A77,Origem!$A$10:$A$509,0))="—"),"Origem: sem classificação","Origem: "&amp;INDEX(Origem!$AB$10:$AB$509,MATCH($A77,Origem!$A$10:$A$509,0))&amp;IF(INDEX(Origem!$AC$10:$AC$509,MATCH($A77,Origem!$A$10:$A$509,0))=""," (sem pontuação)"," • "&amp;INDEX(Origem!$AC$10:$AC$509,MATCH($A77,Origem!$A$10:$A$509,0))&amp;" pontos")),"Origem: sem classificação"))</f>
        <v/>
      </c>
      <c r="F77" s="10"/>
      <c r="G77" s="6"/>
    </row>
    <row r="78" spans="1:7" ht="48" customHeight="1">
      <c r="A78" s="7"/>
      <c r="B78" s="6"/>
      <c r="C78" s="6"/>
      <c r="D78" s="6"/>
      <c r="E78" s="6" t="str">
        <f>IF($A78="","",IFERROR(INDEX(Processos!$AR$10:$AR$509,MATCH($A78,Processos!$A$10:$A$509,0)),"")&amp;CHAR(10)&amp;IFERROR(IF(OR(INDEX(Origem!$AB$10:$AB$509,MATCH($A78,Origem!$A$10:$A$509,0))="",INDEX(Origem!$AB$10:$AB$509,MATCH($A78,Origem!$A$10:$A$509,0))="—"),"Origem: sem classificação","Origem: "&amp;INDEX(Origem!$AB$10:$AB$509,MATCH($A78,Origem!$A$10:$A$509,0))&amp;IF(INDEX(Origem!$AC$10:$AC$509,MATCH($A78,Origem!$A$10:$A$509,0))=""," (sem pontuação)"," • "&amp;INDEX(Origem!$AC$10:$AC$509,MATCH($A78,Origem!$A$10:$A$509,0))&amp;" pontos")),"Origem: sem classificação"))</f>
        <v/>
      </c>
      <c r="F78" s="10"/>
      <c r="G78" s="6"/>
    </row>
    <row r="79" spans="1:7" ht="48" customHeight="1">
      <c r="A79" s="7"/>
      <c r="B79" s="6"/>
      <c r="C79" s="6"/>
      <c r="D79" s="6"/>
      <c r="E79" s="6" t="str">
        <f>IF($A79="","",IFERROR(INDEX(Processos!$AR$10:$AR$509,MATCH($A79,Processos!$A$10:$A$509,0)),"")&amp;CHAR(10)&amp;IFERROR(IF(OR(INDEX(Origem!$AB$10:$AB$509,MATCH($A79,Origem!$A$10:$A$509,0))="",INDEX(Origem!$AB$10:$AB$509,MATCH($A79,Origem!$A$10:$A$509,0))="—"),"Origem: sem classificação","Origem: "&amp;INDEX(Origem!$AB$10:$AB$509,MATCH($A79,Origem!$A$10:$A$509,0))&amp;IF(INDEX(Origem!$AC$10:$AC$509,MATCH($A79,Origem!$A$10:$A$509,0))=""," (sem pontuação)"," • "&amp;INDEX(Origem!$AC$10:$AC$509,MATCH($A79,Origem!$A$10:$A$509,0))&amp;" pontos")),"Origem: sem classificação"))</f>
        <v/>
      </c>
      <c r="F79" s="10"/>
      <c r="G79" s="6"/>
    </row>
    <row r="80" spans="1:7" ht="48" customHeight="1">
      <c r="A80" s="7"/>
      <c r="B80" s="6"/>
      <c r="C80" s="6"/>
      <c r="D80" s="6"/>
      <c r="E80" s="6" t="str">
        <f>IF($A80="","",IFERROR(INDEX(Processos!$AR$10:$AR$509,MATCH($A80,Processos!$A$10:$A$509,0)),"")&amp;CHAR(10)&amp;IFERROR(IF(OR(INDEX(Origem!$AB$10:$AB$509,MATCH($A80,Origem!$A$10:$A$509,0))="",INDEX(Origem!$AB$10:$AB$509,MATCH($A80,Origem!$A$10:$A$509,0))="—"),"Origem: sem classificação","Origem: "&amp;INDEX(Origem!$AB$10:$AB$509,MATCH($A80,Origem!$A$10:$A$509,0))&amp;IF(INDEX(Origem!$AC$10:$AC$509,MATCH($A80,Origem!$A$10:$A$509,0))=""," (sem pontuação)"," • "&amp;INDEX(Origem!$AC$10:$AC$509,MATCH($A80,Origem!$A$10:$A$509,0))&amp;" pontos")),"Origem: sem classificação"))</f>
        <v/>
      </c>
      <c r="F80" s="10"/>
      <c r="G80" s="6"/>
    </row>
    <row r="81" spans="1:7" ht="48" customHeight="1">
      <c r="A81" s="7"/>
      <c r="B81" s="6"/>
      <c r="C81" s="6"/>
      <c r="D81" s="6"/>
      <c r="E81" s="6" t="str">
        <f>IF($A81="","",IFERROR(INDEX(Processos!$AR$10:$AR$509,MATCH($A81,Processos!$A$10:$A$509,0)),"")&amp;CHAR(10)&amp;IFERROR(IF(OR(INDEX(Origem!$AB$10:$AB$509,MATCH($A81,Origem!$A$10:$A$509,0))="",INDEX(Origem!$AB$10:$AB$509,MATCH($A81,Origem!$A$10:$A$509,0))="—"),"Origem: sem classificação","Origem: "&amp;INDEX(Origem!$AB$10:$AB$509,MATCH($A81,Origem!$A$10:$A$509,0))&amp;IF(INDEX(Origem!$AC$10:$AC$509,MATCH($A81,Origem!$A$10:$A$509,0))=""," (sem pontuação)"," • "&amp;INDEX(Origem!$AC$10:$AC$509,MATCH($A81,Origem!$A$10:$A$509,0))&amp;" pontos")),"Origem: sem classificação"))</f>
        <v/>
      </c>
      <c r="F81" s="10"/>
      <c r="G81" s="6"/>
    </row>
    <row r="82" spans="1:7" ht="48" customHeight="1">
      <c r="A82" s="7"/>
      <c r="B82" s="6"/>
      <c r="C82" s="6"/>
      <c r="D82" s="6"/>
      <c r="E82" s="6" t="str">
        <f>IF($A82="","",IFERROR(INDEX(Processos!$AR$10:$AR$509,MATCH($A82,Processos!$A$10:$A$509,0)),"")&amp;CHAR(10)&amp;IFERROR(IF(OR(INDEX(Origem!$AB$10:$AB$509,MATCH($A82,Origem!$A$10:$A$509,0))="",INDEX(Origem!$AB$10:$AB$509,MATCH($A82,Origem!$A$10:$A$509,0))="—"),"Origem: sem classificação","Origem: "&amp;INDEX(Origem!$AB$10:$AB$509,MATCH($A82,Origem!$A$10:$A$509,0))&amp;IF(INDEX(Origem!$AC$10:$AC$509,MATCH($A82,Origem!$A$10:$A$509,0))=""," (sem pontuação)"," • "&amp;INDEX(Origem!$AC$10:$AC$509,MATCH($A82,Origem!$A$10:$A$509,0))&amp;" pontos")),"Origem: sem classificação"))</f>
        <v/>
      </c>
      <c r="F82" s="10"/>
      <c r="G82" s="6"/>
    </row>
    <row r="83" spans="1:7" ht="48" customHeight="1">
      <c r="A83" s="7"/>
      <c r="B83" s="6"/>
      <c r="C83" s="6"/>
      <c r="D83" s="6"/>
      <c r="E83" s="6" t="str">
        <f>IF($A83="","",IFERROR(INDEX(Processos!$AR$10:$AR$509,MATCH($A83,Processos!$A$10:$A$509,0)),"")&amp;CHAR(10)&amp;IFERROR(IF(OR(INDEX(Origem!$AB$10:$AB$509,MATCH($A83,Origem!$A$10:$A$509,0))="",INDEX(Origem!$AB$10:$AB$509,MATCH($A83,Origem!$A$10:$A$509,0))="—"),"Origem: sem classificação","Origem: "&amp;INDEX(Origem!$AB$10:$AB$509,MATCH($A83,Origem!$A$10:$A$509,0))&amp;IF(INDEX(Origem!$AC$10:$AC$509,MATCH($A83,Origem!$A$10:$A$509,0))=""," (sem pontuação)"," • "&amp;INDEX(Origem!$AC$10:$AC$509,MATCH($A83,Origem!$A$10:$A$509,0))&amp;" pontos")),"Origem: sem classificação"))</f>
        <v/>
      </c>
      <c r="F83" s="10"/>
      <c r="G83" s="6"/>
    </row>
    <row r="84" spans="1:7" ht="48" customHeight="1">
      <c r="A84" s="7"/>
      <c r="B84" s="6"/>
      <c r="C84" s="6"/>
      <c r="D84" s="6"/>
      <c r="E84" s="6" t="str">
        <f>IF($A84="","",IFERROR(INDEX(Processos!$AR$10:$AR$509,MATCH($A84,Processos!$A$10:$A$509,0)),"")&amp;CHAR(10)&amp;IFERROR(IF(OR(INDEX(Origem!$AB$10:$AB$509,MATCH($A84,Origem!$A$10:$A$509,0))="",INDEX(Origem!$AB$10:$AB$509,MATCH($A84,Origem!$A$10:$A$509,0))="—"),"Origem: sem classificação","Origem: "&amp;INDEX(Origem!$AB$10:$AB$509,MATCH($A84,Origem!$A$10:$A$509,0))&amp;IF(INDEX(Origem!$AC$10:$AC$509,MATCH($A84,Origem!$A$10:$A$509,0))=""," (sem pontuação)"," • "&amp;INDEX(Origem!$AC$10:$AC$509,MATCH($A84,Origem!$A$10:$A$509,0))&amp;" pontos")),"Origem: sem classificação"))</f>
        <v/>
      </c>
      <c r="F84" s="10"/>
      <c r="G84" s="6"/>
    </row>
    <row r="85" spans="1:7" ht="48" customHeight="1">
      <c r="A85" s="7"/>
      <c r="B85" s="6"/>
      <c r="C85" s="6"/>
      <c r="D85" s="6"/>
      <c r="E85" s="6" t="str">
        <f>IF($A85="","",IFERROR(INDEX(Processos!$AR$10:$AR$509,MATCH($A85,Processos!$A$10:$A$509,0)),"")&amp;CHAR(10)&amp;IFERROR(IF(OR(INDEX(Origem!$AB$10:$AB$509,MATCH($A85,Origem!$A$10:$A$509,0))="",INDEX(Origem!$AB$10:$AB$509,MATCH($A85,Origem!$A$10:$A$509,0))="—"),"Origem: sem classificação","Origem: "&amp;INDEX(Origem!$AB$10:$AB$509,MATCH($A85,Origem!$A$10:$A$509,0))&amp;IF(INDEX(Origem!$AC$10:$AC$509,MATCH($A85,Origem!$A$10:$A$509,0))=""," (sem pontuação)"," • "&amp;INDEX(Origem!$AC$10:$AC$509,MATCH($A85,Origem!$A$10:$A$509,0))&amp;" pontos")),"Origem: sem classificação"))</f>
        <v/>
      </c>
      <c r="F85" s="10"/>
      <c r="G85" s="6"/>
    </row>
    <row r="86" spans="1:7" ht="48" customHeight="1">
      <c r="A86" s="7"/>
      <c r="B86" s="6"/>
      <c r="C86" s="6"/>
      <c r="D86" s="6"/>
      <c r="E86" s="6" t="str">
        <f>IF($A86="","",IFERROR(INDEX(Processos!$AR$10:$AR$509,MATCH($A86,Processos!$A$10:$A$509,0)),"")&amp;CHAR(10)&amp;IFERROR(IF(OR(INDEX(Origem!$AB$10:$AB$509,MATCH($A86,Origem!$A$10:$A$509,0))="",INDEX(Origem!$AB$10:$AB$509,MATCH($A86,Origem!$A$10:$A$509,0))="—"),"Origem: sem classificação","Origem: "&amp;INDEX(Origem!$AB$10:$AB$509,MATCH($A86,Origem!$A$10:$A$509,0))&amp;IF(INDEX(Origem!$AC$10:$AC$509,MATCH($A86,Origem!$A$10:$A$509,0))=""," (sem pontuação)"," • "&amp;INDEX(Origem!$AC$10:$AC$509,MATCH($A86,Origem!$A$10:$A$509,0))&amp;" pontos")),"Origem: sem classificação"))</f>
        <v/>
      </c>
      <c r="F86" s="10"/>
      <c r="G86" s="6"/>
    </row>
    <row r="87" spans="1:7" ht="48" customHeight="1">
      <c r="A87" s="7"/>
      <c r="B87" s="6"/>
      <c r="C87" s="6"/>
      <c r="D87" s="6"/>
      <c r="E87" s="6" t="str">
        <f>IF($A87="","",IFERROR(INDEX(Processos!$AR$10:$AR$509,MATCH($A87,Processos!$A$10:$A$509,0)),"")&amp;CHAR(10)&amp;IFERROR(IF(OR(INDEX(Origem!$AB$10:$AB$509,MATCH($A87,Origem!$A$10:$A$509,0))="",INDEX(Origem!$AB$10:$AB$509,MATCH($A87,Origem!$A$10:$A$509,0))="—"),"Origem: sem classificação","Origem: "&amp;INDEX(Origem!$AB$10:$AB$509,MATCH($A87,Origem!$A$10:$A$509,0))&amp;IF(INDEX(Origem!$AC$10:$AC$509,MATCH($A87,Origem!$A$10:$A$509,0))=""," (sem pontuação)"," • "&amp;INDEX(Origem!$AC$10:$AC$509,MATCH($A87,Origem!$A$10:$A$509,0))&amp;" pontos")),"Origem: sem classificação"))</f>
        <v/>
      </c>
      <c r="F87" s="10"/>
      <c r="G87" s="6"/>
    </row>
    <row r="88" spans="1:7" ht="48" customHeight="1">
      <c r="A88" s="7"/>
      <c r="B88" s="6"/>
      <c r="C88" s="6"/>
      <c r="D88" s="6"/>
      <c r="E88" s="6" t="str">
        <f>IF($A88="","",IFERROR(INDEX(Processos!$AR$10:$AR$509,MATCH($A88,Processos!$A$10:$A$509,0)),"")&amp;CHAR(10)&amp;IFERROR(IF(OR(INDEX(Origem!$AB$10:$AB$509,MATCH($A88,Origem!$A$10:$A$509,0))="",INDEX(Origem!$AB$10:$AB$509,MATCH($A88,Origem!$A$10:$A$509,0))="—"),"Origem: sem classificação","Origem: "&amp;INDEX(Origem!$AB$10:$AB$509,MATCH($A88,Origem!$A$10:$A$509,0))&amp;IF(INDEX(Origem!$AC$10:$AC$509,MATCH($A88,Origem!$A$10:$A$509,0))=""," (sem pontuação)"," • "&amp;INDEX(Origem!$AC$10:$AC$509,MATCH($A88,Origem!$A$10:$A$509,0))&amp;" pontos")),"Origem: sem classificação"))</f>
        <v/>
      </c>
      <c r="F88" s="10"/>
      <c r="G88" s="6"/>
    </row>
    <row r="89" spans="1:7" ht="48" customHeight="1">
      <c r="A89" s="7"/>
      <c r="B89" s="6"/>
      <c r="C89" s="6"/>
      <c r="D89" s="6"/>
      <c r="E89" s="6" t="str">
        <f>IF($A89="","",IFERROR(INDEX(Processos!$AR$10:$AR$509,MATCH($A89,Processos!$A$10:$A$509,0)),"")&amp;CHAR(10)&amp;IFERROR(IF(OR(INDEX(Origem!$AB$10:$AB$509,MATCH($A89,Origem!$A$10:$A$509,0))="",INDEX(Origem!$AB$10:$AB$509,MATCH($A89,Origem!$A$10:$A$509,0))="—"),"Origem: sem classificação","Origem: "&amp;INDEX(Origem!$AB$10:$AB$509,MATCH($A89,Origem!$A$10:$A$509,0))&amp;IF(INDEX(Origem!$AC$10:$AC$509,MATCH($A89,Origem!$A$10:$A$509,0))=""," (sem pontuação)"," • "&amp;INDEX(Origem!$AC$10:$AC$509,MATCH($A89,Origem!$A$10:$A$509,0))&amp;" pontos")),"Origem: sem classificação"))</f>
        <v/>
      </c>
      <c r="F89" s="10"/>
      <c r="G89" s="6"/>
    </row>
    <row r="90" spans="1:7" ht="48" customHeight="1">
      <c r="A90" s="7"/>
      <c r="B90" s="6"/>
      <c r="C90" s="6"/>
      <c r="D90" s="6"/>
      <c r="E90" s="6" t="str">
        <f>IF($A90="","",IFERROR(INDEX(Processos!$AR$10:$AR$509,MATCH($A90,Processos!$A$10:$A$509,0)),"")&amp;CHAR(10)&amp;IFERROR(IF(OR(INDEX(Origem!$AB$10:$AB$509,MATCH($A90,Origem!$A$10:$A$509,0))="",INDEX(Origem!$AB$10:$AB$509,MATCH($A90,Origem!$A$10:$A$509,0))="—"),"Origem: sem classificação","Origem: "&amp;INDEX(Origem!$AB$10:$AB$509,MATCH($A90,Origem!$A$10:$A$509,0))&amp;IF(INDEX(Origem!$AC$10:$AC$509,MATCH($A90,Origem!$A$10:$A$509,0))=""," (sem pontuação)"," • "&amp;INDEX(Origem!$AC$10:$AC$509,MATCH($A90,Origem!$A$10:$A$509,0))&amp;" pontos")),"Origem: sem classificação"))</f>
        <v/>
      </c>
      <c r="F90" s="10"/>
      <c r="G90" s="6"/>
    </row>
    <row r="91" spans="1:7" ht="48" customHeight="1">
      <c r="A91" s="7"/>
      <c r="B91" s="6"/>
      <c r="C91" s="6"/>
      <c r="D91" s="6"/>
      <c r="E91" s="6" t="str">
        <f>IF($A91="","",IFERROR(INDEX(Processos!$AR$10:$AR$509,MATCH($A91,Processos!$A$10:$A$509,0)),"")&amp;CHAR(10)&amp;IFERROR(IF(OR(INDEX(Origem!$AB$10:$AB$509,MATCH($A91,Origem!$A$10:$A$509,0))="",INDEX(Origem!$AB$10:$AB$509,MATCH($A91,Origem!$A$10:$A$509,0))="—"),"Origem: sem classificação","Origem: "&amp;INDEX(Origem!$AB$10:$AB$509,MATCH($A91,Origem!$A$10:$A$509,0))&amp;IF(INDEX(Origem!$AC$10:$AC$509,MATCH($A91,Origem!$A$10:$A$509,0))=""," (sem pontuação)"," • "&amp;INDEX(Origem!$AC$10:$AC$509,MATCH($A91,Origem!$A$10:$A$509,0))&amp;" pontos")),"Origem: sem classificação"))</f>
        <v/>
      </c>
      <c r="F91" s="10"/>
      <c r="G91" s="6"/>
    </row>
    <row r="92" spans="1:7" ht="48" customHeight="1">
      <c r="A92" s="7"/>
      <c r="B92" s="6"/>
      <c r="C92" s="6"/>
      <c r="D92" s="6"/>
      <c r="E92" s="6" t="str">
        <f>IF($A92="","",IFERROR(INDEX(Processos!$AR$10:$AR$509,MATCH($A92,Processos!$A$10:$A$509,0)),"")&amp;CHAR(10)&amp;IFERROR(IF(OR(INDEX(Origem!$AB$10:$AB$509,MATCH($A92,Origem!$A$10:$A$509,0))="",INDEX(Origem!$AB$10:$AB$509,MATCH($A92,Origem!$A$10:$A$509,0))="—"),"Origem: sem classificação","Origem: "&amp;INDEX(Origem!$AB$10:$AB$509,MATCH($A92,Origem!$A$10:$A$509,0))&amp;IF(INDEX(Origem!$AC$10:$AC$509,MATCH($A92,Origem!$A$10:$A$509,0))=""," (sem pontuação)"," • "&amp;INDEX(Origem!$AC$10:$AC$509,MATCH($A92,Origem!$A$10:$A$509,0))&amp;" pontos")),"Origem: sem classificação"))</f>
        <v/>
      </c>
      <c r="F92" s="10"/>
      <c r="G92" s="6"/>
    </row>
    <row r="93" spans="1:7" ht="48" customHeight="1">
      <c r="A93" s="7"/>
      <c r="B93" s="6"/>
      <c r="C93" s="6"/>
      <c r="D93" s="6"/>
      <c r="E93" s="6" t="str">
        <f>IF($A93="","",IFERROR(INDEX(Processos!$AR$10:$AR$509,MATCH($A93,Processos!$A$10:$A$509,0)),"")&amp;CHAR(10)&amp;IFERROR(IF(OR(INDEX(Origem!$AB$10:$AB$509,MATCH($A93,Origem!$A$10:$A$509,0))="",INDEX(Origem!$AB$10:$AB$509,MATCH($A93,Origem!$A$10:$A$509,0))="—"),"Origem: sem classificação","Origem: "&amp;INDEX(Origem!$AB$10:$AB$509,MATCH($A93,Origem!$A$10:$A$509,0))&amp;IF(INDEX(Origem!$AC$10:$AC$509,MATCH($A93,Origem!$A$10:$A$509,0))=""," (sem pontuação)"," • "&amp;INDEX(Origem!$AC$10:$AC$509,MATCH($A93,Origem!$A$10:$A$509,0))&amp;" pontos")),"Origem: sem classificação"))</f>
        <v/>
      </c>
      <c r="F93" s="10"/>
      <c r="G93" s="6"/>
    </row>
    <row r="94" spans="1:7" ht="48" customHeight="1">
      <c r="A94" s="7"/>
      <c r="B94" s="6"/>
      <c r="C94" s="6"/>
      <c r="D94" s="6"/>
      <c r="E94" s="6" t="str">
        <f>IF($A94="","",IFERROR(INDEX(Processos!$AR$10:$AR$509,MATCH($A94,Processos!$A$10:$A$509,0)),"")&amp;CHAR(10)&amp;IFERROR(IF(OR(INDEX(Origem!$AB$10:$AB$509,MATCH($A94,Origem!$A$10:$A$509,0))="",INDEX(Origem!$AB$10:$AB$509,MATCH($A94,Origem!$A$10:$A$509,0))="—"),"Origem: sem classificação","Origem: "&amp;INDEX(Origem!$AB$10:$AB$509,MATCH($A94,Origem!$A$10:$A$509,0))&amp;IF(INDEX(Origem!$AC$10:$AC$509,MATCH($A94,Origem!$A$10:$A$509,0))=""," (sem pontuação)"," • "&amp;INDEX(Origem!$AC$10:$AC$509,MATCH($A94,Origem!$A$10:$A$509,0))&amp;" pontos")),"Origem: sem classificação"))</f>
        <v/>
      </c>
      <c r="F94" s="10"/>
      <c r="G94" s="6"/>
    </row>
    <row r="95" spans="1:7" ht="48" customHeight="1">
      <c r="A95" s="7"/>
      <c r="B95" s="6"/>
      <c r="C95" s="6"/>
      <c r="D95" s="6"/>
      <c r="E95" s="6" t="str">
        <f>IF($A95="","",IFERROR(INDEX(Processos!$AR$10:$AR$509,MATCH($A95,Processos!$A$10:$A$509,0)),"")&amp;CHAR(10)&amp;IFERROR(IF(OR(INDEX(Origem!$AB$10:$AB$509,MATCH($A95,Origem!$A$10:$A$509,0))="",INDEX(Origem!$AB$10:$AB$509,MATCH($A95,Origem!$A$10:$A$509,0))="—"),"Origem: sem classificação","Origem: "&amp;INDEX(Origem!$AB$10:$AB$509,MATCH($A95,Origem!$A$10:$A$509,0))&amp;IF(INDEX(Origem!$AC$10:$AC$509,MATCH($A95,Origem!$A$10:$A$509,0))=""," (sem pontuação)"," • "&amp;INDEX(Origem!$AC$10:$AC$509,MATCH($A95,Origem!$A$10:$A$509,0))&amp;" pontos")),"Origem: sem classificação"))</f>
        <v/>
      </c>
      <c r="F95" s="10"/>
      <c r="G95" s="6"/>
    </row>
    <row r="96" spans="1:7" ht="48" customHeight="1">
      <c r="A96" s="7"/>
      <c r="B96" s="6"/>
      <c r="C96" s="6"/>
      <c r="D96" s="6"/>
      <c r="E96" s="6" t="str">
        <f>IF($A96="","",IFERROR(INDEX(Processos!$AR$10:$AR$509,MATCH($A96,Processos!$A$10:$A$509,0)),"")&amp;CHAR(10)&amp;IFERROR(IF(OR(INDEX(Origem!$AB$10:$AB$509,MATCH($A96,Origem!$A$10:$A$509,0))="",INDEX(Origem!$AB$10:$AB$509,MATCH($A96,Origem!$A$10:$A$509,0))="—"),"Origem: sem classificação","Origem: "&amp;INDEX(Origem!$AB$10:$AB$509,MATCH($A96,Origem!$A$10:$A$509,0))&amp;IF(INDEX(Origem!$AC$10:$AC$509,MATCH($A96,Origem!$A$10:$A$509,0))=""," (sem pontuação)"," • "&amp;INDEX(Origem!$AC$10:$AC$509,MATCH($A96,Origem!$A$10:$A$509,0))&amp;" pontos")),"Origem: sem classificação"))</f>
        <v/>
      </c>
      <c r="F96" s="10"/>
      <c r="G96" s="6"/>
    </row>
    <row r="97" spans="1:7" ht="48" customHeight="1">
      <c r="A97" s="7"/>
      <c r="B97" s="6"/>
      <c r="C97" s="6"/>
      <c r="D97" s="6"/>
      <c r="E97" s="6" t="str">
        <f>IF($A97="","",IFERROR(INDEX(Processos!$AR$10:$AR$509,MATCH($A97,Processos!$A$10:$A$509,0)),"")&amp;CHAR(10)&amp;IFERROR(IF(OR(INDEX(Origem!$AB$10:$AB$509,MATCH($A97,Origem!$A$10:$A$509,0))="",INDEX(Origem!$AB$10:$AB$509,MATCH($A97,Origem!$A$10:$A$509,0))="—"),"Origem: sem classificação","Origem: "&amp;INDEX(Origem!$AB$10:$AB$509,MATCH($A97,Origem!$A$10:$A$509,0))&amp;IF(INDEX(Origem!$AC$10:$AC$509,MATCH($A97,Origem!$A$10:$A$509,0))=""," (sem pontuação)"," • "&amp;INDEX(Origem!$AC$10:$AC$509,MATCH($A97,Origem!$A$10:$A$509,0))&amp;" pontos")),"Origem: sem classificação"))</f>
        <v/>
      </c>
      <c r="F97" s="10"/>
      <c r="G97" s="6"/>
    </row>
    <row r="98" spans="1:7" ht="48" customHeight="1">
      <c r="A98" s="7"/>
      <c r="B98" s="6"/>
      <c r="C98" s="6"/>
      <c r="D98" s="6"/>
      <c r="E98" s="6" t="str">
        <f>IF($A98="","",IFERROR(INDEX(Processos!$AR$10:$AR$509,MATCH($A98,Processos!$A$10:$A$509,0)),"")&amp;CHAR(10)&amp;IFERROR(IF(OR(INDEX(Origem!$AB$10:$AB$509,MATCH($A98,Origem!$A$10:$A$509,0))="",INDEX(Origem!$AB$10:$AB$509,MATCH($A98,Origem!$A$10:$A$509,0))="—"),"Origem: sem classificação","Origem: "&amp;INDEX(Origem!$AB$10:$AB$509,MATCH($A98,Origem!$A$10:$A$509,0))&amp;IF(INDEX(Origem!$AC$10:$AC$509,MATCH($A98,Origem!$A$10:$A$509,0))=""," (sem pontuação)"," • "&amp;INDEX(Origem!$AC$10:$AC$509,MATCH($A98,Origem!$A$10:$A$509,0))&amp;" pontos")),"Origem: sem classificação"))</f>
        <v/>
      </c>
      <c r="F98" s="10"/>
      <c r="G98" s="6"/>
    </row>
    <row r="99" spans="1:7" ht="48" customHeight="1">
      <c r="A99" s="7"/>
      <c r="B99" s="6"/>
      <c r="C99" s="6"/>
      <c r="D99" s="6"/>
      <c r="E99" s="6" t="str">
        <f>IF($A99="","",IFERROR(INDEX(Processos!$AR$10:$AR$509,MATCH($A99,Processos!$A$10:$A$509,0)),"")&amp;CHAR(10)&amp;IFERROR(IF(OR(INDEX(Origem!$AB$10:$AB$509,MATCH($A99,Origem!$A$10:$A$509,0))="",INDEX(Origem!$AB$10:$AB$509,MATCH($A99,Origem!$A$10:$A$509,0))="—"),"Origem: sem classificação","Origem: "&amp;INDEX(Origem!$AB$10:$AB$509,MATCH($A99,Origem!$A$10:$A$509,0))&amp;IF(INDEX(Origem!$AC$10:$AC$509,MATCH($A99,Origem!$A$10:$A$509,0))=""," (sem pontuação)"," • "&amp;INDEX(Origem!$AC$10:$AC$509,MATCH($A99,Origem!$A$10:$A$509,0))&amp;" pontos")),"Origem: sem classificação"))</f>
        <v/>
      </c>
      <c r="F99" s="10"/>
      <c r="G99" s="6"/>
    </row>
    <row r="100" spans="1:7" ht="48" customHeight="1">
      <c r="A100" s="7"/>
      <c r="B100" s="6"/>
      <c r="C100" s="6"/>
      <c r="D100" s="6"/>
      <c r="E100" s="6" t="str">
        <f>IF($A100="","",IFERROR(INDEX(Processos!$AR$10:$AR$509,MATCH($A100,Processos!$A$10:$A$509,0)),"")&amp;CHAR(10)&amp;IFERROR(IF(OR(INDEX(Origem!$AB$10:$AB$509,MATCH($A100,Origem!$A$10:$A$509,0))="",INDEX(Origem!$AB$10:$AB$509,MATCH($A100,Origem!$A$10:$A$509,0))="—"),"Origem: sem classificação","Origem: "&amp;INDEX(Origem!$AB$10:$AB$509,MATCH($A100,Origem!$A$10:$A$509,0))&amp;IF(INDEX(Origem!$AC$10:$AC$509,MATCH($A100,Origem!$A$10:$A$509,0))=""," (sem pontuação)"," • "&amp;INDEX(Origem!$AC$10:$AC$509,MATCH($A100,Origem!$A$10:$A$509,0))&amp;" pontos")),"Origem: sem classificação"))</f>
        <v/>
      </c>
      <c r="F100" s="10"/>
      <c r="G100" s="6"/>
    </row>
    <row r="101" spans="1:7" ht="48" customHeight="1">
      <c r="A101" s="7"/>
      <c r="B101" s="6"/>
      <c r="C101" s="6"/>
      <c r="D101" s="6"/>
      <c r="E101" s="6" t="str">
        <f>IF($A101="","",IFERROR(INDEX(Processos!$AR$10:$AR$509,MATCH($A101,Processos!$A$10:$A$509,0)),"")&amp;CHAR(10)&amp;IFERROR(IF(OR(INDEX(Origem!$AB$10:$AB$509,MATCH($A101,Origem!$A$10:$A$509,0))="",INDEX(Origem!$AB$10:$AB$509,MATCH($A101,Origem!$A$10:$A$509,0))="—"),"Origem: sem classificação","Origem: "&amp;INDEX(Origem!$AB$10:$AB$509,MATCH($A101,Origem!$A$10:$A$509,0))&amp;IF(INDEX(Origem!$AC$10:$AC$509,MATCH($A101,Origem!$A$10:$A$509,0))=""," (sem pontuação)"," • "&amp;INDEX(Origem!$AC$10:$AC$509,MATCH($A101,Origem!$A$10:$A$509,0))&amp;" pontos")),"Origem: sem classificação"))</f>
        <v/>
      </c>
      <c r="F101" s="10"/>
      <c r="G101" s="6"/>
    </row>
    <row r="102" spans="1:7" ht="48" customHeight="1">
      <c r="A102" s="7"/>
      <c r="B102" s="6"/>
      <c r="C102" s="6"/>
      <c r="D102" s="6"/>
      <c r="E102" s="6" t="str">
        <f>IF($A102="","",IFERROR(INDEX(Processos!$AR$10:$AR$509,MATCH($A102,Processos!$A$10:$A$509,0)),"")&amp;CHAR(10)&amp;IFERROR(IF(OR(INDEX(Origem!$AB$10:$AB$509,MATCH($A102,Origem!$A$10:$A$509,0))="",INDEX(Origem!$AB$10:$AB$509,MATCH($A102,Origem!$A$10:$A$509,0))="—"),"Origem: sem classificação","Origem: "&amp;INDEX(Origem!$AB$10:$AB$509,MATCH($A102,Origem!$A$10:$A$509,0))&amp;IF(INDEX(Origem!$AC$10:$AC$509,MATCH($A102,Origem!$A$10:$A$509,0))=""," (sem pontuação)"," • "&amp;INDEX(Origem!$AC$10:$AC$509,MATCH($A102,Origem!$A$10:$A$509,0))&amp;" pontos")),"Origem: sem classificação"))</f>
        <v/>
      </c>
      <c r="F102" s="10"/>
      <c r="G102" s="6"/>
    </row>
    <row r="103" spans="1:7" ht="48" customHeight="1">
      <c r="A103" s="7"/>
      <c r="B103" s="6"/>
      <c r="C103" s="6"/>
      <c r="D103" s="6"/>
      <c r="E103" s="6" t="str">
        <f>IF($A103="","",IFERROR(INDEX(Processos!$AR$10:$AR$509,MATCH($A103,Processos!$A$10:$A$509,0)),"")&amp;CHAR(10)&amp;IFERROR(IF(OR(INDEX(Origem!$AB$10:$AB$509,MATCH($A103,Origem!$A$10:$A$509,0))="",INDEX(Origem!$AB$10:$AB$509,MATCH($A103,Origem!$A$10:$A$509,0))="—"),"Origem: sem classificação","Origem: "&amp;INDEX(Origem!$AB$10:$AB$509,MATCH($A103,Origem!$A$10:$A$509,0))&amp;IF(INDEX(Origem!$AC$10:$AC$509,MATCH($A103,Origem!$A$10:$A$509,0))=""," (sem pontuação)"," • "&amp;INDEX(Origem!$AC$10:$AC$509,MATCH($A103,Origem!$A$10:$A$509,0))&amp;" pontos")),"Origem: sem classificação"))</f>
        <v/>
      </c>
      <c r="F103" s="10"/>
      <c r="G103" s="6"/>
    </row>
    <row r="104" spans="1:7" ht="48" customHeight="1">
      <c r="A104" s="7"/>
      <c r="B104" s="6"/>
      <c r="C104" s="6"/>
      <c r="D104" s="6"/>
      <c r="E104" s="6" t="str">
        <f>IF($A104="","",IFERROR(INDEX(Processos!$AR$10:$AR$509,MATCH($A104,Processos!$A$10:$A$509,0)),"")&amp;CHAR(10)&amp;IFERROR(IF(OR(INDEX(Origem!$AB$10:$AB$509,MATCH($A104,Origem!$A$10:$A$509,0))="",INDEX(Origem!$AB$10:$AB$509,MATCH($A104,Origem!$A$10:$A$509,0))="—"),"Origem: sem classificação","Origem: "&amp;INDEX(Origem!$AB$10:$AB$509,MATCH($A104,Origem!$A$10:$A$509,0))&amp;IF(INDEX(Origem!$AC$10:$AC$509,MATCH($A104,Origem!$A$10:$A$509,0))=""," (sem pontuação)"," • "&amp;INDEX(Origem!$AC$10:$AC$509,MATCH($A104,Origem!$A$10:$A$509,0))&amp;" pontos")),"Origem: sem classificação"))</f>
        <v/>
      </c>
      <c r="F104" s="10"/>
      <c r="G104" s="6"/>
    </row>
    <row r="105" spans="1:7" ht="48" customHeight="1">
      <c r="A105" s="7"/>
      <c r="B105" s="6"/>
      <c r="C105" s="6"/>
      <c r="D105" s="6"/>
      <c r="E105" s="6" t="str">
        <f>IF($A105="","",IFERROR(INDEX(Processos!$AR$10:$AR$509,MATCH($A105,Processos!$A$10:$A$509,0)),"")&amp;CHAR(10)&amp;IFERROR(IF(OR(INDEX(Origem!$AB$10:$AB$509,MATCH($A105,Origem!$A$10:$A$509,0))="",INDEX(Origem!$AB$10:$AB$509,MATCH($A105,Origem!$A$10:$A$509,0))="—"),"Origem: sem classificação","Origem: "&amp;INDEX(Origem!$AB$10:$AB$509,MATCH($A105,Origem!$A$10:$A$509,0))&amp;IF(INDEX(Origem!$AC$10:$AC$509,MATCH($A105,Origem!$A$10:$A$509,0))=""," (sem pontuação)"," • "&amp;INDEX(Origem!$AC$10:$AC$509,MATCH($A105,Origem!$A$10:$A$509,0))&amp;" pontos")),"Origem: sem classificação"))</f>
        <v/>
      </c>
      <c r="F105" s="10"/>
      <c r="G105" s="6"/>
    </row>
    <row r="106" spans="1:7" ht="48" customHeight="1">
      <c r="A106" s="7"/>
      <c r="B106" s="6"/>
      <c r="C106" s="6"/>
      <c r="D106" s="6"/>
      <c r="E106" s="6" t="str">
        <f>IF($A106="","",IFERROR(INDEX(Processos!$AR$10:$AR$509,MATCH($A106,Processos!$A$10:$A$509,0)),"")&amp;CHAR(10)&amp;IFERROR(IF(OR(INDEX(Origem!$AB$10:$AB$509,MATCH($A106,Origem!$A$10:$A$509,0))="",INDEX(Origem!$AB$10:$AB$509,MATCH($A106,Origem!$A$10:$A$509,0))="—"),"Origem: sem classificação","Origem: "&amp;INDEX(Origem!$AB$10:$AB$509,MATCH($A106,Origem!$A$10:$A$509,0))&amp;IF(INDEX(Origem!$AC$10:$AC$509,MATCH($A106,Origem!$A$10:$A$509,0))=""," (sem pontuação)"," • "&amp;INDEX(Origem!$AC$10:$AC$509,MATCH($A106,Origem!$A$10:$A$509,0))&amp;" pontos")),"Origem: sem classificação"))</f>
        <v/>
      </c>
      <c r="F106" s="10"/>
      <c r="G106" s="6"/>
    </row>
    <row r="107" spans="1:7" ht="48" customHeight="1">
      <c r="A107" s="7"/>
      <c r="B107" s="6"/>
      <c r="C107" s="6"/>
      <c r="D107" s="6"/>
      <c r="E107" s="6" t="str">
        <f>IF($A107="","",IFERROR(INDEX(Processos!$AR$10:$AR$509,MATCH($A107,Processos!$A$10:$A$509,0)),"")&amp;CHAR(10)&amp;IFERROR(IF(OR(INDEX(Origem!$AB$10:$AB$509,MATCH($A107,Origem!$A$10:$A$509,0))="",INDEX(Origem!$AB$10:$AB$509,MATCH($A107,Origem!$A$10:$A$509,0))="—"),"Origem: sem classificação","Origem: "&amp;INDEX(Origem!$AB$10:$AB$509,MATCH($A107,Origem!$A$10:$A$509,0))&amp;IF(INDEX(Origem!$AC$10:$AC$509,MATCH($A107,Origem!$A$10:$A$509,0))=""," (sem pontuação)"," • "&amp;INDEX(Origem!$AC$10:$AC$509,MATCH($A107,Origem!$A$10:$A$509,0))&amp;" pontos")),"Origem: sem classificação"))</f>
        <v/>
      </c>
      <c r="F107" s="10"/>
      <c r="G107" s="6"/>
    </row>
    <row r="108" spans="1:7" ht="48" customHeight="1">
      <c r="A108" s="7"/>
      <c r="B108" s="6"/>
      <c r="C108" s="6"/>
      <c r="D108" s="6"/>
      <c r="E108" s="6" t="str">
        <f>IF($A108="","",IFERROR(INDEX(Processos!$AR$10:$AR$509,MATCH($A108,Processos!$A$10:$A$509,0)),"")&amp;CHAR(10)&amp;IFERROR(IF(OR(INDEX(Origem!$AB$10:$AB$509,MATCH($A108,Origem!$A$10:$A$509,0))="",INDEX(Origem!$AB$10:$AB$509,MATCH($A108,Origem!$A$10:$A$509,0))="—"),"Origem: sem classificação","Origem: "&amp;INDEX(Origem!$AB$10:$AB$509,MATCH($A108,Origem!$A$10:$A$509,0))&amp;IF(INDEX(Origem!$AC$10:$AC$509,MATCH($A108,Origem!$A$10:$A$509,0))=""," (sem pontuação)"," • "&amp;INDEX(Origem!$AC$10:$AC$509,MATCH($A108,Origem!$A$10:$A$509,0))&amp;" pontos")),"Origem: sem classificação"))</f>
        <v/>
      </c>
      <c r="F108" s="10"/>
      <c r="G108" s="6"/>
    </row>
    <row r="109" spans="1:7" ht="48" customHeight="1">
      <c r="A109" s="7"/>
      <c r="B109" s="6"/>
      <c r="C109" s="6"/>
      <c r="D109" s="6"/>
      <c r="E109" s="6" t="str">
        <f>IF($A109="","",IFERROR(INDEX(Processos!$AR$10:$AR$509,MATCH($A109,Processos!$A$10:$A$509,0)),"")&amp;CHAR(10)&amp;IFERROR(IF(OR(INDEX(Origem!$AB$10:$AB$509,MATCH($A109,Origem!$A$10:$A$509,0))="",INDEX(Origem!$AB$10:$AB$509,MATCH($A109,Origem!$A$10:$A$509,0))="—"),"Origem: sem classificação","Origem: "&amp;INDEX(Origem!$AB$10:$AB$509,MATCH($A109,Origem!$A$10:$A$509,0))&amp;IF(INDEX(Origem!$AC$10:$AC$509,MATCH($A109,Origem!$A$10:$A$509,0))=""," (sem pontuação)"," • "&amp;INDEX(Origem!$AC$10:$AC$509,MATCH($A109,Origem!$A$10:$A$509,0))&amp;" pontos")),"Origem: sem classificação"))</f>
        <v/>
      </c>
      <c r="F109" s="10"/>
      <c r="G109" s="6"/>
    </row>
    <row r="110" spans="1:7" ht="48" customHeight="1">
      <c r="A110" s="7"/>
      <c r="B110" s="6"/>
      <c r="C110" s="6"/>
      <c r="D110" s="6"/>
      <c r="E110" s="6" t="str">
        <f>IF($A110="","",IFERROR(INDEX(Processos!$AR$10:$AR$509,MATCH($A110,Processos!$A$10:$A$509,0)),"")&amp;CHAR(10)&amp;IFERROR(IF(OR(INDEX(Origem!$AB$10:$AB$509,MATCH($A110,Origem!$A$10:$A$509,0))="",INDEX(Origem!$AB$10:$AB$509,MATCH($A110,Origem!$A$10:$A$509,0))="—"),"Origem: sem classificação","Origem: "&amp;INDEX(Origem!$AB$10:$AB$509,MATCH($A110,Origem!$A$10:$A$509,0))&amp;IF(INDEX(Origem!$AC$10:$AC$509,MATCH($A110,Origem!$A$10:$A$509,0))=""," (sem pontuação)"," • "&amp;INDEX(Origem!$AC$10:$AC$509,MATCH($A110,Origem!$A$10:$A$509,0))&amp;" pontos")),"Origem: sem classificação"))</f>
        <v/>
      </c>
      <c r="F110" s="10"/>
      <c r="G110" s="6"/>
    </row>
    <row r="111" spans="1:7" ht="48" customHeight="1">
      <c r="A111" s="7"/>
      <c r="B111" s="6"/>
      <c r="C111" s="6"/>
      <c r="D111" s="6"/>
      <c r="E111" s="6" t="str">
        <f>IF($A111="","",IFERROR(INDEX(Processos!$AR$10:$AR$509,MATCH($A111,Processos!$A$10:$A$509,0)),"")&amp;CHAR(10)&amp;IFERROR(IF(OR(INDEX(Origem!$AB$10:$AB$509,MATCH($A111,Origem!$A$10:$A$509,0))="",INDEX(Origem!$AB$10:$AB$509,MATCH($A111,Origem!$A$10:$A$509,0))="—"),"Origem: sem classificação","Origem: "&amp;INDEX(Origem!$AB$10:$AB$509,MATCH($A111,Origem!$A$10:$A$509,0))&amp;IF(INDEX(Origem!$AC$10:$AC$509,MATCH($A111,Origem!$A$10:$A$509,0))=""," (sem pontuação)"," • "&amp;INDEX(Origem!$AC$10:$AC$509,MATCH($A111,Origem!$A$10:$A$509,0))&amp;" pontos")),"Origem: sem classificação"))</f>
        <v/>
      </c>
      <c r="F111" s="10"/>
      <c r="G111" s="6"/>
    </row>
    <row r="112" spans="1:7" ht="48" customHeight="1">
      <c r="A112" s="7"/>
      <c r="B112" s="6"/>
      <c r="C112" s="6"/>
      <c r="D112" s="6"/>
      <c r="E112" s="6" t="str">
        <f>IF($A112="","",IFERROR(INDEX(Processos!$AR$10:$AR$509,MATCH($A112,Processos!$A$10:$A$509,0)),"")&amp;CHAR(10)&amp;IFERROR(IF(OR(INDEX(Origem!$AB$10:$AB$509,MATCH($A112,Origem!$A$10:$A$509,0))="",INDEX(Origem!$AB$10:$AB$509,MATCH($A112,Origem!$A$10:$A$509,0))="—"),"Origem: sem classificação","Origem: "&amp;INDEX(Origem!$AB$10:$AB$509,MATCH($A112,Origem!$A$10:$A$509,0))&amp;IF(INDEX(Origem!$AC$10:$AC$509,MATCH($A112,Origem!$A$10:$A$509,0))=""," (sem pontuação)"," • "&amp;INDEX(Origem!$AC$10:$AC$509,MATCH($A112,Origem!$A$10:$A$509,0))&amp;" pontos")),"Origem: sem classificação"))</f>
        <v/>
      </c>
      <c r="F112" s="10"/>
      <c r="G112" s="6"/>
    </row>
    <row r="113" spans="1:7" ht="48" customHeight="1">
      <c r="A113" s="7"/>
      <c r="B113" s="6"/>
      <c r="C113" s="6"/>
      <c r="D113" s="6"/>
      <c r="E113" s="6" t="str">
        <f>IF($A113="","",IFERROR(INDEX(Processos!$AR$10:$AR$509,MATCH($A113,Processos!$A$10:$A$509,0)),"")&amp;CHAR(10)&amp;IFERROR(IF(OR(INDEX(Origem!$AB$10:$AB$509,MATCH($A113,Origem!$A$10:$A$509,0))="",INDEX(Origem!$AB$10:$AB$509,MATCH($A113,Origem!$A$10:$A$509,0))="—"),"Origem: sem classificação","Origem: "&amp;INDEX(Origem!$AB$10:$AB$509,MATCH($A113,Origem!$A$10:$A$509,0))&amp;IF(INDEX(Origem!$AC$10:$AC$509,MATCH($A113,Origem!$A$10:$A$509,0))=""," (sem pontuação)"," • "&amp;INDEX(Origem!$AC$10:$AC$509,MATCH($A113,Origem!$A$10:$A$509,0))&amp;" pontos")),"Origem: sem classificação"))</f>
        <v/>
      </c>
      <c r="F113" s="10"/>
      <c r="G113" s="6"/>
    </row>
    <row r="114" spans="1:7" ht="48" customHeight="1">
      <c r="A114" s="7"/>
      <c r="B114" s="6"/>
      <c r="C114" s="6"/>
      <c r="D114" s="6"/>
      <c r="E114" s="6" t="str">
        <f>IF($A114="","",IFERROR(INDEX(Processos!$AR$10:$AR$509,MATCH($A114,Processos!$A$10:$A$509,0)),"")&amp;CHAR(10)&amp;IFERROR(IF(OR(INDEX(Origem!$AB$10:$AB$509,MATCH($A114,Origem!$A$10:$A$509,0))="",INDEX(Origem!$AB$10:$AB$509,MATCH($A114,Origem!$A$10:$A$509,0))="—"),"Origem: sem classificação","Origem: "&amp;INDEX(Origem!$AB$10:$AB$509,MATCH($A114,Origem!$A$10:$A$509,0))&amp;IF(INDEX(Origem!$AC$10:$AC$509,MATCH($A114,Origem!$A$10:$A$509,0))=""," (sem pontuação)"," • "&amp;INDEX(Origem!$AC$10:$AC$509,MATCH($A114,Origem!$A$10:$A$509,0))&amp;" pontos")),"Origem: sem classificação"))</f>
        <v/>
      </c>
      <c r="F114" s="10"/>
      <c r="G114" s="6"/>
    </row>
    <row r="115" spans="1:7" ht="48" customHeight="1">
      <c r="A115" s="7"/>
      <c r="B115" s="6"/>
      <c r="C115" s="6"/>
      <c r="D115" s="6"/>
      <c r="E115" s="6" t="str">
        <f>IF($A115="","",IFERROR(INDEX(Processos!$AR$10:$AR$509,MATCH($A115,Processos!$A$10:$A$509,0)),"")&amp;CHAR(10)&amp;IFERROR(IF(OR(INDEX(Origem!$AB$10:$AB$509,MATCH($A115,Origem!$A$10:$A$509,0))="",INDEX(Origem!$AB$10:$AB$509,MATCH($A115,Origem!$A$10:$A$509,0))="—"),"Origem: sem classificação","Origem: "&amp;INDEX(Origem!$AB$10:$AB$509,MATCH($A115,Origem!$A$10:$A$509,0))&amp;IF(INDEX(Origem!$AC$10:$AC$509,MATCH($A115,Origem!$A$10:$A$509,0))=""," (sem pontuação)"," • "&amp;INDEX(Origem!$AC$10:$AC$509,MATCH($A115,Origem!$A$10:$A$509,0))&amp;" pontos")),"Origem: sem classificação"))</f>
        <v/>
      </c>
      <c r="F115" s="10"/>
      <c r="G115" s="6"/>
    </row>
    <row r="116" spans="1:7" ht="48" customHeight="1">
      <c r="A116" s="7"/>
      <c r="B116" s="6"/>
      <c r="C116" s="6"/>
      <c r="D116" s="6"/>
      <c r="E116" s="6" t="str">
        <f>IF($A116="","",IFERROR(INDEX(Processos!$AR$10:$AR$509,MATCH($A116,Processos!$A$10:$A$509,0)),"")&amp;CHAR(10)&amp;IFERROR(IF(OR(INDEX(Origem!$AB$10:$AB$509,MATCH($A116,Origem!$A$10:$A$509,0))="",INDEX(Origem!$AB$10:$AB$509,MATCH($A116,Origem!$A$10:$A$509,0))="—"),"Origem: sem classificação","Origem: "&amp;INDEX(Origem!$AB$10:$AB$509,MATCH($A116,Origem!$A$10:$A$509,0))&amp;IF(INDEX(Origem!$AC$10:$AC$509,MATCH($A116,Origem!$A$10:$A$509,0))=""," (sem pontuação)"," • "&amp;INDEX(Origem!$AC$10:$AC$509,MATCH($A116,Origem!$A$10:$A$509,0))&amp;" pontos")),"Origem: sem classificação"))</f>
        <v/>
      </c>
      <c r="F116" s="10"/>
      <c r="G116" s="6"/>
    </row>
    <row r="117" spans="1:7" ht="48" customHeight="1">
      <c r="A117" s="7"/>
      <c r="B117" s="6"/>
      <c r="C117" s="6"/>
      <c r="D117" s="6"/>
      <c r="E117" s="6" t="str">
        <f>IF($A117="","",IFERROR(INDEX(Processos!$AR$10:$AR$509,MATCH($A117,Processos!$A$10:$A$509,0)),"")&amp;CHAR(10)&amp;IFERROR(IF(OR(INDEX(Origem!$AB$10:$AB$509,MATCH($A117,Origem!$A$10:$A$509,0))="",INDEX(Origem!$AB$10:$AB$509,MATCH($A117,Origem!$A$10:$A$509,0))="—"),"Origem: sem classificação","Origem: "&amp;INDEX(Origem!$AB$10:$AB$509,MATCH($A117,Origem!$A$10:$A$509,0))&amp;IF(INDEX(Origem!$AC$10:$AC$509,MATCH($A117,Origem!$A$10:$A$509,0))=""," (sem pontuação)"," • "&amp;INDEX(Origem!$AC$10:$AC$509,MATCH($A117,Origem!$A$10:$A$509,0))&amp;" pontos")),"Origem: sem classificação"))</f>
        <v/>
      </c>
      <c r="F117" s="10"/>
      <c r="G117" s="6"/>
    </row>
    <row r="118" spans="1:7" ht="48" customHeight="1">
      <c r="A118" s="7"/>
      <c r="B118" s="6"/>
      <c r="C118" s="6"/>
      <c r="D118" s="6"/>
      <c r="E118" s="6" t="str">
        <f>IF($A118="","",IFERROR(INDEX(Processos!$AR$10:$AR$509,MATCH($A118,Processos!$A$10:$A$509,0)),"")&amp;CHAR(10)&amp;IFERROR(IF(OR(INDEX(Origem!$AB$10:$AB$509,MATCH($A118,Origem!$A$10:$A$509,0))="",INDEX(Origem!$AB$10:$AB$509,MATCH($A118,Origem!$A$10:$A$509,0))="—"),"Origem: sem classificação","Origem: "&amp;INDEX(Origem!$AB$10:$AB$509,MATCH($A118,Origem!$A$10:$A$509,0))&amp;IF(INDEX(Origem!$AC$10:$AC$509,MATCH($A118,Origem!$A$10:$A$509,0))=""," (sem pontuação)"," • "&amp;INDEX(Origem!$AC$10:$AC$509,MATCH($A118,Origem!$A$10:$A$509,0))&amp;" pontos")),"Origem: sem classificação"))</f>
        <v/>
      </c>
      <c r="F118" s="10"/>
      <c r="G118" s="6"/>
    </row>
    <row r="119" spans="1:7" ht="48" customHeight="1">
      <c r="A119" s="7"/>
      <c r="B119" s="6"/>
      <c r="C119" s="6"/>
      <c r="D119" s="6"/>
      <c r="E119" s="6" t="str">
        <f>IF($A119="","",IFERROR(INDEX(Processos!$AR$10:$AR$509,MATCH($A119,Processos!$A$10:$A$509,0)),"")&amp;CHAR(10)&amp;IFERROR(IF(OR(INDEX(Origem!$AB$10:$AB$509,MATCH($A119,Origem!$A$10:$A$509,0))="",INDEX(Origem!$AB$10:$AB$509,MATCH($A119,Origem!$A$10:$A$509,0))="—"),"Origem: sem classificação","Origem: "&amp;INDEX(Origem!$AB$10:$AB$509,MATCH($A119,Origem!$A$10:$A$509,0))&amp;IF(INDEX(Origem!$AC$10:$AC$509,MATCH($A119,Origem!$A$10:$A$509,0))=""," (sem pontuação)"," • "&amp;INDEX(Origem!$AC$10:$AC$509,MATCH($A119,Origem!$A$10:$A$509,0))&amp;" pontos")),"Origem: sem classificação"))</f>
        <v/>
      </c>
      <c r="F119" s="10"/>
      <c r="G119" s="6"/>
    </row>
    <row r="120" spans="1:7" ht="48" customHeight="1">
      <c r="A120" s="7"/>
      <c r="B120" s="6"/>
      <c r="C120" s="6"/>
      <c r="D120" s="6"/>
      <c r="E120" s="6" t="str">
        <f>IF($A120="","",IFERROR(INDEX(Processos!$AR$10:$AR$509,MATCH($A120,Processos!$A$10:$A$509,0)),"")&amp;CHAR(10)&amp;IFERROR(IF(OR(INDEX(Origem!$AB$10:$AB$509,MATCH($A120,Origem!$A$10:$A$509,0))="",INDEX(Origem!$AB$10:$AB$509,MATCH($A120,Origem!$A$10:$A$509,0))="—"),"Origem: sem classificação","Origem: "&amp;INDEX(Origem!$AB$10:$AB$509,MATCH($A120,Origem!$A$10:$A$509,0))&amp;IF(INDEX(Origem!$AC$10:$AC$509,MATCH($A120,Origem!$A$10:$A$509,0))=""," (sem pontuação)"," • "&amp;INDEX(Origem!$AC$10:$AC$509,MATCH($A120,Origem!$A$10:$A$509,0))&amp;" pontos")),"Origem: sem classificação"))</f>
        <v/>
      </c>
      <c r="F120" s="10"/>
      <c r="G120" s="6"/>
    </row>
    <row r="121" spans="1:7" ht="48" customHeight="1">
      <c r="A121" s="7"/>
      <c r="B121" s="6"/>
      <c r="C121" s="6"/>
      <c r="D121" s="6"/>
      <c r="E121" s="6" t="str">
        <f>IF($A121="","",IFERROR(INDEX(Processos!$AR$10:$AR$509,MATCH($A121,Processos!$A$10:$A$509,0)),"")&amp;CHAR(10)&amp;IFERROR(IF(OR(INDEX(Origem!$AB$10:$AB$509,MATCH($A121,Origem!$A$10:$A$509,0))="",INDEX(Origem!$AB$10:$AB$509,MATCH($A121,Origem!$A$10:$A$509,0))="—"),"Origem: sem classificação","Origem: "&amp;INDEX(Origem!$AB$10:$AB$509,MATCH($A121,Origem!$A$10:$A$509,0))&amp;IF(INDEX(Origem!$AC$10:$AC$509,MATCH($A121,Origem!$A$10:$A$509,0))=""," (sem pontuação)"," • "&amp;INDEX(Origem!$AC$10:$AC$509,MATCH($A121,Origem!$A$10:$A$509,0))&amp;" pontos")),"Origem: sem classificação"))</f>
        <v/>
      </c>
      <c r="F121" s="10"/>
      <c r="G121" s="6"/>
    </row>
    <row r="122" spans="1:7" ht="48" customHeight="1">
      <c r="A122" s="7"/>
      <c r="B122" s="6"/>
      <c r="C122" s="6"/>
      <c r="D122" s="6"/>
      <c r="E122" s="6" t="str">
        <f>IF($A122="","",IFERROR(INDEX(Processos!$AR$10:$AR$509,MATCH($A122,Processos!$A$10:$A$509,0)),"")&amp;CHAR(10)&amp;IFERROR(IF(OR(INDEX(Origem!$AB$10:$AB$509,MATCH($A122,Origem!$A$10:$A$509,0))="",INDEX(Origem!$AB$10:$AB$509,MATCH($A122,Origem!$A$10:$A$509,0))="—"),"Origem: sem classificação","Origem: "&amp;INDEX(Origem!$AB$10:$AB$509,MATCH($A122,Origem!$A$10:$A$509,0))&amp;IF(INDEX(Origem!$AC$10:$AC$509,MATCH($A122,Origem!$A$10:$A$509,0))=""," (sem pontuação)"," • "&amp;INDEX(Origem!$AC$10:$AC$509,MATCH($A122,Origem!$A$10:$A$509,0))&amp;" pontos")),"Origem: sem classificação"))</f>
        <v/>
      </c>
      <c r="F122" s="10"/>
      <c r="G122" s="6"/>
    </row>
    <row r="123" spans="1:7" ht="48" customHeight="1">
      <c r="A123" s="7"/>
      <c r="B123" s="6"/>
      <c r="C123" s="6"/>
      <c r="D123" s="6"/>
      <c r="E123" s="6" t="str">
        <f>IF($A123="","",IFERROR(INDEX(Processos!$AR$10:$AR$509,MATCH($A123,Processos!$A$10:$A$509,0)),"")&amp;CHAR(10)&amp;IFERROR(IF(OR(INDEX(Origem!$AB$10:$AB$509,MATCH($A123,Origem!$A$10:$A$509,0))="",INDEX(Origem!$AB$10:$AB$509,MATCH($A123,Origem!$A$10:$A$509,0))="—"),"Origem: sem classificação","Origem: "&amp;INDEX(Origem!$AB$10:$AB$509,MATCH($A123,Origem!$A$10:$A$509,0))&amp;IF(INDEX(Origem!$AC$10:$AC$509,MATCH($A123,Origem!$A$10:$A$509,0))=""," (sem pontuação)"," • "&amp;INDEX(Origem!$AC$10:$AC$509,MATCH($A123,Origem!$A$10:$A$509,0))&amp;" pontos")),"Origem: sem classificação"))</f>
        <v/>
      </c>
      <c r="F123" s="10"/>
      <c r="G123" s="6"/>
    </row>
    <row r="124" spans="1:7" ht="48" customHeight="1">
      <c r="A124" s="7"/>
      <c r="B124" s="6"/>
      <c r="C124" s="6"/>
      <c r="D124" s="6"/>
      <c r="E124" s="6" t="str">
        <f>IF($A124="","",IFERROR(INDEX(Processos!$AR$10:$AR$509,MATCH($A124,Processos!$A$10:$A$509,0)),"")&amp;CHAR(10)&amp;IFERROR(IF(OR(INDEX(Origem!$AB$10:$AB$509,MATCH($A124,Origem!$A$10:$A$509,0))="",INDEX(Origem!$AB$10:$AB$509,MATCH($A124,Origem!$A$10:$A$509,0))="—"),"Origem: sem classificação","Origem: "&amp;INDEX(Origem!$AB$10:$AB$509,MATCH($A124,Origem!$A$10:$A$509,0))&amp;IF(INDEX(Origem!$AC$10:$AC$509,MATCH($A124,Origem!$A$10:$A$509,0))=""," (sem pontuação)"," • "&amp;INDEX(Origem!$AC$10:$AC$509,MATCH($A124,Origem!$A$10:$A$509,0))&amp;" pontos")),"Origem: sem classificação"))</f>
        <v/>
      </c>
      <c r="F124" s="10"/>
      <c r="G124" s="6"/>
    </row>
    <row r="125" spans="1:7" ht="48" customHeight="1">
      <c r="A125" s="7"/>
      <c r="B125" s="6"/>
      <c r="C125" s="6"/>
      <c r="D125" s="6"/>
      <c r="E125" s="6" t="str">
        <f>IF($A125="","",IFERROR(INDEX(Processos!$AR$10:$AR$509,MATCH($A125,Processos!$A$10:$A$509,0)),"")&amp;CHAR(10)&amp;IFERROR(IF(OR(INDEX(Origem!$AB$10:$AB$509,MATCH($A125,Origem!$A$10:$A$509,0))="",INDEX(Origem!$AB$10:$AB$509,MATCH($A125,Origem!$A$10:$A$509,0))="—"),"Origem: sem classificação","Origem: "&amp;INDEX(Origem!$AB$10:$AB$509,MATCH($A125,Origem!$A$10:$A$509,0))&amp;IF(INDEX(Origem!$AC$10:$AC$509,MATCH($A125,Origem!$A$10:$A$509,0))=""," (sem pontuação)"," • "&amp;INDEX(Origem!$AC$10:$AC$509,MATCH($A125,Origem!$A$10:$A$509,0))&amp;" pontos")),"Origem: sem classificação"))</f>
        <v/>
      </c>
      <c r="F125" s="10"/>
      <c r="G125" s="6"/>
    </row>
    <row r="126" spans="1:7" ht="48" customHeight="1">
      <c r="A126" s="7"/>
      <c r="B126" s="6"/>
      <c r="C126" s="6"/>
      <c r="D126" s="6"/>
      <c r="E126" s="6" t="str">
        <f>IF($A126="","",IFERROR(INDEX(Processos!$AR$10:$AR$509,MATCH($A126,Processos!$A$10:$A$509,0)),"")&amp;CHAR(10)&amp;IFERROR(IF(OR(INDEX(Origem!$AB$10:$AB$509,MATCH($A126,Origem!$A$10:$A$509,0))="",INDEX(Origem!$AB$10:$AB$509,MATCH($A126,Origem!$A$10:$A$509,0))="—"),"Origem: sem classificação","Origem: "&amp;INDEX(Origem!$AB$10:$AB$509,MATCH($A126,Origem!$A$10:$A$509,0))&amp;IF(INDEX(Origem!$AC$10:$AC$509,MATCH($A126,Origem!$A$10:$A$509,0))=""," (sem pontuação)"," • "&amp;INDEX(Origem!$AC$10:$AC$509,MATCH($A126,Origem!$A$10:$A$509,0))&amp;" pontos")),"Origem: sem classificação"))</f>
        <v/>
      </c>
      <c r="F126" s="10"/>
      <c r="G126" s="6"/>
    </row>
    <row r="127" spans="1:7" ht="48" customHeight="1">
      <c r="A127" s="7"/>
      <c r="B127" s="6"/>
      <c r="C127" s="6"/>
      <c r="D127" s="6"/>
      <c r="E127" s="6" t="str">
        <f>IF($A127="","",IFERROR(INDEX(Processos!$AR$10:$AR$509,MATCH($A127,Processos!$A$10:$A$509,0)),"")&amp;CHAR(10)&amp;IFERROR(IF(OR(INDEX(Origem!$AB$10:$AB$509,MATCH($A127,Origem!$A$10:$A$509,0))="",INDEX(Origem!$AB$10:$AB$509,MATCH($A127,Origem!$A$10:$A$509,0))="—"),"Origem: sem classificação","Origem: "&amp;INDEX(Origem!$AB$10:$AB$509,MATCH($A127,Origem!$A$10:$A$509,0))&amp;IF(INDEX(Origem!$AC$10:$AC$509,MATCH($A127,Origem!$A$10:$A$509,0))=""," (sem pontuação)"," • "&amp;INDEX(Origem!$AC$10:$AC$509,MATCH($A127,Origem!$A$10:$A$509,0))&amp;" pontos")),"Origem: sem classificação"))</f>
        <v/>
      </c>
      <c r="F127" s="10"/>
      <c r="G127" s="6"/>
    </row>
    <row r="128" spans="1:7" ht="48" customHeight="1">
      <c r="A128" s="7"/>
      <c r="B128" s="6"/>
      <c r="C128" s="6"/>
      <c r="D128" s="6"/>
      <c r="E128" s="6" t="str">
        <f>IF($A128="","",IFERROR(INDEX(Processos!$AR$10:$AR$509,MATCH($A128,Processos!$A$10:$A$509,0)),"")&amp;CHAR(10)&amp;IFERROR(IF(OR(INDEX(Origem!$AB$10:$AB$509,MATCH($A128,Origem!$A$10:$A$509,0))="",INDEX(Origem!$AB$10:$AB$509,MATCH($A128,Origem!$A$10:$A$509,0))="—"),"Origem: sem classificação","Origem: "&amp;INDEX(Origem!$AB$10:$AB$509,MATCH($A128,Origem!$A$10:$A$509,0))&amp;IF(INDEX(Origem!$AC$10:$AC$509,MATCH($A128,Origem!$A$10:$A$509,0))=""," (sem pontuação)"," • "&amp;INDEX(Origem!$AC$10:$AC$509,MATCH($A128,Origem!$A$10:$A$509,0))&amp;" pontos")),"Origem: sem classificação"))</f>
        <v/>
      </c>
      <c r="F128" s="10"/>
      <c r="G128" s="6"/>
    </row>
    <row r="129" spans="1:7" ht="48" customHeight="1">
      <c r="A129" s="7"/>
      <c r="B129" s="6"/>
      <c r="C129" s="6"/>
      <c r="D129" s="6"/>
      <c r="E129" s="6" t="str">
        <f>IF($A129="","",IFERROR(INDEX(Processos!$AR$10:$AR$509,MATCH($A129,Processos!$A$10:$A$509,0)),"")&amp;CHAR(10)&amp;IFERROR(IF(OR(INDEX(Origem!$AB$10:$AB$509,MATCH($A129,Origem!$A$10:$A$509,0))="",INDEX(Origem!$AB$10:$AB$509,MATCH($A129,Origem!$A$10:$A$509,0))="—"),"Origem: sem classificação","Origem: "&amp;INDEX(Origem!$AB$10:$AB$509,MATCH($A129,Origem!$A$10:$A$509,0))&amp;IF(INDEX(Origem!$AC$10:$AC$509,MATCH($A129,Origem!$A$10:$A$509,0))=""," (sem pontuação)"," • "&amp;INDEX(Origem!$AC$10:$AC$509,MATCH($A129,Origem!$A$10:$A$509,0))&amp;" pontos")),"Origem: sem classificação"))</f>
        <v/>
      </c>
      <c r="F129" s="10"/>
      <c r="G129" s="6"/>
    </row>
    <row r="130" spans="1:7" ht="48" customHeight="1">
      <c r="A130" s="7"/>
      <c r="B130" s="6"/>
      <c r="C130" s="6"/>
      <c r="D130" s="6"/>
      <c r="E130" s="6" t="str">
        <f>IF($A130="","",IFERROR(INDEX(Processos!$AR$10:$AR$509,MATCH($A130,Processos!$A$10:$A$509,0)),"")&amp;CHAR(10)&amp;IFERROR(IF(OR(INDEX(Origem!$AB$10:$AB$509,MATCH($A130,Origem!$A$10:$A$509,0))="",INDEX(Origem!$AB$10:$AB$509,MATCH($A130,Origem!$A$10:$A$509,0))="—"),"Origem: sem classificação","Origem: "&amp;INDEX(Origem!$AB$10:$AB$509,MATCH($A130,Origem!$A$10:$A$509,0))&amp;IF(INDEX(Origem!$AC$10:$AC$509,MATCH($A130,Origem!$A$10:$A$509,0))=""," (sem pontuação)"," • "&amp;INDEX(Origem!$AC$10:$AC$509,MATCH($A130,Origem!$A$10:$A$509,0))&amp;" pontos")),"Origem: sem classificação"))</f>
        <v/>
      </c>
      <c r="F130" s="10"/>
      <c r="G130" s="6"/>
    </row>
    <row r="131" spans="1:7" ht="48" customHeight="1">
      <c r="A131" s="7"/>
      <c r="B131" s="6"/>
      <c r="C131" s="6"/>
      <c r="D131" s="6"/>
      <c r="E131" s="6" t="str">
        <f>IF($A131="","",IFERROR(INDEX(Processos!$AR$10:$AR$509,MATCH($A131,Processos!$A$10:$A$509,0)),"")&amp;CHAR(10)&amp;IFERROR(IF(OR(INDEX(Origem!$AB$10:$AB$509,MATCH($A131,Origem!$A$10:$A$509,0))="",INDEX(Origem!$AB$10:$AB$509,MATCH($A131,Origem!$A$10:$A$509,0))="—"),"Origem: sem classificação","Origem: "&amp;INDEX(Origem!$AB$10:$AB$509,MATCH($A131,Origem!$A$10:$A$509,0))&amp;IF(INDEX(Origem!$AC$10:$AC$509,MATCH($A131,Origem!$A$10:$A$509,0))=""," (sem pontuação)"," • "&amp;INDEX(Origem!$AC$10:$AC$509,MATCH($A131,Origem!$A$10:$A$509,0))&amp;" pontos")),"Origem: sem classificação"))</f>
        <v/>
      </c>
      <c r="F131" s="10"/>
      <c r="G131" s="6"/>
    </row>
    <row r="132" spans="1:7" ht="48" customHeight="1">
      <c r="A132" s="7"/>
      <c r="B132" s="6"/>
      <c r="C132" s="6"/>
      <c r="D132" s="6"/>
      <c r="E132" s="6" t="str">
        <f>IF($A132="","",IFERROR(INDEX(Processos!$AR$10:$AR$509,MATCH($A132,Processos!$A$10:$A$509,0)),"")&amp;CHAR(10)&amp;IFERROR(IF(OR(INDEX(Origem!$AB$10:$AB$509,MATCH($A132,Origem!$A$10:$A$509,0))="",INDEX(Origem!$AB$10:$AB$509,MATCH($A132,Origem!$A$10:$A$509,0))="—"),"Origem: sem classificação","Origem: "&amp;INDEX(Origem!$AB$10:$AB$509,MATCH($A132,Origem!$A$10:$A$509,0))&amp;IF(INDEX(Origem!$AC$10:$AC$509,MATCH($A132,Origem!$A$10:$A$509,0))=""," (sem pontuação)"," • "&amp;INDEX(Origem!$AC$10:$AC$509,MATCH($A132,Origem!$A$10:$A$509,0))&amp;" pontos")),"Origem: sem classificação"))</f>
        <v/>
      </c>
      <c r="F132" s="10"/>
      <c r="G132" s="6"/>
    </row>
    <row r="133" spans="1:7" ht="48" customHeight="1">
      <c r="A133" s="7"/>
      <c r="B133" s="6"/>
      <c r="C133" s="6"/>
      <c r="D133" s="6"/>
      <c r="E133" s="6" t="str">
        <f>IF($A133="","",IFERROR(INDEX(Processos!$AR$10:$AR$509,MATCH($A133,Processos!$A$10:$A$509,0)),"")&amp;CHAR(10)&amp;IFERROR(IF(OR(INDEX(Origem!$AB$10:$AB$509,MATCH($A133,Origem!$A$10:$A$509,0))="",INDEX(Origem!$AB$10:$AB$509,MATCH($A133,Origem!$A$10:$A$509,0))="—"),"Origem: sem classificação","Origem: "&amp;INDEX(Origem!$AB$10:$AB$509,MATCH($A133,Origem!$A$10:$A$509,0))&amp;IF(INDEX(Origem!$AC$10:$AC$509,MATCH($A133,Origem!$A$10:$A$509,0))=""," (sem pontuação)"," • "&amp;INDEX(Origem!$AC$10:$AC$509,MATCH($A133,Origem!$A$10:$A$509,0))&amp;" pontos")),"Origem: sem classificação"))</f>
        <v/>
      </c>
      <c r="F133" s="10"/>
      <c r="G133" s="6"/>
    </row>
    <row r="134" spans="1:7" ht="48" customHeight="1">
      <c r="A134" s="7"/>
      <c r="B134" s="6"/>
      <c r="C134" s="6"/>
      <c r="D134" s="6"/>
      <c r="E134" s="6" t="str">
        <f>IF($A134="","",IFERROR(INDEX(Processos!$AR$10:$AR$509,MATCH($A134,Processos!$A$10:$A$509,0)),"")&amp;CHAR(10)&amp;IFERROR(IF(OR(INDEX(Origem!$AB$10:$AB$509,MATCH($A134,Origem!$A$10:$A$509,0))="",INDEX(Origem!$AB$10:$AB$509,MATCH($A134,Origem!$A$10:$A$509,0))="—"),"Origem: sem classificação","Origem: "&amp;INDEX(Origem!$AB$10:$AB$509,MATCH($A134,Origem!$A$10:$A$509,0))&amp;IF(INDEX(Origem!$AC$10:$AC$509,MATCH($A134,Origem!$A$10:$A$509,0))=""," (sem pontuação)"," • "&amp;INDEX(Origem!$AC$10:$AC$509,MATCH($A134,Origem!$A$10:$A$509,0))&amp;" pontos")),"Origem: sem classificação"))</f>
        <v/>
      </c>
      <c r="F134" s="10"/>
      <c r="G134" s="6"/>
    </row>
    <row r="135" spans="1:7" ht="48" customHeight="1">
      <c r="A135" s="7"/>
      <c r="B135" s="6"/>
      <c r="C135" s="6"/>
      <c r="D135" s="6"/>
      <c r="E135" s="6" t="str">
        <f>IF($A135="","",IFERROR(INDEX(Processos!$AR$10:$AR$509,MATCH($A135,Processos!$A$10:$A$509,0)),"")&amp;CHAR(10)&amp;IFERROR(IF(OR(INDEX(Origem!$AB$10:$AB$509,MATCH($A135,Origem!$A$10:$A$509,0))="",INDEX(Origem!$AB$10:$AB$509,MATCH($A135,Origem!$A$10:$A$509,0))="—"),"Origem: sem classificação","Origem: "&amp;INDEX(Origem!$AB$10:$AB$509,MATCH($A135,Origem!$A$10:$A$509,0))&amp;IF(INDEX(Origem!$AC$10:$AC$509,MATCH($A135,Origem!$A$10:$A$509,0))=""," (sem pontuação)"," • "&amp;INDEX(Origem!$AC$10:$AC$509,MATCH($A135,Origem!$A$10:$A$509,0))&amp;" pontos")),"Origem: sem classificação"))</f>
        <v/>
      </c>
      <c r="F135" s="10"/>
      <c r="G135" s="6"/>
    </row>
    <row r="136" spans="1:7" ht="48" customHeight="1">
      <c r="A136" s="7"/>
      <c r="B136" s="6"/>
      <c r="C136" s="6"/>
      <c r="D136" s="6"/>
      <c r="E136" s="6" t="str">
        <f>IF($A136="","",IFERROR(INDEX(Processos!$AR$10:$AR$509,MATCH($A136,Processos!$A$10:$A$509,0)),"")&amp;CHAR(10)&amp;IFERROR(IF(OR(INDEX(Origem!$AB$10:$AB$509,MATCH($A136,Origem!$A$10:$A$509,0))="",INDEX(Origem!$AB$10:$AB$509,MATCH($A136,Origem!$A$10:$A$509,0))="—"),"Origem: sem classificação","Origem: "&amp;INDEX(Origem!$AB$10:$AB$509,MATCH($A136,Origem!$A$10:$A$509,0))&amp;IF(INDEX(Origem!$AC$10:$AC$509,MATCH($A136,Origem!$A$10:$A$509,0))=""," (sem pontuação)"," • "&amp;INDEX(Origem!$AC$10:$AC$509,MATCH($A136,Origem!$A$10:$A$509,0))&amp;" pontos")),"Origem: sem classificação"))</f>
        <v/>
      </c>
      <c r="F136" s="10"/>
      <c r="G136" s="6"/>
    </row>
    <row r="137" spans="1:7" ht="48" customHeight="1">
      <c r="A137" s="7"/>
      <c r="B137" s="6"/>
      <c r="C137" s="6"/>
      <c r="D137" s="6"/>
      <c r="E137" s="6" t="str">
        <f>IF($A137="","",IFERROR(INDEX(Processos!$AR$10:$AR$509,MATCH($A137,Processos!$A$10:$A$509,0)),"")&amp;CHAR(10)&amp;IFERROR(IF(OR(INDEX(Origem!$AB$10:$AB$509,MATCH($A137,Origem!$A$10:$A$509,0))="",INDEX(Origem!$AB$10:$AB$509,MATCH($A137,Origem!$A$10:$A$509,0))="—"),"Origem: sem classificação","Origem: "&amp;INDEX(Origem!$AB$10:$AB$509,MATCH($A137,Origem!$A$10:$A$509,0))&amp;IF(INDEX(Origem!$AC$10:$AC$509,MATCH($A137,Origem!$A$10:$A$509,0))=""," (sem pontuação)"," • "&amp;INDEX(Origem!$AC$10:$AC$509,MATCH($A137,Origem!$A$10:$A$509,0))&amp;" pontos")),"Origem: sem classificação"))</f>
        <v/>
      </c>
      <c r="F137" s="10"/>
      <c r="G137" s="6"/>
    </row>
    <row r="138" spans="1:7" ht="48" customHeight="1">
      <c r="A138" s="7"/>
      <c r="B138" s="6"/>
      <c r="C138" s="6"/>
      <c r="D138" s="6"/>
      <c r="E138" s="6" t="str">
        <f>IF($A138="","",IFERROR(INDEX(Processos!$AR$10:$AR$509,MATCH($A138,Processos!$A$10:$A$509,0)),"")&amp;CHAR(10)&amp;IFERROR(IF(OR(INDEX(Origem!$AB$10:$AB$509,MATCH($A138,Origem!$A$10:$A$509,0))="",INDEX(Origem!$AB$10:$AB$509,MATCH($A138,Origem!$A$10:$A$509,0))="—"),"Origem: sem classificação","Origem: "&amp;INDEX(Origem!$AB$10:$AB$509,MATCH($A138,Origem!$A$10:$A$509,0))&amp;IF(INDEX(Origem!$AC$10:$AC$509,MATCH($A138,Origem!$A$10:$A$509,0))=""," (sem pontuação)"," • "&amp;INDEX(Origem!$AC$10:$AC$509,MATCH($A138,Origem!$A$10:$A$509,0))&amp;" pontos")),"Origem: sem classificação"))</f>
        <v/>
      </c>
      <c r="F138" s="10"/>
      <c r="G138" s="6"/>
    </row>
    <row r="139" spans="1:7" ht="48" customHeight="1">
      <c r="A139" s="7"/>
      <c r="B139" s="6"/>
      <c r="C139" s="6"/>
      <c r="D139" s="6"/>
      <c r="E139" s="6" t="str">
        <f>IF($A139="","",IFERROR(INDEX(Processos!$AR$10:$AR$509,MATCH($A139,Processos!$A$10:$A$509,0)),"")&amp;CHAR(10)&amp;IFERROR(IF(OR(INDEX(Origem!$AB$10:$AB$509,MATCH($A139,Origem!$A$10:$A$509,0))="",INDEX(Origem!$AB$10:$AB$509,MATCH($A139,Origem!$A$10:$A$509,0))="—"),"Origem: sem classificação","Origem: "&amp;INDEX(Origem!$AB$10:$AB$509,MATCH($A139,Origem!$A$10:$A$509,0))&amp;IF(INDEX(Origem!$AC$10:$AC$509,MATCH($A139,Origem!$A$10:$A$509,0))=""," (sem pontuação)"," • "&amp;INDEX(Origem!$AC$10:$AC$509,MATCH($A139,Origem!$A$10:$A$509,0))&amp;" pontos")),"Origem: sem classificação"))</f>
        <v/>
      </c>
      <c r="F139" s="10"/>
      <c r="G139" s="6"/>
    </row>
    <row r="140" spans="1:7" ht="48" customHeight="1">
      <c r="A140" s="7"/>
      <c r="B140" s="6"/>
      <c r="C140" s="6"/>
      <c r="D140" s="6"/>
      <c r="E140" s="6" t="str">
        <f>IF($A140="","",IFERROR(INDEX(Processos!$AR$10:$AR$509,MATCH($A140,Processos!$A$10:$A$509,0)),"")&amp;CHAR(10)&amp;IFERROR(IF(OR(INDEX(Origem!$AB$10:$AB$509,MATCH($A140,Origem!$A$10:$A$509,0))="",INDEX(Origem!$AB$10:$AB$509,MATCH($A140,Origem!$A$10:$A$509,0))="—"),"Origem: sem classificação","Origem: "&amp;INDEX(Origem!$AB$10:$AB$509,MATCH($A140,Origem!$A$10:$A$509,0))&amp;IF(INDEX(Origem!$AC$10:$AC$509,MATCH($A140,Origem!$A$10:$A$509,0))=""," (sem pontuação)"," • "&amp;INDEX(Origem!$AC$10:$AC$509,MATCH($A140,Origem!$A$10:$A$509,0))&amp;" pontos")),"Origem: sem classificação"))</f>
        <v/>
      </c>
      <c r="F140" s="10"/>
      <c r="G140" s="6"/>
    </row>
    <row r="141" spans="1:7" ht="48" customHeight="1">
      <c r="A141" s="7"/>
      <c r="B141" s="6"/>
      <c r="C141" s="6"/>
      <c r="D141" s="6"/>
      <c r="E141" s="6" t="str">
        <f>IF($A141="","",IFERROR(INDEX(Processos!$AR$10:$AR$509,MATCH($A141,Processos!$A$10:$A$509,0)),"")&amp;CHAR(10)&amp;IFERROR(IF(OR(INDEX(Origem!$AB$10:$AB$509,MATCH($A141,Origem!$A$10:$A$509,0))="",INDEX(Origem!$AB$10:$AB$509,MATCH($A141,Origem!$A$10:$A$509,0))="—"),"Origem: sem classificação","Origem: "&amp;INDEX(Origem!$AB$10:$AB$509,MATCH($A141,Origem!$A$10:$A$509,0))&amp;IF(INDEX(Origem!$AC$10:$AC$509,MATCH($A141,Origem!$A$10:$A$509,0))=""," (sem pontuação)"," • "&amp;INDEX(Origem!$AC$10:$AC$509,MATCH($A141,Origem!$A$10:$A$509,0))&amp;" pontos")),"Origem: sem classificação"))</f>
        <v/>
      </c>
      <c r="F141" s="10"/>
      <c r="G141" s="6"/>
    </row>
    <row r="142" spans="1:7" ht="48" customHeight="1">
      <c r="A142" s="7"/>
      <c r="B142" s="6"/>
      <c r="C142" s="6"/>
      <c r="D142" s="6"/>
      <c r="E142" s="6" t="str">
        <f>IF($A142="","",IFERROR(INDEX(Processos!$AR$10:$AR$509,MATCH($A142,Processos!$A$10:$A$509,0)),"")&amp;CHAR(10)&amp;IFERROR(IF(OR(INDEX(Origem!$AB$10:$AB$509,MATCH($A142,Origem!$A$10:$A$509,0))="",INDEX(Origem!$AB$10:$AB$509,MATCH($A142,Origem!$A$10:$A$509,0))="—"),"Origem: sem classificação","Origem: "&amp;INDEX(Origem!$AB$10:$AB$509,MATCH($A142,Origem!$A$10:$A$509,0))&amp;IF(INDEX(Origem!$AC$10:$AC$509,MATCH($A142,Origem!$A$10:$A$509,0))=""," (sem pontuação)"," • "&amp;INDEX(Origem!$AC$10:$AC$509,MATCH($A142,Origem!$A$10:$A$509,0))&amp;" pontos")),"Origem: sem classificação"))</f>
        <v/>
      </c>
      <c r="F142" s="10"/>
      <c r="G142" s="6"/>
    </row>
    <row r="143" spans="1:7" ht="48" customHeight="1">
      <c r="A143" s="7"/>
      <c r="B143" s="6"/>
      <c r="C143" s="6"/>
      <c r="D143" s="6"/>
      <c r="E143" s="6" t="str">
        <f>IF($A143="","",IFERROR(INDEX(Processos!$AR$10:$AR$509,MATCH($A143,Processos!$A$10:$A$509,0)),"")&amp;CHAR(10)&amp;IFERROR(IF(OR(INDEX(Origem!$AB$10:$AB$509,MATCH($A143,Origem!$A$10:$A$509,0))="",INDEX(Origem!$AB$10:$AB$509,MATCH($A143,Origem!$A$10:$A$509,0))="—"),"Origem: sem classificação","Origem: "&amp;INDEX(Origem!$AB$10:$AB$509,MATCH($A143,Origem!$A$10:$A$509,0))&amp;IF(INDEX(Origem!$AC$10:$AC$509,MATCH($A143,Origem!$A$10:$A$509,0))=""," (sem pontuação)"," • "&amp;INDEX(Origem!$AC$10:$AC$509,MATCH($A143,Origem!$A$10:$A$509,0))&amp;" pontos")),"Origem: sem classificação"))</f>
        <v/>
      </c>
      <c r="F143" s="10"/>
      <c r="G143" s="6"/>
    </row>
    <row r="144" spans="1:7" ht="48" customHeight="1">
      <c r="A144" s="7"/>
      <c r="B144" s="6"/>
      <c r="C144" s="6"/>
      <c r="D144" s="6"/>
      <c r="E144" s="6" t="str">
        <f>IF($A144="","",IFERROR(INDEX(Processos!$AR$10:$AR$509,MATCH($A144,Processos!$A$10:$A$509,0)),"")&amp;CHAR(10)&amp;IFERROR(IF(OR(INDEX(Origem!$AB$10:$AB$509,MATCH($A144,Origem!$A$10:$A$509,0))="",INDEX(Origem!$AB$10:$AB$509,MATCH($A144,Origem!$A$10:$A$509,0))="—"),"Origem: sem classificação","Origem: "&amp;INDEX(Origem!$AB$10:$AB$509,MATCH($A144,Origem!$A$10:$A$509,0))&amp;IF(INDEX(Origem!$AC$10:$AC$509,MATCH($A144,Origem!$A$10:$A$509,0))=""," (sem pontuação)"," • "&amp;INDEX(Origem!$AC$10:$AC$509,MATCH($A144,Origem!$A$10:$A$509,0))&amp;" pontos")),"Origem: sem classificação"))</f>
        <v/>
      </c>
      <c r="F144" s="10"/>
      <c r="G144" s="6"/>
    </row>
    <row r="145" spans="1:7" ht="48" customHeight="1">
      <c r="A145" s="7"/>
      <c r="B145" s="6"/>
      <c r="C145" s="6"/>
      <c r="D145" s="6"/>
      <c r="E145" s="6" t="str">
        <f>IF($A145="","",IFERROR(INDEX(Processos!$AR$10:$AR$509,MATCH($A145,Processos!$A$10:$A$509,0)),"")&amp;CHAR(10)&amp;IFERROR(IF(OR(INDEX(Origem!$AB$10:$AB$509,MATCH($A145,Origem!$A$10:$A$509,0))="",INDEX(Origem!$AB$10:$AB$509,MATCH($A145,Origem!$A$10:$A$509,0))="—"),"Origem: sem classificação","Origem: "&amp;INDEX(Origem!$AB$10:$AB$509,MATCH($A145,Origem!$A$10:$A$509,0))&amp;IF(INDEX(Origem!$AC$10:$AC$509,MATCH($A145,Origem!$A$10:$A$509,0))=""," (sem pontuação)"," • "&amp;INDEX(Origem!$AC$10:$AC$509,MATCH($A145,Origem!$A$10:$A$509,0))&amp;" pontos")),"Origem: sem classificação"))</f>
        <v/>
      </c>
      <c r="F145" s="10"/>
      <c r="G145" s="6"/>
    </row>
    <row r="146" spans="1:7" ht="48" customHeight="1">
      <c r="A146" s="7"/>
      <c r="B146" s="6"/>
      <c r="C146" s="6"/>
      <c r="D146" s="6"/>
      <c r="E146" s="6" t="str">
        <f>IF($A146="","",IFERROR(INDEX(Processos!$AR$10:$AR$509,MATCH($A146,Processos!$A$10:$A$509,0)),"")&amp;CHAR(10)&amp;IFERROR(IF(OR(INDEX(Origem!$AB$10:$AB$509,MATCH($A146,Origem!$A$10:$A$509,0))="",INDEX(Origem!$AB$10:$AB$509,MATCH($A146,Origem!$A$10:$A$509,0))="—"),"Origem: sem classificação","Origem: "&amp;INDEX(Origem!$AB$10:$AB$509,MATCH($A146,Origem!$A$10:$A$509,0))&amp;IF(INDEX(Origem!$AC$10:$AC$509,MATCH($A146,Origem!$A$10:$A$509,0))=""," (sem pontuação)"," • "&amp;INDEX(Origem!$AC$10:$AC$509,MATCH($A146,Origem!$A$10:$A$509,0))&amp;" pontos")),"Origem: sem classificação"))</f>
        <v/>
      </c>
      <c r="F146" s="10"/>
      <c r="G146" s="6"/>
    </row>
    <row r="147" spans="1:7" ht="48" customHeight="1">
      <c r="A147" s="7"/>
      <c r="B147" s="6"/>
      <c r="C147" s="6"/>
      <c r="D147" s="6"/>
      <c r="E147" s="6" t="str">
        <f>IF($A147="","",IFERROR(INDEX(Processos!$AR$10:$AR$509,MATCH($A147,Processos!$A$10:$A$509,0)),"")&amp;CHAR(10)&amp;IFERROR(IF(OR(INDEX(Origem!$AB$10:$AB$509,MATCH($A147,Origem!$A$10:$A$509,0))="",INDEX(Origem!$AB$10:$AB$509,MATCH($A147,Origem!$A$10:$A$509,0))="—"),"Origem: sem classificação","Origem: "&amp;INDEX(Origem!$AB$10:$AB$509,MATCH($A147,Origem!$A$10:$A$509,0))&amp;IF(INDEX(Origem!$AC$10:$AC$509,MATCH($A147,Origem!$A$10:$A$509,0))=""," (sem pontuação)"," • "&amp;INDEX(Origem!$AC$10:$AC$509,MATCH($A147,Origem!$A$10:$A$509,0))&amp;" pontos")),"Origem: sem classificação"))</f>
        <v/>
      </c>
      <c r="F147" s="10"/>
      <c r="G147" s="6"/>
    </row>
    <row r="148" spans="1:7" ht="48" customHeight="1">
      <c r="A148" s="7"/>
      <c r="B148" s="6"/>
      <c r="C148" s="6"/>
      <c r="D148" s="6"/>
      <c r="E148" s="6" t="str">
        <f>IF($A148="","",IFERROR(INDEX(Processos!$AR$10:$AR$509,MATCH($A148,Processos!$A$10:$A$509,0)),"")&amp;CHAR(10)&amp;IFERROR(IF(OR(INDEX(Origem!$AB$10:$AB$509,MATCH($A148,Origem!$A$10:$A$509,0))="",INDEX(Origem!$AB$10:$AB$509,MATCH($A148,Origem!$A$10:$A$509,0))="—"),"Origem: sem classificação","Origem: "&amp;INDEX(Origem!$AB$10:$AB$509,MATCH($A148,Origem!$A$10:$A$509,0))&amp;IF(INDEX(Origem!$AC$10:$AC$509,MATCH($A148,Origem!$A$10:$A$509,0))=""," (sem pontuação)"," • "&amp;INDEX(Origem!$AC$10:$AC$509,MATCH($A148,Origem!$A$10:$A$509,0))&amp;" pontos")),"Origem: sem classificação"))</f>
        <v/>
      </c>
      <c r="F148" s="10"/>
      <c r="G148" s="6"/>
    </row>
    <row r="149" spans="1:7" ht="48" customHeight="1">
      <c r="A149" s="7"/>
      <c r="B149" s="6"/>
      <c r="C149" s="6"/>
      <c r="D149" s="6"/>
      <c r="E149" s="6" t="str">
        <f>IF($A149="","",IFERROR(INDEX(Processos!$AR$10:$AR$509,MATCH($A149,Processos!$A$10:$A$509,0)),"")&amp;CHAR(10)&amp;IFERROR(IF(OR(INDEX(Origem!$AB$10:$AB$509,MATCH($A149,Origem!$A$10:$A$509,0))="",INDEX(Origem!$AB$10:$AB$509,MATCH($A149,Origem!$A$10:$A$509,0))="—"),"Origem: sem classificação","Origem: "&amp;INDEX(Origem!$AB$10:$AB$509,MATCH($A149,Origem!$A$10:$A$509,0))&amp;IF(INDEX(Origem!$AC$10:$AC$509,MATCH($A149,Origem!$A$10:$A$509,0))=""," (sem pontuação)"," • "&amp;INDEX(Origem!$AC$10:$AC$509,MATCH($A149,Origem!$A$10:$A$509,0))&amp;" pontos")),"Origem: sem classificação"))</f>
        <v/>
      </c>
      <c r="F149" s="10"/>
      <c r="G149" s="6"/>
    </row>
    <row r="150" spans="1:7" ht="48" customHeight="1">
      <c r="A150" s="7"/>
      <c r="B150" s="6"/>
      <c r="C150" s="6"/>
      <c r="D150" s="6"/>
      <c r="E150" s="6" t="str">
        <f>IF($A150="","",IFERROR(INDEX(Processos!$AR$10:$AR$509,MATCH($A150,Processos!$A$10:$A$509,0)),"")&amp;CHAR(10)&amp;IFERROR(IF(OR(INDEX(Origem!$AB$10:$AB$509,MATCH($A150,Origem!$A$10:$A$509,0))="",INDEX(Origem!$AB$10:$AB$509,MATCH($A150,Origem!$A$10:$A$509,0))="—"),"Origem: sem classificação","Origem: "&amp;INDEX(Origem!$AB$10:$AB$509,MATCH($A150,Origem!$A$10:$A$509,0))&amp;IF(INDEX(Origem!$AC$10:$AC$509,MATCH($A150,Origem!$A$10:$A$509,0))=""," (sem pontuação)"," • "&amp;INDEX(Origem!$AC$10:$AC$509,MATCH($A150,Origem!$A$10:$A$509,0))&amp;" pontos")),"Origem: sem classificação"))</f>
        <v/>
      </c>
      <c r="F150" s="10"/>
      <c r="G150" s="6"/>
    </row>
    <row r="151" spans="1:7" ht="48" customHeight="1">
      <c r="A151" s="7"/>
      <c r="B151" s="6"/>
      <c r="C151" s="6"/>
      <c r="D151" s="6"/>
      <c r="E151" s="6" t="str">
        <f>IF($A151="","",IFERROR(INDEX(Processos!$AR$10:$AR$509,MATCH($A151,Processos!$A$10:$A$509,0)),"")&amp;CHAR(10)&amp;IFERROR(IF(OR(INDEX(Origem!$AB$10:$AB$509,MATCH($A151,Origem!$A$10:$A$509,0))="",INDEX(Origem!$AB$10:$AB$509,MATCH($A151,Origem!$A$10:$A$509,0))="—"),"Origem: sem classificação","Origem: "&amp;INDEX(Origem!$AB$10:$AB$509,MATCH($A151,Origem!$A$10:$A$509,0))&amp;IF(INDEX(Origem!$AC$10:$AC$509,MATCH($A151,Origem!$A$10:$A$509,0))=""," (sem pontuação)"," • "&amp;INDEX(Origem!$AC$10:$AC$509,MATCH($A151,Origem!$A$10:$A$509,0))&amp;" pontos")),"Origem: sem classificação"))</f>
        <v/>
      </c>
      <c r="F151" s="10"/>
      <c r="G151" s="6"/>
    </row>
    <row r="152" spans="1:7" ht="48" customHeight="1">
      <c r="A152" s="7"/>
      <c r="B152" s="6"/>
      <c r="C152" s="6"/>
      <c r="D152" s="6"/>
      <c r="E152" s="6" t="str">
        <f>IF($A152="","",IFERROR(INDEX(Processos!$AR$10:$AR$509,MATCH($A152,Processos!$A$10:$A$509,0)),"")&amp;CHAR(10)&amp;IFERROR(IF(OR(INDEX(Origem!$AB$10:$AB$509,MATCH($A152,Origem!$A$10:$A$509,0))="",INDEX(Origem!$AB$10:$AB$509,MATCH($A152,Origem!$A$10:$A$509,0))="—"),"Origem: sem classificação","Origem: "&amp;INDEX(Origem!$AB$10:$AB$509,MATCH($A152,Origem!$A$10:$A$509,0))&amp;IF(INDEX(Origem!$AC$10:$AC$509,MATCH($A152,Origem!$A$10:$A$509,0))=""," (sem pontuação)"," • "&amp;INDEX(Origem!$AC$10:$AC$509,MATCH($A152,Origem!$A$10:$A$509,0))&amp;" pontos")),"Origem: sem classificação"))</f>
        <v/>
      </c>
      <c r="F152" s="10"/>
      <c r="G152" s="6"/>
    </row>
    <row r="153" spans="1:7" ht="48" customHeight="1">
      <c r="A153" s="7"/>
      <c r="B153" s="6"/>
      <c r="C153" s="6"/>
      <c r="D153" s="6"/>
      <c r="E153" s="6" t="str">
        <f>IF($A153="","",IFERROR(INDEX(Processos!$AR$10:$AR$509,MATCH($A153,Processos!$A$10:$A$509,0)),"")&amp;CHAR(10)&amp;IFERROR(IF(OR(INDEX(Origem!$AB$10:$AB$509,MATCH($A153,Origem!$A$10:$A$509,0))="",INDEX(Origem!$AB$10:$AB$509,MATCH($A153,Origem!$A$10:$A$509,0))="—"),"Origem: sem classificação","Origem: "&amp;INDEX(Origem!$AB$10:$AB$509,MATCH($A153,Origem!$A$10:$A$509,0))&amp;IF(INDEX(Origem!$AC$10:$AC$509,MATCH($A153,Origem!$A$10:$A$509,0))=""," (sem pontuação)"," • "&amp;INDEX(Origem!$AC$10:$AC$509,MATCH($A153,Origem!$A$10:$A$509,0))&amp;" pontos")),"Origem: sem classificação"))</f>
        <v/>
      </c>
      <c r="F153" s="10"/>
      <c r="G153" s="6"/>
    </row>
    <row r="154" spans="1:7" ht="48" customHeight="1">
      <c r="A154" s="7"/>
      <c r="B154" s="6"/>
      <c r="C154" s="6"/>
      <c r="D154" s="6"/>
      <c r="E154" s="6" t="str">
        <f>IF($A154="","",IFERROR(INDEX(Processos!$AR$10:$AR$509,MATCH($A154,Processos!$A$10:$A$509,0)),"")&amp;CHAR(10)&amp;IFERROR(IF(OR(INDEX(Origem!$AB$10:$AB$509,MATCH($A154,Origem!$A$10:$A$509,0))="",INDEX(Origem!$AB$10:$AB$509,MATCH($A154,Origem!$A$10:$A$509,0))="—"),"Origem: sem classificação","Origem: "&amp;INDEX(Origem!$AB$10:$AB$509,MATCH($A154,Origem!$A$10:$A$509,0))&amp;IF(INDEX(Origem!$AC$10:$AC$509,MATCH($A154,Origem!$A$10:$A$509,0))=""," (sem pontuação)"," • "&amp;INDEX(Origem!$AC$10:$AC$509,MATCH($A154,Origem!$A$10:$A$509,0))&amp;" pontos")),"Origem: sem classificação"))</f>
        <v/>
      </c>
      <c r="F154" s="10"/>
      <c r="G154" s="6"/>
    </row>
    <row r="155" spans="1:7" ht="48" customHeight="1">
      <c r="A155" s="7"/>
      <c r="B155" s="6"/>
      <c r="C155" s="6"/>
      <c r="D155" s="6"/>
      <c r="E155" s="6" t="str">
        <f>IF($A155="","",IFERROR(INDEX(Processos!$AR$10:$AR$509,MATCH($A155,Processos!$A$10:$A$509,0)),"")&amp;CHAR(10)&amp;IFERROR(IF(OR(INDEX(Origem!$AB$10:$AB$509,MATCH($A155,Origem!$A$10:$A$509,0))="",INDEX(Origem!$AB$10:$AB$509,MATCH($A155,Origem!$A$10:$A$509,0))="—"),"Origem: sem classificação","Origem: "&amp;INDEX(Origem!$AB$10:$AB$509,MATCH($A155,Origem!$A$10:$A$509,0))&amp;IF(INDEX(Origem!$AC$10:$AC$509,MATCH($A155,Origem!$A$10:$A$509,0))=""," (sem pontuação)"," • "&amp;INDEX(Origem!$AC$10:$AC$509,MATCH($A155,Origem!$A$10:$A$509,0))&amp;" pontos")),"Origem: sem classificação"))</f>
        <v/>
      </c>
      <c r="F155" s="10"/>
      <c r="G155" s="6"/>
    </row>
    <row r="156" spans="1:7" ht="48" customHeight="1">
      <c r="A156" s="7"/>
      <c r="B156" s="6"/>
      <c r="C156" s="6"/>
      <c r="D156" s="6"/>
      <c r="E156" s="6" t="str">
        <f>IF($A156="","",IFERROR(INDEX(Processos!$AR$10:$AR$509,MATCH($A156,Processos!$A$10:$A$509,0)),"")&amp;CHAR(10)&amp;IFERROR(IF(OR(INDEX(Origem!$AB$10:$AB$509,MATCH($A156,Origem!$A$10:$A$509,0))="",INDEX(Origem!$AB$10:$AB$509,MATCH($A156,Origem!$A$10:$A$509,0))="—"),"Origem: sem classificação","Origem: "&amp;INDEX(Origem!$AB$10:$AB$509,MATCH($A156,Origem!$A$10:$A$509,0))&amp;IF(INDEX(Origem!$AC$10:$AC$509,MATCH($A156,Origem!$A$10:$A$509,0))=""," (sem pontuação)"," • "&amp;INDEX(Origem!$AC$10:$AC$509,MATCH($A156,Origem!$A$10:$A$509,0))&amp;" pontos")),"Origem: sem classificação"))</f>
        <v/>
      </c>
      <c r="F156" s="10"/>
      <c r="G156" s="6"/>
    </row>
    <row r="157" spans="1:7" ht="48" customHeight="1">
      <c r="A157" s="7"/>
      <c r="B157" s="6"/>
      <c r="C157" s="6"/>
      <c r="D157" s="6"/>
      <c r="E157" s="6" t="str">
        <f>IF($A157="","",IFERROR(INDEX(Processos!$AR$10:$AR$509,MATCH($A157,Processos!$A$10:$A$509,0)),"")&amp;CHAR(10)&amp;IFERROR(IF(OR(INDEX(Origem!$AB$10:$AB$509,MATCH($A157,Origem!$A$10:$A$509,0))="",INDEX(Origem!$AB$10:$AB$509,MATCH($A157,Origem!$A$10:$A$509,0))="—"),"Origem: sem classificação","Origem: "&amp;INDEX(Origem!$AB$10:$AB$509,MATCH($A157,Origem!$A$10:$A$509,0))&amp;IF(INDEX(Origem!$AC$10:$AC$509,MATCH($A157,Origem!$A$10:$A$509,0))=""," (sem pontuação)"," • "&amp;INDEX(Origem!$AC$10:$AC$509,MATCH($A157,Origem!$A$10:$A$509,0))&amp;" pontos")),"Origem: sem classificação"))</f>
        <v/>
      </c>
      <c r="F157" s="10"/>
      <c r="G157" s="6"/>
    </row>
    <row r="158" spans="1:7" ht="48" customHeight="1">
      <c r="A158" s="7"/>
      <c r="B158" s="6"/>
      <c r="C158" s="6"/>
      <c r="D158" s="6"/>
      <c r="E158" s="6" t="str">
        <f>IF($A158="","",IFERROR(INDEX(Processos!$AR$10:$AR$509,MATCH($A158,Processos!$A$10:$A$509,0)),"")&amp;CHAR(10)&amp;IFERROR(IF(OR(INDEX(Origem!$AB$10:$AB$509,MATCH($A158,Origem!$A$10:$A$509,0))="",INDEX(Origem!$AB$10:$AB$509,MATCH($A158,Origem!$A$10:$A$509,0))="—"),"Origem: sem classificação","Origem: "&amp;INDEX(Origem!$AB$10:$AB$509,MATCH($A158,Origem!$A$10:$A$509,0))&amp;IF(INDEX(Origem!$AC$10:$AC$509,MATCH($A158,Origem!$A$10:$A$509,0))=""," (sem pontuação)"," • "&amp;INDEX(Origem!$AC$10:$AC$509,MATCH($A158,Origem!$A$10:$A$509,0))&amp;" pontos")),"Origem: sem classificação"))</f>
        <v/>
      </c>
      <c r="F158" s="10"/>
      <c r="G158" s="6"/>
    </row>
    <row r="159" spans="1:7" ht="48" customHeight="1">
      <c r="A159" s="7"/>
      <c r="B159" s="6"/>
      <c r="C159" s="6"/>
      <c r="D159" s="6"/>
      <c r="E159" s="6" t="str">
        <f>IF($A159="","",IFERROR(INDEX(Processos!$AR$10:$AR$509,MATCH($A159,Processos!$A$10:$A$509,0)),"")&amp;CHAR(10)&amp;IFERROR(IF(OR(INDEX(Origem!$AB$10:$AB$509,MATCH($A159,Origem!$A$10:$A$509,0))="",INDEX(Origem!$AB$10:$AB$509,MATCH($A159,Origem!$A$10:$A$509,0))="—"),"Origem: sem classificação","Origem: "&amp;INDEX(Origem!$AB$10:$AB$509,MATCH($A159,Origem!$A$10:$A$509,0))&amp;IF(INDEX(Origem!$AC$10:$AC$509,MATCH($A159,Origem!$A$10:$A$509,0))=""," (sem pontuação)"," • "&amp;INDEX(Origem!$AC$10:$AC$509,MATCH($A159,Origem!$A$10:$A$509,0))&amp;" pontos")),"Origem: sem classificação"))</f>
        <v/>
      </c>
      <c r="F159" s="10"/>
      <c r="G159" s="6"/>
    </row>
    <row r="160" spans="1:7" ht="48" customHeight="1">
      <c r="A160" s="7"/>
      <c r="B160" s="6"/>
      <c r="C160" s="6"/>
      <c r="D160" s="6"/>
      <c r="E160" s="6" t="str">
        <f>IF($A160="","",IFERROR(INDEX(Processos!$AR$10:$AR$509,MATCH($A160,Processos!$A$10:$A$509,0)),"")&amp;CHAR(10)&amp;IFERROR(IF(OR(INDEX(Origem!$AB$10:$AB$509,MATCH($A160,Origem!$A$10:$A$509,0))="",INDEX(Origem!$AB$10:$AB$509,MATCH($A160,Origem!$A$10:$A$509,0))="—"),"Origem: sem classificação","Origem: "&amp;INDEX(Origem!$AB$10:$AB$509,MATCH($A160,Origem!$A$10:$A$509,0))&amp;IF(INDEX(Origem!$AC$10:$AC$509,MATCH($A160,Origem!$A$10:$A$509,0))=""," (sem pontuação)"," • "&amp;INDEX(Origem!$AC$10:$AC$509,MATCH($A160,Origem!$A$10:$A$509,0))&amp;" pontos")),"Origem: sem classificação"))</f>
        <v/>
      </c>
      <c r="F160" s="10"/>
      <c r="G160" s="6"/>
    </row>
    <row r="161" spans="1:7" ht="48" customHeight="1">
      <c r="A161" s="7"/>
      <c r="B161" s="6"/>
      <c r="C161" s="6"/>
      <c r="D161" s="6"/>
      <c r="E161" s="6" t="str">
        <f>IF($A161="","",IFERROR(INDEX(Processos!$AR$10:$AR$509,MATCH($A161,Processos!$A$10:$A$509,0)),"")&amp;CHAR(10)&amp;IFERROR(IF(OR(INDEX(Origem!$AB$10:$AB$509,MATCH($A161,Origem!$A$10:$A$509,0))="",INDEX(Origem!$AB$10:$AB$509,MATCH($A161,Origem!$A$10:$A$509,0))="—"),"Origem: sem classificação","Origem: "&amp;INDEX(Origem!$AB$10:$AB$509,MATCH($A161,Origem!$A$10:$A$509,0))&amp;IF(INDEX(Origem!$AC$10:$AC$509,MATCH($A161,Origem!$A$10:$A$509,0))=""," (sem pontuação)"," • "&amp;INDEX(Origem!$AC$10:$AC$509,MATCH($A161,Origem!$A$10:$A$509,0))&amp;" pontos")),"Origem: sem classificação"))</f>
        <v/>
      </c>
      <c r="F161" s="10"/>
      <c r="G161" s="6"/>
    </row>
    <row r="162" spans="1:7" ht="48" customHeight="1">
      <c r="A162" s="7"/>
      <c r="B162" s="6"/>
      <c r="C162" s="6"/>
      <c r="D162" s="6"/>
      <c r="E162" s="6" t="str">
        <f>IF($A162="","",IFERROR(INDEX(Processos!$AR$10:$AR$509,MATCH($A162,Processos!$A$10:$A$509,0)),"")&amp;CHAR(10)&amp;IFERROR(IF(OR(INDEX(Origem!$AB$10:$AB$509,MATCH($A162,Origem!$A$10:$A$509,0))="",INDEX(Origem!$AB$10:$AB$509,MATCH($A162,Origem!$A$10:$A$509,0))="—"),"Origem: sem classificação","Origem: "&amp;INDEX(Origem!$AB$10:$AB$509,MATCH($A162,Origem!$A$10:$A$509,0))&amp;IF(INDEX(Origem!$AC$10:$AC$509,MATCH($A162,Origem!$A$10:$A$509,0))=""," (sem pontuação)"," • "&amp;INDEX(Origem!$AC$10:$AC$509,MATCH($A162,Origem!$A$10:$A$509,0))&amp;" pontos")),"Origem: sem classificação"))</f>
        <v/>
      </c>
      <c r="F162" s="10"/>
      <c r="G162" s="6"/>
    </row>
    <row r="163" spans="1:7" ht="48" customHeight="1">
      <c r="A163" s="7"/>
      <c r="B163" s="6"/>
      <c r="C163" s="6"/>
      <c r="D163" s="6"/>
      <c r="E163" s="6" t="str">
        <f>IF($A163="","",IFERROR(INDEX(Processos!$AR$10:$AR$509,MATCH($A163,Processos!$A$10:$A$509,0)),"")&amp;CHAR(10)&amp;IFERROR(IF(OR(INDEX(Origem!$AB$10:$AB$509,MATCH($A163,Origem!$A$10:$A$509,0))="",INDEX(Origem!$AB$10:$AB$509,MATCH($A163,Origem!$A$10:$A$509,0))="—"),"Origem: sem classificação","Origem: "&amp;INDEX(Origem!$AB$10:$AB$509,MATCH($A163,Origem!$A$10:$A$509,0))&amp;IF(INDEX(Origem!$AC$10:$AC$509,MATCH($A163,Origem!$A$10:$A$509,0))=""," (sem pontuação)"," • "&amp;INDEX(Origem!$AC$10:$AC$509,MATCH($A163,Origem!$A$10:$A$509,0))&amp;" pontos")),"Origem: sem classificação"))</f>
        <v/>
      </c>
      <c r="F163" s="10"/>
      <c r="G163" s="6"/>
    </row>
    <row r="164" spans="1:7" ht="48" customHeight="1">
      <c r="A164" s="7"/>
      <c r="B164" s="6"/>
      <c r="C164" s="6"/>
      <c r="D164" s="6"/>
      <c r="E164" s="6" t="str">
        <f>IF($A164="","",IFERROR(INDEX(Processos!$AR$10:$AR$509,MATCH($A164,Processos!$A$10:$A$509,0)),"")&amp;CHAR(10)&amp;IFERROR(IF(OR(INDEX(Origem!$AB$10:$AB$509,MATCH($A164,Origem!$A$10:$A$509,0))="",INDEX(Origem!$AB$10:$AB$509,MATCH($A164,Origem!$A$10:$A$509,0))="—"),"Origem: sem classificação","Origem: "&amp;INDEX(Origem!$AB$10:$AB$509,MATCH($A164,Origem!$A$10:$A$509,0))&amp;IF(INDEX(Origem!$AC$10:$AC$509,MATCH($A164,Origem!$A$10:$A$509,0))=""," (sem pontuação)"," • "&amp;INDEX(Origem!$AC$10:$AC$509,MATCH($A164,Origem!$A$10:$A$509,0))&amp;" pontos")),"Origem: sem classificação"))</f>
        <v/>
      </c>
      <c r="F164" s="10"/>
      <c r="G164" s="6"/>
    </row>
    <row r="165" spans="1:7" ht="48" customHeight="1">
      <c r="A165" s="7"/>
      <c r="B165" s="6"/>
      <c r="C165" s="6"/>
      <c r="D165" s="6"/>
      <c r="E165" s="6" t="str">
        <f>IF($A165="","",IFERROR(INDEX(Processos!$AR$10:$AR$509,MATCH($A165,Processos!$A$10:$A$509,0)),"")&amp;CHAR(10)&amp;IFERROR(IF(OR(INDEX(Origem!$AB$10:$AB$509,MATCH($A165,Origem!$A$10:$A$509,0))="",INDEX(Origem!$AB$10:$AB$509,MATCH($A165,Origem!$A$10:$A$509,0))="—"),"Origem: sem classificação","Origem: "&amp;INDEX(Origem!$AB$10:$AB$509,MATCH($A165,Origem!$A$10:$A$509,0))&amp;IF(INDEX(Origem!$AC$10:$AC$509,MATCH($A165,Origem!$A$10:$A$509,0))=""," (sem pontuação)"," • "&amp;INDEX(Origem!$AC$10:$AC$509,MATCH($A165,Origem!$A$10:$A$509,0))&amp;" pontos")),"Origem: sem classificação"))</f>
        <v/>
      </c>
      <c r="F165" s="10"/>
      <c r="G165" s="6"/>
    </row>
    <row r="166" spans="1:7" ht="48" customHeight="1">
      <c r="A166" s="7"/>
      <c r="B166" s="6"/>
      <c r="C166" s="6"/>
      <c r="D166" s="6"/>
      <c r="E166" s="6" t="str">
        <f>IF($A166="","",IFERROR(INDEX(Processos!$AR$10:$AR$509,MATCH($A166,Processos!$A$10:$A$509,0)),"")&amp;CHAR(10)&amp;IFERROR(IF(OR(INDEX(Origem!$AB$10:$AB$509,MATCH($A166,Origem!$A$10:$A$509,0))="",INDEX(Origem!$AB$10:$AB$509,MATCH($A166,Origem!$A$10:$A$509,0))="—"),"Origem: sem classificação","Origem: "&amp;INDEX(Origem!$AB$10:$AB$509,MATCH($A166,Origem!$A$10:$A$509,0))&amp;IF(INDEX(Origem!$AC$10:$AC$509,MATCH($A166,Origem!$A$10:$A$509,0))=""," (sem pontuação)"," • "&amp;INDEX(Origem!$AC$10:$AC$509,MATCH($A166,Origem!$A$10:$A$509,0))&amp;" pontos")),"Origem: sem classificação"))</f>
        <v/>
      </c>
      <c r="F166" s="10"/>
      <c r="G166" s="6"/>
    </row>
    <row r="167" spans="1:7" ht="48" customHeight="1">
      <c r="A167" s="7"/>
      <c r="B167" s="6"/>
      <c r="C167" s="6"/>
      <c r="D167" s="6"/>
      <c r="E167" s="6" t="str">
        <f>IF($A167="","",IFERROR(INDEX(Processos!$AR$10:$AR$509,MATCH($A167,Processos!$A$10:$A$509,0)),"")&amp;CHAR(10)&amp;IFERROR(IF(OR(INDEX(Origem!$AB$10:$AB$509,MATCH($A167,Origem!$A$10:$A$509,0))="",INDEX(Origem!$AB$10:$AB$509,MATCH($A167,Origem!$A$10:$A$509,0))="—"),"Origem: sem classificação","Origem: "&amp;INDEX(Origem!$AB$10:$AB$509,MATCH($A167,Origem!$A$10:$A$509,0))&amp;IF(INDEX(Origem!$AC$10:$AC$509,MATCH($A167,Origem!$A$10:$A$509,0))=""," (sem pontuação)"," • "&amp;INDEX(Origem!$AC$10:$AC$509,MATCH($A167,Origem!$A$10:$A$509,0))&amp;" pontos")),"Origem: sem classificação"))</f>
        <v/>
      </c>
      <c r="F167" s="10"/>
      <c r="G167" s="6"/>
    </row>
    <row r="168" spans="1:7" ht="48" customHeight="1">
      <c r="A168" s="7"/>
      <c r="B168" s="6"/>
      <c r="C168" s="6"/>
      <c r="D168" s="6"/>
      <c r="E168" s="6" t="str">
        <f>IF($A168="","",IFERROR(INDEX(Processos!$AR$10:$AR$509,MATCH($A168,Processos!$A$10:$A$509,0)),"")&amp;CHAR(10)&amp;IFERROR(IF(OR(INDEX(Origem!$AB$10:$AB$509,MATCH($A168,Origem!$A$10:$A$509,0))="",INDEX(Origem!$AB$10:$AB$509,MATCH($A168,Origem!$A$10:$A$509,0))="—"),"Origem: sem classificação","Origem: "&amp;INDEX(Origem!$AB$10:$AB$509,MATCH($A168,Origem!$A$10:$A$509,0))&amp;IF(INDEX(Origem!$AC$10:$AC$509,MATCH($A168,Origem!$A$10:$A$509,0))=""," (sem pontuação)"," • "&amp;INDEX(Origem!$AC$10:$AC$509,MATCH($A168,Origem!$A$10:$A$509,0))&amp;" pontos")),"Origem: sem classificação"))</f>
        <v/>
      </c>
      <c r="F168" s="10"/>
      <c r="G168" s="6"/>
    </row>
    <row r="169" spans="1:7" ht="48" customHeight="1">
      <c r="A169" s="7"/>
      <c r="B169" s="6"/>
      <c r="C169" s="6"/>
      <c r="D169" s="6"/>
      <c r="E169" s="6" t="str">
        <f>IF($A169="","",IFERROR(INDEX(Processos!$AR$10:$AR$509,MATCH($A169,Processos!$A$10:$A$509,0)),"")&amp;CHAR(10)&amp;IFERROR(IF(OR(INDEX(Origem!$AB$10:$AB$509,MATCH($A169,Origem!$A$10:$A$509,0))="",INDEX(Origem!$AB$10:$AB$509,MATCH($A169,Origem!$A$10:$A$509,0))="—"),"Origem: sem classificação","Origem: "&amp;INDEX(Origem!$AB$10:$AB$509,MATCH($A169,Origem!$A$10:$A$509,0))&amp;IF(INDEX(Origem!$AC$10:$AC$509,MATCH($A169,Origem!$A$10:$A$509,0))=""," (sem pontuação)"," • "&amp;INDEX(Origem!$AC$10:$AC$509,MATCH($A169,Origem!$A$10:$A$509,0))&amp;" pontos")),"Origem: sem classificação"))</f>
        <v/>
      </c>
      <c r="F169" s="10"/>
      <c r="G169" s="6"/>
    </row>
    <row r="170" spans="1:7" ht="48" customHeight="1">
      <c r="A170" s="7"/>
      <c r="B170" s="6"/>
      <c r="C170" s="6"/>
      <c r="D170" s="6"/>
      <c r="E170" s="6" t="str">
        <f>IF($A170="","",IFERROR(INDEX(Processos!$AR$10:$AR$509,MATCH($A170,Processos!$A$10:$A$509,0)),"")&amp;CHAR(10)&amp;IFERROR(IF(OR(INDEX(Origem!$AB$10:$AB$509,MATCH($A170,Origem!$A$10:$A$509,0))="",INDEX(Origem!$AB$10:$AB$509,MATCH($A170,Origem!$A$10:$A$509,0))="—"),"Origem: sem classificação","Origem: "&amp;INDEX(Origem!$AB$10:$AB$509,MATCH($A170,Origem!$A$10:$A$509,0))&amp;IF(INDEX(Origem!$AC$10:$AC$509,MATCH($A170,Origem!$A$10:$A$509,0))=""," (sem pontuação)"," • "&amp;INDEX(Origem!$AC$10:$AC$509,MATCH($A170,Origem!$A$10:$A$509,0))&amp;" pontos")),"Origem: sem classificação"))</f>
        <v/>
      </c>
      <c r="F170" s="10"/>
      <c r="G170" s="6"/>
    </row>
    <row r="171" spans="1:7" ht="48" customHeight="1">
      <c r="A171" s="7"/>
      <c r="B171" s="6"/>
      <c r="C171" s="6"/>
      <c r="D171" s="6"/>
      <c r="E171" s="6" t="str">
        <f>IF($A171="","",IFERROR(INDEX(Processos!$AR$10:$AR$509,MATCH($A171,Processos!$A$10:$A$509,0)),"")&amp;CHAR(10)&amp;IFERROR(IF(OR(INDEX(Origem!$AB$10:$AB$509,MATCH($A171,Origem!$A$10:$A$509,0))="",INDEX(Origem!$AB$10:$AB$509,MATCH($A171,Origem!$A$10:$A$509,0))="—"),"Origem: sem classificação","Origem: "&amp;INDEX(Origem!$AB$10:$AB$509,MATCH($A171,Origem!$A$10:$A$509,0))&amp;IF(INDEX(Origem!$AC$10:$AC$509,MATCH($A171,Origem!$A$10:$A$509,0))=""," (sem pontuação)"," • "&amp;INDEX(Origem!$AC$10:$AC$509,MATCH($A171,Origem!$A$10:$A$509,0))&amp;" pontos")),"Origem: sem classificação"))</f>
        <v/>
      </c>
      <c r="F171" s="10"/>
      <c r="G171" s="6"/>
    </row>
    <row r="172" spans="1:7" ht="48" customHeight="1">
      <c r="A172" s="7"/>
      <c r="B172" s="6"/>
      <c r="C172" s="6"/>
      <c r="D172" s="6"/>
      <c r="E172" s="6" t="str">
        <f>IF($A172="","",IFERROR(INDEX(Processos!$AR$10:$AR$509,MATCH($A172,Processos!$A$10:$A$509,0)),"")&amp;CHAR(10)&amp;IFERROR(IF(OR(INDEX(Origem!$AB$10:$AB$509,MATCH($A172,Origem!$A$10:$A$509,0))="",INDEX(Origem!$AB$10:$AB$509,MATCH($A172,Origem!$A$10:$A$509,0))="—"),"Origem: sem classificação","Origem: "&amp;INDEX(Origem!$AB$10:$AB$509,MATCH($A172,Origem!$A$10:$A$509,0))&amp;IF(INDEX(Origem!$AC$10:$AC$509,MATCH($A172,Origem!$A$10:$A$509,0))=""," (sem pontuação)"," • "&amp;INDEX(Origem!$AC$10:$AC$509,MATCH($A172,Origem!$A$10:$A$509,0))&amp;" pontos")),"Origem: sem classificação"))</f>
        <v/>
      </c>
      <c r="F172" s="10"/>
      <c r="G172" s="6"/>
    </row>
    <row r="173" spans="1:7" ht="48" customHeight="1">
      <c r="A173" s="7"/>
      <c r="B173" s="6"/>
      <c r="C173" s="6"/>
      <c r="D173" s="6"/>
      <c r="E173" s="6" t="str">
        <f>IF($A173="","",IFERROR(INDEX(Processos!$AR$10:$AR$509,MATCH($A173,Processos!$A$10:$A$509,0)),"")&amp;CHAR(10)&amp;IFERROR(IF(OR(INDEX(Origem!$AB$10:$AB$509,MATCH($A173,Origem!$A$10:$A$509,0))="",INDEX(Origem!$AB$10:$AB$509,MATCH($A173,Origem!$A$10:$A$509,0))="—"),"Origem: sem classificação","Origem: "&amp;INDEX(Origem!$AB$10:$AB$509,MATCH($A173,Origem!$A$10:$A$509,0))&amp;IF(INDEX(Origem!$AC$10:$AC$509,MATCH($A173,Origem!$A$10:$A$509,0))=""," (sem pontuação)"," • "&amp;INDEX(Origem!$AC$10:$AC$509,MATCH($A173,Origem!$A$10:$A$509,0))&amp;" pontos")),"Origem: sem classificação"))</f>
        <v/>
      </c>
      <c r="F173" s="10"/>
      <c r="G173" s="6"/>
    </row>
    <row r="174" spans="1:7" ht="48" customHeight="1">
      <c r="A174" s="7"/>
      <c r="B174" s="6"/>
      <c r="C174" s="6"/>
      <c r="D174" s="6"/>
      <c r="E174" s="6" t="str">
        <f>IF($A174="","",IFERROR(INDEX(Processos!$AR$10:$AR$509,MATCH($A174,Processos!$A$10:$A$509,0)),"")&amp;CHAR(10)&amp;IFERROR(IF(OR(INDEX(Origem!$AB$10:$AB$509,MATCH($A174,Origem!$A$10:$A$509,0))="",INDEX(Origem!$AB$10:$AB$509,MATCH($A174,Origem!$A$10:$A$509,0))="—"),"Origem: sem classificação","Origem: "&amp;INDEX(Origem!$AB$10:$AB$509,MATCH($A174,Origem!$A$10:$A$509,0))&amp;IF(INDEX(Origem!$AC$10:$AC$509,MATCH($A174,Origem!$A$10:$A$509,0))=""," (sem pontuação)"," • "&amp;INDEX(Origem!$AC$10:$AC$509,MATCH($A174,Origem!$A$10:$A$509,0))&amp;" pontos")),"Origem: sem classificação"))</f>
        <v/>
      </c>
      <c r="F174" s="10"/>
      <c r="G174" s="6"/>
    </row>
    <row r="175" spans="1:7" ht="48" customHeight="1">
      <c r="A175" s="7"/>
      <c r="B175" s="6"/>
      <c r="C175" s="6"/>
      <c r="D175" s="6"/>
      <c r="E175" s="6" t="str">
        <f>IF($A175="","",IFERROR(INDEX(Processos!$AR$10:$AR$509,MATCH($A175,Processos!$A$10:$A$509,0)),"")&amp;CHAR(10)&amp;IFERROR(IF(OR(INDEX(Origem!$AB$10:$AB$509,MATCH($A175,Origem!$A$10:$A$509,0))="",INDEX(Origem!$AB$10:$AB$509,MATCH($A175,Origem!$A$10:$A$509,0))="—"),"Origem: sem classificação","Origem: "&amp;INDEX(Origem!$AB$10:$AB$509,MATCH($A175,Origem!$A$10:$A$509,0))&amp;IF(INDEX(Origem!$AC$10:$AC$509,MATCH($A175,Origem!$A$10:$A$509,0))=""," (sem pontuação)"," • "&amp;INDEX(Origem!$AC$10:$AC$509,MATCH($A175,Origem!$A$10:$A$509,0))&amp;" pontos")),"Origem: sem classificação"))</f>
        <v/>
      </c>
      <c r="F175" s="10"/>
      <c r="G175" s="6"/>
    </row>
    <row r="176" spans="1:7" ht="48" customHeight="1">
      <c r="A176" s="7"/>
      <c r="B176" s="6"/>
      <c r="C176" s="6"/>
      <c r="D176" s="6"/>
      <c r="E176" s="6" t="str">
        <f>IF($A176="","",IFERROR(INDEX(Processos!$AR$10:$AR$509,MATCH($A176,Processos!$A$10:$A$509,0)),"")&amp;CHAR(10)&amp;IFERROR(IF(OR(INDEX(Origem!$AB$10:$AB$509,MATCH($A176,Origem!$A$10:$A$509,0))="",INDEX(Origem!$AB$10:$AB$509,MATCH($A176,Origem!$A$10:$A$509,0))="—"),"Origem: sem classificação","Origem: "&amp;INDEX(Origem!$AB$10:$AB$509,MATCH($A176,Origem!$A$10:$A$509,0))&amp;IF(INDEX(Origem!$AC$10:$AC$509,MATCH($A176,Origem!$A$10:$A$509,0))=""," (sem pontuação)"," • "&amp;INDEX(Origem!$AC$10:$AC$509,MATCH($A176,Origem!$A$10:$A$509,0))&amp;" pontos")),"Origem: sem classificação"))</f>
        <v/>
      </c>
      <c r="F176" s="10"/>
      <c r="G176" s="6"/>
    </row>
    <row r="177" spans="1:7" ht="48" customHeight="1">
      <c r="A177" s="7"/>
      <c r="B177" s="6"/>
      <c r="C177" s="6"/>
      <c r="D177" s="6"/>
      <c r="E177" s="6" t="str">
        <f>IF($A177="","",IFERROR(INDEX(Processos!$AR$10:$AR$509,MATCH($A177,Processos!$A$10:$A$509,0)),"")&amp;CHAR(10)&amp;IFERROR(IF(OR(INDEX(Origem!$AB$10:$AB$509,MATCH($A177,Origem!$A$10:$A$509,0))="",INDEX(Origem!$AB$10:$AB$509,MATCH($A177,Origem!$A$10:$A$509,0))="—"),"Origem: sem classificação","Origem: "&amp;INDEX(Origem!$AB$10:$AB$509,MATCH($A177,Origem!$A$10:$A$509,0))&amp;IF(INDEX(Origem!$AC$10:$AC$509,MATCH($A177,Origem!$A$10:$A$509,0))=""," (sem pontuação)"," • "&amp;INDEX(Origem!$AC$10:$AC$509,MATCH($A177,Origem!$A$10:$A$509,0))&amp;" pontos")),"Origem: sem classificação"))</f>
        <v/>
      </c>
      <c r="F177" s="10"/>
      <c r="G177" s="6"/>
    </row>
    <row r="178" spans="1:7" ht="48" customHeight="1">
      <c r="A178" s="7"/>
      <c r="B178" s="6"/>
      <c r="C178" s="6"/>
      <c r="D178" s="6"/>
      <c r="E178" s="6" t="str">
        <f>IF($A178="","",IFERROR(INDEX(Processos!$AR$10:$AR$509,MATCH($A178,Processos!$A$10:$A$509,0)),"")&amp;CHAR(10)&amp;IFERROR(IF(OR(INDEX(Origem!$AB$10:$AB$509,MATCH($A178,Origem!$A$10:$A$509,0))="",INDEX(Origem!$AB$10:$AB$509,MATCH($A178,Origem!$A$10:$A$509,0))="—"),"Origem: sem classificação","Origem: "&amp;INDEX(Origem!$AB$10:$AB$509,MATCH($A178,Origem!$A$10:$A$509,0))&amp;IF(INDEX(Origem!$AC$10:$AC$509,MATCH($A178,Origem!$A$10:$A$509,0))=""," (sem pontuação)"," • "&amp;INDEX(Origem!$AC$10:$AC$509,MATCH($A178,Origem!$A$10:$A$509,0))&amp;" pontos")),"Origem: sem classificação"))</f>
        <v/>
      </c>
      <c r="F178" s="10"/>
      <c r="G178" s="6"/>
    </row>
    <row r="179" spans="1:7" ht="48" customHeight="1">
      <c r="A179" s="7"/>
      <c r="B179" s="6"/>
      <c r="C179" s="6"/>
      <c r="D179" s="6"/>
      <c r="E179" s="6" t="str">
        <f>IF($A179="","",IFERROR(INDEX(Processos!$AR$10:$AR$509,MATCH($A179,Processos!$A$10:$A$509,0)),"")&amp;CHAR(10)&amp;IFERROR(IF(OR(INDEX(Origem!$AB$10:$AB$509,MATCH($A179,Origem!$A$10:$A$509,0))="",INDEX(Origem!$AB$10:$AB$509,MATCH($A179,Origem!$A$10:$A$509,0))="—"),"Origem: sem classificação","Origem: "&amp;INDEX(Origem!$AB$10:$AB$509,MATCH($A179,Origem!$A$10:$A$509,0))&amp;IF(INDEX(Origem!$AC$10:$AC$509,MATCH($A179,Origem!$A$10:$A$509,0))=""," (sem pontuação)"," • "&amp;INDEX(Origem!$AC$10:$AC$509,MATCH($A179,Origem!$A$10:$A$509,0))&amp;" pontos")),"Origem: sem classificação"))</f>
        <v/>
      </c>
      <c r="F179" s="10"/>
      <c r="G179" s="6"/>
    </row>
    <row r="180" spans="1:7" ht="48" customHeight="1">
      <c r="A180" s="7"/>
      <c r="B180" s="6"/>
      <c r="C180" s="6"/>
      <c r="D180" s="6"/>
      <c r="E180" s="6" t="str">
        <f>IF($A180="","",IFERROR(INDEX(Processos!$AR$10:$AR$509,MATCH($A180,Processos!$A$10:$A$509,0)),"")&amp;CHAR(10)&amp;IFERROR(IF(OR(INDEX(Origem!$AB$10:$AB$509,MATCH($A180,Origem!$A$10:$A$509,0))="",INDEX(Origem!$AB$10:$AB$509,MATCH($A180,Origem!$A$10:$A$509,0))="—"),"Origem: sem classificação","Origem: "&amp;INDEX(Origem!$AB$10:$AB$509,MATCH($A180,Origem!$A$10:$A$509,0))&amp;IF(INDEX(Origem!$AC$10:$AC$509,MATCH($A180,Origem!$A$10:$A$509,0))=""," (sem pontuação)"," • "&amp;INDEX(Origem!$AC$10:$AC$509,MATCH($A180,Origem!$A$10:$A$509,0))&amp;" pontos")),"Origem: sem classificação"))</f>
        <v/>
      </c>
      <c r="F180" s="10"/>
      <c r="G180" s="6"/>
    </row>
    <row r="181" spans="1:7" ht="48" customHeight="1">
      <c r="A181" s="7"/>
      <c r="B181" s="6"/>
      <c r="C181" s="6"/>
      <c r="D181" s="6"/>
      <c r="E181" s="6" t="str">
        <f>IF($A181="","",IFERROR(INDEX(Processos!$AR$10:$AR$509,MATCH($A181,Processos!$A$10:$A$509,0)),"")&amp;CHAR(10)&amp;IFERROR(IF(OR(INDEX(Origem!$AB$10:$AB$509,MATCH($A181,Origem!$A$10:$A$509,0))="",INDEX(Origem!$AB$10:$AB$509,MATCH($A181,Origem!$A$10:$A$509,0))="—"),"Origem: sem classificação","Origem: "&amp;INDEX(Origem!$AB$10:$AB$509,MATCH($A181,Origem!$A$10:$A$509,0))&amp;IF(INDEX(Origem!$AC$10:$AC$509,MATCH($A181,Origem!$A$10:$A$509,0))=""," (sem pontuação)"," • "&amp;INDEX(Origem!$AC$10:$AC$509,MATCH($A181,Origem!$A$10:$A$509,0))&amp;" pontos")),"Origem: sem classificação"))</f>
        <v/>
      </c>
      <c r="F181" s="10"/>
      <c r="G181" s="6"/>
    </row>
    <row r="182" spans="1:7" ht="48" customHeight="1">
      <c r="A182" s="7"/>
      <c r="B182" s="6"/>
      <c r="C182" s="6"/>
      <c r="D182" s="6"/>
      <c r="E182" s="6" t="str">
        <f>IF($A182="","",IFERROR(INDEX(Processos!$AR$10:$AR$509,MATCH($A182,Processos!$A$10:$A$509,0)),"")&amp;CHAR(10)&amp;IFERROR(IF(OR(INDEX(Origem!$AB$10:$AB$509,MATCH($A182,Origem!$A$10:$A$509,0))="",INDEX(Origem!$AB$10:$AB$509,MATCH($A182,Origem!$A$10:$A$509,0))="—"),"Origem: sem classificação","Origem: "&amp;INDEX(Origem!$AB$10:$AB$509,MATCH($A182,Origem!$A$10:$A$509,0))&amp;IF(INDEX(Origem!$AC$10:$AC$509,MATCH($A182,Origem!$A$10:$A$509,0))=""," (sem pontuação)"," • "&amp;INDEX(Origem!$AC$10:$AC$509,MATCH($A182,Origem!$A$10:$A$509,0))&amp;" pontos")),"Origem: sem classificação"))</f>
        <v/>
      </c>
      <c r="F182" s="10"/>
      <c r="G182" s="6"/>
    </row>
    <row r="183" spans="1:7" ht="48" customHeight="1">
      <c r="A183" s="7"/>
      <c r="B183" s="6"/>
      <c r="C183" s="6"/>
      <c r="D183" s="6"/>
      <c r="E183" s="6" t="str">
        <f>IF($A183="","",IFERROR(INDEX(Processos!$AR$10:$AR$509,MATCH($A183,Processos!$A$10:$A$509,0)),"")&amp;CHAR(10)&amp;IFERROR(IF(OR(INDEX(Origem!$AB$10:$AB$509,MATCH($A183,Origem!$A$10:$A$509,0))="",INDEX(Origem!$AB$10:$AB$509,MATCH($A183,Origem!$A$10:$A$509,0))="—"),"Origem: sem classificação","Origem: "&amp;INDEX(Origem!$AB$10:$AB$509,MATCH($A183,Origem!$A$10:$A$509,0))&amp;IF(INDEX(Origem!$AC$10:$AC$509,MATCH($A183,Origem!$A$10:$A$509,0))=""," (sem pontuação)"," • "&amp;INDEX(Origem!$AC$10:$AC$509,MATCH($A183,Origem!$A$10:$A$509,0))&amp;" pontos")),"Origem: sem classificação"))</f>
        <v/>
      </c>
      <c r="F183" s="10"/>
      <c r="G183" s="6"/>
    </row>
    <row r="184" spans="1:7" ht="48" customHeight="1">
      <c r="A184" s="7"/>
      <c r="B184" s="6"/>
      <c r="C184" s="6"/>
      <c r="D184" s="6"/>
      <c r="E184" s="6" t="str">
        <f>IF($A184="","",IFERROR(INDEX(Processos!$AR$10:$AR$509,MATCH($A184,Processos!$A$10:$A$509,0)),"")&amp;CHAR(10)&amp;IFERROR(IF(OR(INDEX(Origem!$AB$10:$AB$509,MATCH($A184,Origem!$A$10:$A$509,0))="",INDEX(Origem!$AB$10:$AB$509,MATCH($A184,Origem!$A$10:$A$509,0))="—"),"Origem: sem classificação","Origem: "&amp;INDEX(Origem!$AB$10:$AB$509,MATCH($A184,Origem!$A$10:$A$509,0))&amp;IF(INDEX(Origem!$AC$10:$AC$509,MATCH($A184,Origem!$A$10:$A$509,0))=""," (sem pontuação)"," • "&amp;INDEX(Origem!$AC$10:$AC$509,MATCH($A184,Origem!$A$10:$A$509,0))&amp;" pontos")),"Origem: sem classificação"))</f>
        <v/>
      </c>
      <c r="F184" s="10"/>
      <c r="G184" s="6"/>
    </row>
    <row r="185" spans="1:7" ht="48" customHeight="1">
      <c r="A185" s="7"/>
      <c r="B185" s="6"/>
      <c r="C185" s="6"/>
      <c r="D185" s="6"/>
      <c r="E185" s="6" t="str">
        <f>IF($A185="","",IFERROR(INDEX(Processos!$AR$10:$AR$509,MATCH($A185,Processos!$A$10:$A$509,0)),"")&amp;CHAR(10)&amp;IFERROR(IF(OR(INDEX(Origem!$AB$10:$AB$509,MATCH($A185,Origem!$A$10:$A$509,0))="",INDEX(Origem!$AB$10:$AB$509,MATCH($A185,Origem!$A$10:$A$509,0))="—"),"Origem: sem classificação","Origem: "&amp;INDEX(Origem!$AB$10:$AB$509,MATCH($A185,Origem!$A$10:$A$509,0))&amp;IF(INDEX(Origem!$AC$10:$AC$509,MATCH($A185,Origem!$A$10:$A$509,0))=""," (sem pontuação)"," • "&amp;INDEX(Origem!$AC$10:$AC$509,MATCH($A185,Origem!$A$10:$A$509,0))&amp;" pontos")),"Origem: sem classificação"))</f>
        <v/>
      </c>
      <c r="F185" s="10"/>
      <c r="G185" s="6"/>
    </row>
    <row r="186" spans="1:7" ht="48" customHeight="1">
      <c r="A186" s="7"/>
      <c r="B186" s="6"/>
      <c r="C186" s="6"/>
      <c r="D186" s="6"/>
      <c r="E186" s="6" t="str">
        <f>IF($A186="","",IFERROR(INDEX(Processos!$AR$10:$AR$509,MATCH($A186,Processos!$A$10:$A$509,0)),"")&amp;CHAR(10)&amp;IFERROR(IF(OR(INDEX(Origem!$AB$10:$AB$509,MATCH($A186,Origem!$A$10:$A$509,0))="",INDEX(Origem!$AB$10:$AB$509,MATCH($A186,Origem!$A$10:$A$509,0))="—"),"Origem: sem classificação","Origem: "&amp;INDEX(Origem!$AB$10:$AB$509,MATCH($A186,Origem!$A$10:$A$509,0))&amp;IF(INDEX(Origem!$AC$10:$AC$509,MATCH($A186,Origem!$A$10:$A$509,0))=""," (sem pontuação)"," • "&amp;INDEX(Origem!$AC$10:$AC$509,MATCH($A186,Origem!$A$10:$A$509,0))&amp;" pontos")),"Origem: sem classificação"))</f>
        <v/>
      </c>
      <c r="F186" s="10"/>
      <c r="G186" s="6"/>
    </row>
    <row r="187" spans="1:7" ht="48" customHeight="1">
      <c r="A187" s="7"/>
      <c r="B187" s="6"/>
      <c r="C187" s="6"/>
      <c r="D187" s="6"/>
      <c r="E187" s="6" t="str">
        <f>IF($A187="","",IFERROR(INDEX(Processos!$AR$10:$AR$509,MATCH($A187,Processos!$A$10:$A$509,0)),"")&amp;CHAR(10)&amp;IFERROR(IF(OR(INDEX(Origem!$AB$10:$AB$509,MATCH($A187,Origem!$A$10:$A$509,0))="",INDEX(Origem!$AB$10:$AB$509,MATCH($A187,Origem!$A$10:$A$509,0))="—"),"Origem: sem classificação","Origem: "&amp;INDEX(Origem!$AB$10:$AB$509,MATCH($A187,Origem!$A$10:$A$509,0))&amp;IF(INDEX(Origem!$AC$10:$AC$509,MATCH($A187,Origem!$A$10:$A$509,0))=""," (sem pontuação)"," • "&amp;INDEX(Origem!$AC$10:$AC$509,MATCH($A187,Origem!$A$10:$A$509,0))&amp;" pontos")),"Origem: sem classificação"))</f>
        <v/>
      </c>
      <c r="F187" s="10"/>
      <c r="G187" s="6"/>
    </row>
    <row r="188" spans="1:7" ht="48" customHeight="1">
      <c r="A188" s="7"/>
      <c r="B188" s="6"/>
      <c r="C188" s="6"/>
      <c r="D188" s="6"/>
      <c r="E188" s="6" t="str">
        <f>IF($A188="","",IFERROR(INDEX(Processos!$AR$10:$AR$509,MATCH($A188,Processos!$A$10:$A$509,0)),"")&amp;CHAR(10)&amp;IFERROR(IF(OR(INDEX(Origem!$AB$10:$AB$509,MATCH($A188,Origem!$A$10:$A$509,0))="",INDEX(Origem!$AB$10:$AB$509,MATCH($A188,Origem!$A$10:$A$509,0))="—"),"Origem: sem classificação","Origem: "&amp;INDEX(Origem!$AB$10:$AB$509,MATCH($A188,Origem!$A$10:$A$509,0))&amp;IF(INDEX(Origem!$AC$10:$AC$509,MATCH($A188,Origem!$A$10:$A$509,0))=""," (sem pontuação)"," • "&amp;INDEX(Origem!$AC$10:$AC$509,MATCH($A188,Origem!$A$10:$A$509,0))&amp;" pontos")),"Origem: sem classificação"))</f>
        <v/>
      </c>
      <c r="F188" s="10"/>
      <c r="G188" s="6"/>
    </row>
    <row r="189" spans="1:7" ht="48" customHeight="1">
      <c r="A189" s="7"/>
      <c r="B189" s="6"/>
      <c r="C189" s="6"/>
      <c r="D189" s="6"/>
      <c r="E189" s="6" t="str">
        <f>IF($A189="","",IFERROR(INDEX(Processos!$AR$10:$AR$509,MATCH($A189,Processos!$A$10:$A$509,0)),"")&amp;CHAR(10)&amp;IFERROR(IF(OR(INDEX(Origem!$AB$10:$AB$509,MATCH($A189,Origem!$A$10:$A$509,0))="",INDEX(Origem!$AB$10:$AB$509,MATCH($A189,Origem!$A$10:$A$509,0))="—"),"Origem: sem classificação","Origem: "&amp;INDEX(Origem!$AB$10:$AB$509,MATCH($A189,Origem!$A$10:$A$509,0))&amp;IF(INDEX(Origem!$AC$10:$AC$509,MATCH($A189,Origem!$A$10:$A$509,0))=""," (sem pontuação)"," • "&amp;INDEX(Origem!$AC$10:$AC$509,MATCH($A189,Origem!$A$10:$A$509,0))&amp;" pontos")),"Origem: sem classificação"))</f>
        <v/>
      </c>
      <c r="F189" s="10"/>
      <c r="G189" s="6"/>
    </row>
    <row r="190" spans="1:7" ht="48" customHeight="1">
      <c r="A190" s="7"/>
      <c r="B190" s="6"/>
      <c r="C190" s="6"/>
      <c r="D190" s="6"/>
      <c r="E190" s="6" t="str">
        <f>IF($A190="","",IFERROR(INDEX(Processos!$AR$10:$AR$509,MATCH($A190,Processos!$A$10:$A$509,0)),"")&amp;CHAR(10)&amp;IFERROR(IF(OR(INDEX(Origem!$AB$10:$AB$509,MATCH($A190,Origem!$A$10:$A$509,0))="",INDEX(Origem!$AB$10:$AB$509,MATCH($A190,Origem!$A$10:$A$509,0))="—"),"Origem: sem classificação","Origem: "&amp;INDEX(Origem!$AB$10:$AB$509,MATCH($A190,Origem!$A$10:$A$509,0))&amp;IF(INDEX(Origem!$AC$10:$AC$509,MATCH($A190,Origem!$A$10:$A$509,0))=""," (sem pontuação)"," • "&amp;INDEX(Origem!$AC$10:$AC$509,MATCH($A190,Origem!$A$10:$A$509,0))&amp;" pontos")),"Origem: sem classificação"))</f>
        <v/>
      </c>
      <c r="F190" s="10"/>
      <c r="G190" s="6"/>
    </row>
    <row r="191" spans="1:7" ht="48" customHeight="1">
      <c r="A191" s="7"/>
      <c r="B191" s="6"/>
      <c r="C191" s="6"/>
      <c r="D191" s="6"/>
      <c r="E191" s="6" t="str">
        <f>IF($A191="","",IFERROR(INDEX(Processos!$AR$10:$AR$509,MATCH($A191,Processos!$A$10:$A$509,0)),"")&amp;CHAR(10)&amp;IFERROR(IF(OR(INDEX(Origem!$AB$10:$AB$509,MATCH($A191,Origem!$A$10:$A$509,0))="",INDEX(Origem!$AB$10:$AB$509,MATCH($A191,Origem!$A$10:$A$509,0))="—"),"Origem: sem classificação","Origem: "&amp;INDEX(Origem!$AB$10:$AB$509,MATCH($A191,Origem!$A$10:$A$509,0))&amp;IF(INDEX(Origem!$AC$10:$AC$509,MATCH($A191,Origem!$A$10:$A$509,0))=""," (sem pontuação)"," • "&amp;INDEX(Origem!$AC$10:$AC$509,MATCH($A191,Origem!$A$10:$A$509,0))&amp;" pontos")),"Origem: sem classificação"))</f>
        <v/>
      </c>
      <c r="F191" s="10"/>
      <c r="G191" s="6"/>
    </row>
    <row r="192" spans="1:7" ht="48" customHeight="1">
      <c r="A192" s="7"/>
      <c r="B192" s="6"/>
      <c r="C192" s="6"/>
      <c r="D192" s="6"/>
      <c r="E192" s="6" t="str">
        <f>IF($A192="","",IFERROR(INDEX(Processos!$AR$10:$AR$509,MATCH($A192,Processos!$A$10:$A$509,0)),"")&amp;CHAR(10)&amp;IFERROR(IF(OR(INDEX(Origem!$AB$10:$AB$509,MATCH($A192,Origem!$A$10:$A$509,0))="",INDEX(Origem!$AB$10:$AB$509,MATCH($A192,Origem!$A$10:$A$509,0))="—"),"Origem: sem classificação","Origem: "&amp;INDEX(Origem!$AB$10:$AB$509,MATCH($A192,Origem!$A$10:$A$509,0))&amp;IF(INDEX(Origem!$AC$10:$AC$509,MATCH($A192,Origem!$A$10:$A$509,0))=""," (sem pontuação)"," • "&amp;INDEX(Origem!$AC$10:$AC$509,MATCH($A192,Origem!$A$10:$A$509,0))&amp;" pontos")),"Origem: sem classificação"))</f>
        <v/>
      </c>
      <c r="F192" s="10"/>
      <c r="G192" s="6"/>
    </row>
    <row r="193" spans="1:7" ht="48" customHeight="1">
      <c r="A193" s="7"/>
      <c r="B193" s="6"/>
      <c r="C193" s="6"/>
      <c r="D193" s="6"/>
      <c r="E193" s="6" t="str">
        <f>IF($A193="","",IFERROR(INDEX(Processos!$AR$10:$AR$509,MATCH($A193,Processos!$A$10:$A$509,0)),"")&amp;CHAR(10)&amp;IFERROR(IF(OR(INDEX(Origem!$AB$10:$AB$509,MATCH($A193,Origem!$A$10:$A$509,0))="",INDEX(Origem!$AB$10:$AB$509,MATCH($A193,Origem!$A$10:$A$509,0))="—"),"Origem: sem classificação","Origem: "&amp;INDEX(Origem!$AB$10:$AB$509,MATCH($A193,Origem!$A$10:$A$509,0))&amp;IF(INDEX(Origem!$AC$10:$AC$509,MATCH($A193,Origem!$A$10:$A$509,0))=""," (sem pontuação)"," • "&amp;INDEX(Origem!$AC$10:$AC$509,MATCH($A193,Origem!$A$10:$A$509,0))&amp;" pontos")),"Origem: sem classificação"))</f>
        <v/>
      </c>
      <c r="F193" s="10"/>
      <c r="G193" s="6"/>
    </row>
    <row r="194" spans="1:7" ht="48" customHeight="1">
      <c r="A194" s="7"/>
      <c r="B194" s="6"/>
      <c r="C194" s="6"/>
      <c r="D194" s="6"/>
      <c r="E194" s="6" t="str">
        <f>IF($A194="","",IFERROR(INDEX(Processos!$AR$10:$AR$509,MATCH($A194,Processos!$A$10:$A$509,0)),"")&amp;CHAR(10)&amp;IFERROR(IF(OR(INDEX(Origem!$AB$10:$AB$509,MATCH($A194,Origem!$A$10:$A$509,0))="",INDEX(Origem!$AB$10:$AB$509,MATCH($A194,Origem!$A$10:$A$509,0))="—"),"Origem: sem classificação","Origem: "&amp;INDEX(Origem!$AB$10:$AB$509,MATCH($A194,Origem!$A$10:$A$509,0))&amp;IF(INDEX(Origem!$AC$10:$AC$509,MATCH($A194,Origem!$A$10:$A$509,0))=""," (sem pontuação)"," • "&amp;INDEX(Origem!$AC$10:$AC$509,MATCH($A194,Origem!$A$10:$A$509,0))&amp;" pontos")),"Origem: sem classificação"))</f>
        <v/>
      </c>
      <c r="F194" s="10"/>
      <c r="G194" s="6"/>
    </row>
    <row r="195" spans="1:7" ht="48" customHeight="1">
      <c r="A195" s="7"/>
      <c r="B195" s="6"/>
      <c r="C195" s="6"/>
      <c r="D195" s="6"/>
      <c r="E195" s="6" t="str">
        <f>IF($A195="","",IFERROR(INDEX(Processos!$AR$10:$AR$509,MATCH($A195,Processos!$A$10:$A$509,0)),"")&amp;CHAR(10)&amp;IFERROR(IF(OR(INDEX(Origem!$AB$10:$AB$509,MATCH($A195,Origem!$A$10:$A$509,0))="",INDEX(Origem!$AB$10:$AB$509,MATCH($A195,Origem!$A$10:$A$509,0))="—"),"Origem: sem classificação","Origem: "&amp;INDEX(Origem!$AB$10:$AB$509,MATCH($A195,Origem!$A$10:$A$509,0))&amp;IF(INDEX(Origem!$AC$10:$AC$509,MATCH($A195,Origem!$A$10:$A$509,0))=""," (sem pontuação)"," • "&amp;INDEX(Origem!$AC$10:$AC$509,MATCH($A195,Origem!$A$10:$A$509,0))&amp;" pontos")),"Origem: sem classificação"))</f>
        <v/>
      </c>
      <c r="F195" s="10"/>
      <c r="G195" s="6"/>
    </row>
    <row r="196" spans="1:7" ht="48" customHeight="1">
      <c r="A196" s="7"/>
      <c r="B196" s="6"/>
      <c r="C196" s="6"/>
      <c r="D196" s="6"/>
      <c r="E196" s="6" t="str">
        <f>IF($A196="","",IFERROR(INDEX(Processos!$AR$10:$AR$509,MATCH($A196,Processos!$A$10:$A$509,0)),"")&amp;CHAR(10)&amp;IFERROR(IF(OR(INDEX(Origem!$AB$10:$AB$509,MATCH($A196,Origem!$A$10:$A$509,0))="",INDEX(Origem!$AB$10:$AB$509,MATCH($A196,Origem!$A$10:$A$509,0))="—"),"Origem: sem classificação","Origem: "&amp;INDEX(Origem!$AB$10:$AB$509,MATCH($A196,Origem!$A$10:$A$509,0))&amp;IF(INDEX(Origem!$AC$10:$AC$509,MATCH($A196,Origem!$A$10:$A$509,0))=""," (sem pontuação)"," • "&amp;INDEX(Origem!$AC$10:$AC$509,MATCH($A196,Origem!$A$10:$A$509,0))&amp;" pontos")),"Origem: sem classificação"))</f>
        <v/>
      </c>
      <c r="F196" s="10"/>
      <c r="G196" s="6"/>
    </row>
    <row r="197" spans="1:7" ht="48" customHeight="1">
      <c r="A197" s="7"/>
      <c r="B197" s="6"/>
      <c r="C197" s="6"/>
      <c r="D197" s="6"/>
      <c r="E197" s="6" t="str">
        <f>IF($A197="","",IFERROR(INDEX(Processos!$AR$10:$AR$509,MATCH($A197,Processos!$A$10:$A$509,0)),"")&amp;CHAR(10)&amp;IFERROR(IF(OR(INDEX(Origem!$AB$10:$AB$509,MATCH($A197,Origem!$A$10:$A$509,0))="",INDEX(Origem!$AB$10:$AB$509,MATCH($A197,Origem!$A$10:$A$509,0))="—"),"Origem: sem classificação","Origem: "&amp;INDEX(Origem!$AB$10:$AB$509,MATCH($A197,Origem!$A$10:$A$509,0))&amp;IF(INDEX(Origem!$AC$10:$AC$509,MATCH($A197,Origem!$A$10:$A$509,0))=""," (sem pontuação)"," • "&amp;INDEX(Origem!$AC$10:$AC$509,MATCH($A197,Origem!$A$10:$A$509,0))&amp;" pontos")),"Origem: sem classificação"))</f>
        <v/>
      </c>
      <c r="F197" s="10"/>
      <c r="G197" s="6"/>
    </row>
    <row r="198" spans="1:7" ht="48" customHeight="1">
      <c r="A198" s="7"/>
      <c r="B198" s="6"/>
      <c r="C198" s="6"/>
      <c r="D198" s="6"/>
      <c r="E198" s="6" t="str">
        <f>IF($A198="","",IFERROR(INDEX(Processos!$AR$10:$AR$509,MATCH($A198,Processos!$A$10:$A$509,0)),"")&amp;CHAR(10)&amp;IFERROR(IF(OR(INDEX(Origem!$AB$10:$AB$509,MATCH($A198,Origem!$A$10:$A$509,0))="",INDEX(Origem!$AB$10:$AB$509,MATCH($A198,Origem!$A$10:$A$509,0))="—"),"Origem: sem classificação","Origem: "&amp;INDEX(Origem!$AB$10:$AB$509,MATCH($A198,Origem!$A$10:$A$509,0))&amp;IF(INDEX(Origem!$AC$10:$AC$509,MATCH($A198,Origem!$A$10:$A$509,0))=""," (sem pontuação)"," • "&amp;INDEX(Origem!$AC$10:$AC$509,MATCH($A198,Origem!$A$10:$A$509,0))&amp;" pontos")),"Origem: sem classificação"))</f>
        <v/>
      </c>
      <c r="F198" s="10"/>
      <c r="G198" s="6"/>
    </row>
    <row r="199" spans="1:7" ht="48" customHeight="1">
      <c r="A199" s="7"/>
      <c r="B199" s="6"/>
      <c r="C199" s="6"/>
      <c r="D199" s="6"/>
      <c r="E199" s="6" t="str">
        <f>IF($A199="","",IFERROR(INDEX(Processos!$AR$10:$AR$509,MATCH($A199,Processos!$A$10:$A$509,0)),"")&amp;CHAR(10)&amp;IFERROR(IF(OR(INDEX(Origem!$AB$10:$AB$509,MATCH($A199,Origem!$A$10:$A$509,0))="",INDEX(Origem!$AB$10:$AB$509,MATCH($A199,Origem!$A$10:$A$509,0))="—"),"Origem: sem classificação","Origem: "&amp;INDEX(Origem!$AB$10:$AB$509,MATCH($A199,Origem!$A$10:$A$509,0))&amp;IF(INDEX(Origem!$AC$10:$AC$509,MATCH($A199,Origem!$A$10:$A$509,0))=""," (sem pontuação)"," • "&amp;INDEX(Origem!$AC$10:$AC$509,MATCH($A199,Origem!$A$10:$A$509,0))&amp;" pontos")),"Origem: sem classificação"))</f>
        <v/>
      </c>
      <c r="F199" s="10"/>
      <c r="G199" s="6"/>
    </row>
    <row r="200" spans="1:7" ht="48" customHeight="1">
      <c r="A200" s="7"/>
      <c r="B200" s="6"/>
      <c r="C200" s="6"/>
      <c r="D200" s="6"/>
      <c r="E200" s="6" t="str">
        <f>IF($A200="","",IFERROR(INDEX(Processos!$AR$10:$AR$509,MATCH($A200,Processos!$A$10:$A$509,0)),"")&amp;CHAR(10)&amp;IFERROR(IF(OR(INDEX(Origem!$AB$10:$AB$509,MATCH($A200,Origem!$A$10:$A$509,0))="",INDEX(Origem!$AB$10:$AB$509,MATCH($A200,Origem!$A$10:$A$509,0))="—"),"Origem: sem classificação","Origem: "&amp;INDEX(Origem!$AB$10:$AB$509,MATCH($A200,Origem!$A$10:$A$509,0))&amp;IF(INDEX(Origem!$AC$10:$AC$509,MATCH($A200,Origem!$A$10:$A$509,0))=""," (sem pontuação)"," • "&amp;INDEX(Origem!$AC$10:$AC$509,MATCH($A200,Origem!$A$10:$A$509,0))&amp;" pontos")),"Origem: sem classificação"))</f>
        <v/>
      </c>
      <c r="F200" s="10"/>
      <c r="G200" s="6"/>
    </row>
    <row r="201" spans="1:7" ht="48" customHeight="1">
      <c r="A201" s="7"/>
      <c r="B201" s="6"/>
      <c r="C201" s="6"/>
      <c r="D201" s="6"/>
      <c r="E201" s="6" t="str">
        <f>IF($A201="","",IFERROR(INDEX(Processos!$AR$10:$AR$509,MATCH($A201,Processos!$A$10:$A$509,0)),"")&amp;CHAR(10)&amp;IFERROR(IF(OR(INDEX(Origem!$AB$10:$AB$509,MATCH($A201,Origem!$A$10:$A$509,0))="",INDEX(Origem!$AB$10:$AB$509,MATCH($A201,Origem!$A$10:$A$509,0))="—"),"Origem: sem classificação","Origem: "&amp;INDEX(Origem!$AB$10:$AB$509,MATCH($A201,Origem!$A$10:$A$509,0))&amp;IF(INDEX(Origem!$AC$10:$AC$509,MATCH($A201,Origem!$A$10:$A$509,0))=""," (sem pontuação)"," • "&amp;INDEX(Origem!$AC$10:$AC$509,MATCH($A201,Origem!$A$10:$A$509,0))&amp;" pontos")),"Origem: sem classificação"))</f>
        <v/>
      </c>
      <c r="F201" s="10"/>
      <c r="G201" s="6"/>
    </row>
    <row r="202" spans="1:7" ht="48" customHeight="1">
      <c r="A202" s="7"/>
      <c r="B202" s="6"/>
      <c r="C202" s="6"/>
      <c r="D202" s="6"/>
      <c r="E202" s="6" t="str">
        <f>IF($A202="","",IFERROR(INDEX(Processos!$AR$10:$AR$509,MATCH($A202,Processos!$A$10:$A$509,0)),"")&amp;CHAR(10)&amp;IFERROR(IF(OR(INDEX(Origem!$AB$10:$AB$509,MATCH($A202,Origem!$A$10:$A$509,0))="",INDEX(Origem!$AB$10:$AB$509,MATCH($A202,Origem!$A$10:$A$509,0))="—"),"Origem: sem classificação","Origem: "&amp;INDEX(Origem!$AB$10:$AB$509,MATCH($A202,Origem!$A$10:$A$509,0))&amp;IF(INDEX(Origem!$AC$10:$AC$509,MATCH($A202,Origem!$A$10:$A$509,0))=""," (sem pontuação)"," • "&amp;INDEX(Origem!$AC$10:$AC$509,MATCH($A202,Origem!$A$10:$A$509,0))&amp;" pontos")),"Origem: sem classificação"))</f>
        <v/>
      </c>
      <c r="F202" s="10"/>
      <c r="G202" s="6"/>
    </row>
    <row r="203" spans="1:7" ht="48" customHeight="1">
      <c r="A203" s="7"/>
      <c r="B203" s="6"/>
      <c r="C203" s="6"/>
      <c r="D203" s="6"/>
      <c r="E203" s="6" t="str">
        <f>IF($A203="","",IFERROR(INDEX(Processos!$AR$10:$AR$509,MATCH($A203,Processos!$A$10:$A$509,0)),"")&amp;CHAR(10)&amp;IFERROR(IF(OR(INDEX(Origem!$AB$10:$AB$509,MATCH($A203,Origem!$A$10:$A$509,0))="",INDEX(Origem!$AB$10:$AB$509,MATCH($A203,Origem!$A$10:$A$509,0))="—"),"Origem: sem classificação","Origem: "&amp;INDEX(Origem!$AB$10:$AB$509,MATCH($A203,Origem!$A$10:$A$509,0))&amp;IF(INDEX(Origem!$AC$10:$AC$509,MATCH($A203,Origem!$A$10:$A$509,0))=""," (sem pontuação)"," • "&amp;INDEX(Origem!$AC$10:$AC$509,MATCH($A203,Origem!$A$10:$A$509,0))&amp;" pontos")),"Origem: sem classificação"))</f>
        <v/>
      </c>
      <c r="F203" s="10"/>
      <c r="G203" s="6"/>
    </row>
    <row r="204" spans="1:7" ht="48" customHeight="1">
      <c r="A204" s="7"/>
      <c r="B204" s="6"/>
      <c r="C204" s="6"/>
      <c r="D204" s="6"/>
      <c r="E204" s="6" t="str">
        <f>IF($A204="","",IFERROR(INDEX(Processos!$AR$10:$AR$509,MATCH($A204,Processos!$A$10:$A$509,0)),"")&amp;CHAR(10)&amp;IFERROR(IF(OR(INDEX(Origem!$AB$10:$AB$509,MATCH($A204,Origem!$A$10:$A$509,0))="",INDEX(Origem!$AB$10:$AB$509,MATCH($A204,Origem!$A$10:$A$509,0))="—"),"Origem: sem classificação","Origem: "&amp;INDEX(Origem!$AB$10:$AB$509,MATCH($A204,Origem!$A$10:$A$509,0))&amp;IF(INDEX(Origem!$AC$10:$AC$509,MATCH($A204,Origem!$A$10:$A$509,0))=""," (sem pontuação)"," • "&amp;INDEX(Origem!$AC$10:$AC$509,MATCH($A204,Origem!$A$10:$A$509,0))&amp;" pontos")),"Origem: sem classificação"))</f>
        <v/>
      </c>
      <c r="F204" s="10"/>
      <c r="G204" s="6"/>
    </row>
    <row r="205" spans="1:7" ht="48" customHeight="1">
      <c r="A205" s="7"/>
      <c r="B205" s="6"/>
      <c r="C205" s="6"/>
      <c r="D205" s="6"/>
      <c r="E205" s="6" t="str">
        <f>IF($A205="","",IFERROR(INDEX(Processos!$AR$10:$AR$509,MATCH($A205,Processos!$A$10:$A$509,0)),"")&amp;CHAR(10)&amp;IFERROR(IF(OR(INDEX(Origem!$AB$10:$AB$509,MATCH($A205,Origem!$A$10:$A$509,0))="",INDEX(Origem!$AB$10:$AB$509,MATCH($A205,Origem!$A$10:$A$509,0))="—"),"Origem: sem classificação","Origem: "&amp;INDEX(Origem!$AB$10:$AB$509,MATCH($A205,Origem!$A$10:$A$509,0))&amp;IF(INDEX(Origem!$AC$10:$AC$509,MATCH($A205,Origem!$A$10:$A$509,0))=""," (sem pontuação)"," • "&amp;INDEX(Origem!$AC$10:$AC$509,MATCH($A205,Origem!$A$10:$A$509,0))&amp;" pontos")),"Origem: sem classificação"))</f>
        <v/>
      </c>
      <c r="F205" s="10"/>
      <c r="G205" s="6"/>
    </row>
    <row r="206" spans="1:7" ht="48" customHeight="1">
      <c r="A206" s="7"/>
      <c r="B206" s="6"/>
      <c r="C206" s="6"/>
      <c r="D206" s="6"/>
      <c r="E206" s="6" t="str">
        <f>IF($A206="","",IFERROR(INDEX(Processos!$AR$10:$AR$509,MATCH($A206,Processos!$A$10:$A$509,0)),"")&amp;CHAR(10)&amp;IFERROR(IF(OR(INDEX(Origem!$AB$10:$AB$509,MATCH($A206,Origem!$A$10:$A$509,0))="",INDEX(Origem!$AB$10:$AB$509,MATCH($A206,Origem!$A$10:$A$509,0))="—"),"Origem: sem classificação","Origem: "&amp;INDEX(Origem!$AB$10:$AB$509,MATCH($A206,Origem!$A$10:$A$509,0))&amp;IF(INDEX(Origem!$AC$10:$AC$509,MATCH($A206,Origem!$A$10:$A$509,0))=""," (sem pontuação)"," • "&amp;INDEX(Origem!$AC$10:$AC$509,MATCH($A206,Origem!$A$10:$A$509,0))&amp;" pontos")),"Origem: sem classificação"))</f>
        <v/>
      </c>
      <c r="F206" s="10"/>
      <c r="G206" s="6"/>
    </row>
    <row r="207" spans="1:7" ht="48" customHeight="1">
      <c r="A207" s="7"/>
      <c r="B207" s="6"/>
      <c r="C207" s="6"/>
      <c r="D207" s="6"/>
      <c r="E207" s="6" t="str">
        <f>IF($A207="","",IFERROR(INDEX(Processos!$AR$10:$AR$509,MATCH($A207,Processos!$A$10:$A$509,0)),"")&amp;CHAR(10)&amp;IFERROR(IF(OR(INDEX(Origem!$AB$10:$AB$509,MATCH($A207,Origem!$A$10:$A$509,0))="",INDEX(Origem!$AB$10:$AB$509,MATCH($A207,Origem!$A$10:$A$509,0))="—"),"Origem: sem classificação","Origem: "&amp;INDEX(Origem!$AB$10:$AB$509,MATCH($A207,Origem!$A$10:$A$509,0))&amp;IF(INDEX(Origem!$AC$10:$AC$509,MATCH($A207,Origem!$A$10:$A$509,0))=""," (sem pontuação)"," • "&amp;INDEX(Origem!$AC$10:$AC$509,MATCH($A207,Origem!$A$10:$A$509,0))&amp;" pontos")),"Origem: sem classificação"))</f>
        <v/>
      </c>
      <c r="F207" s="10"/>
      <c r="G207" s="6"/>
    </row>
    <row r="208" spans="1:7" ht="48" customHeight="1">
      <c r="A208" s="7"/>
      <c r="B208" s="6"/>
      <c r="C208" s="6"/>
      <c r="D208" s="6"/>
      <c r="E208" s="6" t="str">
        <f>IF($A208="","",IFERROR(INDEX(Processos!$AR$10:$AR$509,MATCH($A208,Processos!$A$10:$A$509,0)),"")&amp;CHAR(10)&amp;IFERROR(IF(OR(INDEX(Origem!$AB$10:$AB$509,MATCH($A208,Origem!$A$10:$A$509,0))="",INDEX(Origem!$AB$10:$AB$509,MATCH($A208,Origem!$A$10:$A$509,0))="—"),"Origem: sem classificação","Origem: "&amp;INDEX(Origem!$AB$10:$AB$509,MATCH($A208,Origem!$A$10:$A$509,0))&amp;IF(INDEX(Origem!$AC$10:$AC$509,MATCH($A208,Origem!$A$10:$A$509,0))=""," (sem pontuação)"," • "&amp;INDEX(Origem!$AC$10:$AC$509,MATCH($A208,Origem!$A$10:$A$509,0))&amp;" pontos")),"Origem: sem classificação"))</f>
        <v/>
      </c>
      <c r="F208" s="10"/>
      <c r="G208" s="6"/>
    </row>
    <row r="209" spans="1:7" ht="48" customHeight="1">
      <c r="A209" s="7"/>
      <c r="B209" s="6"/>
      <c r="C209" s="6"/>
      <c r="D209" s="6"/>
      <c r="E209" s="6" t="str">
        <f>IF($A209="","",IFERROR(INDEX(Processos!$AR$10:$AR$509,MATCH($A209,Processos!$A$10:$A$509,0)),"")&amp;CHAR(10)&amp;IFERROR(IF(OR(INDEX(Origem!$AB$10:$AB$509,MATCH($A209,Origem!$A$10:$A$509,0))="",INDEX(Origem!$AB$10:$AB$509,MATCH($A209,Origem!$A$10:$A$509,0))="—"),"Origem: sem classificação","Origem: "&amp;INDEX(Origem!$AB$10:$AB$509,MATCH($A209,Origem!$A$10:$A$509,0))&amp;IF(INDEX(Origem!$AC$10:$AC$509,MATCH($A209,Origem!$A$10:$A$509,0))=""," (sem pontuação)"," • "&amp;INDEX(Origem!$AC$10:$AC$509,MATCH($A209,Origem!$A$10:$A$509,0))&amp;" pontos")),"Origem: sem classificação"))</f>
        <v/>
      </c>
      <c r="F209" s="10"/>
      <c r="G209" s="6"/>
    </row>
    <row r="210" spans="1:7" ht="48" customHeight="1">
      <c r="A210" s="7"/>
      <c r="B210" s="6"/>
      <c r="C210" s="6"/>
      <c r="D210" s="6"/>
      <c r="E210" s="6" t="str">
        <f>IF($A210="","",IFERROR(INDEX(Processos!$AR$10:$AR$509,MATCH($A210,Processos!$A$10:$A$509,0)),"")&amp;CHAR(10)&amp;IFERROR(IF(OR(INDEX(Origem!$AB$10:$AB$509,MATCH($A210,Origem!$A$10:$A$509,0))="",INDEX(Origem!$AB$10:$AB$509,MATCH($A210,Origem!$A$10:$A$509,0))="—"),"Origem: sem classificação","Origem: "&amp;INDEX(Origem!$AB$10:$AB$509,MATCH($A210,Origem!$A$10:$A$509,0))&amp;IF(INDEX(Origem!$AC$10:$AC$509,MATCH($A210,Origem!$A$10:$A$509,0))=""," (sem pontuação)"," • "&amp;INDEX(Origem!$AC$10:$AC$509,MATCH($A210,Origem!$A$10:$A$509,0))&amp;" pontos")),"Origem: sem classificação"))</f>
        <v/>
      </c>
      <c r="F210" s="10"/>
      <c r="G210" s="6"/>
    </row>
    <row r="211" spans="1:7" ht="48" customHeight="1">
      <c r="A211" s="7"/>
      <c r="B211" s="6"/>
      <c r="C211" s="6"/>
      <c r="D211" s="6"/>
      <c r="E211" s="6" t="str">
        <f>IF($A211="","",IFERROR(INDEX(Processos!$AR$10:$AR$509,MATCH($A211,Processos!$A$10:$A$509,0)),"")&amp;CHAR(10)&amp;IFERROR(IF(OR(INDEX(Origem!$AB$10:$AB$509,MATCH($A211,Origem!$A$10:$A$509,0))="",INDEX(Origem!$AB$10:$AB$509,MATCH($A211,Origem!$A$10:$A$509,0))="—"),"Origem: sem classificação","Origem: "&amp;INDEX(Origem!$AB$10:$AB$509,MATCH($A211,Origem!$A$10:$A$509,0))&amp;IF(INDEX(Origem!$AC$10:$AC$509,MATCH($A211,Origem!$A$10:$A$509,0))=""," (sem pontuação)"," • "&amp;INDEX(Origem!$AC$10:$AC$509,MATCH($A211,Origem!$A$10:$A$509,0))&amp;" pontos")),"Origem: sem classificação"))</f>
        <v/>
      </c>
      <c r="F211" s="10"/>
      <c r="G211" s="6"/>
    </row>
    <row r="212" spans="1:7" ht="48" customHeight="1">
      <c r="A212" s="7"/>
      <c r="B212" s="6"/>
      <c r="C212" s="6"/>
      <c r="D212" s="6"/>
      <c r="E212" s="6" t="str">
        <f>IF($A212="","",IFERROR(INDEX(Processos!$AR$10:$AR$509,MATCH($A212,Processos!$A$10:$A$509,0)),"")&amp;CHAR(10)&amp;IFERROR(IF(OR(INDEX(Origem!$AB$10:$AB$509,MATCH($A212,Origem!$A$10:$A$509,0))="",INDEX(Origem!$AB$10:$AB$509,MATCH($A212,Origem!$A$10:$A$509,0))="—"),"Origem: sem classificação","Origem: "&amp;INDEX(Origem!$AB$10:$AB$509,MATCH($A212,Origem!$A$10:$A$509,0))&amp;IF(INDEX(Origem!$AC$10:$AC$509,MATCH($A212,Origem!$A$10:$A$509,0))=""," (sem pontuação)"," • "&amp;INDEX(Origem!$AC$10:$AC$509,MATCH($A212,Origem!$A$10:$A$509,0))&amp;" pontos")),"Origem: sem classificação"))</f>
        <v/>
      </c>
      <c r="F212" s="10"/>
      <c r="G212" s="6"/>
    </row>
    <row r="213" spans="1:7" ht="48" customHeight="1">
      <c r="A213" s="7"/>
      <c r="B213" s="6"/>
      <c r="C213" s="6"/>
      <c r="D213" s="6"/>
      <c r="E213" s="6" t="str">
        <f>IF($A213="","",IFERROR(INDEX(Processos!$AR$10:$AR$509,MATCH($A213,Processos!$A$10:$A$509,0)),"")&amp;CHAR(10)&amp;IFERROR(IF(OR(INDEX(Origem!$AB$10:$AB$509,MATCH($A213,Origem!$A$10:$A$509,0))="",INDEX(Origem!$AB$10:$AB$509,MATCH($A213,Origem!$A$10:$A$509,0))="—"),"Origem: sem classificação","Origem: "&amp;INDEX(Origem!$AB$10:$AB$509,MATCH($A213,Origem!$A$10:$A$509,0))&amp;IF(INDEX(Origem!$AC$10:$AC$509,MATCH($A213,Origem!$A$10:$A$509,0))=""," (sem pontuação)"," • "&amp;INDEX(Origem!$AC$10:$AC$509,MATCH($A213,Origem!$A$10:$A$509,0))&amp;" pontos")),"Origem: sem classificação"))</f>
        <v/>
      </c>
      <c r="F213" s="10"/>
      <c r="G213" s="6"/>
    </row>
    <row r="214" spans="1:7" ht="48" customHeight="1">
      <c r="A214" s="7"/>
      <c r="B214" s="6"/>
      <c r="C214" s="6"/>
      <c r="D214" s="6"/>
      <c r="E214" s="6" t="str">
        <f>IF($A214="","",IFERROR(INDEX(Processos!$AR$10:$AR$509,MATCH($A214,Processos!$A$10:$A$509,0)),"")&amp;CHAR(10)&amp;IFERROR(IF(OR(INDEX(Origem!$AB$10:$AB$509,MATCH($A214,Origem!$A$10:$A$509,0))="",INDEX(Origem!$AB$10:$AB$509,MATCH($A214,Origem!$A$10:$A$509,0))="—"),"Origem: sem classificação","Origem: "&amp;INDEX(Origem!$AB$10:$AB$509,MATCH($A214,Origem!$A$10:$A$509,0))&amp;IF(INDEX(Origem!$AC$10:$AC$509,MATCH($A214,Origem!$A$10:$A$509,0))=""," (sem pontuação)"," • "&amp;INDEX(Origem!$AC$10:$AC$509,MATCH($A214,Origem!$A$10:$A$509,0))&amp;" pontos")),"Origem: sem classificação"))</f>
        <v/>
      </c>
      <c r="F214" s="10"/>
      <c r="G214" s="6"/>
    </row>
    <row r="215" spans="1:7" ht="48" customHeight="1">
      <c r="A215" s="7"/>
      <c r="B215" s="6"/>
      <c r="C215" s="6"/>
      <c r="D215" s="6"/>
      <c r="E215" s="6" t="str">
        <f>IF($A215="","",IFERROR(INDEX(Processos!$AR$10:$AR$509,MATCH($A215,Processos!$A$10:$A$509,0)),"")&amp;CHAR(10)&amp;IFERROR(IF(OR(INDEX(Origem!$AB$10:$AB$509,MATCH($A215,Origem!$A$10:$A$509,0))="",INDEX(Origem!$AB$10:$AB$509,MATCH($A215,Origem!$A$10:$A$509,0))="—"),"Origem: sem classificação","Origem: "&amp;INDEX(Origem!$AB$10:$AB$509,MATCH($A215,Origem!$A$10:$A$509,0))&amp;IF(INDEX(Origem!$AC$10:$AC$509,MATCH($A215,Origem!$A$10:$A$509,0))=""," (sem pontuação)"," • "&amp;INDEX(Origem!$AC$10:$AC$509,MATCH($A215,Origem!$A$10:$A$509,0))&amp;" pontos")),"Origem: sem classificação"))</f>
        <v/>
      </c>
      <c r="F215" s="10"/>
      <c r="G215" s="6"/>
    </row>
    <row r="216" spans="1:7" ht="48" customHeight="1">
      <c r="A216" s="7"/>
      <c r="B216" s="6"/>
      <c r="C216" s="6"/>
      <c r="D216" s="6"/>
      <c r="E216" s="6" t="str">
        <f>IF($A216="","",IFERROR(INDEX(Processos!$AR$10:$AR$509,MATCH($A216,Processos!$A$10:$A$509,0)),"")&amp;CHAR(10)&amp;IFERROR(IF(OR(INDEX(Origem!$AB$10:$AB$509,MATCH($A216,Origem!$A$10:$A$509,0))="",INDEX(Origem!$AB$10:$AB$509,MATCH($A216,Origem!$A$10:$A$509,0))="—"),"Origem: sem classificação","Origem: "&amp;INDEX(Origem!$AB$10:$AB$509,MATCH($A216,Origem!$A$10:$A$509,0))&amp;IF(INDEX(Origem!$AC$10:$AC$509,MATCH($A216,Origem!$A$10:$A$509,0))=""," (sem pontuação)"," • "&amp;INDEX(Origem!$AC$10:$AC$509,MATCH($A216,Origem!$A$10:$A$509,0))&amp;" pontos")),"Origem: sem classificação"))</f>
        <v/>
      </c>
      <c r="F216" s="10"/>
      <c r="G216" s="6"/>
    </row>
    <row r="217" spans="1:7" ht="48" customHeight="1">
      <c r="A217" s="7"/>
      <c r="B217" s="6"/>
      <c r="C217" s="6"/>
      <c r="D217" s="6"/>
      <c r="E217" s="6" t="str">
        <f>IF($A217="","",IFERROR(INDEX(Processos!$AR$10:$AR$509,MATCH($A217,Processos!$A$10:$A$509,0)),"")&amp;CHAR(10)&amp;IFERROR(IF(OR(INDEX(Origem!$AB$10:$AB$509,MATCH($A217,Origem!$A$10:$A$509,0))="",INDEX(Origem!$AB$10:$AB$509,MATCH($A217,Origem!$A$10:$A$509,0))="—"),"Origem: sem classificação","Origem: "&amp;INDEX(Origem!$AB$10:$AB$509,MATCH($A217,Origem!$A$10:$A$509,0))&amp;IF(INDEX(Origem!$AC$10:$AC$509,MATCH($A217,Origem!$A$10:$A$509,0))=""," (sem pontuação)"," • "&amp;INDEX(Origem!$AC$10:$AC$509,MATCH($A217,Origem!$A$10:$A$509,0))&amp;" pontos")),"Origem: sem classificação"))</f>
        <v/>
      </c>
      <c r="F217" s="10"/>
      <c r="G217" s="6"/>
    </row>
    <row r="218" spans="1:7" ht="48" customHeight="1">
      <c r="A218" s="7"/>
      <c r="B218" s="6"/>
      <c r="C218" s="6"/>
      <c r="D218" s="6"/>
      <c r="E218" s="6" t="str">
        <f>IF($A218="","",IFERROR(INDEX(Processos!$AR$10:$AR$509,MATCH($A218,Processos!$A$10:$A$509,0)),"")&amp;CHAR(10)&amp;IFERROR(IF(OR(INDEX(Origem!$AB$10:$AB$509,MATCH($A218,Origem!$A$10:$A$509,0))="",INDEX(Origem!$AB$10:$AB$509,MATCH($A218,Origem!$A$10:$A$509,0))="—"),"Origem: sem classificação","Origem: "&amp;INDEX(Origem!$AB$10:$AB$509,MATCH($A218,Origem!$A$10:$A$509,0))&amp;IF(INDEX(Origem!$AC$10:$AC$509,MATCH($A218,Origem!$A$10:$A$509,0))=""," (sem pontuação)"," • "&amp;INDEX(Origem!$AC$10:$AC$509,MATCH($A218,Origem!$A$10:$A$509,0))&amp;" pontos")),"Origem: sem classificação"))</f>
        <v/>
      </c>
      <c r="F218" s="10"/>
      <c r="G218" s="6"/>
    </row>
    <row r="219" spans="1:7" ht="48" customHeight="1">
      <c r="A219" s="7"/>
      <c r="B219" s="6"/>
      <c r="C219" s="6"/>
      <c r="D219" s="6"/>
      <c r="E219" s="6" t="str">
        <f>IF($A219="","",IFERROR(INDEX(Processos!$AR$10:$AR$509,MATCH($A219,Processos!$A$10:$A$509,0)),"")&amp;CHAR(10)&amp;IFERROR(IF(OR(INDEX(Origem!$AB$10:$AB$509,MATCH($A219,Origem!$A$10:$A$509,0))="",INDEX(Origem!$AB$10:$AB$509,MATCH($A219,Origem!$A$10:$A$509,0))="—"),"Origem: sem classificação","Origem: "&amp;INDEX(Origem!$AB$10:$AB$509,MATCH($A219,Origem!$A$10:$A$509,0))&amp;IF(INDEX(Origem!$AC$10:$AC$509,MATCH($A219,Origem!$A$10:$A$509,0))=""," (sem pontuação)"," • "&amp;INDEX(Origem!$AC$10:$AC$509,MATCH($A219,Origem!$A$10:$A$509,0))&amp;" pontos")),"Origem: sem classificação"))</f>
        <v/>
      </c>
      <c r="F219" s="10"/>
      <c r="G219" s="6"/>
    </row>
    <row r="220" spans="1:7" ht="48" customHeight="1">
      <c r="A220" s="7"/>
      <c r="B220" s="6"/>
      <c r="C220" s="6"/>
      <c r="D220" s="6"/>
      <c r="E220" s="6" t="str">
        <f>IF($A220="","",IFERROR(INDEX(Processos!$AR$10:$AR$509,MATCH($A220,Processos!$A$10:$A$509,0)),"")&amp;CHAR(10)&amp;IFERROR(IF(OR(INDEX(Origem!$AB$10:$AB$509,MATCH($A220,Origem!$A$10:$A$509,0))="",INDEX(Origem!$AB$10:$AB$509,MATCH($A220,Origem!$A$10:$A$509,0))="—"),"Origem: sem classificação","Origem: "&amp;INDEX(Origem!$AB$10:$AB$509,MATCH($A220,Origem!$A$10:$A$509,0))&amp;IF(INDEX(Origem!$AC$10:$AC$509,MATCH($A220,Origem!$A$10:$A$509,0))=""," (sem pontuação)"," • "&amp;INDEX(Origem!$AC$10:$AC$509,MATCH($A220,Origem!$A$10:$A$509,0))&amp;" pontos")),"Origem: sem classificação"))</f>
        <v/>
      </c>
      <c r="F220" s="10"/>
      <c r="G220" s="6"/>
    </row>
    <row r="221" spans="1:7" ht="48" customHeight="1">
      <c r="A221" s="7"/>
      <c r="B221" s="6"/>
      <c r="C221" s="6"/>
      <c r="D221" s="6"/>
      <c r="E221" s="6" t="str">
        <f>IF($A221="","",IFERROR(INDEX(Processos!$AR$10:$AR$509,MATCH($A221,Processos!$A$10:$A$509,0)),"")&amp;CHAR(10)&amp;IFERROR(IF(OR(INDEX(Origem!$AB$10:$AB$509,MATCH($A221,Origem!$A$10:$A$509,0))="",INDEX(Origem!$AB$10:$AB$509,MATCH($A221,Origem!$A$10:$A$509,0))="—"),"Origem: sem classificação","Origem: "&amp;INDEX(Origem!$AB$10:$AB$509,MATCH($A221,Origem!$A$10:$A$509,0))&amp;IF(INDEX(Origem!$AC$10:$AC$509,MATCH($A221,Origem!$A$10:$A$509,0))=""," (sem pontuação)"," • "&amp;INDEX(Origem!$AC$10:$AC$509,MATCH($A221,Origem!$A$10:$A$509,0))&amp;" pontos")),"Origem: sem classificação"))</f>
        <v/>
      </c>
      <c r="F221" s="10"/>
      <c r="G221" s="6"/>
    </row>
    <row r="222" spans="1:7" ht="48" customHeight="1">
      <c r="A222" s="7"/>
      <c r="B222" s="6"/>
      <c r="C222" s="6"/>
      <c r="D222" s="6"/>
      <c r="E222" s="6" t="str">
        <f>IF($A222="","",IFERROR(INDEX(Processos!$AR$10:$AR$509,MATCH($A222,Processos!$A$10:$A$509,0)),"")&amp;CHAR(10)&amp;IFERROR(IF(OR(INDEX(Origem!$AB$10:$AB$509,MATCH($A222,Origem!$A$10:$A$509,0))="",INDEX(Origem!$AB$10:$AB$509,MATCH($A222,Origem!$A$10:$A$509,0))="—"),"Origem: sem classificação","Origem: "&amp;INDEX(Origem!$AB$10:$AB$509,MATCH($A222,Origem!$A$10:$A$509,0))&amp;IF(INDEX(Origem!$AC$10:$AC$509,MATCH($A222,Origem!$A$10:$A$509,0))=""," (sem pontuação)"," • "&amp;INDEX(Origem!$AC$10:$AC$509,MATCH($A222,Origem!$A$10:$A$509,0))&amp;" pontos")),"Origem: sem classificação"))</f>
        <v/>
      </c>
      <c r="F222" s="10"/>
      <c r="G222" s="6"/>
    </row>
    <row r="223" spans="1:7" ht="48" customHeight="1">
      <c r="A223" s="7"/>
      <c r="B223" s="6"/>
      <c r="C223" s="6"/>
      <c r="D223" s="6"/>
      <c r="E223" s="6" t="str">
        <f>IF($A223="","",IFERROR(INDEX(Processos!$AR$10:$AR$509,MATCH($A223,Processos!$A$10:$A$509,0)),"")&amp;CHAR(10)&amp;IFERROR(IF(OR(INDEX(Origem!$AB$10:$AB$509,MATCH($A223,Origem!$A$10:$A$509,0))="",INDEX(Origem!$AB$10:$AB$509,MATCH($A223,Origem!$A$10:$A$509,0))="—"),"Origem: sem classificação","Origem: "&amp;INDEX(Origem!$AB$10:$AB$509,MATCH($A223,Origem!$A$10:$A$509,0))&amp;IF(INDEX(Origem!$AC$10:$AC$509,MATCH($A223,Origem!$A$10:$A$509,0))=""," (sem pontuação)"," • "&amp;INDEX(Origem!$AC$10:$AC$509,MATCH($A223,Origem!$A$10:$A$509,0))&amp;" pontos")),"Origem: sem classificação"))</f>
        <v/>
      </c>
      <c r="F223" s="10"/>
      <c r="G223" s="6"/>
    </row>
    <row r="224" spans="1:7" ht="48" customHeight="1">
      <c r="A224" s="7"/>
      <c r="B224" s="6"/>
      <c r="C224" s="6"/>
      <c r="D224" s="6"/>
      <c r="E224" s="6" t="str">
        <f>IF($A224="","",IFERROR(INDEX(Processos!$AR$10:$AR$509,MATCH($A224,Processos!$A$10:$A$509,0)),"")&amp;CHAR(10)&amp;IFERROR(IF(OR(INDEX(Origem!$AB$10:$AB$509,MATCH($A224,Origem!$A$10:$A$509,0))="",INDEX(Origem!$AB$10:$AB$509,MATCH($A224,Origem!$A$10:$A$509,0))="—"),"Origem: sem classificação","Origem: "&amp;INDEX(Origem!$AB$10:$AB$509,MATCH($A224,Origem!$A$10:$A$509,0))&amp;IF(INDEX(Origem!$AC$10:$AC$509,MATCH($A224,Origem!$A$10:$A$509,0))=""," (sem pontuação)"," • "&amp;INDEX(Origem!$AC$10:$AC$509,MATCH($A224,Origem!$A$10:$A$509,0))&amp;" pontos")),"Origem: sem classificação"))</f>
        <v/>
      </c>
      <c r="F224" s="10"/>
      <c r="G224" s="6"/>
    </row>
    <row r="225" spans="1:7" ht="48" customHeight="1">
      <c r="A225" s="7"/>
      <c r="B225" s="6"/>
      <c r="C225" s="6"/>
      <c r="D225" s="6"/>
      <c r="E225" s="6" t="str">
        <f>IF($A225="","",IFERROR(INDEX(Processos!$AR$10:$AR$509,MATCH($A225,Processos!$A$10:$A$509,0)),"")&amp;CHAR(10)&amp;IFERROR(IF(OR(INDEX(Origem!$AB$10:$AB$509,MATCH($A225,Origem!$A$10:$A$509,0))="",INDEX(Origem!$AB$10:$AB$509,MATCH($A225,Origem!$A$10:$A$509,0))="—"),"Origem: sem classificação","Origem: "&amp;INDEX(Origem!$AB$10:$AB$509,MATCH($A225,Origem!$A$10:$A$509,0))&amp;IF(INDEX(Origem!$AC$10:$AC$509,MATCH($A225,Origem!$A$10:$A$509,0))=""," (sem pontuação)"," • "&amp;INDEX(Origem!$AC$10:$AC$509,MATCH($A225,Origem!$A$10:$A$509,0))&amp;" pontos")),"Origem: sem classificação"))</f>
        <v/>
      </c>
      <c r="F225" s="10"/>
      <c r="G225" s="6"/>
    </row>
    <row r="226" spans="1:7" ht="48" customHeight="1">
      <c r="A226" s="7"/>
      <c r="B226" s="6"/>
      <c r="C226" s="6"/>
      <c r="D226" s="6"/>
      <c r="E226" s="6" t="str">
        <f>IF($A226="","",IFERROR(INDEX(Processos!$AR$10:$AR$509,MATCH($A226,Processos!$A$10:$A$509,0)),"")&amp;CHAR(10)&amp;IFERROR(IF(OR(INDEX(Origem!$AB$10:$AB$509,MATCH($A226,Origem!$A$10:$A$509,0))="",INDEX(Origem!$AB$10:$AB$509,MATCH($A226,Origem!$A$10:$A$509,0))="—"),"Origem: sem classificação","Origem: "&amp;INDEX(Origem!$AB$10:$AB$509,MATCH($A226,Origem!$A$10:$A$509,0))&amp;IF(INDEX(Origem!$AC$10:$AC$509,MATCH($A226,Origem!$A$10:$A$509,0))=""," (sem pontuação)"," • "&amp;INDEX(Origem!$AC$10:$AC$509,MATCH($A226,Origem!$A$10:$A$509,0))&amp;" pontos")),"Origem: sem classificação"))</f>
        <v/>
      </c>
      <c r="F226" s="10"/>
      <c r="G226" s="6"/>
    </row>
    <row r="227" spans="1:7" ht="48" customHeight="1">
      <c r="A227" s="7"/>
      <c r="B227" s="6"/>
      <c r="C227" s="6"/>
      <c r="D227" s="6"/>
      <c r="E227" s="6" t="str">
        <f>IF($A227="","",IFERROR(INDEX(Processos!$AR$10:$AR$509,MATCH($A227,Processos!$A$10:$A$509,0)),"")&amp;CHAR(10)&amp;IFERROR(IF(OR(INDEX(Origem!$AB$10:$AB$509,MATCH($A227,Origem!$A$10:$A$509,0))="",INDEX(Origem!$AB$10:$AB$509,MATCH($A227,Origem!$A$10:$A$509,0))="—"),"Origem: sem classificação","Origem: "&amp;INDEX(Origem!$AB$10:$AB$509,MATCH($A227,Origem!$A$10:$A$509,0))&amp;IF(INDEX(Origem!$AC$10:$AC$509,MATCH($A227,Origem!$A$10:$A$509,0))=""," (sem pontuação)"," • "&amp;INDEX(Origem!$AC$10:$AC$509,MATCH($A227,Origem!$A$10:$A$509,0))&amp;" pontos")),"Origem: sem classificação"))</f>
        <v/>
      </c>
      <c r="F227" s="10"/>
      <c r="G227" s="6"/>
    </row>
    <row r="228" spans="1:7" ht="48" customHeight="1">
      <c r="A228" s="7"/>
      <c r="B228" s="6"/>
      <c r="C228" s="6"/>
      <c r="D228" s="6"/>
      <c r="E228" s="6" t="str">
        <f>IF($A228="","",IFERROR(INDEX(Processos!$AR$10:$AR$509,MATCH($A228,Processos!$A$10:$A$509,0)),"")&amp;CHAR(10)&amp;IFERROR(IF(OR(INDEX(Origem!$AB$10:$AB$509,MATCH($A228,Origem!$A$10:$A$509,0))="",INDEX(Origem!$AB$10:$AB$509,MATCH($A228,Origem!$A$10:$A$509,0))="—"),"Origem: sem classificação","Origem: "&amp;INDEX(Origem!$AB$10:$AB$509,MATCH($A228,Origem!$A$10:$A$509,0))&amp;IF(INDEX(Origem!$AC$10:$AC$509,MATCH($A228,Origem!$A$10:$A$509,0))=""," (sem pontuação)"," • "&amp;INDEX(Origem!$AC$10:$AC$509,MATCH($A228,Origem!$A$10:$A$509,0))&amp;" pontos")),"Origem: sem classificação"))</f>
        <v/>
      </c>
      <c r="F228" s="10"/>
      <c r="G228" s="6"/>
    </row>
    <row r="229" spans="1:7" ht="48" customHeight="1">
      <c r="A229" s="7"/>
      <c r="B229" s="6"/>
      <c r="C229" s="6"/>
      <c r="D229" s="6"/>
      <c r="E229" s="6" t="str">
        <f>IF($A229="","",IFERROR(INDEX(Processos!$AR$10:$AR$509,MATCH($A229,Processos!$A$10:$A$509,0)),"")&amp;CHAR(10)&amp;IFERROR(IF(OR(INDEX(Origem!$AB$10:$AB$509,MATCH($A229,Origem!$A$10:$A$509,0))="",INDEX(Origem!$AB$10:$AB$509,MATCH($A229,Origem!$A$10:$A$509,0))="—"),"Origem: sem classificação","Origem: "&amp;INDEX(Origem!$AB$10:$AB$509,MATCH($A229,Origem!$A$10:$A$509,0))&amp;IF(INDEX(Origem!$AC$10:$AC$509,MATCH($A229,Origem!$A$10:$A$509,0))=""," (sem pontuação)"," • "&amp;INDEX(Origem!$AC$10:$AC$509,MATCH($A229,Origem!$A$10:$A$509,0))&amp;" pontos")),"Origem: sem classificação"))</f>
        <v/>
      </c>
      <c r="F229" s="10"/>
      <c r="G229" s="6"/>
    </row>
    <row r="230" spans="1:7" ht="48" customHeight="1">
      <c r="A230" s="7"/>
      <c r="B230" s="6"/>
      <c r="C230" s="6"/>
      <c r="D230" s="6"/>
      <c r="E230" s="6" t="str">
        <f>IF($A230="","",IFERROR(INDEX(Processos!$AR$10:$AR$509,MATCH($A230,Processos!$A$10:$A$509,0)),"")&amp;CHAR(10)&amp;IFERROR(IF(OR(INDEX(Origem!$AB$10:$AB$509,MATCH($A230,Origem!$A$10:$A$509,0))="",INDEX(Origem!$AB$10:$AB$509,MATCH($A230,Origem!$A$10:$A$509,0))="—"),"Origem: sem classificação","Origem: "&amp;INDEX(Origem!$AB$10:$AB$509,MATCH($A230,Origem!$A$10:$A$509,0))&amp;IF(INDEX(Origem!$AC$10:$AC$509,MATCH($A230,Origem!$A$10:$A$509,0))=""," (sem pontuação)"," • "&amp;INDEX(Origem!$AC$10:$AC$509,MATCH($A230,Origem!$A$10:$A$509,0))&amp;" pontos")),"Origem: sem classificação"))</f>
        <v/>
      </c>
      <c r="F230" s="10"/>
      <c r="G230" s="6"/>
    </row>
    <row r="231" spans="1:7" ht="48" customHeight="1">
      <c r="A231" s="7"/>
      <c r="B231" s="6"/>
      <c r="C231" s="6"/>
      <c r="D231" s="6"/>
      <c r="E231" s="6" t="str">
        <f>IF($A231="","",IFERROR(INDEX(Processos!$AR$10:$AR$509,MATCH($A231,Processos!$A$10:$A$509,0)),"")&amp;CHAR(10)&amp;IFERROR(IF(OR(INDEX(Origem!$AB$10:$AB$509,MATCH($A231,Origem!$A$10:$A$509,0))="",INDEX(Origem!$AB$10:$AB$509,MATCH($A231,Origem!$A$10:$A$509,0))="—"),"Origem: sem classificação","Origem: "&amp;INDEX(Origem!$AB$10:$AB$509,MATCH($A231,Origem!$A$10:$A$509,0))&amp;IF(INDEX(Origem!$AC$10:$AC$509,MATCH($A231,Origem!$A$10:$A$509,0))=""," (sem pontuação)"," • "&amp;INDEX(Origem!$AC$10:$AC$509,MATCH($A231,Origem!$A$10:$A$509,0))&amp;" pontos")),"Origem: sem classificação"))</f>
        <v/>
      </c>
      <c r="F231" s="10"/>
      <c r="G231" s="6"/>
    </row>
    <row r="232" spans="1:7" ht="48" customHeight="1">
      <c r="A232" s="7"/>
      <c r="B232" s="6"/>
      <c r="C232" s="6"/>
      <c r="D232" s="6"/>
      <c r="E232" s="6" t="str">
        <f>IF($A232="","",IFERROR(INDEX(Processos!$AR$10:$AR$509,MATCH($A232,Processos!$A$10:$A$509,0)),"")&amp;CHAR(10)&amp;IFERROR(IF(OR(INDEX(Origem!$AB$10:$AB$509,MATCH($A232,Origem!$A$10:$A$509,0))="",INDEX(Origem!$AB$10:$AB$509,MATCH($A232,Origem!$A$10:$A$509,0))="—"),"Origem: sem classificação","Origem: "&amp;INDEX(Origem!$AB$10:$AB$509,MATCH($A232,Origem!$A$10:$A$509,0))&amp;IF(INDEX(Origem!$AC$10:$AC$509,MATCH($A232,Origem!$A$10:$A$509,0))=""," (sem pontuação)"," • "&amp;INDEX(Origem!$AC$10:$AC$509,MATCH($A232,Origem!$A$10:$A$509,0))&amp;" pontos")),"Origem: sem classificação"))</f>
        <v/>
      </c>
      <c r="F232" s="10"/>
      <c r="G232" s="6"/>
    </row>
    <row r="233" spans="1:7" ht="48" customHeight="1">
      <c r="A233" s="7"/>
      <c r="B233" s="6"/>
      <c r="C233" s="6"/>
      <c r="D233" s="6"/>
      <c r="E233" s="6" t="str">
        <f>IF($A233="","",IFERROR(INDEX(Processos!$AR$10:$AR$509,MATCH($A233,Processos!$A$10:$A$509,0)),"")&amp;CHAR(10)&amp;IFERROR(IF(OR(INDEX(Origem!$AB$10:$AB$509,MATCH($A233,Origem!$A$10:$A$509,0))="",INDEX(Origem!$AB$10:$AB$509,MATCH($A233,Origem!$A$10:$A$509,0))="—"),"Origem: sem classificação","Origem: "&amp;INDEX(Origem!$AB$10:$AB$509,MATCH($A233,Origem!$A$10:$A$509,0))&amp;IF(INDEX(Origem!$AC$10:$AC$509,MATCH($A233,Origem!$A$10:$A$509,0))=""," (sem pontuação)"," • "&amp;INDEX(Origem!$AC$10:$AC$509,MATCH($A233,Origem!$A$10:$A$509,0))&amp;" pontos")),"Origem: sem classificação"))</f>
        <v/>
      </c>
      <c r="F233" s="10"/>
      <c r="G233" s="6"/>
    </row>
    <row r="234" spans="1:7" ht="48" customHeight="1">
      <c r="A234" s="7"/>
      <c r="B234" s="6"/>
      <c r="C234" s="6"/>
      <c r="D234" s="6"/>
      <c r="E234" s="6" t="str">
        <f>IF($A234="","",IFERROR(INDEX(Processos!$AR$10:$AR$509,MATCH($A234,Processos!$A$10:$A$509,0)),"")&amp;CHAR(10)&amp;IFERROR(IF(OR(INDEX(Origem!$AB$10:$AB$509,MATCH($A234,Origem!$A$10:$A$509,0))="",INDEX(Origem!$AB$10:$AB$509,MATCH($A234,Origem!$A$10:$A$509,0))="—"),"Origem: sem classificação","Origem: "&amp;INDEX(Origem!$AB$10:$AB$509,MATCH($A234,Origem!$A$10:$A$509,0))&amp;IF(INDEX(Origem!$AC$10:$AC$509,MATCH($A234,Origem!$A$10:$A$509,0))=""," (sem pontuação)"," • "&amp;INDEX(Origem!$AC$10:$AC$509,MATCH($A234,Origem!$A$10:$A$509,0))&amp;" pontos")),"Origem: sem classificação"))</f>
        <v/>
      </c>
      <c r="F234" s="10"/>
      <c r="G234" s="6"/>
    </row>
    <row r="235" spans="1:7" ht="48" customHeight="1">
      <c r="A235" s="7"/>
      <c r="B235" s="6"/>
      <c r="C235" s="6"/>
      <c r="D235" s="6"/>
      <c r="E235" s="6" t="str">
        <f>IF($A235="","",IFERROR(INDEX(Processos!$AR$10:$AR$509,MATCH($A235,Processos!$A$10:$A$509,0)),"")&amp;CHAR(10)&amp;IFERROR(IF(OR(INDEX(Origem!$AB$10:$AB$509,MATCH($A235,Origem!$A$10:$A$509,0))="",INDEX(Origem!$AB$10:$AB$509,MATCH($A235,Origem!$A$10:$A$509,0))="—"),"Origem: sem classificação","Origem: "&amp;INDEX(Origem!$AB$10:$AB$509,MATCH($A235,Origem!$A$10:$A$509,0))&amp;IF(INDEX(Origem!$AC$10:$AC$509,MATCH($A235,Origem!$A$10:$A$509,0))=""," (sem pontuação)"," • "&amp;INDEX(Origem!$AC$10:$AC$509,MATCH($A235,Origem!$A$10:$A$509,0))&amp;" pontos")),"Origem: sem classificação"))</f>
        <v/>
      </c>
      <c r="F235" s="10"/>
      <c r="G235" s="6"/>
    </row>
    <row r="236" spans="1:7" ht="48" customHeight="1">
      <c r="A236" s="7"/>
      <c r="B236" s="6"/>
      <c r="C236" s="6"/>
      <c r="D236" s="6"/>
      <c r="E236" s="6" t="str">
        <f>IF($A236="","",IFERROR(INDEX(Processos!$AR$10:$AR$509,MATCH($A236,Processos!$A$10:$A$509,0)),"")&amp;CHAR(10)&amp;IFERROR(IF(OR(INDEX(Origem!$AB$10:$AB$509,MATCH($A236,Origem!$A$10:$A$509,0))="",INDEX(Origem!$AB$10:$AB$509,MATCH($A236,Origem!$A$10:$A$509,0))="—"),"Origem: sem classificação","Origem: "&amp;INDEX(Origem!$AB$10:$AB$509,MATCH($A236,Origem!$A$10:$A$509,0))&amp;IF(INDEX(Origem!$AC$10:$AC$509,MATCH($A236,Origem!$A$10:$A$509,0))=""," (sem pontuação)"," • "&amp;INDEX(Origem!$AC$10:$AC$509,MATCH($A236,Origem!$A$10:$A$509,0))&amp;" pontos")),"Origem: sem classificação"))</f>
        <v/>
      </c>
      <c r="F236" s="10"/>
      <c r="G236" s="6"/>
    </row>
    <row r="237" spans="1:7" ht="48" customHeight="1">
      <c r="A237" s="7"/>
      <c r="B237" s="6"/>
      <c r="C237" s="6"/>
      <c r="D237" s="6"/>
      <c r="E237" s="6" t="str">
        <f>IF($A237="","",IFERROR(INDEX(Processos!$AR$10:$AR$509,MATCH($A237,Processos!$A$10:$A$509,0)),"")&amp;CHAR(10)&amp;IFERROR(IF(OR(INDEX(Origem!$AB$10:$AB$509,MATCH($A237,Origem!$A$10:$A$509,0))="",INDEX(Origem!$AB$10:$AB$509,MATCH($A237,Origem!$A$10:$A$509,0))="—"),"Origem: sem classificação","Origem: "&amp;INDEX(Origem!$AB$10:$AB$509,MATCH($A237,Origem!$A$10:$A$509,0))&amp;IF(INDEX(Origem!$AC$10:$AC$509,MATCH($A237,Origem!$A$10:$A$509,0))=""," (sem pontuação)"," • "&amp;INDEX(Origem!$AC$10:$AC$509,MATCH($A237,Origem!$A$10:$A$509,0))&amp;" pontos")),"Origem: sem classificação"))</f>
        <v/>
      </c>
      <c r="F237" s="10"/>
      <c r="G237" s="6"/>
    </row>
    <row r="238" spans="1:7" ht="48" customHeight="1">
      <c r="A238" s="7"/>
      <c r="B238" s="6"/>
      <c r="C238" s="6"/>
      <c r="D238" s="6"/>
      <c r="E238" s="6" t="str">
        <f>IF($A238="","",IFERROR(INDEX(Processos!$AR$10:$AR$509,MATCH($A238,Processos!$A$10:$A$509,0)),"")&amp;CHAR(10)&amp;IFERROR(IF(OR(INDEX(Origem!$AB$10:$AB$509,MATCH($A238,Origem!$A$10:$A$509,0))="",INDEX(Origem!$AB$10:$AB$509,MATCH($A238,Origem!$A$10:$A$509,0))="—"),"Origem: sem classificação","Origem: "&amp;INDEX(Origem!$AB$10:$AB$509,MATCH($A238,Origem!$A$10:$A$509,0))&amp;IF(INDEX(Origem!$AC$10:$AC$509,MATCH($A238,Origem!$A$10:$A$509,0))=""," (sem pontuação)"," • "&amp;INDEX(Origem!$AC$10:$AC$509,MATCH($A238,Origem!$A$10:$A$509,0))&amp;" pontos")),"Origem: sem classificação"))</f>
        <v/>
      </c>
      <c r="F238" s="10"/>
      <c r="G238" s="6"/>
    </row>
    <row r="239" spans="1:7" ht="48" customHeight="1">
      <c r="A239" s="7"/>
      <c r="B239" s="6"/>
      <c r="C239" s="6"/>
      <c r="D239" s="6"/>
      <c r="E239" s="6" t="str">
        <f>IF($A239="","",IFERROR(INDEX(Processos!$AR$10:$AR$509,MATCH($A239,Processos!$A$10:$A$509,0)),"")&amp;CHAR(10)&amp;IFERROR(IF(OR(INDEX(Origem!$AB$10:$AB$509,MATCH($A239,Origem!$A$10:$A$509,0))="",INDEX(Origem!$AB$10:$AB$509,MATCH($A239,Origem!$A$10:$A$509,0))="—"),"Origem: sem classificação","Origem: "&amp;INDEX(Origem!$AB$10:$AB$509,MATCH($A239,Origem!$A$10:$A$509,0))&amp;IF(INDEX(Origem!$AC$10:$AC$509,MATCH($A239,Origem!$A$10:$A$509,0))=""," (sem pontuação)"," • "&amp;INDEX(Origem!$AC$10:$AC$509,MATCH($A239,Origem!$A$10:$A$509,0))&amp;" pontos")),"Origem: sem classificação"))</f>
        <v/>
      </c>
      <c r="F239" s="10"/>
      <c r="G239" s="6"/>
    </row>
    <row r="240" spans="1:7" ht="48" customHeight="1">
      <c r="A240" s="7"/>
      <c r="B240" s="6"/>
      <c r="C240" s="6"/>
      <c r="D240" s="6"/>
      <c r="E240" s="6" t="str">
        <f>IF($A240="","",IFERROR(INDEX(Processos!$AR$10:$AR$509,MATCH($A240,Processos!$A$10:$A$509,0)),"")&amp;CHAR(10)&amp;IFERROR(IF(OR(INDEX(Origem!$AB$10:$AB$509,MATCH($A240,Origem!$A$10:$A$509,0))="",INDEX(Origem!$AB$10:$AB$509,MATCH($A240,Origem!$A$10:$A$509,0))="—"),"Origem: sem classificação","Origem: "&amp;INDEX(Origem!$AB$10:$AB$509,MATCH($A240,Origem!$A$10:$A$509,0))&amp;IF(INDEX(Origem!$AC$10:$AC$509,MATCH($A240,Origem!$A$10:$A$509,0))=""," (sem pontuação)"," • "&amp;INDEX(Origem!$AC$10:$AC$509,MATCH($A240,Origem!$A$10:$A$509,0))&amp;" pontos")),"Origem: sem classificação"))</f>
        <v/>
      </c>
      <c r="F240" s="10"/>
      <c r="G240" s="6"/>
    </row>
    <row r="241" spans="1:7" ht="48" customHeight="1">
      <c r="A241" s="7"/>
      <c r="B241" s="6"/>
      <c r="C241" s="6"/>
      <c r="D241" s="6"/>
      <c r="E241" s="6" t="str">
        <f>IF($A241="","",IFERROR(INDEX(Processos!$AR$10:$AR$509,MATCH($A241,Processos!$A$10:$A$509,0)),"")&amp;CHAR(10)&amp;IFERROR(IF(OR(INDEX(Origem!$AB$10:$AB$509,MATCH($A241,Origem!$A$10:$A$509,0))="",INDEX(Origem!$AB$10:$AB$509,MATCH($A241,Origem!$A$10:$A$509,0))="—"),"Origem: sem classificação","Origem: "&amp;INDEX(Origem!$AB$10:$AB$509,MATCH($A241,Origem!$A$10:$A$509,0))&amp;IF(INDEX(Origem!$AC$10:$AC$509,MATCH($A241,Origem!$A$10:$A$509,0))=""," (sem pontuação)"," • "&amp;INDEX(Origem!$AC$10:$AC$509,MATCH($A241,Origem!$A$10:$A$509,0))&amp;" pontos")),"Origem: sem classificação"))</f>
        <v/>
      </c>
      <c r="F241" s="10"/>
      <c r="G241" s="6"/>
    </row>
    <row r="242" spans="1:7" ht="48" customHeight="1">
      <c r="A242" s="7"/>
      <c r="B242" s="6"/>
      <c r="C242" s="6"/>
      <c r="D242" s="6"/>
      <c r="E242" s="6" t="str">
        <f>IF($A242="","",IFERROR(INDEX(Processos!$AR$10:$AR$509,MATCH($A242,Processos!$A$10:$A$509,0)),"")&amp;CHAR(10)&amp;IFERROR(IF(OR(INDEX(Origem!$AB$10:$AB$509,MATCH($A242,Origem!$A$10:$A$509,0))="",INDEX(Origem!$AB$10:$AB$509,MATCH($A242,Origem!$A$10:$A$509,0))="—"),"Origem: sem classificação","Origem: "&amp;INDEX(Origem!$AB$10:$AB$509,MATCH($A242,Origem!$A$10:$A$509,0))&amp;IF(INDEX(Origem!$AC$10:$AC$509,MATCH($A242,Origem!$A$10:$A$509,0))=""," (sem pontuação)"," • "&amp;INDEX(Origem!$AC$10:$AC$509,MATCH($A242,Origem!$A$10:$A$509,0))&amp;" pontos")),"Origem: sem classificação"))</f>
        <v/>
      </c>
      <c r="F242" s="10"/>
      <c r="G242" s="6"/>
    </row>
    <row r="243" spans="1:7" ht="48" customHeight="1">
      <c r="A243" s="7"/>
      <c r="B243" s="6"/>
      <c r="C243" s="6"/>
      <c r="D243" s="6"/>
      <c r="E243" s="6" t="str">
        <f>IF($A243="","",IFERROR(INDEX(Processos!$AR$10:$AR$509,MATCH($A243,Processos!$A$10:$A$509,0)),"")&amp;CHAR(10)&amp;IFERROR(IF(OR(INDEX(Origem!$AB$10:$AB$509,MATCH($A243,Origem!$A$10:$A$509,0))="",INDEX(Origem!$AB$10:$AB$509,MATCH($A243,Origem!$A$10:$A$509,0))="—"),"Origem: sem classificação","Origem: "&amp;INDEX(Origem!$AB$10:$AB$509,MATCH($A243,Origem!$A$10:$A$509,0))&amp;IF(INDEX(Origem!$AC$10:$AC$509,MATCH($A243,Origem!$A$10:$A$509,0))=""," (sem pontuação)"," • "&amp;INDEX(Origem!$AC$10:$AC$509,MATCH($A243,Origem!$A$10:$A$509,0))&amp;" pontos")),"Origem: sem classificação"))</f>
        <v/>
      </c>
      <c r="F243" s="10"/>
      <c r="G243" s="6"/>
    </row>
    <row r="244" spans="1:7" ht="48" customHeight="1">
      <c r="A244" s="7"/>
      <c r="B244" s="6"/>
      <c r="C244" s="6"/>
      <c r="D244" s="6"/>
      <c r="E244" s="6" t="str">
        <f>IF($A244="","",IFERROR(INDEX(Processos!$AR$10:$AR$509,MATCH($A244,Processos!$A$10:$A$509,0)),"")&amp;CHAR(10)&amp;IFERROR(IF(OR(INDEX(Origem!$AB$10:$AB$509,MATCH($A244,Origem!$A$10:$A$509,0))="",INDEX(Origem!$AB$10:$AB$509,MATCH($A244,Origem!$A$10:$A$509,0))="—"),"Origem: sem classificação","Origem: "&amp;INDEX(Origem!$AB$10:$AB$509,MATCH($A244,Origem!$A$10:$A$509,0))&amp;IF(INDEX(Origem!$AC$10:$AC$509,MATCH($A244,Origem!$A$10:$A$509,0))=""," (sem pontuação)"," • "&amp;INDEX(Origem!$AC$10:$AC$509,MATCH($A244,Origem!$A$10:$A$509,0))&amp;" pontos")),"Origem: sem classificação"))</f>
        <v/>
      </c>
      <c r="F244" s="10"/>
      <c r="G244" s="6"/>
    </row>
    <row r="245" spans="1:7" ht="48" customHeight="1">
      <c r="A245" s="7"/>
      <c r="B245" s="6"/>
      <c r="C245" s="6"/>
      <c r="D245" s="6"/>
      <c r="E245" s="6" t="str">
        <f>IF($A245="","",IFERROR(INDEX(Processos!$AR$10:$AR$509,MATCH($A245,Processos!$A$10:$A$509,0)),"")&amp;CHAR(10)&amp;IFERROR(IF(OR(INDEX(Origem!$AB$10:$AB$509,MATCH($A245,Origem!$A$10:$A$509,0))="",INDEX(Origem!$AB$10:$AB$509,MATCH($A245,Origem!$A$10:$A$509,0))="—"),"Origem: sem classificação","Origem: "&amp;INDEX(Origem!$AB$10:$AB$509,MATCH($A245,Origem!$A$10:$A$509,0))&amp;IF(INDEX(Origem!$AC$10:$AC$509,MATCH($A245,Origem!$A$10:$A$509,0))=""," (sem pontuação)"," • "&amp;INDEX(Origem!$AC$10:$AC$509,MATCH($A245,Origem!$A$10:$A$509,0))&amp;" pontos")),"Origem: sem classificação"))</f>
        <v/>
      </c>
      <c r="F245" s="10"/>
      <c r="G245" s="6"/>
    </row>
    <row r="246" spans="1:7" ht="48" customHeight="1">
      <c r="A246" s="7"/>
      <c r="B246" s="6"/>
      <c r="C246" s="6"/>
      <c r="D246" s="6"/>
      <c r="E246" s="6" t="str">
        <f>IF($A246="","",IFERROR(INDEX(Processos!$AR$10:$AR$509,MATCH($A246,Processos!$A$10:$A$509,0)),"")&amp;CHAR(10)&amp;IFERROR(IF(OR(INDEX(Origem!$AB$10:$AB$509,MATCH($A246,Origem!$A$10:$A$509,0))="",INDEX(Origem!$AB$10:$AB$509,MATCH($A246,Origem!$A$10:$A$509,0))="—"),"Origem: sem classificação","Origem: "&amp;INDEX(Origem!$AB$10:$AB$509,MATCH($A246,Origem!$A$10:$A$509,0))&amp;IF(INDEX(Origem!$AC$10:$AC$509,MATCH($A246,Origem!$A$10:$A$509,0))=""," (sem pontuação)"," • "&amp;INDEX(Origem!$AC$10:$AC$509,MATCH($A246,Origem!$A$10:$A$509,0))&amp;" pontos")),"Origem: sem classificação"))</f>
        <v/>
      </c>
      <c r="F246" s="10"/>
      <c r="G246" s="6"/>
    </row>
    <row r="247" spans="1:7" ht="48" customHeight="1">
      <c r="A247" s="7"/>
      <c r="B247" s="6"/>
      <c r="C247" s="6"/>
      <c r="D247" s="6"/>
      <c r="E247" s="6" t="str">
        <f>IF($A247="","",IFERROR(INDEX(Processos!$AR$10:$AR$509,MATCH($A247,Processos!$A$10:$A$509,0)),"")&amp;CHAR(10)&amp;IFERROR(IF(OR(INDEX(Origem!$AB$10:$AB$509,MATCH($A247,Origem!$A$10:$A$509,0))="",INDEX(Origem!$AB$10:$AB$509,MATCH($A247,Origem!$A$10:$A$509,0))="—"),"Origem: sem classificação","Origem: "&amp;INDEX(Origem!$AB$10:$AB$509,MATCH($A247,Origem!$A$10:$A$509,0))&amp;IF(INDEX(Origem!$AC$10:$AC$509,MATCH($A247,Origem!$A$10:$A$509,0))=""," (sem pontuação)"," • "&amp;INDEX(Origem!$AC$10:$AC$509,MATCH($A247,Origem!$A$10:$A$509,0))&amp;" pontos")),"Origem: sem classificação"))</f>
        <v/>
      </c>
      <c r="F247" s="10"/>
      <c r="G247" s="6"/>
    </row>
    <row r="248" spans="1:7" ht="48" customHeight="1">
      <c r="A248" s="7"/>
      <c r="B248" s="6"/>
      <c r="C248" s="6"/>
      <c r="D248" s="6"/>
      <c r="E248" s="6" t="str">
        <f>IF($A248="","",IFERROR(INDEX(Processos!$AR$10:$AR$509,MATCH($A248,Processos!$A$10:$A$509,0)),"")&amp;CHAR(10)&amp;IFERROR(IF(OR(INDEX(Origem!$AB$10:$AB$509,MATCH($A248,Origem!$A$10:$A$509,0))="",INDEX(Origem!$AB$10:$AB$509,MATCH($A248,Origem!$A$10:$A$509,0))="—"),"Origem: sem classificação","Origem: "&amp;INDEX(Origem!$AB$10:$AB$509,MATCH($A248,Origem!$A$10:$A$509,0))&amp;IF(INDEX(Origem!$AC$10:$AC$509,MATCH($A248,Origem!$A$10:$A$509,0))=""," (sem pontuação)"," • "&amp;INDEX(Origem!$AC$10:$AC$509,MATCH($A248,Origem!$A$10:$A$509,0))&amp;" pontos")),"Origem: sem classificação"))</f>
        <v/>
      </c>
      <c r="F248" s="10"/>
      <c r="G248" s="6"/>
    </row>
    <row r="249" spans="1:7" ht="48" customHeight="1">
      <c r="A249" s="7"/>
      <c r="B249" s="6"/>
      <c r="C249" s="6"/>
      <c r="D249" s="6"/>
      <c r="E249" s="6" t="str">
        <f>IF($A249="","",IFERROR(INDEX(Processos!$AR$10:$AR$509,MATCH($A249,Processos!$A$10:$A$509,0)),"")&amp;CHAR(10)&amp;IFERROR(IF(OR(INDEX(Origem!$AB$10:$AB$509,MATCH($A249,Origem!$A$10:$A$509,0))="",INDEX(Origem!$AB$10:$AB$509,MATCH($A249,Origem!$A$10:$A$509,0))="—"),"Origem: sem classificação","Origem: "&amp;INDEX(Origem!$AB$10:$AB$509,MATCH($A249,Origem!$A$10:$A$509,0))&amp;IF(INDEX(Origem!$AC$10:$AC$509,MATCH($A249,Origem!$A$10:$A$509,0))=""," (sem pontuação)"," • "&amp;INDEX(Origem!$AC$10:$AC$509,MATCH($A249,Origem!$A$10:$A$509,0))&amp;" pontos")),"Origem: sem classificação"))</f>
        <v/>
      </c>
      <c r="F249" s="10"/>
      <c r="G249" s="6"/>
    </row>
    <row r="250" spans="1:7" ht="48" customHeight="1">
      <c r="A250" s="7"/>
      <c r="B250" s="6"/>
      <c r="C250" s="6"/>
      <c r="D250" s="6"/>
      <c r="E250" s="6" t="str">
        <f>IF($A250="","",IFERROR(INDEX(Processos!$AR$10:$AR$509,MATCH($A250,Processos!$A$10:$A$509,0)),"")&amp;CHAR(10)&amp;IFERROR(IF(OR(INDEX(Origem!$AB$10:$AB$509,MATCH($A250,Origem!$A$10:$A$509,0))="",INDEX(Origem!$AB$10:$AB$509,MATCH($A250,Origem!$A$10:$A$509,0))="—"),"Origem: sem classificação","Origem: "&amp;INDEX(Origem!$AB$10:$AB$509,MATCH($A250,Origem!$A$10:$A$509,0))&amp;IF(INDEX(Origem!$AC$10:$AC$509,MATCH($A250,Origem!$A$10:$A$509,0))=""," (sem pontuação)"," • "&amp;INDEX(Origem!$AC$10:$AC$509,MATCH($A250,Origem!$A$10:$A$509,0))&amp;" pontos")),"Origem: sem classificação"))</f>
        <v/>
      </c>
      <c r="F250" s="10"/>
      <c r="G250" s="6"/>
    </row>
    <row r="251" spans="1:7" ht="48" customHeight="1">
      <c r="A251" s="7"/>
      <c r="B251" s="6"/>
      <c r="C251" s="6"/>
      <c r="D251" s="6"/>
      <c r="E251" s="6" t="str">
        <f>IF($A251="","",IFERROR(INDEX(Processos!$AR$10:$AR$509,MATCH($A251,Processos!$A$10:$A$509,0)),"")&amp;CHAR(10)&amp;IFERROR(IF(OR(INDEX(Origem!$AB$10:$AB$509,MATCH($A251,Origem!$A$10:$A$509,0))="",INDEX(Origem!$AB$10:$AB$509,MATCH($A251,Origem!$A$10:$A$509,0))="—"),"Origem: sem classificação","Origem: "&amp;INDEX(Origem!$AB$10:$AB$509,MATCH($A251,Origem!$A$10:$A$509,0))&amp;IF(INDEX(Origem!$AC$10:$AC$509,MATCH($A251,Origem!$A$10:$A$509,0))=""," (sem pontuação)"," • "&amp;INDEX(Origem!$AC$10:$AC$509,MATCH($A251,Origem!$A$10:$A$509,0))&amp;" pontos")),"Origem: sem classificação"))</f>
        <v/>
      </c>
      <c r="F251" s="10"/>
      <c r="G251" s="6"/>
    </row>
    <row r="252" spans="1:7" ht="48" customHeight="1">
      <c r="A252" s="7"/>
      <c r="B252" s="6"/>
      <c r="C252" s="6"/>
      <c r="D252" s="6"/>
      <c r="E252" s="6" t="str">
        <f>IF($A252="","",IFERROR(INDEX(Processos!$AR$10:$AR$509,MATCH($A252,Processos!$A$10:$A$509,0)),"")&amp;CHAR(10)&amp;IFERROR(IF(OR(INDEX(Origem!$AB$10:$AB$509,MATCH($A252,Origem!$A$10:$A$509,0))="",INDEX(Origem!$AB$10:$AB$509,MATCH($A252,Origem!$A$10:$A$509,0))="—"),"Origem: sem classificação","Origem: "&amp;INDEX(Origem!$AB$10:$AB$509,MATCH($A252,Origem!$A$10:$A$509,0))&amp;IF(INDEX(Origem!$AC$10:$AC$509,MATCH($A252,Origem!$A$10:$A$509,0))=""," (sem pontuação)"," • "&amp;INDEX(Origem!$AC$10:$AC$509,MATCH($A252,Origem!$A$10:$A$509,0))&amp;" pontos")),"Origem: sem classificação"))</f>
        <v/>
      </c>
      <c r="F252" s="10"/>
      <c r="G252" s="6"/>
    </row>
    <row r="253" spans="1:7" ht="48" customHeight="1">
      <c r="A253" s="7"/>
      <c r="B253" s="6"/>
      <c r="C253" s="6"/>
      <c r="D253" s="6"/>
      <c r="E253" s="6" t="str">
        <f>IF($A253="","",IFERROR(INDEX(Processos!$AR$10:$AR$509,MATCH($A253,Processos!$A$10:$A$509,0)),"")&amp;CHAR(10)&amp;IFERROR(IF(OR(INDEX(Origem!$AB$10:$AB$509,MATCH($A253,Origem!$A$10:$A$509,0))="",INDEX(Origem!$AB$10:$AB$509,MATCH($A253,Origem!$A$10:$A$509,0))="—"),"Origem: sem classificação","Origem: "&amp;INDEX(Origem!$AB$10:$AB$509,MATCH($A253,Origem!$A$10:$A$509,0))&amp;IF(INDEX(Origem!$AC$10:$AC$509,MATCH($A253,Origem!$A$10:$A$509,0))=""," (sem pontuação)"," • "&amp;INDEX(Origem!$AC$10:$AC$509,MATCH($A253,Origem!$A$10:$A$509,0))&amp;" pontos")),"Origem: sem classificação"))</f>
        <v/>
      </c>
      <c r="F253" s="10"/>
      <c r="G253" s="6"/>
    </row>
    <row r="254" spans="1:7" ht="48" customHeight="1">
      <c r="A254" s="7"/>
      <c r="B254" s="6"/>
      <c r="C254" s="6"/>
      <c r="D254" s="6"/>
      <c r="E254" s="6" t="str">
        <f>IF($A254="","",IFERROR(INDEX(Processos!$AR$10:$AR$509,MATCH($A254,Processos!$A$10:$A$509,0)),"")&amp;CHAR(10)&amp;IFERROR(IF(OR(INDEX(Origem!$AB$10:$AB$509,MATCH($A254,Origem!$A$10:$A$509,0))="",INDEX(Origem!$AB$10:$AB$509,MATCH($A254,Origem!$A$10:$A$509,0))="—"),"Origem: sem classificação","Origem: "&amp;INDEX(Origem!$AB$10:$AB$509,MATCH($A254,Origem!$A$10:$A$509,0))&amp;IF(INDEX(Origem!$AC$10:$AC$509,MATCH($A254,Origem!$A$10:$A$509,0))=""," (sem pontuação)"," • "&amp;INDEX(Origem!$AC$10:$AC$509,MATCH($A254,Origem!$A$10:$A$509,0))&amp;" pontos")),"Origem: sem classificação"))</f>
        <v/>
      </c>
      <c r="F254" s="10"/>
      <c r="G254" s="6"/>
    </row>
    <row r="255" spans="1:7" ht="48" customHeight="1">
      <c r="A255" s="7"/>
      <c r="B255" s="6"/>
      <c r="C255" s="6"/>
      <c r="D255" s="6"/>
      <c r="E255" s="6" t="str">
        <f>IF($A255="","",IFERROR(INDEX(Processos!$AR$10:$AR$509,MATCH($A255,Processos!$A$10:$A$509,0)),"")&amp;CHAR(10)&amp;IFERROR(IF(OR(INDEX(Origem!$AB$10:$AB$509,MATCH($A255,Origem!$A$10:$A$509,0))="",INDEX(Origem!$AB$10:$AB$509,MATCH($A255,Origem!$A$10:$A$509,0))="—"),"Origem: sem classificação","Origem: "&amp;INDEX(Origem!$AB$10:$AB$509,MATCH($A255,Origem!$A$10:$A$509,0))&amp;IF(INDEX(Origem!$AC$10:$AC$509,MATCH($A255,Origem!$A$10:$A$509,0))=""," (sem pontuação)"," • "&amp;INDEX(Origem!$AC$10:$AC$509,MATCH($A255,Origem!$A$10:$A$509,0))&amp;" pontos")),"Origem: sem classificação"))</f>
        <v/>
      </c>
      <c r="F255" s="10"/>
      <c r="G255" s="6"/>
    </row>
    <row r="256" spans="1:7" ht="48" customHeight="1">
      <c r="A256" s="7"/>
      <c r="B256" s="6"/>
      <c r="C256" s="6"/>
      <c r="D256" s="6"/>
      <c r="E256" s="6" t="str">
        <f>IF($A256="","",IFERROR(INDEX(Processos!$AR$10:$AR$509,MATCH($A256,Processos!$A$10:$A$509,0)),"")&amp;CHAR(10)&amp;IFERROR(IF(OR(INDEX(Origem!$AB$10:$AB$509,MATCH($A256,Origem!$A$10:$A$509,0))="",INDEX(Origem!$AB$10:$AB$509,MATCH($A256,Origem!$A$10:$A$509,0))="—"),"Origem: sem classificação","Origem: "&amp;INDEX(Origem!$AB$10:$AB$509,MATCH($A256,Origem!$A$10:$A$509,0))&amp;IF(INDEX(Origem!$AC$10:$AC$509,MATCH($A256,Origem!$A$10:$A$509,0))=""," (sem pontuação)"," • "&amp;INDEX(Origem!$AC$10:$AC$509,MATCH($A256,Origem!$A$10:$A$509,0))&amp;" pontos")),"Origem: sem classificação"))</f>
        <v/>
      </c>
      <c r="F256" s="10"/>
      <c r="G256" s="6"/>
    </row>
    <row r="257" spans="1:7" ht="48" customHeight="1">
      <c r="A257" s="7"/>
      <c r="B257" s="6"/>
      <c r="C257" s="6"/>
      <c r="D257" s="6"/>
      <c r="E257" s="6" t="str">
        <f>IF($A257="","",IFERROR(INDEX(Processos!$AR$10:$AR$509,MATCH($A257,Processos!$A$10:$A$509,0)),"")&amp;CHAR(10)&amp;IFERROR(IF(OR(INDEX(Origem!$AB$10:$AB$509,MATCH($A257,Origem!$A$10:$A$509,0))="",INDEX(Origem!$AB$10:$AB$509,MATCH($A257,Origem!$A$10:$A$509,0))="—"),"Origem: sem classificação","Origem: "&amp;INDEX(Origem!$AB$10:$AB$509,MATCH($A257,Origem!$A$10:$A$509,0))&amp;IF(INDEX(Origem!$AC$10:$AC$509,MATCH($A257,Origem!$A$10:$A$509,0))=""," (sem pontuação)"," • "&amp;INDEX(Origem!$AC$10:$AC$509,MATCH($A257,Origem!$A$10:$A$509,0))&amp;" pontos")),"Origem: sem classificação"))</f>
        <v/>
      </c>
      <c r="F257" s="10"/>
      <c r="G257" s="6"/>
    </row>
    <row r="258" spans="1:7" ht="48" customHeight="1">
      <c r="A258" s="7"/>
      <c r="B258" s="6"/>
      <c r="C258" s="6"/>
      <c r="D258" s="6"/>
      <c r="E258" s="6" t="str">
        <f>IF($A258="","",IFERROR(INDEX(Processos!$AR$10:$AR$509,MATCH($A258,Processos!$A$10:$A$509,0)),"")&amp;CHAR(10)&amp;IFERROR(IF(OR(INDEX(Origem!$AB$10:$AB$509,MATCH($A258,Origem!$A$10:$A$509,0))="",INDEX(Origem!$AB$10:$AB$509,MATCH($A258,Origem!$A$10:$A$509,0))="—"),"Origem: sem classificação","Origem: "&amp;INDEX(Origem!$AB$10:$AB$509,MATCH($A258,Origem!$A$10:$A$509,0))&amp;IF(INDEX(Origem!$AC$10:$AC$509,MATCH($A258,Origem!$A$10:$A$509,0))=""," (sem pontuação)"," • "&amp;INDEX(Origem!$AC$10:$AC$509,MATCH($A258,Origem!$A$10:$A$509,0))&amp;" pontos")),"Origem: sem classificação"))</f>
        <v/>
      </c>
      <c r="F258" s="10"/>
      <c r="G258" s="6"/>
    </row>
    <row r="259" spans="1:7" ht="48" customHeight="1">
      <c r="A259" s="7"/>
      <c r="B259" s="6"/>
      <c r="C259" s="6"/>
      <c r="D259" s="6"/>
      <c r="E259" s="6" t="str">
        <f>IF($A259="","",IFERROR(INDEX(Processos!$AR$10:$AR$509,MATCH($A259,Processos!$A$10:$A$509,0)),"")&amp;CHAR(10)&amp;IFERROR(IF(OR(INDEX(Origem!$AB$10:$AB$509,MATCH($A259,Origem!$A$10:$A$509,0))="",INDEX(Origem!$AB$10:$AB$509,MATCH($A259,Origem!$A$10:$A$509,0))="—"),"Origem: sem classificação","Origem: "&amp;INDEX(Origem!$AB$10:$AB$509,MATCH($A259,Origem!$A$10:$A$509,0))&amp;IF(INDEX(Origem!$AC$10:$AC$509,MATCH($A259,Origem!$A$10:$A$509,0))=""," (sem pontuação)"," • "&amp;INDEX(Origem!$AC$10:$AC$509,MATCH($A259,Origem!$A$10:$A$509,0))&amp;" pontos")),"Origem: sem classificação"))</f>
        <v/>
      </c>
      <c r="F259" s="10"/>
      <c r="G259" s="6"/>
    </row>
    <row r="260" spans="1:7" ht="48" customHeight="1">
      <c r="A260" s="7"/>
      <c r="B260" s="6"/>
      <c r="C260" s="6"/>
      <c r="D260" s="6"/>
      <c r="E260" s="6" t="str">
        <f>IF($A260="","",IFERROR(INDEX(Processos!$AR$10:$AR$509,MATCH($A260,Processos!$A$10:$A$509,0)),"")&amp;CHAR(10)&amp;IFERROR(IF(OR(INDEX(Origem!$AB$10:$AB$509,MATCH($A260,Origem!$A$10:$A$509,0))="",INDEX(Origem!$AB$10:$AB$509,MATCH($A260,Origem!$A$10:$A$509,0))="—"),"Origem: sem classificação","Origem: "&amp;INDEX(Origem!$AB$10:$AB$509,MATCH($A260,Origem!$A$10:$A$509,0))&amp;IF(INDEX(Origem!$AC$10:$AC$509,MATCH($A260,Origem!$A$10:$A$509,0))=""," (sem pontuação)"," • "&amp;INDEX(Origem!$AC$10:$AC$509,MATCH($A260,Origem!$A$10:$A$509,0))&amp;" pontos")),"Origem: sem classificação"))</f>
        <v/>
      </c>
      <c r="F260" s="10"/>
      <c r="G260" s="6"/>
    </row>
    <row r="261" spans="1:7" ht="48" customHeight="1">
      <c r="A261" s="7"/>
      <c r="B261" s="6"/>
      <c r="C261" s="6"/>
      <c r="D261" s="6"/>
      <c r="E261" s="6" t="str">
        <f>IF($A261="","",IFERROR(INDEX(Processos!$AR$10:$AR$509,MATCH($A261,Processos!$A$10:$A$509,0)),"")&amp;CHAR(10)&amp;IFERROR(IF(OR(INDEX(Origem!$AB$10:$AB$509,MATCH($A261,Origem!$A$10:$A$509,0))="",INDEX(Origem!$AB$10:$AB$509,MATCH($A261,Origem!$A$10:$A$509,0))="—"),"Origem: sem classificação","Origem: "&amp;INDEX(Origem!$AB$10:$AB$509,MATCH($A261,Origem!$A$10:$A$509,0))&amp;IF(INDEX(Origem!$AC$10:$AC$509,MATCH($A261,Origem!$A$10:$A$509,0))=""," (sem pontuação)"," • "&amp;INDEX(Origem!$AC$10:$AC$509,MATCH($A261,Origem!$A$10:$A$509,0))&amp;" pontos")),"Origem: sem classificação"))</f>
        <v/>
      </c>
      <c r="F261" s="10"/>
      <c r="G261" s="6"/>
    </row>
    <row r="262" spans="1:7" ht="48" customHeight="1">
      <c r="A262" s="7"/>
      <c r="B262" s="6"/>
      <c r="C262" s="6"/>
      <c r="D262" s="6"/>
      <c r="E262" s="6" t="str">
        <f>IF($A262="","",IFERROR(INDEX(Processos!$AR$10:$AR$509,MATCH($A262,Processos!$A$10:$A$509,0)),"")&amp;CHAR(10)&amp;IFERROR(IF(OR(INDEX(Origem!$AB$10:$AB$509,MATCH($A262,Origem!$A$10:$A$509,0))="",INDEX(Origem!$AB$10:$AB$509,MATCH($A262,Origem!$A$10:$A$509,0))="—"),"Origem: sem classificação","Origem: "&amp;INDEX(Origem!$AB$10:$AB$509,MATCH($A262,Origem!$A$10:$A$509,0))&amp;IF(INDEX(Origem!$AC$10:$AC$509,MATCH($A262,Origem!$A$10:$A$509,0))=""," (sem pontuação)"," • "&amp;INDEX(Origem!$AC$10:$AC$509,MATCH($A262,Origem!$A$10:$A$509,0))&amp;" pontos")),"Origem: sem classificação"))</f>
        <v/>
      </c>
      <c r="F262" s="10"/>
      <c r="G262" s="6"/>
    </row>
    <row r="263" spans="1:7" ht="48" customHeight="1">
      <c r="A263" s="7"/>
      <c r="B263" s="6"/>
      <c r="C263" s="6"/>
      <c r="D263" s="6"/>
      <c r="E263" s="6" t="str">
        <f>IF($A263="","",IFERROR(INDEX(Processos!$AR$10:$AR$509,MATCH($A263,Processos!$A$10:$A$509,0)),"")&amp;CHAR(10)&amp;IFERROR(IF(OR(INDEX(Origem!$AB$10:$AB$509,MATCH($A263,Origem!$A$10:$A$509,0))="",INDEX(Origem!$AB$10:$AB$509,MATCH($A263,Origem!$A$10:$A$509,0))="—"),"Origem: sem classificação","Origem: "&amp;INDEX(Origem!$AB$10:$AB$509,MATCH($A263,Origem!$A$10:$A$509,0))&amp;IF(INDEX(Origem!$AC$10:$AC$509,MATCH($A263,Origem!$A$10:$A$509,0))=""," (sem pontuação)"," • "&amp;INDEX(Origem!$AC$10:$AC$509,MATCH($A263,Origem!$A$10:$A$509,0))&amp;" pontos")),"Origem: sem classificação"))</f>
        <v/>
      </c>
      <c r="F263" s="10"/>
      <c r="G263" s="6"/>
    </row>
    <row r="264" spans="1:7" ht="48" customHeight="1">
      <c r="A264" s="7"/>
      <c r="B264" s="6"/>
      <c r="C264" s="6"/>
      <c r="D264" s="6"/>
      <c r="E264" s="6" t="str">
        <f>IF($A264="","",IFERROR(INDEX(Processos!$AR$10:$AR$509,MATCH($A264,Processos!$A$10:$A$509,0)),"")&amp;CHAR(10)&amp;IFERROR(IF(OR(INDEX(Origem!$AB$10:$AB$509,MATCH($A264,Origem!$A$10:$A$509,0))="",INDEX(Origem!$AB$10:$AB$509,MATCH($A264,Origem!$A$10:$A$509,0))="—"),"Origem: sem classificação","Origem: "&amp;INDEX(Origem!$AB$10:$AB$509,MATCH($A264,Origem!$A$10:$A$509,0))&amp;IF(INDEX(Origem!$AC$10:$AC$509,MATCH($A264,Origem!$A$10:$A$509,0))=""," (sem pontuação)"," • "&amp;INDEX(Origem!$AC$10:$AC$509,MATCH($A264,Origem!$A$10:$A$509,0))&amp;" pontos")),"Origem: sem classificação"))</f>
        <v/>
      </c>
      <c r="F264" s="10"/>
      <c r="G264" s="6"/>
    </row>
    <row r="265" spans="1:7" ht="48" customHeight="1">
      <c r="A265" s="7"/>
      <c r="B265" s="6"/>
      <c r="C265" s="6"/>
      <c r="D265" s="6"/>
      <c r="E265" s="6" t="str">
        <f>IF($A265="","",IFERROR(INDEX(Processos!$AR$10:$AR$509,MATCH($A265,Processos!$A$10:$A$509,0)),"")&amp;CHAR(10)&amp;IFERROR(IF(OR(INDEX(Origem!$AB$10:$AB$509,MATCH($A265,Origem!$A$10:$A$509,0))="",INDEX(Origem!$AB$10:$AB$509,MATCH($A265,Origem!$A$10:$A$509,0))="—"),"Origem: sem classificação","Origem: "&amp;INDEX(Origem!$AB$10:$AB$509,MATCH($A265,Origem!$A$10:$A$509,0))&amp;IF(INDEX(Origem!$AC$10:$AC$509,MATCH($A265,Origem!$A$10:$A$509,0))=""," (sem pontuação)"," • "&amp;INDEX(Origem!$AC$10:$AC$509,MATCH($A265,Origem!$A$10:$A$509,0))&amp;" pontos")),"Origem: sem classificação"))</f>
        <v/>
      </c>
      <c r="F265" s="10"/>
      <c r="G265" s="6"/>
    </row>
    <row r="266" spans="1:7" ht="48" customHeight="1">
      <c r="A266" s="7"/>
      <c r="B266" s="6"/>
      <c r="C266" s="6"/>
      <c r="D266" s="6"/>
      <c r="E266" s="6" t="str">
        <f>IF($A266="","",IFERROR(INDEX(Processos!$AR$10:$AR$509,MATCH($A266,Processos!$A$10:$A$509,0)),"")&amp;CHAR(10)&amp;IFERROR(IF(OR(INDEX(Origem!$AB$10:$AB$509,MATCH($A266,Origem!$A$10:$A$509,0))="",INDEX(Origem!$AB$10:$AB$509,MATCH($A266,Origem!$A$10:$A$509,0))="—"),"Origem: sem classificação","Origem: "&amp;INDEX(Origem!$AB$10:$AB$509,MATCH($A266,Origem!$A$10:$A$509,0))&amp;IF(INDEX(Origem!$AC$10:$AC$509,MATCH($A266,Origem!$A$10:$A$509,0))=""," (sem pontuação)"," • "&amp;INDEX(Origem!$AC$10:$AC$509,MATCH($A266,Origem!$A$10:$A$509,0))&amp;" pontos")),"Origem: sem classificação"))</f>
        <v/>
      </c>
      <c r="F266" s="10"/>
      <c r="G266" s="6"/>
    </row>
    <row r="267" spans="1:7" ht="48" customHeight="1">
      <c r="A267" s="7"/>
      <c r="B267" s="6"/>
      <c r="C267" s="6"/>
      <c r="D267" s="6"/>
      <c r="E267" s="6" t="str">
        <f>IF($A267="","",IFERROR(INDEX(Processos!$AR$10:$AR$509,MATCH($A267,Processos!$A$10:$A$509,0)),"")&amp;CHAR(10)&amp;IFERROR(IF(OR(INDEX(Origem!$AB$10:$AB$509,MATCH($A267,Origem!$A$10:$A$509,0))="",INDEX(Origem!$AB$10:$AB$509,MATCH($A267,Origem!$A$10:$A$509,0))="—"),"Origem: sem classificação","Origem: "&amp;INDEX(Origem!$AB$10:$AB$509,MATCH($A267,Origem!$A$10:$A$509,0))&amp;IF(INDEX(Origem!$AC$10:$AC$509,MATCH($A267,Origem!$A$10:$A$509,0))=""," (sem pontuação)"," • "&amp;INDEX(Origem!$AC$10:$AC$509,MATCH($A267,Origem!$A$10:$A$509,0))&amp;" pontos")),"Origem: sem classificação"))</f>
        <v/>
      </c>
      <c r="F267" s="10"/>
      <c r="G267" s="6"/>
    </row>
    <row r="268" spans="1:7" ht="48" customHeight="1">
      <c r="A268" s="7"/>
      <c r="B268" s="6"/>
      <c r="C268" s="6"/>
      <c r="D268" s="6"/>
      <c r="E268" s="6" t="str">
        <f>IF($A268="","",IFERROR(INDEX(Processos!$AR$10:$AR$509,MATCH($A268,Processos!$A$10:$A$509,0)),"")&amp;CHAR(10)&amp;IFERROR(IF(OR(INDEX(Origem!$AB$10:$AB$509,MATCH($A268,Origem!$A$10:$A$509,0))="",INDEX(Origem!$AB$10:$AB$509,MATCH($A268,Origem!$A$10:$A$509,0))="—"),"Origem: sem classificação","Origem: "&amp;INDEX(Origem!$AB$10:$AB$509,MATCH($A268,Origem!$A$10:$A$509,0))&amp;IF(INDEX(Origem!$AC$10:$AC$509,MATCH($A268,Origem!$A$10:$A$509,0))=""," (sem pontuação)"," • "&amp;INDEX(Origem!$AC$10:$AC$509,MATCH($A268,Origem!$A$10:$A$509,0))&amp;" pontos")),"Origem: sem classificação"))</f>
        <v/>
      </c>
      <c r="F268" s="10"/>
      <c r="G268" s="6"/>
    </row>
    <row r="269" spans="1:7" ht="48" customHeight="1">
      <c r="A269" s="7"/>
      <c r="B269" s="6"/>
      <c r="C269" s="6"/>
      <c r="D269" s="6"/>
      <c r="E269" s="6" t="str">
        <f>IF($A269="","",IFERROR(INDEX(Processos!$AR$10:$AR$509,MATCH($A269,Processos!$A$10:$A$509,0)),"")&amp;CHAR(10)&amp;IFERROR(IF(OR(INDEX(Origem!$AB$10:$AB$509,MATCH($A269,Origem!$A$10:$A$509,0))="",INDEX(Origem!$AB$10:$AB$509,MATCH($A269,Origem!$A$10:$A$509,0))="—"),"Origem: sem classificação","Origem: "&amp;INDEX(Origem!$AB$10:$AB$509,MATCH($A269,Origem!$A$10:$A$509,0))&amp;IF(INDEX(Origem!$AC$10:$AC$509,MATCH($A269,Origem!$A$10:$A$509,0))=""," (sem pontuação)"," • "&amp;INDEX(Origem!$AC$10:$AC$509,MATCH($A269,Origem!$A$10:$A$509,0))&amp;" pontos")),"Origem: sem classificação"))</f>
        <v/>
      </c>
      <c r="F269" s="10"/>
      <c r="G269" s="6"/>
    </row>
    <row r="270" spans="1:7" ht="48" customHeight="1">
      <c r="A270" s="7"/>
      <c r="B270" s="6"/>
      <c r="C270" s="6"/>
      <c r="D270" s="6"/>
      <c r="E270" s="6" t="str">
        <f>IF($A270="","",IFERROR(INDEX(Processos!$AR$10:$AR$509,MATCH($A270,Processos!$A$10:$A$509,0)),"")&amp;CHAR(10)&amp;IFERROR(IF(OR(INDEX(Origem!$AB$10:$AB$509,MATCH($A270,Origem!$A$10:$A$509,0))="",INDEX(Origem!$AB$10:$AB$509,MATCH($A270,Origem!$A$10:$A$509,0))="—"),"Origem: sem classificação","Origem: "&amp;INDEX(Origem!$AB$10:$AB$509,MATCH($A270,Origem!$A$10:$A$509,0))&amp;IF(INDEX(Origem!$AC$10:$AC$509,MATCH($A270,Origem!$A$10:$A$509,0))=""," (sem pontuação)"," • "&amp;INDEX(Origem!$AC$10:$AC$509,MATCH($A270,Origem!$A$10:$A$509,0))&amp;" pontos")),"Origem: sem classificação"))</f>
        <v/>
      </c>
      <c r="F270" s="10"/>
      <c r="G270" s="6"/>
    </row>
    <row r="271" spans="1:7" ht="48" customHeight="1">
      <c r="A271" s="7"/>
      <c r="B271" s="6"/>
      <c r="C271" s="6"/>
      <c r="D271" s="6"/>
      <c r="E271" s="6" t="str">
        <f>IF($A271="","",IFERROR(INDEX(Processos!$AR$10:$AR$509,MATCH($A271,Processos!$A$10:$A$509,0)),"")&amp;CHAR(10)&amp;IFERROR(IF(OR(INDEX(Origem!$AB$10:$AB$509,MATCH($A271,Origem!$A$10:$A$509,0))="",INDEX(Origem!$AB$10:$AB$509,MATCH($A271,Origem!$A$10:$A$509,0))="—"),"Origem: sem classificação","Origem: "&amp;INDEX(Origem!$AB$10:$AB$509,MATCH($A271,Origem!$A$10:$A$509,0))&amp;IF(INDEX(Origem!$AC$10:$AC$509,MATCH($A271,Origem!$A$10:$A$509,0))=""," (sem pontuação)"," • "&amp;INDEX(Origem!$AC$10:$AC$509,MATCH($A271,Origem!$A$10:$A$509,0))&amp;" pontos")),"Origem: sem classificação"))</f>
        <v/>
      </c>
      <c r="F271" s="10"/>
      <c r="G271" s="6"/>
    </row>
    <row r="272" spans="1:7" ht="48" customHeight="1">
      <c r="A272" s="7"/>
      <c r="B272" s="6"/>
      <c r="C272" s="6"/>
      <c r="D272" s="6"/>
      <c r="E272" s="6" t="str">
        <f>IF($A272="","",IFERROR(INDEX(Processos!$AR$10:$AR$509,MATCH($A272,Processos!$A$10:$A$509,0)),"")&amp;CHAR(10)&amp;IFERROR(IF(OR(INDEX(Origem!$AB$10:$AB$509,MATCH($A272,Origem!$A$10:$A$509,0))="",INDEX(Origem!$AB$10:$AB$509,MATCH($A272,Origem!$A$10:$A$509,0))="—"),"Origem: sem classificação","Origem: "&amp;INDEX(Origem!$AB$10:$AB$509,MATCH($A272,Origem!$A$10:$A$509,0))&amp;IF(INDEX(Origem!$AC$10:$AC$509,MATCH($A272,Origem!$A$10:$A$509,0))=""," (sem pontuação)"," • "&amp;INDEX(Origem!$AC$10:$AC$509,MATCH($A272,Origem!$A$10:$A$509,0))&amp;" pontos")),"Origem: sem classificação"))</f>
        <v/>
      </c>
      <c r="F272" s="10"/>
      <c r="G272" s="6"/>
    </row>
    <row r="273" spans="1:7" ht="48" customHeight="1">
      <c r="A273" s="7"/>
      <c r="B273" s="6"/>
      <c r="C273" s="6"/>
      <c r="D273" s="6"/>
      <c r="E273" s="6" t="str">
        <f>IF($A273="","",IFERROR(INDEX(Processos!$AR$10:$AR$509,MATCH($A273,Processos!$A$10:$A$509,0)),"")&amp;CHAR(10)&amp;IFERROR(IF(OR(INDEX(Origem!$AB$10:$AB$509,MATCH($A273,Origem!$A$10:$A$509,0))="",INDEX(Origem!$AB$10:$AB$509,MATCH($A273,Origem!$A$10:$A$509,0))="—"),"Origem: sem classificação","Origem: "&amp;INDEX(Origem!$AB$10:$AB$509,MATCH($A273,Origem!$A$10:$A$509,0))&amp;IF(INDEX(Origem!$AC$10:$AC$509,MATCH($A273,Origem!$A$10:$A$509,0))=""," (sem pontuação)"," • "&amp;INDEX(Origem!$AC$10:$AC$509,MATCH($A273,Origem!$A$10:$A$509,0))&amp;" pontos")),"Origem: sem classificação"))</f>
        <v/>
      </c>
      <c r="F273" s="10"/>
      <c r="G273" s="6"/>
    </row>
    <row r="274" spans="1:7" ht="48" customHeight="1">
      <c r="A274" s="7"/>
      <c r="B274" s="6"/>
      <c r="C274" s="6"/>
      <c r="D274" s="6"/>
      <c r="E274" s="6" t="str">
        <f>IF($A274="","",IFERROR(INDEX(Processos!$AR$10:$AR$509,MATCH($A274,Processos!$A$10:$A$509,0)),"")&amp;CHAR(10)&amp;IFERROR(IF(OR(INDEX(Origem!$AB$10:$AB$509,MATCH($A274,Origem!$A$10:$A$509,0))="",INDEX(Origem!$AB$10:$AB$509,MATCH($A274,Origem!$A$10:$A$509,0))="—"),"Origem: sem classificação","Origem: "&amp;INDEX(Origem!$AB$10:$AB$509,MATCH($A274,Origem!$A$10:$A$509,0))&amp;IF(INDEX(Origem!$AC$10:$AC$509,MATCH($A274,Origem!$A$10:$A$509,0))=""," (sem pontuação)"," • "&amp;INDEX(Origem!$AC$10:$AC$509,MATCH($A274,Origem!$A$10:$A$509,0))&amp;" pontos")),"Origem: sem classificação"))</f>
        <v/>
      </c>
      <c r="F274" s="10"/>
      <c r="G274" s="6"/>
    </row>
    <row r="275" spans="1:7" ht="48" customHeight="1">
      <c r="A275" s="7"/>
      <c r="B275" s="6"/>
      <c r="C275" s="6"/>
      <c r="D275" s="6"/>
      <c r="E275" s="6" t="str">
        <f>IF($A275="","",IFERROR(INDEX(Processos!$AR$10:$AR$509,MATCH($A275,Processos!$A$10:$A$509,0)),"")&amp;CHAR(10)&amp;IFERROR(IF(OR(INDEX(Origem!$AB$10:$AB$509,MATCH($A275,Origem!$A$10:$A$509,0))="",INDEX(Origem!$AB$10:$AB$509,MATCH($A275,Origem!$A$10:$A$509,0))="—"),"Origem: sem classificação","Origem: "&amp;INDEX(Origem!$AB$10:$AB$509,MATCH($A275,Origem!$A$10:$A$509,0))&amp;IF(INDEX(Origem!$AC$10:$AC$509,MATCH($A275,Origem!$A$10:$A$509,0))=""," (sem pontuação)"," • "&amp;INDEX(Origem!$AC$10:$AC$509,MATCH($A275,Origem!$A$10:$A$509,0))&amp;" pontos")),"Origem: sem classificação"))</f>
        <v/>
      </c>
      <c r="F275" s="10"/>
      <c r="G275" s="6"/>
    </row>
    <row r="276" spans="1:7" ht="48" customHeight="1">
      <c r="A276" s="7"/>
      <c r="B276" s="6"/>
      <c r="C276" s="6"/>
      <c r="D276" s="6"/>
      <c r="E276" s="6" t="str">
        <f>IF($A276="","",IFERROR(INDEX(Processos!$AR$10:$AR$509,MATCH($A276,Processos!$A$10:$A$509,0)),"")&amp;CHAR(10)&amp;IFERROR(IF(OR(INDEX(Origem!$AB$10:$AB$509,MATCH($A276,Origem!$A$10:$A$509,0))="",INDEX(Origem!$AB$10:$AB$509,MATCH($A276,Origem!$A$10:$A$509,0))="—"),"Origem: sem classificação","Origem: "&amp;INDEX(Origem!$AB$10:$AB$509,MATCH($A276,Origem!$A$10:$A$509,0))&amp;IF(INDEX(Origem!$AC$10:$AC$509,MATCH($A276,Origem!$A$10:$A$509,0))=""," (sem pontuação)"," • "&amp;INDEX(Origem!$AC$10:$AC$509,MATCH($A276,Origem!$A$10:$A$509,0))&amp;" pontos")),"Origem: sem classificação"))</f>
        <v/>
      </c>
      <c r="F276" s="10"/>
      <c r="G276" s="6"/>
    </row>
    <row r="277" spans="1:7" ht="48" customHeight="1">
      <c r="A277" s="7"/>
      <c r="B277" s="6"/>
      <c r="C277" s="6"/>
      <c r="D277" s="6"/>
      <c r="E277" s="6" t="str">
        <f>IF($A277="","",IFERROR(INDEX(Processos!$AR$10:$AR$509,MATCH($A277,Processos!$A$10:$A$509,0)),"")&amp;CHAR(10)&amp;IFERROR(IF(OR(INDEX(Origem!$AB$10:$AB$509,MATCH($A277,Origem!$A$10:$A$509,0))="",INDEX(Origem!$AB$10:$AB$509,MATCH($A277,Origem!$A$10:$A$509,0))="—"),"Origem: sem classificação","Origem: "&amp;INDEX(Origem!$AB$10:$AB$509,MATCH($A277,Origem!$A$10:$A$509,0))&amp;IF(INDEX(Origem!$AC$10:$AC$509,MATCH($A277,Origem!$A$10:$A$509,0))=""," (sem pontuação)"," • "&amp;INDEX(Origem!$AC$10:$AC$509,MATCH($A277,Origem!$A$10:$A$509,0))&amp;" pontos")),"Origem: sem classificação"))</f>
        <v/>
      </c>
      <c r="F277" s="10"/>
      <c r="G277" s="6"/>
    </row>
    <row r="278" spans="1:7" ht="48" customHeight="1">
      <c r="A278" s="7"/>
      <c r="B278" s="6"/>
      <c r="C278" s="6"/>
      <c r="D278" s="6"/>
      <c r="E278" s="6" t="str">
        <f>IF($A278="","",IFERROR(INDEX(Processos!$AR$10:$AR$509,MATCH($A278,Processos!$A$10:$A$509,0)),"")&amp;CHAR(10)&amp;IFERROR(IF(OR(INDEX(Origem!$AB$10:$AB$509,MATCH($A278,Origem!$A$10:$A$509,0))="",INDEX(Origem!$AB$10:$AB$509,MATCH($A278,Origem!$A$10:$A$509,0))="—"),"Origem: sem classificação","Origem: "&amp;INDEX(Origem!$AB$10:$AB$509,MATCH($A278,Origem!$A$10:$A$509,0))&amp;IF(INDEX(Origem!$AC$10:$AC$509,MATCH($A278,Origem!$A$10:$A$509,0))=""," (sem pontuação)"," • "&amp;INDEX(Origem!$AC$10:$AC$509,MATCH($A278,Origem!$A$10:$A$509,0))&amp;" pontos")),"Origem: sem classificação"))</f>
        <v/>
      </c>
      <c r="F278" s="10"/>
      <c r="G278" s="6"/>
    </row>
    <row r="279" spans="1:7" ht="48" customHeight="1">
      <c r="A279" s="7"/>
      <c r="B279" s="6"/>
      <c r="C279" s="6"/>
      <c r="D279" s="6"/>
      <c r="E279" s="6" t="str">
        <f>IF($A279="","",IFERROR(INDEX(Processos!$AR$10:$AR$509,MATCH($A279,Processos!$A$10:$A$509,0)),"")&amp;CHAR(10)&amp;IFERROR(IF(OR(INDEX(Origem!$AB$10:$AB$509,MATCH($A279,Origem!$A$10:$A$509,0))="",INDEX(Origem!$AB$10:$AB$509,MATCH($A279,Origem!$A$10:$A$509,0))="—"),"Origem: sem classificação","Origem: "&amp;INDEX(Origem!$AB$10:$AB$509,MATCH($A279,Origem!$A$10:$A$509,0))&amp;IF(INDEX(Origem!$AC$10:$AC$509,MATCH($A279,Origem!$A$10:$A$509,0))=""," (sem pontuação)"," • "&amp;INDEX(Origem!$AC$10:$AC$509,MATCH($A279,Origem!$A$10:$A$509,0))&amp;" pontos")),"Origem: sem classificação"))</f>
        <v/>
      </c>
      <c r="F279" s="10"/>
      <c r="G279" s="6"/>
    </row>
    <row r="280" spans="1:7" ht="48" customHeight="1">
      <c r="A280" s="7"/>
      <c r="B280" s="6"/>
      <c r="C280" s="6"/>
      <c r="D280" s="6"/>
      <c r="E280" s="6" t="str">
        <f>IF($A280="","",IFERROR(INDEX(Processos!$AR$10:$AR$509,MATCH($A280,Processos!$A$10:$A$509,0)),"")&amp;CHAR(10)&amp;IFERROR(IF(OR(INDEX(Origem!$AB$10:$AB$509,MATCH($A280,Origem!$A$10:$A$509,0))="",INDEX(Origem!$AB$10:$AB$509,MATCH($A280,Origem!$A$10:$A$509,0))="—"),"Origem: sem classificação","Origem: "&amp;INDEX(Origem!$AB$10:$AB$509,MATCH($A280,Origem!$A$10:$A$509,0))&amp;IF(INDEX(Origem!$AC$10:$AC$509,MATCH($A280,Origem!$A$10:$A$509,0))=""," (sem pontuação)"," • "&amp;INDEX(Origem!$AC$10:$AC$509,MATCH($A280,Origem!$A$10:$A$509,0))&amp;" pontos")),"Origem: sem classificação"))</f>
        <v/>
      </c>
      <c r="F280" s="10"/>
      <c r="G280" s="6"/>
    </row>
    <row r="281" spans="1:7" ht="48" customHeight="1">
      <c r="A281" s="7"/>
      <c r="B281" s="6"/>
      <c r="C281" s="6"/>
      <c r="D281" s="6"/>
      <c r="E281" s="6" t="str">
        <f>IF($A281="","",IFERROR(INDEX(Processos!$AR$10:$AR$509,MATCH($A281,Processos!$A$10:$A$509,0)),"")&amp;CHAR(10)&amp;IFERROR(IF(OR(INDEX(Origem!$AB$10:$AB$509,MATCH($A281,Origem!$A$10:$A$509,0))="",INDEX(Origem!$AB$10:$AB$509,MATCH($A281,Origem!$A$10:$A$509,0))="—"),"Origem: sem classificação","Origem: "&amp;INDEX(Origem!$AB$10:$AB$509,MATCH($A281,Origem!$A$10:$A$509,0))&amp;IF(INDEX(Origem!$AC$10:$AC$509,MATCH($A281,Origem!$A$10:$A$509,0))=""," (sem pontuação)"," • "&amp;INDEX(Origem!$AC$10:$AC$509,MATCH($A281,Origem!$A$10:$A$509,0))&amp;" pontos")),"Origem: sem classificação"))</f>
        <v/>
      </c>
      <c r="F281" s="10"/>
      <c r="G281" s="6"/>
    </row>
    <row r="282" spans="1:7" ht="48" customHeight="1">
      <c r="A282" s="7"/>
      <c r="B282" s="6"/>
      <c r="C282" s="6"/>
      <c r="D282" s="6"/>
      <c r="E282" s="6" t="str">
        <f>IF($A282="","",IFERROR(INDEX(Processos!$AR$10:$AR$509,MATCH($A282,Processos!$A$10:$A$509,0)),"")&amp;CHAR(10)&amp;IFERROR(IF(OR(INDEX(Origem!$AB$10:$AB$509,MATCH($A282,Origem!$A$10:$A$509,0))="",INDEX(Origem!$AB$10:$AB$509,MATCH($A282,Origem!$A$10:$A$509,0))="—"),"Origem: sem classificação","Origem: "&amp;INDEX(Origem!$AB$10:$AB$509,MATCH($A282,Origem!$A$10:$A$509,0))&amp;IF(INDEX(Origem!$AC$10:$AC$509,MATCH($A282,Origem!$A$10:$A$509,0))=""," (sem pontuação)"," • "&amp;INDEX(Origem!$AC$10:$AC$509,MATCH($A282,Origem!$A$10:$A$509,0))&amp;" pontos")),"Origem: sem classificação"))</f>
        <v/>
      </c>
      <c r="F282" s="10"/>
      <c r="G282" s="6"/>
    </row>
    <row r="283" spans="1:7" ht="48" customHeight="1">
      <c r="A283" s="7"/>
      <c r="B283" s="6"/>
      <c r="C283" s="6"/>
      <c r="D283" s="6"/>
      <c r="E283" s="6" t="str">
        <f>IF($A283="","",IFERROR(INDEX(Processos!$AR$10:$AR$509,MATCH($A283,Processos!$A$10:$A$509,0)),"")&amp;CHAR(10)&amp;IFERROR(IF(OR(INDEX(Origem!$AB$10:$AB$509,MATCH($A283,Origem!$A$10:$A$509,0))="",INDEX(Origem!$AB$10:$AB$509,MATCH($A283,Origem!$A$10:$A$509,0))="—"),"Origem: sem classificação","Origem: "&amp;INDEX(Origem!$AB$10:$AB$509,MATCH($A283,Origem!$A$10:$A$509,0))&amp;IF(INDEX(Origem!$AC$10:$AC$509,MATCH($A283,Origem!$A$10:$A$509,0))=""," (sem pontuação)"," • "&amp;INDEX(Origem!$AC$10:$AC$509,MATCH($A283,Origem!$A$10:$A$509,0))&amp;" pontos")),"Origem: sem classificação"))</f>
        <v/>
      </c>
      <c r="F283" s="10"/>
      <c r="G283" s="6"/>
    </row>
    <row r="284" spans="1:7" ht="48" customHeight="1">
      <c r="A284" s="7"/>
      <c r="B284" s="6"/>
      <c r="C284" s="6"/>
      <c r="D284" s="6"/>
      <c r="E284" s="6" t="str">
        <f>IF($A284="","",IFERROR(INDEX(Processos!$AR$10:$AR$509,MATCH($A284,Processos!$A$10:$A$509,0)),"")&amp;CHAR(10)&amp;IFERROR(IF(OR(INDEX(Origem!$AB$10:$AB$509,MATCH($A284,Origem!$A$10:$A$509,0))="",INDEX(Origem!$AB$10:$AB$509,MATCH($A284,Origem!$A$10:$A$509,0))="—"),"Origem: sem classificação","Origem: "&amp;INDEX(Origem!$AB$10:$AB$509,MATCH($A284,Origem!$A$10:$A$509,0))&amp;IF(INDEX(Origem!$AC$10:$AC$509,MATCH($A284,Origem!$A$10:$A$509,0))=""," (sem pontuação)"," • "&amp;INDEX(Origem!$AC$10:$AC$509,MATCH($A284,Origem!$A$10:$A$509,0))&amp;" pontos")),"Origem: sem classificação"))</f>
        <v/>
      </c>
      <c r="F284" s="10"/>
      <c r="G284" s="6"/>
    </row>
    <row r="285" spans="1:7" ht="48" customHeight="1">
      <c r="A285" s="7"/>
      <c r="B285" s="6"/>
      <c r="C285" s="6"/>
      <c r="D285" s="6"/>
      <c r="E285" s="6" t="str">
        <f>IF($A285="","",IFERROR(INDEX(Processos!$AR$10:$AR$509,MATCH($A285,Processos!$A$10:$A$509,0)),"")&amp;CHAR(10)&amp;IFERROR(IF(OR(INDEX(Origem!$AB$10:$AB$509,MATCH($A285,Origem!$A$10:$A$509,0))="",INDEX(Origem!$AB$10:$AB$509,MATCH($A285,Origem!$A$10:$A$509,0))="—"),"Origem: sem classificação","Origem: "&amp;INDEX(Origem!$AB$10:$AB$509,MATCH($A285,Origem!$A$10:$A$509,0))&amp;IF(INDEX(Origem!$AC$10:$AC$509,MATCH($A285,Origem!$A$10:$A$509,0))=""," (sem pontuação)"," • "&amp;INDEX(Origem!$AC$10:$AC$509,MATCH($A285,Origem!$A$10:$A$509,0))&amp;" pontos")),"Origem: sem classificação"))</f>
        <v/>
      </c>
      <c r="F285" s="10"/>
      <c r="G285" s="6"/>
    </row>
    <row r="286" spans="1:7" ht="48" customHeight="1">
      <c r="A286" s="7"/>
      <c r="B286" s="6"/>
      <c r="C286" s="6"/>
      <c r="D286" s="6"/>
      <c r="E286" s="6" t="str">
        <f>IF($A286="","",IFERROR(INDEX(Processos!$AR$10:$AR$509,MATCH($A286,Processos!$A$10:$A$509,0)),"")&amp;CHAR(10)&amp;IFERROR(IF(OR(INDEX(Origem!$AB$10:$AB$509,MATCH($A286,Origem!$A$10:$A$509,0))="",INDEX(Origem!$AB$10:$AB$509,MATCH($A286,Origem!$A$10:$A$509,0))="—"),"Origem: sem classificação","Origem: "&amp;INDEX(Origem!$AB$10:$AB$509,MATCH($A286,Origem!$A$10:$A$509,0))&amp;IF(INDEX(Origem!$AC$10:$AC$509,MATCH($A286,Origem!$A$10:$A$509,0))=""," (sem pontuação)"," • "&amp;INDEX(Origem!$AC$10:$AC$509,MATCH($A286,Origem!$A$10:$A$509,0))&amp;" pontos")),"Origem: sem classificação"))</f>
        <v/>
      </c>
      <c r="F286" s="10"/>
      <c r="G286" s="6"/>
    </row>
    <row r="287" spans="1:7" ht="48" customHeight="1">
      <c r="A287" s="7"/>
      <c r="B287" s="6"/>
      <c r="C287" s="6"/>
      <c r="D287" s="6"/>
      <c r="E287" s="6" t="str">
        <f>IF($A287="","",IFERROR(INDEX(Processos!$AR$10:$AR$509,MATCH($A287,Processos!$A$10:$A$509,0)),"")&amp;CHAR(10)&amp;IFERROR(IF(OR(INDEX(Origem!$AB$10:$AB$509,MATCH($A287,Origem!$A$10:$A$509,0))="",INDEX(Origem!$AB$10:$AB$509,MATCH($A287,Origem!$A$10:$A$509,0))="—"),"Origem: sem classificação","Origem: "&amp;INDEX(Origem!$AB$10:$AB$509,MATCH($A287,Origem!$A$10:$A$509,0))&amp;IF(INDEX(Origem!$AC$10:$AC$509,MATCH($A287,Origem!$A$10:$A$509,0))=""," (sem pontuação)"," • "&amp;INDEX(Origem!$AC$10:$AC$509,MATCH($A287,Origem!$A$10:$A$509,0))&amp;" pontos")),"Origem: sem classificação"))</f>
        <v/>
      </c>
      <c r="F287" s="10"/>
      <c r="G287" s="6"/>
    </row>
    <row r="288" spans="1:7" ht="48" customHeight="1">
      <c r="A288" s="7"/>
      <c r="B288" s="6"/>
      <c r="C288" s="6"/>
      <c r="D288" s="6"/>
      <c r="E288" s="6" t="str">
        <f>IF($A288="","",IFERROR(INDEX(Processos!$AR$10:$AR$509,MATCH($A288,Processos!$A$10:$A$509,0)),"")&amp;CHAR(10)&amp;IFERROR(IF(OR(INDEX(Origem!$AB$10:$AB$509,MATCH($A288,Origem!$A$10:$A$509,0))="",INDEX(Origem!$AB$10:$AB$509,MATCH($A288,Origem!$A$10:$A$509,0))="—"),"Origem: sem classificação","Origem: "&amp;INDEX(Origem!$AB$10:$AB$509,MATCH($A288,Origem!$A$10:$A$509,0))&amp;IF(INDEX(Origem!$AC$10:$AC$509,MATCH($A288,Origem!$A$10:$A$509,0))=""," (sem pontuação)"," • "&amp;INDEX(Origem!$AC$10:$AC$509,MATCH($A288,Origem!$A$10:$A$509,0))&amp;" pontos")),"Origem: sem classificação"))</f>
        <v/>
      </c>
      <c r="F288" s="10"/>
      <c r="G288" s="6"/>
    </row>
    <row r="289" spans="1:7" ht="48" customHeight="1">
      <c r="A289" s="7"/>
      <c r="B289" s="6"/>
      <c r="C289" s="6"/>
      <c r="D289" s="6"/>
      <c r="E289" s="6" t="str">
        <f>IF($A289="","",IFERROR(INDEX(Processos!$AR$10:$AR$509,MATCH($A289,Processos!$A$10:$A$509,0)),"")&amp;CHAR(10)&amp;IFERROR(IF(OR(INDEX(Origem!$AB$10:$AB$509,MATCH($A289,Origem!$A$10:$A$509,0))="",INDEX(Origem!$AB$10:$AB$509,MATCH($A289,Origem!$A$10:$A$509,0))="—"),"Origem: sem classificação","Origem: "&amp;INDEX(Origem!$AB$10:$AB$509,MATCH($A289,Origem!$A$10:$A$509,0))&amp;IF(INDEX(Origem!$AC$10:$AC$509,MATCH($A289,Origem!$A$10:$A$509,0))=""," (sem pontuação)"," • "&amp;INDEX(Origem!$AC$10:$AC$509,MATCH($A289,Origem!$A$10:$A$509,0))&amp;" pontos")),"Origem: sem classificação"))</f>
        <v/>
      </c>
      <c r="F289" s="10"/>
      <c r="G289" s="6"/>
    </row>
    <row r="290" spans="1:7" ht="48" customHeight="1">
      <c r="A290" s="7"/>
      <c r="B290" s="6"/>
      <c r="C290" s="6"/>
      <c r="D290" s="6"/>
      <c r="E290" s="6" t="str">
        <f>IF($A290="","",IFERROR(INDEX(Processos!$AR$10:$AR$509,MATCH($A290,Processos!$A$10:$A$509,0)),"")&amp;CHAR(10)&amp;IFERROR(IF(OR(INDEX(Origem!$AB$10:$AB$509,MATCH($A290,Origem!$A$10:$A$509,0))="",INDEX(Origem!$AB$10:$AB$509,MATCH($A290,Origem!$A$10:$A$509,0))="—"),"Origem: sem classificação","Origem: "&amp;INDEX(Origem!$AB$10:$AB$509,MATCH($A290,Origem!$A$10:$A$509,0))&amp;IF(INDEX(Origem!$AC$10:$AC$509,MATCH($A290,Origem!$A$10:$A$509,0))=""," (sem pontuação)"," • "&amp;INDEX(Origem!$AC$10:$AC$509,MATCH($A290,Origem!$A$10:$A$509,0))&amp;" pontos")),"Origem: sem classificação"))</f>
        <v/>
      </c>
      <c r="F290" s="10"/>
      <c r="G290" s="6"/>
    </row>
    <row r="291" spans="1:7" ht="48" customHeight="1">
      <c r="A291" s="7"/>
      <c r="B291" s="6"/>
      <c r="C291" s="6"/>
      <c r="D291" s="6"/>
      <c r="E291" s="6" t="str">
        <f>IF($A291="","",IFERROR(INDEX(Processos!$AR$10:$AR$509,MATCH($A291,Processos!$A$10:$A$509,0)),"")&amp;CHAR(10)&amp;IFERROR(IF(OR(INDEX(Origem!$AB$10:$AB$509,MATCH($A291,Origem!$A$10:$A$509,0))="",INDEX(Origem!$AB$10:$AB$509,MATCH($A291,Origem!$A$10:$A$509,0))="—"),"Origem: sem classificação","Origem: "&amp;INDEX(Origem!$AB$10:$AB$509,MATCH($A291,Origem!$A$10:$A$509,0))&amp;IF(INDEX(Origem!$AC$10:$AC$509,MATCH($A291,Origem!$A$10:$A$509,0))=""," (sem pontuação)"," • "&amp;INDEX(Origem!$AC$10:$AC$509,MATCH($A291,Origem!$A$10:$A$509,0))&amp;" pontos")),"Origem: sem classificação"))</f>
        <v/>
      </c>
      <c r="F291" s="10"/>
      <c r="G291" s="6"/>
    </row>
    <row r="292" spans="1:7" ht="48" customHeight="1">
      <c r="A292" s="7"/>
      <c r="B292" s="6"/>
      <c r="C292" s="6"/>
      <c r="D292" s="6"/>
      <c r="E292" s="6" t="str">
        <f>IF($A292="","",IFERROR(INDEX(Processos!$AR$10:$AR$509,MATCH($A292,Processos!$A$10:$A$509,0)),"")&amp;CHAR(10)&amp;IFERROR(IF(OR(INDEX(Origem!$AB$10:$AB$509,MATCH($A292,Origem!$A$10:$A$509,0))="",INDEX(Origem!$AB$10:$AB$509,MATCH($A292,Origem!$A$10:$A$509,0))="—"),"Origem: sem classificação","Origem: "&amp;INDEX(Origem!$AB$10:$AB$509,MATCH($A292,Origem!$A$10:$A$509,0))&amp;IF(INDEX(Origem!$AC$10:$AC$509,MATCH($A292,Origem!$A$10:$A$509,0))=""," (sem pontuação)"," • "&amp;INDEX(Origem!$AC$10:$AC$509,MATCH($A292,Origem!$A$10:$A$509,0))&amp;" pontos")),"Origem: sem classificação"))</f>
        <v/>
      </c>
      <c r="F292" s="10"/>
      <c r="G292" s="6"/>
    </row>
    <row r="293" spans="1:7" ht="48" customHeight="1">
      <c r="A293" s="7"/>
      <c r="B293" s="6"/>
      <c r="C293" s="6"/>
      <c r="D293" s="6"/>
      <c r="E293" s="6" t="str">
        <f>IF($A293="","",IFERROR(INDEX(Processos!$AR$10:$AR$509,MATCH($A293,Processos!$A$10:$A$509,0)),"")&amp;CHAR(10)&amp;IFERROR(IF(OR(INDEX(Origem!$AB$10:$AB$509,MATCH($A293,Origem!$A$10:$A$509,0))="",INDEX(Origem!$AB$10:$AB$509,MATCH($A293,Origem!$A$10:$A$509,0))="—"),"Origem: sem classificação","Origem: "&amp;INDEX(Origem!$AB$10:$AB$509,MATCH($A293,Origem!$A$10:$A$509,0))&amp;IF(INDEX(Origem!$AC$10:$AC$509,MATCH($A293,Origem!$A$10:$A$509,0))=""," (sem pontuação)"," • "&amp;INDEX(Origem!$AC$10:$AC$509,MATCH($A293,Origem!$A$10:$A$509,0))&amp;" pontos")),"Origem: sem classificação"))</f>
        <v/>
      </c>
      <c r="F293" s="10"/>
      <c r="G293" s="6"/>
    </row>
    <row r="294" spans="1:7" ht="48" customHeight="1">
      <c r="A294" s="7"/>
      <c r="B294" s="6"/>
      <c r="C294" s="6"/>
      <c r="D294" s="6"/>
      <c r="E294" s="6" t="str">
        <f>IF($A294="","",IFERROR(INDEX(Processos!$AR$10:$AR$509,MATCH($A294,Processos!$A$10:$A$509,0)),"")&amp;CHAR(10)&amp;IFERROR(IF(OR(INDEX(Origem!$AB$10:$AB$509,MATCH($A294,Origem!$A$10:$A$509,0))="",INDEX(Origem!$AB$10:$AB$509,MATCH($A294,Origem!$A$10:$A$509,0))="—"),"Origem: sem classificação","Origem: "&amp;INDEX(Origem!$AB$10:$AB$509,MATCH($A294,Origem!$A$10:$A$509,0))&amp;IF(INDEX(Origem!$AC$10:$AC$509,MATCH($A294,Origem!$A$10:$A$509,0))=""," (sem pontuação)"," • "&amp;INDEX(Origem!$AC$10:$AC$509,MATCH($A294,Origem!$A$10:$A$509,0))&amp;" pontos")),"Origem: sem classificação"))</f>
        <v/>
      </c>
      <c r="F294" s="10"/>
      <c r="G294" s="6"/>
    </row>
    <row r="295" spans="1:7" ht="48" customHeight="1">
      <c r="A295" s="7"/>
      <c r="B295" s="6"/>
      <c r="C295" s="6"/>
      <c r="D295" s="6"/>
      <c r="E295" s="6" t="str">
        <f>IF($A295="","",IFERROR(INDEX(Processos!$AR$10:$AR$509,MATCH($A295,Processos!$A$10:$A$509,0)),"")&amp;CHAR(10)&amp;IFERROR(IF(OR(INDEX(Origem!$AB$10:$AB$509,MATCH($A295,Origem!$A$10:$A$509,0))="",INDEX(Origem!$AB$10:$AB$509,MATCH($A295,Origem!$A$10:$A$509,0))="—"),"Origem: sem classificação","Origem: "&amp;INDEX(Origem!$AB$10:$AB$509,MATCH($A295,Origem!$A$10:$A$509,0))&amp;IF(INDEX(Origem!$AC$10:$AC$509,MATCH($A295,Origem!$A$10:$A$509,0))=""," (sem pontuação)"," • "&amp;INDEX(Origem!$AC$10:$AC$509,MATCH($A295,Origem!$A$10:$A$509,0))&amp;" pontos")),"Origem: sem classificação"))</f>
        <v/>
      </c>
      <c r="F295" s="10"/>
      <c r="G295" s="6"/>
    </row>
    <row r="296" spans="1:7" ht="48" customHeight="1">
      <c r="A296" s="7"/>
      <c r="B296" s="6"/>
      <c r="C296" s="6"/>
      <c r="D296" s="6"/>
      <c r="E296" s="6" t="str">
        <f>IF($A296="","",IFERROR(INDEX(Processos!$AR$10:$AR$509,MATCH($A296,Processos!$A$10:$A$509,0)),"")&amp;CHAR(10)&amp;IFERROR(IF(OR(INDEX(Origem!$AB$10:$AB$509,MATCH($A296,Origem!$A$10:$A$509,0))="",INDEX(Origem!$AB$10:$AB$509,MATCH($A296,Origem!$A$10:$A$509,0))="—"),"Origem: sem classificação","Origem: "&amp;INDEX(Origem!$AB$10:$AB$509,MATCH($A296,Origem!$A$10:$A$509,0))&amp;IF(INDEX(Origem!$AC$10:$AC$509,MATCH($A296,Origem!$A$10:$A$509,0))=""," (sem pontuação)"," • "&amp;INDEX(Origem!$AC$10:$AC$509,MATCH($A296,Origem!$A$10:$A$509,0))&amp;" pontos")),"Origem: sem classificação"))</f>
        <v/>
      </c>
      <c r="F296" s="10"/>
      <c r="G296" s="6"/>
    </row>
    <row r="297" spans="1:7" ht="48" customHeight="1">
      <c r="A297" s="7"/>
      <c r="B297" s="6"/>
      <c r="C297" s="6"/>
      <c r="D297" s="6"/>
      <c r="E297" s="6" t="str">
        <f>IF($A297="","",IFERROR(INDEX(Processos!$AR$10:$AR$509,MATCH($A297,Processos!$A$10:$A$509,0)),"")&amp;CHAR(10)&amp;IFERROR(IF(OR(INDEX(Origem!$AB$10:$AB$509,MATCH($A297,Origem!$A$10:$A$509,0))="",INDEX(Origem!$AB$10:$AB$509,MATCH($A297,Origem!$A$10:$A$509,0))="—"),"Origem: sem classificação","Origem: "&amp;INDEX(Origem!$AB$10:$AB$509,MATCH($A297,Origem!$A$10:$A$509,0))&amp;IF(INDEX(Origem!$AC$10:$AC$509,MATCH($A297,Origem!$A$10:$A$509,0))=""," (sem pontuação)"," • "&amp;INDEX(Origem!$AC$10:$AC$509,MATCH($A297,Origem!$A$10:$A$509,0))&amp;" pontos")),"Origem: sem classificação"))</f>
        <v/>
      </c>
      <c r="F297" s="10"/>
      <c r="G297" s="6"/>
    </row>
    <row r="298" spans="1:7" ht="48" customHeight="1">
      <c r="A298" s="7"/>
      <c r="B298" s="6"/>
      <c r="C298" s="6"/>
      <c r="D298" s="6"/>
      <c r="E298" s="6" t="str">
        <f>IF($A298="","",IFERROR(INDEX(Processos!$AR$10:$AR$509,MATCH($A298,Processos!$A$10:$A$509,0)),"")&amp;CHAR(10)&amp;IFERROR(IF(OR(INDEX(Origem!$AB$10:$AB$509,MATCH($A298,Origem!$A$10:$A$509,0))="",INDEX(Origem!$AB$10:$AB$509,MATCH($A298,Origem!$A$10:$A$509,0))="—"),"Origem: sem classificação","Origem: "&amp;INDEX(Origem!$AB$10:$AB$509,MATCH($A298,Origem!$A$10:$A$509,0))&amp;IF(INDEX(Origem!$AC$10:$AC$509,MATCH($A298,Origem!$A$10:$A$509,0))=""," (sem pontuação)"," • "&amp;INDEX(Origem!$AC$10:$AC$509,MATCH($A298,Origem!$A$10:$A$509,0))&amp;" pontos")),"Origem: sem classificação"))</f>
        <v/>
      </c>
      <c r="F298" s="10"/>
      <c r="G298" s="6"/>
    </row>
    <row r="299" spans="1:7" ht="48" customHeight="1">
      <c r="A299" s="7"/>
      <c r="B299" s="6"/>
      <c r="C299" s="6"/>
      <c r="D299" s="6"/>
      <c r="E299" s="6" t="str">
        <f>IF($A299="","",IFERROR(INDEX(Processos!$AR$10:$AR$509,MATCH($A299,Processos!$A$10:$A$509,0)),"")&amp;CHAR(10)&amp;IFERROR(IF(OR(INDEX(Origem!$AB$10:$AB$509,MATCH($A299,Origem!$A$10:$A$509,0))="",INDEX(Origem!$AB$10:$AB$509,MATCH($A299,Origem!$A$10:$A$509,0))="—"),"Origem: sem classificação","Origem: "&amp;INDEX(Origem!$AB$10:$AB$509,MATCH($A299,Origem!$A$10:$A$509,0))&amp;IF(INDEX(Origem!$AC$10:$AC$509,MATCH($A299,Origem!$A$10:$A$509,0))=""," (sem pontuação)"," • "&amp;INDEX(Origem!$AC$10:$AC$509,MATCH($A299,Origem!$A$10:$A$509,0))&amp;" pontos")),"Origem: sem classificação"))</f>
        <v/>
      </c>
      <c r="F299" s="10"/>
      <c r="G299" s="6"/>
    </row>
    <row r="300" spans="1:7" ht="48" customHeight="1">
      <c r="A300" s="7"/>
      <c r="B300" s="6"/>
      <c r="C300" s="6"/>
      <c r="D300" s="6"/>
      <c r="E300" s="6" t="str">
        <f>IF($A300="","",IFERROR(INDEX(Processos!$AR$10:$AR$509,MATCH($A300,Processos!$A$10:$A$509,0)),"")&amp;CHAR(10)&amp;IFERROR(IF(OR(INDEX(Origem!$AB$10:$AB$509,MATCH($A300,Origem!$A$10:$A$509,0))="",INDEX(Origem!$AB$10:$AB$509,MATCH($A300,Origem!$A$10:$A$509,0))="—"),"Origem: sem classificação","Origem: "&amp;INDEX(Origem!$AB$10:$AB$509,MATCH($A300,Origem!$A$10:$A$509,0))&amp;IF(INDEX(Origem!$AC$10:$AC$509,MATCH($A300,Origem!$A$10:$A$509,0))=""," (sem pontuação)"," • "&amp;INDEX(Origem!$AC$10:$AC$509,MATCH($A300,Origem!$A$10:$A$509,0))&amp;" pontos")),"Origem: sem classificação"))</f>
        <v/>
      </c>
      <c r="F300" s="10"/>
      <c r="G300" s="6"/>
    </row>
    <row r="301" spans="1:7" ht="48" customHeight="1">
      <c r="A301" s="7"/>
      <c r="B301" s="6"/>
      <c r="C301" s="6"/>
      <c r="D301" s="6"/>
      <c r="E301" s="6" t="str">
        <f>IF($A301="","",IFERROR(INDEX(Processos!$AR$10:$AR$509,MATCH($A301,Processos!$A$10:$A$509,0)),"")&amp;CHAR(10)&amp;IFERROR(IF(OR(INDEX(Origem!$AB$10:$AB$509,MATCH($A301,Origem!$A$10:$A$509,0))="",INDEX(Origem!$AB$10:$AB$509,MATCH($A301,Origem!$A$10:$A$509,0))="—"),"Origem: sem classificação","Origem: "&amp;INDEX(Origem!$AB$10:$AB$509,MATCH($A301,Origem!$A$10:$A$509,0))&amp;IF(INDEX(Origem!$AC$10:$AC$509,MATCH($A301,Origem!$A$10:$A$509,0))=""," (sem pontuação)"," • "&amp;INDEX(Origem!$AC$10:$AC$509,MATCH($A301,Origem!$A$10:$A$509,0))&amp;" pontos")),"Origem: sem classificação"))</f>
        <v/>
      </c>
      <c r="F301" s="10"/>
      <c r="G301" s="6"/>
    </row>
    <row r="302" spans="1:7" ht="48" customHeight="1">
      <c r="A302" s="7"/>
      <c r="B302" s="6"/>
      <c r="C302" s="6"/>
      <c r="D302" s="6"/>
      <c r="E302" s="6" t="str">
        <f>IF($A302="","",IFERROR(INDEX(Processos!$AR$10:$AR$509,MATCH($A302,Processos!$A$10:$A$509,0)),"")&amp;CHAR(10)&amp;IFERROR(IF(OR(INDEX(Origem!$AB$10:$AB$509,MATCH($A302,Origem!$A$10:$A$509,0))="",INDEX(Origem!$AB$10:$AB$509,MATCH($A302,Origem!$A$10:$A$509,0))="—"),"Origem: sem classificação","Origem: "&amp;INDEX(Origem!$AB$10:$AB$509,MATCH($A302,Origem!$A$10:$A$509,0))&amp;IF(INDEX(Origem!$AC$10:$AC$509,MATCH($A302,Origem!$A$10:$A$509,0))=""," (sem pontuação)"," • "&amp;INDEX(Origem!$AC$10:$AC$509,MATCH($A302,Origem!$A$10:$A$509,0))&amp;" pontos")),"Origem: sem classificação"))</f>
        <v/>
      </c>
      <c r="F302" s="10"/>
      <c r="G302" s="6"/>
    </row>
    <row r="303" spans="1:7" ht="48" customHeight="1">
      <c r="A303" s="7"/>
      <c r="B303" s="6"/>
      <c r="C303" s="6"/>
      <c r="D303" s="6"/>
      <c r="E303" s="6" t="str">
        <f>IF($A303="","",IFERROR(INDEX(Processos!$AR$10:$AR$509,MATCH($A303,Processos!$A$10:$A$509,0)),"")&amp;CHAR(10)&amp;IFERROR(IF(OR(INDEX(Origem!$AB$10:$AB$509,MATCH($A303,Origem!$A$10:$A$509,0))="",INDEX(Origem!$AB$10:$AB$509,MATCH($A303,Origem!$A$10:$A$509,0))="—"),"Origem: sem classificação","Origem: "&amp;INDEX(Origem!$AB$10:$AB$509,MATCH($A303,Origem!$A$10:$A$509,0))&amp;IF(INDEX(Origem!$AC$10:$AC$509,MATCH($A303,Origem!$A$10:$A$509,0))=""," (sem pontuação)"," • "&amp;INDEX(Origem!$AC$10:$AC$509,MATCH($A303,Origem!$A$10:$A$509,0))&amp;" pontos")),"Origem: sem classificação"))</f>
        <v/>
      </c>
      <c r="F303" s="10"/>
      <c r="G303" s="6"/>
    </row>
    <row r="304" spans="1:7" ht="48" customHeight="1">
      <c r="A304" s="7"/>
      <c r="B304" s="6"/>
      <c r="C304" s="6"/>
      <c r="D304" s="6"/>
      <c r="E304" s="6" t="str">
        <f>IF($A304="","",IFERROR(INDEX(Processos!$AR$10:$AR$509,MATCH($A304,Processos!$A$10:$A$509,0)),"")&amp;CHAR(10)&amp;IFERROR(IF(OR(INDEX(Origem!$AB$10:$AB$509,MATCH($A304,Origem!$A$10:$A$509,0))="",INDEX(Origem!$AB$10:$AB$509,MATCH($A304,Origem!$A$10:$A$509,0))="—"),"Origem: sem classificação","Origem: "&amp;INDEX(Origem!$AB$10:$AB$509,MATCH($A304,Origem!$A$10:$A$509,0))&amp;IF(INDEX(Origem!$AC$10:$AC$509,MATCH($A304,Origem!$A$10:$A$509,0))=""," (sem pontuação)"," • "&amp;INDEX(Origem!$AC$10:$AC$509,MATCH($A304,Origem!$A$10:$A$509,0))&amp;" pontos")),"Origem: sem classificação"))</f>
        <v/>
      </c>
      <c r="F304" s="10"/>
      <c r="G304" s="6"/>
    </row>
    <row r="305" spans="1:7" ht="48" customHeight="1">
      <c r="A305" s="7"/>
      <c r="B305" s="6"/>
      <c r="C305" s="6"/>
      <c r="D305" s="6"/>
      <c r="E305" s="6" t="str">
        <f>IF($A305="","",IFERROR(INDEX(Processos!$AR$10:$AR$509,MATCH($A305,Processos!$A$10:$A$509,0)),"")&amp;CHAR(10)&amp;IFERROR(IF(OR(INDEX(Origem!$AB$10:$AB$509,MATCH($A305,Origem!$A$10:$A$509,0))="",INDEX(Origem!$AB$10:$AB$509,MATCH($A305,Origem!$A$10:$A$509,0))="—"),"Origem: sem classificação","Origem: "&amp;INDEX(Origem!$AB$10:$AB$509,MATCH($A305,Origem!$A$10:$A$509,0))&amp;IF(INDEX(Origem!$AC$10:$AC$509,MATCH($A305,Origem!$A$10:$A$509,0))=""," (sem pontuação)"," • "&amp;INDEX(Origem!$AC$10:$AC$509,MATCH($A305,Origem!$A$10:$A$509,0))&amp;" pontos")),"Origem: sem classificação"))</f>
        <v/>
      </c>
      <c r="F305" s="10"/>
      <c r="G305" s="6"/>
    </row>
    <row r="306" spans="1:7" ht="48" customHeight="1">
      <c r="A306" s="7"/>
      <c r="B306" s="6"/>
      <c r="C306" s="6"/>
      <c r="D306" s="6"/>
      <c r="E306" s="6" t="str">
        <f>IF($A306="","",IFERROR(INDEX(Processos!$AR$10:$AR$509,MATCH($A306,Processos!$A$10:$A$509,0)),"")&amp;CHAR(10)&amp;IFERROR(IF(OR(INDEX(Origem!$AB$10:$AB$509,MATCH($A306,Origem!$A$10:$A$509,0))="",INDEX(Origem!$AB$10:$AB$509,MATCH($A306,Origem!$A$10:$A$509,0))="—"),"Origem: sem classificação","Origem: "&amp;INDEX(Origem!$AB$10:$AB$509,MATCH($A306,Origem!$A$10:$A$509,0))&amp;IF(INDEX(Origem!$AC$10:$AC$509,MATCH($A306,Origem!$A$10:$A$509,0))=""," (sem pontuação)"," • "&amp;INDEX(Origem!$AC$10:$AC$509,MATCH($A306,Origem!$A$10:$A$509,0))&amp;" pontos")),"Origem: sem classificação"))</f>
        <v/>
      </c>
      <c r="F306" s="10"/>
      <c r="G306" s="6"/>
    </row>
    <row r="307" spans="1:7" ht="48" customHeight="1">
      <c r="A307" s="7"/>
      <c r="B307" s="6"/>
      <c r="C307" s="6"/>
      <c r="D307" s="6"/>
      <c r="E307" s="6" t="str">
        <f>IF($A307="","",IFERROR(INDEX(Processos!$AR$10:$AR$509,MATCH($A307,Processos!$A$10:$A$509,0)),"")&amp;CHAR(10)&amp;IFERROR(IF(OR(INDEX(Origem!$AB$10:$AB$509,MATCH($A307,Origem!$A$10:$A$509,0))="",INDEX(Origem!$AB$10:$AB$509,MATCH($A307,Origem!$A$10:$A$509,0))="—"),"Origem: sem classificação","Origem: "&amp;INDEX(Origem!$AB$10:$AB$509,MATCH($A307,Origem!$A$10:$A$509,0))&amp;IF(INDEX(Origem!$AC$10:$AC$509,MATCH($A307,Origem!$A$10:$A$509,0))=""," (sem pontuação)"," • "&amp;INDEX(Origem!$AC$10:$AC$509,MATCH($A307,Origem!$A$10:$A$509,0))&amp;" pontos")),"Origem: sem classificação"))</f>
        <v/>
      </c>
      <c r="F307" s="10"/>
      <c r="G307" s="6"/>
    </row>
    <row r="308" spans="1:7" ht="48" customHeight="1">
      <c r="A308" s="7"/>
      <c r="B308" s="6"/>
      <c r="C308" s="6"/>
      <c r="D308" s="6"/>
      <c r="E308" s="6" t="str">
        <f>IF($A308="","",IFERROR(INDEX(Processos!$AR$10:$AR$509,MATCH($A308,Processos!$A$10:$A$509,0)),"")&amp;CHAR(10)&amp;IFERROR(IF(OR(INDEX(Origem!$AB$10:$AB$509,MATCH($A308,Origem!$A$10:$A$509,0))="",INDEX(Origem!$AB$10:$AB$509,MATCH($A308,Origem!$A$10:$A$509,0))="—"),"Origem: sem classificação","Origem: "&amp;INDEX(Origem!$AB$10:$AB$509,MATCH($A308,Origem!$A$10:$A$509,0))&amp;IF(INDEX(Origem!$AC$10:$AC$509,MATCH($A308,Origem!$A$10:$A$509,0))=""," (sem pontuação)"," • "&amp;INDEX(Origem!$AC$10:$AC$509,MATCH($A308,Origem!$A$10:$A$509,0))&amp;" pontos")),"Origem: sem classificação"))</f>
        <v/>
      </c>
      <c r="F308" s="10"/>
      <c r="G308" s="6"/>
    </row>
    <row r="309" spans="1:7" ht="48" customHeight="1">
      <c r="A309" s="7"/>
      <c r="B309" s="6"/>
      <c r="C309" s="6"/>
      <c r="D309" s="6"/>
      <c r="E309" s="6" t="str">
        <f>IF($A309="","",IFERROR(INDEX(Processos!$AR$10:$AR$509,MATCH($A309,Processos!$A$10:$A$509,0)),"")&amp;CHAR(10)&amp;IFERROR(IF(OR(INDEX(Origem!$AB$10:$AB$509,MATCH($A309,Origem!$A$10:$A$509,0))="",INDEX(Origem!$AB$10:$AB$509,MATCH($A309,Origem!$A$10:$A$509,0))="—"),"Origem: sem classificação","Origem: "&amp;INDEX(Origem!$AB$10:$AB$509,MATCH($A309,Origem!$A$10:$A$509,0))&amp;IF(INDEX(Origem!$AC$10:$AC$509,MATCH($A309,Origem!$A$10:$A$509,0))=""," (sem pontuação)"," • "&amp;INDEX(Origem!$AC$10:$AC$509,MATCH($A309,Origem!$A$10:$A$509,0))&amp;" pontos")),"Origem: sem classificação"))</f>
        <v/>
      </c>
      <c r="F309" s="10"/>
      <c r="G309" s="6"/>
    </row>
    <row r="310" spans="1:7" ht="48" customHeight="1">
      <c r="A310" s="7"/>
      <c r="B310" s="6"/>
      <c r="C310" s="6"/>
      <c r="D310" s="6"/>
      <c r="E310" s="6" t="str">
        <f>IF($A310="","",IFERROR(INDEX(Processos!$AR$10:$AR$509,MATCH($A310,Processos!$A$10:$A$509,0)),"")&amp;CHAR(10)&amp;IFERROR(IF(OR(INDEX(Origem!$AB$10:$AB$509,MATCH($A310,Origem!$A$10:$A$509,0))="",INDEX(Origem!$AB$10:$AB$509,MATCH($A310,Origem!$A$10:$A$509,0))="—"),"Origem: sem classificação","Origem: "&amp;INDEX(Origem!$AB$10:$AB$509,MATCH($A310,Origem!$A$10:$A$509,0))&amp;IF(INDEX(Origem!$AC$10:$AC$509,MATCH($A310,Origem!$A$10:$A$509,0))=""," (sem pontuação)"," • "&amp;INDEX(Origem!$AC$10:$AC$509,MATCH($A310,Origem!$A$10:$A$509,0))&amp;" pontos")),"Origem: sem classificação"))</f>
        <v/>
      </c>
      <c r="F310" s="10"/>
      <c r="G310" s="6"/>
    </row>
    <row r="311" spans="1:7" ht="48" customHeight="1">
      <c r="A311" s="7"/>
      <c r="B311" s="6"/>
      <c r="C311" s="6"/>
      <c r="D311" s="6"/>
      <c r="E311" s="6" t="str">
        <f>IF($A311="","",IFERROR(INDEX(Processos!$AR$10:$AR$509,MATCH($A311,Processos!$A$10:$A$509,0)),"")&amp;CHAR(10)&amp;IFERROR(IF(OR(INDEX(Origem!$AB$10:$AB$509,MATCH($A311,Origem!$A$10:$A$509,0))="",INDEX(Origem!$AB$10:$AB$509,MATCH($A311,Origem!$A$10:$A$509,0))="—"),"Origem: sem classificação","Origem: "&amp;INDEX(Origem!$AB$10:$AB$509,MATCH($A311,Origem!$A$10:$A$509,0))&amp;IF(INDEX(Origem!$AC$10:$AC$509,MATCH($A311,Origem!$A$10:$A$509,0))=""," (sem pontuação)"," • "&amp;INDEX(Origem!$AC$10:$AC$509,MATCH($A311,Origem!$A$10:$A$509,0))&amp;" pontos")),"Origem: sem classificação"))</f>
        <v/>
      </c>
      <c r="F311" s="10"/>
      <c r="G311" s="6"/>
    </row>
    <row r="312" spans="1:7" ht="48" customHeight="1">
      <c r="A312" s="7"/>
      <c r="B312" s="6"/>
      <c r="C312" s="6"/>
      <c r="D312" s="6"/>
      <c r="E312" s="6" t="str">
        <f>IF($A312="","",IFERROR(INDEX(Processos!$AR$10:$AR$509,MATCH($A312,Processos!$A$10:$A$509,0)),"")&amp;CHAR(10)&amp;IFERROR(IF(OR(INDEX(Origem!$AB$10:$AB$509,MATCH($A312,Origem!$A$10:$A$509,0))="",INDEX(Origem!$AB$10:$AB$509,MATCH($A312,Origem!$A$10:$A$509,0))="—"),"Origem: sem classificação","Origem: "&amp;INDEX(Origem!$AB$10:$AB$509,MATCH($A312,Origem!$A$10:$A$509,0))&amp;IF(INDEX(Origem!$AC$10:$AC$509,MATCH($A312,Origem!$A$10:$A$509,0))=""," (sem pontuação)"," • "&amp;INDEX(Origem!$AC$10:$AC$509,MATCH($A312,Origem!$A$10:$A$509,0))&amp;" pontos")),"Origem: sem classificação"))</f>
        <v/>
      </c>
      <c r="F312" s="10"/>
      <c r="G312" s="6"/>
    </row>
    <row r="313" spans="1:7" ht="48" customHeight="1">
      <c r="A313" s="7"/>
      <c r="B313" s="6"/>
      <c r="C313" s="6"/>
      <c r="D313" s="6"/>
      <c r="E313" s="6" t="str">
        <f>IF($A313="","",IFERROR(INDEX(Processos!$AR$10:$AR$509,MATCH($A313,Processos!$A$10:$A$509,0)),"")&amp;CHAR(10)&amp;IFERROR(IF(OR(INDEX(Origem!$AB$10:$AB$509,MATCH($A313,Origem!$A$10:$A$509,0))="",INDEX(Origem!$AB$10:$AB$509,MATCH($A313,Origem!$A$10:$A$509,0))="—"),"Origem: sem classificação","Origem: "&amp;INDEX(Origem!$AB$10:$AB$509,MATCH($A313,Origem!$A$10:$A$509,0))&amp;IF(INDEX(Origem!$AC$10:$AC$509,MATCH($A313,Origem!$A$10:$A$509,0))=""," (sem pontuação)"," • "&amp;INDEX(Origem!$AC$10:$AC$509,MATCH($A313,Origem!$A$10:$A$509,0))&amp;" pontos")),"Origem: sem classificação"))</f>
        <v/>
      </c>
      <c r="F313" s="10"/>
      <c r="G313" s="6"/>
    </row>
    <row r="314" spans="1:7" ht="48" customHeight="1">
      <c r="A314" s="7"/>
      <c r="B314" s="6"/>
      <c r="C314" s="6"/>
      <c r="D314" s="6"/>
      <c r="E314" s="6" t="str">
        <f>IF($A314="","",IFERROR(INDEX(Processos!$AR$10:$AR$509,MATCH($A314,Processos!$A$10:$A$509,0)),"")&amp;CHAR(10)&amp;IFERROR(IF(OR(INDEX(Origem!$AB$10:$AB$509,MATCH($A314,Origem!$A$10:$A$509,0))="",INDEX(Origem!$AB$10:$AB$509,MATCH($A314,Origem!$A$10:$A$509,0))="—"),"Origem: sem classificação","Origem: "&amp;INDEX(Origem!$AB$10:$AB$509,MATCH($A314,Origem!$A$10:$A$509,0))&amp;IF(INDEX(Origem!$AC$10:$AC$509,MATCH($A314,Origem!$A$10:$A$509,0))=""," (sem pontuação)"," • "&amp;INDEX(Origem!$AC$10:$AC$509,MATCH($A314,Origem!$A$10:$A$509,0))&amp;" pontos")),"Origem: sem classificação"))</f>
        <v/>
      </c>
      <c r="F314" s="10"/>
      <c r="G314" s="6"/>
    </row>
    <row r="315" spans="1:7" ht="48" customHeight="1">
      <c r="A315" s="7"/>
      <c r="B315" s="6"/>
      <c r="C315" s="6"/>
      <c r="D315" s="6"/>
      <c r="E315" s="6" t="str">
        <f>IF($A315="","",IFERROR(INDEX(Processos!$AR$10:$AR$509,MATCH($A315,Processos!$A$10:$A$509,0)),"")&amp;CHAR(10)&amp;IFERROR(IF(OR(INDEX(Origem!$AB$10:$AB$509,MATCH($A315,Origem!$A$10:$A$509,0))="",INDEX(Origem!$AB$10:$AB$509,MATCH($A315,Origem!$A$10:$A$509,0))="—"),"Origem: sem classificação","Origem: "&amp;INDEX(Origem!$AB$10:$AB$509,MATCH($A315,Origem!$A$10:$A$509,0))&amp;IF(INDEX(Origem!$AC$10:$AC$509,MATCH($A315,Origem!$A$10:$A$509,0))=""," (sem pontuação)"," • "&amp;INDEX(Origem!$AC$10:$AC$509,MATCH($A315,Origem!$A$10:$A$509,0))&amp;" pontos")),"Origem: sem classificação"))</f>
        <v/>
      </c>
      <c r="F315" s="10"/>
      <c r="G315" s="6"/>
    </row>
    <row r="316" spans="1:7" ht="48" customHeight="1">
      <c r="A316" s="7"/>
      <c r="B316" s="6"/>
      <c r="C316" s="6"/>
      <c r="D316" s="6"/>
      <c r="E316" s="6" t="str">
        <f>IF($A316="","",IFERROR(INDEX(Processos!$AR$10:$AR$509,MATCH($A316,Processos!$A$10:$A$509,0)),"")&amp;CHAR(10)&amp;IFERROR(IF(OR(INDEX(Origem!$AB$10:$AB$509,MATCH($A316,Origem!$A$10:$A$509,0))="",INDEX(Origem!$AB$10:$AB$509,MATCH($A316,Origem!$A$10:$A$509,0))="—"),"Origem: sem classificação","Origem: "&amp;INDEX(Origem!$AB$10:$AB$509,MATCH($A316,Origem!$A$10:$A$509,0))&amp;IF(INDEX(Origem!$AC$10:$AC$509,MATCH($A316,Origem!$A$10:$A$509,0))=""," (sem pontuação)"," • "&amp;INDEX(Origem!$AC$10:$AC$509,MATCH($A316,Origem!$A$10:$A$509,0))&amp;" pontos")),"Origem: sem classificação"))</f>
        <v/>
      </c>
      <c r="F316" s="10"/>
      <c r="G316" s="6"/>
    </row>
    <row r="317" spans="1:7" ht="48" customHeight="1">
      <c r="A317" s="7"/>
      <c r="B317" s="6"/>
      <c r="C317" s="6"/>
      <c r="D317" s="6"/>
      <c r="E317" s="6" t="str">
        <f>IF($A317="","",IFERROR(INDEX(Processos!$AR$10:$AR$509,MATCH($A317,Processos!$A$10:$A$509,0)),"")&amp;CHAR(10)&amp;IFERROR(IF(OR(INDEX(Origem!$AB$10:$AB$509,MATCH($A317,Origem!$A$10:$A$509,0))="",INDEX(Origem!$AB$10:$AB$509,MATCH($A317,Origem!$A$10:$A$509,0))="—"),"Origem: sem classificação","Origem: "&amp;INDEX(Origem!$AB$10:$AB$509,MATCH($A317,Origem!$A$10:$A$509,0))&amp;IF(INDEX(Origem!$AC$10:$AC$509,MATCH($A317,Origem!$A$10:$A$509,0))=""," (sem pontuação)"," • "&amp;INDEX(Origem!$AC$10:$AC$509,MATCH($A317,Origem!$A$10:$A$509,0))&amp;" pontos")),"Origem: sem classificação"))</f>
        <v/>
      </c>
      <c r="F317" s="10"/>
      <c r="G317" s="6"/>
    </row>
    <row r="318" spans="1:7" ht="48" customHeight="1">
      <c r="A318" s="7"/>
      <c r="B318" s="6"/>
      <c r="C318" s="6"/>
      <c r="D318" s="6"/>
      <c r="E318" s="6" t="str">
        <f>IF($A318="","",IFERROR(INDEX(Processos!$AR$10:$AR$509,MATCH($A318,Processos!$A$10:$A$509,0)),"")&amp;CHAR(10)&amp;IFERROR(IF(OR(INDEX(Origem!$AB$10:$AB$509,MATCH($A318,Origem!$A$10:$A$509,0))="",INDEX(Origem!$AB$10:$AB$509,MATCH($A318,Origem!$A$10:$A$509,0))="—"),"Origem: sem classificação","Origem: "&amp;INDEX(Origem!$AB$10:$AB$509,MATCH($A318,Origem!$A$10:$A$509,0))&amp;IF(INDEX(Origem!$AC$10:$AC$509,MATCH($A318,Origem!$A$10:$A$509,0))=""," (sem pontuação)"," • "&amp;INDEX(Origem!$AC$10:$AC$509,MATCH($A318,Origem!$A$10:$A$509,0))&amp;" pontos")),"Origem: sem classificação"))</f>
        <v/>
      </c>
      <c r="F318" s="10"/>
      <c r="G318" s="6"/>
    </row>
    <row r="319" spans="1:7" ht="48" customHeight="1">
      <c r="A319" s="7"/>
      <c r="B319" s="6"/>
      <c r="C319" s="6"/>
      <c r="D319" s="6"/>
      <c r="E319" s="6" t="str">
        <f>IF($A319="","",IFERROR(INDEX(Processos!$AR$10:$AR$509,MATCH($A319,Processos!$A$10:$A$509,0)),"")&amp;CHAR(10)&amp;IFERROR(IF(OR(INDEX(Origem!$AB$10:$AB$509,MATCH($A319,Origem!$A$10:$A$509,0))="",INDEX(Origem!$AB$10:$AB$509,MATCH($A319,Origem!$A$10:$A$509,0))="—"),"Origem: sem classificação","Origem: "&amp;INDEX(Origem!$AB$10:$AB$509,MATCH($A319,Origem!$A$10:$A$509,0))&amp;IF(INDEX(Origem!$AC$10:$AC$509,MATCH($A319,Origem!$A$10:$A$509,0))=""," (sem pontuação)"," • "&amp;INDEX(Origem!$AC$10:$AC$509,MATCH($A319,Origem!$A$10:$A$509,0))&amp;" pontos")),"Origem: sem classificação"))</f>
        <v/>
      </c>
      <c r="F319" s="10"/>
      <c r="G319" s="6"/>
    </row>
    <row r="320" spans="1:7" ht="48" customHeight="1">
      <c r="A320" s="7"/>
      <c r="B320" s="6"/>
      <c r="C320" s="6"/>
      <c r="D320" s="6"/>
      <c r="E320" s="6" t="str">
        <f>IF($A320="","",IFERROR(INDEX(Processos!$AR$10:$AR$509,MATCH($A320,Processos!$A$10:$A$509,0)),"")&amp;CHAR(10)&amp;IFERROR(IF(OR(INDEX(Origem!$AB$10:$AB$509,MATCH($A320,Origem!$A$10:$A$509,0))="",INDEX(Origem!$AB$10:$AB$509,MATCH($A320,Origem!$A$10:$A$509,0))="—"),"Origem: sem classificação","Origem: "&amp;INDEX(Origem!$AB$10:$AB$509,MATCH($A320,Origem!$A$10:$A$509,0))&amp;IF(INDEX(Origem!$AC$10:$AC$509,MATCH($A320,Origem!$A$10:$A$509,0))=""," (sem pontuação)"," • "&amp;INDEX(Origem!$AC$10:$AC$509,MATCH($A320,Origem!$A$10:$A$509,0))&amp;" pontos")),"Origem: sem classificação"))</f>
        <v/>
      </c>
      <c r="F320" s="10"/>
      <c r="G320" s="6"/>
    </row>
    <row r="321" spans="1:7" ht="48" customHeight="1">
      <c r="A321" s="7"/>
      <c r="B321" s="6"/>
      <c r="C321" s="6"/>
      <c r="D321" s="6"/>
      <c r="E321" s="6" t="str">
        <f>IF($A321="","",IFERROR(INDEX(Processos!$AR$10:$AR$509,MATCH($A321,Processos!$A$10:$A$509,0)),"")&amp;CHAR(10)&amp;IFERROR(IF(OR(INDEX(Origem!$AB$10:$AB$509,MATCH($A321,Origem!$A$10:$A$509,0))="",INDEX(Origem!$AB$10:$AB$509,MATCH($A321,Origem!$A$10:$A$509,0))="—"),"Origem: sem classificação","Origem: "&amp;INDEX(Origem!$AB$10:$AB$509,MATCH($A321,Origem!$A$10:$A$509,0))&amp;IF(INDEX(Origem!$AC$10:$AC$509,MATCH($A321,Origem!$A$10:$A$509,0))=""," (sem pontuação)"," • "&amp;INDEX(Origem!$AC$10:$AC$509,MATCH($A321,Origem!$A$10:$A$509,0))&amp;" pontos")),"Origem: sem classificação"))</f>
        <v/>
      </c>
      <c r="F321" s="10"/>
      <c r="G321" s="6"/>
    </row>
    <row r="322" spans="1:7" ht="48" customHeight="1">
      <c r="A322" s="7"/>
      <c r="B322" s="6"/>
      <c r="C322" s="6"/>
      <c r="D322" s="6"/>
      <c r="E322" s="6" t="str">
        <f>IF($A322="","",IFERROR(INDEX(Processos!$AR$10:$AR$509,MATCH($A322,Processos!$A$10:$A$509,0)),"")&amp;CHAR(10)&amp;IFERROR(IF(OR(INDEX(Origem!$AB$10:$AB$509,MATCH($A322,Origem!$A$10:$A$509,0))="",INDEX(Origem!$AB$10:$AB$509,MATCH($A322,Origem!$A$10:$A$509,0))="—"),"Origem: sem classificação","Origem: "&amp;INDEX(Origem!$AB$10:$AB$509,MATCH($A322,Origem!$A$10:$A$509,0))&amp;IF(INDEX(Origem!$AC$10:$AC$509,MATCH($A322,Origem!$A$10:$A$509,0))=""," (sem pontuação)"," • "&amp;INDEX(Origem!$AC$10:$AC$509,MATCH($A322,Origem!$A$10:$A$509,0))&amp;" pontos")),"Origem: sem classificação"))</f>
        <v/>
      </c>
      <c r="F322" s="10"/>
      <c r="G322" s="6"/>
    </row>
    <row r="323" spans="1:7" ht="48" customHeight="1">
      <c r="A323" s="7"/>
      <c r="B323" s="6"/>
      <c r="C323" s="6"/>
      <c r="D323" s="6"/>
      <c r="E323" s="6" t="str">
        <f>IF($A323="","",IFERROR(INDEX(Processos!$AR$10:$AR$509,MATCH($A323,Processos!$A$10:$A$509,0)),"")&amp;CHAR(10)&amp;IFERROR(IF(OR(INDEX(Origem!$AB$10:$AB$509,MATCH($A323,Origem!$A$10:$A$509,0))="",INDEX(Origem!$AB$10:$AB$509,MATCH($A323,Origem!$A$10:$A$509,0))="—"),"Origem: sem classificação","Origem: "&amp;INDEX(Origem!$AB$10:$AB$509,MATCH($A323,Origem!$A$10:$A$509,0))&amp;IF(INDEX(Origem!$AC$10:$AC$509,MATCH($A323,Origem!$A$10:$A$509,0))=""," (sem pontuação)"," • "&amp;INDEX(Origem!$AC$10:$AC$509,MATCH($A323,Origem!$A$10:$A$509,0))&amp;" pontos")),"Origem: sem classificação"))</f>
        <v/>
      </c>
      <c r="F323" s="10"/>
      <c r="G323" s="6"/>
    </row>
    <row r="324" spans="1:7" ht="48" customHeight="1">
      <c r="A324" s="7"/>
      <c r="B324" s="6"/>
      <c r="C324" s="6"/>
      <c r="D324" s="6"/>
      <c r="E324" s="6" t="str">
        <f>IF($A324="","",IFERROR(INDEX(Processos!$AR$10:$AR$509,MATCH($A324,Processos!$A$10:$A$509,0)),"")&amp;CHAR(10)&amp;IFERROR(IF(OR(INDEX(Origem!$AB$10:$AB$509,MATCH($A324,Origem!$A$10:$A$509,0))="",INDEX(Origem!$AB$10:$AB$509,MATCH($A324,Origem!$A$10:$A$509,0))="—"),"Origem: sem classificação","Origem: "&amp;INDEX(Origem!$AB$10:$AB$509,MATCH($A324,Origem!$A$10:$A$509,0))&amp;IF(INDEX(Origem!$AC$10:$AC$509,MATCH($A324,Origem!$A$10:$A$509,0))=""," (sem pontuação)"," • "&amp;INDEX(Origem!$AC$10:$AC$509,MATCH($A324,Origem!$A$10:$A$509,0))&amp;" pontos")),"Origem: sem classificação"))</f>
        <v/>
      </c>
      <c r="F324" s="10"/>
      <c r="G324" s="6"/>
    </row>
    <row r="325" spans="1:7" ht="48" customHeight="1">
      <c r="A325" s="7"/>
      <c r="B325" s="6"/>
      <c r="C325" s="6"/>
      <c r="D325" s="6"/>
      <c r="E325" s="6" t="str">
        <f>IF($A325="","",IFERROR(INDEX(Processos!$AR$10:$AR$509,MATCH($A325,Processos!$A$10:$A$509,0)),"")&amp;CHAR(10)&amp;IFERROR(IF(OR(INDEX(Origem!$AB$10:$AB$509,MATCH($A325,Origem!$A$10:$A$509,0))="",INDEX(Origem!$AB$10:$AB$509,MATCH($A325,Origem!$A$10:$A$509,0))="—"),"Origem: sem classificação","Origem: "&amp;INDEX(Origem!$AB$10:$AB$509,MATCH($A325,Origem!$A$10:$A$509,0))&amp;IF(INDEX(Origem!$AC$10:$AC$509,MATCH($A325,Origem!$A$10:$A$509,0))=""," (sem pontuação)"," • "&amp;INDEX(Origem!$AC$10:$AC$509,MATCH($A325,Origem!$A$10:$A$509,0))&amp;" pontos")),"Origem: sem classificação"))</f>
        <v/>
      </c>
      <c r="F325" s="10"/>
      <c r="G325" s="6"/>
    </row>
    <row r="326" spans="1:7" ht="48" customHeight="1">
      <c r="A326" s="7"/>
      <c r="B326" s="6"/>
      <c r="C326" s="6"/>
      <c r="D326" s="6"/>
      <c r="E326" s="6" t="str">
        <f>IF($A326="","",IFERROR(INDEX(Processos!$AR$10:$AR$509,MATCH($A326,Processos!$A$10:$A$509,0)),"")&amp;CHAR(10)&amp;IFERROR(IF(OR(INDEX(Origem!$AB$10:$AB$509,MATCH($A326,Origem!$A$10:$A$509,0))="",INDEX(Origem!$AB$10:$AB$509,MATCH($A326,Origem!$A$10:$A$509,0))="—"),"Origem: sem classificação","Origem: "&amp;INDEX(Origem!$AB$10:$AB$509,MATCH($A326,Origem!$A$10:$A$509,0))&amp;IF(INDEX(Origem!$AC$10:$AC$509,MATCH($A326,Origem!$A$10:$A$509,0))=""," (sem pontuação)"," • "&amp;INDEX(Origem!$AC$10:$AC$509,MATCH($A326,Origem!$A$10:$A$509,0))&amp;" pontos")),"Origem: sem classificação"))</f>
        <v/>
      </c>
      <c r="F326" s="10"/>
      <c r="G326" s="6"/>
    </row>
    <row r="327" spans="1:7" ht="48" customHeight="1">
      <c r="A327" s="7"/>
      <c r="B327" s="6"/>
      <c r="C327" s="6"/>
      <c r="D327" s="6"/>
      <c r="E327" s="6" t="str">
        <f>IF($A327="","",IFERROR(INDEX(Processos!$AR$10:$AR$509,MATCH($A327,Processos!$A$10:$A$509,0)),"")&amp;CHAR(10)&amp;IFERROR(IF(OR(INDEX(Origem!$AB$10:$AB$509,MATCH($A327,Origem!$A$10:$A$509,0))="",INDEX(Origem!$AB$10:$AB$509,MATCH($A327,Origem!$A$10:$A$509,0))="—"),"Origem: sem classificação","Origem: "&amp;INDEX(Origem!$AB$10:$AB$509,MATCH($A327,Origem!$A$10:$A$509,0))&amp;IF(INDEX(Origem!$AC$10:$AC$509,MATCH($A327,Origem!$A$10:$A$509,0))=""," (sem pontuação)"," • "&amp;INDEX(Origem!$AC$10:$AC$509,MATCH($A327,Origem!$A$10:$A$509,0))&amp;" pontos")),"Origem: sem classificação"))</f>
        <v/>
      </c>
      <c r="F327" s="10"/>
      <c r="G327" s="6"/>
    </row>
    <row r="328" spans="1:7" ht="48" customHeight="1">
      <c r="A328" s="7"/>
      <c r="B328" s="6"/>
      <c r="C328" s="6"/>
      <c r="D328" s="6"/>
      <c r="E328" s="6" t="str">
        <f>IF($A328="","",IFERROR(INDEX(Processos!$AR$10:$AR$509,MATCH($A328,Processos!$A$10:$A$509,0)),"")&amp;CHAR(10)&amp;IFERROR(IF(OR(INDEX(Origem!$AB$10:$AB$509,MATCH($A328,Origem!$A$10:$A$509,0))="",INDEX(Origem!$AB$10:$AB$509,MATCH($A328,Origem!$A$10:$A$509,0))="—"),"Origem: sem classificação","Origem: "&amp;INDEX(Origem!$AB$10:$AB$509,MATCH($A328,Origem!$A$10:$A$509,0))&amp;IF(INDEX(Origem!$AC$10:$AC$509,MATCH($A328,Origem!$A$10:$A$509,0))=""," (sem pontuação)"," • "&amp;INDEX(Origem!$AC$10:$AC$509,MATCH($A328,Origem!$A$10:$A$509,0))&amp;" pontos")),"Origem: sem classificação"))</f>
        <v/>
      </c>
      <c r="F328" s="10"/>
      <c r="G328" s="6"/>
    </row>
    <row r="329" spans="1:7" ht="48" customHeight="1">
      <c r="A329" s="7"/>
      <c r="B329" s="6"/>
      <c r="C329" s="6"/>
      <c r="D329" s="6"/>
      <c r="E329" s="6" t="str">
        <f>IF($A329="","",IFERROR(INDEX(Processos!$AR$10:$AR$509,MATCH($A329,Processos!$A$10:$A$509,0)),"")&amp;CHAR(10)&amp;IFERROR(IF(OR(INDEX(Origem!$AB$10:$AB$509,MATCH($A329,Origem!$A$10:$A$509,0))="",INDEX(Origem!$AB$10:$AB$509,MATCH($A329,Origem!$A$10:$A$509,0))="—"),"Origem: sem classificação","Origem: "&amp;INDEX(Origem!$AB$10:$AB$509,MATCH($A329,Origem!$A$10:$A$509,0))&amp;IF(INDEX(Origem!$AC$10:$AC$509,MATCH($A329,Origem!$A$10:$A$509,0))=""," (sem pontuação)"," • "&amp;INDEX(Origem!$AC$10:$AC$509,MATCH($A329,Origem!$A$10:$A$509,0))&amp;" pontos")),"Origem: sem classificação"))</f>
        <v/>
      </c>
      <c r="F329" s="10"/>
      <c r="G329" s="6"/>
    </row>
    <row r="330" spans="1:7" ht="48" customHeight="1">
      <c r="A330" s="7"/>
      <c r="B330" s="6"/>
      <c r="C330" s="6"/>
      <c r="D330" s="6"/>
      <c r="E330" s="6" t="str">
        <f>IF($A330="","",IFERROR(INDEX(Processos!$AR$10:$AR$509,MATCH($A330,Processos!$A$10:$A$509,0)),"")&amp;CHAR(10)&amp;IFERROR(IF(OR(INDEX(Origem!$AB$10:$AB$509,MATCH($A330,Origem!$A$10:$A$509,0))="",INDEX(Origem!$AB$10:$AB$509,MATCH($A330,Origem!$A$10:$A$509,0))="—"),"Origem: sem classificação","Origem: "&amp;INDEX(Origem!$AB$10:$AB$509,MATCH($A330,Origem!$A$10:$A$509,0))&amp;IF(INDEX(Origem!$AC$10:$AC$509,MATCH($A330,Origem!$A$10:$A$509,0))=""," (sem pontuação)"," • "&amp;INDEX(Origem!$AC$10:$AC$509,MATCH($A330,Origem!$A$10:$A$509,0))&amp;" pontos")),"Origem: sem classificação"))</f>
        <v/>
      </c>
      <c r="F330" s="10"/>
      <c r="G330" s="6"/>
    </row>
    <row r="331" spans="1:7" ht="48" customHeight="1">
      <c r="A331" s="7"/>
      <c r="B331" s="6"/>
      <c r="C331" s="6"/>
      <c r="D331" s="6"/>
      <c r="E331" s="6" t="str">
        <f>IF($A331="","",IFERROR(INDEX(Processos!$AR$10:$AR$509,MATCH($A331,Processos!$A$10:$A$509,0)),"")&amp;CHAR(10)&amp;IFERROR(IF(OR(INDEX(Origem!$AB$10:$AB$509,MATCH($A331,Origem!$A$10:$A$509,0))="",INDEX(Origem!$AB$10:$AB$509,MATCH($A331,Origem!$A$10:$A$509,0))="—"),"Origem: sem classificação","Origem: "&amp;INDEX(Origem!$AB$10:$AB$509,MATCH($A331,Origem!$A$10:$A$509,0))&amp;IF(INDEX(Origem!$AC$10:$AC$509,MATCH($A331,Origem!$A$10:$A$509,0))=""," (sem pontuação)"," • "&amp;INDEX(Origem!$AC$10:$AC$509,MATCH($A331,Origem!$A$10:$A$509,0))&amp;" pontos")),"Origem: sem classificação"))</f>
        <v/>
      </c>
      <c r="F331" s="10"/>
      <c r="G331" s="6"/>
    </row>
    <row r="332" spans="1:7" ht="48" customHeight="1">
      <c r="A332" s="7"/>
      <c r="B332" s="6"/>
      <c r="C332" s="6"/>
      <c r="D332" s="6"/>
      <c r="E332" s="6" t="str">
        <f>IF($A332="","",IFERROR(INDEX(Processos!$AR$10:$AR$509,MATCH($A332,Processos!$A$10:$A$509,0)),"")&amp;CHAR(10)&amp;IFERROR(IF(OR(INDEX(Origem!$AB$10:$AB$509,MATCH($A332,Origem!$A$10:$A$509,0))="",INDEX(Origem!$AB$10:$AB$509,MATCH($A332,Origem!$A$10:$A$509,0))="—"),"Origem: sem classificação","Origem: "&amp;INDEX(Origem!$AB$10:$AB$509,MATCH($A332,Origem!$A$10:$A$509,0))&amp;IF(INDEX(Origem!$AC$10:$AC$509,MATCH($A332,Origem!$A$10:$A$509,0))=""," (sem pontuação)"," • "&amp;INDEX(Origem!$AC$10:$AC$509,MATCH($A332,Origem!$A$10:$A$509,0))&amp;" pontos")),"Origem: sem classificação"))</f>
        <v/>
      </c>
      <c r="F332" s="10"/>
      <c r="G332" s="6"/>
    </row>
    <row r="333" spans="1:7" ht="48" customHeight="1">
      <c r="A333" s="7"/>
      <c r="B333" s="6"/>
      <c r="C333" s="6"/>
      <c r="D333" s="6"/>
      <c r="E333" s="6" t="str">
        <f>IF($A333="","",IFERROR(INDEX(Processos!$AR$10:$AR$509,MATCH($A333,Processos!$A$10:$A$509,0)),"")&amp;CHAR(10)&amp;IFERROR(IF(OR(INDEX(Origem!$AB$10:$AB$509,MATCH($A333,Origem!$A$10:$A$509,0))="",INDEX(Origem!$AB$10:$AB$509,MATCH($A333,Origem!$A$10:$A$509,0))="—"),"Origem: sem classificação","Origem: "&amp;INDEX(Origem!$AB$10:$AB$509,MATCH($A333,Origem!$A$10:$A$509,0))&amp;IF(INDEX(Origem!$AC$10:$AC$509,MATCH($A333,Origem!$A$10:$A$509,0))=""," (sem pontuação)"," • "&amp;INDEX(Origem!$AC$10:$AC$509,MATCH($A333,Origem!$A$10:$A$509,0))&amp;" pontos")),"Origem: sem classificação"))</f>
        <v/>
      </c>
      <c r="F333" s="10"/>
      <c r="G333" s="6"/>
    </row>
    <row r="334" spans="1:7" ht="48" customHeight="1">
      <c r="A334" s="7"/>
      <c r="B334" s="6"/>
      <c r="C334" s="6"/>
      <c r="D334" s="6"/>
      <c r="E334" s="6" t="str">
        <f>IF($A334="","",IFERROR(INDEX(Processos!$AR$10:$AR$509,MATCH($A334,Processos!$A$10:$A$509,0)),"")&amp;CHAR(10)&amp;IFERROR(IF(OR(INDEX(Origem!$AB$10:$AB$509,MATCH($A334,Origem!$A$10:$A$509,0))="",INDEX(Origem!$AB$10:$AB$509,MATCH($A334,Origem!$A$10:$A$509,0))="—"),"Origem: sem classificação","Origem: "&amp;INDEX(Origem!$AB$10:$AB$509,MATCH($A334,Origem!$A$10:$A$509,0))&amp;IF(INDEX(Origem!$AC$10:$AC$509,MATCH($A334,Origem!$A$10:$A$509,0))=""," (sem pontuação)"," • "&amp;INDEX(Origem!$AC$10:$AC$509,MATCH($A334,Origem!$A$10:$A$509,0))&amp;" pontos")),"Origem: sem classificação"))</f>
        <v/>
      </c>
      <c r="F334" s="10"/>
      <c r="G334" s="6"/>
    </row>
    <row r="335" spans="1:7" ht="48" customHeight="1">
      <c r="A335" s="7"/>
      <c r="B335" s="6"/>
      <c r="C335" s="6"/>
      <c r="D335" s="6"/>
      <c r="E335" s="6" t="str">
        <f>IF($A335="","",IFERROR(INDEX(Processos!$AR$10:$AR$509,MATCH($A335,Processos!$A$10:$A$509,0)),"")&amp;CHAR(10)&amp;IFERROR(IF(OR(INDEX(Origem!$AB$10:$AB$509,MATCH($A335,Origem!$A$10:$A$509,0))="",INDEX(Origem!$AB$10:$AB$509,MATCH($A335,Origem!$A$10:$A$509,0))="—"),"Origem: sem classificação","Origem: "&amp;INDEX(Origem!$AB$10:$AB$509,MATCH($A335,Origem!$A$10:$A$509,0))&amp;IF(INDEX(Origem!$AC$10:$AC$509,MATCH($A335,Origem!$A$10:$A$509,0))=""," (sem pontuação)"," • "&amp;INDEX(Origem!$AC$10:$AC$509,MATCH($A335,Origem!$A$10:$A$509,0))&amp;" pontos")),"Origem: sem classificação"))</f>
        <v/>
      </c>
      <c r="F335" s="10"/>
      <c r="G335" s="6"/>
    </row>
    <row r="336" spans="1:7" ht="48" customHeight="1">
      <c r="A336" s="7"/>
      <c r="B336" s="6"/>
      <c r="C336" s="6"/>
      <c r="D336" s="6"/>
      <c r="E336" s="6" t="str">
        <f>IF($A336="","",IFERROR(INDEX(Processos!$AR$10:$AR$509,MATCH($A336,Processos!$A$10:$A$509,0)),"")&amp;CHAR(10)&amp;IFERROR(IF(OR(INDEX(Origem!$AB$10:$AB$509,MATCH($A336,Origem!$A$10:$A$509,0))="",INDEX(Origem!$AB$10:$AB$509,MATCH($A336,Origem!$A$10:$A$509,0))="—"),"Origem: sem classificação","Origem: "&amp;INDEX(Origem!$AB$10:$AB$509,MATCH($A336,Origem!$A$10:$A$509,0))&amp;IF(INDEX(Origem!$AC$10:$AC$509,MATCH($A336,Origem!$A$10:$A$509,0))=""," (sem pontuação)"," • "&amp;INDEX(Origem!$AC$10:$AC$509,MATCH($A336,Origem!$A$10:$A$509,0))&amp;" pontos")),"Origem: sem classificação"))</f>
        <v/>
      </c>
      <c r="F336" s="10"/>
      <c r="G336" s="6"/>
    </row>
    <row r="337" spans="1:7" ht="48" customHeight="1">
      <c r="A337" s="7"/>
      <c r="B337" s="6"/>
      <c r="C337" s="6"/>
      <c r="D337" s="6"/>
      <c r="E337" s="6" t="str">
        <f>IF($A337="","",IFERROR(INDEX(Processos!$AR$10:$AR$509,MATCH($A337,Processos!$A$10:$A$509,0)),"")&amp;CHAR(10)&amp;IFERROR(IF(OR(INDEX(Origem!$AB$10:$AB$509,MATCH($A337,Origem!$A$10:$A$509,0))="",INDEX(Origem!$AB$10:$AB$509,MATCH($A337,Origem!$A$10:$A$509,0))="—"),"Origem: sem classificação","Origem: "&amp;INDEX(Origem!$AB$10:$AB$509,MATCH($A337,Origem!$A$10:$A$509,0))&amp;IF(INDEX(Origem!$AC$10:$AC$509,MATCH($A337,Origem!$A$10:$A$509,0))=""," (sem pontuação)"," • "&amp;INDEX(Origem!$AC$10:$AC$509,MATCH($A337,Origem!$A$10:$A$509,0))&amp;" pontos")),"Origem: sem classificação"))</f>
        <v/>
      </c>
      <c r="F337" s="10"/>
      <c r="G337" s="6"/>
    </row>
    <row r="338" spans="1:7" ht="48" customHeight="1">
      <c r="A338" s="7"/>
      <c r="B338" s="6"/>
      <c r="C338" s="6"/>
      <c r="D338" s="6"/>
      <c r="E338" s="6" t="str">
        <f>IF($A338="","",IFERROR(INDEX(Processos!$AR$10:$AR$509,MATCH($A338,Processos!$A$10:$A$509,0)),"")&amp;CHAR(10)&amp;IFERROR(IF(OR(INDEX(Origem!$AB$10:$AB$509,MATCH($A338,Origem!$A$10:$A$509,0))="",INDEX(Origem!$AB$10:$AB$509,MATCH($A338,Origem!$A$10:$A$509,0))="—"),"Origem: sem classificação","Origem: "&amp;INDEX(Origem!$AB$10:$AB$509,MATCH($A338,Origem!$A$10:$A$509,0))&amp;IF(INDEX(Origem!$AC$10:$AC$509,MATCH($A338,Origem!$A$10:$A$509,0))=""," (sem pontuação)"," • "&amp;INDEX(Origem!$AC$10:$AC$509,MATCH($A338,Origem!$A$10:$A$509,0))&amp;" pontos")),"Origem: sem classificação"))</f>
        <v/>
      </c>
      <c r="F338" s="10"/>
      <c r="G338" s="6"/>
    </row>
    <row r="339" spans="1:7" ht="48" customHeight="1">
      <c r="A339" s="7"/>
      <c r="B339" s="6"/>
      <c r="C339" s="6"/>
      <c r="D339" s="6"/>
      <c r="E339" s="6" t="str">
        <f>IF($A339="","",IFERROR(INDEX(Processos!$AR$10:$AR$509,MATCH($A339,Processos!$A$10:$A$509,0)),"")&amp;CHAR(10)&amp;IFERROR(IF(OR(INDEX(Origem!$AB$10:$AB$509,MATCH($A339,Origem!$A$10:$A$509,0))="",INDEX(Origem!$AB$10:$AB$509,MATCH($A339,Origem!$A$10:$A$509,0))="—"),"Origem: sem classificação","Origem: "&amp;INDEX(Origem!$AB$10:$AB$509,MATCH($A339,Origem!$A$10:$A$509,0))&amp;IF(INDEX(Origem!$AC$10:$AC$509,MATCH($A339,Origem!$A$10:$A$509,0))=""," (sem pontuação)"," • "&amp;INDEX(Origem!$AC$10:$AC$509,MATCH($A339,Origem!$A$10:$A$509,0))&amp;" pontos")),"Origem: sem classificação"))</f>
        <v/>
      </c>
      <c r="F339" s="10"/>
      <c r="G339" s="6"/>
    </row>
    <row r="340" spans="1:7" ht="48" customHeight="1">
      <c r="A340" s="7"/>
      <c r="B340" s="6"/>
      <c r="C340" s="6"/>
      <c r="D340" s="6"/>
      <c r="E340" s="6" t="str">
        <f>IF($A340="","",IFERROR(INDEX(Processos!$AR$10:$AR$509,MATCH($A340,Processos!$A$10:$A$509,0)),"")&amp;CHAR(10)&amp;IFERROR(IF(OR(INDEX(Origem!$AB$10:$AB$509,MATCH($A340,Origem!$A$10:$A$509,0))="",INDEX(Origem!$AB$10:$AB$509,MATCH($A340,Origem!$A$10:$A$509,0))="—"),"Origem: sem classificação","Origem: "&amp;INDEX(Origem!$AB$10:$AB$509,MATCH($A340,Origem!$A$10:$A$509,0))&amp;IF(INDEX(Origem!$AC$10:$AC$509,MATCH($A340,Origem!$A$10:$A$509,0))=""," (sem pontuação)"," • "&amp;INDEX(Origem!$AC$10:$AC$509,MATCH($A340,Origem!$A$10:$A$509,0))&amp;" pontos")),"Origem: sem classificação"))</f>
        <v/>
      </c>
      <c r="F340" s="10"/>
      <c r="G340" s="6"/>
    </row>
    <row r="341" spans="1:7" ht="48" customHeight="1">
      <c r="A341" s="7"/>
      <c r="B341" s="6"/>
      <c r="C341" s="6"/>
      <c r="D341" s="6"/>
      <c r="E341" s="6" t="str">
        <f>IF($A341="","",IFERROR(INDEX(Processos!$AR$10:$AR$509,MATCH($A341,Processos!$A$10:$A$509,0)),"")&amp;CHAR(10)&amp;IFERROR(IF(OR(INDEX(Origem!$AB$10:$AB$509,MATCH($A341,Origem!$A$10:$A$509,0))="",INDEX(Origem!$AB$10:$AB$509,MATCH($A341,Origem!$A$10:$A$509,0))="—"),"Origem: sem classificação","Origem: "&amp;INDEX(Origem!$AB$10:$AB$509,MATCH($A341,Origem!$A$10:$A$509,0))&amp;IF(INDEX(Origem!$AC$10:$AC$509,MATCH($A341,Origem!$A$10:$A$509,0))=""," (sem pontuação)"," • "&amp;INDEX(Origem!$AC$10:$AC$509,MATCH($A341,Origem!$A$10:$A$509,0))&amp;" pontos")),"Origem: sem classificação"))</f>
        <v/>
      </c>
      <c r="F341" s="10"/>
      <c r="G341" s="6"/>
    </row>
    <row r="342" spans="1:7" ht="48" customHeight="1">
      <c r="A342" s="7"/>
      <c r="B342" s="6"/>
      <c r="C342" s="6"/>
      <c r="D342" s="6"/>
      <c r="E342" s="6" t="str">
        <f>IF($A342="","",IFERROR(INDEX(Processos!$AR$10:$AR$509,MATCH($A342,Processos!$A$10:$A$509,0)),"")&amp;CHAR(10)&amp;IFERROR(IF(OR(INDEX(Origem!$AB$10:$AB$509,MATCH($A342,Origem!$A$10:$A$509,0))="",INDEX(Origem!$AB$10:$AB$509,MATCH($A342,Origem!$A$10:$A$509,0))="—"),"Origem: sem classificação","Origem: "&amp;INDEX(Origem!$AB$10:$AB$509,MATCH($A342,Origem!$A$10:$A$509,0))&amp;IF(INDEX(Origem!$AC$10:$AC$509,MATCH($A342,Origem!$A$10:$A$509,0))=""," (sem pontuação)"," • "&amp;INDEX(Origem!$AC$10:$AC$509,MATCH($A342,Origem!$A$10:$A$509,0))&amp;" pontos")),"Origem: sem classificação"))</f>
        <v/>
      </c>
      <c r="F342" s="10"/>
      <c r="G342" s="6"/>
    </row>
    <row r="343" spans="1:7" ht="48" customHeight="1">
      <c r="A343" s="7"/>
      <c r="B343" s="6"/>
      <c r="C343" s="6"/>
      <c r="D343" s="6"/>
      <c r="E343" s="6" t="str">
        <f>IF($A343="","",IFERROR(INDEX(Processos!$AR$10:$AR$509,MATCH($A343,Processos!$A$10:$A$509,0)),"")&amp;CHAR(10)&amp;IFERROR(IF(OR(INDEX(Origem!$AB$10:$AB$509,MATCH($A343,Origem!$A$10:$A$509,0))="",INDEX(Origem!$AB$10:$AB$509,MATCH($A343,Origem!$A$10:$A$509,0))="—"),"Origem: sem classificação","Origem: "&amp;INDEX(Origem!$AB$10:$AB$509,MATCH($A343,Origem!$A$10:$A$509,0))&amp;IF(INDEX(Origem!$AC$10:$AC$509,MATCH($A343,Origem!$A$10:$A$509,0))=""," (sem pontuação)"," • "&amp;INDEX(Origem!$AC$10:$AC$509,MATCH($A343,Origem!$A$10:$A$509,0))&amp;" pontos")),"Origem: sem classificação"))</f>
        <v/>
      </c>
      <c r="F343" s="10"/>
      <c r="G343" s="6"/>
    </row>
    <row r="344" spans="1:7" ht="48" customHeight="1">
      <c r="A344" s="7"/>
      <c r="B344" s="6"/>
      <c r="C344" s="6"/>
      <c r="D344" s="6"/>
      <c r="E344" s="6" t="str">
        <f>IF($A344="","",IFERROR(INDEX(Processos!$AR$10:$AR$509,MATCH($A344,Processos!$A$10:$A$509,0)),"")&amp;CHAR(10)&amp;IFERROR(IF(OR(INDEX(Origem!$AB$10:$AB$509,MATCH($A344,Origem!$A$10:$A$509,0))="",INDEX(Origem!$AB$10:$AB$509,MATCH($A344,Origem!$A$10:$A$509,0))="—"),"Origem: sem classificação","Origem: "&amp;INDEX(Origem!$AB$10:$AB$509,MATCH($A344,Origem!$A$10:$A$509,0))&amp;IF(INDEX(Origem!$AC$10:$AC$509,MATCH($A344,Origem!$A$10:$A$509,0))=""," (sem pontuação)"," • "&amp;INDEX(Origem!$AC$10:$AC$509,MATCH($A344,Origem!$A$10:$A$509,0))&amp;" pontos")),"Origem: sem classificação"))</f>
        <v/>
      </c>
      <c r="F344" s="10"/>
      <c r="G344" s="6"/>
    </row>
    <row r="345" spans="1:7" ht="48" customHeight="1">
      <c r="A345" s="7"/>
      <c r="B345" s="6"/>
      <c r="C345" s="6"/>
      <c r="D345" s="6"/>
      <c r="E345" s="6" t="str">
        <f>IF($A345="","",IFERROR(INDEX(Processos!$AR$10:$AR$509,MATCH($A345,Processos!$A$10:$A$509,0)),"")&amp;CHAR(10)&amp;IFERROR(IF(OR(INDEX(Origem!$AB$10:$AB$509,MATCH($A345,Origem!$A$10:$A$509,0))="",INDEX(Origem!$AB$10:$AB$509,MATCH($A345,Origem!$A$10:$A$509,0))="—"),"Origem: sem classificação","Origem: "&amp;INDEX(Origem!$AB$10:$AB$509,MATCH($A345,Origem!$A$10:$A$509,0))&amp;IF(INDEX(Origem!$AC$10:$AC$509,MATCH($A345,Origem!$A$10:$A$509,0))=""," (sem pontuação)"," • "&amp;INDEX(Origem!$AC$10:$AC$509,MATCH($A345,Origem!$A$10:$A$509,0))&amp;" pontos")),"Origem: sem classificação"))</f>
        <v/>
      </c>
      <c r="F345" s="10"/>
      <c r="G345" s="6"/>
    </row>
    <row r="346" spans="1:7" ht="48" customHeight="1">
      <c r="A346" s="7"/>
      <c r="B346" s="6"/>
      <c r="C346" s="6"/>
      <c r="D346" s="6"/>
      <c r="E346" s="6" t="str">
        <f>IF($A346="","",IFERROR(INDEX(Processos!$AR$10:$AR$509,MATCH($A346,Processos!$A$10:$A$509,0)),"")&amp;CHAR(10)&amp;IFERROR(IF(OR(INDEX(Origem!$AB$10:$AB$509,MATCH($A346,Origem!$A$10:$A$509,0))="",INDEX(Origem!$AB$10:$AB$509,MATCH($A346,Origem!$A$10:$A$509,0))="—"),"Origem: sem classificação","Origem: "&amp;INDEX(Origem!$AB$10:$AB$509,MATCH($A346,Origem!$A$10:$A$509,0))&amp;IF(INDEX(Origem!$AC$10:$AC$509,MATCH($A346,Origem!$A$10:$A$509,0))=""," (sem pontuação)"," • "&amp;INDEX(Origem!$AC$10:$AC$509,MATCH($A346,Origem!$A$10:$A$509,0))&amp;" pontos")),"Origem: sem classificação"))</f>
        <v/>
      </c>
      <c r="F346" s="10"/>
      <c r="G346" s="6"/>
    </row>
    <row r="347" spans="1:7" ht="48" customHeight="1">
      <c r="A347" s="7"/>
      <c r="B347" s="6"/>
      <c r="C347" s="6"/>
      <c r="D347" s="6"/>
      <c r="E347" s="6" t="str">
        <f>IF($A347="","",IFERROR(INDEX(Processos!$AR$10:$AR$509,MATCH($A347,Processos!$A$10:$A$509,0)),"")&amp;CHAR(10)&amp;IFERROR(IF(OR(INDEX(Origem!$AB$10:$AB$509,MATCH($A347,Origem!$A$10:$A$509,0))="",INDEX(Origem!$AB$10:$AB$509,MATCH($A347,Origem!$A$10:$A$509,0))="—"),"Origem: sem classificação","Origem: "&amp;INDEX(Origem!$AB$10:$AB$509,MATCH($A347,Origem!$A$10:$A$509,0))&amp;IF(INDEX(Origem!$AC$10:$AC$509,MATCH($A347,Origem!$A$10:$A$509,0))=""," (sem pontuação)"," • "&amp;INDEX(Origem!$AC$10:$AC$509,MATCH($A347,Origem!$A$10:$A$509,0))&amp;" pontos")),"Origem: sem classificação"))</f>
        <v/>
      </c>
      <c r="F347" s="10"/>
      <c r="G347" s="6"/>
    </row>
    <row r="348" spans="1:7" ht="48" customHeight="1">
      <c r="A348" s="7"/>
      <c r="B348" s="6"/>
      <c r="C348" s="6"/>
      <c r="D348" s="6"/>
      <c r="E348" s="6" t="str">
        <f>IF($A348="","",IFERROR(INDEX(Processos!$AR$10:$AR$509,MATCH($A348,Processos!$A$10:$A$509,0)),"")&amp;CHAR(10)&amp;IFERROR(IF(OR(INDEX(Origem!$AB$10:$AB$509,MATCH($A348,Origem!$A$10:$A$509,0))="",INDEX(Origem!$AB$10:$AB$509,MATCH($A348,Origem!$A$10:$A$509,0))="—"),"Origem: sem classificação","Origem: "&amp;INDEX(Origem!$AB$10:$AB$509,MATCH($A348,Origem!$A$10:$A$509,0))&amp;IF(INDEX(Origem!$AC$10:$AC$509,MATCH($A348,Origem!$A$10:$A$509,0))=""," (sem pontuação)"," • "&amp;INDEX(Origem!$AC$10:$AC$509,MATCH($A348,Origem!$A$10:$A$509,0))&amp;" pontos")),"Origem: sem classificação"))</f>
        <v/>
      </c>
      <c r="F348" s="10"/>
      <c r="G348" s="6"/>
    </row>
    <row r="349" spans="1:7" ht="48" customHeight="1">
      <c r="A349" s="7"/>
      <c r="B349" s="6"/>
      <c r="C349" s="6"/>
      <c r="D349" s="6"/>
      <c r="E349" s="6" t="str">
        <f>IF($A349="","",IFERROR(INDEX(Processos!$AR$10:$AR$509,MATCH($A349,Processos!$A$10:$A$509,0)),"")&amp;CHAR(10)&amp;IFERROR(IF(OR(INDEX(Origem!$AB$10:$AB$509,MATCH($A349,Origem!$A$10:$A$509,0))="",INDEX(Origem!$AB$10:$AB$509,MATCH($A349,Origem!$A$10:$A$509,0))="—"),"Origem: sem classificação","Origem: "&amp;INDEX(Origem!$AB$10:$AB$509,MATCH($A349,Origem!$A$10:$A$509,0))&amp;IF(INDEX(Origem!$AC$10:$AC$509,MATCH($A349,Origem!$A$10:$A$509,0))=""," (sem pontuação)"," • "&amp;INDEX(Origem!$AC$10:$AC$509,MATCH($A349,Origem!$A$10:$A$509,0))&amp;" pontos")),"Origem: sem classificação"))</f>
        <v/>
      </c>
      <c r="F349" s="10"/>
      <c r="G349" s="6"/>
    </row>
    <row r="350" spans="1:7" ht="48" customHeight="1">
      <c r="A350" s="7"/>
      <c r="B350" s="6"/>
      <c r="C350" s="6"/>
      <c r="D350" s="6"/>
      <c r="E350" s="6" t="str">
        <f>IF($A350="","",IFERROR(INDEX(Processos!$AR$10:$AR$509,MATCH($A350,Processos!$A$10:$A$509,0)),"")&amp;CHAR(10)&amp;IFERROR(IF(OR(INDEX(Origem!$AB$10:$AB$509,MATCH($A350,Origem!$A$10:$A$509,0))="",INDEX(Origem!$AB$10:$AB$509,MATCH($A350,Origem!$A$10:$A$509,0))="—"),"Origem: sem classificação","Origem: "&amp;INDEX(Origem!$AB$10:$AB$509,MATCH($A350,Origem!$A$10:$A$509,0))&amp;IF(INDEX(Origem!$AC$10:$AC$509,MATCH($A350,Origem!$A$10:$A$509,0))=""," (sem pontuação)"," • "&amp;INDEX(Origem!$AC$10:$AC$509,MATCH($A350,Origem!$A$10:$A$509,0))&amp;" pontos")),"Origem: sem classificação"))</f>
        <v/>
      </c>
      <c r="F350" s="10"/>
      <c r="G350" s="6"/>
    </row>
    <row r="351" spans="1:7" ht="48" customHeight="1">
      <c r="A351" s="7"/>
      <c r="B351" s="6"/>
      <c r="C351" s="6"/>
      <c r="D351" s="6"/>
      <c r="E351" s="6" t="str">
        <f>IF($A351="","",IFERROR(INDEX(Processos!$AR$10:$AR$509,MATCH($A351,Processos!$A$10:$A$509,0)),"")&amp;CHAR(10)&amp;IFERROR(IF(OR(INDEX(Origem!$AB$10:$AB$509,MATCH($A351,Origem!$A$10:$A$509,0))="",INDEX(Origem!$AB$10:$AB$509,MATCH($A351,Origem!$A$10:$A$509,0))="—"),"Origem: sem classificação","Origem: "&amp;INDEX(Origem!$AB$10:$AB$509,MATCH($A351,Origem!$A$10:$A$509,0))&amp;IF(INDEX(Origem!$AC$10:$AC$509,MATCH($A351,Origem!$A$10:$A$509,0))=""," (sem pontuação)"," • "&amp;INDEX(Origem!$AC$10:$AC$509,MATCH($A351,Origem!$A$10:$A$509,0))&amp;" pontos")),"Origem: sem classificação"))</f>
        <v/>
      </c>
      <c r="F351" s="10"/>
      <c r="G351" s="6"/>
    </row>
    <row r="352" spans="1:7" ht="48" customHeight="1">
      <c r="A352" s="7"/>
      <c r="B352" s="6"/>
      <c r="C352" s="6"/>
      <c r="D352" s="6"/>
      <c r="E352" s="6" t="str">
        <f>IF($A352="","",IFERROR(INDEX(Processos!$AR$10:$AR$509,MATCH($A352,Processos!$A$10:$A$509,0)),"")&amp;CHAR(10)&amp;IFERROR(IF(OR(INDEX(Origem!$AB$10:$AB$509,MATCH($A352,Origem!$A$10:$A$509,0))="",INDEX(Origem!$AB$10:$AB$509,MATCH($A352,Origem!$A$10:$A$509,0))="—"),"Origem: sem classificação","Origem: "&amp;INDEX(Origem!$AB$10:$AB$509,MATCH($A352,Origem!$A$10:$A$509,0))&amp;IF(INDEX(Origem!$AC$10:$AC$509,MATCH($A352,Origem!$A$10:$A$509,0))=""," (sem pontuação)"," • "&amp;INDEX(Origem!$AC$10:$AC$509,MATCH($A352,Origem!$A$10:$A$509,0))&amp;" pontos")),"Origem: sem classificação"))</f>
        <v/>
      </c>
      <c r="F352" s="10"/>
      <c r="G352" s="6"/>
    </row>
    <row r="353" spans="1:7" ht="48" customHeight="1">
      <c r="A353" s="7"/>
      <c r="B353" s="6"/>
      <c r="C353" s="6"/>
      <c r="D353" s="6"/>
      <c r="E353" s="6" t="str">
        <f>IF($A353="","",IFERROR(INDEX(Processos!$AR$10:$AR$509,MATCH($A353,Processos!$A$10:$A$509,0)),"")&amp;CHAR(10)&amp;IFERROR(IF(OR(INDEX(Origem!$AB$10:$AB$509,MATCH($A353,Origem!$A$10:$A$509,0))="",INDEX(Origem!$AB$10:$AB$509,MATCH($A353,Origem!$A$10:$A$509,0))="—"),"Origem: sem classificação","Origem: "&amp;INDEX(Origem!$AB$10:$AB$509,MATCH($A353,Origem!$A$10:$A$509,0))&amp;IF(INDEX(Origem!$AC$10:$AC$509,MATCH($A353,Origem!$A$10:$A$509,0))=""," (sem pontuação)"," • "&amp;INDEX(Origem!$AC$10:$AC$509,MATCH($A353,Origem!$A$10:$A$509,0))&amp;" pontos")),"Origem: sem classificação"))</f>
        <v/>
      </c>
      <c r="F353" s="10"/>
      <c r="G353" s="6"/>
    </row>
    <row r="354" spans="1:7" ht="48" customHeight="1">
      <c r="A354" s="7"/>
      <c r="B354" s="6"/>
      <c r="C354" s="6"/>
      <c r="D354" s="6"/>
      <c r="E354" s="6" t="str">
        <f>IF($A354="","",IFERROR(INDEX(Processos!$AR$10:$AR$509,MATCH($A354,Processos!$A$10:$A$509,0)),"")&amp;CHAR(10)&amp;IFERROR(IF(OR(INDEX(Origem!$AB$10:$AB$509,MATCH($A354,Origem!$A$10:$A$509,0))="",INDEX(Origem!$AB$10:$AB$509,MATCH($A354,Origem!$A$10:$A$509,0))="—"),"Origem: sem classificação","Origem: "&amp;INDEX(Origem!$AB$10:$AB$509,MATCH($A354,Origem!$A$10:$A$509,0))&amp;IF(INDEX(Origem!$AC$10:$AC$509,MATCH($A354,Origem!$A$10:$A$509,0))=""," (sem pontuação)"," • "&amp;INDEX(Origem!$AC$10:$AC$509,MATCH($A354,Origem!$A$10:$A$509,0))&amp;" pontos")),"Origem: sem classificação"))</f>
        <v/>
      </c>
      <c r="F354" s="10"/>
      <c r="G354" s="6"/>
    </row>
    <row r="355" spans="1:7" ht="48" customHeight="1">
      <c r="A355" s="7"/>
      <c r="B355" s="6"/>
      <c r="C355" s="6"/>
      <c r="D355" s="6"/>
      <c r="E355" s="6" t="str">
        <f>IF($A355="","",IFERROR(INDEX(Processos!$AR$10:$AR$509,MATCH($A355,Processos!$A$10:$A$509,0)),"")&amp;CHAR(10)&amp;IFERROR(IF(OR(INDEX(Origem!$AB$10:$AB$509,MATCH($A355,Origem!$A$10:$A$509,0))="",INDEX(Origem!$AB$10:$AB$509,MATCH($A355,Origem!$A$10:$A$509,0))="—"),"Origem: sem classificação","Origem: "&amp;INDEX(Origem!$AB$10:$AB$509,MATCH($A355,Origem!$A$10:$A$509,0))&amp;IF(INDEX(Origem!$AC$10:$AC$509,MATCH($A355,Origem!$A$10:$A$509,0))=""," (sem pontuação)"," • "&amp;INDEX(Origem!$AC$10:$AC$509,MATCH($A355,Origem!$A$10:$A$509,0))&amp;" pontos")),"Origem: sem classificação"))</f>
        <v/>
      </c>
      <c r="F355" s="10"/>
      <c r="G355" s="6"/>
    </row>
    <row r="356" spans="1:7" ht="48" customHeight="1">
      <c r="A356" s="7"/>
      <c r="B356" s="6"/>
      <c r="C356" s="6"/>
      <c r="D356" s="6"/>
      <c r="E356" s="6" t="str">
        <f>IF($A356="","",IFERROR(INDEX(Processos!$AR$10:$AR$509,MATCH($A356,Processos!$A$10:$A$509,0)),"")&amp;CHAR(10)&amp;IFERROR(IF(OR(INDEX(Origem!$AB$10:$AB$509,MATCH($A356,Origem!$A$10:$A$509,0))="",INDEX(Origem!$AB$10:$AB$509,MATCH($A356,Origem!$A$10:$A$509,0))="—"),"Origem: sem classificação","Origem: "&amp;INDEX(Origem!$AB$10:$AB$509,MATCH($A356,Origem!$A$10:$A$509,0))&amp;IF(INDEX(Origem!$AC$10:$AC$509,MATCH($A356,Origem!$A$10:$A$509,0))=""," (sem pontuação)"," • "&amp;INDEX(Origem!$AC$10:$AC$509,MATCH($A356,Origem!$A$10:$A$509,0))&amp;" pontos")),"Origem: sem classificação"))</f>
        <v/>
      </c>
      <c r="F356" s="10"/>
      <c r="G356" s="6"/>
    </row>
    <row r="357" spans="1:7" ht="48" customHeight="1">
      <c r="A357" s="7"/>
      <c r="B357" s="6"/>
      <c r="C357" s="6"/>
      <c r="D357" s="6"/>
      <c r="E357" s="6" t="str">
        <f>IF($A357="","",IFERROR(INDEX(Processos!$AR$10:$AR$509,MATCH($A357,Processos!$A$10:$A$509,0)),"")&amp;CHAR(10)&amp;IFERROR(IF(OR(INDEX(Origem!$AB$10:$AB$509,MATCH($A357,Origem!$A$10:$A$509,0))="",INDEX(Origem!$AB$10:$AB$509,MATCH($A357,Origem!$A$10:$A$509,0))="—"),"Origem: sem classificação","Origem: "&amp;INDEX(Origem!$AB$10:$AB$509,MATCH($A357,Origem!$A$10:$A$509,0))&amp;IF(INDEX(Origem!$AC$10:$AC$509,MATCH($A357,Origem!$A$10:$A$509,0))=""," (sem pontuação)"," • "&amp;INDEX(Origem!$AC$10:$AC$509,MATCH($A357,Origem!$A$10:$A$509,0))&amp;" pontos")),"Origem: sem classificação"))</f>
        <v/>
      </c>
      <c r="F357" s="10"/>
      <c r="G357" s="6"/>
    </row>
    <row r="358" spans="1:7" ht="48" customHeight="1">
      <c r="A358" s="7"/>
      <c r="B358" s="6"/>
      <c r="C358" s="6"/>
      <c r="D358" s="6"/>
      <c r="E358" s="6" t="str">
        <f>IF($A358="","",IFERROR(INDEX(Processos!$AR$10:$AR$509,MATCH($A358,Processos!$A$10:$A$509,0)),"")&amp;CHAR(10)&amp;IFERROR(IF(OR(INDEX(Origem!$AB$10:$AB$509,MATCH($A358,Origem!$A$10:$A$509,0))="",INDEX(Origem!$AB$10:$AB$509,MATCH($A358,Origem!$A$10:$A$509,0))="—"),"Origem: sem classificação","Origem: "&amp;INDEX(Origem!$AB$10:$AB$509,MATCH($A358,Origem!$A$10:$A$509,0))&amp;IF(INDEX(Origem!$AC$10:$AC$509,MATCH($A358,Origem!$A$10:$A$509,0))=""," (sem pontuação)"," • "&amp;INDEX(Origem!$AC$10:$AC$509,MATCH($A358,Origem!$A$10:$A$509,0))&amp;" pontos")),"Origem: sem classificação"))</f>
        <v/>
      </c>
      <c r="F358" s="10"/>
      <c r="G358" s="6"/>
    </row>
    <row r="359" spans="1:7" ht="48" customHeight="1">
      <c r="A359" s="7"/>
      <c r="B359" s="6"/>
      <c r="C359" s="6"/>
      <c r="D359" s="6"/>
      <c r="E359" s="6" t="str">
        <f>IF($A359="","",IFERROR(INDEX(Processos!$AR$10:$AR$509,MATCH($A359,Processos!$A$10:$A$509,0)),"")&amp;CHAR(10)&amp;IFERROR(IF(OR(INDEX(Origem!$AB$10:$AB$509,MATCH($A359,Origem!$A$10:$A$509,0))="",INDEX(Origem!$AB$10:$AB$509,MATCH($A359,Origem!$A$10:$A$509,0))="—"),"Origem: sem classificação","Origem: "&amp;INDEX(Origem!$AB$10:$AB$509,MATCH($A359,Origem!$A$10:$A$509,0))&amp;IF(INDEX(Origem!$AC$10:$AC$509,MATCH($A359,Origem!$A$10:$A$509,0))=""," (sem pontuação)"," • "&amp;INDEX(Origem!$AC$10:$AC$509,MATCH($A359,Origem!$A$10:$A$509,0))&amp;" pontos")),"Origem: sem classificação"))</f>
        <v/>
      </c>
      <c r="F359" s="10"/>
      <c r="G359" s="6"/>
    </row>
    <row r="360" spans="1:7" ht="48" customHeight="1">
      <c r="A360" s="7"/>
      <c r="B360" s="6"/>
      <c r="C360" s="6"/>
      <c r="D360" s="6"/>
      <c r="E360" s="6" t="str">
        <f>IF($A360="","",IFERROR(INDEX(Processos!$AR$10:$AR$509,MATCH($A360,Processos!$A$10:$A$509,0)),"")&amp;CHAR(10)&amp;IFERROR(IF(OR(INDEX(Origem!$AB$10:$AB$509,MATCH($A360,Origem!$A$10:$A$509,0))="",INDEX(Origem!$AB$10:$AB$509,MATCH($A360,Origem!$A$10:$A$509,0))="—"),"Origem: sem classificação","Origem: "&amp;INDEX(Origem!$AB$10:$AB$509,MATCH($A360,Origem!$A$10:$A$509,0))&amp;IF(INDEX(Origem!$AC$10:$AC$509,MATCH($A360,Origem!$A$10:$A$509,0))=""," (sem pontuação)"," • "&amp;INDEX(Origem!$AC$10:$AC$509,MATCH($A360,Origem!$A$10:$A$509,0))&amp;" pontos")),"Origem: sem classificação"))</f>
        <v/>
      </c>
      <c r="F360" s="10"/>
      <c r="G360" s="6"/>
    </row>
    <row r="361" spans="1:7" ht="48" customHeight="1">
      <c r="A361" s="7"/>
      <c r="B361" s="6"/>
      <c r="C361" s="6"/>
      <c r="D361" s="6"/>
      <c r="E361" s="6" t="str">
        <f>IF($A361="","",IFERROR(INDEX(Processos!$AR$10:$AR$509,MATCH($A361,Processos!$A$10:$A$509,0)),"")&amp;CHAR(10)&amp;IFERROR(IF(OR(INDEX(Origem!$AB$10:$AB$509,MATCH($A361,Origem!$A$10:$A$509,0))="",INDEX(Origem!$AB$10:$AB$509,MATCH($A361,Origem!$A$10:$A$509,0))="—"),"Origem: sem classificação","Origem: "&amp;INDEX(Origem!$AB$10:$AB$509,MATCH($A361,Origem!$A$10:$A$509,0))&amp;IF(INDEX(Origem!$AC$10:$AC$509,MATCH($A361,Origem!$A$10:$A$509,0))=""," (sem pontuação)"," • "&amp;INDEX(Origem!$AC$10:$AC$509,MATCH($A361,Origem!$A$10:$A$509,0))&amp;" pontos")),"Origem: sem classificação"))</f>
        <v/>
      </c>
      <c r="F361" s="10"/>
      <c r="G361" s="6"/>
    </row>
    <row r="362" spans="1:7" ht="48" customHeight="1">
      <c r="A362" s="7"/>
      <c r="B362" s="6"/>
      <c r="C362" s="6"/>
      <c r="D362" s="6"/>
      <c r="E362" s="6" t="str">
        <f>IF($A362="","",IFERROR(INDEX(Processos!$AR$10:$AR$509,MATCH($A362,Processos!$A$10:$A$509,0)),"")&amp;CHAR(10)&amp;IFERROR(IF(OR(INDEX(Origem!$AB$10:$AB$509,MATCH($A362,Origem!$A$10:$A$509,0))="",INDEX(Origem!$AB$10:$AB$509,MATCH($A362,Origem!$A$10:$A$509,0))="—"),"Origem: sem classificação","Origem: "&amp;INDEX(Origem!$AB$10:$AB$509,MATCH($A362,Origem!$A$10:$A$509,0))&amp;IF(INDEX(Origem!$AC$10:$AC$509,MATCH($A362,Origem!$A$10:$A$509,0))=""," (sem pontuação)"," • "&amp;INDEX(Origem!$AC$10:$AC$509,MATCH($A362,Origem!$A$10:$A$509,0))&amp;" pontos")),"Origem: sem classificação"))</f>
        <v/>
      </c>
      <c r="F362" s="10"/>
      <c r="G362" s="6"/>
    </row>
    <row r="363" spans="1:7" ht="48" customHeight="1">
      <c r="A363" s="7"/>
      <c r="B363" s="6"/>
      <c r="C363" s="6"/>
      <c r="D363" s="6"/>
      <c r="E363" s="6" t="str">
        <f>IF($A363="","",IFERROR(INDEX(Processos!$AR$10:$AR$509,MATCH($A363,Processos!$A$10:$A$509,0)),"")&amp;CHAR(10)&amp;IFERROR(IF(OR(INDEX(Origem!$AB$10:$AB$509,MATCH($A363,Origem!$A$10:$A$509,0))="",INDEX(Origem!$AB$10:$AB$509,MATCH($A363,Origem!$A$10:$A$509,0))="—"),"Origem: sem classificação","Origem: "&amp;INDEX(Origem!$AB$10:$AB$509,MATCH($A363,Origem!$A$10:$A$509,0))&amp;IF(INDEX(Origem!$AC$10:$AC$509,MATCH($A363,Origem!$A$10:$A$509,0))=""," (sem pontuação)"," • "&amp;INDEX(Origem!$AC$10:$AC$509,MATCH($A363,Origem!$A$10:$A$509,0))&amp;" pontos")),"Origem: sem classificação"))</f>
        <v/>
      </c>
      <c r="F363" s="10"/>
      <c r="G363" s="6"/>
    </row>
    <row r="364" spans="1:7" ht="48" customHeight="1">
      <c r="A364" s="7"/>
      <c r="B364" s="6"/>
      <c r="C364" s="6"/>
      <c r="D364" s="6"/>
      <c r="E364" s="6" t="str">
        <f>IF($A364="","",IFERROR(INDEX(Processos!$AR$10:$AR$509,MATCH($A364,Processos!$A$10:$A$509,0)),"")&amp;CHAR(10)&amp;IFERROR(IF(OR(INDEX(Origem!$AB$10:$AB$509,MATCH($A364,Origem!$A$10:$A$509,0))="",INDEX(Origem!$AB$10:$AB$509,MATCH($A364,Origem!$A$10:$A$509,0))="—"),"Origem: sem classificação","Origem: "&amp;INDEX(Origem!$AB$10:$AB$509,MATCH($A364,Origem!$A$10:$A$509,0))&amp;IF(INDEX(Origem!$AC$10:$AC$509,MATCH($A364,Origem!$A$10:$A$509,0))=""," (sem pontuação)"," • "&amp;INDEX(Origem!$AC$10:$AC$509,MATCH($A364,Origem!$A$10:$A$509,0))&amp;" pontos")),"Origem: sem classificação"))</f>
        <v/>
      </c>
      <c r="F364" s="10"/>
      <c r="G364" s="6"/>
    </row>
    <row r="365" spans="1:7" ht="48" customHeight="1">
      <c r="A365" s="7"/>
      <c r="B365" s="6"/>
      <c r="C365" s="6"/>
      <c r="D365" s="6"/>
      <c r="E365" s="6" t="str">
        <f>IF($A365="","",IFERROR(INDEX(Processos!$AR$10:$AR$509,MATCH($A365,Processos!$A$10:$A$509,0)),"")&amp;CHAR(10)&amp;IFERROR(IF(OR(INDEX(Origem!$AB$10:$AB$509,MATCH($A365,Origem!$A$10:$A$509,0))="",INDEX(Origem!$AB$10:$AB$509,MATCH($A365,Origem!$A$10:$A$509,0))="—"),"Origem: sem classificação","Origem: "&amp;INDEX(Origem!$AB$10:$AB$509,MATCH($A365,Origem!$A$10:$A$509,0))&amp;IF(INDEX(Origem!$AC$10:$AC$509,MATCH($A365,Origem!$A$10:$A$509,0))=""," (sem pontuação)"," • "&amp;INDEX(Origem!$AC$10:$AC$509,MATCH($A365,Origem!$A$10:$A$509,0))&amp;" pontos")),"Origem: sem classificação"))</f>
        <v/>
      </c>
      <c r="F365" s="10"/>
      <c r="G365" s="6"/>
    </row>
    <row r="366" spans="1:7" ht="48" customHeight="1">
      <c r="A366" s="7"/>
      <c r="B366" s="6"/>
      <c r="C366" s="6"/>
      <c r="D366" s="6"/>
      <c r="E366" s="6" t="str">
        <f>IF($A366="","",IFERROR(INDEX(Processos!$AR$10:$AR$509,MATCH($A366,Processos!$A$10:$A$509,0)),"")&amp;CHAR(10)&amp;IFERROR(IF(OR(INDEX(Origem!$AB$10:$AB$509,MATCH($A366,Origem!$A$10:$A$509,0))="",INDEX(Origem!$AB$10:$AB$509,MATCH($A366,Origem!$A$10:$A$509,0))="—"),"Origem: sem classificação","Origem: "&amp;INDEX(Origem!$AB$10:$AB$509,MATCH($A366,Origem!$A$10:$A$509,0))&amp;IF(INDEX(Origem!$AC$10:$AC$509,MATCH($A366,Origem!$A$10:$A$509,0))=""," (sem pontuação)"," • "&amp;INDEX(Origem!$AC$10:$AC$509,MATCH($A366,Origem!$A$10:$A$509,0))&amp;" pontos")),"Origem: sem classificação"))</f>
        <v/>
      </c>
      <c r="F366" s="10"/>
      <c r="G366" s="6"/>
    </row>
    <row r="367" spans="1:7" ht="48" customHeight="1">
      <c r="A367" s="7"/>
      <c r="B367" s="6"/>
      <c r="C367" s="6"/>
      <c r="D367" s="6"/>
      <c r="E367" s="6" t="str">
        <f>IF($A367="","",IFERROR(INDEX(Processos!$AR$10:$AR$509,MATCH($A367,Processos!$A$10:$A$509,0)),"")&amp;CHAR(10)&amp;IFERROR(IF(OR(INDEX(Origem!$AB$10:$AB$509,MATCH($A367,Origem!$A$10:$A$509,0))="",INDEX(Origem!$AB$10:$AB$509,MATCH($A367,Origem!$A$10:$A$509,0))="—"),"Origem: sem classificação","Origem: "&amp;INDEX(Origem!$AB$10:$AB$509,MATCH($A367,Origem!$A$10:$A$509,0))&amp;IF(INDEX(Origem!$AC$10:$AC$509,MATCH($A367,Origem!$A$10:$A$509,0))=""," (sem pontuação)"," • "&amp;INDEX(Origem!$AC$10:$AC$509,MATCH($A367,Origem!$A$10:$A$509,0))&amp;" pontos")),"Origem: sem classificação"))</f>
        <v/>
      </c>
      <c r="F367" s="10"/>
      <c r="G367" s="6"/>
    </row>
    <row r="368" spans="1:7" ht="48" customHeight="1">
      <c r="A368" s="7"/>
      <c r="B368" s="6"/>
      <c r="C368" s="6"/>
      <c r="D368" s="6"/>
      <c r="E368" s="6" t="str">
        <f>IF($A368="","",IFERROR(INDEX(Processos!$AR$10:$AR$509,MATCH($A368,Processos!$A$10:$A$509,0)),"")&amp;CHAR(10)&amp;IFERROR(IF(OR(INDEX(Origem!$AB$10:$AB$509,MATCH($A368,Origem!$A$10:$A$509,0))="",INDEX(Origem!$AB$10:$AB$509,MATCH($A368,Origem!$A$10:$A$509,0))="—"),"Origem: sem classificação","Origem: "&amp;INDEX(Origem!$AB$10:$AB$509,MATCH($A368,Origem!$A$10:$A$509,0))&amp;IF(INDEX(Origem!$AC$10:$AC$509,MATCH($A368,Origem!$A$10:$A$509,0))=""," (sem pontuação)"," • "&amp;INDEX(Origem!$AC$10:$AC$509,MATCH($A368,Origem!$A$10:$A$509,0))&amp;" pontos")),"Origem: sem classificação"))</f>
        <v/>
      </c>
      <c r="F368" s="10"/>
      <c r="G368" s="6"/>
    </row>
    <row r="369" spans="1:7" ht="48" customHeight="1">
      <c r="A369" s="7"/>
      <c r="B369" s="6"/>
      <c r="C369" s="6"/>
      <c r="D369" s="6"/>
      <c r="E369" s="6" t="str">
        <f>IF($A369="","",IFERROR(INDEX(Processos!$AR$10:$AR$509,MATCH($A369,Processos!$A$10:$A$509,0)),"")&amp;CHAR(10)&amp;IFERROR(IF(OR(INDEX(Origem!$AB$10:$AB$509,MATCH($A369,Origem!$A$10:$A$509,0))="",INDEX(Origem!$AB$10:$AB$509,MATCH($A369,Origem!$A$10:$A$509,0))="—"),"Origem: sem classificação","Origem: "&amp;INDEX(Origem!$AB$10:$AB$509,MATCH($A369,Origem!$A$10:$A$509,0))&amp;IF(INDEX(Origem!$AC$10:$AC$509,MATCH($A369,Origem!$A$10:$A$509,0))=""," (sem pontuação)"," • "&amp;INDEX(Origem!$AC$10:$AC$509,MATCH($A369,Origem!$A$10:$A$509,0))&amp;" pontos")),"Origem: sem classificação"))</f>
        <v/>
      </c>
      <c r="F369" s="10"/>
      <c r="G369" s="6"/>
    </row>
    <row r="370" spans="1:7" ht="48" customHeight="1">
      <c r="A370" s="7"/>
      <c r="B370" s="6"/>
      <c r="C370" s="6"/>
      <c r="D370" s="6"/>
      <c r="E370" s="6" t="str">
        <f>IF($A370="","",IFERROR(INDEX(Processos!$AR$10:$AR$509,MATCH($A370,Processos!$A$10:$A$509,0)),"")&amp;CHAR(10)&amp;IFERROR(IF(OR(INDEX(Origem!$AB$10:$AB$509,MATCH($A370,Origem!$A$10:$A$509,0))="",INDEX(Origem!$AB$10:$AB$509,MATCH($A370,Origem!$A$10:$A$509,0))="—"),"Origem: sem classificação","Origem: "&amp;INDEX(Origem!$AB$10:$AB$509,MATCH($A370,Origem!$A$10:$A$509,0))&amp;IF(INDEX(Origem!$AC$10:$AC$509,MATCH($A370,Origem!$A$10:$A$509,0))=""," (sem pontuação)"," • "&amp;INDEX(Origem!$AC$10:$AC$509,MATCH($A370,Origem!$A$10:$A$509,0))&amp;" pontos")),"Origem: sem classificação"))</f>
        <v/>
      </c>
      <c r="F370" s="10"/>
      <c r="G370" s="6"/>
    </row>
    <row r="371" spans="1:7" ht="48" customHeight="1">
      <c r="A371" s="7"/>
      <c r="B371" s="6"/>
      <c r="C371" s="6"/>
      <c r="D371" s="6"/>
      <c r="E371" s="6" t="str">
        <f>IF($A371="","",IFERROR(INDEX(Processos!$AR$10:$AR$509,MATCH($A371,Processos!$A$10:$A$509,0)),"")&amp;CHAR(10)&amp;IFERROR(IF(OR(INDEX(Origem!$AB$10:$AB$509,MATCH($A371,Origem!$A$10:$A$509,0))="",INDEX(Origem!$AB$10:$AB$509,MATCH($A371,Origem!$A$10:$A$509,0))="—"),"Origem: sem classificação","Origem: "&amp;INDEX(Origem!$AB$10:$AB$509,MATCH($A371,Origem!$A$10:$A$509,0))&amp;IF(INDEX(Origem!$AC$10:$AC$509,MATCH($A371,Origem!$A$10:$A$509,0))=""," (sem pontuação)"," • "&amp;INDEX(Origem!$AC$10:$AC$509,MATCH($A371,Origem!$A$10:$A$509,0))&amp;" pontos")),"Origem: sem classificação"))</f>
        <v/>
      </c>
      <c r="F371" s="10"/>
      <c r="G371" s="6"/>
    </row>
    <row r="372" spans="1:7" ht="48" customHeight="1">
      <c r="A372" s="7"/>
      <c r="B372" s="6"/>
      <c r="C372" s="6"/>
      <c r="D372" s="6"/>
      <c r="E372" s="6" t="str">
        <f>IF($A372="","",IFERROR(INDEX(Processos!$AR$10:$AR$509,MATCH($A372,Processos!$A$10:$A$509,0)),"")&amp;CHAR(10)&amp;IFERROR(IF(OR(INDEX(Origem!$AB$10:$AB$509,MATCH($A372,Origem!$A$10:$A$509,0))="",INDEX(Origem!$AB$10:$AB$509,MATCH($A372,Origem!$A$10:$A$509,0))="—"),"Origem: sem classificação","Origem: "&amp;INDEX(Origem!$AB$10:$AB$509,MATCH($A372,Origem!$A$10:$A$509,0))&amp;IF(INDEX(Origem!$AC$10:$AC$509,MATCH($A372,Origem!$A$10:$A$509,0))=""," (sem pontuação)"," • "&amp;INDEX(Origem!$AC$10:$AC$509,MATCH($A372,Origem!$A$10:$A$509,0))&amp;" pontos")),"Origem: sem classificação"))</f>
        <v/>
      </c>
      <c r="F372" s="10"/>
      <c r="G372" s="6"/>
    </row>
    <row r="373" spans="1:7" ht="48" customHeight="1">
      <c r="A373" s="7"/>
      <c r="B373" s="6"/>
      <c r="C373" s="6"/>
      <c r="D373" s="6"/>
      <c r="E373" s="6" t="str">
        <f>IF($A373="","",IFERROR(INDEX(Processos!$AR$10:$AR$509,MATCH($A373,Processos!$A$10:$A$509,0)),"")&amp;CHAR(10)&amp;IFERROR(IF(OR(INDEX(Origem!$AB$10:$AB$509,MATCH($A373,Origem!$A$10:$A$509,0))="",INDEX(Origem!$AB$10:$AB$509,MATCH($A373,Origem!$A$10:$A$509,0))="—"),"Origem: sem classificação","Origem: "&amp;INDEX(Origem!$AB$10:$AB$509,MATCH($A373,Origem!$A$10:$A$509,0))&amp;IF(INDEX(Origem!$AC$10:$AC$509,MATCH($A373,Origem!$A$10:$A$509,0))=""," (sem pontuação)"," • "&amp;INDEX(Origem!$AC$10:$AC$509,MATCH($A373,Origem!$A$10:$A$509,0))&amp;" pontos")),"Origem: sem classificação"))</f>
        <v/>
      </c>
      <c r="F373" s="10"/>
      <c r="G373" s="6"/>
    </row>
    <row r="374" spans="1:7" ht="48" customHeight="1">
      <c r="A374" s="7"/>
      <c r="B374" s="6"/>
      <c r="C374" s="6"/>
      <c r="D374" s="6"/>
      <c r="E374" s="6" t="str">
        <f>IF($A374="","",IFERROR(INDEX(Processos!$AR$10:$AR$509,MATCH($A374,Processos!$A$10:$A$509,0)),"")&amp;CHAR(10)&amp;IFERROR(IF(OR(INDEX(Origem!$AB$10:$AB$509,MATCH($A374,Origem!$A$10:$A$509,0))="",INDEX(Origem!$AB$10:$AB$509,MATCH($A374,Origem!$A$10:$A$509,0))="—"),"Origem: sem classificação","Origem: "&amp;INDEX(Origem!$AB$10:$AB$509,MATCH($A374,Origem!$A$10:$A$509,0))&amp;IF(INDEX(Origem!$AC$10:$AC$509,MATCH($A374,Origem!$A$10:$A$509,0))=""," (sem pontuação)"," • "&amp;INDEX(Origem!$AC$10:$AC$509,MATCH($A374,Origem!$A$10:$A$509,0))&amp;" pontos")),"Origem: sem classificação"))</f>
        <v/>
      </c>
      <c r="F374" s="10"/>
      <c r="G374" s="6"/>
    </row>
    <row r="375" spans="1:7" ht="48" customHeight="1">
      <c r="A375" s="7"/>
      <c r="B375" s="6"/>
      <c r="C375" s="6"/>
      <c r="D375" s="6"/>
      <c r="E375" s="6" t="str">
        <f>IF($A375="","",IFERROR(INDEX(Processos!$AR$10:$AR$509,MATCH($A375,Processos!$A$10:$A$509,0)),"")&amp;CHAR(10)&amp;IFERROR(IF(OR(INDEX(Origem!$AB$10:$AB$509,MATCH($A375,Origem!$A$10:$A$509,0))="",INDEX(Origem!$AB$10:$AB$509,MATCH($A375,Origem!$A$10:$A$509,0))="—"),"Origem: sem classificação","Origem: "&amp;INDEX(Origem!$AB$10:$AB$509,MATCH($A375,Origem!$A$10:$A$509,0))&amp;IF(INDEX(Origem!$AC$10:$AC$509,MATCH($A375,Origem!$A$10:$A$509,0))=""," (sem pontuação)"," • "&amp;INDEX(Origem!$AC$10:$AC$509,MATCH($A375,Origem!$A$10:$A$509,0))&amp;" pontos")),"Origem: sem classificação"))</f>
        <v/>
      </c>
      <c r="F375" s="10"/>
      <c r="G375" s="6"/>
    </row>
    <row r="376" spans="1:7" ht="48" customHeight="1">
      <c r="A376" s="7"/>
      <c r="B376" s="6"/>
      <c r="C376" s="6"/>
      <c r="D376" s="6"/>
      <c r="E376" s="6" t="str">
        <f>IF($A376="","",IFERROR(INDEX(Processos!$AR$10:$AR$509,MATCH($A376,Processos!$A$10:$A$509,0)),"")&amp;CHAR(10)&amp;IFERROR(IF(OR(INDEX(Origem!$AB$10:$AB$509,MATCH($A376,Origem!$A$10:$A$509,0))="",INDEX(Origem!$AB$10:$AB$509,MATCH($A376,Origem!$A$10:$A$509,0))="—"),"Origem: sem classificação","Origem: "&amp;INDEX(Origem!$AB$10:$AB$509,MATCH($A376,Origem!$A$10:$A$509,0))&amp;IF(INDEX(Origem!$AC$10:$AC$509,MATCH($A376,Origem!$A$10:$A$509,0))=""," (sem pontuação)"," • "&amp;INDEX(Origem!$AC$10:$AC$509,MATCH($A376,Origem!$A$10:$A$509,0))&amp;" pontos")),"Origem: sem classificação"))</f>
        <v/>
      </c>
      <c r="F376" s="10"/>
      <c r="G376" s="6"/>
    </row>
    <row r="377" spans="1:7" ht="48" customHeight="1">
      <c r="A377" s="7"/>
      <c r="B377" s="6"/>
      <c r="C377" s="6"/>
      <c r="D377" s="6"/>
      <c r="E377" s="6" t="str">
        <f>IF($A377="","",IFERROR(INDEX(Processos!$AR$10:$AR$509,MATCH($A377,Processos!$A$10:$A$509,0)),"")&amp;CHAR(10)&amp;IFERROR(IF(OR(INDEX(Origem!$AB$10:$AB$509,MATCH($A377,Origem!$A$10:$A$509,0))="",INDEX(Origem!$AB$10:$AB$509,MATCH($A377,Origem!$A$10:$A$509,0))="—"),"Origem: sem classificação","Origem: "&amp;INDEX(Origem!$AB$10:$AB$509,MATCH($A377,Origem!$A$10:$A$509,0))&amp;IF(INDEX(Origem!$AC$10:$AC$509,MATCH($A377,Origem!$A$10:$A$509,0))=""," (sem pontuação)"," • "&amp;INDEX(Origem!$AC$10:$AC$509,MATCH($A377,Origem!$A$10:$A$509,0))&amp;" pontos")),"Origem: sem classificação"))</f>
        <v/>
      </c>
      <c r="F377" s="10"/>
      <c r="G377" s="6"/>
    </row>
    <row r="378" spans="1:7" ht="48" customHeight="1">
      <c r="A378" s="7"/>
      <c r="B378" s="6"/>
      <c r="C378" s="6"/>
      <c r="D378" s="6"/>
      <c r="E378" s="6" t="str">
        <f>IF($A378="","",IFERROR(INDEX(Processos!$AR$10:$AR$509,MATCH($A378,Processos!$A$10:$A$509,0)),"")&amp;CHAR(10)&amp;IFERROR(IF(OR(INDEX(Origem!$AB$10:$AB$509,MATCH($A378,Origem!$A$10:$A$509,0))="",INDEX(Origem!$AB$10:$AB$509,MATCH($A378,Origem!$A$10:$A$509,0))="—"),"Origem: sem classificação","Origem: "&amp;INDEX(Origem!$AB$10:$AB$509,MATCH($A378,Origem!$A$10:$A$509,0))&amp;IF(INDEX(Origem!$AC$10:$AC$509,MATCH($A378,Origem!$A$10:$A$509,0))=""," (sem pontuação)"," • "&amp;INDEX(Origem!$AC$10:$AC$509,MATCH($A378,Origem!$A$10:$A$509,0))&amp;" pontos")),"Origem: sem classificação"))</f>
        <v/>
      </c>
      <c r="F378" s="10"/>
      <c r="G378" s="6"/>
    </row>
    <row r="379" spans="1:7" ht="48" customHeight="1">
      <c r="A379" s="7"/>
      <c r="B379" s="6"/>
      <c r="C379" s="6"/>
      <c r="D379" s="6"/>
      <c r="E379" s="6" t="str">
        <f>IF($A379="","",IFERROR(INDEX(Processos!$AR$10:$AR$509,MATCH($A379,Processos!$A$10:$A$509,0)),"")&amp;CHAR(10)&amp;IFERROR(IF(OR(INDEX(Origem!$AB$10:$AB$509,MATCH($A379,Origem!$A$10:$A$509,0))="",INDEX(Origem!$AB$10:$AB$509,MATCH($A379,Origem!$A$10:$A$509,0))="—"),"Origem: sem classificação","Origem: "&amp;INDEX(Origem!$AB$10:$AB$509,MATCH($A379,Origem!$A$10:$A$509,0))&amp;IF(INDEX(Origem!$AC$10:$AC$509,MATCH($A379,Origem!$A$10:$A$509,0))=""," (sem pontuação)"," • "&amp;INDEX(Origem!$AC$10:$AC$509,MATCH($A379,Origem!$A$10:$A$509,0))&amp;" pontos")),"Origem: sem classificação"))</f>
        <v/>
      </c>
      <c r="F379" s="10"/>
      <c r="G379" s="6"/>
    </row>
    <row r="380" spans="1:7" ht="48" customHeight="1">
      <c r="A380" s="7"/>
      <c r="B380" s="6"/>
      <c r="C380" s="6"/>
      <c r="D380" s="6"/>
      <c r="E380" s="6" t="str">
        <f>IF($A380="","",IFERROR(INDEX(Processos!$AR$10:$AR$509,MATCH($A380,Processos!$A$10:$A$509,0)),"")&amp;CHAR(10)&amp;IFERROR(IF(OR(INDEX(Origem!$AB$10:$AB$509,MATCH($A380,Origem!$A$10:$A$509,0))="",INDEX(Origem!$AB$10:$AB$509,MATCH($A380,Origem!$A$10:$A$509,0))="—"),"Origem: sem classificação","Origem: "&amp;INDEX(Origem!$AB$10:$AB$509,MATCH($A380,Origem!$A$10:$A$509,0))&amp;IF(INDEX(Origem!$AC$10:$AC$509,MATCH($A380,Origem!$A$10:$A$509,0))=""," (sem pontuação)"," • "&amp;INDEX(Origem!$AC$10:$AC$509,MATCH($A380,Origem!$A$10:$A$509,0))&amp;" pontos")),"Origem: sem classificação"))</f>
        <v/>
      </c>
      <c r="F380" s="10"/>
      <c r="G380" s="6"/>
    </row>
    <row r="381" spans="1:7" ht="48" customHeight="1">
      <c r="A381" s="7"/>
      <c r="B381" s="6"/>
      <c r="C381" s="6"/>
      <c r="D381" s="6"/>
      <c r="E381" s="6" t="str">
        <f>IF($A381="","",IFERROR(INDEX(Processos!$AR$10:$AR$509,MATCH($A381,Processos!$A$10:$A$509,0)),"")&amp;CHAR(10)&amp;IFERROR(IF(OR(INDEX(Origem!$AB$10:$AB$509,MATCH($A381,Origem!$A$10:$A$509,0))="",INDEX(Origem!$AB$10:$AB$509,MATCH($A381,Origem!$A$10:$A$509,0))="—"),"Origem: sem classificação","Origem: "&amp;INDEX(Origem!$AB$10:$AB$509,MATCH($A381,Origem!$A$10:$A$509,0))&amp;IF(INDEX(Origem!$AC$10:$AC$509,MATCH($A381,Origem!$A$10:$A$509,0))=""," (sem pontuação)"," • "&amp;INDEX(Origem!$AC$10:$AC$509,MATCH($A381,Origem!$A$10:$A$509,0))&amp;" pontos")),"Origem: sem classificação"))</f>
        <v/>
      </c>
      <c r="F381" s="10"/>
      <c r="G381" s="6"/>
    </row>
    <row r="382" spans="1:7" ht="48" customHeight="1">
      <c r="A382" s="7"/>
      <c r="B382" s="6"/>
      <c r="C382" s="6"/>
      <c r="D382" s="6"/>
      <c r="E382" s="6" t="str">
        <f>IF($A382="","",IFERROR(INDEX(Processos!$AR$10:$AR$509,MATCH($A382,Processos!$A$10:$A$509,0)),"")&amp;CHAR(10)&amp;IFERROR(IF(OR(INDEX(Origem!$AB$10:$AB$509,MATCH($A382,Origem!$A$10:$A$509,0))="",INDEX(Origem!$AB$10:$AB$509,MATCH($A382,Origem!$A$10:$A$509,0))="—"),"Origem: sem classificação","Origem: "&amp;INDEX(Origem!$AB$10:$AB$509,MATCH($A382,Origem!$A$10:$A$509,0))&amp;IF(INDEX(Origem!$AC$10:$AC$509,MATCH($A382,Origem!$A$10:$A$509,0))=""," (sem pontuação)"," • "&amp;INDEX(Origem!$AC$10:$AC$509,MATCH($A382,Origem!$A$10:$A$509,0))&amp;" pontos")),"Origem: sem classificação"))</f>
        <v/>
      </c>
      <c r="F382" s="10"/>
      <c r="G382" s="6"/>
    </row>
    <row r="383" spans="1:7" ht="48" customHeight="1">
      <c r="A383" s="7"/>
      <c r="B383" s="6"/>
      <c r="C383" s="6"/>
      <c r="D383" s="6"/>
      <c r="E383" s="6" t="str">
        <f>IF($A383="","",IFERROR(INDEX(Processos!$AR$10:$AR$509,MATCH($A383,Processos!$A$10:$A$509,0)),"")&amp;CHAR(10)&amp;IFERROR(IF(OR(INDEX(Origem!$AB$10:$AB$509,MATCH($A383,Origem!$A$10:$A$509,0))="",INDEX(Origem!$AB$10:$AB$509,MATCH($A383,Origem!$A$10:$A$509,0))="—"),"Origem: sem classificação","Origem: "&amp;INDEX(Origem!$AB$10:$AB$509,MATCH($A383,Origem!$A$10:$A$509,0))&amp;IF(INDEX(Origem!$AC$10:$AC$509,MATCH($A383,Origem!$A$10:$A$509,0))=""," (sem pontuação)"," • "&amp;INDEX(Origem!$AC$10:$AC$509,MATCH($A383,Origem!$A$10:$A$509,0))&amp;" pontos")),"Origem: sem classificação"))</f>
        <v/>
      </c>
      <c r="F383" s="10"/>
      <c r="G383" s="6"/>
    </row>
    <row r="384" spans="1:7" ht="48" customHeight="1">
      <c r="A384" s="7"/>
      <c r="B384" s="6"/>
      <c r="C384" s="6"/>
      <c r="D384" s="6"/>
      <c r="E384" s="6" t="str">
        <f>IF($A384="","",IFERROR(INDEX(Processos!$AR$10:$AR$509,MATCH($A384,Processos!$A$10:$A$509,0)),"")&amp;CHAR(10)&amp;IFERROR(IF(OR(INDEX(Origem!$AB$10:$AB$509,MATCH($A384,Origem!$A$10:$A$509,0))="",INDEX(Origem!$AB$10:$AB$509,MATCH($A384,Origem!$A$10:$A$509,0))="—"),"Origem: sem classificação","Origem: "&amp;INDEX(Origem!$AB$10:$AB$509,MATCH($A384,Origem!$A$10:$A$509,0))&amp;IF(INDEX(Origem!$AC$10:$AC$509,MATCH($A384,Origem!$A$10:$A$509,0))=""," (sem pontuação)"," • "&amp;INDEX(Origem!$AC$10:$AC$509,MATCH($A384,Origem!$A$10:$A$509,0))&amp;" pontos")),"Origem: sem classificação"))</f>
        <v/>
      </c>
      <c r="F384" s="10"/>
      <c r="G384" s="6"/>
    </row>
    <row r="385" spans="1:7" ht="48" customHeight="1">
      <c r="A385" s="7"/>
      <c r="B385" s="6"/>
      <c r="C385" s="6"/>
      <c r="D385" s="6"/>
      <c r="E385" s="6" t="str">
        <f>IF($A385="","",IFERROR(INDEX(Processos!$AR$10:$AR$509,MATCH($A385,Processos!$A$10:$A$509,0)),"")&amp;CHAR(10)&amp;IFERROR(IF(OR(INDEX(Origem!$AB$10:$AB$509,MATCH($A385,Origem!$A$10:$A$509,0))="",INDEX(Origem!$AB$10:$AB$509,MATCH($A385,Origem!$A$10:$A$509,0))="—"),"Origem: sem classificação","Origem: "&amp;INDEX(Origem!$AB$10:$AB$509,MATCH($A385,Origem!$A$10:$A$509,0))&amp;IF(INDEX(Origem!$AC$10:$AC$509,MATCH($A385,Origem!$A$10:$A$509,0))=""," (sem pontuação)"," • "&amp;INDEX(Origem!$AC$10:$AC$509,MATCH($A385,Origem!$A$10:$A$509,0))&amp;" pontos")),"Origem: sem classificação"))</f>
        <v/>
      </c>
      <c r="F385" s="10"/>
      <c r="G385" s="6"/>
    </row>
    <row r="386" spans="1:7" ht="48" customHeight="1">
      <c r="A386" s="7"/>
      <c r="B386" s="6"/>
      <c r="C386" s="6"/>
      <c r="D386" s="6"/>
      <c r="E386" s="6" t="str">
        <f>IF($A386="","",IFERROR(INDEX(Processos!$AR$10:$AR$509,MATCH($A386,Processos!$A$10:$A$509,0)),"")&amp;CHAR(10)&amp;IFERROR(IF(OR(INDEX(Origem!$AB$10:$AB$509,MATCH($A386,Origem!$A$10:$A$509,0))="",INDEX(Origem!$AB$10:$AB$509,MATCH($A386,Origem!$A$10:$A$509,0))="—"),"Origem: sem classificação","Origem: "&amp;INDEX(Origem!$AB$10:$AB$509,MATCH($A386,Origem!$A$10:$A$509,0))&amp;IF(INDEX(Origem!$AC$10:$AC$509,MATCH($A386,Origem!$A$10:$A$509,0))=""," (sem pontuação)"," • "&amp;INDEX(Origem!$AC$10:$AC$509,MATCH($A386,Origem!$A$10:$A$509,0))&amp;" pontos")),"Origem: sem classificação"))</f>
        <v/>
      </c>
      <c r="F386" s="10"/>
      <c r="G386" s="6"/>
    </row>
    <row r="387" spans="1:7" ht="48" customHeight="1">
      <c r="A387" s="7"/>
      <c r="B387" s="6"/>
      <c r="C387" s="6"/>
      <c r="D387" s="6"/>
      <c r="E387" s="6" t="str">
        <f>IF($A387="","",IFERROR(INDEX(Processos!$AR$10:$AR$509,MATCH($A387,Processos!$A$10:$A$509,0)),"")&amp;CHAR(10)&amp;IFERROR(IF(OR(INDEX(Origem!$AB$10:$AB$509,MATCH($A387,Origem!$A$10:$A$509,0))="",INDEX(Origem!$AB$10:$AB$509,MATCH($A387,Origem!$A$10:$A$509,0))="—"),"Origem: sem classificação","Origem: "&amp;INDEX(Origem!$AB$10:$AB$509,MATCH($A387,Origem!$A$10:$A$509,0))&amp;IF(INDEX(Origem!$AC$10:$AC$509,MATCH($A387,Origem!$A$10:$A$509,0))=""," (sem pontuação)"," • "&amp;INDEX(Origem!$AC$10:$AC$509,MATCH($A387,Origem!$A$10:$A$509,0))&amp;" pontos")),"Origem: sem classificação"))</f>
        <v/>
      </c>
      <c r="F387" s="10"/>
      <c r="G387" s="6"/>
    </row>
    <row r="388" spans="1:7" ht="48" customHeight="1">
      <c r="A388" s="7"/>
      <c r="B388" s="6"/>
      <c r="C388" s="6"/>
      <c r="D388" s="6"/>
      <c r="E388" s="6" t="str">
        <f>IF($A388="","",IFERROR(INDEX(Processos!$AR$10:$AR$509,MATCH($A388,Processos!$A$10:$A$509,0)),"")&amp;CHAR(10)&amp;IFERROR(IF(OR(INDEX(Origem!$AB$10:$AB$509,MATCH($A388,Origem!$A$10:$A$509,0))="",INDEX(Origem!$AB$10:$AB$509,MATCH($A388,Origem!$A$10:$A$509,0))="—"),"Origem: sem classificação","Origem: "&amp;INDEX(Origem!$AB$10:$AB$509,MATCH($A388,Origem!$A$10:$A$509,0))&amp;IF(INDEX(Origem!$AC$10:$AC$509,MATCH($A388,Origem!$A$10:$A$509,0))=""," (sem pontuação)"," • "&amp;INDEX(Origem!$AC$10:$AC$509,MATCH($A388,Origem!$A$10:$A$509,0))&amp;" pontos")),"Origem: sem classificação"))</f>
        <v/>
      </c>
      <c r="F388" s="10"/>
      <c r="G388" s="6"/>
    </row>
    <row r="389" spans="1:7" ht="48" customHeight="1">
      <c r="A389" s="7"/>
      <c r="B389" s="6"/>
      <c r="C389" s="6"/>
      <c r="D389" s="6"/>
      <c r="E389" s="6" t="str">
        <f>IF($A389="","",IFERROR(INDEX(Processos!$AR$10:$AR$509,MATCH($A389,Processos!$A$10:$A$509,0)),"")&amp;CHAR(10)&amp;IFERROR(IF(OR(INDEX(Origem!$AB$10:$AB$509,MATCH($A389,Origem!$A$10:$A$509,0))="",INDEX(Origem!$AB$10:$AB$509,MATCH($A389,Origem!$A$10:$A$509,0))="—"),"Origem: sem classificação","Origem: "&amp;INDEX(Origem!$AB$10:$AB$509,MATCH($A389,Origem!$A$10:$A$509,0))&amp;IF(INDEX(Origem!$AC$10:$AC$509,MATCH($A389,Origem!$A$10:$A$509,0))=""," (sem pontuação)"," • "&amp;INDEX(Origem!$AC$10:$AC$509,MATCH($A389,Origem!$A$10:$A$509,0))&amp;" pontos")),"Origem: sem classificação"))</f>
        <v/>
      </c>
      <c r="F389" s="10"/>
      <c r="G389" s="6"/>
    </row>
    <row r="390" spans="1:7" ht="48" customHeight="1">
      <c r="A390" s="7"/>
      <c r="B390" s="6"/>
      <c r="C390" s="6"/>
      <c r="D390" s="6"/>
      <c r="E390" s="6" t="str">
        <f>IF($A390="","",IFERROR(INDEX(Processos!$AR$10:$AR$509,MATCH($A390,Processos!$A$10:$A$509,0)),"")&amp;CHAR(10)&amp;IFERROR(IF(OR(INDEX(Origem!$AB$10:$AB$509,MATCH($A390,Origem!$A$10:$A$509,0))="",INDEX(Origem!$AB$10:$AB$509,MATCH($A390,Origem!$A$10:$A$509,0))="—"),"Origem: sem classificação","Origem: "&amp;INDEX(Origem!$AB$10:$AB$509,MATCH($A390,Origem!$A$10:$A$509,0))&amp;IF(INDEX(Origem!$AC$10:$AC$509,MATCH($A390,Origem!$A$10:$A$509,0))=""," (sem pontuação)"," • "&amp;INDEX(Origem!$AC$10:$AC$509,MATCH($A390,Origem!$A$10:$A$509,0))&amp;" pontos")),"Origem: sem classificação"))</f>
        <v/>
      </c>
      <c r="F390" s="10"/>
      <c r="G390" s="6"/>
    </row>
    <row r="391" spans="1:7" ht="48" customHeight="1">
      <c r="A391" s="7"/>
      <c r="B391" s="6"/>
      <c r="C391" s="6"/>
      <c r="D391" s="6"/>
      <c r="E391" s="6" t="str">
        <f>IF($A391="","",IFERROR(INDEX(Processos!$AR$10:$AR$509,MATCH($A391,Processos!$A$10:$A$509,0)),"")&amp;CHAR(10)&amp;IFERROR(IF(OR(INDEX(Origem!$AB$10:$AB$509,MATCH($A391,Origem!$A$10:$A$509,0))="",INDEX(Origem!$AB$10:$AB$509,MATCH($A391,Origem!$A$10:$A$509,0))="—"),"Origem: sem classificação","Origem: "&amp;INDEX(Origem!$AB$10:$AB$509,MATCH($A391,Origem!$A$10:$A$509,0))&amp;IF(INDEX(Origem!$AC$10:$AC$509,MATCH($A391,Origem!$A$10:$A$509,0))=""," (sem pontuação)"," • "&amp;INDEX(Origem!$AC$10:$AC$509,MATCH($A391,Origem!$A$10:$A$509,0))&amp;" pontos")),"Origem: sem classificação"))</f>
        <v/>
      </c>
      <c r="F391" s="10"/>
      <c r="G391" s="6"/>
    </row>
    <row r="392" spans="1:7" ht="48" customHeight="1">
      <c r="A392" s="7"/>
      <c r="B392" s="6"/>
      <c r="C392" s="6"/>
      <c r="D392" s="6"/>
      <c r="E392" s="6" t="str">
        <f>IF($A392="","",IFERROR(INDEX(Processos!$AR$10:$AR$509,MATCH($A392,Processos!$A$10:$A$509,0)),"")&amp;CHAR(10)&amp;IFERROR(IF(OR(INDEX(Origem!$AB$10:$AB$509,MATCH($A392,Origem!$A$10:$A$509,0))="",INDEX(Origem!$AB$10:$AB$509,MATCH($A392,Origem!$A$10:$A$509,0))="—"),"Origem: sem classificação","Origem: "&amp;INDEX(Origem!$AB$10:$AB$509,MATCH($A392,Origem!$A$10:$A$509,0))&amp;IF(INDEX(Origem!$AC$10:$AC$509,MATCH($A392,Origem!$A$10:$A$509,0))=""," (sem pontuação)"," • "&amp;INDEX(Origem!$AC$10:$AC$509,MATCH($A392,Origem!$A$10:$A$509,0))&amp;" pontos")),"Origem: sem classificação"))</f>
        <v/>
      </c>
      <c r="F392" s="10"/>
      <c r="G392" s="6"/>
    </row>
    <row r="393" spans="1:7" ht="48" customHeight="1">
      <c r="A393" s="7"/>
      <c r="B393" s="6"/>
      <c r="C393" s="6"/>
      <c r="D393" s="6"/>
      <c r="E393" s="6" t="str">
        <f>IF($A393="","",IFERROR(INDEX(Processos!$AR$10:$AR$509,MATCH($A393,Processos!$A$10:$A$509,0)),"")&amp;CHAR(10)&amp;IFERROR(IF(OR(INDEX(Origem!$AB$10:$AB$509,MATCH($A393,Origem!$A$10:$A$509,0))="",INDEX(Origem!$AB$10:$AB$509,MATCH($A393,Origem!$A$10:$A$509,0))="—"),"Origem: sem classificação","Origem: "&amp;INDEX(Origem!$AB$10:$AB$509,MATCH($A393,Origem!$A$10:$A$509,0))&amp;IF(INDEX(Origem!$AC$10:$AC$509,MATCH($A393,Origem!$A$10:$A$509,0))=""," (sem pontuação)"," • "&amp;INDEX(Origem!$AC$10:$AC$509,MATCH($A393,Origem!$A$10:$A$509,0))&amp;" pontos")),"Origem: sem classificação"))</f>
        <v/>
      </c>
      <c r="F393" s="10"/>
      <c r="G393" s="6"/>
    </row>
    <row r="394" spans="1:7" ht="48" customHeight="1">
      <c r="A394" s="7"/>
      <c r="B394" s="6"/>
      <c r="C394" s="6"/>
      <c r="D394" s="6"/>
      <c r="E394" s="6" t="str">
        <f>IF($A394="","",IFERROR(INDEX(Processos!$AR$10:$AR$509,MATCH($A394,Processos!$A$10:$A$509,0)),"")&amp;CHAR(10)&amp;IFERROR(IF(OR(INDEX(Origem!$AB$10:$AB$509,MATCH($A394,Origem!$A$10:$A$509,0))="",INDEX(Origem!$AB$10:$AB$509,MATCH($A394,Origem!$A$10:$A$509,0))="—"),"Origem: sem classificação","Origem: "&amp;INDEX(Origem!$AB$10:$AB$509,MATCH($A394,Origem!$A$10:$A$509,0))&amp;IF(INDEX(Origem!$AC$10:$AC$509,MATCH($A394,Origem!$A$10:$A$509,0))=""," (sem pontuação)"," • "&amp;INDEX(Origem!$AC$10:$AC$509,MATCH($A394,Origem!$A$10:$A$509,0))&amp;" pontos")),"Origem: sem classificação"))</f>
        <v/>
      </c>
      <c r="F394" s="10"/>
      <c r="G394" s="6"/>
    </row>
    <row r="395" spans="1:7" ht="48" customHeight="1">
      <c r="A395" s="7"/>
      <c r="B395" s="6"/>
      <c r="C395" s="6"/>
      <c r="D395" s="6"/>
      <c r="E395" s="6" t="str">
        <f>IF($A395="","",IFERROR(INDEX(Processos!$AR$10:$AR$509,MATCH($A395,Processos!$A$10:$A$509,0)),"")&amp;CHAR(10)&amp;IFERROR(IF(OR(INDEX(Origem!$AB$10:$AB$509,MATCH($A395,Origem!$A$10:$A$509,0))="",INDEX(Origem!$AB$10:$AB$509,MATCH($A395,Origem!$A$10:$A$509,0))="—"),"Origem: sem classificação","Origem: "&amp;INDEX(Origem!$AB$10:$AB$509,MATCH($A395,Origem!$A$10:$A$509,0))&amp;IF(INDEX(Origem!$AC$10:$AC$509,MATCH($A395,Origem!$A$10:$A$509,0))=""," (sem pontuação)"," • "&amp;INDEX(Origem!$AC$10:$AC$509,MATCH($A395,Origem!$A$10:$A$509,0))&amp;" pontos")),"Origem: sem classificação"))</f>
        <v/>
      </c>
      <c r="F395" s="10"/>
      <c r="G395" s="6"/>
    </row>
    <row r="396" spans="1:7" ht="48" customHeight="1">
      <c r="A396" s="7"/>
      <c r="B396" s="6"/>
      <c r="C396" s="6"/>
      <c r="D396" s="6"/>
      <c r="E396" s="6" t="str">
        <f>IF($A396="","",IFERROR(INDEX(Processos!$AR$10:$AR$509,MATCH($A396,Processos!$A$10:$A$509,0)),"")&amp;CHAR(10)&amp;IFERROR(IF(OR(INDEX(Origem!$AB$10:$AB$509,MATCH($A396,Origem!$A$10:$A$509,0))="",INDEX(Origem!$AB$10:$AB$509,MATCH($A396,Origem!$A$10:$A$509,0))="—"),"Origem: sem classificação","Origem: "&amp;INDEX(Origem!$AB$10:$AB$509,MATCH($A396,Origem!$A$10:$A$509,0))&amp;IF(INDEX(Origem!$AC$10:$AC$509,MATCH($A396,Origem!$A$10:$A$509,0))=""," (sem pontuação)"," • "&amp;INDEX(Origem!$AC$10:$AC$509,MATCH($A396,Origem!$A$10:$A$509,0))&amp;" pontos")),"Origem: sem classificação"))</f>
        <v/>
      </c>
      <c r="F396" s="10"/>
      <c r="G396" s="6"/>
    </row>
    <row r="397" spans="1:7" ht="48" customHeight="1">
      <c r="A397" s="7"/>
      <c r="B397" s="6"/>
      <c r="C397" s="6"/>
      <c r="D397" s="6"/>
      <c r="E397" s="6" t="str">
        <f>IF($A397="","",IFERROR(INDEX(Processos!$AR$10:$AR$509,MATCH($A397,Processos!$A$10:$A$509,0)),"")&amp;CHAR(10)&amp;IFERROR(IF(OR(INDEX(Origem!$AB$10:$AB$509,MATCH($A397,Origem!$A$10:$A$509,0))="",INDEX(Origem!$AB$10:$AB$509,MATCH($A397,Origem!$A$10:$A$509,0))="—"),"Origem: sem classificação","Origem: "&amp;INDEX(Origem!$AB$10:$AB$509,MATCH($A397,Origem!$A$10:$A$509,0))&amp;IF(INDEX(Origem!$AC$10:$AC$509,MATCH($A397,Origem!$A$10:$A$509,0))=""," (sem pontuação)"," • "&amp;INDEX(Origem!$AC$10:$AC$509,MATCH($A397,Origem!$A$10:$A$509,0))&amp;" pontos")),"Origem: sem classificação"))</f>
        <v/>
      </c>
      <c r="F397" s="10"/>
      <c r="G397" s="6"/>
    </row>
    <row r="398" spans="1:7" ht="48" customHeight="1">
      <c r="A398" s="7"/>
      <c r="B398" s="6"/>
      <c r="C398" s="6"/>
      <c r="D398" s="6"/>
      <c r="E398" s="6" t="str">
        <f>IF($A398="","",IFERROR(INDEX(Processos!$AR$10:$AR$509,MATCH($A398,Processos!$A$10:$A$509,0)),"")&amp;CHAR(10)&amp;IFERROR(IF(OR(INDEX(Origem!$AB$10:$AB$509,MATCH($A398,Origem!$A$10:$A$509,0))="",INDEX(Origem!$AB$10:$AB$509,MATCH($A398,Origem!$A$10:$A$509,0))="—"),"Origem: sem classificação","Origem: "&amp;INDEX(Origem!$AB$10:$AB$509,MATCH($A398,Origem!$A$10:$A$509,0))&amp;IF(INDEX(Origem!$AC$10:$AC$509,MATCH($A398,Origem!$A$10:$A$509,0))=""," (sem pontuação)"," • "&amp;INDEX(Origem!$AC$10:$AC$509,MATCH($A398,Origem!$A$10:$A$509,0))&amp;" pontos")),"Origem: sem classificação"))</f>
        <v/>
      </c>
      <c r="F398" s="10"/>
      <c r="G398" s="6"/>
    </row>
    <row r="399" spans="1:7" ht="48" customHeight="1">
      <c r="A399" s="7"/>
      <c r="B399" s="6"/>
      <c r="C399" s="6"/>
      <c r="D399" s="6"/>
      <c r="E399" s="6" t="str">
        <f>IF($A399="","",IFERROR(INDEX(Processos!$AR$10:$AR$509,MATCH($A399,Processos!$A$10:$A$509,0)),"")&amp;CHAR(10)&amp;IFERROR(IF(OR(INDEX(Origem!$AB$10:$AB$509,MATCH($A399,Origem!$A$10:$A$509,0))="",INDEX(Origem!$AB$10:$AB$509,MATCH($A399,Origem!$A$10:$A$509,0))="—"),"Origem: sem classificação","Origem: "&amp;INDEX(Origem!$AB$10:$AB$509,MATCH($A399,Origem!$A$10:$A$509,0))&amp;IF(INDEX(Origem!$AC$10:$AC$509,MATCH($A399,Origem!$A$10:$A$509,0))=""," (sem pontuação)"," • "&amp;INDEX(Origem!$AC$10:$AC$509,MATCH($A399,Origem!$A$10:$A$509,0))&amp;" pontos")),"Origem: sem classificação"))</f>
        <v/>
      </c>
      <c r="F399" s="10"/>
      <c r="G399" s="6"/>
    </row>
    <row r="400" spans="1:7" ht="48" customHeight="1">
      <c r="A400" s="7"/>
      <c r="B400" s="6"/>
      <c r="C400" s="6"/>
      <c r="D400" s="6"/>
      <c r="E400" s="6" t="str">
        <f>IF($A400="","",IFERROR(INDEX(Processos!$AR$10:$AR$509,MATCH($A400,Processos!$A$10:$A$509,0)),"")&amp;CHAR(10)&amp;IFERROR(IF(OR(INDEX(Origem!$AB$10:$AB$509,MATCH($A400,Origem!$A$10:$A$509,0))="",INDEX(Origem!$AB$10:$AB$509,MATCH($A400,Origem!$A$10:$A$509,0))="—"),"Origem: sem classificação","Origem: "&amp;INDEX(Origem!$AB$10:$AB$509,MATCH($A400,Origem!$A$10:$A$509,0))&amp;IF(INDEX(Origem!$AC$10:$AC$509,MATCH($A400,Origem!$A$10:$A$509,0))=""," (sem pontuação)"," • "&amp;INDEX(Origem!$AC$10:$AC$509,MATCH($A400,Origem!$A$10:$A$509,0))&amp;" pontos")),"Origem: sem classificação"))</f>
        <v/>
      </c>
      <c r="F400" s="10"/>
      <c r="G400" s="6"/>
    </row>
    <row r="401" spans="1:7" ht="48" customHeight="1">
      <c r="A401" s="7"/>
      <c r="B401" s="6"/>
      <c r="C401" s="6"/>
      <c r="D401" s="6"/>
      <c r="E401" s="6" t="str">
        <f>IF($A401="","",IFERROR(INDEX(Processos!$AR$10:$AR$509,MATCH($A401,Processos!$A$10:$A$509,0)),"")&amp;CHAR(10)&amp;IFERROR(IF(OR(INDEX(Origem!$AB$10:$AB$509,MATCH($A401,Origem!$A$10:$A$509,0))="",INDEX(Origem!$AB$10:$AB$509,MATCH($A401,Origem!$A$10:$A$509,0))="—"),"Origem: sem classificação","Origem: "&amp;INDEX(Origem!$AB$10:$AB$509,MATCH($A401,Origem!$A$10:$A$509,0))&amp;IF(INDEX(Origem!$AC$10:$AC$509,MATCH($A401,Origem!$A$10:$A$509,0))=""," (sem pontuação)"," • "&amp;INDEX(Origem!$AC$10:$AC$509,MATCH($A401,Origem!$A$10:$A$509,0))&amp;" pontos")),"Origem: sem classificação"))</f>
        <v/>
      </c>
      <c r="F401" s="10"/>
      <c r="G401" s="6"/>
    </row>
    <row r="402" spans="1:7" ht="48" customHeight="1">
      <c r="A402" s="7"/>
      <c r="B402" s="6"/>
      <c r="C402" s="6"/>
      <c r="D402" s="6"/>
      <c r="E402" s="6" t="str">
        <f>IF($A402="","",IFERROR(INDEX(Processos!$AR$10:$AR$509,MATCH($A402,Processos!$A$10:$A$509,0)),"")&amp;CHAR(10)&amp;IFERROR(IF(OR(INDEX(Origem!$AB$10:$AB$509,MATCH($A402,Origem!$A$10:$A$509,0))="",INDEX(Origem!$AB$10:$AB$509,MATCH($A402,Origem!$A$10:$A$509,0))="—"),"Origem: sem classificação","Origem: "&amp;INDEX(Origem!$AB$10:$AB$509,MATCH($A402,Origem!$A$10:$A$509,0))&amp;IF(INDEX(Origem!$AC$10:$AC$509,MATCH($A402,Origem!$A$10:$A$509,0))=""," (sem pontuação)"," • "&amp;INDEX(Origem!$AC$10:$AC$509,MATCH($A402,Origem!$A$10:$A$509,0))&amp;" pontos")),"Origem: sem classificação"))</f>
        <v/>
      </c>
      <c r="F402" s="10"/>
      <c r="G402" s="6"/>
    </row>
    <row r="403" spans="1:7" ht="48" customHeight="1">
      <c r="A403" s="7"/>
      <c r="B403" s="6"/>
      <c r="C403" s="6"/>
      <c r="D403" s="6"/>
      <c r="E403" s="6" t="str">
        <f>IF($A403="","",IFERROR(INDEX(Processos!$AR$10:$AR$509,MATCH($A403,Processos!$A$10:$A$509,0)),"")&amp;CHAR(10)&amp;IFERROR(IF(OR(INDEX(Origem!$AB$10:$AB$509,MATCH($A403,Origem!$A$10:$A$509,0))="",INDEX(Origem!$AB$10:$AB$509,MATCH($A403,Origem!$A$10:$A$509,0))="—"),"Origem: sem classificação","Origem: "&amp;INDEX(Origem!$AB$10:$AB$509,MATCH($A403,Origem!$A$10:$A$509,0))&amp;IF(INDEX(Origem!$AC$10:$AC$509,MATCH($A403,Origem!$A$10:$A$509,0))=""," (sem pontuação)"," • "&amp;INDEX(Origem!$AC$10:$AC$509,MATCH($A403,Origem!$A$10:$A$509,0))&amp;" pontos")),"Origem: sem classificação"))</f>
        <v/>
      </c>
      <c r="F403" s="10"/>
      <c r="G403" s="6"/>
    </row>
    <row r="404" spans="1:7" ht="48" customHeight="1">
      <c r="A404" s="7"/>
      <c r="B404" s="6"/>
      <c r="C404" s="6"/>
      <c r="D404" s="6"/>
      <c r="E404" s="6" t="str">
        <f>IF($A404="","",IFERROR(INDEX(Processos!$AR$10:$AR$509,MATCH($A404,Processos!$A$10:$A$509,0)),"")&amp;CHAR(10)&amp;IFERROR(IF(OR(INDEX(Origem!$AB$10:$AB$509,MATCH($A404,Origem!$A$10:$A$509,0))="",INDEX(Origem!$AB$10:$AB$509,MATCH($A404,Origem!$A$10:$A$509,0))="—"),"Origem: sem classificação","Origem: "&amp;INDEX(Origem!$AB$10:$AB$509,MATCH($A404,Origem!$A$10:$A$509,0))&amp;IF(INDEX(Origem!$AC$10:$AC$509,MATCH($A404,Origem!$A$10:$A$509,0))=""," (sem pontuação)"," • "&amp;INDEX(Origem!$AC$10:$AC$509,MATCH($A404,Origem!$A$10:$A$509,0))&amp;" pontos")),"Origem: sem classificação"))</f>
        <v/>
      </c>
      <c r="F404" s="10"/>
      <c r="G404" s="6"/>
    </row>
    <row r="405" spans="1:7" ht="48" customHeight="1">
      <c r="A405" s="7"/>
      <c r="B405" s="6"/>
      <c r="C405" s="6"/>
      <c r="D405" s="6"/>
      <c r="E405" s="6" t="str">
        <f>IF($A405="","",IFERROR(INDEX(Processos!$AR$10:$AR$509,MATCH($A405,Processos!$A$10:$A$509,0)),"")&amp;CHAR(10)&amp;IFERROR(IF(OR(INDEX(Origem!$AB$10:$AB$509,MATCH($A405,Origem!$A$10:$A$509,0))="",INDEX(Origem!$AB$10:$AB$509,MATCH($A405,Origem!$A$10:$A$509,0))="—"),"Origem: sem classificação","Origem: "&amp;INDEX(Origem!$AB$10:$AB$509,MATCH($A405,Origem!$A$10:$A$509,0))&amp;IF(INDEX(Origem!$AC$10:$AC$509,MATCH($A405,Origem!$A$10:$A$509,0))=""," (sem pontuação)"," • "&amp;INDEX(Origem!$AC$10:$AC$509,MATCH($A405,Origem!$A$10:$A$509,0))&amp;" pontos")),"Origem: sem classificação"))</f>
        <v/>
      </c>
      <c r="F405" s="10"/>
      <c r="G405" s="6"/>
    </row>
    <row r="406" spans="1:7" ht="48" customHeight="1">
      <c r="A406" s="7"/>
      <c r="B406" s="6"/>
      <c r="C406" s="6"/>
      <c r="D406" s="6"/>
      <c r="E406" s="6" t="str">
        <f>IF($A406="","",IFERROR(INDEX(Processos!$AR$10:$AR$509,MATCH($A406,Processos!$A$10:$A$509,0)),"")&amp;CHAR(10)&amp;IFERROR(IF(OR(INDEX(Origem!$AB$10:$AB$509,MATCH($A406,Origem!$A$10:$A$509,0))="",INDEX(Origem!$AB$10:$AB$509,MATCH($A406,Origem!$A$10:$A$509,0))="—"),"Origem: sem classificação","Origem: "&amp;INDEX(Origem!$AB$10:$AB$509,MATCH($A406,Origem!$A$10:$A$509,0))&amp;IF(INDEX(Origem!$AC$10:$AC$509,MATCH($A406,Origem!$A$10:$A$509,0))=""," (sem pontuação)"," • "&amp;INDEX(Origem!$AC$10:$AC$509,MATCH($A406,Origem!$A$10:$A$509,0))&amp;" pontos")),"Origem: sem classificação"))</f>
        <v/>
      </c>
      <c r="F406" s="10"/>
      <c r="G406" s="6"/>
    </row>
    <row r="407" spans="1:7" ht="48" customHeight="1">
      <c r="A407" s="7"/>
      <c r="B407" s="6"/>
      <c r="C407" s="6"/>
      <c r="D407" s="6"/>
      <c r="E407" s="6" t="str">
        <f>IF($A407="","",IFERROR(INDEX(Processos!$AR$10:$AR$509,MATCH($A407,Processos!$A$10:$A$509,0)),"")&amp;CHAR(10)&amp;IFERROR(IF(OR(INDEX(Origem!$AB$10:$AB$509,MATCH($A407,Origem!$A$10:$A$509,0))="",INDEX(Origem!$AB$10:$AB$509,MATCH($A407,Origem!$A$10:$A$509,0))="—"),"Origem: sem classificação","Origem: "&amp;INDEX(Origem!$AB$10:$AB$509,MATCH($A407,Origem!$A$10:$A$509,0))&amp;IF(INDEX(Origem!$AC$10:$AC$509,MATCH($A407,Origem!$A$10:$A$509,0))=""," (sem pontuação)"," • "&amp;INDEX(Origem!$AC$10:$AC$509,MATCH($A407,Origem!$A$10:$A$509,0))&amp;" pontos")),"Origem: sem classificação"))</f>
        <v/>
      </c>
      <c r="F407" s="10"/>
      <c r="G407" s="6"/>
    </row>
    <row r="408" spans="1:7" ht="48" customHeight="1">
      <c r="A408" s="7"/>
      <c r="B408" s="6"/>
      <c r="C408" s="6"/>
      <c r="D408" s="6"/>
      <c r="E408" s="6" t="str">
        <f>IF($A408="","",IFERROR(INDEX(Processos!$AR$10:$AR$509,MATCH($A408,Processos!$A$10:$A$509,0)),"")&amp;CHAR(10)&amp;IFERROR(IF(OR(INDEX(Origem!$AB$10:$AB$509,MATCH($A408,Origem!$A$10:$A$509,0))="",INDEX(Origem!$AB$10:$AB$509,MATCH($A408,Origem!$A$10:$A$509,0))="—"),"Origem: sem classificação","Origem: "&amp;INDEX(Origem!$AB$10:$AB$509,MATCH($A408,Origem!$A$10:$A$509,0))&amp;IF(INDEX(Origem!$AC$10:$AC$509,MATCH($A408,Origem!$A$10:$A$509,0))=""," (sem pontuação)"," • "&amp;INDEX(Origem!$AC$10:$AC$509,MATCH($A408,Origem!$A$10:$A$509,0))&amp;" pontos")),"Origem: sem classificação"))</f>
        <v/>
      </c>
      <c r="F408" s="10"/>
      <c r="G408" s="6"/>
    </row>
    <row r="409" spans="1:7" ht="48" customHeight="1">
      <c r="A409" s="7"/>
      <c r="B409" s="6"/>
      <c r="C409" s="6"/>
      <c r="D409" s="6"/>
      <c r="E409" s="6" t="str">
        <f>IF($A409="","",IFERROR(INDEX(Processos!$AR$10:$AR$509,MATCH($A409,Processos!$A$10:$A$509,0)),"")&amp;CHAR(10)&amp;IFERROR(IF(OR(INDEX(Origem!$AB$10:$AB$509,MATCH($A409,Origem!$A$10:$A$509,0))="",INDEX(Origem!$AB$10:$AB$509,MATCH($A409,Origem!$A$10:$A$509,0))="—"),"Origem: sem classificação","Origem: "&amp;INDEX(Origem!$AB$10:$AB$509,MATCH($A409,Origem!$A$10:$A$509,0))&amp;IF(INDEX(Origem!$AC$10:$AC$509,MATCH($A409,Origem!$A$10:$A$509,0))=""," (sem pontuação)"," • "&amp;INDEX(Origem!$AC$10:$AC$509,MATCH($A409,Origem!$A$10:$A$509,0))&amp;" pontos")),"Origem: sem classificação"))</f>
        <v/>
      </c>
      <c r="F409" s="10"/>
      <c r="G409" s="6"/>
    </row>
    <row r="410" spans="1:7" ht="48" customHeight="1">
      <c r="A410" s="7"/>
      <c r="B410" s="6"/>
      <c r="C410" s="6"/>
      <c r="D410" s="6"/>
      <c r="E410" s="6" t="str">
        <f>IF($A410="","",IFERROR(INDEX(Processos!$AR$10:$AR$509,MATCH($A410,Processos!$A$10:$A$509,0)),"")&amp;CHAR(10)&amp;IFERROR(IF(OR(INDEX(Origem!$AB$10:$AB$509,MATCH($A410,Origem!$A$10:$A$509,0))="",INDEX(Origem!$AB$10:$AB$509,MATCH($A410,Origem!$A$10:$A$509,0))="—"),"Origem: sem classificação","Origem: "&amp;INDEX(Origem!$AB$10:$AB$509,MATCH($A410,Origem!$A$10:$A$509,0))&amp;IF(INDEX(Origem!$AC$10:$AC$509,MATCH($A410,Origem!$A$10:$A$509,0))=""," (sem pontuação)"," • "&amp;INDEX(Origem!$AC$10:$AC$509,MATCH($A410,Origem!$A$10:$A$509,0))&amp;" pontos")),"Origem: sem classificação"))</f>
        <v/>
      </c>
      <c r="F410" s="10"/>
      <c r="G410" s="6"/>
    </row>
    <row r="411" spans="1:7" ht="48" customHeight="1">
      <c r="A411" s="7"/>
      <c r="B411" s="6"/>
      <c r="C411" s="6"/>
      <c r="D411" s="6"/>
      <c r="E411" s="6" t="str">
        <f>IF($A411="","",IFERROR(INDEX(Processos!$AR$10:$AR$509,MATCH($A411,Processos!$A$10:$A$509,0)),"")&amp;CHAR(10)&amp;IFERROR(IF(OR(INDEX(Origem!$AB$10:$AB$509,MATCH($A411,Origem!$A$10:$A$509,0))="",INDEX(Origem!$AB$10:$AB$509,MATCH($A411,Origem!$A$10:$A$509,0))="—"),"Origem: sem classificação","Origem: "&amp;INDEX(Origem!$AB$10:$AB$509,MATCH($A411,Origem!$A$10:$A$509,0))&amp;IF(INDEX(Origem!$AC$10:$AC$509,MATCH($A411,Origem!$A$10:$A$509,0))=""," (sem pontuação)"," • "&amp;INDEX(Origem!$AC$10:$AC$509,MATCH($A411,Origem!$A$10:$A$509,0))&amp;" pontos")),"Origem: sem classificação"))</f>
        <v/>
      </c>
      <c r="F411" s="10"/>
      <c r="G411" s="6"/>
    </row>
    <row r="412" spans="1:7" ht="48" customHeight="1">
      <c r="A412" s="7"/>
      <c r="B412" s="6"/>
      <c r="C412" s="6"/>
      <c r="D412" s="6"/>
      <c r="E412" s="6" t="str">
        <f>IF($A412="","",IFERROR(INDEX(Processos!$AR$10:$AR$509,MATCH($A412,Processos!$A$10:$A$509,0)),"")&amp;CHAR(10)&amp;IFERROR(IF(OR(INDEX(Origem!$AB$10:$AB$509,MATCH($A412,Origem!$A$10:$A$509,0))="",INDEX(Origem!$AB$10:$AB$509,MATCH($A412,Origem!$A$10:$A$509,0))="—"),"Origem: sem classificação","Origem: "&amp;INDEX(Origem!$AB$10:$AB$509,MATCH($A412,Origem!$A$10:$A$509,0))&amp;IF(INDEX(Origem!$AC$10:$AC$509,MATCH($A412,Origem!$A$10:$A$509,0))=""," (sem pontuação)"," • "&amp;INDEX(Origem!$AC$10:$AC$509,MATCH($A412,Origem!$A$10:$A$509,0))&amp;" pontos")),"Origem: sem classificação"))</f>
        <v/>
      </c>
      <c r="F412" s="10"/>
      <c r="G412" s="6"/>
    </row>
    <row r="413" spans="1:7" ht="48" customHeight="1">
      <c r="A413" s="7"/>
      <c r="B413" s="6"/>
      <c r="C413" s="6"/>
      <c r="D413" s="6"/>
      <c r="E413" s="6" t="str">
        <f>IF($A413="","",IFERROR(INDEX(Processos!$AR$10:$AR$509,MATCH($A413,Processos!$A$10:$A$509,0)),"")&amp;CHAR(10)&amp;IFERROR(IF(OR(INDEX(Origem!$AB$10:$AB$509,MATCH($A413,Origem!$A$10:$A$509,0))="",INDEX(Origem!$AB$10:$AB$509,MATCH($A413,Origem!$A$10:$A$509,0))="—"),"Origem: sem classificação","Origem: "&amp;INDEX(Origem!$AB$10:$AB$509,MATCH($A413,Origem!$A$10:$A$509,0))&amp;IF(INDEX(Origem!$AC$10:$AC$509,MATCH($A413,Origem!$A$10:$A$509,0))=""," (sem pontuação)"," • "&amp;INDEX(Origem!$AC$10:$AC$509,MATCH($A413,Origem!$A$10:$A$509,0))&amp;" pontos")),"Origem: sem classificação"))</f>
        <v/>
      </c>
      <c r="F413" s="10"/>
      <c r="G413" s="6"/>
    </row>
    <row r="414" spans="1:7" ht="48" customHeight="1">
      <c r="A414" s="7"/>
      <c r="B414" s="6"/>
      <c r="C414" s="6"/>
      <c r="D414" s="6"/>
      <c r="E414" s="6" t="str">
        <f>IF($A414="","",IFERROR(INDEX(Processos!$AR$10:$AR$509,MATCH($A414,Processos!$A$10:$A$509,0)),"")&amp;CHAR(10)&amp;IFERROR(IF(OR(INDEX(Origem!$AB$10:$AB$509,MATCH($A414,Origem!$A$10:$A$509,0))="",INDEX(Origem!$AB$10:$AB$509,MATCH($A414,Origem!$A$10:$A$509,0))="—"),"Origem: sem classificação","Origem: "&amp;INDEX(Origem!$AB$10:$AB$509,MATCH($A414,Origem!$A$10:$A$509,0))&amp;IF(INDEX(Origem!$AC$10:$AC$509,MATCH($A414,Origem!$A$10:$A$509,0))=""," (sem pontuação)"," • "&amp;INDEX(Origem!$AC$10:$AC$509,MATCH($A414,Origem!$A$10:$A$509,0))&amp;" pontos")),"Origem: sem classificação"))</f>
        <v/>
      </c>
      <c r="F414" s="10"/>
      <c r="G414" s="6"/>
    </row>
    <row r="415" spans="1:7" ht="48" customHeight="1">
      <c r="A415" s="7"/>
      <c r="B415" s="6"/>
      <c r="C415" s="6"/>
      <c r="D415" s="6"/>
      <c r="E415" s="6" t="str">
        <f>IF($A415="","",IFERROR(INDEX(Processos!$AR$10:$AR$509,MATCH($A415,Processos!$A$10:$A$509,0)),"")&amp;CHAR(10)&amp;IFERROR(IF(OR(INDEX(Origem!$AB$10:$AB$509,MATCH($A415,Origem!$A$10:$A$509,0))="",INDEX(Origem!$AB$10:$AB$509,MATCH($A415,Origem!$A$10:$A$509,0))="—"),"Origem: sem classificação","Origem: "&amp;INDEX(Origem!$AB$10:$AB$509,MATCH($A415,Origem!$A$10:$A$509,0))&amp;IF(INDEX(Origem!$AC$10:$AC$509,MATCH($A415,Origem!$A$10:$A$509,0))=""," (sem pontuação)"," • "&amp;INDEX(Origem!$AC$10:$AC$509,MATCH($A415,Origem!$A$10:$A$509,0))&amp;" pontos")),"Origem: sem classificação"))</f>
        <v/>
      </c>
      <c r="F415" s="10"/>
      <c r="G415" s="6"/>
    </row>
    <row r="416" spans="1:7" ht="48" customHeight="1">
      <c r="A416" s="7"/>
      <c r="B416" s="6"/>
      <c r="C416" s="6"/>
      <c r="D416" s="6"/>
      <c r="E416" s="6" t="str">
        <f>IF($A416="","",IFERROR(INDEX(Processos!$AR$10:$AR$509,MATCH($A416,Processos!$A$10:$A$509,0)),"")&amp;CHAR(10)&amp;IFERROR(IF(OR(INDEX(Origem!$AB$10:$AB$509,MATCH($A416,Origem!$A$10:$A$509,0))="",INDEX(Origem!$AB$10:$AB$509,MATCH($A416,Origem!$A$10:$A$509,0))="—"),"Origem: sem classificação","Origem: "&amp;INDEX(Origem!$AB$10:$AB$509,MATCH($A416,Origem!$A$10:$A$509,0))&amp;IF(INDEX(Origem!$AC$10:$AC$509,MATCH($A416,Origem!$A$10:$A$509,0))=""," (sem pontuação)"," • "&amp;INDEX(Origem!$AC$10:$AC$509,MATCH($A416,Origem!$A$10:$A$509,0))&amp;" pontos")),"Origem: sem classificação"))</f>
        <v/>
      </c>
      <c r="F416" s="10"/>
      <c r="G416" s="6"/>
    </row>
    <row r="417" spans="1:7" ht="48" customHeight="1">
      <c r="A417" s="7"/>
      <c r="B417" s="6"/>
      <c r="C417" s="6"/>
      <c r="D417" s="6"/>
      <c r="E417" s="6" t="str">
        <f>IF($A417="","",IFERROR(INDEX(Processos!$AR$10:$AR$509,MATCH($A417,Processos!$A$10:$A$509,0)),"")&amp;CHAR(10)&amp;IFERROR(IF(OR(INDEX(Origem!$AB$10:$AB$509,MATCH($A417,Origem!$A$10:$A$509,0))="",INDEX(Origem!$AB$10:$AB$509,MATCH($A417,Origem!$A$10:$A$509,0))="—"),"Origem: sem classificação","Origem: "&amp;INDEX(Origem!$AB$10:$AB$509,MATCH($A417,Origem!$A$10:$A$509,0))&amp;IF(INDEX(Origem!$AC$10:$AC$509,MATCH($A417,Origem!$A$10:$A$509,0))=""," (sem pontuação)"," • "&amp;INDEX(Origem!$AC$10:$AC$509,MATCH($A417,Origem!$A$10:$A$509,0))&amp;" pontos")),"Origem: sem classificação"))</f>
        <v/>
      </c>
      <c r="F417" s="10"/>
      <c r="G417" s="6"/>
    </row>
    <row r="418" spans="1:7" ht="48" customHeight="1">
      <c r="A418" s="7"/>
      <c r="B418" s="6"/>
      <c r="C418" s="6"/>
      <c r="D418" s="6"/>
      <c r="E418" s="6" t="str">
        <f>IF($A418="","",IFERROR(INDEX(Processos!$AR$10:$AR$509,MATCH($A418,Processos!$A$10:$A$509,0)),"")&amp;CHAR(10)&amp;IFERROR(IF(OR(INDEX(Origem!$AB$10:$AB$509,MATCH($A418,Origem!$A$10:$A$509,0))="",INDEX(Origem!$AB$10:$AB$509,MATCH($A418,Origem!$A$10:$A$509,0))="—"),"Origem: sem classificação","Origem: "&amp;INDEX(Origem!$AB$10:$AB$509,MATCH($A418,Origem!$A$10:$A$509,0))&amp;IF(INDEX(Origem!$AC$10:$AC$509,MATCH($A418,Origem!$A$10:$A$509,0))=""," (sem pontuação)"," • "&amp;INDEX(Origem!$AC$10:$AC$509,MATCH($A418,Origem!$A$10:$A$509,0))&amp;" pontos")),"Origem: sem classificação"))</f>
        <v/>
      </c>
      <c r="F418" s="10"/>
      <c r="G418" s="6"/>
    </row>
    <row r="419" spans="1:7" ht="48" customHeight="1">
      <c r="A419" s="7"/>
      <c r="B419" s="6"/>
      <c r="C419" s="6"/>
      <c r="D419" s="6"/>
      <c r="E419" s="6" t="str">
        <f>IF($A419="","",IFERROR(INDEX(Processos!$AR$10:$AR$509,MATCH($A419,Processos!$A$10:$A$509,0)),"")&amp;CHAR(10)&amp;IFERROR(IF(OR(INDEX(Origem!$AB$10:$AB$509,MATCH($A419,Origem!$A$10:$A$509,0))="",INDEX(Origem!$AB$10:$AB$509,MATCH($A419,Origem!$A$10:$A$509,0))="—"),"Origem: sem classificação","Origem: "&amp;INDEX(Origem!$AB$10:$AB$509,MATCH($A419,Origem!$A$10:$A$509,0))&amp;IF(INDEX(Origem!$AC$10:$AC$509,MATCH($A419,Origem!$A$10:$A$509,0))=""," (sem pontuação)"," • "&amp;INDEX(Origem!$AC$10:$AC$509,MATCH($A419,Origem!$A$10:$A$509,0))&amp;" pontos")),"Origem: sem classificação"))</f>
        <v/>
      </c>
      <c r="F419" s="10"/>
      <c r="G419" s="6"/>
    </row>
    <row r="420" spans="1:7" ht="48" customHeight="1">
      <c r="A420" s="7"/>
      <c r="B420" s="6"/>
      <c r="C420" s="6"/>
      <c r="D420" s="6"/>
      <c r="E420" s="6" t="str">
        <f>IF($A420="","",IFERROR(INDEX(Processos!$AR$10:$AR$509,MATCH($A420,Processos!$A$10:$A$509,0)),"")&amp;CHAR(10)&amp;IFERROR(IF(OR(INDEX(Origem!$AB$10:$AB$509,MATCH($A420,Origem!$A$10:$A$509,0))="",INDEX(Origem!$AB$10:$AB$509,MATCH($A420,Origem!$A$10:$A$509,0))="—"),"Origem: sem classificação","Origem: "&amp;INDEX(Origem!$AB$10:$AB$509,MATCH($A420,Origem!$A$10:$A$509,0))&amp;IF(INDEX(Origem!$AC$10:$AC$509,MATCH($A420,Origem!$A$10:$A$509,0))=""," (sem pontuação)"," • "&amp;INDEX(Origem!$AC$10:$AC$509,MATCH($A420,Origem!$A$10:$A$509,0))&amp;" pontos")),"Origem: sem classificação"))</f>
        <v/>
      </c>
      <c r="F420" s="10"/>
      <c r="G420" s="6"/>
    </row>
    <row r="421" spans="1:7" ht="48" customHeight="1">
      <c r="A421" s="7"/>
      <c r="B421" s="6"/>
      <c r="C421" s="6"/>
      <c r="D421" s="6"/>
      <c r="E421" s="6" t="str">
        <f>IF($A421="","",IFERROR(INDEX(Processos!$AR$10:$AR$509,MATCH($A421,Processos!$A$10:$A$509,0)),"")&amp;CHAR(10)&amp;IFERROR(IF(OR(INDEX(Origem!$AB$10:$AB$509,MATCH($A421,Origem!$A$10:$A$509,0))="",INDEX(Origem!$AB$10:$AB$509,MATCH($A421,Origem!$A$10:$A$509,0))="—"),"Origem: sem classificação","Origem: "&amp;INDEX(Origem!$AB$10:$AB$509,MATCH($A421,Origem!$A$10:$A$509,0))&amp;IF(INDEX(Origem!$AC$10:$AC$509,MATCH($A421,Origem!$A$10:$A$509,0))=""," (sem pontuação)"," • "&amp;INDEX(Origem!$AC$10:$AC$509,MATCH($A421,Origem!$A$10:$A$509,0))&amp;" pontos")),"Origem: sem classificação"))</f>
        <v/>
      </c>
      <c r="F421" s="10"/>
      <c r="G421" s="6"/>
    </row>
    <row r="422" spans="1:7" ht="48" customHeight="1">
      <c r="A422" s="7"/>
      <c r="B422" s="6"/>
      <c r="C422" s="6"/>
      <c r="D422" s="6"/>
      <c r="E422" s="6" t="str">
        <f>IF($A422="","",IFERROR(INDEX(Processos!$AR$10:$AR$509,MATCH($A422,Processos!$A$10:$A$509,0)),"")&amp;CHAR(10)&amp;IFERROR(IF(OR(INDEX(Origem!$AB$10:$AB$509,MATCH($A422,Origem!$A$10:$A$509,0))="",INDEX(Origem!$AB$10:$AB$509,MATCH($A422,Origem!$A$10:$A$509,0))="—"),"Origem: sem classificação","Origem: "&amp;INDEX(Origem!$AB$10:$AB$509,MATCH($A422,Origem!$A$10:$A$509,0))&amp;IF(INDEX(Origem!$AC$10:$AC$509,MATCH($A422,Origem!$A$10:$A$509,0))=""," (sem pontuação)"," • "&amp;INDEX(Origem!$AC$10:$AC$509,MATCH($A422,Origem!$A$10:$A$509,0))&amp;" pontos")),"Origem: sem classificação"))</f>
        <v/>
      </c>
      <c r="F422" s="10"/>
      <c r="G422" s="6"/>
    </row>
    <row r="423" spans="1:7" ht="48" customHeight="1">
      <c r="A423" s="7"/>
      <c r="B423" s="6"/>
      <c r="C423" s="6"/>
      <c r="D423" s="6"/>
      <c r="E423" s="6" t="str">
        <f>IF($A423="","",IFERROR(INDEX(Processos!$AR$10:$AR$509,MATCH($A423,Processos!$A$10:$A$509,0)),"")&amp;CHAR(10)&amp;IFERROR(IF(OR(INDEX(Origem!$AB$10:$AB$509,MATCH($A423,Origem!$A$10:$A$509,0))="",INDEX(Origem!$AB$10:$AB$509,MATCH($A423,Origem!$A$10:$A$509,0))="—"),"Origem: sem classificação","Origem: "&amp;INDEX(Origem!$AB$10:$AB$509,MATCH($A423,Origem!$A$10:$A$509,0))&amp;IF(INDEX(Origem!$AC$10:$AC$509,MATCH($A423,Origem!$A$10:$A$509,0))=""," (sem pontuação)"," • "&amp;INDEX(Origem!$AC$10:$AC$509,MATCH($A423,Origem!$A$10:$A$509,0))&amp;" pontos")),"Origem: sem classificação"))</f>
        <v/>
      </c>
      <c r="F423" s="10"/>
      <c r="G423" s="6"/>
    </row>
    <row r="424" spans="1:7" ht="48" customHeight="1">
      <c r="A424" s="7"/>
      <c r="B424" s="6"/>
      <c r="C424" s="6"/>
      <c r="D424" s="6"/>
      <c r="E424" s="6" t="str">
        <f>IF($A424="","",IFERROR(INDEX(Processos!$AR$10:$AR$509,MATCH($A424,Processos!$A$10:$A$509,0)),"")&amp;CHAR(10)&amp;IFERROR(IF(OR(INDEX(Origem!$AB$10:$AB$509,MATCH($A424,Origem!$A$10:$A$509,0))="",INDEX(Origem!$AB$10:$AB$509,MATCH($A424,Origem!$A$10:$A$509,0))="—"),"Origem: sem classificação","Origem: "&amp;INDEX(Origem!$AB$10:$AB$509,MATCH($A424,Origem!$A$10:$A$509,0))&amp;IF(INDEX(Origem!$AC$10:$AC$509,MATCH($A424,Origem!$A$10:$A$509,0))=""," (sem pontuação)"," • "&amp;INDEX(Origem!$AC$10:$AC$509,MATCH($A424,Origem!$A$10:$A$509,0))&amp;" pontos")),"Origem: sem classificação"))</f>
        <v/>
      </c>
      <c r="F424" s="10"/>
      <c r="G424" s="6"/>
    </row>
    <row r="425" spans="1:7" ht="48" customHeight="1">
      <c r="A425" s="7"/>
      <c r="B425" s="6"/>
      <c r="C425" s="6"/>
      <c r="D425" s="6"/>
      <c r="E425" s="6" t="str">
        <f>IF($A425="","",IFERROR(INDEX(Processos!$AR$10:$AR$509,MATCH($A425,Processos!$A$10:$A$509,0)),"")&amp;CHAR(10)&amp;IFERROR(IF(OR(INDEX(Origem!$AB$10:$AB$509,MATCH($A425,Origem!$A$10:$A$509,0))="",INDEX(Origem!$AB$10:$AB$509,MATCH($A425,Origem!$A$10:$A$509,0))="—"),"Origem: sem classificação","Origem: "&amp;INDEX(Origem!$AB$10:$AB$509,MATCH($A425,Origem!$A$10:$A$509,0))&amp;IF(INDEX(Origem!$AC$10:$AC$509,MATCH($A425,Origem!$A$10:$A$509,0))=""," (sem pontuação)"," • "&amp;INDEX(Origem!$AC$10:$AC$509,MATCH($A425,Origem!$A$10:$A$509,0))&amp;" pontos")),"Origem: sem classificação"))</f>
        <v/>
      </c>
      <c r="F425" s="10"/>
      <c r="G425" s="6"/>
    </row>
    <row r="426" spans="1:7" ht="48" customHeight="1">
      <c r="A426" s="7"/>
      <c r="B426" s="6"/>
      <c r="C426" s="6"/>
      <c r="D426" s="6"/>
      <c r="E426" s="6" t="str">
        <f>IF($A426="","",IFERROR(INDEX(Processos!$AR$10:$AR$509,MATCH($A426,Processos!$A$10:$A$509,0)),"")&amp;CHAR(10)&amp;IFERROR(IF(OR(INDEX(Origem!$AB$10:$AB$509,MATCH($A426,Origem!$A$10:$A$509,0))="",INDEX(Origem!$AB$10:$AB$509,MATCH($A426,Origem!$A$10:$A$509,0))="—"),"Origem: sem classificação","Origem: "&amp;INDEX(Origem!$AB$10:$AB$509,MATCH($A426,Origem!$A$10:$A$509,0))&amp;IF(INDEX(Origem!$AC$10:$AC$509,MATCH($A426,Origem!$A$10:$A$509,0))=""," (sem pontuação)"," • "&amp;INDEX(Origem!$AC$10:$AC$509,MATCH($A426,Origem!$A$10:$A$509,0))&amp;" pontos")),"Origem: sem classificação"))</f>
        <v/>
      </c>
      <c r="F426" s="10"/>
      <c r="G426" s="6"/>
    </row>
    <row r="427" spans="1:7" ht="48" customHeight="1">
      <c r="A427" s="7"/>
      <c r="B427" s="6"/>
      <c r="C427" s="6"/>
      <c r="D427" s="6"/>
      <c r="E427" s="6" t="str">
        <f>IF($A427="","",IFERROR(INDEX(Processos!$AR$10:$AR$509,MATCH($A427,Processos!$A$10:$A$509,0)),"")&amp;CHAR(10)&amp;IFERROR(IF(OR(INDEX(Origem!$AB$10:$AB$509,MATCH($A427,Origem!$A$10:$A$509,0))="",INDEX(Origem!$AB$10:$AB$509,MATCH($A427,Origem!$A$10:$A$509,0))="—"),"Origem: sem classificação","Origem: "&amp;INDEX(Origem!$AB$10:$AB$509,MATCH($A427,Origem!$A$10:$A$509,0))&amp;IF(INDEX(Origem!$AC$10:$AC$509,MATCH($A427,Origem!$A$10:$A$509,0))=""," (sem pontuação)"," • "&amp;INDEX(Origem!$AC$10:$AC$509,MATCH($A427,Origem!$A$10:$A$509,0))&amp;" pontos")),"Origem: sem classificação"))</f>
        <v/>
      </c>
      <c r="F427" s="10"/>
      <c r="G427" s="6"/>
    </row>
    <row r="428" spans="1:7" ht="48" customHeight="1">
      <c r="A428" s="7"/>
      <c r="B428" s="6"/>
      <c r="C428" s="6"/>
      <c r="D428" s="6"/>
      <c r="E428" s="6" t="str">
        <f>IF($A428="","",IFERROR(INDEX(Processos!$AR$10:$AR$509,MATCH($A428,Processos!$A$10:$A$509,0)),"")&amp;CHAR(10)&amp;IFERROR(IF(OR(INDEX(Origem!$AB$10:$AB$509,MATCH($A428,Origem!$A$10:$A$509,0))="",INDEX(Origem!$AB$10:$AB$509,MATCH($A428,Origem!$A$10:$A$509,0))="—"),"Origem: sem classificação","Origem: "&amp;INDEX(Origem!$AB$10:$AB$509,MATCH($A428,Origem!$A$10:$A$509,0))&amp;IF(INDEX(Origem!$AC$10:$AC$509,MATCH($A428,Origem!$A$10:$A$509,0))=""," (sem pontuação)"," • "&amp;INDEX(Origem!$AC$10:$AC$509,MATCH($A428,Origem!$A$10:$A$509,0))&amp;" pontos")),"Origem: sem classificação"))</f>
        <v/>
      </c>
      <c r="F428" s="10"/>
      <c r="G428" s="6"/>
    </row>
    <row r="429" spans="1:7" ht="48" customHeight="1">
      <c r="A429" s="7"/>
      <c r="B429" s="6"/>
      <c r="C429" s="6"/>
      <c r="D429" s="6"/>
      <c r="E429" s="6" t="str">
        <f>IF($A429="","",IFERROR(INDEX(Processos!$AR$10:$AR$509,MATCH($A429,Processos!$A$10:$A$509,0)),"")&amp;CHAR(10)&amp;IFERROR(IF(OR(INDEX(Origem!$AB$10:$AB$509,MATCH($A429,Origem!$A$10:$A$509,0))="",INDEX(Origem!$AB$10:$AB$509,MATCH($A429,Origem!$A$10:$A$509,0))="—"),"Origem: sem classificação","Origem: "&amp;INDEX(Origem!$AB$10:$AB$509,MATCH($A429,Origem!$A$10:$A$509,0))&amp;IF(INDEX(Origem!$AC$10:$AC$509,MATCH($A429,Origem!$A$10:$A$509,0))=""," (sem pontuação)"," • "&amp;INDEX(Origem!$AC$10:$AC$509,MATCH($A429,Origem!$A$10:$A$509,0))&amp;" pontos")),"Origem: sem classificação"))</f>
        <v/>
      </c>
      <c r="F429" s="10"/>
      <c r="G429" s="6"/>
    </row>
    <row r="430" spans="1:7" ht="48" customHeight="1">
      <c r="A430" s="7"/>
      <c r="B430" s="6"/>
      <c r="C430" s="6"/>
      <c r="D430" s="6"/>
      <c r="E430" s="6" t="str">
        <f>IF($A430="","",IFERROR(INDEX(Processos!$AR$10:$AR$509,MATCH($A430,Processos!$A$10:$A$509,0)),"")&amp;CHAR(10)&amp;IFERROR(IF(OR(INDEX(Origem!$AB$10:$AB$509,MATCH($A430,Origem!$A$10:$A$509,0))="",INDEX(Origem!$AB$10:$AB$509,MATCH($A430,Origem!$A$10:$A$509,0))="—"),"Origem: sem classificação","Origem: "&amp;INDEX(Origem!$AB$10:$AB$509,MATCH($A430,Origem!$A$10:$A$509,0))&amp;IF(INDEX(Origem!$AC$10:$AC$509,MATCH($A430,Origem!$A$10:$A$509,0))=""," (sem pontuação)"," • "&amp;INDEX(Origem!$AC$10:$AC$509,MATCH($A430,Origem!$A$10:$A$509,0))&amp;" pontos")),"Origem: sem classificação"))</f>
        <v/>
      </c>
      <c r="F430" s="10"/>
      <c r="G430" s="6"/>
    </row>
    <row r="431" spans="1:7" ht="48" customHeight="1">
      <c r="A431" s="7"/>
      <c r="B431" s="6"/>
      <c r="C431" s="6"/>
      <c r="D431" s="6"/>
      <c r="E431" s="6" t="str">
        <f>IF($A431="","",IFERROR(INDEX(Processos!$AR$10:$AR$509,MATCH($A431,Processos!$A$10:$A$509,0)),"")&amp;CHAR(10)&amp;IFERROR(IF(OR(INDEX(Origem!$AB$10:$AB$509,MATCH($A431,Origem!$A$10:$A$509,0))="",INDEX(Origem!$AB$10:$AB$509,MATCH($A431,Origem!$A$10:$A$509,0))="—"),"Origem: sem classificação","Origem: "&amp;INDEX(Origem!$AB$10:$AB$509,MATCH($A431,Origem!$A$10:$A$509,0))&amp;IF(INDEX(Origem!$AC$10:$AC$509,MATCH($A431,Origem!$A$10:$A$509,0))=""," (sem pontuação)"," • "&amp;INDEX(Origem!$AC$10:$AC$509,MATCH($A431,Origem!$A$10:$A$509,0))&amp;" pontos")),"Origem: sem classificação"))</f>
        <v/>
      </c>
      <c r="F431" s="10"/>
      <c r="G431" s="6"/>
    </row>
    <row r="432" spans="1:7" ht="48" customHeight="1">
      <c r="A432" s="7"/>
      <c r="B432" s="6"/>
      <c r="C432" s="6"/>
      <c r="D432" s="6"/>
      <c r="E432" s="6" t="str">
        <f>IF($A432="","",IFERROR(INDEX(Processos!$AR$10:$AR$509,MATCH($A432,Processos!$A$10:$A$509,0)),"")&amp;CHAR(10)&amp;IFERROR(IF(OR(INDEX(Origem!$AB$10:$AB$509,MATCH($A432,Origem!$A$10:$A$509,0))="",INDEX(Origem!$AB$10:$AB$509,MATCH($A432,Origem!$A$10:$A$509,0))="—"),"Origem: sem classificação","Origem: "&amp;INDEX(Origem!$AB$10:$AB$509,MATCH($A432,Origem!$A$10:$A$509,0))&amp;IF(INDEX(Origem!$AC$10:$AC$509,MATCH($A432,Origem!$A$10:$A$509,0))=""," (sem pontuação)"," • "&amp;INDEX(Origem!$AC$10:$AC$509,MATCH($A432,Origem!$A$10:$A$509,0))&amp;" pontos")),"Origem: sem classificação"))</f>
        <v/>
      </c>
      <c r="F432" s="10"/>
      <c r="G432" s="6"/>
    </row>
    <row r="433" spans="1:7" ht="48" customHeight="1">
      <c r="A433" s="7"/>
      <c r="B433" s="6"/>
      <c r="C433" s="6"/>
      <c r="D433" s="6"/>
      <c r="E433" s="6" t="str">
        <f>IF($A433="","",IFERROR(INDEX(Processos!$AR$10:$AR$509,MATCH($A433,Processos!$A$10:$A$509,0)),"")&amp;CHAR(10)&amp;IFERROR(IF(OR(INDEX(Origem!$AB$10:$AB$509,MATCH($A433,Origem!$A$10:$A$509,0))="",INDEX(Origem!$AB$10:$AB$509,MATCH($A433,Origem!$A$10:$A$509,0))="—"),"Origem: sem classificação","Origem: "&amp;INDEX(Origem!$AB$10:$AB$509,MATCH($A433,Origem!$A$10:$A$509,0))&amp;IF(INDEX(Origem!$AC$10:$AC$509,MATCH($A433,Origem!$A$10:$A$509,0))=""," (sem pontuação)"," • "&amp;INDEX(Origem!$AC$10:$AC$509,MATCH($A433,Origem!$A$10:$A$509,0))&amp;" pontos")),"Origem: sem classificação"))</f>
        <v/>
      </c>
      <c r="F433" s="10"/>
      <c r="G433" s="6"/>
    </row>
    <row r="434" spans="1:7" ht="48" customHeight="1">
      <c r="A434" s="7"/>
      <c r="B434" s="6"/>
      <c r="C434" s="6"/>
      <c r="D434" s="6"/>
      <c r="E434" s="6" t="str">
        <f>IF($A434="","",IFERROR(INDEX(Processos!$AR$10:$AR$509,MATCH($A434,Processos!$A$10:$A$509,0)),"")&amp;CHAR(10)&amp;IFERROR(IF(OR(INDEX(Origem!$AB$10:$AB$509,MATCH($A434,Origem!$A$10:$A$509,0))="",INDEX(Origem!$AB$10:$AB$509,MATCH($A434,Origem!$A$10:$A$509,0))="—"),"Origem: sem classificação","Origem: "&amp;INDEX(Origem!$AB$10:$AB$509,MATCH($A434,Origem!$A$10:$A$509,0))&amp;IF(INDEX(Origem!$AC$10:$AC$509,MATCH($A434,Origem!$A$10:$A$509,0))=""," (sem pontuação)"," • "&amp;INDEX(Origem!$AC$10:$AC$509,MATCH($A434,Origem!$A$10:$A$509,0))&amp;" pontos")),"Origem: sem classificação"))</f>
        <v/>
      </c>
      <c r="F434" s="10"/>
      <c r="G434" s="6"/>
    </row>
    <row r="435" spans="1:7" ht="48" customHeight="1">
      <c r="A435" s="7"/>
      <c r="B435" s="6"/>
      <c r="C435" s="6"/>
      <c r="D435" s="6"/>
      <c r="E435" s="6" t="str">
        <f>IF($A435="","",IFERROR(INDEX(Processos!$AR$10:$AR$509,MATCH($A435,Processos!$A$10:$A$509,0)),"")&amp;CHAR(10)&amp;IFERROR(IF(OR(INDEX(Origem!$AB$10:$AB$509,MATCH($A435,Origem!$A$10:$A$509,0))="",INDEX(Origem!$AB$10:$AB$509,MATCH($A435,Origem!$A$10:$A$509,0))="—"),"Origem: sem classificação","Origem: "&amp;INDEX(Origem!$AB$10:$AB$509,MATCH($A435,Origem!$A$10:$A$509,0))&amp;IF(INDEX(Origem!$AC$10:$AC$509,MATCH($A435,Origem!$A$10:$A$509,0))=""," (sem pontuação)"," • "&amp;INDEX(Origem!$AC$10:$AC$509,MATCH($A435,Origem!$A$10:$A$509,0))&amp;" pontos")),"Origem: sem classificação"))</f>
        <v/>
      </c>
      <c r="F435" s="10"/>
      <c r="G435" s="6"/>
    </row>
    <row r="436" spans="1:7" ht="48" customHeight="1">
      <c r="A436" s="7"/>
      <c r="B436" s="6"/>
      <c r="C436" s="6"/>
      <c r="D436" s="6"/>
      <c r="E436" s="6" t="str">
        <f>IF($A436="","",IFERROR(INDEX(Processos!$AR$10:$AR$509,MATCH($A436,Processos!$A$10:$A$509,0)),"")&amp;CHAR(10)&amp;IFERROR(IF(OR(INDEX(Origem!$AB$10:$AB$509,MATCH($A436,Origem!$A$10:$A$509,0))="",INDEX(Origem!$AB$10:$AB$509,MATCH($A436,Origem!$A$10:$A$509,0))="—"),"Origem: sem classificação","Origem: "&amp;INDEX(Origem!$AB$10:$AB$509,MATCH($A436,Origem!$A$10:$A$509,0))&amp;IF(INDEX(Origem!$AC$10:$AC$509,MATCH($A436,Origem!$A$10:$A$509,0))=""," (sem pontuação)"," • "&amp;INDEX(Origem!$AC$10:$AC$509,MATCH($A436,Origem!$A$10:$A$509,0))&amp;" pontos")),"Origem: sem classificação"))</f>
        <v/>
      </c>
      <c r="F436" s="10"/>
      <c r="G436" s="6"/>
    </row>
    <row r="437" spans="1:7" ht="48" customHeight="1">
      <c r="A437" s="7"/>
      <c r="B437" s="6"/>
      <c r="C437" s="6"/>
      <c r="D437" s="6"/>
      <c r="E437" s="6" t="str">
        <f>IF($A437="","",IFERROR(INDEX(Processos!$AR$10:$AR$509,MATCH($A437,Processos!$A$10:$A$509,0)),"")&amp;CHAR(10)&amp;IFERROR(IF(OR(INDEX(Origem!$AB$10:$AB$509,MATCH($A437,Origem!$A$10:$A$509,0))="",INDEX(Origem!$AB$10:$AB$509,MATCH($A437,Origem!$A$10:$A$509,0))="—"),"Origem: sem classificação","Origem: "&amp;INDEX(Origem!$AB$10:$AB$509,MATCH($A437,Origem!$A$10:$A$509,0))&amp;IF(INDEX(Origem!$AC$10:$AC$509,MATCH($A437,Origem!$A$10:$A$509,0))=""," (sem pontuação)"," • "&amp;INDEX(Origem!$AC$10:$AC$509,MATCH($A437,Origem!$A$10:$A$509,0))&amp;" pontos")),"Origem: sem classificação"))</f>
        <v/>
      </c>
      <c r="F437" s="10"/>
      <c r="G437" s="6"/>
    </row>
    <row r="438" spans="1:7" ht="48" customHeight="1">
      <c r="A438" s="7"/>
      <c r="B438" s="6"/>
      <c r="C438" s="6"/>
      <c r="D438" s="6"/>
      <c r="E438" s="6" t="str">
        <f>IF($A438="","",IFERROR(INDEX(Processos!$AR$10:$AR$509,MATCH($A438,Processos!$A$10:$A$509,0)),"")&amp;CHAR(10)&amp;IFERROR(IF(OR(INDEX(Origem!$AB$10:$AB$509,MATCH($A438,Origem!$A$10:$A$509,0))="",INDEX(Origem!$AB$10:$AB$509,MATCH($A438,Origem!$A$10:$A$509,0))="—"),"Origem: sem classificação","Origem: "&amp;INDEX(Origem!$AB$10:$AB$509,MATCH($A438,Origem!$A$10:$A$509,0))&amp;IF(INDEX(Origem!$AC$10:$AC$509,MATCH($A438,Origem!$A$10:$A$509,0))=""," (sem pontuação)"," • "&amp;INDEX(Origem!$AC$10:$AC$509,MATCH($A438,Origem!$A$10:$A$509,0))&amp;" pontos")),"Origem: sem classificação"))</f>
        <v/>
      </c>
      <c r="F438" s="10"/>
      <c r="G438" s="6"/>
    </row>
    <row r="439" spans="1:7" ht="48" customHeight="1">
      <c r="A439" s="7"/>
      <c r="B439" s="6"/>
      <c r="C439" s="6"/>
      <c r="D439" s="6"/>
      <c r="E439" s="6" t="str">
        <f>IF($A439="","",IFERROR(INDEX(Processos!$AR$10:$AR$509,MATCH($A439,Processos!$A$10:$A$509,0)),"")&amp;CHAR(10)&amp;IFERROR(IF(OR(INDEX(Origem!$AB$10:$AB$509,MATCH($A439,Origem!$A$10:$A$509,0))="",INDEX(Origem!$AB$10:$AB$509,MATCH($A439,Origem!$A$10:$A$509,0))="—"),"Origem: sem classificação","Origem: "&amp;INDEX(Origem!$AB$10:$AB$509,MATCH($A439,Origem!$A$10:$A$509,0))&amp;IF(INDEX(Origem!$AC$10:$AC$509,MATCH($A439,Origem!$A$10:$A$509,0))=""," (sem pontuação)"," • "&amp;INDEX(Origem!$AC$10:$AC$509,MATCH($A439,Origem!$A$10:$A$509,0))&amp;" pontos")),"Origem: sem classificação"))</f>
        <v/>
      </c>
      <c r="F439" s="10"/>
      <c r="G439" s="6"/>
    </row>
    <row r="440" spans="1:7" ht="48" customHeight="1">
      <c r="A440" s="7"/>
      <c r="B440" s="6"/>
      <c r="C440" s="6"/>
      <c r="D440" s="6"/>
      <c r="E440" s="6" t="str">
        <f>IF($A440="","",IFERROR(INDEX(Processos!$AR$10:$AR$509,MATCH($A440,Processos!$A$10:$A$509,0)),"")&amp;CHAR(10)&amp;IFERROR(IF(OR(INDEX(Origem!$AB$10:$AB$509,MATCH($A440,Origem!$A$10:$A$509,0))="",INDEX(Origem!$AB$10:$AB$509,MATCH($A440,Origem!$A$10:$A$509,0))="—"),"Origem: sem classificação","Origem: "&amp;INDEX(Origem!$AB$10:$AB$509,MATCH($A440,Origem!$A$10:$A$509,0))&amp;IF(INDEX(Origem!$AC$10:$AC$509,MATCH($A440,Origem!$A$10:$A$509,0))=""," (sem pontuação)"," • "&amp;INDEX(Origem!$AC$10:$AC$509,MATCH($A440,Origem!$A$10:$A$509,0))&amp;" pontos")),"Origem: sem classificação"))</f>
        <v/>
      </c>
      <c r="F440" s="10"/>
      <c r="G440" s="6"/>
    </row>
    <row r="441" spans="1:7" ht="48" customHeight="1">
      <c r="A441" s="7"/>
      <c r="B441" s="6"/>
      <c r="C441" s="6"/>
      <c r="D441" s="6"/>
      <c r="E441" s="6" t="str">
        <f>IF($A441="","",IFERROR(INDEX(Processos!$AR$10:$AR$509,MATCH($A441,Processos!$A$10:$A$509,0)),"")&amp;CHAR(10)&amp;IFERROR(IF(OR(INDEX(Origem!$AB$10:$AB$509,MATCH($A441,Origem!$A$10:$A$509,0))="",INDEX(Origem!$AB$10:$AB$509,MATCH($A441,Origem!$A$10:$A$509,0))="—"),"Origem: sem classificação","Origem: "&amp;INDEX(Origem!$AB$10:$AB$509,MATCH($A441,Origem!$A$10:$A$509,0))&amp;IF(INDEX(Origem!$AC$10:$AC$509,MATCH($A441,Origem!$A$10:$A$509,0))=""," (sem pontuação)"," • "&amp;INDEX(Origem!$AC$10:$AC$509,MATCH($A441,Origem!$A$10:$A$509,0))&amp;" pontos")),"Origem: sem classificação"))</f>
        <v/>
      </c>
      <c r="F441" s="10"/>
      <c r="G441" s="6"/>
    </row>
    <row r="442" spans="1:7" ht="48" customHeight="1">
      <c r="A442" s="7"/>
      <c r="B442" s="6"/>
      <c r="C442" s="6"/>
      <c r="D442" s="6"/>
      <c r="E442" s="6" t="str">
        <f>IF($A442="","",IFERROR(INDEX(Processos!$AR$10:$AR$509,MATCH($A442,Processos!$A$10:$A$509,0)),"")&amp;CHAR(10)&amp;IFERROR(IF(OR(INDEX(Origem!$AB$10:$AB$509,MATCH($A442,Origem!$A$10:$A$509,0))="",INDEX(Origem!$AB$10:$AB$509,MATCH($A442,Origem!$A$10:$A$509,0))="—"),"Origem: sem classificação","Origem: "&amp;INDEX(Origem!$AB$10:$AB$509,MATCH($A442,Origem!$A$10:$A$509,0))&amp;IF(INDEX(Origem!$AC$10:$AC$509,MATCH($A442,Origem!$A$10:$A$509,0))=""," (sem pontuação)"," • "&amp;INDEX(Origem!$AC$10:$AC$509,MATCH($A442,Origem!$A$10:$A$509,0))&amp;" pontos")),"Origem: sem classificação"))</f>
        <v/>
      </c>
      <c r="F442" s="10"/>
      <c r="G442" s="6"/>
    </row>
    <row r="443" spans="1:7" ht="48" customHeight="1">
      <c r="A443" s="7"/>
      <c r="B443" s="6"/>
      <c r="C443" s="6"/>
      <c r="D443" s="6"/>
      <c r="E443" s="6" t="str">
        <f>IF($A443="","",IFERROR(INDEX(Processos!$AR$10:$AR$509,MATCH($A443,Processos!$A$10:$A$509,0)),"")&amp;CHAR(10)&amp;IFERROR(IF(OR(INDEX(Origem!$AB$10:$AB$509,MATCH($A443,Origem!$A$10:$A$509,0))="",INDEX(Origem!$AB$10:$AB$509,MATCH($A443,Origem!$A$10:$A$509,0))="—"),"Origem: sem classificação","Origem: "&amp;INDEX(Origem!$AB$10:$AB$509,MATCH($A443,Origem!$A$10:$A$509,0))&amp;IF(INDEX(Origem!$AC$10:$AC$509,MATCH($A443,Origem!$A$10:$A$509,0))=""," (sem pontuação)"," • "&amp;INDEX(Origem!$AC$10:$AC$509,MATCH($A443,Origem!$A$10:$A$509,0))&amp;" pontos")),"Origem: sem classificação"))</f>
        <v/>
      </c>
      <c r="F443" s="10"/>
      <c r="G443" s="6"/>
    </row>
    <row r="444" spans="1:7" ht="48" customHeight="1">
      <c r="A444" s="7"/>
      <c r="B444" s="6"/>
      <c r="C444" s="6"/>
      <c r="D444" s="6"/>
      <c r="E444" s="6" t="str">
        <f>IF($A444="","",IFERROR(INDEX(Processos!$AR$10:$AR$509,MATCH($A444,Processos!$A$10:$A$509,0)),"")&amp;CHAR(10)&amp;IFERROR(IF(OR(INDEX(Origem!$AB$10:$AB$509,MATCH($A444,Origem!$A$10:$A$509,0))="",INDEX(Origem!$AB$10:$AB$509,MATCH($A444,Origem!$A$10:$A$509,0))="—"),"Origem: sem classificação","Origem: "&amp;INDEX(Origem!$AB$10:$AB$509,MATCH($A444,Origem!$A$10:$A$509,0))&amp;IF(INDEX(Origem!$AC$10:$AC$509,MATCH($A444,Origem!$A$10:$A$509,0))=""," (sem pontuação)"," • "&amp;INDEX(Origem!$AC$10:$AC$509,MATCH($A444,Origem!$A$10:$A$509,0))&amp;" pontos")),"Origem: sem classificação"))</f>
        <v/>
      </c>
      <c r="F444" s="10"/>
      <c r="G444" s="6"/>
    </row>
    <row r="445" spans="1:7" ht="48" customHeight="1">
      <c r="A445" s="7"/>
      <c r="B445" s="6"/>
      <c r="C445" s="6"/>
      <c r="D445" s="6"/>
      <c r="E445" s="6" t="str">
        <f>IF($A445="","",IFERROR(INDEX(Processos!$AR$10:$AR$509,MATCH($A445,Processos!$A$10:$A$509,0)),"")&amp;CHAR(10)&amp;IFERROR(IF(OR(INDEX(Origem!$AB$10:$AB$509,MATCH($A445,Origem!$A$10:$A$509,0))="",INDEX(Origem!$AB$10:$AB$509,MATCH($A445,Origem!$A$10:$A$509,0))="—"),"Origem: sem classificação","Origem: "&amp;INDEX(Origem!$AB$10:$AB$509,MATCH($A445,Origem!$A$10:$A$509,0))&amp;IF(INDEX(Origem!$AC$10:$AC$509,MATCH($A445,Origem!$A$10:$A$509,0))=""," (sem pontuação)"," • "&amp;INDEX(Origem!$AC$10:$AC$509,MATCH($A445,Origem!$A$10:$A$509,0))&amp;" pontos")),"Origem: sem classificação"))</f>
        <v/>
      </c>
      <c r="F445" s="10"/>
      <c r="G445" s="6"/>
    </row>
    <row r="446" spans="1:7" ht="48" customHeight="1">
      <c r="A446" s="7"/>
      <c r="B446" s="6"/>
      <c r="C446" s="6"/>
      <c r="D446" s="6"/>
      <c r="E446" s="6" t="str">
        <f>IF($A446="","",IFERROR(INDEX(Processos!$AR$10:$AR$509,MATCH($A446,Processos!$A$10:$A$509,0)),"")&amp;CHAR(10)&amp;IFERROR(IF(OR(INDEX(Origem!$AB$10:$AB$509,MATCH($A446,Origem!$A$10:$A$509,0))="",INDEX(Origem!$AB$10:$AB$509,MATCH($A446,Origem!$A$10:$A$509,0))="—"),"Origem: sem classificação","Origem: "&amp;INDEX(Origem!$AB$10:$AB$509,MATCH($A446,Origem!$A$10:$A$509,0))&amp;IF(INDEX(Origem!$AC$10:$AC$509,MATCH($A446,Origem!$A$10:$A$509,0))=""," (sem pontuação)"," • "&amp;INDEX(Origem!$AC$10:$AC$509,MATCH($A446,Origem!$A$10:$A$509,0))&amp;" pontos")),"Origem: sem classificação"))</f>
        <v/>
      </c>
      <c r="F446" s="10"/>
      <c r="G446" s="6"/>
    </row>
    <row r="447" spans="1:7" ht="48" customHeight="1">
      <c r="A447" s="7"/>
      <c r="B447" s="6"/>
      <c r="C447" s="6"/>
      <c r="D447" s="6"/>
      <c r="E447" s="6" t="str">
        <f>IF($A447="","",IFERROR(INDEX(Processos!$AR$10:$AR$509,MATCH($A447,Processos!$A$10:$A$509,0)),"")&amp;CHAR(10)&amp;IFERROR(IF(OR(INDEX(Origem!$AB$10:$AB$509,MATCH($A447,Origem!$A$10:$A$509,0))="",INDEX(Origem!$AB$10:$AB$509,MATCH($A447,Origem!$A$10:$A$509,0))="—"),"Origem: sem classificação","Origem: "&amp;INDEX(Origem!$AB$10:$AB$509,MATCH($A447,Origem!$A$10:$A$509,0))&amp;IF(INDEX(Origem!$AC$10:$AC$509,MATCH($A447,Origem!$A$10:$A$509,0))=""," (sem pontuação)"," • "&amp;INDEX(Origem!$AC$10:$AC$509,MATCH($A447,Origem!$A$10:$A$509,0))&amp;" pontos")),"Origem: sem classificação"))</f>
        <v/>
      </c>
      <c r="F447" s="10"/>
      <c r="G447" s="6"/>
    </row>
    <row r="448" spans="1:7" ht="48" customHeight="1">
      <c r="A448" s="7"/>
      <c r="B448" s="6"/>
      <c r="C448" s="6"/>
      <c r="D448" s="6"/>
      <c r="E448" s="6" t="str">
        <f>IF($A448="","",IFERROR(INDEX(Processos!$AR$10:$AR$509,MATCH($A448,Processos!$A$10:$A$509,0)),"")&amp;CHAR(10)&amp;IFERROR(IF(OR(INDEX(Origem!$AB$10:$AB$509,MATCH($A448,Origem!$A$10:$A$509,0))="",INDEX(Origem!$AB$10:$AB$509,MATCH($A448,Origem!$A$10:$A$509,0))="—"),"Origem: sem classificação","Origem: "&amp;INDEX(Origem!$AB$10:$AB$509,MATCH($A448,Origem!$A$10:$A$509,0))&amp;IF(INDEX(Origem!$AC$10:$AC$509,MATCH($A448,Origem!$A$10:$A$509,0))=""," (sem pontuação)"," • "&amp;INDEX(Origem!$AC$10:$AC$509,MATCH($A448,Origem!$A$10:$A$509,0))&amp;" pontos")),"Origem: sem classificação"))</f>
        <v/>
      </c>
      <c r="F448" s="10"/>
      <c r="G448" s="6"/>
    </row>
    <row r="449" spans="1:7" ht="48" customHeight="1">
      <c r="A449" s="7"/>
      <c r="B449" s="6"/>
      <c r="C449" s="6"/>
      <c r="D449" s="6"/>
      <c r="E449" s="6" t="str">
        <f>IF($A449="","",IFERROR(INDEX(Processos!$AR$10:$AR$509,MATCH($A449,Processos!$A$10:$A$509,0)),"")&amp;CHAR(10)&amp;IFERROR(IF(OR(INDEX(Origem!$AB$10:$AB$509,MATCH($A449,Origem!$A$10:$A$509,0))="",INDEX(Origem!$AB$10:$AB$509,MATCH($A449,Origem!$A$10:$A$509,0))="—"),"Origem: sem classificação","Origem: "&amp;INDEX(Origem!$AB$10:$AB$509,MATCH($A449,Origem!$A$10:$A$509,0))&amp;IF(INDEX(Origem!$AC$10:$AC$509,MATCH($A449,Origem!$A$10:$A$509,0))=""," (sem pontuação)"," • "&amp;INDEX(Origem!$AC$10:$AC$509,MATCH($A449,Origem!$A$10:$A$509,0))&amp;" pontos")),"Origem: sem classificação"))</f>
        <v/>
      </c>
      <c r="F449" s="10"/>
      <c r="G449" s="6"/>
    </row>
    <row r="450" spans="1:7" ht="48" customHeight="1">
      <c r="A450" s="7"/>
      <c r="B450" s="6"/>
      <c r="C450" s="6"/>
      <c r="D450" s="6"/>
      <c r="E450" s="6" t="str">
        <f>IF($A450="","",IFERROR(INDEX(Processos!$AR$10:$AR$509,MATCH($A450,Processos!$A$10:$A$509,0)),"")&amp;CHAR(10)&amp;IFERROR(IF(OR(INDEX(Origem!$AB$10:$AB$509,MATCH($A450,Origem!$A$10:$A$509,0))="",INDEX(Origem!$AB$10:$AB$509,MATCH($A450,Origem!$A$10:$A$509,0))="—"),"Origem: sem classificação","Origem: "&amp;INDEX(Origem!$AB$10:$AB$509,MATCH($A450,Origem!$A$10:$A$509,0))&amp;IF(INDEX(Origem!$AC$10:$AC$509,MATCH($A450,Origem!$A$10:$A$509,0))=""," (sem pontuação)"," • "&amp;INDEX(Origem!$AC$10:$AC$509,MATCH($A450,Origem!$A$10:$A$509,0))&amp;" pontos")),"Origem: sem classificação"))</f>
        <v/>
      </c>
      <c r="F450" s="10"/>
      <c r="G450" s="6"/>
    </row>
    <row r="451" spans="1:7" ht="48" customHeight="1">
      <c r="A451" s="7"/>
      <c r="B451" s="6"/>
      <c r="C451" s="6"/>
      <c r="D451" s="6"/>
      <c r="E451" s="6" t="str">
        <f>IF($A451="","",IFERROR(INDEX(Processos!$AR$10:$AR$509,MATCH($A451,Processos!$A$10:$A$509,0)),"")&amp;CHAR(10)&amp;IFERROR(IF(OR(INDEX(Origem!$AB$10:$AB$509,MATCH($A451,Origem!$A$10:$A$509,0))="",INDEX(Origem!$AB$10:$AB$509,MATCH($A451,Origem!$A$10:$A$509,0))="—"),"Origem: sem classificação","Origem: "&amp;INDEX(Origem!$AB$10:$AB$509,MATCH($A451,Origem!$A$10:$A$509,0))&amp;IF(INDEX(Origem!$AC$10:$AC$509,MATCH($A451,Origem!$A$10:$A$509,0))=""," (sem pontuação)"," • "&amp;INDEX(Origem!$AC$10:$AC$509,MATCH($A451,Origem!$A$10:$A$509,0))&amp;" pontos")),"Origem: sem classificação"))</f>
        <v/>
      </c>
      <c r="F451" s="10"/>
      <c r="G451" s="6"/>
    </row>
    <row r="452" spans="1:7" ht="48" customHeight="1">
      <c r="A452" s="7"/>
      <c r="B452" s="6"/>
      <c r="C452" s="6"/>
      <c r="D452" s="6"/>
      <c r="E452" s="6" t="str">
        <f>IF($A452="","",IFERROR(INDEX(Processos!$AR$10:$AR$509,MATCH($A452,Processos!$A$10:$A$509,0)),"")&amp;CHAR(10)&amp;IFERROR(IF(OR(INDEX(Origem!$AB$10:$AB$509,MATCH($A452,Origem!$A$10:$A$509,0))="",INDEX(Origem!$AB$10:$AB$509,MATCH($A452,Origem!$A$10:$A$509,0))="—"),"Origem: sem classificação","Origem: "&amp;INDEX(Origem!$AB$10:$AB$509,MATCH($A452,Origem!$A$10:$A$509,0))&amp;IF(INDEX(Origem!$AC$10:$AC$509,MATCH($A452,Origem!$A$10:$A$509,0))=""," (sem pontuação)"," • "&amp;INDEX(Origem!$AC$10:$AC$509,MATCH($A452,Origem!$A$10:$A$509,0))&amp;" pontos")),"Origem: sem classificação"))</f>
        <v/>
      </c>
      <c r="F452" s="10"/>
      <c r="G452" s="6"/>
    </row>
    <row r="453" spans="1:7" ht="48" customHeight="1">
      <c r="A453" s="7"/>
      <c r="B453" s="6"/>
      <c r="C453" s="6"/>
      <c r="D453" s="6"/>
      <c r="E453" s="6" t="str">
        <f>IF($A453="","",IFERROR(INDEX(Processos!$AR$10:$AR$509,MATCH($A453,Processos!$A$10:$A$509,0)),"")&amp;CHAR(10)&amp;IFERROR(IF(OR(INDEX(Origem!$AB$10:$AB$509,MATCH($A453,Origem!$A$10:$A$509,0))="",INDEX(Origem!$AB$10:$AB$509,MATCH($A453,Origem!$A$10:$A$509,0))="—"),"Origem: sem classificação","Origem: "&amp;INDEX(Origem!$AB$10:$AB$509,MATCH($A453,Origem!$A$10:$A$509,0))&amp;IF(INDEX(Origem!$AC$10:$AC$509,MATCH($A453,Origem!$A$10:$A$509,0))=""," (sem pontuação)"," • "&amp;INDEX(Origem!$AC$10:$AC$509,MATCH($A453,Origem!$A$10:$A$509,0))&amp;" pontos")),"Origem: sem classificação"))</f>
        <v/>
      </c>
      <c r="F453" s="10"/>
      <c r="G453" s="6"/>
    </row>
    <row r="454" spans="1:7" ht="48" customHeight="1">
      <c r="A454" s="7"/>
      <c r="B454" s="6"/>
      <c r="C454" s="6"/>
      <c r="D454" s="6"/>
      <c r="E454" s="6" t="str">
        <f>IF($A454="","",IFERROR(INDEX(Processos!$AR$10:$AR$509,MATCH($A454,Processos!$A$10:$A$509,0)),"")&amp;CHAR(10)&amp;IFERROR(IF(OR(INDEX(Origem!$AB$10:$AB$509,MATCH($A454,Origem!$A$10:$A$509,0))="",INDEX(Origem!$AB$10:$AB$509,MATCH($A454,Origem!$A$10:$A$509,0))="—"),"Origem: sem classificação","Origem: "&amp;INDEX(Origem!$AB$10:$AB$509,MATCH($A454,Origem!$A$10:$A$509,0))&amp;IF(INDEX(Origem!$AC$10:$AC$509,MATCH($A454,Origem!$A$10:$A$509,0))=""," (sem pontuação)"," • "&amp;INDEX(Origem!$AC$10:$AC$509,MATCH($A454,Origem!$A$10:$A$509,0))&amp;" pontos")),"Origem: sem classificação"))</f>
        <v/>
      </c>
      <c r="F454" s="10"/>
      <c r="G454" s="6"/>
    </row>
    <row r="455" spans="1:7" ht="48" customHeight="1">
      <c r="A455" s="7"/>
      <c r="B455" s="6"/>
      <c r="C455" s="6"/>
      <c r="D455" s="6"/>
      <c r="E455" s="6" t="str">
        <f>IF($A455="","",IFERROR(INDEX(Processos!$AR$10:$AR$509,MATCH($A455,Processos!$A$10:$A$509,0)),"")&amp;CHAR(10)&amp;IFERROR(IF(OR(INDEX(Origem!$AB$10:$AB$509,MATCH($A455,Origem!$A$10:$A$509,0))="",INDEX(Origem!$AB$10:$AB$509,MATCH($A455,Origem!$A$10:$A$509,0))="—"),"Origem: sem classificação","Origem: "&amp;INDEX(Origem!$AB$10:$AB$509,MATCH($A455,Origem!$A$10:$A$509,0))&amp;IF(INDEX(Origem!$AC$10:$AC$509,MATCH($A455,Origem!$A$10:$A$509,0))=""," (sem pontuação)"," • "&amp;INDEX(Origem!$AC$10:$AC$509,MATCH($A455,Origem!$A$10:$A$509,0))&amp;" pontos")),"Origem: sem classificação"))</f>
        <v/>
      </c>
      <c r="F455" s="10"/>
      <c r="G455" s="6"/>
    </row>
    <row r="456" spans="1:7" ht="48" customHeight="1">
      <c r="A456" s="7"/>
      <c r="B456" s="6"/>
      <c r="C456" s="6"/>
      <c r="D456" s="6"/>
      <c r="E456" s="6" t="str">
        <f>IF($A456="","",IFERROR(INDEX(Processos!$AR$10:$AR$509,MATCH($A456,Processos!$A$10:$A$509,0)),"")&amp;CHAR(10)&amp;IFERROR(IF(OR(INDEX(Origem!$AB$10:$AB$509,MATCH($A456,Origem!$A$10:$A$509,0))="",INDEX(Origem!$AB$10:$AB$509,MATCH($A456,Origem!$A$10:$A$509,0))="—"),"Origem: sem classificação","Origem: "&amp;INDEX(Origem!$AB$10:$AB$509,MATCH($A456,Origem!$A$10:$A$509,0))&amp;IF(INDEX(Origem!$AC$10:$AC$509,MATCH($A456,Origem!$A$10:$A$509,0))=""," (sem pontuação)"," • "&amp;INDEX(Origem!$AC$10:$AC$509,MATCH($A456,Origem!$A$10:$A$509,0))&amp;" pontos")),"Origem: sem classificação"))</f>
        <v/>
      </c>
      <c r="F456" s="10"/>
      <c r="G456" s="6"/>
    </row>
    <row r="457" spans="1:7" ht="48" customHeight="1">
      <c r="A457" s="7"/>
      <c r="B457" s="6"/>
      <c r="C457" s="6"/>
      <c r="D457" s="6"/>
      <c r="E457" s="6" t="str">
        <f>IF($A457="","",IFERROR(INDEX(Processos!$AR$10:$AR$509,MATCH($A457,Processos!$A$10:$A$509,0)),"")&amp;CHAR(10)&amp;IFERROR(IF(OR(INDEX(Origem!$AB$10:$AB$509,MATCH($A457,Origem!$A$10:$A$509,0))="",INDEX(Origem!$AB$10:$AB$509,MATCH($A457,Origem!$A$10:$A$509,0))="—"),"Origem: sem classificação","Origem: "&amp;INDEX(Origem!$AB$10:$AB$509,MATCH($A457,Origem!$A$10:$A$509,0))&amp;IF(INDEX(Origem!$AC$10:$AC$509,MATCH($A457,Origem!$A$10:$A$509,0))=""," (sem pontuação)"," • "&amp;INDEX(Origem!$AC$10:$AC$509,MATCH($A457,Origem!$A$10:$A$509,0))&amp;" pontos")),"Origem: sem classificação"))</f>
        <v/>
      </c>
      <c r="F457" s="10"/>
      <c r="G457" s="6"/>
    </row>
    <row r="458" spans="1:7" ht="48" customHeight="1">
      <c r="A458" s="7"/>
      <c r="B458" s="6"/>
      <c r="C458" s="6"/>
      <c r="D458" s="6"/>
      <c r="E458" s="6" t="str">
        <f>IF($A458="","",IFERROR(INDEX(Processos!$AR$10:$AR$509,MATCH($A458,Processos!$A$10:$A$509,0)),"")&amp;CHAR(10)&amp;IFERROR(IF(OR(INDEX(Origem!$AB$10:$AB$509,MATCH($A458,Origem!$A$10:$A$509,0))="",INDEX(Origem!$AB$10:$AB$509,MATCH($A458,Origem!$A$10:$A$509,0))="—"),"Origem: sem classificação","Origem: "&amp;INDEX(Origem!$AB$10:$AB$509,MATCH($A458,Origem!$A$10:$A$509,0))&amp;IF(INDEX(Origem!$AC$10:$AC$509,MATCH($A458,Origem!$A$10:$A$509,0))=""," (sem pontuação)"," • "&amp;INDEX(Origem!$AC$10:$AC$509,MATCH($A458,Origem!$A$10:$A$509,0))&amp;" pontos")),"Origem: sem classificação"))</f>
        <v/>
      </c>
      <c r="F458" s="10"/>
      <c r="G458" s="6"/>
    </row>
    <row r="459" spans="1:7" ht="48" customHeight="1">
      <c r="A459" s="7"/>
      <c r="B459" s="6"/>
      <c r="C459" s="6"/>
      <c r="D459" s="6"/>
      <c r="E459" s="6" t="str">
        <f>IF($A459="","",IFERROR(INDEX(Processos!$AR$10:$AR$509,MATCH($A459,Processos!$A$10:$A$509,0)),"")&amp;CHAR(10)&amp;IFERROR(IF(OR(INDEX(Origem!$AB$10:$AB$509,MATCH($A459,Origem!$A$10:$A$509,0))="",INDEX(Origem!$AB$10:$AB$509,MATCH($A459,Origem!$A$10:$A$509,0))="—"),"Origem: sem classificação","Origem: "&amp;INDEX(Origem!$AB$10:$AB$509,MATCH($A459,Origem!$A$10:$A$509,0))&amp;IF(INDEX(Origem!$AC$10:$AC$509,MATCH($A459,Origem!$A$10:$A$509,0))=""," (sem pontuação)"," • "&amp;INDEX(Origem!$AC$10:$AC$509,MATCH($A459,Origem!$A$10:$A$509,0))&amp;" pontos")),"Origem: sem classificação"))</f>
        <v/>
      </c>
      <c r="F459" s="10"/>
      <c r="G459" s="6"/>
    </row>
    <row r="460" spans="1:7" ht="48" customHeight="1">
      <c r="A460" s="7"/>
      <c r="B460" s="6"/>
      <c r="C460" s="6"/>
      <c r="D460" s="6"/>
      <c r="E460" s="6" t="str">
        <f>IF($A460="","",IFERROR(INDEX(Processos!$AR$10:$AR$509,MATCH($A460,Processos!$A$10:$A$509,0)),"")&amp;CHAR(10)&amp;IFERROR(IF(OR(INDEX(Origem!$AB$10:$AB$509,MATCH($A460,Origem!$A$10:$A$509,0))="",INDEX(Origem!$AB$10:$AB$509,MATCH($A460,Origem!$A$10:$A$509,0))="—"),"Origem: sem classificação","Origem: "&amp;INDEX(Origem!$AB$10:$AB$509,MATCH($A460,Origem!$A$10:$A$509,0))&amp;IF(INDEX(Origem!$AC$10:$AC$509,MATCH($A460,Origem!$A$10:$A$509,0))=""," (sem pontuação)"," • "&amp;INDEX(Origem!$AC$10:$AC$509,MATCH($A460,Origem!$A$10:$A$509,0))&amp;" pontos")),"Origem: sem classificação"))</f>
        <v/>
      </c>
      <c r="F460" s="10"/>
      <c r="G460" s="6"/>
    </row>
    <row r="461" spans="1:7" ht="48" customHeight="1">
      <c r="A461" s="7"/>
      <c r="B461" s="6"/>
      <c r="C461" s="6"/>
      <c r="D461" s="6"/>
      <c r="E461" s="6" t="str">
        <f>IF($A461="","",IFERROR(INDEX(Processos!$AR$10:$AR$509,MATCH($A461,Processos!$A$10:$A$509,0)),"")&amp;CHAR(10)&amp;IFERROR(IF(OR(INDEX(Origem!$AB$10:$AB$509,MATCH($A461,Origem!$A$10:$A$509,0))="",INDEX(Origem!$AB$10:$AB$509,MATCH($A461,Origem!$A$10:$A$509,0))="—"),"Origem: sem classificação","Origem: "&amp;INDEX(Origem!$AB$10:$AB$509,MATCH($A461,Origem!$A$10:$A$509,0))&amp;IF(INDEX(Origem!$AC$10:$AC$509,MATCH($A461,Origem!$A$10:$A$509,0))=""," (sem pontuação)"," • "&amp;INDEX(Origem!$AC$10:$AC$509,MATCH($A461,Origem!$A$10:$A$509,0))&amp;" pontos")),"Origem: sem classificação"))</f>
        <v/>
      </c>
      <c r="F461" s="10"/>
      <c r="G461" s="6"/>
    </row>
    <row r="462" spans="1:7" ht="48" customHeight="1">
      <c r="A462" s="7"/>
      <c r="B462" s="6"/>
      <c r="C462" s="6"/>
      <c r="D462" s="6"/>
      <c r="E462" s="6" t="str">
        <f>IF($A462="","",IFERROR(INDEX(Processos!$AR$10:$AR$509,MATCH($A462,Processos!$A$10:$A$509,0)),"")&amp;CHAR(10)&amp;IFERROR(IF(OR(INDEX(Origem!$AB$10:$AB$509,MATCH($A462,Origem!$A$10:$A$509,0))="",INDEX(Origem!$AB$10:$AB$509,MATCH($A462,Origem!$A$10:$A$509,0))="—"),"Origem: sem classificação","Origem: "&amp;INDEX(Origem!$AB$10:$AB$509,MATCH($A462,Origem!$A$10:$A$509,0))&amp;IF(INDEX(Origem!$AC$10:$AC$509,MATCH($A462,Origem!$A$10:$A$509,0))=""," (sem pontuação)"," • "&amp;INDEX(Origem!$AC$10:$AC$509,MATCH($A462,Origem!$A$10:$A$509,0))&amp;" pontos")),"Origem: sem classificação"))</f>
        <v/>
      </c>
      <c r="F462" s="10"/>
      <c r="G462" s="6"/>
    </row>
    <row r="463" spans="1:7" ht="48" customHeight="1">
      <c r="A463" s="7"/>
      <c r="B463" s="6"/>
      <c r="C463" s="6"/>
      <c r="D463" s="6"/>
      <c r="E463" s="6" t="str">
        <f>IF($A463="","",IFERROR(INDEX(Processos!$AR$10:$AR$509,MATCH($A463,Processos!$A$10:$A$509,0)),"")&amp;CHAR(10)&amp;IFERROR(IF(OR(INDEX(Origem!$AB$10:$AB$509,MATCH($A463,Origem!$A$10:$A$509,0))="",INDEX(Origem!$AB$10:$AB$509,MATCH($A463,Origem!$A$10:$A$509,0))="—"),"Origem: sem classificação","Origem: "&amp;INDEX(Origem!$AB$10:$AB$509,MATCH($A463,Origem!$A$10:$A$509,0))&amp;IF(INDEX(Origem!$AC$10:$AC$509,MATCH($A463,Origem!$A$10:$A$509,0))=""," (sem pontuação)"," • "&amp;INDEX(Origem!$AC$10:$AC$509,MATCH($A463,Origem!$A$10:$A$509,0))&amp;" pontos")),"Origem: sem classificação"))</f>
        <v/>
      </c>
      <c r="F463" s="10"/>
      <c r="G463" s="6"/>
    </row>
    <row r="464" spans="1:7" ht="48" customHeight="1">
      <c r="A464" s="7"/>
      <c r="B464" s="6"/>
      <c r="C464" s="6"/>
      <c r="D464" s="6"/>
      <c r="E464" s="6" t="str">
        <f>IF($A464="","",IFERROR(INDEX(Processos!$AR$10:$AR$509,MATCH($A464,Processos!$A$10:$A$509,0)),"")&amp;CHAR(10)&amp;IFERROR(IF(OR(INDEX(Origem!$AB$10:$AB$509,MATCH($A464,Origem!$A$10:$A$509,0))="",INDEX(Origem!$AB$10:$AB$509,MATCH($A464,Origem!$A$10:$A$509,0))="—"),"Origem: sem classificação","Origem: "&amp;INDEX(Origem!$AB$10:$AB$509,MATCH($A464,Origem!$A$10:$A$509,0))&amp;IF(INDEX(Origem!$AC$10:$AC$509,MATCH($A464,Origem!$A$10:$A$509,0))=""," (sem pontuação)"," • "&amp;INDEX(Origem!$AC$10:$AC$509,MATCH($A464,Origem!$A$10:$A$509,0))&amp;" pontos")),"Origem: sem classificação"))</f>
        <v/>
      </c>
      <c r="F464" s="10"/>
      <c r="G464" s="6"/>
    </row>
    <row r="465" spans="1:7" ht="48" customHeight="1">
      <c r="A465" s="7"/>
      <c r="B465" s="6"/>
      <c r="C465" s="6"/>
      <c r="D465" s="6"/>
      <c r="E465" s="6" t="str">
        <f>IF($A465="","",IFERROR(INDEX(Processos!$AR$10:$AR$509,MATCH($A465,Processos!$A$10:$A$509,0)),"")&amp;CHAR(10)&amp;IFERROR(IF(OR(INDEX(Origem!$AB$10:$AB$509,MATCH($A465,Origem!$A$10:$A$509,0))="",INDEX(Origem!$AB$10:$AB$509,MATCH($A465,Origem!$A$10:$A$509,0))="—"),"Origem: sem classificação","Origem: "&amp;INDEX(Origem!$AB$10:$AB$509,MATCH($A465,Origem!$A$10:$A$509,0))&amp;IF(INDEX(Origem!$AC$10:$AC$509,MATCH($A465,Origem!$A$10:$A$509,0))=""," (sem pontuação)"," • "&amp;INDEX(Origem!$AC$10:$AC$509,MATCH($A465,Origem!$A$10:$A$509,0))&amp;" pontos")),"Origem: sem classificação"))</f>
        <v/>
      </c>
      <c r="F465" s="10"/>
      <c r="G465" s="6"/>
    </row>
    <row r="466" spans="1:7" ht="48" customHeight="1">
      <c r="A466" s="7"/>
      <c r="B466" s="6"/>
      <c r="C466" s="6"/>
      <c r="D466" s="6"/>
      <c r="E466" s="6" t="str">
        <f>IF($A466="","",IFERROR(INDEX(Processos!$AR$10:$AR$509,MATCH($A466,Processos!$A$10:$A$509,0)),"")&amp;CHAR(10)&amp;IFERROR(IF(OR(INDEX(Origem!$AB$10:$AB$509,MATCH($A466,Origem!$A$10:$A$509,0))="",INDEX(Origem!$AB$10:$AB$509,MATCH($A466,Origem!$A$10:$A$509,0))="—"),"Origem: sem classificação","Origem: "&amp;INDEX(Origem!$AB$10:$AB$509,MATCH($A466,Origem!$A$10:$A$509,0))&amp;IF(INDEX(Origem!$AC$10:$AC$509,MATCH($A466,Origem!$A$10:$A$509,0))=""," (sem pontuação)"," • "&amp;INDEX(Origem!$AC$10:$AC$509,MATCH($A466,Origem!$A$10:$A$509,0))&amp;" pontos")),"Origem: sem classificação"))</f>
        <v/>
      </c>
      <c r="F466" s="10"/>
      <c r="G466" s="6"/>
    </row>
    <row r="467" spans="1:7" ht="48" customHeight="1">
      <c r="A467" s="7"/>
      <c r="B467" s="6"/>
      <c r="C467" s="6"/>
      <c r="D467" s="6"/>
      <c r="E467" s="6" t="str">
        <f>IF($A467="","",IFERROR(INDEX(Processos!$AR$10:$AR$509,MATCH($A467,Processos!$A$10:$A$509,0)),"")&amp;CHAR(10)&amp;IFERROR(IF(OR(INDEX(Origem!$AB$10:$AB$509,MATCH($A467,Origem!$A$10:$A$509,0))="",INDEX(Origem!$AB$10:$AB$509,MATCH($A467,Origem!$A$10:$A$509,0))="—"),"Origem: sem classificação","Origem: "&amp;INDEX(Origem!$AB$10:$AB$509,MATCH($A467,Origem!$A$10:$A$509,0))&amp;IF(INDEX(Origem!$AC$10:$AC$509,MATCH($A467,Origem!$A$10:$A$509,0))=""," (sem pontuação)"," • "&amp;INDEX(Origem!$AC$10:$AC$509,MATCH($A467,Origem!$A$10:$A$509,0))&amp;" pontos")),"Origem: sem classificação"))</f>
        <v/>
      </c>
      <c r="F467" s="10"/>
      <c r="G467" s="6"/>
    </row>
    <row r="468" spans="1:7" ht="48" customHeight="1">
      <c r="A468" s="7"/>
      <c r="B468" s="6"/>
      <c r="C468" s="6"/>
      <c r="D468" s="6"/>
      <c r="E468" s="6" t="str">
        <f>IF($A468="","",IFERROR(INDEX(Processos!$AR$10:$AR$509,MATCH($A468,Processos!$A$10:$A$509,0)),"")&amp;CHAR(10)&amp;IFERROR(IF(OR(INDEX(Origem!$AB$10:$AB$509,MATCH($A468,Origem!$A$10:$A$509,0))="",INDEX(Origem!$AB$10:$AB$509,MATCH($A468,Origem!$A$10:$A$509,0))="—"),"Origem: sem classificação","Origem: "&amp;INDEX(Origem!$AB$10:$AB$509,MATCH($A468,Origem!$A$10:$A$509,0))&amp;IF(INDEX(Origem!$AC$10:$AC$509,MATCH($A468,Origem!$A$10:$A$509,0))=""," (sem pontuação)"," • "&amp;INDEX(Origem!$AC$10:$AC$509,MATCH($A468,Origem!$A$10:$A$509,0))&amp;" pontos")),"Origem: sem classificação"))</f>
        <v/>
      </c>
      <c r="F468" s="10"/>
      <c r="G468" s="6"/>
    </row>
    <row r="469" spans="1:7" ht="48" customHeight="1">
      <c r="A469" s="7"/>
      <c r="B469" s="6"/>
      <c r="C469" s="6"/>
      <c r="D469" s="6"/>
      <c r="E469" s="6" t="str">
        <f>IF($A469="","",IFERROR(INDEX(Processos!$AR$10:$AR$509,MATCH($A469,Processos!$A$10:$A$509,0)),"")&amp;CHAR(10)&amp;IFERROR(IF(OR(INDEX(Origem!$AB$10:$AB$509,MATCH($A469,Origem!$A$10:$A$509,0))="",INDEX(Origem!$AB$10:$AB$509,MATCH($A469,Origem!$A$10:$A$509,0))="—"),"Origem: sem classificação","Origem: "&amp;INDEX(Origem!$AB$10:$AB$509,MATCH($A469,Origem!$A$10:$A$509,0))&amp;IF(INDEX(Origem!$AC$10:$AC$509,MATCH($A469,Origem!$A$10:$A$509,0))=""," (sem pontuação)"," • "&amp;INDEX(Origem!$AC$10:$AC$509,MATCH($A469,Origem!$A$10:$A$509,0))&amp;" pontos")),"Origem: sem classificação"))</f>
        <v/>
      </c>
      <c r="F469" s="10"/>
      <c r="G469" s="6"/>
    </row>
    <row r="470" spans="1:7" ht="48" customHeight="1">
      <c r="A470" s="7"/>
      <c r="B470" s="6"/>
      <c r="C470" s="6"/>
      <c r="D470" s="6"/>
      <c r="E470" s="6" t="str">
        <f>IF($A470="","",IFERROR(INDEX(Processos!$AR$10:$AR$509,MATCH($A470,Processos!$A$10:$A$509,0)),"")&amp;CHAR(10)&amp;IFERROR(IF(OR(INDEX(Origem!$AB$10:$AB$509,MATCH($A470,Origem!$A$10:$A$509,0))="",INDEX(Origem!$AB$10:$AB$509,MATCH($A470,Origem!$A$10:$A$509,0))="—"),"Origem: sem classificação","Origem: "&amp;INDEX(Origem!$AB$10:$AB$509,MATCH($A470,Origem!$A$10:$A$509,0))&amp;IF(INDEX(Origem!$AC$10:$AC$509,MATCH($A470,Origem!$A$10:$A$509,0))=""," (sem pontuação)"," • "&amp;INDEX(Origem!$AC$10:$AC$509,MATCH($A470,Origem!$A$10:$A$509,0))&amp;" pontos")),"Origem: sem classificação"))</f>
        <v/>
      </c>
      <c r="F470" s="10"/>
      <c r="G470" s="6"/>
    </row>
    <row r="471" spans="1:7" ht="48" customHeight="1">
      <c r="A471" s="7"/>
      <c r="B471" s="6"/>
      <c r="C471" s="6"/>
      <c r="D471" s="6"/>
      <c r="E471" s="6" t="str">
        <f>IF($A471="","",IFERROR(INDEX(Processos!$AR$10:$AR$509,MATCH($A471,Processos!$A$10:$A$509,0)),"")&amp;CHAR(10)&amp;IFERROR(IF(OR(INDEX(Origem!$AB$10:$AB$509,MATCH($A471,Origem!$A$10:$A$509,0))="",INDEX(Origem!$AB$10:$AB$509,MATCH($A471,Origem!$A$10:$A$509,0))="—"),"Origem: sem classificação","Origem: "&amp;INDEX(Origem!$AB$10:$AB$509,MATCH($A471,Origem!$A$10:$A$509,0))&amp;IF(INDEX(Origem!$AC$10:$AC$509,MATCH($A471,Origem!$A$10:$A$509,0))=""," (sem pontuação)"," • "&amp;INDEX(Origem!$AC$10:$AC$509,MATCH($A471,Origem!$A$10:$A$509,0))&amp;" pontos")),"Origem: sem classificação"))</f>
        <v/>
      </c>
      <c r="F471" s="10"/>
      <c r="G471" s="6"/>
    </row>
    <row r="472" spans="1:7" ht="48" customHeight="1">
      <c r="A472" s="7"/>
      <c r="B472" s="6"/>
      <c r="C472" s="6"/>
      <c r="D472" s="6"/>
      <c r="E472" s="6" t="str">
        <f>IF($A472="","",IFERROR(INDEX(Processos!$AR$10:$AR$509,MATCH($A472,Processos!$A$10:$A$509,0)),"")&amp;CHAR(10)&amp;IFERROR(IF(OR(INDEX(Origem!$AB$10:$AB$509,MATCH($A472,Origem!$A$10:$A$509,0))="",INDEX(Origem!$AB$10:$AB$509,MATCH($A472,Origem!$A$10:$A$509,0))="—"),"Origem: sem classificação","Origem: "&amp;INDEX(Origem!$AB$10:$AB$509,MATCH($A472,Origem!$A$10:$A$509,0))&amp;IF(INDEX(Origem!$AC$10:$AC$509,MATCH($A472,Origem!$A$10:$A$509,0))=""," (sem pontuação)"," • "&amp;INDEX(Origem!$AC$10:$AC$509,MATCH($A472,Origem!$A$10:$A$509,0))&amp;" pontos")),"Origem: sem classificação"))</f>
        <v/>
      </c>
      <c r="F472" s="10"/>
      <c r="G472" s="6"/>
    </row>
    <row r="473" spans="1:7" ht="48" customHeight="1">
      <c r="A473" s="7"/>
      <c r="B473" s="6"/>
      <c r="C473" s="6"/>
      <c r="D473" s="6"/>
      <c r="E473" s="6" t="str">
        <f>IF($A473="","",IFERROR(INDEX(Processos!$AR$10:$AR$509,MATCH($A473,Processos!$A$10:$A$509,0)),"")&amp;CHAR(10)&amp;IFERROR(IF(OR(INDEX(Origem!$AB$10:$AB$509,MATCH($A473,Origem!$A$10:$A$509,0))="",INDEX(Origem!$AB$10:$AB$509,MATCH($A473,Origem!$A$10:$A$509,0))="—"),"Origem: sem classificação","Origem: "&amp;INDEX(Origem!$AB$10:$AB$509,MATCH($A473,Origem!$A$10:$A$509,0))&amp;IF(INDEX(Origem!$AC$10:$AC$509,MATCH($A473,Origem!$A$10:$A$509,0))=""," (sem pontuação)"," • "&amp;INDEX(Origem!$AC$10:$AC$509,MATCH($A473,Origem!$A$10:$A$509,0))&amp;" pontos")),"Origem: sem classificação"))</f>
        <v/>
      </c>
      <c r="F473" s="10"/>
      <c r="G473" s="6"/>
    </row>
    <row r="474" spans="1:7" ht="48" customHeight="1">
      <c r="A474" s="7"/>
      <c r="B474" s="6"/>
      <c r="C474" s="6"/>
      <c r="D474" s="6"/>
      <c r="E474" s="6" t="str">
        <f>IF($A474="","",IFERROR(INDEX(Processos!$AR$10:$AR$509,MATCH($A474,Processos!$A$10:$A$509,0)),"")&amp;CHAR(10)&amp;IFERROR(IF(OR(INDEX(Origem!$AB$10:$AB$509,MATCH($A474,Origem!$A$10:$A$509,0))="",INDEX(Origem!$AB$10:$AB$509,MATCH($A474,Origem!$A$10:$A$509,0))="—"),"Origem: sem classificação","Origem: "&amp;INDEX(Origem!$AB$10:$AB$509,MATCH($A474,Origem!$A$10:$A$509,0))&amp;IF(INDEX(Origem!$AC$10:$AC$509,MATCH($A474,Origem!$A$10:$A$509,0))=""," (sem pontuação)"," • "&amp;INDEX(Origem!$AC$10:$AC$509,MATCH($A474,Origem!$A$10:$A$509,0))&amp;" pontos")),"Origem: sem classificação"))</f>
        <v/>
      </c>
      <c r="F474" s="10"/>
      <c r="G474" s="6"/>
    </row>
    <row r="475" spans="1:7" ht="48" customHeight="1">
      <c r="A475" s="7"/>
      <c r="B475" s="6"/>
      <c r="C475" s="6"/>
      <c r="D475" s="6"/>
      <c r="E475" s="6" t="str">
        <f>IF($A475="","",IFERROR(INDEX(Processos!$AR$10:$AR$509,MATCH($A475,Processos!$A$10:$A$509,0)),"")&amp;CHAR(10)&amp;IFERROR(IF(OR(INDEX(Origem!$AB$10:$AB$509,MATCH($A475,Origem!$A$10:$A$509,0))="",INDEX(Origem!$AB$10:$AB$509,MATCH($A475,Origem!$A$10:$A$509,0))="—"),"Origem: sem classificação","Origem: "&amp;INDEX(Origem!$AB$10:$AB$509,MATCH($A475,Origem!$A$10:$A$509,0))&amp;IF(INDEX(Origem!$AC$10:$AC$509,MATCH($A475,Origem!$A$10:$A$509,0))=""," (sem pontuação)"," • "&amp;INDEX(Origem!$AC$10:$AC$509,MATCH($A475,Origem!$A$10:$A$509,0))&amp;" pontos")),"Origem: sem classificação"))</f>
        <v/>
      </c>
      <c r="F475" s="10"/>
      <c r="G475" s="6"/>
    </row>
    <row r="476" spans="1:7" ht="48" customHeight="1">
      <c r="A476" s="7"/>
      <c r="B476" s="6"/>
      <c r="C476" s="6"/>
      <c r="D476" s="6"/>
      <c r="E476" s="6" t="str">
        <f>IF($A476="","",IFERROR(INDEX(Processos!$AR$10:$AR$509,MATCH($A476,Processos!$A$10:$A$509,0)),"")&amp;CHAR(10)&amp;IFERROR(IF(OR(INDEX(Origem!$AB$10:$AB$509,MATCH($A476,Origem!$A$10:$A$509,0))="",INDEX(Origem!$AB$10:$AB$509,MATCH($A476,Origem!$A$10:$A$509,0))="—"),"Origem: sem classificação","Origem: "&amp;INDEX(Origem!$AB$10:$AB$509,MATCH($A476,Origem!$A$10:$A$509,0))&amp;IF(INDEX(Origem!$AC$10:$AC$509,MATCH($A476,Origem!$A$10:$A$509,0))=""," (sem pontuação)"," • "&amp;INDEX(Origem!$AC$10:$AC$509,MATCH($A476,Origem!$A$10:$A$509,0))&amp;" pontos")),"Origem: sem classificação"))</f>
        <v/>
      </c>
      <c r="F476" s="10"/>
      <c r="G476" s="6"/>
    </row>
    <row r="477" spans="1:7" ht="48" customHeight="1">
      <c r="A477" s="7"/>
      <c r="B477" s="6"/>
      <c r="C477" s="6"/>
      <c r="D477" s="6"/>
      <c r="E477" s="6" t="str">
        <f>IF($A477="","",IFERROR(INDEX(Processos!$AR$10:$AR$509,MATCH($A477,Processos!$A$10:$A$509,0)),"")&amp;CHAR(10)&amp;IFERROR(IF(OR(INDEX(Origem!$AB$10:$AB$509,MATCH($A477,Origem!$A$10:$A$509,0))="",INDEX(Origem!$AB$10:$AB$509,MATCH($A477,Origem!$A$10:$A$509,0))="—"),"Origem: sem classificação","Origem: "&amp;INDEX(Origem!$AB$10:$AB$509,MATCH($A477,Origem!$A$10:$A$509,0))&amp;IF(INDEX(Origem!$AC$10:$AC$509,MATCH($A477,Origem!$A$10:$A$509,0))=""," (sem pontuação)"," • "&amp;INDEX(Origem!$AC$10:$AC$509,MATCH($A477,Origem!$A$10:$A$509,0))&amp;" pontos")),"Origem: sem classificação"))</f>
        <v/>
      </c>
      <c r="F477" s="10"/>
      <c r="G477" s="6"/>
    </row>
    <row r="478" spans="1:7" ht="48" customHeight="1">
      <c r="A478" s="7"/>
      <c r="B478" s="6"/>
      <c r="C478" s="6"/>
      <c r="D478" s="6"/>
      <c r="E478" s="6" t="str">
        <f>IF($A478="","",IFERROR(INDEX(Processos!$AR$10:$AR$509,MATCH($A478,Processos!$A$10:$A$509,0)),"")&amp;CHAR(10)&amp;IFERROR(IF(OR(INDEX(Origem!$AB$10:$AB$509,MATCH($A478,Origem!$A$10:$A$509,0))="",INDEX(Origem!$AB$10:$AB$509,MATCH($A478,Origem!$A$10:$A$509,0))="—"),"Origem: sem classificação","Origem: "&amp;INDEX(Origem!$AB$10:$AB$509,MATCH($A478,Origem!$A$10:$A$509,0))&amp;IF(INDEX(Origem!$AC$10:$AC$509,MATCH($A478,Origem!$A$10:$A$509,0))=""," (sem pontuação)"," • "&amp;INDEX(Origem!$AC$10:$AC$509,MATCH($A478,Origem!$A$10:$A$509,0))&amp;" pontos")),"Origem: sem classificação"))</f>
        <v/>
      </c>
      <c r="F478" s="10"/>
      <c r="G478" s="6"/>
    </row>
    <row r="479" spans="1:7" ht="48" customHeight="1">
      <c r="A479" s="7"/>
      <c r="B479" s="6"/>
      <c r="C479" s="6"/>
      <c r="D479" s="6"/>
      <c r="E479" s="6" t="str">
        <f>IF($A479="","",IFERROR(INDEX(Processos!$AR$10:$AR$509,MATCH($A479,Processos!$A$10:$A$509,0)),"")&amp;CHAR(10)&amp;IFERROR(IF(OR(INDEX(Origem!$AB$10:$AB$509,MATCH($A479,Origem!$A$10:$A$509,0))="",INDEX(Origem!$AB$10:$AB$509,MATCH($A479,Origem!$A$10:$A$509,0))="—"),"Origem: sem classificação","Origem: "&amp;INDEX(Origem!$AB$10:$AB$509,MATCH($A479,Origem!$A$10:$A$509,0))&amp;IF(INDEX(Origem!$AC$10:$AC$509,MATCH($A479,Origem!$A$10:$A$509,0))=""," (sem pontuação)"," • "&amp;INDEX(Origem!$AC$10:$AC$509,MATCH($A479,Origem!$A$10:$A$509,0))&amp;" pontos")),"Origem: sem classificação"))</f>
        <v/>
      </c>
      <c r="F479" s="10"/>
      <c r="G479" s="6"/>
    </row>
    <row r="480" spans="1:7" ht="48" customHeight="1">
      <c r="A480" s="7"/>
      <c r="B480" s="6"/>
      <c r="C480" s="6"/>
      <c r="D480" s="6"/>
      <c r="E480" s="6" t="str">
        <f>IF($A480="","",IFERROR(INDEX(Processos!$AR$10:$AR$509,MATCH($A480,Processos!$A$10:$A$509,0)),"")&amp;CHAR(10)&amp;IFERROR(IF(OR(INDEX(Origem!$AB$10:$AB$509,MATCH($A480,Origem!$A$10:$A$509,0))="",INDEX(Origem!$AB$10:$AB$509,MATCH($A480,Origem!$A$10:$A$509,0))="—"),"Origem: sem classificação","Origem: "&amp;INDEX(Origem!$AB$10:$AB$509,MATCH($A480,Origem!$A$10:$A$509,0))&amp;IF(INDEX(Origem!$AC$10:$AC$509,MATCH($A480,Origem!$A$10:$A$509,0))=""," (sem pontuação)"," • "&amp;INDEX(Origem!$AC$10:$AC$509,MATCH($A480,Origem!$A$10:$A$509,0))&amp;" pontos")),"Origem: sem classificação"))</f>
        <v/>
      </c>
      <c r="F480" s="10"/>
      <c r="G480" s="6"/>
    </row>
    <row r="481" spans="1:7" ht="48" customHeight="1">
      <c r="A481" s="7"/>
      <c r="B481" s="6"/>
      <c r="C481" s="6"/>
      <c r="D481" s="6"/>
      <c r="E481" s="6" t="str">
        <f>IF($A481="","",IFERROR(INDEX(Processos!$AR$10:$AR$509,MATCH($A481,Processos!$A$10:$A$509,0)),"")&amp;CHAR(10)&amp;IFERROR(IF(OR(INDEX(Origem!$AB$10:$AB$509,MATCH($A481,Origem!$A$10:$A$509,0))="",INDEX(Origem!$AB$10:$AB$509,MATCH($A481,Origem!$A$10:$A$509,0))="—"),"Origem: sem classificação","Origem: "&amp;INDEX(Origem!$AB$10:$AB$509,MATCH($A481,Origem!$A$10:$A$509,0))&amp;IF(INDEX(Origem!$AC$10:$AC$509,MATCH($A481,Origem!$A$10:$A$509,0))=""," (sem pontuação)"," • "&amp;INDEX(Origem!$AC$10:$AC$509,MATCH($A481,Origem!$A$10:$A$509,0))&amp;" pontos")),"Origem: sem classificação"))</f>
        <v/>
      </c>
      <c r="F481" s="10"/>
      <c r="G481" s="6"/>
    </row>
    <row r="482" spans="1:7" ht="48" customHeight="1">
      <c r="A482" s="7"/>
      <c r="B482" s="6"/>
      <c r="C482" s="6"/>
      <c r="D482" s="6"/>
      <c r="E482" s="6" t="str">
        <f>IF($A482="","",IFERROR(INDEX(Processos!$AR$10:$AR$509,MATCH($A482,Processos!$A$10:$A$509,0)),"")&amp;CHAR(10)&amp;IFERROR(IF(OR(INDEX(Origem!$AB$10:$AB$509,MATCH($A482,Origem!$A$10:$A$509,0))="",INDEX(Origem!$AB$10:$AB$509,MATCH($A482,Origem!$A$10:$A$509,0))="—"),"Origem: sem classificação","Origem: "&amp;INDEX(Origem!$AB$10:$AB$509,MATCH($A482,Origem!$A$10:$A$509,0))&amp;IF(INDEX(Origem!$AC$10:$AC$509,MATCH($A482,Origem!$A$10:$A$509,0))=""," (sem pontuação)"," • "&amp;INDEX(Origem!$AC$10:$AC$509,MATCH($A482,Origem!$A$10:$A$509,0))&amp;" pontos")),"Origem: sem classificação"))</f>
        <v/>
      </c>
      <c r="F482" s="10"/>
      <c r="G482" s="6"/>
    </row>
    <row r="483" spans="1:7" ht="48" customHeight="1">
      <c r="A483" s="7"/>
      <c r="B483" s="6"/>
      <c r="C483" s="6"/>
      <c r="D483" s="6"/>
      <c r="E483" s="6" t="str">
        <f>IF($A483="","",IFERROR(INDEX(Processos!$AR$10:$AR$509,MATCH($A483,Processos!$A$10:$A$509,0)),"")&amp;CHAR(10)&amp;IFERROR(IF(OR(INDEX(Origem!$AB$10:$AB$509,MATCH($A483,Origem!$A$10:$A$509,0))="",INDEX(Origem!$AB$10:$AB$509,MATCH($A483,Origem!$A$10:$A$509,0))="—"),"Origem: sem classificação","Origem: "&amp;INDEX(Origem!$AB$10:$AB$509,MATCH($A483,Origem!$A$10:$A$509,0))&amp;IF(INDEX(Origem!$AC$10:$AC$509,MATCH($A483,Origem!$A$10:$A$509,0))=""," (sem pontuação)"," • "&amp;INDEX(Origem!$AC$10:$AC$509,MATCH($A483,Origem!$A$10:$A$509,0))&amp;" pontos")),"Origem: sem classificação"))</f>
        <v/>
      </c>
      <c r="F483" s="10"/>
      <c r="G483" s="6"/>
    </row>
    <row r="484" spans="1:7" ht="48" customHeight="1">
      <c r="A484" s="7"/>
      <c r="B484" s="6"/>
      <c r="C484" s="6"/>
      <c r="D484" s="6"/>
      <c r="E484" s="6" t="str">
        <f>IF($A484="","",IFERROR(INDEX(Processos!$AR$10:$AR$509,MATCH($A484,Processos!$A$10:$A$509,0)),"")&amp;CHAR(10)&amp;IFERROR(IF(OR(INDEX(Origem!$AB$10:$AB$509,MATCH($A484,Origem!$A$10:$A$509,0))="",INDEX(Origem!$AB$10:$AB$509,MATCH($A484,Origem!$A$10:$A$509,0))="—"),"Origem: sem classificação","Origem: "&amp;INDEX(Origem!$AB$10:$AB$509,MATCH($A484,Origem!$A$10:$A$509,0))&amp;IF(INDEX(Origem!$AC$10:$AC$509,MATCH($A484,Origem!$A$10:$A$509,0))=""," (sem pontuação)"," • "&amp;INDEX(Origem!$AC$10:$AC$509,MATCH($A484,Origem!$A$10:$A$509,0))&amp;" pontos")),"Origem: sem classificação"))</f>
        <v/>
      </c>
      <c r="F484" s="10"/>
      <c r="G484" s="6"/>
    </row>
    <row r="485" spans="1:7" ht="48" customHeight="1">
      <c r="A485" s="7"/>
      <c r="B485" s="6"/>
      <c r="C485" s="6"/>
      <c r="D485" s="6"/>
      <c r="E485" s="6" t="str">
        <f>IF($A485="","",IFERROR(INDEX(Processos!$AR$10:$AR$509,MATCH($A485,Processos!$A$10:$A$509,0)),"")&amp;CHAR(10)&amp;IFERROR(IF(OR(INDEX(Origem!$AB$10:$AB$509,MATCH($A485,Origem!$A$10:$A$509,0))="",INDEX(Origem!$AB$10:$AB$509,MATCH($A485,Origem!$A$10:$A$509,0))="—"),"Origem: sem classificação","Origem: "&amp;INDEX(Origem!$AB$10:$AB$509,MATCH($A485,Origem!$A$10:$A$509,0))&amp;IF(INDEX(Origem!$AC$10:$AC$509,MATCH($A485,Origem!$A$10:$A$509,0))=""," (sem pontuação)"," • "&amp;INDEX(Origem!$AC$10:$AC$509,MATCH($A485,Origem!$A$10:$A$509,0))&amp;" pontos")),"Origem: sem classificação"))</f>
        <v/>
      </c>
      <c r="F485" s="10"/>
      <c r="G485" s="6"/>
    </row>
    <row r="486" spans="1:7" ht="48" customHeight="1">
      <c r="A486" s="7"/>
      <c r="B486" s="6"/>
      <c r="C486" s="6"/>
      <c r="D486" s="6"/>
      <c r="E486" s="6" t="str">
        <f>IF($A486="","",IFERROR(INDEX(Processos!$AR$10:$AR$509,MATCH($A486,Processos!$A$10:$A$509,0)),"")&amp;CHAR(10)&amp;IFERROR(IF(OR(INDEX(Origem!$AB$10:$AB$509,MATCH($A486,Origem!$A$10:$A$509,0))="",INDEX(Origem!$AB$10:$AB$509,MATCH($A486,Origem!$A$10:$A$509,0))="—"),"Origem: sem classificação","Origem: "&amp;INDEX(Origem!$AB$10:$AB$509,MATCH($A486,Origem!$A$10:$A$509,0))&amp;IF(INDEX(Origem!$AC$10:$AC$509,MATCH($A486,Origem!$A$10:$A$509,0))=""," (sem pontuação)"," • "&amp;INDEX(Origem!$AC$10:$AC$509,MATCH($A486,Origem!$A$10:$A$509,0))&amp;" pontos")),"Origem: sem classificação"))</f>
        <v/>
      </c>
      <c r="F486" s="10"/>
      <c r="G486" s="6"/>
    </row>
    <row r="487" spans="1:7" ht="48" customHeight="1">
      <c r="A487" s="7"/>
      <c r="B487" s="6"/>
      <c r="C487" s="6"/>
      <c r="D487" s="6"/>
      <c r="E487" s="6" t="str">
        <f>IF($A487="","",IFERROR(INDEX(Processos!$AR$10:$AR$509,MATCH($A487,Processos!$A$10:$A$509,0)),"")&amp;CHAR(10)&amp;IFERROR(IF(OR(INDEX(Origem!$AB$10:$AB$509,MATCH($A487,Origem!$A$10:$A$509,0))="",INDEX(Origem!$AB$10:$AB$509,MATCH($A487,Origem!$A$10:$A$509,0))="—"),"Origem: sem classificação","Origem: "&amp;INDEX(Origem!$AB$10:$AB$509,MATCH($A487,Origem!$A$10:$A$509,0))&amp;IF(INDEX(Origem!$AC$10:$AC$509,MATCH($A487,Origem!$A$10:$A$509,0))=""," (sem pontuação)"," • "&amp;INDEX(Origem!$AC$10:$AC$509,MATCH($A487,Origem!$A$10:$A$509,0))&amp;" pontos")),"Origem: sem classificação"))</f>
        <v/>
      </c>
      <c r="F487" s="10"/>
      <c r="G487" s="6"/>
    </row>
    <row r="488" spans="1:7" ht="48" customHeight="1">
      <c r="A488" s="7"/>
      <c r="B488" s="6"/>
      <c r="C488" s="6"/>
      <c r="D488" s="6"/>
      <c r="E488" s="6" t="str">
        <f>IF($A488="","",IFERROR(INDEX(Processos!$AR$10:$AR$509,MATCH($A488,Processos!$A$10:$A$509,0)),"")&amp;CHAR(10)&amp;IFERROR(IF(OR(INDEX(Origem!$AB$10:$AB$509,MATCH($A488,Origem!$A$10:$A$509,0))="",INDEX(Origem!$AB$10:$AB$509,MATCH($A488,Origem!$A$10:$A$509,0))="—"),"Origem: sem classificação","Origem: "&amp;INDEX(Origem!$AB$10:$AB$509,MATCH($A488,Origem!$A$10:$A$509,0))&amp;IF(INDEX(Origem!$AC$10:$AC$509,MATCH($A488,Origem!$A$10:$A$509,0))=""," (sem pontuação)"," • "&amp;INDEX(Origem!$AC$10:$AC$509,MATCH($A488,Origem!$A$10:$A$509,0))&amp;" pontos")),"Origem: sem classificação"))</f>
        <v/>
      </c>
      <c r="F488" s="10"/>
      <c r="G488" s="6"/>
    </row>
    <row r="489" spans="1:7" ht="48" customHeight="1">
      <c r="A489" s="7"/>
      <c r="B489" s="6"/>
      <c r="C489" s="6"/>
      <c r="D489" s="6"/>
      <c r="E489" s="6" t="str">
        <f>IF($A489="","",IFERROR(INDEX(Processos!$AR$10:$AR$509,MATCH($A489,Processos!$A$10:$A$509,0)),"")&amp;CHAR(10)&amp;IFERROR(IF(OR(INDEX(Origem!$AB$10:$AB$509,MATCH($A489,Origem!$A$10:$A$509,0))="",INDEX(Origem!$AB$10:$AB$509,MATCH($A489,Origem!$A$10:$A$509,0))="—"),"Origem: sem classificação","Origem: "&amp;INDEX(Origem!$AB$10:$AB$509,MATCH($A489,Origem!$A$10:$A$509,0))&amp;IF(INDEX(Origem!$AC$10:$AC$509,MATCH($A489,Origem!$A$10:$A$509,0))=""," (sem pontuação)"," • "&amp;INDEX(Origem!$AC$10:$AC$509,MATCH($A489,Origem!$A$10:$A$509,0))&amp;" pontos")),"Origem: sem classificação"))</f>
        <v/>
      </c>
      <c r="F489" s="10"/>
      <c r="G489" s="6"/>
    </row>
    <row r="490" spans="1:7" ht="48" customHeight="1">
      <c r="A490" s="7"/>
      <c r="B490" s="6"/>
      <c r="C490" s="6"/>
      <c r="D490" s="6"/>
      <c r="E490" s="6" t="str">
        <f>IF($A490="","",IFERROR(INDEX(Processos!$AR$10:$AR$509,MATCH($A490,Processos!$A$10:$A$509,0)),"")&amp;CHAR(10)&amp;IFERROR(IF(OR(INDEX(Origem!$AB$10:$AB$509,MATCH($A490,Origem!$A$10:$A$509,0))="",INDEX(Origem!$AB$10:$AB$509,MATCH($A490,Origem!$A$10:$A$509,0))="—"),"Origem: sem classificação","Origem: "&amp;INDEX(Origem!$AB$10:$AB$509,MATCH($A490,Origem!$A$10:$A$509,0))&amp;IF(INDEX(Origem!$AC$10:$AC$509,MATCH($A490,Origem!$A$10:$A$509,0))=""," (sem pontuação)"," • "&amp;INDEX(Origem!$AC$10:$AC$509,MATCH($A490,Origem!$A$10:$A$509,0))&amp;" pontos")),"Origem: sem classificação"))</f>
        <v/>
      </c>
      <c r="F490" s="10"/>
      <c r="G490" s="6"/>
    </row>
    <row r="491" spans="1:7" ht="48" customHeight="1">
      <c r="A491" s="7"/>
      <c r="B491" s="6"/>
      <c r="C491" s="6"/>
      <c r="D491" s="6"/>
      <c r="E491" s="6" t="str">
        <f>IF($A491="","",IFERROR(INDEX(Processos!$AR$10:$AR$509,MATCH($A491,Processos!$A$10:$A$509,0)),"")&amp;CHAR(10)&amp;IFERROR(IF(OR(INDEX(Origem!$AB$10:$AB$509,MATCH($A491,Origem!$A$10:$A$509,0))="",INDEX(Origem!$AB$10:$AB$509,MATCH($A491,Origem!$A$10:$A$509,0))="—"),"Origem: sem classificação","Origem: "&amp;INDEX(Origem!$AB$10:$AB$509,MATCH($A491,Origem!$A$10:$A$509,0))&amp;IF(INDEX(Origem!$AC$10:$AC$509,MATCH($A491,Origem!$A$10:$A$509,0))=""," (sem pontuação)"," • "&amp;INDEX(Origem!$AC$10:$AC$509,MATCH($A491,Origem!$A$10:$A$509,0))&amp;" pontos")),"Origem: sem classificação"))</f>
        <v/>
      </c>
      <c r="F491" s="10"/>
      <c r="G491" s="6"/>
    </row>
    <row r="492" spans="1:7" ht="48" customHeight="1">
      <c r="A492" s="7"/>
      <c r="B492" s="6"/>
      <c r="C492" s="6"/>
      <c r="D492" s="6"/>
      <c r="E492" s="6" t="str">
        <f>IF($A492="","",IFERROR(INDEX(Processos!$AR$10:$AR$509,MATCH($A492,Processos!$A$10:$A$509,0)),"")&amp;CHAR(10)&amp;IFERROR(IF(OR(INDEX(Origem!$AB$10:$AB$509,MATCH($A492,Origem!$A$10:$A$509,0))="",INDEX(Origem!$AB$10:$AB$509,MATCH($A492,Origem!$A$10:$A$509,0))="—"),"Origem: sem classificação","Origem: "&amp;INDEX(Origem!$AB$10:$AB$509,MATCH($A492,Origem!$A$10:$A$509,0))&amp;IF(INDEX(Origem!$AC$10:$AC$509,MATCH($A492,Origem!$A$10:$A$509,0))=""," (sem pontuação)"," • "&amp;INDEX(Origem!$AC$10:$AC$509,MATCH($A492,Origem!$A$10:$A$509,0))&amp;" pontos")),"Origem: sem classificação"))</f>
        <v/>
      </c>
      <c r="F492" s="10"/>
      <c r="G492" s="6"/>
    </row>
    <row r="493" spans="1:7" ht="48" customHeight="1">
      <c r="A493" s="7"/>
      <c r="B493" s="6"/>
      <c r="C493" s="6"/>
      <c r="D493" s="6"/>
      <c r="E493" s="6" t="str">
        <f>IF($A493="","",IFERROR(INDEX(Processos!$AR$10:$AR$509,MATCH($A493,Processos!$A$10:$A$509,0)),"")&amp;CHAR(10)&amp;IFERROR(IF(OR(INDEX(Origem!$AB$10:$AB$509,MATCH($A493,Origem!$A$10:$A$509,0))="",INDEX(Origem!$AB$10:$AB$509,MATCH($A493,Origem!$A$10:$A$509,0))="—"),"Origem: sem classificação","Origem: "&amp;INDEX(Origem!$AB$10:$AB$509,MATCH($A493,Origem!$A$10:$A$509,0))&amp;IF(INDEX(Origem!$AC$10:$AC$509,MATCH($A493,Origem!$A$10:$A$509,0))=""," (sem pontuação)"," • "&amp;INDEX(Origem!$AC$10:$AC$509,MATCH($A493,Origem!$A$10:$A$509,0))&amp;" pontos")),"Origem: sem classificação"))</f>
        <v/>
      </c>
      <c r="F493" s="10"/>
      <c r="G493" s="6"/>
    </row>
    <row r="494" spans="1:7" ht="48" customHeight="1">
      <c r="A494" s="7"/>
      <c r="B494" s="6"/>
      <c r="C494" s="6"/>
      <c r="D494" s="6"/>
      <c r="E494" s="6" t="str">
        <f>IF($A494="","",IFERROR(INDEX(Processos!$AR$10:$AR$509,MATCH($A494,Processos!$A$10:$A$509,0)),"")&amp;CHAR(10)&amp;IFERROR(IF(OR(INDEX(Origem!$AB$10:$AB$509,MATCH($A494,Origem!$A$10:$A$509,0))="",INDEX(Origem!$AB$10:$AB$509,MATCH($A494,Origem!$A$10:$A$509,0))="—"),"Origem: sem classificação","Origem: "&amp;INDEX(Origem!$AB$10:$AB$509,MATCH($A494,Origem!$A$10:$A$509,0))&amp;IF(INDEX(Origem!$AC$10:$AC$509,MATCH($A494,Origem!$A$10:$A$509,0))=""," (sem pontuação)"," • "&amp;INDEX(Origem!$AC$10:$AC$509,MATCH($A494,Origem!$A$10:$A$509,0))&amp;" pontos")),"Origem: sem classificação"))</f>
        <v/>
      </c>
      <c r="F494" s="10"/>
      <c r="G494" s="6"/>
    </row>
    <row r="495" spans="1:7" ht="48" customHeight="1">
      <c r="A495" s="7"/>
      <c r="B495" s="6"/>
      <c r="C495" s="6"/>
      <c r="D495" s="6"/>
      <c r="E495" s="6" t="str">
        <f>IF($A495="","",IFERROR(INDEX(Processos!$AR$10:$AR$509,MATCH($A495,Processos!$A$10:$A$509,0)),"")&amp;CHAR(10)&amp;IFERROR(IF(OR(INDEX(Origem!$AB$10:$AB$509,MATCH($A495,Origem!$A$10:$A$509,0))="",INDEX(Origem!$AB$10:$AB$509,MATCH($A495,Origem!$A$10:$A$509,0))="—"),"Origem: sem classificação","Origem: "&amp;INDEX(Origem!$AB$10:$AB$509,MATCH($A495,Origem!$A$10:$A$509,0))&amp;IF(INDEX(Origem!$AC$10:$AC$509,MATCH($A495,Origem!$A$10:$A$509,0))=""," (sem pontuação)"," • "&amp;INDEX(Origem!$AC$10:$AC$509,MATCH($A495,Origem!$A$10:$A$509,0))&amp;" pontos")),"Origem: sem classificação"))</f>
        <v/>
      </c>
      <c r="F495" s="10"/>
      <c r="G495" s="6"/>
    </row>
    <row r="496" spans="1:7" ht="48" customHeight="1">
      <c r="A496" s="7"/>
      <c r="B496" s="6"/>
      <c r="C496" s="6"/>
      <c r="D496" s="6"/>
      <c r="E496" s="6" t="str">
        <f>IF($A496="","",IFERROR(INDEX(Processos!$AR$10:$AR$509,MATCH($A496,Processos!$A$10:$A$509,0)),"")&amp;CHAR(10)&amp;IFERROR(IF(OR(INDEX(Origem!$AB$10:$AB$509,MATCH($A496,Origem!$A$10:$A$509,0))="",INDEX(Origem!$AB$10:$AB$509,MATCH($A496,Origem!$A$10:$A$509,0))="—"),"Origem: sem classificação","Origem: "&amp;INDEX(Origem!$AB$10:$AB$509,MATCH($A496,Origem!$A$10:$A$509,0))&amp;IF(INDEX(Origem!$AC$10:$AC$509,MATCH($A496,Origem!$A$10:$A$509,0))=""," (sem pontuação)"," • "&amp;INDEX(Origem!$AC$10:$AC$509,MATCH($A496,Origem!$A$10:$A$509,0))&amp;" pontos")),"Origem: sem classificação"))</f>
        <v/>
      </c>
      <c r="F496" s="10"/>
      <c r="G496" s="6"/>
    </row>
    <row r="497" spans="1:7" ht="48" customHeight="1">
      <c r="A497" s="7"/>
      <c r="B497" s="6"/>
      <c r="C497" s="6"/>
      <c r="D497" s="6"/>
      <c r="E497" s="6" t="str">
        <f>IF($A497="","",IFERROR(INDEX(Processos!$AR$10:$AR$509,MATCH($A497,Processos!$A$10:$A$509,0)),"")&amp;CHAR(10)&amp;IFERROR(IF(OR(INDEX(Origem!$AB$10:$AB$509,MATCH($A497,Origem!$A$10:$A$509,0))="",INDEX(Origem!$AB$10:$AB$509,MATCH($A497,Origem!$A$10:$A$509,0))="—"),"Origem: sem classificação","Origem: "&amp;INDEX(Origem!$AB$10:$AB$509,MATCH($A497,Origem!$A$10:$A$509,0))&amp;IF(INDEX(Origem!$AC$10:$AC$509,MATCH($A497,Origem!$A$10:$A$509,0))=""," (sem pontuação)"," • "&amp;INDEX(Origem!$AC$10:$AC$509,MATCH($A497,Origem!$A$10:$A$509,0))&amp;" pontos")),"Origem: sem classificação"))</f>
        <v/>
      </c>
      <c r="F497" s="10"/>
      <c r="G497" s="6"/>
    </row>
    <row r="498" spans="1:7" ht="48" customHeight="1">
      <c r="A498" s="7"/>
      <c r="B498" s="6"/>
      <c r="C498" s="6"/>
      <c r="D498" s="6"/>
      <c r="E498" s="6" t="str">
        <f>IF($A498="","",IFERROR(INDEX(Processos!$AR$10:$AR$509,MATCH($A498,Processos!$A$10:$A$509,0)),"")&amp;CHAR(10)&amp;IFERROR(IF(OR(INDEX(Origem!$AB$10:$AB$509,MATCH($A498,Origem!$A$10:$A$509,0))="",INDEX(Origem!$AB$10:$AB$509,MATCH($A498,Origem!$A$10:$A$509,0))="—"),"Origem: sem classificação","Origem: "&amp;INDEX(Origem!$AB$10:$AB$509,MATCH($A498,Origem!$A$10:$A$509,0))&amp;IF(INDEX(Origem!$AC$10:$AC$509,MATCH($A498,Origem!$A$10:$A$509,0))=""," (sem pontuação)"," • "&amp;INDEX(Origem!$AC$10:$AC$509,MATCH($A498,Origem!$A$10:$A$509,0))&amp;" pontos")),"Origem: sem classificação"))</f>
        <v/>
      </c>
      <c r="F498" s="10"/>
      <c r="G498" s="6"/>
    </row>
    <row r="499" spans="1:7" ht="48" customHeight="1">
      <c r="A499" s="7"/>
      <c r="B499" s="6"/>
      <c r="C499" s="6"/>
      <c r="D499" s="6"/>
      <c r="E499" s="6" t="str">
        <f>IF($A499="","",IFERROR(INDEX(Processos!$AR$10:$AR$509,MATCH($A499,Processos!$A$10:$A$509,0)),"")&amp;CHAR(10)&amp;IFERROR(IF(OR(INDEX(Origem!$AB$10:$AB$509,MATCH($A499,Origem!$A$10:$A$509,0))="",INDEX(Origem!$AB$10:$AB$509,MATCH($A499,Origem!$A$10:$A$509,0))="—"),"Origem: sem classificação","Origem: "&amp;INDEX(Origem!$AB$10:$AB$509,MATCH($A499,Origem!$A$10:$A$509,0))&amp;IF(INDEX(Origem!$AC$10:$AC$509,MATCH($A499,Origem!$A$10:$A$509,0))=""," (sem pontuação)"," • "&amp;INDEX(Origem!$AC$10:$AC$509,MATCH($A499,Origem!$A$10:$A$509,0))&amp;" pontos")),"Origem: sem classificação"))</f>
        <v/>
      </c>
      <c r="F499" s="10"/>
      <c r="G499" s="6"/>
    </row>
    <row r="500" spans="1:7" ht="48" customHeight="1">
      <c r="A500" s="7"/>
      <c r="B500" s="6"/>
      <c r="C500" s="6"/>
      <c r="D500" s="6"/>
      <c r="E500" s="6" t="str">
        <f>IF($A500="","",IFERROR(INDEX(Processos!$AR$10:$AR$509,MATCH($A500,Processos!$A$10:$A$509,0)),"")&amp;CHAR(10)&amp;IFERROR(IF(OR(INDEX(Origem!$AB$10:$AB$509,MATCH($A500,Origem!$A$10:$A$509,0))="",INDEX(Origem!$AB$10:$AB$509,MATCH($A500,Origem!$A$10:$A$509,0))="—"),"Origem: sem classificação","Origem: "&amp;INDEX(Origem!$AB$10:$AB$509,MATCH($A500,Origem!$A$10:$A$509,0))&amp;IF(INDEX(Origem!$AC$10:$AC$509,MATCH($A500,Origem!$A$10:$A$509,0))=""," (sem pontuação)"," • "&amp;INDEX(Origem!$AC$10:$AC$509,MATCH($A500,Origem!$A$10:$A$509,0))&amp;" pontos")),"Origem: sem classificação"))</f>
        <v/>
      </c>
      <c r="F500" s="10"/>
      <c r="G500" s="6"/>
    </row>
    <row r="501" spans="1:7" ht="48" customHeight="1">
      <c r="A501" s="7"/>
      <c r="B501" s="6"/>
      <c r="C501" s="6"/>
      <c r="D501" s="6"/>
      <c r="E501" s="6" t="str">
        <f>IF($A501="","",IFERROR(INDEX(Processos!$AR$10:$AR$509,MATCH($A501,Processos!$A$10:$A$509,0)),"")&amp;CHAR(10)&amp;IFERROR(IF(OR(INDEX(Origem!$AB$10:$AB$509,MATCH($A501,Origem!$A$10:$A$509,0))="",INDEX(Origem!$AB$10:$AB$509,MATCH($A501,Origem!$A$10:$A$509,0))="—"),"Origem: sem classificação","Origem: "&amp;INDEX(Origem!$AB$10:$AB$509,MATCH($A501,Origem!$A$10:$A$509,0))&amp;IF(INDEX(Origem!$AC$10:$AC$509,MATCH($A501,Origem!$A$10:$A$509,0))=""," (sem pontuação)"," • "&amp;INDEX(Origem!$AC$10:$AC$509,MATCH($A501,Origem!$A$10:$A$509,0))&amp;" pontos")),"Origem: sem classificação"))</f>
        <v/>
      </c>
      <c r="F501" s="10"/>
      <c r="G501" s="6"/>
    </row>
    <row r="502" spans="1:7" ht="48" customHeight="1">
      <c r="A502" s="7"/>
      <c r="B502" s="6"/>
      <c r="C502" s="6"/>
      <c r="D502" s="6"/>
      <c r="E502" s="6" t="str">
        <f>IF($A502="","",IFERROR(INDEX(Processos!$AR$10:$AR$509,MATCH($A502,Processos!$A$10:$A$509,0)),"")&amp;CHAR(10)&amp;IFERROR(IF(OR(INDEX(Origem!$AB$10:$AB$509,MATCH($A502,Origem!$A$10:$A$509,0))="",INDEX(Origem!$AB$10:$AB$509,MATCH($A502,Origem!$A$10:$A$509,0))="—"),"Origem: sem classificação","Origem: "&amp;INDEX(Origem!$AB$10:$AB$509,MATCH($A502,Origem!$A$10:$A$509,0))&amp;IF(INDEX(Origem!$AC$10:$AC$509,MATCH($A502,Origem!$A$10:$A$509,0))=""," (sem pontuação)"," • "&amp;INDEX(Origem!$AC$10:$AC$509,MATCH($A502,Origem!$A$10:$A$509,0))&amp;" pontos")),"Origem: sem classificação"))</f>
        <v/>
      </c>
      <c r="F502" s="10"/>
      <c r="G502" s="6"/>
    </row>
    <row r="503" spans="1:7" ht="48" customHeight="1">
      <c r="A503" s="7"/>
      <c r="B503" s="6"/>
      <c r="C503" s="6"/>
      <c r="D503" s="6"/>
      <c r="E503" s="6" t="str">
        <f>IF($A503="","",IFERROR(INDEX(Processos!$AR$10:$AR$509,MATCH($A503,Processos!$A$10:$A$509,0)),"")&amp;CHAR(10)&amp;IFERROR(IF(OR(INDEX(Origem!$AB$10:$AB$509,MATCH($A503,Origem!$A$10:$A$509,0))="",INDEX(Origem!$AB$10:$AB$509,MATCH($A503,Origem!$A$10:$A$509,0))="—"),"Origem: sem classificação","Origem: "&amp;INDEX(Origem!$AB$10:$AB$509,MATCH($A503,Origem!$A$10:$A$509,0))&amp;IF(INDEX(Origem!$AC$10:$AC$509,MATCH($A503,Origem!$A$10:$A$509,0))=""," (sem pontuação)"," • "&amp;INDEX(Origem!$AC$10:$AC$509,MATCH($A503,Origem!$A$10:$A$509,0))&amp;" pontos")),"Origem: sem classificação"))</f>
        <v/>
      </c>
      <c r="F503" s="10"/>
      <c r="G503" s="6"/>
    </row>
    <row r="504" spans="1:7" ht="48" customHeight="1">
      <c r="A504" s="7"/>
      <c r="B504" s="6"/>
      <c r="C504" s="6"/>
      <c r="D504" s="6"/>
      <c r="E504" s="6" t="str">
        <f>IF($A504="","",IFERROR(INDEX(Processos!$AR$10:$AR$509,MATCH($A504,Processos!$A$10:$A$509,0)),"")&amp;CHAR(10)&amp;IFERROR(IF(OR(INDEX(Origem!$AB$10:$AB$509,MATCH($A504,Origem!$A$10:$A$509,0))="",INDEX(Origem!$AB$10:$AB$509,MATCH($A504,Origem!$A$10:$A$509,0))="—"),"Origem: sem classificação","Origem: "&amp;INDEX(Origem!$AB$10:$AB$509,MATCH($A504,Origem!$A$10:$A$509,0))&amp;IF(INDEX(Origem!$AC$10:$AC$509,MATCH($A504,Origem!$A$10:$A$509,0))=""," (sem pontuação)"," • "&amp;INDEX(Origem!$AC$10:$AC$509,MATCH($A504,Origem!$A$10:$A$509,0))&amp;" pontos")),"Origem: sem classificação"))</f>
        <v/>
      </c>
      <c r="F504" s="10"/>
      <c r="G504" s="6"/>
    </row>
    <row r="505" spans="1:7" ht="48" customHeight="1">
      <c r="A505" s="7"/>
      <c r="B505" s="6"/>
      <c r="C505" s="6"/>
      <c r="D505" s="6"/>
      <c r="E505" s="6" t="str">
        <f>IF($A505="","",IFERROR(INDEX(Processos!$AR$10:$AR$509,MATCH($A505,Processos!$A$10:$A$509,0)),"")&amp;CHAR(10)&amp;IFERROR(IF(OR(INDEX(Origem!$AB$10:$AB$509,MATCH($A505,Origem!$A$10:$A$509,0))="",INDEX(Origem!$AB$10:$AB$509,MATCH($A505,Origem!$A$10:$A$509,0))="—"),"Origem: sem classificação","Origem: "&amp;INDEX(Origem!$AB$10:$AB$509,MATCH($A505,Origem!$A$10:$A$509,0))&amp;IF(INDEX(Origem!$AC$10:$AC$509,MATCH($A505,Origem!$A$10:$A$509,0))=""," (sem pontuação)"," • "&amp;INDEX(Origem!$AC$10:$AC$509,MATCH($A505,Origem!$A$10:$A$509,0))&amp;" pontos")),"Origem: sem classificação"))</f>
        <v/>
      </c>
      <c r="F505" s="10"/>
      <c r="G505" s="6"/>
    </row>
    <row r="506" spans="1:7" ht="48" customHeight="1">
      <c r="A506" s="7"/>
      <c r="B506" s="6"/>
      <c r="C506" s="6"/>
      <c r="D506" s="6"/>
      <c r="E506" s="6" t="str">
        <f>IF($A506="","",IFERROR(INDEX(Processos!$AR$10:$AR$509,MATCH($A506,Processos!$A$10:$A$509,0)),"")&amp;CHAR(10)&amp;IFERROR(IF(OR(INDEX(Origem!$AB$10:$AB$509,MATCH($A506,Origem!$A$10:$A$509,0))="",INDEX(Origem!$AB$10:$AB$509,MATCH($A506,Origem!$A$10:$A$509,0))="—"),"Origem: sem classificação","Origem: "&amp;INDEX(Origem!$AB$10:$AB$509,MATCH($A506,Origem!$A$10:$A$509,0))&amp;IF(INDEX(Origem!$AC$10:$AC$509,MATCH($A506,Origem!$A$10:$A$509,0))=""," (sem pontuação)"," • "&amp;INDEX(Origem!$AC$10:$AC$509,MATCH($A506,Origem!$A$10:$A$509,0))&amp;" pontos")),"Origem: sem classificação"))</f>
        <v/>
      </c>
      <c r="F506" s="10"/>
      <c r="G506" s="6"/>
    </row>
    <row r="507" spans="1:7" ht="48" customHeight="1">
      <c r="A507" s="7"/>
      <c r="B507" s="6"/>
      <c r="C507" s="6"/>
      <c r="D507" s="6"/>
      <c r="E507" s="6" t="str">
        <f>IF($A507="","",IFERROR(INDEX(Processos!$AR$10:$AR$509,MATCH($A507,Processos!$A$10:$A$509,0)),"")&amp;CHAR(10)&amp;IFERROR(IF(OR(INDEX(Origem!$AB$10:$AB$509,MATCH($A507,Origem!$A$10:$A$509,0))="",INDEX(Origem!$AB$10:$AB$509,MATCH($A507,Origem!$A$10:$A$509,0))="—"),"Origem: sem classificação","Origem: "&amp;INDEX(Origem!$AB$10:$AB$509,MATCH($A507,Origem!$A$10:$A$509,0))&amp;IF(INDEX(Origem!$AC$10:$AC$509,MATCH($A507,Origem!$A$10:$A$509,0))=""," (sem pontuação)"," • "&amp;INDEX(Origem!$AC$10:$AC$509,MATCH($A507,Origem!$A$10:$A$509,0))&amp;" pontos")),"Origem: sem classificação"))</f>
        <v/>
      </c>
      <c r="F507" s="10"/>
      <c r="G507" s="6"/>
    </row>
    <row r="508" spans="1:7" ht="48" customHeight="1">
      <c r="A508" s="7"/>
      <c r="B508" s="6"/>
      <c r="C508" s="6"/>
      <c r="D508" s="6"/>
      <c r="E508" s="6" t="str">
        <f>IF($A508="","",IFERROR(INDEX(Processos!$AR$10:$AR$509,MATCH($A508,Processos!$A$10:$A$509,0)),"")&amp;CHAR(10)&amp;IFERROR(IF(OR(INDEX(Origem!$AB$10:$AB$509,MATCH($A508,Origem!$A$10:$A$509,0))="",INDEX(Origem!$AB$10:$AB$509,MATCH($A508,Origem!$A$10:$A$509,0))="—"),"Origem: sem classificação","Origem: "&amp;INDEX(Origem!$AB$10:$AB$509,MATCH($A508,Origem!$A$10:$A$509,0))&amp;IF(INDEX(Origem!$AC$10:$AC$509,MATCH($A508,Origem!$A$10:$A$509,0))=""," (sem pontuação)"," • "&amp;INDEX(Origem!$AC$10:$AC$509,MATCH($A508,Origem!$A$10:$A$509,0))&amp;" pontos")),"Origem: sem classificação"))</f>
        <v/>
      </c>
      <c r="F508" s="10"/>
      <c r="G508" s="6"/>
    </row>
    <row r="509" spans="1:7" ht="48" customHeight="1">
      <c r="A509" s="7"/>
      <c r="B509" s="6"/>
      <c r="C509" s="6"/>
      <c r="D509" s="6"/>
      <c r="E509" s="6" t="str">
        <f>IF($A509="","",IFERROR(INDEX(Processos!$AR$10:$AR$509,MATCH($A509,Processos!$A$10:$A$509,0)),"")&amp;CHAR(10)&amp;IFERROR(IF(OR(INDEX(Origem!$AB$10:$AB$509,MATCH($A509,Origem!$A$10:$A$509,0))="",INDEX(Origem!$AB$10:$AB$509,MATCH($A509,Origem!$A$10:$A$509,0))="—"),"Origem: sem classificação","Origem: "&amp;INDEX(Origem!$AB$10:$AB$509,MATCH($A509,Origem!$A$10:$A$509,0))&amp;IF(INDEX(Origem!$AC$10:$AC$509,MATCH($A509,Origem!$A$10:$A$509,0))=""," (sem pontuação)"," • "&amp;INDEX(Origem!$AC$10:$AC$509,MATCH($A509,Origem!$A$10:$A$509,0))&amp;" pontos")),"Origem: sem classificação"))</f>
        <v/>
      </c>
      <c r="F509" s="10"/>
      <c r="G509" s="6"/>
    </row>
  </sheetData>
  <mergeCells count="9">
    <mergeCell ref="A6:I6"/>
    <mergeCell ref="A7:I7"/>
    <mergeCell ref="A5:I5"/>
    <mergeCell ref="E8:G8"/>
    <mergeCell ref="A2:I2"/>
    <mergeCell ref="A3:I3"/>
    <mergeCell ref="A4:C4"/>
    <mergeCell ref="D4:F4"/>
    <mergeCell ref="G4:I4"/>
  </mergeCells>
  <conditionalFormatting sqref="E10:E59">
    <cfRule type="containsText" dxfId="17" priority="1" operator="containsText" text="CRÍTICO"/>
    <cfRule type="containsText" dxfId="16" priority="2" operator="containsText" text="ALTO"/>
    <cfRule type="containsText" dxfId="15" priority="3" operator="containsText" text="MÉDIO"/>
    <cfRule type="containsText" dxfId="14" priority="4" operator="containsText" text="BAIXO"/>
  </conditionalFormatting>
  <dataValidations count="1">
    <dataValidation type="whole" sqref="D8" xr:uid="{00000000-0002-0000-0300-000000000000}">
      <formula1>1</formula1>
      <formula2>I8</formula2>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13653"/>
  </sheetPr>
  <dimension ref="A1:J544"/>
  <sheetViews>
    <sheetView showGridLines="0" workbookViewId="0"/>
  </sheetViews>
  <sheetFormatPr defaultRowHeight="14.25"/>
  <cols>
    <col min="1" max="1" width="25" customWidth="1"/>
    <col min="2" max="2" width="11" customWidth="1"/>
    <col min="3" max="3" width="20" customWidth="1"/>
    <col min="4" max="4" width="14" customWidth="1"/>
    <col min="5" max="5" width="25" customWidth="1"/>
    <col min="6" max="6" width="16" customWidth="1"/>
    <col min="7" max="7" width="20" customWidth="1"/>
    <col min="8" max="10" width="0" hidden="1" customWidth="1"/>
  </cols>
  <sheetData>
    <row r="1" spans="1:9" ht="23.1" customHeight="1">
      <c r="A1" s="6"/>
      <c r="B1" s="6"/>
      <c r="C1" s="6"/>
      <c r="D1" s="6"/>
      <c r="E1" s="6"/>
      <c r="F1" s="6"/>
      <c r="G1" s="6"/>
      <c r="H1" s="6"/>
      <c r="I1" s="6"/>
    </row>
    <row r="2" spans="1:9" ht="33.950000000000003" customHeight="1">
      <c r="A2" s="53" t="s">
        <v>93</v>
      </c>
      <c r="B2" s="53"/>
      <c r="C2" s="53"/>
      <c r="D2" s="53"/>
      <c r="E2" s="53"/>
      <c r="F2" s="53"/>
      <c r="G2" s="53"/>
      <c r="H2" s="53"/>
      <c r="I2" s="53"/>
    </row>
    <row r="3" spans="1:9" ht="30" customHeight="1">
      <c r="A3" s="54" t="s">
        <v>94</v>
      </c>
      <c r="B3" s="54"/>
      <c r="C3" s="54"/>
      <c r="D3" s="54"/>
      <c r="E3" s="54"/>
      <c r="F3" s="54"/>
      <c r="G3" s="54"/>
      <c r="H3" s="54"/>
      <c r="I3" s="54"/>
    </row>
    <row r="4" spans="1:9" ht="27.95" customHeight="1">
      <c r="A4" s="78" t="str">
        <f>IFERROR(HYPERLINK("#'Painel'!A1","Painel"),"Painel")</f>
        <v>Painel</v>
      </c>
      <c r="B4" s="78"/>
      <c r="C4" s="78"/>
      <c r="D4" s="78" t="str">
        <f>IFERROR(HYPERLINK("#'Ficha'!C6","Ficha do processo"),"Ficha do processo")</f>
        <v>Ficha do processo</v>
      </c>
      <c r="E4" s="78"/>
      <c r="F4" s="78"/>
      <c r="G4" s="77" t="str">
        <f>IFERROR(HYPERLINK("#'Central IA'!C6","Atualizar com IA"),"Atualizar com IA")</f>
        <v>Atualizar com IA</v>
      </c>
      <c r="H4" s="77"/>
      <c r="I4" s="77"/>
    </row>
    <row r="5" spans="1:9" ht="27" customHeight="1">
      <c r="A5" s="122" t="s">
        <v>84</v>
      </c>
      <c r="B5" s="122"/>
      <c r="C5" s="122"/>
      <c r="D5" s="122"/>
      <c r="E5" s="122"/>
      <c r="F5" s="122"/>
      <c r="G5" s="122"/>
      <c r="H5" s="122"/>
      <c r="I5" s="122"/>
    </row>
    <row r="6" spans="1:9" ht="23.1" customHeight="1">
      <c r="A6" s="110" t="str">
        <f>"Escritório escolhido: "&amp;Painel!C6&amp;"    Empresa: "&amp;Painel!L6&amp;"    Consórcio: "&amp;Painel!C8&amp;"    Tema: "&amp;Painel!L8</f>
        <v>Escritório escolhido: Todos    Empresa: Todas    Consórcio: Todos    Tema: Todos</v>
      </c>
      <c r="B6" s="110"/>
      <c r="C6" s="110"/>
      <c r="D6" s="110"/>
      <c r="E6" s="110"/>
      <c r="F6" s="110"/>
      <c r="G6" s="110"/>
      <c r="H6" s="110"/>
      <c r="I6" s="110"/>
    </row>
    <row r="7" spans="1:9" ht="23.1" customHeight="1">
      <c r="A7" s="88" t="s">
        <v>95</v>
      </c>
      <c r="B7" s="88"/>
      <c r="C7" s="88"/>
      <c r="D7" s="88"/>
      <c r="E7" s="88"/>
      <c r="F7" s="88"/>
      <c r="G7" s="88"/>
      <c r="H7" s="88"/>
      <c r="I7" s="88"/>
    </row>
    <row r="8" spans="1:9" ht="23.1" customHeight="1">
      <c r="A8" s="6"/>
      <c r="B8" s="6"/>
      <c r="C8" s="6"/>
      <c r="D8" s="6"/>
      <c r="E8" s="6"/>
      <c r="F8" s="6"/>
      <c r="G8" s="6"/>
      <c r="H8" s="6"/>
      <c r="I8" s="6"/>
    </row>
    <row r="9" spans="1:9" ht="42" customHeight="1">
      <c r="A9" s="9" t="s">
        <v>87</v>
      </c>
      <c r="B9" s="9" t="s">
        <v>96</v>
      </c>
      <c r="C9" s="9" t="s">
        <v>97</v>
      </c>
      <c r="D9" s="9" t="s">
        <v>98</v>
      </c>
      <c r="E9" s="9" t="s">
        <v>91</v>
      </c>
      <c r="F9" s="9" t="s">
        <v>16</v>
      </c>
      <c r="G9" s="9" t="s">
        <v>99</v>
      </c>
    </row>
    <row r="10" spans="1:9" ht="27.95" customHeight="1">
      <c r="A10" s="6" t="str">
        <f>IF(OR(Configurar!A10="",COUNTIFS(Configurar!$A$10:A10,Configurar!A10)&gt;1),"",Configurar!A10)</f>
        <v>BMM Advogados</v>
      </c>
      <c r="B10" s="6">
        <f>IF(A10="","",COUNTIFS(Processos!$D$10:$D$509,A10,Processos!$AL$10:$AL$509,1))</f>
        <v>103</v>
      </c>
      <c r="C10" s="6">
        <f>IF(A10="","",COUNTIFS(Processos!$D$10:$D$509,A10,Processos!$AL$10:$AL$509,1,Processos!$Y$10:$Y$509,1))</f>
        <v>6</v>
      </c>
      <c r="D10" s="6">
        <f ca="1">IF(A10="","",COUNTIFS(Processos!$D$10:$D$509,A10,Processos!$AL$10:$AL$509,1,Processos!$AD$10:$AD$509,1))</f>
        <v>57</v>
      </c>
      <c r="E10" s="10">
        <f>IF(A10="","",IF(COUNTIFS(Valores!$P$10:$P$509,A10,Valores!$Q$10:$Q$509,1,Valores!$B$10:$B$509,"&gt;0")+COUNTIFS(Valores!$P$10:$P$509,A10,Valores!$Q$10:$Q$509,1,Valores!$B$10:$B$509,"=0",Valores!$B$10:$B$509,"&lt;&gt;")=0,"Não informado",SUMIFS(Valores!$B$10:$B$509,Valores!$P$10:$P$509,A10,Valores!$Q$10:$Q$509,1)))</f>
        <v>19619029.43</v>
      </c>
      <c r="F10" s="10">
        <f>IF(A10="","",IF(COUNTIFS(Valores!$P$10:$P$509,A10,Valores!$Q$10:$Q$509,1,Valores!$D$10:$D$509,"&gt;0")+COUNTIFS(Valores!$P$10:$P$509,A10,Valores!$Q$10:$Q$509,1,Valores!$D$10:$D$509,"=0",Valores!$D$10:$D$509,"&lt;&gt;")=0,"Não informado",SUMIFS(Valores!$D$10:$D$509,Valores!$P$10:$P$509,A10,Valores!$Q$10:$Q$509,1)))</f>
        <v>137749.45999999996</v>
      </c>
      <c r="G10" s="10" t="str">
        <f>IF(A10="","",IF(COUNTIFS(Valores!$P$10:$P$509,A10,Valores!$Q$10:$Q$509,1,Valores!$G$10:$G$509,"&gt;0")+COUNTIFS(Valores!$P$10:$P$509,A10,Valores!$Q$10:$Q$509,1,Valores!$G$10:$G$509,"=0",Valores!$G$10:$G$509,"&lt;&gt;")=0,"Não informado",SUMIFS(Valores!$G$10:$G$509,Valores!$P$10:$P$509,A10,Valores!$Q$10:$Q$509,1)))</f>
        <v>Não informado</v>
      </c>
    </row>
    <row r="11" spans="1:9" ht="27.95" customHeight="1">
      <c r="A11" s="6" t="str">
        <f>IF(OR(Configurar!A11="",COUNTIFS(Configurar!$A$10:A11,Configurar!A11)&gt;1),"",Configurar!A11)</f>
        <v>SMP Advogados</v>
      </c>
      <c r="B11" s="6">
        <f>IF(A11="","",COUNTIFS(Processos!$D$10:$D$509,A11,Processos!$AL$10:$AL$509,1))</f>
        <v>15</v>
      </c>
      <c r="C11" s="6">
        <f>IF(A11="","",COUNTIFS(Processos!$D$10:$D$509,A11,Processos!$AL$10:$AL$509,1,Processos!$Y$10:$Y$509,1))</f>
        <v>0</v>
      </c>
      <c r="D11" s="6">
        <f ca="1">IF(A11="","",COUNTIFS(Processos!$D$10:$D$509,A11,Processos!$AL$10:$AL$509,1,Processos!$AD$10:$AD$509,1))</f>
        <v>10</v>
      </c>
      <c r="E11" s="10">
        <f>IF(A11="","",IF(COUNTIFS(Valores!$P$10:$P$509,A11,Valores!$Q$10:$Q$509,1,Valores!$B$10:$B$509,"&gt;0")+COUNTIFS(Valores!$P$10:$P$509,A11,Valores!$Q$10:$Q$509,1,Valores!$B$10:$B$509,"=0",Valores!$B$10:$B$509,"&lt;&gt;")=0,"Não informado",SUMIFS(Valores!$B$10:$B$509,Valores!$P$10:$P$509,A11,Valores!$Q$10:$Q$509,1)))</f>
        <v>9819314.9700000007</v>
      </c>
      <c r="F11" s="10" t="str">
        <f>IF(A11="","",IF(COUNTIFS(Valores!$P$10:$P$509,A11,Valores!$Q$10:$Q$509,1,Valores!$D$10:$D$509,"&gt;0")+COUNTIFS(Valores!$P$10:$P$509,A11,Valores!$Q$10:$Q$509,1,Valores!$D$10:$D$509,"=0",Valores!$D$10:$D$509,"&lt;&gt;")=0,"Não informado",SUMIFS(Valores!$D$10:$D$509,Valores!$P$10:$P$509,A11,Valores!$Q$10:$Q$509,1)))</f>
        <v>Não informado</v>
      </c>
      <c r="G11" s="10" t="str">
        <f>IF(A11="","",IF(COUNTIFS(Valores!$P$10:$P$509,A11,Valores!$Q$10:$Q$509,1,Valores!$G$10:$G$509,"&gt;0")+COUNTIFS(Valores!$P$10:$P$509,A11,Valores!$Q$10:$Q$509,1,Valores!$G$10:$G$509,"=0",Valores!$G$10:$G$509,"&lt;&gt;")=0,"Não informado",SUMIFS(Valores!$G$10:$G$509,Valores!$P$10:$P$509,A11,Valores!$Q$10:$Q$509,1)))</f>
        <v>Não informado</v>
      </c>
    </row>
    <row r="12" spans="1:9" ht="27.95" customHeight="1">
      <c r="A12" s="6" t="str">
        <f>IF(OR(Configurar!A12="",COUNTIFS(Configurar!$A$10:A12,Configurar!A12)&gt;1),"",Configurar!A12)</f>
        <v>Liporace</v>
      </c>
      <c r="B12" s="6">
        <f>IF(A12="","",COUNTIFS(Processos!$D$10:$D$509,A12,Processos!$AL$10:$AL$509,1))</f>
        <v>9</v>
      </c>
      <c r="C12" s="6">
        <f>IF(A12="","",COUNTIFS(Processos!$D$10:$D$509,A12,Processos!$AL$10:$AL$509,1,Processos!$Y$10:$Y$509,1))</f>
        <v>0</v>
      </c>
      <c r="D12" s="6">
        <f ca="1">IF(A12="","",COUNTIFS(Processos!$D$10:$D$509,A12,Processos!$AL$10:$AL$509,1,Processos!$AD$10:$AD$509,1))</f>
        <v>5</v>
      </c>
      <c r="E12" s="10">
        <f>IF(A12="","",IF(COUNTIFS(Valores!$P$10:$P$509,A12,Valores!$Q$10:$Q$509,1,Valores!$B$10:$B$509,"&gt;0")+COUNTIFS(Valores!$P$10:$P$509,A12,Valores!$Q$10:$Q$509,1,Valores!$B$10:$B$509,"=0",Valores!$B$10:$B$509,"&lt;&gt;")=0,"Não informado",SUMIFS(Valores!$B$10:$B$509,Valores!$P$10:$P$509,A12,Valores!$Q$10:$Q$509,1)))</f>
        <v>104350000</v>
      </c>
      <c r="F12" s="10" t="str">
        <f>IF(A12="","",IF(COUNTIFS(Valores!$P$10:$P$509,A12,Valores!$Q$10:$Q$509,1,Valores!$D$10:$D$509,"&gt;0")+COUNTIFS(Valores!$P$10:$P$509,A12,Valores!$Q$10:$Q$509,1,Valores!$D$10:$D$509,"=0",Valores!$D$10:$D$509,"&lt;&gt;")=0,"Não informado",SUMIFS(Valores!$D$10:$D$509,Valores!$P$10:$P$509,A12,Valores!$Q$10:$Q$509,1)))</f>
        <v>Não informado</v>
      </c>
      <c r="G12" s="10" t="str">
        <f>IF(A12="","",IF(COUNTIFS(Valores!$P$10:$P$509,A12,Valores!$Q$10:$Q$509,1,Valores!$G$10:$G$509,"&gt;0")+COUNTIFS(Valores!$P$10:$P$509,A12,Valores!$Q$10:$Q$509,1,Valores!$G$10:$G$509,"=0",Valores!$G$10:$G$509,"&lt;&gt;")=0,"Não informado",SUMIFS(Valores!$G$10:$G$509,Valores!$P$10:$P$509,A12,Valores!$Q$10:$Q$509,1)))</f>
        <v>Não informado</v>
      </c>
    </row>
    <row r="13" spans="1:9" ht="27.95" customHeight="1">
      <c r="A13" s="6" t="str">
        <f>IF(OR(Configurar!A13="",COUNTIFS(Configurar!$A$10:A13,Configurar!A13)&gt;1),"",Configurar!A13)</f>
        <v>Enver</v>
      </c>
      <c r="B13" s="6">
        <f>IF(A13="","",COUNTIFS(Processos!$D$10:$D$509,A13,Processos!$AL$10:$AL$509,1))</f>
        <v>1</v>
      </c>
      <c r="C13" s="6">
        <f>IF(A13="","",COUNTIFS(Processos!$D$10:$D$509,A13,Processos!$AL$10:$AL$509,1,Processos!$Y$10:$Y$509,1))</f>
        <v>0</v>
      </c>
      <c r="D13" s="6">
        <f>IF(A13="","",COUNTIFS(Processos!$D$10:$D$509,A13,Processos!$AL$10:$AL$509,1,Processos!$AD$10:$AD$509,1))</f>
        <v>0</v>
      </c>
      <c r="E13" s="10" t="str">
        <f>IF(A13="","",IF(COUNTIFS(Valores!$P$10:$P$509,A13,Valores!$Q$10:$Q$509,1,Valores!$B$10:$B$509,"&gt;0")+COUNTIFS(Valores!$P$10:$P$509,A13,Valores!$Q$10:$Q$509,1,Valores!$B$10:$B$509,"=0",Valores!$B$10:$B$509,"&lt;&gt;")=0,"Não informado",SUMIFS(Valores!$B$10:$B$509,Valores!$P$10:$P$509,A13,Valores!$Q$10:$Q$509,1)))</f>
        <v>Não informado</v>
      </c>
      <c r="F13" s="10" t="str">
        <f>IF(A13="","",IF(COUNTIFS(Valores!$P$10:$P$509,A13,Valores!$Q$10:$Q$509,1,Valores!$D$10:$D$509,"&gt;0")+COUNTIFS(Valores!$P$10:$P$509,A13,Valores!$Q$10:$Q$509,1,Valores!$D$10:$D$509,"=0",Valores!$D$10:$D$509,"&lt;&gt;")=0,"Não informado",SUMIFS(Valores!$D$10:$D$509,Valores!$P$10:$P$509,A13,Valores!$Q$10:$Q$509,1)))</f>
        <v>Não informado</v>
      </c>
      <c r="G13" s="10" t="str">
        <f>IF(A13="","",IF(COUNTIFS(Valores!$P$10:$P$509,A13,Valores!$Q$10:$Q$509,1,Valores!$G$10:$G$509,"&gt;0")+COUNTIFS(Valores!$P$10:$P$509,A13,Valores!$Q$10:$Q$509,1,Valores!$G$10:$G$509,"=0",Valores!$G$10:$G$509,"&lt;&gt;")=0,"Não informado",SUMIFS(Valores!$G$10:$G$509,Valores!$P$10:$P$509,A13,Valores!$Q$10:$Q$509,1)))</f>
        <v>Não informado</v>
      </c>
    </row>
    <row r="14" spans="1:9" ht="27.95" customHeight="1">
      <c r="A14" s="6" t="str">
        <f>IF(OR(Configurar!A14="",COUNTIFS(Configurar!$A$10:A14,Configurar!A14)&gt;1),"",Configurar!A14)</f>
        <v>Pedro Calmon</v>
      </c>
      <c r="B14" s="6">
        <f>IF(A14="","",COUNTIFS(Processos!$D$10:$D$509,A14,Processos!$AL$10:$AL$509,1))</f>
        <v>1</v>
      </c>
      <c r="C14" s="6">
        <f>IF(A14="","",COUNTIFS(Processos!$D$10:$D$509,A14,Processos!$AL$10:$AL$509,1,Processos!$Y$10:$Y$509,1))</f>
        <v>0</v>
      </c>
      <c r="D14" s="6">
        <f ca="1">IF(A14="","",COUNTIFS(Processos!$D$10:$D$509,A14,Processos!$AL$10:$AL$509,1,Processos!$AD$10:$AD$509,1))</f>
        <v>1</v>
      </c>
      <c r="E14" s="10" t="str">
        <f>IF(A14="","",IF(COUNTIFS(Valores!$P$10:$P$509,A14,Valores!$Q$10:$Q$509,1,Valores!$B$10:$B$509,"&gt;0")+COUNTIFS(Valores!$P$10:$P$509,A14,Valores!$Q$10:$Q$509,1,Valores!$B$10:$B$509,"=0",Valores!$B$10:$B$509,"&lt;&gt;")=0,"Não informado",SUMIFS(Valores!$B$10:$B$509,Valores!$P$10:$P$509,A14,Valores!$Q$10:$Q$509,1)))</f>
        <v>Não informado</v>
      </c>
      <c r="F14" s="10" t="str">
        <f>IF(A14="","",IF(COUNTIFS(Valores!$P$10:$P$509,A14,Valores!$Q$10:$Q$509,1,Valores!$D$10:$D$509,"&gt;0")+COUNTIFS(Valores!$P$10:$P$509,A14,Valores!$Q$10:$Q$509,1,Valores!$D$10:$D$509,"=0",Valores!$D$10:$D$509,"&lt;&gt;")=0,"Não informado",SUMIFS(Valores!$D$10:$D$509,Valores!$P$10:$P$509,A14,Valores!$Q$10:$Q$509,1)))</f>
        <v>Não informado</v>
      </c>
      <c r="G14" s="10" t="str">
        <f>IF(A14="","",IF(COUNTIFS(Valores!$P$10:$P$509,A14,Valores!$Q$10:$Q$509,1,Valores!$G$10:$G$509,"&gt;0")+COUNTIFS(Valores!$P$10:$P$509,A14,Valores!$Q$10:$Q$509,1,Valores!$G$10:$G$509,"=0",Valores!$G$10:$G$509,"&lt;&gt;")=0,"Não informado",SUMIFS(Valores!$G$10:$G$509,Valores!$P$10:$P$509,A14,Valores!$Q$10:$Q$509,1)))</f>
        <v>Não informado</v>
      </c>
    </row>
    <row r="15" spans="1:9" ht="27.95" customHeight="1">
      <c r="A15" s="6" t="str">
        <f>IF(OR(Configurar!A15="",COUNTIFS(Configurar!$A$10:A15,Configurar!A15)&gt;1),"",Configurar!A15)</f>
        <v>Brandão</v>
      </c>
      <c r="B15" s="6">
        <f>IF(A15="","",COUNTIFS(Processos!$D$10:$D$509,A15,Processos!$AL$10:$AL$509,1))</f>
        <v>2</v>
      </c>
      <c r="C15" s="6">
        <f>IF(A15="","",COUNTIFS(Processos!$D$10:$D$509,A15,Processos!$AL$10:$AL$509,1,Processos!$Y$10:$Y$509,1))</f>
        <v>0</v>
      </c>
      <c r="D15" s="6">
        <f ca="1">IF(A15="","",COUNTIFS(Processos!$D$10:$D$509,A15,Processos!$AL$10:$AL$509,1,Processos!$AD$10:$AD$509,1))</f>
        <v>2</v>
      </c>
      <c r="E15" s="10" t="str">
        <f>IF(A15="","",IF(COUNTIFS(Valores!$P$10:$P$509,A15,Valores!$Q$10:$Q$509,1,Valores!$B$10:$B$509,"&gt;0")+COUNTIFS(Valores!$P$10:$P$509,A15,Valores!$Q$10:$Q$509,1,Valores!$B$10:$B$509,"=0",Valores!$B$10:$B$509,"&lt;&gt;")=0,"Não informado",SUMIFS(Valores!$B$10:$B$509,Valores!$P$10:$P$509,A15,Valores!$Q$10:$Q$509,1)))</f>
        <v>Não informado</v>
      </c>
      <c r="F15" s="10" t="str">
        <f>IF(A15="","",IF(COUNTIFS(Valores!$P$10:$P$509,A15,Valores!$Q$10:$Q$509,1,Valores!$D$10:$D$509,"&gt;0")+COUNTIFS(Valores!$P$10:$P$509,A15,Valores!$Q$10:$Q$509,1,Valores!$D$10:$D$509,"=0",Valores!$D$10:$D$509,"&lt;&gt;")=0,"Não informado",SUMIFS(Valores!$D$10:$D$509,Valores!$P$10:$P$509,A15,Valores!$Q$10:$Q$509,1)))</f>
        <v>Não informado</v>
      </c>
      <c r="G15" s="10" t="str">
        <f>IF(A15="","",IF(COUNTIFS(Valores!$P$10:$P$509,A15,Valores!$Q$10:$Q$509,1,Valores!$G$10:$G$509,"&gt;0")+COUNTIFS(Valores!$P$10:$P$509,A15,Valores!$Q$10:$Q$509,1,Valores!$G$10:$G$509,"=0",Valores!$G$10:$G$509,"&lt;&gt;")=0,"Não informado",SUMIFS(Valores!$G$10:$G$509,Valores!$P$10:$P$509,A15,Valores!$Q$10:$Q$509,1)))</f>
        <v>Não informado</v>
      </c>
    </row>
    <row r="16" spans="1:9" ht="27.95" customHeight="1">
      <c r="A16" s="6" t="str">
        <f>IF(OR(Configurar!A16="",COUNTIFS(Configurar!$A$10:A16,Configurar!A16)&gt;1),"",Configurar!A16)</f>
        <v>Cavalcanti</v>
      </c>
      <c r="B16" s="6">
        <f>IF(A16="","",COUNTIFS(Processos!$D$10:$D$509,A16,Processos!$AL$10:$AL$509,1))</f>
        <v>3</v>
      </c>
      <c r="C16" s="6">
        <f>IF(A16="","",COUNTIFS(Processos!$D$10:$D$509,A16,Processos!$AL$10:$AL$509,1,Processos!$Y$10:$Y$509,1))</f>
        <v>0</v>
      </c>
      <c r="D16" s="6">
        <f ca="1">IF(A16="","",COUNTIFS(Processos!$D$10:$D$509,A16,Processos!$AL$10:$AL$509,1,Processos!$AD$10:$AD$509,1))</f>
        <v>2</v>
      </c>
      <c r="E16" s="10" t="str">
        <f>IF(A16="","",IF(COUNTIFS(Valores!$P$10:$P$509,A16,Valores!$Q$10:$Q$509,1,Valores!$B$10:$B$509,"&gt;0")+COUNTIFS(Valores!$P$10:$P$509,A16,Valores!$Q$10:$Q$509,1,Valores!$B$10:$B$509,"=0",Valores!$B$10:$B$509,"&lt;&gt;")=0,"Não informado",SUMIFS(Valores!$B$10:$B$509,Valores!$P$10:$P$509,A16,Valores!$Q$10:$Q$509,1)))</f>
        <v>Não informado</v>
      </c>
      <c r="F16" s="10" t="str">
        <f>IF(A16="","",IF(COUNTIFS(Valores!$P$10:$P$509,A16,Valores!$Q$10:$Q$509,1,Valores!$D$10:$D$509,"&gt;0")+COUNTIFS(Valores!$P$10:$P$509,A16,Valores!$Q$10:$Q$509,1,Valores!$D$10:$D$509,"=0",Valores!$D$10:$D$509,"&lt;&gt;")=0,"Não informado",SUMIFS(Valores!$D$10:$D$509,Valores!$P$10:$P$509,A16,Valores!$Q$10:$Q$509,1)))</f>
        <v>Não informado</v>
      </c>
      <c r="G16" s="10" t="str">
        <f>IF(A16="","",IF(COUNTIFS(Valores!$P$10:$P$509,A16,Valores!$Q$10:$Q$509,1,Valores!$G$10:$G$509,"&gt;0")+COUNTIFS(Valores!$P$10:$P$509,A16,Valores!$Q$10:$Q$509,1,Valores!$G$10:$G$509,"=0",Valores!$G$10:$G$509,"&lt;&gt;")=0,"Não informado",SUMIFS(Valores!$G$10:$G$509,Valores!$P$10:$P$509,A16,Valores!$Q$10:$Q$509,1)))</f>
        <v>Não informado</v>
      </c>
    </row>
    <row r="17" spans="1:9" ht="27.95" customHeight="1">
      <c r="A17" s="6" t="str">
        <f>IF(OR(Configurar!A17="",COUNTIFS(Configurar!$A$10:A17,Configurar!A17)&gt;1),"",Configurar!A17)</f>
        <v>Joaquim Carvalho</v>
      </c>
      <c r="B17" s="6">
        <f>IF(A17="","",COUNTIFS(Processos!$D$10:$D$509,A17,Processos!$AL$10:$AL$509,1))</f>
        <v>1</v>
      </c>
      <c r="C17" s="6">
        <f>IF(A17="","",COUNTIFS(Processos!$D$10:$D$509,A17,Processos!$AL$10:$AL$509,1,Processos!$Y$10:$Y$509,1))</f>
        <v>0</v>
      </c>
      <c r="D17" s="6">
        <f ca="1">IF(A17="","",COUNTIFS(Processos!$D$10:$D$509,A17,Processos!$AL$10:$AL$509,1,Processos!$AD$10:$AD$509,1))</f>
        <v>1</v>
      </c>
      <c r="E17" s="10" t="str">
        <f>IF(A17="","",IF(COUNTIFS(Valores!$P$10:$P$509,A17,Valores!$Q$10:$Q$509,1,Valores!$B$10:$B$509,"&gt;0")+COUNTIFS(Valores!$P$10:$P$509,A17,Valores!$Q$10:$Q$509,1,Valores!$B$10:$B$509,"=0",Valores!$B$10:$B$509,"&lt;&gt;")=0,"Não informado",SUMIFS(Valores!$B$10:$B$509,Valores!$P$10:$P$509,A17,Valores!$Q$10:$Q$509,1)))</f>
        <v>Não informado</v>
      </c>
      <c r="F17" s="10" t="str">
        <f>IF(A17="","",IF(COUNTIFS(Valores!$P$10:$P$509,A17,Valores!$Q$10:$Q$509,1,Valores!$D$10:$D$509,"&gt;0")+COUNTIFS(Valores!$P$10:$P$509,A17,Valores!$Q$10:$Q$509,1,Valores!$D$10:$D$509,"=0",Valores!$D$10:$D$509,"&lt;&gt;")=0,"Não informado",SUMIFS(Valores!$D$10:$D$509,Valores!$P$10:$P$509,A17,Valores!$Q$10:$Q$509,1)))</f>
        <v>Não informado</v>
      </c>
      <c r="G17" s="10" t="str">
        <f>IF(A17="","",IF(COUNTIFS(Valores!$P$10:$P$509,A17,Valores!$Q$10:$Q$509,1,Valores!$G$10:$G$509,"&gt;0")+COUNTIFS(Valores!$P$10:$P$509,A17,Valores!$Q$10:$Q$509,1,Valores!$G$10:$G$509,"=0",Valores!$G$10:$G$509,"&lt;&gt;")=0,"Não informado",SUMIFS(Valores!$G$10:$G$509,Valores!$P$10:$P$509,A17,Valores!$Q$10:$Q$509,1)))</f>
        <v>Não informado</v>
      </c>
    </row>
    <row r="18" spans="1:9" ht="27.95" customHeight="1">
      <c r="A18" s="6" t="str">
        <f>IF(OR(Configurar!A18="",COUNTIFS(Configurar!$A$10:A18,Configurar!A18)&gt;1),"",Configurar!A18)</f>
        <v>Sacha Calmon</v>
      </c>
      <c r="B18" s="6">
        <f>IF(A18="","",COUNTIFS(Processos!$D$10:$D$509,A18,Processos!$AL$10:$AL$509,1))</f>
        <v>2</v>
      </c>
      <c r="C18" s="6">
        <f>IF(A18="","",COUNTIFS(Processos!$D$10:$D$509,A18,Processos!$AL$10:$AL$509,1,Processos!$Y$10:$Y$509,1))</f>
        <v>1</v>
      </c>
      <c r="D18" s="6">
        <f ca="1">IF(A18="","",COUNTIFS(Processos!$D$10:$D$509,A18,Processos!$AL$10:$AL$509,1,Processos!$AD$10:$AD$509,1))</f>
        <v>2</v>
      </c>
      <c r="E18" s="10">
        <f>IF(A18="","",IF(COUNTIFS(Valores!$P$10:$P$509,A18,Valores!$Q$10:$Q$509,1,Valores!$B$10:$B$509,"&gt;0")+COUNTIFS(Valores!$P$10:$P$509,A18,Valores!$Q$10:$Q$509,1,Valores!$B$10:$B$509,"=0",Valores!$B$10:$B$509,"&lt;&gt;")=0,"Não informado",SUMIFS(Valores!$B$10:$B$509,Valores!$P$10:$P$509,A18,Valores!$Q$10:$Q$509,1)))</f>
        <v>28362468.460000001</v>
      </c>
      <c r="F18" s="10" t="str">
        <f>IF(A18="","",IF(COUNTIFS(Valores!$P$10:$P$509,A18,Valores!$Q$10:$Q$509,1,Valores!$D$10:$D$509,"&gt;0")+COUNTIFS(Valores!$P$10:$P$509,A18,Valores!$Q$10:$Q$509,1,Valores!$D$10:$D$509,"=0",Valores!$D$10:$D$509,"&lt;&gt;")=0,"Não informado",SUMIFS(Valores!$D$10:$D$509,Valores!$P$10:$P$509,A18,Valores!$Q$10:$Q$509,1)))</f>
        <v>Não informado</v>
      </c>
      <c r="G18" s="10" t="str">
        <f>IF(A18="","",IF(COUNTIFS(Valores!$P$10:$P$509,A18,Valores!$Q$10:$Q$509,1,Valores!$G$10:$G$509,"&gt;0")+COUNTIFS(Valores!$P$10:$P$509,A18,Valores!$Q$10:$Q$509,1,Valores!$G$10:$G$509,"=0",Valores!$G$10:$G$509,"&lt;&gt;")=0,"Não informado",SUMIFS(Valores!$G$10:$G$509,Valores!$P$10:$P$509,A18,Valores!$Q$10:$Q$509,1)))</f>
        <v>Não informado</v>
      </c>
    </row>
    <row r="19" spans="1:9" ht="27.95" customHeight="1">
      <c r="A19" s="6" t="str">
        <f>IF(OR(Configurar!A19="",COUNTIFS(Configurar!$A$10:A19,Configurar!A19)&gt;1),"",Configurar!A19)</f>
        <v>Frois</v>
      </c>
      <c r="B19" s="6">
        <f>IF(A19="","",COUNTIFS(Processos!$D$10:$D$509,A19,Processos!$AL$10:$AL$509,1))</f>
        <v>7</v>
      </c>
      <c r="C19" s="6">
        <f>IF(A19="","",COUNTIFS(Processos!$D$10:$D$509,A19,Processos!$AL$10:$AL$509,1,Processos!$Y$10:$Y$509,1))</f>
        <v>0</v>
      </c>
      <c r="D19" s="6">
        <f ca="1">IF(A19="","",COUNTIFS(Processos!$D$10:$D$509,A19,Processos!$AL$10:$AL$509,1,Processos!$AD$10:$AD$509,1))</f>
        <v>5</v>
      </c>
      <c r="E19" s="10">
        <f>IF(A19="","",IF(COUNTIFS(Valores!$P$10:$P$509,A19,Valores!$Q$10:$Q$509,1,Valores!$B$10:$B$509,"&gt;0")+COUNTIFS(Valores!$P$10:$P$509,A19,Valores!$Q$10:$Q$509,1,Valores!$B$10:$B$509,"=0",Valores!$B$10:$B$509,"&lt;&gt;")=0,"Não informado",SUMIFS(Valores!$B$10:$B$509,Valores!$P$10:$P$509,A19,Valores!$Q$10:$Q$509,1)))</f>
        <v>25158.79</v>
      </c>
      <c r="F19" s="10" t="str">
        <f>IF(A19="","",IF(COUNTIFS(Valores!$P$10:$P$509,A19,Valores!$Q$10:$Q$509,1,Valores!$D$10:$D$509,"&gt;0")+COUNTIFS(Valores!$P$10:$P$509,A19,Valores!$Q$10:$Q$509,1,Valores!$D$10:$D$509,"=0",Valores!$D$10:$D$509,"&lt;&gt;")=0,"Não informado",SUMIFS(Valores!$D$10:$D$509,Valores!$P$10:$P$509,A19,Valores!$Q$10:$Q$509,1)))</f>
        <v>Não informado</v>
      </c>
      <c r="G19" s="10" t="str">
        <f>IF(A19="","",IF(COUNTIFS(Valores!$P$10:$P$509,A19,Valores!$Q$10:$Q$509,1,Valores!$G$10:$G$509,"&gt;0")+COUNTIFS(Valores!$P$10:$P$509,A19,Valores!$Q$10:$Q$509,1,Valores!$G$10:$G$509,"=0",Valores!$G$10:$G$509,"&lt;&gt;")=0,"Não informado",SUMIFS(Valores!$G$10:$G$509,Valores!$P$10:$P$509,A19,Valores!$Q$10:$Q$509,1)))</f>
        <v>Não informado</v>
      </c>
    </row>
    <row r="20" spans="1:9" ht="27.95" customHeight="1">
      <c r="A20" s="6" t="str">
        <f>IF(OR(Configurar!A20="",COUNTIFS(Configurar!$A$10:A20,Configurar!A20)&gt;1),"",Configurar!A20)</f>
        <v>EHJC</v>
      </c>
      <c r="B20" s="6">
        <f>IF(A20="","",COUNTIFS(Processos!$D$10:$D$509,A20,Processos!$AL$10:$AL$509,1))</f>
        <v>1</v>
      </c>
      <c r="C20" s="6">
        <f>IF(A20="","",COUNTIFS(Processos!$D$10:$D$509,A20,Processos!$AL$10:$AL$509,1,Processos!$Y$10:$Y$509,1))</f>
        <v>0</v>
      </c>
      <c r="D20" s="6">
        <f ca="1">IF(A20="","",COUNTIFS(Processos!$D$10:$D$509,A20,Processos!$AL$10:$AL$509,1,Processos!$AD$10:$AD$509,1))</f>
        <v>1</v>
      </c>
      <c r="E20" s="10" t="str">
        <f>IF(A20="","",IF(COUNTIFS(Valores!$P$10:$P$509,A20,Valores!$Q$10:$Q$509,1,Valores!$B$10:$B$509,"&gt;0")+COUNTIFS(Valores!$P$10:$P$509,A20,Valores!$Q$10:$Q$509,1,Valores!$B$10:$B$509,"=0",Valores!$B$10:$B$509,"&lt;&gt;")=0,"Não informado",SUMIFS(Valores!$B$10:$B$509,Valores!$P$10:$P$509,A20,Valores!$Q$10:$Q$509,1)))</f>
        <v>Não informado</v>
      </c>
      <c r="F20" s="10" t="str">
        <f>IF(A20="","",IF(COUNTIFS(Valores!$P$10:$P$509,A20,Valores!$Q$10:$Q$509,1,Valores!$D$10:$D$509,"&gt;0")+COUNTIFS(Valores!$P$10:$P$509,A20,Valores!$Q$10:$Q$509,1,Valores!$D$10:$D$509,"=0",Valores!$D$10:$D$509,"&lt;&gt;")=0,"Não informado",SUMIFS(Valores!$D$10:$D$509,Valores!$P$10:$P$509,A20,Valores!$Q$10:$Q$509,1)))</f>
        <v>Não informado</v>
      </c>
      <c r="G20" s="10" t="str">
        <f>IF(A20="","",IF(COUNTIFS(Valores!$P$10:$P$509,A20,Valores!$Q$10:$Q$509,1,Valores!$G$10:$G$509,"&gt;0")+COUNTIFS(Valores!$P$10:$P$509,A20,Valores!$Q$10:$Q$509,1,Valores!$G$10:$G$509,"=0",Valores!$G$10:$G$509,"&lt;&gt;")=0,"Não informado",SUMIFS(Valores!$G$10:$G$509,Valores!$P$10:$P$509,A20,Valores!$Q$10:$Q$509,1)))</f>
        <v>Não informado</v>
      </c>
    </row>
    <row r="21" spans="1:9" ht="27.95" customHeight="1">
      <c r="A21" s="6" t="str">
        <f>IF(OR(Configurar!A21="",COUNTIFS(Configurar!$A$10:A21,Configurar!A21)&gt;1),"",Configurar!A21)</f>
        <v>Romanhol</v>
      </c>
      <c r="B21" s="6">
        <f>IF(A21="","",COUNTIFS(Processos!$D$10:$D$509,A21,Processos!$AL$10:$AL$509,1))</f>
        <v>1</v>
      </c>
      <c r="C21" s="6">
        <f>IF(A21="","",COUNTIFS(Processos!$D$10:$D$509,A21,Processos!$AL$10:$AL$509,1,Processos!$Y$10:$Y$509,1))</f>
        <v>0</v>
      </c>
      <c r="D21" s="6">
        <f ca="1">IF(A21="","",COUNTIFS(Processos!$D$10:$D$509,A21,Processos!$AL$10:$AL$509,1,Processos!$AD$10:$AD$509,1))</f>
        <v>1</v>
      </c>
      <c r="E21" s="10" t="str">
        <f>IF(A21="","",IF(COUNTIFS(Valores!$P$10:$P$509,A21,Valores!$Q$10:$Q$509,1,Valores!$B$10:$B$509,"&gt;0")+COUNTIFS(Valores!$P$10:$P$509,A21,Valores!$Q$10:$Q$509,1,Valores!$B$10:$B$509,"=0",Valores!$B$10:$B$509,"&lt;&gt;")=0,"Não informado",SUMIFS(Valores!$B$10:$B$509,Valores!$P$10:$P$509,A21,Valores!$Q$10:$Q$509,1)))</f>
        <v>Não informado</v>
      </c>
      <c r="F21" s="10" t="str">
        <f>IF(A21="","",IF(COUNTIFS(Valores!$P$10:$P$509,A21,Valores!$Q$10:$Q$509,1,Valores!$D$10:$D$509,"&gt;0")+COUNTIFS(Valores!$P$10:$P$509,A21,Valores!$Q$10:$Q$509,1,Valores!$D$10:$D$509,"=0",Valores!$D$10:$D$509,"&lt;&gt;")=0,"Não informado",SUMIFS(Valores!$D$10:$D$509,Valores!$P$10:$P$509,A21,Valores!$Q$10:$Q$509,1)))</f>
        <v>Não informado</v>
      </c>
      <c r="G21" s="10" t="str">
        <f>IF(A21="","",IF(COUNTIFS(Valores!$P$10:$P$509,A21,Valores!$Q$10:$Q$509,1,Valores!$G$10:$G$509,"&gt;0")+COUNTIFS(Valores!$P$10:$P$509,A21,Valores!$Q$10:$Q$509,1,Valores!$G$10:$G$509,"=0",Valores!$G$10:$G$509,"&lt;&gt;")=0,"Não informado",SUMIFS(Valores!$G$10:$G$509,Valores!$P$10:$P$509,A21,Valores!$Q$10:$Q$509,1)))</f>
        <v>Não informado</v>
      </c>
    </row>
    <row r="22" spans="1:9" ht="27.95" customHeight="1">
      <c r="A22" s="6" t="str">
        <f>IF(OR(Configurar!A22="",COUNTIFS(Configurar!$A$10:A22,Configurar!A22)&gt;1),"",Configurar!A22)</f>
        <v>Nazif</v>
      </c>
      <c r="B22" s="6">
        <f>IF(A22="","",COUNTIFS(Processos!$D$10:$D$509,A22,Processos!$AL$10:$AL$509,1))</f>
        <v>1</v>
      </c>
      <c r="C22" s="6">
        <f>IF(A22="","",COUNTIFS(Processos!$D$10:$D$509,A22,Processos!$AL$10:$AL$509,1,Processos!$Y$10:$Y$509,1))</f>
        <v>0</v>
      </c>
      <c r="D22" s="6">
        <f>IF(A22="","",COUNTIFS(Processos!$D$10:$D$509,A22,Processos!$AL$10:$AL$509,1,Processos!$AD$10:$AD$509,1))</f>
        <v>0</v>
      </c>
      <c r="E22" s="10" t="str">
        <f>IF(A22="","",IF(COUNTIFS(Valores!$P$10:$P$509,A22,Valores!$Q$10:$Q$509,1,Valores!$B$10:$B$509,"&gt;0")+COUNTIFS(Valores!$P$10:$P$509,A22,Valores!$Q$10:$Q$509,1,Valores!$B$10:$B$509,"=0",Valores!$B$10:$B$509,"&lt;&gt;")=0,"Não informado",SUMIFS(Valores!$B$10:$B$509,Valores!$P$10:$P$509,A22,Valores!$Q$10:$Q$509,1)))</f>
        <v>Não informado</v>
      </c>
      <c r="F22" s="10" t="str">
        <f>IF(A22="","",IF(COUNTIFS(Valores!$P$10:$P$509,A22,Valores!$Q$10:$Q$509,1,Valores!$D$10:$D$509,"&gt;0")+COUNTIFS(Valores!$P$10:$P$509,A22,Valores!$Q$10:$Q$509,1,Valores!$D$10:$D$509,"=0",Valores!$D$10:$D$509,"&lt;&gt;")=0,"Não informado",SUMIFS(Valores!$D$10:$D$509,Valores!$P$10:$P$509,A22,Valores!$Q$10:$Q$509,1)))</f>
        <v>Não informado</v>
      </c>
      <c r="G22" s="10" t="str">
        <f>IF(A22="","",IF(COUNTIFS(Valores!$P$10:$P$509,A22,Valores!$Q$10:$Q$509,1,Valores!$G$10:$G$509,"&gt;0")+COUNTIFS(Valores!$P$10:$P$509,A22,Valores!$Q$10:$Q$509,1,Valores!$G$10:$G$509,"=0",Valores!$G$10:$G$509,"&lt;&gt;")=0,"Não informado",SUMIFS(Valores!$G$10:$G$509,Valores!$P$10:$P$509,A22,Valores!$Q$10:$Q$509,1)))</f>
        <v>Não informado</v>
      </c>
    </row>
    <row r="23" spans="1:9" ht="27.95" customHeight="1">
      <c r="A23" s="6" t="str">
        <f>IF(OR(Configurar!A23="",COUNTIFS(Configurar!$A$10:A23,Configurar!A23)&gt;1),"",Configurar!A23)</f>
        <v>Raimundo</v>
      </c>
      <c r="B23" s="6">
        <f>IF(A23="","",COUNTIFS(Processos!$D$10:$D$509,A23,Processos!$AL$10:$AL$509,1))</f>
        <v>1</v>
      </c>
      <c r="C23" s="6">
        <f>IF(A23="","",COUNTIFS(Processos!$D$10:$D$509,A23,Processos!$AL$10:$AL$509,1,Processos!$Y$10:$Y$509,1))</f>
        <v>0</v>
      </c>
      <c r="D23" s="6">
        <f>IF(A23="","",COUNTIFS(Processos!$D$10:$D$509,A23,Processos!$AL$10:$AL$509,1,Processos!$AD$10:$AD$509,1))</f>
        <v>0</v>
      </c>
      <c r="E23" s="10" t="str">
        <f>IF(A23="","",IF(COUNTIFS(Valores!$P$10:$P$509,A23,Valores!$Q$10:$Q$509,1,Valores!$B$10:$B$509,"&gt;0")+COUNTIFS(Valores!$P$10:$P$509,A23,Valores!$Q$10:$Q$509,1,Valores!$B$10:$B$509,"=0",Valores!$B$10:$B$509,"&lt;&gt;")=0,"Não informado",SUMIFS(Valores!$B$10:$B$509,Valores!$P$10:$P$509,A23,Valores!$Q$10:$Q$509,1)))</f>
        <v>Não informado</v>
      </c>
      <c r="F23" s="10" t="str">
        <f>IF(A23="","",IF(COUNTIFS(Valores!$P$10:$P$509,A23,Valores!$Q$10:$Q$509,1,Valores!$D$10:$D$509,"&gt;0")+COUNTIFS(Valores!$P$10:$P$509,A23,Valores!$Q$10:$Q$509,1,Valores!$D$10:$D$509,"=0",Valores!$D$10:$D$509,"&lt;&gt;")=0,"Não informado",SUMIFS(Valores!$D$10:$D$509,Valores!$P$10:$P$509,A23,Valores!$Q$10:$Q$509,1)))</f>
        <v>Não informado</v>
      </c>
      <c r="G23" s="10" t="str">
        <f>IF(A23="","",IF(COUNTIFS(Valores!$P$10:$P$509,A23,Valores!$Q$10:$Q$509,1,Valores!$G$10:$G$509,"&gt;0")+COUNTIFS(Valores!$P$10:$P$509,A23,Valores!$Q$10:$Q$509,1,Valores!$G$10:$G$509,"=0",Valores!$G$10:$G$509,"&lt;&gt;")=0,"Não informado",SUMIFS(Valores!$G$10:$G$509,Valores!$P$10:$P$509,A23,Valores!$Q$10:$Q$509,1)))</f>
        <v>Não informado</v>
      </c>
    </row>
    <row r="24" spans="1:9" ht="27.95" customHeight="1">
      <c r="A24" s="6" t="str">
        <f>IF(OR(Configurar!A24="",COUNTIFS(Configurar!$A$10:A24,Configurar!A24)&gt;1),"",Configurar!A24)</f>
        <v/>
      </c>
      <c r="B24" s="6" t="str">
        <f>IF(A24="","",COUNTIFS(Processos!$D$10:$D$509,A24,Processos!$AL$10:$AL$509,1))</f>
        <v/>
      </c>
      <c r="C24" s="6" t="str">
        <f>IF(A24="","",COUNTIFS(Processos!$D$10:$D$509,A24,Processos!$AL$10:$AL$509,1,Processos!$Y$10:$Y$509,1))</f>
        <v/>
      </c>
      <c r="D24" s="6" t="str">
        <f>IF(A24="","",COUNTIFS(Processos!$D$10:$D$509,A24,Processos!$AL$10:$AL$509,1,Processos!$AD$10:$AD$509,1))</f>
        <v/>
      </c>
      <c r="E24" s="10" t="str">
        <f>IF(A24="","",IF(COUNTIFS(Valores!$P$10:$P$509,A24,Valores!$Q$10:$Q$509,1,Valores!$B$10:$B$509,"&gt;0")+COUNTIFS(Valores!$P$10:$P$509,A24,Valores!$Q$10:$Q$509,1,Valores!$B$10:$B$509,"=0",Valores!$B$10:$B$509,"&lt;&gt;")=0,"Não informado",SUMIFS(Valores!$B$10:$B$509,Valores!$P$10:$P$509,A24,Valores!$Q$10:$Q$509,1)))</f>
        <v/>
      </c>
      <c r="F24" s="10" t="str">
        <f>IF(A24="","",IF(COUNTIFS(Valores!$P$10:$P$509,A24,Valores!$Q$10:$Q$509,1,Valores!$D$10:$D$509,"&gt;0")+COUNTIFS(Valores!$P$10:$P$509,A24,Valores!$Q$10:$Q$509,1,Valores!$D$10:$D$509,"=0",Valores!$D$10:$D$509,"&lt;&gt;")=0,"Não informado",SUMIFS(Valores!$D$10:$D$509,Valores!$P$10:$P$509,A24,Valores!$Q$10:$Q$509,1)))</f>
        <v/>
      </c>
      <c r="G24" s="10" t="str">
        <f>IF(A24="","",IF(COUNTIFS(Valores!$P$10:$P$509,A24,Valores!$Q$10:$Q$509,1,Valores!$G$10:$G$509,"&gt;0")+COUNTIFS(Valores!$P$10:$P$509,A24,Valores!$Q$10:$Q$509,1,Valores!$G$10:$G$509,"=0",Valores!$G$10:$G$509,"&lt;&gt;")=0,"Não informado",SUMIFS(Valores!$G$10:$G$509,Valores!$P$10:$P$509,A24,Valores!$Q$10:$Q$509,1)))</f>
        <v/>
      </c>
    </row>
    <row r="25" spans="1:9" ht="27.95" customHeight="1">
      <c r="A25" s="6" t="str">
        <f>IF(OR(Configurar!A25="",COUNTIFS(Configurar!$A$10:A25,Configurar!A25)&gt;1),"",Configurar!A25)</f>
        <v/>
      </c>
      <c r="B25" s="6" t="str">
        <f>IF(A25="","",COUNTIFS(Processos!$D$10:$D$509,A25,Processos!$AL$10:$AL$509,1))</f>
        <v/>
      </c>
      <c r="C25" s="6" t="str">
        <f>IF(A25="","",COUNTIFS(Processos!$D$10:$D$509,A25,Processos!$AL$10:$AL$509,1,Processos!$Y$10:$Y$509,1))</f>
        <v/>
      </c>
      <c r="D25" s="6" t="str">
        <f>IF(A25="","",COUNTIFS(Processos!$D$10:$D$509,A25,Processos!$AL$10:$AL$509,1,Processos!$AD$10:$AD$509,1))</f>
        <v/>
      </c>
      <c r="E25" s="10" t="str">
        <f>IF(A25="","",IF(COUNTIFS(Valores!$P$10:$P$509,A25,Valores!$Q$10:$Q$509,1,Valores!$B$10:$B$509,"&gt;0")+COUNTIFS(Valores!$P$10:$P$509,A25,Valores!$Q$10:$Q$509,1,Valores!$B$10:$B$509,"=0",Valores!$B$10:$B$509,"&lt;&gt;")=0,"Não informado",SUMIFS(Valores!$B$10:$B$509,Valores!$P$10:$P$509,A25,Valores!$Q$10:$Q$509,1)))</f>
        <v/>
      </c>
      <c r="F25" s="10" t="str">
        <f>IF(A25="","",IF(COUNTIFS(Valores!$P$10:$P$509,A25,Valores!$Q$10:$Q$509,1,Valores!$D$10:$D$509,"&gt;0")+COUNTIFS(Valores!$P$10:$P$509,A25,Valores!$Q$10:$Q$509,1,Valores!$D$10:$D$509,"=0",Valores!$D$10:$D$509,"&lt;&gt;")=0,"Não informado",SUMIFS(Valores!$D$10:$D$509,Valores!$P$10:$P$509,A25,Valores!$Q$10:$Q$509,1)))</f>
        <v/>
      </c>
      <c r="G25" s="10" t="str">
        <f>IF(A25="","",IF(COUNTIFS(Valores!$P$10:$P$509,A25,Valores!$Q$10:$Q$509,1,Valores!$G$10:$G$509,"&gt;0")+COUNTIFS(Valores!$P$10:$P$509,A25,Valores!$Q$10:$Q$509,1,Valores!$G$10:$G$509,"=0",Valores!$G$10:$G$509,"&lt;&gt;")=0,"Não informado",SUMIFS(Valores!$G$10:$G$509,Valores!$P$10:$P$509,A25,Valores!$Q$10:$Q$509,1)))</f>
        <v/>
      </c>
    </row>
    <row r="26" spans="1:9" ht="27.95" customHeight="1">
      <c r="A26" s="6" t="str">
        <f>IF(OR(Configurar!A26="",COUNTIFS(Configurar!$A$10:A26,Configurar!A26)&gt;1),"",Configurar!A26)</f>
        <v/>
      </c>
      <c r="B26" s="6" t="str">
        <f>IF(A26="","",COUNTIFS(Processos!$D$10:$D$509,A26,Processos!$AL$10:$AL$509,1))</f>
        <v/>
      </c>
      <c r="C26" s="6" t="str">
        <f>IF(A26="","",COUNTIFS(Processos!$D$10:$D$509,A26,Processos!$AL$10:$AL$509,1,Processos!$Y$10:$Y$509,1))</f>
        <v/>
      </c>
      <c r="D26" s="6" t="str">
        <f>IF(A26="","",COUNTIFS(Processos!$D$10:$D$509,A26,Processos!$AL$10:$AL$509,1,Processos!$AD$10:$AD$509,1))</f>
        <v/>
      </c>
      <c r="E26" s="10" t="str">
        <f>IF(A26="","",IF(COUNTIFS(Valores!$P$10:$P$509,A26,Valores!$Q$10:$Q$509,1,Valores!$B$10:$B$509,"&gt;0")+COUNTIFS(Valores!$P$10:$P$509,A26,Valores!$Q$10:$Q$509,1,Valores!$B$10:$B$509,"=0",Valores!$B$10:$B$509,"&lt;&gt;")=0,"Não informado",SUMIFS(Valores!$B$10:$B$509,Valores!$P$10:$P$509,A26,Valores!$Q$10:$Q$509,1)))</f>
        <v/>
      </c>
      <c r="F26" s="10" t="str">
        <f>IF(A26="","",IF(COUNTIFS(Valores!$P$10:$P$509,A26,Valores!$Q$10:$Q$509,1,Valores!$D$10:$D$509,"&gt;0")+COUNTIFS(Valores!$P$10:$P$509,A26,Valores!$Q$10:$Q$509,1,Valores!$D$10:$D$509,"=0",Valores!$D$10:$D$509,"&lt;&gt;")=0,"Não informado",SUMIFS(Valores!$D$10:$D$509,Valores!$P$10:$P$509,A26,Valores!$Q$10:$Q$509,1)))</f>
        <v/>
      </c>
      <c r="G26" s="10" t="str">
        <f>IF(A26="","",IF(COUNTIFS(Valores!$P$10:$P$509,A26,Valores!$Q$10:$Q$509,1,Valores!$G$10:$G$509,"&gt;0")+COUNTIFS(Valores!$P$10:$P$509,A26,Valores!$Q$10:$Q$509,1,Valores!$G$10:$G$509,"=0",Valores!$G$10:$G$509,"&lt;&gt;")=0,"Não informado",SUMIFS(Valores!$G$10:$G$509,Valores!$P$10:$P$509,A26,Valores!$Q$10:$Q$509,1)))</f>
        <v/>
      </c>
    </row>
    <row r="27" spans="1:9" ht="27.95" customHeight="1">
      <c r="A27" s="6" t="str">
        <f>IF(OR(Configurar!A27="",COUNTIFS(Configurar!$A$10:A27,Configurar!A27)&gt;1),"",Configurar!A27)</f>
        <v/>
      </c>
      <c r="B27" s="6" t="str">
        <f>IF(A27="","",COUNTIFS(Processos!$D$10:$D$509,A27,Processos!$AL$10:$AL$509,1))</f>
        <v/>
      </c>
      <c r="C27" s="6" t="str">
        <f>IF(A27="","",COUNTIFS(Processos!$D$10:$D$509,A27,Processos!$AL$10:$AL$509,1,Processos!$Y$10:$Y$509,1))</f>
        <v/>
      </c>
      <c r="D27" s="6" t="str">
        <f>IF(A27="","",COUNTIFS(Processos!$D$10:$D$509,A27,Processos!$AL$10:$AL$509,1,Processos!$AD$10:$AD$509,1))</f>
        <v/>
      </c>
      <c r="E27" s="10" t="str">
        <f>IF(A27="","",IF(COUNTIFS(Valores!$P$10:$P$509,A27,Valores!$Q$10:$Q$509,1,Valores!$B$10:$B$509,"&gt;0")+COUNTIFS(Valores!$P$10:$P$509,A27,Valores!$Q$10:$Q$509,1,Valores!$B$10:$B$509,"=0",Valores!$B$10:$B$509,"&lt;&gt;")=0,"Não informado",SUMIFS(Valores!$B$10:$B$509,Valores!$P$10:$P$509,A27,Valores!$Q$10:$Q$509,1)))</f>
        <v/>
      </c>
      <c r="F27" s="10" t="str">
        <f>IF(A27="","",IF(COUNTIFS(Valores!$P$10:$P$509,A27,Valores!$Q$10:$Q$509,1,Valores!$D$10:$D$509,"&gt;0")+COUNTIFS(Valores!$P$10:$P$509,A27,Valores!$Q$10:$Q$509,1,Valores!$D$10:$D$509,"=0",Valores!$D$10:$D$509,"&lt;&gt;")=0,"Não informado",SUMIFS(Valores!$D$10:$D$509,Valores!$P$10:$P$509,A27,Valores!$Q$10:$Q$509,1)))</f>
        <v/>
      </c>
      <c r="G27" s="10" t="str">
        <f>IF(A27="","",IF(COUNTIFS(Valores!$P$10:$P$509,A27,Valores!$Q$10:$Q$509,1,Valores!$G$10:$G$509,"&gt;0")+COUNTIFS(Valores!$P$10:$P$509,A27,Valores!$Q$10:$Q$509,1,Valores!$G$10:$G$509,"=0",Valores!$G$10:$G$509,"&lt;&gt;")=0,"Não informado",SUMIFS(Valores!$G$10:$G$509,Valores!$P$10:$P$509,A27,Valores!$Q$10:$Q$509,1)))</f>
        <v/>
      </c>
    </row>
    <row r="28" spans="1:9" ht="27.95" customHeight="1">
      <c r="A28" s="6" t="str">
        <f>IF(OR(Configurar!A28="",COUNTIFS(Configurar!$A$10:A28,Configurar!A28)&gt;1),"",Configurar!A28)</f>
        <v/>
      </c>
      <c r="B28" s="6" t="str">
        <f>IF(A28="","",COUNTIFS(Processos!$D$10:$D$509,A28,Processos!$AL$10:$AL$509,1))</f>
        <v/>
      </c>
      <c r="C28" s="6" t="str">
        <f>IF(A28="","",COUNTIFS(Processos!$D$10:$D$509,A28,Processos!$AL$10:$AL$509,1,Processos!$Y$10:$Y$509,1))</f>
        <v/>
      </c>
      <c r="D28" s="6" t="str">
        <f>IF(A28="","",COUNTIFS(Processos!$D$10:$D$509,A28,Processos!$AL$10:$AL$509,1,Processos!$AD$10:$AD$509,1))</f>
        <v/>
      </c>
      <c r="E28" s="10" t="str">
        <f>IF(A28="","",IF(COUNTIFS(Valores!$P$10:$P$509,A28,Valores!$Q$10:$Q$509,1,Valores!$B$10:$B$509,"&gt;0")+COUNTIFS(Valores!$P$10:$P$509,A28,Valores!$Q$10:$Q$509,1,Valores!$B$10:$B$509,"=0",Valores!$B$10:$B$509,"&lt;&gt;")=0,"Não informado",SUMIFS(Valores!$B$10:$B$509,Valores!$P$10:$P$509,A28,Valores!$Q$10:$Q$509,1)))</f>
        <v/>
      </c>
      <c r="F28" s="10" t="str">
        <f>IF(A28="","",IF(COUNTIFS(Valores!$P$10:$P$509,A28,Valores!$Q$10:$Q$509,1,Valores!$D$10:$D$509,"&gt;0")+COUNTIFS(Valores!$P$10:$P$509,A28,Valores!$Q$10:$Q$509,1,Valores!$D$10:$D$509,"=0",Valores!$D$10:$D$509,"&lt;&gt;")=0,"Não informado",SUMIFS(Valores!$D$10:$D$509,Valores!$P$10:$P$509,A28,Valores!$Q$10:$Q$509,1)))</f>
        <v/>
      </c>
      <c r="G28" s="10" t="str">
        <f>IF(A28="","",IF(COUNTIFS(Valores!$P$10:$P$509,A28,Valores!$Q$10:$Q$509,1,Valores!$G$10:$G$509,"&gt;0")+COUNTIFS(Valores!$P$10:$P$509,A28,Valores!$Q$10:$Q$509,1,Valores!$G$10:$G$509,"=0",Valores!$G$10:$G$509,"&lt;&gt;")=0,"Não informado",SUMIFS(Valores!$G$10:$G$509,Valores!$P$10:$P$509,A28,Valores!$Q$10:$Q$509,1)))</f>
        <v/>
      </c>
    </row>
    <row r="29" spans="1:9" ht="27.95" customHeight="1">
      <c r="A29" s="6" t="str">
        <f>IF(OR(Configurar!A29="",COUNTIFS(Configurar!$A$10:A29,Configurar!A29)&gt;1),"",Configurar!A29)</f>
        <v/>
      </c>
      <c r="B29" s="6" t="str">
        <f>IF(A29="","",COUNTIFS(Processos!$D$10:$D$509,A29,Processos!$AL$10:$AL$509,1))</f>
        <v/>
      </c>
      <c r="C29" s="6" t="str">
        <f>IF(A29="","",COUNTIFS(Processos!$D$10:$D$509,A29,Processos!$AL$10:$AL$509,1,Processos!$Y$10:$Y$509,1))</f>
        <v/>
      </c>
      <c r="D29" s="6" t="str">
        <f>IF(A29="","",COUNTIFS(Processos!$D$10:$D$509,A29,Processos!$AL$10:$AL$509,1,Processos!$AD$10:$AD$509,1))</f>
        <v/>
      </c>
      <c r="E29" s="10" t="str">
        <f>IF(A29="","",IF(COUNTIFS(Valores!$P$10:$P$509,A29,Valores!$Q$10:$Q$509,1,Valores!$B$10:$B$509,"&gt;0")+COUNTIFS(Valores!$P$10:$P$509,A29,Valores!$Q$10:$Q$509,1,Valores!$B$10:$B$509,"=0",Valores!$B$10:$B$509,"&lt;&gt;")=0,"Não informado",SUMIFS(Valores!$B$10:$B$509,Valores!$P$10:$P$509,A29,Valores!$Q$10:$Q$509,1)))</f>
        <v/>
      </c>
      <c r="F29" s="10" t="str">
        <f>IF(A29="","",IF(COUNTIFS(Valores!$P$10:$P$509,A29,Valores!$Q$10:$Q$509,1,Valores!$D$10:$D$509,"&gt;0")+COUNTIFS(Valores!$P$10:$P$509,A29,Valores!$Q$10:$Q$509,1,Valores!$D$10:$D$509,"=0",Valores!$D$10:$D$509,"&lt;&gt;")=0,"Não informado",SUMIFS(Valores!$D$10:$D$509,Valores!$P$10:$P$509,A29,Valores!$Q$10:$Q$509,1)))</f>
        <v/>
      </c>
      <c r="G29" s="10" t="str">
        <f>IF(A29="","",IF(COUNTIFS(Valores!$P$10:$P$509,A29,Valores!$Q$10:$Q$509,1,Valores!$G$10:$G$509,"&gt;0")+COUNTIFS(Valores!$P$10:$P$509,A29,Valores!$Q$10:$Q$509,1,Valores!$G$10:$G$509,"=0",Valores!$G$10:$G$509,"&lt;&gt;")=0,"Não informado",SUMIFS(Valores!$G$10:$G$509,Valores!$P$10:$P$509,A29,Valores!$Q$10:$Q$509,1)))</f>
        <v/>
      </c>
    </row>
    <row r="30" spans="1:9" ht="27.95" customHeight="1">
      <c r="A30" s="6"/>
      <c r="B30" s="6"/>
      <c r="C30" s="6"/>
      <c r="D30" s="6"/>
      <c r="E30" s="6"/>
      <c r="F30" s="6"/>
      <c r="G30" s="6"/>
    </row>
    <row r="31" spans="1:9" ht="27.95" customHeight="1">
      <c r="A31" s="125" t="s">
        <v>100</v>
      </c>
      <c r="B31" s="125"/>
      <c r="C31" s="125"/>
      <c r="D31" s="125"/>
      <c r="E31" s="125"/>
      <c r="F31" s="125"/>
      <c r="G31" s="125"/>
      <c r="H31" s="125"/>
      <c r="I31" s="125"/>
    </row>
    <row r="32" spans="1:9" ht="27.95" customHeight="1">
      <c r="A32" s="6"/>
      <c r="B32" s="6"/>
      <c r="C32" s="6"/>
      <c r="D32" s="6"/>
      <c r="E32" s="6"/>
      <c r="F32" s="6"/>
      <c r="G32" s="6"/>
      <c r="H32" s="6"/>
      <c r="I32" s="6"/>
    </row>
    <row r="33" spans="1:10" ht="27.95" customHeight="1">
      <c r="A33" s="63" t="s">
        <v>101</v>
      </c>
      <c r="B33" s="63"/>
      <c r="C33" s="63"/>
      <c r="D33" s="63"/>
      <c r="E33" s="63"/>
      <c r="F33" s="63"/>
      <c r="G33" s="63"/>
      <c r="H33" s="63"/>
      <c r="I33" s="63"/>
    </row>
    <row r="34" spans="1:10" ht="27.95" customHeight="1">
      <c r="A34" s="88" t="s">
        <v>102</v>
      </c>
      <c r="B34" s="88"/>
      <c r="C34" s="88"/>
      <c r="D34" s="88"/>
      <c r="E34" s="88"/>
      <c r="F34" s="88"/>
      <c r="G34" s="88"/>
      <c r="H34" s="88"/>
      <c r="I34" s="88"/>
    </row>
    <row r="35" spans="1:10" ht="27.95" customHeight="1">
      <c r="A35" s="6"/>
      <c r="B35" s="6"/>
      <c r="C35" s="6" t="s">
        <v>86</v>
      </c>
      <c r="D35" s="6">
        <v>1</v>
      </c>
      <c r="E35" s="6"/>
      <c r="F35" s="6"/>
      <c r="I35" s="24">
        <f>MAX(1,ROUNDUP(COUNTIFS(Processos!$X$10:$X$509,1)/200,0))</f>
        <v>1</v>
      </c>
      <c r="J35" s="25">
        <f>MAX(1,MIN(IFERROR(INT(D35),1),I35))</f>
        <v>1</v>
      </c>
    </row>
    <row r="36" spans="1:10" ht="39.950000000000003" customHeight="1">
      <c r="A36" s="9" t="s">
        <v>73</v>
      </c>
      <c r="B36" s="9" t="s">
        <v>103</v>
      </c>
      <c r="C36" s="9" t="s">
        <v>88</v>
      </c>
      <c r="D36" s="9" t="s">
        <v>91</v>
      </c>
      <c r="E36" s="9" t="s">
        <v>104</v>
      </c>
      <c r="F36" s="9" t="s">
        <v>105</v>
      </c>
      <c r="G36" s="9" t="s">
        <v>87</v>
      </c>
    </row>
    <row r="37" spans="1:10" ht="72" customHeight="1">
      <c r="A37" s="7" t="str">
        <f>IF((ROW()-36+($J$35-1)*200)&gt;COUNTIFS(Processos!$X$10:$X$509,1),"",IF(INDEX(Processos!$A$10:$A$509,MATCH((ROW()-36+($J$35-1)*200),Processos!$AK$10:$AK$509,0))="","",INDEX(Processos!$A$10:$A$509,MATCH((ROW()-36+($J$35-1)*200),Processos!$AK$10:$AK$509,0))))</f>
        <v>0000365-30.2017.5.14.0071</v>
      </c>
      <c r="B37" s="6" t="str">
        <f>IF((ROW()-36+($J$35-1)*200)&gt;COUNTIFS(Processos!$X$10:$X$509,1),"",IF(INDEX(Processos!$C$10:$C$509,MATCH((ROW()-36+($J$35-1)*200),Processos!$AK$10:$AK$509,0))="","",INDEX(Processos!$C$10:$C$509,MATCH((ROW()-36+($J$35-1)*200),Processos!$AK$10:$AK$509,0))))</f>
        <v>Suspenso</v>
      </c>
      <c r="C37"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ELEANDRO VIEIRA DE ARAUJO × ALTA</v>
      </c>
      <c r="D37" s="10">
        <f>IF((ROW()-36+($J$35-1)*200)&gt;COUNTIFS(Processos!$X$10:$X$509,1),"",IF(INDEX(Processos!$AQ$10:$AQ$509,MATCH((ROW()-36+($J$35-1)*200),Processos!$AK$10:$AK$509,0))="","",INDEX(Processos!$AQ$10:$AQ$509,MATCH((ROW()-36+($J$35-1)*200),Processos!$AK$10:$AK$509,0))))</f>
        <v>50000</v>
      </c>
      <c r="E37" s="8">
        <f>IF((ROW()-36+($J$35-1)*200)&gt;COUNTIFS(Processos!$X$10:$X$509,1),"",IF(INDEX(Processos!$Z$10:$Z$509,MATCH((ROW()-36+($J$35-1)*200),Processos!$AK$10:$AK$509,0))="","",INDEX(Processos!$Z$10:$Z$509,MATCH((ROW()-36+($J$35-1)*200),Processos!$AK$10:$AK$509,0))))</f>
        <v>46055</v>
      </c>
      <c r="F37" s="6" t="str">
        <f>IF((ROW()-36+($J$35-1)*200)&gt;COUNTIFS(Processos!$X$10:$X$509,1),"",IF(IF(INDEX(Processos!$Y$10:$Y$509,MATCH((ROW()-36+($J$35-1)*200),Processos!$AK$10:$AK$509,0))=1,"Sim","Não")="","",IF(INDEX(Processos!$Y$10:$Y$509,MATCH((ROW()-36+($J$35-1)*200),Processos!$AK$10:$AK$509,0))=1,"Sim","Não")))</f>
        <v>Não</v>
      </c>
      <c r="G37" s="6" t="str">
        <f>IF((ROW()-36+($J$35-1)*200)&gt;COUNTIFS(Processos!$X$10:$X$509,1),"",IF(INDEX(Processos!$D$10:$D$509,MATCH((ROW()-36+($J$35-1)*200),Processos!$AK$10:$AK$509,0))="","",INDEX(Processos!$D$10:$D$509,MATCH((ROW()-36+($J$35-1)*200),Processos!$AK$10:$AK$509,0))))</f>
        <v>BMM Advogados</v>
      </c>
    </row>
    <row r="38" spans="1:10" ht="72" customHeight="1">
      <c r="A38" s="7" t="str">
        <f>IF((ROW()-36+($J$35-1)*200)&gt;COUNTIFS(Processos!$X$10:$X$509,1),"",IF(INDEX(Processos!$A$10:$A$509,MATCH((ROW()-36+($J$35-1)*200),Processos!$AK$10:$AK$509,0))="","",INDEX(Processos!$A$10:$A$509,MATCH((ROW()-36+($J$35-1)*200),Processos!$AK$10:$AK$509,0))))</f>
        <v>0010045-55.2019.5.18.0201</v>
      </c>
      <c r="B38" s="6" t="str">
        <f>IF((ROW()-36+($J$35-1)*200)&gt;COUNTIFS(Processos!$X$10:$X$509,1),"",IF(INDEX(Processos!$C$10:$C$509,MATCH((ROW()-36+($J$35-1)*200),Processos!$AK$10:$AK$509,0))="","",INDEX(Processos!$C$10:$C$509,MATCH((ROW()-36+($J$35-1)*200),Processos!$AK$10:$AK$509,0))))</f>
        <v>Arquivado</v>
      </c>
      <c r="C38"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PAULO CESAR DE FREITAS × 1 - Consórcio Trail-Spavias-Alta 2 - Trail Infraestrutura LTDA 3 - Spavias  [...]</v>
      </c>
      <c r="D38" s="10">
        <f>IF((ROW()-36+($J$35-1)*200)&gt;COUNTIFS(Processos!$X$10:$X$509,1),"",IF(INDEX(Processos!$AQ$10:$AQ$509,MATCH((ROW()-36+($J$35-1)*200),Processos!$AK$10:$AK$509,0))="","",INDEX(Processos!$AQ$10:$AQ$509,MATCH((ROW()-36+($J$35-1)*200),Processos!$AK$10:$AK$509,0))))</f>
        <v>125064.62</v>
      </c>
      <c r="E38" s="8">
        <f>IF((ROW()-36+($J$35-1)*200)&gt;COUNTIFS(Processos!$X$10:$X$509,1),"",IF(INDEX(Processos!$Z$10:$Z$509,MATCH((ROW()-36+($J$35-1)*200),Processos!$AK$10:$AK$509,0))="","",INDEX(Processos!$Z$10:$Z$509,MATCH((ROW()-36+($J$35-1)*200),Processos!$AK$10:$AK$509,0))))</f>
        <v>45512</v>
      </c>
      <c r="F38" s="6" t="str">
        <f>IF((ROW()-36+($J$35-1)*200)&gt;COUNTIFS(Processos!$X$10:$X$509,1),"",IF(IF(INDEX(Processos!$Y$10:$Y$509,MATCH((ROW()-36+($J$35-1)*200),Processos!$AK$10:$AK$509,0))=1,"Sim","Não")="","",IF(INDEX(Processos!$Y$10:$Y$509,MATCH((ROW()-36+($J$35-1)*200),Processos!$AK$10:$AK$509,0))=1,"Sim","Não")))</f>
        <v>Não</v>
      </c>
      <c r="G38" s="6" t="str">
        <f>IF((ROW()-36+($J$35-1)*200)&gt;COUNTIFS(Processos!$X$10:$X$509,1),"",IF(INDEX(Processos!$D$10:$D$509,MATCH((ROW()-36+($J$35-1)*200),Processos!$AK$10:$AK$509,0))="","",INDEX(Processos!$D$10:$D$509,MATCH((ROW()-36+($J$35-1)*200),Processos!$AK$10:$AK$509,0))))</f>
        <v>BMM Advogados</v>
      </c>
    </row>
    <row r="39" spans="1:10" ht="72" customHeight="1">
      <c r="A39" s="7" t="str">
        <f>IF((ROW()-36+($J$35-1)*200)&gt;COUNTIFS(Processos!$X$10:$X$509,1),"",IF(INDEX(Processos!$A$10:$A$509,MATCH((ROW()-36+($J$35-1)*200),Processos!$AK$10:$AK$509,0))="","",INDEX(Processos!$A$10:$A$509,MATCH((ROW()-36+($J$35-1)*200),Processos!$AK$10:$AK$509,0))))</f>
        <v>0011340-98.2017.5.18.0104</v>
      </c>
      <c r="B39" s="6" t="str">
        <f>IF((ROW()-36+($J$35-1)*200)&gt;COUNTIFS(Processos!$X$10:$X$509,1),"",IF(INDEX(Processos!$C$10:$C$509,MATCH((ROW()-36+($J$35-1)*200),Processos!$AK$10:$AK$509,0))="","",INDEX(Processos!$C$10:$C$509,MATCH((ROW()-36+($J$35-1)*200),Processos!$AK$10:$AK$509,0))))</f>
        <v>Arquivado</v>
      </c>
      <c r="C39"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JURANDIR BUENO TEIXEIRA × CONSÓRCIO INTEGRAL SPAVIAS TRAIL ALTA</v>
      </c>
      <c r="D39" s="10">
        <f>IF((ROW()-36+($J$35-1)*200)&gt;COUNTIFS(Processos!$X$10:$X$509,1),"",IF(INDEX(Processos!$AQ$10:$AQ$509,MATCH((ROW()-36+($J$35-1)*200),Processos!$AK$10:$AK$509,0))="","",INDEX(Processos!$AQ$10:$AQ$509,MATCH((ROW()-36+($J$35-1)*200),Processos!$AK$10:$AK$509,0))))</f>
        <v>75411.850000000006</v>
      </c>
      <c r="E39" s="8">
        <f>IF((ROW()-36+($J$35-1)*200)&gt;COUNTIFS(Processos!$X$10:$X$509,1),"",IF(INDEX(Processos!$Z$10:$Z$509,MATCH((ROW()-36+($J$35-1)*200),Processos!$AK$10:$AK$509,0))="","",INDEX(Processos!$Z$10:$Z$509,MATCH((ROW()-36+($J$35-1)*200),Processos!$AK$10:$AK$509,0))))</f>
        <v>45512</v>
      </c>
      <c r="F39" s="6" t="str">
        <f>IF((ROW()-36+($J$35-1)*200)&gt;COUNTIFS(Processos!$X$10:$X$509,1),"",IF(IF(INDEX(Processos!$Y$10:$Y$509,MATCH((ROW()-36+($J$35-1)*200),Processos!$AK$10:$AK$509,0))=1,"Sim","Não")="","",IF(INDEX(Processos!$Y$10:$Y$509,MATCH((ROW()-36+($J$35-1)*200),Processos!$AK$10:$AK$509,0))=1,"Sim","Não")))</f>
        <v>Não</v>
      </c>
      <c r="G39" s="6" t="str">
        <f>IF((ROW()-36+($J$35-1)*200)&gt;COUNTIFS(Processos!$X$10:$X$509,1),"",IF(INDEX(Processos!$D$10:$D$509,MATCH((ROW()-36+($J$35-1)*200),Processos!$AK$10:$AK$509,0))="","",INDEX(Processos!$D$10:$D$509,MATCH((ROW()-36+($J$35-1)*200),Processos!$AK$10:$AK$509,0))))</f>
        <v>BMM Advogados</v>
      </c>
    </row>
    <row r="40" spans="1:10" ht="72" customHeight="1">
      <c r="A40" s="7" t="str">
        <f>IF((ROW()-36+($J$35-1)*200)&gt;COUNTIFS(Processos!$X$10:$X$509,1),"",IF(INDEX(Processos!$A$10:$A$509,MATCH((ROW()-36+($J$35-1)*200),Processos!$AK$10:$AK$509,0))="","",INDEX(Processos!$A$10:$A$509,MATCH((ROW()-36+($J$35-1)*200),Processos!$AK$10:$AK$509,0))))</f>
        <v>0010110-19.2020.5.18.0103 [BMM-004]</v>
      </c>
      <c r="B40" s="6" t="str">
        <f>IF((ROW()-36+($J$35-1)*200)&gt;COUNTIFS(Processos!$X$10:$X$509,1),"",IF(INDEX(Processos!$C$10:$C$509,MATCH((ROW()-36+($J$35-1)*200),Processos!$AK$10:$AK$509,0))="","",INDEX(Processos!$C$10:$C$509,MATCH((ROW()-36+($J$35-1)*200),Processos!$AK$10:$AK$509,0))))</f>
        <v>Arquivado</v>
      </c>
      <c r="C40"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GILMAR FERREIRA DE FREITAS × 1 - Consórcio Integral Spavias Trail Alta 2 - Spavias Engenharia LTDA 3 [...]</v>
      </c>
      <c r="D40" s="10">
        <f>IF((ROW()-36+($J$35-1)*200)&gt;COUNTIFS(Processos!$X$10:$X$509,1),"",IF(INDEX(Processos!$AQ$10:$AQ$509,MATCH((ROW()-36+($J$35-1)*200),Processos!$AK$10:$AK$509,0))="","",INDEX(Processos!$AQ$10:$AQ$509,MATCH((ROW()-36+($J$35-1)*200),Processos!$AK$10:$AK$509,0))))</f>
        <v>36472</v>
      </c>
      <c r="E40" s="8">
        <f>IF((ROW()-36+($J$35-1)*200)&gt;COUNTIFS(Processos!$X$10:$X$509,1),"",IF(INDEX(Processos!$Z$10:$Z$509,MATCH((ROW()-36+($J$35-1)*200),Processos!$AK$10:$AK$509,0))="","",INDEX(Processos!$Z$10:$Z$509,MATCH((ROW()-36+($J$35-1)*200),Processos!$AK$10:$AK$509,0))))</f>
        <v>45512</v>
      </c>
      <c r="F40" s="6" t="str">
        <f>IF((ROW()-36+($J$35-1)*200)&gt;COUNTIFS(Processos!$X$10:$X$509,1),"",IF(IF(INDEX(Processos!$Y$10:$Y$509,MATCH((ROW()-36+($J$35-1)*200),Processos!$AK$10:$AK$509,0))=1,"Sim","Não")="","",IF(INDEX(Processos!$Y$10:$Y$509,MATCH((ROW()-36+($J$35-1)*200),Processos!$AK$10:$AK$509,0))=1,"Sim","Não")))</f>
        <v>Não</v>
      </c>
      <c r="G40" s="6" t="str">
        <f>IF((ROW()-36+($J$35-1)*200)&gt;COUNTIFS(Processos!$X$10:$X$509,1),"",IF(INDEX(Processos!$D$10:$D$509,MATCH((ROW()-36+($J$35-1)*200),Processos!$AK$10:$AK$509,0))="","",INDEX(Processos!$D$10:$D$509,MATCH((ROW()-36+($J$35-1)*200),Processos!$AK$10:$AK$509,0))))</f>
        <v>BMM Advogados</v>
      </c>
    </row>
    <row r="41" spans="1:10" ht="72" customHeight="1">
      <c r="A41" s="7" t="str">
        <f>IF((ROW()-36+($J$35-1)*200)&gt;COUNTIFS(Processos!$X$10:$X$509,1),"",IF(INDEX(Processos!$A$10:$A$509,MATCH((ROW()-36+($J$35-1)*200),Processos!$AK$10:$AK$509,0))="","",INDEX(Processos!$A$10:$A$509,MATCH((ROW()-36+($J$35-1)*200),Processos!$AK$10:$AK$509,0))))</f>
        <v>0010752-95.2020.5.18.0101</v>
      </c>
      <c r="B41" s="6" t="str">
        <f>IF((ROW()-36+($J$35-1)*200)&gt;COUNTIFS(Processos!$X$10:$X$509,1),"",IF(INDEX(Processos!$C$10:$C$509,MATCH((ROW()-36+($J$35-1)*200),Processos!$AK$10:$AK$509,0))="","",INDEX(Processos!$C$10:$C$509,MATCH((ROW()-36+($J$35-1)*200),Processos!$AK$10:$AK$509,0))))</f>
        <v>Arquivado</v>
      </c>
      <c r="C41"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JOSÉ ROSA MENDES × CONSÓRCIO INTEGRAL SPAVIAS TRAIL ALTA</v>
      </c>
      <c r="D41" s="10">
        <f>IF((ROW()-36+($J$35-1)*200)&gt;COUNTIFS(Processos!$X$10:$X$509,1),"",IF(INDEX(Processos!$AQ$10:$AQ$509,MATCH((ROW()-36+($J$35-1)*200),Processos!$AK$10:$AK$509,0))="","",INDEX(Processos!$AQ$10:$AQ$509,MATCH((ROW()-36+($J$35-1)*200),Processos!$AK$10:$AK$509,0))))</f>
        <v>11981.19</v>
      </c>
      <c r="E41" s="8">
        <f>IF((ROW()-36+($J$35-1)*200)&gt;COUNTIFS(Processos!$X$10:$X$509,1),"",IF(INDEX(Processos!$Z$10:$Z$509,MATCH((ROW()-36+($J$35-1)*200),Processos!$AK$10:$AK$509,0))="","",INDEX(Processos!$Z$10:$Z$509,MATCH((ROW()-36+($J$35-1)*200),Processos!$AK$10:$AK$509,0))))</f>
        <v>45512</v>
      </c>
      <c r="F41" s="6" t="str">
        <f>IF((ROW()-36+($J$35-1)*200)&gt;COUNTIFS(Processos!$X$10:$X$509,1),"",IF(IF(INDEX(Processos!$Y$10:$Y$509,MATCH((ROW()-36+($J$35-1)*200),Processos!$AK$10:$AK$509,0))=1,"Sim","Não")="","",IF(INDEX(Processos!$Y$10:$Y$509,MATCH((ROW()-36+($J$35-1)*200),Processos!$AK$10:$AK$509,0))=1,"Sim","Não")))</f>
        <v>Não</v>
      </c>
      <c r="G41" s="6" t="str">
        <f>IF((ROW()-36+($J$35-1)*200)&gt;COUNTIFS(Processos!$X$10:$X$509,1),"",IF(INDEX(Processos!$D$10:$D$509,MATCH((ROW()-36+($J$35-1)*200),Processos!$AK$10:$AK$509,0))="","",INDEX(Processos!$D$10:$D$509,MATCH((ROW()-36+($J$35-1)*200),Processos!$AK$10:$AK$509,0))))</f>
        <v>Frois</v>
      </c>
    </row>
    <row r="42" spans="1:10" ht="72" customHeight="1">
      <c r="A42" s="7" t="str">
        <f>IF((ROW()-36+($J$35-1)*200)&gt;COUNTIFS(Processos!$X$10:$X$509,1),"",IF(INDEX(Processos!$A$10:$A$509,MATCH((ROW()-36+($J$35-1)*200),Processos!$AK$10:$AK$509,0))="","",INDEX(Processos!$A$10:$A$509,MATCH((ROW()-36+($J$35-1)*200),Processos!$AK$10:$AK$509,0))))</f>
        <v>0010065-46.2019.5.18.0104</v>
      </c>
      <c r="B42" s="6" t="str">
        <f>IF((ROW()-36+($J$35-1)*200)&gt;COUNTIFS(Processos!$X$10:$X$509,1),"",IF(INDEX(Processos!$C$10:$C$509,MATCH((ROW()-36+($J$35-1)*200),Processos!$AK$10:$AK$509,0))="","",INDEX(Processos!$C$10:$C$509,MATCH((ROW()-36+($J$35-1)*200),Processos!$AK$10:$AK$509,0))))</f>
        <v>Arquivado</v>
      </c>
      <c r="C42"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DANIEL PEREIRA DA SILVA × CONSÓRCIO INTEGRAL SPAVIAS TRAIL ALTA</v>
      </c>
      <c r="D42" s="10">
        <f>IF((ROW()-36+($J$35-1)*200)&gt;COUNTIFS(Processos!$X$10:$X$509,1),"",IF(INDEX(Processos!$AQ$10:$AQ$509,MATCH((ROW()-36+($J$35-1)*200),Processos!$AK$10:$AK$509,0))="","",INDEX(Processos!$AQ$10:$AQ$509,MATCH((ROW()-36+($J$35-1)*200),Processos!$AK$10:$AK$509,0))))</f>
        <v>209128.3</v>
      </c>
      <c r="E42" s="8">
        <f>IF((ROW()-36+($J$35-1)*200)&gt;COUNTIFS(Processos!$X$10:$X$509,1),"",IF(INDEX(Processos!$Z$10:$Z$509,MATCH((ROW()-36+($J$35-1)*200),Processos!$AK$10:$AK$509,0))="","",INDEX(Processos!$Z$10:$Z$509,MATCH((ROW()-36+($J$35-1)*200),Processos!$AK$10:$AK$509,0))))</f>
        <v>45512</v>
      </c>
      <c r="F42" s="6" t="str">
        <f>IF((ROW()-36+($J$35-1)*200)&gt;COUNTIFS(Processos!$X$10:$X$509,1),"",IF(IF(INDEX(Processos!$Y$10:$Y$509,MATCH((ROW()-36+($J$35-1)*200),Processos!$AK$10:$AK$509,0))=1,"Sim","Não")="","",IF(INDEX(Processos!$Y$10:$Y$509,MATCH((ROW()-36+($J$35-1)*200),Processos!$AK$10:$AK$509,0))=1,"Sim","Não")))</f>
        <v>Não</v>
      </c>
      <c r="G42" s="6" t="str">
        <f>IF((ROW()-36+($J$35-1)*200)&gt;COUNTIFS(Processos!$X$10:$X$509,1),"",IF(INDEX(Processos!$D$10:$D$509,MATCH((ROW()-36+($J$35-1)*200),Processos!$AK$10:$AK$509,0))="","",INDEX(Processos!$D$10:$D$509,MATCH((ROW()-36+($J$35-1)*200),Processos!$AK$10:$AK$509,0))))</f>
        <v>BMM Advogados</v>
      </c>
    </row>
    <row r="43" spans="1:10" ht="72" customHeight="1">
      <c r="A43" s="7" t="str">
        <f>IF((ROW()-36+($J$35-1)*200)&gt;COUNTIFS(Processos!$X$10:$X$509,1),"",IF(INDEX(Processos!$A$10:$A$509,MATCH((ROW()-36+($J$35-1)*200),Processos!$AK$10:$AK$509,0))="","",INDEX(Processos!$A$10:$A$509,MATCH((ROW()-36+($J$35-1)*200),Processos!$AK$10:$AK$509,0))))</f>
        <v>0011079-71.2019.5.18.0102</v>
      </c>
      <c r="B43" s="6" t="str">
        <f>IF((ROW()-36+($J$35-1)*200)&gt;COUNTIFS(Processos!$X$10:$X$509,1),"",IF(INDEX(Processos!$C$10:$C$509,MATCH((ROW()-36+($J$35-1)*200),Processos!$AK$10:$AK$509,0))="","",INDEX(Processos!$C$10:$C$509,MATCH((ROW()-36+($J$35-1)*200),Processos!$AK$10:$AK$509,0))))</f>
        <v>Arquivado</v>
      </c>
      <c r="C43"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JOSÉ DA CONCEIÇÃO × 1 - Consórcio Spavias Cava 2 - Spavias Engenharia LTDA 3 - André Von Bentzeen Ro [...]</v>
      </c>
      <c r="D43" s="10">
        <f>IF((ROW()-36+($J$35-1)*200)&gt;COUNTIFS(Processos!$X$10:$X$509,1),"",IF(INDEX(Processos!$AQ$10:$AQ$509,MATCH((ROW()-36+($J$35-1)*200),Processos!$AK$10:$AK$509,0))="","",INDEX(Processos!$AQ$10:$AQ$509,MATCH((ROW()-36+($J$35-1)*200),Processos!$AK$10:$AK$509,0))))</f>
        <v>43882.11</v>
      </c>
      <c r="E43" s="8">
        <f>IF((ROW()-36+($J$35-1)*200)&gt;COUNTIFS(Processos!$X$10:$X$509,1),"",IF(INDEX(Processos!$Z$10:$Z$509,MATCH((ROW()-36+($J$35-1)*200),Processos!$AK$10:$AK$509,0))="","",INDEX(Processos!$Z$10:$Z$509,MATCH((ROW()-36+($J$35-1)*200),Processos!$AK$10:$AK$509,0))))</f>
        <v>45512</v>
      </c>
      <c r="F43" s="6" t="str">
        <f>IF((ROW()-36+($J$35-1)*200)&gt;COUNTIFS(Processos!$X$10:$X$509,1),"",IF(IF(INDEX(Processos!$Y$10:$Y$509,MATCH((ROW()-36+($J$35-1)*200),Processos!$AK$10:$AK$509,0))=1,"Sim","Não")="","",IF(INDEX(Processos!$Y$10:$Y$509,MATCH((ROW()-36+($J$35-1)*200),Processos!$AK$10:$AK$509,0))=1,"Sim","Não")))</f>
        <v>Não</v>
      </c>
      <c r="G43" s="6" t="str">
        <f>IF((ROW()-36+($J$35-1)*200)&gt;COUNTIFS(Processos!$X$10:$X$509,1),"",IF(INDEX(Processos!$D$10:$D$509,MATCH((ROW()-36+($J$35-1)*200),Processos!$AK$10:$AK$509,0))="","",INDEX(Processos!$D$10:$D$509,MATCH((ROW()-36+($J$35-1)*200),Processos!$AK$10:$AK$509,0))))</f>
        <v>BMM Advogados</v>
      </c>
    </row>
    <row r="44" spans="1:10" ht="72" customHeight="1">
      <c r="A44" s="7" t="str">
        <f>IF((ROW()-36+($J$35-1)*200)&gt;COUNTIFS(Processos!$X$10:$X$509,1),"",IF(INDEX(Processos!$A$10:$A$509,MATCH((ROW()-36+($J$35-1)*200),Processos!$AK$10:$AK$509,0))="","",INDEX(Processos!$A$10:$A$509,MATCH((ROW()-36+($J$35-1)*200),Processos!$AK$10:$AK$509,0))))</f>
        <v>0010968-84.2019.5.18.0103 [BMM-008]</v>
      </c>
      <c r="B44" s="6" t="str">
        <f>IF((ROW()-36+($J$35-1)*200)&gt;COUNTIFS(Processos!$X$10:$X$509,1),"",IF(INDEX(Processos!$C$10:$C$509,MATCH((ROW()-36+($J$35-1)*200),Processos!$AK$10:$AK$509,0))="","",INDEX(Processos!$C$10:$C$509,MATCH((ROW()-36+($J$35-1)*200),Processos!$AK$10:$AK$509,0))))</f>
        <v>Arquivado</v>
      </c>
      <c r="C44"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SÔNIA MARIA RIBEIRO ROSA MOTA × 1 - Consórcio Integral Spavias Trail Alta 2 - Valec Engenharia Const [...]</v>
      </c>
      <c r="D44" s="10">
        <f>IF((ROW()-36+($J$35-1)*200)&gt;COUNTIFS(Processos!$X$10:$X$509,1),"",IF(INDEX(Processos!$AQ$10:$AQ$509,MATCH((ROW()-36+($J$35-1)*200),Processos!$AK$10:$AK$509,0))="","",INDEX(Processos!$AQ$10:$AQ$509,MATCH((ROW()-36+($J$35-1)*200),Processos!$AK$10:$AK$509,0))))</f>
        <v>22913</v>
      </c>
      <c r="E44" s="8">
        <f>IF((ROW()-36+($J$35-1)*200)&gt;COUNTIFS(Processos!$X$10:$X$509,1),"",IF(INDEX(Processos!$Z$10:$Z$509,MATCH((ROW()-36+($J$35-1)*200),Processos!$AK$10:$AK$509,0))="","",INDEX(Processos!$Z$10:$Z$509,MATCH((ROW()-36+($J$35-1)*200),Processos!$AK$10:$AK$509,0))))</f>
        <v>45512</v>
      </c>
      <c r="F44" s="6" t="str">
        <f>IF((ROW()-36+($J$35-1)*200)&gt;COUNTIFS(Processos!$X$10:$X$509,1),"",IF(IF(INDEX(Processos!$Y$10:$Y$509,MATCH((ROW()-36+($J$35-1)*200),Processos!$AK$10:$AK$509,0))=1,"Sim","Não")="","",IF(INDEX(Processos!$Y$10:$Y$509,MATCH((ROW()-36+($J$35-1)*200),Processos!$AK$10:$AK$509,0))=1,"Sim","Não")))</f>
        <v>Não</v>
      </c>
      <c r="G44" s="6" t="str">
        <f>IF((ROW()-36+($J$35-1)*200)&gt;COUNTIFS(Processos!$X$10:$X$509,1),"",IF(INDEX(Processos!$D$10:$D$509,MATCH((ROW()-36+($J$35-1)*200),Processos!$AK$10:$AK$509,0))="","",INDEX(Processos!$D$10:$D$509,MATCH((ROW()-36+($J$35-1)*200),Processos!$AK$10:$AK$509,0))))</f>
        <v>Frois</v>
      </c>
    </row>
    <row r="45" spans="1:10" ht="72" customHeight="1">
      <c r="A45" s="7" t="str">
        <f>IF((ROW()-36+($J$35-1)*200)&gt;COUNTIFS(Processos!$X$10:$X$509,1),"",IF(INDEX(Processos!$A$10:$A$509,MATCH((ROW()-36+($J$35-1)*200),Processos!$AK$10:$AK$509,0))="","",INDEX(Processos!$A$10:$A$509,MATCH((ROW()-36+($J$35-1)*200),Processos!$AK$10:$AK$509,0))))</f>
        <v>0010160-08.2021.5.18.0201</v>
      </c>
      <c r="B45" s="6" t="str">
        <f>IF((ROW()-36+($J$35-1)*200)&gt;COUNTIFS(Processos!$X$10:$X$509,1),"",IF(INDEX(Processos!$C$10:$C$509,MATCH((ROW()-36+($J$35-1)*200),Processos!$AK$10:$AK$509,0))="","",INDEX(Processos!$C$10:$C$509,MATCH((ROW()-36+($J$35-1)*200),Processos!$AK$10:$AK$509,0))))</f>
        <v>Arquivado</v>
      </c>
      <c r="C45"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BRUNO SILVA PEREIRA × 1 - Consórcio Trail-Spavias-Alta 2 - SPA Engenharia 3 - Consórcio TS 4 - VALEC</v>
      </c>
      <c r="D45" s="10">
        <f>IF((ROW()-36+($J$35-1)*200)&gt;COUNTIFS(Processos!$X$10:$X$509,1),"",IF(INDEX(Processos!$AQ$10:$AQ$509,MATCH((ROW()-36+($J$35-1)*200),Processos!$AK$10:$AK$509,0))="","",INDEX(Processos!$AQ$10:$AQ$509,MATCH((ROW()-36+($J$35-1)*200),Processos!$AK$10:$AK$509,0))))</f>
        <v>80849.55</v>
      </c>
      <c r="E45" s="8">
        <f>IF((ROW()-36+($J$35-1)*200)&gt;COUNTIFS(Processos!$X$10:$X$509,1),"",IF(INDEX(Processos!$Z$10:$Z$509,MATCH((ROW()-36+($J$35-1)*200),Processos!$AK$10:$AK$509,0))="","",INDEX(Processos!$Z$10:$Z$509,MATCH((ROW()-36+($J$35-1)*200),Processos!$AK$10:$AK$509,0))))</f>
        <v>45512</v>
      </c>
      <c r="F45" s="6" t="str">
        <f>IF((ROW()-36+($J$35-1)*200)&gt;COUNTIFS(Processos!$X$10:$X$509,1),"",IF(IF(INDEX(Processos!$Y$10:$Y$509,MATCH((ROW()-36+($J$35-1)*200),Processos!$AK$10:$AK$509,0))=1,"Sim","Não")="","",IF(INDEX(Processos!$Y$10:$Y$509,MATCH((ROW()-36+($J$35-1)*200),Processos!$AK$10:$AK$509,0))=1,"Sim","Não")))</f>
        <v>Não</v>
      </c>
      <c r="G45" s="6" t="str">
        <f>IF((ROW()-36+($J$35-1)*200)&gt;COUNTIFS(Processos!$X$10:$X$509,1),"",IF(INDEX(Processos!$D$10:$D$509,MATCH((ROW()-36+($J$35-1)*200),Processos!$AK$10:$AK$509,0))="","",INDEX(Processos!$D$10:$D$509,MATCH((ROW()-36+($J$35-1)*200),Processos!$AK$10:$AK$509,0))))</f>
        <v>BMM Advogados</v>
      </c>
    </row>
    <row r="46" spans="1:10" ht="72" customHeight="1">
      <c r="A46" s="7" t="str">
        <f>IF((ROW()-36+($J$35-1)*200)&gt;COUNTIFS(Processos!$X$10:$X$509,1),"",IF(INDEX(Processos!$A$10:$A$509,MATCH((ROW()-36+($J$35-1)*200),Processos!$AK$10:$AK$509,0))="","",INDEX(Processos!$A$10:$A$509,MATCH((ROW()-36+($J$35-1)*200),Processos!$AK$10:$AK$509,0))))</f>
        <v>0000972-59.2016.5.08.0131</v>
      </c>
      <c r="B46" s="6" t="str">
        <f>IF((ROW()-36+($J$35-1)*200)&gt;COUNTIFS(Processos!$X$10:$X$509,1),"",IF(INDEX(Processos!$C$10:$C$509,MATCH((ROW()-36+($J$35-1)*200),Processos!$AK$10:$AK$509,0))="","",INDEX(Processos!$C$10:$C$509,MATCH((ROW()-36+($J$35-1)*200),Processos!$AK$10:$AK$509,0))))</f>
        <v>Arquivado</v>
      </c>
      <c r="C46"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Ednaldo Martins da Silva × Consórcio Trail Spavias Alta</v>
      </c>
      <c r="D46" s="10">
        <f>IF((ROW()-36+($J$35-1)*200)&gt;COUNTIFS(Processos!$X$10:$X$509,1),"",IF(INDEX(Processos!$AQ$10:$AQ$509,MATCH((ROW()-36+($J$35-1)*200),Processos!$AK$10:$AK$509,0))="","",INDEX(Processos!$AQ$10:$AQ$509,MATCH((ROW()-36+($J$35-1)*200),Processos!$AK$10:$AK$509,0))))</f>
        <v>213561.34</v>
      </c>
      <c r="E46" s="8">
        <f>IF((ROW()-36+($J$35-1)*200)&gt;COUNTIFS(Processos!$X$10:$X$509,1),"",IF(INDEX(Processos!$Z$10:$Z$509,MATCH((ROW()-36+($J$35-1)*200),Processos!$AK$10:$AK$509,0))="","",INDEX(Processos!$Z$10:$Z$509,MATCH((ROW()-36+($J$35-1)*200),Processos!$AK$10:$AK$509,0))))</f>
        <v>45512</v>
      </c>
      <c r="F46" s="6" t="str">
        <f>IF((ROW()-36+($J$35-1)*200)&gt;COUNTIFS(Processos!$X$10:$X$509,1),"",IF(IF(INDEX(Processos!$Y$10:$Y$509,MATCH((ROW()-36+($J$35-1)*200),Processos!$AK$10:$AK$509,0))=1,"Sim","Não")="","",IF(INDEX(Processos!$Y$10:$Y$509,MATCH((ROW()-36+($J$35-1)*200),Processos!$AK$10:$AK$509,0))=1,"Sim","Não")))</f>
        <v>Não</v>
      </c>
      <c r="G46" s="6" t="str">
        <f>IF((ROW()-36+($J$35-1)*200)&gt;COUNTIFS(Processos!$X$10:$X$509,1),"",IF(INDEX(Processos!$D$10:$D$509,MATCH((ROW()-36+($J$35-1)*200),Processos!$AK$10:$AK$509,0))="","",INDEX(Processos!$D$10:$D$509,MATCH((ROW()-36+($J$35-1)*200),Processos!$AK$10:$AK$509,0))))</f>
        <v>BMM Advogados</v>
      </c>
    </row>
    <row r="47" spans="1:10" ht="72" customHeight="1">
      <c r="A47" s="7" t="str">
        <f>IF((ROW()-36+($J$35-1)*200)&gt;COUNTIFS(Processos!$X$10:$X$509,1),"",IF(INDEX(Processos!$A$10:$A$509,MATCH((ROW()-36+($J$35-1)*200),Processos!$AK$10:$AK$509,0))="","",INDEX(Processos!$A$10:$A$509,MATCH((ROW()-36+($J$35-1)*200),Processos!$AK$10:$AK$509,0))))</f>
        <v>0001354-49.2013.5.05.0581</v>
      </c>
      <c r="B47" s="6" t="str">
        <f>IF((ROW()-36+($J$35-1)*200)&gt;COUNTIFS(Processos!$X$10:$X$509,1),"",IF(INDEX(Processos!$C$10:$C$509,MATCH((ROW()-36+($J$35-1)*200),Processos!$AK$10:$AK$509,0))="","",INDEX(Processos!$C$10:$C$509,MATCH((ROW()-36+($J$35-1)*200),Processos!$AK$10:$AK$509,0))))</f>
        <v>Arquivado</v>
      </c>
      <c r="C47"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SINDICATO DOS TRAB. IND. DA CONST. EST. PAV OBRAS × CONSÓRCIO TRAIL-SPAVIAS-ALTA</v>
      </c>
      <c r="D47" s="10">
        <f>IF((ROW()-36+($J$35-1)*200)&gt;COUNTIFS(Processos!$X$10:$X$509,1),"",IF(INDEX(Processos!$AQ$10:$AQ$509,MATCH((ROW()-36+($J$35-1)*200),Processos!$AK$10:$AK$509,0))="","",INDEX(Processos!$AQ$10:$AQ$509,MATCH((ROW()-36+($J$35-1)*200),Processos!$AK$10:$AK$509,0))))</f>
        <v>5000</v>
      </c>
      <c r="E47" s="8">
        <f>IF((ROW()-36+($J$35-1)*200)&gt;COUNTIFS(Processos!$X$10:$X$509,1),"",IF(INDEX(Processos!$Z$10:$Z$509,MATCH((ROW()-36+($J$35-1)*200),Processos!$AK$10:$AK$509,0))="","",INDEX(Processos!$Z$10:$Z$509,MATCH((ROW()-36+($J$35-1)*200),Processos!$AK$10:$AK$509,0))))</f>
        <v>45512</v>
      </c>
      <c r="F47" s="6" t="str">
        <f>IF((ROW()-36+($J$35-1)*200)&gt;COUNTIFS(Processos!$X$10:$X$509,1),"",IF(IF(INDEX(Processos!$Y$10:$Y$509,MATCH((ROW()-36+($J$35-1)*200),Processos!$AK$10:$AK$509,0))=1,"Sim","Não")="","",IF(INDEX(Processos!$Y$10:$Y$509,MATCH((ROW()-36+($J$35-1)*200),Processos!$AK$10:$AK$509,0))=1,"Sim","Não")))</f>
        <v>Não</v>
      </c>
      <c r="G47" s="6" t="str">
        <f>IF((ROW()-36+($J$35-1)*200)&gt;COUNTIFS(Processos!$X$10:$X$509,1),"",IF(INDEX(Processos!$D$10:$D$509,MATCH((ROW()-36+($J$35-1)*200),Processos!$AK$10:$AK$509,0))="","",INDEX(Processos!$D$10:$D$509,MATCH((ROW()-36+($J$35-1)*200),Processos!$AK$10:$AK$509,0))))</f>
        <v>BMM Advogados</v>
      </c>
    </row>
    <row r="48" spans="1:10" ht="72" customHeight="1">
      <c r="A48" s="7" t="str">
        <f>IF((ROW()-36+($J$35-1)*200)&gt;COUNTIFS(Processos!$X$10:$X$509,1),"",IF(INDEX(Processos!$A$10:$A$509,MATCH((ROW()-36+($J$35-1)*200),Processos!$AK$10:$AK$509,0))="","",INDEX(Processos!$A$10:$A$509,MATCH((ROW()-36+($J$35-1)*200),Processos!$AK$10:$AK$509,0))))</f>
        <v>5179003-70.2022.8.09.0149</v>
      </c>
      <c r="B48" s="6" t="str">
        <f>IF((ROW()-36+($J$35-1)*200)&gt;COUNTIFS(Processos!$X$10:$X$509,1),"",IF(INDEX(Processos!$C$10:$C$509,MATCH((ROW()-36+($J$35-1)*200),Processos!$AK$10:$AK$509,0))="","",INDEX(Processos!$C$10:$C$509,MATCH((ROW()-36+($J$35-1)*200),Processos!$AK$10:$AK$509,0))))</f>
        <v>Arquivado</v>
      </c>
      <c r="C48"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TV TRANSPORTES LTDA - ME × CONSÓRCIO INTEGRAL SPAVIAS TRAIL ALTA</v>
      </c>
      <c r="D48" s="10">
        <f>IF((ROW()-36+($J$35-1)*200)&gt;COUNTIFS(Processos!$X$10:$X$509,1),"",IF(INDEX(Processos!$AQ$10:$AQ$509,MATCH((ROW()-36+($J$35-1)*200),Processos!$AK$10:$AK$509,0))="","",INDEX(Processos!$AQ$10:$AQ$509,MATCH((ROW()-36+($J$35-1)*200),Processos!$AK$10:$AK$509,0))))</f>
        <v>41800</v>
      </c>
      <c r="E48" s="8">
        <f>IF((ROW()-36+($J$35-1)*200)&gt;COUNTIFS(Processos!$X$10:$X$509,1),"",IF(INDEX(Processos!$Z$10:$Z$509,MATCH((ROW()-36+($J$35-1)*200),Processos!$AK$10:$AK$509,0))="","",INDEX(Processos!$Z$10:$Z$509,MATCH((ROW()-36+($J$35-1)*200),Processos!$AK$10:$AK$509,0))))</f>
        <v>46093</v>
      </c>
      <c r="F48" s="6" t="str">
        <f>IF((ROW()-36+($J$35-1)*200)&gt;COUNTIFS(Processos!$X$10:$X$509,1),"",IF(IF(INDEX(Processos!$Y$10:$Y$509,MATCH((ROW()-36+($J$35-1)*200),Processos!$AK$10:$AK$509,0))=1,"Sim","Não")="","",IF(INDEX(Processos!$Y$10:$Y$509,MATCH((ROW()-36+($J$35-1)*200),Processos!$AK$10:$AK$509,0))=1,"Sim","Não")))</f>
        <v>Não</v>
      </c>
      <c r="G48" s="6" t="str">
        <f>IF((ROW()-36+($J$35-1)*200)&gt;COUNTIFS(Processos!$X$10:$X$509,1),"",IF(INDEX(Processos!$D$10:$D$509,MATCH((ROW()-36+($J$35-1)*200),Processos!$AK$10:$AK$509,0))="","",INDEX(Processos!$D$10:$D$509,MATCH((ROW()-36+($J$35-1)*200),Processos!$AK$10:$AK$509,0))))</f>
        <v>BMM Advogados</v>
      </c>
    </row>
    <row r="49" spans="1:7" ht="72" customHeight="1">
      <c r="A49" s="7" t="str">
        <f>IF((ROW()-36+($J$35-1)*200)&gt;COUNTIFS(Processos!$X$10:$X$509,1),"",IF(INDEX(Processos!$A$10:$A$509,MATCH((ROW()-36+($J$35-1)*200),Processos!$AK$10:$AK$509,0))="","",INDEX(Processos!$A$10:$A$509,MATCH((ROW()-36+($J$35-1)*200),Processos!$AK$10:$AK$509,0))))</f>
        <v>5200111-92.2021.8.09.0149</v>
      </c>
      <c r="B49" s="6" t="str">
        <f>IF((ROW()-36+($J$35-1)*200)&gt;COUNTIFS(Processos!$X$10:$X$509,1),"",IF(INDEX(Processos!$C$10:$C$509,MATCH((ROW()-36+($J$35-1)*200),Processos!$AK$10:$AK$509,0))="","",INDEX(Processos!$C$10:$C$509,MATCH((ROW()-36+($J$35-1)*200),Processos!$AK$10:$AK$509,0))))</f>
        <v>Arquivado</v>
      </c>
      <c r="C49"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TV TRANSPORTES LTDA - ME × CONSÓRCIO INTEGRAL SPAVIAS TRAIL ALTA</v>
      </c>
      <c r="D49" s="10">
        <f>IF((ROW()-36+($J$35-1)*200)&gt;COUNTIFS(Processos!$X$10:$X$509,1),"",IF(INDEX(Processos!$AQ$10:$AQ$509,MATCH((ROW()-36+($J$35-1)*200),Processos!$AK$10:$AK$509,0))="","",INDEX(Processos!$AQ$10:$AQ$509,MATCH((ROW()-36+($J$35-1)*200),Processos!$AK$10:$AK$509,0))))</f>
        <v>39000</v>
      </c>
      <c r="E49" s="8">
        <f>IF((ROW()-36+($J$35-1)*200)&gt;COUNTIFS(Processos!$X$10:$X$509,1),"",IF(INDEX(Processos!$Z$10:$Z$509,MATCH((ROW()-36+($J$35-1)*200),Processos!$AK$10:$AK$509,0))="","",INDEX(Processos!$Z$10:$Z$509,MATCH((ROW()-36+($J$35-1)*200),Processos!$AK$10:$AK$509,0))))</f>
        <v>46093</v>
      </c>
      <c r="F49" s="6" t="str">
        <f>IF((ROW()-36+($J$35-1)*200)&gt;COUNTIFS(Processos!$X$10:$X$509,1),"",IF(IF(INDEX(Processos!$Y$10:$Y$509,MATCH((ROW()-36+($J$35-1)*200),Processos!$AK$10:$AK$509,0))=1,"Sim","Não")="","",IF(INDEX(Processos!$Y$10:$Y$509,MATCH((ROW()-36+($J$35-1)*200),Processos!$AK$10:$AK$509,0))=1,"Sim","Não")))</f>
        <v>Não</v>
      </c>
      <c r="G49" s="6" t="str">
        <f>IF((ROW()-36+($J$35-1)*200)&gt;COUNTIFS(Processos!$X$10:$X$509,1),"",IF(INDEX(Processos!$D$10:$D$509,MATCH((ROW()-36+($J$35-1)*200),Processos!$AK$10:$AK$509,0))="","",INDEX(Processos!$D$10:$D$509,MATCH((ROW()-36+($J$35-1)*200),Processos!$AK$10:$AK$509,0))))</f>
        <v>BMM Advogados</v>
      </c>
    </row>
    <row r="50" spans="1:7" ht="72" customHeight="1">
      <c r="A50" s="7" t="str">
        <f>IF((ROW()-36+($J$35-1)*200)&gt;COUNTIFS(Processos!$X$10:$X$509,1),"",IF(INDEX(Processos!$A$10:$A$509,MATCH((ROW()-36+($J$35-1)*200),Processos!$AK$10:$AK$509,0))="","",INDEX(Processos!$A$10:$A$509,MATCH((ROW()-36+($J$35-1)*200),Processos!$AK$10:$AK$509,0))))</f>
        <v>0766105-29.2022.8.07.0016</v>
      </c>
      <c r="B50" s="6" t="str">
        <f>IF((ROW()-36+($J$35-1)*200)&gt;COUNTIFS(Processos!$X$10:$X$509,1),"",IF(INDEX(Processos!$C$10:$C$509,MATCH((ROW()-36+($J$35-1)*200),Processos!$AK$10:$AK$509,0))="","",INDEX(Processos!$C$10:$C$509,MATCH((ROW()-36+($J$35-1)*200),Processos!$AK$10:$AK$509,0))))</f>
        <v>Encerrado</v>
      </c>
      <c r="C50"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RAIZAMA LOCADORA E CONSTRUTORA EIRELI × CONSÓRCIO SPAVIAS SERNE SPAVIAS TRAIL ALTA</v>
      </c>
      <c r="D50" s="10">
        <f>IF((ROW()-36+($J$35-1)*200)&gt;COUNTIFS(Processos!$X$10:$X$509,1),"",IF(INDEX(Processos!$AQ$10:$AQ$509,MATCH((ROW()-36+($J$35-1)*200),Processos!$AK$10:$AK$509,0))="","",INDEX(Processos!$AQ$10:$AQ$509,MATCH((ROW()-36+($J$35-1)*200),Processos!$AK$10:$AK$509,0))))</f>
        <v>55086.09</v>
      </c>
      <c r="E50" s="8">
        <f>IF((ROW()-36+($J$35-1)*200)&gt;COUNTIFS(Processos!$X$10:$X$509,1),"",IF(INDEX(Processos!$Z$10:$Z$509,MATCH((ROW()-36+($J$35-1)*200),Processos!$AK$10:$AK$509,0))="","",INDEX(Processos!$Z$10:$Z$509,MATCH((ROW()-36+($J$35-1)*200),Processos!$AK$10:$AK$509,0))))</f>
        <v>45554</v>
      </c>
      <c r="F50" s="6" t="str">
        <f>IF((ROW()-36+($J$35-1)*200)&gt;COUNTIFS(Processos!$X$10:$X$509,1),"",IF(IF(INDEX(Processos!$Y$10:$Y$509,MATCH((ROW()-36+($J$35-1)*200),Processos!$AK$10:$AK$509,0))=1,"Sim","Não")="","",IF(INDEX(Processos!$Y$10:$Y$509,MATCH((ROW()-36+($J$35-1)*200),Processos!$AK$10:$AK$509,0))=1,"Sim","Não")))</f>
        <v>Não</v>
      </c>
      <c r="G50" s="6" t="str">
        <f>IF((ROW()-36+($J$35-1)*200)&gt;COUNTIFS(Processos!$X$10:$X$509,1),"",IF(INDEX(Processos!$D$10:$D$509,MATCH((ROW()-36+($J$35-1)*200),Processos!$AK$10:$AK$509,0))="","",INDEX(Processos!$D$10:$D$509,MATCH((ROW()-36+($J$35-1)*200),Processos!$AK$10:$AK$509,0))))</f>
        <v>BMM Advogados</v>
      </c>
    </row>
    <row r="51" spans="1:7" ht="72" customHeight="1">
      <c r="A51" s="7" t="str">
        <f>IF((ROW()-36+($J$35-1)*200)&gt;COUNTIFS(Processos!$X$10:$X$509,1),"",IF(INDEX(Processos!$A$10:$A$509,MATCH((ROW()-36+($J$35-1)*200),Processos!$AK$10:$AK$509,0))="","",INDEX(Processos!$A$10:$A$509,MATCH((ROW()-36+($J$35-1)*200),Processos!$AK$10:$AK$509,0))))</f>
        <v>0766128-72.2022.8.07.0016</v>
      </c>
      <c r="B51" s="6" t="str">
        <f>IF((ROW()-36+($J$35-1)*200)&gt;COUNTIFS(Processos!$X$10:$X$509,1),"",IF(INDEX(Processos!$C$10:$C$509,MATCH((ROW()-36+($J$35-1)*200),Processos!$AK$10:$AK$509,0))="","",INDEX(Processos!$C$10:$C$509,MATCH((ROW()-36+($J$35-1)*200),Processos!$AK$10:$AK$509,0))))</f>
        <v>Encerrado</v>
      </c>
      <c r="C51"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RAIZAMA LOCADORA E CONSTRUTORA EIRELI × CONSÓRCIO SPAVIAS SERNE SPAVIAS TRAIL ALTA</v>
      </c>
      <c r="D51" s="10">
        <f>IF((ROW()-36+($J$35-1)*200)&gt;COUNTIFS(Processos!$X$10:$X$509,1),"",IF(INDEX(Processos!$AQ$10:$AQ$509,MATCH((ROW()-36+($J$35-1)*200),Processos!$AK$10:$AK$509,0))="","",INDEX(Processos!$AQ$10:$AQ$509,MATCH((ROW()-36+($J$35-1)*200),Processos!$AK$10:$AK$509,0))))</f>
        <v>54146.65</v>
      </c>
      <c r="E51" s="8">
        <f>IF((ROW()-36+($J$35-1)*200)&gt;COUNTIFS(Processos!$X$10:$X$509,1),"",IF(INDEX(Processos!$Z$10:$Z$509,MATCH((ROW()-36+($J$35-1)*200),Processos!$AK$10:$AK$509,0))="","",INDEX(Processos!$Z$10:$Z$509,MATCH((ROW()-36+($J$35-1)*200),Processos!$AK$10:$AK$509,0))))</f>
        <v>46052</v>
      </c>
      <c r="F51" s="6" t="str">
        <f>IF((ROW()-36+($J$35-1)*200)&gt;COUNTIFS(Processos!$X$10:$X$509,1),"",IF(IF(INDEX(Processos!$Y$10:$Y$509,MATCH((ROW()-36+($J$35-1)*200),Processos!$AK$10:$AK$509,0))=1,"Sim","Não")="","",IF(INDEX(Processos!$Y$10:$Y$509,MATCH((ROW()-36+($J$35-1)*200),Processos!$AK$10:$AK$509,0))=1,"Sim","Não")))</f>
        <v>Não</v>
      </c>
      <c r="G51" s="6" t="str">
        <f>IF((ROW()-36+($J$35-1)*200)&gt;COUNTIFS(Processos!$X$10:$X$509,1),"",IF(INDEX(Processos!$D$10:$D$509,MATCH((ROW()-36+($J$35-1)*200),Processos!$AK$10:$AK$509,0))="","",INDEX(Processos!$D$10:$D$509,MATCH((ROW()-36+($J$35-1)*200),Processos!$AK$10:$AK$509,0))))</f>
        <v>BMM Advogados</v>
      </c>
    </row>
    <row r="52" spans="1:7" ht="72" customHeight="1">
      <c r="A52" s="7" t="str">
        <f>IF((ROW()-36+($J$35-1)*200)&gt;COUNTIFS(Processos!$X$10:$X$509,1),"",IF(INDEX(Processos!$A$10:$A$509,MATCH((ROW()-36+($J$35-1)*200),Processos!$AK$10:$AK$509,0))="","",INDEX(Processos!$A$10:$A$509,MATCH((ROW()-36+($J$35-1)*200),Processos!$AK$10:$AK$509,0))))</f>
        <v>0010110-19.2020.5.18.0103 [BMM-016]</v>
      </c>
      <c r="B52" s="6" t="str">
        <f>IF((ROW()-36+($J$35-1)*200)&gt;COUNTIFS(Processos!$X$10:$X$509,1),"",IF(INDEX(Processos!$C$10:$C$509,MATCH((ROW()-36+($J$35-1)*200),Processos!$AK$10:$AK$509,0))="","",INDEX(Processos!$C$10:$C$509,MATCH((ROW()-36+($J$35-1)*200),Processos!$AK$10:$AK$509,0))))</f>
        <v>Arquivado</v>
      </c>
      <c r="C52"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GILMAR FERREIRA DE FREITAS × CONSORCIO INTEGRAL SPAVIAS TRAIL ALTA</v>
      </c>
      <c r="D52" s="10" t="str">
        <f>IF((ROW()-36+($J$35-1)*200)&gt;COUNTIFS(Processos!$X$10:$X$509,1),"",IF(INDEX(Processos!$AQ$10:$AQ$509,MATCH((ROW()-36+($J$35-1)*200),Processos!$AK$10:$AK$509,0))="","",INDEX(Processos!$AQ$10:$AQ$509,MATCH((ROW()-36+($J$35-1)*200),Processos!$AK$10:$AK$509,0))))</f>
        <v/>
      </c>
      <c r="E52" s="8">
        <f>IF((ROW()-36+($J$35-1)*200)&gt;COUNTIFS(Processos!$X$10:$X$509,1),"",IF(INDEX(Processos!$Z$10:$Z$509,MATCH((ROW()-36+($J$35-1)*200),Processos!$AK$10:$AK$509,0))="","",INDEX(Processos!$Z$10:$Z$509,MATCH((ROW()-36+($J$35-1)*200),Processos!$AK$10:$AK$509,0))))</f>
        <v>46093</v>
      </c>
      <c r="F52" s="6" t="str">
        <f>IF((ROW()-36+($J$35-1)*200)&gt;COUNTIFS(Processos!$X$10:$X$509,1),"",IF(IF(INDEX(Processos!$Y$10:$Y$509,MATCH((ROW()-36+($J$35-1)*200),Processos!$AK$10:$AK$509,0))=1,"Sim","Não")="","",IF(INDEX(Processos!$Y$10:$Y$509,MATCH((ROW()-36+($J$35-1)*200),Processos!$AK$10:$AK$509,0))=1,"Sim","Não")))</f>
        <v>Não</v>
      </c>
      <c r="G52" s="6" t="str">
        <f>IF((ROW()-36+($J$35-1)*200)&gt;COUNTIFS(Processos!$X$10:$X$509,1),"",IF(INDEX(Processos!$D$10:$D$509,MATCH((ROW()-36+($J$35-1)*200),Processos!$AK$10:$AK$509,0))="","",INDEX(Processos!$D$10:$D$509,MATCH((ROW()-36+($J$35-1)*200),Processos!$AK$10:$AK$509,0))))</f>
        <v>BMM Advogados</v>
      </c>
    </row>
    <row r="53" spans="1:7" ht="72" customHeight="1">
      <c r="A53" s="7" t="str">
        <f>IF((ROW()-36+($J$35-1)*200)&gt;COUNTIFS(Processos!$X$10:$X$509,1),"",IF(INDEX(Processos!$A$10:$A$509,MATCH((ROW()-36+($J$35-1)*200),Processos!$AK$10:$AK$509,0))="","",INDEX(Processos!$A$10:$A$509,MATCH((ROW()-36+($J$35-1)*200),Processos!$AK$10:$AK$509,0))))</f>
        <v>5116564-98.2018.8.09.0137 [BMM-017]</v>
      </c>
      <c r="B53" s="6" t="str">
        <f>IF((ROW()-36+($J$35-1)*200)&gt;COUNTIFS(Processos!$X$10:$X$509,1),"",IF(INDEX(Processos!$C$10:$C$509,MATCH((ROW()-36+($J$35-1)*200),Processos!$AK$10:$AK$509,0))="","",INDEX(Processos!$C$10:$C$509,MATCH((ROW()-36+($J$35-1)*200),Processos!$AK$10:$AK$509,0))))</f>
        <v>Encerrado</v>
      </c>
      <c r="C53"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AGUILLERA OLIVEIRA FERRAMENTAS E PROTEÇÃO LTDA ME × CONSORCIO INTEGRAL SPAVIAS TRAIL ALTA</v>
      </c>
      <c r="D53" s="10">
        <f>IF((ROW()-36+($J$35-1)*200)&gt;COUNTIFS(Processos!$X$10:$X$509,1),"",IF(INDEX(Processos!$AQ$10:$AQ$509,MATCH((ROW()-36+($J$35-1)*200),Processos!$AK$10:$AK$509,0))="","",INDEX(Processos!$AQ$10:$AQ$509,MATCH((ROW()-36+($J$35-1)*200),Processos!$AK$10:$AK$509,0))))</f>
        <v>99772.54</v>
      </c>
      <c r="E53" s="8">
        <f>IF((ROW()-36+($J$35-1)*200)&gt;COUNTIFS(Processos!$X$10:$X$509,1),"",IF(INDEX(Processos!$Z$10:$Z$509,MATCH((ROW()-36+($J$35-1)*200),Processos!$AK$10:$AK$509,0))="","",INDEX(Processos!$Z$10:$Z$509,MATCH((ROW()-36+($J$35-1)*200),Processos!$AK$10:$AK$509,0))))</f>
        <v>46052</v>
      </c>
      <c r="F53" s="6" t="str">
        <f>IF((ROW()-36+($J$35-1)*200)&gt;COUNTIFS(Processos!$X$10:$X$509,1),"",IF(IF(INDEX(Processos!$Y$10:$Y$509,MATCH((ROW()-36+($J$35-1)*200),Processos!$AK$10:$AK$509,0))=1,"Sim","Não")="","",IF(INDEX(Processos!$Y$10:$Y$509,MATCH((ROW()-36+($J$35-1)*200),Processos!$AK$10:$AK$509,0))=1,"Sim","Não")))</f>
        <v>Não</v>
      </c>
      <c r="G53" s="6" t="str">
        <f>IF((ROW()-36+($J$35-1)*200)&gt;COUNTIFS(Processos!$X$10:$X$509,1),"",IF(INDEX(Processos!$D$10:$D$509,MATCH((ROW()-36+($J$35-1)*200),Processos!$AK$10:$AK$509,0))="","",INDEX(Processos!$D$10:$D$509,MATCH((ROW()-36+($J$35-1)*200),Processos!$AK$10:$AK$509,0))))</f>
        <v>BMM Advogados</v>
      </c>
    </row>
    <row r="54" spans="1:7" ht="72" customHeight="1">
      <c r="A54" s="7" t="str">
        <f>IF((ROW()-36+($J$35-1)*200)&gt;COUNTIFS(Processos!$X$10:$X$509,1),"",IF(INDEX(Processos!$A$10:$A$509,MATCH((ROW()-36+($J$35-1)*200),Processos!$AK$10:$AK$509,0))="","",INDEX(Processos!$A$10:$A$509,MATCH((ROW()-36+($J$35-1)*200),Processos!$AK$10:$AK$509,0))))</f>
        <v>0010551-59.2023.5.18.0211</v>
      </c>
      <c r="B54" s="6" t="str">
        <f>IF((ROW()-36+($J$35-1)*200)&gt;COUNTIFS(Processos!$X$10:$X$509,1),"",IF(INDEX(Processos!$C$10:$C$509,MATCH((ROW()-36+($J$35-1)*200),Processos!$AK$10:$AK$509,0))="","",INDEX(Processos!$C$10:$C$509,MATCH((ROW()-36+($J$35-1)*200),Processos!$AK$10:$AK$509,0))))</f>
        <v>Arquivado</v>
      </c>
      <c r="C54"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ADEMILSON MENDES RIBEIRO × Consorcio Loctec Pavienge Cava Alta Setorsul Setorsul Transportes e Servi [...]</v>
      </c>
      <c r="D54" s="10">
        <f>IF((ROW()-36+($J$35-1)*200)&gt;COUNTIFS(Processos!$X$10:$X$509,1),"",IF(INDEX(Processos!$AQ$10:$AQ$509,MATCH((ROW()-36+($J$35-1)*200),Processos!$AK$10:$AK$509,0))="","",INDEX(Processos!$AQ$10:$AQ$509,MATCH((ROW()-36+($J$35-1)*200),Processos!$AK$10:$AK$509,0))))</f>
        <v>24328.71</v>
      </c>
      <c r="E54" s="8">
        <f>IF((ROW()-36+($J$35-1)*200)&gt;COUNTIFS(Processos!$X$10:$X$509,1),"",IF(INDEX(Processos!$Z$10:$Z$509,MATCH((ROW()-36+($J$35-1)*200),Processos!$AK$10:$AK$509,0))="","",INDEX(Processos!$Z$10:$Z$509,MATCH((ROW()-36+($J$35-1)*200),Processos!$AK$10:$AK$509,0))))</f>
        <v>46055</v>
      </c>
      <c r="F54" s="6" t="str">
        <f>IF((ROW()-36+($J$35-1)*200)&gt;COUNTIFS(Processos!$X$10:$X$509,1),"",IF(IF(INDEX(Processos!$Y$10:$Y$509,MATCH((ROW()-36+($J$35-1)*200),Processos!$AK$10:$AK$509,0))=1,"Sim","Não")="","",IF(INDEX(Processos!$Y$10:$Y$509,MATCH((ROW()-36+($J$35-1)*200),Processos!$AK$10:$AK$509,0))=1,"Sim","Não")))</f>
        <v>Não</v>
      </c>
      <c r="G54" s="6" t="str">
        <f>IF((ROW()-36+($J$35-1)*200)&gt;COUNTIFS(Processos!$X$10:$X$509,1),"",IF(INDEX(Processos!$D$10:$D$509,MATCH((ROW()-36+($J$35-1)*200),Processos!$AK$10:$AK$509,0))="","",INDEX(Processos!$D$10:$D$509,MATCH((ROW()-36+($J$35-1)*200),Processos!$AK$10:$AK$509,0))))</f>
        <v>BMM Advogados</v>
      </c>
    </row>
    <row r="55" spans="1:7" ht="72" customHeight="1">
      <c r="A55" s="7" t="str">
        <f>IF((ROW()-36+($J$35-1)*200)&gt;COUNTIFS(Processos!$X$10:$X$509,1),"",IF(INDEX(Processos!$A$10:$A$509,MATCH((ROW()-36+($J$35-1)*200),Processos!$AK$10:$AK$509,0))="","",INDEX(Processos!$A$10:$A$509,MATCH((ROW()-36+($J$35-1)*200),Processos!$AK$10:$AK$509,0))))</f>
        <v>0010458-96.2023.5.18.0211</v>
      </c>
      <c r="B55" s="6" t="str">
        <f>IF((ROW()-36+($J$35-1)*200)&gt;COUNTIFS(Processos!$X$10:$X$509,1),"",IF(INDEX(Processos!$C$10:$C$509,MATCH((ROW()-36+($J$35-1)*200),Processos!$AK$10:$AK$509,0))="","",INDEX(Processos!$C$10:$C$509,MATCH((ROW()-36+($J$35-1)*200),Processos!$AK$10:$AK$509,0))))</f>
        <v>Arquivado</v>
      </c>
      <c r="C55"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FRANCIS ALVES PEREIRA × Consorcio Loctec Pavienge Cava Alta Setorsul Setorsul Transportes e Serviços [...]</v>
      </c>
      <c r="D55" s="10">
        <f>IF((ROW()-36+($J$35-1)*200)&gt;COUNTIFS(Processos!$X$10:$X$509,1),"",IF(INDEX(Processos!$AQ$10:$AQ$509,MATCH((ROW()-36+($J$35-1)*200),Processos!$AK$10:$AK$509,0))="","",INDEX(Processos!$AQ$10:$AQ$509,MATCH((ROW()-36+($J$35-1)*200),Processos!$AK$10:$AK$509,0))))</f>
        <v>62703.23</v>
      </c>
      <c r="E55" s="8">
        <f>IF((ROW()-36+($J$35-1)*200)&gt;COUNTIFS(Processos!$X$10:$X$509,1),"",IF(INDEX(Processos!$Z$10:$Z$509,MATCH((ROW()-36+($J$35-1)*200),Processos!$AK$10:$AK$509,0))="","",INDEX(Processos!$Z$10:$Z$509,MATCH((ROW()-36+($J$35-1)*200),Processos!$AK$10:$AK$509,0))))</f>
        <v>46055</v>
      </c>
      <c r="F55" s="6" t="str">
        <f>IF((ROW()-36+($J$35-1)*200)&gt;COUNTIFS(Processos!$X$10:$X$509,1),"",IF(IF(INDEX(Processos!$Y$10:$Y$509,MATCH((ROW()-36+($J$35-1)*200),Processos!$AK$10:$AK$509,0))=1,"Sim","Não")="","",IF(INDEX(Processos!$Y$10:$Y$509,MATCH((ROW()-36+($J$35-1)*200),Processos!$AK$10:$AK$509,0))=1,"Sim","Não")))</f>
        <v>Não</v>
      </c>
      <c r="G55" s="6" t="str">
        <f>IF((ROW()-36+($J$35-1)*200)&gt;COUNTIFS(Processos!$X$10:$X$509,1),"",IF(INDEX(Processos!$D$10:$D$509,MATCH((ROW()-36+($J$35-1)*200),Processos!$AK$10:$AK$509,0))="","",INDEX(Processos!$D$10:$D$509,MATCH((ROW()-36+($J$35-1)*200),Processos!$AK$10:$AK$509,0))))</f>
        <v>BMM Advogados</v>
      </c>
    </row>
    <row r="56" spans="1:7" ht="72" customHeight="1">
      <c r="A56" s="7" t="str">
        <f>IF((ROW()-36+($J$35-1)*200)&gt;COUNTIFS(Processos!$X$10:$X$509,1),"",IF(INDEX(Processos!$A$10:$A$509,MATCH((ROW()-36+($J$35-1)*200),Processos!$AK$10:$AK$509,0))="","",INDEX(Processos!$A$10:$A$509,MATCH((ROW()-36+($J$35-1)*200),Processos!$AK$10:$AK$509,0))))</f>
        <v>0059400-23.2014.5.17.0141</v>
      </c>
      <c r="B56" s="6" t="str">
        <f>IF((ROW()-36+($J$35-1)*200)&gt;COUNTIFS(Processos!$X$10:$X$509,1),"",IF(INDEX(Processos!$C$10:$C$509,MATCH((ROW()-36+($J$35-1)*200),Processos!$AK$10:$AK$509,0))="","",INDEX(Processos!$C$10:$C$509,MATCH((ROW()-36+($J$35-1)*200),Processos!$AK$10:$AK$509,0))))</f>
        <v>Encerrado</v>
      </c>
      <c r="C56" s="6" t="str">
        <f>IF(LEN(SUBSTITUTE(SUBSTITUTE(IF(LEN(IF((ROW()-36+($J$35-1)*200)&gt;COUNTIFS(Processos!$X$10:$X$509,1),"",IF(INDEX(Processos!$H$10:$H$509,MATCH((ROW()-36+($J$35-1)*200),Processos!$AK$10:$AK$509,0))&amp;"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[...]",SUBSTITUTE(SUBSTITUTE(IF(LEN(IF((ROW()-36+($J$35-1)*200)&gt;COUNTIFS(Processos!$X$10:$X$509,1),"",IF(INDEX(Processos!$H$10:$H$509,MATCH((ROW()-36+($J$35-1)*200),Processos!$AK$10:$AK$509,0))&amp;"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"&amp;INDEX(Processos!$I$10:$I$509,MATCH((ROW()-36+($J$35-1)*200),Processos!$AK$10:$AK$509,0)))))&gt;190,LEFT(IF((ROW()-36+($J$35-1)*200)&gt;COUNTIFS(Processos!$X$10:$X$509,1),"",IF(INDEX(Processos!$H$10:$H$509,MATCH((ROW()-36+($J$35-1)*200),Processos!$AK$10:$AK$509,0))&amp;"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"&amp;INDEX(Processos!$I$10:$I$509,MATCH((ROW()-36+($J$35-1)*200),Processos!$AK$10:$AK$509,0)))),190)&amp;" [...]",IF((ROW()-36+($J$35-1)*200)&gt;COUNTIFS(Processos!$X$10:$X$509,1),"",IF(INDEX(Processos!$H$10:$H$509,MATCH((ROW()-36+($J$35-1)*200),Processos!$AK$10:$AK$509,0))&amp;"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JHONNI AUGUSTO SANTOS DE PAULA × Alta Engenharia de Infraestrutura LTDA DNIT - Departamento Nacional [...]</v>
      </c>
      <c r="D56" s="10">
        <f>IF((ROW()-36+($J$35-1)*200)&gt;COUNTIFS(Processos!$X$10:$X$509,1),"",IF(INDEX(Processos!$AQ$10:$AQ$509,MATCH((ROW()-36+($J$35-1)*200),Processos!$AK$10:$AK$509,0))="","",INDEX(Processos!$AQ$10:$AQ$509,MATCH((ROW()-36+($J$35-1)*200),Processos!$AK$10:$AK$509,0))))</f>
        <v>29000</v>
      </c>
      <c r="E56" s="8">
        <f>IF((ROW()-36+($J$35-1)*200)&gt;COUNTIFS(Processos!$X$10:$X$509,1),"",IF(INDEX(Processos!$Z$10:$Z$509,MATCH((ROW()-36+($J$35-1)*200),Processos!$AK$10:$AK$509,0))="","",INDEX(Processos!$Z$10:$Z$509,MATCH((ROW()-36+($J$35-1)*200),Processos!$AK$10:$AK$509,0))))</f>
        <v>46055</v>
      </c>
      <c r="F56" s="6" t="str">
        <f>IF((ROW()-36+($J$35-1)*200)&gt;COUNTIFS(Processos!$X$10:$X$509,1),"",IF(IF(INDEX(Processos!$Y$10:$Y$509,MATCH((ROW()-36+($J$35-1)*200),Processos!$AK$10:$AK$509,0))=1,"Sim","Não")="","",IF(INDEX(Processos!$Y$10:$Y$509,MATCH((ROW()-36+($J$35-1)*200),Processos!$AK$10:$AK$509,0))=1,"Sim","Não")))</f>
        <v>Não</v>
      </c>
      <c r="G56" s="6" t="str">
        <f>IF((ROW()-36+($J$35-1)*200)&gt;COUNTIFS(Processos!$X$10:$X$509,1),"",IF(INDEX(Processos!$D$10:$D$509,MATCH((ROW()-36+($J$35-1)*200),Processos!$AK$10:$AK$509,0))="","",INDEX(Processos!$D$10:$D$509,MATCH((ROW()-36+($J$35-1)*200),Processos!$AK$10:$AK$509,0))))</f>
        <v>BMM Advogados</v>
      </c>
    </row>
    <row r="57" spans="1:7" ht="72" customHeight="1">
      <c r="A57" s="7" t="str">
        <f>IF((ROW()-36+($J$35-1)*200)&gt;COUNTIFS(Processos!$X$10:$X$509,1),"",IF(INDEX(Processos!$A$10:$A$509,MATCH((ROW()-36+($J$35-1)*200),Processos!$AK$10:$AK$509,0))="","",INDEX(Processos!$A$10:$A$509,MATCH((ROW()-36+($J$35-1)*200),Processos!$AK$10:$AK$509,0))))</f>
        <v>5119575-46.2016.8.13.0024</v>
      </c>
      <c r="B57" s="6" t="str">
        <f>IF((ROW()-36+($J$35-1)*200)&gt;COUNTIFS(Processos!$X$10:$X$509,1),"",IF(INDEX(Processos!$C$10:$C$509,MATCH((ROW()-36+($J$35-1)*200),Processos!$AK$10:$AK$509,0))="","",INDEX(Processos!$C$10:$C$509,MATCH((ROW()-36+($J$35-1)*200),Processos!$AK$10:$AK$509,0))))</f>
        <v>Ativo</v>
      </c>
      <c r="C5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VIBRA ENERGIA S.A (vencidas no período de 16/10/2015 a 31/03/2016) × CONSÓRCIO INTEGRAL SPAVIAS TRAI [...]</v>
      </c>
      <c r="D57" s="10">
        <f>IF((ROW()-36+($J$35-1)*200)&gt;COUNTIFS(Processos!$X$10:$X$509,1),"",IF(INDEX(Processos!$AQ$10:$AQ$509,MATCH((ROW()-36+($J$35-1)*200),Processos!$AK$10:$AK$509,0))="","",INDEX(Processos!$AQ$10:$AQ$509,MATCH((ROW()-36+($J$35-1)*200),Processos!$AK$10:$AK$509,0))))</f>
        <v>50921.25</v>
      </c>
      <c r="E57" s="8">
        <f>IF((ROW()-36+($J$35-1)*200)&gt;COUNTIFS(Processos!$X$10:$X$509,1),"",IF(INDEX(Processos!$Z$10:$Z$509,MATCH((ROW()-36+($J$35-1)*200),Processos!$AK$10:$AK$509,0))="","",INDEX(Processos!$Z$10:$Z$509,MATCH((ROW()-36+($J$35-1)*200),Processos!$AK$10:$AK$509,0))))</f>
        <v>46052</v>
      </c>
      <c r="F57" s="6" t="str">
        <f>IF((ROW()-36+($J$35-1)*200)&gt;COUNTIFS(Processos!$X$10:$X$509,1),"",IF(IF(INDEX(Processos!$Y$10:$Y$509,MATCH((ROW()-36+($J$35-1)*200),Processos!$AK$10:$AK$509,0))=1,"Sim","Não")="","",IF(INDEX(Processos!$Y$10:$Y$509,MATCH((ROW()-36+($J$35-1)*200),Processos!$AK$10:$AK$509,0))=1,"Sim","Não")))</f>
        <v>Não</v>
      </c>
      <c r="G57" s="6" t="str">
        <f>IF((ROW()-36+($J$35-1)*200)&gt;COUNTIFS(Processos!$X$10:$X$509,1),"",IF(INDEX(Processos!$D$10:$D$509,MATCH((ROW()-36+($J$35-1)*200),Processos!$AK$10:$AK$509,0))="","",INDEX(Processos!$D$10:$D$509,MATCH((ROW()-36+($J$35-1)*200),Processos!$AK$10:$AK$509,0))))</f>
        <v>BMM Advogados</v>
      </c>
    </row>
    <row r="58" spans="1:7" ht="72" customHeight="1">
      <c r="A58" s="7" t="str">
        <f>IF((ROW()-36+($J$35-1)*200)&gt;COUNTIFS(Processos!$X$10:$X$509,1),"",IF(INDEX(Processos!$A$10:$A$509,MATCH((ROW()-36+($J$35-1)*200),Processos!$AK$10:$AK$509,0))="","",INDEX(Processos!$A$10:$A$509,MATCH((ROW()-36+($J$35-1)*200),Processos!$AK$10:$AK$509,0))))</f>
        <v>0052185-74.2016.8.09.0051</v>
      </c>
      <c r="B58" s="6" t="str">
        <f>IF((ROW()-36+($J$35-1)*200)&gt;COUNTIFS(Processos!$X$10:$X$509,1),"",IF(INDEX(Processos!$C$10:$C$509,MATCH((ROW()-36+($J$35-1)*200),Processos!$AK$10:$AK$509,0))="","",INDEX(Processos!$C$10:$C$509,MATCH((ROW()-36+($J$35-1)*200),Processos!$AK$10:$AK$509,0))))</f>
        <v>Ativo</v>
      </c>
      <c r="C5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MANOEL OLIVEIRA MACHADO NETTO × CONSORCIO TRAIL SPAVIAS ALTA</v>
      </c>
      <c r="D58" s="10">
        <f>IF((ROW()-36+($J$35-1)*200)&gt;COUNTIFS(Processos!$X$10:$X$509,1),"",IF(INDEX(Processos!$AQ$10:$AQ$509,MATCH((ROW()-36+($J$35-1)*200),Processos!$AK$10:$AK$509,0))="","",INDEX(Processos!$AQ$10:$AQ$509,MATCH((ROW()-36+($J$35-1)*200),Processos!$AK$10:$AK$509,0))))</f>
        <v>168024.19</v>
      </c>
      <c r="E58" s="8">
        <f>IF((ROW()-36+($J$35-1)*200)&gt;COUNTIFS(Processos!$X$10:$X$509,1),"",IF(INDEX(Processos!$Z$10:$Z$509,MATCH((ROW()-36+($J$35-1)*200),Processos!$AK$10:$AK$509,0))="","",INDEX(Processos!$Z$10:$Z$509,MATCH((ROW()-36+($J$35-1)*200),Processos!$AK$10:$AK$509,0))))</f>
        <v>46052</v>
      </c>
      <c r="F58" s="6" t="str">
        <f>IF((ROW()-36+($J$35-1)*200)&gt;COUNTIFS(Processos!$X$10:$X$509,1),"",IF(IF(INDEX(Processos!$Y$10:$Y$509,MATCH((ROW()-36+($J$35-1)*200),Processos!$AK$10:$AK$509,0))=1,"Sim","Não")="","",IF(INDEX(Processos!$Y$10:$Y$509,MATCH((ROW()-36+($J$35-1)*200),Processos!$AK$10:$AK$509,0))=1,"Sim","Não")))</f>
        <v>Não</v>
      </c>
      <c r="G58" s="6" t="str">
        <f>IF((ROW()-36+($J$35-1)*200)&gt;COUNTIFS(Processos!$X$10:$X$509,1),"",IF(INDEX(Processos!$D$10:$D$509,MATCH((ROW()-36+($J$35-1)*200),Processos!$AK$10:$AK$509,0))="","",INDEX(Processos!$D$10:$D$509,MATCH((ROW()-36+($J$35-1)*200),Processos!$AK$10:$AK$509,0))))</f>
        <v>BMM Advogados</v>
      </c>
    </row>
    <row r="59" spans="1:7" ht="72" customHeight="1">
      <c r="A59" s="7" t="str">
        <f>IF((ROW()-36+($J$35-1)*200)&gt;COUNTIFS(Processos!$X$10:$X$509,1),"",IF(INDEX(Processos!$A$10:$A$509,MATCH((ROW()-36+($J$35-1)*200),Processos!$AK$10:$AK$509,0))="","",INDEX(Processos!$A$10:$A$509,MATCH((ROW()-36+($J$35-1)*200),Processos!$AK$10:$AK$509,0))))</f>
        <v>5131188-29.2017.8.13.0024</v>
      </c>
      <c r="B59" s="6" t="str">
        <f>IF((ROW()-36+($J$35-1)*200)&gt;COUNTIFS(Processos!$X$10:$X$509,1),"",IF(INDEX(Processos!$C$10:$C$509,MATCH((ROW()-36+($J$35-1)*200),Processos!$AK$10:$AK$509,0))="","",INDEX(Processos!$C$10:$C$509,MATCH((ROW()-36+($J$35-1)*200),Processos!$AK$10:$AK$509,0))))</f>
        <v>Suspenso</v>
      </c>
      <c r="C5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MSM ENGENHARIA LTDA - ME × CONSÓRCIO INTEGRAL SPAVIAS TRAIL ALTA</v>
      </c>
      <c r="D59" s="10">
        <f>IF((ROW()-36+($J$35-1)*200)&gt;COUNTIFS(Processos!$X$10:$X$509,1),"",IF(INDEX(Processos!$AQ$10:$AQ$509,MATCH((ROW()-36+($J$35-1)*200),Processos!$AK$10:$AK$509,0))="","",INDEX(Processos!$AQ$10:$AQ$509,MATCH((ROW()-36+($J$35-1)*200),Processos!$AK$10:$AK$509,0))))</f>
        <v>267720.77</v>
      </c>
      <c r="E59" s="8">
        <f>IF((ROW()-36+($J$35-1)*200)&gt;COUNTIFS(Processos!$X$10:$X$509,1),"",IF(INDEX(Processos!$Z$10:$Z$509,MATCH((ROW()-36+($J$35-1)*200),Processos!$AK$10:$AK$509,0))="","",INDEX(Processos!$Z$10:$Z$509,MATCH((ROW()-36+($J$35-1)*200),Processos!$AK$10:$AK$509,0))))</f>
        <v>45840</v>
      </c>
      <c r="F59" s="6" t="str">
        <f>IF((ROW()-36+($J$35-1)*200)&gt;COUNTIFS(Processos!$X$10:$X$509,1),"",IF(IF(INDEX(Processos!$Y$10:$Y$509,MATCH((ROW()-36+($J$35-1)*200),Processos!$AK$10:$AK$509,0))=1,"Sim","Não")="","",IF(INDEX(Processos!$Y$10:$Y$509,MATCH((ROW()-36+($J$35-1)*200),Processos!$AK$10:$AK$509,0))=1,"Sim","Não")))</f>
        <v>Não</v>
      </c>
      <c r="G59" s="6" t="str">
        <f>IF((ROW()-36+($J$35-1)*200)&gt;COUNTIFS(Processos!$X$10:$X$509,1),"",IF(INDEX(Processos!$D$10:$D$509,MATCH((ROW()-36+($J$35-1)*200),Processos!$AK$10:$AK$509,0))="","",INDEX(Processos!$D$10:$D$509,MATCH((ROW()-36+($J$35-1)*200),Processos!$AK$10:$AK$509,0))))</f>
        <v>BMM Advogados</v>
      </c>
    </row>
    <row r="60" spans="1:7" ht="72" customHeight="1">
      <c r="A60" s="7" t="str">
        <f>IF((ROW()-36+($J$35-1)*200)&gt;COUNTIFS(Processos!$X$10:$X$509,1),"",IF(INDEX(Processos!$A$10:$A$509,MATCH((ROW()-36+($J$35-1)*200),Processos!$AK$10:$AK$509,0))="","",INDEX(Processos!$A$10:$A$509,MATCH((ROW()-36+($J$35-1)*200),Processos!$AK$10:$AK$509,0))))</f>
        <v>5071968-32.2019.8.13.0024</v>
      </c>
      <c r="B60" s="6" t="str">
        <f>IF((ROW()-36+($J$35-1)*200)&gt;COUNTIFS(Processos!$X$10:$X$509,1),"",IF(INDEX(Processos!$C$10:$C$509,MATCH((ROW()-36+($J$35-1)*200),Processos!$AK$10:$AK$509,0))="","",INDEX(Processos!$C$10:$C$509,MATCH((ROW()-36+($J$35-1)*200),Processos!$AK$10:$AK$509,0))))</f>
        <v>Arquivado</v>
      </c>
      <c r="C6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BOMSUCESSO TRANSPORTES EIRELI EPP × CONSÓRCIO INTEGRAL SPAVIAS TRAIL ALTA</v>
      </c>
      <c r="D60" s="10">
        <f>IF((ROW()-36+($J$35-1)*200)&gt;COUNTIFS(Processos!$X$10:$X$509,1),"",IF(INDEX(Processos!$AQ$10:$AQ$509,MATCH((ROW()-36+($J$35-1)*200),Processos!$AK$10:$AK$509,0))="","",INDEX(Processos!$AQ$10:$AQ$509,MATCH((ROW()-36+($J$35-1)*200),Processos!$AK$10:$AK$509,0))))</f>
        <v>520579.71</v>
      </c>
      <c r="E60" s="8">
        <f>IF((ROW()-36+($J$35-1)*200)&gt;COUNTIFS(Processos!$X$10:$X$509,1),"",IF(INDEX(Processos!$Z$10:$Z$509,MATCH((ROW()-36+($J$35-1)*200),Processos!$AK$10:$AK$509,0))="","",INDEX(Processos!$Z$10:$Z$509,MATCH((ROW()-36+($J$35-1)*200),Processos!$AK$10:$AK$509,0))))</f>
        <v>45562</v>
      </c>
      <c r="F60" s="6" t="str">
        <f>IF((ROW()-36+($J$35-1)*200)&gt;COUNTIFS(Processos!$X$10:$X$509,1),"",IF(IF(INDEX(Processos!$Y$10:$Y$509,MATCH((ROW()-36+($J$35-1)*200),Processos!$AK$10:$AK$509,0))=1,"Sim","Não")="","",IF(INDEX(Processos!$Y$10:$Y$509,MATCH((ROW()-36+($J$35-1)*200),Processos!$AK$10:$AK$509,0))=1,"Sim","Não")))</f>
        <v>Não</v>
      </c>
      <c r="G60" s="6" t="str">
        <f>IF((ROW()-36+($J$35-1)*200)&gt;COUNTIFS(Processos!$X$10:$X$509,1),"",IF(INDEX(Processos!$D$10:$D$509,MATCH((ROW()-36+($J$35-1)*200),Processos!$AK$10:$AK$509,0))="","",INDEX(Processos!$D$10:$D$509,MATCH((ROW()-36+($J$35-1)*200),Processos!$AK$10:$AK$509,0))))</f>
        <v>BMM Advogados</v>
      </c>
    </row>
    <row r="61" spans="1:7" ht="72" customHeight="1">
      <c r="A61" s="7" t="str">
        <f>IF((ROW()-36+($J$35-1)*200)&gt;COUNTIFS(Processos!$X$10:$X$509,1),"",IF(INDEX(Processos!$A$10:$A$509,MATCH((ROW()-36+($J$35-1)*200),Processos!$AK$10:$AK$509,0))="","",INDEX(Processos!$A$10:$A$509,MATCH((ROW()-36+($J$35-1)*200),Processos!$AK$10:$AK$509,0))))</f>
        <v>5321924-94.2018.8.09.0051</v>
      </c>
      <c r="B61" s="6" t="str">
        <f>IF((ROW()-36+($J$35-1)*200)&gt;COUNTIFS(Processos!$X$10:$X$509,1),"",IF(INDEX(Processos!$C$10:$C$509,MATCH((ROW()-36+($J$35-1)*200),Processos!$AK$10:$AK$509,0))="","",INDEX(Processos!$C$10:$C$509,MATCH((ROW()-36+($J$35-1)*200),Processos!$AK$10:$AK$509,0))))</f>
        <v>Ativo</v>
      </c>
      <c r="C6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GLOBO SERVICOS E TURISMO LTDA × CONSÓRCIO INTEGRAL SPAVIAS TRAIL ALTA</v>
      </c>
      <c r="D61" s="10">
        <f>IF((ROW()-36+($J$35-1)*200)&gt;COUNTIFS(Processos!$X$10:$X$509,1),"",IF(INDEX(Processos!$AQ$10:$AQ$509,MATCH((ROW()-36+($J$35-1)*200),Processos!$AK$10:$AK$509,0))="","",INDEX(Processos!$AQ$10:$AQ$509,MATCH((ROW()-36+($J$35-1)*200),Processos!$AK$10:$AK$509,0))))</f>
        <v>429296.48</v>
      </c>
      <c r="E61" s="8">
        <f>IF((ROW()-36+($J$35-1)*200)&gt;COUNTIFS(Processos!$X$10:$X$509,1),"",IF(INDEX(Processos!$Z$10:$Z$509,MATCH((ROW()-36+($J$35-1)*200),Processos!$AK$10:$AK$509,0))="","",INDEX(Processos!$Z$10:$Z$509,MATCH((ROW()-36+($J$35-1)*200),Processos!$AK$10:$AK$509,0))))</f>
        <v>46052</v>
      </c>
      <c r="F61" s="6" t="str">
        <f>IF((ROW()-36+($J$35-1)*200)&gt;COUNTIFS(Processos!$X$10:$X$509,1),"",IF(IF(INDEX(Processos!$Y$10:$Y$509,MATCH((ROW()-36+($J$35-1)*200),Processos!$AK$10:$AK$509,0))=1,"Sim","Não")="","",IF(INDEX(Processos!$Y$10:$Y$509,MATCH((ROW()-36+($J$35-1)*200),Processos!$AK$10:$AK$509,0))=1,"Sim","Não")))</f>
        <v>Não</v>
      </c>
      <c r="G61" s="6" t="str">
        <f>IF((ROW()-36+($J$35-1)*200)&gt;COUNTIFS(Processos!$X$10:$X$509,1),"",IF(INDEX(Processos!$D$10:$D$509,MATCH((ROW()-36+($J$35-1)*200),Processos!$AK$10:$AK$509,0))="","",INDEX(Processos!$D$10:$D$509,MATCH((ROW()-36+($J$35-1)*200),Processos!$AK$10:$AK$509,0))))</f>
        <v>BMM Advogados</v>
      </c>
    </row>
    <row r="62" spans="1:7" ht="72" customHeight="1">
      <c r="A62" s="7" t="str">
        <f>IF((ROW()-36+($J$35-1)*200)&gt;COUNTIFS(Processos!$X$10:$X$509,1),"",IF(INDEX(Processos!$A$10:$A$509,MATCH((ROW()-36+($J$35-1)*200),Processos!$AK$10:$AK$509,0))="","",INDEX(Processos!$A$10:$A$509,MATCH((ROW()-36+($J$35-1)*200),Processos!$AK$10:$AK$509,0))))</f>
        <v>5475775-26.2017.8.09.0137</v>
      </c>
      <c r="B62" s="6" t="str">
        <f>IF((ROW()-36+($J$35-1)*200)&gt;COUNTIFS(Processos!$X$10:$X$509,1),"",IF(INDEX(Processos!$C$10:$C$509,MATCH((ROW()-36+($J$35-1)*200),Processos!$AK$10:$AK$509,0))="","",INDEX(Processos!$C$10:$C$509,MATCH((ROW()-36+($J$35-1)*200),Processos!$AK$10:$AK$509,0))))</f>
        <v>Arquivado</v>
      </c>
      <c r="C6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GERMAQ EQUIPAMENTOS AGRÍCOLAS × CONSÓRCIO INTEGRAL SPAVIAS TRAIL ALTA</v>
      </c>
      <c r="D62" s="10">
        <f>IF((ROW()-36+($J$35-1)*200)&gt;COUNTIFS(Processos!$X$10:$X$509,1),"",IF(INDEX(Processos!$AQ$10:$AQ$509,MATCH((ROW()-36+($J$35-1)*200),Processos!$AK$10:$AK$509,0))="","",INDEX(Processos!$AQ$10:$AQ$509,MATCH((ROW()-36+($J$35-1)*200),Processos!$AK$10:$AK$509,0))))</f>
        <v>164916.37</v>
      </c>
      <c r="E62" s="8">
        <f>IF((ROW()-36+($J$35-1)*200)&gt;COUNTIFS(Processos!$X$10:$X$509,1),"",IF(INDEX(Processos!$Z$10:$Z$509,MATCH((ROW()-36+($J$35-1)*200),Processos!$AK$10:$AK$509,0))="","",INDEX(Processos!$Z$10:$Z$509,MATCH((ROW()-36+($J$35-1)*200),Processos!$AK$10:$AK$509,0))))</f>
        <v>46073</v>
      </c>
      <c r="F62" s="6" t="str">
        <f>IF((ROW()-36+($J$35-1)*200)&gt;COUNTIFS(Processos!$X$10:$X$509,1),"",IF(IF(INDEX(Processos!$Y$10:$Y$509,MATCH((ROW()-36+($J$35-1)*200),Processos!$AK$10:$AK$509,0))=1,"Sim","Não")="","",IF(INDEX(Processos!$Y$10:$Y$509,MATCH((ROW()-36+($J$35-1)*200),Processos!$AK$10:$AK$509,0))=1,"Sim","Não")))</f>
        <v>Não</v>
      </c>
      <c r="G62" s="6" t="str">
        <f>IF((ROW()-36+($J$35-1)*200)&gt;COUNTIFS(Processos!$X$10:$X$509,1),"",IF(INDEX(Processos!$D$10:$D$509,MATCH((ROW()-36+($J$35-1)*200),Processos!$AK$10:$AK$509,0))="","",INDEX(Processos!$D$10:$D$509,MATCH((ROW()-36+($J$35-1)*200),Processos!$AK$10:$AK$509,0))))</f>
        <v>BMM Advogados</v>
      </c>
    </row>
    <row r="63" spans="1:7" ht="72" customHeight="1">
      <c r="A63" s="7" t="str">
        <f>IF((ROW()-36+($J$35-1)*200)&gt;COUNTIFS(Processos!$X$10:$X$509,1),"",IF(INDEX(Processos!$A$10:$A$509,MATCH((ROW()-36+($J$35-1)*200),Processos!$AK$10:$AK$509,0))="","",INDEX(Processos!$A$10:$A$509,MATCH((ROW()-36+($J$35-1)*200),Processos!$AK$10:$AK$509,0))))</f>
        <v>5116564-98.2018.8.09.0137 [BMM-027]</v>
      </c>
      <c r="B63" s="6" t="str">
        <f>IF((ROW()-36+($J$35-1)*200)&gt;COUNTIFS(Processos!$X$10:$X$509,1),"",IF(INDEX(Processos!$C$10:$C$509,MATCH((ROW()-36+($J$35-1)*200),Processos!$AK$10:$AK$509,0))="","",INDEX(Processos!$C$10:$C$509,MATCH((ROW()-36+($J$35-1)*200),Processos!$AK$10:$AK$509,0))))</f>
        <v>Encerrado</v>
      </c>
      <c r="C6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AQUILERA OLIVEIRA FERRAMENTAS × CONSÓRCIO INTEGRAL SPAVIAS TRAIL ALTA</v>
      </c>
      <c r="D63" s="10">
        <f>IF((ROW()-36+($J$35-1)*200)&gt;COUNTIFS(Processos!$X$10:$X$509,1),"",IF(INDEX(Processos!$AQ$10:$AQ$509,MATCH((ROW()-36+($J$35-1)*200),Processos!$AK$10:$AK$509,0))="","",INDEX(Processos!$AQ$10:$AQ$509,MATCH((ROW()-36+($J$35-1)*200),Processos!$AK$10:$AK$509,0))))</f>
        <v>69937.05</v>
      </c>
      <c r="E63" s="8">
        <f>IF((ROW()-36+($J$35-1)*200)&gt;COUNTIFS(Processos!$X$10:$X$509,1),"",IF(INDEX(Processos!$Z$10:$Z$509,MATCH((ROW()-36+($J$35-1)*200),Processos!$AK$10:$AK$509,0))="","",INDEX(Processos!$Z$10:$Z$509,MATCH((ROW()-36+($J$35-1)*200),Processos!$AK$10:$AK$509,0))))</f>
        <v>45548</v>
      </c>
      <c r="F63" s="6" t="str">
        <f>IF((ROW()-36+($J$35-1)*200)&gt;COUNTIFS(Processos!$X$10:$X$509,1),"",IF(IF(INDEX(Processos!$Y$10:$Y$509,MATCH((ROW()-36+($J$35-1)*200),Processos!$AK$10:$AK$509,0))=1,"Sim","Não")="","",IF(INDEX(Processos!$Y$10:$Y$509,MATCH((ROW()-36+($J$35-1)*200),Processos!$AK$10:$AK$509,0))=1,"Sim","Não")))</f>
        <v>Não</v>
      </c>
      <c r="G63" s="6" t="str">
        <f>IF((ROW()-36+($J$35-1)*200)&gt;COUNTIFS(Processos!$X$10:$X$509,1),"",IF(INDEX(Processos!$D$10:$D$509,MATCH((ROW()-36+($J$35-1)*200),Processos!$AK$10:$AK$509,0))="","",INDEX(Processos!$D$10:$D$509,MATCH((ROW()-36+($J$35-1)*200),Processos!$AK$10:$AK$509,0))))</f>
        <v>BMM Advogados</v>
      </c>
    </row>
    <row r="64" spans="1:7" ht="72" customHeight="1">
      <c r="A64" s="7" t="str">
        <f>IF((ROW()-36+($J$35-1)*200)&gt;COUNTIFS(Processos!$X$10:$X$509,1),"",IF(INDEX(Processos!$A$10:$A$509,MATCH((ROW()-36+($J$35-1)*200),Processos!$AK$10:$AK$509,0))="","",INDEX(Processos!$A$10:$A$509,MATCH((ROW()-36+($J$35-1)*200),Processos!$AK$10:$AK$509,0))))</f>
        <v>5173200-24.2018.8.13.0024</v>
      </c>
      <c r="B64" s="6" t="str">
        <f>IF((ROW()-36+($J$35-1)*200)&gt;COUNTIFS(Processos!$X$10:$X$509,1),"",IF(INDEX(Processos!$C$10:$C$509,MATCH((ROW()-36+($J$35-1)*200),Processos!$AK$10:$AK$509,0))="","",INDEX(Processos!$C$10:$C$509,MATCH((ROW()-36+($J$35-1)*200),Processos!$AK$10:$AK$509,0))))</f>
        <v>Ativo</v>
      </c>
      <c r="C6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MACCAFERRI DO BRASIL LTDA × 1 - CONSÓRCIO SPAVIAS CAVA 2 - SPAVIAS ENGENHARIA LTDA</v>
      </c>
      <c r="D64" s="10">
        <f>IF((ROW()-36+($J$35-1)*200)&gt;COUNTIFS(Processos!$X$10:$X$509,1),"",IF(INDEX(Processos!$AQ$10:$AQ$509,MATCH((ROW()-36+($J$35-1)*200),Processos!$AK$10:$AK$509,0))="","",INDEX(Processos!$AQ$10:$AQ$509,MATCH((ROW()-36+($J$35-1)*200),Processos!$AK$10:$AK$509,0))))</f>
        <v>95594.39</v>
      </c>
      <c r="E64" s="8">
        <f>IF((ROW()-36+($J$35-1)*200)&gt;COUNTIFS(Processos!$X$10:$X$509,1),"",IF(INDEX(Processos!$Z$10:$Z$509,MATCH((ROW()-36+($J$35-1)*200),Processos!$AK$10:$AK$509,0))="","",INDEX(Processos!$Z$10:$Z$509,MATCH((ROW()-36+($J$35-1)*200),Processos!$AK$10:$AK$509,0))))</f>
        <v>46093</v>
      </c>
      <c r="F64" s="6" t="str">
        <f>IF((ROW()-36+($J$35-1)*200)&gt;COUNTIFS(Processos!$X$10:$X$509,1),"",IF(IF(INDEX(Processos!$Y$10:$Y$509,MATCH((ROW()-36+($J$35-1)*200),Processos!$AK$10:$AK$509,0))=1,"Sim","Não")="","",IF(INDEX(Processos!$Y$10:$Y$509,MATCH((ROW()-36+($J$35-1)*200),Processos!$AK$10:$AK$509,0))=1,"Sim","Não")))</f>
        <v>Não</v>
      </c>
      <c r="G64" s="6" t="str">
        <f>IF((ROW()-36+($J$35-1)*200)&gt;COUNTIFS(Processos!$X$10:$X$509,1),"",IF(INDEX(Processos!$D$10:$D$509,MATCH((ROW()-36+($J$35-1)*200),Processos!$AK$10:$AK$509,0))="","",INDEX(Processos!$D$10:$D$509,MATCH((ROW()-36+($J$35-1)*200),Processos!$AK$10:$AK$509,0))))</f>
        <v>BMM Advogados</v>
      </c>
    </row>
    <row r="65" spans="1:7" ht="72" customHeight="1">
      <c r="A65" s="7" t="str">
        <f>IF((ROW()-36+($J$35-1)*200)&gt;COUNTIFS(Processos!$X$10:$X$509,1),"",IF(INDEX(Processos!$A$10:$A$509,MATCH((ROW()-36+($J$35-1)*200),Processos!$AK$10:$AK$509,0))="","",INDEX(Processos!$A$10:$A$509,MATCH((ROW()-36+($J$35-1)*200),Processos!$AK$10:$AK$509,0))))</f>
        <v>5028530-58.2016.8.13.0024</v>
      </c>
      <c r="B65" s="6" t="str">
        <f>IF((ROW()-36+($J$35-1)*200)&gt;COUNTIFS(Processos!$X$10:$X$509,1),"",IF(INDEX(Processos!$C$10:$C$509,MATCH((ROW()-36+($J$35-1)*200),Processos!$AK$10:$AK$509,0))="","",INDEX(Processos!$C$10:$C$509,MATCH((ROW()-36+($J$35-1)*200),Processos!$AK$10:$AK$509,0))))</f>
        <v>Arquivado</v>
      </c>
      <c r="C6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GOYA INDUSTRIA E COMÉRCIO DE ÁGUA MINERAL LTDA × CONSÓRCIO INTEGRAL SPAVIAS TRAIL ALTA</v>
      </c>
      <c r="D65" s="10">
        <f>IF((ROW()-36+($J$35-1)*200)&gt;COUNTIFS(Processos!$X$10:$X$509,1),"",IF(INDEX(Processos!$AQ$10:$AQ$509,MATCH((ROW()-36+($J$35-1)*200),Processos!$AK$10:$AK$509,0))="","",INDEX(Processos!$AQ$10:$AQ$509,MATCH((ROW()-36+($J$35-1)*200),Processos!$AK$10:$AK$509,0))))</f>
        <v>3467.48</v>
      </c>
      <c r="E65" s="8">
        <f>IF((ROW()-36+($J$35-1)*200)&gt;COUNTIFS(Processos!$X$10:$X$509,1),"",IF(INDEX(Processos!$Z$10:$Z$509,MATCH((ROW()-36+($J$35-1)*200),Processos!$AK$10:$AK$509,0))="","",INDEX(Processos!$Z$10:$Z$509,MATCH((ROW()-36+($J$35-1)*200),Processos!$AK$10:$AK$509,0))))</f>
        <v>45763</v>
      </c>
      <c r="F65" s="6" t="str">
        <f>IF((ROW()-36+($J$35-1)*200)&gt;COUNTIFS(Processos!$X$10:$X$509,1),"",IF(IF(INDEX(Processos!$Y$10:$Y$509,MATCH((ROW()-36+($J$35-1)*200),Processos!$AK$10:$AK$509,0))=1,"Sim","Não")="","",IF(INDEX(Processos!$Y$10:$Y$509,MATCH((ROW()-36+($J$35-1)*200),Processos!$AK$10:$AK$509,0))=1,"Sim","Não")))</f>
        <v>Não</v>
      </c>
      <c r="G65" s="6" t="str">
        <f>IF((ROW()-36+($J$35-1)*200)&gt;COUNTIFS(Processos!$X$10:$X$509,1),"",IF(INDEX(Processos!$D$10:$D$509,MATCH((ROW()-36+($J$35-1)*200),Processos!$AK$10:$AK$509,0))="","",INDEX(Processos!$D$10:$D$509,MATCH((ROW()-36+($J$35-1)*200),Processos!$AK$10:$AK$509,0))))</f>
        <v>BMM Advogados</v>
      </c>
    </row>
    <row r="66" spans="1:7" ht="72" customHeight="1">
      <c r="A66" s="7" t="str">
        <f>IF((ROW()-36+($J$35-1)*200)&gt;COUNTIFS(Processos!$X$10:$X$509,1),"",IF(INDEX(Processos!$A$10:$A$509,MATCH((ROW()-36+($J$35-1)*200),Processos!$AK$10:$AK$509,0))="","",INDEX(Processos!$A$10:$A$509,MATCH((ROW()-36+($J$35-1)*200),Processos!$AK$10:$AK$509,0))))</f>
        <v>5144250-31.2019.8.09.0137</v>
      </c>
      <c r="B66" s="6" t="str">
        <f>IF((ROW()-36+($J$35-1)*200)&gt;COUNTIFS(Processos!$X$10:$X$509,1),"",IF(INDEX(Processos!$C$10:$C$509,MATCH((ROW()-36+($J$35-1)*200),Processos!$AK$10:$AK$509,0))="","",INDEX(Processos!$C$10:$C$509,MATCH((ROW()-36+($J$35-1)*200),Processos!$AK$10:$AK$509,0))))</f>
        <v>Arquivado</v>
      </c>
      <c r="C6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MARIA ANTONIA DE SATELES FARIA × CONSÓRCIO INTEGRAL SPAVIAS TRAIL ALTA</v>
      </c>
      <c r="D66" s="10">
        <f>IF((ROW()-36+($J$35-1)*200)&gt;COUNTIFS(Processos!$X$10:$X$509,1),"",IF(INDEX(Processos!$AQ$10:$AQ$509,MATCH((ROW()-36+($J$35-1)*200),Processos!$AK$10:$AK$509,0))="","",INDEX(Processos!$AQ$10:$AQ$509,MATCH((ROW()-36+($J$35-1)*200),Processos!$AK$10:$AK$509,0))))</f>
        <v>19594.07</v>
      </c>
      <c r="E66" s="8">
        <f>IF((ROW()-36+($J$35-1)*200)&gt;COUNTIFS(Processos!$X$10:$X$509,1),"",IF(INDEX(Processos!$Z$10:$Z$509,MATCH((ROW()-36+($J$35-1)*200),Processos!$AK$10:$AK$509,0))="","",INDEX(Processos!$Z$10:$Z$509,MATCH((ROW()-36+($J$35-1)*200),Processos!$AK$10:$AK$509,0))))</f>
        <v>45229</v>
      </c>
      <c r="F66" s="6" t="str">
        <f>IF((ROW()-36+($J$35-1)*200)&gt;COUNTIFS(Processos!$X$10:$X$509,1),"",IF(IF(INDEX(Processos!$Y$10:$Y$509,MATCH((ROW()-36+($J$35-1)*200),Processos!$AK$10:$AK$509,0))=1,"Sim","Não")="","",IF(INDEX(Processos!$Y$10:$Y$509,MATCH((ROW()-36+($J$35-1)*200),Processos!$AK$10:$AK$509,0))=1,"Sim","Não")))</f>
        <v>Não</v>
      </c>
      <c r="G66" s="6" t="str">
        <f>IF((ROW()-36+($J$35-1)*200)&gt;COUNTIFS(Processos!$X$10:$X$509,1),"",IF(INDEX(Processos!$D$10:$D$509,MATCH((ROW()-36+($J$35-1)*200),Processos!$AK$10:$AK$509,0))="","",INDEX(Processos!$D$10:$D$509,MATCH((ROW()-36+($J$35-1)*200),Processos!$AK$10:$AK$509,0))))</f>
        <v>BMM Advogados</v>
      </c>
    </row>
    <row r="67" spans="1:7" ht="72" customHeight="1">
      <c r="A67" s="7" t="str">
        <f>IF((ROW()-36+($J$35-1)*200)&gt;COUNTIFS(Processos!$X$10:$X$509,1),"",IF(INDEX(Processos!$A$10:$A$509,MATCH((ROW()-36+($J$35-1)*200),Processos!$AK$10:$AK$509,0))="","",INDEX(Processos!$A$10:$A$509,MATCH((ROW()-36+($J$35-1)*200),Processos!$AK$10:$AK$509,0))))</f>
        <v>5116378-75.2018.8.09.0137</v>
      </c>
      <c r="B67" s="6" t="str">
        <f>IF((ROW()-36+($J$35-1)*200)&gt;COUNTIFS(Processos!$X$10:$X$509,1),"",IF(INDEX(Processos!$C$10:$C$509,MATCH((ROW()-36+($J$35-1)*200),Processos!$AK$10:$AK$509,0))="","",INDEX(Processos!$C$10:$C$509,MATCH((ROW()-36+($J$35-1)*200),Processos!$AK$10:$AK$509,0))))</f>
        <v>Ativo</v>
      </c>
      <c r="C6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SOLUÇÕES MATERIAIS DE LIMPEZA, HIGIENE, FERRAMENTAS × CONSÓRCIO INTEGRAL SPAVIAS TRAIL ALTA</v>
      </c>
      <c r="D67" s="10">
        <f>IF((ROW()-36+($J$35-1)*200)&gt;COUNTIFS(Processos!$X$10:$X$509,1),"",IF(INDEX(Processos!$AQ$10:$AQ$509,MATCH((ROW()-36+($J$35-1)*200),Processos!$AK$10:$AK$509,0))="","",INDEX(Processos!$AQ$10:$AQ$509,MATCH((ROW()-36+($J$35-1)*200),Processos!$AK$10:$AK$509,0))))</f>
        <v>24909.81</v>
      </c>
      <c r="E67" s="8">
        <f>IF((ROW()-36+($J$35-1)*200)&gt;COUNTIFS(Processos!$X$10:$X$509,1),"",IF(INDEX(Processos!$Z$10:$Z$509,MATCH((ROW()-36+($J$35-1)*200),Processos!$AK$10:$AK$509,0))="","",INDEX(Processos!$Z$10:$Z$509,MATCH((ROW()-36+($J$35-1)*200),Processos!$AK$10:$AK$509,0))))</f>
        <v>46029</v>
      </c>
      <c r="F67" s="6" t="str">
        <f>IF((ROW()-36+($J$35-1)*200)&gt;COUNTIFS(Processos!$X$10:$X$509,1),"",IF(IF(INDEX(Processos!$Y$10:$Y$509,MATCH((ROW()-36+($J$35-1)*200),Processos!$AK$10:$AK$509,0))=1,"Sim","Não")="","",IF(INDEX(Processos!$Y$10:$Y$509,MATCH((ROW()-36+($J$35-1)*200),Processos!$AK$10:$AK$509,0))=1,"Sim","Não")))</f>
        <v>Não</v>
      </c>
      <c r="G67" s="6" t="str">
        <f>IF((ROW()-36+($J$35-1)*200)&gt;COUNTIFS(Processos!$X$10:$X$509,1),"",IF(INDEX(Processos!$D$10:$D$509,MATCH((ROW()-36+($J$35-1)*200),Processos!$AK$10:$AK$509,0))="","",INDEX(Processos!$D$10:$D$509,MATCH((ROW()-36+($J$35-1)*200),Processos!$AK$10:$AK$509,0))))</f>
        <v>BMM Advogados</v>
      </c>
    </row>
    <row r="68" spans="1:7" ht="72" customHeight="1">
      <c r="A68" s="7" t="str">
        <f>IF((ROW()-36+($J$35-1)*200)&gt;COUNTIFS(Processos!$X$10:$X$509,1),"",IF(INDEX(Processos!$A$10:$A$509,MATCH((ROW()-36+($J$35-1)*200),Processos!$AK$10:$AK$509,0))="","",INDEX(Processos!$A$10:$A$509,MATCH((ROW()-36+($J$35-1)*200),Processos!$AK$10:$AK$509,0))))</f>
        <v>0001353-64.2013.5.05.0581</v>
      </c>
      <c r="B68" s="6" t="str">
        <f>IF((ROW()-36+($J$35-1)*200)&gt;COUNTIFS(Processos!$X$10:$X$509,1),"",IF(INDEX(Processos!$C$10:$C$509,MATCH((ROW()-36+($J$35-1)*200),Processos!$AK$10:$AK$509,0))="","",INDEX(Processos!$C$10:$C$509,MATCH((ROW()-36+($J$35-1)*200),Processos!$AK$10:$AK$509,0))))</f>
        <v>Ativo</v>
      </c>
      <c r="C6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SINDICATO DOS TRAB. IND. DA CONST. EST. PAV OBRAS × CONSÓRCIO TRAIL-SPAVIAS-ALTA</v>
      </c>
      <c r="D68" s="10">
        <f>IF((ROW()-36+($J$35-1)*200)&gt;COUNTIFS(Processos!$X$10:$X$509,1),"",IF(INDEX(Processos!$AQ$10:$AQ$509,MATCH((ROW()-36+($J$35-1)*200),Processos!$AK$10:$AK$509,0))="","",INDEX(Processos!$AQ$10:$AQ$509,MATCH((ROW()-36+($J$35-1)*200),Processos!$AK$10:$AK$509,0))))</f>
        <v>5000</v>
      </c>
      <c r="E68" s="8">
        <f>IF((ROW()-36+($J$35-1)*200)&gt;COUNTIFS(Processos!$X$10:$X$509,1),"",IF(INDEX(Processos!$Z$10:$Z$509,MATCH((ROW()-36+($J$35-1)*200),Processos!$AK$10:$AK$509,0))="","",INDEX(Processos!$Z$10:$Z$509,MATCH((ROW()-36+($J$35-1)*200),Processos!$AK$10:$AK$509,0))))</f>
        <v>46052</v>
      </c>
      <c r="F68" s="6" t="str">
        <f>IF((ROW()-36+($J$35-1)*200)&gt;COUNTIFS(Processos!$X$10:$X$509,1),"",IF(IF(INDEX(Processos!$Y$10:$Y$509,MATCH((ROW()-36+($J$35-1)*200),Processos!$AK$10:$AK$509,0))=1,"Sim","Não")="","",IF(INDEX(Processos!$Y$10:$Y$509,MATCH((ROW()-36+($J$35-1)*200),Processos!$AK$10:$AK$509,0))=1,"Sim","Não")))</f>
        <v>Não</v>
      </c>
      <c r="G68" s="6" t="str">
        <f>IF((ROW()-36+($J$35-1)*200)&gt;COUNTIFS(Processos!$X$10:$X$509,1),"",IF(INDEX(Processos!$D$10:$D$509,MATCH((ROW()-36+($J$35-1)*200),Processos!$AK$10:$AK$509,0))="","",INDEX(Processos!$D$10:$D$509,MATCH((ROW()-36+($J$35-1)*200),Processos!$AK$10:$AK$509,0))))</f>
        <v>BMM Advogados</v>
      </c>
    </row>
    <row r="69" spans="1:7" ht="72" customHeight="1">
      <c r="A69" s="7" t="str">
        <f>IF((ROW()-36+($J$35-1)*200)&gt;COUNTIFS(Processos!$X$10:$X$509,1),"",IF(INDEX(Processos!$A$10:$A$509,MATCH((ROW()-36+($J$35-1)*200),Processos!$AK$10:$AK$509,0))="","",INDEX(Processos!$A$10:$A$509,MATCH((ROW()-36+($J$35-1)*200),Processos!$AK$10:$AK$509,0))))</f>
        <v>0010565-52.2018.5.18.0103</v>
      </c>
      <c r="B69" s="6" t="str">
        <f>IF((ROW()-36+($J$35-1)*200)&gt;COUNTIFS(Processos!$X$10:$X$509,1),"",IF(INDEX(Processos!$C$10:$C$509,MATCH((ROW()-36+($J$35-1)*200),Processos!$AK$10:$AK$509,0))="","",INDEX(Processos!$C$10:$C$509,MATCH((ROW()-36+($J$35-1)*200),Processos!$AK$10:$AK$509,0))))</f>
        <v>Suspenso</v>
      </c>
      <c r="C6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WELLINGTON VIEIRA DE OLIVEIRA × CONSÓRCIO INTEGRAL SPAVIAS TRAIL ALTA</v>
      </c>
      <c r="D69" s="10">
        <f>IF((ROW()-36+($J$35-1)*200)&gt;COUNTIFS(Processos!$X$10:$X$509,1),"",IF(INDEX(Processos!$AQ$10:$AQ$509,MATCH((ROW()-36+($J$35-1)*200),Processos!$AK$10:$AK$509,0))="","",INDEX(Processos!$AQ$10:$AQ$509,MATCH((ROW()-36+($J$35-1)*200),Processos!$AK$10:$AK$509,0))))</f>
        <v>16946.439999999999</v>
      </c>
      <c r="E69" s="8">
        <f>IF((ROW()-36+($J$35-1)*200)&gt;COUNTIFS(Processos!$X$10:$X$509,1),"",IF(INDEX(Processos!$Z$10:$Z$509,MATCH((ROW()-36+($J$35-1)*200),Processos!$AK$10:$AK$509,0))="","",INDEX(Processos!$Z$10:$Z$509,MATCH((ROW()-36+($J$35-1)*200),Processos!$AK$10:$AK$509,0))))</f>
        <v>46052</v>
      </c>
      <c r="F69" s="6" t="str">
        <f>IF((ROW()-36+($J$35-1)*200)&gt;COUNTIFS(Processos!$X$10:$X$509,1),"",IF(IF(INDEX(Processos!$Y$10:$Y$509,MATCH((ROW()-36+($J$35-1)*200),Processos!$AK$10:$AK$509,0))=1,"Sim","Não")="","",IF(INDEX(Processos!$Y$10:$Y$509,MATCH((ROW()-36+($J$35-1)*200),Processos!$AK$10:$AK$509,0))=1,"Sim","Não")))</f>
        <v>Não</v>
      </c>
      <c r="G69" s="6" t="str">
        <f>IF((ROW()-36+($J$35-1)*200)&gt;COUNTIFS(Processos!$X$10:$X$509,1),"",IF(INDEX(Processos!$D$10:$D$509,MATCH((ROW()-36+($J$35-1)*200),Processos!$AK$10:$AK$509,0))="","",INDEX(Processos!$D$10:$D$509,MATCH((ROW()-36+($J$35-1)*200),Processos!$AK$10:$AK$509,0))))</f>
        <v>BMM Advogados</v>
      </c>
    </row>
    <row r="70" spans="1:7" ht="72" customHeight="1">
      <c r="A70" s="7" t="str">
        <f>IF((ROW()-36+($J$35-1)*200)&gt;COUNTIFS(Processos!$X$10:$X$509,1),"",IF(INDEX(Processos!$A$10:$A$509,MATCH((ROW()-36+($J$35-1)*200),Processos!$AK$10:$AK$509,0))="","",INDEX(Processos!$A$10:$A$509,MATCH((ROW()-36+($J$35-1)*200),Processos!$AK$10:$AK$509,0))))</f>
        <v>0019397-14.2017.5.16.0023</v>
      </c>
      <c r="B70" s="6" t="str">
        <f>IF((ROW()-36+($J$35-1)*200)&gt;COUNTIFS(Processos!$X$10:$X$509,1),"",IF(INDEX(Processos!$C$10:$C$509,MATCH((ROW()-36+($J$35-1)*200),Processos!$AK$10:$AK$509,0))="","",INDEX(Processos!$C$10:$C$509,MATCH((ROW()-36+($J$35-1)*200),Processos!$AK$10:$AK$509,0))))</f>
        <v>Ativo</v>
      </c>
      <c r="C7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LEONARDO FERREIRA SOUSA × CONSÓRCIO INTEGRAL SPAVIAS TRAIL ALTA</v>
      </c>
      <c r="D70" s="10">
        <f>IF((ROW()-36+($J$35-1)*200)&gt;COUNTIFS(Processos!$X$10:$X$509,1),"",IF(INDEX(Processos!$AQ$10:$AQ$509,MATCH((ROW()-36+($J$35-1)*200),Processos!$AK$10:$AK$509,0))="","",INDEX(Processos!$AQ$10:$AQ$509,MATCH((ROW()-36+($J$35-1)*200),Processos!$AK$10:$AK$509,0))))</f>
        <v>54939.72</v>
      </c>
      <c r="E70" s="8">
        <f>IF((ROW()-36+($J$35-1)*200)&gt;COUNTIFS(Processos!$X$10:$X$509,1),"",IF(INDEX(Processos!$Z$10:$Z$509,MATCH((ROW()-36+($J$35-1)*200),Processos!$AK$10:$AK$509,0))="","",INDEX(Processos!$Z$10:$Z$509,MATCH((ROW()-36+($J$35-1)*200),Processos!$AK$10:$AK$509,0))))</f>
        <v>46052</v>
      </c>
      <c r="F70" s="6" t="str">
        <f>IF((ROW()-36+($J$35-1)*200)&gt;COUNTIFS(Processos!$X$10:$X$509,1),"",IF(IF(INDEX(Processos!$Y$10:$Y$509,MATCH((ROW()-36+($J$35-1)*200),Processos!$AK$10:$AK$509,0))=1,"Sim","Não")="","",IF(INDEX(Processos!$Y$10:$Y$509,MATCH((ROW()-36+($J$35-1)*200),Processos!$AK$10:$AK$509,0))=1,"Sim","Não")))</f>
        <v>Não</v>
      </c>
      <c r="G70" s="6" t="str">
        <f>IF((ROW()-36+($J$35-1)*200)&gt;COUNTIFS(Processos!$X$10:$X$509,1),"",IF(INDEX(Processos!$D$10:$D$509,MATCH((ROW()-36+($J$35-1)*200),Processos!$AK$10:$AK$509,0))="","",INDEX(Processos!$D$10:$D$509,MATCH((ROW()-36+($J$35-1)*200),Processos!$AK$10:$AK$509,0))))</f>
        <v>BMM Advogados</v>
      </c>
    </row>
    <row r="71" spans="1:7" ht="72" customHeight="1">
      <c r="A71" s="7" t="str">
        <f>IF((ROW()-36+($J$35-1)*200)&gt;COUNTIFS(Processos!$X$10:$X$509,1),"",IF(INDEX(Processos!$A$10:$A$509,MATCH((ROW()-36+($J$35-1)*200),Processos!$AK$10:$AK$509,0))="","",INDEX(Processos!$A$10:$A$509,MATCH((ROW()-36+($J$35-1)*200),Processos!$AK$10:$AK$509,0))))</f>
        <v>0010754-56.2020.5.18.0104</v>
      </c>
      <c r="B71" s="6" t="str">
        <f>IF((ROW()-36+($J$35-1)*200)&gt;COUNTIFS(Processos!$X$10:$X$509,1),"",IF(INDEX(Processos!$C$10:$C$509,MATCH((ROW()-36+($J$35-1)*200),Processos!$AK$10:$AK$509,0))="","",INDEX(Processos!$C$10:$C$509,MATCH((ROW()-36+($J$35-1)*200),Processos!$AK$10:$AK$509,0))))</f>
        <v>Ativo</v>
      </c>
      <c r="C7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1 - Irani Vieira de Almeida 2 - Claudete Lourdes Antunes 3 - Elisângela Lourdes Antuntes 4 - Anderso [...]</v>
      </c>
      <c r="D71" s="10">
        <f>IF((ROW()-36+($J$35-1)*200)&gt;COUNTIFS(Processos!$X$10:$X$509,1),"",IF(INDEX(Processos!$AQ$10:$AQ$509,MATCH((ROW()-36+($J$35-1)*200),Processos!$AK$10:$AK$509,0))="","",INDEX(Processos!$AQ$10:$AQ$509,MATCH((ROW()-36+($J$35-1)*200),Processos!$AK$10:$AK$509,0))))</f>
        <v>158931.65</v>
      </c>
      <c r="E71" s="8">
        <f>IF((ROW()-36+($J$35-1)*200)&gt;COUNTIFS(Processos!$X$10:$X$509,1),"",IF(INDEX(Processos!$Z$10:$Z$509,MATCH((ROW()-36+($J$35-1)*200),Processos!$AK$10:$AK$509,0))="","",INDEX(Processos!$Z$10:$Z$509,MATCH((ROW()-36+($J$35-1)*200),Processos!$AK$10:$AK$509,0))))</f>
        <v>46094</v>
      </c>
      <c r="F71" s="6" t="str">
        <f>IF((ROW()-36+($J$35-1)*200)&gt;COUNTIFS(Processos!$X$10:$X$509,1),"",IF(IF(INDEX(Processos!$Y$10:$Y$509,MATCH((ROW()-36+($J$35-1)*200),Processos!$AK$10:$AK$509,0))=1,"Sim","Não")="","",IF(INDEX(Processos!$Y$10:$Y$509,MATCH((ROW()-36+($J$35-1)*200),Processos!$AK$10:$AK$509,0))=1,"Sim","Não")))</f>
        <v>Não</v>
      </c>
      <c r="G71" s="6" t="str">
        <f>IF((ROW()-36+($J$35-1)*200)&gt;COUNTIFS(Processos!$X$10:$X$509,1),"",IF(INDEX(Processos!$D$10:$D$509,MATCH((ROW()-36+($J$35-1)*200),Processos!$AK$10:$AK$509,0))="","",INDEX(Processos!$D$10:$D$509,MATCH((ROW()-36+($J$35-1)*200),Processos!$AK$10:$AK$509,0))))</f>
        <v>BMM Advogados</v>
      </c>
    </row>
    <row r="72" spans="1:7" ht="72" customHeight="1">
      <c r="A72" s="7" t="str">
        <f>IF((ROW()-36+($J$35-1)*200)&gt;COUNTIFS(Processos!$X$10:$X$509,1),"",IF(INDEX(Processos!$A$10:$A$509,MATCH((ROW()-36+($J$35-1)*200),Processos!$AK$10:$AK$509,0))="","",INDEX(Processos!$A$10:$A$509,MATCH((ROW()-36+($J$35-1)*200),Processos!$AK$10:$AK$509,0))))</f>
        <v>0010481-51.2018.5.18.0103</v>
      </c>
      <c r="B72" s="6" t="str">
        <f>IF((ROW()-36+($J$35-1)*200)&gt;COUNTIFS(Processos!$X$10:$X$509,1),"",IF(INDEX(Processos!$C$10:$C$509,MATCH((ROW()-36+($J$35-1)*200),Processos!$AK$10:$AK$509,0))="","",INDEX(Processos!$C$10:$C$509,MATCH((ROW()-36+($J$35-1)*200),Processos!$AK$10:$AK$509,0))))</f>
        <v>Arquivado</v>
      </c>
      <c r="C7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PAULO SERGIO DO LAGO CASTRO × 1 - Consórcio Integral Spavias Trail Alta 2 - Integral Engenharia LTDA [...]</v>
      </c>
      <c r="D72" s="10">
        <f>IF((ROW()-36+($J$35-1)*200)&gt;COUNTIFS(Processos!$X$10:$X$509,1),"",IF(INDEX(Processos!$AQ$10:$AQ$509,MATCH((ROW()-36+($J$35-1)*200),Processos!$AK$10:$AK$509,0))="","",INDEX(Processos!$AQ$10:$AQ$509,MATCH((ROW()-36+($J$35-1)*200),Processos!$AK$10:$AK$509,0))))</f>
        <v>10160.65</v>
      </c>
      <c r="E72" s="8">
        <f>IF((ROW()-36+($J$35-1)*200)&gt;COUNTIFS(Processos!$X$10:$X$509,1),"",IF(INDEX(Processos!$Z$10:$Z$509,MATCH((ROW()-36+($J$35-1)*200),Processos!$AK$10:$AK$509,0))="","",INDEX(Processos!$Z$10:$Z$509,MATCH((ROW()-36+($J$35-1)*200),Processos!$AK$10:$AK$509,0))))</f>
        <v>45512</v>
      </c>
      <c r="F72" s="6" t="str">
        <f>IF((ROW()-36+($J$35-1)*200)&gt;COUNTIFS(Processos!$X$10:$X$509,1),"",IF(IF(INDEX(Processos!$Y$10:$Y$509,MATCH((ROW()-36+($J$35-1)*200),Processos!$AK$10:$AK$509,0))=1,"Sim","Não")="","",IF(INDEX(Processos!$Y$10:$Y$509,MATCH((ROW()-36+($J$35-1)*200),Processos!$AK$10:$AK$509,0))=1,"Sim","Não")))</f>
        <v>Não</v>
      </c>
      <c r="G72" s="6" t="str">
        <f>IF((ROW()-36+($J$35-1)*200)&gt;COUNTIFS(Processos!$X$10:$X$509,1),"",IF(INDEX(Processos!$D$10:$D$509,MATCH((ROW()-36+($J$35-1)*200),Processos!$AK$10:$AK$509,0))="","",INDEX(Processos!$D$10:$D$509,MATCH((ROW()-36+($J$35-1)*200),Processos!$AK$10:$AK$509,0))))</f>
        <v>BMM Advogados</v>
      </c>
    </row>
    <row r="73" spans="1:7" ht="72" customHeight="1">
      <c r="A73" s="7" t="str">
        <f>IF((ROW()-36+($J$35-1)*200)&gt;COUNTIFS(Processos!$X$10:$X$509,1),"",IF(INDEX(Processos!$A$10:$A$509,MATCH((ROW()-36+($J$35-1)*200),Processos!$AK$10:$AK$509,0))="","",INDEX(Processos!$A$10:$A$509,MATCH((ROW()-36+($J$35-1)*200),Processos!$AK$10:$AK$509,0))))</f>
        <v>0010795-91.2018.5.18.0104</v>
      </c>
      <c r="B73" s="6" t="str">
        <f>IF((ROW()-36+($J$35-1)*200)&gt;COUNTIFS(Processos!$X$10:$X$509,1),"",IF(INDEX(Processos!$C$10:$C$509,MATCH((ROW()-36+($J$35-1)*200),Processos!$AK$10:$AK$509,0))="","",INDEX(Processos!$C$10:$C$509,MATCH((ROW()-36+($J$35-1)*200),Processos!$AK$10:$AK$509,0))))</f>
        <v>Ativo</v>
      </c>
      <c r="C7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JOÃO ROSA DA SILVA × 1 - Consórcio Integral Spavias Trail Alta 2 - Valec 3 - Spavias Engenharia LTDA [...]</v>
      </c>
      <c r="D73" s="10">
        <f>IF((ROW()-36+($J$35-1)*200)&gt;COUNTIFS(Processos!$X$10:$X$509,1),"",IF(INDEX(Processos!$AQ$10:$AQ$509,MATCH((ROW()-36+($J$35-1)*200),Processos!$AK$10:$AK$509,0))="","",INDEX(Processos!$AQ$10:$AQ$509,MATCH((ROW()-36+($J$35-1)*200),Processos!$AK$10:$AK$509,0))))</f>
        <v>20042.43</v>
      </c>
      <c r="E73" s="8">
        <f>IF((ROW()-36+($J$35-1)*200)&gt;COUNTIFS(Processos!$X$10:$X$509,1),"",IF(INDEX(Processos!$Z$10:$Z$509,MATCH((ROW()-36+($J$35-1)*200),Processos!$AK$10:$AK$509,0))="","",INDEX(Processos!$Z$10:$Z$509,MATCH((ROW()-36+($J$35-1)*200),Processos!$AK$10:$AK$509,0))))</f>
        <v>45653</v>
      </c>
      <c r="F73" s="6" t="str">
        <f>IF((ROW()-36+($J$35-1)*200)&gt;COUNTIFS(Processos!$X$10:$X$509,1),"",IF(IF(INDEX(Processos!$Y$10:$Y$509,MATCH((ROW()-36+($J$35-1)*200),Processos!$AK$10:$AK$509,0))=1,"Sim","Não")="","",IF(INDEX(Processos!$Y$10:$Y$509,MATCH((ROW()-36+($J$35-1)*200),Processos!$AK$10:$AK$509,0))=1,"Sim","Não")))</f>
        <v>Não</v>
      </c>
      <c r="G73" s="6" t="str">
        <f>IF((ROW()-36+($J$35-1)*200)&gt;COUNTIFS(Processos!$X$10:$X$509,1),"",IF(INDEX(Processos!$D$10:$D$509,MATCH((ROW()-36+($J$35-1)*200),Processos!$AK$10:$AK$509,0))="","",INDEX(Processos!$D$10:$D$509,MATCH((ROW()-36+($J$35-1)*200),Processos!$AK$10:$AK$509,0))))</f>
        <v>BMM Advogados</v>
      </c>
    </row>
    <row r="74" spans="1:7" ht="72" customHeight="1">
      <c r="A74" s="7" t="str">
        <f>IF((ROW()-36+($J$35-1)*200)&gt;COUNTIFS(Processos!$X$10:$X$509,1),"",IF(INDEX(Processos!$A$10:$A$509,MATCH((ROW()-36+($J$35-1)*200),Processos!$AK$10:$AK$509,0))="","",INDEX(Processos!$A$10:$A$509,MATCH((ROW()-36+($J$35-1)*200),Processos!$AK$10:$AK$509,0))))</f>
        <v>0010860-95.2018.5.18.0101</v>
      </c>
      <c r="B74" s="6" t="str">
        <f>IF((ROW()-36+($J$35-1)*200)&gt;COUNTIFS(Processos!$X$10:$X$509,1),"",IF(INDEX(Processos!$C$10:$C$509,MATCH((ROW()-36+($J$35-1)*200),Processos!$AK$10:$AK$509,0))="","",INDEX(Processos!$C$10:$C$509,MATCH((ROW()-36+($J$35-1)*200),Processos!$AK$10:$AK$509,0))))</f>
        <v>Ativo</v>
      </c>
      <c r="C7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JAIME ANTÔNIO DE SOUZA × 1 - Consórcio Integral Spavias Trail Alta 2 - André Von Bentzeen Rodrigues  [...]</v>
      </c>
      <c r="D74" s="10">
        <f>IF((ROW()-36+($J$35-1)*200)&gt;COUNTIFS(Processos!$X$10:$X$509,1),"",IF(INDEX(Processos!$AQ$10:$AQ$509,MATCH((ROW()-36+($J$35-1)*200),Processos!$AK$10:$AK$509,0))="","",INDEX(Processos!$AQ$10:$AQ$509,MATCH((ROW()-36+($J$35-1)*200),Processos!$AK$10:$AK$509,0))))</f>
        <v>32390.75</v>
      </c>
      <c r="E74" s="8">
        <f>IF((ROW()-36+($J$35-1)*200)&gt;COUNTIFS(Processos!$X$10:$X$509,1),"",IF(INDEX(Processos!$Z$10:$Z$509,MATCH((ROW()-36+($J$35-1)*200),Processos!$AK$10:$AK$509,0))="","",INDEX(Processos!$Z$10:$Z$509,MATCH((ROW()-36+($J$35-1)*200),Processos!$AK$10:$AK$509,0))))</f>
        <v>46055</v>
      </c>
      <c r="F74" s="6" t="str">
        <f>IF((ROW()-36+($J$35-1)*200)&gt;COUNTIFS(Processos!$X$10:$X$509,1),"",IF(IF(INDEX(Processos!$Y$10:$Y$509,MATCH((ROW()-36+($J$35-1)*200),Processos!$AK$10:$AK$509,0))=1,"Sim","Não")="","",IF(INDEX(Processos!$Y$10:$Y$509,MATCH((ROW()-36+($J$35-1)*200),Processos!$AK$10:$AK$509,0))=1,"Sim","Não")))</f>
        <v>Não</v>
      </c>
      <c r="G74" s="6" t="str">
        <f>IF((ROW()-36+($J$35-1)*200)&gt;COUNTIFS(Processos!$X$10:$X$509,1),"",IF(INDEX(Processos!$D$10:$D$509,MATCH((ROW()-36+($J$35-1)*200),Processos!$AK$10:$AK$509,0))="","",INDEX(Processos!$D$10:$D$509,MATCH((ROW()-36+($J$35-1)*200),Processos!$AK$10:$AK$509,0))))</f>
        <v>BMM Advogados</v>
      </c>
    </row>
    <row r="75" spans="1:7" ht="72" customHeight="1">
      <c r="A75" s="7" t="str">
        <f>IF((ROW()-36+($J$35-1)*200)&gt;COUNTIFS(Processos!$X$10:$X$509,1),"",IF(INDEX(Processos!$A$10:$A$509,MATCH((ROW()-36+($J$35-1)*200),Processos!$AK$10:$AK$509,0))="","",INDEX(Processos!$A$10:$A$509,MATCH((ROW()-36+($J$35-1)*200),Processos!$AK$10:$AK$509,0))))</f>
        <v>0010941-35.2018.5.18.0104 [BMM-039]</v>
      </c>
      <c r="B75" s="6" t="str">
        <f>IF((ROW()-36+($J$35-1)*200)&gt;COUNTIFS(Processos!$X$10:$X$509,1),"",IF(INDEX(Processos!$C$10:$C$509,MATCH((ROW()-36+($J$35-1)*200),Processos!$AK$10:$AK$509,0))="","",INDEX(Processos!$C$10:$C$509,MATCH((ROW()-36+($J$35-1)*200),Processos!$AK$10:$AK$509,0))))</f>
        <v>Suspenso</v>
      </c>
      <c r="C7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ISAIAS NUNES FROS FILHO × 1 - Consórcio Integral Spavias Trail Alta 2 - André Von Bentzeen Rodrigues [...]</v>
      </c>
      <c r="D75" s="10">
        <f>IF((ROW()-36+($J$35-1)*200)&gt;COUNTIFS(Processos!$X$10:$X$509,1),"",IF(INDEX(Processos!$AQ$10:$AQ$509,MATCH((ROW()-36+($J$35-1)*200),Processos!$AK$10:$AK$509,0))="","",INDEX(Processos!$AQ$10:$AQ$509,MATCH((ROW()-36+($J$35-1)*200),Processos!$AK$10:$AK$509,0))))</f>
        <v>49973.45</v>
      </c>
      <c r="E75" s="8">
        <f>IF((ROW()-36+($J$35-1)*200)&gt;COUNTIFS(Processos!$X$10:$X$509,1),"",IF(INDEX(Processos!$Z$10:$Z$509,MATCH((ROW()-36+($J$35-1)*200),Processos!$AK$10:$AK$509,0))="","",INDEX(Processos!$Z$10:$Z$509,MATCH((ROW()-36+($J$35-1)*200),Processos!$AK$10:$AK$509,0))))</f>
        <v>46055</v>
      </c>
      <c r="F75" s="6" t="str">
        <f>IF((ROW()-36+($J$35-1)*200)&gt;COUNTIFS(Processos!$X$10:$X$509,1),"",IF(IF(INDEX(Processos!$Y$10:$Y$509,MATCH((ROW()-36+($J$35-1)*200),Processos!$AK$10:$AK$509,0))=1,"Sim","Não")="","",IF(INDEX(Processos!$Y$10:$Y$509,MATCH((ROW()-36+($J$35-1)*200),Processos!$AK$10:$AK$509,0))=1,"Sim","Não")))</f>
        <v>Não</v>
      </c>
      <c r="G75" s="6" t="str">
        <f>IF((ROW()-36+($J$35-1)*200)&gt;COUNTIFS(Processos!$X$10:$X$509,1),"",IF(INDEX(Processos!$D$10:$D$509,MATCH((ROW()-36+($J$35-1)*200),Processos!$AK$10:$AK$509,0))="","",INDEX(Processos!$D$10:$D$509,MATCH((ROW()-36+($J$35-1)*200),Processos!$AK$10:$AK$509,0))))</f>
        <v>BMM Advogados</v>
      </c>
    </row>
    <row r="76" spans="1:7" ht="72" customHeight="1">
      <c r="A76" s="7" t="str">
        <f>IF((ROW()-36+($J$35-1)*200)&gt;COUNTIFS(Processos!$X$10:$X$509,1),"",IF(INDEX(Processos!$A$10:$A$509,MATCH((ROW()-36+($J$35-1)*200),Processos!$AK$10:$AK$509,0))="","",INDEX(Processos!$A$10:$A$509,MATCH((ROW()-36+($J$35-1)*200),Processos!$AK$10:$AK$509,0))))</f>
        <v>0016188-50.2020.5.16.0017</v>
      </c>
      <c r="B76" s="6" t="str">
        <f>IF((ROW()-36+($J$35-1)*200)&gt;COUNTIFS(Processos!$X$10:$X$509,1),"",IF(INDEX(Processos!$C$10:$C$509,MATCH((ROW()-36+($J$35-1)*200),Processos!$AK$10:$AK$509,0))="","",INDEX(Processos!$C$10:$C$509,MATCH((ROW()-36+($J$35-1)*200),Processos!$AK$10:$AK$509,0))))</f>
        <v>Ativo</v>
      </c>
      <c r="C7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OSMAR CARNEIRO DA SILVA × 1 - Consórcio Integral Spavias Trail Alta 2 - Spavias Engenharia LTDA</v>
      </c>
      <c r="D76" s="10">
        <f>IF((ROW()-36+($J$35-1)*200)&gt;COUNTIFS(Processos!$X$10:$X$509,1),"",IF(INDEX(Processos!$AQ$10:$AQ$509,MATCH((ROW()-36+($J$35-1)*200),Processos!$AK$10:$AK$509,0))="","",INDEX(Processos!$AQ$10:$AQ$509,MATCH((ROW()-36+($J$35-1)*200),Processos!$AK$10:$AK$509,0))))</f>
        <v>59519.22</v>
      </c>
      <c r="E76" s="8">
        <f>IF((ROW()-36+($J$35-1)*200)&gt;COUNTIFS(Processos!$X$10:$X$509,1),"",IF(INDEX(Processos!$Z$10:$Z$509,MATCH((ROW()-36+($J$35-1)*200),Processos!$AK$10:$AK$509,0))="","",INDEX(Processos!$Z$10:$Z$509,MATCH((ROW()-36+($J$35-1)*200),Processos!$AK$10:$AK$509,0))))</f>
        <v>45653</v>
      </c>
      <c r="F76" s="6" t="str">
        <f>IF((ROW()-36+($J$35-1)*200)&gt;COUNTIFS(Processos!$X$10:$X$509,1),"",IF(IF(INDEX(Processos!$Y$10:$Y$509,MATCH((ROW()-36+($J$35-1)*200),Processos!$AK$10:$AK$509,0))=1,"Sim","Não")="","",IF(INDEX(Processos!$Y$10:$Y$509,MATCH((ROW()-36+($J$35-1)*200),Processos!$AK$10:$AK$509,0))=1,"Sim","Não")))</f>
        <v>Não</v>
      </c>
      <c r="G76" s="6" t="str">
        <f>IF((ROW()-36+($J$35-1)*200)&gt;COUNTIFS(Processos!$X$10:$X$509,1),"",IF(INDEX(Processos!$D$10:$D$509,MATCH((ROW()-36+($J$35-1)*200),Processos!$AK$10:$AK$509,0))="","",INDEX(Processos!$D$10:$D$509,MATCH((ROW()-36+($J$35-1)*200),Processos!$AK$10:$AK$509,0))))</f>
        <v>BMM Advogados</v>
      </c>
    </row>
    <row r="77" spans="1:7" ht="72" customHeight="1">
      <c r="A77" s="7" t="str">
        <f>IF((ROW()-36+($J$35-1)*200)&gt;COUNTIFS(Processos!$X$10:$X$509,1),"",IF(INDEX(Processos!$A$10:$A$509,MATCH((ROW()-36+($J$35-1)*200),Processos!$AK$10:$AK$509,0))="","",INDEX(Processos!$A$10:$A$509,MATCH((ROW()-36+($J$35-1)*200),Processos!$AK$10:$AK$509,0))))</f>
        <v>0010704-04.2018.5.18.0103</v>
      </c>
      <c r="B77" s="6" t="str">
        <f>IF((ROW()-36+($J$35-1)*200)&gt;COUNTIFS(Processos!$X$10:$X$509,1),"",IF(INDEX(Processos!$C$10:$C$509,MATCH((ROW()-36+($J$35-1)*200),Processos!$AK$10:$AK$509,0))="","",INDEX(Processos!$C$10:$C$509,MATCH((ROW()-36+($J$35-1)*200),Processos!$AK$10:$AK$509,0))))</f>
        <v>Ativo</v>
      </c>
      <c r="C7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JOEL ALVES DOS SANTOS × 1 - Consórcio Integral Spavias Trail 2 - Spavias Engenharia LTDA 3 - Alta En [...]</v>
      </c>
      <c r="D77" s="10">
        <f>IF((ROW()-36+($J$35-1)*200)&gt;COUNTIFS(Processos!$X$10:$X$509,1),"",IF(INDEX(Processos!$AQ$10:$AQ$509,MATCH((ROW()-36+($J$35-1)*200),Processos!$AK$10:$AK$509,0))="","",INDEX(Processos!$AQ$10:$AQ$509,MATCH((ROW()-36+($J$35-1)*200),Processos!$AK$10:$AK$509,0))))</f>
        <v>34596.68</v>
      </c>
      <c r="E77" s="8">
        <f>IF((ROW()-36+($J$35-1)*200)&gt;COUNTIFS(Processos!$X$10:$X$509,1),"",IF(INDEX(Processos!$Z$10:$Z$509,MATCH((ROW()-36+($J$35-1)*200),Processos!$AK$10:$AK$509,0))="","",INDEX(Processos!$Z$10:$Z$509,MATCH((ROW()-36+($J$35-1)*200),Processos!$AK$10:$AK$509,0))))</f>
        <v>46073</v>
      </c>
      <c r="F77" s="6" t="str">
        <f>IF((ROW()-36+($J$35-1)*200)&gt;COUNTIFS(Processos!$X$10:$X$509,1),"",IF(IF(INDEX(Processos!$Y$10:$Y$509,MATCH((ROW()-36+($J$35-1)*200),Processos!$AK$10:$AK$509,0))=1,"Sim","Não")="","",IF(INDEX(Processos!$Y$10:$Y$509,MATCH((ROW()-36+($J$35-1)*200),Processos!$AK$10:$AK$509,0))=1,"Sim","Não")))</f>
        <v>Não</v>
      </c>
      <c r="G77" s="6" t="str">
        <f>IF((ROW()-36+($J$35-1)*200)&gt;COUNTIFS(Processos!$X$10:$X$509,1),"",IF(INDEX(Processos!$D$10:$D$509,MATCH((ROW()-36+($J$35-1)*200),Processos!$AK$10:$AK$509,0))="","",INDEX(Processos!$D$10:$D$509,MATCH((ROW()-36+($J$35-1)*200),Processos!$AK$10:$AK$509,0))))</f>
        <v>BMM Advogados</v>
      </c>
    </row>
    <row r="78" spans="1:7" ht="72" customHeight="1">
      <c r="A78" s="7" t="str">
        <f>IF((ROW()-36+($J$35-1)*200)&gt;COUNTIFS(Processos!$X$10:$X$509,1),"",IF(INDEX(Processos!$A$10:$A$509,MATCH((ROW()-36+($J$35-1)*200),Processos!$AK$10:$AK$509,0))="","",INDEX(Processos!$A$10:$A$509,MATCH((ROW()-36+($J$35-1)*200),Processos!$AK$10:$AK$509,0))))</f>
        <v>0000696-15.2019.5.05.0581</v>
      </c>
      <c r="B78" s="6" t="str">
        <f>IF((ROW()-36+($J$35-1)*200)&gt;COUNTIFS(Processos!$X$10:$X$509,1),"",IF(INDEX(Processos!$C$10:$C$509,MATCH((ROW()-36+($J$35-1)*200),Processos!$AK$10:$AK$509,0))="","",INDEX(Processos!$C$10:$C$509,MATCH((ROW()-36+($J$35-1)*200),Processos!$AK$10:$AK$509,0))))</f>
        <v>Suspenso</v>
      </c>
      <c r="C7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CRISTIANO DE SOUZA PEREIRA × CONSÓRCIO SPAVIAS CAVA</v>
      </c>
      <c r="D78" s="10">
        <f>IF((ROW()-36+($J$35-1)*200)&gt;COUNTIFS(Processos!$X$10:$X$509,1),"",IF(INDEX(Processos!$AQ$10:$AQ$509,MATCH((ROW()-36+($J$35-1)*200),Processos!$AK$10:$AK$509,0))="","",INDEX(Processos!$AQ$10:$AQ$509,MATCH((ROW()-36+($J$35-1)*200),Processos!$AK$10:$AK$509,0))))</f>
        <v>80000</v>
      </c>
      <c r="E78" s="8">
        <f>IF((ROW()-36+($J$35-1)*200)&gt;COUNTIFS(Processos!$X$10:$X$509,1),"",IF(INDEX(Processos!$Z$10:$Z$509,MATCH((ROW()-36+($J$35-1)*200),Processos!$AK$10:$AK$509,0))="","",INDEX(Processos!$Z$10:$Z$509,MATCH((ROW()-36+($J$35-1)*200),Processos!$AK$10:$AK$509,0))))</f>
        <v>46094</v>
      </c>
      <c r="F78" s="6" t="str">
        <f>IF((ROW()-36+($J$35-1)*200)&gt;COUNTIFS(Processos!$X$10:$X$509,1),"",IF(IF(INDEX(Processos!$Y$10:$Y$509,MATCH((ROW()-36+($J$35-1)*200),Processos!$AK$10:$AK$509,0))=1,"Sim","Não")="","",IF(INDEX(Processos!$Y$10:$Y$509,MATCH((ROW()-36+($J$35-1)*200),Processos!$AK$10:$AK$509,0))=1,"Sim","Não")))</f>
        <v>Não</v>
      </c>
      <c r="G78" s="6" t="str">
        <f>IF((ROW()-36+($J$35-1)*200)&gt;COUNTIFS(Processos!$X$10:$X$509,1),"",IF(INDEX(Processos!$D$10:$D$509,MATCH((ROW()-36+($J$35-1)*200),Processos!$AK$10:$AK$509,0))="","",INDEX(Processos!$D$10:$D$509,MATCH((ROW()-36+($J$35-1)*200),Processos!$AK$10:$AK$509,0))))</f>
        <v>BMM Advogados</v>
      </c>
    </row>
    <row r="79" spans="1:7" ht="72" customHeight="1">
      <c r="A79" s="7" t="str">
        <f>IF((ROW()-36+($J$35-1)*200)&gt;COUNTIFS(Processos!$X$10:$X$509,1),"",IF(INDEX(Processos!$A$10:$A$509,MATCH((ROW()-36+($J$35-1)*200),Processos!$AK$10:$AK$509,0))="","",INDEX(Processos!$A$10:$A$509,MATCH((ROW()-36+($J$35-1)*200),Processos!$AK$10:$AK$509,0))))</f>
        <v>0000045-57.2021.5.10.0812</v>
      </c>
      <c r="B79" s="6" t="str">
        <f>IF((ROW()-36+($J$35-1)*200)&gt;COUNTIFS(Processos!$X$10:$X$509,1),"",IF(INDEX(Processos!$C$10:$C$509,MATCH((ROW()-36+($J$35-1)*200),Processos!$AK$10:$AK$509,0))="","",INDEX(Processos!$C$10:$C$509,MATCH((ROW()-36+($J$35-1)*200),Processos!$AK$10:$AK$509,0))))</f>
        <v>Arquivado</v>
      </c>
      <c r="C7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JEFFERSON DE SOUSA RODRIGUES × CONSÓRCIO INTEGRAL SPAVIAS TRAIL ALTA</v>
      </c>
      <c r="D79" s="10">
        <f>IF((ROW()-36+($J$35-1)*200)&gt;COUNTIFS(Processos!$X$10:$X$509,1),"",IF(INDEX(Processos!$AQ$10:$AQ$509,MATCH((ROW()-36+($J$35-1)*200),Processos!$AK$10:$AK$509,0))="","",INDEX(Processos!$AQ$10:$AQ$509,MATCH((ROW()-36+($J$35-1)*200),Processos!$AK$10:$AK$509,0))))</f>
        <v>21875.09</v>
      </c>
      <c r="E79" s="8">
        <f>IF((ROW()-36+($J$35-1)*200)&gt;COUNTIFS(Processos!$X$10:$X$509,1),"",IF(INDEX(Processos!$Z$10:$Z$509,MATCH((ROW()-36+($J$35-1)*200),Processos!$AK$10:$AK$509,0))="","",INDEX(Processos!$Z$10:$Z$509,MATCH((ROW()-36+($J$35-1)*200),Processos!$AK$10:$AK$509,0))))</f>
        <v>45706</v>
      </c>
      <c r="F79" s="6" t="str">
        <f>IF((ROW()-36+($J$35-1)*200)&gt;COUNTIFS(Processos!$X$10:$X$509,1),"",IF(IF(INDEX(Processos!$Y$10:$Y$509,MATCH((ROW()-36+($J$35-1)*200),Processos!$AK$10:$AK$509,0))=1,"Sim","Não")="","",IF(INDEX(Processos!$Y$10:$Y$509,MATCH((ROW()-36+($J$35-1)*200),Processos!$AK$10:$AK$509,0))=1,"Sim","Não")))</f>
        <v>Não</v>
      </c>
      <c r="G79" s="6" t="str">
        <f>IF((ROW()-36+($J$35-1)*200)&gt;COUNTIFS(Processos!$X$10:$X$509,1),"",IF(INDEX(Processos!$D$10:$D$509,MATCH((ROW()-36+($J$35-1)*200),Processos!$AK$10:$AK$509,0))="","",INDEX(Processos!$D$10:$D$509,MATCH((ROW()-36+($J$35-1)*200),Processos!$AK$10:$AK$509,0))))</f>
        <v>BMM Advogados</v>
      </c>
    </row>
    <row r="80" spans="1:7" ht="72" customHeight="1">
      <c r="A80" s="7" t="str">
        <f>IF((ROW()-36+($J$35-1)*200)&gt;COUNTIFS(Processos!$X$10:$X$509,1),"",IF(INDEX(Processos!$A$10:$A$509,MATCH((ROW()-36+($J$35-1)*200),Processos!$AK$10:$AK$509,0))="","",INDEX(Processos!$A$10:$A$509,MATCH((ROW()-36+($J$35-1)*200),Processos!$AK$10:$AK$509,0))))</f>
        <v>0010574-51.2020.5.03.0009</v>
      </c>
      <c r="B80" s="6" t="str">
        <f>IF((ROW()-36+($J$35-1)*200)&gt;COUNTIFS(Processos!$X$10:$X$509,1),"",IF(INDEX(Processos!$C$10:$C$509,MATCH((ROW()-36+($J$35-1)*200),Processos!$AK$10:$AK$509,0))="","",INDEX(Processos!$C$10:$C$509,MATCH((ROW()-36+($J$35-1)*200),Processos!$AK$10:$AK$509,0))))</f>
        <v>Arquivado</v>
      </c>
      <c r="C8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FREDERICO LUCAS MENDES DE ALMEIDA × 1 - Spavia Engenharia LTDA 2 - Consórcio Spavias Alta 3 - Valec</v>
      </c>
      <c r="D80" s="10">
        <f>IF((ROW()-36+($J$35-1)*200)&gt;COUNTIFS(Processos!$X$10:$X$509,1),"",IF(INDEX(Processos!$AQ$10:$AQ$509,MATCH((ROW()-36+($J$35-1)*200),Processos!$AK$10:$AK$509,0))="","",INDEX(Processos!$AQ$10:$AQ$509,MATCH((ROW()-36+($J$35-1)*200),Processos!$AK$10:$AK$509,0))))</f>
        <v>137223.76</v>
      </c>
      <c r="E80" s="8">
        <f>IF((ROW()-36+($J$35-1)*200)&gt;COUNTIFS(Processos!$X$10:$X$509,1),"",IF(INDEX(Processos!$Z$10:$Z$509,MATCH((ROW()-36+($J$35-1)*200),Processos!$AK$10:$AK$509,0))="","",INDEX(Processos!$Z$10:$Z$509,MATCH((ROW()-36+($J$35-1)*200),Processos!$AK$10:$AK$509,0))))</f>
        <v>45653</v>
      </c>
      <c r="F80" s="6" t="str">
        <f>IF((ROW()-36+($J$35-1)*200)&gt;COUNTIFS(Processos!$X$10:$X$509,1),"",IF(IF(INDEX(Processos!$Y$10:$Y$509,MATCH((ROW()-36+($J$35-1)*200),Processos!$AK$10:$AK$509,0))=1,"Sim","Não")="","",IF(INDEX(Processos!$Y$10:$Y$509,MATCH((ROW()-36+($J$35-1)*200),Processos!$AK$10:$AK$509,0))=1,"Sim","Não")))</f>
        <v>Não</v>
      </c>
      <c r="G80" s="6" t="str">
        <f>IF((ROW()-36+($J$35-1)*200)&gt;COUNTIFS(Processos!$X$10:$X$509,1),"",IF(INDEX(Processos!$D$10:$D$509,MATCH((ROW()-36+($J$35-1)*200),Processos!$AK$10:$AK$509,0))="","",INDEX(Processos!$D$10:$D$509,MATCH((ROW()-36+($J$35-1)*200),Processos!$AK$10:$AK$509,0))))</f>
        <v>BMM Advogados</v>
      </c>
    </row>
    <row r="81" spans="1:7" ht="72" customHeight="1">
      <c r="A81" s="7" t="str">
        <f>IF((ROW()-36+($J$35-1)*200)&gt;COUNTIFS(Processos!$X$10:$X$509,1),"",IF(INDEX(Processos!$A$10:$A$509,MATCH((ROW()-36+($J$35-1)*200),Processos!$AK$10:$AK$509,0))="","",INDEX(Processos!$A$10:$A$509,MATCH((ROW()-36+($J$35-1)*200),Processos!$AK$10:$AK$509,0))))</f>
        <v>0010566-06.2019.5.18.0102</v>
      </c>
      <c r="B81" s="6" t="str">
        <f>IF((ROW()-36+($J$35-1)*200)&gt;COUNTIFS(Processos!$X$10:$X$509,1),"",IF(INDEX(Processos!$C$10:$C$509,MATCH((ROW()-36+($J$35-1)*200),Processos!$AK$10:$AK$509,0))="","",INDEX(Processos!$C$10:$C$509,MATCH((ROW()-36+($J$35-1)*200),Processos!$AK$10:$AK$509,0))))</f>
        <v>Suspenso</v>
      </c>
      <c r="C8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JOSÉ MARIA DOS SANTOS × CONSÓRCIO INTEGRAL SPAVIAS TRAIL ALTA</v>
      </c>
      <c r="D81" s="10">
        <f>IF((ROW()-36+($J$35-1)*200)&gt;COUNTIFS(Processos!$X$10:$X$509,1),"",IF(INDEX(Processos!$AQ$10:$AQ$509,MATCH((ROW()-36+($J$35-1)*200),Processos!$AK$10:$AK$509,0))="","",INDEX(Processos!$AQ$10:$AQ$509,MATCH((ROW()-36+($J$35-1)*200),Processos!$AK$10:$AK$509,0))))</f>
        <v>15245.63</v>
      </c>
      <c r="E81" s="8">
        <f>IF((ROW()-36+($J$35-1)*200)&gt;COUNTIFS(Processos!$X$10:$X$509,1),"",IF(INDEX(Processos!$Z$10:$Z$509,MATCH((ROW()-36+($J$35-1)*200),Processos!$AK$10:$AK$509,0))="","",INDEX(Processos!$Z$10:$Z$509,MATCH((ROW()-36+($J$35-1)*200),Processos!$AK$10:$AK$509,0))))</f>
        <v>45653</v>
      </c>
      <c r="F81" s="6" t="str">
        <f>IF((ROW()-36+($J$35-1)*200)&gt;COUNTIFS(Processos!$X$10:$X$509,1),"",IF(IF(INDEX(Processos!$Y$10:$Y$509,MATCH((ROW()-36+($J$35-1)*200),Processos!$AK$10:$AK$509,0))=1,"Sim","Não")="","",IF(INDEX(Processos!$Y$10:$Y$509,MATCH((ROW()-36+($J$35-1)*200),Processos!$AK$10:$AK$509,0))=1,"Sim","Não")))</f>
        <v>Não</v>
      </c>
      <c r="G81" s="6" t="str">
        <f>IF((ROW()-36+($J$35-1)*200)&gt;COUNTIFS(Processos!$X$10:$X$509,1),"",IF(INDEX(Processos!$D$10:$D$509,MATCH((ROW()-36+($J$35-1)*200),Processos!$AK$10:$AK$509,0))="","",INDEX(Processos!$D$10:$D$509,MATCH((ROW()-36+($J$35-1)*200),Processos!$AK$10:$AK$509,0))))</f>
        <v>BMM Advogados</v>
      </c>
    </row>
    <row r="82" spans="1:7" ht="72" customHeight="1">
      <c r="A82" s="7" t="str">
        <f>IF((ROW()-36+($J$35-1)*200)&gt;COUNTIFS(Processos!$X$10:$X$509,1),"",IF(INDEX(Processos!$A$10:$A$509,MATCH((ROW()-36+($J$35-1)*200),Processos!$AK$10:$AK$509,0))="","",INDEX(Processos!$A$10:$A$509,MATCH((ROW()-36+($J$35-1)*200),Processos!$AK$10:$AK$509,0))))</f>
        <v>0010519-26.2019.5.18.0104</v>
      </c>
      <c r="B82" s="6" t="str">
        <f>IF((ROW()-36+($J$35-1)*200)&gt;COUNTIFS(Processos!$X$10:$X$509,1),"",IF(INDEX(Processos!$C$10:$C$509,MATCH((ROW()-36+($J$35-1)*200),Processos!$AK$10:$AK$509,0))="","",INDEX(Processos!$C$10:$C$509,MATCH((ROW()-36+($J$35-1)*200),Processos!$AK$10:$AK$509,0))))</f>
        <v>Ativo</v>
      </c>
      <c r="C8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EDMILSON SOUSA COIMBRA × CONSÓRCIO INTEGRAL SPAVIAS TRAIL ALTA</v>
      </c>
      <c r="D82" s="10">
        <f>IF((ROW()-36+($J$35-1)*200)&gt;COUNTIFS(Processos!$X$10:$X$509,1),"",IF(INDEX(Processos!$AQ$10:$AQ$509,MATCH((ROW()-36+($J$35-1)*200),Processos!$AK$10:$AK$509,0))="","",INDEX(Processos!$AQ$10:$AQ$509,MATCH((ROW()-36+($J$35-1)*200),Processos!$AK$10:$AK$509,0))))</f>
        <v>24455.34</v>
      </c>
      <c r="E82" s="8">
        <f>IF((ROW()-36+($J$35-1)*200)&gt;COUNTIFS(Processos!$X$10:$X$509,1),"",IF(INDEX(Processos!$Z$10:$Z$509,MATCH((ROW()-36+($J$35-1)*200),Processos!$AK$10:$AK$509,0))="","",INDEX(Processos!$Z$10:$Z$509,MATCH((ROW()-36+($J$35-1)*200),Processos!$AK$10:$AK$509,0))))</f>
        <v>46297</v>
      </c>
      <c r="F82" s="6" t="str">
        <f>IF((ROW()-36+($J$35-1)*200)&gt;COUNTIFS(Processos!$X$10:$X$509,1),"",IF(IF(INDEX(Processos!$Y$10:$Y$509,MATCH((ROW()-36+($J$35-1)*200),Processos!$AK$10:$AK$509,0))=1,"Sim","Não")="","",IF(INDEX(Processos!$Y$10:$Y$509,MATCH((ROW()-36+($J$35-1)*200),Processos!$AK$10:$AK$509,0))=1,"Sim","Não")))</f>
        <v>Não</v>
      </c>
      <c r="G82" s="6" t="str">
        <f>IF((ROW()-36+($J$35-1)*200)&gt;COUNTIFS(Processos!$X$10:$X$509,1),"",IF(INDEX(Processos!$D$10:$D$509,MATCH((ROW()-36+($J$35-1)*200),Processos!$AK$10:$AK$509,0))="","",INDEX(Processos!$D$10:$D$509,MATCH((ROW()-36+($J$35-1)*200),Processos!$AK$10:$AK$509,0))))</f>
        <v>BMM Advogados</v>
      </c>
    </row>
    <row r="83" spans="1:7" ht="72" customHeight="1">
      <c r="A83" s="7" t="str">
        <f>IF((ROW()-36+($J$35-1)*200)&gt;COUNTIFS(Processos!$X$10:$X$509,1),"",IF(INDEX(Processos!$A$10:$A$509,MATCH((ROW()-36+($J$35-1)*200),Processos!$AK$10:$AK$509,0))="","",INDEX(Processos!$A$10:$A$509,MATCH((ROW()-36+($J$35-1)*200),Processos!$AK$10:$AK$509,0))))</f>
        <v>0010266-75.2018.5.18.0103</v>
      </c>
      <c r="B83" s="6" t="str">
        <f>IF((ROW()-36+($J$35-1)*200)&gt;COUNTIFS(Processos!$X$10:$X$509,1),"",IF(INDEX(Processos!$C$10:$C$509,MATCH((ROW()-36+($J$35-1)*200),Processos!$AK$10:$AK$509,0))="","",INDEX(Processos!$C$10:$C$509,MATCH((ROW()-36+($J$35-1)*200),Processos!$AK$10:$AK$509,0))))</f>
        <v>Suspenso</v>
      </c>
      <c r="C8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FRANCISCO BISPO DE MORAIS × CONSÓRCIO INTEGRAL SPAVIAS TRAIL ALTA</v>
      </c>
      <c r="D83" s="10">
        <f>IF((ROW()-36+($J$35-1)*200)&gt;COUNTIFS(Processos!$X$10:$X$509,1),"",IF(INDEX(Processos!$AQ$10:$AQ$509,MATCH((ROW()-36+($J$35-1)*200),Processos!$AK$10:$AK$509,0))="","",INDEX(Processos!$AQ$10:$AQ$509,MATCH((ROW()-36+($J$35-1)*200),Processos!$AK$10:$AK$509,0))))</f>
        <v>107189.84</v>
      </c>
      <c r="E83" s="8">
        <f>IF((ROW()-36+($J$35-1)*200)&gt;COUNTIFS(Processos!$X$10:$X$509,1),"",IF(INDEX(Processos!$Z$10:$Z$509,MATCH((ROW()-36+($J$35-1)*200),Processos!$AK$10:$AK$509,0))="","",INDEX(Processos!$Z$10:$Z$509,MATCH((ROW()-36+($J$35-1)*200),Processos!$AK$10:$AK$509,0))))</f>
        <v>46196</v>
      </c>
      <c r="F83" s="6" t="str">
        <f>IF((ROW()-36+($J$35-1)*200)&gt;COUNTIFS(Processos!$X$10:$X$509,1),"",IF(IF(INDEX(Processos!$Y$10:$Y$509,MATCH((ROW()-36+($J$35-1)*200),Processos!$AK$10:$AK$509,0))=1,"Sim","Não")="","",IF(INDEX(Processos!$Y$10:$Y$509,MATCH((ROW()-36+($J$35-1)*200),Processos!$AK$10:$AK$509,0))=1,"Sim","Não")))</f>
        <v>Não</v>
      </c>
      <c r="G83" s="6" t="str">
        <f>IF((ROW()-36+($J$35-1)*200)&gt;COUNTIFS(Processos!$X$10:$X$509,1),"",IF(INDEX(Processos!$D$10:$D$509,MATCH((ROW()-36+($J$35-1)*200),Processos!$AK$10:$AK$509,0))="","",INDEX(Processos!$D$10:$D$509,MATCH((ROW()-36+($J$35-1)*200),Processos!$AK$10:$AK$509,0))))</f>
        <v>BMM Advogados</v>
      </c>
    </row>
    <row r="84" spans="1:7" ht="72" customHeight="1">
      <c r="A84" s="7" t="str">
        <f>IF((ROW()-36+($J$35-1)*200)&gt;COUNTIFS(Processos!$X$10:$X$509,1),"",IF(INDEX(Processos!$A$10:$A$509,MATCH((ROW()-36+($J$35-1)*200),Processos!$AK$10:$AK$509,0))="","",INDEX(Processos!$A$10:$A$509,MATCH((ROW()-36+($J$35-1)*200),Processos!$AK$10:$AK$509,0))))</f>
        <v>0010607-67.2019.5.18.0103</v>
      </c>
      <c r="B84" s="6" t="str">
        <f>IF((ROW()-36+($J$35-1)*200)&gt;COUNTIFS(Processos!$X$10:$X$509,1),"",IF(INDEX(Processos!$C$10:$C$509,MATCH((ROW()-36+($J$35-1)*200),Processos!$AK$10:$AK$509,0))="","",INDEX(Processos!$C$10:$C$509,MATCH((ROW()-36+($J$35-1)*200),Processos!$AK$10:$AK$509,0))))</f>
        <v>Suspenso</v>
      </c>
      <c r="C8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JORGE AILTON PANTOJA DE CARVALHO × CONSÓRCIO INTEGRAL SPAVIAS TRAIL ALTA</v>
      </c>
      <c r="D84" s="10">
        <f>IF((ROW()-36+($J$35-1)*200)&gt;COUNTIFS(Processos!$X$10:$X$509,1),"",IF(INDEX(Processos!$AQ$10:$AQ$509,MATCH((ROW()-36+($J$35-1)*200),Processos!$AK$10:$AK$509,0))="","",INDEX(Processos!$AQ$10:$AQ$509,MATCH((ROW()-36+($J$35-1)*200),Processos!$AK$10:$AK$509,0))))</f>
        <v>68715</v>
      </c>
      <c r="E84" s="8">
        <f>IF((ROW()-36+($J$35-1)*200)&gt;COUNTIFS(Processos!$X$10:$X$509,1),"",IF(INDEX(Processos!$Z$10:$Z$509,MATCH((ROW()-36+($J$35-1)*200),Processos!$AK$10:$AK$509,0))="","",INDEX(Processos!$Z$10:$Z$509,MATCH((ROW()-36+($J$35-1)*200),Processos!$AK$10:$AK$509,0))))</f>
        <v>46055</v>
      </c>
      <c r="F84" s="6" t="str">
        <f>IF((ROW()-36+($J$35-1)*200)&gt;COUNTIFS(Processos!$X$10:$X$509,1),"",IF(IF(INDEX(Processos!$Y$10:$Y$509,MATCH((ROW()-36+($J$35-1)*200),Processos!$AK$10:$AK$509,0))=1,"Sim","Não")="","",IF(INDEX(Processos!$Y$10:$Y$509,MATCH((ROW()-36+($J$35-1)*200),Processos!$AK$10:$AK$509,0))=1,"Sim","Não")))</f>
        <v>Não</v>
      </c>
      <c r="G84" s="6" t="str">
        <f>IF((ROW()-36+($J$35-1)*200)&gt;COUNTIFS(Processos!$X$10:$X$509,1),"",IF(INDEX(Processos!$D$10:$D$509,MATCH((ROW()-36+($J$35-1)*200),Processos!$AK$10:$AK$509,0))="","",INDEX(Processos!$D$10:$D$509,MATCH((ROW()-36+($J$35-1)*200),Processos!$AK$10:$AK$509,0))))</f>
        <v>BMM Advogados</v>
      </c>
    </row>
    <row r="85" spans="1:7" ht="72" customHeight="1">
      <c r="A85" s="7" t="str">
        <f>IF((ROW()-36+($J$35-1)*200)&gt;COUNTIFS(Processos!$X$10:$X$509,1),"",IF(INDEX(Processos!$A$10:$A$509,MATCH((ROW()-36+($J$35-1)*200),Processos!$AK$10:$AK$509,0))="","",INDEX(Processos!$A$10:$A$509,MATCH((ROW()-36+($J$35-1)*200),Processos!$AK$10:$AK$509,0))))</f>
        <v>0010719-67.2018.5.18.0104</v>
      </c>
      <c r="B85" s="6" t="str">
        <f>IF((ROW()-36+($J$35-1)*200)&gt;COUNTIFS(Processos!$X$10:$X$509,1),"",IF(INDEX(Processos!$C$10:$C$509,MATCH((ROW()-36+($J$35-1)*200),Processos!$AK$10:$AK$509,0))="","",INDEX(Processos!$C$10:$C$509,MATCH((ROW()-36+($J$35-1)*200),Processos!$AK$10:$AK$509,0))))</f>
        <v>Suspenso</v>
      </c>
      <c r="C8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JOSÉ CLAUDIO NASCIMENTO DE ALMEIDA × 1 - Consórcio Integral Spavias Trail Alta 2 - André Von Bentzee [...]</v>
      </c>
      <c r="D85" s="10">
        <f>IF((ROW()-36+($J$35-1)*200)&gt;COUNTIFS(Processos!$X$10:$X$509,1),"",IF(INDEX(Processos!$AQ$10:$AQ$509,MATCH((ROW()-36+($J$35-1)*200),Processos!$AK$10:$AK$509,0))="","",INDEX(Processos!$AQ$10:$AQ$509,MATCH((ROW()-36+($J$35-1)*200),Processos!$AK$10:$AK$509,0))))</f>
        <v>35382.160000000003</v>
      </c>
      <c r="E85" s="8">
        <f>IF((ROW()-36+($J$35-1)*200)&gt;COUNTIFS(Processos!$X$10:$X$509,1),"",IF(INDEX(Processos!$Z$10:$Z$509,MATCH((ROW()-36+($J$35-1)*200),Processos!$AK$10:$AK$509,0))="","",INDEX(Processos!$Z$10:$Z$509,MATCH((ROW()-36+($J$35-1)*200),Processos!$AK$10:$AK$509,0))))</f>
        <v>46055</v>
      </c>
      <c r="F85" s="6" t="str">
        <f>IF((ROW()-36+($J$35-1)*200)&gt;COUNTIFS(Processos!$X$10:$X$509,1),"",IF(IF(INDEX(Processos!$Y$10:$Y$509,MATCH((ROW()-36+($J$35-1)*200),Processos!$AK$10:$AK$509,0))=1,"Sim","Não")="","",IF(INDEX(Processos!$Y$10:$Y$509,MATCH((ROW()-36+($J$35-1)*200),Processos!$AK$10:$AK$509,0))=1,"Sim","Não")))</f>
        <v>Não</v>
      </c>
      <c r="G85" s="6" t="str">
        <f>IF((ROW()-36+($J$35-1)*200)&gt;COUNTIFS(Processos!$X$10:$X$509,1),"",IF(INDEX(Processos!$D$10:$D$509,MATCH((ROW()-36+($J$35-1)*200),Processos!$AK$10:$AK$509,0))="","",INDEX(Processos!$D$10:$D$509,MATCH((ROW()-36+($J$35-1)*200),Processos!$AK$10:$AK$509,0))))</f>
        <v>BMM Advogados</v>
      </c>
    </row>
    <row r="86" spans="1:7" ht="72" customHeight="1">
      <c r="A86" s="7" t="str">
        <f>IF((ROW()-36+($J$35-1)*200)&gt;COUNTIFS(Processos!$X$10:$X$509,1),"",IF(INDEX(Processos!$A$10:$A$509,MATCH((ROW()-36+($J$35-1)*200),Processos!$AK$10:$AK$509,0))="","",INDEX(Processos!$A$10:$A$509,MATCH((ROW()-36+($J$35-1)*200),Processos!$AK$10:$AK$509,0))))</f>
        <v>0016196-95.2018.5.16.0017</v>
      </c>
      <c r="B86" s="6" t="str">
        <f>IF((ROW()-36+($J$35-1)*200)&gt;COUNTIFS(Processos!$X$10:$X$509,1),"",IF(INDEX(Processos!$C$10:$C$509,MATCH((ROW()-36+($J$35-1)*200),Processos!$AK$10:$AK$509,0))="","",INDEX(Processos!$C$10:$C$509,MATCH((ROW()-36+($J$35-1)*200),Processos!$AK$10:$AK$509,0))))</f>
        <v>Ativo</v>
      </c>
      <c r="C8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RAIMUNDO DIAS DA SILVA × CONSÓRCIO INTEGRAL SPAVIAS TRAIL ALTA</v>
      </c>
      <c r="D86" s="10">
        <f>IF((ROW()-36+($J$35-1)*200)&gt;COUNTIFS(Processos!$X$10:$X$509,1),"",IF(INDEX(Processos!$AQ$10:$AQ$509,MATCH((ROW()-36+($J$35-1)*200),Processos!$AK$10:$AK$509,0))="","",INDEX(Processos!$AQ$10:$AQ$509,MATCH((ROW()-36+($J$35-1)*200),Processos!$AK$10:$AK$509,0))))</f>
        <v>119383.18</v>
      </c>
      <c r="E86" s="8">
        <f>IF((ROW()-36+($J$35-1)*200)&gt;COUNTIFS(Processos!$X$10:$X$509,1),"",IF(INDEX(Processos!$Z$10:$Z$509,MATCH((ROW()-36+($J$35-1)*200),Processos!$AK$10:$AK$509,0))="","",INDEX(Processos!$Z$10:$Z$509,MATCH((ROW()-36+($J$35-1)*200),Processos!$AK$10:$AK$509,0))))</f>
        <v>46055</v>
      </c>
      <c r="F86" s="6" t="str">
        <f>IF((ROW()-36+($J$35-1)*200)&gt;COUNTIFS(Processos!$X$10:$X$509,1),"",IF(IF(INDEX(Processos!$Y$10:$Y$509,MATCH((ROW()-36+($J$35-1)*200),Processos!$AK$10:$AK$509,0))=1,"Sim","Não")="","",IF(INDEX(Processos!$Y$10:$Y$509,MATCH((ROW()-36+($J$35-1)*200),Processos!$AK$10:$AK$509,0))=1,"Sim","Não")))</f>
        <v>Sim</v>
      </c>
      <c r="G86" s="6" t="str">
        <f>IF((ROW()-36+($J$35-1)*200)&gt;COUNTIFS(Processos!$X$10:$X$509,1),"",IF(INDEX(Processos!$D$10:$D$509,MATCH((ROW()-36+($J$35-1)*200),Processos!$AK$10:$AK$509,0))="","",INDEX(Processos!$D$10:$D$509,MATCH((ROW()-36+($J$35-1)*200),Processos!$AK$10:$AK$509,0))))</f>
        <v>BMM Advogados</v>
      </c>
    </row>
    <row r="87" spans="1:7" ht="72" customHeight="1">
      <c r="A87" s="7" t="str">
        <f>IF((ROW()-36+($J$35-1)*200)&gt;COUNTIFS(Processos!$X$10:$X$509,1),"",IF(INDEX(Processos!$A$10:$A$509,MATCH((ROW()-36+($J$35-1)*200),Processos!$AK$10:$AK$509,0))="","",INDEX(Processos!$A$10:$A$509,MATCH((ROW()-36+($J$35-1)*200),Processos!$AK$10:$AK$509,0))))</f>
        <v>0000273-60.2019.5.22.0103</v>
      </c>
      <c r="B87" s="6" t="str">
        <f>IF((ROW()-36+($J$35-1)*200)&gt;COUNTIFS(Processos!$X$10:$X$509,1),"",IF(INDEX(Processos!$C$10:$C$509,MATCH((ROW()-36+($J$35-1)*200),Processos!$AK$10:$AK$509,0))="","",INDEX(Processos!$C$10:$C$509,MATCH((ROW()-36+($J$35-1)*200),Processos!$AK$10:$AK$509,0))))</f>
        <v>Ativo</v>
      </c>
      <c r="C8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RODOLFO CONCEIÇÃO JUNIOR × CONSÓRCIO SPAVIAS ALTA</v>
      </c>
      <c r="D87" s="10">
        <f>IF((ROW()-36+($J$35-1)*200)&gt;COUNTIFS(Processos!$X$10:$X$509,1),"",IF(INDEX(Processos!$AQ$10:$AQ$509,MATCH((ROW()-36+($J$35-1)*200),Processos!$AK$10:$AK$509,0))="","",INDEX(Processos!$AQ$10:$AQ$509,MATCH((ROW()-36+($J$35-1)*200),Processos!$AK$10:$AK$509,0))))</f>
        <v>10739.7</v>
      </c>
      <c r="E87" s="8">
        <f>IF((ROW()-36+($J$35-1)*200)&gt;COUNTIFS(Processos!$X$10:$X$509,1),"",IF(INDEX(Processos!$Z$10:$Z$509,MATCH((ROW()-36+($J$35-1)*200),Processos!$AK$10:$AK$509,0))="","",INDEX(Processos!$Z$10:$Z$509,MATCH((ROW()-36+($J$35-1)*200),Processos!$AK$10:$AK$509,0))))</f>
        <v>46052</v>
      </c>
      <c r="F87" s="6" t="str">
        <f>IF((ROW()-36+($J$35-1)*200)&gt;COUNTIFS(Processos!$X$10:$X$509,1),"",IF(IF(INDEX(Processos!$Y$10:$Y$509,MATCH((ROW()-36+($J$35-1)*200),Processos!$AK$10:$AK$509,0))=1,"Sim","Não")="","",IF(INDEX(Processos!$Y$10:$Y$509,MATCH((ROW()-36+($J$35-1)*200),Processos!$AK$10:$AK$509,0))=1,"Sim","Não")))</f>
        <v>Não</v>
      </c>
      <c r="G87" s="6" t="str">
        <f>IF((ROW()-36+($J$35-1)*200)&gt;COUNTIFS(Processos!$X$10:$X$509,1),"",IF(INDEX(Processos!$D$10:$D$509,MATCH((ROW()-36+($J$35-1)*200),Processos!$AK$10:$AK$509,0))="","",INDEX(Processos!$D$10:$D$509,MATCH((ROW()-36+($J$35-1)*200),Processos!$AK$10:$AK$509,0))))</f>
        <v>BMM Advogados</v>
      </c>
    </row>
    <row r="88" spans="1:7" ht="72" customHeight="1">
      <c r="A88" s="7" t="str">
        <f>IF((ROW()-36+($J$35-1)*200)&gt;COUNTIFS(Processos!$X$10:$X$509,1),"",IF(INDEX(Processos!$A$10:$A$509,MATCH((ROW()-36+($J$35-1)*200),Processos!$AK$10:$AK$509,0))="","",INDEX(Processos!$A$10:$A$509,MATCH((ROW()-36+($J$35-1)*200),Processos!$AK$10:$AK$509,0))))</f>
        <v>0000743-86.2019.5.05.0581</v>
      </c>
      <c r="B88" s="6" t="str">
        <f>IF((ROW()-36+($J$35-1)*200)&gt;COUNTIFS(Processos!$X$10:$X$509,1),"",IF(INDEX(Processos!$C$10:$C$509,MATCH((ROW()-36+($J$35-1)*200),Processos!$AK$10:$AK$509,0))="","",INDEX(Processos!$C$10:$C$509,MATCH((ROW()-36+($J$35-1)*200),Processos!$AK$10:$AK$509,0))))</f>
        <v>Suspenso</v>
      </c>
      <c r="C8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DEIGUISON MOTA FERREIRA DA SILVA × CONSÓRCIO SPAVIAS CAVA</v>
      </c>
      <c r="D88" s="10">
        <f>IF((ROW()-36+($J$35-1)*200)&gt;COUNTIFS(Processos!$X$10:$X$509,1),"",IF(INDEX(Processos!$AQ$10:$AQ$509,MATCH((ROW()-36+($J$35-1)*200),Processos!$AK$10:$AK$509,0))="","",INDEX(Processos!$AQ$10:$AQ$509,MATCH((ROW()-36+($J$35-1)*200),Processos!$AK$10:$AK$509,0))))</f>
        <v>65000</v>
      </c>
      <c r="E88" s="8">
        <f>IF((ROW()-36+($J$35-1)*200)&gt;COUNTIFS(Processos!$X$10:$X$509,1),"",IF(INDEX(Processos!$Z$10:$Z$509,MATCH((ROW()-36+($J$35-1)*200),Processos!$AK$10:$AK$509,0))="","",INDEX(Processos!$Z$10:$Z$509,MATCH((ROW()-36+($J$35-1)*200),Processos!$AK$10:$AK$509,0))))</f>
        <v>46031</v>
      </c>
      <c r="F88" s="6" t="str">
        <f>IF((ROW()-36+($J$35-1)*200)&gt;COUNTIFS(Processos!$X$10:$X$509,1),"",IF(IF(INDEX(Processos!$Y$10:$Y$509,MATCH((ROW()-36+($J$35-1)*200),Processos!$AK$10:$AK$509,0))=1,"Sim","Não")="","",IF(INDEX(Processos!$Y$10:$Y$509,MATCH((ROW()-36+($J$35-1)*200),Processos!$AK$10:$AK$509,0))=1,"Sim","Não")))</f>
        <v>Não</v>
      </c>
      <c r="G88" s="6" t="str">
        <f>IF((ROW()-36+($J$35-1)*200)&gt;COUNTIFS(Processos!$X$10:$X$509,1),"",IF(INDEX(Processos!$D$10:$D$509,MATCH((ROW()-36+($J$35-1)*200),Processos!$AK$10:$AK$509,0))="","",INDEX(Processos!$D$10:$D$509,MATCH((ROW()-36+($J$35-1)*200),Processos!$AK$10:$AK$509,0))))</f>
        <v>BMM Advogados</v>
      </c>
    </row>
    <row r="89" spans="1:7" ht="72" customHeight="1">
      <c r="A89" s="7" t="str">
        <f>IF((ROW()-36+($J$35-1)*200)&gt;COUNTIFS(Processos!$X$10:$X$509,1),"",IF(INDEX(Processos!$A$10:$A$509,MATCH((ROW()-36+($J$35-1)*200),Processos!$AK$10:$AK$509,0))="","",INDEX(Processos!$A$10:$A$509,MATCH((ROW()-36+($J$35-1)*200),Processos!$AK$10:$AK$509,0))))</f>
        <v>0010451-80.2022.5.18.0101</v>
      </c>
      <c r="B89" s="6" t="str">
        <f>IF((ROW()-36+($J$35-1)*200)&gt;COUNTIFS(Processos!$X$10:$X$509,1),"",IF(INDEX(Processos!$C$10:$C$509,MATCH((ROW()-36+($J$35-1)*200),Processos!$AK$10:$AK$509,0))="","",INDEX(Processos!$C$10:$C$509,MATCH((ROW()-36+($J$35-1)*200),Processos!$AK$10:$AK$509,0))))</f>
        <v>Ativo</v>
      </c>
      <c r="C8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FRANCISO CANINDE DA SILVA × 1 - Consórcio Integral Spavias Trail Alta 2 - Spavias Engenharia 3 - Ser [...]</v>
      </c>
      <c r="D89" s="10">
        <f>IF((ROW()-36+($J$35-1)*200)&gt;COUNTIFS(Processos!$X$10:$X$509,1),"",IF(INDEX(Processos!$AQ$10:$AQ$509,MATCH((ROW()-36+($J$35-1)*200),Processos!$AK$10:$AK$509,0))="","",INDEX(Processos!$AQ$10:$AQ$509,MATCH((ROW()-36+($J$35-1)*200),Processos!$AK$10:$AK$509,0))))</f>
        <v>32384.49</v>
      </c>
      <c r="E89" s="8">
        <f>IF((ROW()-36+($J$35-1)*200)&gt;COUNTIFS(Processos!$X$10:$X$509,1),"",IF(INDEX(Processos!$Z$10:$Z$509,MATCH((ROW()-36+($J$35-1)*200),Processos!$AK$10:$AK$509,0))="","",INDEX(Processos!$Z$10:$Z$509,MATCH((ROW()-36+($J$35-1)*200),Processos!$AK$10:$AK$509,0))))</f>
        <v>46075</v>
      </c>
      <c r="F89" s="6" t="str">
        <f>IF((ROW()-36+($J$35-1)*200)&gt;COUNTIFS(Processos!$X$10:$X$509,1),"",IF(IF(INDEX(Processos!$Y$10:$Y$509,MATCH((ROW()-36+($J$35-1)*200),Processos!$AK$10:$AK$509,0))=1,"Sim","Não")="","",IF(INDEX(Processos!$Y$10:$Y$509,MATCH((ROW()-36+($J$35-1)*200),Processos!$AK$10:$AK$509,0))=1,"Sim","Não")))</f>
        <v>Não</v>
      </c>
      <c r="G89" s="6" t="str">
        <f>IF((ROW()-36+($J$35-1)*200)&gt;COUNTIFS(Processos!$X$10:$X$509,1),"",IF(INDEX(Processos!$D$10:$D$509,MATCH((ROW()-36+($J$35-1)*200),Processos!$AK$10:$AK$509,0))="","",INDEX(Processos!$D$10:$D$509,MATCH((ROW()-36+($J$35-1)*200),Processos!$AK$10:$AK$509,0))))</f>
        <v>BMM Advogados</v>
      </c>
    </row>
    <row r="90" spans="1:7" ht="72" customHeight="1">
      <c r="A90" s="7" t="str">
        <f>IF((ROW()-36+($J$35-1)*200)&gt;COUNTIFS(Processos!$X$10:$X$509,1),"",IF(INDEX(Processos!$A$10:$A$509,MATCH((ROW()-36+($J$35-1)*200),Processos!$AK$10:$AK$509,0))="","",INDEX(Processos!$A$10:$A$509,MATCH((ROW()-36+($J$35-1)*200),Processos!$AK$10:$AK$509,0))))</f>
        <v>0010450-95.2022.5.18.0101</v>
      </c>
      <c r="B90" s="6" t="str">
        <f>IF((ROW()-36+($J$35-1)*200)&gt;COUNTIFS(Processos!$X$10:$X$509,1),"",IF(INDEX(Processos!$C$10:$C$509,MATCH((ROW()-36+($J$35-1)*200),Processos!$AK$10:$AK$509,0))="","",INDEX(Processos!$C$10:$C$509,MATCH((ROW()-36+($J$35-1)*200),Processos!$AK$10:$AK$509,0))))</f>
        <v>Ativo</v>
      </c>
      <c r="C9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JOÃO FERNANDO BARROS DOURADO × 1 - Consórcio Integral Spavias 2 - Spavias Engenharia 3 - Serne</v>
      </c>
      <c r="D90" s="10" t="str">
        <f>IF((ROW()-36+($J$35-1)*200)&gt;COUNTIFS(Processos!$X$10:$X$509,1),"",IF(INDEX(Processos!$AQ$10:$AQ$509,MATCH((ROW()-36+($J$35-1)*200),Processos!$AK$10:$AK$509,0))="","",INDEX(Processos!$AQ$10:$AQ$509,MATCH((ROW()-36+($J$35-1)*200),Processos!$AK$10:$AK$509,0))))</f>
        <v/>
      </c>
      <c r="E90" s="8">
        <f>IF((ROW()-36+($J$35-1)*200)&gt;COUNTIFS(Processos!$X$10:$X$509,1),"",IF(INDEX(Processos!$Z$10:$Z$509,MATCH((ROW()-36+($J$35-1)*200),Processos!$AK$10:$AK$509,0))="","",INDEX(Processos!$Z$10:$Z$509,MATCH((ROW()-36+($J$35-1)*200),Processos!$AK$10:$AK$509,0))))</f>
        <v>46094</v>
      </c>
      <c r="F90" s="6" t="str">
        <f>IF((ROW()-36+($J$35-1)*200)&gt;COUNTIFS(Processos!$X$10:$X$509,1),"",IF(IF(INDEX(Processos!$Y$10:$Y$509,MATCH((ROW()-36+($J$35-1)*200),Processos!$AK$10:$AK$509,0))=1,"Sim","Não")="","",IF(INDEX(Processos!$Y$10:$Y$509,MATCH((ROW()-36+($J$35-1)*200),Processos!$AK$10:$AK$509,0))=1,"Sim","Não")))</f>
        <v>Não</v>
      </c>
      <c r="G90" s="6" t="str">
        <f>IF((ROW()-36+($J$35-1)*200)&gt;COUNTIFS(Processos!$X$10:$X$509,1),"",IF(INDEX(Processos!$D$10:$D$509,MATCH((ROW()-36+($J$35-1)*200),Processos!$AK$10:$AK$509,0))="","",INDEX(Processos!$D$10:$D$509,MATCH((ROW()-36+($J$35-1)*200),Processos!$AK$10:$AK$509,0))))</f>
        <v>BMM Advogados</v>
      </c>
    </row>
    <row r="91" spans="1:7" ht="72" customHeight="1">
      <c r="A91" s="7" t="str">
        <f>IF((ROW()-36+($J$35-1)*200)&gt;COUNTIFS(Processos!$X$10:$X$509,1),"",IF(INDEX(Processos!$A$10:$A$509,MATCH((ROW()-36+($J$35-1)*200),Processos!$AK$10:$AK$509,0))="","",INDEX(Processos!$A$10:$A$509,MATCH((ROW()-36+($J$35-1)*200),Processos!$AK$10:$AK$509,0))))</f>
        <v>0010076-73.2022.5.18.0103</v>
      </c>
      <c r="B91" s="6" t="str">
        <f>IF((ROW()-36+($J$35-1)*200)&gt;COUNTIFS(Processos!$X$10:$X$509,1),"",IF(INDEX(Processos!$C$10:$C$509,MATCH((ROW()-36+($J$35-1)*200),Processos!$AK$10:$AK$509,0))="","",INDEX(Processos!$C$10:$C$509,MATCH((ROW()-36+($J$35-1)*200),Processos!$AK$10:$AK$509,0))))</f>
        <v>Suspenso</v>
      </c>
      <c r="C9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ANTÔNIO DA COSTA SILVA × 1 - Consórcio Integral Spavias Trail Alta 2 - Spavias 3 - Serne</v>
      </c>
      <c r="D91" s="10">
        <f>IF((ROW()-36+($J$35-1)*200)&gt;COUNTIFS(Processos!$X$10:$X$509,1),"",IF(INDEX(Processos!$AQ$10:$AQ$509,MATCH((ROW()-36+($J$35-1)*200),Processos!$AK$10:$AK$509,0))="","",INDEX(Processos!$AQ$10:$AQ$509,MATCH((ROW()-36+($J$35-1)*200),Processos!$AK$10:$AK$509,0))))</f>
        <v>18421.18</v>
      </c>
      <c r="E91" s="8">
        <f>IF((ROW()-36+($J$35-1)*200)&gt;COUNTIFS(Processos!$X$10:$X$509,1),"",IF(INDEX(Processos!$Z$10:$Z$509,MATCH((ROW()-36+($J$35-1)*200),Processos!$AK$10:$AK$509,0))="","",INDEX(Processos!$Z$10:$Z$509,MATCH((ROW()-36+($J$35-1)*200),Processos!$AK$10:$AK$509,0))))</f>
        <v>45653</v>
      </c>
      <c r="F91" s="6" t="str">
        <f>IF((ROW()-36+($J$35-1)*200)&gt;COUNTIFS(Processos!$X$10:$X$509,1),"",IF(IF(INDEX(Processos!$Y$10:$Y$509,MATCH((ROW()-36+($J$35-1)*200),Processos!$AK$10:$AK$509,0))=1,"Sim","Não")="","",IF(INDEX(Processos!$Y$10:$Y$509,MATCH((ROW()-36+($J$35-1)*200),Processos!$AK$10:$AK$509,0))=1,"Sim","Não")))</f>
        <v>Não</v>
      </c>
      <c r="G91" s="6" t="str">
        <f>IF((ROW()-36+($J$35-1)*200)&gt;COUNTIFS(Processos!$X$10:$X$509,1),"",IF(INDEX(Processos!$D$10:$D$509,MATCH((ROW()-36+($J$35-1)*200),Processos!$AK$10:$AK$509,0))="","",INDEX(Processos!$D$10:$D$509,MATCH((ROW()-36+($J$35-1)*200),Processos!$AK$10:$AK$509,0))))</f>
        <v>BMM Advogados</v>
      </c>
    </row>
    <row r="92" spans="1:7" ht="72" customHeight="1">
      <c r="A92" s="7" t="str">
        <f>IF((ROW()-36+($J$35-1)*200)&gt;COUNTIFS(Processos!$X$10:$X$509,1),"",IF(INDEX(Processos!$A$10:$A$509,MATCH((ROW()-36+($J$35-1)*200),Processos!$AK$10:$AK$509,0))="","",INDEX(Processos!$A$10:$A$509,MATCH((ROW()-36+($J$35-1)*200),Processos!$AK$10:$AK$509,0))))</f>
        <v>0010751-67.2021.5.18.0104</v>
      </c>
      <c r="B92" s="6" t="str">
        <f>IF((ROW()-36+($J$35-1)*200)&gt;COUNTIFS(Processos!$X$10:$X$509,1),"",IF(INDEX(Processos!$C$10:$C$509,MATCH((ROW()-36+($J$35-1)*200),Processos!$AK$10:$AK$509,0))="","",INDEX(Processos!$C$10:$C$509,MATCH((ROW()-36+($J$35-1)*200),Processos!$AK$10:$AK$509,0))))</f>
        <v>Ativo</v>
      </c>
      <c r="C9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GIONEI SILVA SANTOS × 1 - Consórcio Integral Spavias Trail Alta 2 - Spavias Engenharia LTDA 3 - Sern [...]</v>
      </c>
      <c r="D92" s="10">
        <f>IF((ROW()-36+($J$35-1)*200)&gt;COUNTIFS(Processos!$X$10:$X$509,1),"",IF(INDEX(Processos!$AQ$10:$AQ$509,MATCH((ROW()-36+($J$35-1)*200),Processos!$AK$10:$AK$509,0))="","",INDEX(Processos!$AQ$10:$AQ$509,MATCH((ROW()-36+($J$35-1)*200),Processos!$AK$10:$AK$509,0))))</f>
        <v>32021.55</v>
      </c>
      <c r="E92" s="8">
        <f>IF((ROW()-36+($J$35-1)*200)&gt;COUNTIFS(Processos!$X$10:$X$509,1),"",IF(INDEX(Processos!$Z$10:$Z$509,MATCH((ROW()-36+($J$35-1)*200),Processos!$AK$10:$AK$509,0))="","",INDEX(Processos!$Z$10:$Z$509,MATCH((ROW()-36+($J$35-1)*200),Processos!$AK$10:$AK$509,0))))</f>
        <v>46084</v>
      </c>
      <c r="F92" s="6" t="str">
        <f>IF((ROW()-36+($J$35-1)*200)&gt;COUNTIFS(Processos!$X$10:$X$509,1),"",IF(IF(INDEX(Processos!$Y$10:$Y$509,MATCH((ROW()-36+($J$35-1)*200),Processos!$AK$10:$AK$509,0))=1,"Sim","Não")="","",IF(INDEX(Processos!$Y$10:$Y$509,MATCH((ROW()-36+($J$35-1)*200),Processos!$AK$10:$AK$509,0))=1,"Sim","Não")))</f>
        <v>Não</v>
      </c>
      <c r="G92" s="6" t="str">
        <f>IF((ROW()-36+($J$35-1)*200)&gt;COUNTIFS(Processos!$X$10:$X$509,1),"",IF(INDEX(Processos!$D$10:$D$509,MATCH((ROW()-36+($J$35-1)*200),Processos!$AK$10:$AK$509,0))="","",INDEX(Processos!$D$10:$D$509,MATCH((ROW()-36+($J$35-1)*200),Processos!$AK$10:$AK$509,0))))</f>
        <v>BMM Advogados</v>
      </c>
    </row>
    <row r="93" spans="1:7" ht="72" customHeight="1">
      <c r="A93" s="7" t="str">
        <f>IF((ROW()-36+($J$35-1)*200)&gt;COUNTIFS(Processos!$X$10:$X$509,1),"",IF(INDEX(Processos!$A$10:$A$509,MATCH((ROW()-36+($J$35-1)*200),Processos!$AK$10:$AK$509,0))="","",INDEX(Processos!$A$10:$A$509,MATCH((ROW()-36+($J$35-1)*200),Processos!$AK$10:$AK$509,0))))</f>
        <v>0010733-31.2019.5.03.0105</v>
      </c>
      <c r="B93" s="6" t="str">
        <f>IF((ROW()-36+($J$35-1)*200)&gt;COUNTIFS(Processos!$X$10:$X$509,1),"",IF(INDEX(Processos!$C$10:$C$509,MATCH((ROW()-36+($J$35-1)*200),Processos!$AK$10:$AK$509,0))="","",INDEX(Processos!$C$10:$C$509,MATCH((ROW()-36+($J$35-1)*200),Processos!$AK$10:$AK$509,0))))</f>
        <v>Arquivado</v>
      </c>
      <c r="C9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ALISSON MOREIRA PEREIRA × 1 - Spa Engenharia Industria E Comercio Ltda 2 - Consorcio Spavias - Alta</v>
      </c>
      <c r="D93" s="10">
        <f>IF((ROW()-36+($J$35-1)*200)&gt;COUNTIFS(Processos!$X$10:$X$509,1),"",IF(INDEX(Processos!$AQ$10:$AQ$509,MATCH((ROW()-36+($J$35-1)*200),Processos!$AK$10:$AK$509,0))="","",INDEX(Processos!$AQ$10:$AQ$509,MATCH((ROW()-36+($J$35-1)*200),Processos!$AK$10:$AK$509,0))))</f>
        <v>38850.050000000003</v>
      </c>
      <c r="E93" s="8">
        <f>IF((ROW()-36+($J$35-1)*200)&gt;COUNTIFS(Processos!$X$10:$X$509,1),"",IF(INDEX(Processos!$Z$10:$Z$509,MATCH((ROW()-36+($J$35-1)*200),Processos!$AK$10:$AK$509,0))="","",INDEX(Processos!$Z$10:$Z$509,MATCH((ROW()-36+($J$35-1)*200),Processos!$AK$10:$AK$509,0))))</f>
        <v>46049</v>
      </c>
      <c r="F93" s="6" t="str">
        <f>IF((ROW()-36+($J$35-1)*200)&gt;COUNTIFS(Processos!$X$10:$X$509,1),"",IF(IF(INDEX(Processos!$Y$10:$Y$509,MATCH((ROW()-36+($J$35-1)*200),Processos!$AK$10:$AK$509,0))=1,"Sim","Não")="","",IF(INDEX(Processos!$Y$10:$Y$509,MATCH((ROW()-36+($J$35-1)*200),Processos!$AK$10:$AK$509,0))=1,"Sim","Não")))</f>
        <v>Não</v>
      </c>
      <c r="G93" s="6" t="str">
        <f>IF((ROW()-36+($J$35-1)*200)&gt;COUNTIFS(Processos!$X$10:$X$509,1),"",IF(INDEX(Processos!$D$10:$D$509,MATCH((ROW()-36+($J$35-1)*200),Processos!$AK$10:$AK$509,0))="","",INDEX(Processos!$D$10:$D$509,MATCH((ROW()-36+($J$35-1)*200),Processos!$AK$10:$AK$509,0))))</f>
        <v>BMM Advogados</v>
      </c>
    </row>
    <row r="94" spans="1:7" ht="72" customHeight="1">
      <c r="A94" s="7" t="str">
        <f>IF((ROW()-36+($J$35-1)*200)&gt;COUNTIFS(Processos!$X$10:$X$509,1),"",IF(INDEX(Processos!$A$10:$A$509,MATCH((ROW()-36+($J$35-1)*200),Processos!$AK$10:$AK$509,0))="","",INDEX(Processos!$A$10:$A$509,MATCH((ROW()-36+($J$35-1)*200),Processos!$AK$10:$AK$509,0))))</f>
        <v>0010751-72.2018.5.18.0104</v>
      </c>
      <c r="B94" s="6" t="str">
        <f>IF((ROW()-36+($J$35-1)*200)&gt;COUNTIFS(Processos!$X$10:$X$509,1),"",IF(INDEX(Processos!$C$10:$C$509,MATCH((ROW()-36+($J$35-1)*200),Processos!$AK$10:$AK$509,0))="","",INDEX(Processos!$C$10:$C$509,MATCH((ROW()-36+($J$35-1)*200),Processos!$AK$10:$AK$509,0))))</f>
        <v>Ativo</v>
      </c>
      <c r="C9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RODRIGO DE JESUS MOURA × 1 - Consórcio Integral Spavias Trail Alta 2 - Spavias Engenharia LTDA 3 - A [...]</v>
      </c>
      <c r="D94" s="10">
        <f>IF((ROW()-36+($J$35-1)*200)&gt;COUNTIFS(Processos!$X$10:$X$509,1),"",IF(INDEX(Processos!$AQ$10:$AQ$509,MATCH((ROW()-36+($J$35-1)*200),Processos!$AK$10:$AK$509,0))="","",INDEX(Processos!$AQ$10:$AQ$509,MATCH((ROW()-36+($J$35-1)*200),Processos!$AK$10:$AK$509,0))))</f>
        <v>29289.47</v>
      </c>
      <c r="E94" s="8">
        <f>IF((ROW()-36+($J$35-1)*200)&gt;COUNTIFS(Processos!$X$10:$X$509,1),"",IF(INDEX(Processos!$Z$10:$Z$509,MATCH((ROW()-36+($J$35-1)*200),Processos!$AK$10:$AK$509,0))="","",INDEX(Processos!$Z$10:$Z$509,MATCH((ROW()-36+($J$35-1)*200),Processos!$AK$10:$AK$509,0))))</f>
        <v>46267</v>
      </c>
      <c r="F94" s="6" t="str">
        <f>IF((ROW()-36+($J$35-1)*200)&gt;COUNTIFS(Processos!$X$10:$X$509,1),"",IF(IF(INDEX(Processos!$Y$10:$Y$509,MATCH((ROW()-36+($J$35-1)*200),Processos!$AK$10:$AK$509,0))=1,"Sim","Não")="","",IF(INDEX(Processos!$Y$10:$Y$509,MATCH((ROW()-36+($J$35-1)*200),Processos!$AK$10:$AK$509,0))=1,"Sim","Não")))</f>
        <v>Não</v>
      </c>
      <c r="G94" s="6" t="str">
        <f>IF((ROW()-36+($J$35-1)*200)&gt;COUNTIFS(Processos!$X$10:$X$509,1),"",IF(INDEX(Processos!$D$10:$D$509,MATCH((ROW()-36+($J$35-1)*200),Processos!$AK$10:$AK$509,0))="","",INDEX(Processos!$D$10:$D$509,MATCH((ROW()-36+($J$35-1)*200),Processos!$AK$10:$AK$509,0))))</f>
        <v>BMM Advogados</v>
      </c>
    </row>
    <row r="95" spans="1:7" ht="72" customHeight="1">
      <c r="A95" s="7" t="str">
        <f>IF((ROW()-36+($J$35-1)*200)&gt;COUNTIFS(Processos!$X$10:$X$509,1),"",IF(INDEX(Processos!$A$10:$A$509,MATCH((ROW()-36+($J$35-1)*200),Processos!$AK$10:$AK$509,0))="","",INDEX(Processos!$A$10:$A$509,MATCH((ROW()-36+($J$35-1)*200),Processos!$AK$10:$AK$509,0))))</f>
        <v>0010251-67.2022.5.18.0103 [BMM-059]</v>
      </c>
      <c r="B95" s="6" t="str">
        <f>IF((ROW()-36+($J$35-1)*200)&gt;COUNTIFS(Processos!$X$10:$X$509,1),"",IF(INDEX(Processos!$C$10:$C$509,MATCH((ROW()-36+($J$35-1)*200),Processos!$AK$10:$AK$509,0))="","",INDEX(Processos!$C$10:$C$509,MATCH((ROW()-36+($J$35-1)*200),Processos!$AK$10:$AK$509,0))))</f>
        <v>Arquivado</v>
      </c>
      <c r="C9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GERMANO DOS SANTOS BITENCOURT × 1 - Consórcio Spavias Cava 2 - Spavias Engenharia LTDA 3 - Cava Enge [...]</v>
      </c>
      <c r="D95" s="10">
        <f>IF((ROW()-36+($J$35-1)*200)&gt;COUNTIFS(Processos!$X$10:$X$509,1),"",IF(INDEX(Processos!$AQ$10:$AQ$509,MATCH((ROW()-36+($J$35-1)*200),Processos!$AK$10:$AK$509,0))="","",INDEX(Processos!$AQ$10:$AQ$509,MATCH((ROW()-36+($J$35-1)*200),Processos!$AK$10:$AK$509,0))))</f>
        <v>261849.65</v>
      </c>
      <c r="E95" s="8">
        <f>IF((ROW()-36+($J$35-1)*200)&gt;COUNTIFS(Processos!$X$10:$X$509,1),"",IF(INDEX(Processos!$Z$10:$Z$509,MATCH((ROW()-36+($J$35-1)*200),Processos!$AK$10:$AK$509,0))="","",INDEX(Processos!$Z$10:$Z$509,MATCH((ROW()-36+($J$35-1)*200),Processos!$AK$10:$AK$509,0))))</f>
        <v>45512</v>
      </c>
      <c r="F95" s="6" t="str">
        <f>IF((ROW()-36+($J$35-1)*200)&gt;COUNTIFS(Processos!$X$10:$X$509,1),"",IF(IF(INDEX(Processos!$Y$10:$Y$509,MATCH((ROW()-36+($J$35-1)*200),Processos!$AK$10:$AK$509,0))=1,"Sim","Não")="","",IF(INDEX(Processos!$Y$10:$Y$509,MATCH((ROW()-36+($J$35-1)*200),Processos!$AK$10:$AK$509,0))=1,"Sim","Não")))</f>
        <v>Não</v>
      </c>
      <c r="G95" s="6" t="str">
        <f>IF((ROW()-36+($J$35-1)*200)&gt;COUNTIFS(Processos!$X$10:$X$509,1),"",IF(INDEX(Processos!$D$10:$D$509,MATCH((ROW()-36+($J$35-1)*200),Processos!$AK$10:$AK$509,0))="","",INDEX(Processos!$D$10:$D$509,MATCH((ROW()-36+($J$35-1)*200),Processos!$AK$10:$AK$509,0))))</f>
        <v>BMM Advogados</v>
      </c>
    </row>
    <row r="96" spans="1:7" ht="72" customHeight="1">
      <c r="A96" s="7" t="str">
        <f>IF((ROW()-36+($J$35-1)*200)&gt;COUNTIFS(Processos!$X$10:$X$509,1),"",IF(INDEX(Processos!$A$10:$A$509,MATCH((ROW()-36+($J$35-1)*200),Processos!$AK$10:$AK$509,0))="","",INDEX(Processos!$A$10:$A$509,MATCH((ROW()-36+($J$35-1)*200),Processos!$AK$10:$AK$509,0))))</f>
        <v>5540289-89.2025.8.09.0045</v>
      </c>
      <c r="B96" s="6" t="str">
        <f>IF((ROW()-36+($J$35-1)*200)&gt;COUNTIFS(Processos!$X$10:$X$509,1),"",IF(INDEX(Processos!$C$10:$C$509,MATCH((ROW()-36+($J$35-1)*200),Processos!$AK$10:$AK$509,0))="","",INDEX(Processos!$C$10:$C$509,MATCH((ROW()-36+($J$35-1)*200),Processos!$AK$10:$AK$509,0))))</f>
        <v>Ativo</v>
      </c>
      <c r="C9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PEDRO CORRÊA DO NASCIMENTO × SETORSUL TRANSPORTES E SERVICOS DE MAO DE OBRA LTDA BK INFRAESTRUTURA L [...]</v>
      </c>
      <c r="D96" s="10">
        <f>IF((ROW()-36+($J$35-1)*200)&gt;COUNTIFS(Processos!$X$10:$X$509,1),"",IF(INDEX(Processos!$AQ$10:$AQ$509,MATCH((ROW()-36+($J$35-1)*200),Processos!$AK$10:$AK$509,0))="","",INDEX(Processos!$AQ$10:$AQ$509,MATCH((ROW()-36+($J$35-1)*200),Processos!$AK$10:$AK$509,0))))</f>
        <v>13113.48</v>
      </c>
      <c r="E96" s="8">
        <f>IF((ROW()-36+($J$35-1)*200)&gt;COUNTIFS(Processos!$X$10:$X$509,1),"",IF(INDEX(Processos!$Z$10:$Z$509,MATCH((ROW()-36+($J$35-1)*200),Processos!$AK$10:$AK$509,0))="","",INDEX(Processos!$Z$10:$Z$509,MATCH((ROW()-36+($J$35-1)*200),Processos!$AK$10:$AK$509,0))))</f>
        <v>46052</v>
      </c>
      <c r="F96" s="6" t="str">
        <f>IF((ROW()-36+($J$35-1)*200)&gt;COUNTIFS(Processos!$X$10:$X$509,1),"",IF(IF(INDEX(Processos!$Y$10:$Y$509,MATCH((ROW()-36+($J$35-1)*200),Processos!$AK$10:$AK$509,0))=1,"Sim","Não")="","",IF(INDEX(Processos!$Y$10:$Y$509,MATCH((ROW()-36+($J$35-1)*200),Processos!$AK$10:$AK$509,0))=1,"Sim","Não")))</f>
        <v>Não</v>
      </c>
      <c r="G96" s="6" t="str">
        <f>IF((ROW()-36+($J$35-1)*200)&gt;COUNTIFS(Processos!$X$10:$X$509,1),"",IF(INDEX(Processos!$D$10:$D$509,MATCH((ROW()-36+($J$35-1)*200),Processos!$AK$10:$AK$509,0))="","",INDEX(Processos!$D$10:$D$509,MATCH((ROW()-36+($J$35-1)*200),Processos!$AK$10:$AK$509,0))))</f>
        <v>BMM Advogados</v>
      </c>
    </row>
    <row r="97" spans="1:7" ht="72" customHeight="1">
      <c r="A97" s="7" t="str">
        <f>IF((ROW()-36+($J$35-1)*200)&gt;COUNTIFS(Processos!$X$10:$X$509,1),"",IF(INDEX(Processos!$A$10:$A$509,MATCH((ROW()-36+($J$35-1)*200),Processos!$AK$10:$AK$509,0))="","",INDEX(Processos!$A$10:$A$509,MATCH((ROW()-36+($J$35-1)*200),Processos!$AK$10:$AK$509,0))))</f>
        <v>0010552-28.2019.5.03.0138</v>
      </c>
      <c r="B97" s="6" t="str">
        <f>IF((ROW()-36+($J$35-1)*200)&gt;COUNTIFS(Processos!$X$10:$X$509,1),"",IF(INDEX(Processos!$C$10:$C$509,MATCH((ROW()-36+($J$35-1)*200),Processos!$AK$10:$AK$509,0))="","",INDEX(Processos!$C$10:$C$509,MATCH((ROW()-36+($J$35-1)*200),Processos!$AK$10:$AK$509,0))))</f>
        <v>Suspenso</v>
      </c>
      <c r="C9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GUILHERME SANTOS MOREIRA × 1 - Consórcio Spavias - Alta 2 - Spavias Engenharia LTDA 3 - Alta Engenha [...]</v>
      </c>
      <c r="D97" s="10">
        <f>IF((ROW()-36+($J$35-1)*200)&gt;COUNTIFS(Processos!$X$10:$X$509,1),"",IF(INDEX(Processos!$AQ$10:$AQ$509,MATCH((ROW()-36+($J$35-1)*200),Processos!$AK$10:$AK$509,0))="","",INDEX(Processos!$AQ$10:$AQ$509,MATCH((ROW()-36+($J$35-1)*200),Processos!$AK$10:$AK$509,0))))</f>
        <v>80298.47</v>
      </c>
      <c r="E97" s="8">
        <f>IF((ROW()-36+($J$35-1)*200)&gt;COUNTIFS(Processos!$X$10:$X$509,1),"",IF(INDEX(Processos!$Z$10:$Z$509,MATCH((ROW()-36+($J$35-1)*200),Processos!$AK$10:$AK$509,0))="","",INDEX(Processos!$Z$10:$Z$509,MATCH((ROW()-36+($J$35-1)*200),Processos!$AK$10:$AK$509,0))))</f>
        <v>46055</v>
      </c>
      <c r="F97" s="6" t="str">
        <f>IF((ROW()-36+($J$35-1)*200)&gt;COUNTIFS(Processos!$X$10:$X$509,1),"",IF(IF(INDEX(Processos!$Y$10:$Y$509,MATCH((ROW()-36+($J$35-1)*200),Processos!$AK$10:$AK$509,0))=1,"Sim","Não")="","",IF(INDEX(Processos!$Y$10:$Y$509,MATCH((ROW()-36+($J$35-1)*200),Processos!$AK$10:$AK$509,0))=1,"Sim","Não")))</f>
        <v>Sim</v>
      </c>
      <c r="G97" s="6" t="str">
        <f>IF((ROW()-36+($J$35-1)*200)&gt;COUNTIFS(Processos!$X$10:$X$509,1),"",IF(INDEX(Processos!$D$10:$D$509,MATCH((ROW()-36+($J$35-1)*200),Processos!$AK$10:$AK$509,0))="","",INDEX(Processos!$D$10:$D$509,MATCH((ROW()-36+($J$35-1)*200),Processos!$AK$10:$AK$509,0))))</f>
        <v>BMM Advogados</v>
      </c>
    </row>
    <row r="98" spans="1:7" ht="72" customHeight="1">
      <c r="A98" s="7" t="str">
        <f>IF((ROW()-36+($J$35-1)*200)&gt;COUNTIFS(Processos!$X$10:$X$509,1),"",IF(INDEX(Processos!$A$10:$A$509,MATCH((ROW()-36+($J$35-1)*200),Processos!$AK$10:$AK$509,0))="","",INDEX(Processos!$A$10:$A$509,MATCH((ROW()-36+($J$35-1)*200),Processos!$AK$10:$AK$509,0))))</f>
        <v>5158368-83.2018.8.13.0024</v>
      </c>
      <c r="B98" s="6" t="str">
        <f>IF((ROW()-36+($J$35-1)*200)&gt;COUNTIFS(Processos!$X$10:$X$509,1),"",IF(INDEX(Processos!$C$10:$C$509,MATCH((ROW()-36+($J$35-1)*200),Processos!$AK$10:$AK$509,0))="","",INDEX(Processos!$C$10:$C$509,MATCH((ROW()-36+($J$35-1)*200),Processos!$AK$10:$AK$509,0))))</f>
        <v>Ativo</v>
      </c>
      <c r="C9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TRANSVIAS ENGENHARIA LTDA × CONSÓRCIO INTEGRAL SPAVIAS TRAIL ALTA</v>
      </c>
      <c r="D98" s="10">
        <f>IF((ROW()-36+($J$35-1)*200)&gt;COUNTIFS(Processos!$X$10:$X$509,1),"",IF(INDEX(Processos!$AQ$10:$AQ$509,MATCH((ROW()-36+($J$35-1)*200),Processos!$AK$10:$AK$509,0))="","",INDEX(Processos!$AQ$10:$AQ$509,MATCH((ROW()-36+($J$35-1)*200),Processos!$AK$10:$AK$509,0))))</f>
        <v>293379.51</v>
      </c>
      <c r="E98" s="8">
        <f>IF((ROW()-36+($J$35-1)*200)&gt;COUNTIFS(Processos!$X$10:$X$509,1),"",IF(INDEX(Processos!$Z$10:$Z$509,MATCH((ROW()-36+($J$35-1)*200),Processos!$AK$10:$AK$509,0))="","",INDEX(Processos!$Z$10:$Z$509,MATCH((ROW()-36+($J$35-1)*200),Processos!$AK$10:$AK$509,0))))</f>
        <v>45548</v>
      </c>
      <c r="F98" s="6" t="str">
        <f>IF((ROW()-36+($J$35-1)*200)&gt;COUNTIFS(Processos!$X$10:$X$509,1),"",IF(IF(INDEX(Processos!$Y$10:$Y$509,MATCH((ROW()-36+($J$35-1)*200),Processos!$AK$10:$AK$509,0))=1,"Sim","Não")="","",IF(INDEX(Processos!$Y$10:$Y$509,MATCH((ROW()-36+($J$35-1)*200),Processos!$AK$10:$AK$509,0))=1,"Sim","Não")))</f>
        <v>Não</v>
      </c>
      <c r="G98" s="6" t="str">
        <f>IF((ROW()-36+($J$35-1)*200)&gt;COUNTIFS(Processos!$X$10:$X$509,1),"",IF(INDEX(Processos!$D$10:$D$509,MATCH((ROW()-36+($J$35-1)*200),Processos!$AK$10:$AK$509,0))="","",INDEX(Processos!$D$10:$D$509,MATCH((ROW()-36+($J$35-1)*200),Processos!$AK$10:$AK$509,0))))</f>
        <v>BMM Advogados</v>
      </c>
    </row>
    <row r="99" spans="1:7" ht="72" customHeight="1">
      <c r="A99" s="7" t="str">
        <f>IF((ROW()-36+($J$35-1)*200)&gt;COUNTIFS(Processos!$X$10:$X$509,1),"",IF(INDEX(Processos!$A$10:$A$509,MATCH((ROW()-36+($J$35-1)*200),Processos!$AK$10:$AK$509,0))="","",INDEX(Processos!$A$10:$A$509,MATCH((ROW()-36+($J$35-1)*200),Processos!$AK$10:$AK$509,0))))</f>
        <v>0010471-11.2021.5.03.0138</v>
      </c>
      <c r="B99" s="6" t="str">
        <f>IF((ROW()-36+($J$35-1)*200)&gt;COUNTIFS(Processos!$X$10:$X$509,1),"",IF(INDEX(Processos!$C$10:$C$509,MATCH((ROW()-36+($J$35-1)*200),Processos!$AK$10:$AK$509,0))="","",INDEX(Processos!$C$10:$C$509,MATCH((ROW()-36+($J$35-1)*200),Processos!$AK$10:$AK$509,0))))</f>
        <v>Suspenso</v>
      </c>
      <c r="C9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GUILHERME SANTOS MOREIRA × 1 - Consórcio Spavias - Alta Spavias Engenharia LTDA 2 - Alta Engenharia  [...]</v>
      </c>
      <c r="D99" s="10">
        <f>IF((ROW()-36+($J$35-1)*200)&gt;COUNTIFS(Processos!$X$10:$X$509,1),"",IF(INDEX(Processos!$AQ$10:$AQ$509,MATCH((ROW()-36+($J$35-1)*200),Processos!$AK$10:$AK$509,0))="","",INDEX(Processos!$AQ$10:$AQ$509,MATCH((ROW()-36+($J$35-1)*200),Processos!$AK$10:$AK$509,0))))</f>
        <v>58038.42</v>
      </c>
      <c r="E99" s="8">
        <f>IF((ROW()-36+($J$35-1)*200)&gt;COUNTIFS(Processos!$X$10:$X$509,1),"",IF(INDEX(Processos!$Z$10:$Z$509,MATCH((ROW()-36+($J$35-1)*200),Processos!$AK$10:$AK$509,0))="","",INDEX(Processos!$Z$10:$Z$509,MATCH((ROW()-36+($J$35-1)*200),Processos!$AK$10:$AK$509,0))))</f>
        <v>46079</v>
      </c>
      <c r="F99" s="6" t="str">
        <f>IF((ROW()-36+($J$35-1)*200)&gt;COUNTIFS(Processos!$X$10:$X$509,1),"",IF(IF(INDEX(Processos!$Y$10:$Y$509,MATCH((ROW()-36+($J$35-1)*200),Processos!$AK$10:$AK$509,0))=1,"Sim","Não")="","",IF(INDEX(Processos!$Y$10:$Y$509,MATCH((ROW()-36+($J$35-1)*200),Processos!$AK$10:$AK$509,0))=1,"Sim","Não")))</f>
        <v>Sim</v>
      </c>
      <c r="G99" s="6" t="str">
        <f>IF((ROW()-36+($J$35-1)*200)&gt;COUNTIFS(Processos!$X$10:$X$509,1),"",IF(INDEX(Processos!$D$10:$D$509,MATCH((ROW()-36+($J$35-1)*200),Processos!$AK$10:$AK$509,0))="","",INDEX(Processos!$D$10:$D$509,MATCH((ROW()-36+($J$35-1)*200),Processos!$AK$10:$AK$509,0))))</f>
        <v>BMM Advogados</v>
      </c>
    </row>
    <row r="100" spans="1:7" ht="72" customHeight="1">
      <c r="A100" s="7" t="str">
        <f>IF((ROW()-36+($J$35-1)*200)&gt;COUNTIFS(Processos!$X$10:$X$509,1),"",IF(INDEX(Processos!$A$10:$A$509,MATCH((ROW()-36+($J$35-1)*200),Processos!$AK$10:$AK$509,0))="","",INDEX(Processos!$A$10:$A$509,MATCH((ROW()-36+($J$35-1)*200),Processos!$AK$10:$AK$509,0))))</f>
        <v>0010251-67.2022.5.18.0103 [BMM-064]</v>
      </c>
      <c r="B100" s="6" t="str">
        <f>IF((ROW()-36+($J$35-1)*200)&gt;COUNTIFS(Processos!$X$10:$X$509,1),"",IF(INDEX(Processos!$C$10:$C$509,MATCH((ROW()-36+($J$35-1)*200),Processos!$AK$10:$AK$509,0))="","",INDEX(Processos!$C$10:$C$509,MATCH((ROW()-36+($J$35-1)*200),Processos!$AK$10:$AK$509,0))))</f>
        <v>Arquivado</v>
      </c>
      <c r="C10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GERMANO DOS SANTOS BITENCOURT × CONSÓRCIO INTEGRAL SPAVIAS TRAIL ALTA</v>
      </c>
      <c r="D100" s="10" t="str">
        <f>IF((ROW()-36+($J$35-1)*200)&gt;COUNTIFS(Processos!$X$10:$X$509,1),"",IF(INDEX(Processos!$AQ$10:$AQ$509,MATCH((ROW()-36+($J$35-1)*200),Processos!$AK$10:$AK$509,0))="","",INDEX(Processos!$AQ$10:$AQ$509,MATCH((ROW()-36+($J$35-1)*200),Processos!$AK$10:$AK$509,0))))</f>
        <v/>
      </c>
      <c r="E100" s="8">
        <f>IF((ROW()-36+($J$35-1)*200)&gt;COUNTIFS(Processos!$X$10:$X$509,1),"",IF(INDEX(Processos!$Z$10:$Z$509,MATCH((ROW()-36+($J$35-1)*200),Processos!$AK$10:$AK$509,0))="","",INDEX(Processos!$Z$10:$Z$509,MATCH((ROW()-36+($J$35-1)*200),Processos!$AK$10:$AK$509,0))))</f>
        <v>45512</v>
      </c>
      <c r="F100" s="6" t="str">
        <f>IF((ROW()-36+($J$35-1)*200)&gt;COUNTIFS(Processos!$X$10:$X$509,1),"",IF(IF(INDEX(Processos!$Y$10:$Y$509,MATCH((ROW()-36+($J$35-1)*200),Processos!$AK$10:$AK$509,0))=1,"Sim","Não")="","",IF(INDEX(Processos!$Y$10:$Y$509,MATCH((ROW()-36+($J$35-1)*200),Processos!$AK$10:$AK$509,0))=1,"Sim","Não")))</f>
        <v>Não</v>
      </c>
      <c r="G100" s="6" t="str">
        <f>IF((ROW()-36+($J$35-1)*200)&gt;COUNTIFS(Processos!$X$10:$X$509,1),"",IF(INDEX(Processos!$D$10:$D$509,MATCH((ROW()-36+($J$35-1)*200),Processos!$AK$10:$AK$509,0))="","",INDEX(Processos!$D$10:$D$509,MATCH((ROW()-36+($J$35-1)*200),Processos!$AK$10:$AK$509,0))))</f>
        <v>BMM Advogados</v>
      </c>
    </row>
    <row r="101" spans="1:7" ht="72" customHeight="1">
      <c r="A101" s="7" t="str">
        <f>IF((ROW()-36+($J$35-1)*200)&gt;COUNTIFS(Processos!$X$10:$X$509,1),"",IF(INDEX(Processos!$A$10:$A$509,MATCH((ROW()-36+($J$35-1)*200),Processos!$AK$10:$AK$509,0))="","",INDEX(Processos!$A$10:$A$509,MATCH((ROW()-36+($J$35-1)*200),Processos!$AK$10:$AK$509,0))))</f>
        <v>1002777-19.2018.4.01.3500</v>
      </c>
      <c r="B101" s="6" t="str">
        <f>IF((ROW()-36+($J$35-1)*200)&gt;COUNTIFS(Processos!$X$10:$X$509,1),"",IF(INDEX(Processos!$C$10:$C$509,MATCH((ROW()-36+($J$35-1)*200),Processos!$AK$10:$AK$509,0))="","",INDEX(Processos!$C$10:$C$509,MATCH((ROW()-36+($J$35-1)*200),Processos!$AK$10:$AK$509,0))))</f>
        <v>Ativo</v>
      </c>
      <c r="C10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INSS × SPAVIAS  ALTA ENGENHARIA  TRAIL  JOSE AMARO DA SILVA E CIA LTDA - ME</v>
      </c>
      <c r="D101" s="10">
        <f>IF((ROW()-36+($J$35-1)*200)&gt;COUNTIFS(Processos!$X$10:$X$509,1),"",IF(INDEX(Processos!$AQ$10:$AQ$509,MATCH((ROW()-36+($J$35-1)*200),Processos!$AK$10:$AK$509,0))="","",INDEX(Processos!$AQ$10:$AQ$509,MATCH((ROW()-36+($J$35-1)*200),Processos!$AK$10:$AK$509,0))))</f>
        <v>79000</v>
      </c>
      <c r="E101" s="8">
        <f>IF((ROW()-36+($J$35-1)*200)&gt;COUNTIFS(Processos!$X$10:$X$509,1),"",IF(INDEX(Processos!$Z$10:$Z$509,MATCH((ROW()-36+($J$35-1)*200),Processos!$AK$10:$AK$509,0))="","",INDEX(Processos!$Z$10:$Z$509,MATCH((ROW()-36+($J$35-1)*200),Processos!$AK$10:$AK$509,0))))</f>
        <v>46052</v>
      </c>
      <c r="F101" s="6" t="str">
        <f>IF((ROW()-36+($J$35-1)*200)&gt;COUNTIFS(Processos!$X$10:$X$509,1),"",IF(IF(INDEX(Processos!$Y$10:$Y$509,MATCH((ROW()-36+($J$35-1)*200),Processos!$AK$10:$AK$509,0))=1,"Sim","Não")="","",IF(INDEX(Processos!$Y$10:$Y$509,MATCH((ROW()-36+($J$35-1)*200),Processos!$AK$10:$AK$509,0))=1,"Sim","Não")))</f>
        <v>Não</v>
      </c>
      <c r="G101" s="6" t="str">
        <f>IF((ROW()-36+($J$35-1)*200)&gt;COUNTIFS(Processos!$X$10:$X$509,1),"",IF(INDEX(Processos!$D$10:$D$509,MATCH((ROW()-36+($J$35-1)*200),Processos!$AK$10:$AK$509,0))="","",INDEX(Processos!$D$10:$D$509,MATCH((ROW()-36+($J$35-1)*200),Processos!$AK$10:$AK$509,0))))</f>
        <v>BMM Advogados</v>
      </c>
    </row>
    <row r="102" spans="1:7" ht="72" customHeight="1">
      <c r="A102" s="7" t="str">
        <f>IF((ROW()-36+($J$35-1)*200)&gt;COUNTIFS(Processos!$X$10:$X$509,1),"",IF(INDEX(Processos!$A$10:$A$509,MATCH((ROW()-36+($J$35-1)*200),Processos!$AK$10:$AK$509,0))="","",INDEX(Processos!$A$10:$A$509,MATCH((ROW()-36+($J$35-1)*200),Processos!$AK$10:$AK$509,0))))</f>
        <v>0015510-80.2013.4.01.3800</v>
      </c>
      <c r="B102" s="6" t="str">
        <f>IF((ROW()-36+($J$35-1)*200)&gt;COUNTIFS(Processos!$X$10:$X$509,1),"",IF(INDEX(Processos!$C$10:$C$509,MATCH((ROW()-36+($J$35-1)*200),Processos!$AK$10:$AK$509,0))="","",INDEX(Processos!$C$10:$C$509,MATCH((ROW()-36+($J$35-1)*200),Processos!$AK$10:$AK$509,0))))</f>
        <v>Arquivado</v>
      </c>
      <c r="C10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DELEGADO DA RECEITA FEDERAL EM BH × ALTA</v>
      </c>
      <c r="D102" s="10">
        <f>IF((ROW()-36+($J$35-1)*200)&gt;COUNTIFS(Processos!$X$10:$X$509,1),"",IF(INDEX(Processos!$AQ$10:$AQ$509,MATCH((ROW()-36+($J$35-1)*200),Processos!$AK$10:$AK$509,0))="","",INDEX(Processos!$AQ$10:$AQ$509,MATCH((ROW()-36+($J$35-1)*200),Processos!$AK$10:$AK$509,0))))</f>
        <v>30000</v>
      </c>
      <c r="E102" s="8">
        <f>IF((ROW()-36+($J$35-1)*200)&gt;COUNTIFS(Processos!$X$10:$X$509,1),"",IF(INDEX(Processos!$Z$10:$Z$509,MATCH((ROW()-36+($J$35-1)*200),Processos!$AK$10:$AK$509,0))="","",INDEX(Processos!$Z$10:$Z$509,MATCH((ROW()-36+($J$35-1)*200),Processos!$AK$10:$AK$509,0))))</f>
        <v>45512</v>
      </c>
      <c r="F102" s="6" t="str">
        <f>IF((ROW()-36+($J$35-1)*200)&gt;COUNTIFS(Processos!$X$10:$X$509,1),"",IF(IF(INDEX(Processos!$Y$10:$Y$509,MATCH((ROW()-36+($J$35-1)*200),Processos!$AK$10:$AK$509,0))=1,"Sim","Não")="","",IF(INDEX(Processos!$Y$10:$Y$509,MATCH((ROW()-36+($J$35-1)*200),Processos!$AK$10:$AK$509,0))=1,"Sim","Não")))</f>
        <v>Não</v>
      </c>
      <c r="G102" s="6" t="str">
        <f>IF((ROW()-36+($J$35-1)*200)&gt;COUNTIFS(Processos!$X$10:$X$509,1),"",IF(INDEX(Processos!$D$10:$D$509,MATCH((ROW()-36+($J$35-1)*200),Processos!$AK$10:$AK$509,0))="","",INDEX(Processos!$D$10:$D$509,MATCH((ROW()-36+($J$35-1)*200),Processos!$AK$10:$AK$509,0))))</f>
        <v>BMM Advogados</v>
      </c>
    </row>
    <row r="103" spans="1:7" ht="72" customHeight="1">
      <c r="A103" s="7" t="str">
        <f>IF((ROW()-36+($J$35-1)*200)&gt;COUNTIFS(Processos!$X$10:$X$509,1),"",IF(INDEX(Processos!$A$10:$A$509,MATCH((ROW()-36+($J$35-1)*200),Processos!$AK$10:$AK$509,0))="","",INDEX(Processos!$A$10:$A$509,MATCH((ROW()-36+($J$35-1)*200),Processos!$AK$10:$AK$509,0))))</f>
        <v>8002509-98.2021.8.05.0231</v>
      </c>
      <c r="B103" s="6" t="str">
        <f>IF((ROW()-36+($J$35-1)*200)&gt;COUNTIFS(Processos!$X$10:$X$509,1),"",IF(INDEX(Processos!$C$10:$C$509,MATCH((ROW()-36+($J$35-1)*200),Processos!$AK$10:$AK$509,0))="","",INDEX(Processos!$C$10:$C$509,MATCH((ROW()-36+($J$35-1)*200),Processos!$AK$10:$AK$509,0))))</f>
        <v>Arquivado</v>
      </c>
      <c r="C10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MUNICÍPIO DE SÃO DESIDÉRIO / BA × ALTA</v>
      </c>
      <c r="D103" s="10">
        <f>IF((ROW()-36+($J$35-1)*200)&gt;COUNTIFS(Processos!$X$10:$X$509,1),"",IF(INDEX(Processos!$AQ$10:$AQ$509,MATCH((ROW()-36+($J$35-1)*200),Processos!$AK$10:$AK$509,0))="","",INDEX(Processos!$AQ$10:$AQ$509,MATCH((ROW()-36+($J$35-1)*200),Processos!$AK$10:$AK$509,0))))</f>
        <v>7335.99</v>
      </c>
      <c r="E103" s="8">
        <f>IF((ROW()-36+($J$35-1)*200)&gt;COUNTIFS(Processos!$X$10:$X$509,1),"",IF(INDEX(Processos!$Z$10:$Z$509,MATCH((ROW()-36+($J$35-1)*200),Processos!$AK$10:$AK$509,0))="","",INDEX(Processos!$Z$10:$Z$509,MATCH((ROW()-36+($J$35-1)*200),Processos!$AK$10:$AK$509,0))))</f>
        <v>46073</v>
      </c>
      <c r="F103" s="6" t="str">
        <f>IF((ROW()-36+($J$35-1)*200)&gt;COUNTIFS(Processos!$X$10:$X$509,1),"",IF(IF(INDEX(Processos!$Y$10:$Y$509,MATCH((ROW()-36+($J$35-1)*200),Processos!$AK$10:$AK$509,0))=1,"Sim","Não")="","",IF(INDEX(Processos!$Y$10:$Y$509,MATCH((ROW()-36+($J$35-1)*200),Processos!$AK$10:$AK$509,0))=1,"Sim","Não")))</f>
        <v>Não</v>
      </c>
      <c r="G103" s="6" t="str">
        <f>IF((ROW()-36+($J$35-1)*200)&gt;COUNTIFS(Processos!$X$10:$X$509,1),"",IF(INDEX(Processos!$D$10:$D$509,MATCH((ROW()-36+($J$35-1)*200),Processos!$AK$10:$AK$509,0))="","",INDEX(Processos!$D$10:$D$509,MATCH((ROW()-36+($J$35-1)*200),Processos!$AK$10:$AK$509,0))))</f>
        <v>BMM Advogados</v>
      </c>
    </row>
    <row r="104" spans="1:7" ht="72" customHeight="1">
      <c r="A104" s="7" t="str">
        <f>IF((ROW()-36+($J$35-1)*200)&gt;COUNTIFS(Processos!$X$10:$X$509,1),"",IF(INDEX(Processos!$A$10:$A$509,MATCH((ROW()-36+($J$35-1)*200),Processos!$AK$10:$AK$509,0))="","",INDEX(Processos!$A$10:$A$509,MATCH((ROW()-36+($J$35-1)*200),Processos!$AK$10:$AK$509,0))))</f>
        <v>AUTO DE INFRAÇÃO Nº 06.2019</v>
      </c>
      <c r="B104" s="6" t="str">
        <f>IF((ROW()-36+($J$35-1)*200)&gt;COUNTIFS(Processos!$X$10:$X$509,1),"",IF(INDEX(Processos!$C$10:$C$509,MATCH((ROW()-36+($J$35-1)*200),Processos!$AK$10:$AK$509,0))="","",INDEX(Processos!$C$10:$C$509,MATCH((ROW()-36+($J$35-1)*200),Processos!$AK$10:$AK$509,0))))</f>
        <v>Arquivado</v>
      </c>
      <c r="C10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MUNICÍPIO DE GILBUÉS - PIAUÍ × ALTA</v>
      </c>
      <c r="D104" s="10">
        <f>IF((ROW()-36+($J$35-1)*200)&gt;COUNTIFS(Processos!$X$10:$X$509,1),"",IF(INDEX(Processos!$AQ$10:$AQ$509,MATCH((ROW()-36+($J$35-1)*200),Processos!$AK$10:$AK$509,0))="","",INDEX(Processos!$AQ$10:$AQ$509,MATCH((ROW()-36+($J$35-1)*200),Processos!$AK$10:$AK$509,0))))</f>
        <v>76138.740000000005</v>
      </c>
      <c r="E104" s="8">
        <f>IF((ROW()-36+($J$35-1)*200)&gt;COUNTIFS(Processos!$X$10:$X$509,1),"",IF(INDEX(Processos!$Z$10:$Z$509,MATCH((ROW()-36+($J$35-1)*200),Processos!$AK$10:$AK$509,0))="","",INDEX(Processos!$Z$10:$Z$509,MATCH((ROW()-36+($J$35-1)*200),Processos!$AK$10:$AK$509,0))))</f>
        <v>46055</v>
      </c>
      <c r="F104" s="6" t="str">
        <f>IF((ROW()-36+($J$35-1)*200)&gt;COUNTIFS(Processos!$X$10:$X$509,1),"",IF(IF(INDEX(Processos!$Y$10:$Y$509,MATCH((ROW()-36+($J$35-1)*200),Processos!$AK$10:$AK$509,0))=1,"Sim","Não")="","",IF(INDEX(Processos!$Y$10:$Y$509,MATCH((ROW()-36+($J$35-1)*200),Processos!$AK$10:$AK$509,0))=1,"Sim","Não")))</f>
        <v>Não</v>
      </c>
      <c r="G104" s="6" t="str">
        <f>IF((ROW()-36+($J$35-1)*200)&gt;COUNTIFS(Processos!$X$10:$X$509,1),"",IF(INDEX(Processos!$D$10:$D$509,MATCH((ROW()-36+($J$35-1)*200),Processos!$AK$10:$AK$509,0))="","",INDEX(Processos!$D$10:$D$509,MATCH((ROW()-36+($J$35-1)*200),Processos!$AK$10:$AK$509,0))))</f>
        <v>BMM Advogados</v>
      </c>
    </row>
    <row r="105" spans="1:7" ht="72" customHeight="1">
      <c r="A105" s="7" t="str">
        <f>IF((ROW()-36+($J$35-1)*200)&gt;COUNTIFS(Processos!$X$10:$X$509,1),"",IF(INDEX(Processos!$A$10:$A$509,MATCH((ROW()-36+($J$35-1)*200),Processos!$AK$10:$AK$509,0))="","",INDEX(Processos!$A$10:$A$509,MATCH((ROW()-36+($J$35-1)*200),Processos!$AK$10:$AK$509,0))))</f>
        <v>AUTO DE INFRAÇÃO Nº 07.2019</v>
      </c>
      <c r="B105" s="6" t="str">
        <f>IF((ROW()-36+($J$35-1)*200)&gt;COUNTIFS(Processos!$X$10:$X$509,1),"",IF(INDEX(Processos!$C$10:$C$509,MATCH((ROW()-36+($J$35-1)*200),Processos!$AK$10:$AK$509,0))="","",INDEX(Processos!$C$10:$C$509,MATCH((ROW()-36+($J$35-1)*200),Processos!$AK$10:$AK$509,0))))</f>
        <v>Ativo</v>
      </c>
      <c r="C10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MUNICÍPIO DE GILBUÉS - PIAUÍ × PAVISOLOS E SONDAG CONSULTORIA LTDA</v>
      </c>
      <c r="D105" s="10">
        <f>IF((ROW()-36+($J$35-1)*200)&gt;COUNTIFS(Processos!$X$10:$X$509,1),"",IF(INDEX(Processos!$AQ$10:$AQ$509,MATCH((ROW()-36+($J$35-1)*200),Processos!$AK$10:$AK$509,0))="","",INDEX(Processos!$AQ$10:$AQ$509,MATCH((ROW()-36+($J$35-1)*200),Processos!$AK$10:$AK$509,0))))</f>
        <v>187427.45</v>
      </c>
      <c r="E105" s="8">
        <f>IF((ROW()-36+($J$35-1)*200)&gt;COUNTIFS(Processos!$X$10:$X$509,1),"",IF(INDEX(Processos!$Z$10:$Z$509,MATCH((ROW()-36+($J$35-1)*200),Processos!$AK$10:$AK$509,0))="","",INDEX(Processos!$Z$10:$Z$509,MATCH((ROW()-36+($J$35-1)*200),Processos!$AK$10:$AK$509,0))))</f>
        <v>46044</v>
      </c>
      <c r="F105" s="6" t="str">
        <f>IF((ROW()-36+($J$35-1)*200)&gt;COUNTIFS(Processos!$X$10:$X$509,1),"",IF(IF(INDEX(Processos!$Y$10:$Y$509,MATCH((ROW()-36+($J$35-1)*200),Processos!$AK$10:$AK$509,0))=1,"Sim","Não")="","",IF(INDEX(Processos!$Y$10:$Y$509,MATCH((ROW()-36+($J$35-1)*200),Processos!$AK$10:$AK$509,0))=1,"Sim","Não")))</f>
        <v>Não</v>
      </c>
      <c r="G105" s="6" t="str">
        <f>IF((ROW()-36+($J$35-1)*200)&gt;COUNTIFS(Processos!$X$10:$X$509,1),"",IF(INDEX(Processos!$D$10:$D$509,MATCH((ROW()-36+($J$35-1)*200),Processos!$AK$10:$AK$509,0))="","",INDEX(Processos!$D$10:$D$509,MATCH((ROW()-36+($J$35-1)*200),Processos!$AK$10:$AK$509,0))))</f>
        <v>BMM Advogados</v>
      </c>
    </row>
    <row r="106" spans="1:7" ht="72" customHeight="1">
      <c r="A106" s="7" t="str">
        <f>IF((ROW()-36+($J$35-1)*200)&gt;COUNTIFS(Processos!$X$10:$X$509,1),"",IF(INDEX(Processos!$A$10:$A$509,MATCH((ROW()-36+($J$35-1)*200),Processos!$AK$10:$AK$509,0))="","",INDEX(Processos!$A$10:$A$509,MATCH((ROW()-36+($J$35-1)*200),Processos!$AK$10:$AK$509,0))))</f>
        <v>1012801-81.2019.4.01.3400</v>
      </c>
      <c r="B106" s="6" t="str">
        <f>IF((ROW()-36+($J$35-1)*200)&gt;COUNTIFS(Processos!$X$10:$X$509,1),"",IF(INDEX(Processos!$C$10:$C$509,MATCH((ROW()-36+($J$35-1)*200),Processos!$AK$10:$AK$509,0))="","",INDEX(Processos!$C$10:$C$509,MATCH((ROW()-36+($J$35-1)*200),Processos!$AK$10:$AK$509,0))))</f>
        <v>Ativo</v>
      </c>
      <c r="C10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VALEC ENGENHARIA CONTRUÇÕES E FERROVIAS S.A × CONSORCIO SPAVIAS -ALTA</v>
      </c>
      <c r="D106" s="10">
        <f>IF((ROW()-36+($J$35-1)*200)&gt;COUNTIFS(Processos!$X$10:$X$509,1),"",IF(INDEX(Processos!$AQ$10:$AQ$509,MATCH((ROW()-36+($J$35-1)*200),Processos!$AK$10:$AK$509,0))="","",INDEX(Processos!$AQ$10:$AQ$509,MATCH((ROW()-36+($J$35-1)*200),Processos!$AK$10:$AK$509,0))))</f>
        <v>1501326.27</v>
      </c>
      <c r="E106" s="8">
        <f>IF((ROW()-36+($J$35-1)*200)&gt;COUNTIFS(Processos!$X$10:$X$509,1),"",IF(INDEX(Processos!$Z$10:$Z$509,MATCH((ROW()-36+($J$35-1)*200),Processos!$AK$10:$AK$509,0))="","",INDEX(Processos!$Z$10:$Z$509,MATCH((ROW()-36+($J$35-1)*200),Processos!$AK$10:$AK$509,0))))</f>
        <v>45930</v>
      </c>
      <c r="F106" s="6" t="str">
        <f>IF((ROW()-36+($J$35-1)*200)&gt;COUNTIFS(Processos!$X$10:$X$509,1),"",IF(IF(INDEX(Processos!$Y$10:$Y$509,MATCH((ROW()-36+($J$35-1)*200),Processos!$AK$10:$AK$509,0))=1,"Sim","Não")="","",IF(INDEX(Processos!$Y$10:$Y$509,MATCH((ROW()-36+($J$35-1)*200),Processos!$AK$10:$AK$509,0))=1,"Sim","Não")))</f>
        <v>Não</v>
      </c>
      <c r="G106" s="6" t="str">
        <f>IF((ROW()-36+($J$35-1)*200)&gt;COUNTIFS(Processos!$X$10:$X$509,1),"",IF(INDEX(Processos!$D$10:$D$509,MATCH((ROW()-36+($J$35-1)*200),Processos!$AK$10:$AK$509,0))="","",INDEX(Processos!$D$10:$D$509,MATCH((ROW()-36+($J$35-1)*200),Processos!$AK$10:$AK$509,0))))</f>
        <v>BMM Advogados</v>
      </c>
    </row>
    <row r="107" spans="1:7" ht="72" customHeight="1">
      <c r="A107" s="7" t="str">
        <f>IF((ROW()-36+($J$35-1)*200)&gt;COUNTIFS(Processos!$X$10:$X$509,1),"",IF(INDEX(Processos!$A$10:$A$509,MATCH((ROW()-36+($J$35-1)*200),Processos!$AK$10:$AK$509,0))="","",INDEX(Processos!$A$10:$A$509,MATCH((ROW()-36+($J$35-1)*200),Processos!$AK$10:$AK$509,0))))</f>
        <v>5074087-97.2018.8.13.0024</v>
      </c>
      <c r="B107" s="6" t="str">
        <f>IF((ROW()-36+($J$35-1)*200)&gt;COUNTIFS(Processos!$X$10:$X$509,1),"",IF(INDEX(Processos!$C$10:$C$509,MATCH((ROW()-36+($J$35-1)*200),Processos!$AK$10:$AK$509,0))="","",INDEX(Processos!$C$10:$C$509,MATCH((ROW()-36+($J$35-1)*200),Processos!$AK$10:$AK$509,0))))</f>
        <v>Ativo</v>
      </c>
      <c r="C10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MR COPIADORAS DIGITAIS LTDA × CONSÓRCIO INTEGRAL SPAVIAS TRAIL ALTA</v>
      </c>
      <c r="D107" s="10">
        <f>IF((ROW()-36+($J$35-1)*200)&gt;COUNTIFS(Processos!$X$10:$X$509,1),"",IF(INDEX(Processos!$AQ$10:$AQ$509,MATCH((ROW()-36+($J$35-1)*200),Processos!$AK$10:$AK$509,0))="","",INDEX(Processos!$AQ$10:$AQ$509,MATCH((ROW()-36+($J$35-1)*200),Processos!$AK$10:$AK$509,0))))</f>
        <v>7714.47</v>
      </c>
      <c r="E107" s="8">
        <f>IF((ROW()-36+($J$35-1)*200)&gt;COUNTIFS(Processos!$X$10:$X$509,1),"",IF(INDEX(Processos!$Z$10:$Z$509,MATCH((ROW()-36+($J$35-1)*200),Processos!$AK$10:$AK$509,0))="","",INDEX(Processos!$Z$10:$Z$509,MATCH((ROW()-36+($J$35-1)*200),Processos!$AK$10:$AK$509,0))))</f>
        <v>46055</v>
      </c>
      <c r="F107" s="6" t="str">
        <f>IF((ROW()-36+($J$35-1)*200)&gt;COUNTIFS(Processos!$X$10:$X$509,1),"",IF(IF(INDEX(Processos!$Y$10:$Y$509,MATCH((ROW()-36+($J$35-1)*200),Processos!$AK$10:$AK$509,0))=1,"Sim","Não")="","",IF(INDEX(Processos!$Y$10:$Y$509,MATCH((ROW()-36+($J$35-1)*200),Processos!$AK$10:$AK$509,0))=1,"Sim","Não")))</f>
        <v>Não</v>
      </c>
      <c r="G107" s="6" t="str">
        <f>IF((ROW()-36+($J$35-1)*200)&gt;COUNTIFS(Processos!$X$10:$X$509,1),"",IF(INDEX(Processos!$D$10:$D$509,MATCH((ROW()-36+($J$35-1)*200),Processos!$AK$10:$AK$509,0))="","",INDEX(Processos!$D$10:$D$509,MATCH((ROW()-36+($J$35-1)*200),Processos!$AK$10:$AK$509,0))))</f>
        <v>BMM Advogados</v>
      </c>
    </row>
    <row r="108" spans="1:7" ht="72" customHeight="1">
      <c r="A108" s="7" t="str">
        <f>IF((ROW()-36+($J$35-1)*200)&gt;COUNTIFS(Processos!$X$10:$X$509,1),"",IF(INDEX(Processos!$A$10:$A$509,MATCH((ROW()-36+($J$35-1)*200),Processos!$AK$10:$AK$509,0))="","",INDEX(Processos!$A$10:$A$509,MATCH((ROW()-36+($J$35-1)*200),Processos!$AK$10:$AK$509,0))))</f>
        <v>5096306-36.2020.8.13.0024</v>
      </c>
      <c r="B108" s="6" t="str">
        <f>IF((ROW()-36+($J$35-1)*200)&gt;COUNTIFS(Processos!$X$10:$X$509,1),"",IF(INDEX(Processos!$C$10:$C$509,MATCH((ROW()-36+($J$35-1)*200),Processos!$AK$10:$AK$509,0))="","",INDEX(Processos!$C$10:$C$509,MATCH((ROW()-36+($J$35-1)*200),Processos!$AK$10:$AK$509,0))))</f>
        <v>Ativo</v>
      </c>
      <c r="C10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TRANSVIAS ENGENHARIA LTDA × CONSÓRCIO INTEGRAL SPAVIAS TRAIL ALTA</v>
      </c>
      <c r="D108" s="10">
        <f>IF((ROW()-36+($J$35-1)*200)&gt;COUNTIFS(Processos!$X$10:$X$509,1),"",IF(INDEX(Processos!$AQ$10:$AQ$509,MATCH((ROW()-36+($J$35-1)*200),Processos!$AK$10:$AK$509,0))="","",INDEX(Processos!$AQ$10:$AQ$509,MATCH((ROW()-36+($J$35-1)*200),Processos!$AK$10:$AK$509,0))))</f>
        <v>122137.09</v>
      </c>
      <c r="E108" s="8">
        <f>IF((ROW()-36+($J$35-1)*200)&gt;COUNTIFS(Processos!$X$10:$X$509,1),"",IF(INDEX(Processos!$Z$10:$Z$509,MATCH((ROW()-36+($J$35-1)*200),Processos!$AK$10:$AK$509,0))="","",INDEX(Processos!$Z$10:$Z$509,MATCH((ROW()-36+($J$35-1)*200),Processos!$AK$10:$AK$509,0))))</f>
        <v>46055</v>
      </c>
      <c r="F108" s="6" t="str">
        <f>IF((ROW()-36+($J$35-1)*200)&gt;COUNTIFS(Processos!$X$10:$X$509,1),"",IF(IF(INDEX(Processos!$Y$10:$Y$509,MATCH((ROW()-36+($J$35-1)*200),Processos!$AK$10:$AK$509,0))=1,"Sim","Não")="","",IF(INDEX(Processos!$Y$10:$Y$509,MATCH((ROW()-36+($J$35-1)*200),Processos!$AK$10:$AK$509,0))=1,"Sim","Não")))</f>
        <v>Não</v>
      </c>
      <c r="G108" s="6" t="str">
        <f>IF((ROW()-36+($J$35-1)*200)&gt;COUNTIFS(Processos!$X$10:$X$509,1),"",IF(INDEX(Processos!$D$10:$D$509,MATCH((ROW()-36+($J$35-1)*200),Processos!$AK$10:$AK$509,0))="","",INDEX(Processos!$D$10:$D$509,MATCH((ROW()-36+($J$35-1)*200),Processos!$AK$10:$AK$509,0))))</f>
        <v>BMM Advogados</v>
      </c>
    </row>
    <row r="109" spans="1:7" ht="72" customHeight="1">
      <c r="A109" s="7" t="str">
        <f>IF((ROW()-36+($J$35-1)*200)&gt;COUNTIFS(Processos!$X$10:$X$509,1),"",IF(INDEX(Processos!$A$10:$A$509,MATCH((ROW()-36+($J$35-1)*200),Processos!$AK$10:$AK$509,0))="","",INDEX(Processos!$A$10:$A$509,MATCH((ROW()-36+($J$35-1)*200),Processos!$AK$10:$AK$509,0))))</f>
        <v>0001532-68.2015.5.10.0005</v>
      </c>
      <c r="B109" s="6" t="str">
        <f>IF((ROW()-36+($J$35-1)*200)&gt;COUNTIFS(Processos!$X$10:$X$509,1),"",IF(INDEX(Processos!$C$10:$C$509,MATCH((ROW()-36+($J$35-1)*200),Processos!$AK$10:$AK$509,0))="","",INDEX(Processos!$C$10:$C$509,MATCH((ROW()-36+($J$35-1)*200),Processos!$AK$10:$AK$509,0))))</f>
        <v>Ativo</v>
      </c>
      <c r="C10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1 - MARIA TERESA SOARES MOREIRA 2 - JOSÉ FONSECA FILHO × 1 - Cesar Transportes, Guindastes e Equipam [...]</v>
      </c>
      <c r="D109" s="10">
        <f>IF((ROW()-36+($J$35-1)*200)&gt;COUNTIFS(Processos!$X$10:$X$509,1),"",IF(INDEX(Processos!$AQ$10:$AQ$509,MATCH((ROW()-36+($J$35-1)*200),Processos!$AK$10:$AK$509,0))="","",INDEX(Processos!$AQ$10:$AQ$509,MATCH((ROW()-36+($J$35-1)*200),Processos!$AK$10:$AK$509,0))))</f>
        <v>3000000</v>
      </c>
      <c r="E109" s="8">
        <f>IF((ROW()-36+($J$35-1)*200)&gt;COUNTIFS(Processos!$X$10:$X$509,1),"",IF(INDEX(Processos!$Z$10:$Z$509,MATCH((ROW()-36+($J$35-1)*200),Processos!$AK$10:$AK$509,0))="","",INDEX(Processos!$Z$10:$Z$509,MATCH((ROW()-36+($J$35-1)*200),Processos!$AK$10:$AK$509,0))))</f>
        <v>46283</v>
      </c>
      <c r="F109" s="6" t="str">
        <f>IF((ROW()-36+($J$35-1)*200)&gt;COUNTIFS(Processos!$X$10:$X$509,1),"",IF(IF(INDEX(Processos!$Y$10:$Y$509,MATCH((ROW()-36+($J$35-1)*200),Processos!$AK$10:$AK$509,0))=1,"Sim","Não")="","",IF(INDEX(Processos!$Y$10:$Y$509,MATCH((ROW()-36+($J$35-1)*200),Processos!$AK$10:$AK$509,0))=1,"Sim","Não")))</f>
        <v>Sim</v>
      </c>
      <c r="G109" s="6" t="str">
        <f>IF((ROW()-36+($J$35-1)*200)&gt;COUNTIFS(Processos!$X$10:$X$509,1),"",IF(INDEX(Processos!$D$10:$D$509,MATCH((ROW()-36+($J$35-1)*200),Processos!$AK$10:$AK$509,0))="","",INDEX(Processos!$D$10:$D$509,MATCH((ROW()-36+($J$35-1)*200),Processos!$AK$10:$AK$509,0))))</f>
        <v>BMM Advogados</v>
      </c>
    </row>
    <row r="110" spans="1:7" ht="72" customHeight="1">
      <c r="A110" s="7" t="str">
        <f>IF((ROW()-36+($J$35-1)*200)&gt;COUNTIFS(Processos!$X$10:$X$509,1),"",IF(INDEX(Processos!$A$10:$A$509,MATCH((ROW()-36+($J$35-1)*200),Processos!$AK$10:$AK$509,0))="","",INDEX(Processos!$A$10:$A$509,MATCH((ROW()-36+($J$35-1)*200),Processos!$AK$10:$AK$509,0))))</f>
        <v>0010968-84.2019.5.18.0103 [BMM-074]</v>
      </c>
      <c r="B110" s="6" t="str">
        <f>IF((ROW()-36+($J$35-1)*200)&gt;COUNTIFS(Processos!$X$10:$X$509,1),"",IF(INDEX(Processos!$C$10:$C$509,MATCH((ROW()-36+($J$35-1)*200),Processos!$AK$10:$AK$509,0))="","",INDEX(Processos!$C$10:$C$509,MATCH((ROW()-36+($J$35-1)*200),Processos!$AK$10:$AK$509,0))))</f>
        <v>Arquivado</v>
      </c>
      <c r="C11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SONIA MARIA RIBEIRO ROSA MOTA × CONSORCIO INTEGRAL SPAVIAS TRAIL ALTA</v>
      </c>
      <c r="D110" s="10" t="str">
        <f>IF((ROW()-36+($J$35-1)*200)&gt;COUNTIFS(Processos!$X$10:$X$509,1),"",IF(INDEX(Processos!$AQ$10:$AQ$509,MATCH((ROW()-36+($J$35-1)*200),Processos!$AK$10:$AK$509,0))="","",INDEX(Processos!$AQ$10:$AQ$509,MATCH((ROW()-36+($J$35-1)*200),Processos!$AK$10:$AK$509,0))))</f>
        <v/>
      </c>
      <c r="E110" s="8">
        <f>IF((ROW()-36+($J$35-1)*200)&gt;COUNTIFS(Processos!$X$10:$X$509,1),"",IF(INDEX(Processos!$Z$10:$Z$509,MATCH((ROW()-36+($J$35-1)*200),Processos!$AK$10:$AK$509,0))="","",INDEX(Processos!$Z$10:$Z$509,MATCH((ROW()-36+($J$35-1)*200),Processos!$AK$10:$AK$509,0))))</f>
        <v>46073</v>
      </c>
      <c r="F110" s="6" t="str">
        <f>IF((ROW()-36+($J$35-1)*200)&gt;COUNTIFS(Processos!$X$10:$X$509,1),"",IF(IF(INDEX(Processos!$Y$10:$Y$509,MATCH((ROW()-36+($J$35-1)*200),Processos!$AK$10:$AK$509,0))=1,"Sim","Não")="","",IF(INDEX(Processos!$Y$10:$Y$509,MATCH((ROW()-36+($J$35-1)*200),Processos!$AK$10:$AK$509,0))=1,"Sim","Não")))</f>
        <v>Não</v>
      </c>
      <c r="G110" s="6" t="str">
        <f>IF((ROW()-36+($J$35-1)*200)&gt;COUNTIFS(Processos!$X$10:$X$509,1),"",IF(INDEX(Processos!$D$10:$D$509,MATCH((ROW()-36+($J$35-1)*200),Processos!$AK$10:$AK$509,0))="","",INDEX(Processos!$D$10:$D$509,MATCH((ROW()-36+($J$35-1)*200),Processos!$AK$10:$AK$509,0))))</f>
        <v>BMM Advogados</v>
      </c>
    </row>
    <row r="111" spans="1:7" ht="72" customHeight="1">
      <c r="A111" s="7" t="str">
        <f>IF((ROW()-36+($J$35-1)*200)&gt;COUNTIFS(Processos!$X$10:$X$509,1),"",IF(INDEX(Processos!$A$10:$A$509,MATCH((ROW()-36+($J$35-1)*200),Processos!$AK$10:$AK$509,0))="","",INDEX(Processos!$A$10:$A$509,MATCH((ROW()-36+($J$35-1)*200),Processos!$AK$10:$AK$509,0))))</f>
        <v>0071379-91.2014.4.01.3800</v>
      </c>
      <c r="B111" s="6" t="str">
        <f>IF((ROW()-36+($J$35-1)*200)&gt;COUNTIFS(Processos!$X$10:$X$509,1),"",IF(INDEX(Processos!$C$10:$C$509,MATCH((ROW()-36+($J$35-1)*200),Processos!$AK$10:$AK$509,0))="","",INDEX(Processos!$C$10:$C$509,MATCH((ROW()-36+($J$35-1)*200),Processos!$AK$10:$AK$509,0))))</f>
        <v>Suspenso</v>
      </c>
      <c r="C11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DELEGADO DA RECEITA FEDERAL EM BH × ALTA</v>
      </c>
      <c r="D111" s="10">
        <f>IF((ROW()-36+($J$35-1)*200)&gt;COUNTIFS(Processos!$X$10:$X$509,1),"",IF(INDEX(Processos!$AQ$10:$AQ$509,MATCH((ROW()-36+($J$35-1)*200),Processos!$AK$10:$AK$509,0))="","",INDEX(Processos!$AQ$10:$AQ$509,MATCH((ROW()-36+($J$35-1)*200),Processos!$AK$10:$AK$509,0))))</f>
        <v>120000</v>
      </c>
      <c r="E111" s="8">
        <f>IF((ROW()-36+($J$35-1)*200)&gt;COUNTIFS(Processos!$X$10:$X$509,1),"",IF(INDEX(Processos!$Z$10:$Z$509,MATCH((ROW()-36+($J$35-1)*200),Processos!$AK$10:$AK$509,0))="","",INDEX(Processos!$Z$10:$Z$509,MATCH((ROW()-36+($J$35-1)*200),Processos!$AK$10:$AK$509,0))))</f>
        <v>46052</v>
      </c>
      <c r="F111" s="6" t="str">
        <f>IF((ROW()-36+($J$35-1)*200)&gt;COUNTIFS(Processos!$X$10:$X$509,1),"",IF(IF(INDEX(Processos!$Y$10:$Y$509,MATCH((ROW()-36+($J$35-1)*200),Processos!$AK$10:$AK$509,0))=1,"Sim","Não")="","",IF(INDEX(Processos!$Y$10:$Y$509,MATCH((ROW()-36+($J$35-1)*200),Processos!$AK$10:$AK$509,0))=1,"Sim","Não")))</f>
        <v>Não</v>
      </c>
      <c r="G111" s="6" t="str">
        <f>IF((ROW()-36+($J$35-1)*200)&gt;COUNTIFS(Processos!$X$10:$X$509,1),"",IF(INDEX(Processos!$D$10:$D$509,MATCH((ROW()-36+($J$35-1)*200),Processos!$AK$10:$AK$509,0))="","",INDEX(Processos!$D$10:$D$509,MATCH((ROW()-36+($J$35-1)*200),Processos!$AK$10:$AK$509,0))))</f>
        <v>BMM Advogados</v>
      </c>
    </row>
    <row r="112" spans="1:7" ht="72" customHeight="1">
      <c r="A112" s="7" t="str">
        <f>IF((ROW()-36+($J$35-1)*200)&gt;COUNTIFS(Processos!$X$10:$X$509,1),"",IF(INDEX(Processos!$A$10:$A$509,MATCH((ROW()-36+($J$35-1)*200),Processos!$AK$10:$AK$509,0))="","",INDEX(Processos!$A$10:$A$509,MATCH((ROW()-36+($J$35-1)*200),Processos!$AK$10:$AK$509,0))))</f>
        <v>0049710-50.2012.4.01.3800</v>
      </c>
      <c r="B112" s="6" t="str">
        <f>IF((ROW()-36+($J$35-1)*200)&gt;COUNTIFS(Processos!$X$10:$X$509,1),"",IF(INDEX(Processos!$C$10:$C$509,MATCH((ROW()-36+($J$35-1)*200),Processos!$AK$10:$AK$509,0))="","",INDEX(Processos!$C$10:$C$509,MATCH((ROW()-36+($J$35-1)*200),Processos!$AK$10:$AK$509,0))))</f>
        <v>Ativo</v>
      </c>
      <c r="C11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DELEGADO DA RECEITA FEDERAL EM BH × ALTA</v>
      </c>
      <c r="D112" s="10">
        <f>IF((ROW()-36+($J$35-1)*200)&gt;COUNTIFS(Processos!$X$10:$X$509,1),"",IF(INDEX(Processos!$AQ$10:$AQ$509,MATCH((ROW()-36+($J$35-1)*200),Processos!$AK$10:$AK$509,0))="","",INDEX(Processos!$AQ$10:$AQ$509,MATCH((ROW()-36+($J$35-1)*200),Processos!$AK$10:$AK$509,0))))</f>
        <v>50000</v>
      </c>
      <c r="E112" s="8">
        <f>IF((ROW()-36+($J$35-1)*200)&gt;COUNTIFS(Processos!$X$10:$X$509,1),"",IF(INDEX(Processos!$Z$10:$Z$509,MATCH((ROW()-36+($J$35-1)*200),Processos!$AK$10:$AK$509,0))="","",INDEX(Processos!$Z$10:$Z$509,MATCH((ROW()-36+($J$35-1)*200),Processos!$AK$10:$AK$509,0))))</f>
        <v>46275</v>
      </c>
      <c r="F112" s="6" t="str">
        <f>IF((ROW()-36+($J$35-1)*200)&gt;COUNTIFS(Processos!$X$10:$X$509,1),"",IF(IF(INDEX(Processos!$Y$10:$Y$509,MATCH((ROW()-36+($J$35-1)*200),Processos!$AK$10:$AK$509,0))=1,"Sim","Não")="","",IF(INDEX(Processos!$Y$10:$Y$509,MATCH((ROW()-36+($J$35-1)*200),Processos!$AK$10:$AK$509,0))=1,"Sim","Não")))</f>
        <v>Não</v>
      </c>
      <c r="G112" s="6" t="str">
        <f>IF((ROW()-36+($J$35-1)*200)&gt;COUNTIFS(Processos!$X$10:$X$509,1),"",IF(INDEX(Processos!$D$10:$D$509,MATCH((ROW()-36+($J$35-1)*200),Processos!$AK$10:$AK$509,0))="","",INDEX(Processos!$D$10:$D$509,MATCH((ROW()-36+($J$35-1)*200),Processos!$AK$10:$AK$509,0))))</f>
        <v>BMM Advogados</v>
      </c>
    </row>
    <row r="113" spans="1:7" ht="72" customHeight="1">
      <c r="A113" s="7" t="str">
        <f>IF((ROW()-36+($J$35-1)*200)&gt;COUNTIFS(Processos!$X$10:$X$509,1),"",IF(INDEX(Processos!$A$10:$A$509,MATCH((ROW()-36+($J$35-1)*200),Processos!$AK$10:$AK$509,0))="","",INDEX(Processos!$A$10:$A$509,MATCH((ROW()-36+($J$35-1)*200),Processos!$AK$10:$AK$509,0))))</f>
        <v>0032498-11.2015.4.01.3800</v>
      </c>
      <c r="B113" s="6" t="str">
        <f>IF((ROW()-36+($J$35-1)*200)&gt;COUNTIFS(Processos!$X$10:$X$509,1),"",IF(INDEX(Processos!$C$10:$C$509,MATCH((ROW()-36+($J$35-1)*200),Processos!$AK$10:$AK$509,0))="","",INDEX(Processos!$C$10:$C$509,MATCH((ROW()-36+($J$35-1)*200),Processos!$AK$10:$AK$509,0))))</f>
        <v>Arquivado</v>
      </c>
      <c r="C11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UNIÃO FEDERAL × ALTA</v>
      </c>
      <c r="D113" s="10">
        <f>IF((ROW()-36+($J$35-1)*200)&gt;COUNTIFS(Processos!$X$10:$X$509,1),"",IF(INDEX(Processos!$AQ$10:$AQ$509,MATCH((ROW()-36+($J$35-1)*200),Processos!$AK$10:$AK$509,0))="","",INDEX(Processos!$AQ$10:$AQ$509,MATCH((ROW()-36+($J$35-1)*200),Processos!$AK$10:$AK$509,0))))</f>
        <v>150000</v>
      </c>
      <c r="E113" s="8">
        <f>IF((ROW()-36+($J$35-1)*200)&gt;COUNTIFS(Processos!$X$10:$X$509,1),"",IF(INDEX(Processos!$Z$10:$Z$509,MATCH((ROW()-36+($J$35-1)*200),Processos!$AK$10:$AK$509,0))="","",INDEX(Processos!$Z$10:$Z$509,MATCH((ROW()-36+($J$35-1)*200),Processos!$AK$10:$AK$509,0))))</f>
        <v>46052</v>
      </c>
      <c r="F113" s="6" t="str">
        <f>IF((ROW()-36+($J$35-1)*200)&gt;COUNTIFS(Processos!$X$10:$X$509,1),"",IF(IF(INDEX(Processos!$Y$10:$Y$509,MATCH((ROW()-36+($J$35-1)*200),Processos!$AK$10:$AK$509,0))=1,"Sim","Não")="","",IF(INDEX(Processos!$Y$10:$Y$509,MATCH((ROW()-36+($J$35-1)*200),Processos!$AK$10:$AK$509,0))=1,"Sim","Não")))</f>
        <v>Não</v>
      </c>
      <c r="G113" s="6" t="str">
        <f>IF((ROW()-36+($J$35-1)*200)&gt;COUNTIFS(Processos!$X$10:$X$509,1),"",IF(INDEX(Processos!$D$10:$D$509,MATCH((ROW()-36+($J$35-1)*200),Processos!$AK$10:$AK$509,0))="","",INDEX(Processos!$D$10:$D$509,MATCH((ROW()-36+($J$35-1)*200),Processos!$AK$10:$AK$509,0))))</f>
        <v>BMM Advogados</v>
      </c>
    </row>
    <row r="114" spans="1:7" ht="72" customHeight="1">
      <c r="A114" s="7" t="str">
        <f>IF((ROW()-36+($J$35-1)*200)&gt;COUNTIFS(Processos!$X$10:$X$509,1),"",IF(INDEX(Processos!$A$10:$A$509,MATCH((ROW()-36+($J$35-1)*200),Processos!$AK$10:$AK$509,0))="","",INDEX(Processos!$A$10:$A$509,MATCH((ROW()-36+($J$35-1)*200),Processos!$AK$10:$AK$509,0))))</f>
        <v>5035486-22.2018.8.13.0024</v>
      </c>
      <c r="B114" s="6" t="str">
        <f>IF((ROW()-36+($J$35-1)*200)&gt;COUNTIFS(Processos!$X$10:$X$509,1),"",IF(INDEX(Processos!$C$10:$C$509,MATCH((ROW()-36+($J$35-1)*200),Processos!$AK$10:$AK$509,0))="","",INDEX(Processos!$C$10:$C$509,MATCH((ROW()-36+($J$35-1)*200),Processos!$AK$10:$AK$509,0))))</f>
        <v>Arquivado</v>
      </c>
      <c r="C11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VIBRA ENERGIA S.A × CONSORCIO INTEGRAL SPAVIAS TRAIL ALTA</v>
      </c>
      <c r="D114" s="10">
        <f>IF((ROW()-36+($J$35-1)*200)&gt;COUNTIFS(Processos!$X$10:$X$509,1),"",IF(INDEX(Processos!$AQ$10:$AQ$509,MATCH((ROW()-36+($J$35-1)*200),Processos!$AK$10:$AK$509,0))="","",INDEX(Processos!$AQ$10:$AQ$509,MATCH((ROW()-36+($J$35-1)*200),Processos!$AK$10:$AK$509,0))))</f>
        <v>50921.25</v>
      </c>
      <c r="E114" s="8">
        <f>IF((ROW()-36+($J$35-1)*200)&gt;COUNTIFS(Processos!$X$10:$X$509,1),"",IF(INDEX(Processos!$Z$10:$Z$509,MATCH((ROW()-36+($J$35-1)*200),Processos!$AK$10:$AK$509,0))="","",INDEX(Processos!$Z$10:$Z$509,MATCH((ROW()-36+($J$35-1)*200),Processos!$AK$10:$AK$509,0))))</f>
        <v>45978</v>
      </c>
      <c r="F114" s="6" t="str">
        <f>IF((ROW()-36+($J$35-1)*200)&gt;COUNTIFS(Processos!$X$10:$X$509,1),"",IF(IF(INDEX(Processos!$Y$10:$Y$509,MATCH((ROW()-36+($J$35-1)*200),Processos!$AK$10:$AK$509,0))=1,"Sim","Não")="","",IF(INDEX(Processos!$Y$10:$Y$509,MATCH((ROW()-36+($J$35-1)*200),Processos!$AK$10:$AK$509,0))=1,"Sim","Não")))</f>
        <v>Não</v>
      </c>
      <c r="G114" s="6" t="str">
        <f>IF((ROW()-36+($J$35-1)*200)&gt;COUNTIFS(Processos!$X$10:$X$509,1),"",IF(INDEX(Processos!$D$10:$D$509,MATCH((ROW()-36+($J$35-1)*200),Processos!$AK$10:$AK$509,0))="","",INDEX(Processos!$D$10:$D$509,MATCH((ROW()-36+($J$35-1)*200),Processos!$AK$10:$AK$509,0))))</f>
        <v>BMM Advogados</v>
      </c>
    </row>
    <row r="115" spans="1:7" ht="72" customHeight="1">
      <c r="A115" s="7" t="str">
        <f>IF((ROW()-36+($J$35-1)*200)&gt;COUNTIFS(Processos!$X$10:$X$509,1),"",IF(INDEX(Processos!$A$10:$A$509,MATCH((ROW()-36+($J$35-1)*200),Processos!$AK$10:$AK$509,0))="","",INDEX(Processos!$A$10:$A$509,MATCH((ROW()-36+($J$35-1)*200),Processos!$AK$10:$AK$509,0))))</f>
        <v>0010246-78.2024.5.18.0231</v>
      </c>
      <c r="B115" s="6" t="str">
        <f>IF((ROW()-36+($J$35-1)*200)&gt;COUNTIFS(Processos!$X$10:$X$509,1),"",IF(INDEX(Processos!$C$10:$C$509,MATCH((ROW()-36+($J$35-1)*200),Processos!$AK$10:$AK$509,0))="","",INDEX(Processos!$C$10:$C$509,MATCH((ROW()-36+($J$35-1)*200),Processos!$AK$10:$AK$509,0))))</f>
        <v>Encerrado</v>
      </c>
      <c r="C11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Ailton Alves de Souza Ana Claudia Alves de Souza × 1. BK Infraestrutura LTDA (Loctec) 2. Paviege Eng [...]</v>
      </c>
      <c r="D115" s="10">
        <f>IF((ROW()-36+($J$35-1)*200)&gt;COUNTIFS(Processos!$X$10:$X$509,1),"",IF(INDEX(Processos!$AQ$10:$AQ$509,MATCH((ROW()-36+($J$35-1)*200),Processos!$AK$10:$AK$509,0))="","",INDEX(Processos!$AQ$10:$AQ$509,MATCH((ROW()-36+($J$35-1)*200),Processos!$AK$10:$AK$509,0))))</f>
        <v>295800</v>
      </c>
      <c r="E115" s="8">
        <f>IF((ROW()-36+($J$35-1)*200)&gt;COUNTIFS(Processos!$X$10:$X$509,1),"",IF(INDEX(Processos!$Z$10:$Z$509,MATCH((ROW()-36+($J$35-1)*200),Processos!$AK$10:$AK$509,0))="","",INDEX(Processos!$Z$10:$Z$509,MATCH((ROW()-36+($J$35-1)*200),Processos!$AK$10:$AK$509,0))))</f>
        <v>46055</v>
      </c>
      <c r="F115" s="6" t="str">
        <f>IF((ROW()-36+($J$35-1)*200)&gt;COUNTIFS(Processos!$X$10:$X$509,1),"",IF(IF(INDEX(Processos!$Y$10:$Y$509,MATCH((ROW()-36+($J$35-1)*200),Processos!$AK$10:$AK$509,0))=1,"Sim","Não")="","",IF(INDEX(Processos!$Y$10:$Y$509,MATCH((ROW()-36+($J$35-1)*200),Processos!$AK$10:$AK$509,0))=1,"Sim","Não")))</f>
        <v>Não</v>
      </c>
      <c r="G115" s="6" t="str">
        <f>IF((ROW()-36+($J$35-1)*200)&gt;COUNTIFS(Processos!$X$10:$X$509,1),"",IF(INDEX(Processos!$D$10:$D$509,MATCH((ROW()-36+($J$35-1)*200),Processos!$AK$10:$AK$509,0))="","",INDEX(Processos!$D$10:$D$509,MATCH((ROW()-36+($J$35-1)*200),Processos!$AK$10:$AK$509,0))))</f>
        <v>BMM Advogados</v>
      </c>
    </row>
    <row r="116" spans="1:7" ht="72" customHeight="1">
      <c r="A116" s="7" t="str">
        <f>IF((ROW()-36+($J$35-1)*200)&gt;COUNTIFS(Processos!$X$10:$X$509,1),"",IF(INDEX(Processos!$A$10:$A$509,MATCH((ROW()-36+($J$35-1)*200),Processos!$AK$10:$AK$509,0))="","",INDEX(Processos!$A$10:$A$509,MATCH((ROW()-36+($J$35-1)*200),Processos!$AK$10:$AK$509,0))))</f>
        <v>0010245-93.2024.5.18.0231</v>
      </c>
      <c r="B116" s="6" t="str">
        <f>IF((ROW()-36+($J$35-1)*200)&gt;COUNTIFS(Processos!$X$10:$X$509,1),"",IF(INDEX(Processos!$C$10:$C$509,MATCH((ROW()-36+($J$35-1)*200),Processos!$AK$10:$AK$509,0))="","",INDEX(Processos!$C$10:$C$509,MATCH((ROW()-36+($J$35-1)*200),Processos!$AK$10:$AK$509,0))))</f>
        <v>Encerrado</v>
      </c>
      <c r="C11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Alessandra Magalhães do Prazo Maria Eduarda Souza Magalhães Antônio Neto Souza Magalhães × 1. BK Inf [...]</v>
      </c>
      <c r="D116" s="10">
        <f>IF((ROW()-36+($J$35-1)*200)&gt;COUNTIFS(Processos!$X$10:$X$509,1),"",IF(INDEX(Processos!$AQ$10:$AQ$509,MATCH((ROW()-36+($J$35-1)*200),Processos!$AK$10:$AK$509,0))="","",INDEX(Processos!$AQ$10:$AQ$509,MATCH((ROW()-36+($J$35-1)*200),Processos!$AK$10:$AK$509,0))))</f>
        <v>750000</v>
      </c>
      <c r="E116" s="8">
        <f>IF((ROW()-36+($J$35-1)*200)&gt;COUNTIFS(Processos!$X$10:$X$509,1),"",IF(INDEX(Processos!$Z$10:$Z$509,MATCH((ROW()-36+($J$35-1)*200),Processos!$AK$10:$AK$509,0))="","",INDEX(Processos!$Z$10:$Z$509,MATCH((ROW()-36+($J$35-1)*200),Processos!$AK$10:$AK$509,0))))</f>
        <v>46273</v>
      </c>
      <c r="F116" s="6" t="str">
        <f>IF((ROW()-36+($J$35-1)*200)&gt;COUNTIFS(Processos!$X$10:$X$509,1),"",IF(IF(INDEX(Processos!$Y$10:$Y$509,MATCH((ROW()-36+($J$35-1)*200),Processos!$AK$10:$AK$509,0))=1,"Sim","Não")="","",IF(INDEX(Processos!$Y$10:$Y$509,MATCH((ROW()-36+($J$35-1)*200),Processos!$AK$10:$AK$509,0))=1,"Sim","Não")))</f>
        <v>Não</v>
      </c>
      <c r="G116" s="6" t="str">
        <f>IF((ROW()-36+($J$35-1)*200)&gt;COUNTIFS(Processos!$X$10:$X$509,1),"",IF(INDEX(Processos!$D$10:$D$509,MATCH((ROW()-36+($J$35-1)*200),Processos!$AK$10:$AK$509,0))="","",INDEX(Processos!$D$10:$D$509,MATCH((ROW()-36+($J$35-1)*200),Processos!$AK$10:$AK$509,0))))</f>
        <v>BMM Advogados</v>
      </c>
    </row>
    <row r="117" spans="1:7" ht="72" customHeight="1">
      <c r="A117" s="7" t="str">
        <f>IF((ROW()-36+($J$35-1)*200)&gt;COUNTIFS(Processos!$X$10:$X$509,1),"",IF(INDEX(Processos!$A$10:$A$509,MATCH((ROW()-36+($J$35-1)*200),Processos!$AK$10:$AK$509,0))="","",INDEX(Processos!$A$10:$A$509,MATCH((ROW()-36+($J$35-1)*200),Processos!$AK$10:$AK$509,0))))</f>
        <v>0010298-49.2024.5.18.0013</v>
      </c>
      <c r="B117" s="6" t="str">
        <f>IF((ROW()-36+($J$35-1)*200)&gt;COUNTIFS(Processos!$X$10:$X$509,1),"",IF(INDEX(Processos!$C$10:$C$509,MATCH((ROW()-36+($J$35-1)*200),Processos!$AK$10:$AK$509,0))="","",INDEX(Processos!$C$10:$C$509,MATCH((ROW()-36+($J$35-1)*200),Processos!$AK$10:$AK$509,0))))</f>
        <v>Arquivado</v>
      </c>
      <c r="C11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Francisco Rodriques de Oliveira Neto × 1. BK Infraestrutura LTDA (Loctec) 2. Paviege Engenharia LTDA [...]</v>
      </c>
      <c r="D117" s="10">
        <f>IF((ROW()-36+($J$35-1)*200)&gt;COUNTIFS(Processos!$X$10:$X$509,1),"",IF(INDEX(Processos!$AQ$10:$AQ$509,MATCH((ROW()-36+($J$35-1)*200),Processos!$AK$10:$AK$509,0))="","",INDEX(Processos!$AQ$10:$AQ$509,MATCH((ROW()-36+($J$35-1)*200),Processos!$AK$10:$AK$509,0))))</f>
        <v>606874.76</v>
      </c>
      <c r="E117" s="8">
        <f>IF((ROW()-36+($J$35-1)*200)&gt;COUNTIFS(Processos!$X$10:$X$509,1),"",IF(INDEX(Processos!$Z$10:$Z$509,MATCH((ROW()-36+($J$35-1)*200),Processos!$AK$10:$AK$509,0))="","",INDEX(Processos!$Z$10:$Z$509,MATCH((ROW()-36+($J$35-1)*200),Processos!$AK$10:$AK$509,0))))</f>
        <v>46055</v>
      </c>
      <c r="F117" s="6" t="str">
        <f>IF((ROW()-36+($J$35-1)*200)&gt;COUNTIFS(Processos!$X$10:$X$509,1),"",IF(IF(INDEX(Processos!$Y$10:$Y$509,MATCH((ROW()-36+($J$35-1)*200),Processos!$AK$10:$AK$509,0))=1,"Sim","Não")="","",IF(INDEX(Processos!$Y$10:$Y$509,MATCH((ROW()-36+($J$35-1)*200),Processos!$AK$10:$AK$509,0))=1,"Sim","Não")))</f>
        <v>Não</v>
      </c>
      <c r="G117" s="6" t="str">
        <f>IF((ROW()-36+($J$35-1)*200)&gt;COUNTIFS(Processos!$X$10:$X$509,1),"",IF(INDEX(Processos!$D$10:$D$509,MATCH((ROW()-36+($J$35-1)*200),Processos!$AK$10:$AK$509,0))="","",INDEX(Processos!$D$10:$D$509,MATCH((ROW()-36+($J$35-1)*200),Processos!$AK$10:$AK$509,0))))</f>
        <v>BMM Advogados</v>
      </c>
    </row>
    <row r="118" spans="1:7" ht="72" customHeight="1">
      <c r="A118" s="7" t="str">
        <f>IF((ROW()-36+($J$35-1)*200)&gt;COUNTIFS(Processos!$X$10:$X$509,1),"",IF(INDEX(Processos!$A$10:$A$509,MATCH((ROW()-36+($J$35-1)*200),Processos!$AK$10:$AK$509,0))="","",INDEX(Processos!$A$10:$A$509,MATCH((ROW()-36+($J$35-1)*200),Processos!$AK$10:$AK$509,0))))</f>
        <v>0012596-61.2015.5.18.0261</v>
      </c>
      <c r="B118" s="6" t="str">
        <f>IF((ROW()-36+($J$35-1)*200)&gt;COUNTIFS(Processos!$X$10:$X$509,1),"",IF(INDEX(Processos!$C$10:$C$509,MATCH((ROW()-36+($J$35-1)*200),Processos!$AK$10:$AK$509,0))="","",INDEX(Processos!$C$10:$C$509,MATCH((ROW()-36+($J$35-1)*200),Processos!$AK$10:$AK$509,0))))</f>
        <v>Suspenso</v>
      </c>
      <c r="C11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PAULO RIBEIRO PEREIRA × 1 - Consórcio Trail-Spavias-Alta 2 - VALEC</v>
      </c>
      <c r="D118" s="10">
        <f>IF((ROW()-36+($J$35-1)*200)&gt;COUNTIFS(Processos!$X$10:$X$509,1),"",IF(INDEX(Processos!$AQ$10:$AQ$509,MATCH((ROW()-36+($J$35-1)*200),Processos!$AK$10:$AK$509,0))="","",INDEX(Processos!$AQ$10:$AQ$509,MATCH((ROW()-36+($J$35-1)*200),Processos!$AK$10:$AK$509,0))))</f>
        <v>8278.27</v>
      </c>
      <c r="E118" s="8">
        <f>IF((ROW()-36+($J$35-1)*200)&gt;COUNTIFS(Processos!$X$10:$X$509,1),"",IF(INDEX(Processos!$Z$10:$Z$509,MATCH((ROW()-36+($J$35-1)*200),Processos!$AK$10:$AK$509,0))="","",INDEX(Processos!$Z$10:$Z$509,MATCH((ROW()-36+($J$35-1)*200),Processos!$AK$10:$AK$509,0))))</f>
        <v>45653</v>
      </c>
      <c r="F118" s="6" t="str">
        <f>IF((ROW()-36+($J$35-1)*200)&gt;COUNTIFS(Processos!$X$10:$X$509,1),"",IF(IF(INDEX(Processos!$Y$10:$Y$509,MATCH((ROW()-36+($J$35-1)*200),Processos!$AK$10:$AK$509,0))=1,"Sim","Não")="","",IF(INDEX(Processos!$Y$10:$Y$509,MATCH((ROW()-36+($J$35-1)*200),Processos!$AK$10:$AK$509,0))=1,"Sim","Não")))</f>
        <v>Não</v>
      </c>
      <c r="G118" s="6" t="str">
        <f>IF((ROW()-36+($J$35-1)*200)&gt;COUNTIFS(Processos!$X$10:$X$509,1),"",IF(INDEX(Processos!$D$10:$D$509,MATCH((ROW()-36+($J$35-1)*200),Processos!$AK$10:$AK$509,0))="","",INDEX(Processos!$D$10:$D$509,MATCH((ROW()-36+($J$35-1)*200),Processos!$AK$10:$AK$509,0))))</f>
        <v>BMM Advogados</v>
      </c>
    </row>
    <row r="119" spans="1:7" ht="72" customHeight="1">
      <c r="A119" s="7" t="str">
        <f>IF((ROW()-36+($J$35-1)*200)&gt;COUNTIFS(Processos!$X$10:$X$509,1),"",IF(INDEX(Processos!$A$10:$A$509,MATCH((ROW()-36+($J$35-1)*200),Processos!$AK$10:$AK$509,0))="","",INDEX(Processos!$A$10:$A$509,MATCH((ROW()-36+($J$35-1)*200),Processos!$AK$10:$AK$509,0))))</f>
        <v>0010756-19.2018.5.18.0129</v>
      </c>
      <c r="B119" s="6" t="str">
        <f>IF((ROW()-36+($J$35-1)*200)&gt;COUNTIFS(Processos!$X$10:$X$509,1),"",IF(INDEX(Processos!$C$10:$C$509,MATCH((ROW()-36+($J$35-1)*200),Processos!$AK$10:$AK$509,0))="","",INDEX(Processos!$C$10:$C$509,MATCH((ROW()-36+($J$35-1)*200),Processos!$AK$10:$AK$509,0))))</f>
        <v>Ativo</v>
      </c>
      <c r="C11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BETOJOABE SOARES DO NASCIMENTO × CONSÓRCIO INTEGRAL SPAVIAS TRAIL ALTA VALEC</v>
      </c>
      <c r="D119" s="10">
        <f>IF((ROW()-36+($J$35-1)*200)&gt;COUNTIFS(Processos!$X$10:$X$509,1),"",IF(INDEX(Processos!$AQ$10:$AQ$509,MATCH((ROW()-36+($J$35-1)*200),Processos!$AK$10:$AK$509,0))="","",INDEX(Processos!$AQ$10:$AQ$509,MATCH((ROW()-36+($J$35-1)*200),Processos!$AK$10:$AK$509,0))))</f>
        <v>11676.1</v>
      </c>
      <c r="E119" s="8">
        <f>IF((ROW()-36+($J$35-1)*200)&gt;COUNTIFS(Processos!$X$10:$X$509,1),"",IF(INDEX(Processos!$Z$10:$Z$509,MATCH((ROW()-36+($J$35-1)*200),Processos!$AK$10:$AK$509,0))="","",INDEX(Processos!$Z$10:$Z$509,MATCH((ROW()-36+($J$35-1)*200),Processos!$AK$10:$AK$509,0))))</f>
        <v>46280</v>
      </c>
      <c r="F119" s="6" t="str">
        <f>IF((ROW()-36+($J$35-1)*200)&gt;COUNTIFS(Processos!$X$10:$X$509,1),"",IF(IF(INDEX(Processos!$Y$10:$Y$509,MATCH((ROW()-36+($J$35-1)*200),Processos!$AK$10:$AK$509,0))=1,"Sim","Não")="","",IF(INDEX(Processos!$Y$10:$Y$509,MATCH((ROW()-36+($J$35-1)*200),Processos!$AK$10:$AK$509,0))=1,"Sim","Não")))</f>
        <v>Não</v>
      </c>
      <c r="G119" s="6" t="str">
        <f>IF((ROW()-36+($J$35-1)*200)&gt;COUNTIFS(Processos!$X$10:$X$509,1),"",IF(INDEX(Processos!$D$10:$D$509,MATCH((ROW()-36+($J$35-1)*200),Processos!$AK$10:$AK$509,0))="","",INDEX(Processos!$D$10:$D$509,MATCH((ROW()-36+($J$35-1)*200),Processos!$AK$10:$AK$509,0))))</f>
        <v>BMM Advogados</v>
      </c>
    </row>
    <row r="120" spans="1:7" ht="72" customHeight="1">
      <c r="A120" s="7" t="str">
        <f>IF((ROW()-36+($J$35-1)*200)&gt;COUNTIFS(Processos!$X$10:$X$509,1),"",IF(INDEX(Processos!$A$10:$A$509,MATCH((ROW()-36+($J$35-1)*200),Processos!$AK$10:$AK$509,0))="","",INDEX(Processos!$A$10:$A$509,MATCH((ROW()-36+($J$35-1)*200),Processos!$AK$10:$AK$509,0))))</f>
        <v>0010522-50.2020.5.18.0102</v>
      </c>
      <c r="B120" s="6" t="str">
        <f>IF((ROW()-36+($J$35-1)*200)&gt;COUNTIFS(Processos!$X$10:$X$509,1),"",IF(INDEX(Processos!$C$10:$C$509,MATCH((ROW()-36+($J$35-1)*200),Processos!$AK$10:$AK$509,0))="","",INDEX(Processos!$C$10:$C$509,MATCH((ROW()-36+($J$35-1)*200),Processos!$AK$10:$AK$509,0))))</f>
        <v>Suspenso</v>
      </c>
      <c r="C12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LUIZ FERNANDO MACEDO DE OLIVEIRA × 1 - Consórcio Spavias Cava 2 - Spavias Engenharia LTDA 3 - Spavia [...]</v>
      </c>
      <c r="D120" s="10">
        <f>IF((ROW()-36+($J$35-1)*200)&gt;COUNTIFS(Processos!$X$10:$X$509,1),"",IF(INDEX(Processos!$AQ$10:$AQ$509,MATCH((ROW()-36+($J$35-1)*200),Processos!$AK$10:$AK$509,0))="","",INDEX(Processos!$AQ$10:$AQ$509,MATCH((ROW()-36+($J$35-1)*200),Processos!$AK$10:$AK$509,0))))</f>
        <v>691268.27</v>
      </c>
      <c r="E120" s="8">
        <f>IF((ROW()-36+($J$35-1)*200)&gt;COUNTIFS(Processos!$X$10:$X$509,1),"",IF(INDEX(Processos!$Z$10:$Z$509,MATCH((ROW()-36+($J$35-1)*200),Processos!$AK$10:$AK$509,0))="","",INDEX(Processos!$Z$10:$Z$509,MATCH((ROW()-36+($J$35-1)*200),Processos!$AK$10:$AK$509,0))))</f>
        <v>46059</v>
      </c>
      <c r="F120" s="6" t="str">
        <f>IF((ROW()-36+($J$35-1)*200)&gt;COUNTIFS(Processos!$X$10:$X$509,1),"",IF(IF(INDEX(Processos!$Y$10:$Y$509,MATCH((ROW()-36+($J$35-1)*200),Processos!$AK$10:$AK$509,0))=1,"Sim","Não")="","",IF(INDEX(Processos!$Y$10:$Y$509,MATCH((ROW()-36+($J$35-1)*200),Processos!$AK$10:$AK$509,0))=1,"Sim","Não")))</f>
        <v>Não</v>
      </c>
      <c r="G120" s="6" t="str">
        <f>IF((ROW()-36+($J$35-1)*200)&gt;COUNTIFS(Processos!$X$10:$X$509,1),"",IF(INDEX(Processos!$D$10:$D$509,MATCH((ROW()-36+($J$35-1)*200),Processos!$AK$10:$AK$509,0))="","",INDEX(Processos!$D$10:$D$509,MATCH((ROW()-36+($J$35-1)*200),Processos!$AK$10:$AK$509,0))))</f>
        <v>BMM Advogados</v>
      </c>
    </row>
    <row r="121" spans="1:7" ht="72" customHeight="1">
      <c r="A121" s="7" t="str">
        <f>IF((ROW()-36+($J$35-1)*200)&gt;COUNTIFS(Processos!$X$10:$X$509,1),"",IF(INDEX(Processos!$A$10:$A$509,MATCH((ROW()-36+($J$35-1)*200),Processos!$AK$10:$AK$509,0))="","",INDEX(Processos!$A$10:$A$509,MATCH((ROW()-36+($J$35-1)*200),Processos!$AK$10:$AK$509,0))))</f>
        <v>0010993-94.2019.5.18.0104</v>
      </c>
      <c r="B121" s="6" t="str">
        <f>IF((ROW()-36+($J$35-1)*200)&gt;COUNTIFS(Processos!$X$10:$X$509,1),"",IF(INDEX(Processos!$C$10:$C$509,MATCH((ROW()-36+($J$35-1)*200),Processos!$AK$10:$AK$509,0))="","",INDEX(Processos!$C$10:$C$509,MATCH((ROW()-36+($J$35-1)*200),Processos!$AK$10:$AK$509,0))))</f>
        <v>Ativo</v>
      </c>
      <c r="C12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Sindicato Dos Trabalhadores Nas Industrias Da Construcao × 1 - Consórcio Integral Spavias Trail Alta [...]</v>
      </c>
      <c r="D121" s="10">
        <f>IF((ROW()-36+($J$35-1)*200)&gt;COUNTIFS(Processos!$X$10:$X$509,1),"",IF(INDEX(Processos!$AQ$10:$AQ$509,MATCH((ROW()-36+($J$35-1)*200),Processos!$AK$10:$AK$509,0))="","",INDEX(Processos!$AQ$10:$AQ$509,MATCH((ROW()-36+($J$35-1)*200),Processos!$AK$10:$AK$509,0))))</f>
        <v>2018074.76</v>
      </c>
      <c r="E121" s="8">
        <f>IF((ROW()-36+($J$35-1)*200)&gt;COUNTIFS(Processos!$X$10:$X$509,1),"",IF(INDEX(Processos!$Z$10:$Z$509,MATCH((ROW()-36+($J$35-1)*200),Processos!$AK$10:$AK$509,0))="","",INDEX(Processos!$Z$10:$Z$509,MATCH((ROW()-36+($J$35-1)*200),Processos!$AK$10:$AK$509,0))))</f>
        <v>46055</v>
      </c>
      <c r="F121" s="6" t="str">
        <f>IF((ROW()-36+($J$35-1)*200)&gt;COUNTIFS(Processos!$X$10:$X$509,1),"",IF(IF(INDEX(Processos!$Y$10:$Y$509,MATCH((ROW()-36+($J$35-1)*200),Processos!$AK$10:$AK$509,0))=1,"Sim","Não")="","",IF(INDEX(Processos!$Y$10:$Y$509,MATCH((ROW()-36+($J$35-1)*200),Processos!$AK$10:$AK$509,0))=1,"Sim","Não")))</f>
        <v>Sim</v>
      </c>
      <c r="G121" s="6" t="str">
        <f>IF((ROW()-36+($J$35-1)*200)&gt;COUNTIFS(Processos!$X$10:$X$509,1),"",IF(INDEX(Processos!$D$10:$D$509,MATCH((ROW()-36+($J$35-1)*200),Processos!$AK$10:$AK$509,0))="","",INDEX(Processos!$D$10:$D$509,MATCH((ROW()-36+($J$35-1)*200),Processos!$AK$10:$AK$509,0))))</f>
        <v>BMM Advogados</v>
      </c>
    </row>
    <row r="122" spans="1:7" ht="72" customHeight="1">
      <c r="A122" s="7" t="str">
        <f>IF((ROW()-36+($J$35-1)*200)&gt;COUNTIFS(Processos!$X$10:$X$509,1),"",IF(INDEX(Processos!$A$10:$A$509,MATCH((ROW()-36+($J$35-1)*200),Processos!$AK$10:$AK$509,0))="","",INDEX(Processos!$A$10:$A$509,MATCH((ROW()-36+($J$35-1)*200),Processos!$AK$10:$AK$509,0))))</f>
        <v>1000876-51.2020.5.02.0261</v>
      </c>
      <c r="B122" s="6" t="str">
        <f>IF((ROW()-36+($J$35-1)*200)&gt;COUNTIFS(Processos!$X$10:$X$509,1),"",IF(INDEX(Processos!$C$10:$C$509,MATCH((ROW()-36+($J$35-1)*200),Processos!$AK$10:$AK$509,0))="","",INDEX(Processos!$C$10:$C$509,MATCH((ROW()-36+($J$35-1)*200),Processos!$AK$10:$AK$509,0))))</f>
        <v>Ativo</v>
      </c>
      <c r="C12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DAMIÃO DE JESUS RIBEIRO FIGUEIREDO × 1 - Consórcio Spavias Cava 2 - Valec</v>
      </c>
      <c r="D122" s="10">
        <f>IF((ROW()-36+($J$35-1)*200)&gt;COUNTIFS(Processos!$X$10:$X$509,1),"",IF(INDEX(Processos!$AQ$10:$AQ$509,MATCH((ROW()-36+($J$35-1)*200),Processos!$AK$10:$AK$509,0))="","",INDEX(Processos!$AQ$10:$AQ$509,MATCH((ROW()-36+($J$35-1)*200),Processos!$AK$10:$AK$509,0))))</f>
        <v>73704.320000000007</v>
      </c>
      <c r="E122" s="8">
        <f>IF((ROW()-36+($J$35-1)*200)&gt;COUNTIFS(Processos!$X$10:$X$509,1),"",IF(INDEX(Processos!$Z$10:$Z$509,MATCH((ROW()-36+($J$35-1)*200),Processos!$AK$10:$AK$509,0))="","",INDEX(Processos!$Z$10:$Z$509,MATCH((ROW()-36+($J$35-1)*200),Processos!$AK$10:$AK$509,0))))</f>
        <v>46059</v>
      </c>
      <c r="F122" s="6" t="str">
        <f>IF((ROW()-36+($J$35-1)*200)&gt;COUNTIFS(Processos!$X$10:$X$509,1),"",IF(IF(INDEX(Processos!$Y$10:$Y$509,MATCH((ROW()-36+($J$35-1)*200),Processos!$AK$10:$AK$509,0))=1,"Sim","Não")="","",IF(INDEX(Processos!$Y$10:$Y$509,MATCH((ROW()-36+($J$35-1)*200),Processos!$AK$10:$AK$509,0))=1,"Sim","Não")))</f>
        <v>Não</v>
      </c>
      <c r="G122" s="6" t="str">
        <f>IF((ROW()-36+($J$35-1)*200)&gt;COUNTIFS(Processos!$X$10:$X$509,1),"",IF(INDEX(Processos!$D$10:$D$509,MATCH((ROW()-36+($J$35-1)*200),Processos!$AK$10:$AK$509,0))="","",INDEX(Processos!$D$10:$D$509,MATCH((ROW()-36+($J$35-1)*200),Processos!$AK$10:$AK$509,0))))</f>
        <v>BMM Advogados</v>
      </c>
    </row>
    <row r="123" spans="1:7" ht="72" customHeight="1">
      <c r="A123" s="7" t="str">
        <f>IF((ROW()-36+($J$35-1)*200)&gt;COUNTIFS(Processos!$X$10:$X$509,1),"",IF(INDEX(Processos!$A$10:$A$509,MATCH((ROW()-36+($J$35-1)*200),Processos!$AK$10:$AK$509,0))="","",INDEX(Processos!$A$10:$A$509,MATCH((ROW()-36+($J$35-1)*200),Processos!$AK$10:$AK$509,0))))</f>
        <v>0010723-70.2019.5.18.0104</v>
      </c>
      <c r="B123" s="6" t="str">
        <f>IF((ROW()-36+($J$35-1)*200)&gt;COUNTIFS(Processos!$X$10:$X$509,1),"",IF(INDEX(Processos!$C$10:$C$509,MATCH((ROW()-36+($J$35-1)*200),Processos!$AK$10:$AK$509,0))="","",INDEX(Processos!$C$10:$C$509,MATCH((ROW()-36+($J$35-1)*200),Processos!$AK$10:$AK$509,0))))</f>
        <v>Ativo</v>
      </c>
      <c r="C12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Sindicato Dos Trabalhadores Nas Industrias Da Construcao × 1 - Consórcio Integral Spavias Trail Alta [...]</v>
      </c>
      <c r="D123" s="10">
        <f>IF((ROW()-36+($J$35-1)*200)&gt;COUNTIFS(Processos!$X$10:$X$509,1),"",IF(INDEX(Processos!$AQ$10:$AQ$509,MATCH((ROW()-36+($J$35-1)*200),Processos!$AK$10:$AK$509,0))="","",INDEX(Processos!$AQ$10:$AQ$509,MATCH((ROW()-36+($J$35-1)*200),Processos!$AK$10:$AK$509,0))))</f>
        <v>2681428.54</v>
      </c>
      <c r="E123" s="8">
        <f>IF((ROW()-36+($J$35-1)*200)&gt;COUNTIFS(Processos!$X$10:$X$509,1),"",IF(INDEX(Processos!$Z$10:$Z$509,MATCH((ROW()-36+($J$35-1)*200),Processos!$AK$10:$AK$509,0))="","",INDEX(Processos!$Z$10:$Z$509,MATCH((ROW()-36+($J$35-1)*200),Processos!$AK$10:$AK$509,0))))</f>
        <v>46135</v>
      </c>
      <c r="F123" s="6" t="str">
        <f>IF((ROW()-36+($J$35-1)*200)&gt;COUNTIFS(Processos!$X$10:$X$509,1),"",IF(IF(INDEX(Processos!$Y$10:$Y$509,MATCH((ROW()-36+($J$35-1)*200),Processos!$AK$10:$AK$509,0))=1,"Sim","Não")="","",IF(INDEX(Processos!$Y$10:$Y$509,MATCH((ROW()-36+($J$35-1)*200),Processos!$AK$10:$AK$509,0))=1,"Sim","Não")))</f>
        <v>Sim</v>
      </c>
      <c r="G123" s="6" t="str">
        <f>IF((ROW()-36+($J$35-1)*200)&gt;COUNTIFS(Processos!$X$10:$X$509,1),"",IF(INDEX(Processos!$D$10:$D$509,MATCH((ROW()-36+($J$35-1)*200),Processos!$AK$10:$AK$509,0))="","",INDEX(Processos!$D$10:$D$509,MATCH((ROW()-36+($J$35-1)*200),Processos!$AK$10:$AK$509,0))))</f>
        <v>BMM Advogados</v>
      </c>
    </row>
    <row r="124" spans="1:7" ht="72" customHeight="1">
      <c r="A124" s="7" t="str">
        <f>IF((ROW()-36+($J$35-1)*200)&gt;COUNTIFS(Processos!$X$10:$X$509,1),"",IF(INDEX(Processos!$A$10:$A$509,MATCH((ROW()-36+($J$35-1)*200),Processos!$AK$10:$AK$509,0))="","",INDEX(Processos!$A$10:$A$509,MATCH((ROW()-36+($J$35-1)*200),Processos!$AK$10:$AK$509,0))))</f>
        <v>0000159-22.2025.5.18.0201</v>
      </c>
      <c r="B124" s="6" t="str">
        <f>IF((ROW()-36+($J$35-1)*200)&gt;COUNTIFS(Processos!$X$10:$X$509,1),"",IF(INDEX(Processos!$C$10:$C$509,MATCH((ROW()-36+($J$35-1)*200),Processos!$AK$10:$AK$509,0))="","",INDEX(Processos!$C$10:$C$509,MATCH((ROW()-36+($J$35-1)*200),Processos!$AK$10:$AK$509,0))))</f>
        <v>Arquivado</v>
      </c>
      <c r="C12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RODRYANGELO GABRIEL DE SOUZA × ALTA</v>
      </c>
      <c r="D124" s="10">
        <f>IF((ROW()-36+($J$35-1)*200)&gt;COUNTIFS(Processos!$X$10:$X$509,1),"",IF(INDEX(Processos!$AQ$10:$AQ$509,MATCH((ROW()-36+($J$35-1)*200),Processos!$AK$10:$AK$509,0))="","",INDEX(Processos!$AQ$10:$AQ$509,MATCH((ROW()-36+($J$35-1)*200),Processos!$AK$10:$AK$509,0))))</f>
        <v>37297.279999999999</v>
      </c>
      <c r="E124" s="8">
        <f>IF((ROW()-36+($J$35-1)*200)&gt;COUNTIFS(Processos!$X$10:$X$509,1),"",IF(INDEX(Processos!$Z$10:$Z$509,MATCH((ROW()-36+($J$35-1)*200),Processos!$AK$10:$AK$509,0))="","",INDEX(Processos!$Z$10:$Z$509,MATCH((ROW()-36+($J$35-1)*200),Processos!$AK$10:$AK$509,0))))</f>
        <v>46055</v>
      </c>
      <c r="F124" s="6" t="str">
        <f>IF((ROW()-36+($J$35-1)*200)&gt;COUNTIFS(Processos!$X$10:$X$509,1),"",IF(IF(INDEX(Processos!$Y$10:$Y$509,MATCH((ROW()-36+($J$35-1)*200),Processos!$AK$10:$AK$509,0))=1,"Sim","Não")="","",IF(INDEX(Processos!$Y$10:$Y$509,MATCH((ROW()-36+($J$35-1)*200),Processos!$AK$10:$AK$509,0))=1,"Sim","Não")))</f>
        <v>Não</v>
      </c>
      <c r="G124" s="6" t="str">
        <f>IF((ROW()-36+($J$35-1)*200)&gt;COUNTIFS(Processos!$X$10:$X$509,1),"",IF(INDEX(Processos!$D$10:$D$509,MATCH((ROW()-36+($J$35-1)*200),Processos!$AK$10:$AK$509,0))="","",INDEX(Processos!$D$10:$D$509,MATCH((ROW()-36+($J$35-1)*200),Processos!$AK$10:$AK$509,0))))</f>
        <v>BMM Advogados</v>
      </c>
    </row>
    <row r="125" spans="1:7" ht="72" customHeight="1">
      <c r="A125" s="7" t="str">
        <f>IF((ROW()-36+($J$35-1)*200)&gt;COUNTIFS(Processos!$X$10:$X$509,1),"",IF(INDEX(Processos!$A$10:$A$509,MATCH((ROW()-36+($J$35-1)*200),Processos!$AK$10:$AK$509,0))="","",INDEX(Processos!$A$10:$A$509,MATCH((ROW()-36+($J$35-1)*200),Processos!$AK$10:$AK$509,0))))</f>
        <v>0820668-09.2024.8.12.0001</v>
      </c>
      <c r="B125" s="6" t="str">
        <f>IF((ROW()-36+($J$35-1)*200)&gt;COUNTIFS(Processos!$X$10:$X$509,1),"",IF(INDEX(Processos!$C$10:$C$509,MATCH((ROW()-36+($J$35-1)*200),Processos!$AK$10:$AK$509,0))="","",INDEX(Processos!$C$10:$C$509,MATCH((ROW()-36+($J$35-1)*200),Processos!$AK$10:$AK$509,0))))</f>
        <v>Ativo</v>
      </c>
      <c r="C12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FRANCISNEY SILVA SOUZA × ALTA</v>
      </c>
      <c r="D125" s="10">
        <f>IF((ROW()-36+($J$35-1)*200)&gt;COUNTIFS(Processos!$X$10:$X$509,1),"",IF(INDEX(Processos!$AQ$10:$AQ$509,MATCH((ROW()-36+($J$35-1)*200),Processos!$AK$10:$AK$509,0))="","",INDEX(Processos!$AQ$10:$AQ$509,MATCH((ROW()-36+($J$35-1)*200),Processos!$AK$10:$AK$509,0))))</f>
        <v>15000</v>
      </c>
      <c r="E125" s="8">
        <f>IF((ROW()-36+($J$35-1)*200)&gt;COUNTIFS(Processos!$X$10:$X$509,1),"",IF(INDEX(Processos!$Z$10:$Z$509,MATCH((ROW()-36+($J$35-1)*200),Processos!$AK$10:$AK$509,0))="","",INDEX(Processos!$Z$10:$Z$509,MATCH((ROW()-36+($J$35-1)*200),Processos!$AK$10:$AK$509,0))))</f>
        <v>46274</v>
      </c>
      <c r="F125" s="6" t="str">
        <f>IF((ROW()-36+($J$35-1)*200)&gt;COUNTIFS(Processos!$X$10:$X$509,1),"",IF(IF(INDEX(Processos!$Y$10:$Y$509,MATCH((ROW()-36+($J$35-1)*200),Processos!$AK$10:$AK$509,0))=1,"Sim","Não")="","",IF(INDEX(Processos!$Y$10:$Y$509,MATCH((ROW()-36+($J$35-1)*200),Processos!$AK$10:$AK$509,0))=1,"Sim","Não")))</f>
        <v>Não</v>
      </c>
      <c r="G125" s="6" t="str">
        <f>IF((ROW()-36+($J$35-1)*200)&gt;COUNTIFS(Processos!$X$10:$X$509,1),"",IF(INDEX(Processos!$D$10:$D$509,MATCH((ROW()-36+($J$35-1)*200),Processos!$AK$10:$AK$509,0))="","",INDEX(Processos!$D$10:$D$509,MATCH((ROW()-36+($J$35-1)*200),Processos!$AK$10:$AK$509,0))))</f>
        <v>BMM Advogados</v>
      </c>
    </row>
    <row r="126" spans="1:7" ht="72" customHeight="1">
      <c r="A126" s="7" t="str">
        <f>IF((ROW()-36+($J$35-1)*200)&gt;COUNTIFS(Processos!$X$10:$X$509,1),"",IF(INDEX(Processos!$A$10:$A$509,MATCH((ROW()-36+($J$35-1)*200),Processos!$AK$10:$AK$509,0))="","",INDEX(Processos!$A$10:$A$509,MATCH((ROW()-36+($J$35-1)*200),Processos!$AK$10:$AK$509,0))))</f>
        <v>0010941-35.2018.5.18.0104 [BMM-090]</v>
      </c>
      <c r="B126" s="6" t="str">
        <f>IF((ROW()-36+($J$35-1)*200)&gt;COUNTIFS(Processos!$X$10:$X$509,1),"",IF(INDEX(Processos!$C$10:$C$509,MATCH((ROW()-36+($J$35-1)*200),Processos!$AK$10:$AK$509,0))="","",INDEX(Processos!$C$10:$C$509,MATCH((ROW()-36+($J$35-1)*200),Processos!$AK$10:$AK$509,0))))</f>
        <v>Suspenso</v>
      </c>
      <c r="C12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ISAIAS NUNES FROS FILHO × ALTA</v>
      </c>
      <c r="D126" s="10" t="str">
        <f>IF((ROW()-36+($J$35-1)*200)&gt;COUNTIFS(Processos!$X$10:$X$509,1),"",IF(INDEX(Processos!$AQ$10:$AQ$509,MATCH((ROW()-36+($J$35-1)*200),Processos!$AK$10:$AK$509,0))="","",INDEX(Processos!$AQ$10:$AQ$509,MATCH((ROW()-36+($J$35-1)*200),Processos!$AK$10:$AK$509,0))))</f>
        <v/>
      </c>
      <c r="E126" s="8">
        <f>IF((ROW()-36+($J$35-1)*200)&gt;COUNTIFS(Processos!$X$10:$X$509,1),"",IF(INDEX(Processos!$Z$10:$Z$509,MATCH((ROW()-36+($J$35-1)*200),Processos!$AK$10:$AK$509,0))="","",INDEX(Processos!$Z$10:$Z$509,MATCH((ROW()-36+($J$35-1)*200),Processos!$AK$10:$AK$509,0))))</f>
        <v>45512</v>
      </c>
      <c r="F126" s="6" t="str">
        <f>IF((ROW()-36+($J$35-1)*200)&gt;COUNTIFS(Processos!$X$10:$X$509,1),"",IF(IF(INDEX(Processos!$Y$10:$Y$509,MATCH((ROW()-36+($J$35-1)*200),Processos!$AK$10:$AK$509,0))=1,"Sim","Não")="","",IF(INDEX(Processos!$Y$10:$Y$509,MATCH((ROW()-36+($J$35-1)*200),Processos!$AK$10:$AK$509,0))=1,"Sim","Não")))</f>
        <v>Não</v>
      </c>
      <c r="G126" s="6" t="str">
        <f>IF((ROW()-36+($J$35-1)*200)&gt;COUNTIFS(Processos!$X$10:$X$509,1),"",IF(INDEX(Processos!$D$10:$D$509,MATCH((ROW()-36+($J$35-1)*200),Processos!$AK$10:$AK$509,0))="","",INDEX(Processos!$D$10:$D$509,MATCH((ROW()-36+($J$35-1)*200),Processos!$AK$10:$AK$509,0))))</f>
        <v>BMM Advogados</v>
      </c>
    </row>
    <row r="127" spans="1:7" ht="72" customHeight="1">
      <c r="A127" s="7" t="str">
        <f>IF((ROW()-36+($J$35-1)*200)&gt;COUNTIFS(Processos!$X$10:$X$509,1),"",IF(INDEX(Processos!$A$10:$A$509,MATCH((ROW()-36+($J$35-1)*200),Processos!$AK$10:$AK$509,0))="","",INDEX(Processos!$A$10:$A$509,MATCH((ROW()-36+($J$35-1)*200),Processos!$AK$10:$AK$509,0))))</f>
        <v>5263294-40.2021.8.09.0051</v>
      </c>
      <c r="B127" s="6" t="str">
        <f>IF((ROW()-36+($J$35-1)*200)&gt;COUNTIFS(Processos!$X$10:$X$509,1),"",IF(INDEX(Processos!$C$10:$C$509,MATCH((ROW()-36+($J$35-1)*200),Processos!$AK$10:$AK$509,0))="","",INDEX(Processos!$C$10:$C$509,MATCH((ROW()-36+($J$35-1)*200),Processos!$AK$10:$AK$509,0))))</f>
        <v>Ativo</v>
      </c>
      <c r="C12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ELECAUD ENGENHARIA LTDA × CONSORCIO TRAIL SPAVIAS ALTA SPAVIAS ENGENHARIA LTDA ANDRÉ VON BENTZEEN RO [...]</v>
      </c>
      <c r="D127" s="10">
        <f>IF((ROW()-36+($J$35-1)*200)&gt;COUNTIFS(Processos!$X$10:$X$509,1),"",IF(INDEX(Processos!$AQ$10:$AQ$509,MATCH((ROW()-36+($J$35-1)*200),Processos!$AK$10:$AK$509,0))="","",INDEX(Processos!$AQ$10:$AQ$509,MATCH((ROW()-36+($J$35-1)*200),Processos!$AK$10:$AK$509,0))))</f>
        <v>1245291.1000000001</v>
      </c>
      <c r="E127" s="8">
        <f>IF((ROW()-36+($J$35-1)*200)&gt;COUNTIFS(Processos!$X$10:$X$509,1),"",IF(INDEX(Processos!$Z$10:$Z$509,MATCH((ROW()-36+($J$35-1)*200),Processos!$AK$10:$AK$509,0))="","",INDEX(Processos!$Z$10:$Z$509,MATCH((ROW()-36+($J$35-1)*200),Processos!$AK$10:$AK$509,0))))</f>
        <v>46052</v>
      </c>
      <c r="F127" s="6" t="str">
        <f>IF((ROW()-36+($J$35-1)*200)&gt;COUNTIFS(Processos!$X$10:$X$509,1),"",IF(IF(INDEX(Processos!$Y$10:$Y$509,MATCH((ROW()-36+($J$35-1)*200),Processos!$AK$10:$AK$509,0))=1,"Sim","Não")="","",IF(INDEX(Processos!$Y$10:$Y$509,MATCH((ROW()-36+($J$35-1)*200),Processos!$AK$10:$AK$509,0))=1,"Sim","Não")))</f>
        <v>Não</v>
      </c>
      <c r="G127" s="6" t="str">
        <f>IF((ROW()-36+($J$35-1)*200)&gt;COUNTIFS(Processos!$X$10:$X$509,1),"",IF(INDEX(Processos!$D$10:$D$509,MATCH((ROW()-36+($J$35-1)*200),Processos!$AK$10:$AK$509,0))="","",INDEX(Processos!$D$10:$D$509,MATCH((ROW()-36+($J$35-1)*200),Processos!$AK$10:$AK$509,0))))</f>
        <v>BMM Advogados</v>
      </c>
    </row>
    <row r="128" spans="1:7" ht="72" customHeight="1">
      <c r="A128" s="7" t="str">
        <f>IF((ROW()-36+($J$35-1)*200)&gt;COUNTIFS(Processos!$X$10:$X$509,1),"",IF(INDEX(Processos!$A$10:$A$509,MATCH((ROW()-36+($J$35-1)*200),Processos!$AK$10:$AK$509,0))="","",INDEX(Processos!$A$10:$A$509,MATCH((ROW()-36+($J$35-1)*200),Processos!$AK$10:$AK$509,0))))</f>
        <v>5542516-52.2025.8.09.0045</v>
      </c>
      <c r="B128" s="6" t="str">
        <f>IF((ROW()-36+($J$35-1)*200)&gt;COUNTIFS(Processos!$X$10:$X$509,1),"",IF(INDEX(Processos!$C$10:$C$509,MATCH((ROW()-36+($J$35-1)*200),Processos!$AK$10:$AK$509,0))="","",INDEX(Processos!$C$10:$C$509,MATCH((ROW()-36+($J$35-1)*200),Processos!$AK$10:$AK$509,0))))</f>
        <v>Arquivado</v>
      </c>
      <c r="C12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ELIAS FERREIRA DE CASTRO FILHO × CONSORCIO LOCTEC PAVIENGE CAVA ALTA SETORSUL SETORSUL TRANSPORTES E [...]</v>
      </c>
      <c r="D128" s="10">
        <f>IF((ROW()-36+($J$35-1)*200)&gt;COUNTIFS(Processos!$X$10:$X$509,1),"",IF(INDEX(Processos!$AQ$10:$AQ$509,MATCH((ROW()-36+($J$35-1)*200),Processos!$AK$10:$AK$509,0))="","",INDEX(Processos!$AQ$10:$AQ$509,MATCH((ROW()-36+($J$35-1)*200),Processos!$AK$10:$AK$509,0))))</f>
        <v>13116.91</v>
      </c>
      <c r="E128" s="8">
        <f>IF((ROW()-36+($J$35-1)*200)&gt;COUNTIFS(Processos!$X$10:$X$509,1),"",IF(INDEX(Processos!$Z$10:$Z$509,MATCH((ROW()-36+($J$35-1)*200),Processos!$AK$10:$AK$509,0))="","",INDEX(Processos!$Z$10:$Z$509,MATCH((ROW()-36+($J$35-1)*200),Processos!$AK$10:$AK$509,0))))</f>
        <v>46055</v>
      </c>
      <c r="F128" s="6" t="str">
        <f>IF((ROW()-36+($J$35-1)*200)&gt;COUNTIFS(Processos!$X$10:$X$509,1),"",IF(IF(INDEX(Processos!$Y$10:$Y$509,MATCH((ROW()-36+($J$35-1)*200),Processos!$AK$10:$AK$509,0))=1,"Sim","Não")="","",IF(INDEX(Processos!$Y$10:$Y$509,MATCH((ROW()-36+($J$35-1)*200),Processos!$AK$10:$AK$509,0))=1,"Sim","Não")))</f>
        <v>Não</v>
      </c>
      <c r="G128" s="6" t="str">
        <f>IF((ROW()-36+($J$35-1)*200)&gt;COUNTIFS(Processos!$X$10:$X$509,1),"",IF(INDEX(Processos!$D$10:$D$509,MATCH((ROW()-36+($J$35-1)*200),Processos!$AK$10:$AK$509,0))="","",INDEX(Processos!$D$10:$D$509,MATCH((ROW()-36+($J$35-1)*200),Processos!$AK$10:$AK$509,0))))</f>
        <v>BMM Advogados</v>
      </c>
    </row>
    <row r="129" spans="1:7" ht="72" customHeight="1">
      <c r="A129" s="7" t="str">
        <f>IF((ROW()-36+($J$35-1)*200)&gt;COUNTIFS(Processos!$X$10:$X$509,1),"",IF(INDEX(Processos!$A$10:$A$509,MATCH((ROW()-36+($J$35-1)*200),Processos!$AK$10:$AK$509,0))="","",INDEX(Processos!$A$10:$A$509,MATCH((ROW()-36+($J$35-1)*200),Processos!$AK$10:$AK$509,0))))</f>
        <v>0011074-81.2024.5.03.0008 [BMM-093]</v>
      </c>
      <c r="B129" s="6" t="str">
        <f>IF((ROW()-36+($J$35-1)*200)&gt;COUNTIFS(Processos!$X$10:$X$509,1),"",IF(INDEX(Processos!$C$10:$C$509,MATCH((ROW()-36+($J$35-1)*200),Processos!$AK$10:$AK$509,0))="","",INDEX(Processos!$C$10:$C$509,MATCH((ROW()-36+($J$35-1)*200),Processos!$AK$10:$AK$509,0))))</f>
        <v>Ativo</v>
      </c>
      <c r="C12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ALDEIR PEREIRA × CHATEAU DE LINZ EMPREENDIMENTO IMOBILIARIO SPE LTDA</v>
      </c>
      <c r="D129" s="10">
        <f>IF((ROW()-36+($J$35-1)*200)&gt;COUNTIFS(Processos!$X$10:$X$509,1),"",IF(INDEX(Processos!$AQ$10:$AQ$509,MATCH((ROW()-36+($J$35-1)*200),Processos!$AK$10:$AK$509,0))="","",INDEX(Processos!$AQ$10:$AQ$509,MATCH((ROW()-36+($J$35-1)*200),Processos!$AK$10:$AK$509,0))))</f>
        <v>68004.679999999993</v>
      </c>
      <c r="E129" s="8">
        <f>IF((ROW()-36+($J$35-1)*200)&gt;COUNTIFS(Processos!$X$10:$X$509,1),"",IF(INDEX(Processos!$Z$10:$Z$509,MATCH((ROW()-36+($J$35-1)*200),Processos!$AK$10:$AK$509,0))="","",INDEX(Processos!$Z$10:$Z$509,MATCH((ROW()-36+($J$35-1)*200),Processos!$AK$10:$AK$509,0))))</f>
        <v>46064</v>
      </c>
      <c r="F129" s="6" t="str">
        <f>IF((ROW()-36+($J$35-1)*200)&gt;COUNTIFS(Processos!$X$10:$X$509,1),"",IF(IF(INDEX(Processos!$Y$10:$Y$509,MATCH((ROW()-36+($J$35-1)*200),Processos!$AK$10:$AK$509,0))=1,"Sim","Não")="","",IF(INDEX(Processos!$Y$10:$Y$509,MATCH((ROW()-36+($J$35-1)*200),Processos!$AK$10:$AK$509,0))=1,"Sim","Não")))</f>
        <v>Não</v>
      </c>
      <c r="G129" s="6" t="str">
        <f>IF((ROW()-36+($J$35-1)*200)&gt;COUNTIFS(Processos!$X$10:$X$509,1),"",IF(INDEX(Processos!$D$10:$D$509,MATCH((ROW()-36+($J$35-1)*200),Processos!$AK$10:$AK$509,0))="","",INDEX(Processos!$D$10:$D$509,MATCH((ROW()-36+($J$35-1)*200),Processos!$AK$10:$AK$509,0))))</f>
        <v>BMM Advogados</v>
      </c>
    </row>
    <row r="130" spans="1:7" ht="72" customHeight="1">
      <c r="A130" s="7" t="str">
        <f>IF((ROW()-36+($J$35-1)*200)&gt;COUNTIFS(Processos!$X$10:$X$509,1),"",IF(INDEX(Processos!$A$10:$A$509,MATCH((ROW()-36+($J$35-1)*200),Processos!$AK$10:$AK$509,0))="","",INDEX(Processos!$A$10:$A$509,MATCH((ROW()-36+($J$35-1)*200),Processos!$AK$10:$AK$509,0))))</f>
        <v>1095925-23.2025.8.13.0024</v>
      </c>
      <c r="B130" s="6" t="str">
        <f>IF((ROW()-36+($J$35-1)*200)&gt;COUNTIFS(Processos!$X$10:$X$509,1),"",IF(INDEX(Processos!$C$10:$C$509,MATCH((ROW()-36+($J$35-1)*200),Processos!$AK$10:$AK$509,0))="","",INDEX(Processos!$C$10:$C$509,MATCH((ROW()-36+($J$35-1)*200),Processos!$AK$10:$AK$509,0))))</f>
        <v>Ativo</v>
      </c>
      <c r="C13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EMBARGANTE: ALTA ENGENHARIA × EMBARGADO: VIBRA ENERGIA S/A</v>
      </c>
      <c r="D130" s="10">
        <f>IF((ROW()-36+($J$35-1)*200)&gt;COUNTIFS(Processos!$X$10:$X$509,1),"",IF(INDEX(Processos!$AQ$10:$AQ$509,MATCH((ROW()-36+($J$35-1)*200),Processos!$AK$10:$AK$509,0))="","",INDEX(Processos!$AQ$10:$AQ$509,MATCH((ROW()-36+($J$35-1)*200),Processos!$AK$10:$AK$509,0))))</f>
        <v>10000</v>
      </c>
      <c r="E130" s="8">
        <f>IF((ROW()-36+($J$35-1)*200)&gt;COUNTIFS(Processos!$X$10:$X$509,1),"",IF(INDEX(Processos!$Z$10:$Z$509,MATCH((ROW()-36+($J$35-1)*200),Processos!$AK$10:$AK$509,0))="","",INDEX(Processos!$Z$10:$Z$509,MATCH((ROW()-36+($J$35-1)*200),Processos!$AK$10:$AK$509,0))))</f>
        <v>46064</v>
      </c>
      <c r="F130" s="6" t="str">
        <f>IF((ROW()-36+($J$35-1)*200)&gt;COUNTIFS(Processos!$X$10:$X$509,1),"",IF(IF(INDEX(Processos!$Y$10:$Y$509,MATCH((ROW()-36+($J$35-1)*200),Processos!$AK$10:$AK$509,0))=1,"Sim","Não")="","",IF(INDEX(Processos!$Y$10:$Y$509,MATCH((ROW()-36+($J$35-1)*200),Processos!$AK$10:$AK$509,0))=1,"Sim","Não")))</f>
        <v>Não</v>
      </c>
      <c r="G130" s="6" t="str">
        <f>IF((ROW()-36+($J$35-1)*200)&gt;COUNTIFS(Processos!$X$10:$X$509,1),"",IF(INDEX(Processos!$D$10:$D$509,MATCH((ROW()-36+($J$35-1)*200),Processos!$AK$10:$AK$509,0))="","",INDEX(Processos!$D$10:$D$509,MATCH((ROW()-36+($J$35-1)*200),Processos!$AK$10:$AK$509,0))))</f>
        <v>BMM Advogados</v>
      </c>
    </row>
    <row r="131" spans="1:7" ht="72" customHeight="1">
      <c r="A131" s="7" t="str">
        <f>IF((ROW()-36+($J$35-1)*200)&gt;COUNTIFS(Processos!$X$10:$X$509,1),"",IF(INDEX(Processos!$A$10:$A$509,MATCH((ROW()-36+($J$35-1)*200),Processos!$AK$10:$AK$509,0))="","",INDEX(Processos!$A$10:$A$509,MATCH((ROW()-36+($J$35-1)*200),Processos!$AK$10:$AK$509,0))))</f>
        <v>0000330-07.2025.5.10.0005</v>
      </c>
      <c r="B131" s="6" t="str">
        <f>IF((ROW()-36+($J$35-1)*200)&gt;COUNTIFS(Processos!$X$10:$X$509,1),"",IF(INDEX(Processos!$C$10:$C$509,MATCH((ROW()-36+($J$35-1)*200),Processos!$AK$10:$AK$509,0))="","",INDEX(Processos!$C$10:$C$509,MATCH((ROW()-36+($J$35-1)*200),Processos!$AK$10:$AK$509,0))))</f>
        <v>Ativo</v>
      </c>
      <c r="C13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MARIA TERESA SOARES MOREIRA E JOSÉ FONSECA FILHO × ALTA ENGENHARIA DE INFRAESTRUTURA LTDA. CESAR TRA [...]</v>
      </c>
      <c r="D131" s="10">
        <f>IF((ROW()-36+($J$35-1)*200)&gt;COUNTIFS(Processos!$X$10:$X$509,1),"",IF(INDEX(Processos!$AQ$10:$AQ$509,MATCH((ROW()-36+($J$35-1)*200),Processos!$AK$10:$AK$509,0))="","",INDEX(Processos!$AQ$10:$AQ$509,MATCH((ROW()-36+($J$35-1)*200),Processos!$AK$10:$AK$509,0))))</f>
        <v>350000</v>
      </c>
      <c r="E131" s="8">
        <f>IF((ROW()-36+($J$35-1)*200)&gt;COUNTIFS(Processos!$X$10:$X$509,1),"",IF(INDEX(Processos!$Z$10:$Z$509,MATCH((ROW()-36+($J$35-1)*200),Processos!$AK$10:$AK$509,0))="","",INDEX(Processos!$Z$10:$Z$509,MATCH((ROW()-36+($J$35-1)*200),Processos!$AK$10:$AK$509,0))))</f>
        <v>46286</v>
      </c>
      <c r="F131" s="6" t="str">
        <f>IF((ROW()-36+($J$35-1)*200)&gt;COUNTIFS(Processos!$X$10:$X$509,1),"",IF(IF(INDEX(Processos!$Y$10:$Y$509,MATCH((ROW()-36+($J$35-1)*200),Processos!$AK$10:$AK$509,0))=1,"Sim","Não")="","",IF(INDEX(Processos!$Y$10:$Y$509,MATCH((ROW()-36+($J$35-1)*200),Processos!$AK$10:$AK$509,0))=1,"Sim","Não")))</f>
        <v>Não</v>
      </c>
      <c r="G131" s="6" t="str">
        <f>IF((ROW()-36+($J$35-1)*200)&gt;COUNTIFS(Processos!$X$10:$X$509,1),"",IF(INDEX(Processos!$D$10:$D$509,MATCH((ROW()-36+($J$35-1)*200),Processos!$AK$10:$AK$509,0))="","",INDEX(Processos!$D$10:$D$509,MATCH((ROW()-36+($J$35-1)*200),Processos!$AK$10:$AK$509,0))))</f>
        <v>BMM Advogados</v>
      </c>
    </row>
    <row r="132" spans="1:7" ht="72" customHeight="1">
      <c r="A132" s="7" t="str">
        <f>IF((ROW()-36+($J$35-1)*200)&gt;COUNTIFS(Processos!$X$10:$X$509,1),"",IF(INDEX(Processos!$A$10:$A$509,MATCH((ROW()-36+($J$35-1)*200),Processos!$AK$10:$AK$509,0))="","",INDEX(Processos!$A$10:$A$509,MATCH((ROW()-36+($J$35-1)*200),Processos!$AK$10:$AK$509,0))))</f>
        <v>0001127-22.2025.5.18.0211</v>
      </c>
      <c r="B132" s="6" t="str">
        <f>IF((ROW()-36+($J$35-1)*200)&gt;COUNTIFS(Processos!$X$10:$X$509,1),"",IF(INDEX(Processos!$C$10:$C$509,MATCH((ROW()-36+($J$35-1)*200),Processos!$AK$10:$AK$509,0))="","",INDEX(Processos!$C$10:$C$509,MATCH((ROW()-36+($J$35-1)*200),Processos!$AK$10:$AK$509,0))))</f>
        <v>Encerrado</v>
      </c>
      <c r="C13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AILTON ALVES DE SOUZA E ANA CLAUDIA ALVES DE SOUZA × BK INFRAESTRUTURA LTDA, PAVIEGE ENGENHARIA LTDA [...]</v>
      </c>
      <c r="D132" s="10">
        <f>IF((ROW()-36+($J$35-1)*200)&gt;COUNTIFS(Processos!$X$10:$X$509,1),"",IF(INDEX(Processos!$AQ$10:$AQ$509,MATCH((ROW()-36+($J$35-1)*200),Processos!$AK$10:$AK$509,0))="","",INDEX(Processos!$AQ$10:$AQ$509,MATCH((ROW()-36+($J$35-1)*200),Processos!$AK$10:$AK$509,0))))</f>
        <v>295800</v>
      </c>
      <c r="E132" s="8" t="str">
        <f>IF((ROW()-36+($J$35-1)*200)&gt;COUNTIFS(Processos!$X$10:$X$509,1),"",IF(INDEX(Processos!$Z$10:$Z$509,MATCH((ROW()-36+($J$35-1)*200),Processos!$AK$10:$AK$509,0))="","",INDEX(Processos!$Z$10:$Z$509,MATCH((ROW()-36+($J$35-1)*200),Processos!$AK$10:$AK$509,0))))</f>
        <v/>
      </c>
      <c r="F132" s="6" t="str">
        <f>IF((ROW()-36+($J$35-1)*200)&gt;COUNTIFS(Processos!$X$10:$X$509,1),"",IF(IF(INDEX(Processos!$Y$10:$Y$509,MATCH((ROW()-36+($J$35-1)*200),Processos!$AK$10:$AK$509,0))=1,"Sim","Não")="","",IF(INDEX(Processos!$Y$10:$Y$509,MATCH((ROW()-36+($J$35-1)*200),Processos!$AK$10:$AK$509,0))=1,"Sim","Não")))</f>
        <v>Não</v>
      </c>
      <c r="G132" s="6" t="str">
        <f>IF((ROW()-36+($J$35-1)*200)&gt;COUNTIFS(Processos!$X$10:$X$509,1),"",IF(INDEX(Processos!$D$10:$D$509,MATCH((ROW()-36+($J$35-1)*200),Processos!$AK$10:$AK$509,0))="","",INDEX(Processos!$D$10:$D$509,MATCH((ROW()-36+($J$35-1)*200),Processos!$AK$10:$AK$509,0))))</f>
        <v>BMM Advogados</v>
      </c>
    </row>
    <row r="133" spans="1:7" ht="72" customHeight="1">
      <c r="A133" s="7" t="str">
        <f>IF((ROW()-36+($J$35-1)*200)&gt;COUNTIFS(Processos!$X$10:$X$509,1),"",IF(INDEX(Processos!$A$10:$A$509,MATCH((ROW()-36+($J$35-1)*200),Processos!$AK$10:$AK$509,0))="","",INDEX(Processos!$A$10:$A$509,MATCH((ROW()-36+($J$35-1)*200),Processos!$AK$10:$AK$509,0))))</f>
        <v>0001128-07.2025.5.18.0211</v>
      </c>
      <c r="B133" s="6" t="str">
        <f>IF((ROW()-36+($J$35-1)*200)&gt;COUNTIFS(Processos!$X$10:$X$509,1),"",IF(INDEX(Processos!$C$10:$C$509,MATCH((ROW()-36+($J$35-1)*200),Processos!$AK$10:$AK$509,0))="","",INDEX(Processos!$C$10:$C$509,MATCH((ROW()-36+($J$35-1)*200),Processos!$AK$10:$AK$509,0))))</f>
        <v>Encerrado</v>
      </c>
      <c r="C13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ALESSANDRA MAGALHÃES DO PRAZO MARIA EDUARDA SOUZA MAGALHÃES  ANTÔNIO NETO SOUZA MAGALHÃES × BK INFRA [...]</v>
      </c>
      <c r="D133" s="10">
        <f>IF((ROW()-36+($J$35-1)*200)&gt;COUNTIFS(Processos!$X$10:$X$509,1),"",IF(INDEX(Processos!$AQ$10:$AQ$509,MATCH((ROW()-36+($J$35-1)*200),Processos!$AK$10:$AK$509,0))="","",INDEX(Processos!$AQ$10:$AQ$509,MATCH((ROW()-36+($J$35-1)*200),Processos!$AK$10:$AK$509,0))))</f>
        <v>360876</v>
      </c>
      <c r="E133" s="8">
        <f>IF((ROW()-36+($J$35-1)*200)&gt;COUNTIFS(Processos!$X$10:$X$509,1),"",IF(INDEX(Processos!$Z$10:$Z$509,MATCH((ROW()-36+($J$35-1)*200),Processos!$AK$10:$AK$509,0))="","",INDEX(Processos!$Z$10:$Z$509,MATCH((ROW()-36+($J$35-1)*200),Processos!$AK$10:$AK$509,0))))</f>
        <v>46064</v>
      </c>
      <c r="F133" s="6" t="str">
        <f>IF((ROW()-36+($J$35-1)*200)&gt;COUNTIFS(Processos!$X$10:$X$509,1),"",IF(IF(INDEX(Processos!$Y$10:$Y$509,MATCH((ROW()-36+($J$35-1)*200),Processos!$AK$10:$AK$509,0))=1,"Sim","Não")="","",IF(INDEX(Processos!$Y$10:$Y$509,MATCH((ROW()-36+($J$35-1)*200),Processos!$AK$10:$AK$509,0))=1,"Sim","Não")))</f>
        <v>Não</v>
      </c>
      <c r="G133" s="6" t="str">
        <f>IF((ROW()-36+($J$35-1)*200)&gt;COUNTIFS(Processos!$X$10:$X$509,1),"",IF(INDEX(Processos!$D$10:$D$509,MATCH((ROW()-36+($J$35-1)*200),Processos!$AK$10:$AK$509,0))="","",INDEX(Processos!$D$10:$D$509,MATCH((ROW()-36+($J$35-1)*200),Processos!$AK$10:$AK$509,0))))</f>
        <v>BMM Advogados</v>
      </c>
    </row>
    <row r="134" spans="1:7" ht="72" customHeight="1">
      <c r="A134" s="7" t="str">
        <f>IF((ROW()-36+($J$35-1)*200)&gt;COUNTIFS(Processos!$X$10:$X$509,1),"",IF(INDEX(Processos!$A$10:$A$509,MATCH((ROW()-36+($J$35-1)*200),Processos!$AK$10:$AK$509,0))="","",INDEX(Processos!$A$10:$A$509,MATCH((ROW()-36+($J$35-1)*200),Processos!$AK$10:$AK$509,0))))</f>
        <v>0010890-77.2018.5.18.0054</v>
      </c>
      <c r="B134" s="6" t="str">
        <f>IF((ROW()-36+($J$35-1)*200)&gt;COUNTIFS(Processos!$X$10:$X$509,1),"",IF(INDEX(Processos!$C$10:$C$509,MATCH((ROW()-36+($J$35-1)*200),Processos!$AK$10:$AK$509,0))="","",INDEX(Processos!$C$10:$C$509,MATCH((ROW()-36+($J$35-1)*200),Processos!$AK$10:$AK$509,0))))</f>
        <v>Arquivado</v>
      </c>
      <c r="C13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GENIVALDO RODRIGUES NEDINO × BK INFRAESTRUTURA LTDA EM RECUPRAÇÃO JUDICIAL, JOAO SILVA FILHO, QUANTU [...]</v>
      </c>
      <c r="D134" s="10">
        <f>IF((ROW()-36+($J$35-1)*200)&gt;COUNTIFS(Processos!$X$10:$X$509,1),"",IF(INDEX(Processos!$AQ$10:$AQ$509,MATCH((ROW()-36+($J$35-1)*200),Processos!$AK$10:$AK$509,0))="","",INDEX(Processos!$AQ$10:$AQ$509,MATCH((ROW()-36+($J$35-1)*200),Processos!$AK$10:$AK$509,0))))</f>
        <v>12952.93</v>
      </c>
      <c r="E134" s="8">
        <f>IF((ROW()-36+($J$35-1)*200)&gt;COUNTIFS(Processos!$X$10:$X$509,1),"",IF(INDEX(Processos!$Z$10:$Z$509,MATCH((ROW()-36+($J$35-1)*200),Processos!$AK$10:$AK$509,0))="","",INDEX(Processos!$Z$10:$Z$509,MATCH((ROW()-36+($J$35-1)*200),Processos!$AK$10:$AK$509,0))))</f>
        <v>46084</v>
      </c>
      <c r="F134" s="6" t="str">
        <f>IF((ROW()-36+($J$35-1)*200)&gt;COUNTIFS(Processos!$X$10:$X$509,1),"",IF(IF(INDEX(Processos!$Y$10:$Y$509,MATCH((ROW()-36+($J$35-1)*200),Processos!$AK$10:$AK$509,0))=1,"Sim","Não")="","",IF(INDEX(Processos!$Y$10:$Y$509,MATCH((ROW()-36+($J$35-1)*200),Processos!$AK$10:$AK$509,0))=1,"Sim","Não")))</f>
        <v>Não</v>
      </c>
      <c r="G134" s="6" t="str">
        <f>IF((ROW()-36+($J$35-1)*200)&gt;COUNTIFS(Processos!$X$10:$X$509,1),"",IF(INDEX(Processos!$D$10:$D$509,MATCH((ROW()-36+($J$35-1)*200),Processos!$AK$10:$AK$509,0))="","",INDEX(Processos!$D$10:$D$509,MATCH((ROW()-36+($J$35-1)*200),Processos!$AK$10:$AK$509,0))))</f>
        <v>BMM Advogados</v>
      </c>
    </row>
    <row r="135" spans="1:7" ht="72" customHeight="1">
      <c r="A135" s="7" t="str">
        <f>IF((ROW()-36+($J$35-1)*200)&gt;COUNTIFS(Processos!$X$10:$X$509,1),"",IF(INDEX(Processos!$A$10:$A$509,MATCH((ROW()-36+($J$35-1)*200),Processos!$AK$10:$AK$509,0))="","",INDEX(Processos!$A$10:$A$509,MATCH((ROW()-36+($J$35-1)*200),Processos!$AK$10:$AK$509,0))))</f>
        <v>0010008-81.2019.5.18.0054</v>
      </c>
      <c r="B135" s="6" t="str">
        <f>IF((ROW()-36+($J$35-1)*200)&gt;COUNTIFS(Processos!$X$10:$X$509,1),"",IF(INDEX(Processos!$C$10:$C$509,MATCH((ROW()-36+($J$35-1)*200),Processos!$AK$10:$AK$509,0))="","",INDEX(Processos!$C$10:$C$509,MATCH((ROW()-36+($J$35-1)*200),Processos!$AK$10:$AK$509,0))))</f>
        <v>Arquivado</v>
      </c>
      <c r="C13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VILMAR ALVES DOS SANTOS × BK INFRAESTRUTURA LTDA EM RECUPRAÇÃO JUDICIAL, JOAO SILVA FILHO, QUANTUM I [...]</v>
      </c>
      <c r="D135" s="10">
        <f>IF((ROW()-36+($J$35-1)*200)&gt;COUNTIFS(Processos!$X$10:$X$509,1),"",IF(INDEX(Processos!$AQ$10:$AQ$509,MATCH((ROW()-36+($J$35-1)*200),Processos!$AK$10:$AK$509,0))="","",INDEX(Processos!$AQ$10:$AQ$509,MATCH((ROW()-36+($J$35-1)*200),Processos!$AK$10:$AK$509,0))))</f>
        <v>24889.15</v>
      </c>
      <c r="E135" s="8">
        <f>IF((ROW()-36+($J$35-1)*200)&gt;COUNTIFS(Processos!$X$10:$X$509,1),"",IF(INDEX(Processos!$Z$10:$Z$509,MATCH((ROW()-36+($J$35-1)*200),Processos!$AK$10:$AK$509,0))="","",INDEX(Processos!$Z$10:$Z$509,MATCH((ROW()-36+($J$35-1)*200),Processos!$AK$10:$AK$509,0))))</f>
        <v>46072</v>
      </c>
      <c r="F135" s="6" t="str">
        <f>IF((ROW()-36+($J$35-1)*200)&gt;COUNTIFS(Processos!$X$10:$X$509,1),"",IF(IF(INDEX(Processos!$Y$10:$Y$509,MATCH((ROW()-36+($J$35-1)*200),Processos!$AK$10:$AK$509,0))=1,"Sim","Não")="","",IF(INDEX(Processos!$Y$10:$Y$509,MATCH((ROW()-36+($J$35-1)*200),Processos!$AK$10:$AK$509,0))=1,"Sim","Não")))</f>
        <v>Não</v>
      </c>
      <c r="G135" s="6" t="str">
        <f>IF((ROW()-36+($J$35-1)*200)&gt;COUNTIFS(Processos!$X$10:$X$509,1),"",IF(INDEX(Processos!$D$10:$D$509,MATCH((ROW()-36+($J$35-1)*200),Processos!$AK$10:$AK$509,0))="","",INDEX(Processos!$D$10:$D$509,MATCH((ROW()-36+($J$35-1)*200),Processos!$AK$10:$AK$509,0))))</f>
        <v>BMM Advogados</v>
      </c>
    </row>
    <row r="136" spans="1:7" ht="72" customHeight="1">
      <c r="A136" s="7" t="str">
        <f>IF((ROW()-36+($J$35-1)*200)&gt;COUNTIFS(Processos!$X$10:$X$509,1),"",IF(INDEX(Processos!$A$10:$A$509,MATCH((ROW()-36+($J$35-1)*200),Processos!$AK$10:$AK$509,0))="","",INDEX(Processos!$A$10:$A$509,MATCH((ROW()-36+($J$35-1)*200),Processos!$AK$10:$AK$509,0))))</f>
        <v>0010009-66.2019.5.18.0054</v>
      </c>
      <c r="B136" s="6" t="str">
        <f>IF((ROW()-36+($J$35-1)*200)&gt;COUNTIFS(Processos!$X$10:$X$509,1),"",IF(INDEX(Processos!$C$10:$C$509,MATCH((ROW()-36+($J$35-1)*200),Processos!$AK$10:$AK$509,0))="","",INDEX(Processos!$C$10:$C$509,MATCH((ROW()-36+($J$35-1)*200),Processos!$AK$10:$AK$509,0))))</f>
        <v>Ativo</v>
      </c>
      <c r="C13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WILAMIS CALIXTO DOS SANTOS × BK INFRAESTRUTURA LTDA EM RECUPRAÇÃO JUDICIAL, JOAO SILVA FILHO, QUANTU [...]</v>
      </c>
      <c r="D136" s="10">
        <f>IF((ROW()-36+($J$35-1)*200)&gt;COUNTIFS(Processos!$X$10:$X$509,1),"",IF(INDEX(Processos!$AQ$10:$AQ$509,MATCH((ROW()-36+($J$35-1)*200),Processos!$AK$10:$AK$509,0))="","",INDEX(Processos!$AQ$10:$AQ$509,MATCH((ROW()-36+($J$35-1)*200),Processos!$AK$10:$AK$509,0))))</f>
        <v>33486.449999999997</v>
      </c>
      <c r="E136" s="8">
        <f>IF((ROW()-36+($J$35-1)*200)&gt;COUNTIFS(Processos!$X$10:$X$509,1),"",IF(INDEX(Processos!$Z$10:$Z$509,MATCH((ROW()-36+($J$35-1)*200),Processos!$AK$10:$AK$509,0))="","",INDEX(Processos!$Z$10:$Z$509,MATCH((ROW()-36+($J$35-1)*200),Processos!$AK$10:$AK$509,0))))</f>
        <v>46073</v>
      </c>
      <c r="F136" s="6" t="str">
        <f>IF((ROW()-36+($J$35-1)*200)&gt;COUNTIFS(Processos!$X$10:$X$509,1),"",IF(IF(INDEX(Processos!$Y$10:$Y$509,MATCH((ROW()-36+($J$35-1)*200),Processos!$AK$10:$AK$509,0))=1,"Sim","Não")="","",IF(INDEX(Processos!$Y$10:$Y$509,MATCH((ROW()-36+($J$35-1)*200),Processos!$AK$10:$AK$509,0))=1,"Sim","Não")))</f>
        <v>Não</v>
      </c>
      <c r="G136" s="6" t="str">
        <f>IF((ROW()-36+($J$35-1)*200)&gt;COUNTIFS(Processos!$X$10:$X$509,1),"",IF(INDEX(Processos!$D$10:$D$509,MATCH((ROW()-36+($J$35-1)*200),Processos!$AK$10:$AK$509,0))="","",INDEX(Processos!$D$10:$D$509,MATCH((ROW()-36+($J$35-1)*200),Processos!$AK$10:$AK$509,0))))</f>
        <v>BMM Advogados</v>
      </c>
    </row>
    <row r="137" spans="1:7" ht="72" customHeight="1">
      <c r="A137" s="7" t="str">
        <f>IF((ROW()-36+($J$35-1)*200)&gt;COUNTIFS(Processos!$X$10:$X$509,1),"",IF(INDEX(Processos!$A$10:$A$509,MATCH((ROW()-36+($J$35-1)*200),Processos!$AK$10:$AK$509,0))="","",INDEX(Processos!$A$10:$A$509,MATCH((ROW()-36+($J$35-1)*200),Processos!$AK$10:$AK$509,0))))</f>
        <v>0002951-37.2019.8.27.2729</v>
      </c>
      <c r="B137" s="6" t="str">
        <f>IF((ROW()-36+($J$35-1)*200)&gt;COUNTIFS(Processos!$X$10:$X$509,1),"",IF(INDEX(Processos!$C$10:$C$509,MATCH((ROW()-36+($J$35-1)*200),Processos!$AK$10:$AK$509,0))="","",INDEX(Processos!$C$10:$C$509,MATCH((ROW()-36+($J$35-1)*200),Processos!$AK$10:$AK$509,0))))</f>
        <v>Ativo</v>
      </c>
      <c r="C13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HELDER MAJELLA NOGUEIRA E MARIA LUCIA PASSOS NOGUEIRA × LEONDARDO VERAS DICHOFF</v>
      </c>
      <c r="D137" s="10">
        <f>IF((ROW()-36+($J$35-1)*200)&gt;COUNTIFS(Processos!$X$10:$X$509,1),"",IF(INDEX(Processos!$AQ$10:$AQ$509,MATCH((ROW()-36+($J$35-1)*200),Processos!$AK$10:$AK$509,0))="","",INDEX(Processos!$AQ$10:$AQ$509,MATCH((ROW()-36+($J$35-1)*200),Processos!$AK$10:$AK$509,0))))</f>
        <v>171753.38</v>
      </c>
      <c r="E137" s="8">
        <f>IF((ROW()-36+($J$35-1)*200)&gt;COUNTIFS(Processos!$X$10:$X$509,1),"",IF(INDEX(Processos!$Z$10:$Z$509,MATCH((ROW()-36+($J$35-1)*200),Processos!$AK$10:$AK$509,0))="","",INDEX(Processos!$Z$10:$Z$509,MATCH((ROW()-36+($J$35-1)*200),Processos!$AK$10:$AK$509,0))))</f>
        <v>46072</v>
      </c>
      <c r="F137" s="6" t="str">
        <f>IF((ROW()-36+($J$35-1)*200)&gt;COUNTIFS(Processos!$X$10:$X$509,1),"",IF(IF(INDEX(Processos!$Y$10:$Y$509,MATCH((ROW()-36+($J$35-1)*200),Processos!$AK$10:$AK$509,0))=1,"Sim","Não")="","",IF(INDEX(Processos!$Y$10:$Y$509,MATCH((ROW()-36+($J$35-1)*200),Processos!$AK$10:$AK$509,0))=1,"Sim","Não")))</f>
        <v>Não</v>
      </c>
      <c r="G137" s="6" t="str">
        <f>IF((ROW()-36+($J$35-1)*200)&gt;COUNTIFS(Processos!$X$10:$X$509,1),"",IF(INDEX(Processos!$D$10:$D$509,MATCH((ROW()-36+($J$35-1)*200),Processos!$AK$10:$AK$509,0))="","",INDEX(Processos!$D$10:$D$509,MATCH((ROW()-36+($J$35-1)*200),Processos!$AK$10:$AK$509,0))))</f>
        <v>BMM Advogados</v>
      </c>
    </row>
    <row r="138" spans="1:7" ht="72" customHeight="1">
      <c r="A138" s="7" t="str">
        <f>IF((ROW()-36+($J$35-1)*200)&gt;COUNTIFS(Processos!$X$10:$X$509,1),"",IF(INDEX(Processos!$A$10:$A$509,MATCH((ROW()-36+($J$35-1)*200),Processos!$AK$10:$AK$509,0))="","",INDEX(Processos!$A$10:$A$509,MATCH((ROW()-36+($J$35-1)*200),Processos!$AK$10:$AK$509,0))))</f>
        <v>5239168-56.2026.8.09.0145 [BMM-102]</v>
      </c>
      <c r="B138" s="6" t="str">
        <f>IF((ROW()-36+($J$35-1)*200)&gt;COUNTIFS(Processos!$X$10:$X$509,1),"",IF(INDEX(Processos!$C$10:$C$509,MATCH((ROW()-36+($J$35-1)*200),Processos!$AK$10:$AK$509,0))="","",INDEX(Processos!$C$10:$C$509,MATCH((ROW()-36+($J$35-1)*200),Processos!$AK$10:$AK$509,0))))</f>
        <v>Ativo</v>
      </c>
      <c r="C13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CAVA ENGENHARIA DE INFRAESTRUTURA LTDA E ALTA ENGENHARIA DE INFRAESTRUTURA LTDA × CHARLES SHIN ITI K [...]</v>
      </c>
      <c r="D138" s="10">
        <f>IF((ROW()-36+($J$35-1)*200)&gt;COUNTIFS(Processos!$X$10:$X$509,1),"",IF(INDEX(Processos!$AQ$10:$AQ$509,MATCH((ROW()-36+($J$35-1)*200),Processos!$AK$10:$AK$509,0))="","",INDEX(Processos!$AQ$10:$AQ$509,MATCH((ROW()-36+($J$35-1)*200),Processos!$AK$10:$AK$509,0))))</f>
        <v>141556.26</v>
      </c>
      <c r="E138" s="8">
        <f>IF((ROW()-36+($J$35-1)*200)&gt;COUNTIFS(Processos!$X$10:$X$509,1),"",IF(INDEX(Processos!$Z$10:$Z$509,MATCH((ROW()-36+($J$35-1)*200),Processos!$AK$10:$AK$509,0))="","",INDEX(Processos!$Z$10:$Z$509,MATCH((ROW()-36+($J$35-1)*200),Processos!$AK$10:$AK$509,0))))</f>
        <v>46273</v>
      </c>
      <c r="F138" s="6" t="str">
        <f>IF((ROW()-36+($J$35-1)*200)&gt;COUNTIFS(Processos!$X$10:$X$509,1),"",IF(IF(INDEX(Processos!$Y$10:$Y$509,MATCH((ROW()-36+($J$35-1)*200),Processos!$AK$10:$AK$509,0))=1,"Sim","Não")="","",IF(INDEX(Processos!$Y$10:$Y$509,MATCH((ROW()-36+($J$35-1)*200),Processos!$AK$10:$AK$509,0))=1,"Sim","Não")))</f>
        <v>Não</v>
      </c>
      <c r="G138" s="6" t="str">
        <f>IF((ROW()-36+($J$35-1)*200)&gt;COUNTIFS(Processos!$X$10:$X$509,1),"",IF(INDEX(Processos!$D$10:$D$509,MATCH((ROW()-36+($J$35-1)*200),Processos!$AK$10:$AK$509,0))="","",INDEX(Processos!$D$10:$D$509,MATCH((ROW()-36+($J$35-1)*200),Processos!$AK$10:$AK$509,0))))</f>
        <v>BMM Advogados</v>
      </c>
    </row>
    <row r="139" spans="1:7" ht="72" customHeight="1">
      <c r="A139" s="7" t="str">
        <f>IF((ROW()-36+($J$35-1)*200)&gt;COUNTIFS(Processos!$X$10:$X$509,1),"",IF(INDEX(Processos!$A$10:$A$509,MATCH((ROW()-36+($J$35-1)*200),Processos!$AK$10:$AK$509,0))="","",INDEX(Processos!$A$10:$A$509,MATCH((ROW()-36+($J$35-1)*200),Processos!$AK$10:$AK$509,0))))</f>
        <v>5049644-08.2019.8.09.0138</v>
      </c>
      <c r="B139" s="6" t="str">
        <f>IF((ROW()-36+($J$35-1)*200)&gt;COUNTIFS(Processos!$X$10:$X$509,1),"",IF(INDEX(Processos!$C$10:$C$509,MATCH((ROW()-36+($J$35-1)*200),Processos!$AK$10:$AK$509,0))="","",INDEX(Processos!$C$10:$C$509,MATCH((ROW()-36+($J$35-1)*200),Processos!$AK$10:$AK$509,0))))</f>
        <v>Ativo</v>
      </c>
      <c r="C13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PREFEITURA MUNICIPAL DE RIO VERDE × CONSORCIO GA 060. MPB SANEAMENTO LTDA. ALTA ENGENHARIA DE INFRAE [...]</v>
      </c>
      <c r="D139" s="10">
        <f>IF((ROW()-36+($J$35-1)*200)&gt;COUNTIFS(Processos!$X$10:$X$509,1),"",IF(INDEX(Processos!$AQ$10:$AQ$509,MATCH((ROW()-36+($J$35-1)*200),Processos!$AK$10:$AK$509,0))="","",INDEX(Processos!$AQ$10:$AQ$509,MATCH((ROW()-36+($J$35-1)*200),Processos!$AK$10:$AK$509,0))))</f>
        <v>1939.12</v>
      </c>
      <c r="E139" s="8">
        <f>IF((ROW()-36+($J$35-1)*200)&gt;COUNTIFS(Processos!$X$10:$X$509,1),"",IF(INDEX(Processos!$Z$10:$Z$509,MATCH((ROW()-36+($J$35-1)*200),Processos!$AK$10:$AK$509,0))="","",INDEX(Processos!$Z$10:$Z$509,MATCH((ROW()-36+($J$35-1)*200),Processos!$AK$10:$AK$509,0))))</f>
        <v>46126</v>
      </c>
      <c r="F139" s="6" t="str">
        <f>IF((ROW()-36+($J$35-1)*200)&gt;COUNTIFS(Processos!$X$10:$X$509,1),"",IF(IF(INDEX(Processos!$Y$10:$Y$509,MATCH((ROW()-36+($J$35-1)*200),Processos!$AK$10:$AK$509,0))=1,"Sim","Não")="","",IF(INDEX(Processos!$Y$10:$Y$509,MATCH((ROW()-36+($J$35-1)*200),Processos!$AK$10:$AK$509,0))=1,"Sim","Não")))</f>
        <v>Não</v>
      </c>
      <c r="G139" s="6" t="str">
        <f>IF((ROW()-36+($J$35-1)*200)&gt;COUNTIFS(Processos!$X$10:$X$509,1),"",IF(INDEX(Processos!$D$10:$D$509,MATCH((ROW()-36+($J$35-1)*200),Processos!$AK$10:$AK$509,0))="","",INDEX(Processos!$D$10:$D$509,MATCH((ROW()-36+($J$35-1)*200),Processos!$AK$10:$AK$509,0))))</f>
        <v>BMM Advogados</v>
      </c>
    </row>
    <row r="140" spans="1:7" ht="72" customHeight="1">
      <c r="A140" s="7" t="str">
        <f>IF((ROW()-36+($J$35-1)*200)&gt;COUNTIFS(Processos!$X$10:$X$509,1),"",IF(INDEX(Processos!$A$10:$A$509,MATCH((ROW()-36+($J$35-1)*200),Processos!$AK$10:$AK$509,0))="","",INDEX(Processos!$A$10:$A$509,MATCH((ROW()-36+($J$35-1)*200),Processos!$AK$10:$AK$509,0))))</f>
        <v>0011074-81.2024.5.03.0008 [BMM-104]</v>
      </c>
      <c r="B140" s="6" t="str">
        <f>IF((ROW()-36+($J$35-1)*200)&gt;COUNTIFS(Processos!$X$10:$X$509,1),"",IF(INDEX(Processos!$C$10:$C$509,MATCH((ROW()-36+($J$35-1)*200),Processos!$AK$10:$AK$509,0))="","",INDEX(Processos!$C$10:$C$509,MATCH((ROW()-36+($J$35-1)*200),Processos!$AK$10:$AK$509,0))))</f>
        <v>Ativo</v>
      </c>
      <c r="C14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ALDEIR PEREIRA × ADAPTA GESTAO PARTICIPACOES LTDA ATTUS PARTICIPACOES S.A. FLAVIA VIANA NICACIO OLIV [...]</v>
      </c>
      <c r="D140" s="10">
        <f>IF((ROW()-36+($J$35-1)*200)&gt;COUNTIFS(Processos!$X$10:$X$509,1),"",IF(INDEX(Processos!$AQ$10:$AQ$509,MATCH((ROW()-36+($J$35-1)*200),Processos!$AK$10:$AK$509,0))="","",INDEX(Processos!$AQ$10:$AQ$509,MATCH((ROW()-36+($J$35-1)*200),Processos!$AK$10:$AK$509,0))))</f>
        <v>68004.679999999993</v>
      </c>
      <c r="E140" s="8">
        <f>IF((ROW()-36+($J$35-1)*200)&gt;COUNTIFS(Processos!$X$10:$X$509,1),"",IF(INDEX(Processos!$Z$10:$Z$509,MATCH((ROW()-36+($J$35-1)*200),Processos!$AK$10:$AK$509,0))="","",INDEX(Processos!$Z$10:$Z$509,MATCH((ROW()-36+($J$35-1)*200),Processos!$AK$10:$AK$509,0))))</f>
        <v>46135</v>
      </c>
      <c r="F140" s="6" t="str">
        <f>IF((ROW()-36+($J$35-1)*200)&gt;COUNTIFS(Processos!$X$10:$X$509,1),"",IF(IF(INDEX(Processos!$Y$10:$Y$509,MATCH((ROW()-36+($J$35-1)*200),Processos!$AK$10:$AK$509,0))=1,"Sim","Não")="","",IF(INDEX(Processos!$Y$10:$Y$509,MATCH((ROW()-36+($J$35-1)*200),Processos!$AK$10:$AK$509,0))=1,"Sim","Não")))</f>
        <v>Não</v>
      </c>
      <c r="G140" s="6" t="str">
        <f>IF((ROW()-36+($J$35-1)*200)&gt;COUNTIFS(Processos!$X$10:$X$509,1),"",IF(INDEX(Processos!$D$10:$D$509,MATCH((ROW()-36+($J$35-1)*200),Processos!$AK$10:$AK$509,0))="","",INDEX(Processos!$D$10:$D$509,MATCH((ROW()-36+($J$35-1)*200),Processos!$AK$10:$AK$509,0))))</f>
        <v>BMM Advogados</v>
      </c>
    </row>
    <row r="141" spans="1:7" ht="72" customHeight="1">
      <c r="A141" s="7" t="str">
        <f>IF((ROW()-36+($J$35-1)*200)&gt;COUNTIFS(Processos!$X$10:$X$509,1),"",IF(INDEX(Processos!$A$10:$A$509,MATCH((ROW()-36+($J$35-1)*200),Processos!$AK$10:$AK$509,0))="","",INDEX(Processos!$A$10:$A$509,MATCH((ROW()-36+($J$35-1)*200),Processos!$AK$10:$AK$509,0))))</f>
        <v>5239168-56.2026.8.09.0145 [BMM-105]</v>
      </c>
      <c r="B141" s="6" t="str">
        <f>IF((ROW()-36+($J$35-1)*200)&gt;COUNTIFS(Processos!$X$10:$X$509,1),"",IF(INDEX(Processos!$C$10:$C$509,MATCH((ROW()-36+($J$35-1)*200),Processos!$AK$10:$AK$509,0))="","",INDEX(Processos!$C$10:$C$509,MATCH((ROW()-36+($J$35-1)*200),Processos!$AK$10:$AK$509,0))))</f>
        <v>Ativo</v>
      </c>
      <c r="C14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Csk Locacao De Maquinas E Equipamentos Ltda × Cava Engenharia De Infraestrutura Ltda</v>
      </c>
      <c r="D141" s="10" t="str">
        <f>IF((ROW()-36+($J$35-1)*200)&gt;COUNTIFS(Processos!$X$10:$X$509,1),"",IF(INDEX(Processos!$AQ$10:$AQ$509,MATCH((ROW()-36+($J$35-1)*200),Processos!$AK$10:$AK$509,0))="","",INDEX(Processos!$AQ$10:$AQ$509,MATCH((ROW()-36+($J$35-1)*200),Processos!$AK$10:$AK$509,0))))</f>
        <v/>
      </c>
      <c r="E141" s="8">
        <f>IF((ROW()-36+($J$35-1)*200)&gt;COUNTIFS(Processos!$X$10:$X$509,1),"",IF(INDEX(Processos!$Z$10:$Z$509,MATCH((ROW()-36+($J$35-1)*200),Processos!$AK$10:$AK$509,0))="","",INDEX(Processos!$Z$10:$Z$509,MATCH((ROW()-36+($J$35-1)*200),Processos!$AK$10:$AK$509,0))))</f>
        <v>46286</v>
      </c>
      <c r="F141" s="6" t="str">
        <f>IF((ROW()-36+($J$35-1)*200)&gt;COUNTIFS(Processos!$X$10:$X$509,1),"",IF(IF(INDEX(Processos!$Y$10:$Y$509,MATCH((ROW()-36+($J$35-1)*200),Processos!$AK$10:$AK$509,0))=1,"Sim","Não")="","",IF(INDEX(Processos!$Y$10:$Y$509,MATCH((ROW()-36+($J$35-1)*200),Processos!$AK$10:$AK$509,0))=1,"Sim","Não")))</f>
        <v>Não</v>
      </c>
      <c r="G141" s="6" t="str">
        <f>IF((ROW()-36+($J$35-1)*200)&gt;COUNTIFS(Processos!$X$10:$X$509,1),"",IF(INDEX(Processos!$D$10:$D$509,MATCH((ROW()-36+($J$35-1)*200),Processos!$AK$10:$AK$509,0))="","",INDEX(Processos!$D$10:$D$509,MATCH((ROW()-36+($J$35-1)*200),Processos!$AK$10:$AK$509,0))))</f>
        <v>BMM Advogados</v>
      </c>
    </row>
    <row r="142" spans="1:7" ht="72" customHeight="1">
      <c r="A142" s="7" t="str">
        <f>IF((ROW()-36+($J$35-1)*200)&gt;COUNTIFS(Processos!$X$10:$X$509,1),"",IF(INDEX(Processos!$A$10:$A$509,MATCH((ROW()-36+($J$35-1)*200),Processos!$AK$10:$AK$509,0))="","",INDEX(Processos!$A$10:$A$509,MATCH((ROW()-36+($J$35-1)*200),Processos!$AK$10:$AK$509,0))))</f>
        <v>50606.002121/2021-88</v>
      </c>
      <c r="B142" s="6" t="str">
        <f>IF((ROW()-36+($J$35-1)*200)&gt;COUNTIFS(Processos!$X$10:$X$509,1),"",IF(INDEX(Processos!$C$10:$C$509,MATCH((ROW()-36+($J$35-1)*200),Processos!$AK$10:$AK$509,0))="","",INDEX(Processos!$C$10:$C$509,MATCH((ROW()-36+($J$35-1)*200),Processos!$AK$10:$AK$509,0))))</f>
        <v>Arquivado</v>
      </c>
      <c r="C14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DNIT/MG × ALTA</v>
      </c>
      <c r="D142" s="10" t="str">
        <f>IF((ROW()-36+($J$35-1)*200)&gt;COUNTIFS(Processos!$X$10:$X$509,1),"",IF(INDEX(Processos!$AQ$10:$AQ$509,MATCH((ROW()-36+($J$35-1)*200),Processos!$AK$10:$AK$509,0))="","",INDEX(Processos!$AQ$10:$AQ$509,MATCH((ROW()-36+($J$35-1)*200),Processos!$AK$10:$AK$509,0))))</f>
        <v/>
      </c>
      <c r="E142" s="8">
        <f>IF((ROW()-36+($J$35-1)*200)&gt;COUNTIFS(Processos!$X$10:$X$509,1),"",IF(INDEX(Processos!$Z$10:$Z$509,MATCH((ROW()-36+($J$35-1)*200),Processos!$AK$10:$AK$509,0))="","",INDEX(Processos!$Z$10:$Z$509,MATCH((ROW()-36+($J$35-1)*200),Processos!$AK$10:$AK$509,0))))</f>
        <v>46090</v>
      </c>
      <c r="F142" s="6" t="str">
        <f>IF((ROW()-36+($J$35-1)*200)&gt;COUNTIFS(Processos!$X$10:$X$509,1),"",IF(IF(INDEX(Processos!$Y$10:$Y$509,MATCH((ROW()-36+($J$35-1)*200),Processos!$AK$10:$AK$509,0))=1,"Sim","Não")="","",IF(INDEX(Processos!$Y$10:$Y$509,MATCH((ROW()-36+($J$35-1)*200),Processos!$AK$10:$AK$509,0))=1,"Sim","Não")))</f>
        <v>Não</v>
      </c>
      <c r="G142" s="6" t="str">
        <f>IF((ROW()-36+($J$35-1)*200)&gt;COUNTIFS(Processos!$X$10:$X$509,1),"",IF(INDEX(Processos!$D$10:$D$509,MATCH((ROW()-36+($J$35-1)*200),Processos!$AK$10:$AK$509,0))="","",INDEX(Processos!$D$10:$D$509,MATCH((ROW()-36+($J$35-1)*200),Processos!$AK$10:$AK$509,0))))</f>
        <v>SMP Advogados</v>
      </c>
    </row>
    <row r="143" spans="1:7" ht="72" customHeight="1">
      <c r="A143" s="7" t="str">
        <f>IF((ROW()-36+($J$35-1)*200)&gt;COUNTIFS(Processos!$X$10:$X$509,1),"",IF(INDEX(Processos!$A$10:$A$509,MATCH((ROW()-36+($J$35-1)*200),Processos!$AK$10:$AK$509,0))="","",INDEX(Processos!$A$10:$A$509,MATCH((ROW()-36+($J$35-1)*200),Processos!$AK$10:$AK$509,0))))</f>
        <v>0736630-73.2022.8.07.0001</v>
      </c>
      <c r="B143" s="6" t="str">
        <f>IF((ROW()-36+($J$35-1)*200)&gt;COUNTIFS(Processos!$X$10:$X$509,1),"",IF(INDEX(Processos!$C$10:$C$509,MATCH((ROW()-36+($J$35-1)*200),Processos!$AK$10:$AK$509,0))="","",INDEX(Processos!$C$10:$C$509,MATCH((ROW()-36+($J$35-1)*200),Processos!$AK$10:$AK$509,0))))</f>
        <v>Ativo</v>
      </c>
      <c r="C14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ROHR S.A. ESTRUTURAS TUBULARES × ALTA</v>
      </c>
      <c r="D143" s="10">
        <f>IF((ROW()-36+($J$35-1)*200)&gt;COUNTIFS(Processos!$X$10:$X$509,1),"",IF(INDEX(Processos!$AQ$10:$AQ$509,MATCH((ROW()-36+($J$35-1)*200),Processos!$AK$10:$AK$509,0))="","",INDEX(Processos!$AQ$10:$AQ$509,MATCH((ROW()-36+($J$35-1)*200),Processos!$AK$10:$AK$509,0))))</f>
        <v>1343446.56</v>
      </c>
      <c r="E143" s="8">
        <f>IF((ROW()-36+($J$35-1)*200)&gt;COUNTIFS(Processos!$X$10:$X$509,1),"",IF(INDEX(Processos!$Z$10:$Z$509,MATCH((ROW()-36+($J$35-1)*200),Processos!$AK$10:$AK$509,0))="","",INDEX(Processos!$Z$10:$Z$509,MATCH((ROW()-36+($J$35-1)*200),Processos!$AK$10:$AK$509,0))))</f>
        <v>46120</v>
      </c>
      <c r="F143" s="6" t="str">
        <f>IF((ROW()-36+($J$35-1)*200)&gt;COUNTIFS(Processos!$X$10:$X$509,1),"",IF(IF(INDEX(Processos!$Y$10:$Y$509,MATCH((ROW()-36+($J$35-1)*200),Processos!$AK$10:$AK$509,0))=1,"Sim","Não")="","",IF(INDEX(Processos!$Y$10:$Y$509,MATCH((ROW()-36+($J$35-1)*200),Processos!$AK$10:$AK$509,0))=1,"Sim","Não")))</f>
        <v>Não</v>
      </c>
      <c r="G143" s="6" t="str">
        <f>IF((ROW()-36+($J$35-1)*200)&gt;COUNTIFS(Processos!$X$10:$X$509,1),"",IF(INDEX(Processos!$D$10:$D$509,MATCH((ROW()-36+($J$35-1)*200),Processos!$AK$10:$AK$509,0))="","",INDEX(Processos!$D$10:$D$509,MATCH((ROW()-36+($J$35-1)*200),Processos!$AK$10:$AK$509,0))))</f>
        <v>SMP Advogados</v>
      </c>
    </row>
    <row r="144" spans="1:7" ht="72" customHeight="1">
      <c r="A144" s="7" t="str">
        <f>IF((ROW()-36+($J$35-1)*200)&gt;COUNTIFS(Processos!$X$10:$X$509,1),"",IF(INDEX(Processos!$A$10:$A$509,MATCH((ROW()-36+($J$35-1)*200),Processos!$AK$10:$AK$509,0))="","",INDEX(Processos!$A$10:$A$509,MATCH((ROW()-36+($J$35-1)*200),Processos!$AK$10:$AK$509,0))))</f>
        <v>1135509-42.2021.8.26.0100</v>
      </c>
      <c r="B144" s="6" t="str">
        <f>IF((ROW()-36+($J$35-1)*200)&gt;COUNTIFS(Processos!$X$10:$X$509,1),"",IF(INDEX(Processos!$C$10:$C$509,MATCH((ROW()-36+($J$35-1)*200),Processos!$AK$10:$AK$509,0))="","",INDEX(Processos!$C$10:$C$509,MATCH((ROW()-36+($J$35-1)*200),Processos!$AK$10:$AK$509,0))))</f>
        <v>Encerrado</v>
      </c>
      <c r="C14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ROHR S.A. ESTRUTURAS TUBULARES × ALTA</v>
      </c>
      <c r="D144" s="10">
        <f>IF((ROW()-36+($J$35-1)*200)&gt;COUNTIFS(Processos!$X$10:$X$509,1),"",IF(INDEX(Processos!$AQ$10:$AQ$509,MATCH((ROW()-36+($J$35-1)*200),Processos!$AK$10:$AK$509,0))="","",INDEX(Processos!$AQ$10:$AQ$509,MATCH((ROW()-36+($J$35-1)*200),Processos!$AK$10:$AK$509,0))))</f>
        <v>2059318.21</v>
      </c>
      <c r="E144" s="8">
        <f>IF((ROW()-36+($J$35-1)*200)&gt;COUNTIFS(Processos!$X$10:$X$509,1),"",IF(INDEX(Processos!$Z$10:$Z$509,MATCH((ROW()-36+($J$35-1)*200),Processos!$AK$10:$AK$509,0))="","",INDEX(Processos!$Z$10:$Z$509,MATCH((ROW()-36+($J$35-1)*200),Processos!$AK$10:$AK$509,0))))</f>
        <v>46049</v>
      </c>
      <c r="F144" s="6" t="str">
        <f>IF((ROW()-36+($J$35-1)*200)&gt;COUNTIFS(Processos!$X$10:$X$509,1),"",IF(IF(INDEX(Processos!$Y$10:$Y$509,MATCH((ROW()-36+($J$35-1)*200),Processos!$AK$10:$AK$509,0))=1,"Sim","Não")="","",IF(INDEX(Processos!$Y$10:$Y$509,MATCH((ROW()-36+($J$35-1)*200),Processos!$AK$10:$AK$509,0))=1,"Sim","Não")))</f>
        <v>Não</v>
      </c>
      <c r="G144" s="6" t="str">
        <f>IF((ROW()-36+($J$35-1)*200)&gt;COUNTIFS(Processos!$X$10:$X$509,1),"",IF(INDEX(Processos!$D$10:$D$509,MATCH((ROW()-36+($J$35-1)*200),Processos!$AK$10:$AK$509,0))="","",INDEX(Processos!$D$10:$D$509,MATCH((ROW()-36+($J$35-1)*200),Processos!$AK$10:$AK$509,0))))</f>
        <v>SMP Advogados</v>
      </c>
    </row>
    <row r="145" spans="1:7" ht="72" customHeight="1">
      <c r="A145" s="7" t="str">
        <f>IF((ROW()-36+($J$35-1)*200)&gt;COUNTIFS(Processos!$X$10:$X$509,1),"",IF(INDEX(Processos!$A$10:$A$509,MATCH((ROW()-36+($J$35-1)*200),Processos!$AK$10:$AK$509,0))="","",INDEX(Processos!$A$10:$A$509,MATCH((ROW()-36+($J$35-1)*200),Processos!$AK$10:$AK$509,0))))</f>
        <v>1017504-73.2022.4.06.3800</v>
      </c>
      <c r="B145" s="6" t="str">
        <f>IF((ROW()-36+($J$35-1)*200)&gt;COUNTIFS(Processos!$X$10:$X$509,1),"",IF(INDEX(Processos!$C$10:$C$509,MATCH((ROW()-36+($J$35-1)*200),Processos!$AK$10:$AK$509,0))="","",INDEX(Processos!$C$10:$C$509,MATCH((ROW()-36+($J$35-1)*200),Processos!$AK$10:$AK$509,0))))</f>
        <v>Ativo</v>
      </c>
      <c r="C14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DNIT/MG × ALTA/ECP</v>
      </c>
      <c r="D145" s="10">
        <f>IF((ROW()-36+($J$35-1)*200)&gt;COUNTIFS(Processos!$X$10:$X$509,1),"",IF(INDEX(Processos!$AQ$10:$AQ$509,MATCH((ROW()-36+($J$35-1)*200),Processos!$AK$10:$AK$509,0))="","",INDEX(Processos!$AQ$10:$AQ$509,MATCH((ROW()-36+($J$35-1)*200),Processos!$AK$10:$AK$509,0))))</f>
        <v>1331548.8999999999</v>
      </c>
      <c r="E145" s="8">
        <f>IF((ROW()-36+($J$35-1)*200)&gt;COUNTIFS(Processos!$X$10:$X$509,1),"",IF(INDEX(Processos!$Z$10:$Z$509,MATCH((ROW()-36+($J$35-1)*200),Processos!$AK$10:$AK$509,0))="","",INDEX(Processos!$Z$10:$Z$509,MATCH((ROW()-36+($J$35-1)*200),Processos!$AK$10:$AK$509,0))))</f>
        <v>46120</v>
      </c>
      <c r="F145" s="6" t="str">
        <f>IF((ROW()-36+($J$35-1)*200)&gt;COUNTIFS(Processos!$X$10:$X$509,1),"",IF(IF(INDEX(Processos!$Y$10:$Y$509,MATCH((ROW()-36+($J$35-1)*200),Processos!$AK$10:$AK$509,0))=1,"Sim","Não")="","",IF(INDEX(Processos!$Y$10:$Y$509,MATCH((ROW()-36+($J$35-1)*200),Processos!$AK$10:$AK$509,0))=1,"Sim","Não")))</f>
        <v>Não</v>
      </c>
      <c r="G145" s="6" t="str">
        <f>IF((ROW()-36+($J$35-1)*200)&gt;COUNTIFS(Processos!$X$10:$X$509,1),"",IF(INDEX(Processos!$D$10:$D$509,MATCH((ROW()-36+($J$35-1)*200),Processos!$AK$10:$AK$509,0))="","",INDEX(Processos!$D$10:$D$509,MATCH((ROW()-36+($J$35-1)*200),Processos!$AK$10:$AK$509,0))))</f>
        <v>SMP Advogados</v>
      </c>
    </row>
    <row r="146" spans="1:7" ht="72" customHeight="1">
      <c r="A146" s="7" t="str">
        <f>IF((ROW()-36+($J$35-1)*200)&gt;COUNTIFS(Processos!$X$10:$X$509,1),"",IF(INDEX(Processos!$A$10:$A$509,MATCH((ROW()-36+($J$35-1)*200),Processos!$AK$10:$AK$509,0))="","",INDEX(Processos!$A$10:$A$509,MATCH((ROW()-36+($J$35-1)*200),Processos!$AK$10:$AK$509,0))))</f>
        <v>1000658-95.2023.4.06.0000</v>
      </c>
      <c r="B146" s="6" t="str">
        <f>IF((ROW()-36+($J$35-1)*200)&gt;COUNTIFS(Processos!$X$10:$X$509,1),"",IF(INDEX(Processos!$C$10:$C$509,MATCH((ROW()-36+($J$35-1)*200),Processos!$AK$10:$AK$509,0))="","",INDEX(Processos!$C$10:$C$509,MATCH((ROW()-36+($J$35-1)*200),Processos!$AK$10:$AK$509,0))))</f>
        <v>Ativo</v>
      </c>
      <c r="C14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ALTA/ECP × DNIT</v>
      </c>
      <c r="D146" s="10" t="str">
        <f>IF((ROW()-36+($J$35-1)*200)&gt;COUNTIFS(Processos!$X$10:$X$509,1),"",IF(INDEX(Processos!$AQ$10:$AQ$509,MATCH((ROW()-36+($J$35-1)*200),Processos!$AK$10:$AK$509,0))="","",INDEX(Processos!$AQ$10:$AQ$509,MATCH((ROW()-36+($J$35-1)*200),Processos!$AK$10:$AK$509,0))))</f>
        <v/>
      </c>
      <c r="E146" s="8">
        <f>IF((ROW()-36+($J$35-1)*200)&gt;COUNTIFS(Processos!$X$10:$X$509,1),"",IF(INDEX(Processos!$Z$10:$Z$509,MATCH((ROW()-36+($J$35-1)*200),Processos!$AK$10:$AK$509,0))="","",INDEX(Processos!$Z$10:$Z$509,MATCH((ROW()-36+($J$35-1)*200),Processos!$AK$10:$AK$509,0))))</f>
        <v>46120</v>
      </c>
      <c r="F146" s="6" t="str">
        <f>IF((ROW()-36+($J$35-1)*200)&gt;COUNTIFS(Processos!$X$10:$X$509,1),"",IF(IF(INDEX(Processos!$Y$10:$Y$509,MATCH((ROW()-36+($J$35-1)*200),Processos!$AK$10:$AK$509,0))=1,"Sim","Não")="","",IF(INDEX(Processos!$Y$10:$Y$509,MATCH((ROW()-36+($J$35-1)*200),Processos!$AK$10:$AK$509,0))=1,"Sim","Não")))</f>
        <v>Não</v>
      </c>
      <c r="G146" s="6" t="str">
        <f>IF((ROW()-36+($J$35-1)*200)&gt;COUNTIFS(Processos!$X$10:$X$509,1),"",IF(INDEX(Processos!$D$10:$D$509,MATCH((ROW()-36+($J$35-1)*200),Processos!$AK$10:$AK$509,0))="","",INDEX(Processos!$D$10:$D$509,MATCH((ROW()-36+($J$35-1)*200),Processos!$AK$10:$AK$509,0))))</f>
        <v>SMP Advogados</v>
      </c>
    </row>
    <row r="147" spans="1:7" ht="72" customHeight="1">
      <c r="A147" s="7" t="str">
        <f>IF((ROW()-36+($J$35-1)*200)&gt;COUNTIFS(Processos!$X$10:$X$509,1),"",IF(INDEX(Processos!$A$10:$A$509,MATCH((ROW()-36+($J$35-1)*200),Processos!$AK$10:$AK$509,0))="","",INDEX(Processos!$A$10:$A$509,MATCH((ROW()-36+($J$35-1)*200),Processos!$AK$10:$AK$509,0))))</f>
        <v>1010455-53.2021.4.01.3800</v>
      </c>
      <c r="B147" s="6" t="str">
        <f>IF((ROW()-36+($J$35-1)*200)&gt;COUNTIFS(Processos!$X$10:$X$509,1),"",IF(INDEX(Processos!$C$10:$C$509,MATCH((ROW()-36+($J$35-1)*200),Processos!$AK$10:$AK$509,0))="","",INDEX(Processos!$C$10:$C$509,MATCH((ROW()-36+($J$35-1)*200),Processos!$AK$10:$AK$509,0))))</f>
        <v>Ativo</v>
      </c>
      <c r="C14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ALTA/CONTÉCNICA × DNIT</v>
      </c>
      <c r="D147" s="10" t="str">
        <f>IF((ROW()-36+($J$35-1)*200)&gt;COUNTIFS(Processos!$X$10:$X$509,1),"",IF(INDEX(Processos!$AQ$10:$AQ$509,MATCH((ROW()-36+($J$35-1)*200),Processos!$AK$10:$AK$509,0))="","",INDEX(Processos!$AQ$10:$AQ$509,MATCH((ROW()-36+($J$35-1)*200),Processos!$AK$10:$AK$509,0))))</f>
        <v/>
      </c>
      <c r="E147" s="8">
        <f>IF((ROW()-36+($J$35-1)*200)&gt;COUNTIFS(Processos!$X$10:$X$509,1),"",IF(INDEX(Processos!$Z$10:$Z$509,MATCH((ROW()-36+($J$35-1)*200),Processos!$AK$10:$AK$509,0))="","",INDEX(Processos!$Z$10:$Z$509,MATCH((ROW()-36+($J$35-1)*200),Processos!$AK$10:$AK$509,0))))</f>
        <v>46120</v>
      </c>
      <c r="F147" s="6" t="str">
        <f>IF((ROW()-36+($J$35-1)*200)&gt;COUNTIFS(Processos!$X$10:$X$509,1),"",IF(IF(INDEX(Processos!$Y$10:$Y$509,MATCH((ROW()-36+($J$35-1)*200),Processos!$AK$10:$AK$509,0))=1,"Sim","Não")="","",IF(INDEX(Processos!$Y$10:$Y$509,MATCH((ROW()-36+($J$35-1)*200),Processos!$AK$10:$AK$509,0))=1,"Sim","Não")))</f>
        <v>Não</v>
      </c>
      <c r="G147" s="6" t="str">
        <f>IF((ROW()-36+($J$35-1)*200)&gt;COUNTIFS(Processos!$X$10:$X$509,1),"",IF(INDEX(Processos!$D$10:$D$509,MATCH((ROW()-36+($J$35-1)*200),Processos!$AK$10:$AK$509,0))="","",INDEX(Processos!$D$10:$D$509,MATCH((ROW()-36+($J$35-1)*200),Processos!$AK$10:$AK$509,0))))</f>
        <v>SMP Advogados</v>
      </c>
    </row>
    <row r="148" spans="1:7" ht="72" customHeight="1">
      <c r="A148" s="7" t="str">
        <f>IF((ROW()-36+($J$35-1)*200)&gt;COUNTIFS(Processos!$X$10:$X$509,1),"",IF(INDEX(Processos!$A$10:$A$509,MATCH((ROW()-36+($J$35-1)*200),Processos!$AK$10:$AK$509,0))="","",INDEX(Processos!$A$10:$A$509,MATCH((ROW()-36+($J$35-1)*200),Processos!$AK$10:$AK$509,0))))</f>
        <v>1021095-81.2022.4.01.3800</v>
      </c>
      <c r="B148" s="6" t="str">
        <f>IF((ROW()-36+($J$35-1)*200)&gt;COUNTIFS(Processos!$X$10:$X$509,1),"",IF(INDEX(Processos!$C$10:$C$509,MATCH((ROW()-36+($J$35-1)*200),Processos!$AK$10:$AK$509,0))="","",INDEX(Processos!$C$10:$C$509,MATCH((ROW()-36+($J$35-1)*200),Processos!$AK$10:$AK$509,0))))</f>
        <v>Ativo</v>
      </c>
      <c r="C14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ALTA/CONTÉCNICA × DNIT</v>
      </c>
      <c r="D148" s="10">
        <f>IF((ROW()-36+($J$35-1)*200)&gt;COUNTIFS(Processos!$X$10:$X$509,1),"",IF(INDEX(Processos!$AQ$10:$AQ$509,MATCH((ROW()-36+($J$35-1)*200),Processos!$AK$10:$AK$509,0))="","",INDEX(Processos!$AQ$10:$AQ$509,MATCH((ROW()-36+($J$35-1)*200),Processos!$AK$10:$AK$509,0))))</f>
        <v>1760543.1</v>
      </c>
      <c r="E148" s="8">
        <f>IF((ROW()-36+($J$35-1)*200)&gt;COUNTIFS(Processos!$X$10:$X$509,1),"",IF(INDEX(Processos!$Z$10:$Z$509,MATCH((ROW()-36+($J$35-1)*200),Processos!$AK$10:$AK$509,0))="","",INDEX(Processos!$Z$10:$Z$509,MATCH((ROW()-36+($J$35-1)*200),Processos!$AK$10:$AK$509,0))))</f>
        <v>46120</v>
      </c>
      <c r="F148" s="6" t="str">
        <f>IF((ROW()-36+($J$35-1)*200)&gt;COUNTIFS(Processos!$X$10:$X$509,1),"",IF(IF(INDEX(Processos!$Y$10:$Y$509,MATCH((ROW()-36+($J$35-1)*200),Processos!$AK$10:$AK$509,0))=1,"Sim","Não")="","",IF(INDEX(Processos!$Y$10:$Y$509,MATCH((ROW()-36+($J$35-1)*200),Processos!$AK$10:$AK$509,0))=1,"Sim","Não")))</f>
        <v>Não</v>
      </c>
      <c r="G148" s="6" t="str">
        <f>IF((ROW()-36+($J$35-1)*200)&gt;COUNTIFS(Processos!$X$10:$X$509,1),"",IF(INDEX(Processos!$D$10:$D$509,MATCH((ROW()-36+($J$35-1)*200),Processos!$AK$10:$AK$509,0))="","",INDEX(Processos!$D$10:$D$509,MATCH((ROW()-36+($J$35-1)*200),Processos!$AK$10:$AK$509,0))))</f>
        <v>SMP Advogados</v>
      </c>
    </row>
    <row r="149" spans="1:7" ht="72" customHeight="1">
      <c r="A149" s="7" t="str">
        <f>IF((ROW()-36+($J$35-1)*200)&gt;COUNTIFS(Processos!$X$10:$X$509,1),"",IF(INDEX(Processos!$A$10:$A$509,MATCH((ROW()-36+($J$35-1)*200),Processos!$AK$10:$AK$509,0))="","",INDEX(Processos!$A$10:$A$509,MATCH((ROW()-36+($J$35-1)*200),Processos!$AK$10:$AK$509,0))))</f>
        <v>1119107-46.2022.8.26.0100</v>
      </c>
      <c r="B149" s="6" t="str">
        <f>IF((ROW()-36+($J$35-1)*200)&gt;COUNTIFS(Processos!$X$10:$X$509,1),"",IF(INDEX(Processos!$C$10:$C$509,MATCH((ROW()-36+($J$35-1)*200),Processos!$AK$10:$AK$509,0))="","",INDEX(Processos!$C$10:$C$509,MATCH((ROW()-36+($J$35-1)*200),Processos!$AK$10:$AK$509,0))))</f>
        <v>Ativo</v>
      </c>
      <c r="C14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ROHR S.A. ESTRUTURAS TUBULARES × ALTA</v>
      </c>
      <c r="D149" s="10">
        <f>IF((ROW()-36+($J$35-1)*200)&gt;COUNTIFS(Processos!$X$10:$X$509,1),"",IF(INDEX(Processos!$AQ$10:$AQ$509,MATCH((ROW()-36+($J$35-1)*200),Processos!$AK$10:$AK$509,0))="","",INDEX(Processos!$AQ$10:$AQ$509,MATCH((ROW()-36+($J$35-1)*200),Processos!$AK$10:$AK$509,0))))</f>
        <v>1534163.28</v>
      </c>
      <c r="E149" s="8">
        <f>IF((ROW()-36+($J$35-1)*200)&gt;COUNTIFS(Processos!$X$10:$X$509,1),"",IF(INDEX(Processos!$Z$10:$Z$509,MATCH((ROW()-36+($J$35-1)*200),Processos!$AK$10:$AK$509,0))="","",INDEX(Processos!$Z$10:$Z$509,MATCH((ROW()-36+($J$35-1)*200),Processos!$AK$10:$AK$509,0))))</f>
        <v>46120</v>
      </c>
      <c r="F149" s="6" t="str">
        <f>IF((ROW()-36+($J$35-1)*200)&gt;COUNTIFS(Processos!$X$10:$X$509,1),"",IF(IF(INDEX(Processos!$Y$10:$Y$509,MATCH((ROW()-36+($J$35-1)*200),Processos!$AK$10:$AK$509,0))=1,"Sim","Não")="","",IF(INDEX(Processos!$Y$10:$Y$509,MATCH((ROW()-36+($J$35-1)*200),Processos!$AK$10:$AK$509,0))=1,"Sim","Não")))</f>
        <v>Não</v>
      </c>
      <c r="G149" s="6" t="str">
        <f>IF((ROW()-36+($J$35-1)*200)&gt;COUNTIFS(Processos!$X$10:$X$509,1),"",IF(INDEX(Processos!$D$10:$D$509,MATCH((ROW()-36+($J$35-1)*200),Processos!$AK$10:$AK$509,0))="","",INDEX(Processos!$D$10:$D$509,MATCH((ROW()-36+($J$35-1)*200),Processos!$AK$10:$AK$509,0))))</f>
        <v>SMP Advogados</v>
      </c>
    </row>
    <row r="150" spans="1:7" ht="72" customHeight="1">
      <c r="A150" s="7" t="str">
        <f>IF((ROW()-36+($J$35-1)*200)&gt;COUNTIFS(Processos!$X$10:$X$509,1),"",IF(INDEX(Processos!$A$10:$A$509,MATCH((ROW()-36+($J$35-1)*200),Processos!$AK$10:$AK$509,0))="","",INDEX(Processos!$A$10:$A$509,MATCH((ROW()-36+($J$35-1)*200),Processos!$AK$10:$AK$509,0))))</f>
        <v>1030389-28.2024.4.01.3400</v>
      </c>
      <c r="B150" s="6" t="str">
        <f>IF((ROW()-36+($J$35-1)*200)&gt;COUNTIFS(Processos!$X$10:$X$509,1),"",IF(INDEX(Processos!$C$10:$C$509,MATCH((ROW()-36+($J$35-1)*200),Processos!$AK$10:$AK$509,0))="","",INDEX(Processos!$C$10:$C$509,MATCH((ROW()-36+($J$35-1)*200),Processos!$AK$10:$AK$509,0))))</f>
        <v>Encerrado</v>
      </c>
      <c r="C15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ALTA, CONTÉCNICA E CONSÓRCIO SUFER × ANTT</v>
      </c>
      <c r="D150" s="10">
        <f>IF((ROW()-36+($J$35-1)*200)&gt;COUNTIFS(Processos!$X$10:$X$509,1),"",IF(INDEX(Processos!$AQ$10:$AQ$509,MATCH((ROW()-36+($J$35-1)*200),Processos!$AK$10:$AK$509,0))="","",INDEX(Processos!$AQ$10:$AQ$509,MATCH((ROW()-36+($J$35-1)*200),Processos!$AK$10:$AK$509,0))))</f>
        <v>10000</v>
      </c>
      <c r="E150" s="8">
        <f>IF((ROW()-36+($J$35-1)*200)&gt;COUNTIFS(Processos!$X$10:$X$509,1),"",IF(INDEX(Processos!$Z$10:$Z$509,MATCH((ROW()-36+($J$35-1)*200),Processos!$AK$10:$AK$509,0))="","",INDEX(Processos!$Z$10:$Z$509,MATCH((ROW()-36+($J$35-1)*200),Processos!$AK$10:$AK$509,0))))</f>
        <v>45901</v>
      </c>
      <c r="F150" s="6" t="str">
        <f>IF((ROW()-36+($J$35-1)*200)&gt;COUNTIFS(Processos!$X$10:$X$509,1),"",IF(IF(INDEX(Processos!$Y$10:$Y$509,MATCH((ROW()-36+($J$35-1)*200),Processos!$AK$10:$AK$509,0))=1,"Sim","Não")="","",IF(INDEX(Processos!$Y$10:$Y$509,MATCH((ROW()-36+($J$35-1)*200),Processos!$AK$10:$AK$509,0))=1,"Sim","Não")))</f>
        <v>Não</v>
      </c>
      <c r="G150" s="6" t="str">
        <f>IF((ROW()-36+($J$35-1)*200)&gt;COUNTIFS(Processos!$X$10:$X$509,1),"",IF(INDEX(Processos!$D$10:$D$509,MATCH((ROW()-36+($J$35-1)*200),Processos!$AK$10:$AK$509,0))="","",INDEX(Processos!$D$10:$D$509,MATCH((ROW()-36+($J$35-1)*200),Processos!$AK$10:$AK$509,0))))</f>
        <v>SMP Advogados</v>
      </c>
    </row>
    <row r="151" spans="1:7" ht="72" customHeight="1">
      <c r="A151" s="7" t="str">
        <f>IF((ROW()-36+($J$35-1)*200)&gt;COUNTIFS(Processos!$X$10:$X$509,1),"",IF(INDEX(Processos!$A$10:$A$509,MATCH((ROW()-36+($J$35-1)*200),Processos!$AK$10:$AK$509,0))="","",INDEX(Processos!$A$10:$A$509,MATCH((ROW()-36+($J$35-1)*200),Processos!$AK$10:$AK$509,0))))</f>
        <v>1050120-10.2024.4.01.3400</v>
      </c>
      <c r="B151" s="6" t="str">
        <f>IF((ROW()-36+($J$35-1)*200)&gt;COUNTIFS(Processos!$X$10:$X$509,1),"",IF(INDEX(Processos!$C$10:$C$509,MATCH((ROW()-36+($J$35-1)*200),Processos!$AK$10:$AK$509,0))="","",INDEX(Processos!$C$10:$C$509,MATCH((ROW()-36+($J$35-1)*200),Processos!$AK$10:$AK$509,0))))</f>
        <v>Encerrado</v>
      </c>
      <c r="C15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ALTA, CONTÉCNICA E CONSÓRCIO SUFER × ANTT</v>
      </c>
      <c r="D151" s="10">
        <f>IF((ROW()-36+($J$35-1)*200)&gt;COUNTIFS(Processos!$X$10:$X$509,1),"",IF(INDEX(Processos!$AQ$10:$AQ$509,MATCH((ROW()-36+($J$35-1)*200),Processos!$AK$10:$AK$509,0))="","",INDEX(Processos!$AQ$10:$AQ$509,MATCH((ROW()-36+($J$35-1)*200),Processos!$AK$10:$AK$509,0))))</f>
        <v>204105.73</v>
      </c>
      <c r="E151" s="8">
        <f>IF((ROW()-36+($J$35-1)*200)&gt;COUNTIFS(Processos!$X$10:$X$509,1),"",IF(INDEX(Processos!$Z$10:$Z$509,MATCH((ROW()-36+($J$35-1)*200),Processos!$AK$10:$AK$509,0))="","",INDEX(Processos!$Z$10:$Z$509,MATCH((ROW()-36+($J$35-1)*200),Processos!$AK$10:$AK$509,0))))</f>
        <v>46049</v>
      </c>
      <c r="F151" s="6" t="str">
        <f>IF((ROW()-36+($J$35-1)*200)&gt;COUNTIFS(Processos!$X$10:$X$509,1),"",IF(IF(INDEX(Processos!$Y$10:$Y$509,MATCH((ROW()-36+($J$35-1)*200),Processos!$AK$10:$AK$509,0))=1,"Sim","Não")="","",IF(INDEX(Processos!$Y$10:$Y$509,MATCH((ROW()-36+($J$35-1)*200),Processos!$AK$10:$AK$509,0))=1,"Sim","Não")))</f>
        <v>Não</v>
      </c>
      <c r="G151" s="6" t="str">
        <f>IF((ROW()-36+($J$35-1)*200)&gt;COUNTIFS(Processos!$X$10:$X$509,1),"",IF(INDEX(Processos!$D$10:$D$509,MATCH((ROW()-36+($J$35-1)*200),Processos!$AK$10:$AK$509,0))="","",INDEX(Processos!$D$10:$D$509,MATCH((ROW()-36+($J$35-1)*200),Processos!$AK$10:$AK$509,0))))</f>
        <v>SMP Advogados</v>
      </c>
    </row>
    <row r="152" spans="1:7" ht="72" customHeight="1">
      <c r="A152" s="7" t="str">
        <f>IF((ROW()-36+($J$35-1)*200)&gt;COUNTIFS(Processos!$X$10:$X$509,1),"",IF(INDEX(Processos!$A$10:$A$509,MATCH((ROW()-36+($J$35-1)*200),Processos!$AK$10:$AK$509,0))="","",INDEX(Processos!$A$10:$A$509,MATCH((ROW()-36+($J$35-1)*200),Processos!$AK$10:$AK$509,0))))</f>
        <v>0023079-86.2004.4.01.3400</v>
      </c>
      <c r="B152" s="6" t="str">
        <f>IF((ROW()-36+($J$35-1)*200)&gt;COUNTIFS(Processos!$X$10:$X$509,1),"",IF(INDEX(Processos!$C$10:$C$509,MATCH((ROW()-36+($J$35-1)*200),Processos!$AK$10:$AK$509,0))="","",INDEX(Processos!$C$10:$C$509,MATCH((ROW()-36+($J$35-1)*200),Processos!$AK$10:$AK$509,0))))</f>
        <v>Ativo</v>
      </c>
      <c r="C15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MINISTÉRIO PÚBLICO / DNIT × STRATA ENG / CAMILO DE LELLIS</v>
      </c>
      <c r="D152" s="10">
        <f>IF((ROW()-36+($J$35-1)*200)&gt;COUNTIFS(Processos!$X$10:$X$509,1),"",IF(INDEX(Processos!$AQ$10:$AQ$509,MATCH((ROW()-36+($J$35-1)*200),Processos!$AK$10:$AK$509,0))="","",INDEX(Processos!$AQ$10:$AQ$509,MATCH((ROW()-36+($J$35-1)*200),Processos!$AK$10:$AK$509,0))))</f>
        <v>1534163.28</v>
      </c>
      <c r="E152" s="8">
        <f>IF((ROW()-36+($J$35-1)*200)&gt;COUNTIFS(Processos!$X$10:$X$509,1),"",IF(INDEX(Processos!$Z$10:$Z$509,MATCH((ROW()-36+($J$35-1)*200),Processos!$AK$10:$AK$509,0))="","",INDEX(Processos!$Z$10:$Z$509,MATCH((ROW()-36+($J$35-1)*200),Processos!$AK$10:$AK$509,0))))</f>
        <v>46120</v>
      </c>
      <c r="F152" s="6" t="str">
        <f>IF((ROW()-36+($J$35-1)*200)&gt;COUNTIFS(Processos!$X$10:$X$509,1),"",IF(IF(INDEX(Processos!$Y$10:$Y$509,MATCH((ROW()-36+($J$35-1)*200),Processos!$AK$10:$AK$509,0))=1,"Sim","Não")="","",IF(INDEX(Processos!$Y$10:$Y$509,MATCH((ROW()-36+($J$35-1)*200),Processos!$AK$10:$AK$509,0))=1,"Sim","Não")))</f>
        <v>Não</v>
      </c>
      <c r="G152" s="6" t="str">
        <f>IF((ROW()-36+($J$35-1)*200)&gt;COUNTIFS(Processos!$X$10:$X$509,1),"",IF(INDEX(Processos!$D$10:$D$509,MATCH((ROW()-36+($J$35-1)*200),Processos!$AK$10:$AK$509,0))="","",INDEX(Processos!$D$10:$D$509,MATCH((ROW()-36+($J$35-1)*200),Processos!$AK$10:$AK$509,0))))</f>
        <v>SMP Advogados</v>
      </c>
    </row>
    <row r="153" spans="1:7" ht="72" customHeight="1">
      <c r="A153" s="7" t="str">
        <f>IF((ROW()-36+($J$35-1)*200)&gt;COUNTIFS(Processos!$X$10:$X$509,1),"",IF(INDEX(Processos!$A$10:$A$509,MATCH((ROW()-36+($J$35-1)*200),Processos!$AK$10:$AK$509,0))="","",INDEX(Processos!$A$10:$A$509,MATCH((ROW()-36+($J$35-1)*200),Processos!$AK$10:$AK$509,0))))</f>
        <v>50606.005625/2024-01</v>
      </c>
      <c r="B153" s="6" t="str">
        <f>IF((ROW()-36+($J$35-1)*200)&gt;COUNTIFS(Processos!$X$10:$X$509,1),"",IF(INDEX(Processos!$C$10:$C$509,MATCH((ROW()-36+($J$35-1)*200),Processos!$AK$10:$AK$509,0))="","",INDEX(Processos!$C$10:$C$509,MATCH((ROW()-36+($J$35-1)*200),Processos!$AK$10:$AK$509,0))))</f>
        <v>Encerrado</v>
      </c>
      <c r="C15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DNIT/MG × ALTA ENGENHARIA</v>
      </c>
      <c r="D153" s="10">
        <f>IF((ROW()-36+($J$35-1)*200)&gt;COUNTIFS(Processos!$X$10:$X$509,1),"",IF(INDEX(Processos!$AQ$10:$AQ$509,MATCH((ROW()-36+($J$35-1)*200),Processos!$AK$10:$AK$509,0))="","",INDEX(Processos!$AQ$10:$AQ$509,MATCH((ROW()-36+($J$35-1)*200),Processos!$AK$10:$AK$509,0))))</f>
        <v>42025.91</v>
      </c>
      <c r="E153" s="8">
        <f>IF((ROW()-36+($J$35-1)*200)&gt;COUNTIFS(Processos!$X$10:$X$509,1),"",IF(INDEX(Processos!$Z$10:$Z$509,MATCH((ROW()-36+($J$35-1)*200),Processos!$AK$10:$AK$509,0))="","",INDEX(Processos!$Z$10:$Z$509,MATCH((ROW()-36+($J$35-1)*200),Processos!$AK$10:$AK$509,0))))</f>
        <v>46190</v>
      </c>
      <c r="F153" s="6" t="str">
        <f>IF((ROW()-36+($J$35-1)*200)&gt;COUNTIFS(Processos!$X$10:$X$509,1),"",IF(IF(INDEX(Processos!$Y$10:$Y$509,MATCH((ROW()-36+($J$35-1)*200),Processos!$AK$10:$AK$509,0))=1,"Sim","Não")="","",IF(INDEX(Processos!$Y$10:$Y$509,MATCH((ROW()-36+($J$35-1)*200),Processos!$AK$10:$AK$509,0))=1,"Sim","Não")))</f>
        <v>Não</v>
      </c>
      <c r="G153" s="6" t="str">
        <f>IF((ROW()-36+($J$35-1)*200)&gt;COUNTIFS(Processos!$X$10:$X$509,1),"",IF(INDEX(Processos!$D$10:$D$509,MATCH((ROW()-36+($J$35-1)*200),Processos!$AK$10:$AK$509,0))="","",INDEX(Processos!$D$10:$D$509,MATCH((ROW()-36+($J$35-1)*200),Processos!$AK$10:$AK$509,0))))</f>
        <v>SMP Advogados</v>
      </c>
    </row>
    <row r="154" spans="1:7" ht="72" customHeight="1">
      <c r="A154" s="7" t="str">
        <f>IF((ROW()-36+($J$35-1)*200)&gt;COUNTIFS(Processos!$X$10:$X$509,1),"",IF(INDEX(Processos!$A$10:$A$509,MATCH((ROW()-36+($J$35-1)*200),Processos!$AK$10:$AK$509,0))="","",INDEX(Processos!$A$10:$A$509,MATCH((ROW()-36+($J$35-1)*200),Processos!$AK$10:$AK$509,0))))</f>
        <v>6355533-29.2025.4.06.3800 [SMP-013]</v>
      </c>
      <c r="B154" s="6" t="str">
        <f>IF((ROW()-36+($J$35-1)*200)&gt;COUNTIFS(Processos!$X$10:$X$509,1),"",IF(INDEX(Processos!$C$10:$C$509,MATCH((ROW()-36+($J$35-1)*200),Processos!$AK$10:$AK$509,0))="","",INDEX(Processos!$C$10:$C$509,MATCH((ROW()-36+($J$35-1)*200),Processos!$AK$10:$AK$509,0))))</f>
        <v>Ativo</v>
      </c>
      <c r="C15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ALTA ENGENHARIA × DNIT</v>
      </c>
      <c r="D154" s="10" t="str">
        <f>IF((ROW()-36+($J$35-1)*200)&gt;COUNTIFS(Processos!$X$10:$X$509,1),"",IF(INDEX(Processos!$AQ$10:$AQ$509,MATCH((ROW()-36+($J$35-1)*200),Processos!$AK$10:$AK$509,0))="","",INDEX(Processos!$AQ$10:$AQ$509,MATCH((ROW()-36+($J$35-1)*200),Processos!$AK$10:$AK$509,0))))</f>
        <v/>
      </c>
      <c r="E154" s="8">
        <f>IF((ROW()-36+($J$35-1)*200)&gt;COUNTIFS(Processos!$X$10:$X$509,1),"",IF(INDEX(Processos!$Z$10:$Z$509,MATCH((ROW()-36+($J$35-1)*200),Processos!$AK$10:$AK$509,0))="","",INDEX(Processos!$Z$10:$Z$509,MATCH((ROW()-36+($J$35-1)*200),Processos!$AK$10:$AK$509,0))))</f>
        <v>46120</v>
      </c>
      <c r="F154" s="6" t="str">
        <f>IF((ROW()-36+($J$35-1)*200)&gt;COUNTIFS(Processos!$X$10:$X$509,1),"",IF(IF(INDEX(Processos!$Y$10:$Y$509,MATCH((ROW()-36+($J$35-1)*200),Processos!$AK$10:$AK$509,0))=1,"Sim","Não")="","",IF(INDEX(Processos!$Y$10:$Y$509,MATCH((ROW()-36+($J$35-1)*200),Processos!$AK$10:$AK$509,0))=1,"Sim","Não")))</f>
        <v>Não</v>
      </c>
      <c r="G154" s="6" t="str">
        <f>IF((ROW()-36+($J$35-1)*200)&gt;COUNTIFS(Processos!$X$10:$X$509,1),"",IF(INDEX(Processos!$D$10:$D$509,MATCH((ROW()-36+($J$35-1)*200),Processos!$AK$10:$AK$509,0))="","",INDEX(Processos!$D$10:$D$509,MATCH((ROW()-36+($J$35-1)*200),Processos!$AK$10:$AK$509,0))))</f>
        <v>SMP Advogados</v>
      </c>
    </row>
    <row r="155" spans="1:7" ht="72" customHeight="1">
      <c r="A155" s="7" t="str">
        <f>IF((ROW()-36+($J$35-1)*200)&gt;COUNTIFS(Processos!$X$10:$X$509,1),"",IF(INDEX(Processos!$A$10:$A$509,MATCH((ROW()-36+($J$35-1)*200),Processos!$AK$10:$AK$509,0))="","",INDEX(Processos!$A$10:$A$509,MATCH((ROW()-36+($J$35-1)*200),Processos!$AK$10:$AK$509,0))))</f>
        <v>6355533-29.2025.4.06.3800 [SMP-014]</v>
      </c>
      <c r="B155" s="6" t="str">
        <f>IF((ROW()-36+($J$35-1)*200)&gt;COUNTIFS(Processos!$X$10:$X$509,1),"",IF(INDEX(Processos!$C$10:$C$509,MATCH((ROW()-36+($J$35-1)*200),Processos!$AK$10:$AK$509,0))="","",INDEX(Processos!$C$10:$C$509,MATCH((ROW()-36+($J$35-1)*200),Processos!$AK$10:$AK$509,0))))</f>
        <v>Ativo</v>
      </c>
      <c r="C15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ALTA ENGENHARIA × DNIT</v>
      </c>
      <c r="D155" s="10">
        <f>IF((ROW()-36+($J$35-1)*200)&gt;COUNTIFS(Processos!$X$10:$X$509,1),"",IF(INDEX(Processos!$AQ$10:$AQ$509,MATCH((ROW()-36+($J$35-1)*200),Processos!$AK$10:$AK$509,0))="","",INDEX(Processos!$AQ$10:$AQ$509,MATCH((ROW()-36+($J$35-1)*200),Processos!$AK$10:$AK$509,0))))</f>
        <v>1125695.24</v>
      </c>
      <c r="E155" s="8">
        <f>IF((ROW()-36+($J$35-1)*200)&gt;COUNTIFS(Processos!$X$10:$X$509,1),"",IF(INDEX(Processos!$Z$10:$Z$509,MATCH((ROW()-36+($J$35-1)*200),Processos!$AK$10:$AK$509,0))="","",INDEX(Processos!$Z$10:$Z$509,MATCH((ROW()-36+($J$35-1)*200),Processos!$AK$10:$AK$509,0))))</f>
        <v>46120</v>
      </c>
      <c r="F155" s="6" t="str">
        <f>IF((ROW()-36+($J$35-1)*200)&gt;COUNTIFS(Processos!$X$10:$X$509,1),"",IF(IF(INDEX(Processos!$Y$10:$Y$509,MATCH((ROW()-36+($J$35-1)*200),Processos!$AK$10:$AK$509,0))=1,"Sim","Não")="","",IF(INDEX(Processos!$Y$10:$Y$509,MATCH((ROW()-36+($J$35-1)*200),Processos!$AK$10:$AK$509,0))=1,"Sim","Não")))</f>
        <v>Não</v>
      </c>
      <c r="G155" s="6" t="str">
        <f>IF((ROW()-36+($J$35-1)*200)&gt;COUNTIFS(Processos!$X$10:$X$509,1),"",IF(INDEX(Processos!$D$10:$D$509,MATCH((ROW()-36+($J$35-1)*200),Processos!$AK$10:$AK$509,0))="","",INDEX(Processos!$D$10:$D$509,MATCH((ROW()-36+($J$35-1)*200),Processos!$AK$10:$AK$509,0))))</f>
        <v>SMP Advogados</v>
      </c>
    </row>
    <row r="156" spans="1:7" ht="72" customHeight="1">
      <c r="A156" s="7" t="str">
        <f>IF((ROW()-36+($J$35-1)*200)&gt;COUNTIFS(Processos!$X$10:$X$509,1),"",IF(INDEX(Processos!$A$10:$A$509,MATCH((ROW()-36+($J$35-1)*200),Processos!$AK$10:$AK$509,0))="","",INDEX(Processos!$A$10:$A$509,MATCH((ROW()-36+($J$35-1)*200),Processos!$AK$10:$AK$509,0))))</f>
        <v>50606.000326/2026-33</v>
      </c>
      <c r="B156" s="6" t="str">
        <f>IF((ROW()-36+($J$35-1)*200)&gt;COUNTIFS(Processos!$X$10:$X$509,1),"",IF(INDEX(Processos!$C$10:$C$509,MATCH((ROW()-36+($J$35-1)*200),Processos!$AK$10:$AK$509,0))="","",INDEX(Processos!$C$10:$C$509,MATCH((ROW()-36+($J$35-1)*200),Processos!$AK$10:$AK$509,0))))</f>
        <v>Ativo</v>
      </c>
      <c r="C15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ALTA ENGENHARIA × DNIT</v>
      </c>
      <c r="D156" s="10" t="str">
        <f>IF((ROW()-36+($J$35-1)*200)&gt;COUNTIFS(Processos!$X$10:$X$509,1),"",IF(INDEX(Processos!$AQ$10:$AQ$509,MATCH((ROW()-36+($J$35-1)*200),Processos!$AK$10:$AK$509,0))="","",INDEX(Processos!$AQ$10:$AQ$509,MATCH((ROW()-36+($J$35-1)*200),Processos!$AK$10:$AK$509,0))))</f>
        <v/>
      </c>
      <c r="E156" s="8">
        <f>IF((ROW()-36+($J$35-1)*200)&gt;COUNTIFS(Processos!$X$10:$X$509,1),"",IF(INDEX(Processos!$Z$10:$Z$509,MATCH((ROW()-36+($J$35-1)*200),Processos!$AK$10:$AK$509,0))="","",INDEX(Processos!$Z$10:$Z$509,MATCH((ROW()-36+($J$35-1)*200),Processos!$AK$10:$AK$509,0))))</f>
        <v>46122</v>
      </c>
      <c r="F156" s="6" t="str">
        <f>IF((ROW()-36+($J$35-1)*200)&gt;COUNTIFS(Processos!$X$10:$X$509,1),"",IF(IF(INDEX(Processos!$Y$10:$Y$509,MATCH((ROW()-36+($J$35-1)*200),Processos!$AK$10:$AK$509,0))=1,"Sim","Não")="","",IF(INDEX(Processos!$Y$10:$Y$509,MATCH((ROW()-36+($J$35-1)*200),Processos!$AK$10:$AK$509,0))=1,"Sim","Não")))</f>
        <v>Não</v>
      </c>
      <c r="G156" s="6" t="str">
        <f>IF((ROW()-36+($J$35-1)*200)&gt;COUNTIFS(Processos!$X$10:$X$509,1),"",IF(INDEX(Processos!$D$10:$D$509,MATCH((ROW()-36+($J$35-1)*200),Processos!$AK$10:$AK$509,0))="","",INDEX(Processos!$D$10:$D$509,MATCH((ROW()-36+($J$35-1)*200),Processos!$AK$10:$AK$509,0))))</f>
        <v>SMP Advogados</v>
      </c>
    </row>
    <row r="157" spans="1:7" ht="72" customHeight="1">
      <c r="A157" s="7" t="str">
        <f>IF((ROW()-36+($J$35-1)*200)&gt;COUNTIFS(Processos!$X$10:$X$509,1),"",IF(INDEX(Processos!$A$10:$A$509,MATCH((ROW()-36+($J$35-1)*200),Processos!$AK$10:$AK$509,0))="","",INDEX(Processos!$A$10:$A$509,MATCH((ROW()-36+($J$35-1)*200),Processos!$AK$10:$AK$509,0))))</f>
        <v>51402.108343/2015-14</v>
      </c>
      <c r="B157" s="6" t="str">
        <f>IF((ROW()-36+($J$35-1)*200)&gt;COUNTIFS(Processos!$X$10:$X$509,1),"",IF(INDEX(Processos!$C$10:$C$509,MATCH((ROW()-36+($J$35-1)*200),Processos!$AK$10:$AK$509,0))="","",INDEX(Processos!$C$10:$C$509,MATCH((ROW()-36+($J$35-1)*200),Processos!$AK$10:$AK$509,0))))</f>
        <v>Arquivado</v>
      </c>
      <c r="C15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VALEC × ALTA</v>
      </c>
      <c r="D157" s="10" t="str">
        <f>IF((ROW()-36+($J$35-1)*200)&gt;COUNTIFS(Processos!$X$10:$X$509,1),"",IF(INDEX(Processos!$AQ$10:$AQ$509,MATCH((ROW()-36+($J$35-1)*200),Processos!$AK$10:$AK$509,0))="","",INDEX(Processos!$AQ$10:$AQ$509,MATCH((ROW()-36+($J$35-1)*200),Processos!$AK$10:$AK$509,0))))</f>
        <v/>
      </c>
      <c r="E157" s="8">
        <f>IF((ROW()-36+($J$35-1)*200)&gt;COUNTIFS(Processos!$X$10:$X$509,1),"",IF(INDEX(Processos!$Z$10:$Z$509,MATCH((ROW()-36+($J$35-1)*200),Processos!$AK$10:$AK$509,0))="","",INDEX(Processos!$Z$10:$Z$509,MATCH((ROW()-36+($J$35-1)*200),Processos!$AK$10:$AK$509,0))))</f>
        <v>45790</v>
      </c>
      <c r="F157" s="6" t="str">
        <f>IF((ROW()-36+($J$35-1)*200)&gt;COUNTIFS(Processos!$X$10:$X$509,1),"",IF(IF(INDEX(Processos!$Y$10:$Y$509,MATCH((ROW()-36+($J$35-1)*200),Processos!$AK$10:$AK$509,0))=1,"Sim","Não")="","",IF(INDEX(Processos!$Y$10:$Y$509,MATCH((ROW()-36+($J$35-1)*200),Processos!$AK$10:$AK$509,0))=1,"Sim","Não")))</f>
        <v>Não</v>
      </c>
      <c r="G157" s="6" t="str">
        <f>IF((ROW()-36+($J$35-1)*200)&gt;COUNTIFS(Processos!$X$10:$X$509,1),"",IF(INDEX(Processos!$D$10:$D$509,MATCH((ROW()-36+($J$35-1)*200),Processos!$AK$10:$AK$509,0))="","",INDEX(Processos!$D$10:$D$509,MATCH((ROW()-36+($J$35-1)*200),Processos!$AK$10:$AK$509,0))))</f>
        <v>Liporace</v>
      </c>
    </row>
    <row r="158" spans="1:7" ht="72" customHeight="1">
      <c r="A158" s="7" t="str">
        <f>IF((ROW()-36+($J$35-1)*200)&gt;COUNTIFS(Processos!$X$10:$X$509,1),"",IF(INDEX(Processos!$A$10:$A$509,MATCH((ROW()-36+($J$35-1)*200),Processos!$AK$10:$AK$509,0))="","",INDEX(Processos!$A$10:$A$509,MATCH((ROW()-36+($J$35-1)*200),Processos!$AK$10:$AK$509,0))))</f>
        <v>51402.108251/2015-34</v>
      </c>
      <c r="B158" s="6" t="str">
        <f>IF((ROW()-36+($J$35-1)*200)&gt;COUNTIFS(Processos!$X$10:$X$509,1),"",IF(INDEX(Processos!$C$10:$C$509,MATCH((ROW()-36+($J$35-1)*200),Processos!$AK$10:$AK$509,0))="","",INDEX(Processos!$C$10:$C$509,MATCH((ROW()-36+($J$35-1)*200),Processos!$AK$10:$AK$509,0))))</f>
        <v>Arquivado</v>
      </c>
      <c r="C15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VALEC × ALTA</v>
      </c>
      <c r="D158" s="10" t="str">
        <f>IF((ROW()-36+($J$35-1)*200)&gt;COUNTIFS(Processos!$X$10:$X$509,1),"",IF(INDEX(Processos!$AQ$10:$AQ$509,MATCH((ROW()-36+($J$35-1)*200),Processos!$AK$10:$AK$509,0))="","",INDEX(Processos!$AQ$10:$AQ$509,MATCH((ROW()-36+($J$35-1)*200),Processos!$AK$10:$AK$509,0))))</f>
        <v/>
      </c>
      <c r="E158" s="8">
        <f>IF((ROW()-36+($J$35-1)*200)&gt;COUNTIFS(Processos!$X$10:$X$509,1),"",IF(INDEX(Processos!$Z$10:$Z$509,MATCH((ROW()-36+($J$35-1)*200),Processos!$AK$10:$AK$509,0))="","",INDEX(Processos!$Z$10:$Z$509,MATCH((ROW()-36+($J$35-1)*200),Processos!$AK$10:$AK$509,0))))</f>
        <v>45852</v>
      </c>
      <c r="F158" s="6" t="str">
        <f>IF((ROW()-36+($J$35-1)*200)&gt;COUNTIFS(Processos!$X$10:$X$509,1),"",IF(IF(INDEX(Processos!$Y$10:$Y$509,MATCH((ROW()-36+($J$35-1)*200),Processos!$AK$10:$AK$509,0))=1,"Sim","Não")="","",IF(INDEX(Processos!$Y$10:$Y$509,MATCH((ROW()-36+($J$35-1)*200),Processos!$AK$10:$AK$509,0))=1,"Sim","Não")))</f>
        <v>Não</v>
      </c>
      <c r="G158" s="6" t="str">
        <f>IF((ROW()-36+($J$35-1)*200)&gt;COUNTIFS(Processos!$X$10:$X$509,1),"",IF(INDEX(Processos!$D$10:$D$509,MATCH((ROW()-36+($J$35-1)*200),Processos!$AK$10:$AK$509,0))="","",INDEX(Processos!$D$10:$D$509,MATCH((ROW()-36+($J$35-1)*200),Processos!$AK$10:$AK$509,0))))</f>
        <v>Liporace</v>
      </c>
    </row>
    <row r="159" spans="1:7" ht="72" customHeight="1">
      <c r="A159" s="7" t="str">
        <f>IF((ROW()-36+($J$35-1)*200)&gt;COUNTIFS(Processos!$X$10:$X$509,1),"",IF(INDEX(Processos!$A$10:$A$509,MATCH((ROW()-36+($J$35-1)*200),Processos!$AK$10:$AK$509,0))="","",INDEX(Processos!$A$10:$A$509,MATCH((ROW()-36+($J$35-1)*200),Processos!$AK$10:$AK$509,0))))</f>
        <v>51402.237467/2019-31</v>
      </c>
      <c r="B159" s="6" t="str">
        <f>IF((ROW()-36+($J$35-1)*200)&gt;COUNTIFS(Processos!$X$10:$X$509,1),"",IF(INDEX(Processos!$C$10:$C$509,MATCH((ROW()-36+($J$35-1)*200),Processos!$AK$10:$AK$509,0))="","",INDEX(Processos!$C$10:$C$509,MATCH((ROW()-36+($J$35-1)*200),Processos!$AK$10:$AK$509,0))))</f>
        <v>Ativo</v>
      </c>
      <c r="C15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VALEC × ALTA</v>
      </c>
      <c r="D159" s="10">
        <f>IF((ROW()-36+($J$35-1)*200)&gt;COUNTIFS(Processos!$X$10:$X$509,1),"",IF(INDEX(Processos!$AQ$10:$AQ$509,MATCH((ROW()-36+($J$35-1)*200),Processos!$AK$10:$AK$509,0))="","",INDEX(Processos!$AQ$10:$AQ$509,MATCH((ROW()-36+($J$35-1)*200),Processos!$AK$10:$AK$509,0))))</f>
        <v>350000</v>
      </c>
      <c r="E159" s="8">
        <f>IF((ROW()-36+($J$35-1)*200)&gt;COUNTIFS(Processos!$X$10:$X$509,1),"",IF(INDEX(Processos!$Z$10:$Z$509,MATCH((ROW()-36+($J$35-1)*200),Processos!$AK$10:$AK$509,0))="","",INDEX(Processos!$Z$10:$Z$509,MATCH((ROW()-36+($J$35-1)*200),Processos!$AK$10:$AK$509,0))))</f>
        <v>46112</v>
      </c>
      <c r="F159" s="6" t="str">
        <f>IF((ROW()-36+($J$35-1)*200)&gt;COUNTIFS(Processos!$X$10:$X$509,1),"",IF(IF(INDEX(Processos!$Y$10:$Y$509,MATCH((ROW()-36+($J$35-1)*200),Processos!$AK$10:$AK$509,0))=1,"Sim","Não")="","",IF(INDEX(Processos!$Y$10:$Y$509,MATCH((ROW()-36+($J$35-1)*200),Processos!$AK$10:$AK$509,0))=1,"Sim","Não")))</f>
        <v>Não</v>
      </c>
      <c r="G159" s="6" t="str">
        <f>IF((ROW()-36+($J$35-1)*200)&gt;COUNTIFS(Processos!$X$10:$X$509,1),"",IF(INDEX(Processos!$D$10:$D$509,MATCH((ROW()-36+($J$35-1)*200),Processos!$AK$10:$AK$509,0))="","",INDEX(Processos!$D$10:$D$509,MATCH((ROW()-36+($J$35-1)*200),Processos!$AK$10:$AK$509,0))))</f>
        <v>Liporace</v>
      </c>
    </row>
    <row r="160" spans="1:7" ht="72" customHeight="1">
      <c r="A160" s="7" t="str">
        <f>IF((ROW()-36+($J$35-1)*200)&gt;COUNTIFS(Processos!$X$10:$X$509,1),"",IF(INDEX(Processos!$A$10:$A$509,MATCH((ROW()-36+($J$35-1)*200),Processos!$AK$10:$AK$509,0))="","",INDEX(Processos!$A$10:$A$509,MATCH((ROW()-36+($J$35-1)*200),Processos!$AK$10:$AK$509,0))))</f>
        <v>1027128-89.2023.4.01.3400</v>
      </c>
      <c r="B160" s="6" t="str">
        <f>IF((ROW()-36+($J$35-1)*200)&gt;COUNTIFS(Processos!$X$10:$X$509,1),"",IF(INDEX(Processos!$C$10:$C$509,MATCH((ROW()-36+($J$35-1)*200),Processos!$AK$10:$AK$509,0))="","",INDEX(Processos!$C$10:$C$509,MATCH((ROW()-36+($J$35-1)*200),Processos!$AK$10:$AK$509,0))))</f>
        <v>Ativo</v>
      </c>
      <c r="C16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VALEC × CONSÓRCIO TRAIL SPAVIAS ALTA</v>
      </c>
      <c r="D160" s="10">
        <f>IF((ROW()-36+($J$35-1)*200)&gt;COUNTIFS(Processos!$X$10:$X$509,1),"",IF(INDEX(Processos!$AQ$10:$AQ$509,MATCH((ROW()-36+($J$35-1)*200),Processos!$AK$10:$AK$509,0))="","",INDEX(Processos!$AQ$10:$AQ$509,MATCH((ROW()-36+($J$35-1)*200),Processos!$AK$10:$AK$509,0))))</f>
        <v>78000000</v>
      </c>
      <c r="E160" s="8">
        <f>IF((ROW()-36+($J$35-1)*200)&gt;COUNTIFS(Processos!$X$10:$X$509,1),"",IF(INDEX(Processos!$Z$10:$Z$509,MATCH((ROW()-36+($J$35-1)*200),Processos!$AK$10:$AK$509,0))="","",INDEX(Processos!$Z$10:$Z$509,MATCH((ROW()-36+($J$35-1)*200),Processos!$AK$10:$AK$509,0))))</f>
        <v>46112</v>
      </c>
      <c r="F160" s="6" t="str">
        <f>IF((ROW()-36+($J$35-1)*200)&gt;COUNTIFS(Processos!$X$10:$X$509,1),"",IF(IF(INDEX(Processos!$Y$10:$Y$509,MATCH((ROW()-36+($J$35-1)*200),Processos!$AK$10:$AK$509,0))=1,"Sim","Não")="","",IF(INDEX(Processos!$Y$10:$Y$509,MATCH((ROW()-36+($J$35-1)*200),Processos!$AK$10:$AK$509,0))=1,"Sim","Não")))</f>
        <v>Não</v>
      </c>
      <c r="G160" s="6" t="str">
        <f>IF((ROW()-36+($J$35-1)*200)&gt;COUNTIFS(Processos!$X$10:$X$509,1),"",IF(INDEX(Processos!$D$10:$D$509,MATCH((ROW()-36+($J$35-1)*200),Processos!$AK$10:$AK$509,0))="","",INDEX(Processos!$D$10:$D$509,MATCH((ROW()-36+($J$35-1)*200),Processos!$AK$10:$AK$509,0))))</f>
        <v>Liporace</v>
      </c>
    </row>
    <row r="161" spans="1:7" ht="72" customHeight="1">
      <c r="A161" s="7" t="str">
        <f>IF((ROW()-36+($J$35-1)*200)&gt;COUNTIFS(Processos!$X$10:$X$509,1),"",IF(INDEX(Processos!$A$10:$A$509,MATCH((ROW()-36+($J$35-1)*200),Processos!$AK$10:$AK$509,0))="","",INDEX(Processos!$A$10:$A$509,MATCH((ROW()-36+($J$35-1)*200),Processos!$AK$10:$AK$509,0))))</f>
        <v>51402.100591/2021-65</v>
      </c>
      <c r="B161" s="6" t="str">
        <f>IF((ROW()-36+($J$35-1)*200)&gt;COUNTIFS(Processos!$X$10:$X$509,1),"",IF(INDEX(Processos!$C$10:$C$509,MATCH((ROW()-36+($J$35-1)*200),Processos!$AK$10:$AK$509,0))="","",INDEX(Processos!$C$10:$C$509,MATCH((ROW()-36+($J$35-1)*200),Processos!$AK$10:$AK$509,0))))</f>
        <v>Arquivado</v>
      </c>
      <c r="C16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VALEC × CONSÓRCIO TRAIL SPAVIAS ALTA</v>
      </c>
      <c r="D161" s="10" t="str">
        <f>IF((ROW()-36+($J$35-1)*200)&gt;COUNTIFS(Processos!$X$10:$X$509,1),"",IF(INDEX(Processos!$AQ$10:$AQ$509,MATCH((ROW()-36+($J$35-1)*200),Processos!$AK$10:$AK$509,0))="","",INDEX(Processos!$AQ$10:$AQ$509,MATCH((ROW()-36+($J$35-1)*200),Processos!$AK$10:$AK$509,0))))</f>
        <v/>
      </c>
      <c r="E161" s="8">
        <f>IF((ROW()-36+($J$35-1)*200)&gt;COUNTIFS(Processos!$X$10:$X$509,1),"",IF(INDEX(Processos!$Z$10:$Z$509,MATCH((ROW()-36+($J$35-1)*200),Processos!$AK$10:$AK$509,0))="","",INDEX(Processos!$Z$10:$Z$509,MATCH((ROW()-36+($J$35-1)*200),Processos!$AK$10:$AK$509,0))))</f>
        <v>45751</v>
      </c>
      <c r="F161" s="6" t="str">
        <f>IF((ROW()-36+($J$35-1)*200)&gt;COUNTIFS(Processos!$X$10:$X$509,1),"",IF(IF(INDEX(Processos!$Y$10:$Y$509,MATCH((ROW()-36+($J$35-1)*200),Processos!$AK$10:$AK$509,0))=1,"Sim","Não")="","",IF(INDEX(Processos!$Y$10:$Y$509,MATCH((ROW()-36+($J$35-1)*200),Processos!$AK$10:$AK$509,0))=1,"Sim","Não")))</f>
        <v>Não</v>
      </c>
      <c r="G161" s="6" t="str">
        <f>IF((ROW()-36+($J$35-1)*200)&gt;COUNTIFS(Processos!$X$10:$X$509,1),"",IF(INDEX(Processos!$D$10:$D$509,MATCH((ROW()-36+($J$35-1)*200),Processos!$AK$10:$AK$509,0))="","",INDEX(Processos!$D$10:$D$509,MATCH((ROW()-36+($J$35-1)*200),Processos!$AK$10:$AK$509,0))))</f>
        <v>Liporace</v>
      </c>
    </row>
    <row r="162" spans="1:7" ht="72" customHeight="1">
      <c r="A162" s="7" t="str">
        <f>IF((ROW()-36+($J$35-1)*200)&gt;COUNTIFS(Processos!$X$10:$X$509,1),"",IF(INDEX(Processos!$A$10:$A$509,MATCH((ROW()-36+($J$35-1)*200),Processos!$AK$10:$AK$509,0))="","",INDEX(Processos!$A$10:$A$509,MATCH((ROW()-36+($J$35-1)*200),Processos!$AK$10:$AK$509,0))))</f>
        <v>1030764-29.2024.4.01.3400</v>
      </c>
      <c r="B162" s="6" t="str">
        <f>IF((ROW()-36+($J$35-1)*200)&gt;COUNTIFS(Processos!$X$10:$X$509,1),"",IF(INDEX(Processos!$C$10:$C$509,MATCH((ROW()-36+($J$35-1)*200),Processos!$AK$10:$AK$509,0))="","",INDEX(Processos!$C$10:$C$509,MATCH((ROW()-36+($J$35-1)*200),Processos!$AK$10:$AK$509,0))))</f>
        <v>Ativo</v>
      </c>
      <c r="C16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VALEC × CONSÓRCIO TRAIL SPAVIAS ALTA</v>
      </c>
      <c r="D162" s="10">
        <f>IF((ROW()-36+($J$35-1)*200)&gt;COUNTIFS(Processos!$X$10:$X$509,1),"",IF(INDEX(Processos!$AQ$10:$AQ$509,MATCH((ROW()-36+($J$35-1)*200),Processos!$AK$10:$AK$509,0))="","",INDEX(Processos!$AQ$10:$AQ$509,MATCH((ROW()-36+($J$35-1)*200),Processos!$AK$10:$AK$509,0))))</f>
        <v>3500000</v>
      </c>
      <c r="E162" s="8">
        <f>IF((ROW()-36+($J$35-1)*200)&gt;COUNTIFS(Processos!$X$10:$X$509,1),"",IF(INDEX(Processos!$Z$10:$Z$509,MATCH((ROW()-36+($J$35-1)*200),Processos!$AK$10:$AK$509,0))="","",INDEX(Processos!$Z$10:$Z$509,MATCH((ROW()-36+($J$35-1)*200),Processos!$AK$10:$AK$509,0))))</f>
        <v>46253</v>
      </c>
      <c r="F162" s="6" t="str">
        <f>IF((ROW()-36+($J$35-1)*200)&gt;COUNTIFS(Processos!$X$10:$X$509,1),"",IF(IF(INDEX(Processos!$Y$10:$Y$509,MATCH((ROW()-36+($J$35-1)*200),Processos!$AK$10:$AK$509,0))=1,"Sim","Não")="","",IF(INDEX(Processos!$Y$10:$Y$509,MATCH((ROW()-36+($J$35-1)*200),Processos!$AK$10:$AK$509,0))=1,"Sim","Não")))</f>
        <v>Não</v>
      </c>
      <c r="G162" s="6" t="str">
        <f>IF((ROW()-36+($J$35-1)*200)&gt;COUNTIFS(Processos!$X$10:$X$509,1),"",IF(INDEX(Processos!$D$10:$D$509,MATCH((ROW()-36+($J$35-1)*200),Processos!$AK$10:$AK$509,0))="","",INDEX(Processos!$D$10:$D$509,MATCH((ROW()-36+($J$35-1)*200),Processos!$AK$10:$AK$509,0))))</f>
        <v>Liporace</v>
      </c>
    </row>
    <row r="163" spans="1:7" ht="72" customHeight="1">
      <c r="A163" s="7" t="str">
        <f>IF((ROW()-36+($J$35-1)*200)&gt;COUNTIFS(Processos!$X$10:$X$509,1),"",IF(INDEX(Processos!$A$10:$A$509,MATCH((ROW()-36+($J$35-1)*200),Processos!$AK$10:$AK$509,0))="","",INDEX(Processos!$A$10:$A$509,MATCH((ROW()-36+($J$35-1)*200),Processos!$AK$10:$AK$509,0))))</f>
        <v>1029005-30.2024.4.01.3400</v>
      </c>
      <c r="B163" s="6" t="str">
        <f>IF((ROW()-36+($J$35-1)*200)&gt;COUNTIFS(Processos!$X$10:$X$509,1),"",IF(INDEX(Processos!$C$10:$C$509,MATCH((ROW()-36+($J$35-1)*200),Processos!$AK$10:$AK$509,0))="","",INDEX(Processos!$C$10:$C$509,MATCH((ROW()-36+($J$35-1)*200),Processos!$AK$10:$AK$509,0))))</f>
        <v>Ativo</v>
      </c>
      <c r="C16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VALEC × CONSÓRCIO TRAIL SPAVIAS ALTA</v>
      </c>
      <c r="D163" s="10">
        <f>IF((ROW()-36+($J$35-1)*200)&gt;COUNTIFS(Processos!$X$10:$X$509,1),"",IF(INDEX(Processos!$AQ$10:$AQ$509,MATCH((ROW()-36+($J$35-1)*200),Processos!$AK$10:$AK$509,0))="","",INDEX(Processos!$AQ$10:$AQ$509,MATCH((ROW()-36+($J$35-1)*200),Processos!$AK$10:$AK$509,0))))</f>
        <v>12000000</v>
      </c>
      <c r="E163" s="8">
        <f>IF((ROW()-36+($J$35-1)*200)&gt;COUNTIFS(Processos!$X$10:$X$509,1),"",IF(INDEX(Processos!$Z$10:$Z$509,MATCH((ROW()-36+($J$35-1)*200),Processos!$AK$10:$AK$509,0))="","",INDEX(Processos!$Z$10:$Z$509,MATCH((ROW()-36+($J$35-1)*200),Processos!$AK$10:$AK$509,0))))</f>
        <v>46112</v>
      </c>
      <c r="F163" s="6" t="str">
        <f>IF((ROW()-36+($J$35-1)*200)&gt;COUNTIFS(Processos!$X$10:$X$509,1),"",IF(IF(INDEX(Processos!$Y$10:$Y$509,MATCH((ROW()-36+($J$35-1)*200),Processos!$AK$10:$AK$509,0))=1,"Sim","Não")="","",IF(INDEX(Processos!$Y$10:$Y$509,MATCH((ROW()-36+($J$35-1)*200),Processos!$AK$10:$AK$509,0))=1,"Sim","Não")))</f>
        <v>Não</v>
      </c>
      <c r="G163" s="6" t="str">
        <f>IF((ROW()-36+($J$35-1)*200)&gt;COUNTIFS(Processos!$X$10:$X$509,1),"",IF(INDEX(Processos!$D$10:$D$509,MATCH((ROW()-36+($J$35-1)*200),Processos!$AK$10:$AK$509,0))="","",INDEX(Processos!$D$10:$D$509,MATCH((ROW()-36+($J$35-1)*200),Processos!$AK$10:$AK$509,0))))</f>
        <v>Liporace</v>
      </c>
    </row>
    <row r="164" spans="1:7" ht="72" customHeight="1">
      <c r="A164" s="7" t="str">
        <f>IF((ROW()-36+($J$35-1)*200)&gt;COUNTIFS(Processos!$X$10:$X$509,1),"",IF(INDEX(Processos!$A$10:$A$509,MATCH((ROW()-36+($J$35-1)*200),Processos!$AK$10:$AK$509,0))="","",INDEX(Processos!$A$10:$A$509,MATCH((ROW()-36+($J$35-1)*200),Processos!$AK$10:$AK$509,0))))</f>
        <v>51402.102109/2020-41</v>
      </c>
      <c r="B164" s="6" t="str">
        <f>IF((ROW()-36+($J$35-1)*200)&gt;COUNTIFS(Processos!$X$10:$X$509,1),"",IF(INDEX(Processos!$C$10:$C$509,MATCH((ROW()-36+($J$35-1)*200),Processos!$AK$10:$AK$509,0))="","",INDEX(Processos!$C$10:$C$509,MATCH((ROW()-36+($J$35-1)*200),Processos!$AK$10:$AK$509,0))))</f>
        <v>Encerrado</v>
      </c>
      <c r="C16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VALEC × CONSÓRCIO TRAIL SPAVIAS ALTA</v>
      </c>
      <c r="D164" s="10" t="str">
        <f>IF((ROW()-36+($J$35-1)*200)&gt;COUNTIFS(Processos!$X$10:$X$509,1),"",IF(INDEX(Processos!$AQ$10:$AQ$509,MATCH((ROW()-36+($J$35-1)*200),Processos!$AK$10:$AK$509,0))="","",INDEX(Processos!$AQ$10:$AQ$509,MATCH((ROW()-36+($J$35-1)*200),Processos!$AK$10:$AK$509,0))))</f>
        <v/>
      </c>
      <c r="E164" s="8">
        <f>IF((ROW()-36+($J$35-1)*200)&gt;COUNTIFS(Processos!$X$10:$X$509,1),"",IF(INDEX(Processos!$Z$10:$Z$509,MATCH((ROW()-36+($J$35-1)*200),Processos!$AK$10:$AK$509,0))="","",INDEX(Processos!$Z$10:$Z$509,MATCH((ROW()-36+($J$35-1)*200),Processos!$AK$10:$AK$509,0))))</f>
        <v>45790</v>
      </c>
      <c r="F164" s="6" t="str">
        <f>IF((ROW()-36+($J$35-1)*200)&gt;COUNTIFS(Processos!$X$10:$X$509,1),"",IF(IF(INDEX(Processos!$Y$10:$Y$509,MATCH((ROW()-36+($J$35-1)*200),Processos!$AK$10:$AK$509,0))=1,"Sim","Não")="","",IF(INDEX(Processos!$Y$10:$Y$509,MATCH((ROW()-36+($J$35-1)*200),Processos!$AK$10:$AK$509,0))=1,"Sim","Não")))</f>
        <v>Não</v>
      </c>
      <c r="G164" s="6" t="str">
        <f>IF((ROW()-36+($J$35-1)*200)&gt;COUNTIFS(Processos!$X$10:$X$509,1),"",IF(INDEX(Processos!$D$10:$D$509,MATCH((ROW()-36+($J$35-1)*200),Processos!$AK$10:$AK$509,0))="","",INDEX(Processos!$D$10:$D$509,MATCH((ROW()-36+($J$35-1)*200),Processos!$AK$10:$AK$509,0))))</f>
        <v>Liporace</v>
      </c>
    </row>
    <row r="165" spans="1:7" ht="72" customHeight="1">
      <c r="A165" s="7" t="str">
        <f>IF((ROW()-36+($J$35-1)*200)&gt;COUNTIFS(Processos!$X$10:$X$509,1),"",IF(INDEX(Processos!$A$10:$A$509,MATCH((ROW()-36+($J$35-1)*200),Processos!$AK$10:$AK$509,0))="","",INDEX(Processos!$A$10:$A$509,MATCH((ROW()-36+($J$35-1)*200),Processos!$AK$10:$AK$509,0))))</f>
        <v>51402.201435/2018-15</v>
      </c>
      <c r="B165" s="6" t="str">
        <f>IF((ROW()-36+($J$35-1)*200)&gt;COUNTIFS(Processos!$X$10:$X$509,1),"",IF(INDEX(Processos!$C$10:$C$509,MATCH((ROW()-36+($J$35-1)*200),Processos!$AK$10:$AK$509,0))="","",INDEX(Processos!$C$10:$C$509,MATCH((ROW()-36+($J$35-1)*200),Processos!$AK$10:$AK$509,0))))</f>
        <v>Ativo</v>
      </c>
      <c r="C16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VALEC × CONSÓRCIO TRAIL SPAVIAS ALTA</v>
      </c>
      <c r="D165" s="10">
        <f>IF((ROW()-36+($J$35-1)*200)&gt;COUNTIFS(Processos!$X$10:$X$509,1),"",IF(INDEX(Processos!$AQ$10:$AQ$509,MATCH((ROW()-36+($J$35-1)*200),Processos!$AK$10:$AK$509,0))="","",INDEX(Processos!$AQ$10:$AQ$509,MATCH((ROW()-36+($J$35-1)*200),Processos!$AK$10:$AK$509,0))))</f>
        <v>10500000</v>
      </c>
      <c r="E165" s="8">
        <f>IF((ROW()-36+($J$35-1)*200)&gt;COUNTIFS(Processos!$X$10:$X$509,1),"",IF(INDEX(Processos!$Z$10:$Z$509,MATCH((ROW()-36+($J$35-1)*200),Processos!$AK$10:$AK$509,0))="","",INDEX(Processos!$Z$10:$Z$509,MATCH((ROW()-36+($J$35-1)*200),Processos!$AK$10:$AK$509,0))))</f>
        <v>46112</v>
      </c>
      <c r="F165" s="6" t="str">
        <f>IF((ROW()-36+($J$35-1)*200)&gt;COUNTIFS(Processos!$X$10:$X$509,1),"",IF(IF(INDEX(Processos!$Y$10:$Y$509,MATCH((ROW()-36+($J$35-1)*200),Processos!$AK$10:$AK$509,0))=1,"Sim","Não")="","",IF(INDEX(Processos!$Y$10:$Y$509,MATCH((ROW()-36+($J$35-1)*200),Processos!$AK$10:$AK$509,0))=1,"Sim","Não")))</f>
        <v>Não</v>
      </c>
      <c r="G165" s="6" t="str">
        <f>IF((ROW()-36+($J$35-1)*200)&gt;COUNTIFS(Processos!$X$10:$X$509,1),"",IF(INDEX(Processos!$D$10:$D$509,MATCH((ROW()-36+($J$35-1)*200),Processos!$AK$10:$AK$509,0))="","",INDEX(Processos!$D$10:$D$509,MATCH((ROW()-36+($J$35-1)*200),Processos!$AK$10:$AK$509,0))))</f>
        <v>Liporace</v>
      </c>
    </row>
    <row r="166" spans="1:7" ht="72" customHeight="1">
      <c r="A166" s="7" t="str">
        <f>IF((ROW()-36+($J$35-1)*200)&gt;COUNTIFS(Processos!$X$10:$X$509,1),"",IF(INDEX(Processos!$A$10:$A$509,MATCH((ROW()-36+($J$35-1)*200),Processos!$AK$10:$AK$509,0))="","",INDEX(Processos!$A$10:$A$509,MATCH((ROW()-36+($J$35-1)*200),Processos!$AK$10:$AK$509,0))))</f>
        <v>1023138-93.2019.4.01.3800</v>
      </c>
      <c r="B166" s="6" t="str">
        <f>IF((ROW()-36+($J$35-1)*200)&gt;COUNTIFS(Processos!$X$10:$X$509,1),"",IF(INDEX(Processos!$C$10:$C$509,MATCH((ROW()-36+($J$35-1)*200),Processos!$AK$10:$AK$509,0))="","",INDEX(Processos!$C$10:$C$509,MATCH((ROW()-36+($J$35-1)*200),Processos!$AK$10:$AK$509,0))))</f>
        <v>Encerrado</v>
      </c>
      <c r="C16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TRIBUNAL REGIONAL FEDERAL DA 1ª REGIÃO × ALTA</v>
      </c>
      <c r="D166" s="10" t="str">
        <f>IF((ROW()-36+($J$35-1)*200)&gt;COUNTIFS(Processos!$X$10:$X$509,1),"",IF(INDEX(Processos!$AQ$10:$AQ$509,MATCH((ROW()-36+($J$35-1)*200),Processos!$AK$10:$AK$509,0))="","",INDEX(Processos!$AQ$10:$AQ$509,MATCH((ROW()-36+($J$35-1)*200),Processos!$AK$10:$AK$509,0))))</f>
        <v/>
      </c>
      <c r="E166" s="8">
        <f>IF((ROW()-36+($J$35-1)*200)&gt;COUNTIFS(Processos!$X$10:$X$509,1),"",IF(INDEX(Processos!$Z$10:$Z$509,MATCH((ROW()-36+($J$35-1)*200),Processos!$AK$10:$AK$509,0))="","",INDEX(Processos!$Z$10:$Z$509,MATCH((ROW()-36+($J$35-1)*200),Processos!$AK$10:$AK$509,0))))</f>
        <v>46080</v>
      </c>
      <c r="F166" s="6" t="str">
        <f>IF((ROW()-36+($J$35-1)*200)&gt;COUNTIFS(Processos!$X$10:$X$509,1),"",IF(IF(INDEX(Processos!$Y$10:$Y$509,MATCH((ROW()-36+($J$35-1)*200),Processos!$AK$10:$AK$509,0))=1,"Sim","Não")="","",IF(INDEX(Processos!$Y$10:$Y$509,MATCH((ROW()-36+($J$35-1)*200),Processos!$AK$10:$AK$509,0))=1,"Sim","Não")))</f>
        <v>Não</v>
      </c>
      <c r="G166" s="6" t="str">
        <f>IF((ROW()-36+($J$35-1)*200)&gt;COUNTIFS(Processos!$X$10:$X$509,1),"",IF(INDEX(Processos!$D$10:$D$509,MATCH((ROW()-36+($J$35-1)*200),Processos!$AK$10:$AK$509,0))="","",INDEX(Processos!$D$10:$D$509,MATCH((ROW()-36+($J$35-1)*200),Processos!$AK$10:$AK$509,0))))</f>
        <v>Enver</v>
      </c>
    </row>
    <row r="167" spans="1:7" ht="72" customHeight="1">
      <c r="A167" s="7" t="str">
        <f>IF((ROW()-36+($J$35-1)*200)&gt;COUNTIFS(Processos!$X$10:$X$509,1),"",IF(INDEX(Processos!$A$10:$A$509,MATCH((ROW()-36+($J$35-1)*200),Processos!$AK$10:$AK$509,0))="","",INDEX(Processos!$A$10:$A$509,MATCH((ROW()-36+($J$35-1)*200),Processos!$AK$10:$AK$509,0))))</f>
        <v>0000935-94.2017.8.17.0810</v>
      </c>
      <c r="B167" s="6" t="str">
        <f>IF((ROW()-36+($J$35-1)*200)&gt;COUNTIFS(Processos!$X$10:$X$509,1),"",IF(INDEX(Processos!$C$10:$C$509,MATCH((ROW()-36+($J$35-1)*200),Processos!$AK$10:$AK$509,0))="","",INDEX(Processos!$C$10:$C$509,MATCH((ROW()-36+($J$35-1)*200),Processos!$AK$10:$AK$509,0))))</f>
        <v>Ativo</v>
      </c>
      <c r="C16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MINISTÉRIO PÚBLICO × CAMILO DE LÉLLIS NOGUEIRA</v>
      </c>
      <c r="D167" s="10" t="str">
        <f>IF((ROW()-36+($J$35-1)*200)&gt;COUNTIFS(Processos!$X$10:$X$509,1),"",IF(INDEX(Processos!$AQ$10:$AQ$509,MATCH((ROW()-36+($J$35-1)*200),Processos!$AK$10:$AK$509,0))="","",INDEX(Processos!$AQ$10:$AQ$509,MATCH((ROW()-36+($J$35-1)*200),Processos!$AK$10:$AK$509,0))))</f>
        <v/>
      </c>
      <c r="E167" s="8">
        <f>IF((ROW()-36+($J$35-1)*200)&gt;COUNTIFS(Processos!$X$10:$X$509,1),"",IF(INDEX(Processos!$Z$10:$Z$509,MATCH((ROW()-36+($J$35-1)*200),Processos!$AK$10:$AK$509,0))="","",INDEX(Processos!$Z$10:$Z$509,MATCH((ROW()-36+($J$35-1)*200),Processos!$AK$10:$AK$509,0))))</f>
        <v>46080</v>
      </c>
      <c r="F167" s="6" t="str">
        <f>IF((ROW()-36+($J$35-1)*200)&gt;COUNTIFS(Processos!$X$10:$X$509,1),"",IF(IF(INDEX(Processos!$Y$10:$Y$509,MATCH((ROW()-36+($J$35-1)*200),Processos!$AK$10:$AK$509,0))=1,"Sim","Não")="","",IF(INDEX(Processos!$Y$10:$Y$509,MATCH((ROW()-36+($J$35-1)*200),Processos!$AK$10:$AK$509,0))=1,"Sim","Não")))</f>
        <v>Não</v>
      </c>
      <c r="G167" s="6" t="str">
        <f>IF((ROW()-36+($J$35-1)*200)&gt;COUNTIFS(Processos!$X$10:$X$509,1),"",IF(INDEX(Processos!$D$10:$D$509,MATCH((ROW()-36+($J$35-1)*200),Processos!$AK$10:$AK$509,0))="","",INDEX(Processos!$D$10:$D$509,MATCH((ROW()-36+($J$35-1)*200),Processos!$AK$10:$AK$509,0))))</f>
        <v>Pedro Calmon</v>
      </c>
    </row>
    <row r="168" spans="1:7" ht="72" customHeight="1">
      <c r="A168" s="7" t="str">
        <f>IF((ROW()-36+($J$35-1)*200)&gt;COUNTIFS(Processos!$X$10:$X$509,1),"",IF(INDEX(Processos!$A$10:$A$509,MATCH((ROW()-36+($J$35-1)*200),Processos!$AK$10:$AK$509,0))="","",INDEX(Processos!$A$10:$A$509,MATCH((ROW()-36+($J$35-1)*200),Processos!$AK$10:$AK$509,0))))</f>
        <v>1057475-42.2022.4.01.3400 [BRA-001]</v>
      </c>
      <c r="B168" s="6" t="str">
        <f>IF((ROW()-36+($J$35-1)*200)&gt;COUNTIFS(Processos!$X$10:$X$509,1),"",IF(INDEX(Processos!$C$10:$C$509,MATCH((ROW()-36+($J$35-1)*200),Processos!$AK$10:$AK$509,0))="","",INDEX(Processos!$C$10:$C$509,MATCH((ROW()-36+($J$35-1)*200),Processos!$AK$10:$AK$509,0))))</f>
        <v>Ativo</v>
      </c>
      <c r="C16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DNIT/AP × JM/EHL/ALTA</v>
      </c>
      <c r="D168" s="10" t="str">
        <f>IF((ROW()-36+($J$35-1)*200)&gt;COUNTIFS(Processos!$X$10:$X$509,1),"",IF(INDEX(Processos!$AQ$10:$AQ$509,MATCH((ROW()-36+($J$35-1)*200),Processos!$AK$10:$AK$509,0))="","",INDEX(Processos!$AQ$10:$AQ$509,MATCH((ROW()-36+($J$35-1)*200),Processos!$AK$10:$AK$509,0))))</f>
        <v/>
      </c>
      <c r="E168" s="8">
        <f>IF((ROW()-36+($J$35-1)*200)&gt;COUNTIFS(Processos!$X$10:$X$509,1),"",IF(INDEX(Processos!$Z$10:$Z$509,MATCH((ROW()-36+($J$35-1)*200),Processos!$AK$10:$AK$509,0))="","",INDEX(Processos!$Z$10:$Z$509,MATCH((ROW()-36+($J$35-1)*200),Processos!$AK$10:$AK$509,0))))</f>
        <v>46077</v>
      </c>
      <c r="F168" s="6" t="str">
        <f>IF((ROW()-36+($J$35-1)*200)&gt;COUNTIFS(Processos!$X$10:$X$509,1),"",IF(IF(INDEX(Processos!$Y$10:$Y$509,MATCH((ROW()-36+($J$35-1)*200),Processos!$AK$10:$AK$509,0))=1,"Sim","Não")="","",IF(INDEX(Processos!$Y$10:$Y$509,MATCH((ROW()-36+($J$35-1)*200),Processos!$AK$10:$AK$509,0))=1,"Sim","Não")))</f>
        <v>Não</v>
      </c>
      <c r="G168" s="6" t="str">
        <f>IF((ROW()-36+($J$35-1)*200)&gt;COUNTIFS(Processos!$X$10:$X$509,1),"",IF(INDEX(Processos!$D$10:$D$509,MATCH((ROW()-36+($J$35-1)*200),Processos!$AK$10:$AK$509,0))="","",INDEX(Processos!$D$10:$D$509,MATCH((ROW()-36+($J$35-1)*200),Processos!$AK$10:$AK$509,0))))</f>
        <v>Brandão</v>
      </c>
    </row>
    <row r="169" spans="1:7" ht="72" customHeight="1">
      <c r="A169" s="7" t="str">
        <f>IF((ROW()-36+($J$35-1)*200)&gt;COUNTIFS(Processos!$X$10:$X$509,1),"",IF(INDEX(Processos!$A$10:$A$509,MATCH((ROW()-36+($J$35-1)*200),Processos!$AK$10:$AK$509,0))="","",INDEX(Processos!$A$10:$A$509,MATCH((ROW()-36+($J$35-1)*200),Processos!$AK$10:$AK$509,0))))</f>
        <v>1005926-71.2023.4.01.0000 [BRA-002]</v>
      </c>
      <c r="B169" s="6" t="str">
        <f>IF((ROW()-36+($J$35-1)*200)&gt;COUNTIFS(Processos!$X$10:$X$509,1),"",IF(INDEX(Processos!$C$10:$C$509,MATCH((ROW()-36+($J$35-1)*200),Processos!$AK$10:$AK$509,0))="","",INDEX(Processos!$C$10:$C$509,MATCH((ROW()-36+($J$35-1)*200),Processos!$AK$10:$AK$509,0))))</f>
        <v>Ativo</v>
      </c>
      <c r="C16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AGARAVADO ALTA ENGENHARIA × AGRAVANTE DNIT/AP</v>
      </c>
      <c r="D169" s="10" t="str">
        <f>IF((ROW()-36+($J$35-1)*200)&gt;COUNTIFS(Processos!$X$10:$X$509,1),"",IF(INDEX(Processos!$AQ$10:$AQ$509,MATCH((ROW()-36+($J$35-1)*200),Processos!$AK$10:$AK$509,0))="","",INDEX(Processos!$AQ$10:$AQ$509,MATCH((ROW()-36+($J$35-1)*200),Processos!$AK$10:$AK$509,0))))</f>
        <v/>
      </c>
      <c r="E169" s="8">
        <f>IF((ROW()-36+($J$35-1)*200)&gt;COUNTIFS(Processos!$X$10:$X$509,1),"",IF(INDEX(Processos!$Z$10:$Z$509,MATCH((ROW()-36+($J$35-1)*200),Processos!$AK$10:$AK$509,0))="","",INDEX(Processos!$Z$10:$Z$509,MATCH((ROW()-36+($J$35-1)*200),Processos!$AK$10:$AK$509,0))))</f>
        <v>46077</v>
      </c>
      <c r="F169" s="6" t="str">
        <f>IF((ROW()-36+($J$35-1)*200)&gt;COUNTIFS(Processos!$X$10:$X$509,1),"",IF(IF(INDEX(Processos!$Y$10:$Y$509,MATCH((ROW()-36+($J$35-1)*200),Processos!$AK$10:$AK$509,0))=1,"Sim","Não")="","",IF(INDEX(Processos!$Y$10:$Y$509,MATCH((ROW()-36+($J$35-1)*200),Processos!$AK$10:$AK$509,0))=1,"Sim","Não")))</f>
        <v>Não</v>
      </c>
      <c r="G169" s="6" t="str">
        <f>IF((ROW()-36+($J$35-1)*200)&gt;COUNTIFS(Processos!$X$10:$X$509,1),"",IF(INDEX(Processos!$D$10:$D$509,MATCH((ROW()-36+($J$35-1)*200),Processos!$AK$10:$AK$509,0))="","",INDEX(Processos!$D$10:$D$509,MATCH((ROW()-36+($J$35-1)*200),Processos!$AK$10:$AK$509,0))))</f>
        <v>Brandão</v>
      </c>
    </row>
    <row r="170" spans="1:7" ht="72" customHeight="1">
      <c r="A170" s="7" t="str">
        <f>IF((ROW()-36+($J$35-1)*200)&gt;COUNTIFS(Processos!$X$10:$X$509,1),"",IF(INDEX(Processos!$A$10:$A$509,MATCH((ROW()-36+($J$35-1)*200),Processos!$AK$10:$AK$509,0))="","",INDEX(Processos!$A$10:$A$509,MATCH((ROW()-36+($J$35-1)*200),Processos!$AK$10:$AK$509,0))))</f>
        <v>1047703-21.2023.4.01.3400</v>
      </c>
      <c r="B170" s="6" t="str">
        <f>IF((ROW()-36+($J$35-1)*200)&gt;COUNTIFS(Processos!$X$10:$X$509,1),"",IF(INDEX(Processos!$C$10:$C$509,MATCH((ROW()-36+($J$35-1)*200),Processos!$AK$10:$AK$509,0))="","",INDEX(Processos!$C$10:$C$509,MATCH((ROW()-36+($J$35-1)*200),Processos!$AK$10:$AK$509,0))))</f>
        <v>Ativo</v>
      </c>
      <c r="C17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DNIT/AP × JM/EHL/ALTA (CONSÓRCIO JEA)</v>
      </c>
      <c r="D170" s="10" t="str">
        <f>IF((ROW()-36+($J$35-1)*200)&gt;COUNTIFS(Processos!$X$10:$X$509,1),"",IF(INDEX(Processos!$AQ$10:$AQ$509,MATCH((ROW()-36+($J$35-1)*200),Processos!$AK$10:$AK$509,0))="","",INDEX(Processos!$AQ$10:$AQ$509,MATCH((ROW()-36+($J$35-1)*200),Processos!$AK$10:$AK$509,0))))</f>
        <v/>
      </c>
      <c r="E170" s="8">
        <f>IF((ROW()-36+($J$35-1)*200)&gt;COUNTIFS(Processos!$X$10:$X$509,1),"",IF(INDEX(Processos!$Z$10:$Z$509,MATCH((ROW()-36+($J$35-1)*200),Processos!$AK$10:$AK$509,0))="","",INDEX(Processos!$Z$10:$Z$509,MATCH((ROW()-36+($J$35-1)*200),Processos!$AK$10:$AK$509,0))))</f>
        <v>46287</v>
      </c>
      <c r="F170" s="6" t="str">
        <f>IF((ROW()-36+($J$35-1)*200)&gt;COUNTIFS(Processos!$X$10:$X$509,1),"",IF(IF(INDEX(Processos!$Y$10:$Y$509,MATCH((ROW()-36+($J$35-1)*200),Processos!$AK$10:$AK$509,0))=1,"Sim","Não")="","",IF(INDEX(Processos!$Y$10:$Y$509,MATCH((ROW()-36+($J$35-1)*200),Processos!$AK$10:$AK$509,0))=1,"Sim","Não")))</f>
        <v>Não</v>
      </c>
      <c r="G170" s="6" t="str">
        <f>IF((ROW()-36+($J$35-1)*200)&gt;COUNTIFS(Processos!$X$10:$X$509,1),"",IF(INDEX(Processos!$D$10:$D$509,MATCH((ROW()-36+($J$35-1)*200),Processos!$AK$10:$AK$509,0))="","",INDEX(Processos!$D$10:$D$509,MATCH((ROW()-36+($J$35-1)*200),Processos!$AK$10:$AK$509,0))))</f>
        <v>Cavalcanti</v>
      </c>
    </row>
    <row r="171" spans="1:7" ht="72" customHeight="1">
      <c r="A171" s="7" t="str">
        <f>IF((ROW()-36+($J$35-1)*200)&gt;COUNTIFS(Processos!$X$10:$X$509,1),"",IF(INDEX(Processos!$A$10:$A$509,MATCH((ROW()-36+($J$35-1)*200),Processos!$AK$10:$AK$509,0))="","",INDEX(Processos!$A$10:$A$509,MATCH((ROW()-36+($J$35-1)*200),Processos!$AK$10:$AK$509,0))))</f>
        <v>1057475-42.2022.4.01.3400 [CAV-002]</v>
      </c>
      <c r="B171" s="6" t="str">
        <f>IF((ROW()-36+($J$35-1)*200)&gt;COUNTIFS(Processos!$X$10:$X$509,1),"",IF(INDEX(Processos!$C$10:$C$509,MATCH((ROW()-36+($J$35-1)*200),Processos!$AK$10:$AK$509,0))="","",INDEX(Processos!$C$10:$C$509,MATCH((ROW()-36+($J$35-1)*200),Processos!$AK$10:$AK$509,0))))</f>
        <v>Ativo</v>
      </c>
      <c r="C17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DNIT/AP × JM/EHL/ALTA</v>
      </c>
      <c r="D171" s="10" t="str">
        <f>IF((ROW()-36+($J$35-1)*200)&gt;COUNTIFS(Processos!$X$10:$X$509,1),"",IF(INDEX(Processos!$AQ$10:$AQ$509,MATCH((ROW()-36+($J$35-1)*200),Processos!$AK$10:$AK$509,0))="","",INDEX(Processos!$AQ$10:$AQ$509,MATCH((ROW()-36+($J$35-1)*200),Processos!$AK$10:$AK$509,0))))</f>
        <v/>
      </c>
      <c r="E171" s="8">
        <f>IF((ROW()-36+($J$35-1)*200)&gt;COUNTIFS(Processos!$X$10:$X$509,1),"",IF(INDEX(Processos!$Z$10:$Z$509,MATCH((ROW()-36+($J$35-1)*200),Processos!$AK$10:$AK$509,0))="","",INDEX(Processos!$Z$10:$Z$509,MATCH((ROW()-36+($J$35-1)*200),Processos!$AK$10:$AK$509,0))))</f>
        <v>46077</v>
      </c>
      <c r="F171" s="6" t="str">
        <f>IF((ROW()-36+($J$35-1)*200)&gt;COUNTIFS(Processos!$X$10:$X$509,1),"",IF(IF(INDEX(Processos!$Y$10:$Y$509,MATCH((ROW()-36+($J$35-1)*200),Processos!$AK$10:$AK$509,0))=1,"Sim","Não")="","",IF(INDEX(Processos!$Y$10:$Y$509,MATCH((ROW()-36+($J$35-1)*200),Processos!$AK$10:$AK$509,0))=1,"Sim","Não")))</f>
        <v>Não</v>
      </c>
      <c r="G171" s="6" t="str">
        <f>IF((ROW()-36+($J$35-1)*200)&gt;COUNTIFS(Processos!$X$10:$X$509,1),"",IF(INDEX(Processos!$D$10:$D$509,MATCH((ROW()-36+($J$35-1)*200),Processos!$AK$10:$AK$509,0))="","",INDEX(Processos!$D$10:$D$509,MATCH((ROW()-36+($J$35-1)*200),Processos!$AK$10:$AK$509,0))))</f>
        <v>Cavalcanti</v>
      </c>
    </row>
    <row r="172" spans="1:7" ht="72" customHeight="1">
      <c r="A172" s="7" t="str">
        <f>IF((ROW()-36+($J$35-1)*200)&gt;COUNTIFS(Processos!$X$10:$X$509,1),"",IF(INDEX(Processos!$A$10:$A$509,MATCH((ROW()-36+($J$35-1)*200),Processos!$AK$10:$AK$509,0))="","",INDEX(Processos!$A$10:$A$509,MATCH((ROW()-36+($J$35-1)*200),Processos!$AK$10:$AK$509,0))))</f>
        <v>1005926-71.2023.4.01.0000 [CAV-003]</v>
      </c>
      <c r="B172" s="6" t="str">
        <f>IF((ROW()-36+($J$35-1)*200)&gt;COUNTIFS(Processos!$X$10:$X$509,1),"",IF(INDEX(Processos!$C$10:$C$509,MATCH((ROW()-36+($J$35-1)*200),Processos!$AK$10:$AK$509,0))="","",INDEX(Processos!$C$10:$C$509,MATCH((ROW()-36+($J$35-1)*200),Processos!$AK$10:$AK$509,0))))</f>
        <v>Ativo</v>
      </c>
      <c r="C17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AGARAVADO ALTA ENGENHARIA × AGRAVANTE DNIT/AP</v>
      </c>
      <c r="D172" s="10" t="str">
        <f>IF((ROW()-36+($J$35-1)*200)&gt;COUNTIFS(Processos!$X$10:$X$509,1),"",IF(INDEX(Processos!$AQ$10:$AQ$509,MATCH((ROW()-36+($J$35-1)*200),Processos!$AK$10:$AK$509,0))="","",INDEX(Processos!$AQ$10:$AQ$509,MATCH((ROW()-36+($J$35-1)*200),Processos!$AK$10:$AK$509,0))))</f>
        <v/>
      </c>
      <c r="E172" s="8">
        <f>IF((ROW()-36+($J$35-1)*200)&gt;COUNTIFS(Processos!$X$10:$X$509,1),"",IF(INDEX(Processos!$Z$10:$Z$509,MATCH((ROW()-36+($J$35-1)*200),Processos!$AK$10:$AK$509,0))="","",INDEX(Processos!$Z$10:$Z$509,MATCH((ROW()-36+($J$35-1)*200),Processos!$AK$10:$AK$509,0))))</f>
        <v>46077</v>
      </c>
      <c r="F172" s="6" t="str">
        <f>IF((ROW()-36+($J$35-1)*200)&gt;COUNTIFS(Processos!$X$10:$X$509,1),"",IF(IF(INDEX(Processos!$Y$10:$Y$509,MATCH((ROW()-36+($J$35-1)*200),Processos!$AK$10:$AK$509,0))=1,"Sim","Não")="","",IF(INDEX(Processos!$Y$10:$Y$509,MATCH((ROW()-36+($J$35-1)*200),Processos!$AK$10:$AK$509,0))=1,"Sim","Não")))</f>
        <v>Não</v>
      </c>
      <c r="G172" s="6" t="str">
        <f>IF((ROW()-36+($J$35-1)*200)&gt;COUNTIFS(Processos!$X$10:$X$509,1),"",IF(INDEX(Processos!$D$10:$D$509,MATCH((ROW()-36+($J$35-1)*200),Processos!$AK$10:$AK$509,0))="","",INDEX(Processos!$D$10:$D$509,MATCH((ROW()-36+($J$35-1)*200),Processos!$AK$10:$AK$509,0))))</f>
        <v>Cavalcanti</v>
      </c>
    </row>
    <row r="173" spans="1:7" ht="72" customHeight="1">
      <c r="A173" s="7" t="str">
        <f>IF((ROW()-36+($J$35-1)*200)&gt;COUNTIFS(Processos!$X$10:$X$509,1),"",IF(INDEX(Processos!$A$10:$A$509,MATCH((ROW()-36+($J$35-1)*200),Processos!$AK$10:$AK$509,0))="","",INDEX(Processos!$A$10:$A$509,MATCH((ROW()-36+($J$35-1)*200),Processos!$AK$10:$AK$509,0))))</f>
        <v>1019783-32.2022.4.06.3800</v>
      </c>
      <c r="B173" s="6" t="str">
        <f>IF((ROW()-36+($J$35-1)*200)&gt;COUNTIFS(Processos!$X$10:$X$509,1),"",IF(INDEX(Processos!$C$10:$C$509,MATCH((ROW()-36+($J$35-1)*200),Processos!$AK$10:$AK$509,0))="","",INDEX(Processos!$C$10:$C$509,MATCH((ROW()-36+($J$35-1)*200),Processos!$AK$10:$AK$509,0))))</f>
        <v>Ativo</v>
      </c>
      <c r="C17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Fazenda Nacional × ALTA</v>
      </c>
      <c r="D173" s="10" t="str">
        <f>IF((ROW()-36+($J$35-1)*200)&gt;COUNTIFS(Processos!$X$10:$X$509,1),"",IF(INDEX(Processos!$AQ$10:$AQ$509,MATCH((ROW()-36+($J$35-1)*200),Processos!$AK$10:$AK$509,0))="","",INDEX(Processos!$AQ$10:$AQ$509,MATCH((ROW()-36+($J$35-1)*200),Processos!$AK$10:$AK$509,0))))</f>
        <v/>
      </c>
      <c r="E173" s="8">
        <f>IF((ROW()-36+($J$35-1)*200)&gt;COUNTIFS(Processos!$X$10:$X$509,1),"",IF(INDEX(Processos!$Z$10:$Z$509,MATCH((ROW()-36+($J$35-1)*200),Processos!$AK$10:$AK$509,0))="","",INDEX(Processos!$Z$10:$Z$509,MATCH((ROW()-36+($J$35-1)*200),Processos!$AK$10:$AK$509,0))))</f>
        <v>46084</v>
      </c>
      <c r="F173" s="6" t="str">
        <f>IF((ROW()-36+($J$35-1)*200)&gt;COUNTIFS(Processos!$X$10:$X$509,1),"",IF(IF(INDEX(Processos!$Y$10:$Y$509,MATCH((ROW()-36+($J$35-1)*200),Processos!$AK$10:$AK$509,0))=1,"Sim","Não")="","",IF(INDEX(Processos!$Y$10:$Y$509,MATCH((ROW()-36+($J$35-1)*200),Processos!$AK$10:$AK$509,0))=1,"Sim","Não")))</f>
        <v>Não</v>
      </c>
      <c r="G173" s="6" t="str">
        <f>IF((ROW()-36+($J$35-1)*200)&gt;COUNTIFS(Processos!$X$10:$X$509,1),"",IF(INDEX(Processos!$D$10:$D$509,MATCH((ROW()-36+($J$35-1)*200),Processos!$AK$10:$AK$509,0))="","",INDEX(Processos!$D$10:$D$509,MATCH((ROW()-36+($J$35-1)*200),Processos!$AK$10:$AK$509,0))))</f>
        <v>Joaquim Carvalho</v>
      </c>
    </row>
    <row r="174" spans="1:7" ht="72" customHeight="1">
      <c r="A174" s="7" t="str">
        <f>IF((ROW()-36+($J$35-1)*200)&gt;COUNTIFS(Processos!$X$10:$X$509,1),"",IF(INDEX(Processos!$A$10:$A$509,MATCH((ROW()-36+($J$35-1)*200),Processos!$AK$10:$AK$509,0))="","",INDEX(Processos!$A$10:$A$509,MATCH((ROW()-36+($J$35-1)*200),Processos!$AK$10:$AK$509,0))))</f>
        <v>5287392-91.2023.8.13.0024</v>
      </c>
      <c r="B174" s="6" t="str">
        <f>IF((ROW()-36+($J$35-1)*200)&gt;COUNTIFS(Processos!$X$10:$X$509,1),"",IF(INDEX(Processos!$C$10:$C$509,MATCH((ROW()-36+($J$35-1)*200),Processos!$AK$10:$AK$509,0))="","",INDEX(Processos!$C$10:$C$509,MATCH((ROW()-36+($J$35-1)*200),Processos!$AK$10:$AK$509,0))))</f>
        <v>Ativo</v>
      </c>
      <c r="C17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ALTA × Município de Belo Horizonte</v>
      </c>
      <c r="D174" s="10" t="str">
        <f>IF((ROW()-36+($J$35-1)*200)&gt;COUNTIFS(Processos!$X$10:$X$509,1),"",IF(INDEX(Processos!$AQ$10:$AQ$509,MATCH((ROW()-36+($J$35-1)*200),Processos!$AK$10:$AK$509,0))="","",INDEX(Processos!$AQ$10:$AQ$509,MATCH((ROW()-36+($J$35-1)*200),Processos!$AK$10:$AK$509,0))))</f>
        <v/>
      </c>
      <c r="E174" s="8">
        <f>IF((ROW()-36+($J$35-1)*200)&gt;COUNTIFS(Processos!$X$10:$X$509,1),"",IF(INDEX(Processos!$Z$10:$Z$509,MATCH((ROW()-36+($J$35-1)*200),Processos!$AK$10:$AK$509,0))="","",INDEX(Processos!$Z$10:$Z$509,MATCH((ROW()-36+($J$35-1)*200),Processos!$AK$10:$AK$509,0))))</f>
        <v>46105</v>
      </c>
      <c r="F174" s="6" t="str">
        <f>IF((ROW()-36+($J$35-1)*200)&gt;COUNTIFS(Processos!$X$10:$X$509,1),"",IF(IF(INDEX(Processos!$Y$10:$Y$509,MATCH((ROW()-36+($J$35-1)*200),Processos!$AK$10:$AK$509,0))=1,"Sim","Não")="","",IF(INDEX(Processos!$Y$10:$Y$509,MATCH((ROW()-36+($J$35-1)*200),Processos!$AK$10:$AK$509,0))=1,"Sim","Não")))</f>
        <v>Não</v>
      </c>
      <c r="G174" s="6" t="str">
        <f>IF((ROW()-36+($J$35-1)*200)&gt;COUNTIFS(Processos!$X$10:$X$509,1),"",IF(INDEX(Processos!$D$10:$D$509,MATCH((ROW()-36+($J$35-1)*200),Processos!$AK$10:$AK$509,0))="","",INDEX(Processos!$D$10:$D$509,MATCH((ROW()-36+($J$35-1)*200),Processos!$AK$10:$AK$509,0))))</f>
        <v>Sacha Calmon</v>
      </c>
    </row>
    <row r="175" spans="1:7" ht="72" customHeight="1">
      <c r="A175" s="7" t="str">
        <f>IF((ROW()-36+($J$35-1)*200)&gt;COUNTIFS(Processos!$X$10:$X$509,1),"",IF(INDEX(Processos!$A$10:$A$509,MATCH((ROW()-36+($J$35-1)*200),Processos!$AK$10:$AK$509,0))="","",INDEX(Processos!$A$10:$A$509,MATCH((ROW()-36+($J$35-1)*200),Processos!$AK$10:$AK$509,0))))</f>
        <v>5225553-65.2023.8.13.0024</v>
      </c>
      <c r="B175" s="6" t="str">
        <f>IF((ROW()-36+($J$35-1)*200)&gt;COUNTIFS(Processos!$X$10:$X$509,1),"",IF(INDEX(Processos!$C$10:$C$509,MATCH((ROW()-36+($J$35-1)*200),Processos!$AK$10:$AK$509,0))="","",INDEX(Processos!$C$10:$C$509,MATCH((ROW()-36+($J$35-1)*200),Processos!$AK$10:$AK$509,0))))</f>
        <v>Ativo</v>
      </c>
      <c r="C17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Município de Belo Horizonte × ALTA</v>
      </c>
      <c r="D175" s="10">
        <f>IF((ROW()-36+($J$35-1)*200)&gt;COUNTIFS(Processos!$X$10:$X$509,1),"",IF(INDEX(Processos!$AQ$10:$AQ$509,MATCH((ROW()-36+($J$35-1)*200),Processos!$AK$10:$AK$509,0))="","",INDEX(Processos!$AQ$10:$AQ$509,MATCH((ROW()-36+($J$35-1)*200),Processos!$AK$10:$AK$509,0))))</f>
        <v>28362468.460000001</v>
      </c>
      <c r="E175" s="8">
        <f>IF((ROW()-36+($J$35-1)*200)&gt;COUNTIFS(Processos!$X$10:$X$509,1),"",IF(INDEX(Processos!$Z$10:$Z$509,MATCH((ROW()-36+($J$35-1)*200),Processos!$AK$10:$AK$509,0))="","",INDEX(Processos!$Z$10:$Z$509,MATCH((ROW()-36+($J$35-1)*200),Processos!$AK$10:$AK$509,0))))</f>
        <v>46105</v>
      </c>
      <c r="F175" s="6" t="str">
        <f>IF((ROW()-36+($J$35-1)*200)&gt;COUNTIFS(Processos!$X$10:$X$509,1),"",IF(IF(INDEX(Processos!$Y$10:$Y$509,MATCH((ROW()-36+($J$35-1)*200),Processos!$AK$10:$AK$509,0))=1,"Sim","Não")="","",IF(INDEX(Processos!$Y$10:$Y$509,MATCH((ROW()-36+($J$35-1)*200),Processos!$AK$10:$AK$509,0))=1,"Sim","Não")))</f>
        <v>Sim</v>
      </c>
      <c r="G175" s="6" t="str">
        <f>IF((ROW()-36+($J$35-1)*200)&gt;COUNTIFS(Processos!$X$10:$X$509,1),"",IF(INDEX(Processos!$D$10:$D$509,MATCH((ROW()-36+($J$35-1)*200),Processos!$AK$10:$AK$509,0))="","",INDEX(Processos!$D$10:$D$509,MATCH((ROW()-36+($J$35-1)*200),Processos!$AK$10:$AK$509,0))))</f>
        <v>Sacha Calmon</v>
      </c>
    </row>
    <row r="176" spans="1:7" ht="72" customHeight="1">
      <c r="A176" s="7" t="str">
        <f>IF((ROW()-36+($J$35-1)*200)&gt;COUNTIFS(Processos!$X$10:$X$509,1),"",IF(INDEX(Processos!$A$10:$A$509,MATCH((ROW()-36+($J$35-1)*200),Processos!$AK$10:$AK$509,0))="","",INDEX(Processos!$A$10:$A$509,MATCH((ROW()-36+($J$35-1)*200),Processos!$AK$10:$AK$509,0))))</f>
        <v>Inquérito Policial 2022.0009514-SR/PF/MG</v>
      </c>
      <c r="B176" s="6" t="str">
        <f>IF((ROW()-36+($J$35-1)*200)&gt;COUNTIFS(Processos!$X$10:$X$509,1),"",IF(INDEX(Processos!$C$10:$C$509,MATCH((ROW()-36+($J$35-1)*200),Processos!$AK$10:$AK$509,0))="","",INDEX(Processos!$C$10:$C$509,MATCH((ROW()-36+($J$35-1)*200),Processos!$AK$10:$AK$509,0))))</f>
        <v>Ativo</v>
      </c>
      <c r="C17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Policia Federal de Minas Gerais × ALTA</v>
      </c>
      <c r="D176" s="10" t="str">
        <f>IF((ROW()-36+($J$35-1)*200)&gt;COUNTIFS(Processos!$X$10:$X$509,1),"",IF(INDEX(Processos!$AQ$10:$AQ$509,MATCH((ROW()-36+($J$35-1)*200),Processos!$AK$10:$AK$509,0))="","",INDEX(Processos!$AQ$10:$AQ$509,MATCH((ROW()-36+($J$35-1)*200),Processos!$AK$10:$AK$509,0))))</f>
        <v/>
      </c>
      <c r="E176" s="8">
        <f>IF((ROW()-36+($J$35-1)*200)&gt;COUNTIFS(Processos!$X$10:$X$509,1),"",IF(INDEX(Processos!$Z$10:$Z$509,MATCH((ROW()-36+($J$35-1)*200),Processos!$AK$10:$AK$509,0))="","",INDEX(Processos!$Z$10:$Z$509,MATCH((ROW()-36+($J$35-1)*200),Processos!$AK$10:$AK$509,0))))</f>
        <v>44998</v>
      </c>
      <c r="F176" s="6" t="str">
        <f>IF((ROW()-36+($J$35-1)*200)&gt;COUNTIFS(Processos!$X$10:$X$509,1),"",IF(IF(INDEX(Processos!$Y$10:$Y$509,MATCH((ROW()-36+($J$35-1)*200),Processos!$AK$10:$AK$509,0))=1,"Sim","Não")="","",IF(INDEX(Processos!$Y$10:$Y$509,MATCH((ROW()-36+($J$35-1)*200),Processos!$AK$10:$AK$509,0))=1,"Sim","Não")))</f>
        <v>Não</v>
      </c>
      <c r="G176" s="6" t="str">
        <f>IF((ROW()-36+($J$35-1)*200)&gt;COUNTIFS(Processos!$X$10:$X$509,1),"",IF(INDEX(Processos!$D$10:$D$509,MATCH((ROW()-36+($J$35-1)*200),Processos!$AK$10:$AK$509,0))="","",INDEX(Processos!$D$10:$D$509,MATCH((ROW()-36+($J$35-1)*200),Processos!$AK$10:$AK$509,0))))</f>
        <v>Frois</v>
      </c>
    </row>
    <row r="177" spans="1:7" ht="72" customHeight="1">
      <c r="A177" s="7" t="str">
        <f>IF((ROW()-36+($J$35-1)*200)&gt;COUNTIFS(Processos!$X$10:$X$509,1),"",IF(INDEX(Processos!$A$10:$A$509,MATCH((ROW()-36+($J$35-1)*200),Processos!$AK$10:$AK$509,0))="","",INDEX(Processos!$A$10:$A$509,MATCH((ROW()-36+($J$35-1)*200),Processos!$AK$10:$AK$509,0))))</f>
        <v>1110200-94.2023.4.06.3800</v>
      </c>
      <c r="B177" s="6" t="str">
        <f>IF((ROW()-36+($J$35-1)*200)&gt;COUNTIFS(Processos!$X$10:$X$509,1),"",IF(INDEX(Processos!$C$10:$C$509,MATCH((ROW()-36+($J$35-1)*200),Processos!$AK$10:$AK$509,0))="","",INDEX(Processos!$C$10:$C$509,MATCH((ROW()-36+($J$35-1)*200),Processos!$AK$10:$AK$509,0))))</f>
        <v>Ativo</v>
      </c>
      <c r="C17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xml:space="preserve"> × </v>
      </c>
      <c r="D177" s="10" t="str">
        <f>IF((ROW()-36+($J$35-1)*200)&gt;COUNTIFS(Processos!$X$10:$X$509,1),"",IF(INDEX(Processos!$AQ$10:$AQ$509,MATCH((ROW()-36+($J$35-1)*200),Processos!$AK$10:$AK$509,0))="","",INDEX(Processos!$AQ$10:$AQ$509,MATCH((ROW()-36+($J$35-1)*200),Processos!$AK$10:$AK$509,0))))</f>
        <v/>
      </c>
      <c r="E177" s="8">
        <f>IF((ROW()-36+($J$35-1)*200)&gt;COUNTIFS(Processos!$X$10:$X$509,1),"",IF(INDEX(Processos!$Z$10:$Z$509,MATCH((ROW()-36+($J$35-1)*200),Processos!$AK$10:$AK$509,0))="","",INDEX(Processos!$Z$10:$Z$509,MATCH((ROW()-36+($J$35-1)*200),Processos!$AK$10:$AK$509,0))))</f>
        <v>46042</v>
      </c>
      <c r="F177" s="6" t="str">
        <f>IF((ROW()-36+($J$35-1)*200)&gt;COUNTIFS(Processos!$X$10:$X$509,1),"",IF(IF(INDEX(Processos!$Y$10:$Y$509,MATCH((ROW()-36+($J$35-1)*200),Processos!$AK$10:$AK$509,0))=1,"Sim","Não")="","",IF(INDEX(Processos!$Y$10:$Y$509,MATCH((ROW()-36+($J$35-1)*200),Processos!$AK$10:$AK$509,0))=1,"Sim","Não")))</f>
        <v>Não</v>
      </c>
      <c r="G177" s="6" t="str">
        <f>IF((ROW()-36+($J$35-1)*200)&gt;COUNTIFS(Processos!$X$10:$X$509,1),"",IF(INDEX(Processos!$D$10:$D$509,MATCH((ROW()-36+($J$35-1)*200),Processos!$AK$10:$AK$509,0))="","",INDEX(Processos!$D$10:$D$509,MATCH((ROW()-36+($J$35-1)*200),Processos!$AK$10:$AK$509,0))))</f>
        <v>Frois</v>
      </c>
    </row>
    <row r="178" spans="1:7" ht="72" customHeight="1">
      <c r="A178" s="7" t="str">
        <f>IF((ROW()-36+($J$35-1)*200)&gt;COUNTIFS(Processos!$X$10:$X$509,1),"",IF(INDEX(Processos!$A$10:$A$509,MATCH((ROW()-36+($J$35-1)*200),Processos!$AK$10:$AK$509,0))="","",INDEX(Processos!$A$10:$A$509,MATCH((ROW()-36+($J$35-1)*200),Processos!$AK$10:$AK$509,0))))</f>
        <v>1020133-58.2022.4.01.3800</v>
      </c>
      <c r="B178" s="6" t="str">
        <f>IF((ROW()-36+($J$35-1)*200)&gt;COUNTIFS(Processos!$X$10:$X$509,1),"",IF(INDEX(Processos!$C$10:$C$509,MATCH((ROW()-36+($J$35-1)*200),Processos!$AK$10:$AK$509,0))="","",INDEX(Processos!$C$10:$C$509,MATCH((ROW()-36+($J$35-1)*200),Processos!$AK$10:$AK$509,0))))</f>
        <v>Ativo</v>
      </c>
      <c r="C17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xml:space="preserve"> × </v>
      </c>
      <c r="D178" s="10" t="str">
        <f>IF((ROW()-36+($J$35-1)*200)&gt;COUNTIFS(Processos!$X$10:$X$509,1),"",IF(INDEX(Processos!$AQ$10:$AQ$509,MATCH((ROW()-36+($J$35-1)*200),Processos!$AK$10:$AK$509,0))="","",INDEX(Processos!$AQ$10:$AQ$509,MATCH((ROW()-36+($J$35-1)*200),Processos!$AK$10:$AK$509,0))))</f>
        <v/>
      </c>
      <c r="E178" s="8">
        <f>IF((ROW()-36+($J$35-1)*200)&gt;COUNTIFS(Processos!$X$10:$X$509,1),"",IF(INDEX(Processos!$Z$10:$Z$509,MATCH((ROW()-36+($J$35-1)*200),Processos!$AK$10:$AK$509,0))="","",INDEX(Processos!$Z$10:$Z$509,MATCH((ROW()-36+($J$35-1)*200),Processos!$AK$10:$AK$509,0))))</f>
        <v>46043</v>
      </c>
      <c r="F178" s="6" t="str">
        <f>IF((ROW()-36+($J$35-1)*200)&gt;COUNTIFS(Processos!$X$10:$X$509,1),"",IF(IF(INDEX(Processos!$Y$10:$Y$509,MATCH((ROW()-36+($J$35-1)*200),Processos!$AK$10:$AK$509,0))=1,"Sim","Não")="","",IF(INDEX(Processos!$Y$10:$Y$509,MATCH((ROW()-36+($J$35-1)*200),Processos!$AK$10:$AK$509,0))=1,"Sim","Não")))</f>
        <v>Não</v>
      </c>
      <c r="G178" s="6" t="str">
        <f>IF((ROW()-36+($J$35-1)*200)&gt;COUNTIFS(Processos!$X$10:$X$509,1),"",IF(INDEX(Processos!$D$10:$D$509,MATCH((ROW()-36+($J$35-1)*200),Processos!$AK$10:$AK$509,0))="","",INDEX(Processos!$D$10:$D$509,MATCH((ROW()-36+($J$35-1)*200),Processos!$AK$10:$AK$509,0))))</f>
        <v>Frois</v>
      </c>
    </row>
    <row r="179" spans="1:7" ht="72" customHeight="1">
      <c r="A179" s="7" t="str">
        <f>IF((ROW()-36+($J$35-1)*200)&gt;COUNTIFS(Processos!$X$10:$X$509,1),"",IF(INDEX(Processos!$A$10:$A$509,MATCH((ROW()-36+($J$35-1)*200),Processos!$AK$10:$AK$509,0))="","",INDEX(Processos!$A$10:$A$509,MATCH((ROW()-36+($J$35-1)*200),Processos!$AK$10:$AK$509,0))))</f>
        <v>Inquérito Policial Federal n. 2024.0003162</v>
      </c>
      <c r="B179" s="6" t="str">
        <f>IF((ROW()-36+($J$35-1)*200)&gt;COUNTIFS(Processos!$X$10:$X$509,1),"",IF(INDEX(Processos!$C$10:$C$509,MATCH((ROW()-36+($J$35-1)*200),Processos!$AK$10:$AK$509,0))="","",INDEX(Processos!$C$10:$C$509,MATCH((ROW()-36+($J$35-1)*200),Processos!$AK$10:$AK$509,0))))</f>
        <v>Ativo</v>
      </c>
      <c r="C17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xml:space="preserve"> × </v>
      </c>
      <c r="D179" s="10" t="str">
        <f>IF((ROW()-36+($J$35-1)*200)&gt;COUNTIFS(Processos!$X$10:$X$509,1),"",IF(INDEX(Processos!$AQ$10:$AQ$509,MATCH((ROW()-36+($J$35-1)*200),Processos!$AK$10:$AK$509,0))="","",INDEX(Processos!$AQ$10:$AQ$509,MATCH((ROW()-36+($J$35-1)*200),Processos!$AK$10:$AK$509,0))))</f>
        <v/>
      </c>
      <c r="E179" s="8">
        <f>IF((ROW()-36+($J$35-1)*200)&gt;COUNTIFS(Processos!$X$10:$X$509,1),"",IF(INDEX(Processos!$Z$10:$Z$509,MATCH((ROW()-36+($J$35-1)*200),Processos!$AK$10:$AK$509,0))="","",INDEX(Processos!$Z$10:$Z$509,MATCH((ROW()-36+($J$35-1)*200),Processos!$AK$10:$AK$509,0))))</f>
        <v>46044</v>
      </c>
      <c r="F179" s="6" t="str">
        <f>IF((ROW()-36+($J$35-1)*200)&gt;COUNTIFS(Processos!$X$10:$X$509,1),"",IF(IF(INDEX(Processos!$Y$10:$Y$509,MATCH((ROW()-36+($J$35-1)*200),Processos!$AK$10:$AK$509,0))=1,"Sim","Não")="","",IF(INDEX(Processos!$Y$10:$Y$509,MATCH((ROW()-36+($J$35-1)*200),Processos!$AK$10:$AK$509,0))=1,"Sim","Não")))</f>
        <v>Não</v>
      </c>
      <c r="G179" s="6" t="str">
        <f>IF((ROW()-36+($J$35-1)*200)&gt;COUNTIFS(Processos!$X$10:$X$509,1),"",IF(INDEX(Processos!$D$10:$D$509,MATCH((ROW()-36+($J$35-1)*200),Processos!$AK$10:$AK$509,0))="","",INDEX(Processos!$D$10:$D$509,MATCH((ROW()-36+($J$35-1)*200),Processos!$AK$10:$AK$509,0))))</f>
        <v>Frois</v>
      </c>
    </row>
    <row r="180" spans="1:7" ht="72" customHeight="1">
      <c r="A180" s="7" t="str">
        <f>IF((ROW()-36+($J$35-1)*200)&gt;COUNTIFS(Processos!$X$10:$X$509,1),"",IF(INDEX(Processos!$A$10:$A$509,MATCH((ROW()-36+($J$35-1)*200),Processos!$AK$10:$AK$509,0))="","",INDEX(Processos!$A$10:$A$509,MATCH((ROW()-36+($J$35-1)*200),Processos!$AK$10:$AK$509,0))))</f>
        <v>50050.005489/2024- 74</v>
      </c>
      <c r="B180" s="6" t="str">
        <f>IF((ROW()-36+($J$35-1)*200)&gt;COUNTIFS(Processos!$X$10:$X$509,1),"",IF(INDEX(Processos!$C$10:$C$509,MATCH((ROW()-36+($J$35-1)*200),Processos!$AK$10:$AK$509,0))="","",INDEX(Processos!$C$10:$C$509,MATCH((ROW()-36+($J$35-1)*200),Processos!$AK$10:$AK$509,0))))</f>
        <v>Ativo</v>
      </c>
      <c r="C18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INFRA × ALTA</v>
      </c>
      <c r="D180" s="10">
        <f>IF((ROW()-36+($J$35-1)*200)&gt;COUNTIFS(Processos!$X$10:$X$509,1),"",IF(INDEX(Processos!$AQ$10:$AQ$509,MATCH((ROW()-36+($J$35-1)*200),Processos!$AK$10:$AK$509,0))="","",INDEX(Processos!$AQ$10:$AQ$509,MATCH((ROW()-36+($J$35-1)*200),Processos!$AK$10:$AK$509,0))))</f>
        <v>13177.6</v>
      </c>
      <c r="E180" s="8">
        <f>IF((ROW()-36+($J$35-1)*200)&gt;COUNTIFS(Processos!$X$10:$X$509,1),"",IF(INDEX(Processos!$Z$10:$Z$509,MATCH((ROW()-36+($J$35-1)*200),Processos!$AK$10:$AK$509,0))="","",INDEX(Processos!$Z$10:$Z$509,MATCH((ROW()-36+($J$35-1)*200),Processos!$AK$10:$AK$509,0))))</f>
        <v>46042</v>
      </c>
      <c r="F180" s="6" t="str">
        <f>IF((ROW()-36+($J$35-1)*200)&gt;COUNTIFS(Processos!$X$10:$X$509,1),"",IF(IF(INDEX(Processos!$Y$10:$Y$509,MATCH((ROW()-36+($J$35-1)*200),Processos!$AK$10:$AK$509,0))=1,"Sim","Não")="","",IF(INDEX(Processos!$Y$10:$Y$509,MATCH((ROW()-36+($J$35-1)*200),Processos!$AK$10:$AK$509,0))=1,"Sim","Não")))</f>
        <v>Não</v>
      </c>
      <c r="G180" s="6" t="str">
        <f>IF((ROW()-36+($J$35-1)*200)&gt;COUNTIFS(Processos!$X$10:$X$509,1),"",IF(INDEX(Processos!$D$10:$D$509,MATCH((ROW()-36+($J$35-1)*200),Processos!$AK$10:$AK$509,0))="","",INDEX(Processos!$D$10:$D$509,MATCH((ROW()-36+($J$35-1)*200),Processos!$AK$10:$AK$509,0))))</f>
        <v>Frois</v>
      </c>
    </row>
    <row r="181" spans="1:7" ht="72" customHeight="1">
      <c r="A181" s="7" t="str">
        <f>IF((ROW()-36+($J$35-1)*200)&gt;COUNTIFS(Processos!$X$10:$X$509,1),"",IF(INDEX(Processos!$A$10:$A$509,MATCH((ROW()-36+($J$35-1)*200),Processos!$AK$10:$AK$509,0))="","",INDEX(Processos!$A$10:$A$509,MATCH((ROW()-36+($J$35-1)*200),Processos!$AK$10:$AK$509,0))))</f>
        <v>004.551/2022-2</v>
      </c>
      <c r="B181" s="6" t="str">
        <f>IF((ROW()-36+($J$35-1)*200)&gt;COUNTIFS(Processos!$X$10:$X$509,1),"",IF(INDEX(Processos!$C$10:$C$509,MATCH((ROW()-36+($J$35-1)*200),Processos!$AK$10:$AK$509,0))="","",INDEX(Processos!$C$10:$C$509,MATCH((ROW()-36+($J$35-1)*200),Processos!$AK$10:$AK$509,0))))</f>
        <v>Ativo</v>
      </c>
      <c r="C18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DNIT × ANDRE MARTINS DE ARAUJO, CONSORCIO ALTA - ECP, DYNATEST ENGENHARIA LTDA, EDIMARQUES PEREIRA M [...]</v>
      </c>
      <c r="D181" s="10" t="str">
        <f>IF((ROW()-36+($J$35-1)*200)&gt;COUNTIFS(Processos!$X$10:$X$509,1),"",IF(INDEX(Processos!$AQ$10:$AQ$509,MATCH((ROW()-36+($J$35-1)*200),Processos!$AK$10:$AK$509,0))="","",INDEX(Processos!$AQ$10:$AQ$509,MATCH((ROW()-36+($J$35-1)*200),Processos!$AK$10:$AK$509,0))))</f>
        <v/>
      </c>
      <c r="E181" s="8">
        <f>IF((ROW()-36+($J$35-1)*200)&gt;COUNTIFS(Processos!$X$10:$X$509,1),"",IF(INDEX(Processos!$Z$10:$Z$509,MATCH((ROW()-36+($J$35-1)*200),Processos!$AK$10:$AK$509,0))="","",INDEX(Processos!$Z$10:$Z$509,MATCH((ROW()-36+($J$35-1)*200),Processos!$AK$10:$AK$509,0))))</f>
        <v>46084</v>
      </c>
      <c r="F181" s="6" t="str">
        <f>IF((ROW()-36+($J$35-1)*200)&gt;COUNTIFS(Processos!$X$10:$X$509,1),"",IF(IF(INDEX(Processos!$Y$10:$Y$509,MATCH((ROW()-36+($J$35-1)*200),Processos!$AK$10:$AK$509,0))=1,"Sim","Não")="","",IF(INDEX(Processos!$Y$10:$Y$509,MATCH((ROW()-36+($J$35-1)*200),Processos!$AK$10:$AK$509,0))=1,"Sim","Não")))</f>
        <v>Não</v>
      </c>
      <c r="G181" s="6" t="str">
        <f>IF((ROW()-36+($J$35-1)*200)&gt;COUNTIFS(Processos!$X$10:$X$509,1),"",IF(INDEX(Processos!$D$10:$D$509,MATCH((ROW()-36+($J$35-1)*200),Processos!$AK$10:$AK$509,0))="","",INDEX(Processos!$D$10:$D$509,MATCH((ROW()-36+($J$35-1)*200),Processos!$AK$10:$AK$509,0))))</f>
        <v>EHJC</v>
      </c>
    </row>
    <row r="182" spans="1:7" ht="72" customHeight="1">
      <c r="A182" s="7" t="str">
        <f>IF((ROW()-36+($J$35-1)*200)&gt;COUNTIFS(Processos!$X$10:$X$509,1),"",IF(INDEX(Processos!$A$10:$A$509,MATCH((ROW()-36+($J$35-1)*200),Processos!$AK$10:$AK$509,0))="","",INDEX(Processos!$A$10:$A$509,MATCH((ROW()-36+($J$35-1)*200),Processos!$AK$10:$AK$509,0))))</f>
        <v>50612.000400/2018-22</v>
      </c>
      <c r="B182" s="6" t="str">
        <f>IF((ROW()-36+($J$35-1)*200)&gt;COUNTIFS(Processos!$X$10:$X$509,1),"",IF(INDEX(Processos!$C$10:$C$509,MATCH((ROW()-36+($J$35-1)*200),Processos!$AK$10:$AK$509,0))="","",INDEX(Processos!$C$10:$C$509,MATCH((ROW()-36+($J$35-1)*200),Processos!$AK$10:$AK$509,0))))</f>
        <v>Ativo</v>
      </c>
      <c r="C18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DNIT × Consórcio Loctec/Pavienge/Cava/Alta/SetorSul</v>
      </c>
      <c r="D182" s="10" t="str">
        <f>IF((ROW()-36+($J$35-1)*200)&gt;COUNTIFS(Processos!$X$10:$X$509,1),"",IF(INDEX(Processos!$AQ$10:$AQ$509,MATCH((ROW()-36+($J$35-1)*200),Processos!$AK$10:$AK$509,0))="","",INDEX(Processos!$AQ$10:$AQ$509,MATCH((ROW()-36+($J$35-1)*200),Processos!$AK$10:$AK$509,0))))</f>
        <v/>
      </c>
      <c r="E182" s="8">
        <f>IF((ROW()-36+($J$35-1)*200)&gt;COUNTIFS(Processos!$X$10:$X$509,1),"",IF(INDEX(Processos!$Z$10:$Z$509,MATCH((ROW()-36+($J$35-1)*200),Processos!$AK$10:$AK$509,0))="","",INDEX(Processos!$Z$10:$Z$509,MATCH((ROW()-36+($J$35-1)*200),Processos!$AK$10:$AK$509,0))))</f>
        <v>45709</v>
      </c>
      <c r="F182" s="6" t="str">
        <f>IF((ROW()-36+($J$35-1)*200)&gt;COUNTIFS(Processos!$X$10:$X$509,1),"",IF(IF(INDEX(Processos!$Y$10:$Y$509,MATCH((ROW()-36+($J$35-1)*200),Processos!$AK$10:$AK$509,0))=1,"Sim","Não")="","",IF(INDEX(Processos!$Y$10:$Y$509,MATCH((ROW()-36+($J$35-1)*200),Processos!$AK$10:$AK$509,0))=1,"Sim","Não")))</f>
        <v>Não</v>
      </c>
      <c r="G182" s="6" t="str">
        <f>IF((ROW()-36+($J$35-1)*200)&gt;COUNTIFS(Processos!$X$10:$X$509,1),"",IF(INDEX(Processos!$D$10:$D$509,MATCH((ROW()-36+($J$35-1)*200),Processos!$AK$10:$AK$509,0))="","",INDEX(Processos!$D$10:$D$509,MATCH((ROW()-36+($J$35-1)*200),Processos!$AK$10:$AK$509,0))))</f>
        <v>Romanhol</v>
      </c>
    </row>
    <row r="183" spans="1:7" ht="72" customHeight="1">
      <c r="A183" s="7" t="str">
        <f>IF((ROW()-36+($J$35-1)*200)&gt;COUNTIFS(Processos!$X$10:$X$509,1),"",IF(INDEX(Processos!$A$10:$A$509,MATCH((ROW()-36+($J$35-1)*200),Processos!$AK$10:$AK$509,0))="","",INDEX(Processos!$A$10:$A$509,MATCH((ROW()-36+($J$35-1)*200),Processos!$AK$10:$AK$509,0))))</f>
        <v>Concorrência Eletrônica nº 90157/2025 – DNIT/PB.</v>
      </c>
      <c r="B183" s="6" t="str">
        <f>IF((ROW()-36+($J$35-1)*200)&gt;COUNTIFS(Processos!$X$10:$X$509,1),"",IF(INDEX(Processos!$C$10:$C$509,MATCH((ROW()-36+($J$35-1)*200),Processos!$AK$10:$AK$509,0))="","",INDEX(Processos!$C$10:$C$509,MATCH((ROW()-36+($J$35-1)*200),Processos!$AK$10:$AK$509,0))))</f>
        <v/>
      </c>
      <c r="C18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xml:space="preserve"> × </v>
      </c>
      <c r="D183" s="10" t="str">
        <f>IF((ROW()-36+($J$35-1)*200)&gt;COUNTIFS(Processos!$X$10:$X$509,1),"",IF(INDEX(Processos!$AQ$10:$AQ$509,MATCH((ROW()-36+($J$35-1)*200),Processos!$AK$10:$AK$509,0))="","",INDEX(Processos!$AQ$10:$AQ$509,MATCH((ROW()-36+($J$35-1)*200),Processos!$AK$10:$AK$509,0))))</f>
        <v/>
      </c>
      <c r="E183" s="8">
        <f>IF((ROW()-36+($J$35-1)*200)&gt;COUNTIFS(Processos!$X$10:$X$509,1),"",IF(INDEX(Processos!$Z$10:$Z$509,MATCH((ROW()-36+($J$35-1)*200),Processos!$AK$10:$AK$509,0))="","",INDEX(Processos!$Z$10:$Z$509,MATCH((ROW()-36+($J$35-1)*200),Processos!$AK$10:$AK$509,0))))</f>
        <v>46259</v>
      </c>
      <c r="F183" s="6" t="str">
        <f>IF((ROW()-36+($J$35-1)*200)&gt;COUNTIFS(Processos!$X$10:$X$509,1),"",IF(IF(INDEX(Processos!$Y$10:$Y$509,MATCH((ROW()-36+($J$35-1)*200),Processos!$AK$10:$AK$509,0))=1,"Sim","Não")="","",IF(INDEX(Processos!$Y$10:$Y$509,MATCH((ROW()-36+($J$35-1)*200),Processos!$AK$10:$AK$509,0))=1,"Sim","Não")))</f>
        <v>Não</v>
      </c>
      <c r="G183" s="6" t="str">
        <f>IF((ROW()-36+($J$35-1)*200)&gt;COUNTIFS(Processos!$X$10:$X$509,1),"",IF(INDEX(Processos!$D$10:$D$509,MATCH((ROW()-36+($J$35-1)*200),Processos!$AK$10:$AK$509,0))="","",INDEX(Processos!$D$10:$D$509,MATCH((ROW()-36+($J$35-1)*200),Processos!$AK$10:$AK$509,0))))</f>
        <v>Nazif</v>
      </c>
    </row>
    <row r="184" spans="1:7" ht="72" customHeight="1">
      <c r="A184" s="7" t="str">
        <f>IF((ROW()-36+($J$35-1)*200)&gt;COUNTIFS(Processos!$X$10:$X$509,1),"",IF(INDEX(Processos!$A$10:$A$509,MATCH((ROW()-36+($J$35-1)*200),Processos!$AK$10:$AK$509,0))="","",INDEX(Processos!$A$10:$A$509,MATCH((ROW()-36+($J$35-1)*200),Processos!$AK$10:$AK$509,0))))</f>
        <v>51402.100197/2022-16</v>
      </c>
      <c r="B184" s="6" t="str">
        <f>IF((ROW()-36+($J$35-1)*200)&gt;COUNTIFS(Processos!$X$10:$X$509,1),"",IF(INDEX(Processos!$C$10:$C$509,MATCH((ROW()-36+($J$35-1)*200),Processos!$AK$10:$AK$509,0))="","",INDEX(Processos!$C$10:$C$509,MATCH((ROW()-36+($J$35-1)*200),Processos!$AK$10:$AK$509,0))))</f>
        <v/>
      </c>
      <c r="C18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INFRA S.A × Alta Engenharia</v>
      </c>
      <c r="D184" s="10" t="str">
        <f>IF((ROW()-36+($J$35-1)*200)&gt;COUNTIFS(Processos!$X$10:$X$509,1),"",IF(INDEX(Processos!$AQ$10:$AQ$509,MATCH((ROW()-36+($J$35-1)*200),Processos!$AK$10:$AK$509,0))="","",INDEX(Processos!$AQ$10:$AQ$509,MATCH((ROW()-36+($J$35-1)*200),Processos!$AK$10:$AK$509,0))))</f>
        <v/>
      </c>
      <c r="E184" s="8">
        <f>IF((ROW()-36+($J$35-1)*200)&gt;COUNTIFS(Processos!$X$10:$X$509,1),"",IF(INDEX(Processos!$Z$10:$Z$509,MATCH((ROW()-36+($J$35-1)*200),Processos!$AK$10:$AK$509,0))="","",INDEX(Processos!$Z$10:$Z$509,MATCH((ROW()-36+($J$35-1)*200),Processos!$AK$10:$AK$509,0))))</f>
        <v>46259</v>
      </c>
      <c r="F184" s="6" t="str">
        <f>IF((ROW()-36+($J$35-1)*200)&gt;COUNTIFS(Processos!$X$10:$X$509,1),"",IF(IF(INDEX(Processos!$Y$10:$Y$509,MATCH((ROW()-36+($J$35-1)*200),Processos!$AK$10:$AK$509,0))=1,"Sim","Não")="","",IF(INDEX(Processos!$Y$10:$Y$509,MATCH((ROW()-36+($J$35-1)*200),Processos!$AK$10:$AK$509,0))=1,"Sim","Não")))</f>
        <v>Não</v>
      </c>
      <c r="G184" s="6" t="str">
        <f>IF((ROW()-36+($J$35-1)*200)&gt;COUNTIFS(Processos!$X$10:$X$509,1),"",IF(INDEX(Processos!$D$10:$D$509,MATCH((ROW()-36+($J$35-1)*200),Processos!$AK$10:$AK$509,0))="","",INDEX(Processos!$D$10:$D$509,MATCH((ROW()-36+($J$35-1)*200),Processos!$AK$10:$AK$509,0))))</f>
        <v>Raimundo</v>
      </c>
    </row>
    <row r="185" spans="1:7" ht="72" customHeight="1">
      <c r="A185" s="7" t="str">
        <f>IF((ROW()-36+($J$35-1)*200)&gt;COUNTIFS(Processos!$X$10:$X$509,1),"",IF(INDEX(Processos!$A$10:$A$509,MATCH((ROW()-36+($J$35-1)*200),Processos!$AK$10:$AK$509,0))="","",INDEX(Processos!$A$10:$A$509,MATCH((ROW()-36+($J$35-1)*200),Processos!$AK$10:$AK$509,0))))</f>
        <v/>
      </c>
      <c r="B185" s="6" t="str">
        <f>IF((ROW()-36+($J$35-1)*200)&gt;COUNTIFS(Processos!$X$10:$X$509,1),"",IF(INDEX(Processos!$C$10:$C$509,MATCH((ROW()-36+($J$35-1)*200),Processos!$AK$10:$AK$509,0))="","",INDEX(Processos!$C$10:$C$509,MATCH((ROW()-36+($J$35-1)*200),Processos!$AK$10:$AK$509,0))))</f>
        <v/>
      </c>
      <c r="C18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85" s="10" t="str">
        <f>IF((ROW()-36+($J$35-1)*200)&gt;COUNTIFS(Processos!$X$10:$X$509,1),"",IF(INDEX(Processos!$AQ$10:$AQ$509,MATCH((ROW()-36+($J$35-1)*200),Processos!$AK$10:$AK$509,0))="","",INDEX(Processos!$AQ$10:$AQ$509,MATCH((ROW()-36+($J$35-1)*200),Processos!$AK$10:$AK$509,0))))</f>
        <v/>
      </c>
      <c r="E185" s="8" t="str">
        <f>IF((ROW()-36+($J$35-1)*200)&gt;COUNTIFS(Processos!$X$10:$X$509,1),"",IF(INDEX(Processos!$Z$10:$Z$509,MATCH((ROW()-36+($J$35-1)*200),Processos!$AK$10:$AK$509,0))="","",INDEX(Processos!$Z$10:$Z$509,MATCH((ROW()-36+($J$35-1)*200),Processos!$AK$10:$AK$509,0))))</f>
        <v/>
      </c>
      <c r="F185" s="6" t="str">
        <f>IF((ROW()-36+($J$35-1)*200)&gt;COUNTIFS(Processos!$X$10:$X$509,1),"",IF(IF(INDEX(Processos!$Y$10:$Y$509,MATCH((ROW()-36+($J$35-1)*200),Processos!$AK$10:$AK$509,0))=1,"Sim","Não")="","",IF(INDEX(Processos!$Y$10:$Y$509,MATCH((ROW()-36+($J$35-1)*200),Processos!$AK$10:$AK$509,0))=1,"Sim","Não")))</f>
        <v/>
      </c>
      <c r="G185" s="6" t="str">
        <f>IF((ROW()-36+($J$35-1)*200)&gt;COUNTIFS(Processos!$X$10:$X$509,1),"",IF(INDEX(Processos!$D$10:$D$509,MATCH((ROW()-36+($J$35-1)*200),Processos!$AK$10:$AK$509,0))="","",INDEX(Processos!$D$10:$D$509,MATCH((ROW()-36+($J$35-1)*200),Processos!$AK$10:$AK$509,0))))</f>
        <v/>
      </c>
    </row>
    <row r="186" spans="1:7" ht="72" customHeight="1">
      <c r="A186" s="7" t="str">
        <f>IF((ROW()-36+($J$35-1)*200)&gt;COUNTIFS(Processos!$X$10:$X$509,1),"",IF(INDEX(Processos!$A$10:$A$509,MATCH((ROW()-36+($J$35-1)*200),Processos!$AK$10:$AK$509,0))="","",INDEX(Processos!$A$10:$A$509,MATCH((ROW()-36+($J$35-1)*200),Processos!$AK$10:$AK$509,0))))</f>
        <v/>
      </c>
      <c r="B186" s="6" t="str">
        <f>IF((ROW()-36+($J$35-1)*200)&gt;COUNTIFS(Processos!$X$10:$X$509,1),"",IF(INDEX(Processos!$C$10:$C$509,MATCH((ROW()-36+($J$35-1)*200),Processos!$AK$10:$AK$509,0))="","",INDEX(Processos!$C$10:$C$509,MATCH((ROW()-36+($J$35-1)*200),Processos!$AK$10:$AK$509,0))))</f>
        <v/>
      </c>
      <c r="C18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86" s="10" t="str">
        <f>IF((ROW()-36+($J$35-1)*200)&gt;COUNTIFS(Processos!$X$10:$X$509,1),"",IF(INDEX(Processos!$AQ$10:$AQ$509,MATCH((ROW()-36+($J$35-1)*200),Processos!$AK$10:$AK$509,0))="","",INDEX(Processos!$AQ$10:$AQ$509,MATCH((ROW()-36+($J$35-1)*200),Processos!$AK$10:$AK$509,0))))</f>
        <v/>
      </c>
      <c r="E186" s="8" t="str">
        <f>IF((ROW()-36+($J$35-1)*200)&gt;COUNTIFS(Processos!$X$10:$X$509,1),"",IF(INDEX(Processos!$Z$10:$Z$509,MATCH((ROW()-36+($J$35-1)*200),Processos!$AK$10:$AK$509,0))="","",INDEX(Processos!$Z$10:$Z$509,MATCH((ROW()-36+($J$35-1)*200),Processos!$AK$10:$AK$509,0))))</f>
        <v/>
      </c>
      <c r="F186" s="6" t="str">
        <f>IF((ROW()-36+($J$35-1)*200)&gt;COUNTIFS(Processos!$X$10:$X$509,1),"",IF(IF(INDEX(Processos!$Y$10:$Y$509,MATCH((ROW()-36+($J$35-1)*200),Processos!$AK$10:$AK$509,0))=1,"Sim","Não")="","",IF(INDEX(Processos!$Y$10:$Y$509,MATCH((ROW()-36+($J$35-1)*200),Processos!$AK$10:$AK$509,0))=1,"Sim","Não")))</f>
        <v/>
      </c>
      <c r="G186" s="6" t="str">
        <f>IF((ROW()-36+($J$35-1)*200)&gt;COUNTIFS(Processos!$X$10:$X$509,1),"",IF(INDEX(Processos!$D$10:$D$509,MATCH((ROW()-36+($J$35-1)*200),Processos!$AK$10:$AK$509,0))="","",INDEX(Processos!$D$10:$D$509,MATCH((ROW()-36+($J$35-1)*200),Processos!$AK$10:$AK$509,0))))</f>
        <v/>
      </c>
    </row>
    <row r="187" spans="1:7" ht="72" customHeight="1">
      <c r="A187" s="7" t="str">
        <f>IF((ROW()-36+($J$35-1)*200)&gt;COUNTIFS(Processos!$X$10:$X$509,1),"",IF(INDEX(Processos!$A$10:$A$509,MATCH((ROW()-36+($J$35-1)*200),Processos!$AK$10:$AK$509,0))="","",INDEX(Processos!$A$10:$A$509,MATCH((ROW()-36+($J$35-1)*200),Processos!$AK$10:$AK$509,0))))</f>
        <v/>
      </c>
      <c r="B187" s="6" t="str">
        <f>IF((ROW()-36+($J$35-1)*200)&gt;COUNTIFS(Processos!$X$10:$X$509,1),"",IF(INDEX(Processos!$C$10:$C$509,MATCH((ROW()-36+($J$35-1)*200),Processos!$AK$10:$AK$509,0))="","",INDEX(Processos!$C$10:$C$509,MATCH((ROW()-36+($J$35-1)*200),Processos!$AK$10:$AK$509,0))))</f>
        <v/>
      </c>
      <c r="C18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87" s="10" t="str">
        <f>IF((ROW()-36+($J$35-1)*200)&gt;COUNTIFS(Processos!$X$10:$X$509,1),"",IF(INDEX(Processos!$AQ$10:$AQ$509,MATCH((ROW()-36+($J$35-1)*200),Processos!$AK$10:$AK$509,0))="","",INDEX(Processos!$AQ$10:$AQ$509,MATCH((ROW()-36+($J$35-1)*200),Processos!$AK$10:$AK$509,0))))</f>
        <v/>
      </c>
      <c r="E187" s="8" t="str">
        <f>IF((ROW()-36+($J$35-1)*200)&gt;COUNTIFS(Processos!$X$10:$X$509,1),"",IF(INDEX(Processos!$Z$10:$Z$509,MATCH((ROW()-36+($J$35-1)*200),Processos!$AK$10:$AK$509,0))="","",INDEX(Processos!$Z$10:$Z$509,MATCH((ROW()-36+($J$35-1)*200),Processos!$AK$10:$AK$509,0))))</f>
        <v/>
      </c>
      <c r="F187" s="6" t="str">
        <f>IF((ROW()-36+($J$35-1)*200)&gt;COUNTIFS(Processos!$X$10:$X$509,1),"",IF(IF(INDEX(Processos!$Y$10:$Y$509,MATCH((ROW()-36+($J$35-1)*200),Processos!$AK$10:$AK$509,0))=1,"Sim","Não")="","",IF(INDEX(Processos!$Y$10:$Y$509,MATCH((ROW()-36+($J$35-1)*200),Processos!$AK$10:$AK$509,0))=1,"Sim","Não")))</f>
        <v/>
      </c>
      <c r="G187" s="6" t="str">
        <f>IF((ROW()-36+($J$35-1)*200)&gt;COUNTIFS(Processos!$X$10:$X$509,1),"",IF(INDEX(Processos!$D$10:$D$509,MATCH((ROW()-36+($J$35-1)*200),Processos!$AK$10:$AK$509,0))="","",INDEX(Processos!$D$10:$D$509,MATCH((ROW()-36+($J$35-1)*200),Processos!$AK$10:$AK$509,0))))</f>
        <v/>
      </c>
    </row>
    <row r="188" spans="1:7" ht="72" customHeight="1">
      <c r="A188" s="7" t="str">
        <f>IF((ROW()-36+($J$35-1)*200)&gt;COUNTIFS(Processos!$X$10:$X$509,1),"",IF(INDEX(Processos!$A$10:$A$509,MATCH((ROW()-36+($J$35-1)*200),Processos!$AK$10:$AK$509,0))="","",INDEX(Processos!$A$10:$A$509,MATCH((ROW()-36+($J$35-1)*200),Processos!$AK$10:$AK$509,0))))</f>
        <v/>
      </c>
      <c r="B188" s="6" t="str">
        <f>IF((ROW()-36+($J$35-1)*200)&gt;COUNTIFS(Processos!$X$10:$X$509,1),"",IF(INDEX(Processos!$C$10:$C$509,MATCH((ROW()-36+($J$35-1)*200),Processos!$AK$10:$AK$509,0))="","",INDEX(Processos!$C$10:$C$509,MATCH((ROW()-36+($J$35-1)*200),Processos!$AK$10:$AK$509,0))))</f>
        <v/>
      </c>
      <c r="C18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88" s="10" t="str">
        <f>IF((ROW()-36+($J$35-1)*200)&gt;COUNTIFS(Processos!$X$10:$X$509,1),"",IF(INDEX(Processos!$AQ$10:$AQ$509,MATCH((ROW()-36+($J$35-1)*200),Processos!$AK$10:$AK$509,0))="","",INDEX(Processos!$AQ$10:$AQ$509,MATCH((ROW()-36+($J$35-1)*200),Processos!$AK$10:$AK$509,0))))</f>
        <v/>
      </c>
      <c r="E188" s="8" t="str">
        <f>IF((ROW()-36+($J$35-1)*200)&gt;COUNTIFS(Processos!$X$10:$X$509,1),"",IF(INDEX(Processos!$Z$10:$Z$509,MATCH((ROW()-36+($J$35-1)*200),Processos!$AK$10:$AK$509,0))="","",INDEX(Processos!$Z$10:$Z$509,MATCH((ROW()-36+($J$35-1)*200),Processos!$AK$10:$AK$509,0))))</f>
        <v/>
      </c>
      <c r="F188" s="6" t="str">
        <f>IF((ROW()-36+($J$35-1)*200)&gt;COUNTIFS(Processos!$X$10:$X$509,1),"",IF(IF(INDEX(Processos!$Y$10:$Y$509,MATCH((ROW()-36+($J$35-1)*200),Processos!$AK$10:$AK$509,0))=1,"Sim","Não")="","",IF(INDEX(Processos!$Y$10:$Y$509,MATCH((ROW()-36+($J$35-1)*200),Processos!$AK$10:$AK$509,0))=1,"Sim","Não")))</f>
        <v/>
      </c>
      <c r="G188" s="6" t="str">
        <f>IF((ROW()-36+($J$35-1)*200)&gt;COUNTIFS(Processos!$X$10:$X$509,1),"",IF(INDEX(Processos!$D$10:$D$509,MATCH((ROW()-36+($J$35-1)*200),Processos!$AK$10:$AK$509,0))="","",INDEX(Processos!$D$10:$D$509,MATCH((ROW()-36+($J$35-1)*200),Processos!$AK$10:$AK$509,0))))</f>
        <v/>
      </c>
    </row>
    <row r="189" spans="1:7" ht="72" customHeight="1">
      <c r="A189" s="7" t="str">
        <f>IF((ROW()-36+($J$35-1)*200)&gt;COUNTIFS(Processos!$X$10:$X$509,1),"",IF(INDEX(Processos!$A$10:$A$509,MATCH((ROW()-36+($J$35-1)*200),Processos!$AK$10:$AK$509,0))="","",INDEX(Processos!$A$10:$A$509,MATCH((ROW()-36+($J$35-1)*200),Processos!$AK$10:$AK$509,0))))</f>
        <v/>
      </c>
      <c r="B189" s="6" t="str">
        <f>IF((ROW()-36+($J$35-1)*200)&gt;COUNTIFS(Processos!$X$10:$X$509,1),"",IF(INDEX(Processos!$C$10:$C$509,MATCH((ROW()-36+($J$35-1)*200),Processos!$AK$10:$AK$509,0))="","",INDEX(Processos!$C$10:$C$509,MATCH((ROW()-36+($J$35-1)*200),Processos!$AK$10:$AK$509,0))))</f>
        <v/>
      </c>
      <c r="C18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89" s="10" t="str">
        <f>IF((ROW()-36+($J$35-1)*200)&gt;COUNTIFS(Processos!$X$10:$X$509,1),"",IF(INDEX(Processos!$AQ$10:$AQ$509,MATCH((ROW()-36+($J$35-1)*200),Processos!$AK$10:$AK$509,0))="","",INDEX(Processos!$AQ$10:$AQ$509,MATCH((ROW()-36+($J$35-1)*200),Processos!$AK$10:$AK$509,0))))</f>
        <v/>
      </c>
      <c r="E189" s="8" t="str">
        <f>IF((ROW()-36+($J$35-1)*200)&gt;COUNTIFS(Processos!$X$10:$X$509,1),"",IF(INDEX(Processos!$Z$10:$Z$509,MATCH((ROW()-36+($J$35-1)*200),Processos!$AK$10:$AK$509,0))="","",INDEX(Processos!$Z$10:$Z$509,MATCH((ROW()-36+($J$35-1)*200),Processos!$AK$10:$AK$509,0))))</f>
        <v/>
      </c>
      <c r="F189" s="6" t="str">
        <f>IF((ROW()-36+($J$35-1)*200)&gt;COUNTIFS(Processos!$X$10:$X$509,1),"",IF(IF(INDEX(Processos!$Y$10:$Y$509,MATCH((ROW()-36+($J$35-1)*200),Processos!$AK$10:$AK$509,0))=1,"Sim","Não")="","",IF(INDEX(Processos!$Y$10:$Y$509,MATCH((ROW()-36+($J$35-1)*200),Processos!$AK$10:$AK$509,0))=1,"Sim","Não")))</f>
        <v/>
      </c>
      <c r="G189" s="6" t="str">
        <f>IF((ROW()-36+($J$35-1)*200)&gt;COUNTIFS(Processos!$X$10:$X$509,1),"",IF(INDEX(Processos!$D$10:$D$509,MATCH((ROW()-36+($J$35-1)*200),Processos!$AK$10:$AK$509,0))="","",INDEX(Processos!$D$10:$D$509,MATCH((ROW()-36+($J$35-1)*200),Processos!$AK$10:$AK$509,0))))</f>
        <v/>
      </c>
    </row>
    <row r="190" spans="1:7" ht="72" customHeight="1">
      <c r="A190" s="7" t="str">
        <f>IF((ROW()-36+($J$35-1)*200)&gt;COUNTIFS(Processos!$X$10:$X$509,1),"",IF(INDEX(Processos!$A$10:$A$509,MATCH((ROW()-36+($J$35-1)*200),Processos!$AK$10:$AK$509,0))="","",INDEX(Processos!$A$10:$A$509,MATCH((ROW()-36+($J$35-1)*200),Processos!$AK$10:$AK$509,0))))</f>
        <v/>
      </c>
      <c r="B190" s="6" t="str">
        <f>IF((ROW()-36+($J$35-1)*200)&gt;COUNTIFS(Processos!$X$10:$X$509,1),"",IF(INDEX(Processos!$C$10:$C$509,MATCH((ROW()-36+($J$35-1)*200),Processos!$AK$10:$AK$509,0))="","",INDEX(Processos!$C$10:$C$509,MATCH((ROW()-36+($J$35-1)*200),Processos!$AK$10:$AK$509,0))))</f>
        <v/>
      </c>
      <c r="C19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90" s="10" t="str">
        <f>IF((ROW()-36+($J$35-1)*200)&gt;COUNTIFS(Processos!$X$10:$X$509,1),"",IF(INDEX(Processos!$AQ$10:$AQ$509,MATCH((ROW()-36+($J$35-1)*200),Processos!$AK$10:$AK$509,0))="","",INDEX(Processos!$AQ$10:$AQ$509,MATCH((ROW()-36+($J$35-1)*200),Processos!$AK$10:$AK$509,0))))</f>
        <v/>
      </c>
      <c r="E190" s="8" t="str">
        <f>IF((ROW()-36+($J$35-1)*200)&gt;COUNTIFS(Processos!$X$10:$X$509,1),"",IF(INDEX(Processos!$Z$10:$Z$509,MATCH((ROW()-36+($J$35-1)*200),Processos!$AK$10:$AK$509,0))="","",INDEX(Processos!$Z$10:$Z$509,MATCH((ROW()-36+($J$35-1)*200),Processos!$AK$10:$AK$509,0))))</f>
        <v/>
      </c>
      <c r="F190" s="6" t="str">
        <f>IF((ROW()-36+($J$35-1)*200)&gt;COUNTIFS(Processos!$X$10:$X$509,1),"",IF(IF(INDEX(Processos!$Y$10:$Y$509,MATCH((ROW()-36+($J$35-1)*200),Processos!$AK$10:$AK$509,0))=1,"Sim","Não")="","",IF(INDEX(Processos!$Y$10:$Y$509,MATCH((ROW()-36+($J$35-1)*200),Processos!$AK$10:$AK$509,0))=1,"Sim","Não")))</f>
        <v/>
      </c>
      <c r="G190" s="6" t="str">
        <f>IF((ROW()-36+($J$35-1)*200)&gt;COUNTIFS(Processos!$X$10:$X$509,1),"",IF(INDEX(Processos!$D$10:$D$509,MATCH((ROW()-36+($J$35-1)*200),Processos!$AK$10:$AK$509,0))="","",INDEX(Processos!$D$10:$D$509,MATCH((ROW()-36+($J$35-1)*200),Processos!$AK$10:$AK$509,0))))</f>
        <v/>
      </c>
    </row>
    <row r="191" spans="1:7" ht="72" customHeight="1">
      <c r="A191" s="7" t="str">
        <f>IF((ROW()-36+($J$35-1)*200)&gt;COUNTIFS(Processos!$X$10:$X$509,1),"",IF(INDEX(Processos!$A$10:$A$509,MATCH((ROW()-36+($J$35-1)*200),Processos!$AK$10:$AK$509,0))="","",INDEX(Processos!$A$10:$A$509,MATCH((ROW()-36+($J$35-1)*200),Processos!$AK$10:$AK$509,0))))</f>
        <v/>
      </c>
      <c r="B191" s="6" t="str">
        <f>IF((ROW()-36+($J$35-1)*200)&gt;COUNTIFS(Processos!$X$10:$X$509,1),"",IF(INDEX(Processos!$C$10:$C$509,MATCH((ROW()-36+($J$35-1)*200),Processos!$AK$10:$AK$509,0))="","",INDEX(Processos!$C$10:$C$509,MATCH((ROW()-36+($J$35-1)*200),Processos!$AK$10:$AK$509,0))))</f>
        <v/>
      </c>
      <c r="C19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91" s="10" t="str">
        <f>IF((ROW()-36+($J$35-1)*200)&gt;COUNTIFS(Processos!$X$10:$X$509,1),"",IF(INDEX(Processos!$AQ$10:$AQ$509,MATCH((ROW()-36+($J$35-1)*200),Processos!$AK$10:$AK$509,0))="","",INDEX(Processos!$AQ$10:$AQ$509,MATCH((ROW()-36+($J$35-1)*200),Processos!$AK$10:$AK$509,0))))</f>
        <v/>
      </c>
      <c r="E191" s="8" t="str">
        <f>IF((ROW()-36+($J$35-1)*200)&gt;COUNTIFS(Processos!$X$10:$X$509,1),"",IF(INDEX(Processos!$Z$10:$Z$509,MATCH((ROW()-36+($J$35-1)*200),Processos!$AK$10:$AK$509,0))="","",INDEX(Processos!$Z$10:$Z$509,MATCH((ROW()-36+($J$35-1)*200),Processos!$AK$10:$AK$509,0))))</f>
        <v/>
      </c>
      <c r="F191" s="6" t="str">
        <f>IF((ROW()-36+($J$35-1)*200)&gt;COUNTIFS(Processos!$X$10:$X$509,1),"",IF(IF(INDEX(Processos!$Y$10:$Y$509,MATCH((ROW()-36+($J$35-1)*200),Processos!$AK$10:$AK$509,0))=1,"Sim","Não")="","",IF(INDEX(Processos!$Y$10:$Y$509,MATCH((ROW()-36+($J$35-1)*200),Processos!$AK$10:$AK$509,0))=1,"Sim","Não")))</f>
        <v/>
      </c>
      <c r="G191" s="6" t="str">
        <f>IF((ROW()-36+($J$35-1)*200)&gt;COUNTIFS(Processos!$X$10:$X$509,1),"",IF(INDEX(Processos!$D$10:$D$509,MATCH((ROW()-36+($J$35-1)*200),Processos!$AK$10:$AK$509,0))="","",INDEX(Processos!$D$10:$D$509,MATCH((ROW()-36+($J$35-1)*200),Processos!$AK$10:$AK$509,0))))</f>
        <v/>
      </c>
    </row>
    <row r="192" spans="1:7" ht="72" customHeight="1">
      <c r="A192" s="7" t="str">
        <f>IF((ROW()-36+($J$35-1)*200)&gt;COUNTIFS(Processos!$X$10:$X$509,1),"",IF(INDEX(Processos!$A$10:$A$509,MATCH((ROW()-36+($J$35-1)*200),Processos!$AK$10:$AK$509,0))="","",INDEX(Processos!$A$10:$A$509,MATCH((ROW()-36+($J$35-1)*200),Processos!$AK$10:$AK$509,0))))</f>
        <v/>
      </c>
      <c r="B192" s="6" t="str">
        <f>IF((ROW()-36+($J$35-1)*200)&gt;COUNTIFS(Processos!$X$10:$X$509,1),"",IF(INDEX(Processos!$C$10:$C$509,MATCH((ROW()-36+($J$35-1)*200),Processos!$AK$10:$AK$509,0))="","",INDEX(Processos!$C$10:$C$509,MATCH((ROW()-36+($J$35-1)*200),Processos!$AK$10:$AK$509,0))))</f>
        <v/>
      </c>
      <c r="C19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92" s="10" t="str">
        <f>IF((ROW()-36+($J$35-1)*200)&gt;COUNTIFS(Processos!$X$10:$X$509,1),"",IF(INDEX(Processos!$AQ$10:$AQ$509,MATCH((ROW()-36+($J$35-1)*200),Processos!$AK$10:$AK$509,0))="","",INDEX(Processos!$AQ$10:$AQ$509,MATCH((ROW()-36+($J$35-1)*200),Processos!$AK$10:$AK$509,0))))</f>
        <v/>
      </c>
      <c r="E192" s="8" t="str">
        <f>IF((ROW()-36+($J$35-1)*200)&gt;COUNTIFS(Processos!$X$10:$X$509,1),"",IF(INDEX(Processos!$Z$10:$Z$509,MATCH((ROW()-36+($J$35-1)*200),Processos!$AK$10:$AK$509,0))="","",INDEX(Processos!$Z$10:$Z$509,MATCH((ROW()-36+($J$35-1)*200),Processos!$AK$10:$AK$509,0))))</f>
        <v/>
      </c>
      <c r="F192" s="6" t="str">
        <f>IF((ROW()-36+($J$35-1)*200)&gt;COUNTIFS(Processos!$X$10:$X$509,1),"",IF(IF(INDEX(Processos!$Y$10:$Y$509,MATCH((ROW()-36+($J$35-1)*200),Processos!$AK$10:$AK$509,0))=1,"Sim","Não")="","",IF(INDEX(Processos!$Y$10:$Y$509,MATCH((ROW()-36+($J$35-1)*200),Processos!$AK$10:$AK$509,0))=1,"Sim","Não")))</f>
        <v/>
      </c>
      <c r="G192" s="6" t="str">
        <f>IF((ROW()-36+($J$35-1)*200)&gt;COUNTIFS(Processos!$X$10:$X$509,1),"",IF(INDEX(Processos!$D$10:$D$509,MATCH((ROW()-36+($J$35-1)*200),Processos!$AK$10:$AK$509,0))="","",INDEX(Processos!$D$10:$D$509,MATCH((ROW()-36+($J$35-1)*200),Processos!$AK$10:$AK$509,0))))</f>
        <v/>
      </c>
    </row>
    <row r="193" spans="1:7" ht="72" customHeight="1">
      <c r="A193" s="7" t="str">
        <f>IF((ROW()-36+($J$35-1)*200)&gt;COUNTIFS(Processos!$X$10:$X$509,1),"",IF(INDEX(Processos!$A$10:$A$509,MATCH((ROW()-36+($J$35-1)*200),Processos!$AK$10:$AK$509,0))="","",INDEX(Processos!$A$10:$A$509,MATCH((ROW()-36+($J$35-1)*200),Processos!$AK$10:$AK$509,0))))</f>
        <v/>
      </c>
      <c r="B193" s="6" t="str">
        <f>IF((ROW()-36+($J$35-1)*200)&gt;COUNTIFS(Processos!$X$10:$X$509,1),"",IF(INDEX(Processos!$C$10:$C$509,MATCH((ROW()-36+($J$35-1)*200),Processos!$AK$10:$AK$509,0))="","",INDEX(Processos!$C$10:$C$509,MATCH((ROW()-36+($J$35-1)*200),Processos!$AK$10:$AK$509,0))))</f>
        <v/>
      </c>
      <c r="C19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93" s="10" t="str">
        <f>IF((ROW()-36+($J$35-1)*200)&gt;COUNTIFS(Processos!$X$10:$X$509,1),"",IF(INDEX(Processos!$AQ$10:$AQ$509,MATCH((ROW()-36+($J$35-1)*200),Processos!$AK$10:$AK$509,0))="","",INDEX(Processos!$AQ$10:$AQ$509,MATCH((ROW()-36+($J$35-1)*200),Processos!$AK$10:$AK$509,0))))</f>
        <v/>
      </c>
      <c r="E193" s="8" t="str">
        <f>IF((ROW()-36+($J$35-1)*200)&gt;COUNTIFS(Processos!$X$10:$X$509,1),"",IF(INDEX(Processos!$Z$10:$Z$509,MATCH((ROW()-36+($J$35-1)*200),Processos!$AK$10:$AK$509,0))="","",INDEX(Processos!$Z$10:$Z$509,MATCH((ROW()-36+($J$35-1)*200),Processos!$AK$10:$AK$509,0))))</f>
        <v/>
      </c>
      <c r="F193" s="6" t="str">
        <f>IF((ROW()-36+($J$35-1)*200)&gt;COUNTIFS(Processos!$X$10:$X$509,1),"",IF(IF(INDEX(Processos!$Y$10:$Y$509,MATCH((ROW()-36+($J$35-1)*200),Processos!$AK$10:$AK$509,0))=1,"Sim","Não")="","",IF(INDEX(Processos!$Y$10:$Y$509,MATCH((ROW()-36+($J$35-1)*200),Processos!$AK$10:$AK$509,0))=1,"Sim","Não")))</f>
        <v/>
      </c>
      <c r="G193" s="6" t="str">
        <f>IF((ROW()-36+($J$35-1)*200)&gt;COUNTIFS(Processos!$X$10:$X$509,1),"",IF(INDEX(Processos!$D$10:$D$509,MATCH((ROW()-36+($J$35-1)*200),Processos!$AK$10:$AK$509,0))="","",INDEX(Processos!$D$10:$D$509,MATCH((ROW()-36+($J$35-1)*200),Processos!$AK$10:$AK$509,0))))</f>
        <v/>
      </c>
    </row>
    <row r="194" spans="1:7" ht="72" customHeight="1">
      <c r="A194" s="7" t="str">
        <f>IF((ROW()-36+($J$35-1)*200)&gt;COUNTIFS(Processos!$X$10:$X$509,1),"",IF(INDEX(Processos!$A$10:$A$509,MATCH((ROW()-36+($J$35-1)*200),Processos!$AK$10:$AK$509,0))="","",INDEX(Processos!$A$10:$A$509,MATCH((ROW()-36+($J$35-1)*200),Processos!$AK$10:$AK$509,0))))</f>
        <v/>
      </c>
      <c r="B194" s="6" t="str">
        <f>IF((ROW()-36+($J$35-1)*200)&gt;COUNTIFS(Processos!$X$10:$X$509,1),"",IF(INDEX(Processos!$C$10:$C$509,MATCH((ROW()-36+($J$35-1)*200),Processos!$AK$10:$AK$509,0))="","",INDEX(Processos!$C$10:$C$509,MATCH((ROW()-36+($J$35-1)*200),Processos!$AK$10:$AK$509,0))))</f>
        <v/>
      </c>
      <c r="C19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94" s="10" t="str">
        <f>IF((ROW()-36+($J$35-1)*200)&gt;COUNTIFS(Processos!$X$10:$X$509,1),"",IF(INDEX(Processos!$AQ$10:$AQ$509,MATCH((ROW()-36+($J$35-1)*200),Processos!$AK$10:$AK$509,0))="","",INDEX(Processos!$AQ$10:$AQ$509,MATCH((ROW()-36+($J$35-1)*200),Processos!$AK$10:$AK$509,0))))</f>
        <v/>
      </c>
      <c r="E194" s="8" t="str">
        <f>IF((ROW()-36+($J$35-1)*200)&gt;COUNTIFS(Processos!$X$10:$X$509,1),"",IF(INDEX(Processos!$Z$10:$Z$509,MATCH((ROW()-36+($J$35-1)*200),Processos!$AK$10:$AK$509,0))="","",INDEX(Processos!$Z$10:$Z$509,MATCH((ROW()-36+($J$35-1)*200),Processos!$AK$10:$AK$509,0))))</f>
        <v/>
      </c>
      <c r="F194" s="6" t="str">
        <f>IF((ROW()-36+($J$35-1)*200)&gt;COUNTIFS(Processos!$X$10:$X$509,1),"",IF(IF(INDEX(Processos!$Y$10:$Y$509,MATCH((ROW()-36+($J$35-1)*200),Processos!$AK$10:$AK$509,0))=1,"Sim","Não")="","",IF(INDEX(Processos!$Y$10:$Y$509,MATCH((ROW()-36+($J$35-1)*200),Processos!$AK$10:$AK$509,0))=1,"Sim","Não")))</f>
        <v/>
      </c>
      <c r="G194" s="6" t="str">
        <f>IF((ROW()-36+($J$35-1)*200)&gt;COUNTIFS(Processos!$X$10:$X$509,1),"",IF(INDEX(Processos!$D$10:$D$509,MATCH((ROW()-36+($J$35-1)*200),Processos!$AK$10:$AK$509,0))="","",INDEX(Processos!$D$10:$D$509,MATCH((ROW()-36+($J$35-1)*200),Processos!$AK$10:$AK$509,0))))</f>
        <v/>
      </c>
    </row>
    <row r="195" spans="1:7" ht="72" customHeight="1">
      <c r="A195" s="7" t="str">
        <f>IF((ROW()-36+($J$35-1)*200)&gt;COUNTIFS(Processos!$X$10:$X$509,1),"",IF(INDEX(Processos!$A$10:$A$509,MATCH((ROW()-36+($J$35-1)*200),Processos!$AK$10:$AK$509,0))="","",INDEX(Processos!$A$10:$A$509,MATCH((ROW()-36+($J$35-1)*200),Processos!$AK$10:$AK$509,0))))</f>
        <v/>
      </c>
      <c r="B195" s="6" t="str">
        <f>IF((ROW()-36+($J$35-1)*200)&gt;COUNTIFS(Processos!$X$10:$X$509,1),"",IF(INDEX(Processos!$C$10:$C$509,MATCH((ROW()-36+($J$35-1)*200),Processos!$AK$10:$AK$509,0))="","",INDEX(Processos!$C$10:$C$509,MATCH((ROW()-36+($J$35-1)*200),Processos!$AK$10:$AK$509,0))))</f>
        <v/>
      </c>
      <c r="C19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95" s="10" t="str">
        <f>IF((ROW()-36+($J$35-1)*200)&gt;COUNTIFS(Processos!$X$10:$X$509,1),"",IF(INDEX(Processos!$AQ$10:$AQ$509,MATCH((ROW()-36+($J$35-1)*200),Processos!$AK$10:$AK$509,0))="","",INDEX(Processos!$AQ$10:$AQ$509,MATCH((ROW()-36+($J$35-1)*200),Processos!$AK$10:$AK$509,0))))</f>
        <v/>
      </c>
      <c r="E195" s="8" t="str">
        <f>IF((ROW()-36+($J$35-1)*200)&gt;COUNTIFS(Processos!$X$10:$X$509,1),"",IF(INDEX(Processos!$Z$10:$Z$509,MATCH((ROW()-36+($J$35-1)*200),Processos!$AK$10:$AK$509,0))="","",INDEX(Processos!$Z$10:$Z$509,MATCH((ROW()-36+($J$35-1)*200),Processos!$AK$10:$AK$509,0))))</f>
        <v/>
      </c>
      <c r="F195" s="6" t="str">
        <f>IF((ROW()-36+($J$35-1)*200)&gt;COUNTIFS(Processos!$X$10:$X$509,1),"",IF(IF(INDEX(Processos!$Y$10:$Y$509,MATCH((ROW()-36+($J$35-1)*200),Processos!$AK$10:$AK$509,0))=1,"Sim","Não")="","",IF(INDEX(Processos!$Y$10:$Y$509,MATCH((ROW()-36+($J$35-1)*200),Processos!$AK$10:$AK$509,0))=1,"Sim","Não")))</f>
        <v/>
      </c>
      <c r="G195" s="6" t="str">
        <f>IF((ROW()-36+($J$35-1)*200)&gt;COUNTIFS(Processos!$X$10:$X$509,1),"",IF(INDEX(Processos!$D$10:$D$509,MATCH((ROW()-36+($J$35-1)*200),Processos!$AK$10:$AK$509,0))="","",INDEX(Processos!$D$10:$D$509,MATCH((ROW()-36+($J$35-1)*200),Processos!$AK$10:$AK$509,0))))</f>
        <v/>
      </c>
    </row>
    <row r="196" spans="1:7" ht="72" customHeight="1">
      <c r="A196" s="7" t="str">
        <f>IF((ROW()-36+($J$35-1)*200)&gt;COUNTIFS(Processos!$X$10:$X$509,1),"",IF(INDEX(Processos!$A$10:$A$509,MATCH((ROW()-36+($J$35-1)*200),Processos!$AK$10:$AK$509,0))="","",INDEX(Processos!$A$10:$A$509,MATCH((ROW()-36+($J$35-1)*200),Processos!$AK$10:$AK$509,0))))</f>
        <v/>
      </c>
      <c r="B196" s="6" t="str">
        <f>IF((ROW()-36+($J$35-1)*200)&gt;COUNTIFS(Processos!$X$10:$X$509,1),"",IF(INDEX(Processos!$C$10:$C$509,MATCH((ROW()-36+($J$35-1)*200),Processos!$AK$10:$AK$509,0))="","",INDEX(Processos!$C$10:$C$509,MATCH((ROW()-36+($J$35-1)*200),Processos!$AK$10:$AK$509,0))))</f>
        <v/>
      </c>
      <c r="C19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96" s="10" t="str">
        <f>IF((ROW()-36+($J$35-1)*200)&gt;COUNTIFS(Processos!$X$10:$X$509,1),"",IF(INDEX(Processos!$AQ$10:$AQ$509,MATCH((ROW()-36+($J$35-1)*200),Processos!$AK$10:$AK$509,0))="","",INDEX(Processos!$AQ$10:$AQ$509,MATCH((ROW()-36+($J$35-1)*200),Processos!$AK$10:$AK$509,0))))</f>
        <v/>
      </c>
      <c r="E196" s="8" t="str">
        <f>IF((ROW()-36+($J$35-1)*200)&gt;COUNTIFS(Processos!$X$10:$X$509,1),"",IF(INDEX(Processos!$Z$10:$Z$509,MATCH((ROW()-36+($J$35-1)*200),Processos!$AK$10:$AK$509,0))="","",INDEX(Processos!$Z$10:$Z$509,MATCH((ROW()-36+($J$35-1)*200),Processos!$AK$10:$AK$509,0))))</f>
        <v/>
      </c>
      <c r="F196" s="6" t="str">
        <f>IF((ROW()-36+($J$35-1)*200)&gt;COUNTIFS(Processos!$X$10:$X$509,1),"",IF(IF(INDEX(Processos!$Y$10:$Y$509,MATCH((ROW()-36+($J$35-1)*200),Processos!$AK$10:$AK$509,0))=1,"Sim","Não")="","",IF(INDEX(Processos!$Y$10:$Y$509,MATCH((ROW()-36+($J$35-1)*200),Processos!$AK$10:$AK$509,0))=1,"Sim","Não")))</f>
        <v/>
      </c>
      <c r="G196" s="6" t="str">
        <f>IF((ROW()-36+($J$35-1)*200)&gt;COUNTIFS(Processos!$X$10:$X$509,1),"",IF(INDEX(Processos!$D$10:$D$509,MATCH((ROW()-36+($J$35-1)*200),Processos!$AK$10:$AK$509,0))="","",INDEX(Processos!$D$10:$D$509,MATCH((ROW()-36+($J$35-1)*200),Processos!$AK$10:$AK$509,0))))</f>
        <v/>
      </c>
    </row>
    <row r="197" spans="1:7" ht="72" customHeight="1">
      <c r="A197" s="7" t="str">
        <f>IF((ROW()-36+($J$35-1)*200)&gt;COUNTIFS(Processos!$X$10:$X$509,1),"",IF(INDEX(Processos!$A$10:$A$509,MATCH((ROW()-36+($J$35-1)*200),Processos!$AK$10:$AK$509,0))="","",INDEX(Processos!$A$10:$A$509,MATCH((ROW()-36+($J$35-1)*200),Processos!$AK$10:$AK$509,0))))</f>
        <v/>
      </c>
      <c r="B197" s="6" t="str">
        <f>IF((ROW()-36+($J$35-1)*200)&gt;COUNTIFS(Processos!$X$10:$X$509,1),"",IF(INDEX(Processos!$C$10:$C$509,MATCH((ROW()-36+($J$35-1)*200),Processos!$AK$10:$AK$509,0))="","",INDEX(Processos!$C$10:$C$509,MATCH((ROW()-36+($J$35-1)*200),Processos!$AK$10:$AK$509,0))))</f>
        <v/>
      </c>
      <c r="C19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97" s="10" t="str">
        <f>IF((ROW()-36+($J$35-1)*200)&gt;COUNTIFS(Processos!$X$10:$X$509,1),"",IF(INDEX(Processos!$AQ$10:$AQ$509,MATCH((ROW()-36+($J$35-1)*200),Processos!$AK$10:$AK$509,0))="","",INDEX(Processos!$AQ$10:$AQ$509,MATCH((ROW()-36+($J$35-1)*200),Processos!$AK$10:$AK$509,0))))</f>
        <v/>
      </c>
      <c r="E197" s="8" t="str">
        <f>IF((ROW()-36+($J$35-1)*200)&gt;COUNTIFS(Processos!$X$10:$X$509,1),"",IF(INDEX(Processos!$Z$10:$Z$509,MATCH((ROW()-36+($J$35-1)*200),Processos!$AK$10:$AK$509,0))="","",INDEX(Processos!$Z$10:$Z$509,MATCH((ROW()-36+($J$35-1)*200),Processos!$AK$10:$AK$509,0))))</f>
        <v/>
      </c>
      <c r="F197" s="6" t="str">
        <f>IF((ROW()-36+($J$35-1)*200)&gt;COUNTIFS(Processos!$X$10:$X$509,1),"",IF(IF(INDEX(Processos!$Y$10:$Y$509,MATCH((ROW()-36+($J$35-1)*200),Processos!$AK$10:$AK$509,0))=1,"Sim","Não")="","",IF(INDEX(Processos!$Y$10:$Y$509,MATCH((ROW()-36+($J$35-1)*200),Processos!$AK$10:$AK$509,0))=1,"Sim","Não")))</f>
        <v/>
      </c>
      <c r="G197" s="6" t="str">
        <f>IF((ROW()-36+($J$35-1)*200)&gt;COUNTIFS(Processos!$X$10:$X$509,1),"",IF(INDEX(Processos!$D$10:$D$509,MATCH((ROW()-36+($J$35-1)*200),Processos!$AK$10:$AK$509,0))="","",INDEX(Processos!$D$10:$D$509,MATCH((ROW()-36+($J$35-1)*200),Processos!$AK$10:$AK$509,0))))</f>
        <v/>
      </c>
    </row>
    <row r="198" spans="1:7" ht="72" customHeight="1">
      <c r="A198" s="7" t="str">
        <f>IF((ROW()-36+($J$35-1)*200)&gt;COUNTIFS(Processos!$X$10:$X$509,1),"",IF(INDEX(Processos!$A$10:$A$509,MATCH((ROW()-36+($J$35-1)*200),Processos!$AK$10:$AK$509,0))="","",INDEX(Processos!$A$10:$A$509,MATCH((ROW()-36+($J$35-1)*200),Processos!$AK$10:$AK$509,0))))</f>
        <v/>
      </c>
      <c r="B198" s="6" t="str">
        <f>IF((ROW()-36+($J$35-1)*200)&gt;COUNTIFS(Processos!$X$10:$X$509,1),"",IF(INDEX(Processos!$C$10:$C$509,MATCH((ROW()-36+($J$35-1)*200),Processos!$AK$10:$AK$509,0))="","",INDEX(Processos!$C$10:$C$509,MATCH((ROW()-36+($J$35-1)*200),Processos!$AK$10:$AK$509,0))))</f>
        <v/>
      </c>
      <c r="C19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98" s="10" t="str">
        <f>IF((ROW()-36+($J$35-1)*200)&gt;COUNTIFS(Processos!$X$10:$X$509,1),"",IF(INDEX(Processos!$AQ$10:$AQ$509,MATCH((ROW()-36+($J$35-1)*200),Processos!$AK$10:$AK$509,0))="","",INDEX(Processos!$AQ$10:$AQ$509,MATCH((ROW()-36+($J$35-1)*200),Processos!$AK$10:$AK$509,0))))</f>
        <v/>
      </c>
      <c r="E198" s="8" t="str">
        <f>IF((ROW()-36+($J$35-1)*200)&gt;COUNTIFS(Processos!$X$10:$X$509,1),"",IF(INDEX(Processos!$Z$10:$Z$509,MATCH((ROW()-36+($J$35-1)*200),Processos!$AK$10:$AK$509,0))="","",INDEX(Processos!$Z$10:$Z$509,MATCH((ROW()-36+($J$35-1)*200),Processos!$AK$10:$AK$509,0))))</f>
        <v/>
      </c>
      <c r="F198" s="6" t="str">
        <f>IF((ROW()-36+($J$35-1)*200)&gt;COUNTIFS(Processos!$X$10:$X$509,1),"",IF(IF(INDEX(Processos!$Y$10:$Y$509,MATCH((ROW()-36+($J$35-1)*200),Processos!$AK$10:$AK$509,0))=1,"Sim","Não")="","",IF(INDEX(Processos!$Y$10:$Y$509,MATCH((ROW()-36+($J$35-1)*200),Processos!$AK$10:$AK$509,0))=1,"Sim","Não")))</f>
        <v/>
      </c>
      <c r="G198" s="6" t="str">
        <f>IF((ROW()-36+($J$35-1)*200)&gt;COUNTIFS(Processos!$X$10:$X$509,1),"",IF(INDEX(Processos!$D$10:$D$509,MATCH((ROW()-36+($J$35-1)*200),Processos!$AK$10:$AK$509,0))="","",INDEX(Processos!$D$10:$D$509,MATCH((ROW()-36+($J$35-1)*200),Processos!$AK$10:$AK$509,0))))</f>
        <v/>
      </c>
    </row>
    <row r="199" spans="1:7" ht="72" customHeight="1">
      <c r="A199" s="7" t="str">
        <f>IF((ROW()-36+($J$35-1)*200)&gt;COUNTIFS(Processos!$X$10:$X$509,1),"",IF(INDEX(Processos!$A$10:$A$509,MATCH((ROW()-36+($J$35-1)*200),Processos!$AK$10:$AK$509,0))="","",INDEX(Processos!$A$10:$A$509,MATCH((ROW()-36+($J$35-1)*200),Processos!$AK$10:$AK$509,0))))</f>
        <v/>
      </c>
      <c r="B199" s="6" t="str">
        <f>IF((ROW()-36+($J$35-1)*200)&gt;COUNTIFS(Processos!$X$10:$X$509,1),"",IF(INDEX(Processos!$C$10:$C$509,MATCH((ROW()-36+($J$35-1)*200),Processos!$AK$10:$AK$509,0))="","",INDEX(Processos!$C$10:$C$509,MATCH((ROW()-36+($J$35-1)*200),Processos!$AK$10:$AK$509,0))))</f>
        <v/>
      </c>
      <c r="C19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199" s="10" t="str">
        <f>IF((ROW()-36+($J$35-1)*200)&gt;COUNTIFS(Processos!$X$10:$X$509,1),"",IF(INDEX(Processos!$AQ$10:$AQ$509,MATCH((ROW()-36+($J$35-1)*200),Processos!$AK$10:$AK$509,0))="","",INDEX(Processos!$AQ$10:$AQ$509,MATCH((ROW()-36+($J$35-1)*200),Processos!$AK$10:$AK$509,0))))</f>
        <v/>
      </c>
      <c r="E199" s="8" t="str">
        <f>IF((ROW()-36+($J$35-1)*200)&gt;COUNTIFS(Processos!$X$10:$X$509,1),"",IF(INDEX(Processos!$Z$10:$Z$509,MATCH((ROW()-36+($J$35-1)*200),Processos!$AK$10:$AK$509,0))="","",INDEX(Processos!$Z$10:$Z$509,MATCH((ROW()-36+($J$35-1)*200),Processos!$AK$10:$AK$509,0))))</f>
        <v/>
      </c>
      <c r="F199" s="6" t="str">
        <f>IF((ROW()-36+($J$35-1)*200)&gt;COUNTIFS(Processos!$X$10:$X$509,1),"",IF(IF(INDEX(Processos!$Y$10:$Y$509,MATCH((ROW()-36+($J$35-1)*200),Processos!$AK$10:$AK$509,0))=1,"Sim","Não")="","",IF(INDEX(Processos!$Y$10:$Y$509,MATCH((ROW()-36+($J$35-1)*200),Processos!$AK$10:$AK$509,0))=1,"Sim","Não")))</f>
        <v/>
      </c>
      <c r="G199" s="6" t="str">
        <f>IF((ROW()-36+($J$35-1)*200)&gt;COUNTIFS(Processos!$X$10:$X$509,1),"",IF(INDEX(Processos!$D$10:$D$509,MATCH((ROW()-36+($J$35-1)*200),Processos!$AK$10:$AK$509,0))="","",INDEX(Processos!$D$10:$D$509,MATCH((ROW()-36+($J$35-1)*200),Processos!$AK$10:$AK$509,0))))</f>
        <v/>
      </c>
    </row>
    <row r="200" spans="1:7" ht="72" customHeight="1">
      <c r="A200" s="7" t="str">
        <f>IF((ROW()-36+($J$35-1)*200)&gt;COUNTIFS(Processos!$X$10:$X$509,1),"",IF(INDEX(Processos!$A$10:$A$509,MATCH((ROW()-36+($J$35-1)*200),Processos!$AK$10:$AK$509,0))="","",INDEX(Processos!$A$10:$A$509,MATCH((ROW()-36+($J$35-1)*200),Processos!$AK$10:$AK$509,0))))</f>
        <v/>
      </c>
      <c r="B200" s="6" t="str">
        <f>IF((ROW()-36+($J$35-1)*200)&gt;COUNTIFS(Processos!$X$10:$X$509,1),"",IF(INDEX(Processos!$C$10:$C$509,MATCH((ROW()-36+($J$35-1)*200),Processos!$AK$10:$AK$509,0))="","",INDEX(Processos!$C$10:$C$509,MATCH((ROW()-36+($J$35-1)*200),Processos!$AK$10:$AK$509,0))))</f>
        <v/>
      </c>
      <c r="C20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00" s="10" t="str">
        <f>IF((ROW()-36+($J$35-1)*200)&gt;COUNTIFS(Processos!$X$10:$X$509,1),"",IF(INDEX(Processos!$AQ$10:$AQ$509,MATCH((ROW()-36+($J$35-1)*200),Processos!$AK$10:$AK$509,0))="","",INDEX(Processos!$AQ$10:$AQ$509,MATCH((ROW()-36+($J$35-1)*200),Processos!$AK$10:$AK$509,0))))</f>
        <v/>
      </c>
      <c r="E200" s="8" t="str">
        <f>IF((ROW()-36+($J$35-1)*200)&gt;COUNTIFS(Processos!$X$10:$X$509,1),"",IF(INDEX(Processos!$Z$10:$Z$509,MATCH((ROW()-36+($J$35-1)*200),Processos!$AK$10:$AK$509,0))="","",INDEX(Processos!$Z$10:$Z$509,MATCH((ROW()-36+($J$35-1)*200),Processos!$AK$10:$AK$509,0))))</f>
        <v/>
      </c>
      <c r="F200" s="6" t="str">
        <f>IF((ROW()-36+($J$35-1)*200)&gt;COUNTIFS(Processos!$X$10:$X$509,1),"",IF(IF(INDEX(Processos!$Y$10:$Y$509,MATCH((ROW()-36+($J$35-1)*200),Processos!$AK$10:$AK$509,0))=1,"Sim","Não")="","",IF(INDEX(Processos!$Y$10:$Y$509,MATCH((ROW()-36+($J$35-1)*200),Processos!$AK$10:$AK$509,0))=1,"Sim","Não")))</f>
        <v/>
      </c>
      <c r="G200" s="6" t="str">
        <f>IF((ROW()-36+($J$35-1)*200)&gt;COUNTIFS(Processos!$X$10:$X$509,1),"",IF(INDEX(Processos!$D$10:$D$509,MATCH((ROW()-36+($J$35-1)*200),Processos!$AK$10:$AK$509,0))="","",INDEX(Processos!$D$10:$D$509,MATCH((ROW()-36+($J$35-1)*200),Processos!$AK$10:$AK$509,0))))</f>
        <v/>
      </c>
    </row>
    <row r="201" spans="1:7" ht="72" customHeight="1">
      <c r="A201" s="7" t="str">
        <f>IF((ROW()-36+($J$35-1)*200)&gt;COUNTIFS(Processos!$X$10:$X$509,1),"",IF(INDEX(Processos!$A$10:$A$509,MATCH((ROW()-36+($J$35-1)*200),Processos!$AK$10:$AK$509,0))="","",INDEX(Processos!$A$10:$A$509,MATCH((ROW()-36+($J$35-1)*200),Processos!$AK$10:$AK$509,0))))</f>
        <v/>
      </c>
      <c r="B201" s="6" t="str">
        <f>IF((ROW()-36+($J$35-1)*200)&gt;COUNTIFS(Processos!$X$10:$X$509,1),"",IF(INDEX(Processos!$C$10:$C$509,MATCH((ROW()-36+($J$35-1)*200),Processos!$AK$10:$AK$509,0))="","",INDEX(Processos!$C$10:$C$509,MATCH((ROW()-36+($J$35-1)*200),Processos!$AK$10:$AK$509,0))))</f>
        <v/>
      </c>
      <c r="C20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01" s="10" t="str">
        <f>IF((ROW()-36+($J$35-1)*200)&gt;COUNTIFS(Processos!$X$10:$X$509,1),"",IF(INDEX(Processos!$AQ$10:$AQ$509,MATCH((ROW()-36+($J$35-1)*200),Processos!$AK$10:$AK$509,0))="","",INDEX(Processos!$AQ$10:$AQ$509,MATCH((ROW()-36+($J$35-1)*200),Processos!$AK$10:$AK$509,0))))</f>
        <v/>
      </c>
      <c r="E201" s="8" t="str">
        <f>IF((ROW()-36+($J$35-1)*200)&gt;COUNTIFS(Processos!$X$10:$X$509,1),"",IF(INDEX(Processos!$Z$10:$Z$509,MATCH((ROW()-36+($J$35-1)*200),Processos!$AK$10:$AK$509,0))="","",INDEX(Processos!$Z$10:$Z$509,MATCH((ROW()-36+($J$35-1)*200),Processos!$AK$10:$AK$509,0))))</f>
        <v/>
      </c>
      <c r="F201" s="6" t="str">
        <f>IF((ROW()-36+($J$35-1)*200)&gt;COUNTIFS(Processos!$X$10:$X$509,1),"",IF(IF(INDEX(Processos!$Y$10:$Y$509,MATCH((ROW()-36+($J$35-1)*200),Processos!$AK$10:$AK$509,0))=1,"Sim","Não")="","",IF(INDEX(Processos!$Y$10:$Y$509,MATCH((ROW()-36+($J$35-1)*200),Processos!$AK$10:$AK$509,0))=1,"Sim","Não")))</f>
        <v/>
      </c>
      <c r="G201" s="6" t="str">
        <f>IF((ROW()-36+($J$35-1)*200)&gt;COUNTIFS(Processos!$X$10:$X$509,1),"",IF(INDEX(Processos!$D$10:$D$509,MATCH((ROW()-36+($J$35-1)*200),Processos!$AK$10:$AK$509,0))="","",INDEX(Processos!$D$10:$D$509,MATCH((ROW()-36+($J$35-1)*200),Processos!$AK$10:$AK$509,0))))</f>
        <v/>
      </c>
    </row>
    <row r="202" spans="1:7" ht="72" customHeight="1">
      <c r="A202" s="7" t="str">
        <f>IF((ROW()-36+($J$35-1)*200)&gt;COUNTIFS(Processos!$X$10:$X$509,1),"",IF(INDEX(Processos!$A$10:$A$509,MATCH((ROW()-36+($J$35-1)*200),Processos!$AK$10:$AK$509,0))="","",INDEX(Processos!$A$10:$A$509,MATCH((ROW()-36+($J$35-1)*200),Processos!$AK$10:$AK$509,0))))</f>
        <v/>
      </c>
      <c r="B202" s="6" t="str">
        <f>IF((ROW()-36+($J$35-1)*200)&gt;COUNTIFS(Processos!$X$10:$X$509,1),"",IF(INDEX(Processos!$C$10:$C$509,MATCH((ROW()-36+($J$35-1)*200),Processos!$AK$10:$AK$509,0))="","",INDEX(Processos!$C$10:$C$509,MATCH((ROW()-36+($J$35-1)*200),Processos!$AK$10:$AK$509,0))))</f>
        <v/>
      </c>
      <c r="C20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02" s="10" t="str">
        <f>IF((ROW()-36+($J$35-1)*200)&gt;COUNTIFS(Processos!$X$10:$X$509,1),"",IF(INDEX(Processos!$AQ$10:$AQ$509,MATCH((ROW()-36+($J$35-1)*200),Processos!$AK$10:$AK$509,0))="","",INDEX(Processos!$AQ$10:$AQ$509,MATCH((ROW()-36+($J$35-1)*200),Processos!$AK$10:$AK$509,0))))</f>
        <v/>
      </c>
      <c r="E202" s="8" t="str">
        <f>IF((ROW()-36+($J$35-1)*200)&gt;COUNTIFS(Processos!$X$10:$X$509,1),"",IF(INDEX(Processos!$Z$10:$Z$509,MATCH((ROW()-36+($J$35-1)*200),Processos!$AK$10:$AK$509,0))="","",INDEX(Processos!$Z$10:$Z$509,MATCH((ROW()-36+($J$35-1)*200),Processos!$AK$10:$AK$509,0))))</f>
        <v/>
      </c>
      <c r="F202" s="6" t="str">
        <f>IF((ROW()-36+($J$35-1)*200)&gt;COUNTIFS(Processos!$X$10:$X$509,1),"",IF(IF(INDEX(Processos!$Y$10:$Y$509,MATCH((ROW()-36+($J$35-1)*200),Processos!$AK$10:$AK$509,0))=1,"Sim","Não")="","",IF(INDEX(Processos!$Y$10:$Y$509,MATCH((ROW()-36+($J$35-1)*200),Processos!$AK$10:$AK$509,0))=1,"Sim","Não")))</f>
        <v/>
      </c>
      <c r="G202" s="6" t="str">
        <f>IF((ROW()-36+($J$35-1)*200)&gt;COUNTIFS(Processos!$X$10:$X$509,1),"",IF(INDEX(Processos!$D$10:$D$509,MATCH((ROW()-36+($J$35-1)*200),Processos!$AK$10:$AK$509,0))="","",INDEX(Processos!$D$10:$D$509,MATCH((ROW()-36+($J$35-1)*200),Processos!$AK$10:$AK$509,0))))</f>
        <v/>
      </c>
    </row>
    <row r="203" spans="1:7" ht="72" customHeight="1">
      <c r="A203" s="7" t="str">
        <f>IF((ROW()-36+($J$35-1)*200)&gt;COUNTIFS(Processos!$X$10:$X$509,1),"",IF(INDEX(Processos!$A$10:$A$509,MATCH((ROW()-36+($J$35-1)*200),Processos!$AK$10:$AK$509,0))="","",INDEX(Processos!$A$10:$A$509,MATCH((ROW()-36+($J$35-1)*200),Processos!$AK$10:$AK$509,0))))</f>
        <v/>
      </c>
      <c r="B203" s="6" t="str">
        <f>IF((ROW()-36+($J$35-1)*200)&gt;COUNTIFS(Processos!$X$10:$X$509,1),"",IF(INDEX(Processos!$C$10:$C$509,MATCH((ROW()-36+($J$35-1)*200),Processos!$AK$10:$AK$509,0))="","",INDEX(Processos!$C$10:$C$509,MATCH((ROW()-36+($J$35-1)*200),Processos!$AK$10:$AK$509,0))))</f>
        <v/>
      </c>
      <c r="C20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03" s="10" t="str">
        <f>IF((ROW()-36+($J$35-1)*200)&gt;COUNTIFS(Processos!$X$10:$X$509,1),"",IF(INDEX(Processos!$AQ$10:$AQ$509,MATCH((ROW()-36+($J$35-1)*200),Processos!$AK$10:$AK$509,0))="","",INDEX(Processos!$AQ$10:$AQ$509,MATCH((ROW()-36+($J$35-1)*200),Processos!$AK$10:$AK$509,0))))</f>
        <v/>
      </c>
      <c r="E203" s="8" t="str">
        <f>IF((ROW()-36+($J$35-1)*200)&gt;COUNTIFS(Processos!$X$10:$X$509,1),"",IF(INDEX(Processos!$Z$10:$Z$509,MATCH((ROW()-36+($J$35-1)*200),Processos!$AK$10:$AK$509,0))="","",INDEX(Processos!$Z$10:$Z$509,MATCH((ROW()-36+($J$35-1)*200),Processos!$AK$10:$AK$509,0))))</f>
        <v/>
      </c>
      <c r="F203" s="6" t="str">
        <f>IF((ROW()-36+($J$35-1)*200)&gt;COUNTIFS(Processos!$X$10:$X$509,1),"",IF(IF(INDEX(Processos!$Y$10:$Y$509,MATCH((ROW()-36+($J$35-1)*200),Processos!$AK$10:$AK$509,0))=1,"Sim","Não")="","",IF(INDEX(Processos!$Y$10:$Y$509,MATCH((ROW()-36+($J$35-1)*200),Processos!$AK$10:$AK$509,0))=1,"Sim","Não")))</f>
        <v/>
      </c>
      <c r="G203" s="6" t="str">
        <f>IF((ROW()-36+($J$35-1)*200)&gt;COUNTIFS(Processos!$X$10:$X$509,1),"",IF(INDEX(Processos!$D$10:$D$509,MATCH((ROW()-36+($J$35-1)*200),Processos!$AK$10:$AK$509,0))="","",INDEX(Processos!$D$10:$D$509,MATCH((ROW()-36+($J$35-1)*200),Processos!$AK$10:$AK$509,0))))</f>
        <v/>
      </c>
    </row>
    <row r="204" spans="1:7" ht="72" customHeight="1">
      <c r="A204" s="7" t="str">
        <f>IF((ROW()-36+($J$35-1)*200)&gt;COUNTIFS(Processos!$X$10:$X$509,1),"",IF(INDEX(Processos!$A$10:$A$509,MATCH((ROW()-36+($J$35-1)*200),Processos!$AK$10:$AK$509,0))="","",INDEX(Processos!$A$10:$A$509,MATCH((ROW()-36+($J$35-1)*200),Processos!$AK$10:$AK$509,0))))</f>
        <v/>
      </c>
      <c r="B204" s="6" t="str">
        <f>IF((ROW()-36+($J$35-1)*200)&gt;COUNTIFS(Processos!$X$10:$X$509,1),"",IF(INDEX(Processos!$C$10:$C$509,MATCH((ROW()-36+($J$35-1)*200),Processos!$AK$10:$AK$509,0))="","",INDEX(Processos!$C$10:$C$509,MATCH((ROW()-36+($J$35-1)*200),Processos!$AK$10:$AK$509,0))))</f>
        <v/>
      </c>
      <c r="C20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04" s="10" t="str">
        <f>IF((ROW()-36+($J$35-1)*200)&gt;COUNTIFS(Processos!$X$10:$X$509,1),"",IF(INDEX(Processos!$AQ$10:$AQ$509,MATCH((ROW()-36+($J$35-1)*200),Processos!$AK$10:$AK$509,0))="","",INDEX(Processos!$AQ$10:$AQ$509,MATCH((ROW()-36+($J$35-1)*200),Processos!$AK$10:$AK$509,0))))</f>
        <v/>
      </c>
      <c r="E204" s="8" t="str">
        <f>IF((ROW()-36+($J$35-1)*200)&gt;COUNTIFS(Processos!$X$10:$X$509,1),"",IF(INDEX(Processos!$Z$10:$Z$509,MATCH((ROW()-36+($J$35-1)*200),Processos!$AK$10:$AK$509,0))="","",INDEX(Processos!$Z$10:$Z$509,MATCH((ROW()-36+($J$35-1)*200),Processos!$AK$10:$AK$509,0))))</f>
        <v/>
      </c>
      <c r="F204" s="6" t="str">
        <f>IF((ROW()-36+($J$35-1)*200)&gt;COUNTIFS(Processos!$X$10:$X$509,1),"",IF(IF(INDEX(Processos!$Y$10:$Y$509,MATCH((ROW()-36+($J$35-1)*200),Processos!$AK$10:$AK$509,0))=1,"Sim","Não")="","",IF(INDEX(Processos!$Y$10:$Y$509,MATCH((ROW()-36+($J$35-1)*200),Processos!$AK$10:$AK$509,0))=1,"Sim","Não")))</f>
        <v/>
      </c>
      <c r="G204" s="6" t="str">
        <f>IF((ROW()-36+($J$35-1)*200)&gt;COUNTIFS(Processos!$X$10:$X$509,1),"",IF(INDEX(Processos!$D$10:$D$509,MATCH((ROW()-36+($J$35-1)*200),Processos!$AK$10:$AK$509,0))="","",INDEX(Processos!$D$10:$D$509,MATCH((ROW()-36+($J$35-1)*200),Processos!$AK$10:$AK$509,0))))</f>
        <v/>
      </c>
    </row>
    <row r="205" spans="1:7" ht="72" customHeight="1">
      <c r="A205" s="7" t="str">
        <f>IF((ROW()-36+($J$35-1)*200)&gt;COUNTIFS(Processos!$X$10:$X$509,1),"",IF(INDEX(Processos!$A$10:$A$509,MATCH((ROW()-36+($J$35-1)*200),Processos!$AK$10:$AK$509,0))="","",INDEX(Processos!$A$10:$A$509,MATCH((ROW()-36+($J$35-1)*200),Processos!$AK$10:$AK$509,0))))</f>
        <v/>
      </c>
      <c r="B205" s="6" t="str">
        <f>IF((ROW()-36+($J$35-1)*200)&gt;COUNTIFS(Processos!$X$10:$X$509,1),"",IF(INDEX(Processos!$C$10:$C$509,MATCH((ROW()-36+($J$35-1)*200),Processos!$AK$10:$AK$509,0))="","",INDEX(Processos!$C$10:$C$509,MATCH((ROW()-36+($J$35-1)*200),Processos!$AK$10:$AK$509,0))))</f>
        <v/>
      </c>
      <c r="C20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05" s="10" t="str">
        <f>IF((ROW()-36+($J$35-1)*200)&gt;COUNTIFS(Processos!$X$10:$X$509,1),"",IF(INDEX(Processos!$AQ$10:$AQ$509,MATCH((ROW()-36+($J$35-1)*200),Processos!$AK$10:$AK$509,0))="","",INDEX(Processos!$AQ$10:$AQ$509,MATCH((ROW()-36+($J$35-1)*200),Processos!$AK$10:$AK$509,0))))</f>
        <v/>
      </c>
      <c r="E205" s="8" t="str">
        <f>IF((ROW()-36+($J$35-1)*200)&gt;COUNTIFS(Processos!$X$10:$X$509,1),"",IF(INDEX(Processos!$Z$10:$Z$509,MATCH((ROW()-36+($J$35-1)*200),Processos!$AK$10:$AK$509,0))="","",INDEX(Processos!$Z$10:$Z$509,MATCH((ROW()-36+($J$35-1)*200),Processos!$AK$10:$AK$509,0))))</f>
        <v/>
      </c>
      <c r="F205" s="6" t="str">
        <f>IF((ROW()-36+($J$35-1)*200)&gt;COUNTIFS(Processos!$X$10:$X$509,1),"",IF(IF(INDEX(Processos!$Y$10:$Y$509,MATCH((ROW()-36+($J$35-1)*200),Processos!$AK$10:$AK$509,0))=1,"Sim","Não")="","",IF(INDEX(Processos!$Y$10:$Y$509,MATCH((ROW()-36+($J$35-1)*200),Processos!$AK$10:$AK$509,0))=1,"Sim","Não")))</f>
        <v/>
      </c>
      <c r="G205" s="6" t="str">
        <f>IF((ROW()-36+($J$35-1)*200)&gt;COUNTIFS(Processos!$X$10:$X$509,1),"",IF(INDEX(Processos!$D$10:$D$509,MATCH((ROW()-36+($J$35-1)*200),Processos!$AK$10:$AK$509,0))="","",INDEX(Processos!$D$10:$D$509,MATCH((ROW()-36+($J$35-1)*200),Processos!$AK$10:$AK$509,0))))</f>
        <v/>
      </c>
    </row>
    <row r="206" spans="1:7" ht="72" customHeight="1">
      <c r="A206" s="7" t="str">
        <f>IF((ROW()-36+($J$35-1)*200)&gt;COUNTIFS(Processos!$X$10:$X$509,1),"",IF(INDEX(Processos!$A$10:$A$509,MATCH((ROW()-36+($J$35-1)*200),Processos!$AK$10:$AK$509,0))="","",INDEX(Processos!$A$10:$A$509,MATCH((ROW()-36+($J$35-1)*200),Processos!$AK$10:$AK$509,0))))</f>
        <v/>
      </c>
      <c r="B206" s="6" t="str">
        <f>IF((ROW()-36+($J$35-1)*200)&gt;COUNTIFS(Processos!$X$10:$X$509,1),"",IF(INDEX(Processos!$C$10:$C$509,MATCH((ROW()-36+($J$35-1)*200),Processos!$AK$10:$AK$509,0))="","",INDEX(Processos!$C$10:$C$509,MATCH((ROW()-36+($J$35-1)*200),Processos!$AK$10:$AK$509,0))))</f>
        <v/>
      </c>
      <c r="C20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06" s="10" t="str">
        <f>IF((ROW()-36+($J$35-1)*200)&gt;COUNTIFS(Processos!$X$10:$X$509,1),"",IF(INDEX(Processos!$AQ$10:$AQ$509,MATCH((ROW()-36+($J$35-1)*200),Processos!$AK$10:$AK$509,0))="","",INDEX(Processos!$AQ$10:$AQ$509,MATCH((ROW()-36+($J$35-1)*200),Processos!$AK$10:$AK$509,0))))</f>
        <v/>
      </c>
      <c r="E206" s="8" t="str">
        <f>IF((ROW()-36+($J$35-1)*200)&gt;COUNTIFS(Processos!$X$10:$X$509,1),"",IF(INDEX(Processos!$Z$10:$Z$509,MATCH((ROW()-36+($J$35-1)*200),Processos!$AK$10:$AK$509,0))="","",INDEX(Processos!$Z$10:$Z$509,MATCH((ROW()-36+($J$35-1)*200),Processos!$AK$10:$AK$509,0))))</f>
        <v/>
      </c>
      <c r="F206" s="6" t="str">
        <f>IF((ROW()-36+($J$35-1)*200)&gt;COUNTIFS(Processos!$X$10:$X$509,1),"",IF(IF(INDEX(Processos!$Y$10:$Y$509,MATCH((ROW()-36+($J$35-1)*200),Processos!$AK$10:$AK$509,0))=1,"Sim","Não")="","",IF(INDEX(Processos!$Y$10:$Y$509,MATCH((ROW()-36+($J$35-1)*200),Processos!$AK$10:$AK$509,0))=1,"Sim","Não")))</f>
        <v/>
      </c>
      <c r="G206" s="6" t="str">
        <f>IF((ROW()-36+($J$35-1)*200)&gt;COUNTIFS(Processos!$X$10:$X$509,1),"",IF(INDEX(Processos!$D$10:$D$509,MATCH((ROW()-36+($J$35-1)*200),Processos!$AK$10:$AK$509,0))="","",INDEX(Processos!$D$10:$D$509,MATCH((ROW()-36+($J$35-1)*200),Processos!$AK$10:$AK$509,0))))</f>
        <v/>
      </c>
    </row>
    <row r="207" spans="1:7" ht="72" customHeight="1">
      <c r="A207" s="7" t="str">
        <f>IF((ROW()-36+($J$35-1)*200)&gt;COUNTIFS(Processos!$X$10:$X$509,1),"",IF(INDEX(Processos!$A$10:$A$509,MATCH((ROW()-36+($J$35-1)*200),Processos!$AK$10:$AK$509,0))="","",INDEX(Processos!$A$10:$A$509,MATCH((ROW()-36+($J$35-1)*200),Processos!$AK$10:$AK$509,0))))</f>
        <v/>
      </c>
      <c r="B207" s="6" t="str">
        <f>IF((ROW()-36+($J$35-1)*200)&gt;COUNTIFS(Processos!$X$10:$X$509,1),"",IF(INDEX(Processos!$C$10:$C$509,MATCH((ROW()-36+($J$35-1)*200),Processos!$AK$10:$AK$509,0))="","",INDEX(Processos!$C$10:$C$509,MATCH((ROW()-36+($J$35-1)*200),Processos!$AK$10:$AK$509,0))))</f>
        <v/>
      </c>
      <c r="C20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07" s="10" t="str">
        <f>IF((ROW()-36+($J$35-1)*200)&gt;COUNTIFS(Processos!$X$10:$X$509,1),"",IF(INDEX(Processos!$AQ$10:$AQ$509,MATCH((ROW()-36+($J$35-1)*200),Processos!$AK$10:$AK$509,0))="","",INDEX(Processos!$AQ$10:$AQ$509,MATCH((ROW()-36+($J$35-1)*200),Processos!$AK$10:$AK$509,0))))</f>
        <v/>
      </c>
      <c r="E207" s="8" t="str">
        <f>IF((ROW()-36+($J$35-1)*200)&gt;COUNTIFS(Processos!$X$10:$X$509,1),"",IF(INDEX(Processos!$Z$10:$Z$509,MATCH((ROW()-36+($J$35-1)*200),Processos!$AK$10:$AK$509,0))="","",INDEX(Processos!$Z$10:$Z$509,MATCH((ROW()-36+($J$35-1)*200),Processos!$AK$10:$AK$509,0))))</f>
        <v/>
      </c>
      <c r="F207" s="6" t="str">
        <f>IF((ROW()-36+($J$35-1)*200)&gt;COUNTIFS(Processos!$X$10:$X$509,1),"",IF(IF(INDEX(Processos!$Y$10:$Y$509,MATCH((ROW()-36+($J$35-1)*200),Processos!$AK$10:$AK$509,0))=1,"Sim","Não")="","",IF(INDEX(Processos!$Y$10:$Y$509,MATCH((ROW()-36+($J$35-1)*200),Processos!$AK$10:$AK$509,0))=1,"Sim","Não")))</f>
        <v/>
      </c>
      <c r="G207" s="6" t="str">
        <f>IF((ROW()-36+($J$35-1)*200)&gt;COUNTIFS(Processos!$X$10:$X$509,1),"",IF(INDEX(Processos!$D$10:$D$509,MATCH((ROW()-36+($J$35-1)*200),Processos!$AK$10:$AK$509,0))="","",INDEX(Processos!$D$10:$D$509,MATCH((ROW()-36+($J$35-1)*200),Processos!$AK$10:$AK$509,0))))</f>
        <v/>
      </c>
    </row>
    <row r="208" spans="1:7" ht="72" customHeight="1">
      <c r="A208" s="7" t="str">
        <f>IF((ROW()-36+($J$35-1)*200)&gt;COUNTIFS(Processos!$X$10:$X$509,1),"",IF(INDEX(Processos!$A$10:$A$509,MATCH((ROW()-36+($J$35-1)*200),Processos!$AK$10:$AK$509,0))="","",INDEX(Processos!$A$10:$A$509,MATCH((ROW()-36+($J$35-1)*200),Processos!$AK$10:$AK$509,0))))</f>
        <v/>
      </c>
      <c r="B208" s="6" t="str">
        <f>IF((ROW()-36+($J$35-1)*200)&gt;COUNTIFS(Processos!$X$10:$X$509,1),"",IF(INDEX(Processos!$C$10:$C$509,MATCH((ROW()-36+($J$35-1)*200),Processos!$AK$10:$AK$509,0))="","",INDEX(Processos!$C$10:$C$509,MATCH((ROW()-36+($J$35-1)*200),Processos!$AK$10:$AK$509,0))))</f>
        <v/>
      </c>
      <c r="C20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08" s="10" t="str">
        <f>IF((ROW()-36+($J$35-1)*200)&gt;COUNTIFS(Processos!$X$10:$X$509,1),"",IF(INDEX(Processos!$AQ$10:$AQ$509,MATCH((ROW()-36+($J$35-1)*200),Processos!$AK$10:$AK$509,0))="","",INDEX(Processos!$AQ$10:$AQ$509,MATCH((ROW()-36+($J$35-1)*200),Processos!$AK$10:$AK$509,0))))</f>
        <v/>
      </c>
      <c r="E208" s="8" t="str">
        <f>IF((ROW()-36+($J$35-1)*200)&gt;COUNTIFS(Processos!$X$10:$X$509,1),"",IF(INDEX(Processos!$Z$10:$Z$509,MATCH((ROW()-36+($J$35-1)*200),Processos!$AK$10:$AK$509,0))="","",INDEX(Processos!$Z$10:$Z$509,MATCH((ROW()-36+($J$35-1)*200),Processos!$AK$10:$AK$509,0))))</f>
        <v/>
      </c>
      <c r="F208" s="6" t="str">
        <f>IF((ROW()-36+($J$35-1)*200)&gt;COUNTIFS(Processos!$X$10:$X$509,1),"",IF(IF(INDEX(Processos!$Y$10:$Y$509,MATCH((ROW()-36+($J$35-1)*200),Processos!$AK$10:$AK$509,0))=1,"Sim","Não")="","",IF(INDEX(Processos!$Y$10:$Y$509,MATCH((ROW()-36+($J$35-1)*200),Processos!$AK$10:$AK$509,0))=1,"Sim","Não")))</f>
        <v/>
      </c>
      <c r="G208" s="6" t="str">
        <f>IF((ROW()-36+($J$35-1)*200)&gt;COUNTIFS(Processos!$X$10:$X$509,1),"",IF(INDEX(Processos!$D$10:$D$509,MATCH((ROW()-36+($J$35-1)*200),Processos!$AK$10:$AK$509,0))="","",INDEX(Processos!$D$10:$D$509,MATCH((ROW()-36+($J$35-1)*200),Processos!$AK$10:$AK$509,0))))</f>
        <v/>
      </c>
    </row>
    <row r="209" spans="1:7" ht="72" customHeight="1">
      <c r="A209" s="7" t="str">
        <f>IF((ROW()-36+($J$35-1)*200)&gt;COUNTIFS(Processos!$X$10:$X$509,1),"",IF(INDEX(Processos!$A$10:$A$509,MATCH((ROW()-36+($J$35-1)*200),Processos!$AK$10:$AK$509,0))="","",INDEX(Processos!$A$10:$A$509,MATCH((ROW()-36+($J$35-1)*200),Processos!$AK$10:$AK$509,0))))</f>
        <v/>
      </c>
      <c r="B209" s="6" t="str">
        <f>IF((ROW()-36+($J$35-1)*200)&gt;COUNTIFS(Processos!$X$10:$X$509,1),"",IF(INDEX(Processos!$C$10:$C$509,MATCH((ROW()-36+($J$35-1)*200),Processos!$AK$10:$AK$509,0))="","",INDEX(Processos!$C$10:$C$509,MATCH((ROW()-36+($J$35-1)*200),Processos!$AK$10:$AK$509,0))))</f>
        <v/>
      </c>
      <c r="C20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09" s="10" t="str">
        <f>IF((ROW()-36+($J$35-1)*200)&gt;COUNTIFS(Processos!$X$10:$X$509,1),"",IF(INDEX(Processos!$AQ$10:$AQ$509,MATCH((ROW()-36+($J$35-1)*200),Processos!$AK$10:$AK$509,0))="","",INDEX(Processos!$AQ$10:$AQ$509,MATCH((ROW()-36+($J$35-1)*200),Processos!$AK$10:$AK$509,0))))</f>
        <v/>
      </c>
      <c r="E209" s="8" t="str">
        <f>IF((ROW()-36+($J$35-1)*200)&gt;COUNTIFS(Processos!$X$10:$X$509,1),"",IF(INDEX(Processos!$Z$10:$Z$509,MATCH((ROW()-36+($J$35-1)*200),Processos!$AK$10:$AK$509,0))="","",INDEX(Processos!$Z$10:$Z$509,MATCH((ROW()-36+($J$35-1)*200),Processos!$AK$10:$AK$509,0))))</f>
        <v/>
      </c>
      <c r="F209" s="6" t="str">
        <f>IF((ROW()-36+($J$35-1)*200)&gt;COUNTIFS(Processos!$X$10:$X$509,1),"",IF(IF(INDEX(Processos!$Y$10:$Y$509,MATCH((ROW()-36+($J$35-1)*200),Processos!$AK$10:$AK$509,0))=1,"Sim","Não")="","",IF(INDEX(Processos!$Y$10:$Y$509,MATCH((ROW()-36+($J$35-1)*200),Processos!$AK$10:$AK$509,0))=1,"Sim","Não")))</f>
        <v/>
      </c>
      <c r="G209" s="6" t="str">
        <f>IF((ROW()-36+($J$35-1)*200)&gt;COUNTIFS(Processos!$X$10:$X$509,1),"",IF(INDEX(Processos!$D$10:$D$509,MATCH((ROW()-36+($J$35-1)*200),Processos!$AK$10:$AK$509,0))="","",INDEX(Processos!$D$10:$D$509,MATCH((ROW()-36+($J$35-1)*200),Processos!$AK$10:$AK$509,0))))</f>
        <v/>
      </c>
    </row>
    <row r="210" spans="1:7" ht="72" customHeight="1">
      <c r="A210" s="7" t="str">
        <f>IF((ROW()-36+($J$35-1)*200)&gt;COUNTIFS(Processos!$X$10:$X$509,1),"",IF(INDEX(Processos!$A$10:$A$509,MATCH((ROW()-36+($J$35-1)*200),Processos!$AK$10:$AK$509,0))="","",INDEX(Processos!$A$10:$A$509,MATCH((ROW()-36+($J$35-1)*200),Processos!$AK$10:$AK$509,0))))</f>
        <v/>
      </c>
      <c r="B210" s="6" t="str">
        <f>IF((ROW()-36+($J$35-1)*200)&gt;COUNTIFS(Processos!$X$10:$X$509,1),"",IF(INDEX(Processos!$C$10:$C$509,MATCH((ROW()-36+($J$35-1)*200),Processos!$AK$10:$AK$509,0))="","",INDEX(Processos!$C$10:$C$509,MATCH((ROW()-36+($J$35-1)*200),Processos!$AK$10:$AK$509,0))))</f>
        <v/>
      </c>
      <c r="C21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10" s="10" t="str">
        <f>IF((ROW()-36+($J$35-1)*200)&gt;COUNTIFS(Processos!$X$10:$X$509,1),"",IF(INDEX(Processos!$AQ$10:$AQ$509,MATCH((ROW()-36+($J$35-1)*200),Processos!$AK$10:$AK$509,0))="","",INDEX(Processos!$AQ$10:$AQ$509,MATCH((ROW()-36+($J$35-1)*200),Processos!$AK$10:$AK$509,0))))</f>
        <v/>
      </c>
      <c r="E210" s="8" t="str">
        <f>IF((ROW()-36+($J$35-1)*200)&gt;COUNTIFS(Processos!$X$10:$X$509,1),"",IF(INDEX(Processos!$Z$10:$Z$509,MATCH((ROW()-36+($J$35-1)*200),Processos!$AK$10:$AK$509,0))="","",INDEX(Processos!$Z$10:$Z$509,MATCH((ROW()-36+($J$35-1)*200),Processos!$AK$10:$AK$509,0))))</f>
        <v/>
      </c>
      <c r="F210" s="6" t="str">
        <f>IF((ROW()-36+($J$35-1)*200)&gt;COUNTIFS(Processos!$X$10:$X$509,1),"",IF(IF(INDEX(Processos!$Y$10:$Y$509,MATCH((ROW()-36+($J$35-1)*200),Processos!$AK$10:$AK$509,0))=1,"Sim","Não")="","",IF(INDEX(Processos!$Y$10:$Y$509,MATCH((ROW()-36+($J$35-1)*200),Processos!$AK$10:$AK$509,0))=1,"Sim","Não")))</f>
        <v/>
      </c>
      <c r="G210" s="6" t="str">
        <f>IF((ROW()-36+($J$35-1)*200)&gt;COUNTIFS(Processos!$X$10:$X$509,1),"",IF(INDEX(Processos!$D$10:$D$509,MATCH((ROW()-36+($J$35-1)*200),Processos!$AK$10:$AK$509,0))="","",INDEX(Processos!$D$10:$D$509,MATCH((ROW()-36+($J$35-1)*200),Processos!$AK$10:$AK$509,0))))</f>
        <v/>
      </c>
    </row>
    <row r="211" spans="1:7" ht="72" customHeight="1">
      <c r="A211" s="7" t="str">
        <f>IF((ROW()-36+($J$35-1)*200)&gt;COUNTIFS(Processos!$X$10:$X$509,1),"",IF(INDEX(Processos!$A$10:$A$509,MATCH((ROW()-36+($J$35-1)*200),Processos!$AK$10:$AK$509,0))="","",INDEX(Processos!$A$10:$A$509,MATCH((ROW()-36+($J$35-1)*200),Processos!$AK$10:$AK$509,0))))</f>
        <v/>
      </c>
      <c r="B211" s="6" t="str">
        <f>IF((ROW()-36+($J$35-1)*200)&gt;COUNTIFS(Processos!$X$10:$X$509,1),"",IF(INDEX(Processos!$C$10:$C$509,MATCH((ROW()-36+($J$35-1)*200),Processos!$AK$10:$AK$509,0))="","",INDEX(Processos!$C$10:$C$509,MATCH((ROW()-36+($J$35-1)*200),Processos!$AK$10:$AK$509,0))))</f>
        <v/>
      </c>
      <c r="C21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11" s="10" t="str">
        <f>IF((ROW()-36+($J$35-1)*200)&gt;COUNTIFS(Processos!$X$10:$X$509,1),"",IF(INDEX(Processos!$AQ$10:$AQ$509,MATCH((ROW()-36+($J$35-1)*200),Processos!$AK$10:$AK$509,0))="","",INDEX(Processos!$AQ$10:$AQ$509,MATCH((ROW()-36+($J$35-1)*200),Processos!$AK$10:$AK$509,0))))</f>
        <v/>
      </c>
      <c r="E211" s="8" t="str">
        <f>IF((ROW()-36+($J$35-1)*200)&gt;COUNTIFS(Processos!$X$10:$X$509,1),"",IF(INDEX(Processos!$Z$10:$Z$509,MATCH((ROW()-36+($J$35-1)*200),Processos!$AK$10:$AK$509,0))="","",INDEX(Processos!$Z$10:$Z$509,MATCH((ROW()-36+($J$35-1)*200),Processos!$AK$10:$AK$509,0))))</f>
        <v/>
      </c>
      <c r="F211" s="6" t="str">
        <f>IF((ROW()-36+($J$35-1)*200)&gt;COUNTIFS(Processos!$X$10:$X$509,1),"",IF(IF(INDEX(Processos!$Y$10:$Y$509,MATCH((ROW()-36+($J$35-1)*200),Processos!$AK$10:$AK$509,0))=1,"Sim","Não")="","",IF(INDEX(Processos!$Y$10:$Y$509,MATCH((ROW()-36+($J$35-1)*200),Processos!$AK$10:$AK$509,0))=1,"Sim","Não")))</f>
        <v/>
      </c>
      <c r="G211" s="6" t="str">
        <f>IF((ROW()-36+($J$35-1)*200)&gt;COUNTIFS(Processos!$X$10:$X$509,1),"",IF(INDEX(Processos!$D$10:$D$509,MATCH((ROW()-36+($J$35-1)*200),Processos!$AK$10:$AK$509,0))="","",INDEX(Processos!$D$10:$D$509,MATCH((ROW()-36+($J$35-1)*200),Processos!$AK$10:$AK$509,0))))</f>
        <v/>
      </c>
    </row>
    <row r="212" spans="1:7" ht="72" customHeight="1">
      <c r="A212" s="7" t="str">
        <f>IF((ROW()-36+($J$35-1)*200)&gt;COUNTIFS(Processos!$X$10:$X$509,1),"",IF(INDEX(Processos!$A$10:$A$509,MATCH((ROW()-36+($J$35-1)*200),Processos!$AK$10:$AK$509,0))="","",INDEX(Processos!$A$10:$A$509,MATCH((ROW()-36+($J$35-1)*200),Processos!$AK$10:$AK$509,0))))</f>
        <v/>
      </c>
      <c r="B212" s="6" t="str">
        <f>IF((ROW()-36+($J$35-1)*200)&gt;COUNTIFS(Processos!$X$10:$X$509,1),"",IF(INDEX(Processos!$C$10:$C$509,MATCH((ROW()-36+($J$35-1)*200),Processos!$AK$10:$AK$509,0))="","",INDEX(Processos!$C$10:$C$509,MATCH((ROW()-36+($J$35-1)*200),Processos!$AK$10:$AK$509,0))))</f>
        <v/>
      </c>
      <c r="C21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12" s="10" t="str">
        <f>IF((ROW()-36+($J$35-1)*200)&gt;COUNTIFS(Processos!$X$10:$X$509,1),"",IF(INDEX(Processos!$AQ$10:$AQ$509,MATCH((ROW()-36+($J$35-1)*200),Processos!$AK$10:$AK$509,0))="","",INDEX(Processos!$AQ$10:$AQ$509,MATCH((ROW()-36+($J$35-1)*200),Processos!$AK$10:$AK$509,0))))</f>
        <v/>
      </c>
      <c r="E212" s="8" t="str">
        <f>IF((ROW()-36+($J$35-1)*200)&gt;COUNTIFS(Processos!$X$10:$X$509,1),"",IF(INDEX(Processos!$Z$10:$Z$509,MATCH((ROW()-36+($J$35-1)*200),Processos!$AK$10:$AK$509,0))="","",INDEX(Processos!$Z$10:$Z$509,MATCH((ROW()-36+($J$35-1)*200),Processos!$AK$10:$AK$509,0))))</f>
        <v/>
      </c>
      <c r="F212" s="6" t="str">
        <f>IF((ROW()-36+($J$35-1)*200)&gt;COUNTIFS(Processos!$X$10:$X$509,1),"",IF(IF(INDEX(Processos!$Y$10:$Y$509,MATCH((ROW()-36+($J$35-1)*200),Processos!$AK$10:$AK$509,0))=1,"Sim","Não")="","",IF(INDEX(Processos!$Y$10:$Y$509,MATCH((ROW()-36+($J$35-1)*200),Processos!$AK$10:$AK$509,0))=1,"Sim","Não")))</f>
        <v/>
      </c>
      <c r="G212" s="6" t="str">
        <f>IF((ROW()-36+($J$35-1)*200)&gt;COUNTIFS(Processos!$X$10:$X$509,1),"",IF(INDEX(Processos!$D$10:$D$509,MATCH((ROW()-36+($J$35-1)*200),Processos!$AK$10:$AK$509,0))="","",INDEX(Processos!$D$10:$D$509,MATCH((ROW()-36+($J$35-1)*200),Processos!$AK$10:$AK$509,0))))</f>
        <v/>
      </c>
    </row>
    <row r="213" spans="1:7" ht="72" customHeight="1">
      <c r="A213" s="7" t="str">
        <f>IF((ROW()-36+($J$35-1)*200)&gt;COUNTIFS(Processos!$X$10:$X$509,1),"",IF(INDEX(Processos!$A$10:$A$509,MATCH((ROW()-36+($J$35-1)*200),Processos!$AK$10:$AK$509,0))="","",INDEX(Processos!$A$10:$A$509,MATCH((ROW()-36+($J$35-1)*200),Processos!$AK$10:$AK$509,0))))</f>
        <v/>
      </c>
      <c r="B213" s="6" t="str">
        <f>IF((ROW()-36+($J$35-1)*200)&gt;COUNTIFS(Processos!$X$10:$X$509,1),"",IF(INDEX(Processos!$C$10:$C$509,MATCH((ROW()-36+($J$35-1)*200),Processos!$AK$10:$AK$509,0))="","",INDEX(Processos!$C$10:$C$509,MATCH((ROW()-36+($J$35-1)*200),Processos!$AK$10:$AK$509,0))))</f>
        <v/>
      </c>
      <c r="C21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13" s="10" t="str">
        <f>IF((ROW()-36+($J$35-1)*200)&gt;COUNTIFS(Processos!$X$10:$X$509,1),"",IF(INDEX(Processos!$AQ$10:$AQ$509,MATCH((ROW()-36+($J$35-1)*200),Processos!$AK$10:$AK$509,0))="","",INDEX(Processos!$AQ$10:$AQ$509,MATCH((ROW()-36+($J$35-1)*200),Processos!$AK$10:$AK$509,0))))</f>
        <v/>
      </c>
      <c r="E213" s="8" t="str">
        <f>IF((ROW()-36+($J$35-1)*200)&gt;COUNTIFS(Processos!$X$10:$X$509,1),"",IF(INDEX(Processos!$Z$10:$Z$509,MATCH((ROW()-36+($J$35-1)*200),Processos!$AK$10:$AK$509,0))="","",INDEX(Processos!$Z$10:$Z$509,MATCH((ROW()-36+($J$35-1)*200),Processos!$AK$10:$AK$509,0))))</f>
        <v/>
      </c>
      <c r="F213" s="6" t="str">
        <f>IF((ROW()-36+($J$35-1)*200)&gt;COUNTIFS(Processos!$X$10:$X$509,1),"",IF(IF(INDEX(Processos!$Y$10:$Y$509,MATCH((ROW()-36+($J$35-1)*200),Processos!$AK$10:$AK$509,0))=1,"Sim","Não")="","",IF(INDEX(Processos!$Y$10:$Y$509,MATCH((ROW()-36+($J$35-1)*200),Processos!$AK$10:$AK$509,0))=1,"Sim","Não")))</f>
        <v/>
      </c>
      <c r="G213" s="6" t="str">
        <f>IF((ROW()-36+($J$35-1)*200)&gt;COUNTIFS(Processos!$X$10:$X$509,1),"",IF(INDEX(Processos!$D$10:$D$509,MATCH((ROW()-36+($J$35-1)*200),Processos!$AK$10:$AK$509,0))="","",INDEX(Processos!$D$10:$D$509,MATCH((ROW()-36+($J$35-1)*200),Processos!$AK$10:$AK$509,0))))</f>
        <v/>
      </c>
    </row>
    <row r="214" spans="1:7" ht="72" customHeight="1">
      <c r="A214" s="7" t="str">
        <f>IF((ROW()-36+($J$35-1)*200)&gt;COUNTIFS(Processos!$X$10:$X$509,1),"",IF(INDEX(Processos!$A$10:$A$509,MATCH((ROW()-36+($J$35-1)*200),Processos!$AK$10:$AK$509,0))="","",INDEX(Processos!$A$10:$A$509,MATCH((ROW()-36+($J$35-1)*200),Processos!$AK$10:$AK$509,0))))</f>
        <v/>
      </c>
      <c r="B214" s="6" t="str">
        <f>IF((ROW()-36+($J$35-1)*200)&gt;COUNTIFS(Processos!$X$10:$X$509,1),"",IF(INDEX(Processos!$C$10:$C$509,MATCH((ROW()-36+($J$35-1)*200),Processos!$AK$10:$AK$509,0))="","",INDEX(Processos!$C$10:$C$509,MATCH((ROW()-36+($J$35-1)*200),Processos!$AK$10:$AK$509,0))))</f>
        <v/>
      </c>
      <c r="C21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14" s="10" t="str">
        <f>IF((ROW()-36+($J$35-1)*200)&gt;COUNTIFS(Processos!$X$10:$X$509,1),"",IF(INDEX(Processos!$AQ$10:$AQ$509,MATCH((ROW()-36+($J$35-1)*200),Processos!$AK$10:$AK$509,0))="","",INDEX(Processos!$AQ$10:$AQ$509,MATCH((ROW()-36+($J$35-1)*200),Processos!$AK$10:$AK$509,0))))</f>
        <v/>
      </c>
      <c r="E214" s="8" t="str">
        <f>IF((ROW()-36+($J$35-1)*200)&gt;COUNTIFS(Processos!$X$10:$X$509,1),"",IF(INDEX(Processos!$Z$10:$Z$509,MATCH((ROW()-36+($J$35-1)*200),Processos!$AK$10:$AK$509,0))="","",INDEX(Processos!$Z$10:$Z$509,MATCH((ROW()-36+($J$35-1)*200),Processos!$AK$10:$AK$509,0))))</f>
        <v/>
      </c>
      <c r="F214" s="6" t="str">
        <f>IF((ROW()-36+($J$35-1)*200)&gt;COUNTIFS(Processos!$X$10:$X$509,1),"",IF(IF(INDEX(Processos!$Y$10:$Y$509,MATCH((ROW()-36+($J$35-1)*200),Processos!$AK$10:$AK$509,0))=1,"Sim","Não")="","",IF(INDEX(Processos!$Y$10:$Y$509,MATCH((ROW()-36+($J$35-1)*200),Processos!$AK$10:$AK$509,0))=1,"Sim","Não")))</f>
        <v/>
      </c>
      <c r="G214" s="6" t="str">
        <f>IF((ROW()-36+($J$35-1)*200)&gt;COUNTIFS(Processos!$X$10:$X$509,1),"",IF(INDEX(Processos!$D$10:$D$509,MATCH((ROW()-36+($J$35-1)*200),Processos!$AK$10:$AK$509,0))="","",INDEX(Processos!$D$10:$D$509,MATCH((ROW()-36+($J$35-1)*200),Processos!$AK$10:$AK$509,0))))</f>
        <v/>
      </c>
    </row>
    <row r="215" spans="1:7" ht="72" customHeight="1">
      <c r="A215" s="7" t="str">
        <f>IF((ROW()-36+($J$35-1)*200)&gt;COUNTIFS(Processos!$X$10:$X$509,1),"",IF(INDEX(Processos!$A$10:$A$509,MATCH((ROW()-36+($J$35-1)*200),Processos!$AK$10:$AK$509,0))="","",INDEX(Processos!$A$10:$A$509,MATCH((ROW()-36+($J$35-1)*200),Processos!$AK$10:$AK$509,0))))</f>
        <v/>
      </c>
      <c r="B215" s="6" t="str">
        <f>IF((ROW()-36+($J$35-1)*200)&gt;COUNTIFS(Processos!$X$10:$X$509,1),"",IF(INDEX(Processos!$C$10:$C$509,MATCH((ROW()-36+($J$35-1)*200),Processos!$AK$10:$AK$509,0))="","",INDEX(Processos!$C$10:$C$509,MATCH((ROW()-36+($J$35-1)*200),Processos!$AK$10:$AK$509,0))))</f>
        <v/>
      </c>
      <c r="C21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15" s="10" t="str">
        <f>IF((ROW()-36+($J$35-1)*200)&gt;COUNTIFS(Processos!$X$10:$X$509,1),"",IF(INDEX(Processos!$AQ$10:$AQ$509,MATCH((ROW()-36+($J$35-1)*200),Processos!$AK$10:$AK$509,0))="","",INDEX(Processos!$AQ$10:$AQ$509,MATCH((ROW()-36+($J$35-1)*200),Processos!$AK$10:$AK$509,0))))</f>
        <v/>
      </c>
      <c r="E215" s="8" t="str">
        <f>IF((ROW()-36+($J$35-1)*200)&gt;COUNTIFS(Processos!$X$10:$X$509,1),"",IF(INDEX(Processos!$Z$10:$Z$509,MATCH((ROW()-36+($J$35-1)*200),Processos!$AK$10:$AK$509,0))="","",INDEX(Processos!$Z$10:$Z$509,MATCH((ROW()-36+($J$35-1)*200),Processos!$AK$10:$AK$509,0))))</f>
        <v/>
      </c>
      <c r="F215" s="6" t="str">
        <f>IF((ROW()-36+($J$35-1)*200)&gt;COUNTIFS(Processos!$X$10:$X$509,1),"",IF(IF(INDEX(Processos!$Y$10:$Y$509,MATCH((ROW()-36+($J$35-1)*200),Processos!$AK$10:$AK$509,0))=1,"Sim","Não")="","",IF(INDEX(Processos!$Y$10:$Y$509,MATCH((ROW()-36+($J$35-1)*200),Processos!$AK$10:$AK$509,0))=1,"Sim","Não")))</f>
        <v/>
      </c>
      <c r="G215" s="6" t="str">
        <f>IF((ROW()-36+($J$35-1)*200)&gt;COUNTIFS(Processos!$X$10:$X$509,1),"",IF(INDEX(Processos!$D$10:$D$509,MATCH((ROW()-36+($J$35-1)*200),Processos!$AK$10:$AK$509,0))="","",INDEX(Processos!$D$10:$D$509,MATCH((ROW()-36+($J$35-1)*200),Processos!$AK$10:$AK$509,0))))</f>
        <v/>
      </c>
    </row>
    <row r="216" spans="1:7" ht="72" customHeight="1">
      <c r="A216" s="7" t="str">
        <f>IF((ROW()-36+($J$35-1)*200)&gt;COUNTIFS(Processos!$X$10:$X$509,1),"",IF(INDEX(Processos!$A$10:$A$509,MATCH((ROW()-36+($J$35-1)*200),Processos!$AK$10:$AK$509,0))="","",INDEX(Processos!$A$10:$A$509,MATCH((ROW()-36+($J$35-1)*200),Processos!$AK$10:$AK$509,0))))</f>
        <v/>
      </c>
      <c r="B216" s="6" t="str">
        <f>IF((ROW()-36+($J$35-1)*200)&gt;COUNTIFS(Processos!$X$10:$X$509,1),"",IF(INDEX(Processos!$C$10:$C$509,MATCH((ROW()-36+($J$35-1)*200),Processos!$AK$10:$AK$509,0))="","",INDEX(Processos!$C$10:$C$509,MATCH((ROW()-36+($J$35-1)*200),Processos!$AK$10:$AK$509,0))))</f>
        <v/>
      </c>
      <c r="C21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16" s="10" t="str">
        <f>IF((ROW()-36+($J$35-1)*200)&gt;COUNTIFS(Processos!$X$10:$X$509,1),"",IF(INDEX(Processos!$AQ$10:$AQ$509,MATCH((ROW()-36+($J$35-1)*200),Processos!$AK$10:$AK$509,0))="","",INDEX(Processos!$AQ$10:$AQ$509,MATCH((ROW()-36+($J$35-1)*200),Processos!$AK$10:$AK$509,0))))</f>
        <v/>
      </c>
      <c r="E216" s="8" t="str">
        <f>IF((ROW()-36+($J$35-1)*200)&gt;COUNTIFS(Processos!$X$10:$X$509,1),"",IF(INDEX(Processos!$Z$10:$Z$509,MATCH((ROW()-36+($J$35-1)*200),Processos!$AK$10:$AK$509,0))="","",INDEX(Processos!$Z$10:$Z$509,MATCH((ROW()-36+($J$35-1)*200),Processos!$AK$10:$AK$509,0))))</f>
        <v/>
      </c>
      <c r="F216" s="6" t="str">
        <f>IF((ROW()-36+($J$35-1)*200)&gt;COUNTIFS(Processos!$X$10:$X$509,1),"",IF(IF(INDEX(Processos!$Y$10:$Y$509,MATCH((ROW()-36+($J$35-1)*200),Processos!$AK$10:$AK$509,0))=1,"Sim","Não")="","",IF(INDEX(Processos!$Y$10:$Y$509,MATCH((ROW()-36+($J$35-1)*200),Processos!$AK$10:$AK$509,0))=1,"Sim","Não")))</f>
        <v/>
      </c>
      <c r="G216" s="6" t="str">
        <f>IF((ROW()-36+($J$35-1)*200)&gt;COUNTIFS(Processos!$X$10:$X$509,1),"",IF(INDEX(Processos!$D$10:$D$509,MATCH((ROW()-36+($J$35-1)*200),Processos!$AK$10:$AK$509,0))="","",INDEX(Processos!$D$10:$D$509,MATCH((ROW()-36+($J$35-1)*200),Processos!$AK$10:$AK$509,0))))</f>
        <v/>
      </c>
    </row>
    <row r="217" spans="1:7" ht="72" customHeight="1">
      <c r="A217" s="7" t="str">
        <f>IF((ROW()-36+($J$35-1)*200)&gt;COUNTIFS(Processos!$X$10:$X$509,1),"",IF(INDEX(Processos!$A$10:$A$509,MATCH((ROW()-36+($J$35-1)*200),Processos!$AK$10:$AK$509,0))="","",INDEX(Processos!$A$10:$A$509,MATCH((ROW()-36+($J$35-1)*200),Processos!$AK$10:$AK$509,0))))</f>
        <v/>
      </c>
      <c r="B217" s="6" t="str">
        <f>IF((ROW()-36+($J$35-1)*200)&gt;COUNTIFS(Processos!$X$10:$X$509,1),"",IF(INDEX(Processos!$C$10:$C$509,MATCH((ROW()-36+($J$35-1)*200),Processos!$AK$10:$AK$509,0))="","",INDEX(Processos!$C$10:$C$509,MATCH((ROW()-36+($J$35-1)*200),Processos!$AK$10:$AK$509,0))))</f>
        <v/>
      </c>
      <c r="C21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17" s="10" t="str">
        <f>IF((ROW()-36+($J$35-1)*200)&gt;COUNTIFS(Processos!$X$10:$X$509,1),"",IF(INDEX(Processos!$AQ$10:$AQ$509,MATCH((ROW()-36+($J$35-1)*200),Processos!$AK$10:$AK$509,0))="","",INDEX(Processos!$AQ$10:$AQ$509,MATCH((ROW()-36+($J$35-1)*200),Processos!$AK$10:$AK$509,0))))</f>
        <v/>
      </c>
      <c r="E217" s="8" t="str">
        <f>IF((ROW()-36+($J$35-1)*200)&gt;COUNTIFS(Processos!$X$10:$X$509,1),"",IF(INDEX(Processos!$Z$10:$Z$509,MATCH((ROW()-36+($J$35-1)*200),Processos!$AK$10:$AK$509,0))="","",INDEX(Processos!$Z$10:$Z$509,MATCH((ROW()-36+($J$35-1)*200),Processos!$AK$10:$AK$509,0))))</f>
        <v/>
      </c>
      <c r="F217" s="6" t="str">
        <f>IF((ROW()-36+($J$35-1)*200)&gt;COUNTIFS(Processos!$X$10:$X$509,1),"",IF(IF(INDEX(Processos!$Y$10:$Y$509,MATCH((ROW()-36+($J$35-1)*200),Processos!$AK$10:$AK$509,0))=1,"Sim","Não")="","",IF(INDEX(Processos!$Y$10:$Y$509,MATCH((ROW()-36+($J$35-1)*200),Processos!$AK$10:$AK$509,0))=1,"Sim","Não")))</f>
        <v/>
      </c>
      <c r="G217" s="6" t="str">
        <f>IF((ROW()-36+($J$35-1)*200)&gt;COUNTIFS(Processos!$X$10:$X$509,1),"",IF(INDEX(Processos!$D$10:$D$509,MATCH((ROW()-36+($J$35-1)*200),Processos!$AK$10:$AK$509,0))="","",INDEX(Processos!$D$10:$D$509,MATCH((ROW()-36+($J$35-1)*200),Processos!$AK$10:$AK$509,0))))</f>
        <v/>
      </c>
    </row>
    <row r="218" spans="1:7" ht="72" customHeight="1">
      <c r="A218" s="7" t="str">
        <f>IF((ROW()-36+($J$35-1)*200)&gt;COUNTIFS(Processos!$X$10:$X$509,1),"",IF(INDEX(Processos!$A$10:$A$509,MATCH((ROW()-36+($J$35-1)*200),Processos!$AK$10:$AK$509,0))="","",INDEX(Processos!$A$10:$A$509,MATCH((ROW()-36+($J$35-1)*200),Processos!$AK$10:$AK$509,0))))</f>
        <v/>
      </c>
      <c r="B218" s="6" t="str">
        <f>IF((ROW()-36+($J$35-1)*200)&gt;COUNTIFS(Processos!$X$10:$X$509,1),"",IF(INDEX(Processos!$C$10:$C$509,MATCH((ROW()-36+($J$35-1)*200),Processos!$AK$10:$AK$509,0))="","",INDEX(Processos!$C$10:$C$509,MATCH((ROW()-36+($J$35-1)*200),Processos!$AK$10:$AK$509,0))))</f>
        <v/>
      </c>
      <c r="C21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18" s="10" t="str">
        <f>IF((ROW()-36+($J$35-1)*200)&gt;COUNTIFS(Processos!$X$10:$X$509,1),"",IF(INDEX(Processos!$AQ$10:$AQ$509,MATCH((ROW()-36+($J$35-1)*200),Processos!$AK$10:$AK$509,0))="","",INDEX(Processos!$AQ$10:$AQ$509,MATCH((ROW()-36+($J$35-1)*200),Processos!$AK$10:$AK$509,0))))</f>
        <v/>
      </c>
      <c r="E218" s="8" t="str">
        <f>IF((ROW()-36+($J$35-1)*200)&gt;COUNTIFS(Processos!$X$10:$X$509,1),"",IF(INDEX(Processos!$Z$10:$Z$509,MATCH((ROW()-36+($J$35-1)*200),Processos!$AK$10:$AK$509,0))="","",INDEX(Processos!$Z$10:$Z$509,MATCH((ROW()-36+($J$35-1)*200),Processos!$AK$10:$AK$509,0))))</f>
        <v/>
      </c>
      <c r="F218" s="6" t="str">
        <f>IF((ROW()-36+($J$35-1)*200)&gt;COUNTIFS(Processos!$X$10:$X$509,1),"",IF(IF(INDEX(Processos!$Y$10:$Y$509,MATCH((ROW()-36+($J$35-1)*200),Processos!$AK$10:$AK$509,0))=1,"Sim","Não")="","",IF(INDEX(Processos!$Y$10:$Y$509,MATCH((ROW()-36+($J$35-1)*200),Processos!$AK$10:$AK$509,0))=1,"Sim","Não")))</f>
        <v/>
      </c>
      <c r="G218" s="6" t="str">
        <f>IF((ROW()-36+($J$35-1)*200)&gt;COUNTIFS(Processos!$X$10:$X$509,1),"",IF(INDEX(Processos!$D$10:$D$509,MATCH((ROW()-36+($J$35-1)*200),Processos!$AK$10:$AK$509,0))="","",INDEX(Processos!$D$10:$D$509,MATCH((ROW()-36+($J$35-1)*200),Processos!$AK$10:$AK$509,0))))</f>
        <v/>
      </c>
    </row>
    <row r="219" spans="1:7" ht="72" customHeight="1">
      <c r="A219" s="7" t="str">
        <f>IF((ROW()-36+($J$35-1)*200)&gt;COUNTIFS(Processos!$X$10:$X$509,1),"",IF(INDEX(Processos!$A$10:$A$509,MATCH((ROW()-36+($J$35-1)*200),Processos!$AK$10:$AK$509,0))="","",INDEX(Processos!$A$10:$A$509,MATCH((ROW()-36+($J$35-1)*200),Processos!$AK$10:$AK$509,0))))</f>
        <v/>
      </c>
      <c r="B219" s="6" t="str">
        <f>IF((ROW()-36+($J$35-1)*200)&gt;COUNTIFS(Processos!$X$10:$X$509,1),"",IF(INDEX(Processos!$C$10:$C$509,MATCH((ROW()-36+($J$35-1)*200),Processos!$AK$10:$AK$509,0))="","",INDEX(Processos!$C$10:$C$509,MATCH((ROW()-36+($J$35-1)*200),Processos!$AK$10:$AK$509,0))))</f>
        <v/>
      </c>
      <c r="C21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19" s="10" t="str">
        <f>IF((ROW()-36+($J$35-1)*200)&gt;COUNTIFS(Processos!$X$10:$X$509,1),"",IF(INDEX(Processos!$AQ$10:$AQ$509,MATCH((ROW()-36+($J$35-1)*200),Processos!$AK$10:$AK$509,0))="","",INDEX(Processos!$AQ$10:$AQ$509,MATCH((ROW()-36+($J$35-1)*200),Processos!$AK$10:$AK$509,0))))</f>
        <v/>
      </c>
      <c r="E219" s="8" t="str">
        <f>IF((ROW()-36+($J$35-1)*200)&gt;COUNTIFS(Processos!$X$10:$X$509,1),"",IF(INDEX(Processos!$Z$10:$Z$509,MATCH((ROW()-36+($J$35-1)*200),Processos!$AK$10:$AK$509,0))="","",INDEX(Processos!$Z$10:$Z$509,MATCH((ROW()-36+($J$35-1)*200),Processos!$AK$10:$AK$509,0))))</f>
        <v/>
      </c>
      <c r="F219" s="6" t="str">
        <f>IF((ROW()-36+($J$35-1)*200)&gt;COUNTIFS(Processos!$X$10:$X$509,1),"",IF(IF(INDEX(Processos!$Y$10:$Y$509,MATCH((ROW()-36+($J$35-1)*200),Processos!$AK$10:$AK$509,0))=1,"Sim","Não")="","",IF(INDEX(Processos!$Y$10:$Y$509,MATCH((ROW()-36+($J$35-1)*200),Processos!$AK$10:$AK$509,0))=1,"Sim","Não")))</f>
        <v/>
      </c>
      <c r="G219" s="6" t="str">
        <f>IF((ROW()-36+($J$35-1)*200)&gt;COUNTIFS(Processos!$X$10:$X$509,1),"",IF(INDEX(Processos!$D$10:$D$509,MATCH((ROW()-36+($J$35-1)*200),Processos!$AK$10:$AK$509,0))="","",INDEX(Processos!$D$10:$D$509,MATCH((ROW()-36+($J$35-1)*200),Processos!$AK$10:$AK$509,0))))</f>
        <v/>
      </c>
    </row>
    <row r="220" spans="1:7" ht="72" customHeight="1">
      <c r="A220" s="7" t="str">
        <f>IF((ROW()-36+($J$35-1)*200)&gt;COUNTIFS(Processos!$X$10:$X$509,1),"",IF(INDEX(Processos!$A$10:$A$509,MATCH((ROW()-36+($J$35-1)*200),Processos!$AK$10:$AK$509,0))="","",INDEX(Processos!$A$10:$A$509,MATCH((ROW()-36+($J$35-1)*200),Processos!$AK$10:$AK$509,0))))</f>
        <v/>
      </c>
      <c r="B220" s="6" t="str">
        <f>IF((ROW()-36+($J$35-1)*200)&gt;COUNTIFS(Processos!$X$10:$X$509,1),"",IF(INDEX(Processos!$C$10:$C$509,MATCH((ROW()-36+($J$35-1)*200),Processos!$AK$10:$AK$509,0))="","",INDEX(Processos!$C$10:$C$509,MATCH((ROW()-36+($J$35-1)*200),Processos!$AK$10:$AK$509,0))))</f>
        <v/>
      </c>
      <c r="C22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20" s="10" t="str">
        <f>IF((ROW()-36+($J$35-1)*200)&gt;COUNTIFS(Processos!$X$10:$X$509,1),"",IF(INDEX(Processos!$AQ$10:$AQ$509,MATCH((ROW()-36+($J$35-1)*200),Processos!$AK$10:$AK$509,0))="","",INDEX(Processos!$AQ$10:$AQ$509,MATCH((ROW()-36+($J$35-1)*200),Processos!$AK$10:$AK$509,0))))</f>
        <v/>
      </c>
      <c r="E220" s="8" t="str">
        <f>IF((ROW()-36+($J$35-1)*200)&gt;COUNTIFS(Processos!$X$10:$X$509,1),"",IF(INDEX(Processos!$Z$10:$Z$509,MATCH((ROW()-36+($J$35-1)*200),Processos!$AK$10:$AK$509,0))="","",INDEX(Processos!$Z$10:$Z$509,MATCH((ROW()-36+($J$35-1)*200),Processos!$AK$10:$AK$509,0))))</f>
        <v/>
      </c>
      <c r="F220" s="6" t="str">
        <f>IF((ROW()-36+($J$35-1)*200)&gt;COUNTIFS(Processos!$X$10:$X$509,1),"",IF(IF(INDEX(Processos!$Y$10:$Y$509,MATCH((ROW()-36+($J$35-1)*200),Processos!$AK$10:$AK$509,0))=1,"Sim","Não")="","",IF(INDEX(Processos!$Y$10:$Y$509,MATCH((ROW()-36+($J$35-1)*200),Processos!$AK$10:$AK$509,0))=1,"Sim","Não")))</f>
        <v/>
      </c>
      <c r="G220" s="6" t="str">
        <f>IF((ROW()-36+($J$35-1)*200)&gt;COUNTIFS(Processos!$X$10:$X$509,1),"",IF(INDEX(Processos!$D$10:$D$509,MATCH((ROW()-36+($J$35-1)*200),Processos!$AK$10:$AK$509,0))="","",INDEX(Processos!$D$10:$D$509,MATCH((ROW()-36+($J$35-1)*200),Processos!$AK$10:$AK$509,0))))</f>
        <v/>
      </c>
    </row>
    <row r="221" spans="1:7" ht="72" customHeight="1">
      <c r="A221" s="7" t="str">
        <f>IF((ROW()-36+($J$35-1)*200)&gt;COUNTIFS(Processos!$X$10:$X$509,1),"",IF(INDEX(Processos!$A$10:$A$509,MATCH((ROW()-36+($J$35-1)*200),Processos!$AK$10:$AK$509,0))="","",INDEX(Processos!$A$10:$A$509,MATCH((ROW()-36+($J$35-1)*200),Processos!$AK$10:$AK$509,0))))</f>
        <v/>
      </c>
      <c r="B221" s="6" t="str">
        <f>IF((ROW()-36+($J$35-1)*200)&gt;COUNTIFS(Processos!$X$10:$X$509,1),"",IF(INDEX(Processos!$C$10:$C$509,MATCH((ROW()-36+($J$35-1)*200),Processos!$AK$10:$AK$509,0))="","",INDEX(Processos!$C$10:$C$509,MATCH((ROW()-36+($J$35-1)*200),Processos!$AK$10:$AK$509,0))))</f>
        <v/>
      </c>
      <c r="C22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21" s="10" t="str">
        <f>IF((ROW()-36+($J$35-1)*200)&gt;COUNTIFS(Processos!$X$10:$X$509,1),"",IF(INDEX(Processos!$AQ$10:$AQ$509,MATCH((ROW()-36+($J$35-1)*200),Processos!$AK$10:$AK$509,0))="","",INDEX(Processos!$AQ$10:$AQ$509,MATCH((ROW()-36+($J$35-1)*200),Processos!$AK$10:$AK$509,0))))</f>
        <v/>
      </c>
      <c r="E221" s="8" t="str">
        <f>IF((ROW()-36+($J$35-1)*200)&gt;COUNTIFS(Processos!$X$10:$X$509,1),"",IF(INDEX(Processos!$Z$10:$Z$509,MATCH((ROW()-36+($J$35-1)*200),Processos!$AK$10:$AK$509,0))="","",INDEX(Processos!$Z$10:$Z$509,MATCH((ROW()-36+($J$35-1)*200),Processos!$AK$10:$AK$509,0))))</f>
        <v/>
      </c>
      <c r="F221" s="6" t="str">
        <f>IF((ROW()-36+($J$35-1)*200)&gt;COUNTIFS(Processos!$X$10:$X$509,1),"",IF(IF(INDEX(Processos!$Y$10:$Y$509,MATCH((ROW()-36+($J$35-1)*200),Processos!$AK$10:$AK$509,0))=1,"Sim","Não")="","",IF(INDEX(Processos!$Y$10:$Y$509,MATCH((ROW()-36+($J$35-1)*200),Processos!$AK$10:$AK$509,0))=1,"Sim","Não")))</f>
        <v/>
      </c>
      <c r="G221" s="6" t="str">
        <f>IF((ROW()-36+($J$35-1)*200)&gt;COUNTIFS(Processos!$X$10:$X$509,1),"",IF(INDEX(Processos!$D$10:$D$509,MATCH((ROW()-36+($J$35-1)*200),Processos!$AK$10:$AK$509,0))="","",INDEX(Processos!$D$10:$D$509,MATCH((ROW()-36+($J$35-1)*200),Processos!$AK$10:$AK$509,0))))</f>
        <v/>
      </c>
    </row>
    <row r="222" spans="1:7" ht="72" customHeight="1">
      <c r="A222" s="7" t="str">
        <f>IF((ROW()-36+($J$35-1)*200)&gt;COUNTIFS(Processos!$X$10:$X$509,1),"",IF(INDEX(Processos!$A$10:$A$509,MATCH((ROW()-36+($J$35-1)*200),Processos!$AK$10:$AK$509,0))="","",INDEX(Processos!$A$10:$A$509,MATCH((ROW()-36+($J$35-1)*200),Processos!$AK$10:$AK$509,0))))</f>
        <v/>
      </c>
      <c r="B222" s="6" t="str">
        <f>IF((ROW()-36+($J$35-1)*200)&gt;COUNTIFS(Processos!$X$10:$X$509,1),"",IF(INDEX(Processos!$C$10:$C$509,MATCH((ROW()-36+($J$35-1)*200),Processos!$AK$10:$AK$509,0))="","",INDEX(Processos!$C$10:$C$509,MATCH((ROW()-36+($J$35-1)*200),Processos!$AK$10:$AK$509,0))))</f>
        <v/>
      </c>
      <c r="C22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22" s="10" t="str">
        <f>IF((ROW()-36+($J$35-1)*200)&gt;COUNTIFS(Processos!$X$10:$X$509,1),"",IF(INDEX(Processos!$AQ$10:$AQ$509,MATCH((ROW()-36+($J$35-1)*200),Processos!$AK$10:$AK$509,0))="","",INDEX(Processos!$AQ$10:$AQ$509,MATCH((ROW()-36+($J$35-1)*200),Processos!$AK$10:$AK$509,0))))</f>
        <v/>
      </c>
      <c r="E222" s="8" t="str">
        <f>IF((ROW()-36+($J$35-1)*200)&gt;COUNTIFS(Processos!$X$10:$X$509,1),"",IF(INDEX(Processos!$Z$10:$Z$509,MATCH((ROW()-36+($J$35-1)*200),Processos!$AK$10:$AK$509,0))="","",INDEX(Processos!$Z$10:$Z$509,MATCH((ROW()-36+($J$35-1)*200),Processos!$AK$10:$AK$509,0))))</f>
        <v/>
      </c>
      <c r="F222" s="6" t="str">
        <f>IF((ROW()-36+($J$35-1)*200)&gt;COUNTIFS(Processos!$X$10:$X$509,1),"",IF(IF(INDEX(Processos!$Y$10:$Y$509,MATCH((ROW()-36+($J$35-1)*200),Processos!$AK$10:$AK$509,0))=1,"Sim","Não")="","",IF(INDEX(Processos!$Y$10:$Y$509,MATCH((ROW()-36+($J$35-1)*200),Processos!$AK$10:$AK$509,0))=1,"Sim","Não")))</f>
        <v/>
      </c>
      <c r="G222" s="6" t="str">
        <f>IF((ROW()-36+($J$35-1)*200)&gt;COUNTIFS(Processos!$X$10:$X$509,1),"",IF(INDEX(Processos!$D$10:$D$509,MATCH((ROW()-36+($J$35-1)*200),Processos!$AK$10:$AK$509,0))="","",INDEX(Processos!$D$10:$D$509,MATCH((ROW()-36+($J$35-1)*200),Processos!$AK$10:$AK$509,0))))</f>
        <v/>
      </c>
    </row>
    <row r="223" spans="1:7" ht="72" customHeight="1">
      <c r="A223" s="7" t="str">
        <f>IF((ROW()-36+($J$35-1)*200)&gt;COUNTIFS(Processos!$X$10:$X$509,1),"",IF(INDEX(Processos!$A$10:$A$509,MATCH((ROW()-36+($J$35-1)*200),Processos!$AK$10:$AK$509,0))="","",INDEX(Processos!$A$10:$A$509,MATCH((ROW()-36+($J$35-1)*200),Processos!$AK$10:$AK$509,0))))</f>
        <v/>
      </c>
      <c r="B223" s="6" t="str">
        <f>IF((ROW()-36+($J$35-1)*200)&gt;COUNTIFS(Processos!$X$10:$X$509,1),"",IF(INDEX(Processos!$C$10:$C$509,MATCH((ROW()-36+($J$35-1)*200),Processos!$AK$10:$AK$509,0))="","",INDEX(Processos!$C$10:$C$509,MATCH((ROW()-36+($J$35-1)*200),Processos!$AK$10:$AK$509,0))))</f>
        <v/>
      </c>
      <c r="C22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23" s="10" t="str">
        <f>IF((ROW()-36+($J$35-1)*200)&gt;COUNTIFS(Processos!$X$10:$X$509,1),"",IF(INDEX(Processos!$AQ$10:$AQ$509,MATCH((ROW()-36+($J$35-1)*200),Processos!$AK$10:$AK$509,0))="","",INDEX(Processos!$AQ$10:$AQ$509,MATCH((ROW()-36+($J$35-1)*200),Processos!$AK$10:$AK$509,0))))</f>
        <v/>
      </c>
      <c r="E223" s="8" t="str">
        <f>IF((ROW()-36+($J$35-1)*200)&gt;COUNTIFS(Processos!$X$10:$X$509,1),"",IF(INDEX(Processos!$Z$10:$Z$509,MATCH((ROW()-36+($J$35-1)*200),Processos!$AK$10:$AK$509,0))="","",INDEX(Processos!$Z$10:$Z$509,MATCH((ROW()-36+($J$35-1)*200),Processos!$AK$10:$AK$509,0))))</f>
        <v/>
      </c>
      <c r="F223" s="6" t="str">
        <f>IF((ROW()-36+($J$35-1)*200)&gt;COUNTIFS(Processos!$X$10:$X$509,1),"",IF(IF(INDEX(Processos!$Y$10:$Y$509,MATCH((ROW()-36+($J$35-1)*200),Processos!$AK$10:$AK$509,0))=1,"Sim","Não")="","",IF(INDEX(Processos!$Y$10:$Y$509,MATCH((ROW()-36+($J$35-1)*200),Processos!$AK$10:$AK$509,0))=1,"Sim","Não")))</f>
        <v/>
      </c>
      <c r="G223" s="6" t="str">
        <f>IF((ROW()-36+($J$35-1)*200)&gt;COUNTIFS(Processos!$X$10:$X$509,1),"",IF(INDEX(Processos!$D$10:$D$509,MATCH((ROW()-36+($J$35-1)*200),Processos!$AK$10:$AK$509,0))="","",INDEX(Processos!$D$10:$D$509,MATCH((ROW()-36+($J$35-1)*200),Processos!$AK$10:$AK$509,0))))</f>
        <v/>
      </c>
    </row>
    <row r="224" spans="1:7" ht="72" customHeight="1">
      <c r="A224" s="7" t="str">
        <f>IF((ROW()-36+($J$35-1)*200)&gt;COUNTIFS(Processos!$X$10:$X$509,1),"",IF(INDEX(Processos!$A$10:$A$509,MATCH((ROW()-36+($J$35-1)*200),Processos!$AK$10:$AK$509,0))="","",INDEX(Processos!$A$10:$A$509,MATCH((ROW()-36+($J$35-1)*200),Processos!$AK$10:$AK$509,0))))</f>
        <v/>
      </c>
      <c r="B224" s="6" t="str">
        <f>IF((ROW()-36+($J$35-1)*200)&gt;COUNTIFS(Processos!$X$10:$X$509,1),"",IF(INDEX(Processos!$C$10:$C$509,MATCH((ROW()-36+($J$35-1)*200),Processos!$AK$10:$AK$509,0))="","",INDEX(Processos!$C$10:$C$509,MATCH((ROW()-36+($J$35-1)*200),Processos!$AK$10:$AK$509,0))))</f>
        <v/>
      </c>
      <c r="C22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24" s="10" t="str">
        <f>IF((ROW()-36+($J$35-1)*200)&gt;COUNTIFS(Processos!$X$10:$X$509,1),"",IF(INDEX(Processos!$AQ$10:$AQ$509,MATCH((ROW()-36+($J$35-1)*200),Processos!$AK$10:$AK$509,0))="","",INDEX(Processos!$AQ$10:$AQ$509,MATCH((ROW()-36+($J$35-1)*200),Processos!$AK$10:$AK$509,0))))</f>
        <v/>
      </c>
      <c r="E224" s="8" t="str">
        <f>IF((ROW()-36+($J$35-1)*200)&gt;COUNTIFS(Processos!$X$10:$X$509,1),"",IF(INDEX(Processos!$Z$10:$Z$509,MATCH((ROW()-36+($J$35-1)*200),Processos!$AK$10:$AK$509,0))="","",INDEX(Processos!$Z$10:$Z$509,MATCH((ROW()-36+($J$35-1)*200),Processos!$AK$10:$AK$509,0))))</f>
        <v/>
      </c>
      <c r="F224" s="6" t="str">
        <f>IF((ROW()-36+($J$35-1)*200)&gt;COUNTIFS(Processos!$X$10:$X$509,1),"",IF(IF(INDEX(Processos!$Y$10:$Y$509,MATCH((ROW()-36+($J$35-1)*200),Processos!$AK$10:$AK$509,0))=1,"Sim","Não")="","",IF(INDEX(Processos!$Y$10:$Y$509,MATCH((ROW()-36+($J$35-1)*200),Processos!$AK$10:$AK$509,0))=1,"Sim","Não")))</f>
        <v/>
      </c>
      <c r="G224" s="6" t="str">
        <f>IF((ROW()-36+($J$35-1)*200)&gt;COUNTIFS(Processos!$X$10:$X$509,1),"",IF(INDEX(Processos!$D$10:$D$509,MATCH((ROW()-36+($J$35-1)*200),Processos!$AK$10:$AK$509,0))="","",INDEX(Processos!$D$10:$D$509,MATCH((ROW()-36+($J$35-1)*200),Processos!$AK$10:$AK$509,0))))</f>
        <v/>
      </c>
    </row>
    <row r="225" spans="1:7" ht="72" customHeight="1">
      <c r="A225" s="7" t="str">
        <f>IF((ROW()-36+($J$35-1)*200)&gt;COUNTIFS(Processos!$X$10:$X$509,1),"",IF(INDEX(Processos!$A$10:$A$509,MATCH((ROW()-36+($J$35-1)*200),Processos!$AK$10:$AK$509,0))="","",INDEX(Processos!$A$10:$A$509,MATCH((ROW()-36+($J$35-1)*200),Processos!$AK$10:$AK$509,0))))</f>
        <v/>
      </c>
      <c r="B225" s="6" t="str">
        <f>IF((ROW()-36+($J$35-1)*200)&gt;COUNTIFS(Processos!$X$10:$X$509,1),"",IF(INDEX(Processos!$C$10:$C$509,MATCH((ROW()-36+($J$35-1)*200),Processos!$AK$10:$AK$509,0))="","",INDEX(Processos!$C$10:$C$509,MATCH((ROW()-36+($J$35-1)*200),Processos!$AK$10:$AK$509,0))))</f>
        <v/>
      </c>
      <c r="C22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25" s="10" t="str">
        <f>IF((ROW()-36+($J$35-1)*200)&gt;COUNTIFS(Processos!$X$10:$X$509,1),"",IF(INDEX(Processos!$AQ$10:$AQ$509,MATCH((ROW()-36+($J$35-1)*200),Processos!$AK$10:$AK$509,0))="","",INDEX(Processos!$AQ$10:$AQ$509,MATCH((ROW()-36+($J$35-1)*200),Processos!$AK$10:$AK$509,0))))</f>
        <v/>
      </c>
      <c r="E225" s="8" t="str">
        <f>IF((ROW()-36+($J$35-1)*200)&gt;COUNTIFS(Processos!$X$10:$X$509,1),"",IF(INDEX(Processos!$Z$10:$Z$509,MATCH((ROW()-36+($J$35-1)*200),Processos!$AK$10:$AK$509,0))="","",INDEX(Processos!$Z$10:$Z$509,MATCH((ROW()-36+($J$35-1)*200),Processos!$AK$10:$AK$509,0))))</f>
        <v/>
      </c>
      <c r="F225" s="6" t="str">
        <f>IF((ROW()-36+($J$35-1)*200)&gt;COUNTIFS(Processos!$X$10:$X$509,1),"",IF(IF(INDEX(Processos!$Y$10:$Y$509,MATCH((ROW()-36+($J$35-1)*200),Processos!$AK$10:$AK$509,0))=1,"Sim","Não")="","",IF(INDEX(Processos!$Y$10:$Y$509,MATCH((ROW()-36+($J$35-1)*200),Processos!$AK$10:$AK$509,0))=1,"Sim","Não")))</f>
        <v/>
      </c>
      <c r="G225" s="6" t="str">
        <f>IF((ROW()-36+($J$35-1)*200)&gt;COUNTIFS(Processos!$X$10:$X$509,1),"",IF(INDEX(Processos!$D$10:$D$509,MATCH((ROW()-36+($J$35-1)*200),Processos!$AK$10:$AK$509,0))="","",INDEX(Processos!$D$10:$D$509,MATCH((ROW()-36+($J$35-1)*200),Processos!$AK$10:$AK$509,0))))</f>
        <v/>
      </c>
    </row>
    <row r="226" spans="1:7" ht="72" customHeight="1">
      <c r="A226" s="7" t="str">
        <f>IF((ROW()-36+($J$35-1)*200)&gt;COUNTIFS(Processos!$X$10:$X$509,1),"",IF(INDEX(Processos!$A$10:$A$509,MATCH((ROW()-36+($J$35-1)*200),Processos!$AK$10:$AK$509,0))="","",INDEX(Processos!$A$10:$A$509,MATCH((ROW()-36+($J$35-1)*200),Processos!$AK$10:$AK$509,0))))</f>
        <v/>
      </c>
      <c r="B226" s="6" t="str">
        <f>IF((ROW()-36+($J$35-1)*200)&gt;COUNTIFS(Processos!$X$10:$X$509,1),"",IF(INDEX(Processos!$C$10:$C$509,MATCH((ROW()-36+($J$35-1)*200),Processos!$AK$10:$AK$509,0))="","",INDEX(Processos!$C$10:$C$509,MATCH((ROW()-36+($J$35-1)*200),Processos!$AK$10:$AK$509,0))))</f>
        <v/>
      </c>
      <c r="C22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26" s="10" t="str">
        <f>IF((ROW()-36+($J$35-1)*200)&gt;COUNTIFS(Processos!$X$10:$X$509,1),"",IF(INDEX(Processos!$AQ$10:$AQ$509,MATCH((ROW()-36+($J$35-1)*200),Processos!$AK$10:$AK$509,0))="","",INDEX(Processos!$AQ$10:$AQ$509,MATCH((ROW()-36+($J$35-1)*200),Processos!$AK$10:$AK$509,0))))</f>
        <v/>
      </c>
      <c r="E226" s="8" t="str">
        <f>IF((ROW()-36+($J$35-1)*200)&gt;COUNTIFS(Processos!$X$10:$X$509,1),"",IF(INDEX(Processos!$Z$10:$Z$509,MATCH((ROW()-36+($J$35-1)*200),Processos!$AK$10:$AK$509,0))="","",INDEX(Processos!$Z$10:$Z$509,MATCH((ROW()-36+($J$35-1)*200),Processos!$AK$10:$AK$509,0))))</f>
        <v/>
      </c>
      <c r="F226" s="6" t="str">
        <f>IF((ROW()-36+($J$35-1)*200)&gt;COUNTIFS(Processos!$X$10:$X$509,1),"",IF(IF(INDEX(Processos!$Y$10:$Y$509,MATCH((ROW()-36+($J$35-1)*200),Processos!$AK$10:$AK$509,0))=1,"Sim","Não")="","",IF(INDEX(Processos!$Y$10:$Y$509,MATCH((ROW()-36+($J$35-1)*200),Processos!$AK$10:$AK$509,0))=1,"Sim","Não")))</f>
        <v/>
      </c>
      <c r="G226" s="6" t="str">
        <f>IF((ROW()-36+($J$35-1)*200)&gt;COUNTIFS(Processos!$X$10:$X$509,1),"",IF(INDEX(Processos!$D$10:$D$509,MATCH((ROW()-36+($J$35-1)*200),Processos!$AK$10:$AK$509,0))="","",INDEX(Processos!$D$10:$D$509,MATCH((ROW()-36+($J$35-1)*200),Processos!$AK$10:$AK$509,0))))</f>
        <v/>
      </c>
    </row>
    <row r="227" spans="1:7" ht="72" customHeight="1">
      <c r="A227" s="7" t="str">
        <f>IF((ROW()-36+($J$35-1)*200)&gt;COUNTIFS(Processos!$X$10:$X$509,1),"",IF(INDEX(Processos!$A$10:$A$509,MATCH((ROW()-36+($J$35-1)*200),Processos!$AK$10:$AK$509,0))="","",INDEX(Processos!$A$10:$A$509,MATCH((ROW()-36+($J$35-1)*200),Processos!$AK$10:$AK$509,0))))</f>
        <v/>
      </c>
      <c r="B227" s="6" t="str">
        <f>IF((ROW()-36+($J$35-1)*200)&gt;COUNTIFS(Processos!$X$10:$X$509,1),"",IF(INDEX(Processos!$C$10:$C$509,MATCH((ROW()-36+($J$35-1)*200),Processos!$AK$10:$AK$509,0))="","",INDEX(Processos!$C$10:$C$509,MATCH((ROW()-36+($J$35-1)*200),Processos!$AK$10:$AK$509,0))))</f>
        <v/>
      </c>
      <c r="C227"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27" s="10" t="str">
        <f>IF((ROW()-36+($J$35-1)*200)&gt;COUNTIFS(Processos!$X$10:$X$509,1),"",IF(INDEX(Processos!$AQ$10:$AQ$509,MATCH((ROW()-36+($J$35-1)*200),Processos!$AK$10:$AK$509,0))="","",INDEX(Processos!$AQ$10:$AQ$509,MATCH((ROW()-36+($J$35-1)*200),Processos!$AK$10:$AK$509,0))))</f>
        <v/>
      </c>
      <c r="E227" s="8" t="str">
        <f>IF((ROW()-36+($J$35-1)*200)&gt;COUNTIFS(Processos!$X$10:$X$509,1),"",IF(INDEX(Processos!$Z$10:$Z$509,MATCH((ROW()-36+($J$35-1)*200),Processos!$AK$10:$AK$509,0))="","",INDEX(Processos!$Z$10:$Z$509,MATCH((ROW()-36+($J$35-1)*200),Processos!$AK$10:$AK$509,0))))</f>
        <v/>
      </c>
      <c r="F227" s="6" t="str">
        <f>IF((ROW()-36+($J$35-1)*200)&gt;COUNTIFS(Processos!$X$10:$X$509,1),"",IF(IF(INDEX(Processos!$Y$10:$Y$509,MATCH((ROW()-36+($J$35-1)*200),Processos!$AK$10:$AK$509,0))=1,"Sim","Não")="","",IF(INDEX(Processos!$Y$10:$Y$509,MATCH((ROW()-36+($J$35-1)*200),Processos!$AK$10:$AK$509,0))=1,"Sim","Não")))</f>
        <v/>
      </c>
      <c r="G227" s="6" t="str">
        <f>IF((ROW()-36+($J$35-1)*200)&gt;COUNTIFS(Processos!$X$10:$X$509,1),"",IF(INDEX(Processos!$D$10:$D$509,MATCH((ROW()-36+($J$35-1)*200),Processos!$AK$10:$AK$509,0))="","",INDEX(Processos!$D$10:$D$509,MATCH((ROW()-36+($J$35-1)*200),Processos!$AK$10:$AK$509,0))))</f>
        <v/>
      </c>
    </row>
    <row r="228" spans="1:7" ht="72" customHeight="1">
      <c r="A228" s="7" t="str">
        <f>IF((ROW()-36+($J$35-1)*200)&gt;COUNTIFS(Processos!$X$10:$X$509,1),"",IF(INDEX(Processos!$A$10:$A$509,MATCH((ROW()-36+($J$35-1)*200),Processos!$AK$10:$AK$509,0))="","",INDEX(Processos!$A$10:$A$509,MATCH((ROW()-36+($J$35-1)*200),Processos!$AK$10:$AK$509,0))))</f>
        <v/>
      </c>
      <c r="B228" s="6" t="str">
        <f>IF((ROW()-36+($J$35-1)*200)&gt;COUNTIFS(Processos!$X$10:$X$509,1),"",IF(INDEX(Processos!$C$10:$C$509,MATCH((ROW()-36+($J$35-1)*200),Processos!$AK$10:$AK$509,0))="","",INDEX(Processos!$C$10:$C$509,MATCH((ROW()-36+($J$35-1)*200),Processos!$AK$10:$AK$509,0))))</f>
        <v/>
      </c>
      <c r="C228"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28" s="10" t="str">
        <f>IF((ROW()-36+($J$35-1)*200)&gt;COUNTIFS(Processos!$X$10:$X$509,1),"",IF(INDEX(Processos!$AQ$10:$AQ$509,MATCH((ROW()-36+($J$35-1)*200),Processos!$AK$10:$AK$509,0))="","",INDEX(Processos!$AQ$10:$AQ$509,MATCH((ROW()-36+($J$35-1)*200),Processos!$AK$10:$AK$509,0))))</f>
        <v/>
      </c>
      <c r="E228" s="8" t="str">
        <f>IF((ROW()-36+($J$35-1)*200)&gt;COUNTIFS(Processos!$X$10:$X$509,1),"",IF(INDEX(Processos!$Z$10:$Z$509,MATCH((ROW()-36+($J$35-1)*200),Processos!$AK$10:$AK$509,0))="","",INDEX(Processos!$Z$10:$Z$509,MATCH((ROW()-36+($J$35-1)*200),Processos!$AK$10:$AK$509,0))))</f>
        <v/>
      </c>
      <c r="F228" s="6" t="str">
        <f>IF((ROW()-36+($J$35-1)*200)&gt;COUNTIFS(Processos!$X$10:$X$509,1),"",IF(IF(INDEX(Processos!$Y$10:$Y$509,MATCH((ROW()-36+($J$35-1)*200),Processos!$AK$10:$AK$509,0))=1,"Sim","Não")="","",IF(INDEX(Processos!$Y$10:$Y$509,MATCH((ROW()-36+($J$35-1)*200),Processos!$AK$10:$AK$509,0))=1,"Sim","Não")))</f>
        <v/>
      </c>
      <c r="G228" s="6" t="str">
        <f>IF((ROW()-36+($J$35-1)*200)&gt;COUNTIFS(Processos!$X$10:$X$509,1),"",IF(INDEX(Processos!$D$10:$D$509,MATCH((ROW()-36+($J$35-1)*200),Processos!$AK$10:$AK$509,0))="","",INDEX(Processos!$D$10:$D$509,MATCH((ROW()-36+($J$35-1)*200),Processos!$AK$10:$AK$509,0))))</f>
        <v/>
      </c>
    </row>
    <row r="229" spans="1:7" ht="72" customHeight="1">
      <c r="A229" s="7" t="str">
        <f>IF((ROW()-36+($J$35-1)*200)&gt;COUNTIFS(Processos!$X$10:$X$509,1),"",IF(INDEX(Processos!$A$10:$A$509,MATCH((ROW()-36+($J$35-1)*200),Processos!$AK$10:$AK$509,0))="","",INDEX(Processos!$A$10:$A$509,MATCH((ROW()-36+($J$35-1)*200),Processos!$AK$10:$AK$509,0))))</f>
        <v/>
      </c>
      <c r="B229" s="6" t="str">
        <f>IF((ROW()-36+($J$35-1)*200)&gt;COUNTIFS(Processos!$X$10:$X$509,1),"",IF(INDEX(Processos!$C$10:$C$509,MATCH((ROW()-36+($J$35-1)*200),Processos!$AK$10:$AK$509,0))="","",INDEX(Processos!$C$10:$C$509,MATCH((ROW()-36+($J$35-1)*200),Processos!$AK$10:$AK$509,0))))</f>
        <v/>
      </c>
      <c r="C229"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29" s="10" t="str">
        <f>IF((ROW()-36+($J$35-1)*200)&gt;COUNTIFS(Processos!$X$10:$X$509,1),"",IF(INDEX(Processos!$AQ$10:$AQ$509,MATCH((ROW()-36+($J$35-1)*200),Processos!$AK$10:$AK$509,0))="","",INDEX(Processos!$AQ$10:$AQ$509,MATCH((ROW()-36+($J$35-1)*200),Processos!$AK$10:$AK$509,0))))</f>
        <v/>
      </c>
      <c r="E229" s="8" t="str">
        <f>IF((ROW()-36+($J$35-1)*200)&gt;COUNTIFS(Processos!$X$10:$X$509,1),"",IF(INDEX(Processos!$Z$10:$Z$509,MATCH((ROW()-36+($J$35-1)*200),Processos!$AK$10:$AK$509,0))="","",INDEX(Processos!$Z$10:$Z$509,MATCH((ROW()-36+($J$35-1)*200),Processos!$AK$10:$AK$509,0))))</f>
        <v/>
      </c>
      <c r="F229" s="6" t="str">
        <f>IF((ROW()-36+($J$35-1)*200)&gt;COUNTIFS(Processos!$X$10:$X$509,1),"",IF(IF(INDEX(Processos!$Y$10:$Y$509,MATCH((ROW()-36+($J$35-1)*200),Processos!$AK$10:$AK$509,0))=1,"Sim","Não")="","",IF(INDEX(Processos!$Y$10:$Y$509,MATCH((ROW()-36+($J$35-1)*200),Processos!$AK$10:$AK$509,0))=1,"Sim","Não")))</f>
        <v/>
      </c>
      <c r="G229" s="6" t="str">
        <f>IF((ROW()-36+($J$35-1)*200)&gt;COUNTIFS(Processos!$X$10:$X$509,1),"",IF(INDEX(Processos!$D$10:$D$509,MATCH((ROW()-36+($J$35-1)*200),Processos!$AK$10:$AK$509,0))="","",INDEX(Processos!$D$10:$D$509,MATCH((ROW()-36+($J$35-1)*200),Processos!$AK$10:$AK$509,0))))</f>
        <v/>
      </c>
    </row>
    <row r="230" spans="1:7" ht="72" customHeight="1">
      <c r="A230" s="7" t="str">
        <f>IF((ROW()-36+($J$35-1)*200)&gt;COUNTIFS(Processos!$X$10:$X$509,1),"",IF(INDEX(Processos!$A$10:$A$509,MATCH((ROW()-36+($J$35-1)*200),Processos!$AK$10:$AK$509,0))="","",INDEX(Processos!$A$10:$A$509,MATCH((ROW()-36+($J$35-1)*200),Processos!$AK$10:$AK$509,0))))</f>
        <v/>
      </c>
      <c r="B230" s="6" t="str">
        <f>IF((ROW()-36+($J$35-1)*200)&gt;COUNTIFS(Processos!$X$10:$X$509,1),"",IF(INDEX(Processos!$C$10:$C$509,MATCH((ROW()-36+($J$35-1)*200),Processos!$AK$10:$AK$509,0))="","",INDEX(Processos!$C$10:$C$509,MATCH((ROW()-36+($J$35-1)*200),Processos!$AK$10:$AK$509,0))))</f>
        <v/>
      </c>
      <c r="C230"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30" s="10" t="str">
        <f>IF((ROW()-36+($J$35-1)*200)&gt;COUNTIFS(Processos!$X$10:$X$509,1),"",IF(INDEX(Processos!$AQ$10:$AQ$509,MATCH((ROW()-36+($J$35-1)*200),Processos!$AK$10:$AK$509,0))="","",INDEX(Processos!$AQ$10:$AQ$509,MATCH((ROW()-36+($J$35-1)*200),Processos!$AK$10:$AK$509,0))))</f>
        <v/>
      </c>
      <c r="E230" s="8" t="str">
        <f>IF((ROW()-36+($J$35-1)*200)&gt;COUNTIFS(Processos!$X$10:$X$509,1),"",IF(INDEX(Processos!$Z$10:$Z$509,MATCH((ROW()-36+($J$35-1)*200),Processos!$AK$10:$AK$509,0))="","",INDEX(Processos!$Z$10:$Z$509,MATCH((ROW()-36+($J$35-1)*200),Processos!$AK$10:$AK$509,0))))</f>
        <v/>
      </c>
      <c r="F230" s="6" t="str">
        <f>IF((ROW()-36+($J$35-1)*200)&gt;COUNTIFS(Processos!$X$10:$X$509,1),"",IF(IF(INDEX(Processos!$Y$10:$Y$509,MATCH((ROW()-36+($J$35-1)*200),Processos!$AK$10:$AK$509,0))=1,"Sim","Não")="","",IF(INDEX(Processos!$Y$10:$Y$509,MATCH((ROW()-36+($J$35-1)*200),Processos!$AK$10:$AK$509,0))=1,"Sim","Não")))</f>
        <v/>
      </c>
      <c r="G230" s="6" t="str">
        <f>IF((ROW()-36+($J$35-1)*200)&gt;COUNTIFS(Processos!$X$10:$X$509,1),"",IF(INDEX(Processos!$D$10:$D$509,MATCH((ROW()-36+($J$35-1)*200),Processos!$AK$10:$AK$509,0))="","",INDEX(Processos!$D$10:$D$509,MATCH((ROW()-36+($J$35-1)*200),Processos!$AK$10:$AK$509,0))))</f>
        <v/>
      </c>
    </row>
    <row r="231" spans="1:7" ht="72" customHeight="1">
      <c r="A231" s="7" t="str">
        <f>IF((ROW()-36+($J$35-1)*200)&gt;COUNTIFS(Processos!$X$10:$X$509,1),"",IF(INDEX(Processos!$A$10:$A$509,MATCH((ROW()-36+($J$35-1)*200),Processos!$AK$10:$AK$509,0))="","",INDEX(Processos!$A$10:$A$509,MATCH((ROW()-36+($J$35-1)*200),Processos!$AK$10:$AK$509,0))))</f>
        <v/>
      </c>
      <c r="B231" s="6" t="str">
        <f>IF((ROW()-36+($J$35-1)*200)&gt;COUNTIFS(Processos!$X$10:$X$509,1),"",IF(INDEX(Processos!$C$10:$C$509,MATCH((ROW()-36+($J$35-1)*200),Processos!$AK$10:$AK$509,0))="","",INDEX(Processos!$C$10:$C$509,MATCH((ROW()-36+($J$35-1)*200),Processos!$AK$10:$AK$509,0))))</f>
        <v/>
      </c>
      <c r="C231"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31" s="10" t="str">
        <f>IF((ROW()-36+($J$35-1)*200)&gt;COUNTIFS(Processos!$X$10:$X$509,1),"",IF(INDEX(Processos!$AQ$10:$AQ$509,MATCH((ROW()-36+($J$35-1)*200),Processos!$AK$10:$AK$509,0))="","",INDEX(Processos!$AQ$10:$AQ$509,MATCH((ROW()-36+($J$35-1)*200),Processos!$AK$10:$AK$509,0))))</f>
        <v/>
      </c>
      <c r="E231" s="8" t="str">
        <f>IF((ROW()-36+($J$35-1)*200)&gt;COUNTIFS(Processos!$X$10:$X$509,1),"",IF(INDEX(Processos!$Z$10:$Z$509,MATCH((ROW()-36+($J$35-1)*200),Processos!$AK$10:$AK$509,0))="","",INDEX(Processos!$Z$10:$Z$509,MATCH((ROW()-36+($J$35-1)*200),Processos!$AK$10:$AK$509,0))))</f>
        <v/>
      </c>
      <c r="F231" s="6" t="str">
        <f>IF((ROW()-36+($J$35-1)*200)&gt;COUNTIFS(Processos!$X$10:$X$509,1),"",IF(IF(INDEX(Processos!$Y$10:$Y$509,MATCH((ROW()-36+($J$35-1)*200),Processos!$AK$10:$AK$509,0))=1,"Sim","Não")="","",IF(INDEX(Processos!$Y$10:$Y$509,MATCH((ROW()-36+($J$35-1)*200),Processos!$AK$10:$AK$509,0))=1,"Sim","Não")))</f>
        <v/>
      </c>
      <c r="G231" s="6" t="str">
        <f>IF((ROW()-36+($J$35-1)*200)&gt;COUNTIFS(Processos!$X$10:$X$509,1),"",IF(INDEX(Processos!$D$10:$D$509,MATCH((ROW()-36+($J$35-1)*200),Processos!$AK$10:$AK$509,0))="","",INDEX(Processos!$D$10:$D$509,MATCH((ROW()-36+($J$35-1)*200),Processos!$AK$10:$AK$509,0))))</f>
        <v/>
      </c>
    </row>
    <row r="232" spans="1:7" ht="72" customHeight="1">
      <c r="A232" s="7" t="str">
        <f>IF((ROW()-36+($J$35-1)*200)&gt;COUNTIFS(Processos!$X$10:$X$509,1),"",IF(INDEX(Processos!$A$10:$A$509,MATCH((ROW()-36+($J$35-1)*200),Processos!$AK$10:$AK$509,0))="","",INDEX(Processos!$A$10:$A$509,MATCH((ROW()-36+($J$35-1)*200),Processos!$AK$10:$AK$509,0))))</f>
        <v/>
      </c>
      <c r="B232" s="6" t="str">
        <f>IF((ROW()-36+($J$35-1)*200)&gt;COUNTIFS(Processos!$X$10:$X$509,1),"",IF(INDEX(Processos!$C$10:$C$509,MATCH((ROW()-36+($J$35-1)*200),Processos!$AK$10:$AK$509,0))="","",INDEX(Processos!$C$10:$C$509,MATCH((ROW()-36+($J$35-1)*200),Processos!$AK$10:$AK$509,0))))</f>
        <v/>
      </c>
      <c r="C232"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32" s="10" t="str">
        <f>IF((ROW()-36+($J$35-1)*200)&gt;COUNTIFS(Processos!$X$10:$X$509,1),"",IF(INDEX(Processos!$AQ$10:$AQ$509,MATCH((ROW()-36+($J$35-1)*200),Processos!$AK$10:$AK$509,0))="","",INDEX(Processos!$AQ$10:$AQ$509,MATCH((ROW()-36+($J$35-1)*200),Processos!$AK$10:$AK$509,0))))</f>
        <v/>
      </c>
      <c r="E232" s="8" t="str">
        <f>IF((ROW()-36+($J$35-1)*200)&gt;COUNTIFS(Processos!$X$10:$X$509,1),"",IF(INDEX(Processos!$Z$10:$Z$509,MATCH((ROW()-36+($J$35-1)*200),Processos!$AK$10:$AK$509,0))="","",INDEX(Processos!$Z$10:$Z$509,MATCH((ROW()-36+($J$35-1)*200),Processos!$AK$10:$AK$509,0))))</f>
        <v/>
      </c>
      <c r="F232" s="6" t="str">
        <f>IF((ROW()-36+($J$35-1)*200)&gt;COUNTIFS(Processos!$X$10:$X$509,1),"",IF(IF(INDEX(Processos!$Y$10:$Y$509,MATCH((ROW()-36+($J$35-1)*200),Processos!$AK$10:$AK$509,0))=1,"Sim","Não")="","",IF(INDEX(Processos!$Y$10:$Y$509,MATCH((ROW()-36+($J$35-1)*200),Processos!$AK$10:$AK$509,0))=1,"Sim","Não")))</f>
        <v/>
      </c>
      <c r="G232" s="6" t="str">
        <f>IF((ROW()-36+($J$35-1)*200)&gt;COUNTIFS(Processos!$X$10:$X$509,1),"",IF(INDEX(Processos!$D$10:$D$509,MATCH((ROW()-36+($J$35-1)*200),Processos!$AK$10:$AK$509,0))="","",INDEX(Processos!$D$10:$D$509,MATCH((ROW()-36+($J$35-1)*200),Processos!$AK$10:$AK$509,0))))</f>
        <v/>
      </c>
    </row>
    <row r="233" spans="1:7" ht="72" customHeight="1">
      <c r="A233" s="7" t="str">
        <f>IF((ROW()-36+($J$35-1)*200)&gt;COUNTIFS(Processos!$X$10:$X$509,1),"",IF(INDEX(Processos!$A$10:$A$509,MATCH((ROW()-36+($J$35-1)*200),Processos!$AK$10:$AK$509,0))="","",INDEX(Processos!$A$10:$A$509,MATCH((ROW()-36+($J$35-1)*200),Processos!$AK$10:$AK$509,0))))</f>
        <v/>
      </c>
      <c r="B233" s="6" t="str">
        <f>IF((ROW()-36+($J$35-1)*200)&gt;COUNTIFS(Processos!$X$10:$X$509,1),"",IF(INDEX(Processos!$C$10:$C$509,MATCH((ROW()-36+($J$35-1)*200),Processos!$AK$10:$AK$509,0))="","",INDEX(Processos!$C$10:$C$509,MATCH((ROW()-36+($J$35-1)*200),Processos!$AK$10:$AK$509,0))))</f>
        <v/>
      </c>
      <c r="C233"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33" s="10" t="str">
        <f>IF((ROW()-36+($J$35-1)*200)&gt;COUNTIFS(Processos!$X$10:$X$509,1),"",IF(INDEX(Processos!$AQ$10:$AQ$509,MATCH((ROW()-36+($J$35-1)*200),Processos!$AK$10:$AK$509,0))="","",INDEX(Processos!$AQ$10:$AQ$509,MATCH((ROW()-36+($J$35-1)*200),Processos!$AK$10:$AK$509,0))))</f>
        <v/>
      </c>
      <c r="E233" s="8" t="str">
        <f>IF((ROW()-36+($J$35-1)*200)&gt;COUNTIFS(Processos!$X$10:$X$509,1),"",IF(INDEX(Processos!$Z$10:$Z$509,MATCH((ROW()-36+($J$35-1)*200),Processos!$AK$10:$AK$509,0))="","",INDEX(Processos!$Z$10:$Z$509,MATCH((ROW()-36+($J$35-1)*200),Processos!$AK$10:$AK$509,0))))</f>
        <v/>
      </c>
      <c r="F233" s="6" t="str">
        <f>IF((ROW()-36+($J$35-1)*200)&gt;COUNTIFS(Processos!$X$10:$X$509,1),"",IF(IF(INDEX(Processos!$Y$10:$Y$509,MATCH((ROW()-36+($J$35-1)*200),Processos!$AK$10:$AK$509,0))=1,"Sim","Não")="","",IF(INDEX(Processos!$Y$10:$Y$509,MATCH((ROW()-36+($J$35-1)*200),Processos!$AK$10:$AK$509,0))=1,"Sim","Não")))</f>
        <v/>
      </c>
      <c r="G233" s="6" t="str">
        <f>IF((ROW()-36+($J$35-1)*200)&gt;COUNTIFS(Processos!$X$10:$X$509,1),"",IF(INDEX(Processos!$D$10:$D$509,MATCH((ROW()-36+($J$35-1)*200),Processos!$AK$10:$AK$509,0))="","",INDEX(Processos!$D$10:$D$509,MATCH((ROW()-36+($J$35-1)*200),Processos!$AK$10:$AK$509,0))))</f>
        <v/>
      </c>
    </row>
    <row r="234" spans="1:7" ht="72" customHeight="1">
      <c r="A234" s="7" t="str">
        <f>IF((ROW()-36+($J$35-1)*200)&gt;COUNTIFS(Processos!$X$10:$X$509,1),"",IF(INDEX(Processos!$A$10:$A$509,MATCH((ROW()-36+($J$35-1)*200),Processos!$AK$10:$AK$509,0))="","",INDEX(Processos!$A$10:$A$509,MATCH((ROW()-36+($J$35-1)*200),Processos!$AK$10:$AK$509,0))))</f>
        <v/>
      </c>
      <c r="B234" s="6" t="str">
        <f>IF((ROW()-36+($J$35-1)*200)&gt;COUNTIFS(Processos!$X$10:$X$509,1),"",IF(INDEX(Processos!$C$10:$C$509,MATCH((ROW()-36+($J$35-1)*200),Processos!$AK$10:$AK$509,0))="","",INDEX(Processos!$C$10:$C$509,MATCH((ROW()-36+($J$35-1)*200),Processos!$AK$10:$AK$509,0))))</f>
        <v/>
      </c>
      <c r="C234"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34" s="10" t="str">
        <f>IF((ROW()-36+($J$35-1)*200)&gt;COUNTIFS(Processos!$X$10:$X$509,1),"",IF(INDEX(Processos!$AQ$10:$AQ$509,MATCH((ROW()-36+($J$35-1)*200),Processos!$AK$10:$AK$509,0))="","",INDEX(Processos!$AQ$10:$AQ$509,MATCH((ROW()-36+($J$35-1)*200),Processos!$AK$10:$AK$509,0))))</f>
        <v/>
      </c>
      <c r="E234" s="8" t="str">
        <f>IF((ROW()-36+($J$35-1)*200)&gt;COUNTIFS(Processos!$X$10:$X$509,1),"",IF(INDEX(Processos!$Z$10:$Z$509,MATCH((ROW()-36+($J$35-1)*200),Processos!$AK$10:$AK$509,0))="","",INDEX(Processos!$Z$10:$Z$509,MATCH((ROW()-36+($J$35-1)*200),Processos!$AK$10:$AK$509,0))))</f>
        <v/>
      </c>
      <c r="F234" s="6" t="str">
        <f>IF((ROW()-36+($J$35-1)*200)&gt;COUNTIFS(Processos!$X$10:$X$509,1),"",IF(IF(INDEX(Processos!$Y$10:$Y$509,MATCH((ROW()-36+($J$35-1)*200),Processos!$AK$10:$AK$509,0))=1,"Sim","Não")="","",IF(INDEX(Processos!$Y$10:$Y$509,MATCH((ROW()-36+($J$35-1)*200),Processos!$AK$10:$AK$509,0))=1,"Sim","Não")))</f>
        <v/>
      </c>
      <c r="G234" s="6" t="str">
        <f>IF((ROW()-36+($J$35-1)*200)&gt;COUNTIFS(Processos!$X$10:$X$509,1),"",IF(INDEX(Processos!$D$10:$D$509,MATCH((ROW()-36+($J$35-1)*200),Processos!$AK$10:$AK$509,0))="","",INDEX(Processos!$D$10:$D$509,MATCH((ROW()-36+($J$35-1)*200),Processos!$AK$10:$AK$509,0))))</f>
        <v/>
      </c>
    </row>
    <row r="235" spans="1:7" ht="72" customHeight="1">
      <c r="A235" s="7" t="str">
        <f>IF((ROW()-36+($J$35-1)*200)&gt;COUNTIFS(Processos!$X$10:$X$509,1),"",IF(INDEX(Processos!$A$10:$A$509,MATCH((ROW()-36+($J$35-1)*200),Processos!$AK$10:$AK$509,0))="","",INDEX(Processos!$A$10:$A$509,MATCH((ROW()-36+($J$35-1)*200),Processos!$AK$10:$AK$509,0))))</f>
        <v/>
      </c>
      <c r="B235" s="6" t="str">
        <f>IF((ROW()-36+($J$35-1)*200)&gt;COUNTIFS(Processos!$X$10:$X$509,1),"",IF(INDEX(Processos!$C$10:$C$509,MATCH((ROW()-36+($J$35-1)*200),Processos!$AK$10:$AK$509,0))="","",INDEX(Processos!$C$10:$C$509,MATCH((ROW()-36+($J$35-1)*200),Processos!$AK$10:$AK$509,0))))</f>
        <v/>
      </c>
      <c r="C235"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35" s="10" t="str">
        <f>IF((ROW()-36+($J$35-1)*200)&gt;COUNTIFS(Processos!$X$10:$X$509,1),"",IF(INDEX(Processos!$AQ$10:$AQ$509,MATCH((ROW()-36+($J$35-1)*200),Processos!$AK$10:$AK$509,0))="","",INDEX(Processos!$AQ$10:$AQ$509,MATCH((ROW()-36+($J$35-1)*200),Processos!$AK$10:$AK$509,0))))</f>
        <v/>
      </c>
      <c r="E235" s="8" t="str">
        <f>IF((ROW()-36+($J$35-1)*200)&gt;COUNTIFS(Processos!$X$10:$X$509,1),"",IF(INDEX(Processos!$Z$10:$Z$509,MATCH((ROW()-36+($J$35-1)*200),Processos!$AK$10:$AK$509,0))="","",INDEX(Processos!$Z$10:$Z$509,MATCH((ROW()-36+($J$35-1)*200),Processos!$AK$10:$AK$509,0))))</f>
        <v/>
      </c>
      <c r="F235" s="6" t="str">
        <f>IF((ROW()-36+($J$35-1)*200)&gt;COUNTIFS(Processos!$X$10:$X$509,1),"",IF(IF(INDEX(Processos!$Y$10:$Y$509,MATCH((ROW()-36+($J$35-1)*200),Processos!$AK$10:$AK$509,0))=1,"Sim","Não")="","",IF(INDEX(Processos!$Y$10:$Y$509,MATCH((ROW()-36+($J$35-1)*200),Processos!$AK$10:$AK$509,0))=1,"Sim","Não")))</f>
        <v/>
      </c>
      <c r="G235" s="6" t="str">
        <f>IF((ROW()-36+($J$35-1)*200)&gt;COUNTIFS(Processos!$X$10:$X$509,1),"",IF(INDEX(Processos!$D$10:$D$509,MATCH((ROW()-36+($J$35-1)*200),Processos!$AK$10:$AK$509,0))="","",INDEX(Processos!$D$10:$D$509,MATCH((ROW()-36+($J$35-1)*200),Processos!$AK$10:$AK$509,0))))</f>
        <v/>
      </c>
    </row>
    <row r="236" spans="1:7" ht="72" customHeight="1">
      <c r="A236" s="7" t="str">
        <f>IF((ROW()-36+($J$35-1)*200)&gt;COUNTIFS(Processos!$X$10:$X$509,1),"",IF(INDEX(Processos!$A$10:$A$509,MATCH((ROW()-36+($J$35-1)*200),Processos!$AK$10:$AK$509,0))="","",INDEX(Processos!$A$10:$A$509,MATCH((ROW()-36+($J$35-1)*200),Processos!$AK$10:$AK$509,0))))</f>
        <v/>
      </c>
      <c r="B236" s="6" t="str">
        <f>IF((ROW()-36+($J$35-1)*200)&gt;COUNTIFS(Processos!$X$10:$X$509,1),"",IF(INDEX(Processos!$C$10:$C$509,MATCH((ROW()-36+($J$35-1)*200),Processos!$AK$10:$AK$509,0))="","",INDEX(Processos!$C$10:$C$509,MATCH((ROW()-36+($J$35-1)*200),Processos!$AK$10:$AK$509,0))))</f>
        <v/>
      </c>
      <c r="C236" s="6" t="str">
        <f>IF(LEN(SUBSTITUTE(SUBSTITUTE(IF((ROW()-36+($J$35-1)*200)&gt;COUNTIFS(Processos!$X$10:$X$509,1),"",IF(INDEX(Processos!$H$10:$H$509,MATCH((ROW()-36+($J$35-1)*200),Processos!$AK$10:$AK$509,0))&amp;"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"))&gt;100,LEFT(SUBSTITUTE(SUBSTITUTE(IF((ROW()-36+($J$35-1)*200)&gt;COUNTIFS(Processos!$X$10:$X$509,1),"",IF(INDEX(Processos!$H$10:$H$509,MATCH((ROW()-36+($J$35-1)*200),Processos!$AK$10:$AK$509,0))&amp;"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"),100)&amp;" [...]",SUBSTITUTE(SUBSTITUTE(IF((ROW()-36+($J$35-1)*200)&gt;COUNTIFS(Processos!$X$10:$X$509,1),"",IF(INDEX(Processos!$H$10:$H$509,MATCH((ROW()-36+($J$35-1)*200),Processos!$AK$10:$AK$509,0))&amp;" × "&amp;INDEX(Processos!$I$10:$I$509,MATCH((ROW()-36+($J$35-1)*200),Processos!$AK$10:$AK$509,0))="","",INDEX(Processos!$H$10:$H$509,MATCH((ROW()-36+($J$35-1)*200),Processos!$AK$10:$AK$509,0))&amp;" × "&amp;INDEX(Processos!$I$10:$I$509,MATCH((ROW()-36+($J$35-1)*200),Processos!$AK$10:$AK$509,0)))),CHAR(10)," "),CHAR(13)," "))</f>
        <v/>
      </c>
      <c r="D236" s="10" t="str">
        <f>IF((ROW()-36+($J$35-1)*200)&gt;COUNTIFS(Processos!$X$10:$X$509,1),"",IF(INDEX(Processos!$AQ$10:$AQ$509,MATCH((ROW()-36+($J$35-1)*200),Processos!$AK$10:$AK$509,0))="","",INDEX(Processos!$AQ$10:$AQ$509,MATCH((ROW()-36+($J$35-1)*200),Processos!$AK$10:$AK$509,0))))</f>
        <v/>
      </c>
      <c r="E236" s="8" t="str">
        <f>IF((ROW()-36+($J$35-1)*200)&gt;COUNTIFS(Processos!$X$10:$X$509,1),"",IF(INDEX(Processos!$Z$10:$Z$509,MATCH((ROW()-36+($J$35-1)*200),Processos!$AK$10:$AK$509,0))="","",INDEX(Processos!$Z$10:$Z$509,MATCH((ROW()-36+($J$35-1)*200),Processos!$AK$10:$AK$509,0))))</f>
        <v/>
      </c>
      <c r="F236" s="6" t="str">
        <f>IF((ROW()-36+($J$35-1)*200)&gt;COUNTIFS(Processos!$X$10:$X$509,1),"",IF(IF(INDEX(Processos!$Y$10:$Y$509,MATCH((ROW()-36+($J$35-1)*200),Processos!$AK$10:$AK$509,0))=1,"Sim","Não")="","",IF(INDEX(Processos!$Y$10:$Y$509,MATCH((ROW()-36+($J$35-1)*200),Processos!$AK$10:$AK$509,0))=1,"Sim","Não")))</f>
        <v/>
      </c>
      <c r="G236" s="6" t="str">
        <f>IF((ROW()-36+($J$35-1)*200)&gt;COUNTIFS(Processos!$X$10:$X$509,1),"",IF(INDEX(Processos!$D$10:$D$509,MATCH((ROW()-36+($J$35-1)*200),Processos!$AK$10:$AK$509,0))="","",INDEX(Processos!$D$10:$D$509,MATCH((ROW()-36+($J$35-1)*200),Processos!$AK$10:$AK$509,0))))</f>
        <v/>
      </c>
    </row>
    <row r="237" spans="1:7" ht="60" customHeight="1">
      <c r="A237" s="7"/>
      <c r="B237" s="6"/>
      <c r="C237" s="6"/>
      <c r="D237" s="10"/>
      <c r="E237" s="12"/>
      <c r="F237" s="6"/>
      <c r="G237" s="6"/>
    </row>
    <row r="238" spans="1:7" ht="60" customHeight="1">
      <c r="A238" s="7"/>
      <c r="B238" s="6"/>
      <c r="C238" s="6"/>
      <c r="D238" s="10"/>
      <c r="E238" s="12"/>
      <c r="F238" s="6"/>
      <c r="G238" s="6"/>
    </row>
    <row r="239" spans="1:7" ht="60" customHeight="1">
      <c r="A239" s="7"/>
      <c r="B239" s="6"/>
      <c r="C239" s="6"/>
      <c r="D239" s="10"/>
      <c r="E239" s="12"/>
      <c r="F239" s="6"/>
      <c r="G239" s="6"/>
    </row>
    <row r="240" spans="1:7" ht="60" customHeight="1">
      <c r="A240" s="7"/>
      <c r="B240" s="6"/>
      <c r="C240" s="6"/>
      <c r="D240" s="10"/>
      <c r="E240" s="12"/>
      <c r="F240" s="6"/>
      <c r="G240" s="6"/>
    </row>
    <row r="241" spans="1:7" ht="60" customHeight="1">
      <c r="A241" s="7"/>
      <c r="B241" s="6"/>
      <c r="C241" s="6"/>
      <c r="D241" s="10"/>
      <c r="E241" s="12"/>
      <c r="F241" s="6"/>
      <c r="G241" s="6"/>
    </row>
    <row r="242" spans="1:7" ht="60" customHeight="1">
      <c r="A242" s="7"/>
      <c r="B242" s="6"/>
      <c r="C242" s="6"/>
      <c r="D242" s="10"/>
      <c r="E242" s="12"/>
      <c r="F242" s="6"/>
      <c r="G242" s="6"/>
    </row>
    <row r="243" spans="1:7" ht="60" customHeight="1">
      <c r="A243" s="7"/>
      <c r="B243" s="6"/>
      <c r="C243" s="6"/>
      <c r="D243" s="10"/>
      <c r="E243" s="12"/>
      <c r="F243" s="6"/>
      <c r="G243" s="6"/>
    </row>
    <row r="244" spans="1:7" ht="60" customHeight="1">
      <c r="A244" s="7"/>
      <c r="B244" s="6"/>
      <c r="C244" s="6"/>
      <c r="D244" s="10"/>
      <c r="E244" s="12"/>
      <c r="F244" s="6"/>
      <c r="G244" s="6"/>
    </row>
    <row r="245" spans="1:7" ht="60" customHeight="1">
      <c r="A245" s="7"/>
      <c r="B245" s="6"/>
      <c r="C245" s="6"/>
      <c r="D245" s="10"/>
      <c r="E245" s="12"/>
      <c r="F245" s="6"/>
      <c r="G245" s="6"/>
    </row>
    <row r="246" spans="1:7" ht="60" customHeight="1">
      <c r="A246" s="7"/>
      <c r="B246" s="6"/>
      <c r="C246" s="6"/>
      <c r="D246" s="10"/>
      <c r="E246" s="12"/>
      <c r="F246" s="6"/>
      <c r="G246" s="6"/>
    </row>
    <row r="247" spans="1:7" ht="60" customHeight="1">
      <c r="A247" s="7"/>
      <c r="B247" s="6"/>
      <c r="C247" s="6"/>
      <c r="D247" s="10"/>
      <c r="E247" s="12"/>
      <c r="F247" s="6"/>
      <c r="G247" s="6"/>
    </row>
    <row r="248" spans="1:7" ht="60" customHeight="1">
      <c r="A248" s="7"/>
      <c r="B248" s="6"/>
      <c r="C248" s="6"/>
      <c r="D248" s="10"/>
      <c r="E248" s="12"/>
      <c r="F248" s="6"/>
      <c r="G248" s="6"/>
    </row>
    <row r="249" spans="1:7" ht="60" customHeight="1">
      <c r="A249" s="7"/>
      <c r="B249" s="6"/>
      <c r="C249" s="6"/>
      <c r="D249" s="10"/>
      <c r="E249" s="12"/>
      <c r="F249" s="6"/>
      <c r="G249" s="6"/>
    </row>
    <row r="250" spans="1:7" ht="60" customHeight="1">
      <c r="A250" s="7"/>
      <c r="B250" s="6"/>
      <c r="C250" s="6"/>
      <c r="D250" s="10"/>
      <c r="E250" s="12"/>
      <c r="F250" s="6"/>
      <c r="G250" s="6"/>
    </row>
    <row r="251" spans="1:7" ht="60" customHeight="1">
      <c r="A251" s="7"/>
      <c r="B251" s="6"/>
      <c r="C251" s="6"/>
      <c r="D251" s="10"/>
      <c r="E251" s="12"/>
      <c r="F251" s="6"/>
      <c r="G251" s="6"/>
    </row>
    <row r="252" spans="1:7" ht="60" customHeight="1">
      <c r="A252" s="7"/>
      <c r="B252" s="6"/>
      <c r="C252" s="6"/>
      <c r="D252" s="10"/>
      <c r="E252" s="12"/>
      <c r="F252" s="6"/>
      <c r="G252" s="6"/>
    </row>
    <row r="253" spans="1:7" ht="60" customHeight="1">
      <c r="A253" s="7"/>
      <c r="B253" s="6"/>
      <c r="C253" s="6"/>
      <c r="D253" s="10"/>
      <c r="E253" s="12"/>
      <c r="F253" s="6"/>
      <c r="G253" s="6"/>
    </row>
    <row r="254" spans="1:7" ht="60" customHeight="1">
      <c r="A254" s="7"/>
      <c r="B254" s="6"/>
      <c r="C254" s="6"/>
      <c r="D254" s="10"/>
      <c r="E254" s="12"/>
      <c r="F254" s="6"/>
      <c r="G254" s="6"/>
    </row>
    <row r="255" spans="1:7" ht="60" customHeight="1">
      <c r="A255" s="7"/>
      <c r="B255" s="6"/>
      <c r="C255" s="6"/>
      <c r="D255" s="10"/>
      <c r="E255" s="12"/>
      <c r="F255" s="6"/>
      <c r="G255" s="6"/>
    </row>
    <row r="256" spans="1:7" ht="60" customHeight="1">
      <c r="A256" s="7"/>
      <c r="B256" s="6"/>
      <c r="C256" s="6"/>
      <c r="D256" s="10"/>
      <c r="E256" s="12"/>
      <c r="F256" s="6"/>
      <c r="G256" s="6"/>
    </row>
    <row r="257" spans="1:7" ht="60" customHeight="1">
      <c r="A257" s="7"/>
      <c r="B257" s="6"/>
      <c r="C257" s="6"/>
      <c r="D257" s="10"/>
      <c r="E257" s="12"/>
      <c r="F257" s="6"/>
      <c r="G257" s="6"/>
    </row>
    <row r="258" spans="1:7" ht="60" customHeight="1">
      <c r="A258" s="7"/>
      <c r="B258" s="6"/>
      <c r="C258" s="6"/>
      <c r="D258" s="10"/>
      <c r="E258" s="12"/>
      <c r="F258" s="6"/>
      <c r="G258" s="6"/>
    </row>
    <row r="259" spans="1:7" ht="60" customHeight="1">
      <c r="A259" s="7"/>
      <c r="B259" s="6"/>
      <c r="C259" s="6"/>
      <c r="D259" s="10"/>
      <c r="E259" s="12"/>
      <c r="F259" s="6"/>
      <c r="G259" s="6"/>
    </row>
    <row r="260" spans="1:7" ht="60" customHeight="1">
      <c r="A260" s="7"/>
      <c r="B260" s="6"/>
      <c r="C260" s="6"/>
      <c r="D260" s="10"/>
      <c r="E260" s="12"/>
      <c r="F260" s="6"/>
      <c r="G260" s="6"/>
    </row>
    <row r="261" spans="1:7" ht="60" customHeight="1">
      <c r="A261" s="7"/>
      <c r="B261" s="6"/>
      <c r="C261" s="6"/>
      <c r="D261" s="10"/>
      <c r="E261" s="12"/>
      <c r="F261" s="6"/>
      <c r="G261" s="6"/>
    </row>
    <row r="262" spans="1:7" ht="60" customHeight="1">
      <c r="A262" s="7"/>
      <c r="B262" s="6"/>
      <c r="C262" s="6"/>
      <c r="D262" s="10"/>
      <c r="E262" s="12"/>
      <c r="F262" s="6"/>
      <c r="G262" s="6"/>
    </row>
    <row r="263" spans="1:7" ht="60" customHeight="1">
      <c r="A263" s="7"/>
      <c r="B263" s="6"/>
      <c r="C263" s="6"/>
      <c r="D263" s="10"/>
      <c r="E263" s="12"/>
      <c r="F263" s="6"/>
      <c r="G263" s="6"/>
    </row>
    <row r="264" spans="1:7" ht="60" customHeight="1">
      <c r="A264" s="7"/>
      <c r="B264" s="6"/>
      <c r="C264" s="6"/>
      <c r="D264" s="10"/>
      <c r="E264" s="12"/>
      <c r="F264" s="6"/>
      <c r="G264" s="6"/>
    </row>
    <row r="265" spans="1:7" ht="60" customHeight="1">
      <c r="A265" s="7"/>
      <c r="B265" s="6"/>
      <c r="C265" s="6"/>
      <c r="D265" s="10"/>
      <c r="E265" s="12"/>
      <c r="F265" s="6"/>
      <c r="G265" s="6"/>
    </row>
    <row r="266" spans="1:7" ht="60" customHeight="1">
      <c r="A266" s="7"/>
      <c r="B266" s="6"/>
      <c r="C266" s="6"/>
      <c r="D266" s="10"/>
      <c r="E266" s="12"/>
      <c r="F266" s="6"/>
      <c r="G266" s="6"/>
    </row>
    <row r="267" spans="1:7" ht="60" customHeight="1">
      <c r="A267" s="7"/>
      <c r="B267" s="6"/>
      <c r="C267" s="6"/>
      <c r="D267" s="10"/>
      <c r="E267" s="12"/>
      <c r="F267" s="6"/>
      <c r="G267" s="6"/>
    </row>
    <row r="268" spans="1:7" ht="60" customHeight="1">
      <c r="A268" s="7"/>
      <c r="B268" s="6"/>
      <c r="C268" s="6"/>
      <c r="D268" s="10"/>
      <c r="E268" s="12"/>
      <c r="F268" s="6"/>
      <c r="G268" s="6"/>
    </row>
    <row r="269" spans="1:7" ht="60" customHeight="1">
      <c r="A269" s="7"/>
      <c r="B269" s="6"/>
      <c r="C269" s="6"/>
      <c r="D269" s="10"/>
      <c r="E269" s="12"/>
      <c r="F269" s="6"/>
      <c r="G269" s="6"/>
    </row>
    <row r="270" spans="1:7" ht="60" customHeight="1">
      <c r="A270" s="7"/>
      <c r="B270" s="6"/>
      <c r="C270" s="6"/>
      <c r="D270" s="10"/>
      <c r="E270" s="12"/>
      <c r="F270" s="6"/>
      <c r="G270" s="6"/>
    </row>
    <row r="271" spans="1:7" ht="60" customHeight="1">
      <c r="A271" s="7"/>
      <c r="B271" s="6"/>
      <c r="C271" s="6"/>
      <c r="D271" s="10"/>
      <c r="E271" s="12"/>
      <c r="F271" s="6"/>
      <c r="G271" s="6"/>
    </row>
    <row r="272" spans="1:7" ht="60" customHeight="1">
      <c r="A272" s="7"/>
      <c r="B272" s="6"/>
      <c r="C272" s="6"/>
      <c r="D272" s="10"/>
      <c r="E272" s="12"/>
      <c r="F272" s="6"/>
      <c r="G272" s="6"/>
    </row>
    <row r="273" spans="1:7" ht="60" customHeight="1">
      <c r="A273" s="7"/>
      <c r="B273" s="6"/>
      <c r="C273" s="6"/>
      <c r="D273" s="10"/>
      <c r="E273" s="12"/>
      <c r="F273" s="6"/>
      <c r="G273" s="6"/>
    </row>
    <row r="274" spans="1:7" ht="60" customHeight="1">
      <c r="A274" s="7"/>
      <c r="B274" s="6"/>
      <c r="C274" s="6"/>
      <c r="D274" s="10"/>
      <c r="E274" s="12"/>
      <c r="F274" s="6"/>
      <c r="G274" s="6"/>
    </row>
    <row r="275" spans="1:7" ht="60" customHeight="1">
      <c r="A275" s="7"/>
      <c r="B275" s="6"/>
      <c r="C275" s="6"/>
      <c r="D275" s="10"/>
      <c r="E275" s="12"/>
      <c r="F275" s="6"/>
      <c r="G275" s="6"/>
    </row>
    <row r="276" spans="1:7" ht="60" customHeight="1">
      <c r="A276" s="7"/>
      <c r="B276" s="6"/>
      <c r="C276" s="6"/>
      <c r="D276" s="10"/>
      <c r="E276" s="12"/>
      <c r="F276" s="6"/>
      <c r="G276" s="6"/>
    </row>
    <row r="277" spans="1:7" ht="60" customHeight="1">
      <c r="A277" s="7"/>
      <c r="B277" s="6"/>
      <c r="C277" s="6"/>
      <c r="D277" s="10"/>
      <c r="E277" s="12"/>
      <c r="F277" s="6"/>
      <c r="G277" s="6"/>
    </row>
    <row r="278" spans="1:7" ht="60" customHeight="1">
      <c r="A278" s="7"/>
      <c r="B278" s="6"/>
      <c r="C278" s="6"/>
      <c r="D278" s="10"/>
      <c r="E278" s="12"/>
      <c r="F278" s="6"/>
      <c r="G278" s="6"/>
    </row>
    <row r="279" spans="1:7" ht="60" customHeight="1">
      <c r="A279" s="7"/>
      <c r="B279" s="6"/>
      <c r="C279" s="6"/>
      <c r="D279" s="10"/>
      <c r="E279" s="12"/>
      <c r="F279" s="6"/>
      <c r="G279" s="6"/>
    </row>
    <row r="280" spans="1:7" ht="60" customHeight="1">
      <c r="A280" s="7"/>
      <c r="B280" s="6"/>
      <c r="C280" s="6"/>
      <c r="D280" s="10"/>
      <c r="E280" s="12"/>
      <c r="F280" s="6"/>
      <c r="G280" s="6"/>
    </row>
    <row r="281" spans="1:7" ht="60" customHeight="1">
      <c r="A281" s="7"/>
      <c r="B281" s="6"/>
      <c r="C281" s="6"/>
      <c r="D281" s="10"/>
      <c r="E281" s="12"/>
      <c r="F281" s="6"/>
      <c r="G281" s="6"/>
    </row>
    <row r="282" spans="1:7" ht="60" customHeight="1">
      <c r="A282" s="7"/>
      <c r="B282" s="6"/>
      <c r="C282" s="6"/>
      <c r="D282" s="10"/>
      <c r="E282" s="12"/>
      <c r="F282" s="6"/>
      <c r="G282" s="6"/>
    </row>
    <row r="283" spans="1:7" ht="60" customHeight="1">
      <c r="A283" s="7"/>
      <c r="B283" s="6"/>
      <c r="C283" s="6"/>
      <c r="D283" s="10"/>
      <c r="E283" s="12"/>
      <c r="F283" s="6"/>
      <c r="G283" s="6"/>
    </row>
    <row r="284" spans="1:7" ht="60" customHeight="1">
      <c r="A284" s="7"/>
      <c r="B284" s="6"/>
      <c r="C284" s="6"/>
      <c r="D284" s="10"/>
      <c r="E284" s="12"/>
      <c r="F284" s="6"/>
      <c r="G284" s="6"/>
    </row>
    <row r="285" spans="1:7" ht="60" customHeight="1">
      <c r="A285" s="7"/>
      <c r="B285" s="6"/>
      <c r="C285" s="6"/>
      <c r="D285" s="10"/>
      <c r="E285" s="12"/>
      <c r="F285" s="6"/>
      <c r="G285" s="6"/>
    </row>
    <row r="286" spans="1:7" ht="60" customHeight="1">
      <c r="A286" s="7"/>
      <c r="B286" s="6"/>
      <c r="C286" s="6"/>
      <c r="D286" s="10"/>
      <c r="E286" s="12"/>
      <c r="F286" s="6"/>
      <c r="G286" s="6"/>
    </row>
    <row r="287" spans="1:7" ht="60" customHeight="1">
      <c r="A287" s="7"/>
      <c r="B287" s="6"/>
      <c r="C287" s="6"/>
      <c r="D287" s="10"/>
      <c r="E287" s="12"/>
      <c r="F287" s="6"/>
      <c r="G287" s="6"/>
    </row>
    <row r="288" spans="1:7" ht="60" customHeight="1">
      <c r="A288" s="7"/>
      <c r="B288" s="6"/>
      <c r="C288" s="6"/>
      <c r="D288" s="10"/>
      <c r="E288" s="12"/>
      <c r="F288" s="6"/>
      <c r="G288" s="6"/>
    </row>
    <row r="289" spans="1:7" ht="60" customHeight="1">
      <c r="A289" s="7"/>
      <c r="B289" s="6"/>
      <c r="C289" s="6"/>
      <c r="D289" s="10"/>
      <c r="E289" s="12"/>
      <c r="F289" s="6"/>
      <c r="G289" s="6"/>
    </row>
    <row r="290" spans="1:7" ht="60" customHeight="1">
      <c r="A290" s="7"/>
      <c r="B290" s="6"/>
      <c r="C290" s="6"/>
      <c r="D290" s="10"/>
      <c r="E290" s="12"/>
      <c r="F290" s="6"/>
      <c r="G290" s="6"/>
    </row>
    <row r="291" spans="1:7" ht="60" customHeight="1">
      <c r="A291" s="7"/>
      <c r="B291" s="6"/>
      <c r="C291" s="6"/>
      <c r="D291" s="10"/>
      <c r="E291" s="12"/>
      <c r="F291" s="6"/>
      <c r="G291" s="6"/>
    </row>
    <row r="292" spans="1:7" ht="60" customHeight="1">
      <c r="A292" s="7"/>
      <c r="B292" s="6"/>
      <c r="C292" s="6"/>
      <c r="D292" s="10"/>
      <c r="E292" s="12"/>
      <c r="F292" s="6"/>
      <c r="G292" s="6"/>
    </row>
    <row r="293" spans="1:7" ht="60" customHeight="1">
      <c r="A293" s="7"/>
      <c r="B293" s="6"/>
      <c r="C293" s="6"/>
      <c r="D293" s="10"/>
      <c r="E293" s="12"/>
      <c r="F293" s="6"/>
      <c r="G293" s="6"/>
    </row>
    <row r="294" spans="1:7" ht="60" customHeight="1">
      <c r="A294" s="7"/>
      <c r="B294" s="6"/>
      <c r="C294" s="6"/>
      <c r="D294" s="10"/>
      <c r="E294" s="12"/>
      <c r="F294" s="6"/>
      <c r="G294" s="6"/>
    </row>
    <row r="295" spans="1:7" ht="60" customHeight="1">
      <c r="A295" s="7"/>
      <c r="B295" s="6"/>
      <c r="C295" s="6"/>
      <c r="D295" s="10"/>
      <c r="E295" s="12"/>
      <c r="F295" s="6"/>
      <c r="G295" s="6"/>
    </row>
    <row r="296" spans="1:7" ht="60" customHeight="1">
      <c r="A296" s="7"/>
      <c r="B296" s="6"/>
      <c r="C296" s="6"/>
      <c r="D296" s="10"/>
      <c r="E296" s="12"/>
      <c r="F296" s="6"/>
      <c r="G296" s="6"/>
    </row>
    <row r="297" spans="1:7" ht="60" customHeight="1">
      <c r="A297" s="7"/>
      <c r="B297" s="6"/>
      <c r="C297" s="6"/>
      <c r="D297" s="10"/>
      <c r="E297" s="12"/>
      <c r="F297" s="6"/>
      <c r="G297" s="6"/>
    </row>
    <row r="298" spans="1:7" ht="60" customHeight="1">
      <c r="A298" s="7"/>
      <c r="B298" s="6"/>
      <c r="C298" s="6"/>
      <c r="D298" s="10"/>
      <c r="E298" s="12"/>
      <c r="F298" s="6"/>
      <c r="G298" s="6"/>
    </row>
    <row r="299" spans="1:7" ht="60" customHeight="1">
      <c r="A299" s="7"/>
      <c r="B299" s="6"/>
      <c r="C299" s="6"/>
      <c r="D299" s="10"/>
      <c r="E299" s="12"/>
      <c r="F299" s="6"/>
      <c r="G299" s="6"/>
    </row>
    <row r="300" spans="1:7" ht="60" customHeight="1">
      <c r="A300" s="7"/>
      <c r="B300" s="6"/>
      <c r="C300" s="6"/>
      <c r="D300" s="10"/>
      <c r="E300" s="12"/>
      <c r="F300" s="6"/>
      <c r="G300" s="6"/>
    </row>
    <row r="301" spans="1:7" ht="60" customHeight="1">
      <c r="A301" s="7"/>
      <c r="B301" s="6"/>
      <c r="C301" s="6"/>
      <c r="D301" s="10"/>
      <c r="E301" s="12"/>
      <c r="F301" s="6"/>
      <c r="G301" s="6"/>
    </row>
    <row r="302" spans="1:7" ht="60" customHeight="1">
      <c r="A302" s="7"/>
      <c r="B302" s="6"/>
      <c r="C302" s="6"/>
      <c r="D302" s="10"/>
      <c r="E302" s="12"/>
      <c r="F302" s="6"/>
      <c r="G302" s="6"/>
    </row>
    <row r="303" spans="1:7" ht="60" customHeight="1">
      <c r="A303" s="7"/>
      <c r="B303" s="6"/>
      <c r="C303" s="6"/>
      <c r="D303" s="10"/>
      <c r="E303" s="12"/>
      <c r="F303" s="6"/>
      <c r="G303" s="6"/>
    </row>
    <row r="304" spans="1:7" ht="60" customHeight="1">
      <c r="A304" s="7"/>
      <c r="B304" s="6"/>
      <c r="C304" s="6"/>
      <c r="D304" s="10"/>
      <c r="E304" s="12"/>
      <c r="F304" s="6"/>
      <c r="G304" s="6"/>
    </row>
    <row r="305" spans="1:7" ht="60" customHeight="1">
      <c r="A305" s="7"/>
      <c r="B305" s="6"/>
      <c r="C305" s="6"/>
      <c r="D305" s="10"/>
      <c r="E305" s="12"/>
      <c r="F305" s="6"/>
      <c r="G305" s="6"/>
    </row>
    <row r="306" spans="1:7" ht="60" customHeight="1">
      <c r="A306" s="7"/>
      <c r="B306" s="6"/>
      <c r="C306" s="6"/>
      <c r="D306" s="10"/>
      <c r="E306" s="12"/>
      <c r="F306" s="6"/>
      <c r="G306" s="6"/>
    </row>
    <row r="307" spans="1:7" ht="60" customHeight="1">
      <c r="A307" s="7"/>
      <c r="B307" s="6"/>
      <c r="C307" s="6"/>
      <c r="D307" s="10"/>
      <c r="E307" s="12"/>
      <c r="F307" s="6"/>
      <c r="G307" s="6"/>
    </row>
    <row r="308" spans="1:7" ht="60" customHeight="1">
      <c r="A308" s="7"/>
      <c r="B308" s="6"/>
      <c r="C308" s="6"/>
      <c r="D308" s="10"/>
      <c r="E308" s="12"/>
      <c r="F308" s="6"/>
      <c r="G308" s="6"/>
    </row>
    <row r="309" spans="1:7" ht="60" customHeight="1">
      <c r="A309" s="7"/>
      <c r="B309" s="6"/>
      <c r="C309" s="6"/>
      <c r="D309" s="10"/>
      <c r="E309" s="12"/>
      <c r="F309" s="6"/>
      <c r="G309" s="6"/>
    </row>
    <row r="310" spans="1:7" ht="60" customHeight="1">
      <c r="A310" s="7"/>
      <c r="B310" s="6"/>
      <c r="C310" s="6"/>
      <c r="D310" s="10"/>
      <c r="E310" s="12"/>
      <c r="F310" s="6"/>
      <c r="G310" s="6"/>
    </row>
    <row r="311" spans="1:7" ht="60" customHeight="1">
      <c r="A311" s="7"/>
      <c r="B311" s="6"/>
      <c r="C311" s="6"/>
      <c r="D311" s="10"/>
      <c r="E311" s="12"/>
      <c r="F311" s="6"/>
      <c r="G311" s="6"/>
    </row>
    <row r="312" spans="1:7" ht="60" customHeight="1">
      <c r="A312" s="7"/>
      <c r="B312" s="6"/>
      <c r="C312" s="6"/>
      <c r="D312" s="10"/>
      <c r="E312" s="12"/>
      <c r="F312" s="6"/>
      <c r="G312" s="6"/>
    </row>
    <row r="313" spans="1:7" ht="60" customHeight="1">
      <c r="A313" s="7"/>
      <c r="B313" s="6"/>
      <c r="C313" s="6"/>
      <c r="D313" s="10"/>
      <c r="E313" s="12"/>
      <c r="F313" s="6"/>
      <c r="G313" s="6"/>
    </row>
    <row r="314" spans="1:7" ht="60" customHeight="1">
      <c r="A314" s="7"/>
      <c r="B314" s="6"/>
      <c r="C314" s="6"/>
      <c r="D314" s="10"/>
      <c r="E314" s="12"/>
      <c r="F314" s="6"/>
      <c r="G314" s="6"/>
    </row>
    <row r="315" spans="1:7" ht="60" customHeight="1">
      <c r="A315" s="7"/>
      <c r="B315" s="6"/>
      <c r="C315" s="6"/>
      <c r="D315" s="10"/>
      <c r="E315" s="12"/>
      <c r="F315" s="6"/>
      <c r="G315" s="6"/>
    </row>
    <row r="316" spans="1:7" ht="60" customHeight="1">
      <c r="A316" s="7"/>
      <c r="B316" s="6"/>
      <c r="C316" s="6"/>
      <c r="D316" s="10"/>
      <c r="E316" s="12"/>
      <c r="F316" s="6"/>
      <c r="G316" s="6"/>
    </row>
    <row r="317" spans="1:7" ht="60" customHeight="1">
      <c r="A317" s="7"/>
      <c r="B317" s="6"/>
      <c r="C317" s="6"/>
      <c r="D317" s="10"/>
      <c r="E317" s="12"/>
      <c r="F317" s="6"/>
      <c r="G317" s="6"/>
    </row>
    <row r="318" spans="1:7" ht="60" customHeight="1">
      <c r="A318" s="7"/>
      <c r="B318" s="6"/>
      <c r="C318" s="6"/>
      <c r="D318" s="10"/>
      <c r="E318" s="12"/>
      <c r="F318" s="6"/>
      <c r="G318" s="6"/>
    </row>
    <row r="319" spans="1:7" ht="60" customHeight="1">
      <c r="A319" s="7"/>
      <c r="B319" s="6"/>
      <c r="C319" s="6"/>
      <c r="D319" s="10"/>
      <c r="E319" s="12"/>
      <c r="F319" s="6"/>
      <c r="G319" s="6"/>
    </row>
    <row r="320" spans="1:7" ht="60" customHeight="1">
      <c r="A320" s="7"/>
      <c r="B320" s="6"/>
      <c r="C320" s="6"/>
      <c r="D320" s="10"/>
      <c r="E320" s="12"/>
      <c r="F320" s="6"/>
      <c r="G320" s="6"/>
    </row>
    <row r="321" spans="1:7" ht="60" customHeight="1">
      <c r="A321" s="7"/>
      <c r="B321" s="6"/>
      <c r="C321" s="6"/>
      <c r="D321" s="10"/>
      <c r="E321" s="12"/>
      <c r="F321" s="6"/>
      <c r="G321" s="6"/>
    </row>
    <row r="322" spans="1:7" ht="60" customHeight="1">
      <c r="A322" s="7"/>
      <c r="B322" s="6"/>
      <c r="C322" s="6"/>
      <c r="D322" s="10"/>
      <c r="E322" s="12"/>
      <c r="F322" s="6"/>
      <c r="G322" s="6"/>
    </row>
    <row r="323" spans="1:7" ht="60" customHeight="1">
      <c r="A323" s="7"/>
      <c r="B323" s="6"/>
      <c r="C323" s="6"/>
      <c r="D323" s="10"/>
      <c r="E323" s="12"/>
      <c r="F323" s="6"/>
      <c r="G323" s="6"/>
    </row>
    <row r="324" spans="1:7" ht="60" customHeight="1">
      <c r="A324" s="7"/>
      <c r="B324" s="6"/>
      <c r="C324" s="6"/>
      <c r="D324" s="10"/>
      <c r="E324" s="12"/>
      <c r="F324" s="6"/>
      <c r="G324" s="6"/>
    </row>
    <row r="325" spans="1:7" ht="60" customHeight="1">
      <c r="A325" s="7"/>
      <c r="B325" s="6"/>
      <c r="C325" s="6"/>
      <c r="D325" s="10"/>
      <c r="E325" s="12"/>
      <c r="F325" s="6"/>
      <c r="G325" s="6"/>
    </row>
    <row r="326" spans="1:7" ht="60" customHeight="1">
      <c r="A326" s="7"/>
      <c r="B326" s="6"/>
      <c r="C326" s="6"/>
      <c r="D326" s="10"/>
      <c r="E326" s="12"/>
      <c r="F326" s="6"/>
      <c r="G326" s="6"/>
    </row>
    <row r="327" spans="1:7" ht="60" customHeight="1">
      <c r="A327" s="7"/>
      <c r="B327" s="6"/>
      <c r="C327" s="6"/>
      <c r="D327" s="10"/>
      <c r="E327" s="12"/>
      <c r="F327" s="6"/>
      <c r="G327" s="6"/>
    </row>
    <row r="328" spans="1:7" ht="60" customHeight="1">
      <c r="A328" s="7"/>
      <c r="B328" s="6"/>
      <c r="C328" s="6"/>
      <c r="D328" s="10"/>
      <c r="E328" s="12"/>
      <c r="F328" s="6"/>
      <c r="G328" s="6"/>
    </row>
    <row r="329" spans="1:7" ht="60" customHeight="1">
      <c r="A329" s="7"/>
      <c r="B329" s="6"/>
      <c r="C329" s="6"/>
      <c r="D329" s="10"/>
      <c r="E329" s="12"/>
      <c r="F329" s="6"/>
      <c r="G329" s="6"/>
    </row>
    <row r="330" spans="1:7" ht="60" customHeight="1">
      <c r="A330" s="7"/>
      <c r="B330" s="6"/>
      <c r="C330" s="6"/>
      <c r="D330" s="10"/>
      <c r="E330" s="12"/>
      <c r="F330" s="6"/>
      <c r="G330" s="6"/>
    </row>
    <row r="331" spans="1:7" ht="60" customHeight="1">
      <c r="A331" s="7"/>
      <c r="B331" s="6"/>
      <c r="C331" s="6"/>
      <c r="D331" s="10"/>
      <c r="E331" s="12"/>
      <c r="F331" s="6"/>
      <c r="G331" s="6"/>
    </row>
    <row r="332" spans="1:7" ht="60" customHeight="1">
      <c r="A332" s="7"/>
      <c r="B332" s="6"/>
      <c r="C332" s="6"/>
      <c r="D332" s="10"/>
      <c r="E332" s="12"/>
      <c r="F332" s="6"/>
      <c r="G332" s="6"/>
    </row>
    <row r="333" spans="1:7" ht="60" customHeight="1">
      <c r="A333" s="7"/>
      <c r="B333" s="6"/>
      <c r="C333" s="6"/>
      <c r="D333" s="10"/>
      <c r="E333" s="12"/>
      <c r="F333" s="6"/>
      <c r="G333" s="6"/>
    </row>
    <row r="334" spans="1:7" ht="60" customHeight="1">
      <c r="A334" s="7"/>
      <c r="B334" s="6"/>
      <c r="C334" s="6"/>
      <c r="D334" s="10"/>
      <c r="E334" s="12"/>
      <c r="F334" s="6"/>
      <c r="G334" s="6"/>
    </row>
    <row r="335" spans="1:7" ht="60" customHeight="1">
      <c r="A335" s="7"/>
      <c r="B335" s="6"/>
      <c r="C335" s="6"/>
      <c r="D335" s="10"/>
      <c r="E335" s="12"/>
      <c r="F335" s="6"/>
      <c r="G335" s="6"/>
    </row>
    <row r="336" spans="1:7" ht="60" customHeight="1">
      <c r="A336" s="7"/>
      <c r="B336" s="6"/>
      <c r="C336" s="6"/>
      <c r="D336" s="10"/>
      <c r="E336" s="12"/>
      <c r="F336" s="6"/>
      <c r="G336" s="6"/>
    </row>
    <row r="337" spans="1:7" ht="60" customHeight="1">
      <c r="A337" s="7"/>
      <c r="B337" s="6"/>
      <c r="C337" s="6"/>
      <c r="D337" s="10"/>
      <c r="E337" s="12"/>
      <c r="F337" s="6"/>
      <c r="G337" s="6"/>
    </row>
    <row r="338" spans="1:7" ht="60" customHeight="1">
      <c r="A338" s="7"/>
      <c r="B338" s="6"/>
      <c r="C338" s="6"/>
      <c r="D338" s="10"/>
      <c r="E338" s="12"/>
      <c r="F338" s="6"/>
      <c r="G338" s="6"/>
    </row>
    <row r="339" spans="1:7" ht="60" customHeight="1">
      <c r="A339" s="7"/>
      <c r="B339" s="6"/>
      <c r="C339" s="6"/>
      <c r="D339" s="10"/>
      <c r="E339" s="12"/>
      <c r="F339" s="6"/>
      <c r="G339" s="6"/>
    </row>
    <row r="340" spans="1:7" ht="60" customHeight="1">
      <c r="A340" s="7"/>
      <c r="B340" s="6"/>
      <c r="C340" s="6"/>
      <c r="D340" s="10"/>
      <c r="E340" s="12"/>
      <c r="F340" s="6"/>
      <c r="G340" s="6"/>
    </row>
    <row r="341" spans="1:7" ht="60" customHeight="1">
      <c r="A341" s="7"/>
      <c r="B341" s="6"/>
      <c r="C341" s="6"/>
      <c r="D341" s="10"/>
      <c r="E341" s="12"/>
      <c r="F341" s="6"/>
      <c r="G341" s="6"/>
    </row>
    <row r="342" spans="1:7" ht="60" customHeight="1">
      <c r="A342" s="7"/>
      <c r="B342" s="6"/>
      <c r="C342" s="6"/>
      <c r="D342" s="10"/>
      <c r="E342" s="12"/>
      <c r="F342" s="6"/>
      <c r="G342" s="6"/>
    </row>
    <row r="343" spans="1:7" ht="60" customHeight="1">
      <c r="A343" s="7"/>
      <c r="B343" s="6"/>
      <c r="C343" s="6"/>
      <c r="D343" s="10"/>
      <c r="E343" s="12"/>
      <c r="F343" s="6"/>
      <c r="G343" s="6"/>
    </row>
    <row r="344" spans="1:7" ht="60" customHeight="1">
      <c r="A344" s="7"/>
      <c r="B344" s="6"/>
      <c r="C344" s="6"/>
      <c r="D344" s="10"/>
      <c r="E344" s="12"/>
      <c r="F344" s="6"/>
      <c r="G344" s="6"/>
    </row>
    <row r="345" spans="1:7" ht="60" customHeight="1">
      <c r="A345" s="7"/>
      <c r="B345" s="6"/>
      <c r="C345" s="6"/>
      <c r="D345" s="10"/>
      <c r="E345" s="12"/>
      <c r="F345" s="6"/>
      <c r="G345" s="6"/>
    </row>
    <row r="346" spans="1:7" ht="60" customHeight="1">
      <c r="A346" s="7"/>
      <c r="B346" s="6"/>
      <c r="C346" s="6"/>
      <c r="D346" s="10"/>
      <c r="E346" s="12"/>
      <c r="F346" s="6"/>
      <c r="G346" s="6"/>
    </row>
    <row r="347" spans="1:7" ht="60" customHeight="1">
      <c r="A347" s="7"/>
      <c r="B347" s="6"/>
      <c r="C347" s="6"/>
      <c r="D347" s="10"/>
      <c r="E347" s="12"/>
      <c r="F347" s="6"/>
      <c r="G347" s="6"/>
    </row>
    <row r="348" spans="1:7" ht="60" customHeight="1">
      <c r="A348" s="7"/>
      <c r="B348" s="6"/>
      <c r="C348" s="6"/>
      <c r="D348" s="10"/>
      <c r="E348" s="12"/>
      <c r="F348" s="6"/>
      <c r="G348" s="6"/>
    </row>
    <row r="349" spans="1:7" ht="60" customHeight="1">
      <c r="A349" s="7"/>
      <c r="B349" s="6"/>
      <c r="C349" s="6"/>
      <c r="D349" s="10"/>
      <c r="E349" s="12"/>
      <c r="F349" s="6"/>
      <c r="G349" s="6"/>
    </row>
    <row r="350" spans="1:7" ht="60" customHeight="1">
      <c r="A350" s="7"/>
      <c r="B350" s="6"/>
      <c r="C350" s="6"/>
      <c r="D350" s="10"/>
      <c r="E350" s="12"/>
      <c r="F350" s="6"/>
      <c r="G350" s="6"/>
    </row>
    <row r="351" spans="1:7" ht="60" customHeight="1">
      <c r="A351" s="7"/>
      <c r="B351" s="6"/>
      <c r="C351" s="6"/>
      <c r="D351" s="10"/>
      <c r="E351" s="12"/>
      <c r="F351" s="6"/>
      <c r="G351" s="6"/>
    </row>
    <row r="352" spans="1:7" ht="60" customHeight="1">
      <c r="A352" s="7"/>
      <c r="B352" s="6"/>
      <c r="C352" s="6"/>
      <c r="D352" s="10"/>
      <c r="E352" s="12"/>
      <c r="F352" s="6"/>
      <c r="G352" s="6"/>
    </row>
    <row r="353" spans="1:7" ht="60" customHeight="1">
      <c r="A353" s="7"/>
      <c r="B353" s="6"/>
      <c r="C353" s="6"/>
      <c r="D353" s="10"/>
      <c r="E353" s="12"/>
      <c r="F353" s="6"/>
      <c r="G353" s="6"/>
    </row>
    <row r="354" spans="1:7" ht="60" customHeight="1">
      <c r="A354" s="7"/>
      <c r="B354" s="6"/>
      <c r="C354" s="6"/>
      <c r="D354" s="10"/>
      <c r="E354" s="12"/>
      <c r="F354" s="6"/>
      <c r="G354" s="6"/>
    </row>
    <row r="355" spans="1:7" ht="60" customHeight="1">
      <c r="A355" s="7"/>
      <c r="B355" s="6"/>
      <c r="C355" s="6"/>
      <c r="D355" s="10"/>
      <c r="E355" s="12"/>
      <c r="F355" s="6"/>
      <c r="G355" s="6"/>
    </row>
    <row r="356" spans="1:7" ht="60" customHeight="1">
      <c r="A356" s="7"/>
      <c r="B356" s="6"/>
      <c r="C356" s="6"/>
      <c r="D356" s="10"/>
      <c r="E356" s="12"/>
      <c r="F356" s="6"/>
      <c r="G356" s="6"/>
    </row>
    <row r="357" spans="1:7" ht="60" customHeight="1">
      <c r="A357" s="7"/>
      <c r="B357" s="6"/>
      <c r="C357" s="6"/>
      <c r="D357" s="10"/>
      <c r="E357" s="12"/>
      <c r="F357" s="6"/>
      <c r="G357" s="6"/>
    </row>
    <row r="358" spans="1:7" ht="60" customHeight="1">
      <c r="A358" s="7"/>
      <c r="B358" s="6"/>
      <c r="C358" s="6"/>
      <c r="D358" s="10"/>
      <c r="E358" s="12"/>
      <c r="F358" s="6"/>
      <c r="G358" s="6"/>
    </row>
    <row r="359" spans="1:7" ht="60" customHeight="1">
      <c r="A359" s="7"/>
      <c r="B359" s="6"/>
      <c r="C359" s="6"/>
      <c r="D359" s="10"/>
      <c r="E359" s="12"/>
      <c r="F359" s="6"/>
      <c r="G359" s="6"/>
    </row>
    <row r="360" spans="1:7" ht="60" customHeight="1">
      <c r="A360" s="7"/>
      <c r="B360" s="6"/>
      <c r="C360" s="6"/>
      <c r="D360" s="10"/>
      <c r="E360" s="12"/>
      <c r="F360" s="6"/>
      <c r="G360" s="6"/>
    </row>
    <row r="361" spans="1:7" ht="60" customHeight="1">
      <c r="A361" s="7"/>
      <c r="B361" s="6"/>
      <c r="C361" s="6"/>
      <c r="D361" s="10"/>
      <c r="E361" s="12"/>
      <c r="F361" s="6"/>
      <c r="G361" s="6"/>
    </row>
    <row r="362" spans="1:7" ht="60" customHeight="1">
      <c r="A362" s="7"/>
      <c r="B362" s="6"/>
      <c r="C362" s="6"/>
      <c r="D362" s="10"/>
      <c r="E362" s="12"/>
      <c r="F362" s="6"/>
      <c r="G362" s="6"/>
    </row>
    <row r="363" spans="1:7" ht="60" customHeight="1">
      <c r="A363" s="7"/>
      <c r="B363" s="6"/>
      <c r="C363" s="6"/>
      <c r="D363" s="10"/>
      <c r="E363" s="12"/>
      <c r="F363" s="6"/>
      <c r="G363" s="6"/>
    </row>
    <row r="364" spans="1:7" ht="60" customHeight="1">
      <c r="A364" s="7"/>
      <c r="B364" s="6"/>
      <c r="C364" s="6"/>
      <c r="D364" s="10"/>
      <c r="E364" s="12"/>
      <c r="F364" s="6"/>
      <c r="G364" s="6"/>
    </row>
    <row r="365" spans="1:7" ht="60" customHeight="1">
      <c r="A365" s="7"/>
      <c r="B365" s="6"/>
      <c r="C365" s="6"/>
      <c r="D365" s="10"/>
      <c r="E365" s="12"/>
      <c r="F365" s="6"/>
      <c r="G365" s="6"/>
    </row>
    <row r="366" spans="1:7" ht="60" customHeight="1">
      <c r="A366" s="7"/>
      <c r="B366" s="6"/>
      <c r="C366" s="6"/>
      <c r="D366" s="10"/>
      <c r="E366" s="12"/>
      <c r="F366" s="6"/>
      <c r="G366" s="6"/>
    </row>
    <row r="367" spans="1:7" ht="60" customHeight="1">
      <c r="A367" s="7"/>
      <c r="B367" s="6"/>
      <c r="C367" s="6"/>
      <c r="D367" s="10"/>
      <c r="E367" s="12"/>
      <c r="F367" s="6"/>
      <c r="G367" s="6"/>
    </row>
    <row r="368" spans="1:7" ht="60" customHeight="1">
      <c r="A368" s="7"/>
      <c r="B368" s="6"/>
      <c r="C368" s="6"/>
      <c r="D368" s="10"/>
      <c r="E368" s="12"/>
      <c r="F368" s="6"/>
      <c r="G368" s="6"/>
    </row>
    <row r="369" spans="1:7" ht="60" customHeight="1">
      <c r="A369" s="7"/>
      <c r="B369" s="6"/>
      <c r="C369" s="6"/>
      <c r="D369" s="10"/>
      <c r="E369" s="12"/>
      <c r="F369" s="6"/>
      <c r="G369" s="6"/>
    </row>
    <row r="370" spans="1:7" ht="60" customHeight="1">
      <c r="A370" s="7"/>
      <c r="B370" s="6"/>
      <c r="C370" s="6"/>
      <c r="D370" s="10"/>
      <c r="E370" s="12"/>
      <c r="F370" s="6"/>
      <c r="G370" s="6"/>
    </row>
    <row r="371" spans="1:7" ht="60" customHeight="1">
      <c r="A371" s="7"/>
      <c r="B371" s="6"/>
      <c r="C371" s="6"/>
      <c r="D371" s="10"/>
      <c r="E371" s="12"/>
      <c r="F371" s="6"/>
      <c r="G371" s="6"/>
    </row>
    <row r="372" spans="1:7" ht="60" customHeight="1">
      <c r="A372" s="7"/>
      <c r="B372" s="6"/>
      <c r="C372" s="6"/>
      <c r="D372" s="10"/>
      <c r="E372" s="12"/>
      <c r="F372" s="6"/>
      <c r="G372" s="6"/>
    </row>
    <row r="373" spans="1:7" ht="60" customHeight="1">
      <c r="A373" s="7"/>
      <c r="B373" s="6"/>
      <c r="C373" s="6"/>
      <c r="D373" s="10"/>
      <c r="E373" s="12"/>
      <c r="F373" s="6"/>
      <c r="G373" s="6"/>
    </row>
    <row r="374" spans="1:7" ht="60" customHeight="1">
      <c r="A374" s="7"/>
      <c r="B374" s="6"/>
      <c r="C374" s="6"/>
      <c r="D374" s="10"/>
      <c r="E374" s="12"/>
      <c r="F374" s="6"/>
      <c r="G374" s="6"/>
    </row>
    <row r="375" spans="1:7" ht="60" customHeight="1">
      <c r="A375" s="7"/>
      <c r="B375" s="6"/>
      <c r="C375" s="6"/>
      <c r="D375" s="10"/>
      <c r="E375" s="12"/>
      <c r="F375" s="6"/>
      <c r="G375" s="6"/>
    </row>
    <row r="376" spans="1:7" ht="60" customHeight="1">
      <c r="A376" s="7"/>
      <c r="B376" s="6"/>
      <c r="C376" s="6"/>
      <c r="D376" s="10"/>
      <c r="E376" s="12"/>
      <c r="F376" s="6"/>
      <c r="G376" s="6"/>
    </row>
    <row r="377" spans="1:7" ht="60" customHeight="1">
      <c r="A377" s="7"/>
      <c r="B377" s="6"/>
      <c r="C377" s="6"/>
      <c r="D377" s="10"/>
      <c r="E377" s="12"/>
      <c r="F377" s="6"/>
      <c r="G377" s="6"/>
    </row>
    <row r="378" spans="1:7" ht="60" customHeight="1">
      <c r="A378" s="7"/>
      <c r="B378" s="6"/>
      <c r="C378" s="6"/>
      <c r="D378" s="10"/>
      <c r="E378" s="12"/>
      <c r="F378" s="6"/>
      <c r="G378" s="6"/>
    </row>
    <row r="379" spans="1:7" ht="60" customHeight="1">
      <c r="A379" s="7"/>
      <c r="B379" s="6"/>
      <c r="C379" s="6"/>
      <c r="D379" s="10"/>
      <c r="E379" s="12"/>
      <c r="F379" s="6"/>
      <c r="G379" s="6"/>
    </row>
    <row r="380" spans="1:7" ht="60" customHeight="1">
      <c r="A380" s="7"/>
      <c r="B380" s="6"/>
      <c r="C380" s="6"/>
      <c r="D380" s="10"/>
      <c r="E380" s="12"/>
      <c r="F380" s="6"/>
      <c r="G380" s="6"/>
    </row>
    <row r="381" spans="1:7" ht="60" customHeight="1">
      <c r="A381" s="7"/>
      <c r="B381" s="6"/>
      <c r="C381" s="6"/>
      <c r="D381" s="10"/>
      <c r="E381" s="12"/>
      <c r="F381" s="6"/>
      <c r="G381" s="6"/>
    </row>
    <row r="382" spans="1:7" ht="60" customHeight="1">
      <c r="A382" s="7"/>
      <c r="B382" s="6"/>
      <c r="C382" s="6"/>
      <c r="D382" s="10"/>
      <c r="E382" s="12"/>
      <c r="F382" s="6"/>
      <c r="G382" s="6"/>
    </row>
    <row r="383" spans="1:7" ht="60" customHeight="1">
      <c r="A383" s="7"/>
      <c r="B383" s="6"/>
      <c r="C383" s="6"/>
      <c r="D383" s="10"/>
      <c r="E383" s="12"/>
      <c r="F383" s="6"/>
      <c r="G383" s="6"/>
    </row>
    <row r="384" spans="1:7" ht="60" customHeight="1">
      <c r="A384" s="7"/>
      <c r="B384" s="6"/>
      <c r="C384" s="6"/>
      <c r="D384" s="10"/>
      <c r="E384" s="12"/>
      <c r="F384" s="6"/>
      <c r="G384" s="6"/>
    </row>
    <row r="385" spans="1:7" ht="60" customHeight="1">
      <c r="A385" s="7"/>
      <c r="B385" s="6"/>
      <c r="C385" s="6"/>
      <c r="D385" s="10"/>
      <c r="E385" s="12"/>
      <c r="F385" s="6"/>
      <c r="G385" s="6"/>
    </row>
    <row r="386" spans="1:7" ht="60" customHeight="1">
      <c r="A386" s="7"/>
      <c r="B386" s="6"/>
      <c r="C386" s="6"/>
      <c r="D386" s="10"/>
      <c r="E386" s="12"/>
      <c r="F386" s="6"/>
      <c r="G386" s="6"/>
    </row>
    <row r="387" spans="1:7" ht="60" customHeight="1">
      <c r="A387" s="7"/>
      <c r="B387" s="6"/>
      <c r="C387" s="6"/>
      <c r="D387" s="10"/>
      <c r="E387" s="12"/>
      <c r="F387" s="6"/>
      <c r="G387" s="6"/>
    </row>
    <row r="388" spans="1:7" ht="60" customHeight="1">
      <c r="A388" s="7"/>
      <c r="B388" s="6"/>
      <c r="C388" s="6"/>
      <c r="D388" s="10"/>
      <c r="E388" s="12"/>
      <c r="F388" s="6"/>
      <c r="G388" s="6"/>
    </row>
    <row r="389" spans="1:7" ht="60" customHeight="1">
      <c r="A389" s="7"/>
      <c r="B389" s="6"/>
      <c r="C389" s="6"/>
      <c r="D389" s="10"/>
      <c r="E389" s="12"/>
      <c r="F389" s="6"/>
      <c r="G389" s="6"/>
    </row>
    <row r="390" spans="1:7" ht="60" customHeight="1">
      <c r="A390" s="7"/>
      <c r="B390" s="6"/>
      <c r="C390" s="6"/>
      <c r="D390" s="10"/>
      <c r="E390" s="12"/>
      <c r="F390" s="6"/>
      <c r="G390" s="6"/>
    </row>
    <row r="391" spans="1:7" ht="60" customHeight="1">
      <c r="A391" s="7"/>
      <c r="B391" s="6"/>
      <c r="C391" s="6"/>
      <c r="D391" s="10"/>
      <c r="E391" s="12"/>
      <c r="F391" s="6"/>
      <c r="G391" s="6"/>
    </row>
    <row r="392" spans="1:7" ht="60" customHeight="1">
      <c r="A392" s="7"/>
      <c r="B392" s="6"/>
      <c r="C392" s="6"/>
      <c r="D392" s="10"/>
      <c r="E392" s="12"/>
      <c r="F392" s="6"/>
      <c r="G392" s="6"/>
    </row>
    <row r="393" spans="1:7" ht="60" customHeight="1">
      <c r="A393" s="7"/>
      <c r="B393" s="6"/>
      <c r="C393" s="6"/>
      <c r="D393" s="10"/>
      <c r="E393" s="12"/>
      <c r="F393" s="6"/>
      <c r="G393" s="6"/>
    </row>
    <row r="394" spans="1:7" ht="60" customHeight="1">
      <c r="A394" s="7"/>
      <c r="B394" s="6"/>
      <c r="C394" s="6"/>
      <c r="D394" s="10"/>
      <c r="E394" s="12"/>
      <c r="F394" s="6"/>
      <c r="G394" s="6"/>
    </row>
    <row r="395" spans="1:7" ht="60" customHeight="1">
      <c r="A395" s="7"/>
      <c r="B395" s="6"/>
      <c r="C395" s="6"/>
      <c r="D395" s="10"/>
      <c r="E395" s="12"/>
      <c r="F395" s="6"/>
      <c r="G395" s="6"/>
    </row>
    <row r="396" spans="1:7" ht="60" customHeight="1">
      <c r="A396" s="7"/>
      <c r="B396" s="6"/>
      <c r="C396" s="6"/>
      <c r="D396" s="10"/>
      <c r="E396" s="12"/>
      <c r="F396" s="6"/>
      <c r="G396" s="6"/>
    </row>
    <row r="397" spans="1:7" ht="60" customHeight="1">
      <c r="A397" s="7"/>
      <c r="B397" s="6"/>
      <c r="C397" s="6"/>
      <c r="D397" s="10"/>
      <c r="E397" s="12"/>
      <c r="F397" s="6"/>
      <c r="G397" s="6"/>
    </row>
    <row r="398" spans="1:7" ht="60" customHeight="1">
      <c r="A398" s="7"/>
      <c r="B398" s="6"/>
      <c r="C398" s="6"/>
      <c r="D398" s="10"/>
      <c r="E398" s="12"/>
      <c r="F398" s="6"/>
      <c r="G398" s="6"/>
    </row>
    <row r="399" spans="1:7" ht="60" customHeight="1">
      <c r="A399" s="7"/>
      <c r="B399" s="6"/>
      <c r="C399" s="6"/>
      <c r="D399" s="10"/>
      <c r="E399" s="12"/>
      <c r="F399" s="6"/>
      <c r="G399" s="6"/>
    </row>
    <row r="400" spans="1:7" ht="60" customHeight="1">
      <c r="A400" s="7"/>
      <c r="B400" s="6"/>
      <c r="C400" s="6"/>
      <c r="D400" s="10"/>
      <c r="E400" s="12"/>
      <c r="F400" s="6"/>
      <c r="G400" s="6"/>
    </row>
    <row r="401" spans="1:7" ht="60" customHeight="1">
      <c r="A401" s="7"/>
      <c r="B401" s="6"/>
      <c r="C401" s="6"/>
      <c r="D401" s="10"/>
      <c r="E401" s="12"/>
      <c r="F401" s="6"/>
      <c r="G401" s="6"/>
    </row>
    <row r="402" spans="1:7" ht="60" customHeight="1">
      <c r="A402" s="7"/>
      <c r="B402" s="6"/>
      <c r="C402" s="6"/>
      <c r="D402" s="10"/>
      <c r="E402" s="12"/>
      <c r="F402" s="6"/>
      <c r="G402" s="6"/>
    </row>
    <row r="403" spans="1:7" ht="60" customHeight="1">
      <c r="A403" s="7"/>
      <c r="B403" s="6"/>
      <c r="C403" s="6"/>
      <c r="D403" s="10"/>
      <c r="E403" s="12"/>
      <c r="F403" s="6"/>
      <c r="G403" s="6"/>
    </row>
    <row r="404" spans="1:7" ht="60" customHeight="1">
      <c r="A404" s="7"/>
      <c r="B404" s="6"/>
      <c r="C404" s="6"/>
      <c r="D404" s="10"/>
      <c r="E404" s="12"/>
      <c r="F404" s="6"/>
      <c r="G404" s="6"/>
    </row>
    <row r="405" spans="1:7" ht="60" customHeight="1">
      <c r="A405" s="7"/>
      <c r="B405" s="6"/>
      <c r="C405" s="6"/>
      <c r="D405" s="10"/>
      <c r="E405" s="12"/>
      <c r="F405" s="6"/>
      <c r="G405" s="6"/>
    </row>
    <row r="406" spans="1:7" ht="60" customHeight="1">
      <c r="A406" s="7"/>
      <c r="B406" s="6"/>
      <c r="C406" s="6"/>
      <c r="D406" s="10"/>
      <c r="E406" s="12"/>
      <c r="F406" s="6"/>
      <c r="G406" s="6"/>
    </row>
    <row r="407" spans="1:7" ht="60" customHeight="1">
      <c r="A407" s="7"/>
      <c r="B407" s="6"/>
      <c r="C407" s="6"/>
      <c r="D407" s="10"/>
      <c r="E407" s="12"/>
      <c r="F407" s="6"/>
      <c r="G407" s="6"/>
    </row>
    <row r="408" spans="1:7" ht="60" customHeight="1">
      <c r="A408" s="7"/>
      <c r="B408" s="6"/>
      <c r="C408" s="6"/>
      <c r="D408" s="10"/>
      <c r="E408" s="12"/>
      <c r="F408" s="6"/>
      <c r="G408" s="6"/>
    </row>
    <row r="409" spans="1:7" ht="60" customHeight="1">
      <c r="A409" s="7"/>
      <c r="B409" s="6"/>
      <c r="C409" s="6"/>
      <c r="D409" s="10"/>
      <c r="E409" s="12"/>
      <c r="F409" s="6"/>
      <c r="G409" s="6"/>
    </row>
    <row r="410" spans="1:7" ht="60" customHeight="1">
      <c r="A410" s="7"/>
      <c r="B410" s="6"/>
      <c r="C410" s="6"/>
      <c r="D410" s="10"/>
      <c r="E410" s="12"/>
      <c r="F410" s="6"/>
      <c r="G410" s="6"/>
    </row>
    <row r="411" spans="1:7" ht="60" customHeight="1">
      <c r="A411" s="7"/>
      <c r="B411" s="6"/>
      <c r="C411" s="6"/>
      <c r="D411" s="10"/>
      <c r="E411" s="12"/>
      <c r="F411" s="6"/>
      <c r="G411" s="6"/>
    </row>
    <row r="412" spans="1:7" ht="60" customHeight="1">
      <c r="A412" s="7"/>
      <c r="B412" s="6"/>
      <c r="C412" s="6"/>
      <c r="D412" s="10"/>
      <c r="E412" s="12"/>
      <c r="F412" s="6"/>
      <c r="G412" s="6"/>
    </row>
    <row r="413" spans="1:7" ht="60" customHeight="1">
      <c r="A413" s="7"/>
      <c r="B413" s="6"/>
      <c r="C413" s="6"/>
      <c r="D413" s="10"/>
      <c r="E413" s="12"/>
      <c r="F413" s="6"/>
      <c r="G413" s="6"/>
    </row>
    <row r="414" spans="1:7" ht="60" customHeight="1">
      <c r="A414" s="7"/>
      <c r="B414" s="6"/>
      <c r="C414" s="6"/>
      <c r="D414" s="10"/>
      <c r="E414" s="12"/>
      <c r="F414" s="6"/>
      <c r="G414" s="6"/>
    </row>
    <row r="415" spans="1:7" ht="60" customHeight="1">
      <c r="A415" s="7"/>
      <c r="B415" s="6"/>
      <c r="C415" s="6"/>
      <c r="D415" s="10"/>
      <c r="E415" s="12"/>
      <c r="F415" s="6"/>
      <c r="G415" s="6"/>
    </row>
    <row r="416" spans="1:7" ht="60" customHeight="1">
      <c r="A416" s="7"/>
      <c r="B416" s="6"/>
      <c r="C416" s="6"/>
      <c r="D416" s="10"/>
      <c r="E416" s="12"/>
      <c r="F416" s="6"/>
      <c r="G416" s="6"/>
    </row>
    <row r="417" spans="1:7" ht="60" customHeight="1">
      <c r="A417" s="7"/>
      <c r="B417" s="6"/>
      <c r="C417" s="6"/>
      <c r="D417" s="10"/>
      <c r="E417" s="12"/>
      <c r="F417" s="6"/>
      <c r="G417" s="6"/>
    </row>
    <row r="418" spans="1:7" ht="60" customHeight="1">
      <c r="A418" s="7"/>
      <c r="B418" s="6"/>
      <c r="C418" s="6"/>
      <c r="D418" s="10"/>
      <c r="E418" s="12"/>
      <c r="F418" s="6"/>
      <c r="G418" s="6"/>
    </row>
    <row r="419" spans="1:7" ht="60" customHeight="1">
      <c r="A419" s="7"/>
      <c r="B419" s="6"/>
      <c r="C419" s="6"/>
      <c r="D419" s="10"/>
      <c r="E419" s="12"/>
      <c r="F419" s="6"/>
      <c r="G419" s="6"/>
    </row>
    <row r="420" spans="1:7" ht="60" customHeight="1">
      <c r="A420" s="7"/>
      <c r="B420" s="6"/>
      <c r="C420" s="6"/>
      <c r="D420" s="10"/>
      <c r="E420" s="12"/>
      <c r="F420" s="6"/>
      <c r="G420" s="6"/>
    </row>
    <row r="421" spans="1:7" ht="60" customHeight="1">
      <c r="A421" s="7"/>
      <c r="B421" s="6"/>
      <c r="C421" s="6"/>
      <c r="D421" s="10"/>
      <c r="E421" s="12"/>
      <c r="F421" s="6"/>
      <c r="G421" s="6"/>
    </row>
    <row r="422" spans="1:7" ht="60" customHeight="1">
      <c r="A422" s="7"/>
      <c r="B422" s="6"/>
      <c r="C422" s="6"/>
      <c r="D422" s="10"/>
      <c r="E422" s="12"/>
      <c r="F422" s="6"/>
      <c r="G422" s="6"/>
    </row>
    <row r="423" spans="1:7" ht="60" customHeight="1">
      <c r="A423" s="7"/>
      <c r="B423" s="6"/>
      <c r="C423" s="6"/>
      <c r="D423" s="10"/>
      <c r="E423" s="12"/>
      <c r="F423" s="6"/>
      <c r="G423" s="6"/>
    </row>
    <row r="424" spans="1:7" ht="60" customHeight="1">
      <c r="A424" s="7"/>
      <c r="B424" s="6"/>
      <c r="C424" s="6"/>
      <c r="D424" s="10"/>
      <c r="E424" s="12"/>
      <c r="F424" s="6"/>
      <c r="G424" s="6"/>
    </row>
    <row r="425" spans="1:7" ht="60" customHeight="1">
      <c r="A425" s="7"/>
      <c r="B425" s="6"/>
      <c r="C425" s="6"/>
      <c r="D425" s="10"/>
      <c r="E425" s="12"/>
      <c r="F425" s="6"/>
      <c r="G425" s="6"/>
    </row>
    <row r="426" spans="1:7" ht="60" customHeight="1">
      <c r="A426" s="7"/>
      <c r="B426" s="6"/>
      <c r="C426" s="6"/>
      <c r="D426" s="10"/>
      <c r="E426" s="12"/>
      <c r="F426" s="6"/>
      <c r="G426" s="6"/>
    </row>
    <row r="427" spans="1:7" ht="60" customHeight="1">
      <c r="A427" s="7"/>
      <c r="B427" s="6"/>
      <c r="C427" s="6"/>
      <c r="D427" s="10"/>
      <c r="E427" s="12"/>
      <c r="F427" s="6"/>
      <c r="G427" s="6"/>
    </row>
    <row r="428" spans="1:7" ht="60" customHeight="1">
      <c r="A428" s="7"/>
      <c r="B428" s="6"/>
      <c r="C428" s="6"/>
      <c r="D428" s="10"/>
      <c r="E428" s="12"/>
      <c r="F428" s="6"/>
      <c r="G428" s="6"/>
    </row>
    <row r="429" spans="1:7" ht="60" customHeight="1">
      <c r="A429" s="7"/>
      <c r="B429" s="6"/>
      <c r="C429" s="6"/>
      <c r="D429" s="10"/>
      <c r="E429" s="12"/>
      <c r="F429" s="6"/>
      <c r="G429" s="6"/>
    </row>
    <row r="430" spans="1:7" ht="60" customHeight="1">
      <c r="A430" s="7"/>
      <c r="B430" s="6"/>
      <c r="C430" s="6"/>
      <c r="D430" s="10"/>
      <c r="E430" s="12"/>
      <c r="F430" s="6"/>
      <c r="G430" s="6"/>
    </row>
    <row r="431" spans="1:7" ht="60" customHeight="1">
      <c r="A431" s="7"/>
      <c r="B431" s="6"/>
      <c r="C431" s="6"/>
      <c r="D431" s="10"/>
      <c r="E431" s="12"/>
      <c r="F431" s="6"/>
      <c r="G431" s="6"/>
    </row>
    <row r="432" spans="1:7" ht="60" customHeight="1">
      <c r="A432" s="7"/>
      <c r="B432" s="6"/>
      <c r="C432" s="6"/>
      <c r="D432" s="10"/>
      <c r="E432" s="12"/>
      <c r="F432" s="6"/>
      <c r="G432" s="6"/>
    </row>
    <row r="433" spans="1:7" ht="60" customHeight="1">
      <c r="A433" s="7"/>
      <c r="B433" s="6"/>
      <c r="C433" s="6"/>
      <c r="D433" s="10"/>
      <c r="E433" s="12"/>
      <c r="F433" s="6"/>
      <c r="G433" s="6"/>
    </row>
    <row r="434" spans="1:7" ht="60" customHeight="1">
      <c r="A434" s="7"/>
      <c r="B434" s="6"/>
      <c r="C434" s="6"/>
      <c r="D434" s="10"/>
      <c r="E434" s="12"/>
      <c r="F434" s="6"/>
      <c r="G434" s="6"/>
    </row>
    <row r="435" spans="1:7" ht="60" customHeight="1">
      <c r="A435" s="7"/>
      <c r="B435" s="6"/>
      <c r="C435" s="6"/>
      <c r="D435" s="10"/>
      <c r="E435" s="12"/>
      <c r="F435" s="6"/>
      <c r="G435" s="6"/>
    </row>
    <row r="436" spans="1:7" ht="60" customHeight="1">
      <c r="A436" s="7"/>
      <c r="B436" s="6"/>
      <c r="C436" s="6"/>
      <c r="D436" s="10"/>
      <c r="E436" s="12"/>
      <c r="F436" s="6"/>
      <c r="G436" s="6"/>
    </row>
    <row r="437" spans="1:7" ht="60" customHeight="1">
      <c r="A437" s="7"/>
      <c r="B437" s="6"/>
      <c r="C437" s="6"/>
      <c r="D437" s="10"/>
      <c r="E437" s="12"/>
      <c r="F437" s="6"/>
      <c r="G437" s="6"/>
    </row>
    <row r="438" spans="1:7" ht="60" customHeight="1">
      <c r="A438" s="7"/>
      <c r="B438" s="6"/>
      <c r="C438" s="6"/>
      <c r="D438" s="10"/>
      <c r="E438" s="12"/>
      <c r="F438" s="6"/>
      <c r="G438" s="6"/>
    </row>
    <row r="439" spans="1:7" ht="60" customHeight="1">
      <c r="A439" s="7"/>
      <c r="B439" s="6"/>
      <c r="C439" s="6"/>
      <c r="D439" s="10"/>
      <c r="E439" s="12"/>
      <c r="F439" s="6"/>
      <c r="G439" s="6"/>
    </row>
    <row r="440" spans="1:7" ht="60" customHeight="1">
      <c r="A440" s="7"/>
      <c r="B440" s="6"/>
      <c r="C440" s="6"/>
      <c r="D440" s="10"/>
      <c r="E440" s="12"/>
      <c r="F440" s="6"/>
      <c r="G440" s="6"/>
    </row>
    <row r="441" spans="1:7" ht="60" customHeight="1">
      <c r="A441" s="7"/>
      <c r="B441" s="6"/>
      <c r="C441" s="6"/>
      <c r="D441" s="10"/>
      <c r="E441" s="12"/>
      <c r="F441" s="6"/>
      <c r="G441" s="6"/>
    </row>
    <row r="442" spans="1:7" ht="60" customHeight="1">
      <c r="A442" s="7"/>
      <c r="B442" s="6"/>
      <c r="C442" s="6"/>
      <c r="D442" s="10"/>
      <c r="E442" s="12"/>
      <c r="F442" s="6"/>
      <c r="G442" s="6"/>
    </row>
    <row r="443" spans="1:7" ht="60" customHeight="1">
      <c r="A443" s="7"/>
      <c r="B443" s="6"/>
      <c r="C443" s="6"/>
      <c r="D443" s="10"/>
      <c r="E443" s="12"/>
      <c r="F443" s="6"/>
      <c r="G443" s="6"/>
    </row>
    <row r="444" spans="1:7" ht="60" customHeight="1">
      <c r="A444" s="7"/>
      <c r="B444" s="6"/>
      <c r="C444" s="6"/>
      <c r="D444" s="10"/>
      <c r="E444" s="12"/>
      <c r="F444" s="6"/>
      <c r="G444" s="6"/>
    </row>
    <row r="445" spans="1:7" ht="60" customHeight="1">
      <c r="A445" s="7"/>
      <c r="B445" s="6"/>
      <c r="C445" s="6"/>
      <c r="D445" s="10"/>
      <c r="E445" s="12"/>
      <c r="F445" s="6"/>
      <c r="G445" s="6"/>
    </row>
    <row r="446" spans="1:7" ht="60" customHeight="1">
      <c r="A446" s="7"/>
      <c r="B446" s="6"/>
      <c r="C446" s="6"/>
      <c r="D446" s="10"/>
      <c r="E446" s="12"/>
      <c r="F446" s="6"/>
      <c r="G446" s="6"/>
    </row>
    <row r="447" spans="1:7" ht="60" customHeight="1">
      <c r="A447" s="7"/>
      <c r="B447" s="6"/>
      <c r="C447" s="6"/>
      <c r="D447" s="10"/>
      <c r="E447" s="12"/>
      <c r="F447" s="6"/>
      <c r="G447" s="6"/>
    </row>
    <row r="448" spans="1:7" ht="60" customHeight="1">
      <c r="A448" s="7"/>
      <c r="B448" s="6"/>
      <c r="C448" s="6"/>
      <c r="D448" s="10"/>
      <c r="E448" s="12"/>
      <c r="F448" s="6"/>
      <c r="G448" s="6"/>
    </row>
    <row r="449" spans="1:7" ht="60" customHeight="1">
      <c r="A449" s="7"/>
      <c r="B449" s="6"/>
      <c r="C449" s="6"/>
      <c r="D449" s="10"/>
      <c r="E449" s="12"/>
      <c r="F449" s="6"/>
      <c r="G449" s="6"/>
    </row>
    <row r="450" spans="1:7" ht="60" customHeight="1">
      <c r="A450" s="7"/>
      <c r="B450" s="6"/>
      <c r="C450" s="6"/>
      <c r="D450" s="10"/>
      <c r="E450" s="12"/>
      <c r="F450" s="6"/>
      <c r="G450" s="6"/>
    </row>
    <row r="451" spans="1:7" ht="60" customHeight="1">
      <c r="A451" s="7"/>
      <c r="B451" s="6"/>
      <c r="C451" s="6"/>
      <c r="D451" s="10"/>
      <c r="E451" s="12"/>
      <c r="F451" s="6"/>
      <c r="G451" s="6"/>
    </row>
    <row r="452" spans="1:7" ht="60" customHeight="1">
      <c r="A452" s="7"/>
      <c r="B452" s="6"/>
      <c r="C452" s="6"/>
      <c r="D452" s="10"/>
      <c r="E452" s="12"/>
      <c r="F452" s="6"/>
      <c r="G452" s="6"/>
    </row>
    <row r="453" spans="1:7" ht="60" customHeight="1">
      <c r="A453" s="7"/>
      <c r="B453" s="6"/>
      <c r="C453" s="6"/>
      <c r="D453" s="10"/>
      <c r="E453" s="12"/>
      <c r="F453" s="6"/>
      <c r="G453" s="6"/>
    </row>
    <row r="454" spans="1:7" ht="60" customHeight="1">
      <c r="A454" s="7"/>
      <c r="B454" s="6"/>
      <c r="C454" s="6"/>
      <c r="D454" s="10"/>
      <c r="E454" s="12"/>
      <c r="F454" s="6"/>
      <c r="G454" s="6"/>
    </row>
    <row r="455" spans="1:7" ht="60" customHeight="1">
      <c r="A455" s="7"/>
      <c r="B455" s="6"/>
      <c r="C455" s="6"/>
      <c r="D455" s="10"/>
      <c r="E455" s="12"/>
      <c r="F455" s="6"/>
      <c r="G455" s="6"/>
    </row>
    <row r="456" spans="1:7" ht="60" customHeight="1">
      <c r="A456" s="7"/>
      <c r="B456" s="6"/>
      <c r="C456" s="6"/>
      <c r="D456" s="10"/>
      <c r="E456" s="12"/>
      <c r="F456" s="6"/>
      <c r="G456" s="6"/>
    </row>
    <row r="457" spans="1:7" ht="60" customHeight="1">
      <c r="A457" s="7"/>
      <c r="B457" s="6"/>
      <c r="C457" s="6"/>
      <c r="D457" s="10"/>
      <c r="E457" s="12"/>
      <c r="F457" s="6"/>
      <c r="G457" s="6"/>
    </row>
    <row r="458" spans="1:7" ht="60" customHeight="1">
      <c r="A458" s="7"/>
      <c r="B458" s="6"/>
      <c r="C458" s="6"/>
      <c r="D458" s="10"/>
      <c r="E458" s="12"/>
      <c r="F458" s="6"/>
      <c r="G458" s="6"/>
    </row>
    <row r="459" spans="1:7" ht="60" customHeight="1">
      <c r="A459" s="7"/>
      <c r="B459" s="6"/>
      <c r="C459" s="6"/>
      <c r="D459" s="10"/>
      <c r="E459" s="12"/>
      <c r="F459" s="6"/>
      <c r="G459" s="6"/>
    </row>
    <row r="460" spans="1:7" ht="60" customHeight="1">
      <c r="A460" s="7"/>
      <c r="B460" s="6"/>
      <c r="C460" s="6"/>
      <c r="D460" s="10"/>
      <c r="E460" s="12"/>
      <c r="F460" s="6"/>
      <c r="G460" s="6"/>
    </row>
    <row r="461" spans="1:7" ht="60" customHeight="1">
      <c r="A461" s="7"/>
      <c r="B461" s="6"/>
      <c r="C461" s="6"/>
      <c r="D461" s="10"/>
      <c r="E461" s="12"/>
      <c r="F461" s="6"/>
      <c r="G461" s="6"/>
    </row>
    <row r="462" spans="1:7" ht="60" customHeight="1">
      <c r="A462" s="7"/>
      <c r="B462" s="6"/>
      <c r="C462" s="6"/>
      <c r="D462" s="10"/>
      <c r="E462" s="12"/>
      <c r="F462" s="6"/>
      <c r="G462" s="6"/>
    </row>
    <row r="463" spans="1:7" ht="60" customHeight="1">
      <c r="A463" s="7"/>
      <c r="B463" s="6"/>
      <c r="C463" s="6"/>
      <c r="D463" s="10"/>
      <c r="E463" s="12"/>
      <c r="F463" s="6"/>
      <c r="G463" s="6"/>
    </row>
    <row r="464" spans="1:7" ht="60" customHeight="1">
      <c r="A464" s="7"/>
      <c r="B464" s="6"/>
      <c r="C464" s="6"/>
      <c r="D464" s="10"/>
      <c r="E464" s="12"/>
      <c r="F464" s="6"/>
      <c r="G464" s="6"/>
    </row>
    <row r="465" spans="1:7" ht="60" customHeight="1">
      <c r="A465" s="7"/>
      <c r="B465" s="6"/>
      <c r="C465" s="6"/>
      <c r="D465" s="10"/>
      <c r="E465" s="12"/>
      <c r="F465" s="6"/>
      <c r="G465" s="6"/>
    </row>
    <row r="466" spans="1:7" ht="60" customHeight="1">
      <c r="A466" s="7"/>
      <c r="B466" s="6"/>
      <c r="C466" s="6"/>
      <c r="D466" s="10"/>
      <c r="E466" s="12"/>
      <c r="F466" s="6"/>
      <c r="G466" s="6"/>
    </row>
    <row r="467" spans="1:7" ht="60" customHeight="1">
      <c r="A467" s="7"/>
      <c r="B467" s="6"/>
      <c r="C467" s="6"/>
      <c r="D467" s="10"/>
      <c r="E467" s="12"/>
      <c r="F467" s="6"/>
      <c r="G467" s="6"/>
    </row>
    <row r="468" spans="1:7" ht="60" customHeight="1">
      <c r="A468" s="7"/>
      <c r="B468" s="6"/>
      <c r="C468" s="6"/>
      <c r="D468" s="10"/>
      <c r="E468" s="12"/>
      <c r="F468" s="6"/>
      <c r="G468" s="6"/>
    </row>
    <row r="469" spans="1:7" ht="60" customHeight="1">
      <c r="A469" s="7"/>
      <c r="B469" s="6"/>
      <c r="C469" s="6"/>
      <c r="D469" s="10"/>
      <c r="E469" s="12"/>
      <c r="F469" s="6"/>
      <c r="G469" s="6"/>
    </row>
    <row r="470" spans="1:7" ht="60" customHeight="1">
      <c r="A470" s="7"/>
      <c r="B470" s="6"/>
      <c r="C470" s="6"/>
      <c r="D470" s="10"/>
      <c r="E470" s="12"/>
      <c r="F470" s="6"/>
      <c r="G470" s="6"/>
    </row>
    <row r="471" spans="1:7" ht="60" customHeight="1">
      <c r="A471" s="7"/>
      <c r="B471" s="6"/>
      <c r="C471" s="6"/>
      <c r="D471" s="10"/>
      <c r="E471" s="12"/>
      <c r="F471" s="6"/>
      <c r="G471" s="6"/>
    </row>
    <row r="472" spans="1:7" ht="60" customHeight="1">
      <c r="A472" s="7"/>
      <c r="B472" s="6"/>
      <c r="C472" s="6"/>
      <c r="D472" s="10"/>
      <c r="E472" s="12"/>
      <c r="F472" s="6"/>
      <c r="G472" s="6"/>
    </row>
    <row r="473" spans="1:7" ht="60" customHeight="1">
      <c r="A473" s="7"/>
      <c r="B473" s="6"/>
      <c r="C473" s="6"/>
      <c r="D473" s="10"/>
      <c r="E473" s="12"/>
      <c r="F473" s="6"/>
      <c r="G473" s="6"/>
    </row>
    <row r="474" spans="1:7" ht="60" customHeight="1">
      <c r="A474" s="7"/>
      <c r="B474" s="6"/>
      <c r="C474" s="6"/>
      <c r="D474" s="10"/>
      <c r="E474" s="12"/>
      <c r="F474" s="6"/>
      <c r="G474" s="6"/>
    </row>
    <row r="475" spans="1:7" ht="60" customHeight="1">
      <c r="A475" s="7"/>
      <c r="B475" s="6"/>
      <c r="C475" s="6"/>
      <c r="D475" s="10"/>
      <c r="E475" s="12"/>
      <c r="F475" s="6"/>
      <c r="G475" s="6"/>
    </row>
    <row r="476" spans="1:7" ht="60" customHeight="1">
      <c r="A476" s="7"/>
      <c r="B476" s="6"/>
      <c r="C476" s="6"/>
      <c r="D476" s="10"/>
      <c r="E476" s="12"/>
      <c r="F476" s="6"/>
      <c r="G476" s="6"/>
    </row>
    <row r="477" spans="1:7" ht="60" customHeight="1">
      <c r="A477" s="7"/>
      <c r="B477" s="6"/>
      <c r="C477" s="6"/>
      <c r="D477" s="10"/>
      <c r="E477" s="12"/>
      <c r="F477" s="6"/>
      <c r="G477" s="6"/>
    </row>
    <row r="478" spans="1:7" ht="60" customHeight="1">
      <c r="A478" s="7"/>
      <c r="B478" s="6"/>
      <c r="C478" s="6"/>
      <c r="D478" s="10"/>
      <c r="E478" s="12"/>
      <c r="F478" s="6"/>
      <c r="G478" s="6"/>
    </row>
    <row r="479" spans="1:7" ht="60" customHeight="1">
      <c r="A479" s="7"/>
      <c r="B479" s="6"/>
      <c r="C479" s="6"/>
      <c r="D479" s="10"/>
      <c r="E479" s="12"/>
      <c r="F479" s="6"/>
      <c r="G479" s="6"/>
    </row>
    <row r="480" spans="1:7" ht="60" customHeight="1">
      <c r="A480" s="7"/>
      <c r="B480" s="6"/>
      <c r="C480" s="6"/>
      <c r="D480" s="10"/>
      <c r="E480" s="12"/>
      <c r="F480" s="6"/>
      <c r="G480" s="6"/>
    </row>
    <row r="481" spans="1:7" ht="60" customHeight="1">
      <c r="A481" s="7"/>
      <c r="B481" s="6"/>
      <c r="C481" s="6"/>
      <c r="D481" s="10"/>
      <c r="E481" s="12"/>
      <c r="F481" s="6"/>
      <c r="G481" s="6"/>
    </row>
    <row r="482" spans="1:7" ht="60" customHeight="1">
      <c r="A482" s="7"/>
      <c r="B482" s="6"/>
      <c r="C482" s="6"/>
      <c r="D482" s="10"/>
      <c r="E482" s="12"/>
      <c r="F482" s="6"/>
      <c r="G482" s="6"/>
    </row>
    <row r="483" spans="1:7" ht="60" customHeight="1">
      <c r="A483" s="7"/>
      <c r="B483" s="6"/>
      <c r="C483" s="6"/>
      <c r="D483" s="10"/>
      <c r="E483" s="12"/>
      <c r="F483" s="6"/>
      <c r="G483" s="6"/>
    </row>
    <row r="484" spans="1:7" ht="60" customHeight="1">
      <c r="A484" s="7"/>
      <c r="B484" s="6"/>
      <c r="C484" s="6"/>
      <c r="D484" s="10"/>
      <c r="E484" s="12"/>
      <c r="F484" s="6"/>
      <c r="G484" s="6"/>
    </row>
    <row r="485" spans="1:7" ht="60" customHeight="1">
      <c r="A485" s="7"/>
      <c r="B485" s="6"/>
      <c r="C485" s="6"/>
      <c r="D485" s="10"/>
      <c r="E485" s="12"/>
      <c r="F485" s="6"/>
      <c r="G485" s="6"/>
    </row>
    <row r="486" spans="1:7" ht="60" customHeight="1">
      <c r="A486" s="7"/>
      <c r="B486" s="6"/>
      <c r="C486" s="6"/>
      <c r="D486" s="10"/>
      <c r="E486" s="12"/>
      <c r="F486" s="6"/>
      <c r="G486" s="6"/>
    </row>
    <row r="487" spans="1:7" ht="60" customHeight="1">
      <c r="A487" s="7"/>
      <c r="B487" s="6"/>
      <c r="C487" s="6"/>
      <c r="D487" s="10"/>
      <c r="E487" s="12"/>
      <c r="F487" s="6"/>
      <c r="G487" s="6"/>
    </row>
    <row r="488" spans="1:7" ht="60" customHeight="1">
      <c r="A488" s="7"/>
      <c r="B488" s="6"/>
      <c r="C488" s="6"/>
      <c r="D488" s="10"/>
      <c r="E488" s="12"/>
      <c r="F488" s="6"/>
      <c r="G488" s="6"/>
    </row>
    <row r="489" spans="1:7" ht="60" customHeight="1">
      <c r="A489" s="7"/>
      <c r="B489" s="6"/>
      <c r="C489" s="6"/>
      <c r="D489" s="10"/>
      <c r="E489" s="12"/>
      <c r="F489" s="6"/>
      <c r="G489" s="6"/>
    </row>
    <row r="490" spans="1:7" ht="60" customHeight="1">
      <c r="A490" s="7"/>
      <c r="B490" s="6"/>
      <c r="C490" s="6"/>
      <c r="D490" s="10"/>
      <c r="E490" s="12"/>
      <c r="F490" s="6"/>
      <c r="G490" s="6"/>
    </row>
    <row r="491" spans="1:7" ht="60" customHeight="1">
      <c r="A491" s="7"/>
      <c r="B491" s="6"/>
      <c r="C491" s="6"/>
      <c r="D491" s="10"/>
      <c r="E491" s="12"/>
      <c r="F491" s="6"/>
      <c r="G491" s="6"/>
    </row>
    <row r="492" spans="1:7" ht="60" customHeight="1">
      <c r="A492" s="7"/>
      <c r="B492" s="6"/>
      <c r="C492" s="6"/>
      <c r="D492" s="10"/>
      <c r="E492" s="12"/>
      <c r="F492" s="6"/>
      <c r="G492" s="6"/>
    </row>
    <row r="493" spans="1:7" ht="60" customHeight="1">
      <c r="A493" s="7"/>
      <c r="B493" s="6"/>
      <c r="C493" s="6"/>
      <c r="D493" s="10"/>
      <c r="E493" s="12"/>
      <c r="F493" s="6"/>
      <c r="G493" s="6"/>
    </row>
    <row r="494" spans="1:7" ht="60" customHeight="1">
      <c r="A494" s="7"/>
      <c r="B494" s="6"/>
      <c r="C494" s="6"/>
      <c r="D494" s="10"/>
      <c r="E494" s="12"/>
      <c r="F494" s="6"/>
      <c r="G494" s="6"/>
    </row>
    <row r="495" spans="1:7" ht="60" customHeight="1">
      <c r="A495" s="7"/>
      <c r="B495" s="6"/>
      <c r="C495" s="6"/>
      <c r="D495" s="10"/>
      <c r="E495" s="12"/>
      <c r="F495" s="6"/>
      <c r="G495" s="6"/>
    </row>
    <row r="496" spans="1:7" ht="60" customHeight="1">
      <c r="A496" s="7"/>
      <c r="B496" s="6"/>
      <c r="C496" s="6"/>
      <c r="D496" s="10"/>
      <c r="E496" s="12"/>
      <c r="F496" s="6"/>
      <c r="G496" s="6"/>
    </row>
    <row r="497" spans="1:7" ht="60" customHeight="1">
      <c r="A497" s="7"/>
      <c r="B497" s="6"/>
      <c r="C497" s="6"/>
      <c r="D497" s="10"/>
      <c r="E497" s="12"/>
      <c r="F497" s="6"/>
      <c r="G497" s="6"/>
    </row>
    <row r="498" spans="1:7" ht="60" customHeight="1">
      <c r="A498" s="7"/>
      <c r="B498" s="6"/>
      <c r="C498" s="6"/>
      <c r="D498" s="10"/>
      <c r="E498" s="12"/>
      <c r="F498" s="6"/>
      <c r="G498" s="6"/>
    </row>
    <row r="499" spans="1:7" ht="60" customHeight="1">
      <c r="A499" s="7"/>
      <c r="B499" s="6"/>
      <c r="C499" s="6"/>
      <c r="D499" s="10"/>
      <c r="E499" s="12"/>
      <c r="F499" s="6"/>
      <c r="G499" s="6"/>
    </row>
    <row r="500" spans="1:7" ht="60" customHeight="1">
      <c r="A500" s="7"/>
      <c r="B500" s="6"/>
      <c r="C500" s="6"/>
      <c r="D500" s="10"/>
      <c r="E500" s="12"/>
      <c r="F500" s="6"/>
      <c r="G500" s="6"/>
    </row>
    <row r="501" spans="1:7" ht="60" customHeight="1">
      <c r="A501" s="7"/>
      <c r="B501" s="6"/>
      <c r="C501" s="6"/>
      <c r="D501" s="10"/>
      <c r="E501" s="12"/>
      <c r="F501" s="6"/>
      <c r="G501" s="6"/>
    </row>
    <row r="502" spans="1:7" ht="60" customHeight="1">
      <c r="A502" s="7"/>
      <c r="B502" s="6"/>
      <c r="C502" s="6"/>
      <c r="D502" s="10"/>
      <c r="E502" s="12"/>
      <c r="F502" s="6"/>
      <c r="G502" s="6"/>
    </row>
    <row r="503" spans="1:7" ht="60" customHeight="1">
      <c r="A503" s="7"/>
      <c r="B503" s="6"/>
      <c r="C503" s="6"/>
      <c r="D503" s="10"/>
      <c r="E503" s="12"/>
      <c r="F503" s="6"/>
      <c r="G503" s="6"/>
    </row>
    <row r="504" spans="1:7" ht="60" customHeight="1">
      <c r="A504" s="7"/>
      <c r="B504" s="6"/>
      <c r="C504" s="6"/>
      <c r="D504" s="10"/>
      <c r="E504" s="12"/>
      <c r="F504" s="6"/>
      <c r="G504" s="6"/>
    </row>
    <row r="505" spans="1:7" ht="60" customHeight="1">
      <c r="A505" s="7"/>
      <c r="B505" s="6"/>
      <c r="C505" s="6"/>
      <c r="D505" s="10"/>
      <c r="E505" s="12"/>
      <c r="F505" s="6"/>
      <c r="G505" s="6"/>
    </row>
    <row r="506" spans="1:7" ht="60" customHeight="1">
      <c r="A506" s="7"/>
      <c r="B506" s="6"/>
      <c r="C506" s="6"/>
      <c r="D506" s="10"/>
      <c r="E506" s="12"/>
      <c r="F506" s="6"/>
      <c r="G506" s="6"/>
    </row>
    <row r="507" spans="1:7" ht="60" customHeight="1">
      <c r="A507" s="7"/>
      <c r="B507" s="6"/>
      <c r="C507" s="6"/>
      <c r="D507" s="10"/>
      <c r="E507" s="12"/>
      <c r="F507" s="6"/>
      <c r="G507" s="6"/>
    </row>
    <row r="508" spans="1:7" ht="60" customHeight="1">
      <c r="A508" s="7"/>
      <c r="B508" s="6"/>
      <c r="C508" s="6"/>
      <c r="D508" s="10"/>
      <c r="E508" s="12"/>
      <c r="F508" s="6"/>
      <c r="G508" s="6"/>
    </row>
    <row r="509" spans="1:7" ht="60" customHeight="1">
      <c r="A509" s="7"/>
      <c r="B509" s="6"/>
      <c r="C509" s="6"/>
      <c r="D509" s="10"/>
      <c r="E509" s="12"/>
      <c r="F509" s="6"/>
      <c r="G509" s="6"/>
    </row>
    <row r="510" spans="1:7" ht="60" customHeight="1">
      <c r="A510" s="7"/>
      <c r="B510" s="6"/>
      <c r="C510" s="6"/>
      <c r="D510" s="10"/>
      <c r="E510" s="12"/>
      <c r="F510" s="6"/>
      <c r="G510" s="6"/>
    </row>
    <row r="511" spans="1:7" ht="60" customHeight="1">
      <c r="A511" s="7"/>
      <c r="B511" s="6"/>
      <c r="C511" s="6"/>
      <c r="D511" s="10"/>
      <c r="E511" s="12"/>
      <c r="F511" s="6"/>
      <c r="G511" s="6"/>
    </row>
    <row r="512" spans="1:7" ht="60" customHeight="1">
      <c r="A512" s="7"/>
      <c r="B512" s="6"/>
      <c r="C512" s="6"/>
      <c r="D512" s="10"/>
      <c r="E512" s="12"/>
      <c r="F512" s="6"/>
      <c r="G512" s="6"/>
    </row>
    <row r="513" spans="1:7" ht="60" customHeight="1">
      <c r="A513" s="7"/>
      <c r="B513" s="6"/>
      <c r="C513" s="6"/>
      <c r="D513" s="10"/>
      <c r="E513" s="12"/>
      <c r="F513" s="6"/>
      <c r="G513" s="6"/>
    </row>
    <row r="514" spans="1:7" ht="60" customHeight="1">
      <c r="A514" s="7"/>
      <c r="B514" s="6"/>
      <c r="C514" s="6"/>
      <c r="D514" s="10"/>
      <c r="E514" s="12"/>
      <c r="F514" s="6"/>
      <c r="G514" s="6"/>
    </row>
    <row r="515" spans="1:7" ht="60" customHeight="1">
      <c r="A515" s="7"/>
      <c r="B515" s="6"/>
      <c r="C515" s="6"/>
      <c r="D515" s="10"/>
      <c r="E515" s="12"/>
      <c r="F515" s="6"/>
      <c r="G515" s="6"/>
    </row>
    <row r="516" spans="1:7" ht="60" customHeight="1">
      <c r="A516" s="7"/>
      <c r="B516" s="6"/>
      <c r="C516" s="6"/>
      <c r="D516" s="10"/>
      <c r="E516" s="12"/>
      <c r="F516" s="6"/>
      <c r="G516" s="6"/>
    </row>
    <row r="517" spans="1:7" ht="60" customHeight="1">
      <c r="A517" s="7"/>
      <c r="B517" s="6"/>
      <c r="C517" s="6"/>
      <c r="D517" s="10"/>
      <c r="E517" s="12"/>
      <c r="F517" s="6"/>
      <c r="G517" s="6"/>
    </row>
    <row r="518" spans="1:7" ht="60" customHeight="1">
      <c r="A518" s="7"/>
      <c r="B518" s="6"/>
      <c r="C518" s="6"/>
      <c r="D518" s="10"/>
      <c r="E518" s="12"/>
      <c r="F518" s="6"/>
      <c r="G518" s="6"/>
    </row>
    <row r="519" spans="1:7" ht="60" customHeight="1">
      <c r="A519" s="7"/>
      <c r="B519" s="6"/>
      <c r="C519" s="6"/>
      <c r="D519" s="10"/>
      <c r="E519" s="12"/>
      <c r="F519" s="6"/>
      <c r="G519" s="6"/>
    </row>
    <row r="520" spans="1:7" ht="60" customHeight="1">
      <c r="A520" s="7"/>
      <c r="B520" s="6"/>
      <c r="C520" s="6"/>
      <c r="D520" s="10"/>
      <c r="E520" s="12"/>
      <c r="F520" s="6"/>
      <c r="G520" s="6"/>
    </row>
    <row r="521" spans="1:7" ht="60" customHeight="1">
      <c r="A521" s="7"/>
      <c r="B521" s="6"/>
      <c r="C521" s="6"/>
      <c r="D521" s="10"/>
      <c r="E521" s="12"/>
      <c r="F521" s="6"/>
      <c r="G521" s="6"/>
    </row>
    <row r="522" spans="1:7" ht="60" customHeight="1">
      <c r="A522" s="7"/>
      <c r="B522" s="6"/>
      <c r="C522" s="6"/>
      <c r="D522" s="10"/>
      <c r="E522" s="12"/>
      <c r="F522" s="6"/>
      <c r="G522" s="6"/>
    </row>
    <row r="523" spans="1:7" ht="60" customHeight="1">
      <c r="A523" s="7"/>
      <c r="B523" s="6"/>
      <c r="C523" s="6"/>
      <c r="D523" s="10"/>
      <c r="E523" s="12"/>
      <c r="F523" s="6"/>
      <c r="G523" s="6"/>
    </row>
    <row r="524" spans="1:7" ht="60" customHeight="1">
      <c r="A524" s="7"/>
      <c r="B524" s="6"/>
      <c r="C524" s="6"/>
      <c r="D524" s="10"/>
      <c r="E524" s="12"/>
      <c r="F524" s="6"/>
      <c r="G524" s="6"/>
    </row>
    <row r="525" spans="1:7" ht="60" customHeight="1">
      <c r="A525" s="7"/>
      <c r="B525" s="6"/>
      <c r="C525" s="6"/>
      <c r="D525" s="10"/>
      <c r="E525" s="12"/>
      <c r="F525" s="6"/>
      <c r="G525" s="6"/>
    </row>
    <row r="526" spans="1:7" ht="60" customHeight="1">
      <c r="A526" s="7"/>
      <c r="B526" s="6"/>
      <c r="C526" s="6"/>
      <c r="D526" s="10"/>
      <c r="E526" s="12"/>
      <c r="F526" s="6"/>
      <c r="G526" s="6"/>
    </row>
    <row r="527" spans="1:7" ht="60" customHeight="1">
      <c r="A527" s="7"/>
      <c r="B527" s="6"/>
      <c r="C527" s="6"/>
      <c r="D527" s="10"/>
      <c r="E527" s="12"/>
      <c r="F527" s="6"/>
      <c r="G527" s="6"/>
    </row>
    <row r="528" spans="1:7" ht="60" customHeight="1">
      <c r="A528" s="7"/>
      <c r="B528" s="6"/>
      <c r="C528" s="6"/>
      <c r="D528" s="10"/>
      <c r="E528" s="12"/>
      <c r="F528" s="6"/>
      <c r="G528" s="6"/>
    </row>
    <row r="529" spans="1:7" ht="60" customHeight="1">
      <c r="A529" s="7"/>
      <c r="B529" s="6"/>
      <c r="C529" s="6"/>
      <c r="D529" s="10"/>
      <c r="E529" s="12"/>
      <c r="F529" s="6"/>
      <c r="G529" s="6"/>
    </row>
    <row r="530" spans="1:7" ht="60" customHeight="1">
      <c r="A530" s="7"/>
      <c r="B530" s="6"/>
      <c r="C530" s="6"/>
      <c r="D530" s="10"/>
      <c r="E530" s="12"/>
      <c r="F530" s="6"/>
      <c r="G530" s="6"/>
    </row>
    <row r="531" spans="1:7" ht="60" customHeight="1">
      <c r="A531" s="7"/>
      <c r="B531" s="6"/>
      <c r="C531" s="6"/>
      <c r="D531" s="10"/>
      <c r="E531" s="12"/>
      <c r="F531" s="6"/>
      <c r="G531" s="6"/>
    </row>
    <row r="532" spans="1:7" ht="60" customHeight="1">
      <c r="A532" s="7"/>
      <c r="B532" s="6"/>
      <c r="C532" s="6"/>
      <c r="D532" s="10"/>
      <c r="E532" s="12"/>
      <c r="F532" s="6"/>
      <c r="G532" s="6"/>
    </row>
    <row r="533" spans="1:7" ht="60" customHeight="1">
      <c r="A533" s="7"/>
      <c r="B533" s="6"/>
      <c r="C533" s="6"/>
      <c r="D533" s="10"/>
      <c r="E533" s="12"/>
      <c r="F533" s="6"/>
      <c r="G533" s="6"/>
    </row>
    <row r="534" spans="1:7" ht="60" customHeight="1">
      <c r="A534" s="7"/>
      <c r="B534" s="6"/>
      <c r="C534" s="6"/>
      <c r="D534" s="10"/>
      <c r="E534" s="12"/>
      <c r="F534" s="6"/>
      <c r="G534" s="6"/>
    </row>
    <row r="535" spans="1:7" ht="60" customHeight="1">
      <c r="A535" s="7"/>
      <c r="B535" s="6"/>
      <c r="C535" s="6"/>
      <c r="D535" s="10"/>
      <c r="E535" s="12"/>
      <c r="F535" s="6"/>
      <c r="G535" s="6"/>
    </row>
    <row r="536" spans="1:7" ht="60" customHeight="1">
      <c r="A536" s="7"/>
      <c r="B536" s="6"/>
      <c r="C536" s="6"/>
      <c r="D536" s="10"/>
      <c r="E536" s="12"/>
      <c r="F536" s="6"/>
      <c r="G536" s="6"/>
    </row>
    <row r="537" spans="1:7" ht="27.95" customHeight="1">
      <c r="A537" s="6"/>
      <c r="B537" s="6"/>
      <c r="C537" s="6"/>
      <c r="D537" s="6"/>
      <c r="E537" s="6"/>
      <c r="F537" s="6"/>
      <c r="G537" s="6"/>
    </row>
    <row r="538" spans="1:7" ht="27.95" customHeight="1">
      <c r="A538" s="6"/>
      <c r="B538" s="6"/>
      <c r="C538" s="6"/>
      <c r="D538" s="6"/>
      <c r="E538" s="6"/>
      <c r="F538" s="6"/>
      <c r="G538" s="6"/>
    </row>
    <row r="539" spans="1:7" ht="27.95" customHeight="1">
      <c r="A539" s="6"/>
      <c r="B539" s="6"/>
      <c r="C539" s="6"/>
      <c r="D539" s="6"/>
      <c r="E539" s="6"/>
      <c r="F539" s="6"/>
      <c r="G539" s="6"/>
    </row>
    <row r="540" spans="1:7" ht="27.95" customHeight="1">
      <c r="A540" s="6"/>
      <c r="B540" s="6"/>
      <c r="C540" s="6"/>
      <c r="D540" s="6"/>
      <c r="E540" s="6"/>
      <c r="F540" s="6"/>
      <c r="G540" s="6"/>
    </row>
    <row r="541" spans="1:7" ht="27.95" customHeight="1">
      <c r="A541" s="6"/>
      <c r="B541" s="6"/>
      <c r="C541" s="6"/>
      <c r="D541" s="6"/>
      <c r="E541" s="6"/>
      <c r="F541" s="6"/>
      <c r="G541" s="6"/>
    </row>
    <row r="542" spans="1:7" ht="27.95" customHeight="1">
      <c r="A542" s="6"/>
      <c r="B542" s="6"/>
      <c r="C542" s="6"/>
      <c r="D542" s="6"/>
      <c r="E542" s="6"/>
      <c r="F542" s="6"/>
      <c r="G542" s="6"/>
    </row>
    <row r="543" spans="1:7" ht="27.95" customHeight="1">
      <c r="A543" s="6"/>
      <c r="B543" s="6"/>
      <c r="C543" s="6"/>
      <c r="D543" s="6"/>
      <c r="E543" s="6"/>
      <c r="F543" s="6"/>
      <c r="G543" s="6"/>
    </row>
    <row r="544" spans="1:7" ht="27.95" customHeight="1">
      <c r="A544" s="6"/>
      <c r="B544" s="6"/>
      <c r="C544" s="6"/>
      <c r="D544" s="6"/>
      <c r="E544" s="6"/>
      <c r="F544" s="6"/>
      <c r="G544" s="6"/>
    </row>
  </sheetData>
  <mergeCells count="11">
    <mergeCell ref="A5:I5"/>
    <mergeCell ref="A6:I6"/>
    <mergeCell ref="A7:I7"/>
    <mergeCell ref="A31:I31"/>
    <mergeCell ref="A33:I33"/>
    <mergeCell ref="A34:I34"/>
    <mergeCell ref="A2:I2"/>
    <mergeCell ref="A3:I3"/>
    <mergeCell ref="A4:C4"/>
    <mergeCell ref="D4:F4"/>
    <mergeCell ref="G4:I4"/>
  </mergeCells>
  <dataValidations count="1">
    <dataValidation type="whole" sqref="D35" xr:uid="{00000000-0002-0000-0400-000000000000}">
      <formula1>1</formula1>
      <formula2>I35</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19A42"/>
  </sheetPr>
  <dimension ref="A1:BD509"/>
  <sheetViews>
    <sheetView showGridLines="0" workbookViewId="0">
      <pane xSplit="3" ySplit="9" topLeftCell="D10" activePane="bottomRight" state="frozen"/>
      <selection pane="topRight"/>
      <selection pane="bottomLeft"/>
      <selection pane="bottomRight" activeCell="D10" sqref="D10"/>
    </sheetView>
  </sheetViews>
  <sheetFormatPr defaultRowHeight="14.25"/>
  <cols>
    <col min="1" max="1" width="32" customWidth="1"/>
    <col min="2" max="2" width="17" customWidth="1"/>
    <col min="3" max="3" width="16" customWidth="1"/>
    <col min="4" max="5" width="26" customWidth="1"/>
    <col min="6" max="6" width="27" customWidth="1"/>
    <col min="7" max="7" width="19" customWidth="1"/>
    <col min="8" max="9" width="36" customWidth="1"/>
    <col min="10" max="10" width="26" customWidth="1"/>
    <col min="11" max="11" width="24" customWidth="1"/>
    <col min="12" max="12" width="16" customWidth="1"/>
    <col min="13" max="13" width="58" customWidth="1"/>
    <col min="14" max="14" width="15" customWidth="1"/>
    <col min="15" max="16" width="17" customWidth="1"/>
    <col min="17" max="17" width="42" customWidth="1"/>
    <col min="18" max="18" width="0" hidden="1" customWidth="1"/>
    <col min="19" max="19" width="20" customWidth="1"/>
    <col min="20" max="20" width="40" customWidth="1"/>
    <col min="21" max="21" width="48" customWidth="1"/>
    <col min="22" max="22" width="15" hidden="1" customWidth="1"/>
    <col min="23" max="23" width="18" hidden="1" customWidth="1"/>
    <col min="24" max="25" width="14" hidden="1" customWidth="1"/>
    <col min="26" max="26" width="23" hidden="1" customWidth="1"/>
    <col min="27" max="28" width="18" hidden="1" customWidth="1"/>
    <col min="29" max="29" width="52" hidden="1" customWidth="1"/>
    <col min="30" max="30" width="20" hidden="1" customWidth="1"/>
    <col min="31" max="33" width="0" hidden="1" customWidth="1"/>
    <col min="34" max="34" width="17" hidden="1" customWidth="1"/>
    <col min="35" max="35" width="45" customWidth="1"/>
    <col min="36" max="37" width="16" hidden="1" customWidth="1"/>
    <col min="38" max="38" width="20" hidden="1" customWidth="1"/>
    <col min="39" max="39" width="18" hidden="1" customWidth="1"/>
    <col min="40" max="41" width="0" hidden="1" customWidth="1"/>
    <col min="42" max="42" width="17" hidden="1" customWidth="1"/>
    <col min="43" max="43" width="23" hidden="1" customWidth="1"/>
    <col min="44" max="44" width="48" hidden="1" customWidth="1"/>
    <col min="45" max="45" width="36" hidden="1" customWidth="1"/>
    <col min="46" max="50" width="23" customWidth="1"/>
    <col min="51" max="52" width="0" hidden="1" customWidth="1"/>
    <col min="53" max="56" width="23" customWidth="1"/>
  </cols>
  <sheetData>
    <row r="1" spans="1:56" ht="23.1" customHeight="1">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row>
    <row r="2" spans="1:56" ht="33.950000000000003" customHeight="1">
      <c r="A2" s="53" t="s">
        <v>106</v>
      </c>
      <c r="B2" s="53"/>
      <c r="C2" s="53"/>
      <c r="D2" s="53"/>
      <c r="E2" s="53"/>
      <c r="F2" s="53"/>
      <c r="G2" s="53"/>
      <c r="H2" s="53"/>
      <c r="I2" s="53"/>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row>
    <row r="3" spans="1:56" ht="30" customHeight="1">
      <c r="A3" s="54" t="s">
        <v>107</v>
      </c>
      <c r="B3" s="54"/>
      <c r="C3" s="54"/>
      <c r="D3" s="54"/>
      <c r="E3" s="54"/>
      <c r="F3" s="54"/>
      <c r="G3" s="54"/>
      <c r="H3" s="54"/>
      <c r="I3" s="54"/>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row>
    <row r="4" spans="1:56" ht="27.95" customHeight="1">
      <c r="A4" s="78" t="str">
        <f>IFERROR(HYPERLINK("#'Painel'!A1","Painel"),"Painel")</f>
        <v>Painel</v>
      </c>
      <c r="B4" s="78"/>
      <c r="C4" s="78"/>
      <c r="D4" s="78" t="str">
        <f>IFERROR(HYPERLINK("#'Ficha'!C6","Ficha do processo"),"Ficha do processo")</f>
        <v>Ficha do processo</v>
      </c>
      <c r="E4" s="78"/>
      <c r="F4" s="78"/>
      <c r="G4" s="77" t="str">
        <f>IFERROR(HYPERLINK("#'Central IA'!C6","Atualizar com IA"),"Atualizar com IA")</f>
        <v>Atualizar com IA</v>
      </c>
      <c r="H4" s="77"/>
      <c r="I4" s="77"/>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row>
    <row r="5" spans="1:56" ht="27" customHeight="1">
      <c r="A5" s="122" t="s">
        <v>108</v>
      </c>
      <c r="B5" s="122"/>
      <c r="C5" s="122"/>
      <c r="D5" s="122"/>
      <c r="E5" s="122"/>
      <c r="F5" s="122"/>
      <c r="G5" s="122"/>
      <c r="H5" s="122"/>
      <c r="I5" s="122"/>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6" spans="1:56" ht="23.1" customHeight="1">
      <c r="A6" s="68" t="str">
        <f>IFERROR(HYPERLINK("#'Processos'!A9","IDENTIFICAÇÃO"),"IDENTIFICAÇÃO")</f>
        <v>IDENTIFICAÇÃO</v>
      </c>
      <c r="B6" s="68"/>
      <c r="C6" s="68"/>
      <c r="D6" s="68" t="str">
        <f>IFERROR(HYPERLINK("#'Processos'!H9","PARTES E CONTEXTO"),"PARTES E CONTEXTO")</f>
        <v>PARTES E CONTEXTO</v>
      </c>
      <c r="E6" s="68"/>
      <c r="F6" s="68"/>
      <c r="G6" s="68" t="str">
        <f>IFERROR(HYPERLINK("#'Processos'!N9","PRIORIDADE E RESTRIÇÕES"),"PRIORIDADE E RESTRIÇÕES")</f>
        <v>PRIORIDADE E RESTRIÇÕES</v>
      </c>
      <c r="H6" s="68"/>
      <c r="I6" s="68"/>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row>
    <row r="7" spans="1:56" ht="23.1" customHeight="1">
      <c r="A7" s="125" t="s">
        <v>109</v>
      </c>
      <c r="B7" s="125"/>
      <c r="C7" s="125"/>
      <c r="D7" s="125"/>
      <c r="E7" s="125"/>
      <c r="F7" s="125"/>
      <c r="G7" s="125"/>
      <c r="H7" s="125"/>
      <c r="I7" s="125"/>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row>
    <row r="8" spans="1:56" ht="23.1" customHeight="1">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row>
    <row r="9" spans="1:56" ht="42" customHeight="1">
      <c r="A9" s="46" t="s">
        <v>110</v>
      </c>
      <c r="B9" s="46" t="s">
        <v>111</v>
      </c>
      <c r="C9" s="46" t="s">
        <v>103</v>
      </c>
      <c r="D9" s="46" t="s">
        <v>87</v>
      </c>
      <c r="E9" s="46" t="s">
        <v>112</v>
      </c>
      <c r="F9" s="46" t="s">
        <v>113</v>
      </c>
      <c r="G9" s="46" t="s">
        <v>114</v>
      </c>
      <c r="H9" s="46" t="s">
        <v>115</v>
      </c>
      <c r="I9" s="46" t="s">
        <v>116</v>
      </c>
      <c r="J9" s="46" t="s">
        <v>117</v>
      </c>
      <c r="K9" s="46" t="s">
        <v>118</v>
      </c>
      <c r="L9" s="46" t="s">
        <v>119</v>
      </c>
      <c r="M9" s="46" t="s">
        <v>89</v>
      </c>
      <c r="N9" s="46" t="s">
        <v>120</v>
      </c>
      <c r="O9" s="46" t="s">
        <v>121</v>
      </c>
      <c r="P9" s="46" t="s">
        <v>122</v>
      </c>
      <c r="Q9" s="46" t="s">
        <v>123</v>
      </c>
      <c r="R9" s="46" t="s">
        <v>124</v>
      </c>
      <c r="S9" s="46" t="s">
        <v>125</v>
      </c>
      <c r="T9" s="46" t="s">
        <v>126</v>
      </c>
      <c r="U9" s="46" t="s">
        <v>127</v>
      </c>
      <c r="V9" s="46" t="s">
        <v>128</v>
      </c>
      <c r="W9" s="46" t="s">
        <v>129</v>
      </c>
      <c r="X9" s="46" t="s">
        <v>130</v>
      </c>
      <c r="Y9" s="46" t="s">
        <v>105</v>
      </c>
      <c r="Z9" s="46" t="s">
        <v>131</v>
      </c>
      <c r="AA9" s="46" t="s">
        <v>132</v>
      </c>
      <c r="AB9" s="46" t="s">
        <v>133</v>
      </c>
      <c r="AC9" s="46" t="s">
        <v>134</v>
      </c>
      <c r="AD9" s="46" t="s">
        <v>98</v>
      </c>
      <c r="AE9" s="46" t="s">
        <v>135</v>
      </c>
      <c r="AF9" s="46" t="s">
        <v>136</v>
      </c>
      <c r="AG9" s="46" t="s">
        <v>137</v>
      </c>
      <c r="AH9" s="46" t="s">
        <v>138</v>
      </c>
      <c r="AI9" s="46" t="s">
        <v>139</v>
      </c>
      <c r="AJ9" s="46" t="s">
        <v>140</v>
      </c>
      <c r="AK9" s="46" t="s">
        <v>141</v>
      </c>
      <c r="AL9" s="46" t="s">
        <v>142</v>
      </c>
      <c r="AM9" s="46" t="s">
        <v>143</v>
      </c>
      <c r="AN9" s="46" t="s">
        <v>144</v>
      </c>
      <c r="AO9" s="46" t="s">
        <v>145</v>
      </c>
      <c r="AP9" s="46" t="s">
        <v>146</v>
      </c>
      <c r="AQ9" s="46" t="s">
        <v>91</v>
      </c>
      <c r="AR9" s="46" t="s">
        <v>147</v>
      </c>
      <c r="AS9" s="46" t="s">
        <v>148</v>
      </c>
      <c r="AT9" s="47" t="s">
        <v>149</v>
      </c>
      <c r="AU9" s="47" t="s">
        <v>150</v>
      </c>
      <c r="AV9" s="47" t="s">
        <v>151</v>
      </c>
      <c r="AW9" s="47" t="s">
        <v>152</v>
      </c>
      <c r="AX9" s="47" t="s">
        <v>153</v>
      </c>
      <c r="AY9" s="47" t="s">
        <v>154</v>
      </c>
      <c r="AZ9" s="47" t="s">
        <v>155</v>
      </c>
      <c r="BA9" s="47" t="s">
        <v>156</v>
      </c>
      <c r="BB9" s="47" t="s">
        <v>157</v>
      </c>
      <c r="BC9" s="47" t="s">
        <v>158</v>
      </c>
      <c r="BD9" s="47" t="s">
        <v>159</v>
      </c>
    </row>
    <row r="10" spans="1:56" ht="42" customHeight="1">
      <c r="A10" s="41" t="s">
        <v>160</v>
      </c>
      <c r="B10" s="44" t="s">
        <v>161</v>
      </c>
      <c r="C10" s="44" t="s">
        <v>316</v>
      </c>
      <c r="D10" s="44" t="s">
        <v>163</v>
      </c>
      <c r="E10" s="44"/>
      <c r="F10" s="44"/>
      <c r="G10" s="44" t="s">
        <v>164</v>
      </c>
      <c r="H10" s="44" t="s">
        <v>165</v>
      </c>
      <c r="I10" s="44" t="s">
        <v>166</v>
      </c>
      <c r="J10" s="44" t="s">
        <v>167</v>
      </c>
      <c r="K10" s="44" t="s">
        <v>168</v>
      </c>
      <c r="L10" s="49"/>
      <c r="M10" s="48" t="s">
        <v>169</v>
      </c>
      <c r="N10" s="48" t="s">
        <v>170</v>
      </c>
      <c r="O10" s="48"/>
      <c r="P10" s="48"/>
      <c r="Q10" s="48"/>
      <c r="R10" s="48"/>
      <c r="S10" s="49"/>
      <c r="T10" s="48"/>
      <c r="U10" s="48" t="s">
        <v>171</v>
      </c>
      <c r="V10" s="14">
        <f t="shared" ref="V10:V73" si="0">IF(AND(A10&lt;&gt;"",ISTEXT(A10),COUNTIFS($AS$10:$AS$509,"="&amp;SUBSTITUTE(SUBSTITUTE(SUBSTITUTE("P:"&amp;A10,"~","~~"),"*","~*"),"?","~?"))=1),1,0)</f>
        <v>1</v>
      </c>
      <c r="W10" s="14">
        <f t="shared" ref="W10:W73" si="1">IF(AND(V10=1,OR(C10="Ativo",C10="Suspenso")),1,0)</f>
        <v>1</v>
      </c>
      <c r="X10" s="14">
        <f>IF(AND(V10=1,OR(Painel!$C$6="Todos",D10=Painel!$C$6),AND(OR(Painel!$L$6="Todas",E10=Painel!$L$6),OR(Painel!$C$8="Todos",F10=Painel!$C$8),OR(Painel!$L$8="Todos",G10=Painel!$L$8),OR(Painel!$C$10="",ISNUMBER(SEARCH(SUBSTITUTE(SUBSTITUTE(SUBSTITUTE(Painel!$C$10,"~","~~"),"*","~*"),"?","~?"),A10&amp;" "&amp;H10&amp;" "&amp;I10))))),1,0)</f>
        <v>1</v>
      </c>
      <c r="Y10" s="14">
        <f t="shared" ref="Y10:Y73" si="2">IF(AND(W10=1,OR(N10="Crítica",O10="Sim",P10="Sim")),1,0)</f>
        <v>0</v>
      </c>
      <c r="Z10" s="15">
        <f>IF(V10=0,"",IF(COUNTIFS(Andamentos!$K$10:$K$2009,"="&amp;SUBSTITUTE(SUBSTITUTE(SUBSTITUTE("P:"&amp;A10,"~","~~"),"*","~*"),"?","~?"),Andamentos!$G$10:$G$2009,1)=0,"",_xlfn.AGGREGATE(14,6,Andamentos!$D$10:$D$2009/((Andamentos!$K$10:$K$2009=AS10)*(Andamentos!$G$10:$G$2009=1)),1)))</f>
        <v>46055</v>
      </c>
      <c r="AA10" s="14">
        <f>IF(Z10="",0,COUNTIFS(Andamentos!$K$10:$K$2009,"="&amp;SUBSTITUTE(SUBSTITUTE(SUBSTITUTE("P:"&amp;A10,"~","~~"),"*","~*"),"?","~?"),Andamentos!$D$10:$D$2009,Z10,Andamentos!$G$10:$G$2009,1))</f>
        <v>1</v>
      </c>
      <c r="AB10" s="14">
        <f>IF(AA10=1,SUMIFS(Andamentos!$L$10:$L$2009,Andamentos!$K$10:$K$2009,"="&amp;SUBSTITUTE(SUBSTITUTE(SUBSTITUTE(AS10,"~","~~"),"*","~*"),"?","~?"),Andamentos!$D$10:$D$2009,Z10,Andamentos!$G$10:$G$2009,1)-9,0)</f>
        <v>1</v>
      </c>
      <c r="AC10" s="14" t="str">
        <f>IF(V10=0,"",IF(AA10&gt;1,"Conferir recebimentos empatados",IF(AB10=0,"Sem atualização",INDEX(Andamentos!$C$10:$C$2009,AB10))))</f>
        <v>20/09/2023 - Acordo para pagamento do saldo residual da execução de R$44.523,44.
Último pagamento para janeiro de 2024. [...] histórico completo em Observações</v>
      </c>
      <c r="AD10" s="14">
        <f ca="1">IF(W10=0,0,IF(MAX(Z10,BD10)=0,1,IF(Configurar!$J$12-INT(MAX(Z10,BD10))&gt;Configurar!$J$11,1,0)))</f>
        <v>1</v>
      </c>
      <c r="AE10" s="16"/>
      <c r="AF10" s="14"/>
      <c r="AG10" s="14"/>
      <c r="AH10" s="14">
        <f>IF(AND(V10=1,COUNTIFS(Valores!$S$10:$S$509,"="&amp;SUBSTITUTE(SUBSTITUTE(SUBSTITUTE("P:"&amp;A10,"~","~~"),"*","~*"),"?","~?"))=1),(IF(ISNA(MATCH(SUBSTITUTE(SUBSTITUTE(SUBSTITUTE("P:"&amp;A10,"~","~~"),"*","~*"),"?","~?"),Valores!$S$10:$S$509,0)),9,INDEX(Valores!$R$10:$R$509,MATCH(SUBSTITUTE(SUBSTITUTE(SUBSTITUTE("P:"&amp;A10,"~","~~"),"*","~*"),"?","~?"),Valores!$S$10:$S$509,0)))-9),0)</f>
        <v>1</v>
      </c>
      <c r="AI10" s="40" t="str">
        <f t="shared" ref="AI10:AI73" si="3">IF(COUNTA(A10:U10)=0,"",IF(A10="","Preencha o número do processo",IF(NOT(ISTEXT(A10)),"Mantenha o número como texto",IF(V10=0,"Número duplicado: confira o identificador completo",IF(C10="","Informe a situação",IF(AND(C10&lt;&gt;"Ativo",C10&lt;&gt;"Suspenso",C10&lt;&gt;"Encerrado",C10&lt;&gt;"Arquivado"),"Escolha uma situação da lista",IF(D10="","Informe o escritório",IF(E10="","Informe a empresa responsável",IF(H10="","Informe a parte autora",IF(I10="","Informe a parte ré",IF(M10="","Inclua o resumo dos fatos",IF(AND(L10&lt;&gt;"",OR(NOT(ISNUMBER(L10)),L10&lt;1,L10&gt;100000)),"Revise a data de instauração",IF(AND(S10&lt;&gt;"",OR(NOT(ISNUMBER(S10)),S10&lt;1,S10&gt;100000)),"Revise a previsão de encerramento",IF(AND(OR(C10="Encerrado",C10="Arquivado"),OR(O10="Sim",P10="Sim")),"Reveja as restrições após o encerramento",""))))))))))))))</f>
        <v>Informe a empresa responsável</v>
      </c>
      <c r="AJ10" s="14" t="str">
        <f>IF(AND(X10=1,Y10=1),COUNTIFS($X$10:X10,1,$Y$10:Y10,1),"")</f>
        <v/>
      </c>
      <c r="AK10" s="14">
        <f>IF(X10=1,COUNTIFS($X$10:X10,1),"")</f>
        <v>1</v>
      </c>
      <c r="AL10" s="14">
        <f>IF(AND(V10=1,AND(OR(Painel!$L$6="Todas",E10=Painel!$L$6),OR(Painel!$C$8="Todos",F10=Painel!$C$8),OR(Painel!$L$8="Todos",G10=Painel!$L$8),OR(Painel!$C$10="",ISNUMBER(SEARCH(SUBSTITUTE(SUBSTITUTE(SUBSTITUTE(Painel!$C$10,"~","~~"),"*","~*"),"?","~?"),A10&amp;" "&amp;H10&amp;" "&amp;I10))))),1,0)</f>
        <v>1</v>
      </c>
      <c r="AM10" s="14">
        <f t="shared" ref="AM10:AM73" si="4">IF(A10="",0,ROW())</f>
        <v>10</v>
      </c>
      <c r="AN10" s="14"/>
      <c r="AO10" s="14"/>
      <c r="AP10" s="16">
        <f>IF(AB10=0,"",IF(INDEX(Andamentos!$B$10:$B$2009,AB10)="","",INDEX(Andamentos!$B$10:$B$2009,AB10)))</f>
        <v>45189</v>
      </c>
      <c r="AQ10" s="17">
        <f>IF(AH10=0,"",IF(INDEX(Valores!$B$10:$B$509,AH10)="","",IF(ISNUMBER(INDEX(Valores!$B$10:$B$509,AH10)),INDEX(Valores!$B$10:$B$509,AH10),"")))</f>
        <v>50000</v>
      </c>
      <c r="AR10" s="14" t="str">
        <f t="shared" ref="AR10:AR73" si="5">IF(Y10=0,"",IF(N10="Crítica","Prioridade crítica. ","")&amp;IF(O10="Sim","Bloqueio vigente. ","")&amp;IF(P10="Sim","Penhora vigente. ","")&amp;IF(Q10="","",Q10))</f>
        <v/>
      </c>
      <c r="AS10" s="14" t="str">
        <f t="shared" ref="AS10:AS73" si="6">IF(AND(A10&lt;&gt;"",ISTEXT(A10)),"P:"&amp;A10,"")</f>
        <v>P:0000365-30.2017.5.14.0071</v>
      </c>
      <c r="AT10" s="27" t="s">
        <v>172</v>
      </c>
      <c r="AU10" s="31" t="s">
        <v>160</v>
      </c>
      <c r="AV10" s="31"/>
      <c r="AW10" s="27" t="s">
        <v>162</v>
      </c>
      <c r="AX10" s="27"/>
      <c r="AY10" s="27"/>
      <c r="AZ10" s="27"/>
      <c r="BA10" s="30" t="str">
        <f t="shared" ref="BA10:BA73" si="7">IF(A10="","",IF(AU10&lt;&gt;"",AU10,IF(AV10&lt;&gt;"",AV10,A10)))</f>
        <v>0000365-30.2017.5.14.0071</v>
      </c>
      <c r="BB10" s="30" t="str">
        <f t="shared" ref="BB10:BB73" si="8">IF(A10="","",IF(COUNTIFS($BA$10:$BA$509,BA10)&gt;1,"Revisar repetição",""))</f>
        <v/>
      </c>
      <c r="BC10" s="30">
        <f>IF(X10=0,0,IF(COUNTIFS($X$10:X10,1,$BA$10:BA10,BA10)=1,1,0))</f>
        <v>1</v>
      </c>
      <c r="BD10" s="29">
        <v>46055</v>
      </c>
    </row>
    <row r="11" spans="1:56" ht="42" customHeight="1">
      <c r="A11" s="41" t="s">
        <v>173</v>
      </c>
      <c r="B11" s="44" t="s">
        <v>161</v>
      </c>
      <c r="C11" s="44" t="s">
        <v>162</v>
      </c>
      <c r="D11" s="44" t="s">
        <v>163</v>
      </c>
      <c r="E11" s="44"/>
      <c r="F11" s="44" t="s">
        <v>174</v>
      </c>
      <c r="G11" s="44" t="s">
        <v>164</v>
      </c>
      <c r="H11" s="44" t="s">
        <v>175</v>
      </c>
      <c r="I11" s="44" t="s">
        <v>176</v>
      </c>
      <c r="J11" s="44" t="s">
        <v>177</v>
      </c>
      <c r="K11" s="44" t="s">
        <v>178</v>
      </c>
      <c r="L11" s="49"/>
      <c r="M11" s="48"/>
      <c r="N11" s="48" t="s">
        <v>170</v>
      </c>
      <c r="O11" s="48"/>
      <c r="P11" s="48"/>
      <c r="Q11" s="48"/>
      <c r="R11" s="48"/>
      <c r="S11" s="49"/>
      <c r="T11" s="48"/>
      <c r="U11" s="48" t="s">
        <v>179</v>
      </c>
      <c r="V11" s="14">
        <f t="shared" si="0"/>
        <v>1</v>
      </c>
      <c r="W11" s="14">
        <f t="shared" si="1"/>
        <v>0</v>
      </c>
      <c r="X11" s="14">
        <f>IF(AND(V11=1,OR(Painel!$C$6="Todos",D11=Painel!$C$6),AND(OR(Painel!$L$6="Todas",E11=Painel!$L$6),OR(Painel!$C$8="Todos",F11=Painel!$C$8),OR(Painel!$L$8="Todos",G11=Painel!$L$8),OR(Painel!$C$10="",ISNUMBER(SEARCH(SUBSTITUTE(SUBSTITUTE(SUBSTITUTE(Painel!$C$10,"~","~~"),"*","~*"),"?","~?"),A11&amp;" "&amp;H11&amp;" "&amp;I11))))),1,0)</f>
        <v>1</v>
      </c>
      <c r="Y11" s="14">
        <f t="shared" si="2"/>
        <v>0</v>
      </c>
      <c r="Z11" s="15">
        <f>IF(V11=0,"",IF(COUNTIFS(Andamentos!$K$10:$K$2009,"="&amp;SUBSTITUTE(SUBSTITUTE(SUBSTITUTE("P:"&amp;A11,"~","~~"),"*","~*"),"?","~?"),Andamentos!$G$10:$G$2009,1)=0,"",_xlfn.AGGREGATE(14,6,Andamentos!$D$10:$D$2009/((Andamentos!$K$10:$K$2009=AS11)*(Andamentos!$G$10:$G$2009=1)),1)))</f>
        <v>45512</v>
      </c>
      <c r="AA11" s="14">
        <f>IF(Z11="",0,COUNTIFS(Andamentos!$K$10:$K$2009,"="&amp;SUBSTITUTE(SUBSTITUTE(SUBSTITUTE("P:"&amp;A11,"~","~~"),"*","~*"),"?","~?"),Andamentos!$D$10:$D$2009,Z11,Andamentos!$G$10:$G$2009,1))</f>
        <v>1</v>
      </c>
      <c r="AB11" s="14">
        <f>IF(AA11=1,SUMIFS(Andamentos!$L$10:$L$2009,Andamentos!$K$10:$K$2009,"="&amp;SUBSTITUTE(SUBSTITUTE(SUBSTITUTE(AS11,"~","~~"),"*","~*"),"?","~?"),Andamentos!$D$10:$D$2009,Z11,Andamentos!$G$10:$G$2009,1)-9,0)</f>
        <v>2</v>
      </c>
      <c r="AC11" s="14" t="str">
        <f>IF(V11=0,"",IF(AA11&gt;1,"Conferir recebimentos empatados",IF(AB11=0,"Sem atualização",INDEX(Andamentos!$C$10:$C$2009,AB11))))</f>
        <v>26/02/2024 - Autos arquivados. [...] histórico completo em Observações</v>
      </c>
      <c r="AD11" s="14">
        <f>IF(W11=0,0,IF(MAX(Z11,BD11)=0,1,IF(Configurar!$J$12-INT(MAX(Z11,BD11))&gt;Configurar!$J$11,1,0)))</f>
        <v>0</v>
      </c>
      <c r="AE11" s="16"/>
      <c r="AF11" s="14"/>
      <c r="AG11" s="14"/>
      <c r="AH11" s="14">
        <f>IF(AND(V11=1,COUNTIFS(Valores!$S$10:$S$509,"="&amp;SUBSTITUTE(SUBSTITUTE(SUBSTITUTE("P:"&amp;A11,"~","~~"),"*","~*"),"?","~?"))=1),(IF(ISNA(MATCH(SUBSTITUTE(SUBSTITUTE(SUBSTITUTE("P:"&amp;A11,"~","~~"),"*","~*"),"?","~?"),Valores!$S$10:$S$509,0)),9,INDEX(Valores!$R$10:$R$509,MATCH(SUBSTITUTE(SUBSTITUTE(SUBSTITUTE("P:"&amp;A11,"~","~~"),"*","~*"),"?","~?"),Valores!$S$10:$S$509,0)))-9),0)</f>
        <v>2</v>
      </c>
      <c r="AI11" s="40" t="str">
        <f t="shared" si="3"/>
        <v>Informe a empresa responsável</v>
      </c>
      <c r="AJ11" s="14" t="str">
        <f>IF(AND(X11=1,Y11=1),COUNTIFS($X$10:X11,1,$Y$10:Y11,1),"")</f>
        <v/>
      </c>
      <c r="AK11" s="14">
        <f>IF(X11=1,COUNTIFS($X$10:X11,1),"")</f>
        <v>2</v>
      </c>
      <c r="AL11" s="14">
        <f>IF(AND(V11=1,AND(OR(Painel!$L$6="Todas",E11=Painel!$L$6),OR(Painel!$C$8="Todos",F11=Painel!$C$8),OR(Painel!$L$8="Todos",G11=Painel!$L$8),OR(Painel!$C$10="",ISNUMBER(SEARCH(SUBSTITUTE(SUBSTITUTE(SUBSTITUTE(Painel!$C$10,"~","~~"),"*","~*"),"?","~?"),A11&amp;" "&amp;H11&amp;" "&amp;I11))))),1,0)</f>
        <v>1</v>
      </c>
      <c r="AM11" s="14">
        <f t="shared" si="4"/>
        <v>11</v>
      </c>
      <c r="AN11" s="14"/>
      <c r="AO11" s="14"/>
      <c r="AP11" s="16">
        <f>IF(AB11=0,"",IF(INDEX(Andamentos!$B$10:$B$2009,AB11)="","",INDEX(Andamentos!$B$10:$B$2009,AB11)))</f>
        <v>45348</v>
      </c>
      <c r="AQ11" s="17">
        <f>IF(AH11=0,"",IF(INDEX(Valores!$B$10:$B$509,AH11)="","",IF(ISNUMBER(INDEX(Valores!$B$10:$B$509,AH11)),INDEX(Valores!$B$10:$B$509,AH11),"")))</f>
        <v>125064.62</v>
      </c>
      <c r="AR11" s="14" t="str">
        <f t="shared" si="5"/>
        <v/>
      </c>
      <c r="AS11" s="14" t="str">
        <f t="shared" si="6"/>
        <v>P:0010045-55.2019.5.18.0201</v>
      </c>
      <c r="AT11" s="27" t="s">
        <v>180</v>
      </c>
      <c r="AU11" s="31" t="s">
        <v>173</v>
      </c>
      <c r="AV11" s="31"/>
      <c r="AW11" s="27" t="s">
        <v>162</v>
      </c>
      <c r="AX11" s="27"/>
      <c r="AY11" s="27"/>
      <c r="AZ11" s="27"/>
      <c r="BA11" s="30" t="str">
        <f t="shared" si="7"/>
        <v>0010045-55.2019.5.18.0201</v>
      </c>
      <c r="BB11" s="30" t="str">
        <f t="shared" si="8"/>
        <v/>
      </c>
      <c r="BC11" s="30">
        <f>IF(X11=0,0,IF(COUNTIFS($X$10:X11,1,$BA$10:BA11,BA11)=1,1,0))</f>
        <v>1</v>
      </c>
      <c r="BD11" s="29">
        <v>45512</v>
      </c>
    </row>
    <row r="12" spans="1:56" ht="42" customHeight="1">
      <c r="A12" s="41" t="s">
        <v>181</v>
      </c>
      <c r="B12" s="44" t="s">
        <v>161</v>
      </c>
      <c r="C12" s="44" t="s">
        <v>162</v>
      </c>
      <c r="D12" s="44" t="s">
        <v>163</v>
      </c>
      <c r="E12" s="44"/>
      <c r="F12" s="44" t="s">
        <v>182</v>
      </c>
      <c r="G12" s="44" t="s">
        <v>164</v>
      </c>
      <c r="H12" s="44" t="s">
        <v>183</v>
      </c>
      <c r="I12" s="44" t="s">
        <v>184</v>
      </c>
      <c r="J12" s="44" t="s">
        <v>185</v>
      </c>
      <c r="K12" s="44" t="s">
        <v>178</v>
      </c>
      <c r="L12" s="49"/>
      <c r="M12" s="48"/>
      <c r="N12" s="48" t="s">
        <v>170</v>
      </c>
      <c r="O12" s="48"/>
      <c r="P12" s="48"/>
      <c r="Q12" s="48"/>
      <c r="R12" s="48"/>
      <c r="S12" s="49"/>
      <c r="T12" s="48"/>
      <c r="U12" s="48" t="s">
        <v>186</v>
      </c>
      <c r="V12" s="14">
        <f t="shared" si="0"/>
        <v>1</v>
      </c>
      <c r="W12" s="14">
        <f t="shared" si="1"/>
        <v>0</v>
      </c>
      <c r="X12" s="14">
        <f>IF(AND(V12=1,OR(Painel!$C$6="Todos",D12=Painel!$C$6),AND(OR(Painel!$L$6="Todas",E12=Painel!$L$6),OR(Painel!$C$8="Todos",F12=Painel!$C$8),OR(Painel!$L$8="Todos",G12=Painel!$L$8),OR(Painel!$C$10="",ISNUMBER(SEARCH(SUBSTITUTE(SUBSTITUTE(SUBSTITUTE(Painel!$C$10,"~","~~"),"*","~*"),"?","~?"),A12&amp;" "&amp;H12&amp;" "&amp;I12))))),1,0)</f>
        <v>1</v>
      </c>
      <c r="Y12" s="14">
        <f t="shared" si="2"/>
        <v>0</v>
      </c>
      <c r="Z12" s="15">
        <f>IF(V12=0,"",IF(COUNTIFS(Andamentos!$K$10:$K$2009,"="&amp;SUBSTITUTE(SUBSTITUTE(SUBSTITUTE("P:"&amp;A12,"~","~~"),"*","~*"),"?","~?"),Andamentos!$G$10:$G$2009,1)=0,"",_xlfn.AGGREGATE(14,6,Andamentos!$D$10:$D$2009/((Andamentos!$K$10:$K$2009=AS12)*(Andamentos!$G$10:$G$2009=1)),1)))</f>
        <v>45512</v>
      </c>
      <c r="AA12" s="14">
        <f>IF(Z12="",0,COUNTIFS(Andamentos!$K$10:$K$2009,"="&amp;SUBSTITUTE(SUBSTITUTE(SUBSTITUTE("P:"&amp;A12,"~","~~"),"*","~*"),"?","~?"),Andamentos!$D$10:$D$2009,Z12,Andamentos!$G$10:$G$2009,1))</f>
        <v>1</v>
      </c>
      <c r="AB12" s="14">
        <f>IF(AA12=1,SUMIFS(Andamentos!$L$10:$L$2009,Andamentos!$K$10:$K$2009,"="&amp;SUBSTITUTE(SUBSTITUTE(SUBSTITUTE(AS12,"~","~~"),"*","~*"),"?","~?"),Andamentos!$D$10:$D$2009,Z12,Andamentos!$G$10:$G$2009,1)-9,0)</f>
        <v>3</v>
      </c>
      <c r="AC12" s="14" t="str">
        <f>IF(V12=0,"",IF(AA12&gt;1,"Conferir recebimentos empatados",IF(AB12=0,"Sem atualização",INDEX(Andamentos!$C$10:$C$2009,AB12))))</f>
        <v>15/05/2024 - Senteça de extinção por prescrição intercorrente. [...] histórico completo em Observações</v>
      </c>
      <c r="AD12" s="14">
        <f>IF(W12=0,0,IF(MAX(Z12,BD12)=0,1,IF(Configurar!$J$12-INT(MAX(Z12,BD12))&gt;Configurar!$J$11,1,0)))</f>
        <v>0</v>
      </c>
      <c r="AE12" s="16"/>
      <c r="AF12" s="14"/>
      <c r="AG12" s="14"/>
      <c r="AH12" s="14">
        <f>IF(AND(V12=1,COUNTIFS(Valores!$S$10:$S$509,"="&amp;SUBSTITUTE(SUBSTITUTE(SUBSTITUTE("P:"&amp;A12,"~","~~"),"*","~*"),"?","~?"))=1),(IF(ISNA(MATCH(SUBSTITUTE(SUBSTITUTE(SUBSTITUTE("P:"&amp;A12,"~","~~"),"*","~*"),"?","~?"),Valores!$S$10:$S$509,0)),9,INDEX(Valores!$R$10:$R$509,MATCH(SUBSTITUTE(SUBSTITUTE(SUBSTITUTE("P:"&amp;A12,"~","~~"),"*","~*"),"?","~?"),Valores!$S$10:$S$509,0)))-9),0)</f>
        <v>3</v>
      </c>
      <c r="AI12" s="40" t="str">
        <f t="shared" si="3"/>
        <v>Informe a empresa responsável</v>
      </c>
      <c r="AJ12" s="14" t="str">
        <f>IF(AND(X12=1,Y12=1),COUNTIFS($X$10:X12,1,$Y$10:Y12,1),"")</f>
        <v/>
      </c>
      <c r="AK12" s="14">
        <f>IF(X12=1,COUNTIFS($X$10:X12,1),"")</f>
        <v>3</v>
      </c>
      <c r="AL12" s="14">
        <f>IF(AND(V12=1,AND(OR(Painel!$L$6="Todas",E12=Painel!$L$6),OR(Painel!$C$8="Todos",F12=Painel!$C$8),OR(Painel!$L$8="Todos",G12=Painel!$L$8),OR(Painel!$C$10="",ISNUMBER(SEARCH(SUBSTITUTE(SUBSTITUTE(SUBSTITUTE(Painel!$C$10,"~","~~"),"*","~*"),"?","~?"),A12&amp;" "&amp;H12&amp;" "&amp;I12))))),1,0)</f>
        <v>1</v>
      </c>
      <c r="AM12" s="14">
        <f t="shared" si="4"/>
        <v>12</v>
      </c>
      <c r="AN12" s="14"/>
      <c r="AO12" s="14"/>
      <c r="AP12" s="16">
        <f>IF(AB12=0,"",IF(INDEX(Andamentos!$B$10:$B$2009,AB12)="","",INDEX(Andamentos!$B$10:$B$2009,AB12)))</f>
        <v>45427</v>
      </c>
      <c r="AQ12" s="17">
        <f>IF(AH12=0,"",IF(INDEX(Valores!$B$10:$B$509,AH12)="","",IF(ISNUMBER(INDEX(Valores!$B$10:$B$509,AH12)),INDEX(Valores!$B$10:$B$509,AH12),"")))</f>
        <v>75411.850000000006</v>
      </c>
      <c r="AR12" s="14" t="str">
        <f t="shared" si="5"/>
        <v/>
      </c>
      <c r="AS12" s="14" t="str">
        <f t="shared" si="6"/>
        <v>P:0011340-98.2017.5.18.0104</v>
      </c>
      <c r="AT12" s="27" t="s">
        <v>187</v>
      </c>
      <c r="AU12" s="31" t="s">
        <v>181</v>
      </c>
      <c r="AV12" s="31"/>
      <c r="AW12" s="27" t="s">
        <v>162</v>
      </c>
      <c r="AX12" s="27"/>
      <c r="AY12" s="27"/>
      <c r="AZ12" s="27"/>
      <c r="BA12" s="30" t="str">
        <f t="shared" si="7"/>
        <v>0011340-98.2017.5.18.0104</v>
      </c>
      <c r="BB12" s="30" t="str">
        <f t="shared" si="8"/>
        <v/>
      </c>
      <c r="BC12" s="30">
        <f>IF(X12=0,0,IF(COUNTIFS($X$10:X12,1,$BA$10:BA12,BA12)=1,1,0))</f>
        <v>1</v>
      </c>
      <c r="BD12" s="29">
        <v>45512</v>
      </c>
    </row>
    <row r="13" spans="1:56" ht="42" customHeight="1">
      <c r="A13" s="41" t="s">
        <v>188</v>
      </c>
      <c r="B13" s="44" t="s">
        <v>161</v>
      </c>
      <c r="C13" s="44" t="s">
        <v>162</v>
      </c>
      <c r="D13" s="44" t="s">
        <v>163</v>
      </c>
      <c r="E13" s="44"/>
      <c r="F13" s="44" t="s">
        <v>182</v>
      </c>
      <c r="G13" s="44" t="s">
        <v>164</v>
      </c>
      <c r="H13" s="44" t="s">
        <v>189</v>
      </c>
      <c r="I13" s="44" t="s">
        <v>190</v>
      </c>
      <c r="J13" s="44" t="s">
        <v>191</v>
      </c>
      <c r="K13" s="44" t="s">
        <v>178</v>
      </c>
      <c r="L13" s="49"/>
      <c r="M13" s="48"/>
      <c r="N13" s="48" t="s">
        <v>170</v>
      </c>
      <c r="O13" s="48"/>
      <c r="P13" s="48"/>
      <c r="Q13" s="48"/>
      <c r="R13" s="48"/>
      <c r="S13" s="49"/>
      <c r="T13" s="48"/>
      <c r="U13" s="48" t="s">
        <v>192</v>
      </c>
      <c r="V13" s="14">
        <f t="shared" si="0"/>
        <v>1</v>
      </c>
      <c r="W13" s="14">
        <f t="shared" si="1"/>
        <v>0</v>
      </c>
      <c r="X13" s="14">
        <f>IF(AND(V13=1,OR(Painel!$C$6="Todos",D13=Painel!$C$6),AND(OR(Painel!$L$6="Todas",E13=Painel!$L$6),OR(Painel!$C$8="Todos",F13=Painel!$C$8),OR(Painel!$L$8="Todos",G13=Painel!$L$8),OR(Painel!$C$10="",ISNUMBER(SEARCH(SUBSTITUTE(SUBSTITUTE(SUBSTITUTE(Painel!$C$10,"~","~~"),"*","~*"),"?","~?"),A13&amp;" "&amp;H13&amp;" "&amp;I13))))),1,0)</f>
        <v>1</v>
      </c>
      <c r="Y13" s="14">
        <f t="shared" si="2"/>
        <v>0</v>
      </c>
      <c r="Z13" s="15">
        <f>IF(V13=0,"",IF(COUNTIFS(Andamentos!$K$10:$K$2009,"="&amp;SUBSTITUTE(SUBSTITUTE(SUBSTITUTE("P:"&amp;A13,"~","~~"),"*","~*"),"?","~?"),Andamentos!$G$10:$G$2009,1)=0,"",_xlfn.AGGREGATE(14,6,Andamentos!$D$10:$D$2009/((Andamentos!$K$10:$K$2009=AS13)*(Andamentos!$G$10:$G$2009=1)),1)))</f>
        <v>45512</v>
      </c>
      <c r="AA13" s="14">
        <f>IF(Z13="",0,COUNTIFS(Andamentos!$K$10:$K$2009,"="&amp;SUBSTITUTE(SUBSTITUTE(SUBSTITUTE("P:"&amp;A13,"~","~~"),"*","~*"),"?","~?"),Andamentos!$D$10:$D$2009,Z13,Andamentos!$G$10:$G$2009,1))</f>
        <v>1</v>
      </c>
      <c r="AB13" s="14">
        <f>IF(AA13=1,SUMIFS(Andamentos!$L$10:$L$2009,Andamentos!$K$10:$K$2009,"="&amp;SUBSTITUTE(SUBSTITUTE(SUBSTITUTE(AS13,"~","~~"),"*","~*"),"?","~?"),Andamentos!$D$10:$D$2009,Z13,Andamentos!$G$10:$G$2009,1)-9,0)</f>
        <v>4</v>
      </c>
      <c r="AC13" s="14" t="str">
        <f>IF(V13=0,"",IF(AA13&gt;1,"Conferir recebimentos empatados",IF(AB13=0,"Sem atualização",INDEX(Andamentos!$C$10:$C$2009,AB13))))</f>
        <v>26/01/2024 - Autos arquivados. [...] histórico completo em Observações</v>
      </c>
      <c r="AD13" s="14">
        <f>IF(W13=0,0,IF(MAX(Z13,BD13)=0,1,IF(Configurar!$J$12-INT(MAX(Z13,BD13))&gt;Configurar!$J$11,1,0)))</f>
        <v>0</v>
      </c>
      <c r="AE13" s="16"/>
      <c r="AF13" s="14"/>
      <c r="AG13" s="14"/>
      <c r="AH13" s="14">
        <f>IF(AND(V13=1,COUNTIFS(Valores!$S$10:$S$509,"="&amp;SUBSTITUTE(SUBSTITUTE(SUBSTITUTE("P:"&amp;A13,"~","~~"),"*","~*"),"?","~?"))=1),(IF(ISNA(MATCH(SUBSTITUTE(SUBSTITUTE(SUBSTITUTE("P:"&amp;A13,"~","~~"),"*","~*"),"?","~?"),Valores!$S$10:$S$509,0)),9,INDEX(Valores!$R$10:$R$509,MATCH(SUBSTITUTE(SUBSTITUTE(SUBSTITUTE("P:"&amp;A13,"~","~~"),"*","~*"),"?","~?"),Valores!$S$10:$S$509,0)))-9),0)</f>
        <v>4</v>
      </c>
      <c r="AI13" s="40" t="str">
        <f t="shared" si="3"/>
        <v>Informe a empresa responsável</v>
      </c>
      <c r="AJ13" s="14" t="str">
        <f>IF(AND(X13=1,Y13=1),COUNTIFS($X$10:X13,1,$Y$10:Y13,1),"")</f>
        <v/>
      </c>
      <c r="AK13" s="14">
        <f>IF(X13=1,COUNTIFS($X$10:X13,1),"")</f>
        <v>4</v>
      </c>
      <c r="AL13" s="14">
        <f>IF(AND(V13=1,AND(OR(Painel!$L$6="Todas",E13=Painel!$L$6),OR(Painel!$C$8="Todos",F13=Painel!$C$8),OR(Painel!$L$8="Todos",G13=Painel!$L$8),OR(Painel!$C$10="",ISNUMBER(SEARCH(SUBSTITUTE(SUBSTITUTE(SUBSTITUTE(Painel!$C$10,"~","~~"),"*","~*"),"?","~?"),A13&amp;" "&amp;H13&amp;" "&amp;I13))))),1,0)</f>
        <v>1</v>
      </c>
      <c r="AM13" s="14">
        <f t="shared" si="4"/>
        <v>13</v>
      </c>
      <c r="AN13" s="14"/>
      <c r="AO13" s="14"/>
      <c r="AP13" s="16">
        <f>IF(AB13=0,"",IF(INDEX(Andamentos!$B$10:$B$2009,AB13)="","",INDEX(Andamentos!$B$10:$B$2009,AB13)))</f>
        <v>45317</v>
      </c>
      <c r="AQ13" s="17">
        <f>IF(AH13=0,"",IF(INDEX(Valores!$B$10:$B$509,AH13)="","",IF(ISNUMBER(INDEX(Valores!$B$10:$B$509,AH13)),INDEX(Valores!$B$10:$B$509,AH13),"")))</f>
        <v>36472</v>
      </c>
      <c r="AR13" s="14" t="str">
        <f t="shared" si="5"/>
        <v/>
      </c>
      <c r="AS13" s="14" t="str">
        <f t="shared" si="6"/>
        <v>P:0010110-19.2020.5.18.0103 [BMM-004]</v>
      </c>
      <c r="AT13" s="27" t="s">
        <v>193</v>
      </c>
      <c r="AU13" s="31" t="s">
        <v>194</v>
      </c>
      <c r="AV13" s="31"/>
      <c r="AW13" s="27" t="s">
        <v>162</v>
      </c>
      <c r="AX13" s="27"/>
      <c r="AY13" s="27"/>
      <c r="AZ13" s="27"/>
      <c r="BA13" s="30" t="str">
        <f t="shared" si="7"/>
        <v>0010110-19.2020.5.18.0103</v>
      </c>
      <c r="BB13" s="30" t="str">
        <f t="shared" si="8"/>
        <v>Revisar repetição</v>
      </c>
      <c r="BC13" s="30">
        <f>IF(X13=0,0,IF(COUNTIFS($X$10:X13,1,$BA$10:BA13,BA13)=1,1,0))</f>
        <v>1</v>
      </c>
      <c r="BD13" s="29">
        <v>45512</v>
      </c>
    </row>
    <row r="14" spans="1:56" ht="42" customHeight="1">
      <c r="A14" s="41" t="s">
        <v>195</v>
      </c>
      <c r="B14" s="44" t="s">
        <v>161</v>
      </c>
      <c r="C14" s="44" t="s">
        <v>162</v>
      </c>
      <c r="D14" s="44" t="s">
        <v>1035</v>
      </c>
      <c r="E14" s="44"/>
      <c r="F14" s="44" t="s">
        <v>182</v>
      </c>
      <c r="G14" s="44" t="s">
        <v>164</v>
      </c>
      <c r="H14" s="44" t="s">
        <v>196</v>
      </c>
      <c r="I14" s="44" t="s">
        <v>184</v>
      </c>
      <c r="J14" s="44" t="s">
        <v>197</v>
      </c>
      <c r="K14" s="44" t="s">
        <v>178</v>
      </c>
      <c r="L14" s="49"/>
      <c r="M14" s="48"/>
      <c r="N14" s="48" t="s">
        <v>170</v>
      </c>
      <c r="O14" s="48"/>
      <c r="P14" s="48"/>
      <c r="Q14" s="48"/>
      <c r="R14" s="48"/>
      <c r="S14" s="49"/>
      <c r="T14" s="48"/>
      <c r="U14" s="48" t="s">
        <v>198</v>
      </c>
      <c r="V14" s="14">
        <f t="shared" si="0"/>
        <v>1</v>
      </c>
      <c r="W14" s="14">
        <f t="shared" si="1"/>
        <v>0</v>
      </c>
      <c r="X14" s="14">
        <f>IF(AND(V14=1,OR(Painel!$C$6="Todos",D14=Painel!$C$6),AND(OR(Painel!$L$6="Todas",E14=Painel!$L$6),OR(Painel!$C$8="Todos",F14=Painel!$C$8),OR(Painel!$L$8="Todos",G14=Painel!$L$8),OR(Painel!$C$10="",ISNUMBER(SEARCH(SUBSTITUTE(SUBSTITUTE(SUBSTITUTE(Painel!$C$10,"~","~~"),"*","~*"),"?","~?"),A14&amp;" "&amp;H14&amp;" "&amp;I14))))),1,0)</f>
        <v>1</v>
      </c>
      <c r="Y14" s="14">
        <f t="shared" si="2"/>
        <v>0</v>
      </c>
      <c r="Z14" s="15">
        <f>IF(V14=0,"",IF(COUNTIFS(Andamentos!$K$10:$K$2009,"="&amp;SUBSTITUTE(SUBSTITUTE(SUBSTITUTE("P:"&amp;A14,"~","~~"),"*","~*"),"?","~?"),Andamentos!$G$10:$G$2009,1)=0,"",_xlfn.AGGREGATE(14,6,Andamentos!$D$10:$D$2009/((Andamentos!$K$10:$K$2009=AS14)*(Andamentos!$G$10:$G$2009=1)),1)))</f>
        <v>45512</v>
      </c>
      <c r="AA14" s="14">
        <f>IF(Z14="",0,COUNTIFS(Andamentos!$K$10:$K$2009,"="&amp;SUBSTITUTE(SUBSTITUTE(SUBSTITUTE("P:"&amp;A14,"~","~~"),"*","~*"),"?","~?"),Andamentos!$D$10:$D$2009,Z14,Andamentos!$G$10:$G$2009,1))</f>
        <v>1</v>
      </c>
      <c r="AB14" s="14">
        <f>IF(AA14=1,SUMIFS(Andamentos!$L$10:$L$2009,Andamentos!$K$10:$K$2009,"="&amp;SUBSTITUTE(SUBSTITUTE(SUBSTITUTE(AS14,"~","~~"),"*","~*"),"?","~?"),Andamentos!$D$10:$D$2009,Z14,Andamentos!$G$10:$G$2009,1)-9,0)</f>
        <v>5</v>
      </c>
      <c r="AC14" s="14" t="str">
        <f>IF(V14=0,"",IF(AA14&gt;1,"Conferir recebimentos empatados",IF(AB14=0,"Sem atualização",INDEX(Andamentos!$C$10:$C$2009,AB14))))</f>
        <v>08/06/2023 - Autos arquivados provisoriamente. [...] histórico completo em Observações</v>
      </c>
      <c r="AD14" s="14">
        <f>IF(W14=0,0,IF(MAX(Z14,BD14)=0,1,IF(Configurar!$J$12-INT(MAX(Z14,BD14))&gt;Configurar!$J$11,1,0)))</f>
        <v>0</v>
      </c>
      <c r="AE14" s="16"/>
      <c r="AF14" s="14"/>
      <c r="AG14" s="14"/>
      <c r="AH14" s="14">
        <f>IF(AND(V14=1,COUNTIFS(Valores!$S$10:$S$509,"="&amp;SUBSTITUTE(SUBSTITUTE(SUBSTITUTE("P:"&amp;A14,"~","~~"),"*","~*"),"?","~?"))=1),(IF(ISNA(MATCH(SUBSTITUTE(SUBSTITUTE(SUBSTITUTE("P:"&amp;A14,"~","~~"),"*","~*"),"?","~?"),Valores!$S$10:$S$509,0)),9,INDEX(Valores!$R$10:$R$509,MATCH(SUBSTITUTE(SUBSTITUTE(SUBSTITUTE("P:"&amp;A14,"~","~~"),"*","~*"),"?","~?"),Valores!$S$10:$S$509,0)))-9),0)</f>
        <v>5</v>
      </c>
      <c r="AI14" s="40" t="str">
        <f t="shared" si="3"/>
        <v>Informe a empresa responsável</v>
      </c>
      <c r="AJ14" s="14" t="str">
        <f>IF(AND(X14=1,Y14=1),COUNTIFS($X$10:X14,1,$Y$10:Y14,1),"")</f>
        <v/>
      </c>
      <c r="AK14" s="14">
        <f>IF(X14=1,COUNTIFS($X$10:X14,1),"")</f>
        <v>5</v>
      </c>
      <c r="AL14" s="14">
        <f>IF(AND(V14=1,AND(OR(Painel!$L$6="Todas",E14=Painel!$L$6),OR(Painel!$C$8="Todos",F14=Painel!$C$8),OR(Painel!$L$8="Todos",G14=Painel!$L$8),OR(Painel!$C$10="",ISNUMBER(SEARCH(SUBSTITUTE(SUBSTITUTE(SUBSTITUTE(Painel!$C$10,"~","~~"),"*","~*"),"?","~?"),A14&amp;" "&amp;H14&amp;" "&amp;I14))))),1,0)</f>
        <v>1</v>
      </c>
      <c r="AM14" s="14">
        <f t="shared" si="4"/>
        <v>14</v>
      </c>
      <c r="AN14" s="14"/>
      <c r="AO14" s="14"/>
      <c r="AP14" s="16">
        <f>IF(AB14=0,"",IF(INDEX(Andamentos!$B$10:$B$2009,AB14)="","",INDEX(Andamentos!$B$10:$B$2009,AB14)))</f>
        <v>45085</v>
      </c>
      <c r="AQ14" s="17">
        <f>IF(AH14=0,"",IF(INDEX(Valores!$B$10:$B$509,AH14)="","",IF(ISNUMBER(INDEX(Valores!$B$10:$B$509,AH14)),INDEX(Valores!$B$10:$B$509,AH14),"")))</f>
        <v>11981.19</v>
      </c>
      <c r="AR14" s="14" t="str">
        <f t="shared" si="5"/>
        <v/>
      </c>
      <c r="AS14" s="14" t="str">
        <f t="shared" si="6"/>
        <v>P:0010752-95.2020.5.18.0101</v>
      </c>
      <c r="AT14" s="27" t="s">
        <v>199</v>
      </c>
      <c r="AU14" s="31" t="s">
        <v>195</v>
      </c>
      <c r="AV14" s="31"/>
      <c r="AW14" s="27" t="s">
        <v>162</v>
      </c>
      <c r="AX14" s="27"/>
      <c r="AY14" s="27"/>
      <c r="AZ14" s="27"/>
      <c r="BA14" s="30" t="str">
        <f t="shared" si="7"/>
        <v>0010752-95.2020.5.18.0101</v>
      </c>
      <c r="BB14" s="30" t="str">
        <f t="shared" si="8"/>
        <v/>
      </c>
      <c r="BC14" s="30">
        <f>IF(X14=0,0,IF(COUNTIFS($X$10:X14,1,$BA$10:BA14,BA14)=1,1,0))</f>
        <v>1</v>
      </c>
      <c r="BD14" s="29">
        <v>45512</v>
      </c>
    </row>
    <row r="15" spans="1:56" ht="42" customHeight="1">
      <c r="A15" s="41" t="s">
        <v>200</v>
      </c>
      <c r="B15" s="44" t="s">
        <v>161</v>
      </c>
      <c r="C15" s="44" t="s">
        <v>162</v>
      </c>
      <c r="D15" s="44" t="s">
        <v>163</v>
      </c>
      <c r="E15" s="44"/>
      <c r="F15" s="44" t="s">
        <v>182</v>
      </c>
      <c r="G15" s="44" t="s">
        <v>164</v>
      </c>
      <c r="H15" s="44" t="s">
        <v>201</v>
      </c>
      <c r="I15" s="44" t="s">
        <v>184</v>
      </c>
      <c r="J15" s="44" t="s">
        <v>202</v>
      </c>
      <c r="K15" s="44" t="s">
        <v>178</v>
      </c>
      <c r="L15" s="49"/>
      <c r="M15" s="48"/>
      <c r="N15" s="48" t="s">
        <v>170</v>
      </c>
      <c r="O15" s="48"/>
      <c r="P15" s="48"/>
      <c r="Q15" s="48"/>
      <c r="R15" s="48"/>
      <c r="S15" s="49"/>
      <c r="T15" s="48"/>
      <c r="U15" s="48" t="s">
        <v>203</v>
      </c>
      <c r="V15" s="14">
        <f t="shared" si="0"/>
        <v>1</v>
      </c>
      <c r="W15" s="14">
        <f t="shared" si="1"/>
        <v>0</v>
      </c>
      <c r="X15" s="14">
        <f>IF(AND(V15=1,OR(Painel!$C$6="Todos",D15=Painel!$C$6),AND(OR(Painel!$L$6="Todas",E15=Painel!$L$6),OR(Painel!$C$8="Todos",F15=Painel!$C$8),OR(Painel!$L$8="Todos",G15=Painel!$L$8),OR(Painel!$C$10="",ISNUMBER(SEARCH(SUBSTITUTE(SUBSTITUTE(SUBSTITUTE(Painel!$C$10,"~","~~"),"*","~*"),"?","~?"),A15&amp;" "&amp;H15&amp;" "&amp;I15))))),1,0)</f>
        <v>1</v>
      </c>
      <c r="Y15" s="14">
        <f t="shared" si="2"/>
        <v>0</v>
      </c>
      <c r="Z15" s="15">
        <f>IF(V15=0,"",IF(COUNTIFS(Andamentos!$K$10:$K$2009,"="&amp;SUBSTITUTE(SUBSTITUTE(SUBSTITUTE("P:"&amp;A15,"~","~~"),"*","~*"),"?","~?"),Andamentos!$G$10:$G$2009,1)=0,"",_xlfn.AGGREGATE(14,6,Andamentos!$D$10:$D$2009/((Andamentos!$K$10:$K$2009=AS15)*(Andamentos!$G$10:$G$2009=1)),1)))</f>
        <v>45512</v>
      </c>
      <c r="AA15" s="14">
        <f>IF(Z15="",0,COUNTIFS(Andamentos!$K$10:$K$2009,"="&amp;SUBSTITUTE(SUBSTITUTE(SUBSTITUTE("P:"&amp;A15,"~","~~"),"*","~*"),"?","~?"),Andamentos!$D$10:$D$2009,Z15,Andamentos!$G$10:$G$2009,1))</f>
        <v>1</v>
      </c>
      <c r="AB15" s="14">
        <f>IF(AA15=1,SUMIFS(Andamentos!$L$10:$L$2009,Andamentos!$K$10:$K$2009,"="&amp;SUBSTITUTE(SUBSTITUTE(SUBSTITUTE(AS15,"~","~~"),"*","~*"),"?","~?"),Andamentos!$D$10:$D$2009,Z15,Andamentos!$G$10:$G$2009,1)-9,0)</f>
        <v>6</v>
      </c>
      <c r="AC15" s="14" t="str">
        <f>IF(V15=0,"",IF(AA15&gt;1,"Conferir recebimentos empatados",IF(AB15=0,"Sem atualização",INDEX(Andamentos!$C$10:$C$2009,AB15))))</f>
        <v>08/04/2024 - Extinção da execução por cumprimento de acordo. [...] histórico completo em Observações</v>
      </c>
      <c r="AD15" s="14">
        <f>IF(W15=0,0,IF(MAX(Z15,BD15)=0,1,IF(Configurar!$J$12-INT(MAX(Z15,BD15))&gt;Configurar!$J$11,1,0)))</f>
        <v>0</v>
      </c>
      <c r="AE15" s="16"/>
      <c r="AF15" s="14"/>
      <c r="AG15" s="14"/>
      <c r="AH15" s="14">
        <f>IF(AND(V15=1,COUNTIFS(Valores!$S$10:$S$509,"="&amp;SUBSTITUTE(SUBSTITUTE(SUBSTITUTE("P:"&amp;A15,"~","~~"),"*","~*"),"?","~?"))=1),(IF(ISNA(MATCH(SUBSTITUTE(SUBSTITUTE(SUBSTITUTE("P:"&amp;A15,"~","~~"),"*","~*"),"?","~?"),Valores!$S$10:$S$509,0)),9,INDEX(Valores!$R$10:$R$509,MATCH(SUBSTITUTE(SUBSTITUTE(SUBSTITUTE("P:"&amp;A15,"~","~~"),"*","~*"),"?","~?"),Valores!$S$10:$S$509,0)))-9),0)</f>
        <v>6</v>
      </c>
      <c r="AI15" s="40" t="str">
        <f t="shared" si="3"/>
        <v>Informe a empresa responsável</v>
      </c>
      <c r="AJ15" s="14" t="str">
        <f>IF(AND(X15=1,Y15=1),COUNTIFS($X$10:X15,1,$Y$10:Y15,1),"")</f>
        <v/>
      </c>
      <c r="AK15" s="14">
        <f>IF(X15=1,COUNTIFS($X$10:X15,1),"")</f>
        <v>6</v>
      </c>
      <c r="AL15" s="14">
        <f>IF(AND(V15=1,AND(OR(Painel!$L$6="Todas",E15=Painel!$L$6),OR(Painel!$C$8="Todos",F15=Painel!$C$8),OR(Painel!$L$8="Todos",G15=Painel!$L$8),OR(Painel!$C$10="",ISNUMBER(SEARCH(SUBSTITUTE(SUBSTITUTE(SUBSTITUTE(Painel!$C$10,"~","~~"),"*","~*"),"?","~?"),A15&amp;" "&amp;H15&amp;" "&amp;I15))))),1,0)</f>
        <v>1</v>
      </c>
      <c r="AM15" s="14">
        <f t="shared" si="4"/>
        <v>15</v>
      </c>
      <c r="AN15" s="14"/>
      <c r="AO15" s="14"/>
      <c r="AP15" s="16">
        <f>IF(AB15=0,"",IF(INDEX(Andamentos!$B$10:$B$2009,AB15)="","",INDEX(Andamentos!$B$10:$B$2009,AB15)))</f>
        <v>45390</v>
      </c>
      <c r="AQ15" s="17">
        <f>IF(AH15=0,"",IF(INDEX(Valores!$B$10:$B$509,AH15)="","",IF(ISNUMBER(INDEX(Valores!$B$10:$B$509,AH15)),INDEX(Valores!$B$10:$B$509,AH15),"")))</f>
        <v>209128.3</v>
      </c>
      <c r="AR15" s="14" t="str">
        <f t="shared" si="5"/>
        <v/>
      </c>
      <c r="AS15" s="14" t="str">
        <f t="shared" si="6"/>
        <v>P:0010065-46.2019.5.18.0104</v>
      </c>
      <c r="AT15" s="27" t="s">
        <v>204</v>
      </c>
      <c r="AU15" s="31" t="s">
        <v>200</v>
      </c>
      <c r="AV15" s="31"/>
      <c r="AW15" s="27" t="s">
        <v>162</v>
      </c>
      <c r="AX15" s="27"/>
      <c r="AY15" s="27"/>
      <c r="AZ15" s="27"/>
      <c r="BA15" s="30" t="str">
        <f t="shared" si="7"/>
        <v>0010065-46.2019.5.18.0104</v>
      </c>
      <c r="BB15" s="30" t="str">
        <f t="shared" si="8"/>
        <v/>
      </c>
      <c r="BC15" s="30">
        <f>IF(X15=0,0,IF(COUNTIFS($X$10:X15,1,$BA$10:BA15,BA15)=1,1,0))</f>
        <v>1</v>
      </c>
      <c r="BD15" s="29">
        <v>45512</v>
      </c>
    </row>
    <row r="16" spans="1:56" ht="42" customHeight="1">
      <c r="A16" s="41" t="s">
        <v>205</v>
      </c>
      <c r="B16" s="44" t="s">
        <v>161</v>
      </c>
      <c r="C16" s="44" t="s">
        <v>162</v>
      </c>
      <c r="D16" s="44" t="s">
        <v>163</v>
      </c>
      <c r="E16" s="44"/>
      <c r="F16" s="44" t="s">
        <v>206</v>
      </c>
      <c r="G16" s="44" t="s">
        <v>164</v>
      </c>
      <c r="H16" s="44" t="s">
        <v>207</v>
      </c>
      <c r="I16" s="44" t="s">
        <v>208</v>
      </c>
      <c r="J16" s="44" t="s">
        <v>209</v>
      </c>
      <c r="K16" s="44" t="s">
        <v>178</v>
      </c>
      <c r="L16" s="49"/>
      <c r="M16" s="48"/>
      <c r="N16" s="48" t="s">
        <v>170</v>
      </c>
      <c r="O16" s="48"/>
      <c r="P16" s="48"/>
      <c r="Q16" s="48"/>
      <c r="R16" s="48"/>
      <c r="S16" s="49"/>
      <c r="T16" s="48"/>
      <c r="U16" s="48" t="s">
        <v>210</v>
      </c>
      <c r="V16" s="14">
        <f t="shared" si="0"/>
        <v>1</v>
      </c>
      <c r="W16" s="14">
        <f t="shared" si="1"/>
        <v>0</v>
      </c>
      <c r="X16" s="14">
        <f>IF(AND(V16=1,OR(Painel!$C$6="Todos",D16=Painel!$C$6),AND(OR(Painel!$L$6="Todas",E16=Painel!$L$6),OR(Painel!$C$8="Todos",F16=Painel!$C$8),OR(Painel!$L$8="Todos",G16=Painel!$L$8),OR(Painel!$C$10="",ISNUMBER(SEARCH(SUBSTITUTE(SUBSTITUTE(SUBSTITUTE(Painel!$C$10,"~","~~"),"*","~*"),"?","~?"),A16&amp;" "&amp;H16&amp;" "&amp;I16))))),1,0)</f>
        <v>1</v>
      </c>
      <c r="Y16" s="14">
        <f t="shared" si="2"/>
        <v>0</v>
      </c>
      <c r="Z16" s="15">
        <f>IF(V16=0,"",IF(COUNTIFS(Andamentos!$K$10:$K$2009,"="&amp;SUBSTITUTE(SUBSTITUTE(SUBSTITUTE("P:"&amp;A16,"~","~~"),"*","~*"),"?","~?"),Andamentos!$G$10:$G$2009,1)=0,"",_xlfn.AGGREGATE(14,6,Andamentos!$D$10:$D$2009/((Andamentos!$K$10:$K$2009=AS16)*(Andamentos!$G$10:$G$2009=1)),1)))</f>
        <v>45512</v>
      </c>
      <c r="AA16" s="14">
        <f>IF(Z16="",0,COUNTIFS(Andamentos!$K$10:$K$2009,"="&amp;SUBSTITUTE(SUBSTITUTE(SUBSTITUTE("P:"&amp;A16,"~","~~"),"*","~*"),"?","~?"),Andamentos!$D$10:$D$2009,Z16,Andamentos!$G$10:$G$2009,1))</f>
        <v>1</v>
      </c>
      <c r="AB16" s="14">
        <f>IF(AA16=1,SUMIFS(Andamentos!$L$10:$L$2009,Andamentos!$K$10:$K$2009,"="&amp;SUBSTITUTE(SUBSTITUTE(SUBSTITUTE(AS16,"~","~~"),"*","~*"),"?","~?"),Andamentos!$D$10:$D$2009,Z16,Andamentos!$G$10:$G$2009,1)-9,0)</f>
        <v>7</v>
      </c>
      <c r="AC16" s="14" t="str">
        <f>IF(V16=0,"",IF(AA16&gt;1,"Conferir recebimentos empatados",IF(AB16=0,"Sem atualização",INDEX(Andamentos!$C$10:$C$2009,AB16))))</f>
        <v>27/03/2024 - Autos arquivados. [...] histórico completo em Observações</v>
      </c>
      <c r="AD16" s="14">
        <f>IF(W16=0,0,IF(MAX(Z16,BD16)=0,1,IF(Configurar!$J$12-INT(MAX(Z16,BD16))&gt;Configurar!$J$11,1,0)))</f>
        <v>0</v>
      </c>
      <c r="AE16" s="16"/>
      <c r="AF16" s="14"/>
      <c r="AG16" s="14"/>
      <c r="AH16" s="14">
        <f>IF(AND(V16=1,COUNTIFS(Valores!$S$10:$S$509,"="&amp;SUBSTITUTE(SUBSTITUTE(SUBSTITUTE("P:"&amp;A16,"~","~~"),"*","~*"),"?","~?"))=1),(IF(ISNA(MATCH(SUBSTITUTE(SUBSTITUTE(SUBSTITUTE("P:"&amp;A16,"~","~~"),"*","~*"),"?","~?"),Valores!$S$10:$S$509,0)),9,INDEX(Valores!$R$10:$R$509,MATCH(SUBSTITUTE(SUBSTITUTE(SUBSTITUTE("P:"&amp;A16,"~","~~"),"*","~*"),"?","~?"),Valores!$S$10:$S$509,0)))-9),0)</f>
        <v>7</v>
      </c>
      <c r="AI16" s="40" t="str">
        <f t="shared" si="3"/>
        <v>Informe a empresa responsável</v>
      </c>
      <c r="AJ16" s="14" t="str">
        <f>IF(AND(X16=1,Y16=1),COUNTIFS($X$10:X16,1,$Y$10:Y16,1),"")</f>
        <v/>
      </c>
      <c r="AK16" s="14">
        <f>IF(X16=1,COUNTIFS($X$10:X16,1),"")</f>
        <v>7</v>
      </c>
      <c r="AL16" s="14">
        <f>IF(AND(V16=1,AND(OR(Painel!$L$6="Todas",E16=Painel!$L$6),OR(Painel!$C$8="Todos",F16=Painel!$C$8),OR(Painel!$L$8="Todos",G16=Painel!$L$8),OR(Painel!$C$10="",ISNUMBER(SEARCH(SUBSTITUTE(SUBSTITUTE(SUBSTITUTE(Painel!$C$10,"~","~~"),"*","~*"),"?","~?"),A16&amp;" "&amp;H16&amp;" "&amp;I16))))),1,0)</f>
        <v>1</v>
      </c>
      <c r="AM16" s="14">
        <f t="shared" si="4"/>
        <v>16</v>
      </c>
      <c r="AN16" s="14"/>
      <c r="AO16" s="14"/>
      <c r="AP16" s="16">
        <f>IF(AB16=0,"",IF(INDEX(Andamentos!$B$10:$B$2009,AB16)="","",INDEX(Andamentos!$B$10:$B$2009,AB16)))</f>
        <v>45378</v>
      </c>
      <c r="AQ16" s="17">
        <f>IF(AH16=0,"",IF(INDEX(Valores!$B$10:$B$509,AH16)="","",IF(ISNUMBER(INDEX(Valores!$B$10:$B$509,AH16)),INDEX(Valores!$B$10:$B$509,AH16),"")))</f>
        <v>43882.11</v>
      </c>
      <c r="AR16" s="14" t="str">
        <f t="shared" si="5"/>
        <v/>
      </c>
      <c r="AS16" s="14" t="str">
        <f t="shared" si="6"/>
        <v>P:0011079-71.2019.5.18.0102</v>
      </c>
      <c r="AT16" s="27" t="s">
        <v>211</v>
      </c>
      <c r="AU16" s="31" t="s">
        <v>205</v>
      </c>
      <c r="AV16" s="31"/>
      <c r="AW16" s="27" t="s">
        <v>162</v>
      </c>
      <c r="AX16" s="27"/>
      <c r="AY16" s="27"/>
      <c r="AZ16" s="27"/>
      <c r="BA16" s="30" t="str">
        <f t="shared" si="7"/>
        <v>0011079-71.2019.5.18.0102</v>
      </c>
      <c r="BB16" s="30" t="str">
        <f t="shared" si="8"/>
        <v/>
      </c>
      <c r="BC16" s="30">
        <f>IF(X16=0,0,IF(COUNTIFS($X$10:X16,1,$BA$10:BA16,BA16)=1,1,0))</f>
        <v>1</v>
      </c>
      <c r="BD16" s="29">
        <v>45512</v>
      </c>
    </row>
    <row r="17" spans="1:56" ht="42" customHeight="1">
      <c r="A17" s="41" t="s">
        <v>212</v>
      </c>
      <c r="B17" s="44" t="s">
        <v>161</v>
      </c>
      <c r="C17" s="44" t="s">
        <v>162</v>
      </c>
      <c r="D17" s="44" t="s">
        <v>1035</v>
      </c>
      <c r="E17" s="44"/>
      <c r="F17" s="44" t="s">
        <v>182</v>
      </c>
      <c r="G17" s="44" t="s">
        <v>164</v>
      </c>
      <c r="H17" s="44" t="s">
        <v>213</v>
      </c>
      <c r="I17" s="44" t="s">
        <v>214</v>
      </c>
      <c r="J17" s="44" t="s">
        <v>191</v>
      </c>
      <c r="K17" s="44" t="s">
        <v>178</v>
      </c>
      <c r="L17" s="49"/>
      <c r="M17" s="48"/>
      <c r="N17" s="48" t="s">
        <v>170</v>
      </c>
      <c r="O17" s="48"/>
      <c r="P17" s="48"/>
      <c r="Q17" s="48"/>
      <c r="R17" s="48"/>
      <c r="S17" s="49"/>
      <c r="T17" s="48"/>
      <c r="U17" s="48" t="s">
        <v>215</v>
      </c>
      <c r="V17" s="14">
        <f t="shared" si="0"/>
        <v>1</v>
      </c>
      <c r="W17" s="14">
        <f t="shared" si="1"/>
        <v>0</v>
      </c>
      <c r="X17" s="14">
        <f>IF(AND(V17=1,OR(Painel!$C$6="Todos",D17=Painel!$C$6),AND(OR(Painel!$L$6="Todas",E17=Painel!$L$6),OR(Painel!$C$8="Todos",F17=Painel!$C$8),OR(Painel!$L$8="Todos",G17=Painel!$L$8),OR(Painel!$C$10="",ISNUMBER(SEARCH(SUBSTITUTE(SUBSTITUTE(SUBSTITUTE(Painel!$C$10,"~","~~"),"*","~*"),"?","~?"),A17&amp;" "&amp;H17&amp;" "&amp;I17))))),1,0)</f>
        <v>1</v>
      </c>
      <c r="Y17" s="14">
        <f t="shared" si="2"/>
        <v>0</v>
      </c>
      <c r="Z17" s="15">
        <f>IF(V17=0,"",IF(COUNTIFS(Andamentos!$K$10:$K$2009,"="&amp;SUBSTITUTE(SUBSTITUTE(SUBSTITUTE("P:"&amp;A17,"~","~~"),"*","~*"),"?","~?"),Andamentos!$G$10:$G$2009,1)=0,"",_xlfn.AGGREGATE(14,6,Andamentos!$D$10:$D$2009/((Andamentos!$K$10:$K$2009=AS17)*(Andamentos!$G$10:$G$2009=1)),1)))</f>
        <v>45512</v>
      </c>
      <c r="AA17" s="14">
        <f>IF(Z17="",0,COUNTIFS(Andamentos!$K$10:$K$2009,"="&amp;SUBSTITUTE(SUBSTITUTE(SUBSTITUTE("P:"&amp;A17,"~","~~"),"*","~*"),"?","~?"),Andamentos!$D$10:$D$2009,Z17,Andamentos!$G$10:$G$2009,1))</f>
        <v>1</v>
      </c>
      <c r="AB17" s="14">
        <f>IF(AA17=1,SUMIFS(Andamentos!$L$10:$L$2009,Andamentos!$K$10:$K$2009,"="&amp;SUBSTITUTE(SUBSTITUTE(SUBSTITUTE(AS17,"~","~~"),"*","~*"),"?","~?"),Andamentos!$D$10:$D$2009,Z17,Andamentos!$G$10:$G$2009,1)-9,0)</f>
        <v>8</v>
      </c>
      <c r="AC17" s="14" t="str">
        <f>IF(V17=0,"",IF(AA17&gt;1,"Conferir recebimentos empatados",IF(AB17=0,"Sem atualização",INDEX(Andamentos!$C$10:$C$2009,AB17))))</f>
        <v>02/02/2024 - Execução extinta. [...] histórico completo em Observações</v>
      </c>
      <c r="AD17" s="14">
        <f>IF(W17=0,0,IF(MAX(Z17,BD17)=0,1,IF(Configurar!$J$12-INT(MAX(Z17,BD17))&gt;Configurar!$J$11,1,0)))</f>
        <v>0</v>
      </c>
      <c r="AE17" s="16"/>
      <c r="AF17" s="14"/>
      <c r="AG17" s="14"/>
      <c r="AH17" s="14">
        <f>IF(AND(V17=1,COUNTIFS(Valores!$S$10:$S$509,"="&amp;SUBSTITUTE(SUBSTITUTE(SUBSTITUTE("P:"&amp;A17,"~","~~"),"*","~*"),"?","~?"))=1),(IF(ISNA(MATCH(SUBSTITUTE(SUBSTITUTE(SUBSTITUTE("P:"&amp;A17,"~","~~"),"*","~*"),"?","~?"),Valores!$S$10:$S$509,0)),9,INDEX(Valores!$R$10:$R$509,MATCH(SUBSTITUTE(SUBSTITUTE(SUBSTITUTE("P:"&amp;A17,"~","~~"),"*","~*"),"?","~?"),Valores!$S$10:$S$509,0)))-9),0)</f>
        <v>8</v>
      </c>
      <c r="AI17" s="40" t="str">
        <f t="shared" si="3"/>
        <v>Informe a empresa responsável</v>
      </c>
      <c r="AJ17" s="14" t="str">
        <f>IF(AND(X17=1,Y17=1),COUNTIFS($X$10:X17,1,$Y$10:Y17,1),"")</f>
        <v/>
      </c>
      <c r="AK17" s="14">
        <f>IF(X17=1,COUNTIFS($X$10:X17,1),"")</f>
        <v>8</v>
      </c>
      <c r="AL17" s="14">
        <f>IF(AND(V17=1,AND(OR(Painel!$L$6="Todas",E17=Painel!$L$6),OR(Painel!$C$8="Todos",F17=Painel!$C$8),OR(Painel!$L$8="Todos",G17=Painel!$L$8),OR(Painel!$C$10="",ISNUMBER(SEARCH(SUBSTITUTE(SUBSTITUTE(SUBSTITUTE(Painel!$C$10,"~","~~"),"*","~*"),"?","~?"),A17&amp;" "&amp;H17&amp;" "&amp;I17))))),1,0)</f>
        <v>1</v>
      </c>
      <c r="AM17" s="14">
        <f t="shared" si="4"/>
        <v>17</v>
      </c>
      <c r="AN17" s="14"/>
      <c r="AO17" s="14"/>
      <c r="AP17" s="16">
        <f>IF(AB17=0,"",IF(INDEX(Andamentos!$B$10:$B$2009,AB17)="","",INDEX(Andamentos!$B$10:$B$2009,AB17)))</f>
        <v>45324</v>
      </c>
      <c r="AQ17" s="17">
        <f>IF(AH17=0,"",IF(INDEX(Valores!$B$10:$B$509,AH17)="","",IF(ISNUMBER(INDEX(Valores!$B$10:$B$509,AH17)),INDEX(Valores!$B$10:$B$509,AH17),"")))</f>
        <v>22913</v>
      </c>
      <c r="AR17" s="14" t="str">
        <f t="shared" si="5"/>
        <v/>
      </c>
      <c r="AS17" s="14" t="str">
        <f t="shared" si="6"/>
        <v>P:0010968-84.2019.5.18.0103 [BMM-008]</v>
      </c>
      <c r="AT17" s="27" t="s">
        <v>216</v>
      </c>
      <c r="AU17" s="31" t="s">
        <v>217</v>
      </c>
      <c r="AV17" s="31"/>
      <c r="AW17" s="27" t="s">
        <v>162</v>
      </c>
      <c r="AX17" s="27"/>
      <c r="AY17" s="27"/>
      <c r="AZ17" s="27"/>
      <c r="BA17" s="30" t="str">
        <f t="shared" si="7"/>
        <v>0010968-84.2019.5.18.0103</v>
      </c>
      <c r="BB17" s="30" t="str">
        <f t="shared" si="8"/>
        <v>Revisar repetição</v>
      </c>
      <c r="BC17" s="30">
        <f>IF(X17=0,0,IF(COUNTIFS($X$10:X17,1,$BA$10:BA17,BA17)=1,1,0))</f>
        <v>1</v>
      </c>
      <c r="BD17" s="29">
        <v>45512</v>
      </c>
    </row>
    <row r="18" spans="1:56" ht="42" customHeight="1">
      <c r="A18" s="41" t="s">
        <v>218</v>
      </c>
      <c r="B18" s="44" t="s">
        <v>161</v>
      </c>
      <c r="C18" s="44" t="s">
        <v>162</v>
      </c>
      <c r="D18" s="44" t="s">
        <v>163</v>
      </c>
      <c r="E18" s="44"/>
      <c r="F18" s="44" t="s">
        <v>174</v>
      </c>
      <c r="G18" s="44" t="s">
        <v>164</v>
      </c>
      <c r="H18" s="44" t="s">
        <v>219</v>
      </c>
      <c r="I18" s="44" t="s">
        <v>220</v>
      </c>
      <c r="J18" s="44" t="s">
        <v>177</v>
      </c>
      <c r="K18" s="44" t="s">
        <v>178</v>
      </c>
      <c r="L18" s="49"/>
      <c r="M18" s="48"/>
      <c r="N18" s="48" t="s">
        <v>170</v>
      </c>
      <c r="O18" s="48"/>
      <c r="P18" s="48"/>
      <c r="Q18" s="48"/>
      <c r="R18" s="48"/>
      <c r="S18" s="49"/>
      <c r="T18" s="48"/>
      <c r="U18" s="48" t="s">
        <v>221</v>
      </c>
      <c r="V18" s="14">
        <f t="shared" si="0"/>
        <v>1</v>
      </c>
      <c r="W18" s="14">
        <f t="shared" si="1"/>
        <v>0</v>
      </c>
      <c r="X18" s="14">
        <f>IF(AND(V18=1,OR(Painel!$C$6="Todos",D18=Painel!$C$6),AND(OR(Painel!$L$6="Todas",E18=Painel!$L$6),OR(Painel!$C$8="Todos",F18=Painel!$C$8),OR(Painel!$L$8="Todos",G18=Painel!$L$8),OR(Painel!$C$10="",ISNUMBER(SEARCH(SUBSTITUTE(SUBSTITUTE(SUBSTITUTE(Painel!$C$10,"~","~~"),"*","~*"),"?","~?"),A18&amp;" "&amp;H18&amp;" "&amp;I18))))),1,0)</f>
        <v>1</v>
      </c>
      <c r="Y18" s="14">
        <f t="shared" si="2"/>
        <v>0</v>
      </c>
      <c r="Z18" s="15">
        <f>IF(V18=0,"",IF(COUNTIFS(Andamentos!$K$10:$K$2009,"="&amp;SUBSTITUTE(SUBSTITUTE(SUBSTITUTE("P:"&amp;A18,"~","~~"),"*","~*"),"?","~?"),Andamentos!$G$10:$G$2009,1)=0,"",_xlfn.AGGREGATE(14,6,Andamentos!$D$10:$D$2009/((Andamentos!$K$10:$K$2009=AS18)*(Andamentos!$G$10:$G$2009=1)),1)))</f>
        <v>45512</v>
      </c>
      <c r="AA18" s="14">
        <f>IF(Z18="",0,COUNTIFS(Andamentos!$K$10:$K$2009,"="&amp;SUBSTITUTE(SUBSTITUTE(SUBSTITUTE("P:"&amp;A18,"~","~~"),"*","~*"),"?","~?"),Andamentos!$D$10:$D$2009,Z18,Andamentos!$G$10:$G$2009,1))</f>
        <v>1</v>
      </c>
      <c r="AB18" s="14">
        <f>IF(AA18=1,SUMIFS(Andamentos!$L$10:$L$2009,Andamentos!$K$10:$K$2009,"="&amp;SUBSTITUTE(SUBSTITUTE(SUBSTITUTE(AS18,"~","~~"),"*","~*"),"?","~?"),Andamentos!$D$10:$D$2009,Z18,Andamentos!$G$10:$G$2009,1)-9,0)</f>
        <v>9</v>
      </c>
      <c r="AC18" s="14" t="str">
        <f>IF(V18=0,"",IF(AA18&gt;1,"Conferir recebimentos empatados",IF(AB18=0,"Sem atualização",INDEX(Andamentos!$C$10:$C$2009,AB18))))</f>
        <v>09/04/2024 - Transferido saldo residual ao Reclamante. Processo arquivado. [...] histórico completo em Observações</v>
      </c>
      <c r="AD18" s="14">
        <f>IF(W18=0,0,IF(MAX(Z18,BD18)=0,1,IF(Configurar!$J$12-INT(MAX(Z18,BD18))&gt;Configurar!$J$11,1,0)))</f>
        <v>0</v>
      </c>
      <c r="AE18" s="16"/>
      <c r="AF18" s="14"/>
      <c r="AG18" s="14"/>
      <c r="AH18" s="14">
        <f>IF(AND(V18=1,COUNTIFS(Valores!$S$10:$S$509,"="&amp;SUBSTITUTE(SUBSTITUTE(SUBSTITUTE("P:"&amp;A18,"~","~~"),"*","~*"),"?","~?"))=1),(IF(ISNA(MATCH(SUBSTITUTE(SUBSTITUTE(SUBSTITUTE("P:"&amp;A18,"~","~~"),"*","~*"),"?","~?"),Valores!$S$10:$S$509,0)),9,INDEX(Valores!$R$10:$R$509,MATCH(SUBSTITUTE(SUBSTITUTE(SUBSTITUTE("P:"&amp;A18,"~","~~"),"*","~*"),"?","~?"),Valores!$S$10:$S$509,0)))-9),0)</f>
        <v>9</v>
      </c>
      <c r="AI18" s="40" t="str">
        <f t="shared" si="3"/>
        <v>Informe a empresa responsável</v>
      </c>
      <c r="AJ18" s="14" t="str">
        <f>IF(AND(X18=1,Y18=1),COUNTIFS($X$10:X18,1,$Y$10:Y18,1),"")</f>
        <v/>
      </c>
      <c r="AK18" s="14">
        <f>IF(X18=1,COUNTIFS($X$10:X18,1),"")</f>
        <v>9</v>
      </c>
      <c r="AL18" s="14">
        <f>IF(AND(V18=1,AND(OR(Painel!$L$6="Todas",E18=Painel!$L$6),OR(Painel!$C$8="Todos",F18=Painel!$C$8),OR(Painel!$L$8="Todos",G18=Painel!$L$8),OR(Painel!$C$10="",ISNUMBER(SEARCH(SUBSTITUTE(SUBSTITUTE(SUBSTITUTE(Painel!$C$10,"~","~~"),"*","~*"),"?","~?"),A18&amp;" "&amp;H18&amp;" "&amp;I18))))),1,0)</f>
        <v>1</v>
      </c>
      <c r="AM18" s="14">
        <f t="shared" si="4"/>
        <v>18</v>
      </c>
      <c r="AN18" s="14"/>
      <c r="AO18" s="14"/>
      <c r="AP18" s="16">
        <f>IF(AB18=0,"",IF(INDEX(Andamentos!$B$10:$B$2009,AB18)="","",INDEX(Andamentos!$B$10:$B$2009,AB18)))</f>
        <v>45391</v>
      </c>
      <c r="AQ18" s="17">
        <f>IF(AH18=0,"",IF(INDEX(Valores!$B$10:$B$509,AH18)="","",IF(ISNUMBER(INDEX(Valores!$B$10:$B$509,AH18)),INDEX(Valores!$B$10:$B$509,AH18),"")))</f>
        <v>80849.55</v>
      </c>
      <c r="AR18" s="14" t="str">
        <f t="shared" si="5"/>
        <v/>
      </c>
      <c r="AS18" s="14" t="str">
        <f t="shared" si="6"/>
        <v>P:0010160-08.2021.5.18.0201</v>
      </c>
      <c r="AT18" s="27" t="s">
        <v>222</v>
      </c>
      <c r="AU18" s="31" t="s">
        <v>218</v>
      </c>
      <c r="AV18" s="31"/>
      <c r="AW18" s="27" t="s">
        <v>162</v>
      </c>
      <c r="AX18" s="27"/>
      <c r="AY18" s="27"/>
      <c r="AZ18" s="27"/>
      <c r="BA18" s="30" t="str">
        <f t="shared" si="7"/>
        <v>0010160-08.2021.5.18.0201</v>
      </c>
      <c r="BB18" s="30" t="str">
        <f t="shared" si="8"/>
        <v/>
      </c>
      <c r="BC18" s="30">
        <f>IF(X18=0,0,IF(COUNTIFS($X$10:X18,1,$BA$10:BA18,BA18)=1,1,0))</f>
        <v>1</v>
      </c>
      <c r="BD18" s="29">
        <v>45512</v>
      </c>
    </row>
    <row r="19" spans="1:56" ht="42" customHeight="1">
      <c r="A19" s="41" t="s">
        <v>223</v>
      </c>
      <c r="B19" s="44" t="s">
        <v>161</v>
      </c>
      <c r="C19" s="44" t="s">
        <v>162</v>
      </c>
      <c r="D19" s="44" t="s">
        <v>163</v>
      </c>
      <c r="E19" s="44"/>
      <c r="F19" s="44" t="s">
        <v>174</v>
      </c>
      <c r="G19" s="44" t="s">
        <v>164</v>
      </c>
      <c r="H19" s="44" t="s">
        <v>224</v>
      </c>
      <c r="I19" s="44" t="s">
        <v>225</v>
      </c>
      <c r="J19" s="44" t="s">
        <v>226</v>
      </c>
      <c r="K19" s="44" t="s">
        <v>227</v>
      </c>
      <c r="L19" s="49"/>
      <c r="M19" s="48"/>
      <c r="N19" s="48" t="s">
        <v>170</v>
      </c>
      <c r="O19" s="48"/>
      <c r="P19" s="48"/>
      <c r="Q19" s="48"/>
      <c r="R19" s="48"/>
      <c r="S19" s="49"/>
      <c r="T19" s="48"/>
      <c r="U19" s="48" t="s">
        <v>228</v>
      </c>
      <c r="V19" s="14">
        <f t="shared" si="0"/>
        <v>1</v>
      </c>
      <c r="W19" s="14">
        <f t="shared" si="1"/>
        <v>0</v>
      </c>
      <c r="X19" s="14">
        <f>IF(AND(V19=1,OR(Painel!$C$6="Todos",D19=Painel!$C$6),AND(OR(Painel!$L$6="Todas",E19=Painel!$L$6),OR(Painel!$C$8="Todos",F19=Painel!$C$8),OR(Painel!$L$8="Todos",G19=Painel!$L$8),OR(Painel!$C$10="",ISNUMBER(SEARCH(SUBSTITUTE(SUBSTITUTE(SUBSTITUTE(Painel!$C$10,"~","~~"),"*","~*"),"?","~?"),A19&amp;" "&amp;H19&amp;" "&amp;I19))))),1,0)</f>
        <v>1</v>
      </c>
      <c r="Y19" s="14">
        <f t="shared" si="2"/>
        <v>0</v>
      </c>
      <c r="Z19" s="15">
        <f>IF(V19=0,"",IF(COUNTIFS(Andamentos!$K$10:$K$2009,"="&amp;SUBSTITUTE(SUBSTITUTE(SUBSTITUTE("P:"&amp;A19,"~","~~"),"*","~*"),"?","~?"),Andamentos!$G$10:$G$2009,1)=0,"",_xlfn.AGGREGATE(14,6,Andamentos!$D$10:$D$2009/((Andamentos!$K$10:$K$2009=AS19)*(Andamentos!$G$10:$G$2009=1)),1)))</f>
        <v>45512</v>
      </c>
      <c r="AA19" s="14">
        <f>IF(Z19="",0,COUNTIFS(Andamentos!$K$10:$K$2009,"="&amp;SUBSTITUTE(SUBSTITUTE(SUBSTITUTE("P:"&amp;A19,"~","~~"),"*","~*"),"?","~?"),Andamentos!$D$10:$D$2009,Z19,Andamentos!$G$10:$G$2009,1))</f>
        <v>1</v>
      </c>
      <c r="AB19" s="14">
        <f>IF(AA19=1,SUMIFS(Andamentos!$L$10:$L$2009,Andamentos!$K$10:$K$2009,"="&amp;SUBSTITUTE(SUBSTITUTE(SUBSTITUTE(AS19,"~","~~"),"*","~*"),"?","~?"),Andamentos!$D$10:$D$2009,Z19,Andamentos!$G$10:$G$2009,1)-9,0)</f>
        <v>10</v>
      </c>
      <c r="AC19" s="14" t="str">
        <f>IF(V19=0,"",IF(AA19&gt;1,"Conferir recebimentos empatados",IF(AB19=0,"Sem atualização",INDEX(Andamentos!$C$10:$C$2009,AB19))))</f>
        <v>(ABB/SPA- ENERGIA fez pagamento.) 13/05/2019 - Inclusão do Consórcio no polo passivo da ação.</v>
      </c>
      <c r="AD19" s="14">
        <f>IF(W19=0,0,IF(MAX(Z19,BD19)=0,1,IF(Configurar!$J$12-INT(MAX(Z19,BD19))&gt;Configurar!$J$11,1,0)))</f>
        <v>0</v>
      </c>
      <c r="AE19" s="16"/>
      <c r="AF19" s="14"/>
      <c r="AG19" s="14"/>
      <c r="AH19" s="14">
        <f>IF(AND(V19=1,COUNTIFS(Valores!$S$10:$S$509,"="&amp;SUBSTITUTE(SUBSTITUTE(SUBSTITUTE("P:"&amp;A19,"~","~~"),"*","~*"),"?","~?"))=1),(IF(ISNA(MATCH(SUBSTITUTE(SUBSTITUTE(SUBSTITUTE("P:"&amp;A19,"~","~~"),"*","~*"),"?","~?"),Valores!$S$10:$S$509,0)),9,INDEX(Valores!$R$10:$R$509,MATCH(SUBSTITUTE(SUBSTITUTE(SUBSTITUTE("P:"&amp;A19,"~","~~"),"*","~*"),"?","~?"),Valores!$S$10:$S$509,0)))-9),0)</f>
        <v>10</v>
      </c>
      <c r="AI19" s="40" t="str">
        <f t="shared" si="3"/>
        <v>Informe a empresa responsável</v>
      </c>
      <c r="AJ19" s="14" t="str">
        <f>IF(AND(X19=1,Y19=1),COUNTIFS($X$10:X19,1,$Y$10:Y19,1),"")</f>
        <v/>
      </c>
      <c r="AK19" s="14">
        <f>IF(X19=1,COUNTIFS($X$10:X19,1),"")</f>
        <v>10</v>
      </c>
      <c r="AL19" s="14">
        <f>IF(AND(V19=1,AND(OR(Painel!$L$6="Todas",E19=Painel!$L$6),OR(Painel!$C$8="Todos",F19=Painel!$C$8),OR(Painel!$L$8="Todos",G19=Painel!$L$8),OR(Painel!$C$10="",ISNUMBER(SEARCH(SUBSTITUTE(SUBSTITUTE(SUBSTITUTE(Painel!$C$10,"~","~~"),"*","~*"),"?","~?"),A19&amp;" "&amp;H19&amp;" "&amp;I19))))),1,0)</f>
        <v>1</v>
      </c>
      <c r="AM19" s="14">
        <f t="shared" si="4"/>
        <v>19</v>
      </c>
      <c r="AN19" s="14"/>
      <c r="AO19" s="14"/>
      <c r="AP19" s="16" t="str">
        <f>IF(AB19=0,"",IF(INDEX(Andamentos!$B$10:$B$2009,AB19)="","",INDEX(Andamentos!$B$10:$B$2009,AB19)))</f>
        <v/>
      </c>
      <c r="AQ19" s="17">
        <f>IF(AH19=0,"",IF(INDEX(Valores!$B$10:$B$509,AH19)="","",IF(ISNUMBER(INDEX(Valores!$B$10:$B$509,AH19)),INDEX(Valores!$B$10:$B$509,AH19),"")))</f>
        <v>213561.34</v>
      </c>
      <c r="AR19" s="14" t="str">
        <f t="shared" si="5"/>
        <v/>
      </c>
      <c r="AS19" s="14" t="str">
        <f t="shared" si="6"/>
        <v>P:0000972-59.2016.5.08.0131</v>
      </c>
      <c r="AT19" s="27" t="s">
        <v>229</v>
      </c>
      <c r="AU19" s="31" t="s">
        <v>223</v>
      </c>
      <c r="AV19" s="31"/>
      <c r="AW19" s="27" t="s">
        <v>162</v>
      </c>
      <c r="AX19" s="27"/>
      <c r="AY19" s="27"/>
      <c r="AZ19" s="27"/>
      <c r="BA19" s="30" t="str">
        <f t="shared" si="7"/>
        <v>0000972-59.2016.5.08.0131</v>
      </c>
      <c r="BB19" s="30" t="str">
        <f t="shared" si="8"/>
        <v/>
      </c>
      <c r="BC19" s="30">
        <f>IF(X19=0,0,IF(COUNTIFS($X$10:X19,1,$BA$10:BA19,BA19)=1,1,0))</f>
        <v>1</v>
      </c>
      <c r="BD19" s="29">
        <v>45512</v>
      </c>
    </row>
    <row r="20" spans="1:56" ht="42" customHeight="1">
      <c r="A20" s="41" t="s">
        <v>230</v>
      </c>
      <c r="B20" s="44" t="s">
        <v>161</v>
      </c>
      <c r="C20" s="44" t="s">
        <v>162</v>
      </c>
      <c r="D20" s="44" t="s">
        <v>163</v>
      </c>
      <c r="E20" s="44"/>
      <c r="F20" s="44" t="s">
        <v>174</v>
      </c>
      <c r="G20" s="44" t="s">
        <v>164</v>
      </c>
      <c r="H20" s="44" t="s">
        <v>231</v>
      </c>
      <c r="I20" s="44" t="s">
        <v>232</v>
      </c>
      <c r="J20" s="44" t="s">
        <v>233</v>
      </c>
      <c r="K20" s="44" t="s">
        <v>234</v>
      </c>
      <c r="L20" s="49"/>
      <c r="M20" s="48"/>
      <c r="N20" s="48" t="s">
        <v>170</v>
      </c>
      <c r="O20" s="48"/>
      <c r="P20" s="48"/>
      <c r="Q20" s="48"/>
      <c r="R20" s="48"/>
      <c r="S20" s="49"/>
      <c r="T20" s="48"/>
      <c r="U20" s="48" t="s">
        <v>235</v>
      </c>
      <c r="V20" s="14">
        <f t="shared" si="0"/>
        <v>1</v>
      </c>
      <c r="W20" s="14">
        <f t="shared" si="1"/>
        <v>0</v>
      </c>
      <c r="X20" s="14">
        <f>IF(AND(V20=1,OR(Painel!$C$6="Todos",D20=Painel!$C$6),AND(OR(Painel!$L$6="Todas",E20=Painel!$L$6),OR(Painel!$C$8="Todos",F20=Painel!$C$8),OR(Painel!$L$8="Todos",G20=Painel!$L$8),OR(Painel!$C$10="",ISNUMBER(SEARCH(SUBSTITUTE(SUBSTITUTE(SUBSTITUTE(Painel!$C$10,"~","~~"),"*","~*"),"?","~?"),A20&amp;" "&amp;H20&amp;" "&amp;I20))))),1,0)</f>
        <v>1</v>
      </c>
      <c r="Y20" s="14">
        <f t="shared" si="2"/>
        <v>0</v>
      </c>
      <c r="Z20" s="15">
        <f>IF(V20=0,"",IF(COUNTIFS(Andamentos!$K$10:$K$2009,"="&amp;SUBSTITUTE(SUBSTITUTE(SUBSTITUTE("P:"&amp;A20,"~","~~"),"*","~*"),"?","~?"),Andamentos!$G$10:$G$2009,1)=0,"",_xlfn.AGGREGATE(14,6,Andamentos!$D$10:$D$2009/((Andamentos!$K$10:$K$2009=AS20)*(Andamentos!$G$10:$G$2009=1)),1)))</f>
        <v>45512</v>
      </c>
      <c r="AA20" s="14">
        <f>IF(Z20="",0,COUNTIFS(Andamentos!$K$10:$K$2009,"="&amp;SUBSTITUTE(SUBSTITUTE(SUBSTITUTE("P:"&amp;A20,"~","~~"),"*","~*"),"?","~?"),Andamentos!$D$10:$D$2009,Z20,Andamentos!$G$10:$G$2009,1))</f>
        <v>1</v>
      </c>
      <c r="AB20" s="14">
        <f>IF(AA20=1,SUMIFS(Andamentos!$L$10:$L$2009,Andamentos!$K$10:$K$2009,"="&amp;SUBSTITUTE(SUBSTITUTE(SUBSTITUTE(AS20,"~","~~"),"*","~*"),"?","~?"),Andamentos!$D$10:$D$2009,Z20,Andamentos!$G$10:$G$2009,1)-9,0)</f>
        <v>11</v>
      </c>
      <c r="AC20" s="14" t="str">
        <f>IF(V20=0,"",IF(AA20&gt;1,"Conferir recebimentos empatados",IF(AB20=0,"Sem atualização",INDEX(Andamentos!$C$10:$C$2009,AB20))))</f>
        <v>21/11/2023 - Saneado o processo e excluído o Consórcio do polo passivo. [...] histórico completo em Observações</v>
      </c>
      <c r="AD20" s="14">
        <f>IF(W20=0,0,IF(MAX(Z20,BD20)=0,1,IF(Configurar!$J$12-INT(MAX(Z20,BD20))&gt;Configurar!$J$11,1,0)))</f>
        <v>0</v>
      </c>
      <c r="AE20" s="16"/>
      <c r="AF20" s="14"/>
      <c r="AG20" s="14"/>
      <c r="AH20" s="14">
        <f>IF(AND(V20=1,COUNTIFS(Valores!$S$10:$S$509,"="&amp;SUBSTITUTE(SUBSTITUTE(SUBSTITUTE("P:"&amp;A20,"~","~~"),"*","~*"),"?","~?"))=1),(IF(ISNA(MATCH(SUBSTITUTE(SUBSTITUTE(SUBSTITUTE("P:"&amp;A20,"~","~~"),"*","~*"),"?","~?"),Valores!$S$10:$S$509,0)),9,INDEX(Valores!$R$10:$R$509,MATCH(SUBSTITUTE(SUBSTITUTE(SUBSTITUTE("P:"&amp;A20,"~","~~"),"*","~*"),"?","~?"),Valores!$S$10:$S$509,0)))-9),0)</f>
        <v>11</v>
      </c>
      <c r="AI20" s="40" t="str">
        <f t="shared" si="3"/>
        <v>Informe a empresa responsável</v>
      </c>
      <c r="AJ20" s="14" t="str">
        <f>IF(AND(X20=1,Y20=1),COUNTIFS($X$10:X20,1,$Y$10:Y20,1),"")</f>
        <v/>
      </c>
      <c r="AK20" s="14">
        <f>IF(X20=1,COUNTIFS($X$10:X20,1),"")</f>
        <v>11</v>
      </c>
      <c r="AL20" s="14">
        <f>IF(AND(V20=1,AND(OR(Painel!$L$6="Todas",E20=Painel!$L$6),OR(Painel!$C$8="Todos",F20=Painel!$C$8),OR(Painel!$L$8="Todos",G20=Painel!$L$8),OR(Painel!$C$10="",ISNUMBER(SEARCH(SUBSTITUTE(SUBSTITUTE(SUBSTITUTE(Painel!$C$10,"~","~~"),"*","~*"),"?","~?"),A20&amp;" "&amp;H20&amp;" "&amp;I20))))),1,0)</f>
        <v>1</v>
      </c>
      <c r="AM20" s="14">
        <f t="shared" si="4"/>
        <v>20</v>
      </c>
      <c r="AN20" s="14"/>
      <c r="AO20" s="14"/>
      <c r="AP20" s="16">
        <f>IF(AB20=0,"",IF(INDEX(Andamentos!$B$10:$B$2009,AB20)="","",INDEX(Andamentos!$B$10:$B$2009,AB20)))</f>
        <v>45251</v>
      </c>
      <c r="AQ20" s="17">
        <f>IF(AH20=0,"",IF(INDEX(Valores!$B$10:$B$509,AH20)="","",IF(ISNUMBER(INDEX(Valores!$B$10:$B$509,AH20)),INDEX(Valores!$B$10:$B$509,AH20),"")))</f>
        <v>5000</v>
      </c>
      <c r="AR20" s="14" t="str">
        <f t="shared" si="5"/>
        <v/>
      </c>
      <c r="AS20" s="14" t="str">
        <f t="shared" si="6"/>
        <v>P:0001354-49.2013.5.05.0581</v>
      </c>
      <c r="AT20" s="27" t="s">
        <v>236</v>
      </c>
      <c r="AU20" s="31" t="s">
        <v>230</v>
      </c>
      <c r="AV20" s="31"/>
      <c r="AW20" s="27" t="s">
        <v>162</v>
      </c>
      <c r="AX20" s="27"/>
      <c r="AY20" s="27"/>
      <c r="AZ20" s="27"/>
      <c r="BA20" s="30" t="str">
        <f t="shared" si="7"/>
        <v>0001354-49.2013.5.05.0581</v>
      </c>
      <c r="BB20" s="30" t="str">
        <f t="shared" si="8"/>
        <v/>
      </c>
      <c r="BC20" s="30">
        <f>IF(X20=0,0,IF(COUNTIFS($X$10:X20,1,$BA$10:BA20,BA20)=1,1,0))</f>
        <v>1</v>
      </c>
      <c r="BD20" s="29">
        <v>45512</v>
      </c>
    </row>
    <row r="21" spans="1:56" ht="42" customHeight="1">
      <c r="A21" s="41" t="s">
        <v>237</v>
      </c>
      <c r="B21" s="44" t="s">
        <v>161</v>
      </c>
      <c r="C21" s="44" t="s">
        <v>162</v>
      </c>
      <c r="D21" s="44" t="s">
        <v>163</v>
      </c>
      <c r="E21" s="44"/>
      <c r="F21" s="44" t="s">
        <v>182</v>
      </c>
      <c r="G21" s="44" t="s">
        <v>238</v>
      </c>
      <c r="H21" s="44" t="s">
        <v>239</v>
      </c>
      <c r="I21" s="44" t="s">
        <v>240</v>
      </c>
      <c r="J21" s="44" t="s">
        <v>241</v>
      </c>
      <c r="K21" s="44" t="s">
        <v>242</v>
      </c>
      <c r="L21" s="49">
        <v>44649</v>
      </c>
      <c r="M21" s="48" t="s">
        <v>243</v>
      </c>
      <c r="N21" s="48" t="s">
        <v>170</v>
      </c>
      <c r="O21" s="48"/>
      <c r="P21" s="48"/>
      <c r="Q21" s="48"/>
      <c r="R21" s="48"/>
      <c r="S21" s="49"/>
      <c r="T21" s="48"/>
      <c r="U21" s="48" t="s">
        <v>244</v>
      </c>
      <c r="V21" s="14">
        <f t="shared" si="0"/>
        <v>1</v>
      </c>
      <c r="W21" s="14">
        <f t="shared" si="1"/>
        <v>0</v>
      </c>
      <c r="X21" s="14">
        <f>IF(AND(V21=1,OR(Painel!$C$6="Todos",D21=Painel!$C$6),AND(OR(Painel!$L$6="Todas",E21=Painel!$L$6),OR(Painel!$C$8="Todos",F21=Painel!$C$8),OR(Painel!$L$8="Todos",G21=Painel!$L$8),OR(Painel!$C$10="",ISNUMBER(SEARCH(SUBSTITUTE(SUBSTITUTE(SUBSTITUTE(Painel!$C$10,"~","~~"),"*","~*"),"?","~?"),A21&amp;" "&amp;H21&amp;" "&amp;I21))))),1,0)</f>
        <v>1</v>
      </c>
      <c r="Y21" s="14">
        <f t="shared" si="2"/>
        <v>0</v>
      </c>
      <c r="Z21" s="15">
        <f>IF(V21=0,"",IF(COUNTIFS(Andamentos!$K$10:$K$2009,"="&amp;SUBSTITUTE(SUBSTITUTE(SUBSTITUTE("P:"&amp;A21,"~","~~"),"*","~*"),"?","~?"),Andamentos!$G$10:$G$2009,1)=0,"",_xlfn.AGGREGATE(14,6,Andamentos!$D$10:$D$2009/((Andamentos!$K$10:$K$2009=AS21)*(Andamentos!$G$10:$G$2009=1)),1)))</f>
        <v>46093</v>
      </c>
      <c r="AA21" s="14">
        <f>IF(Z21="",0,COUNTIFS(Andamentos!$K$10:$K$2009,"="&amp;SUBSTITUTE(SUBSTITUTE(SUBSTITUTE("P:"&amp;A21,"~","~~"),"*","~*"),"?","~?"),Andamentos!$D$10:$D$2009,Z21,Andamentos!$G$10:$G$2009,1))</f>
        <v>1</v>
      </c>
      <c r="AB21" s="14">
        <f>IF(AA21=1,SUMIFS(Andamentos!$L$10:$L$2009,Andamentos!$K$10:$K$2009,"="&amp;SUBSTITUTE(SUBSTITUTE(SUBSTITUTE(AS21,"~","~~"),"*","~*"),"?","~?"),Andamentos!$D$10:$D$2009,Z21,Andamentos!$G$10:$G$2009,1)-9,0)</f>
        <v>12</v>
      </c>
      <c r="AC21" s="14" t="str">
        <f>IF(V21=0,"",IF(AA21&gt;1,"Conferir recebimentos empatados",IF(AB21=0,"Sem atualização",INDEX(Andamentos!$C$10:$C$2009,AB21))))</f>
        <v>06/06/2025 - Processo arquivado. [...] histórico completo em Observações</v>
      </c>
      <c r="AD21" s="14">
        <f>IF(W21=0,0,IF(MAX(Z21,BD21)=0,1,IF(Configurar!$J$12-INT(MAX(Z21,BD21))&gt;Configurar!$J$11,1,0)))</f>
        <v>0</v>
      </c>
      <c r="AE21" s="16"/>
      <c r="AF21" s="14"/>
      <c r="AG21" s="14"/>
      <c r="AH21" s="14">
        <f>IF(AND(V21=1,COUNTIFS(Valores!$S$10:$S$509,"="&amp;SUBSTITUTE(SUBSTITUTE(SUBSTITUTE("P:"&amp;A21,"~","~~"),"*","~*"),"?","~?"))=1),(IF(ISNA(MATCH(SUBSTITUTE(SUBSTITUTE(SUBSTITUTE("P:"&amp;A21,"~","~~"),"*","~*"),"?","~?"),Valores!$S$10:$S$509,0)),9,INDEX(Valores!$R$10:$R$509,MATCH(SUBSTITUTE(SUBSTITUTE(SUBSTITUTE("P:"&amp;A21,"~","~~"),"*","~*"),"?","~?"),Valores!$S$10:$S$509,0)))-9),0)</f>
        <v>12</v>
      </c>
      <c r="AI21" s="40" t="str">
        <f t="shared" si="3"/>
        <v>Informe a empresa responsável</v>
      </c>
      <c r="AJ21" s="14" t="str">
        <f>IF(AND(X21=1,Y21=1),COUNTIFS($X$10:X21,1,$Y$10:Y21,1),"")</f>
        <v/>
      </c>
      <c r="AK21" s="14">
        <f>IF(X21=1,COUNTIFS($X$10:X21,1),"")</f>
        <v>12</v>
      </c>
      <c r="AL21" s="14">
        <f>IF(AND(V21=1,AND(OR(Painel!$L$6="Todas",E21=Painel!$L$6),OR(Painel!$C$8="Todos",F21=Painel!$C$8),OR(Painel!$L$8="Todos",G21=Painel!$L$8),OR(Painel!$C$10="",ISNUMBER(SEARCH(SUBSTITUTE(SUBSTITUTE(SUBSTITUTE(Painel!$C$10,"~","~~"),"*","~*"),"?","~?"),A21&amp;" "&amp;H21&amp;" "&amp;I21))))),1,0)</f>
        <v>1</v>
      </c>
      <c r="AM21" s="14">
        <f t="shared" si="4"/>
        <v>21</v>
      </c>
      <c r="AN21" s="14"/>
      <c r="AO21" s="14"/>
      <c r="AP21" s="16">
        <f>IF(AB21=0,"",IF(INDEX(Andamentos!$B$10:$B$2009,AB21)="","",INDEX(Andamentos!$B$10:$B$2009,AB21)))</f>
        <v>45814</v>
      </c>
      <c r="AQ21" s="17">
        <f>IF(AH21=0,"",IF(INDEX(Valores!$B$10:$B$509,AH21)="","",IF(ISNUMBER(INDEX(Valores!$B$10:$B$509,AH21)),INDEX(Valores!$B$10:$B$509,AH21),"")))</f>
        <v>41800</v>
      </c>
      <c r="AR21" s="14" t="str">
        <f t="shared" si="5"/>
        <v/>
      </c>
      <c r="AS21" s="14" t="str">
        <f t="shared" si="6"/>
        <v>P:5179003-70.2022.8.09.0149</v>
      </c>
      <c r="AT21" s="27" t="s">
        <v>245</v>
      </c>
      <c r="AU21" s="31" t="s">
        <v>237</v>
      </c>
      <c r="AV21" s="31"/>
      <c r="AW21" s="27" t="s">
        <v>162</v>
      </c>
      <c r="AX21" s="27" t="s">
        <v>246</v>
      </c>
      <c r="AY21" s="27"/>
      <c r="AZ21" s="27"/>
      <c r="BA21" s="30" t="str">
        <f t="shared" si="7"/>
        <v>5179003-70.2022.8.09.0149</v>
      </c>
      <c r="BB21" s="30" t="str">
        <f t="shared" si="8"/>
        <v/>
      </c>
      <c r="BC21" s="30">
        <f>IF(X21=0,0,IF(COUNTIFS($X$10:X21,1,$BA$10:BA21,BA21)=1,1,0))</f>
        <v>1</v>
      </c>
      <c r="BD21" s="29">
        <v>46093</v>
      </c>
    </row>
    <row r="22" spans="1:56" ht="42" customHeight="1">
      <c r="A22" s="41" t="s">
        <v>247</v>
      </c>
      <c r="B22" s="44" t="s">
        <v>161</v>
      </c>
      <c r="C22" s="44" t="s">
        <v>162</v>
      </c>
      <c r="D22" s="44" t="s">
        <v>163</v>
      </c>
      <c r="E22" s="44"/>
      <c r="F22" s="44" t="s">
        <v>182</v>
      </c>
      <c r="G22" s="44" t="s">
        <v>238</v>
      </c>
      <c r="H22" s="44" t="s">
        <v>239</v>
      </c>
      <c r="I22" s="44" t="s">
        <v>240</v>
      </c>
      <c r="J22" s="44" t="s">
        <v>241</v>
      </c>
      <c r="K22" s="44" t="s">
        <v>242</v>
      </c>
      <c r="L22" s="49">
        <v>44312</v>
      </c>
      <c r="M22" s="48" t="s">
        <v>248</v>
      </c>
      <c r="N22" s="48" t="s">
        <v>170</v>
      </c>
      <c r="O22" s="48"/>
      <c r="P22" s="48"/>
      <c r="Q22" s="48"/>
      <c r="R22" s="48"/>
      <c r="S22" s="49"/>
      <c r="T22" s="48"/>
      <c r="U22" s="48" t="s">
        <v>249</v>
      </c>
      <c r="V22" s="14">
        <f t="shared" si="0"/>
        <v>1</v>
      </c>
      <c r="W22" s="14">
        <f t="shared" si="1"/>
        <v>0</v>
      </c>
      <c r="X22" s="14">
        <f>IF(AND(V22=1,OR(Painel!$C$6="Todos",D22=Painel!$C$6),AND(OR(Painel!$L$6="Todas",E22=Painel!$L$6),OR(Painel!$C$8="Todos",F22=Painel!$C$8),OR(Painel!$L$8="Todos",G22=Painel!$L$8),OR(Painel!$C$10="",ISNUMBER(SEARCH(SUBSTITUTE(SUBSTITUTE(SUBSTITUTE(Painel!$C$10,"~","~~"),"*","~*"),"?","~?"),A22&amp;" "&amp;H22&amp;" "&amp;I22))))),1,0)</f>
        <v>1</v>
      </c>
      <c r="Y22" s="14">
        <f t="shared" si="2"/>
        <v>0</v>
      </c>
      <c r="Z22" s="15">
        <f>IF(V22=0,"",IF(COUNTIFS(Andamentos!$K$10:$K$2009,"="&amp;SUBSTITUTE(SUBSTITUTE(SUBSTITUTE("P:"&amp;A22,"~","~~"),"*","~*"),"?","~?"),Andamentos!$G$10:$G$2009,1)=0,"",_xlfn.AGGREGATE(14,6,Andamentos!$D$10:$D$2009/((Andamentos!$K$10:$K$2009=AS22)*(Andamentos!$G$10:$G$2009=1)),1)))</f>
        <v>46093</v>
      </c>
      <c r="AA22" s="14">
        <f>IF(Z22="",0,COUNTIFS(Andamentos!$K$10:$K$2009,"="&amp;SUBSTITUTE(SUBSTITUTE(SUBSTITUTE("P:"&amp;A22,"~","~~"),"*","~*"),"?","~?"),Andamentos!$D$10:$D$2009,Z22,Andamentos!$G$10:$G$2009,1))</f>
        <v>1</v>
      </c>
      <c r="AB22" s="14">
        <f>IF(AA22=1,SUMIFS(Andamentos!$L$10:$L$2009,Andamentos!$K$10:$K$2009,"="&amp;SUBSTITUTE(SUBSTITUTE(SUBSTITUTE(AS22,"~","~~"),"*","~*"),"?","~?"),Andamentos!$D$10:$D$2009,Z22,Andamentos!$G$10:$G$2009,1)-9,0)</f>
        <v>13</v>
      </c>
      <c r="AC22" s="14" t="str">
        <f>IF(V22=0,"",IF(AA22&gt;1,"Conferir recebimentos empatados",IF(AB22=0,"Sem atualização",INDEX(Andamentos!$C$10:$C$2009,AB22))))</f>
        <v>18/07/2025 - Processo arquivado. [...] histórico completo em Observações</v>
      </c>
      <c r="AD22" s="14">
        <f>IF(W22=0,0,IF(MAX(Z22,BD22)=0,1,IF(Configurar!$J$12-INT(MAX(Z22,BD22))&gt;Configurar!$J$11,1,0)))</f>
        <v>0</v>
      </c>
      <c r="AE22" s="16"/>
      <c r="AF22" s="14"/>
      <c r="AG22" s="14"/>
      <c r="AH22" s="14">
        <f>IF(AND(V22=1,COUNTIFS(Valores!$S$10:$S$509,"="&amp;SUBSTITUTE(SUBSTITUTE(SUBSTITUTE("P:"&amp;A22,"~","~~"),"*","~*"),"?","~?"))=1),(IF(ISNA(MATCH(SUBSTITUTE(SUBSTITUTE(SUBSTITUTE("P:"&amp;A22,"~","~~"),"*","~*"),"?","~?"),Valores!$S$10:$S$509,0)),9,INDEX(Valores!$R$10:$R$509,MATCH(SUBSTITUTE(SUBSTITUTE(SUBSTITUTE("P:"&amp;A22,"~","~~"),"*","~*"),"?","~?"),Valores!$S$10:$S$509,0)))-9),0)</f>
        <v>13</v>
      </c>
      <c r="AI22" s="40" t="str">
        <f t="shared" si="3"/>
        <v>Informe a empresa responsável</v>
      </c>
      <c r="AJ22" s="14" t="str">
        <f>IF(AND(X22=1,Y22=1),COUNTIFS($X$10:X22,1,$Y$10:Y22,1),"")</f>
        <v/>
      </c>
      <c r="AK22" s="14">
        <f>IF(X22=1,COUNTIFS($X$10:X22,1),"")</f>
        <v>13</v>
      </c>
      <c r="AL22" s="14">
        <f>IF(AND(V22=1,AND(OR(Painel!$L$6="Todas",E22=Painel!$L$6),OR(Painel!$C$8="Todos",F22=Painel!$C$8),OR(Painel!$L$8="Todos",G22=Painel!$L$8),OR(Painel!$C$10="",ISNUMBER(SEARCH(SUBSTITUTE(SUBSTITUTE(SUBSTITUTE(Painel!$C$10,"~","~~"),"*","~*"),"?","~?"),A22&amp;" "&amp;H22&amp;" "&amp;I22))))),1,0)</f>
        <v>1</v>
      </c>
      <c r="AM22" s="14">
        <f t="shared" si="4"/>
        <v>22</v>
      </c>
      <c r="AN22" s="14"/>
      <c r="AO22" s="14"/>
      <c r="AP22" s="16">
        <f>IF(AB22=0,"",IF(INDEX(Andamentos!$B$10:$B$2009,AB22)="","",INDEX(Andamentos!$B$10:$B$2009,AB22)))</f>
        <v>45856</v>
      </c>
      <c r="AQ22" s="17">
        <f>IF(AH22=0,"",IF(INDEX(Valores!$B$10:$B$509,AH22)="","",IF(ISNUMBER(INDEX(Valores!$B$10:$B$509,AH22)),INDEX(Valores!$B$10:$B$509,AH22),"")))</f>
        <v>39000</v>
      </c>
      <c r="AR22" s="14" t="str">
        <f t="shared" si="5"/>
        <v/>
      </c>
      <c r="AS22" s="14" t="str">
        <f t="shared" si="6"/>
        <v>P:5200111-92.2021.8.09.0149</v>
      </c>
      <c r="AT22" s="27" t="s">
        <v>250</v>
      </c>
      <c r="AU22" s="31" t="s">
        <v>247</v>
      </c>
      <c r="AV22" s="31"/>
      <c r="AW22" s="27" t="s">
        <v>162</v>
      </c>
      <c r="AX22" s="27"/>
      <c r="AY22" s="27"/>
      <c r="AZ22" s="27"/>
      <c r="BA22" s="30" t="str">
        <f t="shared" si="7"/>
        <v>5200111-92.2021.8.09.0149</v>
      </c>
      <c r="BB22" s="30" t="str">
        <f t="shared" si="8"/>
        <v/>
      </c>
      <c r="BC22" s="30">
        <f>IF(X22=0,0,IF(COUNTIFS($X$10:X22,1,$BA$10:BA22,BA22)=1,1,0))</f>
        <v>1</v>
      </c>
      <c r="BD22" s="29">
        <v>46093</v>
      </c>
    </row>
    <row r="23" spans="1:56" ht="42" customHeight="1">
      <c r="A23" s="41" t="s">
        <v>251</v>
      </c>
      <c r="B23" s="44" t="s">
        <v>161</v>
      </c>
      <c r="C23" s="44" t="s">
        <v>252</v>
      </c>
      <c r="D23" s="44" t="s">
        <v>163</v>
      </c>
      <c r="E23" s="44"/>
      <c r="F23" s="44" t="s">
        <v>253</v>
      </c>
      <c r="G23" s="44" t="s">
        <v>238</v>
      </c>
      <c r="H23" s="44" t="s">
        <v>254</v>
      </c>
      <c r="I23" s="44" t="s">
        <v>255</v>
      </c>
      <c r="J23" s="44" t="s">
        <v>256</v>
      </c>
      <c r="K23" s="44" t="s">
        <v>257</v>
      </c>
      <c r="L23" s="49">
        <v>44831</v>
      </c>
      <c r="M23" s="48" t="s">
        <v>258</v>
      </c>
      <c r="N23" s="48" t="s">
        <v>170</v>
      </c>
      <c r="O23" s="48"/>
      <c r="P23" s="48"/>
      <c r="Q23" s="48"/>
      <c r="R23" s="48"/>
      <c r="S23" s="49"/>
      <c r="T23" s="48"/>
      <c r="U23" s="48" t="s">
        <v>259</v>
      </c>
      <c r="V23" s="14">
        <f t="shared" si="0"/>
        <v>1</v>
      </c>
      <c r="W23" s="14">
        <f t="shared" si="1"/>
        <v>0</v>
      </c>
      <c r="X23" s="14">
        <f>IF(AND(V23=1,OR(Painel!$C$6="Todos",D23=Painel!$C$6),AND(OR(Painel!$L$6="Todas",E23=Painel!$L$6),OR(Painel!$C$8="Todos",F23=Painel!$C$8),OR(Painel!$L$8="Todos",G23=Painel!$L$8),OR(Painel!$C$10="",ISNUMBER(SEARCH(SUBSTITUTE(SUBSTITUTE(SUBSTITUTE(Painel!$C$10,"~","~~"),"*","~*"),"?","~?"),A23&amp;" "&amp;H23&amp;" "&amp;I23))))),1,0)</f>
        <v>1</v>
      </c>
      <c r="Y23" s="14">
        <f t="shared" si="2"/>
        <v>0</v>
      </c>
      <c r="Z23" s="15">
        <f>IF(V23=0,"",IF(COUNTIFS(Andamentos!$K$10:$K$2009,"="&amp;SUBSTITUTE(SUBSTITUTE(SUBSTITUTE("P:"&amp;A23,"~","~~"),"*","~*"),"?","~?"),Andamentos!$G$10:$G$2009,1)=0,"",_xlfn.AGGREGATE(14,6,Andamentos!$D$10:$D$2009/((Andamentos!$K$10:$K$2009=AS23)*(Andamentos!$G$10:$G$2009=1)),1)))</f>
        <v>45554</v>
      </c>
      <c r="AA23" s="14">
        <f>IF(Z23="",0,COUNTIFS(Andamentos!$K$10:$K$2009,"="&amp;SUBSTITUTE(SUBSTITUTE(SUBSTITUTE("P:"&amp;A23,"~","~~"),"*","~*"),"?","~?"),Andamentos!$D$10:$D$2009,Z23,Andamentos!$G$10:$G$2009,1))</f>
        <v>1</v>
      </c>
      <c r="AB23" s="14">
        <f>IF(AA23=1,SUMIFS(Andamentos!$L$10:$L$2009,Andamentos!$K$10:$K$2009,"="&amp;SUBSTITUTE(SUBSTITUTE(SUBSTITUTE(AS23,"~","~~"),"*","~*"),"?","~?"),Andamentos!$D$10:$D$2009,Z23,Andamentos!$G$10:$G$2009,1)-9,0)</f>
        <v>14</v>
      </c>
      <c r="AC23" s="14" t="str">
        <f>IF(V23=0,"",IF(AA23&gt;1,"Conferir recebimentos empatados",IF(AB23=0,"Sem atualização",INDEX(Andamentos!$C$10:$C$2009,AB23))))</f>
        <v>Audiência em 24/2/23 e apresentação da defesa. Não houve acordo e foi designada uma nova audiência para o dia 8/5/2023, pois faltou a citação da Integral Engenharia, que ainda precisa apresentar defesa.
(04/08/2023) Interposto recurso inominado por parte da Autora. [...] histórico completo em Observações</v>
      </c>
      <c r="AD23" s="14">
        <f>IF(W23=0,0,IF(MAX(Z23,BD23)=0,1,IF(Configurar!$J$12-INT(MAX(Z23,BD23))&gt;Configurar!$J$11,1,0)))</f>
        <v>0</v>
      </c>
      <c r="AE23" s="16"/>
      <c r="AF23" s="14"/>
      <c r="AG23" s="14"/>
      <c r="AH23" s="14">
        <f>IF(AND(V23=1,COUNTIFS(Valores!$S$10:$S$509,"="&amp;SUBSTITUTE(SUBSTITUTE(SUBSTITUTE("P:"&amp;A23,"~","~~"),"*","~*"),"?","~?"))=1),(IF(ISNA(MATCH(SUBSTITUTE(SUBSTITUTE(SUBSTITUTE("P:"&amp;A23,"~","~~"),"*","~*"),"?","~?"),Valores!$S$10:$S$509,0)),9,INDEX(Valores!$R$10:$R$509,MATCH(SUBSTITUTE(SUBSTITUTE(SUBSTITUTE("P:"&amp;A23,"~","~~"),"*","~*"),"?","~?"),Valores!$S$10:$S$509,0)))-9),0)</f>
        <v>14</v>
      </c>
      <c r="AI23" s="40" t="str">
        <f t="shared" si="3"/>
        <v>Informe a empresa responsável</v>
      </c>
      <c r="AJ23" s="14" t="str">
        <f>IF(AND(X23=1,Y23=1),COUNTIFS($X$10:X23,1,$Y$10:Y23,1),"")</f>
        <v/>
      </c>
      <c r="AK23" s="14">
        <f>IF(X23=1,COUNTIFS($X$10:X23,1),"")</f>
        <v>14</v>
      </c>
      <c r="AL23" s="14">
        <f>IF(AND(V23=1,AND(OR(Painel!$L$6="Todas",E23=Painel!$L$6),OR(Painel!$C$8="Todos",F23=Painel!$C$8),OR(Painel!$L$8="Todos",G23=Painel!$L$8),OR(Painel!$C$10="",ISNUMBER(SEARCH(SUBSTITUTE(SUBSTITUTE(SUBSTITUTE(Painel!$C$10,"~","~~"),"*","~*"),"?","~?"),A23&amp;" "&amp;H23&amp;" "&amp;I23))))),1,0)</f>
        <v>1</v>
      </c>
      <c r="AM23" s="14">
        <f t="shared" si="4"/>
        <v>23</v>
      </c>
      <c r="AN23" s="14"/>
      <c r="AO23" s="14"/>
      <c r="AP23" s="16" t="str">
        <f>IF(AB23=0,"",IF(INDEX(Andamentos!$B$10:$B$2009,AB23)="","",INDEX(Andamentos!$B$10:$B$2009,AB23)))</f>
        <v/>
      </c>
      <c r="AQ23" s="17">
        <f>IF(AH23=0,"",IF(INDEX(Valores!$B$10:$B$509,AH23)="","",IF(ISNUMBER(INDEX(Valores!$B$10:$B$509,AH23)),INDEX(Valores!$B$10:$B$509,AH23),"")))</f>
        <v>55086.09</v>
      </c>
      <c r="AR23" s="14" t="str">
        <f t="shared" si="5"/>
        <v/>
      </c>
      <c r="AS23" s="14" t="str">
        <f t="shared" si="6"/>
        <v>P:0766105-29.2022.8.07.0016</v>
      </c>
      <c r="AT23" s="27" t="s">
        <v>260</v>
      </c>
      <c r="AU23" s="31" t="s">
        <v>251</v>
      </c>
      <c r="AV23" s="31"/>
      <c r="AW23" s="27" t="s">
        <v>261</v>
      </c>
      <c r="AX23" s="27" t="s">
        <v>262</v>
      </c>
      <c r="AY23" s="27"/>
      <c r="AZ23" s="27"/>
      <c r="BA23" s="30" t="str">
        <f t="shared" si="7"/>
        <v>0766105-29.2022.8.07.0016</v>
      </c>
      <c r="BB23" s="30" t="str">
        <f t="shared" si="8"/>
        <v/>
      </c>
      <c r="BC23" s="30">
        <f>IF(X23=0,0,IF(COUNTIFS($X$10:X23,1,$BA$10:BA23,BA23)=1,1,0))</f>
        <v>1</v>
      </c>
      <c r="BD23" s="29">
        <v>45554</v>
      </c>
    </row>
    <row r="24" spans="1:56" ht="42" customHeight="1">
      <c r="A24" s="41" t="s">
        <v>263</v>
      </c>
      <c r="B24" s="44" t="s">
        <v>161</v>
      </c>
      <c r="C24" s="44" t="s">
        <v>252</v>
      </c>
      <c r="D24" s="44" t="s">
        <v>163</v>
      </c>
      <c r="E24" s="44"/>
      <c r="F24" s="44" t="s">
        <v>253</v>
      </c>
      <c r="G24" s="44" t="s">
        <v>238</v>
      </c>
      <c r="H24" s="44" t="s">
        <v>254</v>
      </c>
      <c r="I24" s="44" t="s">
        <v>255</v>
      </c>
      <c r="J24" s="44" t="s">
        <v>264</v>
      </c>
      <c r="K24" s="44" t="s">
        <v>257</v>
      </c>
      <c r="L24" s="49">
        <v>44831</v>
      </c>
      <c r="M24" s="48" t="s">
        <v>265</v>
      </c>
      <c r="N24" s="48" t="s">
        <v>170</v>
      </c>
      <c r="O24" s="48"/>
      <c r="P24" s="48"/>
      <c r="Q24" s="48"/>
      <c r="R24" s="48"/>
      <c r="S24" s="49"/>
      <c r="T24" s="48"/>
      <c r="U24" s="48" t="s">
        <v>266</v>
      </c>
      <c r="V24" s="14">
        <f t="shared" si="0"/>
        <v>1</v>
      </c>
      <c r="W24" s="14">
        <f t="shared" si="1"/>
        <v>0</v>
      </c>
      <c r="X24" s="14">
        <f>IF(AND(V24=1,OR(Painel!$C$6="Todos",D24=Painel!$C$6),AND(OR(Painel!$L$6="Todas",E24=Painel!$L$6),OR(Painel!$C$8="Todos",F24=Painel!$C$8),OR(Painel!$L$8="Todos",G24=Painel!$L$8),OR(Painel!$C$10="",ISNUMBER(SEARCH(SUBSTITUTE(SUBSTITUTE(SUBSTITUTE(Painel!$C$10,"~","~~"),"*","~*"),"?","~?"),A24&amp;" "&amp;H24&amp;" "&amp;I24))))),1,0)</f>
        <v>1</v>
      </c>
      <c r="Y24" s="14">
        <f t="shared" si="2"/>
        <v>0</v>
      </c>
      <c r="Z24" s="15">
        <f>IF(V24=0,"",IF(COUNTIFS(Andamentos!$K$10:$K$2009,"="&amp;SUBSTITUTE(SUBSTITUTE(SUBSTITUTE("P:"&amp;A24,"~","~~"),"*","~*"),"?","~?"),Andamentos!$G$10:$G$2009,1)=0,"",_xlfn.AGGREGATE(14,6,Andamentos!$D$10:$D$2009/((Andamentos!$K$10:$K$2009=AS24)*(Andamentos!$G$10:$G$2009=1)),1)))</f>
        <v>46052</v>
      </c>
      <c r="AA24" s="14">
        <f>IF(Z24="",0,COUNTIFS(Andamentos!$K$10:$K$2009,"="&amp;SUBSTITUTE(SUBSTITUTE(SUBSTITUTE("P:"&amp;A24,"~","~~"),"*","~*"),"?","~?"),Andamentos!$D$10:$D$2009,Z24,Andamentos!$G$10:$G$2009,1))</f>
        <v>1</v>
      </c>
      <c r="AB24" s="14">
        <f>IF(AA24=1,SUMIFS(Andamentos!$L$10:$L$2009,Andamentos!$K$10:$K$2009,"="&amp;SUBSTITUTE(SUBSTITUTE(SUBSTITUTE(AS24,"~","~~"),"*","~*"),"?","~?"),Andamentos!$D$10:$D$2009,Z24,Andamentos!$G$10:$G$2009,1)-9,0)</f>
        <v>15</v>
      </c>
      <c r="AC24" s="14" t="str">
        <f>IF(V24=0,"",IF(AA24&gt;1,"Conferir recebimentos empatados",IF(AB24=0,"Sem atualização",INDEX(Andamentos!$C$10:$C$2009,AB24))))</f>
        <v>Audiência em 27/2/23 e apresentação da defesa. Não houve acordo e o processo seguiu ao gabinete para decisão por sentença ou eventual produção de provas.
21/06/23 - Autos conclusos para decisão
05/07/23 - Sentença - Juiz acatou parte da nossa tese, responsabilizando a Alta no pagamento de uma única fatura, no importe de R$ 3.600,00. Tal quantia atualizada perfaz R$ 10.330,01. Alta intimada para pagamento. [...] histórico completo em Observações</v>
      </c>
      <c r="AD24" s="14">
        <f>IF(W24=0,0,IF(MAX(Z24,BD24)=0,1,IF(Configurar!$J$12-INT(MAX(Z24,BD24))&gt;Configurar!$J$11,1,0)))</f>
        <v>0</v>
      </c>
      <c r="AE24" s="16"/>
      <c r="AF24" s="14"/>
      <c r="AG24" s="14"/>
      <c r="AH24" s="14">
        <f>IF(AND(V24=1,COUNTIFS(Valores!$S$10:$S$509,"="&amp;SUBSTITUTE(SUBSTITUTE(SUBSTITUTE("P:"&amp;A24,"~","~~"),"*","~*"),"?","~?"))=1),(IF(ISNA(MATCH(SUBSTITUTE(SUBSTITUTE(SUBSTITUTE("P:"&amp;A24,"~","~~"),"*","~*"),"?","~?"),Valores!$S$10:$S$509,0)),9,INDEX(Valores!$R$10:$R$509,MATCH(SUBSTITUTE(SUBSTITUTE(SUBSTITUTE("P:"&amp;A24,"~","~~"),"*","~*"),"?","~?"),Valores!$S$10:$S$509,0)))-9),0)</f>
        <v>15</v>
      </c>
      <c r="AI24" s="40" t="str">
        <f t="shared" si="3"/>
        <v>Informe a empresa responsável</v>
      </c>
      <c r="AJ24" s="14" t="str">
        <f>IF(AND(X24=1,Y24=1),COUNTIFS($X$10:X24,1,$Y$10:Y24,1),"")</f>
        <v/>
      </c>
      <c r="AK24" s="14">
        <f>IF(X24=1,COUNTIFS($X$10:X24,1),"")</f>
        <v>15</v>
      </c>
      <c r="AL24" s="14">
        <f>IF(AND(V24=1,AND(OR(Painel!$L$6="Todas",E24=Painel!$L$6),OR(Painel!$C$8="Todos",F24=Painel!$C$8),OR(Painel!$L$8="Todos",G24=Painel!$L$8),OR(Painel!$C$10="",ISNUMBER(SEARCH(SUBSTITUTE(SUBSTITUTE(SUBSTITUTE(Painel!$C$10,"~","~~"),"*","~*"),"?","~?"),A24&amp;" "&amp;H24&amp;" "&amp;I24))))),1,0)</f>
        <v>1</v>
      </c>
      <c r="AM24" s="14">
        <f t="shared" si="4"/>
        <v>24</v>
      </c>
      <c r="AN24" s="14"/>
      <c r="AO24" s="14"/>
      <c r="AP24" s="16" t="str">
        <f>IF(AB24=0,"",IF(INDEX(Andamentos!$B$10:$B$2009,AB24)="","",INDEX(Andamentos!$B$10:$B$2009,AB24)))</f>
        <v/>
      </c>
      <c r="AQ24" s="17">
        <f>IF(AH24=0,"",IF(INDEX(Valores!$B$10:$B$509,AH24)="","",IF(ISNUMBER(INDEX(Valores!$B$10:$B$509,AH24)),INDEX(Valores!$B$10:$B$509,AH24),"")))</f>
        <v>54146.65</v>
      </c>
      <c r="AR24" s="14" t="str">
        <f t="shared" si="5"/>
        <v/>
      </c>
      <c r="AS24" s="14" t="str">
        <f t="shared" si="6"/>
        <v>P:0766128-72.2022.8.07.0016</v>
      </c>
      <c r="AT24" s="27" t="s">
        <v>267</v>
      </c>
      <c r="AU24" s="31" t="s">
        <v>263</v>
      </c>
      <c r="AV24" s="31"/>
      <c r="AW24" s="27" t="s">
        <v>261</v>
      </c>
      <c r="AX24" s="27" t="s">
        <v>262</v>
      </c>
      <c r="AY24" s="27"/>
      <c r="AZ24" s="27"/>
      <c r="BA24" s="30" t="str">
        <f t="shared" si="7"/>
        <v>0766128-72.2022.8.07.0016</v>
      </c>
      <c r="BB24" s="30" t="str">
        <f t="shared" si="8"/>
        <v/>
      </c>
      <c r="BC24" s="30">
        <f>IF(X24=0,0,IF(COUNTIFS($X$10:X24,1,$BA$10:BA24,BA24)=1,1,0))</f>
        <v>1</v>
      </c>
      <c r="BD24" s="29">
        <v>46052</v>
      </c>
    </row>
    <row r="25" spans="1:56" ht="42" customHeight="1">
      <c r="A25" s="41" t="s">
        <v>268</v>
      </c>
      <c r="B25" s="44" t="s">
        <v>161</v>
      </c>
      <c r="C25" s="44" t="s">
        <v>162</v>
      </c>
      <c r="D25" s="44" t="s">
        <v>163</v>
      </c>
      <c r="E25" s="44"/>
      <c r="F25" s="44" t="s">
        <v>182</v>
      </c>
      <c r="G25" s="44" t="s">
        <v>164</v>
      </c>
      <c r="H25" s="44" t="s">
        <v>189</v>
      </c>
      <c r="I25" s="44" t="s">
        <v>269</v>
      </c>
      <c r="J25" s="44" t="s">
        <v>270</v>
      </c>
      <c r="K25" s="44" t="s">
        <v>178</v>
      </c>
      <c r="L25" s="49">
        <v>43872</v>
      </c>
      <c r="M25" s="48" t="s">
        <v>169</v>
      </c>
      <c r="N25" s="48" t="s">
        <v>170</v>
      </c>
      <c r="O25" s="48"/>
      <c r="P25" s="48"/>
      <c r="Q25" s="48"/>
      <c r="R25" s="48"/>
      <c r="S25" s="49"/>
      <c r="T25" s="48"/>
      <c r="U25" s="48" t="s">
        <v>271</v>
      </c>
      <c r="V25" s="14">
        <f t="shared" si="0"/>
        <v>1</v>
      </c>
      <c r="W25" s="14">
        <f t="shared" si="1"/>
        <v>0</v>
      </c>
      <c r="X25" s="14">
        <f>IF(AND(V25=1,OR(Painel!$C$6="Todos",D25=Painel!$C$6),AND(OR(Painel!$L$6="Todas",E25=Painel!$L$6),OR(Painel!$C$8="Todos",F25=Painel!$C$8),OR(Painel!$L$8="Todos",G25=Painel!$L$8),OR(Painel!$C$10="",ISNUMBER(SEARCH(SUBSTITUTE(SUBSTITUTE(SUBSTITUTE(Painel!$C$10,"~","~~"),"*","~*"),"?","~?"),A25&amp;" "&amp;H25&amp;" "&amp;I25))))),1,0)</f>
        <v>1</v>
      </c>
      <c r="Y25" s="14">
        <f t="shared" si="2"/>
        <v>0</v>
      </c>
      <c r="Z25" s="15">
        <f>IF(V25=0,"",IF(COUNTIFS(Andamentos!$K$10:$K$2009,"="&amp;SUBSTITUTE(SUBSTITUTE(SUBSTITUTE("P:"&amp;A25,"~","~~"),"*","~*"),"?","~?"),Andamentos!$G$10:$G$2009,1)=0,"",_xlfn.AGGREGATE(14,6,Andamentos!$D$10:$D$2009/((Andamentos!$K$10:$K$2009=AS25)*(Andamentos!$G$10:$G$2009=1)),1)))</f>
        <v>46093</v>
      </c>
      <c r="AA25" s="14">
        <f>IF(Z25="",0,COUNTIFS(Andamentos!$K$10:$K$2009,"="&amp;SUBSTITUTE(SUBSTITUTE(SUBSTITUTE("P:"&amp;A25,"~","~~"),"*","~*"),"?","~?"),Andamentos!$D$10:$D$2009,Z25,Andamentos!$G$10:$G$2009,1))</f>
        <v>1</v>
      </c>
      <c r="AB25" s="14">
        <f>IF(AA25=1,SUMIFS(Andamentos!$L$10:$L$2009,Andamentos!$K$10:$K$2009,"="&amp;SUBSTITUTE(SUBSTITUTE(SUBSTITUTE(AS25,"~","~~"),"*","~*"),"?","~?"),Andamentos!$D$10:$D$2009,Z25,Andamentos!$G$10:$G$2009,1)-9,0)</f>
        <v>16</v>
      </c>
      <c r="AC25" s="14" t="str">
        <f>IF(V25=0,"",IF(AA25&gt;1,"Conferir recebimentos empatados",IF(AB25=0,"Sem atualização",INDEX(Andamentos!$C$10:$C$2009,AB25))))</f>
        <v>26/01/2024 - Autos arquivados. [...] histórico completo em Observações</v>
      </c>
      <c r="AD25" s="14">
        <f>IF(W25=0,0,IF(MAX(Z25,BD25)=0,1,IF(Configurar!$J$12-INT(MAX(Z25,BD25))&gt;Configurar!$J$11,1,0)))</f>
        <v>0</v>
      </c>
      <c r="AE25" s="16"/>
      <c r="AF25" s="14"/>
      <c r="AG25" s="14"/>
      <c r="AH25" s="14">
        <f>IF(AND(V25=1,COUNTIFS(Valores!$S$10:$S$509,"="&amp;SUBSTITUTE(SUBSTITUTE(SUBSTITUTE("P:"&amp;A25,"~","~~"),"*","~*"),"?","~?"))=1),(IF(ISNA(MATCH(SUBSTITUTE(SUBSTITUTE(SUBSTITUTE("P:"&amp;A25,"~","~~"),"*","~*"),"?","~?"),Valores!$S$10:$S$509,0)),9,INDEX(Valores!$R$10:$R$509,MATCH(SUBSTITUTE(SUBSTITUTE(SUBSTITUTE("P:"&amp;A25,"~","~~"),"*","~*"),"?","~?"),Valores!$S$10:$S$509,0)))-9),0)</f>
        <v>16</v>
      </c>
      <c r="AI25" s="40" t="str">
        <f t="shared" si="3"/>
        <v>Informe a empresa responsável</v>
      </c>
      <c r="AJ25" s="14" t="str">
        <f>IF(AND(X25=1,Y25=1),COUNTIFS($X$10:X25,1,$Y$10:Y25,1),"")</f>
        <v/>
      </c>
      <c r="AK25" s="14">
        <f>IF(X25=1,COUNTIFS($X$10:X25,1),"")</f>
        <v>16</v>
      </c>
      <c r="AL25" s="14">
        <f>IF(AND(V25=1,AND(OR(Painel!$L$6="Todas",E25=Painel!$L$6),OR(Painel!$C$8="Todos",F25=Painel!$C$8),OR(Painel!$L$8="Todos",G25=Painel!$L$8),OR(Painel!$C$10="",ISNUMBER(SEARCH(SUBSTITUTE(SUBSTITUTE(SUBSTITUTE(Painel!$C$10,"~","~~"),"*","~*"),"?","~?"),A25&amp;" "&amp;H25&amp;" "&amp;I25))))),1,0)</f>
        <v>1</v>
      </c>
      <c r="AM25" s="14">
        <f t="shared" si="4"/>
        <v>25</v>
      </c>
      <c r="AN25" s="14"/>
      <c r="AO25" s="14"/>
      <c r="AP25" s="16">
        <f>IF(AB25=0,"",IF(INDEX(Andamentos!$B$10:$B$2009,AB25)="","",INDEX(Andamentos!$B$10:$B$2009,AB25)))</f>
        <v>45317</v>
      </c>
      <c r="AQ25" s="17" t="str">
        <f>IF(AH25=0,"",IF(INDEX(Valores!$B$10:$B$509,AH25)="","",IF(ISNUMBER(INDEX(Valores!$B$10:$B$509,AH25)),INDEX(Valores!$B$10:$B$509,AH25),"")))</f>
        <v/>
      </c>
      <c r="AR25" s="14" t="str">
        <f t="shared" si="5"/>
        <v/>
      </c>
      <c r="AS25" s="14" t="str">
        <f t="shared" si="6"/>
        <v>P:0010110-19.2020.5.18.0103 [BMM-016]</v>
      </c>
      <c r="AT25" s="27" t="s">
        <v>272</v>
      </c>
      <c r="AU25" s="31" t="s">
        <v>194</v>
      </c>
      <c r="AV25" s="31"/>
      <c r="AW25" s="27" t="s">
        <v>162</v>
      </c>
      <c r="AX25" s="27"/>
      <c r="AY25" s="27"/>
      <c r="AZ25" s="27"/>
      <c r="BA25" s="30" t="str">
        <f t="shared" si="7"/>
        <v>0010110-19.2020.5.18.0103</v>
      </c>
      <c r="BB25" s="30" t="str">
        <f t="shared" si="8"/>
        <v>Revisar repetição</v>
      </c>
      <c r="BC25" s="30">
        <f>IF(X25=0,0,IF(COUNTIFS($X$10:X25,1,$BA$10:BA25,BA25)=1,1,0))</f>
        <v>0</v>
      </c>
      <c r="BD25" s="29">
        <v>46093</v>
      </c>
    </row>
    <row r="26" spans="1:56" ht="42" customHeight="1">
      <c r="A26" s="41" t="s">
        <v>273</v>
      </c>
      <c r="B26" s="44" t="s">
        <v>161</v>
      </c>
      <c r="C26" s="44" t="s">
        <v>252</v>
      </c>
      <c r="D26" s="44" t="s">
        <v>163</v>
      </c>
      <c r="E26" s="44"/>
      <c r="F26" s="44" t="s">
        <v>182</v>
      </c>
      <c r="G26" s="44" t="s">
        <v>238</v>
      </c>
      <c r="H26" s="44" t="s">
        <v>274</v>
      </c>
      <c r="I26" s="44" t="s">
        <v>269</v>
      </c>
      <c r="J26" s="44" t="s">
        <v>275</v>
      </c>
      <c r="K26" s="44" t="s">
        <v>242</v>
      </c>
      <c r="L26" s="49">
        <v>44118</v>
      </c>
      <c r="M26" s="48" t="s">
        <v>276</v>
      </c>
      <c r="N26" s="48" t="s">
        <v>170</v>
      </c>
      <c r="O26" s="48"/>
      <c r="P26" s="48"/>
      <c r="Q26" s="48"/>
      <c r="R26" s="48"/>
      <c r="S26" s="49"/>
      <c r="T26" s="48"/>
      <c r="U26" s="48" t="s">
        <v>277</v>
      </c>
      <c r="V26" s="14">
        <f t="shared" si="0"/>
        <v>1</v>
      </c>
      <c r="W26" s="14">
        <f t="shared" si="1"/>
        <v>0</v>
      </c>
      <c r="X26" s="14">
        <f>IF(AND(V26=1,OR(Painel!$C$6="Todos",D26=Painel!$C$6),AND(OR(Painel!$L$6="Todas",E26=Painel!$L$6),OR(Painel!$C$8="Todos",F26=Painel!$C$8),OR(Painel!$L$8="Todos",G26=Painel!$L$8),OR(Painel!$C$10="",ISNUMBER(SEARCH(SUBSTITUTE(SUBSTITUTE(SUBSTITUTE(Painel!$C$10,"~","~~"),"*","~*"),"?","~?"),A26&amp;" "&amp;H26&amp;" "&amp;I26))))),1,0)</f>
        <v>1</v>
      </c>
      <c r="Y26" s="14">
        <f t="shared" si="2"/>
        <v>0</v>
      </c>
      <c r="Z26" s="15">
        <f>IF(V26=0,"",IF(COUNTIFS(Andamentos!$K$10:$K$2009,"="&amp;SUBSTITUTE(SUBSTITUTE(SUBSTITUTE("P:"&amp;A26,"~","~~"),"*","~*"),"?","~?"),Andamentos!$G$10:$G$2009,1)=0,"",_xlfn.AGGREGATE(14,6,Andamentos!$D$10:$D$2009/((Andamentos!$K$10:$K$2009=AS26)*(Andamentos!$G$10:$G$2009=1)),1)))</f>
        <v>46052</v>
      </c>
      <c r="AA26" s="14">
        <f>IF(Z26="",0,COUNTIFS(Andamentos!$K$10:$K$2009,"="&amp;SUBSTITUTE(SUBSTITUTE(SUBSTITUTE("P:"&amp;A26,"~","~~"),"*","~*"),"?","~?"),Andamentos!$D$10:$D$2009,Z26,Andamentos!$G$10:$G$2009,1))</f>
        <v>1</v>
      </c>
      <c r="AB26" s="14">
        <f>IF(AA26=1,SUMIFS(Andamentos!$L$10:$L$2009,Andamentos!$K$10:$K$2009,"="&amp;SUBSTITUTE(SUBSTITUTE(SUBSTITUTE(AS26,"~","~~"),"*","~*"),"?","~?"),Andamentos!$D$10:$D$2009,Z26,Andamentos!$G$10:$G$2009,1)-9,0)</f>
        <v>17</v>
      </c>
      <c r="AC26" s="14" t="str">
        <f>IF(V26=0,"",IF(AA26&gt;1,"Conferir recebimentos empatados",IF(AB26=0,"Sem atualização",INDEX(Andamentos!$C$10:$C$2009,AB26))))</f>
        <v>Descião pela exclusão da ALTA e inclusão da CAVA no processo [...] histórico completo em Observações</v>
      </c>
      <c r="AD26" s="14">
        <f>IF(W26=0,0,IF(MAX(Z26,BD26)=0,1,IF(Configurar!$J$12-INT(MAX(Z26,BD26))&gt;Configurar!$J$11,1,0)))</f>
        <v>0</v>
      </c>
      <c r="AE26" s="16"/>
      <c r="AF26" s="14"/>
      <c r="AG26" s="14"/>
      <c r="AH26" s="14">
        <f>IF(AND(V26=1,COUNTIFS(Valores!$S$10:$S$509,"="&amp;SUBSTITUTE(SUBSTITUTE(SUBSTITUTE("P:"&amp;A26,"~","~~"),"*","~*"),"?","~?"))=1),(IF(ISNA(MATCH(SUBSTITUTE(SUBSTITUTE(SUBSTITUTE("P:"&amp;A26,"~","~~"),"*","~*"),"?","~?"),Valores!$S$10:$S$509,0)),9,INDEX(Valores!$R$10:$R$509,MATCH(SUBSTITUTE(SUBSTITUTE(SUBSTITUTE("P:"&amp;A26,"~","~~"),"*","~*"),"?","~?"),Valores!$S$10:$S$509,0)))-9),0)</f>
        <v>17</v>
      </c>
      <c r="AI26" s="40" t="str">
        <f t="shared" si="3"/>
        <v>Informe a empresa responsável</v>
      </c>
      <c r="AJ26" s="14" t="str">
        <f>IF(AND(X26=1,Y26=1),COUNTIFS($X$10:X26,1,$Y$10:Y26,1),"")</f>
        <v/>
      </c>
      <c r="AK26" s="14">
        <f>IF(X26=1,COUNTIFS($X$10:X26,1),"")</f>
        <v>17</v>
      </c>
      <c r="AL26" s="14">
        <f>IF(AND(V26=1,AND(OR(Painel!$L$6="Todas",E26=Painel!$L$6),OR(Painel!$C$8="Todos",F26=Painel!$C$8),OR(Painel!$L$8="Todos",G26=Painel!$L$8),OR(Painel!$C$10="",ISNUMBER(SEARCH(SUBSTITUTE(SUBSTITUTE(SUBSTITUTE(Painel!$C$10,"~","~~"),"*","~*"),"?","~?"),A26&amp;" "&amp;H26&amp;" "&amp;I26))))),1,0)</f>
        <v>1</v>
      </c>
      <c r="AM26" s="14">
        <f t="shared" si="4"/>
        <v>26</v>
      </c>
      <c r="AN26" s="14"/>
      <c r="AO26" s="14"/>
      <c r="AP26" s="16" t="str">
        <f>IF(AB26=0,"",IF(INDEX(Andamentos!$B$10:$B$2009,AB26)="","",INDEX(Andamentos!$B$10:$B$2009,AB26)))</f>
        <v/>
      </c>
      <c r="AQ26" s="17">
        <f>IF(AH26=0,"",IF(INDEX(Valores!$B$10:$B$509,AH26)="","",IF(ISNUMBER(INDEX(Valores!$B$10:$B$509,AH26)),INDEX(Valores!$B$10:$B$509,AH26),"")))</f>
        <v>99772.54</v>
      </c>
      <c r="AR26" s="14" t="str">
        <f t="shared" si="5"/>
        <v/>
      </c>
      <c r="AS26" s="14" t="str">
        <f t="shared" si="6"/>
        <v>P:5116564-98.2018.8.09.0137 [BMM-017]</v>
      </c>
      <c r="AT26" s="27" t="s">
        <v>278</v>
      </c>
      <c r="AU26" s="31" t="s">
        <v>279</v>
      </c>
      <c r="AV26" s="31"/>
      <c r="AW26" s="27" t="s">
        <v>280</v>
      </c>
      <c r="AX26" s="27"/>
      <c r="AY26" s="27"/>
      <c r="AZ26" s="27"/>
      <c r="BA26" s="30" t="str">
        <f t="shared" si="7"/>
        <v>5116564-98.2018.8.09.0137</v>
      </c>
      <c r="BB26" s="30" t="str">
        <f t="shared" si="8"/>
        <v>Revisar repetição</v>
      </c>
      <c r="BC26" s="30">
        <f>IF(X26=0,0,IF(COUNTIFS($X$10:X26,1,$BA$10:BA26,BA26)=1,1,0))</f>
        <v>1</v>
      </c>
      <c r="BD26" s="29">
        <v>46052</v>
      </c>
    </row>
    <row r="27" spans="1:56" ht="42" customHeight="1">
      <c r="A27" s="41" t="s">
        <v>281</v>
      </c>
      <c r="B27" s="44" t="s">
        <v>161</v>
      </c>
      <c r="C27" s="44" t="s">
        <v>162</v>
      </c>
      <c r="D27" s="44" t="s">
        <v>163</v>
      </c>
      <c r="E27" s="44"/>
      <c r="F27" s="44" t="s">
        <v>282</v>
      </c>
      <c r="G27" s="44" t="s">
        <v>164</v>
      </c>
      <c r="H27" s="44" t="s">
        <v>283</v>
      </c>
      <c r="I27" s="44" t="s">
        <v>284</v>
      </c>
      <c r="J27" s="44" t="s">
        <v>285</v>
      </c>
      <c r="K27" s="44" t="s">
        <v>178</v>
      </c>
      <c r="L27" s="49"/>
      <c r="M27" s="48"/>
      <c r="N27" s="48" t="s">
        <v>170</v>
      </c>
      <c r="O27" s="48"/>
      <c r="P27" s="48"/>
      <c r="Q27" s="48"/>
      <c r="R27" s="48"/>
      <c r="S27" s="49"/>
      <c r="T27" s="48"/>
      <c r="U27" s="48" t="s">
        <v>286</v>
      </c>
      <c r="V27" s="14">
        <f t="shared" si="0"/>
        <v>1</v>
      </c>
      <c r="W27" s="14">
        <f t="shared" si="1"/>
        <v>0</v>
      </c>
      <c r="X27" s="14">
        <f>IF(AND(V27=1,OR(Painel!$C$6="Todos",D27=Painel!$C$6),AND(OR(Painel!$L$6="Todas",E27=Painel!$L$6),OR(Painel!$C$8="Todos",F27=Painel!$C$8),OR(Painel!$L$8="Todos",G27=Painel!$L$8),OR(Painel!$C$10="",ISNUMBER(SEARCH(SUBSTITUTE(SUBSTITUTE(SUBSTITUTE(Painel!$C$10,"~","~~"),"*","~*"),"?","~?"),A27&amp;" "&amp;H27&amp;" "&amp;I27))))),1,0)</f>
        <v>1</v>
      </c>
      <c r="Y27" s="14">
        <f t="shared" si="2"/>
        <v>0</v>
      </c>
      <c r="Z27" s="15">
        <f>IF(V27=0,"",IF(COUNTIFS(Andamentos!$K$10:$K$2009,"="&amp;SUBSTITUTE(SUBSTITUTE(SUBSTITUTE("P:"&amp;A27,"~","~~"),"*","~*"),"?","~?"),Andamentos!$G$10:$G$2009,1)=0,"",_xlfn.AGGREGATE(14,6,Andamentos!$D$10:$D$2009/((Andamentos!$K$10:$K$2009=AS27)*(Andamentos!$G$10:$G$2009=1)),1)))</f>
        <v>46055</v>
      </c>
      <c r="AA27" s="14">
        <f>IF(Z27="",0,COUNTIFS(Andamentos!$K$10:$K$2009,"="&amp;SUBSTITUTE(SUBSTITUTE(SUBSTITUTE("P:"&amp;A27,"~","~~"),"*","~*"),"?","~?"),Andamentos!$D$10:$D$2009,Z27,Andamentos!$G$10:$G$2009,1))</f>
        <v>1</v>
      </c>
      <c r="AB27" s="14">
        <f>IF(AA27=1,SUMIFS(Andamentos!$L$10:$L$2009,Andamentos!$K$10:$K$2009,"="&amp;SUBSTITUTE(SUBSTITUTE(SUBSTITUTE(AS27,"~","~~"),"*","~*"),"?","~?"),Andamentos!$D$10:$D$2009,Z27,Andamentos!$G$10:$G$2009,1)-9,0)</f>
        <v>18</v>
      </c>
      <c r="AC27" s="14" t="str">
        <f>IF(V27=0,"",IF(AA27&gt;1,"Conferir recebimentos empatados",IF(AB27=0,"Sem atualização",INDEX(Andamentos!$C$10:$C$2009,AB27))))</f>
        <v>15/01/2026 - Transferido saldo residual para outro processo do Consórcio. 
Aguardando arquivamento. [...] histórico completo em Observações</v>
      </c>
      <c r="AD27" s="14">
        <f>IF(W27=0,0,IF(MAX(Z27,BD27)=0,1,IF(Configurar!$J$12-INT(MAX(Z27,BD27))&gt;Configurar!$J$11,1,0)))</f>
        <v>0</v>
      </c>
      <c r="AE27" s="16"/>
      <c r="AF27" s="14"/>
      <c r="AG27" s="14"/>
      <c r="AH27" s="14">
        <f>IF(AND(V27=1,COUNTIFS(Valores!$S$10:$S$509,"="&amp;SUBSTITUTE(SUBSTITUTE(SUBSTITUTE("P:"&amp;A27,"~","~~"),"*","~*"),"?","~?"))=1),(IF(ISNA(MATCH(SUBSTITUTE(SUBSTITUTE(SUBSTITUTE("P:"&amp;A27,"~","~~"),"*","~*"),"?","~?"),Valores!$S$10:$S$509,0)),9,INDEX(Valores!$R$10:$R$509,MATCH(SUBSTITUTE(SUBSTITUTE(SUBSTITUTE("P:"&amp;A27,"~","~~"),"*","~*"),"?","~?"),Valores!$S$10:$S$509,0)))-9),0)</f>
        <v>18</v>
      </c>
      <c r="AI27" s="40" t="str">
        <f t="shared" si="3"/>
        <v>Informe a empresa responsável</v>
      </c>
      <c r="AJ27" s="14" t="str">
        <f>IF(AND(X27=1,Y27=1),COUNTIFS($X$10:X27,1,$Y$10:Y27,1),"")</f>
        <v/>
      </c>
      <c r="AK27" s="14">
        <f>IF(X27=1,COUNTIFS($X$10:X27,1),"")</f>
        <v>18</v>
      </c>
      <c r="AL27" s="14">
        <f>IF(AND(V27=1,AND(OR(Painel!$L$6="Todas",E27=Painel!$L$6),OR(Painel!$C$8="Todos",F27=Painel!$C$8),OR(Painel!$L$8="Todos",G27=Painel!$L$8),OR(Painel!$C$10="",ISNUMBER(SEARCH(SUBSTITUTE(SUBSTITUTE(SUBSTITUTE(Painel!$C$10,"~","~~"),"*","~*"),"?","~?"),A27&amp;" "&amp;H27&amp;" "&amp;I27))))),1,0)</f>
        <v>1</v>
      </c>
      <c r="AM27" s="14">
        <f t="shared" si="4"/>
        <v>27</v>
      </c>
      <c r="AN27" s="14"/>
      <c r="AO27" s="14"/>
      <c r="AP27" s="16">
        <f>IF(AB27=0,"",IF(INDEX(Andamentos!$B$10:$B$2009,AB27)="","",INDEX(Andamentos!$B$10:$B$2009,AB27)))</f>
        <v>46037</v>
      </c>
      <c r="AQ27" s="17">
        <f>IF(AH27=0,"",IF(INDEX(Valores!$B$10:$B$509,AH27)="","",IF(ISNUMBER(INDEX(Valores!$B$10:$B$509,AH27)),INDEX(Valores!$B$10:$B$509,AH27),"")))</f>
        <v>24328.71</v>
      </c>
      <c r="AR27" s="14" t="str">
        <f t="shared" si="5"/>
        <v/>
      </c>
      <c r="AS27" s="14" t="str">
        <f t="shared" si="6"/>
        <v>P:0010551-59.2023.5.18.0211</v>
      </c>
      <c r="AT27" s="27" t="s">
        <v>287</v>
      </c>
      <c r="AU27" s="31" t="s">
        <v>281</v>
      </c>
      <c r="AV27" s="31"/>
      <c r="AW27" s="27" t="s">
        <v>162</v>
      </c>
      <c r="AX27" s="27"/>
      <c r="AY27" s="27"/>
      <c r="AZ27" s="27"/>
      <c r="BA27" s="30" t="str">
        <f t="shared" si="7"/>
        <v>0010551-59.2023.5.18.0211</v>
      </c>
      <c r="BB27" s="30" t="str">
        <f t="shared" si="8"/>
        <v/>
      </c>
      <c r="BC27" s="30">
        <f>IF(X27=0,0,IF(COUNTIFS($X$10:X27,1,$BA$10:BA27,BA27)=1,1,0))</f>
        <v>1</v>
      </c>
      <c r="BD27" s="29">
        <v>46055</v>
      </c>
    </row>
    <row r="28" spans="1:56" ht="42" customHeight="1">
      <c r="A28" s="41" t="s">
        <v>288</v>
      </c>
      <c r="B28" s="44" t="s">
        <v>161</v>
      </c>
      <c r="C28" s="44" t="s">
        <v>162</v>
      </c>
      <c r="D28" s="44" t="s">
        <v>163</v>
      </c>
      <c r="E28" s="44"/>
      <c r="F28" s="44" t="s">
        <v>282</v>
      </c>
      <c r="G28" s="44" t="s">
        <v>164</v>
      </c>
      <c r="H28" s="44" t="s">
        <v>289</v>
      </c>
      <c r="I28" s="44" t="s">
        <v>284</v>
      </c>
      <c r="J28" s="44" t="s">
        <v>285</v>
      </c>
      <c r="K28" s="44" t="s">
        <v>178</v>
      </c>
      <c r="L28" s="49"/>
      <c r="M28" s="48"/>
      <c r="N28" s="48" t="s">
        <v>170</v>
      </c>
      <c r="O28" s="48"/>
      <c r="P28" s="48"/>
      <c r="Q28" s="48"/>
      <c r="R28" s="48"/>
      <c r="S28" s="49"/>
      <c r="T28" s="48"/>
      <c r="U28" s="48" t="s">
        <v>290</v>
      </c>
      <c r="V28" s="14">
        <f t="shared" si="0"/>
        <v>1</v>
      </c>
      <c r="W28" s="14">
        <f t="shared" si="1"/>
        <v>0</v>
      </c>
      <c r="X28" s="14">
        <f>IF(AND(V28=1,OR(Painel!$C$6="Todos",D28=Painel!$C$6),AND(OR(Painel!$L$6="Todas",E28=Painel!$L$6),OR(Painel!$C$8="Todos",F28=Painel!$C$8),OR(Painel!$L$8="Todos",G28=Painel!$L$8),OR(Painel!$C$10="",ISNUMBER(SEARCH(SUBSTITUTE(SUBSTITUTE(SUBSTITUTE(Painel!$C$10,"~","~~"),"*","~*"),"?","~?"),A28&amp;" "&amp;H28&amp;" "&amp;I28))))),1,0)</f>
        <v>1</v>
      </c>
      <c r="Y28" s="14">
        <f t="shared" si="2"/>
        <v>0</v>
      </c>
      <c r="Z28" s="15">
        <f>IF(V28=0,"",IF(COUNTIFS(Andamentos!$K$10:$K$2009,"="&amp;SUBSTITUTE(SUBSTITUTE(SUBSTITUTE("P:"&amp;A28,"~","~~"),"*","~*"),"?","~?"),Andamentos!$G$10:$G$2009,1)=0,"",_xlfn.AGGREGATE(14,6,Andamentos!$D$10:$D$2009/((Andamentos!$K$10:$K$2009=AS28)*(Andamentos!$G$10:$G$2009=1)),1)))</f>
        <v>46055</v>
      </c>
      <c r="AA28" s="14">
        <f>IF(Z28="",0,COUNTIFS(Andamentos!$K$10:$K$2009,"="&amp;SUBSTITUTE(SUBSTITUTE(SUBSTITUTE("P:"&amp;A28,"~","~~"),"*","~*"),"?","~?"),Andamentos!$D$10:$D$2009,Z28,Andamentos!$G$10:$G$2009,1))</f>
        <v>1</v>
      </c>
      <c r="AB28" s="14">
        <f>IF(AA28=1,SUMIFS(Andamentos!$L$10:$L$2009,Andamentos!$K$10:$K$2009,"="&amp;SUBSTITUTE(SUBSTITUTE(SUBSTITUTE(AS28,"~","~~"),"*","~*"),"?","~?"),Andamentos!$D$10:$D$2009,Z28,Andamentos!$G$10:$G$2009,1)-9,0)</f>
        <v>19</v>
      </c>
      <c r="AC28" s="14" t="str">
        <f>IF(V28=0,"",IF(AA28&gt;1,"Conferir recebimentos empatados",IF(AB28=0,"Sem atualização",INDEX(Andamentos!$C$10:$C$2009,AB28))))</f>
        <v>27/11/2025 - Processo arquivado. [...] histórico completo em Observações</v>
      </c>
      <c r="AD28" s="14">
        <f>IF(W28=0,0,IF(MAX(Z28,BD28)=0,1,IF(Configurar!$J$12-INT(MAX(Z28,BD28))&gt;Configurar!$J$11,1,0)))</f>
        <v>0</v>
      </c>
      <c r="AE28" s="16"/>
      <c r="AF28" s="14"/>
      <c r="AG28" s="14"/>
      <c r="AH28" s="14">
        <f>IF(AND(V28=1,COUNTIFS(Valores!$S$10:$S$509,"="&amp;SUBSTITUTE(SUBSTITUTE(SUBSTITUTE("P:"&amp;A28,"~","~~"),"*","~*"),"?","~?"))=1),(IF(ISNA(MATCH(SUBSTITUTE(SUBSTITUTE(SUBSTITUTE("P:"&amp;A28,"~","~~"),"*","~*"),"?","~?"),Valores!$S$10:$S$509,0)),9,INDEX(Valores!$R$10:$R$509,MATCH(SUBSTITUTE(SUBSTITUTE(SUBSTITUTE("P:"&amp;A28,"~","~~"),"*","~*"),"?","~?"),Valores!$S$10:$S$509,0)))-9),0)</f>
        <v>19</v>
      </c>
      <c r="AI28" s="40" t="str">
        <f t="shared" si="3"/>
        <v>Informe a empresa responsável</v>
      </c>
      <c r="AJ28" s="14" t="str">
        <f>IF(AND(X28=1,Y28=1),COUNTIFS($X$10:X28,1,$Y$10:Y28,1),"")</f>
        <v/>
      </c>
      <c r="AK28" s="14">
        <f>IF(X28=1,COUNTIFS($X$10:X28,1),"")</f>
        <v>19</v>
      </c>
      <c r="AL28" s="14">
        <f>IF(AND(V28=1,AND(OR(Painel!$L$6="Todas",E28=Painel!$L$6),OR(Painel!$C$8="Todos",F28=Painel!$C$8),OR(Painel!$L$8="Todos",G28=Painel!$L$8),OR(Painel!$C$10="",ISNUMBER(SEARCH(SUBSTITUTE(SUBSTITUTE(SUBSTITUTE(Painel!$C$10,"~","~~"),"*","~*"),"?","~?"),A28&amp;" "&amp;H28&amp;" "&amp;I28))))),1,0)</f>
        <v>1</v>
      </c>
      <c r="AM28" s="14">
        <f t="shared" si="4"/>
        <v>28</v>
      </c>
      <c r="AN28" s="14"/>
      <c r="AO28" s="14"/>
      <c r="AP28" s="16">
        <f>IF(AB28=0,"",IF(INDEX(Andamentos!$B$10:$B$2009,AB28)="","",INDEX(Andamentos!$B$10:$B$2009,AB28)))</f>
        <v>45988</v>
      </c>
      <c r="AQ28" s="17">
        <f>IF(AH28=0,"",IF(INDEX(Valores!$B$10:$B$509,AH28)="","",IF(ISNUMBER(INDEX(Valores!$B$10:$B$509,AH28)),INDEX(Valores!$B$10:$B$509,AH28),"")))</f>
        <v>62703.23</v>
      </c>
      <c r="AR28" s="14" t="str">
        <f t="shared" si="5"/>
        <v/>
      </c>
      <c r="AS28" s="14" t="str">
        <f t="shared" si="6"/>
        <v>P:0010458-96.2023.5.18.0211</v>
      </c>
      <c r="AT28" s="27" t="s">
        <v>291</v>
      </c>
      <c r="AU28" s="31" t="s">
        <v>288</v>
      </c>
      <c r="AV28" s="31"/>
      <c r="AW28" s="27" t="s">
        <v>162</v>
      </c>
      <c r="AX28" s="27"/>
      <c r="AY28" s="27"/>
      <c r="AZ28" s="27"/>
      <c r="BA28" s="30" t="str">
        <f t="shared" si="7"/>
        <v>0010458-96.2023.5.18.0211</v>
      </c>
      <c r="BB28" s="30" t="str">
        <f t="shared" si="8"/>
        <v/>
      </c>
      <c r="BC28" s="30">
        <f>IF(X28=0,0,IF(COUNTIFS($X$10:X28,1,$BA$10:BA28,BA28)=1,1,0))</f>
        <v>1</v>
      </c>
      <c r="BD28" s="29">
        <v>46055</v>
      </c>
    </row>
    <row r="29" spans="1:56" ht="42" customHeight="1">
      <c r="A29" s="41" t="s">
        <v>292</v>
      </c>
      <c r="B29" s="44" t="s">
        <v>161</v>
      </c>
      <c r="C29" s="44" t="s">
        <v>252</v>
      </c>
      <c r="D29" s="44" t="s">
        <v>163</v>
      </c>
      <c r="E29" s="44"/>
      <c r="F29" s="44"/>
      <c r="G29" s="44" t="s">
        <v>164</v>
      </c>
      <c r="H29" s="44" t="s">
        <v>293</v>
      </c>
      <c r="I29" s="44" t="s">
        <v>294</v>
      </c>
      <c r="J29" s="44" t="s">
        <v>295</v>
      </c>
      <c r="K29" s="44" t="s">
        <v>296</v>
      </c>
      <c r="L29" s="49"/>
      <c r="M29" s="48"/>
      <c r="N29" s="48" t="s">
        <v>170</v>
      </c>
      <c r="O29" s="48"/>
      <c r="P29" s="48"/>
      <c r="Q29" s="48"/>
      <c r="R29" s="48"/>
      <c r="S29" s="49"/>
      <c r="T29" s="48"/>
      <c r="U29" s="48" t="s">
        <v>297</v>
      </c>
      <c r="V29" s="14">
        <f t="shared" si="0"/>
        <v>1</v>
      </c>
      <c r="W29" s="14">
        <f t="shared" si="1"/>
        <v>0</v>
      </c>
      <c r="X29" s="14">
        <f>IF(AND(V29=1,OR(Painel!$C$6="Todos",D29=Painel!$C$6),AND(OR(Painel!$L$6="Todas",E29=Painel!$L$6),OR(Painel!$C$8="Todos",F29=Painel!$C$8),OR(Painel!$L$8="Todos",G29=Painel!$L$8),OR(Painel!$C$10="",ISNUMBER(SEARCH(SUBSTITUTE(SUBSTITUTE(SUBSTITUTE(Painel!$C$10,"~","~~"),"*","~*"),"?","~?"),A29&amp;" "&amp;H29&amp;" "&amp;I29))))),1,0)</f>
        <v>1</v>
      </c>
      <c r="Y29" s="14">
        <f t="shared" si="2"/>
        <v>0</v>
      </c>
      <c r="Z29" s="15">
        <f>IF(V29=0,"",IF(COUNTIFS(Andamentos!$K$10:$K$2009,"="&amp;SUBSTITUTE(SUBSTITUTE(SUBSTITUTE("P:"&amp;A29,"~","~~"),"*","~*"),"?","~?"),Andamentos!$G$10:$G$2009,1)=0,"",_xlfn.AGGREGATE(14,6,Andamentos!$D$10:$D$2009/((Andamentos!$K$10:$K$2009=AS29)*(Andamentos!$G$10:$G$2009=1)),1)))</f>
        <v>46055</v>
      </c>
      <c r="AA29" s="14">
        <f>IF(Z29="",0,COUNTIFS(Andamentos!$K$10:$K$2009,"="&amp;SUBSTITUTE(SUBSTITUTE(SUBSTITUTE("P:"&amp;A29,"~","~~"),"*","~*"),"?","~?"),Andamentos!$D$10:$D$2009,Z29,Andamentos!$G$10:$G$2009,1))</f>
        <v>1</v>
      </c>
      <c r="AB29" s="14">
        <f>IF(AA29=1,SUMIFS(Andamentos!$L$10:$L$2009,Andamentos!$K$10:$K$2009,"="&amp;SUBSTITUTE(SUBSTITUTE(SUBSTITUTE(AS29,"~","~~"),"*","~*"),"?","~?"),Andamentos!$D$10:$D$2009,Z29,Andamentos!$G$10:$G$2009,1)-9,0)</f>
        <v>20</v>
      </c>
      <c r="AC29" s="14" t="str">
        <f>IF(V29=0,"",IF(AA29&gt;1,"Conferir recebimentos empatados",IF(AB29=0,"Sem atualização",INDEX(Andamentos!$C$10:$C$2009,AB29))))</f>
        <v>21/10/2025 - SALdo residual liberado na conta do Camilo [...] histórico completo em Observações</v>
      </c>
      <c r="AD29" s="14">
        <f>IF(W29=0,0,IF(MAX(Z29,BD29)=0,1,IF(Configurar!$J$12-INT(MAX(Z29,BD29))&gt;Configurar!$J$11,1,0)))</f>
        <v>0</v>
      </c>
      <c r="AE29" s="16"/>
      <c r="AF29" s="14"/>
      <c r="AG29" s="14"/>
      <c r="AH29" s="14">
        <f>IF(AND(V29=1,COUNTIFS(Valores!$S$10:$S$509,"="&amp;SUBSTITUTE(SUBSTITUTE(SUBSTITUTE("P:"&amp;A29,"~","~~"),"*","~*"),"?","~?"))=1),(IF(ISNA(MATCH(SUBSTITUTE(SUBSTITUTE(SUBSTITUTE("P:"&amp;A29,"~","~~"),"*","~*"),"?","~?"),Valores!$S$10:$S$509,0)),9,INDEX(Valores!$R$10:$R$509,MATCH(SUBSTITUTE(SUBSTITUTE(SUBSTITUTE("P:"&amp;A29,"~","~~"),"*","~*"),"?","~?"),Valores!$S$10:$S$509,0)))-9),0)</f>
        <v>20</v>
      </c>
      <c r="AI29" s="40" t="str">
        <f t="shared" si="3"/>
        <v>Informe a empresa responsável</v>
      </c>
      <c r="AJ29" s="14" t="str">
        <f>IF(AND(X29=1,Y29=1),COUNTIFS($X$10:X29,1,$Y$10:Y29,1),"")</f>
        <v/>
      </c>
      <c r="AK29" s="14">
        <f>IF(X29=1,COUNTIFS($X$10:X29,1),"")</f>
        <v>20</v>
      </c>
      <c r="AL29" s="14">
        <f>IF(AND(V29=1,AND(OR(Painel!$L$6="Todas",E29=Painel!$L$6),OR(Painel!$C$8="Todos",F29=Painel!$C$8),OR(Painel!$L$8="Todos",G29=Painel!$L$8),OR(Painel!$C$10="",ISNUMBER(SEARCH(SUBSTITUTE(SUBSTITUTE(SUBSTITUTE(Painel!$C$10,"~","~~"),"*","~*"),"?","~?"),A29&amp;" "&amp;H29&amp;" "&amp;I29))))),1,0)</f>
        <v>1</v>
      </c>
      <c r="AM29" s="14">
        <f t="shared" si="4"/>
        <v>29</v>
      </c>
      <c r="AN29" s="14"/>
      <c r="AO29" s="14"/>
      <c r="AP29" s="16">
        <f>IF(AB29=0,"",IF(INDEX(Andamentos!$B$10:$B$2009,AB29)="","",INDEX(Andamentos!$B$10:$B$2009,AB29)))</f>
        <v>45951</v>
      </c>
      <c r="AQ29" s="17">
        <f>IF(AH29=0,"",IF(INDEX(Valores!$B$10:$B$509,AH29)="","",IF(ISNUMBER(INDEX(Valores!$B$10:$B$509,AH29)),INDEX(Valores!$B$10:$B$509,AH29),"")))</f>
        <v>29000</v>
      </c>
      <c r="AR29" s="14" t="str">
        <f t="shared" si="5"/>
        <v/>
      </c>
      <c r="AS29" s="14" t="str">
        <f t="shared" si="6"/>
        <v>P:0059400-23.2014.5.17.0141</v>
      </c>
      <c r="AT29" s="27" t="s">
        <v>298</v>
      </c>
      <c r="AU29" s="31" t="s">
        <v>292</v>
      </c>
      <c r="AV29" s="31"/>
      <c r="AW29" s="27" t="s">
        <v>280</v>
      </c>
      <c r="AX29" s="27"/>
      <c r="AY29" s="27"/>
      <c r="AZ29" s="27"/>
      <c r="BA29" s="30" t="str">
        <f t="shared" si="7"/>
        <v>0059400-23.2014.5.17.0141</v>
      </c>
      <c r="BB29" s="30" t="str">
        <f t="shared" si="8"/>
        <v/>
      </c>
      <c r="BC29" s="30">
        <f>IF(X29=0,0,IF(COUNTIFS($X$10:X29,1,$BA$10:BA29,BA29)=1,1,0))</f>
        <v>1</v>
      </c>
      <c r="BD29" s="29">
        <v>46055</v>
      </c>
    </row>
    <row r="30" spans="1:56" ht="42" customHeight="1">
      <c r="A30" s="41" t="s">
        <v>299</v>
      </c>
      <c r="B30" s="44" t="s">
        <v>161</v>
      </c>
      <c r="C30" s="44" t="s">
        <v>300</v>
      </c>
      <c r="D30" s="44" t="s">
        <v>163</v>
      </c>
      <c r="E30" s="44"/>
      <c r="F30" s="44" t="s">
        <v>182</v>
      </c>
      <c r="G30" s="44" t="s">
        <v>238</v>
      </c>
      <c r="H30" s="44" t="s">
        <v>301</v>
      </c>
      <c r="I30" s="44" t="s">
        <v>240</v>
      </c>
      <c r="J30" s="44" t="s">
        <v>302</v>
      </c>
      <c r="K30" s="44" t="s">
        <v>303</v>
      </c>
      <c r="L30" s="49">
        <v>42599</v>
      </c>
      <c r="M30" s="48" t="s">
        <v>304</v>
      </c>
      <c r="N30" s="48" t="s">
        <v>170</v>
      </c>
      <c r="O30" s="48"/>
      <c r="P30" s="48"/>
      <c r="Q30" s="48"/>
      <c r="R30" s="48"/>
      <c r="S30" s="49"/>
      <c r="T30" s="48"/>
      <c r="U30" s="48" t="s">
        <v>305</v>
      </c>
      <c r="V30" s="14">
        <f t="shared" si="0"/>
        <v>1</v>
      </c>
      <c r="W30" s="14">
        <f t="shared" si="1"/>
        <v>1</v>
      </c>
      <c r="X30" s="14">
        <f>IF(AND(V30=1,OR(Painel!$C$6="Todos",D30=Painel!$C$6),AND(OR(Painel!$L$6="Todas",E30=Painel!$L$6),OR(Painel!$C$8="Todos",F30=Painel!$C$8),OR(Painel!$L$8="Todos",G30=Painel!$L$8),OR(Painel!$C$10="",ISNUMBER(SEARCH(SUBSTITUTE(SUBSTITUTE(SUBSTITUTE(Painel!$C$10,"~","~~"),"*","~*"),"?","~?"),A30&amp;" "&amp;H30&amp;" "&amp;I30))))),1,0)</f>
        <v>1</v>
      </c>
      <c r="Y30" s="14">
        <f t="shared" si="2"/>
        <v>0</v>
      </c>
      <c r="Z30" s="15">
        <f>IF(V30=0,"",IF(COUNTIFS(Andamentos!$K$10:$K$2009,"="&amp;SUBSTITUTE(SUBSTITUTE(SUBSTITUTE("P:"&amp;A30,"~","~~"),"*","~*"),"?","~?"),Andamentos!$G$10:$G$2009,1)=0,"",_xlfn.AGGREGATE(14,6,Andamentos!$D$10:$D$2009/((Andamentos!$K$10:$K$2009=AS30)*(Andamentos!$G$10:$G$2009=1)),1)))</f>
        <v>46052</v>
      </c>
      <c r="AA30" s="14">
        <f>IF(Z30="",0,COUNTIFS(Andamentos!$K$10:$K$2009,"="&amp;SUBSTITUTE(SUBSTITUTE(SUBSTITUTE("P:"&amp;A30,"~","~~"),"*","~*"),"?","~?"),Andamentos!$D$10:$D$2009,Z30,Andamentos!$G$10:$G$2009,1))</f>
        <v>1</v>
      </c>
      <c r="AB30" s="14">
        <f>IF(AA30=1,SUMIFS(Andamentos!$L$10:$L$2009,Andamentos!$K$10:$K$2009,"="&amp;SUBSTITUTE(SUBSTITUTE(SUBSTITUTE(AS30,"~","~~"),"*","~*"),"?","~?"),Andamentos!$D$10:$D$2009,Z30,Andamentos!$G$10:$G$2009,1)-9,0)</f>
        <v>21</v>
      </c>
      <c r="AC30" s="14" t="str">
        <f>IF(V30=0,"",IF(AA30&gt;1,"Conferir recebimentos empatados",IF(AB30=0,"Sem atualização",INDEX(Andamentos!$C$10:$C$2009,AB30))))</f>
        <v>03/11/2025 - Mandado de Citação e Execução, para pagamento em 03 dias, do valor de R$ 152.401,99 (atualizada até 15/04/2025), sob pena de penhora. (PRAZO DE 15 DIAS PARA DEFESA) [...] histórico completo em Observações</v>
      </c>
      <c r="AD30" s="14">
        <f ca="1">IF(W30=0,0,IF(MAX(Z30,BD30)=0,1,IF(Configurar!$J$12-INT(MAX(Z30,BD30))&gt;Configurar!$J$11,1,0)))</f>
        <v>1</v>
      </c>
      <c r="AE30" s="16"/>
      <c r="AF30" s="14"/>
      <c r="AG30" s="14"/>
      <c r="AH30" s="14">
        <f>IF(AND(V30=1,COUNTIFS(Valores!$S$10:$S$509,"="&amp;SUBSTITUTE(SUBSTITUTE(SUBSTITUTE("P:"&amp;A30,"~","~~"),"*","~*"),"?","~?"))=1),(IF(ISNA(MATCH(SUBSTITUTE(SUBSTITUTE(SUBSTITUTE("P:"&amp;A30,"~","~~"),"*","~*"),"?","~?"),Valores!$S$10:$S$509,0)),9,INDEX(Valores!$R$10:$R$509,MATCH(SUBSTITUTE(SUBSTITUTE(SUBSTITUTE("P:"&amp;A30,"~","~~"),"*","~*"),"?","~?"),Valores!$S$10:$S$509,0)))-9),0)</f>
        <v>21</v>
      </c>
      <c r="AI30" s="40" t="str">
        <f t="shared" si="3"/>
        <v>Informe a empresa responsável</v>
      </c>
      <c r="AJ30" s="14" t="str">
        <f>IF(AND(X30=1,Y30=1),COUNTIFS($X$10:X30,1,$Y$10:Y30,1),"")</f>
        <v/>
      </c>
      <c r="AK30" s="14">
        <f>IF(X30=1,COUNTIFS($X$10:X30,1),"")</f>
        <v>21</v>
      </c>
      <c r="AL30" s="14">
        <f>IF(AND(V30=1,AND(OR(Painel!$L$6="Todas",E30=Painel!$L$6),OR(Painel!$C$8="Todos",F30=Painel!$C$8),OR(Painel!$L$8="Todos",G30=Painel!$L$8),OR(Painel!$C$10="",ISNUMBER(SEARCH(SUBSTITUTE(SUBSTITUTE(SUBSTITUTE(Painel!$C$10,"~","~~"),"*","~*"),"?","~?"),A30&amp;" "&amp;H30&amp;" "&amp;I30))))),1,0)</f>
        <v>1</v>
      </c>
      <c r="AM30" s="14">
        <f t="shared" si="4"/>
        <v>30</v>
      </c>
      <c r="AN30" s="14"/>
      <c r="AO30" s="14"/>
      <c r="AP30" s="16">
        <f>IF(AB30=0,"",IF(INDEX(Andamentos!$B$10:$B$2009,AB30)="","",INDEX(Andamentos!$B$10:$B$2009,AB30)))</f>
        <v>45964</v>
      </c>
      <c r="AQ30" s="17">
        <f>IF(AH30=0,"",IF(INDEX(Valores!$B$10:$B$509,AH30)="","",IF(ISNUMBER(INDEX(Valores!$B$10:$B$509,AH30)),INDEX(Valores!$B$10:$B$509,AH30),"")))</f>
        <v>50921.25</v>
      </c>
      <c r="AR30" s="14" t="str">
        <f t="shared" si="5"/>
        <v/>
      </c>
      <c r="AS30" s="14" t="str">
        <f t="shared" si="6"/>
        <v>P:5119575-46.2016.8.13.0024</v>
      </c>
      <c r="AT30" s="27" t="s">
        <v>306</v>
      </c>
      <c r="AU30" s="31" t="s">
        <v>299</v>
      </c>
      <c r="AV30" s="31"/>
      <c r="AW30" s="27" t="s">
        <v>280</v>
      </c>
      <c r="AX30" s="27" t="s">
        <v>246</v>
      </c>
      <c r="AY30" s="27"/>
      <c r="AZ30" s="27"/>
      <c r="BA30" s="30" t="str">
        <f t="shared" si="7"/>
        <v>5119575-46.2016.8.13.0024</v>
      </c>
      <c r="BB30" s="30" t="str">
        <f t="shared" si="8"/>
        <v/>
      </c>
      <c r="BC30" s="30">
        <f>IF(X30=0,0,IF(COUNTIFS($X$10:X30,1,$BA$10:BA30,BA30)=1,1,0))</f>
        <v>1</v>
      </c>
      <c r="BD30" s="29">
        <v>46052</v>
      </c>
    </row>
    <row r="31" spans="1:56" ht="42" customHeight="1">
      <c r="A31" s="41" t="s">
        <v>307</v>
      </c>
      <c r="B31" s="44" t="s">
        <v>161</v>
      </c>
      <c r="C31" s="44" t="s">
        <v>300</v>
      </c>
      <c r="D31" s="44" t="s">
        <v>163</v>
      </c>
      <c r="E31" s="44"/>
      <c r="F31" s="44" t="s">
        <v>174</v>
      </c>
      <c r="G31" s="44" t="s">
        <v>238</v>
      </c>
      <c r="H31" s="44" t="s">
        <v>308</v>
      </c>
      <c r="I31" s="44" t="s">
        <v>309</v>
      </c>
      <c r="J31" s="44" t="s">
        <v>310</v>
      </c>
      <c r="K31" s="44" t="s">
        <v>242</v>
      </c>
      <c r="L31" s="49"/>
      <c r="M31" s="48" t="s">
        <v>311</v>
      </c>
      <c r="N31" s="48" t="s">
        <v>170</v>
      </c>
      <c r="O31" s="48"/>
      <c r="P31" s="48"/>
      <c r="Q31" s="48"/>
      <c r="R31" s="48"/>
      <c r="S31" s="49"/>
      <c r="T31" s="48"/>
      <c r="U31" s="48" t="s">
        <v>312</v>
      </c>
      <c r="V31" s="14">
        <f t="shared" si="0"/>
        <v>1</v>
      </c>
      <c r="W31" s="14">
        <f t="shared" si="1"/>
        <v>1</v>
      </c>
      <c r="X31" s="14">
        <f>IF(AND(V31=1,OR(Painel!$C$6="Todos",D31=Painel!$C$6),AND(OR(Painel!$L$6="Todas",E31=Painel!$L$6),OR(Painel!$C$8="Todos",F31=Painel!$C$8),OR(Painel!$L$8="Todos",G31=Painel!$L$8),OR(Painel!$C$10="",ISNUMBER(SEARCH(SUBSTITUTE(SUBSTITUTE(SUBSTITUTE(Painel!$C$10,"~","~~"),"*","~*"),"?","~?"),A31&amp;" "&amp;H31&amp;" "&amp;I31))))),1,0)</f>
        <v>1</v>
      </c>
      <c r="Y31" s="14">
        <f t="shared" si="2"/>
        <v>0</v>
      </c>
      <c r="Z31" s="15">
        <f>IF(V31=0,"",IF(COUNTIFS(Andamentos!$K$10:$K$2009,"="&amp;SUBSTITUTE(SUBSTITUTE(SUBSTITUTE("P:"&amp;A31,"~","~~"),"*","~*"),"?","~?"),Andamentos!$G$10:$G$2009,1)=0,"",_xlfn.AGGREGATE(14,6,Andamentos!$D$10:$D$2009/((Andamentos!$K$10:$K$2009=AS31)*(Andamentos!$G$10:$G$2009=1)),1)))</f>
        <v>46052</v>
      </c>
      <c r="AA31" s="14">
        <f>IF(Z31="",0,COUNTIFS(Andamentos!$K$10:$K$2009,"="&amp;SUBSTITUTE(SUBSTITUTE(SUBSTITUTE("P:"&amp;A31,"~","~~"),"*","~*"),"?","~?"),Andamentos!$D$10:$D$2009,Z31,Andamentos!$G$10:$G$2009,1))</f>
        <v>1</v>
      </c>
      <c r="AB31" s="14">
        <f>IF(AA31=1,SUMIFS(Andamentos!$L$10:$L$2009,Andamentos!$K$10:$K$2009,"="&amp;SUBSTITUTE(SUBSTITUTE(SUBSTITUTE(AS31,"~","~~"),"*","~*"),"?","~?"),Andamentos!$D$10:$D$2009,Z31,Andamentos!$G$10:$G$2009,1)-9,0)</f>
        <v>22</v>
      </c>
      <c r="AC31" s="14" t="str">
        <f>IF(V31=0,"",IF(AA31&gt;1,"Conferir recebimentos empatados",IF(AB31=0,"Sem atualização",INDEX(Andamentos!$C$10:$C$2009,AB31))))</f>
        <v>20/10/2025 - Carta de intimação para apgamento do saldo remanescente no valor de R$ 26.728,17 (O Consórcio e a Spavias impugnaram o pedido.) 
(12/07/2023) Despacho intimando a Exequente para instaurar corretamente o incidente de desconsideração da personalidade jurídica, nos termos do Art. 133 do CPC, sob pena de indeferimento do pedido. [...] histórico completo em Observações</v>
      </c>
      <c r="AD31" s="14">
        <f ca="1">IF(W31=0,0,IF(MAX(Z31,BD31)=0,1,IF(Configurar!$J$12-INT(MAX(Z31,BD31))&gt;Configurar!$J$11,1,0)))</f>
        <v>1</v>
      </c>
      <c r="AE31" s="16"/>
      <c r="AF31" s="14"/>
      <c r="AG31" s="14"/>
      <c r="AH31" s="14">
        <f>IF(AND(V31=1,COUNTIFS(Valores!$S$10:$S$509,"="&amp;SUBSTITUTE(SUBSTITUTE(SUBSTITUTE("P:"&amp;A31,"~","~~"),"*","~*"),"?","~?"))=1),(IF(ISNA(MATCH(SUBSTITUTE(SUBSTITUTE(SUBSTITUTE("P:"&amp;A31,"~","~~"),"*","~*"),"?","~?"),Valores!$S$10:$S$509,0)),9,INDEX(Valores!$R$10:$R$509,MATCH(SUBSTITUTE(SUBSTITUTE(SUBSTITUTE("P:"&amp;A31,"~","~~"),"*","~*"),"?","~?"),Valores!$S$10:$S$509,0)))-9),0)</f>
        <v>22</v>
      </c>
      <c r="AI31" s="40" t="str">
        <f t="shared" si="3"/>
        <v>Informe a empresa responsável</v>
      </c>
      <c r="AJ31" s="14" t="str">
        <f>IF(AND(X31=1,Y31=1),COUNTIFS($X$10:X31,1,$Y$10:Y31,1),"")</f>
        <v/>
      </c>
      <c r="AK31" s="14">
        <f>IF(X31=1,COUNTIFS($X$10:X31,1),"")</f>
        <v>22</v>
      </c>
      <c r="AL31" s="14">
        <f>IF(AND(V31=1,AND(OR(Painel!$L$6="Todas",E31=Painel!$L$6),OR(Painel!$C$8="Todos",F31=Painel!$C$8),OR(Painel!$L$8="Todos",G31=Painel!$L$8),OR(Painel!$C$10="",ISNUMBER(SEARCH(SUBSTITUTE(SUBSTITUTE(SUBSTITUTE(Painel!$C$10,"~","~~"),"*","~*"),"?","~?"),A31&amp;" "&amp;H31&amp;" "&amp;I31))))),1,0)</f>
        <v>1</v>
      </c>
      <c r="AM31" s="14">
        <f t="shared" si="4"/>
        <v>31</v>
      </c>
      <c r="AN31" s="14"/>
      <c r="AO31" s="14"/>
      <c r="AP31" s="16">
        <f>IF(AB31=0,"",IF(INDEX(Andamentos!$B$10:$B$2009,AB31)="","",INDEX(Andamentos!$B$10:$B$2009,AB31)))</f>
        <v>45950</v>
      </c>
      <c r="AQ31" s="17">
        <f>IF(AH31=0,"",IF(INDEX(Valores!$B$10:$B$509,AH31)="","",IF(ISNUMBER(INDEX(Valores!$B$10:$B$509,AH31)),INDEX(Valores!$B$10:$B$509,AH31),"")))</f>
        <v>168024.19</v>
      </c>
      <c r="AR31" s="14" t="str">
        <f t="shared" si="5"/>
        <v/>
      </c>
      <c r="AS31" s="14" t="str">
        <f t="shared" si="6"/>
        <v>P:0052185-74.2016.8.09.0051</v>
      </c>
      <c r="AT31" s="27" t="s">
        <v>313</v>
      </c>
      <c r="AU31" s="31" t="s">
        <v>307</v>
      </c>
      <c r="AV31" s="31"/>
      <c r="AW31" s="27" t="s">
        <v>280</v>
      </c>
      <c r="AX31" s="27" t="s">
        <v>314</v>
      </c>
      <c r="AY31" s="27"/>
      <c r="AZ31" s="27"/>
      <c r="BA31" s="30" t="str">
        <f t="shared" si="7"/>
        <v>0052185-74.2016.8.09.0051</v>
      </c>
      <c r="BB31" s="30" t="str">
        <f t="shared" si="8"/>
        <v/>
      </c>
      <c r="BC31" s="30">
        <f>IF(X31=0,0,IF(COUNTIFS($X$10:X31,1,$BA$10:BA31,BA31)=1,1,0))</f>
        <v>1</v>
      </c>
      <c r="BD31" s="29">
        <v>46052</v>
      </c>
    </row>
    <row r="32" spans="1:56" ht="42" customHeight="1">
      <c r="A32" s="41" t="s">
        <v>315</v>
      </c>
      <c r="B32" s="44" t="s">
        <v>161</v>
      </c>
      <c r="C32" s="44" t="s">
        <v>316</v>
      </c>
      <c r="D32" s="44" t="s">
        <v>163</v>
      </c>
      <c r="E32" s="44"/>
      <c r="F32" s="44" t="s">
        <v>182</v>
      </c>
      <c r="G32" s="44" t="s">
        <v>238</v>
      </c>
      <c r="H32" s="44" t="s">
        <v>317</v>
      </c>
      <c r="I32" s="44" t="s">
        <v>240</v>
      </c>
      <c r="J32" s="44" t="s">
        <v>302</v>
      </c>
      <c r="K32" s="44" t="s">
        <v>303</v>
      </c>
      <c r="L32" s="49"/>
      <c r="M32" s="48" t="s">
        <v>318</v>
      </c>
      <c r="N32" s="48" t="s">
        <v>170</v>
      </c>
      <c r="O32" s="48"/>
      <c r="P32" s="48"/>
      <c r="Q32" s="48"/>
      <c r="R32" s="48"/>
      <c r="S32" s="49"/>
      <c r="T32" s="48"/>
      <c r="U32" s="48" t="s">
        <v>319</v>
      </c>
      <c r="V32" s="14">
        <f t="shared" si="0"/>
        <v>1</v>
      </c>
      <c r="W32" s="14">
        <f t="shared" si="1"/>
        <v>1</v>
      </c>
      <c r="X32" s="14">
        <f>IF(AND(V32=1,OR(Painel!$C$6="Todos",D32=Painel!$C$6),AND(OR(Painel!$L$6="Todas",E32=Painel!$L$6),OR(Painel!$C$8="Todos",F32=Painel!$C$8),OR(Painel!$L$8="Todos",G32=Painel!$L$8),OR(Painel!$C$10="",ISNUMBER(SEARCH(SUBSTITUTE(SUBSTITUTE(SUBSTITUTE(Painel!$C$10,"~","~~"),"*","~*"),"?","~?"),A32&amp;" "&amp;H32&amp;" "&amp;I32))))),1,0)</f>
        <v>1</v>
      </c>
      <c r="Y32" s="14">
        <f t="shared" si="2"/>
        <v>0</v>
      </c>
      <c r="Z32" s="15">
        <f>IF(V32=0,"",IF(COUNTIFS(Andamentos!$K$10:$K$2009,"="&amp;SUBSTITUTE(SUBSTITUTE(SUBSTITUTE("P:"&amp;A32,"~","~~"),"*","~*"),"?","~?"),Andamentos!$G$10:$G$2009,1)=0,"",_xlfn.AGGREGATE(14,6,Andamentos!$D$10:$D$2009/((Andamentos!$K$10:$K$2009=AS32)*(Andamentos!$G$10:$G$2009=1)),1)))</f>
        <v>45840</v>
      </c>
      <c r="AA32" s="14">
        <f>IF(Z32="",0,COUNTIFS(Andamentos!$K$10:$K$2009,"="&amp;SUBSTITUTE(SUBSTITUTE(SUBSTITUTE("P:"&amp;A32,"~","~~"),"*","~*"),"?","~?"),Andamentos!$D$10:$D$2009,Z32,Andamentos!$G$10:$G$2009,1))</f>
        <v>1</v>
      </c>
      <c r="AB32" s="14">
        <f>IF(AA32=1,SUMIFS(Andamentos!$L$10:$L$2009,Andamentos!$K$10:$K$2009,"="&amp;SUBSTITUTE(SUBSTITUTE(SUBSTITUTE(AS32,"~","~~"),"*","~*"),"?","~?"),Andamentos!$D$10:$D$2009,Z32,Andamentos!$G$10:$G$2009,1)-9,0)</f>
        <v>23</v>
      </c>
      <c r="AC32" s="14" t="str">
        <f>IF(V32=0,"",IF(AA32&gt;1,"Conferir recebimentos empatados",IF(AB32=0,"Sem atualização",INDEX(Andamentos!$C$10:$C$2009,AB32))))</f>
        <v>08/10/2025 - Processo arquivado provisioramente até encontrar bens para penhora. [...] histórico completo em Observações</v>
      </c>
      <c r="AD32" s="14">
        <f ca="1">IF(W32=0,0,IF(MAX(Z32,BD32)=0,1,IF(Configurar!$J$12-INT(MAX(Z32,BD32))&gt;Configurar!$J$11,1,0)))</f>
        <v>1</v>
      </c>
      <c r="AE32" s="16"/>
      <c r="AF32" s="14"/>
      <c r="AG32" s="14"/>
      <c r="AH32" s="14">
        <f>IF(AND(V32=1,COUNTIFS(Valores!$S$10:$S$509,"="&amp;SUBSTITUTE(SUBSTITUTE(SUBSTITUTE("P:"&amp;A32,"~","~~"),"*","~*"),"?","~?"))=1),(IF(ISNA(MATCH(SUBSTITUTE(SUBSTITUTE(SUBSTITUTE("P:"&amp;A32,"~","~~"),"*","~*"),"?","~?"),Valores!$S$10:$S$509,0)),9,INDEX(Valores!$R$10:$R$509,MATCH(SUBSTITUTE(SUBSTITUTE(SUBSTITUTE("P:"&amp;A32,"~","~~"),"*","~*"),"?","~?"),Valores!$S$10:$S$509,0)))-9),0)</f>
        <v>23</v>
      </c>
      <c r="AI32" s="40" t="str">
        <f t="shared" si="3"/>
        <v>Informe a empresa responsável</v>
      </c>
      <c r="AJ32" s="14" t="str">
        <f>IF(AND(X32=1,Y32=1),COUNTIFS($X$10:X32,1,$Y$10:Y32,1),"")</f>
        <v/>
      </c>
      <c r="AK32" s="14">
        <f>IF(X32=1,COUNTIFS($X$10:X32,1),"")</f>
        <v>23</v>
      </c>
      <c r="AL32" s="14">
        <f>IF(AND(V32=1,AND(OR(Painel!$L$6="Todas",E32=Painel!$L$6),OR(Painel!$C$8="Todos",F32=Painel!$C$8),OR(Painel!$L$8="Todos",G32=Painel!$L$8),OR(Painel!$C$10="",ISNUMBER(SEARCH(SUBSTITUTE(SUBSTITUTE(SUBSTITUTE(Painel!$C$10,"~","~~"),"*","~*"),"?","~?"),A32&amp;" "&amp;H32&amp;" "&amp;I32))))),1,0)</f>
        <v>1</v>
      </c>
      <c r="AM32" s="14">
        <f t="shared" si="4"/>
        <v>32</v>
      </c>
      <c r="AN32" s="14"/>
      <c r="AO32" s="14"/>
      <c r="AP32" s="16">
        <f>IF(AB32=0,"",IF(INDEX(Andamentos!$B$10:$B$2009,AB32)="","",INDEX(Andamentos!$B$10:$B$2009,AB32)))</f>
        <v>45938</v>
      </c>
      <c r="AQ32" s="17">
        <f>IF(AH32=0,"",IF(INDEX(Valores!$B$10:$B$509,AH32)="","",IF(ISNUMBER(INDEX(Valores!$B$10:$B$509,AH32)),INDEX(Valores!$B$10:$B$509,AH32),"")))</f>
        <v>267720.77</v>
      </c>
      <c r="AR32" s="14" t="str">
        <f t="shared" si="5"/>
        <v/>
      </c>
      <c r="AS32" s="14" t="str">
        <f t="shared" si="6"/>
        <v>P:5131188-29.2017.8.13.0024</v>
      </c>
      <c r="AT32" s="27" t="s">
        <v>320</v>
      </c>
      <c r="AU32" s="31" t="s">
        <v>315</v>
      </c>
      <c r="AV32" s="31"/>
      <c r="AW32" s="27" t="s">
        <v>280</v>
      </c>
      <c r="AX32" s="27" t="s">
        <v>246</v>
      </c>
      <c r="AY32" s="27"/>
      <c r="AZ32" s="27"/>
      <c r="BA32" s="30" t="str">
        <f t="shared" si="7"/>
        <v>5131188-29.2017.8.13.0024</v>
      </c>
      <c r="BB32" s="30" t="str">
        <f t="shared" si="8"/>
        <v/>
      </c>
      <c r="BC32" s="30">
        <f>IF(X32=0,0,IF(COUNTIFS($X$10:X32,1,$BA$10:BA32,BA32)=1,1,0))</f>
        <v>1</v>
      </c>
      <c r="BD32" s="29">
        <v>45840</v>
      </c>
    </row>
    <row r="33" spans="1:56" ht="42" customHeight="1">
      <c r="A33" s="41" t="s">
        <v>321</v>
      </c>
      <c r="B33" s="44" t="s">
        <v>161</v>
      </c>
      <c r="C33" s="44" t="s">
        <v>162</v>
      </c>
      <c r="D33" s="44" t="s">
        <v>163</v>
      </c>
      <c r="E33" s="44"/>
      <c r="F33" s="44" t="s">
        <v>182</v>
      </c>
      <c r="G33" s="44" t="s">
        <v>238</v>
      </c>
      <c r="H33" s="44" t="s">
        <v>322</v>
      </c>
      <c r="I33" s="44" t="s">
        <v>240</v>
      </c>
      <c r="J33" s="44" t="s">
        <v>323</v>
      </c>
      <c r="K33" s="44" t="s">
        <v>303</v>
      </c>
      <c r="L33" s="49"/>
      <c r="M33" s="48" t="s">
        <v>324</v>
      </c>
      <c r="N33" s="48" t="s">
        <v>170</v>
      </c>
      <c r="O33" s="48"/>
      <c r="P33" s="48"/>
      <c r="Q33" s="48"/>
      <c r="R33" s="48"/>
      <c r="S33" s="49"/>
      <c r="T33" s="48"/>
      <c r="U33" s="48" t="s">
        <v>325</v>
      </c>
      <c r="V33" s="14">
        <f t="shared" si="0"/>
        <v>1</v>
      </c>
      <c r="W33" s="14">
        <f t="shared" si="1"/>
        <v>0</v>
      </c>
      <c r="X33" s="14">
        <f>IF(AND(V33=1,OR(Painel!$C$6="Todos",D33=Painel!$C$6),AND(OR(Painel!$L$6="Todas",E33=Painel!$L$6),OR(Painel!$C$8="Todos",F33=Painel!$C$8),OR(Painel!$L$8="Todos",G33=Painel!$L$8),OR(Painel!$C$10="",ISNUMBER(SEARCH(SUBSTITUTE(SUBSTITUTE(SUBSTITUTE(Painel!$C$10,"~","~~"),"*","~*"),"?","~?"),A33&amp;" "&amp;H33&amp;" "&amp;I33))))),1,0)</f>
        <v>1</v>
      </c>
      <c r="Y33" s="14">
        <f t="shared" si="2"/>
        <v>0</v>
      </c>
      <c r="Z33" s="15">
        <f>IF(V33=0,"",IF(COUNTIFS(Andamentos!$K$10:$K$2009,"="&amp;SUBSTITUTE(SUBSTITUTE(SUBSTITUTE("P:"&amp;A33,"~","~~"),"*","~*"),"?","~?"),Andamentos!$G$10:$G$2009,1)=0,"",_xlfn.AGGREGATE(14,6,Andamentos!$D$10:$D$2009/((Andamentos!$K$10:$K$2009=AS33)*(Andamentos!$G$10:$G$2009=1)),1)))</f>
        <v>45562</v>
      </c>
      <c r="AA33" s="14">
        <f>IF(Z33="",0,COUNTIFS(Andamentos!$K$10:$K$2009,"="&amp;SUBSTITUTE(SUBSTITUTE(SUBSTITUTE("P:"&amp;A33,"~","~~"),"*","~*"),"?","~?"),Andamentos!$D$10:$D$2009,Z33,Andamentos!$G$10:$G$2009,1))</f>
        <v>1</v>
      </c>
      <c r="AB33" s="14">
        <f>IF(AA33=1,SUMIFS(Andamentos!$L$10:$L$2009,Andamentos!$K$10:$K$2009,"="&amp;SUBSTITUTE(SUBSTITUTE(SUBSTITUTE(AS33,"~","~~"),"*","~*"),"?","~?"),Andamentos!$D$10:$D$2009,Z33,Andamentos!$G$10:$G$2009,1)-9,0)</f>
        <v>24</v>
      </c>
      <c r="AC33" s="14" t="str">
        <f>IF(V33=0,"",IF(AA33&gt;1,"Conferir recebimentos empatados",IF(AB33=0,"Sem atualização",INDEX(Andamentos!$C$10:$C$2009,AB33))))</f>
        <v>(16/08/2023) Decisão que determinou o desbloqueio da conta bancária do consórcio</v>
      </c>
      <c r="AD33" s="14">
        <f>IF(W33=0,0,IF(MAX(Z33,BD33)=0,1,IF(Configurar!$J$12-INT(MAX(Z33,BD33))&gt;Configurar!$J$11,1,0)))</f>
        <v>0</v>
      </c>
      <c r="AE33" s="16"/>
      <c r="AF33" s="14"/>
      <c r="AG33" s="14"/>
      <c r="AH33" s="14">
        <f>IF(AND(V33=1,COUNTIFS(Valores!$S$10:$S$509,"="&amp;SUBSTITUTE(SUBSTITUTE(SUBSTITUTE("P:"&amp;A33,"~","~~"),"*","~*"),"?","~?"))=1),(IF(ISNA(MATCH(SUBSTITUTE(SUBSTITUTE(SUBSTITUTE("P:"&amp;A33,"~","~~"),"*","~*"),"?","~?"),Valores!$S$10:$S$509,0)),9,INDEX(Valores!$R$10:$R$509,MATCH(SUBSTITUTE(SUBSTITUTE(SUBSTITUTE("P:"&amp;A33,"~","~~"),"*","~*"),"?","~?"),Valores!$S$10:$S$509,0)))-9),0)</f>
        <v>24</v>
      </c>
      <c r="AI33" s="40" t="str">
        <f t="shared" si="3"/>
        <v>Informe a empresa responsável</v>
      </c>
      <c r="AJ33" s="14" t="str">
        <f>IF(AND(X33=1,Y33=1),COUNTIFS($X$10:X33,1,$Y$10:Y33,1),"")</f>
        <v/>
      </c>
      <c r="AK33" s="14">
        <f>IF(X33=1,COUNTIFS($X$10:X33,1),"")</f>
        <v>24</v>
      </c>
      <c r="AL33" s="14">
        <f>IF(AND(V33=1,AND(OR(Painel!$L$6="Todas",E33=Painel!$L$6),OR(Painel!$C$8="Todos",F33=Painel!$C$8),OR(Painel!$L$8="Todos",G33=Painel!$L$8),OR(Painel!$C$10="",ISNUMBER(SEARCH(SUBSTITUTE(SUBSTITUTE(SUBSTITUTE(Painel!$C$10,"~","~~"),"*","~*"),"?","~?"),A33&amp;" "&amp;H33&amp;" "&amp;I33))))),1,0)</f>
        <v>1</v>
      </c>
      <c r="AM33" s="14">
        <f t="shared" si="4"/>
        <v>33</v>
      </c>
      <c r="AN33" s="14"/>
      <c r="AO33" s="14"/>
      <c r="AP33" s="16" t="str">
        <f>IF(AB33=0,"",IF(INDEX(Andamentos!$B$10:$B$2009,AB33)="","",INDEX(Andamentos!$B$10:$B$2009,AB33)))</f>
        <v/>
      </c>
      <c r="AQ33" s="17">
        <f>IF(AH33=0,"",IF(INDEX(Valores!$B$10:$B$509,AH33)="","",IF(ISNUMBER(INDEX(Valores!$B$10:$B$509,AH33)),INDEX(Valores!$B$10:$B$509,AH33),"")))</f>
        <v>520579.71</v>
      </c>
      <c r="AR33" s="14" t="str">
        <f t="shared" si="5"/>
        <v/>
      </c>
      <c r="AS33" s="14" t="str">
        <f t="shared" si="6"/>
        <v>P:5071968-32.2019.8.13.0024</v>
      </c>
      <c r="AT33" s="27" t="s">
        <v>326</v>
      </c>
      <c r="AU33" s="31" t="s">
        <v>321</v>
      </c>
      <c r="AV33" s="31"/>
      <c r="AW33" s="27" t="s">
        <v>162</v>
      </c>
      <c r="AX33" s="27"/>
      <c r="AY33" s="27"/>
      <c r="AZ33" s="27"/>
      <c r="BA33" s="30" t="str">
        <f t="shared" si="7"/>
        <v>5071968-32.2019.8.13.0024</v>
      </c>
      <c r="BB33" s="30" t="str">
        <f t="shared" si="8"/>
        <v/>
      </c>
      <c r="BC33" s="30">
        <f>IF(X33=0,0,IF(COUNTIFS($X$10:X33,1,$BA$10:BA33,BA33)=1,1,0))</f>
        <v>1</v>
      </c>
      <c r="BD33" s="29">
        <v>45562</v>
      </c>
    </row>
    <row r="34" spans="1:56" ht="42" customHeight="1">
      <c r="A34" s="41" t="s">
        <v>327</v>
      </c>
      <c r="B34" s="44" t="s">
        <v>161</v>
      </c>
      <c r="C34" s="44" t="s">
        <v>300</v>
      </c>
      <c r="D34" s="44" t="s">
        <v>163</v>
      </c>
      <c r="E34" s="44"/>
      <c r="F34" s="44" t="s">
        <v>182</v>
      </c>
      <c r="G34" s="44" t="s">
        <v>238</v>
      </c>
      <c r="H34" s="44" t="s">
        <v>328</v>
      </c>
      <c r="I34" s="44" t="s">
        <v>240</v>
      </c>
      <c r="J34" s="44" t="s">
        <v>329</v>
      </c>
      <c r="K34" s="44" t="s">
        <v>242</v>
      </c>
      <c r="L34" s="49"/>
      <c r="M34" s="48" t="s">
        <v>330</v>
      </c>
      <c r="N34" s="48" t="s">
        <v>170</v>
      </c>
      <c r="O34" s="48"/>
      <c r="P34" s="48"/>
      <c r="Q34" s="48"/>
      <c r="R34" s="48"/>
      <c r="S34" s="49"/>
      <c r="T34" s="48"/>
      <c r="U34" s="48" t="s">
        <v>331</v>
      </c>
      <c r="V34" s="14">
        <f t="shared" si="0"/>
        <v>1</v>
      </c>
      <c r="W34" s="14">
        <f t="shared" si="1"/>
        <v>1</v>
      </c>
      <c r="X34" s="14">
        <f>IF(AND(V34=1,OR(Painel!$C$6="Todos",D34=Painel!$C$6),AND(OR(Painel!$L$6="Todas",E34=Painel!$L$6),OR(Painel!$C$8="Todos",F34=Painel!$C$8),OR(Painel!$L$8="Todos",G34=Painel!$L$8),OR(Painel!$C$10="",ISNUMBER(SEARCH(SUBSTITUTE(SUBSTITUTE(SUBSTITUTE(Painel!$C$10,"~","~~"),"*","~*"),"?","~?"),A34&amp;" "&amp;H34&amp;" "&amp;I34))))),1,0)</f>
        <v>1</v>
      </c>
      <c r="Y34" s="14">
        <f t="shared" si="2"/>
        <v>0</v>
      </c>
      <c r="Z34" s="15">
        <f>IF(V34=0,"",IF(COUNTIFS(Andamentos!$K$10:$K$2009,"="&amp;SUBSTITUTE(SUBSTITUTE(SUBSTITUTE("P:"&amp;A34,"~","~~"),"*","~*"),"?","~?"),Andamentos!$G$10:$G$2009,1)=0,"",_xlfn.AGGREGATE(14,6,Andamentos!$D$10:$D$2009/((Andamentos!$K$10:$K$2009=AS34)*(Andamentos!$G$10:$G$2009=1)),1)))</f>
        <v>46052</v>
      </c>
      <c r="AA34" s="14">
        <f>IF(Z34="",0,COUNTIFS(Andamentos!$K$10:$K$2009,"="&amp;SUBSTITUTE(SUBSTITUTE(SUBSTITUTE("P:"&amp;A34,"~","~~"),"*","~*"),"?","~?"),Andamentos!$D$10:$D$2009,Z34,Andamentos!$G$10:$G$2009,1))</f>
        <v>1</v>
      </c>
      <c r="AB34" s="14">
        <f>IF(AA34=1,SUMIFS(Andamentos!$L$10:$L$2009,Andamentos!$K$10:$K$2009,"="&amp;SUBSTITUTE(SUBSTITUTE(SUBSTITUTE(AS34,"~","~~"),"*","~*"),"?","~?"),Andamentos!$D$10:$D$2009,Z34,Andamentos!$G$10:$G$2009,1)-9,0)</f>
        <v>25</v>
      </c>
      <c r="AC34" s="14" t="str">
        <f>IF(V34=0,"",IF(AA34&gt;1,"Conferir recebimentos empatados",IF(AB34=0,"Sem atualização",INDEX(Andamentos!$C$10:$C$2009,AB34))))</f>
        <v>13/06/2023 - Deferido a instauração da desconsideração da Personalidade jurídic. Aguarda-se a citação da Alta. As outras empresas apresentaram contestação. [...] histórico completo em Observações</v>
      </c>
      <c r="AD34" s="14">
        <f ca="1">IF(W34=0,0,IF(MAX(Z34,BD34)=0,1,IF(Configurar!$J$12-INT(MAX(Z34,BD34))&gt;Configurar!$J$11,1,0)))</f>
        <v>1</v>
      </c>
      <c r="AE34" s="16"/>
      <c r="AF34" s="14"/>
      <c r="AG34" s="14"/>
      <c r="AH34" s="14">
        <f>IF(AND(V34=1,COUNTIFS(Valores!$S$10:$S$509,"="&amp;SUBSTITUTE(SUBSTITUTE(SUBSTITUTE("P:"&amp;A34,"~","~~"),"*","~*"),"?","~?"))=1),(IF(ISNA(MATCH(SUBSTITUTE(SUBSTITUTE(SUBSTITUTE("P:"&amp;A34,"~","~~"),"*","~*"),"?","~?"),Valores!$S$10:$S$509,0)),9,INDEX(Valores!$R$10:$R$509,MATCH(SUBSTITUTE(SUBSTITUTE(SUBSTITUTE("P:"&amp;A34,"~","~~"),"*","~*"),"?","~?"),Valores!$S$10:$S$509,0)))-9),0)</f>
        <v>25</v>
      </c>
      <c r="AI34" s="40" t="str">
        <f t="shared" si="3"/>
        <v>Informe a empresa responsável</v>
      </c>
      <c r="AJ34" s="14" t="str">
        <f>IF(AND(X34=1,Y34=1),COUNTIFS($X$10:X34,1,$Y$10:Y34,1),"")</f>
        <v/>
      </c>
      <c r="AK34" s="14">
        <f>IF(X34=1,COUNTIFS($X$10:X34,1),"")</f>
        <v>25</v>
      </c>
      <c r="AL34" s="14">
        <f>IF(AND(V34=1,AND(OR(Painel!$L$6="Todas",E34=Painel!$L$6),OR(Painel!$C$8="Todos",F34=Painel!$C$8),OR(Painel!$L$8="Todos",G34=Painel!$L$8),OR(Painel!$C$10="",ISNUMBER(SEARCH(SUBSTITUTE(SUBSTITUTE(SUBSTITUTE(Painel!$C$10,"~","~~"),"*","~*"),"?","~?"),A34&amp;" "&amp;H34&amp;" "&amp;I34))))),1,0)</f>
        <v>1</v>
      </c>
      <c r="AM34" s="14">
        <f t="shared" si="4"/>
        <v>34</v>
      </c>
      <c r="AN34" s="14"/>
      <c r="AO34" s="14"/>
      <c r="AP34" s="16">
        <f>IF(AB34=0,"",IF(INDEX(Andamentos!$B$10:$B$2009,AB34)="","",INDEX(Andamentos!$B$10:$B$2009,AB34)))</f>
        <v>45090</v>
      </c>
      <c r="AQ34" s="17">
        <f>IF(AH34=0,"",IF(INDEX(Valores!$B$10:$B$509,AH34)="","",IF(ISNUMBER(INDEX(Valores!$B$10:$B$509,AH34)),INDEX(Valores!$B$10:$B$509,AH34),"")))</f>
        <v>429296.48</v>
      </c>
      <c r="AR34" s="14" t="str">
        <f t="shared" si="5"/>
        <v/>
      </c>
      <c r="AS34" s="14" t="str">
        <f t="shared" si="6"/>
        <v>P:5321924-94.2018.8.09.0051</v>
      </c>
      <c r="AT34" s="27" t="s">
        <v>332</v>
      </c>
      <c r="AU34" s="31" t="s">
        <v>327</v>
      </c>
      <c r="AV34" s="31"/>
      <c r="AW34" s="27" t="s">
        <v>280</v>
      </c>
      <c r="AX34" s="27" t="s">
        <v>333</v>
      </c>
      <c r="AY34" s="27"/>
      <c r="AZ34" s="27"/>
      <c r="BA34" s="30" t="str">
        <f t="shared" si="7"/>
        <v>5321924-94.2018.8.09.0051</v>
      </c>
      <c r="BB34" s="30" t="str">
        <f t="shared" si="8"/>
        <v/>
      </c>
      <c r="BC34" s="30">
        <f>IF(X34=0,0,IF(COUNTIFS($X$10:X34,1,$BA$10:BA34,BA34)=1,1,0))</f>
        <v>1</v>
      </c>
      <c r="BD34" s="29">
        <v>46052</v>
      </c>
    </row>
    <row r="35" spans="1:56" ht="42" customHeight="1">
      <c r="A35" s="41" t="s">
        <v>334</v>
      </c>
      <c r="B35" s="44" t="s">
        <v>161</v>
      </c>
      <c r="C35" s="44" t="s">
        <v>162</v>
      </c>
      <c r="D35" s="44" t="s">
        <v>163</v>
      </c>
      <c r="E35" s="44"/>
      <c r="F35" s="44" t="s">
        <v>182</v>
      </c>
      <c r="G35" s="44" t="s">
        <v>238</v>
      </c>
      <c r="H35" s="44" t="s">
        <v>335</v>
      </c>
      <c r="I35" s="44" t="s">
        <v>240</v>
      </c>
      <c r="J35" s="44" t="s">
        <v>336</v>
      </c>
      <c r="K35" s="44" t="s">
        <v>242</v>
      </c>
      <c r="L35" s="49"/>
      <c r="M35" s="48" t="s">
        <v>337</v>
      </c>
      <c r="N35" s="48" t="s">
        <v>170</v>
      </c>
      <c r="O35" s="48"/>
      <c r="P35" s="48"/>
      <c r="Q35" s="48"/>
      <c r="R35" s="48"/>
      <c r="S35" s="49"/>
      <c r="T35" s="48"/>
      <c r="U35" s="48" t="s">
        <v>338</v>
      </c>
      <c r="V35" s="14">
        <f t="shared" si="0"/>
        <v>1</v>
      </c>
      <c r="W35" s="14">
        <f t="shared" si="1"/>
        <v>0</v>
      </c>
      <c r="X35" s="14">
        <f>IF(AND(V35=1,OR(Painel!$C$6="Todos",D35=Painel!$C$6),AND(OR(Painel!$L$6="Todas",E35=Painel!$L$6),OR(Painel!$C$8="Todos",F35=Painel!$C$8),OR(Painel!$L$8="Todos",G35=Painel!$L$8),OR(Painel!$C$10="",ISNUMBER(SEARCH(SUBSTITUTE(SUBSTITUTE(SUBSTITUTE(Painel!$C$10,"~","~~"),"*","~*"),"?","~?"),A35&amp;" "&amp;H35&amp;" "&amp;I35))))),1,0)</f>
        <v>1</v>
      </c>
      <c r="Y35" s="14">
        <f t="shared" si="2"/>
        <v>0</v>
      </c>
      <c r="Z35" s="15">
        <f>IF(V35=0,"",IF(COUNTIFS(Andamentos!$K$10:$K$2009,"="&amp;SUBSTITUTE(SUBSTITUTE(SUBSTITUTE("P:"&amp;A35,"~","~~"),"*","~*"),"?","~?"),Andamentos!$G$10:$G$2009,1)=0,"",_xlfn.AGGREGATE(14,6,Andamentos!$D$10:$D$2009/((Andamentos!$K$10:$K$2009=AS35)*(Andamentos!$G$10:$G$2009=1)),1)))</f>
        <v>46073</v>
      </c>
      <c r="AA35" s="14">
        <f>IF(Z35="",0,COUNTIFS(Andamentos!$K$10:$K$2009,"="&amp;SUBSTITUTE(SUBSTITUTE(SUBSTITUTE("P:"&amp;A35,"~","~~"),"*","~*"),"?","~?"),Andamentos!$D$10:$D$2009,Z35,Andamentos!$G$10:$G$2009,1))</f>
        <v>1</v>
      </c>
      <c r="AB35" s="14">
        <f>IF(AA35=1,SUMIFS(Andamentos!$L$10:$L$2009,Andamentos!$K$10:$K$2009,"="&amp;SUBSTITUTE(SUBSTITUTE(SUBSTITUTE(AS35,"~","~~"),"*","~*"),"?","~?"),Andamentos!$D$10:$D$2009,Z35,Andamentos!$G$10:$G$2009,1)-9,0)</f>
        <v>26</v>
      </c>
      <c r="AC35" s="14" t="str">
        <f>IF(V35=0,"",IF(AA35&gt;1,"Conferir recebimentos empatados",IF(AB35=0,"Sem atualização",INDEX(Andamentos!$C$10:$C$2009,AB35))))</f>
        <v>01/12/2023 - Acordo celebrado entre as partes, Geramaq e o Consórcio Spavias. Alta foi retirada do cumprimento de sentença sendo, assim, liberada das cobranças e medidas executivas relativas à dívida.
(01/11/2023) Decisão que concedeu o efeito suspensivo ao agravo de instrumento da Alta. - Aguardaremos eventual manifestação por parte da Geramaq, bem como o julgamento do recurso.</v>
      </c>
      <c r="AD35" s="14">
        <f>IF(W35=0,0,IF(MAX(Z35,BD35)=0,1,IF(Configurar!$J$12-INT(MAX(Z35,BD35))&gt;Configurar!$J$11,1,0)))</f>
        <v>0</v>
      </c>
      <c r="AE35" s="16"/>
      <c r="AF35" s="14"/>
      <c r="AG35" s="14"/>
      <c r="AH35" s="14">
        <f>IF(AND(V35=1,COUNTIFS(Valores!$S$10:$S$509,"="&amp;SUBSTITUTE(SUBSTITUTE(SUBSTITUTE("P:"&amp;A35,"~","~~"),"*","~*"),"?","~?"))=1),(IF(ISNA(MATCH(SUBSTITUTE(SUBSTITUTE(SUBSTITUTE("P:"&amp;A35,"~","~~"),"*","~*"),"?","~?"),Valores!$S$10:$S$509,0)),9,INDEX(Valores!$R$10:$R$509,MATCH(SUBSTITUTE(SUBSTITUTE(SUBSTITUTE("P:"&amp;A35,"~","~~"),"*","~*"),"?","~?"),Valores!$S$10:$S$509,0)))-9),0)</f>
        <v>26</v>
      </c>
      <c r="AI35" s="40" t="str">
        <f t="shared" si="3"/>
        <v>Informe a empresa responsável</v>
      </c>
      <c r="AJ35" s="14" t="str">
        <f>IF(AND(X35=1,Y35=1),COUNTIFS($X$10:X35,1,$Y$10:Y35,1),"")</f>
        <v/>
      </c>
      <c r="AK35" s="14">
        <f>IF(X35=1,COUNTIFS($X$10:X35,1),"")</f>
        <v>26</v>
      </c>
      <c r="AL35" s="14">
        <f>IF(AND(V35=1,AND(OR(Painel!$L$6="Todas",E35=Painel!$L$6),OR(Painel!$C$8="Todos",F35=Painel!$C$8),OR(Painel!$L$8="Todos",G35=Painel!$L$8),OR(Painel!$C$10="",ISNUMBER(SEARCH(SUBSTITUTE(SUBSTITUTE(SUBSTITUTE(Painel!$C$10,"~","~~"),"*","~*"),"?","~?"),A35&amp;" "&amp;H35&amp;" "&amp;I35))))),1,0)</f>
        <v>1</v>
      </c>
      <c r="AM35" s="14">
        <f t="shared" si="4"/>
        <v>35</v>
      </c>
      <c r="AN35" s="14"/>
      <c r="AO35" s="14"/>
      <c r="AP35" s="16">
        <f>IF(AB35=0,"",IF(INDEX(Andamentos!$B$10:$B$2009,AB35)="","",INDEX(Andamentos!$B$10:$B$2009,AB35)))</f>
        <v>45261</v>
      </c>
      <c r="AQ35" s="17">
        <f>IF(AH35=0,"",IF(INDEX(Valores!$B$10:$B$509,AH35)="","",IF(ISNUMBER(INDEX(Valores!$B$10:$B$509,AH35)),INDEX(Valores!$B$10:$B$509,AH35),"")))</f>
        <v>164916.37</v>
      </c>
      <c r="AR35" s="14" t="str">
        <f t="shared" si="5"/>
        <v/>
      </c>
      <c r="AS35" s="14" t="str">
        <f t="shared" si="6"/>
        <v>P:5475775-26.2017.8.09.0137</v>
      </c>
      <c r="AT35" s="27" t="s">
        <v>339</v>
      </c>
      <c r="AU35" s="31" t="s">
        <v>334</v>
      </c>
      <c r="AV35" s="31"/>
      <c r="AW35" s="27" t="s">
        <v>162</v>
      </c>
      <c r="AX35" s="27"/>
      <c r="AY35" s="27"/>
      <c r="AZ35" s="27"/>
      <c r="BA35" s="30" t="str">
        <f t="shared" si="7"/>
        <v>5475775-26.2017.8.09.0137</v>
      </c>
      <c r="BB35" s="30" t="str">
        <f t="shared" si="8"/>
        <v/>
      </c>
      <c r="BC35" s="30">
        <f>IF(X35=0,0,IF(COUNTIFS($X$10:X35,1,$BA$10:BA35,BA35)=1,1,0))</f>
        <v>1</v>
      </c>
      <c r="BD35" s="29">
        <v>46073</v>
      </c>
    </row>
    <row r="36" spans="1:56" ht="42" customHeight="1">
      <c r="A36" s="41" t="s">
        <v>340</v>
      </c>
      <c r="B36" s="44" t="s">
        <v>161</v>
      </c>
      <c r="C36" s="44" t="s">
        <v>252</v>
      </c>
      <c r="D36" s="44" t="s">
        <v>163</v>
      </c>
      <c r="E36" s="44"/>
      <c r="F36" s="44" t="s">
        <v>182</v>
      </c>
      <c r="G36" s="44" t="s">
        <v>238</v>
      </c>
      <c r="H36" s="44" t="s">
        <v>341</v>
      </c>
      <c r="I36" s="44" t="s">
        <v>240</v>
      </c>
      <c r="J36" s="44" t="s">
        <v>342</v>
      </c>
      <c r="K36" s="44" t="s">
        <v>242</v>
      </c>
      <c r="L36" s="49"/>
      <c r="M36" s="48" t="s">
        <v>337</v>
      </c>
      <c r="N36" s="48" t="s">
        <v>170</v>
      </c>
      <c r="O36" s="48"/>
      <c r="P36" s="48"/>
      <c r="Q36" s="48"/>
      <c r="R36" s="48"/>
      <c r="S36" s="49"/>
      <c r="T36" s="48"/>
      <c r="U36" s="48" t="s">
        <v>343</v>
      </c>
      <c r="V36" s="14">
        <f t="shared" si="0"/>
        <v>1</v>
      </c>
      <c r="W36" s="14">
        <f t="shared" si="1"/>
        <v>0</v>
      </c>
      <c r="X36" s="14">
        <f>IF(AND(V36=1,OR(Painel!$C$6="Todos",D36=Painel!$C$6),AND(OR(Painel!$L$6="Todas",E36=Painel!$L$6),OR(Painel!$C$8="Todos",F36=Painel!$C$8),OR(Painel!$L$8="Todos",G36=Painel!$L$8),OR(Painel!$C$10="",ISNUMBER(SEARCH(SUBSTITUTE(SUBSTITUTE(SUBSTITUTE(Painel!$C$10,"~","~~"),"*","~*"),"?","~?"),A36&amp;" "&amp;H36&amp;" "&amp;I36))))),1,0)</f>
        <v>1</v>
      </c>
      <c r="Y36" s="14">
        <f t="shared" si="2"/>
        <v>0</v>
      </c>
      <c r="Z36" s="15">
        <f>IF(V36=0,"",IF(COUNTIFS(Andamentos!$K$10:$K$2009,"="&amp;SUBSTITUTE(SUBSTITUTE(SUBSTITUTE("P:"&amp;A36,"~","~~"),"*","~*"),"?","~?"),Andamentos!$G$10:$G$2009,1)=0,"",_xlfn.AGGREGATE(14,6,Andamentos!$D$10:$D$2009/((Andamentos!$K$10:$K$2009=AS36)*(Andamentos!$G$10:$G$2009=1)),1)))</f>
        <v>45548</v>
      </c>
      <c r="AA36" s="14">
        <f>IF(Z36="",0,COUNTIFS(Andamentos!$K$10:$K$2009,"="&amp;SUBSTITUTE(SUBSTITUTE(SUBSTITUTE("P:"&amp;A36,"~","~~"),"*","~*"),"?","~?"),Andamentos!$D$10:$D$2009,Z36,Andamentos!$G$10:$G$2009,1))</f>
        <v>1</v>
      </c>
      <c r="AB36" s="14">
        <f>IF(AA36=1,SUMIFS(Andamentos!$L$10:$L$2009,Andamentos!$K$10:$K$2009,"="&amp;SUBSTITUTE(SUBSTITUTE(SUBSTITUTE(AS36,"~","~~"),"*","~*"),"?","~?"),Andamentos!$D$10:$D$2009,Z36,Andamentos!$G$10:$G$2009,1)-9,0)</f>
        <v>27</v>
      </c>
      <c r="AC36" s="14" t="str">
        <f>IF(V36=0,"",IF(AA36&gt;1,"Conferir recebimentos empatados",IF(AB36=0,"Sem atualização",INDEX(Andamentos!$C$10:$C$2009,AB36))))</f>
        <v>14/08/2023 - Decisão determinando que se aguarde o julgamento do agravo de instrumento para o devido prosseguimento do processo. 
Houve sentença com a exclusão da Alta Engenharia e inclusão a CAVA Engenharia na cobrança.</v>
      </c>
      <c r="AD36" s="14">
        <f>IF(W36=0,0,IF(MAX(Z36,BD36)=0,1,IF(Configurar!$J$12-INT(MAX(Z36,BD36))&gt;Configurar!$J$11,1,0)))</f>
        <v>0</v>
      </c>
      <c r="AE36" s="16"/>
      <c r="AF36" s="14"/>
      <c r="AG36" s="14"/>
      <c r="AH36" s="14">
        <f>IF(AND(V36=1,COUNTIFS(Valores!$S$10:$S$509,"="&amp;SUBSTITUTE(SUBSTITUTE(SUBSTITUTE("P:"&amp;A36,"~","~~"),"*","~*"),"?","~?"))=1),(IF(ISNA(MATCH(SUBSTITUTE(SUBSTITUTE(SUBSTITUTE("P:"&amp;A36,"~","~~"),"*","~*"),"?","~?"),Valores!$S$10:$S$509,0)),9,INDEX(Valores!$R$10:$R$509,MATCH(SUBSTITUTE(SUBSTITUTE(SUBSTITUTE("P:"&amp;A36,"~","~~"),"*","~*"),"?","~?"),Valores!$S$10:$S$509,0)))-9),0)</f>
        <v>27</v>
      </c>
      <c r="AI36" s="40" t="str">
        <f t="shared" si="3"/>
        <v>Informe a empresa responsável</v>
      </c>
      <c r="AJ36" s="14" t="str">
        <f>IF(AND(X36=1,Y36=1),COUNTIFS($X$10:X36,1,$Y$10:Y36,1),"")</f>
        <v/>
      </c>
      <c r="AK36" s="14">
        <f>IF(X36=1,COUNTIFS($X$10:X36,1),"")</f>
        <v>27</v>
      </c>
      <c r="AL36" s="14">
        <f>IF(AND(V36=1,AND(OR(Painel!$L$6="Todas",E36=Painel!$L$6),OR(Painel!$C$8="Todos",F36=Painel!$C$8),OR(Painel!$L$8="Todos",G36=Painel!$L$8),OR(Painel!$C$10="",ISNUMBER(SEARCH(SUBSTITUTE(SUBSTITUTE(SUBSTITUTE(Painel!$C$10,"~","~~"),"*","~*"),"?","~?"),A36&amp;" "&amp;H36&amp;" "&amp;I36))))),1,0)</f>
        <v>1</v>
      </c>
      <c r="AM36" s="14">
        <f t="shared" si="4"/>
        <v>36</v>
      </c>
      <c r="AN36" s="14"/>
      <c r="AO36" s="14"/>
      <c r="AP36" s="16">
        <f>IF(AB36=0,"",IF(INDEX(Andamentos!$B$10:$B$2009,AB36)="","",INDEX(Andamentos!$B$10:$B$2009,AB36)))</f>
        <v>45152</v>
      </c>
      <c r="AQ36" s="17">
        <f>IF(AH36=0,"",IF(INDEX(Valores!$B$10:$B$509,AH36)="","",IF(ISNUMBER(INDEX(Valores!$B$10:$B$509,AH36)),INDEX(Valores!$B$10:$B$509,AH36),"")))</f>
        <v>69937.05</v>
      </c>
      <c r="AR36" s="14" t="str">
        <f t="shared" si="5"/>
        <v/>
      </c>
      <c r="AS36" s="14" t="str">
        <f t="shared" si="6"/>
        <v>P:5116564-98.2018.8.09.0137 [BMM-027]</v>
      </c>
      <c r="AT36" s="27" t="s">
        <v>344</v>
      </c>
      <c r="AU36" s="31" t="s">
        <v>279</v>
      </c>
      <c r="AV36" s="31"/>
      <c r="AW36" s="27" t="s">
        <v>280</v>
      </c>
      <c r="AX36" s="27"/>
      <c r="AY36" s="27"/>
      <c r="AZ36" s="27"/>
      <c r="BA36" s="30" t="str">
        <f t="shared" si="7"/>
        <v>5116564-98.2018.8.09.0137</v>
      </c>
      <c r="BB36" s="30" t="str">
        <f t="shared" si="8"/>
        <v>Revisar repetição</v>
      </c>
      <c r="BC36" s="30">
        <f>IF(X36=0,0,IF(COUNTIFS($X$10:X36,1,$BA$10:BA36,BA36)=1,1,0))</f>
        <v>0</v>
      </c>
      <c r="BD36" s="29">
        <v>45548</v>
      </c>
    </row>
    <row r="37" spans="1:56" ht="42" customHeight="1">
      <c r="A37" s="41" t="s">
        <v>345</v>
      </c>
      <c r="B37" s="44" t="s">
        <v>161</v>
      </c>
      <c r="C37" s="44" t="s">
        <v>300</v>
      </c>
      <c r="D37" s="44" t="s">
        <v>163</v>
      </c>
      <c r="E37" s="44"/>
      <c r="F37" s="44" t="s">
        <v>206</v>
      </c>
      <c r="G37" s="44" t="s">
        <v>238</v>
      </c>
      <c r="H37" s="44" t="s">
        <v>346</v>
      </c>
      <c r="I37" s="44" t="s">
        <v>347</v>
      </c>
      <c r="J37" s="44" t="s">
        <v>348</v>
      </c>
      <c r="K37" s="44" t="s">
        <v>303</v>
      </c>
      <c r="L37" s="49"/>
      <c r="M37" s="48" t="s">
        <v>349</v>
      </c>
      <c r="N37" s="48" t="s">
        <v>170</v>
      </c>
      <c r="O37" s="48"/>
      <c r="P37" s="48"/>
      <c r="Q37" s="48"/>
      <c r="R37" s="48"/>
      <c r="S37" s="49"/>
      <c r="T37" s="48"/>
      <c r="U37" s="48" t="s">
        <v>350</v>
      </c>
      <c r="V37" s="14">
        <f t="shared" si="0"/>
        <v>1</v>
      </c>
      <c r="W37" s="14">
        <f t="shared" si="1"/>
        <v>1</v>
      </c>
      <c r="X37" s="14">
        <f>IF(AND(V37=1,OR(Painel!$C$6="Todos",D37=Painel!$C$6),AND(OR(Painel!$L$6="Todas",E37=Painel!$L$6),OR(Painel!$C$8="Todos",F37=Painel!$C$8),OR(Painel!$L$8="Todos",G37=Painel!$L$8),OR(Painel!$C$10="",ISNUMBER(SEARCH(SUBSTITUTE(SUBSTITUTE(SUBSTITUTE(Painel!$C$10,"~","~~"),"*","~*"),"?","~?"),A37&amp;" "&amp;H37&amp;" "&amp;I37))))),1,0)</f>
        <v>1</v>
      </c>
      <c r="Y37" s="14">
        <f t="shared" si="2"/>
        <v>0</v>
      </c>
      <c r="Z37" s="15">
        <f>IF(V37=0,"",IF(COUNTIFS(Andamentos!$K$10:$K$2009,"="&amp;SUBSTITUTE(SUBSTITUTE(SUBSTITUTE("P:"&amp;A37,"~","~~"),"*","~*"),"?","~?"),Andamentos!$G$10:$G$2009,1)=0,"",_xlfn.AGGREGATE(14,6,Andamentos!$D$10:$D$2009/((Andamentos!$K$10:$K$2009=AS37)*(Andamentos!$G$10:$G$2009=1)),1)))</f>
        <v>46093</v>
      </c>
      <c r="AA37" s="14">
        <f>IF(Z37="",0,COUNTIFS(Andamentos!$K$10:$K$2009,"="&amp;SUBSTITUTE(SUBSTITUTE(SUBSTITUTE("P:"&amp;A37,"~","~~"),"*","~*"),"?","~?"),Andamentos!$D$10:$D$2009,Z37,Andamentos!$G$10:$G$2009,1))</f>
        <v>1</v>
      </c>
      <c r="AB37" s="14">
        <f>IF(AA37=1,SUMIFS(Andamentos!$L$10:$L$2009,Andamentos!$K$10:$K$2009,"="&amp;SUBSTITUTE(SUBSTITUTE(SUBSTITUTE(AS37,"~","~~"),"*","~*"),"?","~?"),Andamentos!$D$10:$D$2009,Z37,Andamentos!$G$10:$G$2009,1)-9,0)</f>
        <v>28</v>
      </c>
      <c r="AC37" s="14" t="str">
        <f>IF(V37=0,"",IF(AA37&gt;1,"Conferir recebimentos empatados",IF(AB37=0,"Sem atualização",INDEX(Andamentos!$C$10:$C$2009,AB37))))</f>
        <v>29/08/2025 - Declarou extinta a execução em relação a CAVA 
(26/07/2022) Realizado bloqueio via Sisbajud nas contas da CAVA ENGENHARIA no valor de R$ 12.710,93.</v>
      </c>
      <c r="AD37" s="14">
        <f ca="1">IF(W37=0,0,IF(MAX(Z37,BD37)=0,1,IF(Configurar!$J$12-INT(MAX(Z37,BD37))&gt;Configurar!$J$11,1,0)))</f>
        <v>1</v>
      </c>
      <c r="AE37" s="16"/>
      <c r="AF37" s="14"/>
      <c r="AG37" s="14"/>
      <c r="AH37" s="14">
        <f>IF(AND(V37=1,COUNTIFS(Valores!$S$10:$S$509,"="&amp;SUBSTITUTE(SUBSTITUTE(SUBSTITUTE("P:"&amp;A37,"~","~~"),"*","~*"),"?","~?"))=1),(IF(ISNA(MATCH(SUBSTITUTE(SUBSTITUTE(SUBSTITUTE("P:"&amp;A37,"~","~~"),"*","~*"),"?","~?"),Valores!$S$10:$S$509,0)),9,INDEX(Valores!$R$10:$R$509,MATCH(SUBSTITUTE(SUBSTITUTE(SUBSTITUTE("P:"&amp;A37,"~","~~"),"*","~*"),"?","~?"),Valores!$S$10:$S$509,0)))-9),0)</f>
        <v>28</v>
      </c>
      <c r="AI37" s="40" t="str">
        <f t="shared" si="3"/>
        <v>Informe a empresa responsável</v>
      </c>
      <c r="AJ37" s="14" t="str">
        <f>IF(AND(X37=1,Y37=1),COUNTIFS($X$10:X37,1,$Y$10:Y37,1),"")</f>
        <v/>
      </c>
      <c r="AK37" s="14">
        <f>IF(X37=1,COUNTIFS($X$10:X37,1),"")</f>
        <v>28</v>
      </c>
      <c r="AL37" s="14">
        <f>IF(AND(V37=1,AND(OR(Painel!$L$6="Todas",E37=Painel!$L$6),OR(Painel!$C$8="Todos",F37=Painel!$C$8),OR(Painel!$L$8="Todos",G37=Painel!$L$8),OR(Painel!$C$10="",ISNUMBER(SEARCH(SUBSTITUTE(SUBSTITUTE(SUBSTITUTE(Painel!$C$10,"~","~~"),"*","~*"),"?","~?"),A37&amp;" "&amp;H37&amp;" "&amp;I37))))),1,0)</f>
        <v>1</v>
      </c>
      <c r="AM37" s="14">
        <f t="shared" si="4"/>
        <v>37</v>
      </c>
      <c r="AN37" s="14"/>
      <c r="AO37" s="14"/>
      <c r="AP37" s="16">
        <f>IF(AB37=0,"",IF(INDEX(Andamentos!$B$10:$B$2009,AB37)="","",INDEX(Andamentos!$B$10:$B$2009,AB37)))</f>
        <v>45898</v>
      </c>
      <c r="AQ37" s="17">
        <f>IF(AH37=0,"",IF(INDEX(Valores!$B$10:$B$509,AH37)="","",IF(ISNUMBER(INDEX(Valores!$B$10:$B$509,AH37)),INDEX(Valores!$B$10:$B$509,AH37),"")))</f>
        <v>95594.39</v>
      </c>
      <c r="AR37" s="14" t="str">
        <f t="shared" si="5"/>
        <v/>
      </c>
      <c r="AS37" s="14" t="str">
        <f t="shared" si="6"/>
        <v>P:5173200-24.2018.8.13.0024</v>
      </c>
      <c r="AT37" s="27" t="s">
        <v>351</v>
      </c>
      <c r="AU37" s="31" t="s">
        <v>345</v>
      </c>
      <c r="AV37" s="31"/>
      <c r="AW37" s="27" t="s">
        <v>280</v>
      </c>
      <c r="AX37" s="27" t="s">
        <v>246</v>
      </c>
      <c r="AY37" s="27"/>
      <c r="AZ37" s="27"/>
      <c r="BA37" s="30" t="str">
        <f t="shared" si="7"/>
        <v>5173200-24.2018.8.13.0024</v>
      </c>
      <c r="BB37" s="30" t="str">
        <f t="shared" si="8"/>
        <v/>
      </c>
      <c r="BC37" s="30">
        <f>IF(X37=0,0,IF(COUNTIFS($X$10:X37,1,$BA$10:BA37,BA37)=1,1,0))</f>
        <v>1</v>
      </c>
      <c r="BD37" s="29">
        <v>46093</v>
      </c>
    </row>
    <row r="38" spans="1:56" ht="42" customHeight="1">
      <c r="A38" s="41" t="s">
        <v>352</v>
      </c>
      <c r="B38" s="44" t="s">
        <v>161</v>
      </c>
      <c r="C38" s="44" t="s">
        <v>162</v>
      </c>
      <c r="D38" s="44" t="s">
        <v>163</v>
      </c>
      <c r="E38" s="44"/>
      <c r="F38" s="44" t="s">
        <v>182</v>
      </c>
      <c r="G38" s="44" t="s">
        <v>238</v>
      </c>
      <c r="H38" s="44" t="s">
        <v>353</v>
      </c>
      <c r="I38" s="44" t="s">
        <v>240</v>
      </c>
      <c r="J38" s="44" t="s">
        <v>354</v>
      </c>
      <c r="K38" s="44" t="s">
        <v>303</v>
      </c>
      <c r="L38" s="49"/>
      <c r="M38" s="48" t="s">
        <v>355</v>
      </c>
      <c r="N38" s="48" t="s">
        <v>170</v>
      </c>
      <c r="O38" s="48"/>
      <c r="P38" s="48"/>
      <c r="Q38" s="48"/>
      <c r="R38" s="48"/>
      <c r="S38" s="49"/>
      <c r="T38" s="48"/>
      <c r="U38" s="48" t="s">
        <v>356</v>
      </c>
      <c r="V38" s="14">
        <f t="shared" si="0"/>
        <v>1</v>
      </c>
      <c r="W38" s="14">
        <f t="shared" si="1"/>
        <v>0</v>
      </c>
      <c r="X38" s="14">
        <f>IF(AND(V38=1,OR(Painel!$C$6="Todos",D38=Painel!$C$6),AND(OR(Painel!$L$6="Todas",E38=Painel!$L$6),OR(Painel!$C$8="Todos",F38=Painel!$C$8),OR(Painel!$L$8="Todos",G38=Painel!$L$8),OR(Painel!$C$10="",ISNUMBER(SEARCH(SUBSTITUTE(SUBSTITUTE(SUBSTITUTE(Painel!$C$10,"~","~~"),"*","~*"),"?","~?"),A38&amp;" "&amp;H38&amp;" "&amp;I38))))),1,0)</f>
        <v>1</v>
      </c>
      <c r="Y38" s="14">
        <f t="shared" si="2"/>
        <v>0</v>
      </c>
      <c r="Z38" s="15">
        <f>IF(V38=0,"",IF(COUNTIFS(Andamentos!$K$10:$K$2009,"="&amp;SUBSTITUTE(SUBSTITUTE(SUBSTITUTE("P:"&amp;A38,"~","~~"),"*","~*"),"?","~?"),Andamentos!$G$10:$G$2009,1)=0,"",_xlfn.AGGREGATE(14,6,Andamentos!$D$10:$D$2009/((Andamentos!$K$10:$K$2009=AS38)*(Andamentos!$G$10:$G$2009=1)),1)))</f>
        <v>45763</v>
      </c>
      <c r="AA38" s="14">
        <f>IF(Z38="",0,COUNTIFS(Andamentos!$K$10:$K$2009,"="&amp;SUBSTITUTE(SUBSTITUTE(SUBSTITUTE("P:"&amp;A38,"~","~~"),"*","~*"),"?","~?"),Andamentos!$D$10:$D$2009,Z38,Andamentos!$G$10:$G$2009,1))</f>
        <v>1</v>
      </c>
      <c r="AB38" s="14">
        <f>IF(AA38=1,SUMIFS(Andamentos!$L$10:$L$2009,Andamentos!$K$10:$K$2009,"="&amp;SUBSTITUTE(SUBSTITUTE(SUBSTITUTE(AS38,"~","~~"),"*","~*"),"?","~?"),Andamentos!$D$10:$D$2009,Z38,Andamentos!$G$10:$G$2009,1)-9,0)</f>
        <v>29</v>
      </c>
      <c r="AC38" s="14" t="str">
        <f>IF(V38=0,"",IF(AA38&gt;1,"Conferir recebimentos empatados",IF(AB38=0,"Sem atualização",INDEX(Andamentos!$C$10:$C$2009,AB38))))</f>
        <v>(09/05/2023) Petição de manifestação do Consórcio.</v>
      </c>
      <c r="AD38" s="14">
        <f>IF(W38=0,0,IF(MAX(Z38,BD38)=0,1,IF(Configurar!$J$12-INT(MAX(Z38,BD38))&gt;Configurar!$J$11,1,0)))</f>
        <v>0</v>
      </c>
      <c r="AE38" s="16"/>
      <c r="AF38" s="14"/>
      <c r="AG38" s="14"/>
      <c r="AH38" s="14">
        <f>IF(AND(V38=1,COUNTIFS(Valores!$S$10:$S$509,"="&amp;SUBSTITUTE(SUBSTITUTE(SUBSTITUTE("P:"&amp;A38,"~","~~"),"*","~*"),"?","~?"))=1),(IF(ISNA(MATCH(SUBSTITUTE(SUBSTITUTE(SUBSTITUTE("P:"&amp;A38,"~","~~"),"*","~*"),"?","~?"),Valores!$S$10:$S$509,0)),9,INDEX(Valores!$R$10:$R$509,MATCH(SUBSTITUTE(SUBSTITUTE(SUBSTITUTE("P:"&amp;A38,"~","~~"),"*","~*"),"?","~?"),Valores!$S$10:$S$509,0)))-9),0)</f>
        <v>29</v>
      </c>
      <c r="AI38" s="40" t="str">
        <f t="shared" si="3"/>
        <v>Informe a empresa responsável</v>
      </c>
      <c r="AJ38" s="14" t="str">
        <f>IF(AND(X38=1,Y38=1),COUNTIFS($X$10:X38,1,$Y$10:Y38,1),"")</f>
        <v/>
      </c>
      <c r="AK38" s="14">
        <f>IF(X38=1,COUNTIFS($X$10:X38,1),"")</f>
        <v>29</v>
      </c>
      <c r="AL38" s="14">
        <f>IF(AND(V38=1,AND(OR(Painel!$L$6="Todas",E38=Painel!$L$6),OR(Painel!$C$8="Todos",F38=Painel!$C$8),OR(Painel!$L$8="Todos",G38=Painel!$L$8),OR(Painel!$C$10="",ISNUMBER(SEARCH(SUBSTITUTE(SUBSTITUTE(SUBSTITUTE(Painel!$C$10,"~","~~"),"*","~*"),"?","~?"),A38&amp;" "&amp;H38&amp;" "&amp;I38))))),1,0)</f>
        <v>1</v>
      </c>
      <c r="AM38" s="14">
        <f t="shared" si="4"/>
        <v>38</v>
      </c>
      <c r="AN38" s="14"/>
      <c r="AO38" s="14"/>
      <c r="AP38" s="16" t="str">
        <f>IF(AB38=0,"",IF(INDEX(Andamentos!$B$10:$B$2009,AB38)="","",INDEX(Andamentos!$B$10:$B$2009,AB38)))</f>
        <v/>
      </c>
      <c r="AQ38" s="17">
        <f>IF(AH38=0,"",IF(INDEX(Valores!$B$10:$B$509,AH38)="","",IF(ISNUMBER(INDEX(Valores!$B$10:$B$509,AH38)),INDEX(Valores!$B$10:$B$509,AH38),"")))</f>
        <v>3467.48</v>
      </c>
      <c r="AR38" s="14" t="str">
        <f t="shared" si="5"/>
        <v/>
      </c>
      <c r="AS38" s="14" t="str">
        <f t="shared" si="6"/>
        <v>P:5028530-58.2016.8.13.0024</v>
      </c>
      <c r="AT38" s="27" t="s">
        <v>357</v>
      </c>
      <c r="AU38" s="31" t="s">
        <v>352</v>
      </c>
      <c r="AV38" s="31"/>
      <c r="AW38" s="27" t="s">
        <v>162</v>
      </c>
      <c r="AX38" s="27"/>
      <c r="AY38" s="27"/>
      <c r="AZ38" s="27"/>
      <c r="BA38" s="30" t="str">
        <f t="shared" si="7"/>
        <v>5028530-58.2016.8.13.0024</v>
      </c>
      <c r="BB38" s="30" t="str">
        <f t="shared" si="8"/>
        <v/>
      </c>
      <c r="BC38" s="30">
        <f>IF(X38=0,0,IF(COUNTIFS($X$10:X38,1,$BA$10:BA38,BA38)=1,1,0))</f>
        <v>1</v>
      </c>
      <c r="BD38" s="29">
        <v>45763</v>
      </c>
    </row>
    <row r="39" spans="1:56" ht="42" customHeight="1">
      <c r="A39" s="41" t="s">
        <v>358</v>
      </c>
      <c r="B39" s="44" t="s">
        <v>161</v>
      </c>
      <c r="C39" s="44" t="s">
        <v>162</v>
      </c>
      <c r="D39" s="44" t="s">
        <v>163</v>
      </c>
      <c r="E39" s="44"/>
      <c r="F39" s="44" t="s">
        <v>182</v>
      </c>
      <c r="G39" s="44" t="s">
        <v>238</v>
      </c>
      <c r="H39" s="44" t="s">
        <v>359</v>
      </c>
      <c r="I39" s="44" t="s">
        <v>240</v>
      </c>
      <c r="J39" s="44" t="s">
        <v>360</v>
      </c>
      <c r="K39" s="44" t="s">
        <v>242</v>
      </c>
      <c r="L39" s="49"/>
      <c r="M39" s="48"/>
      <c r="N39" s="48" t="s">
        <v>170</v>
      </c>
      <c r="O39" s="48"/>
      <c r="P39" s="48"/>
      <c r="Q39" s="48"/>
      <c r="R39" s="48"/>
      <c r="S39" s="49"/>
      <c r="T39" s="48"/>
      <c r="U39" s="48" t="s">
        <v>361</v>
      </c>
      <c r="V39" s="14">
        <f t="shared" si="0"/>
        <v>1</v>
      </c>
      <c r="W39" s="14">
        <f t="shared" si="1"/>
        <v>0</v>
      </c>
      <c r="X39" s="14">
        <f>IF(AND(V39=1,OR(Painel!$C$6="Todos",D39=Painel!$C$6),AND(OR(Painel!$L$6="Todas",E39=Painel!$L$6),OR(Painel!$C$8="Todos",F39=Painel!$C$8),OR(Painel!$L$8="Todos",G39=Painel!$L$8),OR(Painel!$C$10="",ISNUMBER(SEARCH(SUBSTITUTE(SUBSTITUTE(SUBSTITUTE(Painel!$C$10,"~","~~"),"*","~*"),"?","~?"),A39&amp;" "&amp;H39&amp;" "&amp;I39))))),1,0)</f>
        <v>1</v>
      </c>
      <c r="Y39" s="14">
        <f t="shared" si="2"/>
        <v>0</v>
      </c>
      <c r="Z39" s="15">
        <f>IF(V39=0,"",IF(COUNTIFS(Andamentos!$K$10:$K$2009,"="&amp;SUBSTITUTE(SUBSTITUTE(SUBSTITUTE("P:"&amp;A39,"~","~~"),"*","~*"),"?","~?"),Andamentos!$G$10:$G$2009,1)=0,"",_xlfn.AGGREGATE(14,6,Andamentos!$D$10:$D$2009/((Andamentos!$K$10:$K$2009=AS39)*(Andamentos!$G$10:$G$2009=1)),1)))</f>
        <v>45229</v>
      </c>
      <c r="AA39" s="14">
        <f>IF(Z39="",0,COUNTIFS(Andamentos!$K$10:$K$2009,"="&amp;SUBSTITUTE(SUBSTITUTE(SUBSTITUTE("P:"&amp;A39,"~","~~"),"*","~*"),"?","~?"),Andamentos!$D$10:$D$2009,Z39,Andamentos!$G$10:$G$2009,1))</f>
        <v>1</v>
      </c>
      <c r="AB39" s="14">
        <f>IF(AA39=1,SUMIFS(Andamentos!$L$10:$L$2009,Andamentos!$K$10:$K$2009,"="&amp;SUBSTITUTE(SUBSTITUTE(SUBSTITUTE(AS39,"~","~~"),"*","~*"),"?","~?"),Andamentos!$D$10:$D$2009,Z39,Andamentos!$G$10:$G$2009,1)-9,0)</f>
        <v>30</v>
      </c>
      <c r="AC39" s="14" t="str">
        <f>IF(V39=0,"",IF(AA39&gt;1,"Conferir recebimentos empatados",IF(AB39=0,"Sem atualização",INDEX(Andamentos!$C$10:$C$2009,AB39))))</f>
        <v>(08/11/2022) Decisão que dererminou a exclusão da Cava e André do polo passivo da ação. (26/05/2023) A Autora juntou planilha atualizada do débito.</v>
      </c>
      <c r="AD39" s="14">
        <f>IF(W39=0,0,IF(MAX(Z39,BD39)=0,1,IF(Configurar!$J$12-INT(MAX(Z39,BD39))&gt;Configurar!$J$11,1,0)))</f>
        <v>0</v>
      </c>
      <c r="AE39" s="16"/>
      <c r="AF39" s="14"/>
      <c r="AG39" s="14"/>
      <c r="AH39" s="14">
        <f>IF(AND(V39=1,COUNTIFS(Valores!$S$10:$S$509,"="&amp;SUBSTITUTE(SUBSTITUTE(SUBSTITUTE("P:"&amp;A39,"~","~~"),"*","~*"),"?","~?"))=1),(IF(ISNA(MATCH(SUBSTITUTE(SUBSTITUTE(SUBSTITUTE("P:"&amp;A39,"~","~~"),"*","~*"),"?","~?"),Valores!$S$10:$S$509,0)),9,INDEX(Valores!$R$10:$R$509,MATCH(SUBSTITUTE(SUBSTITUTE(SUBSTITUTE("P:"&amp;A39,"~","~~"),"*","~*"),"?","~?"),Valores!$S$10:$S$509,0)))-9),0)</f>
        <v>30</v>
      </c>
      <c r="AI39" s="40" t="str">
        <f t="shared" si="3"/>
        <v>Informe a empresa responsável</v>
      </c>
      <c r="AJ39" s="14" t="str">
        <f>IF(AND(X39=1,Y39=1),COUNTIFS($X$10:X39,1,$Y$10:Y39,1),"")</f>
        <v/>
      </c>
      <c r="AK39" s="14">
        <f>IF(X39=1,COUNTIFS($X$10:X39,1),"")</f>
        <v>30</v>
      </c>
      <c r="AL39" s="14">
        <f>IF(AND(V39=1,AND(OR(Painel!$L$6="Todas",E39=Painel!$L$6),OR(Painel!$C$8="Todos",F39=Painel!$C$8),OR(Painel!$L$8="Todos",G39=Painel!$L$8),OR(Painel!$C$10="",ISNUMBER(SEARCH(SUBSTITUTE(SUBSTITUTE(SUBSTITUTE(Painel!$C$10,"~","~~"),"*","~*"),"?","~?"),A39&amp;" "&amp;H39&amp;" "&amp;I39))))),1,0)</f>
        <v>1</v>
      </c>
      <c r="AM39" s="14">
        <f t="shared" si="4"/>
        <v>39</v>
      </c>
      <c r="AN39" s="14"/>
      <c r="AO39" s="14"/>
      <c r="AP39" s="16" t="str">
        <f>IF(AB39=0,"",IF(INDEX(Andamentos!$B$10:$B$2009,AB39)="","",INDEX(Andamentos!$B$10:$B$2009,AB39)))</f>
        <v/>
      </c>
      <c r="AQ39" s="17">
        <f>IF(AH39=0,"",IF(INDEX(Valores!$B$10:$B$509,AH39)="","",IF(ISNUMBER(INDEX(Valores!$B$10:$B$509,AH39)),INDEX(Valores!$B$10:$B$509,AH39),"")))</f>
        <v>19594.07</v>
      </c>
      <c r="AR39" s="14" t="str">
        <f t="shared" si="5"/>
        <v/>
      </c>
      <c r="AS39" s="14" t="str">
        <f t="shared" si="6"/>
        <v>P:5144250-31.2019.8.09.0137</v>
      </c>
      <c r="AT39" s="27" t="s">
        <v>362</v>
      </c>
      <c r="AU39" s="31" t="s">
        <v>358</v>
      </c>
      <c r="AV39" s="31"/>
      <c r="AW39" s="27" t="s">
        <v>162</v>
      </c>
      <c r="AX39" s="27"/>
      <c r="AY39" s="27"/>
      <c r="AZ39" s="27"/>
      <c r="BA39" s="30" t="str">
        <f t="shared" si="7"/>
        <v>5144250-31.2019.8.09.0137</v>
      </c>
      <c r="BB39" s="30" t="str">
        <f t="shared" si="8"/>
        <v/>
      </c>
      <c r="BC39" s="30">
        <f>IF(X39=0,0,IF(COUNTIFS($X$10:X39,1,$BA$10:BA39,BA39)=1,1,0))</f>
        <v>1</v>
      </c>
      <c r="BD39" s="29">
        <v>45229</v>
      </c>
    </row>
    <row r="40" spans="1:56" ht="42" customHeight="1">
      <c r="A40" s="41" t="s">
        <v>363</v>
      </c>
      <c r="B40" s="44" t="s">
        <v>161</v>
      </c>
      <c r="C40" s="44" t="s">
        <v>300</v>
      </c>
      <c r="D40" s="44" t="s">
        <v>163</v>
      </c>
      <c r="E40" s="44"/>
      <c r="F40" s="44" t="s">
        <v>182</v>
      </c>
      <c r="G40" s="44" t="s">
        <v>238</v>
      </c>
      <c r="H40" s="44" t="s">
        <v>364</v>
      </c>
      <c r="I40" s="44" t="s">
        <v>240</v>
      </c>
      <c r="J40" s="44" t="s">
        <v>365</v>
      </c>
      <c r="K40" s="44" t="s">
        <v>242</v>
      </c>
      <c r="L40" s="49"/>
      <c r="M40" s="48" t="s">
        <v>366</v>
      </c>
      <c r="N40" s="48" t="s">
        <v>170</v>
      </c>
      <c r="O40" s="48"/>
      <c r="P40" s="48"/>
      <c r="Q40" s="48"/>
      <c r="R40" s="48"/>
      <c r="S40" s="49"/>
      <c r="T40" s="48"/>
      <c r="U40" s="48" t="s">
        <v>367</v>
      </c>
      <c r="V40" s="14">
        <f t="shared" si="0"/>
        <v>1</v>
      </c>
      <c r="W40" s="14">
        <f t="shared" si="1"/>
        <v>1</v>
      </c>
      <c r="X40" s="14">
        <f>IF(AND(V40=1,OR(Painel!$C$6="Todos",D40=Painel!$C$6),AND(OR(Painel!$L$6="Todas",E40=Painel!$L$6),OR(Painel!$C$8="Todos",F40=Painel!$C$8),OR(Painel!$L$8="Todos",G40=Painel!$L$8),OR(Painel!$C$10="",ISNUMBER(SEARCH(SUBSTITUTE(SUBSTITUTE(SUBSTITUTE(Painel!$C$10,"~","~~"),"*","~*"),"?","~?"),A40&amp;" "&amp;H40&amp;" "&amp;I40))))),1,0)</f>
        <v>1</v>
      </c>
      <c r="Y40" s="14">
        <f t="shared" si="2"/>
        <v>0</v>
      </c>
      <c r="Z40" s="15">
        <f>IF(V40=0,"",IF(COUNTIFS(Andamentos!$K$10:$K$2009,"="&amp;SUBSTITUTE(SUBSTITUTE(SUBSTITUTE("P:"&amp;A40,"~","~~"),"*","~*"),"?","~?"),Andamentos!$G$10:$G$2009,1)=0,"",_xlfn.AGGREGATE(14,6,Andamentos!$D$10:$D$2009/((Andamentos!$K$10:$K$2009=AS40)*(Andamentos!$G$10:$G$2009=1)),1)))</f>
        <v>46029</v>
      </c>
      <c r="AA40" s="14">
        <f>IF(Z40="",0,COUNTIFS(Andamentos!$K$10:$K$2009,"="&amp;SUBSTITUTE(SUBSTITUTE(SUBSTITUTE("P:"&amp;A40,"~","~~"),"*","~*"),"?","~?"),Andamentos!$D$10:$D$2009,Z40,Andamentos!$G$10:$G$2009,1))</f>
        <v>1</v>
      </c>
      <c r="AB40" s="14">
        <f>IF(AA40=1,SUMIFS(Andamentos!$L$10:$L$2009,Andamentos!$K$10:$K$2009,"="&amp;SUBSTITUTE(SUBSTITUTE(SUBSTITUTE(AS40,"~","~~"),"*","~*"),"?","~?"),Andamentos!$D$10:$D$2009,Z40,Andamentos!$G$10:$G$2009,1)-9,0)</f>
        <v>31</v>
      </c>
      <c r="AC40" s="14" t="str">
        <f>IF(V40=0,"",IF(AA40&gt;1,"Conferir recebimentos empatados",IF(AB40=0,"Sem atualização",INDEX(Andamentos!$C$10:$C$2009,AB40))))</f>
        <v>07/01/2026 - Negado provimento ao agravo de instrumento. Prosseguimento do feito. [...] histórico completo em Observações</v>
      </c>
      <c r="AD40" s="14">
        <f ca="1">IF(W40=0,0,IF(MAX(Z40,BD40)=0,1,IF(Configurar!$J$12-INT(MAX(Z40,BD40))&gt;Configurar!$J$11,1,0)))</f>
        <v>1</v>
      </c>
      <c r="AE40" s="16"/>
      <c r="AF40" s="14"/>
      <c r="AG40" s="14"/>
      <c r="AH40" s="14">
        <f>IF(AND(V40=1,COUNTIFS(Valores!$S$10:$S$509,"="&amp;SUBSTITUTE(SUBSTITUTE(SUBSTITUTE("P:"&amp;A40,"~","~~"),"*","~*"),"?","~?"))=1),(IF(ISNA(MATCH(SUBSTITUTE(SUBSTITUTE(SUBSTITUTE("P:"&amp;A40,"~","~~"),"*","~*"),"?","~?"),Valores!$S$10:$S$509,0)),9,INDEX(Valores!$R$10:$R$509,MATCH(SUBSTITUTE(SUBSTITUTE(SUBSTITUTE("P:"&amp;A40,"~","~~"),"*","~*"),"?","~?"),Valores!$S$10:$S$509,0)))-9),0)</f>
        <v>31</v>
      </c>
      <c r="AI40" s="40" t="str">
        <f t="shared" si="3"/>
        <v>Informe a empresa responsável</v>
      </c>
      <c r="AJ40" s="14" t="str">
        <f>IF(AND(X40=1,Y40=1),COUNTIFS($X$10:X40,1,$Y$10:Y40,1),"")</f>
        <v/>
      </c>
      <c r="AK40" s="14">
        <f>IF(X40=1,COUNTIFS($X$10:X40,1),"")</f>
        <v>31</v>
      </c>
      <c r="AL40" s="14">
        <f>IF(AND(V40=1,AND(OR(Painel!$L$6="Todas",E40=Painel!$L$6),OR(Painel!$C$8="Todos",F40=Painel!$C$8),OR(Painel!$L$8="Todos",G40=Painel!$L$8),OR(Painel!$C$10="",ISNUMBER(SEARCH(SUBSTITUTE(SUBSTITUTE(SUBSTITUTE(Painel!$C$10,"~","~~"),"*","~*"),"?","~?"),A40&amp;" "&amp;H40&amp;" "&amp;I40))))),1,0)</f>
        <v>1</v>
      </c>
      <c r="AM40" s="14">
        <f t="shared" si="4"/>
        <v>40</v>
      </c>
      <c r="AN40" s="14"/>
      <c r="AO40" s="14"/>
      <c r="AP40" s="16">
        <f>IF(AB40=0,"",IF(INDEX(Andamentos!$B$10:$B$2009,AB40)="","",INDEX(Andamentos!$B$10:$B$2009,AB40)))</f>
        <v>46029</v>
      </c>
      <c r="AQ40" s="17">
        <f>IF(AH40=0,"",IF(INDEX(Valores!$B$10:$B$509,AH40)="","",IF(ISNUMBER(INDEX(Valores!$B$10:$B$509,AH40)),INDEX(Valores!$B$10:$B$509,AH40),"")))</f>
        <v>24909.81</v>
      </c>
      <c r="AR40" s="14" t="str">
        <f t="shared" si="5"/>
        <v/>
      </c>
      <c r="AS40" s="14" t="str">
        <f t="shared" si="6"/>
        <v>P:5116378-75.2018.8.09.0137</v>
      </c>
      <c r="AT40" s="27" t="s">
        <v>368</v>
      </c>
      <c r="AU40" s="31" t="s">
        <v>363</v>
      </c>
      <c r="AV40" s="31"/>
      <c r="AW40" s="27" t="s">
        <v>280</v>
      </c>
      <c r="AX40" s="27" t="s">
        <v>246</v>
      </c>
      <c r="AY40" s="27"/>
      <c r="AZ40" s="27"/>
      <c r="BA40" s="30" t="str">
        <f t="shared" si="7"/>
        <v>5116378-75.2018.8.09.0137</v>
      </c>
      <c r="BB40" s="30" t="str">
        <f t="shared" si="8"/>
        <v/>
      </c>
      <c r="BC40" s="30">
        <f>IF(X40=0,0,IF(COUNTIFS($X$10:X40,1,$BA$10:BA40,BA40)=1,1,0))</f>
        <v>1</v>
      </c>
      <c r="BD40" s="29">
        <v>46029</v>
      </c>
    </row>
    <row r="41" spans="1:56" ht="42" customHeight="1">
      <c r="A41" s="41" t="s">
        <v>369</v>
      </c>
      <c r="B41" s="44" t="s">
        <v>161</v>
      </c>
      <c r="C41" s="44" t="s">
        <v>300</v>
      </c>
      <c r="D41" s="44" t="s">
        <v>163</v>
      </c>
      <c r="E41" s="44"/>
      <c r="F41" s="44" t="s">
        <v>174</v>
      </c>
      <c r="G41" s="44" t="s">
        <v>164</v>
      </c>
      <c r="H41" s="44" t="s">
        <v>231</v>
      </c>
      <c r="I41" s="44" t="s">
        <v>232</v>
      </c>
      <c r="J41" s="44" t="s">
        <v>233</v>
      </c>
      <c r="K41" s="44" t="s">
        <v>234</v>
      </c>
      <c r="L41" s="49"/>
      <c r="M41" s="48" t="s">
        <v>370</v>
      </c>
      <c r="N41" s="48" t="s">
        <v>170</v>
      </c>
      <c r="O41" s="48"/>
      <c r="P41" s="48"/>
      <c r="Q41" s="48"/>
      <c r="R41" s="48"/>
      <c r="S41" s="49"/>
      <c r="T41" s="48"/>
      <c r="U41" s="48" t="s">
        <v>371</v>
      </c>
      <c r="V41" s="14">
        <f t="shared" si="0"/>
        <v>1</v>
      </c>
      <c r="W41" s="14">
        <f t="shared" si="1"/>
        <v>1</v>
      </c>
      <c r="X41" s="14">
        <f>IF(AND(V41=1,OR(Painel!$C$6="Todos",D41=Painel!$C$6),AND(OR(Painel!$L$6="Todas",E41=Painel!$L$6),OR(Painel!$C$8="Todos",F41=Painel!$C$8),OR(Painel!$L$8="Todos",G41=Painel!$L$8),OR(Painel!$C$10="",ISNUMBER(SEARCH(SUBSTITUTE(SUBSTITUTE(SUBSTITUTE(Painel!$C$10,"~","~~"),"*","~*"),"?","~?"),A41&amp;" "&amp;H41&amp;" "&amp;I41))))),1,0)</f>
        <v>1</v>
      </c>
      <c r="Y41" s="14">
        <f t="shared" si="2"/>
        <v>0</v>
      </c>
      <c r="Z41" s="15">
        <f>IF(V41=0,"",IF(COUNTIFS(Andamentos!$K$10:$K$2009,"="&amp;SUBSTITUTE(SUBSTITUTE(SUBSTITUTE("P:"&amp;A41,"~","~~"),"*","~*"),"?","~?"),Andamentos!$G$10:$G$2009,1)=0,"",_xlfn.AGGREGATE(14,6,Andamentos!$D$10:$D$2009/((Andamentos!$K$10:$K$2009=AS41)*(Andamentos!$G$10:$G$2009=1)),1)))</f>
        <v>46052</v>
      </c>
      <c r="AA41" s="14">
        <f>IF(Z41="",0,COUNTIFS(Andamentos!$K$10:$K$2009,"="&amp;SUBSTITUTE(SUBSTITUTE(SUBSTITUTE("P:"&amp;A41,"~","~~"),"*","~*"),"?","~?"),Andamentos!$D$10:$D$2009,Z41,Andamentos!$G$10:$G$2009,1))</f>
        <v>1</v>
      </c>
      <c r="AB41" s="14">
        <f>IF(AA41=1,SUMIFS(Andamentos!$L$10:$L$2009,Andamentos!$K$10:$K$2009,"="&amp;SUBSTITUTE(SUBSTITUTE(SUBSTITUTE(AS41,"~","~~"),"*","~*"),"?","~?"),Andamentos!$D$10:$D$2009,Z41,Andamentos!$G$10:$G$2009,1)-9,0)</f>
        <v>32</v>
      </c>
      <c r="AC41" s="14" t="str">
        <f>IF(V41=0,"",IF(AA41&gt;1,"Conferir recebimentos empatados",IF(AB41=0,"Sem atualização",INDEX(Andamentos!$C$10:$C$2009,AB41))))</f>
        <v>02/02/2026 - Redistribuido por sorteio. [...] histórico completo em Observações</v>
      </c>
      <c r="AD41" s="14">
        <f ca="1">IF(W41=0,0,IF(MAX(Z41,BD41)=0,1,IF(Configurar!$J$12-INT(MAX(Z41,BD41))&gt;Configurar!$J$11,1,0)))</f>
        <v>1</v>
      </c>
      <c r="AE41" s="16"/>
      <c r="AF41" s="14"/>
      <c r="AG41" s="14"/>
      <c r="AH41" s="14">
        <f>IF(AND(V41=1,COUNTIFS(Valores!$S$10:$S$509,"="&amp;SUBSTITUTE(SUBSTITUTE(SUBSTITUTE("P:"&amp;A41,"~","~~"),"*","~*"),"?","~?"))=1),(IF(ISNA(MATCH(SUBSTITUTE(SUBSTITUTE(SUBSTITUTE("P:"&amp;A41,"~","~~"),"*","~*"),"?","~?"),Valores!$S$10:$S$509,0)),9,INDEX(Valores!$R$10:$R$509,MATCH(SUBSTITUTE(SUBSTITUTE(SUBSTITUTE("P:"&amp;A41,"~","~~"),"*","~*"),"?","~?"),Valores!$S$10:$S$509,0)))-9),0)</f>
        <v>32</v>
      </c>
      <c r="AI41" s="40" t="str">
        <f t="shared" si="3"/>
        <v>Informe a empresa responsável</v>
      </c>
      <c r="AJ41" s="14" t="str">
        <f>IF(AND(X41=1,Y41=1),COUNTIFS($X$10:X41,1,$Y$10:Y41,1),"")</f>
        <v/>
      </c>
      <c r="AK41" s="14">
        <f>IF(X41=1,COUNTIFS($X$10:X41,1),"")</f>
        <v>32</v>
      </c>
      <c r="AL41" s="14">
        <f>IF(AND(V41=1,AND(OR(Painel!$L$6="Todas",E41=Painel!$L$6),OR(Painel!$C$8="Todos",F41=Painel!$C$8),OR(Painel!$L$8="Todos",G41=Painel!$L$8),OR(Painel!$C$10="",ISNUMBER(SEARCH(SUBSTITUTE(SUBSTITUTE(SUBSTITUTE(Painel!$C$10,"~","~~"),"*","~*"),"?","~?"),A41&amp;" "&amp;H41&amp;" "&amp;I41))))),1,0)</f>
        <v>1</v>
      </c>
      <c r="AM41" s="14">
        <f t="shared" si="4"/>
        <v>41</v>
      </c>
      <c r="AN41" s="14"/>
      <c r="AO41" s="14"/>
      <c r="AP41" s="16">
        <f>IF(AB41=0,"",IF(INDEX(Andamentos!$B$10:$B$2009,AB41)="","",INDEX(Andamentos!$B$10:$B$2009,AB41)))</f>
        <v>46055</v>
      </c>
      <c r="AQ41" s="17">
        <f>IF(AH41=0,"",IF(INDEX(Valores!$B$10:$B$509,AH41)="","",IF(ISNUMBER(INDEX(Valores!$B$10:$B$509,AH41)),INDEX(Valores!$B$10:$B$509,AH41),"")))</f>
        <v>5000</v>
      </c>
      <c r="AR41" s="14" t="str">
        <f t="shared" si="5"/>
        <v/>
      </c>
      <c r="AS41" s="14" t="str">
        <f t="shared" si="6"/>
        <v>P:0001353-64.2013.5.05.0581</v>
      </c>
      <c r="AT41" s="27" t="s">
        <v>372</v>
      </c>
      <c r="AU41" s="31" t="s">
        <v>369</v>
      </c>
      <c r="AV41" s="31"/>
      <c r="AW41" s="27" t="s">
        <v>280</v>
      </c>
      <c r="AX41" s="27"/>
      <c r="AY41" s="27"/>
      <c r="AZ41" s="27"/>
      <c r="BA41" s="30" t="str">
        <f t="shared" si="7"/>
        <v>0001353-64.2013.5.05.0581</v>
      </c>
      <c r="BB41" s="30" t="str">
        <f t="shared" si="8"/>
        <v/>
      </c>
      <c r="BC41" s="30">
        <f>IF(X41=0,0,IF(COUNTIFS($X$10:X41,1,$BA$10:BA41,BA41)=1,1,0))</f>
        <v>1</v>
      </c>
      <c r="BD41" s="29">
        <v>46052</v>
      </c>
    </row>
    <row r="42" spans="1:56" ht="42" customHeight="1">
      <c r="A42" s="41" t="s">
        <v>373</v>
      </c>
      <c r="B42" s="44" t="s">
        <v>161</v>
      </c>
      <c r="C42" s="44" t="s">
        <v>316</v>
      </c>
      <c r="D42" s="44" t="s">
        <v>163</v>
      </c>
      <c r="E42" s="44"/>
      <c r="F42" s="44" t="s">
        <v>182</v>
      </c>
      <c r="G42" s="44" t="s">
        <v>164</v>
      </c>
      <c r="H42" s="44" t="s">
        <v>374</v>
      </c>
      <c r="I42" s="44" t="s">
        <v>184</v>
      </c>
      <c r="J42" s="44" t="s">
        <v>375</v>
      </c>
      <c r="K42" s="44" t="s">
        <v>178</v>
      </c>
      <c r="L42" s="49"/>
      <c r="M42" s="48"/>
      <c r="N42" s="48" t="s">
        <v>376</v>
      </c>
      <c r="O42" s="48"/>
      <c r="P42" s="48"/>
      <c r="Q42" s="48" t="s">
        <v>377</v>
      </c>
      <c r="R42" s="48"/>
      <c r="S42" s="49"/>
      <c r="T42" s="48"/>
      <c r="U42" s="48" t="s">
        <v>378</v>
      </c>
      <c r="V42" s="14">
        <f t="shared" si="0"/>
        <v>1</v>
      </c>
      <c r="W42" s="14">
        <f t="shared" si="1"/>
        <v>1</v>
      </c>
      <c r="X42" s="14">
        <f>IF(AND(V42=1,OR(Painel!$C$6="Todos",D42=Painel!$C$6),AND(OR(Painel!$L$6="Todas",E42=Painel!$L$6),OR(Painel!$C$8="Todos",F42=Painel!$C$8),OR(Painel!$L$8="Todos",G42=Painel!$L$8),OR(Painel!$C$10="",ISNUMBER(SEARCH(SUBSTITUTE(SUBSTITUTE(SUBSTITUTE(Painel!$C$10,"~","~~"),"*","~*"),"?","~?"),A42&amp;" "&amp;H42&amp;" "&amp;I42))))),1,0)</f>
        <v>1</v>
      </c>
      <c r="Y42" s="14">
        <f t="shared" si="2"/>
        <v>0</v>
      </c>
      <c r="Z42" s="15">
        <f>IF(V42=0,"",IF(COUNTIFS(Andamentos!$K$10:$K$2009,"="&amp;SUBSTITUTE(SUBSTITUTE(SUBSTITUTE("P:"&amp;A42,"~","~~"),"*","~*"),"?","~?"),Andamentos!$G$10:$G$2009,1)=0,"",_xlfn.AGGREGATE(14,6,Andamentos!$D$10:$D$2009/((Andamentos!$K$10:$K$2009=AS42)*(Andamentos!$G$10:$G$2009=1)),1)))</f>
        <v>46052</v>
      </c>
      <c r="AA42" s="14">
        <f>IF(Z42="",0,COUNTIFS(Andamentos!$K$10:$K$2009,"="&amp;SUBSTITUTE(SUBSTITUTE(SUBSTITUTE("P:"&amp;A42,"~","~~"),"*","~*"),"?","~?"),Andamentos!$D$10:$D$2009,Z42,Andamentos!$G$10:$G$2009,1))</f>
        <v>1</v>
      </c>
      <c r="AB42" s="14">
        <f>IF(AA42=1,SUMIFS(Andamentos!$L$10:$L$2009,Andamentos!$K$10:$K$2009,"="&amp;SUBSTITUTE(SUBSTITUTE(SUBSTITUTE(AS42,"~","~~"),"*","~*"),"?","~?"),Andamentos!$D$10:$D$2009,Z42,Andamentos!$G$10:$G$2009,1)-9,0)</f>
        <v>33</v>
      </c>
      <c r="AC42" s="14" t="str">
        <f>IF(V42=0,"",IF(AA42&gt;1,"Conferir recebimentos empatados",IF(AB42=0,"Sem atualização",INDEX(Andamentos!$C$10:$C$2009,AB42))))</f>
        <v>25/01/2024 - Autos sobretados no TST. [...] histórico completo em Observações</v>
      </c>
      <c r="AD42" s="14">
        <f ca="1">IF(W42=0,0,IF(MAX(Z42,BD42)=0,1,IF(Configurar!$J$12-INT(MAX(Z42,BD42))&gt;Configurar!$J$11,1,0)))</f>
        <v>1</v>
      </c>
      <c r="AE42" s="16"/>
      <c r="AF42" s="14"/>
      <c r="AG42" s="14"/>
      <c r="AH42" s="14">
        <f>IF(AND(V42=1,COUNTIFS(Valores!$S$10:$S$509,"="&amp;SUBSTITUTE(SUBSTITUTE(SUBSTITUTE("P:"&amp;A42,"~","~~"),"*","~*"),"?","~?"))=1),(IF(ISNA(MATCH(SUBSTITUTE(SUBSTITUTE(SUBSTITUTE("P:"&amp;A42,"~","~~"),"*","~*"),"?","~?"),Valores!$S$10:$S$509,0)),9,INDEX(Valores!$R$10:$R$509,MATCH(SUBSTITUTE(SUBSTITUTE(SUBSTITUTE("P:"&amp;A42,"~","~~"),"*","~*"),"?","~?"),Valores!$S$10:$S$509,0)))-9),0)</f>
        <v>33</v>
      </c>
      <c r="AI42" s="40" t="str">
        <f t="shared" si="3"/>
        <v>Informe a empresa responsável</v>
      </c>
      <c r="AJ42" s="14" t="str">
        <f>IF(AND(X42=1,Y42=1),COUNTIFS($X$10:X42,1,$Y$10:Y42,1),"")</f>
        <v/>
      </c>
      <c r="AK42" s="14">
        <f>IF(X42=1,COUNTIFS($X$10:X42,1),"")</f>
        <v>33</v>
      </c>
      <c r="AL42" s="14">
        <f>IF(AND(V42=1,AND(OR(Painel!$L$6="Todas",E42=Painel!$L$6),OR(Painel!$C$8="Todos",F42=Painel!$C$8),OR(Painel!$L$8="Todos",G42=Painel!$L$8),OR(Painel!$C$10="",ISNUMBER(SEARCH(SUBSTITUTE(SUBSTITUTE(SUBSTITUTE(Painel!$C$10,"~","~~"),"*","~*"),"?","~?"),A42&amp;" "&amp;H42&amp;" "&amp;I42))))),1,0)</f>
        <v>1</v>
      </c>
      <c r="AM42" s="14">
        <f t="shared" si="4"/>
        <v>42</v>
      </c>
      <c r="AN42" s="14"/>
      <c r="AO42" s="14"/>
      <c r="AP42" s="16">
        <f>IF(AB42=0,"",IF(INDEX(Andamentos!$B$10:$B$2009,AB42)="","",INDEX(Andamentos!$B$10:$B$2009,AB42)))</f>
        <v>45316</v>
      </c>
      <c r="AQ42" s="17">
        <f>IF(AH42=0,"",IF(INDEX(Valores!$B$10:$B$509,AH42)="","",IF(ISNUMBER(INDEX(Valores!$B$10:$B$509,AH42)),INDEX(Valores!$B$10:$B$509,AH42),"")))</f>
        <v>16946.439999999999</v>
      </c>
      <c r="AR42" s="14" t="str">
        <f t="shared" si="5"/>
        <v/>
      </c>
      <c r="AS42" s="14" t="str">
        <f t="shared" si="6"/>
        <v>P:0010565-52.2018.5.18.0103</v>
      </c>
      <c r="AT42" s="27" t="s">
        <v>379</v>
      </c>
      <c r="AU42" s="31" t="s">
        <v>373</v>
      </c>
      <c r="AV42" s="31"/>
      <c r="AW42" s="27" t="s">
        <v>280</v>
      </c>
      <c r="AX42" s="27" t="s">
        <v>380</v>
      </c>
      <c r="AY42" s="27"/>
      <c r="AZ42" s="27"/>
      <c r="BA42" s="30" t="str">
        <f t="shared" si="7"/>
        <v>0010565-52.2018.5.18.0103</v>
      </c>
      <c r="BB42" s="30" t="str">
        <f t="shared" si="8"/>
        <v/>
      </c>
      <c r="BC42" s="30">
        <f>IF(X42=0,0,IF(COUNTIFS($X$10:X42,1,$BA$10:BA42,BA42)=1,1,0))</f>
        <v>1</v>
      </c>
      <c r="BD42" s="29">
        <v>46052</v>
      </c>
    </row>
    <row r="43" spans="1:56" ht="42" customHeight="1">
      <c r="A43" s="41" t="s">
        <v>381</v>
      </c>
      <c r="B43" s="44" t="s">
        <v>161</v>
      </c>
      <c r="C43" s="44" t="s">
        <v>300</v>
      </c>
      <c r="D43" s="44" t="s">
        <v>163</v>
      </c>
      <c r="E43" s="44"/>
      <c r="F43" s="44" t="s">
        <v>182</v>
      </c>
      <c r="G43" s="44" t="s">
        <v>164</v>
      </c>
      <c r="H43" s="44" t="s">
        <v>382</v>
      </c>
      <c r="I43" s="44" t="s">
        <v>184</v>
      </c>
      <c r="J43" s="44" t="s">
        <v>383</v>
      </c>
      <c r="K43" s="44" t="s">
        <v>384</v>
      </c>
      <c r="L43" s="49"/>
      <c r="M43" s="48"/>
      <c r="N43" s="48" t="s">
        <v>376</v>
      </c>
      <c r="O43" s="48"/>
      <c r="P43" s="48"/>
      <c r="Q43" s="48" t="s">
        <v>377</v>
      </c>
      <c r="R43" s="48"/>
      <c r="S43" s="49"/>
      <c r="T43" s="48"/>
      <c r="U43" s="48" t="s">
        <v>385</v>
      </c>
      <c r="V43" s="14">
        <f t="shared" si="0"/>
        <v>1</v>
      </c>
      <c r="W43" s="14">
        <f t="shared" si="1"/>
        <v>1</v>
      </c>
      <c r="X43" s="14">
        <f>IF(AND(V43=1,OR(Painel!$C$6="Todos",D43=Painel!$C$6),AND(OR(Painel!$L$6="Todas",E43=Painel!$L$6),OR(Painel!$C$8="Todos",F43=Painel!$C$8),OR(Painel!$L$8="Todos",G43=Painel!$L$8),OR(Painel!$C$10="",ISNUMBER(SEARCH(SUBSTITUTE(SUBSTITUTE(SUBSTITUTE(Painel!$C$10,"~","~~"),"*","~*"),"?","~?"),A43&amp;" "&amp;H43&amp;" "&amp;I43))))),1,0)</f>
        <v>1</v>
      </c>
      <c r="Y43" s="14">
        <f t="shared" si="2"/>
        <v>0</v>
      </c>
      <c r="Z43" s="15">
        <f>IF(V43=0,"",IF(COUNTIFS(Andamentos!$K$10:$K$2009,"="&amp;SUBSTITUTE(SUBSTITUTE(SUBSTITUTE("P:"&amp;A43,"~","~~"),"*","~*"),"?","~?"),Andamentos!$G$10:$G$2009,1)=0,"",_xlfn.AGGREGATE(14,6,Andamentos!$D$10:$D$2009/((Andamentos!$K$10:$K$2009=AS43)*(Andamentos!$G$10:$G$2009=1)),1)))</f>
        <v>46052</v>
      </c>
      <c r="AA43" s="14">
        <f>IF(Z43="",0,COUNTIFS(Andamentos!$K$10:$K$2009,"="&amp;SUBSTITUTE(SUBSTITUTE(SUBSTITUTE("P:"&amp;A43,"~","~~"),"*","~*"),"?","~?"),Andamentos!$D$10:$D$2009,Z43,Andamentos!$G$10:$G$2009,1))</f>
        <v>1</v>
      </c>
      <c r="AB43" s="14">
        <f>IF(AA43=1,SUMIFS(Andamentos!$L$10:$L$2009,Andamentos!$K$10:$K$2009,"="&amp;SUBSTITUTE(SUBSTITUTE(SUBSTITUTE(AS43,"~","~~"),"*","~*"),"?","~?"),Andamentos!$D$10:$D$2009,Z43,Andamentos!$G$10:$G$2009,1)-9,0)</f>
        <v>34</v>
      </c>
      <c r="AC43" s="14" t="str">
        <f>IF(V43=0,"",IF(AA43&gt;1,"Conferir recebimentos empatados",IF(AB43=0,"Sem atualização",INDEX(Andamentos!$C$10:$C$2009,AB43))))</f>
        <v>31/01/2024 - AIRR da Alta. [...] histórico completo em Observações</v>
      </c>
      <c r="AD43" s="14">
        <f ca="1">IF(W43=0,0,IF(MAX(Z43,BD43)=0,1,IF(Configurar!$J$12-INT(MAX(Z43,BD43))&gt;Configurar!$J$11,1,0)))</f>
        <v>1</v>
      </c>
      <c r="AE43" s="16"/>
      <c r="AF43" s="14"/>
      <c r="AG43" s="14"/>
      <c r="AH43" s="14">
        <f>IF(AND(V43=1,COUNTIFS(Valores!$S$10:$S$509,"="&amp;SUBSTITUTE(SUBSTITUTE(SUBSTITUTE("P:"&amp;A43,"~","~~"),"*","~*"),"?","~?"))=1),(IF(ISNA(MATCH(SUBSTITUTE(SUBSTITUTE(SUBSTITUTE("P:"&amp;A43,"~","~~"),"*","~*"),"?","~?"),Valores!$S$10:$S$509,0)),9,INDEX(Valores!$R$10:$R$509,MATCH(SUBSTITUTE(SUBSTITUTE(SUBSTITUTE("P:"&amp;A43,"~","~~"),"*","~*"),"?","~?"),Valores!$S$10:$S$509,0)))-9),0)</f>
        <v>34</v>
      </c>
      <c r="AI43" s="40" t="str">
        <f t="shared" si="3"/>
        <v>Informe a empresa responsável</v>
      </c>
      <c r="AJ43" s="14" t="str">
        <f>IF(AND(X43=1,Y43=1),COUNTIFS($X$10:X43,1,$Y$10:Y43,1),"")</f>
        <v/>
      </c>
      <c r="AK43" s="14">
        <f>IF(X43=1,COUNTIFS($X$10:X43,1),"")</f>
        <v>34</v>
      </c>
      <c r="AL43" s="14">
        <f>IF(AND(V43=1,AND(OR(Painel!$L$6="Todas",E43=Painel!$L$6),OR(Painel!$C$8="Todos",F43=Painel!$C$8),OR(Painel!$L$8="Todos",G43=Painel!$L$8),OR(Painel!$C$10="",ISNUMBER(SEARCH(SUBSTITUTE(SUBSTITUTE(SUBSTITUTE(Painel!$C$10,"~","~~"),"*","~*"),"?","~?"),A43&amp;" "&amp;H43&amp;" "&amp;I43))))),1,0)</f>
        <v>1</v>
      </c>
      <c r="AM43" s="14">
        <f t="shared" si="4"/>
        <v>43</v>
      </c>
      <c r="AN43" s="14"/>
      <c r="AO43" s="14"/>
      <c r="AP43" s="16">
        <f>IF(AB43=0,"",IF(INDEX(Andamentos!$B$10:$B$2009,AB43)="","",INDEX(Andamentos!$B$10:$B$2009,AB43)))</f>
        <v>45322</v>
      </c>
      <c r="AQ43" s="17">
        <f>IF(AH43=0,"",IF(INDEX(Valores!$B$10:$B$509,AH43)="","",IF(ISNUMBER(INDEX(Valores!$B$10:$B$509,AH43)),INDEX(Valores!$B$10:$B$509,AH43),"")))</f>
        <v>54939.72</v>
      </c>
      <c r="AR43" s="14" t="str">
        <f t="shared" si="5"/>
        <v/>
      </c>
      <c r="AS43" s="14" t="str">
        <f t="shared" si="6"/>
        <v>P:0019397-14.2017.5.16.0023</v>
      </c>
      <c r="AT43" s="27" t="s">
        <v>386</v>
      </c>
      <c r="AU43" s="31" t="s">
        <v>381</v>
      </c>
      <c r="AV43" s="31"/>
      <c r="AW43" s="27" t="s">
        <v>280</v>
      </c>
      <c r="AX43" s="27" t="s">
        <v>380</v>
      </c>
      <c r="AY43" s="27"/>
      <c r="AZ43" s="27"/>
      <c r="BA43" s="30" t="str">
        <f t="shared" si="7"/>
        <v>0019397-14.2017.5.16.0023</v>
      </c>
      <c r="BB43" s="30" t="str">
        <f t="shared" si="8"/>
        <v/>
      </c>
      <c r="BC43" s="30">
        <f>IF(X43=0,0,IF(COUNTIFS($X$10:X43,1,$BA$10:BA43,BA43)=1,1,0))</f>
        <v>1</v>
      </c>
      <c r="BD43" s="29">
        <v>46052</v>
      </c>
    </row>
    <row r="44" spans="1:56" ht="42" customHeight="1">
      <c r="A44" s="41" t="s">
        <v>387</v>
      </c>
      <c r="B44" s="44" t="s">
        <v>161</v>
      </c>
      <c r="C44" s="44" t="s">
        <v>300</v>
      </c>
      <c r="D44" s="44" t="s">
        <v>163</v>
      </c>
      <c r="E44" s="44"/>
      <c r="F44" s="44" t="s">
        <v>182</v>
      </c>
      <c r="G44" s="44" t="s">
        <v>164</v>
      </c>
      <c r="H44" s="44" t="s">
        <v>388</v>
      </c>
      <c r="I44" s="44" t="s">
        <v>184</v>
      </c>
      <c r="J44" s="44" t="s">
        <v>389</v>
      </c>
      <c r="K44" s="44" t="s">
        <v>178</v>
      </c>
      <c r="L44" s="49"/>
      <c r="M44" s="48" t="s">
        <v>390</v>
      </c>
      <c r="N44" s="48" t="s">
        <v>170</v>
      </c>
      <c r="O44" s="48"/>
      <c r="P44" s="48"/>
      <c r="Q44" s="48"/>
      <c r="R44" s="48"/>
      <c r="S44" s="49"/>
      <c r="T44" s="48"/>
      <c r="U44" s="48" t="s">
        <v>391</v>
      </c>
      <c r="V44" s="14">
        <f t="shared" si="0"/>
        <v>1</v>
      </c>
      <c r="W44" s="14">
        <f t="shared" si="1"/>
        <v>1</v>
      </c>
      <c r="X44" s="14">
        <f>IF(AND(V44=1,OR(Painel!$C$6="Todos",D44=Painel!$C$6),AND(OR(Painel!$L$6="Todas",E44=Painel!$L$6),OR(Painel!$C$8="Todos",F44=Painel!$C$8),OR(Painel!$L$8="Todos",G44=Painel!$L$8),OR(Painel!$C$10="",ISNUMBER(SEARCH(SUBSTITUTE(SUBSTITUTE(SUBSTITUTE(Painel!$C$10,"~","~~"),"*","~*"),"?","~?"),A44&amp;" "&amp;H44&amp;" "&amp;I44))))),1,0)</f>
        <v>1</v>
      </c>
      <c r="Y44" s="14">
        <f t="shared" si="2"/>
        <v>0</v>
      </c>
      <c r="Z44" s="15">
        <f>IF(V44=0,"",IF(COUNTIFS(Andamentos!$K$10:$K$2009,"="&amp;SUBSTITUTE(SUBSTITUTE(SUBSTITUTE("P:"&amp;A44,"~","~~"),"*","~*"),"?","~?"),Andamentos!$G$10:$G$2009,1)=0,"",_xlfn.AGGREGATE(14,6,Andamentos!$D$10:$D$2009/((Andamentos!$K$10:$K$2009=AS44)*(Andamentos!$G$10:$G$2009=1)),1)))</f>
        <v>46094</v>
      </c>
      <c r="AA44" s="14">
        <f>IF(Z44="",0,COUNTIFS(Andamentos!$K$10:$K$2009,"="&amp;SUBSTITUTE(SUBSTITUTE(SUBSTITUTE("P:"&amp;A44,"~","~~"),"*","~*"),"?","~?"),Andamentos!$D$10:$D$2009,Z44,Andamentos!$G$10:$G$2009,1))</f>
        <v>1</v>
      </c>
      <c r="AB44" s="14">
        <f>IF(AA44=1,SUMIFS(Andamentos!$L$10:$L$2009,Andamentos!$K$10:$K$2009,"="&amp;SUBSTITUTE(SUBSTITUTE(SUBSTITUTE(AS44,"~","~~"),"*","~*"),"?","~?"),Andamentos!$D$10:$D$2009,Z44,Andamentos!$G$10:$G$2009,1)-9,0)</f>
        <v>35</v>
      </c>
      <c r="AC44" s="14" t="str">
        <f>IF(V44=0,"",IF(AA44&gt;1,"Conferir recebimentos empatados",IF(AB44=0,"Sem atualização",INDEX(Andamentos!$C$10:$C$2009,AB44))))</f>
        <v>24/02/2026 - Cava e Serne excluídas da execução [...] histórico completo em Observações</v>
      </c>
      <c r="AD44" s="14">
        <f ca="1">IF(W44=0,0,IF(MAX(Z44,BD44)=0,1,IF(Configurar!$J$12-INT(MAX(Z44,BD44))&gt;Configurar!$J$11,1,0)))</f>
        <v>1</v>
      </c>
      <c r="AE44" s="16"/>
      <c r="AF44" s="14"/>
      <c r="AG44" s="14"/>
      <c r="AH44" s="14">
        <f>IF(AND(V44=1,COUNTIFS(Valores!$S$10:$S$509,"="&amp;SUBSTITUTE(SUBSTITUTE(SUBSTITUTE("P:"&amp;A44,"~","~~"),"*","~*"),"?","~?"))=1),(IF(ISNA(MATCH(SUBSTITUTE(SUBSTITUTE(SUBSTITUTE("P:"&amp;A44,"~","~~"),"*","~*"),"?","~?"),Valores!$S$10:$S$509,0)),9,INDEX(Valores!$R$10:$R$509,MATCH(SUBSTITUTE(SUBSTITUTE(SUBSTITUTE("P:"&amp;A44,"~","~~"),"*","~*"),"?","~?"),Valores!$S$10:$S$509,0)))-9),0)</f>
        <v>35</v>
      </c>
      <c r="AI44" s="40" t="str">
        <f t="shared" si="3"/>
        <v>Informe a empresa responsável</v>
      </c>
      <c r="AJ44" s="14" t="str">
        <f>IF(AND(X44=1,Y44=1),COUNTIFS($X$10:X44,1,$Y$10:Y44,1),"")</f>
        <v/>
      </c>
      <c r="AK44" s="14">
        <f>IF(X44=1,COUNTIFS($X$10:X44,1),"")</f>
        <v>35</v>
      </c>
      <c r="AL44" s="14">
        <f>IF(AND(V44=1,AND(OR(Painel!$L$6="Todas",E44=Painel!$L$6),OR(Painel!$C$8="Todos",F44=Painel!$C$8),OR(Painel!$L$8="Todos",G44=Painel!$L$8),OR(Painel!$C$10="",ISNUMBER(SEARCH(SUBSTITUTE(SUBSTITUTE(SUBSTITUTE(Painel!$C$10,"~","~~"),"*","~*"),"?","~?"),A44&amp;" "&amp;H44&amp;" "&amp;I44))))),1,0)</f>
        <v>1</v>
      </c>
      <c r="AM44" s="14">
        <f t="shared" si="4"/>
        <v>44</v>
      </c>
      <c r="AN44" s="14"/>
      <c r="AO44" s="14"/>
      <c r="AP44" s="16">
        <f>IF(AB44=0,"",IF(INDEX(Andamentos!$B$10:$B$2009,AB44)="","",INDEX(Andamentos!$B$10:$B$2009,AB44)))</f>
        <v>46077</v>
      </c>
      <c r="AQ44" s="17">
        <f>IF(AH44=0,"",IF(INDEX(Valores!$B$10:$B$509,AH44)="","",IF(ISNUMBER(INDEX(Valores!$B$10:$B$509,AH44)),INDEX(Valores!$B$10:$B$509,AH44),"")))</f>
        <v>158931.65</v>
      </c>
      <c r="AR44" s="14" t="str">
        <f t="shared" si="5"/>
        <v/>
      </c>
      <c r="AS44" s="14" t="str">
        <f t="shared" si="6"/>
        <v>P:0010754-56.2020.5.18.0104</v>
      </c>
      <c r="AT44" s="27" t="s">
        <v>392</v>
      </c>
      <c r="AU44" s="31" t="s">
        <v>387</v>
      </c>
      <c r="AV44" s="31"/>
      <c r="AW44" s="27" t="s">
        <v>280</v>
      </c>
      <c r="AX44" s="27" t="s">
        <v>246</v>
      </c>
      <c r="AY44" s="27"/>
      <c r="AZ44" s="27"/>
      <c r="BA44" s="30" t="str">
        <f t="shared" si="7"/>
        <v>0010754-56.2020.5.18.0104</v>
      </c>
      <c r="BB44" s="30" t="str">
        <f t="shared" si="8"/>
        <v/>
      </c>
      <c r="BC44" s="30">
        <f>IF(X44=0,0,IF(COUNTIFS($X$10:X44,1,$BA$10:BA44,BA44)=1,1,0))</f>
        <v>1</v>
      </c>
      <c r="BD44" s="29">
        <v>46094</v>
      </c>
    </row>
    <row r="45" spans="1:56" ht="42" customHeight="1">
      <c r="A45" s="41" t="s">
        <v>393</v>
      </c>
      <c r="B45" s="44" t="s">
        <v>161</v>
      </c>
      <c r="C45" s="44" t="s">
        <v>162</v>
      </c>
      <c r="D45" s="44" t="s">
        <v>163</v>
      </c>
      <c r="E45" s="44"/>
      <c r="F45" s="44" t="s">
        <v>182</v>
      </c>
      <c r="G45" s="44" t="s">
        <v>164</v>
      </c>
      <c r="H45" s="44" t="s">
        <v>394</v>
      </c>
      <c r="I45" s="44" t="s">
        <v>395</v>
      </c>
      <c r="J45" s="44" t="s">
        <v>191</v>
      </c>
      <c r="K45" s="44" t="s">
        <v>178</v>
      </c>
      <c r="L45" s="49"/>
      <c r="M45" s="48"/>
      <c r="N45" s="48" t="s">
        <v>170</v>
      </c>
      <c r="O45" s="48"/>
      <c r="P45" s="48"/>
      <c r="Q45" s="48"/>
      <c r="R45" s="48"/>
      <c r="S45" s="49"/>
      <c r="T45" s="48"/>
      <c r="U45" s="48" t="s">
        <v>396</v>
      </c>
      <c r="V45" s="14">
        <f t="shared" si="0"/>
        <v>1</v>
      </c>
      <c r="W45" s="14">
        <f t="shared" si="1"/>
        <v>0</v>
      </c>
      <c r="X45" s="14">
        <f>IF(AND(V45=1,OR(Painel!$C$6="Todos",D45=Painel!$C$6),AND(OR(Painel!$L$6="Todas",E45=Painel!$L$6),OR(Painel!$C$8="Todos",F45=Painel!$C$8),OR(Painel!$L$8="Todos",G45=Painel!$L$8),OR(Painel!$C$10="",ISNUMBER(SEARCH(SUBSTITUTE(SUBSTITUTE(SUBSTITUTE(Painel!$C$10,"~","~~"),"*","~*"),"?","~?"),A45&amp;" "&amp;H45&amp;" "&amp;I45))))),1,0)</f>
        <v>1</v>
      </c>
      <c r="Y45" s="14">
        <f t="shared" si="2"/>
        <v>0</v>
      </c>
      <c r="Z45" s="15">
        <f>IF(V45=0,"",IF(COUNTIFS(Andamentos!$K$10:$K$2009,"="&amp;SUBSTITUTE(SUBSTITUTE(SUBSTITUTE("P:"&amp;A45,"~","~~"),"*","~*"),"?","~?"),Andamentos!$G$10:$G$2009,1)=0,"",_xlfn.AGGREGATE(14,6,Andamentos!$D$10:$D$2009/((Andamentos!$K$10:$K$2009=AS45)*(Andamentos!$G$10:$G$2009=1)),1)))</f>
        <v>45512</v>
      </c>
      <c r="AA45" s="14">
        <f>IF(Z45="",0,COUNTIFS(Andamentos!$K$10:$K$2009,"="&amp;SUBSTITUTE(SUBSTITUTE(SUBSTITUTE("P:"&amp;A45,"~","~~"),"*","~*"),"?","~?"),Andamentos!$D$10:$D$2009,Z45,Andamentos!$G$10:$G$2009,1))</f>
        <v>1</v>
      </c>
      <c r="AB45" s="14">
        <f>IF(AA45=1,SUMIFS(Andamentos!$L$10:$L$2009,Andamentos!$K$10:$K$2009,"="&amp;SUBSTITUTE(SUBSTITUTE(SUBSTITUTE(AS45,"~","~~"),"*","~*"),"?","~?"),Andamentos!$D$10:$D$2009,Z45,Andamentos!$G$10:$G$2009,1)-9,0)</f>
        <v>36</v>
      </c>
      <c r="AC45" s="14" t="str">
        <f>IF(V45=0,"",IF(AA45&gt;1,"Conferir recebimentos empatados",IF(AB45=0,"Sem atualização",INDEX(Andamentos!$C$10:$C$2009,AB45))))</f>
        <v>09/07/2024 - Alta intimada sobre garantia da execução. Aguardar liberação, arquivamento. [...] histórico completo em Observações</v>
      </c>
      <c r="AD45" s="14">
        <f>IF(W45=0,0,IF(MAX(Z45,BD45)=0,1,IF(Configurar!$J$12-INT(MAX(Z45,BD45))&gt;Configurar!$J$11,1,0)))</f>
        <v>0</v>
      </c>
      <c r="AE45" s="16"/>
      <c r="AF45" s="14"/>
      <c r="AG45" s="14"/>
      <c r="AH45" s="14">
        <f>IF(AND(V45=1,COUNTIFS(Valores!$S$10:$S$509,"="&amp;SUBSTITUTE(SUBSTITUTE(SUBSTITUTE("P:"&amp;A45,"~","~~"),"*","~*"),"?","~?"))=1),(IF(ISNA(MATCH(SUBSTITUTE(SUBSTITUTE(SUBSTITUTE("P:"&amp;A45,"~","~~"),"*","~*"),"?","~?"),Valores!$S$10:$S$509,0)),9,INDEX(Valores!$R$10:$R$509,MATCH(SUBSTITUTE(SUBSTITUTE(SUBSTITUTE("P:"&amp;A45,"~","~~"),"*","~*"),"?","~?"),Valores!$S$10:$S$509,0)))-9),0)</f>
        <v>36</v>
      </c>
      <c r="AI45" s="40" t="str">
        <f t="shared" si="3"/>
        <v>Informe a empresa responsável</v>
      </c>
      <c r="AJ45" s="14" t="str">
        <f>IF(AND(X45=1,Y45=1),COUNTIFS($X$10:X45,1,$Y$10:Y45,1),"")</f>
        <v/>
      </c>
      <c r="AK45" s="14">
        <f>IF(X45=1,COUNTIFS($X$10:X45,1),"")</f>
        <v>36</v>
      </c>
      <c r="AL45" s="14">
        <f>IF(AND(V45=1,AND(OR(Painel!$L$6="Todas",E45=Painel!$L$6),OR(Painel!$C$8="Todos",F45=Painel!$C$8),OR(Painel!$L$8="Todos",G45=Painel!$L$8),OR(Painel!$C$10="",ISNUMBER(SEARCH(SUBSTITUTE(SUBSTITUTE(SUBSTITUTE(Painel!$C$10,"~","~~"),"*","~*"),"?","~?"),A45&amp;" "&amp;H45&amp;" "&amp;I45))))),1,0)</f>
        <v>1</v>
      </c>
      <c r="AM45" s="14">
        <f t="shared" si="4"/>
        <v>45</v>
      </c>
      <c r="AN45" s="14"/>
      <c r="AO45" s="14"/>
      <c r="AP45" s="16">
        <f>IF(AB45=0,"",IF(INDEX(Andamentos!$B$10:$B$2009,AB45)="","",INDEX(Andamentos!$B$10:$B$2009,AB45)))</f>
        <v>45482</v>
      </c>
      <c r="AQ45" s="17">
        <f>IF(AH45=0,"",IF(INDEX(Valores!$B$10:$B$509,AH45)="","",IF(ISNUMBER(INDEX(Valores!$B$10:$B$509,AH45)),INDEX(Valores!$B$10:$B$509,AH45),"")))</f>
        <v>10160.65</v>
      </c>
      <c r="AR45" s="14" t="str">
        <f t="shared" si="5"/>
        <v/>
      </c>
      <c r="AS45" s="14" t="str">
        <f t="shared" si="6"/>
        <v>P:0010481-51.2018.5.18.0103</v>
      </c>
      <c r="AT45" s="27" t="s">
        <v>397</v>
      </c>
      <c r="AU45" s="31" t="s">
        <v>393</v>
      </c>
      <c r="AV45" s="31"/>
      <c r="AW45" s="27" t="s">
        <v>162</v>
      </c>
      <c r="AX45" s="27"/>
      <c r="AY45" s="27"/>
      <c r="AZ45" s="27"/>
      <c r="BA45" s="30" t="str">
        <f t="shared" si="7"/>
        <v>0010481-51.2018.5.18.0103</v>
      </c>
      <c r="BB45" s="30" t="str">
        <f t="shared" si="8"/>
        <v/>
      </c>
      <c r="BC45" s="30">
        <f>IF(X45=0,0,IF(COUNTIFS($X$10:X45,1,$BA$10:BA45,BA45)=1,1,0))</f>
        <v>1</v>
      </c>
      <c r="BD45" s="29">
        <v>45512</v>
      </c>
    </row>
    <row r="46" spans="1:56" ht="42" customHeight="1">
      <c r="A46" s="41" t="s">
        <v>398</v>
      </c>
      <c r="B46" s="44" t="s">
        <v>161</v>
      </c>
      <c r="C46" s="44" t="s">
        <v>300</v>
      </c>
      <c r="D46" s="44" t="s">
        <v>163</v>
      </c>
      <c r="E46" s="44"/>
      <c r="F46" s="44" t="s">
        <v>182</v>
      </c>
      <c r="G46" s="44" t="s">
        <v>164</v>
      </c>
      <c r="H46" s="44" t="s">
        <v>399</v>
      </c>
      <c r="I46" s="44" t="s">
        <v>400</v>
      </c>
      <c r="J46" s="44" t="s">
        <v>401</v>
      </c>
      <c r="K46" s="44" t="s">
        <v>178</v>
      </c>
      <c r="L46" s="49"/>
      <c r="M46" s="48"/>
      <c r="N46" s="48" t="s">
        <v>170</v>
      </c>
      <c r="O46" s="48"/>
      <c r="P46" s="48"/>
      <c r="Q46" s="48"/>
      <c r="R46" s="48"/>
      <c r="S46" s="49"/>
      <c r="T46" s="48"/>
      <c r="U46" s="48" t="s">
        <v>402</v>
      </c>
      <c r="V46" s="14">
        <f t="shared" si="0"/>
        <v>1</v>
      </c>
      <c r="W46" s="14">
        <f t="shared" si="1"/>
        <v>1</v>
      </c>
      <c r="X46" s="14">
        <f>IF(AND(V46=1,OR(Painel!$C$6="Todos",D46=Painel!$C$6),AND(OR(Painel!$L$6="Todas",E46=Painel!$L$6),OR(Painel!$C$8="Todos",F46=Painel!$C$8),OR(Painel!$L$8="Todos",G46=Painel!$L$8),OR(Painel!$C$10="",ISNUMBER(SEARCH(SUBSTITUTE(SUBSTITUTE(SUBSTITUTE(Painel!$C$10,"~","~~"),"*","~*"),"?","~?"),A46&amp;" "&amp;H46&amp;" "&amp;I46))))),1,0)</f>
        <v>1</v>
      </c>
      <c r="Y46" s="14">
        <f t="shared" si="2"/>
        <v>0</v>
      </c>
      <c r="Z46" s="15">
        <f>IF(V46=0,"",IF(COUNTIFS(Andamentos!$K$10:$K$2009,"="&amp;SUBSTITUTE(SUBSTITUTE(SUBSTITUTE("P:"&amp;A46,"~","~~"),"*","~*"),"?","~?"),Andamentos!$G$10:$G$2009,1)=0,"",_xlfn.AGGREGATE(14,6,Andamentos!$D$10:$D$2009/((Andamentos!$K$10:$K$2009=AS46)*(Andamentos!$G$10:$G$2009=1)),1)))</f>
        <v>45653</v>
      </c>
      <c r="AA46" s="14">
        <f>IF(Z46="",0,COUNTIFS(Andamentos!$K$10:$K$2009,"="&amp;SUBSTITUTE(SUBSTITUTE(SUBSTITUTE("P:"&amp;A46,"~","~~"),"*","~*"),"?","~?"),Andamentos!$D$10:$D$2009,Z46,Andamentos!$G$10:$G$2009,1))</f>
        <v>1</v>
      </c>
      <c r="AB46" s="14">
        <f>IF(AA46=1,SUMIFS(Andamentos!$L$10:$L$2009,Andamentos!$K$10:$K$2009,"="&amp;SUBSTITUTE(SUBSTITUTE(SUBSTITUTE(AS46,"~","~~"),"*","~*"),"?","~?"),Andamentos!$D$10:$D$2009,Z46,Andamentos!$G$10:$G$2009,1)-9,0)</f>
        <v>37</v>
      </c>
      <c r="AC46" s="14" t="str">
        <f>IF(V46=0,"",IF(AA46&gt;1,"Conferir recebimentos empatados",IF(AB46=0,"Sem atualização",INDEX(Andamentos!$C$10:$C$2009,AB46))))</f>
        <v>17/12/2024 - Convolado em penhora o valor bloqueado em conta da Serne (R$ 1.095,00) [...] histórico completo em Observações</v>
      </c>
      <c r="AD46" s="14">
        <f ca="1">IF(W46=0,0,IF(MAX(Z46,BD46)=0,1,IF(Configurar!$J$12-INT(MAX(Z46,BD46))&gt;Configurar!$J$11,1,0)))</f>
        <v>1</v>
      </c>
      <c r="AE46" s="16"/>
      <c r="AF46" s="14"/>
      <c r="AG46" s="14"/>
      <c r="AH46" s="14">
        <f>IF(AND(V46=1,COUNTIFS(Valores!$S$10:$S$509,"="&amp;SUBSTITUTE(SUBSTITUTE(SUBSTITUTE("P:"&amp;A46,"~","~~"),"*","~*"),"?","~?"))=1),(IF(ISNA(MATCH(SUBSTITUTE(SUBSTITUTE(SUBSTITUTE("P:"&amp;A46,"~","~~"),"*","~*"),"?","~?"),Valores!$S$10:$S$509,0)),9,INDEX(Valores!$R$10:$R$509,MATCH(SUBSTITUTE(SUBSTITUTE(SUBSTITUTE("P:"&amp;A46,"~","~~"),"*","~*"),"?","~?"),Valores!$S$10:$S$509,0)))-9),0)</f>
        <v>37</v>
      </c>
      <c r="AI46" s="40" t="str">
        <f t="shared" si="3"/>
        <v>Informe a empresa responsável</v>
      </c>
      <c r="AJ46" s="14" t="str">
        <f>IF(AND(X46=1,Y46=1),COUNTIFS($X$10:X46,1,$Y$10:Y46,1),"")</f>
        <v/>
      </c>
      <c r="AK46" s="14">
        <f>IF(X46=1,COUNTIFS($X$10:X46,1),"")</f>
        <v>37</v>
      </c>
      <c r="AL46" s="14">
        <f>IF(AND(V46=1,AND(OR(Painel!$L$6="Todas",E46=Painel!$L$6),OR(Painel!$C$8="Todos",F46=Painel!$C$8),OR(Painel!$L$8="Todos",G46=Painel!$L$8),OR(Painel!$C$10="",ISNUMBER(SEARCH(SUBSTITUTE(SUBSTITUTE(SUBSTITUTE(Painel!$C$10,"~","~~"),"*","~*"),"?","~?"),A46&amp;" "&amp;H46&amp;" "&amp;I46))))),1,0)</f>
        <v>1</v>
      </c>
      <c r="AM46" s="14">
        <f t="shared" si="4"/>
        <v>46</v>
      </c>
      <c r="AN46" s="14"/>
      <c r="AO46" s="14"/>
      <c r="AP46" s="16">
        <f>IF(AB46=0,"",IF(INDEX(Andamentos!$B$10:$B$2009,AB46)="","",INDEX(Andamentos!$B$10:$B$2009,AB46)))</f>
        <v>45643</v>
      </c>
      <c r="AQ46" s="17">
        <f>IF(AH46=0,"",IF(INDEX(Valores!$B$10:$B$509,AH46)="","",IF(ISNUMBER(INDEX(Valores!$B$10:$B$509,AH46)),INDEX(Valores!$B$10:$B$509,AH46),"")))</f>
        <v>20042.43</v>
      </c>
      <c r="AR46" s="14" t="str">
        <f t="shared" si="5"/>
        <v/>
      </c>
      <c r="AS46" s="14" t="str">
        <f t="shared" si="6"/>
        <v>P:0010795-91.2018.5.18.0104</v>
      </c>
      <c r="AT46" s="27" t="s">
        <v>403</v>
      </c>
      <c r="AU46" s="31" t="s">
        <v>398</v>
      </c>
      <c r="AV46" s="31"/>
      <c r="AW46" s="27" t="s">
        <v>280</v>
      </c>
      <c r="AX46" s="27" t="s">
        <v>380</v>
      </c>
      <c r="AY46" s="27"/>
      <c r="AZ46" s="27"/>
      <c r="BA46" s="30" t="str">
        <f t="shared" si="7"/>
        <v>0010795-91.2018.5.18.0104</v>
      </c>
      <c r="BB46" s="30" t="str">
        <f t="shared" si="8"/>
        <v/>
      </c>
      <c r="BC46" s="30">
        <f>IF(X46=0,0,IF(COUNTIFS($X$10:X46,1,$BA$10:BA46,BA46)=1,1,0))</f>
        <v>1</v>
      </c>
      <c r="BD46" s="29">
        <v>45653</v>
      </c>
    </row>
    <row r="47" spans="1:56" ht="42" customHeight="1">
      <c r="A47" s="41" t="s">
        <v>404</v>
      </c>
      <c r="B47" s="44" t="s">
        <v>161</v>
      </c>
      <c r="C47" s="44" t="s">
        <v>300</v>
      </c>
      <c r="D47" s="44" t="s">
        <v>163</v>
      </c>
      <c r="E47" s="44"/>
      <c r="F47" s="44" t="s">
        <v>182</v>
      </c>
      <c r="G47" s="44" t="s">
        <v>164</v>
      </c>
      <c r="H47" s="44" t="s">
        <v>405</v>
      </c>
      <c r="I47" s="44" t="s">
        <v>406</v>
      </c>
      <c r="J47" s="44" t="s">
        <v>407</v>
      </c>
      <c r="K47" s="44" t="s">
        <v>178</v>
      </c>
      <c r="L47" s="49"/>
      <c r="M47" s="48" t="s">
        <v>408</v>
      </c>
      <c r="N47" s="48" t="s">
        <v>376</v>
      </c>
      <c r="O47" s="48"/>
      <c r="P47" s="48"/>
      <c r="Q47" s="48" t="s">
        <v>377</v>
      </c>
      <c r="R47" s="48"/>
      <c r="S47" s="49"/>
      <c r="T47" s="48"/>
      <c r="U47" s="48" t="s">
        <v>409</v>
      </c>
      <c r="V47" s="14">
        <f t="shared" si="0"/>
        <v>1</v>
      </c>
      <c r="W47" s="14">
        <f t="shared" si="1"/>
        <v>1</v>
      </c>
      <c r="X47" s="14">
        <f>IF(AND(V47=1,OR(Painel!$C$6="Todos",D47=Painel!$C$6),AND(OR(Painel!$L$6="Todas",E47=Painel!$L$6),OR(Painel!$C$8="Todos",F47=Painel!$C$8),OR(Painel!$L$8="Todos",G47=Painel!$L$8),OR(Painel!$C$10="",ISNUMBER(SEARCH(SUBSTITUTE(SUBSTITUTE(SUBSTITUTE(Painel!$C$10,"~","~~"),"*","~*"),"?","~?"),A47&amp;" "&amp;H47&amp;" "&amp;I47))))),1,0)</f>
        <v>1</v>
      </c>
      <c r="Y47" s="14">
        <f t="shared" si="2"/>
        <v>0</v>
      </c>
      <c r="Z47" s="15">
        <f>IF(V47=0,"",IF(COUNTIFS(Andamentos!$K$10:$K$2009,"="&amp;SUBSTITUTE(SUBSTITUTE(SUBSTITUTE("P:"&amp;A47,"~","~~"),"*","~*"),"?","~?"),Andamentos!$G$10:$G$2009,1)=0,"",_xlfn.AGGREGATE(14,6,Andamentos!$D$10:$D$2009/((Andamentos!$K$10:$K$2009=AS47)*(Andamentos!$G$10:$G$2009=1)),1)))</f>
        <v>46055</v>
      </c>
      <c r="AA47" s="14">
        <f>IF(Z47="",0,COUNTIFS(Andamentos!$K$10:$K$2009,"="&amp;SUBSTITUTE(SUBSTITUTE(SUBSTITUTE("P:"&amp;A47,"~","~~"),"*","~*"),"?","~?"),Andamentos!$D$10:$D$2009,Z47,Andamentos!$G$10:$G$2009,1))</f>
        <v>1</v>
      </c>
      <c r="AB47" s="14">
        <f>IF(AA47=1,SUMIFS(Andamentos!$L$10:$L$2009,Andamentos!$K$10:$K$2009,"="&amp;SUBSTITUTE(SUBSTITUTE(SUBSTITUTE(AS47,"~","~~"),"*","~*"),"?","~?"),Andamentos!$D$10:$D$2009,Z47,Andamentos!$G$10:$G$2009,1)-9,0)</f>
        <v>38</v>
      </c>
      <c r="AC47" s="14" t="str">
        <f>IF(V47=0,"",IF(AA47&gt;1,"Conferir recebimentos empatados",IF(AB47=0,"Sem atualização",INDEX(Andamentos!$C$10:$C$2009,AB47))))</f>
        <v>28/10/2025 - Restrição retirada [...] histórico completo em Observações</v>
      </c>
      <c r="AD47" s="14">
        <f ca="1">IF(W47=0,0,IF(MAX(Z47,BD47)=0,1,IF(Configurar!$J$12-INT(MAX(Z47,BD47))&gt;Configurar!$J$11,1,0)))</f>
        <v>1</v>
      </c>
      <c r="AE47" s="16"/>
      <c r="AF47" s="14"/>
      <c r="AG47" s="14"/>
      <c r="AH47" s="14">
        <f>IF(AND(V47=1,COUNTIFS(Valores!$S$10:$S$509,"="&amp;SUBSTITUTE(SUBSTITUTE(SUBSTITUTE("P:"&amp;A47,"~","~~"),"*","~*"),"?","~?"))=1),(IF(ISNA(MATCH(SUBSTITUTE(SUBSTITUTE(SUBSTITUTE("P:"&amp;A47,"~","~~"),"*","~*"),"?","~?"),Valores!$S$10:$S$509,0)),9,INDEX(Valores!$R$10:$R$509,MATCH(SUBSTITUTE(SUBSTITUTE(SUBSTITUTE("P:"&amp;A47,"~","~~"),"*","~*"),"?","~?"),Valores!$S$10:$S$509,0)))-9),0)</f>
        <v>38</v>
      </c>
      <c r="AI47" s="40" t="str">
        <f t="shared" si="3"/>
        <v>Informe a empresa responsável</v>
      </c>
      <c r="AJ47" s="14" t="str">
        <f>IF(AND(X47=1,Y47=1),COUNTIFS($X$10:X47,1,$Y$10:Y47,1),"")</f>
        <v/>
      </c>
      <c r="AK47" s="14">
        <f>IF(X47=1,COUNTIFS($X$10:X47,1),"")</f>
        <v>38</v>
      </c>
      <c r="AL47" s="14">
        <f>IF(AND(V47=1,AND(OR(Painel!$L$6="Todas",E47=Painel!$L$6),OR(Painel!$C$8="Todos",F47=Painel!$C$8),OR(Painel!$L$8="Todos",G47=Painel!$L$8),OR(Painel!$C$10="",ISNUMBER(SEARCH(SUBSTITUTE(SUBSTITUTE(SUBSTITUTE(Painel!$C$10,"~","~~"),"*","~*"),"?","~?"),A47&amp;" "&amp;H47&amp;" "&amp;I47))))),1,0)</f>
        <v>1</v>
      </c>
      <c r="AM47" s="14">
        <f t="shared" si="4"/>
        <v>47</v>
      </c>
      <c r="AN47" s="14"/>
      <c r="AO47" s="14"/>
      <c r="AP47" s="16">
        <f>IF(AB47=0,"",IF(INDEX(Andamentos!$B$10:$B$2009,AB47)="","",INDEX(Andamentos!$B$10:$B$2009,AB47)))</f>
        <v>45958</v>
      </c>
      <c r="AQ47" s="17">
        <f>IF(AH47=0,"",IF(INDEX(Valores!$B$10:$B$509,AH47)="","",IF(ISNUMBER(INDEX(Valores!$B$10:$B$509,AH47)),INDEX(Valores!$B$10:$B$509,AH47),"")))</f>
        <v>32390.75</v>
      </c>
      <c r="AR47" s="14" t="str">
        <f t="shared" si="5"/>
        <v/>
      </c>
      <c r="AS47" s="14" t="str">
        <f t="shared" si="6"/>
        <v>P:0010860-95.2018.5.18.0101</v>
      </c>
      <c r="AT47" s="27" t="s">
        <v>410</v>
      </c>
      <c r="AU47" s="31" t="s">
        <v>404</v>
      </c>
      <c r="AV47" s="31"/>
      <c r="AW47" s="27" t="s">
        <v>280</v>
      </c>
      <c r="AX47" s="27" t="s">
        <v>380</v>
      </c>
      <c r="AY47" s="27"/>
      <c r="AZ47" s="27"/>
      <c r="BA47" s="30" t="str">
        <f t="shared" si="7"/>
        <v>0010860-95.2018.5.18.0101</v>
      </c>
      <c r="BB47" s="30" t="str">
        <f t="shared" si="8"/>
        <v/>
      </c>
      <c r="BC47" s="30">
        <f>IF(X47=0,0,IF(COUNTIFS($X$10:X47,1,$BA$10:BA47,BA47)=1,1,0))</f>
        <v>1</v>
      </c>
      <c r="BD47" s="29">
        <v>46055</v>
      </c>
    </row>
    <row r="48" spans="1:56" ht="42" customHeight="1">
      <c r="A48" s="41" t="s">
        <v>411</v>
      </c>
      <c r="B48" s="44" t="s">
        <v>161</v>
      </c>
      <c r="C48" s="44" t="s">
        <v>316</v>
      </c>
      <c r="D48" s="44" t="s">
        <v>163</v>
      </c>
      <c r="E48" s="44"/>
      <c r="F48" s="44" t="s">
        <v>182</v>
      </c>
      <c r="G48" s="44" t="s">
        <v>164</v>
      </c>
      <c r="H48" s="44" t="s">
        <v>412</v>
      </c>
      <c r="I48" s="44" t="s">
        <v>413</v>
      </c>
      <c r="J48" s="44" t="s">
        <v>401</v>
      </c>
      <c r="K48" s="44" t="s">
        <v>178</v>
      </c>
      <c r="L48" s="49"/>
      <c r="M48" s="48" t="s">
        <v>414</v>
      </c>
      <c r="N48" s="48" t="s">
        <v>376</v>
      </c>
      <c r="O48" s="48"/>
      <c r="P48" s="48"/>
      <c r="Q48" s="48" t="s">
        <v>377</v>
      </c>
      <c r="R48" s="48"/>
      <c r="S48" s="49"/>
      <c r="T48" s="48"/>
      <c r="U48" s="48" t="s">
        <v>415</v>
      </c>
      <c r="V48" s="14">
        <f t="shared" si="0"/>
        <v>1</v>
      </c>
      <c r="W48" s="14">
        <f t="shared" si="1"/>
        <v>1</v>
      </c>
      <c r="X48" s="14">
        <f>IF(AND(V48=1,OR(Painel!$C$6="Todos",D48=Painel!$C$6),AND(OR(Painel!$L$6="Todas",E48=Painel!$L$6),OR(Painel!$C$8="Todos",F48=Painel!$C$8),OR(Painel!$L$8="Todos",G48=Painel!$L$8),OR(Painel!$C$10="",ISNUMBER(SEARCH(SUBSTITUTE(SUBSTITUTE(SUBSTITUTE(Painel!$C$10,"~","~~"),"*","~*"),"?","~?"),A48&amp;" "&amp;H48&amp;" "&amp;I48))))),1,0)</f>
        <v>1</v>
      </c>
      <c r="Y48" s="14">
        <f t="shared" si="2"/>
        <v>0</v>
      </c>
      <c r="Z48" s="15">
        <f>IF(V48=0,"",IF(COUNTIFS(Andamentos!$K$10:$K$2009,"="&amp;SUBSTITUTE(SUBSTITUTE(SUBSTITUTE("P:"&amp;A48,"~","~~"),"*","~*"),"?","~?"),Andamentos!$G$10:$G$2009,1)=0,"",_xlfn.AGGREGATE(14,6,Andamentos!$D$10:$D$2009/((Andamentos!$K$10:$K$2009=AS48)*(Andamentos!$G$10:$G$2009=1)),1)))</f>
        <v>46055</v>
      </c>
      <c r="AA48" s="14">
        <f>IF(Z48="",0,COUNTIFS(Andamentos!$K$10:$K$2009,"="&amp;SUBSTITUTE(SUBSTITUTE(SUBSTITUTE("P:"&amp;A48,"~","~~"),"*","~*"),"?","~?"),Andamentos!$D$10:$D$2009,Z48,Andamentos!$G$10:$G$2009,1))</f>
        <v>1</v>
      </c>
      <c r="AB48" s="14">
        <f>IF(AA48=1,SUMIFS(Andamentos!$L$10:$L$2009,Andamentos!$K$10:$K$2009,"="&amp;SUBSTITUTE(SUBSTITUTE(SUBSTITUTE(AS48,"~","~~"),"*","~*"),"?","~?"),Andamentos!$D$10:$D$2009,Z48,Andamentos!$G$10:$G$2009,1)-9,0)</f>
        <v>39</v>
      </c>
      <c r="AC48" s="14" t="str">
        <f>IF(V48=0,"",IF(AA48&gt;1,"Conferir recebimentos empatados",IF(AB48=0,"Sem atualização",INDEX(Andamentos!$C$10:$C$2009,AB48))))</f>
        <v>16/08/2023 - Determinado sobrestamento do feito Tema 1.232 STF. [...] histórico completo em Observações</v>
      </c>
      <c r="AD48" s="14">
        <f ca="1">IF(W48=0,0,IF(MAX(Z48,BD48)=0,1,IF(Configurar!$J$12-INT(MAX(Z48,BD48))&gt;Configurar!$J$11,1,0)))</f>
        <v>1</v>
      </c>
      <c r="AE48" s="16"/>
      <c r="AF48" s="14"/>
      <c r="AG48" s="14"/>
      <c r="AH48" s="14">
        <f>IF(AND(V48=1,COUNTIFS(Valores!$S$10:$S$509,"="&amp;SUBSTITUTE(SUBSTITUTE(SUBSTITUTE("P:"&amp;A48,"~","~~"),"*","~*"),"?","~?"))=1),(IF(ISNA(MATCH(SUBSTITUTE(SUBSTITUTE(SUBSTITUTE("P:"&amp;A48,"~","~~"),"*","~*"),"?","~?"),Valores!$S$10:$S$509,0)),9,INDEX(Valores!$R$10:$R$509,MATCH(SUBSTITUTE(SUBSTITUTE(SUBSTITUTE("P:"&amp;A48,"~","~~"),"*","~*"),"?","~?"),Valores!$S$10:$S$509,0)))-9),0)</f>
        <v>39</v>
      </c>
      <c r="AI48" s="40" t="str">
        <f t="shared" si="3"/>
        <v>Informe a empresa responsável</v>
      </c>
      <c r="AJ48" s="14" t="str">
        <f>IF(AND(X48=1,Y48=1),COUNTIFS($X$10:X48,1,$Y$10:Y48,1),"")</f>
        <v/>
      </c>
      <c r="AK48" s="14">
        <f>IF(X48=1,COUNTIFS($X$10:X48,1),"")</f>
        <v>39</v>
      </c>
      <c r="AL48" s="14">
        <f>IF(AND(V48=1,AND(OR(Painel!$L$6="Todas",E48=Painel!$L$6),OR(Painel!$C$8="Todos",F48=Painel!$C$8),OR(Painel!$L$8="Todos",G48=Painel!$L$8),OR(Painel!$C$10="",ISNUMBER(SEARCH(SUBSTITUTE(SUBSTITUTE(SUBSTITUTE(Painel!$C$10,"~","~~"),"*","~*"),"?","~?"),A48&amp;" "&amp;H48&amp;" "&amp;I48))))),1,0)</f>
        <v>1</v>
      </c>
      <c r="AM48" s="14">
        <f t="shared" si="4"/>
        <v>48</v>
      </c>
      <c r="AN48" s="14"/>
      <c r="AO48" s="14"/>
      <c r="AP48" s="16">
        <f>IF(AB48=0,"",IF(INDEX(Andamentos!$B$10:$B$2009,AB48)="","",INDEX(Andamentos!$B$10:$B$2009,AB48)))</f>
        <v>45154</v>
      </c>
      <c r="AQ48" s="17">
        <f>IF(AH48=0,"",IF(INDEX(Valores!$B$10:$B$509,AH48)="","",IF(ISNUMBER(INDEX(Valores!$B$10:$B$509,AH48)),INDEX(Valores!$B$10:$B$509,AH48),"")))</f>
        <v>49973.45</v>
      </c>
      <c r="AR48" s="14" t="str">
        <f t="shared" si="5"/>
        <v/>
      </c>
      <c r="AS48" s="14" t="str">
        <f t="shared" si="6"/>
        <v>P:0010941-35.2018.5.18.0104 [BMM-039]</v>
      </c>
      <c r="AT48" s="27" t="s">
        <v>416</v>
      </c>
      <c r="AU48" s="31" t="s">
        <v>417</v>
      </c>
      <c r="AV48" s="31"/>
      <c r="AW48" s="27" t="s">
        <v>280</v>
      </c>
      <c r="AX48" s="27" t="s">
        <v>380</v>
      </c>
      <c r="AY48" s="27"/>
      <c r="AZ48" s="27"/>
      <c r="BA48" s="30" t="str">
        <f t="shared" si="7"/>
        <v>0010941-35.2018.5.18.0104</v>
      </c>
      <c r="BB48" s="30" t="str">
        <f t="shared" si="8"/>
        <v>Revisar repetição</v>
      </c>
      <c r="BC48" s="30">
        <f>IF(X48=0,0,IF(COUNTIFS($X$10:X48,1,$BA$10:BA48,BA48)=1,1,0))</f>
        <v>1</v>
      </c>
      <c r="BD48" s="29">
        <v>46055</v>
      </c>
    </row>
    <row r="49" spans="1:56" ht="42" customHeight="1">
      <c r="A49" s="41" t="s">
        <v>418</v>
      </c>
      <c r="B49" s="44" t="s">
        <v>161</v>
      </c>
      <c r="C49" s="44" t="s">
        <v>300</v>
      </c>
      <c r="D49" s="44" t="s">
        <v>163</v>
      </c>
      <c r="E49" s="44"/>
      <c r="F49" s="44" t="s">
        <v>182</v>
      </c>
      <c r="G49" s="44" t="s">
        <v>164</v>
      </c>
      <c r="H49" s="44" t="s">
        <v>419</v>
      </c>
      <c r="I49" s="44" t="s">
        <v>420</v>
      </c>
      <c r="J49" s="44" t="s">
        <v>421</v>
      </c>
      <c r="K49" s="44" t="s">
        <v>384</v>
      </c>
      <c r="L49" s="49"/>
      <c r="M49" s="48"/>
      <c r="N49" s="48" t="s">
        <v>170</v>
      </c>
      <c r="O49" s="48"/>
      <c r="P49" s="48"/>
      <c r="Q49" s="48"/>
      <c r="R49" s="48"/>
      <c r="S49" s="49"/>
      <c r="T49" s="48"/>
      <c r="U49" s="48" t="s">
        <v>422</v>
      </c>
      <c r="V49" s="14">
        <f t="shared" si="0"/>
        <v>1</v>
      </c>
      <c r="W49" s="14">
        <f t="shared" si="1"/>
        <v>1</v>
      </c>
      <c r="X49" s="14">
        <f>IF(AND(V49=1,OR(Painel!$C$6="Todos",D49=Painel!$C$6),AND(OR(Painel!$L$6="Todas",E49=Painel!$L$6),OR(Painel!$C$8="Todos",F49=Painel!$C$8),OR(Painel!$L$8="Todos",G49=Painel!$L$8),OR(Painel!$C$10="",ISNUMBER(SEARCH(SUBSTITUTE(SUBSTITUTE(SUBSTITUTE(Painel!$C$10,"~","~~"),"*","~*"),"?","~?"),A49&amp;" "&amp;H49&amp;" "&amp;I49))))),1,0)</f>
        <v>1</v>
      </c>
      <c r="Y49" s="14">
        <f t="shared" si="2"/>
        <v>0</v>
      </c>
      <c r="Z49" s="15">
        <f>IF(V49=0,"",IF(COUNTIFS(Andamentos!$K$10:$K$2009,"="&amp;SUBSTITUTE(SUBSTITUTE(SUBSTITUTE("P:"&amp;A49,"~","~~"),"*","~*"),"?","~?"),Andamentos!$G$10:$G$2009,1)=0,"",_xlfn.AGGREGATE(14,6,Andamentos!$D$10:$D$2009/((Andamentos!$K$10:$K$2009=AS49)*(Andamentos!$G$10:$G$2009=1)),1)))</f>
        <v>45653</v>
      </c>
      <c r="AA49" s="14">
        <f>IF(Z49="",0,COUNTIFS(Andamentos!$K$10:$K$2009,"="&amp;SUBSTITUTE(SUBSTITUTE(SUBSTITUTE("P:"&amp;A49,"~","~~"),"*","~*"),"?","~?"),Andamentos!$D$10:$D$2009,Z49,Andamentos!$G$10:$G$2009,1))</f>
        <v>1</v>
      </c>
      <c r="AB49" s="14">
        <f>IF(AA49=1,SUMIFS(Andamentos!$L$10:$L$2009,Andamentos!$K$10:$K$2009,"="&amp;SUBSTITUTE(SUBSTITUTE(SUBSTITUTE(AS49,"~","~~"),"*","~*"),"?","~?"),Andamentos!$D$10:$D$2009,Z49,Andamentos!$G$10:$G$2009,1)-9,0)</f>
        <v>40</v>
      </c>
      <c r="AC49" s="14" t="str">
        <f>IF(V49=0,"",IF(AA49&gt;1,"Conferir recebimentos empatados",IF(AB49=0,"Sem atualização",INDEX(Andamentos!$C$10:$C$2009,AB49))))</f>
        <v>03/07/2024 - Procedente o IDPJ. [...] histórico completo em Observações</v>
      </c>
      <c r="AD49" s="14">
        <f ca="1">IF(W49=0,0,IF(MAX(Z49,BD49)=0,1,IF(Configurar!$J$12-INT(MAX(Z49,BD49))&gt;Configurar!$J$11,1,0)))</f>
        <v>1</v>
      </c>
      <c r="AE49" s="16"/>
      <c r="AF49" s="14"/>
      <c r="AG49" s="14"/>
      <c r="AH49" s="14">
        <f>IF(AND(V49=1,COUNTIFS(Valores!$S$10:$S$509,"="&amp;SUBSTITUTE(SUBSTITUTE(SUBSTITUTE("P:"&amp;A49,"~","~~"),"*","~*"),"?","~?"))=1),(IF(ISNA(MATCH(SUBSTITUTE(SUBSTITUTE(SUBSTITUTE("P:"&amp;A49,"~","~~"),"*","~*"),"?","~?"),Valores!$S$10:$S$509,0)),9,INDEX(Valores!$R$10:$R$509,MATCH(SUBSTITUTE(SUBSTITUTE(SUBSTITUTE("P:"&amp;A49,"~","~~"),"*","~*"),"?","~?"),Valores!$S$10:$S$509,0)))-9),0)</f>
        <v>40</v>
      </c>
      <c r="AI49" s="40" t="str">
        <f t="shared" si="3"/>
        <v>Informe a empresa responsável</v>
      </c>
      <c r="AJ49" s="14" t="str">
        <f>IF(AND(X49=1,Y49=1),COUNTIFS($X$10:X49,1,$Y$10:Y49,1),"")</f>
        <v/>
      </c>
      <c r="AK49" s="14">
        <f>IF(X49=1,COUNTIFS($X$10:X49,1),"")</f>
        <v>40</v>
      </c>
      <c r="AL49" s="14">
        <f>IF(AND(V49=1,AND(OR(Painel!$L$6="Todas",E49=Painel!$L$6),OR(Painel!$C$8="Todos",F49=Painel!$C$8),OR(Painel!$L$8="Todos",G49=Painel!$L$8),OR(Painel!$C$10="",ISNUMBER(SEARCH(SUBSTITUTE(SUBSTITUTE(SUBSTITUTE(Painel!$C$10,"~","~~"),"*","~*"),"?","~?"),A49&amp;" "&amp;H49&amp;" "&amp;I49))))),1,0)</f>
        <v>1</v>
      </c>
      <c r="AM49" s="14">
        <f t="shared" si="4"/>
        <v>49</v>
      </c>
      <c r="AN49" s="14"/>
      <c r="AO49" s="14"/>
      <c r="AP49" s="16">
        <f>IF(AB49=0,"",IF(INDEX(Andamentos!$B$10:$B$2009,AB49)="","",INDEX(Andamentos!$B$10:$B$2009,AB49)))</f>
        <v>45476</v>
      </c>
      <c r="AQ49" s="17">
        <f>IF(AH49=0,"",IF(INDEX(Valores!$B$10:$B$509,AH49)="","",IF(ISNUMBER(INDEX(Valores!$B$10:$B$509,AH49)),INDEX(Valores!$B$10:$B$509,AH49),"")))</f>
        <v>59519.22</v>
      </c>
      <c r="AR49" s="14" t="str">
        <f t="shared" si="5"/>
        <v/>
      </c>
      <c r="AS49" s="14" t="str">
        <f t="shared" si="6"/>
        <v>P:0016188-50.2020.5.16.0017</v>
      </c>
      <c r="AT49" s="27" t="s">
        <v>423</v>
      </c>
      <c r="AU49" s="31" t="s">
        <v>418</v>
      </c>
      <c r="AV49" s="31"/>
      <c r="AW49" s="27" t="s">
        <v>280</v>
      </c>
      <c r="AX49" s="27" t="s">
        <v>380</v>
      </c>
      <c r="AY49" s="27"/>
      <c r="AZ49" s="27"/>
      <c r="BA49" s="30" t="str">
        <f t="shared" si="7"/>
        <v>0016188-50.2020.5.16.0017</v>
      </c>
      <c r="BB49" s="30" t="str">
        <f t="shared" si="8"/>
        <v/>
      </c>
      <c r="BC49" s="30">
        <f>IF(X49=0,0,IF(COUNTIFS($X$10:X49,1,$BA$10:BA49,BA49)=1,1,0))</f>
        <v>1</v>
      </c>
      <c r="BD49" s="29">
        <v>45653</v>
      </c>
    </row>
    <row r="50" spans="1:56" ht="42" customHeight="1">
      <c r="A50" s="41" t="s">
        <v>424</v>
      </c>
      <c r="B50" s="44" t="s">
        <v>161</v>
      </c>
      <c r="C50" s="44" t="s">
        <v>300</v>
      </c>
      <c r="D50" s="44" t="s">
        <v>163</v>
      </c>
      <c r="E50" s="44"/>
      <c r="F50" s="44" t="s">
        <v>182</v>
      </c>
      <c r="G50" s="44" t="s">
        <v>164</v>
      </c>
      <c r="H50" s="44" t="s">
        <v>425</v>
      </c>
      <c r="I50" s="44" t="s">
        <v>426</v>
      </c>
      <c r="J50" s="44" t="s">
        <v>427</v>
      </c>
      <c r="K50" s="44" t="s">
        <v>178</v>
      </c>
      <c r="L50" s="49"/>
      <c r="M50" s="48" t="s">
        <v>428</v>
      </c>
      <c r="N50" s="48" t="s">
        <v>170</v>
      </c>
      <c r="O50" s="48"/>
      <c r="P50" s="48"/>
      <c r="Q50" s="48"/>
      <c r="R50" s="48"/>
      <c r="S50" s="49"/>
      <c r="T50" s="48"/>
      <c r="U50" s="48" t="s">
        <v>429</v>
      </c>
      <c r="V50" s="14">
        <f t="shared" si="0"/>
        <v>1</v>
      </c>
      <c r="W50" s="14">
        <f t="shared" si="1"/>
        <v>1</v>
      </c>
      <c r="X50" s="14">
        <f>IF(AND(V50=1,OR(Painel!$C$6="Todos",D50=Painel!$C$6),AND(OR(Painel!$L$6="Todas",E50=Painel!$L$6),OR(Painel!$C$8="Todos",F50=Painel!$C$8),OR(Painel!$L$8="Todos",G50=Painel!$L$8),OR(Painel!$C$10="",ISNUMBER(SEARCH(SUBSTITUTE(SUBSTITUTE(SUBSTITUTE(Painel!$C$10,"~","~~"),"*","~*"),"?","~?"),A50&amp;" "&amp;H50&amp;" "&amp;I50))))),1,0)</f>
        <v>1</v>
      </c>
      <c r="Y50" s="14">
        <f t="shared" si="2"/>
        <v>0</v>
      </c>
      <c r="Z50" s="15">
        <f>IF(V50=0,"",IF(COUNTIFS(Andamentos!$K$10:$K$2009,"="&amp;SUBSTITUTE(SUBSTITUTE(SUBSTITUTE("P:"&amp;A50,"~","~~"),"*","~*"),"?","~?"),Andamentos!$G$10:$G$2009,1)=0,"",_xlfn.AGGREGATE(14,6,Andamentos!$D$10:$D$2009/((Andamentos!$K$10:$K$2009=AS50)*(Andamentos!$G$10:$G$2009=1)),1)))</f>
        <v>46073</v>
      </c>
      <c r="AA50" s="14">
        <f>IF(Z50="",0,COUNTIFS(Andamentos!$K$10:$K$2009,"="&amp;SUBSTITUTE(SUBSTITUTE(SUBSTITUTE("P:"&amp;A50,"~","~~"),"*","~*"),"?","~?"),Andamentos!$D$10:$D$2009,Z50,Andamentos!$G$10:$G$2009,1))</f>
        <v>1</v>
      </c>
      <c r="AB50" s="14">
        <f>IF(AA50=1,SUMIFS(Andamentos!$L$10:$L$2009,Andamentos!$K$10:$K$2009,"="&amp;SUBSTITUTE(SUBSTITUTE(SUBSTITUTE(AS50,"~","~~"),"*","~*"),"?","~?"),Andamentos!$D$10:$D$2009,Z50,Andamentos!$G$10:$G$2009,1)-9,0)</f>
        <v>41</v>
      </c>
      <c r="AC50" s="14" t="str">
        <f>IF(V50=0,"",IF(AA50&gt;1,"Conferir recebimentos empatados",IF(AB50=0,"Sem atualização",INDEX(Andamentos!$C$10:$C$2009,AB50))))</f>
        <v>20/02/2026 - Provido o recurso da Alta para afastar a responsabilidade pelos débitos do Consórcio (RDC 6). Cabe recurso. [...] histórico completo em Observações</v>
      </c>
      <c r="AD50" s="14">
        <f ca="1">IF(W50=0,0,IF(MAX(Z50,BD50)=0,1,IF(Configurar!$J$12-INT(MAX(Z50,BD50))&gt;Configurar!$J$11,1,0)))</f>
        <v>1</v>
      </c>
      <c r="AE50" s="16"/>
      <c r="AF50" s="14"/>
      <c r="AG50" s="14"/>
      <c r="AH50" s="14">
        <f>IF(AND(V50=1,COUNTIFS(Valores!$S$10:$S$509,"="&amp;SUBSTITUTE(SUBSTITUTE(SUBSTITUTE("P:"&amp;A50,"~","~~"),"*","~*"),"?","~?"))=1),(IF(ISNA(MATCH(SUBSTITUTE(SUBSTITUTE(SUBSTITUTE("P:"&amp;A50,"~","~~"),"*","~*"),"?","~?"),Valores!$S$10:$S$509,0)),9,INDEX(Valores!$R$10:$R$509,MATCH(SUBSTITUTE(SUBSTITUTE(SUBSTITUTE("P:"&amp;A50,"~","~~"),"*","~*"),"?","~?"),Valores!$S$10:$S$509,0)))-9),0)</f>
        <v>41</v>
      </c>
      <c r="AI50" s="40" t="str">
        <f t="shared" si="3"/>
        <v>Informe a empresa responsável</v>
      </c>
      <c r="AJ50" s="14" t="str">
        <f>IF(AND(X50=1,Y50=1),COUNTIFS($X$10:X50,1,$Y$10:Y50,1),"")</f>
        <v/>
      </c>
      <c r="AK50" s="14">
        <f>IF(X50=1,COUNTIFS($X$10:X50,1),"")</f>
        <v>41</v>
      </c>
      <c r="AL50" s="14">
        <f>IF(AND(V50=1,AND(OR(Painel!$L$6="Todas",E50=Painel!$L$6),OR(Painel!$C$8="Todos",F50=Painel!$C$8),OR(Painel!$L$8="Todos",G50=Painel!$L$8),OR(Painel!$C$10="",ISNUMBER(SEARCH(SUBSTITUTE(SUBSTITUTE(SUBSTITUTE(Painel!$C$10,"~","~~"),"*","~*"),"?","~?"),A50&amp;" "&amp;H50&amp;" "&amp;I50))))),1,0)</f>
        <v>1</v>
      </c>
      <c r="AM50" s="14">
        <f t="shared" si="4"/>
        <v>50</v>
      </c>
      <c r="AN50" s="14"/>
      <c r="AO50" s="14"/>
      <c r="AP50" s="16">
        <f>IF(AB50=0,"",IF(INDEX(Andamentos!$B$10:$B$2009,AB50)="","",INDEX(Andamentos!$B$10:$B$2009,AB50)))</f>
        <v>46073</v>
      </c>
      <c r="AQ50" s="17">
        <f>IF(AH50=0,"",IF(INDEX(Valores!$B$10:$B$509,AH50)="","",IF(ISNUMBER(INDEX(Valores!$B$10:$B$509,AH50)),INDEX(Valores!$B$10:$B$509,AH50),"")))</f>
        <v>34596.68</v>
      </c>
      <c r="AR50" s="14" t="str">
        <f t="shared" si="5"/>
        <v/>
      </c>
      <c r="AS50" s="14" t="str">
        <f t="shared" si="6"/>
        <v>P:0010704-04.2018.5.18.0103</v>
      </c>
      <c r="AT50" s="27" t="s">
        <v>430</v>
      </c>
      <c r="AU50" s="31" t="s">
        <v>424</v>
      </c>
      <c r="AV50" s="31"/>
      <c r="AW50" s="27" t="s">
        <v>280</v>
      </c>
      <c r="AX50" s="27" t="s">
        <v>380</v>
      </c>
      <c r="AY50" s="27"/>
      <c r="AZ50" s="27"/>
      <c r="BA50" s="30" t="str">
        <f t="shared" si="7"/>
        <v>0010704-04.2018.5.18.0103</v>
      </c>
      <c r="BB50" s="30" t="str">
        <f t="shared" si="8"/>
        <v/>
      </c>
      <c r="BC50" s="30">
        <f>IF(X50=0,0,IF(COUNTIFS($X$10:X50,1,$BA$10:BA50,BA50)=1,1,0))</f>
        <v>1</v>
      </c>
      <c r="BD50" s="29">
        <v>46073</v>
      </c>
    </row>
    <row r="51" spans="1:56" ht="42" customHeight="1">
      <c r="A51" s="41" t="s">
        <v>431</v>
      </c>
      <c r="B51" s="44" t="s">
        <v>161</v>
      </c>
      <c r="C51" s="44" t="s">
        <v>316</v>
      </c>
      <c r="D51" s="44" t="s">
        <v>163</v>
      </c>
      <c r="E51" s="44"/>
      <c r="F51" s="44" t="s">
        <v>206</v>
      </c>
      <c r="G51" s="44" t="s">
        <v>164</v>
      </c>
      <c r="H51" s="44" t="s">
        <v>432</v>
      </c>
      <c r="I51" s="44" t="s">
        <v>433</v>
      </c>
      <c r="J51" s="44" t="s">
        <v>434</v>
      </c>
      <c r="K51" s="44" t="s">
        <v>234</v>
      </c>
      <c r="L51" s="49"/>
      <c r="M51" s="48" t="s">
        <v>435</v>
      </c>
      <c r="N51" s="48" t="s">
        <v>170</v>
      </c>
      <c r="O51" s="48"/>
      <c r="P51" s="48"/>
      <c r="Q51" s="48"/>
      <c r="R51" s="48"/>
      <c r="S51" s="49"/>
      <c r="T51" s="48"/>
      <c r="U51" s="48" t="s">
        <v>436</v>
      </c>
      <c r="V51" s="14">
        <f t="shared" si="0"/>
        <v>1</v>
      </c>
      <c r="W51" s="14">
        <f t="shared" si="1"/>
        <v>1</v>
      </c>
      <c r="X51" s="14">
        <f>IF(AND(V51=1,OR(Painel!$C$6="Todos",D51=Painel!$C$6),AND(OR(Painel!$L$6="Todas",E51=Painel!$L$6),OR(Painel!$C$8="Todos",F51=Painel!$C$8),OR(Painel!$L$8="Todos",G51=Painel!$L$8),OR(Painel!$C$10="",ISNUMBER(SEARCH(SUBSTITUTE(SUBSTITUTE(SUBSTITUTE(Painel!$C$10,"~","~~"),"*","~*"),"?","~?"),A51&amp;" "&amp;H51&amp;" "&amp;I51))))),1,0)</f>
        <v>1</v>
      </c>
      <c r="Y51" s="14">
        <f t="shared" si="2"/>
        <v>0</v>
      </c>
      <c r="Z51" s="15">
        <f>IF(V51=0,"",IF(COUNTIFS(Andamentos!$K$10:$K$2009,"="&amp;SUBSTITUTE(SUBSTITUTE(SUBSTITUTE("P:"&amp;A51,"~","~~"),"*","~*"),"?","~?"),Andamentos!$G$10:$G$2009,1)=0,"",_xlfn.AGGREGATE(14,6,Andamentos!$D$10:$D$2009/((Andamentos!$K$10:$K$2009=AS51)*(Andamentos!$G$10:$G$2009=1)),1)))</f>
        <v>46094</v>
      </c>
      <c r="AA51" s="14">
        <f>IF(Z51="",0,COUNTIFS(Andamentos!$K$10:$K$2009,"="&amp;SUBSTITUTE(SUBSTITUTE(SUBSTITUTE("P:"&amp;A51,"~","~~"),"*","~*"),"?","~?"),Andamentos!$D$10:$D$2009,Z51,Andamentos!$G$10:$G$2009,1))</f>
        <v>1</v>
      </c>
      <c r="AB51" s="14">
        <f>IF(AA51=1,SUMIFS(Andamentos!$L$10:$L$2009,Andamentos!$K$10:$K$2009,"="&amp;SUBSTITUTE(SUBSTITUTE(SUBSTITUTE(AS51,"~","~~"),"*","~*"),"?","~?"),Andamentos!$D$10:$D$2009,Z51,Andamentos!$G$10:$G$2009,1)-9,0)</f>
        <v>42</v>
      </c>
      <c r="AC51" s="14" t="str">
        <f>IF(V51=0,"",IF(AA51&gt;1,"Conferir recebimentos empatados",IF(AB51=0,"Sem atualização",INDEX(Andamentos!$C$10:$C$2009,AB51))))</f>
        <v>09/01/2026 - Processo sobrestado aguardando manifestação da parte interessada. [...] histórico completo em Observações</v>
      </c>
      <c r="AD51" s="14">
        <f ca="1">IF(W51=0,0,IF(MAX(Z51,BD51)=0,1,IF(Configurar!$J$12-INT(MAX(Z51,BD51))&gt;Configurar!$J$11,1,0)))</f>
        <v>1</v>
      </c>
      <c r="AE51" s="16"/>
      <c r="AF51" s="14"/>
      <c r="AG51" s="14"/>
      <c r="AH51" s="14">
        <f>IF(AND(V51=1,COUNTIFS(Valores!$S$10:$S$509,"="&amp;SUBSTITUTE(SUBSTITUTE(SUBSTITUTE("P:"&amp;A51,"~","~~"),"*","~*"),"?","~?"))=1),(IF(ISNA(MATCH(SUBSTITUTE(SUBSTITUTE(SUBSTITUTE("P:"&amp;A51,"~","~~"),"*","~*"),"?","~?"),Valores!$S$10:$S$509,0)),9,INDEX(Valores!$R$10:$R$509,MATCH(SUBSTITUTE(SUBSTITUTE(SUBSTITUTE("P:"&amp;A51,"~","~~"),"*","~*"),"?","~?"),Valores!$S$10:$S$509,0)))-9),0)</f>
        <v>42</v>
      </c>
      <c r="AI51" s="40" t="str">
        <f t="shared" si="3"/>
        <v>Informe a empresa responsável</v>
      </c>
      <c r="AJ51" s="14" t="str">
        <f>IF(AND(X51=1,Y51=1),COUNTIFS($X$10:X51,1,$Y$10:Y51,1),"")</f>
        <v/>
      </c>
      <c r="AK51" s="14">
        <f>IF(X51=1,COUNTIFS($X$10:X51,1),"")</f>
        <v>42</v>
      </c>
      <c r="AL51" s="14">
        <f>IF(AND(V51=1,AND(OR(Painel!$L$6="Todas",E51=Painel!$L$6),OR(Painel!$C$8="Todos",F51=Painel!$C$8),OR(Painel!$L$8="Todos",G51=Painel!$L$8),OR(Painel!$C$10="",ISNUMBER(SEARCH(SUBSTITUTE(SUBSTITUTE(SUBSTITUTE(Painel!$C$10,"~","~~"),"*","~*"),"?","~?"),A51&amp;" "&amp;H51&amp;" "&amp;I51))))),1,0)</f>
        <v>1</v>
      </c>
      <c r="AM51" s="14">
        <f t="shared" si="4"/>
        <v>51</v>
      </c>
      <c r="AN51" s="14"/>
      <c r="AO51" s="14"/>
      <c r="AP51" s="16">
        <f>IF(AB51=0,"",IF(INDEX(Andamentos!$B$10:$B$2009,AB51)="","",INDEX(Andamentos!$B$10:$B$2009,AB51)))</f>
        <v>46031</v>
      </c>
      <c r="AQ51" s="17">
        <f>IF(AH51=0,"",IF(INDEX(Valores!$B$10:$B$509,AH51)="","",IF(ISNUMBER(INDEX(Valores!$B$10:$B$509,AH51)),INDEX(Valores!$B$10:$B$509,AH51),"")))</f>
        <v>80000</v>
      </c>
      <c r="AR51" s="14" t="str">
        <f t="shared" si="5"/>
        <v/>
      </c>
      <c r="AS51" s="14" t="str">
        <f t="shared" si="6"/>
        <v>P:0000696-15.2019.5.05.0581</v>
      </c>
      <c r="AT51" s="27" t="s">
        <v>437</v>
      </c>
      <c r="AU51" s="31" t="s">
        <v>431</v>
      </c>
      <c r="AV51" s="31"/>
      <c r="AW51" s="27" t="s">
        <v>280</v>
      </c>
      <c r="AX51" s="27" t="s">
        <v>380</v>
      </c>
      <c r="AY51" s="27"/>
      <c r="AZ51" s="27"/>
      <c r="BA51" s="30" t="str">
        <f t="shared" si="7"/>
        <v>0000696-15.2019.5.05.0581</v>
      </c>
      <c r="BB51" s="30" t="str">
        <f t="shared" si="8"/>
        <v/>
      </c>
      <c r="BC51" s="30">
        <f>IF(X51=0,0,IF(COUNTIFS($X$10:X51,1,$BA$10:BA51,BA51)=1,1,0))</f>
        <v>1</v>
      </c>
      <c r="BD51" s="29">
        <v>46094</v>
      </c>
    </row>
    <row r="52" spans="1:56" ht="42" customHeight="1">
      <c r="A52" s="41" t="s">
        <v>438</v>
      </c>
      <c r="B52" s="44" t="s">
        <v>161</v>
      </c>
      <c r="C52" s="44" t="s">
        <v>162</v>
      </c>
      <c r="D52" s="44" t="s">
        <v>163</v>
      </c>
      <c r="E52" s="44"/>
      <c r="F52" s="44" t="s">
        <v>182</v>
      </c>
      <c r="G52" s="44" t="s">
        <v>164</v>
      </c>
      <c r="H52" s="44" t="s">
        <v>439</v>
      </c>
      <c r="I52" s="44" t="s">
        <v>184</v>
      </c>
      <c r="J52" s="44" t="s">
        <v>440</v>
      </c>
      <c r="K52" s="44" t="s">
        <v>441</v>
      </c>
      <c r="L52" s="49"/>
      <c r="M52" s="48" t="s">
        <v>442</v>
      </c>
      <c r="N52" s="48" t="s">
        <v>170</v>
      </c>
      <c r="O52" s="48"/>
      <c r="P52" s="48"/>
      <c r="Q52" s="48"/>
      <c r="R52" s="48"/>
      <c r="S52" s="49"/>
      <c r="T52" s="48"/>
      <c r="U52" s="48" t="s">
        <v>443</v>
      </c>
      <c r="V52" s="14">
        <f t="shared" si="0"/>
        <v>1</v>
      </c>
      <c r="W52" s="14">
        <f t="shared" si="1"/>
        <v>0</v>
      </c>
      <c r="X52" s="14">
        <f>IF(AND(V52=1,OR(Painel!$C$6="Todos",D52=Painel!$C$6),AND(OR(Painel!$L$6="Todas",E52=Painel!$L$6),OR(Painel!$C$8="Todos",F52=Painel!$C$8),OR(Painel!$L$8="Todos",G52=Painel!$L$8),OR(Painel!$C$10="",ISNUMBER(SEARCH(SUBSTITUTE(SUBSTITUTE(SUBSTITUTE(Painel!$C$10,"~","~~"),"*","~*"),"?","~?"),A52&amp;" "&amp;H52&amp;" "&amp;I52))))),1,0)</f>
        <v>1</v>
      </c>
      <c r="Y52" s="14">
        <f t="shared" si="2"/>
        <v>0</v>
      </c>
      <c r="Z52" s="15">
        <f>IF(V52=0,"",IF(COUNTIFS(Andamentos!$K$10:$K$2009,"="&amp;SUBSTITUTE(SUBSTITUTE(SUBSTITUTE("P:"&amp;A52,"~","~~"),"*","~*"),"?","~?"),Andamentos!$G$10:$G$2009,1)=0,"",_xlfn.AGGREGATE(14,6,Andamentos!$D$10:$D$2009/((Andamentos!$K$10:$K$2009=AS52)*(Andamentos!$G$10:$G$2009=1)),1)))</f>
        <v>45706</v>
      </c>
      <c r="AA52" s="14">
        <f>IF(Z52="",0,COUNTIFS(Andamentos!$K$10:$K$2009,"="&amp;SUBSTITUTE(SUBSTITUTE(SUBSTITUTE("P:"&amp;A52,"~","~~"),"*","~*"),"?","~?"),Andamentos!$D$10:$D$2009,Z52,Andamentos!$G$10:$G$2009,1))</f>
        <v>1</v>
      </c>
      <c r="AB52" s="14">
        <f>IF(AA52=1,SUMIFS(Andamentos!$L$10:$L$2009,Andamentos!$K$10:$K$2009,"="&amp;SUBSTITUTE(SUBSTITUTE(SUBSTITUTE(AS52,"~","~~"),"*","~*"),"?","~?"),Andamentos!$D$10:$D$2009,Z52,Andamentos!$G$10:$G$2009,1)-9,0)</f>
        <v>43</v>
      </c>
      <c r="AC52" s="14" t="str">
        <f>IF(V52=0,"",IF(AA52&gt;1,"Conferir recebimentos empatados",IF(AB52=0,"Sem atualização",INDEX(Andamentos!$C$10:$C$2009,AB52))))</f>
        <v>31/07/2024 - Convolada penhora de depósito da SPA. [...] histórico completo em Observações</v>
      </c>
      <c r="AD52" s="14">
        <f>IF(W52=0,0,IF(MAX(Z52,BD52)=0,1,IF(Configurar!$J$12-INT(MAX(Z52,BD52))&gt;Configurar!$J$11,1,0)))</f>
        <v>0</v>
      </c>
      <c r="AE52" s="16"/>
      <c r="AF52" s="14"/>
      <c r="AG52" s="14"/>
      <c r="AH52" s="14">
        <f>IF(AND(V52=1,COUNTIFS(Valores!$S$10:$S$509,"="&amp;SUBSTITUTE(SUBSTITUTE(SUBSTITUTE("P:"&amp;A52,"~","~~"),"*","~*"),"?","~?"))=1),(IF(ISNA(MATCH(SUBSTITUTE(SUBSTITUTE(SUBSTITUTE("P:"&amp;A52,"~","~~"),"*","~*"),"?","~?"),Valores!$S$10:$S$509,0)),9,INDEX(Valores!$R$10:$R$509,MATCH(SUBSTITUTE(SUBSTITUTE(SUBSTITUTE("P:"&amp;A52,"~","~~"),"*","~*"),"?","~?"),Valores!$S$10:$S$509,0)))-9),0)</f>
        <v>43</v>
      </c>
      <c r="AI52" s="40" t="str">
        <f t="shared" si="3"/>
        <v>Informe a empresa responsável</v>
      </c>
      <c r="AJ52" s="14" t="str">
        <f>IF(AND(X52=1,Y52=1),COUNTIFS($X$10:X52,1,$Y$10:Y52,1),"")</f>
        <v/>
      </c>
      <c r="AK52" s="14">
        <f>IF(X52=1,COUNTIFS($X$10:X52,1),"")</f>
        <v>43</v>
      </c>
      <c r="AL52" s="14">
        <f>IF(AND(V52=1,AND(OR(Painel!$L$6="Todas",E52=Painel!$L$6),OR(Painel!$C$8="Todos",F52=Painel!$C$8),OR(Painel!$L$8="Todos",G52=Painel!$L$8),OR(Painel!$C$10="",ISNUMBER(SEARCH(SUBSTITUTE(SUBSTITUTE(SUBSTITUTE(Painel!$C$10,"~","~~"),"*","~*"),"?","~?"),A52&amp;" "&amp;H52&amp;" "&amp;I52))))),1,0)</f>
        <v>1</v>
      </c>
      <c r="AM52" s="14">
        <f t="shared" si="4"/>
        <v>52</v>
      </c>
      <c r="AN52" s="14"/>
      <c r="AO52" s="14"/>
      <c r="AP52" s="16">
        <f>IF(AB52=0,"",IF(INDEX(Andamentos!$B$10:$B$2009,AB52)="","",INDEX(Andamentos!$B$10:$B$2009,AB52)))</f>
        <v>45504</v>
      </c>
      <c r="AQ52" s="17">
        <f>IF(AH52=0,"",IF(INDEX(Valores!$B$10:$B$509,AH52)="","",IF(ISNUMBER(INDEX(Valores!$B$10:$B$509,AH52)),INDEX(Valores!$B$10:$B$509,AH52),"")))</f>
        <v>21875.09</v>
      </c>
      <c r="AR52" s="14" t="str">
        <f t="shared" si="5"/>
        <v/>
      </c>
      <c r="AS52" s="14" t="str">
        <f t="shared" si="6"/>
        <v>P:0000045-57.2021.5.10.0812</v>
      </c>
      <c r="AT52" s="27" t="s">
        <v>444</v>
      </c>
      <c r="AU52" s="31" t="s">
        <v>438</v>
      </c>
      <c r="AV52" s="31"/>
      <c r="AW52" s="27" t="s">
        <v>162</v>
      </c>
      <c r="AX52" s="27" t="s">
        <v>380</v>
      </c>
      <c r="AY52" s="27"/>
      <c r="AZ52" s="27"/>
      <c r="BA52" s="30" t="str">
        <f t="shared" si="7"/>
        <v>0000045-57.2021.5.10.0812</v>
      </c>
      <c r="BB52" s="30" t="str">
        <f t="shared" si="8"/>
        <v/>
      </c>
      <c r="BC52" s="30">
        <f>IF(X52=0,0,IF(COUNTIFS($X$10:X52,1,$BA$10:BA52,BA52)=1,1,0))</f>
        <v>1</v>
      </c>
      <c r="BD52" s="29">
        <v>45706</v>
      </c>
    </row>
    <row r="53" spans="1:56" ht="42" customHeight="1">
      <c r="A53" s="41" t="s">
        <v>445</v>
      </c>
      <c r="B53" s="44" t="s">
        <v>161</v>
      </c>
      <c r="C53" s="44" t="s">
        <v>162</v>
      </c>
      <c r="D53" s="44" t="s">
        <v>163</v>
      </c>
      <c r="E53" s="44"/>
      <c r="F53" s="44" t="s">
        <v>446</v>
      </c>
      <c r="G53" s="44" t="s">
        <v>164</v>
      </c>
      <c r="H53" s="44" t="s">
        <v>447</v>
      </c>
      <c r="I53" s="44" t="s">
        <v>448</v>
      </c>
      <c r="J53" s="44" t="s">
        <v>449</v>
      </c>
      <c r="K53" s="44" t="s">
        <v>450</v>
      </c>
      <c r="L53" s="49"/>
      <c r="M53" s="48"/>
      <c r="N53" s="48" t="s">
        <v>170</v>
      </c>
      <c r="O53" s="48"/>
      <c r="P53" s="48"/>
      <c r="Q53" s="48"/>
      <c r="R53" s="48"/>
      <c r="S53" s="49"/>
      <c r="T53" s="48"/>
      <c r="U53" s="48" t="s">
        <v>451</v>
      </c>
      <c r="V53" s="14">
        <f t="shared" si="0"/>
        <v>1</v>
      </c>
      <c r="W53" s="14">
        <f t="shared" si="1"/>
        <v>0</v>
      </c>
      <c r="X53" s="14">
        <f>IF(AND(V53=1,OR(Painel!$C$6="Todos",D53=Painel!$C$6),AND(OR(Painel!$L$6="Todas",E53=Painel!$L$6),OR(Painel!$C$8="Todos",F53=Painel!$C$8),OR(Painel!$L$8="Todos",G53=Painel!$L$8),OR(Painel!$C$10="",ISNUMBER(SEARCH(SUBSTITUTE(SUBSTITUTE(SUBSTITUTE(Painel!$C$10,"~","~~"),"*","~*"),"?","~?"),A53&amp;" "&amp;H53&amp;" "&amp;I53))))),1,0)</f>
        <v>1</v>
      </c>
      <c r="Y53" s="14">
        <f t="shared" si="2"/>
        <v>0</v>
      </c>
      <c r="Z53" s="15">
        <f>IF(V53=0,"",IF(COUNTIFS(Andamentos!$K$10:$K$2009,"="&amp;SUBSTITUTE(SUBSTITUTE(SUBSTITUTE("P:"&amp;A53,"~","~~"),"*","~*"),"?","~?"),Andamentos!$G$10:$G$2009,1)=0,"",_xlfn.AGGREGATE(14,6,Andamentos!$D$10:$D$2009/((Andamentos!$K$10:$K$2009=AS53)*(Andamentos!$G$10:$G$2009=1)),1)))</f>
        <v>45653</v>
      </c>
      <c r="AA53" s="14">
        <f>IF(Z53="",0,COUNTIFS(Andamentos!$K$10:$K$2009,"="&amp;SUBSTITUTE(SUBSTITUTE(SUBSTITUTE("P:"&amp;A53,"~","~~"),"*","~*"),"?","~?"),Andamentos!$D$10:$D$2009,Z53,Andamentos!$G$10:$G$2009,1))</f>
        <v>1</v>
      </c>
      <c r="AB53" s="14">
        <f>IF(AA53=1,SUMIFS(Andamentos!$L$10:$L$2009,Andamentos!$K$10:$K$2009,"="&amp;SUBSTITUTE(SUBSTITUTE(SUBSTITUTE(AS53,"~","~~"),"*","~*"),"?","~?"),Andamentos!$D$10:$D$2009,Z53,Andamentos!$G$10:$G$2009,1)-9,0)</f>
        <v>44</v>
      </c>
      <c r="AC53" s="14" t="str">
        <f>IF(V53=0,"",IF(AA53&gt;1,"Conferir recebimentos empatados",IF(AB53=0,"Sem atualização",INDEX(Andamentos!$C$10:$C$2009,AB53))))</f>
        <v>19/06/2024 - Suspenso o processo por depender do julgamento de outra causa 0013136-55.2023.5.03.000 [...] histórico completo em Observações</v>
      </c>
      <c r="AD53" s="14">
        <f>IF(W53=0,0,IF(MAX(Z53,BD53)=0,1,IF(Configurar!$J$12-INT(MAX(Z53,BD53))&gt;Configurar!$J$11,1,0)))</f>
        <v>0</v>
      </c>
      <c r="AE53" s="16"/>
      <c r="AF53" s="14"/>
      <c r="AG53" s="14"/>
      <c r="AH53" s="14">
        <f>IF(AND(V53=1,COUNTIFS(Valores!$S$10:$S$509,"="&amp;SUBSTITUTE(SUBSTITUTE(SUBSTITUTE("P:"&amp;A53,"~","~~"),"*","~*"),"?","~?"))=1),(IF(ISNA(MATCH(SUBSTITUTE(SUBSTITUTE(SUBSTITUTE("P:"&amp;A53,"~","~~"),"*","~*"),"?","~?"),Valores!$S$10:$S$509,0)),9,INDEX(Valores!$R$10:$R$509,MATCH(SUBSTITUTE(SUBSTITUTE(SUBSTITUTE("P:"&amp;A53,"~","~~"),"*","~*"),"?","~?"),Valores!$S$10:$S$509,0)))-9),0)</f>
        <v>44</v>
      </c>
      <c r="AI53" s="40" t="str">
        <f t="shared" si="3"/>
        <v>Informe a empresa responsável</v>
      </c>
      <c r="AJ53" s="14" t="str">
        <f>IF(AND(X53=1,Y53=1),COUNTIFS($X$10:X53,1,$Y$10:Y53,1),"")</f>
        <v/>
      </c>
      <c r="AK53" s="14">
        <f>IF(X53=1,COUNTIFS($X$10:X53,1),"")</f>
        <v>44</v>
      </c>
      <c r="AL53" s="14">
        <f>IF(AND(V53=1,AND(OR(Painel!$L$6="Todas",E53=Painel!$L$6),OR(Painel!$C$8="Todos",F53=Painel!$C$8),OR(Painel!$L$8="Todos",G53=Painel!$L$8),OR(Painel!$C$10="",ISNUMBER(SEARCH(SUBSTITUTE(SUBSTITUTE(SUBSTITUTE(Painel!$C$10,"~","~~"),"*","~*"),"?","~?"),A53&amp;" "&amp;H53&amp;" "&amp;I53))))),1,0)</f>
        <v>1</v>
      </c>
      <c r="AM53" s="14">
        <f t="shared" si="4"/>
        <v>53</v>
      </c>
      <c r="AN53" s="14"/>
      <c r="AO53" s="14"/>
      <c r="AP53" s="16">
        <f>IF(AB53=0,"",IF(INDEX(Andamentos!$B$10:$B$2009,AB53)="","",INDEX(Andamentos!$B$10:$B$2009,AB53)))</f>
        <v>45462</v>
      </c>
      <c r="AQ53" s="17">
        <f>IF(AH53=0,"",IF(INDEX(Valores!$B$10:$B$509,AH53)="","",IF(ISNUMBER(INDEX(Valores!$B$10:$B$509,AH53)),INDEX(Valores!$B$10:$B$509,AH53),"")))</f>
        <v>137223.76</v>
      </c>
      <c r="AR53" s="14" t="str">
        <f t="shared" si="5"/>
        <v/>
      </c>
      <c r="AS53" s="14" t="str">
        <f t="shared" si="6"/>
        <v>P:0010574-51.2020.5.03.0009</v>
      </c>
      <c r="AT53" s="27" t="s">
        <v>452</v>
      </c>
      <c r="AU53" s="31" t="s">
        <v>445</v>
      </c>
      <c r="AV53" s="31"/>
      <c r="AW53" s="27" t="s">
        <v>162</v>
      </c>
      <c r="AX53" s="27" t="s">
        <v>380</v>
      </c>
      <c r="AY53" s="27"/>
      <c r="AZ53" s="27"/>
      <c r="BA53" s="30" t="str">
        <f t="shared" si="7"/>
        <v>0010574-51.2020.5.03.0009</v>
      </c>
      <c r="BB53" s="30" t="str">
        <f t="shared" si="8"/>
        <v/>
      </c>
      <c r="BC53" s="30">
        <f>IF(X53=0,0,IF(COUNTIFS($X$10:X53,1,$BA$10:BA53,BA53)=1,1,0))</f>
        <v>1</v>
      </c>
      <c r="BD53" s="29">
        <v>45653</v>
      </c>
    </row>
    <row r="54" spans="1:56" ht="42" customHeight="1">
      <c r="A54" s="41" t="s">
        <v>453</v>
      </c>
      <c r="B54" s="44" t="s">
        <v>161</v>
      </c>
      <c r="C54" s="44" t="s">
        <v>316</v>
      </c>
      <c r="D54" s="44" t="s">
        <v>163</v>
      </c>
      <c r="E54" s="44"/>
      <c r="F54" s="44" t="s">
        <v>182</v>
      </c>
      <c r="G54" s="44" t="s">
        <v>164</v>
      </c>
      <c r="H54" s="44" t="s">
        <v>454</v>
      </c>
      <c r="I54" s="44" t="s">
        <v>184</v>
      </c>
      <c r="J54" s="44" t="s">
        <v>455</v>
      </c>
      <c r="K54" s="44" t="s">
        <v>178</v>
      </c>
      <c r="L54" s="49"/>
      <c r="M54" s="48" t="s">
        <v>456</v>
      </c>
      <c r="N54" s="48" t="s">
        <v>170</v>
      </c>
      <c r="O54" s="48"/>
      <c r="P54" s="48"/>
      <c r="Q54" s="48"/>
      <c r="R54" s="48"/>
      <c r="S54" s="49"/>
      <c r="T54" s="48"/>
      <c r="U54" s="48" t="s">
        <v>457</v>
      </c>
      <c r="V54" s="14">
        <f t="shared" si="0"/>
        <v>1</v>
      </c>
      <c r="W54" s="14">
        <f t="shared" si="1"/>
        <v>1</v>
      </c>
      <c r="X54" s="14">
        <f>IF(AND(V54=1,OR(Painel!$C$6="Todos",D54=Painel!$C$6),AND(OR(Painel!$L$6="Todas",E54=Painel!$L$6),OR(Painel!$C$8="Todos",F54=Painel!$C$8),OR(Painel!$L$8="Todos",G54=Painel!$L$8),OR(Painel!$C$10="",ISNUMBER(SEARCH(SUBSTITUTE(SUBSTITUTE(SUBSTITUTE(Painel!$C$10,"~","~~"),"*","~*"),"?","~?"),A54&amp;" "&amp;H54&amp;" "&amp;I54))))),1,0)</f>
        <v>1</v>
      </c>
      <c r="Y54" s="14">
        <f t="shared" si="2"/>
        <v>0</v>
      </c>
      <c r="Z54" s="15">
        <f>IF(V54=0,"",IF(COUNTIFS(Andamentos!$K$10:$K$2009,"="&amp;SUBSTITUTE(SUBSTITUTE(SUBSTITUTE("P:"&amp;A54,"~","~~"),"*","~*"),"?","~?"),Andamentos!$G$10:$G$2009,1)=0,"",_xlfn.AGGREGATE(14,6,Andamentos!$D$10:$D$2009/((Andamentos!$K$10:$K$2009=AS54)*(Andamentos!$G$10:$G$2009=1)),1)))</f>
        <v>45653</v>
      </c>
      <c r="AA54" s="14">
        <f>IF(Z54="",0,COUNTIFS(Andamentos!$K$10:$K$2009,"="&amp;SUBSTITUTE(SUBSTITUTE(SUBSTITUTE("P:"&amp;A54,"~","~~"),"*","~*"),"?","~?"),Andamentos!$D$10:$D$2009,Z54,Andamentos!$G$10:$G$2009,1))</f>
        <v>1</v>
      </c>
      <c r="AB54" s="14">
        <f>IF(AA54=1,SUMIFS(Andamentos!$L$10:$L$2009,Andamentos!$K$10:$K$2009,"="&amp;SUBSTITUTE(SUBSTITUTE(SUBSTITUTE(AS54,"~","~~"),"*","~*"),"?","~?"),Andamentos!$D$10:$D$2009,Z54,Andamentos!$G$10:$G$2009,1)-9,0)</f>
        <v>45</v>
      </c>
      <c r="AC54" s="14" t="str">
        <f>IF(V54=0,"",IF(AA54&gt;1,"Conferir recebimentos empatados",IF(AB54=0,"Sem atualização",INDEX(Andamentos!$C$10:$C$2009,AB54))))</f>
        <v>09/08/2023 - Autos sobrestados. [...] histórico completo em Observações</v>
      </c>
      <c r="AD54" s="14">
        <f ca="1">IF(W54=0,0,IF(MAX(Z54,BD54)=0,1,IF(Configurar!$J$12-INT(MAX(Z54,BD54))&gt;Configurar!$J$11,1,0)))</f>
        <v>1</v>
      </c>
      <c r="AE54" s="16"/>
      <c r="AF54" s="14"/>
      <c r="AG54" s="14"/>
      <c r="AH54" s="14">
        <f>IF(AND(V54=1,COUNTIFS(Valores!$S$10:$S$509,"="&amp;SUBSTITUTE(SUBSTITUTE(SUBSTITUTE("P:"&amp;A54,"~","~~"),"*","~*"),"?","~?"))=1),(IF(ISNA(MATCH(SUBSTITUTE(SUBSTITUTE(SUBSTITUTE("P:"&amp;A54,"~","~~"),"*","~*"),"?","~?"),Valores!$S$10:$S$509,0)),9,INDEX(Valores!$R$10:$R$509,MATCH(SUBSTITUTE(SUBSTITUTE(SUBSTITUTE("P:"&amp;A54,"~","~~"),"*","~*"),"?","~?"),Valores!$S$10:$S$509,0)))-9),0)</f>
        <v>45</v>
      </c>
      <c r="AI54" s="40" t="str">
        <f t="shared" si="3"/>
        <v>Informe a empresa responsável</v>
      </c>
      <c r="AJ54" s="14" t="str">
        <f>IF(AND(X54=1,Y54=1),COUNTIFS($X$10:X54,1,$Y$10:Y54,1),"")</f>
        <v/>
      </c>
      <c r="AK54" s="14">
        <f>IF(X54=1,COUNTIFS($X$10:X54,1),"")</f>
        <v>45</v>
      </c>
      <c r="AL54" s="14">
        <f>IF(AND(V54=1,AND(OR(Painel!$L$6="Todas",E54=Painel!$L$6),OR(Painel!$C$8="Todos",F54=Painel!$C$8),OR(Painel!$L$8="Todos",G54=Painel!$L$8),OR(Painel!$C$10="",ISNUMBER(SEARCH(SUBSTITUTE(SUBSTITUTE(SUBSTITUTE(Painel!$C$10,"~","~~"),"*","~*"),"?","~?"),A54&amp;" "&amp;H54&amp;" "&amp;I54))))),1,0)</f>
        <v>1</v>
      </c>
      <c r="AM54" s="14">
        <f t="shared" si="4"/>
        <v>54</v>
      </c>
      <c r="AN54" s="14"/>
      <c r="AO54" s="14"/>
      <c r="AP54" s="16">
        <f>IF(AB54=0,"",IF(INDEX(Andamentos!$B$10:$B$2009,AB54)="","",INDEX(Andamentos!$B$10:$B$2009,AB54)))</f>
        <v>45147</v>
      </c>
      <c r="AQ54" s="17">
        <f>IF(AH54=0,"",IF(INDEX(Valores!$B$10:$B$509,AH54)="","",IF(ISNUMBER(INDEX(Valores!$B$10:$B$509,AH54)),INDEX(Valores!$B$10:$B$509,AH54),"")))</f>
        <v>15245.63</v>
      </c>
      <c r="AR54" s="14" t="str">
        <f t="shared" si="5"/>
        <v/>
      </c>
      <c r="AS54" s="14" t="str">
        <f t="shared" si="6"/>
        <v>P:0010566-06.2019.5.18.0102</v>
      </c>
      <c r="AT54" s="27" t="s">
        <v>458</v>
      </c>
      <c r="AU54" s="31" t="s">
        <v>453</v>
      </c>
      <c r="AV54" s="31"/>
      <c r="AW54" s="27" t="s">
        <v>280</v>
      </c>
      <c r="AX54" s="27" t="s">
        <v>380</v>
      </c>
      <c r="AY54" s="27"/>
      <c r="AZ54" s="27"/>
      <c r="BA54" s="30" t="str">
        <f t="shared" si="7"/>
        <v>0010566-06.2019.5.18.0102</v>
      </c>
      <c r="BB54" s="30" t="str">
        <f t="shared" si="8"/>
        <v/>
      </c>
      <c r="BC54" s="30">
        <f>IF(X54=0,0,IF(COUNTIFS($X$10:X54,1,$BA$10:BA54,BA54)=1,1,0))</f>
        <v>1</v>
      </c>
      <c r="BD54" s="29">
        <v>45653</v>
      </c>
    </row>
    <row r="55" spans="1:56" ht="42" customHeight="1">
      <c r="A55" s="41" t="s">
        <v>459</v>
      </c>
      <c r="B55" s="44" t="s">
        <v>161</v>
      </c>
      <c r="C55" s="44" t="s">
        <v>300</v>
      </c>
      <c r="D55" s="44" t="s">
        <v>163</v>
      </c>
      <c r="E55" s="44"/>
      <c r="F55" s="44" t="s">
        <v>182</v>
      </c>
      <c r="G55" s="44" t="s">
        <v>164</v>
      </c>
      <c r="H55" s="44" t="s">
        <v>460</v>
      </c>
      <c r="I55" s="44" t="s">
        <v>184</v>
      </c>
      <c r="J55" s="44" t="s">
        <v>461</v>
      </c>
      <c r="K55" s="44" t="s">
        <v>178</v>
      </c>
      <c r="L55" s="49"/>
      <c r="M55" s="48" t="s">
        <v>462</v>
      </c>
      <c r="N55" s="48" t="s">
        <v>376</v>
      </c>
      <c r="O55" s="48"/>
      <c r="P55" s="48"/>
      <c r="Q55" s="48" t="s">
        <v>377</v>
      </c>
      <c r="R55" s="48"/>
      <c r="S55" s="49"/>
      <c r="T55" s="48"/>
      <c r="U55" s="48" t="s">
        <v>463</v>
      </c>
      <c r="V55" s="14">
        <f t="shared" si="0"/>
        <v>1</v>
      </c>
      <c r="W55" s="14">
        <f t="shared" si="1"/>
        <v>1</v>
      </c>
      <c r="X55" s="14">
        <f>IF(AND(V55=1,OR(Painel!$C$6="Todos",D55=Painel!$C$6),AND(OR(Painel!$L$6="Todas",E55=Painel!$L$6),OR(Painel!$C$8="Todos",F55=Painel!$C$8),OR(Painel!$L$8="Todos",G55=Painel!$L$8),OR(Painel!$C$10="",ISNUMBER(SEARCH(SUBSTITUTE(SUBSTITUTE(SUBSTITUTE(Painel!$C$10,"~","~~"),"*","~*"),"?","~?"),A55&amp;" "&amp;H55&amp;" "&amp;I55))))),1,0)</f>
        <v>1</v>
      </c>
      <c r="Y55" s="14">
        <f t="shared" si="2"/>
        <v>0</v>
      </c>
      <c r="Z55" s="15">
        <f>IF(V55=0,"",IF(COUNTIFS(Andamentos!$K$10:$K$2009,"="&amp;SUBSTITUTE(SUBSTITUTE(SUBSTITUTE("P:"&amp;A55,"~","~~"),"*","~*"),"?","~?"),Andamentos!$G$10:$G$2009,1)=0,"",_xlfn.AGGREGATE(14,6,Andamentos!$D$10:$D$2009/((Andamentos!$K$10:$K$2009=AS55)*(Andamentos!$G$10:$G$2009=1)),1)))</f>
        <v>46297</v>
      </c>
      <c r="AA55" s="14">
        <f>IF(Z55="",0,COUNTIFS(Andamentos!$K$10:$K$2009,"="&amp;SUBSTITUTE(SUBSTITUTE(SUBSTITUTE("P:"&amp;A55,"~","~~"),"*","~*"),"?","~?"),Andamentos!$D$10:$D$2009,Z55,Andamentos!$G$10:$G$2009,1))</f>
        <v>1</v>
      </c>
      <c r="AB55" s="14">
        <f>IF(AA55=1,SUMIFS(Andamentos!$L$10:$L$2009,Andamentos!$K$10:$K$2009,"="&amp;SUBSTITUTE(SUBSTITUTE(SUBSTITUTE(AS55,"~","~~"),"*","~*"),"?","~?"),Andamentos!$D$10:$D$2009,Z55,Andamentos!$G$10:$G$2009,1)-9,0)</f>
        <v>46</v>
      </c>
      <c r="AC55" s="14" t="str">
        <f>IF(V55=0,"",IF(AA55&gt;1,"Conferir recebimentos empatados",IF(AB55=0,"Sem atualização",INDEX(Andamentos!$C$10:$C$2009,AB55))))</f>
        <v>02/10/2026 - intimação para pagamento da execução, Valor da execução: R$ 51.155,57. [...] histórico completo em Observações</v>
      </c>
      <c r="AD55" s="14">
        <f ca="1">IF(W55=0,0,IF(MAX(Z55,BD55)=0,1,IF(Configurar!$J$12-INT(MAX(Z55,BD55))&gt;Configurar!$J$11,1,0)))</f>
        <v>0</v>
      </c>
      <c r="AE55" s="16"/>
      <c r="AF55" s="14"/>
      <c r="AG55" s="14"/>
      <c r="AH55" s="14">
        <f>IF(AND(V55=1,COUNTIFS(Valores!$S$10:$S$509,"="&amp;SUBSTITUTE(SUBSTITUTE(SUBSTITUTE("P:"&amp;A55,"~","~~"),"*","~*"),"?","~?"))=1),(IF(ISNA(MATCH(SUBSTITUTE(SUBSTITUTE(SUBSTITUTE("P:"&amp;A55,"~","~~"),"*","~*"),"?","~?"),Valores!$S$10:$S$509,0)),9,INDEX(Valores!$R$10:$R$509,MATCH(SUBSTITUTE(SUBSTITUTE(SUBSTITUTE("P:"&amp;A55,"~","~~"),"*","~*"),"?","~?"),Valores!$S$10:$S$509,0)))-9),0)</f>
        <v>46</v>
      </c>
      <c r="AI55" s="40" t="str">
        <f t="shared" si="3"/>
        <v>Informe a empresa responsável</v>
      </c>
      <c r="AJ55" s="14" t="str">
        <f>IF(AND(X55=1,Y55=1),COUNTIFS($X$10:X55,1,$Y$10:Y55,1),"")</f>
        <v/>
      </c>
      <c r="AK55" s="14">
        <f>IF(X55=1,COUNTIFS($X$10:X55,1),"")</f>
        <v>46</v>
      </c>
      <c r="AL55" s="14">
        <f>IF(AND(V55=1,AND(OR(Painel!$L$6="Todas",E55=Painel!$L$6),OR(Painel!$C$8="Todos",F55=Painel!$C$8),OR(Painel!$L$8="Todos",G55=Painel!$L$8),OR(Painel!$C$10="",ISNUMBER(SEARCH(SUBSTITUTE(SUBSTITUTE(SUBSTITUTE(Painel!$C$10,"~","~~"),"*","~*"),"?","~?"),A55&amp;" "&amp;H55&amp;" "&amp;I55))))),1,0)</f>
        <v>1</v>
      </c>
      <c r="AM55" s="14">
        <f t="shared" si="4"/>
        <v>55</v>
      </c>
      <c r="AN55" s="14"/>
      <c r="AO55" s="14"/>
      <c r="AP55" s="16">
        <f>IF(AB55=0,"",IF(INDEX(Andamentos!$B$10:$B$2009,AB55)="","",INDEX(Andamentos!$B$10:$B$2009,AB55)))</f>
        <v>46297</v>
      </c>
      <c r="AQ55" s="17">
        <f>IF(AH55=0,"",IF(INDEX(Valores!$B$10:$B$509,AH55)="","",IF(ISNUMBER(INDEX(Valores!$B$10:$B$509,AH55)),INDEX(Valores!$B$10:$B$509,AH55),"")))</f>
        <v>24455.34</v>
      </c>
      <c r="AR55" s="14" t="str">
        <f t="shared" si="5"/>
        <v/>
      </c>
      <c r="AS55" s="14" t="str">
        <f t="shared" si="6"/>
        <v>P:0010519-26.2019.5.18.0104</v>
      </c>
      <c r="AT55" s="27" t="s">
        <v>464</v>
      </c>
      <c r="AU55" s="31" t="s">
        <v>459</v>
      </c>
      <c r="AV55" s="31"/>
      <c r="AW55" s="27" t="s">
        <v>280</v>
      </c>
      <c r="AX55" s="27" t="s">
        <v>380</v>
      </c>
      <c r="AY55" s="27"/>
      <c r="AZ55" s="27"/>
      <c r="BA55" s="30" t="str">
        <f t="shared" si="7"/>
        <v>0010519-26.2019.5.18.0104</v>
      </c>
      <c r="BB55" s="30" t="str">
        <f t="shared" si="8"/>
        <v/>
      </c>
      <c r="BC55" s="30">
        <f>IF(X55=0,0,IF(COUNTIFS($X$10:X55,1,$BA$10:BA55,BA55)=1,1,0))</f>
        <v>1</v>
      </c>
      <c r="BD55" s="29">
        <v>46297</v>
      </c>
    </row>
    <row r="56" spans="1:56" ht="42" customHeight="1">
      <c r="A56" s="41" t="s">
        <v>465</v>
      </c>
      <c r="B56" s="44" t="s">
        <v>161</v>
      </c>
      <c r="C56" s="44" t="s">
        <v>316</v>
      </c>
      <c r="D56" s="44" t="s">
        <v>163</v>
      </c>
      <c r="E56" s="44"/>
      <c r="F56" s="44" t="s">
        <v>182</v>
      </c>
      <c r="G56" s="44" t="s">
        <v>164</v>
      </c>
      <c r="H56" s="44" t="s">
        <v>466</v>
      </c>
      <c r="I56" s="44" t="s">
        <v>184</v>
      </c>
      <c r="J56" s="44" t="s">
        <v>375</v>
      </c>
      <c r="K56" s="44" t="s">
        <v>178</v>
      </c>
      <c r="L56" s="49"/>
      <c r="M56" s="48" t="s">
        <v>467</v>
      </c>
      <c r="N56" s="48" t="s">
        <v>376</v>
      </c>
      <c r="O56" s="48"/>
      <c r="P56" s="48"/>
      <c r="Q56" s="48" t="s">
        <v>377</v>
      </c>
      <c r="R56" s="48"/>
      <c r="S56" s="49"/>
      <c r="T56" s="48"/>
      <c r="U56" s="48" t="s">
        <v>468</v>
      </c>
      <c r="V56" s="14">
        <f t="shared" si="0"/>
        <v>1</v>
      </c>
      <c r="W56" s="14">
        <f t="shared" si="1"/>
        <v>1</v>
      </c>
      <c r="X56" s="14">
        <f>IF(AND(V56=1,OR(Painel!$C$6="Todos",D56=Painel!$C$6),AND(OR(Painel!$L$6="Todas",E56=Painel!$L$6),OR(Painel!$C$8="Todos",F56=Painel!$C$8),OR(Painel!$L$8="Todos",G56=Painel!$L$8),OR(Painel!$C$10="",ISNUMBER(SEARCH(SUBSTITUTE(SUBSTITUTE(SUBSTITUTE(Painel!$C$10,"~","~~"),"*","~*"),"?","~?"),A56&amp;" "&amp;H56&amp;" "&amp;I56))))),1,0)</f>
        <v>1</v>
      </c>
      <c r="Y56" s="14">
        <f t="shared" si="2"/>
        <v>0</v>
      </c>
      <c r="Z56" s="15">
        <f>IF(V56=0,"",IF(COUNTIFS(Andamentos!$K$10:$K$2009,"="&amp;SUBSTITUTE(SUBSTITUTE(SUBSTITUTE("P:"&amp;A56,"~","~~"),"*","~*"),"?","~?"),Andamentos!$G$10:$G$2009,1)=0,"",_xlfn.AGGREGATE(14,6,Andamentos!$D$10:$D$2009/((Andamentos!$K$10:$K$2009=AS56)*(Andamentos!$G$10:$G$2009=1)),1)))</f>
        <v>46196</v>
      </c>
      <c r="AA56" s="14">
        <f>IF(Z56="",0,COUNTIFS(Andamentos!$K$10:$K$2009,"="&amp;SUBSTITUTE(SUBSTITUTE(SUBSTITUTE("P:"&amp;A56,"~","~~"),"*","~*"),"?","~?"),Andamentos!$D$10:$D$2009,Z56,Andamentos!$G$10:$G$2009,1))</f>
        <v>1</v>
      </c>
      <c r="AB56" s="14">
        <f>IF(AA56=1,SUMIFS(Andamentos!$L$10:$L$2009,Andamentos!$K$10:$K$2009,"="&amp;SUBSTITUTE(SUBSTITUTE(SUBSTITUTE(AS56,"~","~~"),"*","~*"),"?","~?"),Andamentos!$D$10:$D$2009,Z56,Andamentos!$G$10:$G$2009,1)-9,0)</f>
        <v>47</v>
      </c>
      <c r="AC56" s="14" t="str">
        <f>IF(V56=0,"",IF(AA56&gt;1,"Conferir recebimentos empatados",IF(AB56=0,"Sem atualização",INDEX(Andamentos!$C$10:$C$2009,AB56))))</f>
        <v>23/06/2026 - Negado provimento ao recurso da alta, os autos retornarão ao juizo de primeiro grau para que seja reiniciada a execução. [...] histórico completo em Observações</v>
      </c>
      <c r="AD56" s="14">
        <f ca="1">IF(W56=0,0,IF(MAX(Z56,BD56)=0,1,IF(Configurar!$J$12-INT(MAX(Z56,BD56))&gt;Configurar!$J$11,1,0)))</f>
        <v>1</v>
      </c>
      <c r="AE56" s="16"/>
      <c r="AF56" s="14"/>
      <c r="AG56" s="14"/>
      <c r="AH56" s="14">
        <f>IF(AND(V56=1,COUNTIFS(Valores!$S$10:$S$509,"="&amp;SUBSTITUTE(SUBSTITUTE(SUBSTITUTE("P:"&amp;A56,"~","~~"),"*","~*"),"?","~?"))=1),(IF(ISNA(MATCH(SUBSTITUTE(SUBSTITUTE(SUBSTITUTE("P:"&amp;A56,"~","~~"),"*","~*"),"?","~?"),Valores!$S$10:$S$509,0)),9,INDEX(Valores!$R$10:$R$509,MATCH(SUBSTITUTE(SUBSTITUTE(SUBSTITUTE("P:"&amp;A56,"~","~~"),"*","~*"),"?","~?"),Valores!$S$10:$S$509,0)))-9),0)</f>
        <v>47</v>
      </c>
      <c r="AI56" s="40" t="str">
        <f t="shared" si="3"/>
        <v>Informe a empresa responsável</v>
      </c>
      <c r="AJ56" s="14" t="str">
        <f>IF(AND(X56=1,Y56=1),COUNTIFS($X$10:X56,1,$Y$10:Y56,1),"")</f>
        <v/>
      </c>
      <c r="AK56" s="14">
        <f>IF(X56=1,COUNTIFS($X$10:X56,1),"")</f>
        <v>47</v>
      </c>
      <c r="AL56" s="14">
        <f>IF(AND(V56=1,AND(OR(Painel!$L$6="Todas",E56=Painel!$L$6),OR(Painel!$C$8="Todos",F56=Painel!$C$8),OR(Painel!$L$8="Todos",G56=Painel!$L$8),OR(Painel!$C$10="",ISNUMBER(SEARCH(SUBSTITUTE(SUBSTITUTE(SUBSTITUTE(Painel!$C$10,"~","~~"),"*","~*"),"?","~?"),A56&amp;" "&amp;H56&amp;" "&amp;I56))))),1,0)</f>
        <v>1</v>
      </c>
      <c r="AM56" s="14">
        <f t="shared" si="4"/>
        <v>56</v>
      </c>
      <c r="AN56" s="14"/>
      <c r="AO56" s="14"/>
      <c r="AP56" s="16">
        <f>IF(AB56=0,"",IF(INDEX(Andamentos!$B$10:$B$2009,AB56)="","",INDEX(Andamentos!$B$10:$B$2009,AB56)))</f>
        <v>46196</v>
      </c>
      <c r="AQ56" s="17">
        <f>IF(AH56=0,"",IF(INDEX(Valores!$B$10:$B$509,AH56)="","",IF(ISNUMBER(INDEX(Valores!$B$10:$B$509,AH56)),INDEX(Valores!$B$10:$B$509,AH56),"")))</f>
        <v>107189.84</v>
      </c>
      <c r="AR56" s="14" t="str">
        <f t="shared" si="5"/>
        <v/>
      </c>
      <c r="AS56" s="14" t="str">
        <f t="shared" si="6"/>
        <v>P:0010266-75.2018.5.18.0103</v>
      </c>
      <c r="AT56" s="27" t="s">
        <v>469</v>
      </c>
      <c r="AU56" s="31" t="s">
        <v>465</v>
      </c>
      <c r="AV56" s="31"/>
      <c r="AW56" s="27" t="s">
        <v>280</v>
      </c>
      <c r="AX56" s="27" t="s">
        <v>380</v>
      </c>
      <c r="AY56" s="27"/>
      <c r="AZ56" s="27"/>
      <c r="BA56" s="30" t="str">
        <f t="shared" si="7"/>
        <v>0010266-75.2018.5.18.0103</v>
      </c>
      <c r="BB56" s="30" t="str">
        <f t="shared" si="8"/>
        <v/>
      </c>
      <c r="BC56" s="30">
        <f>IF(X56=0,0,IF(COUNTIFS($X$10:X56,1,$BA$10:BA56,BA56)=1,1,0))</f>
        <v>1</v>
      </c>
      <c r="BD56" s="29">
        <v>46196</v>
      </c>
    </row>
    <row r="57" spans="1:56" ht="42" customHeight="1">
      <c r="A57" s="41" t="s">
        <v>470</v>
      </c>
      <c r="B57" s="44" t="s">
        <v>161</v>
      </c>
      <c r="C57" s="44" t="s">
        <v>316</v>
      </c>
      <c r="D57" s="44" t="s">
        <v>163</v>
      </c>
      <c r="E57" s="44"/>
      <c r="F57" s="44" t="s">
        <v>182</v>
      </c>
      <c r="G57" s="44" t="s">
        <v>164</v>
      </c>
      <c r="H57" s="44" t="s">
        <v>471</v>
      </c>
      <c r="I57" s="44" t="s">
        <v>184</v>
      </c>
      <c r="J57" s="44" t="s">
        <v>472</v>
      </c>
      <c r="K57" s="44" t="s">
        <v>178</v>
      </c>
      <c r="L57" s="49">
        <v>43642</v>
      </c>
      <c r="M57" s="48" t="s">
        <v>473</v>
      </c>
      <c r="N57" s="48" t="s">
        <v>376</v>
      </c>
      <c r="O57" s="48"/>
      <c r="P57" s="48"/>
      <c r="Q57" s="48" t="s">
        <v>377</v>
      </c>
      <c r="R57" s="48"/>
      <c r="S57" s="49"/>
      <c r="T57" s="48"/>
      <c r="U57" s="48" t="s">
        <v>474</v>
      </c>
      <c r="V57" s="14">
        <f t="shared" si="0"/>
        <v>1</v>
      </c>
      <c r="W57" s="14">
        <f t="shared" si="1"/>
        <v>1</v>
      </c>
      <c r="X57" s="14">
        <f>IF(AND(V57=1,OR(Painel!$C$6="Todos",D57=Painel!$C$6),AND(OR(Painel!$L$6="Todas",E57=Painel!$L$6),OR(Painel!$C$8="Todos",F57=Painel!$C$8),OR(Painel!$L$8="Todos",G57=Painel!$L$8),OR(Painel!$C$10="",ISNUMBER(SEARCH(SUBSTITUTE(SUBSTITUTE(SUBSTITUTE(Painel!$C$10,"~","~~"),"*","~*"),"?","~?"),A57&amp;" "&amp;H57&amp;" "&amp;I57))))),1,0)</f>
        <v>1</v>
      </c>
      <c r="Y57" s="14">
        <f t="shared" si="2"/>
        <v>0</v>
      </c>
      <c r="Z57" s="15">
        <f>IF(V57=0,"",IF(COUNTIFS(Andamentos!$K$10:$K$2009,"="&amp;SUBSTITUTE(SUBSTITUTE(SUBSTITUTE("P:"&amp;A57,"~","~~"),"*","~*"),"?","~?"),Andamentos!$G$10:$G$2009,1)=0,"",_xlfn.AGGREGATE(14,6,Andamentos!$D$10:$D$2009/((Andamentos!$K$10:$K$2009=AS57)*(Andamentos!$G$10:$G$2009=1)),1)))</f>
        <v>46055</v>
      </c>
      <c r="AA57" s="14">
        <f>IF(Z57="",0,COUNTIFS(Andamentos!$K$10:$K$2009,"="&amp;SUBSTITUTE(SUBSTITUTE(SUBSTITUTE("P:"&amp;A57,"~","~~"),"*","~*"),"?","~?"),Andamentos!$D$10:$D$2009,Z57,Andamentos!$G$10:$G$2009,1))</f>
        <v>1</v>
      </c>
      <c r="AB57" s="14">
        <f>IF(AA57=1,SUMIFS(Andamentos!$L$10:$L$2009,Andamentos!$K$10:$K$2009,"="&amp;SUBSTITUTE(SUBSTITUTE(SUBSTITUTE(AS57,"~","~~"),"*","~*"),"?","~?"),Andamentos!$D$10:$D$2009,Z57,Andamentos!$G$10:$G$2009,1)-9,0)</f>
        <v>48</v>
      </c>
      <c r="AC57" s="14" t="str">
        <f>IF(V57=0,"",IF(AA57&gt;1,"Conferir recebimentos empatados",IF(AB57=0,"Sem atualização",INDEX(Andamentos!$C$10:$C$2009,AB57))))</f>
        <v>03/12/2024 - Autos sobrestados [...] histórico completo em Observações</v>
      </c>
      <c r="AD57" s="14">
        <f ca="1">IF(W57=0,0,IF(MAX(Z57,BD57)=0,1,IF(Configurar!$J$12-INT(MAX(Z57,BD57))&gt;Configurar!$J$11,1,0)))</f>
        <v>1</v>
      </c>
      <c r="AE57" s="16"/>
      <c r="AF57" s="14"/>
      <c r="AG57" s="14"/>
      <c r="AH57" s="14">
        <f>IF(AND(V57=1,COUNTIFS(Valores!$S$10:$S$509,"="&amp;SUBSTITUTE(SUBSTITUTE(SUBSTITUTE("P:"&amp;A57,"~","~~"),"*","~*"),"?","~?"))=1),(IF(ISNA(MATCH(SUBSTITUTE(SUBSTITUTE(SUBSTITUTE("P:"&amp;A57,"~","~~"),"*","~*"),"?","~?"),Valores!$S$10:$S$509,0)),9,INDEX(Valores!$R$10:$R$509,MATCH(SUBSTITUTE(SUBSTITUTE(SUBSTITUTE("P:"&amp;A57,"~","~~"),"*","~*"),"?","~?"),Valores!$S$10:$S$509,0)))-9),0)</f>
        <v>48</v>
      </c>
      <c r="AI57" s="40" t="str">
        <f t="shared" si="3"/>
        <v>Informe a empresa responsável</v>
      </c>
      <c r="AJ57" s="14" t="str">
        <f>IF(AND(X57=1,Y57=1),COUNTIFS($X$10:X57,1,$Y$10:Y57,1),"")</f>
        <v/>
      </c>
      <c r="AK57" s="14">
        <f>IF(X57=1,COUNTIFS($X$10:X57,1),"")</f>
        <v>48</v>
      </c>
      <c r="AL57" s="14">
        <f>IF(AND(V57=1,AND(OR(Painel!$L$6="Todas",E57=Painel!$L$6),OR(Painel!$C$8="Todos",F57=Painel!$C$8),OR(Painel!$L$8="Todos",G57=Painel!$L$8),OR(Painel!$C$10="",ISNUMBER(SEARCH(SUBSTITUTE(SUBSTITUTE(SUBSTITUTE(Painel!$C$10,"~","~~"),"*","~*"),"?","~?"),A57&amp;" "&amp;H57&amp;" "&amp;I57))))),1,0)</f>
        <v>1</v>
      </c>
      <c r="AM57" s="14">
        <f t="shared" si="4"/>
        <v>57</v>
      </c>
      <c r="AN57" s="14"/>
      <c r="AO57" s="14"/>
      <c r="AP57" s="16">
        <f>IF(AB57=0,"",IF(INDEX(Andamentos!$B$10:$B$2009,AB57)="","",INDEX(Andamentos!$B$10:$B$2009,AB57)))</f>
        <v>45629</v>
      </c>
      <c r="AQ57" s="17">
        <f>IF(AH57=0,"",IF(INDEX(Valores!$B$10:$B$509,AH57)="","",IF(ISNUMBER(INDEX(Valores!$B$10:$B$509,AH57)),INDEX(Valores!$B$10:$B$509,AH57),"")))</f>
        <v>68715</v>
      </c>
      <c r="AR57" s="14" t="str">
        <f t="shared" si="5"/>
        <v/>
      </c>
      <c r="AS57" s="14" t="str">
        <f t="shared" si="6"/>
        <v>P:0010607-67.2019.5.18.0103</v>
      </c>
      <c r="AT57" s="27" t="s">
        <v>475</v>
      </c>
      <c r="AU57" s="31" t="s">
        <v>470</v>
      </c>
      <c r="AV57" s="31"/>
      <c r="AW57" s="27" t="s">
        <v>280</v>
      </c>
      <c r="AX57" s="27" t="s">
        <v>380</v>
      </c>
      <c r="AY57" s="27"/>
      <c r="AZ57" s="27"/>
      <c r="BA57" s="30" t="str">
        <f t="shared" si="7"/>
        <v>0010607-67.2019.5.18.0103</v>
      </c>
      <c r="BB57" s="30" t="str">
        <f t="shared" si="8"/>
        <v/>
      </c>
      <c r="BC57" s="30">
        <f>IF(X57=0,0,IF(COUNTIFS($X$10:X57,1,$BA$10:BA57,BA57)=1,1,0))</f>
        <v>1</v>
      </c>
      <c r="BD57" s="29">
        <v>46055</v>
      </c>
    </row>
    <row r="58" spans="1:56" ht="42" customHeight="1">
      <c r="A58" s="41" t="s">
        <v>476</v>
      </c>
      <c r="B58" s="44" t="s">
        <v>161</v>
      </c>
      <c r="C58" s="44" t="s">
        <v>316</v>
      </c>
      <c r="D58" s="44" t="s">
        <v>163</v>
      </c>
      <c r="E58" s="44"/>
      <c r="F58" s="44" t="s">
        <v>182</v>
      </c>
      <c r="G58" s="44" t="s">
        <v>164</v>
      </c>
      <c r="H58" s="44" t="s">
        <v>477</v>
      </c>
      <c r="I58" s="44" t="s">
        <v>478</v>
      </c>
      <c r="J58" s="44" t="s">
        <v>185</v>
      </c>
      <c r="K58" s="44" t="s">
        <v>178</v>
      </c>
      <c r="L58" s="49"/>
      <c r="M58" s="48" t="s">
        <v>479</v>
      </c>
      <c r="N58" s="48" t="s">
        <v>376</v>
      </c>
      <c r="O58" s="48"/>
      <c r="P58" s="48"/>
      <c r="Q58" s="48" t="s">
        <v>377</v>
      </c>
      <c r="R58" s="48"/>
      <c r="S58" s="49"/>
      <c r="T58" s="48"/>
      <c r="U58" s="48" t="s">
        <v>480</v>
      </c>
      <c r="V58" s="14">
        <f t="shared" si="0"/>
        <v>1</v>
      </c>
      <c r="W58" s="14">
        <f t="shared" si="1"/>
        <v>1</v>
      </c>
      <c r="X58" s="14">
        <f>IF(AND(V58=1,OR(Painel!$C$6="Todos",D58=Painel!$C$6),AND(OR(Painel!$L$6="Todas",E58=Painel!$L$6),OR(Painel!$C$8="Todos",F58=Painel!$C$8),OR(Painel!$L$8="Todos",G58=Painel!$L$8),OR(Painel!$C$10="",ISNUMBER(SEARCH(SUBSTITUTE(SUBSTITUTE(SUBSTITUTE(Painel!$C$10,"~","~~"),"*","~*"),"?","~?"),A58&amp;" "&amp;H58&amp;" "&amp;I58))))),1,0)</f>
        <v>1</v>
      </c>
      <c r="Y58" s="14">
        <f t="shared" si="2"/>
        <v>0</v>
      </c>
      <c r="Z58" s="15">
        <f>IF(V58=0,"",IF(COUNTIFS(Andamentos!$K$10:$K$2009,"="&amp;SUBSTITUTE(SUBSTITUTE(SUBSTITUTE("P:"&amp;A58,"~","~~"),"*","~*"),"?","~?"),Andamentos!$G$10:$G$2009,1)=0,"",_xlfn.AGGREGATE(14,6,Andamentos!$D$10:$D$2009/((Andamentos!$K$10:$K$2009=AS58)*(Andamentos!$G$10:$G$2009=1)),1)))</f>
        <v>46055</v>
      </c>
      <c r="AA58" s="14">
        <f>IF(Z58="",0,COUNTIFS(Andamentos!$K$10:$K$2009,"="&amp;SUBSTITUTE(SUBSTITUTE(SUBSTITUTE("P:"&amp;A58,"~","~~"),"*","~*"),"?","~?"),Andamentos!$D$10:$D$2009,Z58,Andamentos!$G$10:$G$2009,1))</f>
        <v>1</v>
      </c>
      <c r="AB58" s="14">
        <f>IF(AA58=1,SUMIFS(Andamentos!$L$10:$L$2009,Andamentos!$K$10:$K$2009,"="&amp;SUBSTITUTE(SUBSTITUTE(SUBSTITUTE(AS58,"~","~~"),"*","~*"),"?","~?"),Andamentos!$D$10:$D$2009,Z58,Andamentos!$G$10:$G$2009,1)-9,0)</f>
        <v>49</v>
      </c>
      <c r="AC58" s="14" t="str">
        <f>IF(V58=0,"",IF(AA58&gt;1,"Conferir recebimentos empatados",IF(AB58=0,"Sem atualização",INDEX(Andamentos!$C$10:$C$2009,AB58))))</f>
        <v>08/11/2023 - Autos sobrestados. [...] histórico completo em Observações</v>
      </c>
      <c r="AD58" s="14">
        <f ca="1">IF(W58=0,0,IF(MAX(Z58,BD58)=0,1,IF(Configurar!$J$12-INT(MAX(Z58,BD58))&gt;Configurar!$J$11,1,0)))</f>
        <v>1</v>
      </c>
      <c r="AE58" s="16"/>
      <c r="AF58" s="14"/>
      <c r="AG58" s="14"/>
      <c r="AH58" s="14">
        <f>IF(AND(V58=1,COUNTIFS(Valores!$S$10:$S$509,"="&amp;SUBSTITUTE(SUBSTITUTE(SUBSTITUTE("P:"&amp;A58,"~","~~"),"*","~*"),"?","~?"))=1),(IF(ISNA(MATCH(SUBSTITUTE(SUBSTITUTE(SUBSTITUTE("P:"&amp;A58,"~","~~"),"*","~*"),"?","~?"),Valores!$S$10:$S$509,0)),9,INDEX(Valores!$R$10:$R$509,MATCH(SUBSTITUTE(SUBSTITUTE(SUBSTITUTE("P:"&amp;A58,"~","~~"),"*","~*"),"?","~?"),Valores!$S$10:$S$509,0)))-9),0)</f>
        <v>49</v>
      </c>
      <c r="AI58" s="40" t="str">
        <f t="shared" si="3"/>
        <v>Informe a empresa responsável</v>
      </c>
      <c r="AJ58" s="14" t="str">
        <f>IF(AND(X58=1,Y58=1),COUNTIFS($X$10:X58,1,$Y$10:Y58,1),"")</f>
        <v/>
      </c>
      <c r="AK58" s="14">
        <f>IF(X58=1,COUNTIFS($X$10:X58,1),"")</f>
        <v>49</v>
      </c>
      <c r="AL58" s="14">
        <f>IF(AND(V58=1,AND(OR(Painel!$L$6="Todas",E58=Painel!$L$6),OR(Painel!$C$8="Todos",F58=Painel!$C$8),OR(Painel!$L$8="Todos",G58=Painel!$L$8),OR(Painel!$C$10="",ISNUMBER(SEARCH(SUBSTITUTE(SUBSTITUTE(SUBSTITUTE(Painel!$C$10,"~","~~"),"*","~*"),"?","~?"),A58&amp;" "&amp;H58&amp;" "&amp;I58))))),1,0)</f>
        <v>1</v>
      </c>
      <c r="AM58" s="14">
        <f t="shared" si="4"/>
        <v>58</v>
      </c>
      <c r="AN58" s="14"/>
      <c r="AO58" s="14"/>
      <c r="AP58" s="16">
        <f>IF(AB58=0,"",IF(INDEX(Andamentos!$B$10:$B$2009,AB58)="","",INDEX(Andamentos!$B$10:$B$2009,AB58)))</f>
        <v>45238</v>
      </c>
      <c r="AQ58" s="17">
        <f>IF(AH58=0,"",IF(INDEX(Valores!$B$10:$B$509,AH58)="","",IF(ISNUMBER(INDEX(Valores!$B$10:$B$509,AH58)),INDEX(Valores!$B$10:$B$509,AH58),"")))</f>
        <v>35382.160000000003</v>
      </c>
      <c r="AR58" s="14" t="str">
        <f t="shared" si="5"/>
        <v/>
      </c>
      <c r="AS58" s="14" t="str">
        <f t="shared" si="6"/>
        <v>P:0010719-67.2018.5.18.0104</v>
      </c>
      <c r="AT58" s="27" t="s">
        <v>481</v>
      </c>
      <c r="AU58" s="31" t="s">
        <v>476</v>
      </c>
      <c r="AV58" s="31"/>
      <c r="AW58" s="27" t="s">
        <v>280</v>
      </c>
      <c r="AX58" s="27" t="s">
        <v>380</v>
      </c>
      <c r="AY58" s="27"/>
      <c r="AZ58" s="27"/>
      <c r="BA58" s="30" t="str">
        <f t="shared" si="7"/>
        <v>0010719-67.2018.5.18.0104</v>
      </c>
      <c r="BB58" s="30" t="str">
        <f t="shared" si="8"/>
        <v/>
      </c>
      <c r="BC58" s="30">
        <f>IF(X58=0,0,IF(COUNTIFS($X$10:X58,1,$BA$10:BA58,BA58)=1,1,0))</f>
        <v>1</v>
      </c>
      <c r="BD58" s="29">
        <v>46055</v>
      </c>
    </row>
    <row r="59" spans="1:56" ht="42" customHeight="1">
      <c r="A59" s="41" t="s">
        <v>27</v>
      </c>
      <c r="B59" s="44" t="s">
        <v>161</v>
      </c>
      <c r="C59" s="44" t="s">
        <v>300</v>
      </c>
      <c r="D59" s="44" t="s">
        <v>163</v>
      </c>
      <c r="E59" s="44"/>
      <c r="F59" s="44" t="s">
        <v>182</v>
      </c>
      <c r="G59" s="44" t="s">
        <v>164</v>
      </c>
      <c r="H59" s="44" t="s">
        <v>482</v>
      </c>
      <c r="I59" s="44" t="s">
        <v>184</v>
      </c>
      <c r="J59" s="44" t="s">
        <v>421</v>
      </c>
      <c r="K59" s="44" t="s">
        <v>384</v>
      </c>
      <c r="L59" s="49"/>
      <c r="M59" s="48" t="s">
        <v>483</v>
      </c>
      <c r="N59" s="48" t="s">
        <v>484</v>
      </c>
      <c r="O59" s="48"/>
      <c r="P59" s="48"/>
      <c r="Q59" s="48" t="s">
        <v>377</v>
      </c>
      <c r="R59" s="48"/>
      <c r="S59" s="49"/>
      <c r="T59" s="48"/>
      <c r="U59" s="48" t="s">
        <v>485</v>
      </c>
      <c r="V59" s="14">
        <f t="shared" si="0"/>
        <v>1</v>
      </c>
      <c r="W59" s="14">
        <f t="shared" si="1"/>
        <v>1</v>
      </c>
      <c r="X59" s="14">
        <f>IF(AND(V59=1,OR(Painel!$C$6="Todos",D59=Painel!$C$6),AND(OR(Painel!$L$6="Todas",E59=Painel!$L$6),OR(Painel!$C$8="Todos",F59=Painel!$C$8),OR(Painel!$L$8="Todos",G59=Painel!$L$8),OR(Painel!$C$10="",ISNUMBER(SEARCH(SUBSTITUTE(SUBSTITUTE(SUBSTITUTE(Painel!$C$10,"~","~~"),"*","~*"),"?","~?"),A59&amp;" "&amp;H59&amp;" "&amp;I59))))),1,0)</f>
        <v>1</v>
      </c>
      <c r="Y59" s="14">
        <f t="shared" si="2"/>
        <v>1</v>
      </c>
      <c r="Z59" s="15">
        <f>IF(V59=0,"",IF(COUNTIFS(Andamentos!$K$10:$K$2009,"="&amp;SUBSTITUTE(SUBSTITUTE(SUBSTITUTE("P:"&amp;A59,"~","~~"),"*","~*"),"?","~?"),Andamentos!$G$10:$G$2009,1)=0,"",_xlfn.AGGREGATE(14,6,Andamentos!$D$10:$D$2009/((Andamentos!$K$10:$K$2009=AS59)*(Andamentos!$G$10:$G$2009=1)),1)))</f>
        <v>46055</v>
      </c>
      <c r="AA59" s="14">
        <f>IF(Z59="",0,COUNTIFS(Andamentos!$K$10:$K$2009,"="&amp;SUBSTITUTE(SUBSTITUTE(SUBSTITUTE("P:"&amp;A59,"~","~~"),"*","~*"),"?","~?"),Andamentos!$D$10:$D$2009,Z59,Andamentos!$G$10:$G$2009,1))</f>
        <v>1</v>
      </c>
      <c r="AB59" s="14">
        <f>IF(AA59=1,SUMIFS(Andamentos!$L$10:$L$2009,Andamentos!$K$10:$K$2009,"="&amp;SUBSTITUTE(SUBSTITUTE(SUBSTITUTE(AS59,"~","~~"),"*","~*"),"?","~?"),Andamentos!$D$10:$D$2009,Z59,Andamentos!$G$10:$G$2009,1)-9,0)</f>
        <v>50</v>
      </c>
      <c r="AC59" s="14" t="str">
        <f>IF(V59=0,"",IF(AA59&gt;1,"Conferir recebimentos empatados",IF(AB59=0,"Sem atualização",INDEX(Andamentos!$C$10:$C$2009,AB59))))</f>
        <v>07/0/2023 - Remetido os autos para TST para processar recurso. [...] histórico completo em Observações</v>
      </c>
      <c r="AD59" s="14">
        <f ca="1">IF(W59=0,0,IF(MAX(Z59,BD59)=0,1,IF(Configurar!$J$12-INT(MAX(Z59,BD59))&gt;Configurar!$J$11,1,0)))</f>
        <v>1</v>
      </c>
      <c r="AE59" s="16"/>
      <c r="AF59" s="14"/>
      <c r="AG59" s="14"/>
      <c r="AH59" s="14">
        <f>IF(AND(V59=1,COUNTIFS(Valores!$S$10:$S$509,"="&amp;SUBSTITUTE(SUBSTITUTE(SUBSTITUTE("P:"&amp;A59,"~","~~"),"*","~*"),"?","~?"))=1),(IF(ISNA(MATCH(SUBSTITUTE(SUBSTITUTE(SUBSTITUTE("P:"&amp;A59,"~","~~"),"*","~*"),"?","~?"),Valores!$S$10:$S$509,0)),9,INDEX(Valores!$R$10:$R$509,MATCH(SUBSTITUTE(SUBSTITUTE(SUBSTITUTE("P:"&amp;A59,"~","~~"),"*","~*"),"?","~?"),Valores!$S$10:$S$509,0)))-9),0)</f>
        <v>50</v>
      </c>
      <c r="AI59" s="40" t="str">
        <f t="shared" si="3"/>
        <v>Informe a empresa responsável</v>
      </c>
      <c r="AJ59" s="14">
        <f>IF(AND(X59=1,Y59=1),COUNTIFS($X$10:X59,1,$Y$10:Y59,1),"")</f>
        <v>1</v>
      </c>
      <c r="AK59" s="14">
        <f>IF(X59=1,COUNTIFS($X$10:X59,1),"")</f>
        <v>50</v>
      </c>
      <c r="AL59" s="14">
        <f>IF(AND(V59=1,AND(OR(Painel!$L$6="Todas",E59=Painel!$L$6),OR(Painel!$C$8="Todos",F59=Painel!$C$8),OR(Painel!$L$8="Todos",G59=Painel!$L$8),OR(Painel!$C$10="",ISNUMBER(SEARCH(SUBSTITUTE(SUBSTITUTE(SUBSTITUTE(Painel!$C$10,"~","~~"),"*","~*"),"?","~?"),A59&amp;" "&amp;H59&amp;" "&amp;I59))))),1,0)</f>
        <v>1</v>
      </c>
      <c r="AM59" s="14">
        <f t="shared" si="4"/>
        <v>59</v>
      </c>
      <c r="AN59" s="14"/>
      <c r="AO59" s="14"/>
      <c r="AP59" s="16" t="str">
        <f>IF(AB59=0,"",IF(INDEX(Andamentos!$B$10:$B$2009,AB59)="","",INDEX(Andamentos!$B$10:$B$2009,AB59)))</f>
        <v/>
      </c>
      <c r="AQ59" s="17">
        <f>IF(AH59=0,"",IF(INDEX(Valores!$B$10:$B$509,AH59)="","",IF(ISNUMBER(INDEX(Valores!$B$10:$B$509,AH59)),INDEX(Valores!$B$10:$B$509,AH59),"")))</f>
        <v>119383.18</v>
      </c>
      <c r="AR59" s="14" t="str">
        <f t="shared" si="5"/>
        <v>Prioridade crítica. Criticidade herdada da planilha de origem; validar. Não confirma bloqueio/penhora vigente.</v>
      </c>
      <c r="AS59" s="14" t="str">
        <f t="shared" si="6"/>
        <v>P:0016196-95.2018.5.16.0017</v>
      </c>
      <c r="AT59" s="27" t="s">
        <v>486</v>
      </c>
      <c r="AU59" s="31" t="s">
        <v>27</v>
      </c>
      <c r="AV59" s="31"/>
      <c r="AW59" s="27" t="s">
        <v>280</v>
      </c>
      <c r="AX59" s="27" t="s">
        <v>380</v>
      </c>
      <c r="AY59" s="27"/>
      <c r="AZ59" s="27"/>
      <c r="BA59" s="30" t="str">
        <f t="shared" si="7"/>
        <v>0016196-95.2018.5.16.0017</v>
      </c>
      <c r="BB59" s="30" t="str">
        <f t="shared" si="8"/>
        <v/>
      </c>
      <c r="BC59" s="30">
        <f>IF(X59=0,0,IF(COUNTIFS($X$10:X59,1,$BA$10:BA59,BA59)=1,1,0))</f>
        <v>1</v>
      </c>
      <c r="BD59" s="29">
        <v>46055</v>
      </c>
    </row>
    <row r="60" spans="1:56" ht="42" customHeight="1">
      <c r="A60" s="41" t="s">
        <v>487</v>
      </c>
      <c r="B60" s="44" t="s">
        <v>161</v>
      </c>
      <c r="C60" s="44" t="s">
        <v>300</v>
      </c>
      <c r="D60" s="44" t="s">
        <v>163</v>
      </c>
      <c r="E60" s="44"/>
      <c r="F60" s="44" t="s">
        <v>446</v>
      </c>
      <c r="G60" s="44" t="s">
        <v>164</v>
      </c>
      <c r="H60" s="44" t="s">
        <v>488</v>
      </c>
      <c r="I60" s="44" t="s">
        <v>489</v>
      </c>
      <c r="J60" s="44" t="s">
        <v>490</v>
      </c>
      <c r="K60" s="44" t="s">
        <v>491</v>
      </c>
      <c r="L60" s="49"/>
      <c r="M60" s="48" t="s">
        <v>492</v>
      </c>
      <c r="N60" s="48" t="s">
        <v>170</v>
      </c>
      <c r="O60" s="48"/>
      <c r="P60" s="48"/>
      <c r="Q60" s="48"/>
      <c r="R60" s="48"/>
      <c r="S60" s="49"/>
      <c r="T60" s="48"/>
      <c r="U60" s="48" t="s">
        <v>493</v>
      </c>
      <c r="V60" s="14">
        <f t="shared" si="0"/>
        <v>1</v>
      </c>
      <c r="W60" s="14">
        <f t="shared" si="1"/>
        <v>1</v>
      </c>
      <c r="X60" s="14">
        <f>IF(AND(V60=1,OR(Painel!$C$6="Todos",D60=Painel!$C$6),AND(OR(Painel!$L$6="Todas",E60=Painel!$L$6),OR(Painel!$C$8="Todos",F60=Painel!$C$8),OR(Painel!$L$8="Todos",G60=Painel!$L$8),OR(Painel!$C$10="",ISNUMBER(SEARCH(SUBSTITUTE(SUBSTITUTE(SUBSTITUTE(Painel!$C$10,"~","~~"),"*","~*"),"?","~?"),A60&amp;" "&amp;H60&amp;" "&amp;I60))))),1,0)</f>
        <v>1</v>
      </c>
      <c r="Y60" s="14">
        <f t="shared" si="2"/>
        <v>0</v>
      </c>
      <c r="Z60" s="15">
        <f>IF(V60=0,"",IF(COUNTIFS(Andamentos!$K$10:$K$2009,"="&amp;SUBSTITUTE(SUBSTITUTE(SUBSTITUTE("P:"&amp;A60,"~","~~"),"*","~*"),"?","~?"),Andamentos!$G$10:$G$2009,1)=0,"",_xlfn.AGGREGATE(14,6,Andamentos!$D$10:$D$2009/((Andamentos!$K$10:$K$2009=AS60)*(Andamentos!$G$10:$G$2009=1)),1)))</f>
        <v>46052</v>
      </c>
      <c r="AA60" s="14">
        <f>IF(Z60="",0,COUNTIFS(Andamentos!$K$10:$K$2009,"="&amp;SUBSTITUTE(SUBSTITUTE(SUBSTITUTE("P:"&amp;A60,"~","~~"),"*","~*"),"?","~?"),Andamentos!$D$10:$D$2009,Z60,Andamentos!$G$10:$G$2009,1))</f>
        <v>1</v>
      </c>
      <c r="AB60" s="14">
        <f>IF(AA60=1,SUMIFS(Andamentos!$L$10:$L$2009,Andamentos!$K$10:$K$2009,"="&amp;SUBSTITUTE(SUBSTITUTE(SUBSTITUTE(AS60,"~","~~"),"*","~*"),"?","~?"),Andamentos!$D$10:$D$2009,Z60,Andamentos!$G$10:$G$2009,1)-9,0)</f>
        <v>51</v>
      </c>
      <c r="AC60" s="14" t="str">
        <f>IF(V60=0,"",IF(AA60&gt;1,"Conferir recebimentos empatados",IF(AB60=0,"Sem atualização",INDEX(Andamentos!$C$10:$C$2009,AB60))))</f>
        <v>09/10/2025 - Conlusos os autos para julgamento do incidente de desconsideração da personalidade jurídica. [...] histórico completo em Observações</v>
      </c>
      <c r="AD60" s="14">
        <f ca="1">IF(W60=0,0,IF(MAX(Z60,BD60)=0,1,IF(Configurar!$J$12-INT(MAX(Z60,BD60))&gt;Configurar!$J$11,1,0)))</f>
        <v>1</v>
      </c>
      <c r="AE60" s="16"/>
      <c r="AF60" s="14"/>
      <c r="AG60" s="14"/>
      <c r="AH60" s="14">
        <f>IF(AND(V60=1,COUNTIFS(Valores!$S$10:$S$509,"="&amp;SUBSTITUTE(SUBSTITUTE(SUBSTITUTE("P:"&amp;A60,"~","~~"),"*","~*"),"?","~?"))=1),(IF(ISNA(MATCH(SUBSTITUTE(SUBSTITUTE(SUBSTITUTE("P:"&amp;A60,"~","~~"),"*","~*"),"?","~?"),Valores!$S$10:$S$509,0)),9,INDEX(Valores!$R$10:$R$509,MATCH(SUBSTITUTE(SUBSTITUTE(SUBSTITUTE("P:"&amp;A60,"~","~~"),"*","~*"),"?","~?"),Valores!$S$10:$S$509,0)))-9),0)</f>
        <v>51</v>
      </c>
      <c r="AI60" s="40" t="str">
        <f t="shared" si="3"/>
        <v>Informe a empresa responsável</v>
      </c>
      <c r="AJ60" s="14" t="str">
        <f>IF(AND(X60=1,Y60=1),COUNTIFS($X$10:X60,1,$Y$10:Y60,1),"")</f>
        <v/>
      </c>
      <c r="AK60" s="14">
        <f>IF(X60=1,COUNTIFS($X$10:X60,1),"")</f>
        <v>51</v>
      </c>
      <c r="AL60" s="14">
        <f>IF(AND(V60=1,AND(OR(Painel!$L$6="Todas",E60=Painel!$L$6),OR(Painel!$C$8="Todos",F60=Painel!$C$8),OR(Painel!$L$8="Todos",G60=Painel!$L$8),OR(Painel!$C$10="",ISNUMBER(SEARCH(SUBSTITUTE(SUBSTITUTE(SUBSTITUTE(Painel!$C$10,"~","~~"),"*","~*"),"?","~?"),A60&amp;" "&amp;H60&amp;" "&amp;I60))))),1,0)</f>
        <v>1</v>
      </c>
      <c r="AM60" s="14">
        <f t="shared" si="4"/>
        <v>60</v>
      </c>
      <c r="AN60" s="14"/>
      <c r="AO60" s="14"/>
      <c r="AP60" s="16">
        <f>IF(AB60=0,"",IF(INDEX(Andamentos!$B$10:$B$2009,AB60)="","",INDEX(Andamentos!$B$10:$B$2009,AB60)))</f>
        <v>45939</v>
      </c>
      <c r="AQ60" s="17">
        <f>IF(AH60=0,"",IF(INDEX(Valores!$B$10:$B$509,AH60)="","",IF(ISNUMBER(INDEX(Valores!$B$10:$B$509,AH60)),INDEX(Valores!$B$10:$B$509,AH60),"")))</f>
        <v>10739.7</v>
      </c>
      <c r="AR60" s="14" t="str">
        <f t="shared" si="5"/>
        <v/>
      </c>
      <c r="AS60" s="14" t="str">
        <f t="shared" si="6"/>
        <v>P:0000273-60.2019.5.22.0103</v>
      </c>
      <c r="AT60" s="27" t="s">
        <v>494</v>
      </c>
      <c r="AU60" s="31" t="s">
        <v>487</v>
      </c>
      <c r="AV60" s="31"/>
      <c r="AW60" s="27" t="s">
        <v>280</v>
      </c>
      <c r="AX60" s="27" t="s">
        <v>246</v>
      </c>
      <c r="AY60" s="27"/>
      <c r="AZ60" s="27"/>
      <c r="BA60" s="30" t="str">
        <f t="shared" si="7"/>
        <v>0000273-60.2019.5.22.0103</v>
      </c>
      <c r="BB60" s="30" t="str">
        <f t="shared" si="8"/>
        <v/>
      </c>
      <c r="BC60" s="30">
        <f>IF(X60=0,0,IF(COUNTIFS($X$10:X60,1,$BA$10:BA60,BA60)=1,1,0))</f>
        <v>1</v>
      </c>
      <c r="BD60" s="29">
        <v>46052</v>
      </c>
    </row>
    <row r="61" spans="1:56" ht="42" customHeight="1">
      <c r="A61" s="41" t="s">
        <v>495</v>
      </c>
      <c r="B61" s="44" t="s">
        <v>161</v>
      </c>
      <c r="C61" s="44" t="s">
        <v>316</v>
      </c>
      <c r="D61" s="44" t="s">
        <v>163</v>
      </c>
      <c r="E61" s="44"/>
      <c r="F61" s="44" t="s">
        <v>206</v>
      </c>
      <c r="G61" s="44" t="s">
        <v>164</v>
      </c>
      <c r="H61" s="44" t="s">
        <v>496</v>
      </c>
      <c r="I61" s="44" t="s">
        <v>433</v>
      </c>
      <c r="J61" s="44" t="s">
        <v>434</v>
      </c>
      <c r="K61" s="44" t="s">
        <v>234</v>
      </c>
      <c r="L61" s="49"/>
      <c r="M61" s="48" t="s">
        <v>497</v>
      </c>
      <c r="N61" s="48" t="s">
        <v>170</v>
      </c>
      <c r="O61" s="48"/>
      <c r="P61" s="48"/>
      <c r="Q61" s="48"/>
      <c r="R61" s="48"/>
      <c r="S61" s="49"/>
      <c r="T61" s="48"/>
      <c r="U61" s="48" t="s">
        <v>498</v>
      </c>
      <c r="V61" s="14">
        <f t="shared" si="0"/>
        <v>1</v>
      </c>
      <c r="W61" s="14">
        <f t="shared" si="1"/>
        <v>1</v>
      </c>
      <c r="X61" s="14">
        <f>IF(AND(V61=1,OR(Painel!$C$6="Todos",D61=Painel!$C$6),AND(OR(Painel!$L$6="Todas",E61=Painel!$L$6),OR(Painel!$C$8="Todos",F61=Painel!$C$8),OR(Painel!$L$8="Todos",G61=Painel!$L$8),OR(Painel!$C$10="",ISNUMBER(SEARCH(SUBSTITUTE(SUBSTITUTE(SUBSTITUTE(Painel!$C$10,"~","~~"),"*","~*"),"?","~?"),A61&amp;" "&amp;H61&amp;" "&amp;I61))))),1,0)</f>
        <v>1</v>
      </c>
      <c r="Y61" s="14">
        <f t="shared" si="2"/>
        <v>0</v>
      </c>
      <c r="Z61" s="15">
        <f>IF(V61=0,"",IF(COUNTIFS(Andamentos!$K$10:$K$2009,"="&amp;SUBSTITUTE(SUBSTITUTE(SUBSTITUTE("P:"&amp;A61,"~","~~"),"*","~*"),"?","~?"),Andamentos!$G$10:$G$2009,1)=0,"",_xlfn.AGGREGATE(14,6,Andamentos!$D$10:$D$2009/((Andamentos!$K$10:$K$2009=AS61)*(Andamentos!$G$10:$G$2009=1)),1)))</f>
        <v>46031</v>
      </c>
      <c r="AA61" s="14">
        <f>IF(Z61="",0,COUNTIFS(Andamentos!$K$10:$K$2009,"="&amp;SUBSTITUTE(SUBSTITUTE(SUBSTITUTE("P:"&amp;A61,"~","~~"),"*","~*"),"?","~?"),Andamentos!$D$10:$D$2009,Z61,Andamentos!$G$10:$G$2009,1))</f>
        <v>1</v>
      </c>
      <c r="AB61" s="14">
        <f>IF(AA61=1,SUMIFS(Andamentos!$L$10:$L$2009,Andamentos!$K$10:$K$2009,"="&amp;SUBSTITUTE(SUBSTITUTE(SUBSTITUTE(AS61,"~","~~"),"*","~*"),"?","~?"),Andamentos!$D$10:$D$2009,Z61,Andamentos!$G$10:$G$2009,1)-9,0)</f>
        <v>52</v>
      </c>
      <c r="AC61" s="14" t="str">
        <f>IF(V61=0,"",IF(AA61&gt;1,"Conferir recebimentos empatados",IF(AB61=0,"Sem atualização",INDEX(Andamentos!$C$10:$C$2009,AB61))))</f>
        <v>03/09/2025 - Processo sobrestado. [...] histórico completo em Observações</v>
      </c>
      <c r="AD61" s="14">
        <f ca="1">IF(W61=0,0,IF(MAX(Z61,BD61)=0,1,IF(Configurar!$J$12-INT(MAX(Z61,BD61))&gt;Configurar!$J$11,1,0)))</f>
        <v>1</v>
      </c>
      <c r="AE61" s="16"/>
      <c r="AF61" s="14"/>
      <c r="AG61" s="14"/>
      <c r="AH61" s="14">
        <f>IF(AND(V61=1,COUNTIFS(Valores!$S$10:$S$509,"="&amp;SUBSTITUTE(SUBSTITUTE(SUBSTITUTE("P:"&amp;A61,"~","~~"),"*","~*"),"?","~?"))=1),(IF(ISNA(MATCH(SUBSTITUTE(SUBSTITUTE(SUBSTITUTE("P:"&amp;A61,"~","~~"),"*","~*"),"?","~?"),Valores!$S$10:$S$509,0)),9,INDEX(Valores!$R$10:$R$509,MATCH(SUBSTITUTE(SUBSTITUTE(SUBSTITUTE("P:"&amp;A61,"~","~~"),"*","~*"),"?","~?"),Valores!$S$10:$S$509,0)))-9),0)</f>
        <v>52</v>
      </c>
      <c r="AI61" s="40" t="str">
        <f t="shared" si="3"/>
        <v>Informe a empresa responsável</v>
      </c>
      <c r="AJ61" s="14" t="str">
        <f>IF(AND(X61=1,Y61=1),COUNTIFS($X$10:X61,1,$Y$10:Y61,1),"")</f>
        <v/>
      </c>
      <c r="AK61" s="14">
        <f>IF(X61=1,COUNTIFS($X$10:X61,1),"")</f>
        <v>52</v>
      </c>
      <c r="AL61" s="14">
        <f>IF(AND(V61=1,AND(OR(Painel!$L$6="Todas",E61=Painel!$L$6),OR(Painel!$C$8="Todos",F61=Painel!$C$8),OR(Painel!$L$8="Todos",G61=Painel!$L$8),OR(Painel!$C$10="",ISNUMBER(SEARCH(SUBSTITUTE(SUBSTITUTE(SUBSTITUTE(Painel!$C$10,"~","~~"),"*","~*"),"?","~?"),A61&amp;" "&amp;H61&amp;" "&amp;I61))))),1,0)</f>
        <v>1</v>
      </c>
      <c r="AM61" s="14">
        <f t="shared" si="4"/>
        <v>61</v>
      </c>
      <c r="AN61" s="14"/>
      <c r="AO61" s="14"/>
      <c r="AP61" s="16">
        <f>IF(AB61=0,"",IF(INDEX(Andamentos!$B$10:$B$2009,AB61)="","",INDEX(Andamentos!$B$10:$B$2009,AB61)))</f>
        <v>45903</v>
      </c>
      <c r="AQ61" s="17">
        <f>IF(AH61=0,"",IF(INDEX(Valores!$B$10:$B$509,AH61)="","",IF(ISNUMBER(INDEX(Valores!$B$10:$B$509,AH61)),INDEX(Valores!$B$10:$B$509,AH61),"")))</f>
        <v>65000</v>
      </c>
      <c r="AR61" s="14" t="str">
        <f t="shared" si="5"/>
        <v/>
      </c>
      <c r="AS61" s="14" t="str">
        <f t="shared" si="6"/>
        <v>P:0000743-86.2019.5.05.0581</v>
      </c>
      <c r="AT61" s="27" t="s">
        <v>499</v>
      </c>
      <c r="AU61" s="31" t="s">
        <v>495</v>
      </c>
      <c r="AV61" s="31"/>
      <c r="AW61" s="27" t="s">
        <v>280</v>
      </c>
      <c r="AX61" s="27"/>
      <c r="AY61" s="27"/>
      <c r="AZ61" s="27"/>
      <c r="BA61" s="30" t="str">
        <f t="shared" si="7"/>
        <v>0000743-86.2019.5.05.0581</v>
      </c>
      <c r="BB61" s="30" t="str">
        <f t="shared" si="8"/>
        <v/>
      </c>
      <c r="BC61" s="30">
        <f>IF(X61=0,0,IF(COUNTIFS($X$10:X61,1,$BA$10:BA61,BA61)=1,1,0))</f>
        <v>1</v>
      </c>
      <c r="BD61" s="29">
        <v>46031</v>
      </c>
    </row>
    <row r="62" spans="1:56" ht="42" customHeight="1">
      <c r="A62" s="41" t="s">
        <v>500</v>
      </c>
      <c r="B62" s="44" t="s">
        <v>161</v>
      </c>
      <c r="C62" s="44" t="s">
        <v>300</v>
      </c>
      <c r="D62" s="44" t="s">
        <v>163</v>
      </c>
      <c r="E62" s="44"/>
      <c r="F62" s="44" t="s">
        <v>182</v>
      </c>
      <c r="G62" s="44" t="s">
        <v>164</v>
      </c>
      <c r="H62" s="44" t="s">
        <v>501</v>
      </c>
      <c r="I62" s="44" t="s">
        <v>502</v>
      </c>
      <c r="J62" s="44" t="s">
        <v>503</v>
      </c>
      <c r="K62" s="44" t="s">
        <v>178</v>
      </c>
      <c r="L62" s="49"/>
      <c r="M62" s="48" t="s">
        <v>504</v>
      </c>
      <c r="N62" s="48" t="s">
        <v>170</v>
      </c>
      <c r="O62" s="48"/>
      <c r="P62" s="48"/>
      <c r="Q62" s="48"/>
      <c r="R62" s="48"/>
      <c r="S62" s="49"/>
      <c r="T62" s="48"/>
      <c r="U62" s="48" t="s">
        <v>505</v>
      </c>
      <c r="V62" s="14">
        <f t="shared" si="0"/>
        <v>1</v>
      </c>
      <c r="W62" s="14">
        <f t="shared" si="1"/>
        <v>1</v>
      </c>
      <c r="X62" s="14">
        <f>IF(AND(V62=1,OR(Painel!$C$6="Todos",D62=Painel!$C$6),AND(OR(Painel!$L$6="Todas",E62=Painel!$L$6),OR(Painel!$C$8="Todos",F62=Painel!$C$8),OR(Painel!$L$8="Todos",G62=Painel!$L$8),OR(Painel!$C$10="",ISNUMBER(SEARCH(SUBSTITUTE(SUBSTITUTE(SUBSTITUTE(Painel!$C$10,"~","~~"),"*","~*"),"?","~?"),A62&amp;" "&amp;H62&amp;" "&amp;I62))))),1,0)</f>
        <v>1</v>
      </c>
      <c r="Y62" s="14">
        <f t="shared" si="2"/>
        <v>0</v>
      </c>
      <c r="Z62" s="15">
        <f>IF(V62=0,"",IF(COUNTIFS(Andamentos!$K$10:$K$2009,"="&amp;SUBSTITUTE(SUBSTITUTE(SUBSTITUTE("P:"&amp;A62,"~","~~"),"*","~*"),"?","~?"),Andamentos!$G$10:$G$2009,1)=0,"",_xlfn.AGGREGATE(14,6,Andamentos!$D$10:$D$2009/((Andamentos!$K$10:$K$2009=AS62)*(Andamentos!$G$10:$G$2009=1)),1)))</f>
        <v>46075</v>
      </c>
      <c r="AA62" s="14">
        <f>IF(Z62="",0,COUNTIFS(Andamentos!$K$10:$K$2009,"="&amp;SUBSTITUTE(SUBSTITUTE(SUBSTITUTE("P:"&amp;A62,"~","~~"),"*","~*"),"?","~?"),Andamentos!$D$10:$D$2009,Z62,Andamentos!$G$10:$G$2009,1))</f>
        <v>1</v>
      </c>
      <c r="AB62" s="14">
        <f>IF(AA62=1,SUMIFS(Andamentos!$L$10:$L$2009,Andamentos!$K$10:$K$2009,"="&amp;SUBSTITUTE(SUBSTITUTE(SUBSTITUTE(AS62,"~","~~"),"*","~*"),"?","~?"),Andamentos!$D$10:$D$2009,Z62,Andamentos!$G$10:$G$2009,1)-9,0)</f>
        <v>53</v>
      </c>
      <c r="AC62" s="14" t="str">
        <f>IF(V62=0,"",IF(AA62&gt;1,"Conferir recebimentos empatados",IF(AB62=0,"Sem atualização",INDEX(Andamentos!$C$10:$C$2009,AB62))))</f>
        <v>29/01/2025 - Julgado improcedente embargos Serne. [...] histórico completo em Observações</v>
      </c>
      <c r="AD62" s="14">
        <f ca="1">IF(W62=0,0,IF(MAX(Z62,BD62)=0,1,IF(Configurar!$J$12-INT(MAX(Z62,BD62))&gt;Configurar!$J$11,1,0)))</f>
        <v>1</v>
      </c>
      <c r="AE62" s="16"/>
      <c r="AF62" s="14"/>
      <c r="AG62" s="14"/>
      <c r="AH62" s="14">
        <f>IF(AND(V62=1,COUNTIFS(Valores!$S$10:$S$509,"="&amp;SUBSTITUTE(SUBSTITUTE(SUBSTITUTE("P:"&amp;A62,"~","~~"),"*","~*"),"?","~?"))=1),(IF(ISNA(MATCH(SUBSTITUTE(SUBSTITUTE(SUBSTITUTE("P:"&amp;A62,"~","~~"),"*","~*"),"?","~?"),Valores!$S$10:$S$509,0)),9,INDEX(Valores!$R$10:$R$509,MATCH(SUBSTITUTE(SUBSTITUTE(SUBSTITUTE("P:"&amp;A62,"~","~~"),"*","~*"),"?","~?"),Valores!$S$10:$S$509,0)))-9),0)</f>
        <v>53</v>
      </c>
      <c r="AI62" s="40" t="str">
        <f t="shared" si="3"/>
        <v>Informe a empresa responsável</v>
      </c>
      <c r="AJ62" s="14" t="str">
        <f>IF(AND(X62=1,Y62=1),COUNTIFS($X$10:X62,1,$Y$10:Y62,1),"")</f>
        <v/>
      </c>
      <c r="AK62" s="14">
        <f>IF(X62=1,COUNTIFS($X$10:X62,1),"")</f>
        <v>53</v>
      </c>
      <c r="AL62" s="14">
        <f>IF(AND(V62=1,AND(OR(Painel!$L$6="Todas",E62=Painel!$L$6),OR(Painel!$C$8="Todos",F62=Painel!$C$8),OR(Painel!$L$8="Todos",G62=Painel!$L$8),OR(Painel!$C$10="",ISNUMBER(SEARCH(SUBSTITUTE(SUBSTITUTE(SUBSTITUTE(Painel!$C$10,"~","~~"),"*","~*"),"?","~?"),A62&amp;" "&amp;H62&amp;" "&amp;I62))))),1,0)</f>
        <v>1</v>
      </c>
      <c r="AM62" s="14">
        <f t="shared" si="4"/>
        <v>62</v>
      </c>
      <c r="AN62" s="14"/>
      <c r="AO62" s="14"/>
      <c r="AP62" s="16">
        <f>IF(AB62=0,"",IF(INDEX(Andamentos!$B$10:$B$2009,AB62)="","",INDEX(Andamentos!$B$10:$B$2009,AB62)))</f>
        <v>45686</v>
      </c>
      <c r="AQ62" s="17">
        <f>IF(AH62=0,"",IF(INDEX(Valores!$B$10:$B$509,AH62)="","",IF(ISNUMBER(INDEX(Valores!$B$10:$B$509,AH62)),INDEX(Valores!$B$10:$B$509,AH62),"")))</f>
        <v>32384.49</v>
      </c>
      <c r="AR62" s="14" t="str">
        <f t="shared" si="5"/>
        <v/>
      </c>
      <c r="AS62" s="14" t="str">
        <f t="shared" si="6"/>
        <v>P:0010451-80.2022.5.18.0101</v>
      </c>
      <c r="AT62" s="27" t="s">
        <v>506</v>
      </c>
      <c r="AU62" s="31" t="s">
        <v>500</v>
      </c>
      <c r="AV62" s="31"/>
      <c r="AW62" s="27" t="s">
        <v>280</v>
      </c>
      <c r="AX62" s="27" t="s">
        <v>246</v>
      </c>
      <c r="AY62" s="27"/>
      <c r="AZ62" s="27"/>
      <c r="BA62" s="30" t="str">
        <f t="shared" si="7"/>
        <v>0010451-80.2022.5.18.0101</v>
      </c>
      <c r="BB62" s="30" t="str">
        <f t="shared" si="8"/>
        <v/>
      </c>
      <c r="BC62" s="30">
        <f>IF(X62=0,0,IF(COUNTIFS($X$10:X62,1,$BA$10:BA62,BA62)=1,1,0))</f>
        <v>1</v>
      </c>
      <c r="BD62" s="29">
        <v>46075</v>
      </c>
    </row>
    <row r="63" spans="1:56" ht="42" customHeight="1">
      <c r="A63" s="41" t="s">
        <v>507</v>
      </c>
      <c r="B63" s="44" t="s">
        <v>161</v>
      </c>
      <c r="C63" s="44" t="s">
        <v>300</v>
      </c>
      <c r="D63" s="44" t="s">
        <v>163</v>
      </c>
      <c r="E63" s="44"/>
      <c r="F63" s="44" t="s">
        <v>182</v>
      </c>
      <c r="G63" s="44" t="s">
        <v>164</v>
      </c>
      <c r="H63" s="44" t="s">
        <v>508</v>
      </c>
      <c r="I63" s="44" t="s">
        <v>509</v>
      </c>
      <c r="J63" s="44" t="s">
        <v>503</v>
      </c>
      <c r="K63" s="44" t="s">
        <v>178</v>
      </c>
      <c r="L63" s="49"/>
      <c r="M63" s="48" t="s">
        <v>510</v>
      </c>
      <c r="N63" s="48" t="s">
        <v>170</v>
      </c>
      <c r="O63" s="48"/>
      <c r="P63" s="48"/>
      <c r="Q63" s="48"/>
      <c r="R63" s="48"/>
      <c r="S63" s="49"/>
      <c r="T63" s="48"/>
      <c r="U63" s="48" t="s">
        <v>511</v>
      </c>
      <c r="V63" s="14">
        <f t="shared" si="0"/>
        <v>1</v>
      </c>
      <c r="W63" s="14">
        <f t="shared" si="1"/>
        <v>1</v>
      </c>
      <c r="X63" s="14">
        <f>IF(AND(V63=1,OR(Painel!$C$6="Todos",D63=Painel!$C$6),AND(OR(Painel!$L$6="Todas",E63=Painel!$L$6),OR(Painel!$C$8="Todos",F63=Painel!$C$8),OR(Painel!$L$8="Todos",G63=Painel!$L$8),OR(Painel!$C$10="",ISNUMBER(SEARCH(SUBSTITUTE(SUBSTITUTE(SUBSTITUTE(Painel!$C$10,"~","~~"),"*","~*"),"?","~?"),A63&amp;" "&amp;H63&amp;" "&amp;I63))))),1,0)</f>
        <v>1</v>
      </c>
      <c r="Y63" s="14">
        <f t="shared" si="2"/>
        <v>0</v>
      </c>
      <c r="Z63" s="15">
        <f>IF(V63=0,"",IF(COUNTIFS(Andamentos!$K$10:$K$2009,"="&amp;SUBSTITUTE(SUBSTITUTE(SUBSTITUTE("P:"&amp;A63,"~","~~"),"*","~*"),"?","~?"),Andamentos!$G$10:$G$2009,1)=0,"",_xlfn.AGGREGATE(14,6,Andamentos!$D$10:$D$2009/((Andamentos!$K$10:$K$2009=AS63)*(Andamentos!$G$10:$G$2009=1)),1)))</f>
        <v>46094</v>
      </c>
      <c r="AA63" s="14">
        <f>IF(Z63="",0,COUNTIFS(Andamentos!$K$10:$K$2009,"="&amp;SUBSTITUTE(SUBSTITUTE(SUBSTITUTE("P:"&amp;A63,"~","~~"),"*","~*"),"?","~?"),Andamentos!$D$10:$D$2009,Z63,Andamentos!$G$10:$G$2009,1))</f>
        <v>1</v>
      </c>
      <c r="AB63" s="14">
        <f>IF(AA63=1,SUMIFS(Andamentos!$L$10:$L$2009,Andamentos!$K$10:$K$2009,"="&amp;SUBSTITUTE(SUBSTITUTE(SUBSTITUTE(AS63,"~","~~"),"*","~*"),"?","~?"),Andamentos!$D$10:$D$2009,Z63,Andamentos!$G$10:$G$2009,1)-9,0)</f>
        <v>54</v>
      </c>
      <c r="AC63" s="14" t="str">
        <f>IF(V63=0,"",IF(AA63&gt;1,"Conferir recebimentos empatados",IF(AB63=0,"Sem atualização",INDEX(Andamentos!$C$10:$C$2009,AB63))))</f>
        <v>20/02/2026 - Sentença mantendo a decisão. [...] histórico completo em Observações</v>
      </c>
      <c r="AD63" s="14">
        <f ca="1">IF(W63=0,0,IF(MAX(Z63,BD63)=0,1,IF(Configurar!$J$12-INT(MAX(Z63,BD63))&gt;Configurar!$J$11,1,0)))</f>
        <v>1</v>
      </c>
      <c r="AE63" s="16"/>
      <c r="AF63" s="14"/>
      <c r="AG63" s="14"/>
      <c r="AH63" s="14">
        <f>IF(AND(V63=1,COUNTIFS(Valores!$S$10:$S$509,"="&amp;SUBSTITUTE(SUBSTITUTE(SUBSTITUTE("P:"&amp;A63,"~","~~"),"*","~*"),"?","~?"))=1),(IF(ISNA(MATCH(SUBSTITUTE(SUBSTITUTE(SUBSTITUTE("P:"&amp;A63,"~","~~"),"*","~*"),"?","~?"),Valores!$S$10:$S$509,0)),9,INDEX(Valores!$R$10:$R$509,MATCH(SUBSTITUTE(SUBSTITUTE(SUBSTITUTE("P:"&amp;A63,"~","~~"),"*","~*"),"?","~?"),Valores!$S$10:$S$509,0)))-9),0)</f>
        <v>54</v>
      </c>
      <c r="AI63" s="40" t="str">
        <f t="shared" si="3"/>
        <v>Informe a empresa responsável</v>
      </c>
      <c r="AJ63" s="14" t="str">
        <f>IF(AND(X63=1,Y63=1),COUNTIFS($X$10:X63,1,$Y$10:Y63,1),"")</f>
        <v/>
      </c>
      <c r="AK63" s="14">
        <f>IF(X63=1,COUNTIFS($X$10:X63,1),"")</f>
        <v>54</v>
      </c>
      <c r="AL63" s="14">
        <f>IF(AND(V63=1,AND(OR(Painel!$L$6="Todas",E63=Painel!$L$6),OR(Painel!$C$8="Todos",F63=Painel!$C$8),OR(Painel!$L$8="Todos",G63=Painel!$L$8),OR(Painel!$C$10="",ISNUMBER(SEARCH(SUBSTITUTE(SUBSTITUTE(SUBSTITUTE(Painel!$C$10,"~","~~"),"*","~*"),"?","~?"),A63&amp;" "&amp;H63&amp;" "&amp;I63))))),1,0)</f>
        <v>1</v>
      </c>
      <c r="AM63" s="14">
        <f t="shared" si="4"/>
        <v>63</v>
      </c>
      <c r="AN63" s="14"/>
      <c r="AO63" s="14"/>
      <c r="AP63" s="16">
        <f>IF(AB63=0,"",IF(INDEX(Andamentos!$B$10:$B$2009,AB63)="","",INDEX(Andamentos!$B$10:$B$2009,AB63)))</f>
        <v>46073</v>
      </c>
      <c r="AQ63" s="17" t="str">
        <f>IF(AH63=0,"",IF(INDEX(Valores!$B$10:$B$509,AH63)="","",IF(ISNUMBER(INDEX(Valores!$B$10:$B$509,AH63)),INDEX(Valores!$B$10:$B$509,AH63),"")))</f>
        <v/>
      </c>
      <c r="AR63" s="14" t="str">
        <f t="shared" si="5"/>
        <v/>
      </c>
      <c r="AS63" s="14" t="str">
        <f t="shared" si="6"/>
        <v>P:0010450-95.2022.5.18.0101</v>
      </c>
      <c r="AT63" s="27" t="s">
        <v>512</v>
      </c>
      <c r="AU63" s="31" t="s">
        <v>507</v>
      </c>
      <c r="AV63" s="31"/>
      <c r="AW63" s="27" t="s">
        <v>280</v>
      </c>
      <c r="AX63" s="27" t="s">
        <v>246</v>
      </c>
      <c r="AY63" s="27"/>
      <c r="AZ63" s="27"/>
      <c r="BA63" s="30" t="str">
        <f t="shared" si="7"/>
        <v>0010450-95.2022.5.18.0101</v>
      </c>
      <c r="BB63" s="30" t="str">
        <f t="shared" si="8"/>
        <v/>
      </c>
      <c r="BC63" s="30">
        <f>IF(X63=0,0,IF(COUNTIFS($X$10:X63,1,$BA$10:BA63,BA63)=1,1,0))</f>
        <v>1</v>
      </c>
      <c r="BD63" s="29">
        <v>46094</v>
      </c>
    </row>
    <row r="64" spans="1:56" ht="42" customHeight="1">
      <c r="A64" s="41" t="s">
        <v>513</v>
      </c>
      <c r="B64" s="44" t="s">
        <v>161</v>
      </c>
      <c r="C64" s="44" t="s">
        <v>316</v>
      </c>
      <c r="D64" s="44" t="s">
        <v>163</v>
      </c>
      <c r="E64" s="44"/>
      <c r="F64" s="44" t="s">
        <v>182</v>
      </c>
      <c r="G64" s="44" t="s">
        <v>164</v>
      </c>
      <c r="H64" s="44" t="s">
        <v>514</v>
      </c>
      <c r="I64" s="44" t="s">
        <v>515</v>
      </c>
      <c r="J64" s="44" t="s">
        <v>516</v>
      </c>
      <c r="K64" s="44" t="s">
        <v>178</v>
      </c>
      <c r="L64" s="49"/>
      <c r="M64" s="48" t="s">
        <v>517</v>
      </c>
      <c r="N64" s="48" t="s">
        <v>170</v>
      </c>
      <c r="O64" s="48"/>
      <c r="P64" s="48"/>
      <c r="Q64" s="48"/>
      <c r="R64" s="48"/>
      <c r="S64" s="49"/>
      <c r="T64" s="48"/>
      <c r="U64" s="48" t="s">
        <v>518</v>
      </c>
      <c r="V64" s="14">
        <f t="shared" si="0"/>
        <v>1</v>
      </c>
      <c r="W64" s="14">
        <f t="shared" si="1"/>
        <v>1</v>
      </c>
      <c r="X64" s="14">
        <f>IF(AND(V64=1,OR(Painel!$C$6="Todos",D64=Painel!$C$6),AND(OR(Painel!$L$6="Todas",E64=Painel!$L$6),OR(Painel!$C$8="Todos",F64=Painel!$C$8),OR(Painel!$L$8="Todos",G64=Painel!$L$8),OR(Painel!$C$10="",ISNUMBER(SEARCH(SUBSTITUTE(SUBSTITUTE(SUBSTITUTE(Painel!$C$10,"~","~~"),"*","~*"),"?","~?"),A64&amp;" "&amp;H64&amp;" "&amp;I64))))),1,0)</f>
        <v>1</v>
      </c>
      <c r="Y64" s="14">
        <f t="shared" si="2"/>
        <v>0</v>
      </c>
      <c r="Z64" s="15">
        <f>IF(V64=0,"",IF(COUNTIFS(Andamentos!$K$10:$K$2009,"="&amp;SUBSTITUTE(SUBSTITUTE(SUBSTITUTE("P:"&amp;A64,"~","~~"),"*","~*"),"?","~?"),Andamentos!$G$10:$G$2009,1)=0,"",_xlfn.AGGREGATE(14,6,Andamentos!$D$10:$D$2009/((Andamentos!$K$10:$K$2009=AS64)*(Andamentos!$G$10:$G$2009=1)),1)))</f>
        <v>45653</v>
      </c>
      <c r="AA64" s="14">
        <f>IF(Z64="",0,COUNTIFS(Andamentos!$K$10:$K$2009,"="&amp;SUBSTITUTE(SUBSTITUTE(SUBSTITUTE("P:"&amp;A64,"~","~~"),"*","~*"),"?","~?"),Andamentos!$D$10:$D$2009,Z64,Andamentos!$G$10:$G$2009,1))</f>
        <v>1</v>
      </c>
      <c r="AB64" s="14">
        <f>IF(AA64=1,SUMIFS(Andamentos!$L$10:$L$2009,Andamentos!$K$10:$K$2009,"="&amp;SUBSTITUTE(SUBSTITUTE(SUBSTITUTE(AS64,"~","~~"),"*","~*"),"?","~?"),Andamentos!$D$10:$D$2009,Z64,Andamentos!$G$10:$G$2009,1)-9,0)</f>
        <v>55</v>
      </c>
      <c r="AC64" s="14" t="str">
        <f>IF(V64=0,"",IF(AA64&gt;1,"Conferir recebimentos empatados",IF(AB64=0,"Sem atualização",INDEX(Andamentos!$C$10:$C$2009,AB64))))</f>
        <v>28/08/2024 - Suspenso o processo por execução frustrada [...] histórico completo em Observações</v>
      </c>
      <c r="AD64" s="14">
        <f ca="1">IF(W64=0,0,IF(MAX(Z64,BD64)=0,1,IF(Configurar!$J$12-INT(MAX(Z64,BD64))&gt;Configurar!$J$11,1,0)))</f>
        <v>1</v>
      </c>
      <c r="AE64" s="16"/>
      <c r="AF64" s="14"/>
      <c r="AG64" s="14"/>
      <c r="AH64" s="14">
        <f>IF(AND(V64=1,COUNTIFS(Valores!$S$10:$S$509,"="&amp;SUBSTITUTE(SUBSTITUTE(SUBSTITUTE("P:"&amp;A64,"~","~~"),"*","~*"),"?","~?"))=1),(IF(ISNA(MATCH(SUBSTITUTE(SUBSTITUTE(SUBSTITUTE("P:"&amp;A64,"~","~~"),"*","~*"),"?","~?"),Valores!$S$10:$S$509,0)),9,INDEX(Valores!$R$10:$R$509,MATCH(SUBSTITUTE(SUBSTITUTE(SUBSTITUTE("P:"&amp;A64,"~","~~"),"*","~*"),"?","~?"),Valores!$S$10:$S$509,0)))-9),0)</f>
        <v>55</v>
      </c>
      <c r="AI64" s="40" t="str">
        <f t="shared" si="3"/>
        <v>Informe a empresa responsável</v>
      </c>
      <c r="AJ64" s="14" t="str">
        <f>IF(AND(X64=1,Y64=1),COUNTIFS($X$10:X64,1,$Y$10:Y64,1),"")</f>
        <v/>
      </c>
      <c r="AK64" s="14">
        <f>IF(X64=1,COUNTIFS($X$10:X64,1),"")</f>
        <v>55</v>
      </c>
      <c r="AL64" s="14">
        <f>IF(AND(V64=1,AND(OR(Painel!$L$6="Todas",E64=Painel!$L$6),OR(Painel!$C$8="Todos",F64=Painel!$C$8),OR(Painel!$L$8="Todos",G64=Painel!$L$8),OR(Painel!$C$10="",ISNUMBER(SEARCH(SUBSTITUTE(SUBSTITUTE(SUBSTITUTE(Painel!$C$10,"~","~~"),"*","~*"),"?","~?"),A64&amp;" "&amp;H64&amp;" "&amp;I64))))),1,0)</f>
        <v>1</v>
      </c>
      <c r="AM64" s="14">
        <f t="shared" si="4"/>
        <v>64</v>
      </c>
      <c r="AN64" s="14"/>
      <c r="AO64" s="14"/>
      <c r="AP64" s="16">
        <f>IF(AB64=0,"",IF(INDEX(Andamentos!$B$10:$B$2009,AB64)="","",INDEX(Andamentos!$B$10:$B$2009,AB64)))</f>
        <v>45532</v>
      </c>
      <c r="AQ64" s="17">
        <f>IF(AH64=0,"",IF(INDEX(Valores!$B$10:$B$509,AH64)="","",IF(ISNUMBER(INDEX(Valores!$B$10:$B$509,AH64)),INDEX(Valores!$B$10:$B$509,AH64),"")))</f>
        <v>18421.18</v>
      </c>
      <c r="AR64" s="14" t="str">
        <f t="shared" si="5"/>
        <v/>
      </c>
      <c r="AS64" s="14" t="str">
        <f t="shared" si="6"/>
        <v>P:0010076-73.2022.5.18.0103</v>
      </c>
      <c r="AT64" s="27" t="s">
        <v>519</v>
      </c>
      <c r="AU64" s="31" t="s">
        <v>513</v>
      </c>
      <c r="AV64" s="31"/>
      <c r="AW64" s="27" t="s">
        <v>280</v>
      </c>
      <c r="AX64" s="27" t="s">
        <v>246</v>
      </c>
      <c r="AY64" s="27"/>
      <c r="AZ64" s="27"/>
      <c r="BA64" s="30" t="str">
        <f t="shared" si="7"/>
        <v>0010076-73.2022.5.18.0103</v>
      </c>
      <c r="BB64" s="30" t="str">
        <f t="shared" si="8"/>
        <v/>
      </c>
      <c r="BC64" s="30">
        <f>IF(X64=0,0,IF(COUNTIFS($X$10:X64,1,$BA$10:BA64,BA64)=1,1,0))</f>
        <v>1</v>
      </c>
      <c r="BD64" s="29">
        <v>45653</v>
      </c>
    </row>
    <row r="65" spans="1:56" ht="42" customHeight="1">
      <c r="A65" s="41" t="s">
        <v>520</v>
      </c>
      <c r="B65" s="44" t="s">
        <v>161</v>
      </c>
      <c r="C65" s="44" t="s">
        <v>300</v>
      </c>
      <c r="D65" s="44" t="s">
        <v>163</v>
      </c>
      <c r="E65" s="44"/>
      <c r="F65" s="44" t="s">
        <v>182</v>
      </c>
      <c r="G65" s="44" t="s">
        <v>164</v>
      </c>
      <c r="H65" s="44" t="s">
        <v>521</v>
      </c>
      <c r="I65" s="44" t="s">
        <v>522</v>
      </c>
      <c r="J65" s="44" t="s">
        <v>461</v>
      </c>
      <c r="K65" s="44" t="s">
        <v>178</v>
      </c>
      <c r="L65" s="49"/>
      <c r="M65" s="48" t="s">
        <v>523</v>
      </c>
      <c r="N65" s="48" t="s">
        <v>170</v>
      </c>
      <c r="O65" s="48"/>
      <c r="P65" s="48"/>
      <c r="Q65" s="48"/>
      <c r="R65" s="48"/>
      <c r="S65" s="49"/>
      <c r="T65" s="48"/>
      <c r="U65" s="48" t="s">
        <v>524</v>
      </c>
      <c r="V65" s="14">
        <f t="shared" si="0"/>
        <v>1</v>
      </c>
      <c r="W65" s="14">
        <f t="shared" si="1"/>
        <v>1</v>
      </c>
      <c r="X65" s="14">
        <f>IF(AND(V65=1,OR(Painel!$C$6="Todos",D65=Painel!$C$6),AND(OR(Painel!$L$6="Todas",E65=Painel!$L$6),OR(Painel!$C$8="Todos",F65=Painel!$C$8),OR(Painel!$L$8="Todos",G65=Painel!$L$8),OR(Painel!$C$10="",ISNUMBER(SEARCH(SUBSTITUTE(SUBSTITUTE(SUBSTITUTE(Painel!$C$10,"~","~~"),"*","~*"),"?","~?"),A65&amp;" "&amp;H65&amp;" "&amp;I65))))),1,0)</f>
        <v>1</v>
      </c>
      <c r="Y65" s="14">
        <f t="shared" si="2"/>
        <v>0</v>
      </c>
      <c r="Z65" s="15">
        <f>IF(V65=0,"",IF(COUNTIFS(Andamentos!$K$10:$K$2009,"="&amp;SUBSTITUTE(SUBSTITUTE(SUBSTITUTE("P:"&amp;A65,"~","~~"),"*","~*"),"?","~?"),Andamentos!$G$10:$G$2009,1)=0,"",_xlfn.AGGREGATE(14,6,Andamentos!$D$10:$D$2009/((Andamentos!$K$10:$K$2009=AS65)*(Andamentos!$G$10:$G$2009=1)),1)))</f>
        <v>46084</v>
      </c>
      <c r="AA65" s="14">
        <f>IF(Z65="",0,COUNTIFS(Andamentos!$K$10:$K$2009,"="&amp;SUBSTITUTE(SUBSTITUTE(SUBSTITUTE("P:"&amp;A65,"~","~~"),"*","~*"),"?","~?"),Andamentos!$D$10:$D$2009,Z65,Andamentos!$G$10:$G$2009,1))</f>
        <v>1</v>
      </c>
      <c r="AB65" s="14">
        <f>IF(AA65=1,SUMIFS(Andamentos!$L$10:$L$2009,Andamentos!$K$10:$K$2009,"="&amp;SUBSTITUTE(SUBSTITUTE(SUBSTITUTE(AS65,"~","~~"),"*","~*"),"?","~?"),Andamentos!$D$10:$D$2009,Z65,Andamentos!$G$10:$G$2009,1)-9,0)</f>
        <v>56</v>
      </c>
      <c r="AC65" s="14" t="str">
        <f>IF(V65=0,"",IF(AA65&gt;1,"Conferir recebimentos empatados",IF(AB65=0,"Sem atualização",INDEX(Andamentos!$C$10:$C$2009,AB65))))</f>
        <v>03/03/2026 - Conclusos para despacho. [...] histórico completo em Observações</v>
      </c>
      <c r="AD65" s="14">
        <f ca="1">IF(W65=0,0,IF(MAX(Z65,BD65)=0,1,IF(Configurar!$J$12-INT(MAX(Z65,BD65))&gt;Configurar!$J$11,1,0)))</f>
        <v>1</v>
      </c>
      <c r="AE65" s="16"/>
      <c r="AF65" s="14"/>
      <c r="AG65" s="14"/>
      <c r="AH65" s="14">
        <f>IF(AND(V65=1,COUNTIFS(Valores!$S$10:$S$509,"="&amp;SUBSTITUTE(SUBSTITUTE(SUBSTITUTE("P:"&amp;A65,"~","~~"),"*","~*"),"?","~?"))=1),(IF(ISNA(MATCH(SUBSTITUTE(SUBSTITUTE(SUBSTITUTE("P:"&amp;A65,"~","~~"),"*","~*"),"?","~?"),Valores!$S$10:$S$509,0)),9,INDEX(Valores!$R$10:$R$509,MATCH(SUBSTITUTE(SUBSTITUTE(SUBSTITUTE("P:"&amp;A65,"~","~~"),"*","~*"),"?","~?"),Valores!$S$10:$S$509,0)))-9),0)</f>
        <v>56</v>
      </c>
      <c r="AI65" s="40" t="str">
        <f t="shared" si="3"/>
        <v>Informe a empresa responsável</v>
      </c>
      <c r="AJ65" s="14" t="str">
        <f>IF(AND(X65=1,Y65=1),COUNTIFS($X$10:X65,1,$Y$10:Y65,1),"")</f>
        <v/>
      </c>
      <c r="AK65" s="14">
        <f>IF(X65=1,COUNTIFS($X$10:X65,1),"")</f>
        <v>56</v>
      </c>
      <c r="AL65" s="14">
        <f>IF(AND(V65=1,AND(OR(Painel!$L$6="Todas",E65=Painel!$L$6),OR(Painel!$C$8="Todos",F65=Painel!$C$8),OR(Painel!$L$8="Todos",G65=Painel!$L$8),OR(Painel!$C$10="",ISNUMBER(SEARCH(SUBSTITUTE(SUBSTITUTE(SUBSTITUTE(Painel!$C$10,"~","~~"),"*","~*"),"?","~?"),A65&amp;" "&amp;H65&amp;" "&amp;I65))))),1,0)</f>
        <v>1</v>
      </c>
      <c r="AM65" s="14">
        <f t="shared" si="4"/>
        <v>65</v>
      </c>
      <c r="AN65" s="14"/>
      <c r="AO65" s="14"/>
      <c r="AP65" s="16">
        <f>IF(AB65=0,"",IF(INDEX(Andamentos!$B$10:$B$2009,AB65)="","",INDEX(Andamentos!$B$10:$B$2009,AB65)))</f>
        <v>46084</v>
      </c>
      <c r="AQ65" s="17">
        <f>IF(AH65=0,"",IF(INDEX(Valores!$B$10:$B$509,AH65)="","",IF(ISNUMBER(INDEX(Valores!$B$10:$B$509,AH65)),INDEX(Valores!$B$10:$B$509,AH65),"")))</f>
        <v>32021.55</v>
      </c>
      <c r="AR65" s="14" t="str">
        <f t="shared" si="5"/>
        <v/>
      </c>
      <c r="AS65" s="14" t="str">
        <f t="shared" si="6"/>
        <v>P:0010751-67.2021.5.18.0104</v>
      </c>
      <c r="AT65" s="27" t="s">
        <v>525</v>
      </c>
      <c r="AU65" s="31" t="s">
        <v>520</v>
      </c>
      <c r="AV65" s="31"/>
      <c r="AW65" s="27" t="s">
        <v>280</v>
      </c>
      <c r="AX65" s="27" t="s">
        <v>246</v>
      </c>
      <c r="AY65" s="27"/>
      <c r="AZ65" s="27"/>
      <c r="BA65" s="30" t="str">
        <f t="shared" si="7"/>
        <v>0010751-67.2021.5.18.0104</v>
      </c>
      <c r="BB65" s="30" t="str">
        <f t="shared" si="8"/>
        <v/>
      </c>
      <c r="BC65" s="30">
        <f>IF(X65=0,0,IF(COUNTIFS($X$10:X65,1,$BA$10:BA65,BA65)=1,1,0))</f>
        <v>1</v>
      </c>
      <c r="BD65" s="29">
        <v>46084</v>
      </c>
    </row>
    <row r="66" spans="1:56" ht="42" customHeight="1">
      <c r="A66" s="41" t="s">
        <v>526</v>
      </c>
      <c r="B66" s="44" t="s">
        <v>161</v>
      </c>
      <c r="C66" s="44" t="s">
        <v>162</v>
      </c>
      <c r="D66" s="44" t="s">
        <v>163</v>
      </c>
      <c r="E66" s="44"/>
      <c r="F66" s="44" t="s">
        <v>446</v>
      </c>
      <c r="G66" s="44" t="s">
        <v>164</v>
      </c>
      <c r="H66" s="44" t="s">
        <v>527</v>
      </c>
      <c r="I66" s="44" t="s">
        <v>528</v>
      </c>
      <c r="J66" s="44" t="s">
        <v>529</v>
      </c>
      <c r="K66" s="44" t="s">
        <v>450</v>
      </c>
      <c r="L66" s="49"/>
      <c r="M66" s="48"/>
      <c r="N66" s="48" t="s">
        <v>170</v>
      </c>
      <c r="O66" s="48"/>
      <c r="P66" s="48"/>
      <c r="Q66" s="48"/>
      <c r="R66" s="48"/>
      <c r="S66" s="49"/>
      <c r="T66" s="48"/>
      <c r="U66" s="48" t="s">
        <v>530</v>
      </c>
      <c r="V66" s="14">
        <f t="shared" si="0"/>
        <v>1</v>
      </c>
      <c r="W66" s="14">
        <f t="shared" si="1"/>
        <v>0</v>
      </c>
      <c r="X66" s="14">
        <f>IF(AND(V66=1,OR(Painel!$C$6="Todos",D66=Painel!$C$6),AND(OR(Painel!$L$6="Todas",E66=Painel!$L$6),OR(Painel!$C$8="Todos",F66=Painel!$C$8),OR(Painel!$L$8="Todos",G66=Painel!$L$8),OR(Painel!$C$10="",ISNUMBER(SEARCH(SUBSTITUTE(SUBSTITUTE(SUBSTITUTE(Painel!$C$10,"~","~~"),"*","~*"),"?","~?"),A66&amp;" "&amp;H66&amp;" "&amp;I66))))),1,0)</f>
        <v>1</v>
      </c>
      <c r="Y66" s="14">
        <f t="shared" si="2"/>
        <v>0</v>
      </c>
      <c r="Z66" s="15">
        <f>IF(V66=0,"",IF(COUNTIFS(Andamentos!$K$10:$K$2009,"="&amp;SUBSTITUTE(SUBSTITUTE(SUBSTITUTE("P:"&amp;A66,"~","~~"),"*","~*"),"?","~?"),Andamentos!$G$10:$G$2009,1)=0,"",_xlfn.AGGREGATE(14,6,Andamentos!$D$10:$D$2009/((Andamentos!$K$10:$K$2009=AS66)*(Andamentos!$G$10:$G$2009=1)),1)))</f>
        <v>46049</v>
      </c>
      <c r="AA66" s="14">
        <f>IF(Z66="",0,COUNTIFS(Andamentos!$K$10:$K$2009,"="&amp;SUBSTITUTE(SUBSTITUTE(SUBSTITUTE("P:"&amp;A66,"~","~~"),"*","~*"),"?","~?"),Andamentos!$D$10:$D$2009,Z66,Andamentos!$G$10:$G$2009,1))</f>
        <v>1</v>
      </c>
      <c r="AB66" s="14">
        <f>IF(AA66=1,SUMIFS(Andamentos!$L$10:$L$2009,Andamentos!$K$10:$K$2009,"="&amp;SUBSTITUTE(SUBSTITUTE(SUBSTITUTE(AS66,"~","~~"),"*","~*"),"?","~?"),Andamentos!$D$10:$D$2009,Z66,Andamentos!$G$10:$G$2009,1)-9,0)</f>
        <v>57</v>
      </c>
      <c r="AC66" s="14" t="str">
        <f>IF(V66=0,"",IF(AA66&gt;1,"Conferir recebimentos empatados",IF(AB66=0,"Sem atualização",INDEX(Andamentos!$C$10:$C$2009,AB66))))</f>
        <v>14/08/2023 - Determinado o registro de protesto da dívida em nome do Consórcio. [...] histórico completo em Observações</v>
      </c>
      <c r="AD66" s="14">
        <f>IF(W66=0,0,IF(MAX(Z66,BD66)=0,1,IF(Configurar!$J$12-INT(MAX(Z66,BD66))&gt;Configurar!$J$11,1,0)))</f>
        <v>0</v>
      </c>
      <c r="AE66" s="16"/>
      <c r="AF66" s="14"/>
      <c r="AG66" s="14"/>
      <c r="AH66" s="14">
        <f>IF(AND(V66=1,COUNTIFS(Valores!$S$10:$S$509,"="&amp;SUBSTITUTE(SUBSTITUTE(SUBSTITUTE("P:"&amp;A66,"~","~~"),"*","~*"),"?","~?"))=1),(IF(ISNA(MATCH(SUBSTITUTE(SUBSTITUTE(SUBSTITUTE("P:"&amp;A66,"~","~~"),"*","~*"),"?","~?"),Valores!$S$10:$S$509,0)),9,INDEX(Valores!$R$10:$R$509,MATCH(SUBSTITUTE(SUBSTITUTE(SUBSTITUTE("P:"&amp;A66,"~","~~"),"*","~*"),"?","~?"),Valores!$S$10:$S$509,0)))-9),0)</f>
        <v>57</v>
      </c>
      <c r="AI66" s="40" t="str">
        <f t="shared" si="3"/>
        <v>Informe a empresa responsável</v>
      </c>
      <c r="AJ66" s="14" t="str">
        <f>IF(AND(X66=1,Y66=1),COUNTIFS($X$10:X66,1,$Y$10:Y66,1),"")</f>
        <v/>
      </c>
      <c r="AK66" s="14">
        <f>IF(X66=1,COUNTIFS($X$10:X66,1),"")</f>
        <v>57</v>
      </c>
      <c r="AL66" s="14">
        <f>IF(AND(V66=1,AND(OR(Painel!$L$6="Todas",E66=Painel!$L$6),OR(Painel!$C$8="Todos",F66=Painel!$C$8),OR(Painel!$L$8="Todos",G66=Painel!$L$8),OR(Painel!$C$10="",ISNUMBER(SEARCH(SUBSTITUTE(SUBSTITUTE(SUBSTITUTE(Painel!$C$10,"~","~~"),"*","~*"),"?","~?"),A66&amp;" "&amp;H66&amp;" "&amp;I66))))),1,0)</f>
        <v>1</v>
      </c>
      <c r="AM66" s="14">
        <f t="shared" si="4"/>
        <v>66</v>
      </c>
      <c r="AN66" s="14"/>
      <c r="AO66" s="14"/>
      <c r="AP66" s="16">
        <f>IF(AB66=0,"",IF(INDEX(Andamentos!$B$10:$B$2009,AB66)="","",INDEX(Andamentos!$B$10:$B$2009,AB66)))</f>
        <v>45152</v>
      </c>
      <c r="AQ66" s="17">
        <f>IF(AH66=0,"",IF(INDEX(Valores!$B$10:$B$509,AH66)="","",IF(ISNUMBER(INDEX(Valores!$B$10:$B$509,AH66)),INDEX(Valores!$B$10:$B$509,AH66),"")))</f>
        <v>38850.050000000003</v>
      </c>
      <c r="AR66" s="14" t="str">
        <f t="shared" si="5"/>
        <v/>
      </c>
      <c r="AS66" s="14" t="str">
        <f t="shared" si="6"/>
        <v>P:0010733-31.2019.5.03.0105</v>
      </c>
      <c r="AT66" s="27" t="s">
        <v>531</v>
      </c>
      <c r="AU66" s="31" t="s">
        <v>526</v>
      </c>
      <c r="AV66" s="31"/>
      <c r="AW66" s="27" t="s">
        <v>162</v>
      </c>
      <c r="AX66" s="27"/>
      <c r="AY66" s="27"/>
      <c r="AZ66" s="27"/>
      <c r="BA66" s="30" t="str">
        <f t="shared" si="7"/>
        <v>0010733-31.2019.5.03.0105</v>
      </c>
      <c r="BB66" s="30" t="str">
        <f t="shared" si="8"/>
        <v/>
      </c>
      <c r="BC66" s="30">
        <f>IF(X66=0,0,IF(COUNTIFS($X$10:X66,1,$BA$10:BA66,BA66)=1,1,0))</f>
        <v>1</v>
      </c>
      <c r="BD66" s="29">
        <v>46049</v>
      </c>
    </row>
    <row r="67" spans="1:56" ht="42" customHeight="1">
      <c r="A67" s="41" t="s">
        <v>532</v>
      </c>
      <c r="B67" s="44" t="s">
        <v>161</v>
      </c>
      <c r="C67" s="44" t="s">
        <v>300</v>
      </c>
      <c r="D67" s="44" t="s">
        <v>163</v>
      </c>
      <c r="E67" s="44"/>
      <c r="F67" s="44" t="s">
        <v>182</v>
      </c>
      <c r="G67" s="44" t="s">
        <v>164</v>
      </c>
      <c r="H67" s="44" t="s">
        <v>533</v>
      </c>
      <c r="I67" s="44" t="s">
        <v>534</v>
      </c>
      <c r="J67" s="44" t="s">
        <v>401</v>
      </c>
      <c r="K67" s="44" t="s">
        <v>178</v>
      </c>
      <c r="L67" s="49"/>
      <c r="M67" s="48" t="s">
        <v>535</v>
      </c>
      <c r="N67" s="48" t="s">
        <v>376</v>
      </c>
      <c r="O67" s="48"/>
      <c r="P67" s="48"/>
      <c r="Q67" s="48" t="s">
        <v>377</v>
      </c>
      <c r="R67" s="48"/>
      <c r="S67" s="49"/>
      <c r="T67" s="48"/>
      <c r="U67" s="48" t="s">
        <v>536</v>
      </c>
      <c r="V67" s="14">
        <f t="shared" si="0"/>
        <v>1</v>
      </c>
      <c r="W67" s="14">
        <f t="shared" si="1"/>
        <v>1</v>
      </c>
      <c r="X67" s="14">
        <f>IF(AND(V67=1,OR(Painel!$C$6="Todos",D67=Painel!$C$6),AND(OR(Painel!$L$6="Todas",E67=Painel!$L$6),OR(Painel!$C$8="Todos",F67=Painel!$C$8),OR(Painel!$L$8="Todos",G67=Painel!$L$8),OR(Painel!$C$10="",ISNUMBER(SEARCH(SUBSTITUTE(SUBSTITUTE(SUBSTITUTE(Painel!$C$10,"~","~~"),"*","~*"),"?","~?"),A67&amp;" "&amp;H67&amp;" "&amp;I67))))),1,0)</f>
        <v>1</v>
      </c>
      <c r="Y67" s="14">
        <f t="shared" si="2"/>
        <v>0</v>
      </c>
      <c r="Z67" s="15">
        <f>IF(V67=0,"",IF(COUNTIFS(Andamentos!$K$10:$K$2009,"="&amp;SUBSTITUTE(SUBSTITUTE(SUBSTITUTE("P:"&amp;A67,"~","~~"),"*","~*"),"?","~?"),Andamentos!$G$10:$G$2009,1)=0,"",_xlfn.AGGREGATE(14,6,Andamentos!$D$10:$D$2009/((Andamentos!$K$10:$K$2009=AS67)*(Andamentos!$G$10:$G$2009=1)),1)))</f>
        <v>46267</v>
      </c>
      <c r="AA67" s="14">
        <f>IF(Z67="",0,COUNTIFS(Andamentos!$K$10:$K$2009,"="&amp;SUBSTITUTE(SUBSTITUTE(SUBSTITUTE("P:"&amp;A67,"~","~~"),"*","~*"),"?","~?"),Andamentos!$D$10:$D$2009,Z67,Andamentos!$G$10:$G$2009,1))</f>
        <v>1</v>
      </c>
      <c r="AB67" s="14">
        <f>IF(AA67=1,SUMIFS(Andamentos!$L$10:$L$2009,Andamentos!$K$10:$K$2009,"="&amp;SUBSTITUTE(SUBSTITUTE(SUBSTITUTE(AS67,"~","~~"),"*","~*"),"?","~?"),Andamentos!$D$10:$D$2009,Z67,Andamentos!$G$10:$G$2009,1)-9,0)</f>
        <v>58</v>
      </c>
      <c r="AC67" s="14" t="str">
        <f>IF(V67=0,"",IF(AA67&gt;1,"Conferir recebimentos empatados",IF(AB67=0,"Sem atualização",INDEX(Andamentos!$C$10:$C$2009,AB67))))</f>
        <v>02/09/2026 - Tendo havido o bloqueio integral do valor pela Alta, após o pagamento o processo será baixado. [...] histórico completo em Observações</v>
      </c>
      <c r="AD67" s="14">
        <f ca="1">IF(W67=0,0,IF(MAX(Z67,BD67)=0,1,IF(Configurar!$J$12-INT(MAX(Z67,BD67))&gt;Configurar!$J$11,1,0)))</f>
        <v>1</v>
      </c>
      <c r="AE67" s="16"/>
      <c r="AF67" s="14"/>
      <c r="AG67" s="14"/>
      <c r="AH67" s="14">
        <f>IF(AND(V67=1,COUNTIFS(Valores!$S$10:$S$509,"="&amp;SUBSTITUTE(SUBSTITUTE(SUBSTITUTE("P:"&amp;A67,"~","~~"),"*","~*"),"?","~?"))=1),(IF(ISNA(MATCH(SUBSTITUTE(SUBSTITUTE(SUBSTITUTE("P:"&amp;A67,"~","~~"),"*","~*"),"?","~?"),Valores!$S$10:$S$509,0)),9,INDEX(Valores!$R$10:$R$509,MATCH(SUBSTITUTE(SUBSTITUTE(SUBSTITUTE("P:"&amp;A67,"~","~~"),"*","~*"),"?","~?"),Valores!$S$10:$S$509,0)))-9),0)</f>
        <v>58</v>
      </c>
      <c r="AI67" s="40" t="str">
        <f t="shared" si="3"/>
        <v>Informe a empresa responsável</v>
      </c>
      <c r="AJ67" s="14" t="str">
        <f>IF(AND(X67=1,Y67=1),COUNTIFS($X$10:X67,1,$Y$10:Y67,1),"")</f>
        <v/>
      </c>
      <c r="AK67" s="14">
        <f>IF(X67=1,COUNTIFS($X$10:X67,1),"")</f>
        <v>58</v>
      </c>
      <c r="AL67" s="14">
        <f>IF(AND(V67=1,AND(OR(Painel!$L$6="Todas",E67=Painel!$L$6),OR(Painel!$C$8="Todos",F67=Painel!$C$8),OR(Painel!$L$8="Todos",G67=Painel!$L$8),OR(Painel!$C$10="",ISNUMBER(SEARCH(SUBSTITUTE(SUBSTITUTE(SUBSTITUTE(Painel!$C$10,"~","~~"),"*","~*"),"?","~?"),A67&amp;" "&amp;H67&amp;" "&amp;I67))))),1,0)</f>
        <v>1</v>
      </c>
      <c r="AM67" s="14">
        <f t="shared" si="4"/>
        <v>67</v>
      </c>
      <c r="AN67" s="14"/>
      <c r="AO67" s="14"/>
      <c r="AP67" s="16">
        <f>IF(AB67=0,"",IF(INDEX(Andamentos!$B$10:$B$2009,AB67)="","",INDEX(Andamentos!$B$10:$B$2009,AB67)))</f>
        <v>46267</v>
      </c>
      <c r="AQ67" s="17">
        <f>IF(AH67=0,"",IF(INDEX(Valores!$B$10:$B$509,AH67)="","",IF(ISNUMBER(INDEX(Valores!$B$10:$B$509,AH67)),INDEX(Valores!$B$10:$B$509,AH67),"")))</f>
        <v>29289.47</v>
      </c>
      <c r="AR67" s="14" t="str">
        <f t="shared" si="5"/>
        <v/>
      </c>
      <c r="AS67" s="14" t="str">
        <f t="shared" si="6"/>
        <v>P:0010751-72.2018.5.18.0104</v>
      </c>
      <c r="AT67" s="27" t="s">
        <v>537</v>
      </c>
      <c r="AU67" s="31" t="s">
        <v>532</v>
      </c>
      <c r="AV67" s="31"/>
      <c r="AW67" s="27" t="s">
        <v>280</v>
      </c>
      <c r="AX67" s="27" t="s">
        <v>380</v>
      </c>
      <c r="AY67" s="27"/>
      <c r="AZ67" s="27"/>
      <c r="BA67" s="30" t="str">
        <f t="shared" si="7"/>
        <v>0010751-72.2018.5.18.0104</v>
      </c>
      <c r="BB67" s="30" t="str">
        <f t="shared" si="8"/>
        <v/>
      </c>
      <c r="BC67" s="30">
        <f>IF(X67=0,0,IF(COUNTIFS($X$10:X67,1,$BA$10:BA67,BA67)=1,1,0))</f>
        <v>1</v>
      </c>
      <c r="BD67" s="29">
        <v>46267</v>
      </c>
    </row>
    <row r="68" spans="1:56" ht="42" customHeight="1">
      <c r="A68" s="41" t="s">
        <v>538</v>
      </c>
      <c r="B68" s="44" t="s">
        <v>161</v>
      </c>
      <c r="C68" s="44" t="s">
        <v>162</v>
      </c>
      <c r="D68" s="44" t="s">
        <v>163</v>
      </c>
      <c r="E68" s="44"/>
      <c r="F68" s="44" t="s">
        <v>206</v>
      </c>
      <c r="G68" s="44" t="s">
        <v>164</v>
      </c>
      <c r="H68" s="44" t="s">
        <v>539</v>
      </c>
      <c r="I68" s="44" t="s">
        <v>540</v>
      </c>
      <c r="J68" s="44" t="s">
        <v>541</v>
      </c>
      <c r="K68" s="44" t="s">
        <v>178</v>
      </c>
      <c r="L68" s="49"/>
      <c r="M68" s="48"/>
      <c r="N68" s="48" t="s">
        <v>170</v>
      </c>
      <c r="O68" s="48"/>
      <c r="P68" s="48"/>
      <c r="Q68" s="48"/>
      <c r="R68" s="48"/>
      <c r="S68" s="49"/>
      <c r="T68" s="48"/>
      <c r="U68" s="48" t="s">
        <v>542</v>
      </c>
      <c r="V68" s="14">
        <f t="shared" si="0"/>
        <v>1</v>
      </c>
      <c r="W68" s="14">
        <f t="shared" si="1"/>
        <v>0</v>
      </c>
      <c r="X68" s="14">
        <f>IF(AND(V68=1,OR(Painel!$C$6="Todos",D68=Painel!$C$6),AND(OR(Painel!$L$6="Todas",E68=Painel!$L$6),OR(Painel!$C$8="Todos",F68=Painel!$C$8),OR(Painel!$L$8="Todos",G68=Painel!$L$8),OR(Painel!$C$10="",ISNUMBER(SEARCH(SUBSTITUTE(SUBSTITUTE(SUBSTITUTE(Painel!$C$10,"~","~~"),"*","~*"),"?","~?"),A68&amp;" "&amp;H68&amp;" "&amp;I68))))),1,0)</f>
        <v>1</v>
      </c>
      <c r="Y68" s="14">
        <f t="shared" si="2"/>
        <v>0</v>
      </c>
      <c r="Z68" s="15">
        <f>IF(V68=0,"",IF(COUNTIFS(Andamentos!$K$10:$K$2009,"="&amp;SUBSTITUTE(SUBSTITUTE(SUBSTITUTE("P:"&amp;A68,"~","~~"),"*","~*"),"?","~?"),Andamentos!$G$10:$G$2009,1)=0,"",_xlfn.AGGREGATE(14,6,Andamentos!$D$10:$D$2009/((Andamentos!$K$10:$K$2009=AS68)*(Andamentos!$G$10:$G$2009=1)),1)))</f>
        <v>45512</v>
      </c>
      <c r="AA68" s="14">
        <f>IF(Z68="",0,COUNTIFS(Andamentos!$K$10:$K$2009,"="&amp;SUBSTITUTE(SUBSTITUTE(SUBSTITUTE("P:"&amp;A68,"~","~~"),"*","~*"),"?","~?"),Andamentos!$D$10:$D$2009,Z68,Andamentos!$G$10:$G$2009,1))</f>
        <v>1</v>
      </c>
      <c r="AB68" s="14">
        <f>IF(AA68=1,SUMIFS(Andamentos!$L$10:$L$2009,Andamentos!$K$10:$K$2009,"="&amp;SUBSTITUTE(SUBSTITUTE(SUBSTITUTE(AS68,"~","~~"),"*","~*"),"?","~?"),Andamentos!$D$10:$D$2009,Z68,Andamentos!$G$10:$G$2009,1)-9,0)</f>
        <v>59</v>
      </c>
      <c r="AC68" s="14" t="str">
        <f>IF(V68=0,"",IF(AA68&gt;1,"Conferir recebimentos empatados",IF(AB68=0,"Sem atualização",INDEX(Andamentos!$C$10:$C$2009,AB68))))</f>
        <v>3/10/2024 - Arquivado para Alta, pagou a cota parte devida pela responsabilidade delimitada na sentença. [...] histórico completo em Observações</v>
      </c>
      <c r="AD68" s="14">
        <f>IF(W68=0,0,IF(MAX(Z68,BD68)=0,1,IF(Configurar!$J$12-INT(MAX(Z68,BD68))&gt;Configurar!$J$11,1,0)))</f>
        <v>0</v>
      </c>
      <c r="AE68" s="16"/>
      <c r="AF68" s="14"/>
      <c r="AG68" s="14"/>
      <c r="AH68" s="14">
        <f>IF(AND(V68=1,COUNTIFS(Valores!$S$10:$S$509,"="&amp;SUBSTITUTE(SUBSTITUTE(SUBSTITUTE("P:"&amp;A68,"~","~~"),"*","~*"),"?","~?"))=1),(IF(ISNA(MATCH(SUBSTITUTE(SUBSTITUTE(SUBSTITUTE("P:"&amp;A68,"~","~~"),"*","~*"),"?","~?"),Valores!$S$10:$S$509,0)),9,INDEX(Valores!$R$10:$R$509,MATCH(SUBSTITUTE(SUBSTITUTE(SUBSTITUTE("P:"&amp;A68,"~","~~"),"*","~*"),"?","~?"),Valores!$S$10:$S$509,0)))-9),0)</f>
        <v>59</v>
      </c>
      <c r="AI68" s="40" t="str">
        <f t="shared" si="3"/>
        <v>Informe a empresa responsável</v>
      </c>
      <c r="AJ68" s="14" t="str">
        <f>IF(AND(X68=1,Y68=1),COUNTIFS($X$10:X68,1,$Y$10:Y68,1),"")</f>
        <v/>
      </c>
      <c r="AK68" s="14">
        <f>IF(X68=1,COUNTIFS($X$10:X68,1),"")</f>
        <v>59</v>
      </c>
      <c r="AL68" s="14">
        <f>IF(AND(V68=1,AND(OR(Painel!$L$6="Todas",E68=Painel!$L$6),OR(Painel!$C$8="Todos",F68=Painel!$C$8),OR(Painel!$L$8="Todos",G68=Painel!$L$8),OR(Painel!$C$10="",ISNUMBER(SEARCH(SUBSTITUTE(SUBSTITUTE(SUBSTITUTE(Painel!$C$10,"~","~~"),"*","~*"),"?","~?"),A68&amp;" "&amp;H68&amp;" "&amp;I68))))),1,0)</f>
        <v>1</v>
      </c>
      <c r="AM68" s="14">
        <f t="shared" si="4"/>
        <v>68</v>
      </c>
      <c r="AN68" s="14"/>
      <c r="AO68" s="14"/>
      <c r="AP68" s="16" t="str">
        <f>IF(AB68=0,"",IF(INDEX(Andamentos!$B$10:$B$2009,AB68)="","",INDEX(Andamentos!$B$10:$B$2009,AB68)))</f>
        <v/>
      </c>
      <c r="AQ68" s="17">
        <f>IF(AH68=0,"",IF(INDEX(Valores!$B$10:$B$509,AH68)="","",IF(ISNUMBER(INDEX(Valores!$B$10:$B$509,AH68)),INDEX(Valores!$B$10:$B$509,AH68),"")))</f>
        <v>261849.65</v>
      </c>
      <c r="AR68" s="14" t="str">
        <f t="shared" si="5"/>
        <v/>
      </c>
      <c r="AS68" s="14" t="str">
        <f t="shared" si="6"/>
        <v>P:0010251-67.2022.5.18.0103 [BMM-059]</v>
      </c>
      <c r="AT68" s="27" t="s">
        <v>543</v>
      </c>
      <c r="AU68" s="31" t="s">
        <v>544</v>
      </c>
      <c r="AV68" s="31"/>
      <c r="AW68" s="27" t="s">
        <v>162</v>
      </c>
      <c r="AX68" s="27"/>
      <c r="AY68" s="27"/>
      <c r="AZ68" s="27"/>
      <c r="BA68" s="30" t="str">
        <f t="shared" si="7"/>
        <v>0010251-67.2022.5.18.0103</v>
      </c>
      <c r="BB68" s="30" t="str">
        <f t="shared" si="8"/>
        <v>Revisar repetição</v>
      </c>
      <c r="BC68" s="30">
        <f>IF(X68=0,0,IF(COUNTIFS($X$10:X68,1,$BA$10:BA68,BA68)=1,1,0))</f>
        <v>1</v>
      </c>
      <c r="BD68" s="29">
        <v>45512</v>
      </c>
    </row>
    <row r="69" spans="1:56" ht="42" customHeight="1">
      <c r="A69" s="41" t="s">
        <v>545</v>
      </c>
      <c r="B69" s="44" t="s">
        <v>161</v>
      </c>
      <c r="C69" s="44" t="s">
        <v>300</v>
      </c>
      <c r="D69" s="44" t="s">
        <v>163</v>
      </c>
      <c r="E69" s="44"/>
      <c r="F69" s="44" t="s">
        <v>282</v>
      </c>
      <c r="G69" s="44" t="s">
        <v>238</v>
      </c>
      <c r="H69" s="44" t="s">
        <v>546</v>
      </c>
      <c r="I69" s="44" t="s">
        <v>547</v>
      </c>
      <c r="J69" s="44"/>
      <c r="K69" s="44" t="s">
        <v>242</v>
      </c>
      <c r="L69" s="49">
        <v>45847</v>
      </c>
      <c r="M69" s="48" t="s">
        <v>548</v>
      </c>
      <c r="N69" s="48" t="s">
        <v>170</v>
      </c>
      <c r="O69" s="48"/>
      <c r="P69" s="48"/>
      <c r="Q69" s="48"/>
      <c r="R69" s="48"/>
      <c r="S69" s="49"/>
      <c r="T69" s="48"/>
      <c r="U69" s="48" t="s">
        <v>549</v>
      </c>
      <c r="V69" s="14">
        <f t="shared" si="0"/>
        <v>1</v>
      </c>
      <c r="W69" s="14">
        <f t="shared" si="1"/>
        <v>1</v>
      </c>
      <c r="X69" s="14">
        <f>IF(AND(V69=1,OR(Painel!$C$6="Todos",D69=Painel!$C$6),AND(OR(Painel!$L$6="Todas",E69=Painel!$L$6),OR(Painel!$C$8="Todos",F69=Painel!$C$8),OR(Painel!$L$8="Todos",G69=Painel!$L$8),OR(Painel!$C$10="",ISNUMBER(SEARCH(SUBSTITUTE(SUBSTITUTE(SUBSTITUTE(Painel!$C$10,"~","~~"),"*","~*"),"?","~?"),A69&amp;" "&amp;H69&amp;" "&amp;I69))))),1,0)</f>
        <v>1</v>
      </c>
      <c r="Y69" s="14">
        <f t="shared" si="2"/>
        <v>0</v>
      </c>
      <c r="Z69" s="15">
        <f>IF(V69=0,"",IF(COUNTIFS(Andamentos!$K$10:$K$2009,"="&amp;SUBSTITUTE(SUBSTITUTE(SUBSTITUTE("P:"&amp;A69,"~","~~"),"*","~*"),"?","~?"),Andamentos!$G$10:$G$2009,1)=0,"",_xlfn.AGGREGATE(14,6,Andamentos!$D$10:$D$2009/((Andamentos!$K$10:$K$2009=AS69)*(Andamentos!$G$10:$G$2009=1)),1)))</f>
        <v>46052</v>
      </c>
      <c r="AA69" s="14">
        <f>IF(Z69="",0,COUNTIFS(Andamentos!$K$10:$K$2009,"="&amp;SUBSTITUTE(SUBSTITUTE(SUBSTITUTE("P:"&amp;A69,"~","~~"),"*","~*"),"?","~?"),Andamentos!$D$10:$D$2009,Z69,Andamentos!$G$10:$G$2009,1))</f>
        <v>1</v>
      </c>
      <c r="AB69" s="14">
        <f>IF(AA69=1,SUMIFS(Andamentos!$L$10:$L$2009,Andamentos!$K$10:$K$2009,"="&amp;SUBSTITUTE(SUBSTITUTE(SUBSTITUTE(AS69,"~","~~"),"*","~*"),"?","~?"),Andamentos!$D$10:$D$2009,Z69,Andamentos!$G$10:$G$2009,1)-9,0)</f>
        <v>60</v>
      </c>
      <c r="AC69" s="14" t="str">
        <f>IF(V69=0,"",IF(AA69&gt;1,"Conferir recebimentos empatados",IF(AB69=0,"Sem atualização",INDEX(Andamentos!$C$10:$C$2009,AB69))))</f>
        <v>16/07/2025 - Carta de Citação e Intimação (INCIDENTE DE DESCONSIDERAÇÃO DA PERSONALIDADE JURÍDICA) [...] histórico completo em Observações</v>
      </c>
      <c r="AD69" s="14">
        <f ca="1">IF(W69=0,0,IF(MAX(Z69,BD69)=0,1,IF(Configurar!$J$12-INT(MAX(Z69,BD69))&gt;Configurar!$J$11,1,0)))</f>
        <v>1</v>
      </c>
      <c r="AE69" s="16"/>
      <c r="AF69" s="14"/>
      <c r="AG69" s="14"/>
      <c r="AH69" s="14">
        <f>IF(AND(V69=1,COUNTIFS(Valores!$S$10:$S$509,"="&amp;SUBSTITUTE(SUBSTITUTE(SUBSTITUTE("P:"&amp;A69,"~","~~"),"*","~*"),"?","~?"))=1),(IF(ISNA(MATCH(SUBSTITUTE(SUBSTITUTE(SUBSTITUTE("P:"&amp;A69,"~","~~"),"*","~*"),"?","~?"),Valores!$S$10:$S$509,0)),9,INDEX(Valores!$R$10:$R$509,MATCH(SUBSTITUTE(SUBSTITUTE(SUBSTITUTE("P:"&amp;A69,"~","~~"),"*","~*"),"?","~?"),Valores!$S$10:$S$509,0)))-9),0)</f>
        <v>60</v>
      </c>
      <c r="AI69" s="40" t="str">
        <f t="shared" si="3"/>
        <v>Informe a empresa responsável</v>
      </c>
      <c r="AJ69" s="14" t="str">
        <f>IF(AND(X69=1,Y69=1),COUNTIFS($X$10:X69,1,$Y$10:Y69,1),"")</f>
        <v/>
      </c>
      <c r="AK69" s="14">
        <f>IF(X69=1,COUNTIFS($X$10:X69,1),"")</f>
        <v>60</v>
      </c>
      <c r="AL69" s="14">
        <f>IF(AND(V69=1,AND(OR(Painel!$L$6="Todas",E69=Painel!$L$6),OR(Painel!$C$8="Todos",F69=Painel!$C$8),OR(Painel!$L$8="Todos",G69=Painel!$L$8),OR(Painel!$C$10="",ISNUMBER(SEARCH(SUBSTITUTE(SUBSTITUTE(SUBSTITUTE(Painel!$C$10,"~","~~"),"*","~*"),"?","~?"),A69&amp;" "&amp;H69&amp;" "&amp;I69))))),1,0)</f>
        <v>1</v>
      </c>
      <c r="AM69" s="14">
        <f t="shared" si="4"/>
        <v>69</v>
      </c>
      <c r="AN69" s="14"/>
      <c r="AO69" s="14"/>
      <c r="AP69" s="16">
        <f>IF(AB69=0,"",IF(INDEX(Andamentos!$B$10:$B$2009,AB69)="","",INDEX(Andamentos!$B$10:$B$2009,AB69)))</f>
        <v>45854</v>
      </c>
      <c r="AQ69" s="17">
        <f>IF(AH69=0,"",IF(INDEX(Valores!$B$10:$B$509,AH69)="","",IF(ISNUMBER(INDEX(Valores!$B$10:$B$509,AH69)),INDEX(Valores!$B$10:$B$509,AH69),"")))</f>
        <v>13113.48</v>
      </c>
      <c r="AR69" s="14" t="str">
        <f t="shared" si="5"/>
        <v/>
      </c>
      <c r="AS69" s="14" t="str">
        <f t="shared" si="6"/>
        <v>P:5540289-89.2025.8.09.0045</v>
      </c>
      <c r="AT69" s="27" t="s">
        <v>550</v>
      </c>
      <c r="AU69" s="31" t="s">
        <v>545</v>
      </c>
      <c r="AV69" s="31"/>
      <c r="AW69" s="27" t="s">
        <v>280</v>
      </c>
      <c r="AX69" s="27" t="s">
        <v>246</v>
      </c>
      <c r="AY69" s="27"/>
      <c r="AZ69" s="27"/>
      <c r="BA69" s="30" t="str">
        <f t="shared" si="7"/>
        <v>5540289-89.2025.8.09.0045</v>
      </c>
      <c r="BB69" s="30" t="str">
        <f t="shared" si="8"/>
        <v/>
      </c>
      <c r="BC69" s="30">
        <f>IF(X69=0,0,IF(COUNTIFS($X$10:X69,1,$BA$10:BA69,BA69)=1,1,0))</f>
        <v>1</v>
      </c>
      <c r="BD69" s="29">
        <v>46052</v>
      </c>
    </row>
    <row r="70" spans="1:56" ht="42" customHeight="1">
      <c r="A70" s="41" t="s">
        <v>551</v>
      </c>
      <c r="B70" s="44" t="s">
        <v>161</v>
      </c>
      <c r="C70" s="44" t="s">
        <v>316</v>
      </c>
      <c r="D70" s="44" t="s">
        <v>163</v>
      </c>
      <c r="E70" s="44"/>
      <c r="F70" s="44" t="s">
        <v>446</v>
      </c>
      <c r="G70" s="44" t="s">
        <v>164</v>
      </c>
      <c r="H70" s="44" t="s">
        <v>552</v>
      </c>
      <c r="I70" s="44" t="s">
        <v>553</v>
      </c>
      <c r="J70" s="44" t="s">
        <v>554</v>
      </c>
      <c r="K70" s="44" t="s">
        <v>450</v>
      </c>
      <c r="L70" s="49"/>
      <c r="M70" s="48" t="s">
        <v>555</v>
      </c>
      <c r="N70" s="48" t="s">
        <v>484</v>
      </c>
      <c r="O70" s="48"/>
      <c r="P70" s="48"/>
      <c r="Q70" s="48" t="s">
        <v>377</v>
      </c>
      <c r="R70" s="48"/>
      <c r="S70" s="49"/>
      <c r="T70" s="48"/>
      <c r="U70" s="48" t="s">
        <v>556</v>
      </c>
      <c r="V70" s="14">
        <f t="shared" si="0"/>
        <v>1</v>
      </c>
      <c r="W70" s="14">
        <f t="shared" si="1"/>
        <v>1</v>
      </c>
      <c r="X70" s="14">
        <f>IF(AND(V70=1,OR(Painel!$C$6="Todos",D70=Painel!$C$6),AND(OR(Painel!$L$6="Todas",E70=Painel!$L$6),OR(Painel!$C$8="Todos",F70=Painel!$C$8),OR(Painel!$L$8="Todos",G70=Painel!$L$8),OR(Painel!$C$10="",ISNUMBER(SEARCH(SUBSTITUTE(SUBSTITUTE(SUBSTITUTE(Painel!$C$10,"~","~~"),"*","~*"),"?","~?"),A70&amp;" "&amp;H70&amp;" "&amp;I70))))),1,0)</f>
        <v>1</v>
      </c>
      <c r="Y70" s="14">
        <f t="shared" si="2"/>
        <v>1</v>
      </c>
      <c r="Z70" s="15">
        <f>IF(V70=0,"",IF(COUNTIFS(Andamentos!$K$10:$K$2009,"="&amp;SUBSTITUTE(SUBSTITUTE(SUBSTITUTE("P:"&amp;A70,"~","~~"),"*","~*"),"?","~?"),Andamentos!$G$10:$G$2009,1)=0,"",_xlfn.AGGREGATE(14,6,Andamentos!$D$10:$D$2009/((Andamentos!$K$10:$K$2009=AS70)*(Andamentos!$G$10:$G$2009=1)),1)))</f>
        <v>46055</v>
      </c>
      <c r="AA70" s="14">
        <f>IF(Z70="",0,COUNTIFS(Andamentos!$K$10:$K$2009,"="&amp;SUBSTITUTE(SUBSTITUTE(SUBSTITUTE("P:"&amp;A70,"~","~~"),"*","~*"),"?","~?"),Andamentos!$D$10:$D$2009,Z70,Andamentos!$G$10:$G$2009,1))</f>
        <v>1</v>
      </c>
      <c r="AB70" s="14">
        <f>IF(AA70=1,SUMIFS(Andamentos!$L$10:$L$2009,Andamentos!$K$10:$K$2009,"="&amp;SUBSTITUTE(SUBSTITUTE(SUBSTITUTE(AS70,"~","~~"),"*","~*"),"?","~?"),Andamentos!$D$10:$D$2009,Z70,Andamentos!$G$10:$G$2009,1)-9,0)</f>
        <v>61</v>
      </c>
      <c r="AC70" s="14" t="str">
        <f>IF(V70=0,"",IF(AA70&gt;1,"Conferir recebimentos empatados",IF(AB70=0,"Sem atualização",INDEX(Andamentos!$C$10:$C$2009,AB70))))</f>
        <v>11/10/2023 - Autos sobrestados. [...] histórico completo em Observações</v>
      </c>
      <c r="AD70" s="14">
        <f ca="1">IF(W70=0,0,IF(MAX(Z70,BD70)=0,1,IF(Configurar!$J$12-INT(MAX(Z70,BD70))&gt;Configurar!$J$11,1,0)))</f>
        <v>1</v>
      </c>
      <c r="AE70" s="16"/>
      <c r="AF70" s="14"/>
      <c r="AG70" s="14"/>
      <c r="AH70" s="14">
        <f>IF(AND(V70=1,COUNTIFS(Valores!$S$10:$S$509,"="&amp;SUBSTITUTE(SUBSTITUTE(SUBSTITUTE("P:"&amp;A70,"~","~~"),"*","~*"),"?","~?"))=1),(IF(ISNA(MATCH(SUBSTITUTE(SUBSTITUTE(SUBSTITUTE("P:"&amp;A70,"~","~~"),"*","~*"),"?","~?"),Valores!$S$10:$S$509,0)),9,INDEX(Valores!$R$10:$R$509,MATCH(SUBSTITUTE(SUBSTITUTE(SUBSTITUTE("P:"&amp;A70,"~","~~"),"*","~*"),"?","~?"),Valores!$S$10:$S$509,0)))-9),0)</f>
        <v>61</v>
      </c>
      <c r="AI70" s="40" t="str">
        <f t="shared" si="3"/>
        <v>Informe a empresa responsável</v>
      </c>
      <c r="AJ70" s="14">
        <f>IF(AND(X70=1,Y70=1),COUNTIFS($X$10:X70,1,$Y$10:Y70,1),"")</f>
        <v>2</v>
      </c>
      <c r="AK70" s="14">
        <f>IF(X70=1,COUNTIFS($X$10:X70,1),"")</f>
        <v>61</v>
      </c>
      <c r="AL70" s="14">
        <f>IF(AND(V70=1,AND(OR(Painel!$L$6="Todas",E70=Painel!$L$6),OR(Painel!$C$8="Todos",F70=Painel!$C$8),OR(Painel!$L$8="Todos",G70=Painel!$L$8),OR(Painel!$C$10="",ISNUMBER(SEARCH(SUBSTITUTE(SUBSTITUTE(SUBSTITUTE(Painel!$C$10,"~","~~"),"*","~*"),"?","~?"),A70&amp;" "&amp;H70&amp;" "&amp;I70))))),1,0)</f>
        <v>1</v>
      </c>
      <c r="AM70" s="14">
        <f t="shared" si="4"/>
        <v>70</v>
      </c>
      <c r="AN70" s="14"/>
      <c r="AO70" s="14"/>
      <c r="AP70" s="16">
        <f>IF(AB70=0,"",IF(INDEX(Andamentos!$B$10:$B$2009,AB70)="","",INDEX(Andamentos!$B$10:$B$2009,AB70)))</f>
        <v>45210</v>
      </c>
      <c r="AQ70" s="17">
        <f>IF(AH70=0,"",IF(INDEX(Valores!$B$10:$B$509,AH70)="","",IF(ISNUMBER(INDEX(Valores!$B$10:$B$509,AH70)),INDEX(Valores!$B$10:$B$509,AH70),"")))</f>
        <v>80298.47</v>
      </c>
      <c r="AR70" s="14" t="str">
        <f t="shared" si="5"/>
        <v>Prioridade crítica. Criticidade herdada da planilha de origem; validar. Não confirma bloqueio/penhora vigente.</v>
      </c>
      <c r="AS70" s="14" t="str">
        <f t="shared" si="6"/>
        <v>P:0010552-28.2019.5.03.0138</v>
      </c>
      <c r="AT70" s="27" t="s">
        <v>557</v>
      </c>
      <c r="AU70" s="31" t="s">
        <v>551</v>
      </c>
      <c r="AV70" s="31"/>
      <c r="AW70" s="27" t="s">
        <v>280</v>
      </c>
      <c r="AX70" s="27" t="s">
        <v>380</v>
      </c>
      <c r="AY70" s="27"/>
      <c r="AZ70" s="27"/>
      <c r="BA70" s="30" t="str">
        <f t="shared" si="7"/>
        <v>0010552-28.2019.5.03.0138</v>
      </c>
      <c r="BB70" s="30" t="str">
        <f t="shared" si="8"/>
        <v/>
      </c>
      <c r="BC70" s="30">
        <f>IF(X70=0,0,IF(COUNTIFS($X$10:X70,1,$BA$10:BA70,BA70)=1,1,0))</f>
        <v>1</v>
      </c>
      <c r="BD70" s="29">
        <v>46055</v>
      </c>
    </row>
    <row r="71" spans="1:56" ht="42" customHeight="1">
      <c r="A71" s="41" t="s">
        <v>558</v>
      </c>
      <c r="B71" s="44" t="s">
        <v>161</v>
      </c>
      <c r="C71" s="44" t="s">
        <v>300</v>
      </c>
      <c r="D71" s="44" t="s">
        <v>163</v>
      </c>
      <c r="E71" s="44"/>
      <c r="F71" s="44" t="s">
        <v>182</v>
      </c>
      <c r="G71" s="44" t="s">
        <v>238</v>
      </c>
      <c r="H71" s="44" t="s">
        <v>559</v>
      </c>
      <c r="I71" s="44" t="s">
        <v>240</v>
      </c>
      <c r="J71" s="44" t="s">
        <v>560</v>
      </c>
      <c r="K71" s="44" t="s">
        <v>303</v>
      </c>
      <c r="L71" s="49"/>
      <c r="M71" s="48" t="s">
        <v>561</v>
      </c>
      <c r="N71" s="48" t="s">
        <v>170</v>
      </c>
      <c r="O71" s="48"/>
      <c r="P71" s="48"/>
      <c r="Q71" s="48"/>
      <c r="R71" s="48"/>
      <c r="S71" s="49"/>
      <c r="T71" s="48"/>
      <c r="U71" s="48" t="s">
        <v>562</v>
      </c>
      <c r="V71" s="14">
        <f t="shared" si="0"/>
        <v>1</v>
      </c>
      <c r="W71" s="14">
        <f t="shared" si="1"/>
        <v>1</v>
      </c>
      <c r="X71" s="14">
        <f>IF(AND(V71=1,OR(Painel!$C$6="Todos",D71=Painel!$C$6),AND(OR(Painel!$L$6="Todas",E71=Painel!$L$6),OR(Painel!$C$8="Todos",F71=Painel!$C$8),OR(Painel!$L$8="Todos",G71=Painel!$L$8),OR(Painel!$C$10="",ISNUMBER(SEARCH(SUBSTITUTE(SUBSTITUTE(SUBSTITUTE(Painel!$C$10,"~","~~"),"*","~*"),"?","~?"),A71&amp;" "&amp;H71&amp;" "&amp;I71))))),1,0)</f>
        <v>1</v>
      </c>
      <c r="Y71" s="14">
        <f t="shared" si="2"/>
        <v>0</v>
      </c>
      <c r="Z71" s="15">
        <f>IF(V71=0,"",IF(COUNTIFS(Andamentos!$K$10:$K$2009,"="&amp;SUBSTITUTE(SUBSTITUTE(SUBSTITUTE("P:"&amp;A71,"~","~~"),"*","~*"),"?","~?"),Andamentos!$G$10:$G$2009,1)=0,"",_xlfn.AGGREGATE(14,6,Andamentos!$D$10:$D$2009/((Andamentos!$K$10:$K$2009=AS71)*(Andamentos!$G$10:$G$2009=1)),1)))</f>
        <v>45548</v>
      </c>
      <c r="AA71" s="14">
        <f>IF(Z71="",0,COUNTIFS(Andamentos!$K$10:$K$2009,"="&amp;SUBSTITUTE(SUBSTITUTE(SUBSTITUTE("P:"&amp;A71,"~","~~"),"*","~*"),"?","~?"),Andamentos!$D$10:$D$2009,Z71,Andamentos!$G$10:$G$2009,1))</f>
        <v>1</v>
      </c>
      <c r="AB71" s="14">
        <f>IF(AA71=1,SUMIFS(Andamentos!$L$10:$L$2009,Andamentos!$K$10:$K$2009,"="&amp;SUBSTITUTE(SUBSTITUTE(SUBSTITUTE(AS71,"~","~~"),"*","~*"),"?","~?"),Andamentos!$D$10:$D$2009,Z71,Andamentos!$G$10:$G$2009,1)-9,0)</f>
        <v>62</v>
      </c>
      <c r="AC71" s="14" t="str">
        <f>IF(V71=0,"",IF(AA71&gt;1,"Conferir recebimentos empatados",IF(AB71=0,"Sem atualização",INDEX(Andamentos!$C$10:$C$2009,AB71))))</f>
        <v>07/01/2026 - Conclusos para decisão. [...] histórico completo em Observações</v>
      </c>
      <c r="AD71" s="14">
        <f ca="1">IF(W71=0,0,IF(MAX(Z71,BD71)=0,1,IF(Configurar!$J$12-INT(MAX(Z71,BD71))&gt;Configurar!$J$11,1,0)))</f>
        <v>1</v>
      </c>
      <c r="AE71" s="16"/>
      <c r="AF71" s="14"/>
      <c r="AG71" s="14"/>
      <c r="AH71" s="14">
        <f>IF(AND(V71=1,COUNTIFS(Valores!$S$10:$S$509,"="&amp;SUBSTITUTE(SUBSTITUTE(SUBSTITUTE("P:"&amp;A71,"~","~~"),"*","~*"),"?","~?"))=1),(IF(ISNA(MATCH(SUBSTITUTE(SUBSTITUTE(SUBSTITUTE("P:"&amp;A71,"~","~~"),"*","~*"),"?","~?"),Valores!$S$10:$S$509,0)),9,INDEX(Valores!$R$10:$R$509,MATCH(SUBSTITUTE(SUBSTITUTE(SUBSTITUTE("P:"&amp;A71,"~","~~"),"*","~*"),"?","~?"),Valores!$S$10:$S$509,0)))-9),0)</f>
        <v>62</v>
      </c>
      <c r="AI71" s="40" t="str">
        <f t="shared" si="3"/>
        <v>Informe a empresa responsável</v>
      </c>
      <c r="AJ71" s="14" t="str">
        <f>IF(AND(X71=1,Y71=1),COUNTIFS($X$10:X71,1,$Y$10:Y71,1),"")</f>
        <v/>
      </c>
      <c r="AK71" s="14">
        <f>IF(X71=1,COUNTIFS($X$10:X71,1),"")</f>
        <v>62</v>
      </c>
      <c r="AL71" s="14">
        <f>IF(AND(V71=1,AND(OR(Painel!$L$6="Todas",E71=Painel!$L$6),OR(Painel!$C$8="Todos",F71=Painel!$C$8),OR(Painel!$L$8="Todos",G71=Painel!$L$8),OR(Painel!$C$10="",ISNUMBER(SEARCH(SUBSTITUTE(SUBSTITUTE(SUBSTITUTE(Painel!$C$10,"~","~~"),"*","~*"),"?","~?"),A71&amp;" "&amp;H71&amp;" "&amp;I71))))),1,0)</f>
        <v>1</v>
      </c>
      <c r="AM71" s="14">
        <f t="shared" si="4"/>
        <v>71</v>
      </c>
      <c r="AN71" s="14"/>
      <c r="AO71" s="14"/>
      <c r="AP71" s="16">
        <f>IF(AB71=0,"",IF(INDEX(Andamentos!$B$10:$B$2009,AB71)="","",INDEX(Andamentos!$B$10:$B$2009,AB71)))</f>
        <v>46029</v>
      </c>
      <c r="AQ71" s="17">
        <f>IF(AH71=0,"",IF(INDEX(Valores!$B$10:$B$509,AH71)="","",IF(ISNUMBER(INDEX(Valores!$B$10:$B$509,AH71)),INDEX(Valores!$B$10:$B$509,AH71),"")))</f>
        <v>293379.51</v>
      </c>
      <c r="AR71" s="14" t="str">
        <f t="shared" si="5"/>
        <v/>
      </c>
      <c r="AS71" s="14" t="str">
        <f t="shared" si="6"/>
        <v>P:5158368-83.2018.8.13.0024</v>
      </c>
      <c r="AT71" s="27" t="s">
        <v>563</v>
      </c>
      <c r="AU71" s="31" t="s">
        <v>558</v>
      </c>
      <c r="AV71" s="31"/>
      <c r="AW71" s="27" t="s">
        <v>280</v>
      </c>
      <c r="AX71" s="27"/>
      <c r="AY71" s="27"/>
      <c r="AZ71" s="27"/>
      <c r="BA71" s="30" t="str">
        <f t="shared" si="7"/>
        <v>5158368-83.2018.8.13.0024</v>
      </c>
      <c r="BB71" s="30" t="str">
        <f t="shared" si="8"/>
        <v/>
      </c>
      <c r="BC71" s="30">
        <f>IF(X71=0,0,IF(COUNTIFS($X$10:X71,1,$BA$10:BA71,BA71)=1,1,0))</f>
        <v>1</v>
      </c>
      <c r="BD71" s="29">
        <v>45548</v>
      </c>
    </row>
    <row r="72" spans="1:56" ht="42" customHeight="1">
      <c r="A72" s="41" t="s">
        <v>564</v>
      </c>
      <c r="B72" s="44" t="s">
        <v>161</v>
      </c>
      <c r="C72" s="44" t="s">
        <v>316</v>
      </c>
      <c r="D72" s="44" t="s">
        <v>163</v>
      </c>
      <c r="E72" s="44"/>
      <c r="F72" s="44" t="s">
        <v>446</v>
      </c>
      <c r="G72" s="44" t="s">
        <v>164</v>
      </c>
      <c r="H72" s="44" t="s">
        <v>552</v>
      </c>
      <c r="I72" s="44" t="s">
        <v>565</v>
      </c>
      <c r="J72" s="44" t="s">
        <v>554</v>
      </c>
      <c r="K72" s="44" t="s">
        <v>450</v>
      </c>
      <c r="L72" s="49"/>
      <c r="M72" s="48" t="s">
        <v>566</v>
      </c>
      <c r="N72" s="48" t="s">
        <v>484</v>
      </c>
      <c r="O72" s="48"/>
      <c r="P72" s="48"/>
      <c r="Q72" s="48" t="s">
        <v>377</v>
      </c>
      <c r="R72" s="48"/>
      <c r="S72" s="49"/>
      <c r="T72" s="48"/>
      <c r="U72" s="48" t="s">
        <v>567</v>
      </c>
      <c r="V72" s="14">
        <f t="shared" si="0"/>
        <v>1</v>
      </c>
      <c r="W72" s="14">
        <f t="shared" si="1"/>
        <v>1</v>
      </c>
      <c r="X72" s="14">
        <f>IF(AND(V72=1,OR(Painel!$C$6="Todos",D72=Painel!$C$6),AND(OR(Painel!$L$6="Todas",E72=Painel!$L$6),OR(Painel!$C$8="Todos",F72=Painel!$C$8),OR(Painel!$L$8="Todos",G72=Painel!$L$8),OR(Painel!$C$10="",ISNUMBER(SEARCH(SUBSTITUTE(SUBSTITUTE(SUBSTITUTE(Painel!$C$10,"~","~~"),"*","~*"),"?","~?"),A72&amp;" "&amp;H72&amp;" "&amp;I72))))),1,0)</f>
        <v>1</v>
      </c>
      <c r="Y72" s="14">
        <f t="shared" si="2"/>
        <v>1</v>
      </c>
      <c r="Z72" s="15">
        <f>IF(V72=0,"",IF(COUNTIFS(Andamentos!$K$10:$K$2009,"="&amp;SUBSTITUTE(SUBSTITUTE(SUBSTITUTE("P:"&amp;A72,"~","~~"),"*","~*"),"?","~?"),Andamentos!$G$10:$G$2009,1)=0,"",_xlfn.AGGREGATE(14,6,Andamentos!$D$10:$D$2009/((Andamentos!$K$10:$K$2009=AS72)*(Andamentos!$G$10:$G$2009=1)),1)))</f>
        <v>46079</v>
      </c>
      <c r="AA72" s="14">
        <f>IF(Z72="",0,COUNTIFS(Andamentos!$K$10:$K$2009,"="&amp;SUBSTITUTE(SUBSTITUTE(SUBSTITUTE("P:"&amp;A72,"~","~~"),"*","~*"),"?","~?"),Andamentos!$D$10:$D$2009,Z72,Andamentos!$G$10:$G$2009,1))</f>
        <v>1</v>
      </c>
      <c r="AB72" s="14">
        <f>IF(AA72=1,SUMIFS(Andamentos!$L$10:$L$2009,Andamentos!$K$10:$K$2009,"="&amp;SUBSTITUTE(SUBSTITUTE(SUBSTITUTE(AS72,"~","~~"),"*","~*"),"?","~?"),Andamentos!$D$10:$D$2009,Z72,Andamentos!$G$10:$G$2009,1)-9,0)</f>
        <v>63</v>
      </c>
      <c r="AC72" s="14" t="str">
        <f>IF(V72=0,"",IF(AA72&gt;1,"Conferir recebimentos empatados",IF(AB72=0,"Sem atualização",INDEX(Andamentos!$C$10:$C$2009,AB72))))</f>
        <v>03/04/2024 - Autos sobrestados aguardando o trânsito em julgado do processo principal. [...] histórico completo em Observações</v>
      </c>
      <c r="AD72" s="14">
        <f ca="1">IF(W72=0,0,IF(MAX(Z72,BD72)=0,1,IF(Configurar!$J$12-INT(MAX(Z72,BD72))&gt;Configurar!$J$11,1,0)))</f>
        <v>1</v>
      </c>
      <c r="AE72" s="16"/>
      <c r="AF72" s="14"/>
      <c r="AG72" s="14"/>
      <c r="AH72" s="14">
        <f>IF(AND(V72=1,COUNTIFS(Valores!$S$10:$S$509,"="&amp;SUBSTITUTE(SUBSTITUTE(SUBSTITUTE("P:"&amp;A72,"~","~~"),"*","~*"),"?","~?"))=1),(IF(ISNA(MATCH(SUBSTITUTE(SUBSTITUTE(SUBSTITUTE("P:"&amp;A72,"~","~~"),"*","~*"),"?","~?"),Valores!$S$10:$S$509,0)),9,INDEX(Valores!$R$10:$R$509,MATCH(SUBSTITUTE(SUBSTITUTE(SUBSTITUTE("P:"&amp;A72,"~","~~"),"*","~*"),"?","~?"),Valores!$S$10:$S$509,0)))-9),0)</f>
        <v>63</v>
      </c>
      <c r="AI72" s="40" t="str">
        <f t="shared" si="3"/>
        <v>Informe a empresa responsável</v>
      </c>
      <c r="AJ72" s="14">
        <f>IF(AND(X72=1,Y72=1),COUNTIFS($X$10:X72,1,$Y$10:Y72,1),"")</f>
        <v>3</v>
      </c>
      <c r="AK72" s="14">
        <f>IF(X72=1,COUNTIFS($X$10:X72,1),"")</f>
        <v>63</v>
      </c>
      <c r="AL72" s="14">
        <f>IF(AND(V72=1,AND(OR(Painel!$L$6="Todas",E72=Painel!$L$6),OR(Painel!$C$8="Todos",F72=Painel!$C$8),OR(Painel!$L$8="Todos",G72=Painel!$L$8),OR(Painel!$C$10="",ISNUMBER(SEARCH(SUBSTITUTE(SUBSTITUTE(SUBSTITUTE(Painel!$C$10,"~","~~"),"*","~*"),"?","~?"),A72&amp;" "&amp;H72&amp;" "&amp;I72))))),1,0)</f>
        <v>1</v>
      </c>
      <c r="AM72" s="14">
        <f t="shared" si="4"/>
        <v>72</v>
      </c>
      <c r="AN72" s="14"/>
      <c r="AO72" s="14"/>
      <c r="AP72" s="16">
        <f>IF(AB72=0,"",IF(INDEX(Andamentos!$B$10:$B$2009,AB72)="","",INDEX(Andamentos!$B$10:$B$2009,AB72)))</f>
        <v>45385</v>
      </c>
      <c r="AQ72" s="17">
        <f>IF(AH72=0,"",IF(INDEX(Valores!$B$10:$B$509,AH72)="","",IF(ISNUMBER(INDEX(Valores!$B$10:$B$509,AH72)),INDEX(Valores!$B$10:$B$509,AH72),"")))</f>
        <v>58038.42</v>
      </c>
      <c r="AR72" s="14" t="str">
        <f t="shared" si="5"/>
        <v>Prioridade crítica. Criticidade herdada da planilha de origem; validar. Não confirma bloqueio/penhora vigente.</v>
      </c>
      <c r="AS72" s="14" t="str">
        <f t="shared" si="6"/>
        <v>P:0010471-11.2021.5.03.0138</v>
      </c>
      <c r="AT72" s="27" t="s">
        <v>568</v>
      </c>
      <c r="AU72" s="31" t="s">
        <v>564</v>
      </c>
      <c r="AV72" s="31"/>
      <c r="AW72" s="27" t="s">
        <v>280</v>
      </c>
      <c r="AX72" s="27" t="s">
        <v>380</v>
      </c>
      <c r="AY72" s="27"/>
      <c r="AZ72" s="27"/>
      <c r="BA72" s="30" t="str">
        <f t="shared" si="7"/>
        <v>0010471-11.2021.5.03.0138</v>
      </c>
      <c r="BB72" s="30" t="str">
        <f t="shared" si="8"/>
        <v/>
      </c>
      <c r="BC72" s="30">
        <f>IF(X72=0,0,IF(COUNTIFS($X$10:X72,1,$BA$10:BA72,BA72)=1,1,0))</f>
        <v>1</v>
      </c>
      <c r="BD72" s="29">
        <v>46079</v>
      </c>
    </row>
    <row r="73" spans="1:56" ht="42" customHeight="1">
      <c r="A73" s="41" t="s">
        <v>569</v>
      </c>
      <c r="B73" s="44" t="s">
        <v>161</v>
      </c>
      <c r="C73" s="44" t="s">
        <v>162</v>
      </c>
      <c r="D73" s="44" t="s">
        <v>163</v>
      </c>
      <c r="E73" s="44"/>
      <c r="F73" s="44" t="s">
        <v>182</v>
      </c>
      <c r="G73" s="44" t="s">
        <v>164</v>
      </c>
      <c r="H73" s="44" t="s">
        <v>539</v>
      </c>
      <c r="I73" s="44" t="s">
        <v>240</v>
      </c>
      <c r="J73" s="44" t="s">
        <v>570</v>
      </c>
      <c r="K73" s="44" t="s">
        <v>178</v>
      </c>
      <c r="L73" s="49">
        <v>43774</v>
      </c>
      <c r="M73" s="48" t="s">
        <v>571</v>
      </c>
      <c r="N73" s="48" t="s">
        <v>170</v>
      </c>
      <c r="O73" s="48"/>
      <c r="P73" s="48"/>
      <c r="Q73" s="48"/>
      <c r="R73" s="48"/>
      <c r="S73" s="49"/>
      <c r="T73" s="48"/>
      <c r="U73" s="48" t="s">
        <v>572</v>
      </c>
      <c r="V73" s="14">
        <f t="shared" si="0"/>
        <v>1</v>
      </c>
      <c r="W73" s="14">
        <f t="shared" si="1"/>
        <v>0</v>
      </c>
      <c r="X73" s="14">
        <f>IF(AND(V73=1,OR(Painel!$C$6="Todos",D73=Painel!$C$6),AND(OR(Painel!$L$6="Todas",E73=Painel!$L$6),OR(Painel!$C$8="Todos",F73=Painel!$C$8),OR(Painel!$L$8="Todos",G73=Painel!$L$8),OR(Painel!$C$10="",ISNUMBER(SEARCH(SUBSTITUTE(SUBSTITUTE(SUBSTITUTE(Painel!$C$10,"~","~~"),"*","~*"),"?","~?"),A73&amp;" "&amp;H73&amp;" "&amp;I73))))),1,0)</f>
        <v>1</v>
      </c>
      <c r="Y73" s="14">
        <f t="shared" si="2"/>
        <v>0</v>
      </c>
      <c r="Z73" s="15">
        <f>IF(V73=0,"",IF(COUNTIFS(Andamentos!$K$10:$K$2009,"="&amp;SUBSTITUTE(SUBSTITUTE(SUBSTITUTE("P:"&amp;A73,"~","~~"),"*","~*"),"?","~?"),Andamentos!$G$10:$G$2009,1)=0,"",_xlfn.AGGREGATE(14,6,Andamentos!$D$10:$D$2009/((Andamentos!$K$10:$K$2009=AS73)*(Andamentos!$G$10:$G$2009=1)),1)))</f>
        <v>45512</v>
      </c>
      <c r="AA73" s="14">
        <f>IF(Z73="",0,COUNTIFS(Andamentos!$K$10:$K$2009,"="&amp;SUBSTITUTE(SUBSTITUTE(SUBSTITUTE("P:"&amp;A73,"~","~~"),"*","~*"),"?","~?"),Andamentos!$D$10:$D$2009,Z73,Andamentos!$G$10:$G$2009,1))</f>
        <v>1</v>
      </c>
      <c r="AB73" s="14">
        <f>IF(AA73=1,SUMIFS(Andamentos!$L$10:$L$2009,Andamentos!$K$10:$K$2009,"="&amp;SUBSTITUTE(SUBSTITUTE(SUBSTITUTE(AS73,"~","~~"),"*","~*"),"?","~?"),Andamentos!$D$10:$D$2009,Z73,Andamentos!$G$10:$G$2009,1)-9,0)</f>
        <v>64</v>
      </c>
      <c r="AC73" s="14" t="str">
        <f>IF(V73=0,"",IF(AA73&gt;1,"Conferir recebimentos empatados",IF(AB73=0,"Sem atualização",INDEX(Andamentos!$C$10:$C$2009,AB73))))</f>
        <v>3/10/2024 - Arquivado para Alta, pagou a cota parte devida pela responsabilidade delimitada na sentença [...] histórico completo em Observações</v>
      </c>
      <c r="AD73" s="14">
        <f>IF(W73=0,0,IF(MAX(Z73,BD73)=0,1,IF(Configurar!$J$12-INT(MAX(Z73,BD73))&gt;Configurar!$J$11,1,0)))</f>
        <v>0</v>
      </c>
      <c r="AE73" s="16"/>
      <c r="AF73" s="14"/>
      <c r="AG73" s="14"/>
      <c r="AH73" s="14">
        <f>IF(AND(V73=1,COUNTIFS(Valores!$S$10:$S$509,"="&amp;SUBSTITUTE(SUBSTITUTE(SUBSTITUTE("P:"&amp;A73,"~","~~"),"*","~*"),"?","~?"))=1),(IF(ISNA(MATCH(SUBSTITUTE(SUBSTITUTE(SUBSTITUTE("P:"&amp;A73,"~","~~"),"*","~*"),"?","~?"),Valores!$S$10:$S$509,0)),9,INDEX(Valores!$R$10:$R$509,MATCH(SUBSTITUTE(SUBSTITUTE(SUBSTITUTE("P:"&amp;A73,"~","~~"),"*","~*"),"?","~?"),Valores!$S$10:$S$509,0)))-9),0)</f>
        <v>64</v>
      </c>
      <c r="AI73" s="40" t="str">
        <f t="shared" si="3"/>
        <v>Informe a empresa responsável</v>
      </c>
      <c r="AJ73" s="14" t="str">
        <f>IF(AND(X73=1,Y73=1),COUNTIFS($X$10:X73,1,$Y$10:Y73,1),"")</f>
        <v/>
      </c>
      <c r="AK73" s="14">
        <f>IF(X73=1,COUNTIFS($X$10:X73,1),"")</f>
        <v>64</v>
      </c>
      <c r="AL73" s="14">
        <f>IF(AND(V73=1,AND(OR(Painel!$L$6="Todas",E73=Painel!$L$6),OR(Painel!$C$8="Todos",F73=Painel!$C$8),OR(Painel!$L$8="Todos",G73=Painel!$L$8),OR(Painel!$C$10="",ISNUMBER(SEARCH(SUBSTITUTE(SUBSTITUTE(SUBSTITUTE(Painel!$C$10,"~","~~"),"*","~*"),"?","~?"),A73&amp;" "&amp;H73&amp;" "&amp;I73))))),1,0)</f>
        <v>1</v>
      </c>
      <c r="AM73" s="14">
        <f t="shared" si="4"/>
        <v>73</v>
      </c>
      <c r="AN73" s="14"/>
      <c r="AO73" s="14"/>
      <c r="AP73" s="16" t="str">
        <f>IF(AB73=0,"",IF(INDEX(Andamentos!$B$10:$B$2009,AB73)="","",INDEX(Andamentos!$B$10:$B$2009,AB73)))</f>
        <v/>
      </c>
      <c r="AQ73" s="17" t="str">
        <f>IF(AH73=0,"",IF(INDEX(Valores!$B$10:$B$509,AH73)="","",IF(ISNUMBER(INDEX(Valores!$B$10:$B$509,AH73)),INDEX(Valores!$B$10:$B$509,AH73),"")))</f>
        <v/>
      </c>
      <c r="AR73" s="14" t="str">
        <f t="shared" si="5"/>
        <v/>
      </c>
      <c r="AS73" s="14" t="str">
        <f t="shared" si="6"/>
        <v>P:0010251-67.2022.5.18.0103 [BMM-064]</v>
      </c>
      <c r="AT73" s="27" t="s">
        <v>573</v>
      </c>
      <c r="AU73" s="31" t="s">
        <v>544</v>
      </c>
      <c r="AV73" s="31"/>
      <c r="AW73" s="27" t="s">
        <v>162</v>
      </c>
      <c r="AX73" s="27"/>
      <c r="AY73" s="27"/>
      <c r="AZ73" s="27"/>
      <c r="BA73" s="30" t="str">
        <f t="shared" si="7"/>
        <v>0010251-67.2022.5.18.0103</v>
      </c>
      <c r="BB73" s="30" t="str">
        <f t="shared" si="8"/>
        <v>Revisar repetição</v>
      </c>
      <c r="BC73" s="30">
        <f>IF(X73=0,0,IF(COUNTIFS($X$10:X73,1,$BA$10:BA73,BA73)=1,1,0))</f>
        <v>0</v>
      </c>
      <c r="BD73" s="29">
        <v>45512</v>
      </c>
    </row>
    <row r="74" spans="1:56" ht="42" customHeight="1">
      <c r="A74" s="41" t="s">
        <v>574</v>
      </c>
      <c r="B74" s="44" t="s">
        <v>161</v>
      </c>
      <c r="C74" s="44" t="s">
        <v>300</v>
      </c>
      <c r="D74" s="44" t="s">
        <v>163</v>
      </c>
      <c r="E74" s="44"/>
      <c r="F74" s="44" t="s">
        <v>446</v>
      </c>
      <c r="G74" s="44" t="s">
        <v>238</v>
      </c>
      <c r="H74" s="44" t="s">
        <v>575</v>
      </c>
      <c r="I74" s="44" t="s">
        <v>576</v>
      </c>
      <c r="J74" s="44" t="s">
        <v>577</v>
      </c>
      <c r="K74" s="44" t="s">
        <v>578</v>
      </c>
      <c r="L74" s="49"/>
      <c r="M74" s="48" t="s">
        <v>579</v>
      </c>
      <c r="N74" s="48" t="s">
        <v>170</v>
      </c>
      <c r="O74" s="48"/>
      <c r="P74" s="48"/>
      <c r="Q74" s="48"/>
      <c r="R74" s="48"/>
      <c r="S74" s="49"/>
      <c r="T74" s="48"/>
      <c r="U74" s="48" t="s">
        <v>580</v>
      </c>
      <c r="V74" s="14">
        <f t="shared" ref="V74:V137" si="9">IF(AND(A74&lt;&gt;"",ISTEXT(A74),COUNTIFS($AS$10:$AS$509,"="&amp;SUBSTITUTE(SUBSTITUTE(SUBSTITUTE("P:"&amp;A74,"~","~~"),"*","~*"),"?","~?"))=1),1,0)</f>
        <v>1</v>
      </c>
      <c r="W74" s="14">
        <f t="shared" ref="W74:W137" si="10">IF(AND(V74=1,OR(C74="Ativo",C74="Suspenso")),1,0)</f>
        <v>1</v>
      </c>
      <c r="X74" s="14">
        <f>IF(AND(V74=1,OR(Painel!$C$6="Todos",D74=Painel!$C$6),AND(OR(Painel!$L$6="Todas",E74=Painel!$L$6),OR(Painel!$C$8="Todos",F74=Painel!$C$8),OR(Painel!$L$8="Todos",G74=Painel!$L$8),OR(Painel!$C$10="",ISNUMBER(SEARCH(SUBSTITUTE(SUBSTITUTE(SUBSTITUTE(Painel!$C$10,"~","~~"),"*","~*"),"?","~?"),A74&amp;" "&amp;H74&amp;" "&amp;I74))))),1,0)</f>
        <v>1</v>
      </c>
      <c r="Y74" s="14">
        <f t="shared" ref="Y74:Y137" si="11">IF(AND(W74=1,OR(N74="Crítica",O74="Sim",P74="Sim")),1,0)</f>
        <v>0</v>
      </c>
      <c r="Z74" s="15">
        <f>IF(V74=0,"",IF(COUNTIFS(Andamentos!$K$10:$K$2009,"="&amp;SUBSTITUTE(SUBSTITUTE(SUBSTITUTE("P:"&amp;A74,"~","~~"),"*","~*"),"?","~?"),Andamentos!$G$10:$G$2009,1)=0,"",_xlfn.AGGREGATE(14,6,Andamentos!$D$10:$D$2009/((Andamentos!$K$10:$K$2009=AS74)*(Andamentos!$G$10:$G$2009=1)),1)))</f>
        <v>46052</v>
      </c>
      <c r="AA74" s="14">
        <f>IF(Z74="",0,COUNTIFS(Andamentos!$K$10:$K$2009,"="&amp;SUBSTITUTE(SUBSTITUTE(SUBSTITUTE("P:"&amp;A74,"~","~~"),"*","~*"),"?","~?"),Andamentos!$D$10:$D$2009,Z74,Andamentos!$G$10:$G$2009,1))</f>
        <v>1</v>
      </c>
      <c r="AB74" s="14">
        <f>IF(AA74=1,SUMIFS(Andamentos!$L$10:$L$2009,Andamentos!$K$10:$K$2009,"="&amp;SUBSTITUTE(SUBSTITUTE(SUBSTITUTE(AS74,"~","~~"),"*","~*"),"?","~?"),Andamentos!$D$10:$D$2009,Z74,Andamentos!$G$10:$G$2009,1)-9,0)</f>
        <v>65</v>
      </c>
      <c r="AC74" s="14" t="str">
        <f>IF(V74=0,"",IF(AA74&gt;1,"Conferir recebimentos empatados",IF(AB74=0,"Sem atualização",INDEX(Andamentos!$C$10:$C$2009,AB74))))</f>
        <v>(25/09/2023) O processo encontra-se paralisado, aguarda-se o prosseguimento do feito.
(06/08/2024) Aguarda-se realização da audiência AIJ [...] histórico completo em Observações</v>
      </c>
      <c r="AD74" s="14">
        <f ca="1">IF(W74=0,0,IF(MAX(Z74,BD74)=0,1,IF(Configurar!$J$12-INT(MAX(Z74,BD74))&gt;Configurar!$J$11,1,0)))</f>
        <v>1</v>
      </c>
      <c r="AE74" s="16"/>
      <c r="AF74" s="14"/>
      <c r="AG74" s="14"/>
      <c r="AH74" s="14">
        <f>IF(AND(V74=1,COUNTIFS(Valores!$S$10:$S$509,"="&amp;SUBSTITUTE(SUBSTITUTE(SUBSTITUTE("P:"&amp;A74,"~","~~"),"*","~*"),"?","~?"))=1),(IF(ISNA(MATCH(SUBSTITUTE(SUBSTITUTE(SUBSTITUTE("P:"&amp;A74,"~","~~"),"*","~*"),"?","~?"),Valores!$S$10:$S$509,0)),9,INDEX(Valores!$R$10:$R$509,MATCH(SUBSTITUTE(SUBSTITUTE(SUBSTITUTE("P:"&amp;A74,"~","~~"),"*","~*"),"?","~?"),Valores!$S$10:$S$509,0)))-9),0)</f>
        <v>65</v>
      </c>
      <c r="AI74" s="40" t="str">
        <f t="shared" ref="AI74:AI137" si="12">IF(COUNTA(A74:U74)=0,"",IF(A74="","Preencha o número do processo",IF(NOT(ISTEXT(A74)),"Mantenha o número como texto",IF(V74=0,"Número duplicado: confira o identificador completo",IF(C74="","Informe a situação",IF(AND(C74&lt;&gt;"Ativo",C74&lt;&gt;"Suspenso",C74&lt;&gt;"Encerrado",C74&lt;&gt;"Arquivado"),"Escolha uma situação da lista",IF(D74="","Informe o escritório",IF(E74="","Informe a empresa responsável",IF(H74="","Informe a parte autora",IF(I74="","Informe a parte ré",IF(M74="","Inclua o resumo dos fatos",IF(AND(L74&lt;&gt;"",OR(NOT(ISNUMBER(L74)),L74&lt;1,L74&gt;100000)),"Revise a data de instauração",IF(AND(S74&lt;&gt;"",OR(NOT(ISNUMBER(S74)),S74&lt;1,S74&gt;100000)),"Revise a previsão de encerramento",IF(AND(OR(C74="Encerrado",C74="Arquivado"),OR(O74="Sim",P74="Sim")),"Reveja as restrições após o encerramento",""))))))))))))))</f>
        <v>Informe a empresa responsável</v>
      </c>
      <c r="AJ74" s="14" t="str">
        <f>IF(AND(X74=1,Y74=1),COUNTIFS($X$10:X74,1,$Y$10:Y74,1),"")</f>
        <v/>
      </c>
      <c r="AK74" s="14">
        <f>IF(X74=1,COUNTIFS($X$10:X74,1),"")</f>
        <v>65</v>
      </c>
      <c r="AL74" s="14">
        <f>IF(AND(V74=1,AND(OR(Painel!$L$6="Todas",E74=Painel!$L$6),OR(Painel!$C$8="Todos",F74=Painel!$C$8),OR(Painel!$L$8="Todos",G74=Painel!$L$8),OR(Painel!$C$10="",ISNUMBER(SEARCH(SUBSTITUTE(SUBSTITUTE(SUBSTITUTE(Painel!$C$10,"~","~~"),"*","~*"),"?","~?"),A74&amp;" "&amp;H74&amp;" "&amp;I74))))),1,0)</f>
        <v>1</v>
      </c>
      <c r="AM74" s="14">
        <f t="shared" ref="AM74:AM137" si="13">IF(A74="",0,ROW())</f>
        <v>74</v>
      </c>
      <c r="AN74" s="14"/>
      <c r="AO74" s="14"/>
      <c r="AP74" s="16" t="str">
        <f>IF(AB74=0,"",IF(INDEX(Andamentos!$B$10:$B$2009,AB74)="","",INDEX(Andamentos!$B$10:$B$2009,AB74)))</f>
        <v/>
      </c>
      <c r="AQ74" s="17">
        <f>IF(AH74=0,"",IF(INDEX(Valores!$B$10:$B$509,AH74)="","",IF(ISNUMBER(INDEX(Valores!$B$10:$B$509,AH74)),INDEX(Valores!$B$10:$B$509,AH74),"")))</f>
        <v>79000</v>
      </c>
      <c r="AR74" s="14" t="str">
        <f t="shared" ref="AR74:AR137" si="14">IF(Y74=0,"",IF(N74="Crítica","Prioridade crítica. ","")&amp;IF(O74="Sim","Bloqueio vigente. ","")&amp;IF(P74="Sim","Penhora vigente. ","")&amp;IF(Q74="","",Q74))</f>
        <v/>
      </c>
      <c r="AS74" s="14" t="str">
        <f t="shared" ref="AS74:AS137" si="15">IF(AND(A74&lt;&gt;"",ISTEXT(A74)),"P:"&amp;A74,"")</f>
        <v>P:1002777-19.2018.4.01.3500</v>
      </c>
      <c r="AT74" s="27" t="s">
        <v>581</v>
      </c>
      <c r="AU74" s="31" t="s">
        <v>574</v>
      </c>
      <c r="AV74" s="31"/>
      <c r="AW74" s="27"/>
      <c r="AX74" s="27" t="s">
        <v>582</v>
      </c>
      <c r="AY74" s="27"/>
      <c r="AZ74" s="27"/>
      <c r="BA74" s="30" t="str">
        <f t="shared" ref="BA74:BA137" si="16">IF(A74="","",IF(AU74&lt;&gt;"",AU74,IF(AV74&lt;&gt;"",AV74,A74)))</f>
        <v>1002777-19.2018.4.01.3500</v>
      </c>
      <c r="BB74" s="30" t="str">
        <f t="shared" ref="BB74:BB137" si="17">IF(A74="","",IF(COUNTIFS($BA$10:$BA$509,BA74)&gt;1,"Revisar repetição",""))</f>
        <v/>
      </c>
      <c r="BC74" s="30">
        <f>IF(X74=0,0,IF(COUNTIFS($X$10:X74,1,$BA$10:BA74,BA74)=1,1,0))</f>
        <v>1</v>
      </c>
      <c r="BD74" s="29">
        <v>46052</v>
      </c>
    </row>
    <row r="75" spans="1:56" ht="42" customHeight="1">
      <c r="A75" s="41" t="s">
        <v>583</v>
      </c>
      <c r="B75" s="44" t="s">
        <v>161</v>
      </c>
      <c r="C75" s="44" t="s">
        <v>162</v>
      </c>
      <c r="D75" s="44" t="s">
        <v>163</v>
      </c>
      <c r="E75" s="44"/>
      <c r="F75" s="44"/>
      <c r="G75" s="44" t="s">
        <v>584</v>
      </c>
      <c r="H75" s="44" t="s">
        <v>585</v>
      </c>
      <c r="I75" s="44" t="s">
        <v>166</v>
      </c>
      <c r="J75" s="44" t="s">
        <v>586</v>
      </c>
      <c r="K75" s="44" t="s">
        <v>578</v>
      </c>
      <c r="L75" s="49">
        <v>41367</v>
      </c>
      <c r="M75" s="48" t="s">
        <v>587</v>
      </c>
      <c r="N75" s="48" t="s">
        <v>170</v>
      </c>
      <c r="O75" s="48"/>
      <c r="P75" s="48"/>
      <c r="Q75" s="48"/>
      <c r="R75" s="48"/>
      <c r="S75" s="49"/>
      <c r="T75" s="48"/>
      <c r="U75" s="48" t="s">
        <v>588</v>
      </c>
      <c r="V75" s="14">
        <f t="shared" si="9"/>
        <v>1</v>
      </c>
      <c r="W75" s="14">
        <f t="shared" si="10"/>
        <v>0</v>
      </c>
      <c r="X75" s="14">
        <f>IF(AND(V75=1,OR(Painel!$C$6="Todos",D75=Painel!$C$6),AND(OR(Painel!$L$6="Todas",E75=Painel!$L$6),OR(Painel!$C$8="Todos",F75=Painel!$C$8),OR(Painel!$L$8="Todos",G75=Painel!$L$8),OR(Painel!$C$10="",ISNUMBER(SEARCH(SUBSTITUTE(SUBSTITUTE(SUBSTITUTE(Painel!$C$10,"~","~~"),"*","~*"),"?","~?"),A75&amp;" "&amp;H75&amp;" "&amp;I75))))),1,0)</f>
        <v>1</v>
      </c>
      <c r="Y75" s="14">
        <f t="shared" si="11"/>
        <v>0</v>
      </c>
      <c r="Z75" s="15">
        <f>IF(V75=0,"",IF(COUNTIFS(Andamentos!$K$10:$K$2009,"="&amp;SUBSTITUTE(SUBSTITUTE(SUBSTITUTE("P:"&amp;A75,"~","~~"),"*","~*"),"?","~?"),Andamentos!$G$10:$G$2009,1)=0,"",_xlfn.AGGREGATE(14,6,Andamentos!$D$10:$D$2009/((Andamentos!$K$10:$K$2009=AS75)*(Andamentos!$G$10:$G$2009=1)),1)))</f>
        <v>45512</v>
      </c>
      <c r="AA75" s="14">
        <f>IF(Z75="",0,COUNTIFS(Andamentos!$K$10:$K$2009,"="&amp;SUBSTITUTE(SUBSTITUTE(SUBSTITUTE("P:"&amp;A75,"~","~~"),"*","~*"),"?","~?"),Andamentos!$D$10:$D$2009,Z75,Andamentos!$G$10:$G$2009,1))</f>
        <v>1</v>
      </c>
      <c r="AB75" s="14">
        <f>IF(AA75=1,SUMIFS(Andamentos!$L$10:$L$2009,Andamentos!$K$10:$K$2009,"="&amp;SUBSTITUTE(SUBSTITUTE(SUBSTITUTE(AS75,"~","~~"),"*","~*"),"?","~?"),Andamentos!$D$10:$D$2009,Z75,Andamentos!$G$10:$G$2009,1)-9,0)</f>
        <v>66</v>
      </c>
      <c r="AC75" s="14" t="str">
        <f>IF(V75=0,"",IF(AA75&gt;1,"Conferir recebimentos empatados",IF(AB75=0,"Sem atualização",INDEX(Andamentos!$C$10:$C$2009,AB75))))</f>
        <v>(13/04/2023) O Tribunal Regional Federal da 6ª Região deu provimento à Apelação da União e reformou a sentença, afirmando que os tributos questionados incidem sobre as férias gozadas. Este entendimento está de acordo com a posição adotada pelo STJ e pelo STF, razão pela qual não será interposto recurso por parte da empresa. (19/05/2023) Certificado o trânsito em julgado</v>
      </c>
      <c r="AD75" s="14">
        <f>IF(W75=0,0,IF(MAX(Z75,BD75)=0,1,IF(Configurar!$J$12-INT(MAX(Z75,BD75))&gt;Configurar!$J$11,1,0)))</f>
        <v>0</v>
      </c>
      <c r="AE75" s="16"/>
      <c r="AF75" s="14"/>
      <c r="AG75" s="14"/>
      <c r="AH75" s="14">
        <f>IF(AND(V75=1,COUNTIFS(Valores!$S$10:$S$509,"="&amp;SUBSTITUTE(SUBSTITUTE(SUBSTITUTE("P:"&amp;A75,"~","~~"),"*","~*"),"?","~?"))=1),(IF(ISNA(MATCH(SUBSTITUTE(SUBSTITUTE(SUBSTITUTE("P:"&amp;A75,"~","~~"),"*","~*"),"?","~?"),Valores!$S$10:$S$509,0)),9,INDEX(Valores!$R$10:$R$509,MATCH(SUBSTITUTE(SUBSTITUTE(SUBSTITUTE("P:"&amp;A75,"~","~~"),"*","~*"),"?","~?"),Valores!$S$10:$S$509,0)))-9),0)</f>
        <v>66</v>
      </c>
      <c r="AI75" s="40" t="str">
        <f t="shared" si="12"/>
        <v>Informe a empresa responsável</v>
      </c>
      <c r="AJ75" s="14" t="str">
        <f>IF(AND(X75=1,Y75=1),COUNTIFS($X$10:X75,1,$Y$10:Y75,1),"")</f>
        <v/>
      </c>
      <c r="AK75" s="14">
        <f>IF(X75=1,COUNTIFS($X$10:X75,1),"")</f>
        <v>66</v>
      </c>
      <c r="AL75" s="14">
        <f>IF(AND(V75=1,AND(OR(Painel!$L$6="Todas",E75=Painel!$L$6),OR(Painel!$C$8="Todos",F75=Painel!$C$8),OR(Painel!$L$8="Todos",G75=Painel!$L$8),OR(Painel!$C$10="",ISNUMBER(SEARCH(SUBSTITUTE(SUBSTITUTE(SUBSTITUTE(Painel!$C$10,"~","~~"),"*","~*"),"?","~?"),A75&amp;" "&amp;H75&amp;" "&amp;I75))))),1,0)</f>
        <v>1</v>
      </c>
      <c r="AM75" s="14">
        <f t="shared" si="13"/>
        <v>75</v>
      </c>
      <c r="AN75" s="14"/>
      <c r="AO75" s="14"/>
      <c r="AP75" s="16" t="str">
        <f>IF(AB75=0,"",IF(INDEX(Andamentos!$B$10:$B$2009,AB75)="","",INDEX(Andamentos!$B$10:$B$2009,AB75)))</f>
        <v/>
      </c>
      <c r="AQ75" s="17">
        <f>IF(AH75=0,"",IF(INDEX(Valores!$B$10:$B$509,AH75)="","",IF(ISNUMBER(INDEX(Valores!$B$10:$B$509,AH75)),INDEX(Valores!$B$10:$B$509,AH75),"")))</f>
        <v>30000</v>
      </c>
      <c r="AR75" s="14" t="str">
        <f t="shared" si="14"/>
        <v/>
      </c>
      <c r="AS75" s="14" t="str">
        <f t="shared" si="15"/>
        <v>P:0015510-80.2013.4.01.3800</v>
      </c>
      <c r="AT75" s="27" t="s">
        <v>589</v>
      </c>
      <c r="AU75" s="31" t="s">
        <v>583</v>
      </c>
      <c r="AV75" s="31"/>
      <c r="AW75" s="27" t="s">
        <v>162</v>
      </c>
      <c r="AX75" s="27"/>
      <c r="AY75" s="27"/>
      <c r="AZ75" s="27"/>
      <c r="BA75" s="30" t="str">
        <f t="shared" si="16"/>
        <v>0015510-80.2013.4.01.3800</v>
      </c>
      <c r="BB75" s="30" t="str">
        <f t="shared" si="17"/>
        <v/>
      </c>
      <c r="BC75" s="30">
        <f>IF(X75=0,0,IF(COUNTIFS($X$10:X75,1,$BA$10:BA75,BA75)=1,1,0))</f>
        <v>1</v>
      </c>
      <c r="BD75" s="29">
        <v>45512</v>
      </c>
    </row>
    <row r="76" spans="1:56" ht="42" customHeight="1">
      <c r="A76" s="41" t="s">
        <v>590</v>
      </c>
      <c r="B76" s="44" t="s">
        <v>161</v>
      </c>
      <c r="C76" s="44" t="s">
        <v>162</v>
      </c>
      <c r="D76" s="44" t="s">
        <v>163</v>
      </c>
      <c r="E76" s="44"/>
      <c r="F76" s="44"/>
      <c r="G76" s="44" t="s">
        <v>584</v>
      </c>
      <c r="H76" s="44" t="s">
        <v>591</v>
      </c>
      <c r="I76" s="44" t="s">
        <v>166</v>
      </c>
      <c r="J76" s="44" t="s">
        <v>592</v>
      </c>
      <c r="K76" s="44" t="s">
        <v>593</v>
      </c>
      <c r="L76" s="49">
        <v>44505</v>
      </c>
      <c r="M76" s="48" t="s">
        <v>594</v>
      </c>
      <c r="N76" s="48" t="s">
        <v>170</v>
      </c>
      <c r="O76" s="48"/>
      <c r="P76" s="48"/>
      <c r="Q76" s="48"/>
      <c r="R76" s="48"/>
      <c r="S76" s="49"/>
      <c r="T76" s="48"/>
      <c r="U76" s="48" t="s">
        <v>595</v>
      </c>
      <c r="V76" s="14">
        <f t="shared" si="9"/>
        <v>1</v>
      </c>
      <c r="W76" s="14">
        <f t="shared" si="10"/>
        <v>0</v>
      </c>
      <c r="X76" s="14">
        <f>IF(AND(V76=1,OR(Painel!$C$6="Todos",D76=Painel!$C$6),AND(OR(Painel!$L$6="Todas",E76=Painel!$L$6),OR(Painel!$C$8="Todos",F76=Painel!$C$8),OR(Painel!$L$8="Todos",G76=Painel!$L$8),OR(Painel!$C$10="",ISNUMBER(SEARCH(SUBSTITUTE(SUBSTITUTE(SUBSTITUTE(Painel!$C$10,"~","~~"),"*","~*"),"?","~?"),A76&amp;" "&amp;H76&amp;" "&amp;I76))))),1,0)</f>
        <v>1</v>
      </c>
      <c r="Y76" s="14">
        <f t="shared" si="11"/>
        <v>0</v>
      </c>
      <c r="Z76" s="15">
        <f>IF(V76=0,"",IF(COUNTIFS(Andamentos!$K$10:$K$2009,"="&amp;SUBSTITUTE(SUBSTITUTE(SUBSTITUTE("P:"&amp;A76,"~","~~"),"*","~*"),"?","~?"),Andamentos!$G$10:$G$2009,1)=0,"",_xlfn.AGGREGATE(14,6,Andamentos!$D$10:$D$2009/((Andamentos!$K$10:$K$2009=AS76)*(Andamentos!$G$10:$G$2009=1)),1)))</f>
        <v>46073</v>
      </c>
      <c r="AA76" s="14">
        <f>IF(Z76="",0,COUNTIFS(Andamentos!$K$10:$K$2009,"="&amp;SUBSTITUTE(SUBSTITUTE(SUBSTITUTE("P:"&amp;A76,"~","~~"),"*","~*"),"?","~?"),Andamentos!$D$10:$D$2009,Z76,Andamentos!$G$10:$G$2009,1))</f>
        <v>1</v>
      </c>
      <c r="AB76" s="14">
        <f>IF(AA76=1,SUMIFS(Andamentos!$L$10:$L$2009,Andamentos!$K$10:$K$2009,"="&amp;SUBSTITUTE(SUBSTITUTE(SUBSTITUTE(AS76,"~","~~"),"*","~*"),"?","~?"),Andamentos!$D$10:$D$2009,Z76,Andamentos!$G$10:$G$2009,1)-9,0)</f>
        <v>67</v>
      </c>
      <c r="AC76" s="14" t="str">
        <f>IF(V76=0,"",IF(AA76&gt;1,"Conferir recebimentos empatados",IF(AB76=0,"Sem atualização",INDEX(Andamentos!$C$10:$C$2009,AB76))))</f>
        <v>05/11/2021 - A Execução foi ajuizada nesta data. [...] histórico completo em Observações</v>
      </c>
      <c r="AD76" s="14">
        <f>IF(W76=0,0,IF(MAX(Z76,BD76)=0,1,IF(Configurar!$J$12-INT(MAX(Z76,BD76))&gt;Configurar!$J$11,1,0)))</f>
        <v>0</v>
      </c>
      <c r="AE76" s="16"/>
      <c r="AF76" s="14"/>
      <c r="AG76" s="14"/>
      <c r="AH76" s="14">
        <f>IF(AND(V76=1,COUNTIFS(Valores!$S$10:$S$509,"="&amp;SUBSTITUTE(SUBSTITUTE(SUBSTITUTE("P:"&amp;A76,"~","~~"),"*","~*"),"?","~?"))=1),(IF(ISNA(MATCH(SUBSTITUTE(SUBSTITUTE(SUBSTITUTE("P:"&amp;A76,"~","~~"),"*","~*"),"?","~?"),Valores!$S$10:$S$509,0)),9,INDEX(Valores!$R$10:$R$509,MATCH(SUBSTITUTE(SUBSTITUTE(SUBSTITUTE("P:"&amp;A76,"~","~~"),"*","~*"),"?","~?"),Valores!$S$10:$S$509,0)))-9),0)</f>
        <v>67</v>
      </c>
      <c r="AI76" s="40" t="str">
        <f t="shared" si="12"/>
        <v>Informe a empresa responsável</v>
      </c>
      <c r="AJ76" s="14" t="str">
        <f>IF(AND(X76=1,Y76=1),COUNTIFS($X$10:X76,1,$Y$10:Y76,1),"")</f>
        <v/>
      </c>
      <c r="AK76" s="14">
        <f>IF(X76=1,COUNTIFS($X$10:X76,1),"")</f>
        <v>67</v>
      </c>
      <c r="AL76" s="14">
        <f>IF(AND(V76=1,AND(OR(Painel!$L$6="Todas",E76=Painel!$L$6),OR(Painel!$C$8="Todos",F76=Painel!$C$8),OR(Painel!$L$8="Todos",G76=Painel!$L$8),OR(Painel!$C$10="",ISNUMBER(SEARCH(SUBSTITUTE(SUBSTITUTE(SUBSTITUTE(Painel!$C$10,"~","~~"),"*","~*"),"?","~?"),A76&amp;" "&amp;H76&amp;" "&amp;I76))))),1,0)</f>
        <v>1</v>
      </c>
      <c r="AM76" s="14">
        <f t="shared" si="13"/>
        <v>76</v>
      </c>
      <c r="AN76" s="14"/>
      <c r="AO76" s="14"/>
      <c r="AP76" s="16">
        <f>IF(AB76=0,"",IF(INDEX(Andamentos!$B$10:$B$2009,AB76)="","",INDEX(Andamentos!$B$10:$B$2009,AB76)))</f>
        <v>44505</v>
      </c>
      <c r="AQ76" s="17">
        <f>IF(AH76=0,"",IF(INDEX(Valores!$B$10:$B$509,AH76)="","",IF(ISNUMBER(INDEX(Valores!$B$10:$B$509,AH76)),INDEX(Valores!$B$10:$B$509,AH76),"")))</f>
        <v>7335.99</v>
      </c>
      <c r="AR76" s="14" t="str">
        <f t="shared" si="14"/>
        <v/>
      </c>
      <c r="AS76" s="14" t="str">
        <f t="shared" si="15"/>
        <v>P:8002509-98.2021.8.05.0231</v>
      </c>
      <c r="AT76" s="27" t="s">
        <v>596</v>
      </c>
      <c r="AU76" s="31" t="s">
        <v>590</v>
      </c>
      <c r="AV76" s="31"/>
      <c r="AW76" s="27" t="s">
        <v>162</v>
      </c>
      <c r="AX76" s="27"/>
      <c r="AY76" s="27"/>
      <c r="AZ76" s="27"/>
      <c r="BA76" s="30" t="str">
        <f t="shared" si="16"/>
        <v>8002509-98.2021.8.05.0231</v>
      </c>
      <c r="BB76" s="30" t="str">
        <f t="shared" si="17"/>
        <v/>
      </c>
      <c r="BC76" s="30">
        <f>IF(X76=0,0,IF(COUNTIFS($X$10:X76,1,$BA$10:BA76,BA76)=1,1,0))</f>
        <v>1</v>
      </c>
      <c r="BD76" s="29">
        <v>46073</v>
      </c>
    </row>
    <row r="77" spans="1:56" ht="42" customHeight="1">
      <c r="A77" s="41" t="s">
        <v>597</v>
      </c>
      <c r="B77" s="44" t="s">
        <v>598</v>
      </c>
      <c r="C77" s="44" t="s">
        <v>162</v>
      </c>
      <c r="D77" s="44" t="s">
        <v>163</v>
      </c>
      <c r="E77" s="44"/>
      <c r="F77" s="44"/>
      <c r="G77" s="44" t="s">
        <v>584</v>
      </c>
      <c r="H77" s="44" t="s">
        <v>599</v>
      </c>
      <c r="I77" s="44" t="s">
        <v>166</v>
      </c>
      <c r="J77" s="44"/>
      <c r="K77" s="44"/>
      <c r="L77" s="49">
        <v>43599</v>
      </c>
      <c r="M77" s="48" t="s">
        <v>600</v>
      </c>
      <c r="N77" s="48" t="s">
        <v>170</v>
      </c>
      <c r="O77" s="48"/>
      <c r="P77" s="48"/>
      <c r="Q77" s="48"/>
      <c r="R77" s="48"/>
      <c r="S77" s="49"/>
      <c r="T77" s="48"/>
      <c r="U77" s="48" t="s">
        <v>601</v>
      </c>
      <c r="V77" s="14">
        <f t="shared" si="9"/>
        <v>1</v>
      </c>
      <c r="W77" s="14">
        <f t="shared" si="10"/>
        <v>0</v>
      </c>
      <c r="X77" s="14">
        <f>IF(AND(V77=1,OR(Painel!$C$6="Todos",D77=Painel!$C$6),AND(OR(Painel!$L$6="Todas",E77=Painel!$L$6),OR(Painel!$C$8="Todos",F77=Painel!$C$8),OR(Painel!$L$8="Todos",G77=Painel!$L$8),OR(Painel!$C$10="",ISNUMBER(SEARCH(SUBSTITUTE(SUBSTITUTE(SUBSTITUTE(Painel!$C$10,"~","~~"),"*","~*"),"?","~?"),A77&amp;" "&amp;H77&amp;" "&amp;I77))))),1,0)</f>
        <v>1</v>
      </c>
      <c r="Y77" s="14">
        <f t="shared" si="11"/>
        <v>0</v>
      </c>
      <c r="Z77" s="15">
        <f>IF(V77=0,"",IF(COUNTIFS(Andamentos!$K$10:$K$2009,"="&amp;SUBSTITUTE(SUBSTITUTE(SUBSTITUTE("P:"&amp;A77,"~","~~"),"*","~*"),"?","~?"),Andamentos!$G$10:$G$2009,1)=0,"",_xlfn.AGGREGATE(14,6,Andamentos!$D$10:$D$2009/((Andamentos!$K$10:$K$2009=AS77)*(Andamentos!$G$10:$G$2009=1)),1)))</f>
        <v>46055</v>
      </c>
      <c r="AA77" s="14">
        <f>IF(Z77="",0,COUNTIFS(Andamentos!$K$10:$K$2009,"="&amp;SUBSTITUTE(SUBSTITUTE(SUBSTITUTE("P:"&amp;A77,"~","~~"),"*","~*"),"?","~?"),Andamentos!$D$10:$D$2009,Z77,Andamentos!$G$10:$G$2009,1))</f>
        <v>1</v>
      </c>
      <c r="AB77" s="14">
        <f>IF(AA77=1,SUMIFS(Andamentos!$L$10:$L$2009,Andamentos!$K$10:$K$2009,"="&amp;SUBSTITUTE(SUBSTITUTE(SUBSTITUTE(AS77,"~","~~"),"*","~*"),"?","~?"),Andamentos!$D$10:$D$2009,Z77,Andamentos!$G$10:$G$2009,1)-9,0)</f>
        <v>68</v>
      </c>
      <c r="AC77" s="14" t="str">
        <f>IF(V77=0,"",IF(AA77&gt;1,"Conferir recebimentos empatados",IF(AB77=0,"Sem atualização",INDEX(Andamentos!$C$10:$C$2009,AB77))))</f>
        <v>(17/05/2019) A Impugnação foi apresentada nesta data. Demonstrou-se, nela, que foi aplicada legislação equivocada por parte da Prefeitura (a autuação se refere a um período que vai até junho de 2015, mas, no Auto de Infração, a Prefeitura mencionou a Lei 146 de
2017). Demonstrou-se, ainda, que a empresa já havia sido fiscalizada quanto a uma
parte do período agora autuado. Por fim, atestou-se que uma parcela dos débitos não
poderia ser cobrada, tendo em vista a perda de prazo pela Prefeitura. (19/09/2023) Aguarda-se o julgamento da Impugnação da empresa. [...] histórico completo em Observações</v>
      </c>
      <c r="AD77" s="14">
        <f>IF(W77=0,0,IF(MAX(Z77,BD77)=0,1,IF(Configurar!$J$12-INT(MAX(Z77,BD77))&gt;Configurar!$J$11,1,0)))</f>
        <v>0</v>
      </c>
      <c r="AE77" s="16"/>
      <c r="AF77" s="14"/>
      <c r="AG77" s="14"/>
      <c r="AH77" s="14">
        <f>IF(AND(V77=1,COUNTIFS(Valores!$S$10:$S$509,"="&amp;SUBSTITUTE(SUBSTITUTE(SUBSTITUTE("P:"&amp;A77,"~","~~"),"*","~*"),"?","~?"))=1),(IF(ISNA(MATCH(SUBSTITUTE(SUBSTITUTE(SUBSTITUTE("P:"&amp;A77,"~","~~"),"*","~*"),"?","~?"),Valores!$S$10:$S$509,0)),9,INDEX(Valores!$R$10:$R$509,MATCH(SUBSTITUTE(SUBSTITUTE(SUBSTITUTE("P:"&amp;A77,"~","~~"),"*","~*"),"?","~?"),Valores!$S$10:$S$509,0)))-9),0)</f>
        <v>68</v>
      </c>
      <c r="AI77" s="40" t="str">
        <f t="shared" si="12"/>
        <v>Informe a empresa responsável</v>
      </c>
      <c r="AJ77" s="14" t="str">
        <f>IF(AND(X77=1,Y77=1),COUNTIFS($X$10:X77,1,$Y$10:Y77,1),"")</f>
        <v/>
      </c>
      <c r="AK77" s="14">
        <f>IF(X77=1,COUNTIFS($X$10:X77,1),"")</f>
        <v>68</v>
      </c>
      <c r="AL77" s="14">
        <f>IF(AND(V77=1,AND(OR(Painel!$L$6="Todas",E77=Painel!$L$6),OR(Painel!$C$8="Todos",F77=Painel!$C$8),OR(Painel!$L$8="Todos",G77=Painel!$L$8),OR(Painel!$C$10="",ISNUMBER(SEARCH(SUBSTITUTE(SUBSTITUTE(SUBSTITUTE(Painel!$C$10,"~","~~"),"*","~*"),"?","~?"),A77&amp;" "&amp;H77&amp;" "&amp;I77))))),1,0)</f>
        <v>1</v>
      </c>
      <c r="AM77" s="14">
        <f t="shared" si="13"/>
        <v>77</v>
      </c>
      <c r="AN77" s="14"/>
      <c r="AO77" s="14"/>
      <c r="AP77" s="16" t="str">
        <f>IF(AB77=0,"",IF(INDEX(Andamentos!$B$10:$B$2009,AB77)="","",INDEX(Andamentos!$B$10:$B$2009,AB77)))</f>
        <v/>
      </c>
      <c r="AQ77" s="17">
        <f>IF(AH77=0,"",IF(INDEX(Valores!$B$10:$B$509,AH77)="","",IF(ISNUMBER(INDEX(Valores!$B$10:$B$509,AH77)),INDEX(Valores!$B$10:$B$509,AH77),"")))</f>
        <v>76138.740000000005</v>
      </c>
      <c r="AR77" s="14" t="str">
        <f t="shared" si="14"/>
        <v/>
      </c>
      <c r="AS77" s="14" t="str">
        <f t="shared" si="15"/>
        <v>P:AUTO DE INFRAÇÃO Nº 06.2019</v>
      </c>
      <c r="AT77" s="27" t="s">
        <v>602</v>
      </c>
      <c r="AU77" s="31"/>
      <c r="AV77" s="31" t="s">
        <v>597</v>
      </c>
      <c r="AW77" s="27" t="s">
        <v>162</v>
      </c>
      <c r="AX77" s="27"/>
      <c r="AY77" s="27"/>
      <c r="AZ77" s="27"/>
      <c r="BA77" s="30" t="str">
        <f t="shared" si="16"/>
        <v>AUTO DE INFRAÇÃO Nº 06.2019</v>
      </c>
      <c r="BB77" s="30" t="str">
        <f t="shared" si="17"/>
        <v/>
      </c>
      <c r="BC77" s="30">
        <f>IF(X77=0,0,IF(COUNTIFS($X$10:X77,1,$BA$10:BA77,BA77)=1,1,0))</f>
        <v>1</v>
      </c>
      <c r="BD77" s="29">
        <v>46055</v>
      </c>
    </row>
    <row r="78" spans="1:56" ht="42" customHeight="1">
      <c r="A78" s="41" t="s">
        <v>603</v>
      </c>
      <c r="B78" s="44" t="s">
        <v>598</v>
      </c>
      <c r="C78" s="44" t="s">
        <v>300</v>
      </c>
      <c r="D78" s="44" t="s">
        <v>163</v>
      </c>
      <c r="E78" s="44"/>
      <c r="F78" s="44"/>
      <c r="G78" s="44" t="s">
        <v>584</v>
      </c>
      <c r="H78" s="44" t="s">
        <v>599</v>
      </c>
      <c r="I78" s="44" t="s">
        <v>604</v>
      </c>
      <c r="J78" s="44"/>
      <c r="K78" s="44"/>
      <c r="L78" s="49">
        <v>43587</v>
      </c>
      <c r="M78" s="48" t="s">
        <v>605</v>
      </c>
      <c r="N78" s="48" t="s">
        <v>170</v>
      </c>
      <c r="O78" s="48"/>
      <c r="P78" s="48"/>
      <c r="Q78" s="48"/>
      <c r="R78" s="48"/>
      <c r="S78" s="49"/>
      <c r="T78" s="48"/>
      <c r="U78" s="48" t="s">
        <v>606</v>
      </c>
      <c r="V78" s="14">
        <f t="shared" si="9"/>
        <v>1</v>
      </c>
      <c r="W78" s="14">
        <f t="shared" si="10"/>
        <v>1</v>
      </c>
      <c r="X78" s="14">
        <f>IF(AND(V78=1,OR(Painel!$C$6="Todos",D78=Painel!$C$6),AND(OR(Painel!$L$6="Todas",E78=Painel!$L$6),OR(Painel!$C$8="Todos",F78=Painel!$C$8),OR(Painel!$L$8="Todos",G78=Painel!$L$8),OR(Painel!$C$10="",ISNUMBER(SEARCH(SUBSTITUTE(SUBSTITUTE(SUBSTITUTE(Painel!$C$10,"~","~~"),"*","~*"),"?","~?"),A78&amp;" "&amp;H78&amp;" "&amp;I78))))),1,0)</f>
        <v>1</v>
      </c>
      <c r="Y78" s="14">
        <f t="shared" si="11"/>
        <v>0</v>
      </c>
      <c r="Z78" s="15">
        <f>IF(V78=0,"",IF(COUNTIFS(Andamentos!$K$10:$K$2009,"="&amp;SUBSTITUTE(SUBSTITUTE(SUBSTITUTE("P:"&amp;A78,"~","~~"),"*","~*"),"?","~?"),Andamentos!$G$10:$G$2009,1)=0,"",_xlfn.AGGREGATE(14,6,Andamentos!$D$10:$D$2009/((Andamentos!$K$10:$K$2009=AS78)*(Andamentos!$G$10:$G$2009=1)),1)))</f>
        <v>46044</v>
      </c>
      <c r="AA78" s="14">
        <f>IF(Z78="",0,COUNTIFS(Andamentos!$K$10:$K$2009,"="&amp;SUBSTITUTE(SUBSTITUTE(SUBSTITUTE("P:"&amp;A78,"~","~~"),"*","~*"),"?","~?"),Andamentos!$D$10:$D$2009,Z78,Andamentos!$G$10:$G$2009,1))</f>
        <v>1</v>
      </c>
      <c r="AB78" s="14">
        <f>IF(AA78=1,SUMIFS(Andamentos!$L$10:$L$2009,Andamentos!$K$10:$K$2009,"="&amp;SUBSTITUTE(SUBSTITUTE(SUBSTITUTE(AS78,"~","~~"),"*","~*"),"?","~?"),Andamentos!$D$10:$D$2009,Z78,Andamentos!$G$10:$G$2009,1)-9,0)</f>
        <v>69</v>
      </c>
      <c r="AC78" s="14" t="str">
        <f>IF(V78=0,"",IF(AA78&gt;1,"Conferir recebimentos empatados",IF(AB78=0,"Sem atualização",INDEX(Andamentos!$C$10:$C$2009,AB78))))</f>
        <v>(17/05/2019) Apresentada, pela empresa, Impugnação ao Auto de Infração. 
(20/09/2023) Aguarda-se o julgamento da Impugnação apresentada pela empresa.</v>
      </c>
      <c r="AD78" s="14">
        <f ca="1">IF(W78=0,0,IF(MAX(Z78,BD78)=0,1,IF(Configurar!$J$12-INT(MAX(Z78,BD78))&gt;Configurar!$J$11,1,0)))</f>
        <v>1</v>
      </c>
      <c r="AE78" s="16"/>
      <c r="AF78" s="14"/>
      <c r="AG78" s="14"/>
      <c r="AH78" s="14">
        <f>IF(AND(V78=1,COUNTIFS(Valores!$S$10:$S$509,"="&amp;SUBSTITUTE(SUBSTITUTE(SUBSTITUTE("P:"&amp;A78,"~","~~"),"*","~*"),"?","~?"))=1),(IF(ISNA(MATCH(SUBSTITUTE(SUBSTITUTE(SUBSTITUTE("P:"&amp;A78,"~","~~"),"*","~*"),"?","~?"),Valores!$S$10:$S$509,0)),9,INDEX(Valores!$R$10:$R$509,MATCH(SUBSTITUTE(SUBSTITUTE(SUBSTITUTE("P:"&amp;A78,"~","~~"),"*","~*"),"?","~?"),Valores!$S$10:$S$509,0)))-9),0)</f>
        <v>69</v>
      </c>
      <c r="AI78" s="40" t="str">
        <f t="shared" si="12"/>
        <v>Informe a empresa responsável</v>
      </c>
      <c r="AJ78" s="14" t="str">
        <f>IF(AND(X78=1,Y78=1),COUNTIFS($X$10:X78,1,$Y$10:Y78,1),"")</f>
        <v/>
      </c>
      <c r="AK78" s="14">
        <f>IF(X78=1,COUNTIFS($X$10:X78,1),"")</f>
        <v>69</v>
      </c>
      <c r="AL78" s="14">
        <f>IF(AND(V78=1,AND(OR(Painel!$L$6="Todas",E78=Painel!$L$6),OR(Painel!$C$8="Todos",F78=Painel!$C$8),OR(Painel!$L$8="Todos",G78=Painel!$L$8),OR(Painel!$C$10="",ISNUMBER(SEARCH(SUBSTITUTE(SUBSTITUTE(SUBSTITUTE(Painel!$C$10,"~","~~"),"*","~*"),"?","~?"),A78&amp;" "&amp;H78&amp;" "&amp;I78))))),1,0)</f>
        <v>1</v>
      </c>
      <c r="AM78" s="14">
        <f t="shared" si="13"/>
        <v>78</v>
      </c>
      <c r="AN78" s="14"/>
      <c r="AO78" s="14"/>
      <c r="AP78" s="16" t="str">
        <f>IF(AB78=0,"",IF(INDEX(Andamentos!$B$10:$B$2009,AB78)="","",INDEX(Andamentos!$B$10:$B$2009,AB78)))</f>
        <v/>
      </c>
      <c r="AQ78" s="17">
        <f>IF(AH78=0,"",IF(INDEX(Valores!$B$10:$B$509,AH78)="","",IF(ISNUMBER(INDEX(Valores!$B$10:$B$509,AH78)),INDEX(Valores!$B$10:$B$509,AH78),"")))</f>
        <v>187427.45</v>
      </c>
      <c r="AR78" s="14" t="str">
        <f t="shared" si="14"/>
        <v/>
      </c>
      <c r="AS78" s="14" t="str">
        <f t="shared" si="15"/>
        <v>P:AUTO DE INFRAÇÃO Nº 07.2019</v>
      </c>
      <c r="AT78" s="27" t="s">
        <v>607</v>
      </c>
      <c r="AU78" s="31"/>
      <c r="AV78" s="31" t="s">
        <v>603</v>
      </c>
      <c r="AW78" s="27" t="s">
        <v>608</v>
      </c>
      <c r="AX78" s="27"/>
      <c r="AY78" s="27"/>
      <c r="AZ78" s="27"/>
      <c r="BA78" s="30" t="str">
        <f t="shared" si="16"/>
        <v>AUTO DE INFRAÇÃO Nº 07.2019</v>
      </c>
      <c r="BB78" s="30" t="str">
        <f t="shared" si="17"/>
        <v/>
      </c>
      <c r="BC78" s="30">
        <f>IF(X78=0,0,IF(COUNTIFS($X$10:X78,1,$BA$10:BA78,BA78)=1,1,0))</f>
        <v>1</v>
      </c>
      <c r="BD78" s="29">
        <v>46044</v>
      </c>
    </row>
    <row r="79" spans="1:56" ht="42" customHeight="1">
      <c r="A79" s="41" t="s">
        <v>609</v>
      </c>
      <c r="B79" s="44" t="s">
        <v>161</v>
      </c>
      <c r="C79" s="44" t="s">
        <v>300</v>
      </c>
      <c r="D79" s="44" t="s">
        <v>163</v>
      </c>
      <c r="E79" s="44"/>
      <c r="F79" s="44" t="s">
        <v>446</v>
      </c>
      <c r="G79" s="44" t="s">
        <v>238</v>
      </c>
      <c r="H79" s="44" t="s">
        <v>610</v>
      </c>
      <c r="I79" s="44" t="s">
        <v>611</v>
      </c>
      <c r="J79" s="44"/>
      <c r="K79" s="44" t="s">
        <v>578</v>
      </c>
      <c r="L79" s="49">
        <v>43604</v>
      </c>
      <c r="M79" s="48" t="s">
        <v>612</v>
      </c>
      <c r="N79" s="48" t="s">
        <v>170</v>
      </c>
      <c r="O79" s="48"/>
      <c r="P79" s="48"/>
      <c r="Q79" s="48"/>
      <c r="R79" s="48"/>
      <c r="S79" s="49"/>
      <c r="T79" s="48"/>
      <c r="U79" s="48" t="s">
        <v>613</v>
      </c>
      <c r="V79" s="14">
        <f t="shared" si="9"/>
        <v>1</v>
      </c>
      <c r="W79" s="14">
        <f t="shared" si="10"/>
        <v>1</v>
      </c>
      <c r="X79" s="14">
        <f>IF(AND(V79=1,OR(Painel!$C$6="Todos",D79=Painel!$C$6),AND(OR(Painel!$L$6="Todas",E79=Painel!$L$6),OR(Painel!$C$8="Todos",F79=Painel!$C$8),OR(Painel!$L$8="Todos",G79=Painel!$L$8),OR(Painel!$C$10="",ISNUMBER(SEARCH(SUBSTITUTE(SUBSTITUTE(SUBSTITUTE(Painel!$C$10,"~","~~"),"*","~*"),"?","~?"),A79&amp;" "&amp;H79&amp;" "&amp;I79))))),1,0)</f>
        <v>1</v>
      </c>
      <c r="Y79" s="14">
        <f t="shared" si="11"/>
        <v>0</v>
      </c>
      <c r="Z79" s="15">
        <f>IF(V79=0,"",IF(COUNTIFS(Andamentos!$K$10:$K$2009,"="&amp;SUBSTITUTE(SUBSTITUTE(SUBSTITUTE("P:"&amp;A79,"~","~~"),"*","~*"),"?","~?"),Andamentos!$G$10:$G$2009,1)=0,"",_xlfn.AGGREGATE(14,6,Andamentos!$D$10:$D$2009/((Andamentos!$K$10:$K$2009=AS79)*(Andamentos!$G$10:$G$2009=1)),1)))</f>
        <v>45930</v>
      </c>
      <c r="AA79" s="14">
        <f>IF(Z79="",0,COUNTIFS(Andamentos!$K$10:$K$2009,"="&amp;SUBSTITUTE(SUBSTITUTE(SUBSTITUTE("P:"&amp;A79,"~","~~"),"*","~*"),"?","~?"),Andamentos!$D$10:$D$2009,Z79,Andamentos!$G$10:$G$2009,1))</f>
        <v>1</v>
      </c>
      <c r="AB79" s="14">
        <f>IF(AA79=1,SUMIFS(Andamentos!$L$10:$L$2009,Andamentos!$K$10:$K$2009,"="&amp;SUBSTITUTE(SUBSTITUTE(SUBSTITUTE(AS79,"~","~~"),"*","~*"),"?","~?"),Andamentos!$D$10:$D$2009,Z79,Andamentos!$G$10:$G$2009,1)-9,0)</f>
        <v>70</v>
      </c>
      <c r="AC79" s="14" t="str">
        <f>IF(V79=0,"",IF(AA79&gt;1,"Conferir recebimentos empatados",IF(AB79=0,"Sem atualização",INDEX(Andamentos!$C$10:$C$2009,AB79))))</f>
        <v>30/09/2025 - Remetido os autos em grau de recurso para tribunal. [...] histórico completo em Observações</v>
      </c>
      <c r="AD79" s="14">
        <f ca="1">IF(W79=0,0,IF(MAX(Z79,BD79)=0,1,IF(Configurar!$J$12-INT(MAX(Z79,BD79))&gt;Configurar!$J$11,1,0)))</f>
        <v>1</v>
      </c>
      <c r="AE79" s="16"/>
      <c r="AF79" s="14"/>
      <c r="AG79" s="14"/>
      <c r="AH79" s="14">
        <f>IF(AND(V79=1,COUNTIFS(Valores!$S$10:$S$509,"="&amp;SUBSTITUTE(SUBSTITUTE(SUBSTITUTE("P:"&amp;A79,"~","~~"),"*","~*"),"?","~?"))=1),(IF(ISNA(MATCH(SUBSTITUTE(SUBSTITUTE(SUBSTITUTE("P:"&amp;A79,"~","~~"),"*","~*"),"?","~?"),Valores!$S$10:$S$509,0)),9,INDEX(Valores!$R$10:$R$509,MATCH(SUBSTITUTE(SUBSTITUTE(SUBSTITUTE("P:"&amp;A79,"~","~~"),"*","~*"),"?","~?"),Valores!$S$10:$S$509,0)))-9),0)</f>
        <v>70</v>
      </c>
      <c r="AI79" s="40" t="str">
        <f t="shared" si="12"/>
        <v>Informe a empresa responsável</v>
      </c>
      <c r="AJ79" s="14" t="str">
        <f>IF(AND(X79=1,Y79=1),COUNTIFS($X$10:X79,1,$Y$10:Y79,1),"")</f>
        <v/>
      </c>
      <c r="AK79" s="14">
        <f>IF(X79=1,COUNTIFS($X$10:X79,1),"")</f>
        <v>70</v>
      </c>
      <c r="AL79" s="14">
        <f>IF(AND(V79=1,AND(OR(Painel!$L$6="Todas",E79=Painel!$L$6),OR(Painel!$C$8="Todos",F79=Painel!$C$8),OR(Painel!$L$8="Todos",G79=Painel!$L$8),OR(Painel!$C$10="",ISNUMBER(SEARCH(SUBSTITUTE(SUBSTITUTE(SUBSTITUTE(Painel!$C$10,"~","~~"),"*","~*"),"?","~?"),A79&amp;" "&amp;H79&amp;" "&amp;I79))))),1,0)</f>
        <v>1</v>
      </c>
      <c r="AM79" s="14">
        <f t="shared" si="13"/>
        <v>79</v>
      </c>
      <c r="AN79" s="14"/>
      <c r="AO79" s="14"/>
      <c r="AP79" s="16">
        <f>IF(AB79=0,"",IF(INDEX(Andamentos!$B$10:$B$2009,AB79)="","",INDEX(Andamentos!$B$10:$B$2009,AB79)))</f>
        <v>45930</v>
      </c>
      <c r="AQ79" s="17">
        <f>IF(AH79=0,"",IF(INDEX(Valores!$B$10:$B$509,AH79)="","",IF(ISNUMBER(INDEX(Valores!$B$10:$B$509,AH79)),INDEX(Valores!$B$10:$B$509,AH79),"")))</f>
        <v>1501326.27</v>
      </c>
      <c r="AR79" s="14" t="str">
        <f t="shared" si="14"/>
        <v/>
      </c>
      <c r="AS79" s="14" t="str">
        <f t="shared" si="15"/>
        <v>P:1012801-81.2019.4.01.3400</v>
      </c>
      <c r="AT79" s="27" t="s">
        <v>614</v>
      </c>
      <c r="AU79" s="31" t="s">
        <v>609</v>
      </c>
      <c r="AV79" s="31"/>
      <c r="AW79" s="27" t="s">
        <v>608</v>
      </c>
      <c r="AX79" s="27"/>
      <c r="AY79" s="27"/>
      <c r="AZ79" s="27"/>
      <c r="BA79" s="30" t="str">
        <f t="shared" si="16"/>
        <v>1012801-81.2019.4.01.3400</v>
      </c>
      <c r="BB79" s="30" t="str">
        <f t="shared" si="17"/>
        <v/>
      </c>
      <c r="BC79" s="30">
        <f>IF(X79=0,0,IF(COUNTIFS($X$10:X79,1,$BA$10:BA79,BA79)=1,1,0))</f>
        <v>1</v>
      </c>
      <c r="BD79" s="29">
        <v>45930</v>
      </c>
    </row>
    <row r="80" spans="1:56" ht="42" customHeight="1">
      <c r="A80" s="41" t="s">
        <v>615</v>
      </c>
      <c r="B80" s="44" t="s">
        <v>161</v>
      </c>
      <c r="C80" s="44" t="s">
        <v>300</v>
      </c>
      <c r="D80" s="44" t="s">
        <v>163</v>
      </c>
      <c r="E80" s="44"/>
      <c r="F80" s="44" t="s">
        <v>182</v>
      </c>
      <c r="G80" s="44" t="s">
        <v>238</v>
      </c>
      <c r="H80" s="44" t="s">
        <v>616</v>
      </c>
      <c r="I80" s="44" t="s">
        <v>240</v>
      </c>
      <c r="J80" s="44" t="s">
        <v>617</v>
      </c>
      <c r="K80" s="44" t="s">
        <v>303</v>
      </c>
      <c r="L80" s="49"/>
      <c r="M80" s="48" t="s">
        <v>618</v>
      </c>
      <c r="N80" s="48" t="s">
        <v>170</v>
      </c>
      <c r="O80" s="48"/>
      <c r="P80" s="48"/>
      <c r="Q80" s="48"/>
      <c r="R80" s="48"/>
      <c r="S80" s="49"/>
      <c r="T80" s="48"/>
      <c r="U80" s="48" t="s">
        <v>619</v>
      </c>
      <c r="V80" s="14">
        <f t="shared" si="9"/>
        <v>1</v>
      </c>
      <c r="W80" s="14">
        <f t="shared" si="10"/>
        <v>1</v>
      </c>
      <c r="X80" s="14">
        <f>IF(AND(V80=1,OR(Painel!$C$6="Todos",D80=Painel!$C$6),AND(OR(Painel!$L$6="Todas",E80=Painel!$L$6),OR(Painel!$C$8="Todos",F80=Painel!$C$8),OR(Painel!$L$8="Todos",G80=Painel!$L$8),OR(Painel!$C$10="",ISNUMBER(SEARCH(SUBSTITUTE(SUBSTITUTE(SUBSTITUTE(Painel!$C$10,"~","~~"),"*","~*"),"?","~?"),A80&amp;" "&amp;H80&amp;" "&amp;I80))))),1,0)</f>
        <v>1</v>
      </c>
      <c r="Y80" s="14">
        <f t="shared" si="11"/>
        <v>0</v>
      </c>
      <c r="Z80" s="15">
        <f>IF(V80=0,"",IF(COUNTIFS(Andamentos!$K$10:$K$2009,"="&amp;SUBSTITUTE(SUBSTITUTE(SUBSTITUTE("P:"&amp;A80,"~","~~"),"*","~*"),"?","~?"),Andamentos!$G$10:$G$2009,1)=0,"",_xlfn.AGGREGATE(14,6,Andamentos!$D$10:$D$2009/((Andamentos!$K$10:$K$2009=AS80)*(Andamentos!$G$10:$G$2009=1)),1)))</f>
        <v>46055</v>
      </c>
      <c r="AA80" s="14">
        <f>IF(Z80="",0,COUNTIFS(Andamentos!$K$10:$K$2009,"="&amp;SUBSTITUTE(SUBSTITUTE(SUBSTITUTE("P:"&amp;A80,"~","~~"),"*","~*"),"?","~?"),Andamentos!$D$10:$D$2009,Z80,Andamentos!$G$10:$G$2009,1))</f>
        <v>1</v>
      </c>
      <c r="AB80" s="14">
        <f>IF(AA80=1,SUMIFS(Andamentos!$L$10:$L$2009,Andamentos!$K$10:$K$2009,"="&amp;SUBSTITUTE(SUBSTITUTE(SUBSTITUTE(AS80,"~","~~"),"*","~*"),"?","~?"),Andamentos!$D$10:$D$2009,Z80,Andamentos!$G$10:$G$2009,1)-9,0)</f>
        <v>71</v>
      </c>
      <c r="AC80" s="14" t="str">
        <f>IF(V80=0,"",IF(AA80&gt;1,"Conferir recebimentos empatados",IF(AB80=0,"Sem atualização",INDEX(Andamentos!$C$10:$C$2009,AB80))))</f>
        <v>12/09/2025 - O juiz não autorizou, por enquanto, bloquear valores das empresas consorciadas (Spavias Engenharia Ltda e Serne Engenharia Ltda), mesmo existindo cláusula de responsabilidade solidária no contrato do consórcio, porque essas empresas não participaram da fase inicial do processo e precisariam ser citadas para exercer defesa. [...] histórico completo em Observações</v>
      </c>
      <c r="AD80" s="14">
        <f ca="1">IF(W80=0,0,IF(MAX(Z80,BD80)=0,1,IF(Configurar!$J$12-INT(MAX(Z80,BD80))&gt;Configurar!$J$11,1,0)))</f>
        <v>1</v>
      </c>
      <c r="AE80" s="16"/>
      <c r="AF80" s="14"/>
      <c r="AG80" s="14"/>
      <c r="AH80" s="14">
        <f>IF(AND(V80=1,COUNTIFS(Valores!$S$10:$S$509,"="&amp;SUBSTITUTE(SUBSTITUTE(SUBSTITUTE("P:"&amp;A80,"~","~~"),"*","~*"),"?","~?"))=1),(IF(ISNA(MATCH(SUBSTITUTE(SUBSTITUTE(SUBSTITUTE("P:"&amp;A80,"~","~~"),"*","~*"),"?","~?"),Valores!$S$10:$S$509,0)),9,INDEX(Valores!$R$10:$R$509,MATCH(SUBSTITUTE(SUBSTITUTE(SUBSTITUTE("P:"&amp;A80,"~","~~"),"*","~*"),"?","~?"),Valores!$S$10:$S$509,0)))-9),0)</f>
        <v>71</v>
      </c>
      <c r="AI80" s="40" t="str">
        <f t="shared" si="12"/>
        <v>Informe a empresa responsável</v>
      </c>
      <c r="AJ80" s="14" t="str">
        <f>IF(AND(X80=1,Y80=1),COUNTIFS($X$10:X80,1,$Y$10:Y80,1),"")</f>
        <v/>
      </c>
      <c r="AK80" s="14">
        <f>IF(X80=1,COUNTIFS($X$10:X80,1),"")</f>
        <v>71</v>
      </c>
      <c r="AL80" s="14">
        <f>IF(AND(V80=1,AND(OR(Painel!$L$6="Todas",E80=Painel!$L$6),OR(Painel!$C$8="Todos",F80=Painel!$C$8),OR(Painel!$L$8="Todos",G80=Painel!$L$8),OR(Painel!$C$10="",ISNUMBER(SEARCH(SUBSTITUTE(SUBSTITUTE(SUBSTITUTE(Painel!$C$10,"~","~~"),"*","~*"),"?","~?"),A80&amp;" "&amp;H80&amp;" "&amp;I80))))),1,0)</f>
        <v>1</v>
      </c>
      <c r="AM80" s="14">
        <f t="shared" si="13"/>
        <v>80</v>
      </c>
      <c r="AN80" s="14"/>
      <c r="AO80" s="14"/>
      <c r="AP80" s="16">
        <f>IF(AB80=0,"",IF(INDEX(Andamentos!$B$10:$B$2009,AB80)="","",INDEX(Andamentos!$B$10:$B$2009,AB80)))</f>
        <v>45912</v>
      </c>
      <c r="AQ80" s="17">
        <f>IF(AH80=0,"",IF(INDEX(Valores!$B$10:$B$509,AH80)="","",IF(ISNUMBER(INDEX(Valores!$B$10:$B$509,AH80)),INDEX(Valores!$B$10:$B$509,AH80),"")))</f>
        <v>7714.47</v>
      </c>
      <c r="AR80" s="14" t="str">
        <f t="shared" si="14"/>
        <v/>
      </c>
      <c r="AS80" s="14" t="str">
        <f t="shared" si="15"/>
        <v>P:5074087-97.2018.8.13.0024</v>
      </c>
      <c r="AT80" s="27" t="s">
        <v>620</v>
      </c>
      <c r="AU80" s="31" t="s">
        <v>615</v>
      </c>
      <c r="AV80" s="31"/>
      <c r="AW80" s="27" t="s">
        <v>608</v>
      </c>
      <c r="AX80" s="27" t="s">
        <v>246</v>
      </c>
      <c r="AY80" s="27"/>
      <c r="AZ80" s="27"/>
      <c r="BA80" s="30" t="str">
        <f t="shared" si="16"/>
        <v>5074087-97.2018.8.13.0024</v>
      </c>
      <c r="BB80" s="30" t="str">
        <f t="shared" si="17"/>
        <v/>
      </c>
      <c r="BC80" s="30">
        <f>IF(X80=0,0,IF(COUNTIFS($X$10:X80,1,$BA$10:BA80,BA80)=1,1,0))</f>
        <v>1</v>
      </c>
      <c r="BD80" s="29">
        <v>46055</v>
      </c>
    </row>
    <row r="81" spans="1:56" ht="42" customHeight="1">
      <c r="A81" s="41" t="s">
        <v>621</v>
      </c>
      <c r="B81" s="44" t="s">
        <v>161</v>
      </c>
      <c r="C81" s="44" t="s">
        <v>300</v>
      </c>
      <c r="D81" s="44" t="s">
        <v>163</v>
      </c>
      <c r="E81" s="44"/>
      <c r="F81" s="44" t="s">
        <v>182</v>
      </c>
      <c r="G81" s="44" t="s">
        <v>238</v>
      </c>
      <c r="H81" s="44" t="s">
        <v>559</v>
      </c>
      <c r="I81" s="44" t="s">
        <v>240</v>
      </c>
      <c r="J81" s="44" t="s">
        <v>560</v>
      </c>
      <c r="K81" s="44" t="s">
        <v>303</v>
      </c>
      <c r="L81" s="49"/>
      <c r="M81" s="48" t="s">
        <v>622</v>
      </c>
      <c r="N81" s="48" t="s">
        <v>170</v>
      </c>
      <c r="O81" s="48"/>
      <c r="P81" s="48"/>
      <c r="Q81" s="48"/>
      <c r="R81" s="48"/>
      <c r="S81" s="49"/>
      <c r="T81" s="48"/>
      <c r="U81" s="48" t="s">
        <v>623</v>
      </c>
      <c r="V81" s="14">
        <f t="shared" si="9"/>
        <v>1</v>
      </c>
      <c r="W81" s="14">
        <f t="shared" si="10"/>
        <v>1</v>
      </c>
      <c r="X81" s="14">
        <f>IF(AND(V81=1,OR(Painel!$C$6="Todos",D81=Painel!$C$6),AND(OR(Painel!$L$6="Todas",E81=Painel!$L$6),OR(Painel!$C$8="Todos",F81=Painel!$C$8),OR(Painel!$L$8="Todos",G81=Painel!$L$8),OR(Painel!$C$10="",ISNUMBER(SEARCH(SUBSTITUTE(SUBSTITUTE(SUBSTITUTE(Painel!$C$10,"~","~~"),"*","~*"),"?","~?"),A81&amp;" "&amp;H81&amp;" "&amp;I81))))),1,0)</f>
        <v>1</v>
      </c>
      <c r="Y81" s="14">
        <f t="shared" si="11"/>
        <v>0</v>
      </c>
      <c r="Z81" s="15">
        <f>IF(V81=0,"",IF(COUNTIFS(Andamentos!$K$10:$K$2009,"="&amp;SUBSTITUTE(SUBSTITUTE(SUBSTITUTE("P:"&amp;A81,"~","~~"),"*","~*"),"?","~?"),Andamentos!$G$10:$G$2009,1)=0,"",_xlfn.AGGREGATE(14,6,Andamentos!$D$10:$D$2009/((Andamentos!$K$10:$K$2009=AS81)*(Andamentos!$G$10:$G$2009=1)),1)))</f>
        <v>46055</v>
      </c>
      <c r="AA81" s="14">
        <f>IF(Z81="",0,COUNTIFS(Andamentos!$K$10:$K$2009,"="&amp;SUBSTITUTE(SUBSTITUTE(SUBSTITUTE("P:"&amp;A81,"~","~~"),"*","~*"),"?","~?"),Andamentos!$D$10:$D$2009,Z81,Andamentos!$G$10:$G$2009,1))</f>
        <v>1</v>
      </c>
      <c r="AB81" s="14">
        <f>IF(AA81=1,SUMIFS(Andamentos!$L$10:$L$2009,Andamentos!$K$10:$K$2009,"="&amp;SUBSTITUTE(SUBSTITUTE(SUBSTITUTE(AS81,"~","~~"),"*","~*"),"?","~?"),Andamentos!$D$10:$D$2009,Z81,Andamentos!$G$10:$G$2009,1)-9,0)</f>
        <v>72</v>
      </c>
      <c r="AC81" s="14" t="str">
        <f>IF(V81=0,"",IF(AA81&gt;1,"Conferir recebimentos empatados",IF(AB81=0,"Sem atualização",INDEX(Andamentos!$C$10:$C$2009,AB81))))</f>
        <v>08/10/2025 - O juiz determinou que seja certificado o trânsito em julgado da sentença e verificado o pagamento das custas finais. Em seguida, a parte devedora será intimada para pagar a dívida em 15 dias. [...] histórico completo em Observações</v>
      </c>
      <c r="AD81" s="14">
        <f ca="1">IF(W81=0,0,IF(MAX(Z81,BD81)=0,1,IF(Configurar!$J$12-INT(MAX(Z81,BD81))&gt;Configurar!$J$11,1,0)))</f>
        <v>1</v>
      </c>
      <c r="AE81" s="16"/>
      <c r="AF81" s="14"/>
      <c r="AG81" s="14"/>
      <c r="AH81" s="14">
        <f>IF(AND(V81=1,COUNTIFS(Valores!$S$10:$S$509,"="&amp;SUBSTITUTE(SUBSTITUTE(SUBSTITUTE("P:"&amp;A81,"~","~~"),"*","~*"),"?","~?"))=1),(IF(ISNA(MATCH(SUBSTITUTE(SUBSTITUTE(SUBSTITUTE("P:"&amp;A81,"~","~~"),"*","~*"),"?","~?"),Valores!$S$10:$S$509,0)),9,INDEX(Valores!$R$10:$R$509,MATCH(SUBSTITUTE(SUBSTITUTE(SUBSTITUTE("P:"&amp;A81,"~","~~"),"*","~*"),"?","~?"),Valores!$S$10:$S$509,0)))-9),0)</f>
        <v>72</v>
      </c>
      <c r="AI81" s="40" t="str">
        <f t="shared" si="12"/>
        <v>Informe a empresa responsável</v>
      </c>
      <c r="AJ81" s="14" t="str">
        <f>IF(AND(X81=1,Y81=1),COUNTIFS($X$10:X81,1,$Y$10:Y81,1),"")</f>
        <v/>
      </c>
      <c r="AK81" s="14">
        <f>IF(X81=1,COUNTIFS($X$10:X81,1),"")</f>
        <v>72</v>
      </c>
      <c r="AL81" s="14">
        <f>IF(AND(V81=1,AND(OR(Painel!$L$6="Todas",E81=Painel!$L$6),OR(Painel!$C$8="Todos",F81=Painel!$C$8),OR(Painel!$L$8="Todos",G81=Painel!$L$8),OR(Painel!$C$10="",ISNUMBER(SEARCH(SUBSTITUTE(SUBSTITUTE(SUBSTITUTE(Painel!$C$10,"~","~~"),"*","~*"),"?","~?"),A81&amp;" "&amp;H81&amp;" "&amp;I81))))),1,0)</f>
        <v>1</v>
      </c>
      <c r="AM81" s="14">
        <f t="shared" si="13"/>
        <v>81</v>
      </c>
      <c r="AN81" s="14"/>
      <c r="AO81" s="14"/>
      <c r="AP81" s="16">
        <f>IF(AB81=0,"",IF(INDEX(Andamentos!$B$10:$B$2009,AB81)="","",INDEX(Andamentos!$B$10:$B$2009,AB81)))</f>
        <v>45938</v>
      </c>
      <c r="AQ81" s="17">
        <f>IF(AH81=0,"",IF(INDEX(Valores!$B$10:$B$509,AH81)="","",IF(ISNUMBER(INDEX(Valores!$B$10:$B$509,AH81)),INDEX(Valores!$B$10:$B$509,AH81),"")))</f>
        <v>122137.09</v>
      </c>
      <c r="AR81" s="14" t="str">
        <f t="shared" si="14"/>
        <v/>
      </c>
      <c r="AS81" s="14" t="str">
        <f t="shared" si="15"/>
        <v>P:5096306-36.2020.8.13.0024</v>
      </c>
      <c r="AT81" s="27" t="s">
        <v>624</v>
      </c>
      <c r="AU81" s="31" t="s">
        <v>621</v>
      </c>
      <c r="AV81" s="31"/>
      <c r="AW81" s="27" t="s">
        <v>608</v>
      </c>
      <c r="AX81" s="27" t="s">
        <v>246</v>
      </c>
      <c r="AY81" s="27"/>
      <c r="AZ81" s="27"/>
      <c r="BA81" s="30" t="str">
        <f t="shared" si="16"/>
        <v>5096306-36.2020.8.13.0024</v>
      </c>
      <c r="BB81" s="30" t="str">
        <f t="shared" si="17"/>
        <v/>
      </c>
      <c r="BC81" s="30">
        <f>IF(X81=0,0,IF(COUNTIFS($X$10:X81,1,$BA$10:BA81,BA81)=1,1,0))</f>
        <v>1</v>
      </c>
      <c r="BD81" s="29">
        <v>46055</v>
      </c>
    </row>
    <row r="82" spans="1:56" ht="42" customHeight="1">
      <c r="A82" s="41" t="s">
        <v>625</v>
      </c>
      <c r="B82" s="44" t="s">
        <v>161</v>
      </c>
      <c r="C82" s="44" t="s">
        <v>300</v>
      </c>
      <c r="D82" s="44" t="s">
        <v>163</v>
      </c>
      <c r="E82" s="44"/>
      <c r="F82" s="44"/>
      <c r="G82" s="44" t="s">
        <v>164</v>
      </c>
      <c r="H82" s="44" t="s">
        <v>626</v>
      </c>
      <c r="I82" s="44" t="s">
        <v>627</v>
      </c>
      <c r="J82" s="44" t="s">
        <v>628</v>
      </c>
      <c r="K82" s="44" t="s">
        <v>441</v>
      </c>
      <c r="L82" s="49"/>
      <c r="M82" s="48" t="s">
        <v>629</v>
      </c>
      <c r="N82" s="48" t="s">
        <v>484</v>
      </c>
      <c r="O82" s="48"/>
      <c r="P82" s="48"/>
      <c r="Q82" s="48" t="s">
        <v>377</v>
      </c>
      <c r="R82" s="48"/>
      <c r="S82" s="49"/>
      <c r="T82" s="48"/>
      <c r="U82" s="48" t="s">
        <v>630</v>
      </c>
      <c r="V82" s="14">
        <f t="shared" si="9"/>
        <v>1</v>
      </c>
      <c r="W82" s="14">
        <f t="shared" si="10"/>
        <v>1</v>
      </c>
      <c r="X82" s="14">
        <f>IF(AND(V82=1,OR(Painel!$C$6="Todos",D82=Painel!$C$6),AND(OR(Painel!$L$6="Todas",E82=Painel!$L$6),OR(Painel!$C$8="Todos",F82=Painel!$C$8),OR(Painel!$L$8="Todos",G82=Painel!$L$8),OR(Painel!$C$10="",ISNUMBER(SEARCH(SUBSTITUTE(SUBSTITUTE(SUBSTITUTE(Painel!$C$10,"~","~~"),"*","~*"),"?","~?"),A82&amp;" "&amp;H82&amp;" "&amp;I82))))),1,0)</f>
        <v>1</v>
      </c>
      <c r="Y82" s="14">
        <f t="shared" si="11"/>
        <v>1</v>
      </c>
      <c r="Z82" s="15">
        <f>IF(V82=0,"",IF(COUNTIFS(Andamentos!$K$10:$K$2009,"="&amp;SUBSTITUTE(SUBSTITUTE(SUBSTITUTE("P:"&amp;A82,"~","~~"),"*","~*"),"?","~?"),Andamentos!$G$10:$G$2009,1)=0,"",_xlfn.AGGREGATE(14,6,Andamentos!$D$10:$D$2009/((Andamentos!$K$10:$K$2009=AS82)*(Andamentos!$G$10:$G$2009=1)),1)))</f>
        <v>46283</v>
      </c>
      <c r="AA82" s="14">
        <f>IF(Z82="",0,COUNTIFS(Andamentos!$K$10:$K$2009,"="&amp;SUBSTITUTE(SUBSTITUTE(SUBSTITUTE("P:"&amp;A82,"~","~~"),"*","~*"),"?","~?"),Andamentos!$D$10:$D$2009,Z82,Andamentos!$G$10:$G$2009,1))</f>
        <v>1</v>
      </c>
      <c r="AB82" s="14">
        <f>IF(AA82=1,SUMIFS(Andamentos!$L$10:$L$2009,Andamentos!$K$10:$K$2009,"="&amp;SUBSTITUTE(SUBSTITUTE(SUBSTITUTE(AS82,"~","~~"),"*","~*"),"?","~?"),Andamentos!$D$10:$D$2009,Z82,Andamentos!$G$10:$G$2009,1)-9,0)</f>
        <v>73</v>
      </c>
      <c r="AC82" s="14" t="str">
        <f>IF(V82=0,"",IF(AA82&gt;1,"Conferir recebimentos empatados",IF(AB82=0,"Sem atualização",INDEX(Andamentos!$C$10:$C$2009,AB82))))</f>
        <v>18/09/2026 - Valor total vbloqueado em nome da reclamada CESAR TRANSPORTES. Negado provimento ao agravo interno apresentado pela alta, a execução provisória está integralmente garantida pela primeira reclamada, após o transito em julgado será possivel solicitar a restituição dos depositos judiciais feitos pela ALTA. [...] histórico completo em Observações</v>
      </c>
      <c r="AD82" s="14">
        <f ca="1">IF(W82=0,0,IF(MAX(Z82,BD82)=0,1,IF(Configurar!$J$12-INT(MAX(Z82,BD82))&gt;Configurar!$J$11,1,0)))</f>
        <v>1</v>
      </c>
      <c r="AE82" s="16"/>
      <c r="AF82" s="14"/>
      <c r="AG82" s="14"/>
      <c r="AH82" s="14">
        <f>IF(AND(V82=1,COUNTIFS(Valores!$S$10:$S$509,"="&amp;SUBSTITUTE(SUBSTITUTE(SUBSTITUTE("P:"&amp;A82,"~","~~"),"*","~*"),"?","~?"))=1),(IF(ISNA(MATCH(SUBSTITUTE(SUBSTITUTE(SUBSTITUTE("P:"&amp;A82,"~","~~"),"*","~*"),"?","~?"),Valores!$S$10:$S$509,0)),9,INDEX(Valores!$R$10:$R$509,MATCH(SUBSTITUTE(SUBSTITUTE(SUBSTITUTE("P:"&amp;A82,"~","~~"),"*","~*"),"?","~?"),Valores!$S$10:$S$509,0)))-9),0)</f>
        <v>73</v>
      </c>
      <c r="AI82" s="40" t="str">
        <f t="shared" si="12"/>
        <v>Informe a empresa responsável</v>
      </c>
      <c r="AJ82" s="14">
        <f>IF(AND(X82=1,Y82=1),COUNTIFS($X$10:X82,1,$Y$10:Y82,1),"")</f>
        <v>4</v>
      </c>
      <c r="AK82" s="14">
        <f>IF(X82=1,COUNTIFS($X$10:X82,1),"")</f>
        <v>73</v>
      </c>
      <c r="AL82" s="14">
        <f>IF(AND(V82=1,AND(OR(Painel!$L$6="Todas",E82=Painel!$L$6),OR(Painel!$C$8="Todos",F82=Painel!$C$8),OR(Painel!$L$8="Todos",G82=Painel!$L$8),OR(Painel!$C$10="",ISNUMBER(SEARCH(SUBSTITUTE(SUBSTITUTE(SUBSTITUTE(Painel!$C$10,"~","~~"),"*","~*"),"?","~?"),A82&amp;" "&amp;H82&amp;" "&amp;I82))))),1,0)</f>
        <v>1</v>
      </c>
      <c r="AM82" s="14">
        <f t="shared" si="13"/>
        <v>82</v>
      </c>
      <c r="AN82" s="14"/>
      <c r="AO82" s="14"/>
      <c r="AP82" s="16">
        <f>IF(AB82=0,"",IF(INDEX(Andamentos!$B$10:$B$2009,AB82)="","",INDEX(Andamentos!$B$10:$B$2009,AB82)))</f>
        <v>46283</v>
      </c>
      <c r="AQ82" s="17">
        <f>IF(AH82=0,"",IF(INDEX(Valores!$B$10:$B$509,AH82)="","",IF(ISNUMBER(INDEX(Valores!$B$10:$B$509,AH82)),INDEX(Valores!$B$10:$B$509,AH82),"")))</f>
        <v>3000000</v>
      </c>
      <c r="AR82" s="14" t="str">
        <f t="shared" si="14"/>
        <v>Prioridade crítica. Criticidade herdada da planilha de origem; validar. Não confirma bloqueio/penhora vigente.</v>
      </c>
      <c r="AS82" s="14" t="str">
        <f t="shared" si="15"/>
        <v>P:0001532-68.2015.5.10.0005</v>
      </c>
      <c r="AT82" s="27" t="s">
        <v>631</v>
      </c>
      <c r="AU82" s="31" t="s">
        <v>625</v>
      </c>
      <c r="AV82" s="31"/>
      <c r="AW82" s="27" t="s">
        <v>261</v>
      </c>
      <c r="AX82" s="27" t="s">
        <v>632</v>
      </c>
      <c r="AY82" s="27"/>
      <c r="AZ82" s="27"/>
      <c r="BA82" s="30" t="str">
        <f t="shared" si="16"/>
        <v>0001532-68.2015.5.10.0005</v>
      </c>
      <c r="BB82" s="30" t="str">
        <f t="shared" si="17"/>
        <v/>
      </c>
      <c r="BC82" s="30">
        <f>IF(X82=0,0,IF(COUNTIFS($X$10:X82,1,$BA$10:BA82,BA82)=1,1,0))</f>
        <v>1</v>
      </c>
      <c r="BD82" s="29">
        <v>46283</v>
      </c>
    </row>
    <row r="83" spans="1:56" ht="42" customHeight="1">
      <c r="A83" s="41" t="s">
        <v>633</v>
      </c>
      <c r="B83" s="44" t="s">
        <v>161</v>
      </c>
      <c r="C83" s="44" t="s">
        <v>162</v>
      </c>
      <c r="D83" s="44" t="s">
        <v>163</v>
      </c>
      <c r="E83" s="44"/>
      <c r="F83" s="44" t="s">
        <v>182</v>
      </c>
      <c r="G83" s="44" t="s">
        <v>164</v>
      </c>
      <c r="H83" s="44" t="s">
        <v>634</v>
      </c>
      <c r="I83" s="44" t="s">
        <v>269</v>
      </c>
      <c r="J83" s="44" t="s">
        <v>570</v>
      </c>
      <c r="K83" s="44" t="s">
        <v>178</v>
      </c>
      <c r="L83" s="49"/>
      <c r="M83" s="48" t="s">
        <v>169</v>
      </c>
      <c r="N83" s="48" t="s">
        <v>170</v>
      </c>
      <c r="O83" s="48"/>
      <c r="P83" s="48"/>
      <c r="Q83" s="48"/>
      <c r="R83" s="48"/>
      <c r="S83" s="49"/>
      <c r="T83" s="48"/>
      <c r="U83" s="48" t="s">
        <v>635</v>
      </c>
      <c r="V83" s="14">
        <f t="shared" si="9"/>
        <v>1</v>
      </c>
      <c r="W83" s="14">
        <f t="shared" si="10"/>
        <v>0</v>
      </c>
      <c r="X83" s="14">
        <f>IF(AND(V83=1,OR(Painel!$C$6="Todos",D83=Painel!$C$6),AND(OR(Painel!$L$6="Todas",E83=Painel!$L$6),OR(Painel!$C$8="Todos",F83=Painel!$C$8),OR(Painel!$L$8="Todos",G83=Painel!$L$8),OR(Painel!$C$10="",ISNUMBER(SEARCH(SUBSTITUTE(SUBSTITUTE(SUBSTITUTE(Painel!$C$10,"~","~~"),"*","~*"),"?","~?"),A83&amp;" "&amp;H83&amp;" "&amp;I83))))),1,0)</f>
        <v>1</v>
      </c>
      <c r="Y83" s="14">
        <f t="shared" si="11"/>
        <v>0</v>
      </c>
      <c r="Z83" s="15">
        <f>IF(V83=0,"",IF(COUNTIFS(Andamentos!$K$10:$K$2009,"="&amp;SUBSTITUTE(SUBSTITUTE(SUBSTITUTE("P:"&amp;A83,"~","~~"),"*","~*"),"?","~?"),Andamentos!$G$10:$G$2009,1)=0,"",_xlfn.AGGREGATE(14,6,Andamentos!$D$10:$D$2009/((Andamentos!$K$10:$K$2009=AS83)*(Andamentos!$G$10:$G$2009=1)),1)))</f>
        <v>46073</v>
      </c>
      <c r="AA83" s="14">
        <f>IF(Z83="",0,COUNTIFS(Andamentos!$K$10:$K$2009,"="&amp;SUBSTITUTE(SUBSTITUTE(SUBSTITUTE("P:"&amp;A83,"~","~~"),"*","~*"),"?","~?"),Andamentos!$D$10:$D$2009,Z83,Andamentos!$G$10:$G$2009,1))</f>
        <v>1</v>
      </c>
      <c r="AB83" s="14">
        <f>IF(AA83=1,SUMIFS(Andamentos!$L$10:$L$2009,Andamentos!$K$10:$K$2009,"="&amp;SUBSTITUTE(SUBSTITUTE(SUBSTITUTE(AS83,"~","~~"),"*","~*"),"?","~?"),Andamentos!$D$10:$D$2009,Z83,Andamentos!$G$10:$G$2009,1)-9,0)</f>
        <v>74</v>
      </c>
      <c r="AC83" s="14" t="str">
        <f>IF(V83=0,"",IF(AA83&gt;1,"Conferir recebimentos empatados",IF(AB83=0,"Sem atualização",INDEX(Andamentos!$C$10:$C$2009,AB83))))</f>
        <v>19.02.2024 - Arquivados os autos definitivamente [...] histórico completo em Observações</v>
      </c>
      <c r="AD83" s="14">
        <f>IF(W83=0,0,IF(MAX(Z83,BD83)=0,1,IF(Configurar!$J$12-INT(MAX(Z83,BD83))&gt;Configurar!$J$11,1,0)))</f>
        <v>0</v>
      </c>
      <c r="AE83" s="16"/>
      <c r="AF83" s="14"/>
      <c r="AG83" s="14"/>
      <c r="AH83" s="14">
        <f>IF(AND(V83=1,COUNTIFS(Valores!$S$10:$S$509,"="&amp;SUBSTITUTE(SUBSTITUTE(SUBSTITUTE("P:"&amp;A83,"~","~~"),"*","~*"),"?","~?"))=1),(IF(ISNA(MATCH(SUBSTITUTE(SUBSTITUTE(SUBSTITUTE("P:"&amp;A83,"~","~~"),"*","~*"),"?","~?"),Valores!$S$10:$S$509,0)),9,INDEX(Valores!$R$10:$R$509,MATCH(SUBSTITUTE(SUBSTITUTE(SUBSTITUTE("P:"&amp;A83,"~","~~"),"*","~*"),"?","~?"),Valores!$S$10:$S$509,0)))-9),0)</f>
        <v>74</v>
      </c>
      <c r="AI83" s="40" t="str">
        <f t="shared" si="12"/>
        <v>Informe a empresa responsável</v>
      </c>
      <c r="AJ83" s="14" t="str">
        <f>IF(AND(X83=1,Y83=1),COUNTIFS($X$10:X83,1,$Y$10:Y83,1),"")</f>
        <v/>
      </c>
      <c r="AK83" s="14">
        <f>IF(X83=1,COUNTIFS($X$10:X83,1),"")</f>
        <v>74</v>
      </c>
      <c r="AL83" s="14">
        <f>IF(AND(V83=1,AND(OR(Painel!$L$6="Todas",E83=Painel!$L$6),OR(Painel!$C$8="Todos",F83=Painel!$C$8),OR(Painel!$L$8="Todos",G83=Painel!$L$8),OR(Painel!$C$10="",ISNUMBER(SEARCH(SUBSTITUTE(SUBSTITUTE(SUBSTITUTE(Painel!$C$10,"~","~~"),"*","~*"),"?","~?"),A83&amp;" "&amp;H83&amp;" "&amp;I83))))),1,0)</f>
        <v>1</v>
      </c>
      <c r="AM83" s="14">
        <f t="shared" si="13"/>
        <v>83</v>
      </c>
      <c r="AN83" s="14"/>
      <c r="AO83" s="14"/>
      <c r="AP83" s="16" t="str">
        <f>IF(AB83=0,"",IF(INDEX(Andamentos!$B$10:$B$2009,AB83)="","",INDEX(Andamentos!$B$10:$B$2009,AB83)))</f>
        <v/>
      </c>
      <c r="AQ83" s="17" t="str">
        <f>IF(AH83=0,"",IF(INDEX(Valores!$B$10:$B$509,AH83)="","",IF(ISNUMBER(INDEX(Valores!$B$10:$B$509,AH83)),INDEX(Valores!$B$10:$B$509,AH83),"")))</f>
        <v/>
      </c>
      <c r="AR83" s="14" t="str">
        <f t="shared" si="14"/>
        <v/>
      </c>
      <c r="AS83" s="14" t="str">
        <f t="shared" si="15"/>
        <v>P:0010968-84.2019.5.18.0103 [BMM-074]</v>
      </c>
      <c r="AT83" s="27" t="s">
        <v>636</v>
      </c>
      <c r="AU83" s="31" t="s">
        <v>217</v>
      </c>
      <c r="AV83" s="31"/>
      <c r="AW83" s="27" t="s">
        <v>162</v>
      </c>
      <c r="AX83" s="27"/>
      <c r="AY83" s="27"/>
      <c r="AZ83" s="27"/>
      <c r="BA83" s="30" t="str">
        <f t="shared" si="16"/>
        <v>0010968-84.2019.5.18.0103</v>
      </c>
      <c r="BB83" s="30" t="str">
        <f t="shared" si="17"/>
        <v>Revisar repetição</v>
      </c>
      <c r="BC83" s="30">
        <f>IF(X83=0,0,IF(COUNTIFS($X$10:X83,1,$BA$10:BA83,BA83)=1,1,0))</f>
        <v>0</v>
      </c>
      <c r="BD83" s="29">
        <v>46073</v>
      </c>
    </row>
    <row r="84" spans="1:56" ht="42" customHeight="1">
      <c r="A84" s="41" t="s">
        <v>637</v>
      </c>
      <c r="B84" s="44" t="s">
        <v>161</v>
      </c>
      <c r="C84" s="44" t="s">
        <v>316</v>
      </c>
      <c r="D84" s="44" t="s">
        <v>163</v>
      </c>
      <c r="E84" s="44"/>
      <c r="F84" s="44"/>
      <c r="G84" s="44" t="s">
        <v>238</v>
      </c>
      <c r="H84" s="44" t="s">
        <v>585</v>
      </c>
      <c r="I84" s="44" t="s">
        <v>166</v>
      </c>
      <c r="J84" s="44" t="s">
        <v>638</v>
      </c>
      <c r="K84" s="44" t="s">
        <v>578</v>
      </c>
      <c r="L84" s="49">
        <v>41898</v>
      </c>
      <c r="M84" s="48" t="s">
        <v>639</v>
      </c>
      <c r="N84" s="48" t="s">
        <v>376</v>
      </c>
      <c r="O84" s="48"/>
      <c r="P84" s="48"/>
      <c r="Q84" s="48" t="s">
        <v>377</v>
      </c>
      <c r="R84" s="48"/>
      <c r="S84" s="49"/>
      <c r="T84" s="48"/>
      <c r="U84" s="48" t="s">
        <v>640</v>
      </c>
      <c r="V84" s="14">
        <f t="shared" si="9"/>
        <v>1</v>
      </c>
      <c r="W84" s="14">
        <f t="shared" si="10"/>
        <v>1</v>
      </c>
      <c r="X84" s="14">
        <f>IF(AND(V84=1,OR(Painel!$C$6="Todos",D84=Painel!$C$6),AND(OR(Painel!$L$6="Todas",E84=Painel!$L$6),OR(Painel!$C$8="Todos",F84=Painel!$C$8),OR(Painel!$L$8="Todos",G84=Painel!$L$8),OR(Painel!$C$10="",ISNUMBER(SEARCH(SUBSTITUTE(SUBSTITUTE(SUBSTITUTE(Painel!$C$10,"~","~~"),"*","~*"),"?","~?"),A84&amp;" "&amp;H84&amp;" "&amp;I84))))),1,0)</f>
        <v>1</v>
      </c>
      <c r="Y84" s="14">
        <f t="shared" si="11"/>
        <v>0</v>
      </c>
      <c r="Z84" s="15">
        <f>IF(V84=0,"",IF(COUNTIFS(Andamentos!$K$10:$K$2009,"="&amp;SUBSTITUTE(SUBSTITUTE(SUBSTITUTE("P:"&amp;A84,"~","~~"),"*","~*"),"?","~?"),Andamentos!$G$10:$G$2009,1)=0,"",_xlfn.AGGREGATE(14,6,Andamentos!$D$10:$D$2009/((Andamentos!$K$10:$K$2009=AS84)*(Andamentos!$G$10:$G$2009=1)),1)))</f>
        <v>46052</v>
      </c>
      <c r="AA84" s="14">
        <f>IF(Z84="",0,COUNTIFS(Andamentos!$K$10:$K$2009,"="&amp;SUBSTITUTE(SUBSTITUTE(SUBSTITUTE("P:"&amp;A84,"~","~~"),"*","~*"),"?","~?"),Andamentos!$D$10:$D$2009,Z84,Andamentos!$G$10:$G$2009,1))</f>
        <v>1</v>
      </c>
      <c r="AB84" s="14">
        <f>IF(AA84=1,SUMIFS(Andamentos!$L$10:$L$2009,Andamentos!$K$10:$K$2009,"="&amp;SUBSTITUTE(SUBSTITUTE(SUBSTITUTE(AS84,"~","~~"),"*","~*"),"?","~?"),Andamentos!$D$10:$D$2009,Z84,Andamentos!$G$10:$G$2009,1)-9,0)</f>
        <v>75</v>
      </c>
      <c r="AC84" s="14" t="str">
        <f>IF(V84=0,"",IF(AA84&gt;1,"Conferir recebimentos empatados",IF(AB84=0,"Sem atualização",INDEX(Andamentos!$C$10:$C$2009,AB84))))</f>
        <v>(31/08/2017) Decisão suspendendo os Recursos Extraordinário e Especial da União, tendo em vista que a matéria encontra-se em julgamento no Supremo Tribunal Federal, na sistemática de repercussão geral. Aguarda-se, portanto, a posição a ser firmada pelo Supremo. (19/09/2023) Permanece suspenso.</v>
      </c>
      <c r="AD84" s="14">
        <f ca="1">IF(W84=0,0,IF(MAX(Z84,BD84)=0,1,IF(Configurar!$J$12-INT(MAX(Z84,BD84))&gt;Configurar!$J$11,1,0)))</f>
        <v>1</v>
      </c>
      <c r="AE84" s="16"/>
      <c r="AF84" s="14"/>
      <c r="AG84" s="14"/>
      <c r="AH84" s="14">
        <f>IF(AND(V84=1,COUNTIFS(Valores!$S$10:$S$509,"="&amp;SUBSTITUTE(SUBSTITUTE(SUBSTITUTE("P:"&amp;A84,"~","~~"),"*","~*"),"?","~?"))=1),(IF(ISNA(MATCH(SUBSTITUTE(SUBSTITUTE(SUBSTITUTE("P:"&amp;A84,"~","~~"),"*","~*"),"?","~?"),Valores!$S$10:$S$509,0)),9,INDEX(Valores!$R$10:$R$509,MATCH(SUBSTITUTE(SUBSTITUTE(SUBSTITUTE("P:"&amp;A84,"~","~~"),"*","~*"),"?","~?"),Valores!$S$10:$S$509,0)))-9),0)</f>
        <v>75</v>
      </c>
      <c r="AI84" s="40" t="str">
        <f t="shared" si="12"/>
        <v>Informe a empresa responsável</v>
      </c>
      <c r="AJ84" s="14" t="str">
        <f>IF(AND(X84=1,Y84=1),COUNTIFS($X$10:X84,1,$Y$10:Y84,1),"")</f>
        <v/>
      </c>
      <c r="AK84" s="14">
        <f>IF(X84=1,COUNTIFS($X$10:X84,1),"")</f>
        <v>75</v>
      </c>
      <c r="AL84" s="14">
        <f>IF(AND(V84=1,AND(OR(Painel!$L$6="Todas",E84=Painel!$L$6),OR(Painel!$C$8="Todos",F84=Painel!$C$8),OR(Painel!$L$8="Todos",G84=Painel!$L$8),OR(Painel!$C$10="",ISNUMBER(SEARCH(SUBSTITUTE(SUBSTITUTE(SUBSTITUTE(Painel!$C$10,"~","~~"),"*","~*"),"?","~?"),A84&amp;" "&amp;H84&amp;" "&amp;I84))))),1,0)</f>
        <v>1</v>
      </c>
      <c r="AM84" s="14">
        <f t="shared" si="13"/>
        <v>84</v>
      </c>
      <c r="AN84" s="14"/>
      <c r="AO84" s="14"/>
      <c r="AP84" s="16" t="str">
        <f>IF(AB84=0,"",IF(INDEX(Andamentos!$B$10:$B$2009,AB84)="","",INDEX(Andamentos!$B$10:$B$2009,AB84)))</f>
        <v/>
      </c>
      <c r="AQ84" s="17">
        <f>IF(AH84=0,"",IF(INDEX(Valores!$B$10:$B$509,AH84)="","",IF(ISNUMBER(INDEX(Valores!$B$10:$B$509,AH84)),INDEX(Valores!$B$10:$B$509,AH84),"")))</f>
        <v>120000</v>
      </c>
      <c r="AR84" s="14" t="str">
        <f t="shared" si="14"/>
        <v/>
      </c>
      <c r="AS84" s="14" t="str">
        <f t="shared" si="15"/>
        <v>P:0071379-91.2014.4.01.3800</v>
      </c>
      <c r="AT84" s="27" t="s">
        <v>641</v>
      </c>
      <c r="AU84" s="31" t="s">
        <v>637</v>
      </c>
      <c r="AV84" s="31"/>
      <c r="AW84" s="27" t="s">
        <v>642</v>
      </c>
      <c r="AX84" s="27" t="s">
        <v>246</v>
      </c>
      <c r="AY84" s="27"/>
      <c r="AZ84" s="27"/>
      <c r="BA84" s="30" t="str">
        <f t="shared" si="16"/>
        <v>0071379-91.2014.4.01.3800</v>
      </c>
      <c r="BB84" s="30" t="str">
        <f t="shared" si="17"/>
        <v/>
      </c>
      <c r="BC84" s="30">
        <f>IF(X84=0,0,IF(COUNTIFS($X$10:X84,1,$BA$10:BA84,BA84)=1,1,0))</f>
        <v>1</v>
      </c>
      <c r="BD84" s="29">
        <v>46052</v>
      </c>
    </row>
    <row r="85" spans="1:56" ht="42" customHeight="1">
      <c r="A85" s="41" t="s">
        <v>643</v>
      </c>
      <c r="B85" s="44" t="s">
        <v>161</v>
      </c>
      <c r="C85" s="44" t="s">
        <v>300</v>
      </c>
      <c r="D85" s="44" t="s">
        <v>163</v>
      </c>
      <c r="E85" s="44"/>
      <c r="F85" s="44"/>
      <c r="G85" s="44" t="s">
        <v>584</v>
      </c>
      <c r="H85" s="44" t="s">
        <v>585</v>
      </c>
      <c r="I85" s="44" t="s">
        <v>166</v>
      </c>
      <c r="J85" s="44" t="s">
        <v>586</v>
      </c>
      <c r="K85" s="44" t="s">
        <v>578</v>
      </c>
      <c r="L85" s="49">
        <v>41229</v>
      </c>
      <c r="M85" s="48" t="s">
        <v>644</v>
      </c>
      <c r="N85" s="48" t="s">
        <v>376</v>
      </c>
      <c r="O85" s="48"/>
      <c r="P85" s="48"/>
      <c r="Q85" s="48" t="s">
        <v>377</v>
      </c>
      <c r="R85" s="48"/>
      <c r="S85" s="49"/>
      <c r="T85" s="48"/>
      <c r="U85" s="48" t="s">
        <v>645</v>
      </c>
      <c r="V85" s="14">
        <f t="shared" si="9"/>
        <v>1</v>
      </c>
      <c r="W85" s="14">
        <f t="shared" si="10"/>
        <v>1</v>
      </c>
      <c r="X85" s="14">
        <f>IF(AND(V85=1,OR(Painel!$C$6="Todos",D85=Painel!$C$6),AND(OR(Painel!$L$6="Todas",E85=Painel!$L$6),OR(Painel!$C$8="Todos",F85=Painel!$C$8),OR(Painel!$L$8="Todos",G85=Painel!$L$8),OR(Painel!$C$10="",ISNUMBER(SEARCH(SUBSTITUTE(SUBSTITUTE(SUBSTITUTE(Painel!$C$10,"~","~~"),"*","~*"),"?","~?"),A85&amp;" "&amp;H85&amp;" "&amp;I85))))),1,0)</f>
        <v>1</v>
      </c>
      <c r="Y85" s="14">
        <f t="shared" si="11"/>
        <v>0</v>
      </c>
      <c r="Z85" s="15">
        <f>IF(V85=0,"",IF(COUNTIFS(Andamentos!$K$10:$K$2009,"="&amp;SUBSTITUTE(SUBSTITUTE(SUBSTITUTE("P:"&amp;A85,"~","~~"),"*","~*"),"?","~?"),Andamentos!$G$10:$G$2009,1)=0,"",_xlfn.AGGREGATE(14,6,Andamentos!$D$10:$D$2009/((Andamentos!$K$10:$K$2009=AS85)*(Andamentos!$G$10:$G$2009=1)),1)))</f>
        <v>46275</v>
      </c>
      <c r="AA85" s="14">
        <f>IF(Z85="",0,COUNTIFS(Andamentos!$K$10:$K$2009,"="&amp;SUBSTITUTE(SUBSTITUTE(SUBSTITUTE("P:"&amp;A85,"~","~~"),"*","~*"),"?","~?"),Andamentos!$D$10:$D$2009,Z85,Andamentos!$G$10:$G$2009,1))</f>
        <v>1</v>
      </c>
      <c r="AB85" s="14">
        <f>IF(AA85=1,SUMIFS(Andamentos!$L$10:$L$2009,Andamentos!$K$10:$K$2009,"="&amp;SUBSTITUTE(SUBSTITUTE(SUBSTITUTE(AS85,"~","~~"),"*","~*"),"?","~?"),Andamentos!$D$10:$D$2009,Z85,Andamentos!$G$10:$G$2009,1)-9,0)</f>
        <v>76</v>
      </c>
      <c r="AC85" s="14" t="str">
        <f>IF(V85=0,"",IF(AA85&gt;1,"Conferir recebimentos empatados",IF(AB85=0,"Sem atualização",INDEX(Andamentos!$C$10:$C$2009,AB85))))</f>
        <v>10/09/2026 - Transitado em julgado em 13/08 tornando definitivos o direito ao crédito tributário decorrente da exclusão de determinadas verbas d abase de cálculo das contribuições previdenciárias patroniais. [...] histórico completo em Observações</v>
      </c>
      <c r="AD85" s="14">
        <f ca="1">IF(W85=0,0,IF(MAX(Z85,BD85)=0,1,IF(Configurar!$J$12-INT(MAX(Z85,BD85))&gt;Configurar!$J$11,1,0)))</f>
        <v>1</v>
      </c>
      <c r="AE85" s="16"/>
      <c r="AF85" s="14"/>
      <c r="AG85" s="14"/>
      <c r="AH85" s="14">
        <f>IF(AND(V85=1,COUNTIFS(Valores!$S$10:$S$509,"="&amp;SUBSTITUTE(SUBSTITUTE(SUBSTITUTE("P:"&amp;A85,"~","~~"),"*","~*"),"?","~?"))=1),(IF(ISNA(MATCH(SUBSTITUTE(SUBSTITUTE(SUBSTITUTE("P:"&amp;A85,"~","~~"),"*","~*"),"?","~?"),Valores!$S$10:$S$509,0)),9,INDEX(Valores!$R$10:$R$509,MATCH(SUBSTITUTE(SUBSTITUTE(SUBSTITUTE("P:"&amp;A85,"~","~~"),"*","~*"),"?","~?"),Valores!$S$10:$S$509,0)))-9),0)</f>
        <v>76</v>
      </c>
      <c r="AI85" s="40" t="str">
        <f t="shared" si="12"/>
        <v>Informe a empresa responsável</v>
      </c>
      <c r="AJ85" s="14" t="str">
        <f>IF(AND(X85=1,Y85=1),COUNTIFS($X$10:X85,1,$Y$10:Y85,1),"")</f>
        <v/>
      </c>
      <c r="AK85" s="14">
        <f>IF(X85=1,COUNTIFS($X$10:X85,1),"")</f>
        <v>76</v>
      </c>
      <c r="AL85" s="14">
        <f>IF(AND(V85=1,AND(OR(Painel!$L$6="Todas",E85=Painel!$L$6),OR(Painel!$C$8="Todos",F85=Painel!$C$8),OR(Painel!$L$8="Todos",G85=Painel!$L$8),OR(Painel!$C$10="",ISNUMBER(SEARCH(SUBSTITUTE(SUBSTITUTE(SUBSTITUTE(Painel!$C$10,"~","~~"),"*","~*"),"?","~?"),A85&amp;" "&amp;H85&amp;" "&amp;I85))))),1,0)</f>
        <v>1</v>
      </c>
      <c r="AM85" s="14">
        <f t="shared" si="13"/>
        <v>85</v>
      </c>
      <c r="AN85" s="14"/>
      <c r="AO85" s="14"/>
      <c r="AP85" s="16">
        <f>IF(AB85=0,"",IF(INDEX(Andamentos!$B$10:$B$2009,AB85)="","",INDEX(Andamentos!$B$10:$B$2009,AB85)))</f>
        <v>46275</v>
      </c>
      <c r="AQ85" s="17">
        <f>IF(AH85=0,"",IF(INDEX(Valores!$B$10:$B$509,AH85)="","",IF(ISNUMBER(INDEX(Valores!$B$10:$B$509,AH85)),INDEX(Valores!$B$10:$B$509,AH85),"")))</f>
        <v>50000</v>
      </c>
      <c r="AR85" s="14" t="str">
        <f t="shared" si="14"/>
        <v/>
      </c>
      <c r="AS85" s="14" t="str">
        <f t="shared" si="15"/>
        <v>P:0049710-50.2012.4.01.3800</v>
      </c>
      <c r="AT85" s="27" t="s">
        <v>646</v>
      </c>
      <c r="AU85" s="31" t="s">
        <v>643</v>
      </c>
      <c r="AV85" s="31"/>
      <c r="AW85" s="27" t="s">
        <v>642</v>
      </c>
      <c r="AX85" s="27" t="s">
        <v>246</v>
      </c>
      <c r="AY85" s="27"/>
      <c r="AZ85" s="27"/>
      <c r="BA85" s="30" t="str">
        <f t="shared" si="16"/>
        <v>0049710-50.2012.4.01.3800</v>
      </c>
      <c r="BB85" s="30" t="str">
        <f t="shared" si="17"/>
        <v/>
      </c>
      <c r="BC85" s="30">
        <f>IF(X85=0,0,IF(COUNTIFS($X$10:X85,1,$BA$10:BA85,BA85)=1,1,0))</f>
        <v>1</v>
      </c>
      <c r="BD85" s="29">
        <v>46275</v>
      </c>
    </row>
    <row r="86" spans="1:56" ht="42" customHeight="1">
      <c r="A86" s="41" t="s">
        <v>647</v>
      </c>
      <c r="B86" s="44" t="s">
        <v>161</v>
      </c>
      <c r="C86" s="44" t="s">
        <v>162</v>
      </c>
      <c r="D86" s="44" t="s">
        <v>163</v>
      </c>
      <c r="E86" s="44"/>
      <c r="F86" s="44"/>
      <c r="G86" s="44" t="s">
        <v>584</v>
      </c>
      <c r="H86" s="44" t="s">
        <v>648</v>
      </c>
      <c r="I86" s="44" t="s">
        <v>166</v>
      </c>
      <c r="J86" s="44" t="s">
        <v>649</v>
      </c>
      <c r="K86" s="44" t="s">
        <v>578</v>
      </c>
      <c r="L86" s="49">
        <v>42167</v>
      </c>
      <c r="M86" s="48" t="s">
        <v>650</v>
      </c>
      <c r="N86" s="48" t="s">
        <v>170</v>
      </c>
      <c r="O86" s="48"/>
      <c r="P86" s="48"/>
      <c r="Q86" s="48"/>
      <c r="R86" s="48"/>
      <c r="S86" s="49"/>
      <c r="T86" s="48"/>
      <c r="U86" s="48" t="s">
        <v>651</v>
      </c>
      <c r="V86" s="14">
        <f t="shared" si="9"/>
        <v>1</v>
      </c>
      <c r="W86" s="14">
        <f t="shared" si="10"/>
        <v>0</v>
      </c>
      <c r="X86" s="14">
        <f>IF(AND(V86=1,OR(Painel!$C$6="Todos",D86=Painel!$C$6),AND(OR(Painel!$L$6="Todas",E86=Painel!$L$6),OR(Painel!$C$8="Todos",F86=Painel!$C$8),OR(Painel!$L$8="Todos",G86=Painel!$L$8),OR(Painel!$C$10="",ISNUMBER(SEARCH(SUBSTITUTE(SUBSTITUTE(SUBSTITUTE(Painel!$C$10,"~","~~"),"*","~*"),"?","~?"),A86&amp;" "&amp;H86&amp;" "&amp;I86))))),1,0)</f>
        <v>1</v>
      </c>
      <c r="Y86" s="14">
        <f t="shared" si="11"/>
        <v>0</v>
      </c>
      <c r="Z86" s="15">
        <f>IF(V86=0,"",IF(COUNTIFS(Andamentos!$K$10:$K$2009,"="&amp;SUBSTITUTE(SUBSTITUTE(SUBSTITUTE("P:"&amp;A86,"~","~~"),"*","~*"),"?","~?"),Andamentos!$G$10:$G$2009,1)=0,"",_xlfn.AGGREGATE(14,6,Andamentos!$D$10:$D$2009/((Andamentos!$K$10:$K$2009=AS86)*(Andamentos!$G$10:$G$2009=1)),1)))</f>
        <v>46052</v>
      </c>
      <c r="AA86" s="14">
        <f>IF(Z86="",0,COUNTIFS(Andamentos!$K$10:$K$2009,"="&amp;SUBSTITUTE(SUBSTITUTE(SUBSTITUTE("P:"&amp;A86,"~","~~"),"*","~*"),"?","~?"),Andamentos!$D$10:$D$2009,Z86,Andamentos!$G$10:$G$2009,1))</f>
        <v>1</v>
      </c>
      <c r="AB86" s="14">
        <f>IF(AA86=1,SUMIFS(Andamentos!$L$10:$L$2009,Andamentos!$K$10:$K$2009,"="&amp;SUBSTITUTE(SUBSTITUTE(SUBSTITUTE(AS86,"~","~~"),"*","~*"),"?","~?"),Andamentos!$D$10:$D$2009,Z86,Andamentos!$G$10:$G$2009,1)-9,0)</f>
        <v>77</v>
      </c>
      <c r="AC86" s="14" t="str">
        <f>IF(V86=0,"",IF(AA86&gt;1,"Conferir recebimentos empatados",IF(AB86=0,"Sem atualização",INDEX(Andamentos!$C$10:$C$2009,AB86))))</f>
        <v>31/03/2022 - A empresa apresentou Agravos Internos contra as decisões do Tribunal Regional Federal, que negaram seguimento aos seus Recursos Especial e Extraordinário. [...] histórico completo em Observações</v>
      </c>
      <c r="AD86" s="14">
        <f>IF(W86=0,0,IF(MAX(Z86,BD86)=0,1,IF(Configurar!$J$12-INT(MAX(Z86,BD86))&gt;Configurar!$J$11,1,0)))</f>
        <v>0</v>
      </c>
      <c r="AE86" s="16"/>
      <c r="AF86" s="14"/>
      <c r="AG86" s="14"/>
      <c r="AH86" s="14">
        <f>IF(AND(V86=1,COUNTIFS(Valores!$S$10:$S$509,"="&amp;SUBSTITUTE(SUBSTITUTE(SUBSTITUTE("P:"&amp;A86,"~","~~"),"*","~*"),"?","~?"))=1),(IF(ISNA(MATCH(SUBSTITUTE(SUBSTITUTE(SUBSTITUTE("P:"&amp;A86,"~","~~"),"*","~*"),"?","~?"),Valores!$S$10:$S$509,0)),9,INDEX(Valores!$R$10:$R$509,MATCH(SUBSTITUTE(SUBSTITUTE(SUBSTITUTE("P:"&amp;A86,"~","~~"),"*","~*"),"?","~?"),Valores!$S$10:$S$509,0)))-9),0)</f>
        <v>77</v>
      </c>
      <c r="AI86" s="40" t="str">
        <f t="shared" si="12"/>
        <v>Informe a empresa responsável</v>
      </c>
      <c r="AJ86" s="14" t="str">
        <f>IF(AND(X86=1,Y86=1),COUNTIFS($X$10:X86,1,$Y$10:Y86,1),"")</f>
        <v/>
      </c>
      <c r="AK86" s="14">
        <f>IF(X86=1,COUNTIFS($X$10:X86,1),"")</f>
        <v>77</v>
      </c>
      <c r="AL86" s="14">
        <f>IF(AND(V86=1,AND(OR(Painel!$L$6="Todas",E86=Painel!$L$6),OR(Painel!$C$8="Todos",F86=Painel!$C$8),OR(Painel!$L$8="Todos",G86=Painel!$L$8),OR(Painel!$C$10="",ISNUMBER(SEARCH(SUBSTITUTE(SUBSTITUTE(SUBSTITUTE(Painel!$C$10,"~","~~"),"*","~*"),"?","~?"),A86&amp;" "&amp;H86&amp;" "&amp;I86))))),1,0)</f>
        <v>1</v>
      </c>
      <c r="AM86" s="14">
        <f t="shared" si="13"/>
        <v>86</v>
      </c>
      <c r="AN86" s="14"/>
      <c r="AO86" s="14"/>
      <c r="AP86" s="16">
        <f>IF(AB86=0,"",IF(INDEX(Andamentos!$B$10:$B$2009,AB86)="","",INDEX(Andamentos!$B$10:$B$2009,AB86)))</f>
        <v>44651</v>
      </c>
      <c r="AQ86" s="17">
        <f>IF(AH86=0,"",IF(INDEX(Valores!$B$10:$B$509,AH86)="","",IF(ISNUMBER(INDEX(Valores!$B$10:$B$509,AH86)),INDEX(Valores!$B$10:$B$509,AH86),"")))</f>
        <v>150000</v>
      </c>
      <c r="AR86" s="14" t="str">
        <f t="shared" si="14"/>
        <v/>
      </c>
      <c r="AS86" s="14" t="str">
        <f t="shared" si="15"/>
        <v>P:0032498-11.2015.4.01.3800</v>
      </c>
      <c r="AT86" s="27" t="s">
        <v>652</v>
      </c>
      <c r="AU86" s="31" t="s">
        <v>647</v>
      </c>
      <c r="AV86" s="31"/>
      <c r="AW86" s="27" t="s">
        <v>162</v>
      </c>
      <c r="AX86" s="27"/>
      <c r="AY86" s="27"/>
      <c r="AZ86" s="27"/>
      <c r="BA86" s="30" t="str">
        <f t="shared" si="16"/>
        <v>0032498-11.2015.4.01.3800</v>
      </c>
      <c r="BB86" s="30" t="str">
        <f t="shared" si="17"/>
        <v/>
      </c>
      <c r="BC86" s="30">
        <f>IF(X86=0,0,IF(COUNTIFS($X$10:X86,1,$BA$10:BA86,BA86)=1,1,0))</f>
        <v>1</v>
      </c>
      <c r="BD86" s="29">
        <v>46052</v>
      </c>
    </row>
    <row r="87" spans="1:56" ht="42" customHeight="1">
      <c r="A87" s="41" t="s">
        <v>653</v>
      </c>
      <c r="B87" s="44" t="s">
        <v>161</v>
      </c>
      <c r="C87" s="44" t="s">
        <v>162</v>
      </c>
      <c r="D87" s="44" t="s">
        <v>163</v>
      </c>
      <c r="E87" s="44"/>
      <c r="F87" s="44" t="s">
        <v>182</v>
      </c>
      <c r="G87" s="44" t="s">
        <v>238</v>
      </c>
      <c r="H87" s="44" t="s">
        <v>654</v>
      </c>
      <c r="I87" s="44" t="s">
        <v>269</v>
      </c>
      <c r="J87" s="44" t="s">
        <v>302</v>
      </c>
      <c r="K87" s="44" t="s">
        <v>303</v>
      </c>
      <c r="L87" s="49"/>
      <c r="M87" s="48" t="s">
        <v>655</v>
      </c>
      <c r="N87" s="48" t="s">
        <v>170</v>
      </c>
      <c r="O87" s="48"/>
      <c r="P87" s="48"/>
      <c r="Q87" s="48"/>
      <c r="R87" s="48"/>
      <c r="S87" s="49"/>
      <c r="T87" s="48"/>
      <c r="U87" s="48" t="s">
        <v>656</v>
      </c>
      <c r="V87" s="14">
        <f t="shared" si="9"/>
        <v>1</v>
      </c>
      <c r="W87" s="14">
        <f t="shared" si="10"/>
        <v>0</v>
      </c>
      <c r="X87" s="14">
        <f>IF(AND(V87=1,OR(Painel!$C$6="Todos",D87=Painel!$C$6),AND(OR(Painel!$L$6="Todas",E87=Painel!$L$6),OR(Painel!$C$8="Todos",F87=Painel!$C$8),OR(Painel!$L$8="Todos",G87=Painel!$L$8),OR(Painel!$C$10="",ISNUMBER(SEARCH(SUBSTITUTE(SUBSTITUTE(SUBSTITUTE(Painel!$C$10,"~","~~"),"*","~*"),"?","~?"),A87&amp;" "&amp;H87&amp;" "&amp;I87))))),1,0)</f>
        <v>1</v>
      </c>
      <c r="Y87" s="14">
        <f t="shared" si="11"/>
        <v>0</v>
      </c>
      <c r="Z87" s="15">
        <f>IF(V87=0,"",IF(COUNTIFS(Andamentos!$K$10:$K$2009,"="&amp;SUBSTITUTE(SUBSTITUTE(SUBSTITUTE("P:"&amp;A87,"~","~~"),"*","~*"),"?","~?"),Andamentos!$G$10:$G$2009,1)=0,"",_xlfn.AGGREGATE(14,6,Andamentos!$D$10:$D$2009/((Andamentos!$K$10:$K$2009=AS87)*(Andamentos!$G$10:$G$2009=1)),1)))</f>
        <v>45978</v>
      </c>
      <c r="AA87" s="14">
        <f>IF(Z87="",0,COUNTIFS(Andamentos!$K$10:$K$2009,"="&amp;SUBSTITUTE(SUBSTITUTE(SUBSTITUTE("P:"&amp;A87,"~","~~"),"*","~*"),"?","~?"),Andamentos!$D$10:$D$2009,Z87,Andamentos!$G$10:$G$2009,1))</f>
        <v>1</v>
      </c>
      <c r="AB87" s="14">
        <f>IF(AA87=1,SUMIFS(Andamentos!$L$10:$L$2009,Andamentos!$K$10:$K$2009,"="&amp;SUBSTITUTE(SUBSTITUTE(SUBSTITUTE(AS87,"~","~~"),"*","~*"),"?","~?"),Andamentos!$D$10:$D$2009,Z87,Andamentos!$G$10:$G$2009,1)-9,0)</f>
        <v>78</v>
      </c>
      <c r="AC87" s="14" t="str">
        <f>IF(V87=0,"",IF(AA87&gt;1,"Conferir recebimentos empatados",IF(AB87=0,"Sem atualização",INDEX(Andamentos!$C$10:$C$2009,AB87))))</f>
        <v>(25/09/2023) Aguarda-se o julgamento do recurso de apelação.</v>
      </c>
      <c r="AD87" s="14">
        <f>IF(W87=0,0,IF(MAX(Z87,BD87)=0,1,IF(Configurar!$J$12-INT(MAX(Z87,BD87))&gt;Configurar!$J$11,1,0)))</f>
        <v>0</v>
      </c>
      <c r="AE87" s="16"/>
      <c r="AF87" s="14"/>
      <c r="AG87" s="14"/>
      <c r="AH87" s="14">
        <f>IF(AND(V87=1,COUNTIFS(Valores!$S$10:$S$509,"="&amp;SUBSTITUTE(SUBSTITUTE(SUBSTITUTE("P:"&amp;A87,"~","~~"),"*","~*"),"?","~?"))=1),(IF(ISNA(MATCH(SUBSTITUTE(SUBSTITUTE(SUBSTITUTE("P:"&amp;A87,"~","~~"),"*","~*"),"?","~?"),Valores!$S$10:$S$509,0)),9,INDEX(Valores!$R$10:$R$509,MATCH(SUBSTITUTE(SUBSTITUTE(SUBSTITUTE("P:"&amp;A87,"~","~~"),"*","~*"),"?","~?"),Valores!$S$10:$S$509,0)))-9),0)</f>
        <v>78</v>
      </c>
      <c r="AI87" s="40" t="str">
        <f t="shared" si="12"/>
        <v>Informe a empresa responsável</v>
      </c>
      <c r="AJ87" s="14" t="str">
        <f>IF(AND(X87=1,Y87=1),COUNTIFS($X$10:X87,1,$Y$10:Y87,1),"")</f>
        <v/>
      </c>
      <c r="AK87" s="14">
        <f>IF(X87=1,COUNTIFS($X$10:X87,1),"")</f>
        <v>78</v>
      </c>
      <c r="AL87" s="14">
        <f>IF(AND(V87=1,AND(OR(Painel!$L$6="Todas",E87=Painel!$L$6),OR(Painel!$C$8="Todos",F87=Painel!$C$8),OR(Painel!$L$8="Todos",G87=Painel!$L$8),OR(Painel!$C$10="",ISNUMBER(SEARCH(SUBSTITUTE(SUBSTITUTE(SUBSTITUTE(Painel!$C$10,"~","~~"),"*","~*"),"?","~?"),A87&amp;" "&amp;H87&amp;" "&amp;I87))))),1,0)</f>
        <v>1</v>
      </c>
      <c r="AM87" s="14">
        <f t="shared" si="13"/>
        <v>87</v>
      </c>
      <c r="AN87" s="14"/>
      <c r="AO87" s="14"/>
      <c r="AP87" s="16" t="str">
        <f>IF(AB87=0,"",IF(INDEX(Andamentos!$B$10:$B$2009,AB87)="","",INDEX(Andamentos!$B$10:$B$2009,AB87)))</f>
        <v/>
      </c>
      <c r="AQ87" s="17">
        <f>IF(AH87=0,"",IF(INDEX(Valores!$B$10:$B$509,AH87)="","",IF(ISNUMBER(INDEX(Valores!$B$10:$B$509,AH87)),INDEX(Valores!$B$10:$B$509,AH87),"")))</f>
        <v>50921.25</v>
      </c>
      <c r="AR87" s="14" t="str">
        <f t="shared" si="14"/>
        <v/>
      </c>
      <c r="AS87" s="14" t="str">
        <f t="shared" si="15"/>
        <v>P:5035486-22.2018.8.13.0024</v>
      </c>
      <c r="AT87" s="27" t="s">
        <v>657</v>
      </c>
      <c r="AU87" s="31" t="s">
        <v>653</v>
      </c>
      <c r="AV87" s="31"/>
      <c r="AW87" s="27" t="s">
        <v>162</v>
      </c>
      <c r="AX87" s="27"/>
      <c r="AY87" s="27"/>
      <c r="AZ87" s="27"/>
      <c r="BA87" s="30" t="str">
        <f t="shared" si="16"/>
        <v>5035486-22.2018.8.13.0024</v>
      </c>
      <c r="BB87" s="30" t="str">
        <f t="shared" si="17"/>
        <v/>
      </c>
      <c r="BC87" s="30">
        <f>IF(X87=0,0,IF(COUNTIFS($X$10:X87,1,$BA$10:BA87,BA87)=1,1,0))</f>
        <v>1</v>
      </c>
      <c r="BD87" s="29">
        <v>45978</v>
      </c>
    </row>
    <row r="88" spans="1:56" ht="42" customHeight="1">
      <c r="A88" s="41" t="s">
        <v>658</v>
      </c>
      <c r="B88" s="44" t="s">
        <v>161</v>
      </c>
      <c r="C88" s="44" t="s">
        <v>252</v>
      </c>
      <c r="D88" s="44" t="s">
        <v>163</v>
      </c>
      <c r="E88" s="44"/>
      <c r="F88" s="44" t="s">
        <v>282</v>
      </c>
      <c r="G88" s="44" t="s">
        <v>164</v>
      </c>
      <c r="H88" s="44" t="s">
        <v>659</v>
      </c>
      <c r="I88" s="44" t="s">
        <v>660</v>
      </c>
      <c r="J88" s="44" t="s">
        <v>661</v>
      </c>
      <c r="K88" s="44" t="s">
        <v>178</v>
      </c>
      <c r="L88" s="49">
        <v>45495</v>
      </c>
      <c r="M88" s="48" t="s">
        <v>662</v>
      </c>
      <c r="N88" s="48" t="s">
        <v>170</v>
      </c>
      <c r="O88" s="48"/>
      <c r="P88" s="48"/>
      <c r="Q88" s="48"/>
      <c r="R88" s="48"/>
      <c r="S88" s="49"/>
      <c r="T88" s="48"/>
      <c r="U88" s="48" t="s">
        <v>663</v>
      </c>
      <c r="V88" s="14">
        <f t="shared" si="9"/>
        <v>1</v>
      </c>
      <c r="W88" s="14">
        <f t="shared" si="10"/>
        <v>0</v>
      </c>
      <c r="X88" s="14">
        <f>IF(AND(V88=1,OR(Painel!$C$6="Todos",D88=Painel!$C$6),AND(OR(Painel!$L$6="Todas",E88=Painel!$L$6),OR(Painel!$C$8="Todos",F88=Painel!$C$8),OR(Painel!$L$8="Todos",G88=Painel!$L$8),OR(Painel!$C$10="",ISNUMBER(SEARCH(SUBSTITUTE(SUBSTITUTE(SUBSTITUTE(Painel!$C$10,"~","~~"),"*","~*"),"?","~?"),A88&amp;" "&amp;H88&amp;" "&amp;I88))))),1,0)</f>
        <v>1</v>
      </c>
      <c r="Y88" s="14">
        <f t="shared" si="11"/>
        <v>0</v>
      </c>
      <c r="Z88" s="15">
        <f>IF(V88=0,"",IF(COUNTIFS(Andamentos!$K$10:$K$2009,"="&amp;SUBSTITUTE(SUBSTITUTE(SUBSTITUTE("P:"&amp;A88,"~","~~"),"*","~*"),"?","~?"),Andamentos!$G$10:$G$2009,1)=0,"",_xlfn.AGGREGATE(14,6,Andamentos!$D$10:$D$2009/((Andamentos!$K$10:$K$2009=AS88)*(Andamentos!$G$10:$G$2009=1)),1)))</f>
        <v>46055</v>
      </c>
      <c r="AA88" s="14">
        <f>IF(Z88="",0,COUNTIFS(Andamentos!$K$10:$K$2009,"="&amp;SUBSTITUTE(SUBSTITUTE(SUBSTITUTE("P:"&amp;A88,"~","~~"),"*","~*"),"?","~?"),Andamentos!$D$10:$D$2009,Z88,Andamentos!$G$10:$G$2009,1))</f>
        <v>1</v>
      </c>
      <c r="AB88" s="14">
        <f>IF(AA88=1,SUMIFS(Andamentos!$L$10:$L$2009,Andamentos!$K$10:$K$2009,"="&amp;SUBSTITUTE(SUBSTITUTE(SUBSTITUTE(AS88,"~","~~"),"*","~*"),"?","~?"),Andamentos!$D$10:$D$2009,Z88,Andamentos!$G$10:$G$2009,1)-9,0)</f>
        <v>79</v>
      </c>
      <c r="AC88" s="14" t="str">
        <f>IF(V88=0,"",IF(AA88&gt;1,"Conferir recebimentos empatados",IF(AB88=0,"Sem atualização",INDEX(Andamentos!$C$10:$C$2009,AB88))))</f>
        <v>09/06/2026 - Transitado em julgado, valores em depositados a receber pela ALTA. [...] histórico completo em Observações</v>
      </c>
      <c r="AD88" s="14">
        <f>IF(W88=0,0,IF(MAX(Z88,BD88)=0,1,IF(Configurar!$J$12-INT(MAX(Z88,BD88))&gt;Configurar!$J$11,1,0)))</f>
        <v>0</v>
      </c>
      <c r="AE88" s="16"/>
      <c r="AF88" s="14"/>
      <c r="AG88" s="14"/>
      <c r="AH88" s="14">
        <f>IF(AND(V88=1,COUNTIFS(Valores!$S$10:$S$509,"="&amp;SUBSTITUTE(SUBSTITUTE(SUBSTITUTE("P:"&amp;A88,"~","~~"),"*","~*"),"?","~?"))=1),(IF(ISNA(MATCH(SUBSTITUTE(SUBSTITUTE(SUBSTITUTE("P:"&amp;A88,"~","~~"),"*","~*"),"?","~?"),Valores!$S$10:$S$509,0)),9,INDEX(Valores!$R$10:$R$509,MATCH(SUBSTITUTE(SUBSTITUTE(SUBSTITUTE("P:"&amp;A88,"~","~~"),"*","~*"),"?","~?"),Valores!$S$10:$S$509,0)))-9),0)</f>
        <v>79</v>
      </c>
      <c r="AI88" s="40" t="str">
        <f t="shared" si="12"/>
        <v>Informe a empresa responsável</v>
      </c>
      <c r="AJ88" s="14" t="str">
        <f>IF(AND(X88=1,Y88=1),COUNTIFS($X$10:X88,1,$Y$10:Y88,1),"")</f>
        <v/>
      </c>
      <c r="AK88" s="14">
        <f>IF(X88=1,COUNTIFS($X$10:X88,1),"")</f>
        <v>79</v>
      </c>
      <c r="AL88" s="14">
        <f>IF(AND(V88=1,AND(OR(Painel!$L$6="Todas",E88=Painel!$L$6),OR(Painel!$C$8="Todos",F88=Painel!$C$8),OR(Painel!$L$8="Todos",G88=Painel!$L$8),OR(Painel!$C$10="",ISNUMBER(SEARCH(SUBSTITUTE(SUBSTITUTE(SUBSTITUTE(Painel!$C$10,"~","~~"),"*","~*"),"?","~?"),A88&amp;" "&amp;H88&amp;" "&amp;I88))))),1,0)</f>
        <v>1</v>
      </c>
      <c r="AM88" s="14">
        <f t="shared" si="13"/>
        <v>88</v>
      </c>
      <c r="AN88" s="14"/>
      <c r="AO88" s="14"/>
      <c r="AP88" s="16">
        <f>IF(AB88=0,"",IF(INDEX(Andamentos!$B$10:$B$2009,AB88)="","",INDEX(Andamentos!$B$10:$B$2009,AB88)))</f>
        <v>46182</v>
      </c>
      <c r="AQ88" s="17">
        <f>IF(AH88=0,"",IF(INDEX(Valores!$B$10:$B$509,AH88)="","",IF(ISNUMBER(INDEX(Valores!$B$10:$B$509,AH88)),INDEX(Valores!$B$10:$B$509,AH88),"")))</f>
        <v>295800</v>
      </c>
      <c r="AR88" s="14" t="str">
        <f t="shared" si="14"/>
        <v/>
      </c>
      <c r="AS88" s="14" t="str">
        <f t="shared" si="15"/>
        <v>P:0010246-78.2024.5.18.0231</v>
      </c>
      <c r="AT88" s="27" t="s">
        <v>664</v>
      </c>
      <c r="AU88" s="31" t="s">
        <v>658</v>
      </c>
      <c r="AV88" s="31"/>
      <c r="AW88" s="27" t="s">
        <v>642</v>
      </c>
      <c r="AX88" s="27"/>
      <c r="AY88" s="27"/>
      <c r="AZ88" s="27"/>
      <c r="BA88" s="30" t="str">
        <f t="shared" si="16"/>
        <v>0010246-78.2024.5.18.0231</v>
      </c>
      <c r="BB88" s="30" t="str">
        <f t="shared" si="17"/>
        <v/>
      </c>
      <c r="BC88" s="30">
        <f>IF(X88=0,0,IF(COUNTIFS($X$10:X88,1,$BA$10:BA88,BA88)=1,1,0))</f>
        <v>1</v>
      </c>
      <c r="BD88" s="29">
        <v>46055</v>
      </c>
    </row>
    <row r="89" spans="1:56" ht="42" customHeight="1">
      <c r="A89" s="41" t="s">
        <v>665</v>
      </c>
      <c r="B89" s="44" t="s">
        <v>161</v>
      </c>
      <c r="C89" s="44" t="s">
        <v>252</v>
      </c>
      <c r="D89" s="44" t="s">
        <v>163</v>
      </c>
      <c r="E89" s="44"/>
      <c r="F89" s="44" t="s">
        <v>282</v>
      </c>
      <c r="G89" s="44" t="s">
        <v>164</v>
      </c>
      <c r="H89" s="44" t="s">
        <v>666</v>
      </c>
      <c r="I89" s="44" t="s">
        <v>660</v>
      </c>
      <c r="J89" s="44" t="s">
        <v>661</v>
      </c>
      <c r="K89" s="44" t="s">
        <v>178</v>
      </c>
      <c r="L89" s="49">
        <v>45495</v>
      </c>
      <c r="M89" s="48" t="s">
        <v>662</v>
      </c>
      <c r="N89" s="48" t="s">
        <v>170</v>
      </c>
      <c r="O89" s="48"/>
      <c r="P89" s="48"/>
      <c r="Q89" s="48"/>
      <c r="R89" s="48"/>
      <c r="S89" s="49"/>
      <c r="T89" s="48"/>
      <c r="U89" s="48" t="s">
        <v>667</v>
      </c>
      <c r="V89" s="14">
        <f t="shared" si="9"/>
        <v>1</v>
      </c>
      <c r="W89" s="14">
        <f t="shared" si="10"/>
        <v>0</v>
      </c>
      <c r="X89" s="14">
        <f>IF(AND(V89=1,OR(Painel!$C$6="Todos",D89=Painel!$C$6),AND(OR(Painel!$L$6="Todas",E89=Painel!$L$6),OR(Painel!$C$8="Todos",F89=Painel!$C$8),OR(Painel!$L$8="Todos",G89=Painel!$L$8),OR(Painel!$C$10="",ISNUMBER(SEARCH(SUBSTITUTE(SUBSTITUTE(SUBSTITUTE(Painel!$C$10,"~","~~"),"*","~*"),"?","~?"),A89&amp;" "&amp;H89&amp;" "&amp;I89))))),1,0)</f>
        <v>1</v>
      </c>
      <c r="Y89" s="14">
        <f t="shared" si="11"/>
        <v>0</v>
      </c>
      <c r="Z89" s="15">
        <f>IF(V89=0,"",IF(COUNTIFS(Andamentos!$K$10:$K$2009,"="&amp;SUBSTITUTE(SUBSTITUTE(SUBSTITUTE("P:"&amp;A89,"~","~~"),"*","~*"),"?","~?"),Andamentos!$G$10:$G$2009,1)=0,"",_xlfn.AGGREGATE(14,6,Andamentos!$D$10:$D$2009/((Andamentos!$K$10:$K$2009=AS89)*(Andamentos!$G$10:$G$2009=1)),1)))</f>
        <v>46273</v>
      </c>
      <c r="AA89" s="14">
        <f>IF(Z89="",0,COUNTIFS(Andamentos!$K$10:$K$2009,"="&amp;SUBSTITUTE(SUBSTITUTE(SUBSTITUTE("P:"&amp;A89,"~","~~"),"*","~*"),"?","~?"),Andamentos!$D$10:$D$2009,Z89,Andamentos!$G$10:$G$2009,1))</f>
        <v>1</v>
      </c>
      <c r="AB89" s="14">
        <f>IF(AA89=1,SUMIFS(Andamentos!$L$10:$L$2009,Andamentos!$K$10:$K$2009,"="&amp;SUBSTITUTE(SUBSTITUTE(SUBSTITUTE(AS89,"~","~~"),"*","~*"),"?","~?"),Andamentos!$D$10:$D$2009,Z89,Andamentos!$G$10:$G$2009,1)-9,0)</f>
        <v>80</v>
      </c>
      <c r="AC89" s="14" t="str">
        <f>IF(V89=0,"",IF(AA89&gt;1,"Conferir recebimentos empatados",IF(AB89=0,"Sem atualização",INDEX(Andamentos!$C$10:$C$2009,AB89))))</f>
        <v>08/09/2026 - Aguardando pesquisa para recebermos valores. [...] histórico completo em Observações</v>
      </c>
      <c r="AD89" s="14">
        <f>IF(W89=0,0,IF(MAX(Z89,BD89)=0,1,IF(Configurar!$J$12-INT(MAX(Z89,BD89))&gt;Configurar!$J$11,1,0)))</f>
        <v>0</v>
      </c>
      <c r="AE89" s="16"/>
      <c r="AF89" s="14"/>
      <c r="AG89" s="14"/>
      <c r="AH89" s="14">
        <f>IF(AND(V89=1,COUNTIFS(Valores!$S$10:$S$509,"="&amp;SUBSTITUTE(SUBSTITUTE(SUBSTITUTE("P:"&amp;A89,"~","~~"),"*","~*"),"?","~?"))=1),(IF(ISNA(MATCH(SUBSTITUTE(SUBSTITUTE(SUBSTITUTE("P:"&amp;A89,"~","~~"),"*","~*"),"?","~?"),Valores!$S$10:$S$509,0)),9,INDEX(Valores!$R$10:$R$509,MATCH(SUBSTITUTE(SUBSTITUTE(SUBSTITUTE("P:"&amp;A89,"~","~~"),"*","~*"),"?","~?"),Valores!$S$10:$S$509,0)))-9),0)</f>
        <v>80</v>
      </c>
      <c r="AI89" s="40" t="str">
        <f t="shared" si="12"/>
        <v>Informe a empresa responsável</v>
      </c>
      <c r="AJ89" s="14" t="str">
        <f>IF(AND(X89=1,Y89=1),COUNTIFS($X$10:X89,1,$Y$10:Y89,1),"")</f>
        <v/>
      </c>
      <c r="AK89" s="14">
        <f>IF(X89=1,COUNTIFS($X$10:X89,1),"")</f>
        <v>80</v>
      </c>
      <c r="AL89" s="14">
        <f>IF(AND(V89=1,AND(OR(Painel!$L$6="Todas",E89=Painel!$L$6),OR(Painel!$C$8="Todos",F89=Painel!$C$8),OR(Painel!$L$8="Todos",G89=Painel!$L$8),OR(Painel!$C$10="",ISNUMBER(SEARCH(SUBSTITUTE(SUBSTITUTE(SUBSTITUTE(Painel!$C$10,"~","~~"),"*","~*"),"?","~?"),A89&amp;" "&amp;H89&amp;" "&amp;I89))))),1,0)</f>
        <v>1</v>
      </c>
      <c r="AM89" s="14">
        <f t="shared" si="13"/>
        <v>89</v>
      </c>
      <c r="AN89" s="14"/>
      <c r="AO89" s="14"/>
      <c r="AP89" s="16">
        <f>IF(AB89=0,"",IF(INDEX(Andamentos!$B$10:$B$2009,AB89)="","",INDEX(Andamentos!$B$10:$B$2009,AB89)))</f>
        <v>46273</v>
      </c>
      <c r="AQ89" s="17">
        <f>IF(AH89=0,"",IF(INDEX(Valores!$B$10:$B$509,AH89)="","",IF(ISNUMBER(INDEX(Valores!$B$10:$B$509,AH89)),INDEX(Valores!$B$10:$B$509,AH89),"")))</f>
        <v>750000</v>
      </c>
      <c r="AR89" s="14" t="str">
        <f t="shared" si="14"/>
        <v/>
      </c>
      <c r="AS89" s="14" t="str">
        <f t="shared" si="15"/>
        <v>P:0010245-93.2024.5.18.0231</v>
      </c>
      <c r="AT89" s="27" t="s">
        <v>668</v>
      </c>
      <c r="AU89" s="31" t="s">
        <v>665</v>
      </c>
      <c r="AV89" s="31"/>
      <c r="AW89" s="27" t="s">
        <v>642</v>
      </c>
      <c r="AX89" s="27"/>
      <c r="AY89" s="27"/>
      <c r="AZ89" s="27"/>
      <c r="BA89" s="30" t="str">
        <f t="shared" si="16"/>
        <v>0010245-93.2024.5.18.0231</v>
      </c>
      <c r="BB89" s="30" t="str">
        <f t="shared" si="17"/>
        <v/>
      </c>
      <c r="BC89" s="30">
        <f>IF(X89=0,0,IF(COUNTIFS($X$10:X89,1,$BA$10:BA89,BA89)=1,1,0))</f>
        <v>1</v>
      </c>
      <c r="BD89" s="29">
        <v>46273</v>
      </c>
    </row>
    <row r="90" spans="1:56" ht="42" customHeight="1">
      <c r="A90" s="41" t="s">
        <v>669</v>
      </c>
      <c r="B90" s="44" t="s">
        <v>161</v>
      </c>
      <c r="C90" s="44" t="s">
        <v>162</v>
      </c>
      <c r="D90" s="44" t="s">
        <v>163</v>
      </c>
      <c r="E90" s="44"/>
      <c r="F90" s="44" t="s">
        <v>282</v>
      </c>
      <c r="G90" s="44" t="s">
        <v>164</v>
      </c>
      <c r="H90" s="44" t="s">
        <v>670</v>
      </c>
      <c r="I90" s="44" t="s">
        <v>660</v>
      </c>
      <c r="J90" s="44" t="s">
        <v>671</v>
      </c>
      <c r="K90" s="44" t="s">
        <v>178</v>
      </c>
      <c r="L90" s="49">
        <v>45380</v>
      </c>
      <c r="M90" s="48" t="s">
        <v>672</v>
      </c>
      <c r="N90" s="48" t="s">
        <v>170</v>
      </c>
      <c r="O90" s="48"/>
      <c r="P90" s="48"/>
      <c r="Q90" s="48"/>
      <c r="R90" s="48"/>
      <c r="S90" s="49"/>
      <c r="T90" s="48"/>
      <c r="U90" s="48" t="s">
        <v>673</v>
      </c>
      <c r="V90" s="14">
        <f t="shared" si="9"/>
        <v>1</v>
      </c>
      <c r="W90" s="14">
        <f t="shared" si="10"/>
        <v>0</v>
      </c>
      <c r="X90" s="14">
        <f>IF(AND(V90=1,OR(Painel!$C$6="Todos",D90=Painel!$C$6),AND(OR(Painel!$L$6="Todas",E90=Painel!$L$6),OR(Painel!$C$8="Todos",F90=Painel!$C$8),OR(Painel!$L$8="Todos",G90=Painel!$L$8),OR(Painel!$C$10="",ISNUMBER(SEARCH(SUBSTITUTE(SUBSTITUTE(SUBSTITUTE(Painel!$C$10,"~","~~"),"*","~*"),"?","~?"),A90&amp;" "&amp;H90&amp;" "&amp;I90))))),1,0)</f>
        <v>1</v>
      </c>
      <c r="Y90" s="14">
        <f t="shared" si="11"/>
        <v>0</v>
      </c>
      <c r="Z90" s="15">
        <f>IF(V90=0,"",IF(COUNTIFS(Andamentos!$K$10:$K$2009,"="&amp;SUBSTITUTE(SUBSTITUTE(SUBSTITUTE("P:"&amp;A90,"~","~~"),"*","~*"),"?","~?"),Andamentos!$G$10:$G$2009,1)=0,"",_xlfn.AGGREGATE(14,6,Andamentos!$D$10:$D$2009/((Andamentos!$K$10:$K$2009=AS90)*(Andamentos!$G$10:$G$2009=1)),1)))</f>
        <v>46055</v>
      </c>
      <c r="AA90" s="14">
        <f>IF(Z90="",0,COUNTIFS(Andamentos!$K$10:$K$2009,"="&amp;SUBSTITUTE(SUBSTITUTE(SUBSTITUTE("P:"&amp;A90,"~","~~"),"*","~*"),"?","~?"),Andamentos!$D$10:$D$2009,Z90,Andamentos!$G$10:$G$2009,1))</f>
        <v>1</v>
      </c>
      <c r="AB90" s="14">
        <f>IF(AA90=1,SUMIFS(Andamentos!$L$10:$L$2009,Andamentos!$K$10:$K$2009,"="&amp;SUBSTITUTE(SUBSTITUTE(SUBSTITUTE(AS90,"~","~~"),"*","~*"),"?","~?"),Andamentos!$D$10:$D$2009,Z90,Andamentos!$G$10:$G$2009,1)-9,0)</f>
        <v>81</v>
      </c>
      <c r="AC90" s="14" t="str">
        <f>IF(V90=0,"",IF(AA90&gt;1,"Conferir recebimentos empatados",IF(AB90=0,"Sem atualização",INDEX(Andamentos!$C$10:$C$2009,AB90))))</f>
        <v>12/12/2025 - Processo arquivado [...] histórico completo em Observações</v>
      </c>
      <c r="AD90" s="14">
        <f>IF(W90=0,0,IF(MAX(Z90,BD90)=0,1,IF(Configurar!$J$12-INT(MAX(Z90,BD90))&gt;Configurar!$J$11,1,0)))</f>
        <v>0</v>
      </c>
      <c r="AE90" s="16"/>
      <c r="AF90" s="14"/>
      <c r="AG90" s="14"/>
      <c r="AH90" s="14">
        <f>IF(AND(V90=1,COUNTIFS(Valores!$S$10:$S$509,"="&amp;SUBSTITUTE(SUBSTITUTE(SUBSTITUTE("P:"&amp;A90,"~","~~"),"*","~*"),"?","~?"))=1),(IF(ISNA(MATCH(SUBSTITUTE(SUBSTITUTE(SUBSTITUTE("P:"&amp;A90,"~","~~"),"*","~*"),"?","~?"),Valores!$S$10:$S$509,0)),9,INDEX(Valores!$R$10:$R$509,MATCH(SUBSTITUTE(SUBSTITUTE(SUBSTITUTE("P:"&amp;A90,"~","~~"),"*","~*"),"?","~?"),Valores!$S$10:$S$509,0)))-9),0)</f>
        <v>81</v>
      </c>
      <c r="AI90" s="40" t="str">
        <f t="shared" si="12"/>
        <v>Informe a empresa responsável</v>
      </c>
      <c r="AJ90" s="14" t="str">
        <f>IF(AND(X90=1,Y90=1),COUNTIFS($X$10:X90,1,$Y$10:Y90,1),"")</f>
        <v/>
      </c>
      <c r="AK90" s="14">
        <f>IF(X90=1,COUNTIFS($X$10:X90,1),"")</f>
        <v>81</v>
      </c>
      <c r="AL90" s="14">
        <f>IF(AND(V90=1,AND(OR(Painel!$L$6="Todas",E90=Painel!$L$6),OR(Painel!$C$8="Todos",F90=Painel!$C$8),OR(Painel!$L$8="Todos",G90=Painel!$L$8),OR(Painel!$C$10="",ISNUMBER(SEARCH(SUBSTITUTE(SUBSTITUTE(SUBSTITUTE(Painel!$C$10,"~","~~"),"*","~*"),"?","~?"),A90&amp;" "&amp;H90&amp;" "&amp;I90))))),1,0)</f>
        <v>1</v>
      </c>
      <c r="AM90" s="14">
        <f t="shared" si="13"/>
        <v>90</v>
      </c>
      <c r="AN90" s="14"/>
      <c r="AO90" s="14"/>
      <c r="AP90" s="16">
        <f>IF(AB90=0,"",IF(INDEX(Andamentos!$B$10:$B$2009,AB90)="","",INDEX(Andamentos!$B$10:$B$2009,AB90)))</f>
        <v>46003</v>
      </c>
      <c r="AQ90" s="17">
        <f>IF(AH90=0,"",IF(INDEX(Valores!$B$10:$B$509,AH90)="","",IF(ISNUMBER(INDEX(Valores!$B$10:$B$509,AH90)),INDEX(Valores!$B$10:$B$509,AH90),"")))</f>
        <v>606874.76</v>
      </c>
      <c r="AR90" s="14" t="str">
        <f t="shared" si="14"/>
        <v/>
      </c>
      <c r="AS90" s="14" t="str">
        <f t="shared" si="15"/>
        <v>P:0010298-49.2024.5.18.0013</v>
      </c>
      <c r="AT90" s="27" t="s">
        <v>674</v>
      </c>
      <c r="AU90" s="31" t="s">
        <v>669</v>
      </c>
      <c r="AV90" s="31"/>
      <c r="AW90" s="27" t="s">
        <v>162</v>
      </c>
      <c r="AX90" s="27"/>
      <c r="AY90" s="27"/>
      <c r="AZ90" s="27"/>
      <c r="BA90" s="30" t="str">
        <f t="shared" si="16"/>
        <v>0010298-49.2024.5.18.0013</v>
      </c>
      <c r="BB90" s="30" t="str">
        <f t="shared" si="17"/>
        <v/>
      </c>
      <c r="BC90" s="30">
        <f>IF(X90=0,0,IF(COUNTIFS($X$10:X90,1,$BA$10:BA90,BA90)=1,1,0))</f>
        <v>1</v>
      </c>
      <c r="BD90" s="29">
        <v>46055</v>
      </c>
    </row>
    <row r="91" spans="1:56" ht="42" customHeight="1">
      <c r="A91" s="41" t="s">
        <v>675</v>
      </c>
      <c r="B91" s="44" t="s">
        <v>161</v>
      </c>
      <c r="C91" s="44" t="s">
        <v>316</v>
      </c>
      <c r="D91" s="44" t="s">
        <v>163</v>
      </c>
      <c r="E91" s="44"/>
      <c r="F91" s="44" t="s">
        <v>174</v>
      </c>
      <c r="G91" s="44" t="s">
        <v>164</v>
      </c>
      <c r="H91" s="44" t="s">
        <v>676</v>
      </c>
      <c r="I91" s="44" t="s">
        <v>677</v>
      </c>
      <c r="J91" s="44" t="s">
        <v>678</v>
      </c>
      <c r="K91" s="44" t="s">
        <v>178</v>
      </c>
      <c r="L91" s="49"/>
      <c r="M91" s="48"/>
      <c r="N91" s="48" t="s">
        <v>170</v>
      </c>
      <c r="O91" s="48"/>
      <c r="P91" s="48"/>
      <c r="Q91" s="48"/>
      <c r="R91" s="48"/>
      <c r="S91" s="49"/>
      <c r="T91" s="48"/>
      <c r="U91" s="48" t="s">
        <v>679</v>
      </c>
      <c r="V91" s="14">
        <f t="shared" si="9"/>
        <v>1</v>
      </c>
      <c r="W91" s="14">
        <f t="shared" si="10"/>
        <v>1</v>
      </c>
      <c r="X91" s="14">
        <f>IF(AND(V91=1,OR(Painel!$C$6="Todos",D91=Painel!$C$6),AND(OR(Painel!$L$6="Todas",E91=Painel!$L$6),OR(Painel!$C$8="Todos",F91=Painel!$C$8),OR(Painel!$L$8="Todos",G91=Painel!$L$8),OR(Painel!$C$10="",ISNUMBER(SEARCH(SUBSTITUTE(SUBSTITUTE(SUBSTITUTE(Painel!$C$10,"~","~~"),"*","~*"),"?","~?"),A91&amp;" "&amp;H91&amp;" "&amp;I91))))),1,0)</f>
        <v>1</v>
      </c>
      <c r="Y91" s="14">
        <f t="shared" si="11"/>
        <v>0</v>
      </c>
      <c r="Z91" s="15">
        <f>IF(V91=0,"",IF(COUNTIFS(Andamentos!$K$10:$K$2009,"="&amp;SUBSTITUTE(SUBSTITUTE(SUBSTITUTE("P:"&amp;A91,"~","~~"),"*","~*"),"?","~?"),Andamentos!$G$10:$G$2009,1)=0,"",_xlfn.AGGREGATE(14,6,Andamentos!$D$10:$D$2009/((Andamentos!$K$10:$K$2009=AS91)*(Andamentos!$G$10:$G$2009=1)),1)))</f>
        <v>45653</v>
      </c>
      <c r="AA91" s="14">
        <f>IF(Z91="",0,COUNTIFS(Andamentos!$K$10:$K$2009,"="&amp;SUBSTITUTE(SUBSTITUTE(SUBSTITUTE("P:"&amp;A91,"~","~~"),"*","~*"),"?","~?"),Andamentos!$D$10:$D$2009,Z91,Andamentos!$G$10:$G$2009,1))</f>
        <v>1</v>
      </c>
      <c r="AB91" s="14">
        <f>IF(AA91=1,SUMIFS(Andamentos!$L$10:$L$2009,Andamentos!$K$10:$K$2009,"="&amp;SUBSTITUTE(SUBSTITUTE(SUBSTITUTE(AS91,"~","~~"),"*","~*"),"?","~?"),Andamentos!$D$10:$D$2009,Z91,Andamentos!$G$10:$G$2009,1)-9,0)</f>
        <v>82</v>
      </c>
      <c r="AC91" s="14" t="str">
        <f>IF(V91=0,"",IF(AA91&gt;1,"Conferir recebimentos empatados",IF(AB91=0,"Sem atualização",INDEX(Andamentos!$C$10:$C$2009,AB91))))</f>
        <v>(29/06/2022) Autos sobrestados
Concluso TST admissibilidade de RE Condenação em valores ínfimos (R$ 600,00). 29/06/2022 - Autos sobrestados. [...] histórico completo em Observações</v>
      </c>
      <c r="AD91" s="14">
        <f ca="1">IF(W91=0,0,IF(MAX(Z91,BD91)=0,1,IF(Configurar!$J$12-INT(MAX(Z91,BD91))&gt;Configurar!$J$11,1,0)))</f>
        <v>1</v>
      </c>
      <c r="AE91" s="16"/>
      <c r="AF91" s="14"/>
      <c r="AG91" s="14"/>
      <c r="AH91" s="14">
        <f>IF(AND(V91=1,COUNTIFS(Valores!$S$10:$S$509,"="&amp;SUBSTITUTE(SUBSTITUTE(SUBSTITUTE("P:"&amp;A91,"~","~~"),"*","~*"),"?","~?"))=1),(IF(ISNA(MATCH(SUBSTITUTE(SUBSTITUTE(SUBSTITUTE("P:"&amp;A91,"~","~~"),"*","~*"),"?","~?"),Valores!$S$10:$S$509,0)),9,INDEX(Valores!$R$10:$R$509,MATCH(SUBSTITUTE(SUBSTITUTE(SUBSTITUTE("P:"&amp;A91,"~","~~"),"*","~*"),"?","~?"),Valores!$S$10:$S$509,0)))-9),0)</f>
        <v>82</v>
      </c>
      <c r="AI91" s="40" t="str">
        <f t="shared" si="12"/>
        <v>Informe a empresa responsável</v>
      </c>
      <c r="AJ91" s="14" t="str">
        <f>IF(AND(X91=1,Y91=1),COUNTIFS($X$10:X91,1,$Y$10:Y91,1),"")</f>
        <v/>
      </c>
      <c r="AK91" s="14">
        <f>IF(X91=1,COUNTIFS($X$10:X91,1),"")</f>
        <v>82</v>
      </c>
      <c r="AL91" s="14">
        <f>IF(AND(V91=1,AND(OR(Painel!$L$6="Todas",E91=Painel!$L$6),OR(Painel!$C$8="Todos",F91=Painel!$C$8),OR(Painel!$L$8="Todos",G91=Painel!$L$8),OR(Painel!$C$10="",ISNUMBER(SEARCH(SUBSTITUTE(SUBSTITUTE(SUBSTITUTE(Painel!$C$10,"~","~~"),"*","~*"),"?","~?"),A91&amp;" "&amp;H91&amp;" "&amp;I91))))),1,0)</f>
        <v>1</v>
      </c>
      <c r="AM91" s="14">
        <f t="shared" si="13"/>
        <v>91</v>
      </c>
      <c r="AN91" s="14"/>
      <c r="AO91" s="14"/>
      <c r="AP91" s="16" t="str">
        <f>IF(AB91=0,"",IF(INDEX(Andamentos!$B$10:$B$2009,AB91)="","",INDEX(Andamentos!$B$10:$B$2009,AB91)))</f>
        <v/>
      </c>
      <c r="AQ91" s="17">
        <f>IF(AH91=0,"",IF(INDEX(Valores!$B$10:$B$509,AH91)="","",IF(ISNUMBER(INDEX(Valores!$B$10:$B$509,AH91)),INDEX(Valores!$B$10:$B$509,AH91),"")))</f>
        <v>8278.27</v>
      </c>
      <c r="AR91" s="14" t="str">
        <f t="shared" si="14"/>
        <v/>
      </c>
      <c r="AS91" s="14" t="str">
        <f t="shared" si="15"/>
        <v>P:0012596-61.2015.5.18.0261</v>
      </c>
      <c r="AT91" s="27" t="s">
        <v>680</v>
      </c>
      <c r="AU91" s="31" t="s">
        <v>675</v>
      </c>
      <c r="AV91" s="31"/>
      <c r="AW91" s="27" t="s">
        <v>642</v>
      </c>
      <c r="AX91" s="27"/>
      <c r="AY91" s="27"/>
      <c r="AZ91" s="27"/>
      <c r="BA91" s="30" t="str">
        <f t="shared" si="16"/>
        <v>0012596-61.2015.5.18.0261</v>
      </c>
      <c r="BB91" s="30" t="str">
        <f t="shared" si="17"/>
        <v/>
      </c>
      <c r="BC91" s="30">
        <f>IF(X91=0,0,IF(COUNTIFS($X$10:X91,1,$BA$10:BA91,BA91)=1,1,0))</f>
        <v>1</v>
      </c>
      <c r="BD91" s="29">
        <v>45653</v>
      </c>
    </row>
    <row r="92" spans="1:56" ht="42" customHeight="1">
      <c r="A92" s="41" t="s">
        <v>681</v>
      </c>
      <c r="B92" s="44" t="s">
        <v>161</v>
      </c>
      <c r="C92" s="44" t="s">
        <v>300</v>
      </c>
      <c r="D92" s="44" t="s">
        <v>163</v>
      </c>
      <c r="E92" s="44"/>
      <c r="F92" s="44" t="s">
        <v>182</v>
      </c>
      <c r="G92" s="44" t="s">
        <v>164</v>
      </c>
      <c r="H92" s="44" t="s">
        <v>682</v>
      </c>
      <c r="I92" s="44" t="s">
        <v>683</v>
      </c>
      <c r="J92" s="44" t="s">
        <v>684</v>
      </c>
      <c r="K92" s="44" t="s">
        <v>178</v>
      </c>
      <c r="L92" s="49">
        <v>43391</v>
      </c>
      <c r="M92" s="48" t="s">
        <v>685</v>
      </c>
      <c r="N92" s="48" t="s">
        <v>376</v>
      </c>
      <c r="O92" s="48"/>
      <c r="P92" s="48"/>
      <c r="Q92" s="48" t="s">
        <v>377</v>
      </c>
      <c r="R92" s="48"/>
      <c r="S92" s="49"/>
      <c r="T92" s="48"/>
      <c r="U92" s="48" t="s">
        <v>686</v>
      </c>
      <c r="V92" s="14">
        <f t="shared" si="9"/>
        <v>1</v>
      </c>
      <c r="W92" s="14">
        <f t="shared" si="10"/>
        <v>1</v>
      </c>
      <c r="X92" s="14">
        <f>IF(AND(V92=1,OR(Painel!$C$6="Todos",D92=Painel!$C$6),AND(OR(Painel!$L$6="Todas",E92=Painel!$L$6),OR(Painel!$C$8="Todos",F92=Painel!$C$8),OR(Painel!$L$8="Todos",G92=Painel!$L$8),OR(Painel!$C$10="",ISNUMBER(SEARCH(SUBSTITUTE(SUBSTITUTE(SUBSTITUTE(Painel!$C$10,"~","~~"),"*","~*"),"?","~?"),A92&amp;" "&amp;H92&amp;" "&amp;I92))))),1,0)</f>
        <v>1</v>
      </c>
      <c r="Y92" s="14">
        <f t="shared" si="11"/>
        <v>0</v>
      </c>
      <c r="Z92" s="15">
        <f>IF(V92=0,"",IF(COUNTIFS(Andamentos!$K$10:$K$2009,"="&amp;SUBSTITUTE(SUBSTITUTE(SUBSTITUTE("P:"&amp;A92,"~","~~"),"*","~*"),"?","~?"),Andamentos!$G$10:$G$2009,1)=0,"",_xlfn.AGGREGATE(14,6,Andamentos!$D$10:$D$2009/((Andamentos!$K$10:$K$2009=AS92)*(Andamentos!$G$10:$G$2009=1)),1)))</f>
        <v>46280</v>
      </c>
      <c r="AA92" s="14">
        <f>IF(Z92="",0,COUNTIFS(Andamentos!$K$10:$K$2009,"="&amp;SUBSTITUTE(SUBSTITUTE(SUBSTITUTE("P:"&amp;A92,"~","~~"),"*","~*"),"?","~?"),Andamentos!$D$10:$D$2009,Z92,Andamentos!$G$10:$G$2009,1))</f>
        <v>1</v>
      </c>
      <c r="AB92" s="14">
        <f>IF(AA92=1,SUMIFS(Andamentos!$L$10:$L$2009,Andamentos!$K$10:$K$2009,"="&amp;SUBSTITUTE(SUBSTITUTE(SUBSTITUTE(AS92,"~","~~"),"*","~*"),"?","~?"),Andamentos!$D$10:$D$2009,Z92,Andamentos!$G$10:$G$2009,1)-9,0)</f>
        <v>83</v>
      </c>
      <c r="AC92" s="14" t="str">
        <f>IF(V92=0,"",IF(AA92&gt;1,"Conferir recebimentos empatados",IF(AB92=0,"Sem atualização",INDEX(Andamentos!$C$10:$C$2009,AB92))))</f>
        <v>15/09/2026 - Intimação sobre informação de prosseguimento da execução em desfavor da VALEC, R$ 30.000,00 [...] histórico completo em Observações</v>
      </c>
      <c r="AD92" s="14">
        <f ca="1">IF(W92=0,0,IF(MAX(Z92,BD92)=0,1,IF(Configurar!$J$12-INT(MAX(Z92,BD92))&gt;Configurar!$J$11,1,0)))</f>
        <v>1</v>
      </c>
      <c r="AE92" s="16"/>
      <c r="AF92" s="14"/>
      <c r="AG92" s="14"/>
      <c r="AH92" s="14">
        <f>IF(AND(V92=1,COUNTIFS(Valores!$S$10:$S$509,"="&amp;SUBSTITUTE(SUBSTITUTE(SUBSTITUTE("P:"&amp;A92,"~","~~"),"*","~*"),"?","~?"))=1),(IF(ISNA(MATCH(SUBSTITUTE(SUBSTITUTE(SUBSTITUTE("P:"&amp;A92,"~","~~"),"*","~*"),"?","~?"),Valores!$S$10:$S$509,0)),9,INDEX(Valores!$R$10:$R$509,MATCH(SUBSTITUTE(SUBSTITUTE(SUBSTITUTE("P:"&amp;A92,"~","~~"),"*","~*"),"?","~?"),Valores!$S$10:$S$509,0)))-9),0)</f>
        <v>83</v>
      </c>
      <c r="AI92" s="40" t="str">
        <f t="shared" si="12"/>
        <v>Informe a empresa responsável</v>
      </c>
      <c r="AJ92" s="14" t="str">
        <f>IF(AND(X92=1,Y92=1),COUNTIFS($X$10:X92,1,$Y$10:Y92,1),"")</f>
        <v/>
      </c>
      <c r="AK92" s="14">
        <f>IF(X92=1,COUNTIFS($X$10:X92,1),"")</f>
        <v>83</v>
      </c>
      <c r="AL92" s="14">
        <f>IF(AND(V92=1,AND(OR(Painel!$L$6="Todas",E92=Painel!$L$6),OR(Painel!$C$8="Todos",F92=Painel!$C$8),OR(Painel!$L$8="Todos",G92=Painel!$L$8),OR(Painel!$C$10="",ISNUMBER(SEARCH(SUBSTITUTE(SUBSTITUTE(SUBSTITUTE(Painel!$C$10,"~","~~"),"*","~*"),"?","~?"),A92&amp;" "&amp;H92&amp;" "&amp;I92))))),1,0)</f>
        <v>1</v>
      </c>
      <c r="AM92" s="14">
        <f t="shared" si="13"/>
        <v>92</v>
      </c>
      <c r="AN92" s="14"/>
      <c r="AO92" s="14"/>
      <c r="AP92" s="16">
        <f>IF(AB92=0,"",IF(INDEX(Andamentos!$B$10:$B$2009,AB92)="","",INDEX(Andamentos!$B$10:$B$2009,AB92)))</f>
        <v>46280</v>
      </c>
      <c r="AQ92" s="17">
        <f>IF(AH92=0,"",IF(INDEX(Valores!$B$10:$B$509,AH92)="","",IF(ISNUMBER(INDEX(Valores!$B$10:$B$509,AH92)),INDEX(Valores!$B$10:$B$509,AH92),"")))</f>
        <v>11676.1</v>
      </c>
      <c r="AR92" s="14" t="str">
        <f t="shared" si="14"/>
        <v/>
      </c>
      <c r="AS92" s="14" t="str">
        <f t="shared" si="15"/>
        <v>P:0010756-19.2018.5.18.0129</v>
      </c>
      <c r="AT92" s="27" t="s">
        <v>687</v>
      </c>
      <c r="AU92" s="31" t="s">
        <v>681</v>
      </c>
      <c r="AV92" s="31"/>
      <c r="AW92" s="27" t="s">
        <v>642</v>
      </c>
      <c r="AX92" s="27" t="s">
        <v>688</v>
      </c>
      <c r="AY92" s="27"/>
      <c r="AZ92" s="27"/>
      <c r="BA92" s="30" t="str">
        <f t="shared" si="16"/>
        <v>0010756-19.2018.5.18.0129</v>
      </c>
      <c r="BB92" s="30" t="str">
        <f t="shared" si="17"/>
        <v/>
      </c>
      <c r="BC92" s="30">
        <f>IF(X92=0,0,IF(COUNTIFS($X$10:X92,1,$BA$10:BA92,BA92)=1,1,0))</f>
        <v>1</v>
      </c>
      <c r="BD92" s="29">
        <v>46280</v>
      </c>
    </row>
    <row r="93" spans="1:56" ht="42" customHeight="1">
      <c r="A93" s="41" t="s">
        <v>689</v>
      </c>
      <c r="B93" s="44" t="s">
        <v>161</v>
      </c>
      <c r="C93" s="44" t="s">
        <v>316</v>
      </c>
      <c r="D93" s="44" t="s">
        <v>163</v>
      </c>
      <c r="E93" s="44"/>
      <c r="F93" s="44" t="s">
        <v>206</v>
      </c>
      <c r="G93" s="44" t="s">
        <v>164</v>
      </c>
      <c r="H93" s="44" t="s">
        <v>690</v>
      </c>
      <c r="I93" s="44" t="s">
        <v>691</v>
      </c>
      <c r="J93" s="44" t="s">
        <v>692</v>
      </c>
      <c r="K93" s="44" t="s">
        <v>178</v>
      </c>
      <c r="L93" s="49"/>
      <c r="M93" s="48" t="s">
        <v>693</v>
      </c>
      <c r="N93" s="48" t="s">
        <v>376</v>
      </c>
      <c r="O93" s="48"/>
      <c r="P93" s="48"/>
      <c r="Q93" s="48" t="s">
        <v>377</v>
      </c>
      <c r="R93" s="48"/>
      <c r="S93" s="49"/>
      <c r="T93" s="48"/>
      <c r="U93" s="48" t="s">
        <v>694</v>
      </c>
      <c r="V93" s="14">
        <f t="shared" si="9"/>
        <v>1</v>
      </c>
      <c r="W93" s="14">
        <f t="shared" si="10"/>
        <v>1</v>
      </c>
      <c r="X93" s="14">
        <f>IF(AND(V93=1,OR(Painel!$C$6="Todos",D93=Painel!$C$6),AND(OR(Painel!$L$6="Todas",E93=Painel!$L$6),OR(Painel!$C$8="Todos",F93=Painel!$C$8),OR(Painel!$L$8="Todos",G93=Painel!$L$8),OR(Painel!$C$10="",ISNUMBER(SEARCH(SUBSTITUTE(SUBSTITUTE(SUBSTITUTE(Painel!$C$10,"~","~~"),"*","~*"),"?","~?"),A93&amp;" "&amp;H93&amp;" "&amp;I93))))),1,0)</f>
        <v>1</v>
      </c>
      <c r="Y93" s="14">
        <f t="shared" si="11"/>
        <v>0</v>
      </c>
      <c r="Z93" s="15">
        <f>IF(V93=0,"",IF(COUNTIFS(Andamentos!$K$10:$K$2009,"="&amp;SUBSTITUTE(SUBSTITUTE(SUBSTITUTE("P:"&amp;A93,"~","~~"),"*","~*"),"?","~?"),Andamentos!$G$10:$G$2009,1)=0,"",_xlfn.AGGREGATE(14,6,Andamentos!$D$10:$D$2009/((Andamentos!$K$10:$K$2009=AS93)*(Andamentos!$G$10:$G$2009=1)),1)))</f>
        <v>46059</v>
      </c>
      <c r="AA93" s="14">
        <f>IF(Z93="",0,COUNTIFS(Andamentos!$K$10:$K$2009,"="&amp;SUBSTITUTE(SUBSTITUTE(SUBSTITUTE("P:"&amp;A93,"~","~~"),"*","~*"),"?","~?"),Andamentos!$D$10:$D$2009,Z93,Andamentos!$G$10:$G$2009,1))</f>
        <v>1</v>
      </c>
      <c r="AB93" s="14">
        <f>IF(AA93=1,SUMIFS(Andamentos!$L$10:$L$2009,Andamentos!$K$10:$K$2009,"="&amp;SUBSTITUTE(SUBSTITUTE(SUBSTITUTE(AS93,"~","~~"),"*","~*"),"?","~?"),Andamentos!$D$10:$D$2009,Z93,Andamentos!$G$10:$G$2009,1)-9,0)</f>
        <v>84</v>
      </c>
      <c r="AC93" s="14" t="str">
        <f>IF(V93=0,"",IF(AA93&gt;1,"Conferir recebimentos empatados",IF(AB93=0,"Sem atualização",INDEX(Andamentos!$C$10:$C$2009,AB93))))</f>
        <v>06/02/2026 - Suspenso por execução frustrada. [...] histórico completo em Observações</v>
      </c>
      <c r="AD93" s="14">
        <f ca="1">IF(W93=0,0,IF(MAX(Z93,BD93)=0,1,IF(Configurar!$J$12-INT(MAX(Z93,BD93))&gt;Configurar!$J$11,1,0)))</f>
        <v>1</v>
      </c>
      <c r="AE93" s="16"/>
      <c r="AF93" s="14"/>
      <c r="AG93" s="14"/>
      <c r="AH93" s="14">
        <f>IF(AND(V93=1,COUNTIFS(Valores!$S$10:$S$509,"="&amp;SUBSTITUTE(SUBSTITUTE(SUBSTITUTE("P:"&amp;A93,"~","~~"),"*","~*"),"?","~?"))=1),(IF(ISNA(MATCH(SUBSTITUTE(SUBSTITUTE(SUBSTITUTE("P:"&amp;A93,"~","~~"),"*","~*"),"?","~?"),Valores!$S$10:$S$509,0)),9,INDEX(Valores!$R$10:$R$509,MATCH(SUBSTITUTE(SUBSTITUTE(SUBSTITUTE("P:"&amp;A93,"~","~~"),"*","~*"),"?","~?"),Valores!$S$10:$S$509,0)))-9),0)</f>
        <v>84</v>
      </c>
      <c r="AI93" s="40" t="str">
        <f t="shared" si="12"/>
        <v>Informe a empresa responsável</v>
      </c>
      <c r="AJ93" s="14" t="str">
        <f>IF(AND(X93=1,Y93=1),COUNTIFS($X$10:X93,1,$Y$10:Y93,1),"")</f>
        <v/>
      </c>
      <c r="AK93" s="14">
        <f>IF(X93=1,COUNTIFS($X$10:X93,1),"")</f>
        <v>84</v>
      </c>
      <c r="AL93" s="14">
        <f>IF(AND(V93=1,AND(OR(Painel!$L$6="Todas",E93=Painel!$L$6),OR(Painel!$C$8="Todos",F93=Painel!$C$8),OR(Painel!$L$8="Todos",G93=Painel!$L$8),OR(Painel!$C$10="",ISNUMBER(SEARCH(SUBSTITUTE(SUBSTITUTE(SUBSTITUTE(Painel!$C$10,"~","~~"),"*","~*"),"?","~?"),A93&amp;" "&amp;H93&amp;" "&amp;I93))))),1,0)</f>
        <v>1</v>
      </c>
      <c r="AM93" s="14">
        <f t="shared" si="13"/>
        <v>93</v>
      </c>
      <c r="AN93" s="14"/>
      <c r="AO93" s="14"/>
      <c r="AP93" s="16">
        <f>IF(AB93=0,"",IF(INDEX(Andamentos!$B$10:$B$2009,AB93)="","",INDEX(Andamentos!$B$10:$B$2009,AB93)))</f>
        <v>46059</v>
      </c>
      <c r="AQ93" s="17">
        <f>IF(AH93=0,"",IF(INDEX(Valores!$B$10:$B$509,AH93)="","",IF(ISNUMBER(INDEX(Valores!$B$10:$B$509,AH93)),INDEX(Valores!$B$10:$B$509,AH93),"")))</f>
        <v>691268.27</v>
      </c>
      <c r="AR93" s="14" t="str">
        <f t="shared" si="14"/>
        <v/>
      </c>
      <c r="AS93" s="14" t="str">
        <f t="shared" si="15"/>
        <v>P:0010522-50.2020.5.18.0102</v>
      </c>
      <c r="AT93" s="27" t="s">
        <v>695</v>
      </c>
      <c r="AU93" s="31" t="s">
        <v>689</v>
      </c>
      <c r="AV93" s="31"/>
      <c r="AW93" s="27" t="s">
        <v>642</v>
      </c>
      <c r="AX93" s="27"/>
      <c r="AY93" s="27"/>
      <c r="AZ93" s="27"/>
      <c r="BA93" s="30" t="str">
        <f t="shared" si="16"/>
        <v>0010522-50.2020.5.18.0102</v>
      </c>
      <c r="BB93" s="30" t="str">
        <f t="shared" si="17"/>
        <v/>
      </c>
      <c r="BC93" s="30">
        <f>IF(X93=0,0,IF(COUNTIFS($X$10:X93,1,$BA$10:BA93,BA93)=1,1,0))</f>
        <v>1</v>
      </c>
      <c r="BD93" s="29">
        <v>46059</v>
      </c>
    </row>
    <row r="94" spans="1:56" ht="42" customHeight="1">
      <c r="A94" s="41" t="s">
        <v>696</v>
      </c>
      <c r="B94" s="44" t="s">
        <v>161</v>
      </c>
      <c r="C94" s="44" t="s">
        <v>300</v>
      </c>
      <c r="D94" s="44" t="s">
        <v>163</v>
      </c>
      <c r="E94" s="44"/>
      <c r="F94" s="44" t="s">
        <v>182</v>
      </c>
      <c r="G94" s="44" t="s">
        <v>164</v>
      </c>
      <c r="H94" s="44" t="s">
        <v>697</v>
      </c>
      <c r="I94" s="44" t="s">
        <v>698</v>
      </c>
      <c r="J94" s="44" t="s">
        <v>461</v>
      </c>
      <c r="K94" s="44" t="s">
        <v>178</v>
      </c>
      <c r="L94" s="49"/>
      <c r="M94" s="48" t="s">
        <v>699</v>
      </c>
      <c r="N94" s="48" t="s">
        <v>484</v>
      </c>
      <c r="O94" s="48"/>
      <c r="P94" s="48"/>
      <c r="Q94" s="48" t="s">
        <v>377</v>
      </c>
      <c r="R94" s="48"/>
      <c r="S94" s="49"/>
      <c r="T94" s="48"/>
      <c r="U94" s="48" t="s">
        <v>700</v>
      </c>
      <c r="V94" s="14">
        <f t="shared" si="9"/>
        <v>1</v>
      </c>
      <c r="W94" s="14">
        <f t="shared" si="10"/>
        <v>1</v>
      </c>
      <c r="X94" s="14">
        <f>IF(AND(V94=1,OR(Painel!$C$6="Todos",D94=Painel!$C$6),AND(OR(Painel!$L$6="Todas",E94=Painel!$L$6),OR(Painel!$C$8="Todos",F94=Painel!$C$8),OR(Painel!$L$8="Todos",G94=Painel!$L$8),OR(Painel!$C$10="",ISNUMBER(SEARCH(SUBSTITUTE(SUBSTITUTE(SUBSTITUTE(Painel!$C$10,"~","~~"),"*","~*"),"?","~?"),A94&amp;" "&amp;H94&amp;" "&amp;I94))))),1,0)</f>
        <v>1</v>
      </c>
      <c r="Y94" s="14">
        <f t="shared" si="11"/>
        <v>1</v>
      </c>
      <c r="Z94" s="15">
        <f>IF(V94=0,"",IF(COUNTIFS(Andamentos!$K$10:$K$2009,"="&amp;SUBSTITUTE(SUBSTITUTE(SUBSTITUTE("P:"&amp;A94,"~","~~"),"*","~*"),"?","~?"),Andamentos!$G$10:$G$2009,1)=0,"",_xlfn.AGGREGATE(14,6,Andamentos!$D$10:$D$2009/((Andamentos!$K$10:$K$2009=AS94)*(Andamentos!$G$10:$G$2009=1)),1)))</f>
        <v>46055</v>
      </c>
      <c r="AA94" s="14">
        <f>IF(Z94="",0,COUNTIFS(Andamentos!$K$10:$K$2009,"="&amp;SUBSTITUTE(SUBSTITUTE(SUBSTITUTE("P:"&amp;A94,"~","~~"),"*","~*"),"?","~?"),Andamentos!$D$10:$D$2009,Z94,Andamentos!$G$10:$G$2009,1))</f>
        <v>1</v>
      </c>
      <c r="AB94" s="14">
        <f>IF(AA94=1,SUMIFS(Andamentos!$L$10:$L$2009,Andamentos!$K$10:$K$2009,"="&amp;SUBSTITUTE(SUBSTITUTE(SUBSTITUTE(AS94,"~","~~"),"*","~*"),"?","~?"),Andamentos!$D$10:$D$2009,Z94,Andamentos!$G$10:$G$2009,1)-9,0)</f>
        <v>85</v>
      </c>
      <c r="AC94" s="14" t="str">
        <f>IF(V94=0,"",IF(AA94&gt;1,"Conferir recebimentos empatados",IF(AB94=0,"Sem atualização",INDEX(Andamentos!$C$10:$C$2009,AB94))))</f>
        <v>25/02/2022 - Agravo interno da Alta. [...] histórico completo em Observações</v>
      </c>
      <c r="AD94" s="14">
        <f ca="1">IF(W94=0,0,IF(MAX(Z94,BD94)=0,1,IF(Configurar!$J$12-INT(MAX(Z94,BD94))&gt;Configurar!$J$11,1,0)))</f>
        <v>1</v>
      </c>
      <c r="AE94" s="16"/>
      <c r="AF94" s="14"/>
      <c r="AG94" s="14"/>
      <c r="AH94" s="14">
        <f>IF(AND(V94=1,COUNTIFS(Valores!$S$10:$S$509,"="&amp;SUBSTITUTE(SUBSTITUTE(SUBSTITUTE("P:"&amp;A94,"~","~~"),"*","~*"),"?","~?"))=1),(IF(ISNA(MATCH(SUBSTITUTE(SUBSTITUTE(SUBSTITUTE("P:"&amp;A94,"~","~~"),"*","~*"),"?","~?"),Valores!$S$10:$S$509,0)),9,INDEX(Valores!$R$10:$R$509,MATCH(SUBSTITUTE(SUBSTITUTE(SUBSTITUTE("P:"&amp;A94,"~","~~"),"*","~*"),"?","~?"),Valores!$S$10:$S$509,0)))-9),0)</f>
        <v>85</v>
      </c>
      <c r="AI94" s="40" t="str">
        <f t="shared" si="12"/>
        <v>Informe a empresa responsável</v>
      </c>
      <c r="AJ94" s="14">
        <f>IF(AND(X94=1,Y94=1),COUNTIFS($X$10:X94,1,$Y$10:Y94,1),"")</f>
        <v>5</v>
      </c>
      <c r="AK94" s="14">
        <f>IF(X94=1,COUNTIFS($X$10:X94,1),"")</f>
        <v>85</v>
      </c>
      <c r="AL94" s="14">
        <f>IF(AND(V94=1,AND(OR(Painel!$L$6="Todas",E94=Painel!$L$6),OR(Painel!$C$8="Todos",F94=Painel!$C$8),OR(Painel!$L$8="Todos",G94=Painel!$L$8),OR(Painel!$C$10="",ISNUMBER(SEARCH(SUBSTITUTE(SUBSTITUTE(SUBSTITUTE(Painel!$C$10,"~","~~"),"*","~*"),"?","~?"),A94&amp;" "&amp;H94&amp;" "&amp;I94))))),1,0)</f>
        <v>1</v>
      </c>
      <c r="AM94" s="14">
        <f t="shared" si="13"/>
        <v>94</v>
      </c>
      <c r="AN94" s="14"/>
      <c r="AO94" s="14"/>
      <c r="AP94" s="16">
        <f>IF(AB94=0,"",IF(INDEX(Andamentos!$B$10:$B$2009,AB94)="","",INDEX(Andamentos!$B$10:$B$2009,AB94)))</f>
        <v>44617</v>
      </c>
      <c r="AQ94" s="17">
        <f>IF(AH94=0,"",IF(INDEX(Valores!$B$10:$B$509,AH94)="","",IF(ISNUMBER(INDEX(Valores!$B$10:$B$509,AH94)),INDEX(Valores!$B$10:$B$509,AH94),"")))</f>
        <v>2018074.76</v>
      </c>
      <c r="AR94" s="14" t="str">
        <f t="shared" si="14"/>
        <v>Prioridade crítica. Criticidade herdada da planilha de origem; validar. Não confirma bloqueio/penhora vigente.</v>
      </c>
      <c r="AS94" s="14" t="str">
        <f t="shared" si="15"/>
        <v>P:0010993-94.2019.5.18.0104</v>
      </c>
      <c r="AT94" s="27" t="s">
        <v>701</v>
      </c>
      <c r="AU94" s="31" t="s">
        <v>696</v>
      </c>
      <c r="AV94" s="31"/>
      <c r="AW94" s="27" t="s">
        <v>642</v>
      </c>
      <c r="AX94" s="27" t="s">
        <v>380</v>
      </c>
      <c r="AY94" s="27"/>
      <c r="AZ94" s="27"/>
      <c r="BA94" s="30" t="str">
        <f t="shared" si="16"/>
        <v>0010993-94.2019.5.18.0104</v>
      </c>
      <c r="BB94" s="30" t="str">
        <f t="shared" si="17"/>
        <v/>
      </c>
      <c r="BC94" s="30">
        <f>IF(X94=0,0,IF(COUNTIFS($X$10:X94,1,$BA$10:BA94,BA94)=1,1,0))</f>
        <v>1</v>
      </c>
      <c r="BD94" s="29">
        <v>46055</v>
      </c>
    </row>
    <row r="95" spans="1:56" ht="42" customHeight="1">
      <c r="A95" s="41" t="s">
        <v>702</v>
      </c>
      <c r="B95" s="44" t="s">
        <v>161</v>
      </c>
      <c r="C95" s="44" t="s">
        <v>300</v>
      </c>
      <c r="D95" s="44" t="s">
        <v>163</v>
      </c>
      <c r="E95" s="44"/>
      <c r="F95" s="44" t="s">
        <v>206</v>
      </c>
      <c r="G95" s="44" t="s">
        <v>164</v>
      </c>
      <c r="H95" s="44" t="s">
        <v>703</v>
      </c>
      <c r="I95" s="44" t="s">
        <v>704</v>
      </c>
      <c r="J95" s="44" t="s">
        <v>705</v>
      </c>
      <c r="K95" s="44" t="s">
        <v>706</v>
      </c>
      <c r="L95" s="49"/>
      <c r="M95" s="48" t="s">
        <v>707</v>
      </c>
      <c r="N95" s="48" t="s">
        <v>170</v>
      </c>
      <c r="O95" s="48"/>
      <c r="P95" s="48"/>
      <c r="Q95" s="48"/>
      <c r="R95" s="48"/>
      <c r="S95" s="49"/>
      <c r="T95" s="48"/>
      <c r="U95" s="48" t="s">
        <v>708</v>
      </c>
      <c r="V95" s="14">
        <f t="shared" si="9"/>
        <v>1</v>
      </c>
      <c r="W95" s="14">
        <f t="shared" si="10"/>
        <v>1</v>
      </c>
      <c r="X95" s="14">
        <f>IF(AND(V95=1,OR(Painel!$C$6="Todos",D95=Painel!$C$6),AND(OR(Painel!$L$6="Todas",E95=Painel!$L$6),OR(Painel!$C$8="Todos",F95=Painel!$C$8),OR(Painel!$L$8="Todos",G95=Painel!$L$8),OR(Painel!$C$10="",ISNUMBER(SEARCH(SUBSTITUTE(SUBSTITUTE(SUBSTITUTE(Painel!$C$10,"~","~~"),"*","~*"),"?","~?"),A95&amp;" "&amp;H95&amp;" "&amp;I95))))),1,0)</f>
        <v>1</v>
      </c>
      <c r="Y95" s="14">
        <f t="shared" si="11"/>
        <v>0</v>
      </c>
      <c r="Z95" s="15">
        <f>IF(V95=0,"",IF(COUNTIFS(Andamentos!$K$10:$K$2009,"="&amp;SUBSTITUTE(SUBSTITUTE(SUBSTITUTE("P:"&amp;A95,"~","~~"),"*","~*"),"?","~?"),Andamentos!$G$10:$G$2009,1)=0,"",_xlfn.AGGREGATE(14,6,Andamentos!$D$10:$D$2009/((Andamentos!$K$10:$K$2009=AS95)*(Andamentos!$G$10:$G$2009=1)),1)))</f>
        <v>46059</v>
      </c>
      <c r="AA95" s="14">
        <f>IF(Z95="",0,COUNTIFS(Andamentos!$K$10:$K$2009,"="&amp;SUBSTITUTE(SUBSTITUTE(SUBSTITUTE("P:"&amp;A95,"~","~~"),"*","~*"),"?","~?"),Andamentos!$D$10:$D$2009,Z95,Andamentos!$G$10:$G$2009,1))</f>
        <v>1</v>
      </c>
      <c r="AB95" s="14">
        <f>IF(AA95=1,SUMIFS(Andamentos!$L$10:$L$2009,Andamentos!$K$10:$K$2009,"="&amp;SUBSTITUTE(SUBSTITUTE(SUBSTITUTE(AS95,"~","~~"),"*","~*"),"?","~?"),Andamentos!$D$10:$D$2009,Z95,Andamentos!$G$10:$G$2009,1)-9,0)</f>
        <v>86</v>
      </c>
      <c r="AC95" s="14" t="str">
        <f>IF(V95=0,"",IF(AA95&gt;1,"Conferir recebimentos empatados",IF(AB95=0,"Sem atualização",INDEX(Andamentos!$C$10:$C$2009,AB95))))</f>
        <v>06/02/2026 - Intimado a parte autora para apresenter cálculos [...] histórico completo em Observações</v>
      </c>
      <c r="AD95" s="14">
        <f ca="1">IF(W95=0,0,IF(MAX(Z95,BD95)=0,1,IF(Configurar!$J$12-INT(MAX(Z95,BD95))&gt;Configurar!$J$11,1,0)))</f>
        <v>1</v>
      </c>
      <c r="AE95" s="16"/>
      <c r="AF95" s="14"/>
      <c r="AG95" s="14"/>
      <c r="AH95" s="14">
        <f>IF(AND(V95=1,COUNTIFS(Valores!$S$10:$S$509,"="&amp;SUBSTITUTE(SUBSTITUTE(SUBSTITUTE("P:"&amp;A95,"~","~~"),"*","~*"),"?","~?"))=1),(IF(ISNA(MATCH(SUBSTITUTE(SUBSTITUTE(SUBSTITUTE("P:"&amp;A95,"~","~~"),"*","~*"),"?","~?"),Valores!$S$10:$S$509,0)),9,INDEX(Valores!$R$10:$R$509,MATCH(SUBSTITUTE(SUBSTITUTE(SUBSTITUTE("P:"&amp;A95,"~","~~"),"*","~*"),"?","~?"),Valores!$S$10:$S$509,0)))-9),0)</f>
        <v>86</v>
      </c>
      <c r="AI95" s="40" t="str">
        <f t="shared" si="12"/>
        <v>Informe a empresa responsável</v>
      </c>
      <c r="AJ95" s="14" t="str">
        <f>IF(AND(X95=1,Y95=1),COUNTIFS($X$10:X95,1,$Y$10:Y95,1),"")</f>
        <v/>
      </c>
      <c r="AK95" s="14">
        <f>IF(X95=1,COUNTIFS($X$10:X95,1),"")</f>
        <v>86</v>
      </c>
      <c r="AL95" s="14">
        <f>IF(AND(V95=1,AND(OR(Painel!$L$6="Todas",E95=Painel!$L$6),OR(Painel!$C$8="Todos",F95=Painel!$C$8),OR(Painel!$L$8="Todos",G95=Painel!$L$8),OR(Painel!$C$10="",ISNUMBER(SEARCH(SUBSTITUTE(SUBSTITUTE(SUBSTITUTE(Painel!$C$10,"~","~~"),"*","~*"),"?","~?"),A95&amp;" "&amp;H95&amp;" "&amp;I95))))),1,0)</f>
        <v>1</v>
      </c>
      <c r="AM95" s="14">
        <f t="shared" si="13"/>
        <v>95</v>
      </c>
      <c r="AN95" s="14"/>
      <c r="AO95" s="14"/>
      <c r="AP95" s="16">
        <f>IF(AB95=0,"",IF(INDEX(Andamentos!$B$10:$B$2009,AB95)="","",INDEX(Andamentos!$B$10:$B$2009,AB95)))</f>
        <v>46059</v>
      </c>
      <c r="AQ95" s="17">
        <f>IF(AH95=0,"",IF(INDEX(Valores!$B$10:$B$509,AH95)="","",IF(ISNUMBER(INDEX(Valores!$B$10:$B$509,AH95)),INDEX(Valores!$B$10:$B$509,AH95),"")))</f>
        <v>73704.320000000007</v>
      </c>
      <c r="AR95" s="14" t="str">
        <f t="shared" si="14"/>
        <v/>
      </c>
      <c r="AS95" s="14" t="str">
        <f t="shared" si="15"/>
        <v>P:1000876-51.2020.5.02.0261</v>
      </c>
      <c r="AT95" s="27" t="s">
        <v>709</v>
      </c>
      <c r="AU95" s="31" t="s">
        <v>702</v>
      </c>
      <c r="AV95" s="31"/>
      <c r="AW95" s="27" t="s">
        <v>642</v>
      </c>
      <c r="AX95" s="27" t="s">
        <v>246</v>
      </c>
      <c r="AY95" s="27"/>
      <c r="AZ95" s="27"/>
      <c r="BA95" s="30" t="str">
        <f t="shared" si="16"/>
        <v>1000876-51.2020.5.02.0261</v>
      </c>
      <c r="BB95" s="30" t="str">
        <f t="shared" si="17"/>
        <v/>
      </c>
      <c r="BC95" s="30">
        <f>IF(X95=0,0,IF(COUNTIFS($X$10:X95,1,$BA$10:BA95,BA95)=1,1,0))</f>
        <v>1</v>
      </c>
      <c r="BD95" s="29">
        <v>46059</v>
      </c>
    </row>
    <row r="96" spans="1:56" ht="42" customHeight="1">
      <c r="A96" s="41" t="s">
        <v>710</v>
      </c>
      <c r="B96" s="44" t="s">
        <v>161</v>
      </c>
      <c r="C96" s="44" t="s">
        <v>300</v>
      </c>
      <c r="D96" s="44" t="s">
        <v>163</v>
      </c>
      <c r="E96" s="44"/>
      <c r="F96" s="44" t="s">
        <v>182</v>
      </c>
      <c r="G96" s="44" t="s">
        <v>164</v>
      </c>
      <c r="H96" s="44" t="s">
        <v>697</v>
      </c>
      <c r="I96" s="44" t="s">
        <v>711</v>
      </c>
      <c r="J96" s="44" t="s">
        <v>461</v>
      </c>
      <c r="K96" s="44" t="s">
        <v>178</v>
      </c>
      <c r="L96" s="49"/>
      <c r="M96" s="48" t="s">
        <v>712</v>
      </c>
      <c r="N96" s="48" t="s">
        <v>484</v>
      </c>
      <c r="O96" s="48"/>
      <c r="P96" s="48"/>
      <c r="Q96" s="48" t="s">
        <v>377</v>
      </c>
      <c r="R96" s="48"/>
      <c r="S96" s="49"/>
      <c r="T96" s="48"/>
      <c r="U96" s="48" t="s">
        <v>713</v>
      </c>
      <c r="V96" s="14">
        <f t="shared" si="9"/>
        <v>1</v>
      </c>
      <c r="W96" s="14">
        <f t="shared" si="10"/>
        <v>1</v>
      </c>
      <c r="X96" s="14">
        <f>IF(AND(V96=1,OR(Painel!$C$6="Todos",D96=Painel!$C$6),AND(OR(Painel!$L$6="Todas",E96=Painel!$L$6),OR(Painel!$C$8="Todos",F96=Painel!$C$8),OR(Painel!$L$8="Todos",G96=Painel!$L$8),OR(Painel!$C$10="",ISNUMBER(SEARCH(SUBSTITUTE(SUBSTITUTE(SUBSTITUTE(Painel!$C$10,"~","~~"),"*","~*"),"?","~?"),A96&amp;" "&amp;H96&amp;" "&amp;I96))))),1,0)</f>
        <v>1</v>
      </c>
      <c r="Y96" s="14">
        <f t="shared" si="11"/>
        <v>1</v>
      </c>
      <c r="Z96" s="15">
        <f>IF(V96=0,"",IF(COUNTIFS(Andamentos!$K$10:$K$2009,"="&amp;SUBSTITUTE(SUBSTITUTE(SUBSTITUTE("P:"&amp;A96,"~","~~"),"*","~*"),"?","~?"),Andamentos!$G$10:$G$2009,1)=0,"",_xlfn.AGGREGATE(14,6,Andamentos!$D$10:$D$2009/((Andamentos!$K$10:$K$2009=AS96)*(Andamentos!$G$10:$G$2009=1)),1)))</f>
        <v>46135</v>
      </c>
      <c r="AA96" s="14">
        <f>IF(Z96="",0,COUNTIFS(Andamentos!$K$10:$K$2009,"="&amp;SUBSTITUTE(SUBSTITUTE(SUBSTITUTE("P:"&amp;A96,"~","~~"),"*","~*"),"?","~?"),Andamentos!$D$10:$D$2009,Z96,Andamentos!$G$10:$G$2009,1))</f>
        <v>1</v>
      </c>
      <c r="AB96" s="14">
        <f>IF(AA96=1,SUMIFS(Andamentos!$L$10:$L$2009,Andamentos!$K$10:$K$2009,"="&amp;SUBSTITUTE(SUBSTITUTE(SUBSTITUTE(AS96,"~","~~"),"*","~*"),"?","~?"),Andamentos!$D$10:$D$2009,Z96,Andamentos!$G$10:$G$2009,1)-9,0)</f>
        <v>87</v>
      </c>
      <c r="AC96" s="14" t="str">
        <f>IF(V96=0,"",IF(AA96&gt;1,"Conferir recebimentos empatados",IF(AB96=0,"Sem atualização",INDEX(Andamentos!$C$10:$C$2009,AB96))))</f>
        <v>23/04/2026 - intimação para que as partes apresentem cálculos de liquidação da sentença no prazo de quinze dias [...] histórico completo em Observações</v>
      </c>
      <c r="AD96" s="14">
        <f ca="1">IF(W96=0,0,IF(MAX(Z96,BD96)=0,1,IF(Configurar!$J$12-INT(MAX(Z96,BD96))&gt;Configurar!$J$11,1,0)))</f>
        <v>1</v>
      </c>
      <c r="AE96" s="16"/>
      <c r="AF96" s="14"/>
      <c r="AG96" s="14"/>
      <c r="AH96" s="14">
        <f>IF(AND(V96=1,COUNTIFS(Valores!$S$10:$S$509,"="&amp;SUBSTITUTE(SUBSTITUTE(SUBSTITUTE("P:"&amp;A96,"~","~~"),"*","~*"),"?","~?"))=1),(IF(ISNA(MATCH(SUBSTITUTE(SUBSTITUTE(SUBSTITUTE("P:"&amp;A96,"~","~~"),"*","~*"),"?","~?"),Valores!$S$10:$S$509,0)),9,INDEX(Valores!$R$10:$R$509,MATCH(SUBSTITUTE(SUBSTITUTE(SUBSTITUTE("P:"&amp;A96,"~","~~"),"*","~*"),"?","~?"),Valores!$S$10:$S$509,0)))-9),0)</f>
        <v>87</v>
      </c>
      <c r="AI96" s="40" t="str">
        <f t="shared" si="12"/>
        <v>Informe a empresa responsável</v>
      </c>
      <c r="AJ96" s="14">
        <f>IF(AND(X96=1,Y96=1),COUNTIFS($X$10:X96,1,$Y$10:Y96,1),"")</f>
        <v>6</v>
      </c>
      <c r="AK96" s="14">
        <f>IF(X96=1,COUNTIFS($X$10:X96,1),"")</f>
        <v>87</v>
      </c>
      <c r="AL96" s="14">
        <f>IF(AND(V96=1,AND(OR(Painel!$L$6="Todas",E96=Painel!$L$6),OR(Painel!$C$8="Todos",F96=Painel!$C$8),OR(Painel!$L$8="Todos",G96=Painel!$L$8),OR(Painel!$C$10="",ISNUMBER(SEARCH(SUBSTITUTE(SUBSTITUTE(SUBSTITUTE(Painel!$C$10,"~","~~"),"*","~*"),"?","~?"),A96&amp;" "&amp;H96&amp;" "&amp;I96))))),1,0)</f>
        <v>1</v>
      </c>
      <c r="AM96" s="14">
        <f t="shared" si="13"/>
        <v>96</v>
      </c>
      <c r="AN96" s="14"/>
      <c r="AO96" s="14"/>
      <c r="AP96" s="16">
        <f>IF(AB96=0,"",IF(INDEX(Andamentos!$B$10:$B$2009,AB96)="","",INDEX(Andamentos!$B$10:$B$2009,AB96)))</f>
        <v>46135</v>
      </c>
      <c r="AQ96" s="17">
        <f>IF(AH96=0,"",IF(INDEX(Valores!$B$10:$B$509,AH96)="","",IF(ISNUMBER(INDEX(Valores!$B$10:$B$509,AH96)),INDEX(Valores!$B$10:$B$509,AH96),"")))</f>
        <v>2681428.54</v>
      </c>
      <c r="AR96" s="14" t="str">
        <f t="shared" si="14"/>
        <v>Prioridade crítica. Criticidade herdada da planilha de origem; validar. Não confirma bloqueio/penhora vigente.</v>
      </c>
      <c r="AS96" s="14" t="str">
        <f t="shared" si="15"/>
        <v>P:0010723-70.2019.5.18.0104</v>
      </c>
      <c r="AT96" s="27" t="s">
        <v>714</v>
      </c>
      <c r="AU96" s="31" t="s">
        <v>710</v>
      </c>
      <c r="AV96" s="31"/>
      <c r="AW96" s="27" t="s">
        <v>642</v>
      </c>
      <c r="AX96" s="27" t="s">
        <v>380</v>
      </c>
      <c r="AY96" s="27"/>
      <c r="AZ96" s="27"/>
      <c r="BA96" s="30" t="str">
        <f t="shared" si="16"/>
        <v>0010723-70.2019.5.18.0104</v>
      </c>
      <c r="BB96" s="30" t="str">
        <f t="shared" si="17"/>
        <v/>
      </c>
      <c r="BC96" s="30">
        <f>IF(X96=0,0,IF(COUNTIFS($X$10:X96,1,$BA$10:BA96,BA96)=1,1,0))</f>
        <v>1</v>
      </c>
      <c r="BD96" s="29">
        <v>46135</v>
      </c>
    </row>
    <row r="97" spans="1:56" ht="42" customHeight="1">
      <c r="A97" s="41" t="s">
        <v>715</v>
      </c>
      <c r="B97" s="44" t="s">
        <v>161</v>
      </c>
      <c r="C97" s="44" t="s">
        <v>162</v>
      </c>
      <c r="D97" s="44" t="s">
        <v>163</v>
      </c>
      <c r="E97" s="44"/>
      <c r="F97" s="44"/>
      <c r="G97" s="44" t="s">
        <v>164</v>
      </c>
      <c r="H97" s="44" t="s">
        <v>716</v>
      </c>
      <c r="I97" s="44" t="s">
        <v>166</v>
      </c>
      <c r="J97" s="44" t="s">
        <v>717</v>
      </c>
      <c r="K97" s="44" t="s">
        <v>178</v>
      </c>
      <c r="L97" s="49">
        <v>45688</v>
      </c>
      <c r="M97" s="48" t="s">
        <v>718</v>
      </c>
      <c r="N97" s="48" t="s">
        <v>170</v>
      </c>
      <c r="O97" s="48"/>
      <c r="P97" s="48"/>
      <c r="Q97" s="48"/>
      <c r="R97" s="48"/>
      <c r="S97" s="49"/>
      <c r="T97" s="48"/>
      <c r="U97" s="48" t="s">
        <v>719</v>
      </c>
      <c r="V97" s="14">
        <f t="shared" si="9"/>
        <v>1</v>
      </c>
      <c r="W97" s="14">
        <f t="shared" si="10"/>
        <v>0</v>
      </c>
      <c r="X97" s="14">
        <f>IF(AND(V97=1,OR(Painel!$C$6="Todos",D97=Painel!$C$6),AND(OR(Painel!$L$6="Todas",E97=Painel!$L$6),OR(Painel!$C$8="Todos",F97=Painel!$C$8),OR(Painel!$L$8="Todos",G97=Painel!$L$8),OR(Painel!$C$10="",ISNUMBER(SEARCH(SUBSTITUTE(SUBSTITUTE(SUBSTITUTE(Painel!$C$10,"~","~~"),"*","~*"),"?","~?"),A97&amp;" "&amp;H97&amp;" "&amp;I97))))),1,0)</f>
        <v>1</v>
      </c>
      <c r="Y97" s="14">
        <f t="shared" si="11"/>
        <v>0</v>
      </c>
      <c r="Z97" s="15">
        <f>IF(V97=0,"",IF(COUNTIFS(Andamentos!$K$10:$K$2009,"="&amp;SUBSTITUTE(SUBSTITUTE(SUBSTITUTE("P:"&amp;A97,"~","~~"),"*","~*"),"?","~?"),Andamentos!$G$10:$G$2009,1)=0,"",_xlfn.AGGREGATE(14,6,Andamentos!$D$10:$D$2009/((Andamentos!$K$10:$K$2009=AS97)*(Andamentos!$G$10:$G$2009=1)),1)))</f>
        <v>46055</v>
      </c>
      <c r="AA97" s="14">
        <f>IF(Z97="",0,COUNTIFS(Andamentos!$K$10:$K$2009,"="&amp;SUBSTITUTE(SUBSTITUTE(SUBSTITUTE("P:"&amp;A97,"~","~~"),"*","~*"),"?","~?"),Andamentos!$D$10:$D$2009,Z97,Andamentos!$G$10:$G$2009,1))</f>
        <v>1</v>
      </c>
      <c r="AB97" s="14">
        <f>IF(AA97=1,SUMIFS(Andamentos!$L$10:$L$2009,Andamentos!$K$10:$K$2009,"="&amp;SUBSTITUTE(SUBSTITUTE(SUBSTITUTE(AS97,"~","~~"),"*","~*"),"?","~?"),Andamentos!$D$10:$D$2009,Z97,Andamentos!$G$10:$G$2009,1)-9,0)</f>
        <v>88</v>
      </c>
      <c r="AC97" s="14" t="str">
        <f>IF(V97=0,"",IF(AA97&gt;1,"Conferir recebimentos empatados",IF(AB97=0,"Sem atualização",INDEX(Andamentos!$C$10:$C$2009,AB97))))</f>
        <v>17/06/25 - Sentença publicada. Resultado: improcedência total dos pedidos. (Aguardando eventual recurso por parte do reclamante) [...] histórico completo em Observações</v>
      </c>
      <c r="AD97" s="14">
        <f>IF(W97=0,0,IF(MAX(Z97,BD97)=0,1,IF(Configurar!$J$12-INT(MAX(Z97,BD97))&gt;Configurar!$J$11,1,0)))</f>
        <v>0</v>
      </c>
      <c r="AE97" s="16"/>
      <c r="AF97" s="14"/>
      <c r="AG97" s="14"/>
      <c r="AH97" s="14">
        <f>IF(AND(V97=1,COUNTIFS(Valores!$S$10:$S$509,"="&amp;SUBSTITUTE(SUBSTITUTE(SUBSTITUTE("P:"&amp;A97,"~","~~"),"*","~*"),"?","~?"))=1),(IF(ISNA(MATCH(SUBSTITUTE(SUBSTITUTE(SUBSTITUTE("P:"&amp;A97,"~","~~"),"*","~*"),"?","~?"),Valores!$S$10:$S$509,0)),9,INDEX(Valores!$R$10:$R$509,MATCH(SUBSTITUTE(SUBSTITUTE(SUBSTITUTE("P:"&amp;A97,"~","~~"),"*","~*"),"?","~?"),Valores!$S$10:$S$509,0)))-9),0)</f>
        <v>88</v>
      </c>
      <c r="AI97" s="40" t="str">
        <f t="shared" si="12"/>
        <v>Informe a empresa responsável</v>
      </c>
      <c r="AJ97" s="14" t="str">
        <f>IF(AND(X97=1,Y97=1),COUNTIFS($X$10:X97,1,$Y$10:Y97,1),"")</f>
        <v/>
      </c>
      <c r="AK97" s="14">
        <f>IF(X97=1,COUNTIFS($X$10:X97,1),"")</f>
        <v>88</v>
      </c>
      <c r="AL97" s="14">
        <f>IF(AND(V97=1,AND(OR(Painel!$L$6="Todas",E97=Painel!$L$6),OR(Painel!$C$8="Todos",F97=Painel!$C$8),OR(Painel!$L$8="Todos",G97=Painel!$L$8),OR(Painel!$C$10="",ISNUMBER(SEARCH(SUBSTITUTE(SUBSTITUTE(SUBSTITUTE(Painel!$C$10,"~","~~"),"*","~*"),"?","~?"),A97&amp;" "&amp;H97&amp;" "&amp;I97))))),1,0)</f>
        <v>1</v>
      </c>
      <c r="AM97" s="14">
        <f t="shared" si="13"/>
        <v>97</v>
      </c>
      <c r="AN97" s="14"/>
      <c r="AO97" s="14"/>
      <c r="AP97" s="16" t="str">
        <f>IF(AB97=0,"",IF(INDEX(Andamentos!$B$10:$B$2009,AB97)="","",INDEX(Andamentos!$B$10:$B$2009,AB97)))</f>
        <v/>
      </c>
      <c r="AQ97" s="17">
        <f>IF(AH97=0,"",IF(INDEX(Valores!$B$10:$B$509,AH97)="","",IF(ISNUMBER(INDEX(Valores!$B$10:$B$509,AH97)),INDEX(Valores!$B$10:$B$509,AH97),"")))</f>
        <v>37297.279999999999</v>
      </c>
      <c r="AR97" s="14" t="str">
        <f t="shared" si="14"/>
        <v/>
      </c>
      <c r="AS97" s="14" t="str">
        <f t="shared" si="15"/>
        <v>P:0000159-22.2025.5.18.0201</v>
      </c>
      <c r="AT97" s="27" t="s">
        <v>720</v>
      </c>
      <c r="AU97" s="31" t="s">
        <v>715</v>
      </c>
      <c r="AV97" s="31"/>
      <c r="AW97" s="27" t="s">
        <v>162</v>
      </c>
      <c r="AX97" s="27"/>
      <c r="AY97" s="27"/>
      <c r="AZ97" s="27"/>
      <c r="BA97" s="30" t="str">
        <f t="shared" si="16"/>
        <v>0000159-22.2025.5.18.0201</v>
      </c>
      <c r="BB97" s="30" t="str">
        <f t="shared" si="17"/>
        <v/>
      </c>
      <c r="BC97" s="30">
        <f>IF(X97=0,0,IF(COUNTIFS($X$10:X97,1,$BA$10:BA97,BA97)=1,1,0))</f>
        <v>1</v>
      </c>
      <c r="BD97" s="29">
        <v>46055</v>
      </c>
    </row>
    <row r="98" spans="1:56" ht="42" customHeight="1">
      <c r="A98" s="41" t="s">
        <v>721</v>
      </c>
      <c r="B98" s="44" t="s">
        <v>161</v>
      </c>
      <c r="C98" s="44" t="s">
        <v>300</v>
      </c>
      <c r="D98" s="44" t="s">
        <v>163</v>
      </c>
      <c r="E98" s="44"/>
      <c r="F98" s="44"/>
      <c r="G98" s="44" t="s">
        <v>238</v>
      </c>
      <c r="H98" s="44" t="s">
        <v>722</v>
      </c>
      <c r="I98" s="44" t="s">
        <v>166</v>
      </c>
      <c r="J98" s="44" t="s">
        <v>723</v>
      </c>
      <c r="K98" s="44" t="s">
        <v>724</v>
      </c>
      <c r="L98" s="49">
        <v>45385</v>
      </c>
      <c r="M98" s="48" t="s">
        <v>725</v>
      </c>
      <c r="N98" s="48" t="s">
        <v>170</v>
      </c>
      <c r="O98" s="48"/>
      <c r="P98" s="48"/>
      <c r="Q98" s="48"/>
      <c r="R98" s="48"/>
      <c r="S98" s="49"/>
      <c r="T98" s="48"/>
      <c r="U98" s="48" t="s">
        <v>726</v>
      </c>
      <c r="V98" s="14">
        <f t="shared" si="9"/>
        <v>1</v>
      </c>
      <c r="W98" s="14">
        <f t="shared" si="10"/>
        <v>1</v>
      </c>
      <c r="X98" s="14">
        <f>IF(AND(V98=1,OR(Painel!$C$6="Todos",D98=Painel!$C$6),AND(OR(Painel!$L$6="Todas",E98=Painel!$L$6),OR(Painel!$C$8="Todos",F98=Painel!$C$8),OR(Painel!$L$8="Todos",G98=Painel!$L$8),OR(Painel!$C$10="",ISNUMBER(SEARCH(SUBSTITUTE(SUBSTITUTE(SUBSTITUTE(Painel!$C$10,"~","~~"),"*","~*"),"?","~?"),A98&amp;" "&amp;H98&amp;" "&amp;I98))))),1,0)</f>
        <v>1</v>
      </c>
      <c r="Y98" s="14">
        <f t="shared" si="11"/>
        <v>0</v>
      </c>
      <c r="Z98" s="15">
        <f>IF(V98=0,"",IF(COUNTIFS(Andamentos!$K$10:$K$2009,"="&amp;SUBSTITUTE(SUBSTITUTE(SUBSTITUTE("P:"&amp;A98,"~","~~"),"*","~*"),"?","~?"),Andamentos!$G$10:$G$2009,1)=0,"",_xlfn.AGGREGATE(14,6,Andamentos!$D$10:$D$2009/((Andamentos!$K$10:$K$2009=AS98)*(Andamentos!$G$10:$G$2009=1)),1)))</f>
        <v>46274</v>
      </c>
      <c r="AA98" s="14">
        <f>IF(Z98="",0,COUNTIFS(Andamentos!$K$10:$K$2009,"="&amp;SUBSTITUTE(SUBSTITUTE(SUBSTITUTE("P:"&amp;A98,"~","~~"),"*","~*"),"?","~?"),Andamentos!$D$10:$D$2009,Z98,Andamentos!$G$10:$G$2009,1))</f>
        <v>1</v>
      </c>
      <c r="AB98" s="14">
        <f>IF(AA98=1,SUMIFS(Andamentos!$L$10:$L$2009,Andamentos!$K$10:$K$2009,"="&amp;SUBSTITUTE(SUBSTITUTE(SUBSTITUTE(AS98,"~","~~"),"*","~*"),"?","~?"),Andamentos!$D$10:$D$2009,Z98,Andamentos!$G$10:$G$2009,1)-9,0)</f>
        <v>89</v>
      </c>
      <c r="AC98" s="14" t="str">
        <f>IF(V98=0,"",IF(AA98&gt;1,"Conferir recebimentos empatados",IF(AB98=0,"Sem atualização",INDEX(Andamentos!$C$10:$C$2009,AB98))))</f>
        <v>09/09/2026 - Sentença que extinguiu o cumpromento de sentença, tendo em vista o pagamento voluntário, o consórcio planep-ceppla possui crédito a receber, eis que foi pago crédito maior em nome do autor. [...] histórico completo em Observações</v>
      </c>
      <c r="AD98" s="14">
        <f ca="1">IF(W98=0,0,IF(MAX(Z98,BD98)=0,1,IF(Configurar!$J$12-INT(MAX(Z98,BD98))&gt;Configurar!$J$11,1,0)))</f>
        <v>1</v>
      </c>
      <c r="AE98" s="16"/>
      <c r="AF98" s="14"/>
      <c r="AG98" s="14"/>
      <c r="AH98" s="14">
        <f>IF(AND(V98=1,COUNTIFS(Valores!$S$10:$S$509,"="&amp;SUBSTITUTE(SUBSTITUTE(SUBSTITUTE("P:"&amp;A98,"~","~~"),"*","~*"),"?","~?"))=1),(IF(ISNA(MATCH(SUBSTITUTE(SUBSTITUTE(SUBSTITUTE("P:"&amp;A98,"~","~~"),"*","~*"),"?","~?"),Valores!$S$10:$S$509,0)),9,INDEX(Valores!$R$10:$R$509,MATCH(SUBSTITUTE(SUBSTITUTE(SUBSTITUTE("P:"&amp;A98,"~","~~"),"*","~*"),"?","~?"),Valores!$S$10:$S$509,0)))-9),0)</f>
        <v>89</v>
      </c>
      <c r="AI98" s="40" t="str">
        <f t="shared" si="12"/>
        <v>Informe a empresa responsável</v>
      </c>
      <c r="AJ98" s="14" t="str">
        <f>IF(AND(X98=1,Y98=1),COUNTIFS($X$10:X98,1,$Y$10:Y98,1),"")</f>
        <v/>
      </c>
      <c r="AK98" s="14">
        <f>IF(X98=1,COUNTIFS($X$10:X98,1),"")</f>
        <v>89</v>
      </c>
      <c r="AL98" s="14">
        <f>IF(AND(V98=1,AND(OR(Painel!$L$6="Todas",E98=Painel!$L$6),OR(Painel!$C$8="Todos",F98=Painel!$C$8),OR(Painel!$L$8="Todos",G98=Painel!$L$8),OR(Painel!$C$10="",ISNUMBER(SEARCH(SUBSTITUTE(SUBSTITUTE(SUBSTITUTE(Painel!$C$10,"~","~~"),"*","~*"),"?","~?"),A98&amp;" "&amp;H98&amp;" "&amp;I98))))),1,0)</f>
        <v>1</v>
      </c>
      <c r="AM98" s="14">
        <f t="shared" si="13"/>
        <v>98</v>
      </c>
      <c r="AN98" s="14"/>
      <c r="AO98" s="14"/>
      <c r="AP98" s="16">
        <f>IF(AB98=0,"",IF(INDEX(Andamentos!$B$10:$B$2009,AB98)="","",INDEX(Andamentos!$B$10:$B$2009,AB98)))</f>
        <v>46274</v>
      </c>
      <c r="AQ98" s="17">
        <f>IF(AH98=0,"",IF(INDEX(Valores!$B$10:$B$509,AH98)="","",IF(ISNUMBER(INDEX(Valores!$B$10:$B$509,AH98)),INDEX(Valores!$B$10:$B$509,AH98),"")))</f>
        <v>15000</v>
      </c>
      <c r="AR98" s="14" t="str">
        <f t="shared" si="14"/>
        <v/>
      </c>
      <c r="AS98" s="14" t="str">
        <f t="shared" si="15"/>
        <v>P:0820668-09.2024.8.12.0001</v>
      </c>
      <c r="AT98" s="27" t="s">
        <v>727</v>
      </c>
      <c r="AU98" s="31" t="s">
        <v>721</v>
      </c>
      <c r="AV98" s="31"/>
      <c r="AW98" s="27" t="s">
        <v>728</v>
      </c>
      <c r="AX98" s="27" t="s">
        <v>246</v>
      </c>
      <c r="AY98" s="27"/>
      <c r="AZ98" s="27"/>
      <c r="BA98" s="30" t="str">
        <f t="shared" si="16"/>
        <v>0820668-09.2024.8.12.0001</v>
      </c>
      <c r="BB98" s="30" t="str">
        <f t="shared" si="17"/>
        <v/>
      </c>
      <c r="BC98" s="30">
        <f>IF(X98=0,0,IF(COUNTIFS($X$10:X98,1,$BA$10:BA98,BA98)=1,1,0))</f>
        <v>1</v>
      </c>
      <c r="BD98" s="29">
        <v>46274</v>
      </c>
    </row>
    <row r="99" spans="1:56" ht="42" customHeight="1">
      <c r="A99" s="41" t="s">
        <v>729</v>
      </c>
      <c r="B99" s="44" t="s">
        <v>161</v>
      </c>
      <c r="C99" s="44" t="s">
        <v>316</v>
      </c>
      <c r="D99" s="44" t="s">
        <v>163</v>
      </c>
      <c r="E99" s="44"/>
      <c r="F99" s="44"/>
      <c r="G99" s="44" t="s">
        <v>164</v>
      </c>
      <c r="H99" s="44" t="s">
        <v>412</v>
      </c>
      <c r="I99" s="44" t="s">
        <v>166</v>
      </c>
      <c r="J99" s="44" t="s">
        <v>730</v>
      </c>
      <c r="K99" s="44" t="s">
        <v>178</v>
      </c>
      <c r="L99" s="49"/>
      <c r="M99" s="48" t="s">
        <v>571</v>
      </c>
      <c r="N99" s="48" t="s">
        <v>170</v>
      </c>
      <c r="O99" s="48"/>
      <c r="P99" s="48"/>
      <c r="Q99" s="48"/>
      <c r="R99" s="48"/>
      <c r="S99" s="49"/>
      <c r="T99" s="48"/>
      <c r="U99" s="48" t="s">
        <v>731</v>
      </c>
      <c r="V99" s="14">
        <f t="shared" si="9"/>
        <v>1</v>
      </c>
      <c r="W99" s="14">
        <f t="shared" si="10"/>
        <v>1</v>
      </c>
      <c r="X99" s="14">
        <f>IF(AND(V99=1,OR(Painel!$C$6="Todos",D99=Painel!$C$6),AND(OR(Painel!$L$6="Todas",E99=Painel!$L$6),OR(Painel!$C$8="Todos",F99=Painel!$C$8),OR(Painel!$L$8="Todos",G99=Painel!$L$8),OR(Painel!$C$10="",ISNUMBER(SEARCH(SUBSTITUTE(SUBSTITUTE(SUBSTITUTE(Painel!$C$10,"~","~~"),"*","~*"),"?","~?"),A99&amp;" "&amp;H99&amp;" "&amp;I99))))),1,0)</f>
        <v>1</v>
      </c>
      <c r="Y99" s="14">
        <f t="shared" si="11"/>
        <v>0</v>
      </c>
      <c r="Z99" s="15">
        <f>IF(V99=0,"",IF(COUNTIFS(Andamentos!$K$10:$K$2009,"="&amp;SUBSTITUTE(SUBSTITUTE(SUBSTITUTE("P:"&amp;A99,"~","~~"),"*","~*"),"?","~?"),Andamentos!$G$10:$G$2009,1)=0,"",_xlfn.AGGREGATE(14,6,Andamentos!$D$10:$D$2009/((Andamentos!$K$10:$K$2009=AS99)*(Andamentos!$G$10:$G$2009=1)),1)))</f>
        <v>45512</v>
      </c>
      <c r="AA99" s="14">
        <f>IF(Z99="",0,COUNTIFS(Andamentos!$K$10:$K$2009,"="&amp;SUBSTITUTE(SUBSTITUTE(SUBSTITUTE("P:"&amp;A99,"~","~~"),"*","~*"),"?","~?"),Andamentos!$D$10:$D$2009,Z99,Andamentos!$G$10:$G$2009,1))</f>
        <v>1</v>
      </c>
      <c r="AB99" s="14">
        <f>IF(AA99=1,SUMIFS(Andamentos!$L$10:$L$2009,Andamentos!$K$10:$K$2009,"="&amp;SUBSTITUTE(SUBSTITUTE(SUBSTITUTE(AS99,"~","~~"),"*","~*"),"?","~?"),Andamentos!$D$10:$D$2009,Z99,Andamentos!$G$10:$G$2009,1)-9,0)</f>
        <v>90</v>
      </c>
      <c r="AC99" s="14" t="str">
        <f>IF(V99=0,"",IF(AA99&gt;1,"Conferir recebimentos empatados",IF(AB99=0,"Sem atualização",INDEX(Andamentos!$C$10:$C$2009,AB99))))</f>
        <v>16/08/23 - Decisão monocrática de suspensão do processo em razão da decisão do STF que avaliará se é possível incluir empresa integrante de grupo econômico na fase de execução processual.</v>
      </c>
      <c r="AD99" s="14">
        <f ca="1">IF(W99=0,0,IF(MAX(Z99,BD99)=0,1,IF(Configurar!$J$12-INT(MAX(Z99,BD99))&gt;Configurar!$J$11,1,0)))</f>
        <v>1</v>
      </c>
      <c r="AE99" s="16"/>
      <c r="AF99" s="14"/>
      <c r="AG99" s="14"/>
      <c r="AH99" s="14">
        <f>IF(AND(V99=1,COUNTIFS(Valores!$S$10:$S$509,"="&amp;SUBSTITUTE(SUBSTITUTE(SUBSTITUTE("P:"&amp;A99,"~","~~"),"*","~*"),"?","~?"))=1),(IF(ISNA(MATCH(SUBSTITUTE(SUBSTITUTE(SUBSTITUTE("P:"&amp;A99,"~","~~"),"*","~*"),"?","~?"),Valores!$S$10:$S$509,0)),9,INDEX(Valores!$R$10:$R$509,MATCH(SUBSTITUTE(SUBSTITUTE(SUBSTITUTE("P:"&amp;A99,"~","~~"),"*","~*"),"?","~?"),Valores!$S$10:$S$509,0)))-9),0)</f>
        <v>90</v>
      </c>
      <c r="AI99" s="40" t="str">
        <f t="shared" si="12"/>
        <v>Informe a empresa responsável</v>
      </c>
      <c r="AJ99" s="14" t="str">
        <f>IF(AND(X99=1,Y99=1),COUNTIFS($X$10:X99,1,$Y$10:Y99,1),"")</f>
        <v/>
      </c>
      <c r="AK99" s="14">
        <f>IF(X99=1,COUNTIFS($X$10:X99,1),"")</f>
        <v>90</v>
      </c>
      <c r="AL99" s="14">
        <f>IF(AND(V99=1,AND(OR(Painel!$L$6="Todas",E99=Painel!$L$6),OR(Painel!$C$8="Todos",F99=Painel!$C$8),OR(Painel!$L$8="Todos",G99=Painel!$L$8),OR(Painel!$C$10="",ISNUMBER(SEARCH(SUBSTITUTE(SUBSTITUTE(SUBSTITUTE(Painel!$C$10,"~","~~"),"*","~*"),"?","~?"),A99&amp;" "&amp;H99&amp;" "&amp;I99))))),1,0)</f>
        <v>1</v>
      </c>
      <c r="AM99" s="14">
        <f t="shared" si="13"/>
        <v>99</v>
      </c>
      <c r="AN99" s="14"/>
      <c r="AO99" s="14"/>
      <c r="AP99" s="16" t="str">
        <f>IF(AB99=0,"",IF(INDEX(Andamentos!$B$10:$B$2009,AB99)="","",INDEX(Andamentos!$B$10:$B$2009,AB99)))</f>
        <v/>
      </c>
      <c r="AQ99" s="17" t="str">
        <f>IF(AH99=0,"",IF(INDEX(Valores!$B$10:$B$509,AH99)="","",IF(ISNUMBER(INDEX(Valores!$B$10:$B$509,AH99)),INDEX(Valores!$B$10:$B$509,AH99),"")))</f>
        <v/>
      </c>
      <c r="AR99" s="14" t="str">
        <f t="shared" si="14"/>
        <v/>
      </c>
      <c r="AS99" s="14" t="str">
        <f t="shared" si="15"/>
        <v>P:0010941-35.2018.5.18.0104 [BMM-090]</v>
      </c>
      <c r="AT99" s="27" t="s">
        <v>732</v>
      </c>
      <c r="AU99" s="31" t="s">
        <v>417</v>
      </c>
      <c r="AV99" s="31"/>
      <c r="AW99" s="27" t="s">
        <v>316</v>
      </c>
      <c r="AX99" s="27"/>
      <c r="AY99" s="27"/>
      <c r="AZ99" s="27"/>
      <c r="BA99" s="30" t="str">
        <f t="shared" si="16"/>
        <v>0010941-35.2018.5.18.0104</v>
      </c>
      <c r="BB99" s="30" t="str">
        <f t="shared" si="17"/>
        <v>Revisar repetição</v>
      </c>
      <c r="BC99" s="30">
        <f>IF(X99=0,0,IF(COUNTIFS($X$10:X99,1,$BA$10:BA99,BA99)=1,1,0))</f>
        <v>0</v>
      </c>
      <c r="BD99" s="29">
        <v>45512</v>
      </c>
    </row>
    <row r="100" spans="1:56" ht="42" customHeight="1">
      <c r="A100" s="41" t="s">
        <v>733</v>
      </c>
      <c r="B100" s="44" t="s">
        <v>161</v>
      </c>
      <c r="C100" s="44" t="s">
        <v>300</v>
      </c>
      <c r="D100" s="44" t="s">
        <v>163</v>
      </c>
      <c r="E100" s="44"/>
      <c r="F100" s="44" t="s">
        <v>174</v>
      </c>
      <c r="G100" s="44" t="s">
        <v>238</v>
      </c>
      <c r="H100" s="44" t="s">
        <v>734</v>
      </c>
      <c r="I100" s="44" t="s">
        <v>735</v>
      </c>
      <c r="J100" s="44" t="s">
        <v>736</v>
      </c>
      <c r="K100" s="44" t="s">
        <v>242</v>
      </c>
      <c r="L100" s="49">
        <v>44343</v>
      </c>
      <c r="M100" s="48" t="s">
        <v>737</v>
      </c>
      <c r="N100" s="48" t="s">
        <v>170</v>
      </c>
      <c r="O100" s="48"/>
      <c r="P100" s="48"/>
      <c r="Q100" s="48"/>
      <c r="R100" s="48"/>
      <c r="S100" s="49"/>
      <c r="T100" s="48"/>
      <c r="U100" s="48" t="s">
        <v>738</v>
      </c>
      <c r="V100" s="14">
        <f t="shared" si="9"/>
        <v>1</v>
      </c>
      <c r="W100" s="14">
        <f t="shared" si="10"/>
        <v>1</v>
      </c>
      <c r="X100" s="14">
        <f>IF(AND(V100=1,OR(Painel!$C$6="Todos",D100=Painel!$C$6),AND(OR(Painel!$L$6="Todas",E100=Painel!$L$6),OR(Painel!$C$8="Todos",F100=Painel!$C$8),OR(Painel!$L$8="Todos",G100=Painel!$L$8),OR(Painel!$C$10="",ISNUMBER(SEARCH(SUBSTITUTE(SUBSTITUTE(SUBSTITUTE(Painel!$C$10,"~","~~"),"*","~*"),"?","~?"),A100&amp;" "&amp;H100&amp;" "&amp;I100))))),1,0)</f>
        <v>1</v>
      </c>
      <c r="Y100" s="14">
        <f t="shared" si="11"/>
        <v>0</v>
      </c>
      <c r="Z100" s="15">
        <f>IF(V100=0,"",IF(COUNTIFS(Andamentos!$K$10:$K$2009,"="&amp;SUBSTITUTE(SUBSTITUTE(SUBSTITUTE("P:"&amp;A100,"~","~~"),"*","~*"),"?","~?"),Andamentos!$G$10:$G$2009,1)=0,"",_xlfn.AGGREGATE(14,6,Andamentos!$D$10:$D$2009/((Andamentos!$K$10:$K$2009=AS100)*(Andamentos!$G$10:$G$2009=1)),1)))</f>
        <v>46052</v>
      </c>
      <c r="AA100" s="14">
        <f>IF(Z100="",0,COUNTIFS(Andamentos!$K$10:$K$2009,"="&amp;SUBSTITUTE(SUBSTITUTE(SUBSTITUTE("P:"&amp;A100,"~","~~"),"*","~*"),"?","~?"),Andamentos!$D$10:$D$2009,Z100,Andamentos!$G$10:$G$2009,1))</f>
        <v>1</v>
      </c>
      <c r="AB100" s="14">
        <f>IF(AA100=1,SUMIFS(Andamentos!$L$10:$L$2009,Andamentos!$K$10:$K$2009,"="&amp;SUBSTITUTE(SUBSTITUTE(SUBSTITUTE(AS100,"~","~~"),"*","~*"),"?","~?"),Andamentos!$D$10:$D$2009,Z100,Andamentos!$G$10:$G$2009,1)-9,0)</f>
        <v>91</v>
      </c>
      <c r="AC100" s="14" t="str">
        <f>IF(V100=0,"",IF(AA100&gt;1,"Conferir recebimentos empatados",IF(AB100=0,"Sem atualização",INDEX(Andamentos!$C$10:$C$2009,AB100))))</f>
        <v>Processo encontra-se no STJ- sentença e acórdão julgaram improcedentes os pedidos autorais. Sentença proferida em 16/01/2023, julgando extinto o processo com resolução do mérito e declaração de prescisão da pretensão autoral. No dia 23/08/2024 lavrado a Certidão de Trânsito em julgado e Termo de Baixa. [...] histórico completo em Observações</v>
      </c>
      <c r="AD100" s="14">
        <f ca="1">IF(W100=0,0,IF(MAX(Z100,BD100)=0,1,IF(Configurar!$J$12-INT(MAX(Z100,BD100))&gt;Configurar!$J$11,1,0)))</f>
        <v>1</v>
      </c>
      <c r="AE100" s="16"/>
      <c r="AF100" s="14"/>
      <c r="AG100" s="14"/>
      <c r="AH100" s="14">
        <f>IF(AND(V100=1,COUNTIFS(Valores!$S$10:$S$509,"="&amp;SUBSTITUTE(SUBSTITUTE(SUBSTITUTE("P:"&amp;A100,"~","~~"),"*","~*"),"?","~?"))=1),(IF(ISNA(MATCH(SUBSTITUTE(SUBSTITUTE(SUBSTITUTE("P:"&amp;A100,"~","~~"),"*","~*"),"?","~?"),Valores!$S$10:$S$509,0)),9,INDEX(Valores!$R$10:$R$509,MATCH(SUBSTITUTE(SUBSTITUTE(SUBSTITUTE("P:"&amp;A100,"~","~~"),"*","~*"),"?","~?"),Valores!$S$10:$S$509,0)))-9),0)</f>
        <v>91</v>
      </c>
      <c r="AI100" s="40" t="str">
        <f t="shared" si="12"/>
        <v>Informe a empresa responsável</v>
      </c>
      <c r="AJ100" s="14" t="str">
        <f>IF(AND(X100=1,Y100=1),COUNTIFS($X$10:X100,1,$Y$10:Y100,1),"")</f>
        <v/>
      </c>
      <c r="AK100" s="14">
        <f>IF(X100=1,COUNTIFS($X$10:X100,1),"")</f>
        <v>91</v>
      </c>
      <c r="AL100" s="14">
        <f>IF(AND(V100=1,AND(OR(Painel!$L$6="Todas",E100=Painel!$L$6),OR(Painel!$C$8="Todos",F100=Painel!$C$8),OR(Painel!$L$8="Todos",G100=Painel!$L$8),OR(Painel!$C$10="",ISNUMBER(SEARCH(SUBSTITUTE(SUBSTITUTE(SUBSTITUTE(Painel!$C$10,"~","~~"),"*","~*"),"?","~?"),A100&amp;" "&amp;H100&amp;" "&amp;I100))))),1,0)</f>
        <v>1</v>
      </c>
      <c r="AM100" s="14">
        <f t="shared" si="13"/>
        <v>100</v>
      </c>
      <c r="AN100" s="14"/>
      <c r="AO100" s="14"/>
      <c r="AP100" s="16" t="str">
        <f>IF(AB100=0,"",IF(INDEX(Andamentos!$B$10:$B$2009,AB100)="","",INDEX(Andamentos!$B$10:$B$2009,AB100)))</f>
        <v/>
      </c>
      <c r="AQ100" s="17">
        <f>IF(AH100=0,"",IF(INDEX(Valores!$B$10:$B$509,AH100)="","",IF(ISNUMBER(INDEX(Valores!$B$10:$B$509,AH100)),INDEX(Valores!$B$10:$B$509,AH100),"")))</f>
        <v>1245291.1000000001</v>
      </c>
      <c r="AR100" s="14" t="str">
        <f t="shared" si="14"/>
        <v/>
      </c>
      <c r="AS100" s="14" t="str">
        <f t="shared" si="15"/>
        <v>P:5263294-40.2021.8.09.0051</v>
      </c>
      <c r="AT100" s="27" t="s">
        <v>739</v>
      </c>
      <c r="AU100" s="31" t="s">
        <v>733</v>
      </c>
      <c r="AV100" s="31"/>
      <c r="AW100" s="27" t="s">
        <v>740</v>
      </c>
      <c r="AX100" s="27" t="s">
        <v>262</v>
      </c>
      <c r="AY100" s="27"/>
      <c r="AZ100" s="27"/>
      <c r="BA100" s="30" t="str">
        <f t="shared" si="16"/>
        <v>5263294-40.2021.8.09.0051</v>
      </c>
      <c r="BB100" s="30" t="str">
        <f t="shared" si="17"/>
        <v/>
      </c>
      <c r="BC100" s="30">
        <f>IF(X100=0,0,IF(COUNTIFS($X$10:X100,1,$BA$10:BA100,BA100)=1,1,0))</f>
        <v>1</v>
      </c>
      <c r="BD100" s="29">
        <v>46052</v>
      </c>
    </row>
    <row r="101" spans="1:56" ht="42" customHeight="1">
      <c r="A101" s="41" t="s">
        <v>741</v>
      </c>
      <c r="B101" s="44" t="s">
        <v>161</v>
      </c>
      <c r="C101" s="44" t="s">
        <v>162</v>
      </c>
      <c r="D101" s="44" t="s">
        <v>163</v>
      </c>
      <c r="E101" s="44"/>
      <c r="F101" s="44" t="s">
        <v>282</v>
      </c>
      <c r="G101" s="44" t="s">
        <v>238</v>
      </c>
      <c r="H101" s="44" t="s">
        <v>742</v>
      </c>
      <c r="I101" s="44" t="s">
        <v>743</v>
      </c>
      <c r="J101" s="44"/>
      <c r="K101" s="44" t="s">
        <v>242</v>
      </c>
      <c r="L101" s="49">
        <v>45847</v>
      </c>
      <c r="M101" s="48" t="s">
        <v>744</v>
      </c>
      <c r="N101" s="48" t="s">
        <v>170</v>
      </c>
      <c r="O101" s="48"/>
      <c r="P101" s="48"/>
      <c r="Q101" s="48"/>
      <c r="R101" s="48"/>
      <c r="S101" s="49"/>
      <c r="T101" s="48"/>
      <c r="U101" s="48" t="s">
        <v>745</v>
      </c>
      <c r="V101" s="14">
        <f t="shared" si="9"/>
        <v>1</v>
      </c>
      <c r="W101" s="14">
        <f t="shared" si="10"/>
        <v>0</v>
      </c>
      <c r="X101" s="14">
        <f>IF(AND(V101=1,OR(Painel!$C$6="Todos",D101=Painel!$C$6),AND(OR(Painel!$L$6="Todas",E101=Painel!$L$6),OR(Painel!$C$8="Todos",F101=Painel!$C$8),OR(Painel!$L$8="Todos",G101=Painel!$L$8),OR(Painel!$C$10="",ISNUMBER(SEARCH(SUBSTITUTE(SUBSTITUTE(SUBSTITUTE(Painel!$C$10,"~","~~"),"*","~*"),"?","~?"),A101&amp;" "&amp;H101&amp;" "&amp;I101))))),1,0)</f>
        <v>1</v>
      </c>
      <c r="Y101" s="14">
        <f t="shared" si="11"/>
        <v>0</v>
      </c>
      <c r="Z101" s="15">
        <f>IF(V101=0,"",IF(COUNTIFS(Andamentos!$K$10:$K$2009,"="&amp;SUBSTITUTE(SUBSTITUTE(SUBSTITUTE("P:"&amp;A101,"~","~~"),"*","~*"),"?","~?"),Andamentos!$G$10:$G$2009,1)=0,"",_xlfn.AGGREGATE(14,6,Andamentos!$D$10:$D$2009/((Andamentos!$K$10:$K$2009=AS101)*(Andamentos!$G$10:$G$2009=1)),1)))</f>
        <v>46055</v>
      </c>
      <c r="AA101" s="14">
        <f>IF(Z101="",0,COUNTIFS(Andamentos!$K$10:$K$2009,"="&amp;SUBSTITUTE(SUBSTITUTE(SUBSTITUTE("P:"&amp;A101,"~","~~"),"*","~*"),"?","~?"),Andamentos!$D$10:$D$2009,Z101,Andamentos!$G$10:$G$2009,1))</f>
        <v>1</v>
      </c>
      <c r="AB101" s="14">
        <f>IF(AA101=1,SUMIFS(Andamentos!$L$10:$L$2009,Andamentos!$K$10:$K$2009,"="&amp;SUBSTITUTE(SUBSTITUTE(SUBSTITUTE(AS101,"~","~~"),"*","~*"),"?","~?"),Andamentos!$D$10:$D$2009,Z101,Andamentos!$G$10:$G$2009,1)-9,0)</f>
        <v>92</v>
      </c>
      <c r="AC101" s="14" t="str">
        <f>IF(V101=0,"",IF(AA101&gt;1,"Conferir recebimentos empatados",IF(AB101=0,"Sem atualização",INDEX(Andamentos!$C$10:$C$2009,AB101))))</f>
        <v>27/10/2025 - Processo arquivado.
08/08/25 - BMM optou por nãpa resentarmos as contrarrazões aos embargos de declaração, vez que não temos interesse recursal. Aguardaremos eventual citação da Alta Engenharia para apresentarmos a nossa contestação. [...] histórico completo em Observações</v>
      </c>
      <c r="AD101" s="14">
        <f>IF(W101=0,0,IF(MAX(Z101,BD101)=0,1,IF(Configurar!$J$12-INT(MAX(Z101,BD101))&gt;Configurar!$J$11,1,0)))</f>
        <v>0</v>
      </c>
      <c r="AE101" s="16"/>
      <c r="AF101" s="14"/>
      <c r="AG101" s="14"/>
      <c r="AH101" s="14">
        <f>IF(AND(V101=1,COUNTIFS(Valores!$S$10:$S$509,"="&amp;SUBSTITUTE(SUBSTITUTE(SUBSTITUTE("P:"&amp;A101,"~","~~"),"*","~*"),"?","~?"))=1),(IF(ISNA(MATCH(SUBSTITUTE(SUBSTITUTE(SUBSTITUTE("P:"&amp;A101,"~","~~"),"*","~*"),"?","~?"),Valores!$S$10:$S$509,0)),9,INDEX(Valores!$R$10:$R$509,MATCH(SUBSTITUTE(SUBSTITUTE(SUBSTITUTE("P:"&amp;A101,"~","~~"),"*","~*"),"?","~?"),Valores!$S$10:$S$509,0)))-9),0)</f>
        <v>92</v>
      </c>
      <c r="AI101" s="40" t="str">
        <f t="shared" si="12"/>
        <v>Informe a empresa responsável</v>
      </c>
      <c r="AJ101" s="14" t="str">
        <f>IF(AND(X101=1,Y101=1),COUNTIFS($X$10:X101,1,$Y$10:Y101,1),"")</f>
        <v/>
      </c>
      <c r="AK101" s="14">
        <f>IF(X101=1,COUNTIFS($X$10:X101,1),"")</f>
        <v>92</v>
      </c>
      <c r="AL101" s="14">
        <f>IF(AND(V101=1,AND(OR(Painel!$L$6="Todas",E101=Painel!$L$6),OR(Painel!$C$8="Todos",F101=Painel!$C$8),OR(Painel!$L$8="Todos",G101=Painel!$L$8),OR(Painel!$C$10="",ISNUMBER(SEARCH(SUBSTITUTE(SUBSTITUTE(SUBSTITUTE(Painel!$C$10,"~","~~"),"*","~*"),"?","~?"),A101&amp;" "&amp;H101&amp;" "&amp;I101))))),1,0)</f>
        <v>1</v>
      </c>
      <c r="AM101" s="14">
        <f t="shared" si="13"/>
        <v>101</v>
      </c>
      <c r="AN101" s="14"/>
      <c r="AO101" s="14"/>
      <c r="AP101" s="16">
        <f>IF(AB101=0,"",IF(INDEX(Andamentos!$B$10:$B$2009,AB101)="","",INDEX(Andamentos!$B$10:$B$2009,AB101)))</f>
        <v>45957</v>
      </c>
      <c r="AQ101" s="17">
        <f>IF(AH101=0,"",IF(INDEX(Valores!$B$10:$B$509,AH101)="","",IF(ISNUMBER(INDEX(Valores!$B$10:$B$509,AH101)),INDEX(Valores!$B$10:$B$509,AH101),"")))</f>
        <v>13116.91</v>
      </c>
      <c r="AR101" s="14" t="str">
        <f t="shared" si="14"/>
        <v/>
      </c>
      <c r="AS101" s="14" t="str">
        <f t="shared" si="15"/>
        <v>P:5542516-52.2025.8.09.0045</v>
      </c>
      <c r="AT101" s="27" t="s">
        <v>746</v>
      </c>
      <c r="AU101" s="31" t="s">
        <v>741</v>
      </c>
      <c r="AV101" s="31"/>
      <c r="AW101" s="27" t="s">
        <v>162</v>
      </c>
      <c r="AX101" s="27"/>
      <c r="AY101" s="27"/>
      <c r="AZ101" s="27"/>
      <c r="BA101" s="30" t="str">
        <f t="shared" si="16"/>
        <v>5542516-52.2025.8.09.0045</v>
      </c>
      <c r="BB101" s="30" t="str">
        <f t="shared" si="17"/>
        <v/>
      </c>
      <c r="BC101" s="30">
        <f>IF(X101=0,0,IF(COUNTIFS($X$10:X101,1,$BA$10:BA101,BA101)=1,1,0))</f>
        <v>1</v>
      </c>
      <c r="BD101" s="29">
        <v>46055</v>
      </c>
    </row>
    <row r="102" spans="1:56" ht="42" customHeight="1">
      <c r="A102" s="41" t="s">
        <v>747</v>
      </c>
      <c r="B102" s="44" t="s">
        <v>161</v>
      </c>
      <c r="C102" s="44" t="s">
        <v>300</v>
      </c>
      <c r="D102" s="44" t="s">
        <v>163</v>
      </c>
      <c r="E102" s="44"/>
      <c r="F102" s="44"/>
      <c r="G102" s="44" t="s">
        <v>164</v>
      </c>
      <c r="H102" s="44" t="s">
        <v>748</v>
      </c>
      <c r="I102" s="44" t="s">
        <v>749</v>
      </c>
      <c r="J102" s="44"/>
      <c r="K102" s="44" t="s">
        <v>450</v>
      </c>
      <c r="L102" s="49">
        <v>45605</v>
      </c>
      <c r="M102" s="48" t="s">
        <v>750</v>
      </c>
      <c r="N102" s="48" t="s">
        <v>170</v>
      </c>
      <c r="O102" s="48"/>
      <c r="P102" s="48"/>
      <c r="Q102" s="48"/>
      <c r="R102" s="48"/>
      <c r="S102" s="49"/>
      <c r="T102" s="48"/>
      <c r="U102" s="48" t="s">
        <v>751</v>
      </c>
      <c r="V102" s="14">
        <f t="shared" si="9"/>
        <v>1</v>
      </c>
      <c r="W102" s="14">
        <f t="shared" si="10"/>
        <v>1</v>
      </c>
      <c r="X102" s="14">
        <f>IF(AND(V102=1,OR(Painel!$C$6="Todos",D102=Painel!$C$6),AND(OR(Painel!$L$6="Todas",E102=Painel!$L$6),OR(Painel!$C$8="Todos",F102=Painel!$C$8),OR(Painel!$L$8="Todos",G102=Painel!$L$8),OR(Painel!$C$10="",ISNUMBER(SEARCH(SUBSTITUTE(SUBSTITUTE(SUBSTITUTE(Painel!$C$10,"~","~~"),"*","~*"),"?","~?"),A102&amp;" "&amp;H102&amp;" "&amp;I102))))),1,0)</f>
        <v>1</v>
      </c>
      <c r="Y102" s="14">
        <f t="shared" si="11"/>
        <v>0</v>
      </c>
      <c r="Z102" s="15">
        <f>IF(V102=0,"",IF(COUNTIFS(Andamentos!$K$10:$K$2009,"="&amp;SUBSTITUTE(SUBSTITUTE(SUBSTITUTE("P:"&amp;A102,"~","~~"),"*","~*"),"?","~?"),Andamentos!$G$10:$G$2009,1)=0,"",_xlfn.AGGREGATE(14,6,Andamentos!$D$10:$D$2009/((Andamentos!$K$10:$K$2009=AS102)*(Andamentos!$G$10:$G$2009=1)),1)))</f>
        <v>46064</v>
      </c>
      <c r="AA102" s="14">
        <f>IF(Z102="",0,COUNTIFS(Andamentos!$K$10:$K$2009,"="&amp;SUBSTITUTE(SUBSTITUTE(SUBSTITUTE("P:"&amp;A102,"~","~~"),"*","~*"),"?","~?"),Andamentos!$D$10:$D$2009,Z102,Andamentos!$G$10:$G$2009,1))</f>
        <v>1</v>
      </c>
      <c r="AB102" s="14">
        <f>IF(AA102=1,SUMIFS(Andamentos!$L$10:$L$2009,Andamentos!$K$10:$K$2009,"="&amp;SUBSTITUTE(SUBSTITUTE(SUBSTITUTE(AS102,"~","~~"),"*","~*"),"?","~?"),Andamentos!$D$10:$D$2009,Z102,Andamentos!$G$10:$G$2009,1)-9,0)</f>
        <v>93</v>
      </c>
      <c r="AC102" s="14" t="str">
        <f>IF(V102=0,"",IF(AA102&gt;1,"Conferir recebimentos empatados",IF(AB102=0,"Sem atualização",INDEX(Andamentos!$C$10:$C$2009,AB102))))</f>
        <v>10/02/2026 - Recebemos a intimação pelo e-mail, embora tenha ocorrido a intimação, aparentemente houve pagamento desse valor. Pagaram parte maior pois divergiram do valor. De toda forma foi bloqueado o valor integral de uma das sociais garantindo a execução. Apresentaremos defesa de toda forma.</v>
      </c>
      <c r="AD102" s="14">
        <f ca="1">IF(W102=0,0,IF(MAX(Z102,BD102)=0,1,IF(Configurar!$J$12-INT(MAX(Z102,BD102))&gt;Configurar!$J$11,1,0)))</f>
        <v>1</v>
      </c>
      <c r="AE102" s="16"/>
      <c r="AF102" s="14"/>
      <c r="AG102" s="14"/>
      <c r="AH102" s="14">
        <f>IF(AND(V102=1,COUNTIFS(Valores!$S$10:$S$509,"="&amp;SUBSTITUTE(SUBSTITUTE(SUBSTITUTE("P:"&amp;A102,"~","~~"),"*","~*"),"?","~?"))=1),(IF(ISNA(MATCH(SUBSTITUTE(SUBSTITUTE(SUBSTITUTE("P:"&amp;A102,"~","~~"),"*","~*"),"?","~?"),Valores!$S$10:$S$509,0)),9,INDEX(Valores!$R$10:$R$509,MATCH(SUBSTITUTE(SUBSTITUTE(SUBSTITUTE("P:"&amp;A102,"~","~~"),"*","~*"),"?","~?"),Valores!$S$10:$S$509,0)))-9),0)</f>
        <v>93</v>
      </c>
      <c r="AI102" s="40" t="str">
        <f t="shared" si="12"/>
        <v>Informe a empresa responsável</v>
      </c>
      <c r="AJ102" s="14" t="str">
        <f>IF(AND(X102=1,Y102=1),COUNTIFS($X$10:X102,1,$Y$10:Y102,1),"")</f>
        <v/>
      </c>
      <c r="AK102" s="14">
        <f>IF(X102=1,COUNTIFS($X$10:X102,1),"")</f>
        <v>93</v>
      </c>
      <c r="AL102" s="14">
        <f>IF(AND(V102=1,AND(OR(Painel!$L$6="Todas",E102=Painel!$L$6),OR(Painel!$C$8="Todos",F102=Painel!$C$8),OR(Painel!$L$8="Todos",G102=Painel!$L$8),OR(Painel!$C$10="",ISNUMBER(SEARCH(SUBSTITUTE(SUBSTITUTE(SUBSTITUTE(Painel!$C$10,"~","~~"),"*","~*"),"?","~?"),A102&amp;" "&amp;H102&amp;" "&amp;I102))))),1,0)</f>
        <v>1</v>
      </c>
      <c r="AM102" s="14">
        <f t="shared" si="13"/>
        <v>102</v>
      </c>
      <c r="AN102" s="14"/>
      <c r="AO102" s="14"/>
      <c r="AP102" s="16">
        <f>IF(AB102=0,"",IF(INDEX(Andamentos!$B$10:$B$2009,AB102)="","",INDEX(Andamentos!$B$10:$B$2009,AB102)))</f>
        <v>46063</v>
      </c>
      <c r="AQ102" s="17">
        <f>IF(AH102=0,"",IF(INDEX(Valores!$B$10:$B$509,AH102)="","",IF(ISNUMBER(INDEX(Valores!$B$10:$B$509,AH102)),INDEX(Valores!$B$10:$B$509,AH102),"")))</f>
        <v>68004.679999999993</v>
      </c>
      <c r="AR102" s="14" t="str">
        <f t="shared" si="14"/>
        <v/>
      </c>
      <c r="AS102" s="14" t="str">
        <f t="shared" si="15"/>
        <v>P:0011074-81.2024.5.03.0008 [BMM-093]</v>
      </c>
      <c r="AT102" s="27" t="s">
        <v>752</v>
      </c>
      <c r="AU102" s="31" t="s">
        <v>753</v>
      </c>
      <c r="AV102" s="31"/>
      <c r="AW102" s="27"/>
      <c r="AX102" s="27" t="s">
        <v>246</v>
      </c>
      <c r="AY102" s="27"/>
      <c r="AZ102" s="27"/>
      <c r="BA102" s="30" t="str">
        <f t="shared" si="16"/>
        <v>0011074-81.2024.5.03.0008</v>
      </c>
      <c r="BB102" s="30" t="str">
        <f t="shared" si="17"/>
        <v>Revisar repetição</v>
      </c>
      <c r="BC102" s="30">
        <f>IF(X102=0,0,IF(COUNTIFS($X$10:X102,1,$BA$10:BA102,BA102)=1,1,0))</f>
        <v>1</v>
      </c>
      <c r="BD102" s="29">
        <v>46064</v>
      </c>
    </row>
    <row r="103" spans="1:56" ht="42" customHeight="1">
      <c r="A103" s="41" t="s">
        <v>754</v>
      </c>
      <c r="B103" s="44" t="s">
        <v>161</v>
      </c>
      <c r="C103" s="44" t="s">
        <v>300</v>
      </c>
      <c r="D103" s="44" t="s">
        <v>163</v>
      </c>
      <c r="E103" s="44"/>
      <c r="F103" s="44"/>
      <c r="G103" s="44" t="s">
        <v>238</v>
      </c>
      <c r="H103" s="44" t="s">
        <v>755</v>
      </c>
      <c r="I103" s="44" t="s">
        <v>756</v>
      </c>
      <c r="J103" s="44"/>
      <c r="K103" s="44" t="s">
        <v>303</v>
      </c>
      <c r="L103" s="49">
        <v>45988</v>
      </c>
      <c r="M103" s="48" t="s">
        <v>757</v>
      </c>
      <c r="N103" s="48" t="s">
        <v>170</v>
      </c>
      <c r="O103" s="48"/>
      <c r="P103" s="48"/>
      <c r="Q103" s="48"/>
      <c r="R103" s="48"/>
      <c r="S103" s="49"/>
      <c r="T103" s="48"/>
      <c r="U103" s="48" t="s">
        <v>758</v>
      </c>
      <c r="V103" s="14">
        <f t="shared" si="9"/>
        <v>1</v>
      </c>
      <c r="W103" s="14">
        <f t="shared" si="10"/>
        <v>1</v>
      </c>
      <c r="X103" s="14">
        <f>IF(AND(V103=1,OR(Painel!$C$6="Todos",D103=Painel!$C$6),AND(OR(Painel!$L$6="Todas",E103=Painel!$L$6),OR(Painel!$C$8="Todos",F103=Painel!$C$8),OR(Painel!$L$8="Todos",G103=Painel!$L$8),OR(Painel!$C$10="",ISNUMBER(SEARCH(SUBSTITUTE(SUBSTITUTE(SUBSTITUTE(Painel!$C$10,"~","~~"),"*","~*"),"?","~?"),A103&amp;" "&amp;H103&amp;" "&amp;I103))))),1,0)</f>
        <v>1</v>
      </c>
      <c r="Y103" s="14">
        <f t="shared" si="11"/>
        <v>0</v>
      </c>
      <c r="Z103" s="15">
        <f>IF(V103=0,"",IF(COUNTIFS(Andamentos!$K$10:$K$2009,"="&amp;SUBSTITUTE(SUBSTITUTE(SUBSTITUTE("P:"&amp;A103,"~","~~"),"*","~*"),"?","~?"),Andamentos!$G$10:$G$2009,1)=0,"",_xlfn.AGGREGATE(14,6,Andamentos!$D$10:$D$2009/((Andamentos!$K$10:$K$2009=AS103)*(Andamentos!$G$10:$G$2009=1)),1)))</f>
        <v>46064</v>
      </c>
      <c r="AA103" s="14">
        <f>IF(Z103="",0,COUNTIFS(Andamentos!$K$10:$K$2009,"="&amp;SUBSTITUTE(SUBSTITUTE(SUBSTITUTE("P:"&amp;A103,"~","~~"),"*","~*"),"?","~?"),Andamentos!$D$10:$D$2009,Z103,Andamentos!$G$10:$G$2009,1))</f>
        <v>1</v>
      </c>
      <c r="AB103" s="14">
        <f>IF(AA103=1,SUMIFS(Andamentos!$L$10:$L$2009,Andamentos!$K$10:$K$2009,"="&amp;SUBSTITUTE(SUBSTITUTE(SUBSTITUTE(AS103,"~","~~"),"*","~*"),"?","~?"),Andamentos!$D$10:$D$2009,Z103,Andamentos!$G$10:$G$2009,1)-9,0)</f>
        <v>94</v>
      </c>
      <c r="AC103" s="14" t="str">
        <f>IF(V103=0,"",IF(AA103&gt;1,"Conferir recebimentos empatados",IF(AB103=0,"Sem atualização",INDEX(Andamentos!$C$10:$C$2009,AB103))))</f>
        <v>03/12/2025 Aguardando citação.</v>
      </c>
      <c r="AD103" s="14">
        <f ca="1">IF(W103=0,0,IF(MAX(Z103,BD103)=0,1,IF(Configurar!$J$12-INT(MAX(Z103,BD103))&gt;Configurar!$J$11,1,0)))</f>
        <v>1</v>
      </c>
      <c r="AE103" s="16"/>
      <c r="AF103" s="14"/>
      <c r="AG103" s="14"/>
      <c r="AH103" s="14">
        <f>IF(AND(V103=1,COUNTIFS(Valores!$S$10:$S$509,"="&amp;SUBSTITUTE(SUBSTITUTE(SUBSTITUTE("P:"&amp;A103,"~","~~"),"*","~*"),"?","~?"))=1),(IF(ISNA(MATCH(SUBSTITUTE(SUBSTITUTE(SUBSTITUTE("P:"&amp;A103,"~","~~"),"*","~*"),"?","~?"),Valores!$S$10:$S$509,0)),9,INDEX(Valores!$R$10:$R$509,MATCH(SUBSTITUTE(SUBSTITUTE(SUBSTITUTE("P:"&amp;A103,"~","~~"),"*","~*"),"?","~?"),Valores!$S$10:$S$509,0)))-9),0)</f>
        <v>94</v>
      </c>
      <c r="AI103" s="40" t="str">
        <f t="shared" si="12"/>
        <v>Informe a empresa responsável</v>
      </c>
      <c r="AJ103" s="14" t="str">
        <f>IF(AND(X103=1,Y103=1),COUNTIFS($X$10:X103,1,$Y$10:Y103,1),"")</f>
        <v/>
      </c>
      <c r="AK103" s="14">
        <f>IF(X103=1,COUNTIFS($X$10:X103,1),"")</f>
        <v>94</v>
      </c>
      <c r="AL103" s="14">
        <f>IF(AND(V103=1,AND(OR(Painel!$L$6="Todas",E103=Painel!$L$6),OR(Painel!$C$8="Todos",F103=Painel!$C$8),OR(Painel!$L$8="Todos",G103=Painel!$L$8),OR(Painel!$C$10="",ISNUMBER(SEARCH(SUBSTITUTE(SUBSTITUTE(SUBSTITUTE(Painel!$C$10,"~","~~"),"*","~*"),"?","~?"),A103&amp;" "&amp;H103&amp;" "&amp;I103))))),1,0)</f>
        <v>1</v>
      </c>
      <c r="AM103" s="14">
        <f t="shared" si="13"/>
        <v>103</v>
      </c>
      <c r="AN103" s="14"/>
      <c r="AO103" s="14"/>
      <c r="AP103" s="16">
        <f>IF(AB103=0,"",IF(INDEX(Andamentos!$B$10:$B$2009,AB103)="","",INDEX(Andamentos!$B$10:$B$2009,AB103)))</f>
        <v>45994</v>
      </c>
      <c r="AQ103" s="17">
        <f>IF(AH103=0,"",IF(INDEX(Valores!$B$10:$B$509,AH103)="","",IF(ISNUMBER(INDEX(Valores!$B$10:$B$509,AH103)),INDEX(Valores!$B$10:$B$509,AH103),"")))</f>
        <v>10000</v>
      </c>
      <c r="AR103" s="14" t="str">
        <f t="shared" si="14"/>
        <v/>
      </c>
      <c r="AS103" s="14" t="str">
        <f t="shared" si="15"/>
        <v>P:1095925-23.2025.8.13.0024</v>
      </c>
      <c r="AT103" s="27" t="s">
        <v>759</v>
      </c>
      <c r="AU103" s="31" t="s">
        <v>754</v>
      </c>
      <c r="AV103" s="31"/>
      <c r="AW103" s="27"/>
      <c r="AX103" s="27" t="s">
        <v>246</v>
      </c>
      <c r="AY103" s="27"/>
      <c r="AZ103" s="27"/>
      <c r="BA103" s="30" t="str">
        <f t="shared" si="16"/>
        <v>1095925-23.2025.8.13.0024</v>
      </c>
      <c r="BB103" s="30" t="str">
        <f t="shared" si="17"/>
        <v/>
      </c>
      <c r="BC103" s="30">
        <f>IF(X103=0,0,IF(COUNTIFS($X$10:X103,1,$BA$10:BA103,BA103)=1,1,0))</f>
        <v>1</v>
      </c>
      <c r="BD103" s="29">
        <v>46064</v>
      </c>
    </row>
    <row r="104" spans="1:56" ht="42" customHeight="1">
      <c r="A104" s="41" t="s">
        <v>760</v>
      </c>
      <c r="B104" s="44" t="s">
        <v>161</v>
      </c>
      <c r="C104" s="44" t="s">
        <v>300</v>
      </c>
      <c r="D104" s="44" t="s">
        <v>163</v>
      </c>
      <c r="E104" s="44"/>
      <c r="F104" s="44"/>
      <c r="G104" s="44" t="s">
        <v>164</v>
      </c>
      <c r="H104" s="44" t="s">
        <v>761</v>
      </c>
      <c r="I104" s="44" t="s">
        <v>762</v>
      </c>
      <c r="J104" s="44" t="s">
        <v>763</v>
      </c>
      <c r="K104" s="44" t="s">
        <v>441</v>
      </c>
      <c r="L104" s="49"/>
      <c r="M104" s="48"/>
      <c r="N104" s="48" t="s">
        <v>376</v>
      </c>
      <c r="O104" s="48"/>
      <c r="P104" s="48"/>
      <c r="Q104" s="48" t="s">
        <v>377</v>
      </c>
      <c r="R104" s="48"/>
      <c r="S104" s="49"/>
      <c r="T104" s="48"/>
      <c r="U104" s="48" t="s">
        <v>764</v>
      </c>
      <c r="V104" s="14">
        <f t="shared" si="9"/>
        <v>1</v>
      </c>
      <c r="W104" s="14">
        <f t="shared" si="10"/>
        <v>1</v>
      </c>
      <c r="X104" s="14">
        <f>IF(AND(V104=1,OR(Painel!$C$6="Todos",D104=Painel!$C$6),AND(OR(Painel!$L$6="Todas",E104=Painel!$L$6),OR(Painel!$C$8="Todos",F104=Painel!$C$8),OR(Painel!$L$8="Todos",G104=Painel!$L$8),OR(Painel!$C$10="",ISNUMBER(SEARCH(SUBSTITUTE(SUBSTITUTE(SUBSTITUTE(Painel!$C$10,"~","~~"),"*","~*"),"?","~?"),A104&amp;" "&amp;H104&amp;" "&amp;I104))))),1,0)</f>
        <v>1</v>
      </c>
      <c r="Y104" s="14">
        <f t="shared" si="11"/>
        <v>0</v>
      </c>
      <c r="Z104" s="15">
        <f>IF(V104=0,"",IF(COUNTIFS(Andamentos!$K$10:$K$2009,"="&amp;SUBSTITUTE(SUBSTITUTE(SUBSTITUTE("P:"&amp;A104,"~","~~"),"*","~*"),"?","~?"),Andamentos!$G$10:$G$2009,1)=0,"",_xlfn.AGGREGATE(14,6,Andamentos!$D$10:$D$2009/((Andamentos!$K$10:$K$2009=AS104)*(Andamentos!$G$10:$G$2009=1)),1)))</f>
        <v>46286</v>
      </c>
      <c r="AA104" s="14">
        <f>IF(Z104="",0,COUNTIFS(Andamentos!$K$10:$K$2009,"="&amp;SUBSTITUTE(SUBSTITUTE(SUBSTITUTE("P:"&amp;A104,"~","~~"),"*","~*"),"?","~?"),Andamentos!$D$10:$D$2009,Z104,Andamentos!$G$10:$G$2009,1))</f>
        <v>1</v>
      </c>
      <c r="AB104" s="14">
        <f>IF(AA104=1,SUMIFS(Andamentos!$L$10:$L$2009,Andamentos!$K$10:$K$2009,"="&amp;SUBSTITUTE(SUBSTITUTE(SUBSTITUTE(AS104,"~","~~"),"*","~*"),"?","~?"),Andamentos!$D$10:$D$2009,Z104,Andamentos!$G$10:$G$2009,1)-9,0)</f>
        <v>95</v>
      </c>
      <c r="AC104" s="14" t="str">
        <f>IF(V104=0,"",IF(AA104&gt;1,"Conferir recebimentos empatados",IF(AB104=0,"Sem atualização",INDEX(Andamentos!$C$10:$C$2009,AB104))))</f>
        <v>18/09/2026 - Valor total vbloqueado em nome da reclamada CESAR TRANSPORTES. Negado provimento ao agravo interno apresentado pela alta, a execução provisória está integralmente garantida pela primeira reclamada, após o transito em julgado será possivel solicitar a restituição dos depositos judiciais feitos pela ALTA. [...] histórico completo em Observações</v>
      </c>
      <c r="AD104" s="14">
        <f ca="1">IF(W104=0,0,IF(MAX(Z104,BD104)=0,1,IF(Configurar!$J$12-INT(MAX(Z104,BD104))&gt;Configurar!$J$11,1,0)))</f>
        <v>0</v>
      </c>
      <c r="AE104" s="16"/>
      <c r="AF104" s="14"/>
      <c r="AG104" s="14"/>
      <c r="AH104" s="14">
        <f>IF(AND(V104=1,COUNTIFS(Valores!$S$10:$S$509,"="&amp;SUBSTITUTE(SUBSTITUTE(SUBSTITUTE("P:"&amp;A104,"~","~~"),"*","~*"),"?","~?"))=1),(IF(ISNA(MATCH(SUBSTITUTE(SUBSTITUTE(SUBSTITUTE("P:"&amp;A104,"~","~~"),"*","~*"),"?","~?"),Valores!$S$10:$S$509,0)),9,INDEX(Valores!$R$10:$R$509,MATCH(SUBSTITUTE(SUBSTITUTE(SUBSTITUTE("P:"&amp;A104,"~","~~"),"*","~*"),"?","~?"),Valores!$S$10:$S$509,0)))-9),0)</f>
        <v>95</v>
      </c>
      <c r="AI104" s="40" t="str">
        <f t="shared" si="12"/>
        <v>Informe a empresa responsável</v>
      </c>
      <c r="AJ104" s="14" t="str">
        <f>IF(AND(X104=1,Y104=1),COUNTIFS($X$10:X104,1,$Y$10:Y104,1),"")</f>
        <v/>
      </c>
      <c r="AK104" s="14">
        <f>IF(X104=1,COUNTIFS($X$10:X104,1),"")</f>
        <v>95</v>
      </c>
      <c r="AL104" s="14">
        <f>IF(AND(V104=1,AND(OR(Painel!$L$6="Todas",E104=Painel!$L$6),OR(Painel!$C$8="Todos",F104=Painel!$C$8),OR(Painel!$L$8="Todos",G104=Painel!$L$8),OR(Painel!$C$10="",ISNUMBER(SEARCH(SUBSTITUTE(SUBSTITUTE(SUBSTITUTE(Painel!$C$10,"~","~~"),"*","~*"),"?","~?"),A104&amp;" "&amp;H104&amp;" "&amp;I104))))),1,0)</f>
        <v>1</v>
      </c>
      <c r="AM104" s="14">
        <f t="shared" si="13"/>
        <v>104</v>
      </c>
      <c r="AN104" s="14"/>
      <c r="AO104" s="14"/>
      <c r="AP104" s="16">
        <f>IF(AB104=0,"",IF(INDEX(Andamentos!$B$10:$B$2009,AB104)="","",INDEX(Andamentos!$B$10:$B$2009,AB104)))</f>
        <v>46283</v>
      </c>
      <c r="AQ104" s="17">
        <f>IF(AH104=0,"",IF(INDEX(Valores!$B$10:$B$509,AH104)="","",IF(ISNUMBER(INDEX(Valores!$B$10:$B$509,AH104)),INDEX(Valores!$B$10:$B$509,AH104),"")))</f>
        <v>350000</v>
      </c>
      <c r="AR104" s="14" t="str">
        <f t="shared" si="14"/>
        <v/>
      </c>
      <c r="AS104" s="14" t="str">
        <f t="shared" si="15"/>
        <v>P:0000330-07.2025.5.10.0005</v>
      </c>
      <c r="AT104" s="27" t="s">
        <v>765</v>
      </c>
      <c r="AU104" s="31" t="s">
        <v>760</v>
      </c>
      <c r="AV104" s="31"/>
      <c r="AW104" s="27"/>
      <c r="AX104" s="27" t="s">
        <v>632</v>
      </c>
      <c r="AY104" s="27"/>
      <c r="AZ104" s="27"/>
      <c r="BA104" s="30" t="str">
        <f t="shared" si="16"/>
        <v>0000330-07.2025.5.10.0005</v>
      </c>
      <c r="BB104" s="30" t="str">
        <f t="shared" si="17"/>
        <v/>
      </c>
      <c r="BC104" s="30">
        <f>IF(X104=0,0,IF(COUNTIFS($X$10:X104,1,$BA$10:BA104,BA104)=1,1,0))</f>
        <v>1</v>
      </c>
      <c r="BD104" s="29">
        <v>46286</v>
      </c>
    </row>
    <row r="105" spans="1:56" ht="42" customHeight="1">
      <c r="A105" s="41" t="s">
        <v>766</v>
      </c>
      <c r="B105" s="44" t="s">
        <v>161</v>
      </c>
      <c r="C105" s="44" t="s">
        <v>252</v>
      </c>
      <c r="D105" s="44" t="s">
        <v>163</v>
      </c>
      <c r="E105" s="44"/>
      <c r="F105" s="44" t="s">
        <v>282</v>
      </c>
      <c r="G105" s="44" t="s">
        <v>164</v>
      </c>
      <c r="H105" s="44" t="s">
        <v>767</v>
      </c>
      <c r="I105" s="44" t="s">
        <v>768</v>
      </c>
      <c r="J105" s="44"/>
      <c r="K105" s="44" t="s">
        <v>178</v>
      </c>
      <c r="L105" s="49"/>
      <c r="M105" s="48"/>
      <c r="N105" s="48" t="s">
        <v>170</v>
      </c>
      <c r="O105" s="48"/>
      <c r="P105" s="48"/>
      <c r="Q105" s="48"/>
      <c r="R105" s="48"/>
      <c r="S105" s="49"/>
      <c r="T105" s="48"/>
      <c r="U105" s="48" t="s">
        <v>769</v>
      </c>
      <c r="V105" s="14">
        <f t="shared" si="9"/>
        <v>1</v>
      </c>
      <c r="W105" s="14">
        <f t="shared" si="10"/>
        <v>0</v>
      </c>
      <c r="X105" s="14">
        <f>IF(AND(V105=1,OR(Painel!$C$6="Todos",D105=Painel!$C$6),AND(OR(Painel!$L$6="Todas",E105=Painel!$L$6),OR(Painel!$C$8="Todos",F105=Painel!$C$8),OR(Painel!$L$8="Todos",G105=Painel!$L$8),OR(Painel!$C$10="",ISNUMBER(SEARCH(SUBSTITUTE(SUBSTITUTE(SUBSTITUTE(Painel!$C$10,"~","~~"),"*","~*"),"?","~?"),A105&amp;" "&amp;H105&amp;" "&amp;I105))))),1,0)</f>
        <v>1</v>
      </c>
      <c r="Y105" s="14">
        <f t="shared" si="11"/>
        <v>0</v>
      </c>
      <c r="Z105" s="15" t="str">
        <f>IF(V105=0,"",IF(COUNTIFS(Andamentos!$K$10:$K$2009,"="&amp;SUBSTITUTE(SUBSTITUTE(SUBSTITUTE("P:"&amp;A105,"~","~~"),"*","~*"),"?","~?"),Andamentos!$G$10:$G$2009,1)=0,"",_xlfn.AGGREGATE(14,6,Andamentos!$D$10:$D$2009/((Andamentos!$K$10:$K$2009=AS105)*(Andamentos!$G$10:$G$2009=1)),1)))</f>
        <v/>
      </c>
      <c r="AA105" s="14">
        <f>IF(Z105="",0,COUNTIFS(Andamentos!$K$10:$K$2009,"="&amp;SUBSTITUTE(SUBSTITUTE(SUBSTITUTE("P:"&amp;A105,"~","~~"),"*","~*"),"?","~?"),Andamentos!$D$10:$D$2009,Z105,Andamentos!$G$10:$G$2009,1))</f>
        <v>0</v>
      </c>
      <c r="AB105" s="14">
        <f>IF(AA105=1,SUMIFS(Andamentos!$L$10:$L$2009,Andamentos!$K$10:$K$2009,"="&amp;SUBSTITUTE(SUBSTITUTE(SUBSTITUTE(AS105,"~","~~"),"*","~*"),"?","~?"),Andamentos!$D$10:$D$2009,Z105,Andamentos!$G$10:$G$2009,1)-9,0)</f>
        <v>0</v>
      </c>
      <c r="AC105" s="14" t="str">
        <f>IF(V105=0,"",IF(AA105&gt;1,"Conferir recebimentos empatados",IF(AB105=0,"Sem atualização",INDEX(Andamentos!$C$10:$C$2009,AB105))))</f>
        <v>Sem atualização</v>
      </c>
      <c r="AD105" s="14">
        <f>IF(W105=0,0,IF(MAX(Z105,BD105)=0,1,IF(Configurar!$J$12-INT(MAX(Z105,BD105))&gt;Configurar!$J$11,1,0)))</f>
        <v>0</v>
      </c>
      <c r="AE105" s="16"/>
      <c r="AF105" s="14"/>
      <c r="AG105" s="14"/>
      <c r="AH105" s="14">
        <f>IF(AND(V105=1,COUNTIFS(Valores!$S$10:$S$509,"="&amp;SUBSTITUTE(SUBSTITUTE(SUBSTITUTE("P:"&amp;A105,"~","~~"),"*","~*"),"?","~?"))=1),(IF(ISNA(MATCH(SUBSTITUTE(SUBSTITUTE(SUBSTITUTE("P:"&amp;A105,"~","~~"),"*","~*"),"?","~?"),Valores!$S$10:$S$509,0)),9,INDEX(Valores!$R$10:$R$509,MATCH(SUBSTITUTE(SUBSTITUTE(SUBSTITUTE("P:"&amp;A105,"~","~~"),"*","~*"),"?","~?"),Valores!$S$10:$S$509,0)))-9),0)</f>
        <v>96</v>
      </c>
      <c r="AI105" s="40" t="str">
        <f t="shared" si="12"/>
        <v>Informe a empresa responsável</v>
      </c>
      <c r="AJ105" s="14" t="str">
        <f>IF(AND(X105=1,Y105=1),COUNTIFS($X$10:X105,1,$Y$10:Y105,1),"")</f>
        <v/>
      </c>
      <c r="AK105" s="14">
        <f>IF(X105=1,COUNTIFS($X$10:X105,1),"")</f>
        <v>96</v>
      </c>
      <c r="AL105" s="14">
        <f>IF(AND(V105=1,AND(OR(Painel!$L$6="Todas",E105=Painel!$L$6),OR(Painel!$C$8="Todos",F105=Painel!$C$8),OR(Painel!$L$8="Todos",G105=Painel!$L$8),OR(Painel!$C$10="",ISNUMBER(SEARCH(SUBSTITUTE(SUBSTITUTE(SUBSTITUTE(Painel!$C$10,"~","~~"),"*","~*"),"?","~?"),A105&amp;" "&amp;H105&amp;" "&amp;I105))))),1,0)</f>
        <v>1</v>
      </c>
      <c r="AM105" s="14">
        <f t="shared" si="13"/>
        <v>105</v>
      </c>
      <c r="AN105" s="14"/>
      <c r="AO105" s="14"/>
      <c r="AP105" s="16" t="str">
        <f>IF(AB105=0,"",IF(INDEX(Andamentos!$B$10:$B$2009,AB105)="","",INDEX(Andamentos!$B$10:$B$2009,AB105)))</f>
        <v/>
      </c>
      <c r="AQ105" s="17">
        <f>IF(AH105=0,"",IF(INDEX(Valores!$B$10:$B$509,AH105)="","",IF(ISNUMBER(INDEX(Valores!$B$10:$B$509,AH105)),INDEX(Valores!$B$10:$B$509,AH105),"")))</f>
        <v>295800</v>
      </c>
      <c r="AR105" s="14" t="str">
        <f t="shared" si="14"/>
        <v/>
      </c>
      <c r="AS105" s="14" t="str">
        <f t="shared" si="15"/>
        <v>P:0001127-22.2025.5.18.0211</v>
      </c>
      <c r="AT105" s="27" t="s">
        <v>770</v>
      </c>
      <c r="AU105" s="31" t="s">
        <v>766</v>
      </c>
      <c r="AV105" s="31"/>
      <c r="AW105" s="27"/>
      <c r="AX105" s="27" t="s">
        <v>246</v>
      </c>
      <c r="AY105" s="27"/>
      <c r="AZ105" s="27"/>
      <c r="BA105" s="30" t="str">
        <f t="shared" si="16"/>
        <v>0001127-22.2025.5.18.0211</v>
      </c>
      <c r="BB105" s="30" t="str">
        <f t="shared" si="17"/>
        <v/>
      </c>
      <c r="BC105" s="30">
        <f>IF(X105=0,0,IF(COUNTIFS($X$10:X105,1,$BA$10:BA105,BA105)=1,1,0))</f>
        <v>1</v>
      </c>
      <c r="BD105" s="29">
        <v>46064</v>
      </c>
    </row>
    <row r="106" spans="1:56" ht="42" customHeight="1">
      <c r="A106" s="41" t="s">
        <v>771</v>
      </c>
      <c r="B106" s="44" t="s">
        <v>161</v>
      </c>
      <c r="C106" s="44" t="s">
        <v>252</v>
      </c>
      <c r="D106" s="44" t="s">
        <v>163</v>
      </c>
      <c r="E106" s="44"/>
      <c r="F106" s="44" t="s">
        <v>282</v>
      </c>
      <c r="G106" s="44" t="s">
        <v>164</v>
      </c>
      <c r="H106" s="44" t="s">
        <v>772</v>
      </c>
      <c r="I106" s="44" t="s">
        <v>768</v>
      </c>
      <c r="J106" s="44"/>
      <c r="K106" s="44" t="s">
        <v>178</v>
      </c>
      <c r="L106" s="49"/>
      <c r="M106" s="48"/>
      <c r="N106" s="48" t="s">
        <v>170</v>
      </c>
      <c r="O106" s="48"/>
      <c r="P106" s="48"/>
      <c r="Q106" s="48"/>
      <c r="R106" s="48"/>
      <c r="S106" s="49"/>
      <c r="T106" s="48"/>
      <c r="U106" s="48" t="s">
        <v>773</v>
      </c>
      <c r="V106" s="14">
        <f t="shared" si="9"/>
        <v>1</v>
      </c>
      <c r="W106" s="14">
        <f t="shared" si="10"/>
        <v>0</v>
      </c>
      <c r="X106" s="14">
        <f>IF(AND(V106=1,OR(Painel!$C$6="Todos",D106=Painel!$C$6),AND(OR(Painel!$L$6="Todas",E106=Painel!$L$6),OR(Painel!$C$8="Todos",F106=Painel!$C$8),OR(Painel!$L$8="Todos",G106=Painel!$L$8),OR(Painel!$C$10="",ISNUMBER(SEARCH(SUBSTITUTE(SUBSTITUTE(SUBSTITUTE(Painel!$C$10,"~","~~"),"*","~*"),"?","~?"),A106&amp;" "&amp;H106&amp;" "&amp;I106))))),1,0)</f>
        <v>1</v>
      </c>
      <c r="Y106" s="14">
        <f t="shared" si="11"/>
        <v>0</v>
      </c>
      <c r="Z106" s="15">
        <f>IF(V106=0,"",IF(COUNTIFS(Andamentos!$K$10:$K$2009,"="&amp;SUBSTITUTE(SUBSTITUTE(SUBSTITUTE("P:"&amp;A106,"~","~~"),"*","~*"),"?","~?"),Andamentos!$G$10:$G$2009,1)=0,"",_xlfn.AGGREGATE(14,6,Andamentos!$D$10:$D$2009/((Andamentos!$K$10:$K$2009=AS106)*(Andamentos!$G$10:$G$2009=1)),1)))</f>
        <v>46064</v>
      </c>
      <c r="AA106" s="14">
        <f>IF(Z106="",0,COUNTIFS(Andamentos!$K$10:$K$2009,"="&amp;SUBSTITUTE(SUBSTITUTE(SUBSTITUTE("P:"&amp;A106,"~","~~"),"*","~*"),"?","~?"),Andamentos!$D$10:$D$2009,Z106,Andamentos!$G$10:$G$2009,1))</f>
        <v>1</v>
      </c>
      <c r="AB106" s="14">
        <f>IF(AA106=1,SUMIFS(Andamentos!$L$10:$L$2009,Andamentos!$K$10:$K$2009,"="&amp;SUBSTITUTE(SUBSTITUTE(SUBSTITUTE(AS106,"~","~~"),"*","~*"),"?","~?"),Andamentos!$D$10:$D$2009,Z106,Andamentos!$G$10:$G$2009,1)-9,0)</f>
        <v>96</v>
      </c>
      <c r="AC106" s="14" t="str">
        <f>IF(V106=0,"",IF(AA106&gt;1,"Conferir recebimentos empatados",IF(AB106=0,"Sem atualização",INDEX(Andamentos!$C$10:$C$2009,AB106))))</f>
        <v>03/09/2025 - Determinada suspensão do processo pela absolvição das Consorciadas 
no processo principal. [...] histórico completo em Observações</v>
      </c>
      <c r="AD106" s="14">
        <f>IF(W106=0,0,IF(MAX(Z106,BD106)=0,1,IF(Configurar!$J$12-INT(MAX(Z106,BD106))&gt;Configurar!$J$11,1,0)))</f>
        <v>0</v>
      </c>
      <c r="AE106" s="16"/>
      <c r="AF106" s="14"/>
      <c r="AG106" s="14"/>
      <c r="AH106" s="14">
        <f>IF(AND(V106=1,COUNTIFS(Valores!$S$10:$S$509,"="&amp;SUBSTITUTE(SUBSTITUTE(SUBSTITUTE("P:"&amp;A106,"~","~~"),"*","~*"),"?","~?"))=1),(IF(ISNA(MATCH(SUBSTITUTE(SUBSTITUTE(SUBSTITUTE("P:"&amp;A106,"~","~~"),"*","~*"),"?","~?"),Valores!$S$10:$S$509,0)),9,INDEX(Valores!$R$10:$R$509,MATCH(SUBSTITUTE(SUBSTITUTE(SUBSTITUTE("P:"&amp;A106,"~","~~"),"*","~*"),"?","~?"),Valores!$S$10:$S$509,0)))-9),0)</f>
        <v>97</v>
      </c>
      <c r="AI106" s="40" t="str">
        <f t="shared" si="12"/>
        <v>Informe a empresa responsável</v>
      </c>
      <c r="AJ106" s="14" t="str">
        <f>IF(AND(X106=1,Y106=1),COUNTIFS($X$10:X106,1,$Y$10:Y106,1),"")</f>
        <v/>
      </c>
      <c r="AK106" s="14">
        <f>IF(X106=1,COUNTIFS($X$10:X106,1),"")</f>
        <v>97</v>
      </c>
      <c r="AL106" s="14">
        <f>IF(AND(V106=1,AND(OR(Painel!$L$6="Todas",E106=Painel!$L$6),OR(Painel!$C$8="Todos",F106=Painel!$C$8),OR(Painel!$L$8="Todos",G106=Painel!$L$8),OR(Painel!$C$10="",ISNUMBER(SEARCH(SUBSTITUTE(SUBSTITUTE(SUBSTITUTE(Painel!$C$10,"~","~~"),"*","~*"),"?","~?"),A106&amp;" "&amp;H106&amp;" "&amp;I106))))),1,0)</f>
        <v>1</v>
      </c>
      <c r="AM106" s="14">
        <f t="shared" si="13"/>
        <v>106</v>
      </c>
      <c r="AN106" s="14"/>
      <c r="AO106" s="14"/>
      <c r="AP106" s="16">
        <f>IF(AB106=0,"",IF(INDEX(Andamentos!$B$10:$B$2009,AB106)="","",INDEX(Andamentos!$B$10:$B$2009,AB106)))</f>
        <v>45903</v>
      </c>
      <c r="AQ106" s="17">
        <f>IF(AH106=0,"",IF(INDEX(Valores!$B$10:$B$509,AH106)="","",IF(ISNUMBER(INDEX(Valores!$B$10:$B$509,AH106)),INDEX(Valores!$B$10:$B$509,AH106),"")))</f>
        <v>360876</v>
      </c>
      <c r="AR106" s="14" t="str">
        <f t="shared" si="14"/>
        <v/>
      </c>
      <c r="AS106" s="14" t="str">
        <f t="shared" si="15"/>
        <v>P:0001128-07.2025.5.18.0211</v>
      </c>
      <c r="AT106" s="27" t="s">
        <v>774</v>
      </c>
      <c r="AU106" s="31" t="s">
        <v>771</v>
      </c>
      <c r="AV106" s="31"/>
      <c r="AW106" s="27"/>
      <c r="AX106" s="27"/>
      <c r="AY106" s="27"/>
      <c r="AZ106" s="27"/>
      <c r="BA106" s="30" t="str">
        <f t="shared" si="16"/>
        <v>0001128-07.2025.5.18.0211</v>
      </c>
      <c r="BB106" s="30" t="str">
        <f t="shared" si="17"/>
        <v/>
      </c>
      <c r="BC106" s="30">
        <f>IF(X106=0,0,IF(COUNTIFS($X$10:X106,1,$BA$10:BA106,BA106)=1,1,0))</f>
        <v>1</v>
      </c>
      <c r="BD106" s="29">
        <v>46064</v>
      </c>
    </row>
    <row r="107" spans="1:56" ht="42" customHeight="1">
      <c r="A107" s="41" t="s">
        <v>775</v>
      </c>
      <c r="B107" s="44" t="s">
        <v>161</v>
      </c>
      <c r="C107" s="44" t="s">
        <v>162</v>
      </c>
      <c r="D107" s="44" t="s">
        <v>163</v>
      </c>
      <c r="E107" s="44"/>
      <c r="F107" s="44"/>
      <c r="G107" s="44" t="s">
        <v>164</v>
      </c>
      <c r="H107" s="44" t="s">
        <v>776</v>
      </c>
      <c r="I107" s="44" t="s">
        <v>777</v>
      </c>
      <c r="J107" s="44"/>
      <c r="K107" s="44" t="s">
        <v>178</v>
      </c>
      <c r="L107" s="49"/>
      <c r="M107" s="48" t="s">
        <v>778</v>
      </c>
      <c r="N107" s="48" t="s">
        <v>170</v>
      </c>
      <c r="O107" s="48"/>
      <c r="P107" s="48"/>
      <c r="Q107" s="48"/>
      <c r="R107" s="48"/>
      <c r="S107" s="49"/>
      <c r="T107" s="48"/>
      <c r="U107" s="48" t="s">
        <v>779</v>
      </c>
      <c r="V107" s="14">
        <f t="shared" si="9"/>
        <v>1</v>
      </c>
      <c r="W107" s="14">
        <f t="shared" si="10"/>
        <v>0</v>
      </c>
      <c r="X107" s="14">
        <f>IF(AND(V107=1,OR(Painel!$C$6="Todos",D107=Painel!$C$6),AND(OR(Painel!$L$6="Todas",E107=Painel!$L$6),OR(Painel!$C$8="Todos",F107=Painel!$C$8),OR(Painel!$L$8="Todos",G107=Painel!$L$8),OR(Painel!$C$10="",ISNUMBER(SEARCH(SUBSTITUTE(SUBSTITUTE(SUBSTITUTE(Painel!$C$10,"~","~~"),"*","~*"),"?","~?"),A107&amp;" "&amp;H107&amp;" "&amp;I107))))),1,0)</f>
        <v>1</v>
      </c>
      <c r="Y107" s="14">
        <f t="shared" si="11"/>
        <v>0</v>
      </c>
      <c r="Z107" s="15">
        <f>IF(V107=0,"",IF(COUNTIFS(Andamentos!$K$10:$K$2009,"="&amp;SUBSTITUTE(SUBSTITUTE(SUBSTITUTE("P:"&amp;A107,"~","~~"),"*","~*"),"?","~?"),Andamentos!$G$10:$G$2009,1)=0,"",_xlfn.AGGREGATE(14,6,Andamentos!$D$10:$D$2009/((Andamentos!$K$10:$K$2009=AS107)*(Andamentos!$G$10:$G$2009=1)),1)))</f>
        <v>46084</v>
      </c>
      <c r="AA107" s="14">
        <f>IF(Z107="",0,COUNTIFS(Andamentos!$K$10:$K$2009,"="&amp;SUBSTITUTE(SUBSTITUTE(SUBSTITUTE("P:"&amp;A107,"~","~~"),"*","~*"),"?","~?"),Andamentos!$D$10:$D$2009,Z107,Andamentos!$G$10:$G$2009,1))</f>
        <v>1</v>
      </c>
      <c r="AB107" s="14">
        <f>IF(AA107=1,SUMIFS(Andamentos!$L$10:$L$2009,Andamentos!$K$10:$K$2009,"="&amp;SUBSTITUTE(SUBSTITUTE(SUBSTITUTE(AS107,"~","~~"),"*","~*"),"?","~?"),Andamentos!$D$10:$D$2009,Z107,Andamentos!$G$10:$G$2009,1)-9,0)</f>
        <v>97</v>
      </c>
      <c r="AC107" s="14" t="str">
        <f>IF(V107=0,"",IF(AA107&gt;1,"Conferir recebimentos empatados",IF(AB107=0,"Sem atualização",INDEX(Andamentos!$C$10:$C$2009,AB107))))</f>
        <v>02/03/2026 - Recebemos a intimação [...] histórico completo em Observações</v>
      </c>
      <c r="AD107" s="14">
        <f>IF(W107=0,0,IF(MAX(Z107,BD107)=0,1,IF(Configurar!$J$12-INT(MAX(Z107,BD107))&gt;Configurar!$J$11,1,0)))</f>
        <v>0</v>
      </c>
      <c r="AE107" s="16"/>
      <c r="AF107" s="14"/>
      <c r="AG107" s="14"/>
      <c r="AH107" s="14">
        <f>IF(AND(V107=1,COUNTIFS(Valores!$S$10:$S$509,"="&amp;SUBSTITUTE(SUBSTITUTE(SUBSTITUTE("P:"&amp;A107,"~","~~"),"*","~*"),"?","~?"))=1),(IF(ISNA(MATCH(SUBSTITUTE(SUBSTITUTE(SUBSTITUTE("P:"&amp;A107,"~","~~"),"*","~*"),"?","~?"),Valores!$S$10:$S$509,0)),9,INDEX(Valores!$R$10:$R$509,MATCH(SUBSTITUTE(SUBSTITUTE(SUBSTITUTE("P:"&amp;A107,"~","~~"),"*","~*"),"?","~?"),Valores!$S$10:$S$509,0)))-9),0)</f>
        <v>98</v>
      </c>
      <c r="AI107" s="40" t="str">
        <f t="shared" si="12"/>
        <v>Informe a empresa responsável</v>
      </c>
      <c r="AJ107" s="14" t="str">
        <f>IF(AND(X107=1,Y107=1),COUNTIFS($X$10:X107,1,$Y$10:Y107,1),"")</f>
        <v/>
      </c>
      <c r="AK107" s="14">
        <f>IF(X107=1,COUNTIFS($X$10:X107,1),"")</f>
        <v>98</v>
      </c>
      <c r="AL107" s="14">
        <f>IF(AND(V107=1,AND(OR(Painel!$L$6="Todas",E107=Painel!$L$6),OR(Painel!$C$8="Todos",F107=Painel!$C$8),OR(Painel!$L$8="Todos",G107=Painel!$L$8),OR(Painel!$C$10="",ISNUMBER(SEARCH(SUBSTITUTE(SUBSTITUTE(SUBSTITUTE(Painel!$C$10,"~","~~"),"*","~*"),"?","~?"),A107&amp;" "&amp;H107&amp;" "&amp;I107))))),1,0)</f>
        <v>1</v>
      </c>
      <c r="AM107" s="14">
        <f t="shared" si="13"/>
        <v>107</v>
      </c>
      <c r="AN107" s="14"/>
      <c r="AO107" s="14"/>
      <c r="AP107" s="16">
        <f>IF(AB107=0,"",IF(INDEX(Andamentos!$B$10:$B$2009,AB107)="","",INDEX(Andamentos!$B$10:$B$2009,AB107)))</f>
        <v>46083</v>
      </c>
      <c r="AQ107" s="17">
        <f>IF(AH107=0,"",IF(INDEX(Valores!$B$10:$B$509,AH107)="","",IF(ISNUMBER(INDEX(Valores!$B$10:$B$509,AH107)),INDEX(Valores!$B$10:$B$509,AH107),"")))</f>
        <v>12952.93</v>
      </c>
      <c r="AR107" s="14" t="str">
        <f t="shared" si="14"/>
        <v/>
      </c>
      <c r="AS107" s="14" t="str">
        <f t="shared" si="15"/>
        <v>P:0010890-77.2018.5.18.0054</v>
      </c>
      <c r="AT107" s="27" t="s">
        <v>780</v>
      </c>
      <c r="AU107" s="31" t="s">
        <v>775</v>
      </c>
      <c r="AV107" s="31"/>
      <c r="AW107" s="27" t="s">
        <v>162</v>
      </c>
      <c r="AX107" s="27" t="s">
        <v>246</v>
      </c>
      <c r="AY107" s="27"/>
      <c r="AZ107" s="27"/>
      <c r="BA107" s="30" t="str">
        <f t="shared" si="16"/>
        <v>0010890-77.2018.5.18.0054</v>
      </c>
      <c r="BB107" s="30" t="str">
        <f t="shared" si="17"/>
        <v/>
      </c>
      <c r="BC107" s="30">
        <f>IF(X107=0,0,IF(COUNTIFS($X$10:X107,1,$BA$10:BA107,BA107)=1,1,0))</f>
        <v>1</v>
      </c>
      <c r="BD107" s="29">
        <v>46084</v>
      </c>
    </row>
    <row r="108" spans="1:56" ht="42" customHeight="1">
      <c r="A108" s="41" t="s">
        <v>781</v>
      </c>
      <c r="B108" s="44" t="s">
        <v>161</v>
      </c>
      <c r="C108" s="44" t="s">
        <v>162</v>
      </c>
      <c r="D108" s="44" t="s">
        <v>163</v>
      </c>
      <c r="E108" s="44"/>
      <c r="F108" s="44"/>
      <c r="G108" s="44" t="s">
        <v>164</v>
      </c>
      <c r="H108" s="44" t="s">
        <v>782</v>
      </c>
      <c r="I108" s="44" t="s">
        <v>777</v>
      </c>
      <c r="J108" s="44" t="s">
        <v>783</v>
      </c>
      <c r="K108" s="44" t="s">
        <v>178</v>
      </c>
      <c r="L108" s="49"/>
      <c r="M108" s="48" t="s">
        <v>784</v>
      </c>
      <c r="N108" s="48" t="s">
        <v>170</v>
      </c>
      <c r="O108" s="48"/>
      <c r="P108" s="48"/>
      <c r="Q108" s="48"/>
      <c r="R108" s="48"/>
      <c r="S108" s="49"/>
      <c r="T108" s="48"/>
      <c r="U108" s="48" t="s">
        <v>785</v>
      </c>
      <c r="V108" s="14">
        <f t="shared" si="9"/>
        <v>1</v>
      </c>
      <c r="W108" s="14">
        <f t="shared" si="10"/>
        <v>0</v>
      </c>
      <c r="X108" s="14">
        <f>IF(AND(V108=1,OR(Painel!$C$6="Todos",D108=Painel!$C$6),AND(OR(Painel!$L$6="Todas",E108=Painel!$L$6),OR(Painel!$C$8="Todos",F108=Painel!$C$8),OR(Painel!$L$8="Todos",G108=Painel!$L$8),OR(Painel!$C$10="",ISNUMBER(SEARCH(SUBSTITUTE(SUBSTITUTE(SUBSTITUTE(Painel!$C$10,"~","~~"),"*","~*"),"?","~?"),A108&amp;" "&amp;H108&amp;" "&amp;I108))))),1,0)</f>
        <v>1</v>
      </c>
      <c r="Y108" s="14">
        <f t="shared" si="11"/>
        <v>0</v>
      </c>
      <c r="Z108" s="15">
        <f>IF(V108=0,"",IF(COUNTIFS(Andamentos!$K$10:$K$2009,"="&amp;SUBSTITUTE(SUBSTITUTE(SUBSTITUTE("P:"&amp;A108,"~","~~"),"*","~*"),"?","~?"),Andamentos!$G$10:$G$2009,1)=0,"",_xlfn.AGGREGATE(14,6,Andamentos!$D$10:$D$2009/((Andamentos!$K$10:$K$2009=AS108)*(Andamentos!$G$10:$G$2009=1)),1)))</f>
        <v>46072</v>
      </c>
      <c r="AA108" s="14">
        <f>IF(Z108="",0,COUNTIFS(Andamentos!$K$10:$K$2009,"="&amp;SUBSTITUTE(SUBSTITUTE(SUBSTITUTE("P:"&amp;A108,"~","~~"),"*","~*"),"?","~?"),Andamentos!$D$10:$D$2009,Z108,Andamentos!$G$10:$G$2009,1))</f>
        <v>1</v>
      </c>
      <c r="AB108" s="14">
        <f>IF(AA108=1,SUMIFS(Andamentos!$L$10:$L$2009,Andamentos!$K$10:$K$2009,"="&amp;SUBSTITUTE(SUBSTITUTE(SUBSTITUTE(AS108,"~","~~"),"*","~*"),"?","~?"),Andamentos!$D$10:$D$2009,Z108,Andamentos!$G$10:$G$2009,1)-9,0)</f>
        <v>98</v>
      </c>
      <c r="AC108" s="14" t="str">
        <f>IF(V108=0,"",IF(AA108&gt;1,"Conferir recebimentos empatados",IF(AB108=0,"Sem atualização",INDEX(Andamentos!$C$10:$C$2009,AB108))))</f>
        <v>17/03/2026 - Setença que determinou a exclusão da Alta, Pavienge, Cava e Setorsul. [...] histórico completo em Observações</v>
      </c>
      <c r="AD108" s="14">
        <f>IF(W108=0,0,IF(MAX(Z108,BD108)=0,1,IF(Configurar!$J$12-INT(MAX(Z108,BD108))&gt;Configurar!$J$11,1,0)))</f>
        <v>0</v>
      </c>
      <c r="AE108" s="16"/>
      <c r="AF108" s="14"/>
      <c r="AG108" s="14"/>
      <c r="AH108" s="14">
        <f>IF(AND(V108=1,COUNTIFS(Valores!$S$10:$S$509,"="&amp;SUBSTITUTE(SUBSTITUTE(SUBSTITUTE("P:"&amp;A108,"~","~~"),"*","~*"),"?","~?"))=1),(IF(ISNA(MATCH(SUBSTITUTE(SUBSTITUTE(SUBSTITUTE("P:"&amp;A108,"~","~~"),"*","~*"),"?","~?"),Valores!$S$10:$S$509,0)),9,INDEX(Valores!$R$10:$R$509,MATCH(SUBSTITUTE(SUBSTITUTE(SUBSTITUTE("P:"&amp;A108,"~","~~"),"*","~*"),"?","~?"),Valores!$S$10:$S$509,0)))-9),0)</f>
        <v>99</v>
      </c>
      <c r="AI108" s="40" t="str">
        <f t="shared" si="12"/>
        <v>Informe a empresa responsável</v>
      </c>
      <c r="AJ108" s="14" t="str">
        <f>IF(AND(X108=1,Y108=1),COUNTIFS($X$10:X108,1,$Y$10:Y108,1),"")</f>
        <v/>
      </c>
      <c r="AK108" s="14">
        <f>IF(X108=1,COUNTIFS($X$10:X108,1),"")</f>
        <v>99</v>
      </c>
      <c r="AL108" s="14">
        <f>IF(AND(V108=1,AND(OR(Painel!$L$6="Todas",E108=Painel!$L$6),OR(Painel!$C$8="Todos",F108=Painel!$C$8),OR(Painel!$L$8="Todos",G108=Painel!$L$8),OR(Painel!$C$10="",ISNUMBER(SEARCH(SUBSTITUTE(SUBSTITUTE(SUBSTITUTE(Painel!$C$10,"~","~~"),"*","~*"),"?","~?"),A108&amp;" "&amp;H108&amp;" "&amp;I108))))),1,0)</f>
        <v>1</v>
      </c>
      <c r="AM108" s="14">
        <f t="shared" si="13"/>
        <v>108</v>
      </c>
      <c r="AN108" s="14"/>
      <c r="AO108" s="14"/>
      <c r="AP108" s="16">
        <f>IF(AB108=0,"",IF(INDEX(Andamentos!$B$10:$B$2009,AB108)="","",INDEX(Andamentos!$B$10:$B$2009,AB108)))</f>
        <v>46098</v>
      </c>
      <c r="AQ108" s="17">
        <f>IF(AH108=0,"",IF(INDEX(Valores!$B$10:$B$509,AH108)="","",IF(ISNUMBER(INDEX(Valores!$B$10:$B$509,AH108)),INDEX(Valores!$B$10:$B$509,AH108),"")))</f>
        <v>24889.15</v>
      </c>
      <c r="AR108" s="14" t="str">
        <f t="shared" si="14"/>
        <v/>
      </c>
      <c r="AS108" s="14" t="str">
        <f t="shared" si="15"/>
        <v>P:0010008-81.2019.5.18.0054</v>
      </c>
      <c r="AT108" s="27" t="s">
        <v>786</v>
      </c>
      <c r="AU108" s="31" t="s">
        <v>781</v>
      </c>
      <c r="AV108" s="31"/>
      <c r="AW108" s="27" t="s">
        <v>162</v>
      </c>
      <c r="AX108" s="27" t="s">
        <v>246</v>
      </c>
      <c r="AY108" s="27"/>
      <c r="AZ108" s="27"/>
      <c r="BA108" s="30" t="str">
        <f t="shared" si="16"/>
        <v>0010008-81.2019.5.18.0054</v>
      </c>
      <c r="BB108" s="30" t="str">
        <f t="shared" si="17"/>
        <v/>
      </c>
      <c r="BC108" s="30">
        <f>IF(X108=0,0,IF(COUNTIFS($X$10:X108,1,$BA$10:BA108,BA108)=1,1,0))</f>
        <v>1</v>
      </c>
      <c r="BD108" s="29">
        <v>46072</v>
      </c>
    </row>
    <row r="109" spans="1:56" ht="42" customHeight="1">
      <c r="A109" s="41" t="s">
        <v>787</v>
      </c>
      <c r="B109" s="44" t="s">
        <v>161</v>
      </c>
      <c r="C109" s="44" t="s">
        <v>300</v>
      </c>
      <c r="D109" s="44" t="s">
        <v>163</v>
      </c>
      <c r="E109" s="44"/>
      <c r="F109" s="44"/>
      <c r="G109" s="44" t="s">
        <v>164</v>
      </c>
      <c r="H109" s="44" t="s">
        <v>788</v>
      </c>
      <c r="I109" s="44" t="s">
        <v>777</v>
      </c>
      <c r="J109" s="44"/>
      <c r="K109" s="44" t="s">
        <v>178</v>
      </c>
      <c r="L109" s="49"/>
      <c r="M109" s="48" t="s">
        <v>789</v>
      </c>
      <c r="N109" s="48" t="s">
        <v>170</v>
      </c>
      <c r="O109" s="48"/>
      <c r="P109" s="48"/>
      <c r="Q109" s="48"/>
      <c r="R109" s="48"/>
      <c r="S109" s="49"/>
      <c r="T109" s="48"/>
      <c r="U109" s="48" t="s">
        <v>790</v>
      </c>
      <c r="V109" s="14">
        <f t="shared" si="9"/>
        <v>1</v>
      </c>
      <c r="W109" s="14">
        <f t="shared" si="10"/>
        <v>1</v>
      </c>
      <c r="X109" s="14">
        <f>IF(AND(V109=1,OR(Painel!$C$6="Todos",D109=Painel!$C$6),AND(OR(Painel!$L$6="Todas",E109=Painel!$L$6),OR(Painel!$C$8="Todos",F109=Painel!$C$8),OR(Painel!$L$8="Todos",G109=Painel!$L$8),OR(Painel!$C$10="",ISNUMBER(SEARCH(SUBSTITUTE(SUBSTITUTE(SUBSTITUTE(Painel!$C$10,"~","~~"),"*","~*"),"?","~?"),A109&amp;" "&amp;H109&amp;" "&amp;I109))))),1,0)</f>
        <v>1</v>
      </c>
      <c r="Y109" s="14">
        <f t="shared" si="11"/>
        <v>0</v>
      </c>
      <c r="Z109" s="15">
        <f>IF(V109=0,"",IF(COUNTIFS(Andamentos!$K$10:$K$2009,"="&amp;SUBSTITUTE(SUBSTITUTE(SUBSTITUTE("P:"&amp;A109,"~","~~"),"*","~*"),"?","~?"),Andamentos!$G$10:$G$2009,1)=0,"",_xlfn.AGGREGATE(14,6,Andamentos!$D$10:$D$2009/((Andamentos!$K$10:$K$2009=AS109)*(Andamentos!$G$10:$G$2009=1)),1)))</f>
        <v>46073</v>
      </c>
      <c r="AA109" s="14">
        <f>IF(Z109="",0,COUNTIFS(Andamentos!$K$10:$K$2009,"="&amp;SUBSTITUTE(SUBSTITUTE(SUBSTITUTE("P:"&amp;A109,"~","~~"),"*","~*"),"?","~?"),Andamentos!$D$10:$D$2009,Z109,Andamentos!$G$10:$G$2009,1))</f>
        <v>1</v>
      </c>
      <c r="AB109" s="14">
        <f>IF(AA109=1,SUMIFS(Andamentos!$L$10:$L$2009,Andamentos!$K$10:$K$2009,"="&amp;SUBSTITUTE(SUBSTITUTE(SUBSTITUTE(AS109,"~","~~"),"*","~*"),"?","~?"),Andamentos!$D$10:$D$2009,Z109,Andamentos!$G$10:$G$2009,1)-9,0)</f>
        <v>99</v>
      </c>
      <c r="AC109" s="14" t="str">
        <f>IF(V109=0,"",IF(AA109&gt;1,"Conferir recebimentos empatados",IF(AB109=0,"Sem atualização",INDEX(Andamentos!$C$10:$C$2009,AB109))))</f>
        <v>09/03/2026 - Alta foi notificada. [...] histórico completo em Observações</v>
      </c>
      <c r="AD109" s="14">
        <f ca="1">IF(W109=0,0,IF(MAX(Z109,BD109)=0,1,IF(Configurar!$J$12-INT(MAX(Z109,BD109))&gt;Configurar!$J$11,1,0)))</f>
        <v>1</v>
      </c>
      <c r="AE109" s="16"/>
      <c r="AF109" s="14"/>
      <c r="AG109" s="14"/>
      <c r="AH109" s="14">
        <f>IF(AND(V109=1,COUNTIFS(Valores!$S$10:$S$509,"="&amp;SUBSTITUTE(SUBSTITUTE(SUBSTITUTE("P:"&amp;A109,"~","~~"),"*","~*"),"?","~?"))=1),(IF(ISNA(MATCH(SUBSTITUTE(SUBSTITUTE(SUBSTITUTE("P:"&amp;A109,"~","~~"),"*","~*"),"?","~?"),Valores!$S$10:$S$509,0)),9,INDEX(Valores!$R$10:$R$509,MATCH(SUBSTITUTE(SUBSTITUTE(SUBSTITUTE("P:"&amp;A109,"~","~~"),"*","~*"),"?","~?"),Valores!$S$10:$S$509,0)))-9),0)</f>
        <v>100</v>
      </c>
      <c r="AI109" s="40" t="str">
        <f t="shared" si="12"/>
        <v>Informe a empresa responsável</v>
      </c>
      <c r="AJ109" s="14" t="str">
        <f>IF(AND(X109=1,Y109=1),COUNTIFS($X$10:X109,1,$Y$10:Y109,1),"")</f>
        <v/>
      </c>
      <c r="AK109" s="14">
        <f>IF(X109=1,COUNTIFS($X$10:X109,1),"")</f>
        <v>100</v>
      </c>
      <c r="AL109" s="14">
        <f>IF(AND(V109=1,AND(OR(Painel!$L$6="Todas",E109=Painel!$L$6),OR(Painel!$C$8="Todos",F109=Painel!$C$8),OR(Painel!$L$8="Todos",G109=Painel!$L$8),OR(Painel!$C$10="",ISNUMBER(SEARCH(SUBSTITUTE(SUBSTITUTE(SUBSTITUTE(Painel!$C$10,"~","~~"),"*","~*"),"?","~?"),A109&amp;" "&amp;H109&amp;" "&amp;I109))))),1,0)</f>
        <v>1</v>
      </c>
      <c r="AM109" s="14">
        <f t="shared" si="13"/>
        <v>109</v>
      </c>
      <c r="AN109" s="14"/>
      <c r="AO109" s="14"/>
      <c r="AP109" s="16">
        <f>IF(AB109=0,"",IF(INDEX(Andamentos!$B$10:$B$2009,AB109)="","",INDEX(Andamentos!$B$10:$B$2009,AB109)))</f>
        <v>46090</v>
      </c>
      <c r="AQ109" s="17">
        <f>IF(AH109=0,"",IF(INDEX(Valores!$B$10:$B$509,AH109)="","",IF(ISNUMBER(INDEX(Valores!$B$10:$B$509,AH109)),INDEX(Valores!$B$10:$B$509,AH109),"")))</f>
        <v>33486.449999999997</v>
      </c>
      <c r="AR109" s="14" t="str">
        <f t="shared" si="14"/>
        <v/>
      </c>
      <c r="AS109" s="14" t="str">
        <f t="shared" si="15"/>
        <v>P:0010009-66.2019.5.18.0054</v>
      </c>
      <c r="AT109" s="27" t="s">
        <v>791</v>
      </c>
      <c r="AU109" s="31" t="s">
        <v>787</v>
      </c>
      <c r="AV109" s="31"/>
      <c r="AW109" s="27"/>
      <c r="AX109" s="27"/>
      <c r="AY109" s="27"/>
      <c r="AZ109" s="27"/>
      <c r="BA109" s="30" t="str">
        <f t="shared" si="16"/>
        <v>0010009-66.2019.5.18.0054</v>
      </c>
      <c r="BB109" s="30" t="str">
        <f t="shared" si="17"/>
        <v/>
      </c>
      <c r="BC109" s="30">
        <f>IF(X109=0,0,IF(COUNTIFS($X$10:X109,1,$BA$10:BA109,BA109)=1,1,0))</f>
        <v>1</v>
      </c>
      <c r="BD109" s="29">
        <v>46073</v>
      </c>
    </row>
    <row r="110" spans="1:56" ht="42" customHeight="1">
      <c r="A110" s="41" t="s">
        <v>792</v>
      </c>
      <c r="B110" s="44" t="s">
        <v>161</v>
      </c>
      <c r="C110" s="44" t="s">
        <v>300</v>
      </c>
      <c r="D110" s="44" t="s">
        <v>163</v>
      </c>
      <c r="E110" s="44"/>
      <c r="F110" s="44"/>
      <c r="G110" s="44" t="s">
        <v>238</v>
      </c>
      <c r="H110" s="44" t="s">
        <v>793</v>
      </c>
      <c r="I110" s="44" t="s">
        <v>794</v>
      </c>
      <c r="J110" s="44"/>
      <c r="K110" s="44" t="s">
        <v>795</v>
      </c>
      <c r="L110" s="49">
        <v>43489</v>
      </c>
      <c r="M110" s="48" t="s">
        <v>796</v>
      </c>
      <c r="N110" s="48" t="s">
        <v>170</v>
      </c>
      <c r="O110" s="48"/>
      <c r="P110" s="48"/>
      <c r="Q110" s="48"/>
      <c r="R110" s="48"/>
      <c r="S110" s="49"/>
      <c r="T110" s="48"/>
      <c r="U110" s="48" t="s">
        <v>797</v>
      </c>
      <c r="V110" s="14">
        <f t="shared" si="9"/>
        <v>1</v>
      </c>
      <c r="W110" s="14">
        <f t="shared" si="10"/>
        <v>1</v>
      </c>
      <c r="X110" s="14">
        <f>IF(AND(V110=1,OR(Painel!$C$6="Todos",D110=Painel!$C$6),AND(OR(Painel!$L$6="Todas",E110=Painel!$L$6),OR(Painel!$C$8="Todos",F110=Painel!$C$8),OR(Painel!$L$8="Todos",G110=Painel!$L$8),OR(Painel!$C$10="",ISNUMBER(SEARCH(SUBSTITUTE(SUBSTITUTE(SUBSTITUTE(Painel!$C$10,"~","~~"),"*","~*"),"?","~?"),A110&amp;" "&amp;H110&amp;" "&amp;I110))))),1,0)</f>
        <v>1</v>
      </c>
      <c r="Y110" s="14">
        <f t="shared" si="11"/>
        <v>0</v>
      </c>
      <c r="Z110" s="15">
        <f>IF(V110=0,"",IF(COUNTIFS(Andamentos!$K$10:$K$2009,"="&amp;SUBSTITUTE(SUBSTITUTE(SUBSTITUTE("P:"&amp;A110,"~","~~"),"*","~*"),"?","~?"),Andamentos!$G$10:$G$2009,1)=0,"",_xlfn.AGGREGATE(14,6,Andamentos!$D$10:$D$2009/((Andamentos!$K$10:$K$2009=AS110)*(Andamentos!$G$10:$G$2009=1)),1)))</f>
        <v>46072</v>
      </c>
      <c r="AA110" s="14">
        <f>IF(Z110="",0,COUNTIFS(Andamentos!$K$10:$K$2009,"="&amp;SUBSTITUTE(SUBSTITUTE(SUBSTITUTE("P:"&amp;A110,"~","~~"),"*","~*"),"?","~?"),Andamentos!$D$10:$D$2009,Z110,Andamentos!$G$10:$G$2009,1))</f>
        <v>1</v>
      </c>
      <c r="AB110" s="14">
        <f>IF(AA110=1,SUMIFS(Andamentos!$L$10:$L$2009,Andamentos!$K$10:$K$2009,"="&amp;SUBSTITUTE(SUBSTITUTE(SUBSTITUTE(AS110,"~","~~"),"*","~*"),"?","~?"),Andamentos!$D$10:$D$2009,Z110,Andamentos!$G$10:$G$2009,1)-9,0)</f>
        <v>100</v>
      </c>
      <c r="AC110" s="14" t="str">
        <f>IF(V110=0,"",IF(AA110&gt;1,"Conferir recebimentos empatados",IF(AB110=0,"Sem atualização",INDEX(Andamentos!$C$10:$C$2009,AB110))))</f>
        <v>09/02/2026 - Cumprimento de sentença, SISBAJUD, RENAJUD, INFOJUD, CNID, SERASAJUD [...] histórico completo em Observações</v>
      </c>
      <c r="AD110" s="14">
        <f ca="1">IF(W110=0,0,IF(MAX(Z110,BD110)=0,1,IF(Configurar!$J$12-INT(MAX(Z110,BD110))&gt;Configurar!$J$11,1,0)))</f>
        <v>1</v>
      </c>
      <c r="AE110" s="16"/>
      <c r="AF110" s="14"/>
      <c r="AG110" s="14"/>
      <c r="AH110" s="14">
        <f>IF(AND(V110=1,COUNTIFS(Valores!$S$10:$S$509,"="&amp;SUBSTITUTE(SUBSTITUTE(SUBSTITUTE("P:"&amp;A110,"~","~~"),"*","~*"),"?","~?"))=1),(IF(ISNA(MATCH(SUBSTITUTE(SUBSTITUTE(SUBSTITUTE("P:"&amp;A110,"~","~~"),"*","~*"),"?","~?"),Valores!$S$10:$S$509,0)),9,INDEX(Valores!$R$10:$R$509,MATCH(SUBSTITUTE(SUBSTITUTE(SUBSTITUTE("P:"&amp;A110,"~","~~"),"*","~*"),"?","~?"),Valores!$S$10:$S$509,0)))-9),0)</f>
        <v>101</v>
      </c>
      <c r="AI110" s="40" t="str">
        <f t="shared" si="12"/>
        <v>Informe a empresa responsável</v>
      </c>
      <c r="AJ110" s="14" t="str">
        <f>IF(AND(X110=1,Y110=1),COUNTIFS($X$10:X110,1,$Y$10:Y110,1),"")</f>
        <v/>
      </c>
      <c r="AK110" s="14">
        <f>IF(X110=1,COUNTIFS($X$10:X110,1),"")</f>
        <v>101</v>
      </c>
      <c r="AL110" s="14">
        <f>IF(AND(V110=1,AND(OR(Painel!$L$6="Todas",E110=Painel!$L$6),OR(Painel!$C$8="Todos",F110=Painel!$C$8),OR(Painel!$L$8="Todos",G110=Painel!$L$8),OR(Painel!$C$10="",ISNUMBER(SEARCH(SUBSTITUTE(SUBSTITUTE(SUBSTITUTE(Painel!$C$10,"~","~~"),"*","~*"),"?","~?"),A110&amp;" "&amp;H110&amp;" "&amp;I110))))),1,0)</f>
        <v>1</v>
      </c>
      <c r="AM110" s="14">
        <f t="shared" si="13"/>
        <v>110</v>
      </c>
      <c r="AN110" s="14"/>
      <c r="AO110" s="14"/>
      <c r="AP110" s="16">
        <f>IF(AB110=0,"",IF(INDEX(Andamentos!$B$10:$B$2009,AB110)="","",INDEX(Andamentos!$B$10:$B$2009,AB110)))</f>
        <v>46062</v>
      </c>
      <c r="AQ110" s="17">
        <f>IF(AH110=0,"",IF(INDEX(Valores!$B$10:$B$509,AH110)="","",IF(ISNUMBER(INDEX(Valores!$B$10:$B$509,AH110)),INDEX(Valores!$B$10:$B$509,AH110),"")))</f>
        <v>171753.38</v>
      </c>
      <c r="AR110" s="14" t="str">
        <f t="shared" si="14"/>
        <v/>
      </c>
      <c r="AS110" s="14" t="str">
        <f t="shared" si="15"/>
        <v>P:0002951-37.2019.8.27.2729</v>
      </c>
      <c r="AT110" s="27" t="s">
        <v>798</v>
      </c>
      <c r="AU110" s="31" t="s">
        <v>792</v>
      </c>
      <c r="AV110" s="31"/>
      <c r="AW110" s="27"/>
      <c r="AX110" s="27" t="s">
        <v>246</v>
      </c>
      <c r="AY110" s="27"/>
      <c r="AZ110" s="27"/>
      <c r="BA110" s="30" t="str">
        <f t="shared" si="16"/>
        <v>0002951-37.2019.8.27.2729</v>
      </c>
      <c r="BB110" s="30" t="str">
        <f t="shared" si="17"/>
        <v/>
      </c>
      <c r="BC110" s="30">
        <f>IF(X110=0,0,IF(COUNTIFS($X$10:X110,1,$BA$10:BA110,BA110)=1,1,0))</f>
        <v>1</v>
      </c>
      <c r="BD110" s="29">
        <v>46072</v>
      </c>
    </row>
    <row r="111" spans="1:56" ht="42" customHeight="1">
      <c r="A111" s="41" t="s">
        <v>799</v>
      </c>
      <c r="B111" s="44" t="s">
        <v>161</v>
      </c>
      <c r="C111" s="44" t="s">
        <v>300</v>
      </c>
      <c r="D111" s="44" t="s">
        <v>163</v>
      </c>
      <c r="E111" s="44"/>
      <c r="F111" s="44"/>
      <c r="G111" s="44" t="s">
        <v>238</v>
      </c>
      <c r="H111" s="44" t="s">
        <v>800</v>
      </c>
      <c r="I111" s="44" t="s">
        <v>801</v>
      </c>
      <c r="J111" s="44"/>
      <c r="K111" s="44" t="s">
        <v>242</v>
      </c>
      <c r="L111" s="49">
        <v>46100</v>
      </c>
      <c r="M111" s="48"/>
      <c r="N111" s="48" t="s">
        <v>170</v>
      </c>
      <c r="O111" s="48"/>
      <c r="P111" s="48"/>
      <c r="Q111" s="48"/>
      <c r="R111" s="48"/>
      <c r="S111" s="49"/>
      <c r="T111" s="48"/>
      <c r="U111" s="48" t="s">
        <v>802</v>
      </c>
      <c r="V111" s="14">
        <f t="shared" si="9"/>
        <v>1</v>
      </c>
      <c r="W111" s="14">
        <f t="shared" si="10"/>
        <v>1</v>
      </c>
      <c r="X111" s="14">
        <f>IF(AND(V111=1,OR(Painel!$C$6="Todos",D111=Painel!$C$6),AND(OR(Painel!$L$6="Todas",E111=Painel!$L$6),OR(Painel!$C$8="Todos",F111=Painel!$C$8),OR(Painel!$L$8="Todos",G111=Painel!$L$8),OR(Painel!$C$10="",ISNUMBER(SEARCH(SUBSTITUTE(SUBSTITUTE(SUBSTITUTE(Painel!$C$10,"~","~~"),"*","~*"),"?","~?"),A111&amp;" "&amp;H111&amp;" "&amp;I111))))),1,0)</f>
        <v>1</v>
      </c>
      <c r="Y111" s="14">
        <f t="shared" si="11"/>
        <v>0</v>
      </c>
      <c r="Z111" s="15">
        <f>IF(V111=0,"",IF(COUNTIFS(Andamentos!$K$10:$K$2009,"="&amp;SUBSTITUTE(SUBSTITUTE(SUBSTITUTE("P:"&amp;A111,"~","~~"),"*","~*"),"?","~?"),Andamentos!$G$10:$G$2009,1)=0,"",_xlfn.AGGREGATE(14,6,Andamentos!$D$10:$D$2009/((Andamentos!$K$10:$K$2009=AS111)*(Andamentos!$G$10:$G$2009=1)),1)))</f>
        <v>46273</v>
      </c>
      <c r="AA111" s="14">
        <f>IF(Z111="",0,COUNTIFS(Andamentos!$K$10:$K$2009,"="&amp;SUBSTITUTE(SUBSTITUTE(SUBSTITUTE("P:"&amp;A111,"~","~~"),"*","~*"),"?","~?"),Andamentos!$D$10:$D$2009,Z111,Andamentos!$G$10:$G$2009,1))</f>
        <v>1</v>
      </c>
      <c r="AB111" s="14">
        <f>IF(AA111=1,SUMIFS(Andamentos!$L$10:$L$2009,Andamentos!$K$10:$K$2009,"="&amp;SUBSTITUTE(SUBSTITUTE(SUBSTITUTE(AS111,"~","~~"),"*","~*"),"?","~?"),Andamentos!$D$10:$D$2009,Z111,Andamentos!$G$10:$G$2009,1)-9,0)</f>
        <v>101</v>
      </c>
      <c r="AC111" s="14" t="str">
        <f>IF(V111=0,"",IF(AA111&gt;1,"Conferir recebimentos empatados",IF(AB111=0,"Sem atualização",INDEX(Andamentos!$C$10:$C$2009,AB111))))</f>
        <v>08/09/2026 - sentença que julgou improcedente o incidente de desconsideração da personalidade jurídica proposto pela CSK Locação. Buscaram direcionar a dívida do Consórcio para a Alta Engenharia e para a Cava Engenharia. Aguardemos eventual recurso. [...] histórico completo em Observações</v>
      </c>
      <c r="AD111" s="14">
        <f ca="1">IF(W111=0,0,IF(MAX(Z111,BD111)=0,1,IF(Configurar!$J$12-INT(MAX(Z111,BD111))&gt;Configurar!$J$11,1,0)))</f>
        <v>1</v>
      </c>
      <c r="AE111" s="16"/>
      <c r="AF111" s="14"/>
      <c r="AG111" s="14"/>
      <c r="AH111" s="14">
        <f>IF(AND(V111=1,COUNTIFS(Valores!$S$10:$S$509,"="&amp;SUBSTITUTE(SUBSTITUTE(SUBSTITUTE("P:"&amp;A111,"~","~~"),"*","~*"),"?","~?"))=1),(IF(ISNA(MATCH(SUBSTITUTE(SUBSTITUTE(SUBSTITUTE("P:"&amp;A111,"~","~~"),"*","~*"),"?","~?"),Valores!$S$10:$S$509,0)),9,INDEX(Valores!$R$10:$R$509,MATCH(SUBSTITUTE(SUBSTITUTE(SUBSTITUTE("P:"&amp;A111,"~","~~"),"*","~*"),"?","~?"),Valores!$S$10:$S$509,0)))-9),0)</f>
        <v>102</v>
      </c>
      <c r="AI111" s="40" t="str">
        <f t="shared" si="12"/>
        <v>Informe a empresa responsável</v>
      </c>
      <c r="AJ111" s="14" t="str">
        <f>IF(AND(X111=1,Y111=1),COUNTIFS($X$10:X111,1,$Y$10:Y111,1),"")</f>
        <v/>
      </c>
      <c r="AK111" s="14">
        <f>IF(X111=1,COUNTIFS($X$10:X111,1),"")</f>
        <v>102</v>
      </c>
      <c r="AL111" s="14">
        <f>IF(AND(V111=1,AND(OR(Painel!$L$6="Todas",E111=Painel!$L$6),OR(Painel!$C$8="Todos",F111=Painel!$C$8),OR(Painel!$L$8="Todos",G111=Painel!$L$8),OR(Painel!$C$10="",ISNUMBER(SEARCH(SUBSTITUTE(SUBSTITUTE(SUBSTITUTE(Painel!$C$10,"~","~~"),"*","~*"),"?","~?"),A111&amp;" "&amp;H111&amp;" "&amp;I111))))),1,0)</f>
        <v>1</v>
      </c>
      <c r="AM111" s="14">
        <f t="shared" si="13"/>
        <v>111</v>
      </c>
      <c r="AN111" s="14"/>
      <c r="AO111" s="14"/>
      <c r="AP111" s="16">
        <f>IF(AB111=0,"",IF(INDEX(Andamentos!$B$10:$B$2009,AB111)="","",INDEX(Andamentos!$B$10:$B$2009,AB111)))</f>
        <v>46273</v>
      </c>
      <c r="AQ111" s="17">
        <f>IF(AH111=0,"",IF(INDEX(Valores!$B$10:$B$509,AH111)="","",IF(ISNUMBER(INDEX(Valores!$B$10:$B$509,AH111)),INDEX(Valores!$B$10:$B$509,AH111),"")))</f>
        <v>141556.26</v>
      </c>
      <c r="AR111" s="14" t="str">
        <f t="shared" si="14"/>
        <v/>
      </c>
      <c r="AS111" s="14" t="str">
        <f t="shared" si="15"/>
        <v>P:5239168-56.2026.8.09.0145 [BMM-102]</v>
      </c>
      <c r="AT111" s="27" t="s">
        <v>803</v>
      </c>
      <c r="AU111" s="31" t="s">
        <v>804</v>
      </c>
      <c r="AV111" s="31"/>
      <c r="AW111" s="27"/>
      <c r="AX111" s="27" t="s">
        <v>246</v>
      </c>
      <c r="AY111" s="27"/>
      <c r="AZ111" s="27"/>
      <c r="BA111" s="30" t="str">
        <f t="shared" si="16"/>
        <v>5239168-56.2026.8.09.0145</v>
      </c>
      <c r="BB111" s="30" t="str">
        <f t="shared" si="17"/>
        <v>Revisar repetição</v>
      </c>
      <c r="BC111" s="30">
        <f>IF(X111=0,0,IF(COUNTIFS($X$10:X111,1,$BA$10:BA111,BA111)=1,1,0))</f>
        <v>1</v>
      </c>
      <c r="BD111" s="29">
        <v>46273</v>
      </c>
    </row>
    <row r="112" spans="1:56" ht="42" customHeight="1">
      <c r="A112" s="41" t="s">
        <v>805</v>
      </c>
      <c r="B112" s="44" t="s">
        <v>161</v>
      </c>
      <c r="C112" s="44" t="s">
        <v>300</v>
      </c>
      <c r="D112" s="44" t="s">
        <v>163</v>
      </c>
      <c r="E112" s="44"/>
      <c r="F112" s="44" t="s">
        <v>806</v>
      </c>
      <c r="G112" s="44" t="s">
        <v>238</v>
      </c>
      <c r="H112" s="44" t="s">
        <v>807</v>
      </c>
      <c r="I112" s="44" t="s">
        <v>808</v>
      </c>
      <c r="J112" s="44"/>
      <c r="K112" s="44" t="s">
        <v>242</v>
      </c>
      <c r="L112" s="49">
        <v>43500</v>
      </c>
      <c r="M112" s="48" t="s">
        <v>809</v>
      </c>
      <c r="N112" s="48" t="s">
        <v>170</v>
      </c>
      <c r="O112" s="48"/>
      <c r="P112" s="48"/>
      <c r="Q112" s="48"/>
      <c r="R112" s="48"/>
      <c r="S112" s="49"/>
      <c r="T112" s="48"/>
      <c r="U112" s="48" t="s">
        <v>810</v>
      </c>
      <c r="V112" s="14">
        <f t="shared" si="9"/>
        <v>1</v>
      </c>
      <c r="W112" s="14">
        <f t="shared" si="10"/>
        <v>1</v>
      </c>
      <c r="X112" s="14">
        <f>IF(AND(V112=1,OR(Painel!$C$6="Todos",D112=Painel!$C$6),AND(OR(Painel!$L$6="Todas",E112=Painel!$L$6),OR(Painel!$C$8="Todos",F112=Painel!$C$8),OR(Painel!$L$8="Todos",G112=Painel!$L$8),OR(Painel!$C$10="",ISNUMBER(SEARCH(SUBSTITUTE(SUBSTITUTE(SUBSTITUTE(Painel!$C$10,"~","~~"),"*","~*"),"?","~?"),A112&amp;" "&amp;H112&amp;" "&amp;I112))))),1,0)</f>
        <v>1</v>
      </c>
      <c r="Y112" s="14">
        <f t="shared" si="11"/>
        <v>0</v>
      </c>
      <c r="Z112" s="15">
        <f>IF(V112=0,"",IF(COUNTIFS(Andamentos!$K$10:$K$2009,"="&amp;SUBSTITUTE(SUBSTITUTE(SUBSTITUTE("P:"&amp;A112,"~","~~"),"*","~*"),"?","~?"),Andamentos!$G$10:$G$2009,1)=0,"",_xlfn.AGGREGATE(14,6,Andamentos!$D$10:$D$2009/((Andamentos!$K$10:$K$2009=AS112)*(Andamentos!$G$10:$G$2009=1)),1)))</f>
        <v>46126</v>
      </c>
      <c r="AA112" s="14">
        <f>IF(Z112="",0,COUNTIFS(Andamentos!$K$10:$K$2009,"="&amp;SUBSTITUTE(SUBSTITUTE(SUBSTITUTE("P:"&amp;A112,"~","~~"),"*","~*"),"?","~?"),Andamentos!$D$10:$D$2009,Z112,Andamentos!$G$10:$G$2009,1))</f>
        <v>1</v>
      </c>
      <c r="AB112" s="14">
        <f>IF(AA112=1,SUMIFS(Andamentos!$L$10:$L$2009,Andamentos!$K$10:$K$2009,"="&amp;SUBSTITUTE(SUBSTITUTE(SUBSTITUTE(AS112,"~","~~"),"*","~*"),"?","~?"),Andamentos!$D$10:$D$2009,Z112,Andamentos!$G$10:$G$2009,1)-9,0)</f>
        <v>102</v>
      </c>
      <c r="AC112" s="14" t="str">
        <f>IF(V112=0,"",IF(AA112&gt;1,"Conferir recebimentos empatados",IF(AB112=0,"Sem atualização",INDEX(Andamentos!$C$10:$C$2009,AB112))))</f>
        <v>14/04/2026 - Alta foi citada.</v>
      </c>
      <c r="AD112" s="14">
        <f ca="1">IF(W112=0,0,IF(MAX(Z112,BD112)=0,1,IF(Configurar!$J$12-INT(MAX(Z112,BD112))&gt;Configurar!$J$11,1,0)))</f>
        <v>1</v>
      </c>
      <c r="AE112" s="16"/>
      <c r="AF112" s="14"/>
      <c r="AG112" s="14"/>
      <c r="AH112" s="14">
        <f>IF(AND(V112=1,COUNTIFS(Valores!$S$10:$S$509,"="&amp;SUBSTITUTE(SUBSTITUTE(SUBSTITUTE("P:"&amp;A112,"~","~~"),"*","~*"),"?","~?"))=1),(IF(ISNA(MATCH(SUBSTITUTE(SUBSTITUTE(SUBSTITUTE("P:"&amp;A112,"~","~~"),"*","~*"),"?","~?"),Valores!$S$10:$S$509,0)),9,INDEX(Valores!$R$10:$R$509,MATCH(SUBSTITUTE(SUBSTITUTE(SUBSTITUTE("P:"&amp;A112,"~","~~"),"*","~*"),"?","~?"),Valores!$S$10:$S$509,0)))-9),0)</f>
        <v>103</v>
      </c>
      <c r="AI112" s="40" t="str">
        <f t="shared" si="12"/>
        <v>Informe a empresa responsável</v>
      </c>
      <c r="AJ112" s="14" t="str">
        <f>IF(AND(X112=1,Y112=1),COUNTIFS($X$10:X112,1,$Y$10:Y112,1),"")</f>
        <v/>
      </c>
      <c r="AK112" s="14">
        <f>IF(X112=1,COUNTIFS($X$10:X112,1),"")</f>
        <v>103</v>
      </c>
      <c r="AL112" s="14">
        <f>IF(AND(V112=1,AND(OR(Painel!$L$6="Todas",E112=Painel!$L$6),OR(Painel!$C$8="Todos",F112=Painel!$C$8),OR(Painel!$L$8="Todos",G112=Painel!$L$8),OR(Painel!$C$10="",ISNUMBER(SEARCH(SUBSTITUTE(SUBSTITUTE(SUBSTITUTE(Painel!$C$10,"~","~~"),"*","~*"),"?","~?"),A112&amp;" "&amp;H112&amp;" "&amp;I112))))),1,0)</f>
        <v>1</v>
      </c>
      <c r="AM112" s="14">
        <f t="shared" si="13"/>
        <v>112</v>
      </c>
      <c r="AN112" s="14"/>
      <c r="AO112" s="14"/>
      <c r="AP112" s="16">
        <f>IF(AB112=0,"",IF(INDEX(Andamentos!$B$10:$B$2009,AB112)="","",INDEX(Andamentos!$B$10:$B$2009,AB112)))</f>
        <v>46126</v>
      </c>
      <c r="AQ112" s="17">
        <f>IF(AH112=0,"",IF(INDEX(Valores!$B$10:$B$509,AH112)="","",IF(ISNUMBER(INDEX(Valores!$B$10:$B$509,AH112)),INDEX(Valores!$B$10:$B$509,AH112),"")))</f>
        <v>1939.12</v>
      </c>
      <c r="AR112" s="14" t="str">
        <f t="shared" si="14"/>
        <v/>
      </c>
      <c r="AS112" s="14" t="str">
        <f t="shared" si="15"/>
        <v>P:5049644-08.2019.8.09.0138</v>
      </c>
      <c r="AT112" s="27" t="s">
        <v>811</v>
      </c>
      <c r="AU112" s="31" t="s">
        <v>805</v>
      </c>
      <c r="AV112" s="31"/>
      <c r="AW112" s="27"/>
      <c r="AX112" s="27" t="s">
        <v>246</v>
      </c>
      <c r="AY112" s="27"/>
      <c r="AZ112" s="27"/>
      <c r="BA112" s="30" t="str">
        <f t="shared" si="16"/>
        <v>5049644-08.2019.8.09.0138</v>
      </c>
      <c r="BB112" s="30" t="str">
        <f t="shared" si="17"/>
        <v/>
      </c>
      <c r="BC112" s="30">
        <f>IF(X112=0,0,IF(COUNTIFS($X$10:X112,1,$BA$10:BA112,BA112)=1,1,0))</f>
        <v>1</v>
      </c>
      <c r="BD112" s="29">
        <v>46126</v>
      </c>
    </row>
    <row r="113" spans="1:56" ht="42" customHeight="1">
      <c r="A113" s="41" t="s">
        <v>812</v>
      </c>
      <c r="B113" s="44" t="s">
        <v>161</v>
      </c>
      <c r="C113" s="44" t="s">
        <v>300</v>
      </c>
      <c r="D113" s="44" t="s">
        <v>163</v>
      </c>
      <c r="E113" s="44"/>
      <c r="F113" s="44"/>
      <c r="G113" s="44" t="s">
        <v>164</v>
      </c>
      <c r="H113" s="44" t="s">
        <v>748</v>
      </c>
      <c r="I113" s="44" t="s">
        <v>813</v>
      </c>
      <c r="J113" s="44"/>
      <c r="K113" s="44" t="s">
        <v>450</v>
      </c>
      <c r="L113" s="49">
        <v>45605</v>
      </c>
      <c r="M113" s="48"/>
      <c r="N113" s="48" t="s">
        <v>170</v>
      </c>
      <c r="O113" s="48"/>
      <c r="P113" s="48"/>
      <c r="Q113" s="48"/>
      <c r="R113" s="48"/>
      <c r="S113" s="49"/>
      <c r="T113" s="48"/>
      <c r="U113" s="48" t="s">
        <v>814</v>
      </c>
      <c r="V113" s="14">
        <f t="shared" si="9"/>
        <v>1</v>
      </c>
      <c r="W113" s="14">
        <f t="shared" si="10"/>
        <v>1</v>
      </c>
      <c r="X113" s="14">
        <f>IF(AND(V113=1,OR(Painel!$C$6="Todos",D113=Painel!$C$6),AND(OR(Painel!$L$6="Todas",E113=Painel!$L$6),OR(Painel!$C$8="Todos",F113=Painel!$C$8),OR(Painel!$L$8="Todos",G113=Painel!$L$8),OR(Painel!$C$10="",ISNUMBER(SEARCH(SUBSTITUTE(SUBSTITUTE(SUBSTITUTE(Painel!$C$10,"~","~~"),"*","~*"),"?","~?"),A113&amp;" "&amp;H113&amp;" "&amp;I113))))),1,0)</f>
        <v>1</v>
      </c>
      <c r="Y113" s="14">
        <f t="shared" si="11"/>
        <v>0</v>
      </c>
      <c r="Z113" s="15">
        <f>IF(V113=0,"",IF(COUNTIFS(Andamentos!$K$10:$K$2009,"="&amp;SUBSTITUTE(SUBSTITUTE(SUBSTITUTE("P:"&amp;A113,"~","~~"),"*","~*"),"?","~?"),Andamentos!$G$10:$G$2009,1)=0,"",_xlfn.AGGREGATE(14,6,Andamentos!$D$10:$D$2009/((Andamentos!$K$10:$K$2009=AS113)*(Andamentos!$G$10:$G$2009=1)),1)))</f>
        <v>46135</v>
      </c>
      <c r="AA113" s="14">
        <f>IF(Z113="",0,COUNTIFS(Andamentos!$K$10:$K$2009,"="&amp;SUBSTITUTE(SUBSTITUTE(SUBSTITUTE("P:"&amp;A113,"~","~~"),"*","~*"),"?","~?"),Andamentos!$D$10:$D$2009,Z113,Andamentos!$G$10:$G$2009,1))</f>
        <v>1</v>
      </c>
      <c r="AB113" s="14">
        <f>IF(AA113=1,SUMIFS(Andamentos!$L$10:$L$2009,Andamentos!$K$10:$K$2009,"="&amp;SUBSTITUTE(SUBSTITUTE(SUBSTITUTE(AS113,"~","~~"),"*","~*"),"?","~?"),Andamentos!$D$10:$D$2009,Z113,Andamentos!$G$10:$G$2009,1)-9,0)</f>
        <v>103</v>
      </c>
      <c r="AC113" s="14" t="str">
        <f>IF(V113=0,"",IF(AA113&gt;1,"Conferir recebimentos empatados",IF(AB113=0,"Sem atualização",INDEX(Andamentos!$C$10:$C$2009,AB113))))</f>
        <v>23/04/2026 - Reconhecida a responsabilidade das empresas para pagamento da execução [...] histórico completo em Observações</v>
      </c>
      <c r="AD113" s="14">
        <f ca="1">IF(W113=0,0,IF(MAX(Z113,BD113)=0,1,IF(Configurar!$J$12-INT(MAX(Z113,BD113))&gt;Configurar!$J$11,1,0)))</f>
        <v>1</v>
      </c>
      <c r="AE113" s="16"/>
      <c r="AF113" s="14"/>
      <c r="AG113" s="14"/>
      <c r="AH113" s="14">
        <f>IF(AND(V113=1,COUNTIFS(Valores!$S$10:$S$509,"="&amp;SUBSTITUTE(SUBSTITUTE(SUBSTITUTE("P:"&amp;A113,"~","~~"),"*","~*"),"?","~?"))=1),(IF(ISNA(MATCH(SUBSTITUTE(SUBSTITUTE(SUBSTITUTE("P:"&amp;A113,"~","~~"),"*","~*"),"?","~?"),Valores!$S$10:$S$509,0)),9,INDEX(Valores!$R$10:$R$509,MATCH(SUBSTITUTE(SUBSTITUTE(SUBSTITUTE("P:"&amp;A113,"~","~~"),"*","~*"),"?","~?"),Valores!$S$10:$S$509,0)))-9),0)</f>
        <v>104</v>
      </c>
      <c r="AI113" s="40" t="str">
        <f t="shared" si="12"/>
        <v>Informe a empresa responsável</v>
      </c>
      <c r="AJ113" s="14" t="str">
        <f>IF(AND(X113=1,Y113=1),COUNTIFS($X$10:X113,1,$Y$10:Y113,1),"")</f>
        <v/>
      </c>
      <c r="AK113" s="14">
        <f>IF(X113=1,COUNTIFS($X$10:X113,1),"")</f>
        <v>104</v>
      </c>
      <c r="AL113" s="14">
        <f>IF(AND(V113=1,AND(OR(Painel!$L$6="Todas",E113=Painel!$L$6),OR(Painel!$C$8="Todos",F113=Painel!$C$8),OR(Painel!$L$8="Todos",G113=Painel!$L$8),OR(Painel!$C$10="",ISNUMBER(SEARCH(SUBSTITUTE(SUBSTITUTE(SUBSTITUTE(Painel!$C$10,"~","~~"),"*","~*"),"?","~?"),A113&amp;" "&amp;H113&amp;" "&amp;I113))))),1,0)</f>
        <v>1</v>
      </c>
      <c r="AM113" s="14">
        <f t="shared" si="13"/>
        <v>113</v>
      </c>
      <c r="AN113" s="14"/>
      <c r="AO113" s="14"/>
      <c r="AP113" s="16">
        <f>IF(AB113=0,"",IF(INDEX(Andamentos!$B$10:$B$2009,AB113)="","",INDEX(Andamentos!$B$10:$B$2009,AB113)))</f>
        <v>46135</v>
      </c>
      <c r="AQ113" s="17">
        <f>IF(AH113=0,"",IF(INDEX(Valores!$B$10:$B$509,AH113)="","",IF(ISNUMBER(INDEX(Valores!$B$10:$B$509,AH113)),INDEX(Valores!$B$10:$B$509,AH113),"")))</f>
        <v>68004.679999999993</v>
      </c>
      <c r="AR113" s="14" t="str">
        <f t="shared" si="14"/>
        <v/>
      </c>
      <c r="AS113" s="14" t="str">
        <f t="shared" si="15"/>
        <v>P:0011074-81.2024.5.03.0008 [BMM-104]</v>
      </c>
      <c r="AT113" s="27" t="s">
        <v>815</v>
      </c>
      <c r="AU113" s="31" t="s">
        <v>753</v>
      </c>
      <c r="AV113" s="31"/>
      <c r="AW113" s="27"/>
      <c r="AX113" s="27" t="s">
        <v>246</v>
      </c>
      <c r="AY113" s="27"/>
      <c r="AZ113" s="27"/>
      <c r="BA113" s="30" t="str">
        <f t="shared" si="16"/>
        <v>0011074-81.2024.5.03.0008</v>
      </c>
      <c r="BB113" s="30" t="str">
        <f t="shared" si="17"/>
        <v>Revisar repetição</v>
      </c>
      <c r="BC113" s="30">
        <f>IF(X113=0,0,IF(COUNTIFS($X$10:X113,1,$BA$10:BA113,BA113)=1,1,0))</f>
        <v>0</v>
      </c>
      <c r="BD113" s="29">
        <v>46135</v>
      </c>
    </row>
    <row r="114" spans="1:56" ht="42" customHeight="1">
      <c r="A114" s="41" t="s">
        <v>816</v>
      </c>
      <c r="B114" s="44" t="s">
        <v>161</v>
      </c>
      <c r="C114" s="44" t="s">
        <v>300</v>
      </c>
      <c r="D114" s="44" t="s">
        <v>163</v>
      </c>
      <c r="E114" s="44"/>
      <c r="F114" s="44"/>
      <c r="G114" s="44" t="s">
        <v>238</v>
      </c>
      <c r="H114" s="44" t="s">
        <v>817</v>
      </c>
      <c r="I114" s="44" t="s">
        <v>818</v>
      </c>
      <c r="J114" s="44"/>
      <c r="K114" s="44" t="s">
        <v>242</v>
      </c>
      <c r="L114" s="49"/>
      <c r="M114" s="48" t="s">
        <v>819</v>
      </c>
      <c r="N114" s="48" t="s">
        <v>170</v>
      </c>
      <c r="O114" s="48"/>
      <c r="P114" s="48"/>
      <c r="Q114" s="48"/>
      <c r="R114" s="48"/>
      <c r="S114" s="49"/>
      <c r="T114" s="48"/>
      <c r="U114" s="48" t="s">
        <v>820</v>
      </c>
      <c r="V114" s="14">
        <f t="shared" si="9"/>
        <v>1</v>
      </c>
      <c r="W114" s="14">
        <f t="shared" si="10"/>
        <v>1</v>
      </c>
      <c r="X114" s="14">
        <f>IF(AND(V114=1,OR(Painel!$C$6="Todos",D114=Painel!$C$6),AND(OR(Painel!$L$6="Todas",E114=Painel!$L$6),OR(Painel!$C$8="Todos",F114=Painel!$C$8),OR(Painel!$L$8="Todos",G114=Painel!$L$8),OR(Painel!$C$10="",ISNUMBER(SEARCH(SUBSTITUTE(SUBSTITUTE(SUBSTITUTE(Painel!$C$10,"~","~~"),"*","~*"),"?","~?"),A114&amp;" "&amp;H114&amp;" "&amp;I114))))),1,0)</f>
        <v>1</v>
      </c>
      <c r="Y114" s="14">
        <f t="shared" si="11"/>
        <v>0</v>
      </c>
      <c r="Z114" s="15">
        <f>IF(V114=0,"",IF(COUNTIFS(Andamentos!$K$10:$K$2009,"="&amp;SUBSTITUTE(SUBSTITUTE(SUBSTITUTE("P:"&amp;A114,"~","~~"),"*","~*"),"?","~?"),Andamentos!$G$10:$G$2009,1)=0,"",_xlfn.AGGREGATE(14,6,Andamentos!$D$10:$D$2009/((Andamentos!$K$10:$K$2009=AS114)*(Andamentos!$G$10:$G$2009=1)),1)))</f>
        <v>46286</v>
      </c>
      <c r="AA114" s="14">
        <f>IF(Z114="",0,COUNTIFS(Andamentos!$K$10:$K$2009,"="&amp;SUBSTITUTE(SUBSTITUTE(SUBSTITUTE("P:"&amp;A114,"~","~~"),"*","~*"),"?","~?"),Andamentos!$D$10:$D$2009,Z114,Andamentos!$G$10:$G$2009,1))</f>
        <v>1</v>
      </c>
      <c r="AB114" s="14">
        <f>IF(AA114=1,SUMIFS(Andamentos!$L$10:$L$2009,Andamentos!$K$10:$K$2009,"="&amp;SUBSTITUTE(SUBSTITUTE(SUBSTITUTE(AS114,"~","~~"),"*","~*"),"?","~?"),Andamentos!$D$10:$D$2009,Z114,Andamentos!$G$10:$G$2009,1)-9,0)</f>
        <v>104</v>
      </c>
      <c r="AC114" s="14" t="str">
        <f>IF(V114=0,"",IF(AA114&gt;1,"Conferir recebimentos empatados",IF(AB114=0,"Sem atualização",INDEX(Andamentos!$C$10:$C$2009,AB114))))</f>
        <v>04/09/2026 - sentença que julgou improcedente o incidente de desconsideração da personalidade jurídica proposto pela CSK Locação. Buscaram direcionar a dívida do Consórcio para a Alta Engenharia e para a Cava Engenharia, aguardando eventual recurso. [...] histórico completo em Observações</v>
      </c>
      <c r="AD114" s="14">
        <f ca="1">IF(W114=0,0,IF(MAX(Z114,BD114)=0,1,IF(Configurar!$J$12-INT(MAX(Z114,BD114))&gt;Configurar!$J$11,1,0)))</f>
        <v>0</v>
      </c>
      <c r="AE114" s="16"/>
      <c r="AF114" s="14"/>
      <c r="AG114" s="14"/>
      <c r="AH114" s="14">
        <f>IF(AND(V114=1,COUNTIFS(Valores!$S$10:$S$509,"="&amp;SUBSTITUTE(SUBSTITUTE(SUBSTITUTE("P:"&amp;A114,"~","~~"),"*","~*"),"?","~?"))=1),(IF(ISNA(MATCH(SUBSTITUTE(SUBSTITUTE(SUBSTITUTE("P:"&amp;A114,"~","~~"),"*","~*"),"?","~?"),Valores!$S$10:$S$509,0)),9,INDEX(Valores!$R$10:$R$509,MATCH(SUBSTITUTE(SUBSTITUTE(SUBSTITUTE("P:"&amp;A114,"~","~~"),"*","~*"),"?","~?"),Valores!$S$10:$S$509,0)))-9),0)</f>
        <v>105</v>
      </c>
      <c r="AI114" s="40" t="str">
        <f t="shared" si="12"/>
        <v>Informe a empresa responsável</v>
      </c>
      <c r="AJ114" s="14" t="str">
        <f>IF(AND(X114=1,Y114=1),COUNTIFS($X$10:X114,1,$Y$10:Y114,1),"")</f>
        <v/>
      </c>
      <c r="AK114" s="14">
        <f>IF(X114=1,COUNTIFS($X$10:X114,1),"")</f>
        <v>105</v>
      </c>
      <c r="AL114" s="14">
        <f>IF(AND(V114=1,AND(OR(Painel!$L$6="Todas",E114=Painel!$L$6),OR(Painel!$C$8="Todos",F114=Painel!$C$8),OR(Painel!$L$8="Todos",G114=Painel!$L$8),OR(Painel!$C$10="",ISNUMBER(SEARCH(SUBSTITUTE(SUBSTITUTE(SUBSTITUTE(Painel!$C$10,"~","~~"),"*","~*"),"?","~?"),A114&amp;" "&amp;H114&amp;" "&amp;I114))))),1,0)</f>
        <v>1</v>
      </c>
      <c r="AM114" s="14">
        <f t="shared" si="13"/>
        <v>114</v>
      </c>
      <c r="AN114" s="14"/>
      <c r="AO114" s="14"/>
      <c r="AP114" s="16">
        <f>IF(AB114=0,"",IF(INDEX(Andamentos!$B$10:$B$2009,AB114)="","",INDEX(Andamentos!$B$10:$B$2009,AB114)))</f>
        <v>46269</v>
      </c>
      <c r="AQ114" s="17" t="str">
        <f>IF(AH114=0,"",IF(INDEX(Valores!$B$10:$B$509,AH114)="","",IF(ISNUMBER(INDEX(Valores!$B$10:$B$509,AH114)),INDEX(Valores!$B$10:$B$509,AH114),"")))</f>
        <v/>
      </c>
      <c r="AR114" s="14" t="str">
        <f t="shared" si="14"/>
        <v/>
      </c>
      <c r="AS114" s="14" t="str">
        <f t="shared" si="15"/>
        <v>P:5239168-56.2026.8.09.0145 [BMM-105]</v>
      </c>
      <c r="AT114" s="27" t="s">
        <v>821</v>
      </c>
      <c r="AU114" s="31" t="s">
        <v>804</v>
      </c>
      <c r="AV114" s="31"/>
      <c r="AW114" s="27"/>
      <c r="AX114" s="27" t="s">
        <v>246</v>
      </c>
      <c r="AY114" s="27"/>
      <c r="AZ114" s="27"/>
      <c r="BA114" s="30" t="str">
        <f t="shared" si="16"/>
        <v>5239168-56.2026.8.09.0145</v>
      </c>
      <c r="BB114" s="30" t="str">
        <f t="shared" si="17"/>
        <v>Revisar repetição</v>
      </c>
      <c r="BC114" s="30">
        <f>IF(X114=0,0,IF(COUNTIFS($X$10:X114,1,$BA$10:BA114,BA114)=1,1,0))</f>
        <v>0</v>
      </c>
      <c r="BD114" s="29">
        <v>46286</v>
      </c>
    </row>
    <row r="115" spans="1:56" ht="42" customHeight="1">
      <c r="A115" s="41" t="s">
        <v>822</v>
      </c>
      <c r="B115" s="44" t="s">
        <v>598</v>
      </c>
      <c r="C115" s="44" t="s">
        <v>162</v>
      </c>
      <c r="D115" s="44" t="s">
        <v>823</v>
      </c>
      <c r="E115" s="44"/>
      <c r="F115" s="44"/>
      <c r="G115" s="44" t="s">
        <v>824</v>
      </c>
      <c r="H115" s="44" t="s">
        <v>825</v>
      </c>
      <c r="I115" s="44" t="s">
        <v>166</v>
      </c>
      <c r="J115" s="44"/>
      <c r="K115" s="44" t="s">
        <v>826</v>
      </c>
      <c r="L115" s="49">
        <v>44760</v>
      </c>
      <c r="M115" s="48" t="s">
        <v>827</v>
      </c>
      <c r="N115" s="48" t="s">
        <v>170</v>
      </c>
      <c r="O115" s="48"/>
      <c r="P115" s="48"/>
      <c r="Q115" s="48"/>
      <c r="R115" s="48"/>
      <c r="S115" s="49"/>
      <c r="T115" s="48"/>
      <c r="U115" s="48" t="s">
        <v>828</v>
      </c>
      <c r="V115" s="14">
        <f t="shared" si="9"/>
        <v>1</v>
      </c>
      <c r="W115" s="14">
        <f t="shared" si="10"/>
        <v>0</v>
      </c>
      <c r="X115" s="14">
        <f>IF(AND(V115=1,OR(Painel!$C$6="Todos",D115=Painel!$C$6),AND(OR(Painel!$L$6="Todas",E115=Painel!$L$6),OR(Painel!$C$8="Todos",F115=Painel!$C$8),OR(Painel!$L$8="Todos",G115=Painel!$L$8),OR(Painel!$C$10="",ISNUMBER(SEARCH(SUBSTITUTE(SUBSTITUTE(SUBSTITUTE(Painel!$C$10,"~","~~"),"*","~*"),"?","~?"),A115&amp;" "&amp;H115&amp;" "&amp;I115))))),1,0)</f>
        <v>1</v>
      </c>
      <c r="Y115" s="14">
        <f t="shared" si="11"/>
        <v>0</v>
      </c>
      <c r="Z115" s="15">
        <f>IF(V115=0,"",IF(COUNTIFS(Andamentos!$K$10:$K$2009,"="&amp;SUBSTITUTE(SUBSTITUTE(SUBSTITUTE("P:"&amp;A115,"~","~~"),"*","~*"),"?","~?"),Andamentos!$G$10:$G$2009,1)=0,"",_xlfn.AGGREGATE(14,6,Andamentos!$D$10:$D$2009/((Andamentos!$K$10:$K$2009=AS115)*(Andamentos!$G$10:$G$2009=1)),1)))</f>
        <v>46090</v>
      </c>
      <c r="AA115" s="14">
        <f>IF(Z115="",0,COUNTIFS(Andamentos!$K$10:$K$2009,"="&amp;SUBSTITUTE(SUBSTITUTE(SUBSTITUTE("P:"&amp;A115,"~","~~"),"*","~*"),"?","~?"),Andamentos!$D$10:$D$2009,Z115,Andamentos!$G$10:$G$2009,1))</f>
        <v>1</v>
      </c>
      <c r="AB115" s="14">
        <f>IF(AA115=1,SUMIFS(Andamentos!$L$10:$L$2009,Andamentos!$K$10:$K$2009,"="&amp;SUBSTITUTE(SUBSTITUTE(SUBSTITUTE(AS115,"~","~~"),"*","~*"),"?","~?"),Andamentos!$D$10:$D$2009,Z115,Andamentos!$G$10:$G$2009,1)-9,0)</f>
        <v>105</v>
      </c>
      <c r="AC115" s="14" t="str">
        <f>IF(V115=0,"",IF(AA115&gt;1,"Conferir recebimentos empatados",IF(AB115=0,"Sem atualização",INDEX(Andamentos!$C$10:$C$2009,AB115))))</f>
        <v>Após oitiva da PFE/DNIT, que rebateu as nulidades suscitadas e orientou o prosseguimento do feito, a Coordenação de Engenharia emitiu, em novembro de 2023, Despacho Decisório aplicando a penalidade de advertência à contratada, considerando o descumprimento da Cláusula Sexta do contrato. Após a decisão, a penalidade foi registrada no SICAF em dezembro de 2023 e a Pottencial Seguradora foi comunicada sobre o encerramento da expectativa de sinistro, ante a ausência de recurso administrativo da empresa. O processo seguiu para arquivamento definitivo nos setores competentes após a consolidação das [...] histórico completo em Observações</v>
      </c>
      <c r="AD115" s="14">
        <f>IF(W115=0,0,IF(MAX(Z115,BD115)=0,1,IF(Configurar!$J$12-INT(MAX(Z115,BD115))&gt;Configurar!$J$11,1,0)))</f>
        <v>0</v>
      </c>
      <c r="AE115" s="16"/>
      <c r="AF115" s="14"/>
      <c r="AG115" s="14"/>
      <c r="AH115" s="14">
        <f>IF(AND(V115=1,COUNTIFS(Valores!$S$10:$S$509,"="&amp;SUBSTITUTE(SUBSTITUTE(SUBSTITUTE("P:"&amp;A115,"~","~~"),"*","~*"),"?","~?"))=1),(IF(ISNA(MATCH(SUBSTITUTE(SUBSTITUTE(SUBSTITUTE("P:"&amp;A115,"~","~~"),"*","~*"),"?","~?"),Valores!$S$10:$S$509,0)),9,INDEX(Valores!$R$10:$R$509,MATCH(SUBSTITUTE(SUBSTITUTE(SUBSTITUTE("P:"&amp;A115,"~","~~"),"*","~*"),"?","~?"),Valores!$S$10:$S$509,0)))-9),0)</f>
        <v>106</v>
      </c>
      <c r="AI115" s="40" t="str">
        <f t="shared" si="12"/>
        <v>Informe a empresa responsável</v>
      </c>
      <c r="AJ115" s="14" t="str">
        <f>IF(AND(X115=1,Y115=1),COUNTIFS($X$10:X115,1,$Y$10:Y115,1),"")</f>
        <v/>
      </c>
      <c r="AK115" s="14">
        <f>IF(X115=1,COUNTIFS($X$10:X115,1),"")</f>
        <v>106</v>
      </c>
      <c r="AL115" s="14">
        <f>IF(AND(V115=1,AND(OR(Painel!$L$6="Todas",E115=Painel!$L$6),OR(Painel!$C$8="Todos",F115=Painel!$C$8),OR(Painel!$L$8="Todos",G115=Painel!$L$8),OR(Painel!$C$10="",ISNUMBER(SEARCH(SUBSTITUTE(SUBSTITUTE(SUBSTITUTE(Painel!$C$10,"~","~~"),"*","~*"),"?","~?"),A115&amp;" "&amp;H115&amp;" "&amp;I115))))),1,0)</f>
        <v>1</v>
      </c>
      <c r="AM115" s="14">
        <f t="shared" si="13"/>
        <v>115</v>
      </c>
      <c r="AN115" s="14"/>
      <c r="AO115" s="14"/>
      <c r="AP115" s="16" t="str">
        <f>IF(AB115=0,"",IF(INDEX(Andamentos!$B$10:$B$2009,AB115)="","",INDEX(Andamentos!$B$10:$B$2009,AB115)))</f>
        <v/>
      </c>
      <c r="AQ115" s="17" t="str">
        <f>IF(AH115=0,"",IF(INDEX(Valores!$B$10:$B$509,AH115)="","",IF(ISNUMBER(INDEX(Valores!$B$10:$B$509,AH115)),INDEX(Valores!$B$10:$B$509,AH115),"")))</f>
        <v/>
      </c>
      <c r="AR115" s="14" t="str">
        <f t="shared" si="14"/>
        <v/>
      </c>
      <c r="AS115" s="14" t="str">
        <f t="shared" si="15"/>
        <v>P:50606.002121/2021-88</v>
      </c>
      <c r="AT115" s="27" t="s">
        <v>829</v>
      </c>
      <c r="AU115" s="31"/>
      <c r="AV115" s="31" t="s">
        <v>822</v>
      </c>
      <c r="AW115" s="27" t="s">
        <v>162</v>
      </c>
      <c r="AX115" s="27" t="s">
        <v>830</v>
      </c>
      <c r="AY115" s="27"/>
      <c r="AZ115" s="27"/>
      <c r="BA115" s="30" t="str">
        <f t="shared" si="16"/>
        <v>50606.002121/2021-88</v>
      </c>
      <c r="BB115" s="30" t="str">
        <f t="shared" si="17"/>
        <v/>
      </c>
      <c r="BC115" s="30">
        <f>IF(X115=0,0,IF(COUNTIFS($X$10:X115,1,$BA$10:BA115,BA115)=1,1,0))</f>
        <v>1</v>
      </c>
      <c r="BD115" s="29">
        <v>46090</v>
      </c>
    </row>
    <row r="116" spans="1:56" ht="42" customHeight="1">
      <c r="A116" s="41" t="s">
        <v>831</v>
      </c>
      <c r="B116" s="44" t="s">
        <v>161</v>
      </c>
      <c r="C116" s="44" t="s">
        <v>300</v>
      </c>
      <c r="D116" s="44" t="s">
        <v>823</v>
      </c>
      <c r="E116" s="44"/>
      <c r="F116" s="44"/>
      <c r="G116" s="44" t="s">
        <v>238</v>
      </c>
      <c r="H116" s="44" t="s">
        <v>832</v>
      </c>
      <c r="I116" s="44" t="s">
        <v>166</v>
      </c>
      <c r="J116" s="44" t="s">
        <v>833</v>
      </c>
      <c r="K116" s="44" t="s">
        <v>257</v>
      </c>
      <c r="L116" s="49">
        <v>44831</v>
      </c>
      <c r="M116" s="48" t="s">
        <v>834</v>
      </c>
      <c r="N116" s="48" t="s">
        <v>376</v>
      </c>
      <c r="O116" s="48"/>
      <c r="P116" s="48"/>
      <c r="Q116" s="48" t="s">
        <v>377</v>
      </c>
      <c r="R116" s="48"/>
      <c r="S116" s="49"/>
      <c r="T116" s="48"/>
      <c r="U116" s="48" t="s">
        <v>835</v>
      </c>
      <c r="V116" s="14">
        <f t="shared" si="9"/>
        <v>1</v>
      </c>
      <c r="W116" s="14">
        <f t="shared" si="10"/>
        <v>1</v>
      </c>
      <c r="X116" s="14">
        <f>IF(AND(V116=1,OR(Painel!$C$6="Todos",D116=Painel!$C$6),AND(OR(Painel!$L$6="Todas",E116=Painel!$L$6),OR(Painel!$C$8="Todos",F116=Painel!$C$8),OR(Painel!$L$8="Todos",G116=Painel!$L$8),OR(Painel!$C$10="",ISNUMBER(SEARCH(SUBSTITUTE(SUBSTITUTE(SUBSTITUTE(Painel!$C$10,"~","~~"),"*","~*"),"?","~?"),A116&amp;" "&amp;H116&amp;" "&amp;I116))))),1,0)</f>
        <v>1</v>
      </c>
      <c r="Y116" s="14">
        <f t="shared" si="11"/>
        <v>0</v>
      </c>
      <c r="Z116" s="15">
        <f>IF(V116=0,"",IF(COUNTIFS(Andamentos!$K$10:$K$2009,"="&amp;SUBSTITUTE(SUBSTITUTE(SUBSTITUTE("P:"&amp;A116,"~","~~"),"*","~*"),"?","~?"),Andamentos!$G$10:$G$2009,1)=0,"",_xlfn.AGGREGATE(14,6,Andamentos!$D$10:$D$2009/((Andamentos!$K$10:$K$2009=AS116)*(Andamentos!$G$10:$G$2009=1)),1)))</f>
        <v>46120</v>
      </c>
      <c r="AA116" s="14">
        <f>IF(Z116="",0,COUNTIFS(Andamentos!$K$10:$K$2009,"="&amp;SUBSTITUTE(SUBSTITUTE(SUBSTITUTE("P:"&amp;A116,"~","~~"),"*","~*"),"?","~?"),Andamentos!$D$10:$D$2009,Z116,Andamentos!$G$10:$G$2009,1))</f>
        <v>1</v>
      </c>
      <c r="AB116" s="14">
        <f>IF(AA116=1,SUMIFS(Andamentos!$L$10:$L$2009,Andamentos!$K$10:$K$2009,"="&amp;SUBSTITUTE(SUBSTITUTE(SUBSTITUTE(AS116,"~","~~"),"*","~*"),"?","~?"),Andamentos!$D$10:$D$2009,Z116,Andamentos!$G$10:$G$2009,1)-9,0)</f>
        <v>106</v>
      </c>
      <c r="AC116" s="14" t="str">
        <f>IF(V116=0,"",IF(AA116&gt;1,"Conferir recebimentos empatados",IF(AB116=0,"Sem atualização",INDEX(Andamentos!$C$10:$C$2009,AB116))))</f>
        <v>A RHOR move Açao Monitória contra as empresas do Consórcio CONSORCIO LOCTEC PAVIENGE CAVA ALTA SETORSUL, que era integrado pela Alta, com participação de 1%, pretendendo o credor receber o valor solidariamente das empresas. Os Réus foram citados e apresentaram seus Embargos Monitórios, contestando a cobrança e alegando preliminares, como a de incompetência do Foro de Brasília. Foi acolhida a preliminar, tendo sido determinada a remessa dos autos para a Comarca de São Paulo, estando a deferida decisão em fase recursal, para que seja decidido sobre a competência, no âmbito do agravo, interposto [...] histórico completo em Observações</v>
      </c>
      <c r="AD116" s="14">
        <f ca="1">IF(W116=0,0,IF(MAX(Z116,BD116)=0,1,IF(Configurar!$J$12-INT(MAX(Z116,BD116))&gt;Configurar!$J$11,1,0)))</f>
        <v>1</v>
      </c>
      <c r="AE116" s="16"/>
      <c r="AF116" s="14"/>
      <c r="AG116" s="14"/>
      <c r="AH116" s="14">
        <f>IF(AND(V116=1,COUNTIFS(Valores!$S$10:$S$509,"="&amp;SUBSTITUTE(SUBSTITUTE(SUBSTITUTE("P:"&amp;A116,"~","~~"),"*","~*"),"?","~?"))=1),(IF(ISNA(MATCH(SUBSTITUTE(SUBSTITUTE(SUBSTITUTE("P:"&amp;A116,"~","~~"),"*","~*"),"?","~?"),Valores!$S$10:$S$509,0)),9,INDEX(Valores!$R$10:$R$509,MATCH(SUBSTITUTE(SUBSTITUTE(SUBSTITUTE("P:"&amp;A116,"~","~~"),"*","~*"),"?","~?"),Valores!$S$10:$S$509,0)))-9),0)</f>
        <v>107</v>
      </c>
      <c r="AI116" s="40" t="str">
        <f t="shared" si="12"/>
        <v>Informe a empresa responsável</v>
      </c>
      <c r="AJ116" s="14" t="str">
        <f>IF(AND(X116=1,Y116=1),COUNTIFS($X$10:X116,1,$Y$10:Y116,1),"")</f>
        <v/>
      </c>
      <c r="AK116" s="14">
        <f>IF(X116=1,COUNTIFS($X$10:X116,1),"")</f>
        <v>107</v>
      </c>
      <c r="AL116" s="14">
        <f>IF(AND(V116=1,AND(OR(Painel!$L$6="Todas",E116=Painel!$L$6),OR(Painel!$C$8="Todos",F116=Painel!$C$8),OR(Painel!$L$8="Todos",G116=Painel!$L$8),OR(Painel!$C$10="",ISNUMBER(SEARCH(SUBSTITUTE(SUBSTITUTE(SUBSTITUTE(Painel!$C$10,"~","~~"),"*","~*"),"?","~?"),A116&amp;" "&amp;H116&amp;" "&amp;I116))))),1,0)</f>
        <v>1</v>
      </c>
      <c r="AM116" s="14">
        <f t="shared" si="13"/>
        <v>116</v>
      </c>
      <c r="AN116" s="14"/>
      <c r="AO116" s="14"/>
      <c r="AP116" s="16" t="str">
        <f>IF(AB116=0,"",IF(INDEX(Andamentos!$B$10:$B$2009,AB116)="","",INDEX(Andamentos!$B$10:$B$2009,AB116)))</f>
        <v/>
      </c>
      <c r="AQ116" s="17">
        <f>IF(AH116=0,"",IF(INDEX(Valores!$B$10:$B$509,AH116)="","",IF(ISNUMBER(INDEX(Valores!$B$10:$B$509,AH116)),INDEX(Valores!$B$10:$B$509,AH116),"")))</f>
        <v>1343446.56</v>
      </c>
      <c r="AR116" s="14" t="str">
        <f t="shared" si="14"/>
        <v/>
      </c>
      <c r="AS116" s="14" t="str">
        <f t="shared" si="15"/>
        <v>P:0736630-73.2022.8.07.0001</v>
      </c>
      <c r="AT116" s="27" t="s">
        <v>836</v>
      </c>
      <c r="AU116" s="31" t="s">
        <v>831</v>
      </c>
      <c r="AV116" s="31"/>
      <c r="AW116" s="27" t="s">
        <v>837</v>
      </c>
      <c r="AX116" s="27" t="s">
        <v>262</v>
      </c>
      <c r="AY116" s="27"/>
      <c r="AZ116" s="27"/>
      <c r="BA116" s="30" t="str">
        <f t="shared" si="16"/>
        <v>0736630-73.2022.8.07.0001</v>
      </c>
      <c r="BB116" s="30" t="str">
        <f t="shared" si="17"/>
        <v/>
      </c>
      <c r="BC116" s="30">
        <f>IF(X116=0,0,IF(COUNTIFS($X$10:X116,1,$BA$10:BA116,BA116)=1,1,0))</f>
        <v>1</v>
      </c>
      <c r="BD116" s="29">
        <v>46120</v>
      </c>
    </row>
    <row r="117" spans="1:56" ht="42" customHeight="1">
      <c r="A117" s="41" t="s">
        <v>838</v>
      </c>
      <c r="B117" s="44" t="s">
        <v>161</v>
      </c>
      <c r="C117" s="44" t="s">
        <v>252</v>
      </c>
      <c r="D117" s="44" t="s">
        <v>823</v>
      </c>
      <c r="E117" s="44"/>
      <c r="F117" s="44"/>
      <c r="G117" s="44" t="s">
        <v>238</v>
      </c>
      <c r="H117" s="44" t="s">
        <v>832</v>
      </c>
      <c r="I117" s="44" t="s">
        <v>166</v>
      </c>
      <c r="J117" s="44" t="s">
        <v>839</v>
      </c>
      <c r="K117" s="44" t="s">
        <v>840</v>
      </c>
      <c r="L117" s="49">
        <v>44832</v>
      </c>
      <c r="M117" s="48" t="s">
        <v>834</v>
      </c>
      <c r="N117" s="48" t="s">
        <v>170</v>
      </c>
      <c r="O117" s="48"/>
      <c r="P117" s="48"/>
      <c r="Q117" s="48"/>
      <c r="R117" s="48"/>
      <c r="S117" s="49"/>
      <c r="T117" s="48"/>
      <c r="U117" s="48" t="s">
        <v>841</v>
      </c>
      <c r="V117" s="14">
        <f t="shared" si="9"/>
        <v>1</v>
      </c>
      <c r="W117" s="14">
        <f t="shared" si="10"/>
        <v>0</v>
      </c>
      <c r="X117" s="14">
        <f>IF(AND(V117=1,OR(Painel!$C$6="Todos",D117=Painel!$C$6),AND(OR(Painel!$L$6="Todas",E117=Painel!$L$6),OR(Painel!$C$8="Todos",F117=Painel!$C$8),OR(Painel!$L$8="Todos",G117=Painel!$L$8),OR(Painel!$C$10="",ISNUMBER(SEARCH(SUBSTITUTE(SUBSTITUTE(SUBSTITUTE(Painel!$C$10,"~","~~"),"*","~*"),"?","~?"),A117&amp;" "&amp;H117&amp;" "&amp;I117))))),1,0)</f>
        <v>1</v>
      </c>
      <c r="Y117" s="14">
        <f t="shared" si="11"/>
        <v>0</v>
      </c>
      <c r="Z117" s="15">
        <f>IF(V117=0,"",IF(COUNTIFS(Andamentos!$K$10:$K$2009,"="&amp;SUBSTITUTE(SUBSTITUTE(SUBSTITUTE("P:"&amp;A117,"~","~~"),"*","~*"),"?","~?"),Andamentos!$G$10:$G$2009,1)=0,"",_xlfn.AGGREGATE(14,6,Andamentos!$D$10:$D$2009/((Andamentos!$K$10:$K$2009=AS117)*(Andamentos!$G$10:$G$2009=1)),1)))</f>
        <v>46049</v>
      </c>
      <c r="AA117" s="14">
        <f>IF(Z117="",0,COUNTIFS(Andamentos!$K$10:$K$2009,"="&amp;SUBSTITUTE(SUBSTITUTE(SUBSTITUTE("P:"&amp;A117,"~","~~"),"*","~*"),"?","~?"),Andamentos!$D$10:$D$2009,Z117,Andamentos!$G$10:$G$2009,1))</f>
        <v>1</v>
      </c>
      <c r="AB117" s="14">
        <f>IF(AA117=1,SUMIFS(Andamentos!$L$10:$L$2009,Andamentos!$K$10:$K$2009,"="&amp;SUBSTITUTE(SUBSTITUTE(SUBSTITUTE(AS117,"~","~~"),"*","~*"),"?","~?"),Andamentos!$D$10:$D$2009,Z117,Andamentos!$G$10:$G$2009,1)-9,0)</f>
        <v>107</v>
      </c>
      <c r="AC117" s="14" t="str">
        <f>IF(V117=0,"",IF(AA117&gt;1,"Conferir recebimentos empatados",IF(AB117=0,"Sem atualização",INDEX(Andamentos!$C$10:$C$2009,AB117))))</f>
        <v>A RHOR moveu Açao de Cobrança contra o Consórcio Spavias Serne, Cava Engenharia e Spavias Engenharia, cobrando o valor aproximado de R$2 milhões. Todas as empresas demandadas foram citadas e apresentaram Contestação questionando a cobrnaça. A Cava Engenharia, em sua Contestação, denunciou a Alta, Serne e Trail à lide, alegando pretenso direito de regresso, caso condenada ao pagamento da dívida. A Alta, após citada, apresentou sua defesa, demosntrando que todas as obrigações envolvendo o contrato foram assumidas pela Cava, em razão da cisão empresarial que celebraram, não havendo que se falar e [...] histórico completo em Observações</v>
      </c>
      <c r="AD117" s="14">
        <f>IF(W117=0,0,IF(MAX(Z117,BD117)=0,1,IF(Configurar!$J$12-INT(MAX(Z117,BD117))&gt;Configurar!$J$11,1,0)))</f>
        <v>0</v>
      </c>
      <c r="AE117" s="16"/>
      <c r="AF117" s="14"/>
      <c r="AG117" s="14"/>
      <c r="AH117" s="14">
        <f>IF(AND(V117=1,COUNTIFS(Valores!$S$10:$S$509,"="&amp;SUBSTITUTE(SUBSTITUTE(SUBSTITUTE("P:"&amp;A117,"~","~~"),"*","~*"),"?","~?"))=1),(IF(ISNA(MATCH(SUBSTITUTE(SUBSTITUTE(SUBSTITUTE("P:"&amp;A117,"~","~~"),"*","~*"),"?","~?"),Valores!$S$10:$S$509,0)),9,INDEX(Valores!$R$10:$R$509,MATCH(SUBSTITUTE(SUBSTITUTE(SUBSTITUTE("P:"&amp;A117,"~","~~"),"*","~*"),"?","~?"),Valores!$S$10:$S$509,0)))-9),0)</f>
        <v>108</v>
      </c>
      <c r="AI117" s="40" t="str">
        <f t="shared" si="12"/>
        <v>Informe a empresa responsável</v>
      </c>
      <c r="AJ117" s="14" t="str">
        <f>IF(AND(X117=1,Y117=1),COUNTIFS($X$10:X117,1,$Y$10:Y117,1),"")</f>
        <v/>
      </c>
      <c r="AK117" s="14">
        <f>IF(X117=1,COUNTIFS($X$10:X117,1),"")</f>
        <v>108</v>
      </c>
      <c r="AL117" s="14">
        <f>IF(AND(V117=1,AND(OR(Painel!$L$6="Todas",E117=Painel!$L$6),OR(Painel!$C$8="Todos",F117=Painel!$C$8),OR(Painel!$L$8="Todos",G117=Painel!$L$8),OR(Painel!$C$10="",ISNUMBER(SEARCH(SUBSTITUTE(SUBSTITUTE(SUBSTITUTE(Painel!$C$10,"~","~~"),"*","~*"),"?","~?"),A117&amp;" "&amp;H117&amp;" "&amp;I117))))),1,0)</f>
        <v>1</v>
      </c>
      <c r="AM117" s="14">
        <f t="shared" si="13"/>
        <v>117</v>
      </c>
      <c r="AN117" s="14"/>
      <c r="AO117" s="14"/>
      <c r="AP117" s="16" t="str">
        <f>IF(AB117=0,"",IF(INDEX(Andamentos!$B$10:$B$2009,AB117)="","",INDEX(Andamentos!$B$10:$B$2009,AB117)))</f>
        <v/>
      </c>
      <c r="AQ117" s="17">
        <f>IF(AH117=0,"",IF(INDEX(Valores!$B$10:$B$509,AH117)="","",IF(ISNUMBER(INDEX(Valores!$B$10:$B$509,AH117)),INDEX(Valores!$B$10:$B$509,AH117),"")))</f>
        <v>2059318.21</v>
      </c>
      <c r="AR117" s="14" t="str">
        <f t="shared" si="14"/>
        <v/>
      </c>
      <c r="AS117" s="14" t="str">
        <f t="shared" si="15"/>
        <v>P:1135509-42.2021.8.26.0100</v>
      </c>
      <c r="AT117" s="27" t="s">
        <v>842</v>
      </c>
      <c r="AU117" s="31" t="s">
        <v>838</v>
      </c>
      <c r="AV117" s="31"/>
      <c r="AW117" s="27" t="s">
        <v>642</v>
      </c>
      <c r="AX117" s="27" t="s">
        <v>262</v>
      </c>
      <c r="AY117" s="27"/>
      <c r="AZ117" s="27"/>
      <c r="BA117" s="30" t="str">
        <f t="shared" si="16"/>
        <v>1135509-42.2021.8.26.0100</v>
      </c>
      <c r="BB117" s="30" t="str">
        <f t="shared" si="17"/>
        <v/>
      </c>
      <c r="BC117" s="30">
        <f>IF(X117=0,0,IF(COUNTIFS($X$10:X117,1,$BA$10:BA117,BA117)=1,1,0))</f>
        <v>1</v>
      </c>
      <c r="BD117" s="29">
        <v>46049</v>
      </c>
    </row>
    <row r="118" spans="1:56" ht="42" customHeight="1">
      <c r="A118" s="41" t="s">
        <v>843</v>
      </c>
      <c r="B118" s="44" t="s">
        <v>161</v>
      </c>
      <c r="C118" s="44" t="s">
        <v>300</v>
      </c>
      <c r="D118" s="44" t="s">
        <v>823</v>
      </c>
      <c r="E118" s="44"/>
      <c r="F118" s="44" t="s">
        <v>844</v>
      </c>
      <c r="G118" s="44" t="s">
        <v>238</v>
      </c>
      <c r="H118" s="44" t="s">
        <v>825</v>
      </c>
      <c r="I118" s="44" t="s">
        <v>845</v>
      </c>
      <c r="J118" s="44" t="s">
        <v>846</v>
      </c>
      <c r="K118" s="44" t="s">
        <v>847</v>
      </c>
      <c r="L118" s="49">
        <v>44575</v>
      </c>
      <c r="M118" s="48" t="s">
        <v>848</v>
      </c>
      <c r="N118" s="48" t="s">
        <v>376</v>
      </c>
      <c r="O118" s="48"/>
      <c r="P118" s="48"/>
      <c r="Q118" s="48" t="s">
        <v>377</v>
      </c>
      <c r="R118" s="48"/>
      <c r="S118" s="49"/>
      <c r="T118" s="48"/>
      <c r="U118" s="48" t="s">
        <v>849</v>
      </c>
      <c r="V118" s="14">
        <f t="shared" si="9"/>
        <v>1</v>
      </c>
      <c r="W118" s="14">
        <f t="shared" si="10"/>
        <v>1</v>
      </c>
      <c r="X118" s="14">
        <f>IF(AND(V118=1,OR(Painel!$C$6="Todos",D118=Painel!$C$6),AND(OR(Painel!$L$6="Todas",E118=Painel!$L$6),OR(Painel!$C$8="Todos",F118=Painel!$C$8),OR(Painel!$L$8="Todos",G118=Painel!$L$8),OR(Painel!$C$10="",ISNUMBER(SEARCH(SUBSTITUTE(SUBSTITUTE(SUBSTITUTE(Painel!$C$10,"~","~~"),"*","~*"),"?","~?"),A118&amp;" "&amp;H118&amp;" "&amp;I118))))),1,0)</f>
        <v>1</v>
      </c>
      <c r="Y118" s="14">
        <f t="shared" si="11"/>
        <v>0</v>
      </c>
      <c r="Z118" s="15">
        <f>IF(V118=0,"",IF(COUNTIFS(Andamentos!$K$10:$K$2009,"="&amp;SUBSTITUTE(SUBSTITUTE(SUBSTITUTE("P:"&amp;A118,"~","~~"),"*","~*"),"?","~?"),Andamentos!$G$10:$G$2009,1)=0,"",_xlfn.AGGREGATE(14,6,Andamentos!$D$10:$D$2009/((Andamentos!$K$10:$K$2009=AS118)*(Andamentos!$G$10:$G$2009=1)),1)))</f>
        <v>46120</v>
      </c>
      <c r="AA118" s="14">
        <f>IF(Z118="",0,COUNTIFS(Andamentos!$K$10:$K$2009,"="&amp;SUBSTITUTE(SUBSTITUTE(SUBSTITUTE("P:"&amp;A118,"~","~~"),"*","~*"),"?","~?"),Andamentos!$D$10:$D$2009,Z118,Andamentos!$G$10:$G$2009,1))</f>
        <v>1</v>
      </c>
      <c r="AB118" s="14">
        <f>IF(AA118=1,SUMIFS(Andamentos!$L$10:$L$2009,Andamentos!$K$10:$K$2009,"="&amp;SUBSTITUTE(SUBSTITUTE(SUBSTITUTE(AS118,"~","~~"),"*","~*"),"?","~?"),Andamentos!$D$10:$D$2009,Z118,Andamentos!$G$10:$G$2009,1)-9,0)</f>
        <v>108</v>
      </c>
      <c r="AC118" s="14" t="str">
        <f>IF(V118=0,"",IF(AA118&gt;1,"Conferir recebimentos empatados",IF(AB118=0,"Sem atualização",INDEX(Andamentos!$C$10:$C$2009,AB118))))</f>
        <v>15/12/2022, foi proferida decisão indeferindo o pedido de tutela provisória, ao argumento de que a pena não seria grave por ter sido limitada ao DNIT, bem como sob o fundamento de que durante o Processo Administrativo o Consórcio não demonstrou ter cumprido o contrato corretamente, apesar das intimações que recebeu para sanar os problemas, além de ter entendido o juiz que o caso envolve discussão relacionada às investigações da Polícia FEderal sobre a ocorrência de sobrepreço em obras do CREAM. Foi determinando a citação do DNIT para responder à ação. 
02/2/2023, foi interposto Agravo de Instr [...] histórico completo em Observações</v>
      </c>
      <c r="AD118" s="14">
        <f ca="1">IF(W118=0,0,IF(MAX(Z118,BD118)=0,1,IF(Configurar!$J$12-INT(MAX(Z118,BD118))&gt;Configurar!$J$11,1,0)))</f>
        <v>1</v>
      </c>
      <c r="AE118" s="16"/>
      <c r="AF118" s="14"/>
      <c r="AG118" s="14"/>
      <c r="AH118" s="14">
        <f>IF(AND(V118=1,COUNTIFS(Valores!$S$10:$S$509,"="&amp;SUBSTITUTE(SUBSTITUTE(SUBSTITUTE("P:"&amp;A118,"~","~~"),"*","~*"),"?","~?"))=1),(IF(ISNA(MATCH(SUBSTITUTE(SUBSTITUTE(SUBSTITUTE("P:"&amp;A118,"~","~~"),"*","~*"),"?","~?"),Valores!$S$10:$S$509,0)),9,INDEX(Valores!$R$10:$R$509,MATCH(SUBSTITUTE(SUBSTITUTE(SUBSTITUTE("P:"&amp;A118,"~","~~"),"*","~*"),"?","~?"),Valores!$S$10:$S$509,0)))-9),0)</f>
        <v>109</v>
      </c>
      <c r="AI118" s="40" t="str">
        <f t="shared" si="12"/>
        <v>Informe a empresa responsável</v>
      </c>
      <c r="AJ118" s="14" t="str">
        <f>IF(AND(X118=1,Y118=1),COUNTIFS($X$10:X118,1,$Y$10:Y118,1),"")</f>
        <v/>
      </c>
      <c r="AK118" s="14">
        <f>IF(X118=1,COUNTIFS($X$10:X118,1),"")</f>
        <v>109</v>
      </c>
      <c r="AL118" s="14">
        <f>IF(AND(V118=1,AND(OR(Painel!$L$6="Todas",E118=Painel!$L$6),OR(Painel!$C$8="Todos",F118=Painel!$C$8),OR(Painel!$L$8="Todos",G118=Painel!$L$8),OR(Painel!$C$10="",ISNUMBER(SEARCH(SUBSTITUTE(SUBSTITUTE(SUBSTITUTE(Painel!$C$10,"~","~~"),"*","~*"),"?","~?"),A118&amp;" "&amp;H118&amp;" "&amp;I118))))),1,0)</f>
        <v>1</v>
      </c>
      <c r="AM118" s="14">
        <f t="shared" si="13"/>
        <v>118</v>
      </c>
      <c r="AN118" s="14"/>
      <c r="AO118" s="14"/>
      <c r="AP118" s="16">
        <f>IF(AB118=0,"",IF(INDEX(Andamentos!$B$10:$B$2009,AB118)="","",INDEX(Andamentos!$B$10:$B$2009,AB118)))</f>
        <v>44910</v>
      </c>
      <c r="AQ118" s="17">
        <f>IF(AH118=0,"",IF(INDEX(Valores!$B$10:$B$509,AH118)="","",IF(ISNUMBER(INDEX(Valores!$B$10:$B$509,AH118)),INDEX(Valores!$B$10:$B$509,AH118),"")))</f>
        <v>1331548.8999999999</v>
      </c>
      <c r="AR118" s="14" t="str">
        <f t="shared" si="14"/>
        <v/>
      </c>
      <c r="AS118" s="14" t="str">
        <f t="shared" si="15"/>
        <v>P:1017504-73.2022.4.06.3800</v>
      </c>
      <c r="AT118" s="27" t="s">
        <v>850</v>
      </c>
      <c r="AU118" s="31" t="s">
        <v>843</v>
      </c>
      <c r="AV118" s="31" t="s">
        <v>851</v>
      </c>
      <c r="AW118" s="27" t="s">
        <v>852</v>
      </c>
      <c r="AX118" s="27" t="s">
        <v>853</v>
      </c>
      <c r="AY118" s="27"/>
      <c r="AZ118" s="27"/>
      <c r="BA118" s="30" t="str">
        <f t="shared" si="16"/>
        <v>1017504-73.2022.4.06.3800</v>
      </c>
      <c r="BB118" s="30" t="str">
        <f t="shared" si="17"/>
        <v/>
      </c>
      <c r="BC118" s="30">
        <f>IF(X118=0,0,IF(COUNTIFS($X$10:X118,1,$BA$10:BA118,BA118)=1,1,0))</f>
        <v>1</v>
      </c>
      <c r="BD118" s="29">
        <v>46120</v>
      </c>
    </row>
    <row r="119" spans="1:56" ht="42" customHeight="1">
      <c r="A119" s="41" t="s">
        <v>854</v>
      </c>
      <c r="B119" s="44" t="s">
        <v>161</v>
      </c>
      <c r="C119" s="44" t="s">
        <v>300</v>
      </c>
      <c r="D119" s="44" t="s">
        <v>823</v>
      </c>
      <c r="E119" s="44"/>
      <c r="F119" s="44" t="s">
        <v>844</v>
      </c>
      <c r="G119" s="44" t="s">
        <v>238</v>
      </c>
      <c r="H119" s="44" t="s">
        <v>845</v>
      </c>
      <c r="I119" s="44" t="s">
        <v>826</v>
      </c>
      <c r="J119" s="44" t="s">
        <v>855</v>
      </c>
      <c r="K119" s="44" t="s">
        <v>847</v>
      </c>
      <c r="L119" s="49"/>
      <c r="M119" s="48"/>
      <c r="N119" s="48" t="s">
        <v>170</v>
      </c>
      <c r="O119" s="48"/>
      <c r="P119" s="48"/>
      <c r="Q119" s="48"/>
      <c r="R119" s="48"/>
      <c r="S119" s="49"/>
      <c r="T119" s="48"/>
      <c r="U119" s="48" t="s">
        <v>856</v>
      </c>
      <c r="V119" s="14">
        <f t="shared" si="9"/>
        <v>1</v>
      </c>
      <c r="W119" s="14">
        <f t="shared" si="10"/>
        <v>1</v>
      </c>
      <c r="X119" s="14">
        <f>IF(AND(V119=1,OR(Painel!$C$6="Todos",D119=Painel!$C$6),AND(OR(Painel!$L$6="Todas",E119=Painel!$L$6),OR(Painel!$C$8="Todos",F119=Painel!$C$8),OR(Painel!$L$8="Todos",G119=Painel!$L$8),OR(Painel!$C$10="",ISNUMBER(SEARCH(SUBSTITUTE(SUBSTITUTE(SUBSTITUTE(Painel!$C$10,"~","~~"),"*","~*"),"?","~?"),A119&amp;" "&amp;H119&amp;" "&amp;I119))))),1,0)</f>
        <v>1</v>
      </c>
      <c r="Y119" s="14">
        <f t="shared" si="11"/>
        <v>0</v>
      </c>
      <c r="Z119" s="15">
        <f>IF(V119=0,"",IF(COUNTIFS(Andamentos!$K$10:$K$2009,"="&amp;SUBSTITUTE(SUBSTITUTE(SUBSTITUTE("P:"&amp;A119,"~","~~"),"*","~*"),"?","~?"),Andamentos!$G$10:$G$2009,1)=0,"",_xlfn.AGGREGATE(14,6,Andamentos!$D$10:$D$2009/((Andamentos!$K$10:$K$2009=AS119)*(Andamentos!$G$10:$G$2009=1)),1)))</f>
        <v>46120</v>
      </c>
      <c r="AA119" s="14">
        <f>IF(Z119="",0,COUNTIFS(Andamentos!$K$10:$K$2009,"="&amp;SUBSTITUTE(SUBSTITUTE(SUBSTITUTE("P:"&amp;A119,"~","~~"),"*","~*"),"?","~?"),Andamentos!$D$10:$D$2009,Z119,Andamentos!$G$10:$G$2009,1))</f>
        <v>1</v>
      </c>
      <c r="AB119" s="14">
        <f>IF(AA119=1,SUMIFS(Andamentos!$L$10:$L$2009,Andamentos!$K$10:$K$2009,"="&amp;SUBSTITUTE(SUBSTITUTE(SUBSTITUTE(AS119,"~","~~"),"*","~*"),"?","~?"),Andamentos!$D$10:$D$2009,Z119,Andamentos!$G$10:$G$2009,1)-9,0)</f>
        <v>109</v>
      </c>
      <c r="AC119" s="14" t="str">
        <f>IF(V119=0,"",IF(AA119&gt;1,"Conferir recebimentos empatados",IF(AB119=0,"Sem atualização",INDEX(Andamentos!$C$10:$C$2009,AB119))))</f>
        <v>Foi interposto Agravo de Instrumentocontra a decisão que negou a liminar no Caso 2 (CREMA-MOC), com pedido de antecipação de tutela para suspender as penalidades aplicadas pelo DNIT MG (R$844.512,60 e suspenção do direito de licitar com o DNIT por 24 meses. O Consórcio argumenta que: (a) não há que se falar em ausência de urgência em razão de penalidade de suspensar se limitar aos contratos do DNIT, pois os contratos com o DNIT representam cerca de 70% das contratações da empresa; (b) não há nenhuma investigação envolvendo o Consórcio ou lhe imputando responsabilidades; (c) os normativos invoc [...] histórico completo em Observações</v>
      </c>
      <c r="AD119" s="14">
        <f ca="1">IF(W119=0,0,IF(MAX(Z119,BD119)=0,1,IF(Configurar!$J$12-INT(MAX(Z119,BD119))&gt;Configurar!$J$11,1,0)))</f>
        <v>1</v>
      </c>
      <c r="AE119" s="16"/>
      <c r="AF119" s="14"/>
      <c r="AG119" s="14"/>
      <c r="AH119" s="14">
        <f>IF(AND(V119=1,COUNTIFS(Valores!$S$10:$S$509,"="&amp;SUBSTITUTE(SUBSTITUTE(SUBSTITUTE("P:"&amp;A119,"~","~~"),"*","~*"),"?","~?"))=1),(IF(ISNA(MATCH(SUBSTITUTE(SUBSTITUTE(SUBSTITUTE("P:"&amp;A119,"~","~~"),"*","~*"),"?","~?"),Valores!$S$10:$S$509,0)),9,INDEX(Valores!$R$10:$R$509,MATCH(SUBSTITUTE(SUBSTITUTE(SUBSTITUTE("P:"&amp;A119,"~","~~"),"*","~*"),"?","~?"),Valores!$S$10:$S$509,0)))-9),0)</f>
        <v>110</v>
      </c>
      <c r="AI119" s="40" t="str">
        <f t="shared" si="12"/>
        <v>Informe a empresa responsável</v>
      </c>
      <c r="AJ119" s="14" t="str">
        <f>IF(AND(X119=1,Y119=1),COUNTIFS($X$10:X119,1,$Y$10:Y119,1),"")</f>
        <v/>
      </c>
      <c r="AK119" s="14">
        <f>IF(X119=1,COUNTIFS($X$10:X119,1),"")</f>
        <v>110</v>
      </c>
      <c r="AL119" s="14">
        <f>IF(AND(V119=1,AND(OR(Painel!$L$6="Todas",E119=Painel!$L$6),OR(Painel!$C$8="Todos",F119=Painel!$C$8),OR(Painel!$L$8="Todos",G119=Painel!$L$8),OR(Painel!$C$10="",ISNUMBER(SEARCH(SUBSTITUTE(SUBSTITUTE(SUBSTITUTE(Painel!$C$10,"~","~~"),"*","~*"),"?","~?"),A119&amp;" "&amp;H119&amp;" "&amp;I119))))),1,0)</f>
        <v>1</v>
      </c>
      <c r="AM119" s="14">
        <f t="shared" si="13"/>
        <v>119</v>
      </c>
      <c r="AN119" s="14"/>
      <c r="AO119" s="14"/>
      <c r="AP119" s="16" t="str">
        <f>IF(AB119=0,"",IF(INDEX(Andamentos!$B$10:$B$2009,AB119)="","",INDEX(Andamentos!$B$10:$B$2009,AB119)))</f>
        <v/>
      </c>
      <c r="AQ119" s="17" t="str">
        <f>IF(AH119=0,"",IF(INDEX(Valores!$B$10:$B$509,AH119)="","",IF(ISNUMBER(INDEX(Valores!$B$10:$B$509,AH119)),INDEX(Valores!$B$10:$B$509,AH119),"")))</f>
        <v/>
      </c>
      <c r="AR119" s="14" t="str">
        <f t="shared" si="14"/>
        <v/>
      </c>
      <c r="AS119" s="14" t="str">
        <f t="shared" si="15"/>
        <v>P:1000658-95.2023.4.06.0000</v>
      </c>
      <c r="AT119" s="27" t="s">
        <v>857</v>
      </c>
      <c r="AU119" s="31" t="s">
        <v>854</v>
      </c>
      <c r="AV119" s="31"/>
      <c r="AW119" s="27" t="s">
        <v>642</v>
      </c>
      <c r="AX119" s="27" t="s">
        <v>858</v>
      </c>
      <c r="AY119" s="27"/>
      <c r="AZ119" s="27"/>
      <c r="BA119" s="30" t="str">
        <f t="shared" si="16"/>
        <v>1000658-95.2023.4.06.0000</v>
      </c>
      <c r="BB119" s="30" t="str">
        <f t="shared" si="17"/>
        <v/>
      </c>
      <c r="BC119" s="30">
        <f>IF(X119=0,0,IF(COUNTIFS($X$10:X119,1,$BA$10:BA119,BA119)=1,1,0))</f>
        <v>1</v>
      </c>
      <c r="BD119" s="29">
        <v>46120</v>
      </c>
    </row>
    <row r="120" spans="1:56" ht="42" customHeight="1">
      <c r="A120" s="41" t="s">
        <v>859</v>
      </c>
      <c r="B120" s="44" t="s">
        <v>161</v>
      </c>
      <c r="C120" s="44" t="s">
        <v>300</v>
      </c>
      <c r="D120" s="44" t="s">
        <v>823</v>
      </c>
      <c r="E120" s="44"/>
      <c r="F120" s="44"/>
      <c r="G120" s="44" t="s">
        <v>238</v>
      </c>
      <c r="H120" s="44" t="s">
        <v>860</v>
      </c>
      <c r="I120" s="44" t="s">
        <v>826</v>
      </c>
      <c r="J120" s="44" t="s">
        <v>861</v>
      </c>
      <c r="K120" s="44" t="s">
        <v>578</v>
      </c>
      <c r="L120" s="49">
        <v>44263</v>
      </c>
      <c r="M120" s="48" t="s">
        <v>862</v>
      </c>
      <c r="N120" s="48" t="s">
        <v>170</v>
      </c>
      <c r="O120" s="48"/>
      <c r="P120" s="48"/>
      <c r="Q120" s="48"/>
      <c r="R120" s="48"/>
      <c r="S120" s="49"/>
      <c r="T120" s="48"/>
      <c r="U120" s="48" t="s">
        <v>863</v>
      </c>
      <c r="V120" s="14">
        <f t="shared" si="9"/>
        <v>1</v>
      </c>
      <c r="W120" s="14">
        <f t="shared" si="10"/>
        <v>1</v>
      </c>
      <c r="X120" s="14">
        <f>IF(AND(V120=1,OR(Painel!$C$6="Todos",D120=Painel!$C$6),AND(OR(Painel!$L$6="Todas",E120=Painel!$L$6),OR(Painel!$C$8="Todos",F120=Painel!$C$8),OR(Painel!$L$8="Todos",G120=Painel!$L$8),OR(Painel!$C$10="",ISNUMBER(SEARCH(SUBSTITUTE(SUBSTITUTE(SUBSTITUTE(Painel!$C$10,"~","~~"),"*","~*"),"?","~?"),A120&amp;" "&amp;H120&amp;" "&amp;I120))))),1,0)</f>
        <v>1</v>
      </c>
      <c r="Y120" s="14">
        <f t="shared" si="11"/>
        <v>0</v>
      </c>
      <c r="Z120" s="15">
        <f>IF(V120=0,"",IF(COUNTIFS(Andamentos!$K$10:$K$2009,"="&amp;SUBSTITUTE(SUBSTITUTE(SUBSTITUTE("P:"&amp;A120,"~","~~"),"*","~*"),"?","~?"),Andamentos!$G$10:$G$2009,1)=0,"",_xlfn.AGGREGATE(14,6,Andamentos!$D$10:$D$2009/((Andamentos!$K$10:$K$2009=AS120)*(Andamentos!$G$10:$G$2009=1)),1)))</f>
        <v>46120</v>
      </c>
      <c r="AA120" s="14">
        <f>IF(Z120="",0,COUNTIFS(Andamentos!$K$10:$K$2009,"="&amp;SUBSTITUTE(SUBSTITUTE(SUBSTITUTE("P:"&amp;A120,"~","~~"),"*","~*"),"?","~?"),Andamentos!$D$10:$D$2009,Z120,Andamentos!$G$10:$G$2009,1))</f>
        <v>1</v>
      </c>
      <c r="AB120" s="14">
        <f>IF(AA120=1,SUMIFS(Andamentos!$L$10:$L$2009,Andamentos!$K$10:$K$2009,"="&amp;SUBSTITUTE(SUBSTITUTE(SUBSTITUTE(AS120,"~","~~"),"*","~*"),"?","~?"),Andamentos!$D$10:$D$2009,Z120,Andamentos!$G$10:$G$2009,1)-9,0)</f>
        <v>110</v>
      </c>
      <c r="AC120" s="14" t="str">
        <f>IF(V120=0,"",IF(AA120&gt;1,"Conferir recebimentos empatados",IF(AB120=0,"Sem atualização",INDEX(Andamentos!$C$10:$C$2009,AB120))))</f>
        <v>Em 11/3/2021, foi deferida a liminar para suspender os “efeitos do ato impugnado, bem como a emissão das ordens de início dos serviços contratados, independentemente da apresentação da garantia adicional, nos termos em que calculada pelo DNIT”. Em 22/3/2021, o DNIT apresentou Agravo de Instrumento ao TRF-1 (1009853-16.2021.4.01.0000) e obteve decisão determinando a suspensão dos efeitos da liminar e, assim, mantendo a exigência de garantia adicional, o que levou, então, à rescisão administrativa dos contratos, como decorrência da revogação da liminar, e à aplicação das penalidades que são disc [...] histórico completo em Observações</v>
      </c>
      <c r="AD120" s="14">
        <f ca="1">IF(W120=0,0,IF(MAX(Z120,BD120)=0,1,IF(Configurar!$J$12-INT(MAX(Z120,BD120))&gt;Configurar!$J$11,1,0)))</f>
        <v>1</v>
      </c>
      <c r="AE120" s="16"/>
      <c r="AF120" s="14"/>
      <c r="AG120" s="14"/>
      <c r="AH120" s="14">
        <f>IF(AND(V120=1,COUNTIFS(Valores!$S$10:$S$509,"="&amp;SUBSTITUTE(SUBSTITUTE(SUBSTITUTE("P:"&amp;A120,"~","~~"),"*","~*"),"?","~?"))=1),(IF(ISNA(MATCH(SUBSTITUTE(SUBSTITUTE(SUBSTITUTE("P:"&amp;A120,"~","~~"),"*","~*"),"?","~?"),Valores!$S$10:$S$509,0)),9,INDEX(Valores!$R$10:$R$509,MATCH(SUBSTITUTE(SUBSTITUTE(SUBSTITUTE("P:"&amp;A120,"~","~~"),"*","~*"),"?","~?"),Valores!$S$10:$S$509,0)))-9),0)</f>
        <v>111</v>
      </c>
      <c r="AI120" s="40" t="str">
        <f t="shared" si="12"/>
        <v>Informe a empresa responsável</v>
      </c>
      <c r="AJ120" s="14" t="str">
        <f>IF(AND(X120=1,Y120=1),COUNTIFS($X$10:X120,1,$Y$10:Y120,1),"")</f>
        <v/>
      </c>
      <c r="AK120" s="14">
        <f>IF(X120=1,COUNTIFS($X$10:X120,1),"")</f>
        <v>111</v>
      </c>
      <c r="AL120" s="14">
        <f>IF(AND(V120=1,AND(OR(Painel!$L$6="Todas",E120=Painel!$L$6),OR(Painel!$C$8="Todos",F120=Painel!$C$8),OR(Painel!$L$8="Todos",G120=Painel!$L$8),OR(Painel!$C$10="",ISNUMBER(SEARCH(SUBSTITUTE(SUBSTITUTE(SUBSTITUTE(Painel!$C$10,"~","~~"),"*","~*"),"?","~?"),A120&amp;" "&amp;H120&amp;" "&amp;I120))))),1,0)</f>
        <v>1</v>
      </c>
      <c r="AM120" s="14">
        <f t="shared" si="13"/>
        <v>120</v>
      </c>
      <c r="AN120" s="14"/>
      <c r="AO120" s="14"/>
      <c r="AP120" s="16" t="str">
        <f>IF(AB120=0,"",IF(INDEX(Andamentos!$B$10:$B$2009,AB120)="","",INDEX(Andamentos!$B$10:$B$2009,AB120)))</f>
        <v/>
      </c>
      <c r="AQ120" s="17" t="str">
        <f>IF(AH120=0,"",IF(INDEX(Valores!$B$10:$B$509,AH120)="","",IF(ISNUMBER(INDEX(Valores!$B$10:$B$509,AH120)),INDEX(Valores!$B$10:$B$509,AH120),"")))</f>
        <v/>
      </c>
      <c r="AR120" s="14" t="str">
        <f t="shared" si="14"/>
        <v/>
      </c>
      <c r="AS120" s="14" t="str">
        <f t="shared" si="15"/>
        <v>P:1010455-53.2021.4.01.3800</v>
      </c>
      <c r="AT120" s="27" t="s">
        <v>864</v>
      </c>
      <c r="AU120" s="31" t="s">
        <v>859</v>
      </c>
      <c r="AV120" s="31"/>
      <c r="AW120" s="27" t="s">
        <v>642</v>
      </c>
      <c r="AX120" s="27" t="s">
        <v>858</v>
      </c>
      <c r="AY120" s="27"/>
      <c r="AZ120" s="27"/>
      <c r="BA120" s="30" t="str">
        <f t="shared" si="16"/>
        <v>1010455-53.2021.4.01.3800</v>
      </c>
      <c r="BB120" s="30" t="str">
        <f t="shared" si="17"/>
        <v/>
      </c>
      <c r="BC120" s="30">
        <f>IF(X120=0,0,IF(COUNTIFS($X$10:X120,1,$BA$10:BA120,BA120)=1,1,0))</f>
        <v>1</v>
      </c>
      <c r="BD120" s="29">
        <v>46120</v>
      </c>
    </row>
    <row r="121" spans="1:56" ht="42" customHeight="1">
      <c r="A121" s="41" t="s">
        <v>865</v>
      </c>
      <c r="B121" s="44" t="s">
        <v>161</v>
      </c>
      <c r="C121" s="44" t="s">
        <v>300</v>
      </c>
      <c r="D121" s="44" t="s">
        <v>823</v>
      </c>
      <c r="E121" s="44"/>
      <c r="F121" s="44"/>
      <c r="G121" s="44" t="s">
        <v>238</v>
      </c>
      <c r="H121" s="44" t="s">
        <v>860</v>
      </c>
      <c r="I121" s="44" t="s">
        <v>826</v>
      </c>
      <c r="J121" s="44" t="s">
        <v>861</v>
      </c>
      <c r="K121" s="44" t="s">
        <v>578</v>
      </c>
      <c r="L121" s="49">
        <v>44686</v>
      </c>
      <c r="M121" s="48" t="s">
        <v>866</v>
      </c>
      <c r="N121" s="48" t="s">
        <v>376</v>
      </c>
      <c r="O121" s="48"/>
      <c r="P121" s="48"/>
      <c r="Q121" s="48" t="s">
        <v>377</v>
      </c>
      <c r="R121" s="48"/>
      <c r="S121" s="49"/>
      <c r="T121" s="48"/>
      <c r="U121" s="48" t="s">
        <v>867</v>
      </c>
      <c r="V121" s="14">
        <f t="shared" si="9"/>
        <v>1</v>
      </c>
      <c r="W121" s="14">
        <f t="shared" si="10"/>
        <v>1</v>
      </c>
      <c r="X121" s="14">
        <f>IF(AND(V121=1,OR(Painel!$C$6="Todos",D121=Painel!$C$6),AND(OR(Painel!$L$6="Todas",E121=Painel!$L$6),OR(Painel!$C$8="Todos",F121=Painel!$C$8),OR(Painel!$L$8="Todos",G121=Painel!$L$8),OR(Painel!$C$10="",ISNUMBER(SEARCH(SUBSTITUTE(SUBSTITUTE(SUBSTITUTE(Painel!$C$10,"~","~~"),"*","~*"),"?","~?"),A121&amp;" "&amp;H121&amp;" "&amp;I121))))),1,0)</f>
        <v>1</v>
      </c>
      <c r="Y121" s="14">
        <f t="shared" si="11"/>
        <v>0</v>
      </c>
      <c r="Z121" s="15">
        <f>IF(V121=0,"",IF(COUNTIFS(Andamentos!$K$10:$K$2009,"="&amp;SUBSTITUTE(SUBSTITUTE(SUBSTITUTE("P:"&amp;A121,"~","~~"),"*","~*"),"?","~?"),Andamentos!$G$10:$G$2009,1)=0,"",_xlfn.AGGREGATE(14,6,Andamentos!$D$10:$D$2009/((Andamentos!$K$10:$K$2009=AS121)*(Andamentos!$G$10:$G$2009=1)),1)))</f>
        <v>46120</v>
      </c>
      <c r="AA121" s="14">
        <f>IF(Z121="",0,COUNTIFS(Andamentos!$K$10:$K$2009,"="&amp;SUBSTITUTE(SUBSTITUTE(SUBSTITUTE("P:"&amp;A121,"~","~~"),"*","~*"),"?","~?"),Andamentos!$D$10:$D$2009,Z121,Andamentos!$G$10:$G$2009,1))</f>
        <v>1</v>
      </c>
      <c r="AB121" s="14">
        <f>IF(AA121=1,SUMIFS(Andamentos!$L$10:$L$2009,Andamentos!$K$10:$K$2009,"="&amp;SUBSTITUTE(SUBSTITUTE(SUBSTITUTE(AS121,"~","~~"),"*","~*"),"?","~?"),Andamentos!$D$10:$D$2009,Z121,Andamentos!$G$10:$G$2009,1)-9,0)</f>
        <v>111</v>
      </c>
      <c r="AC121" s="14" t="str">
        <f>IF(V121=0,"",IF(AA121&gt;1,"Conferir recebimentos empatados",IF(AB121=0,"Sem atualização",INDEX(Andamentos!$C$10:$C$2009,AB121))))</f>
        <v>Em 05/05/22, o juiz da 21ª Vara Federal decidiu postergar a apreciação do pedido de suspensão liminar das penalidades, que seria apreciado após manifestação do DNIT/MG. Em 12/05/2022, o Consórcio juntou manifestação em que reitera o seu pedido de reconsideração da liminar, diante da decisão que postergou. No dia 13/05/2022, foi proferida decisão que manteve a postergação da apreciação da liminar. Em 15/05/2022, foi interposto Agravo de Instrumento pelo Consórcio (1015793-25.2022.4.01.0000), mas a liminar foi indeferida. Em 19/05/2022, o DNIT/MG prestou informações ao juiz da 21ª Vara Federal, [...] histórico completo em Observações</v>
      </c>
      <c r="AD121" s="14">
        <f ca="1">IF(W121=0,0,IF(MAX(Z121,BD121)=0,1,IF(Configurar!$J$12-INT(MAX(Z121,BD121))&gt;Configurar!$J$11,1,0)))</f>
        <v>1</v>
      </c>
      <c r="AE121" s="16"/>
      <c r="AF121" s="14"/>
      <c r="AG121" s="14"/>
      <c r="AH121" s="14">
        <f>IF(AND(V121=1,COUNTIFS(Valores!$S$10:$S$509,"="&amp;SUBSTITUTE(SUBSTITUTE(SUBSTITUTE("P:"&amp;A121,"~","~~"),"*","~*"),"?","~?"))=1),(IF(ISNA(MATCH(SUBSTITUTE(SUBSTITUTE(SUBSTITUTE("P:"&amp;A121,"~","~~"),"*","~*"),"?","~?"),Valores!$S$10:$S$509,0)),9,INDEX(Valores!$R$10:$R$509,MATCH(SUBSTITUTE(SUBSTITUTE(SUBSTITUTE("P:"&amp;A121,"~","~~"),"*","~*"),"?","~?"),Valores!$S$10:$S$509,0)))-9),0)</f>
        <v>112</v>
      </c>
      <c r="AI121" s="40" t="str">
        <f t="shared" si="12"/>
        <v>Informe a empresa responsável</v>
      </c>
      <c r="AJ121" s="14" t="str">
        <f>IF(AND(X121=1,Y121=1),COUNTIFS($X$10:X121,1,$Y$10:Y121,1),"")</f>
        <v/>
      </c>
      <c r="AK121" s="14">
        <f>IF(X121=1,COUNTIFS($X$10:X121,1),"")</f>
        <v>112</v>
      </c>
      <c r="AL121" s="14">
        <f>IF(AND(V121=1,AND(OR(Painel!$L$6="Todas",E121=Painel!$L$6),OR(Painel!$C$8="Todos",F121=Painel!$C$8),OR(Painel!$L$8="Todos",G121=Painel!$L$8),OR(Painel!$C$10="",ISNUMBER(SEARCH(SUBSTITUTE(SUBSTITUTE(SUBSTITUTE(Painel!$C$10,"~","~~"),"*","~*"),"?","~?"),A121&amp;" "&amp;H121&amp;" "&amp;I121))))),1,0)</f>
        <v>1</v>
      </c>
      <c r="AM121" s="14">
        <f t="shared" si="13"/>
        <v>121</v>
      </c>
      <c r="AN121" s="14"/>
      <c r="AO121" s="14"/>
      <c r="AP121" s="16" t="str">
        <f>IF(AB121=0,"",IF(INDEX(Andamentos!$B$10:$B$2009,AB121)="","",INDEX(Andamentos!$B$10:$B$2009,AB121)))</f>
        <v/>
      </c>
      <c r="AQ121" s="17">
        <f>IF(AH121=0,"",IF(INDEX(Valores!$B$10:$B$509,AH121)="","",IF(ISNUMBER(INDEX(Valores!$B$10:$B$509,AH121)),INDEX(Valores!$B$10:$B$509,AH121),"")))</f>
        <v>1760543.1</v>
      </c>
      <c r="AR121" s="14" t="str">
        <f t="shared" si="14"/>
        <v/>
      </c>
      <c r="AS121" s="14" t="str">
        <f t="shared" si="15"/>
        <v>P:1021095-81.2022.4.01.3800</v>
      </c>
      <c r="AT121" s="27" t="s">
        <v>868</v>
      </c>
      <c r="AU121" s="31" t="s">
        <v>865</v>
      </c>
      <c r="AV121" s="31" t="s">
        <v>869</v>
      </c>
      <c r="AW121" s="27" t="s">
        <v>642</v>
      </c>
      <c r="AX121" s="27" t="s">
        <v>870</v>
      </c>
      <c r="AY121" s="27"/>
      <c r="AZ121" s="27"/>
      <c r="BA121" s="30" t="str">
        <f t="shared" si="16"/>
        <v>1021095-81.2022.4.01.3800</v>
      </c>
      <c r="BB121" s="30" t="str">
        <f t="shared" si="17"/>
        <v/>
      </c>
      <c r="BC121" s="30">
        <f>IF(X121=0,0,IF(COUNTIFS($X$10:X121,1,$BA$10:BA121,BA121)=1,1,0))</f>
        <v>1</v>
      </c>
      <c r="BD121" s="29">
        <v>46120</v>
      </c>
    </row>
    <row r="122" spans="1:56" ht="42" customHeight="1">
      <c r="A122" s="41" t="s">
        <v>871</v>
      </c>
      <c r="B122" s="44" t="s">
        <v>161</v>
      </c>
      <c r="C122" s="44" t="s">
        <v>300</v>
      </c>
      <c r="D122" s="44" t="s">
        <v>823</v>
      </c>
      <c r="E122" s="44"/>
      <c r="F122" s="44"/>
      <c r="G122" s="44" t="s">
        <v>238</v>
      </c>
      <c r="H122" s="44" t="s">
        <v>832</v>
      </c>
      <c r="I122" s="44" t="s">
        <v>166</v>
      </c>
      <c r="J122" s="44" t="s">
        <v>872</v>
      </c>
      <c r="K122" s="44" t="s">
        <v>840</v>
      </c>
      <c r="L122" s="49"/>
      <c r="M122" s="48" t="s">
        <v>873</v>
      </c>
      <c r="N122" s="48" t="s">
        <v>376</v>
      </c>
      <c r="O122" s="48"/>
      <c r="P122" s="48"/>
      <c r="Q122" s="48" t="s">
        <v>377</v>
      </c>
      <c r="R122" s="48"/>
      <c r="S122" s="49"/>
      <c r="T122" s="48"/>
      <c r="U122" s="48" t="s">
        <v>874</v>
      </c>
      <c r="V122" s="14">
        <f t="shared" si="9"/>
        <v>1</v>
      </c>
      <c r="W122" s="14">
        <f t="shared" si="10"/>
        <v>1</v>
      </c>
      <c r="X122" s="14">
        <f>IF(AND(V122=1,OR(Painel!$C$6="Todos",D122=Painel!$C$6),AND(OR(Painel!$L$6="Todas",E122=Painel!$L$6),OR(Painel!$C$8="Todos",F122=Painel!$C$8),OR(Painel!$L$8="Todos",G122=Painel!$L$8),OR(Painel!$C$10="",ISNUMBER(SEARCH(SUBSTITUTE(SUBSTITUTE(SUBSTITUTE(Painel!$C$10,"~","~~"),"*","~*"),"?","~?"),A122&amp;" "&amp;H122&amp;" "&amp;I122))))),1,0)</f>
        <v>1</v>
      </c>
      <c r="Y122" s="14">
        <f t="shared" si="11"/>
        <v>0</v>
      </c>
      <c r="Z122" s="15">
        <f>IF(V122=0,"",IF(COUNTIFS(Andamentos!$K$10:$K$2009,"="&amp;SUBSTITUTE(SUBSTITUTE(SUBSTITUTE("P:"&amp;A122,"~","~~"),"*","~*"),"?","~?"),Andamentos!$G$10:$G$2009,1)=0,"",_xlfn.AGGREGATE(14,6,Andamentos!$D$10:$D$2009/((Andamentos!$K$10:$K$2009=AS122)*(Andamentos!$G$10:$G$2009=1)),1)))</f>
        <v>46120</v>
      </c>
      <c r="AA122" s="14">
        <f>IF(Z122="",0,COUNTIFS(Andamentos!$K$10:$K$2009,"="&amp;SUBSTITUTE(SUBSTITUTE(SUBSTITUTE("P:"&amp;A122,"~","~~"),"*","~*"),"?","~?"),Andamentos!$D$10:$D$2009,Z122,Andamentos!$G$10:$G$2009,1))</f>
        <v>1</v>
      </c>
      <c r="AB122" s="14">
        <f>IF(AA122=1,SUMIFS(Andamentos!$L$10:$L$2009,Andamentos!$K$10:$K$2009,"="&amp;SUBSTITUTE(SUBSTITUTE(SUBSTITUTE(AS122,"~","~~"),"*","~*"),"?","~?"),Andamentos!$D$10:$D$2009,Z122,Andamentos!$G$10:$G$2009,1)-9,0)</f>
        <v>112</v>
      </c>
      <c r="AC122" s="14" t="str">
        <f>IF(V122=0,"",IF(AA122&gt;1,"Conferir recebimentos empatados",IF(AB122=0,"Sem atualização",INDEX(Andamentos!$C$10:$C$2009,AB122))))</f>
        <v>A Alta foi citada e apresentou defesa, demonstrando, além de outras razões, que não assumiu a obrigção objeto do contrato tratado na cobrança, bem como que não lhe deve ser imputada responsabilidade.
O processo aguarda a citação de todos os Réus, para que seja iniciada a fase de provas.</v>
      </c>
      <c r="AD122" s="14">
        <f ca="1">IF(W122=0,0,IF(MAX(Z122,BD122)=0,1,IF(Configurar!$J$12-INT(MAX(Z122,BD122))&gt;Configurar!$J$11,1,0)))</f>
        <v>1</v>
      </c>
      <c r="AE122" s="16"/>
      <c r="AF122" s="14"/>
      <c r="AG122" s="14"/>
      <c r="AH122" s="14">
        <f>IF(AND(V122=1,COUNTIFS(Valores!$S$10:$S$509,"="&amp;SUBSTITUTE(SUBSTITUTE(SUBSTITUTE("P:"&amp;A122,"~","~~"),"*","~*"),"?","~?"))=1),(IF(ISNA(MATCH(SUBSTITUTE(SUBSTITUTE(SUBSTITUTE("P:"&amp;A122,"~","~~"),"*","~*"),"?","~?"),Valores!$S$10:$S$509,0)),9,INDEX(Valores!$R$10:$R$509,MATCH(SUBSTITUTE(SUBSTITUTE(SUBSTITUTE("P:"&amp;A122,"~","~~"),"*","~*"),"?","~?"),Valores!$S$10:$S$509,0)))-9),0)</f>
        <v>113</v>
      </c>
      <c r="AI122" s="40" t="str">
        <f t="shared" si="12"/>
        <v>Informe a empresa responsável</v>
      </c>
      <c r="AJ122" s="14" t="str">
        <f>IF(AND(X122=1,Y122=1),COUNTIFS($X$10:X122,1,$Y$10:Y122,1),"")</f>
        <v/>
      </c>
      <c r="AK122" s="14">
        <f>IF(X122=1,COUNTIFS($X$10:X122,1),"")</f>
        <v>113</v>
      </c>
      <c r="AL122" s="14">
        <f>IF(AND(V122=1,AND(OR(Painel!$L$6="Todas",E122=Painel!$L$6),OR(Painel!$C$8="Todos",F122=Painel!$C$8),OR(Painel!$L$8="Todos",G122=Painel!$L$8),OR(Painel!$C$10="",ISNUMBER(SEARCH(SUBSTITUTE(SUBSTITUTE(SUBSTITUTE(Painel!$C$10,"~","~~"),"*","~*"),"?","~?"),A122&amp;" "&amp;H122&amp;" "&amp;I122))))),1,0)</f>
        <v>1</v>
      </c>
      <c r="AM122" s="14">
        <f t="shared" si="13"/>
        <v>122</v>
      </c>
      <c r="AN122" s="14"/>
      <c r="AO122" s="14"/>
      <c r="AP122" s="16" t="str">
        <f>IF(AB122=0,"",IF(INDEX(Andamentos!$B$10:$B$2009,AB122)="","",INDEX(Andamentos!$B$10:$B$2009,AB122)))</f>
        <v/>
      </c>
      <c r="AQ122" s="17">
        <f>IF(AH122=0,"",IF(INDEX(Valores!$B$10:$B$509,AH122)="","",IF(ISNUMBER(INDEX(Valores!$B$10:$B$509,AH122)),INDEX(Valores!$B$10:$B$509,AH122),"")))</f>
        <v>1534163.28</v>
      </c>
      <c r="AR122" s="14" t="str">
        <f t="shared" si="14"/>
        <v/>
      </c>
      <c r="AS122" s="14" t="str">
        <f t="shared" si="15"/>
        <v>P:1119107-46.2022.8.26.0100</v>
      </c>
      <c r="AT122" s="27" t="s">
        <v>875</v>
      </c>
      <c r="AU122" s="31" t="s">
        <v>871</v>
      </c>
      <c r="AV122" s="31"/>
      <c r="AW122" s="27" t="s">
        <v>608</v>
      </c>
      <c r="AX122" s="27" t="s">
        <v>262</v>
      </c>
      <c r="AY122" s="27"/>
      <c r="AZ122" s="27"/>
      <c r="BA122" s="30" t="str">
        <f t="shared" si="16"/>
        <v>1119107-46.2022.8.26.0100</v>
      </c>
      <c r="BB122" s="30" t="str">
        <f t="shared" si="17"/>
        <v/>
      </c>
      <c r="BC122" s="30">
        <f>IF(X122=0,0,IF(COUNTIFS($X$10:X122,1,$BA$10:BA122,BA122)=1,1,0))</f>
        <v>1</v>
      </c>
      <c r="BD122" s="29">
        <v>46120</v>
      </c>
    </row>
    <row r="123" spans="1:56" ht="42" customHeight="1">
      <c r="A123" s="41" t="s">
        <v>876</v>
      </c>
      <c r="B123" s="44" t="s">
        <v>161</v>
      </c>
      <c r="C123" s="44" t="s">
        <v>252</v>
      </c>
      <c r="D123" s="44" t="s">
        <v>823</v>
      </c>
      <c r="E123" s="44"/>
      <c r="F123" s="44"/>
      <c r="G123" s="44" t="s">
        <v>238</v>
      </c>
      <c r="H123" s="44" t="s">
        <v>877</v>
      </c>
      <c r="I123" s="44" t="s">
        <v>878</v>
      </c>
      <c r="J123" s="44" t="s">
        <v>879</v>
      </c>
      <c r="K123" s="44" t="s">
        <v>578</v>
      </c>
      <c r="L123" s="49"/>
      <c r="M123" s="48" t="s">
        <v>880</v>
      </c>
      <c r="N123" s="48" t="s">
        <v>170</v>
      </c>
      <c r="O123" s="48"/>
      <c r="P123" s="48"/>
      <c r="Q123" s="48"/>
      <c r="R123" s="48"/>
      <c r="S123" s="49"/>
      <c r="T123" s="48"/>
      <c r="U123" s="48" t="s">
        <v>881</v>
      </c>
      <c r="V123" s="14">
        <f t="shared" si="9"/>
        <v>1</v>
      </c>
      <c r="W123" s="14">
        <f t="shared" si="10"/>
        <v>0</v>
      </c>
      <c r="X123" s="14">
        <f>IF(AND(V123=1,OR(Painel!$C$6="Todos",D123=Painel!$C$6),AND(OR(Painel!$L$6="Todas",E123=Painel!$L$6),OR(Painel!$C$8="Todos",F123=Painel!$C$8),OR(Painel!$L$8="Todos",G123=Painel!$L$8),OR(Painel!$C$10="",ISNUMBER(SEARCH(SUBSTITUTE(SUBSTITUTE(SUBSTITUTE(Painel!$C$10,"~","~~"),"*","~*"),"?","~?"),A123&amp;" "&amp;H123&amp;" "&amp;I123))))),1,0)</f>
        <v>1</v>
      </c>
      <c r="Y123" s="14">
        <f t="shared" si="11"/>
        <v>0</v>
      </c>
      <c r="Z123" s="15">
        <f>IF(V123=0,"",IF(COUNTIFS(Andamentos!$K$10:$K$2009,"="&amp;SUBSTITUTE(SUBSTITUTE(SUBSTITUTE("P:"&amp;A123,"~","~~"),"*","~*"),"?","~?"),Andamentos!$G$10:$G$2009,1)=0,"",_xlfn.AGGREGATE(14,6,Andamentos!$D$10:$D$2009/((Andamentos!$K$10:$K$2009=AS123)*(Andamentos!$G$10:$G$2009=1)),1)))</f>
        <v>45901</v>
      </c>
      <c r="AA123" s="14">
        <f>IF(Z123="",0,COUNTIFS(Andamentos!$K$10:$K$2009,"="&amp;SUBSTITUTE(SUBSTITUTE(SUBSTITUTE("P:"&amp;A123,"~","~~"),"*","~*"),"?","~?"),Andamentos!$D$10:$D$2009,Z123,Andamentos!$G$10:$G$2009,1))</f>
        <v>1</v>
      </c>
      <c r="AB123" s="14">
        <f>IF(AA123=1,SUMIFS(Andamentos!$L$10:$L$2009,Andamentos!$K$10:$K$2009,"="&amp;SUBSTITUTE(SUBSTITUTE(SUBSTITUTE(AS123,"~","~~"),"*","~*"),"?","~?"),Andamentos!$D$10:$D$2009,Z123,Andamentos!$G$10:$G$2009,1)-9,0)</f>
        <v>113</v>
      </c>
      <c r="AC123" s="14" t="str">
        <f>IF(V123=0,"",IF(AA123&gt;1,"Conferir recebimentos empatados",IF(AB123=0,"Sem atualização",INDEX(Andamentos!$C$10:$C$2009,AB123))))</f>
        <v>Foi apresentado pedido de desistência do MS, em razão do atingimento do seu objeto, tendo, então, sido a questão da retenção sido objeto de um novo MS.</v>
      </c>
      <c r="AD123" s="14">
        <f>IF(W123=0,0,IF(MAX(Z123,BD123)=0,1,IF(Configurar!$J$12-INT(MAX(Z123,BD123))&gt;Configurar!$J$11,1,0)))</f>
        <v>0</v>
      </c>
      <c r="AE123" s="16"/>
      <c r="AF123" s="14"/>
      <c r="AG123" s="14"/>
      <c r="AH123" s="14">
        <f>IF(AND(V123=1,COUNTIFS(Valores!$S$10:$S$509,"="&amp;SUBSTITUTE(SUBSTITUTE(SUBSTITUTE("P:"&amp;A123,"~","~~"),"*","~*"),"?","~?"))=1),(IF(ISNA(MATCH(SUBSTITUTE(SUBSTITUTE(SUBSTITUTE("P:"&amp;A123,"~","~~"),"*","~*"),"?","~?"),Valores!$S$10:$S$509,0)),9,INDEX(Valores!$R$10:$R$509,MATCH(SUBSTITUTE(SUBSTITUTE(SUBSTITUTE("P:"&amp;A123,"~","~~"),"*","~*"),"?","~?"),Valores!$S$10:$S$509,0)))-9),0)</f>
        <v>114</v>
      </c>
      <c r="AI123" s="40" t="str">
        <f t="shared" si="12"/>
        <v>Informe a empresa responsável</v>
      </c>
      <c r="AJ123" s="14" t="str">
        <f>IF(AND(X123=1,Y123=1),COUNTIFS($X$10:X123,1,$Y$10:Y123,1),"")</f>
        <v/>
      </c>
      <c r="AK123" s="14">
        <f>IF(X123=1,COUNTIFS($X$10:X123,1),"")</f>
        <v>114</v>
      </c>
      <c r="AL123" s="14">
        <f>IF(AND(V123=1,AND(OR(Painel!$L$6="Todas",E123=Painel!$L$6),OR(Painel!$C$8="Todos",F123=Painel!$C$8),OR(Painel!$L$8="Todos",G123=Painel!$L$8),OR(Painel!$C$10="",ISNUMBER(SEARCH(SUBSTITUTE(SUBSTITUTE(SUBSTITUTE(Painel!$C$10,"~","~~"),"*","~*"),"?","~?"),A123&amp;" "&amp;H123&amp;" "&amp;I123))))),1,0)</f>
        <v>1</v>
      </c>
      <c r="AM123" s="14">
        <f t="shared" si="13"/>
        <v>123</v>
      </c>
      <c r="AN123" s="14"/>
      <c r="AO123" s="14"/>
      <c r="AP123" s="16" t="str">
        <f>IF(AB123=0,"",IF(INDEX(Andamentos!$B$10:$B$2009,AB123)="","",INDEX(Andamentos!$B$10:$B$2009,AB123)))</f>
        <v/>
      </c>
      <c r="AQ123" s="17">
        <f>IF(AH123=0,"",IF(INDEX(Valores!$B$10:$B$509,AH123)="","",IF(ISNUMBER(INDEX(Valores!$B$10:$B$509,AH123)),INDEX(Valores!$B$10:$B$509,AH123),"")))</f>
        <v>10000</v>
      </c>
      <c r="AR123" s="14" t="str">
        <f t="shared" si="14"/>
        <v/>
      </c>
      <c r="AS123" s="14" t="str">
        <f t="shared" si="15"/>
        <v>P:1030389-28.2024.4.01.3400</v>
      </c>
      <c r="AT123" s="27" t="s">
        <v>882</v>
      </c>
      <c r="AU123" s="31" t="s">
        <v>876</v>
      </c>
      <c r="AV123" s="31"/>
      <c r="AW123" s="27" t="s">
        <v>728</v>
      </c>
      <c r="AX123" s="27" t="s">
        <v>858</v>
      </c>
      <c r="AY123" s="27"/>
      <c r="AZ123" s="27"/>
      <c r="BA123" s="30" t="str">
        <f t="shared" si="16"/>
        <v>1030389-28.2024.4.01.3400</v>
      </c>
      <c r="BB123" s="30" t="str">
        <f t="shared" si="17"/>
        <v/>
      </c>
      <c r="BC123" s="30">
        <f>IF(X123=0,0,IF(COUNTIFS($X$10:X123,1,$BA$10:BA123,BA123)=1,1,0))</f>
        <v>1</v>
      </c>
      <c r="BD123" s="29">
        <v>45901</v>
      </c>
    </row>
    <row r="124" spans="1:56" ht="42" customHeight="1">
      <c r="A124" s="41" t="s">
        <v>883</v>
      </c>
      <c r="B124" s="44" t="s">
        <v>161</v>
      </c>
      <c r="C124" s="44" t="s">
        <v>252</v>
      </c>
      <c r="D124" s="44" t="s">
        <v>823</v>
      </c>
      <c r="E124" s="44"/>
      <c r="F124" s="44"/>
      <c r="G124" s="44" t="s">
        <v>238</v>
      </c>
      <c r="H124" s="44" t="s">
        <v>877</v>
      </c>
      <c r="I124" s="44" t="s">
        <v>878</v>
      </c>
      <c r="J124" s="44" t="s">
        <v>884</v>
      </c>
      <c r="K124" s="44" t="s">
        <v>578</v>
      </c>
      <c r="L124" s="49"/>
      <c r="M124" s="48" t="s">
        <v>885</v>
      </c>
      <c r="N124" s="48" t="s">
        <v>170</v>
      </c>
      <c r="O124" s="48"/>
      <c r="P124" s="48"/>
      <c r="Q124" s="48"/>
      <c r="R124" s="48"/>
      <c r="S124" s="49"/>
      <c r="T124" s="48"/>
      <c r="U124" s="48" t="s">
        <v>886</v>
      </c>
      <c r="V124" s="14">
        <f t="shared" si="9"/>
        <v>1</v>
      </c>
      <c r="W124" s="14">
        <f t="shared" si="10"/>
        <v>0</v>
      </c>
      <c r="X124" s="14">
        <f>IF(AND(V124=1,OR(Painel!$C$6="Todos",D124=Painel!$C$6),AND(OR(Painel!$L$6="Todas",E124=Painel!$L$6),OR(Painel!$C$8="Todos",F124=Painel!$C$8),OR(Painel!$L$8="Todos",G124=Painel!$L$8),OR(Painel!$C$10="",ISNUMBER(SEARCH(SUBSTITUTE(SUBSTITUTE(SUBSTITUTE(Painel!$C$10,"~","~~"),"*","~*"),"?","~?"),A124&amp;" "&amp;H124&amp;" "&amp;I124))))),1,0)</f>
        <v>1</v>
      </c>
      <c r="Y124" s="14">
        <f t="shared" si="11"/>
        <v>0</v>
      </c>
      <c r="Z124" s="15">
        <f>IF(V124=0,"",IF(COUNTIFS(Andamentos!$K$10:$K$2009,"="&amp;SUBSTITUTE(SUBSTITUTE(SUBSTITUTE("P:"&amp;A124,"~","~~"),"*","~*"),"?","~?"),Andamentos!$G$10:$G$2009,1)=0,"",_xlfn.AGGREGATE(14,6,Andamentos!$D$10:$D$2009/((Andamentos!$K$10:$K$2009=AS124)*(Andamentos!$G$10:$G$2009=1)),1)))</f>
        <v>46049</v>
      </c>
      <c r="AA124" s="14">
        <f>IF(Z124="",0,COUNTIFS(Andamentos!$K$10:$K$2009,"="&amp;SUBSTITUTE(SUBSTITUTE(SUBSTITUTE("P:"&amp;A124,"~","~~"),"*","~*"),"?","~?"),Andamentos!$D$10:$D$2009,Z124,Andamentos!$G$10:$G$2009,1))</f>
        <v>1</v>
      </c>
      <c r="AB124" s="14">
        <f>IF(AA124=1,SUMIFS(Andamentos!$L$10:$L$2009,Andamentos!$K$10:$K$2009,"="&amp;SUBSTITUTE(SUBSTITUTE(SUBSTITUTE(AS124,"~","~~"),"*","~*"),"?","~?"),Andamentos!$D$10:$D$2009,Z124,Andamentos!$G$10:$G$2009,1)-9,0)</f>
        <v>114</v>
      </c>
      <c r="AC124" s="14" t="str">
        <f>IF(V124=0,"",IF(AA124&gt;1,"Conferir recebimentos empatados",IF(AB124=0,"Sem atualização",INDEX(Andamentos!$C$10:$C$2009,AB124))))</f>
        <v>A ANTT foi citada e semanifestou, informando que finalmente decidiu a questão, aplicando pena de multa de aproximadamente R$21 mil, sendo liberado o reamenscente de R$180 mil ao Consórcio. Foi profedia a sentença homologando o pedido de desistência do processo, aguarda-se arquivamento. [...] histórico completo em Observações</v>
      </c>
      <c r="AD124" s="14">
        <f>IF(W124=0,0,IF(MAX(Z124,BD124)=0,1,IF(Configurar!$J$12-INT(MAX(Z124,BD124))&gt;Configurar!$J$11,1,0)))</f>
        <v>0</v>
      </c>
      <c r="AE124" s="16"/>
      <c r="AF124" s="14"/>
      <c r="AG124" s="14"/>
      <c r="AH124" s="14">
        <f>IF(AND(V124=1,COUNTIFS(Valores!$S$10:$S$509,"="&amp;SUBSTITUTE(SUBSTITUTE(SUBSTITUTE("P:"&amp;A124,"~","~~"),"*","~*"),"?","~?"))=1),(IF(ISNA(MATCH(SUBSTITUTE(SUBSTITUTE(SUBSTITUTE("P:"&amp;A124,"~","~~"),"*","~*"),"?","~?"),Valores!$S$10:$S$509,0)),9,INDEX(Valores!$R$10:$R$509,MATCH(SUBSTITUTE(SUBSTITUTE(SUBSTITUTE("P:"&amp;A124,"~","~~"),"*","~*"),"?","~?"),Valores!$S$10:$S$509,0)))-9),0)</f>
        <v>115</v>
      </c>
      <c r="AI124" s="40" t="str">
        <f t="shared" si="12"/>
        <v>Informe a empresa responsável</v>
      </c>
      <c r="AJ124" s="14" t="str">
        <f>IF(AND(X124=1,Y124=1),COUNTIFS($X$10:X124,1,$Y$10:Y124,1),"")</f>
        <v/>
      </c>
      <c r="AK124" s="14">
        <f>IF(X124=1,COUNTIFS($X$10:X124,1),"")</f>
        <v>115</v>
      </c>
      <c r="AL124" s="14">
        <f>IF(AND(V124=1,AND(OR(Painel!$L$6="Todas",E124=Painel!$L$6),OR(Painel!$C$8="Todos",F124=Painel!$C$8),OR(Painel!$L$8="Todos",G124=Painel!$L$8),OR(Painel!$C$10="",ISNUMBER(SEARCH(SUBSTITUTE(SUBSTITUTE(SUBSTITUTE(Painel!$C$10,"~","~~"),"*","~*"),"?","~?"),A124&amp;" "&amp;H124&amp;" "&amp;I124))))),1,0)</f>
        <v>1</v>
      </c>
      <c r="AM124" s="14">
        <f t="shared" si="13"/>
        <v>124</v>
      </c>
      <c r="AN124" s="14"/>
      <c r="AO124" s="14"/>
      <c r="AP124" s="16" t="str">
        <f>IF(AB124=0,"",IF(INDEX(Andamentos!$B$10:$B$2009,AB124)="","",INDEX(Andamentos!$B$10:$B$2009,AB124)))</f>
        <v/>
      </c>
      <c r="AQ124" s="17">
        <f>IF(AH124=0,"",IF(INDEX(Valores!$B$10:$B$509,AH124)="","",IF(ISNUMBER(INDEX(Valores!$B$10:$B$509,AH124)),INDEX(Valores!$B$10:$B$509,AH124),"")))</f>
        <v>204105.73</v>
      </c>
      <c r="AR124" s="14" t="str">
        <f t="shared" si="14"/>
        <v/>
      </c>
      <c r="AS124" s="14" t="str">
        <f t="shared" si="15"/>
        <v>P:1050120-10.2024.4.01.3400</v>
      </c>
      <c r="AT124" s="27" t="s">
        <v>887</v>
      </c>
      <c r="AU124" s="31" t="s">
        <v>883</v>
      </c>
      <c r="AV124" s="31"/>
      <c r="AW124" s="27" t="s">
        <v>740</v>
      </c>
      <c r="AX124" s="27" t="s">
        <v>858</v>
      </c>
      <c r="AY124" s="27"/>
      <c r="AZ124" s="27"/>
      <c r="BA124" s="30" t="str">
        <f t="shared" si="16"/>
        <v>1050120-10.2024.4.01.3400</v>
      </c>
      <c r="BB124" s="30" t="str">
        <f t="shared" si="17"/>
        <v/>
      </c>
      <c r="BC124" s="30">
        <f>IF(X124=0,0,IF(COUNTIFS($X$10:X124,1,$BA$10:BA124,BA124)=1,1,0))</f>
        <v>1</v>
      </c>
      <c r="BD124" s="29">
        <v>46049</v>
      </c>
    </row>
    <row r="125" spans="1:56" ht="42" customHeight="1">
      <c r="A125" s="41" t="s">
        <v>888</v>
      </c>
      <c r="B125" s="44" t="s">
        <v>161</v>
      </c>
      <c r="C125" s="44" t="s">
        <v>300</v>
      </c>
      <c r="D125" s="44" t="s">
        <v>823</v>
      </c>
      <c r="E125" s="44"/>
      <c r="F125" s="44"/>
      <c r="G125" s="44" t="s">
        <v>238</v>
      </c>
      <c r="H125" s="44" t="s">
        <v>889</v>
      </c>
      <c r="I125" s="44" t="s">
        <v>890</v>
      </c>
      <c r="J125" s="44" t="s">
        <v>891</v>
      </c>
      <c r="K125" s="44" t="s">
        <v>578</v>
      </c>
      <c r="L125" s="49">
        <v>41292</v>
      </c>
      <c r="M125" s="48" t="s">
        <v>892</v>
      </c>
      <c r="N125" s="48" t="s">
        <v>376</v>
      </c>
      <c r="O125" s="48"/>
      <c r="P125" s="48"/>
      <c r="Q125" s="48" t="s">
        <v>377</v>
      </c>
      <c r="R125" s="48"/>
      <c r="S125" s="49"/>
      <c r="T125" s="48"/>
      <c r="U125" s="48" t="s">
        <v>893</v>
      </c>
      <c r="V125" s="14">
        <f t="shared" si="9"/>
        <v>1</v>
      </c>
      <c r="W125" s="14">
        <f t="shared" si="10"/>
        <v>1</v>
      </c>
      <c r="X125" s="14">
        <f>IF(AND(V125=1,OR(Painel!$C$6="Todos",D125=Painel!$C$6),AND(OR(Painel!$L$6="Todas",E125=Painel!$L$6),OR(Painel!$C$8="Todos",F125=Painel!$C$8),OR(Painel!$L$8="Todos",G125=Painel!$L$8),OR(Painel!$C$10="",ISNUMBER(SEARCH(SUBSTITUTE(SUBSTITUTE(SUBSTITUTE(Painel!$C$10,"~","~~"),"*","~*"),"?","~?"),A125&amp;" "&amp;H125&amp;" "&amp;I125))))),1,0)</f>
        <v>1</v>
      </c>
      <c r="Y125" s="14">
        <f t="shared" si="11"/>
        <v>0</v>
      </c>
      <c r="Z125" s="15">
        <f>IF(V125=0,"",IF(COUNTIFS(Andamentos!$K$10:$K$2009,"="&amp;SUBSTITUTE(SUBSTITUTE(SUBSTITUTE("P:"&amp;A125,"~","~~"),"*","~*"),"?","~?"),Andamentos!$G$10:$G$2009,1)=0,"",_xlfn.AGGREGATE(14,6,Andamentos!$D$10:$D$2009/((Andamentos!$K$10:$K$2009=AS125)*(Andamentos!$G$10:$G$2009=1)),1)))</f>
        <v>46120</v>
      </c>
      <c r="AA125" s="14">
        <f>IF(Z125="",0,COUNTIFS(Andamentos!$K$10:$K$2009,"="&amp;SUBSTITUTE(SUBSTITUTE(SUBSTITUTE("P:"&amp;A125,"~","~~"),"*","~*"),"?","~?"),Andamentos!$D$10:$D$2009,Z125,Andamentos!$G$10:$G$2009,1))</f>
        <v>1</v>
      </c>
      <c r="AB125" s="14">
        <f>IF(AA125=1,SUMIFS(Andamentos!$L$10:$L$2009,Andamentos!$K$10:$K$2009,"="&amp;SUBSTITUTE(SUBSTITUTE(SUBSTITUTE(AS125,"~","~~"),"*","~*"),"?","~?"),Andamentos!$D$10:$D$2009,Z125,Andamentos!$G$10:$G$2009,1)-9,0)</f>
        <v>115</v>
      </c>
      <c r="AC125" s="14" t="str">
        <f>IF(V125=0,"",IF(AA125&gt;1,"Conferir recebimentos empatados",IF(AB125=0,"Sem atualização",INDEX(Andamentos!$C$10:$C$2009,AB125))))</f>
        <v>A ação cívil pública de improbidade administrativa e reparação de danos, decorre de iniciativa do TCU envolvendo 06 (seis) contratos administrativos entre o DNER e a empresa STRATA engenharia (contratos PG-045/98, PG-121/98PG-017/98,PG-175/98,PG-016/98ePG-176/98) com dispensa indevida de licitação. Relativamente ao Sr. Camilo, a ação alega que atuou em conluio com os servidores públicos já nominados, na prática dos atos ilícitos descritos nesta peça, beneficiando-se diretamente dos mesmos</v>
      </c>
      <c r="AD125" s="14">
        <f ca="1">IF(W125=0,0,IF(MAX(Z125,BD125)=0,1,IF(Configurar!$J$12-INT(MAX(Z125,BD125))&gt;Configurar!$J$11,1,0)))</f>
        <v>1</v>
      </c>
      <c r="AE125" s="16"/>
      <c r="AF125" s="14"/>
      <c r="AG125" s="14"/>
      <c r="AH125" s="14">
        <f>IF(AND(V125=1,COUNTIFS(Valores!$S$10:$S$509,"="&amp;SUBSTITUTE(SUBSTITUTE(SUBSTITUTE("P:"&amp;A125,"~","~~"),"*","~*"),"?","~?"))=1),(IF(ISNA(MATCH(SUBSTITUTE(SUBSTITUTE(SUBSTITUTE("P:"&amp;A125,"~","~~"),"*","~*"),"?","~?"),Valores!$S$10:$S$509,0)),9,INDEX(Valores!$R$10:$R$509,MATCH(SUBSTITUTE(SUBSTITUTE(SUBSTITUTE("P:"&amp;A125,"~","~~"),"*","~*"),"?","~?"),Valores!$S$10:$S$509,0)))-9),0)</f>
        <v>116</v>
      </c>
      <c r="AI125" s="40" t="str">
        <f t="shared" si="12"/>
        <v>Informe a empresa responsável</v>
      </c>
      <c r="AJ125" s="14" t="str">
        <f>IF(AND(X125=1,Y125=1),COUNTIFS($X$10:X125,1,$Y$10:Y125,1),"")</f>
        <v/>
      </c>
      <c r="AK125" s="14">
        <f>IF(X125=1,COUNTIFS($X$10:X125,1),"")</f>
        <v>116</v>
      </c>
      <c r="AL125" s="14">
        <f>IF(AND(V125=1,AND(OR(Painel!$L$6="Todas",E125=Painel!$L$6),OR(Painel!$C$8="Todos",F125=Painel!$C$8),OR(Painel!$L$8="Todos",G125=Painel!$L$8),OR(Painel!$C$10="",ISNUMBER(SEARCH(SUBSTITUTE(SUBSTITUTE(SUBSTITUTE(Painel!$C$10,"~","~~"),"*","~*"),"?","~?"),A125&amp;" "&amp;H125&amp;" "&amp;I125))))),1,0)</f>
        <v>1</v>
      </c>
      <c r="AM125" s="14">
        <f t="shared" si="13"/>
        <v>125</v>
      </c>
      <c r="AN125" s="14"/>
      <c r="AO125" s="14"/>
      <c r="AP125" s="16" t="str">
        <f>IF(AB125=0,"",IF(INDEX(Andamentos!$B$10:$B$2009,AB125)="","",INDEX(Andamentos!$B$10:$B$2009,AB125)))</f>
        <v/>
      </c>
      <c r="AQ125" s="17">
        <f>IF(AH125=0,"",IF(INDEX(Valores!$B$10:$B$509,AH125)="","",IF(ISNUMBER(INDEX(Valores!$B$10:$B$509,AH125)),INDEX(Valores!$B$10:$B$509,AH125),"")))</f>
        <v>1534163.28</v>
      </c>
      <c r="AR125" s="14" t="str">
        <f t="shared" si="14"/>
        <v/>
      </c>
      <c r="AS125" s="14" t="str">
        <f t="shared" si="15"/>
        <v>P:0023079-86.2004.4.01.3400</v>
      </c>
      <c r="AT125" s="27" t="s">
        <v>894</v>
      </c>
      <c r="AU125" s="31" t="s">
        <v>888</v>
      </c>
      <c r="AV125" s="31"/>
      <c r="AW125" s="27" t="s">
        <v>642</v>
      </c>
      <c r="AX125" s="27" t="s">
        <v>246</v>
      </c>
      <c r="AY125" s="27"/>
      <c r="AZ125" s="27"/>
      <c r="BA125" s="30" t="str">
        <f t="shared" si="16"/>
        <v>0023079-86.2004.4.01.3400</v>
      </c>
      <c r="BB125" s="30" t="str">
        <f t="shared" si="17"/>
        <v/>
      </c>
      <c r="BC125" s="30">
        <f>IF(X125=0,0,IF(COUNTIFS($X$10:X125,1,$BA$10:BA125,BA125)=1,1,0))</f>
        <v>1</v>
      </c>
      <c r="BD125" s="29">
        <v>46120</v>
      </c>
    </row>
    <row r="126" spans="1:56" ht="42" customHeight="1">
      <c r="A126" s="41" t="s">
        <v>895</v>
      </c>
      <c r="B126" s="44" t="s">
        <v>598</v>
      </c>
      <c r="C126" s="44" t="s">
        <v>252</v>
      </c>
      <c r="D126" s="44" t="s">
        <v>823</v>
      </c>
      <c r="E126" s="44"/>
      <c r="F126" s="44"/>
      <c r="G126" s="44" t="s">
        <v>824</v>
      </c>
      <c r="H126" s="44" t="s">
        <v>825</v>
      </c>
      <c r="I126" s="44" t="s">
        <v>896</v>
      </c>
      <c r="J126" s="44"/>
      <c r="K126" s="44" t="s">
        <v>826</v>
      </c>
      <c r="L126" s="49"/>
      <c r="M126" s="48" t="s">
        <v>897</v>
      </c>
      <c r="N126" s="48" t="s">
        <v>170</v>
      </c>
      <c r="O126" s="48"/>
      <c r="P126" s="48"/>
      <c r="Q126" s="48"/>
      <c r="R126" s="48"/>
      <c r="S126" s="49"/>
      <c r="T126" s="48"/>
      <c r="U126" s="48" t="s">
        <v>898</v>
      </c>
      <c r="V126" s="14">
        <f t="shared" si="9"/>
        <v>1</v>
      </c>
      <c r="W126" s="14">
        <f t="shared" si="10"/>
        <v>0</v>
      </c>
      <c r="X126" s="14">
        <f>IF(AND(V126=1,OR(Painel!$C$6="Todos",D126=Painel!$C$6),AND(OR(Painel!$L$6="Todas",E126=Painel!$L$6),OR(Painel!$C$8="Todos",F126=Painel!$C$8),OR(Painel!$L$8="Todos",G126=Painel!$L$8),OR(Painel!$C$10="",ISNUMBER(SEARCH(SUBSTITUTE(SUBSTITUTE(SUBSTITUTE(Painel!$C$10,"~","~~"),"*","~*"),"?","~?"),A126&amp;" "&amp;H126&amp;" "&amp;I126))))),1,0)</f>
        <v>1</v>
      </c>
      <c r="Y126" s="14">
        <f t="shared" si="11"/>
        <v>0</v>
      </c>
      <c r="Z126" s="15">
        <f>IF(V126=0,"",IF(COUNTIFS(Andamentos!$K$10:$K$2009,"="&amp;SUBSTITUTE(SUBSTITUTE(SUBSTITUTE("P:"&amp;A126,"~","~~"),"*","~*"),"?","~?"),Andamentos!$G$10:$G$2009,1)=0,"",_xlfn.AGGREGATE(14,6,Andamentos!$D$10:$D$2009/((Andamentos!$K$10:$K$2009=AS126)*(Andamentos!$G$10:$G$2009=1)),1)))</f>
        <v>46190</v>
      </c>
      <c r="AA126" s="14">
        <f>IF(Z126="",0,COUNTIFS(Andamentos!$K$10:$K$2009,"="&amp;SUBSTITUTE(SUBSTITUTE(SUBSTITUTE("P:"&amp;A126,"~","~~"),"*","~*"),"?","~?"),Andamentos!$D$10:$D$2009,Z126,Andamentos!$G$10:$G$2009,1))</f>
        <v>1</v>
      </c>
      <c r="AB126" s="14">
        <f>IF(AA126=1,SUMIFS(Andamentos!$L$10:$L$2009,Andamentos!$K$10:$K$2009,"="&amp;SUBSTITUTE(SUBSTITUTE(SUBSTITUTE(AS126,"~","~~"),"*","~*"),"?","~?"),Andamentos!$D$10:$D$2009,Z126,Andamentos!$G$10:$G$2009,1)-9,0)</f>
        <v>116</v>
      </c>
      <c r="AC126" s="14" t="str">
        <f>IF(V126=0,"",IF(AA126&gt;1,"Conferir recebimentos empatados",IF(AB126=0,"Sem atualização",INDEX(Andamentos!$C$10:$C$2009,AB126))))</f>
        <v>17/06/2026 - Assinado o termo de confissão de divida. [...] histórico completo em Observações</v>
      </c>
      <c r="AD126" s="14">
        <f>IF(W126=0,0,IF(MAX(Z126,BD126)=0,1,IF(Configurar!$J$12-INT(MAX(Z126,BD126))&gt;Configurar!$J$11,1,0)))</f>
        <v>0</v>
      </c>
      <c r="AE126" s="16"/>
      <c r="AF126" s="14"/>
      <c r="AG126" s="14"/>
      <c r="AH126" s="14">
        <f>IF(AND(V126=1,COUNTIFS(Valores!$S$10:$S$509,"="&amp;SUBSTITUTE(SUBSTITUTE(SUBSTITUTE("P:"&amp;A126,"~","~~"),"*","~*"),"?","~?"))=1),(IF(ISNA(MATCH(SUBSTITUTE(SUBSTITUTE(SUBSTITUTE("P:"&amp;A126,"~","~~"),"*","~*"),"?","~?"),Valores!$S$10:$S$509,0)),9,INDEX(Valores!$R$10:$R$509,MATCH(SUBSTITUTE(SUBSTITUTE(SUBSTITUTE("P:"&amp;A126,"~","~~"),"*","~*"),"?","~?"),Valores!$S$10:$S$509,0)))-9),0)</f>
        <v>117</v>
      </c>
      <c r="AI126" s="40" t="str">
        <f t="shared" si="12"/>
        <v>Informe a empresa responsável</v>
      </c>
      <c r="AJ126" s="14" t="str">
        <f>IF(AND(X126=1,Y126=1),COUNTIFS($X$10:X126,1,$Y$10:Y126,1),"")</f>
        <v/>
      </c>
      <c r="AK126" s="14">
        <f>IF(X126=1,COUNTIFS($X$10:X126,1),"")</f>
        <v>117</v>
      </c>
      <c r="AL126" s="14">
        <f>IF(AND(V126=1,AND(OR(Painel!$L$6="Todas",E126=Painel!$L$6),OR(Painel!$C$8="Todos",F126=Painel!$C$8),OR(Painel!$L$8="Todos",G126=Painel!$L$8),OR(Painel!$C$10="",ISNUMBER(SEARCH(SUBSTITUTE(SUBSTITUTE(SUBSTITUTE(Painel!$C$10,"~","~~"),"*","~*"),"?","~?"),A126&amp;" "&amp;H126&amp;" "&amp;I126))))),1,0)</f>
        <v>1</v>
      </c>
      <c r="AM126" s="14">
        <f t="shared" si="13"/>
        <v>126</v>
      </c>
      <c r="AN126" s="14"/>
      <c r="AO126" s="14"/>
      <c r="AP126" s="16">
        <f>IF(AB126=0,"",IF(INDEX(Andamentos!$B$10:$B$2009,AB126)="","",INDEX(Andamentos!$B$10:$B$2009,AB126)))</f>
        <v>46190</v>
      </c>
      <c r="AQ126" s="17">
        <f>IF(AH126=0,"",IF(INDEX(Valores!$B$10:$B$509,AH126)="","",IF(ISNUMBER(INDEX(Valores!$B$10:$B$509,AH126)),INDEX(Valores!$B$10:$B$509,AH126),"")))</f>
        <v>42025.91</v>
      </c>
      <c r="AR126" s="14" t="str">
        <f t="shared" si="14"/>
        <v/>
      </c>
      <c r="AS126" s="14" t="str">
        <f t="shared" si="15"/>
        <v>P:50606.005625/2024-01</v>
      </c>
      <c r="AT126" s="27" t="s">
        <v>899</v>
      </c>
      <c r="AU126" s="31"/>
      <c r="AV126" s="31" t="s">
        <v>895</v>
      </c>
      <c r="AW126" s="27" t="s">
        <v>740</v>
      </c>
      <c r="AX126" s="27" t="s">
        <v>900</v>
      </c>
      <c r="AY126" s="27"/>
      <c r="AZ126" s="27"/>
      <c r="BA126" s="30" t="str">
        <f t="shared" si="16"/>
        <v>50606.005625/2024-01</v>
      </c>
      <c r="BB126" s="30" t="str">
        <f t="shared" si="17"/>
        <v/>
      </c>
      <c r="BC126" s="30">
        <f>IF(X126=0,0,IF(COUNTIFS($X$10:X126,1,$BA$10:BA126,BA126)=1,1,0))</f>
        <v>1</v>
      </c>
      <c r="BD126" s="29">
        <v>46190</v>
      </c>
    </row>
    <row r="127" spans="1:56" ht="42" customHeight="1">
      <c r="A127" s="41" t="s">
        <v>901</v>
      </c>
      <c r="B127" s="44" t="s">
        <v>161</v>
      </c>
      <c r="C127" s="44" t="s">
        <v>300</v>
      </c>
      <c r="D127" s="44" t="s">
        <v>823</v>
      </c>
      <c r="E127" s="44"/>
      <c r="F127" s="44"/>
      <c r="G127" s="44" t="s">
        <v>238</v>
      </c>
      <c r="H127" s="44" t="s">
        <v>896</v>
      </c>
      <c r="I127" s="44" t="s">
        <v>826</v>
      </c>
      <c r="J127" s="44"/>
      <c r="K127" s="44" t="s">
        <v>847</v>
      </c>
      <c r="L127" s="49"/>
      <c r="M127" s="48" t="s">
        <v>902</v>
      </c>
      <c r="N127" s="48" t="s">
        <v>170</v>
      </c>
      <c r="O127" s="48"/>
      <c r="P127" s="48"/>
      <c r="Q127" s="48"/>
      <c r="R127" s="48"/>
      <c r="S127" s="49"/>
      <c r="T127" s="48"/>
      <c r="U127" s="48" t="s">
        <v>903</v>
      </c>
      <c r="V127" s="14">
        <f t="shared" si="9"/>
        <v>1</v>
      </c>
      <c r="W127" s="14">
        <f t="shared" si="10"/>
        <v>1</v>
      </c>
      <c r="X127" s="14">
        <f>IF(AND(V127=1,OR(Painel!$C$6="Todos",D127=Painel!$C$6),AND(OR(Painel!$L$6="Todas",E127=Painel!$L$6),OR(Painel!$C$8="Todos",F127=Painel!$C$8),OR(Painel!$L$8="Todos",G127=Painel!$L$8),OR(Painel!$C$10="",ISNUMBER(SEARCH(SUBSTITUTE(SUBSTITUTE(SUBSTITUTE(Painel!$C$10,"~","~~"),"*","~*"),"?","~?"),A127&amp;" "&amp;H127&amp;" "&amp;I127))))),1,0)</f>
        <v>1</v>
      </c>
      <c r="Y127" s="14">
        <f t="shared" si="11"/>
        <v>0</v>
      </c>
      <c r="Z127" s="15">
        <f>IF(V127=0,"",IF(COUNTIFS(Andamentos!$K$10:$K$2009,"="&amp;SUBSTITUTE(SUBSTITUTE(SUBSTITUTE("P:"&amp;A127,"~","~~"),"*","~*"),"?","~?"),Andamentos!$G$10:$G$2009,1)=0,"",_xlfn.AGGREGATE(14,6,Andamentos!$D$10:$D$2009/((Andamentos!$K$10:$K$2009=AS127)*(Andamentos!$G$10:$G$2009=1)),1)))</f>
        <v>46120</v>
      </c>
      <c r="AA127" s="14">
        <f>IF(Z127="",0,COUNTIFS(Andamentos!$K$10:$K$2009,"="&amp;SUBSTITUTE(SUBSTITUTE(SUBSTITUTE("P:"&amp;A127,"~","~~"),"*","~*"),"?","~?"),Andamentos!$D$10:$D$2009,Z127,Andamentos!$G$10:$G$2009,1))</f>
        <v>1</v>
      </c>
      <c r="AB127" s="14">
        <f>IF(AA127=1,SUMIFS(Andamentos!$L$10:$L$2009,Andamentos!$K$10:$K$2009,"="&amp;SUBSTITUTE(SUBSTITUTE(SUBSTITUTE(AS127,"~","~~"),"*","~*"),"?","~?"),Andamentos!$D$10:$D$2009,Z127,Andamentos!$G$10:$G$2009,1)-9,0)</f>
        <v>117</v>
      </c>
      <c r="AC127" s="14" t="str">
        <f>IF(V127=0,"",IF(AA127&gt;1,"Conferir recebimentos empatados",IF(AB127=0,"Sem atualização",INDEX(Andamentos!$C$10:$C$2009,AB127))))</f>
        <v>22/9/2025 - foi proposta ação judicial questionando a multa, por ter sido aplicada em duplicidade sobre os mesmos fatos e por não haver inadimplemento na avaliação do Consórcio. Foi concedida a medida liminar para suspender a cobrança da multa. O DNIT foi citado e apresentou Contestação, que foi Impugnada pelo Consórcio. O caso aguarda decisão sobre as provas que serão produzidas.</v>
      </c>
      <c r="AD127" s="14">
        <f ca="1">IF(W127=0,0,IF(MAX(Z127,BD127)=0,1,IF(Configurar!$J$12-INT(MAX(Z127,BD127))&gt;Configurar!$J$11,1,0)))</f>
        <v>1</v>
      </c>
      <c r="AE127" s="16"/>
      <c r="AF127" s="14"/>
      <c r="AG127" s="14"/>
      <c r="AH127" s="14">
        <f>IF(AND(V127=1,COUNTIFS(Valores!$S$10:$S$509,"="&amp;SUBSTITUTE(SUBSTITUTE(SUBSTITUTE("P:"&amp;A127,"~","~~"),"*","~*"),"?","~?"))=1),(IF(ISNA(MATCH(SUBSTITUTE(SUBSTITUTE(SUBSTITUTE("P:"&amp;A127,"~","~~"),"*","~*"),"?","~?"),Valores!$S$10:$S$509,0)),9,INDEX(Valores!$R$10:$R$509,MATCH(SUBSTITUTE(SUBSTITUTE(SUBSTITUTE("P:"&amp;A127,"~","~~"),"*","~*"),"?","~?"),Valores!$S$10:$S$509,0)))-9),0)</f>
        <v>118</v>
      </c>
      <c r="AI127" s="40" t="str">
        <f t="shared" si="12"/>
        <v>Informe a empresa responsável</v>
      </c>
      <c r="AJ127" s="14" t="str">
        <f>IF(AND(X127=1,Y127=1),COUNTIFS($X$10:X127,1,$Y$10:Y127,1),"")</f>
        <v/>
      </c>
      <c r="AK127" s="14">
        <f>IF(X127=1,COUNTIFS($X$10:X127,1),"")</f>
        <v>118</v>
      </c>
      <c r="AL127" s="14">
        <f>IF(AND(V127=1,AND(OR(Painel!$L$6="Todas",E127=Painel!$L$6),OR(Painel!$C$8="Todos",F127=Painel!$C$8),OR(Painel!$L$8="Todos",G127=Painel!$L$8),OR(Painel!$C$10="",ISNUMBER(SEARCH(SUBSTITUTE(SUBSTITUTE(SUBSTITUTE(Painel!$C$10,"~","~~"),"*","~*"),"?","~?"),A127&amp;" "&amp;H127&amp;" "&amp;I127))))),1,0)</f>
        <v>1</v>
      </c>
      <c r="AM127" s="14">
        <f t="shared" si="13"/>
        <v>127</v>
      </c>
      <c r="AN127" s="14"/>
      <c r="AO127" s="14"/>
      <c r="AP127" s="16" t="str">
        <f>IF(AB127=0,"",IF(INDEX(Andamentos!$B$10:$B$2009,AB127)="","",INDEX(Andamentos!$B$10:$B$2009,AB127)))</f>
        <v/>
      </c>
      <c r="AQ127" s="17" t="str">
        <f>IF(AH127=0,"",IF(INDEX(Valores!$B$10:$B$509,AH127)="","",IF(ISNUMBER(INDEX(Valores!$B$10:$B$509,AH127)),INDEX(Valores!$B$10:$B$509,AH127),"")))</f>
        <v/>
      </c>
      <c r="AR127" s="14" t="str">
        <f t="shared" si="14"/>
        <v/>
      </c>
      <c r="AS127" s="14" t="str">
        <f t="shared" si="15"/>
        <v>P:6355533-29.2025.4.06.3800 [SMP-013]</v>
      </c>
      <c r="AT127" s="27" t="s">
        <v>904</v>
      </c>
      <c r="AU127" s="31" t="s">
        <v>905</v>
      </c>
      <c r="AV127" s="31" t="s">
        <v>906</v>
      </c>
      <c r="AW127" s="27"/>
      <c r="AX127" s="27" t="s">
        <v>907</v>
      </c>
      <c r="AY127" s="27"/>
      <c r="AZ127" s="27"/>
      <c r="BA127" s="30" t="str">
        <f t="shared" si="16"/>
        <v>6355533-29.2025.4.06.3800</v>
      </c>
      <c r="BB127" s="30" t="str">
        <f t="shared" si="17"/>
        <v>Revisar repetição</v>
      </c>
      <c r="BC127" s="30">
        <f>IF(X127=0,0,IF(COUNTIFS($X$10:X127,1,$BA$10:BA127,BA127)=1,1,0))</f>
        <v>1</v>
      </c>
      <c r="BD127" s="29">
        <v>46120</v>
      </c>
    </row>
    <row r="128" spans="1:56" ht="42" customHeight="1">
      <c r="A128" s="41" t="s">
        <v>908</v>
      </c>
      <c r="B128" s="44" t="s">
        <v>161</v>
      </c>
      <c r="C128" s="44" t="s">
        <v>300</v>
      </c>
      <c r="D128" s="44" t="s">
        <v>823</v>
      </c>
      <c r="E128" s="44"/>
      <c r="F128" s="44"/>
      <c r="G128" s="44" t="s">
        <v>824</v>
      </c>
      <c r="H128" s="44" t="s">
        <v>896</v>
      </c>
      <c r="I128" s="44" t="s">
        <v>826</v>
      </c>
      <c r="J128" s="44"/>
      <c r="K128" s="44" t="s">
        <v>847</v>
      </c>
      <c r="L128" s="49"/>
      <c r="M128" s="48"/>
      <c r="N128" s="48" t="s">
        <v>376</v>
      </c>
      <c r="O128" s="48"/>
      <c r="P128" s="48"/>
      <c r="Q128" s="48" t="s">
        <v>377</v>
      </c>
      <c r="R128" s="48"/>
      <c r="S128" s="49"/>
      <c r="T128" s="48"/>
      <c r="U128" s="48" t="s">
        <v>909</v>
      </c>
      <c r="V128" s="14">
        <f t="shared" si="9"/>
        <v>1</v>
      </c>
      <c r="W128" s="14">
        <f t="shared" si="10"/>
        <v>1</v>
      </c>
      <c r="X128" s="14">
        <f>IF(AND(V128=1,OR(Painel!$C$6="Todos",D128=Painel!$C$6),AND(OR(Painel!$L$6="Todas",E128=Painel!$L$6),OR(Painel!$C$8="Todos",F128=Painel!$C$8),OR(Painel!$L$8="Todos",G128=Painel!$L$8),OR(Painel!$C$10="",ISNUMBER(SEARCH(SUBSTITUTE(SUBSTITUTE(SUBSTITUTE(Painel!$C$10,"~","~~"),"*","~*"),"?","~?"),A128&amp;" "&amp;H128&amp;" "&amp;I128))))),1,0)</f>
        <v>1</v>
      </c>
      <c r="Y128" s="14">
        <f t="shared" si="11"/>
        <v>0</v>
      </c>
      <c r="Z128" s="15">
        <f>IF(V128=0,"",IF(COUNTIFS(Andamentos!$K$10:$K$2009,"="&amp;SUBSTITUTE(SUBSTITUTE(SUBSTITUTE("P:"&amp;A128,"~","~~"),"*","~*"),"?","~?"),Andamentos!$G$10:$G$2009,1)=0,"",_xlfn.AGGREGATE(14,6,Andamentos!$D$10:$D$2009/((Andamentos!$K$10:$K$2009=AS128)*(Andamentos!$G$10:$G$2009=1)),1)))</f>
        <v>46120</v>
      </c>
      <c r="AA128" s="14">
        <f>IF(Z128="",0,COUNTIFS(Andamentos!$K$10:$K$2009,"="&amp;SUBSTITUTE(SUBSTITUTE(SUBSTITUTE("P:"&amp;A128,"~","~~"),"*","~*"),"?","~?"),Andamentos!$D$10:$D$2009,Z128,Andamentos!$G$10:$G$2009,1))</f>
        <v>1</v>
      </c>
      <c r="AB128" s="14">
        <f>IF(AA128=1,SUMIFS(Andamentos!$L$10:$L$2009,Andamentos!$K$10:$K$2009,"="&amp;SUBSTITUTE(SUBSTITUTE(SUBSTITUTE(AS128,"~","~~"),"*","~*"),"?","~?"),Andamentos!$D$10:$D$2009,Z128,Andamentos!$G$10:$G$2009,1)-9,0)</f>
        <v>118</v>
      </c>
      <c r="AC128" s="14" t="str">
        <f>IF(V128=0,"",IF(AA128&gt;1,"Conferir recebimentos empatados",IF(AB128=0,"Sem atualização",INDEX(Andamentos!$C$10:$C$2009,AB128))))</f>
        <v>PAAR instaurado pelo DNIT envolvendo o Contrato de Supervisão 382/2013, por alegada falha na supervisão do Contrato de Obras 369/2017, da Vilasa Construtora Ltda. Foi proferida decisão final apenando o Consórcio com 6 meses de suspensão do direito de licitar (já cumpridos) e multa no valor atualizado de R$1.025.576,73 (9/2025).</v>
      </c>
      <c r="AD128" s="14">
        <f ca="1">IF(W128=0,0,IF(MAX(Z128,BD128)=0,1,IF(Configurar!$J$12-INT(MAX(Z128,BD128))&gt;Configurar!$J$11,1,0)))</f>
        <v>1</v>
      </c>
      <c r="AE128" s="16"/>
      <c r="AF128" s="14"/>
      <c r="AG128" s="14"/>
      <c r="AH128" s="14">
        <f>IF(AND(V128=1,COUNTIFS(Valores!$S$10:$S$509,"="&amp;SUBSTITUTE(SUBSTITUTE(SUBSTITUTE("P:"&amp;A128,"~","~~"),"*","~*"),"?","~?"))=1),(IF(ISNA(MATCH(SUBSTITUTE(SUBSTITUTE(SUBSTITUTE("P:"&amp;A128,"~","~~"),"*","~*"),"?","~?"),Valores!$S$10:$S$509,0)),9,INDEX(Valores!$R$10:$R$509,MATCH(SUBSTITUTE(SUBSTITUTE(SUBSTITUTE("P:"&amp;A128,"~","~~"),"*","~*"),"?","~?"),Valores!$S$10:$S$509,0)))-9),0)</f>
        <v>119</v>
      </c>
      <c r="AI128" s="40" t="str">
        <f t="shared" si="12"/>
        <v>Informe a empresa responsável</v>
      </c>
      <c r="AJ128" s="14" t="str">
        <f>IF(AND(X128=1,Y128=1),COUNTIFS($X$10:X128,1,$Y$10:Y128,1),"")</f>
        <v/>
      </c>
      <c r="AK128" s="14">
        <f>IF(X128=1,COUNTIFS($X$10:X128,1),"")</f>
        <v>119</v>
      </c>
      <c r="AL128" s="14">
        <f>IF(AND(V128=1,AND(OR(Painel!$L$6="Todas",E128=Painel!$L$6),OR(Painel!$C$8="Todos",F128=Painel!$C$8),OR(Painel!$L$8="Todos",G128=Painel!$L$8),OR(Painel!$C$10="",ISNUMBER(SEARCH(SUBSTITUTE(SUBSTITUTE(SUBSTITUTE(Painel!$C$10,"~","~~"),"*","~*"),"?","~?"),A128&amp;" "&amp;H128&amp;" "&amp;I128))))),1,0)</f>
        <v>1</v>
      </c>
      <c r="AM128" s="14">
        <f t="shared" si="13"/>
        <v>128</v>
      </c>
      <c r="AN128" s="14"/>
      <c r="AO128" s="14"/>
      <c r="AP128" s="16" t="str">
        <f>IF(AB128=0,"",IF(INDEX(Andamentos!$B$10:$B$2009,AB128)="","",INDEX(Andamentos!$B$10:$B$2009,AB128)))</f>
        <v/>
      </c>
      <c r="AQ128" s="17">
        <f>IF(AH128=0,"",IF(INDEX(Valores!$B$10:$B$509,AH128)="","",IF(ISNUMBER(INDEX(Valores!$B$10:$B$509,AH128)),INDEX(Valores!$B$10:$B$509,AH128),"")))</f>
        <v>1125695.24</v>
      </c>
      <c r="AR128" s="14" t="str">
        <f t="shared" si="14"/>
        <v/>
      </c>
      <c r="AS128" s="14" t="str">
        <f t="shared" si="15"/>
        <v>P:6355533-29.2025.4.06.3800 [SMP-014]</v>
      </c>
      <c r="AT128" s="27" t="s">
        <v>910</v>
      </c>
      <c r="AU128" s="31" t="s">
        <v>905</v>
      </c>
      <c r="AV128" s="31" t="s">
        <v>906</v>
      </c>
      <c r="AW128" s="27"/>
      <c r="AX128" s="27" t="s">
        <v>911</v>
      </c>
      <c r="AY128" s="27"/>
      <c r="AZ128" s="27"/>
      <c r="BA128" s="30" t="str">
        <f t="shared" si="16"/>
        <v>6355533-29.2025.4.06.3800</v>
      </c>
      <c r="BB128" s="30" t="str">
        <f t="shared" si="17"/>
        <v>Revisar repetição</v>
      </c>
      <c r="BC128" s="30">
        <f>IF(X128=0,0,IF(COUNTIFS($X$10:X128,1,$BA$10:BA128,BA128)=1,1,0))</f>
        <v>0</v>
      </c>
      <c r="BD128" s="29">
        <v>46120</v>
      </c>
    </row>
    <row r="129" spans="1:56" ht="42" customHeight="1">
      <c r="A129" s="41" t="s">
        <v>912</v>
      </c>
      <c r="B129" s="44" t="s">
        <v>598</v>
      </c>
      <c r="C129" s="44" t="s">
        <v>300</v>
      </c>
      <c r="D129" s="44" t="s">
        <v>823</v>
      </c>
      <c r="E129" s="44"/>
      <c r="F129" s="44"/>
      <c r="G129" s="44" t="s">
        <v>824</v>
      </c>
      <c r="H129" s="44" t="s">
        <v>896</v>
      </c>
      <c r="I129" s="44" t="s">
        <v>826</v>
      </c>
      <c r="J129" s="44"/>
      <c r="K129" s="44" t="s">
        <v>826</v>
      </c>
      <c r="L129" s="49"/>
      <c r="M129" s="48" t="s">
        <v>913</v>
      </c>
      <c r="N129" s="48" t="s">
        <v>170</v>
      </c>
      <c r="O129" s="48"/>
      <c r="P129" s="48"/>
      <c r="Q129" s="48"/>
      <c r="R129" s="48"/>
      <c r="S129" s="49"/>
      <c r="T129" s="48"/>
      <c r="U129" s="48" t="s">
        <v>914</v>
      </c>
      <c r="V129" s="14">
        <f t="shared" si="9"/>
        <v>1</v>
      </c>
      <c r="W129" s="14">
        <f t="shared" si="10"/>
        <v>1</v>
      </c>
      <c r="X129" s="14">
        <f>IF(AND(V129=1,OR(Painel!$C$6="Todos",D129=Painel!$C$6),AND(OR(Painel!$L$6="Todas",E129=Painel!$L$6),OR(Painel!$C$8="Todos",F129=Painel!$C$8),OR(Painel!$L$8="Todos",G129=Painel!$L$8),OR(Painel!$C$10="",ISNUMBER(SEARCH(SUBSTITUTE(SUBSTITUTE(SUBSTITUTE(Painel!$C$10,"~","~~"),"*","~*"),"?","~?"),A129&amp;" "&amp;H129&amp;" "&amp;I129))))),1,0)</f>
        <v>1</v>
      </c>
      <c r="Y129" s="14">
        <f t="shared" si="11"/>
        <v>0</v>
      </c>
      <c r="Z129" s="15">
        <f>IF(V129=0,"",IF(COUNTIFS(Andamentos!$K$10:$K$2009,"="&amp;SUBSTITUTE(SUBSTITUTE(SUBSTITUTE("P:"&amp;A129,"~","~~"),"*","~*"),"?","~?"),Andamentos!$G$10:$G$2009,1)=0,"",_xlfn.AGGREGATE(14,6,Andamentos!$D$10:$D$2009/((Andamentos!$K$10:$K$2009=AS129)*(Andamentos!$G$10:$G$2009=1)),1)))</f>
        <v>46122</v>
      </c>
      <c r="AA129" s="14">
        <f>IF(Z129="",0,COUNTIFS(Andamentos!$K$10:$K$2009,"="&amp;SUBSTITUTE(SUBSTITUTE(SUBSTITUTE("P:"&amp;A129,"~","~~"),"*","~*"),"?","~?"),Andamentos!$D$10:$D$2009,Z129,Andamentos!$G$10:$G$2009,1))</f>
        <v>1</v>
      </c>
      <c r="AB129" s="14">
        <f>IF(AA129=1,SUMIFS(Andamentos!$L$10:$L$2009,Andamentos!$K$10:$K$2009,"="&amp;SUBSTITUTE(SUBSTITUTE(SUBSTITUTE(AS129,"~","~~"),"*","~*"),"?","~?"),Andamentos!$D$10:$D$2009,Z129,Andamentos!$G$10:$G$2009,1)-9,0)</f>
        <v>119</v>
      </c>
      <c r="AC129" s="14" t="str">
        <f>IF(V129=0,"",IF(AA129&gt;1,"Conferir recebimentos empatados",IF(AB129=0,"Sem atualização",INDEX(Andamentos!$C$10:$C$2009,AB129))))</f>
        <v>23/06/2026 - Apresentação da defesa</v>
      </c>
      <c r="AD129" s="14">
        <f ca="1">IF(W129=0,0,IF(MAX(Z129,BD129)=0,1,IF(Configurar!$J$12-INT(MAX(Z129,BD129))&gt;Configurar!$J$11,1,0)))</f>
        <v>1</v>
      </c>
      <c r="AE129" s="16"/>
      <c r="AF129" s="14"/>
      <c r="AG129" s="14"/>
      <c r="AH129" s="14">
        <f>IF(AND(V129=1,COUNTIFS(Valores!$S$10:$S$509,"="&amp;SUBSTITUTE(SUBSTITUTE(SUBSTITUTE("P:"&amp;A129,"~","~~"),"*","~*"),"?","~?"))=1),(IF(ISNA(MATCH(SUBSTITUTE(SUBSTITUTE(SUBSTITUTE("P:"&amp;A129,"~","~~"),"*","~*"),"?","~?"),Valores!$S$10:$S$509,0)),9,INDEX(Valores!$R$10:$R$509,MATCH(SUBSTITUTE(SUBSTITUTE(SUBSTITUTE("P:"&amp;A129,"~","~~"),"*","~*"),"?","~?"),Valores!$S$10:$S$509,0)))-9),0)</f>
        <v>120</v>
      </c>
      <c r="AI129" s="40" t="str">
        <f t="shared" si="12"/>
        <v>Informe a empresa responsável</v>
      </c>
      <c r="AJ129" s="14" t="str">
        <f>IF(AND(X129=1,Y129=1),COUNTIFS($X$10:X129,1,$Y$10:Y129,1),"")</f>
        <v/>
      </c>
      <c r="AK129" s="14">
        <f>IF(X129=1,COUNTIFS($X$10:X129,1),"")</f>
        <v>120</v>
      </c>
      <c r="AL129" s="14">
        <f>IF(AND(V129=1,AND(OR(Painel!$L$6="Todas",E129=Painel!$L$6),OR(Painel!$C$8="Todos",F129=Painel!$C$8),OR(Painel!$L$8="Todos",G129=Painel!$L$8),OR(Painel!$C$10="",ISNUMBER(SEARCH(SUBSTITUTE(SUBSTITUTE(SUBSTITUTE(Painel!$C$10,"~","~~"),"*","~*"),"?","~?"),A129&amp;" "&amp;H129&amp;" "&amp;I129))))),1,0)</f>
        <v>1</v>
      </c>
      <c r="AM129" s="14">
        <f t="shared" si="13"/>
        <v>129</v>
      </c>
      <c r="AN129" s="14"/>
      <c r="AO129" s="14"/>
      <c r="AP129" s="16">
        <f>IF(AB129=0,"",IF(INDEX(Andamentos!$B$10:$B$2009,AB129)="","",INDEX(Andamentos!$B$10:$B$2009,AB129)))</f>
        <v>46196</v>
      </c>
      <c r="AQ129" s="17" t="str">
        <f>IF(AH129=0,"",IF(INDEX(Valores!$B$10:$B$509,AH129)="","",IF(ISNUMBER(INDEX(Valores!$B$10:$B$509,AH129)),INDEX(Valores!$B$10:$B$509,AH129),"")))</f>
        <v/>
      </c>
      <c r="AR129" s="14" t="str">
        <f t="shared" si="14"/>
        <v/>
      </c>
      <c r="AS129" s="14" t="str">
        <f t="shared" si="15"/>
        <v>P:50606.000326/2026-33</v>
      </c>
      <c r="AT129" s="27" t="s">
        <v>915</v>
      </c>
      <c r="AU129" s="31"/>
      <c r="AV129" s="31" t="s">
        <v>912</v>
      </c>
      <c r="AW129" s="27"/>
      <c r="AX129" s="27" t="s">
        <v>916</v>
      </c>
      <c r="AY129" s="27"/>
      <c r="AZ129" s="27"/>
      <c r="BA129" s="30" t="str">
        <f t="shared" si="16"/>
        <v>50606.000326/2026-33</v>
      </c>
      <c r="BB129" s="30" t="str">
        <f t="shared" si="17"/>
        <v/>
      </c>
      <c r="BC129" s="30">
        <f>IF(X129=0,0,IF(COUNTIFS($X$10:X129,1,$BA$10:BA129,BA129)=1,1,0))</f>
        <v>1</v>
      </c>
      <c r="BD129" s="29">
        <v>46122</v>
      </c>
    </row>
    <row r="130" spans="1:56" ht="42" customHeight="1">
      <c r="A130" s="41" t="s">
        <v>917</v>
      </c>
      <c r="B130" s="44" t="s">
        <v>598</v>
      </c>
      <c r="C130" s="44" t="s">
        <v>162</v>
      </c>
      <c r="D130" s="44" t="s">
        <v>918</v>
      </c>
      <c r="E130" s="44"/>
      <c r="F130" s="44"/>
      <c r="G130" s="44" t="s">
        <v>824</v>
      </c>
      <c r="H130" s="44" t="s">
        <v>919</v>
      </c>
      <c r="I130" s="44" t="s">
        <v>166</v>
      </c>
      <c r="J130" s="44"/>
      <c r="K130" s="44"/>
      <c r="L130" s="49">
        <v>42023</v>
      </c>
      <c r="M130" s="48" t="s">
        <v>920</v>
      </c>
      <c r="N130" s="48" t="s">
        <v>170</v>
      </c>
      <c r="O130" s="48"/>
      <c r="P130" s="48"/>
      <c r="Q130" s="48"/>
      <c r="R130" s="48"/>
      <c r="S130" s="49"/>
      <c r="T130" s="48"/>
      <c r="U130" s="48" t="s">
        <v>921</v>
      </c>
      <c r="V130" s="14">
        <f t="shared" si="9"/>
        <v>1</v>
      </c>
      <c r="W130" s="14">
        <f t="shared" si="10"/>
        <v>0</v>
      </c>
      <c r="X130" s="14">
        <f>IF(AND(V130=1,OR(Painel!$C$6="Todos",D130=Painel!$C$6),AND(OR(Painel!$L$6="Todas",E130=Painel!$L$6),OR(Painel!$C$8="Todos",F130=Painel!$C$8),OR(Painel!$L$8="Todos",G130=Painel!$L$8),OR(Painel!$C$10="",ISNUMBER(SEARCH(SUBSTITUTE(SUBSTITUTE(SUBSTITUTE(Painel!$C$10,"~","~~"),"*","~*"),"?","~?"),A130&amp;" "&amp;H130&amp;" "&amp;I130))))),1,0)</f>
        <v>1</v>
      </c>
      <c r="Y130" s="14">
        <f t="shared" si="11"/>
        <v>0</v>
      </c>
      <c r="Z130" s="15">
        <f>IF(V130=0,"",IF(COUNTIFS(Andamentos!$K$10:$K$2009,"="&amp;SUBSTITUTE(SUBSTITUTE(SUBSTITUTE("P:"&amp;A130,"~","~~"),"*","~*"),"?","~?"),Andamentos!$G$10:$G$2009,1)=0,"",_xlfn.AGGREGATE(14,6,Andamentos!$D$10:$D$2009/((Andamentos!$K$10:$K$2009=AS130)*(Andamentos!$G$10:$G$2009=1)),1)))</f>
        <v>45790</v>
      </c>
      <c r="AA130" s="14">
        <f>IF(Z130="",0,COUNTIFS(Andamentos!$K$10:$K$2009,"="&amp;SUBSTITUTE(SUBSTITUTE(SUBSTITUTE("P:"&amp;A130,"~","~~"),"*","~*"),"?","~?"),Andamentos!$D$10:$D$2009,Z130,Andamentos!$G$10:$G$2009,1))</f>
        <v>1</v>
      </c>
      <c r="AB130" s="14">
        <f>IF(AA130=1,SUMIFS(Andamentos!$L$10:$L$2009,Andamentos!$K$10:$K$2009,"="&amp;SUBSTITUTE(SUBSTITUTE(SUBSTITUTE(AS130,"~","~~"),"*","~*"),"?","~?"),Andamentos!$D$10:$D$2009,Z130,Andamentos!$G$10:$G$2009,1)-9,0)</f>
        <v>120</v>
      </c>
      <c r="AC130" s="14" t="str">
        <f>IF(V130=0,"",IF(AA130&gt;1,"Conferir recebimentos empatados",IF(AB130=0,"Sem atualização",INDEX(Andamentos!$C$10:$C$2009,AB130))))</f>
        <v>Defesa Administrativa apresentada dia 15/10/2021
Sem informação de julgamento até aqui por parte da Administração. [...] histórico completo em Observações</v>
      </c>
      <c r="AD130" s="14">
        <f>IF(W130=0,0,IF(MAX(Z130,BD130)=0,1,IF(Configurar!$J$12-INT(MAX(Z130,BD130))&gt;Configurar!$J$11,1,0)))</f>
        <v>0</v>
      </c>
      <c r="AE130" s="16"/>
      <c r="AF130" s="14"/>
      <c r="AG130" s="14"/>
      <c r="AH130" s="14">
        <f>IF(AND(V130=1,COUNTIFS(Valores!$S$10:$S$509,"="&amp;SUBSTITUTE(SUBSTITUTE(SUBSTITUTE("P:"&amp;A130,"~","~~"),"*","~*"),"?","~?"))=1),(IF(ISNA(MATCH(SUBSTITUTE(SUBSTITUTE(SUBSTITUTE("P:"&amp;A130,"~","~~"),"*","~*"),"?","~?"),Valores!$S$10:$S$509,0)),9,INDEX(Valores!$R$10:$R$509,MATCH(SUBSTITUTE(SUBSTITUTE(SUBSTITUTE("P:"&amp;A130,"~","~~"),"*","~*"),"?","~?"),Valores!$S$10:$S$509,0)))-9),0)</f>
        <v>121</v>
      </c>
      <c r="AI130" s="40" t="str">
        <f t="shared" si="12"/>
        <v>Informe a empresa responsável</v>
      </c>
      <c r="AJ130" s="14" t="str">
        <f>IF(AND(X130=1,Y130=1),COUNTIFS($X$10:X130,1,$Y$10:Y130,1),"")</f>
        <v/>
      </c>
      <c r="AK130" s="14">
        <f>IF(X130=1,COUNTIFS($X$10:X130,1),"")</f>
        <v>121</v>
      </c>
      <c r="AL130" s="14">
        <f>IF(AND(V130=1,AND(OR(Painel!$L$6="Todas",E130=Painel!$L$6),OR(Painel!$C$8="Todos",F130=Painel!$C$8),OR(Painel!$L$8="Todos",G130=Painel!$L$8),OR(Painel!$C$10="",ISNUMBER(SEARCH(SUBSTITUTE(SUBSTITUTE(SUBSTITUTE(Painel!$C$10,"~","~~"),"*","~*"),"?","~?"),A130&amp;" "&amp;H130&amp;" "&amp;I130))))),1,0)</f>
        <v>1</v>
      </c>
      <c r="AM130" s="14">
        <f t="shared" si="13"/>
        <v>130</v>
      </c>
      <c r="AN130" s="14"/>
      <c r="AO130" s="14"/>
      <c r="AP130" s="16" t="str">
        <f>IF(AB130=0,"",IF(INDEX(Andamentos!$B$10:$B$2009,AB130)="","",INDEX(Andamentos!$B$10:$B$2009,AB130)))</f>
        <v/>
      </c>
      <c r="AQ130" s="17" t="str">
        <f>IF(AH130=0,"",IF(INDEX(Valores!$B$10:$B$509,AH130)="","",IF(ISNUMBER(INDEX(Valores!$B$10:$B$509,AH130)),INDEX(Valores!$B$10:$B$509,AH130),"")))</f>
        <v/>
      </c>
      <c r="AR130" s="14" t="str">
        <f t="shared" si="14"/>
        <v/>
      </c>
      <c r="AS130" s="14" t="str">
        <f t="shared" si="15"/>
        <v>P:51402.108343/2015-14</v>
      </c>
      <c r="AT130" s="27" t="s">
        <v>922</v>
      </c>
      <c r="AU130" s="31"/>
      <c r="AV130" s="31" t="s">
        <v>917</v>
      </c>
      <c r="AW130" s="27" t="s">
        <v>162</v>
      </c>
      <c r="AX130" s="27" t="s">
        <v>923</v>
      </c>
      <c r="AY130" s="27"/>
      <c r="AZ130" s="27"/>
      <c r="BA130" s="30" t="str">
        <f t="shared" si="16"/>
        <v>51402.108343/2015-14</v>
      </c>
      <c r="BB130" s="30" t="str">
        <f t="shared" si="17"/>
        <v/>
      </c>
      <c r="BC130" s="30">
        <f>IF(X130=0,0,IF(COUNTIFS($X$10:X130,1,$BA$10:BA130,BA130)=1,1,0))</f>
        <v>1</v>
      </c>
      <c r="BD130" s="29">
        <v>45790</v>
      </c>
    </row>
    <row r="131" spans="1:56" ht="42" customHeight="1">
      <c r="A131" s="41" t="s">
        <v>924</v>
      </c>
      <c r="B131" s="44" t="s">
        <v>598</v>
      </c>
      <c r="C131" s="44" t="s">
        <v>162</v>
      </c>
      <c r="D131" s="44" t="s">
        <v>918</v>
      </c>
      <c r="E131" s="44"/>
      <c r="F131" s="44"/>
      <c r="G131" s="44" t="s">
        <v>824</v>
      </c>
      <c r="H131" s="44" t="s">
        <v>919</v>
      </c>
      <c r="I131" s="44" t="s">
        <v>166</v>
      </c>
      <c r="J131" s="44"/>
      <c r="K131" s="44"/>
      <c r="L131" s="49"/>
      <c r="M131" s="48" t="s">
        <v>925</v>
      </c>
      <c r="N131" s="48" t="s">
        <v>170</v>
      </c>
      <c r="O131" s="48"/>
      <c r="P131" s="48"/>
      <c r="Q131" s="48"/>
      <c r="R131" s="48"/>
      <c r="S131" s="49"/>
      <c r="T131" s="48"/>
      <c r="U131" s="48" t="s">
        <v>926</v>
      </c>
      <c r="V131" s="14">
        <f t="shared" si="9"/>
        <v>1</v>
      </c>
      <c r="W131" s="14">
        <f t="shared" si="10"/>
        <v>0</v>
      </c>
      <c r="X131" s="14">
        <f>IF(AND(V131=1,OR(Painel!$C$6="Todos",D131=Painel!$C$6),AND(OR(Painel!$L$6="Todas",E131=Painel!$L$6),OR(Painel!$C$8="Todos",F131=Painel!$C$8),OR(Painel!$L$8="Todos",G131=Painel!$L$8),OR(Painel!$C$10="",ISNUMBER(SEARCH(SUBSTITUTE(SUBSTITUTE(SUBSTITUTE(Painel!$C$10,"~","~~"),"*","~*"),"?","~?"),A131&amp;" "&amp;H131&amp;" "&amp;I131))))),1,0)</f>
        <v>1</v>
      </c>
      <c r="Y131" s="14">
        <f t="shared" si="11"/>
        <v>0</v>
      </c>
      <c r="Z131" s="15">
        <f>IF(V131=0,"",IF(COUNTIFS(Andamentos!$K$10:$K$2009,"="&amp;SUBSTITUTE(SUBSTITUTE(SUBSTITUTE("P:"&amp;A131,"~","~~"),"*","~*"),"?","~?"),Andamentos!$G$10:$G$2009,1)=0,"",_xlfn.AGGREGATE(14,6,Andamentos!$D$10:$D$2009/((Andamentos!$K$10:$K$2009=AS131)*(Andamentos!$G$10:$G$2009=1)),1)))</f>
        <v>45852</v>
      </c>
      <c r="AA131" s="14">
        <f>IF(Z131="",0,COUNTIFS(Andamentos!$K$10:$K$2009,"="&amp;SUBSTITUTE(SUBSTITUTE(SUBSTITUTE("P:"&amp;A131,"~","~~"),"*","~*"),"?","~?"),Andamentos!$D$10:$D$2009,Z131,Andamentos!$G$10:$G$2009,1))</f>
        <v>1</v>
      </c>
      <c r="AB131" s="14">
        <f>IF(AA131=1,SUMIFS(Andamentos!$L$10:$L$2009,Andamentos!$K$10:$K$2009,"="&amp;SUBSTITUTE(SUBSTITUTE(SUBSTITUTE(AS131,"~","~~"),"*","~*"),"?","~?"),Andamentos!$D$10:$D$2009,Z131,Andamentos!$G$10:$G$2009,1)-9,0)</f>
        <v>121</v>
      </c>
      <c r="AC131" s="14" t="str">
        <f>IF(V131=0,"",IF(AA131&gt;1,"Conferir recebimentos empatados",IF(AB131=0,"Sem atualização",INDEX(Andamentos!$C$10:$C$2009,AB131))))</f>
        <v>Defesa Administrativa apresentada dia 05/07/2021(sem decisão). - Houve arquivamento.
Julho de 2021 – Defesa Prévia apresentada após reabertura.
Junho/2021- MS para suspender as medidas cautelares exaradas no Despacho Decisório n° 03/2021/SUGAT-VALEC/DIREM-VALEC (e qualquer futuro ato administrativo da mesma natureza), liberando-se os créditos retidos e cancelando o acionamento da garantia contratual, até que o mérito fosse discutido. Liminar indeferida. Desistência do MS diante do alto custo de honorários de sucumbência possíveis.
Em 24/01/2022 realizado novo agendamento de reunião com Agente [...] histórico completo em Observações</v>
      </c>
      <c r="AD131" s="14">
        <f>IF(W131=0,0,IF(MAX(Z131,BD131)=0,1,IF(Configurar!$J$12-INT(MAX(Z131,BD131))&gt;Configurar!$J$11,1,0)))</f>
        <v>0</v>
      </c>
      <c r="AE131" s="16"/>
      <c r="AF131" s="14"/>
      <c r="AG131" s="14"/>
      <c r="AH131" s="14">
        <f>IF(AND(V131=1,COUNTIFS(Valores!$S$10:$S$509,"="&amp;SUBSTITUTE(SUBSTITUTE(SUBSTITUTE("P:"&amp;A131,"~","~~"),"*","~*"),"?","~?"))=1),(IF(ISNA(MATCH(SUBSTITUTE(SUBSTITUTE(SUBSTITUTE("P:"&amp;A131,"~","~~"),"*","~*"),"?","~?"),Valores!$S$10:$S$509,0)),9,INDEX(Valores!$R$10:$R$509,MATCH(SUBSTITUTE(SUBSTITUTE(SUBSTITUTE("P:"&amp;A131,"~","~~"),"*","~*"),"?","~?"),Valores!$S$10:$S$509,0)))-9),0)</f>
        <v>122</v>
      </c>
      <c r="AI131" s="40" t="str">
        <f t="shared" si="12"/>
        <v>Informe a empresa responsável</v>
      </c>
      <c r="AJ131" s="14" t="str">
        <f>IF(AND(X131=1,Y131=1),COUNTIFS($X$10:X131,1,$Y$10:Y131,1),"")</f>
        <v/>
      </c>
      <c r="AK131" s="14">
        <f>IF(X131=1,COUNTIFS($X$10:X131,1),"")</f>
        <v>122</v>
      </c>
      <c r="AL131" s="14">
        <f>IF(AND(V131=1,AND(OR(Painel!$L$6="Todas",E131=Painel!$L$6),OR(Painel!$C$8="Todos",F131=Painel!$C$8),OR(Painel!$L$8="Todos",G131=Painel!$L$8),OR(Painel!$C$10="",ISNUMBER(SEARCH(SUBSTITUTE(SUBSTITUTE(SUBSTITUTE(Painel!$C$10,"~","~~"),"*","~*"),"?","~?"),A131&amp;" "&amp;H131&amp;" "&amp;I131))))),1,0)</f>
        <v>1</v>
      </c>
      <c r="AM131" s="14">
        <f t="shared" si="13"/>
        <v>131</v>
      </c>
      <c r="AN131" s="14"/>
      <c r="AO131" s="14"/>
      <c r="AP131" s="16" t="str">
        <f>IF(AB131=0,"",IF(INDEX(Andamentos!$B$10:$B$2009,AB131)="","",INDEX(Andamentos!$B$10:$B$2009,AB131)))</f>
        <v/>
      </c>
      <c r="AQ131" s="17" t="str">
        <f>IF(AH131=0,"",IF(INDEX(Valores!$B$10:$B$509,AH131)="","",IF(ISNUMBER(INDEX(Valores!$B$10:$B$509,AH131)),INDEX(Valores!$B$10:$B$509,AH131),"")))</f>
        <v/>
      </c>
      <c r="AR131" s="14" t="str">
        <f t="shared" si="14"/>
        <v/>
      </c>
      <c r="AS131" s="14" t="str">
        <f t="shared" si="15"/>
        <v>P:51402.108251/2015-34</v>
      </c>
      <c r="AT131" s="27" t="s">
        <v>927</v>
      </c>
      <c r="AU131" s="31"/>
      <c r="AV131" s="31" t="s">
        <v>924</v>
      </c>
      <c r="AW131" s="27" t="s">
        <v>162</v>
      </c>
      <c r="AX131" s="27" t="s">
        <v>923</v>
      </c>
      <c r="AY131" s="27"/>
      <c r="AZ131" s="27"/>
      <c r="BA131" s="30" t="str">
        <f t="shared" si="16"/>
        <v>51402.108251/2015-34</v>
      </c>
      <c r="BB131" s="30" t="str">
        <f t="shared" si="17"/>
        <v/>
      </c>
      <c r="BC131" s="30">
        <f>IF(X131=0,0,IF(COUNTIFS($X$10:X131,1,$BA$10:BA131,BA131)=1,1,0))</f>
        <v>1</v>
      </c>
      <c r="BD131" s="29">
        <v>45852</v>
      </c>
    </row>
    <row r="132" spans="1:56" ht="42" customHeight="1">
      <c r="A132" s="41" t="s">
        <v>928</v>
      </c>
      <c r="B132" s="44" t="s">
        <v>598</v>
      </c>
      <c r="C132" s="44" t="s">
        <v>300</v>
      </c>
      <c r="D132" s="44" t="s">
        <v>918</v>
      </c>
      <c r="E132" s="44"/>
      <c r="F132" s="44"/>
      <c r="G132" s="44" t="s">
        <v>824</v>
      </c>
      <c r="H132" s="44" t="s">
        <v>919</v>
      </c>
      <c r="I132" s="44" t="s">
        <v>166</v>
      </c>
      <c r="J132" s="44"/>
      <c r="K132" s="44"/>
      <c r="L132" s="49">
        <v>43717</v>
      </c>
      <c r="M132" s="48" t="s">
        <v>929</v>
      </c>
      <c r="N132" s="48" t="s">
        <v>170</v>
      </c>
      <c r="O132" s="48"/>
      <c r="P132" s="48"/>
      <c r="Q132" s="48"/>
      <c r="R132" s="48"/>
      <c r="S132" s="49"/>
      <c r="T132" s="48"/>
      <c r="U132" s="48" t="s">
        <v>930</v>
      </c>
      <c r="V132" s="14">
        <f t="shared" si="9"/>
        <v>1</v>
      </c>
      <c r="W132" s="14">
        <f t="shared" si="10"/>
        <v>1</v>
      </c>
      <c r="X132" s="14">
        <f>IF(AND(V132=1,OR(Painel!$C$6="Todos",D132=Painel!$C$6),AND(OR(Painel!$L$6="Todas",E132=Painel!$L$6),OR(Painel!$C$8="Todos",F132=Painel!$C$8),OR(Painel!$L$8="Todos",G132=Painel!$L$8),OR(Painel!$C$10="",ISNUMBER(SEARCH(SUBSTITUTE(SUBSTITUTE(SUBSTITUTE(Painel!$C$10,"~","~~"),"*","~*"),"?","~?"),A132&amp;" "&amp;H132&amp;" "&amp;I132))))),1,0)</f>
        <v>1</v>
      </c>
      <c r="Y132" s="14">
        <f t="shared" si="11"/>
        <v>0</v>
      </c>
      <c r="Z132" s="15">
        <f>IF(V132=0,"",IF(COUNTIFS(Andamentos!$K$10:$K$2009,"="&amp;SUBSTITUTE(SUBSTITUTE(SUBSTITUTE("P:"&amp;A132,"~","~~"),"*","~*"),"?","~?"),Andamentos!$G$10:$G$2009,1)=0,"",_xlfn.AGGREGATE(14,6,Andamentos!$D$10:$D$2009/((Andamentos!$K$10:$K$2009=AS132)*(Andamentos!$G$10:$G$2009=1)),1)))</f>
        <v>46112</v>
      </c>
      <c r="AA132" s="14">
        <f>IF(Z132="",0,COUNTIFS(Andamentos!$K$10:$K$2009,"="&amp;SUBSTITUTE(SUBSTITUTE(SUBSTITUTE("P:"&amp;A132,"~","~~"),"*","~*"),"?","~?"),Andamentos!$D$10:$D$2009,Z132,Andamentos!$G$10:$G$2009,1))</f>
        <v>1</v>
      </c>
      <c r="AB132" s="14">
        <f>IF(AA132=1,SUMIFS(Andamentos!$L$10:$L$2009,Andamentos!$K$10:$K$2009,"="&amp;SUBSTITUTE(SUBSTITUTE(SUBSTITUTE(AS132,"~","~~"),"*","~*"),"?","~?"),Andamentos!$D$10:$D$2009,Z132,Andamentos!$G$10:$G$2009,1)-9,0)</f>
        <v>122</v>
      </c>
      <c r="AC132" s="14" t="str">
        <f>IF(V132=0,"",IF(AA132&gt;1,"Conferir recebimentos empatados",IF(AB132=0,"Sem atualização",INDEX(Andamentos!$C$10:$C$2009,AB132))))</f>
        <v>27/03/2026 - Intimação para alegações finais.
Defesa Administrativa apresentada dia 16/06/2021 
Processo em análise, aguardando posicionamento da área técnica da VALEC
Sem intimação do escritório. Sem informação da ALTA.
- Processo parado, chance de prescrição intercorrente.</v>
      </c>
      <c r="AD132" s="14">
        <f ca="1">IF(W132=0,0,IF(MAX(Z132,BD132)=0,1,IF(Configurar!$J$12-INT(MAX(Z132,BD132))&gt;Configurar!$J$11,1,0)))</f>
        <v>1</v>
      </c>
      <c r="AE132" s="16"/>
      <c r="AF132" s="14"/>
      <c r="AG132" s="14"/>
      <c r="AH132" s="14">
        <f>IF(AND(V132=1,COUNTIFS(Valores!$S$10:$S$509,"="&amp;SUBSTITUTE(SUBSTITUTE(SUBSTITUTE("P:"&amp;A132,"~","~~"),"*","~*"),"?","~?"))=1),(IF(ISNA(MATCH(SUBSTITUTE(SUBSTITUTE(SUBSTITUTE("P:"&amp;A132,"~","~~"),"*","~*"),"?","~?"),Valores!$S$10:$S$509,0)),9,INDEX(Valores!$R$10:$R$509,MATCH(SUBSTITUTE(SUBSTITUTE(SUBSTITUTE("P:"&amp;A132,"~","~~"),"*","~*"),"?","~?"),Valores!$S$10:$S$509,0)))-9),0)</f>
        <v>123</v>
      </c>
      <c r="AI132" s="40" t="str">
        <f t="shared" si="12"/>
        <v>Informe a empresa responsável</v>
      </c>
      <c r="AJ132" s="14" t="str">
        <f>IF(AND(X132=1,Y132=1),COUNTIFS($X$10:X132,1,$Y$10:Y132,1),"")</f>
        <v/>
      </c>
      <c r="AK132" s="14">
        <f>IF(X132=1,COUNTIFS($X$10:X132,1),"")</f>
        <v>123</v>
      </c>
      <c r="AL132" s="14">
        <f>IF(AND(V132=1,AND(OR(Painel!$L$6="Todas",E132=Painel!$L$6),OR(Painel!$C$8="Todos",F132=Painel!$C$8),OR(Painel!$L$8="Todos",G132=Painel!$L$8),OR(Painel!$C$10="",ISNUMBER(SEARCH(SUBSTITUTE(SUBSTITUTE(SUBSTITUTE(Painel!$C$10,"~","~~"),"*","~*"),"?","~?"),A132&amp;" "&amp;H132&amp;" "&amp;I132))))),1,0)</f>
        <v>1</v>
      </c>
      <c r="AM132" s="14">
        <f t="shared" si="13"/>
        <v>132</v>
      </c>
      <c r="AN132" s="14"/>
      <c r="AO132" s="14"/>
      <c r="AP132" s="16">
        <f>IF(AB132=0,"",IF(INDEX(Andamentos!$B$10:$B$2009,AB132)="","",INDEX(Andamentos!$B$10:$B$2009,AB132)))</f>
        <v>46108</v>
      </c>
      <c r="AQ132" s="17">
        <f>IF(AH132=0,"",IF(INDEX(Valores!$B$10:$B$509,AH132)="","",IF(ISNUMBER(INDEX(Valores!$B$10:$B$509,AH132)),INDEX(Valores!$B$10:$B$509,AH132),"")))</f>
        <v>350000</v>
      </c>
      <c r="AR132" s="14" t="str">
        <f t="shared" si="14"/>
        <v/>
      </c>
      <c r="AS132" s="14" t="str">
        <f t="shared" si="15"/>
        <v>P:51402.237467/2019-31</v>
      </c>
      <c r="AT132" s="27" t="s">
        <v>931</v>
      </c>
      <c r="AU132" s="31"/>
      <c r="AV132" s="31" t="s">
        <v>928</v>
      </c>
      <c r="AW132" s="27" t="s">
        <v>932</v>
      </c>
      <c r="AX132" s="27" t="s">
        <v>923</v>
      </c>
      <c r="AY132" s="27"/>
      <c r="AZ132" s="27"/>
      <c r="BA132" s="30" t="str">
        <f t="shared" si="16"/>
        <v>51402.237467/2019-31</v>
      </c>
      <c r="BB132" s="30" t="str">
        <f t="shared" si="17"/>
        <v/>
      </c>
      <c r="BC132" s="30">
        <f>IF(X132=0,0,IF(COUNTIFS($X$10:X132,1,$BA$10:BA132,BA132)=1,1,0))</f>
        <v>1</v>
      </c>
      <c r="BD132" s="29">
        <v>46112</v>
      </c>
    </row>
    <row r="133" spans="1:56" ht="42" customHeight="1">
      <c r="A133" s="41" t="s">
        <v>933</v>
      </c>
      <c r="B133" s="44" t="s">
        <v>161</v>
      </c>
      <c r="C133" s="44" t="s">
        <v>300</v>
      </c>
      <c r="D133" s="44" t="s">
        <v>918</v>
      </c>
      <c r="E133" s="44"/>
      <c r="F133" s="44" t="s">
        <v>174</v>
      </c>
      <c r="G133" s="44" t="s">
        <v>238</v>
      </c>
      <c r="H133" s="44" t="s">
        <v>919</v>
      </c>
      <c r="I133" s="44" t="s">
        <v>934</v>
      </c>
      <c r="J133" s="44" t="s">
        <v>935</v>
      </c>
      <c r="K133" s="44" t="s">
        <v>578</v>
      </c>
      <c r="L133" s="49"/>
      <c r="M133" s="48" t="s">
        <v>936</v>
      </c>
      <c r="N133" s="48" t="s">
        <v>170</v>
      </c>
      <c r="O133" s="48"/>
      <c r="P133" s="48"/>
      <c r="Q133" s="48"/>
      <c r="R133" s="48"/>
      <c r="S133" s="49"/>
      <c r="T133" s="48"/>
      <c r="U133" s="48" t="s">
        <v>937</v>
      </c>
      <c r="V133" s="14">
        <f t="shared" si="9"/>
        <v>1</v>
      </c>
      <c r="W133" s="14">
        <f t="shared" si="10"/>
        <v>1</v>
      </c>
      <c r="X133" s="14">
        <f>IF(AND(V133=1,OR(Painel!$C$6="Todos",D133=Painel!$C$6),AND(OR(Painel!$L$6="Todas",E133=Painel!$L$6),OR(Painel!$C$8="Todos",F133=Painel!$C$8),OR(Painel!$L$8="Todos",G133=Painel!$L$8),OR(Painel!$C$10="",ISNUMBER(SEARCH(SUBSTITUTE(SUBSTITUTE(SUBSTITUTE(Painel!$C$10,"~","~~"),"*","~*"),"?","~?"),A133&amp;" "&amp;H133&amp;" "&amp;I133))))),1,0)</f>
        <v>1</v>
      </c>
      <c r="Y133" s="14">
        <f t="shared" si="11"/>
        <v>0</v>
      </c>
      <c r="Z133" s="15">
        <f>IF(V133=0,"",IF(COUNTIFS(Andamentos!$K$10:$K$2009,"="&amp;SUBSTITUTE(SUBSTITUTE(SUBSTITUTE("P:"&amp;A133,"~","~~"),"*","~*"),"?","~?"),Andamentos!$G$10:$G$2009,1)=0,"",_xlfn.AGGREGATE(14,6,Andamentos!$D$10:$D$2009/((Andamentos!$K$10:$K$2009=AS133)*(Andamentos!$G$10:$G$2009=1)),1)))</f>
        <v>46112</v>
      </c>
      <c r="AA133" s="14">
        <f>IF(Z133="",0,COUNTIFS(Andamentos!$K$10:$K$2009,"="&amp;SUBSTITUTE(SUBSTITUTE(SUBSTITUTE("P:"&amp;A133,"~","~~"),"*","~*"),"?","~?"),Andamentos!$D$10:$D$2009,Z133,Andamentos!$G$10:$G$2009,1))</f>
        <v>1</v>
      </c>
      <c r="AB133" s="14">
        <f>IF(AA133=1,SUMIFS(Andamentos!$L$10:$L$2009,Andamentos!$K$10:$K$2009,"="&amp;SUBSTITUTE(SUBSTITUTE(SUBSTITUTE(AS133,"~","~~"),"*","~*"),"?","~?"),Andamentos!$D$10:$D$2009,Z133,Andamentos!$G$10:$G$2009,1)-9,0)</f>
        <v>123</v>
      </c>
      <c r="AC133" s="14" t="str">
        <f>IF(V133=0,"",IF(AA133&gt;1,"Conferir recebimentos empatados",IF(AB133=0,"Sem atualização",INDEX(Andamentos!$C$10:$C$2009,AB133))))</f>
        <v>Em primeira instância, a juíza não concedeu a liminar para suspender o CADIN, por isso há um Agravo pendente de julgamento.
Despacho com JUIZ FEDERAL CONVOCADO GEORGE RIBEIRO DA SILVA feito em Novembro de 2023. Sem decisão de mérito ainda na Justiça. Concluso para julgamento desde julho de 2024.
Agravo de Instrumento n° 1036653-13.2023.4.01.0000. Sem decisão.</v>
      </c>
      <c r="AD133" s="14">
        <f ca="1">IF(W133=0,0,IF(MAX(Z133,BD133)=0,1,IF(Configurar!$J$12-INT(MAX(Z133,BD133))&gt;Configurar!$J$11,1,0)))</f>
        <v>1</v>
      </c>
      <c r="AE133" s="16"/>
      <c r="AF133" s="14"/>
      <c r="AG133" s="14"/>
      <c r="AH133" s="14">
        <f>IF(AND(V133=1,COUNTIFS(Valores!$S$10:$S$509,"="&amp;SUBSTITUTE(SUBSTITUTE(SUBSTITUTE("P:"&amp;A133,"~","~~"),"*","~*"),"?","~?"))=1),(IF(ISNA(MATCH(SUBSTITUTE(SUBSTITUTE(SUBSTITUTE("P:"&amp;A133,"~","~~"),"*","~*"),"?","~?"),Valores!$S$10:$S$509,0)),9,INDEX(Valores!$R$10:$R$509,MATCH(SUBSTITUTE(SUBSTITUTE(SUBSTITUTE("P:"&amp;A133,"~","~~"),"*","~*"),"?","~?"),Valores!$S$10:$S$509,0)))-9),0)</f>
        <v>124</v>
      </c>
      <c r="AI133" s="40" t="str">
        <f t="shared" si="12"/>
        <v>Informe a empresa responsável</v>
      </c>
      <c r="AJ133" s="14" t="str">
        <f>IF(AND(X133=1,Y133=1),COUNTIFS($X$10:X133,1,$Y$10:Y133,1),"")</f>
        <v/>
      </c>
      <c r="AK133" s="14">
        <f>IF(X133=1,COUNTIFS($X$10:X133,1),"")</f>
        <v>124</v>
      </c>
      <c r="AL133" s="14">
        <f>IF(AND(V133=1,AND(OR(Painel!$L$6="Todas",E133=Painel!$L$6),OR(Painel!$C$8="Todos",F133=Painel!$C$8),OR(Painel!$L$8="Todos",G133=Painel!$L$8),OR(Painel!$C$10="",ISNUMBER(SEARCH(SUBSTITUTE(SUBSTITUTE(SUBSTITUTE(Painel!$C$10,"~","~~"),"*","~*"),"?","~?"),A133&amp;" "&amp;H133&amp;" "&amp;I133))))),1,0)</f>
        <v>1</v>
      </c>
      <c r="AM133" s="14">
        <f t="shared" si="13"/>
        <v>133</v>
      </c>
      <c r="AN133" s="14"/>
      <c r="AO133" s="14"/>
      <c r="AP133" s="16" t="str">
        <f>IF(AB133=0,"",IF(INDEX(Andamentos!$B$10:$B$2009,AB133)="","",INDEX(Andamentos!$B$10:$B$2009,AB133)))</f>
        <v/>
      </c>
      <c r="AQ133" s="17">
        <f>IF(AH133=0,"",IF(INDEX(Valores!$B$10:$B$509,AH133)="","",IF(ISNUMBER(INDEX(Valores!$B$10:$B$509,AH133)),INDEX(Valores!$B$10:$B$509,AH133),"")))</f>
        <v>78000000</v>
      </c>
      <c r="AR133" s="14" t="str">
        <f t="shared" si="14"/>
        <v/>
      </c>
      <c r="AS133" s="14" t="str">
        <f t="shared" si="15"/>
        <v>P:1027128-89.2023.4.01.3400</v>
      </c>
      <c r="AT133" s="27" t="s">
        <v>938</v>
      </c>
      <c r="AU133" s="31" t="s">
        <v>933</v>
      </c>
      <c r="AV133" s="31" t="s">
        <v>939</v>
      </c>
      <c r="AW133" s="27"/>
      <c r="AX133" s="27" t="s">
        <v>940</v>
      </c>
      <c r="AY133" s="27"/>
      <c r="AZ133" s="27"/>
      <c r="BA133" s="30" t="str">
        <f t="shared" si="16"/>
        <v>1027128-89.2023.4.01.3400</v>
      </c>
      <c r="BB133" s="30" t="str">
        <f t="shared" si="17"/>
        <v/>
      </c>
      <c r="BC133" s="30">
        <f>IF(X133=0,0,IF(COUNTIFS($X$10:X133,1,$BA$10:BA133,BA133)=1,1,0))</f>
        <v>1</v>
      </c>
      <c r="BD133" s="29">
        <v>46112</v>
      </c>
    </row>
    <row r="134" spans="1:56" ht="42" customHeight="1">
      <c r="A134" s="41" t="s">
        <v>941</v>
      </c>
      <c r="B134" s="44" t="s">
        <v>598</v>
      </c>
      <c r="C134" s="44" t="s">
        <v>162</v>
      </c>
      <c r="D134" s="44" t="s">
        <v>918</v>
      </c>
      <c r="E134" s="44"/>
      <c r="F134" s="44" t="s">
        <v>174</v>
      </c>
      <c r="G134" s="44" t="s">
        <v>824</v>
      </c>
      <c r="H134" s="44" t="s">
        <v>919</v>
      </c>
      <c r="I134" s="44" t="s">
        <v>934</v>
      </c>
      <c r="J134" s="44"/>
      <c r="K134" s="44"/>
      <c r="L134" s="49">
        <v>44224</v>
      </c>
      <c r="M134" s="48" t="s">
        <v>942</v>
      </c>
      <c r="N134" s="48" t="s">
        <v>170</v>
      </c>
      <c r="O134" s="48"/>
      <c r="P134" s="48"/>
      <c r="Q134" s="48"/>
      <c r="R134" s="48"/>
      <c r="S134" s="49"/>
      <c r="T134" s="48"/>
      <c r="U134" s="48" t="s">
        <v>943</v>
      </c>
      <c r="V134" s="14">
        <f t="shared" si="9"/>
        <v>1</v>
      </c>
      <c r="W134" s="14">
        <f t="shared" si="10"/>
        <v>0</v>
      </c>
      <c r="X134" s="14">
        <f>IF(AND(V134=1,OR(Painel!$C$6="Todos",D134=Painel!$C$6),AND(OR(Painel!$L$6="Todas",E134=Painel!$L$6),OR(Painel!$C$8="Todos",F134=Painel!$C$8),OR(Painel!$L$8="Todos",G134=Painel!$L$8),OR(Painel!$C$10="",ISNUMBER(SEARCH(SUBSTITUTE(SUBSTITUTE(SUBSTITUTE(Painel!$C$10,"~","~~"),"*","~*"),"?","~?"),A134&amp;" "&amp;H134&amp;" "&amp;I134))))),1,0)</f>
        <v>1</v>
      </c>
      <c r="Y134" s="14">
        <f t="shared" si="11"/>
        <v>0</v>
      </c>
      <c r="Z134" s="15">
        <f>IF(V134=0,"",IF(COUNTIFS(Andamentos!$K$10:$K$2009,"="&amp;SUBSTITUTE(SUBSTITUTE(SUBSTITUTE("P:"&amp;A134,"~","~~"),"*","~*"),"?","~?"),Andamentos!$G$10:$G$2009,1)=0,"",_xlfn.AGGREGATE(14,6,Andamentos!$D$10:$D$2009/((Andamentos!$K$10:$K$2009=AS134)*(Andamentos!$G$10:$G$2009=1)),1)))</f>
        <v>45751</v>
      </c>
      <c r="AA134" s="14">
        <f>IF(Z134="",0,COUNTIFS(Andamentos!$K$10:$K$2009,"="&amp;SUBSTITUTE(SUBSTITUTE(SUBSTITUTE("P:"&amp;A134,"~","~~"),"*","~*"),"?","~?"),Andamentos!$D$10:$D$2009,Z134,Andamentos!$G$10:$G$2009,1))</f>
        <v>1</v>
      </c>
      <c r="AB134" s="14">
        <f>IF(AA134=1,SUMIFS(Andamentos!$L$10:$L$2009,Andamentos!$K$10:$K$2009,"="&amp;SUBSTITUTE(SUBSTITUTE(SUBSTITUTE(AS134,"~","~~"),"*","~*"),"?","~?"),Andamentos!$D$10:$D$2009,Z134,Andamentos!$G$10:$G$2009,1)-9,0)</f>
        <v>124</v>
      </c>
      <c r="AC134" s="14" t="str">
        <f>IF(V134=0,"",IF(AA134&gt;1,"Conferir recebimentos empatados",IF(AB134=0,"Sem atualização",INDEX(Andamentos!$C$10:$C$2009,AB134))))</f>
        <v>Defesa Administrativa apresentada em 31.05.2021;
Complemento da Defesa em 20.10.2021.
Alegações Finais apresentadas em 06.12.2021.
Decisão. Recurso apresentado em 29.09.2022
Nova manifestação nos autos para provocar nulidade em setembro de 2023 [...] histórico completo em Observações</v>
      </c>
      <c r="AD134" s="14">
        <f>IF(W134=0,0,IF(MAX(Z134,BD134)=0,1,IF(Configurar!$J$12-INT(MAX(Z134,BD134))&gt;Configurar!$J$11,1,0)))</f>
        <v>0</v>
      </c>
      <c r="AE134" s="16"/>
      <c r="AF134" s="14"/>
      <c r="AG134" s="14"/>
      <c r="AH134" s="14">
        <f>IF(AND(V134=1,COUNTIFS(Valores!$S$10:$S$509,"="&amp;SUBSTITUTE(SUBSTITUTE(SUBSTITUTE("P:"&amp;A134,"~","~~"),"*","~*"),"?","~?"))=1),(IF(ISNA(MATCH(SUBSTITUTE(SUBSTITUTE(SUBSTITUTE("P:"&amp;A134,"~","~~"),"*","~*"),"?","~?"),Valores!$S$10:$S$509,0)),9,INDEX(Valores!$R$10:$R$509,MATCH(SUBSTITUTE(SUBSTITUTE(SUBSTITUTE("P:"&amp;A134,"~","~~"),"*","~*"),"?","~?"),Valores!$S$10:$S$509,0)))-9),0)</f>
        <v>125</v>
      </c>
      <c r="AI134" s="40" t="str">
        <f t="shared" si="12"/>
        <v>Informe a empresa responsável</v>
      </c>
      <c r="AJ134" s="14" t="str">
        <f>IF(AND(X134=1,Y134=1),COUNTIFS($X$10:X134,1,$Y$10:Y134,1),"")</f>
        <v/>
      </c>
      <c r="AK134" s="14">
        <f>IF(X134=1,COUNTIFS($X$10:X134,1),"")</f>
        <v>125</v>
      </c>
      <c r="AL134" s="14">
        <f>IF(AND(V134=1,AND(OR(Painel!$L$6="Todas",E134=Painel!$L$6),OR(Painel!$C$8="Todos",F134=Painel!$C$8),OR(Painel!$L$8="Todos",G134=Painel!$L$8),OR(Painel!$C$10="",ISNUMBER(SEARCH(SUBSTITUTE(SUBSTITUTE(SUBSTITUTE(Painel!$C$10,"~","~~"),"*","~*"),"?","~?"),A134&amp;" "&amp;H134&amp;" "&amp;I134))))),1,0)</f>
        <v>1</v>
      </c>
      <c r="AM134" s="14">
        <f t="shared" si="13"/>
        <v>134</v>
      </c>
      <c r="AN134" s="14"/>
      <c r="AO134" s="14"/>
      <c r="AP134" s="16" t="str">
        <f>IF(AB134=0,"",IF(INDEX(Andamentos!$B$10:$B$2009,AB134)="","",INDEX(Andamentos!$B$10:$B$2009,AB134)))</f>
        <v/>
      </c>
      <c r="AQ134" s="17" t="str">
        <f>IF(AH134=0,"",IF(INDEX(Valores!$B$10:$B$509,AH134)="","",IF(ISNUMBER(INDEX(Valores!$B$10:$B$509,AH134)),INDEX(Valores!$B$10:$B$509,AH134),"")))</f>
        <v/>
      </c>
      <c r="AR134" s="14" t="str">
        <f t="shared" si="14"/>
        <v/>
      </c>
      <c r="AS134" s="14" t="str">
        <f t="shared" si="15"/>
        <v>P:51402.100591/2021-65</v>
      </c>
      <c r="AT134" s="27" t="s">
        <v>944</v>
      </c>
      <c r="AU134" s="31"/>
      <c r="AV134" s="31" t="s">
        <v>941</v>
      </c>
      <c r="AW134" s="27" t="s">
        <v>162</v>
      </c>
      <c r="AX134" s="27" t="s">
        <v>940</v>
      </c>
      <c r="AY134" s="27"/>
      <c r="AZ134" s="27"/>
      <c r="BA134" s="30" t="str">
        <f t="shared" si="16"/>
        <v>51402.100591/2021-65</v>
      </c>
      <c r="BB134" s="30" t="str">
        <f t="shared" si="17"/>
        <v/>
      </c>
      <c r="BC134" s="30">
        <f>IF(X134=0,0,IF(COUNTIFS($X$10:X134,1,$BA$10:BA134,BA134)=1,1,0))</f>
        <v>1</v>
      </c>
      <c r="BD134" s="29">
        <v>45751</v>
      </c>
    </row>
    <row r="135" spans="1:56" ht="42" customHeight="1">
      <c r="A135" s="41" t="s">
        <v>945</v>
      </c>
      <c r="B135" s="44" t="s">
        <v>161</v>
      </c>
      <c r="C135" s="44" t="s">
        <v>300</v>
      </c>
      <c r="D135" s="44" t="s">
        <v>918</v>
      </c>
      <c r="E135" s="44"/>
      <c r="F135" s="44" t="s">
        <v>174</v>
      </c>
      <c r="G135" s="44" t="s">
        <v>824</v>
      </c>
      <c r="H135" s="44" t="s">
        <v>919</v>
      </c>
      <c r="I135" s="44" t="s">
        <v>934</v>
      </c>
      <c r="J135" s="44" t="s">
        <v>946</v>
      </c>
      <c r="K135" s="44" t="s">
        <v>578</v>
      </c>
      <c r="L135" s="49"/>
      <c r="M135" s="48" t="s">
        <v>947</v>
      </c>
      <c r="N135" s="48" t="s">
        <v>170</v>
      </c>
      <c r="O135" s="48"/>
      <c r="P135" s="48"/>
      <c r="Q135" s="48"/>
      <c r="R135" s="48"/>
      <c r="S135" s="49"/>
      <c r="T135" s="48"/>
      <c r="U135" s="48" t="s">
        <v>948</v>
      </c>
      <c r="V135" s="14">
        <f t="shared" si="9"/>
        <v>1</v>
      </c>
      <c r="W135" s="14">
        <f t="shared" si="10"/>
        <v>1</v>
      </c>
      <c r="X135" s="14">
        <f>IF(AND(V135=1,OR(Painel!$C$6="Todos",D135=Painel!$C$6),AND(OR(Painel!$L$6="Todas",E135=Painel!$L$6),OR(Painel!$C$8="Todos",F135=Painel!$C$8),OR(Painel!$L$8="Todos",G135=Painel!$L$8),OR(Painel!$C$10="",ISNUMBER(SEARCH(SUBSTITUTE(SUBSTITUTE(SUBSTITUTE(Painel!$C$10,"~","~~"),"*","~*"),"?","~?"),A135&amp;" "&amp;H135&amp;" "&amp;I135))))),1,0)</f>
        <v>1</v>
      </c>
      <c r="Y135" s="14">
        <f t="shared" si="11"/>
        <v>0</v>
      </c>
      <c r="Z135" s="15">
        <f>IF(V135=0,"",IF(COUNTIFS(Andamentos!$K$10:$K$2009,"="&amp;SUBSTITUTE(SUBSTITUTE(SUBSTITUTE("P:"&amp;A135,"~","~~"),"*","~*"),"?","~?"),Andamentos!$G$10:$G$2009,1)=0,"",_xlfn.AGGREGATE(14,6,Andamentos!$D$10:$D$2009/((Andamentos!$K$10:$K$2009=AS135)*(Andamentos!$G$10:$G$2009=1)),1)))</f>
        <v>46253</v>
      </c>
      <c r="AA135" s="14">
        <f>IF(Z135="",0,COUNTIFS(Andamentos!$K$10:$K$2009,"="&amp;SUBSTITUTE(SUBSTITUTE(SUBSTITUTE("P:"&amp;A135,"~","~~"),"*","~*"),"?","~?"),Andamentos!$D$10:$D$2009,Z135,Andamentos!$G$10:$G$2009,1))</f>
        <v>1</v>
      </c>
      <c r="AB135" s="14">
        <f>IF(AA135=1,SUMIFS(Andamentos!$L$10:$L$2009,Andamentos!$K$10:$K$2009,"="&amp;SUBSTITUTE(SUBSTITUTE(SUBSTITUTE(AS135,"~","~~"),"*","~*"),"?","~?"),Andamentos!$D$10:$D$2009,Z135,Andamentos!$G$10:$G$2009,1)-9,0)</f>
        <v>125</v>
      </c>
      <c r="AC135" s="14" t="str">
        <f>IF(V135=0,"",IF(AA135&gt;1,"Conferir recebimentos empatados",IF(AB135=0,"Sem atualização",INDEX(Andamentos!$C$10:$C$2009,AB135))))</f>
        <v>Defesa Administrativa apresentada em 31.05.2021;
- Complemento da Defesa em 20.10.2021.
- Alegações Finais apresentadas em 14.12.2021.
- Decisão. Recurso já apresentado em 25.08.2022:
Decisão março/2024 - negado anulação parcial das medições decorrentes de pagamentos irregulares.
Tutela de urgência indeferida.
agosto/2026 - Houve um pedido de revisão da decisão, mas foi negado. Sem previsão de andamento dos autos no TRF.</v>
      </c>
      <c r="AD135" s="14">
        <f ca="1">IF(W135=0,0,IF(MAX(Z135,BD135)=0,1,IF(Configurar!$J$12-INT(MAX(Z135,BD135))&gt;Configurar!$J$11,1,0)))</f>
        <v>1</v>
      </c>
      <c r="AE135" s="16"/>
      <c r="AF135" s="14"/>
      <c r="AG135" s="14"/>
      <c r="AH135" s="14">
        <f>IF(AND(V135=1,COUNTIFS(Valores!$S$10:$S$509,"="&amp;SUBSTITUTE(SUBSTITUTE(SUBSTITUTE("P:"&amp;A135,"~","~~"),"*","~*"),"?","~?"))=1),(IF(ISNA(MATCH(SUBSTITUTE(SUBSTITUTE(SUBSTITUTE("P:"&amp;A135,"~","~~"),"*","~*"),"?","~?"),Valores!$S$10:$S$509,0)),9,INDEX(Valores!$R$10:$R$509,MATCH(SUBSTITUTE(SUBSTITUTE(SUBSTITUTE("P:"&amp;A135,"~","~~"),"*","~*"),"?","~?"),Valores!$S$10:$S$509,0)))-9),0)</f>
        <v>126</v>
      </c>
      <c r="AI135" s="40" t="str">
        <f t="shared" si="12"/>
        <v>Informe a empresa responsável</v>
      </c>
      <c r="AJ135" s="14" t="str">
        <f>IF(AND(X135=1,Y135=1),COUNTIFS($X$10:X135,1,$Y$10:Y135,1),"")</f>
        <v/>
      </c>
      <c r="AK135" s="14">
        <f>IF(X135=1,COUNTIFS($X$10:X135,1),"")</f>
        <v>126</v>
      </c>
      <c r="AL135" s="14">
        <f>IF(AND(V135=1,AND(OR(Painel!$L$6="Todas",E135=Painel!$L$6),OR(Painel!$C$8="Todos",F135=Painel!$C$8),OR(Painel!$L$8="Todos",G135=Painel!$L$8),OR(Painel!$C$10="",ISNUMBER(SEARCH(SUBSTITUTE(SUBSTITUTE(SUBSTITUTE(Painel!$C$10,"~","~~"),"*","~*"),"?","~?"),A135&amp;" "&amp;H135&amp;" "&amp;I135))))),1,0)</f>
        <v>1</v>
      </c>
      <c r="AM135" s="14">
        <f t="shared" si="13"/>
        <v>135</v>
      </c>
      <c r="AN135" s="14"/>
      <c r="AO135" s="14"/>
      <c r="AP135" s="16" t="str">
        <f>IF(AB135=0,"",IF(INDEX(Andamentos!$B$10:$B$2009,AB135)="","",INDEX(Andamentos!$B$10:$B$2009,AB135)))</f>
        <v/>
      </c>
      <c r="AQ135" s="17">
        <f>IF(AH135=0,"",IF(INDEX(Valores!$B$10:$B$509,AH135)="","",IF(ISNUMBER(INDEX(Valores!$B$10:$B$509,AH135)),INDEX(Valores!$B$10:$B$509,AH135),"")))</f>
        <v>3500000</v>
      </c>
      <c r="AR135" s="14" t="str">
        <f t="shared" si="14"/>
        <v/>
      </c>
      <c r="AS135" s="14" t="str">
        <f t="shared" si="15"/>
        <v>P:1030764-29.2024.4.01.3400</v>
      </c>
      <c r="AT135" s="27" t="s">
        <v>949</v>
      </c>
      <c r="AU135" s="31" t="s">
        <v>945</v>
      </c>
      <c r="AV135" s="31" t="s">
        <v>950</v>
      </c>
      <c r="AW135" s="27"/>
      <c r="AX135" s="27" t="s">
        <v>940</v>
      </c>
      <c r="AY135" s="27"/>
      <c r="AZ135" s="27"/>
      <c r="BA135" s="30" t="str">
        <f t="shared" si="16"/>
        <v>1030764-29.2024.4.01.3400</v>
      </c>
      <c r="BB135" s="30" t="str">
        <f t="shared" si="17"/>
        <v/>
      </c>
      <c r="BC135" s="30">
        <f>IF(X135=0,0,IF(COUNTIFS($X$10:X135,1,$BA$10:BA135,BA135)=1,1,0))</f>
        <v>1</v>
      </c>
      <c r="BD135" s="29">
        <v>46253</v>
      </c>
    </row>
    <row r="136" spans="1:56" ht="42" customHeight="1">
      <c r="A136" s="41" t="s">
        <v>951</v>
      </c>
      <c r="B136" s="44" t="s">
        <v>161</v>
      </c>
      <c r="C136" s="44" t="s">
        <v>300</v>
      </c>
      <c r="D136" s="44" t="s">
        <v>918</v>
      </c>
      <c r="E136" s="44"/>
      <c r="F136" s="44" t="s">
        <v>174</v>
      </c>
      <c r="G136" s="44" t="s">
        <v>238</v>
      </c>
      <c r="H136" s="44" t="s">
        <v>919</v>
      </c>
      <c r="I136" s="44" t="s">
        <v>934</v>
      </c>
      <c r="J136" s="44" t="s">
        <v>946</v>
      </c>
      <c r="K136" s="44" t="s">
        <v>578</v>
      </c>
      <c r="L136" s="49"/>
      <c r="M136" s="48" t="s">
        <v>952</v>
      </c>
      <c r="N136" s="48" t="s">
        <v>170</v>
      </c>
      <c r="O136" s="48"/>
      <c r="P136" s="48"/>
      <c r="Q136" s="48"/>
      <c r="R136" s="48"/>
      <c r="S136" s="49"/>
      <c r="T136" s="48"/>
      <c r="U136" s="48" t="s">
        <v>953</v>
      </c>
      <c r="V136" s="14">
        <f t="shared" si="9"/>
        <v>1</v>
      </c>
      <c r="W136" s="14">
        <f t="shared" si="10"/>
        <v>1</v>
      </c>
      <c r="X136" s="14">
        <f>IF(AND(V136=1,OR(Painel!$C$6="Todos",D136=Painel!$C$6),AND(OR(Painel!$L$6="Todas",E136=Painel!$L$6),OR(Painel!$C$8="Todos",F136=Painel!$C$8),OR(Painel!$L$8="Todos",G136=Painel!$L$8),OR(Painel!$C$10="",ISNUMBER(SEARCH(SUBSTITUTE(SUBSTITUTE(SUBSTITUTE(Painel!$C$10,"~","~~"),"*","~*"),"?","~?"),A136&amp;" "&amp;H136&amp;" "&amp;I136))))),1,0)</f>
        <v>1</v>
      </c>
      <c r="Y136" s="14">
        <f t="shared" si="11"/>
        <v>0</v>
      </c>
      <c r="Z136" s="15">
        <f>IF(V136=0,"",IF(COUNTIFS(Andamentos!$K$10:$K$2009,"="&amp;SUBSTITUTE(SUBSTITUTE(SUBSTITUTE("P:"&amp;A136,"~","~~"),"*","~*"),"?","~?"),Andamentos!$G$10:$G$2009,1)=0,"",_xlfn.AGGREGATE(14,6,Andamentos!$D$10:$D$2009/((Andamentos!$K$10:$K$2009=AS136)*(Andamentos!$G$10:$G$2009=1)),1)))</f>
        <v>46112</v>
      </c>
      <c r="AA136" s="14">
        <f>IF(Z136="",0,COUNTIFS(Andamentos!$K$10:$K$2009,"="&amp;SUBSTITUTE(SUBSTITUTE(SUBSTITUTE("P:"&amp;A136,"~","~~"),"*","~*"),"?","~?"),Andamentos!$D$10:$D$2009,Z136,Andamentos!$G$10:$G$2009,1))</f>
        <v>1</v>
      </c>
      <c r="AB136" s="14">
        <f>IF(AA136=1,SUMIFS(Andamentos!$L$10:$L$2009,Andamentos!$K$10:$K$2009,"="&amp;SUBSTITUTE(SUBSTITUTE(SUBSTITUTE(AS136,"~","~~"),"*","~*"),"?","~?"),Andamentos!$D$10:$D$2009,Z136,Andamentos!$G$10:$G$2009,1)-9,0)</f>
        <v>126</v>
      </c>
      <c r="AC136" s="14" t="str">
        <f>IF(V136=0,"",IF(AA136&gt;1,"Conferir recebimentos empatados",IF(AB136=0,"Sem atualização",INDEX(Andamentos!$C$10:$C$2009,AB136))))</f>
        <v>Defesa Administrativa apresentada em 31.05.2021;
- Complemento da Defesa em 20.10.2021.
- Alegações Finais apresentadas em 27.12.2021.
- Decisão - Procedente a pretensão administrativa.
Recurso apresentado em 19.09.2022
Decisão março/2024 - negado anulação parcial das medições decorrentes de pagamentos irregulares.
Agravo de instrumento interposto em junho/2024 ainda sem julgamento. (1018988-47.2024.01.0000)</v>
      </c>
      <c r="AD136" s="14">
        <f ca="1">IF(W136=0,0,IF(MAX(Z136,BD136)=0,1,IF(Configurar!$J$12-INT(MAX(Z136,BD136))&gt;Configurar!$J$11,1,0)))</f>
        <v>1</v>
      </c>
      <c r="AE136" s="16"/>
      <c r="AF136" s="14"/>
      <c r="AG136" s="14"/>
      <c r="AH136" s="14">
        <f>IF(AND(V136=1,COUNTIFS(Valores!$S$10:$S$509,"="&amp;SUBSTITUTE(SUBSTITUTE(SUBSTITUTE("P:"&amp;A136,"~","~~"),"*","~*"),"?","~?"))=1),(IF(ISNA(MATCH(SUBSTITUTE(SUBSTITUTE(SUBSTITUTE("P:"&amp;A136,"~","~~"),"*","~*"),"?","~?"),Valores!$S$10:$S$509,0)),9,INDEX(Valores!$R$10:$R$509,MATCH(SUBSTITUTE(SUBSTITUTE(SUBSTITUTE("P:"&amp;A136,"~","~~"),"*","~*"),"?","~?"),Valores!$S$10:$S$509,0)))-9),0)</f>
        <v>127</v>
      </c>
      <c r="AI136" s="40" t="str">
        <f t="shared" si="12"/>
        <v>Informe a empresa responsável</v>
      </c>
      <c r="AJ136" s="14" t="str">
        <f>IF(AND(X136=1,Y136=1),COUNTIFS($X$10:X136,1,$Y$10:Y136,1),"")</f>
        <v/>
      </c>
      <c r="AK136" s="14">
        <f>IF(X136=1,COUNTIFS($X$10:X136,1),"")</f>
        <v>127</v>
      </c>
      <c r="AL136" s="14">
        <f>IF(AND(V136=1,AND(OR(Painel!$L$6="Todas",E136=Painel!$L$6),OR(Painel!$C$8="Todos",F136=Painel!$C$8),OR(Painel!$L$8="Todos",G136=Painel!$L$8),OR(Painel!$C$10="",ISNUMBER(SEARCH(SUBSTITUTE(SUBSTITUTE(SUBSTITUTE(Painel!$C$10,"~","~~"),"*","~*"),"?","~?"),A136&amp;" "&amp;H136&amp;" "&amp;I136))))),1,0)</f>
        <v>1</v>
      </c>
      <c r="AM136" s="14">
        <f t="shared" si="13"/>
        <v>136</v>
      </c>
      <c r="AN136" s="14"/>
      <c r="AO136" s="14"/>
      <c r="AP136" s="16" t="str">
        <f>IF(AB136=0,"",IF(INDEX(Andamentos!$B$10:$B$2009,AB136)="","",INDEX(Andamentos!$B$10:$B$2009,AB136)))</f>
        <v/>
      </c>
      <c r="AQ136" s="17">
        <f>IF(AH136=0,"",IF(INDEX(Valores!$B$10:$B$509,AH136)="","",IF(ISNUMBER(INDEX(Valores!$B$10:$B$509,AH136)),INDEX(Valores!$B$10:$B$509,AH136),"")))</f>
        <v>12000000</v>
      </c>
      <c r="AR136" s="14" t="str">
        <f t="shared" si="14"/>
        <v/>
      </c>
      <c r="AS136" s="14" t="str">
        <f t="shared" si="15"/>
        <v>P:1029005-30.2024.4.01.3400</v>
      </c>
      <c r="AT136" s="27" t="s">
        <v>954</v>
      </c>
      <c r="AU136" s="31" t="s">
        <v>951</v>
      </c>
      <c r="AV136" s="31" t="s">
        <v>955</v>
      </c>
      <c r="AW136" s="27"/>
      <c r="AX136" s="27" t="s">
        <v>940</v>
      </c>
      <c r="AY136" s="27"/>
      <c r="AZ136" s="27"/>
      <c r="BA136" s="30" t="str">
        <f t="shared" si="16"/>
        <v>1029005-30.2024.4.01.3400</v>
      </c>
      <c r="BB136" s="30" t="str">
        <f t="shared" si="17"/>
        <v/>
      </c>
      <c r="BC136" s="30">
        <f>IF(X136=0,0,IF(COUNTIFS($X$10:X136,1,$BA$10:BA136,BA136)=1,1,0))</f>
        <v>1</v>
      </c>
      <c r="BD136" s="29">
        <v>46112</v>
      </c>
    </row>
    <row r="137" spans="1:56" ht="42" customHeight="1">
      <c r="A137" s="41" t="s">
        <v>956</v>
      </c>
      <c r="B137" s="44" t="s">
        <v>598</v>
      </c>
      <c r="C137" s="44" t="s">
        <v>252</v>
      </c>
      <c r="D137" s="44" t="s">
        <v>918</v>
      </c>
      <c r="E137" s="44"/>
      <c r="F137" s="44" t="s">
        <v>174</v>
      </c>
      <c r="G137" s="44" t="s">
        <v>824</v>
      </c>
      <c r="H137" s="44" t="s">
        <v>919</v>
      </c>
      <c r="I137" s="44" t="s">
        <v>934</v>
      </c>
      <c r="J137" s="44"/>
      <c r="K137" s="44"/>
      <c r="L137" s="49"/>
      <c r="M137" s="48" t="s">
        <v>957</v>
      </c>
      <c r="N137" s="48" t="s">
        <v>170</v>
      </c>
      <c r="O137" s="48"/>
      <c r="P137" s="48"/>
      <c r="Q137" s="48"/>
      <c r="R137" s="48"/>
      <c r="S137" s="49"/>
      <c r="T137" s="48"/>
      <c r="U137" s="48" t="s">
        <v>958</v>
      </c>
      <c r="V137" s="14">
        <f t="shared" si="9"/>
        <v>1</v>
      </c>
      <c r="W137" s="14">
        <f t="shared" si="10"/>
        <v>0</v>
      </c>
      <c r="X137" s="14">
        <f>IF(AND(V137=1,OR(Painel!$C$6="Todos",D137=Painel!$C$6),AND(OR(Painel!$L$6="Todas",E137=Painel!$L$6),OR(Painel!$C$8="Todos",F137=Painel!$C$8),OR(Painel!$L$8="Todos",G137=Painel!$L$8),OR(Painel!$C$10="",ISNUMBER(SEARCH(SUBSTITUTE(SUBSTITUTE(SUBSTITUTE(Painel!$C$10,"~","~~"),"*","~*"),"?","~?"),A137&amp;" "&amp;H137&amp;" "&amp;I137))))),1,0)</f>
        <v>1</v>
      </c>
      <c r="Y137" s="14">
        <f t="shared" si="11"/>
        <v>0</v>
      </c>
      <c r="Z137" s="15">
        <f>IF(V137=0,"",IF(COUNTIFS(Andamentos!$K$10:$K$2009,"="&amp;SUBSTITUTE(SUBSTITUTE(SUBSTITUTE("P:"&amp;A137,"~","~~"),"*","~*"),"?","~?"),Andamentos!$G$10:$G$2009,1)=0,"",_xlfn.AGGREGATE(14,6,Andamentos!$D$10:$D$2009/((Andamentos!$K$10:$K$2009=AS137)*(Andamentos!$G$10:$G$2009=1)),1)))</f>
        <v>45790</v>
      </c>
      <c r="AA137" s="14">
        <f>IF(Z137="",0,COUNTIFS(Andamentos!$K$10:$K$2009,"="&amp;SUBSTITUTE(SUBSTITUTE(SUBSTITUTE("P:"&amp;A137,"~","~~"),"*","~*"),"?","~?"),Andamentos!$D$10:$D$2009,Z137,Andamentos!$G$10:$G$2009,1))</f>
        <v>1</v>
      </c>
      <c r="AB137" s="14">
        <f>IF(AA137=1,SUMIFS(Andamentos!$L$10:$L$2009,Andamentos!$K$10:$K$2009,"="&amp;SUBSTITUTE(SUBSTITUTE(SUBSTITUTE(AS137,"~","~~"),"*","~*"),"?","~?"),Andamentos!$D$10:$D$2009,Z137,Andamentos!$G$10:$G$2009,1)-9,0)</f>
        <v>127</v>
      </c>
      <c r="AC137" s="14" t="str">
        <f>IF(V137=0,"",IF(AA137&gt;1,"Conferir recebimentos empatados",IF(AB137=0,"Sem atualização",INDEX(Andamentos!$C$10:$C$2009,AB137))))</f>
        <v>(24/01/2022 ) Alegações finais apresentadas - Aguardando trâmite para julgamento [...] histórico completo em Observações</v>
      </c>
      <c r="AD137" s="14">
        <f>IF(W137=0,0,IF(MAX(Z137,BD137)=0,1,IF(Configurar!$J$12-INT(MAX(Z137,BD137))&gt;Configurar!$J$11,1,0)))</f>
        <v>0</v>
      </c>
      <c r="AE137" s="16"/>
      <c r="AF137" s="14"/>
      <c r="AG137" s="14"/>
      <c r="AH137" s="14">
        <f>IF(AND(V137=1,COUNTIFS(Valores!$S$10:$S$509,"="&amp;SUBSTITUTE(SUBSTITUTE(SUBSTITUTE("P:"&amp;A137,"~","~~"),"*","~*"),"?","~?"))=1),(IF(ISNA(MATCH(SUBSTITUTE(SUBSTITUTE(SUBSTITUTE("P:"&amp;A137,"~","~~"),"*","~*"),"?","~?"),Valores!$S$10:$S$509,0)),9,INDEX(Valores!$R$10:$R$509,MATCH(SUBSTITUTE(SUBSTITUTE(SUBSTITUTE("P:"&amp;A137,"~","~~"),"*","~*"),"?","~?"),Valores!$S$10:$S$509,0)))-9),0)</f>
        <v>128</v>
      </c>
      <c r="AI137" s="40" t="str">
        <f t="shared" si="12"/>
        <v>Informe a empresa responsável</v>
      </c>
      <c r="AJ137" s="14" t="str">
        <f>IF(AND(X137=1,Y137=1),COUNTIFS($X$10:X137,1,$Y$10:Y137,1),"")</f>
        <v/>
      </c>
      <c r="AK137" s="14">
        <f>IF(X137=1,COUNTIFS($X$10:X137,1),"")</f>
        <v>128</v>
      </c>
      <c r="AL137" s="14">
        <f>IF(AND(V137=1,AND(OR(Painel!$L$6="Todas",E137=Painel!$L$6),OR(Painel!$C$8="Todos",F137=Painel!$C$8),OR(Painel!$L$8="Todos",G137=Painel!$L$8),OR(Painel!$C$10="",ISNUMBER(SEARCH(SUBSTITUTE(SUBSTITUTE(SUBSTITUTE(Painel!$C$10,"~","~~"),"*","~*"),"?","~?"),A137&amp;" "&amp;H137&amp;" "&amp;I137))))),1,0)</f>
        <v>1</v>
      </c>
      <c r="AM137" s="14">
        <f t="shared" si="13"/>
        <v>137</v>
      </c>
      <c r="AN137" s="14"/>
      <c r="AO137" s="14"/>
      <c r="AP137" s="16" t="str">
        <f>IF(AB137=0,"",IF(INDEX(Andamentos!$B$10:$B$2009,AB137)="","",INDEX(Andamentos!$B$10:$B$2009,AB137)))</f>
        <v/>
      </c>
      <c r="AQ137" s="17" t="str">
        <f>IF(AH137=0,"",IF(INDEX(Valores!$B$10:$B$509,AH137)="","",IF(ISNUMBER(INDEX(Valores!$B$10:$B$509,AH137)),INDEX(Valores!$B$10:$B$509,AH137),"")))</f>
        <v/>
      </c>
      <c r="AR137" s="14" t="str">
        <f t="shared" si="14"/>
        <v/>
      </c>
      <c r="AS137" s="14" t="str">
        <f t="shared" si="15"/>
        <v>P:51402.102109/2020-41</v>
      </c>
      <c r="AT137" s="27" t="s">
        <v>959</v>
      </c>
      <c r="AU137" s="31"/>
      <c r="AV137" s="31" t="s">
        <v>956</v>
      </c>
      <c r="AW137" s="27" t="s">
        <v>740</v>
      </c>
      <c r="AX137" s="27" t="s">
        <v>940</v>
      </c>
      <c r="AY137" s="27"/>
      <c r="AZ137" s="27"/>
      <c r="BA137" s="30" t="str">
        <f t="shared" si="16"/>
        <v>51402.102109/2020-41</v>
      </c>
      <c r="BB137" s="30" t="str">
        <f t="shared" si="17"/>
        <v/>
      </c>
      <c r="BC137" s="30">
        <f>IF(X137=0,0,IF(COUNTIFS($X$10:X137,1,$BA$10:BA137,BA137)=1,1,0))</f>
        <v>1</v>
      </c>
      <c r="BD137" s="29">
        <v>45790</v>
      </c>
    </row>
    <row r="138" spans="1:56" ht="42" customHeight="1">
      <c r="A138" s="41" t="s">
        <v>960</v>
      </c>
      <c r="B138" s="44" t="s">
        <v>598</v>
      </c>
      <c r="C138" s="44" t="s">
        <v>300</v>
      </c>
      <c r="D138" s="44" t="s">
        <v>918</v>
      </c>
      <c r="E138" s="44"/>
      <c r="F138" s="44" t="s">
        <v>174</v>
      </c>
      <c r="G138" s="44" t="s">
        <v>824</v>
      </c>
      <c r="H138" s="44" t="s">
        <v>919</v>
      </c>
      <c r="I138" s="44" t="s">
        <v>934</v>
      </c>
      <c r="J138" s="44"/>
      <c r="K138" s="44"/>
      <c r="L138" s="49">
        <v>43150</v>
      </c>
      <c r="M138" s="48" t="s">
        <v>961</v>
      </c>
      <c r="N138" s="48" t="s">
        <v>376</v>
      </c>
      <c r="O138" s="48"/>
      <c r="P138" s="48"/>
      <c r="Q138" s="48" t="s">
        <v>377</v>
      </c>
      <c r="R138" s="48"/>
      <c r="S138" s="49"/>
      <c r="T138" s="48"/>
      <c r="U138" s="48" t="s">
        <v>962</v>
      </c>
      <c r="V138" s="14">
        <f t="shared" ref="V138:V201" si="18">IF(AND(A138&lt;&gt;"",ISTEXT(A138),COUNTIFS($AS$10:$AS$509,"="&amp;SUBSTITUTE(SUBSTITUTE(SUBSTITUTE("P:"&amp;A138,"~","~~"),"*","~*"),"?","~?"))=1),1,0)</f>
        <v>1</v>
      </c>
      <c r="W138" s="14">
        <f t="shared" ref="W138:W201" si="19">IF(AND(V138=1,OR(C138="Ativo",C138="Suspenso")),1,0)</f>
        <v>1</v>
      </c>
      <c r="X138" s="14">
        <f>IF(AND(V138=1,OR(Painel!$C$6="Todos",D138=Painel!$C$6),AND(OR(Painel!$L$6="Todas",E138=Painel!$L$6),OR(Painel!$C$8="Todos",F138=Painel!$C$8),OR(Painel!$L$8="Todos",G138=Painel!$L$8),OR(Painel!$C$10="",ISNUMBER(SEARCH(SUBSTITUTE(SUBSTITUTE(SUBSTITUTE(Painel!$C$10,"~","~~"),"*","~*"),"?","~?"),A138&amp;" "&amp;H138&amp;" "&amp;I138))))),1,0)</f>
        <v>1</v>
      </c>
      <c r="Y138" s="14">
        <f t="shared" ref="Y138:Y201" si="20">IF(AND(W138=1,OR(N138="Crítica",O138="Sim",P138="Sim")),1,0)</f>
        <v>0</v>
      </c>
      <c r="Z138" s="15">
        <f>IF(V138=0,"",IF(COUNTIFS(Andamentos!$K$10:$K$2009,"="&amp;SUBSTITUTE(SUBSTITUTE(SUBSTITUTE("P:"&amp;A138,"~","~~"),"*","~*"),"?","~?"),Andamentos!$G$10:$G$2009,1)=0,"",_xlfn.AGGREGATE(14,6,Andamentos!$D$10:$D$2009/((Andamentos!$K$10:$K$2009=AS138)*(Andamentos!$G$10:$G$2009=1)),1)))</f>
        <v>46112</v>
      </c>
      <c r="AA138" s="14">
        <f>IF(Z138="",0,COUNTIFS(Andamentos!$K$10:$K$2009,"="&amp;SUBSTITUTE(SUBSTITUTE(SUBSTITUTE("P:"&amp;A138,"~","~~"),"*","~*"),"?","~?"),Andamentos!$D$10:$D$2009,Z138,Andamentos!$G$10:$G$2009,1))</f>
        <v>1</v>
      </c>
      <c r="AB138" s="14">
        <f>IF(AA138=1,SUMIFS(Andamentos!$L$10:$L$2009,Andamentos!$K$10:$K$2009,"="&amp;SUBSTITUTE(SUBSTITUTE(SUBSTITUTE(AS138,"~","~~"),"*","~*"),"?","~?"),Andamentos!$D$10:$D$2009,Z138,Andamentos!$G$10:$G$2009,1)-9,0)</f>
        <v>128</v>
      </c>
      <c r="AC138" s="14" t="str">
        <f>IF(V138=0,"",IF(AA138&gt;1,"Conferir recebimentos empatados",IF(AB138=0,"Sem atualização",INDEX(Andamentos!$C$10:$C$2009,AB138))))</f>
        <v>Defesa Administrativa apresentada em 18/03/2020 
Sem decisão nos autos quanto a defesa
Já temos ciência de êxito parcial quanto à exclusão da pena de multa (honorários =
42.000.000,00*0,05*0,04 = 84.000,00). Processo caminhou sem a intimação da Alta a
partir das Alegações Finais. Haveria como anular a decisão e dar baixa no Cadin para
este caso específico. Há potencial de baixa em razão dos valores já reembolsados pela
brita.
- Análise feita em 2025, empresa decidiu por não provocar e seguir até que a INFRA 
intime a empresa da decisão final.</v>
      </c>
      <c r="AD138" s="14">
        <f ca="1">IF(W138=0,0,IF(MAX(Z138,BD138)=0,1,IF(Configurar!$J$12-INT(MAX(Z138,BD138))&gt;Configurar!$J$11,1,0)))</f>
        <v>1</v>
      </c>
      <c r="AE138" s="16"/>
      <c r="AF138" s="14"/>
      <c r="AG138" s="14"/>
      <c r="AH138" s="14">
        <f>IF(AND(V138=1,COUNTIFS(Valores!$S$10:$S$509,"="&amp;SUBSTITUTE(SUBSTITUTE(SUBSTITUTE("P:"&amp;A138,"~","~~"),"*","~*"),"?","~?"))=1),(IF(ISNA(MATCH(SUBSTITUTE(SUBSTITUTE(SUBSTITUTE("P:"&amp;A138,"~","~~"),"*","~*"),"?","~?"),Valores!$S$10:$S$509,0)),9,INDEX(Valores!$R$10:$R$509,MATCH(SUBSTITUTE(SUBSTITUTE(SUBSTITUTE("P:"&amp;A138,"~","~~"),"*","~*"),"?","~?"),Valores!$S$10:$S$509,0)))-9),0)</f>
        <v>129</v>
      </c>
      <c r="AI138" s="40" t="str">
        <f t="shared" ref="AI138:AI201" si="21">IF(COUNTA(A138:U138)=0,"",IF(A138="","Preencha o número do processo",IF(NOT(ISTEXT(A138)),"Mantenha o número como texto",IF(V138=0,"Número duplicado: confira o identificador completo",IF(C138="","Informe a situação",IF(AND(C138&lt;&gt;"Ativo",C138&lt;&gt;"Suspenso",C138&lt;&gt;"Encerrado",C138&lt;&gt;"Arquivado"),"Escolha uma situação da lista",IF(D138="","Informe o escritório",IF(E138="","Informe a empresa responsável",IF(H138="","Informe a parte autora",IF(I138="","Informe a parte ré",IF(M138="","Inclua o resumo dos fatos",IF(AND(L138&lt;&gt;"",OR(NOT(ISNUMBER(L138)),L138&lt;1,L138&gt;100000)),"Revise a data de instauração",IF(AND(S138&lt;&gt;"",OR(NOT(ISNUMBER(S138)),S138&lt;1,S138&gt;100000)),"Revise a previsão de encerramento",IF(AND(OR(C138="Encerrado",C138="Arquivado"),OR(O138="Sim",P138="Sim")),"Reveja as restrições após o encerramento",""))))))))))))))</f>
        <v>Informe a empresa responsável</v>
      </c>
      <c r="AJ138" s="14" t="str">
        <f>IF(AND(X138=1,Y138=1),COUNTIFS($X$10:X138,1,$Y$10:Y138,1),"")</f>
        <v/>
      </c>
      <c r="AK138" s="14">
        <f>IF(X138=1,COUNTIFS($X$10:X138,1),"")</f>
        <v>129</v>
      </c>
      <c r="AL138" s="14">
        <f>IF(AND(V138=1,AND(OR(Painel!$L$6="Todas",E138=Painel!$L$6),OR(Painel!$C$8="Todos",F138=Painel!$C$8),OR(Painel!$L$8="Todos",G138=Painel!$L$8),OR(Painel!$C$10="",ISNUMBER(SEARCH(SUBSTITUTE(SUBSTITUTE(SUBSTITUTE(Painel!$C$10,"~","~~"),"*","~*"),"?","~?"),A138&amp;" "&amp;H138&amp;" "&amp;I138))))),1,0)</f>
        <v>1</v>
      </c>
      <c r="AM138" s="14">
        <f t="shared" ref="AM138:AM201" si="22">IF(A138="",0,ROW())</f>
        <v>138</v>
      </c>
      <c r="AN138" s="14"/>
      <c r="AO138" s="14"/>
      <c r="AP138" s="16" t="str">
        <f>IF(AB138=0,"",IF(INDEX(Andamentos!$B$10:$B$2009,AB138)="","",INDEX(Andamentos!$B$10:$B$2009,AB138)))</f>
        <v/>
      </c>
      <c r="AQ138" s="17">
        <f>IF(AH138=0,"",IF(INDEX(Valores!$B$10:$B$509,AH138)="","",IF(ISNUMBER(INDEX(Valores!$B$10:$B$509,AH138)),INDEX(Valores!$B$10:$B$509,AH138),"")))</f>
        <v>10500000</v>
      </c>
      <c r="AR138" s="14" t="str">
        <f t="shared" ref="AR138:AR201" si="23">IF(Y138=0,"",IF(N138="Crítica","Prioridade crítica. ","")&amp;IF(O138="Sim","Bloqueio vigente. ","")&amp;IF(P138="Sim","Penhora vigente. ","")&amp;IF(Q138="","",Q138))</f>
        <v/>
      </c>
      <c r="AS138" s="14" t="str">
        <f t="shared" ref="AS138:AS201" si="24">IF(AND(A138&lt;&gt;"",ISTEXT(A138)),"P:"&amp;A138,"")</f>
        <v>P:51402.201435/2018-15</v>
      </c>
      <c r="AT138" s="27" t="s">
        <v>963</v>
      </c>
      <c r="AU138" s="31"/>
      <c r="AV138" s="31" t="s">
        <v>960</v>
      </c>
      <c r="AW138" s="27" t="s">
        <v>932</v>
      </c>
      <c r="AX138" s="27" t="s">
        <v>940</v>
      </c>
      <c r="AY138" s="27"/>
      <c r="AZ138" s="27"/>
      <c r="BA138" s="30" t="str">
        <f t="shared" ref="BA138:BA201" si="25">IF(A138="","",IF(AU138&lt;&gt;"",AU138,IF(AV138&lt;&gt;"",AV138,A138)))</f>
        <v>51402.201435/2018-15</v>
      </c>
      <c r="BB138" s="30" t="str">
        <f t="shared" ref="BB138:BB201" si="26">IF(A138="","",IF(COUNTIFS($BA$10:$BA$509,BA138)&gt;1,"Revisar repetição",""))</f>
        <v/>
      </c>
      <c r="BC138" s="30">
        <f>IF(X138=0,0,IF(COUNTIFS($X$10:X138,1,$BA$10:BA138,BA138)=1,1,0))</f>
        <v>1</v>
      </c>
      <c r="BD138" s="29">
        <v>46112</v>
      </c>
    </row>
    <row r="139" spans="1:56" ht="42" customHeight="1">
      <c r="A139" s="41" t="s">
        <v>964</v>
      </c>
      <c r="B139" s="44" t="s">
        <v>161</v>
      </c>
      <c r="C139" s="44" t="s">
        <v>252</v>
      </c>
      <c r="D139" s="44" t="s">
        <v>965</v>
      </c>
      <c r="E139" s="44"/>
      <c r="F139" s="44"/>
      <c r="G139" s="44" t="s">
        <v>164</v>
      </c>
      <c r="H139" s="44" t="s">
        <v>966</v>
      </c>
      <c r="I139" s="44" t="s">
        <v>166</v>
      </c>
      <c r="J139" s="44" t="s">
        <v>967</v>
      </c>
      <c r="K139" s="44" t="s">
        <v>578</v>
      </c>
      <c r="L139" s="49">
        <v>43809</v>
      </c>
      <c r="M139" s="48" t="s">
        <v>968</v>
      </c>
      <c r="N139" s="48" t="s">
        <v>170</v>
      </c>
      <c r="O139" s="48"/>
      <c r="P139" s="48"/>
      <c r="Q139" s="48"/>
      <c r="R139" s="48"/>
      <c r="S139" s="49"/>
      <c r="T139" s="48"/>
      <c r="U139" s="48" t="s">
        <v>969</v>
      </c>
      <c r="V139" s="14">
        <f t="shared" si="18"/>
        <v>1</v>
      </c>
      <c r="W139" s="14">
        <f t="shared" si="19"/>
        <v>0</v>
      </c>
      <c r="X139" s="14">
        <f>IF(AND(V139=1,OR(Painel!$C$6="Todos",D139=Painel!$C$6),AND(OR(Painel!$L$6="Todas",E139=Painel!$L$6),OR(Painel!$C$8="Todos",F139=Painel!$C$8),OR(Painel!$L$8="Todos",G139=Painel!$L$8),OR(Painel!$C$10="",ISNUMBER(SEARCH(SUBSTITUTE(SUBSTITUTE(SUBSTITUTE(Painel!$C$10,"~","~~"),"*","~*"),"?","~?"),A139&amp;" "&amp;H139&amp;" "&amp;I139))))),1,0)</f>
        <v>1</v>
      </c>
      <c r="Y139" s="14">
        <f t="shared" si="20"/>
        <v>0</v>
      </c>
      <c r="Z139" s="15">
        <f>IF(V139=0,"",IF(COUNTIFS(Andamentos!$K$10:$K$2009,"="&amp;SUBSTITUTE(SUBSTITUTE(SUBSTITUTE("P:"&amp;A139,"~","~~"),"*","~*"),"?","~?"),Andamentos!$G$10:$G$2009,1)=0,"",_xlfn.AGGREGATE(14,6,Andamentos!$D$10:$D$2009/((Andamentos!$K$10:$K$2009=AS139)*(Andamentos!$G$10:$G$2009=1)),1)))</f>
        <v>46080</v>
      </c>
      <c r="AA139" s="14">
        <f>IF(Z139="",0,COUNTIFS(Andamentos!$K$10:$K$2009,"="&amp;SUBSTITUTE(SUBSTITUTE(SUBSTITUTE("P:"&amp;A139,"~","~~"),"*","~*"),"?","~?"),Andamentos!$D$10:$D$2009,Z139,Andamentos!$G$10:$G$2009,1))</f>
        <v>1</v>
      </c>
      <c r="AB139" s="14">
        <f>IF(AA139=1,SUMIFS(Andamentos!$L$10:$L$2009,Andamentos!$K$10:$K$2009,"="&amp;SUBSTITUTE(SUBSTITUTE(SUBSTITUTE(AS139,"~","~~"),"*","~*"),"?","~?"),Andamentos!$D$10:$D$2009,Z139,Andamentos!$G$10:$G$2009,1)-9,0)</f>
        <v>129</v>
      </c>
      <c r="AC139" s="14" t="str">
        <f>IF(V139=0,"",IF(AA139&gt;1,"Conferir recebimentos empatados",IF(AB139=0,"Sem atualização",INDEX(Andamentos!$C$10:$C$2009,AB139))))</f>
        <v>20.04.08 - Sentencial parcial
22.04.12 - Acórdão [...] histórico completo em Observações</v>
      </c>
      <c r="AD139" s="14">
        <f>IF(W139=0,0,IF(MAX(Z139,BD139)=0,1,IF(Configurar!$J$12-INT(MAX(Z139,BD139))&gt;Configurar!$J$11,1,0)))</f>
        <v>0</v>
      </c>
      <c r="AE139" s="16"/>
      <c r="AF139" s="14"/>
      <c r="AG139" s="14"/>
      <c r="AH139" s="14">
        <f>IF(AND(V139=1,COUNTIFS(Valores!$S$10:$S$509,"="&amp;SUBSTITUTE(SUBSTITUTE(SUBSTITUTE("P:"&amp;A139,"~","~~"),"*","~*"),"?","~?"))=1),(IF(ISNA(MATCH(SUBSTITUTE(SUBSTITUTE(SUBSTITUTE("P:"&amp;A139,"~","~~"),"*","~*"),"?","~?"),Valores!$S$10:$S$509,0)),9,INDEX(Valores!$R$10:$R$509,MATCH(SUBSTITUTE(SUBSTITUTE(SUBSTITUTE("P:"&amp;A139,"~","~~"),"*","~*"),"?","~?"),Valores!$S$10:$S$509,0)))-9),0)</f>
        <v>130</v>
      </c>
      <c r="AI139" s="40" t="str">
        <f t="shared" si="21"/>
        <v>Informe a empresa responsável</v>
      </c>
      <c r="AJ139" s="14" t="str">
        <f>IF(AND(X139=1,Y139=1),COUNTIFS($X$10:X139,1,$Y$10:Y139,1),"")</f>
        <v/>
      </c>
      <c r="AK139" s="14">
        <f>IF(X139=1,COUNTIFS($X$10:X139,1),"")</f>
        <v>130</v>
      </c>
      <c r="AL139" s="14">
        <f>IF(AND(V139=1,AND(OR(Painel!$L$6="Todas",E139=Painel!$L$6),OR(Painel!$C$8="Todos",F139=Painel!$C$8),OR(Painel!$L$8="Todos",G139=Painel!$L$8),OR(Painel!$C$10="",ISNUMBER(SEARCH(SUBSTITUTE(SUBSTITUTE(SUBSTITUTE(Painel!$C$10,"~","~~"),"*","~*"),"?","~?"),A139&amp;" "&amp;H139&amp;" "&amp;I139))))),1,0)</f>
        <v>1</v>
      </c>
      <c r="AM139" s="14">
        <f t="shared" si="22"/>
        <v>139</v>
      </c>
      <c r="AN139" s="14"/>
      <c r="AO139" s="14"/>
      <c r="AP139" s="16" t="str">
        <f>IF(AB139=0,"",IF(INDEX(Andamentos!$B$10:$B$2009,AB139)="","",INDEX(Andamentos!$B$10:$B$2009,AB139)))</f>
        <v/>
      </c>
      <c r="AQ139" s="17" t="str">
        <f>IF(AH139=0,"",IF(INDEX(Valores!$B$10:$B$509,AH139)="","",IF(ISNUMBER(INDEX(Valores!$B$10:$B$509,AH139)),INDEX(Valores!$B$10:$B$509,AH139),"")))</f>
        <v/>
      </c>
      <c r="AR139" s="14" t="str">
        <f t="shared" si="23"/>
        <v/>
      </c>
      <c r="AS139" s="14" t="str">
        <f t="shared" si="24"/>
        <v>P:1023138-93.2019.4.01.3800</v>
      </c>
      <c r="AT139" s="27" t="s">
        <v>970</v>
      </c>
      <c r="AU139" s="31" t="s">
        <v>964</v>
      </c>
      <c r="AV139" s="31"/>
      <c r="AW139" s="27" t="s">
        <v>740</v>
      </c>
      <c r="AX139" s="27" t="s">
        <v>246</v>
      </c>
      <c r="AY139" s="27"/>
      <c r="AZ139" s="27"/>
      <c r="BA139" s="30" t="str">
        <f t="shared" si="25"/>
        <v>1023138-93.2019.4.01.3800</v>
      </c>
      <c r="BB139" s="30" t="str">
        <f t="shared" si="26"/>
        <v/>
      </c>
      <c r="BC139" s="30">
        <f>IF(X139=0,0,IF(COUNTIFS($X$10:X139,1,$BA$10:BA139,BA139)=1,1,0))</f>
        <v>1</v>
      </c>
      <c r="BD139" s="29">
        <v>46080</v>
      </c>
    </row>
    <row r="140" spans="1:56" ht="42" customHeight="1">
      <c r="A140" s="41" t="s">
        <v>971</v>
      </c>
      <c r="B140" s="44" t="s">
        <v>161</v>
      </c>
      <c r="C140" s="44" t="s">
        <v>300</v>
      </c>
      <c r="D140" s="44" t="s">
        <v>972</v>
      </c>
      <c r="E140" s="44"/>
      <c r="F140" s="44"/>
      <c r="G140" s="44" t="s">
        <v>973</v>
      </c>
      <c r="H140" s="44" t="s">
        <v>974</v>
      </c>
      <c r="I140" s="44" t="s">
        <v>975</v>
      </c>
      <c r="J140" s="44"/>
      <c r="K140" s="44" t="s">
        <v>976</v>
      </c>
      <c r="L140" s="49">
        <v>43755</v>
      </c>
      <c r="M140" s="48" t="s">
        <v>977</v>
      </c>
      <c r="N140" s="48" t="s">
        <v>170</v>
      </c>
      <c r="O140" s="48"/>
      <c r="P140" s="48"/>
      <c r="Q140" s="48"/>
      <c r="R140" s="48"/>
      <c r="S140" s="49"/>
      <c r="T140" s="48"/>
      <c r="U140" s="48" t="s">
        <v>978</v>
      </c>
      <c r="V140" s="14">
        <f t="shared" si="18"/>
        <v>1</v>
      </c>
      <c r="W140" s="14">
        <f t="shared" si="19"/>
        <v>1</v>
      </c>
      <c r="X140" s="14">
        <f>IF(AND(V140=1,OR(Painel!$C$6="Todos",D140=Painel!$C$6),AND(OR(Painel!$L$6="Todas",E140=Painel!$L$6),OR(Painel!$C$8="Todos",F140=Painel!$C$8),OR(Painel!$L$8="Todos",G140=Painel!$L$8),OR(Painel!$C$10="",ISNUMBER(SEARCH(SUBSTITUTE(SUBSTITUTE(SUBSTITUTE(Painel!$C$10,"~","~~"),"*","~*"),"?","~?"),A140&amp;" "&amp;H140&amp;" "&amp;I140))))),1,0)</f>
        <v>1</v>
      </c>
      <c r="Y140" s="14">
        <f t="shared" si="20"/>
        <v>0</v>
      </c>
      <c r="Z140" s="15">
        <f>IF(V140=0,"",IF(COUNTIFS(Andamentos!$K$10:$K$2009,"="&amp;SUBSTITUTE(SUBSTITUTE(SUBSTITUTE("P:"&amp;A140,"~","~~"),"*","~*"),"?","~?"),Andamentos!$G$10:$G$2009,1)=0,"",_xlfn.AGGREGATE(14,6,Andamentos!$D$10:$D$2009/((Andamentos!$K$10:$K$2009=AS140)*(Andamentos!$G$10:$G$2009=1)),1)))</f>
        <v>46080</v>
      </c>
      <c r="AA140" s="14">
        <f>IF(Z140="",0,COUNTIFS(Andamentos!$K$10:$K$2009,"="&amp;SUBSTITUTE(SUBSTITUTE(SUBSTITUTE("P:"&amp;A140,"~","~~"),"*","~*"),"?","~?"),Andamentos!$D$10:$D$2009,Z140,Andamentos!$G$10:$G$2009,1))</f>
        <v>1</v>
      </c>
      <c r="AB140" s="14">
        <f>IF(AA140=1,SUMIFS(Andamentos!$L$10:$L$2009,Andamentos!$K$10:$K$2009,"="&amp;SUBSTITUTE(SUBSTITUTE(SUBSTITUTE(AS140,"~","~~"),"*","~*"),"?","~?"),Andamentos!$D$10:$D$2009,Z140,Andamentos!$G$10:$G$2009,1)-9,0)</f>
        <v>130</v>
      </c>
      <c r="AC140" s="14" t="str">
        <f>IF(V140=0,"",IF(AA140&gt;1,"Conferir recebimentos empatados",IF(AB140=0,"Sem atualização",INDEX(Andamentos!$C$10:$C$2009,AB140))))</f>
        <v>Audiência de instrução marcada para 09/04/2026 àS 10H [...] histórico completo em Observações</v>
      </c>
      <c r="AD140" s="14">
        <f ca="1">IF(W140=0,0,IF(MAX(Z140,BD140)=0,1,IF(Configurar!$J$12-INT(MAX(Z140,BD140))&gt;Configurar!$J$11,1,0)))</f>
        <v>1</v>
      </c>
      <c r="AE140" s="16"/>
      <c r="AF140" s="14"/>
      <c r="AG140" s="14"/>
      <c r="AH140" s="14">
        <f>IF(AND(V140=1,COUNTIFS(Valores!$S$10:$S$509,"="&amp;SUBSTITUTE(SUBSTITUTE(SUBSTITUTE("P:"&amp;A140,"~","~~"),"*","~*"),"?","~?"))=1),(IF(ISNA(MATCH(SUBSTITUTE(SUBSTITUTE(SUBSTITUTE("P:"&amp;A140,"~","~~"),"*","~*"),"?","~?"),Valores!$S$10:$S$509,0)),9,INDEX(Valores!$R$10:$R$509,MATCH(SUBSTITUTE(SUBSTITUTE(SUBSTITUTE("P:"&amp;A140,"~","~~"),"*","~*"),"?","~?"),Valores!$S$10:$S$509,0)))-9),0)</f>
        <v>131</v>
      </c>
      <c r="AI140" s="40" t="str">
        <f t="shared" si="21"/>
        <v>Informe a empresa responsável</v>
      </c>
      <c r="AJ140" s="14" t="str">
        <f>IF(AND(X140=1,Y140=1),COUNTIFS($X$10:X140,1,$Y$10:Y140,1),"")</f>
        <v/>
      </c>
      <c r="AK140" s="14">
        <f>IF(X140=1,COUNTIFS($X$10:X140,1),"")</f>
        <v>131</v>
      </c>
      <c r="AL140" s="14">
        <f>IF(AND(V140=1,AND(OR(Painel!$L$6="Todas",E140=Painel!$L$6),OR(Painel!$C$8="Todos",F140=Painel!$C$8),OR(Painel!$L$8="Todos",G140=Painel!$L$8),OR(Painel!$C$10="",ISNUMBER(SEARCH(SUBSTITUTE(SUBSTITUTE(SUBSTITUTE(Painel!$C$10,"~","~~"),"*","~*"),"?","~?"),A140&amp;" "&amp;H140&amp;" "&amp;I140))))),1,0)</f>
        <v>1</v>
      </c>
      <c r="AM140" s="14">
        <f t="shared" si="22"/>
        <v>140</v>
      </c>
      <c r="AN140" s="14"/>
      <c r="AO140" s="14"/>
      <c r="AP140" s="16" t="str">
        <f>IF(AB140=0,"",IF(INDEX(Andamentos!$B$10:$B$2009,AB140)="","",INDEX(Andamentos!$B$10:$B$2009,AB140)))</f>
        <v/>
      </c>
      <c r="AQ140" s="17" t="str">
        <f>IF(AH140=0,"",IF(INDEX(Valores!$B$10:$B$509,AH140)="","",IF(ISNUMBER(INDEX(Valores!$B$10:$B$509,AH140)),INDEX(Valores!$B$10:$B$509,AH140),"")))</f>
        <v/>
      </c>
      <c r="AR140" s="14" t="str">
        <f t="shared" si="23"/>
        <v/>
      </c>
      <c r="AS140" s="14" t="str">
        <f t="shared" si="24"/>
        <v>P:0000935-94.2017.8.17.0810</v>
      </c>
      <c r="AT140" s="27" t="s">
        <v>979</v>
      </c>
      <c r="AU140" s="31" t="s">
        <v>971</v>
      </c>
      <c r="AV140" s="31"/>
      <c r="AW140" s="27"/>
      <c r="AX140" s="27" t="s">
        <v>246</v>
      </c>
      <c r="AY140" s="27"/>
      <c r="AZ140" s="27"/>
      <c r="BA140" s="30" t="str">
        <f t="shared" si="25"/>
        <v>0000935-94.2017.8.17.0810</v>
      </c>
      <c r="BB140" s="30" t="str">
        <f t="shared" si="26"/>
        <v/>
      </c>
      <c r="BC140" s="30">
        <f>IF(X140=0,0,IF(COUNTIFS($X$10:X140,1,$BA$10:BA140,BA140)=1,1,0))</f>
        <v>1</v>
      </c>
      <c r="BD140" s="29">
        <v>46080</v>
      </c>
    </row>
    <row r="141" spans="1:56" ht="42" customHeight="1">
      <c r="A141" s="41" t="s">
        <v>980</v>
      </c>
      <c r="B141" s="44" t="s">
        <v>161</v>
      </c>
      <c r="C141" s="44" t="s">
        <v>300</v>
      </c>
      <c r="D141" s="44" t="s">
        <v>981</v>
      </c>
      <c r="E141" s="44"/>
      <c r="F141" s="44" t="s">
        <v>982</v>
      </c>
      <c r="G141" s="44" t="s">
        <v>238</v>
      </c>
      <c r="H141" s="44" t="s">
        <v>983</v>
      </c>
      <c r="I141" s="44" t="s">
        <v>984</v>
      </c>
      <c r="J141" s="44" t="s">
        <v>985</v>
      </c>
      <c r="K141" s="44" t="s">
        <v>578</v>
      </c>
      <c r="L141" s="49">
        <v>43833</v>
      </c>
      <c r="M141" s="48" t="s">
        <v>986</v>
      </c>
      <c r="N141" s="48" t="s">
        <v>170</v>
      </c>
      <c r="O141" s="48"/>
      <c r="P141" s="48"/>
      <c r="Q141" s="48"/>
      <c r="R141" s="48"/>
      <c r="S141" s="49"/>
      <c r="T141" s="48"/>
      <c r="U141" s="48" t="s">
        <v>987</v>
      </c>
      <c r="V141" s="14">
        <f t="shared" si="18"/>
        <v>1</v>
      </c>
      <c r="W141" s="14">
        <f t="shared" si="19"/>
        <v>1</v>
      </c>
      <c r="X141" s="14">
        <f>IF(AND(V141=1,OR(Painel!$C$6="Todos",D141=Painel!$C$6),AND(OR(Painel!$L$6="Todas",E141=Painel!$L$6),OR(Painel!$C$8="Todos",F141=Painel!$C$8),OR(Painel!$L$8="Todos",G141=Painel!$L$8),OR(Painel!$C$10="",ISNUMBER(SEARCH(SUBSTITUTE(SUBSTITUTE(SUBSTITUTE(Painel!$C$10,"~","~~"),"*","~*"),"?","~?"),A141&amp;" "&amp;H141&amp;" "&amp;I141))))),1,0)</f>
        <v>1</v>
      </c>
      <c r="Y141" s="14">
        <f t="shared" si="20"/>
        <v>0</v>
      </c>
      <c r="Z141" s="15">
        <f>IF(V141=0,"",IF(COUNTIFS(Andamentos!$K$10:$K$2009,"="&amp;SUBSTITUTE(SUBSTITUTE(SUBSTITUTE("P:"&amp;A141,"~","~~"),"*","~*"),"?","~?"),Andamentos!$G$10:$G$2009,1)=0,"",_xlfn.AGGREGATE(14,6,Andamentos!$D$10:$D$2009/((Andamentos!$K$10:$K$2009=AS141)*(Andamentos!$G$10:$G$2009=1)),1)))</f>
        <v>46077</v>
      </c>
      <c r="AA141" s="14">
        <f>IF(Z141="",0,COUNTIFS(Andamentos!$K$10:$K$2009,"="&amp;SUBSTITUTE(SUBSTITUTE(SUBSTITUTE("P:"&amp;A141,"~","~~"),"*","~*"),"?","~?"),Andamentos!$D$10:$D$2009,Z141,Andamentos!$G$10:$G$2009,1))</f>
        <v>1</v>
      </c>
      <c r="AB141" s="14">
        <f>IF(AA141=1,SUMIFS(Andamentos!$L$10:$L$2009,Andamentos!$K$10:$K$2009,"="&amp;SUBSTITUTE(SUBSTITUTE(SUBSTITUTE(AS141,"~","~~"),"*","~*"),"?","~?"),Andamentos!$D$10:$D$2009,Z141,Andamentos!$G$10:$G$2009,1)-9,0)</f>
        <v>131</v>
      </c>
      <c r="AC141" s="14" t="str">
        <f>IF(V141=0,"",IF(AA141&gt;1,"Conferir recebimentos empatados",IF(AB141=0,"Sem atualização",INDEX(Andamentos!$C$10:$C$2009,AB141))))</f>
        <v>O escritório apresentou manifestação em 16/07/2025 pedindo julgamento antecipado da lide e apresentando decisão favorável para Alta proferida em processo similar (Proc. nº 1047703-21.2023.4.01.3400), no qual a empresa e o DNIT também fi guram como partes. 
Processo encontra-se concluso para julgamento desde 29/03/2023
Concessão da liminar com suspensão de pena no dia 24/11/2022</v>
      </c>
      <c r="AD141" s="14">
        <f ca="1">IF(W141=0,0,IF(MAX(Z141,BD141)=0,1,IF(Configurar!$J$12-INT(MAX(Z141,BD141))&gt;Configurar!$J$11,1,0)))</f>
        <v>1</v>
      </c>
      <c r="AE141" s="16"/>
      <c r="AF141" s="14"/>
      <c r="AG141" s="14"/>
      <c r="AH141" s="14">
        <f>IF(AND(V141=1,COUNTIFS(Valores!$S$10:$S$509,"="&amp;SUBSTITUTE(SUBSTITUTE(SUBSTITUTE("P:"&amp;A141,"~","~~"),"*","~*"),"?","~?"))=1),(IF(ISNA(MATCH(SUBSTITUTE(SUBSTITUTE(SUBSTITUTE("P:"&amp;A141,"~","~~"),"*","~*"),"?","~?"),Valores!$S$10:$S$509,0)),9,INDEX(Valores!$R$10:$R$509,MATCH(SUBSTITUTE(SUBSTITUTE(SUBSTITUTE("P:"&amp;A141,"~","~~"),"*","~*"),"?","~?"),Valores!$S$10:$S$509,0)))-9),0)</f>
        <v>132</v>
      </c>
      <c r="AI141" s="40" t="str">
        <f t="shared" si="21"/>
        <v>Informe a empresa responsável</v>
      </c>
      <c r="AJ141" s="14" t="str">
        <f>IF(AND(X141=1,Y141=1),COUNTIFS($X$10:X141,1,$Y$10:Y141,1),"")</f>
        <v/>
      </c>
      <c r="AK141" s="14">
        <f>IF(X141=1,COUNTIFS($X$10:X141,1),"")</f>
        <v>132</v>
      </c>
      <c r="AL141" s="14">
        <f>IF(AND(V141=1,AND(OR(Painel!$L$6="Todas",E141=Painel!$L$6),OR(Painel!$C$8="Todos",F141=Painel!$C$8),OR(Painel!$L$8="Todos",G141=Painel!$L$8),OR(Painel!$C$10="",ISNUMBER(SEARCH(SUBSTITUTE(SUBSTITUTE(SUBSTITUTE(Painel!$C$10,"~","~~"),"*","~*"),"?","~?"),A141&amp;" "&amp;H141&amp;" "&amp;I141))))),1,0)</f>
        <v>1</v>
      </c>
      <c r="AM141" s="14">
        <f t="shared" si="22"/>
        <v>141</v>
      </c>
      <c r="AN141" s="14"/>
      <c r="AO141" s="14"/>
      <c r="AP141" s="16" t="str">
        <f>IF(AB141=0,"",IF(INDEX(Andamentos!$B$10:$B$2009,AB141)="","",INDEX(Andamentos!$B$10:$B$2009,AB141)))</f>
        <v/>
      </c>
      <c r="AQ141" s="17" t="str">
        <f>IF(AH141=0,"",IF(INDEX(Valores!$B$10:$B$509,AH141)="","",IF(ISNUMBER(INDEX(Valores!$B$10:$B$509,AH141)),INDEX(Valores!$B$10:$B$509,AH141),"")))</f>
        <v/>
      </c>
      <c r="AR141" s="14" t="str">
        <f t="shared" si="23"/>
        <v/>
      </c>
      <c r="AS141" s="14" t="str">
        <f t="shared" si="24"/>
        <v>P:1057475-42.2022.4.01.3400 [BRA-001]</v>
      </c>
      <c r="AT141" s="27" t="s">
        <v>988</v>
      </c>
      <c r="AU141" s="31" t="s">
        <v>989</v>
      </c>
      <c r="AV141" s="31" t="s">
        <v>990</v>
      </c>
      <c r="AW141" s="27" t="s">
        <v>316</v>
      </c>
      <c r="AX141" s="27" t="s">
        <v>991</v>
      </c>
      <c r="AY141" s="27"/>
      <c r="AZ141" s="27"/>
      <c r="BA141" s="30" t="str">
        <f t="shared" si="25"/>
        <v>1057475-42.2022.4.01.3400</v>
      </c>
      <c r="BB141" s="30" t="str">
        <f t="shared" si="26"/>
        <v>Revisar repetição</v>
      </c>
      <c r="BC141" s="30">
        <f>IF(X141=0,0,IF(COUNTIFS($X$10:X141,1,$BA$10:BA141,BA141)=1,1,0))</f>
        <v>1</v>
      </c>
      <c r="BD141" s="29">
        <v>46077</v>
      </c>
    </row>
    <row r="142" spans="1:56" ht="42" customHeight="1">
      <c r="A142" s="41" t="s">
        <v>992</v>
      </c>
      <c r="B142" s="44" t="s">
        <v>161</v>
      </c>
      <c r="C142" s="44" t="s">
        <v>300</v>
      </c>
      <c r="D142" s="44" t="s">
        <v>981</v>
      </c>
      <c r="E142" s="44"/>
      <c r="F142" s="44"/>
      <c r="G142" s="44" t="s">
        <v>993</v>
      </c>
      <c r="H142" s="44" t="s">
        <v>994</v>
      </c>
      <c r="I142" s="44" t="s">
        <v>995</v>
      </c>
      <c r="J142" s="44"/>
      <c r="K142" s="44" t="s">
        <v>578</v>
      </c>
      <c r="L142" s="49">
        <v>44974</v>
      </c>
      <c r="M142" s="48" t="s">
        <v>996</v>
      </c>
      <c r="N142" s="48" t="s">
        <v>170</v>
      </c>
      <c r="O142" s="48"/>
      <c r="P142" s="48"/>
      <c r="Q142" s="48"/>
      <c r="R142" s="48"/>
      <c r="S142" s="49"/>
      <c r="T142" s="48"/>
      <c r="U142" s="48" t="s">
        <v>997</v>
      </c>
      <c r="V142" s="14">
        <f t="shared" si="18"/>
        <v>1</v>
      </c>
      <c r="W142" s="14">
        <f t="shared" si="19"/>
        <v>1</v>
      </c>
      <c r="X142" s="14">
        <f>IF(AND(V142=1,OR(Painel!$C$6="Todos",D142=Painel!$C$6),AND(OR(Painel!$L$6="Todas",E142=Painel!$L$6),OR(Painel!$C$8="Todos",F142=Painel!$C$8),OR(Painel!$L$8="Todos",G142=Painel!$L$8),OR(Painel!$C$10="",ISNUMBER(SEARCH(SUBSTITUTE(SUBSTITUTE(SUBSTITUTE(Painel!$C$10,"~","~~"),"*","~*"),"?","~?"),A142&amp;" "&amp;H142&amp;" "&amp;I142))))),1,0)</f>
        <v>1</v>
      </c>
      <c r="Y142" s="14">
        <f t="shared" si="20"/>
        <v>0</v>
      </c>
      <c r="Z142" s="15">
        <f>IF(V142=0,"",IF(COUNTIFS(Andamentos!$K$10:$K$2009,"="&amp;SUBSTITUTE(SUBSTITUTE(SUBSTITUTE("P:"&amp;A142,"~","~~"),"*","~*"),"?","~?"),Andamentos!$G$10:$G$2009,1)=0,"",_xlfn.AGGREGATE(14,6,Andamentos!$D$10:$D$2009/((Andamentos!$K$10:$K$2009=AS142)*(Andamentos!$G$10:$G$2009=1)),1)))</f>
        <v>46077</v>
      </c>
      <c r="AA142" s="14">
        <f>IF(Z142="",0,COUNTIFS(Andamentos!$K$10:$K$2009,"="&amp;SUBSTITUTE(SUBSTITUTE(SUBSTITUTE("P:"&amp;A142,"~","~~"),"*","~*"),"?","~?"),Andamentos!$D$10:$D$2009,Z142,Andamentos!$G$10:$G$2009,1))</f>
        <v>1</v>
      </c>
      <c r="AB142" s="14">
        <f>IF(AA142=1,SUMIFS(Andamentos!$L$10:$L$2009,Andamentos!$K$10:$K$2009,"="&amp;SUBSTITUTE(SUBSTITUTE(SUBSTITUTE(AS142,"~","~~"),"*","~*"),"?","~?"),Andamentos!$D$10:$D$2009,Z142,Andamentos!$G$10:$G$2009,1)-9,0)</f>
        <v>132</v>
      </c>
      <c r="AC142" s="14" t="str">
        <f>IF(V142=0,"",IF(AA142&gt;1,"Conferir recebimentos empatados",IF(AB142=0,"Sem atualização",INDEX(Andamentos!$C$10:$C$2009,AB142))))</f>
        <v>18/06/2025 - Petição intercorrente juntada por DNIT, pedindo prioridade na apreciação do processo, no entanto, a petição ainda consta não apreciada.
O processo encontra-se concluso para decisão desde 29/03/2023.</v>
      </c>
      <c r="AD142" s="14">
        <f ca="1">IF(W142=0,0,IF(MAX(Z142,BD142)=0,1,IF(Configurar!$J$12-INT(MAX(Z142,BD142))&gt;Configurar!$J$11,1,0)))</f>
        <v>1</v>
      </c>
      <c r="AE142" s="16"/>
      <c r="AF142" s="14"/>
      <c r="AG142" s="14"/>
      <c r="AH142" s="14">
        <f>IF(AND(V142=1,COUNTIFS(Valores!$S$10:$S$509,"="&amp;SUBSTITUTE(SUBSTITUTE(SUBSTITUTE("P:"&amp;A142,"~","~~"),"*","~*"),"?","~?"))=1),(IF(ISNA(MATCH(SUBSTITUTE(SUBSTITUTE(SUBSTITUTE("P:"&amp;A142,"~","~~"),"*","~*"),"?","~?"),Valores!$S$10:$S$509,0)),9,INDEX(Valores!$R$10:$R$509,MATCH(SUBSTITUTE(SUBSTITUTE(SUBSTITUTE("P:"&amp;A142,"~","~~"),"*","~*"),"?","~?"),Valores!$S$10:$S$509,0)))-9),0)</f>
        <v>133</v>
      </c>
      <c r="AI142" s="40" t="str">
        <f t="shared" si="21"/>
        <v>Informe a empresa responsável</v>
      </c>
      <c r="AJ142" s="14" t="str">
        <f>IF(AND(X142=1,Y142=1),COUNTIFS($X$10:X142,1,$Y$10:Y142,1),"")</f>
        <v/>
      </c>
      <c r="AK142" s="14">
        <f>IF(X142=1,COUNTIFS($X$10:X142,1),"")</f>
        <v>133</v>
      </c>
      <c r="AL142" s="14">
        <f>IF(AND(V142=1,AND(OR(Painel!$L$6="Todas",E142=Painel!$L$6),OR(Painel!$C$8="Todos",F142=Painel!$C$8),OR(Painel!$L$8="Todos",G142=Painel!$L$8),OR(Painel!$C$10="",ISNUMBER(SEARCH(SUBSTITUTE(SUBSTITUTE(SUBSTITUTE(Painel!$C$10,"~","~~"),"*","~*"),"?","~?"),A142&amp;" "&amp;H142&amp;" "&amp;I142))))),1,0)</f>
        <v>1</v>
      </c>
      <c r="AM142" s="14">
        <f t="shared" si="22"/>
        <v>142</v>
      </c>
      <c r="AN142" s="14"/>
      <c r="AO142" s="14"/>
      <c r="AP142" s="16">
        <f>IF(AB142=0,"",IF(INDEX(Andamentos!$B$10:$B$2009,AB142)="","",INDEX(Andamentos!$B$10:$B$2009,AB142)))</f>
        <v>45826</v>
      </c>
      <c r="AQ142" s="17" t="str">
        <f>IF(AH142=0,"",IF(INDEX(Valores!$B$10:$B$509,AH142)="","",IF(ISNUMBER(INDEX(Valores!$B$10:$B$509,AH142)),INDEX(Valores!$B$10:$B$509,AH142),"")))</f>
        <v/>
      </c>
      <c r="AR142" s="14" t="str">
        <f t="shared" si="23"/>
        <v/>
      </c>
      <c r="AS142" s="14" t="str">
        <f t="shared" si="24"/>
        <v>P:1005926-71.2023.4.01.0000 [BRA-002]</v>
      </c>
      <c r="AT142" s="27" t="s">
        <v>998</v>
      </c>
      <c r="AU142" s="31" t="s">
        <v>999</v>
      </c>
      <c r="AV142" s="31"/>
      <c r="AW142" s="27"/>
      <c r="AX142" s="27" t="s">
        <v>246</v>
      </c>
      <c r="AY142" s="27"/>
      <c r="AZ142" s="27"/>
      <c r="BA142" s="30" t="str">
        <f t="shared" si="25"/>
        <v>1005926-71.2023.4.01.0000</v>
      </c>
      <c r="BB142" s="30" t="str">
        <f t="shared" si="26"/>
        <v>Revisar repetição</v>
      </c>
      <c r="BC142" s="30">
        <f>IF(X142=0,0,IF(COUNTIFS($X$10:X142,1,$BA$10:BA142,BA142)=1,1,0))</f>
        <v>1</v>
      </c>
      <c r="BD142" s="29">
        <v>46077</v>
      </c>
    </row>
    <row r="143" spans="1:56" ht="42" customHeight="1">
      <c r="A143" s="41" t="s">
        <v>1000</v>
      </c>
      <c r="B143" s="44" t="s">
        <v>161</v>
      </c>
      <c r="C143" s="44" t="s">
        <v>300</v>
      </c>
      <c r="D143" s="44" t="s">
        <v>1001</v>
      </c>
      <c r="E143" s="44"/>
      <c r="F143" s="44" t="s">
        <v>982</v>
      </c>
      <c r="G143" s="44" t="s">
        <v>238</v>
      </c>
      <c r="H143" s="44" t="s">
        <v>983</v>
      </c>
      <c r="I143" s="44" t="s">
        <v>1002</v>
      </c>
      <c r="J143" s="44" t="s">
        <v>1003</v>
      </c>
      <c r="K143" s="44" t="s">
        <v>578</v>
      </c>
      <c r="L143" s="49">
        <v>44082</v>
      </c>
      <c r="M143" s="48" t="s">
        <v>1004</v>
      </c>
      <c r="N143" s="48" t="s">
        <v>376</v>
      </c>
      <c r="O143" s="48"/>
      <c r="P143" s="48"/>
      <c r="Q143" s="48" t="s">
        <v>377</v>
      </c>
      <c r="R143" s="48"/>
      <c r="S143" s="49"/>
      <c r="T143" s="48"/>
      <c r="U143" s="48" t="s">
        <v>1005</v>
      </c>
      <c r="V143" s="14">
        <f t="shared" si="18"/>
        <v>1</v>
      </c>
      <c r="W143" s="14">
        <f t="shared" si="19"/>
        <v>1</v>
      </c>
      <c r="X143" s="14">
        <f>IF(AND(V143=1,OR(Painel!$C$6="Todos",D143=Painel!$C$6),AND(OR(Painel!$L$6="Todas",E143=Painel!$L$6),OR(Painel!$C$8="Todos",F143=Painel!$C$8),OR(Painel!$L$8="Todos",G143=Painel!$L$8),OR(Painel!$C$10="",ISNUMBER(SEARCH(SUBSTITUTE(SUBSTITUTE(SUBSTITUTE(Painel!$C$10,"~","~~"),"*","~*"),"?","~?"),A143&amp;" "&amp;H143&amp;" "&amp;I143))))),1,0)</f>
        <v>1</v>
      </c>
      <c r="Y143" s="14">
        <f t="shared" si="20"/>
        <v>0</v>
      </c>
      <c r="Z143" s="15">
        <f>IF(V143=0,"",IF(COUNTIFS(Andamentos!$K$10:$K$2009,"="&amp;SUBSTITUTE(SUBSTITUTE(SUBSTITUTE("P:"&amp;A143,"~","~~"),"*","~*"),"?","~?"),Andamentos!$G$10:$G$2009,1)=0,"",_xlfn.AGGREGATE(14,6,Andamentos!$D$10:$D$2009/((Andamentos!$K$10:$K$2009=AS143)*(Andamentos!$G$10:$G$2009=1)),1)))</f>
        <v>46287</v>
      </c>
      <c r="AA143" s="14">
        <f>IF(Z143="",0,COUNTIFS(Andamentos!$K$10:$K$2009,"="&amp;SUBSTITUTE(SUBSTITUTE(SUBSTITUTE("P:"&amp;A143,"~","~~"),"*","~*"),"?","~?"),Andamentos!$D$10:$D$2009,Z143,Andamentos!$G$10:$G$2009,1))</f>
        <v>1</v>
      </c>
      <c r="AB143" s="14">
        <f>IF(AA143=1,SUMIFS(Andamentos!$L$10:$L$2009,Andamentos!$K$10:$K$2009,"="&amp;SUBSTITUTE(SUBSTITUTE(SUBSTITUTE(AS143,"~","~~"),"*","~*"),"?","~?"),Andamentos!$D$10:$D$2009,Z143,Andamentos!$G$10:$G$2009,1)-9,0)</f>
        <v>133</v>
      </c>
      <c r="AC143" s="14" t="str">
        <f>IF(V143=0,"",IF(AA143&gt;1,"Conferir recebimentos empatados",IF(AB143=0,"Sem atualização",INDEX(Andamentos!$C$10:$C$2009,AB143))))</f>
        <v>22/09/2026 - obtivemos êxito integral no processo da Alta Engenharia x DNIT (BR 156/AP - Lote 2) [...] histórico completo em Observações</v>
      </c>
      <c r="AD143" s="14">
        <f ca="1">IF(W143=0,0,IF(MAX(Z143,BD143)=0,1,IF(Configurar!$J$12-INT(MAX(Z143,BD143))&gt;Configurar!$J$11,1,0)))</f>
        <v>0</v>
      </c>
      <c r="AE143" s="16"/>
      <c r="AF143" s="14"/>
      <c r="AG143" s="14"/>
      <c r="AH143" s="14">
        <f>IF(AND(V143=1,COUNTIFS(Valores!$S$10:$S$509,"="&amp;SUBSTITUTE(SUBSTITUTE(SUBSTITUTE("P:"&amp;A143,"~","~~"),"*","~*"),"?","~?"))=1),(IF(ISNA(MATCH(SUBSTITUTE(SUBSTITUTE(SUBSTITUTE("P:"&amp;A143,"~","~~"),"*","~*"),"?","~?"),Valores!$S$10:$S$509,0)),9,INDEX(Valores!$R$10:$R$509,MATCH(SUBSTITUTE(SUBSTITUTE(SUBSTITUTE("P:"&amp;A143,"~","~~"),"*","~*"),"?","~?"),Valores!$S$10:$S$509,0)))-9),0)</f>
        <v>134</v>
      </c>
      <c r="AI143" s="40" t="str">
        <f t="shared" si="21"/>
        <v>Informe a empresa responsável</v>
      </c>
      <c r="AJ143" s="14" t="str">
        <f>IF(AND(X143=1,Y143=1),COUNTIFS($X$10:X143,1,$Y$10:Y143,1),"")</f>
        <v/>
      </c>
      <c r="AK143" s="14">
        <f>IF(X143=1,COUNTIFS($X$10:X143,1),"")</f>
        <v>134</v>
      </c>
      <c r="AL143" s="14">
        <f>IF(AND(V143=1,AND(OR(Painel!$L$6="Todas",E143=Painel!$L$6),OR(Painel!$C$8="Todos",F143=Painel!$C$8),OR(Painel!$L$8="Todos",G143=Painel!$L$8),OR(Painel!$C$10="",ISNUMBER(SEARCH(SUBSTITUTE(SUBSTITUTE(SUBSTITUTE(Painel!$C$10,"~","~~"),"*","~*"),"?","~?"),A143&amp;" "&amp;H143&amp;" "&amp;I143))))),1,0)</f>
        <v>1</v>
      </c>
      <c r="AM143" s="14">
        <f t="shared" si="22"/>
        <v>143</v>
      </c>
      <c r="AN143" s="14"/>
      <c r="AO143" s="14"/>
      <c r="AP143" s="16">
        <f>IF(AB143=0,"",IF(INDEX(Andamentos!$B$10:$B$2009,AB143)="","",INDEX(Andamentos!$B$10:$B$2009,AB143)))</f>
        <v>46287</v>
      </c>
      <c r="AQ143" s="17" t="str">
        <f>IF(AH143=0,"",IF(INDEX(Valores!$B$10:$B$509,AH143)="","",IF(ISNUMBER(INDEX(Valores!$B$10:$B$509,AH143)),INDEX(Valores!$B$10:$B$509,AH143),"")))</f>
        <v/>
      </c>
      <c r="AR143" s="14" t="str">
        <f t="shared" si="23"/>
        <v/>
      </c>
      <c r="AS143" s="14" t="str">
        <f t="shared" si="24"/>
        <v>P:1047703-21.2023.4.01.3400</v>
      </c>
      <c r="AT143" s="27" t="s">
        <v>1006</v>
      </c>
      <c r="AU143" s="31" t="s">
        <v>1000</v>
      </c>
      <c r="AV143" s="31" t="s">
        <v>1007</v>
      </c>
      <c r="AW143" s="27" t="s">
        <v>316</v>
      </c>
      <c r="AX143" s="27" t="s">
        <v>1008</v>
      </c>
      <c r="AY143" s="27"/>
      <c r="AZ143" s="27"/>
      <c r="BA143" s="30" t="str">
        <f t="shared" si="25"/>
        <v>1047703-21.2023.4.01.3400</v>
      </c>
      <c r="BB143" s="30" t="str">
        <f t="shared" si="26"/>
        <v/>
      </c>
      <c r="BC143" s="30">
        <f>IF(X143=0,0,IF(COUNTIFS($X$10:X143,1,$BA$10:BA143,BA143)=1,1,0))</f>
        <v>1</v>
      </c>
      <c r="BD143" s="29">
        <v>46287</v>
      </c>
    </row>
    <row r="144" spans="1:56" ht="42" customHeight="1">
      <c r="A144" s="41" t="s">
        <v>1009</v>
      </c>
      <c r="B144" s="44" t="s">
        <v>161</v>
      </c>
      <c r="C144" s="44" t="s">
        <v>300</v>
      </c>
      <c r="D144" s="44" t="s">
        <v>1001</v>
      </c>
      <c r="E144" s="44"/>
      <c r="F144" s="44" t="s">
        <v>982</v>
      </c>
      <c r="G144" s="44" t="s">
        <v>238</v>
      </c>
      <c r="H144" s="44" t="s">
        <v>983</v>
      </c>
      <c r="I144" s="44" t="s">
        <v>984</v>
      </c>
      <c r="J144" s="44" t="s">
        <v>985</v>
      </c>
      <c r="K144" s="44" t="s">
        <v>578</v>
      </c>
      <c r="L144" s="49">
        <v>43833</v>
      </c>
      <c r="M144" s="48" t="s">
        <v>986</v>
      </c>
      <c r="N144" s="48" t="s">
        <v>170</v>
      </c>
      <c r="O144" s="48"/>
      <c r="P144" s="48"/>
      <c r="Q144" s="48"/>
      <c r="R144" s="48"/>
      <c r="S144" s="49"/>
      <c r="T144" s="48"/>
      <c r="U144" s="48" t="s">
        <v>1010</v>
      </c>
      <c r="V144" s="14">
        <f t="shared" si="18"/>
        <v>1</v>
      </c>
      <c r="W144" s="14">
        <f t="shared" si="19"/>
        <v>1</v>
      </c>
      <c r="X144" s="14">
        <f>IF(AND(V144=1,OR(Painel!$C$6="Todos",D144=Painel!$C$6),AND(OR(Painel!$L$6="Todas",E144=Painel!$L$6),OR(Painel!$C$8="Todos",F144=Painel!$C$8),OR(Painel!$L$8="Todos",G144=Painel!$L$8),OR(Painel!$C$10="",ISNUMBER(SEARCH(SUBSTITUTE(SUBSTITUTE(SUBSTITUTE(Painel!$C$10,"~","~~"),"*","~*"),"?","~?"),A144&amp;" "&amp;H144&amp;" "&amp;I144))))),1,0)</f>
        <v>1</v>
      </c>
      <c r="Y144" s="14">
        <f t="shared" si="20"/>
        <v>0</v>
      </c>
      <c r="Z144" s="15">
        <f>IF(V144=0,"",IF(COUNTIFS(Andamentos!$K$10:$K$2009,"="&amp;SUBSTITUTE(SUBSTITUTE(SUBSTITUTE("P:"&amp;A144,"~","~~"),"*","~*"),"?","~?"),Andamentos!$G$10:$G$2009,1)=0,"",_xlfn.AGGREGATE(14,6,Andamentos!$D$10:$D$2009/((Andamentos!$K$10:$K$2009=AS144)*(Andamentos!$G$10:$G$2009=1)),1)))</f>
        <v>46077</v>
      </c>
      <c r="AA144" s="14">
        <f>IF(Z144="",0,COUNTIFS(Andamentos!$K$10:$K$2009,"="&amp;SUBSTITUTE(SUBSTITUTE(SUBSTITUTE("P:"&amp;A144,"~","~~"),"*","~*"),"?","~?"),Andamentos!$D$10:$D$2009,Z144,Andamentos!$G$10:$G$2009,1))</f>
        <v>1</v>
      </c>
      <c r="AB144" s="14">
        <f>IF(AA144=1,SUMIFS(Andamentos!$L$10:$L$2009,Andamentos!$K$10:$K$2009,"="&amp;SUBSTITUTE(SUBSTITUTE(SUBSTITUTE(AS144,"~","~~"),"*","~*"),"?","~?"),Andamentos!$D$10:$D$2009,Z144,Andamentos!$G$10:$G$2009,1)-9,0)</f>
        <v>134</v>
      </c>
      <c r="AC144" s="14" t="str">
        <f>IF(V144=0,"",IF(AA144&gt;1,"Conferir recebimentos empatados",IF(AB144=0,"Sem atualização",INDEX(Andamentos!$C$10:$C$2009,AB144))))</f>
        <v>O escritório apresentou manifestação em 16/07/2025 pedindo julgamento antecipado da lide e apresentando decisão favorável para Alta proferida em processo similar (Proc. nº 1047703-21.2023.4.01.3400), no qual a empresa e o DNIT também fi guram como partes. 
Processo encontra-se concluso para julgamento desde 29/03/2023
Concessão da liminar com suspensão de pena no dia 24/11/2022</v>
      </c>
      <c r="AD144" s="14">
        <f ca="1">IF(W144=0,0,IF(MAX(Z144,BD144)=0,1,IF(Configurar!$J$12-INT(MAX(Z144,BD144))&gt;Configurar!$J$11,1,0)))</f>
        <v>1</v>
      </c>
      <c r="AE144" s="16"/>
      <c r="AF144" s="14"/>
      <c r="AG144" s="14"/>
      <c r="AH144" s="14">
        <f>IF(AND(V144=1,COUNTIFS(Valores!$S$10:$S$509,"="&amp;SUBSTITUTE(SUBSTITUTE(SUBSTITUTE("P:"&amp;A144,"~","~~"),"*","~*"),"?","~?"))=1),(IF(ISNA(MATCH(SUBSTITUTE(SUBSTITUTE(SUBSTITUTE("P:"&amp;A144,"~","~~"),"*","~*"),"?","~?"),Valores!$S$10:$S$509,0)),9,INDEX(Valores!$R$10:$R$509,MATCH(SUBSTITUTE(SUBSTITUTE(SUBSTITUTE("P:"&amp;A144,"~","~~"),"*","~*"),"?","~?"),Valores!$S$10:$S$509,0)))-9),0)</f>
        <v>135</v>
      </c>
      <c r="AI144" s="40" t="str">
        <f t="shared" si="21"/>
        <v>Informe a empresa responsável</v>
      </c>
      <c r="AJ144" s="14" t="str">
        <f>IF(AND(X144=1,Y144=1),COUNTIFS($X$10:X144,1,$Y$10:Y144,1),"")</f>
        <v/>
      </c>
      <c r="AK144" s="14">
        <f>IF(X144=1,COUNTIFS($X$10:X144,1),"")</f>
        <v>135</v>
      </c>
      <c r="AL144" s="14">
        <f>IF(AND(V144=1,AND(OR(Painel!$L$6="Todas",E144=Painel!$L$6),OR(Painel!$C$8="Todos",F144=Painel!$C$8),OR(Painel!$L$8="Todos",G144=Painel!$L$8),OR(Painel!$C$10="",ISNUMBER(SEARCH(SUBSTITUTE(SUBSTITUTE(SUBSTITUTE(Painel!$C$10,"~","~~"),"*","~*"),"?","~?"),A144&amp;" "&amp;H144&amp;" "&amp;I144))))),1,0)</f>
        <v>1</v>
      </c>
      <c r="AM144" s="14">
        <f t="shared" si="22"/>
        <v>144</v>
      </c>
      <c r="AN144" s="14"/>
      <c r="AO144" s="14"/>
      <c r="AP144" s="16" t="str">
        <f>IF(AB144=0,"",IF(INDEX(Andamentos!$B$10:$B$2009,AB144)="","",INDEX(Andamentos!$B$10:$B$2009,AB144)))</f>
        <v/>
      </c>
      <c r="AQ144" s="17" t="str">
        <f>IF(AH144=0,"",IF(INDEX(Valores!$B$10:$B$509,AH144)="","",IF(ISNUMBER(INDEX(Valores!$B$10:$B$509,AH144)),INDEX(Valores!$B$10:$B$509,AH144),"")))</f>
        <v/>
      </c>
      <c r="AR144" s="14" t="str">
        <f t="shared" si="23"/>
        <v/>
      </c>
      <c r="AS144" s="14" t="str">
        <f t="shared" si="24"/>
        <v>P:1057475-42.2022.4.01.3400 [CAV-002]</v>
      </c>
      <c r="AT144" s="27" t="s">
        <v>1011</v>
      </c>
      <c r="AU144" s="31" t="s">
        <v>989</v>
      </c>
      <c r="AV144" s="31" t="s">
        <v>990</v>
      </c>
      <c r="AW144" s="27" t="s">
        <v>316</v>
      </c>
      <c r="AX144" s="27" t="s">
        <v>991</v>
      </c>
      <c r="AY144" s="27"/>
      <c r="AZ144" s="27"/>
      <c r="BA144" s="30" t="str">
        <f t="shared" si="25"/>
        <v>1057475-42.2022.4.01.3400</v>
      </c>
      <c r="BB144" s="30" t="str">
        <f t="shared" si="26"/>
        <v>Revisar repetição</v>
      </c>
      <c r="BC144" s="30">
        <f>IF(X144=0,0,IF(COUNTIFS($X$10:X144,1,$BA$10:BA144,BA144)=1,1,0))</f>
        <v>0</v>
      </c>
      <c r="BD144" s="29">
        <v>46077</v>
      </c>
    </row>
    <row r="145" spans="1:56" ht="42" customHeight="1">
      <c r="A145" s="41" t="s">
        <v>1012</v>
      </c>
      <c r="B145" s="44" t="s">
        <v>161</v>
      </c>
      <c r="C145" s="44" t="s">
        <v>300</v>
      </c>
      <c r="D145" s="44" t="s">
        <v>1001</v>
      </c>
      <c r="E145" s="44"/>
      <c r="F145" s="44"/>
      <c r="G145" s="44" t="s">
        <v>993</v>
      </c>
      <c r="H145" s="44" t="s">
        <v>994</v>
      </c>
      <c r="I145" s="44" t="s">
        <v>995</v>
      </c>
      <c r="J145" s="44"/>
      <c r="K145" s="44" t="s">
        <v>578</v>
      </c>
      <c r="L145" s="49">
        <v>44974</v>
      </c>
      <c r="M145" s="48" t="s">
        <v>996</v>
      </c>
      <c r="N145" s="48" t="s">
        <v>170</v>
      </c>
      <c r="O145" s="48"/>
      <c r="P145" s="48"/>
      <c r="Q145" s="48"/>
      <c r="R145" s="48"/>
      <c r="S145" s="49"/>
      <c r="T145" s="48"/>
      <c r="U145" s="48" t="s">
        <v>1013</v>
      </c>
      <c r="V145" s="14">
        <f t="shared" si="18"/>
        <v>1</v>
      </c>
      <c r="W145" s="14">
        <f t="shared" si="19"/>
        <v>1</v>
      </c>
      <c r="X145" s="14">
        <f>IF(AND(V145=1,OR(Painel!$C$6="Todos",D145=Painel!$C$6),AND(OR(Painel!$L$6="Todas",E145=Painel!$L$6),OR(Painel!$C$8="Todos",F145=Painel!$C$8),OR(Painel!$L$8="Todos",G145=Painel!$L$8),OR(Painel!$C$10="",ISNUMBER(SEARCH(SUBSTITUTE(SUBSTITUTE(SUBSTITUTE(Painel!$C$10,"~","~~"),"*","~*"),"?","~?"),A145&amp;" "&amp;H145&amp;" "&amp;I145))))),1,0)</f>
        <v>1</v>
      </c>
      <c r="Y145" s="14">
        <f t="shared" si="20"/>
        <v>0</v>
      </c>
      <c r="Z145" s="15">
        <f>IF(V145=0,"",IF(COUNTIFS(Andamentos!$K$10:$K$2009,"="&amp;SUBSTITUTE(SUBSTITUTE(SUBSTITUTE("P:"&amp;A145,"~","~~"),"*","~*"),"?","~?"),Andamentos!$G$10:$G$2009,1)=0,"",_xlfn.AGGREGATE(14,6,Andamentos!$D$10:$D$2009/((Andamentos!$K$10:$K$2009=AS145)*(Andamentos!$G$10:$G$2009=1)),1)))</f>
        <v>46077</v>
      </c>
      <c r="AA145" s="14">
        <f>IF(Z145="",0,COUNTIFS(Andamentos!$K$10:$K$2009,"="&amp;SUBSTITUTE(SUBSTITUTE(SUBSTITUTE("P:"&amp;A145,"~","~~"),"*","~*"),"?","~?"),Andamentos!$D$10:$D$2009,Z145,Andamentos!$G$10:$G$2009,1))</f>
        <v>1</v>
      </c>
      <c r="AB145" s="14">
        <f>IF(AA145=1,SUMIFS(Andamentos!$L$10:$L$2009,Andamentos!$K$10:$K$2009,"="&amp;SUBSTITUTE(SUBSTITUTE(SUBSTITUTE(AS145,"~","~~"),"*","~*"),"?","~?"),Andamentos!$D$10:$D$2009,Z145,Andamentos!$G$10:$G$2009,1)-9,0)</f>
        <v>135</v>
      </c>
      <c r="AC145" s="14" t="str">
        <f>IF(V145=0,"",IF(AA145&gt;1,"Conferir recebimentos empatados",IF(AB145=0,"Sem atualização",INDEX(Andamentos!$C$10:$C$2009,AB145))))</f>
        <v>18/06/2025 - Petição intercorrente juntada por DNIT, pedindo prioridade na apreciação do processo, no entanto, a petição ainda consta não apreciada.
O processo encontra-se concluso para decisão desde 29/03/2023.</v>
      </c>
      <c r="AD145" s="14">
        <f ca="1">IF(W145=0,0,IF(MAX(Z145,BD145)=0,1,IF(Configurar!$J$12-INT(MAX(Z145,BD145))&gt;Configurar!$J$11,1,0)))</f>
        <v>1</v>
      </c>
      <c r="AE145" s="16"/>
      <c r="AF145" s="14"/>
      <c r="AG145" s="14"/>
      <c r="AH145" s="14">
        <f>IF(AND(V145=1,COUNTIFS(Valores!$S$10:$S$509,"="&amp;SUBSTITUTE(SUBSTITUTE(SUBSTITUTE("P:"&amp;A145,"~","~~"),"*","~*"),"?","~?"))=1),(IF(ISNA(MATCH(SUBSTITUTE(SUBSTITUTE(SUBSTITUTE("P:"&amp;A145,"~","~~"),"*","~*"),"?","~?"),Valores!$S$10:$S$509,0)),9,INDEX(Valores!$R$10:$R$509,MATCH(SUBSTITUTE(SUBSTITUTE(SUBSTITUTE("P:"&amp;A145,"~","~~"),"*","~*"),"?","~?"),Valores!$S$10:$S$509,0)))-9),0)</f>
        <v>136</v>
      </c>
      <c r="AI145" s="40" t="str">
        <f t="shared" si="21"/>
        <v>Informe a empresa responsável</v>
      </c>
      <c r="AJ145" s="14" t="str">
        <f>IF(AND(X145=1,Y145=1),COUNTIFS($X$10:X145,1,$Y$10:Y145,1),"")</f>
        <v/>
      </c>
      <c r="AK145" s="14">
        <f>IF(X145=1,COUNTIFS($X$10:X145,1),"")</f>
        <v>136</v>
      </c>
      <c r="AL145" s="14">
        <f>IF(AND(V145=1,AND(OR(Painel!$L$6="Todas",E145=Painel!$L$6),OR(Painel!$C$8="Todos",F145=Painel!$C$8),OR(Painel!$L$8="Todos",G145=Painel!$L$8),OR(Painel!$C$10="",ISNUMBER(SEARCH(SUBSTITUTE(SUBSTITUTE(SUBSTITUTE(Painel!$C$10,"~","~~"),"*","~*"),"?","~?"),A145&amp;" "&amp;H145&amp;" "&amp;I145))))),1,0)</f>
        <v>1</v>
      </c>
      <c r="AM145" s="14">
        <f t="shared" si="22"/>
        <v>145</v>
      </c>
      <c r="AN145" s="14"/>
      <c r="AO145" s="14"/>
      <c r="AP145" s="16">
        <f>IF(AB145=0,"",IF(INDEX(Andamentos!$B$10:$B$2009,AB145)="","",INDEX(Andamentos!$B$10:$B$2009,AB145)))</f>
        <v>45826</v>
      </c>
      <c r="AQ145" s="17" t="str">
        <f>IF(AH145=0,"",IF(INDEX(Valores!$B$10:$B$509,AH145)="","",IF(ISNUMBER(INDEX(Valores!$B$10:$B$509,AH145)),INDEX(Valores!$B$10:$B$509,AH145),"")))</f>
        <v/>
      </c>
      <c r="AR145" s="14" t="str">
        <f t="shared" si="23"/>
        <v/>
      </c>
      <c r="AS145" s="14" t="str">
        <f t="shared" si="24"/>
        <v>P:1005926-71.2023.4.01.0000 [CAV-003]</v>
      </c>
      <c r="AT145" s="27" t="s">
        <v>1014</v>
      </c>
      <c r="AU145" s="31" t="s">
        <v>999</v>
      </c>
      <c r="AV145" s="31"/>
      <c r="AW145" s="27"/>
      <c r="AX145" s="27" t="s">
        <v>246</v>
      </c>
      <c r="AY145" s="27"/>
      <c r="AZ145" s="27"/>
      <c r="BA145" s="30" t="str">
        <f t="shared" si="25"/>
        <v>1005926-71.2023.4.01.0000</v>
      </c>
      <c r="BB145" s="30" t="str">
        <f t="shared" si="26"/>
        <v>Revisar repetição</v>
      </c>
      <c r="BC145" s="30">
        <f>IF(X145=0,0,IF(COUNTIFS($X$10:X145,1,$BA$10:BA145,BA145)=1,1,0))</f>
        <v>0</v>
      </c>
      <c r="BD145" s="29">
        <v>46077</v>
      </c>
    </row>
    <row r="146" spans="1:56" ht="42" customHeight="1">
      <c r="A146" s="41" t="s">
        <v>1015</v>
      </c>
      <c r="B146" s="44" t="s">
        <v>161</v>
      </c>
      <c r="C146" s="44" t="s">
        <v>300</v>
      </c>
      <c r="D146" s="44" t="s">
        <v>1016</v>
      </c>
      <c r="E146" s="44"/>
      <c r="F146" s="44"/>
      <c r="G146" s="44" t="s">
        <v>584</v>
      </c>
      <c r="H146" s="44" t="s">
        <v>1017</v>
      </c>
      <c r="I146" s="44" t="s">
        <v>166</v>
      </c>
      <c r="J146" s="44" t="s">
        <v>1018</v>
      </c>
      <c r="K146" s="44" t="s">
        <v>847</v>
      </c>
      <c r="L146" s="49">
        <v>44918</v>
      </c>
      <c r="M146" s="48" t="s">
        <v>1019</v>
      </c>
      <c r="N146" s="48" t="s">
        <v>170</v>
      </c>
      <c r="O146" s="48"/>
      <c r="P146" s="48"/>
      <c r="Q146" s="48"/>
      <c r="R146" s="48"/>
      <c r="S146" s="49"/>
      <c r="T146" s="48"/>
      <c r="U146" s="48" t="s">
        <v>1020</v>
      </c>
      <c r="V146" s="14">
        <f t="shared" si="18"/>
        <v>1</v>
      </c>
      <c r="W146" s="14">
        <f t="shared" si="19"/>
        <v>1</v>
      </c>
      <c r="X146" s="14">
        <f>IF(AND(V146=1,OR(Painel!$C$6="Todos",D146=Painel!$C$6),AND(OR(Painel!$L$6="Todas",E146=Painel!$L$6),OR(Painel!$C$8="Todos",F146=Painel!$C$8),OR(Painel!$L$8="Todos",G146=Painel!$L$8),OR(Painel!$C$10="",ISNUMBER(SEARCH(SUBSTITUTE(SUBSTITUTE(SUBSTITUTE(Painel!$C$10,"~","~~"),"*","~*"),"?","~?"),A146&amp;" "&amp;H146&amp;" "&amp;I146))))),1,0)</f>
        <v>1</v>
      </c>
      <c r="Y146" s="14">
        <f t="shared" si="20"/>
        <v>0</v>
      </c>
      <c r="Z146" s="15">
        <f>IF(V146=0,"",IF(COUNTIFS(Andamentos!$K$10:$K$2009,"="&amp;SUBSTITUTE(SUBSTITUTE(SUBSTITUTE("P:"&amp;A146,"~","~~"),"*","~*"),"?","~?"),Andamentos!$G$10:$G$2009,1)=0,"",_xlfn.AGGREGATE(14,6,Andamentos!$D$10:$D$2009/((Andamentos!$K$10:$K$2009=AS146)*(Andamentos!$G$10:$G$2009=1)),1)))</f>
        <v>46084</v>
      </c>
      <c r="AA146" s="14">
        <f>IF(Z146="",0,COUNTIFS(Andamentos!$K$10:$K$2009,"="&amp;SUBSTITUTE(SUBSTITUTE(SUBSTITUTE("P:"&amp;A146,"~","~~"),"*","~*"),"?","~?"),Andamentos!$D$10:$D$2009,Z146,Andamentos!$G$10:$G$2009,1))</f>
        <v>1</v>
      </c>
      <c r="AB146" s="14">
        <f>IF(AA146=1,SUMIFS(Andamentos!$L$10:$L$2009,Andamentos!$K$10:$K$2009,"="&amp;SUBSTITUTE(SUBSTITUTE(SUBSTITUTE(AS146,"~","~~"),"*","~*"),"?","~?"),Andamentos!$D$10:$D$2009,Z146,Andamentos!$G$10:$G$2009,1)-9,0)</f>
        <v>136</v>
      </c>
      <c r="AC146" s="14" t="str">
        <f>IF(V146=0,"",IF(AA146&gt;1,"Conferir recebimentos empatados",IF(AB146=0,"Sem atualização",INDEX(Andamentos!$C$10:$C$2009,AB146))))</f>
        <v>O processo permanece suspenso, aguardando o julgamento definitivo do Tema Repetitivo 1079 pelo STJ. [...] histórico completo em Observações</v>
      </c>
      <c r="AD146" s="14">
        <f ca="1">IF(W146=0,0,IF(MAX(Z146,BD146)=0,1,IF(Configurar!$J$12-INT(MAX(Z146,BD146))&gt;Configurar!$J$11,1,0)))</f>
        <v>1</v>
      </c>
      <c r="AE146" s="16"/>
      <c r="AF146" s="14"/>
      <c r="AG146" s="14"/>
      <c r="AH146" s="14">
        <f>IF(AND(V146=1,COUNTIFS(Valores!$S$10:$S$509,"="&amp;SUBSTITUTE(SUBSTITUTE(SUBSTITUTE("P:"&amp;A146,"~","~~"),"*","~*"),"?","~?"))=1),(IF(ISNA(MATCH(SUBSTITUTE(SUBSTITUTE(SUBSTITUTE("P:"&amp;A146,"~","~~"),"*","~*"),"?","~?"),Valores!$S$10:$S$509,0)),9,INDEX(Valores!$R$10:$R$509,MATCH(SUBSTITUTE(SUBSTITUTE(SUBSTITUTE("P:"&amp;A146,"~","~~"),"*","~*"),"?","~?"),Valores!$S$10:$S$509,0)))-9),0)</f>
        <v>137</v>
      </c>
      <c r="AI146" s="40" t="str">
        <f t="shared" si="21"/>
        <v>Informe a empresa responsável</v>
      </c>
      <c r="AJ146" s="14" t="str">
        <f>IF(AND(X146=1,Y146=1),COUNTIFS($X$10:X146,1,$Y$10:Y146,1),"")</f>
        <v/>
      </c>
      <c r="AK146" s="14">
        <f>IF(X146=1,COUNTIFS($X$10:X146,1),"")</f>
        <v>137</v>
      </c>
      <c r="AL146" s="14">
        <f>IF(AND(V146=1,AND(OR(Painel!$L$6="Todas",E146=Painel!$L$6),OR(Painel!$C$8="Todos",F146=Painel!$C$8),OR(Painel!$L$8="Todos",G146=Painel!$L$8),OR(Painel!$C$10="",ISNUMBER(SEARCH(SUBSTITUTE(SUBSTITUTE(SUBSTITUTE(Painel!$C$10,"~","~~"),"*","~*"),"?","~?"),A146&amp;" "&amp;H146&amp;" "&amp;I146))))),1,0)</f>
        <v>1</v>
      </c>
      <c r="AM146" s="14">
        <f t="shared" si="22"/>
        <v>146</v>
      </c>
      <c r="AN146" s="14"/>
      <c r="AO146" s="14"/>
      <c r="AP146" s="16" t="str">
        <f>IF(AB146=0,"",IF(INDEX(Andamentos!$B$10:$B$2009,AB146)="","",INDEX(Andamentos!$B$10:$B$2009,AB146)))</f>
        <v/>
      </c>
      <c r="AQ146" s="17" t="str">
        <f>IF(AH146=0,"",IF(INDEX(Valores!$B$10:$B$509,AH146)="","",IF(ISNUMBER(INDEX(Valores!$B$10:$B$509,AH146)),INDEX(Valores!$B$10:$B$509,AH146),"")))</f>
        <v/>
      </c>
      <c r="AR146" s="14" t="str">
        <f t="shared" si="23"/>
        <v/>
      </c>
      <c r="AS146" s="14" t="str">
        <f t="shared" si="24"/>
        <v>P:1019783-32.2022.4.06.3800</v>
      </c>
      <c r="AT146" s="27" t="s">
        <v>1021</v>
      </c>
      <c r="AU146" s="31" t="s">
        <v>1015</v>
      </c>
      <c r="AV146" s="31"/>
      <c r="AW146" s="27"/>
      <c r="AX146" s="27"/>
      <c r="AY146" s="27"/>
      <c r="AZ146" s="27"/>
      <c r="BA146" s="30" t="str">
        <f t="shared" si="25"/>
        <v>1019783-32.2022.4.06.3800</v>
      </c>
      <c r="BB146" s="30" t="str">
        <f t="shared" si="26"/>
        <v/>
      </c>
      <c r="BC146" s="30">
        <f>IF(X146=0,0,IF(COUNTIFS($X$10:X146,1,$BA$10:BA146,BA146)=1,1,0))</f>
        <v>1</v>
      </c>
      <c r="BD146" s="29">
        <v>46084</v>
      </c>
    </row>
    <row r="147" spans="1:56" ht="42" customHeight="1">
      <c r="A147" s="41" t="s">
        <v>1022</v>
      </c>
      <c r="B147" s="44" t="s">
        <v>161</v>
      </c>
      <c r="C147" s="44" t="s">
        <v>300</v>
      </c>
      <c r="D147" s="44" t="s">
        <v>1023</v>
      </c>
      <c r="E147" s="44"/>
      <c r="F147" s="44"/>
      <c r="G147" s="44" t="s">
        <v>584</v>
      </c>
      <c r="H147" s="44" t="s">
        <v>166</v>
      </c>
      <c r="I147" s="44" t="s">
        <v>1024</v>
      </c>
      <c r="J147" s="44" t="s">
        <v>1025</v>
      </c>
      <c r="K147" s="44" t="s">
        <v>303</v>
      </c>
      <c r="L147" s="49">
        <v>45253</v>
      </c>
      <c r="M147" s="48" t="s">
        <v>1026</v>
      </c>
      <c r="N147" s="48" t="s">
        <v>170</v>
      </c>
      <c r="O147" s="48"/>
      <c r="P147" s="48"/>
      <c r="Q147" s="48"/>
      <c r="R147" s="48"/>
      <c r="S147" s="49"/>
      <c r="T147" s="48"/>
      <c r="U147" s="48" t="s">
        <v>1027</v>
      </c>
      <c r="V147" s="14">
        <f t="shared" si="18"/>
        <v>1</v>
      </c>
      <c r="W147" s="14">
        <f t="shared" si="19"/>
        <v>1</v>
      </c>
      <c r="X147" s="14">
        <f>IF(AND(V147=1,OR(Painel!$C$6="Todos",D147=Painel!$C$6),AND(OR(Painel!$L$6="Todas",E147=Painel!$L$6),OR(Painel!$C$8="Todos",F147=Painel!$C$8),OR(Painel!$L$8="Todos",G147=Painel!$L$8),OR(Painel!$C$10="",ISNUMBER(SEARCH(SUBSTITUTE(SUBSTITUTE(SUBSTITUTE(Painel!$C$10,"~","~~"),"*","~*"),"?","~?"),A147&amp;" "&amp;H147&amp;" "&amp;I147))))),1,0)</f>
        <v>1</v>
      </c>
      <c r="Y147" s="14">
        <f t="shared" si="20"/>
        <v>0</v>
      </c>
      <c r="Z147" s="15">
        <f>IF(V147=0,"",IF(COUNTIFS(Andamentos!$K$10:$K$2009,"="&amp;SUBSTITUTE(SUBSTITUTE(SUBSTITUTE("P:"&amp;A147,"~","~~"),"*","~*"),"?","~?"),Andamentos!$G$10:$G$2009,1)=0,"",_xlfn.AGGREGATE(14,6,Andamentos!$D$10:$D$2009/((Andamentos!$K$10:$K$2009=AS147)*(Andamentos!$G$10:$G$2009=1)),1)))</f>
        <v>46105</v>
      </c>
      <c r="AA147" s="14">
        <f>IF(Z147="",0,COUNTIFS(Andamentos!$K$10:$K$2009,"="&amp;SUBSTITUTE(SUBSTITUTE(SUBSTITUTE("P:"&amp;A147,"~","~~"),"*","~*"),"?","~?"),Andamentos!$D$10:$D$2009,Z147,Andamentos!$G$10:$G$2009,1))</f>
        <v>1</v>
      </c>
      <c r="AB147" s="14">
        <f>IF(AA147=1,SUMIFS(Andamentos!$L$10:$L$2009,Andamentos!$K$10:$K$2009,"="&amp;SUBSTITUTE(SUBSTITUTE(SUBSTITUTE(AS147,"~","~~"),"*","~*"),"?","~?"),Andamentos!$D$10:$D$2009,Z147,Andamentos!$G$10:$G$2009,1)-9,0)</f>
        <v>137</v>
      </c>
      <c r="AC147" s="14" t="str">
        <f>IF(V147=0,"",IF(AA147&gt;1,"Conferir recebimentos empatados",IF(AB147=0,"Sem atualização",INDEX(Andamentos!$C$10:$C$2009,AB147))))</f>
        <v>Pendente da manifestação da Alta. [...] histórico completo em Observações</v>
      </c>
      <c r="AD147" s="14">
        <f ca="1">IF(W147=0,0,IF(MAX(Z147,BD147)=0,1,IF(Configurar!$J$12-INT(MAX(Z147,BD147))&gt;Configurar!$J$11,1,0)))</f>
        <v>1</v>
      </c>
      <c r="AE147" s="16"/>
      <c r="AF147" s="14"/>
      <c r="AG147" s="14"/>
      <c r="AH147" s="14">
        <f>IF(AND(V147=1,COUNTIFS(Valores!$S$10:$S$509,"="&amp;SUBSTITUTE(SUBSTITUTE(SUBSTITUTE("P:"&amp;A147,"~","~~"),"*","~*"),"?","~?"))=1),(IF(ISNA(MATCH(SUBSTITUTE(SUBSTITUTE(SUBSTITUTE("P:"&amp;A147,"~","~~"),"*","~*"),"?","~?"),Valores!$S$10:$S$509,0)),9,INDEX(Valores!$R$10:$R$509,MATCH(SUBSTITUTE(SUBSTITUTE(SUBSTITUTE("P:"&amp;A147,"~","~~"),"*","~*"),"?","~?"),Valores!$S$10:$S$509,0)))-9),0)</f>
        <v>138</v>
      </c>
      <c r="AI147" s="40" t="str">
        <f t="shared" si="21"/>
        <v>Informe a empresa responsável</v>
      </c>
      <c r="AJ147" s="14" t="str">
        <f>IF(AND(X147=1,Y147=1),COUNTIFS($X$10:X147,1,$Y$10:Y147,1),"")</f>
        <v/>
      </c>
      <c r="AK147" s="14">
        <f>IF(X147=1,COUNTIFS($X$10:X147,1),"")</f>
        <v>138</v>
      </c>
      <c r="AL147" s="14">
        <f>IF(AND(V147=1,AND(OR(Painel!$L$6="Todas",E147=Painel!$L$6),OR(Painel!$C$8="Todos",F147=Painel!$C$8),OR(Painel!$L$8="Todos",G147=Painel!$L$8),OR(Painel!$C$10="",ISNUMBER(SEARCH(SUBSTITUTE(SUBSTITUTE(SUBSTITUTE(Painel!$C$10,"~","~~"),"*","~*"),"?","~?"),A147&amp;" "&amp;H147&amp;" "&amp;I147))))),1,0)</f>
        <v>1</v>
      </c>
      <c r="AM147" s="14">
        <f t="shared" si="22"/>
        <v>147</v>
      </c>
      <c r="AN147" s="14"/>
      <c r="AO147" s="14"/>
      <c r="AP147" s="16" t="str">
        <f>IF(AB147=0,"",IF(INDEX(Andamentos!$B$10:$B$2009,AB147)="","",INDEX(Andamentos!$B$10:$B$2009,AB147)))</f>
        <v/>
      </c>
      <c r="AQ147" s="17" t="str">
        <f>IF(AH147=0,"",IF(INDEX(Valores!$B$10:$B$509,AH147)="","",IF(ISNUMBER(INDEX(Valores!$B$10:$B$509,AH147)),INDEX(Valores!$B$10:$B$509,AH147),"")))</f>
        <v/>
      </c>
      <c r="AR147" s="14" t="str">
        <f t="shared" si="23"/>
        <v/>
      </c>
      <c r="AS147" s="14" t="str">
        <f t="shared" si="24"/>
        <v>P:5287392-91.2023.8.13.0024</v>
      </c>
      <c r="AT147" s="27" t="s">
        <v>1028</v>
      </c>
      <c r="AU147" s="31" t="s">
        <v>1022</v>
      </c>
      <c r="AV147" s="31"/>
      <c r="AW147" s="27" t="s">
        <v>837</v>
      </c>
      <c r="AX147" s="27" t="s">
        <v>246</v>
      </c>
      <c r="AY147" s="27"/>
      <c r="AZ147" s="27"/>
      <c r="BA147" s="30" t="str">
        <f t="shared" si="25"/>
        <v>5287392-91.2023.8.13.0024</v>
      </c>
      <c r="BB147" s="30" t="str">
        <f t="shared" si="26"/>
        <v/>
      </c>
      <c r="BC147" s="30">
        <f>IF(X147=0,0,IF(COUNTIFS($X$10:X147,1,$BA$10:BA147,BA147)=1,1,0))</f>
        <v>1</v>
      </c>
      <c r="BD147" s="29">
        <v>46105</v>
      </c>
    </row>
    <row r="148" spans="1:56" ht="42" customHeight="1">
      <c r="A148" s="41" t="s">
        <v>1029</v>
      </c>
      <c r="B148" s="44" t="s">
        <v>161</v>
      </c>
      <c r="C148" s="44" t="s">
        <v>300</v>
      </c>
      <c r="D148" s="44" t="s">
        <v>1023</v>
      </c>
      <c r="E148" s="44"/>
      <c r="F148" s="44"/>
      <c r="G148" s="44" t="s">
        <v>584</v>
      </c>
      <c r="H148" s="44" t="s">
        <v>1024</v>
      </c>
      <c r="I148" s="44" t="s">
        <v>166</v>
      </c>
      <c r="J148" s="44" t="s">
        <v>1025</v>
      </c>
      <c r="K148" s="44" t="s">
        <v>303</v>
      </c>
      <c r="L148" s="49">
        <v>45191</v>
      </c>
      <c r="M148" s="48" t="s">
        <v>1030</v>
      </c>
      <c r="N148" s="48" t="s">
        <v>484</v>
      </c>
      <c r="O148" s="48"/>
      <c r="P148" s="48"/>
      <c r="Q148" s="48" t="s">
        <v>377</v>
      </c>
      <c r="R148" s="48"/>
      <c r="S148" s="49"/>
      <c r="T148" s="48"/>
      <c r="U148" s="48" t="s">
        <v>1031</v>
      </c>
      <c r="V148" s="14">
        <f t="shared" si="18"/>
        <v>1</v>
      </c>
      <c r="W148" s="14">
        <f t="shared" si="19"/>
        <v>1</v>
      </c>
      <c r="X148" s="14">
        <f>IF(AND(V148=1,OR(Painel!$C$6="Todos",D148=Painel!$C$6),AND(OR(Painel!$L$6="Todas",E148=Painel!$L$6),OR(Painel!$C$8="Todos",F148=Painel!$C$8),OR(Painel!$L$8="Todos",G148=Painel!$L$8),OR(Painel!$C$10="",ISNUMBER(SEARCH(SUBSTITUTE(SUBSTITUTE(SUBSTITUTE(Painel!$C$10,"~","~~"),"*","~*"),"?","~?"),A148&amp;" "&amp;H148&amp;" "&amp;I148))))),1,0)</f>
        <v>1</v>
      </c>
      <c r="Y148" s="14">
        <f t="shared" si="20"/>
        <v>1</v>
      </c>
      <c r="Z148" s="15">
        <f>IF(V148=0,"",IF(COUNTIFS(Andamentos!$K$10:$K$2009,"="&amp;SUBSTITUTE(SUBSTITUTE(SUBSTITUTE("P:"&amp;A148,"~","~~"),"*","~*"),"?","~?"),Andamentos!$G$10:$G$2009,1)=0,"",_xlfn.AGGREGATE(14,6,Andamentos!$D$10:$D$2009/((Andamentos!$K$10:$K$2009=AS148)*(Andamentos!$G$10:$G$2009=1)),1)))</f>
        <v>46105</v>
      </c>
      <c r="AA148" s="14">
        <f>IF(Z148="",0,COUNTIFS(Andamentos!$K$10:$K$2009,"="&amp;SUBSTITUTE(SUBSTITUTE(SUBSTITUTE("P:"&amp;A148,"~","~~"),"*","~*"),"?","~?"),Andamentos!$D$10:$D$2009,Z148,Andamentos!$G$10:$G$2009,1))</f>
        <v>1</v>
      </c>
      <c r="AB148" s="14">
        <f>IF(AA148=1,SUMIFS(Andamentos!$L$10:$L$2009,Andamentos!$K$10:$K$2009,"="&amp;SUBSTITUTE(SUBSTITUTE(SUBSTITUTE(AS148,"~","~~"),"*","~*"),"?","~?"),Andamentos!$D$10:$D$2009,Z148,Andamentos!$G$10:$G$2009,1)-9,0)</f>
        <v>138</v>
      </c>
      <c r="AC148" s="14" t="str">
        <f>IF(V148=0,"",IF(AA148&gt;1,"Conferir recebimentos empatados",IF(AB148=0,"Sem atualização",INDEX(Andamentos!$C$10:$C$2009,AB148))))</f>
        <v>24.05.2024 - Petição protocolada pelo Município de Belo Horizonte manifestando ciência do despacho de ID 10233679717, que determinou a suspensão do feito. [...] histórico completo em Observações</v>
      </c>
      <c r="AD148" s="14">
        <f ca="1">IF(W148=0,0,IF(MAX(Z148,BD148)=0,1,IF(Configurar!$J$12-INT(MAX(Z148,BD148))&gt;Configurar!$J$11,1,0)))</f>
        <v>1</v>
      </c>
      <c r="AE148" s="16"/>
      <c r="AF148" s="14"/>
      <c r="AG148" s="14"/>
      <c r="AH148" s="14">
        <f>IF(AND(V148=1,COUNTIFS(Valores!$S$10:$S$509,"="&amp;SUBSTITUTE(SUBSTITUTE(SUBSTITUTE("P:"&amp;A148,"~","~~"),"*","~*"),"?","~?"))=1),(IF(ISNA(MATCH(SUBSTITUTE(SUBSTITUTE(SUBSTITUTE("P:"&amp;A148,"~","~~"),"*","~*"),"?","~?"),Valores!$S$10:$S$509,0)),9,INDEX(Valores!$R$10:$R$509,MATCH(SUBSTITUTE(SUBSTITUTE(SUBSTITUTE("P:"&amp;A148,"~","~~"),"*","~*"),"?","~?"),Valores!$S$10:$S$509,0)))-9),0)</f>
        <v>139</v>
      </c>
      <c r="AI148" s="40" t="str">
        <f t="shared" si="21"/>
        <v>Informe a empresa responsável</v>
      </c>
      <c r="AJ148" s="14">
        <f>IF(AND(X148=1,Y148=1),COUNTIFS($X$10:X148,1,$Y$10:Y148,1),"")</f>
        <v>7</v>
      </c>
      <c r="AK148" s="14">
        <f>IF(X148=1,COUNTIFS($X$10:X148,1),"")</f>
        <v>139</v>
      </c>
      <c r="AL148" s="14">
        <f>IF(AND(V148=1,AND(OR(Painel!$L$6="Todas",E148=Painel!$L$6),OR(Painel!$C$8="Todos",F148=Painel!$C$8),OR(Painel!$L$8="Todos",G148=Painel!$L$8),OR(Painel!$C$10="",ISNUMBER(SEARCH(SUBSTITUTE(SUBSTITUTE(SUBSTITUTE(Painel!$C$10,"~","~~"),"*","~*"),"?","~?"),A148&amp;" "&amp;H148&amp;" "&amp;I148))))),1,0)</f>
        <v>1</v>
      </c>
      <c r="AM148" s="14">
        <f t="shared" si="22"/>
        <v>148</v>
      </c>
      <c r="AN148" s="14"/>
      <c r="AO148" s="14"/>
      <c r="AP148" s="16" t="str">
        <f>IF(AB148=0,"",IF(INDEX(Andamentos!$B$10:$B$2009,AB148)="","",INDEX(Andamentos!$B$10:$B$2009,AB148)))</f>
        <v/>
      </c>
      <c r="AQ148" s="17">
        <f>IF(AH148=0,"",IF(INDEX(Valores!$B$10:$B$509,AH148)="","",IF(ISNUMBER(INDEX(Valores!$B$10:$B$509,AH148)),INDEX(Valores!$B$10:$B$509,AH148),"")))</f>
        <v>28362468.460000001</v>
      </c>
      <c r="AR148" s="14" t="str">
        <f t="shared" si="23"/>
        <v>Prioridade crítica. Criticidade herdada da planilha de origem; validar. Não confirma bloqueio/penhora vigente.</v>
      </c>
      <c r="AS148" s="14" t="str">
        <f t="shared" si="24"/>
        <v>P:5225553-65.2023.8.13.0024</v>
      </c>
      <c r="AT148" s="27" t="s">
        <v>1032</v>
      </c>
      <c r="AU148" s="31" t="s">
        <v>1029</v>
      </c>
      <c r="AV148" s="31"/>
      <c r="AW148" s="27" t="s">
        <v>280</v>
      </c>
      <c r="AX148" s="27" t="s">
        <v>246</v>
      </c>
      <c r="AY148" s="27"/>
      <c r="AZ148" s="27"/>
      <c r="BA148" s="30" t="str">
        <f t="shared" si="25"/>
        <v>5225553-65.2023.8.13.0024</v>
      </c>
      <c r="BB148" s="30" t="str">
        <f t="shared" si="26"/>
        <v/>
      </c>
      <c r="BC148" s="30">
        <f>IF(X148=0,0,IF(COUNTIFS($X$10:X148,1,$BA$10:BA148,BA148)=1,1,0))</f>
        <v>1</v>
      </c>
      <c r="BD148" s="29">
        <v>46105</v>
      </c>
    </row>
    <row r="149" spans="1:56" ht="42" customHeight="1">
      <c r="A149" s="41" t="s">
        <v>1033</v>
      </c>
      <c r="B149" s="44" t="s">
        <v>1034</v>
      </c>
      <c r="C149" s="44" t="s">
        <v>300</v>
      </c>
      <c r="D149" s="44" t="s">
        <v>1035</v>
      </c>
      <c r="E149" s="44"/>
      <c r="F149" s="44"/>
      <c r="G149" s="44" t="s">
        <v>973</v>
      </c>
      <c r="H149" s="44" t="s">
        <v>1036</v>
      </c>
      <c r="I149" s="44" t="s">
        <v>166</v>
      </c>
      <c r="J149" s="44"/>
      <c r="K149" s="44" t="s">
        <v>1037</v>
      </c>
      <c r="L149" s="49">
        <v>44914</v>
      </c>
      <c r="M149" s="48" t="s">
        <v>1038</v>
      </c>
      <c r="N149" s="48" t="s">
        <v>170</v>
      </c>
      <c r="O149" s="48"/>
      <c r="P149" s="48"/>
      <c r="Q149" s="48"/>
      <c r="R149" s="48"/>
      <c r="S149" s="49"/>
      <c r="T149" s="48"/>
      <c r="U149" s="48" t="s">
        <v>1039</v>
      </c>
      <c r="V149" s="14">
        <f t="shared" si="18"/>
        <v>1</v>
      </c>
      <c r="W149" s="14">
        <f t="shared" si="19"/>
        <v>1</v>
      </c>
      <c r="X149" s="14">
        <f>IF(AND(V149=1,OR(Painel!$C$6="Todos",D149=Painel!$C$6),AND(OR(Painel!$L$6="Todas",E149=Painel!$L$6),OR(Painel!$C$8="Todos",F149=Painel!$C$8),OR(Painel!$L$8="Todos",G149=Painel!$L$8),OR(Painel!$C$10="",ISNUMBER(SEARCH(SUBSTITUTE(SUBSTITUTE(SUBSTITUTE(Painel!$C$10,"~","~~"),"*","~*"),"?","~?"),A149&amp;" "&amp;H149&amp;" "&amp;I149))))),1,0)</f>
        <v>1</v>
      </c>
      <c r="Y149" s="14">
        <f t="shared" si="20"/>
        <v>0</v>
      </c>
      <c r="Z149" s="15">
        <f>IF(V149=0,"",IF(COUNTIFS(Andamentos!$K$10:$K$2009,"="&amp;SUBSTITUTE(SUBSTITUTE(SUBSTITUTE("P:"&amp;A149,"~","~~"),"*","~*"),"?","~?"),Andamentos!$G$10:$G$2009,1)=0,"",_xlfn.AGGREGATE(14,6,Andamentos!$D$10:$D$2009/((Andamentos!$K$10:$K$2009=AS149)*(Andamentos!$G$10:$G$2009=1)),1)))</f>
        <v>44998</v>
      </c>
      <c r="AA149" s="14">
        <f>IF(Z149="",0,COUNTIFS(Andamentos!$K$10:$K$2009,"="&amp;SUBSTITUTE(SUBSTITUTE(SUBSTITUTE("P:"&amp;A149,"~","~~"),"*","~*"),"?","~?"),Andamentos!$D$10:$D$2009,Z149,Andamentos!$G$10:$G$2009,1))</f>
        <v>1</v>
      </c>
      <c r="AB149" s="14">
        <f>IF(AA149=1,SUMIFS(Andamentos!$L$10:$L$2009,Andamentos!$K$10:$K$2009,"="&amp;SUBSTITUTE(SUBSTITUTE(SUBSTITUTE(AS149,"~","~~"),"*","~*"),"?","~?"),Andamentos!$D$10:$D$2009,Z149,Andamentos!$G$10:$G$2009,1)-9,0)</f>
        <v>139</v>
      </c>
      <c r="AC149" s="14" t="str">
        <f>IF(V149=0,"",IF(AA149&gt;1,"Conferir recebimentos empatados",IF(AB149=0,"Sem atualização",INDEX(Andamentos!$C$10:$C$2009,AB149))))</f>
        <v>Oitiva do Coordenador Franz na data de 20/06/2023</v>
      </c>
      <c r="AD149" s="14">
        <f ca="1">IF(W149=0,0,IF(MAX(Z149,BD149)=0,1,IF(Configurar!$J$12-INT(MAX(Z149,BD149))&gt;Configurar!$J$11,1,0)))</f>
        <v>1</v>
      </c>
      <c r="AE149" s="16"/>
      <c r="AF149" s="14"/>
      <c r="AG149" s="14"/>
      <c r="AH149" s="14">
        <f>IF(AND(V149=1,COUNTIFS(Valores!$S$10:$S$509,"="&amp;SUBSTITUTE(SUBSTITUTE(SUBSTITUTE("P:"&amp;A149,"~","~~"),"*","~*"),"?","~?"))=1),(IF(ISNA(MATCH(SUBSTITUTE(SUBSTITUTE(SUBSTITUTE("P:"&amp;A149,"~","~~"),"*","~*"),"?","~?"),Valores!$S$10:$S$509,0)),9,INDEX(Valores!$R$10:$R$509,MATCH(SUBSTITUTE(SUBSTITUTE(SUBSTITUTE("P:"&amp;A149,"~","~~"),"*","~*"),"?","~?"),Valores!$S$10:$S$509,0)))-9),0)</f>
        <v>140</v>
      </c>
      <c r="AI149" s="40" t="str">
        <f t="shared" si="21"/>
        <v>Informe a empresa responsável</v>
      </c>
      <c r="AJ149" s="14" t="str">
        <f>IF(AND(X149=1,Y149=1),COUNTIFS($X$10:X149,1,$Y$10:Y149,1),"")</f>
        <v/>
      </c>
      <c r="AK149" s="14">
        <f>IF(X149=1,COUNTIFS($X$10:X149,1),"")</f>
        <v>140</v>
      </c>
      <c r="AL149" s="14">
        <f>IF(AND(V149=1,AND(OR(Painel!$L$6="Todas",E149=Painel!$L$6),OR(Painel!$C$8="Todos",F149=Painel!$C$8),OR(Painel!$L$8="Todos",G149=Painel!$L$8),OR(Painel!$C$10="",ISNUMBER(SEARCH(SUBSTITUTE(SUBSTITUTE(SUBSTITUTE(Painel!$C$10,"~","~~"),"*","~*"),"?","~?"),A149&amp;" "&amp;H149&amp;" "&amp;I149))))),1,0)</f>
        <v>1</v>
      </c>
      <c r="AM149" s="14">
        <f t="shared" si="22"/>
        <v>149</v>
      </c>
      <c r="AN149" s="14"/>
      <c r="AO149" s="14"/>
      <c r="AP149" s="16" t="str">
        <f>IF(AB149=0,"",IF(INDEX(Andamentos!$B$10:$B$2009,AB149)="","",INDEX(Andamentos!$B$10:$B$2009,AB149)))</f>
        <v/>
      </c>
      <c r="AQ149" s="17" t="str">
        <f>IF(AH149=0,"",IF(INDEX(Valores!$B$10:$B$509,AH149)="","",IF(ISNUMBER(INDEX(Valores!$B$10:$B$509,AH149)),INDEX(Valores!$B$10:$B$509,AH149),"")))</f>
        <v/>
      </c>
      <c r="AR149" s="14" t="str">
        <f t="shared" si="23"/>
        <v/>
      </c>
      <c r="AS149" s="14" t="str">
        <f t="shared" si="24"/>
        <v>P:Inquérito Policial 2022.0009514-SR/PF/MG</v>
      </c>
      <c r="AT149" s="27" t="s">
        <v>1040</v>
      </c>
      <c r="AU149" s="31"/>
      <c r="AV149" s="31" t="s">
        <v>1033</v>
      </c>
      <c r="AW149" s="27" t="s">
        <v>932</v>
      </c>
      <c r="AX149" s="27" t="s">
        <v>262</v>
      </c>
      <c r="AY149" s="27"/>
      <c r="AZ149" s="27"/>
      <c r="BA149" s="30" t="str">
        <f t="shared" si="25"/>
        <v>Inquérito Policial 2022.0009514-SR/PF/MG</v>
      </c>
      <c r="BB149" s="30" t="str">
        <f t="shared" si="26"/>
        <v/>
      </c>
      <c r="BC149" s="30">
        <f>IF(X149=0,0,IF(COUNTIFS($X$10:X149,1,$BA$10:BA149,BA149)=1,1,0))</f>
        <v>1</v>
      </c>
      <c r="BD149" s="29">
        <v>44998</v>
      </c>
    </row>
    <row r="150" spans="1:56" ht="42" customHeight="1">
      <c r="A150" s="41" t="s">
        <v>1041</v>
      </c>
      <c r="B150" s="44" t="s">
        <v>161</v>
      </c>
      <c r="C150" s="44" t="s">
        <v>300</v>
      </c>
      <c r="D150" s="44" t="s">
        <v>1035</v>
      </c>
      <c r="E150" s="44"/>
      <c r="F150" s="44"/>
      <c r="G150" s="44" t="s">
        <v>973</v>
      </c>
      <c r="H150" s="44"/>
      <c r="I150" s="44"/>
      <c r="J150" s="44"/>
      <c r="K150" s="44" t="s">
        <v>847</v>
      </c>
      <c r="L150" s="49"/>
      <c r="M150" s="48" t="s">
        <v>1042</v>
      </c>
      <c r="N150" s="48" t="s">
        <v>170</v>
      </c>
      <c r="O150" s="48"/>
      <c r="P150" s="48"/>
      <c r="Q150" s="48"/>
      <c r="R150" s="48"/>
      <c r="S150" s="49"/>
      <c r="T150" s="48"/>
      <c r="U150" s="48" t="s">
        <v>1043</v>
      </c>
      <c r="V150" s="14">
        <f t="shared" si="18"/>
        <v>1</v>
      </c>
      <c r="W150" s="14">
        <f t="shared" si="19"/>
        <v>1</v>
      </c>
      <c r="X150" s="14">
        <f>IF(AND(V150=1,OR(Painel!$C$6="Todos",D150=Painel!$C$6),AND(OR(Painel!$L$6="Todas",E150=Painel!$L$6),OR(Painel!$C$8="Todos",F150=Painel!$C$8),OR(Painel!$L$8="Todos",G150=Painel!$L$8),OR(Painel!$C$10="",ISNUMBER(SEARCH(SUBSTITUTE(SUBSTITUTE(SUBSTITUTE(Painel!$C$10,"~","~~"),"*","~*"),"?","~?"),A150&amp;" "&amp;H150&amp;" "&amp;I150))))),1,0)</f>
        <v>1</v>
      </c>
      <c r="Y150" s="14">
        <f t="shared" si="20"/>
        <v>0</v>
      </c>
      <c r="Z150" s="15">
        <f>IF(V150=0,"",IF(COUNTIFS(Andamentos!$K$10:$K$2009,"="&amp;SUBSTITUTE(SUBSTITUTE(SUBSTITUTE("P:"&amp;A150,"~","~~"),"*","~*"),"?","~?"),Andamentos!$G$10:$G$2009,1)=0,"",_xlfn.AGGREGATE(14,6,Andamentos!$D$10:$D$2009/((Andamentos!$K$10:$K$2009=AS150)*(Andamentos!$G$10:$G$2009=1)),1)))</f>
        <v>46042</v>
      </c>
      <c r="AA150" s="14">
        <f>IF(Z150="",0,COUNTIFS(Andamentos!$K$10:$K$2009,"="&amp;SUBSTITUTE(SUBSTITUTE(SUBSTITUTE("P:"&amp;A150,"~","~~"),"*","~*"),"?","~?"),Andamentos!$D$10:$D$2009,Z150,Andamentos!$G$10:$G$2009,1))</f>
        <v>1</v>
      </c>
      <c r="AB150" s="14">
        <f>IF(AA150=1,SUMIFS(Andamentos!$L$10:$L$2009,Andamentos!$K$10:$K$2009,"="&amp;SUBSTITUTE(SUBSTITUTE(SUBSTITUTE(AS150,"~","~~"),"*","~*"),"?","~?"),Andamentos!$D$10:$D$2009,Z150,Andamentos!$G$10:$G$2009,1)-9,0)</f>
        <v>140</v>
      </c>
      <c r="AC150" s="14" t="str">
        <f>IF(V150=0,"",IF(AA150&gt;1,"Conferir recebimentos empatados",IF(AB150=0,"Sem atualização",INDEX(Andamentos!$C$10:$C$2009,AB150))))</f>
        <v>Processo sigiloso, sem possibilidade de acesso às decisões.</v>
      </c>
      <c r="AD150" s="14">
        <f ca="1">IF(W150=0,0,IF(MAX(Z150,BD150)=0,1,IF(Configurar!$J$12-INT(MAX(Z150,BD150))&gt;Configurar!$J$11,1,0)))</f>
        <v>1</v>
      </c>
      <c r="AE150" s="16"/>
      <c r="AF150" s="14"/>
      <c r="AG150" s="14"/>
      <c r="AH150" s="14">
        <f>IF(AND(V150=1,COUNTIFS(Valores!$S$10:$S$509,"="&amp;SUBSTITUTE(SUBSTITUTE(SUBSTITUTE("P:"&amp;A150,"~","~~"),"*","~*"),"?","~?"))=1),(IF(ISNA(MATCH(SUBSTITUTE(SUBSTITUTE(SUBSTITUTE("P:"&amp;A150,"~","~~"),"*","~*"),"?","~?"),Valores!$S$10:$S$509,0)),9,INDEX(Valores!$R$10:$R$509,MATCH(SUBSTITUTE(SUBSTITUTE(SUBSTITUTE("P:"&amp;A150,"~","~~"),"*","~*"),"?","~?"),Valores!$S$10:$S$509,0)))-9),0)</f>
        <v>141</v>
      </c>
      <c r="AI150" s="40" t="str">
        <f t="shared" si="21"/>
        <v>Informe a empresa responsável</v>
      </c>
      <c r="AJ150" s="14" t="str">
        <f>IF(AND(X150=1,Y150=1),COUNTIFS($X$10:X150,1,$Y$10:Y150,1),"")</f>
        <v/>
      </c>
      <c r="AK150" s="14">
        <f>IF(X150=1,COUNTIFS($X$10:X150,1),"")</f>
        <v>141</v>
      </c>
      <c r="AL150" s="14">
        <f>IF(AND(V150=1,AND(OR(Painel!$L$6="Todas",E150=Painel!$L$6),OR(Painel!$C$8="Todos",F150=Painel!$C$8),OR(Painel!$L$8="Todos",G150=Painel!$L$8),OR(Painel!$C$10="",ISNUMBER(SEARCH(SUBSTITUTE(SUBSTITUTE(SUBSTITUTE(Painel!$C$10,"~","~~"),"*","~*"),"?","~?"),A150&amp;" "&amp;H150&amp;" "&amp;I150))))),1,0)</f>
        <v>1</v>
      </c>
      <c r="AM150" s="14">
        <f t="shared" si="22"/>
        <v>150</v>
      </c>
      <c r="AN150" s="14"/>
      <c r="AO150" s="14"/>
      <c r="AP150" s="16" t="str">
        <f>IF(AB150=0,"",IF(INDEX(Andamentos!$B$10:$B$2009,AB150)="","",INDEX(Andamentos!$B$10:$B$2009,AB150)))</f>
        <v/>
      </c>
      <c r="AQ150" s="17" t="str">
        <f>IF(AH150=0,"",IF(INDEX(Valores!$B$10:$B$509,AH150)="","",IF(ISNUMBER(INDEX(Valores!$B$10:$B$509,AH150)),INDEX(Valores!$B$10:$B$509,AH150),"")))</f>
        <v/>
      </c>
      <c r="AR150" s="14" t="str">
        <f t="shared" si="23"/>
        <v/>
      </c>
      <c r="AS150" s="14" t="str">
        <f t="shared" si="24"/>
        <v>P:1110200-94.2023.4.06.3800</v>
      </c>
      <c r="AT150" s="27" t="s">
        <v>1044</v>
      </c>
      <c r="AU150" s="31" t="s">
        <v>1041</v>
      </c>
      <c r="AV150" s="31"/>
      <c r="AW150" s="27"/>
      <c r="AX150" s="27" t="s">
        <v>1045</v>
      </c>
      <c r="AY150" s="27"/>
      <c r="AZ150" s="27"/>
      <c r="BA150" s="30" t="str">
        <f t="shared" si="25"/>
        <v>1110200-94.2023.4.06.3800</v>
      </c>
      <c r="BB150" s="30" t="str">
        <f t="shared" si="26"/>
        <v/>
      </c>
      <c r="BC150" s="30">
        <f>IF(X150=0,0,IF(COUNTIFS($X$10:X150,1,$BA$10:BA150,BA150)=1,1,0))</f>
        <v>1</v>
      </c>
      <c r="BD150" s="29">
        <v>46042</v>
      </c>
    </row>
    <row r="151" spans="1:56" ht="42" customHeight="1">
      <c r="A151" s="41" t="s">
        <v>1046</v>
      </c>
      <c r="B151" s="44" t="s">
        <v>161</v>
      </c>
      <c r="C151" s="44" t="s">
        <v>300</v>
      </c>
      <c r="D151" s="44" t="s">
        <v>1035</v>
      </c>
      <c r="E151" s="44"/>
      <c r="F151" s="44"/>
      <c r="G151" s="44" t="s">
        <v>973</v>
      </c>
      <c r="H151" s="44"/>
      <c r="I151" s="44"/>
      <c r="J151" s="44"/>
      <c r="K151" s="44" t="s">
        <v>578</v>
      </c>
      <c r="L151" s="49"/>
      <c r="M151" s="48"/>
      <c r="N151" s="48" t="s">
        <v>170</v>
      </c>
      <c r="O151" s="48"/>
      <c r="P151" s="48"/>
      <c r="Q151" s="48"/>
      <c r="R151" s="48"/>
      <c r="S151" s="49"/>
      <c r="T151" s="48"/>
      <c r="U151" s="48" t="s">
        <v>1047</v>
      </c>
      <c r="V151" s="14">
        <f t="shared" si="18"/>
        <v>1</v>
      </c>
      <c r="W151" s="14">
        <f t="shared" si="19"/>
        <v>1</v>
      </c>
      <c r="X151" s="14">
        <f>IF(AND(V151=1,OR(Painel!$C$6="Todos",D151=Painel!$C$6),AND(OR(Painel!$L$6="Todas",E151=Painel!$L$6),OR(Painel!$C$8="Todos",F151=Painel!$C$8),OR(Painel!$L$8="Todos",G151=Painel!$L$8),OR(Painel!$C$10="",ISNUMBER(SEARCH(SUBSTITUTE(SUBSTITUTE(SUBSTITUTE(Painel!$C$10,"~","~~"),"*","~*"),"?","~?"),A151&amp;" "&amp;H151&amp;" "&amp;I151))))),1,0)</f>
        <v>1</v>
      </c>
      <c r="Y151" s="14">
        <f t="shared" si="20"/>
        <v>0</v>
      </c>
      <c r="Z151" s="15">
        <f>IF(V151=0,"",IF(COUNTIFS(Andamentos!$K$10:$K$2009,"="&amp;SUBSTITUTE(SUBSTITUTE(SUBSTITUTE("P:"&amp;A151,"~","~~"),"*","~*"),"?","~?"),Andamentos!$G$10:$G$2009,1)=0,"",_xlfn.AGGREGATE(14,6,Andamentos!$D$10:$D$2009/((Andamentos!$K$10:$K$2009=AS151)*(Andamentos!$G$10:$G$2009=1)),1)))</f>
        <v>46043</v>
      </c>
      <c r="AA151" s="14">
        <f>IF(Z151="",0,COUNTIFS(Andamentos!$K$10:$K$2009,"="&amp;SUBSTITUTE(SUBSTITUTE(SUBSTITUTE("P:"&amp;A151,"~","~~"),"*","~*"),"?","~?"),Andamentos!$D$10:$D$2009,Z151,Andamentos!$G$10:$G$2009,1))</f>
        <v>1</v>
      </c>
      <c r="AB151" s="14">
        <f>IF(AA151=1,SUMIFS(Andamentos!$L$10:$L$2009,Andamentos!$K$10:$K$2009,"="&amp;SUBSTITUTE(SUBSTITUTE(SUBSTITUTE(AS151,"~","~~"),"*","~*"),"?","~?"),Andamentos!$D$10:$D$2009,Z151,Andamentos!$G$10:$G$2009,1)-9,0)</f>
        <v>141</v>
      </c>
      <c r="AC151" s="14" t="str">
        <f>IF(V151=0,"",IF(AA151&gt;1,"Conferir recebimentos empatados",IF(AB151=0,"Sem atualização",INDEX(Andamentos!$C$10:$C$2009,AB151))))</f>
        <v>Em fase de recurso interposto pelas partes condenadas.</v>
      </c>
      <c r="AD151" s="14">
        <f ca="1">IF(W151=0,0,IF(MAX(Z151,BD151)=0,1,IF(Configurar!$J$12-INT(MAX(Z151,BD151))&gt;Configurar!$J$11,1,0)))</f>
        <v>1</v>
      </c>
      <c r="AE151" s="16"/>
      <c r="AF151" s="14"/>
      <c r="AG151" s="14"/>
      <c r="AH151" s="14">
        <f>IF(AND(V151=1,COUNTIFS(Valores!$S$10:$S$509,"="&amp;SUBSTITUTE(SUBSTITUTE(SUBSTITUTE("P:"&amp;A151,"~","~~"),"*","~*"),"?","~?"))=1),(IF(ISNA(MATCH(SUBSTITUTE(SUBSTITUTE(SUBSTITUTE("P:"&amp;A151,"~","~~"),"*","~*"),"?","~?"),Valores!$S$10:$S$509,0)),9,INDEX(Valores!$R$10:$R$509,MATCH(SUBSTITUTE(SUBSTITUTE(SUBSTITUTE("P:"&amp;A151,"~","~~"),"*","~*"),"?","~?"),Valores!$S$10:$S$509,0)))-9),0)</f>
        <v>142</v>
      </c>
      <c r="AI151" s="40" t="str">
        <f t="shared" si="21"/>
        <v>Informe a empresa responsável</v>
      </c>
      <c r="AJ151" s="14" t="str">
        <f>IF(AND(X151=1,Y151=1),COUNTIFS($X$10:X151,1,$Y$10:Y151,1),"")</f>
        <v/>
      </c>
      <c r="AK151" s="14">
        <f>IF(X151=1,COUNTIFS($X$10:X151,1),"")</f>
        <v>142</v>
      </c>
      <c r="AL151" s="14">
        <f>IF(AND(V151=1,AND(OR(Painel!$L$6="Todas",E151=Painel!$L$6),OR(Painel!$C$8="Todos",F151=Painel!$C$8),OR(Painel!$L$8="Todos",G151=Painel!$L$8),OR(Painel!$C$10="",ISNUMBER(SEARCH(SUBSTITUTE(SUBSTITUTE(SUBSTITUTE(Painel!$C$10,"~","~~"),"*","~*"),"?","~?"),A151&amp;" "&amp;H151&amp;" "&amp;I151))))),1,0)</f>
        <v>1</v>
      </c>
      <c r="AM151" s="14">
        <f t="shared" si="22"/>
        <v>151</v>
      </c>
      <c r="AN151" s="14"/>
      <c r="AO151" s="14"/>
      <c r="AP151" s="16" t="str">
        <f>IF(AB151=0,"",IF(INDEX(Andamentos!$B$10:$B$2009,AB151)="","",INDEX(Andamentos!$B$10:$B$2009,AB151)))</f>
        <v/>
      </c>
      <c r="AQ151" s="17" t="str">
        <f>IF(AH151=0,"",IF(INDEX(Valores!$B$10:$B$509,AH151)="","",IF(ISNUMBER(INDEX(Valores!$B$10:$B$509,AH151)),INDEX(Valores!$B$10:$B$509,AH151),"")))</f>
        <v/>
      </c>
      <c r="AR151" s="14" t="str">
        <f t="shared" si="23"/>
        <v/>
      </c>
      <c r="AS151" s="14" t="str">
        <f t="shared" si="24"/>
        <v>P:1020133-58.2022.4.01.3800</v>
      </c>
      <c r="AT151" s="27" t="s">
        <v>1048</v>
      </c>
      <c r="AU151" s="31" t="s">
        <v>1046</v>
      </c>
      <c r="AV151" s="31"/>
      <c r="AW151" s="27"/>
      <c r="AX151" s="27" t="s">
        <v>1049</v>
      </c>
      <c r="AY151" s="27"/>
      <c r="AZ151" s="27"/>
      <c r="BA151" s="30" t="str">
        <f t="shared" si="25"/>
        <v>1020133-58.2022.4.01.3800</v>
      </c>
      <c r="BB151" s="30" t="str">
        <f t="shared" si="26"/>
        <v/>
      </c>
      <c r="BC151" s="30">
        <f>IF(X151=0,0,IF(COUNTIFS($X$10:X151,1,$BA$10:BA151,BA151)=1,1,0))</f>
        <v>1</v>
      </c>
      <c r="BD151" s="29">
        <v>46043</v>
      </c>
    </row>
    <row r="152" spans="1:56" ht="42" customHeight="1">
      <c r="A152" s="41" t="s">
        <v>1050</v>
      </c>
      <c r="B152" s="44" t="s">
        <v>1034</v>
      </c>
      <c r="C152" s="44" t="s">
        <v>300</v>
      </c>
      <c r="D152" s="44" t="s">
        <v>1035</v>
      </c>
      <c r="E152" s="44"/>
      <c r="F152" s="44"/>
      <c r="G152" s="44" t="s">
        <v>973</v>
      </c>
      <c r="H152" s="44"/>
      <c r="I152" s="44"/>
      <c r="J152" s="44"/>
      <c r="K152" s="44" t="s">
        <v>1037</v>
      </c>
      <c r="L152" s="49"/>
      <c r="M152" s="48"/>
      <c r="N152" s="48" t="s">
        <v>170</v>
      </c>
      <c r="O152" s="48"/>
      <c r="P152" s="48"/>
      <c r="Q152" s="48"/>
      <c r="R152" s="48"/>
      <c r="S152" s="49"/>
      <c r="T152" s="48"/>
      <c r="U152" s="48" t="s">
        <v>1051</v>
      </c>
      <c r="V152" s="14">
        <f t="shared" si="18"/>
        <v>1</v>
      </c>
      <c r="W152" s="14">
        <f t="shared" si="19"/>
        <v>1</v>
      </c>
      <c r="X152" s="14">
        <f>IF(AND(V152=1,OR(Painel!$C$6="Todos",D152=Painel!$C$6),AND(OR(Painel!$L$6="Todas",E152=Painel!$L$6),OR(Painel!$C$8="Todos",F152=Painel!$C$8),OR(Painel!$L$8="Todos",G152=Painel!$L$8),OR(Painel!$C$10="",ISNUMBER(SEARCH(SUBSTITUTE(SUBSTITUTE(SUBSTITUTE(Painel!$C$10,"~","~~"),"*","~*"),"?","~?"),A152&amp;" "&amp;H152&amp;" "&amp;I152))))),1,0)</f>
        <v>1</v>
      </c>
      <c r="Y152" s="14">
        <f t="shared" si="20"/>
        <v>0</v>
      </c>
      <c r="Z152" s="15">
        <f>IF(V152=0,"",IF(COUNTIFS(Andamentos!$K$10:$K$2009,"="&amp;SUBSTITUTE(SUBSTITUTE(SUBSTITUTE("P:"&amp;A152,"~","~~"),"*","~*"),"?","~?"),Andamentos!$G$10:$G$2009,1)=0,"",_xlfn.AGGREGATE(14,6,Andamentos!$D$10:$D$2009/((Andamentos!$K$10:$K$2009=AS152)*(Andamentos!$G$10:$G$2009=1)),1)))</f>
        <v>46044</v>
      </c>
      <c r="AA152" s="14">
        <f>IF(Z152="",0,COUNTIFS(Andamentos!$K$10:$K$2009,"="&amp;SUBSTITUTE(SUBSTITUTE(SUBSTITUTE("P:"&amp;A152,"~","~~"),"*","~*"),"?","~?"),Andamentos!$D$10:$D$2009,Z152,Andamentos!$G$10:$G$2009,1))</f>
        <v>1</v>
      </c>
      <c r="AB152" s="14">
        <f>IF(AA152=1,SUMIFS(Andamentos!$L$10:$L$2009,Andamentos!$K$10:$K$2009,"="&amp;SUBSTITUTE(SUBSTITUTE(SUBSTITUTE(AS152,"~","~~"),"*","~*"),"?","~?"),Andamentos!$D$10:$D$2009,Z152,Andamentos!$G$10:$G$2009,1)-9,0)</f>
        <v>142</v>
      </c>
      <c r="AC152" s="14" t="str">
        <f>IF(V152=0,"",IF(AA152&gt;1,"Conferir recebimentos empatados",IF(AB152=0,"Sem atualização",INDEX(Andamentos!$C$10:$C$2009,AB152))))</f>
        <v>Enviamos as informações para que as cópias dos documentos fossem posteriormente solicitadas ao DNIT. Contudo, a Polícia Federal expediu novo ofício requisitando os documentos; assim, será encaminhada nova resposta pelo advogado criminalista.</v>
      </c>
      <c r="AD152" s="14">
        <f ca="1">IF(W152=0,0,IF(MAX(Z152,BD152)=0,1,IF(Configurar!$J$12-INT(MAX(Z152,BD152))&gt;Configurar!$J$11,1,0)))</f>
        <v>1</v>
      </c>
      <c r="AE152" s="16"/>
      <c r="AF152" s="14"/>
      <c r="AG152" s="14"/>
      <c r="AH152" s="14">
        <f>IF(AND(V152=1,COUNTIFS(Valores!$S$10:$S$509,"="&amp;SUBSTITUTE(SUBSTITUTE(SUBSTITUTE("P:"&amp;A152,"~","~~"),"*","~*"),"?","~?"))=1),(IF(ISNA(MATCH(SUBSTITUTE(SUBSTITUTE(SUBSTITUTE("P:"&amp;A152,"~","~~"),"*","~*"),"?","~?"),Valores!$S$10:$S$509,0)),9,INDEX(Valores!$R$10:$R$509,MATCH(SUBSTITUTE(SUBSTITUTE(SUBSTITUTE("P:"&amp;A152,"~","~~"),"*","~*"),"?","~?"),Valores!$S$10:$S$509,0)))-9),0)</f>
        <v>143</v>
      </c>
      <c r="AI152" s="40" t="str">
        <f t="shared" si="21"/>
        <v>Informe a empresa responsável</v>
      </c>
      <c r="AJ152" s="14" t="str">
        <f>IF(AND(X152=1,Y152=1),COUNTIFS($X$10:X152,1,$Y$10:Y152,1),"")</f>
        <v/>
      </c>
      <c r="AK152" s="14">
        <f>IF(X152=1,COUNTIFS($X$10:X152,1),"")</f>
        <v>143</v>
      </c>
      <c r="AL152" s="14">
        <f>IF(AND(V152=1,AND(OR(Painel!$L$6="Todas",E152=Painel!$L$6),OR(Painel!$C$8="Todos",F152=Painel!$C$8),OR(Painel!$L$8="Todos",G152=Painel!$L$8),OR(Painel!$C$10="",ISNUMBER(SEARCH(SUBSTITUTE(SUBSTITUTE(SUBSTITUTE(Painel!$C$10,"~","~~"),"*","~*"),"?","~?"),A152&amp;" "&amp;H152&amp;" "&amp;I152))))),1,0)</f>
        <v>1</v>
      </c>
      <c r="AM152" s="14">
        <f t="shared" si="22"/>
        <v>152</v>
      </c>
      <c r="AN152" s="14"/>
      <c r="AO152" s="14"/>
      <c r="AP152" s="16" t="str">
        <f>IF(AB152=0,"",IF(INDEX(Andamentos!$B$10:$B$2009,AB152)="","",INDEX(Andamentos!$B$10:$B$2009,AB152)))</f>
        <v/>
      </c>
      <c r="AQ152" s="17" t="str">
        <f>IF(AH152=0,"",IF(INDEX(Valores!$B$10:$B$509,AH152)="","",IF(ISNUMBER(INDEX(Valores!$B$10:$B$509,AH152)),INDEX(Valores!$B$10:$B$509,AH152),"")))</f>
        <v/>
      </c>
      <c r="AR152" s="14" t="str">
        <f t="shared" si="23"/>
        <v/>
      </c>
      <c r="AS152" s="14" t="str">
        <f t="shared" si="24"/>
        <v>P:Inquérito Policial Federal n. 2024.0003162</v>
      </c>
      <c r="AT152" s="27" t="s">
        <v>1052</v>
      </c>
      <c r="AU152" s="31"/>
      <c r="AV152" s="31" t="s">
        <v>1050</v>
      </c>
      <c r="AW152" s="27"/>
      <c r="AX152" s="27" t="s">
        <v>1053</v>
      </c>
      <c r="AY152" s="27"/>
      <c r="AZ152" s="27"/>
      <c r="BA152" s="30" t="str">
        <f t="shared" si="25"/>
        <v>Inquérito Policial Federal n. 2024.0003162</v>
      </c>
      <c r="BB152" s="30" t="str">
        <f t="shared" si="26"/>
        <v/>
      </c>
      <c r="BC152" s="30">
        <f>IF(X152=0,0,IF(COUNTIFS($X$10:X152,1,$BA$10:BA152,BA152)=1,1,0))</f>
        <v>1</v>
      </c>
      <c r="BD152" s="29">
        <v>46044</v>
      </c>
    </row>
    <row r="153" spans="1:56" ht="42" customHeight="1">
      <c r="A153" s="41" t="s">
        <v>1054</v>
      </c>
      <c r="B153" s="44" t="s">
        <v>598</v>
      </c>
      <c r="C153" s="44" t="s">
        <v>300</v>
      </c>
      <c r="D153" s="44" t="s">
        <v>1035</v>
      </c>
      <c r="E153" s="44"/>
      <c r="F153" s="44"/>
      <c r="G153" s="44" t="s">
        <v>824</v>
      </c>
      <c r="H153" s="44" t="s">
        <v>1055</v>
      </c>
      <c r="I153" s="44" t="s">
        <v>166</v>
      </c>
      <c r="J153" s="44"/>
      <c r="K153" s="44"/>
      <c r="L153" s="49"/>
      <c r="M153" s="48" t="s">
        <v>1056</v>
      </c>
      <c r="N153" s="48" t="s">
        <v>170</v>
      </c>
      <c r="O153" s="48"/>
      <c r="P153" s="48"/>
      <c r="Q153" s="48"/>
      <c r="R153" s="48"/>
      <c r="S153" s="49"/>
      <c r="T153" s="48"/>
      <c r="U153" s="48" t="s">
        <v>1057</v>
      </c>
      <c r="V153" s="14">
        <f t="shared" si="18"/>
        <v>1</v>
      </c>
      <c r="W153" s="14">
        <f t="shared" si="19"/>
        <v>1</v>
      </c>
      <c r="X153" s="14">
        <f>IF(AND(V153=1,OR(Painel!$C$6="Todos",D153=Painel!$C$6),AND(OR(Painel!$L$6="Todas",E153=Painel!$L$6),OR(Painel!$C$8="Todos",F153=Painel!$C$8),OR(Painel!$L$8="Todos",G153=Painel!$L$8),OR(Painel!$C$10="",ISNUMBER(SEARCH(SUBSTITUTE(SUBSTITUTE(SUBSTITUTE(Painel!$C$10,"~","~~"),"*","~*"),"?","~?"),A153&amp;" "&amp;H153&amp;" "&amp;I153))))),1,0)</f>
        <v>1</v>
      </c>
      <c r="Y153" s="14">
        <f t="shared" si="20"/>
        <v>0</v>
      </c>
      <c r="Z153" s="15">
        <f>IF(V153=0,"",IF(COUNTIFS(Andamentos!$K$10:$K$2009,"="&amp;SUBSTITUTE(SUBSTITUTE(SUBSTITUTE("P:"&amp;A153,"~","~~"),"*","~*"),"?","~?"),Andamentos!$G$10:$G$2009,1)=0,"",_xlfn.AGGREGATE(14,6,Andamentos!$D$10:$D$2009/((Andamentos!$K$10:$K$2009=AS153)*(Andamentos!$G$10:$G$2009=1)),1)))</f>
        <v>46042</v>
      </c>
      <c r="AA153" s="14">
        <f>IF(Z153="",0,COUNTIFS(Andamentos!$K$10:$K$2009,"="&amp;SUBSTITUTE(SUBSTITUTE(SUBSTITUTE("P:"&amp;A153,"~","~~"),"*","~*"),"?","~?"),Andamentos!$D$10:$D$2009,Z153,Andamentos!$G$10:$G$2009,1))</f>
        <v>1</v>
      </c>
      <c r="AB153" s="14">
        <f>IF(AA153=1,SUMIFS(Andamentos!$L$10:$L$2009,Andamentos!$K$10:$K$2009,"="&amp;SUBSTITUTE(SUBSTITUTE(SUBSTITUTE(AS153,"~","~~"),"*","~*"),"?","~?"),Andamentos!$D$10:$D$2009,Z153,Andamentos!$G$10:$G$2009,1)-9,0)</f>
        <v>143</v>
      </c>
      <c r="AC153" s="14" t="str">
        <f>IF(V153=0,"",IF(AA153&gt;1,"Conferir recebimentos empatados",IF(AB153=0,"Sem atualização",INDEX(Andamentos!$C$10:$C$2009,AB153))))</f>
        <v>03/12/2025 - Decisão de multa de R$13.177,60 [...] histórico completo em Observações</v>
      </c>
      <c r="AD153" s="14">
        <f ca="1">IF(W153=0,0,IF(MAX(Z153,BD153)=0,1,IF(Configurar!$J$12-INT(MAX(Z153,BD153))&gt;Configurar!$J$11,1,0)))</f>
        <v>1</v>
      </c>
      <c r="AE153" s="16"/>
      <c r="AF153" s="14"/>
      <c r="AG153" s="14"/>
      <c r="AH153" s="14">
        <f>IF(AND(V153=1,COUNTIFS(Valores!$S$10:$S$509,"="&amp;SUBSTITUTE(SUBSTITUTE(SUBSTITUTE("P:"&amp;A153,"~","~~"),"*","~*"),"?","~?"))=1),(IF(ISNA(MATCH(SUBSTITUTE(SUBSTITUTE(SUBSTITUTE("P:"&amp;A153,"~","~~"),"*","~*"),"?","~?"),Valores!$S$10:$S$509,0)),9,INDEX(Valores!$R$10:$R$509,MATCH(SUBSTITUTE(SUBSTITUTE(SUBSTITUTE("P:"&amp;A153,"~","~~"),"*","~*"),"?","~?"),Valores!$S$10:$S$509,0)))-9),0)</f>
        <v>144</v>
      </c>
      <c r="AI153" s="40" t="str">
        <f t="shared" si="21"/>
        <v>Informe a empresa responsável</v>
      </c>
      <c r="AJ153" s="14" t="str">
        <f>IF(AND(X153=1,Y153=1),COUNTIFS($X$10:X153,1,$Y$10:Y153,1),"")</f>
        <v/>
      </c>
      <c r="AK153" s="14">
        <f>IF(X153=1,COUNTIFS($X$10:X153,1),"")</f>
        <v>144</v>
      </c>
      <c r="AL153" s="14">
        <f>IF(AND(V153=1,AND(OR(Painel!$L$6="Todas",E153=Painel!$L$6),OR(Painel!$C$8="Todos",F153=Painel!$C$8),OR(Painel!$L$8="Todos",G153=Painel!$L$8),OR(Painel!$C$10="",ISNUMBER(SEARCH(SUBSTITUTE(SUBSTITUTE(SUBSTITUTE(Painel!$C$10,"~","~~"),"*","~*"),"?","~?"),A153&amp;" "&amp;H153&amp;" "&amp;I153))))),1,0)</f>
        <v>1</v>
      </c>
      <c r="AM153" s="14">
        <f t="shared" si="22"/>
        <v>153</v>
      </c>
      <c r="AN153" s="14"/>
      <c r="AO153" s="14"/>
      <c r="AP153" s="16">
        <f>IF(AB153=0,"",IF(INDEX(Andamentos!$B$10:$B$2009,AB153)="","",INDEX(Andamentos!$B$10:$B$2009,AB153)))</f>
        <v>45994</v>
      </c>
      <c r="AQ153" s="17">
        <f>IF(AH153=0,"",IF(INDEX(Valores!$B$10:$B$509,AH153)="","",IF(ISNUMBER(INDEX(Valores!$B$10:$B$509,AH153)),INDEX(Valores!$B$10:$B$509,AH153),"")))</f>
        <v>13177.6</v>
      </c>
      <c r="AR153" s="14" t="str">
        <f t="shared" si="23"/>
        <v/>
      </c>
      <c r="AS153" s="14" t="str">
        <f t="shared" si="24"/>
        <v>P:50050.005489/2024- 74</v>
      </c>
      <c r="AT153" s="27" t="s">
        <v>1058</v>
      </c>
      <c r="AU153" s="31"/>
      <c r="AV153" s="31" t="s">
        <v>1054</v>
      </c>
      <c r="AW153" s="27"/>
      <c r="AX153" s="27" t="s">
        <v>1059</v>
      </c>
      <c r="AY153" s="27"/>
      <c r="AZ153" s="27"/>
      <c r="BA153" s="30" t="str">
        <f t="shared" si="25"/>
        <v>50050.005489/2024- 74</v>
      </c>
      <c r="BB153" s="30" t="str">
        <f t="shared" si="26"/>
        <v/>
      </c>
      <c r="BC153" s="30">
        <f>IF(X153=0,0,IF(COUNTIFS($X$10:X153,1,$BA$10:BA153,BA153)=1,1,0))</f>
        <v>1</v>
      </c>
      <c r="BD153" s="29">
        <v>46042</v>
      </c>
    </row>
    <row r="154" spans="1:56" ht="42" customHeight="1">
      <c r="A154" s="41" t="s">
        <v>1060</v>
      </c>
      <c r="B154" s="44" t="s">
        <v>1061</v>
      </c>
      <c r="C154" s="44" t="s">
        <v>300</v>
      </c>
      <c r="D154" s="44" t="s">
        <v>1062</v>
      </c>
      <c r="E154" s="44"/>
      <c r="F154" s="44" t="s">
        <v>844</v>
      </c>
      <c r="G154" s="44" t="s">
        <v>1063</v>
      </c>
      <c r="H154" s="44" t="s">
        <v>826</v>
      </c>
      <c r="I154" s="44" t="s">
        <v>1064</v>
      </c>
      <c r="J154" s="44"/>
      <c r="K154" s="44" t="s">
        <v>1065</v>
      </c>
      <c r="L154" s="49"/>
      <c r="M154" s="48" t="s">
        <v>1066</v>
      </c>
      <c r="N154" s="48" t="s">
        <v>170</v>
      </c>
      <c r="O154" s="48"/>
      <c r="P154" s="48"/>
      <c r="Q154" s="48"/>
      <c r="R154" s="48"/>
      <c r="S154" s="49"/>
      <c r="T154" s="48"/>
      <c r="U154" s="48" t="s">
        <v>1067</v>
      </c>
      <c r="V154" s="14">
        <f t="shared" si="18"/>
        <v>1</v>
      </c>
      <c r="W154" s="14">
        <f t="shared" si="19"/>
        <v>1</v>
      </c>
      <c r="X154" s="14">
        <f>IF(AND(V154=1,OR(Painel!$C$6="Todos",D154=Painel!$C$6),AND(OR(Painel!$L$6="Todas",E154=Painel!$L$6),OR(Painel!$C$8="Todos",F154=Painel!$C$8),OR(Painel!$L$8="Todos",G154=Painel!$L$8),OR(Painel!$C$10="",ISNUMBER(SEARCH(SUBSTITUTE(SUBSTITUTE(SUBSTITUTE(Painel!$C$10,"~","~~"),"*","~*"),"?","~?"),A154&amp;" "&amp;H154&amp;" "&amp;I154))))),1,0)</f>
        <v>1</v>
      </c>
      <c r="Y154" s="14">
        <f t="shared" si="20"/>
        <v>0</v>
      </c>
      <c r="Z154" s="15">
        <f>IF(V154=0,"",IF(COUNTIFS(Andamentos!$K$10:$K$2009,"="&amp;SUBSTITUTE(SUBSTITUTE(SUBSTITUTE("P:"&amp;A154,"~","~~"),"*","~*"),"?","~?"),Andamentos!$G$10:$G$2009,1)=0,"",_xlfn.AGGREGATE(14,6,Andamentos!$D$10:$D$2009/((Andamentos!$K$10:$K$2009=AS154)*(Andamentos!$G$10:$G$2009=1)),1)))</f>
        <v>46084</v>
      </c>
      <c r="AA154" s="14">
        <f>IF(Z154="",0,COUNTIFS(Andamentos!$K$10:$K$2009,"="&amp;SUBSTITUTE(SUBSTITUTE(SUBSTITUTE("P:"&amp;A154,"~","~~"),"*","~*"),"?","~?"),Andamentos!$D$10:$D$2009,Z154,Andamentos!$G$10:$G$2009,1))</f>
        <v>1</v>
      </c>
      <c r="AB154" s="14">
        <f>IF(AA154=1,SUMIFS(Andamentos!$L$10:$L$2009,Andamentos!$K$10:$K$2009,"="&amp;SUBSTITUTE(SUBSTITUTE(SUBSTITUTE(AS154,"~","~~"),"*","~*"),"?","~?"),Andamentos!$D$10:$D$2009,Z154,Andamentos!$G$10:$G$2009,1)-9,0)</f>
        <v>144</v>
      </c>
      <c r="AC154" s="14" t="str">
        <f>IF(V154=0,"",IF(AA154&gt;1,"Conferir recebimentos empatados",IF(AB154=0,"Sem atualização",INDEX(Andamentos!$C$10:$C$2009,AB154))))</f>
        <v>28/04/2026 - O parecer do MP propõe o julgamento das contas como regulares com ressalva, revogação da cautelar de suspesão de pagamentos e expedição de ciência ao DNIT para evitar a aprovação de projetos sem respaldo técnico-normativo adequado.
O processo encontra-se na fase instrutória da TCE, pendente de elaboração do relatório da Unidade Técnica. Esta etapa está focada na consolidação dos elementos de
prova para a formação da convicção sobre a responsabilidade dos envolvidos e a caracterização do eventual dano ao erário.
A última manifestação processual adveio de um Despacho, no qual se con [...] histórico completo em Observações</v>
      </c>
      <c r="AD154" s="14">
        <f ca="1">IF(W154=0,0,IF(MAX(Z154,BD154)=0,1,IF(Configurar!$J$12-INT(MAX(Z154,BD154))&gt;Configurar!$J$11,1,0)))</f>
        <v>1</v>
      </c>
      <c r="AE154" s="16"/>
      <c r="AF154" s="14"/>
      <c r="AG154" s="14"/>
      <c r="AH154" s="14">
        <f>IF(AND(V154=1,COUNTIFS(Valores!$S$10:$S$509,"="&amp;SUBSTITUTE(SUBSTITUTE(SUBSTITUTE("P:"&amp;A154,"~","~~"),"*","~*"),"?","~?"))=1),(IF(ISNA(MATCH(SUBSTITUTE(SUBSTITUTE(SUBSTITUTE("P:"&amp;A154,"~","~~"),"*","~*"),"?","~?"),Valores!$S$10:$S$509,0)),9,INDEX(Valores!$R$10:$R$509,MATCH(SUBSTITUTE(SUBSTITUTE(SUBSTITUTE("P:"&amp;A154,"~","~~"),"*","~*"),"?","~?"),Valores!$S$10:$S$509,0)))-9),0)</f>
        <v>145</v>
      </c>
      <c r="AI154" s="40" t="str">
        <f t="shared" si="21"/>
        <v>Informe a empresa responsável</v>
      </c>
      <c r="AJ154" s="14" t="str">
        <f>IF(AND(X154=1,Y154=1),COUNTIFS($X$10:X154,1,$Y$10:Y154,1),"")</f>
        <v/>
      </c>
      <c r="AK154" s="14">
        <f>IF(X154=1,COUNTIFS($X$10:X154,1),"")</f>
        <v>145</v>
      </c>
      <c r="AL154" s="14">
        <f>IF(AND(V154=1,AND(OR(Painel!$L$6="Todas",E154=Painel!$L$6),OR(Painel!$C$8="Todos",F154=Painel!$C$8),OR(Painel!$L$8="Todos",G154=Painel!$L$8),OR(Painel!$C$10="",ISNUMBER(SEARCH(SUBSTITUTE(SUBSTITUTE(SUBSTITUTE(Painel!$C$10,"~","~~"),"*","~*"),"?","~?"),A154&amp;" "&amp;H154&amp;" "&amp;I154))))),1,0)</f>
        <v>1</v>
      </c>
      <c r="AM154" s="14">
        <f t="shared" si="22"/>
        <v>154</v>
      </c>
      <c r="AN154" s="14"/>
      <c r="AO154" s="14"/>
      <c r="AP154" s="16">
        <f>IF(AB154=0,"",IF(INDEX(Andamentos!$B$10:$B$2009,AB154)="","",INDEX(Andamentos!$B$10:$B$2009,AB154)))</f>
        <v>46140</v>
      </c>
      <c r="AQ154" s="17" t="str">
        <f>IF(AH154=0,"",IF(INDEX(Valores!$B$10:$B$509,AH154)="","",IF(ISNUMBER(INDEX(Valores!$B$10:$B$509,AH154)),INDEX(Valores!$B$10:$B$509,AH154),"")))</f>
        <v/>
      </c>
      <c r="AR154" s="14" t="str">
        <f t="shared" si="23"/>
        <v/>
      </c>
      <c r="AS154" s="14" t="str">
        <f t="shared" si="24"/>
        <v>P:004.551/2022-2</v>
      </c>
      <c r="AT154" s="27" t="s">
        <v>1068</v>
      </c>
      <c r="AU154" s="31"/>
      <c r="AV154" s="31" t="s">
        <v>1060</v>
      </c>
      <c r="AW154" s="27" t="s">
        <v>316</v>
      </c>
      <c r="AX154" s="27"/>
      <c r="AY154" s="27"/>
      <c r="AZ154" s="27"/>
      <c r="BA154" s="30" t="str">
        <f t="shared" si="25"/>
        <v>004.551/2022-2</v>
      </c>
      <c r="BB154" s="30" t="str">
        <f t="shared" si="26"/>
        <v/>
      </c>
      <c r="BC154" s="30">
        <f>IF(X154=0,0,IF(COUNTIFS($X$10:X154,1,$BA$10:BA154,BA154)=1,1,0))</f>
        <v>1</v>
      </c>
      <c r="BD154" s="29">
        <v>46084</v>
      </c>
    </row>
    <row r="155" spans="1:56" ht="42" customHeight="1">
      <c r="A155" s="41" t="s">
        <v>1069</v>
      </c>
      <c r="B155" s="44" t="s">
        <v>598</v>
      </c>
      <c r="C155" s="44" t="s">
        <v>300</v>
      </c>
      <c r="D155" s="44" t="s">
        <v>1070</v>
      </c>
      <c r="E155" s="44"/>
      <c r="F155" s="44" t="s">
        <v>282</v>
      </c>
      <c r="G155" s="44" t="s">
        <v>824</v>
      </c>
      <c r="H155" s="44" t="s">
        <v>826</v>
      </c>
      <c r="I155" s="44" t="s">
        <v>1071</v>
      </c>
      <c r="J155" s="44"/>
      <c r="K155" s="44" t="s">
        <v>826</v>
      </c>
      <c r="L155" s="49">
        <v>44782</v>
      </c>
      <c r="M155" s="48" t="s">
        <v>1072</v>
      </c>
      <c r="N155" s="48" t="s">
        <v>170</v>
      </c>
      <c r="O155" s="48"/>
      <c r="P155" s="48"/>
      <c r="Q155" s="48"/>
      <c r="R155" s="48"/>
      <c r="S155" s="49"/>
      <c r="T155" s="48"/>
      <c r="U155" s="48" t="s">
        <v>1073</v>
      </c>
      <c r="V155" s="14">
        <f t="shared" si="18"/>
        <v>1</v>
      </c>
      <c r="W155" s="14">
        <f t="shared" si="19"/>
        <v>1</v>
      </c>
      <c r="X155" s="14">
        <f>IF(AND(V155=1,OR(Painel!$C$6="Todos",D155=Painel!$C$6),AND(OR(Painel!$L$6="Todas",E155=Painel!$L$6),OR(Painel!$C$8="Todos",F155=Painel!$C$8),OR(Painel!$L$8="Todos",G155=Painel!$L$8),OR(Painel!$C$10="",ISNUMBER(SEARCH(SUBSTITUTE(SUBSTITUTE(SUBSTITUTE(Painel!$C$10,"~","~~"),"*","~*"),"?","~?"),A155&amp;" "&amp;H155&amp;" "&amp;I155))))),1,0)</f>
        <v>1</v>
      </c>
      <c r="Y155" s="14">
        <f t="shared" si="20"/>
        <v>0</v>
      </c>
      <c r="Z155" s="15">
        <f>IF(V155=0,"",IF(COUNTIFS(Andamentos!$K$10:$K$2009,"="&amp;SUBSTITUTE(SUBSTITUTE(SUBSTITUTE("P:"&amp;A155,"~","~~"),"*","~*"),"?","~?"),Andamentos!$G$10:$G$2009,1)=0,"",_xlfn.AGGREGATE(14,6,Andamentos!$D$10:$D$2009/((Andamentos!$K$10:$K$2009=AS155)*(Andamentos!$G$10:$G$2009=1)),1)))</f>
        <v>45709</v>
      </c>
      <c r="AA155" s="14">
        <f>IF(Z155="",0,COUNTIFS(Andamentos!$K$10:$K$2009,"="&amp;SUBSTITUTE(SUBSTITUTE(SUBSTITUTE("P:"&amp;A155,"~","~~"),"*","~*"),"?","~?"),Andamentos!$D$10:$D$2009,Z155,Andamentos!$G$10:$G$2009,1))</f>
        <v>1</v>
      </c>
      <c r="AB155" s="14">
        <f>IF(AA155=1,SUMIFS(Andamentos!$L$10:$L$2009,Andamentos!$K$10:$K$2009,"="&amp;SUBSTITUTE(SUBSTITUTE(SUBSTITUTE(AS155,"~","~~"),"*","~*"),"?","~?"),Andamentos!$D$10:$D$2009,Z155,Andamentos!$G$10:$G$2009,1)-9,0)</f>
        <v>145</v>
      </c>
      <c r="AC155" s="14" t="str">
        <f>IF(V155=0,"",IF(AA155&gt;1,"Conferir recebimentos empatados",IF(AB155=0,"Sem atualização",INDEX(Andamentos!$C$10:$C$2009,AB155))))</f>
        <v>Em 09.08.2022 o DNIT enviou ofício notificação sobre a rescisão unilateral ao Contrato UT/12-00955/2018 (SEI 12145252);
Posteriormente, apresentamos (Consórcio) defesa/considerações ao ofício supramencionado, concordando com a rescisão, mas discordando quanto aos supostos motivos de rescisão elencados pelo órgão (SEI 123225492);
Após, o DNIT proferiu decisão administrativa de primeira instância, rejeitando os pedidos feitos, decidindo pela rescisão unilateral do contrato e com as consequências indicadas no artigo 80 da Lei 8.666/1993 (SEI 12447012);
Em 16.09.2022 o Consórcio informa sobre a pa [...] histórico completo em Observações</v>
      </c>
      <c r="AD155" s="14">
        <f ca="1">IF(W155=0,0,IF(MAX(Z155,BD155)=0,1,IF(Configurar!$J$12-INT(MAX(Z155,BD155))&gt;Configurar!$J$11,1,0)))</f>
        <v>1</v>
      </c>
      <c r="AE155" s="16"/>
      <c r="AF155" s="14"/>
      <c r="AG155" s="14"/>
      <c r="AH155" s="14">
        <f>IF(AND(V155=1,COUNTIFS(Valores!$S$10:$S$509,"="&amp;SUBSTITUTE(SUBSTITUTE(SUBSTITUTE("P:"&amp;A155,"~","~~"),"*","~*"),"?","~?"))=1),(IF(ISNA(MATCH(SUBSTITUTE(SUBSTITUTE(SUBSTITUTE("P:"&amp;A155,"~","~~"),"*","~*"),"?","~?"),Valores!$S$10:$S$509,0)),9,INDEX(Valores!$R$10:$R$509,MATCH(SUBSTITUTE(SUBSTITUTE(SUBSTITUTE("P:"&amp;A155,"~","~~"),"*","~*"),"?","~?"),Valores!$S$10:$S$509,0)))-9),0)</f>
        <v>146</v>
      </c>
      <c r="AI155" s="40" t="str">
        <f t="shared" si="21"/>
        <v>Informe a empresa responsável</v>
      </c>
      <c r="AJ155" s="14" t="str">
        <f>IF(AND(X155=1,Y155=1),COUNTIFS($X$10:X155,1,$Y$10:Y155,1),"")</f>
        <v/>
      </c>
      <c r="AK155" s="14">
        <f>IF(X155=1,COUNTIFS($X$10:X155,1),"")</f>
        <v>146</v>
      </c>
      <c r="AL155" s="14">
        <f>IF(AND(V155=1,AND(OR(Painel!$L$6="Todas",E155=Painel!$L$6),OR(Painel!$C$8="Todos",F155=Painel!$C$8),OR(Painel!$L$8="Todos",G155=Painel!$L$8),OR(Painel!$C$10="",ISNUMBER(SEARCH(SUBSTITUTE(SUBSTITUTE(SUBSTITUTE(Painel!$C$10,"~","~~"),"*","~*"),"?","~?"),A155&amp;" "&amp;H155&amp;" "&amp;I155))))),1,0)</f>
        <v>1</v>
      </c>
      <c r="AM155" s="14">
        <f t="shared" si="22"/>
        <v>155</v>
      </c>
      <c r="AN155" s="14"/>
      <c r="AO155" s="14"/>
      <c r="AP155" s="16" t="str">
        <f>IF(AB155=0,"",IF(INDEX(Andamentos!$B$10:$B$2009,AB155)="","",INDEX(Andamentos!$B$10:$B$2009,AB155)))</f>
        <v/>
      </c>
      <c r="AQ155" s="17" t="str">
        <f>IF(AH155=0,"",IF(INDEX(Valores!$B$10:$B$509,AH155)="","",IF(ISNUMBER(INDEX(Valores!$B$10:$B$509,AH155)),INDEX(Valores!$B$10:$B$509,AH155),"")))</f>
        <v/>
      </c>
      <c r="AR155" s="14" t="str">
        <f t="shared" si="23"/>
        <v/>
      </c>
      <c r="AS155" s="14" t="str">
        <f t="shared" si="24"/>
        <v>P:50612.000400/2018-22</v>
      </c>
      <c r="AT155" s="27" t="s">
        <v>1074</v>
      </c>
      <c r="AU155" s="31"/>
      <c r="AV155" s="31" t="s">
        <v>1069</v>
      </c>
      <c r="AW155" s="27"/>
      <c r="AX155" s="27" t="s">
        <v>1075</v>
      </c>
      <c r="AY155" s="27"/>
      <c r="AZ155" s="27"/>
      <c r="BA155" s="30" t="str">
        <f t="shared" si="25"/>
        <v>50612.000400/2018-22</v>
      </c>
      <c r="BB155" s="30" t="str">
        <f t="shared" si="26"/>
        <v/>
      </c>
      <c r="BC155" s="30">
        <f>IF(X155=0,0,IF(COUNTIFS($X$10:X155,1,$BA$10:BA155,BA155)=1,1,0))</f>
        <v>1</v>
      </c>
      <c r="BD155" s="29">
        <v>45709</v>
      </c>
    </row>
    <row r="156" spans="1:56" ht="42" customHeight="1">
      <c r="A156" s="41" t="s">
        <v>1076</v>
      </c>
      <c r="B156" s="44" t="s">
        <v>598</v>
      </c>
      <c r="C156" s="44"/>
      <c r="D156" s="44" t="s">
        <v>1077</v>
      </c>
      <c r="E156" s="44"/>
      <c r="F156" s="44"/>
      <c r="G156" s="44" t="s">
        <v>824</v>
      </c>
      <c r="H156" s="44"/>
      <c r="I156" s="44"/>
      <c r="J156" s="44"/>
      <c r="K156" s="44"/>
      <c r="L156" s="49"/>
      <c r="M156" s="48" t="s">
        <v>1078</v>
      </c>
      <c r="N156" s="48" t="s">
        <v>170</v>
      </c>
      <c r="O156" s="48"/>
      <c r="P156" s="48"/>
      <c r="Q156" s="48"/>
      <c r="R156" s="48"/>
      <c r="S156" s="49"/>
      <c r="T156" s="48"/>
      <c r="U156" s="48" t="s">
        <v>1079</v>
      </c>
      <c r="V156" s="14">
        <f t="shared" si="18"/>
        <v>1</v>
      </c>
      <c r="W156" s="14">
        <f t="shared" si="19"/>
        <v>0</v>
      </c>
      <c r="X156" s="14">
        <f>IF(AND(V156=1,OR(Painel!$C$6="Todos",D156=Painel!$C$6),AND(OR(Painel!$L$6="Todas",E156=Painel!$L$6),OR(Painel!$C$8="Todos",F156=Painel!$C$8),OR(Painel!$L$8="Todos",G156=Painel!$L$8),OR(Painel!$C$10="",ISNUMBER(SEARCH(SUBSTITUTE(SUBSTITUTE(SUBSTITUTE(Painel!$C$10,"~","~~"),"*","~*"),"?","~?"),A156&amp;" "&amp;H156&amp;" "&amp;I156))))),1,0)</f>
        <v>1</v>
      </c>
      <c r="Y156" s="14">
        <f t="shared" si="20"/>
        <v>0</v>
      </c>
      <c r="Z156" s="15">
        <f>IF(V156=0,"",IF(COUNTIFS(Andamentos!$K$10:$K$2009,"="&amp;SUBSTITUTE(SUBSTITUTE(SUBSTITUTE("P:"&amp;A156,"~","~~"),"*","~*"),"?","~?"),Andamentos!$G$10:$G$2009,1)=0,"",_xlfn.AGGREGATE(14,6,Andamentos!$D$10:$D$2009/((Andamentos!$K$10:$K$2009=AS156)*(Andamentos!$G$10:$G$2009=1)),1)))</f>
        <v>46259</v>
      </c>
      <c r="AA156" s="14">
        <f>IF(Z156="",0,COUNTIFS(Andamentos!$K$10:$K$2009,"="&amp;SUBSTITUTE(SUBSTITUTE(SUBSTITUTE("P:"&amp;A156,"~","~~"),"*","~*"),"?","~?"),Andamentos!$D$10:$D$2009,Z156,Andamentos!$G$10:$G$2009,1))</f>
        <v>1</v>
      </c>
      <c r="AB156" s="14">
        <f>IF(AA156=1,SUMIFS(Andamentos!$L$10:$L$2009,Andamentos!$K$10:$K$2009,"="&amp;SUBSTITUTE(SUBSTITUTE(SUBSTITUTE(AS156,"~","~~"),"*","~*"),"?","~?"),Andamentos!$D$10:$D$2009,Z156,Andamentos!$G$10:$G$2009,1)-9,0)</f>
        <v>146</v>
      </c>
      <c r="AC156" s="14" t="str">
        <f>IF(V156=0,"",IF(AA156&gt;1,"Conferir recebimentos empatados",IF(AB156=0,"Sem atualização",INDEX(Andamentos!$C$10:$C$2009,AB156))))</f>
        <v>Após a fase de julgamento das propostas técnicas e de preços, o Consórcio Parahyba 
foi classificado em primeiro lugar, com nota 97,18, enquanto o Consórcio Rodovias C_M_P 
obteve a segunda colocação, com nota 93,22. O Consórcio Parahyba foi convocado para 
apresentar planilha de preços e documentos de habilitação, tendo sua proposta aceita e sendo 
habilitado em 17 de abril de 2026.
O Consórcio Rodovias C_M_P interpôs recurso administrativo tempestivo, apontando 
irregularidades insanáveis na participação do Consórcio Parahyba.</v>
      </c>
      <c r="AD156" s="14">
        <f>IF(W156=0,0,IF(MAX(Z156,BD156)=0,1,IF(Configurar!$J$12-INT(MAX(Z156,BD156))&gt;Configurar!$J$11,1,0)))</f>
        <v>0</v>
      </c>
      <c r="AE156" s="16"/>
      <c r="AF156" s="14"/>
      <c r="AG156" s="14"/>
      <c r="AH156" s="14">
        <f>IF(AND(V156=1,COUNTIFS(Valores!$S$10:$S$509,"="&amp;SUBSTITUTE(SUBSTITUTE(SUBSTITUTE("P:"&amp;A156,"~","~~"),"*","~*"),"?","~?"))=1),(IF(ISNA(MATCH(SUBSTITUTE(SUBSTITUTE(SUBSTITUTE("P:"&amp;A156,"~","~~"),"*","~*"),"?","~?"),Valores!$S$10:$S$509,0)),9,INDEX(Valores!$R$10:$R$509,MATCH(SUBSTITUTE(SUBSTITUTE(SUBSTITUTE("P:"&amp;A156,"~","~~"),"*","~*"),"?","~?"),Valores!$S$10:$S$509,0)))-9),0)</f>
        <v>147</v>
      </c>
      <c r="AI156" s="40" t="str">
        <f t="shared" si="21"/>
        <v>Informe a situação</v>
      </c>
      <c r="AJ156" s="14" t="str">
        <f>IF(AND(X156=1,Y156=1),COUNTIFS($X$10:X156,1,$Y$10:Y156,1),"")</f>
        <v/>
      </c>
      <c r="AK156" s="14">
        <f>IF(X156=1,COUNTIFS($X$10:X156,1),"")</f>
        <v>147</v>
      </c>
      <c r="AL156" s="14">
        <f>IF(AND(V156=1,AND(OR(Painel!$L$6="Todas",E156=Painel!$L$6),OR(Painel!$C$8="Todos",F156=Painel!$C$8),OR(Painel!$L$8="Todos",G156=Painel!$L$8),OR(Painel!$C$10="",ISNUMBER(SEARCH(SUBSTITUTE(SUBSTITUTE(SUBSTITUTE(Painel!$C$10,"~","~~"),"*","~*"),"?","~?"),A156&amp;" "&amp;H156&amp;" "&amp;I156))))),1,0)</f>
        <v>1</v>
      </c>
      <c r="AM156" s="14">
        <f t="shared" si="22"/>
        <v>156</v>
      </c>
      <c r="AN156" s="14"/>
      <c r="AO156" s="14"/>
      <c r="AP156" s="16" t="str">
        <f>IF(AB156=0,"",IF(INDEX(Andamentos!$B$10:$B$2009,AB156)="","",INDEX(Andamentos!$B$10:$B$2009,AB156)))</f>
        <v/>
      </c>
      <c r="AQ156" s="17" t="str">
        <f>IF(AH156=0,"",IF(INDEX(Valores!$B$10:$B$509,AH156)="","",IF(ISNUMBER(INDEX(Valores!$B$10:$B$509,AH156)),INDEX(Valores!$B$10:$B$509,AH156),"")))</f>
        <v/>
      </c>
      <c r="AR156" s="14" t="str">
        <f t="shared" si="23"/>
        <v/>
      </c>
      <c r="AS156" s="14" t="str">
        <f t="shared" si="24"/>
        <v>P:Concorrência Eletrônica nº 90157/2025 – DNIT/PB.</v>
      </c>
      <c r="AT156" s="27" t="s">
        <v>1080</v>
      </c>
      <c r="AU156" s="31"/>
      <c r="AV156" s="31" t="s">
        <v>1076</v>
      </c>
      <c r="AW156" s="27"/>
      <c r="AX156" s="27"/>
      <c r="AY156" s="27"/>
      <c r="AZ156" s="27"/>
      <c r="BA156" s="30" t="str">
        <f t="shared" si="25"/>
        <v>Concorrência Eletrônica nº 90157/2025 – DNIT/PB.</v>
      </c>
      <c r="BB156" s="30" t="str">
        <f t="shared" si="26"/>
        <v/>
      </c>
      <c r="BC156" s="30">
        <f>IF(X156=0,0,IF(COUNTIFS($X$10:X156,1,$BA$10:BA156,BA156)=1,1,0))</f>
        <v>1</v>
      </c>
      <c r="BD156" s="29">
        <v>46259</v>
      </c>
    </row>
    <row r="157" spans="1:56" ht="42" customHeight="1">
      <c r="A157" s="41" t="s">
        <v>1081</v>
      </c>
      <c r="B157" s="44" t="s">
        <v>598</v>
      </c>
      <c r="C157" s="44"/>
      <c r="D157" s="44" t="s">
        <v>1082</v>
      </c>
      <c r="E157" s="44"/>
      <c r="F157" s="44"/>
      <c r="G157" s="44" t="s">
        <v>824</v>
      </c>
      <c r="H157" s="44" t="s">
        <v>1083</v>
      </c>
      <c r="I157" s="44" t="s">
        <v>1084</v>
      </c>
      <c r="J157" s="44"/>
      <c r="K157" s="44"/>
      <c r="L157" s="49"/>
      <c r="M157" s="48" t="s">
        <v>1085</v>
      </c>
      <c r="N157" s="48" t="s">
        <v>170</v>
      </c>
      <c r="O157" s="48"/>
      <c r="P157" s="48"/>
      <c r="Q157" s="48"/>
      <c r="R157" s="48"/>
      <c r="S157" s="49"/>
      <c r="T157" s="48"/>
      <c r="U157" s="48" t="s">
        <v>1086</v>
      </c>
      <c r="V157" s="14">
        <f t="shared" si="18"/>
        <v>1</v>
      </c>
      <c r="W157" s="14">
        <f t="shared" si="19"/>
        <v>0</v>
      </c>
      <c r="X157" s="14">
        <f>IF(AND(V157=1,OR(Painel!$C$6="Todos",D157=Painel!$C$6),AND(OR(Painel!$L$6="Todas",E157=Painel!$L$6),OR(Painel!$C$8="Todos",F157=Painel!$C$8),OR(Painel!$L$8="Todos",G157=Painel!$L$8),OR(Painel!$C$10="",ISNUMBER(SEARCH(SUBSTITUTE(SUBSTITUTE(SUBSTITUTE(Painel!$C$10,"~","~~"),"*","~*"),"?","~?"),A157&amp;" "&amp;H157&amp;" "&amp;I157))))),1,0)</f>
        <v>1</v>
      </c>
      <c r="Y157" s="14">
        <f t="shared" si="20"/>
        <v>0</v>
      </c>
      <c r="Z157" s="15">
        <f>IF(V157=0,"",IF(COUNTIFS(Andamentos!$K$10:$K$2009,"="&amp;SUBSTITUTE(SUBSTITUTE(SUBSTITUTE("P:"&amp;A157,"~","~~"),"*","~*"),"?","~?"),Andamentos!$G$10:$G$2009,1)=0,"",_xlfn.AGGREGATE(14,6,Andamentos!$D$10:$D$2009/((Andamentos!$K$10:$K$2009=AS157)*(Andamentos!$G$10:$G$2009=1)),1)))</f>
        <v>46259</v>
      </c>
      <c r="AA157" s="14">
        <f>IF(Z157="",0,COUNTIFS(Andamentos!$K$10:$K$2009,"="&amp;SUBSTITUTE(SUBSTITUTE(SUBSTITUTE("P:"&amp;A157,"~","~~"),"*","~*"),"?","~?"),Andamentos!$D$10:$D$2009,Z157,Andamentos!$G$10:$G$2009,1))</f>
        <v>1</v>
      </c>
      <c r="AB157" s="14">
        <f>IF(AA157=1,SUMIFS(Andamentos!$L$10:$L$2009,Andamentos!$K$10:$K$2009,"="&amp;SUBSTITUTE(SUBSTITUTE(SUBSTITUTE(AS157,"~","~~"),"*","~*"),"?","~?"),Andamentos!$D$10:$D$2009,Z157,Andamentos!$G$10:$G$2009,1)-9,0)</f>
        <v>147</v>
      </c>
      <c r="AC157" s="14" t="str">
        <f>IF(V157=0,"",IF(AA157&gt;1,"Conferir recebimentos empatados",IF(AB157=0,"Sem atualização",INDEX(Andamentos!$C$10:$C$2009,AB157))))</f>
        <v>25.08.2026 - Intimados para ciência do presente despacho.</v>
      </c>
      <c r="AD157" s="14">
        <f>IF(W157=0,0,IF(MAX(Z157,BD157)=0,1,IF(Configurar!$J$12-INT(MAX(Z157,BD157))&gt;Configurar!$J$11,1,0)))</f>
        <v>0</v>
      </c>
      <c r="AE157" s="16"/>
      <c r="AF157" s="14"/>
      <c r="AG157" s="14"/>
      <c r="AH157" s="14">
        <f>IF(AND(V157=1,COUNTIFS(Valores!$S$10:$S$509,"="&amp;SUBSTITUTE(SUBSTITUTE(SUBSTITUTE("P:"&amp;A157,"~","~~"),"*","~*"),"?","~?"))=1),(IF(ISNA(MATCH(SUBSTITUTE(SUBSTITUTE(SUBSTITUTE("P:"&amp;A157,"~","~~"),"*","~*"),"?","~?"),Valores!$S$10:$S$509,0)),9,INDEX(Valores!$R$10:$R$509,MATCH(SUBSTITUTE(SUBSTITUTE(SUBSTITUTE("P:"&amp;A157,"~","~~"),"*","~*"),"?","~?"),Valores!$S$10:$S$509,0)))-9),0)</f>
        <v>148</v>
      </c>
      <c r="AI157" s="40" t="str">
        <f t="shared" si="21"/>
        <v>Informe a situação</v>
      </c>
      <c r="AJ157" s="14" t="str">
        <f>IF(AND(X157=1,Y157=1),COUNTIFS($X$10:X157,1,$Y$10:Y157,1),"")</f>
        <v/>
      </c>
      <c r="AK157" s="14">
        <f>IF(X157=1,COUNTIFS($X$10:X157,1),"")</f>
        <v>148</v>
      </c>
      <c r="AL157" s="14">
        <f>IF(AND(V157=1,AND(OR(Painel!$L$6="Todas",E157=Painel!$L$6),OR(Painel!$C$8="Todos",F157=Painel!$C$8),OR(Painel!$L$8="Todos",G157=Painel!$L$8),OR(Painel!$C$10="",ISNUMBER(SEARCH(SUBSTITUTE(SUBSTITUTE(SUBSTITUTE(Painel!$C$10,"~","~~"),"*","~*"),"?","~?"),A157&amp;" "&amp;H157&amp;" "&amp;I157))))),1,0)</f>
        <v>1</v>
      </c>
      <c r="AM157" s="14">
        <f t="shared" si="22"/>
        <v>157</v>
      </c>
      <c r="AN157" s="14"/>
      <c r="AO157" s="14"/>
      <c r="AP157" s="16" t="str">
        <f>IF(AB157=0,"",IF(INDEX(Andamentos!$B$10:$B$2009,AB157)="","",INDEX(Andamentos!$B$10:$B$2009,AB157)))</f>
        <v/>
      </c>
      <c r="AQ157" s="17" t="str">
        <f>IF(AH157=0,"",IF(INDEX(Valores!$B$10:$B$509,AH157)="","",IF(ISNUMBER(INDEX(Valores!$B$10:$B$509,AH157)),INDEX(Valores!$B$10:$B$509,AH157),"")))</f>
        <v/>
      </c>
      <c r="AR157" s="14" t="str">
        <f t="shared" si="23"/>
        <v/>
      </c>
      <c r="AS157" s="14" t="str">
        <f t="shared" si="24"/>
        <v>P:51402.100197/2022-16</v>
      </c>
      <c r="AT157" s="27" t="s">
        <v>1087</v>
      </c>
      <c r="AU157" s="31"/>
      <c r="AV157" s="31" t="s">
        <v>1081</v>
      </c>
      <c r="AW157" s="27"/>
      <c r="AX157" s="27" t="s">
        <v>1088</v>
      </c>
      <c r="AY157" s="27"/>
      <c r="AZ157" s="27"/>
      <c r="BA157" s="30" t="str">
        <f t="shared" si="25"/>
        <v>51402.100197/2022-16</v>
      </c>
      <c r="BB157" s="30" t="str">
        <f t="shared" si="26"/>
        <v/>
      </c>
      <c r="BC157" s="30">
        <f>IF(X157=0,0,IF(COUNTIFS($X$10:X157,1,$BA$10:BA157,BA157)=1,1,0))</f>
        <v>1</v>
      </c>
      <c r="BD157" s="29">
        <v>46259</v>
      </c>
    </row>
    <row r="158" spans="1:56" ht="42" customHeight="1">
      <c r="A158" s="41"/>
      <c r="B158" s="44"/>
      <c r="C158" s="44"/>
      <c r="D158" s="44"/>
      <c r="E158" s="44"/>
      <c r="F158" s="44"/>
      <c r="G158" s="44"/>
      <c r="H158" s="44"/>
      <c r="I158" s="44"/>
      <c r="J158" s="44"/>
      <c r="K158" s="44"/>
      <c r="L158" s="49"/>
      <c r="M158" s="48"/>
      <c r="N158" s="48"/>
      <c r="O158" s="48"/>
      <c r="P158" s="48"/>
      <c r="Q158" s="48"/>
      <c r="R158" s="48"/>
      <c r="S158" s="49"/>
      <c r="T158" s="48"/>
      <c r="U158" s="48"/>
      <c r="V158" s="14">
        <f t="shared" si="18"/>
        <v>0</v>
      </c>
      <c r="W158" s="14">
        <f t="shared" si="19"/>
        <v>0</v>
      </c>
      <c r="X158" s="14">
        <f>IF(AND(V158=1,OR(Painel!$C$6="Todos",D158=Painel!$C$6),AND(OR(Painel!$L$6="Todas",E158=Painel!$L$6),OR(Painel!$C$8="Todos",F158=Painel!$C$8),OR(Painel!$L$8="Todos",G158=Painel!$L$8),OR(Painel!$C$10="",ISNUMBER(SEARCH(SUBSTITUTE(SUBSTITUTE(SUBSTITUTE(Painel!$C$10,"~","~~"),"*","~*"),"?","~?"),A158&amp;" "&amp;H158&amp;" "&amp;I158))))),1,0)</f>
        <v>0</v>
      </c>
      <c r="Y158" s="14">
        <f t="shared" si="20"/>
        <v>0</v>
      </c>
      <c r="Z158" s="15" t="str">
        <f>IF(V158=0,"",IF(COUNTIFS(Andamentos!$K$10:$K$2009,"="&amp;SUBSTITUTE(SUBSTITUTE(SUBSTITUTE("P:"&amp;A158,"~","~~"),"*","~*"),"?","~?"),Andamentos!$G$10:$G$2009,1)=0,"",_xlfn.AGGREGATE(14,6,Andamentos!$D$10:$D$2009/((Andamentos!$K$10:$K$2009=AS158)*(Andamentos!$G$10:$G$2009=1)),1)))</f>
        <v/>
      </c>
      <c r="AA158" s="14">
        <f>IF(Z158="",0,COUNTIFS(Andamentos!$K$10:$K$2009,"="&amp;SUBSTITUTE(SUBSTITUTE(SUBSTITUTE("P:"&amp;A158,"~","~~"),"*","~*"),"?","~?"),Andamentos!$D$10:$D$2009,Z158,Andamentos!$G$10:$G$2009,1))</f>
        <v>0</v>
      </c>
      <c r="AB158" s="14">
        <f>IF(AA158=1,SUMIFS(Andamentos!$L$10:$L$2009,Andamentos!$K$10:$K$2009,"="&amp;SUBSTITUTE(SUBSTITUTE(SUBSTITUTE(AS158,"~","~~"),"*","~*"),"?","~?"),Andamentos!$D$10:$D$2009,Z158,Andamentos!$G$10:$G$2009,1)-9,0)</f>
        <v>0</v>
      </c>
      <c r="AC158" s="14" t="str">
        <f>IF(V158=0,"",IF(AA158&gt;1,"Conferir recebimentos empatados",IF(AB158=0,"Sem atualização",INDEX(Andamentos!$C$10:$C$2009,AB158))))</f>
        <v/>
      </c>
      <c r="AD158" s="14">
        <f>IF(W158=0,0,IF(MAX(Z158,BD158)=0,1,IF(Configurar!$J$12-INT(MAX(Z158,BD158))&gt;Configurar!$J$11,1,0)))</f>
        <v>0</v>
      </c>
      <c r="AE158" s="16"/>
      <c r="AF158" s="14"/>
      <c r="AG158" s="14"/>
      <c r="AH158" s="14">
        <f>IF(AND(V158=1,COUNTIFS(Valores!$S$10:$S$509,"="&amp;SUBSTITUTE(SUBSTITUTE(SUBSTITUTE("P:"&amp;A158,"~","~~"),"*","~*"),"?","~?"))=1),(IF(ISNA(MATCH(SUBSTITUTE(SUBSTITUTE(SUBSTITUTE("P:"&amp;A158,"~","~~"),"*","~*"),"?","~?"),Valores!$S$10:$S$509,0)),9,INDEX(Valores!$R$10:$R$509,MATCH(SUBSTITUTE(SUBSTITUTE(SUBSTITUTE("P:"&amp;A158,"~","~~"),"*","~*"),"?","~?"),Valores!$S$10:$S$509,0)))-9),0)</f>
        <v>0</v>
      </c>
      <c r="AI158" s="40" t="str">
        <f t="shared" si="21"/>
        <v/>
      </c>
      <c r="AJ158" s="14" t="str">
        <f>IF(AND(X158=1,Y158=1),COUNTIFS($X$10:X158,1,$Y$10:Y158,1),"")</f>
        <v/>
      </c>
      <c r="AK158" s="14" t="str">
        <f>IF(X158=1,COUNTIFS($X$10:X158,1),"")</f>
        <v/>
      </c>
      <c r="AL158" s="14">
        <f>IF(AND(V158=1,AND(OR(Painel!$L$6="Todas",E158=Painel!$L$6),OR(Painel!$C$8="Todos",F158=Painel!$C$8),OR(Painel!$L$8="Todos",G158=Painel!$L$8),OR(Painel!$C$10="",ISNUMBER(SEARCH(SUBSTITUTE(SUBSTITUTE(SUBSTITUTE(Painel!$C$10,"~","~~"),"*","~*"),"?","~?"),A158&amp;" "&amp;H158&amp;" "&amp;I158))))),1,0)</f>
        <v>0</v>
      </c>
      <c r="AM158" s="14">
        <f t="shared" si="22"/>
        <v>0</v>
      </c>
      <c r="AN158" s="14"/>
      <c r="AO158" s="14"/>
      <c r="AP158" s="16" t="str">
        <f>IF(AB158=0,"",IF(INDEX(Andamentos!$B$10:$B$2009,AB158)="","",INDEX(Andamentos!$B$10:$B$2009,AB158)))</f>
        <v/>
      </c>
      <c r="AQ158" s="17" t="str">
        <f>IF(AH158=0,"",IF(INDEX(Valores!$B$10:$B$509,AH158)="","",IF(ISNUMBER(INDEX(Valores!$B$10:$B$509,AH158)),INDEX(Valores!$B$10:$B$509,AH158),"")))</f>
        <v/>
      </c>
      <c r="AR158" s="14" t="str">
        <f t="shared" si="23"/>
        <v/>
      </c>
      <c r="AS158" s="14" t="str">
        <f t="shared" si="24"/>
        <v/>
      </c>
      <c r="AT158" s="27"/>
      <c r="AU158" s="31"/>
      <c r="AV158" s="31"/>
      <c r="AW158" s="27"/>
      <c r="AX158" s="27"/>
      <c r="AY158" s="27"/>
      <c r="AZ158" s="27"/>
      <c r="BA158" s="30" t="str">
        <f t="shared" si="25"/>
        <v/>
      </c>
      <c r="BB158" s="30" t="str">
        <f t="shared" si="26"/>
        <v/>
      </c>
      <c r="BC158" s="30">
        <f>IF(X158=0,0,IF(COUNTIFS($X$10:X158,1,$BA$10:BA158,BA158)=1,1,0))</f>
        <v>0</v>
      </c>
      <c r="BD158" s="29"/>
    </row>
    <row r="159" spans="1:56" ht="42" customHeight="1">
      <c r="A159" s="41"/>
      <c r="B159" s="44"/>
      <c r="C159" s="44"/>
      <c r="D159" s="44"/>
      <c r="E159" s="44"/>
      <c r="F159" s="44"/>
      <c r="G159" s="44"/>
      <c r="H159" s="44"/>
      <c r="I159" s="44"/>
      <c r="J159" s="44"/>
      <c r="K159" s="44"/>
      <c r="L159" s="49"/>
      <c r="M159" s="48"/>
      <c r="N159" s="48"/>
      <c r="O159" s="48"/>
      <c r="P159" s="48"/>
      <c r="Q159" s="48"/>
      <c r="R159" s="48"/>
      <c r="S159" s="49"/>
      <c r="T159" s="48"/>
      <c r="U159" s="48"/>
      <c r="V159" s="14">
        <f t="shared" si="18"/>
        <v>0</v>
      </c>
      <c r="W159" s="14">
        <f t="shared" si="19"/>
        <v>0</v>
      </c>
      <c r="X159" s="14">
        <f>IF(AND(V159=1,OR(Painel!$C$6="Todos",D159=Painel!$C$6),AND(OR(Painel!$L$6="Todas",E159=Painel!$L$6),OR(Painel!$C$8="Todos",F159=Painel!$C$8),OR(Painel!$L$8="Todos",G159=Painel!$L$8),OR(Painel!$C$10="",ISNUMBER(SEARCH(SUBSTITUTE(SUBSTITUTE(SUBSTITUTE(Painel!$C$10,"~","~~"),"*","~*"),"?","~?"),A159&amp;" "&amp;H159&amp;" "&amp;I159))))),1,0)</f>
        <v>0</v>
      </c>
      <c r="Y159" s="14">
        <f t="shared" si="20"/>
        <v>0</v>
      </c>
      <c r="Z159" s="15" t="str">
        <f>IF(V159=0,"",IF(COUNTIFS(Andamentos!$K$10:$K$2009,"="&amp;SUBSTITUTE(SUBSTITUTE(SUBSTITUTE("P:"&amp;A159,"~","~~"),"*","~*"),"?","~?"),Andamentos!$G$10:$G$2009,1)=0,"",_xlfn.AGGREGATE(14,6,Andamentos!$D$10:$D$2009/((Andamentos!$K$10:$K$2009=AS159)*(Andamentos!$G$10:$G$2009=1)),1)))</f>
        <v/>
      </c>
      <c r="AA159" s="14">
        <f>IF(Z159="",0,COUNTIFS(Andamentos!$K$10:$K$2009,"="&amp;SUBSTITUTE(SUBSTITUTE(SUBSTITUTE("P:"&amp;A159,"~","~~"),"*","~*"),"?","~?"),Andamentos!$D$10:$D$2009,Z159,Andamentos!$G$10:$G$2009,1))</f>
        <v>0</v>
      </c>
      <c r="AB159" s="14">
        <f>IF(AA159=1,SUMIFS(Andamentos!$L$10:$L$2009,Andamentos!$K$10:$K$2009,"="&amp;SUBSTITUTE(SUBSTITUTE(SUBSTITUTE(AS159,"~","~~"),"*","~*"),"?","~?"),Andamentos!$D$10:$D$2009,Z159,Andamentos!$G$10:$G$2009,1)-9,0)</f>
        <v>0</v>
      </c>
      <c r="AC159" s="14" t="str">
        <f>IF(V159=0,"",IF(AA159&gt;1,"Conferir recebimentos empatados",IF(AB159=0,"Sem atualização",INDEX(Andamentos!$C$10:$C$2009,AB159))))</f>
        <v/>
      </c>
      <c r="AD159" s="14">
        <f>IF(W159=0,0,IF(MAX(Z159,BD159)=0,1,IF(Configurar!$J$12-INT(MAX(Z159,BD159))&gt;Configurar!$J$11,1,0)))</f>
        <v>0</v>
      </c>
      <c r="AE159" s="16"/>
      <c r="AF159" s="14"/>
      <c r="AG159" s="14"/>
      <c r="AH159" s="14">
        <f>IF(AND(V159=1,COUNTIFS(Valores!$S$10:$S$509,"="&amp;SUBSTITUTE(SUBSTITUTE(SUBSTITUTE("P:"&amp;A159,"~","~~"),"*","~*"),"?","~?"))=1),(IF(ISNA(MATCH(SUBSTITUTE(SUBSTITUTE(SUBSTITUTE("P:"&amp;A159,"~","~~"),"*","~*"),"?","~?"),Valores!$S$10:$S$509,0)),9,INDEX(Valores!$R$10:$R$509,MATCH(SUBSTITUTE(SUBSTITUTE(SUBSTITUTE("P:"&amp;A159,"~","~~"),"*","~*"),"?","~?"),Valores!$S$10:$S$509,0)))-9),0)</f>
        <v>0</v>
      </c>
      <c r="AI159" s="40" t="str">
        <f t="shared" si="21"/>
        <v/>
      </c>
      <c r="AJ159" s="14" t="str">
        <f>IF(AND(X159=1,Y159=1),COUNTIFS($X$10:X159,1,$Y$10:Y159,1),"")</f>
        <v/>
      </c>
      <c r="AK159" s="14" t="str">
        <f>IF(X159=1,COUNTIFS($X$10:X159,1),"")</f>
        <v/>
      </c>
      <c r="AL159" s="14">
        <f>IF(AND(V159=1,AND(OR(Painel!$L$6="Todas",E159=Painel!$L$6),OR(Painel!$C$8="Todos",F159=Painel!$C$8),OR(Painel!$L$8="Todos",G159=Painel!$L$8),OR(Painel!$C$10="",ISNUMBER(SEARCH(SUBSTITUTE(SUBSTITUTE(SUBSTITUTE(Painel!$C$10,"~","~~"),"*","~*"),"?","~?"),A159&amp;" "&amp;H159&amp;" "&amp;I159))))),1,0)</f>
        <v>0</v>
      </c>
      <c r="AM159" s="14">
        <f t="shared" si="22"/>
        <v>0</v>
      </c>
      <c r="AN159" s="14"/>
      <c r="AO159" s="14"/>
      <c r="AP159" s="16" t="str">
        <f>IF(AB159=0,"",IF(INDEX(Andamentos!$B$10:$B$2009,AB159)="","",INDEX(Andamentos!$B$10:$B$2009,AB159)))</f>
        <v/>
      </c>
      <c r="AQ159" s="17" t="str">
        <f>IF(AH159=0,"",IF(INDEX(Valores!$B$10:$B$509,AH159)="","",IF(ISNUMBER(INDEX(Valores!$B$10:$B$509,AH159)),INDEX(Valores!$B$10:$B$509,AH159),"")))</f>
        <v/>
      </c>
      <c r="AR159" s="14" t="str">
        <f t="shared" si="23"/>
        <v/>
      </c>
      <c r="AS159" s="14" t="str">
        <f t="shared" si="24"/>
        <v/>
      </c>
      <c r="AT159" s="27"/>
      <c r="AU159" s="31"/>
      <c r="AV159" s="31"/>
      <c r="AW159" s="27"/>
      <c r="AX159" s="27"/>
      <c r="AY159" s="27"/>
      <c r="AZ159" s="27"/>
      <c r="BA159" s="30" t="str">
        <f t="shared" si="25"/>
        <v/>
      </c>
      <c r="BB159" s="30" t="str">
        <f t="shared" si="26"/>
        <v/>
      </c>
      <c r="BC159" s="30">
        <f>IF(X159=0,0,IF(COUNTIFS($X$10:X159,1,$BA$10:BA159,BA159)=1,1,0))</f>
        <v>0</v>
      </c>
      <c r="BD159" s="29"/>
    </row>
    <row r="160" spans="1:56" ht="42" customHeight="1">
      <c r="A160" s="41"/>
      <c r="B160" s="44"/>
      <c r="C160" s="44"/>
      <c r="D160" s="44"/>
      <c r="E160" s="44"/>
      <c r="F160" s="44"/>
      <c r="G160" s="44"/>
      <c r="H160" s="44"/>
      <c r="I160" s="44"/>
      <c r="J160" s="44"/>
      <c r="K160" s="44"/>
      <c r="L160" s="49"/>
      <c r="M160" s="48"/>
      <c r="N160" s="48"/>
      <c r="O160" s="48"/>
      <c r="P160" s="48"/>
      <c r="Q160" s="48"/>
      <c r="R160" s="48"/>
      <c r="S160" s="49"/>
      <c r="T160" s="48"/>
      <c r="U160" s="48"/>
      <c r="V160" s="14">
        <f t="shared" si="18"/>
        <v>0</v>
      </c>
      <c r="W160" s="14">
        <f t="shared" si="19"/>
        <v>0</v>
      </c>
      <c r="X160" s="14">
        <f>IF(AND(V160=1,OR(Painel!$C$6="Todos",D160=Painel!$C$6),AND(OR(Painel!$L$6="Todas",E160=Painel!$L$6),OR(Painel!$C$8="Todos",F160=Painel!$C$8),OR(Painel!$L$8="Todos",G160=Painel!$L$8),OR(Painel!$C$10="",ISNUMBER(SEARCH(SUBSTITUTE(SUBSTITUTE(SUBSTITUTE(Painel!$C$10,"~","~~"),"*","~*"),"?","~?"),A160&amp;" "&amp;H160&amp;" "&amp;I160))))),1,0)</f>
        <v>0</v>
      </c>
      <c r="Y160" s="14">
        <f t="shared" si="20"/>
        <v>0</v>
      </c>
      <c r="Z160" s="15" t="str">
        <f>IF(V160=0,"",IF(COUNTIFS(Andamentos!$K$10:$K$2009,"="&amp;SUBSTITUTE(SUBSTITUTE(SUBSTITUTE("P:"&amp;A160,"~","~~"),"*","~*"),"?","~?"),Andamentos!$G$10:$G$2009,1)=0,"",_xlfn.AGGREGATE(14,6,Andamentos!$D$10:$D$2009/((Andamentos!$K$10:$K$2009=AS160)*(Andamentos!$G$10:$G$2009=1)),1)))</f>
        <v/>
      </c>
      <c r="AA160" s="14">
        <f>IF(Z160="",0,COUNTIFS(Andamentos!$K$10:$K$2009,"="&amp;SUBSTITUTE(SUBSTITUTE(SUBSTITUTE("P:"&amp;A160,"~","~~"),"*","~*"),"?","~?"),Andamentos!$D$10:$D$2009,Z160,Andamentos!$G$10:$G$2009,1))</f>
        <v>0</v>
      </c>
      <c r="AB160" s="14">
        <f>IF(AA160=1,SUMIFS(Andamentos!$L$10:$L$2009,Andamentos!$K$10:$K$2009,"="&amp;SUBSTITUTE(SUBSTITUTE(SUBSTITUTE(AS160,"~","~~"),"*","~*"),"?","~?"),Andamentos!$D$10:$D$2009,Z160,Andamentos!$G$10:$G$2009,1)-9,0)</f>
        <v>0</v>
      </c>
      <c r="AC160" s="14" t="str">
        <f>IF(V160=0,"",IF(AA160&gt;1,"Conferir recebimentos empatados",IF(AB160=0,"Sem atualização",INDEX(Andamentos!$C$10:$C$2009,AB160))))</f>
        <v/>
      </c>
      <c r="AD160" s="14">
        <f>IF(W160=0,0,IF(MAX(Z160,BD160)=0,1,IF(Configurar!$J$12-INT(MAX(Z160,BD160))&gt;Configurar!$J$11,1,0)))</f>
        <v>0</v>
      </c>
      <c r="AE160" s="16"/>
      <c r="AF160" s="14"/>
      <c r="AG160" s="14"/>
      <c r="AH160" s="14">
        <f>IF(AND(V160=1,COUNTIFS(Valores!$S$10:$S$509,"="&amp;SUBSTITUTE(SUBSTITUTE(SUBSTITUTE("P:"&amp;A160,"~","~~"),"*","~*"),"?","~?"))=1),(IF(ISNA(MATCH(SUBSTITUTE(SUBSTITUTE(SUBSTITUTE("P:"&amp;A160,"~","~~"),"*","~*"),"?","~?"),Valores!$S$10:$S$509,0)),9,INDEX(Valores!$R$10:$R$509,MATCH(SUBSTITUTE(SUBSTITUTE(SUBSTITUTE("P:"&amp;A160,"~","~~"),"*","~*"),"?","~?"),Valores!$S$10:$S$509,0)))-9),0)</f>
        <v>0</v>
      </c>
      <c r="AI160" s="40" t="str">
        <f t="shared" si="21"/>
        <v/>
      </c>
      <c r="AJ160" s="14" t="str">
        <f>IF(AND(X160=1,Y160=1),COUNTIFS($X$10:X160,1,$Y$10:Y160,1),"")</f>
        <v/>
      </c>
      <c r="AK160" s="14" t="str">
        <f>IF(X160=1,COUNTIFS($X$10:X160,1),"")</f>
        <v/>
      </c>
      <c r="AL160" s="14">
        <f>IF(AND(V160=1,AND(OR(Painel!$L$6="Todas",E160=Painel!$L$6),OR(Painel!$C$8="Todos",F160=Painel!$C$8),OR(Painel!$L$8="Todos",G160=Painel!$L$8),OR(Painel!$C$10="",ISNUMBER(SEARCH(SUBSTITUTE(SUBSTITUTE(SUBSTITUTE(Painel!$C$10,"~","~~"),"*","~*"),"?","~?"),A160&amp;" "&amp;H160&amp;" "&amp;I160))))),1,0)</f>
        <v>0</v>
      </c>
      <c r="AM160" s="14">
        <f t="shared" si="22"/>
        <v>0</v>
      </c>
      <c r="AN160" s="14"/>
      <c r="AO160" s="14"/>
      <c r="AP160" s="16" t="str">
        <f>IF(AB160=0,"",IF(INDEX(Andamentos!$B$10:$B$2009,AB160)="","",INDEX(Andamentos!$B$10:$B$2009,AB160)))</f>
        <v/>
      </c>
      <c r="AQ160" s="17" t="str">
        <f>IF(AH160=0,"",IF(INDEX(Valores!$B$10:$B$509,AH160)="","",IF(ISNUMBER(INDEX(Valores!$B$10:$B$509,AH160)),INDEX(Valores!$B$10:$B$509,AH160),"")))</f>
        <v/>
      </c>
      <c r="AR160" s="14" t="str">
        <f t="shared" si="23"/>
        <v/>
      </c>
      <c r="AS160" s="14" t="str">
        <f t="shared" si="24"/>
        <v/>
      </c>
      <c r="AT160" s="27"/>
      <c r="AU160" s="31"/>
      <c r="AV160" s="31"/>
      <c r="AW160" s="27"/>
      <c r="AX160" s="27"/>
      <c r="AY160" s="27"/>
      <c r="AZ160" s="27"/>
      <c r="BA160" s="30" t="str">
        <f t="shared" si="25"/>
        <v/>
      </c>
      <c r="BB160" s="30" t="str">
        <f t="shared" si="26"/>
        <v/>
      </c>
      <c r="BC160" s="30">
        <f>IF(X160=0,0,IF(COUNTIFS($X$10:X160,1,$BA$10:BA160,BA160)=1,1,0))</f>
        <v>0</v>
      </c>
      <c r="BD160" s="29"/>
    </row>
    <row r="161" spans="1:56" ht="42" customHeight="1">
      <c r="A161" s="41"/>
      <c r="B161" s="44"/>
      <c r="C161" s="44"/>
      <c r="D161" s="44"/>
      <c r="E161" s="44"/>
      <c r="F161" s="44"/>
      <c r="G161" s="44"/>
      <c r="H161" s="44"/>
      <c r="I161" s="44"/>
      <c r="J161" s="44"/>
      <c r="K161" s="44"/>
      <c r="L161" s="49"/>
      <c r="M161" s="48"/>
      <c r="N161" s="48"/>
      <c r="O161" s="48"/>
      <c r="P161" s="48"/>
      <c r="Q161" s="48"/>
      <c r="R161" s="48"/>
      <c r="S161" s="49"/>
      <c r="T161" s="48"/>
      <c r="U161" s="48"/>
      <c r="V161" s="14">
        <f t="shared" si="18"/>
        <v>0</v>
      </c>
      <c r="W161" s="14">
        <f t="shared" si="19"/>
        <v>0</v>
      </c>
      <c r="X161" s="14">
        <f>IF(AND(V161=1,OR(Painel!$C$6="Todos",D161=Painel!$C$6),AND(OR(Painel!$L$6="Todas",E161=Painel!$L$6),OR(Painel!$C$8="Todos",F161=Painel!$C$8),OR(Painel!$L$8="Todos",G161=Painel!$L$8),OR(Painel!$C$10="",ISNUMBER(SEARCH(SUBSTITUTE(SUBSTITUTE(SUBSTITUTE(Painel!$C$10,"~","~~"),"*","~*"),"?","~?"),A161&amp;" "&amp;H161&amp;" "&amp;I161))))),1,0)</f>
        <v>0</v>
      </c>
      <c r="Y161" s="14">
        <f t="shared" si="20"/>
        <v>0</v>
      </c>
      <c r="Z161" s="15" t="str">
        <f>IF(V161=0,"",IF(COUNTIFS(Andamentos!$K$10:$K$2009,"="&amp;SUBSTITUTE(SUBSTITUTE(SUBSTITUTE("P:"&amp;A161,"~","~~"),"*","~*"),"?","~?"),Andamentos!$G$10:$G$2009,1)=0,"",_xlfn.AGGREGATE(14,6,Andamentos!$D$10:$D$2009/((Andamentos!$K$10:$K$2009=AS161)*(Andamentos!$G$10:$G$2009=1)),1)))</f>
        <v/>
      </c>
      <c r="AA161" s="14">
        <f>IF(Z161="",0,COUNTIFS(Andamentos!$K$10:$K$2009,"="&amp;SUBSTITUTE(SUBSTITUTE(SUBSTITUTE("P:"&amp;A161,"~","~~"),"*","~*"),"?","~?"),Andamentos!$D$10:$D$2009,Z161,Andamentos!$G$10:$G$2009,1))</f>
        <v>0</v>
      </c>
      <c r="AB161" s="14">
        <f>IF(AA161=1,SUMIFS(Andamentos!$L$10:$L$2009,Andamentos!$K$10:$K$2009,"="&amp;SUBSTITUTE(SUBSTITUTE(SUBSTITUTE(AS161,"~","~~"),"*","~*"),"?","~?"),Andamentos!$D$10:$D$2009,Z161,Andamentos!$G$10:$G$2009,1)-9,0)</f>
        <v>0</v>
      </c>
      <c r="AC161" s="14" t="str">
        <f>IF(V161=0,"",IF(AA161&gt;1,"Conferir recebimentos empatados",IF(AB161=0,"Sem atualização",INDEX(Andamentos!$C$10:$C$2009,AB161))))</f>
        <v/>
      </c>
      <c r="AD161" s="14">
        <f>IF(W161=0,0,IF(MAX(Z161,BD161)=0,1,IF(Configurar!$J$12-INT(MAX(Z161,BD161))&gt;Configurar!$J$11,1,0)))</f>
        <v>0</v>
      </c>
      <c r="AE161" s="16"/>
      <c r="AF161" s="14"/>
      <c r="AG161" s="14"/>
      <c r="AH161" s="14">
        <f>IF(AND(V161=1,COUNTIFS(Valores!$S$10:$S$509,"="&amp;SUBSTITUTE(SUBSTITUTE(SUBSTITUTE("P:"&amp;A161,"~","~~"),"*","~*"),"?","~?"))=1),(IF(ISNA(MATCH(SUBSTITUTE(SUBSTITUTE(SUBSTITUTE("P:"&amp;A161,"~","~~"),"*","~*"),"?","~?"),Valores!$S$10:$S$509,0)),9,INDEX(Valores!$R$10:$R$509,MATCH(SUBSTITUTE(SUBSTITUTE(SUBSTITUTE("P:"&amp;A161,"~","~~"),"*","~*"),"?","~?"),Valores!$S$10:$S$509,0)))-9),0)</f>
        <v>0</v>
      </c>
      <c r="AI161" s="40" t="str">
        <f t="shared" si="21"/>
        <v/>
      </c>
      <c r="AJ161" s="14" t="str">
        <f>IF(AND(X161=1,Y161=1),COUNTIFS($X$10:X161,1,$Y$10:Y161,1),"")</f>
        <v/>
      </c>
      <c r="AK161" s="14" t="str">
        <f>IF(X161=1,COUNTIFS($X$10:X161,1),"")</f>
        <v/>
      </c>
      <c r="AL161" s="14">
        <f>IF(AND(V161=1,AND(OR(Painel!$L$6="Todas",E161=Painel!$L$6),OR(Painel!$C$8="Todos",F161=Painel!$C$8),OR(Painel!$L$8="Todos",G161=Painel!$L$8),OR(Painel!$C$10="",ISNUMBER(SEARCH(SUBSTITUTE(SUBSTITUTE(SUBSTITUTE(Painel!$C$10,"~","~~"),"*","~*"),"?","~?"),A161&amp;" "&amp;H161&amp;" "&amp;I161))))),1,0)</f>
        <v>0</v>
      </c>
      <c r="AM161" s="14">
        <f t="shared" si="22"/>
        <v>0</v>
      </c>
      <c r="AN161" s="14"/>
      <c r="AO161" s="14"/>
      <c r="AP161" s="16" t="str">
        <f>IF(AB161=0,"",IF(INDEX(Andamentos!$B$10:$B$2009,AB161)="","",INDEX(Andamentos!$B$10:$B$2009,AB161)))</f>
        <v/>
      </c>
      <c r="AQ161" s="17" t="str">
        <f>IF(AH161=0,"",IF(INDEX(Valores!$B$10:$B$509,AH161)="","",IF(ISNUMBER(INDEX(Valores!$B$10:$B$509,AH161)),INDEX(Valores!$B$10:$B$509,AH161),"")))</f>
        <v/>
      </c>
      <c r="AR161" s="14" t="str">
        <f t="shared" si="23"/>
        <v/>
      </c>
      <c r="AS161" s="14" t="str">
        <f t="shared" si="24"/>
        <v/>
      </c>
      <c r="AT161" s="27"/>
      <c r="AU161" s="31"/>
      <c r="AV161" s="31"/>
      <c r="AW161" s="27"/>
      <c r="AX161" s="27"/>
      <c r="AY161" s="27"/>
      <c r="AZ161" s="27"/>
      <c r="BA161" s="30" t="str">
        <f t="shared" si="25"/>
        <v/>
      </c>
      <c r="BB161" s="30" t="str">
        <f t="shared" si="26"/>
        <v/>
      </c>
      <c r="BC161" s="30">
        <f>IF(X161=0,0,IF(COUNTIFS($X$10:X161,1,$BA$10:BA161,BA161)=1,1,0))</f>
        <v>0</v>
      </c>
      <c r="BD161" s="29"/>
    </row>
    <row r="162" spans="1:56" ht="42" customHeight="1">
      <c r="A162" s="41"/>
      <c r="B162" s="44"/>
      <c r="C162" s="44"/>
      <c r="D162" s="44"/>
      <c r="E162" s="44"/>
      <c r="F162" s="44"/>
      <c r="G162" s="44"/>
      <c r="H162" s="44"/>
      <c r="I162" s="44"/>
      <c r="J162" s="44"/>
      <c r="K162" s="44"/>
      <c r="L162" s="49"/>
      <c r="M162" s="48"/>
      <c r="N162" s="48"/>
      <c r="O162" s="48"/>
      <c r="P162" s="48"/>
      <c r="Q162" s="48"/>
      <c r="R162" s="48"/>
      <c r="S162" s="49"/>
      <c r="T162" s="48"/>
      <c r="U162" s="48"/>
      <c r="V162" s="14">
        <f t="shared" si="18"/>
        <v>0</v>
      </c>
      <c r="W162" s="14">
        <f t="shared" si="19"/>
        <v>0</v>
      </c>
      <c r="X162" s="14">
        <f>IF(AND(V162=1,OR(Painel!$C$6="Todos",D162=Painel!$C$6),AND(OR(Painel!$L$6="Todas",E162=Painel!$L$6),OR(Painel!$C$8="Todos",F162=Painel!$C$8),OR(Painel!$L$8="Todos",G162=Painel!$L$8),OR(Painel!$C$10="",ISNUMBER(SEARCH(SUBSTITUTE(SUBSTITUTE(SUBSTITUTE(Painel!$C$10,"~","~~"),"*","~*"),"?","~?"),A162&amp;" "&amp;H162&amp;" "&amp;I162))))),1,0)</f>
        <v>0</v>
      </c>
      <c r="Y162" s="14">
        <f t="shared" si="20"/>
        <v>0</v>
      </c>
      <c r="Z162" s="15" t="str">
        <f>IF(V162=0,"",IF(COUNTIFS(Andamentos!$K$10:$K$2009,"="&amp;SUBSTITUTE(SUBSTITUTE(SUBSTITUTE("P:"&amp;A162,"~","~~"),"*","~*"),"?","~?"),Andamentos!$G$10:$G$2009,1)=0,"",_xlfn.AGGREGATE(14,6,Andamentos!$D$10:$D$2009/((Andamentos!$K$10:$K$2009=AS162)*(Andamentos!$G$10:$G$2009=1)),1)))</f>
        <v/>
      </c>
      <c r="AA162" s="14">
        <f>IF(Z162="",0,COUNTIFS(Andamentos!$K$10:$K$2009,"="&amp;SUBSTITUTE(SUBSTITUTE(SUBSTITUTE("P:"&amp;A162,"~","~~"),"*","~*"),"?","~?"),Andamentos!$D$10:$D$2009,Z162,Andamentos!$G$10:$G$2009,1))</f>
        <v>0</v>
      </c>
      <c r="AB162" s="14">
        <f>IF(AA162=1,SUMIFS(Andamentos!$L$10:$L$2009,Andamentos!$K$10:$K$2009,"="&amp;SUBSTITUTE(SUBSTITUTE(SUBSTITUTE(AS162,"~","~~"),"*","~*"),"?","~?"),Andamentos!$D$10:$D$2009,Z162,Andamentos!$G$10:$G$2009,1)-9,0)</f>
        <v>0</v>
      </c>
      <c r="AC162" s="14" t="str">
        <f>IF(V162=0,"",IF(AA162&gt;1,"Conferir recebimentos empatados",IF(AB162=0,"Sem atualização",INDEX(Andamentos!$C$10:$C$2009,AB162))))</f>
        <v/>
      </c>
      <c r="AD162" s="14">
        <f>IF(W162=0,0,IF(MAX(Z162,BD162)=0,1,IF(Configurar!$J$12-INT(MAX(Z162,BD162))&gt;Configurar!$J$11,1,0)))</f>
        <v>0</v>
      </c>
      <c r="AE162" s="16"/>
      <c r="AF162" s="14"/>
      <c r="AG162" s="14"/>
      <c r="AH162" s="14">
        <f>IF(AND(V162=1,COUNTIFS(Valores!$S$10:$S$509,"="&amp;SUBSTITUTE(SUBSTITUTE(SUBSTITUTE("P:"&amp;A162,"~","~~"),"*","~*"),"?","~?"))=1),(IF(ISNA(MATCH(SUBSTITUTE(SUBSTITUTE(SUBSTITUTE("P:"&amp;A162,"~","~~"),"*","~*"),"?","~?"),Valores!$S$10:$S$509,0)),9,INDEX(Valores!$R$10:$R$509,MATCH(SUBSTITUTE(SUBSTITUTE(SUBSTITUTE("P:"&amp;A162,"~","~~"),"*","~*"),"?","~?"),Valores!$S$10:$S$509,0)))-9),0)</f>
        <v>0</v>
      </c>
      <c r="AI162" s="40" t="str">
        <f t="shared" si="21"/>
        <v/>
      </c>
      <c r="AJ162" s="14" t="str">
        <f>IF(AND(X162=1,Y162=1),COUNTIFS($X$10:X162,1,$Y$10:Y162,1),"")</f>
        <v/>
      </c>
      <c r="AK162" s="14" t="str">
        <f>IF(X162=1,COUNTIFS($X$10:X162,1),"")</f>
        <v/>
      </c>
      <c r="AL162" s="14">
        <f>IF(AND(V162=1,AND(OR(Painel!$L$6="Todas",E162=Painel!$L$6),OR(Painel!$C$8="Todos",F162=Painel!$C$8),OR(Painel!$L$8="Todos",G162=Painel!$L$8),OR(Painel!$C$10="",ISNUMBER(SEARCH(SUBSTITUTE(SUBSTITUTE(SUBSTITUTE(Painel!$C$10,"~","~~"),"*","~*"),"?","~?"),A162&amp;" "&amp;H162&amp;" "&amp;I162))))),1,0)</f>
        <v>0</v>
      </c>
      <c r="AM162" s="14">
        <f t="shared" si="22"/>
        <v>0</v>
      </c>
      <c r="AN162" s="14"/>
      <c r="AO162" s="14"/>
      <c r="AP162" s="16" t="str">
        <f>IF(AB162=0,"",IF(INDEX(Andamentos!$B$10:$B$2009,AB162)="","",INDEX(Andamentos!$B$10:$B$2009,AB162)))</f>
        <v/>
      </c>
      <c r="AQ162" s="17" t="str">
        <f>IF(AH162=0,"",IF(INDEX(Valores!$B$10:$B$509,AH162)="","",IF(ISNUMBER(INDEX(Valores!$B$10:$B$509,AH162)),INDEX(Valores!$B$10:$B$509,AH162),"")))</f>
        <v/>
      </c>
      <c r="AR162" s="14" t="str">
        <f t="shared" si="23"/>
        <v/>
      </c>
      <c r="AS162" s="14" t="str">
        <f t="shared" si="24"/>
        <v/>
      </c>
      <c r="AT162" s="27"/>
      <c r="AU162" s="31"/>
      <c r="AV162" s="31"/>
      <c r="AW162" s="27"/>
      <c r="AX162" s="27"/>
      <c r="AY162" s="27"/>
      <c r="AZ162" s="27"/>
      <c r="BA162" s="30" t="str">
        <f t="shared" si="25"/>
        <v/>
      </c>
      <c r="BB162" s="30" t="str">
        <f t="shared" si="26"/>
        <v/>
      </c>
      <c r="BC162" s="30">
        <f>IF(X162=0,0,IF(COUNTIFS($X$10:X162,1,$BA$10:BA162,BA162)=1,1,0))</f>
        <v>0</v>
      </c>
      <c r="BD162" s="29"/>
    </row>
    <row r="163" spans="1:56" ht="42" customHeight="1">
      <c r="A163" s="41"/>
      <c r="B163" s="44"/>
      <c r="C163" s="44"/>
      <c r="D163" s="44"/>
      <c r="E163" s="44"/>
      <c r="F163" s="44"/>
      <c r="G163" s="44"/>
      <c r="H163" s="44"/>
      <c r="I163" s="44"/>
      <c r="J163" s="44"/>
      <c r="K163" s="44"/>
      <c r="L163" s="49"/>
      <c r="M163" s="48"/>
      <c r="N163" s="48"/>
      <c r="O163" s="48"/>
      <c r="P163" s="48"/>
      <c r="Q163" s="48"/>
      <c r="R163" s="48"/>
      <c r="S163" s="49"/>
      <c r="T163" s="48"/>
      <c r="U163" s="48"/>
      <c r="V163" s="14">
        <f t="shared" si="18"/>
        <v>0</v>
      </c>
      <c r="W163" s="14">
        <f t="shared" si="19"/>
        <v>0</v>
      </c>
      <c r="X163" s="14">
        <f>IF(AND(V163=1,OR(Painel!$C$6="Todos",D163=Painel!$C$6),AND(OR(Painel!$L$6="Todas",E163=Painel!$L$6),OR(Painel!$C$8="Todos",F163=Painel!$C$8),OR(Painel!$L$8="Todos",G163=Painel!$L$8),OR(Painel!$C$10="",ISNUMBER(SEARCH(SUBSTITUTE(SUBSTITUTE(SUBSTITUTE(Painel!$C$10,"~","~~"),"*","~*"),"?","~?"),A163&amp;" "&amp;H163&amp;" "&amp;I163))))),1,0)</f>
        <v>0</v>
      </c>
      <c r="Y163" s="14">
        <f t="shared" si="20"/>
        <v>0</v>
      </c>
      <c r="Z163" s="15" t="str">
        <f>IF(V163=0,"",IF(COUNTIFS(Andamentos!$K$10:$K$2009,"="&amp;SUBSTITUTE(SUBSTITUTE(SUBSTITUTE("P:"&amp;A163,"~","~~"),"*","~*"),"?","~?"),Andamentos!$G$10:$G$2009,1)=0,"",_xlfn.AGGREGATE(14,6,Andamentos!$D$10:$D$2009/((Andamentos!$K$10:$K$2009=AS163)*(Andamentos!$G$10:$G$2009=1)),1)))</f>
        <v/>
      </c>
      <c r="AA163" s="14">
        <f>IF(Z163="",0,COUNTIFS(Andamentos!$K$10:$K$2009,"="&amp;SUBSTITUTE(SUBSTITUTE(SUBSTITUTE("P:"&amp;A163,"~","~~"),"*","~*"),"?","~?"),Andamentos!$D$10:$D$2009,Z163,Andamentos!$G$10:$G$2009,1))</f>
        <v>0</v>
      </c>
      <c r="AB163" s="14">
        <f>IF(AA163=1,SUMIFS(Andamentos!$L$10:$L$2009,Andamentos!$K$10:$K$2009,"="&amp;SUBSTITUTE(SUBSTITUTE(SUBSTITUTE(AS163,"~","~~"),"*","~*"),"?","~?"),Andamentos!$D$10:$D$2009,Z163,Andamentos!$G$10:$G$2009,1)-9,0)</f>
        <v>0</v>
      </c>
      <c r="AC163" s="14" t="str">
        <f>IF(V163=0,"",IF(AA163&gt;1,"Conferir recebimentos empatados",IF(AB163=0,"Sem atualização",INDEX(Andamentos!$C$10:$C$2009,AB163))))</f>
        <v/>
      </c>
      <c r="AD163" s="14">
        <f>IF(W163=0,0,IF(MAX(Z163,BD163)=0,1,IF(Configurar!$J$12-INT(MAX(Z163,BD163))&gt;Configurar!$J$11,1,0)))</f>
        <v>0</v>
      </c>
      <c r="AE163" s="16"/>
      <c r="AF163" s="14"/>
      <c r="AG163" s="14"/>
      <c r="AH163" s="14">
        <f>IF(AND(V163=1,COUNTIFS(Valores!$S$10:$S$509,"="&amp;SUBSTITUTE(SUBSTITUTE(SUBSTITUTE("P:"&amp;A163,"~","~~"),"*","~*"),"?","~?"))=1),(IF(ISNA(MATCH(SUBSTITUTE(SUBSTITUTE(SUBSTITUTE("P:"&amp;A163,"~","~~"),"*","~*"),"?","~?"),Valores!$S$10:$S$509,0)),9,INDEX(Valores!$R$10:$R$509,MATCH(SUBSTITUTE(SUBSTITUTE(SUBSTITUTE("P:"&amp;A163,"~","~~"),"*","~*"),"?","~?"),Valores!$S$10:$S$509,0)))-9),0)</f>
        <v>0</v>
      </c>
      <c r="AI163" s="40" t="str">
        <f t="shared" si="21"/>
        <v/>
      </c>
      <c r="AJ163" s="14" t="str">
        <f>IF(AND(X163=1,Y163=1),COUNTIFS($X$10:X163,1,$Y$10:Y163,1),"")</f>
        <v/>
      </c>
      <c r="AK163" s="14" t="str">
        <f>IF(X163=1,COUNTIFS($X$10:X163,1),"")</f>
        <v/>
      </c>
      <c r="AL163" s="14">
        <f>IF(AND(V163=1,AND(OR(Painel!$L$6="Todas",E163=Painel!$L$6),OR(Painel!$C$8="Todos",F163=Painel!$C$8),OR(Painel!$L$8="Todos",G163=Painel!$L$8),OR(Painel!$C$10="",ISNUMBER(SEARCH(SUBSTITUTE(SUBSTITUTE(SUBSTITUTE(Painel!$C$10,"~","~~"),"*","~*"),"?","~?"),A163&amp;" "&amp;H163&amp;" "&amp;I163))))),1,0)</f>
        <v>0</v>
      </c>
      <c r="AM163" s="14">
        <f t="shared" si="22"/>
        <v>0</v>
      </c>
      <c r="AN163" s="14"/>
      <c r="AO163" s="14"/>
      <c r="AP163" s="16" t="str">
        <f>IF(AB163=0,"",IF(INDEX(Andamentos!$B$10:$B$2009,AB163)="","",INDEX(Andamentos!$B$10:$B$2009,AB163)))</f>
        <v/>
      </c>
      <c r="AQ163" s="17" t="str">
        <f>IF(AH163=0,"",IF(INDEX(Valores!$B$10:$B$509,AH163)="","",IF(ISNUMBER(INDEX(Valores!$B$10:$B$509,AH163)),INDEX(Valores!$B$10:$B$509,AH163),"")))</f>
        <v/>
      </c>
      <c r="AR163" s="14" t="str">
        <f t="shared" si="23"/>
        <v/>
      </c>
      <c r="AS163" s="14" t="str">
        <f t="shared" si="24"/>
        <v/>
      </c>
      <c r="AT163" s="27"/>
      <c r="AU163" s="31"/>
      <c r="AV163" s="31"/>
      <c r="AW163" s="27"/>
      <c r="AX163" s="27"/>
      <c r="AY163" s="27"/>
      <c r="AZ163" s="27"/>
      <c r="BA163" s="30" t="str">
        <f t="shared" si="25"/>
        <v/>
      </c>
      <c r="BB163" s="30" t="str">
        <f t="shared" si="26"/>
        <v/>
      </c>
      <c r="BC163" s="30">
        <f>IF(X163=0,0,IF(COUNTIFS($X$10:X163,1,$BA$10:BA163,BA163)=1,1,0))</f>
        <v>0</v>
      </c>
      <c r="BD163" s="29"/>
    </row>
    <row r="164" spans="1:56" ht="42" customHeight="1">
      <c r="A164" s="41"/>
      <c r="B164" s="44"/>
      <c r="C164" s="44"/>
      <c r="D164" s="44"/>
      <c r="E164" s="44"/>
      <c r="F164" s="44"/>
      <c r="G164" s="44"/>
      <c r="H164" s="44"/>
      <c r="I164" s="44"/>
      <c r="J164" s="44"/>
      <c r="K164" s="44"/>
      <c r="L164" s="49"/>
      <c r="M164" s="48"/>
      <c r="N164" s="48"/>
      <c r="O164" s="48"/>
      <c r="P164" s="48"/>
      <c r="Q164" s="48"/>
      <c r="R164" s="48"/>
      <c r="S164" s="49"/>
      <c r="T164" s="48"/>
      <c r="U164" s="48"/>
      <c r="V164" s="14">
        <f t="shared" si="18"/>
        <v>0</v>
      </c>
      <c r="W164" s="14">
        <f t="shared" si="19"/>
        <v>0</v>
      </c>
      <c r="X164" s="14">
        <f>IF(AND(V164=1,OR(Painel!$C$6="Todos",D164=Painel!$C$6),AND(OR(Painel!$L$6="Todas",E164=Painel!$L$6),OR(Painel!$C$8="Todos",F164=Painel!$C$8),OR(Painel!$L$8="Todos",G164=Painel!$L$8),OR(Painel!$C$10="",ISNUMBER(SEARCH(SUBSTITUTE(SUBSTITUTE(SUBSTITUTE(Painel!$C$10,"~","~~"),"*","~*"),"?","~?"),A164&amp;" "&amp;H164&amp;" "&amp;I164))))),1,0)</f>
        <v>0</v>
      </c>
      <c r="Y164" s="14">
        <f t="shared" si="20"/>
        <v>0</v>
      </c>
      <c r="Z164" s="15" t="str">
        <f>IF(V164=0,"",IF(COUNTIFS(Andamentos!$K$10:$K$2009,"="&amp;SUBSTITUTE(SUBSTITUTE(SUBSTITUTE("P:"&amp;A164,"~","~~"),"*","~*"),"?","~?"),Andamentos!$G$10:$G$2009,1)=0,"",_xlfn.AGGREGATE(14,6,Andamentos!$D$10:$D$2009/((Andamentos!$K$10:$K$2009=AS164)*(Andamentos!$G$10:$G$2009=1)),1)))</f>
        <v/>
      </c>
      <c r="AA164" s="14">
        <f>IF(Z164="",0,COUNTIFS(Andamentos!$K$10:$K$2009,"="&amp;SUBSTITUTE(SUBSTITUTE(SUBSTITUTE("P:"&amp;A164,"~","~~"),"*","~*"),"?","~?"),Andamentos!$D$10:$D$2009,Z164,Andamentos!$G$10:$G$2009,1))</f>
        <v>0</v>
      </c>
      <c r="AB164" s="14">
        <f>IF(AA164=1,SUMIFS(Andamentos!$L$10:$L$2009,Andamentos!$K$10:$K$2009,"="&amp;SUBSTITUTE(SUBSTITUTE(SUBSTITUTE(AS164,"~","~~"),"*","~*"),"?","~?"),Andamentos!$D$10:$D$2009,Z164,Andamentos!$G$10:$G$2009,1)-9,0)</f>
        <v>0</v>
      </c>
      <c r="AC164" s="14" t="str">
        <f>IF(V164=0,"",IF(AA164&gt;1,"Conferir recebimentos empatados",IF(AB164=0,"Sem atualização",INDEX(Andamentos!$C$10:$C$2009,AB164))))</f>
        <v/>
      </c>
      <c r="AD164" s="14">
        <f>IF(W164=0,0,IF(MAX(Z164,BD164)=0,1,IF(Configurar!$J$12-INT(MAX(Z164,BD164))&gt;Configurar!$J$11,1,0)))</f>
        <v>0</v>
      </c>
      <c r="AE164" s="16"/>
      <c r="AF164" s="14"/>
      <c r="AG164" s="14"/>
      <c r="AH164" s="14">
        <f>IF(AND(V164=1,COUNTIFS(Valores!$S$10:$S$509,"="&amp;SUBSTITUTE(SUBSTITUTE(SUBSTITUTE("P:"&amp;A164,"~","~~"),"*","~*"),"?","~?"))=1),(IF(ISNA(MATCH(SUBSTITUTE(SUBSTITUTE(SUBSTITUTE("P:"&amp;A164,"~","~~"),"*","~*"),"?","~?"),Valores!$S$10:$S$509,0)),9,INDEX(Valores!$R$10:$R$509,MATCH(SUBSTITUTE(SUBSTITUTE(SUBSTITUTE("P:"&amp;A164,"~","~~"),"*","~*"),"?","~?"),Valores!$S$10:$S$509,0)))-9),0)</f>
        <v>0</v>
      </c>
      <c r="AI164" s="40" t="str">
        <f t="shared" si="21"/>
        <v/>
      </c>
      <c r="AJ164" s="14" t="str">
        <f>IF(AND(X164=1,Y164=1),COUNTIFS($X$10:X164,1,$Y$10:Y164,1),"")</f>
        <v/>
      </c>
      <c r="AK164" s="14" t="str">
        <f>IF(X164=1,COUNTIFS($X$10:X164,1),"")</f>
        <v/>
      </c>
      <c r="AL164" s="14">
        <f>IF(AND(V164=1,AND(OR(Painel!$L$6="Todas",E164=Painel!$L$6),OR(Painel!$C$8="Todos",F164=Painel!$C$8),OR(Painel!$L$8="Todos",G164=Painel!$L$8),OR(Painel!$C$10="",ISNUMBER(SEARCH(SUBSTITUTE(SUBSTITUTE(SUBSTITUTE(Painel!$C$10,"~","~~"),"*","~*"),"?","~?"),A164&amp;" "&amp;H164&amp;" "&amp;I164))))),1,0)</f>
        <v>0</v>
      </c>
      <c r="AM164" s="14">
        <f t="shared" si="22"/>
        <v>0</v>
      </c>
      <c r="AN164" s="14"/>
      <c r="AO164" s="14"/>
      <c r="AP164" s="16" t="str">
        <f>IF(AB164=0,"",IF(INDEX(Andamentos!$B$10:$B$2009,AB164)="","",INDEX(Andamentos!$B$10:$B$2009,AB164)))</f>
        <v/>
      </c>
      <c r="AQ164" s="17" t="str">
        <f>IF(AH164=0,"",IF(INDEX(Valores!$B$10:$B$509,AH164)="","",IF(ISNUMBER(INDEX(Valores!$B$10:$B$509,AH164)),INDEX(Valores!$B$10:$B$509,AH164),"")))</f>
        <v/>
      </c>
      <c r="AR164" s="14" t="str">
        <f t="shared" si="23"/>
        <v/>
      </c>
      <c r="AS164" s="14" t="str">
        <f t="shared" si="24"/>
        <v/>
      </c>
      <c r="AT164" s="27"/>
      <c r="AU164" s="31"/>
      <c r="AV164" s="31"/>
      <c r="AW164" s="27"/>
      <c r="AX164" s="27"/>
      <c r="AY164" s="27"/>
      <c r="AZ164" s="27"/>
      <c r="BA164" s="30" t="str">
        <f t="shared" si="25"/>
        <v/>
      </c>
      <c r="BB164" s="30" t="str">
        <f t="shared" si="26"/>
        <v/>
      </c>
      <c r="BC164" s="30">
        <f>IF(X164=0,0,IF(COUNTIFS($X$10:X164,1,$BA$10:BA164,BA164)=1,1,0))</f>
        <v>0</v>
      </c>
      <c r="BD164" s="29"/>
    </row>
    <row r="165" spans="1:56" ht="42" customHeight="1">
      <c r="A165" s="41"/>
      <c r="B165" s="44"/>
      <c r="C165" s="44"/>
      <c r="D165" s="44"/>
      <c r="E165" s="44"/>
      <c r="F165" s="44"/>
      <c r="G165" s="44"/>
      <c r="H165" s="44"/>
      <c r="I165" s="44"/>
      <c r="J165" s="44"/>
      <c r="K165" s="44"/>
      <c r="L165" s="49"/>
      <c r="M165" s="48"/>
      <c r="N165" s="48"/>
      <c r="O165" s="48"/>
      <c r="P165" s="48"/>
      <c r="Q165" s="48"/>
      <c r="R165" s="48"/>
      <c r="S165" s="49"/>
      <c r="T165" s="48"/>
      <c r="U165" s="48"/>
      <c r="V165" s="14">
        <f t="shared" si="18"/>
        <v>0</v>
      </c>
      <c r="W165" s="14">
        <f t="shared" si="19"/>
        <v>0</v>
      </c>
      <c r="X165" s="14">
        <f>IF(AND(V165=1,OR(Painel!$C$6="Todos",D165=Painel!$C$6),AND(OR(Painel!$L$6="Todas",E165=Painel!$L$6),OR(Painel!$C$8="Todos",F165=Painel!$C$8),OR(Painel!$L$8="Todos",G165=Painel!$L$8),OR(Painel!$C$10="",ISNUMBER(SEARCH(SUBSTITUTE(SUBSTITUTE(SUBSTITUTE(Painel!$C$10,"~","~~"),"*","~*"),"?","~?"),A165&amp;" "&amp;H165&amp;" "&amp;I165))))),1,0)</f>
        <v>0</v>
      </c>
      <c r="Y165" s="14">
        <f t="shared" si="20"/>
        <v>0</v>
      </c>
      <c r="Z165" s="15" t="str">
        <f>IF(V165=0,"",IF(COUNTIFS(Andamentos!$K$10:$K$2009,"="&amp;SUBSTITUTE(SUBSTITUTE(SUBSTITUTE("P:"&amp;A165,"~","~~"),"*","~*"),"?","~?"),Andamentos!$G$10:$G$2009,1)=0,"",_xlfn.AGGREGATE(14,6,Andamentos!$D$10:$D$2009/((Andamentos!$K$10:$K$2009=AS165)*(Andamentos!$G$10:$G$2009=1)),1)))</f>
        <v/>
      </c>
      <c r="AA165" s="14">
        <f>IF(Z165="",0,COUNTIFS(Andamentos!$K$10:$K$2009,"="&amp;SUBSTITUTE(SUBSTITUTE(SUBSTITUTE("P:"&amp;A165,"~","~~"),"*","~*"),"?","~?"),Andamentos!$D$10:$D$2009,Z165,Andamentos!$G$10:$G$2009,1))</f>
        <v>0</v>
      </c>
      <c r="AB165" s="14">
        <f>IF(AA165=1,SUMIFS(Andamentos!$L$10:$L$2009,Andamentos!$K$10:$K$2009,"="&amp;SUBSTITUTE(SUBSTITUTE(SUBSTITUTE(AS165,"~","~~"),"*","~*"),"?","~?"),Andamentos!$D$10:$D$2009,Z165,Andamentos!$G$10:$G$2009,1)-9,0)</f>
        <v>0</v>
      </c>
      <c r="AC165" s="14" t="str">
        <f>IF(V165=0,"",IF(AA165&gt;1,"Conferir recebimentos empatados",IF(AB165=0,"Sem atualização",INDEX(Andamentos!$C$10:$C$2009,AB165))))</f>
        <v/>
      </c>
      <c r="AD165" s="14">
        <f>IF(W165=0,0,IF(MAX(Z165,BD165)=0,1,IF(Configurar!$J$12-INT(MAX(Z165,BD165))&gt;Configurar!$J$11,1,0)))</f>
        <v>0</v>
      </c>
      <c r="AE165" s="16"/>
      <c r="AF165" s="14"/>
      <c r="AG165" s="14"/>
      <c r="AH165" s="14">
        <f>IF(AND(V165=1,COUNTIFS(Valores!$S$10:$S$509,"="&amp;SUBSTITUTE(SUBSTITUTE(SUBSTITUTE("P:"&amp;A165,"~","~~"),"*","~*"),"?","~?"))=1),(IF(ISNA(MATCH(SUBSTITUTE(SUBSTITUTE(SUBSTITUTE("P:"&amp;A165,"~","~~"),"*","~*"),"?","~?"),Valores!$S$10:$S$509,0)),9,INDEX(Valores!$R$10:$R$509,MATCH(SUBSTITUTE(SUBSTITUTE(SUBSTITUTE("P:"&amp;A165,"~","~~"),"*","~*"),"?","~?"),Valores!$S$10:$S$509,0)))-9),0)</f>
        <v>0</v>
      </c>
      <c r="AI165" s="40" t="str">
        <f t="shared" si="21"/>
        <v/>
      </c>
      <c r="AJ165" s="14" t="str">
        <f>IF(AND(X165=1,Y165=1),COUNTIFS($X$10:X165,1,$Y$10:Y165,1),"")</f>
        <v/>
      </c>
      <c r="AK165" s="14" t="str">
        <f>IF(X165=1,COUNTIFS($X$10:X165,1),"")</f>
        <v/>
      </c>
      <c r="AL165" s="14">
        <f>IF(AND(V165=1,AND(OR(Painel!$L$6="Todas",E165=Painel!$L$6),OR(Painel!$C$8="Todos",F165=Painel!$C$8),OR(Painel!$L$8="Todos",G165=Painel!$L$8),OR(Painel!$C$10="",ISNUMBER(SEARCH(SUBSTITUTE(SUBSTITUTE(SUBSTITUTE(Painel!$C$10,"~","~~"),"*","~*"),"?","~?"),A165&amp;" "&amp;H165&amp;" "&amp;I165))))),1,0)</f>
        <v>0</v>
      </c>
      <c r="AM165" s="14">
        <f t="shared" si="22"/>
        <v>0</v>
      </c>
      <c r="AN165" s="14"/>
      <c r="AO165" s="14"/>
      <c r="AP165" s="16" t="str">
        <f>IF(AB165=0,"",IF(INDEX(Andamentos!$B$10:$B$2009,AB165)="","",INDEX(Andamentos!$B$10:$B$2009,AB165)))</f>
        <v/>
      </c>
      <c r="AQ165" s="17" t="str">
        <f>IF(AH165=0,"",IF(INDEX(Valores!$B$10:$B$509,AH165)="","",IF(ISNUMBER(INDEX(Valores!$B$10:$B$509,AH165)),INDEX(Valores!$B$10:$B$509,AH165),"")))</f>
        <v/>
      </c>
      <c r="AR165" s="14" t="str">
        <f t="shared" si="23"/>
        <v/>
      </c>
      <c r="AS165" s="14" t="str">
        <f t="shared" si="24"/>
        <v/>
      </c>
      <c r="AT165" s="27"/>
      <c r="AU165" s="31"/>
      <c r="AV165" s="31"/>
      <c r="AW165" s="27"/>
      <c r="AX165" s="27"/>
      <c r="AY165" s="27"/>
      <c r="AZ165" s="27"/>
      <c r="BA165" s="30" t="str">
        <f t="shared" si="25"/>
        <v/>
      </c>
      <c r="BB165" s="30" t="str">
        <f t="shared" si="26"/>
        <v/>
      </c>
      <c r="BC165" s="30">
        <f>IF(X165=0,0,IF(COUNTIFS($X$10:X165,1,$BA$10:BA165,BA165)=1,1,0))</f>
        <v>0</v>
      </c>
      <c r="BD165" s="29"/>
    </row>
    <row r="166" spans="1:56" ht="42" customHeight="1">
      <c r="A166" s="41"/>
      <c r="B166" s="44"/>
      <c r="C166" s="44"/>
      <c r="D166" s="44"/>
      <c r="E166" s="44"/>
      <c r="F166" s="44"/>
      <c r="G166" s="44"/>
      <c r="H166" s="44"/>
      <c r="I166" s="44"/>
      <c r="J166" s="44"/>
      <c r="K166" s="44"/>
      <c r="L166" s="49"/>
      <c r="M166" s="48"/>
      <c r="N166" s="48"/>
      <c r="O166" s="48"/>
      <c r="P166" s="48"/>
      <c r="Q166" s="48"/>
      <c r="R166" s="48"/>
      <c r="S166" s="49"/>
      <c r="T166" s="48"/>
      <c r="U166" s="48"/>
      <c r="V166" s="14">
        <f t="shared" si="18"/>
        <v>0</v>
      </c>
      <c r="W166" s="14">
        <f t="shared" si="19"/>
        <v>0</v>
      </c>
      <c r="X166" s="14">
        <f>IF(AND(V166=1,OR(Painel!$C$6="Todos",D166=Painel!$C$6),AND(OR(Painel!$L$6="Todas",E166=Painel!$L$6),OR(Painel!$C$8="Todos",F166=Painel!$C$8),OR(Painel!$L$8="Todos",G166=Painel!$L$8),OR(Painel!$C$10="",ISNUMBER(SEARCH(SUBSTITUTE(SUBSTITUTE(SUBSTITUTE(Painel!$C$10,"~","~~"),"*","~*"),"?","~?"),A166&amp;" "&amp;H166&amp;" "&amp;I166))))),1,0)</f>
        <v>0</v>
      </c>
      <c r="Y166" s="14">
        <f t="shared" si="20"/>
        <v>0</v>
      </c>
      <c r="Z166" s="15" t="str">
        <f>IF(V166=0,"",IF(COUNTIFS(Andamentos!$K$10:$K$2009,"="&amp;SUBSTITUTE(SUBSTITUTE(SUBSTITUTE("P:"&amp;A166,"~","~~"),"*","~*"),"?","~?"),Andamentos!$G$10:$G$2009,1)=0,"",_xlfn.AGGREGATE(14,6,Andamentos!$D$10:$D$2009/((Andamentos!$K$10:$K$2009=AS166)*(Andamentos!$G$10:$G$2009=1)),1)))</f>
        <v/>
      </c>
      <c r="AA166" s="14">
        <f>IF(Z166="",0,COUNTIFS(Andamentos!$K$10:$K$2009,"="&amp;SUBSTITUTE(SUBSTITUTE(SUBSTITUTE("P:"&amp;A166,"~","~~"),"*","~*"),"?","~?"),Andamentos!$D$10:$D$2009,Z166,Andamentos!$G$10:$G$2009,1))</f>
        <v>0</v>
      </c>
      <c r="AB166" s="14">
        <f>IF(AA166=1,SUMIFS(Andamentos!$L$10:$L$2009,Andamentos!$K$10:$K$2009,"="&amp;SUBSTITUTE(SUBSTITUTE(SUBSTITUTE(AS166,"~","~~"),"*","~*"),"?","~?"),Andamentos!$D$10:$D$2009,Z166,Andamentos!$G$10:$G$2009,1)-9,0)</f>
        <v>0</v>
      </c>
      <c r="AC166" s="14" t="str">
        <f>IF(V166=0,"",IF(AA166&gt;1,"Conferir recebimentos empatados",IF(AB166=0,"Sem atualização",INDEX(Andamentos!$C$10:$C$2009,AB166))))</f>
        <v/>
      </c>
      <c r="AD166" s="14">
        <f>IF(W166=0,0,IF(MAX(Z166,BD166)=0,1,IF(Configurar!$J$12-INT(MAX(Z166,BD166))&gt;Configurar!$J$11,1,0)))</f>
        <v>0</v>
      </c>
      <c r="AE166" s="16"/>
      <c r="AF166" s="14"/>
      <c r="AG166" s="14"/>
      <c r="AH166" s="14">
        <f>IF(AND(V166=1,COUNTIFS(Valores!$S$10:$S$509,"="&amp;SUBSTITUTE(SUBSTITUTE(SUBSTITUTE("P:"&amp;A166,"~","~~"),"*","~*"),"?","~?"))=1),(IF(ISNA(MATCH(SUBSTITUTE(SUBSTITUTE(SUBSTITUTE("P:"&amp;A166,"~","~~"),"*","~*"),"?","~?"),Valores!$S$10:$S$509,0)),9,INDEX(Valores!$R$10:$R$509,MATCH(SUBSTITUTE(SUBSTITUTE(SUBSTITUTE("P:"&amp;A166,"~","~~"),"*","~*"),"?","~?"),Valores!$S$10:$S$509,0)))-9),0)</f>
        <v>0</v>
      </c>
      <c r="AI166" s="40" t="str">
        <f t="shared" si="21"/>
        <v/>
      </c>
      <c r="AJ166" s="14" t="str">
        <f>IF(AND(X166=1,Y166=1),COUNTIFS($X$10:X166,1,$Y$10:Y166,1),"")</f>
        <v/>
      </c>
      <c r="AK166" s="14" t="str">
        <f>IF(X166=1,COUNTIFS($X$10:X166,1),"")</f>
        <v/>
      </c>
      <c r="AL166" s="14">
        <f>IF(AND(V166=1,AND(OR(Painel!$L$6="Todas",E166=Painel!$L$6),OR(Painel!$C$8="Todos",F166=Painel!$C$8),OR(Painel!$L$8="Todos",G166=Painel!$L$8),OR(Painel!$C$10="",ISNUMBER(SEARCH(SUBSTITUTE(SUBSTITUTE(SUBSTITUTE(Painel!$C$10,"~","~~"),"*","~*"),"?","~?"),A166&amp;" "&amp;H166&amp;" "&amp;I166))))),1,0)</f>
        <v>0</v>
      </c>
      <c r="AM166" s="14">
        <f t="shared" si="22"/>
        <v>0</v>
      </c>
      <c r="AN166" s="14"/>
      <c r="AO166" s="14"/>
      <c r="AP166" s="16" t="str">
        <f>IF(AB166=0,"",IF(INDEX(Andamentos!$B$10:$B$2009,AB166)="","",INDEX(Andamentos!$B$10:$B$2009,AB166)))</f>
        <v/>
      </c>
      <c r="AQ166" s="17" t="str">
        <f>IF(AH166=0,"",IF(INDEX(Valores!$B$10:$B$509,AH166)="","",IF(ISNUMBER(INDEX(Valores!$B$10:$B$509,AH166)),INDEX(Valores!$B$10:$B$509,AH166),"")))</f>
        <v/>
      </c>
      <c r="AR166" s="14" t="str">
        <f t="shared" si="23"/>
        <v/>
      </c>
      <c r="AS166" s="14" t="str">
        <f t="shared" si="24"/>
        <v/>
      </c>
      <c r="AT166" s="27"/>
      <c r="AU166" s="31"/>
      <c r="AV166" s="31"/>
      <c r="AW166" s="27"/>
      <c r="AX166" s="27"/>
      <c r="AY166" s="27"/>
      <c r="AZ166" s="27"/>
      <c r="BA166" s="30" t="str">
        <f t="shared" si="25"/>
        <v/>
      </c>
      <c r="BB166" s="30" t="str">
        <f t="shared" si="26"/>
        <v/>
      </c>
      <c r="BC166" s="30">
        <f>IF(X166=0,0,IF(COUNTIFS($X$10:X166,1,$BA$10:BA166,BA166)=1,1,0))</f>
        <v>0</v>
      </c>
      <c r="BD166" s="29"/>
    </row>
    <row r="167" spans="1:56" ht="42" customHeight="1">
      <c r="A167" s="41"/>
      <c r="B167" s="44"/>
      <c r="C167" s="44"/>
      <c r="D167" s="44"/>
      <c r="E167" s="44"/>
      <c r="F167" s="44"/>
      <c r="G167" s="44"/>
      <c r="H167" s="44"/>
      <c r="I167" s="44"/>
      <c r="J167" s="44"/>
      <c r="K167" s="44"/>
      <c r="L167" s="49"/>
      <c r="M167" s="48"/>
      <c r="N167" s="48"/>
      <c r="O167" s="48"/>
      <c r="P167" s="48"/>
      <c r="Q167" s="48"/>
      <c r="R167" s="48"/>
      <c r="S167" s="49"/>
      <c r="T167" s="48"/>
      <c r="U167" s="48"/>
      <c r="V167" s="14">
        <f t="shared" si="18"/>
        <v>0</v>
      </c>
      <c r="W167" s="14">
        <f t="shared" si="19"/>
        <v>0</v>
      </c>
      <c r="X167" s="14">
        <f>IF(AND(V167=1,OR(Painel!$C$6="Todos",D167=Painel!$C$6),AND(OR(Painel!$L$6="Todas",E167=Painel!$L$6),OR(Painel!$C$8="Todos",F167=Painel!$C$8),OR(Painel!$L$8="Todos",G167=Painel!$L$8),OR(Painel!$C$10="",ISNUMBER(SEARCH(SUBSTITUTE(SUBSTITUTE(SUBSTITUTE(Painel!$C$10,"~","~~"),"*","~*"),"?","~?"),A167&amp;" "&amp;H167&amp;" "&amp;I167))))),1,0)</f>
        <v>0</v>
      </c>
      <c r="Y167" s="14">
        <f t="shared" si="20"/>
        <v>0</v>
      </c>
      <c r="Z167" s="15" t="str">
        <f>IF(V167=0,"",IF(COUNTIFS(Andamentos!$K$10:$K$2009,"="&amp;SUBSTITUTE(SUBSTITUTE(SUBSTITUTE("P:"&amp;A167,"~","~~"),"*","~*"),"?","~?"),Andamentos!$G$10:$G$2009,1)=0,"",_xlfn.AGGREGATE(14,6,Andamentos!$D$10:$D$2009/((Andamentos!$K$10:$K$2009=AS167)*(Andamentos!$G$10:$G$2009=1)),1)))</f>
        <v/>
      </c>
      <c r="AA167" s="14">
        <f>IF(Z167="",0,COUNTIFS(Andamentos!$K$10:$K$2009,"="&amp;SUBSTITUTE(SUBSTITUTE(SUBSTITUTE("P:"&amp;A167,"~","~~"),"*","~*"),"?","~?"),Andamentos!$D$10:$D$2009,Z167,Andamentos!$G$10:$G$2009,1))</f>
        <v>0</v>
      </c>
      <c r="AB167" s="14">
        <f>IF(AA167=1,SUMIFS(Andamentos!$L$10:$L$2009,Andamentos!$K$10:$K$2009,"="&amp;SUBSTITUTE(SUBSTITUTE(SUBSTITUTE(AS167,"~","~~"),"*","~*"),"?","~?"),Andamentos!$D$10:$D$2009,Z167,Andamentos!$G$10:$G$2009,1)-9,0)</f>
        <v>0</v>
      </c>
      <c r="AC167" s="14" t="str">
        <f>IF(V167=0,"",IF(AA167&gt;1,"Conferir recebimentos empatados",IF(AB167=0,"Sem atualização",INDEX(Andamentos!$C$10:$C$2009,AB167))))</f>
        <v/>
      </c>
      <c r="AD167" s="14">
        <f>IF(W167=0,0,IF(MAX(Z167,BD167)=0,1,IF(Configurar!$J$12-INT(MAX(Z167,BD167))&gt;Configurar!$J$11,1,0)))</f>
        <v>0</v>
      </c>
      <c r="AE167" s="16"/>
      <c r="AF167" s="14"/>
      <c r="AG167" s="14"/>
      <c r="AH167" s="14">
        <f>IF(AND(V167=1,COUNTIFS(Valores!$S$10:$S$509,"="&amp;SUBSTITUTE(SUBSTITUTE(SUBSTITUTE("P:"&amp;A167,"~","~~"),"*","~*"),"?","~?"))=1),(IF(ISNA(MATCH(SUBSTITUTE(SUBSTITUTE(SUBSTITUTE("P:"&amp;A167,"~","~~"),"*","~*"),"?","~?"),Valores!$S$10:$S$509,0)),9,INDEX(Valores!$R$10:$R$509,MATCH(SUBSTITUTE(SUBSTITUTE(SUBSTITUTE("P:"&amp;A167,"~","~~"),"*","~*"),"?","~?"),Valores!$S$10:$S$509,0)))-9),0)</f>
        <v>0</v>
      </c>
      <c r="AI167" s="40" t="str">
        <f t="shared" si="21"/>
        <v/>
      </c>
      <c r="AJ167" s="14" t="str">
        <f>IF(AND(X167=1,Y167=1),COUNTIFS($X$10:X167,1,$Y$10:Y167,1),"")</f>
        <v/>
      </c>
      <c r="AK167" s="14" t="str">
        <f>IF(X167=1,COUNTIFS($X$10:X167,1),"")</f>
        <v/>
      </c>
      <c r="AL167" s="14">
        <f>IF(AND(V167=1,AND(OR(Painel!$L$6="Todas",E167=Painel!$L$6),OR(Painel!$C$8="Todos",F167=Painel!$C$8),OR(Painel!$L$8="Todos",G167=Painel!$L$8),OR(Painel!$C$10="",ISNUMBER(SEARCH(SUBSTITUTE(SUBSTITUTE(SUBSTITUTE(Painel!$C$10,"~","~~"),"*","~*"),"?","~?"),A167&amp;" "&amp;H167&amp;" "&amp;I167))))),1,0)</f>
        <v>0</v>
      </c>
      <c r="AM167" s="14">
        <f t="shared" si="22"/>
        <v>0</v>
      </c>
      <c r="AN167" s="14"/>
      <c r="AO167" s="14"/>
      <c r="AP167" s="16" t="str">
        <f>IF(AB167=0,"",IF(INDEX(Andamentos!$B$10:$B$2009,AB167)="","",INDEX(Andamentos!$B$10:$B$2009,AB167)))</f>
        <v/>
      </c>
      <c r="AQ167" s="17" t="str">
        <f>IF(AH167=0,"",IF(INDEX(Valores!$B$10:$B$509,AH167)="","",IF(ISNUMBER(INDEX(Valores!$B$10:$B$509,AH167)),INDEX(Valores!$B$10:$B$509,AH167),"")))</f>
        <v/>
      </c>
      <c r="AR167" s="14" t="str">
        <f t="shared" si="23"/>
        <v/>
      </c>
      <c r="AS167" s="14" t="str">
        <f t="shared" si="24"/>
        <v/>
      </c>
      <c r="AT167" s="27"/>
      <c r="AU167" s="31"/>
      <c r="AV167" s="31"/>
      <c r="AW167" s="27"/>
      <c r="AX167" s="27"/>
      <c r="AY167" s="27"/>
      <c r="AZ167" s="27"/>
      <c r="BA167" s="30" t="str">
        <f t="shared" si="25"/>
        <v/>
      </c>
      <c r="BB167" s="30" t="str">
        <f t="shared" si="26"/>
        <v/>
      </c>
      <c r="BC167" s="30">
        <f>IF(X167=0,0,IF(COUNTIFS($X$10:X167,1,$BA$10:BA167,BA167)=1,1,0))</f>
        <v>0</v>
      </c>
      <c r="BD167" s="29"/>
    </row>
    <row r="168" spans="1:56" ht="42" customHeight="1">
      <c r="A168" s="41"/>
      <c r="B168" s="44"/>
      <c r="C168" s="44"/>
      <c r="D168" s="44"/>
      <c r="E168" s="44"/>
      <c r="F168" s="44"/>
      <c r="G168" s="44"/>
      <c r="H168" s="44"/>
      <c r="I168" s="44"/>
      <c r="J168" s="44"/>
      <c r="K168" s="44"/>
      <c r="L168" s="49"/>
      <c r="M168" s="48"/>
      <c r="N168" s="48"/>
      <c r="O168" s="48"/>
      <c r="P168" s="48"/>
      <c r="Q168" s="48"/>
      <c r="R168" s="48"/>
      <c r="S168" s="49"/>
      <c r="T168" s="48"/>
      <c r="U168" s="48"/>
      <c r="V168" s="14">
        <f t="shared" si="18"/>
        <v>0</v>
      </c>
      <c r="W168" s="14">
        <f t="shared" si="19"/>
        <v>0</v>
      </c>
      <c r="X168" s="14">
        <f>IF(AND(V168=1,OR(Painel!$C$6="Todos",D168=Painel!$C$6),AND(OR(Painel!$L$6="Todas",E168=Painel!$L$6),OR(Painel!$C$8="Todos",F168=Painel!$C$8),OR(Painel!$L$8="Todos",G168=Painel!$L$8),OR(Painel!$C$10="",ISNUMBER(SEARCH(SUBSTITUTE(SUBSTITUTE(SUBSTITUTE(Painel!$C$10,"~","~~"),"*","~*"),"?","~?"),A168&amp;" "&amp;H168&amp;" "&amp;I168))))),1,0)</f>
        <v>0</v>
      </c>
      <c r="Y168" s="14">
        <f t="shared" si="20"/>
        <v>0</v>
      </c>
      <c r="Z168" s="15" t="str">
        <f>IF(V168=0,"",IF(COUNTIFS(Andamentos!$K$10:$K$2009,"="&amp;SUBSTITUTE(SUBSTITUTE(SUBSTITUTE("P:"&amp;A168,"~","~~"),"*","~*"),"?","~?"),Andamentos!$G$10:$G$2009,1)=0,"",_xlfn.AGGREGATE(14,6,Andamentos!$D$10:$D$2009/((Andamentos!$K$10:$K$2009=AS168)*(Andamentos!$G$10:$G$2009=1)),1)))</f>
        <v/>
      </c>
      <c r="AA168" s="14">
        <f>IF(Z168="",0,COUNTIFS(Andamentos!$K$10:$K$2009,"="&amp;SUBSTITUTE(SUBSTITUTE(SUBSTITUTE("P:"&amp;A168,"~","~~"),"*","~*"),"?","~?"),Andamentos!$D$10:$D$2009,Z168,Andamentos!$G$10:$G$2009,1))</f>
        <v>0</v>
      </c>
      <c r="AB168" s="14">
        <f>IF(AA168=1,SUMIFS(Andamentos!$L$10:$L$2009,Andamentos!$K$10:$K$2009,"="&amp;SUBSTITUTE(SUBSTITUTE(SUBSTITUTE(AS168,"~","~~"),"*","~*"),"?","~?"),Andamentos!$D$10:$D$2009,Z168,Andamentos!$G$10:$G$2009,1)-9,0)</f>
        <v>0</v>
      </c>
      <c r="AC168" s="14" t="str">
        <f>IF(V168=0,"",IF(AA168&gt;1,"Conferir recebimentos empatados",IF(AB168=0,"Sem atualização",INDEX(Andamentos!$C$10:$C$2009,AB168))))</f>
        <v/>
      </c>
      <c r="AD168" s="14">
        <f>IF(W168=0,0,IF(MAX(Z168,BD168)=0,1,IF(Configurar!$J$12-INT(MAX(Z168,BD168))&gt;Configurar!$J$11,1,0)))</f>
        <v>0</v>
      </c>
      <c r="AE168" s="16"/>
      <c r="AF168" s="14"/>
      <c r="AG168" s="14"/>
      <c r="AH168" s="14">
        <f>IF(AND(V168=1,COUNTIFS(Valores!$S$10:$S$509,"="&amp;SUBSTITUTE(SUBSTITUTE(SUBSTITUTE("P:"&amp;A168,"~","~~"),"*","~*"),"?","~?"))=1),(IF(ISNA(MATCH(SUBSTITUTE(SUBSTITUTE(SUBSTITUTE("P:"&amp;A168,"~","~~"),"*","~*"),"?","~?"),Valores!$S$10:$S$509,0)),9,INDEX(Valores!$R$10:$R$509,MATCH(SUBSTITUTE(SUBSTITUTE(SUBSTITUTE("P:"&amp;A168,"~","~~"),"*","~*"),"?","~?"),Valores!$S$10:$S$509,0)))-9),0)</f>
        <v>0</v>
      </c>
      <c r="AI168" s="40" t="str">
        <f t="shared" si="21"/>
        <v/>
      </c>
      <c r="AJ168" s="14" t="str">
        <f>IF(AND(X168=1,Y168=1),COUNTIFS($X$10:X168,1,$Y$10:Y168,1),"")</f>
        <v/>
      </c>
      <c r="AK168" s="14" t="str">
        <f>IF(X168=1,COUNTIFS($X$10:X168,1),"")</f>
        <v/>
      </c>
      <c r="AL168" s="14">
        <f>IF(AND(V168=1,AND(OR(Painel!$L$6="Todas",E168=Painel!$L$6),OR(Painel!$C$8="Todos",F168=Painel!$C$8),OR(Painel!$L$8="Todos",G168=Painel!$L$8),OR(Painel!$C$10="",ISNUMBER(SEARCH(SUBSTITUTE(SUBSTITUTE(SUBSTITUTE(Painel!$C$10,"~","~~"),"*","~*"),"?","~?"),A168&amp;" "&amp;H168&amp;" "&amp;I168))))),1,0)</f>
        <v>0</v>
      </c>
      <c r="AM168" s="14">
        <f t="shared" si="22"/>
        <v>0</v>
      </c>
      <c r="AN168" s="14"/>
      <c r="AO168" s="14"/>
      <c r="AP168" s="16" t="str">
        <f>IF(AB168=0,"",IF(INDEX(Andamentos!$B$10:$B$2009,AB168)="","",INDEX(Andamentos!$B$10:$B$2009,AB168)))</f>
        <v/>
      </c>
      <c r="AQ168" s="17" t="str">
        <f>IF(AH168=0,"",IF(INDEX(Valores!$B$10:$B$509,AH168)="","",IF(ISNUMBER(INDEX(Valores!$B$10:$B$509,AH168)),INDEX(Valores!$B$10:$B$509,AH168),"")))</f>
        <v/>
      </c>
      <c r="AR168" s="14" t="str">
        <f t="shared" si="23"/>
        <v/>
      </c>
      <c r="AS168" s="14" t="str">
        <f t="shared" si="24"/>
        <v/>
      </c>
      <c r="AT168" s="27"/>
      <c r="AU168" s="31"/>
      <c r="AV168" s="31"/>
      <c r="AW168" s="27"/>
      <c r="AX168" s="27"/>
      <c r="AY168" s="27"/>
      <c r="AZ168" s="27"/>
      <c r="BA168" s="30" t="str">
        <f t="shared" si="25"/>
        <v/>
      </c>
      <c r="BB168" s="30" t="str">
        <f t="shared" si="26"/>
        <v/>
      </c>
      <c r="BC168" s="30">
        <f>IF(X168=0,0,IF(COUNTIFS($X$10:X168,1,$BA$10:BA168,BA168)=1,1,0))</f>
        <v>0</v>
      </c>
      <c r="BD168" s="29"/>
    </row>
    <row r="169" spans="1:56" ht="42" customHeight="1">
      <c r="A169" s="41"/>
      <c r="B169" s="44"/>
      <c r="C169" s="44"/>
      <c r="D169" s="44"/>
      <c r="E169" s="44"/>
      <c r="F169" s="44"/>
      <c r="G169" s="44"/>
      <c r="H169" s="44"/>
      <c r="I169" s="44"/>
      <c r="J169" s="44"/>
      <c r="K169" s="44"/>
      <c r="L169" s="49"/>
      <c r="M169" s="48"/>
      <c r="N169" s="48"/>
      <c r="O169" s="48"/>
      <c r="P169" s="48"/>
      <c r="Q169" s="48"/>
      <c r="R169" s="48"/>
      <c r="S169" s="49"/>
      <c r="T169" s="48"/>
      <c r="U169" s="48"/>
      <c r="V169" s="14">
        <f t="shared" si="18"/>
        <v>0</v>
      </c>
      <c r="W169" s="14">
        <f t="shared" si="19"/>
        <v>0</v>
      </c>
      <c r="X169" s="14">
        <f>IF(AND(V169=1,OR(Painel!$C$6="Todos",D169=Painel!$C$6),AND(OR(Painel!$L$6="Todas",E169=Painel!$L$6),OR(Painel!$C$8="Todos",F169=Painel!$C$8),OR(Painel!$L$8="Todos",G169=Painel!$L$8),OR(Painel!$C$10="",ISNUMBER(SEARCH(SUBSTITUTE(SUBSTITUTE(SUBSTITUTE(Painel!$C$10,"~","~~"),"*","~*"),"?","~?"),A169&amp;" "&amp;H169&amp;" "&amp;I169))))),1,0)</f>
        <v>0</v>
      </c>
      <c r="Y169" s="14">
        <f t="shared" si="20"/>
        <v>0</v>
      </c>
      <c r="Z169" s="15" t="str">
        <f>IF(V169=0,"",IF(COUNTIFS(Andamentos!$K$10:$K$2009,"="&amp;SUBSTITUTE(SUBSTITUTE(SUBSTITUTE("P:"&amp;A169,"~","~~"),"*","~*"),"?","~?"),Andamentos!$G$10:$G$2009,1)=0,"",_xlfn.AGGREGATE(14,6,Andamentos!$D$10:$D$2009/((Andamentos!$K$10:$K$2009=AS169)*(Andamentos!$G$10:$G$2009=1)),1)))</f>
        <v/>
      </c>
      <c r="AA169" s="14">
        <f>IF(Z169="",0,COUNTIFS(Andamentos!$K$10:$K$2009,"="&amp;SUBSTITUTE(SUBSTITUTE(SUBSTITUTE("P:"&amp;A169,"~","~~"),"*","~*"),"?","~?"),Andamentos!$D$10:$D$2009,Z169,Andamentos!$G$10:$G$2009,1))</f>
        <v>0</v>
      </c>
      <c r="AB169" s="14">
        <f>IF(AA169=1,SUMIFS(Andamentos!$L$10:$L$2009,Andamentos!$K$10:$K$2009,"="&amp;SUBSTITUTE(SUBSTITUTE(SUBSTITUTE(AS169,"~","~~"),"*","~*"),"?","~?"),Andamentos!$D$10:$D$2009,Z169,Andamentos!$G$10:$G$2009,1)-9,0)</f>
        <v>0</v>
      </c>
      <c r="AC169" s="14" t="str">
        <f>IF(V169=0,"",IF(AA169&gt;1,"Conferir recebimentos empatados",IF(AB169=0,"Sem atualização",INDEX(Andamentos!$C$10:$C$2009,AB169))))</f>
        <v/>
      </c>
      <c r="AD169" s="14">
        <f>IF(W169=0,0,IF(MAX(Z169,BD169)=0,1,IF(Configurar!$J$12-INT(MAX(Z169,BD169))&gt;Configurar!$J$11,1,0)))</f>
        <v>0</v>
      </c>
      <c r="AE169" s="16"/>
      <c r="AF169" s="14"/>
      <c r="AG169" s="14"/>
      <c r="AH169" s="14">
        <f>IF(AND(V169=1,COUNTIFS(Valores!$S$10:$S$509,"="&amp;SUBSTITUTE(SUBSTITUTE(SUBSTITUTE("P:"&amp;A169,"~","~~"),"*","~*"),"?","~?"))=1),(IF(ISNA(MATCH(SUBSTITUTE(SUBSTITUTE(SUBSTITUTE("P:"&amp;A169,"~","~~"),"*","~*"),"?","~?"),Valores!$S$10:$S$509,0)),9,INDEX(Valores!$R$10:$R$509,MATCH(SUBSTITUTE(SUBSTITUTE(SUBSTITUTE("P:"&amp;A169,"~","~~"),"*","~*"),"?","~?"),Valores!$S$10:$S$509,0)))-9),0)</f>
        <v>0</v>
      </c>
      <c r="AI169" s="40" t="str">
        <f t="shared" si="21"/>
        <v/>
      </c>
      <c r="AJ169" s="14" t="str">
        <f>IF(AND(X169=1,Y169=1),COUNTIFS($X$10:X169,1,$Y$10:Y169,1),"")</f>
        <v/>
      </c>
      <c r="AK169" s="14" t="str">
        <f>IF(X169=1,COUNTIFS($X$10:X169,1),"")</f>
        <v/>
      </c>
      <c r="AL169" s="14">
        <f>IF(AND(V169=1,AND(OR(Painel!$L$6="Todas",E169=Painel!$L$6),OR(Painel!$C$8="Todos",F169=Painel!$C$8),OR(Painel!$L$8="Todos",G169=Painel!$L$8),OR(Painel!$C$10="",ISNUMBER(SEARCH(SUBSTITUTE(SUBSTITUTE(SUBSTITUTE(Painel!$C$10,"~","~~"),"*","~*"),"?","~?"),A169&amp;" "&amp;H169&amp;" "&amp;I169))))),1,0)</f>
        <v>0</v>
      </c>
      <c r="AM169" s="14">
        <f t="shared" si="22"/>
        <v>0</v>
      </c>
      <c r="AN169" s="14"/>
      <c r="AO169" s="14"/>
      <c r="AP169" s="16" t="str">
        <f>IF(AB169=0,"",IF(INDEX(Andamentos!$B$10:$B$2009,AB169)="","",INDEX(Andamentos!$B$10:$B$2009,AB169)))</f>
        <v/>
      </c>
      <c r="AQ169" s="17" t="str">
        <f>IF(AH169=0,"",IF(INDEX(Valores!$B$10:$B$509,AH169)="","",IF(ISNUMBER(INDEX(Valores!$B$10:$B$509,AH169)),INDEX(Valores!$B$10:$B$509,AH169),"")))</f>
        <v/>
      </c>
      <c r="AR169" s="14" t="str">
        <f t="shared" si="23"/>
        <v/>
      </c>
      <c r="AS169" s="14" t="str">
        <f t="shared" si="24"/>
        <v/>
      </c>
      <c r="AT169" s="27"/>
      <c r="AU169" s="31"/>
      <c r="AV169" s="31"/>
      <c r="AW169" s="27"/>
      <c r="AX169" s="27"/>
      <c r="AY169" s="27"/>
      <c r="AZ169" s="27"/>
      <c r="BA169" s="30" t="str">
        <f t="shared" si="25"/>
        <v/>
      </c>
      <c r="BB169" s="30" t="str">
        <f t="shared" si="26"/>
        <v/>
      </c>
      <c r="BC169" s="30">
        <f>IF(X169=0,0,IF(COUNTIFS($X$10:X169,1,$BA$10:BA169,BA169)=1,1,0))</f>
        <v>0</v>
      </c>
      <c r="BD169" s="29"/>
    </row>
    <row r="170" spans="1:56" ht="42" customHeight="1">
      <c r="A170" s="41"/>
      <c r="B170" s="44"/>
      <c r="C170" s="44"/>
      <c r="D170" s="44"/>
      <c r="E170" s="44"/>
      <c r="F170" s="44"/>
      <c r="G170" s="44"/>
      <c r="H170" s="44"/>
      <c r="I170" s="44"/>
      <c r="J170" s="44"/>
      <c r="K170" s="44"/>
      <c r="L170" s="49"/>
      <c r="M170" s="48"/>
      <c r="N170" s="48"/>
      <c r="O170" s="48"/>
      <c r="P170" s="48"/>
      <c r="Q170" s="48"/>
      <c r="R170" s="48"/>
      <c r="S170" s="49"/>
      <c r="T170" s="48"/>
      <c r="U170" s="48"/>
      <c r="V170" s="14">
        <f t="shared" si="18"/>
        <v>0</v>
      </c>
      <c r="W170" s="14">
        <f t="shared" si="19"/>
        <v>0</v>
      </c>
      <c r="X170" s="14">
        <f>IF(AND(V170=1,OR(Painel!$C$6="Todos",D170=Painel!$C$6),AND(OR(Painel!$L$6="Todas",E170=Painel!$L$6),OR(Painel!$C$8="Todos",F170=Painel!$C$8),OR(Painel!$L$8="Todos",G170=Painel!$L$8),OR(Painel!$C$10="",ISNUMBER(SEARCH(SUBSTITUTE(SUBSTITUTE(SUBSTITUTE(Painel!$C$10,"~","~~"),"*","~*"),"?","~?"),A170&amp;" "&amp;H170&amp;" "&amp;I170))))),1,0)</f>
        <v>0</v>
      </c>
      <c r="Y170" s="14">
        <f t="shared" si="20"/>
        <v>0</v>
      </c>
      <c r="Z170" s="15" t="str">
        <f>IF(V170=0,"",IF(COUNTIFS(Andamentos!$K$10:$K$2009,"="&amp;SUBSTITUTE(SUBSTITUTE(SUBSTITUTE("P:"&amp;A170,"~","~~"),"*","~*"),"?","~?"),Andamentos!$G$10:$G$2009,1)=0,"",_xlfn.AGGREGATE(14,6,Andamentos!$D$10:$D$2009/((Andamentos!$K$10:$K$2009=AS170)*(Andamentos!$G$10:$G$2009=1)),1)))</f>
        <v/>
      </c>
      <c r="AA170" s="14">
        <f>IF(Z170="",0,COUNTIFS(Andamentos!$K$10:$K$2009,"="&amp;SUBSTITUTE(SUBSTITUTE(SUBSTITUTE("P:"&amp;A170,"~","~~"),"*","~*"),"?","~?"),Andamentos!$D$10:$D$2009,Z170,Andamentos!$G$10:$G$2009,1))</f>
        <v>0</v>
      </c>
      <c r="AB170" s="14">
        <f>IF(AA170=1,SUMIFS(Andamentos!$L$10:$L$2009,Andamentos!$K$10:$K$2009,"="&amp;SUBSTITUTE(SUBSTITUTE(SUBSTITUTE(AS170,"~","~~"),"*","~*"),"?","~?"),Andamentos!$D$10:$D$2009,Z170,Andamentos!$G$10:$G$2009,1)-9,0)</f>
        <v>0</v>
      </c>
      <c r="AC170" s="14" t="str">
        <f>IF(V170=0,"",IF(AA170&gt;1,"Conferir recebimentos empatados",IF(AB170=0,"Sem atualização",INDEX(Andamentos!$C$10:$C$2009,AB170))))</f>
        <v/>
      </c>
      <c r="AD170" s="14">
        <f>IF(W170=0,0,IF(MAX(Z170,BD170)=0,1,IF(Configurar!$J$12-INT(MAX(Z170,BD170))&gt;Configurar!$J$11,1,0)))</f>
        <v>0</v>
      </c>
      <c r="AE170" s="16"/>
      <c r="AF170" s="14"/>
      <c r="AG170" s="14"/>
      <c r="AH170" s="14">
        <f>IF(AND(V170=1,COUNTIFS(Valores!$S$10:$S$509,"="&amp;SUBSTITUTE(SUBSTITUTE(SUBSTITUTE("P:"&amp;A170,"~","~~"),"*","~*"),"?","~?"))=1),(IF(ISNA(MATCH(SUBSTITUTE(SUBSTITUTE(SUBSTITUTE("P:"&amp;A170,"~","~~"),"*","~*"),"?","~?"),Valores!$S$10:$S$509,0)),9,INDEX(Valores!$R$10:$R$509,MATCH(SUBSTITUTE(SUBSTITUTE(SUBSTITUTE("P:"&amp;A170,"~","~~"),"*","~*"),"?","~?"),Valores!$S$10:$S$509,0)))-9),0)</f>
        <v>0</v>
      </c>
      <c r="AI170" s="40" t="str">
        <f t="shared" si="21"/>
        <v/>
      </c>
      <c r="AJ170" s="14" t="str">
        <f>IF(AND(X170=1,Y170=1),COUNTIFS($X$10:X170,1,$Y$10:Y170,1),"")</f>
        <v/>
      </c>
      <c r="AK170" s="14" t="str">
        <f>IF(X170=1,COUNTIFS($X$10:X170,1),"")</f>
        <v/>
      </c>
      <c r="AL170" s="14">
        <f>IF(AND(V170=1,AND(OR(Painel!$L$6="Todas",E170=Painel!$L$6),OR(Painel!$C$8="Todos",F170=Painel!$C$8),OR(Painel!$L$8="Todos",G170=Painel!$L$8),OR(Painel!$C$10="",ISNUMBER(SEARCH(SUBSTITUTE(SUBSTITUTE(SUBSTITUTE(Painel!$C$10,"~","~~"),"*","~*"),"?","~?"),A170&amp;" "&amp;H170&amp;" "&amp;I170))))),1,0)</f>
        <v>0</v>
      </c>
      <c r="AM170" s="14">
        <f t="shared" si="22"/>
        <v>0</v>
      </c>
      <c r="AN170" s="14"/>
      <c r="AO170" s="14"/>
      <c r="AP170" s="16" t="str">
        <f>IF(AB170=0,"",IF(INDEX(Andamentos!$B$10:$B$2009,AB170)="","",INDEX(Andamentos!$B$10:$B$2009,AB170)))</f>
        <v/>
      </c>
      <c r="AQ170" s="17" t="str">
        <f>IF(AH170=0,"",IF(INDEX(Valores!$B$10:$B$509,AH170)="","",IF(ISNUMBER(INDEX(Valores!$B$10:$B$509,AH170)),INDEX(Valores!$B$10:$B$509,AH170),"")))</f>
        <v/>
      </c>
      <c r="AR170" s="14" t="str">
        <f t="shared" si="23"/>
        <v/>
      </c>
      <c r="AS170" s="14" t="str">
        <f t="shared" si="24"/>
        <v/>
      </c>
      <c r="AT170" s="27"/>
      <c r="AU170" s="31"/>
      <c r="AV170" s="31"/>
      <c r="AW170" s="27"/>
      <c r="AX170" s="27"/>
      <c r="AY170" s="27"/>
      <c r="AZ170" s="27"/>
      <c r="BA170" s="30" t="str">
        <f t="shared" si="25"/>
        <v/>
      </c>
      <c r="BB170" s="30" t="str">
        <f t="shared" si="26"/>
        <v/>
      </c>
      <c r="BC170" s="30">
        <f>IF(X170=0,0,IF(COUNTIFS($X$10:X170,1,$BA$10:BA170,BA170)=1,1,0))</f>
        <v>0</v>
      </c>
      <c r="BD170" s="29"/>
    </row>
    <row r="171" spans="1:56" ht="42" customHeight="1">
      <c r="A171" s="41"/>
      <c r="B171" s="44"/>
      <c r="C171" s="44"/>
      <c r="D171" s="44"/>
      <c r="E171" s="44"/>
      <c r="F171" s="44"/>
      <c r="G171" s="44"/>
      <c r="H171" s="44"/>
      <c r="I171" s="44"/>
      <c r="J171" s="44"/>
      <c r="K171" s="44"/>
      <c r="L171" s="49"/>
      <c r="M171" s="48"/>
      <c r="N171" s="48"/>
      <c r="O171" s="48"/>
      <c r="P171" s="48"/>
      <c r="Q171" s="48"/>
      <c r="R171" s="48"/>
      <c r="S171" s="49"/>
      <c r="T171" s="48"/>
      <c r="U171" s="48"/>
      <c r="V171" s="14">
        <f t="shared" si="18"/>
        <v>0</v>
      </c>
      <c r="W171" s="14">
        <f t="shared" si="19"/>
        <v>0</v>
      </c>
      <c r="X171" s="14">
        <f>IF(AND(V171=1,OR(Painel!$C$6="Todos",D171=Painel!$C$6),AND(OR(Painel!$L$6="Todas",E171=Painel!$L$6),OR(Painel!$C$8="Todos",F171=Painel!$C$8),OR(Painel!$L$8="Todos",G171=Painel!$L$8),OR(Painel!$C$10="",ISNUMBER(SEARCH(SUBSTITUTE(SUBSTITUTE(SUBSTITUTE(Painel!$C$10,"~","~~"),"*","~*"),"?","~?"),A171&amp;" "&amp;H171&amp;" "&amp;I171))))),1,0)</f>
        <v>0</v>
      </c>
      <c r="Y171" s="14">
        <f t="shared" si="20"/>
        <v>0</v>
      </c>
      <c r="Z171" s="15" t="str">
        <f>IF(V171=0,"",IF(COUNTIFS(Andamentos!$K$10:$K$2009,"="&amp;SUBSTITUTE(SUBSTITUTE(SUBSTITUTE("P:"&amp;A171,"~","~~"),"*","~*"),"?","~?"),Andamentos!$G$10:$G$2009,1)=0,"",_xlfn.AGGREGATE(14,6,Andamentos!$D$10:$D$2009/((Andamentos!$K$10:$K$2009=AS171)*(Andamentos!$G$10:$G$2009=1)),1)))</f>
        <v/>
      </c>
      <c r="AA171" s="14">
        <f>IF(Z171="",0,COUNTIFS(Andamentos!$K$10:$K$2009,"="&amp;SUBSTITUTE(SUBSTITUTE(SUBSTITUTE("P:"&amp;A171,"~","~~"),"*","~*"),"?","~?"),Andamentos!$D$10:$D$2009,Z171,Andamentos!$G$10:$G$2009,1))</f>
        <v>0</v>
      </c>
      <c r="AB171" s="14">
        <f>IF(AA171=1,SUMIFS(Andamentos!$L$10:$L$2009,Andamentos!$K$10:$K$2009,"="&amp;SUBSTITUTE(SUBSTITUTE(SUBSTITUTE(AS171,"~","~~"),"*","~*"),"?","~?"),Andamentos!$D$10:$D$2009,Z171,Andamentos!$G$10:$G$2009,1)-9,0)</f>
        <v>0</v>
      </c>
      <c r="AC171" s="14" t="str">
        <f>IF(V171=0,"",IF(AA171&gt;1,"Conferir recebimentos empatados",IF(AB171=0,"Sem atualização",INDEX(Andamentos!$C$10:$C$2009,AB171))))</f>
        <v/>
      </c>
      <c r="AD171" s="14">
        <f>IF(W171=0,0,IF(MAX(Z171,BD171)=0,1,IF(Configurar!$J$12-INT(MAX(Z171,BD171))&gt;Configurar!$J$11,1,0)))</f>
        <v>0</v>
      </c>
      <c r="AE171" s="16"/>
      <c r="AF171" s="14"/>
      <c r="AG171" s="14"/>
      <c r="AH171" s="14">
        <f>IF(AND(V171=1,COUNTIFS(Valores!$S$10:$S$509,"="&amp;SUBSTITUTE(SUBSTITUTE(SUBSTITUTE("P:"&amp;A171,"~","~~"),"*","~*"),"?","~?"))=1),(IF(ISNA(MATCH(SUBSTITUTE(SUBSTITUTE(SUBSTITUTE("P:"&amp;A171,"~","~~"),"*","~*"),"?","~?"),Valores!$S$10:$S$509,0)),9,INDEX(Valores!$R$10:$R$509,MATCH(SUBSTITUTE(SUBSTITUTE(SUBSTITUTE("P:"&amp;A171,"~","~~"),"*","~*"),"?","~?"),Valores!$S$10:$S$509,0)))-9),0)</f>
        <v>0</v>
      </c>
      <c r="AI171" s="40" t="str">
        <f t="shared" si="21"/>
        <v/>
      </c>
      <c r="AJ171" s="14" t="str">
        <f>IF(AND(X171=1,Y171=1),COUNTIFS($X$10:X171,1,$Y$10:Y171,1),"")</f>
        <v/>
      </c>
      <c r="AK171" s="14" t="str">
        <f>IF(X171=1,COUNTIFS($X$10:X171,1),"")</f>
        <v/>
      </c>
      <c r="AL171" s="14">
        <f>IF(AND(V171=1,AND(OR(Painel!$L$6="Todas",E171=Painel!$L$6),OR(Painel!$C$8="Todos",F171=Painel!$C$8),OR(Painel!$L$8="Todos",G171=Painel!$L$8),OR(Painel!$C$10="",ISNUMBER(SEARCH(SUBSTITUTE(SUBSTITUTE(SUBSTITUTE(Painel!$C$10,"~","~~"),"*","~*"),"?","~?"),A171&amp;" "&amp;H171&amp;" "&amp;I171))))),1,0)</f>
        <v>0</v>
      </c>
      <c r="AM171" s="14">
        <f t="shared" si="22"/>
        <v>0</v>
      </c>
      <c r="AN171" s="14"/>
      <c r="AO171" s="14"/>
      <c r="AP171" s="16" t="str">
        <f>IF(AB171=0,"",IF(INDEX(Andamentos!$B$10:$B$2009,AB171)="","",INDEX(Andamentos!$B$10:$B$2009,AB171)))</f>
        <v/>
      </c>
      <c r="AQ171" s="17" t="str">
        <f>IF(AH171=0,"",IF(INDEX(Valores!$B$10:$B$509,AH171)="","",IF(ISNUMBER(INDEX(Valores!$B$10:$B$509,AH171)),INDEX(Valores!$B$10:$B$509,AH171),"")))</f>
        <v/>
      </c>
      <c r="AR171" s="14" t="str">
        <f t="shared" si="23"/>
        <v/>
      </c>
      <c r="AS171" s="14" t="str">
        <f t="shared" si="24"/>
        <v/>
      </c>
      <c r="AT171" s="27"/>
      <c r="AU171" s="31"/>
      <c r="AV171" s="31"/>
      <c r="AW171" s="27"/>
      <c r="AX171" s="27"/>
      <c r="AY171" s="27"/>
      <c r="AZ171" s="27"/>
      <c r="BA171" s="30" t="str">
        <f t="shared" si="25"/>
        <v/>
      </c>
      <c r="BB171" s="30" t="str">
        <f t="shared" si="26"/>
        <v/>
      </c>
      <c r="BC171" s="30">
        <f>IF(X171=0,0,IF(COUNTIFS($X$10:X171,1,$BA$10:BA171,BA171)=1,1,0))</f>
        <v>0</v>
      </c>
      <c r="BD171" s="29"/>
    </row>
    <row r="172" spans="1:56" ht="42" customHeight="1">
      <c r="A172" s="41"/>
      <c r="B172" s="44"/>
      <c r="C172" s="44"/>
      <c r="D172" s="44"/>
      <c r="E172" s="44"/>
      <c r="F172" s="44"/>
      <c r="G172" s="44"/>
      <c r="H172" s="44"/>
      <c r="I172" s="44"/>
      <c r="J172" s="44"/>
      <c r="K172" s="44"/>
      <c r="L172" s="49"/>
      <c r="M172" s="48"/>
      <c r="N172" s="48"/>
      <c r="O172" s="48"/>
      <c r="P172" s="48"/>
      <c r="Q172" s="48"/>
      <c r="R172" s="48"/>
      <c r="S172" s="49"/>
      <c r="T172" s="48"/>
      <c r="U172" s="48"/>
      <c r="V172" s="14">
        <f t="shared" si="18"/>
        <v>0</v>
      </c>
      <c r="W172" s="14">
        <f t="shared" si="19"/>
        <v>0</v>
      </c>
      <c r="X172" s="14">
        <f>IF(AND(V172=1,OR(Painel!$C$6="Todos",D172=Painel!$C$6),AND(OR(Painel!$L$6="Todas",E172=Painel!$L$6),OR(Painel!$C$8="Todos",F172=Painel!$C$8),OR(Painel!$L$8="Todos",G172=Painel!$L$8),OR(Painel!$C$10="",ISNUMBER(SEARCH(SUBSTITUTE(SUBSTITUTE(SUBSTITUTE(Painel!$C$10,"~","~~"),"*","~*"),"?","~?"),A172&amp;" "&amp;H172&amp;" "&amp;I172))))),1,0)</f>
        <v>0</v>
      </c>
      <c r="Y172" s="14">
        <f t="shared" si="20"/>
        <v>0</v>
      </c>
      <c r="Z172" s="15" t="str">
        <f>IF(V172=0,"",IF(COUNTIFS(Andamentos!$K$10:$K$2009,"="&amp;SUBSTITUTE(SUBSTITUTE(SUBSTITUTE("P:"&amp;A172,"~","~~"),"*","~*"),"?","~?"),Andamentos!$G$10:$G$2009,1)=0,"",_xlfn.AGGREGATE(14,6,Andamentos!$D$10:$D$2009/((Andamentos!$K$10:$K$2009=AS172)*(Andamentos!$G$10:$G$2009=1)),1)))</f>
        <v/>
      </c>
      <c r="AA172" s="14">
        <f>IF(Z172="",0,COUNTIFS(Andamentos!$K$10:$K$2009,"="&amp;SUBSTITUTE(SUBSTITUTE(SUBSTITUTE("P:"&amp;A172,"~","~~"),"*","~*"),"?","~?"),Andamentos!$D$10:$D$2009,Z172,Andamentos!$G$10:$G$2009,1))</f>
        <v>0</v>
      </c>
      <c r="AB172" s="14">
        <f>IF(AA172=1,SUMIFS(Andamentos!$L$10:$L$2009,Andamentos!$K$10:$K$2009,"="&amp;SUBSTITUTE(SUBSTITUTE(SUBSTITUTE(AS172,"~","~~"),"*","~*"),"?","~?"),Andamentos!$D$10:$D$2009,Z172,Andamentos!$G$10:$G$2009,1)-9,0)</f>
        <v>0</v>
      </c>
      <c r="AC172" s="14" t="str">
        <f>IF(V172=0,"",IF(AA172&gt;1,"Conferir recebimentos empatados",IF(AB172=0,"Sem atualização",INDEX(Andamentos!$C$10:$C$2009,AB172))))</f>
        <v/>
      </c>
      <c r="AD172" s="14">
        <f>IF(W172=0,0,IF(MAX(Z172,BD172)=0,1,IF(Configurar!$J$12-INT(MAX(Z172,BD172))&gt;Configurar!$J$11,1,0)))</f>
        <v>0</v>
      </c>
      <c r="AE172" s="16"/>
      <c r="AF172" s="14"/>
      <c r="AG172" s="14"/>
      <c r="AH172" s="14">
        <f>IF(AND(V172=1,COUNTIFS(Valores!$S$10:$S$509,"="&amp;SUBSTITUTE(SUBSTITUTE(SUBSTITUTE("P:"&amp;A172,"~","~~"),"*","~*"),"?","~?"))=1),(IF(ISNA(MATCH(SUBSTITUTE(SUBSTITUTE(SUBSTITUTE("P:"&amp;A172,"~","~~"),"*","~*"),"?","~?"),Valores!$S$10:$S$509,0)),9,INDEX(Valores!$R$10:$R$509,MATCH(SUBSTITUTE(SUBSTITUTE(SUBSTITUTE("P:"&amp;A172,"~","~~"),"*","~*"),"?","~?"),Valores!$S$10:$S$509,0)))-9),0)</f>
        <v>0</v>
      </c>
      <c r="AI172" s="40" t="str">
        <f t="shared" si="21"/>
        <v/>
      </c>
      <c r="AJ172" s="14" t="str">
        <f>IF(AND(X172=1,Y172=1),COUNTIFS($X$10:X172,1,$Y$10:Y172,1),"")</f>
        <v/>
      </c>
      <c r="AK172" s="14" t="str">
        <f>IF(X172=1,COUNTIFS($X$10:X172,1),"")</f>
        <v/>
      </c>
      <c r="AL172" s="14">
        <f>IF(AND(V172=1,AND(OR(Painel!$L$6="Todas",E172=Painel!$L$6),OR(Painel!$C$8="Todos",F172=Painel!$C$8),OR(Painel!$L$8="Todos",G172=Painel!$L$8),OR(Painel!$C$10="",ISNUMBER(SEARCH(SUBSTITUTE(SUBSTITUTE(SUBSTITUTE(Painel!$C$10,"~","~~"),"*","~*"),"?","~?"),A172&amp;" "&amp;H172&amp;" "&amp;I172))))),1,0)</f>
        <v>0</v>
      </c>
      <c r="AM172" s="14">
        <f t="shared" si="22"/>
        <v>0</v>
      </c>
      <c r="AN172" s="14"/>
      <c r="AO172" s="14"/>
      <c r="AP172" s="16" t="str">
        <f>IF(AB172=0,"",IF(INDEX(Andamentos!$B$10:$B$2009,AB172)="","",INDEX(Andamentos!$B$10:$B$2009,AB172)))</f>
        <v/>
      </c>
      <c r="AQ172" s="17" t="str">
        <f>IF(AH172=0,"",IF(INDEX(Valores!$B$10:$B$509,AH172)="","",IF(ISNUMBER(INDEX(Valores!$B$10:$B$509,AH172)),INDEX(Valores!$B$10:$B$509,AH172),"")))</f>
        <v/>
      </c>
      <c r="AR172" s="14" t="str">
        <f t="shared" si="23"/>
        <v/>
      </c>
      <c r="AS172" s="14" t="str">
        <f t="shared" si="24"/>
        <v/>
      </c>
      <c r="AT172" s="27"/>
      <c r="AU172" s="31"/>
      <c r="AV172" s="31"/>
      <c r="AW172" s="27"/>
      <c r="AX172" s="27"/>
      <c r="AY172" s="27"/>
      <c r="AZ172" s="27"/>
      <c r="BA172" s="30" t="str">
        <f t="shared" si="25"/>
        <v/>
      </c>
      <c r="BB172" s="30" t="str">
        <f t="shared" si="26"/>
        <v/>
      </c>
      <c r="BC172" s="30">
        <f>IF(X172=0,0,IF(COUNTIFS($X$10:X172,1,$BA$10:BA172,BA172)=1,1,0))</f>
        <v>0</v>
      </c>
      <c r="BD172" s="29"/>
    </row>
    <row r="173" spans="1:56" ht="42" customHeight="1">
      <c r="A173" s="41"/>
      <c r="B173" s="44"/>
      <c r="C173" s="44"/>
      <c r="D173" s="44"/>
      <c r="E173" s="44"/>
      <c r="F173" s="44"/>
      <c r="G173" s="44"/>
      <c r="H173" s="44"/>
      <c r="I173" s="44"/>
      <c r="J173" s="44"/>
      <c r="K173" s="44"/>
      <c r="L173" s="49"/>
      <c r="M173" s="48"/>
      <c r="N173" s="48"/>
      <c r="O173" s="48"/>
      <c r="P173" s="48"/>
      <c r="Q173" s="48"/>
      <c r="R173" s="48"/>
      <c r="S173" s="49"/>
      <c r="T173" s="48"/>
      <c r="U173" s="48"/>
      <c r="V173" s="14">
        <f t="shared" si="18"/>
        <v>0</v>
      </c>
      <c r="W173" s="14">
        <f t="shared" si="19"/>
        <v>0</v>
      </c>
      <c r="X173" s="14">
        <f>IF(AND(V173=1,OR(Painel!$C$6="Todos",D173=Painel!$C$6),AND(OR(Painel!$L$6="Todas",E173=Painel!$L$6),OR(Painel!$C$8="Todos",F173=Painel!$C$8),OR(Painel!$L$8="Todos",G173=Painel!$L$8),OR(Painel!$C$10="",ISNUMBER(SEARCH(SUBSTITUTE(SUBSTITUTE(SUBSTITUTE(Painel!$C$10,"~","~~"),"*","~*"),"?","~?"),A173&amp;" "&amp;H173&amp;" "&amp;I173))))),1,0)</f>
        <v>0</v>
      </c>
      <c r="Y173" s="14">
        <f t="shared" si="20"/>
        <v>0</v>
      </c>
      <c r="Z173" s="15" t="str">
        <f>IF(V173=0,"",IF(COUNTIFS(Andamentos!$K$10:$K$2009,"="&amp;SUBSTITUTE(SUBSTITUTE(SUBSTITUTE("P:"&amp;A173,"~","~~"),"*","~*"),"?","~?"),Andamentos!$G$10:$G$2009,1)=0,"",_xlfn.AGGREGATE(14,6,Andamentos!$D$10:$D$2009/((Andamentos!$K$10:$K$2009=AS173)*(Andamentos!$G$10:$G$2009=1)),1)))</f>
        <v/>
      </c>
      <c r="AA173" s="14">
        <f>IF(Z173="",0,COUNTIFS(Andamentos!$K$10:$K$2009,"="&amp;SUBSTITUTE(SUBSTITUTE(SUBSTITUTE("P:"&amp;A173,"~","~~"),"*","~*"),"?","~?"),Andamentos!$D$10:$D$2009,Z173,Andamentos!$G$10:$G$2009,1))</f>
        <v>0</v>
      </c>
      <c r="AB173" s="14">
        <f>IF(AA173=1,SUMIFS(Andamentos!$L$10:$L$2009,Andamentos!$K$10:$K$2009,"="&amp;SUBSTITUTE(SUBSTITUTE(SUBSTITUTE(AS173,"~","~~"),"*","~*"),"?","~?"),Andamentos!$D$10:$D$2009,Z173,Andamentos!$G$10:$G$2009,1)-9,0)</f>
        <v>0</v>
      </c>
      <c r="AC173" s="14" t="str">
        <f>IF(V173=0,"",IF(AA173&gt;1,"Conferir recebimentos empatados",IF(AB173=0,"Sem atualização",INDEX(Andamentos!$C$10:$C$2009,AB173))))</f>
        <v/>
      </c>
      <c r="AD173" s="14">
        <f>IF(W173=0,0,IF(MAX(Z173,BD173)=0,1,IF(Configurar!$J$12-INT(MAX(Z173,BD173))&gt;Configurar!$J$11,1,0)))</f>
        <v>0</v>
      </c>
      <c r="AE173" s="16"/>
      <c r="AF173" s="14"/>
      <c r="AG173" s="14"/>
      <c r="AH173" s="14">
        <f>IF(AND(V173=1,COUNTIFS(Valores!$S$10:$S$509,"="&amp;SUBSTITUTE(SUBSTITUTE(SUBSTITUTE("P:"&amp;A173,"~","~~"),"*","~*"),"?","~?"))=1),(IF(ISNA(MATCH(SUBSTITUTE(SUBSTITUTE(SUBSTITUTE("P:"&amp;A173,"~","~~"),"*","~*"),"?","~?"),Valores!$S$10:$S$509,0)),9,INDEX(Valores!$R$10:$R$509,MATCH(SUBSTITUTE(SUBSTITUTE(SUBSTITUTE("P:"&amp;A173,"~","~~"),"*","~*"),"?","~?"),Valores!$S$10:$S$509,0)))-9),0)</f>
        <v>0</v>
      </c>
      <c r="AI173" s="40" t="str">
        <f t="shared" si="21"/>
        <v/>
      </c>
      <c r="AJ173" s="14" t="str">
        <f>IF(AND(X173=1,Y173=1),COUNTIFS($X$10:X173,1,$Y$10:Y173,1),"")</f>
        <v/>
      </c>
      <c r="AK173" s="14" t="str">
        <f>IF(X173=1,COUNTIFS($X$10:X173,1),"")</f>
        <v/>
      </c>
      <c r="AL173" s="14">
        <f>IF(AND(V173=1,AND(OR(Painel!$L$6="Todas",E173=Painel!$L$6),OR(Painel!$C$8="Todos",F173=Painel!$C$8),OR(Painel!$L$8="Todos",G173=Painel!$L$8),OR(Painel!$C$10="",ISNUMBER(SEARCH(SUBSTITUTE(SUBSTITUTE(SUBSTITUTE(Painel!$C$10,"~","~~"),"*","~*"),"?","~?"),A173&amp;" "&amp;H173&amp;" "&amp;I173))))),1,0)</f>
        <v>0</v>
      </c>
      <c r="AM173" s="14">
        <f t="shared" si="22"/>
        <v>0</v>
      </c>
      <c r="AN173" s="14"/>
      <c r="AO173" s="14"/>
      <c r="AP173" s="16" t="str">
        <f>IF(AB173=0,"",IF(INDEX(Andamentos!$B$10:$B$2009,AB173)="","",INDEX(Andamentos!$B$10:$B$2009,AB173)))</f>
        <v/>
      </c>
      <c r="AQ173" s="17" t="str">
        <f>IF(AH173=0,"",IF(INDEX(Valores!$B$10:$B$509,AH173)="","",IF(ISNUMBER(INDEX(Valores!$B$10:$B$509,AH173)),INDEX(Valores!$B$10:$B$509,AH173),"")))</f>
        <v/>
      </c>
      <c r="AR173" s="14" t="str">
        <f t="shared" si="23"/>
        <v/>
      </c>
      <c r="AS173" s="14" t="str">
        <f t="shared" si="24"/>
        <v/>
      </c>
      <c r="AT173" s="27"/>
      <c r="AU173" s="31"/>
      <c r="AV173" s="31"/>
      <c r="AW173" s="27"/>
      <c r="AX173" s="27"/>
      <c r="AY173" s="27"/>
      <c r="AZ173" s="27"/>
      <c r="BA173" s="30" t="str">
        <f t="shared" si="25"/>
        <v/>
      </c>
      <c r="BB173" s="30" t="str">
        <f t="shared" si="26"/>
        <v/>
      </c>
      <c r="BC173" s="30">
        <f>IF(X173=0,0,IF(COUNTIFS($X$10:X173,1,$BA$10:BA173,BA173)=1,1,0))</f>
        <v>0</v>
      </c>
      <c r="BD173" s="29"/>
    </row>
    <row r="174" spans="1:56" ht="42" customHeight="1">
      <c r="A174" s="41"/>
      <c r="B174" s="44"/>
      <c r="C174" s="44"/>
      <c r="D174" s="44"/>
      <c r="E174" s="44"/>
      <c r="F174" s="44"/>
      <c r="G174" s="44"/>
      <c r="H174" s="44"/>
      <c r="I174" s="44"/>
      <c r="J174" s="44"/>
      <c r="K174" s="44"/>
      <c r="L174" s="49"/>
      <c r="M174" s="48"/>
      <c r="N174" s="48"/>
      <c r="O174" s="48"/>
      <c r="P174" s="48"/>
      <c r="Q174" s="48"/>
      <c r="R174" s="48"/>
      <c r="S174" s="49"/>
      <c r="T174" s="48"/>
      <c r="U174" s="48"/>
      <c r="V174" s="14">
        <f t="shared" si="18"/>
        <v>0</v>
      </c>
      <c r="W174" s="14">
        <f t="shared" si="19"/>
        <v>0</v>
      </c>
      <c r="X174" s="14">
        <f>IF(AND(V174=1,OR(Painel!$C$6="Todos",D174=Painel!$C$6),AND(OR(Painel!$L$6="Todas",E174=Painel!$L$6),OR(Painel!$C$8="Todos",F174=Painel!$C$8),OR(Painel!$L$8="Todos",G174=Painel!$L$8),OR(Painel!$C$10="",ISNUMBER(SEARCH(SUBSTITUTE(SUBSTITUTE(SUBSTITUTE(Painel!$C$10,"~","~~"),"*","~*"),"?","~?"),A174&amp;" "&amp;H174&amp;" "&amp;I174))))),1,0)</f>
        <v>0</v>
      </c>
      <c r="Y174" s="14">
        <f t="shared" si="20"/>
        <v>0</v>
      </c>
      <c r="Z174" s="15" t="str">
        <f>IF(V174=0,"",IF(COUNTIFS(Andamentos!$K$10:$K$2009,"="&amp;SUBSTITUTE(SUBSTITUTE(SUBSTITUTE("P:"&amp;A174,"~","~~"),"*","~*"),"?","~?"),Andamentos!$G$10:$G$2009,1)=0,"",_xlfn.AGGREGATE(14,6,Andamentos!$D$10:$D$2009/((Andamentos!$K$10:$K$2009=AS174)*(Andamentos!$G$10:$G$2009=1)),1)))</f>
        <v/>
      </c>
      <c r="AA174" s="14">
        <f>IF(Z174="",0,COUNTIFS(Andamentos!$K$10:$K$2009,"="&amp;SUBSTITUTE(SUBSTITUTE(SUBSTITUTE("P:"&amp;A174,"~","~~"),"*","~*"),"?","~?"),Andamentos!$D$10:$D$2009,Z174,Andamentos!$G$10:$G$2009,1))</f>
        <v>0</v>
      </c>
      <c r="AB174" s="14">
        <f>IF(AA174=1,SUMIFS(Andamentos!$L$10:$L$2009,Andamentos!$K$10:$K$2009,"="&amp;SUBSTITUTE(SUBSTITUTE(SUBSTITUTE(AS174,"~","~~"),"*","~*"),"?","~?"),Andamentos!$D$10:$D$2009,Z174,Andamentos!$G$10:$G$2009,1)-9,0)</f>
        <v>0</v>
      </c>
      <c r="AC174" s="14" t="str">
        <f>IF(V174=0,"",IF(AA174&gt;1,"Conferir recebimentos empatados",IF(AB174=0,"Sem atualização",INDEX(Andamentos!$C$10:$C$2009,AB174))))</f>
        <v/>
      </c>
      <c r="AD174" s="14">
        <f>IF(W174=0,0,IF(MAX(Z174,BD174)=0,1,IF(Configurar!$J$12-INT(MAX(Z174,BD174))&gt;Configurar!$J$11,1,0)))</f>
        <v>0</v>
      </c>
      <c r="AE174" s="16"/>
      <c r="AF174" s="14"/>
      <c r="AG174" s="14"/>
      <c r="AH174" s="14">
        <f>IF(AND(V174=1,COUNTIFS(Valores!$S$10:$S$509,"="&amp;SUBSTITUTE(SUBSTITUTE(SUBSTITUTE("P:"&amp;A174,"~","~~"),"*","~*"),"?","~?"))=1),(IF(ISNA(MATCH(SUBSTITUTE(SUBSTITUTE(SUBSTITUTE("P:"&amp;A174,"~","~~"),"*","~*"),"?","~?"),Valores!$S$10:$S$509,0)),9,INDEX(Valores!$R$10:$R$509,MATCH(SUBSTITUTE(SUBSTITUTE(SUBSTITUTE("P:"&amp;A174,"~","~~"),"*","~*"),"?","~?"),Valores!$S$10:$S$509,0)))-9),0)</f>
        <v>0</v>
      </c>
      <c r="AI174" s="40" t="str">
        <f t="shared" si="21"/>
        <v/>
      </c>
      <c r="AJ174" s="14" t="str">
        <f>IF(AND(X174=1,Y174=1),COUNTIFS($X$10:X174,1,$Y$10:Y174,1),"")</f>
        <v/>
      </c>
      <c r="AK174" s="14" t="str">
        <f>IF(X174=1,COUNTIFS($X$10:X174,1),"")</f>
        <v/>
      </c>
      <c r="AL174" s="14">
        <f>IF(AND(V174=1,AND(OR(Painel!$L$6="Todas",E174=Painel!$L$6),OR(Painel!$C$8="Todos",F174=Painel!$C$8),OR(Painel!$L$8="Todos",G174=Painel!$L$8),OR(Painel!$C$10="",ISNUMBER(SEARCH(SUBSTITUTE(SUBSTITUTE(SUBSTITUTE(Painel!$C$10,"~","~~"),"*","~*"),"?","~?"),A174&amp;" "&amp;H174&amp;" "&amp;I174))))),1,0)</f>
        <v>0</v>
      </c>
      <c r="AM174" s="14">
        <f t="shared" si="22"/>
        <v>0</v>
      </c>
      <c r="AN174" s="14"/>
      <c r="AO174" s="14"/>
      <c r="AP174" s="16" t="str">
        <f>IF(AB174=0,"",IF(INDEX(Andamentos!$B$10:$B$2009,AB174)="","",INDEX(Andamentos!$B$10:$B$2009,AB174)))</f>
        <v/>
      </c>
      <c r="AQ174" s="17" t="str">
        <f>IF(AH174=0,"",IF(INDEX(Valores!$B$10:$B$509,AH174)="","",IF(ISNUMBER(INDEX(Valores!$B$10:$B$509,AH174)),INDEX(Valores!$B$10:$B$509,AH174),"")))</f>
        <v/>
      </c>
      <c r="AR174" s="14" t="str">
        <f t="shared" si="23"/>
        <v/>
      </c>
      <c r="AS174" s="14" t="str">
        <f t="shared" si="24"/>
        <v/>
      </c>
      <c r="AT174" s="27"/>
      <c r="AU174" s="31"/>
      <c r="AV174" s="31"/>
      <c r="AW174" s="27"/>
      <c r="AX174" s="27"/>
      <c r="AY174" s="27"/>
      <c r="AZ174" s="27"/>
      <c r="BA174" s="30" t="str">
        <f t="shared" si="25"/>
        <v/>
      </c>
      <c r="BB174" s="30" t="str">
        <f t="shared" si="26"/>
        <v/>
      </c>
      <c r="BC174" s="30">
        <f>IF(X174=0,0,IF(COUNTIFS($X$10:X174,1,$BA$10:BA174,BA174)=1,1,0))</f>
        <v>0</v>
      </c>
      <c r="BD174" s="29"/>
    </row>
    <row r="175" spans="1:56" ht="42" customHeight="1">
      <c r="A175" s="41"/>
      <c r="B175" s="44"/>
      <c r="C175" s="44"/>
      <c r="D175" s="44"/>
      <c r="E175" s="44"/>
      <c r="F175" s="44"/>
      <c r="G175" s="44"/>
      <c r="H175" s="44"/>
      <c r="I175" s="44"/>
      <c r="J175" s="44"/>
      <c r="K175" s="44"/>
      <c r="L175" s="49"/>
      <c r="M175" s="48"/>
      <c r="N175" s="48"/>
      <c r="O175" s="48"/>
      <c r="P175" s="48"/>
      <c r="Q175" s="48"/>
      <c r="R175" s="48"/>
      <c r="S175" s="49"/>
      <c r="T175" s="48"/>
      <c r="U175" s="48"/>
      <c r="V175" s="14">
        <f t="shared" si="18"/>
        <v>0</v>
      </c>
      <c r="W175" s="14">
        <f t="shared" si="19"/>
        <v>0</v>
      </c>
      <c r="X175" s="14">
        <f>IF(AND(V175=1,OR(Painel!$C$6="Todos",D175=Painel!$C$6),AND(OR(Painel!$L$6="Todas",E175=Painel!$L$6),OR(Painel!$C$8="Todos",F175=Painel!$C$8),OR(Painel!$L$8="Todos",G175=Painel!$L$8),OR(Painel!$C$10="",ISNUMBER(SEARCH(SUBSTITUTE(SUBSTITUTE(SUBSTITUTE(Painel!$C$10,"~","~~"),"*","~*"),"?","~?"),A175&amp;" "&amp;H175&amp;" "&amp;I175))))),1,0)</f>
        <v>0</v>
      </c>
      <c r="Y175" s="14">
        <f t="shared" si="20"/>
        <v>0</v>
      </c>
      <c r="Z175" s="15" t="str">
        <f>IF(V175=0,"",IF(COUNTIFS(Andamentos!$K$10:$K$2009,"="&amp;SUBSTITUTE(SUBSTITUTE(SUBSTITUTE("P:"&amp;A175,"~","~~"),"*","~*"),"?","~?"),Andamentos!$G$10:$G$2009,1)=0,"",_xlfn.AGGREGATE(14,6,Andamentos!$D$10:$D$2009/((Andamentos!$K$10:$K$2009=AS175)*(Andamentos!$G$10:$G$2009=1)),1)))</f>
        <v/>
      </c>
      <c r="AA175" s="14">
        <f>IF(Z175="",0,COUNTIFS(Andamentos!$K$10:$K$2009,"="&amp;SUBSTITUTE(SUBSTITUTE(SUBSTITUTE("P:"&amp;A175,"~","~~"),"*","~*"),"?","~?"),Andamentos!$D$10:$D$2009,Z175,Andamentos!$G$10:$G$2009,1))</f>
        <v>0</v>
      </c>
      <c r="AB175" s="14">
        <f>IF(AA175=1,SUMIFS(Andamentos!$L$10:$L$2009,Andamentos!$K$10:$K$2009,"="&amp;SUBSTITUTE(SUBSTITUTE(SUBSTITUTE(AS175,"~","~~"),"*","~*"),"?","~?"),Andamentos!$D$10:$D$2009,Z175,Andamentos!$G$10:$G$2009,1)-9,0)</f>
        <v>0</v>
      </c>
      <c r="AC175" s="14" t="str">
        <f>IF(V175=0,"",IF(AA175&gt;1,"Conferir recebimentos empatados",IF(AB175=0,"Sem atualização",INDEX(Andamentos!$C$10:$C$2009,AB175))))</f>
        <v/>
      </c>
      <c r="AD175" s="14">
        <f>IF(W175=0,0,IF(MAX(Z175,BD175)=0,1,IF(Configurar!$J$12-INT(MAX(Z175,BD175))&gt;Configurar!$J$11,1,0)))</f>
        <v>0</v>
      </c>
      <c r="AE175" s="16"/>
      <c r="AF175" s="14"/>
      <c r="AG175" s="14"/>
      <c r="AH175" s="14">
        <f>IF(AND(V175=1,COUNTIFS(Valores!$S$10:$S$509,"="&amp;SUBSTITUTE(SUBSTITUTE(SUBSTITUTE("P:"&amp;A175,"~","~~"),"*","~*"),"?","~?"))=1),(IF(ISNA(MATCH(SUBSTITUTE(SUBSTITUTE(SUBSTITUTE("P:"&amp;A175,"~","~~"),"*","~*"),"?","~?"),Valores!$S$10:$S$509,0)),9,INDEX(Valores!$R$10:$R$509,MATCH(SUBSTITUTE(SUBSTITUTE(SUBSTITUTE("P:"&amp;A175,"~","~~"),"*","~*"),"?","~?"),Valores!$S$10:$S$509,0)))-9),0)</f>
        <v>0</v>
      </c>
      <c r="AI175" s="40" t="str">
        <f t="shared" si="21"/>
        <v/>
      </c>
      <c r="AJ175" s="14" t="str">
        <f>IF(AND(X175=1,Y175=1),COUNTIFS($X$10:X175,1,$Y$10:Y175,1),"")</f>
        <v/>
      </c>
      <c r="AK175" s="14" t="str">
        <f>IF(X175=1,COUNTIFS($X$10:X175,1),"")</f>
        <v/>
      </c>
      <c r="AL175" s="14">
        <f>IF(AND(V175=1,AND(OR(Painel!$L$6="Todas",E175=Painel!$L$6),OR(Painel!$C$8="Todos",F175=Painel!$C$8),OR(Painel!$L$8="Todos",G175=Painel!$L$8),OR(Painel!$C$10="",ISNUMBER(SEARCH(SUBSTITUTE(SUBSTITUTE(SUBSTITUTE(Painel!$C$10,"~","~~"),"*","~*"),"?","~?"),A175&amp;" "&amp;H175&amp;" "&amp;I175))))),1,0)</f>
        <v>0</v>
      </c>
      <c r="AM175" s="14">
        <f t="shared" si="22"/>
        <v>0</v>
      </c>
      <c r="AN175" s="14"/>
      <c r="AO175" s="14"/>
      <c r="AP175" s="16" t="str">
        <f>IF(AB175=0,"",IF(INDEX(Andamentos!$B$10:$B$2009,AB175)="","",INDEX(Andamentos!$B$10:$B$2009,AB175)))</f>
        <v/>
      </c>
      <c r="AQ175" s="17" t="str">
        <f>IF(AH175=0,"",IF(INDEX(Valores!$B$10:$B$509,AH175)="","",IF(ISNUMBER(INDEX(Valores!$B$10:$B$509,AH175)),INDEX(Valores!$B$10:$B$509,AH175),"")))</f>
        <v/>
      </c>
      <c r="AR175" s="14" t="str">
        <f t="shared" si="23"/>
        <v/>
      </c>
      <c r="AS175" s="14" t="str">
        <f t="shared" si="24"/>
        <v/>
      </c>
      <c r="AT175" s="27"/>
      <c r="AU175" s="31"/>
      <c r="AV175" s="31"/>
      <c r="AW175" s="27"/>
      <c r="AX175" s="27"/>
      <c r="AY175" s="27"/>
      <c r="AZ175" s="27"/>
      <c r="BA175" s="30" t="str">
        <f t="shared" si="25"/>
        <v/>
      </c>
      <c r="BB175" s="30" t="str">
        <f t="shared" si="26"/>
        <v/>
      </c>
      <c r="BC175" s="30">
        <f>IF(X175=0,0,IF(COUNTIFS($X$10:X175,1,$BA$10:BA175,BA175)=1,1,0))</f>
        <v>0</v>
      </c>
      <c r="BD175" s="29"/>
    </row>
    <row r="176" spans="1:56" ht="42" customHeight="1">
      <c r="A176" s="41"/>
      <c r="B176" s="44"/>
      <c r="C176" s="44"/>
      <c r="D176" s="44"/>
      <c r="E176" s="44"/>
      <c r="F176" s="44"/>
      <c r="G176" s="44"/>
      <c r="H176" s="44"/>
      <c r="I176" s="44"/>
      <c r="J176" s="44"/>
      <c r="K176" s="44"/>
      <c r="L176" s="49"/>
      <c r="M176" s="48"/>
      <c r="N176" s="48"/>
      <c r="O176" s="48"/>
      <c r="P176" s="48"/>
      <c r="Q176" s="48"/>
      <c r="R176" s="48"/>
      <c r="S176" s="49"/>
      <c r="T176" s="48"/>
      <c r="U176" s="48"/>
      <c r="V176" s="14">
        <f t="shared" si="18"/>
        <v>0</v>
      </c>
      <c r="W176" s="14">
        <f t="shared" si="19"/>
        <v>0</v>
      </c>
      <c r="X176" s="14">
        <f>IF(AND(V176=1,OR(Painel!$C$6="Todos",D176=Painel!$C$6),AND(OR(Painel!$L$6="Todas",E176=Painel!$L$6),OR(Painel!$C$8="Todos",F176=Painel!$C$8),OR(Painel!$L$8="Todos",G176=Painel!$L$8),OR(Painel!$C$10="",ISNUMBER(SEARCH(SUBSTITUTE(SUBSTITUTE(SUBSTITUTE(Painel!$C$10,"~","~~"),"*","~*"),"?","~?"),A176&amp;" "&amp;H176&amp;" "&amp;I176))))),1,0)</f>
        <v>0</v>
      </c>
      <c r="Y176" s="14">
        <f t="shared" si="20"/>
        <v>0</v>
      </c>
      <c r="Z176" s="15" t="str">
        <f>IF(V176=0,"",IF(COUNTIFS(Andamentos!$K$10:$K$2009,"="&amp;SUBSTITUTE(SUBSTITUTE(SUBSTITUTE("P:"&amp;A176,"~","~~"),"*","~*"),"?","~?"),Andamentos!$G$10:$G$2009,1)=0,"",_xlfn.AGGREGATE(14,6,Andamentos!$D$10:$D$2009/((Andamentos!$K$10:$K$2009=AS176)*(Andamentos!$G$10:$G$2009=1)),1)))</f>
        <v/>
      </c>
      <c r="AA176" s="14">
        <f>IF(Z176="",0,COUNTIFS(Andamentos!$K$10:$K$2009,"="&amp;SUBSTITUTE(SUBSTITUTE(SUBSTITUTE("P:"&amp;A176,"~","~~"),"*","~*"),"?","~?"),Andamentos!$D$10:$D$2009,Z176,Andamentos!$G$10:$G$2009,1))</f>
        <v>0</v>
      </c>
      <c r="AB176" s="14">
        <f>IF(AA176=1,SUMIFS(Andamentos!$L$10:$L$2009,Andamentos!$K$10:$K$2009,"="&amp;SUBSTITUTE(SUBSTITUTE(SUBSTITUTE(AS176,"~","~~"),"*","~*"),"?","~?"),Andamentos!$D$10:$D$2009,Z176,Andamentos!$G$10:$G$2009,1)-9,0)</f>
        <v>0</v>
      </c>
      <c r="AC176" s="14" t="str">
        <f>IF(V176=0,"",IF(AA176&gt;1,"Conferir recebimentos empatados",IF(AB176=0,"Sem atualização",INDEX(Andamentos!$C$10:$C$2009,AB176))))</f>
        <v/>
      </c>
      <c r="AD176" s="14">
        <f>IF(W176=0,0,IF(MAX(Z176,BD176)=0,1,IF(Configurar!$J$12-INT(MAX(Z176,BD176))&gt;Configurar!$J$11,1,0)))</f>
        <v>0</v>
      </c>
      <c r="AE176" s="16"/>
      <c r="AF176" s="14"/>
      <c r="AG176" s="14"/>
      <c r="AH176" s="14">
        <f>IF(AND(V176=1,COUNTIFS(Valores!$S$10:$S$509,"="&amp;SUBSTITUTE(SUBSTITUTE(SUBSTITUTE("P:"&amp;A176,"~","~~"),"*","~*"),"?","~?"))=1),(IF(ISNA(MATCH(SUBSTITUTE(SUBSTITUTE(SUBSTITUTE("P:"&amp;A176,"~","~~"),"*","~*"),"?","~?"),Valores!$S$10:$S$509,0)),9,INDEX(Valores!$R$10:$R$509,MATCH(SUBSTITUTE(SUBSTITUTE(SUBSTITUTE("P:"&amp;A176,"~","~~"),"*","~*"),"?","~?"),Valores!$S$10:$S$509,0)))-9),0)</f>
        <v>0</v>
      </c>
      <c r="AI176" s="40" t="str">
        <f t="shared" si="21"/>
        <v/>
      </c>
      <c r="AJ176" s="14" t="str">
        <f>IF(AND(X176=1,Y176=1),COUNTIFS($X$10:X176,1,$Y$10:Y176,1),"")</f>
        <v/>
      </c>
      <c r="AK176" s="14" t="str">
        <f>IF(X176=1,COUNTIFS($X$10:X176,1),"")</f>
        <v/>
      </c>
      <c r="AL176" s="14">
        <f>IF(AND(V176=1,AND(OR(Painel!$L$6="Todas",E176=Painel!$L$6),OR(Painel!$C$8="Todos",F176=Painel!$C$8),OR(Painel!$L$8="Todos",G176=Painel!$L$8),OR(Painel!$C$10="",ISNUMBER(SEARCH(SUBSTITUTE(SUBSTITUTE(SUBSTITUTE(Painel!$C$10,"~","~~"),"*","~*"),"?","~?"),A176&amp;" "&amp;H176&amp;" "&amp;I176))))),1,0)</f>
        <v>0</v>
      </c>
      <c r="AM176" s="14">
        <f t="shared" si="22"/>
        <v>0</v>
      </c>
      <c r="AN176" s="14"/>
      <c r="AO176" s="14"/>
      <c r="AP176" s="16" t="str">
        <f>IF(AB176=0,"",IF(INDEX(Andamentos!$B$10:$B$2009,AB176)="","",INDEX(Andamentos!$B$10:$B$2009,AB176)))</f>
        <v/>
      </c>
      <c r="AQ176" s="17" t="str">
        <f>IF(AH176=0,"",IF(INDEX(Valores!$B$10:$B$509,AH176)="","",IF(ISNUMBER(INDEX(Valores!$B$10:$B$509,AH176)),INDEX(Valores!$B$10:$B$509,AH176),"")))</f>
        <v/>
      </c>
      <c r="AR176" s="14" t="str">
        <f t="shared" si="23"/>
        <v/>
      </c>
      <c r="AS176" s="14" t="str">
        <f t="shared" si="24"/>
        <v/>
      </c>
      <c r="AT176" s="27"/>
      <c r="AU176" s="31"/>
      <c r="AV176" s="31"/>
      <c r="AW176" s="27"/>
      <c r="AX176" s="27"/>
      <c r="AY176" s="27"/>
      <c r="AZ176" s="27"/>
      <c r="BA176" s="30" t="str">
        <f t="shared" si="25"/>
        <v/>
      </c>
      <c r="BB176" s="30" t="str">
        <f t="shared" si="26"/>
        <v/>
      </c>
      <c r="BC176" s="30">
        <f>IF(X176=0,0,IF(COUNTIFS($X$10:X176,1,$BA$10:BA176,BA176)=1,1,0))</f>
        <v>0</v>
      </c>
      <c r="BD176" s="29"/>
    </row>
    <row r="177" spans="1:56" ht="42" customHeight="1">
      <c r="A177" s="41"/>
      <c r="B177" s="44"/>
      <c r="C177" s="44"/>
      <c r="D177" s="44"/>
      <c r="E177" s="44"/>
      <c r="F177" s="44"/>
      <c r="G177" s="44"/>
      <c r="H177" s="44"/>
      <c r="I177" s="44"/>
      <c r="J177" s="44"/>
      <c r="K177" s="44"/>
      <c r="L177" s="49"/>
      <c r="M177" s="48"/>
      <c r="N177" s="48"/>
      <c r="O177" s="48"/>
      <c r="P177" s="48"/>
      <c r="Q177" s="48"/>
      <c r="R177" s="48"/>
      <c r="S177" s="49"/>
      <c r="T177" s="48"/>
      <c r="U177" s="48"/>
      <c r="V177" s="14">
        <f t="shared" si="18"/>
        <v>0</v>
      </c>
      <c r="W177" s="14">
        <f t="shared" si="19"/>
        <v>0</v>
      </c>
      <c r="X177" s="14">
        <f>IF(AND(V177=1,OR(Painel!$C$6="Todos",D177=Painel!$C$6),AND(OR(Painel!$L$6="Todas",E177=Painel!$L$6),OR(Painel!$C$8="Todos",F177=Painel!$C$8),OR(Painel!$L$8="Todos",G177=Painel!$L$8),OR(Painel!$C$10="",ISNUMBER(SEARCH(SUBSTITUTE(SUBSTITUTE(SUBSTITUTE(Painel!$C$10,"~","~~"),"*","~*"),"?","~?"),A177&amp;" "&amp;H177&amp;" "&amp;I177))))),1,0)</f>
        <v>0</v>
      </c>
      <c r="Y177" s="14">
        <f t="shared" si="20"/>
        <v>0</v>
      </c>
      <c r="Z177" s="15" t="str">
        <f>IF(V177=0,"",IF(COUNTIFS(Andamentos!$K$10:$K$2009,"="&amp;SUBSTITUTE(SUBSTITUTE(SUBSTITUTE("P:"&amp;A177,"~","~~"),"*","~*"),"?","~?"),Andamentos!$G$10:$G$2009,1)=0,"",_xlfn.AGGREGATE(14,6,Andamentos!$D$10:$D$2009/((Andamentos!$K$10:$K$2009=AS177)*(Andamentos!$G$10:$G$2009=1)),1)))</f>
        <v/>
      </c>
      <c r="AA177" s="14">
        <f>IF(Z177="",0,COUNTIFS(Andamentos!$K$10:$K$2009,"="&amp;SUBSTITUTE(SUBSTITUTE(SUBSTITUTE("P:"&amp;A177,"~","~~"),"*","~*"),"?","~?"),Andamentos!$D$10:$D$2009,Z177,Andamentos!$G$10:$G$2009,1))</f>
        <v>0</v>
      </c>
      <c r="AB177" s="14">
        <f>IF(AA177=1,SUMIFS(Andamentos!$L$10:$L$2009,Andamentos!$K$10:$K$2009,"="&amp;SUBSTITUTE(SUBSTITUTE(SUBSTITUTE(AS177,"~","~~"),"*","~*"),"?","~?"),Andamentos!$D$10:$D$2009,Z177,Andamentos!$G$10:$G$2009,1)-9,0)</f>
        <v>0</v>
      </c>
      <c r="AC177" s="14" t="str">
        <f>IF(V177=0,"",IF(AA177&gt;1,"Conferir recebimentos empatados",IF(AB177=0,"Sem atualização",INDEX(Andamentos!$C$10:$C$2009,AB177))))</f>
        <v/>
      </c>
      <c r="AD177" s="14">
        <f>IF(W177=0,0,IF(MAX(Z177,BD177)=0,1,IF(Configurar!$J$12-INT(MAX(Z177,BD177))&gt;Configurar!$J$11,1,0)))</f>
        <v>0</v>
      </c>
      <c r="AE177" s="16"/>
      <c r="AF177" s="14"/>
      <c r="AG177" s="14"/>
      <c r="AH177" s="14">
        <f>IF(AND(V177=1,COUNTIFS(Valores!$S$10:$S$509,"="&amp;SUBSTITUTE(SUBSTITUTE(SUBSTITUTE("P:"&amp;A177,"~","~~"),"*","~*"),"?","~?"))=1),(IF(ISNA(MATCH(SUBSTITUTE(SUBSTITUTE(SUBSTITUTE("P:"&amp;A177,"~","~~"),"*","~*"),"?","~?"),Valores!$S$10:$S$509,0)),9,INDEX(Valores!$R$10:$R$509,MATCH(SUBSTITUTE(SUBSTITUTE(SUBSTITUTE("P:"&amp;A177,"~","~~"),"*","~*"),"?","~?"),Valores!$S$10:$S$509,0)))-9),0)</f>
        <v>0</v>
      </c>
      <c r="AI177" s="40" t="str">
        <f t="shared" si="21"/>
        <v/>
      </c>
      <c r="AJ177" s="14" t="str">
        <f>IF(AND(X177=1,Y177=1),COUNTIFS($X$10:X177,1,$Y$10:Y177,1),"")</f>
        <v/>
      </c>
      <c r="AK177" s="14" t="str">
        <f>IF(X177=1,COUNTIFS($X$10:X177,1),"")</f>
        <v/>
      </c>
      <c r="AL177" s="14">
        <f>IF(AND(V177=1,AND(OR(Painel!$L$6="Todas",E177=Painel!$L$6),OR(Painel!$C$8="Todos",F177=Painel!$C$8),OR(Painel!$L$8="Todos",G177=Painel!$L$8),OR(Painel!$C$10="",ISNUMBER(SEARCH(SUBSTITUTE(SUBSTITUTE(SUBSTITUTE(Painel!$C$10,"~","~~"),"*","~*"),"?","~?"),A177&amp;" "&amp;H177&amp;" "&amp;I177))))),1,0)</f>
        <v>0</v>
      </c>
      <c r="AM177" s="14">
        <f t="shared" si="22"/>
        <v>0</v>
      </c>
      <c r="AN177" s="14"/>
      <c r="AO177" s="14"/>
      <c r="AP177" s="16" t="str">
        <f>IF(AB177=0,"",IF(INDEX(Andamentos!$B$10:$B$2009,AB177)="","",INDEX(Andamentos!$B$10:$B$2009,AB177)))</f>
        <v/>
      </c>
      <c r="AQ177" s="17" t="str">
        <f>IF(AH177=0,"",IF(INDEX(Valores!$B$10:$B$509,AH177)="","",IF(ISNUMBER(INDEX(Valores!$B$10:$B$509,AH177)),INDEX(Valores!$B$10:$B$509,AH177),"")))</f>
        <v/>
      </c>
      <c r="AR177" s="14" t="str">
        <f t="shared" si="23"/>
        <v/>
      </c>
      <c r="AS177" s="14" t="str">
        <f t="shared" si="24"/>
        <v/>
      </c>
      <c r="AT177" s="27"/>
      <c r="AU177" s="31"/>
      <c r="AV177" s="31"/>
      <c r="AW177" s="27"/>
      <c r="AX177" s="27"/>
      <c r="AY177" s="27"/>
      <c r="AZ177" s="27"/>
      <c r="BA177" s="30" t="str">
        <f t="shared" si="25"/>
        <v/>
      </c>
      <c r="BB177" s="30" t="str">
        <f t="shared" si="26"/>
        <v/>
      </c>
      <c r="BC177" s="30">
        <f>IF(X177=0,0,IF(COUNTIFS($X$10:X177,1,$BA$10:BA177,BA177)=1,1,0))</f>
        <v>0</v>
      </c>
      <c r="BD177" s="29"/>
    </row>
    <row r="178" spans="1:56" ht="42" customHeight="1">
      <c r="A178" s="41"/>
      <c r="B178" s="44"/>
      <c r="C178" s="44"/>
      <c r="D178" s="44"/>
      <c r="E178" s="44"/>
      <c r="F178" s="44"/>
      <c r="G178" s="44"/>
      <c r="H178" s="44"/>
      <c r="I178" s="44"/>
      <c r="J178" s="44"/>
      <c r="K178" s="44"/>
      <c r="L178" s="49"/>
      <c r="M178" s="48"/>
      <c r="N178" s="48"/>
      <c r="O178" s="48"/>
      <c r="P178" s="48"/>
      <c r="Q178" s="48"/>
      <c r="R178" s="48"/>
      <c r="S178" s="49"/>
      <c r="T178" s="48"/>
      <c r="U178" s="48"/>
      <c r="V178" s="14">
        <f t="shared" si="18"/>
        <v>0</v>
      </c>
      <c r="W178" s="14">
        <f t="shared" si="19"/>
        <v>0</v>
      </c>
      <c r="X178" s="14">
        <f>IF(AND(V178=1,OR(Painel!$C$6="Todos",D178=Painel!$C$6),AND(OR(Painel!$L$6="Todas",E178=Painel!$L$6),OR(Painel!$C$8="Todos",F178=Painel!$C$8),OR(Painel!$L$8="Todos",G178=Painel!$L$8),OR(Painel!$C$10="",ISNUMBER(SEARCH(SUBSTITUTE(SUBSTITUTE(SUBSTITUTE(Painel!$C$10,"~","~~"),"*","~*"),"?","~?"),A178&amp;" "&amp;H178&amp;" "&amp;I178))))),1,0)</f>
        <v>0</v>
      </c>
      <c r="Y178" s="14">
        <f t="shared" si="20"/>
        <v>0</v>
      </c>
      <c r="Z178" s="15" t="str">
        <f>IF(V178=0,"",IF(COUNTIFS(Andamentos!$K$10:$K$2009,"="&amp;SUBSTITUTE(SUBSTITUTE(SUBSTITUTE("P:"&amp;A178,"~","~~"),"*","~*"),"?","~?"),Andamentos!$G$10:$G$2009,1)=0,"",_xlfn.AGGREGATE(14,6,Andamentos!$D$10:$D$2009/((Andamentos!$K$10:$K$2009=AS178)*(Andamentos!$G$10:$G$2009=1)),1)))</f>
        <v/>
      </c>
      <c r="AA178" s="14">
        <f>IF(Z178="",0,COUNTIFS(Andamentos!$K$10:$K$2009,"="&amp;SUBSTITUTE(SUBSTITUTE(SUBSTITUTE("P:"&amp;A178,"~","~~"),"*","~*"),"?","~?"),Andamentos!$D$10:$D$2009,Z178,Andamentos!$G$10:$G$2009,1))</f>
        <v>0</v>
      </c>
      <c r="AB178" s="14">
        <f>IF(AA178=1,SUMIFS(Andamentos!$L$10:$L$2009,Andamentos!$K$10:$K$2009,"="&amp;SUBSTITUTE(SUBSTITUTE(SUBSTITUTE(AS178,"~","~~"),"*","~*"),"?","~?"),Andamentos!$D$10:$D$2009,Z178,Andamentos!$G$10:$G$2009,1)-9,0)</f>
        <v>0</v>
      </c>
      <c r="AC178" s="14" t="str">
        <f>IF(V178=0,"",IF(AA178&gt;1,"Conferir recebimentos empatados",IF(AB178=0,"Sem atualização",INDEX(Andamentos!$C$10:$C$2009,AB178))))</f>
        <v/>
      </c>
      <c r="AD178" s="14">
        <f>IF(W178=0,0,IF(MAX(Z178,BD178)=0,1,IF(Configurar!$J$12-INT(MAX(Z178,BD178))&gt;Configurar!$J$11,1,0)))</f>
        <v>0</v>
      </c>
      <c r="AE178" s="16"/>
      <c r="AF178" s="14"/>
      <c r="AG178" s="14"/>
      <c r="AH178" s="14">
        <f>IF(AND(V178=1,COUNTIFS(Valores!$S$10:$S$509,"="&amp;SUBSTITUTE(SUBSTITUTE(SUBSTITUTE("P:"&amp;A178,"~","~~"),"*","~*"),"?","~?"))=1),(IF(ISNA(MATCH(SUBSTITUTE(SUBSTITUTE(SUBSTITUTE("P:"&amp;A178,"~","~~"),"*","~*"),"?","~?"),Valores!$S$10:$S$509,0)),9,INDEX(Valores!$R$10:$R$509,MATCH(SUBSTITUTE(SUBSTITUTE(SUBSTITUTE("P:"&amp;A178,"~","~~"),"*","~*"),"?","~?"),Valores!$S$10:$S$509,0)))-9),0)</f>
        <v>0</v>
      </c>
      <c r="AI178" s="40" t="str">
        <f t="shared" si="21"/>
        <v/>
      </c>
      <c r="AJ178" s="14" t="str">
        <f>IF(AND(X178=1,Y178=1),COUNTIFS($X$10:X178,1,$Y$10:Y178,1),"")</f>
        <v/>
      </c>
      <c r="AK178" s="14" t="str">
        <f>IF(X178=1,COUNTIFS($X$10:X178,1),"")</f>
        <v/>
      </c>
      <c r="AL178" s="14">
        <f>IF(AND(V178=1,AND(OR(Painel!$L$6="Todas",E178=Painel!$L$6),OR(Painel!$C$8="Todos",F178=Painel!$C$8),OR(Painel!$L$8="Todos",G178=Painel!$L$8),OR(Painel!$C$10="",ISNUMBER(SEARCH(SUBSTITUTE(SUBSTITUTE(SUBSTITUTE(Painel!$C$10,"~","~~"),"*","~*"),"?","~?"),A178&amp;" "&amp;H178&amp;" "&amp;I178))))),1,0)</f>
        <v>0</v>
      </c>
      <c r="AM178" s="14">
        <f t="shared" si="22"/>
        <v>0</v>
      </c>
      <c r="AN178" s="14"/>
      <c r="AO178" s="14"/>
      <c r="AP178" s="16" t="str">
        <f>IF(AB178=0,"",IF(INDEX(Andamentos!$B$10:$B$2009,AB178)="","",INDEX(Andamentos!$B$10:$B$2009,AB178)))</f>
        <v/>
      </c>
      <c r="AQ178" s="17" t="str">
        <f>IF(AH178=0,"",IF(INDEX(Valores!$B$10:$B$509,AH178)="","",IF(ISNUMBER(INDEX(Valores!$B$10:$B$509,AH178)),INDEX(Valores!$B$10:$B$509,AH178),"")))</f>
        <v/>
      </c>
      <c r="AR178" s="14" t="str">
        <f t="shared" si="23"/>
        <v/>
      </c>
      <c r="AS178" s="14" t="str">
        <f t="shared" si="24"/>
        <v/>
      </c>
      <c r="AT178" s="27"/>
      <c r="AU178" s="31"/>
      <c r="AV178" s="31"/>
      <c r="AW178" s="27"/>
      <c r="AX178" s="27"/>
      <c r="AY178" s="27"/>
      <c r="AZ178" s="27"/>
      <c r="BA178" s="30" t="str">
        <f t="shared" si="25"/>
        <v/>
      </c>
      <c r="BB178" s="30" t="str">
        <f t="shared" si="26"/>
        <v/>
      </c>
      <c r="BC178" s="30">
        <f>IF(X178=0,0,IF(COUNTIFS($X$10:X178,1,$BA$10:BA178,BA178)=1,1,0))</f>
        <v>0</v>
      </c>
      <c r="BD178" s="29"/>
    </row>
    <row r="179" spans="1:56" ht="42" customHeight="1">
      <c r="A179" s="41"/>
      <c r="B179" s="44"/>
      <c r="C179" s="44"/>
      <c r="D179" s="44"/>
      <c r="E179" s="44"/>
      <c r="F179" s="44"/>
      <c r="G179" s="44"/>
      <c r="H179" s="44"/>
      <c r="I179" s="44"/>
      <c r="J179" s="44"/>
      <c r="K179" s="44"/>
      <c r="L179" s="49"/>
      <c r="M179" s="48"/>
      <c r="N179" s="48"/>
      <c r="O179" s="48"/>
      <c r="P179" s="48"/>
      <c r="Q179" s="48"/>
      <c r="R179" s="48"/>
      <c r="S179" s="49"/>
      <c r="T179" s="48"/>
      <c r="U179" s="48"/>
      <c r="V179" s="14">
        <f t="shared" si="18"/>
        <v>0</v>
      </c>
      <c r="W179" s="14">
        <f t="shared" si="19"/>
        <v>0</v>
      </c>
      <c r="X179" s="14">
        <f>IF(AND(V179=1,OR(Painel!$C$6="Todos",D179=Painel!$C$6),AND(OR(Painel!$L$6="Todas",E179=Painel!$L$6),OR(Painel!$C$8="Todos",F179=Painel!$C$8),OR(Painel!$L$8="Todos",G179=Painel!$L$8),OR(Painel!$C$10="",ISNUMBER(SEARCH(SUBSTITUTE(SUBSTITUTE(SUBSTITUTE(Painel!$C$10,"~","~~"),"*","~*"),"?","~?"),A179&amp;" "&amp;H179&amp;" "&amp;I179))))),1,0)</f>
        <v>0</v>
      </c>
      <c r="Y179" s="14">
        <f t="shared" si="20"/>
        <v>0</v>
      </c>
      <c r="Z179" s="15" t="str">
        <f>IF(V179=0,"",IF(COUNTIFS(Andamentos!$K$10:$K$2009,"="&amp;SUBSTITUTE(SUBSTITUTE(SUBSTITUTE("P:"&amp;A179,"~","~~"),"*","~*"),"?","~?"),Andamentos!$G$10:$G$2009,1)=0,"",_xlfn.AGGREGATE(14,6,Andamentos!$D$10:$D$2009/((Andamentos!$K$10:$K$2009=AS179)*(Andamentos!$G$10:$G$2009=1)),1)))</f>
        <v/>
      </c>
      <c r="AA179" s="14">
        <f>IF(Z179="",0,COUNTIFS(Andamentos!$K$10:$K$2009,"="&amp;SUBSTITUTE(SUBSTITUTE(SUBSTITUTE("P:"&amp;A179,"~","~~"),"*","~*"),"?","~?"),Andamentos!$D$10:$D$2009,Z179,Andamentos!$G$10:$G$2009,1))</f>
        <v>0</v>
      </c>
      <c r="AB179" s="14">
        <f>IF(AA179=1,SUMIFS(Andamentos!$L$10:$L$2009,Andamentos!$K$10:$K$2009,"="&amp;SUBSTITUTE(SUBSTITUTE(SUBSTITUTE(AS179,"~","~~"),"*","~*"),"?","~?"),Andamentos!$D$10:$D$2009,Z179,Andamentos!$G$10:$G$2009,1)-9,0)</f>
        <v>0</v>
      </c>
      <c r="AC179" s="14" t="str">
        <f>IF(V179=0,"",IF(AA179&gt;1,"Conferir recebimentos empatados",IF(AB179=0,"Sem atualização",INDEX(Andamentos!$C$10:$C$2009,AB179))))</f>
        <v/>
      </c>
      <c r="AD179" s="14">
        <f>IF(W179=0,0,IF(MAX(Z179,BD179)=0,1,IF(Configurar!$J$12-INT(MAX(Z179,BD179))&gt;Configurar!$J$11,1,0)))</f>
        <v>0</v>
      </c>
      <c r="AE179" s="16"/>
      <c r="AF179" s="14"/>
      <c r="AG179" s="14"/>
      <c r="AH179" s="14">
        <f>IF(AND(V179=1,COUNTIFS(Valores!$S$10:$S$509,"="&amp;SUBSTITUTE(SUBSTITUTE(SUBSTITUTE("P:"&amp;A179,"~","~~"),"*","~*"),"?","~?"))=1),(IF(ISNA(MATCH(SUBSTITUTE(SUBSTITUTE(SUBSTITUTE("P:"&amp;A179,"~","~~"),"*","~*"),"?","~?"),Valores!$S$10:$S$509,0)),9,INDEX(Valores!$R$10:$R$509,MATCH(SUBSTITUTE(SUBSTITUTE(SUBSTITUTE("P:"&amp;A179,"~","~~"),"*","~*"),"?","~?"),Valores!$S$10:$S$509,0)))-9),0)</f>
        <v>0</v>
      </c>
      <c r="AI179" s="40" t="str">
        <f t="shared" si="21"/>
        <v/>
      </c>
      <c r="AJ179" s="14" t="str">
        <f>IF(AND(X179=1,Y179=1),COUNTIFS($X$10:X179,1,$Y$10:Y179,1),"")</f>
        <v/>
      </c>
      <c r="AK179" s="14" t="str">
        <f>IF(X179=1,COUNTIFS($X$10:X179,1),"")</f>
        <v/>
      </c>
      <c r="AL179" s="14">
        <f>IF(AND(V179=1,AND(OR(Painel!$L$6="Todas",E179=Painel!$L$6),OR(Painel!$C$8="Todos",F179=Painel!$C$8),OR(Painel!$L$8="Todos",G179=Painel!$L$8),OR(Painel!$C$10="",ISNUMBER(SEARCH(SUBSTITUTE(SUBSTITUTE(SUBSTITUTE(Painel!$C$10,"~","~~"),"*","~*"),"?","~?"),A179&amp;" "&amp;H179&amp;" "&amp;I179))))),1,0)</f>
        <v>0</v>
      </c>
      <c r="AM179" s="14">
        <f t="shared" si="22"/>
        <v>0</v>
      </c>
      <c r="AN179" s="14"/>
      <c r="AO179" s="14"/>
      <c r="AP179" s="16" t="str">
        <f>IF(AB179=0,"",IF(INDEX(Andamentos!$B$10:$B$2009,AB179)="","",INDEX(Andamentos!$B$10:$B$2009,AB179)))</f>
        <v/>
      </c>
      <c r="AQ179" s="17" t="str">
        <f>IF(AH179=0,"",IF(INDEX(Valores!$B$10:$B$509,AH179)="","",IF(ISNUMBER(INDEX(Valores!$B$10:$B$509,AH179)),INDEX(Valores!$B$10:$B$509,AH179),"")))</f>
        <v/>
      </c>
      <c r="AR179" s="14" t="str">
        <f t="shared" si="23"/>
        <v/>
      </c>
      <c r="AS179" s="14" t="str">
        <f t="shared" si="24"/>
        <v/>
      </c>
      <c r="AT179" s="27"/>
      <c r="AU179" s="31"/>
      <c r="AV179" s="31"/>
      <c r="AW179" s="27"/>
      <c r="AX179" s="27"/>
      <c r="AY179" s="27"/>
      <c r="AZ179" s="27"/>
      <c r="BA179" s="30" t="str">
        <f t="shared" si="25"/>
        <v/>
      </c>
      <c r="BB179" s="30" t="str">
        <f t="shared" si="26"/>
        <v/>
      </c>
      <c r="BC179" s="30">
        <f>IF(X179=0,0,IF(COUNTIFS($X$10:X179,1,$BA$10:BA179,BA179)=1,1,0))</f>
        <v>0</v>
      </c>
      <c r="BD179" s="29"/>
    </row>
    <row r="180" spans="1:56" ht="42" customHeight="1">
      <c r="A180" s="41"/>
      <c r="B180" s="44"/>
      <c r="C180" s="44"/>
      <c r="D180" s="44"/>
      <c r="E180" s="44"/>
      <c r="F180" s="44"/>
      <c r="G180" s="44"/>
      <c r="H180" s="44"/>
      <c r="I180" s="44"/>
      <c r="J180" s="44"/>
      <c r="K180" s="44"/>
      <c r="L180" s="49"/>
      <c r="M180" s="48"/>
      <c r="N180" s="48"/>
      <c r="O180" s="48"/>
      <c r="P180" s="48"/>
      <c r="Q180" s="48"/>
      <c r="R180" s="48"/>
      <c r="S180" s="49"/>
      <c r="T180" s="48"/>
      <c r="U180" s="48"/>
      <c r="V180" s="14">
        <f t="shared" si="18"/>
        <v>0</v>
      </c>
      <c r="W180" s="14">
        <f t="shared" si="19"/>
        <v>0</v>
      </c>
      <c r="X180" s="14">
        <f>IF(AND(V180=1,OR(Painel!$C$6="Todos",D180=Painel!$C$6),AND(OR(Painel!$L$6="Todas",E180=Painel!$L$6),OR(Painel!$C$8="Todos",F180=Painel!$C$8),OR(Painel!$L$8="Todos",G180=Painel!$L$8),OR(Painel!$C$10="",ISNUMBER(SEARCH(SUBSTITUTE(SUBSTITUTE(SUBSTITUTE(Painel!$C$10,"~","~~"),"*","~*"),"?","~?"),A180&amp;" "&amp;H180&amp;" "&amp;I180))))),1,0)</f>
        <v>0</v>
      </c>
      <c r="Y180" s="14">
        <f t="shared" si="20"/>
        <v>0</v>
      </c>
      <c r="Z180" s="15" t="str">
        <f>IF(V180=0,"",IF(COUNTIFS(Andamentos!$K$10:$K$2009,"="&amp;SUBSTITUTE(SUBSTITUTE(SUBSTITUTE("P:"&amp;A180,"~","~~"),"*","~*"),"?","~?"),Andamentos!$G$10:$G$2009,1)=0,"",_xlfn.AGGREGATE(14,6,Andamentos!$D$10:$D$2009/((Andamentos!$K$10:$K$2009=AS180)*(Andamentos!$G$10:$G$2009=1)),1)))</f>
        <v/>
      </c>
      <c r="AA180" s="14">
        <f>IF(Z180="",0,COUNTIFS(Andamentos!$K$10:$K$2009,"="&amp;SUBSTITUTE(SUBSTITUTE(SUBSTITUTE("P:"&amp;A180,"~","~~"),"*","~*"),"?","~?"),Andamentos!$D$10:$D$2009,Z180,Andamentos!$G$10:$G$2009,1))</f>
        <v>0</v>
      </c>
      <c r="AB180" s="14">
        <f>IF(AA180=1,SUMIFS(Andamentos!$L$10:$L$2009,Andamentos!$K$10:$K$2009,"="&amp;SUBSTITUTE(SUBSTITUTE(SUBSTITUTE(AS180,"~","~~"),"*","~*"),"?","~?"),Andamentos!$D$10:$D$2009,Z180,Andamentos!$G$10:$G$2009,1)-9,0)</f>
        <v>0</v>
      </c>
      <c r="AC180" s="14" t="str">
        <f>IF(V180=0,"",IF(AA180&gt;1,"Conferir recebimentos empatados",IF(AB180=0,"Sem atualização",INDEX(Andamentos!$C$10:$C$2009,AB180))))</f>
        <v/>
      </c>
      <c r="AD180" s="14">
        <f>IF(W180=0,0,IF(MAX(Z180,BD180)=0,1,IF(Configurar!$J$12-INT(MAX(Z180,BD180))&gt;Configurar!$J$11,1,0)))</f>
        <v>0</v>
      </c>
      <c r="AE180" s="16"/>
      <c r="AF180" s="14"/>
      <c r="AG180" s="14"/>
      <c r="AH180" s="14">
        <f>IF(AND(V180=1,COUNTIFS(Valores!$S$10:$S$509,"="&amp;SUBSTITUTE(SUBSTITUTE(SUBSTITUTE("P:"&amp;A180,"~","~~"),"*","~*"),"?","~?"))=1),(IF(ISNA(MATCH(SUBSTITUTE(SUBSTITUTE(SUBSTITUTE("P:"&amp;A180,"~","~~"),"*","~*"),"?","~?"),Valores!$S$10:$S$509,0)),9,INDEX(Valores!$R$10:$R$509,MATCH(SUBSTITUTE(SUBSTITUTE(SUBSTITUTE("P:"&amp;A180,"~","~~"),"*","~*"),"?","~?"),Valores!$S$10:$S$509,0)))-9),0)</f>
        <v>0</v>
      </c>
      <c r="AI180" s="40" t="str">
        <f t="shared" si="21"/>
        <v/>
      </c>
      <c r="AJ180" s="14" t="str">
        <f>IF(AND(X180=1,Y180=1),COUNTIFS($X$10:X180,1,$Y$10:Y180,1),"")</f>
        <v/>
      </c>
      <c r="AK180" s="14" t="str">
        <f>IF(X180=1,COUNTIFS($X$10:X180,1),"")</f>
        <v/>
      </c>
      <c r="AL180" s="14">
        <f>IF(AND(V180=1,AND(OR(Painel!$L$6="Todas",E180=Painel!$L$6),OR(Painel!$C$8="Todos",F180=Painel!$C$8),OR(Painel!$L$8="Todos",G180=Painel!$L$8),OR(Painel!$C$10="",ISNUMBER(SEARCH(SUBSTITUTE(SUBSTITUTE(SUBSTITUTE(Painel!$C$10,"~","~~"),"*","~*"),"?","~?"),A180&amp;" "&amp;H180&amp;" "&amp;I180))))),1,0)</f>
        <v>0</v>
      </c>
      <c r="AM180" s="14">
        <f t="shared" si="22"/>
        <v>0</v>
      </c>
      <c r="AN180" s="14"/>
      <c r="AO180" s="14"/>
      <c r="AP180" s="16" t="str">
        <f>IF(AB180=0,"",IF(INDEX(Andamentos!$B$10:$B$2009,AB180)="","",INDEX(Andamentos!$B$10:$B$2009,AB180)))</f>
        <v/>
      </c>
      <c r="AQ180" s="17" t="str">
        <f>IF(AH180=0,"",IF(INDEX(Valores!$B$10:$B$509,AH180)="","",IF(ISNUMBER(INDEX(Valores!$B$10:$B$509,AH180)),INDEX(Valores!$B$10:$B$509,AH180),"")))</f>
        <v/>
      </c>
      <c r="AR180" s="14" t="str">
        <f t="shared" si="23"/>
        <v/>
      </c>
      <c r="AS180" s="14" t="str">
        <f t="shared" si="24"/>
        <v/>
      </c>
      <c r="AT180" s="27"/>
      <c r="AU180" s="31"/>
      <c r="AV180" s="31"/>
      <c r="AW180" s="27"/>
      <c r="AX180" s="27"/>
      <c r="AY180" s="27"/>
      <c r="AZ180" s="27"/>
      <c r="BA180" s="30" t="str">
        <f t="shared" si="25"/>
        <v/>
      </c>
      <c r="BB180" s="30" t="str">
        <f t="shared" si="26"/>
        <v/>
      </c>
      <c r="BC180" s="30">
        <f>IF(X180=0,0,IF(COUNTIFS($X$10:X180,1,$BA$10:BA180,BA180)=1,1,0))</f>
        <v>0</v>
      </c>
      <c r="BD180" s="29"/>
    </row>
    <row r="181" spans="1:56" ht="42" customHeight="1">
      <c r="A181" s="41"/>
      <c r="B181" s="44"/>
      <c r="C181" s="44"/>
      <c r="D181" s="44"/>
      <c r="E181" s="44"/>
      <c r="F181" s="44"/>
      <c r="G181" s="44"/>
      <c r="H181" s="44"/>
      <c r="I181" s="44"/>
      <c r="J181" s="44"/>
      <c r="K181" s="44"/>
      <c r="L181" s="49"/>
      <c r="M181" s="48"/>
      <c r="N181" s="48"/>
      <c r="O181" s="48"/>
      <c r="P181" s="48"/>
      <c r="Q181" s="48"/>
      <c r="R181" s="48"/>
      <c r="S181" s="49"/>
      <c r="T181" s="48"/>
      <c r="U181" s="48"/>
      <c r="V181" s="14">
        <f t="shared" si="18"/>
        <v>0</v>
      </c>
      <c r="W181" s="14">
        <f t="shared" si="19"/>
        <v>0</v>
      </c>
      <c r="X181" s="14">
        <f>IF(AND(V181=1,OR(Painel!$C$6="Todos",D181=Painel!$C$6),AND(OR(Painel!$L$6="Todas",E181=Painel!$L$6),OR(Painel!$C$8="Todos",F181=Painel!$C$8),OR(Painel!$L$8="Todos",G181=Painel!$L$8),OR(Painel!$C$10="",ISNUMBER(SEARCH(SUBSTITUTE(SUBSTITUTE(SUBSTITUTE(Painel!$C$10,"~","~~"),"*","~*"),"?","~?"),A181&amp;" "&amp;H181&amp;" "&amp;I181))))),1,0)</f>
        <v>0</v>
      </c>
      <c r="Y181" s="14">
        <f t="shared" si="20"/>
        <v>0</v>
      </c>
      <c r="Z181" s="15" t="str">
        <f>IF(V181=0,"",IF(COUNTIFS(Andamentos!$K$10:$K$2009,"="&amp;SUBSTITUTE(SUBSTITUTE(SUBSTITUTE("P:"&amp;A181,"~","~~"),"*","~*"),"?","~?"),Andamentos!$G$10:$G$2009,1)=0,"",_xlfn.AGGREGATE(14,6,Andamentos!$D$10:$D$2009/((Andamentos!$K$10:$K$2009=AS181)*(Andamentos!$G$10:$G$2009=1)),1)))</f>
        <v/>
      </c>
      <c r="AA181" s="14">
        <f>IF(Z181="",0,COUNTIFS(Andamentos!$K$10:$K$2009,"="&amp;SUBSTITUTE(SUBSTITUTE(SUBSTITUTE("P:"&amp;A181,"~","~~"),"*","~*"),"?","~?"),Andamentos!$D$10:$D$2009,Z181,Andamentos!$G$10:$G$2009,1))</f>
        <v>0</v>
      </c>
      <c r="AB181" s="14">
        <f>IF(AA181=1,SUMIFS(Andamentos!$L$10:$L$2009,Andamentos!$K$10:$K$2009,"="&amp;SUBSTITUTE(SUBSTITUTE(SUBSTITUTE(AS181,"~","~~"),"*","~*"),"?","~?"),Andamentos!$D$10:$D$2009,Z181,Andamentos!$G$10:$G$2009,1)-9,0)</f>
        <v>0</v>
      </c>
      <c r="AC181" s="14" t="str">
        <f>IF(V181=0,"",IF(AA181&gt;1,"Conferir recebimentos empatados",IF(AB181=0,"Sem atualização",INDEX(Andamentos!$C$10:$C$2009,AB181))))</f>
        <v/>
      </c>
      <c r="AD181" s="14">
        <f>IF(W181=0,0,IF(MAX(Z181,BD181)=0,1,IF(Configurar!$J$12-INT(MAX(Z181,BD181))&gt;Configurar!$J$11,1,0)))</f>
        <v>0</v>
      </c>
      <c r="AE181" s="16"/>
      <c r="AF181" s="14"/>
      <c r="AG181" s="14"/>
      <c r="AH181" s="14">
        <f>IF(AND(V181=1,COUNTIFS(Valores!$S$10:$S$509,"="&amp;SUBSTITUTE(SUBSTITUTE(SUBSTITUTE("P:"&amp;A181,"~","~~"),"*","~*"),"?","~?"))=1),(IF(ISNA(MATCH(SUBSTITUTE(SUBSTITUTE(SUBSTITUTE("P:"&amp;A181,"~","~~"),"*","~*"),"?","~?"),Valores!$S$10:$S$509,0)),9,INDEX(Valores!$R$10:$R$509,MATCH(SUBSTITUTE(SUBSTITUTE(SUBSTITUTE("P:"&amp;A181,"~","~~"),"*","~*"),"?","~?"),Valores!$S$10:$S$509,0)))-9),0)</f>
        <v>0</v>
      </c>
      <c r="AI181" s="40" t="str">
        <f t="shared" si="21"/>
        <v/>
      </c>
      <c r="AJ181" s="14" t="str">
        <f>IF(AND(X181=1,Y181=1),COUNTIFS($X$10:X181,1,$Y$10:Y181,1),"")</f>
        <v/>
      </c>
      <c r="AK181" s="14" t="str">
        <f>IF(X181=1,COUNTIFS($X$10:X181,1),"")</f>
        <v/>
      </c>
      <c r="AL181" s="14">
        <f>IF(AND(V181=1,AND(OR(Painel!$L$6="Todas",E181=Painel!$L$6),OR(Painel!$C$8="Todos",F181=Painel!$C$8),OR(Painel!$L$8="Todos",G181=Painel!$L$8),OR(Painel!$C$10="",ISNUMBER(SEARCH(SUBSTITUTE(SUBSTITUTE(SUBSTITUTE(Painel!$C$10,"~","~~"),"*","~*"),"?","~?"),A181&amp;" "&amp;H181&amp;" "&amp;I181))))),1,0)</f>
        <v>0</v>
      </c>
      <c r="AM181" s="14">
        <f t="shared" si="22"/>
        <v>0</v>
      </c>
      <c r="AN181" s="14"/>
      <c r="AO181" s="14"/>
      <c r="AP181" s="16" t="str">
        <f>IF(AB181=0,"",IF(INDEX(Andamentos!$B$10:$B$2009,AB181)="","",INDEX(Andamentos!$B$10:$B$2009,AB181)))</f>
        <v/>
      </c>
      <c r="AQ181" s="17" t="str">
        <f>IF(AH181=0,"",IF(INDEX(Valores!$B$10:$B$509,AH181)="","",IF(ISNUMBER(INDEX(Valores!$B$10:$B$509,AH181)),INDEX(Valores!$B$10:$B$509,AH181),"")))</f>
        <v/>
      </c>
      <c r="AR181" s="14" t="str">
        <f t="shared" si="23"/>
        <v/>
      </c>
      <c r="AS181" s="14" t="str">
        <f t="shared" si="24"/>
        <v/>
      </c>
      <c r="AT181" s="27"/>
      <c r="AU181" s="31"/>
      <c r="AV181" s="31"/>
      <c r="AW181" s="27"/>
      <c r="AX181" s="27"/>
      <c r="AY181" s="27"/>
      <c r="AZ181" s="27"/>
      <c r="BA181" s="30" t="str">
        <f t="shared" si="25"/>
        <v/>
      </c>
      <c r="BB181" s="30" t="str">
        <f t="shared" si="26"/>
        <v/>
      </c>
      <c r="BC181" s="30">
        <f>IF(X181=0,0,IF(COUNTIFS($X$10:X181,1,$BA$10:BA181,BA181)=1,1,0))</f>
        <v>0</v>
      </c>
      <c r="BD181" s="29"/>
    </row>
    <row r="182" spans="1:56" ht="42" customHeight="1">
      <c r="A182" s="41"/>
      <c r="B182" s="44"/>
      <c r="C182" s="44"/>
      <c r="D182" s="44"/>
      <c r="E182" s="44"/>
      <c r="F182" s="44"/>
      <c r="G182" s="44"/>
      <c r="H182" s="44"/>
      <c r="I182" s="44"/>
      <c r="J182" s="44"/>
      <c r="K182" s="44"/>
      <c r="L182" s="49"/>
      <c r="M182" s="48"/>
      <c r="N182" s="48"/>
      <c r="O182" s="48"/>
      <c r="P182" s="48"/>
      <c r="Q182" s="48"/>
      <c r="R182" s="48"/>
      <c r="S182" s="49"/>
      <c r="T182" s="48"/>
      <c r="U182" s="48"/>
      <c r="V182" s="14">
        <f t="shared" si="18"/>
        <v>0</v>
      </c>
      <c r="W182" s="14">
        <f t="shared" si="19"/>
        <v>0</v>
      </c>
      <c r="X182" s="14">
        <f>IF(AND(V182=1,OR(Painel!$C$6="Todos",D182=Painel!$C$6),AND(OR(Painel!$L$6="Todas",E182=Painel!$L$6),OR(Painel!$C$8="Todos",F182=Painel!$C$8),OR(Painel!$L$8="Todos",G182=Painel!$L$8),OR(Painel!$C$10="",ISNUMBER(SEARCH(SUBSTITUTE(SUBSTITUTE(SUBSTITUTE(Painel!$C$10,"~","~~"),"*","~*"),"?","~?"),A182&amp;" "&amp;H182&amp;" "&amp;I182))))),1,0)</f>
        <v>0</v>
      </c>
      <c r="Y182" s="14">
        <f t="shared" si="20"/>
        <v>0</v>
      </c>
      <c r="Z182" s="15" t="str">
        <f>IF(V182=0,"",IF(COUNTIFS(Andamentos!$K$10:$K$2009,"="&amp;SUBSTITUTE(SUBSTITUTE(SUBSTITUTE("P:"&amp;A182,"~","~~"),"*","~*"),"?","~?"),Andamentos!$G$10:$G$2009,1)=0,"",_xlfn.AGGREGATE(14,6,Andamentos!$D$10:$D$2009/((Andamentos!$K$10:$K$2009=AS182)*(Andamentos!$G$10:$G$2009=1)),1)))</f>
        <v/>
      </c>
      <c r="AA182" s="14">
        <f>IF(Z182="",0,COUNTIFS(Andamentos!$K$10:$K$2009,"="&amp;SUBSTITUTE(SUBSTITUTE(SUBSTITUTE("P:"&amp;A182,"~","~~"),"*","~*"),"?","~?"),Andamentos!$D$10:$D$2009,Z182,Andamentos!$G$10:$G$2009,1))</f>
        <v>0</v>
      </c>
      <c r="AB182" s="14">
        <f>IF(AA182=1,SUMIFS(Andamentos!$L$10:$L$2009,Andamentos!$K$10:$K$2009,"="&amp;SUBSTITUTE(SUBSTITUTE(SUBSTITUTE(AS182,"~","~~"),"*","~*"),"?","~?"),Andamentos!$D$10:$D$2009,Z182,Andamentos!$G$10:$G$2009,1)-9,0)</f>
        <v>0</v>
      </c>
      <c r="AC182" s="14" t="str">
        <f>IF(V182=0,"",IF(AA182&gt;1,"Conferir recebimentos empatados",IF(AB182=0,"Sem atualização",INDEX(Andamentos!$C$10:$C$2009,AB182))))</f>
        <v/>
      </c>
      <c r="AD182" s="14">
        <f>IF(W182=0,0,IF(MAX(Z182,BD182)=0,1,IF(Configurar!$J$12-INT(MAX(Z182,BD182))&gt;Configurar!$J$11,1,0)))</f>
        <v>0</v>
      </c>
      <c r="AE182" s="16"/>
      <c r="AF182" s="14"/>
      <c r="AG182" s="14"/>
      <c r="AH182" s="14">
        <f>IF(AND(V182=1,COUNTIFS(Valores!$S$10:$S$509,"="&amp;SUBSTITUTE(SUBSTITUTE(SUBSTITUTE("P:"&amp;A182,"~","~~"),"*","~*"),"?","~?"))=1),(IF(ISNA(MATCH(SUBSTITUTE(SUBSTITUTE(SUBSTITUTE("P:"&amp;A182,"~","~~"),"*","~*"),"?","~?"),Valores!$S$10:$S$509,0)),9,INDEX(Valores!$R$10:$R$509,MATCH(SUBSTITUTE(SUBSTITUTE(SUBSTITUTE("P:"&amp;A182,"~","~~"),"*","~*"),"?","~?"),Valores!$S$10:$S$509,0)))-9),0)</f>
        <v>0</v>
      </c>
      <c r="AI182" s="40" t="str">
        <f t="shared" si="21"/>
        <v/>
      </c>
      <c r="AJ182" s="14" t="str">
        <f>IF(AND(X182=1,Y182=1),COUNTIFS($X$10:X182,1,$Y$10:Y182,1),"")</f>
        <v/>
      </c>
      <c r="AK182" s="14" t="str">
        <f>IF(X182=1,COUNTIFS($X$10:X182,1),"")</f>
        <v/>
      </c>
      <c r="AL182" s="14">
        <f>IF(AND(V182=1,AND(OR(Painel!$L$6="Todas",E182=Painel!$L$6),OR(Painel!$C$8="Todos",F182=Painel!$C$8),OR(Painel!$L$8="Todos",G182=Painel!$L$8),OR(Painel!$C$10="",ISNUMBER(SEARCH(SUBSTITUTE(SUBSTITUTE(SUBSTITUTE(Painel!$C$10,"~","~~"),"*","~*"),"?","~?"),A182&amp;" "&amp;H182&amp;" "&amp;I182))))),1,0)</f>
        <v>0</v>
      </c>
      <c r="AM182" s="14">
        <f t="shared" si="22"/>
        <v>0</v>
      </c>
      <c r="AN182" s="14"/>
      <c r="AO182" s="14"/>
      <c r="AP182" s="16" t="str">
        <f>IF(AB182=0,"",IF(INDEX(Andamentos!$B$10:$B$2009,AB182)="","",INDEX(Andamentos!$B$10:$B$2009,AB182)))</f>
        <v/>
      </c>
      <c r="AQ182" s="17" t="str">
        <f>IF(AH182=0,"",IF(INDEX(Valores!$B$10:$B$509,AH182)="","",IF(ISNUMBER(INDEX(Valores!$B$10:$B$509,AH182)),INDEX(Valores!$B$10:$B$509,AH182),"")))</f>
        <v/>
      </c>
      <c r="AR182" s="14" t="str">
        <f t="shared" si="23"/>
        <v/>
      </c>
      <c r="AS182" s="14" t="str">
        <f t="shared" si="24"/>
        <v/>
      </c>
      <c r="AT182" s="27"/>
      <c r="AU182" s="31"/>
      <c r="AV182" s="31"/>
      <c r="AW182" s="27"/>
      <c r="AX182" s="27"/>
      <c r="AY182" s="27"/>
      <c r="AZ182" s="27"/>
      <c r="BA182" s="30" t="str">
        <f t="shared" si="25"/>
        <v/>
      </c>
      <c r="BB182" s="30" t="str">
        <f t="shared" si="26"/>
        <v/>
      </c>
      <c r="BC182" s="30">
        <f>IF(X182=0,0,IF(COUNTIFS($X$10:X182,1,$BA$10:BA182,BA182)=1,1,0))</f>
        <v>0</v>
      </c>
      <c r="BD182" s="29"/>
    </row>
    <row r="183" spans="1:56" ht="42" customHeight="1">
      <c r="A183" s="41"/>
      <c r="B183" s="44"/>
      <c r="C183" s="44"/>
      <c r="D183" s="44"/>
      <c r="E183" s="44"/>
      <c r="F183" s="44"/>
      <c r="G183" s="44"/>
      <c r="H183" s="44"/>
      <c r="I183" s="44"/>
      <c r="J183" s="44"/>
      <c r="K183" s="44"/>
      <c r="L183" s="49"/>
      <c r="M183" s="48"/>
      <c r="N183" s="48"/>
      <c r="O183" s="48"/>
      <c r="P183" s="48"/>
      <c r="Q183" s="48"/>
      <c r="R183" s="48"/>
      <c r="S183" s="49"/>
      <c r="T183" s="48"/>
      <c r="U183" s="48"/>
      <c r="V183" s="14">
        <f t="shared" si="18"/>
        <v>0</v>
      </c>
      <c r="W183" s="14">
        <f t="shared" si="19"/>
        <v>0</v>
      </c>
      <c r="X183" s="14">
        <f>IF(AND(V183=1,OR(Painel!$C$6="Todos",D183=Painel!$C$6),AND(OR(Painel!$L$6="Todas",E183=Painel!$L$6),OR(Painel!$C$8="Todos",F183=Painel!$C$8),OR(Painel!$L$8="Todos",G183=Painel!$L$8),OR(Painel!$C$10="",ISNUMBER(SEARCH(SUBSTITUTE(SUBSTITUTE(SUBSTITUTE(Painel!$C$10,"~","~~"),"*","~*"),"?","~?"),A183&amp;" "&amp;H183&amp;" "&amp;I183))))),1,0)</f>
        <v>0</v>
      </c>
      <c r="Y183" s="14">
        <f t="shared" si="20"/>
        <v>0</v>
      </c>
      <c r="Z183" s="15" t="str">
        <f>IF(V183=0,"",IF(COUNTIFS(Andamentos!$K$10:$K$2009,"="&amp;SUBSTITUTE(SUBSTITUTE(SUBSTITUTE("P:"&amp;A183,"~","~~"),"*","~*"),"?","~?"),Andamentos!$G$10:$G$2009,1)=0,"",_xlfn.AGGREGATE(14,6,Andamentos!$D$10:$D$2009/((Andamentos!$K$10:$K$2009=AS183)*(Andamentos!$G$10:$G$2009=1)),1)))</f>
        <v/>
      </c>
      <c r="AA183" s="14">
        <f>IF(Z183="",0,COUNTIFS(Andamentos!$K$10:$K$2009,"="&amp;SUBSTITUTE(SUBSTITUTE(SUBSTITUTE("P:"&amp;A183,"~","~~"),"*","~*"),"?","~?"),Andamentos!$D$10:$D$2009,Z183,Andamentos!$G$10:$G$2009,1))</f>
        <v>0</v>
      </c>
      <c r="AB183" s="14">
        <f>IF(AA183=1,SUMIFS(Andamentos!$L$10:$L$2009,Andamentos!$K$10:$K$2009,"="&amp;SUBSTITUTE(SUBSTITUTE(SUBSTITUTE(AS183,"~","~~"),"*","~*"),"?","~?"),Andamentos!$D$10:$D$2009,Z183,Andamentos!$G$10:$G$2009,1)-9,0)</f>
        <v>0</v>
      </c>
      <c r="AC183" s="14" t="str">
        <f>IF(V183=0,"",IF(AA183&gt;1,"Conferir recebimentos empatados",IF(AB183=0,"Sem atualização",INDEX(Andamentos!$C$10:$C$2009,AB183))))</f>
        <v/>
      </c>
      <c r="AD183" s="14">
        <f>IF(W183=0,0,IF(MAX(Z183,BD183)=0,1,IF(Configurar!$J$12-INT(MAX(Z183,BD183))&gt;Configurar!$J$11,1,0)))</f>
        <v>0</v>
      </c>
      <c r="AE183" s="16"/>
      <c r="AF183" s="14"/>
      <c r="AG183" s="14"/>
      <c r="AH183" s="14">
        <f>IF(AND(V183=1,COUNTIFS(Valores!$S$10:$S$509,"="&amp;SUBSTITUTE(SUBSTITUTE(SUBSTITUTE("P:"&amp;A183,"~","~~"),"*","~*"),"?","~?"))=1),(IF(ISNA(MATCH(SUBSTITUTE(SUBSTITUTE(SUBSTITUTE("P:"&amp;A183,"~","~~"),"*","~*"),"?","~?"),Valores!$S$10:$S$509,0)),9,INDEX(Valores!$R$10:$R$509,MATCH(SUBSTITUTE(SUBSTITUTE(SUBSTITUTE("P:"&amp;A183,"~","~~"),"*","~*"),"?","~?"),Valores!$S$10:$S$509,0)))-9),0)</f>
        <v>0</v>
      </c>
      <c r="AI183" s="40" t="str">
        <f t="shared" si="21"/>
        <v/>
      </c>
      <c r="AJ183" s="14" t="str">
        <f>IF(AND(X183=1,Y183=1),COUNTIFS($X$10:X183,1,$Y$10:Y183,1),"")</f>
        <v/>
      </c>
      <c r="AK183" s="14" t="str">
        <f>IF(X183=1,COUNTIFS($X$10:X183,1),"")</f>
        <v/>
      </c>
      <c r="AL183" s="14">
        <f>IF(AND(V183=1,AND(OR(Painel!$L$6="Todas",E183=Painel!$L$6),OR(Painel!$C$8="Todos",F183=Painel!$C$8),OR(Painel!$L$8="Todos",G183=Painel!$L$8),OR(Painel!$C$10="",ISNUMBER(SEARCH(SUBSTITUTE(SUBSTITUTE(SUBSTITUTE(Painel!$C$10,"~","~~"),"*","~*"),"?","~?"),A183&amp;" "&amp;H183&amp;" "&amp;I183))))),1,0)</f>
        <v>0</v>
      </c>
      <c r="AM183" s="14">
        <f t="shared" si="22"/>
        <v>0</v>
      </c>
      <c r="AN183" s="14"/>
      <c r="AO183" s="14"/>
      <c r="AP183" s="16" t="str">
        <f>IF(AB183=0,"",IF(INDEX(Andamentos!$B$10:$B$2009,AB183)="","",INDEX(Andamentos!$B$10:$B$2009,AB183)))</f>
        <v/>
      </c>
      <c r="AQ183" s="17" t="str">
        <f>IF(AH183=0,"",IF(INDEX(Valores!$B$10:$B$509,AH183)="","",IF(ISNUMBER(INDEX(Valores!$B$10:$B$509,AH183)),INDEX(Valores!$B$10:$B$509,AH183),"")))</f>
        <v/>
      </c>
      <c r="AR183" s="14" t="str">
        <f t="shared" si="23"/>
        <v/>
      </c>
      <c r="AS183" s="14" t="str">
        <f t="shared" si="24"/>
        <v/>
      </c>
      <c r="AT183" s="27"/>
      <c r="AU183" s="31"/>
      <c r="AV183" s="31"/>
      <c r="AW183" s="27"/>
      <c r="AX183" s="27"/>
      <c r="AY183" s="27"/>
      <c r="AZ183" s="27"/>
      <c r="BA183" s="30" t="str">
        <f t="shared" si="25"/>
        <v/>
      </c>
      <c r="BB183" s="30" t="str">
        <f t="shared" si="26"/>
        <v/>
      </c>
      <c r="BC183" s="30">
        <f>IF(X183=0,0,IF(COUNTIFS($X$10:X183,1,$BA$10:BA183,BA183)=1,1,0))</f>
        <v>0</v>
      </c>
      <c r="BD183" s="29"/>
    </row>
    <row r="184" spans="1:56" ht="42" customHeight="1">
      <c r="A184" s="41"/>
      <c r="B184" s="44"/>
      <c r="C184" s="44"/>
      <c r="D184" s="44"/>
      <c r="E184" s="44"/>
      <c r="F184" s="44"/>
      <c r="G184" s="44"/>
      <c r="H184" s="44"/>
      <c r="I184" s="44"/>
      <c r="J184" s="44"/>
      <c r="K184" s="44"/>
      <c r="L184" s="49"/>
      <c r="M184" s="48"/>
      <c r="N184" s="48"/>
      <c r="O184" s="48"/>
      <c r="P184" s="48"/>
      <c r="Q184" s="48"/>
      <c r="R184" s="48"/>
      <c r="S184" s="49"/>
      <c r="T184" s="48"/>
      <c r="U184" s="48"/>
      <c r="V184" s="14">
        <f t="shared" si="18"/>
        <v>0</v>
      </c>
      <c r="W184" s="14">
        <f t="shared" si="19"/>
        <v>0</v>
      </c>
      <c r="X184" s="14">
        <f>IF(AND(V184=1,OR(Painel!$C$6="Todos",D184=Painel!$C$6),AND(OR(Painel!$L$6="Todas",E184=Painel!$L$6),OR(Painel!$C$8="Todos",F184=Painel!$C$8),OR(Painel!$L$8="Todos",G184=Painel!$L$8),OR(Painel!$C$10="",ISNUMBER(SEARCH(SUBSTITUTE(SUBSTITUTE(SUBSTITUTE(Painel!$C$10,"~","~~"),"*","~*"),"?","~?"),A184&amp;" "&amp;H184&amp;" "&amp;I184))))),1,0)</f>
        <v>0</v>
      </c>
      <c r="Y184" s="14">
        <f t="shared" si="20"/>
        <v>0</v>
      </c>
      <c r="Z184" s="15" t="str">
        <f>IF(V184=0,"",IF(COUNTIFS(Andamentos!$K$10:$K$2009,"="&amp;SUBSTITUTE(SUBSTITUTE(SUBSTITUTE("P:"&amp;A184,"~","~~"),"*","~*"),"?","~?"),Andamentos!$G$10:$G$2009,1)=0,"",_xlfn.AGGREGATE(14,6,Andamentos!$D$10:$D$2009/((Andamentos!$K$10:$K$2009=AS184)*(Andamentos!$G$10:$G$2009=1)),1)))</f>
        <v/>
      </c>
      <c r="AA184" s="14">
        <f>IF(Z184="",0,COUNTIFS(Andamentos!$K$10:$K$2009,"="&amp;SUBSTITUTE(SUBSTITUTE(SUBSTITUTE("P:"&amp;A184,"~","~~"),"*","~*"),"?","~?"),Andamentos!$D$10:$D$2009,Z184,Andamentos!$G$10:$G$2009,1))</f>
        <v>0</v>
      </c>
      <c r="AB184" s="14">
        <f>IF(AA184=1,SUMIFS(Andamentos!$L$10:$L$2009,Andamentos!$K$10:$K$2009,"="&amp;SUBSTITUTE(SUBSTITUTE(SUBSTITUTE(AS184,"~","~~"),"*","~*"),"?","~?"),Andamentos!$D$10:$D$2009,Z184,Andamentos!$G$10:$G$2009,1)-9,0)</f>
        <v>0</v>
      </c>
      <c r="AC184" s="14" t="str">
        <f>IF(V184=0,"",IF(AA184&gt;1,"Conferir recebimentos empatados",IF(AB184=0,"Sem atualização",INDEX(Andamentos!$C$10:$C$2009,AB184))))</f>
        <v/>
      </c>
      <c r="AD184" s="14">
        <f>IF(W184=0,0,IF(MAX(Z184,BD184)=0,1,IF(Configurar!$J$12-INT(MAX(Z184,BD184))&gt;Configurar!$J$11,1,0)))</f>
        <v>0</v>
      </c>
      <c r="AE184" s="16"/>
      <c r="AF184" s="14"/>
      <c r="AG184" s="14"/>
      <c r="AH184" s="14">
        <f>IF(AND(V184=1,COUNTIFS(Valores!$S$10:$S$509,"="&amp;SUBSTITUTE(SUBSTITUTE(SUBSTITUTE("P:"&amp;A184,"~","~~"),"*","~*"),"?","~?"))=1),(IF(ISNA(MATCH(SUBSTITUTE(SUBSTITUTE(SUBSTITUTE("P:"&amp;A184,"~","~~"),"*","~*"),"?","~?"),Valores!$S$10:$S$509,0)),9,INDEX(Valores!$R$10:$R$509,MATCH(SUBSTITUTE(SUBSTITUTE(SUBSTITUTE("P:"&amp;A184,"~","~~"),"*","~*"),"?","~?"),Valores!$S$10:$S$509,0)))-9),0)</f>
        <v>0</v>
      </c>
      <c r="AI184" s="40" t="str">
        <f t="shared" si="21"/>
        <v/>
      </c>
      <c r="AJ184" s="14" t="str">
        <f>IF(AND(X184=1,Y184=1),COUNTIFS($X$10:X184,1,$Y$10:Y184,1),"")</f>
        <v/>
      </c>
      <c r="AK184" s="14" t="str">
        <f>IF(X184=1,COUNTIFS($X$10:X184,1),"")</f>
        <v/>
      </c>
      <c r="AL184" s="14">
        <f>IF(AND(V184=1,AND(OR(Painel!$L$6="Todas",E184=Painel!$L$6),OR(Painel!$C$8="Todos",F184=Painel!$C$8),OR(Painel!$L$8="Todos",G184=Painel!$L$8),OR(Painel!$C$10="",ISNUMBER(SEARCH(SUBSTITUTE(SUBSTITUTE(SUBSTITUTE(Painel!$C$10,"~","~~"),"*","~*"),"?","~?"),A184&amp;" "&amp;H184&amp;" "&amp;I184))))),1,0)</f>
        <v>0</v>
      </c>
      <c r="AM184" s="14">
        <f t="shared" si="22"/>
        <v>0</v>
      </c>
      <c r="AN184" s="14"/>
      <c r="AO184" s="14"/>
      <c r="AP184" s="16" t="str">
        <f>IF(AB184=0,"",IF(INDEX(Andamentos!$B$10:$B$2009,AB184)="","",INDEX(Andamentos!$B$10:$B$2009,AB184)))</f>
        <v/>
      </c>
      <c r="AQ184" s="17" t="str">
        <f>IF(AH184=0,"",IF(INDEX(Valores!$B$10:$B$509,AH184)="","",IF(ISNUMBER(INDEX(Valores!$B$10:$B$509,AH184)),INDEX(Valores!$B$10:$B$509,AH184),"")))</f>
        <v/>
      </c>
      <c r="AR184" s="14" t="str">
        <f t="shared" si="23"/>
        <v/>
      </c>
      <c r="AS184" s="14" t="str">
        <f t="shared" si="24"/>
        <v/>
      </c>
      <c r="AT184" s="27"/>
      <c r="AU184" s="31"/>
      <c r="AV184" s="31"/>
      <c r="AW184" s="27"/>
      <c r="AX184" s="27"/>
      <c r="AY184" s="27"/>
      <c r="AZ184" s="27"/>
      <c r="BA184" s="30" t="str">
        <f t="shared" si="25"/>
        <v/>
      </c>
      <c r="BB184" s="30" t="str">
        <f t="shared" si="26"/>
        <v/>
      </c>
      <c r="BC184" s="30">
        <f>IF(X184=0,0,IF(COUNTIFS($X$10:X184,1,$BA$10:BA184,BA184)=1,1,0))</f>
        <v>0</v>
      </c>
      <c r="BD184" s="29"/>
    </row>
    <row r="185" spans="1:56" ht="42" customHeight="1">
      <c r="A185" s="41"/>
      <c r="B185" s="44"/>
      <c r="C185" s="44"/>
      <c r="D185" s="44"/>
      <c r="E185" s="44"/>
      <c r="F185" s="44"/>
      <c r="G185" s="44"/>
      <c r="H185" s="44"/>
      <c r="I185" s="44"/>
      <c r="J185" s="44"/>
      <c r="K185" s="44"/>
      <c r="L185" s="49"/>
      <c r="M185" s="48"/>
      <c r="N185" s="48"/>
      <c r="O185" s="48"/>
      <c r="P185" s="48"/>
      <c r="Q185" s="48"/>
      <c r="R185" s="48"/>
      <c r="S185" s="49"/>
      <c r="T185" s="48"/>
      <c r="U185" s="48"/>
      <c r="V185" s="14">
        <f t="shared" si="18"/>
        <v>0</v>
      </c>
      <c r="W185" s="14">
        <f t="shared" si="19"/>
        <v>0</v>
      </c>
      <c r="X185" s="14">
        <f>IF(AND(V185=1,OR(Painel!$C$6="Todos",D185=Painel!$C$6),AND(OR(Painel!$L$6="Todas",E185=Painel!$L$6),OR(Painel!$C$8="Todos",F185=Painel!$C$8),OR(Painel!$L$8="Todos",G185=Painel!$L$8),OR(Painel!$C$10="",ISNUMBER(SEARCH(SUBSTITUTE(SUBSTITUTE(SUBSTITUTE(Painel!$C$10,"~","~~"),"*","~*"),"?","~?"),A185&amp;" "&amp;H185&amp;" "&amp;I185))))),1,0)</f>
        <v>0</v>
      </c>
      <c r="Y185" s="14">
        <f t="shared" si="20"/>
        <v>0</v>
      </c>
      <c r="Z185" s="15" t="str">
        <f>IF(V185=0,"",IF(COUNTIFS(Andamentos!$K$10:$K$2009,"="&amp;SUBSTITUTE(SUBSTITUTE(SUBSTITUTE("P:"&amp;A185,"~","~~"),"*","~*"),"?","~?"),Andamentos!$G$10:$G$2009,1)=0,"",_xlfn.AGGREGATE(14,6,Andamentos!$D$10:$D$2009/((Andamentos!$K$10:$K$2009=AS185)*(Andamentos!$G$10:$G$2009=1)),1)))</f>
        <v/>
      </c>
      <c r="AA185" s="14">
        <f>IF(Z185="",0,COUNTIFS(Andamentos!$K$10:$K$2009,"="&amp;SUBSTITUTE(SUBSTITUTE(SUBSTITUTE("P:"&amp;A185,"~","~~"),"*","~*"),"?","~?"),Andamentos!$D$10:$D$2009,Z185,Andamentos!$G$10:$G$2009,1))</f>
        <v>0</v>
      </c>
      <c r="AB185" s="14">
        <f>IF(AA185=1,SUMIFS(Andamentos!$L$10:$L$2009,Andamentos!$K$10:$K$2009,"="&amp;SUBSTITUTE(SUBSTITUTE(SUBSTITUTE(AS185,"~","~~"),"*","~*"),"?","~?"),Andamentos!$D$10:$D$2009,Z185,Andamentos!$G$10:$G$2009,1)-9,0)</f>
        <v>0</v>
      </c>
      <c r="AC185" s="14" t="str">
        <f>IF(V185=0,"",IF(AA185&gt;1,"Conferir recebimentos empatados",IF(AB185=0,"Sem atualização",INDEX(Andamentos!$C$10:$C$2009,AB185))))</f>
        <v/>
      </c>
      <c r="AD185" s="14">
        <f>IF(W185=0,0,IF(MAX(Z185,BD185)=0,1,IF(Configurar!$J$12-INT(MAX(Z185,BD185))&gt;Configurar!$J$11,1,0)))</f>
        <v>0</v>
      </c>
      <c r="AE185" s="16"/>
      <c r="AF185" s="14"/>
      <c r="AG185" s="14"/>
      <c r="AH185" s="14">
        <f>IF(AND(V185=1,COUNTIFS(Valores!$S$10:$S$509,"="&amp;SUBSTITUTE(SUBSTITUTE(SUBSTITUTE("P:"&amp;A185,"~","~~"),"*","~*"),"?","~?"))=1),(IF(ISNA(MATCH(SUBSTITUTE(SUBSTITUTE(SUBSTITUTE("P:"&amp;A185,"~","~~"),"*","~*"),"?","~?"),Valores!$S$10:$S$509,0)),9,INDEX(Valores!$R$10:$R$509,MATCH(SUBSTITUTE(SUBSTITUTE(SUBSTITUTE("P:"&amp;A185,"~","~~"),"*","~*"),"?","~?"),Valores!$S$10:$S$509,0)))-9),0)</f>
        <v>0</v>
      </c>
      <c r="AI185" s="40" t="str">
        <f t="shared" si="21"/>
        <v/>
      </c>
      <c r="AJ185" s="14" t="str">
        <f>IF(AND(X185=1,Y185=1),COUNTIFS($X$10:X185,1,$Y$10:Y185,1),"")</f>
        <v/>
      </c>
      <c r="AK185" s="14" t="str">
        <f>IF(X185=1,COUNTIFS($X$10:X185,1),"")</f>
        <v/>
      </c>
      <c r="AL185" s="14">
        <f>IF(AND(V185=1,AND(OR(Painel!$L$6="Todas",E185=Painel!$L$6),OR(Painel!$C$8="Todos",F185=Painel!$C$8),OR(Painel!$L$8="Todos",G185=Painel!$L$8),OR(Painel!$C$10="",ISNUMBER(SEARCH(SUBSTITUTE(SUBSTITUTE(SUBSTITUTE(Painel!$C$10,"~","~~"),"*","~*"),"?","~?"),A185&amp;" "&amp;H185&amp;" "&amp;I185))))),1,0)</f>
        <v>0</v>
      </c>
      <c r="AM185" s="14">
        <f t="shared" si="22"/>
        <v>0</v>
      </c>
      <c r="AN185" s="14"/>
      <c r="AO185" s="14"/>
      <c r="AP185" s="16" t="str">
        <f>IF(AB185=0,"",IF(INDEX(Andamentos!$B$10:$B$2009,AB185)="","",INDEX(Andamentos!$B$10:$B$2009,AB185)))</f>
        <v/>
      </c>
      <c r="AQ185" s="17" t="str">
        <f>IF(AH185=0,"",IF(INDEX(Valores!$B$10:$B$509,AH185)="","",IF(ISNUMBER(INDEX(Valores!$B$10:$B$509,AH185)),INDEX(Valores!$B$10:$B$509,AH185),"")))</f>
        <v/>
      </c>
      <c r="AR185" s="14" t="str">
        <f t="shared" si="23"/>
        <v/>
      </c>
      <c r="AS185" s="14" t="str">
        <f t="shared" si="24"/>
        <v/>
      </c>
      <c r="AT185" s="27"/>
      <c r="AU185" s="31"/>
      <c r="AV185" s="31"/>
      <c r="AW185" s="27"/>
      <c r="AX185" s="27"/>
      <c r="AY185" s="27"/>
      <c r="AZ185" s="27"/>
      <c r="BA185" s="30" t="str">
        <f t="shared" si="25"/>
        <v/>
      </c>
      <c r="BB185" s="30" t="str">
        <f t="shared" si="26"/>
        <v/>
      </c>
      <c r="BC185" s="30">
        <f>IF(X185=0,0,IF(COUNTIFS($X$10:X185,1,$BA$10:BA185,BA185)=1,1,0))</f>
        <v>0</v>
      </c>
      <c r="BD185" s="29"/>
    </row>
    <row r="186" spans="1:56" ht="42" customHeight="1">
      <c r="A186" s="41"/>
      <c r="B186" s="44"/>
      <c r="C186" s="44"/>
      <c r="D186" s="44"/>
      <c r="E186" s="44"/>
      <c r="F186" s="44"/>
      <c r="G186" s="44"/>
      <c r="H186" s="44"/>
      <c r="I186" s="44"/>
      <c r="J186" s="44"/>
      <c r="K186" s="44"/>
      <c r="L186" s="49"/>
      <c r="M186" s="48"/>
      <c r="N186" s="48"/>
      <c r="O186" s="48"/>
      <c r="P186" s="48"/>
      <c r="Q186" s="48"/>
      <c r="R186" s="48"/>
      <c r="S186" s="49"/>
      <c r="T186" s="48"/>
      <c r="U186" s="48"/>
      <c r="V186" s="14">
        <f t="shared" si="18"/>
        <v>0</v>
      </c>
      <c r="W186" s="14">
        <f t="shared" si="19"/>
        <v>0</v>
      </c>
      <c r="X186" s="14">
        <f>IF(AND(V186=1,OR(Painel!$C$6="Todos",D186=Painel!$C$6),AND(OR(Painel!$L$6="Todas",E186=Painel!$L$6),OR(Painel!$C$8="Todos",F186=Painel!$C$8),OR(Painel!$L$8="Todos",G186=Painel!$L$8),OR(Painel!$C$10="",ISNUMBER(SEARCH(SUBSTITUTE(SUBSTITUTE(SUBSTITUTE(Painel!$C$10,"~","~~"),"*","~*"),"?","~?"),A186&amp;" "&amp;H186&amp;" "&amp;I186))))),1,0)</f>
        <v>0</v>
      </c>
      <c r="Y186" s="14">
        <f t="shared" si="20"/>
        <v>0</v>
      </c>
      <c r="Z186" s="15" t="str">
        <f>IF(V186=0,"",IF(COUNTIFS(Andamentos!$K$10:$K$2009,"="&amp;SUBSTITUTE(SUBSTITUTE(SUBSTITUTE("P:"&amp;A186,"~","~~"),"*","~*"),"?","~?"),Andamentos!$G$10:$G$2009,1)=0,"",_xlfn.AGGREGATE(14,6,Andamentos!$D$10:$D$2009/((Andamentos!$K$10:$K$2009=AS186)*(Andamentos!$G$10:$G$2009=1)),1)))</f>
        <v/>
      </c>
      <c r="AA186" s="14">
        <f>IF(Z186="",0,COUNTIFS(Andamentos!$K$10:$K$2009,"="&amp;SUBSTITUTE(SUBSTITUTE(SUBSTITUTE("P:"&amp;A186,"~","~~"),"*","~*"),"?","~?"),Andamentos!$D$10:$D$2009,Z186,Andamentos!$G$10:$G$2009,1))</f>
        <v>0</v>
      </c>
      <c r="AB186" s="14">
        <f>IF(AA186=1,SUMIFS(Andamentos!$L$10:$L$2009,Andamentos!$K$10:$K$2009,"="&amp;SUBSTITUTE(SUBSTITUTE(SUBSTITUTE(AS186,"~","~~"),"*","~*"),"?","~?"),Andamentos!$D$10:$D$2009,Z186,Andamentos!$G$10:$G$2009,1)-9,0)</f>
        <v>0</v>
      </c>
      <c r="AC186" s="14" t="str">
        <f>IF(V186=0,"",IF(AA186&gt;1,"Conferir recebimentos empatados",IF(AB186=0,"Sem atualização",INDEX(Andamentos!$C$10:$C$2009,AB186))))</f>
        <v/>
      </c>
      <c r="AD186" s="14">
        <f>IF(W186=0,0,IF(MAX(Z186,BD186)=0,1,IF(Configurar!$J$12-INT(MAX(Z186,BD186))&gt;Configurar!$J$11,1,0)))</f>
        <v>0</v>
      </c>
      <c r="AE186" s="16"/>
      <c r="AF186" s="14"/>
      <c r="AG186" s="14"/>
      <c r="AH186" s="14">
        <f>IF(AND(V186=1,COUNTIFS(Valores!$S$10:$S$509,"="&amp;SUBSTITUTE(SUBSTITUTE(SUBSTITUTE("P:"&amp;A186,"~","~~"),"*","~*"),"?","~?"))=1),(IF(ISNA(MATCH(SUBSTITUTE(SUBSTITUTE(SUBSTITUTE("P:"&amp;A186,"~","~~"),"*","~*"),"?","~?"),Valores!$S$10:$S$509,0)),9,INDEX(Valores!$R$10:$R$509,MATCH(SUBSTITUTE(SUBSTITUTE(SUBSTITUTE("P:"&amp;A186,"~","~~"),"*","~*"),"?","~?"),Valores!$S$10:$S$509,0)))-9),0)</f>
        <v>0</v>
      </c>
      <c r="AI186" s="40" t="str">
        <f t="shared" si="21"/>
        <v/>
      </c>
      <c r="AJ186" s="14" t="str">
        <f>IF(AND(X186=1,Y186=1),COUNTIFS($X$10:X186,1,$Y$10:Y186,1),"")</f>
        <v/>
      </c>
      <c r="AK186" s="14" t="str">
        <f>IF(X186=1,COUNTIFS($X$10:X186,1),"")</f>
        <v/>
      </c>
      <c r="AL186" s="14">
        <f>IF(AND(V186=1,AND(OR(Painel!$L$6="Todas",E186=Painel!$L$6),OR(Painel!$C$8="Todos",F186=Painel!$C$8),OR(Painel!$L$8="Todos",G186=Painel!$L$8),OR(Painel!$C$10="",ISNUMBER(SEARCH(SUBSTITUTE(SUBSTITUTE(SUBSTITUTE(Painel!$C$10,"~","~~"),"*","~*"),"?","~?"),A186&amp;" "&amp;H186&amp;" "&amp;I186))))),1,0)</f>
        <v>0</v>
      </c>
      <c r="AM186" s="14">
        <f t="shared" si="22"/>
        <v>0</v>
      </c>
      <c r="AN186" s="14"/>
      <c r="AO186" s="14"/>
      <c r="AP186" s="16" t="str">
        <f>IF(AB186=0,"",IF(INDEX(Andamentos!$B$10:$B$2009,AB186)="","",INDEX(Andamentos!$B$10:$B$2009,AB186)))</f>
        <v/>
      </c>
      <c r="AQ186" s="17" t="str">
        <f>IF(AH186=0,"",IF(INDEX(Valores!$B$10:$B$509,AH186)="","",IF(ISNUMBER(INDEX(Valores!$B$10:$B$509,AH186)),INDEX(Valores!$B$10:$B$509,AH186),"")))</f>
        <v/>
      </c>
      <c r="AR186" s="14" t="str">
        <f t="shared" si="23"/>
        <v/>
      </c>
      <c r="AS186" s="14" t="str">
        <f t="shared" si="24"/>
        <v/>
      </c>
      <c r="AT186" s="27"/>
      <c r="AU186" s="31"/>
      <c r="AV186" s="31"/>
      <c r="AW186" s="27"/>
      <c r="AX186" s="27"/>
      <c r="AY186" s="27"/>
      <c r="AZ186" s="27"/>
      <c r="BA186" s="30" t="str">
        <f t="shared" si="25"/>
        <v/>
      </c>
      <c r="BB186" s="30" t="str">
        <f t="shared" si="26"/>
        <v/>
      </c>
      <c r="BC186" s="30">
        <f>IF(X186=0,0,IF(COUNTIFS($X$10:X186,1,$BA$10:BA186,BA186)=1,1,0))</f>
        <v>0</v>
      </c>
      <c r="BD186" s="29"/>
    </row>
    <row r="187" spans="1:56" ht="42" customHeight="1">
      <c r="A187" s="41"/>
      <c r="B187" s="44"/>
      <c r="C187" s="44"/>
      <c r="D187" s="44"/>
      <c r="E187" s="44"/>
      <c r="F187" s="44"/>
      <c r="G187" s="44"/>
      <c r="H187" s="44"/>
      <c r="I187" s="44"/>
      <c r="J187" s="44"/>
      <c r="K187" s="44"/>
      <c r="L187" s="49"/>
      <c r="M187" s="48"/>
      <c r="N187" s="48"/>
      <c r="O187" s="48"/>
      <c r="P187" s="48"/>
      <c r="Q187" s="48"/>
      <c r="R187" s="48"/>
      <c r="S187" s="49"/>
      <c r="T187" s="48"/>
      <c r="U187" s="48"/>
      <c r="V187" s="14">
        <f t="shared" si="18"/>
        <v>0</v>
      </c>
      <c r="W187" s="14">
        <f t="shared" si="19"/>
        <v>0</v>
      </c>
      <c r="X187" s="14">
        <f>IF(AND(V187=1,OR(Painel!$C$6="Todos",D187=Painel!$C$6),AND(OR(Painel!$L$6="Todas",E187=Painel!$L$6),OR(Painel!$C$8="Todos",F187=Painel!$C$8),OR(Painel!$L$8="Todos",G187=Painel!$L$8),OR(Painel!$C$10="",ISNUMBER(SEARCH(SUBSTITUTE(SUBSTITUTE(SUBSTITUTE(Painel!$C$10,"~","~~"),"*","~*"),"?","~?"),A187&amp;" "&amp;H187&amp;" "&amp;I187))))),1,0)</f>
        <v>0</v>
      </c>
      <c r="Y187" s="14">
        <f t="shared" si="20"/>
        <v>0</v>
      </c>
      <c r="Z187" s="15" t="str">
        <f>IF(V187=0,"",IF(COUNTIFS(Andamentos!$K$10:$K$2009,"="&amp;SUBSTITUTE(SUBSTITUTE(SUBSTITUTE("P:"&amp;A187,"~","~~"),"*","~*"),"?","~?"),Andamentos!$G$10:$G$2009,1)=0,"",_xlfn.AGGREGATE(14,6,Andamentos!$D$10:$D$2009/((Andamentos!$K$10:$K$2009=AS187)*(Andamentos!$G$10:$G$2009=1)),1)))</f>
        <v/>
      </c>
      <c r="AA187" s="14">
        <f>IF(Z187="",0,COUNTIFS(Andamentos!$K$10:$K$2009,"="&amp;SUBSTITUTE(SUBSTITUTE(SUBSTITUTE("P:"&amp;A187,"~","~~"),"*","~*"),"?","~?"),Andamentos!$D$10:$D$2009,Z187,Andamentos!$G$10:$G$2009,1))</f>
        <v>0</v>
      </c>
      <c r="AB187" s="14">
        <f>IF(AA187=1,SUMIFS(Andamentos!$L$10:$L$2009,Andamentos!$K$10:$K$2009,"="&amp;SUBSTITUTE(SUBSTITUTE(SUBSTITUTE(AS187,"~","~~"),"*","~*"),"?","~?"),Andamentos!$D$10:$D$2009,Z187,Andamentos!$G$10:$G$2009,1)-9,0)</f>
        <v>0</v>
      </c>
      <c r="AC187" s="14" t="str">
        <f>IF(V187=0,"",IF(AA187&gt;1,"Conferir recebimentos empatados",IF(AB187=0,"Sem atualização",INDEX(Andamentos!$C$10:$C$2009,AB187))))</f>
        <v/>
      </c>
      <c r="AD187" s="14">
        <f>IF(W187=0,0,IF(MAX(Z187,BD187)=0,1,IF(Configurar!$J$12-INT(MAX(Z187,BD187))&gt;Configurar!$J$11,1,0)))</f>
        <v>0</v>
      </c>
      <c r="AE187" s="16"/>
      <c r="AF187" s="14"/>
      <c r="AG187" s="14"/>
      <c r="AH187" s="14">
        <f>IF(AND(V187=1,COUNTIFS(Valores!$S$10:$S$509,"="&amp;SUBSTITUTE(SUBSTITUTE(SUBSTITUTE("P:"&amp;A187,"~","~~"),"*","~*"),"?","~?"))=1),(IF(ISNA(MATCH(SUBSTITUTE(SUBSTITUTE(SUBSTITUTE("P:"&amp;A187,"~","~~"),"*","~*"),"?","~?"),Valores!$S$10:$S$509,0)),9,INDEX(Valores!$R$10:$R$509,MATCH(SUBSTITUTE(SUBSTITUTE(SUBSTITUTE("P:"&amp;A187,"~","~~"),"*","~*"),"?","~?"),Valores!$S$10:$S$509,0)))-9),0)</f>
        <v>0</v>
      </c>
      <c r="AI187" s="40" t="str">
        <f t="shared" si="21"/>
        <v/>
      </c>
      <c r="AJ187" s="14" t="str">
        <f>IF(AND(X187=1,Y187=1),COUNTIFS($X$10:X187,1,$Y$10:Y187,1),"")</f>
        <v/>
      </c>
      <c r="AK187" s="14" t="str">
        <f>IF(X187=1,COUNTIFS($X$10:X187,1),"")</f>
        <v/>
      </c>
      <c r="AL187" s="14">
        <f>IF(AND(V187=1,AND(OR(Painel!$L$6="Todas",E187=Painel!$L$6),OR(Painel!$C$8="Todos",F187=Painel!$C$8),OR(Painel!$L$8="Todos",G187=Painel!$L$8),OR(Painel!$C$10="",ISNUMBER(SEARCH(SUBSTITUTE(SUBSTITUTE(SUBSTITUTE(Painel!$C$10,"~","~~"),"*","~*"),"?","~?"),A187&amp;" "&amp;H187&amp;" "&amp;I187))))),1,0)</f>
        <v>0</v>
      </c>
      <c r="AM187" s="14">
        <f t="shared" si="22"/>
        <v>0</v>
      </c>
      <c r="AN187" s="14"/>
      <c r="AO187" s="14"/>
      <c r="AP187" s="16" t="str">
        <f>IF(AB187=0,"",IF(INDEX(Andamentos!$B$10:$B$2009,AB187)="","",INDEX(Andamentos!$B$10:$B$2009,AB187)))</f>
        <v/>
      </c>
      <c r="AQ187" s="17" t="str">
        <f>IF(AH187=0,"",IF(INDEX(Valores!$B$10:$B$509,AH187)="","",IF(ISNUMBER(INDEX(Valores!$B$10:$B$509,AH187)),INDEX(Valores!$B$10:$B$509,AH187),"")))</f>
        <v/>
      </c>
      <c r="AR187" s="14" t="str">
        <f t="shared" si="23"/>
        <v/>
      </c>
      <c r="AS187" s="14" t="str">
        <f t="shared" si="24"/>
        <v/>
      </c>
      <c r="AT187" s="27"/>
      <c r="AU187" s="31"/>
      <c r="AV187" s="31"/>
      <c r="AW187" s="27"/>
      <c r="AX187" s="27"/>
      <c r="AY187" s="27"/>
      <c r="AZ187" s="27"/>
      <c r="BA187" s="30" t="str">
        <f t="shared" si="25"/>
        <v/>
      </c>
      <c r="BB187" s="30" t="str">
        <f t="shared" si="26"/>
        <v/>
      </c>
      <c r="BC187" s="30">
        <f>IF(X187=0,0,IF(COUNTIFS($X$10:X187,1,$BA$10:BA187,BA187)=1,1,0))</f>
        <v>0</v>
      </c>
      <c r="BD187" s="29"/>
    </row>
    <row r="188" spans="1:56" ht="42" customHeight="1">
      <c r="A188" s="41"/>
      <c r="B188" s="44"/>
      <c r="C188" s="44"/>
      <c r="D188" s="44"/>
      <c r="E188" s="44"/>
      <c r="F188" s="44"/>
      <c r="G188" s="44"/>
      <c r="H188" s="44"/>
      <c r="I188" s="44"/>
      <c r="J188" s="44"/>
      <c r="K188" s="44"/>
      <c r="L188" s="49"/>
      <c r="M188" s="48"/>
      <c r="N188" s="48"/>
      <c r="O188" s="48"/>
      <c r="P188" s="48"/>
      <c r="Q188" s="48"/>
      <c r="R188" s="48"/>
      <c r="S188" s="49"/>
      <c r="T188" s="48"/>
      <c r="U188" s="48"/>
      <c r="V188" s="14">
        <f t="shared" si="18"/>
        <v>0</v>
      </c>
      <c r="W188" s="14">
        <f t="shared" si="19"/>
        <v>0</v>
      </c>
      <c r="X188" s="14">
        <f>IF(AND(V188=1,OR(Painel!$C$6="Todos",D188=Painel!$C$6),AND(OR(Painel!$L$6="Todas",E188=Painel!$L$6),OR(Painel!$C$8="Todos",F188=Painel!$C$8),OR(Painel!$L$8="Todos",G188=Painel!$L$8),OR(Painel!$C$10="",ISNUMBER(SEARCH(SUBSTITUTE(SUBSTITUTE(SUBSTITUTE(Painel!$C$10,"~","~~"),"*","~*"),"?","~?"),A188&amp;" "&amp;H188&amp;" "&amp;I188))))),1,0)</f>
        <v>0</v>
      </c>
      <c r="Y188" s="14">
        <f t="shared" si="20"/>
        <v>0</v>
      </c>
      <c r="Z188" s="15" t="str">
        <f>IF(V188=0,"",IF(COUNTIFS(Andamentos!$K$10:$K$2009,"="&amp;SUBSTITUTE(SUBSTITUTE(SUBSTITUTE("P:"&amp;A188,"~","~~"),"*","~*"),"?","~?"),Andamentos!$G$10:$G$2009,1)=0,"",_xlfn.AGGREGATE(14,6,Andamentos!$D$10:$D$2009/((Andamentos!$K$10:$K$2009=AS188)*(Andamentos!$G$10:$G$2009=1)),1)))</f>
        <v/>
      </c>
      <c r="AA188" s="14">
        <f>IF(Z188="",0,COUNTIFS(Andamentos!$K$10:$K$2009,"="&amp;SUBSTITUTE(SUBSTITUTE(SUBSTITUTE("P:"&amp;A188,"~","~~"),"*","~*"),"?","~?"),Andamentos!$D$10:$D$2009,Z188,Andamentos!$G$10:$G$2009,1))</f>
        <v>0</v>
      </c>
      <c r="AB188" s="14">
        <f>IF(AA188=1,SUMIFS(Andamentos!$L$10:$L$2009,Andamentos!$K$10:$K$2009,"="&amp;SUBSTITUTE(SUBSTITUTE(SUBSTITUTE(AS188,"~","~~"),"*","~*"),"?","~?"),Andamentos!$D$10:$D$2009,Z188,Andamentos!$G$10:$G$2009,1)-9,0)</f>
        <v>0</v>
      </c>
      <c r="AC188" s="14" t="str">
        <f>IF(V188=0,"",IF(AA188&gt;1,"Conferir recebimentos empatados",IF(AB188=0,"Sem atualização",INDEX(Andamentos!$C$10:$C$2009,AB188))))</f>
        <v/>
      </c>
      <c r="AD188" s="14">
        <f>IF(W188=0,0,IF(MAX(Z188,BD188)=0,1,IF(Configurar!$J$12-INT(MAX(Z188,BD188))&gt;Configurar!$J$11,1,0)))</f>
        <v>0</v>
      </c>
      <c r="AE188" s="16"/>
      <c r="AF188" s="14"/>
      <c r="AG188" s="14"/>
      <c r="AH188" s="14">
        <f>IF(AND(V188=1,COUNTIFS(Valores!$S$10:$S$509,"="&amp;SUBSTITUTE(SUBSTITUTE(SUBSTITUTE("P:"&amp;A188,"~","~~"),"*","~*"),"?","~?"))=1),(IF(ISNA(MATCH(SUBSTITUTE(SUBSTITUTE(SUBSTITUTE("P:"&amp;A188,"~","~~"),"*","~*"),"?","~?"),Valores!$S$10:$S$509,0)),9,INDEX(Valores!$R$10:$R$509,MATCH(SUBSTITUTE(SUBSTITUTE(SUBSTITUTE("P:"&amp;A188,"~","~~"),"*","~*"),"?","~?"),Valores!$S$10:$S$509,0)))-9),0)</f>
        <v>0</v>
      </c>
      <c r="AI188" s="40" t="str">
        <f t="shared" si="21"/>
        <v/>
      </c>
      <c r="AJ188" s="14" t="str">
        <f>IF(AND(X188=1,Y188=1),COUNTIFS($X$10:X188,1,$Y$10:Y188,1),"")</f>
        <v/>
      </c>
      <c r="AK188" s="14" t="str">
        <f>IF(X188=1,COUNTIFS($X$10:X188,1),"")</f>
        <v/>
      </c>
      <c r="AL188" s="14">
        <f>IF(AND(V188=1,AND(OR(Painel!$L$6="Todas",E188=Painel!$L$6),OR(Painel!$C$8="Todos",F188=Painel!$C$8),OR(Painel!$L$8="Todos",G188=Painel!$L$8),OR(Painel!$C$10="",ISNUMBER(SEARCH(SUBSTITUTE(SUBSTITUTE(SUBSTITUTE(Painel!$C$10,"~","~~"),"*","~*"),"?","~?"),A188&amp;" "&amp;H188&amp;" "&amp;I188))))),1,0)</f>
        <v>0</v>
      </c>
      <c r="AM188" s="14">
        <f t="shared" si="22"/>
        <v>0</v>
      </c>
      <c r="AN188" s="14"/>
      <c r="AO188" s="14"/>
      <c r="AP188" s="16" t="str">
        <f>IF(AB188=0,"",IF(INDEX(Andamentos!$B$10:$B$2009,AB188)="","",INDEX(Andamentos!$B$10:$B$2009,AB188)))</f>
        <v/>
      </c>
      <c r="AQ188" s="17" t="str">
        <f>IF(AH188=0,"",IF(INDEX(Valores!$B$10:$B$509,AH188)="","",IF(ISNUMBER(INDEX(Valores!$B$10:$B$509,AH188)),INDEX(Valores!$B$10:$B$509,AH188),"")))</f>
        <v/>
      </c>
      <c r="AR188" s="14" t="str">
        <f t="shared" si="23"/>
        <v/>
      </c>
      <c r="AS188" s="14" t="str">
        <f t="shared" si="24"/>
        <v/>
      </c>
      <c r="AT188" s="27"/>
      <c r="AU188" s="31"/>
      <c r="AV188" s="31"/>
      <c r="AW188" s="27"/>
      <c r="AX188" s="27"/>
      <c r="AY188" s="27"/>
      <c r="AZ188" s="27"/>
      <c r="BA188" s="30" t="str">
        <f t="shared" si="25"/>
        <v/>
      </c>
      <c r="BB188" s="30" t="str">
        <f t="shared" si="26"/>
        <v/>
      </c>
      <c r="BC188" s="30">
        <f>IF(X188=0,0,IF(COUNTIFS($X$10:X188,1,$BA$10:BA188,BA188)=1,1,0))</f>
        <v>0</v>
      </c>
      <c r="BD188" s="29"/>
    </row>
    <row r="189" spans="1:56" ht="42" customHeight="1">
      <c r="A189" s="41"/>
      <c r="B189" s="44"/>
      <c r="C189" s="44"/>
      <c r="D189" s="44"/>
      <c r="E189" s="44"/>
      <c r="F189" s="44"/>
      <c r="G189" s="44"/>
      <c r="H189" s="44"/>
      <c r="I189" s="44"/>
      <c r="J189" s="44"/>
      <c r="K189" s="44"/>
      <c r="L189" s="49"/>
      <c r="M189" s="48"/>
      <c r="N189" s="48"/>
      <c r="O189" s="48"/>
      <c r="P189" s="48"/>
      <c r="Q189" s="48"/>
      <c r="R189" s="48"/>
      <c r="S189" s="49"/>
      <c r="T189" s="48"/>
      <c r="U189" s="48"/>
      <c r="V189" s="14">
        <f t="shared" si="18"/>
        <v>0</v>
      </c>
      <c r="W189" s="14">
        <f t="shared" si="19"/>
        <v>0</v>
      </c>
      <c r="X189" s="14">
        <f>IF(AND(V189=1,OR(Painel!$C$6="Todos",D189=Painel!$C$6),AND(OR(Painel!$L$6="Todas",E189=Painel!$L$6),OR(Painel!$C$8="Todos",F189=Painel!$C$8),OR(Painel!$L$8="Todos",G189=Painel!$L$8),OR(Painel!$C$10="",ISNUMBER(SEARCH(SUBSTITUTE(SUBSTITUTE(SUBSTITUTE(Painel!$C$10,"~","~~"),"*","~*"),"?","~?"),A189&amp;" "&amp;H189&amp;" "&amp;I189))))),1,0)</f>
        <v>0</v>
      </c>
      <c r="Y189" s="14">
        <f t="shared" si="20"/>
        <v>0</v>
      </c>
      <c r="Z189" s="15" t="str">
        <f>IF(V189=0,"",IF(COUNTIFS(Andamentos!$K$10:$K$2009,"="&amp;SUBSTITUTE(SUBSTITUTE(SUBSTITUTE("P:"&amp;A189,"~","~~"),"*","~*"),"?","~?"),Andamentos!$G$10:$G$2009,1)=0,"",_xlfn.AGGREGATE(14,6,Andamentos!$D$10:$D$2009/((Andamentos!$K$10:$K$2009=AS189)*(Andamentos!$G$10:$G$2009=1)),1)))</f>
        <v/>
      </c>
      <c r="AA189" s="14">
        <f>IF(Z189="",0,COUNTIFS(Andamentos!$K$10:$K$2009,"="&amp;SUBSTITUTE(SUBSTITUTE(SUBSTITUTE("P:"&amp;A189,"~","~~"),"*","~*"),"?","~?"),Andamentos!$D$10:$D$2009,Z189,Andamentos!$G$10:$G$2009,1))</f>
        <v>0</v>
      </c>
      <c r="AB189" s="14">
        <f>IF(AA189=1,SUMIFS(Andamentos!$L$10:$L$2009,Andamentos!$K$10:$K$2009,"="&amp;SUBSTITUTE(SUBSTITUTE(SUBSTITUTE(AS189,"~","~~"),"*","~*"),"?","~?"),Andamentos!$D$10:$D$2009,Z189,Andamentos!$G$10:$G$2009,1)-9,0)</f>
        <v>0</v>
      </c>
      <c r="AC189" s="14" t="str">
        <f>IF(V189=0,"",IF(AA189&gt;1,"Conferir recebimentos empatados",IF(AB189=0,"Sem atualização",INDEX(Andamentos!$C$10:$C$2009,AB189))))</f>
        <v/>
      </c>
      <c r="AD189" s="14">
        <f>IF(W189=0,0,IF(MAX(Z189,BD189)=0,1,IF(Configurar!$J$12-INT(MAX(Z189,BD189))&gt;Configurar!$J$11,1,0)))</f>
        <v>0</v>
      </c>
      <c r="AE189" s="16"/>
      <c r="AF189" s="14"/>
      <c r="AG189" s="14"/>
      <c r="AH189" s="14">
        <f>IF(AND(V189=1,COUNTIFS(Valores!$S$10:$S$509,"="&amp;SUBSTITUTE(SUBSTITUTE(SUBSTITUTE("P:"&amp;A189,"~","~~"),"*","~*"),"?","~?"))=1),(IF(ISNA(MATCH(SUBSTITUTE(SUBSTITUTE(SUBSTITUTE("P:"&amp;A189,"~","~~"),"*","~*"),"?","~?"),Valores!$S$10:$S$509,0)),9,INDEX(Valores!$R$10:$R$509,MATCH(SUBSTITUTE(SUBSTITUTE(SUBSTITUTE("P:"&amp;A189,"~","~~"),"*","~*"),"?","~?"),Valores!$S$10:$S$509,0)))-9),0)</f>
        <v>0</v>
      </c>
      <c r="AI189" s="40" t="str">
        <f t="shared" si="21"/>
        <v/>
      </c>
      <c r="AJ189" s="14" t="str">
        <f>IF(AND(X189=1,Y189=1),COUNTIFS($X$10:X189,1,$Y$10:Y189,1),"")</f>
        <v/>
      </c>
      <c r="AK189" s="14" t="str">
        <f>IF(X189=1,COUNTIFS($X$10:X189,1),"")</f>
        <v/>
      </c>
      <c r="AL189" s="14">
        <f>IF(AND(V189=1,AND(OR(Painel!$L$6="Todas",E189=Painel!$L$6),OR(Painel!$C$8="Todos",F189=Painel!$C$8),OR(Painel!$L$8="Todos",G189=Painel!$L$8),OR(Painel!$C$10="",ISNUMBER(SEARCH(SUBSTITUTE(SUBSTITUTE(SUBSTITUTE(Painel!$C$10,"~","~~"),"*","~*"),"?","~?"),A189&amp;" "&amp;H189&amp;" "&amp;I189))))),1,0)</f>
        <v>0</v>
      </c>
      <c r="AM189" s="14">
        <f t="shared" si="22"/>
        <v>0</v>
      </c>
      <c r="AN189" s="14"/>
      <c r="AO189" s="14"/>
      <c r="AP189" s="16" t="str">
        <f>IF(AB189=0,"",IF(INDEX(Andamentos!$B$10:$B$2009,AB189)="","",INDEX(Andamentos!$B$10:$B$2009,AB189)))</f>
        <v/>
      </c>
      <c r="AQ189" s="17" t="str">
        <f>IF(AH189=0,"",IF(INDEX(Valores!$B$10:$B$509,AH189)="","",IF(ISNUMBER(INDEX(Valores!$B$10:$B$509,AH189)),INDEX(Valores!$B$10:$B$509,AH189),"")))</f>
        <v/>
      </c>
      <c r="AR189" s="14" t="str">
        <f t="shared" si="23"/>
        <v/>
      </c>
      <c r="AS189" s="14" t="str">
        <f t="shared" si="24"/>
        <v/>
      </c>
      <c r="AT189" s="27"/>
      <c r="AU189" s="31"/>
      <c r="AV189" s="31"/>
      <c r="AW189" s="27"/>
      <c r="AX189" s="27"/>
      <c r="AY189" s="27"/>
      <c r="AZ189" s="27"/>
      <c r="BA189" s="30" t="str">
        <f t="shared" si="25"/>
        <v/>
      </c>
      <c r="BB189" s="30" t="str">
        <f t="shared" si="26"/>
        <v/>
      </c>
      <c r="BC189" s="30">
        <f>IF(X189=0,0,IF(COUNTIFS($X$10:X189,1,$BA$10:BA189,BA189)=1,1,0))</f>
        <v>0</v>
      </c>
      <c r="BD189" s="29"/>
    </row>
    <row r="190" spans="1:56" ht="42" customHeight="1">
      <c r="A190" s="41"/>
      <c r="B190" s="44"/>
      <c r="C190" s="44"/>
      <c r="D190" s="44"/>
      <c r="E190" s="44"/>
      <c r="F190" s="44"/>
      <c r="G190" s="44"/>
      <c r="H190" s="44"/>
      <c r="I190" s="44"/>
      <c r="J190" s="44"/>
      <c r="K190" s="44"/>
      <c r="L190" s="49"/>
      <c r="M190" s="48"/>
      <c r="N190" s="48"/>
      <c r="O190" s="48"/>
      <c r="P190" s="48"/>
      <c r="Q190" s="48"/>
      <c r="R190" s="48"/>
      <c r="S190" s="49"/>
      <c r="T190" s="48"/>
      <c r="U190" s="48"/>
      <c r="V190" s="14">
        <f t="shared" si="18"/>
        <v>0</v>
      </c>
      <c r="W190" s="14">
        <f t="shared" si="19"/>
        <v>0</v>
      </c>
      <c r="X190" s="14">
        <f>IF(AND(V190=1,OR(Painel!$C$6="Todos",D190=Painel!$C$6),AND(OR(Painel!$L$6="Todas",E190=Painel!$L$6),OR(Painel!$C$8="Todos",F190=Painel!$C$8),OR(Painel!$L$8="Todos",G190=Painel!$L$8),OR(Painel!$C$10="",ISNUMBER(SEARCH(SUBSTITUTE(SUBSTITUTE(SUBSTITUTE(Painel!$C$10,"~","~~"),"*","~*"),"?","~?"),A190&amp;" "&amp;H190&amp;" "&amp;I190))))),1,0)</f>
        <v>0</v>
      </c>
      <c r="Y190" s="14">
        <f t="shared" si="20"/>
        <v>0</v>
      </c>
      <c r="Z190" s="15" t="str">
        <f>IF(V190=0,"",IF(COUNTIFS(Andamentos!$K$10:$K$2009,"="&amp;SUBSTITUTE(SUBSTITUTE(SUBSTITUTE("P:"&amp;A190,"~","~~"),"*","~*"),"?","~?"),Andamentos!$G$10:$G$2009,1)=0,"",_xlfn.AGGREGATE(14,6,Andamentos!$D$10:$D$2009/((Andamentos!$K$10:$K$2009=AS190)*(Andamentos!$G$10:$G$2009=1)),1)))</f>
        <v/>
      </c>
      <c r="AA190" s="14">
        <f>IF(Z190="",0,COUNTIFS(Andamentos!$K$10:$K$2009,"="&amp;SUBSTITUTE(SUBSTITUTE(SUBSTITUTE("P:"&amp;A190,"~","~~"),"*","~*"),"?","~?"),Andamentos!$D$10:$D$2009,Z190,Andamentos!$G$10:$G$2009,1))</f>
        <v>0</v>
      </c>
      <c r="AB190" s="14">
        <f>IF(AA190=1,SUMIFS(Andamentos!$L$10:$L$2009,Andamentos!$K$10:$K$2009,"="&amp;SUBSTITUTE(SUBSTITUTE(SUBSTITUTE(AS190,"~","~~"),"*","~*"),"?","~?"),Andamentos!$D$10:$D$2009,Z190,Andamentos!$G$10:$G$2009,1)-9,0)</f>
        <v>0</v>
      </c>
      <c r="AC190" s="14" t="str">
        <f>IF(V190=0,"",IF(AA190&gt;1,"Conferir recebimentos empatados",IF(AB190=0,"Sem atualização",INDEX(Andamentos!$C$10:$C$2009,AB190))))</f>
        <v/>
      </c>
      <c r="AD190" s="14">
        <f>IF(W190=0,0,IF(MAX(Z190,BD190)=0,1,IF(Configurar!$J$12-INT(MAX(Z190,BD190))&gt;Configurar!$J$11,1,0)))</f>
        <v>0</v>
      </c>
      <c r="AE190" s="16"/>
      <c r="AF190" s="14"/>
      <c r="AG190" s="14"/>
      <c r="AH190" s="14">
        <f>IF(AND(V190=1,COUNTIFS(Valores!$S$10:$S$509,"="&amp;SUBSTITUTE(SUBSTITUTE(SUBSTITUTE("P:"&amp;A190,"~","~~"),"*","~*"),"?","~?"))=1),(IF(ISNA(MATCH(SUBSTITUTE(SUBSTITUTE(SUBSTITUTE("P:"&amp;A190,"~","~~"),"*","~*"),"?","~?"),Valores!$S$10:$S$509,0)),9,INDEX(Valores!$R$10:$R$509,MATCH(SUBSTITUTE(SUBSTITUTE(SUBSTITUTE("P:"&amp;A190,"~","~~"),"*","~*"),"?","~?"),Valores!$S$10:$S$509,0)))-9),0)</f>
        <v>0</v>
      </c>
      <c r="AI190" s="40" t="str">
        <f t="shared" si="21"/>
        <v/>
      </c>
      <c r="AJ190" s="14" t="str">
        <f>IF(AND(X190=1,Y190=1),COUNTIFS($X$10:X190,1,$Y$10:Y190,1),"")</f>
        <v/>
      </c>
      <c r="AK190" s="14" t="str">
        <f>IF(X190=1,COUNTIFS($X$10:X190,1),"")</f>
        <v/>
      </c>
      <c r="AL190" s="14">
        <f>IF(AND(V190=1,AND(OR(Painel!$L$6="Todas",E190=Painel!$L$6),OR(Painel!$C$8="Todos",F190=Painel!$C$8),OR(Painel!$L$8="Todos",G190=Painel!$L$8),OR(Painel!$C$10="",ISNUMBER(SEARCH(SUBSTITUTE(SUBSTITUTE(SUBSTITUTE(Painel!$C$10,"~","~~"),"*","~*"),"?","~?"),A190&amp;" "&amp;H190&amp;" "&amp;I190))))),1,0)</f>
        <v>0</v>
      </c>
      <c r="AM190" s="14">
        <f t="shared" si="22"/>
        <v>0</v>
      </c>
      <c r="AN190" s="14"/>
      <c r="AO190" s="14"/>
      <c r="AP190" s="16" t="str">
        <f>IF(AB190=0,"",IF(INDEX(Andamentos!$B$10:$B$2009,AB190)="","",INDEX(Andamentos!$B$10:$B$2009,AB190)))</f>
        <v/>
      </c>
      <c r="AQ190" s="17" t="str">
        <f>IF(AH190=0,"",IF(INDEX(Valores!$B$10:$B$509,AH190)="","",IF(ISNUMBER(INDEX(Valores!$B$10:$B$509,AH190)),INDEX(Valores!$B$10:$B$509,AH190),"")))</f>
        <v/>
      </c>
      <c r="AR190" s="14" t="str">
        <f t="shared" si="23"/>
        <v/>
      </c>
      <c r="AS190" s="14" t="str">
        <f t="shared" si="24"/>
        <v/>
      </c>
      <c r="AT190" s="27"/>
      <c r="AU190" s="31"/>
      <c r="AV190" s="31"/>
      <c r="AW190" s="27"/>
      <c r="AX190" s="27"/>
      <c r="AY190" s="27"/>
      <c r="AZ190" s="27"/>
      <c r="BA190" s="30" t="str">
        <f t="shared" si="25"/>
        <v/>
      </c>
      <c r="BB190" s="30" t="str">
        <f t="shared" si="26"/>
        <v/>
      </c>
      <c r="BC190" s="30">
        <f>IF(X190=0,0,IF(COUNTIFS($X$10:X190,1,$BA$10:BA190,BA190)=1,1,0))</f>
        <v>0</v>
      </c>
      <c r="BD190" s="29"/>
    </row>
    <row r="191" spans="1:56" ht="42" customHeight="1">
      <c r="A191" s="41"/>
      <c r="B191" s="44"/>
      <c r="C191" s="44"/>
      <c r="D191" s="44"/>
      <c r="E191" s="44"/>
      <c r="F191" s="44"/>
      <c r="G191" s="44"/>
      <c r="H191" s="44"/>
      <c r="I191" s="44"/>
      <c r="J191" s="44"/>
      <c r="K191" s="44"/>
      <c r="L191" s="49"/>
      <c r="M191" s="48"/>
      <c r="N191" s="48"/>
      <c r="O191" s="48"/>
      <c r="P191" s="48"/>
      <c r="Q191" s="48"/>
      <c r="R191" s="48"/>
      <c r="S191" s="49"/>
      <c r="T191" s="48"/>
      <c r="U191" s="48"/>
      <c r="V191" s="14">
        <f t="shared" si="18"/>
        <v>0</v>
      </c>
      <c r="W191" s="14">
        <f t="shared" si="19"/>
        <v>0</v>
      </c>
      <c r="X191" s="14">
        <f>IF(AND(V191=1,OR(Painel!$C$6="Todos",D191=Painel!$C$6),AND(OR(Painel!$L$6="Todas",E191=Painel!$L$6),OR(Painel!$C$8="Todos",F191=Painel!$C$8),OR(Painel!$L$8="Todos",G191=Painel!$L$8),OR(Painel!$C$10="",ISNUMBER(SEARCH(SUBSTITUTE(SUBSTITUTE(SUBSTITUTE(Painel!$C$10,"~","~~"),"*","~*"),"?","~?"),A191&amp;" "&amp;H191&amp;" "&amp;I191))))),1,0)</f>
        <v>0</v>
      </c>
      <c r="Y191" s="14">
        <f t="shared" si="20"/>
        <v>0</v>
      </c>
      <c r="Z191" s="15" t="str">
        <f>IF(V191=0,"",IF(COUNTIFS(Andamentos!$K$10:$K$2009,"="&amp;SUBSTITUTE(SUBSTITUTE(SUBSTITUTE("P:"&amp;A191,"~","~~"),"*","~*"),"?","~?"),Andamentos!$G$10:$G$2009,1)=0,"",_xlfn.AGGREGATE(14,6,Andamentos!$D$10:$D$2009/((Andamentos!$K$10:$K$2009=AS191)*(Andamentos!$G$10:$G$2009=1)),1)))</f>
        <v/>
      </c>
      <c r="AA191" s="14">
        <f>IF(Z191="",0,COUNTIFS(Andamentos!$K$10:$K$2009,"="&amp;SUBSTITUTE(SUBSTITUTE(SUBSTITUTE("P:"&amp;A191,"~","~~"),"*","~*"),"?","~?"),Andamentos!$D$10:$D$2009,Z191,Andamentos!$G$10:$G$2009,1))</f>
        <v>0</v>
      </c>
      <c r="AB191" s="14">
        <f>IF(AA191=1,SUMIFS(Andamentos!$L$10:$L$2009,Andamentos!$K$10:$K$2009,"="&amp;SUBSTITUTE(SUBSTITUTE(SUBSTITUTE(AS191,"~","~~"),"*","~*"),"?","~?"),Andamentos!$D$10:$D$2009,Z191,Andamentos!$G$10:$G$2009,1)-9,0)</f>
        <v>0</v>
      </c>
      <c r="AC191" s="14" t="str">
        <f>IF(V191=0,"",IF(AA191&gt;1,"Conferir recebimentos empatados",IF(AB191=0,"Sem atualização",INDEX(Andamentos!$C$10:$C$2009,AB191))))</f>
        <v/>
      </c>
      <c r="AD191" s="14">
        <f>IF(W191=0,0,IF(MAX(Z191,BD191)=0,1,IF(Configurar!$J$12-INT(MAX(Z191,BD191))&gt;Configurar!$J$11,1,0)))</f>
        <v>0</v>
      </c>
      <c r="AE191" s="16"/>
      <c r="AF191" s="14"/>
      <c r="AG191" s="14"/>
      <c r="AH191" s="14">
        <f>IF(AND(V191=1,COUNTIFS(Valores!$S$10:$S$509,"="&amp;SUBSTITUTE(SUBSTITUTE(SUBSTITUTE("P:"&amp;A191,"~","~~"),"*","~*"),"?","~?"))=1),(IF(ISNA(MATCH(SUBSTITUTE(SUBSTITUTE(SUBSTITUTE("P:"&amp;A191,"~","~~"),"*","~*"),"?","~?"),Valores!$S$10:$S$509,0)),9,INDEX(Valores!$R$10:$R$509,MATCH(SUBSTITUTE(SUBSTITUTE(SUBSTITUTE("P:"&amp;A191,"~","~~"),"*","~*"),"?","~?"),Valores!$S$10:$S$509,0)))-9),0)</f>
        <v>0</v>
      </c>
      <c r="AI191" s="40" t="str">
        <f t="shared" si="21"/>
        <v/>
      </c>
      <c r="AJ191" s="14" t="str">
        <f>IF(AND(X191=1,Y191=1),COUNTIFS($X$10:X191,1,$Y$10:Y191,1),"")</f>
        <v/>
      </c>
      <c r="AK191" s="14" t="str">
        <f>IF(X191=1,COUNTIFS($X$10:X191,1),"")</f>
        <v/>
      </c>
      <c r="AL191" s="14">
        <f>IF(AND(V191=1,AND(OR(Painel!$L$6="Todas",E191=Painel!$L$6),OR(Painel!$C$8="Todos",F191=Painel!$C$8),OR(Painel!$L$8="Todos",G191=Painel!$L$8),OR(Painel!$C$10="",ISNUMBER(SEARCH(SUBSTITUTE(SUBSTITUTE(SUBSTITUTE(Painel!$C$10,"~","~~"),"*","~*"),"?","~?"),A191&amp;" "&amp;H191&amp;" "&amp;I191))))),1,0)</f>
        <v>0</v>
      </c>
      <c r="AM191" s="14">
        <f t="shared" si="22"/>
        <v>0</v>
      </c>
      <c r="AN191" s="14"/>
      <c r="AO191" s="14"/>
      <c r="AP191" s="16" t="str">
        <f>IF(AB191=0,"",IF(INDEX(Andamentos!$B$10:$B$2009,AB191)="","",INDEX(Andamentos!$B$10:$B$2009,AB191)))</f>
        <v/>
      </c>
      <c r="AQ191" s="17" t="str">
        <f>IF(AH191=0,"",IF(INDEX(Valores!$B$10:$B$509,AH191)="","",IF(ISNUMBER(INDEX(Valores!$B$10:$B$509,AH191)),INDEX(Valores!$B$10:$B$509,AH191),"")))</f>
        <v/>
      </c>
      <c r="AR191" s="14" t="str">
        <f t="shared" si="23"/>
        <v/>
      </c>
      <c r="AS191" s="14" t="str">
        <f t="shared" si="24"/>
        <v/>
      </c>
      <c r="AT191" s="27"/>
      <c r="AU191" s="31"/>
      <c r="AV191" s="31"/>
      <c r="AW191" s="27"/>
      <c r="AX191" s="27"/>
      <c r="AY191" s="27"/>
      <c r="AZ191" s="27"/>
      <c r="BA191" s="30" t="str">
        <f t="shared" si="25"/>
        <v/>
      </c>
      <c r="BB191" s="30" t="str">
        <f t="shared" si="26"/>
        <v/>
      </c>
      <c r="BC191" s="30">
        <f>IF(X191=0,0,IF(COUNTIFS($X$10:X191,1,$BA$10:BA191,BA191)=1,1,0))</f>
        <v>0</v>
      </c>
      <c r="BD191" s="29"/>
    </row>
    <row r="192" spans="1:56" ht="42" customHeight="1">
      <c r="A192" s="41"/>
      <c r="B192" s="44"/>
      <c r="C192" s="44"/>
      <c r="D192" s="44"/>
      <c r="E192" s="44"/>
      <c r="F192" s="44"/>
      <c r="G192" s="44"/>
      <c r="H192" s="44"/>
      <c r="I192" s="44"/>
      <c r="J192" s="44"/>
      <c r="K192" s="44"/>
      <c r="L192" s="49"/>
      <c r="M192" s="48"/>
      <c r="N192" s="48"/>
      <c r="O192" s="48"/>
      <c r="P192" s="48"/>
      <c r="Q192" s="48"/>
      <c r="R192" s="48"/>
      <c r="S192" s="49"/>
      <c r="T192" s="48"/>
      <c r="U192" s="48"/>
      <c r="V192" s="14">
        <f t="shared" si="18"/>
        <v>0</v>
      </c>
      <c r="W192" s="14">
        <f t="shared" si="19"/>
        <v>0</v>
      </c>
      <c r="X192" s="14">
        <f>IF(AND(V192=1,OR(Painel!$C$6="Todos",D192=Painel!$C$6),AND(OR(Painel!$L$6="Todas",E192=Painel!$L$6),OR(Painel!$C$8="Todos",F192=Painel!$C$8),OR(Painel!$L$8="Todos",G192=Painel!$L$8),OR(Painel!$C$10="",ISNUMBER(SEARCH(SUBSTITUTE(SUBSTITUTE(SUBSTITUTE(Painel!$C$10,"~","~~"),"*","~*"),"?","~?"),A192&amp;" "&amp;H192&amp;" "&amp;I192))))),1,0)</f>
        <v>0</v>
      </c>
      <c r="Y192" s="14">
        <f t="shared" si="20"/>
        <v>0</v>
      </c>
      <c r="Z192" s="15" t="str">
        <f>IF(V192=0,"",IF(COUNTIFS(Andamentos!$K$10:$K$2009,"="&amp;SUBSTITUTE(SUBSTITUTE(SUBSTITUTE("P:"&amp;A192,"~","~~"),"*","~*"),"?","~?"),Andamentos!$G$10:$G$2009,1)=0,"",_xlfn.AGGREGATE(14,6,Andamentos!$D$10:$D$2009/((Andamentos!$K$10:$K$2009=AS192)*(Andamentos!$G$10:$G$2009=1)),1)))</f>
        <v/>
      </c>
      <c r="AA192" s="14">
        <f>IF(Z192="",0,COUNTIFS(Andamentos!$K$10:$K$2009,"="&amp;SUBSTITUTE(SUBSTITUTE(SUBSTITUTE("P:"&amp;A192,"~","~~"),"*","~*"),"?","~?"),Andamentos!$D$10:$D$2009,Z192,Andamentos!$G$10:$G$2009,1))</f>
        <v>0</v>
      </c>
      <c r="AB192" s="14">
        <f>IF(AA192=1,SUMIFS(Andamentos!$L$10:$L$2009,Andamentos!$K$10:$K$2009,"="&amp;SUBSTITUTE(SUBSTITUTE(SUBSTITUTE(AS192,"~","~~"),"*","~*"),"?","~?"),Andamentos!$D$10:$D$2009,Z192,Andamentos!$G$10:$G$2009,1)-9,0)</f>
        <v>0</v>
      </c>
      <c r="AC192" s="14" t="str">
        <f>IF(V192=0,"",IF(AA192&gt;1,"Conferir recebimentos empatados",IF(AB192=0,"Sem atualização",INDEX(Andamentos!$C$10:$C$2009,AB192))))</f>
        <v/>
      </c>
      <c r="AD192" s="14">
        <f>IF(W192=0,0,IF(MAX(Z192,BD192)=0,1,IF(Configurar!$J$12-INT(MAX(Z192,BD192))&gt;Configurar!$J$11,1,0)))</f>
        <v>0</v>
      </c>
      <c r="AE192" s="16"/>
      <c r="AF192" s="14"/>
      <c r="AG192" s="14"/>
      <c r="AH192" s="14">
        <f>IF(AND(V192=1,COUNTIFS(Valores!$S$10:$S$509,"="&amp;SUBSTITUTE(SUBSTITUTE(SUBSTITUTE("P:"&amp;A192,"~","~~"),"*","~*"),"?","~?"))=1),(IF(ISNA(MATCH(SUBSTITUTE(SUBSTITUTE(SUBSTITUTE("P:"&amp;A192,"~","~~"),"*","~*"),"?","~?"),Valores!$S$10:$S$509,0)),9,INDEX(Valores!$R$10:$R$509,MATCH(SUBSTITUTE(SUBSTITUTE(SUBSTITUTE("P:"&amp;A192,"~","~~"),"*","~*"),"?","~?"),Valores!$S$10:$S$509,0)))-9),0)</f>
        <v>0</v>
      </c>
      <c r="AI192" s="40" t="str">
        <f t="shared" si="21"/>
        <v/>
      </c>
      <c r="AJ192" s="14" t="str">
        <f>IF(AND(X192=1,Y192=1),COUNTIFS($X$10:X192,1,$Y$10:Y192,1),"")</f>
        <v/>
      </c>
      <c r="AK192" s="14" t="str">
        <f>IF(X192=1,COUNTIFS($X$10:X192,1),"")</f>
        <v/>
      </c>
      <c r="AL192" s="14">
        <f>IF(AND(V192=1,AND(OR(Painel!$L$6="Todas",E192=Painel!$L$6),OR(Painel!$C$8="Todos",F192=Painel!$C$8),OR(Painel!$L$8="Todos",G192=Painel!$L$8),OR(Painel!$C$10="",ISNUMBER(SEARCH(SUBSTITUTE(SUBSTITUTE(SUBSTITUTE(Painel!$C$10,"~","~~"),"*","~*"),"?","~?"),A192&amp;" "&amp;H192&amp;" "&amp;I192))))),1,0)</f>
        <v>0</v>
      </c>
      <c r="AM192" s="14">
        <f t="shared" si="22"/>
        <v>0</v>
      </c>
      <c r="AN192" s="14"/>
      <c r="AO192" s="14"/>
      <c r="AP192" s="16" t="str">
        <f>IF(AB192=0,"",IF(INDEX(Andamentos!$B$10:$B$2009,AB192)="","",INDEX(Andamentos!$B$10:$B$2009,AB192)))</f>
        <v/>
      </c>
      <c r="AQ192" s="17" t="str">
        <f>IF(AH192=0,"",IF(INDEX(Valores!$B$10:$B$509,AH192)="","",IF(ISNUMBER(INDEX(Valores!$B$10:$B$509,AH192)),INDEX(Valores!$B$10:$B$509,AH192),"")))</f>
        <v/>
      </c>
      <c r="AR192" s="14" t="str">
        <f t="shared" si="23"/>
        <v/>
      </c>
      <c r="AS192" s="14" t="str">
        <f t="shared" si="24"/>
        <v/>
      </c>
      <c r="AT192" s="27"/>
      <c r="AU192" s="31"/>
      <c r="AV192" s="31"/>
      <c r="AW192" s="27"/>
      <c r="AX192" s="27"/>
      <c r="AY192" s="27"/>
      <c r="AZ192" s="27"/>
      <c r="BA192" s="30" t="str">
        <f t="shared" si="25"/>
        <v/>
      </c>
      <c r="BB192" s="30" t="str">
        <f t="shared" si="26"/>
        <v/>
      </c>
      <c r="BC192" s="30">
        <f>IF(X192=0,0,IF(COUNTIFS($X$10:X192,1,$BA$10:BA192,BA192)=1,1,0))</f>
        <v>0</v>
      </c>
      <c r="BD192" s="29"/>
    </row>
    <row r="193" spans="1:56" ht="42" customHeight="1">
      <c r="A193" s="41"/>
      <c r="B193" s="44"/>
      <c r="C193" s="44"/>
      <c r="D193" s="44"/>
      <c r="E193" s="44"/>
      <c r="F193" s="44"/>
      <c r="G193" s="44"/>
      <c r="H193" s="44"/>
      <c r="I193" s="44"/>
      <c r="J193" s="44"/>
      <c r="K193" s="44"/>
      <c r="L193" s="49"/>
      <c r="M193" s="48"/>
      <c r="N193" s="48"/>
      <c r="O193" s="48"/>
      <c r="P193" s="48"/>
      <c r="Q193" s="48"/>
      <c r="R193" s="48"/>
      <c r="S193" s="49"/>
      <c r="T193" s="48"/>
      <c r="U193" s="48"/>
      <c r="V193" s="14">
        <f t="shared" si="18"/>
        <v>0</v>
      </c>
      <c r="W193" s="14">
        <f t="shared" si="19"/>
        <v>0</v>
      </c>
      <c r="X193" s="14">
        <f>IF(AND(V193=1,OR(Painel!$C$6="Todos",D193=Painel!$C$6),AND(OR(Painel!$L$6="Todas",E193=Painel!$L$6),OR(Painel!$C$8="Todos",F193=Painel!$C$8),OR(Painel!$L$8="Todos",G193=Painel!$L$8),OR(Painel!$C$10="",ISNUMBER(SEARCH(SUBSTITUTE(SUBSTITUTE(SUBSTITUTE(Painel!$C$10,"~","~~"),"*","~*"),"?","~?"),A193&amp;" "&amp;H193&amp;" "&amp;I193))))),1,0)</f>
        <v>0</v>
      </c>
      <c r="Y193" s="14">
        <f t="shared" si="20"/>
        <v>0</v>
      </c>
      <c r="Z193" s="15" t="str">
        <f>IF(V193=0,"",IF(COUNTIFS(Andamentos!$K$10:$K$2009,"="&amp;SUBSTITUTE(SUBSTITUTE(SUBSTITUTE("P:"&amp;A193,"~","~~"),"*","~*"),"?","~?"),Andamentos!$G$10:$G$2009,1)=0,"",_xlfn.AGGREGATE(14,6,Andamentos!$D$10:$D$2009/((Andamentos!$K$10:$K$2009=AS193)*(Andamentos!$G$10:$G$2009=1)),1)))</f>
        <v/>
      </c>
      <c r="AA193" s="14">
        <f>IF(Z193="",0,COUNTIFS(Andamentos!$K$10:$K$2009,"="&amp;SUBSTITUTE(SUBSTITUTE(SUBSTITUTE("P:"&amp;A193,"~","~~"),"*","~*"),"?","~?"),Andamentos!$D$10:$D$2009,Z193,Andamentos!$G$10:$G$2009,1))</f>
        <v>0</v>
      </c>
      <c r="AB193" s="14">
        <f>IF(AA193=1,SUMIFS(Andamentos!$L$10:$L$2009,Andamentos!$K$10:$K$2009,"="&amp;SUBSTITUTE(SUBSTITUTE(SUBSTITUTE(AS193,"~","~~"),"*","~*"),"?","~?"),Andamentos!$D$10:$D$2009,Z193,Andamentos!$G$10:$G$2009,1)-9,0)</f>
        <v>0</v>
      </c>
      <c r="AC193" s="14" t="str">
        <f>IF(V193=0,"",IF(AA193&gt;1,"Conferir recebimentos empatados",IF(AB193=0,"Sem atualização",INDEX(Andamentos!$C$10:$C$2009,AB193))))</f>
        <v/>
      </c>
      <c r="AD193" s="14">
        <f>IF(W193=0,0,IF(MAX(Z193,BD193)=0,1,IF(Configurar!$J$12-INT(MAX(Z193,BD193))&gt;Configurar!$J$11,1,0)))</f>
        <v>0</v>
      </c>
      <c r="AE193" s="16"/>
      <c r="AF193" s="14"/>
      <c r="AG193" s="14"/>
      <c r="AH193" s="14">
        <f>IF(AND(V193=1,COUNTIFS(Valores!$S$10:$S$509,"="&amp;SUBSTITUTE(SUBSTITUTE(SUBSTITUTE("P:"&amp;A193,"~","~~"),"*","~*"),"?","~?"))=1),(IF(ISNA(MATCH(SUBSTITUTE(SUBSTITUTE(SUBSTITUTE("P:"&amp;A193,"~","~~"),"*","~*"),"?","~?"),Valores!$S$10:$S$509,0)),9,INDEX(Valores!$R$10:$R$509,MATCH(SUBSTITUTE(SUBSTITUTE(SUBSTITUTE("P:"&amp;A193,"~","~~"),"*","~*"),"?","~?"),Valores!$S$10:$S$509,0)))-9),0)</f>
        <v>0</v>
      </c>
      <c r="AI193" s="40" t="str">
        <f t="shared" si="21"/>
        <v/>
      </c>
      <c r="AJ193" s="14" t="str">
        <f>IF(AND(X193=1,Y193=1),COUNTIFS($X$10:X193,1,$Y$10:Y193,1),"")</f>
        <v/>
      </c>
      <c r="AK193" s="14" t="str">
        <f>IF(X193=1,COUNTIFS($X$10:X193,1),"")</f>
        <v/>
      </c>
      <c r="AL193" s="14">
        <f>IF(AND(V193=1,AND(OR(Painel!$L$6="Todas",E193=Painel!$L$6),OR(Painel!$C$8="Todos",F193=Painel!$C$8),OR(Painel!$L$8="Todos",G193=Painel!$L$8),OR(Painel!$C$10="",ISNUMBER(SEARCH(SUBSTITUTE(SUBSTITUTE(SUBSTITUTE(Painel!$C$10,"~","~~"),"*","~*"),"?","~?"),A193&amp;" "&amp;H193&amp;" "&amp;I193))))),1,0)</f>
        <v>0</v>
      </c>
      <c r="AM193" s="14">
        <f t="shared" si="22"/>
        <v>0</v>
      </c>
      <c r="AN193" s="14"/>
      <c r="AO193" s="14"/>
      <c r="AP193" s="16" t="str">
        <f>IF(AB193=0,"",IF(INDEX(Andamentos!$B$10:$B$2009,AB193)="","",INDEX(Andamentos!$B$10:$B$2009,AB193)))</f>
        <v/>
      </c>
      <c r="AQ193" s="17" t="str">
        <f>IF(AH193=0,"",IF(INDEX(Valores!$B$10:$B$509,AH193)="","",IF(ISNUMBER(INDEX(Valores!$B$10:$B$509,AH193)),INDEX(Valores!$B$10:$B$509,AH193),"")))</f>
        <v/>
      </c>
      <c r="AR193" s="14" t="str">
        <f t="shared" si="23"/>
        <v/>
      </c>
      <c r="AS193" s="14" t="str">
        <f t="shared" si="24"/>
        <v/>
      </c>
      <c r="AT193" s="27"/>
      <c r="AU193" s="31"/>
      <c r="AV193" s="31"/>
      <c r="AW193" s="27"/>
      <c r="AX193" s="27"/>
      <c r="AY193" s="27"/>
      <c r="AZ193" s="27"/>
      <c r="BA193" s="30" t="str">
        <f t="shared" si="25"/>
        <v/>
      </c>
      <c r="BB193" s="30" t="str">
        <f t="shared" si="26"/>
        <v/>
      </c>
      <c r="BC193" s="30">
        <f>IF(X193=0,0,IF(COUNTIFS($X$10:X193,1,$BA$10:BA193,BA193)=1,1,0))</f>
        <v>0</v>
      </c>
      <c r="BD193" s="29"/>
    </row>
    <row r="194" spans="1:56" ht="42" customHeight="1">
      <c r="A194" s="41"/>
      <c r="B194" s="44"/>
      <c r="C194" s="44"/>
      <c r="D194" s="44"/>
      <c r="E194" s="44"/>
      <c r="F194" s="44"/>
      <c r="G194" s="44"/>
      <c r="H194" s="44"/>
      <c r="I194" s="44"/>
      <c r="J194" s="44"/>
      <c r="K194" s="44"/>
      <c r="L194" s="49"/>
      <c r="M194" s="48"/>
      <c r="N194" s="48"/>
      <c r="O194" s="48"/>
      <c r="P194" s="48"/>
      <c r="Q194" s="48"/>
      <c r="R194" s="48"/>
      <c r="S194" s="49"/>
      <c r="T194" s="48"/>
      <c r="U194" s="48"/>
      <c r="V194" s="14">
        <f t="shared" si="18"/>
        <v>0</v>
      </c>
      <c r="W194" s="14">
        <f t="shared" si="19"/>
        <v>0</v>
      </c>
      <c r="X194" s="14">
        <f>IF(AND(V194=1,OR(Painel!$C$6="Todos",D194=Painel!$C$6),AND(OR(Painel!$L$6="Todas",E194=Painel!$L$6),OR(Painel!$C$8="Todos",F194=Painel!$C$8),OR(Painel!$L$8="Todos",G194=Painel!$L$8),OR(Painel!$C$10="",ISNUMBER(SEARCH(SUBSTITUTE(SUBSTITUTE(SUBSTITUTE(Painel!$C$10,"~","~~"),"*","~*"),"?","~?"),A194&amp;" "&amp;H194&amp;" "&amp;I194))))),1,0)</f>
        <v>0</v>
      </c>
      <c r="Y194" s="14">
        <f t="shared" si="20"/>
        <v>0</v>
      </c>
      <c r="Z194" s="15" t="str">
        <f>IF(V194=0,"",IF(COUNTIFS(Andamentos!$K$10:$K$2009,"="&amp;SUBSTITUTE(SUBSTITUTE(SUBSTITUTE("P:"&amp;A194,"~","~~"),"*","~*"),"?","~?"),Andamentos!$G$10:$G$2009,1)=0,"",_xlfn.AGGREGATE(14,6,Andamentos!$D$10:$D$2009/((Andamentos!$K$10:$K$2009=AS194)*(Andamentos!$G$10:$G$2009=1)),1)))</f>
        <v/>
      </c>
      <c r="AA194" s="14">
        <f>IF(Z194="",0,COUNTIFS(Andamentos!$K$10:$K$2009,"="&amp;SUBSTITUTE(SUBSTITUTE(SUBSTITUTE("P:"&amp;A194,"~","~~"),"*","~*"),"?","~?"),Andamentos!$D$10:$D$2009,Z194,Andamentos!$G$10:$G$2009,1))</f>
        <v>0</v>
      </c>
      <c r="AB194" s="14">
        <f>IF(AA194=1,SUMIFS(Andamentos!$L$10:$L$2009,Andamentos!$K$10:$K$2009,"="&amp;SUBSTITUTE(SUBSTITUTE(SUBSTITUTE(AS194,"~","~~"),"*","~*"),"?","~?"),Andamentos!$D$10:$D$2009,Z194,Andamentos!$G$10:$G$2009,1)-9,0)</f>
        <v>0</v>
      </c>
      <c r="AC194" s="14" t="str">
        <f>IF(V194=0,"",IF(AA194&gt;1,"Conferir recebimentos empatados",IF(AB194=0,"Sem atualização",INDEX(Andamentos!$C$10:$C$2009,AB194))))</f>
        <v/>
      </c>
      <c r="AD194" s="14">
        <f>IF(W194=0,0,IF(MAX(Z194,BD194)=0,1,IF(Configurar!$J$12-INT(MAX(Z194,BD194))&gt;Configurar!$J$11,1,0)))</f>
        <v>0</v>
      </c>
      <c r="AE194" s="16"/>
      <c r="AF194" s="14"/>
      <c r="AG194" s="14"/>
      <c r="AH194" s="14">
        <f>IF(AND(V194=1,COUNTIFS(Valores!$S$10:$S$509,"="&amp;SUBSTITUTE(SUBSTITUTE(SUBSTITUTE("P:"&amp;A194,"~","~~"),"*","~*"),"?","~?"))=1),(IF(ISNA(MATCH(SUBSTITUTE(SUBSTITUTE(SUBSTITUTE("P:"&amp;A194,"~","~~"),"*","~*"),"?","~?"),Valores!$S$10:$S$509,0)),9,INDEX(Valores!$R$10:$R$509,MATCH(SUBSTITUTE(SUBSTITUTE(SUBSTITUTE("P:"&amp;A194,"~","~~"),"*","~*"),"?","~?"),Valores!$S$10:$S$509,0)))-9),0)</f>
        <v>0</v>
      </c>
      <c r="AI194" s="40" t="str">
        <f t="shared" si="21"/>
        <v/>
      </c>
      <c r="AJ194" s="14" t="str">
        <f>IF(AND(X194=1,Y194=1),COUNTIFS($X$10:X194,1,$Y$10:Y194,1),"")</f>
        <v/>
      </c>
      <c r="AK194" s="14" t="str">
        <f>IF(X194=1,COUNTIFS($X$10:X194,1),"")</f>
        <v/>
      </c>
      <c r="AL194" s="14">
        <f>IF(AND(V194=1,AND(OR(Painel!$L$6="Todas",E194=Painel!$L$6),OR(Painel!$C$8="Todos",F194=Painel!$C$8),OR(Painel!$L$8="Todos",G194=Painel!$L$8),OR(Painel!$C$10="",ISNUMBER(SEARCH(SUBSTITUTE(SUBSTITUTE(SUBSTITUTE(Painel!$C$10,"~","~~"),"*","~*"),"?","~?"),A194&amp;" "&amp;H194&amp;" "&amp;I194))))),1,0)</f>
        <v>0</v>
      </c>
      <c r="AM194" s="14">
        <f t="shared" si="22"/>
        <v>0</v>
      </c>
      <c r="AN194" s="14"/>
      <c r="AO194" s="14"/>
      <c r="AP194" s="16" t="str">
        <f>IF(AB194=0,"",IF(INDEX(Andamentos!$B$10:$B$2009,AB194)="","",INDEX(Andamentos!$B$10:$B$2009,AB194)))</f>
        <v/>
      </c>
      <c r="AQ194" s="17" t="str">
        <f>IF(AH194=0,"",IF(INDEX(Valores!$B$10:$B$509,AH194)="","",IF(ISNUMBER(INDEX(Valores!$B$10:$B$509,AH194)),INDEX(Valores!$B$10:$B$509,AH194),"")))</f>
        <v/>
      </c>
      <c r="AR194" s="14" t="str">
        <f t="shared" si="23"/>
        <v/>
      </c>
      <c r="AS194" s="14" t="str">
        <f t="shared" si="24"/>
        <v/>
      </c>
      <c r="AT194" s="27"/>
      <c r="AU194" s="31"/>
      <c r="AV194" s="31"/>
      <c r="AW194" s="27"/>
      <c r="AX194" s="27"/>
      <c r="AY194" s="27"/>
      <c r="AZ194" s="27"/>
      <c r="BA194" s="30" t="str">
        <f t="shared" si="25"/>
        <v/>
      </c>
      <c r="BB194" s="30" t="str">
        <f t="shared" si="26"/>
        <v/>
      </c>
      <c r="BC194" s="30">
        <f>IF(X194=0,0,IF(COUNTIFS($X$10:X194,1,$BA$10:BA194,BA194)=1,1,0))</f>
        <v>0</v>
      </c>
      <c r="BD194" s="29"/>
    </row>
    <row r="195" spans="1:56" ht="42" customHeight="1">
      <c r="A195" s="41"/>
      <c r="B195" s="44"/>
      <c r="C195" s="44"/>
      <c r="D195" s="44"/>
      <c r="E195" s="44"/>
      <c r="F195" s="44"/>
      <c r="G195" s="44"/>
      <c r="H195" s="44"/>
      <c r="I195" s="44"/>
      <c r="J195" s="44"/>
      <c r="K195" s="44"/>
      <c r="L195" s="49"/>
      <c r="M195" s="48"/>
      <c r="N195" s="48"/>
      <c r="O195" s="48"/>
      <c r="P195" s="48"/>
      <c r="Q195" s="48"/>
      <c r="R195" s="48"/>
      <c r="S195" s="49"/>
      <c r="T195" s="48"/>
      <c r="U195" s="48"/>
      <c r="V195" s="14">
        <f t="shared" si="18"/>
        <v>0</v>
      </c>
      <c r="W195" s="14">
        <f t="shared" si="19"/>
        <v>0</v>
      </c>
      <c r="X195" s="14">
        <f>IF(AND(V195=1,OR(Painel!$C$6="Todos",D195=Painel!$C$6),AND(OR(Painel!$L$6="Todas",E195=Painel!$L$6),OR(Painel!$C$8="Todos",F195=Painel!$C$8),OR(Painel!$L$8="Todos",G195=Painel!$L$8),OR(Painel!$C$10="",ISNUMBER(SEARCH(SUBSTITUTE(SUBSTITUTE(SUBSTITUTE(Painel!$C$10,"~","~~"),"*","~*"),"?","~?"),A195&amp;" "&amp;H195&amp;" "&amp;I195))))),1,0)</f>
        <v>0</v>
      </c>
      <c r="Y195" s="14">
        <f t="shared" si="20"/>
        <v>0</v>
      </c>
      <c r="Z195" s="15" t="str">
        <f>IF(V195=0,"",IF(COUNTIFS(Andamentos!$K$10:$K$2009,"="&amp;SUBSTITUTE(SUBSTITUTE(SUBSTITUTE("P:"&amp;A195,"~","~~"),"*","~*"),"?","~?"),Andamentos!$G$10:$G$2009,1)=0,"",_xlfn.AGGREGATE(14,6,Andamentos!$D$10:$D$2009/((Andamentos!$K$10:$K$2009=AS195)*(Andamentos!$G$10:$G$2009=1)),1)))</f>
        <v/>
      </c>
      <c r="AA195" s="14">
        <f>IF(Z195="",0,COUNTIFS(Andamentos!$K$10:$K$2009,"="&amp;SUBSTITUTE(SUBSTITUTE(SUBSTITUTE("P:"&amp;A195,"~","~~"),"*","~*"),"?","~?"),Andamentos!$D$10:$D$2009,Z195,Andamentos!$G$10:$G$2009,1))</f>
        <v>0</v>
      </c>
      <c r="AB195" s="14">
        <f>IF(AA195=1,SUMIFS(Andamentos!$L$10:$L$2009,Andamentos!$K$10:$K$2009,"="&amp;SUBSTITUTE(SUBSTITUTE(SUBSTITUTE(AS195,"~","~~"),"*","~*"),"?","~?"),Andamentos!$D$10:$D$2009,Z195,Andamentos!$G$10:$G$2009,1)-9,0)</f>
        <v>0</v>
      </c>
      <c r="AC195" s="14" t="str">
        <f>IF(V195=0,"",IF(AA195&gt;1,"Conferir recebimentos empatados",IF(AB195=0,"Sem atualização",INDEX(Andamentos!$C$10:$C$2009,AB195))))</f>
        <v/>
      </c>
      <c r="AD195" s="14">
        <f>IF(W195=0,0,IF(MAX(Z195,BD195)=0,1,IF(Configurar!$J$12-INT(MAX(Z195,BD195))&gt;Configurar!$J$11,1,0)))</f>
        <v>0</v>
      </c>
      <c r="AE195" s="16"/>
      <c r="AF195" s="14"/>
      <c r="AG195" s="14"/>
      <c r="AH195" s="14">
        <f>IF(AND(V195=1,COUNTIFS(Valores!$S$10:$S$509,"="&amp;SUBSTITUTE(SUBSTITUTE(SUBSTITUTE("P:"&amp;A195,"~","~~"),"*","~*"),"?","~?"))=1),(IF(ISNA(MATCH(SUBSTITUTE(SUBSTITUTE(SUBSTITUTE("P:"&amp;A195,"~","~~"),"*","~*"),"?","~?"),Valores!$S$10:$S$509,0)),9,INDEX(Valores!$R$10:$R$509,MATCH(SUBSTITUTE(SUBSTITUTE(SUBSTITUTE("P:"&amp;A195,"~","~~"),"*","~*"),"?","~?"),Valores!$S$10:$S$509,0)))-9),0)</f>
        <v>0</v>
      </c>
      <c r="AI195" s="40" t="str">
        <f t="shared" si="21"/>
        <v/>
      </c>
      <c r="AJ195" s="14" t="str">
        <f>IF(AND(X195=1,Y195=1),COUNTIFS($X$10:X195,1,$Y$10:Y195,1),"")</f>
        <v/>
      </c>
      <c r="AK195" s="14" t="str">
        <f>IF(X195=1,COUNTIFS($X$10:X195,1),"")</f>
        <v/>
      </c>
      <c r="AL195" s="14">
        <f>IF(AND(V195=1,AND(OR(Painel!$L$6="Todas",E195=Painel!$L$6),OR(Painel!$C$8="Todos",F195=Painel!$C$8),OR(Painel!$L$8="Todos",G195=Painel!$L$8),OR(Painel!$C$10="",ISNUMBER(SEARCH(SUBSTITUTE(SUBSTITUTE(SUBSTITUTE(Painel!$C$10,"~","~~"),"*","~*"),"?","~?"),A195&amp;" "&amp;H195&amp;" "&amp;I195))))),1,0)</f>
        <v>0</v>
      </c>
      <c r="AM195" s="14">
        <f t="shared" si="22"/>
        <v>0</v>
      </c>
      <c r="AN195" s="14"/>
      <c r="AO195" s="14"/>
      <c r="AP195" s="16" t="str">
        <f>IF(AB195=0,"",IF(INDEX(Andamentos!$B$10:$B$2009,AB195)="","",INDEX(Andamentos!$B$10:$B$2009,AB195)))</f>
        <v/>
      </c>
      <c r="AQ195" s="17" t="str">
        <f>IF(AH195=0,"",IF(INDEX(Valores!$B$10:$B$509,AH195)="","",IF(ISNUMBER(INDEX(Valores!$B$10:$B$509,AH195)),INDEX(Valores!$B$10:$B$509,AH195),"")))</f>
        <v/>
      </c>
      <c r="AR195" s="14" t="str">
        <f t="shared" si="23"/>
        <v/>
      </c>
      <c r="AS195" s="14" t="str">
        <f t="shared" si="24"/>
        <v/>
      </c>
      <c r="AT195" s="27"/>
      <c r="AU195" s="31"/>
      <c r="AV195" s="31"/>
      <c r="AW195" s="27"/>
      <c r="AX195" s="27"/>
      <c r="AY195" s="27"/>
      <c r="AZ195" s="27"/>
      <c r="BA195" s="30" t="str">
        <f t="shared" si="25"/>
        <v/>
      </c>
      <c r="BB195" s="30" t="str">
        <f t="shared" si="26"/>
        <v/>
      </c>
      <c r="BC195" s="30">
        <f>IF(X195=0,0,IF(COUNTIFS($X$10:X195,1,$BA$10:BA195,BA195)=1,1,0))</f>
        <v>0</v>
      </c>
      <c r="BD195" s="29"/>
    </row>
    <row r="196" spans="1:56" ht="42" customHeight="1">
      <c r="A196" s="41"/>
      <c r="B196" s="44"/>
      <c r="C196" s="44"/>
      <c r="D196" s="44"/>
      <c r="E196" s="44"/>
      <c r="F196" s="44"/>
      <c r="G196" s="44"/>
      <c r="H196" s="44"/>
      <c r="I196" s="44"/>
      <c r="J196" s="44"/>
      <c r="K196" s="44"/>
      <c r="L196" s="49"/>
      <c r="M196" s="48"/>
      <c r="N196" s="48"/>
      <c r="O196" s="48"/>
      <c r="P196" s="48"/>
      <c r="Q196" s="48"/>
      <c r="R196" s="48"/>
      <c r="S196" s="49"/>
      <c r="T196" s="48"/>
      <c r="U196" s="48"/>
      <c r="V196" s="14">
        <f t="shared" si="18"/>
        <v>0</v>
      </c>
      <c r="W196" s="14">
        <f t="shared" si="19"/>
        <v>0</v>
      </c>
      <c r="X196" s="14">
        <f>IF(AND(V196=1,OR(Painel!$C$6="Todos",D196=Painel!$C$6),AND(OR(Painel!$L$6="Todas",E196=Painel!$L$6),OR(Painel!$C$8="Todos",F196=Painel!$C$8),OR(Painel!$L$8="Todos",G196=Painel!$L$8),OR(Painel!$C$10="",ISNUMBER(SEARCH(SUBSTITUTE(SUBSTITUTE(SUBSTITUTE(Painel!$C$10,"~","~~"),"*","~*"),"?","~?"),A196&amp;" "&amp;H196&amp;" "&amp;I196))))),1,0)</f>
        <v>0</v>
      </c>
      <c r="Y196" s="14">
        <f t="shared" si="20"/>
        <v>0</v>
      </c>
      <c r="Z196" s="15" t="str">
        <f>IF(V196=0,"",IF(COUNTIFS(Andamentos!$K$10:$K$2009,"="&amp;SUBSTITUTE(SUBSTITUTE(SUBSTITUTE("P:"&amp;A196,"~","~~"),"*","~*"),"?","~?"),Andamentos!$G$10:$G$2009,1)=0,"",_xlfn.AGGREGATE(14,6,Andamentos!$D$10:$D$2009/((Andamentos!$K$10:$K$2009=AS196)*(Andamentos!$G$10:$G$2009=1)),1)))</f>
        <v/>
      </c>
      <c r="AA196" s="14">
        <f>IF(Z196="",0,COUNTIFS(Andamentos!$K$10:$K$2009,"="&amp;SUBSTITUTE(SUBSTITUTE(SUBSTITUTE("P:"&amp;A196,"~","~~"),"*","~*"),"?","~?"),Andamentos!$D$10:$D$2009,Z196,Andamentos!$G$10:$G$2009,1))</f>
        <v>0</v>
      </c>
      <c r="AB196" s="14">
        <f>IF(AA196=1,SUMIFS(Andamentos!$L$10:$L$2009,Andamentos!$K$10:$K$2009,"="&amp;SUBSTITUTE(SUBSTITUTE(SUBSTITUTE(AS196,"~","~~"),"*","~*"),"?","~?"),Andamentos!$D$10:$D$2009,Z196,Andamentos!$G$10:$G$2009,1)-9,0)</f>
        <v>0</v>
      </c>
      <c r="AC196" s="14" t="str">
        <f>IF(V196=0,"",IF(AA196&gt;1,"Conferir recebimentos empatados",IF(AB196=0,"Sem atualização",INDEX(Andamentos!$C$10:$C$2009,AB196))))</f>
        <v/>
      </c>
      <c r="AD196" s="14">
        <f>IF(W196=0,0,IF(MAX(Z196,BD196)=0,1,IF(Configurar!$J$12-INT(MAX(Z196,BD196))&gt;Configurar!$J$11,1,0)))</f>
        <v>0</v>
      </c>
      <c r="AE196" s="16"/>
      <c r="AF196" s="14"/>
      <c r="AG196" s="14"/>
      <c r="AH196" s="14">
        <f>IF(AND(V196=1,COUNTIFS(Valores!$S$10:$S$509,"="&amp;SUBSTITUTE(SUBSTITUTE(SUBSTITUTE("P:"&amp;A196,"~","~~"),"*","~*"),"?","~?"))=1),(IF(ISNA(MATCH(SUBSTITUTE(SUBSTITUTE(SUBSTITUTE("P:"&amp;A196,"~","~~"),"*","~*"),"?","~?"),Valores!$S$10:$S$509,0)),9,INDEX(Valores!$R$10:$R$509,MATCH(SUBSTITUTE(SUBSTITUTE(SUBSTITUTE("P:"&amp;A196,"~","~~"),"*","~*"),"?","~?"),Valores!$S$10:$S$509,0)))-9),0)</f>
        <v>0</v>
      </c>
      <c r="AI196" s="40" t="str">
        <f t="shared" si="21"/>
        <v/>
      </c>
      <c r="AJ196" s="14" t="str">
        <f>IF(AND(X196=1,Y196=1),COUNTIFS($X$10:X196,1,$Y$10:Y196,1),"")</f>
        <v/>
      </c>
      <c r="AK196" s="14" t="str">
        <f>IF(X196=1,COUNTIFS($X$10:X196,1),"")</f>
        <v/>
      </c>
      <c r="AL196" s="14">
        <f>IF(AND(V196=1,AND(OR(Painel!$L$6="Todas",E196=Painel!$L$6),OR(Painel!$C$8="Todos",F196=Painel!$C$8),OR(Painel!$L$8="Todos",G196=Painel!$L$8),OR(Painel!$C$10="",ISNUMBER(SEARCH(SUBSTITUTE(SUBSTITUTE(SUBSTITUTE(Painel!$C$10,"~","~~"),"*","~*"),"?","~?"),A196&amp;" "&amp;H196&amp;" "&amp;I196))))),1,0)</f>
        <v>0</v>
      </c>
      <c r="AM196" s="14">
        <f t="shared" si="22"/>
        <v>0</v>
      </c>
      <c r="AN196" s="14"/>
      <c r="AO196" s="14"/>
      <c r="AP196" s="16" t="str">
        <f>IF(AB196=0,"",IF(INDEX(Andamentos!$B$10:$B$2009,AB196)="","",INDEX(Andamentos!$B$10:$B$2009,AB196)))</f>
        <v/>
      </c>
      <c r="AQ196" s="17" t="str">
        <f>IF(AH196=0,"",IF(INDEX(Valores!$B$10:$B$509,AH196)="","",IF(ISNUMBER(INDEX(Valores!$B$10:$B$509,AH196)),INDEX(Valores!$B$10:$B$509,AH196),"")))</f>
        <v/>
      </c>
      <c r="AR196" s="14" t="str">
        <f t="shared" si="23"/>
        <v/>
      </c>
      <c r="AS196" s="14" t="str">
        <f t="shared" si="24"/>
        <v/>
      </c>
      <c r="AT196" s="27"/>
      <c r="AU196" s="31"/>
      <c r="AV196" s="31"/>
      <c r="AW196" s="27"/>
      <c r="AX196" s="27"/>
      <c r="AY196" s="27"/>
      <c r="AZ196" s="27"/>
      <c r="BA196" s="30" t="str">
        <f t="shared" si="25"/>
        <v/>
      </c>
      <c r="BB196" s="30" t="str">
        <f t="shared" si="26"/>
        <v/>
      </c>
      <c r="BC196" s="30">
        <f>IF(X196=0,0,IF(COUNTIFS($X$10:X196,1,$BA$10:BA196,BA196)=1,1,0))</f>
        <v>0</v>
      </c>
      <c r="BD196" s="29"/>
    </row>
    <row r="197" spans="1:56" ht="42" customHeight="1">
      <c r="A197" s="41"/>
      <c r="B197" s="44"/>
      <c r="C197" s="44"/>
      <c r="D197" s="44"/>
      <c r="E197" s="44"/>
      <c r="F197" s="44"/>
      <c r="G197" s="44"/>
      <c r="H197" s="44"/>
      <c r="I197" s="44"/>
      <c r="J197" s="44"/>
      <c r="K197" s="44"/>
      <c r="L197" s="49"/>
      <c r="M197" s="48"/>
      <c r="N197" s="48"/>
      <c r="O197" s="48"/>
      <c r="P197" s="48"/>
      <c r="Q197" s="48"/>
      <c r="R197" s="48"/>
      <c r="S197" s="49"/>
      <c r="T197" s="48"/>
      <c r="U197" s="48"/>
      <c r="V197" s="14">
        <f t="shared" si="18"/>
        <v>0</v>
      </c>
      <c r="W197" s="14">
        <f t="shared" si="19"/>
        <v>0</v>
      </c>
      <c r="X197" s="14">
        <f>IF(AND(V197=1,OR(Painel!$C$6="Todos",D197=Painel!$C$6),AND(OR(Painel!$L$6="Todas",E197=Painel!$L$6),OR(Painel!$C$8="Todos",F197=Painel!$C$8),OR(Painel!$L$8="Todos",G197=Painel!$L$8),OR(Painel!$C$10="",ISNUMBER(SEARCH(SUBSTITUTE(SUBSTITUTE(SUBSTITUTE(Painel!$C$10,"~","~~"),"*","~*"),"?","~?"),A197&amp;" "&amp;H197&amp;" "&amp;I197))))),1,0)</f>
        <v>0</v>
      </c>
      <c r="Y197" s="14">
        <f t="shared" si="20"/>
        <v>0</v>
      </c>
      <c r="Z197" s="15" t="str">
        <f>IF(V197=0,"",IF(COUNTIFS(Andamentos!$K$10:$K$2009,"="&amp;SUBSTITUTE(SUBSTITUTE(SUBSTITUTE("P:"&amp;A197,"~","~~"),"*","~*"),"?","~?"),Andamentos!$G$10:$G$2009,1)=0,"",_xlfn.AGGREGATE(14,6,Andamentos!$D$10:$D$2009/((Andamentos!$K$10:$K$2009=AS197)*(Andamentos!$G$10:$G$2009=1)),1)))</f>
        <v/>
      </c>
      <c r="AA197" s="14">
        <f>IF(Z197="",0,COUNTIFS(Andamentos!$K$10:$K$2009,"="&amp;SUBSTITUTE(SUBSTITUTE(SUBSTITUTE("P:"&amp;A197,"~","~~"),"*","~*"),"?","~?"),Andamentos!$D$10:$D$2009,Z197,Andamentos!$G$10:$G$2009,1))</f>
        <v>0</v>
      </c>
      <c r="AB197" s="14">
        <f>IF(AA197=1,SUMIFS(Andamentos!$L$10:$L$2009,Andamentos!$K$10:$K$2009,"="&amp;SUBSTITUTE(SUBSTITUTE(SUBSTITUTE(AS197,"~","~~"),"*","~*"),"?","~?"),Andamentos!$D$10:$D$2009,Z197,Andamentos!$G$10:$G$2009,1)-9,0)</f>
        <v>0</v>
      </c>
      <c r="AC197" s="14" t="str">
        <f>IF(V197=0,"",IF(AA197&gt;1,"Conferir recebimentos empatados",IF(AB197=0,"Sem atualização",INDEX(Andamentos!$C$10:$C$2009,AB197))))</f>
        <v/>
      </c>
      <c r="AD197" s="14">
        <f>IF(W197=0,0,IF(MAX(Z197,BD197)=0,1,IF(Configurar!$J$12-INT(MAX(Z197,BD197))&gt;Configurar!$J$11,1,0)))</f>
        <v>0</v>
      </c>
      <c r="AE197" s="16"/>
      <c r="AF197" s="14"/>
      <c r="AG197" s="14"/>
      <c r="AH197" s="14">
        <f>IF(AND(V197=1,COUNTIFS(Valores!$S$10:$S$509,"="&amp;SUBSTITUTE(SUBSTITUTE(SUBSTITUTE("P:"&amp;A197,"~","~~"),"*","~*"),"?","~?"))=1),(IF(ISNA(MATCH(SUBSTITUTE(SUBSTITUTE(SUBSTITUTE("P:"&amp;A197,"~","~~"),"*","~*"),"?","~?"),Valores!$S$10:$S$509,0)),9,INDEX(Valores!$R$10:$R$509,MATCH(SUBSTITUTE(SUBSTITUTE(SUBSTITUTE("P:"&amp;A197,"~","~~"),"*","~*"),"?","~?"),Valores!$S$10:$S$509,0)))-9),0)</f>
        <v>0</v>
      </c>
      <c r="AI197" s="40" t="str">
        <f t="shared" si="21"/>
        <v/>
      </c>
      <c r="AJ197" s="14" t="str">
        <f>IF(AND(X197=1,Y197=1),COUNTIFS($X$10:X197,1,$Y$10:Y197,1),"")</f>
        <v/>
      </c>
      <c r="AK197" s="14" t="str">
        <f>IF(X197=1,COUNTIFS($X$10:X197,1),"")</f>
        <v/>
      </c>
      <c r="AL197" s="14">
        <f>IF(AND(V197=1,AND(OR(Painel!$L$6="Todas",E197=Painel!$L$6),OR(Painel!$C$8="Todos",F197=Painel!$C$8),OR(Painel!$L$8="Todos",G197=Painel!$L$8),OR(Painel!$C$10="",ISNUMBER(SEARCH(SUBSTITUTE(SUBSTITUTE(SUBSTITUTE(Painel!$C$10,"~","~~"),"*","~*"),"?","~?"),A197&amp;" "&amp;H197&amp;" "&amp;I197))))),1,0)</f>
        <v>0</v>
      </c>
      <c r="AM197" s="14">
        <f t="shared" si="22"/>
        <v>0</v>
      </c>
      <c r="AN197" s="14"/>
      <c r="AO197" s="14"/>
      <c r="AP197" s="16" t="str">
        <f>IF(AB197=0,"",IF(INDEX(Andamentos!$B$10:$B$2009,AB197)="","",INDEX(Andamentos!$B$10:$B$2009,AB197)))</f>
        <v/>
      </c>
      <c r="AQ197" s="17" t="str">
        <f>IF(AH197=0,"",IF(INDEX(Valores!$B$10:$B$509,AH197)="","",IF(ISNUMBER(INDEX(Valores!$B$10:$B$509,AH197)),INDEX(Valores!$B$10:$B$509,AH197),"")))</f>
        <v/>
      </c>
      <c r="AR197" s="14" t="str">
        <f t="shared" si="23"/>
        <v/>
      </c>
      <c r="AS197" s="14" t="str">
        <f t="shared" si="24"/>
        <v/>
      </c>
      <c r="AT197" s="27"/>
      <c r="AU197" s="31"/>
      <c r="AV197" s="31"/>
      <c r="AW197" s="27"/>
      <c r="AX197" s="27"/>
      <c r="AY197" s="27"/>
      <c r="AZ197" s="27"/>
      <c r="BA197" s="30" t="str">
        <f t="shared" si="25"/>
        <v/>
      </c>
      <c r="BB197" s="30" t="str">
        <f t="shared" si="26"/>
        <v/>
      </c>
      <c r="BC197" s="30">
        <f>IF(X197=0,0,IF(COUNTIFS($X$10:X197,1,$BA$10:BA197,BA197)=1,1,0))</f>
        <v>0</v>
      </c>
      <c r="BD197" s="29"/>
    </row>
    <row r="198" spans="1:56" ht="42" customHeight="1">
      <c r="A198" s="41"/>
      <c r="B198" s="44"/>
      <c r="C198" s="44"/>
      <c r="D198" s="44"/>
      <c r="E198" s="44"/>
      <c r="F198" s="44"/>
      <c r="G198" s="44"/>
      <c r="H198" s="44"/>
      <c r="I198" s="44"/>
      <c r="J198" s="44"/>
      <c r="K198" s="44"/>
      <c r="L198" s="49"/>
      <c r="M198" s="48"/>
      <c r="N198" s="48"/>
      <c r="O198" s="48"/>
      <c r="P198" s="48"/>
      <c r="Q198" s="48"/>
      <c r="R198" s="48"/>
      <c r="S198" s="49"/>
      <c r="T198" s="48"/>
      <c r="U198" s="48"/>
      <c r="V198" s="14">
        <f t="shared" si="18"/>
        <v>0</v>
      </c>
      <c r="W198" s="14">
        <f t="shared" si="19"/>
        <v>0</v>
      </c>
      <c r="X198" s="14">
        <f>IF(AND(V198=1,OR(Painel!$C$6="Todos",D198=Painel!$C$6),AND(OR(Painel!$L$6="Todas",E198=Painel!$L$6),OR(Painel!$C$8="Todos",F198=Painel!$C$8),OR(Painel!$L$8="Todos",G198=Painel!$L$8),OR(Painel!$C$10="",ISNUMBER(SEARCH(SUBSTITUTE(SUBSTITUTE(SUBSTITUTE(Painel!$C$10,"~","~~"),"*","~*"),"?","~?"),A198&amp;" "&amp;H198&amp;" "&amp;I198))))),1,0)</f>
        <v>0</v>
      </c>
      <c r="Y198" s="14">
        <f t="shared" si="20"/>
        <v>0</v>
      </c>
      <c r="Z198" s="15" t="str">
        <f>IF(V198=0,"",IF(COUNTIFS(Andamentos!$K$10:$K$2009,"="&amp;SUBSTITUTE(SUBSTITUTE(SUBSTITUTE("P:"&amp;A198,"~","~~"),"*","~*"),"?","~?"),Andamentos!$G$10:$G$2009,1)=0,"",_xlfn.AGGREGATE(14,6,Andamentos!$D$10:$D$2009/((Andamentos!$K$10:$K$2009=AS198)*(Andamentos!$G$10:$G$2009=1)),1)))</f>
        <v/>
      </c>
      <c r="AA198" s="14">
        <f>IF(Z198="",0,COUNTIFS(Andamentos!$K$10:$K$2009,"="&amp;SUBSTITUTE(SUBSTITUTE(SUBSTITUTE("P:"&amp;A198,"~","~~"),"*","~*"),"?","~?"),Andamentos!$D$10:$D$2009,Z198,Andamentos!$G$10:$G$2009,1))</f>
        <v>0</v>
      </c>
      <c r="AB198" s="14">
        <f>IF(AA198=1,SUMIFS(Andamentos!$L$10:$L$2009,Andamentos!$K$10:$K$2009,"="&amp;SUBSTITUTE(SUBSTITUTE(SUBSTITUTE(AS198,"~","~~"),"*","~*"),"?","~?"),Andamentos!$D$10:$D$2009,Z198,Andamentos!$G$10:$G$2009,1)-9,0)</f>
        <v>0</v>
      </c>
      <c r="AC198" s="14" t="str">
        <f>IF(V198=0,"",IF(AA198&gt;1,"Conferir recebimentos empatados",IF(AB198=0,"Sem atualização",INDEX(Andamentos!$C$10:$C$2009,AB198))))</f>
        <v/>
      </c>
      <c r="AD198" s="14">
        <f>IF(W198=0,0,IF(MAX(Z198,BD198)=0,1,IF(Configurar!$J$12-INT(MAX(Z198,BD198))&gt;Configurar!$J$11,1,0)))</f>
        <v>0</v>
      </c>
      <c r="AE198" s="16"/>
      <c r="AF198" s="14"/>
      <c r="AG198" s="14"/>
      <c r="AH198" s="14">
        <f>IF(AND(V198=1,COUNTIFS(Valores!$S$10:$S$509,"="&amp;SUBSTITUTE(SUBSTITUTE(SUBSTITUTE("P:"&amp;A198,"~","~~"),"*","~*"),"?","~?"))=1),(IF(ISNA(MATCH(SUBSTITUTE(SUBSTITUTE(SUBSTITUTE("P:"&amp;A198,"~","~~"),"*","~*"),"?","~?"),Valores!$S$10:$S$509,0)),9,INDEX(Valores!$R$10:$R$509,MATCH(SUBSTITUTE(SUBSTITUTE(SUBSTITUTE("P:"&amp;A198,"~","~~"),"*","~*"),"?","~?"),Valores!$S$10:$S$509,0)))-9),0)</f>
        <v>0</v>
      </c>
      <c r="AI198" s="40" t="str">
        <f t="shared" si="21"/>
        <v/>
      </c>
      <c r="AJ198" s="14" t="str">
        <f>IF(AND(X198=1,Y198=1),COUNTIFS($X$10:X198,1,$Y$10:Y198,1),"")</f>
        <v/>
      </c>
      <c r="AK198" s="14" t="str">
        <f>IF(X198=1,COUNTIFS($X$10:X198,1),"")</f>
        <v/>
      </c>
      <c r="AL198" s="14">
        <f>IF(AND(V198=1,AND(OR(Painel!$L$6="Todas",E198=Painel!$L$6),OR(Painel!$C$8="Todos",F198=Painel!$C$8),OR(Painel!$L$8="Todos",G198=Painel!$L$8),OR(Painel!$C$10="",ISNUMBER(SEARCH(SUBSTITUTE(SUBSTITUTE(SUBSTITUTE(Painel!$C$10,"~","~~"),"*","~*"),"?","~?"),A198&amp;" "&amp;H198&amp;" "&amp;I198))))),1,0)</f>
        <v>0</v>
      </c>
      <c r="AM198" s="14">
        <f t="shared" si="22"/>
        <v>0</v>
      </c>
      <c r="AN198" s="14"/>
      <c r="AO198" s="14"/>
      <c r="AP198" s="16" t="str">
        <f>IF(AB198=0,"",IF(INDEX(Andamentos!$B$10:$B$2009,AB198)="","",INDEX(Andamentos!$B$10:$B$2009,AB198)))</f>
        <v/>
      </c>
      <c r="AQ198" s="17" t="str">
        <f>IF(AH198=0,"",IF(INDEX(Valores!$B$10:$B$509,AH198)="","",IF(ISNUMBER(INDEX(Valores!$B$10:$B$509,AH198)),INDEX(Valores!$B$10:$B$509,AH198),"")))</f>
        <v/>
      </c>
      <c r="AR198" s="14" t="str">
        <f t="shared" si="23"/>
        <v/>
      </c>
      <c r="AS198" s="14" t="str">
        <f t="shared" si="24"/>
        <v/>
      </c>
      <c r="AT198" s="27"/>
      <c r="AU198" s="31"/>
      <c r="AV198" s="31"/>
      <c r="AW198" s="27"/>
      <c r="AX198" s="27"/>
      <c r="AY198" s="27"/>
      <c r="AZ198" s="27"/>
      <c r="BA198" s="30" t="str">
        <f t="shared" si="25"/>
        <v/>
      </c>
      <c r="BB198" s="30" t="str">
        <f t="shared" si="26"/>
        <v/>
      </c>
      <c r="BC198" s="30">
        <f>IF(X198=0,0,IF(COUNTIFS($X$10:X198,1,$BA$10:BA198,BA198)=1,1,0))</f>
        <v>0</v>
      </c>
      <c r="BD198" s="29"/>
    </row>
    <row r="199" spans="1:56" ht="42" customHeight="1">
      <c r="A199" s="41"/>
      <c r="B199" s="44"/>
      <c r="C199" s="44"/>
      <c r="D199" s="44"/>
      <c r="E199" s="44"/>
      <c r="F199" s="44"/>
      <c r="G199" s="44"/>
      <c r="H199" s="44"/>
      <c r="I199" s="44"/>
      <c r="J199" s="44"/>
      <c r="K199" s="44"/>
      <c r="L199" s="49"/>
      <c r="M199" s="48"/>
      <c r="N199" s="48"/>
      <c r="O199" s="48"/>
      <c r="P199" s="48"/>
      <c r="Q199" s="48"/>
      <c r="R199" s="48"/>
      <c r="S199" s="49"/>
      <c r="T199" s="48"/>
      <c r="U199" s="48"/>
      <c r="V199" s="14">
        <f t="shared" si="18"/>
        <v>0</v>
      </c>
      <c r="W199" s="14">
        <f t="shared" si="19"/>
        <v>0</v>
      </c>
      <c r="X199" s="14">
        <f>IF(AND(V199=1,OR(Painel!$C$6="Todos",D199=Painel!$C$6),AND(OR(Painel!$L$6="Todas",E199=Painel!$L$6),OR(Painel!$C$8="Todos",F199=Painel!$C$8),OR(Painel!$L$8="Todos",G199=Painel!$L$8),OR(Painel!$C$10="",ISNUMBER(SEARCH(SUBSTITUTE(SUBSTITUTE(SUBSTITUTE(Painel!$C$10,"~","~~"),"*","~*"),"?","~?"),A199&amp;" "&amp;H199&amp;" "&amp;I199))))),1,0)</f>
        <v>0</v>
      </c>
      <c r="Y199" s="14">
        <f t="shared" si="20"/>
        <v>0</v>
      </c>
      <c r="Z199" s="15" t="str">
        <f>IF(V199=0,"",IF(COUNTIFS(Andamentos!$K$10:$K$2009,"="&amp;SUBSTITUTE(SUBSTITUTE(SUBSTITUTE("P:"&amp;A199,"~","~~"),"*","~*"),"?","~?"),Andamentos!$G$10:$G$2009,1)=0,"",_xlfn.AGGREGATE(14,6,Andamentos!$D$10:$D$2009/((Andamentos!$K$10:$K$2009=AS199)*(Andamentos!$G$10:$G$2009=1)),1)))</f>
        <v/>
      </c>
      <c r="AA199" s="14">
        <f>IF(Z199="",0,COUNTIFS(Andamentos!$K$10:$K$2009,"="&amp;SUBSTITUTE(SUBSTITUTE(SUBSTITUTE("P:"&amp;A199,"~","~~"),"*","~*"),"?","~?"),Andamentos!$D$10:$D$2009,Z199,Andamentos!$G$10:$G$2009,1))</f>
        <v>0</v>
      </c>
      <c r="AB199" s="14">
        <f>IF(AA199=1,SUMIFS(Andamentos!$L$10:$L$2009,Andamentos!$K$10:$K$2009,"="&amp;SUBSTITUTE(SUBSTITUTE(SUBSTITUTE(AS199,"~","~~"),"*","~*"),"?","~?"),Andamentos!$D$10:$D$2009,Z199,Andamentos!$G$10:$G$2009,1)-9,0)</f>
        <v>0</v>
      </c>
      <c r="AC199" s="14" t="str">
        <f>IF(V199=0,"",IF(AA199&gt;1,"Conferir recebimentos empatados",IF(AB199=0,"Sem atualização",INDEX(Andamentos!$C$10:$C$2009,AB199))))</f>
        <v/>
      </c>
      <c r="AD199" s="14">
        <f>IF(W199=0,0,IF(MAX(Z199,BD199)=0,1,IF(Configurar!$J$12-INT(MAX(Z199,BD199))&gt;Configurar!$J$11,1,0)))</f>
        <v>0</v>
      </c>
      <c r="AE199" s="16"/>
      <c r="AF199" s="14"/>
      <c r="AG199" s="14"/>
      <c r="AH199" s="14">
        <f>IF(AND(V199=1,COUNTIFS(Valores!$S$10:$S$509,"="&amp;SUBSTITUTE(SUBSTITUTE(SUBSTITUTE("P:"&amp;A199,"~","~~"),"*","~*"),"?","~?"))=1),(IF(ISNA(MATCH(SUBSTITUTE(SUBSTITUTE(SUBSTITUTE("P:"&amp;A199,"~","~~"),"*","~*"),"?","~?"),Valores!$S$10:$S$509,0)),9,INDEX(Valores!$R$10:$R$509,MATCH(SUBSTITUTE(SUBSTITUTE(SUBSTITUTE("P:"&amp;A199,"~","~~"),"*","~*"),"?","~?"),Valores!$S$10:$S$509,0)))-9),0)</f>
        <v>0</v>
      </c>
      <c r="AI199" s="40" t="str">
        <f t="shared" si="21"/>
        <v/>
      </c>
      <c r="AJ199" s="14" t="str">
        <f>IF(AND(X199=1,Y199=1),COUNTIFS($X$10:X199,1,$Y$10:Y199,1),"")</f>
        <v/>
      </c>
      <c r="AK199" s="14" t="str">
        <f>IF(X199=1,COUNTIFS($X$10:X199,1),"")</f>
        <v/>
      </c>
      <c r="AL199" s="14">
        <f>IF(AND(V199=1,AND(OR(Painel!$L$6="Todas",E199=Painel!$L$6),OR(Painel!$C$8="Todos",F199=Painel!$C$8),OR(Painel!$L$8="Todos",G199=Painel!$L$8),OR(Painel!$C$10="",ISNUMBER(SEARCH(SUBSTITUTE(SUBSTITUTE(SUBSTITUTE(Painel!$C$10,"~","~~"),"*","~*"),"?","~?"),A199&amp;" "&amp;H199&amp;" "&amp;I199))))),1,0)</f>
        <v>0</v>
      </c>
      <c r="AM199" s="14">
        <f t="shared" si="22"/>
        <v>0</v>
      </c>
      <c r="AN199" s="14"/>
      <c r="AO199" s="14"/>
      <c r="AP199" s="16" t="str">
        <f>IF(AB199=0,"",IF(INDEX(Andamentos!$B$10:$B$2009,AB199)="","",INDEX(Andamentos!$B$10:$B$2009,AB199)))</f>
        <v/>
      </c>
      <c r="AQ199" s="17" t="str">
        <f>IF(AH199=0,"",IF(INDEX(Valores!$B$10:$B$509,AH199)="","",IF(ISNUMBER(INDEX(Valores!$B$10:$B$509,AH199)),INDEX(Valores!$B$10:$B$509,AH199),"")))</f>
        <v/>
      </c>
      <c r="AR199" s="14" t="str">
        <f t="shared" si="23"/>
        <v/>
      </c>
      <c r="AS199" s="14" t="str">
        <f t="shared" si="24"/>
        <v/>
      </c>
      <c r="AT199" s="27"/>
      <c r="AU199" s="31"/>
      <c r="AV199" s="31"/>
      <c r="AW199" s="27"/>
      <c r="AX199" s="27"/>
      <c r="AY199" s="27"/>
      <c r="AZ199" s="27"/>
      <c r="BA199" s="30" t="str">
        <f t="shared" si="25"/>
        <v/>
      </c>
      <c r="BB199" s="30" t="str">
        <f t="shared" si="26"/>
        <v/>
      </c>
      <c r="BC199" s="30">
        <f>IF(X199=0,0,IF(COUNTIFS($X$10:X199,1,$BA$10:BA199,BA199)=1,1,0))</f>
        <v>0</v>
      </c>
      <c r="BD199" s="29"/>
    </row>
    <row r="200" spans="1:56" ht="42" customHeight="1">
      <c r="A200" s="41"/>
      <c r="B200" s="44"/>
      <c r="C200" s="44"/>
      <c r="D200" s="44"/>
      <c r="E200" s="44"/>
      <c r="F200" s="44"/>
      <c r="G200" s="44"/>
      <c r="H200" s="44"/>
      <c r="I200" s="44"/>
      <c r="J200" s="44"/>
      <c r="K200" s="44"/>
      <c r="L200" s="49"/>
      <c r="M200" s="48"/>
      <c r="N200" s="48"/>
      <c r="O200" s="48"/>
      <c r="P200" s="48"/>
      <c r="Q200" s="48"/>
      <c r="R200" s="48"/>
      <c r="S200" s="49"/>
      <c r="T200" s="48"/>
      <c r="U200" s="48"/>
      <c r="V200" s="14">
        <f t="shared" si="18"/>
        <v>0</v>
      </c>
      <c r="W200" s="14">
        <f t="shared" si="19"/>
        <v>0</v>
      </c>
      <c r="X200" s="14">
        <f>IF(AND(V200=1,OR(Painel!$C$6="Todos",D200=Painel!$C$6),AND(OR(Painel!$L$6="Todas",E200=Painel!$L$6),OR(Painel!$C$8="Todos",F200=Painel!$C$8),OR(Painel!$L$8="Todos",G200=Painel!$L$8),OR(Painel!$C$10="",ISNUMBER(SEARCH(SUBSTITUTE(SUBSTITUTE(SUBSTITUTE(Painel!$C$10,"~","~~"),"*","~*"),"?","~?"),A200&amp;" "&amp;H200&amp;" "&amp;I200))))),1,0)</f>
        <v>0</v>
      </c>
      <c r="Y200" s="14">
        <f t="shared" si="20"/>
        <v>0</v>
      </c>
      <c r="Z200" s="15" t="str">
        <f>IF(V200=0,"",IF(COUNTIFS(Andamentos!$K$10:$K$2009,"="&amp;SUBSTITUTE(SUBSTITUTE(SUBSTITUTE("P:"&amp;A200,"~","~~"),"*","~*"),"?","~?"),Andamentos!$G$10:$G$2009,1)=0,"",_xlfn.AGGREGATE(14,6,Andamentos!$D$10:$D$2009/((Andamentos!$K$10:$K$2009=AS200)*(Andamentos!$G$10:$G$2009=1)),1)))</f>
        <v/>
      </c>
      <c r="AA200" s="14">
        <f>IF(Z200="",0,COUNTIFS(Andamentos!$K$10:$K$2009,"="&amp;SUBSTITUTE(SUBSTITUTE(SUBSTITUTE("P:"&amp;A200,"~","~~"),"*","~*"),"?","~?"),Andamentos!$D$10:$D$2009,Z200,Andamentos!$G$10:$G$2009,1))</f>
        <v>0</v>
      </c>
      <c r="AB200" s="14">
        <f>IF(AA200=1,SUMIFS(Andamentos!$L$10:$L$2009,Andamentos!$K$10:$K$2009,"="&amp;SUBSTITUTE(SUBSTITUTE(SUBSTITUTE(AS200,"~","~~"),"*","~*"),"?","~?"),Andamentos!$D$10:$D$2009,Z200,Andamentos!$G$10:$G$2009,1)-9,0)</f>
        <v>0</v>
      </c>
      <c r="AC200" s="14" t="str">
        <f>IF(V200=0,"",IF(AA200&gt;1,"Conferir recebimentos empatados",IF(AB200=0,"Sem atualização",INDEX(Andamentos!$C$10:$C$2009,AB200))))</f>
        <v/>
      </c>
      <c r="AD200" s="14">
        <f>IF(W200=0,0,IF(MAX(Z200,BD200)=0,1,IF(Configurar!$J$12-INT(MAX(Z200,BD200))&gt;Configurar!$J$11,1,0)))</f>
        <v>0</v>
      </c>
      <c r="AE200" s="16"/>
      <c r="AF200" s="14"/>
      <c r="AG200" s="14"/>
      <c r="AH200" s="14">
        <f>IF(AND(V200=1,COUNTIFS(Valores!$S$10:$S$509,"="&amp;SUBSTITUTE(SUBSTITUTE(SUBSTITUTE("P:"&amp;A200,"~","~~"),"*","~*"),"?","~?"))=1),(IF(ISNA(MATCH(SUBSTITUTE(SUBSTITUTE(SUBSTITUTE("P:"&amp;A200,"~","~~"),"*","~*"),"?","~?"),Valores!$S$10:$S$509,0)),9,INDEX(Valores!$R$10:$R$509,MATCH(SUBSTITUTE(SUBSTITUTE(SUBSTITUTE("P:"&amp;A200,"~","~~"),"*","~*"),"?","~?"),Valores!$S$10:$S$509,0)))-9),0)</f>
        <v>0</v>
      </c>
      <c r="AI200" s="40" t="str">
        <f t="shared" si="21"/>
        <v/>
      </c>
      <c r="AJ200" s="14" t="str">
        <f>IF(AND(X200=1,Y200=1),COUNTIFS($X$10:X200,1,$Y$10:Y200,1),"")</f>
        <v/>
      </c>
      <c r="AK200" s="14" t="str">
        <f>IF(X200=1,COUNTIFS($X$10:X200,1),"")</f>
        <v/>
      </c>
      <c r="AL200" s="14">
        <f>IF(AND(V200=1,AND(OR(Painel!$L$6="Todas",E200=Painel!$L$6),OR(Painel!$C$8="Todos",F200=Painel!$C$8),OR(Painel!$L$8="Todos",G200=Painel!$L$8),OR(Painel!$C$10="",ISNUMBER(SEARCH(SUBSTITUTE(SUBSTITUTE(SUBSTITUTE(Painel!$C$10,"~","~~"),"*","~*"),"?","~?"),A200&amp;" "&amp;H200&amp;" "&amp;I200))))),1,0)</f>
        <v>0</v>
      </c>
      <c r="AM200" s="14">
        <f t="shared" si="22"/>
        <v>0</v>
      </c>
      <c r="AN200" s="14"/>
      <c r="AO200" s="14"/>
      <c r="AP200" s="16" t="str">
        <f>IF(AB200=0,"",IF(INDEX(Andamentos!$B$10:$B$2009,AB200)="","",INDEX(Andamentos!$B$10:$B$2009,AB200)))</f>
        <v/>
      </c>
      <c r="AQ200" s="17" t="str">
        <f>IF(AH200=0,"",IF(INDEX(Valores!$B$10:$B$509,AH200)="","",IF(ISNUMBER(INDEX(Valores!$B$10:$B$509,AH200)),INDEX(Valores!$B$10:$B$509,AH200),"")))</f>
        <v/>
      </c>
      <c r="AR200" s="14" t="str">
        <f t="shared" si="23"/>
        <v/>
      </c>
      <c r="AS200" s="14" t="str">
        <f t="shared" si="24"/>
        <v/>
      </c>
      <c r="AT200" s="27"/>
      <c r="AU200" s="31"/>
      <c r="AV200" s="31"/>
      <c r="AW200" s="27"/>
      <c r="AX200" s="27"/>
      <c r="AY200" s="27"/>
      <c r="AZ200" s="27"/>
      <c r="BA200" s="30" t="str">
        <f t="shared" si="25"/>
        <v/>
      </c>
      <c r="BB200" s="30" t="str">
        <f t="shared" si="26"/>
        <v/>
      </c>
      <c r="BC200" s="30">
        <f>IF(X200=0,0,IF(COUNTIFS($X$10:X200,1,$BA$10:BA200,BA200)=1,1,0))</f>
        <v>0</v>
      </c>
      <c r="BD200" s="29"/>
    </row>
    <row r="201" spans="1:56" ht="42" customHeight="1">
      <c r="A201" s="41"/>
      <c r="B201" s="44"/>
      <c r="C201" s="44"/>
      <c r="D201" s="44"/>
      <c r="E201" s="44"/>
      <c r="F201" s="44"/>
      <c r="G201" s="44"/>
      <c r="H201" s="44"/>
      <c r="I201" s="44"/>
      <c r="J201" s="44"/>
      <c r="K201" s="44"/>
      <c r="L201" s="49"/>
      <c r="M201" s="48"/>
      <c r="N201" s="48"/>
      <c r="O201" s="48"/>
      <c r="P201" s="48"/>
      <c r="Q201" s="48"/>
      <c r="R201" s="48"/>
      <c r="S201" s="49"/>
      <c r="T201" s="48"/>
      <c r="U201" s="48"/>
      <c r="V201" s="14">
        <f t="shared" si="18"/>
        <v>0</v>
      </c>
      <c r="W201" s="14">
        <f t="shared" si="19"/>
        <v>0</v>
      </c>
      <c r="X201" s="14">
        <f>IF(AND(V201=1,OR(Painel!$C$6="Todos",D201=Painel!$C$6),AND(OR(Painel!$L$6="Todas",E201=Painel!$L$6),OR(Painel!$C$8="Todos",F201=Painel!$C$8),OR(Painel!$L$8="Todos",G201=Painel!$L$8),OR(Painel!$C$10="",ISNUMBER(SEARCH(SUBSTITUTE(SUBSTITUTE(SUBSTITUTE(Painel!$C$10,"~","~~"),"*","~*"),"?","~?"),A201&amp;" "&amp;H201&amp;" "&amp;I201))))),1,0)</f>
        <v>0</v>
      </c>
      <c r="Y201" s="14">
        <f t="shared" si="20"/>
        <v>0</v>
      </c>
      <c r="Z201" s="15" t="str">
        <f>IF(V201=0,"",IF(COUNTIFS(Andamentos!$K$10:$K$2009,"="&amp;SUBSTITUTE(SUBSTITUTE(SUBSTITUTE("P:"&amp;A201,"~","~~"),"*","~*"),"?","~?"),Andamentos!$G$10:$G$2009,1)=0,"",_xlfn.AGGREGATE(14,6,Andamentos!$D$10:$D$2009/((Andamentos!$K$10:$K$2009=AS201)*(Andamentos!$G$10:$G$2009=1)),1)))</f>
        <v/>
      </c>
      <c r="AA201" s="14">
        <f>IF(Z201="",0,COUNTIFS(Andamentos!$K$10:$K$2009,"="&amp;SUBSTITUTE(SUBSTITUTE(SUBSTITUTE("P:"&amp;A201,"~","~~"),"*","~*"),"?","~?"),Andamentos!$D$10:$D$2009,Z201,Andamentos!$G$10:$G$2009,1))</f>
        <v>0</v>
      </c>
      <c r="AB201" s="14">
        <f>IF(AA201=1,SUMIFS(Andamentos!$L$10:$L$2009,Andamentos!$K$10:$K$2009,"="&amp;SUBSTITUTE(SUBSTITUTE(SUBSTITUTE(AS201,"~","~~"),"*","~*"),"?","~?"),Andamentos!$D$10:$D$2009,Z201,Andamentos!$G$10:$G$2009,1)-9,0)</f>
        <v>0</v>
      </c>
      <c r="AC201" s="14" t="str">
        <f>IF(V201=0,"",IF(AA201&gt;1,"Conferir recebimentos empatados",IF(AB201=0,"Sem atualização",INDEX(Andamentos!$C$10:$C$2009,AB201))))</f>
        <v/>
      </c>
      <c r="AD201" s="14">
        <f>IF(W201=0,0,IF(MAX(Z201,BD201)=0,1,IF(Configurar!$J$12-INT(MAX(Z201,BD201))&gt;Configurar!$J$11,1,0)))</f>
        <v>0</v>
      </c>
      <c r="AE201" s="16"/>
      <c r="AF201" s="14"/>
      <c r="AG201" s="14"/>
      <c r="AH201" s="14">
        <f>IF(AND(V201=1,COUNTIFS(Valores!$S$10:$S$509,"="&amp;SUBSTITUTE(SUBSTITUTE(SUBSTITUTE("P:"&amp;A201,"~","~~"),"*","~*"),"?","~?"))=1),(IF(ISNA(MATCH(SUBSTITUTE(SUBSTITUTE(SUBSTITUTE("P:"&amp;A201,"~","~~"),"*","~*"),"?","~?"),Valores!$S$10:$S$509,0)),9,INDEX(Valores!$R$10:$R$509,MATCH(SUBSTITUTE(SUBSTITUTE(SUBSTITUTE("P:"&amp;A201,"~","~~"),"*","~*"),"?","~?"),Valores!$S$10:$S$509,0)))-9),0)</f>
        <v>0</v>
      </c>
      <c r="AI201" s="40" t="str">
        <f t="shared" si="21"/>
        <v/>
      </c>
      <c r="AJ201" s="14" t="str">
        <f>IF(AND(X201=1,Y201=1),COUNTIFS($X$10:X201,1,$Y$10:Y201,1),"")</f>
        <v/>
      </c>
      <c r="AK201" s="14" t="str">
        <f>IF(X201=1,COUNTIFS($X$10:X201,1),"")</f>
        <v/>
      </c>
      <c r="AL201" s="14">
        <f>IF(AND(V201=1,AND(OR(Painel!$L$6="Todas",E201=Painel!$L$6),OR(Painel!$C$8="Todos",F201=Painel!$C$8),OR(Painel!$L$8="Todos",G201=Painel!$L$8),OR(Painel!$C$10="",ISNUMBER(SEARCH(SUBSTITUTE(SUBSTITUTE(SUBSTITUTE(Painel!$C$10,"~","~~"),"*","~*"),"?","~?"),A201&amp;" "&amp;H201&amp;" "&amp;I201))))),1,0)</f>
        <v>0</v>
      </c>
      <c r="AM201" s="14">
        <f t="shared" si="22"/>
        <v>0</v>
      </c>
      <c r="AN201" s="14"/>
      <c r="AO201" s="14"/>
      <c r="AP201" s="16" t="str">
        <f>IF(AB201=0,"",IF(INDEX(Andamentos!$B$10:$B$2009,AB201)="","",INDEX(Andamentos!$B$10:$B$2009,AB201)))</f>
        <v/>
      </c>
      <c r="AQ201" s="17" t="str">
        <f>IF(AH201=0,"",IF(INDEX(Valores!$B$10:$B$509,AH201)="","",IF(ISNUMBER(INDEX(Valores!$B$10:$B$509,AH201)),INDEX(Valores!$B$10:$B$509,AH201),"")))</f>
        <v/>
      </c>
      <c r="AR201" s="14" t="str">
        <f t="shared" si="23"/>
        <v/>
      </c>
      <c r="AS201" s="14" t="str">
        <f t="shared" si="24"/>
        <v/>
      </c>
      <c r="AT201" s="27"/>
      <c r="AU201" s="31"/>
      <c r="AV201" s="31"/>
      <c r="AW201" s="27"/>
      <c r="AX201" s="27"/>
      <c r="AY201" s="27"/>
      <c r="AZ201" s="27"/>
      <c r="BA201" s="30" t="str">
        <f t="shared" si="25"/>
        <v/>
      </c>
      <c r="BB201" s="30" t="str">
        <f t="shared" si="26"/>
        <v/>
      </c>
      <c r="BC201" s="30">
        <f>IF(X201=0,0,IF(COUNTIFS($X$10:X201,1,$BA$10:BA201,BA201)=1,1,0))</f>
        <v>0</v>
      </c>
      <c r="BD201" s="29"/>
    </row>
    <row r="202" spans="1:56" ht="42" customHeight="1">
      <c r="A202" s="41"/>
      <c r="B202" s="44"/>
      <c r="C202" s="44"/>
      <c r="D202" s="44"/>
      <c r="E202" s="44"/>
      <c r="F202" s="44"/>
      <c r="G202" s="44"/>
      <c r="H202" s="44"/>
      <c r="I202" s="44"/>
      <c r="J202" s="44"/>
      <c r="K202" s="44"/>
      <c r="L202" s="49"/>
      <c r="M202" s="48"/>
      <c r="N202" s="48"/>
      <c r="O202" s="48"/>
      <c r="P202" s="48"/>
      <c r="Q202" s="48"/>
      <c r="R202" s="48"/>
      <c r="S202" s="49"/>
      <c r="T202" s="48"/>
      <c r="U202" s="48"/>
      <c r="V202" s="14">
        <f t="shared" ref="V202:V265" si="27">IF(AND(A202&lt;&gt;"",ISTEXT(A202),COUNTIFS($AS$10:$AS$509,"="&amp;SUBSTITUTE(SUBSTITUTE(SUBSTITUTE("P:"&amp;A202,"~","~~"),"*","~*"),"?","~?"))=1),1,0)</f>
        <v>0</v>
      </c>
      <c r="W202" s="14">
        <f t="shared" ref="W202:W265" si="28">IF(AND(V202=1,OR(C202="Ativo",C202="Suspenso")),1,0)</f>
        <v>0</v>
      </c>
      <c r="X202" s="14">
        <f>IF(AND(V202=1,OR(Painel!$C$6="Todos",D202=Painel!$C$6),AND(OR(Painel!$L$6="Todas",E202=Painel!$L$6),OR(Painel!$C$8="Todos",F202=Painel!$C$8),OR(Painel!$L$8="Todos",G202=Painel!$L$8),OR(Painel!$C$10="",ISNUMBER(SEARCH(SUBSTITUTE(SUBSTITUTE(SUBSTITUTE(Painel!$C$10,"~","~~"),"*","~*"),"?","~?"),A202&amp;" "&amp;H202&amp;" "&amp;I202))))),1,0)</f>
        <v>0</v>
      </c>
      <c r="Y202" s="14">
        <f t="shared" ref="Y202:Y265" si="29">IF(AND(W202=1,OR(N202="Crítica",O202="Sim",P202="Sim")),1,0)</f>
        <v>0</v>
      </c>
      <c r="Z202" s="15" t="str">
        <f>IF(V202=0,"",IF(COUNTIFS(Andamentos!$K$10:$K$2009,"="&amp;SUBSTITUTE(SUBSTITUTE(SUBSTITUTE("P:"&amp;A202,"~","~~"),"*","~*"),"?","~?"),Andamentos!$G$10:$G$2009,1)=0,"",_xlfn.AGGREGATE(14,6,Andamentos!$D$10:$D$2009/((Andamentos!$K$10:$K$2009=AS202)*(Andamentos!$G$10:$G$2009=1)),1)))</f>
        <v/>
      </c>
      <c r="AA202" s="14">
        <f>IF(Z202="",0,COUNTIFS(Andamentos!$K$10:$K$2009,"="&amp;SUBSTITUTE(SUBSTITUTE(SUBSTITUTE("P:"&amp;A202,"~","~~"),"*","~*"),"?","~?"),Andamentos!$D$10:$D$2009,Z202,Andamentos!$G$10:$G$2009,1))</f>
        <v>0</v>
      </c>
      <c r="AB202" s="14">
        <f>IF(AA202=1,SUMIFS(Andamentos!$L$10:$L$2009,Andamentos!$K$10:$K$2009,"="&amp;SUBSTITUTE(SUBSTITUTE(SUBSTITUTE(AS202,"~","~~"),"*","~*"),"?","~?"),Andamentos!$D$10:$D$2009,Z202,Andamentos!$G$10:$G$2009,1)-9,0)</f>
        <v>0</v>
      </c>
      <c r="AC202" s="14" t="str">
        <f>IF(V202=0,"",IF(AA202&gt;1,"Conferir recebimentos empatados",IF(AB202=0,"Sem atualização",INDEX(Andamentos!$C$10:$C$2009,AB202))))</f>
        <v/>
      </c>
      <c r="AD202" s="14">
        <f>IF(W202=0,0,IF(MAX(Z202,BD202)=0,1,IF(Configurar!$J$12-INT(MAX(Z202,BD202))&gt;Configurar!$J$11,1,0)))</f>
        <v>0</v>
      </c>
      <c r="AE202" s="16"/>
      <c r="AF202" s="14"/>
      <c r="AG202" s="14"/>
      <c r="AH202" s="14">
        <f>IF(AND(V202=1,COUNTIFS(Valores!$S$10:$S$509,"="&amp;SUBSTITUTE(SUBSTITUTE(SUBSTITUTE("P:"&amp;A202,"~","~~"),"*","~*"),"?","~?"))=1),(IF(ISNA(MATCH(SUBSTITUTE(SUBSTITUTE(SUBSTITUTE("P:"&amp;A202,"~","~~"),"*","~*"),"?","~?"),Valores!$S$10:$S$509,0)),9,INDEX(Valores!$R$10:$R$509,MATCH(SUBSTITUTE(SUBSTITUTE(SUBSTITUTE("P:"&amp;A202,"~","~~"),"*","~*"),"?","~?"),Valores!$S$10:$S$509,0)))-9),0)</f>
        <v>0</v>
      </c>
      <c r="AI202" s="40" t="str">
        <f t="shared" ref="AI202:AI265" si="30">IF(COUNTA(A202:U202)=0,"",IF(A202="","Preencha o número do processo",IF(NOT(ISTEXT(A202)),"Mantenha o número como texto",IF(V202=0,"Número duplicado: confira o identificador completo",IF(C202="","Informe a situação",IF(AND(C202&lt;&gt;"Ativo",C202&lt;&gt;"Suspenso",C202&lt;&gt;"Encerrado",C202&lt;&gt;"Arquivado"),"Escolha uma situação da lista",IF(D202="","Informe o escritório",IF(E202="","Informe a empresa responsável",IF(H202="","Informe a parte autora",IF(I202="","Informe a parte ré",IF(M202="","Inclua o resumo dos fatos",IF(AND(L202&lt;&gt;"",OR(NOT(ISNUMBER(L202)),L202&lt;1,L202&gt;100000)),"Revise a data de instauração",IF(AND(S202&lt;&gt;"",OR(NOT(ISNUMBER(S202)),S202&lt;1,S202&gt;100000)),"Revise a previsão de encerramento",IF(AND(OR(C202="Encerrado",C202="Arquivado"),OR(O202="Sim",P202="Sim")),"Reveja as restrições após o encerramento",""))))))))))))))</f>
        <v/>
      </c>
      <c r="AJ202" s="14" t="str">
        <f>IF(AND(X202=1,Y202=1),COUNTIFS($X$10:X202,1,$Y$10:Y202,1),"")</f>
        <v/>
      </c>
      <c r="AK202" s="14" t="str">
        <f>IF(X202=1,COUNTIFS($X$10:X202,1),"")</f>
        <v/>
      </c>
      <c r="AL202" s="14">
        <f>IF(AND(V202=1,AND(OR(Painel!$L$6="Todas",E202=Painel!$L$6),OR(Painel!$C$8="Todos",F202=Painel!$C$8),OR(Painel!$L$8="Todos",G202=Painel!$L$8),OR(Painel!$C$10="",ISNUMBER(SEARCH(SUBSTITUTE(SUBSTITUTE(SUBSTITUTE(Painel!$C$10,"~","~~"),"*","~*"),"?","~?"),A202&amp;" "&amp;H202&amp;" "&amp;I202))))),1,0)</f>
        <v>0</v>
      </c>
      <c r="AM202" s="14">
        <f t="shared" ref="AM202:AM265" si="31">IF(A202="",0,ROW())</f>
        <v>0</v>
      </c>
      <c r="AN202" s="14"/>
      <c r="AO202" s="14"/>
      <c r="AP202" s="16" t="str">
        <f>IF(AB202=0,"",IF(INDEX(Andamentos!$B$10:$B$2009,AB202)="","",INDEX(Andamentos!$B$10:$B$2009,AB202)))</f>
        <v/>
      </c>
      <c r="AQ202" s="17" t="str">
        <f>IF(AH202=0,"",IF(INDEX(Valores!$B$10:$B$509,AH202)="","",IF(ISNUMBER(INDEX(Valores!$B$10:$B$509,AH202)),INDEX(Valores!$B$10:$B$509,AH202),"")))</f>
        <v/>
      </c>
      <c r="AR202" s="14" t="str">
        <f t="shared" ref="AR202:AR265" si="32">IF(Y202=0,"",IF(N202="Crítica","Prioridade crítica. ","")&amp;IF(O202="Sim","Bloqueio vigente. ","")&amp;IF(P202="Sim","Penhora vigente. ","")&amp;IF(Q202="","",Q202))</f>
        <v/>
      </c>
      <c r="AS202" s="14" t="str">
        <f t="shared" ref="AS202:AS265" si="33">IF(AND(A202&lt;&gt;"",ISTEXT(A202)),"P:"&amp;A202,"")</f>
        <v/>
      </c>
      <c r="AT202" s="27"/>
      <c r="AU202" s="31"/>
      <c r="AV202" s="31"/>
      <c r="AW202" s="27"/>
      <c r="AX202" s="27"/>
      <c r="AY202" s="27"/>
      <c r="AZ202" s="27"/>
      <c r="BA202" s="30" t="str">
        <f t="shared" ref="BA202:BA265" si="34">IF(A202="","",IF(AU202&lt;&gt;"",AU202,IF(AV202&lt;&gt;"",AV202,A202)))</f>
        <v/>
      </c>
      <c r="BB202" s="30" t="str">
        <f t="shared" ref="BB202:BB265" si="35">IF(A202="","",IF(COUNTIFS($BA$10:$BA$509,BA202)&gt;1,"Revisar repetição",""))</f>
        <v/>
      </c>
      <c r="BC202" s="30">
        <f>IF(X202=0,0,IF(COUNTIFS($X$10:X202,1,$BA$10:BA202,BA202)=1,1,0))</f>
        <v>0</v>
      </c>
      <c r="BD202" s="29"/>
    </row>
    <row r="203" spans="1:56" ht="42" customHeight="1">
      <c r="A203" s="41"/>
      <c r="B203" s="44"/>
      <c r="C203" s="44"/>
      <c r="D203" s="44"/>
      <c r="E203" s="44"/>
      <c r="F203" s="44"/>
      <c r="G203" s="44"/>
      <c r="H203" s="44"/>
      <c r="I203" s="44"/>
      <c r="J203" s="44"/>
      <c r="K203" s="44"/>
      <c r="L203" s="49"/>
      <c r="M203" s="48"/>
      <c r="N203" s="48"/>
      <c r="O203" s="48"/>
      <c r="P203" s="48"/>
      <c r="Q203" s="48"/>
      <c r="R203" s="48"/>
      <c r="S203" s="49"/>
      <c r="T203" s="48"/>
      <c r="U203" s="48"/>
      <c r="V203" s="14">
        <f t="shared" si="27"/>
        <v>0</v>
      </c>
      <c r="W203" s="14">
        <f t="shared" si="28"/>
        <v>0</v>
      </c>
      <c r="X203" s="14">
        <f>IF(AND(V203=1,OR(Painel!$C$6="Todos",D203=Painel!$C$6),AND(OR(Painel!$L$6="Todas",E203=Painel!$L$6),OR(Painel!$C$8="Todos",F203=Painel!$C$8),OR(Painel!$L$8="Todos",G203=Painel!$L$8),OR(Painel!$C$10="",ISNUMBER(SEARCH(SUBSTITUTE(SUBSTITUTE(SUBSTITUTE(Painel!$C$10,"~","~~"),"*","~*"),"?","~?"),A203&amp;" "&amp;H203&amp;" "&amp;I203))))),1,0)</f>
        <v>0</v>
      </c>
      <c r="Y203" s="14">
        <f t="shared" si="29"/>
        <v>0</v>
      </c>
      <c r="Z203" s="15" t="str">
        <f>IF(V203=0,"",IF(COUNTIFS(Andamentos!$K$10:$K$2009,"="&amp;SUBSTITUTE(SUBSTITUTE(SUBSTITUTE("P:"&amp;A203,"~","~~"),"*","~*"),"?","~?"),Andamentos!$G$10:$G$2009,1)=0,"",_xlfn.AGGREGATE(14,6,Andamentos!$D$10:$D$2009/((Andamentos!$K$10:$K$2009=AS203)*(Andamentos!$G$10:$G$2009=1)),1)))</f>
        <v/>
      </c>
      <c r="AA203" s="14">
        <f>IF(Z203="",0,COUNTIFS(Andamentos!$K$10:$K$2009,"="&amp;SUBSTITUTE(SUBSTITUTE(SUBSTITUTE("P:"&amp;A203,"~","~~"),"*","~*"),"?","~?"),Andamentos!$D$10:$D$2009,Z203,Andamentos!$G$10:$G$2009,1))</f>
        <v>0</v>
      </c>
      <c r="AB203" s="14">
        <f>IF(AA203=1,SUMIFS(Andamentos!$L$10:$L$2009,Andamentos!$K$10:$K$2009,"="&amp;SUBSTITUTE(SUBSTITUTE(SUBSTITUTE(AS203,"~","~~"),"*","~*"),"?","~?"),Andamentos!$D$10:$D$2009,Z203,Andamentos!$G$10:$G$2009,1)-9,0)</f>
        <v>0</v>
      </c>
      <c r="AC203" s="14" t="str">
        <f>IF(V203=0,"",IF(AA203&gt;1,"Conferir recebimentos empatados",IF(AB203=0,"Sem atualização",INDEX(Andamentos!$C$10:$C$2009,AB203))))</f>
        <v/>
      </c>
      <c r="AD203" s="14">
        <f>IF(W203=0,0,IF(MAX(Z203,BD203)=0,1,IF(Configurar!$J$12-INT(MAX(Z203,BD203))&gt;Configurar!$J$11,1,0)))</f>
        <v>0</v>
      </c>
      <c r="AE203" s="16"/>
      <c r="AF203" s="14"/>
      <c r="AG203" s="14"/>
      <c r="AH203" s="14">
        <f>IF(AND(V203=1,COUNTIFS(Valores!$S$10:$S$509,"="&amp;SUBSTITUTE(SUBSTITUTE(SUBSTITUTE("P:"&amp;A203,"~","~~"),"*","~*"),"?","~?"))=1),(IF(ISNA(MATCH(SUBSTITUTE(SUBSTITUTE(SUBSTITUTE("P:"&amp;A203,"~","~~"),"*","~*"),"?","~?"),Valores!$S$10:$S$509,0)),9,INDEX(Valores!$R$10:$R$509,MATCH(SUBSTITUTE(SUBSTITUTE(SUBSTITUTE("P:"&amp;A203,"~","~~"),"*","~*"),"?","~?"),Valores!$S$10:$S$509,0)))-9),0)</f>
        <v>0</v>
      </c>
      <c r="AI203" s="40" t="str">
        <f t="shared" si="30"/>
        <v/>
      </c>
      <c r="AJ203" s="14" t="str">
        <f>IF(AND(X203=1,Y203=1),COUNTIFS($X$10:X203,1,$Y$10:Y203,1),"")</f>
        <v/>
      </c>
      <c r="AK203" s="14" t="str">
        <f>IF(X203=1,COUNTIFS($X$10:X203,1),"")</f>
        <v/>
      </c>
      <c r="AL203" s="14">
        <f>IF(AND(V203=1,AND(OR(Painel!$L$6="Todas",E203=Painel!$L$6),OR(Painel!$C$8="Todos",F203=Painel!$C$8),OR(Painel!$L$8="Todos",G203=Painel!$L$8),OR(Painel!$C$10="",ISNUMBER(SEARCH(SUBSTITUTE(SUBSTITUTE(SUBSTITUTE(Painel!$C$10,"~","~~"),"*","~*"),"?","~?"),A203&amp;" "&amp;H203&amp;" "&amp;I203))))),1,0)</f>
        <v>0</v>
      </c>
      <c r="AM203" s="14">
        <f t="shared" si="31"/>
        <v>0</v>
      </c>
      <c r="AN203" s="14"/>
      <c r="AO203" s="14"/>
      <c r="AP203" s="16" t="str">
        <f>IF(AB203=0,"",IF(INDEX(Andamentos!$B$10:$B$2009,AB203)="","",INDEX(Andamentos!$B$10:$B$2009,AB203)))</f>
        <v/>
      </c>
      <c r="AQ203" s="17" t="str">
        <f>IF(AH203=0,"",IF(INDEX(Valores!$B$10:$B$509,AH203)="","",IF(ISNUMBER(INDEX(Valores!$B$10:$B$509,AH203)),INDEX(Valores!$B$10:$B$509,AH203),"")))</f>
        <v/>
      </c>
      <c r="AR203" s="14" t="str">
        <f t="shared" si="32"/>
        <v/>
      </c>
      <c r="AS203" s="14" t="str">
        <f t="shared" si="33"/>
        <v/>
      </c>
      <c r="AT203" s="27"/>
      <c r="AU203" s="31"/>
      <c r="AV203" s="31"/>
      <c r="AW203" s="27"/>
      <c r="AX203" s="27"/>
      <c r="AY203" s="27"/>
      <c r="AZ203" s="27"/>
      <c r="BA203" s="30" t="str">
        <f t="shared" si="34"/>
        <v/>
      </c>
      <c r="BB203" s="30" t="str">
        <f t="shared" si="35"/>
        <v/>
      </c>
      <c r="BC203" s="30">
        <f>IF(X203=0,0,IF(COUNTIFS($X$10:X203,1,$BA$10:BA203,BA203)=1,1,0))</f>
        <v>0</v>
      </c>
      <c r="BD203" s="29"/>
    </row>
    <row r="204" spans="1:56" ht="42" customHeight="1">
      <c r="A204" s="41"/>
      <c r="B204" s="44"/>
      <c r="C204" s="44"/>
      <c r="D204" s="44"/>
      <c r="E204" s="44"/>
      <c r="F204" s="44"/>
      <c r="G204" s="44"/>
      <c r="H204" s="44"/>
      <c r="I204" s="44"/>
      <c r="J204" s="44"/>
      <c r="K204" s="44"/>
      <c r="L204" s="49"/>
      <c r="M204" s="48"/>
      <c r="N204" s="48"/>
      <c r="O204" s="48"/>
      <c r="P204" s="48"/>
      <c r="Q204" s="48"/>
      <c r="R204" s="48"/>
      <c r="S204" s="49"/>
      <c r="T204" s="48"/>
      <c r="U204" s="48"/>
      <c r="V204" s="14">
        <f t="shared" si="27"/>
        <v>0</v>
      </c>
      <c r="W204" s="14">
        <f t="shared" si="28"/>
        <v>0</v>
      </c>
      <c r="X204" s="14">
        <f>IF(AND(V204=1,OR(Painel!$C$6="Todos",D204=Painel!$C$6),AND(OR(Painel!$L$6="Todas",E204=Painel!$L$6),OR(Painel!$C$8="Todos",F204=Painel!$C$8),OR(Painel!$L$8="Todos",G204=Painel!$L$8),OR(Painel!$C$10="",ISNUMBER(SEARCH(SUBSTITUTE(SUBSTITUTE(SUBSTITUTE(Painel!$C$10,"~","~~"),"*","~*"),"?","~?"),A204&amp;" "&amp;H204&amp;" "&amp;I204))))),1,0)</f>
        <v>0</v>
      </c>
      <c r="Y204" s="14">
        <f t="shared" si="29"/>
        <v>0</v>
      </c>
      <c r="Z204" s="15" t="str">
        <f>IF(V204=0,"",IF(COUNTIFS(Andamentos!$K$10:$K$2009,"="&amp;SUBSTITUTE(SUBSTITUTE(SUBSTITUTE("P:"&amp;A204,"~","~~"),"*","~*"),"?","~?"),Andamentos!$G$10:$G$2009,1)=0,"",_xlfn.AGGREGATE(14,6,Andamentos!$D$10:$D$2009/((Andamentos!$K$10:$K$2009=AS204)*(Andamentos!$G$10:$G$2009=1)),1)))</f>
        <v/>
      </c>
      <c r="AA204" s="14">
        <f>IF(Z204="",0,COUNTIFS(Andamentos!$K$10:$K$2009,"="&amp;SUBSTITUTE(SUBSTITUTE(SUBSTITUTE("P:"&amp;A204,"~","~~"),"*","~*"),"?","~?"),Andamentos!$D$10:$D$2009,Z204,Andamentos!$G$10:$G$2009,1))</f>
        <v>0</v>
      </c>
      <c r="AB204" s="14">
        <f>IF(AA204=1,SUMIFS(Andamentos!$L$10:$L$2009,Andamentos!$K$10:$K$2009,"="&amp;SUBSTITUTE(SUBSTITUTE(SUBSTITUTE(AS204,"~","~~"),"*","~*"),"?","~?"),Andamentos!$D$10:$D$2009,Z204,Andamentos!$G$10:$G$2009,1)-9,0)</f>
        <v>0</v>
      </c>
      <c r="AC204" s="14" t="str">
        <f>IF(V204=0,"",IF(AA204&gt;1,"Conferir recebimentos empatados",IF(AB204=0,"Sem atualização",INDEX(Andamentos!$C$10:$C$2009,AB204))))</f>
        <v/>
      </c>
      <c r="AD204" s="14">
        <f>IF(W204=0,0,IF(MAX(Z204,BD204)=0,1,IF(Configurar!$J$12-INT(MAX(Z204,BD204))&gt;Configurar!$J$11,1,0)))</f>
        <v>0</v>
      </c>
      <c r="AE204" s="16"/>
      <c r="AF204" s="14"/>
      <c r="AG204" s="14"/>
      <c r="AH204" s="14">
        <f>IF(AND(V204=1,COUNTIFS(Valores!$S$10:$S$509,"="&amp;SUBSTITUTE(SUBSTITUTE(SUBSTITUTE("P:"&amp;A204,"~","~~"),"*","~*"),"?","~?"))=1),(IF(ISNA(MATCH(SUBSTITUTE(SUBSTITUTE(SUBSTITUTE("P:"&amp;A204,"~","~~"),"*","~*"),"?","~?"),Valores!$S$10:$S$509,0)),9,INDEX(Valores!$R$10:$R$509,MATCH(SUBSTITUTE(SUBSTITUTE(SUBSTITUTE("P:"&amp;A204,"~","~~"),"*","~*"),"?","~?"),Valores!$S$10:$S$509,0)))-9),0)</f>
        <v>0</v>
      </c>
      <c r="AI204" s="40" t="str">
        <f t="shared" si="30"/>
        <v/>
      </c>
      <c r="AJ204" s="14" t="str">
        <f>IF(AND(X204=1,Y204=1),COUNTIFS($X$10:X204,1,$Y$10:Y204,1),"")</f>
        <v/>
      </c>
      <c r="AK204" s="14" t="str">
        <f>IF(X204=1,COUNTIFS($X$10:X204,1),"")</f>
        <v/>
      </c>
      <c r="AL204" s="14">
        <f>IF(AND(V204=1,AND(OR(Painel!$L$6="Todas",E204=Painel!$L$6),OR(Painel!$C$8="Todos",F204=Painel!$C$8),OR(Painel!$L$8="Todos",G204=Painel!$L$8),OR(Painel!$C$10="",ISNUMBER(SEARCH(SUBSTITUTE(SUBSTITUTE(SUBSTITUTE(Painel!$C$10,"~","~~"),"*","~*"),"?","~?"),A204&amp;" "&amp;H204&amp;" "&amp;I204))))),1,0)</f>
        <v>0</v>
      </c>
      <c r="AM204" s="14">
        <f t="shared" si="31"/>
        <v>0</v>
      </c>
      <c r="AN204" s="14"/>
      <c r="AO204" s="14"/>
      <c r="AP204" s="16" t="str">
        <f>IF(AB204=0,"",IF(INDEX(Andamentos!$B$10:$B$2009,AB204)="","",INDEX(Andamentos!$B$10:$B$2009,AB204)))</f>
        <v/>
      </c>
      <c r="AQ204" s="17" t="str">
        <f>IF(AH204=0,"",IF(INDEX(Valores!$B$10:$B$509,AH204)="","",IF(ISNUMBER(INDEX(Valores!$B$10:$B$509,AH204)),INDEX(Valores!$B$10:$B$509,AH204),"")))</f>
        <v/>
      </c>
      <c r="AR204" s="14" t="str">
        <f t="shared" si="32"/>
        <v/>
      </c>
      <c r="AS204" s="14" t="str">
        <f t="shared" si="33"/>
        <v/>
      </c>
      <c r="AT204" s="27"/>
      <c r="AU204" s="31"/>
      <c r="AV204" s="31"/>
      <c r="AW204" s="27"/>
      <c r="AX204" s="27"/>
      <c r="AY204" s="27"/>
      <c r="AZ204" s="27"/>
      <c r="BA204" s="30" t="str">
        <f t="shared" si="34"/>
        <v/>
      </c>
      <c r="BB204" s="30" t="str">
        <f t="shared" si="35"/>
        <v/>
      </c>
      <c r="BC204" s="30">
        <f>IF(X204=0,0,IF(COUNTIFS($X$10:X204,1,$BA$10:BA204,BA204)=1,1,0))</f>
        <v>0</v>
      </c>
      <c r="BD204" s="29"/>
    </row>
    <row r="205" spans="1:56" ht="42" customHeight="1">
      <c r="A205" s="41"/>
      <c r="B205" s="44"/>
      <c r="C205" s="44"/>
      <c r="D205" s="44"/>
      <c r="E205" s="44"/>
      <c r="F205" s="44"/>
      <c r="G205" s="44"/>
      <c r="H205" s="44"/>
      <c r="I205" s="44"/>
      <c r="J205" s="44"/>
      <c r="K205" s="44"/>
      <c r="L205" s="49"/>
      <c r="M205" s="48"/>
      <c r="N205" s="48"/>
      <c r="O205" s="48"/>
      <c r="P205" s="48"/>
      <c r="Q205" s="48"/>
      <c r="R205" s="48"/>
      <c r="S205" s="49"/>
      <c r="T205" s="48"/>
      <c r="U205" s="48"/>
      <c r="V205" s="14">
        <f t="shared" si="27"/>
        <v>0</v>
      </c>
      <c r="W205" s="14">
        <f t="shared" si="28"/>
        <v>0</v>
      </c>
      <c r="X205" s="14">
        <f>IF(AND(V205=1,OR(Painel!$C$6="Todos",D205=Painel!$C$6),AND(OR(Painel!$L$6="Todas",E205=Painel!$L$6),OR(Painel!$C$8="Todos",F205=Painel!$C$8),OR(Painel!$L$8="Todos",G205=Painel!$L$8),OR(Painel!$C$10="",ISNUMBER(SEARCH(SUBSTITUTE(SUBSTITUTE(SUBSTITUTE(Painel!$C$10,"~","~~"),"*","~*"),"?","~?"),A205&amp;" "&amp;H205&amp;" "&amp;I205))))),1,0)</f>
        <v>0</v>
      </c>
      <c r="Y205" s="14">
        <f t="shared" si="29"/>
        <v>0</v>
      </c>
      <c r="Z205" s="15" t="str">
        <f>IF(V205=0,"",IF(COUNTIFS(Andamentos!$K$10:$K$2009,"="&amp;SUBSTITUTE(SUBSTITUTE(SUBSTITUTE("P:"&amp;A205,"~","~~"),"*","~*"),"?","~?"),Andamentos!$G$10:$G$2009,1)=0,"",_xlfn.AGGREGATE(14,6,Andamentos!$D$10:$D$2009/((Andamentos!$K$10:$K$2009=AS205)*(Andamentos!$G$10:$G$2009=1)),1)))</f>
        <v/>
      </c>
      <c r="AA205" s="14">
        <f>IF(Z205="",0,COUNTIFS(Andamentos!$K$10:$K$2009,"="&amp;SUBSTITUTE(SUBSTITUTE(SUBSTITUTE("P:"&amp;A205,"~","~~"),"*","~*"),"?","~?"),Andamentos!$D$10:$D$2009,Z205,Andamentos!$G$10:$G$2009,1))</f>
        <v>0</v>
      </c>
      <c r="AB205" s="14">
        <f>IF(AA205=1,SUMIFS(Andamentos!$L$10:$L$2009,Andamentos!$K$10:$K$2009,"="&amp;SUBSTITUTE(SUBSTITUTE(SUBSTITUTE(AS205,"~","~~"),"*","~*"),"?","~?"),Andamentos!$D$10:$D$2009,Z205,Andamentos!$G$10:$G$2009,1)-9,0)</f>
        <v>0</v>
      </c>
      <c r="AC205" s="14" t="str">
        <f>IF(V205=0,"",IF(AA205&gt;1,"Conferir recebimentos empatados",IF(AB205=0,"Sem atualização",INDEX(Andamentos!$C$10:$C$2009,AB205))))</f>
        <v/>
      </c>
      <c r="AD205" s="14">
        <f>IF(W205=0,0,IF(MAX(Z205,BD205)=0,1,IF(Configurar!$J$12-INT(MAX(Z205,BD205))&gt;Configurar!$J$11,1,0)))</f>
        <v>0</v>
      </c>
      <c r="AE205" s="16"/>
      <c r="AF205" s="14"/>
      <c r="AG205" s="14"/>
      <c r="AH205" s="14">
        <f>IF(AND(V205=1,COUNTIFS(Valores!$S$10:$S$509,"="&amp;SUBSTITUTE(SUBSTITUTE(SUBSTITUTE("P:"&amp;A205,"~","~~"),"*","~*"),"?","~?"))=1),(IF(ISNA(MATCH(SUBSTITUTE(SUBSTITUTE(SUBSTITUTE("P:"&amp;A205,"~","~~"),"*","~*"),"?","~?"),Valores!$S$10:$S$509,0)),9,INDEX(Valores!$R$10:$R$509,MATCH(SUBSTITUTE(SUBSTITUTE(SUBSTITUTE("P:"&amp;A205,"~","~~"),"*","~*"),"?","~?"),Valores!$S$10:$S$509,0)))-9),0)</f>
        <v>0</v>
      </c>
      <c r="AI205" s="40" t="str">
        <f t="shared" si="30"/>
        <v/>
      </c>
      <c r="AJ205" s="14" t="str">
        <f>IF(AND(X205=1,Y205=1),COUNTIFS($X$10:X205,1,$Y$10:Y205,1),"")</f>
        <v/>
      </c>
      <c r="AK205" s="14" t="str">
        <f>IF(X205=1,COUNTIFS($X$10:X205,1),"")</f>
        <v/>
      </c>
      <c r="AL205" s="14">
        <f>IF(AND(V205=1,AND(OR(Painel!$L$6="Todas",E205=Painel!$L$6),OR(Painel!$C$8="Todos",F205=Painel!$C$8),OR(Painel!$L$8="Todos",G205=Painel!$L$8),OR(Painel!$C$10="",ISNUMBER(SEARCH(SUBSTITUTE(SUBSTITUTE(SUBSTITUTE(Painel!$C$10,"~","~~"),"*","~*"),"?","~?"),A205&amp;" "&amp;H205&amp;" "&amp;I205))))),1,0)</f>
        <v>0</v>
      </c>
      <c r="AM205" s="14">
        <f t="shared" si="31"/>
        <v>0</v>
      </c>
      <c r="AN205" s="14"/>
      <c r="AO205" s="14"/>
      <c r="AP205" s="16" t="str">
        <f>IF(AB205=0,"",IF(INDEX(Andamentos!$B$10:$B$2009,AB205)="","",INDEX(Andamentos!$B$10:$B$2009,AB205)))</f>
        <v/>
      </c>
      <c r="AQ205" s="17" t="str">
        <f>IF(AH205=0,"",IF(INDEX(Valores!$B$10:$B$509,AH205)="","",IF(ISNUMBER(INDEX(Valores!$B$10:$B$509,AH205)),INDEX(Valores!$B$10:$B$509,AH205),"")))</f>
        <v/>
      </c>
      <c r="AR205" s="14" t="str">
        <f t="shared" si="32"/>
        <v/>
      </c>
      <c r="AS205" s="14" t="str">
        <f t="shared" si="33"/>
        <v/>
      </c>
      <c r="AT205" s="27"/>
      <c r="AU205" s="31"/>
      <c r="AV205" s="31"/>
      <c r="AW205" s="27"/>
      <c r="AX205" s="27"/>
      <c r="AY205" s="27"/>
      <c r="AZ205" s="27"/>
      <c r="BA205" s="30" t="str">
        <f t="shared" si="34"/>
        <v/>
      </c>
      <c r="BB205" s="30" t="str">
        <f t="shared" si="35"/>
        <v/>
      </c>
      <c r="BC205" s="30">
        <f>IF(X205=0,0,IF(COUNTIFS($X$10:X205,1,$BA$10:BA205,BA205)=1,1,0))</f>
        <v>0</v>
      </c>
      <c r="BD205" s="29"/>
    </row>
    <row r="206" spans="1:56" ht="42" customHeight="1">
      <c r="A206" s="41"/>
      <c r="B206" s="44"/>
      <c r="C206" s="44"/>
      <c r="D206" s="44"/>
      <c r="E206" s="44"/>
      <c r="F206" s="44"/>
      <c r="G206" s="44"/>
      <c r="H206" s="44"/>
      <c r="I206" s="44"/>
      <c r="J206" s="44"/>
      <c r="K206" s="44"/>
      <c r="L206" s="49"/>
      <c r="M206" s="48"/>
      <c r="N206" s="48"/>
      <c r="O206" s="48"/>
      <c r="P206" s="48"/>
      <c r="Q206" s="48"/>
      <c r="R206" s="48"/>
      <c r="S206" s="49"/>
      <c r="T206" s="48"/>
      <c r="U206" s="48"/>
      <c r="V206" s="14">
        <f t="shared" si="27"/>
        <v>0</v>
      </c>
      <c r="W206" s="14">
        <f t="shared" si="28"/>
        <v>0</v>
      </c>
      <c r="X206" s="14">
        <f>IF(AND(V206=1,OR(Painel!$C$6="Todos",D206=Painel!$C$6),AND(OR(Painel!$L$6="Todas",E206=Painel!$L$6),OR(Painel!$C$8="Todos",F206=Painel!$C$8),OR(Painel!$L$8="Todos",G206=Painel!$L$8),OR(Painel!$C$10="",ISNUMBER(SEARCH(SUBSTITUTE(SUBSTITUTE(SUBSTITUTE(Painel!$C$10,"~","~~"),"*","~*"),"?","~?"),A206&amp;" "&amp;H206&amp;" "&amp;I206))))),1,0)</f>
        <v>0</v>
      </c>
      <c r="Y206" s="14">
        <f t="shared" si="29"/>
        <v>0</v>
      </c>
      <c r="Z206" s="15" t="str">
        <f>IF(V206=0,"",IF(COUNTIFS(Andamentos!$K$10:$K$2009,"="&amp;SUBSTITUTE(SUBSTITUTE(SUBSTITUTE("P:"&amp;A206,"~","~~"),"*","~*"),"?","~?"),Andamentos!$G$10:$G$2009,1)=0,"",_xlfn.AGGREGATE(14,6,Andamentos!$D$10:$D$2009/((Andamentos!$K$10:$K$2009=AS206)*(Andamentos!$G$10:$G$2009=1)),1)))</f>
        <v/>
      </c>
      <c r="AA206" s="14">
        <f>IF(Z206="",0,COUNTIFS(Andamentos!$K$10:$K$2009,"="&amp;SUBSTITUTE(SUBSTITUTE(SUBSTITUTE("P:"&amp;A206,"~","~~"),"*","~*"),"?","~?"),Andamentos!$D$10:$D$2009,Z206,Andamentos!$G$10:$G$2009,1))</f>
        <v>0</v>
      </c>
      <c r="AB206" s="14">
        <f>IF(AA206=1,SUMIFS(Andamentos!$L$10:$L$2009,Andamentos!$K$10:$K$2009,"="&amp;SUBSTITUTE(SUBSTITUTE(SUBSTITUTE(AS206,"~","~~"),"*","~*"),"?","~?"),Andamentos!$D$10:$D$2009,Z206,Andamentos!$G$10:$G$2009,1)-9,0)</f>
        <v>0</v>
      </c>
      <c r="AC206" s="14" t="str">
        <f>IF(V206=0,"",IF(AA206&gt;1,"Conferir recebimentos empatados",IF(AB206=0,"Sem atualização",INDEX(Andamentos!$C$10:$C$2009,AB206))))</f>
        <v/>
      </c>
      <c r="AD206" s="14">
        <f>IF(W206=0,0,IF(MAX(Z206,BD206)=0,1,IF(Configurar!$J$12-INT(MAX(Z206,BD206))&gt;Configurar!$J$11,1,0)))</f>
        <v>0</v>
      </c>
      <c r="AE206" s="16"/>
      <c r="AF206" s="14"/>
      <c r="AG206" s="14"/>
      <c r="AH206" s="14">
        <f>IF(AND(V206=1,COUNTIFS(Valores!$S$10:$S$509,"="&amp;SUBSTITUTE(SUBSTITUTE(SUBSTITUTE("P:"&amp;A206,"~","~~"),"*","~*"),"?","~?"))=1),(IF(ISNA(MATCH(SUBSTITUTE(SUBSTITUTE(SUBSTITUTE("P:"&amp;A206,"~","~~"),"*","~*"),"?","~?"),Valores!$S$10:$S$509,0)),9,INDEX(Valores!$R$10:$R$509,MATCH(SUBSTITUTE(SUBSTITUTE(SUBSTITUTE("P:"&amp;A206,"~","~~"),"*","~*"),"?","~?"),Valores!$S$10:$S$509,0)))-9),0)</f>
        <v>0</v>
      </c>
      <c r="AI206" s="40" t="str">
        <f t="shared" si="30"/>
        <v/>
      </c>
      <c r="AJ206" s="14" t="str">
        <f>IF(AND(X206=1,Y206=1),COUNTIFS($X$10:X206,1,$Y$10:Y206,1),"")</f>
        <v/>
      </c>
      <c r="AK206" s="14" t="str">
        <f>IF(X206=1,COUNTIFS($X$10:X206,1),"")</f>
        <v/>
      </c>
      <c r="AL206" s="14">
        <f>IF(AND(V206=1,AND(OR(Painel!$L$6="Todas",E206=Painel!$L$6),OR(Painel!$C$8="Todos",F206=Painel!$C$8),OR(Painel!$L$8="Todos",G206=Painel!$L$8),OR(Painel!$C$10="",ISNUMBER(SEARCH(SUBSTITUTE(SUBSTITUTE(SUBSTITUTE(Painel!$C$10,"~","~~"),"*","~*"),"?","~?"),A206&amp;" "&amp;H206&amp;" "&amp;I206))))),1,0)</f>
        <v>0</v>
      </c>
      <c r="AM206" s="14">
        <f t="shared" si="31"/>
        <v>0</v>
      </c>
      <c r="AN206" s="14"/>
      <c r="AO206" s="14"/>
      <c r="AP206" s="16" t="str">
        <f>IF(AB206=0,"",IF(INDEX(Andamentos!$B$10:$B$2009,AB206)="","",INDEX(Andamentos!$B$10:$B$2009,AB206)))</f>
        <v/>
      </c>
      <c r="AQ206" s="17" t="str">
        <f>IF(AH206=0,"",IF(INDEX(Valores!$B$10:$B$509,AH206)="","",IF(ISNUMBER(INDEX(Valores!$B$10:$B$509,AH206)),INDEX(Valores!$B$10:$B$509,AH206),"")))</f>
        <v/>
      </c>
      <c r="AR206" s="14" t="str">
        <f t="shared" si="32"/>
        <v/>
      </c>
      <c r="AS206" s="14" t="str">
        <f t="shared" si="33"/>
        <v/>
      </c>
      <c r="AT206" s="27"/>
      <c r="AU206" s="31"/>
      <c r="AV206" s="31"/>
      <c r="AW206" s="27"/>
      <c r="AX206" s="27"/>
      <c r="AY206" s="27"/>
      <c r="AZ206" s="27"/>
      <c r="BA206" s="30" t="str">
        <f t="shared" si="34"/>
        <v/>
      </c>
      <c r="BB206" s="30" t="str">
        <f t="shared" si="35"/>
        <v/>
      </c>
      <c r="BC206" s="30">
        <f>IF(X206=0,0,IF(COUNTIFS($X$10:X206,1,$BA$10:BA206,BA206)=1,1,0))</f>
        <v>0</v>
      </c>
      <c r="BD206" s="29"/>
    </row>
    <row r="207" spans="1:56" ht="42" customHeight="1">
      <c r="A207" s="41"/>
      <c r="B207" s="44"/>
      <c r="C207" s="44"/>
      <c r="D207" s="44"/>
      <c r="E207" s="44"/>
      <c r="F207" s="44"/>
      <c r="G207" s="44"/>
      <c r="H207" s="44"/>
      <c r="I207" s="44"/>
      <c r="J207" s="44"/>
      <c r="K207" s="44"/>
      <c r="L207" s="49"/>
      <c r="M207" s="48"/>
      <c r="N207" s="48"/>
      <c r="O207" s="48"/>
      <c r="P207" s="48"/>
      <c r="Q207" s="48"/>
      <c r="R207" s="48"/>
      <c r="S207" s="49"/>
      <c r="T207" s="48"/>
      <c r="U207" s="48"/>
      <c r="V207" s="14">
        <f t="shared" si="27"/>
        <v>0</v>
      </c>
      <c r="W207" s="14">
        <f t="shared" si="28"/>
        <v>0</v>
      </c>
      <c r="X207" s="14">
        <f>IF(AND(V207=1,OR(Painel!$C$6="Todos",D207=Painel!$C$6),AND(OR(Painel!$L$6="Todas",E207=Painel!$L$6),OR(Painel!$C$8="Todos",F207=Painel!$C$8),OR(Painel!$L$8="Todos",G207=Painel!$L$8),OR(Painel!$C$10="",ISNUMBER(SEARCH(SUBSTITUTE(SUBSTITUTE(SUBSTITUTE(Painel!$C$10,"~","~~"),"*","~*"),"?","~?"),A207&amp;" "&amp;H207&amp;" "&amp;I207))))),1,0)</f>
        <v>0</v>
      </c>
      <c r="Y207" s="14">
        <f t="shared" si="29"/>
        <v>0</v>
      </c>
      <c r="Z207" s="15" t="str">
        <f>IF(V207=0,"",IF(COUNTIFS(Andamentos!$K$10:$K$2009,"="&amp;SUBSTITUTE(SUBSTITUTE(SUBSTITUTE("P:"&amp;A207,"~","~~"),"*","~*"),"?","~?"),Andamentos!$G$10:$G$2009,1)=0,"",_xlfn.AGGREGATE(14,6,Andamentos!$D$10:$D$2009/((Andamentos!$K$10:$K$2009=AS207)*(Andamentos!$G$10:$G$2009=1)),1)))</f>
        <v/>
      </c>
      <c r="AA207" s="14">
        <f>IF(Z207="",0,COUNTIFS(Andamentos!$K$10:$K$2009,"="&amp;SUBSTITUTE(SUBSTITUTE(SUBSTITUTE("P:"&amp;A207,"~","~~"),"*","~*"),"?","~?"),Andamentos!$D$10:$D$2009,Z207,Andamentos!$G$10:$G$2009,1))</f>
        <v>0</v>
      </c>
      <c r="AB207" s="14">
        <f>IF(AA207=1,SUMIFS(Andamentos!$L$10:$L$2009,Andamentos!$K$10:$K$2009,"="&amp;SUBSTITUTE(SUBSTITUTE(SUBSTITUTE(AS207,"~","~~"),"*","~*"),"?","~?"),Andamentos!$D$10:$D$2009,Z207,Andamentos!$G$10:$G$2009,1)-9,0)</f>
        <v>0</v>
      </c>
      <c r="AC207" s="14" t="str">
        <f>IF(V207=0,"",IF(AA207&gt;1,"Conferir recebimentos empatados",IF(AB207=0,"Sem atualização",INDEX(Andamentos!$C$10:$C$2009,AB207))))</f>
        <v/>
      </c>
      <c r="AD207" s="14">
        <f>IF(W207=0,0,IF(MAX(Z207,BD207)=0,1,IF(Configurar!$J$12-INT(MAX(Z207,BD207))&gt;Configurar!$J$11,1,0)))</f>
        <v>0</v>
      </c>
      <c r="AE207" s="16"/>
      <c r="AF207" s="14"/>
      <c r="AG207" s="14"/>
      <c r="AH207" s="14">
        <f>IF(AND(V207=1,COUNTIFS(Valores!$S$10:$S$509,"="&amp;SUBSTITUTE(SUBSTITUTE(SUBSTITUTE("P:"&amp;A207,"~","~~"),"*","~*"),"?","~?"))=1),(IF(ISNA(MATCH(SUBSTITUTE(SUBSTITUTE(SUBSTITUTE("P:"&amp;A207,"~","~~"),"*","~*"),"?","~?"),Valores!$S$10:$S$509,0)),9,INDEX(Valores!$R$10:$R$509,MATCH(SUBSTITUTE(SUBSTITUTE(SUBSTITUTE("P:"&amp;A207,"~","~~"),"*","~*"),"?","~?"),Valores!$S$10:$S$509,0)))-9),0)</f>
        <v>0</v>
      </c>
      <c r="AI207" s="40" t="str">
        <f t="shared" si="30"/>
        <v/>
      </c>
      <c r="AJ207" s="14" t="str">
        <f>IF(AND(X207=1,Y207=1),COUNTIFS($X$10:X207,1,$Y$10:Y207,1),"")</f>
        <v/>
      </c>
      <c r="AK207" s="14" t="str">
        <f>IF(X207=1,COUNTIFS($X$10:X207,1),"")</f>
        <v/>
      </c>
      <c r="AL207" s="14">
        <f>IF(AND(V207=1,AND(OR(Painel!$L$6="Todas",E207=Painel!$L$6),OR(Painel!$C$8="Todos",F207=Painel!$C$8),OR(Painel!$L$8="Todos",G207=Painel!$L$8),OR(Painel!$C$10="",ISNUMBER(SEARCH(SUBSTITUTE(SUBSTITUTE(SUBSTITUTE(Painel!$C$10,"~","~~"),"*","~*"),"?","~?"),A207&amp;" "&amp;H207&amp;" "&amp;I207))))),1,0)</f>
        <v>0</v>
      </c>
      <c r="AM207" s="14">
        <f t="shared" si="31"/>
        <v>0</v>
      </c>
      <c r="AN207" s="14"/>
      <c r="AO207" s="14"/>
      <c r="AP207" s="16" t="str">
        <f>IF(AB207=0,"",IF(INDEX(Andamentos!$B$10:$B$2009,AB207)="","",INDEX(Andamentos!$B$10:$B$2009,AB207)))</f>
        <v/>
      </c>
      <c r="AQ207" s="17" t="str">
        <f>IF(AH207=0,"",IF(INDEX(Valores!$B$10:$B$509,AH207)="","",IF(ISNUMBER(INDEX(Valores!$B$10:$B$509,AH207)),INDEX(Valores!$B$10:$B$509,AH207),"")))</f>
        <v/>
      </c>
      <c r="AR207" s="14" t="str">
        <f t="shared" si="32"/>
        <v/>
      </c>
      <c r="AS207" s="14" t="str">
        <f t="shared" si="33"/>
        <v/>
      </c>
      <c r="AT207" s="27"/>
      <c r="AU207" s="31"/>
      <c r="AV207" s="31"/>
      <c r="AW207" s="27"/>
      <c r="AX207" s="27"/>
      <c r="AY207" s="27"/>
      <c r="AZ207" s="27"/>
      <c r="BA207" s="30" t="str">
        <f t="shared" si="34"/>
        <v/>
      </c>
      <c r="BB207" s="30" t="str">
        <f t="shared" si="35"/>
        <v/>
      </c>
      <c r="BC207" s="30">
        <f>IF(X207=0,0,IF(COUNTIFS($X$10:X207,1,$BA$10:BA207,BA207)=1,1,0))</f>
        <v>0</v>
      </c>
      <c r="BD207" s="29"/>
    </row>
    <row r="208" spans="1:56" ht="42" customHeight="1">
      <c r="A208" s="41"/>
      <c r="B208" s="44"/>
      <c r="C208" s="44"/>
      <c r="D208" s="44"/>
      <c r="E208" s="44"/>
      <c r="F208" s="44"/>
      <c r="G208" s="44"/>
      <c r="H208" s="44"/>
      <c r="I208" s="44"/>
      <c r="J208" s="44"/>
      <c r="K208" s="44"/>
      <c r="L208" s="49"/>
      <c r="M208" s="48"/>
      <c r="N208" s="48"/>
      <c r="O208" s="48"/>
      <c r="P208" s="48"/>
      <c r="Q208" s="48"/>
      <c r="R208" s="48"/>
      <c r="S208" s="49"/>
      <c r="T208" s="48"/>
      <c r="U208" s="48"/>
      <c r="V208" s="14">
        <f t="shared" si="27"/>
        <v>0</v>
      </c>
      <c r="W208" s="14">
        <f t="shared" si="28"/>
        <v>0</v>
      </c>
      <c r="X208" s="14">
        <f>IF(AND(V208=1,OR(Painel!$C$6="Todos",D208=Painel!$C$6),AND(OR(Painel!$L$6="Todas",E208=Painel!$L$6),OR(Painel!$C$8="Todos",F208=Painel!$C$8),OR(Painel!$L$8="Todos",G208=Painel!$L$8),OR(Painel!$C$10="",ISNUMBER(SEARCH(SUBSTITUTE(SUBSTITUTE(SUBSTITUTE(Painel!$C$10,"~","~~"),"*","~*"),"?","~?"),A208&amp;" "&amp;H208&amp;" "&amp;I208))))),1,0)</f>
        <v>0</v>
      </c>
      <c r="Y208" s="14">
        <f t="shared" si="29"/>
        <v>0</v>
      </c>
      <c r="Z208" s="15" t="str">
        <f>IF(V208=0,"",IF(COUNTIFS(Andamentos!$K$10:$K$2009,"="&amp;SUBSTITUTE(SUBSTITUTE(SUBSTITUTE("P:"&amp;A208,"~","~~"),"*","~*"),"?","~?"),Andamentos!$G$10:$G$2009,1)=0,"",_xlfn.AGGREGATE(14,6,Andamentos!$D$10:$D$2009/((Andamentos!$K$10:$K$2009=AS208)*(Andamentos!$G$10:$G$2009=1)),1)))</f>
        <v/>
      </c>
      <c r="AA208" s="14">
        <f>IF(Z208="",0,COUNTIFS(Andamentos!$K$10:$K$2009,"="&amp;SUBSTITUTE(SUBSTITUTE(SUBSTITUTE("P:"&amp;A208,"~","~~"),"*","~*"),"?","~?"),Andamentos!$D$10:$D$2009,Z208,Andamentos!$G$10:$G$2009,1))</f>
        <v>0</v>
      </c>
      <c r="AB208" s="14">
        <f>IF(AA208=1,SUMIFS(Andamentos!$L$10:$L$2009,Andamentos!$K$10:$K$2009,"="&amp;SUBSTITUTE(SUBSTITUTE(SUBSTITUTE(AS208,"~","~~"),"*","~*"),"?","~?"),Andamentos!$D$10:$D$2009,Z208,Andamentos!$G$10:$G$2009,1)-9,0)</f>
        <v>0</v>
      </c>
      <c r="AC208" s="14" t="str">
        <f>IF(V208=0,"",IF(AA208&gt;1,"Conferir recebimentos empatados",IF(AB208=0,"Sem atualização",INDEX(Andamentos!$C$10:$C$2009,AB208))))</f>
        <v/>
      </c>
      <c r="AD208" s="14">
        <f>IF(W208=0,0,IF(MAX(Z208,BD208)=0,1,IF(Configurar!$J$12-INT(MAX(Z208,BD208))&gt;Configurar!$J$11,1,0)))</f>
        <v>0</v>
      </c>
      <c r="AE208" s="16"/>
      <c r="AF208" s="14"/>
      <c r="AG208" s="14"/>
      <c r="AH208" s="14">
        <f>IF(AND(V208=1,COUNTIFS(Valores!$S$10:$S$509,"="&amp;SUBSTITUTE(SUBSTITUTE(SUBSTITUTE("P:"&amp;A208,"~","~~"),"*","~*"),"?","~?"))=1),(IF(ISNA(MATCH(SUBSTITUTE(SUBSTITUTE(SUBSTITUTE("P:"&amp;A208,"~","~~"),"*","~*"),"?","~?"),Valores!$S$10:$S$509,0)),9,INDEX(Valores!$R$10:$R$509,MATCH(SUBSTITUTE(SUBSTITUTE(SUBSTITUTE("P:"&amp;A208,"~","~~"),"*","~*"),"?","~?"),Valores!$S$10:$S$509,0)))-9),0)</f>
        <v>0</v>
      </c>
      <c r="AI208" s="40" t="str">
        <f t="shared" si="30"/>
        <v/>
      </c>
      <c r="AJ208" s="14" t="str">
        <f>IF(AND(X208=1,Y208=1),COUNTIFS($X$10:X208,1,$Y$10:Y208,1),"")</f>
        <v/>
      </c>
      <c r="AK208" s="14" t="str">
        <f>IF(X208=1,COUNTIFS($X$10:X208,1),"")</f>
        <v/>
      </c>
      <c r="AL208" s="14">
        <f>IF(AND(V208=1,AND(OR(Painel!$L$6="Todas",E208=Painel!$L$6),OR(Painel!$C$8="Todos",F208=Painel!$C$8),OR(Painel!$L$8="Todos",G208=Painel!$L$8),OR(Painel!$C$10="",ISNUMBER(SEARCH(SUBSTITUTE(SUBSTITUTE(SUBSTITUTE(Painel!$C$10,"~","~~"),"*","~*"),"?","~?"),A208&amp;" "&amp;H208&amp;" "&amp;I208))))),1,0)</f>
        <v>0</v>
      </c>
      <c r="AM208" s="14">
        <f t="shared" si="31"/>
        <v>0</v>
      </c>
      <c r="AN208" s="14"/>
      <c r="AO208" s="14"/>
      <c r="AP208" s="16" t="str">
        <f>IF(AB208=0,"",IF(INDEX(Andamentos!$B$10:$B$2009,AB208)="","",INDEX(Andamentos!$B$10:$B$2009,AB208)))</f>
        <v/>
      </c>
      <c r="AQ208" s="17" t="str">
        <f>IF(AH208=0,"",IF(INDEX(Valores!$B$10:$B$509,AH208)="","",IF(ISNUMBER(INDEX(Valores!$B$10:$B$509,AH208)),INDEX(Valores!$B$10:$B$509,AH208),"")))</f>
        <v/>
      </c>
      <c r="AR208" s="14" t="str">
        <f t="shared" si="32"/>
        <v/>
      </c>
      <c r="AS208" s="14" t="str">
        <f t="shared" si="33"/>
        <v/>
      </c>
      <c r="AT208" s="27"/>
      <c r="AU208" s="31"/>
      <c r="AV208" s="31"/>
      <c r="AW208" s="27"/>
      <c r="AX208" s="27"/>
      <c r="AY208" s="27"/>
      <c r="AZ208" s="27"/>
      <c r="BA208" s="30" t="str">
        <f t="shared" si="34"/>
        <v/>
      </c>
      <c r="BB208" s="30" t="str">
        <f t="shared" si="35"/>
        <v/>
      </c>
      <c r="BC208" s="30">
        <f>IF(X208=0,0,IF(COUNTIFS($X$10:X208,1,$BA$10:BA208,BA208)=1,1,0))</f>
        <v>0</v>
      </c>
      <c r="BD208" s="29"/>
    </row>
    <row r="209" spans="1:56" ht="42" customHeight="1">
      <c r="A209" s="41"/>
      <c r="B209" s="44"/>
      <c r="C209" s="44"/>
      <c r="D209" s="44"/>
      <c r="E209" s="44"/>
      <c r="F209" s="44"/>
      <c r="G209" s="44"/>
      <c r="H209" s="44"/>
      <c r="I209" s="44"/>
      <c r="J209" s="44"/>
      <c r="K209" s="44"/>
      <c r="L209" s="49"/>
      <c r="M209" s="48"/>
      <c r="N209" s="48"/>
      <c r="O209" s="48"/>
      <c r="P209" s="48"/>
      <c r="Q209" s="48"/>
      <c r="R209" s="48"/>
      <c r="S209" s="49"/>
      <c r="T209" s="48"/>
      <c r="U209" s="48"/>
      <c r="V209" s="14">
        <f t="shared" si="27"/>
        <v>0</v>
      </c>
      <c r="W209" s="14">
        <f t="shared" si="28"/>
        <v>0</v>
      </c>
      <c r="X209" s="14">
        <f>IF(AND(V209=1,OR(Painel!$C$6="Todos",D209=Painel!$C$6),AND(OR(Painel!$L$6="Todas",E209=Painel!$L$6),OR(Painel!$C$8="Todos",F209=Painel!$C$8),OR(Painel!$L$8="Todos",G209=Painel!$L$8),OR(Painel!$C$10="",ISNUMBER(SEARCH(SUBSTITUTE(SUBSTITUTE(SUBSTITUTE(Painel!$C$10,"~","~~"),"*","~*"),"?","~?"),A209&amp;" "&amp;H209&amp;" "&amp;I209))))),1,0)</f>
        <v>0</v>
      </c>
      <c r="Y209" s="14">
        <f t="shared" si="29"/>
        <v>0</v>
      </c>
      <c r="Z209" s="15" t="str">
        <f>IF(V209=0,"",IF(COUNTIFS(Andamentos!$K$10:$K$2009,"="&amp;SUBSTITUTE(SUBSTITUTE(SUBSTITUTE("P:"&amp;A209,"~","~~"),"*","~*"),"?","~?"),Andamentos!$G$10:$G$2009,1)=0,"",_xlfn.AGGREGATE(14,6,Andamentos!$D$10:$D$2009/((Andamentos!$K$10:$K$2009=AS209)*(Andamentos!$G$10:$G$2009=1)),1)))</f>
        <v/>
      </c>
      <c r="AA209" s="14">
        <f>IF(Z209="",0,COUNTIFS(Andamentos!$K$10:$K$2009,"="&amp;SUBSTITUTE(SUBSTITUTE(SUBSTITUTE("P:"&amp;A209,"~","~~"),"*","~*"),"?","~?"),Andamentos!$D$10:$D$2009,Z209,Andamentos!$G$10:$G$2009,1))</f>
        <v>0</v>
      </c>
      <c r="AB209" s="14">
        <f>IF(AA209=1,SUMIFS(Andamentos!$L$10:$L$2009,Andamentos!$K$10:$K$2009,"="&amp;SUBSTITUTE(SUBSTITUTE(SUBSTITUTE(AS209,"~","~~"),"*","~*"),"?","~?"),Andamentos!$D$10:$D$2009,Z209,Andamentos!$G$10:$G$2009,1)-9,0)</f>
        <v>0</v>
      </c>
      <c r="AC209" s="14" t="str">
        <f>IF(V209=0,"",IF(AA209&gt;1,"Conferir recebimentos empatados",IF(AB209=0,"Sem atualização",INDEX(Andamentos!$C$10:$C$2009,AB209))))</f>
        <v/>
      </c>
      <c r="AD209" s="14">
        <f>IF(W209=0,0,IF(MAX(Z209,BD209)=0,1,IF(Configurar!$J$12-INT(MAX(Z209,BD209))&gt;Configurar!$J$11,1,0)))</f>
        <v>0</v>
      </c>
      <c r="AE209" s="16"/>
      <c r="AF209" s="14"/>
      <c r="AG209" s="14"/>
      <c r="AH209" s="14">
        <f>IF(AND(V209=1,COUNTIFS(Valores!$S$10:$S$509,"="&amp;SUBSTITUTE(SUBSTITUTE(SUBSTITUTE("P:"&amp;A209,"~","~~"),"*","~*"),"?","~?"))=1),(IF(ISNA(MATCH(SUBSTITUTE(SUBSTITUTE(SUBSTITUTE("P:"&amp;A209,"~","~~"),"*","~*"),"?","~?"),Valores!$S$10:$S$509,0)),9,INDEX(Valores!$R$10:$R$509,MATCH(SUBSTITUTE(SUBSTITUTE(SUBSTITUTE("P:"&amp;A209,"~","~~"),"*","~*"),"?","~?"),Valores!$S$10:$S$509,0)))-9),0)</f>
        <v>0</v>
      </c>
      <c r="AI209" s="40" t="str">
        <f t="shared" si="30"/>
        <v/>
      </c>
      <c r="AJ209" s="14" t="str">
        <f>IF(AND(X209=1,Y209=1),COUNTIFS($X$10:X209,1,$Y$10:Y209,1),"")</f>
        <v/>
      </c>
      <c r="AK209" s="14" t="str">
        <f>IF(X209=1,COUNTIFS($X$10:X209,1),"")</f>
        <v/>
      </c>
      <c r="AL209" s="14">
        <f>IF(AND(V209=1,AND(OR(Painel!$L$6="Todas",E209=Painel!$L$6),OR(Painel!$C$8="Todos",F209=Painel!$C$8),OR(Painel!$L$8="Todos",G209=Painel!$L$8),OR(Painel!$C$10="",ISNUMBER(SEARCH(SUBSTITUTE(SUBSTITUTE(SUBSTITUTE(Painel!$C$10,"~","~~"),"*","~*"),"?","~?"),A209&amp;" "&amp;H209&amp;" "&amp;I209))))),1,0)</f>
        <v>0</v>
      </c>
      <c r="AM209" s="14">
        <f t="shared" si="31"/>
        <v>0</v>
      </c>
      <c r="AN209" s="14"/>
      <c r="AO209" s="14"/>
      <c r="AP209" s="16" t="str">
        <f>IF(AB209=0,"",IF(INDEX(Andamentos!$B$10:$B$2009,AB209)="","",INDEX(Andamentos!$B$10:$B$2009,AB209)))</f>
        <v/>
      </c>
      <c r="AQ209" s="17" t="str">
        <f>IF(AH209=0,"",IF(INDEX(Valores!$B$10:$B$509,AH209)="","",IF(ISNUMBER(INDEX(Valores!$B$10:$B$509,AH209)),INDEX(Valores!$B$10:$B$509,AH209),"")))</f>
        <v/>
      </c>
      <c r="AR209" s="14" t="str">
        <f t="shared" si="32"/>
        <v/>
      </c>
      <c r="AS209" s="14" t="str">
        <f t="shared" si="33"/>
        <v/>
      </c>
      <c r="AT209" s="27"/>
      <c r="AU209" s="31"/>
      <c r="AV209" s="31"/>
      <c r="AW209" s="27"/>
      <c r="AX209" s="27"/>
      <c r="AY209" s="27"/>
      <c r="AZ209" s="27"/>
      <c r="BA209" s="30" t="str">
        <f t="shared" si="34"/>
        <v/>
      </c>
      <c r="BB209" s="30" t="str">
        <f t="shared" si="35"/>
        <v/>
      </c>
      <c r="BC209" s="30">
        <f>IF(X209=0,0,IF(COUNTIFS($X$10:X209,1,$BA$10:BA209,BA209)=1,1,0))</f>
        <v>0</v>
      </c>
      <c r="BD209" s="29"/>
    </row>
    <row r="210" spans="1:56" ht="42" customHeight="1">
      <c r="A210" s="41"/>
      <c r="B210" s="44"/>
      <c r="C210" s="44"/>
      <c r="D210" s="44"/>
      <c r="E210" s="44"/>
      <c r="F210" s="44"/>
      <c r="G210" s="44"/>
      <c r="H210" s="44"/>
      <c r="I210" s="44"/>
      <c r="J210" s="44"/>
      <c r="K210" s="44"/>
      <c r="L210" s="49"/>
      <c r="M210" s="48"/>
      <c r="N210" s="48"/>
      <c r="O210" s="48"/>
      <c r="P210" s="48"/>
      <c r="Q210" s="48"/>
      <c r="R210" s="48"/>
      <c r="S210" s="49"/>
      <c r="T210" s="48"/>
      <c r="U210" s="48"/>
      <c r="V210" s="14">
        <f t="shared" si="27"/>
        <v>0</v>
      </c>
      <c r="W210" s="14">
        <f t="shared" si="28"/>
        <v>0</v>
      </c>
      <c r="X210" s="14">
        <f>IF(AND(V210=1,OR(Painel!$C$6="Todos",D210=Painel!$C$6),AND(OR(Painel!$L$6="Todas",E210=Painel!$L$6),OR(Painel!$C$8="Todos",F210=Painel!$C$8),OR(Painel!$L$8="Todos",G210=Painel!$L$8),OR(Painel!$C$10="",ISNUMBER(SEARCH(SUBSTITUTE(SUBSTITUTE(SUBSTITUTE(Painel!$C$10,"~","~~"),"*","~*"),"?","~?"),A210&amp;" "&amp;H210&amp;" "&amp;I210))))),1,0)</f>
        <v>0</v>
      </c>
      <c r="Y210" s="14">
        <f t="shared" si="29"/>
        <v>0</v>
      </c>
      <c r="Z210" s="15" t="str">
        <f>IF(V210=0,"",IF(COUNTIFS(Andamentos!$K$10:$K$2009,"="&amp;SUBSTITUTE(SUBSTITUTE(SUBSTITUTE("P:"&amp;A210,"~","~~"),"*","~*"),"?","~?"),Andamentos!$G$10:$G$2009,1)=0,"",_xlfn.AGGREGATE(14,6,Andamentos!$D$10:$D$2009/((Andamentos!$K$10:$K$2009=AS210)*(Andamentos!$G$10:$G$2009=1)),1)))</f>
        <v/>
      </c>
      <c r="AA210" s="14">
        <f>IF(Z210="",0,COUNTIFS(Andamentos!$K$10:$K$2009,"="&amp;SUBSTITUTE(SUBSTITUTE(SUBSTITUTE("P:"&amp;A210,"~","~~"),"*","~*"),"?","~?"),Andamentos!$D$10:$D$2009,Z210,Andamentos!$G$10:$G$2009,1))</f>
        <v>0</v>
      </c>
      <c r="AB210" s="14">
        <f>IF(AA210=1,SUMIFS(Andamentos!$L$10:$L$2009,Andamentos!$K$10:$K$2009,"="&amp;SUBSTITUTE(SUBSTITUTE(SUBSTITUTE(AS210,"~","~~"),"*","~*"),"?","~?"),Andamentos!$D$10:$D$2009,Z210,Andamentos!$G$10:$G$2009,1)-9,0)</f>
        <v>0</v>
      </c>
      <c r="AC210" s="14" t="str">
        <f>IF(V210=0,"",IF(AA210&gt;1,"Conferir recebimentos empatados",IF(AB210=0,"Sem atualização",INDEX(Andamentos!$C$10:$C$2009,AB210))))</f>
        <v/>
      </c>
      <c r="AD210" s="14">
        <f>IF(W210=0,0,IF(MAX(Z210,BD210)=0,1,IF(Configurar!$J$12-INT(MAX(Z210,BD210))&gt;Configurar!$J$11,1,0)))</f>
        <v>0</v>
      </c>
      <c r="AE210" s="16"/>
      <c r="AF210" s="14"/>
      <c r="AG210" s="14"/>
      <c r="AH210" s="14">
        <f>IF(AND(V210=1,COUNTIFS(Valores!$S$10:$S$509,"="&amp;SUBSTITUTE(SUBSTITUTE(SUBSTITUTE("P:"&amp;A210,"~","~~"),"*","~*"),"?","~?"))=1),(IF(ISNA(MATCH(SUBSTITUTE(SUBSTITUTE(SUBSTITUTE("P:"&amp;A210,"~","~~"),"*","~*"),"?","~?"),Valores!$S$10:$S$509,0)),9,INDEX(Valores!$R$10:$R$509,MATCH(SUBSTITUTE(SUBSTITUTE(SUBSTITUTE("P:"&amp;A210,"~","~~"),"*","~*"),"?","~?"),Valores!$S$10:$S$509,0)))-9),0)</f>
        <v>0</v>
      </c>
      <c r="AI210" s="40" t="str">
        <f t="shared" si="30"/>
        <v/>
      </c>
      <c r="AJ210" s="14" t="str">
        <f>IF(AND(X210=1,Y210=1),COUNTIFS($X$10:X210,1,$Y$10:Y210,1),"")</f>
        <v/>
      </c>
      <c r="AK210" s="14" t="str">
        <f>IF(X210=1,COUNTIFS($X$10:X210,1),"")</f>
        <v/>
      </c>
      <c r="AL210" s="14">
        <f>IF(AND(V210=1,AND(OR(Painel!$L$6="Todas",E210=Painel!$L$6),OR(Painel!$C$8="Todos",F210=Painel!$C$8),OR(Painel!$L$8="Todos",G210=Painel!$L$8),OR(Painel!$C$10="",ISNUMBER(SEARCH(SUBSTITUTE(SUBSTITUTE(SUBSTITUTE(Painel!$C$10,"~","~~"),"*","~*"),"?","~?"),A210&amp;" "&amp;H210&amp;" "&amp;I210))))),1,0)</f>
        <v>0</v>
      </c>
      <c r="AM210" s="14">
        <f t="shared" si="31"/>
        <v>0</v>
      </c>
      <c r="AN210" s="14"/>
      <c r="AO210" s="14"/>
      <c r="AP210" s="16" t="str">
        <f>IF(AB210=0,"",IF(INDEX(Andamentos!$B$10:$B$2009,AB210)="","",INDEX(Andamentos!$B$10:$B$2009,AB210)))</f>
        <v/>
      </c>
      <c r="AQ210" s="17" t="str">
        <f>IF(AH210=0,"",IF(INDEX(Valores!$B$10:$B$509,AH210)="","",IF(ISNUMBER(INDEX(Valores!$B$10:$B$509,AH210)),INDEX(Valores!$B$10:$B$509,AH210),"")))</f>
        <v/>
      </c>
      <c r="AR210" s="14" t="str">
        <f t="shared" si="32"/>
        <v/>
      </c>
      <c r="AS210" s="14" t="str">
        <f t="shared" si="33"/>
        <v/>
      </c>
      <c r="AT210" s="27"/>
      <c r="AU210" s="31"/>
      <c r="AV210" s="31"/>
      <c r="AW210" s="27"/>
      <c r="AX210" s="27"/>
      <c r="AY210" s="27"/>
      <c r="AZ210" s="27"/>
      <c r="BA210" s="30" t="str">
        <f t="shared" si="34"/>
        <v/>
      </c>
      <c r="BB210" s="30" t="str">
        <f t="shared" si="35"/>
        <v/>
      </c>
      <c r="BC210" s="30">
        <f>IF(X210=0,0,IF(COUNTIFS($X$10:X210,1,$BA$10:BA210,BA210)=1,1,0))</f>
        <v>0</v>
      </c>
      <c r="BD210" s="29"/>
    </row>
    <row r="211" spans="1:56" ht="42" customHeight="1">
      <c r="A211" s="41"/>
      <c r="B211" s="44"/>
      <c r="C211" s="44"/>
      <c r="D211" s="44"/>
      <c r="E211" s="44"/>
      <c r="F211" s="44"/>
      <c r="G211" s="44"/>
      <c r="H211" s="44"/>
      <c r="I211" s="44"/>
      <c r="J211" s="44"/>
      <c r="K211" s="44"/>
      <c r="L211" s="49"/>
      <c r="M211" s="48"/>
      <c r="N211" s="48"/>
      <c r="O211" s="48"/>
      <c r="P211" s="48"/>
      <c r="Q211" s="48"/>
      <c r="R211" s="48"/>
      <c r="S211" s="49"/>
      <c r="T211" s="48"/>
      <c r="U211" s="48"/>
      <c r="V211" s="14">
        <f t="shared" si="27"/>
        <v>0</v>
      </c>
      <c r="W211" s="14">
        <f t="shared" si="28"/>
        <v>0</v>
      </c>
      <c r="X211" s="14">
        <f>IF(AND(V211=1,OR(Painel!$C$6="Todos",D211=Painel!$C$6),AND(OR(Painel!$L$6="Todas",E211=Painel!$L$6),OR(Painel!$C$8="Todos",F211=Painel!$C$8),OR(Painel!$L$8="Todos",G211=Painel!$L$8),OR(Painel!$C$10="",ISNUMBER(SEARCH(SUBSTITUTE(SUBSTITUTE(SUBSTITUTE(Painel!$C$10,"~","~~"),"*","~*"),"?","~?"),A211&amp;" "&amp;H211&amp;" "&amp;I211))))),1,0)</f>
        <v>0</v>
      </c>
      <c r="Y211" s="14">
        <f t="shared" si="29"/>
        <v>0</v>
      </c>
      <c r="Z211" s="15" t="str">
        <f>IF(V211=0,"",IF(COUNTIFS(Andamentos!$K$10:$K$2009,"="&amp;SUBSTITUTE(SUBSTITUTE(SUBSTITUTE("P:"&amp;A211,"~","~~"),"*","~*"),"?","~?"),Andamentos!$G$10:$G$2009,1)=0,"",_xlfn.AGGREGATE(14,6,Andamentos!$D$10:$D$2009/((Andamentos!$K$10:$K$2009=AS211)*(Andamentos!$G$10:$G$2009=1)),1)))</f>
        <v/>
      </c>
      <c r="AA211" s="14">
        <f>IF(Z211="",0,COUNTIFS(Andamentos!$K$10:$K$2009,"="&amp;SUBSTITUTE(SUBSTITUTE(SUBSTITUTE("P:"&amp;A211,"~","~~"),"*","~*"),"?","~?"),Andamentos!$D$10:$D$2009,Z211,Andamentos!$G$10:$G$2009,1))</f>
        <v>0</v>
      </c>
      <c r="AB211" s="14">
        <f>IF(AA211=1,SUMIFS(Andamentos!$L$10:$L$2009,Andamentos!$K$10:$K$2009,"="&amp;SUBSTITUTE(SUBSTITUTE(SUBSTITUTE(AS211,"~","~~"),"*","~*"),"?","~?"),Andamentos!$D$10:$D$2009,Z211,Andamentos!$G$10:$G$2009,1)-9,0)</f>
        <v>0</v>
      </c>
      <c r="AC211" s="14" t="str">
        <f>IF(V211=0,"",IF(AA211&gt;1,"Conferir recebimentos empatados",IF(AB211=0,"Sem atualização",INDEX(Andamentos!$C$10:$C$2009,AB211))))</f>
        <v/>
      </c>
      <c r="AD211" s="14">
        <f>IF(W211=0,0,IF(MAX(Z211,BD211)=0,1,IF(Configurar!$J$12-INT(MAX(Z211,BD211))&gt;Configurar!$J$11,1,0)))</f>
        <v>0</v>
      </c>
      <c r="AE211" s="16"/>
      <c r="AF211" s="14"/>
      <c r="AG211" s="14"/>
      <c r="AH211" s="14">
        <f>IF(AND(V211=1,COUNTIFS(Valores!$S$10:$S$509,"="&amp;SUBSTITUTE(SUBSTITUTE(SUBSTITUTE("P:"&amp;A211,"~","~~"),"*","~*"),"?","~?"))=1),(IF(ISNA(MATCH(SUBSTITUTE(SUBSTITUTE(SUBSTITUTE("P:"&amp;A211,"~","~~"),"*","~*"),"?","~?"),Valores!$S$10:$S$509,0)),9,INDEX(Valores!$R$10:$R$509,MATCH(SUBSTITUTE(SUBSTITUTE(SUBSTITUTE("P:"&amp;A211,"~","~~"),"*","~*"),"?","~?"),Valores!$S$10:$S$509,0)))-9),0)</f>
        <v>0</v>
      </c>
      <c r="AI211" s="40" t="str">
        <f t="shared" si="30"/>
        <v/>
      </c>
      <c r="AJ211" s="14" t="str">
        <f>IF(AND(X211=1,Y211=1),COUNTIFS($X$10:X211,1,$Y$10:Y211,1),"")</f>
        <v/>
      </c>
      <c r="AK211" s="14" t="str">
        <f>IF(X211=1,COUNTIFS($X$10:X211,1),"")</f>
        <v/>
      </c>
      <c r="AL211" s="14">
        <f>IF(AND(V211=1,AND(OR(Painel!$L$6="Todas",E211=Painel!$L$6),OR(Painel!$C$8="Todos",F211=Painel!$C$8),OR(Painel!$L$8="Todos",G211=Painel!$L$8),OR(Painel!$C$10="",ISNUMBER(SEARCH(SUBSTITUTE(SUBSTITUTE(SUBSTITUTE(Painel!$C$10,"~","~~"),"*","~*"),"?","~?"),A211&amp;" "&amp;H211&amp;" "&amp;I211))))),1,0)</f>
        <v>0</v>
      </c>
      <c r="AM211" s="14">
        <f t="shared" si="31"/>
        <v>0</v>
      </c>
      <c r="AN211" s="14"/>
      <c r="AO211" s="14"/>
      <c r="AP211" s="16" t="str">
        <f>IF(AB211=0,"",IF(INDEX(Andamentos!$B$10:$B$2009,AB211)="","",INDEX(Andamentos!$B$10:$B$2009,AB211)))</f>
        <v/>
      </c>
      <c r="AQ211" s="17" t="str">
        <f>IF(AH211=0,"",IF(INDEX(Valores!$B$10:$B$509,AH211)="","",IF(ISNUMBER(INDEX(Valores!$B$10:$B$509,AH211)),INDEX(Valores!$B$10:$B$509,AH211),"")))</f>
        <v/>
      </c>
      <c r="AR211" s="14" t="str">
        <f t="shared" si="32"/>
        <v/>
      </c>
      <c r="AS211" s="14" t="str">
        <f t="shared" si="33"/>
        <v/>
      </c>
      <c r="AT211" s="27"/>
      <c r="AU211" s="31"/>
      <c r="AV211" s="31"/>
      <c r="AW211" s="27"/>
      <c r="AX211" s="27"/>
      <c r="AY211" s="27"/>
      <c r="AZ211" s="27"/>
      <c r="BA211" s="30" t="str">
        <f t="shared" si="34"/>
        <v/>
      </c>
      <c r="BB211" s="30" t="str">
        <f t="shared" si="35"/>
        <v/>
      </c>
      <c r="BC211" s="30">
        <f>IF(X211=0,0,IF(COUNTIFS($X$10:X211,1,$BA$10:BA211,BA211)=1,1,0))</f>
        <v>0</v>
      </c>
      <c r="BD211" s="29"/>
    </row>
    <row r="212" spans="1:56" ht="42" customHeight="1">
      <c r="A212" s="41"/>
      <c r="B212" s="44"/>
      <c r="C212" s="44"/>
      <c r="D212" s="44"/>
      <c r="E212" s="44"/>
      <c r="F212" s="44"/>
      <c r="G212" s="44"/>
      <c r="H212" s="44"/>
      <c r="I212" s="44"/>
      <c r="J212" s="44"/>
      <c r="K212" s="44"/>
      <c r="L212" s="49"/>
      <c r="M212" s="48"/>
      <c r="N212" s="48"/>
      <c r="O212" s="48"/>
      <c r="P212" s="48"/>
      <c r="Q212" s="48"/>
      <c r="R212" s="48"/>
      <c r="S212" s="49"/>
      <c r="T212" s="48"/>
      <c r="U212" s="48"/>
      <c r="V212" s="14">
        <f t="shared" si="27"/>
        <v>0</v>
      </c>
      <c r="W212" s="14">
        <f t="shared" si="28"/>
        <v>0</v>
      </c>
      <c r="X212" s="14">
        <f>IF(AND(V212=1,OR(Painel!$C$6="Todos",D212=Painel!$C$6),AND(OR(Painel!$L$6="Todas",E212=Painel!$L$6),OR(Painel!$C$8="Todos",F212=Painel!$C$8),OR(Painel!$L$8="Todos",G212=Painel!$L$8),OR(Painel!$C$10="",ISNUMBER(SEARCH(SUBSTITUTE(SUBSTITUTE(SUBSTITUTE(Painel!$C$10,"~","~~"),"*","~*"),"?","~?"),A212&amp;" "&amp;H212&amp;" "&amp;I212))))),1,0)</f>
        <v>0</v>
      </c>
      <c r="Y212" s="14">
        <f t="shared" si="29"/>
        <v>0</v>
      </c>
      <c r="Z212" s="15" t="str">
        <f>IF(V212=0,"",IF(COUNTIFS(Andamentos!$K$10:$K$2009,"="&amp;SUBSTITUTE(SUBSTITUTE(SUBSTITUTE("P:"&amp;A212,"~","~~"),"*","~*"),"?","~?"),Andamentos!$G$10:$G$2009,1)=0,"",_xlfn.AGGREGATE(14,6,Andamentos!$D$10:$D$2009/((Andamentos!$K$10:$K$2009=AS212)*(Andamentos!$G$10:$G$2009=1)),1)))</f>
        <v/>
      </c>
      <c r="AA212" s="14">
        <f>IF(Z212="",0,COUNTIFS(Andamentos!$K$10:$K$2009,"="&amp;SUBSTITUTE(SUBSTITUTE(SUBSTITUTE("P:"&amp;A212,"~","~~"),"*","~*"),"?","~?"),Andamentos!$D$10:$D$2009,Z212,Andamentos!$G$10:$G$2009,1))</f>
        <v>0</v>
      </c>
      <c r="AB212" s="14">
        <f>IF(AA212=1,SUMIFS(Andamentos!$L$10:$L$2009,Andamentos!$K$10:$K$2009,"="&amp;SUBSTITUTE(SUBSTITUTE(SUBSTITUTE(AS212,"~","~~"),"*","~*"),"?","~?"),Andamentos!$D$10:$D$2009,Z212,Andamentos!$G$10:$G$2009,1)-9,0)</f>
        <v>0</v>
      </c>
      <c r="AC212" s="14" t="str">
        <f>IF(V212=0,"",IF(AA212&gt;1,"Conferir recebimentos empatados",IF(AB212=0,"Sem atualização",INDEX(Andamentos!$C$10:$C$2009,AB212))))</f>
        <v/>
      </c>
      <c r="AD212" s="14">
        <f>IF(W212=0,0,IF(MAX(Z212,BD212)=0,1,IF(Configurar!$J$12-INT(MAX(Z212,BD212))&gt;Configurar!$J$11,1,0)))</f>
        <v>0</v>
      </c>
      <c r="AE212" s="16"/>
      <c r="AF212" s="14"/>
      <c r="AG212" s="14"/>
      <c r="AH212" s="14">
        <f>IF(AND(V212=1,COUNTIFS(Valores!$S$10:$S$509,"="&amp;SUBSTITUTE(SUBSTITUTE(SUBSTITUTE("P:"&amp;A212,"~","~~"),"*","~*"),"?","~?"))=1),(IF(ISNA(MATCH(SUBSTITUTE(SUBSTITUTE(SUBSTITUTE("P:"&amp;A212,"~","~~"),"*","~*"),"?","~?"),Valores!$S$10:$S$509,0)),9,INDEX(Valores!$R$10:$R$509,MATCH(SUBSTITUTE(SUBSTITUTE(SUBSTITUTE("P:"&amp;A212,"~","~~"),"*","~*"),"?","~?"),Valores!$S$10:$S$509,0)))-9),0)</f>
        <v>0</v>
      </c>
      <c r="AI212" s="40" t="str">
        <f t="shared" si="30"/>
        <v/>
      </c>
      <c r="AJ212" s="14" t="str">
        <f>IF(AND(X212=1,Y212=1),COUNTIFS($X$10:X212,1,$Y$10:Y212,1),"")</f>
        <v/>
      </c>
      <c r="AK212" s="14" t="str">
        <f>IF(X212=1,COUNTIFS($X$10:X212,1),"")</f>
        <v/>
      </c>
      <c r="AL212" s="14">
        <f>IF(AND(V212=1,AND(OR(Painel!$L$6="Todas",E212=Painel!$L$6),OR(Painel!$C$8="Todos",F212=Painel!$C$8),OR(Painel!$L$8="Todos",G212=Painel!$L$8),OR(Painel!$C$10="",ISNUMBER(SEARCH(SUBSTITUTE(SUBSTITUTE(SUBSTITUTE(Painel!$C$10,"~","~~"),"*","~*"),"?","~?"),A212&amp;" "&amp;H212&amp;" "&amp;I212))))),1,0)</f>
        <v>0</v>
      </c>
      <c r="AM212" s="14">
        <f t="shared" si="31"/>
        <v>0</v>
      </c>
      <c r="AN212" s="14"/>
      <c r="AO212" s="14"/>
      <c r="AP212" s="16" t="str">
        <f>IF(AB212=0,"",IF(INDEX(Andamentos!$B$10:$B$2009,AB212)="","",INDEX(Andamentos!$B$10:$B$2009,AB212)))</f>
        <v/>
      </c>
      <c r="AQ212" s="17" t="str">
        <f>IF(AH212=0,"",IF(INDEX(Valores!$B$10:$B$509,AH212)="","",IF(ISNUMBER(INDEX(Valores!$B$10:$B$509,AH212)),INDEX(Valores!$B$10:$B$509,AH212),"")))</f>
        <v/>
      </c>
      <c r="AR212" s="14" t="str">
        <f t="shared" si="32"/>
        <v/>
      </c>
      <c r="AS212" s="14" t="str">
        <f t="shared" si="33"/>
        <v/>
      </c>
      <c r="AT212" s="27"/>
      <c r="AU212" s="31"/>
      <c r="AV212" s="31"/>
      <c r="AW212" s="27"/>
      <c r="AX212" s="27"/>
      <c r="AY212" s="27"/>
      <c r="AZ212" s="27"/>
      <c r="BA212" s="30" t="str">
        <f t="shared" si="34"/>
        <v/>
      </c>
      <c r="BB212" s="30" t="str">
        <f t="shared" si="35"/>
        <v/>
      </c>
      <c r="BC212" s="30">
        <f>IF(X212=0,0,IF(COUNTIFS($X$10:X212,1,$BA$10:BA212,BA212)=1,1,0))</f>
        <v>0</v>
      </c>
      <c r="BD212" s="29"/>
    </row>
    <row r="213" spans="1:56" ht="42" customHeight="1">
      <c r="A213" s="41"/>
      <c r="B213" s="44"/>
      <c r="C213" s="44"/>
      <c r="D213" s="44"/>
      <c r="E213" s="44"/>
      <c r="F213" s="44"/>
      <c r="G213" s="44"/>
      <c r="H213" s="44"/>
      <c r="I213" s="44"/>
      <c r="J213" s="44"/>
      <c r="K213" s="44"/>
      <c r="L213" s="49"/>
      <c r="M213" s="48"/>
      <c r="N213" s="48"/>
      <c r="O213" s="48"/>
      <c r="P213" s="48"/>
      <c r="Q213" s="48"/>
      <c r="R213" s="48"/>
      <c r="S213" s="49"/>
      <c r="T213" s="48"/>
      <c r="U213" s="48"/>
      <c r="V213" s="14">
        <f t="shared" si="27"/>
        <v>0</v>
      </c>
      <c r="W213" s="14">
        <f t="shared" si="28"/>
        <v>0</v>
      </c>
      <c r="X213" s="14">
        <f>IF(AND(V213=1,OR(Painel!$C$6="Todos",D213=Painel!$C$6),AND(OR(Painel!$L$6="Todas",E213=Painel!$L$6),OR(Painel!$C$8="Todos",F213=Painel!$C$8),OR(Painel!$L$8="Todos",G213=Painel!$L$8),OR(Painel!$C$10="",ISNUMBER(SEARCH(SUBSTITUTE(SUBSTITUTE(SUBSTITUTE(Painel!$C$10,"~","~~"),"*","~*"),"?","~?"),A213&amp;" "&amp;H213&amp;" "&amp;I213))))),1,0)</f>
        <v>0</v>
      </c>
      <c r="Y213" s="14">
        <f t="shared" si="29"/>
        <v>0</v>
      </c>
      <c r="Z213" s="15" t="str">
        <f>IF(V213=0,"",IF(COUNTIFS(Andamentos!$K$10:$K$2009,"="&amp;SUBSTITUTE(SUBSTITUTE(SUBSTITUTE("P:"&amp;A213,"~","~~"),"*","~*"),"?","~?"),Andamentos!$G$10:$G$2009,1)=0,"",_xlfn.AGGREGATE(14,6,Andamentos!$D$10:$D$2009/((Andamentos!$K$10:$K$2009=AS213)*(Andamentos!$G$10:$G$2009=1)),1)))</f>
        <v/>
      </c>
      <c r="AA213" s="14">
        <f>IF(Z213="",0,COUNTIFS(Andamentos!$K$10:$K$2009,"="&amp;SUBSTITUTE(SUBSTITUTE(SUBSTITUTE("P:"&amp;A213,"~","~~"),"*","~*"),"?","~?"),Andamentos!$D$10:$D$2009,Z213,Andamentos!$G$10:$G$2009,1))</f>
        <v>0</v>
      </c>
      <c r="AB213" s="14">
        <f>IF(AA213=1,SUMIFS(Andamentos!$L$10:$L$2009,Andamentos!$K$10:$K$2009,"="&amp;SUBSTITUTE(SUBSTITUTE(SUBSTITUTE(AS213,"~","~~"),"*","~*"),"?","~?"),Andamentos!$D$10:$D$2009,Z213,Andamentos!$G$10:$G$2009,1)-9,0)</f>
        <v>0</v>
      </c>
      <c r="AC213" s="14" t="str">
        <f>IF(V213=0,"",IF(AA213&gt;1,"Conferir recebimentos empatados",IF(AB213=0,"Sem atualização",INDEX(Andamentos!$C$10:$C$2009,AB213))))</f>
        <v/>
      </c>
      <c r="AD213" s="14">
        <f>IF(W213=0,0,IF(MAX(Z213,BD213)=0,1,IF(Configurar!$J$12-INT(MAX(Z213,BD213))&gt;Configurar!$J$11,1,0)))</f>
        <v>0</v>
      </c>
      <c r="AE213" s="16"/>
      <c r="AF213" s="14"/>
      <c r="AG213" s="14"/>
      <c r="AH213" s="14">
        <f>IF(AND(V213=1,COUNTIFS(Valores!$S$10:$S$509,"="&amp;SUBSTITUTE(SUBSTITUTE(SUBSTITUTE("P:"&amp;A213,"~","~~"),"*","~*"),"?","~?"))=1),(IF(ISNA(MATCH(SUBSTITUTE(SUBSTITUTE(SUBSTITUTE("P:"&amp;A213,"~","~~"),"*","~*"),"?","~?"),Valores!$S$10:$S$509,0)),9,INDEX(Valores!$R$10:$R$509,MATCH(SUBSTITUTE(SUBSTITUTE(SUBSTITUTE("P:"&amp;A213,"~","~~"),"*","~*"),"?","~?"),Valores!$S$10:$S$509,0)))-9),0)</f>
        <v>0</v>
      </c>
      <c r="AI213" s="40" t="str">
        <f t="shared" si="30"/>
        <v/>
      </c>
      <c r="AJ213" s="14" t="str">
        <f>IF(AND(X213=1,Y213=1),COUNTIFS($X$10:X213,1,$Y$10:Y213,1),"")</f>
        <v/>
      </c>
      <c r="AK213" s="14" t="str">
        <f>IF(X213=1,COUNTIFS($X$10:X213,1),"")</f>
        <v/>
      </c>
      <c r="AL213" s="14">
        <f>IF(AND(V213=1,AND(OR(Painel!$L$6="Todas",E213=Painel!$L$6),OR(Painel!$C$8="Todos",F213=Painel!$C$8),OR(Painel!$L$8="Todos",G213=Painel!$L$8),OR(Painel!$C$10="",ISNUMBER(SEARCH(SUBSTITUTE(SUBSTITUTE(SUBSTITUTE(Painel!$C$10,"~","~~"),"*","~*"),"?","~?"),A213&amp;" "&amp;H213&amp;" "&amp;I213))))),1,0)</f>
        <v>0</v>
      </c>
      <c r="AM213" s="14">
        <f t="shared" si="31"/>
        <v>0</v>
      </c>
      <c r="AN213" s="14"/>
      <c r="AO213" s="14"/>
      <c r="AP213" s="16" t="str">
        <f>IF(AB213=0,"",IF(INDEX(Andamentos!$B$10:$B$2009,AB213)="","",INDEX(Andamentos!$B$10:$B$2009,AB213)))</f>
        <v/>
      </c>
      <c r="AQ213" s="17" t="str">
        <f>IF(AH213=0,"",IF(INDEX(Valores!$B$10:$B$509,AH213)="","",IF(ISNUMBER(INDEX(Valores!$B$10:$B$509,AH213)),INDEX(Valores!$B$10:$B$509,AH213),"")))</f>
        <v/>
      </c>
      <c r="AR213" s="14" t="str">
        <f t="shared" si="32"/>
        <v/>
      </c>
      <c r="AS213" s="14" t="str">
        <f t="shared" si="33"/>
        <v/>
      </c>
      <c r="AT213" s="27"/>
      <c r="AU213" s="31"/>
      <c r="AV213" s="31"/>
      <c r="AW213" s="27"/>
      <c r="AX213" s="27"/>
      <c r="AY213" s="27"/>
      <c r="AZ213" s="27"/>
      <c r="BA213" s="30" t="str">
        <f t="shared" si="34"/>
        <v/>
      </c>
      <c r="BB213" s="30" t="str">
        <f t="shared" si="35"/>
        <v/>
      </c>
      <c r="BC213" s="30">
        <f>IF(X213=0,0,IF(COUNTIFS($X$10:X213,1,$BA$10:BA213,BA213)=1,1,0))</f>
        <v>0</v>
      </c>
      <c r="BD213" s="29"/>
    </row>
    <row r="214" spans="1:56" ht="42" customHeight="1">
      <c r="A214" s="41"/>
      <c r="B214" s="44"/>
      <c r="C214" s="44"/>
      <c r="D214" s="44"/>
      <c r="E214" s="44"/>
      <c r="F214" s="44"/>
      <c r="G214" s="44"/>
      <c r="H214" s="44"/>
      <c r="I214" s="44"/>
      <c r="J214" s="44"/>
      <c r="K214" s="44"/>
      <c r="L214" s="49"/>
      <c r="M214" s="48"/>
      <c r="N214" s="48"/>
      <c r="O214" s="48"/>
      <c r="P214" s="48"/>
      <c r="Q214" s="48"/>
      <c r="R214" s="48"/>
      <c r="S214" s="49"/>
      <c r="T214" s="48"/>
      <c r="U214" s="48"/>
      <c r="V214" s="14">
        <f t="shared" si="27"/>
        <v>0</v>
      </c>
      <c r="W214" s="14">
        <f t="shared" si="28"/>
        <v>0</v>
      </c>
      <c r="X214" s="14">
        <f>IF(AND(V214=1,OR(Painel!$C$6="Todos",D214=Painel!$C$6),AND(OR(Painel!$L$6="Todas",E214=Painel!$L$6),OR(Painel!$C$8="Todos",F214=Painel!$C$8),OR(Painel!$L$8="Todos",G214=Painel!$L$8),OR(Painel!$C$10="",ISNUMBER(SEARCH(SUBSTITUTE(SUBSTITUTE(SUBSTITUTE(Painel!$C$10,"~","~~"),"*","~*"),"?","~?"),A214&amp;" "&amp;H214&amp;" "&amp;I214))))),1,0)</f>
        <v>0</v>
      </c>
      <c r="Y214" s="14">
        <f t="shared" si="29"/>
        <v>0</v>
      </c>
      <c r="Z214" s="15" t="str">
        <f>IF(V214=0,"",IF(COUNTIFS(Andamentos!$K$10:$K$2009,"="&amp;SUBSTITUTE(SUBSTITUTE(SUBSTITUTE("P:"&amp;A214,"~","~~"),"*","~*"),"?","~?"),Andamentos!$G$10:$G$2009,1)=0,"",_xlfn.AGGREGATE(14,6,Andamentos!$D$10:$D$2009/((Andamentos!$K$10:$K$2009=AS214)*(Andamentos!$G$10:$G$2009=1)),1)))</f>
        <v/>
      </c>
      <c r="AA214" s="14">
        <f>IF(Z214="",0,COUNTIFS(Andamentos!$K$10:$K$2009,"="&amp;SUBSTITUTE(SUBSTITUTE(SUBSTITUTE("P:"&amp;A214,"~","~~"),"*","~*"),"?","~?"),Andamentos!$D$10:$D$2009,Z214,Andamentos!$G$10:$G$2009,1))</f>
        <v>0</v>
      </c>
      <c r="AB214" s="14">
        <f>IF(AA214=1,SUMIFS(Andamentos!$L$10:$L$2009,Andamentos!$K$10:$K$2009,"="&amp;SUBSTITUTE(SUBSTITUTE(SUBSTITUTE(AS214,"~","~~"),"*","~*"),"?","~?"),Andamentos!$D$10:$D$2009,Z214,Andamentos!$G$10:$G$2009,1)-9,0)</f>
        <v>0</v>
      </c>
      <c r="AC214" s="14" t="str">
        <f>IF(V214=0,"",IF(AA214&gt;1,"Conferir recebimentos empatados",IF(AB214=0,"Sem atualização",INDEX(Andamentos!$C$10:$C$2009,AB214))))</f>
        <v/>
      </c>
      <c r="AD214" s="14">
        <f>IF(W214=0,0,IF(MAX(Z214,BD214)=0,1,IF(Configurar!$J$12-INT(MAX(Z214,BD214))&gt;Configurar!$J$11,1,0)))</f>
        <v>0</v>
      </c>
      <c r="AE214" s="16"/>
      <c r="AF214" s="14"/>
      <c r="AG214" s="14"/>
      <c r="AH214" s="14">
        <f>IF(AND(V214=1,COUNTIFS(Valores!$S$10:$S$509,"="&amp;SUBSTITUTE(SUBSTITUTE(SUBSTITUTE("P:"&amp;A214,"~","~~"),"*","~*"),"?","~?"))=1),(IF(ISNA(MATCH(SUBSTITUTE(SUBSTITUTE(SUBSTITUTE("P:"&amp;A214,"~","~~"),"*","~*"),"?","~?"),Valores!$S$10:$S$509,0)),9,INDEX(Valores!$R$10:$R$509,MATCH(SUBSTITUTE(SUBSTITUTE(SUBSTITUTE("P:"&amp;A214,"~","~~"),"*","~*"),"?","~?"),Valores!$S$10:$S$509,0)))-9),0)</f>
        <v>0</v>
      </c>
      <c r="AI214" s="40" t="str">
        <f t="shared" si="30"/>
        <v/>
      </c>
      <c r="AJ214" s="14" t="str">
        <f>IF(AND(X214=1,Y214=1),COUNTIFS($X$10:X214,1,$Y$10:Y214,1),"")</f>
        <v/>
      </c>
      <c r="AK214" s="14" t="str">
        <f>IF(X214=1,COUNTIFS($X$10:X214,1),"")</f>
        <v/>
      </c>
      <c r="AL214" s="14">
        <f>IF(AND(V214=1,AND(OR(Painel!$L$6="Todas",E214=Painel!$L$6),OR(Painel!$C$8="Todos",F214=Painel!$C$8),OR(Painel!$L$8="Todos",G214=Painel!$L$8),OR(Painel!$C$10="",ISNUMBER(SEARCH(SUBSTITUTE(SUBSTITUTE(SUBSTITUTE(Painel!$C$10,"~","~~"),"*","~*"),"?","~?"),A214&amp;" "&amp;H214&amp;" "&amp;I214))))),1,0)</f>
        <v>0</v>
      </c>
      <c r="AM214" s="14">
        <f t="shared" si="31"/>
        <v>0</v>
      </c>
      <c r="AN214" s="14"/>
      <c r="AO214" s="14"/>
      <c r="AP214" s="16" t="str">
        <f>IF(AB214=0,"",IF(INDEX(Andamentos!$B$10:$B$2009,AB214)="","",INDEX(Andamentos!$B$10:$B$2009,AB214)))</f>
        <v/>
      </c>
      <c r="AQ214" s="17" t="str">
        <f>IF(AH214=0,"",IF(INDEX(Valores!$B$10:$B$509,AH214)="","",IF(ISNUMBER(INDEX(Valores!$B$10:$B$509,AH214)),INDEX(Valores!$B$10:$B$509,AH214),"")))</f>
        <v/>
      </c>
      <c r="AR214" s="14" t="str">
        <f t="shared" si="32"/>
        <v/>
      </c>
      <c r="AS214" s="14" t="str">
        <f t="shared" si="33"/>
        <v/>
      </c>
      <c r="AT214" s="27"/>
      <c r="AU214" s="31"/>
      <c r="AV214" s="31"/>
      <c r="AW214" s="27"/>
      <c r="AX214" s="27"/>
      <c r="AY214" s="27"/>
      <c r="AZ214" s="27"/>
      <c r="BA214" s="30" t="str">
        <f t="shared" si="34"/>
        <v/>
      </c>
      <c r="BB214" s="30" t="str">
        <f t="shared" si="35"/>
        <v/>
      </c>
      <c r="BC214" s="30">
        <f>IF(X214=0,0,IF(COUNTIFS($X$10:X214,1,$BA$10:BA214,BA214)=1,1,0))</f>
        <v>0</v>
      </c>
      <c r="BD214" s="29"/>
    </row>
    <row r="215" spans="1:56" ht="42" customHeight="1">
      <c r="A215" s="41"/>
      <c r="B215" s="44"/>
      <c r="C215" s="44"/>
      <c r="D215" s="44"/>
      <c r="E215" s="44"/>
      <c r="F215" s="44"/>
      <c r="G215" s="44"/>
      <c r="H215" s="44"/>
      <c r="I215" s="44"/>
      <c r="J215" s="44"/>
      <c r="K215" s="44"/>
      <c r="L215" s="49"/>
      <c r="M215" s="48"/>
      <c r="N215" s="48"/>
      <c r="O215" s="48"/>
      <c r="P215" s="48"/>
      <c r="Q215" s="48"/>
      <c r="R215" s="48"/>
      <c r="S215" s="49"/>
      <c r="T215" s="48"/>
      <c r="U215" s="48"/>
      <c r="V215" s="14">
        <f t="shared" si="27"/>
        <v>0</v>
      </c>
      <c r="W215" s="14">
        <f t="shared" si="28"/>
        <v>0</v>
      </c>
      <c r="X215" s="14">
        <f>IF(AND(V215=1,OR(Painel!$C$6="Todos",D215=Painel!$C$6),AND(OR(Painel!$L$6="Todas",E215=Painel!$L$6),OR(Painel!$C$8="Todos",F215=Painel!$C$8),OR(Painel!$L$8="Todos",G215=Painel!$L$8),OR(Painel!$C$10="",ISNUMBER(SEARCH(SUBSTITUTE(SUBSTITUTE(SUBSTITUTE(Painel!$C$10,"~","~~"),"*","~*"),"?","~?"),A215&amp;" "&amp;H215&amp;" "&amp;I215))))),1,0)</f>
        <v>0</v>
      </c>
      <c r="Y215" s="14">
        <f t="shared" si="29"/>
        <v>0</v>
      </c>
      <c r="Z215" s="15" t="str">
        <f>IF(V215=0,"",IF(COUNTIFS(Andamentos!$K$10:$K$2009,"="&amp;SUBSTITUTE(SUBSTITUTE(SUBSTITUTE("P:"&amp;A215,"~","~~"),"*","~*"),"?","~?"),Andamentos!$G$10:$G$2009,1)=0,"",_xlfn.AGGREGATE(14,6,Andamentos!$D$10:$D$2009/((Andamentos!$K$10:$K$2009=AS215)*(Andamentos!$G$10:$G$2009=1)),1)))</f>
        <v/>
      </c>
      <c r="AA215" s="14">
        <f>IF(Z215="",0,COUNTIFS(Andamentos!$K$10:$K$2009,"="&amp;SUBSTITUTE(SUBSTITUTE(SUBSTITUTE("P:"&amp;A215,"~","~~"),"*","~*"),"?","~?"),Andamentos!$D$10:$D$2009,Z215,Andamentos!$G$10:$G$2009,1))</f>
        <v>0</v>
      </c>
      <c r="AB215" s="14">
        <f>IF(AA215=1,SUMIFS(Andamentos!$L$10:$L$2009,Andamentos!$K$10:$K$2009,"="&amp;SUBSTITUTE(SUBSTITUTE(SUBSTITUTE(AS215,"~","~~"),"*","~*"),"?","~?"),Andamentos!$D$10:$D$2009,Z215,Andamentos!$G$10:$G$2009,1)-9,0)</f>
        <v>0</v>
      </c>
      <c r="AC215" s="14" t="str">
        <f>IF(V215=0,"",IF(AA215&gt;1,"Conferir recebimentos empatados",IF(AB215=0,"Sem atualização",INDEX(Andamentos!$C$10:$C$2009,AB215))))</f>
        <v/>
      </c>
      <c r="AD215" s="14">
        <f>IF(W215=0,0,IF(MAX(Z215,BD215)=0,1,IF(Configurar!$J$12-INT(MAX(Z215,BD215))&gt;Configurar!$J$11,1,0)))</f>
        <v>0</v>
      </c>
      <c r="AE215" s="16"/>
      <c r="AF215" s="14"/>
      <c r="AG215" s="14"/>
      <c r="AH215" s="14">
        <f>IF(AND(V215=1,COUNTIFS(Valores!$S$10:$S$509,"="&amp;SUBSTITUTE(SUBSTITUTE(SUBSTITUTE("P:"&amp;A215,"~","~~"),"*","~*"),"?","~?"))=1),(IF(ISNA(MATCH(SUBSTITUTE(SUBSTITUTE(SUBSTITUTE("P:"&amp;A215,"~","~~"),"*","~*"),"?","~?"),Valores!$S$10:$S$509,0)),9,INDEX(Valores!$R$10:$R$509,MATCH(SUBSTITUTE(SUBSTITUTE(SUBSTITUTE("P:"&amp;A215,"~","~~"),"*","~*"),"?","~?"),Valores!$S$10:$S$509,0)))-9),0)</f>
        <v>0</v>
      </c>
      <c r="AI215" s="40" t="str">
        <f t="shared" si="30"/>
        <v/>
      </c>
      <c r="AJ215" s="14" t="str">
        <f>IF(AND(X215=1,Y215=1),COUNTIFS($X$10:X215,1,$Y$10:Y215,1),"")</f>
        <v/>
      </c>
      <c r="AK215" s="14" t="str">
        <f>IF(X215=1,COUNTIFS($X$10:X215,1),"")</f>
        <v/>
      </c>
      <c r="AL215" s="14">
        <f>IF(AND(V215=1,AND(OR(Painel!$L$6="Todas",E215=Painel!$L$6),OR(Painel!$C$8="Todos",F215=Painel!$C$8),OR(Painel!$L$8="Todos",G215=Painel!$L$8),OR(Painel!$C$10="",ISNUMBER(SEARCH(SUBSTITUTE(SUBSTITUTE(SUBSTITUTE(Painel!$C$10,"~","~~"),"*","~*"),"?","~?"),A215&amp;" "&amp;H215&amp;" "&amp;I215))))),1,0)</f>
        <v>0</v>
      </c>
      <c r="AM215" s="14">
        <f t="shared" si="31"/>
        <v>0</v>
      </c>
      <c r="AN215" s="14"/>
      <c r="AO215" s="14"/>
      <c r="AP215" s="16" t="str">
        <f>IF(AB215=0,"",IF(INDEX(Andamentos!$B$10:$B$2009,AB215)="","",INDEX(Andamentos!$B$10:$B$2009,AB215)))</f>
        <v/>
      </c>
      <c r="AQ215" s="17" t="str">
        <f>IF(AH215=0,"",IF(INDEX(Valores!$B$10:$B$509,AH215)="","",IF(ISNUMBER(INDEX(Valores!$B$10:$B$509,AH215)),INDEX(Valores!$B$10:$B$509,AH215),"")))</f>
        <v/>
      </c>
      <c r="AR215" s="14" t="str">
        <f t="shared" si="32"/>
        <v/>
      </c>
      <c r="AS215" s="14" t="str">
        <f t="shared" si="33"/>
        <v/>
      </c>
      <c r="AT215" s="27"/>
      <c r="AU215" s="31"/>
      <c r="AV215" s="31"/>
      <c r="AW215" s="27"/>
      <c r="AX215" s="27"/>
      <c r="AY215" s="27"/>
      <c r="AZ215" s="27"/>
      <c r="BA215" s="30" t="str">
        <f t="shared" si="34"/>
        <v/>
      </c>
      <c r="BB215" s="30" t="str">
        <f t="shared" si="35"/>
        <v/>
      </c>
      <c r="BC215" s="30">
        <f>IF(X215=0,0,IF(COUNTIFS($X$10:X215,1,$BA$10:BA215,BA215)=1,1,0))</f>
        <v>0</v>
      </c>
      <c r="BD215" s="29"/>
    </row>
    <row r="216" spans="1:56" ht="42" customHeight="1">
      <c r="A216" s="41"/>
      <c r="B216" s="44"/>
      <c r="C216" s="44"/>
      <c r="D216" s="44"/>
      <c r="E216" s="44"/>
      <c r="F216" s="44"/>
      <c r="G216" s="44"/>
      <c r="H216" s="44"/>
      <c r="I216" s="44"/>
      <c r="J216" s="44"/>
      <c r="K216" s="44"/>
      <c r="L216" s="49"/>
      <c r="M216" s="48"/>
      <c r="N216" s="48"/>
      <c r="O216" s="48"/>
      <c r="P216" s="48"/>
      <c r="Q216" s="48"/>
      <c r="R216" s="48"/>
      <c r="S216" s="49"/>
      <c r="T216" s="48"/>
      <c r="U216" s="48"/>
      <c r="V216" s="14">
        <f t="shared" si="27"/>
        <v>0</v>
      </c>
      <c r="W216" s="14">
        <f t="shared" si="28"/>
        <v>0</v>
      </c>
      <c r="X216" s="14">
        <f>IF(AND(V216=1,OR(Painel!$C$6="Todos",D216=Painel!$C$6),AND(OR(Painel!$L$6="Todas",E216=Painel!$L$6),OR(Painel!$C$8="Todos",F216=Painel!$C$8),OR(Painel!$L$8="Todos",G216=Painel!$L$8),OR(Painel!$C$10="",ISNUMBER(SEARCH(SUBSTITUTE(SUBSTITUTE(SUBSTITUTE(Painel!$C$10,"~","~~"),"*","~*"),"?","~?"),A216&amp;" "&amp;H216&amp;" "&amp;I216))))),1,0)</f>
        <v>0</v>
      </c>
      <c r="Y216" s="14">
        <f t="shared" si="29"/>
        <v>0</v>
      </c>
      <c r="Z216" s="15" t="str">
        <f>IF(V216=0,"",IF(COUNTIFS(Andamentos!$K$10:$K$2009,"="&amp;SUBSTITUTE(SUBSTITUTE(SUBSTITUTE("P:"&amp;A216,"~","~~"),"*","~*"),"?","~?"),Andamentos!$G$10:$G$2009,1)=0,"",_xlfn.AGGREGATE(14,6,Andamentos!$D$10:$D$2009/((Andamentos!$K$10:$K$2009=AS216)*(Andamentos!$G$10:$G$2009=1)),1)))</f>
        <v/>
      </c>
      <c r="AA216" s="14">
        <f>IF(Z216="",0,COUNTIFS(Andamentos!$K$10:$K$2009,"="&amp;SUBSTITUTE(SUBSTITUTE(SUBSTITUTE("P:"&amp;A216,"~","~~"),"*","~*"),"?","~?"),Andamentos!$D$10:$D$2009,Z216,Andamentos!$G$10:$G$2009,1))</f>
        <v>0</v>
      </c>
      <c r="AB216" s="14">
        <f>IF(AA216=1,SUMIFS(Andamentos!$L$10:$L$2009,Andamentos!$K$10:$K$2009,"="&amp;SUBSTITUTE(SUBSTITUTE(SUBSTITUTE(AS216,"~","~~"),"*","~*"),"?","~?"),Andamentos!$D$10:$D$2009,Z216,Andamentos!$G$10:$G$2009,1)-9,0)</f>
        <v>0</v>
      </c>
      <c r="AC216" s="14" t="str">
        <f>IF(V216=0,"",IF(AA216&gt;1,"Conferir recebimentos empatados",IF(AB216=0,"Sem atualização",INDEX(Andamentos!$C$10:$C$2009,AB216))))</f>
        <v/>
      </c>
      <c r="AD216" s="14">
        <f>IF(W216=0,0,IF(MAX(Z216,BD216)=0,1,IF(Configurar!$J$12-INT(MAX(Z216,BD216))&gt;Configurar!$J$11,1,0)))</f>
        <v>0</v>
      </c>
      <c r="AE216" s="16"/>
      <c r="AF216" s="14"/>
      <c r="AG216" s="14"/>
      <c r="AH216" s="14">
        <f>IF(AND(V216=1,COUNTIFS(Valores!$S$10:$S$509,"="&amp;SUBSTITUTE(SUBSTITUTE(SUBSTITUTE("P:"&amp;A216,"~","~~"),"*","~*"),"?","~?"))=1),(IF(ISNA(MATCH(SUBSTITUTE(SUBSTITUTE(SUBSTITUTE("P:"&amp;A216,"~","~~"),"*","~*"),"?","~?"),Valores!$S$10:$S$509,0)),9,INDEX(Valores!$R$10:$R$509,MATCH(SUBSTITUTE(SUBSTITUTE(SUBSTITUTE("P:"&amp;A216,"~","~~"),"*","~*"),"?","~?"),Valores!$S$10:$S$509,0)))-9),0)</f>
        <v>0</v>
      </c>
      <c r="AI216" s="40" t="str">
        <f t="shared" si="30"/>
        <v/>
      </c>
      <c r="AJ216" s="14" t="str">
        <f>IF(AND(X216=1,Y216=1),COUNTIFS($X$10:X216,1,$Y$10:Y216,1),"")</f>
        <v/>
      </c>
      <c r="AK216" s="14" t="str">
        <f>IF(X216=1,COUNTIFS($X$10:X216,1),"")</f>
        <v/>
      </c>
      <c r="AL216" s="14">
        <f>IF(AND(V216=1,AND(OR(Painel!$L$6="Todas",E216=Painel!$L$6),OR(Painel!$C$8="Todos",F216=Painel!$C$8),OR(Painel!$L$8="Todos",G216=Painel!$L$8),OR(Painel!$C$10="",ISNUMBER(SEARCH(SUBSTITUTE(SUBSTITUTE(SUBSTITUTE(Painel!$C$10,"~","~~"),"*","~*"),"?","~?"),A216&amp;" "&amp;H216&amp;" "&amp;I216))))),1,0)</f>
        <v>0</v>
      </c>
      <c r="AM216" s="14">
        <f t="shared" si="31"/>
        <v>0</v>
      </c>
      <c r="AN216" s="14"/>
      <c r="AO216" s="14"/>
      <c r="AP216" s="16" t="str">
        <f>IF(AB216=0,"",IF(INDEX(Andamentos!$B$10:$B$2009,AB216)="","",INDEX(Andamentos!$B$10:$B$2009,AB216)))</f>
        <v/>
      </c>
      <c r="AQ216" s="17" t="str">
        <f>IF(AH216=0,"",IF(INDEX(Valores!$B$10:$B$509,AH216)="","",IF(ISNUMBER(INDEX(Valores!$B$10:$B$509,AH216)),INDEX(Valores!$B$10:$B$509,AH216),"")))</f>
        <v/>
      </c>
      <c r="AR216" s="14" t="str">
        <f t="shared" si="32"/>
        <v/>
      </c>
      <c r="AS216" s="14" t="str">
        <f t="shared" si="33"/>
        <v/>
      </c>
      <c r="AT216" s="27"/>
      <c r="AU216" s="31"/>
      <c r="AV216" s="31"/>
      <c r="AW216" s="27"/>
      <c r="AX216" s="27"/>
      <c r="AY216" s="27"/>
      <c r="AZ216" s="27"/>
      <c r="BA216" s="30" t="str">
        <f t="shared" si="34"/>
        <v/>
      </c>
      <c r="BB216" s="30" t="str">
        <f t="shared" si="35"/>
        <v/>
      </c>
      <c r="BC216" s="30">
        <f>IF(X216=0,0,IF(COUNTIFS($X$10:X216,1,$BA$10:BA216,BA216)=1,1,0))</f>
        <v>0</v>
      </c>
      <c r="BD216" s="29"/>
    </row>
    <row r="217" spans="1:56" ht="42" customHeight="1">
      <c r="A217" s="41"/>
      <c r="B217" s="44"/>
      <c r="C217" s="44"/>
      <c r="D217" s="44"/>
      <c r="E217" s="44"/>
      <c r="F217" s="44"/>
      <c r="G217" s="44"/>
      <c r="H217" s="44"/>
      <c r="I217" s="44"/>
      <c r="J217" s="44"/>
      <c r="K217" s="44"/>
      <c r="L217" s="49"/>
      <c r="M217" s="48"/>
      <c r="N217" s="48"/>
      <c r="O217" s="48"/>
      <c r="P217" s="48"/>
      <c r="Q217" s="48"/>
      <c r="R217" s="48"/>
      <c r="S217" s="49"/>
      <c r="T217" s="48"/>
      <c r="U217" s="48"/>
      <c r="V217" s="14">
        <f t="shared" si="27"/>
        <v>0</v>
      </c>
      <c r="W217" s="14">
        <f t="shared" si="28"/>
        <v>0</v>
      </c>
      <c r="X217" s="14">
        <f>IF(AND(V217=1,OR(Painel!$C$6="Todos",D217=Painel!$C$6),AND(OR(Painel!$L$6="Todas",E217=Painel!$L$6),OR(Painel!$C$8="Todos",F217=Painel!$C$8),OR(Painel!$L$8="Todos",G217=Painel!$L$8),OR(Painel!$C$10="",ISNUMBER(SEARCH(SUBSTITUTE(SUBSTITUTE(SUBSTITUTE(Painel!$C$10,"~","~~"),"*","~*"),"?","~?"),A217&amp;" "&amp;H217&amp;" "&amp;I217))))),1,0)</f>
        <v>0</v>
      </c>
      <c r="Y217" s="14">
        <f t="shared" si="29"/>
        <v>0</v>
      </c>
      <c r="Z217" s="15" t="str">
        <f>IF(V217=0,"",IF(COUNTIFS(Andamentos!$K$10:$K$2009,"="&amp;SUBSTITUTE(SUBSTITUTE(SUBSTITUTE("P:"&amp;A217,"~","~~"),"*","~*"),"?","~?"),Andamentos!$G$10:$G$2009,1)=0,"",_xlfn.AGGREGATE(14,6,Andamentos!$D$10:$D$2009/((Andamentos!$K$10:$K$2009=AS217)*(Andamentos!$G$10:$G$2009=1)),1)))</f>
        <v/>
      </c>
      <c r="AA217" s="14">
        <f>IF(Z217="",0,COUNTIFS(Andamentos!$K$10:$K$2009,"="&amp;SUBSTITUTE(SUBSTITUTE(SUBSTITUTE("P:"&amp;A217,"~","~~"),"*","~*"),"?","~?"),Andamentos!$D$10:$D$2009,Z217,Andamentos!$G$10:$G$2009,1))</f>
        <v>0</v>
      </c>
      <c r="AB217" s="14">
        <f>IF(AA217=1,SUMIFS(Andamentos!$L$10:$L$2009,Andamentos!$K$10:$K$2009,"="&amp;SUBSTITUTE(SUBSTITUTE(SUBSTITUTE(AS217,"~","~~"),"*","~*"),"?","~?"),Andamentos!$D$10:$D$2009,Z217,Andamentos!$G$10:$G$2009,1)-9,0)</f>
        <v>0</v>
      </c>
      <c r="AC217" s="14" t="str">
        <f>IF(V217=0,"",IF(AA217&gt;1,"Conferir recebimentos empatados",IF(AB217=0,"Sem atualização",INDEX(Andamentos!$C$10:$C$2009,AB217))))</f>
        <v/>
      </c>
      <c r="AD217" s="14">
        <f>IF(W217=0,0,IF(MAX(Z217,BD217)=0,1,IF(Configurar!$J$12-INT(MAX(Z217,BD217))&gt;Configurar!$J$11,1,0)))</f>
        <v>0</v>
      </c>
      <c r="AE217" s="16"/>
      <c r="AF217" s="14"/>
      <c r="AG217" s="14"/>
      <c r="AH217" s="14">
        <f>IF(AND(V217=1,COUNTIFS(Valores!$S$10:$S$509,"="&amp;SUBSTITUTE(SUBSTITUTE(SUBSTITUTE("P:"&amp;A217,"~","~~"),"*","~*"),"?","~?"))=1),(IF(ISNA(MATCH(SUBSTITUTE(SUBSTITUTE(SUBSTITUTE("P:"&amp;A217,"~","~~"),"*","~*"),"?","~?"),Valores!$S$10:$S$509,0)),9,INDEX(Valores!$R$10:$R$509,MATCH(SUBSTITUTE(SUBSTITUTE(SUBSTITUTE("P:"&amp;A217,"~","~~"),"*","~*"),"?","~?"),Valores!$S$10:$S$509,0)))-9),0)</f>
        <v>0</v>
      </c>
      <c r="AI217" s="40" t="str">
        <f t="shared" si="30"/>
        <v/>
      </c>
      <c r="AJ217" s="14" t="str">
        <f>IF(AND(X217=1,Y217=1),COUNTIFS($X$10:X217,1,$Y$10:Y217,1),"")</f>
        <v/>
      </c>
      <c r="AK217" s="14" t="str">
        <f>IF(X217=1,COUNTIFS($X$10:X217,1),"")</f>
        <v/>
      </c>
      <c r="AL217" s="14">
        <f>IF(AND(V217=1,AND(OR(Painel!$L$6="Todas",E217=Painel!$L$6),OR(Painel!$C$8="Todos",F217=Painel!$C$8),OR(Painel!$L$8="Todos",G217=Painel!$L$8),OR(Painel!$C$10="",ISNUMBER(SEARCH(SUBSTITUTE(SUBSTITUTE(SUBSTITUTE(Painel!$C$10,"~","~~"),"*","~*"),"?","~?"),A217&amp;" "&amp;H217&amp;" "&amp;I217))))),1,0)</f>
        <v>0</v>
      </c>
      <c r="AM217" s="14">
        <f t="shared" si="31"/>
        <v>0</v>
      </c>
      <c r="AN217" s="14"/>
      <c r="AO217" s="14"/>
      <c r="AP217" s="16" t="str">
        <f>IF(AB217=0,"",IF(INDEX(Andamentos!$B$10:$B$2009,AB217)="","",INDEX(Andamentos!$B$10:$B$2009,AB217)))</f>
        <v/>
      </c>
      <c r="AQ217" s="17" t="str">
        <f>IF(AH217=0,"",IF(INDEX(Valores!$B$10:$B$509,AH217)="","",IF(ISNUMBER(INDEX(Valores!$B$10:$B$509,AH217)),INDEX(Valores!$B$10:$B$509,AH217),"")))</f>
        <v/>
      </c>
      <c r="AR217" s="14" t="str">
        <f t="shared" si="32"/>
        <v/>
      </c>
      <c r="AS217" s="14" t="str">
        <f t="shared" si="33"/>
        <v/>
      </c>
      <c r="AT217" s="27"/>
      <c r="AU217" s="31"/>
      <c r="AV217" s="31"/>
      <c r="AW217" s="27"/>
      <c r="AX217" s="27"/>
      <c r="AY217" s="27"/>
      <c r="AZ217" s="27"/>
      <c r="BA217" s="30" t="str">
        <f t="shared" si="34"/>
        <v/>
      </c>
      <c r="BB217" s="30" t="str">
        <f t="shared" si="35"/>
        <v/>
      </c>
      <c r="BC217" s="30">
        <f>IF(X217=0,0,IF(COUNTIFS($X$10:X217,1,$BA$10:BA217,BA217)=1,1,0))</f>
        <v>0</v>
      </c>
      <c r="BD217" s="29"/>
    </row>
    <row r="218" spans="1:56" ht="42" customHeight="1">
      <c r="A218" s="41"/>
      <c r="B218" s="44"/>
      <c r="C218" s="44"/>
      <c r="D218" s="44"/>
      <c r="E218" s="44"/>
      <c r="F218" s="44"/>
      <c r="G218" s="44"/>
      <c r="H218" s="44"/>
      <c r="I218" s="44"/>
      <c r="J218" s="44"/>
      <c r="K218" s="44"/>
      <c r="L218" s="49"/>
      <c r="M218" s="48"/>
      <c r="N218" s="48"/>
      <c r="O218" s="48"/>
      <c r="P218" s="48"/>
      <c r="Q218" s="48"/>
      <c r="R218" s="48"/>
      <c r="S218" s="49"/>
      <c r="T218" s="48"/>
      <c r="U218" s="48"/>
      <c r="V218" s="14">
        <f t="shared" si="27"/>
        <v>0</v>
      </c>
      <c r="W218" s="14">
        <f t="shared" si="28"/>
        <v>0</v>
      </c>
      <c r="X218" s="14">
        <f>IF(AND(V218=1,OR(Painel!$C$6="Todos",D218=Painel!$C$6),AND(OR(Painel!$L$6="Todas",E218=Painel!$L$6),OR(Painel!$C$8="Todos",F218=Painel!$C$8),OR(Painel!$L$8="Todos",G218=Painel!$L$8),OR(Painel!$C$10="",ISNUMBER(SEARCH(SUBSTITUTE(SUBSTITUTE(SUBSTITUTE(Painel!$C$10,"~","~~"),"*","~*"),"?","~?"),A218&amp;" "&amp;H218&amp;" "&amp;I218))))),1,0)</f>
        <v>0</v>
      </c>
      <c r="Y218" s="14">
        <f t="shared" si="29"/>
        <v>0</v>
      </c>
      <c r="Z218" s="15" t="str">
        <f>IF(V218=0,"",IF(COUNTIFS(Andamentos!$K$10:$K$2009,"="&amp;SUBSTITUTE(SUBSTITUTE(SUBSTITUTE("P:"&amp;A218,"~","~~"),"*","~*"),"?","~?"),Andamentos!$G$10:$G$2009,1)=0,"",_xlfn.AGGREGATE(14,6,Andamentos!$D$10:$D$2009/((Andamentos!$K$10:$K$2009=AS218)*(Andamentos!$G$10:$G$2009=1)),1)))</f>
        <v/>
      </c>
      <c r="AA218" s="14">
        <f>IF(Z218="",0,COUNTIFS(Andamentos!$K$10:$K$2009,"="&amp;SUBSTITUTE(SUBSTITUTE(SUBSTITUTE("P:"&amp;A218,"~","~~"),"*","~*"),"?","~?"),Andamentos!$D$10:$D$2009,Z218,Andamentos!$G$10:$G$2009,1))</f>
        <v>0</v>
      </c>
      <c r="AB218" s="14">
        <f>IF(AA218=1,SUMIFS(Andamentos!$L$10:$L$2009,Andamentos!$K$10:$K$2009,"="&amp;SUBSTITUTE(SUBSTITUTE(SUBSTITUTE(AS218,"~","~~"),"*","~*"),"?","~?"),Andamentos!$D$10:$D$2009,Z218,Andamentos!$G$10:$G$2009,1)-9,0)</f>
        <v>0</v>
      </c>
      <c r="AC218" s="14" t="str">
        <f>IF(V218=0,"",IF(AA218&gt;1,"Conferir recebimentos empatados",IF(AB218=0,"Sem atualização",INDEX(Andamentos!$C$10:$C$2009,AB218))))</f>
        <v/>
      </c>
      <c r="AD218" s="14">
        <f>IF(W218=0,0,IF(MAX(Z218,BD218)=0,1,IF(Configurar!$J$12-INT(MAX(Z218,BD218))&gt;Configurar!$J$11,1,0)))</f>
        <v>0</v>
      </c>
      <c r="AE218" s="16"/>
      <c r="AF218" s="14"/>
      <c r="AG218" s="14"/>
      <c r="AH218" s="14">
        <f>IF(AND(V218=1,COUNTIFS(Valores!$S$10:$S$509,"="&amp;SUBSTITUTE(SUBSTITUTE(SUBSTITUTE("P:"&amp;A218,"~","~~"),"*","~*"),"?","~?"))=1),(IF(ISNA(MATCH(SUBSTITUTE(SUBSTITUTE(SUBSTITUTE("P:"&amp;A218,"~","~~"),"*","~*"),"?","~?"),Valores!$S$10:$S$509,0)),9,INDEX(Valores!$R$10:$R$509,MATCH(SUBSTITUTE(SUBSTITUTE(SUBSTITUTE("P:"&amp;A218,"~","~~"),"*","~*"),"?","~?"),Valores!$S$10:$S$509,0)))-9),0)</f>
        <v>0</v>
      </c>
      <c r="AI218" s="40" t="str">
        <f t="shared" si="30"/>
        <v/>
      </c>
      <c r="AJ218" s="14" t="str">
        <f>IF(AND(X218=1,Y218=1),COUNTIFS($X$10:X218,1,$Y$10:Y218,1),"")</f>
        <v/>
      </c>
      <c r="AK218" s="14" t="str">
        <f>IF(X218=1,COUNTIFS($X$10:X218,1),"")</f>
        <v/>
      </c>
      <c r="AL218" s="14">
        <f>IF(AND(V218=1,AND(OR(Painel!$L$6="Todas",E218=Painel!$L$6),OR(Painel!$C$8="Todos",F218=Painel!$C$8),OR(Painel!$L$8="Todos",G218=Painel!$L$8),OR(Painel!$C$10="",ISNUMBER(SEARCH(SUBSTITUTE(SUBSTITUTE(SUBSTITUTE(Painel!$C$10,"~","~~"),"*","~*"),"?","~?"),A218&amp;" "&amp;H218&amp;" "&amp;I218))))),1,0)</f>
        <v>0</v>
      </c>
      <c r="AM218" s="14">
        <f t="shared" si="31"/>
        <v>0</v>
      </c>
      <c r="AN218" s="14"/>
      <c r="AO218" s="14"/>
      <c r="AP218" s="16" t="str">
        <f>IF(AB218=0,"",IF(INDEX(Andamentos!$B$10:$B$2009,AB218)="","",INDEX(Andamentos!$B$10:$B$2009,AB218)))</f>
        <v/>
      </c>
      <c r="AQ218" s="17" t="str">
        <f>IF(AH218=0,"",IF(INDEX(Valores!$B$10:$B$509,AH218)="","",IF(ISNUMBER(INDEX(Valores!$B$10:$B$509,AH218)),INDEX(Valores!$B$10:$B$509,AH218),"")))</f>
        <v/>
      </c>
      <c r="AR218" s="14" t="str">
        <f t="shared" si="32"/>
        <v/>
      </c>
      <c r="AS218" s="14" t="str">
        <f t="shared" si="33"/>
        <v/>
      </c>
      <c r="AT218" s="27"/>
      <c r="AU218" s="31"/>
      <c r="AV218" s="31"/>
      <c r="AW218" s="27"/>
      <c r="AX218" s="27"/>
      <c r="AY218" s="27"/>
      <c r="AZ218" s="27"/>
      <c r="BA218" s="30" t="str">
        <f t="shared" si="34"/>
        <v/>
      </c>
      <c r="BB218" s="30" t="str">
        <f t="shared" si="35"/>
        <v/>
      </c>
      <c r="BC218" s="30">
        <f>IF(X218=0,0,IF(COUNTIFS($X$10:X218,1,$BA$10:BA218,BA218)=1,1,0))</f>
        <v>0</v>
      </c>
      <c r="BD218" s="29"/>
    </row>
    <row r="219" spans="1:56" ht="42" customHeight="1">
      <c r="A219" s="41"/>
      <c r="B219" s="44"/>
      <c r="C219" s="44"/>
      <c r="D219" s="44"/>
      <c r="E219" s="44"/>
      <c r="F219" s="44"/>
      <c r="G219" s="44"/>
      <c r="H219" s="44"/>
      <c r="I219" s="44"/>
      <c r="J219" s="44"/>
      <c r="K219" s="44"/>
      <c r="L219" s="49"/>
      <c r="M219" s="48"/>
      <c r="N219" s="48"/>
      <c r="O219" s="48"/>
      <c r="P219" s="48"/>
      <c r="Q219" s="48"/>
      <c r="R219" s="48"/>
      <c r="S219" s="49"/>
      <c r="T219" s="48"/>
      <c r="U219" s="48"/>
      <c r="V219" s="14">
        <f t="shared" si="27"/>
        <v>0</v>
      </c>
      <c r="W219" s="14">
        <f t="shared" si="28"/>
        <v>0</v>
      </c>
      <c r="X219" s="14">
        <f>IF(AND(V219=1,OR(Painel!$C$6="Todos",D219=Painel!$C$6),AND(OR(Painel!$L$6="Todas",E219=Painel!$L$6),OR(Painel!$C$8="Todos",F219=Painel!$C$8),OR(Painel!$L$8="Todos",G219=Painel!$L$8),OR(Painel!$C$10="",ISNUMBER(SEARCH(SUBSTITUTE(SUBSTITUTE(SUBSTITUTE(Painel!$C$10,"~","~~"),"*","~*"),"?","~?"),A219&amp;" "&amp;H219&amp;" "&amp;I219))))),1,0)</f>
        <v>0</v>
      </c>
      <c r="Y219" s="14">
        <f t="shared" si="29"/>
        <v>0</v>
      </c>
      <c r="Z219" s="15" t="str">
        <f>IF(V219=0,"",IF(COUNTIFS(Andamentos!$K$10:$K$2009,"="&amp;SUBSTITUTE(SUBSTITUTE(SUBSTITUTE("P:"&amp;A219,"~","~~"),"*","~*"),"?","~?"),Andamentos!$G$10:$G$2009,1)=0,"",_xlfn.AGGREGATE(14,6,Andamentos!$D$10:$D$2009/((Andamentos!$K$10:$K$2009=AS219)*(Andamentos!$G$10:$G$2009=1)),1)))</f>
        <v/>
      </c>
      <c r="AA219" s="14">
        <f>IF(Z219="",0,COUNTIFS(Andamentos!$K$10:$K$2009,"="&amp;SUBSTITUTE(SUBSTITUTE(SUBSTITUTE("P:"&amp;A219,"~","~~"),"*","~*"),"?","~?"),Andamentos!$D$10:$D$2009,Z219,Andamentos!$G$10:$G$2009,1))</f>
        <v>0</v>
      </c>
      <c r="AB219" s="14">
        <f>IF(AA219=1,SUMIFS(Andamentos!$L$10:$L$2009,Andamentos!$K$10:$K$2009,"="&amp;SUBSTITUTE(SUBSTITUTE(SUBSTITUTE(AS219,"~","~~"),"*","~*"),"?","~?"),Andamentos!$D$10:$D$2009,Z219,Andamentos!$G$10:$G$2009,1)-9,0)</f>
        <v>0</v>
      </c>
      <c r="AC219" s="14" t="str">
        <f>IF(V219=0,"",IF(AA219&gt;1,"Conferir recebimentos empatados",IF(AB219=0,"Sem atualização",INDEX(Andamentos!$C$10:$C$2009,AB219))))</f>
        <v/>
      </c>
      <c r="AD219" s="14">
        <f>IF(W219=0,0,IF(MAX(Z219,BD219)=0,1,IF(Configurar!$J$12-INT(MAX(Z219,BD219))&gt;Configurar!$J$11,1,0)))</f>
        <v>0</v>
      </c>
      <c r="AE219" s="16"/>
      <c r="AF219" s="14"/>
      <c r="AG219" s="14"/>
      <c r="AH219" s="14">
        <f>IF(AND(V219=1,COUNTIFS(Valores!$S$10:$S$509,"="&amp;SUBSTITUTE(SUBSTITUTE(SUBSTITUTE("P:"&amp;A219,"~","~~"),"*","~*"),"?","~?"))=1),(IF(ISNA(MATCH(SUBSTITUTE(SUBSTITUTE(SUBSTITUTE("P:"&amp;A219,"~","~~"),"*","~*"),"?","~?"),Valores!$S$10:$S$509,0)),9,INDEX(Valores!$R$10:$R$509,MATCH(SUBSTITUTE(SUBSTITUTE(SUBSTITUTE("P:"&amp;A219,"~","~~"),"*","~*"),"?","~?"),Valores!$S$10:$S$509,0)))-9),0)</f>
        <v>0</v>
      </c>
      <c r="AI219" s="40" t="str">
        <f t="shared" si="30"/>
        <v/>
      </c>
      <c r="AJ219" s="14" t="str">
        <f>IF(AND(X219=1,Y219=1),COUNTIFS($X$10:X219,1,$Y$10:Y219,1),"")</f>
        <v/>
      </c>
      <c r="AK219" s="14" t="str">
        <f>IF(X219=1,COUNTIFS($X$10:X219,1),"")</f>
        <v/>
      </c>
      <c r="AL219" s="14">
        <f>IF(AND(V219=1,AND(OR(Painel!$L$6="Todas",E219=Painel!$L$6),OR(Painel!$C$8="Todos",F219=Painel!$C$8),OR(Painel!$L$8="Todos",G219=Painel!$L$8),OR(Painel!$C$10="",ISNUMBER(SEARCH(SUBSTITUTE(SUBSTITUTE(SUBSTITUTE(Painel!$C$10,"~","~~"),"*","~*"),"?","~?"),A219&amp;" "&amp;H219&amp;" "&amp;I219))))),1,0)</f>
        <v>0</v>
      </c>
      <c r="AM219" s="14">
        <f t="shared" si="31"/>
        <v>0</v>
      </c>
      <c r="AN219" s="14"/>
      <c r="AO219" s="14"/>
      <c r="AP219" s="16" t="str">
        <f>IF(AB219=0,"",IF(INDEX(Andamentos!$B$10:$B$2009,AB219)="","",INDEX(Andamentos!$B$10:$B$2009,AB219)))</f>
        <v/>
      </c>
      <c r="AQ219" s="17" t="str">
        <f>IF(AH219=0,"",IF(INDEX(Valores!$B$10:$B$509,AH219)="","",IF(ISNUMBER(INDEX(Valores!$B$10:$B$509,AH219)),INDEX(Valores!$B$10:$B$509,AH219),"")))</f>
        <v/>
      </c>
      <c r="AR219" s="14" t="str">
        <f t="shared" si="32"/>
        <v/>
      </c>
      <c r="AS219" s="14" t="str">
        <f t="shared" si="33"/>
        <v/>
      </c>
      <c r="AT219" s="27"/>
      <c r="AU219" s="31"/>
      <c r="AV219" s="31"/>
      <c r="AW219" s="27"/>
      <c r="AX219" s="27"/>
      <c r="AY219" s="27"/>
      <c r="AZ219" s="27"/>
      <c r="BA219" s="30" t="str">
        <f t="shared" si="34"/>
        <v/>
      </c>
      <c r="BB219" s="30" t="str">
        <f t="shared" si="35"/>
        <v/>
      </c>
      <c r="BC219" s="30">
        <f>IF(X219=0,0,IF(COUNTIFS($X$10:X219,1,$BA$10:BA219,BA219)=1,1,0))</f>
        <v>0</v>
      </c>
      <c r="BD219" s="29"/>
    </row>
    <row r="220" spans="1:56" ht="42" customHeight="1">
      <c r="A220" s="41"/>
      <c r="B220" s="44"/>
      <c r="C220" s="44"/>
      <c r="D220" s="44"/>
      <c r="E220" s="44"/>
      <c r="F220" s="44"/>
      <c r="G220" s="44"/>
      <c r="H220" s="44"/>
      <c r="I220" s="44"/>
      <c r="J220" s="44"/>
      <c r="K220" s="44"/>
      <c r="L220" s="49"/>
      <c r="M220" s="48"/>
      <c r="N220" s="48"/>
      <c r="O220" s="48"/>
      <c r="P220" s="48"/>
      <c r="Q220" s="48"/>
      <c r="R220" s="48"/>
      <c r="S220" s="49"/>
      <c r="T220" s="48"/>
      <c r="U220" s="48"/>
      <c r="V220" s="14">
        <f t="shared" si="27"/>
        <v>0</v>
      </c>
      <c r="W220" s="14">
        <f t="shared" si="28"/>
        <v>0</v>
      </c>
      <c r="X220" s="14">
        <f>IF(AND(V220=1,OR(Painel!$C$6="Todos",D220=Painel!$C$6),AND(OR(Painel!$L$6="Todas",E220=Painel!$L$6),OR(Painel!$C$8="Todos",F220=Painel!$C$8),OR(Painel!$L$8="Todos",G220=Painel!$L$8),OR(Painel!$C$10="",ISNUMBER(SEARCH(SUBSTITUTE(SUBSTITUTE(SUBSTITUTE(Painel!$C$10,"~","~~"),"*","~*"),"?","~?"),A220&amp;" "&amp;H220&amp;" "&amp;I220))))),1,0)</f>
        <v>0</v>
      </c>
      <c r="Y220" s="14">
        <f t="shared" si="29"/>
        <v>0</v>
      </c>
      <c r="Z220" s="15" t="str">
        <f>IF(V220=0,"",IF(COUNTIFS(Andamentos!$K$10:$K$2009,"="&amp;SUBSTITUTE(SUBSTITUTE(SUBSTITUTE("P:"&amp;A220,"~","~~"),"*","~*"),"?","~?"),Andamentos!$G$10:$G$2009,1)=0,"",_xlfn.AGGREGATE(14,6,Andamentos!$D$10:$D$2009/((Andamentos!$K$10:$K$2009=AS220)*(Andamentos!$G$10:$G$2009=1)),1)))</f>
        <v/>
      </c>
      <c r="AA220" s="14">
        <f>IF(Z220="",0,COUNTIFS(Andamentos!$K$10:$K$2009,"="&amp;SUBSTITUTE(SUBSTITUTE(SUBSTITUTE("P:"&amp;A220,"~","~~"),"*","~*"),"?","~?"),Andamentos!$D$10:$D$2009,Z220,Andamentos!$G$10:$G$2009,1))</f>
        <v>0</v>
      </c>
      <c r="AB220" s="14">
        <f>IF(AA220=1,SUMIFS(Andamentos!$L$10:$L$2009,Andamentos!$K$10:$K$2009,"="&amp;SUBSTITUTE(SUBSTITUTE(SUBSTITUTE(AS220,"~","~~"),"*","~*"),"?","~?"),Andamentos!$D$10:$D$2009,Z220,Andamentos!$G$10:$G$2009,1)-9,0)</f>
        <v>0</v>
      </c>
      <c r="AC220" s="14" t="str">
        <f>IF(V220=0,"",IF(AA220&gt;1,"Conferir recebimentos empatados",IF(AB220=0,"Sem atualização",INDEX(Andamentos!$C$10:$C$2009,AB220))))</f>
        <v/>
      </c>
      <c r="AD220" s="14">
        <f>IF(W220=0,0,IF(MAX(Z220,BD220)=0,1,IF(Configurar!$J$12-INT(MAX(Z220,BD220))&gt;Configurar!$J$11,1,0)))</f>
        <v>0</v>
      </c>
      <c r="AE220" s="16"/>
      <c r="AF220" s="14"/>
      <c r="AG220" s="14"/>
      <c r="AH220" s="14">
        <f>IF(AND(V220=1,COUNTIFS(Valores!$S$10:$S$509,"="&amp;SUBSTITUTE(SUBSTITUTE(SUBSTITUTE("P:"&amp;A220,"~","~~"),"*","~*"),"?","~?"))=1),(IF(ISNA(MATCH(SUBSTITUTE(SUBSTITUTE(SUBSTITUTE("P:"&amp;A220,"~","~~"),"*","~*"),"?","~?"),Valores!$S$10:$S$509,0)),9,INDEX(Valores!$R$10:$R$509,MATCH(SUBSTITUTE(SUBSTITUTE(SUBSTITUTE("P:"&amp;A220,"~","~~"),"*","~*"),"?","~?"),Valores!$S$10:$S$509,0)))-9),0)</f>
        <v>0</v>
      </c>
      <c r="AI220" s="40" t="str">
        <f t="shared" si="30"/>
        <v/>
      </c>
      <c r="AJ220" s="14" t="str">
        <f>IF(AND(X220=1,Y220=1),COUNTIFS($X$10:X220,1,$Y$10:Y220,1),"")</f>
        <v/>
      </c>
      <c r="AK220" s="14" t="str">
        <f>IF(X220=1,COUNTIFS($X$10:X220,1),"")</f>
        <v/>
      </c>
      <c r="AL220" s="14">
        <f>IF(AND(V220=1,AND(OR(Painel!$L$6="Todas",E220=Painel!$L$6),OR(Painel!$C$8="Todos",F220=Painel!$C$8),OR(Painel!$L$8="Todos",G220=Painel!$L$8),OR(Painel!$C$10="",ISNUMBER(SEARCH(SUBSTITUTE(SUBSTITUTE(SUBSTITUTE(Painel!$C$10,"~","~~"),"*","~*"),"?","~?"),A220&amp;" "&amp;H220&amp;" "&amp;I220))))),1,0)</f>
        <v>0</v>
      </c>
      <c r="AM220" s="14">
        <f t="shared" si="31"/>
        <v>0</v>
      </c>
      <c r="AN220" s="14"/>
      <c r="AO220" s="14"/>
      <c r="AP220" s="16" t="str">
        <f>IF(AB220=0,"",IF(INDEX(Andamentos!$B$10:$B$2009,AB220)="","",INDEX(Andamentos!$B$10:$B$2009,AB220)))</f>
        <v/>
      </c>
      <c r="AQ220" s="17" t="str">
        <f>IF(AH220=0,"",IF(INDEX(Valores!$B$10:$B$509,AH220)="","",IF(ISNUMBER(INDEX(Valores!$B$10:$B$509,AH220)),INDEX(Valores!$B$10:$B$509,AH220),"")))</f>
        <v/>
      </c>
      <c r="AR220" s="14" t="str">
        <f t="shared" si="32"/>
        <v/>
      </c>
      <c r="AS220" s="14" t="str">
        <f t="shared" si="33"/>
        <v/>
      </c>
      <c r="AT220" s="27"/>
      <c r="AU220" s="31"/>
      <c r="AV220" s="31"/>
      <c r="AW220" s="27"/>
      <c r="AX220" s="27"/>
      <c r="AY220" s="27"/>
      <c r="AZ220" s="27"/>
      <c r="BA220" s="30" t="str">
        <f t="shared" si="34"/>
        <v/>
      </c>
      <c r="BB220" s="30" t="str">
        <f t="shared" si="35"/>
        <v/>
      </c>
      <c r="BC220" s="30">
        <f>IF(X220=0,0,IF(COUNTIFS($X$10:X220,1,$BA$10:BA220,BA220)=1,1,0))</f>
        <v>0</v>
      </c>
      <c r="BD220" s="29"/>
    </row>
    <row r="221" spans="1:56" ht="42" customHeight="1">
      <c r="A221" s="41"/>
      <c r="B221" s="44"/>
      <c r="C221" s="44"/>
      <c r="D221" s="44"/>
      <c r="E221" s="44"/>
      <c r="F221" s="44"/>
      <c r="G221" s="44"/>
      <c r="H221" s="44"/>
      <c r="I221" s="44"/>
      <c r="J221" s="44"/>
      <c r="K221" s="44"/>
      <c r="L221" s="49"/>
      <c r="M221" s="48"/>
      <c r="N221" s="48"/>
      <c r="O221" s="48"/>
      <c r="P221" s="48"/>
      <c r="Q221" s="48"/>
      <c r="R221" s="48"/>
      <c r="S221" s="49"/>
      <c r="T221" s="48"/>
      <c r="U221" s="48"/>
      <c r="V221" s="14">
        <f t="shared" si="27"/>
        <v>0</v>
      </c>
      <c r="W221" s="14">
        <f t="shared" si="28"/>
        <v>0</v>
      </c>
      <c r="X221" s="14">
        <f>IF(AND(V221=1,OR(Painel!$C$6="Todos",D221=Painel!$C$6),AND(OR(Painel!$L$6="Todas",E221=Painel!$L$6),OR(Painel!$C$8="Todos",F221=Painel!$C$8),OR(Painel!$L$8="Todos",G221=Painel!$L$8),OR(Painel!$C$10="",ISNUMBER(SEARCH(SUBSTITUTE(SUBSTITUTE(SUBSTITUTE(Painel!$C$10,"~","~~"),"*","~*"),"?","~?"),A221&amp;" "&amp;H221&amp;" "&amp;I221))))),1,0)</f>
        <v>0</v>
      </c>
      <c r="Y221" s="14">
        <f t="shared" si="29"/>
        <v>0</v>
      </c>
      <c r="Z221" s="15" t="str">
        <f>IF(V221=0,"",IF(COUNTIFS(Andamentos!$K$10:$K$2009,"="&amp;SUBSTITUTE(SUBSTITUTE(SUBSTITUTE("P:"&amp;A221,"~","~~"),"*","~*"),"?","~?"),Andamentos!$G$10:$G$2009,1)=0,"",_xlfn.AGGREGATE(14,6,Andamentos!$D$10:$D$2009/((Andamentos!$K$10:$K$2009=AS221)*(Andamentos!$G$10:$G$2009=1)),1)))</f>
        <v/>
      </c>
      <c r="AA221" s="14">
        <f>IF(Z221="",0,COUNTIFS(Andamentos!$K$10:$K$2009,"="&amp;SUBSTITUTE(SUBSTITUTE(SUBSTITUTE("P:"&amp;A221,"~","~~"),"*","~*"),"?","~?"),Andamentos!$D$10:$D$2009,Z221,Andamentos!$G$10:$G$2009,1))</f>
        <v>0</v>
      </c>
      <c r="AB221" s="14">
        <f>IF(AA221=1,SUMIFS(Andamentos!$L$10:$L$2009,Andamentos!$K$10:$K$2009,"="&amp;SUBSTITUTE(SUBSTITUTE(SUBSTITUTE(AS221,"~","~~"),"*","~*"),"?","~?"),Andamentos!$D$10:$D$2009,Z221,Andamentos!$G$10:$G$2009,1)-9,0)</f>
        <v>0</v>
      </c>
      <c r="AC221" s="14" t="str">
        <f>IF(V221=0,"",IF(AA221&gt;1,"Conferir recebimentos empatados",IF(AB221=0,"Sem atualização",INDEX(Andamentos!$C$10:$C$2009,AB221))))</f>
        <v/>
      </c>
      <c r="AD221" s="14">
        <f>IF(W221=0,0,IF(MAX(Z221,BD221)=0,1,IF(Configurar!$J$12-INT(MAX(Z221,BD221))&gt;Configurar!$J$11,1,0)))</f>
        <v>0</v>
      </c>
      <c r="AE221" s="16"/>
      <c r="AF221" s="14"/>
      <c r="AG221" s="14"/>
      <c r="AH221" s="14">
        <f>IF(AND(V221=1,COUNTIFS(Valores!$S$10:$S$509,"="&amp;SUBSTITUTE(SUBSTITUTE(SUBSTITUTE("P:"&amp;A221,"~","~~"),"*","~*"),"?","~?"))=1),(IF(ISNA(MATCH(SUBSTITUTE(SUBSTITUTE(SUBSTITUTE("P:"&amp;A221,"~","~~"),"*","~*"),"?","~?"),Valores!$S$10:$S$509,0)),9,INDEX(Valores!$R$10:$R$509,MATCH(SUBSTITUTE(SUBSTITUTE(SUBSTITUTE("P:"&amp;A221,"~","~~"),"*","~*"),"?","~?"),Valores!$S$10:$S$509,0)))-9),0)</f>
        <v>0</v>
      </c>
      <c r="AI221" s="40" t="str">
        <f t="shared" si="30"/>
        <v/>
      </c>
      <c r="AJ221" s="14" t="str">
        <f>IF(AND(X221=1,Y221=1),COUNTIFS($X$10:X221,1,$Y$10:Y221,1),"")</f>
        <v/>
      </c>
      <c r="AK221" s="14" t="str">
        <f>IF(X221=1,COUNTIFS($X$10:X221,1),"")</f>
        <v/>
      </c>
      <c r="AL221" s="14">
        <f>IF(AND(V221=1,AND(OR(Painel!$L$6="Todas",E221=Painel!$L$6),OR(Painel!$C$8="Todos",F221=Painel!$C$8),OR(Painel!$L$8="Todos",G221=Painel!$L$8),OR(Painel!$C$10="",ISNUMBER(SEARCH(SUBSTITUTE(SUBSTITUTE(SUBSTITUTE(Painel!$C$10,"~","~~"),"*","~*"),"?","~?"),A221&amp;" "&amp;H221&amp;" "&amp;I221))))),1,0)</f>
        <v>0</v>
      </c>
      <c r="AM221" s="14">
        <f t="shared" si="31"/>
        <v>0</v>
      </c>
      <c r="AN221" s="14"/>
      <c r="AO221" s="14"/>
      <c r="AP221" s="16" t="str">
        <f>IF(AB221=0,"",IF(INDEX(Andamentos!$B$10:$B$2009,AB221)="","",INDEX(Andamentos!$B$10:$B$2009,AB221)))</f>
        <v/>
      </c>
      <c r="AQ221" s="17" t="str">
        <f>IF(AH221=0,"",IF(INDEX(Valores!$B$10:$B$509,AH221)="","",IF(ISNUMBER(INDEX(Valores!$B$10:$B$509,AH221)),INDEX(Valores!$B$10:$B$509,AH221),"")))</f>
        <v/>
      </c>
      <c r="AR221" s="14" t="str">
        <f t="shared" si="32"/>
        <v/>
      </c>
      <c r="AS221" s="14" t="str">
        <f t="shared" si="33"/>
        <v/>
      </c>
      <c r="AT221" s="27"/>
      <c r="AU221" s="31"/>
      <c r="AV221" s="31"/>
      <c r="AW221" s="27"/>
      <c r="AX221" s="27"/>
      <c r="AY221" s="27"/>
      <c r="AZ221" s="27"/>
      <c r="BA221" s="30" t="str">
        <f t="shared" si="34"/>
        <v/>
      </c>
      <c r="BB221" s="30" t="str">
        <f t="shared" si="35"/>
        <v/>
      </c>
      <c r="BC221" s="30">
        <f>IF(X221=0,0,IF(COUNTIFS($X$10:X221,1,$BA$10:BA221,BA221)=1,1,0))</f>
        <v>0</v>
      </c>
      <c r="BD221" s="29"/>
    </row>
    <row r="222" spans="1:56" ht="42" customHeight="1">
      <c r="A222" s="41"/>
      <c r="B222" s="44"/>
      <c r="C222" s="44"/>
      <c r="D222" s="44"/>
      <c r="E222" s="44"/>
      <c r="F222" s="44"/>
      <c r="G222" s="44"/>
      <c r="H222" s="44"/>
      <c r="I222" s="44"/>
      <c r="J222" s="44"/>
      <c r="K222" s="44"/>
      <c r="L222" s="49"/>
      <c r="M222" s="48"/>
      <c r="N222" s="48"/>
      <c r="O222" s="48"/>
      <c r="P222" s="48"/>
      <c r="Q222" s="48"/>
      <c r="R222" s="48"/>
      <c r="S222" s="49"/>
      <c r="T222" s="48"/>
      <c r="U222" s="48"/>
      <c r="V222" s="14">
        <f t="shared" si="27"/>
        <v>0</v>
      </c>
      <c r="W222" s="14">
        <f t="shared" si="28"/>
        <v>0</v>
      </c>
      <c r="X222" s="14">
        <f>IF(AND(V222=1,OR(Painel!$C$6="Todos",D222=Painel!$C$6),AND(OR(Painel!$L$6="Todas",E222=Painel!$L$6),OR(Painel!$C$8="Todos",F222=Painel!$C$8),OR(Painel!$L$8="Todos",G222=Painel!$L$8),OR(Painel!$C$10="",ISNUMBER(SEARCH(SUBSTITUTE(SUBSTITUTE(SUBSTITUTE(Painel!$C$10,"~","~~"),"*","~*"),"?","~?"),A222&amp;" "&amp;H222&amp;" "&amp;I222))))),1,0)</f>
        <v>0</v>
      </c>
      <c r="Y222" s="14">
        <f t="shared" si="29"/>
        <v>0</v>
      </c>
      <c r="Z222" s="15" t="str">
        <f>IF(V222=0,"",IF(COUNTIFS(Andamentos!$K$10:$K$2009,"="&amp;SUBSTITUTE(SUBSTITUTE(SUBSTITUTE("P:"&amp;A222,"~","~~"),"*","~*"),"?","~?"),Andamentos!$G$10:$G$2009,1)=0,"",_xlfn.AGGREGATE(14,6,Andamentos!$D$10:$D$2009/((Andamentos!$K$10:$K$2009=AS222)*(Andamentos!$G$10:$G$2009=1)),1)))</f>
        <v/>
      </c>
      <c r="AA222" s="14">
        <f>IF(Z222="",0,COUNTIFS(Andamentos!$K$10:$K$2009,"="&amp;SUBSTITUTE(SUBSTITUTE(SUBSTITUTE("P:"&amp;A222,"~","~~"),"*","~*"),"?","~?"),Andamentos!$D$10:$D$2009,Z222,Andamentos!$G$10:$G$2009,1))</f>
        <v>0</v>
      </c>
      <c r="AB222" s="14">
        <f>IF(AA222=1,SUMIFS(Andamentos!$L$10:$L$2009,Andamentos!$K$10:$K$2009,"="&amp;SUBSTITUTE(SUBSTITUTE(SUBSTITUTE(AS222,"~","~~"),"*","~*"),"?","~?"),Andamentos!$D$10:$D$2009,Z222,Andamentos!$G$10:$G$2009,1)-9,0)</f>
        <v>0</v>
      </c>
      <c r="AC222" s="14" t="str">
        <f>IF(V222=0,"",IF(AA222&gt;1,"Conferir recebimentos empatados",IF(AB222=0,"Sem atualização",INDEX(Andamentos!$C$10:$C$2009,AB222))))</f>
        <v/>
      </c>
      <c r="AD222" s="14">
        <f>IF(W222=0,0,IF(MAX(Z222,BD222)=0,1,IF(Configurar!$J$12-INT(MAX(Z222,BD222))&gt;Configurar!$J$11,1,0)))</f>
        <v>0</v>
      </c>
      <c r="AE222" s="16"/>
      <c r="AF222" s="14"/>
      <c r="AG222" s="14"/>
      <c r="AH222" s="14">
        <f>IF(AND(V222=1,COUNTIFS(Valores!$S$10:$S$509,"="&amp;SUBSTITUTE(SUBSTITUTE(SUBSTITUTE("P:"&amp;A222,"~","~~"),"*","~*"),"?","~?"))=1),(IF(ISNA(MATCH(SUBSTITUTE(SUBSTITUTE(SUBSTITUTE("P:"&amp;A222,"~","~~"),"*","~*"),"?","~?"),Valores!$S$10:$S$509,0)),9,INDEX(Valores!$R$10:$R$509,MATCH(SUBSTITUTE(SUBSTITUTE(SUBSTITUTE("P:"&amp;A222,"~","~~"),"*","~*"),"?","~?"),Valores!$S$10:$S$509,0)))-9),0)</f>
        <v>0</v>
      </c>
      <c r="AI222" s="40" t="str">
        <f t="shared" si="30"/>
        <v/>
      </c>
      <c r="AJ222" s="14" t="str">
        <f>IF(AND(X222=1,Y222=1),COUNTIFS($X$10:X222,1,$Y$10:Y222,1),"")</f>
        <v/>
      </c>
      <c r="AK222" s="14" t="str">
        <f>IF(X222=1,COUNTIFS($X$10:X222,1),"")</f>
        <v/>
      </c>
      <c r="AL222" s="14">
        <f>IF(AND(V222=1,AND(OR(Painel!$L$6="Todas",E222=Painel!$L$6),OR(Painel!$C$8="Todos",F222=Painel!$C$8),OR(Painel!$L$8="Todos",G222=Painel!$L$8),OR(Painel!$C$10="",ISNUMBER(SEARCH(SUBSTITUTE(SUBSTITUTE(SUBSTITUTE(Painel!$C$10,"~","~~"),"*","~*"),"?","~?"),A222&amp;" "&amp;H222&amp;" "&amp;I222))))),1,0)</f>
        <v>0</v>
      </c>
      <c r="AM222" s="14">
        <f t="shared" si="31"/>
        <v>0</v>
      </c>
      <c r="AN222" s="14"/>
      <c r="AO222" s="14"/>
      <c r="AP222" s="16" t="str">
        <f>IF(AB222=0,"",IF(INDEX(Andamentos!$B$10:$B$2009,AB222)="","",INDEX(Andamentos!$B$10:$B$2009,AB222)))</f>
        <v/>
      </c>
      <c r="AQ222" s="17" t="str">
        <f>IF(AH222=0,"",IF(INDEX(Valores!$B$10:$B$509,AH222)="","",IF(ISNUMBER(INDEX(Valores!$B$10:$B$509,AH222)),INDEX(Valores!$B$10:$B$509,AH222),"")))</f>
        <v/>
      </c>
      <c r="AR222" s="14" t="str">
        <f t="shared" si="32"/>
        <v/>
      </c>
      <c r="AS222" s="14" t="str">
        <f t="shared" si="33"/>
        <v/>
      </c>
      <c r="AT222" s="27"/>
      <c r="AU222" s="31"/>
      <c r="AV222" s="31"/>
      <c r="AW222" s="27"/>
      <c r="AX222" s="27"/>
      <c r="AY222" s="27"/>
      <c r="AZ222" s="27"/>
      <c r="BA222" s="30" t="str">
        <f t="shared" si="34"/>
        <v/>
      </c>
      <c r="BB222" s="30" t="str">
        <f t="shared" si="35"/>
        <v/>
      </c>
      <c r="BC222" s="30">
        <f>IF(X222=0,0,IF(COUNTIFS($X$10:X222,1,$BA$10:BA222,BA222)=1,1,0))</f>
        <v>0</v>
      </c>
      <c r="BD222" s="29"/>
    </row>
    <row r="223" spans="1:56" ht="42" customHeight="1">
      <c r="A223" s="41"/>
      <c r="B223" s="44"/>
      <c r="C223" s="44"/>
      <c r="D223" s="44"/>
      <c r="E223" s="44"/>
      <c r="F223" s="44"/>
      <c r="G223" s="44"/>
      <c r="H223" s="44"/>
      <c r="I223" s="44"/>
      <c r="J223" s="44"/>
      <c r="K223" s="44"/>
      <c r="L223" s="49"/>
      <c r="M223" s="48"/>
      <c r="N223" s="48"/>
      <c r="O223" s="48"/>
      <c r="P223" s="48"/>
      <c r="Q223" s="48"/>
      <c r="R223" s="48"/>
      <c r="S223" s="49"/>
      <c r="T223" s="48"/>
      <c r="U223" s="48"/>
      <c r="V223" s="14">
        <f t="shared" si="27"/>
        <v>0</v>
      </c>
      <c r="W223" s="14">
        <f t="shared" si="28"/>
        <v>0</v>
      </c>
      <c r="X223" s="14">
        <f>IF(AND(V223=1,OR(Painel!$C$6="Todos",D223=Painel!$C$6),AND(OR(Painel!$L$6="Todas",E223=Painel!$L$6),OR(Painel!$C$8="Todos",F223=Painel!$C$8),OR(Painel!$L$8="Todos",G223=Painel!$L$8),OR(Painel!$C$10="",ISNUMBER(SEARCH(SUBSTITUTE(SUBSTITUTE(SUBSTITUTE(Painel!$C$10,"~","~~"),"*","~*"),"?","~?"),A223&amp;" "&amp;H223&amp;" "&amp;I223))))),1,0)</f>
        <v>0</v>
      </c>
      <c r="Y223" s="14">
        <f t="shared" si="29"/>
        <v>0</v>
      </c>
      <c r="Z223" s="15" t="str">
        <f>IF(V223=0,"",IF(COUNTIFS(Andamentos!$K$10:$K$2009,"="&amp;SUBSTITUTE(SUBSTITUTE(SUBSTITUTE("P:"&amp;A223,"~","~~"),"*","~*"),"?","~?"),Andamentos!$G$10:$G$2009,1)=0,"",_xlfn.AGGREGATE(14,6,Andamentos!$D$10:$D$2009/((Andamentos!$K$10:$K$2009=AS223)*(Andamentos!$G$10:$G$2009=1)),1)))</f>
        <v/>
      </c>
      <c r="AA223" s="14">
        <f>IF(Z223="",0,COUNTIFS(Andamentos!$K$10:$K$2009,"="&amp;SUBSTITUTE(SUBSTITUTE(SUBSTITUTE("P:"&amp;A223,"~","~~"),"*","~*"),"?","~?"),Andamentos!$D$10:$D$2009,Z223,Andamentos!$G$10:$G$2009,1))</f>
        <v>0</v>
      </c>
      <c r="AB223" s="14">
        <f>IF(AA223=1,SUMIFS(Andamentos!$L$10:$L$2009,Andamentos!$K$10:$K$2009,"="&amp;SUBSTITUTE(SUBSTITUTE(SUBSTITUTE(AS223,"~","~~"),"*","~*"),"?","~?"),Andamentos!$D$10:$D$2009,Z223,Andamentos!$G$10:$G$2009,1)-9,0)</f>
        <v>0</v>
      </c>
      <c r="AC223" s="14" t="str">
        <f>IF(V223=0,"",IF(AA223&gt;1,"Conferir recebimentos empatados",IF(AB223=0,"Sem atualização",INDEX(Andamentos!$C$10:$C$2009,AB223))))</f>
        <v/>
      </c>
      <c r="AD223" s="14">
        <f>IF(W223=0,0,IF(MAX(Z223,BD223)=0,1,IF(Configurar!$J$12-INT(MAX(Z223,BD223))&gt;Configurar!$J$11,1,0)))</f>
        <v>0</v>
      </c>
      <c r="AE223" s="16"/>
      <c r="AF223" s="14"/>
      <c r="AG223" s="14"/>
      <c r="AH223" s="14">
        <f>IF(AND(V223=1,COUNTIFS(Valores!$S$10:$S$509,"="&amp;SUBSTITUTE(SUBSTITUTE(SUBSTITUTE("P:"&amp;A223,"~","~~"),"*","~*"),"?","~?"))=1),(IF(ISNA(MATCH(SUBSTITUTE(SUBSTITUTE(SUBSTITUTE("P:"&amp;A223,"~","~~"),"*","~*"),"?","~?"),Valores!$S$10:$S$509,0)),9,INDEX(Valores!$R$10:$R$509,MATCH(SUBSTITUTE(SUBSTITUTE(SUBSTITUTE("P:"&amp;A223,"~","~~"),"*","~*"),"?","~?"),Valores!$S$10:$S$509,0)))-9),0)</f>
        <v>0</v>
      </c>
      <c r="AI223" s="40" t="str">
        <f t="shared" si="30"/>
        <v/>
      </c>
      <c r="AJ223" s="14" t="str">
        <f>IF(AND(X223=1,Y223=1),COUNTIFS($X$10:X223,1,$Y$10:Y223,1),"")</f>
        <v/>
      </c>
      <c r="AK223" s="14" t="str">
        <f>IF(X223=1,COUNTIFS($X$10:X223,1),"")</f>
        <v/>
      </c>
      <c r="AL223" s="14">
        <f>IF(AND(V223=1,AND(OR(Painel!$L$6="Todas",E223=Painel!$L$6),OR(Painel!$C$8="Todos",F223=Painel!$C$8),OR(Painel!$L$8="Todos",G223=Painel!$L$8),OR(Painel!$C$10="",ISNUMBER(SEARCH(SUBSTITUTE(SUBSTITUTE(SUBSTITUTE(Painel!$C$10,"~","~~"),"*","~*"),"?","~?"),A223&amp;" "&amp;H223&amp;" "&amp;I223))))),1,0)</f>
        <v>0</v>
      </c>
      <c r="AM223" s="14">
        <f t="shared" si="31"/>
        <v>0</v>
      </c>
      <c r="AN223" s="14"/>
      <c r="AO223" s="14"/>
      <c r="AP223" s="16" t="str">
        <f>IF(AB223=0,"",IF(INDEX(Andamentos!$B$10:$B$2009,AB223)="","",INDEX(Andamentos!$B$10:$B$2009,AB223)))</f>
        <v/>
      </c>
      <c r="AQ223" s="17" t="str">
        <f>IF(AH223=0,"",IF(INDEX(Valores!$B$10:$B$509,AH223)="","",IF(ISNUMBER(INDEX(Valores!$B$10:$B$509,AH223)),INDEX(Valores!$B$10:$B$509,AH223),"")))</f>
        <v/>
      </c>
      <c r="AR223" s="14" t="str">
        <f t="shared" si="32"/>
        <v/>
      </c>
      <c r="AS223" s="14" t="str">
        <f t="shared" si="33"/>
        <v/>
      </c>
      <c r="AT223" s="27"/>
      <c r="AU223" s="31"/>
      <c r="AV223" s="31"/>
      <c r="AW223" s="27"/>
      <c r="AX223" s="27"/>
      <c r="AY223" s="27"/>
      <c r="AZ223" s="27"/>
      <c r="BA223" s="30" t="str">
        <f t="shared" si="34"/>
        <v/>
      </c>
      <c r="BB223" s="30" t="str">
        <f t="shared" si="35"/>
        <v/>
      </c>
      <c r="BC223" s="30">
        <f>IF(X223=0,0,IF(COUNTIFS($X$10:X223,1,$BA$10:BA223,BA223)=1,1,0))</f>
        <v>0</v>
      </c>
      <c r="BD223" s="29"/>
    </row>
    <row r="224" spans="1:56" ht="42" customHeight="1">
      <c r="A224" s="41"/>
      <c r="B224" s="44"/>
      <c r="C224" s="44"/>
      <c r="D224" s="44"/>
      <c r="E224" s="44"/>
      <c r="F224" s="44"/>
      <c r="G224" s="44"/>
      <c r="H224" s="44"/>
      <c r="I224" s="44"/>
      <c r="J224" s="44"/>
      <c r="K224" s="44"/>
      <c r="L224" s="49"/>
      <c r="M224" s="48"/>
      <c r="N224" s="48"/>
      <c r="O224" s="48"/>
      <c r="P224" s="48"/>
      <c r="Q224" s="48"/>
      <c r="R224" s="48"/>
      <c r="S224" s="49"/>
      <c r="T224" s="48"/>
      <c r="U224" s="48"/>
      <c r="V224" s="14">
        <f t="shared" si="27"/>
        <v>0</v>
      </c>
      <c r="W224" s="14">
        <f t="shared" si="28"/>
        <v>0</v>
      </c>
      <c r="X224" s="14">
        <f>IF(AND(V224=1,OR(Painel!$C$6="Todos",D224=Painel!$C$6),AND(OR(Painel!$L$6="Todas",E224=Painel!$L$6),OR(Painel!$C$8="Todos",F224=Painel!$C$8),OR(Painel!$L$8="Todos",G224=Painel!$L$8),OR(Painel!$C$10="",ISNUMBER(SEARCH(SUBSTITUTE(SUBSTITUTE(SUBSTITUTE(Painel!$C$10,"~","~~"),"*","~*"),"?","~?"),A224&amp;" "&amp;H224&amp;" "&amp;I224))))),1,0)</f>
        <v>0</v>
      </c>
      <c r="Y224" s="14">
        <f t="shared" si="29"/>
        <v>0</v>
      </c>
      <c r="Z224" s="15" t="str">
        <f>IF(V224=0,"",IF(COUNTIFS(Andamentos!$K$10:$K$2009,"="&amp;SUBSTITUTE(SUBSTITUTE(SUBSTITUTE("P:"&amp;A224,"~","~~"),"*","~*"),"?","~?"),Andamentos!$G$10:$G$2009,1)=0,"",_xlfn.AGGREGATE(14,6,Andamentos!$D$10:$D$2009/((Andamentos!$K$10:$K$2009=AS224)*(Andamentos!$G$10:$G$2009=1)),1)))</f>
        <v/>
      </c>
      <c r="AA224" s="14">
        <f>IF(Z224="",0,COUNTIFS(Andamentos!$K$10:$K$2009,"="&amp;SUBSTITUTE(SUBSTITUTE(SUBSTITUTE("P:"&amp;A224,"~","~~"),"*","~*"),"?","~?"),Andamentos!$D$10:$D$2009,Z224,Andamentos!$G$10:$G$2009,1))</f>
        <v>0</v>
      </c>
      <c r="AB224" s="14">
        <f>IF(AA224=1,SUMIFS(Andamentos!$L$10:$L$2009,Andamentos!$K$10:$K$2009,"="&amp;SUBSTITUTE(SUBSTITUTE(SUBSTITUTE(AS224,"~","~~"),"*","~*"),"?","~?"),Andamentos!$D$10:$D$2009,Z224,Andamentos!$G$10:$G$2009,1)-9,0)</f>
        <v>0</v>
      </c>
      <c r="AC224" s="14" t="str">
        <f>IF(V224=0,"",IF(AA224&gt;1,"Conferir recebimentos empatados",IF(AB224=0,"Sem atualização",INDEX(Andamentos!$C$10:$C$2009,AB224))))</f>
        <v/>
      </c>
      <c r="AD224" s="14">
        <f>IF(W224=0,0,IF(MAX(Z224,BD224)=0,1,IF(Configurar!$J$12-INT(MAX(Z224,BD224))&gt;Configurar!$J$11,1,0)))</f>
        <v>0</v>
      </c>
      <c r="AE224" s="16"/>
      <c r="AF224" s="14"/>
      <c r="AG224" s="14"/>
      <c r="AH224" s="14">
        <f>IF(AND(V224=1,COUNTIFS(Valores!$S$10:$S$509,"="&amp;SUBSTITUTE(SUBSTITUTE(SUBSTITUTE("P:"&amp;A224,"~","~~"),"*","~*"),"?","~?"))=1),(IF(ISNA(MATCH(SUBSTITUTE(SUBSTITUTE(SUBSTITUTE("P:"&amp;A224,"~","~~"),"*","~*"),"?","~?"),Valores!$S$10:$S$509,0)),9,INDEX(Valores!$R$10:$R$509,MATCH(SUBSTITUTE(SUBSTITUTE(SUBSTITUTE("P:"&amp;A224,"~","~~"),"*","~*"),"?","~?"),Valores!$S$10:$S$509,0)))-9),0)</f>
        <v>0</v>
      </c>
      <c r="AI224" s="40" t="str">
        <f t="shared" si="30"/>
        <v/>
      </c>
      <c r="AJ224" s="14" t="str">
        <f>IF(AND(X224=1,Y224=1),COUNTIFS($X$10:X224,1,$Y$10:Y224,1),"")</f>
        <v/>
      </c>
      <c r="AK224" s="14" t="str">
        <f>IF(X224=1,COUNTIFS($X$10:X224,1),"")</f>
        <v/>
      </c>
      <c r="AL224" s="14">
        <f>IF(AND(V224=1,AND(OR(Painel!$L$6="Todas",E224=Painel!$L$6),OR(Painel!$C$8="Todos",F224=Painel!$C$8),OR(Painel!$L$8="Todos",G224=Painel!$L$8),OR(Painel!$C$10="",ISNUMBER(SEARCH(SUBSTITUTE(SUBSTITUTE(SUBSTITUTE(Painel!$C$10,"~","~~"),"*","~*"),"?","~?"),A224&amp;" "&amp;H224&amp;" "&amp;I224))))),1,0)</f>
        <v>0</v>
      </c>
      <c r="AM224" s="14">
        <f t="shared" si="31"/>
        <v>0</v>
      </c>
      <c r="AN224" s="14"/>
      <c r="AO224" s="14"/>
      <c r="AP224" s="16" t="str">
        <f>IF(AB224=0,"",IF(INDEX(Andamentos!$B$10:$B$2009,AB224)="","",INDEX(Andamentos!$B$10:$B$2009,AB224)))</f>
        <v/>
      </c>
      <c r="AQ224" s="17" t="str">
        <f>IF(AH224=0,"",IF(INDEX(Valores!$B$10:$B$509,AH224)="","",IF(ISNUMBER(INDEX(Valores!$B$10:$B$509,AH224)),INDEX(Valores!$B$10:$B$509,AH224),"")))</f>
        <v/>
      </c>
      <c r="AR224" s="14" t="str">
        <f t="shared" si="32"/>
        <v/>
      </c>
      <c r="AS224" s="14" t="str">
        <f t="shared" si="33"/>
        <v/>
      </c>
      <c r="AT224" s="27"/>
      <c r="AU224" s="31"/>
      <c r="AV224" s="31"/>
      <c r="AW224" s="27"/>
      <c r="AX224" s="27"/>
      <c r="AY224" s="27"/>
      <c r="AZ224" s="27"/>
      <c r="BA224" s="30" t="str">
        <f t="shared" si="34"/>
        <v/>
      </c>
      <c r="BB224" s="30" t="str">
        <f t="shared" si="35"/>
        <v/>
      </c>
      <c r="BC224" s="30">
        <f>IF(X224=0,0,IF(COUNTIFS($X$10:X224,1,$BA$10:BA224,BA224)=1,1,0))</f>
        <v>0</v>
      </c>
      <c r="BD224" s="29"/>
    </row>
    <row r="225" spans="1:56" ht="42" customHeight="1">
      <c r="A225" s="41"/>
      <c r="B225" s="44"/>
      <c r="C225" s="44"/>
      <c r="D225" s="44"/>
      <c r="E225" s="44"/>
      <c r="F225" s="44"/>
      <c r="G225" s="44"/>
      <c r="H225" s="44"/>
      <c r="I225" s="44"/>
      <c r="J225" s="44"/>
      <c r="K225" s="44"/>
      <c r="L225" s="49"/>
      <c r="M225" s="48"/>
      <c r="N225" s="48"/>
      <c r="O225" s="48"/>
      <c r="P225" s="48"/>
      <c r="Q225" s="48"/>
      <c r="R225" s="48"/>
      <c r="S225" s="49"/>
      <c r="T225" s="48"/>
      <c r="U225" s="48"/>
      <c r="V225" s="14">
        <f t="shared" si="27"/>
        <v>0</v>
      </c>
      <c r="W225" s="14">
        <f t="shared" si="28"/>
        <v>0</v>
      </c>
      <c r="X225" s="14">
        <f>IF(AND(V225=1,OR(Painel!$C$6="Todos",D225=Painel!$C$6),AND(OR(Painel!$L$6="Todas",E225=Painel!$L$6),OR(Painel!$C$8="Todos",F225=Painel!$C$8),OR(Painel!$L$8="Todos",G225=Painel!$L$8),OR(Painel!$C$10="",ISNUMBER(SEARCH(SUBSTITUTE(SUBSTITUTE(SUBSTITUTE(Painel!$C$10,"~","~~"),"*","~*"),"?","~?"),A225&amp;" "&amp;H225&amp;" "&amp;I225))))),1,0)</f>
        <v>0</v>
      </c>
      <c r="Y225" s="14">
        <f t="shared" si="29"/>
        <v>0</v>
      </c>
      <c r="Z225" s="15" t="str">
        <f>IF(V225=0,"",IF(COUNTIFS(Andamentos!$K$10:$K$2009,"="&amp;SUBSTITUTE(SUBSTITUTE(SUBSTITUTE("P:"&amp;A225,"~","~~"),"*","~*"),"?","~?"),Andamentos!$G$10:$G$2009,1)=0,"",_xlfn.AGGREGATE(14,6,Andamentos!$D$10:$D$2009/((Andamentos!$K$10:$K$2009=AS225)*(Andamentos!$G$10:$G$2009=1)),1)))</f>
        <v/>
      </c>
      <c r="AA225" s="14">
        <f>IF(Z225="",0,COUNTIFS(Andamentos!$K$10:$K$2009,"="&amp;SUBSTITUTE(SUBSTITUTE(SUBSTITUTE("P:"&amp;A225,"~","~~"),"*","~*"),"?","~?"),Andamentos!$D$10:$D$2009,Z225,Andamentos!$G$10:$G$2009,1))</f>
        <v>0</v>
      </c>
      <c r="AB225" s="14">
        <f>IF(AA225=1,SUMIFS(Andamentos!$L$10:$L$2009,Andamentos!$K$10:$K$2009,"="&amp;SUBSTITUTE(SUBSTITUTE(SUBSTITUTE(AS225,"~","~~"),"*","~*"),"?","~?"),Andamentos!$D$10:$D$2009,Z225,Andamentos!$G$10:$G$2009,1)-9,0)</f>
        <v>0</v>
      </c>
      <c r="AC225" s="14" t="str">
        <f>IF(V225=0,"",IF(AA225&gt;1,"Conferir recebimentos empatados",IF(AB225=0,"Sem atualização",INDEX(Andamentos!$C$10:$C$2009,AB225))))</f>
        <v/>
      </c>
      <c r="AD225" s="14">
        <f>IF(W225=0,0,IF(MAX(Z225,BD225)=0,1,IF(Configurar!$J$12-INT(MAX(Z225,BD225))&gt;Configurar!$J$11,1,0)))</f>
        <v>0</v>
      </c>
      <c r="AE225" s="16"/>
      <c r="AF225" s="14"/>
      <c r="AG225" s="14"/>
      <c r="AH225" s="14">
        <f>IF(AND(V225=1,COUNTIFS(Valores!$S$10:$S$509,"="&amp;SUBSTITUTE(SUBSTITUTE(SUBSTITUTE("P:"&amp;A225,"~","~~"),"*","~*"),"?","~?"))=1),(IF(ISNA(MATCH(SUBSTITUTE(SUBSTITUTE(SUBSTITUTE("P:"&amp;A225,"~","~~"),"*","~*"),"?","~?"),Valores!$S$10:$S$509,0)),9,INDEX(Valores!$R$10:$R$509,MATCH(SUBSTITUTE(SUBSTITUTE(SUBSTITUTE("P:"&amp;A225,"~","~~"),"*","~*"),"?","~?"),Valores!$S$10:$S$509,0)))-9),0)</f>
        <v>0</v>
      </c>
      <c r="AI225" s="40" t="str">
        <f t="shared" si="30"/>
        <v/>
      </c>
      <c r="AJ225" s="14" t="str">
        <f>IF(AND(X225=1,Y225=1),COUNTIFS($X$10:X225,1,$Y$10:Y225,1),"")</f>
        <v/>
      </c>
      <c r="AK225" s="14" t="str">
        <f>IF(X225=1,COUNTIFS($X$10:X225,1),"")</f>
        <v/>
      </c>
      <c r="AL225" s="14">
        <f>IF(AND(V225=1,AND(OR(Painel!$L$6="Todas",E225=Painel!$L$6),OR(Painel!$C$8="Todos",F225=Painel!$C$8),OR(Painel!$L$8="Todos",G225=Painel!$L$8),OR(Painel!$C$10="",ISNUMBER(SEARCH(SUBSTITUTE(SUBSTITUTE(SUBSTITUTE(Painel!$C$10,"~","~~"),"*","~*"),"?","~?"),A225&amp;" "&amp;H225&amp;" "&amp;I225))))),1,0)</f>
        <v>0</v>
      </c>
      <c r="AM225" s="14">
        <f t="shared" si="31"/>
        <v>0</v>
      </c>
      <c r="AN225" s="14"/>
      <c r="AO225" s="14"/>
      <c r="AP225" s="16" t="str">
        <f>IF(AB225=0,"",IF(INDEX(Andamentos!$B$10:$B$2009,AB225)="","",INDEX(Andamentos!$B$10:$B$2009,AB225)))</f>
        <v/>
      </c>
      <c r="AQ225" s="17" t="str">
        <f>IF(AH225=0,"",IF(INDEX(Valores!$B$10:$B$509,AH225)="","",IF(ISNUMBER(INDEX(Valores!$B$10:$B$509,AH225)),INDEX(Valores!$B$10:$B$509,AH225),"")))</f>
        <v/>
      </c>
      <c r="AR225" s="14" t="str">
        <f t="shared" si="32"/>
        <v/>
      </c>
      <c r="AS225" s="14" t="str">
        <f t="shared" si="33"/>
        <v/>
      </c>
      <c r="AT225" s="27"/>
      <c r="AU225" s="31"/>
      <c r="AV225" s="31"/>
      <c r="AW225" s="27"/>
      <c r="AX225" s="27"/>
      <c r="AY225" s="27"/>
      <c r="AZ225" s="27"/>
      <c r="BA225" s="30" t="str">
        <f t="shared" si="34"/>
        <v/>
      </c>
      <c r="BB225" s="30" t="str">
        <f t="shared" si="35"/>
        <v/>
      </c>
      <c r="BC225" s="30">
        <f>IF(X225=0,0,IF(COUNTIFS($X$10:X225,1,$BA$10:BA225,BA225)=1,1,0))</f>
        <v>0</v>
      </c>
      <c r="BD225" s="29"/>
    </row>
    <row r="226" spans="1:56" ht="42" customHeight="1">
      <c r="A226" s="41"/>
      <c r="B226" s="44"/>
      <c r="C226" s="44"/>
      <c r="D226" s="44"/>
      <c r="E226" s="44"/>
      <c r="F226" s="44"/>
      <c r="G226" s="44"/>
      <c r="H226" s="44"/>
      <c r="I226" s="44"/>
      <c r="J226" s="44"/>
      <c r="K226" s="44"/>
      <c r="L226" s="49"/>
      <c r="M226" s="48"/>
      <c r="N226" s="48"/>
      <c r="O226" s="48"/>
      <c r="P226" s="48"/>
      <c r="Q226" s="48"/>
      <c r="R226" s="48"/>
      <c r="S226" s="49"/>
      <c r="T226" s="48"/>
      <c r="U226" s="48"/>
      <c r="V226" s="14">
        <f t="shared" si="27"/>
        <v>0</v>
      </c>
      <c r="W226" s="14">
        <f t="shared" si="28"/>
        <v>0</v>
      </c>
      <c r="X226" s="14">
        <f>IF(AND(V226=1,OR(Painel!$C$6="Todos",D226=Painel!$C$6),AND(OR(Painel!$L$6="Todas",E226=Painel!$L$6),OR(Painel!$C$8="Todos",F226=Painel!$C$8),OR(Painel!$L$8="Todos",G226=Painel!$L$8),OR(Painel!$C$10="",ISNUMBER(SEARCH(SUBSTITUTE(SUBSTITUTE(SUBSTITUTE(Painel!$C$10,"~","~~"),"*","~*"),"?","~?"),A226&amp;" "&amp;H226&amp;" "&amp;I226))))),1,0)</f>
        <v>0</v>
      </c>
      <c r="Y226" s="14">
        <f t="shared" si="29"/>
        <v>0</v>
      </c>
      <c r="Z226" s="15" t="str">
        <f>IF(V226=0,"",IF(COUNTIFS(Andamentos!$K$10:$K$2009,"="&amp;SUBSTITUTE(SUBSTITUTE(SUBSTITUTE("P:"&amp;A226,"~","~~"),"*","~*"),"?","~?"),Andamentos!$G$10:$G$2009,1)=0,"",_xlfn.AGGREGATE(14,6,Andamentos!$D$10:$D$2009/((Andamentos!$K$10:$K$2009=AS226)*(Andamentos!$G$10:$G$2009=1)),1)))</f>
        <v/>
      </c>
      <c r="AA226" s="14">
        <f>IF(Z226="",0,COUNTIFS(Andamentos!$K$10:$K$2009,"="&amp;SUBSTITUTE(SUBSTITUTE(SUBSTITUTE("P:"&amp;A226,"~","~~"),"*","~*"),"?","~?"),Andamentos!$D$10:$D$2009,Z226,Andamentos!$G$10:$G$2009,1))</f>
        <v>0</v>
      </c>
      <c r="AB226" s="14">
        <f>IF(AA226=1,SUMIFS(Andamentos!$L$10:$L$2009,Andamentos!$K$10:$K$2009,"="&amp;SUBSTITUTE(SUBSTITUTE(SUBSTITUTE(AS226,"~","~~"),"*","~*"),"?","~?"),Andamentos!$D$10:$D$2009,Z226,Andamentos!$G$10:$G$2009,1)-9,0)</f>
        <v>0</v>
      </c>
      <c r="AC226" s="14" t="str">
        <f>IF(V226=0,"",IF(AA226&gt;1,"Conferir recebimentos empatados",IF(AB226=0,"Sem atualização",INDEX(Andamentos!$C$10:$C$2009,AB226))))</f>
        <v/>
      </c>
      <c r="AD226" s="14">
        <f>IF(W226=0,0,IF(MAX(Z226,BD226)=0,1,IF(Configurar!$J$12-INT(MAX(Z226,BD226))&gt;Configurar!$J$11,1,0)))</f>
        <v>0</v>
      </c>
      <c r="AE226" s="16"/>
      <c r="AF226" s="14"/>
      <c r="AG226" s="14"/>
      <c r="AH226" s="14">
        <f>IF(AND(V226=1,COUNTIFS(Valores!$S$10:$S$509,"="&amp;SUBSTITUTE(SUBSTITUTE(SUBSTITUTE("P:"&amp;A226,"~","~~"),"*","~*"),"?","~?"))=1),(IF(ISNA(MATCH(SUBSTITUTE(SUBSTITUTE(SUBSTITUTE("P:"&amp;A226,"~","~~"),"*","~*"),"?","~?"),Valores!$S$10:$S$509,0)),9,INDEX(Valores!$R$10:$R$509,MATCH(SUBSTITUTE(SUBSTITUTE(SUBSTITUTE("P:"&amp;A226,"~","~~"),"*","~*"),"?","~?"),Valores!$S$10:$S$509,0)))-9),0)</f>
        <v>0</v>
      </c>
      <c r="AI226" s="40" t="str">
        <f t="shared" si="30"/>
        <v/>
      </c>
      <c r="AJ226" s="14" t="str">
        <f>IF(AND(X226=1,Y226=1),COUNTIFS($X$10:X226,1,$Y$10:Y226,1),"")</f>
        <v/>
      </c>
      <c r="AK226" s="14" t="str">
        <f>IF(X226=1,COUNTIFS($X$10:X226,1),"")</f>
        <v/>
      </c>
      <c r="AL226" s="14">
        <f>IF(AND(V226=1,AND(OR(Painel!$L$6="Todas",E226=Painel!$L$6),OR(Painel!$C$8="Todos",F226=Painel!$C$8),OR(Painel!$L$8="Todos",G226=Painel!$L$8),OR(Painel!$C$10="",ISNUMBER(SEARCH(SUBSTITUTE(SUBSTITUTE(SUBSTITUTE(Painel!$C$10,"~","~~"),"*","~*"),"?","~?"),A226&amp;" "&amp;H226&amp;" "&amp;I226))))),1,0)</f>
        <v>0</v>
      </c>
      <c r="AM226" s="14">
        <f t="shared" si="31"/>
        <v>0</v>
      </c>
      <c r="AN226" s="14"/>
      <c r="AO226" s="14"/>
      <c r="AP226" s="16" t="str">
        <f>IF(AB226=0,"",IF(INDEX(Andamentos!$B$10:$B$2009,AB226)="","",INDEX(Andamentos!$B$10:$B$2009,AB226)))</f>
        <v/>
      </c>
      <c r="AQ226" s="17" t="str">
        <f>IF(AH226=0,"",IF(INDEX(Valores!$B$10:$B$509,AH226)="","",IF(ISNUMBER(INDEX(Valores!$B$10:$B$509,AH226)),INDEX(Valores!$B$10:$B$509,AH226),"")))</f>
        <v/>
      </c>
      <c r="AR226" s="14" t="str">
        <f t="shared" si="32"/>
        <v/>
      </c>
      <c r="AS226" s="14" t="str">
        <f t="shared" si="33"/>
        <v/>
      </c>
      <c r="AT226" s="27"/>
      <c r="AU226" s="31"/>
      <c r="AV226" s="31"/>
      <c r="AW226" s="27"/>
      <c r="AX226" s="27"/>
      <c r="AY226" s="27"/>
      <c r="AZ226" s="27"/>
      <c r="BA226" s="30" t="str">
        <f t="shared" si="34"/>
        <v/>
      </c>
      <c r="BB226" s="30" t="str">
        <f t="shared" si="35"/>
        <v/>
      </c>
      <c r="BC226" s="30">
        <f>IF(X226=0,0,IF(COUNTIFS($X$10:X226,1,$BA$10:BA226,BA226)=1,1,0))</f>
        <v>0</v>
      </c>
      <c r="BD226" s="29"/>
    </row>
    <row r="227" spans="1:56" ht="42" customHeight="1">
      <c r="A227" s="41"/>
      <c r="B227" s="44"/>
      <c r="C227" s="44"/>
      <c r="D227" s="44"/>
      <c r="E227" s="44"/>
      <c r="F227" s="44"/>
      <c r="G227" s="44"/>
      <c r="H227" s="44"/>
      <c r="I227" s="44"/>
      <c r="J227" s="44"/>
      <c r="K227" s="44"/>
      <c r="L227" s="49"/>
      <c r="M227" s="48"/>
      <c r="N227" s="48"/>
      <c r="O227" s="48"/>
      <c r="P227" s="48"/>
      <c r="Q227" s="48"/>
      <c r="R227" s="48"/>
      <c r="S227" s="49"/>
      <c r="T227" s="48"/>
      <c r="U227" s="48"/>
      <c r="V227" s="14">
        <f t="shared" si="27"/>
        <v>0</v>
      </c>
      <c r="W227" s="14">
        <f t="shared" si="28"/>
        <v>0</v>
      </c>
      <c r="X227" s="14">
        <f>IF(AND(V227=1,OR(Painel!$C$6="Todos",D227=Painel!$C$6),AND(OR(Painel!$L$6="Todas",E227=Painel!$L$6),OR(Painel!$C$8="Todos",F227=Painel!$C$8),OR(Painel!$L$8="Todos",G227=Painel!$L$8),OR(Painel!$C$10="",ISNUMBER(SEARCH(SUBSTITUTE(SUBSTITUTE(SUBSTITUTE(Painel!$C$10,"~","~~"),"*","~*"),"?","~?"),A227&amp;" "&amp;H227&amp;" "&amp;I227))))),1,0)</f>
        <v>0</v>
      </c>
      <c r="Y227" s="14">
        <f t="shared" si="29"/>
        <v>0</v>
      </c>
      <c r="Z227" s="15" t="str">
        <f>IF(V227=0,"",IF(COUNTIFS(Andamentos!$K$10:$K$2009,"="&amp;SUBSTITUTE(SUBSTITUTE(SUBSTITUTE("P:"&amp;A227,"~","~~"),"*","~*"),"?","~?"),Andamentos!$G$10:$G$2009,1)=0,"",_xlfn.AGGREGATE(14,6,Andamentos!$D$10:$D$2009/((Andamentos!$K$10:$K$2009=AS227)*(Andamentos!$G$10:$G$2009=1)),1)))</f>
        <v/>
      </c>
      <c r="AA227" s="14">
        <f>IF(Z227="",0,COUNTIFS(Andamentos!$K$10:$K$2009,"="&amp;SUBSTITUTE(SUBSTITUTE(SUBSTITUTE("P:"&amp;A227,"~","~~"),"*","~*"),"?","~?"),Andamentos!$D$10:$D$2009,Z227,Andamentos!$G$10:$G$2009,1))</f>
        <v>0</v>
      </c>
      <c r="AB227" s="14">
        <f>IF(AA227=1,SUMIFS(Andamentos!$L$10:$L$2009,Andamentos!$K$10:$K$2009,"="&amp;SUBSTITUTE(SUBSTITUTE(SUBSTITUTE(AS227,"~","~~"),"*","~*"),"?","~?"),Andamentos!$D$10:$D$2009,Z227,Andamentos!$G$10:$G$2009,1)-9,0)</f>
        <v>0</v>
      </c>
      <c r="AC227" s="14" t="str">
        <f>IF(V227=0,"",IF(AA227&gt;1,"Conferir recebimentos empatados",IF(AB227=0,"Sem atualização",INDEX(Andamentos!$C$10:$C$2009,AB227))))</f>
        <v/>
      </c>
      <c r="AD227" s="14">
        <f>IF(W227=0,0,IF(MAX(Z227,BD227)=0,1,IF(Configurar!$J$12-INT(MAX(Z227,BD227))&gt;Configurar!$J$11,1,0)))</f>
        <v>0</v>
      </c>
      <c r="AE227" s="16"/>
      <c r="AF227" s="14"/>
      <c r="AG227" s="14"/>
      <c r="AH227" s="14">
        <f>IF(AND(V227=1,COUNTIFS(Valores!$S$10:$S$509,"="&amp;SUBSTITUTE(SUBSTITUTE(SUBSTITUTE("P:"&amp;A227,"~","~~"),"*","~*"),"?","~?"))=1),(IF(ISNA(MATCH(SUBSTITUTE(SUBSTITUTE(SUBSTITUTE("P:"&amp;A227,"~","~~"),"*","~*"),"?","~?"),Valores!$S$10:$S$509,0)),9,INDEX(Valores!$R$10:$R$509,MATCH(SUBSTITUTE(SUBSTITUTE(SUBSTITUTE("P:"&amp;A227,"~","~~"),"*","~*"),"?","~?"),Valores!$S$10:$S$509,0)))-9),0)</f>
        <v>0</v>
      </c>
      <c r="AI227" s="40" t="str">
        <f t="shared" si="30"/>
        <v/>
      </c>
      <c r="AJ227" s="14" t="str">
        <f>IF(AND(X227=1,Y227=1),COUNTIFS($X$10:X227,1,$Y$10:Y227,1),"")</f>
        <v/>
      </c>
      <c r="AK227" s="14" t="str">
        <f>IF(X227=1,COUNTIFS($X$10:X227,1),"")</f>
        <v/>
      </c>
      <c r="AL227" s="14">
        <f>IF(AND(V227=1,AND(OR(Painel!$L$6="Todas",E227=Painel!$L$6),OR(Painel!$C$8="Todos",F227=Painel!$C$8),OR(Painel!$L$8="Todos",G227=Painel!$L$8),OR(Painel!$C$10="",ISNUMBER(SEARCH(SUBSTITUTE(SUBSTITUTE(SUBSTITUTE(Painel!$C$10,"~","~~"),"*","~*"),"?","~?"),A227&amp;" "&amp;H227&amp;" "&amp;I227))))),1,0)</f>
        <v>0</v>
      </c>
      <c r="AM227" s="14">
        <f t="shared" si="31"/>
        <v>0</v>
      </c>
      <c r="AN227" s="14"/>
      <c r="AO227" s="14"/>
      <c r="AP227" s="16" t="str">
        <f>IF(AB227=0,"",IF(INDEX(Andamentos!$B$10:$B$2009,AB227)="","",INDEX(Andamentos!$B$10:$B$2009,AB227)))</f>
        <v/>
      </c>
      <c r="AQ227" s="17" t="str">
        <f>IF(AH227=0,"",IF(INDEX(Valores!$B$10:$B$509,AH227)="","",IF(ISNUMBER(INDEX(Valores!$B$10:$B$509,AH227)),INDEX(Valores!$B$10:$B$509,AH227),"")))</f>
        <v/>
      </c>
      <c r="AR227" s="14" t="str">
        <f t="shared" si="32"/>
        <v/>
      </c>
      <c r="AS227" s="14" t="str">
        <f t="shared" si="33"/>
        <v/>
      </c>
      <c r="AT227" s="27"/>
      <c r="AU227" s="31"/>
      <c r="AV227" s="31"/>
      <c r="AW227" s="27"/>
      <c r="AX227" s="27"/>
      <c r="AY227" s="27"/>
      <c r="AZ227" s="27"/>
      <c r="BA227" s="30" t="str">
        <f t="shared" si="34"/>
        <v/>
      </c>
      <c r="BB227" s="30" t="str">
        <f t="shared" si="35"/>
        <v/>
      </c>
      <c r="BC227" s="30">
        <f>IF(X227=0,0,IF(COUNTIFS($X$10:X227,1,$BA$10:BA227,BA227)=1,1,0))</f>
        <v>0</v>
      </c>
      <c r="BD227" s="29"/>
    </row>
    <row r="228" spans="1:56" ht="42" customHeight="1">
      <c r="A228" s="41"/>
      <c r="B228" s="44"/>
      <c r="C228" s="44"/>
      <c r="D228" s="44"/>
      <c r="E228" s="44"/>
      <c r="F228" s="44"/>
      <c r="G228" s="44"/>
      <c r="H228" s="44"/>
      <c r="I228" s="44"/>
      <c r="J228" s="44"/>
      <c r="K228" s="44"/>
      <c r="L228" s="49"/>
      <c r="M228" s="48"/>
      <c r="N228" s="48"/>
      <c r="O228" s="48"/>
      <c r="P228" s="48"/>
      <c r="Q228" s="48"/>
      <c r="R228" s="48"/>
      <c r="S228" s="49"/>
      <c r="T228" s="48"/>
      <c r="U228" s="48"/>
      <c r="V228" s="14">
        <f t="shared" si="27"/>
        <v>0</v>
      </c>
      <c r="W228" s="14">
        <f t="shared" si="28"/>
        <v>0</v>
      </c>
      <c r="X228" s="14">
        <f>IF(AND(V228=1,OR(Painel!$C$6="Todos",D228=Painel!$C$6),AND(OR(Painel!$L$6="Todas",E228=Painel!$L$6),OR(Painel!$C$8="Todos",F228=Painel!$C$8),OR(Painel!$L$8="Todos",G228=Painel!$L$8),OR(Painel!$C$10="",ISNUMBER(SEARCH(SUBSTITUTE(SUBSTITUTE(SUBSTITUTE(Painel!$C$10,"~","~~"),"*","~*"),"?","~?"),A228&amp;" "&amp;H228&amp;" "&amp;I228))))),1,0)</f>
        <v>0</v>
      </c>
      <c r="Y228" s="14">
        <f t="shared" si="29"/>
        <v>0</v>
      </c>
      <c r="Z228" s="15" t="str">
        <f>IF(V228=0,"",IF(COUNTIFS(Andamentos!$K$10:$K$2009,"="&amp;SUBSTITUTE(SUBSTITUTE(SUBSTITUTE("P:"&amp;A228,"~","~~"),"*","~*"),"?","~?"),Andamentos!$G$10:$G$2009,1)=0,"",_xlfn.AGGREGATE(14,6,Andamentos!$D$10:$D$2009/((Andamentos!$K$10:$K$2009=AS228)*(Andamentos!$G$10:$G$2009=1)),1)))</f>
        <v/>
      </c>
      <c r="AA228" s="14">
        <f>IF(Z228="",0,COUNTIFS(Andamentos!$K$10:$K$2009,"="&amp;SUBSTITUTE(SUBSTITUTE(SUBSTITUTE("P:"&amp;A228,"~","~~"),"*","~*"),"?","~?"),Andamentos!$D$10:$D$2009,Z228,Andamentos!$G$10:$G$2009,1))</f>
        <v>0</v>
      </c>
      <c r="AB228" s="14">
        <f>IF(AA228=1,SUMIFS(Andamentos!$L$10:$L$2009,Andamentos!$K$10:$K$2009,"="&amp;SUBSTITUTE(SUBSTITUTE(SUBSTITUTE(AS228,"~","~~"),"*","~*"),"?","~?"),Andamentos!$D$10:$D$2009,Z228,Andamentos!$G$10:$G$2009,1)-9,0)</f>
        <v>0</v>
      </c>
      <c r="AC228" s="14" t="str">
        <f>IF(V228=0,"",IF(AA228&gt;1,"Conferir recebimentos empatados",IF(AB228=0,"Sem atualização",INDEX(Andamentos!$C$10:$C$2009,AB228))))</f>
        <v/>
      </c>
      <c r="AD228" s="14">
        <f>IF(W228=0,0,IF(MAX(Z228,BD228)=0,1,IF(Configurar!$J$12-INT(MAX(Z228,BD228))&gt;Configurar!$J$11,1,0)))</f>
        <v>0</v>
      </c>
      <c r="AE228" s="16"/>
      <c r="AF228" s="14"/>
      <c r="AG228" s="14"/>
      <c r="AH228" s="14">
        <f>IF(AND(V228=1,COUNTIFS(Valores!$S$10:$S$509,"="&amp;SUBSTITUTE(SUBSTITUTE(SUBSTITUTE("P:"&amp;A228,"~","~~"),"*","~*"),"?","~?"))=1),(IF(ISNA(MATCH(SUBSTITUTE(SUBSTITUTE(SUBSTITUTE("P:"&amp;A228,"~","~~"),"*","~*"),"?","~?"),Valores!$S$10:$S$509,0)),9,INDEX(Valores!$R$10:$R$509,MATCH(SUBSTITUTE(SUBSTITUTE(SUBSTITUTE("P:"&amp;A228,"~","~~"),"*","~*"),"?","~?"),Valores!$S$10:$S$509,0)))-9),0)</f>
        <v>0</v>
      </c>
      <c r="AI228" s="40" t="str">
        <f t="shared" si="30"/>
        <v/>
      </c>
      <c r="AJ228" s="14" t="str">
        <f>IF(AND(X228=1,Y228=1),COUNTIFS($X$10:X228,1,$Y$10:Y228,1),"")</f>
        <v/>
      </c>
      <c r="AK228" s="14" t="str">
        <f>IF(X228=1,COUNTIFS($X$10:X228,1),"")</f>
        <v/>
      </c>
      <c r="AL228" s="14">
        <f>IF(AND(V228=1,AND(OR(Painel!$L$6="Todas",E228=Painel!$L$6),OR(Painel!$C$8="Todos",F228=Painel!$C$8),OR(Painel!$L$8="Todos",G228=Painel!$L$8),OR(Painel!$C$10="",ISNUMBER(SEARCH(SUBSTITUTE(SUBSTITUTE(SUBSTITUTE(Painel!$C$10,"~","~~"),"*","~*"),"?","~?"),A228&amp;" "&amp;H228&amp;" "&amp;I228))))),1,0)</f>
        <v>0</v>
      </c>
      <c r="AM228" s="14">
        <f t="shared" si="31"/>
        <v>0</v>
      </c>
      <c r="AN228" s="14"/>
      <c r="AO228" s="14"/>
      <c r="AP228" s="16" t="str">
        <f>IF(AB228=0,"",IF(INDEX(Andamentos!$B$10:$B$2009,AB228)="","",INDEX(Andamentos!$B$10:$B$2009,AB228)))</f>
        <v/>
      </c>
      <c r="AQ228" s="17" t="str">
        <f>IF(AH228=0,"",IF(INDEX(Valores!$B$10:$B$509,AH228)="","",IF(ISNUMBER(INDEX(Valores!$B$10:$B$509,AH228)),INDEX(Valores!$B$10:$B$509,AH228),"")))</f>
        <v/>
      </c>
      <c r="AR228" s="14" t="str">
        <f t="shared" si="32"/>
        <v/>
      </c>
      <c r="AS228" s="14" t="str">
        <f t="shared" si="33"/>
        <v/>
      </c>
      <c r="AT228" s="27"/>
      <c r="AU228" s="31"/>
      <c r="AV228" s="31"/>
      <c r="AW228" s="27"/>
      <c r="AX228" s="27"/>
      <c r="AY228" s="27"/>
      <c r="AZ228" s="27"/>
      <c r="BA228" s="30" t="str">
        <f t="shared" si="34"/>
        <v/>
      </c>
      <c r="BB228" s="30" t="str">
        <f t="shared" si="35"/>
        <v/>
      </c>
      <c r="BC228" s="30">
        <f>IF(X228=0,0,IF(COUNTIFS($X$10:X228,1,$BA$10:BA228,BA228)=1,1,0))</f>
        <v>0</v>
      </c>
      <c r="BD228" s="29"/>
    </row>
    <row r="229" spans="1:56" ht="42" customHeight="1">
      <c r="A229" s="41"/>
      <c r="B229" s="44"/>
      <c r="C229" s="44"/>
      <c r="D229" s="44"/>
      <c r="E229" s="44"/>
      <c r="F229" s="44"/>
      <c r="G229" s="44"/>
      <c r="H229" s="44"/>
      <c r="I229" s="44"/>
      <c r="J229" s="44"/>
      <c r="K229" s="44"/>
      <c r="L229" s="49"/>
      <c r="M229" s="48"/>
      <c r="N229" s="48"/>
      <c r="O229" s="48"/>
      <c r="P229" s="48"/>
      <c r="Q229" s="48"/>
      <c r="R229" s="48"/>
      <c r="S229" s="49"/>
      <c r="T229" s="48"/>
      <c r="U229" s="48"/>
      <c r="V229" s="14">
        <f t="shared" si="27"/>
        <v>0</v>
      </c>
      <c r="W229" s="14">
        <f t="shared" si="28"/>
        <v>0</v>
      </c>
      <c r="X229" s="14">
        <f>IF(AND(V229=1,OR(Painel!$C$6="Todos",D229=Painel!$C$6),AND(OR(Painel!$L$6="Todas",E229=Painel!$L$6),OR(Painel!$C$8="Todos",F229=Painel!$C$8),OR(Painel!$L$8="Todos",G229=Painel!$L$8),OR(Painel!$C$10="",ISNUMBER(SEARCH(SUBSTITUTE(SUBSTITUTE(SUBSTITUTE(Painel!$C$10,"~","~~"),"*","~*"),"?","~?"),A229&amp;" "&amp;H229&amp;" "&amp;I229))))),1,0)</f>
        <v>0</v>
      </c>
      <c r="Y229" s="14">
        <f t="shared" si="29"/>
        <v>0</v>
      </c>
      <c r="Z229" s="15" t="str">
        <f>IF(V229=0,"",IF(COUNTIFS(Andamentos!$K$10:$K$2009,"="&amp;SUBSTITUTE(SUBSTITUTE(SUBSTITUTE("P:"&amp;A229,"~","~~"),"*","~*"),"?","~?"),Andamentos!$G$10:$G$2009,1)=0,"",_xlfn.AGGREGATE(14,6,Andamentos!$D$10:$D$2009/((Andamentos!$K$10:$K$2009=AS229)*(Andamentos!$G$10:$G$2009=1)),1)))</f>
        <v/>
      </c>
      <c r="AA229" s="14">
        <f>IF(Z229="",0,COUNTIFS(Andamentos!$K$10:$K$2009,"="&amp;SUBSTITUTE(SUBSTITUTE(SUBSTITUTE("P:"&amp;A229,"~","~~"),"*","~*"),"?","~?"),Andamentos!$D$10:$D$2009,Z229,Andamentos!$G$10:$G$2009,1))</f>
        <v>0</v>
      </c>
      <c r="AB229" s="14">
        <f>IF(AA229=1,SUMIFS(Andamentos!$L$10:$L$2009,Andamentos!$K$10:$K$2009,"="&amp;SUBSTITUTE(SUBSTITUTE(SUBSTITUTE(AS229,"~","~~"),"*","~*"),"?","~?"),Andamentos!$D$10:$D$2009,Z229,Andamentos!$G$10:$G$2009,1)-9,0)</f>
        <v>0</v>
      </c>
      <c r="AC229" s="14" t="str">
        <f>IF(V229=0,"",IF(AA229&gt;1,"Conferir recebimentos empatados",IF(AB229=0,"Sem atualização",INDEX(Andamentos!$C$10:$C$2009,AB229))))</f>
        <v/>
      </c>
      <c r="AD229" s="14">
        <f>IF(W229=0,0,IF(MAX(Z229,BD229)=0,1,IF(Configurar!$J$12-INT(MAX(Z229,BD229))&gt;Configurar!$J$11,1,0)))</f>
        <v>0</v>
      </c>
      <c r="AE229" s="16"/>
      <c r="AF229" s="14"/>
      <c r="AG229" s="14"/>
      <c r="AH229" s="14">
        <f>IF(AND(V229=1,COUNTIFS(Valores!$S$10:$S$509,"="&amp;SUBSTITUTE(SUBSTITUTE(SUBSTITUTE("P:"&amp;A229,"~","~~"),"*","~*"),"?","~?"))=1),(IF(ISNA(MATCH(SUBSTITUTE(SUBSTITUTE(SUBSTITUTE("P:"&amp;A229,"~","~~"),"*","~*"),"?","~?"),Valores!$S$10:$S$509,0)),9,INDEX(Valores!$R$10:$R$509,MATCH(SUBSTITUTE(SUBSTITUTE(SUBSTITUTE("P:"&amp;A229,"~","~~"),"*","~*"),"?","~?"),Valores!$S$10:$S$509,0)))-9),0)</f>
        <v>0</v>
      </c>
      <c r="AI229" s="40" t="str">
        <f t="shared" si="30"/>
        <v/>
      </c>
      <c r="AJ229" s="14" t="str">
        <f>IF(AND(X229=1,Y229=1),COUNTIFS($X$10:X229,1,$Y$10:Y229,1),"")</f>
        <v/>
      </c>
      <c r="AK229" s="14" t="str">
        <f>IF(X229=1,COUNTIFS($X$10:X229,1),"")</f>
        <v/>
      </c>
      <c r="AL229" s="14">
        <f>IF(AND(V229=1,AND(OR(Painel!$L$6="Todas",E229=Painel!$L$6),OR(Painel!$C$8="Todos",F229=Painel!$C$8),OR(Painel!$L$8="Todos",G229=Painel!$L$8),OR(Painel!$C$10="",ISNUMBER(SEARCH(SUBSTITUTE(SUBSTITUTE(SUBSTITUTE(Painel!$C$10,"~","~~"),"*","~*"),"?","~?"),A229&amp;" "&amp;H229&amp;" "&amp;I229))))),1,0)</f>
        <v>0</v>
      </c>
      <c r="AM229" s="14">
        <f t="shared" si="31"/>
        <v>0</v>
      </c>
      <c r="AN229" s="14"/>
      <c r="AO229" s="14"/>
      <c r="AP229" s="16" t="str">
        <f>IF(AB229=0,"",IF(INDEX(Andamentos!$B$10:$B$2009,AB229)="","",INDEX(Andamentos!$B$10:$B$2009,AB229)))</f>
        <v/>
      </c>
      <c r="AQ229" s="17" t="str">
        <f>IF(AH229=0,"",IF(INDEX(Valores!$B$10:$B$509,AH229)="","",IF(ISNUMBER(INDEX(Valores!$B$10:$B$509,AH229)),INDEX(Valores!$B$10:$B$509,AH229),"")))</f>
        <v/>
      </c>
      <c r="AR229" s="14" t="str">
        <f t="shared" si="32"/>
        <v/>
      </c>
      <c r="AS229" s="14" t="str">
        <f t="shared" si="33"/>
        <v/>
      </c>
      <c r="AT229" s="27"/>
      <c r="AU229" s="31"/>
      <c r="AV229" s="31"/>
      <c r="AW229" s="27"/>
      <c r="AX229" s="27"/>
      <c r="AY229" s="27"/>
      <c r="AZ229" s="27"/>
      <c r="BA229" s="30" t="str">
        <f t="shared" si="34"/>
        <v/>
      </c>
      <c r="BB229" s="30" t="str">
        <f t="shared" si="35"/>
        <v/>
      </c>
      <c r="BC229" s="30">
        <f>IF(X229=0,0,IF(COUNTIFS($X$10:X229,1,$BA$10:BA229,BA229)=1,1,0))</f>
        <v>0</v>
      </c>
      <c r="BD229" s="29"/>
    </row>
    <row r="230" spans="1:56" ht="42" customHeight="1">
      <c r="A230" s="41"/>
      <c r="B230" s="44"/>
      <c r="C230" s="44"/>
      <c r="D230" s="44"/>
      <c r="E230" s="44"/>
      <c r="F230" s="44"/>
      <c r="G230" s="44"/>
      <c r="H230" s="44"/>
      <c r="I230" s="44"/>
      <c r="J230" s="44"/>
      <c r="K230" s="44"/>
      <c r="L230" s="49"/>
      <c r="M230" s="48"/>
      <c r="N230" s="48"/>
      <c r="O230" s="48"/>
      <c r="P230" s="48"/>
      <c r="Q230" s="48"/>
      <c r="R230" s="48"/>
      <c r="S230" s="49"/>
      <c r="T230" s="48"/>
      <c r="U230" s="48"/>
      <c r="V230" s="14">
        <f t="shared" si="27"/>
        <v>0</v>
      </c>
      <c r="W230" s="14">
        <f t="shared" si="28"/>
        <v>0</v>
      </c>
      <c r="X230" s="14">
        <f>IF(AND(V230=1,OR(Painel!$C$6="Todos",D230=Painel!$C$6),AND(OR(Painel!$L$6="Todas",E230=Painel!$L$6),OR(Painel!$C$8="Todos",F230=Painel!$C$8),OR(Painel!$L$8="Todos",G230=Painel!$L$8),OR(Painel!$C$10="",ISNUMBER(SEARCH(SUBSTITUTE(SUBSTITUTE(SUBSTITUTE(Painel!$C$10,"~","~~"),"*","~*"),"?","~?"),A230&amp;" "&amp;H230&amp;" "&amp;I230))))),1,0)</f>
        <v>0</v>
      </c>
      <c r="Y230" s="14">
        <f t="shared" si="29"/>
        <v>0</v>
      </c>
      <c r="Z230" s="15" t="str">
        <f>IF(V230=0,"",IF(COUNTIFS(Andamentos!$K$10:$K$2009,"="&amp;SUBSTITUTE(SUBSTITUTE(SUBSTITUTE("P:"&amp;A230,"~","~~"),"*","~*"),"?","~?"),Andamentos!$G$10:$G$2009,1)=0,"",_xlfn.AGGREGATE(14,6,Andamentos!$D$10:$D$2009/((Andamentos!$K$10:$K$2009=AS230)*(Andamentos!$G$10:$G$2009=1)),1)))</f>
        <v/>
      </c>
      <c r="AA230" s="14">
        <f>IF(Z230="",0,COUNTIFS(Andamentos!$K$10:$K$2009,"="&amp;SUBSTITUTE(SUBSTITUTE(SUBSTITUTE("P:"&amp;A230,"~","~~"),"*","~*"),"?","~?"),Andamentos!$D$10:$D$2009,Z230,Andamentos!$G$10:$G$2009,1))</f>
        <v>0</v>
      </c>
      <c r="AB230" s="14">
        <f>IF(AA230=1,SUMIFS(Andamentos!$L$10:$L$2009,Andamentos!$K$10:$K$2009,"="&amp;SUBSTITUTE(SUBSTITUTE(SUBSTITUTE(AS230,"~","~~"),"*","~*"),"?","~?"),Andamentos!$D$10:$D$2009,Z230,Andamentos!$G$10:$G$2009,1)-9,0)</f>
        <v>0</v>
      </c>
      <c r="AC230" s="14" t="str">
        <f>IF(V230=0,"",IF(AA230&gt;1,"Conferir recebimentos empatados",IF(AB230=0,"Sem atualização",INDEX(Andamentos!$C$10:$C$2009,AB230))))</f>
        <v/>
      </c>
      <c r="AD230" s="14">
        <f>IF(W230=0,0,IF(MAX(Z230,BD230)=0,1,IF(Configurar!$J$12-INT(MAX(Z230,BD230))&gt;Configurar!$J$11,1,0)))</f>
        <v>0</v>
      </c>
      <c r="AE230" s="16"/>
      <c r="AF230" s="14"/>
      <c r="AG230" s="14"/>
      <c r="AH230" s="14">
        <f>IF(AND(V230=1,COUNTIFS(Valores!$S$10:$S$509,"="&amp;SUBSTITUTE(SUBSTITUTE(SUBSTITUTE("P:"&amp;A230,"~","~~"),"*","~*"),"?","~?"))=1),(IF(ISNA(MATCH(SUBSTITUTE(SUBSTITUTE(SUBSTITUTE("P:"&amp;A230,"~","~~"),"*","~*"),"?","~?"),Valores!$S$10:$S$509,0)),9,INDEX(Valores!$R$10:$R$509,MATCH(SUBSTITUTE(SUBSTITUTE(SUBSTITUTE("P:"&amp;A230,"~","~~"),"*","~*"),"?","~?"),Valores!$S$10:$S$509,0)))-9),0)</f>
        <v>0</v>
      </c>
      <c r="AI230" s="40" t="str">
        <f t="shared" si="30"/>
        <v/>
      </c>
      <c r="AJ230" s="14" t="str">
        <f>IF(AND(X230=1,Y230=1),COUNTIFS($X$10:X230,1,$Y$10:Y230,1),"")</f>
        <v/>
      </c>
      <c r="AK230" s="14" t="str">
        <f>IF(X230=1,COUNTIFS($X$10:X230,1),"")</f>
        <v/>
      </c>
      <c r="AL230" s="14">
        <f>IF(AND(V230=1,AND(OR(Painel!$L$6="Todas",E230=Painel!$L$6),OR(Painel!$C$8="Todos",F230=Painel!$C$8),OR(Painel!$L$8="Todos",G230=Painel!$L$8),OR(Painel!$C$10="",ISNUMBER(SEARCH(SUBSTITUTE(SUBSTITUTE(SUBSTITUTE(Painel!$C$10,"~","~~"),"*","~*"),"?","~?"),A230&amp;" "&amp;H230&amp;" "&amp;I230))))),1,0)</f>
        <v>0</v>
      </c>
      <c r="AM230" s="14">
        <f t="shared" si="31"/>
        <v>0</v>
      </c>
      <c r="AN230" s="14"/>
      <c r="AO230" s="14"/>
      <c r="AP230" s="16" t="str">
        <f>IF(AB230=0,"",IF(INDEX(Andamentos!$B$10:$B$2009,AB230)="","",INDEX(Andamentos!$B$10:$B$2009,AB230)))</f>
        <v/>
      </c>
      <c r="AQ230" s="17" t="str">
        <f>IF(AH230=0,"",IF(INDEX(Valores!$B$10:$B$509,AH230)="","",IF(ISNUMBER(INDEX(Valores!$B$10:$B$509,AH230)),INDEX(Valores!$B$10:$B$509,AH230),"")))</f>
        <v/>
      </c>
      <c r="AR230" s="14" t="str">
        <f t="shared" si="32"/>
        <v/>
      </c>
      <c r="AS230" s="14" t="str">
        <f t="shared" si="33"/>
        <v/>
      </c>
      <c r="AT230" s="27"/>
      <c r="AU230" s="31"/>
      <c r="AV230" s="31"/>
      <c r="AW230" s="27"/>
      <c r="AX230" s="27"/>
      <c r="AY230" s="27"/>
      <c r="AZ230" s="27"/>
      <c r="BA230" s="30" t="str">
        <f t="shared" si="34"/>
        <v/>
      </c>
      <c r="BB230" s="30" t="str">
        <f t="shared" si="35"/>
        <v/>
      </c>
      <c r="BC230" s="30">
        <f>IF(X230=0,0,IF(COUNTIFS($X$10:X230,1,$BA$10:BA230,BA230)=1,1,0))</f>
        <v>0</v>
      </c>
      <c r="BD230" s="29"/>
    </row>
    <row r="231" spans="1:56" ht="42" customHeight="1">
      <c r="A231" s="41"/>
      <c r="B231" s="44"/>
      <c r="C231" s="44"/>
      <c r="D231" s="44"/>
      <c r="E231" s="44"/>
      <c r="F231" s="44"/>
      <c r="G231" s="44"/>
      <c r="H231" s="44"/>
      <c r="I231" s="44"/>
      <c r="J231" s="44"/>
      <c r="K231" s="44"/>
      <c r="L231" s="49"/>
      <c r="M231" s="48"/>
      <c r="N231" s="48"/>
      <c r="O231" s="48"/>
      <c r="P231" s="48"/>
      <c r="Q231" s="48"/>
      <c r="R231" s="48"/>
      <c r="S231" s="49"/>
      <c r="T231" s="48"/>
      <c r="U231" s="48"/>
      <c r="V231" s="14">
        <f t="shared" si="27"/>
        <v>0</v>
      </c>
      <c r="W231" s="14">
        <f t="shared" si="28"/>
        <v>0</v>
      </c>
      <c r="X231" s="14">
        <f>IF(AND(V231=1,OR(Painel!$C$6="Todos",D231=Painel!$C$6),AND(OR(Painel!$L$6="Todas",E231=Painel!$L$6),OR(Painel!$C$8="Todos",F231=Painel!$C$8),OR(Painel!$L$8="Todos",G231=Painel!$L$8),OR(Painel!$C$10="",ISNUMBER(SEARCH(SUBSTITUTE(SUBSTITUTE(SUBSTITUTE(Painel!$C$10,"~","~~"),"*","~*"),"?","~?"),A231&amp;" "&amp;H231&amp;" "&amp;I231))))),1,0)</f>
        <v>0</v>
      </c>
      <c r="Y231" s="14">
        <f t="shared" si="29"/>
        <v>0</v>
      </c>
      <c r="Z231" s="15" t="str">
        <f>IF(V231=0,"",IF(COUNTIFS(Andamentos!$K$10:$K$2009,"="&amp;SUBSTITUTE(SUBSTITUTE(SUBSTITUTE("P:"&amp;A231,"~","~~"),"*","~*"),"?","~?"),Andamentos!$G$10:$G$2009,1)=0,"",_xlfn.AGGREGATE(14,6,Andamentos!$D$10:$D$2009/((Andamentos!$K$10:$K$2009=AS231)*(Andamentos!$G$10:$G$2009=1)),1)))</f>
        <v/>
      </c>
      <c r="AA231" s="14">
        <f>IF(Z231="",0,COUNTIFS(Andamentos!$K$10:$K$2009,"="&amp;SUBSTITUTE(SUBSTITUTE(SUBSTITUTE("P:"&amp;A231,"~","~~"),"*","~*"),"?","~?"),Andamentos!$D$10:$D$2009,Z231,Andamentos!$G$10:$G$2009,1))</f>
        <v>0</v>
      </c>
      <c r="AB231" s="14">
        <f>IF(AA231=1,SUMIFS(Andamentos!$L$10:$L$2009,Andamentos!$K$10:$K$2009,"="&amp;SUBSTITUTE(SUBSTITUTE(SUBSTITUTE(AS231,"~","~~"),"*","~*"),"?","~?"),Andamentos!$D$10:$D$2009,Z231,Andamentos!$G$10:$G$2009,1)-9,0)</f>
        <v>0</v>
      </c>
      <c r="AC231" s="14" t="str">
        <f>IF(V231=0,"",IF(AA231&gt;1,"Conferir recebimentos empatados",IF(AB231=0,"Sem atualização",INDEX(Andamentos!$C$10:$C$2009,AB231))))</f>
        <v/>
      </c>
      <c r="AD231" s="14">
        <f>IF(W231=0,0,IF(MAX(Z231,BD231)=0,1,IF(Configurar!$J$12-INT(MAX(Z231,BD231))&gt;Configurar!$J$11,1,0)))</f>
        <v>0</v>
      </c>
      <c r="AE231" s="16"/>
      <c r="AF231" s="14"/>
      <c r="AG231" s="14"/>
      <c r="AH231" s="14">
        <f>IF(AND(V231=1,COUNTIFS(Valores!$S$10:$S$509,"="&amp;SUBSTITUTE(SUBSTITUTE(SUBSTITUTE("P:"&amp;A231,"~","~~"),"*","~*"),"?","~?"))=1),(IF(ISNA(MATCH(SUBSTITUTE(SUBSTITUTE(SUBSTITUTE("P:"&amp;A231,"~","~~"),"*","~*"),"?","~?"),Valores!$S$10:$S$509,0)),9,INDEX(Valores!$R$10:$R$509,MATCH(SUBSTITUTE(SUBSTITUTE(SUBSTITUTE("P:"&amp;A231,"~","~~"),"*","~*"),"?","~?"),Valores!$S$10:$S$509,0)))-9),0)</f>
        <v>0</v>
      </c>
      <c r="AI231" s="40" t="str">
        <f t="shared" si="30"/>
        <v/>
      </c>
      <c r="AJ231" s="14" t="str">
        <f>IF(AND(X231=1,Y231=1),COUNTIFS($X$10:X231,1,$Y$10:Y231,1),"")</f>
        <v/>
      </c>
      <c r="AK231" s="14" t="str">
        <f>IF(X231=1,COUNTIFS($X$10:X231,1),"")</f>
        <v/>
      </c>
      <c r="AL231" s="14">
        <f>IF(AND(V231=1,AND(OR(Painel!$L$6="Todas",E231=Painel!$L$6),OR(Painel!$C$8="Todos",F231=Painel!$C$8),OR(Painel!$L$8="Todos",G231=Painel!$L$8),OR(Painel!$C$10="",ISNUMBER(SEARCH(SUBSTITUTE(SUBSTITUTE(SUBSTITUTE(Painel!$C$10,"~","~~"),"*","~*"),"?","~?"),A231&amp;" "&amp;H231&amp;" "&amp;I231))))),1,0)</f>
        <v>0</v>
      </c>
      <c r="AM231" s="14">
        <f t="shared" si="31"/>
        <v>0</v>
      </c>
      <c r="AN231" s="14"/>
      <c r="AO231" s="14"/>
      <c r="AP231" s="16" t="str">
        <f>IF(AB231=0,"",IF(INDEX(Andamentos!$B$10:$B$2009,AB231)="","",INDEX(Andamentos!$B$10:$B$2009,AB231)))</f>
        <v/>
      </c>
      <c r="AQ231" s="17" t="str">
        <f>IF(AH231=0,"",IF(INDEX(Valores!$B$10:$B$509,AH231)="","",IF(ISNUMBER(INDEX(Valores!$B$10:$B$509,AH231)),INDEX(Valores!$B$10:$B$509,AH231),"")))</f>
        <v/>
      </c>
      <c r="AR231" s="14" t="str">
        <f t="shared" si="32"/>
        <v/>
      </c>
      <c r="AS231" s="14" t="str">
        <f t="shared" si="33"/>
        <v/>
      </c>
      <c r="AT231" s="27"/>
      <c r="AU231" s="31"/>
      <c r="AV231" s="31"/>
      <c r="AW231" s="27"/>
      <c r="AX231" s="27"/>
      <c r="AY231" s="27"/>
      <c r="AZ231" s="27"/>
      <c r="BA231" s="30" t="str">
        <f t="shared" si="34"/>
        <v/>
      </c>
      <c r="BB231" s="30" t="str">
        <f t="shared" si="35"/>
        <v/>
      </c>
      <c r="BC231" s="30">
        <f>IF(X231=0,0,IF(COUNTIFS($X$10:X231,1,$BA$10:BA231,BA231)=1,1,0))</f>
        <v>0</v>
      </c>
      <c r="BD231" s="29"/>
    </row>
    <row r="232" spans="1:56" ht="42" customHeight="1">
      <c r="A232" s="41"/>
      <c r="B232" s="44"/>
      <c r="C232" s="44"/>
      <c r="D232" s="44"/>
      <c r="E232" s="44"/>
      <c r="F232" s="44"/>
      <c r="G232" s="44"/>
      <c r="H232" s="44"/>
      <c r="I232" s="44"/>
      <c r="J232" s="44"/>
      <c r="K232" s="44"/>
      <c r="L232" s="49"/>
      <c r="M232" s="48"/>
      <c r="N232" s="48"/>
      <c r="O232" s="48"/>
      <c r="P232" s="48"/>
      <c r="Q232" s="48"/>
      <c r="R232" s="48"/>
      <c r="S232" s="49"/>
      <c r="T232" s="48"/>
      <c r="U232" s="48"/>
      <c r="V232" s="14">
        <f t="shared" si="27"/>
        <v>0</v>
      </c>
      <c r="W232" s="14">
        <f t="shared" si="28"/>
        <v>0</v>
      </c>
      <c r="X232" s="14">
        <f>IF(AND(V232=1,OR(Painel!$C$6="Todos",D232=Painel!$C$6),AND(OR(Painel!$L$6="Todas",E232=Painel!$L$6),OR(Painel!$C$8="Todos",F232=Painel!$C$8),OR(Painel!$L$8="Todos",G232=Painel!$L$8),OR(Painel!$C$10="",ISNUMBER(SEARCH(SUBSTITUTE(SUBSTITUTE(SUBSTITUTE(Painel!$C$10,"~","~~"),"*","~*"),"?","~?"),A232&amp;" "&amp;H232&amp;" "&amp;I232))))),1,0)</f>
        <v>0</v>
      </c>
      <c r="Y232" s="14">
        <f t="shared" si="29"/>
        <v>0</v>
      </c>
      <c r="Z232" s="15" t="str">
        <f>IF(V232=0,"",IF(COUNTIFS(Andamentos!$K$10:$K$2009,"="&amp;SUBSTITUTE(SUBSTITUTE(SUBSTITUTE("P:"&amp;A232,"~","~~"),"*","~*"),"?","~?"),Andamentos!$G$10:$G$2009,1)=0,"",_xlfn.AGGREGATE(14,6,Andamentos!$D$10:$D$2009/((Andamentos!$K$10:$K$2009=AS232)*(Andamentos!$G$10:$G$2009=1)),1)))</f>
        <v/>
      </c>
      <c r="AA232" s="14">
        <f>IF(Z232="",0,COUNTIFS(Andamentos!$K$10:$K$2009,"="&amp;SUBSTITUTE(SUBSTITUTE(SUBSTITUTE("P:"&amp;A232,"~","~~"),"*","~*"),"?","~?"),Andamentos!$D$10:$D$2009,Z232,Andamentos!$G$10:$G$2009,1))</f>
        <v>0</v>
      </c>
      <c r="AB232" s="14">
        <f>IF(AA232=1,SUMIFS(Andamentos!$L$10:$L$2009,Andamentos!$K$10:$K$2009,"="&amp;SUBSTITUTE(SUBSTITUTE(SUBSTITUTE(AS232,"~","~~"),"*","~*"),"?","~?"),Andamentos!$D$10:$D$2009,Z232,Andamentos!$G$10:$G$2009,1)-9,0)</f>
        <v>0</v>
      </c>
      <c r="AC232" s="14" t="str">
        <f>IF(V232=0,"",IF(AA232&gt;1,"Conferir recebimentos empatados",IF(AB232=0,"Sem atualização",INDEX(Andamentos!$C$10:$C$2009,AB232))))</f>
        <v/>
      </c>
      <c r="AD232" s="14">
        <f>IF(W232=0,0,IF(MAX(Z232,BD232)=0,1,IF(Configurar!$J$12-INT(MAX(Z232,BD232))&gt;Configurar!$J$11,1,0)))</f>
        <v>0</v>
      </c>
      <c r="AE232" s="16"/>
      <c r="AF232" s="14"/>
      <c r="AG232" s="14"/>
      <c r="AH232" s="14">
        <f>IF(AND(V232=1,COUNTIFS(Valores!$S$10:$S$509,"="&amp;SUBSTITUTE(SUBSTITUTE(SUBSTITUTE("P:"&amp;A232,"~","~~"),"*","~*"),"?","~?"))=1),(IF(ISNA(MATCH(SUBSTITUTE(SUBSTITUTE(SUBSTITUTE("P:"&amp;A232,"~","~~"),"*","~*"),"?","~?"),Valores!$S$10:$S$509,0)),9,INDEX(Valores!$R$10:$R$509,MATCH(SUBSTITUTE(SUBSTITUTE(SUBSTITUTE("P:"&amp;A232,"~","~~"),"*","~*"),"?","~?"),Valores!$S$10:$S$509,0)))-9),0)</f>
        <v>0</v>
      </c>
      <c r="AI232" s="40" t="str">
        <f t="shared" si="30"/>
        <v/>
      </c>
      <c r="AJ232" s="14" t="str">
        <f>IF(AND(X232=1,Y232=1),COUNTIFS($X$10:X232,1,$Y$10:Y232,1),"")</f>
        <v/>
      </c>
      <c r="AK232" s="14" t="str">
        <f>IF(X232=1,COUNTIFS($X$10:X232,1),"")</f>
        <v/>
      </c>
      <c r="AL232" s="14">
        <f>IF(AND(V232=1,AND(OR(Painel!$L$6="Todas",E232=Painel!$L$6),OR(Painel!$C$8="Todos",F232=Painel!$C$8),OR(Painel!$L$8="Todos",G232=Painel!$L$8),OR(Painel!$C$10="",ISNUMBER(SEARCH(SUBSTITUTE(SUBSTITUTE(SUBSTITUTE(Painel!$C$10,"~","~~"),"*","~*"),"?","~?"),A232&amp;" "&amp;H232&amp;" "&amp;I232))))),1,0)</f>
        <v>0</v>
      </c>
      <c r="AM232" s="14">
        <f t="shared" si="31"/>
        <v>0</v>
      </c>
      <c r="AN232" s="14"/>
      <c r="AO232" s="14"/>
      <c r="AP232" s="16" t="str">
        <f>IF(AB232=0,"",IF(INDEX(Andamentos!$B$10:$B$2009,AB232)="","",INDEX(Andamentos!$B$10:$B$2009,AB232)))</f>
        <v/>
      </c>
      <c r="AQ232" s="17" t="str">
        <f>IF(AH232=0,"",IF(INDEX(Valores!$B$10:$B$509,AH232)="","",IF(ISNUMBER(INDEX(Valores!$B$10:$B$509,AH232)),INDEX(Valores!$B$10:$B$509,AH232),"")))</f>
        <v/>
      </c>
      <c r="AR232" s="14" t="str">
        <f t="shared" si="32"/>
        <v/>
      </c>
      <c r="AS232" s="14" t="str">
        <f t="shared" si="33"/>
        <v/>
      </c>
      <c r="AT232" s="27"/>
      <c r="AU232" s="31"/>
      <c r="AV232" s="31"/>
      <c r="AW232" s="27"/>
      <c r="AX232" s="27"/>
      <c r="AY232" s="27"/>
      <c r="AZ232" s="27"/>
      <c r="BA232" s="30" t="str">
        <f t="shared" si="34"/>
        <v/>
      </c>
      <c r="BB232" s="30" t="str">
        <f t="shared" si="35"/>
        <v/>
      </c>
      <c r="BC232" s="30">
        <f>IF(X232=0,0,IF(COUNTIFS($X$10:X232,1,$BA$10:BA232,BA232)=1,1,0))</f>
        <v>0</v>
      </c>
      <c r="BD232" s="29"/>
    </row>
    <row r="233" spans="1:56" ht="42" customHeight="1">
      <c r="A233" s="41"/>
      <c r="B233" s="44"/>
      <c r="C233" s="44"/>
      <c r="D233" s="44"/>
      <c r="E233" s="44"/>
      <c r="F233" s="44"/>
      <c r="G233" s="44"/>
      <c r="H233" s="44"/>
      <c r="I233" s="44"/>
      <c r="J233" s="44"/>
      <c r="K233" s="44"/>
      <c r="L233" s="49"/>
      <c r="M233" s="48"/>
      <c r="N233" s="48"/>
      <c r="O233" s="48"/>
      <c r="P233" s="48"/>
      <c r="Q233" s="48"/>
      <c r="R233" s="48"/>
      <c r="S233" s="49"/>
      <c r="T233" s="48"/>
      <c r="U233" s="48"/>
      <c r="V233" s="14">
        <f t="shared" si="27"/>
        <v>0</v>
      </c>
      <c r="W233" s="14">
        <f t="shared" si="28"/>
        <v>0</v>
      </c>
      <c r="X233" s="14">
        <f>IF(AND(V233=1,OR(Painel!$C$6="Todos",D233=Painel!$C$6),AND(OR(Painel!$L$6="Todas",E233=Painel!$L$6),OR(Painel!$C$8="Todos",F233=Painel!$C$8),OR(Painel!$L$8="Todos",G233=Painel!$L$8),OR(Painel!$C$10="",ISNUMBER(SEARCH(SUBSTITUTE(SUBSTITUTE(SUBSTITUTE(Painel!$C$10,"~","~~"),"*","~*"),"?","~?"),A233&amp;" "&amp;H233&amp;" "&amp;I233))))),1,0)</f>
        <v>0</v>
      </c>
      <c r="Y233" s="14">
        <f t="shared" si="29"/>
        <v>0</v>
      </c>
      <c r="Z233" s="15" t="str">
        <f>IF(V233=0,"",IF(COUNTIFS(Andamentos!$K$10:$K$2009,"="&amp;SUBSTITUTE(SUBSTITUTE(SUBSTITUTE("P:"&amp;A233,"~","~~"),"*","~*"),"?","~?"),Andamentos!$G$10:$G$2009,1)=0,"",_xlfn.AGGREGATE(14,6,Andamentos!$D$10:$D$2009/((Andamentos!$K$10:$K$2009=AS233)*(Andamentos!$G$10:$G$2009=1)),1)))</f>
        <v/>
      </c>
      <c r="AA233" s="14">
        <f>IF(Z233="",0,COUNTIFS(Andamentos!$K$10:$K$2009,"="&amp;SUBSTITUTE(SUBSTITUTE(SUBSTITUTE("P:"&amp;A233,"~","~~"),"*","~*"),"?","~?"),Andamentos!$D$10:$D$2009,Z233,Andamentos!$G$10:$G$2009,1))</f>
        <v>0</v>
      </c>
      <c r="AB233" s="14">
        <f>IF(AA233=1,SUMIFS(Andamentos!$L$10:$L$2009,Andamentos!$K$10:$K$2009,"="&amp;SUBSTITUTE(SUBSTITUTE(SUBSTITUTE(AS233,"~","~~"),"*","~*"),"?","~?"),Andamentos!$D$10:$D$2009,Z233,Andamentos!$G$10:$G$2009,1)-9,0)</f>
        <v>0</v>
      </c>
      <c r="AC233" s="14" t="str">
        <f>IF(V233=0,"",IF(AA233&gt;1,"Conferir recebimentos empatados",IF(AB233=0,"Sem atualização",INDEX(Andamentos!$C$10:$C$2009,AB233))))</f>
        <v/>
      </c>
      <c r="AD233" s="14">
        <f>IF(W233=0,0,IF(MAX(Z233,BD233)=0,1,IF(Configurar!$J$12-INT(MAX(Z233,BD233))&gt;Configurar!$J$11,1,0)))</f>
        <v>0</v>
      </c>
      <c r="AE233" s="16"/>
      <c r="AF233" s="14"/>
      <c r="AG233" s="14"/>
      <c r="AH233" s="14">
        <f>IF(AND(V233=1,COUNTIFS(Valores!$S$10:$S$509,"="&amp;SUBSTITUTE(SUBSTITUTE(SUBSTITUTE("P:"&amp;A233,"~","~~"),"*","~*"),"?","~?"))=1),(IF(ISNA(MATCH(SUBSTITUTE(SUBSTITUTE(SUBSTITUTE("P:"&amp;A233,"~","~~"),"*","~*"),"?","~?"),Valores!$S$10:$S$509,0)),9,INDEX(Valores!$R$10:$R$509,MATCH(SUBSTITUTE(SUBSTITUTE(SUBSTITUTE("P:"&amp;A233,"~","~~"),"*","~*"),"?","~?"),Valores!$S$10:$S$509,0)))-9),0)</f>
        <v>0</v>
      </c>
      <c r="AI233" s="40" t="str">
        <f t="shared" si="30"/>
        <v/>
      </c>
      <c r="AJ233" s="14" t="str">
        <f>IF(AND(X233=1,Y233=1),COUNTIFS($X$10:X233,1,$Y$10:Y233,1),"")</f>
        <v/>
      </c>
      <c r="AK233" s="14" t="str">
        <f>IF(X233=1,COUNTIFS($X$10:X233,1),"")</f>
        <v/>
      </c>
      <c r="AL233" s="14">
        <f>IF(AND(V233=1,AND(OR(Painel!$L$6="Todas",E233=Painel!$L$6),OR(Painel!$C$8="Todos",F233=Painel!$C$8),OR(Painel!$L$8="Todos",G233=Painel!$L$8),OR(Painel!$C$10="",ISNUMBER(SEARCH(SUBSTITUTE(SUBSTITUTE(SUBSTITUTE(Painel!$C$10,"~","~~"),"*","~*"),"?","~?"),A233&amp;" "&amp;H233&amp;" "&amp;I233))))),1,0)</f>
        <v>0</v>
      </c>
      <c r="AM233" s="14">
        <f t="shared" si="31"/>
        <v>0</v>
      </c>
      <c r="AN233" s="14"/>
      <c r="AO233" s="14"/>
      <c r="AP233" s="16" t="str">
        <f>IF(AB233=0,"",IF(INDEX(Andamentos!$B$10:$B$2009,AB233)="","",INDEX(Andamentos!$B$10:$B$2009,AB233)))</f>
        <v/>
      </c>
      <c r="AQ233" s="17" t="str">
        <f>IF(AH233=0,"",IF(INDEX(Valores!$B$10:$B$509,AH233)="","",IF(ISNUMBER(INDEX(Valores!$B$10:$B$509,AH233)),INDEX(Valores!$B$10:$B$509,AH233),"")))</f>
        <v/>
      </c>
      <c r="AR233" s="14" t="str">
        <f t="shared" si="32"/>
        <v/>
      </c>
      <c r="AS233" s="14" t="str">
        <f t="shared" si="33"/>
        <v/>
      </c>
      <c r="AT233" s="27"/>
      <c r="AU233" s="31"/>
      <c r="AV233" s="31"/>
      <c r="AW233" s="27"/>
      <c r="AX233" s="27"/>
      <c r="AY233" s="27"/>
      <c r="AZ233" s="27"/>
      <c r="BA233" s="30" t="str">
        <f t="shared" si="34"/>
        <v/>
      </c>
      <c r="BB233" s="30" t="str">
        <f t="shared" si="35"/>
        <v/>
      </c>
      <c r="BC233" s="30">
        <f>IF(X233=0,0,IF(COUNTIFS($X$10:X233,1,$BA$10:BA233,BA233)=1,1,0))</f>
        <v>0</v>
      </c>
      <c r="BD233" s="29"/>
    </row>
    <row r="234" spans="1:56" ht="42" customHeight="1">
      <c r="A234" s="41"/>
      <c r="B234" s="44"/>
      <c r="C234" s="44"/>
      <c r="D234" s="44"/>
      <c r="E234" s="44"/>
      <c r="F234" s="44"/>
      <c r="G234" s="44"/>
      <c r="H234" s="44"/>
      <c r="I234" s="44"/>
      <c r="J234" s="44"/>
      <c r="K234" s="44"/>
      <c r="L234" s="49"/>
      <c r="M234" s="48"/>
      <c r="N234" s="48"/>
      <c r="O234" s="48"/>
      <c r="P234" s="48"/>
      <c r="Q234" s="48"/>
      <c r="R234" s="48"/>
      <c r="S234" s="49"/>
      <c r="T234" s="48"/>
      <c r="U234" s="48"/>
      <c r="V234" s="14">
        <f t="shared" si="27"/>
        <v>0</v>
      </c>
      <c r="W234" s="14">
        <f t="shared" si="28"/>
        <v>0</v>
      </c>
      <c r="X234" s="14">
        <f>IF(AND(V234=1,OR(Painel!$C$6="Todos",D234=Painel!$C$6),AND(OR(Painel!$L$6="Todas",E234=Painel!$L$6),OR(Painel!$C$8="Todos",F234=Painel!$C$8),OR(Painel!$L$8="Todos",G234=Painel!$L$8),OR(Painel!$C$10="",ISNUMBER(SEARCH(SUBSTITUTE(SUBSTITUTE(SUBSTITUTE(Painel!$C$10,"~","~~"),"*","~*"),"?","~?"),A234&amp;" "&amp;H234&amp;" "&amp;I234))))),1,0)</f>
        <v>0</v>
      </c>
      <c r="Y234" s="14">
        <f t="shared" si="29"/>
        <v>0</v>
      </c>
      <c r="Z234" s="15" t="str">
        <f>IF(V234=0,"",IF(COUNTIFS(Andamentos!$K$10:$K$2009,"="&amp;SUBSTITUTE(SUBSTITUTE(SUBSTITUTE("P:"&amp;A234,"~","~~"),"*","~*"),"?","~?"),Andamentos!$G$10:$G$2009,1)=0,"",_xlfn.AGGREGATE(14,6,Andamentos!$D$10:$D$2009/((Andamentos!$K$10:$K$2009=AS234)*(Andamentos!$G$10:$G$2009=1)),1)))</f>
        <v/>
      </c>
      <c r="AA234" s="14">
        <f>IF(Z234="",0,COUNTIFS(Andamentos!$K$10:$K$2009,"="&amp;SUBSTITUTE(SUBSTITUTE(SUBSTITUTE("P:"&amp;A234,"~","~~"),"*","~*"),"?","~?"),Andamentos!$D$10:$D$2009,Z234,Andamentos!$G$10:$G$2009,1))</f>
        <v>0</v>
      </c>
      <c r="AB234" s="14">
        <f>IF(AA234=1,SUMIFS(Andamentos!$L$10:$L$2009,Andamentos!$K$10:$K$2009,"="&amp;SUBSTITUTE(SUBSTITUTE(SUBSTITUTE(AS234,"~","~~"),"*","~*"),"?","~?"),Andamentos!$D$10:$D$2009,Z234,Andamentos!$G$10:$G$2009,1)-9,0)</f>
        <v>0</v>
      </c>
      <c r="AC234" s="14" t="str">
        <f>IF(V234=0,"",IF(AA234&gt;1,"Conferir recebimentos empatados",IF(AB234=0,"Sem atualização",INDEX(Andamentos!$C$10:$C$2009,AB234))))</f>
        <v/>
      </c>
      <c r="AD234" s="14">
        <f>IF(W234=0,0,IF(MAX(Z234,BD234)=0,1,IF(Configurar!$J$12-INT(MAX(Z234,BD234))&gt;Configurar!$J$11,1,0)))</f>
        <v>0</v>
      </c>
      <c r="AE234" s="16"/>
      <c r="AF234" s="14"/>
      <c r="AG234" s="14"/>
      <c r="AH234" s="14">
        <f>IF(AND(V234=1,COUNTIFS(Valores!$S$10:$S$509,"="&amp;SUBSTITUTE(SUBSTITUTE(SUBSTITUTE("P:"&amp;A234,"~","~~"),"*","~*"),"?","~?"))=1),(IF(ISNA(MATCH(SUBSTITUTE(SUBSTITUTE(SUBSTITUTE("P:"&amp;A234,"~","~~"),"*","~*"),"?","~?"),Valores!$S$10:$S$509,0)),9,INDEX(Valores!$R$10:$R$509,MATCH(SUBSTITUTE(SUBSTITUTE(SUBSTITUTE("P:"&amp;A234,"~","~~"),"*","~*"),"?","~?"),Valores!$S$10:$S$509,0)))-9),0)</f>
        <v>0</v>
      </c>
      <c r="AI234" s="40" t="str">
        <f t="shared" si="30"/>
        <v/>
      </c>
      <c r="AJ234" s="14" t="str">
        <f>IF(AND(X234=1,Y234=1),COUNTIFS($X$10:X234,1,$Y$10:Y234,1),"")</f>
        <v/>
      </c>
      <c r="AK234" s="14" t="str">
        <f>IF(X234=1,COUNTIFS($X$10:X234,1),"")</f>
        <v/>
      </c>
      <c r="AL234" s="14">
        <f>IF(AND(V234=1,AND(OR(Painel!$L$6="Todas",E234=Painel!$L$6),OR(Painel!$C$8="Todos",F234=Painel!$C$8),OR(Painel!$L$8="Todos",G234=Painel!$L$8),OR(Painel!$C$10="",ISNUMBER(SEARCH(SUBSTITUTE(SUBSTITUTE(SUBSTITUTE(Painel!$C$10,"~","~~"),"*","~*"),"?","~?"),A234&amp;" "&amp;H234&amp;" "&amp;I234))))),1,0)</f>
        <v>0</v>
      </c>
      <c r="AM234" s="14">
        <f t="shared" si="31"/>
        <v>0</v>
      </c>
      <c r="AN234" s="14"/>
      <c r="AO234" s="14"/>
      <c r="AP234" s="16" t="str">
        <f>IF(AB234=0,"",IF(INDEX(Andamentos!$B$10:$B$2009,AB234)="","",INDEX(Andamentos!$B$10:$B$2009,AB234)))</f>
        <v/>
      </c>
      <c r="AQ234" s="17" t="str">
        <f>IF(AH234=0,"",IF(INDEX(Valores!$B$10:$B$509,AH234)="","",IF(ISNUMBER(INDEX(Valores!$B$10:$B$509,AH234)),INDEX(Valores!$B$10:$B$509,AH234),"")))</f>
        <v/>
      </c>
      <c r="AR234" s="14" t="str">
        <f t="shared" si="32"/>
        <v/>
      </c>
      <c r="AS234" s="14" t="str">
        <f t="shared" si="33"/>
        <v/>
      </c>
      <c r="AT234" s="27"/>
      <c r="AU234" s="31"/>
      <c r="AV234" s="31"/>
      <c r="AW234" s="27"/>
      <c r="AX234" s="27"/>
      <c r="AY234" s="27"/>
      <c r="AZ234" s="27"/>
      <c r="BA234" s="30" t="str">
        <f t="shared" si="34"/>
        <v/>
      </c>
      <c r="BB234" s="30" t="str">
        <f t="shared" si="35"/>
        <v/>
      </c>
      <c r="BC234" s="30">
        <f>IF(X234=0,0,IF(COUNTIFS($X$10:X234,1,$BA$10:BA234,BA234)=1,1,0))</f>
        <v>0</v>
      </c>
      <c r="BD234" s="29"/>
    </row>
    <row r="235" spans="1:56" ht="42" customHeight="1">
      <c r="A235" s="41"/>
      <c r="B235" s="44"/>
      <c r="C235" s="44"/>
      <c r="D235" s="44"/>
      <c r="E235" s="44"/>
      <c r="F235" s="44"/>
      <c r="G235" s="44"/>
      <c r="H235" s="44"/>
      <c r="I235" s="44"/>
      <c r="J235" s="44"/>
      <c r="K235" s="44"/>
      <c r="L235" s="49"/>
      <c r="M235" s="48"/>
      <c r="N235" s="48"/>
      <c r="O235" s="48"/>
      <c r="P235" s="48"/>
      <c r="Q235" s="48"/>
      <c r="R235" s="48"/>
      <c r="S235" s="49"/>
      <c r="T235" s="48"/>
      <c r="U235" s="48"/>
      <c r="V235" s="14">
        <f t="shared" si="27"/>
        <v>0</v>
      </c>
      <c r="W235" s="14">
        <f t="shared" si="28"/>
        <v>0</v>
      </c>
      <c r="X235" s="14">
        <f>IF(AND(V235=1,OR(Painel!$C$6="Todos",D235=Painel!$C$6),AND(OR(Painel!$L$6="Todas",E235=Painel!$L$6),OR(Painel!$C$8="Todos",F235=Painel!$C$8),OR(Painel!$L$8="Todos",G235=Painel!$L$8),OR(Painel!$C$10="",ISNUMBER(SEARCH(SUBSTITUTE(SUBSTITUTE(SUBSTITUTE(Painel!$C$10,"~","~~"),"*","~*"),"?","~?"),A235&amp;" "&amp;H235&amp;" "&amp;I235))))),1,0)</f>
        <v>0</v>
      </c>
      <c r="Y235" s="14">
        <f t="shared" si="29"/>
        <v>0</v>
      </c>
      <c r="Z235" s="15" t="str">
        <f>IF(V235=0,"",IF(COUNTIFS(Andamentos!$K$10:$K$2009,"="&amp;SUBSTITUTE(SUBSTITUTE(SUBSTITUTE("P:"&amp;A235,"~","~~"),"*","~*"),"?","~?"),Andamentos!$G$10:$G$2009,1)=0,"",_xlfn.AGGREGATE(14,6,Andamentos!$D$10:$D$2009/((Andamentos!$K$10:$K$2009=AS235)*(Andamentos!$G$10:$G$2009=1)),1)))</f>
        <v/>
      </c>
      <c r="AA235" s="14">
        <f>IF(Z235="",0,COUNTIFS(Andamentos!$K$10:$K$2009,"="&amp;SUBSTITUTE(SUBSTITUTE(SUBSTITUTE("P:"&amp;A235,"~","~~"),"*","~*"),"?","~?"),Andamentos!$D$10:$D$2009,Z235,Andamentos!$G$10:$G$2009,1))</f>
        <v>0</v>
      </c>
      <c r="AB235" s="14">
        <f>IF(AA235=1,SUMIFS(Andamentos!$L$10:$L$2009,Andamentos!$K$10:$K$2009,"="&amp;SUBSTITUTE(SUBSTITUTE(SUBSTITUTE(AS235,"~","~~"),"*","~*"),"?","~?"),Andamentos!$D$10:$D$2009,Z235,Andamentos!$G$10:$G$2009,1)-9,0)</f>
        <v>0</v>
      </c>
      <c r="AC235" s="14" t="str">
        <f>IF(V235=0,"",IF(AA235&gt;1,"Conferir recebimentos empatados",IF(AB235=0,"Sem atualização",INDEX(Andamentos!$C$10:$C$2009,AB235))))</f>
        <v/>
      </c>
      <c r="AD235" s="14">
        <f>IF(W235=0,0,IF(MAX(Z235,BD235)=0,1,IF(Configurar!$J$12-INT(MAX(Z235,BD235))&gt;Configurar!$J$11,1,0)))</f>
        <v>0</v>
      </c>
      <c r="AE235" s="16"/>
      <c r="AF235" s="14"/>
      <c r="AG235" s="14"/>
      <c r="AH235" s="14">
        <f>IF(AND(V235=1,COUNTIFS(Valores!$S$10:$S$509,"="&amp;SUBSTITUTE(SUBSTITUTE(SUBSTITUTE("P:"&amp;A235,"~","~~"),"*","~*"),"?","~?"))=1),(IF(ISNA(MATCH(SUBSTITUTE(SUBSTITUTE(SUBSTITUTE("P:"&amp;A235,"~","~~"),"*","~*"),"?","~?"),Valores!$S$10:$S$509,0)),9,INDEX(Valores!$R$10:$R$509,MATCH(SUBSTITUTE(SUBSTITUTE(SUBSTITUTE("P:"&amp;A235,"~","~~"),"*","~*"),"?","~?"),Valores!$S$10:$S$509,0)))-9),0)</f>
        <v>0</v>
      </c>
      <c r="AI235" s="40" t="str">
        <f t="shared" si="30"/>
        <v/>
      </c>
      <c r="AJ235" s="14" t="str">
        <f>IF(AND(X235=1,Y235=1),COUNTIFS($X$10:X235,1,$Y$10:Y235,1),"")</f>
        <v/>
      </c>
      <c r="AK235" s="14" t="str">
        <f>IF(X235=1,COUNTIFS($X$10:X235,1),"")</f>
        <v/>
      </c>
      <c r="AL235" s="14">
        <f>IF(AND(V235=1,AND(OR(Painel!$L$6="Todas",E235=Painel!$L$6),OR(Painel!$C$8="Todos",F235=Painel!$C$8),OR(Painel!$L$8="Todos",G235=Painel!$L$8),OR(Painel!$C$10="",ISNUMBER(SEARCH(SUBSTITUTE(SUBSTITUTE(SUBSTITUTE(Painel!$C$10,"~","~~"),"*","~*"),"?","~?"),A235&amp;" "&amp;H235&amp;" "&amp;I235))))),1,0)</f>
        <v>0</v>
      </c>
      <c r="AM235" s="14">
        <f t="shared" si="31"/>
        <v>0</v>
      </c>
      <c r="AN235" s="14"/>
      <c r="AO235" s="14"/>
      <c r="AP235" s="16" t="str">
        <f>IF(AB235=0,"",IF(INDEX(Andamentos!$B$10:$B$2009,AB235)="","",INDEX(Andamentos!$B$10:$B$2009,AB235)))</f>
        <v/>
      </c>
      <c r="AQ235" s="17" t="str">
        <f>IF(AH235=0,"",IF(INDEX(Valores!$B$10:$B$509,AH235)="","",IF(ISNUMBER(INDEX(Valores!$B$10:$B$509,AH235)),INDEX(Valores!$B$10:$B$509,AH235),"")))</f>
        <v/>
      </c>
      <c r="AR235" s="14" t="str">
        <f t="shared" si="32"/>
        <v/>
      </c>
      <c r="AS235" s="14" t="str">
        <f t="shared" si="33"/>
        <v/>
      </c>
      <c r="AT235" s="27"/>
      <c r="AU235" s="31"/>
      <c r="AV235" s="31"/>
      <c r="AW235" s="27"/>
      <c r="AX235" s="27"/>
      <c r="AY235" s="27"/>
      <c r="AZ235" s="27"/>
      <c r="BA235" s="30" t="str">
        <f t="shared" si="34"/>
        <v/>
      </c>
      <c r="BB235" s="30" t="str">
        <f t="shared" si="35"/>
        <v/>
      </c>
      <c r="BC235" s="30">
        <f>IF(X235=0,0,IF(COUNTIFS($X$10:X235,1,$BA$10:BA235,BA235)=1,1,0))</f>
        <v>0</v>
      </c>
      <c r="BD235" s="29"/>
    </row>
    <row r="236" spans="1:56" ht="42" customHeight="1">
      <c r="A236" s="41"/>
      <c r="B236" s="44"/>
      <c r="C236" s="44"/>
      <c r="D236" s="44"/>
      <c r="E236" s="44"/>
      <c r="F236" s="44"/>
      <c r="G236" s="44"/>
      <c r="H236" s="44"/>
      <c r="I236" s="44"/>
      <c r="J236" s="44"/>
      <c r="K236" s="44"/>
      <c r="L236" s="49"/>
      <c r="M236" s="48"/>
      <c r="N236" s="48"/>
      <c r="O236" s="48"/>
      <c r="P236" s="48"/>
      <c r="Q236" s="48"/>
      <c r="R236" s="48"/>
      <c r="S236" s="49"/>
      <c r="T236" s="48"/>
      <c r="U236" s="48"/>
      <c r="V236" s="14">
        <f t="shared" si="27"/>
        <v>0</v>
      </c>
      <c r="W236" s="14">
        <f t="shared" si="28"/>
        <v>0</v>
      </c>
      <c r="X236" s="14">
        <f>IF(AND(V236=1,OR(Painel!$C$6="Todos",D236=Painel!$C$6),AND(OR(Painel!$L$6="Todas",E236=Painel!$L$6),OR(Painel!$C$8="Todos",F236=Painel!$C$8),OR(Painel!$L$8="Todos",G236=Painel!$L$8),OR(Painel!$C$10="",ISNUMBER(SEARCH(SUBSTITUTE(SUBSTITUTE(SUBSTITUTE(Painel!$C$10,"~","~~"),"*","~*"),"?","~?"),A236&amp;" "&amp;H236&amp;" "&amp;I236))))),1,0)</f>
        <v>0</v>
      </c>
      <c r="Y236" s="14">
        <f t="shared" si="29"/>
        <v>0</v>
      </c>
      <c r="Z236" s="15" t="str">
        <f>IF(V236=0,"",IF(COUNTIFS(Andamentos!$K$10:$K$2009,"="&amp;SUBSTITUTE(SUBSTITUTE(SUBSTITUTE("P:"&amp;A236,"~","~~"),"*","~*"),"?","~?"),Andamentos!$G$10:$G$2009,1)=0,"",_xlfn.AGGREGATE(14,6,Andamentos!$D$10:$D$2009/((Andamentos!$K$10:$K$2009=AS236)*(Andamentos!$G$10:$G$2009=1)),1)))</f>
        <v/>
      </c>
      <c r="AA236" s="14">
        <f>IF(Z236="",0,COUNTIFS(Andamentos!$K$10:$K$2009,"="&amp;SUBSTITUTE(SUBSTITUTE(SUBSTITUTE("P:"&amp;A236,"~","~~"),"*","~*"),"?","~?"),Andamentos!$D$10:$D$2009,Z236,Andamentos!$G$10:$G$2009,1))</f>
        <v>0</v>
      </c>
      <c r="AB236" s="14">
        <f>IF(AA236=1,SUMIFS(Andamentos!$L$10:$L$2009,Andamentos!$K$10:$K$2009,"="&amp;SUBSTITUTE(SUBSTITUTE(SUBSTITUTE(AS236,"~","~~"),"*","~*"),"?","~?"),Andamentos!$D$10:$D$2009,Z236,Andamentos!$G$10:$G$2009,1)-9,0)</f>
        <v>0</v>
      </c>
      <c r="AC236" s="14" t="str">
        <f>IF(V236=0,"",IF(AA236&gt;1,"Conferir recebimentos empatados",IF(AB236=0,"Sem atualização",INDEX(Andamentos!$C$10:$C$2009,AB236))))</f>
        <v/>
      </c>
      <c r="AD236" s="14">
        <f>IF(W236=0,0,IF(MAX(Z236,BD236)=0,1,IF(Configurar!$J$12-INT(MAX(Z236,BD236))&gt;Configurar!$J$11,1,0)))</f>
        <v>0</v>
      </c>
      <c r="AE236" s="16"/>
      <c r="AF236" s="14"/>
      <c r="AG236" s="14"/>
      <c r="AH236" s="14">
        <f>IF(AND(V236=1,COUNTIFS(Valores!$S$10:$S$509,"="&amp;SUBSTITUTE(SUBSTITUTE(SUBSTITUTE("P:"&amp;A236,"~","~~"),"*","~*"),"?","~?"))=1),(IF(ISNA(MATCH(SUBSTITUTE(SUBSTITUTE(SUBSTITUTE("P:"&amp;A236,"~","~~"),"*","~*"),"?","~?"),Valores!$S$10:$S$509,0)),9,INDEX(Valores!$R$10:$R$509,MATCH(SUBSTITUTE(SUBSTITUTE(SUBSTITUTE("P:"&amp;A236,"~","~~"),"*","~*"),"?","~?"),Valores!$S$10:$S$509,0)))-9),0)</f>
        <v>0</v>
      </c>
      <c r="AI236" s="40" t="str">
        <f t="shared" si="30"/>
        <v/>
      </c>
      <c r="AJ236" s="14" t="str">
        <f>IF(AND(X236=1,Y236=1),COUNTIFS($X$10:X236,1,$Y$10:Y236,1),"")</f>
        <v/>
      </c>
      <c r="AK236" s="14" t="str">
        <f>IF(X236=1,COUNTIFS($X$10:X236,1),"")</f>
        <v/>
      </c>
      <c r="AL236" s="14">
        <f>IF(AND(V236=1,AND(OR(Painel!$L$6="Todas",E236=Painel!$L$6),OR(Painel!$C$8="Todos",F236=Painel!$C$8),OR(Painel!$L$8="Todos",G236=Painel!$L$8),OR(Painel!$C$10="",ISNUMBER(SEARCH(SUBSTITUTE(SUBSTITUTE(SUBSTITUTE(Painel!$C$10,"~","~~"),"*","~*"),"?","~?"),A236&amp;" "&amp;H236&amp;" "&amp;I236))))),1,0)</f>
        <v>0</v>
      </c>
      <c r="AM236" s="14">
        <f t="shared" si="31"/>
        <v>0</v>
      </c>
      <c r="AN236" s="14"/>
      <c r="AO236" s="14"/>
      <c r="AP236" s="16" t="str">
        <f>IF(AB236=0,"",IF(INDEX(Andamentos!$B$10:$B$2009,AB236)="","",INDEX(Andamentos!$B$10:$B$2009,AB236)))</f>
        <v/>
      </c>
      <c r="AQ236" s="17" t="str">
        <f>IF(AH236=0,"",IF(INDEX(Valores!$B$10:$B$509,AH236)="","",IF(ISNUMBER(INDEX(Valores!$B$10:$B$509,AH236)),INDEX(Valores!$B$10:$B$509,AH236),"")))</f>
        <v/>
      </c>
      <c r="AR236" s="14" t="str">
        <f t="shared" si="32"/>
        <v/>
      </c>
      <c r="AS236" s="14" t="str">
        <f t="shared" si="33"/>
        <v/>
      </c>
      <c r="AT236" s="27"/>
      <c r="AU236" s="31"/>
      <c r="AV236" s="31"/>
      <c r="AW236" s="27"/>
      <c r="AX236" s="27"/>
      <c r="AY236" s="27"/>
      <c r="AZ236" s="27"/>
      <c r="BA236" s="30" t="str">
        <f t="shared" si="34"/>
        <v/>
      </c>
      <c r="BB236" s="30" t="str">
        <f t="shared" si="35"/>
        <v/>
      </c>
      <c r="BC236" s="30">
        <f>IF(X236=0,0,IF(COUNTIFS($X$10:X236,1,$BA$10:BA236,BA236)=1,1,0))</f>
        <v>0</v>
      </c>
      <c r="BD236" s="29"/>
    </row>
    <row r="237" spans="1:56" ht="42" customHeight="1">
      <c r="A237" s="41"/>
      <c r="B237" s="44"/>
      <c r="C237" s="44"/>
      <c r="D237" s="44"/>
      <c r="E237" s="44"/>
      <c r="F237" s="44"/>
      <c r="G237" s="44"/>
      <c r="H237" s="44"/>
      <c r="I237" s="44"/>
      <c r="J237" s="44"/>
      <c r="K237" s="44"/>
      <c r="L237" s="49"/>
      <c r="M237" s="48"/>
      <c r="N237" s="48"/>
      <c r="O237" s="48"/>
      <c r="P237" s="48"/>
      <c r="Q237" s="48"/>
      <c r="R237" s="48"/>
      <c r="S237" s="49"/>
      <c r="T237" s="48"/>
      <c r="U237" s="48"/>
      <c r="V237" s="14">
        <f t="shared" si="27"/>
        <v>0</v>
      </c>
      <c r="W237" s="14">
        <f t="shared" si="28"/>
        <v>0</v>
      </c>
      <c r="X237" s="14">
        <f>IF(AND(V237=1,OR(Painel!$C$6="Todos",D237=Painel!$C$6),AND(OR(Painel!$L$6="Todas",E237=Painel!$L$6),OR(Painel!$C$8="Todos",F237=Painel!$C$8),OR(Painel!$L$8="Todos",G237=Painel!$L$8),OR(Painel!$C$10="",ISNUMBER(SEARCH(SUBSTITUTE(SUBSTITUTE(SUBSTITUTE(Painel!$C$10,"~","~~"),"*","~*"),"?","~?"),A237&amp;" "&amp;H237&amp;" "&amp;I237))))),1,0)</f>
        <v>0</v>
      </c>
      <c r="Y237" s="14">
        <f t="shared" si="29"/>
        <v>0</v>
      </c>
      <c r="Z237" s="15" t="str">
        <f>IF(V237=0,"",IF(COUNTIFS(Andamentos!$K$10:$K$2009,"="&amp;SUBSTITUTE(SUBSTITUTE(SUBSTITUTE("P:"&amp;A237,"~","~~"),"*","~*"),"?","~?"),Andamentos!$G$10:$G$2009,1)=0,"",_xlfn.AGGREGATE(14,6,Andamentos!$D$10:$D$2009/((Andamentos!$K$10:$K$2009=AS237)*(Andamentos!$G$10:$G$2009=1)),1)))</f>
        <v/>
      </c>
      <c r="AA237" s="14">
        <f>IF(Z237="",0,COUNTIFS(Andamentos!$K$10:$K$2009,"="&amp;SUBSTITUTE(SUBSTITUTE(SUBSTITUTE("P:"&amp;A237,"~","~~"),"*","~*"),"?","~?"),Andamentos!$D$10:$D$2009,Z237,Andamentos!$G$10:$G$2009,1))</f>
        <v>0</v>
      </c>
      <c r="AB237" s="14">
        <f>IF(AA237=1,SUMIFS(Andamentos!$L$10:$L$2009,Andamentos!$K$10:$K$2009,"="&amp;SUBSTITUTE(SUBSTITUTE(SUBSTITUTE(AS237,"~","~~"),"*","~*"),"?","~?"),Andamentos!$D$10:$D$2009,Z237,Andamentos!$G$10:$G$2009,1)-9,0)</f>
        <v>0</v>
      </c>
      <c r="AC237" s="14" t="str">
        <f>IF(V237=0,"",IF(AA237&gt;1,"Conferir recebimentos empatados",IF(AB237=0,"Sem atualização",INDEX(Andamentos!$C$10:$C$2009,AB237))))</f>
        <v/>
      </c>
      <c r="AD237" s="14">
        <f>IF(W237=0,0,IF(MAX(Z237,BD237)=0,1,IF(Configurar!$J$12-INT(MAX(Z237,BD237))&gt;Configurar!$J$11,1,0)))</f>
        <v>0</v>
      </c>
      <c r="AE237" s="16"/>
      <c r="AF237" s="14"/>
      <c r="AG237" s="14"/>
      <c r="AH237" s="14">
        <f>IF(AND(V237=1,COUNTIFS(Valores!$S$10:$S$509,"="&amp;SUBSTITUTE(SUBSTITUTE(SUBSTITUTE("P:"&amp;A237,"~","~~"),"*","~*"),"?","~?"))=1),(IF(ISNA(MATCH(SUBSTITUTE(SUBSTITUTE(SUBSTITUTE("P:"&amp;A237,"~","~~"),"*","~*"),"?","~?"),Valores!$S$10:$S$509,0)),9,INDEX(Valores!$R$10:$R$509,MATCH(SUBSTITUTE(SUBSTITUTE(SUBSTITUTE("P:"&amp;A237,"~","~~"),"*","~*"),"?","~?"),Valores!$S$10:$S$509,0)))-9),0)</f>
        <v>0</v>
      </c>
      <c r="AI237" s="40" t="str">
        <f t="shared" si="30"/>
        <v/>
      </c>
      <c r="AJ237" s="14" t="str">
        <f>IF(AND(X237=1,Y237=1),COUNTIFS($X$10:X237,1,$Y$10:Y237,1),"")</f>
        <v/>
      </c>
      <c r="AK237" s="14" t="str">
        <f>IF(X237=1,COUNTIFS($X$10:X237,1),"")</f>
        <v/>
      </c>
      <c r="AL237" s="14">
        <f>IF(AND(V237=1,AND(OR(Painel!$L$6="Todas",E237=Painel!$L$6),OR(Painel!$C$8="Todos",F237=Painel!$C$8),OR(Painel!$L$8="Todos",G237=Painel!$L$8),OR(Painel!$C$10="",ISNUMBER(SEARCH(SUBSTITUTE(SUBSTITUTE(SUBSTITUTE(Painel!$C$10,"~","~~"),"*","~*"),"?","~?"),A237&amp;" "&amp;H237&amp;" "&amp;I237))))),1,0)</f>
        <v>0</v>
      </c>
      <c r="AM237" s="14">
        <f t="shared" si="31"/>
        <v>0</v>
      </c>
      <c r="AN237" s="14"/>
      <c r="AO237" s="14"/>
      <c r="AP237" s="16" t="str">
        <f>IF(AB237=0,"",IF(INDEX(Andamentos!$B$10:$B$2009,AB237)="","",INDEX(Andamentos!$B$10:$B$2009,AB237)))</f>
        <v/>
      </c>
      <c r="AQ237" s="17" t="str">
        <f>IF(AH237=0,"",IF(INDEX(Valores!$B$10:$B$509,AH237)="","",IF(ISNUMBER(INDEX(Valores!$B$10:$B$509,AH237)),INDEX(Valores!$B$10:$B$509,AH237),"")))</f>
        <v/>
      </c>
      <c r="AR237" s="14" t="str">
        <f t="shared" si="32"/>
        <v/>
      </c>
      <c r="AS237" s="14" t="str">
        <f t="shared" si="33"/>
        <v/>
      </c>
      <c r="AT237" s="27"/>
      <c r="AU237" s="31"/>
      <c r="AV237" s="31"/>
      <c r="AW237" s="27"/>
      <c r="AX237" s="27"/>
      <c r="AY237" s="27"/>
      <c r="AZ237" s="27"/>
      <c r="BA237" s="30" t="str">
        <f t="shared" si="34"/>
        <v/>
      </c>
      <c r="BB237" s="30" t="str">
        <f t="shared" si="35"/>
        <v/>
      </c>
      <c r="BC237" s="30">
        <f>IF(X237=0,0,IF(COUNTIFS($X$10:X237,1,$BA$10:BA237,BA237)=1,1,0))</f>
        <v>0</v>
      </c>
      <c r="BD237" s="29"/>
    </row>
    <row r="238" spans="1:56" ht="42" customHeight="1">
      <c r="A238" s="41"/>
      <c r="B238" s="44"/>
      <c r="C238" s="44"/>
      <c r="D238" s="44"/>
      <c r="E238" s="44"/>
      <c r="F238" s="44"/>
      <c r="G238" s="44"/>
      <c r="H238" s="44"/>
      <c r="I238" s="44"/>
      <c r="J238" s="44"/>
      <c r="K238" s="44"/>
      <c r="L238" s="49"/>
      <c r="M238" s="48"/>
      <c r="N238" s="48"/>
      <c r="O238" s="48"/>
      <c r="P238" s="48"/>
      <c r="Q238" s="48"/>
      <c r="R238" s="48"/>
      <c r="S238" s="49"/>
      <c r="T238" s="48"/>
      <c r="U238" s="48"/>
      <c r="V238" s="14">
        <f t="shared" si="27"/>
        <v>0</v>
      </c>
      <c r="W238" s="14">
        <f t="shared" si="28"/>
        <v>0</v>
      </c>
      <c r="X238" s="14">
        <f>IF(AND(V238=1,OR(Painel!$C$6="Todos",D238=Painel!$C$6),AND(OR(Painel!$L$6="Todas",E238=Painel!$L$6),OR(Painel!$C$8="Todos",F238=Painel!$C$8),OR(Painel!$L$8="Todos",G238=Painel!$L$8),OR(Painel!$C$10="",ISNUMBER(SEARCH(SUBSTITUTE(SUBSTITUTE(SUBSTITUTE(Painel!$C$10,"~","~~"),"*","~*"),"?","~?"),A238&amp;" "&amp;H238&amp;" "&amp;I238))))),1,0)</f>
        <v>0</v>
      </c>
      <c r="Y238" s="14">
        <f t="shared" si="29"/>
        <v>0</v>
      </c>
      <c r="Z238" s="15" t="str">
        <f>IF(V238=0,"",IF(COUNTIFS(Andamentos!$K$10:$K$2009,"="&amp;SUBSTITUTE(SUBSTITUTE(SUBSTITUTE("P:"&amp;A238,"~","~~"),"*","~*"),"?","~?"),Andamentos!$G$10:$G$2009,1)=0,"",_xlfn.AGGREGATE(14,6,Andamentos!$D$10:$D$2009/((Andamentos!$K$10:$K$2009=AS238)*(Andamentos!$G$10:$G$2009=1)),1)))</f>
        <v/>
      </c>
      <c r="AA238" s="14">
        <f>IF(Z238="",0,COUNTIFS(Andamentos!$K$10:$K$2009,"="&amp;SUBSTITUTE(SUBSTITUTE(SUBSTITUTE("P:"&amp;A238,"~","~~"),"*","~*"),"?","~?"),Andamentos!$D$10:$D$2009,Z238,Andamentos!$G$10:$G$2009,1))</f>
        <v>0</v>
      </c>
      <c r="AB238" s="14">
        <f>IF(AA238=1,SUMIFS(Andamentos!$L$10:$L$2009,Andamentos!$K$10:$K$2009,"="&amp;SUBSTITUTE(SUBSTITUTE(SUBSTITUTE(AS238,"~","~~"),"*","~*"),"?","~?"),Andamentos!$D$10:$D$2009,Z238,Andamentos!$G$10:$G$2009,1)-9,0)</f>
        <v>0</v>
      </c>
      <c r="AC238" s="14" t="str">
        <f>IF(V238=0,"",IF(AA238&gt;1,"Conferir recebimentos empatados",IF(AB238=0,"Sem atualização",INDEX(Andamentos!$C$10:$C$2009,AB238))))</f>
        <v/>
      </c>
      <c r="AD238" s="14">
        <f>IF(W238=0,0,IF(MAX(Z238,BD238)=0,1,IF(Configurar!$J$12-INT(MAX(Z238,BD238))&gt;Configurar!$J$11,1,0)))</f>
        <v>0</v>
      </c>
      <c r="AE238" s="16"/>
      <c r="AF238" s="14"/>
      <c r="AG238" s="14"/>
      <c r="AH238" s="14">
        <f>IF(AND(V238=1,COUNTIFS(Valores!$S$10:$S$509,"="&amp;SUBSTITUTE(SUBSTITUTE(SUBSTITUTE("P:"&amp;A238,"~","~~"),"*","~*"),"?","~?"))=1),(IF(ISNA(MATCH(SUBSTITUTE(SUBSTITUTE(SUBSTITUTE("P:"&amp;A238,"~","~~"),"*","~*"),"?","~?"),Valores!$S$10:$S$509,0)),9,INDEX(Valores!$R$10:$R$509,MATCH(SUBSTITUTE(SUBSTITUTE(SUBSTITUTE("P:"&amp;A238,"~","~~"),"*","~*"),"?","~?"),Valores!$S$10:$S$509,0)))-9),0)</f>
        <v>0</v>
      </c>
      <c r="AI238" s="40" t="str">
        <f t="shared" si="30"/>
        <v/>
      </c>
      <c r="AJ238" s="14" t="str">
        <f>IF(AND(X238=1,Y238=1),COUNTIFS($X$10:X238,1,$Y$10:Y238,1),"")</f>
        <v/>
      </c>
      <c r="AK238" s="14" t="str">
        <f>IF(X238=1,COUNTIFS($X$10:X238,1),"")</f>
        <v/>
      </c>
      <c r="AL238" s="14">
        <f>IF(AND(V238=1,AND(OR(Painel!$L$6="Todas",E238=Painel!$L$6),OR(Painel!$C$8="Todos",F238=Painel!$C$8),OR(Painel!$L$8="Todos",G238=Painel!$L$8),OR(Painel!$C$10="",ISNUMBER(SEARCH(SUBSTITUTE(SUBSTITUTE(SUBSTITUTE(Painel!$C$10,"~","~~"),"*","~*"),"?","~?"),A238&amp;" "&amp;H238&amp;" "&amp;I238))))),1,0)</f>
        <v>0</v>
      </c>
      <c r="AM238" s="14">
        <f t="shared" si="31"/>
        <v>0</v>
      </c>
      <c r="AN238" s="14"/>
      <c r="AO238" s="14"/>
      <c r="AP238" s="16" t="str">
        <f>IF(AB238=0,"",IF(INDEX(Andamentos!$B$10:$B$2009,AB238)="","",INDEX(Andamentos!$B$10:$B$2009,AB238)))</f>
        <v/>
      </c>
      <c r="AQ238" s="17" t="str">
        <f>IF(AH238=0,"",IF(INDEX(Valores!$B$10:$B$509,AH238)="","",IF(ISNUMBER(INDEX(Valores!$B$10:$B$509,AH238)),INDEX(Valores!$B$10:$B$509,AH238),"")))</f>
        <v/>
      </c>
      <c r="AR238" s="14" t="str">
        <f t="shared" si="32"/>
        <v/>
      </c>
      <c r="AS238" s="14" t="str">
        <f t="shared" si="33"/>
        <v/>
      </c>
      <c r="AT238" s="27"/>
      <c r="AU238" s="31"/>
      <c r="AV238" s="31"/>
      <c r="AW238" s="27"/>
      <c r="AX238" s="27"/>
      <c r="AY238" s="27"/>
      <c r="AZ238" s="27"/>
      <c r="BA238" s="30" t="str">
        <f t="shared" si="34"/>
        <v/>
      </c>
      <c r="BB238" s="30" t="str">
        <f t="shared" si="35"/>
        <v/>
      </c>
      <c r="BC238" s="30">
        <f>IF(X238=0,0,IF(COUNTIFS($X$10:X238,1,$BA$10:BA238,BA238)=1,1,0))</f>
        <v>0</v>
      </c>
      <c r="BD238" s="29"/>
    </row>
    <row r="239" spans="1:56" ht="42" customHeight="1">
      <c r="A239" s="41"/>
      <c r="B239" s="44"/>
      <c r="C239" s="44"/>
      <c r="D239" s="44"/>
      <c r="E239" s="44"/>
      <c r="F239" s="44"/>
      <c r="G239" s="44"/>
      <c r="H239" s="44"/>
      <c r="I239" s="44"/>
      <c r="J239" s="44"/>
      <c r="K239" s="44"/>
      <c r="L239" s="49"/>
      <c r="M239" s="48"/>
      <c r="N239" s="48"/>
      <c r="O239" s="48"/>
      <c r="P239" s="48"/>
      <c r="Q239" s="48"/>
      <c r="R239" s="48"/>
      <c r="S239" s="49"/>
      <c r="T239" s="48"/>
      <c r="U239" s="48"/>
      <c r="V239" s="14">
        <f t="shared" si="27"/>
        <v>0</v>
      </c>
      <c r="W239" s="14">
        <f t="shared" si="28"/>
        <v>0</v>
      </c>
      <c r="X239" s="14">
        <f>IF(AND(V239=1,OR(Painel!$C$6="Todos",D239=Painel!$C$6),AND(OR(Painel!$L$6="Todas",E239=Painel!$L$6),OR(Painel!$C$8="Todos",F239=Painel!$C$8),OR(Painel!$L$8="Todos",G239=Painel!$L$8),OR(Painel!$C$10="",ISNUMBER(SEARCH(SUBSTITUTE(SUBSTITUTE(SUBSTITUTE(Painel!$C$10,"~","~~"),"*","~*"),"?","~?"),A239&amp;" "&amp;H239&amp;" "&amp;I239))))),1,0)</f>
        <v>0</v>
      </c>
      <c r="Y239" s="14">
        <f t="shared" si="29"/>
        <v>0</v>
      </c>
      <c r="Z239" s="15" t="str">
        <f>IF(V239=0,"",IF(COUNTIFS(Andamentos!$K$10:$K$2009,"="&amp;SUBSTITUTE(SUBSTITUTE(SUBSTITUTE("P:"&amp;A239,"~","~~"),"*","~*"),"?","~?"),Andamentos!$G$10:$G$2009,1)=0,"",_xlfn.AGGREGATE(14,6,Andamentos!$D$10:$D$2009/((Andamentos!$K$10:$K$2009=AS239)*(Andamentos!$G$10:$G$2009=1)),1)))</f>
        <v/>
      </c>
      <c r="AA239" s="14">
        <f>IF(Z239="",0,COUNTIFS(Andamentos!$K$10:$K$2009,"="&amp;SUBSTITUTE(SUBSTITUTE(SUBSTITUTE("P:"&amp;A239,"~","~~"),"*","~*"),"?","~?"),Andamentos!$D$10:$D$2009,Z239,Andamentos!$G$10:$G$2009,1))</f>
        <v>0</v>
      </c>
      <c r="AB239" s="14">
        <f>IF(AA239=1,SUMIFS(Andamentos!$L$10:$L$2009,Andamentos!$K$10:$K$2009,"="&amp;SUBSTITUTE(SUBSTITUTE(SUBSTITUTE(AS239,"~","~~"),"*","~*"),"?","~?"),Andamentos!$D$10:$D$2009,Z239,Andamentos!$G$10:$G$2009,1)-9,0)</f>
        <v>0</v>
      </c>
      <c r="AC239" s="14" t="str">
        <f>IF(V239=0,"",IF(AA239&gt;1,"Conferir recebimentos empatados",IF(AB239=0,"Sem atualização",INDEX(Andamentos!$C$10:$C$2009,AB239))))</f>
        <v/>
      </c>
      <c r="AD239" s="14">
        <f>IF(W239=0,0,IF(MAX(Z239,BD239)=0,1,IF(Configurar!$J$12-INT(MAX(Z239,BD239))&gt;Configurar!$J$11,1,0)))</f>
        <v>0</v>
      </c>
      <c r="AE239" s="16"/>
      <c r="AF239" s="14"/>
      <c r="AG239" s="14"/>
      <c r="AH239" s="14">
        <f>IF(AND(V239=1,COUNTIFS(Valores!$S$10:$S$509,"="&amp;SUBSTITUTE(SUBSTITUTE(SUBSTITUTE("P:"&amp;A239,"~","~~"),"*","~*"),"?","~?"))=1),(IF(ISNA(MATCH(SUBSTITUTE(SUBSTITUTE(SUBSTITUTE("P:"&amp;A239,"~","~~"),"*","~*"),"?","~?"),Valores!$S$10:$S$509,0)),9,INDEX(Valores!$R$10:$R$509,MATCH(SUBSTITUTE(SUBSTITUTE(SUBSTITUTE("P:"&amp;A239,"~","~~"),"*","~*"),"?","~?"),Valores!$S$10:$S$509,0)))-9),0)</f>
        <v>0</v>
      </c>
      <c r="AI239" s="40" t="str">
        <f t="shared" si="30"/>
        <v/>
      </c>
      <c r="AJ239" s="14" t="str">
        <f>IF(AND(X239=1,Y239=1),COUNTIFS($X$10:X239,1,$Y$10:Y239,1),"")</f>
        <v/>
      </c>
      <c r="AK239" s="14" t="str">
        <f>IF(X239=1,COUNTIFS($X$10:X239,1),"")</f>
        <v/>
      </c>
      <c r="AL239" s="14">
        <f>IF(AND(V239=1,AND(OR(Painel!$L$6="Todas",E239=Painel!$L$6),OR(Painel!$C$8="Todos",F239=Painel!$C$8),OR(Painel!$L$8="Todos",G239=Painel!$L$8),OR(Painel!$C$10="",ISNUMBER(SEARCH(SUBSTITUTE(SUBSTITUTE(SUBSTITUTE(Painel!$C$10,"~","~~"),"*","~*"),"?","~?"),A239&amp;" "&amp;H239&amp;" "&amp;I239))))),1,0)</f>
        <v>0</v>
      </c>
      <c r="AM239" s="14">
        <f t="shared" si="31"/>
        <v>0</v>
      </c>
      <c r="AN239" s="14"/>
      <c r="AO239" s="14"/>
      <c r="AP239" s="16" t="str">
        <f>IF(AB239=0,"",IF(INDEX(Andamentos!$B$10:$B$2009,AB239)="","",INDEX(Andamentos!$B$10:$B$2009,AB239)))</f>
        <v/>
      </c>
      <c r="AQ239" s="17" t="str">
        <f>IF(AH239=0,"",IF(INDEX(Valores!$B$10:$B$509,AH239)="","",IF(ISNUMBER(INDEX(Valores!$B$10:$B$509,AH239)),INDEX(Valores!$B$10:$B$509,AH239),"")))</f>
        <v/>
      </c>
      <c r="AR239" s="14" t="str">
        <f t="shared" si="32"/>
        <v/>
      </c>
      <c r="AS239" s="14" t="str">
        <f t="shared" si="33"/>
        <v/>
      </c>
      <c r="AT239" s="27"/>
      <c r="AU239" s="31"/>
      <c r="AV239" s="31"/>
      <c r="AW239" s="27"/>
      <c r="AX239" s="27"/>
      <c r="AY239" s="27"/>
      <c r="AZ239" s="27"/>
      <c r="BA239" s="30" t="str">
        <f t="shared" si="34"/>
        <v/>
      </c>
      <c r="BB239" s="30" t="str">
        <f t="shared" si="35"/>
        <v/>
      </c>
      <c r="BC239" s="30">
        <f>IF(X239=0,0,IF(COUNTIFS($X$10:X239,1,$BA$10:BA239,BA239)=1,1,0))</f>
        <v>0</v>
      </c>
      <c r="BD239" s="29"/>
    </row>
    <row r="240" spans="1:56" ht="42" customHeight="1">
      <c r="A240" s="41"/>
      <c r="B240" s="44"/>
      <c r="C240" s="44"/>
      <c r="D240" s="44"/>
      <c r="E240" s="44"/>
      <c r="F240" s="44"/>
      <c r="G240" s="44"/>
      <c r="H240" s="44"/>
      <c r="I240" s="44"/>
      <c r="J240" s="44"/>
      <c r="K240" s="44"/>
      <c r="L240" s="49"/>
      <c r="M240" s="48"/>
      <c r="N240" s="48"/>
      <c r="O240" s="48"/>
      <c r="P240" s="48"/>
      <c r="Q240" s="48"/>
      <c r="R240" s="48"/>
      <c r="S240" s="49"/>
      <c r="T240" s="48"/>
      <c r="U240" s="48"/>
      <c r="V240" s="14">
        <f t="shared" si="27"/>
        <v>0</v>
      </c>
      <c r="W240" s="14">
        <f t="shared" si="28"/>
        <v>0</v>
      </c>
      <c r="X240" s="14">
        <f>IF(AND(V240=1,OR(Painel!$C$6="Todos",D240=Painel!$C$6),AND(OR(Painel!$L$6="Todas",E240=Painel!$L$6),OR(Painel!$C$8="Todos",F240=Painel!$C$8),OR(Painel!$L$8="Todos",G240=Painel!$L$8),OR(Painel!$C$10="",ISNUMBER(SEARCH(SUBSTITUTE(SUBSTITUTE(SUBSTITUTE(Painel!$C$10,"~","~~"),"*","~*"),"?","~?"),A240&amp;" "&amp;H240&amp;" "&amp;I240))))),1,0)</f>
        <v>0</v>
      </c>
      <c r="Y240" s="14">
        <f t="shared" si="29"/>
        <v>0</v>
      </c>
      <c r="Z240" s="15" t="str">
        <f>IF(V240=0,"",IF(COUNTIFS(Andamentos!$K$10:$K$2009,"="&amp;SUBSTITUTE(SUBSTITUTE(SUBSTITUTE("P:"&amp;A240,"~","~~"),"*","~*"),"?","~?"),Andamentos!$G$10:$G$2009,1)=0,"",_xlfn.AGGREGATE(14,6,Andamentos!$D$10:$D$2009/((Andamentos!$K$10:$K$2009=AS240)*(Andamentos!$G$10:$G$2009=1)),1)))</f>
        <v/>
      </c>
      <c r="AA240" s="14">
        <f>IF(Z240="",0,COUNTIFS(Andamentos!$K$10:$K$2009,"="&amp;SUBSTITUTE(SUBSTITUTE(SUBSTITUTE("P:"&amp;A240,"~","~~"),"*","~*"),"?","~?"),Andamentos!$D$10:$D$2009,Z240,Andamentos!$G$10:$G$2009,1))</f>
        <v>0</v>
      </c>
      <c r="AB240" s="14">
        <f>IF(AA240=1,SUMIFS(Andamentos!$L$10:$L$2009,Andamentos!$K$10:$K$2009,"="&amp;SUBSTITUTE(SUBSTITUTE(SUBSTITUTE(AS240,"~","~~"),"*","~*"),"?","~?"),Andamentos!$D$10:$D$2009,Z240,Andamentos!$G$10:$G$2009,1)-9,0)</f>
        <v>0</v>
      </c>
      <c r="AC240" s="14" t="str">
        <f>IF(V240=0,"",IF(AA240&gt;1,"Conferir recebimentos empatados",IF(AB240=0,"Sem atualização",INDEX(Andamentos!$C$10:$C$2009,AB240))))</f>
        <v/>
      </c>
      <c r="AD240" s="14">
        <f>IF(W240=0,0,IF(MAX(Z240,BD240)=0,1,IF(Configurar!$J$12-INT(MAX(Z240,BD240))&gt;Configurar!$J$11,1,0)))</f>
        <v>0</v>
      </c>
      <c r="AE240" s="16"/>
      <c r="AF240" s="14"/>
      <c r="AG240" s="14"/>
      <c r="AH240" s="14">
        <f>IF(AND(V240=1,COUNTIFS(Valores!$S$10:$S$509,"="&amp;SUBSTITUTE(SUBSTITUTE(SUBSTITUTE("P:"&amp;A240,"~","~~"),"*","~*"),"?","~?"))=1),(IF(ISNA(MATCH(SUBSTITUTE(SUBSTITUTE(SUBSTITUTE("P:"&amp;A240,"~","~~"),"*","~*"),"?","~?"),Valores!$S$10:$S$509,0)),9,INDEX(Valores!$R$10:$R$509,MATCH(SUBSTITUTE(SUBSTITUTE(SUBSTITUTE("P:"&amp;A240,"~","~~"),"*","~*"),"?","~?"),Valores!$S$10:$S$509,0)))-9),0)</f>
        <v>0</v>
      </c>
      <c r="AI240" s="40" t="str">
        <f t="shared" si="30"/>
        <v/>
      </c>
      <c r="AJ240" s="14" t="str">
        <f>IF(AND(X240=1,Y240=1),COUNTIFS($X$10:X240,1,$Y$10:Y240,1),"")</f>
        <v/>
      </c>
      <c r="AK240" s="14" t="str">
        <f>IF(X240=1,COUNTIFS($X$10:X240,1),"")</f>
        <v/>
      </c>
      <c r="AL240" s="14">
        <f>IF(AND(V240=1,AND(OR(Painel!$L$6="Todas",E240=Painel!$L$6),OR(Painel!$C$8="Todos",F240=Painel!$C$8),OR(Painel!$L$8="Todos",G240=Painel!$L$8),OR(Painel!$C$10="",ISNUMBER(SEARCH(SUBSTITUTE(SUBSTITUTE(SUBSTITUTE(Painel!$C$10,"~","~~"),"*","~*"),"?","~?"),A240&amp;" "&amp;H240&amp;" "&amp;I240))))),1,0)</f>
        <v>0</v>
      </c>
      <c r="AM240" s="14">
        <f t="shared" si="31"/>
        <v>0</v>
      </c>
      <c r="AN240" s="14"/>
      <c r="AO240" s="14"/>
      <c r="AP240" s="16" t="str">
        <f>IF(AB240=0,"",IF(INDEX(Andamentos!$B$10:$B$2009,AB240)="","",INDEX(Andamentos!$B$10:$B$2009,AB240)))</f>
        <v/>
      </c>
      <c r="AQ240" s="17" t="str">
        <f>IF(AH240=0,"",IF(INDEX(Valores!$B$10:$B$509,AH240)="","",IF(ISNUMBER(INDEX(Valores!$B$10:$B$509,AH240)),INDEX(Valores!$B$10:$B$509,AH240),"")))</f>
        <v/>
      </c>
      <c r="AR240" s="14" t="str">
        <f t="shared" si="32"/>
        <v/>
      </c>
      <c r="AS240" s="14" t="str">
        <f t="shared" si="33"/>
        <v/>
      </c>
      <c r="AT240" s="27"/>
      <c r="AU240" s="31"/>
      <c r="AV240" s="31"/>
      <c r="AW240" s="27"/>
      <c r="AX240" s="27"/>
      <c r="AY240" s="27"/>
      <c r="AZ240" s="27"/>
      <c r="BA240" s="30" t="str">
        <f t="shared" si="34"/>
        <v/>
      </c>
      <c r="BB240" s="30" t="str">
        <f t="shared" si="35"/>
        <v/>
      </c>
      <c r="BC240" s="30">
        <f>IF(X240=0,0,IF(COUNTIFS($X$10:X240,1,$BA$10:BA240,BA240)=1,1,0))</f>
        <v>0</v>
      </c>
      <c r="BD240" s="29"/>
    </row>
    <row r="241" spans="1:56" ht="42" customHeight="1">
      <c r="A241" s="41"/>
      <c r="B241" s="44"/>
      <c r="C241" s="44"/>
      <c r="D241" s="44"/>
      <c r="E241" s="44"/>
      <c r="F241" s="44"/>
      <c r="G241" s="44"/>
      <c r="H241" s="44"/>
      <c r="I241" s="44"/>
      <c r="J241" s="44"/>
      <c r="K241" s="44"/>
      <c r="L241" s="49"/>
      <c r="M241" s="48"/>
      <c r="N241" s="48"/>
      <c r="O241" s="48"/>
      <c r="P241" s="48"/>
      <c r="Q241" s="48"/>
      <c r="R241" s="48"/>
      <c r="S241" s="49"/>
      <c r="T241" s="48"/>
      <c r="U241" s="48"/>
      <c r="V241" s="14">
        <f t="shared" si="27"/>
        <v>0</v>
      </c>
      <c r="W241" s="14">
        <f t="shared" si="28"/>
        <v>0</v>
      </c>
      <c r="X241" s="14">
        <f>IF(AND(V241=1,OR(Painel!$C$6="Todos",D241=Painel!$C$6),AND(OR(Painel!$L$6="Todas",E241=Painel!$L$6),OR(Painel!$C$8="Todos",F241=Painel!$C$8),OR(Painel!$L$8="Todos",G241=Painel!$L$8),OR(Painel!$C$10="",ISNUMBER(SEARCH(SUBSTITUTE(SUBSTITUTE(SUBSTITUTE(Painel!$C$10,"~","~~"),"*","~*"),"?","~?"),A241&amp;" "&amp;H241&amp;" "&amp;I241))))),1,0)</f>
        <v>0</v>
      </c>
      <c r="Y241" s="14">
        <f t="shared" si="29"/>
        <v>0</v>
      </c>
      <c r="Z241" s="15" t="str">
        <f>IF(V241=0,"",IF(COUNTIFS(Andamentos!$K$10:$K$2009,"="&amp;SUBSTITUTE(SUBSTITUTE(SUBSTITUTE("P:"&amp;A241,"~","~~"),"*","~*"),"?","~?"),Andamentos!$G$10:$G$2009,1)=0,"",_xlfn.AGGREGATE(14,6,Andamentos!$D$10:$D$2009/((Andamentos!$K$10:$K$2009=AS241)*(Andamentos!$G$10:$G$2009=1)),1)))</f>
        <v/>
      </c>
      <c r="AA241" s="14">
        <f>IF(Z241="",0,COUNTIFS(Andamentos!$K$10:$K$2009,"="&amp;SUBSTITUTE(SUBSTITUTE(SUBSTITUTE("P:"&amp;A241,"~","~~"),"*","~*"),"?","~?"),Andamentos!$D$10:$D$2009,Z241,Andamentos!$G$10:$G$2009,1))</f>
        <v>0</v>
      </c>
      <c r="AB241" s="14">
        <f>IF(AA241=1,SUMIFS(Andamentos!$L$10:$L$2009,Andamentos!$K$10:$K$2009,"="&amp;SUBSTITUTE(SUBSTITUTE(SUBSTITUTE(AS241,"~","~~"),"*","~*"),"?","~?"),Andamentos!$D$10:$D$2009,Z241,Andamentos!$G$10:$G$2009,1)-9,0)</f>
        <v>0</v>
      </c>
      <c r="AC241" s="14" t="str">
        <f>IF(V241=0,"",IF(AA241&gt;1,"Conferir recebimentos empatados",IF(AB241=0,"Sem atualização",INDEX(Andamentos!$C$10:$C$2009,AB241))))</f>
        <v/>
      </c>
      <c r="AD241" s="14">
        <f>IF(W241=0,0,IF(MAX(Z241,BD241)=0,1,IF(Configurar!$J$12-INT(MAX(Z241,BD241))&gt;Configurar!$J$11,1,0)))</f>
        <v>0</v>
      </c>
      <c r="AE241" s="16"/>
      <c r="AF241" s="14"/>
      <c r="AG241" s="14"/>
      <c r="AH241" s="14">
        <f>IF(AND(V241=1,COUNTIFS(Valores!$S$10:$S$509,"="&amp;SUBSTITUTE(SUBSTITUTE(SUBSTITUTE("P:"&amp;A241,"~","~~"),"*","~*"),"?","~?"))=1),(IF(ISNA(MATCH(SUBSTITUTE(SUBSTITUTE(SUBSTITUTE("P:"&amp;A241,"~","~~"),"*","~*"),"?","~?"),Valores!$S$10:$S$509,0)),9,INDEX(Valores!$R$10:$R$509,MATCH(SUBSTITUTE(SUBSTITUTE(SUBSTITUTE("P:"&amp;A241,"~","~~"),"*","~*"),"?","~?"),Valores!$S$10:$S$509,0)))-9),0)</f>
        <v>0</v>
      </c>
      <c r="AI241" s="40" t="str">
        <f t="shared" si="30"/>
        <v/>
      </c>
      <c r="AJ241" s="14" t="str">
        <f>IF(AND(X241=1,Y241=1),COUNTIFS($X$10:X241,1,$Y$10:Y241,1),"")</f>
        <v/>
      </c>
      <c r="AK241" s="14" t="str">
        <f>IF(X241=1,COUNTIFS($X$10:X241,1),"")</f>
        <v/>
      </c>
      <c r="AL241" s="14">
        <f>IF(AND(V241=1,AND(OR(Painel!$L$6="Todas",E241=Painel!$L$6),OR(Painel!$C$8="Todos",F241=Painel!$C$8),OR(Painel!$L$8="Todos",G241=Painel!$L$8),OR(Painel!$C$10="",ISNUMBER(SEARCH(SUBSTITUTE(SUBSTITUTE(SUBSTITUTE(Painel!$C$10,"~","~~"),"*","~*"),"?","~?"),A241&amp;" "&amp;H241&amp;" "&amp;I241))))),1,0)</f>
        <v>0</v>
      </c>
      <c r="AM241" s="14">
        <f t="shared" si="31"/>
        <v>0</v>
      </c>
      <c r="AN241" s="14"/>
      <c r="AO241" s="14"/>
      <c r="AP241" s="16" t="str">
        <f>IF(AB241=0,"",IF(INDEX(Andamentos!$B$10:$B$2009,AB241)="","",INDEX(Andamentos!$B$10:$B$2009,AB241)))</f>
        <v/>
      </c>
      <c r="AQ241" s="17" t="str">
        <f>IF(AH241=0,"",IF(INDEX(Valores!$B$10:$B$509,AH241)="","",IF(ISNUMBER(INDEX(Valores!$B$10:$B$509,AH241)),INDEX(Valores!$B$10:$B$509,AH241),"")))</f>
        <v/>
      </c>
      <c r="AR241" s="14" t="str">
        <f t="shared" si="32"/>
        <v/>
      </c>
      <c r="AS241" s="14" t="str">
        <f t="shared" si="33"/>
        <v/>
      </c>
      <c r="AT241" s="27"/>
      <c r="AU241" s="31"/>
      <c r="AV241" s="31"/>
      <c r="AW241" s="27"/>
      <c r="AX241" s="27"/>
      <c r="AY241" s="27"/>
      <c r="AZ241" s="27"/>
      <c r="BA241" s="30" t="str">
        <f t="shared" si="34"/>
        <v/>
      </c>
      <c r="BB241" s="30" t="str">
        <f t="shared" si="35"/>
        <v/>
      </c>
      <c r="BC241" s="30">
        <f>IF(X241=0,0,IF(COUNTIFS($X$10:X241,1,$BA$10:BA241,BA241)=1,1,0))</f>
        <v>0</v>
      </c>
      <c r="BD241" s="29"/>
    </row>
    <row r="242" spans="1:56" ht="42" customHeight="1">
      <c r="A242" s="41"/>
      <c r="B242" s="44"/>
      <c r="C242" s="44"/>
      <c r="D242" s="44"/>
      <c r="E242" s="44"/>
      <c r="F242" s="44"/>
      <c r="G242" s="44"/>
      <c r="H242" s="44"/>
      <c r="I242" s="44"/>
      <c r="J242" s="44"/>
      <c r="K242" s="44"/>
      <c r="L242" s="49"/>
      <c r="M242" s="48"/>
      <c r="N242" s="48"/>
      <c r="O242" s="48"/>
      <c r="P242" s="48"/>
      <c r="Q242" s="48"/>
      <c r="R242" s="48"/>
      <c r="S242" s="49"/>
      <c r="T242" s="48"/>
      <c r="U242" s="48"/>
      <c r="V242" s="14">
        <f t="shared" si="27"/>
        <v>0</v>
      </c>
      <c r="W242" s="14">
        <f t="shared" si="28"/>
        <v>0</v>
      </c>
      <c r="X242" s="14">
        <f>IF(AND(V242=1,OR(Painel!$C$6="Todos",D242=Painel!$C$6),AND(OR(Painel!$L$6="Todas",E242=Painel!$L$6),OR(Painel!$C$8="Todos",F242=Painel!$C$8),OR(Painel!$L$8="Todos",G242=Painel!$L$8),OR(Painel!$C$10="",ISNUMBER(SEARCH(SUBSTITUTE(SUBSTITUTE(SUBSTITUTE(Painel!$C$10,"~","~~"),"*","~*"),"?","~?"),A242&amp;" "&amp;H242&amp;" "&amp;I242))))),1,0)</f>
        <v>0</v>
      </c>
      <c r="Y242" s="14">
        <f t="shared" si="29"/>
        <v>0</v>
      </c>
      <c r="Z242" s="15" t="str">
        <f>IF(V242=0,"",IF(COUNTIFS(Andamentos!$K$10:$K$2009,"="&amp;SUBSTITUTE(SUBSTITUTE(SUBSTITUTE("P:"&amp;A242,"~","~~"),"*","~*"),"?","~?"),Andamentos!$G$10:$G$2009,1)=0,"",_xlfn.AGGREGATE(14,6,Andamentos!$D$10:$D$2009/((Andamentos!$K$10:$K$2009=AS242)*(Andamentos!$G$10:$G$2009=1)),1)))</f>
        <v/>
      </c>
      <c r="AA242" s="14">
        <f>IF(Z242="",0,COUNTIFS(Andamentos!$K$10:$K$2009,"="&amp;SUBSTITUTE(SUBSTITUTE(SUBSTITUTE("P:"&amp;A242,"~","~~"),"*","~*"),"?","~?"),Andamentos!$D$10:$D$2009,Z242,Andamentos!$G$10:$G$2009,1))</f>
        <v>0</v>
      </c>
      <c r="AB242" s="14">
        <f>IF(AA242=1,SUMIFS(Andamentos!$L$10:$L$2009,Andamentos!$K$10:$K$2009,"="&amp;SUBSTITUTE(SUBSTITUTE(SUBSTITUTE(AS242,"~","~~"),"*","~*"),"?","~?"),Andamentos!$D$10:$D$2009,Z242,Andamentos!$G$10:$G$2009,1)-9,0)</f>
        <v>0</v>
      </c>
      <c r="AC242" s="14" t="str">
        <f>IF(V242=0,"",IF(AA242&gt;1,"Conferir recebimentos empatados",IF(AB242=0,"Sem atualização",INDEX(Andamentos!$C$10:$C$2009,AB242))))</f>
        <v/>
      </c>
      <c r="AD242" s="14">
        <f>IF(W242=0,0,IF(MAX(Z242,BD242)=0,1,IF(Configurar!$J$12-INT(MAX(Z242,BD242))&gt;Configurar!$J$11,1,0)))</f>
        <v>0</v>
      </c>
      <c r="AE242" s="16"/>
      <c r="AF242" s="14"/>
      <c r="AG242" s="14"/>
      <c r="AH242" s="14">
        <f>IF(AND(V242=1,COUNTIFS(Valores!$S$10:$S$509,"="&amp;SUBSTITUTE(SUBSTITUTE(SUBSTITUTE("P:"&amp;A242,"~","~~"),"*","~*"),"?","~?"))=1),(IF(ISNA(MATCH(SUBSTITUTE(SUBSTITUTE(SUBSTITUTE("P:"&amp;A242,"~","~~"),"*","~*"),"?","~?"),Valores!$S$10:$S$509,0)),9,INDEX(Valores!$R$10:$R$509,MATCH(SUBSTITUTE(SUBSTITUTE(SUBSTITUTE("P:"&amp;A242,"~","~~"),"*","~*"),"?","~?"),Valores!$S$10:$S$509,0)))-9),0)</f>
        <v>0</v>
      </c>
      <c r="AI242" s="40" t="str">
        <f t="shared" si="30"/>
        <v/>
      </c>
      <c r="AJ242" s="14" t="str">
        <f>IF(AND(X242=1,Y242=1),COUNTIFS($X$10:X242,1,$Y$10:Y242,1),"")</f>
        <v/>
      </c>
      <c r="AK242" s="14" t="str">
        <f>IF(X242=1,COUNTIFS($X$10:X242,1),"")</f>
        <v/>
      </c>
      <c r="AL242" s="14">
        <f>IF(AND(V242=1,AND(OR(Painel!$L$6="Todas",E242=Painel!$L$6),OR(Painel!$C$8="Todos",F242=Painel!$C$8),OR(Painel!$L$8="Todos",G242=Painel!$L$8),OR(Painel!$C$10="",ISNUMBER(SEARCH(SUBSTITUTE(SUBSTITUTE(SUBSTITUTE(Painel!$C$10,"~","~~"),"*","~*"),"?","~?"),A242&amp;" "&amp;H242&amp;" "&amp;I242))))),1,0)</f>
        <v>0</v>
      </c>
      <c r="AM242" s="14">
        <f t="shared" si="31"/>
        <v>0</v>
      </c>
      <c r="AN242" s="14"/>
      <c r="AO242" s="14"/>
      <c r="AP242" s="16" t="str">
        <f>IF(AB242=0,"",IF(INDEX(Andamentos!$B$10:$B$2009,AB242)="","",INDEX(Andamentos!$B$10:$B$2009,AB242)))</f>
        <v/>
      </c>
      <c r="AQ242" s="17" t="str">
        <f>IF(AH242=0,"",IF(INDEX(Valores!$B$10:$B$509,AH242)="","",IF(ISNUMBER(INDEX(Valores!$B$10:$B$509,AH242)),INDEX(Valores!$B$10:$B$509,AH242),"")))</f>
        <v/>
      </c>
      <c r="AR242" s="14" t="str">
        <f t="shared" si="32"/>
        <v/>
      </c>
      <c r="AS242" s="14" t="str">
        <f t="shared" si="33"/>
        <v/>
      </c>
      <c r="AT242" s="27"/>
      <c r="AU242" s="31"/>
      <c r="AV242" s="31"/>
      <c r="AW242" s="27"/>
      <c r="AX242" s="27"/>
      <c r="AY242" s="27"/>
      <c r="AZ242" s="27"/>
      <c r="BA242" s="30" t="str">
        <f t="shared" si="34"/>
        <v/>
      </c>
      <c r="BB242" s="30" t="str">
        <f t="shared" si="35"/>
        <v/>
      </c>
      <c r="BC242" s="30">
        <f>IF(X242=0,0,IF(COUNTIFS($X$10:X242,1,$BA$10:BA242,BA242)=1,1,0))</f>
        <v>0</v>
      </c>
      <c r="BD242" s="29"/>
    </row>
    <row r="243" spans="1:56" ht="42" customHeight="1">
      <c r="A243" s="41"/>
      <c r="B243" s="44"/>
      <c r="C243" s="44"/>
      <c r="D243" s="44"/>
      <c r="E243" s="44"/>
      <c r="F243" s="44"/>
      <c r="G243" s="44"/>
      <c r="H243" s="44"/>
      <c r="I243" s="44"/>
      <c r="J243" s="44"/>
      <c r="K243" s="44"/>
      <c r="L243" s="49"/>
      <c r="M243" s="48"/>
      <c r="N243" s="48"/>
      <c r="O243" s="48"/>
      <c r="P243" s="48"/>
      <c r="Q243" s="48"/>
      <c r="R243" s="48"/>
      <c r="S243" s="49"/>
      <c r="T243" s="48"/>
      <c r="U243" s="48"/>
      <c r="V243" s="14">
        <f t="shared" si="27"/>
        <v>0</v>
      </c>
      <c r="W243" s="14">
        <f t="shared" si="28"/>
        <v>0</v>
      </c>
      <c r="X243" s="14">
        <f>IF(AND(V243=1,OR(Painel!$C$6="Todos",D243=Painel!$C$6),AND(OR(Painel!$L$6="Todas",E243=Painel!$L$6),OR(Painel!$C$8="Todos",F243=Painel!$C$8),OR(Painel!$L$8="Todos",G243=Painel!$L$8),OR(Painel!$C$10="",ISNUMBER(SEARCH(SUBSTITUTE(SUBSTITUTE(SUBSTITUTE(Painel!$C$10,"~","~~"),"*","~*"),"?","~?"),A243&amp;" "&amp;H243&amp;" "&amp;I243))))),1,0)</f>
        <v>0</v>
      </c>
      <c r="Y243" s="14">
        <f t="shared" si="29"/>
        <v>0</v>
      </c>
      <c r="Z243" s="15" t="str">
        <f>IF(V243=0,"",IF(COUNTIFS(Andamentos!$K$10:$K$2009,"="&amp;SUBSTITUTE(SUBSTITUTE(SUBSTITUTE("P:"&amp;A243,"~","~~"),"*","~*"),"?","~?"),Andamentos!$G$10:$G$2009,1)=0,"",_xlfn.AGGREGATE(14,6,Andamentos!$D$10:$D$2009/((Andamentos!$K$10:$K$2009=AS243)*(Andamentos!$G$10:$G$2009=1)),1)))</f>
        <v/>
      </c>
      <c r="AA243" s="14">
        <f>IF(Z243="",0,COUNTIFS(Andamentos!$K$10:$K$2009,"="&amp;SUBSTITUTE(SUBSTITUTE(SUBSTITUTE("P:"&amp;A243,"~","~~"),"*","~*"),"?","~?"),Andamentos!$D$10:$D$2009,Z243,Andamentos!$G$10:$G$2009,1))</f>
        <v>0</v>
      </c>
      <c r="AB243" s="14">
        <f>IF(AA243=1,SUMIFS(Andamentos!$L$10:$L$2009,Andamentos!$K$10:$K$2009,"="&amp;SUBSTITUTE(SUBSTITUTE(SUBSTITUTE(AS243,"~","~~"),"*","~*"),"?","~?"),Andamentos!$D$10:$D$2009,Z243,Andamentos!$G$10:$G$2009,1)-9,0)</f>
        <v>0</v>
      </c>
      <c r="AC243" s="14" t="str">
        <f>IF(V243=0,"",IF(AA243&gt;1,"Conferir recebimentos empatados",IF(AB243=0,"Sem atualização",INDEX(Andamentos!$C$10:$C$2009,AB243))))</f>
        <v/>
      </c>
      <c r="AD243" s="14">
        <f>IF(W243=0,0,IF(MAX(Z243,BD243)=0,1,IF(Configurar!$J$12-INT(MAX(Z243,BD243))&gt;Configurar!$J$11,1,0)))</f>
        <v>0</v>
      </c>
      <c r="AE243" s="16"/>
      <c r="AF243" s="14"/>
      <c r="AG243" s="14"/>
      <c r="AH243" s="14">
        <f>IF(AND(V243=1,COUNTIFS(Valores!$S$10:$S$509,"="&amp;SUBSTITUTE(SUBSTITUTE(SUBSTITUTE("P:"&amp;A243,"~","~~"),"*","~*"),"?","~?"))=1),(IF(ISNA(MATCH(SUBSTITUTE(SUBSTITUTE(SUBSTITUTE("P:"&amp;A243,"~","~~"),"*","~*"),"?","~?"),Valores!$S$10:$S$509,0)),9,INDEX(Valores!$R$10:$R$509,MATCH(SUBSTITUTE(SUBSTITUTE(SUBSTITUTE("P:"&amp;A243,"~","~~"),"*","~*"),"?","~?"),Valores!$S$10:$S$509,0)))-9),0)</f>
        <v>0</v>
      </c>
      <c r="AI243" s="40" t="str">
        <f t="shared" si="30"/>
        <v/>
      </c>
      <c r="AJ243" s="14" t="str">
        <f>IF(AND(X243=1,Y243=1),COUNTIFS($X$10:X243,1,$Y$10:Y243,1),"")</f>
        <v/>
      </c>
      <c r="AK243" s="14" t="str">
        <f>IF(X243=1,COUNTIFS($X$10:X243,1),"")</f>
        <v/>
      </c>
      <c r="AL243" s="14">
        <f>IF(AND(V243=1,AND(OR(Painel!$L$6="Todas",E243=Painel!$L$6),OR(Painel!$C$8="Todos",F243=Painel!$C$8),OR(Painel!$L$8="Todos",G243=Painel!$L$8),OR(Painel!$C$10="",ISNUMBER(SEARCH(SUBSTITUTE(SUBSTITUTE(SUBSTITUTE(Painel!$C$10,"~","~~"),"*","~*"),"?","~?"),A243&amp;" "&amp;H243&amp;" "&amp;I243))))),1,0)</f>
        <v>0</v>
      </c>
      <c r="AM243" s="14">
        <f t="shared" si="31"/>
        <v>0</v>
      </c>
      <c r="AN243" s="14"/>
      <c r="AO243" s="14"/>
      <c r="AP243" s="16" t="str">
        <f>IF(AB243=0,"",IF(INDEX(Andamentos!$B$10:$B$2009,AB243)="","",INDEX(Andamentos!$B$10:$B$2009,AB243)))</f>
        <v/>
      </c>
      <c r="AQ243" s="17" t="str">
        <f>IF(AH243=0,"",IF(INDEX(Valores!$B$10:$B$509,AH243)="","",IF(ISNUMBER(INDEX(Valores!$B$10:$B$509,AH243)),INDEX(Valores!$B$10:$B$509,AH243),"")))</f>
        <v/>
      </c>
      <c r="AR243" s="14" t="str">
        <f t="shared" si="32"/>
        <v/>
      </c>
      <c r="AS243" s="14" t="str">
        <f t="shared" si="33"/>
        <v/>
      </c>
      <c r="AT243" s="27"/>
      <c r="AU243" s="31"/>
      <c r="AV243" s="31"/>
      <c r="AW243" s="27"/>
      <c r="AX243" s="27"/>
      <c r="AY243" s="27"/>
      <c r="AZ243" s="27"/>
      <c r="BA243" s="30" t="str">
        <f t="shared" si="34"/>
        <v/>
      </c>
      <c r="BB243" s="30" t="str">
        <f t="shared" si="35"/>
        <v/>
      </c>
      <c r="BC243" s="30">
        <f>IF(X243=0,0,IF(COUNTIFS($X$10:X243,1,$BA$10:BA243,BA243)=1,1,0))</f>
        <v>0</v>
      </c>
      <c r="BD243" s="29"/>
    </row>
    <row r="244" spans="1:56" ht="42" customHeight="1">
      <c r="A244" s="41"/>
      <c r="B244" s="44"/>
      <c r="C244" s="44"/>
      <c r="D244" s="44"/>
      <c r="E244" s="44"/>
      <c r="F244" s="44"/>
      <c r="G244" s="44"/>
      <c r="H244" s="44"/>
      <c r="I244" s="44"/>
      <c r="J244" s="44"/>
      <c r="K244" s="44"/>
      <c r="L244" s="49"/>
      <c r="M244" s="48"/>
      <c r="N244" s="48"/>
      <c r="O244" s="48"/>
      <c r="P244" s="48"/>
      <c r="Q244" s="48"/>
      <c r="R244" s="48"/>
      <c r="S244" s="49"/>
      <c r="T244" s="48"/>
      <c r="U244" s="48"/>
      <c r="V244" s="14">
        <f t="shared" si="27"/>
        <v>0</v>
      </c>
      <c r="W244" s="14">
        <f t="shared" si="28"/>
        <v>0</v>
      </c>
      <c r="X244" s="14">
        <f>IF(AND(V244=1,OR(Painel!$C$6="Todos",D244=Painel!$C$6),AND(OR(Painel!$L$6="Todas",E244=Painel!$L$6),OR(Painel!$C$8="Todos",F244=Painel!$C$8),OR(Painel!$L$8="Todos",G244=Painel!$L$8),OR(Painel!$C$10="",ISNUMBER(SEARCH(SUBSTITUTE(SUBSTITUTE(SUBSTITUTE(Painel!$C$10,"~","~~"),"*","~*"),"?","~?"),A244&amp;" "&amp;H244&amp;" "&amp;I244))))),1,0)</f>
        <v>0</v>
      </c>
      <c r="Y244" s="14">
        <f t="shared" si="29"/>
        <v>0</v>
      </c>
      <c r="Z244" s="15" t="str">
        <f>IF(V244=0,"",IF(COUNTIFS(Andamentos!$K$10:$K$2009,"="&amp;SUBSTITUTE(SUBSTITUTE(SUBSTITUTE("P:"&amp;A244,"~","~~"),"*","~*"),"?","~?"),Andamentos!$G$10:$G$2009,1)=0,"",_xlfn.AGGREGATE(14,6,Andamentos!$D$10:$D$2009/((Andamentos!$K$10:$K$2009=AS244)*(Andamentos!$G$10:$G$2009=1)),1)))</f>
        <v/>
      </c>
      <c r="AA244" s="14">
        <f>IF(Z244="",0,COUNTIFS(Andamentos!$K$10:$K$2009,"="&amp;SUBSTITUTE(SUBSTITUTE(SUBSTITUTE("P:"&amp;A244,"~","~~"),"*","~*"),"?","~?"),Andamentos!$D$10:$D$2009,Z244,Andamentos!$G$10:$G$2009,1))</f>
        <v>0</v>
      </c>
      <c r="AB244" s="14">
        <f>IF(AA244=1,SUMIFS(Andamentos!$L$10:$L$2009,Andamentos!$K$10:$K$2009,"="&amp;SUBSTITUTE(SUBSTITUTE(SUBSTITUTE(AS244,"~","~~"),"*","~*"),"?","~?"),Andamentos!$D$10:$D$2009,Z244,Andamentos!$G$10:$G$2009,1)-9,0)</f>
        <v>0</v>
      </c>
      <c r="AC244" s="14" t="str">
        <f>IF(V244=0,"",IF(AA244&gt;1,"Conferir recebimentos empatados",IF(AB244=0,"Sem atualização",INDEX(Andamentos!$C$10:$C$2009,AB244))))</f>
        <v/>
      </c>
      <c r="AD244" s="14">
        <f>IF(W244=0,0,IF(MAX(Z244,BD244)=0,1,IF(Configurar!$J$12-INT(MAX(Z244,BD244))&gt;Configurar!$J$11,1,0)))</f>
        <v>0</v>
      </c>
      <c r="AE244" s="16"/>
      <c r="AF244" s="14"/>
      <c r="AG244" s="14"/>
      <c r="AH244" s="14">
        <f>IF(AND(V244=1,COUNTIFS(Valores!$S$10:$S$509,"="&amp;SUBSTITUTE(SUBSTITUTE(SUBSTITUTE("P:"&amp;A244,"~","~~"),"*","~*"),"?","~?"))=1),(IF(ISNA(MATCH(SUBSTITUTE(SUBSTITUTE(SUBSTITUTE("P:"&amp;A244,"~","~~"),"*","~*"),"?","~?"),Valores!$S$10:$S$509,0)),9,INDEX(Valores!$R$10:$R$509,MATCH(SUBSTITUTE(SUBSTITUTE(SUBSTITUTE("P:"&amp;A244,"~","~~"),"*","~*"),"?","~?"),Valores!$S$10:$S$509,0)))-9),0)</f>
        <v>0</v>
      </c>
      <c r="AI244" s="40" t="str">
        <f t="shared" si="30"/>
        <v/>
      </c>
      <c r="AJ244" s="14" t="str">
        <f>IF(AND(X244=1,Y244=1),COUNTIFS($X$10:X244,1,$Y$10:Y244,1),"")</f>
        <v/>
      </c>
      <c r="AK244" s="14" t="str">
        <f>IF(X244=1,COUNTIFS($X$10:X244,1),"")</f>
        <v/>
      </c>
      <c r="AL244" s="14">
        <f>IF(AND(V244=1,AND(OR(Painel!$L$6="Todas",E244=Painel!$L$6),OR(Painel!$C$8="Todos",F244=Painel!$C$8),OR(Painel!$L$8="Todos",G244=Painel!$L$8),OR(Painel!$C$10="",ISNUMBER(SEARCH(SUBSTITUTE(SUBSTITUTE(SUBSTITUTE(Painel!$C$10,"~","~~"),"*","~*"),"?","~?"),A244&amp;" "&amp;H244&amp;" "&amp;I244))))),1,0)</f>
        <v>0</v>
      </c>
      <c r="AM244" s="14">
        <f t="shared" si="31"/>
        <v>0</v>
      </c>
      <c r="AN244" s="14"/>
      <c r="AO244" s="14"/>
      <c r="AP244" s="16" t="str">
        <f>IF(AB244=0,"",IF(INDEX(Andamentos!$B$10:$B$2009,AB244)="","",INDEX(Andamentos!$B$10:$B$2009,AB244)))</f>
        <v/>
      </c>
      <c r="AQ244" s="17" t="str">
        <f>IF(AH244=0,"",IF(INDEX(Valores!$B$10:$B$509,AH244)="","",IF(ISNUMBER(INDEX(Valores!$B$10:$B$509,AH244)),INDEX(Valores!$B$10:$B$509,AH244),"")))</f>
        <v/>
      </c>
      <c r="AR244" s="14" t="str">
        <f t="shared" si="32"/>
        <v/>
      </c>
      <c r="AS244" s="14" t="str">
        <f t="shared" si="33"/>
        <v/>
      </c>
      <c r="AT244" s="27"/>
      <c r="AU244" s="31"/>
      <c r="AV244" s="31"/>
      <c r="AW244" s="27"/>
      <c r="AX244" s="27"/>
      <c r="AY244" s="27"/>
      <c r="AZ244" s="27"/>
      <c r="BA244" s="30" t="str">
        <f t="shared" si="34"/>
        <v/>
      </c>
      <c r="BB244" s="30" t="str">
        <f t="shared" si="35"/>
        <v/>
      </c>
      <c r="BC244" s="30">
        <f>IF(X244=0,0,IF(COUNTIFS($X$10:X244,1,$BA$10:BA244,BA244)=1,1,0))</f>
        <v>0</v>
      </c>
      <c r="BD244" s="29"/>
    </row>
    <row r="245" spans="1:56" ht="42" customHeight="1">
      <c r="A245" s="41"/>
      <c r="B245" s="44"/>
      <c r="C245" s="44"/>
      <c r="D245" s="44"/>
      <c r="E245" s="44"/>
      <c r="F245" s="44"/>
      <c r="G245" s="44"/>
      <c r="H245" s="44"/>
      <c r="I245" s="44"/>
      <c r="J245" s="44"/>
      <c r="K245" s="44"/>
      <c r="L245" s="49"/>
      <c r="M245" s="48"/>
      <c r="N245" s="48"/>
      <c r="O245" s="48"/>
      <c r="P245" s="48"/>
      <c r="Q245" s="48"/>
      <c r="R245" s="48"/>
      <c r="S245" s="49"/>
      <c r="T245" s="48"/>
      <c r="U245" s="48"/>
      <c r="V245" s="14">
        <f t="shared" si="27"/>
        <v>0</v>
      </c>
      <c r="W245" s="14">
        <f t="shared" si="28"/>
        <v>0</v>
      </c>
      <c r="X245" s="14">
        <f>IF(AND(V245=1,OR(Painel!$C$6="Todos",D245=Painel!$C$6),AND(OR(Painel!$L$6="Todas",E245=Painel!$L$6),OR(Painel!$C$8="Todos",F245=Painel!$C$8),OR(Painel!$L$8="Todos",G245=Painel!$L$8),OR(Painel!$C$10="",ISNUMBER(SEARCH(SUBSTITUTE(SUBSTITUTE(SUBSTITUTE(Painel!$C$10,"~","~~"),"*","~*"),"?","~?"),A245&amp;" "&amp;H245&amp;" "&amp;I245))))),1,0)</f>
        <v>0</v>
      </c>
      <c r="Y245" s="14">
        <f t="shared" si="29"/>
        <v>0</v>
      </c>
      <c r="Z245" s="15" t="str">
        <f>IF(V245=0,"",IF(COUNTIFS(Andamentos!$K$10:$K$2009,"="&amp;SUBSTITUTE(SUBSTITUTE(SUBSTITUTE("P:"&amp;A245,"~","~~"),"*","~*"),"?","~?"),Andamentos!$G$10:$G$2009,1)=0,"",_xlfn.AGGREGATE(14,6,Andamentos!$D$10:$D$2009/((Andamentos!$K$10:$K$2009=AS245)*(Andamentos!$G$10:$G$2009=1)),1)))</f>
        <v/>
      </c>
      <c r="AA245" s="14">
        <f>IF(Z245="",0,COUNTIFS(Andamentos!$K$10:$K$2009,"="&amp;SUBSTITUTE(SUBSTITUTE(SUBSTITUTE("P:"&amp;A245,"~","~~"),"*","~*"),"?","~?"),Andamentos!$D$10:$D$2009,Z245,Andamentos!$G$10:$G$2009,1))</f>
        <v>0</v>
      </c>
      <c r="AB245" s="14">
        <f>IF(AA245=1,SUMIFS(Andamentos!$L$10:$L$2009,Andamentos!$K$10:$K$2009,"="&amp;SUBSTITUTE(SUBSTITUTE(SUBSTITUTE(AS245,"~","~~"),"*","~*"),"?","~?"),Andamentos!$D$10:$D$2009,Z245,Andamentos!$G$10:$G$2009,1)-9,0)</f>
        <v>0</v>
      </c>
      <c r="AC245" s="14" t="str">
        <f>IF(V245=0,"",IF(AA245&gt;1,"Conferir recebimentos empatados",IF(AB245=0,"Sem atualização",INDEX(Andamentos!$C$10:$C$2009,AB245))))</f>
        <v/>
      </c>
      <c r="AD245" s="14">
        <f>IF(W245=0,0,IF(MAX(Z245,BD245)=0,1,IF(Configurar!$J$12-INT(MAX(Z245,BD245))&gt;Configurar!$J$11,1,0)))</f>
        <v>0</v>
      </c>
      <c r="AE245" s="16"/>
      <c r="AF245" s="14"/>
      <c r="AG245" s="14"/>
      <c r="AH245" s="14">
        <f>IF(AND(V245=1,COUNTIFS(Valores!$S$10:$S$509,"="&amp;SUBSTITUTE(SUBSTITUTE(SUBSTITUTE("P:"&amp;A245,"~","~~"),"*","~*"),"?","~?"))=1),(IF(ISNA(MATCH(SUBSTITUTE(SUBSTITUTE(SUBSTITUTE("P:"&amp;A245,"~","~~"),"*","~*"),"?","~?"),Valores!$S$10:$S$509,0)),9,INDEX(Valores!$R$10:$R$509,MATCH(SUBSTITUTE(SUBSTITUTE(SUBSTITUTE("P:"&amp;A245,"~","~~"),"*","~*"),"?","~?"),Valores!$S$10:$S$509,0)))-9),0)</f>
        <v>0</v>
      </c>
      <c r="AI245" s="40" t="str">
        <f t="shared" si="30"/>
        <v/>
      </c>
      <c r="AJ245" s="14" t="str">
        <f>IF(AND(X245=1,Y245=1),COUNTIFS($X$10:X245,1,$Y$10:Y245,1),"")</f>
        <v/>
      </c>
      <c r="AK245" s="14" t="str">
        <f>IF(X245=1,COUNTIFS($X$10:X245,1),"")</f>
        <v/>
      </c>
      <c r="AL245" s="14">
        <f>IF(AND(V245=1,AND(OR(Painel!$L$6="Todas",E245=Painel!$L$6),OR(Painel!$C$8="Todos",F245=Painel!$C$8),OR(Painel!$L$8="Todos",G245=Painel!$L$8),OR(Painel!$C$10="",ISNUMBER(SEARCH(SUBSTITUTE(SUBSTITUTE(SUBSTITUTE(Painel!$C$10,"~","~~"),"*","~*"),"?","~?"),A245&amp;" "&amp;H245&amp;" "&amp;I245))))),1,0)</f>
        <v>0</v>
      </c>
      <c r="AM245" s="14">
        <f t="shared" si="31"/>
        <v>0</v>
      </c>
      <c r="AN245" s="14"/>
      <c r="AO245" s="14"/>
      <c r="AP245" s="16" t="str">
        <f>IF(AB245=0,"",IF(INDEX(Andamentos!$B$10:$B$2009,AB245)="","",INDEX(Andamentos!$B$10:$B$2009,AB245)))</f>
        <v/>
      </c>
      <c r="AQ245" s="17" t="str">
        <f>IF(AH245=0,"",IF(INDEX(Valores!$B$10:$B$509,AH245)="","",IF(ISNUMBER(INDEX(Valores!$B$10:$B$509,AH245)),INDEX(Valores!$B$10:$B$509,AH245),"")))</f>
        <v/>
      </c>
      <c r="AR245" s="14" t="str">
        <f t="shared" si="32"/>
        <v/>
      </c>
      <c r="AS245" s="14" t="str">
        <f t="shared" si="33"/>
        <v/>
      </c>
      <c r="AT245" s="27"/>
      <c r="AU245" s="31"/>
      <c r="AV245" s="31"/>
      <c r="AW245" s="27"/>
      <c r="AX245" s="27"/>
      <c r="AY245" s="27"/>
      <c r="AZ245" s="27"/>
      <c r="BA245" s="30" t="str">
        <f t="shared" si="34"/>
        <v/>
      </c>
      <c r="BB245" s="30" t="str">
        <f t="shared" si="35"/>
        <v/>
      </c>
      <c r="BC245" s="30">
        <f>IF(X245=0,0,IF(COUNTIFS($X$10:X245,1,$BA$10:BA245,BA245)=1,1,0))</f>
        <v>0</v>
      </c>
      <c r="BD245" s="29"/>
    </row>
    <row r="246" spans="1:56" ht="42" customHeight="1">
      <c r="A246" s="41"/>
      <c r="B246" s="44"/>
      <c r="C246" s="44"/>
      <c r="D246" s="44"/>
      <c r="E246" s="44"/>
      <c r="F246" s="44"/>
      <c r="G246" s="44"/>
      <c r="H246" s="44"/>
      <c r="I246" s="44"/>
      <c r="J246" s="44"/>
      <c r="K246" s="44"/>
      <c r="L246" s="49"/>
      <c r="M246" s="48"/>
      <c r="N246" s="48"/>
      <c r="O246" s="48"/>
      <c r="P246" s="48"/>
      <c r="Q246" s="48"/>
      <c r="R246" s="48"/>
      <c r="S246" s="49"/>
      <c r="T246" s="48"/>
      <c r="U246" s="48"/>
      <c r="V246" s="14">
        <f t="shared" si="27"/>
        <v>0</v>
      </c>
      <c r="W246" s="14">
        <f t="shared" si="28"/>
        <v>0</v>
      </c>
      <c r="X246" s="14">
        <f>IF(AND(V246=1,OR(Painel!$C$6="Todos",D246=Painel!$C$6),AND(OR(Painel!$L$6="Todas",E246=Painel!$L$6),OR(Painel!$C$8="Todos",F246=Painel!$C$8),OR(Painel!$L$8="Todos",G246=Painel!$L$8),OR(Painel!$C$10="",ISNUMBER(SEARCH(SUBSTITUTE(SUBSTITUTE(SUBSTITUTE(Painel!$C$10,"~","~~"),"*","~*"),"?","~?"),A246&amp;" "&amp;H246&amp;" "&amp;I246))))),1,0)</f>
        <v>0</v>
      </c>
      <c r="Y246" s="14">
        <f t="shared" si="29"/>
        <v>0</v>
      </c>
      <c r="Z246" s="15" t="str">
        <f>IF(V246=0,"",IF(COUNTIFS(Andamentos!$K$10:$K$2009,"="&amp;SUBSTITUTE(SUBSTITUTE(SUBSTITUTE("P:"&amp;A246,"~","~~"),"*","~*"),"?","~?"),Andamentos!$G$10:$G$2009,1)=0,"",_xlfn.AGGREGATE(14,6,Andamentos!$D$10:$D$2009/((Andamentos!$K$10:$K$2009=AS246)*(Andamentos!$G$10:$G$2009=1)),1)))</f>
        <v/>
      </c>
      <c r="AA246" s="14">
        <f>IF(Z246="",0,COUNTIFS(Andamentos!$K$10:$K$2009,"="&amp;SUBSTITUTE(SUBSTITUTE(SUBSTITUTE("P:"&amp;A246,"~","~~"),"*","~*"),"?","~?"),Andamentos!$D$10:$D$2009,Z246,Andamentos!$G$10:$G$2009,1))</f>
        <v>0</v>
      </c>
      <c r="AB246" s="14">
        <f>IF(AA246=1,SUMIFS(Andamentos!$L$10:$L$2009,Andamentos!$K$10:$K$2009,"="&amp;SUBSTITUTE(SUBSTITUTE(SUBSTITUTE(AS246,"~","~~"),"*","~*"),"?","~?"),Andamentos!$D$10:$D$2009,Z246,Andamentos!$G$10:$G$2009,1)-9,0)</f>
        <v>0</v>
      </c>
      <c r="AC246" s="14" t="str">
        <f>IF(V246=0,"",IF(AA246&gt;1,"Conferir recebimentos empatados",IF(AB246=0,"Sem atualização",INDEX(Andamentos!$C$10:$C$2009,AB246))))</f>
        <v/>
      </c>
      <c r="AD246" s="14">
        <f>IF(W246=0,0,IF(MAX(Z246,BD246)=0,1,IF(Configurar!$J$12-INT(MAX(Z246,BD246))&gt;Configurar!$J$11,1,0)))</f>
        <v>0</v>
      </c>
      <c r="AE246" s="16"/>
      <c r="AF246" s="14"/>
      <c r="AG246" s="14"/>
      <c r="AH246" s="14">
        <f>IF(AND(V246=1,COUNTIFS(Valores!$S$10:$S$509,"="&amp;SUBSTITUTE(SUBSTITUTE(SUBSTITUTE("P:"&amp;A246,"~","~~"),"*","~*"),"?","~?"))=1),(IF(ISNA(MATCH(SUBSTITUTE(SUBSTITUTE(SUBSTITUTE("P:"&amp;A246,"~","~~"),"*","~*"),"?","~?"),Valores!$S$10:$S$509,0)),9,INDEX(Valores!$R$10:$R$509,MATCH(SUBSTITUTE(SUBSTITUTE(SUBSTITUTE("P:"&amp;A246,"~","~~"),"*","~*"),"?","~?"),Valores!$S$10:$S$509,0)))-9),0)</f>
        <v>0</v>
      </c>
      <c r="AI246" s="40" t="str">
        <f t="shared" si="30"/>
        <v/>
      </c>
      <c r="AJ246" s="14" t="str">
        <f>IF(AND(X246=1,Y246=1),COUNTIFS($X$10:X246,1,$Y$10:Y246,1),"")</f>
        <v/>
      </c>
      <c r="AK246" s="14" t="str">
        <f>IF(X246=1,COUNTIFS($X$10:X246,1),"")</f>
        <v/>
      </c>
      <c r="AL246" s="14">
        <f>IF(AND(V246=1,AND(OR(Painel!$L$6="Todas",E246=Painel!$L$6),OR(Painel!$C$8="Todos",F246=Painel!$C$8),OR(Painel!$L$8="Todos",G246=Painel!$L$8),OR(Painel!$C$10="",ISNUMBER(SEARCH(SUBSTITUTE(SUBSTITUTE(SUBSTITUTE(Painel!$C$10,"~","~~"),"*","~*"),"?","~?"),A246&amp;" "&amp;H246&amp;" "&amp;I246))))),1,0)</f>
        <v>0</v>
      </c>
      <c r="AM246" s="14">
        <f t="shared" si="31"/>
        <v>0</v>
      </c>
      <c r="AN246" s="14"/>
      <c r="AO246" s="14"/>
      <c r="AP246" s="16" t="str">
        <f>IF(AB246=0,"",IF(INDEX(Andamentos!$B$10:$B$2009,AB246)="","",INDEX(Andamentos!$B$10:$B$2009,AB246)))</f>
        <v/>
      </c>
      <c r="AQ246" s="17" t="str">
        <f>IF(AH246=0,"",IF(INDEX(Valores!$B$10:$B$509,AH246)="","",IF(ISNUMBER(INDEX(Valores!$B$10:$B$509,AH246)),INDEX(Valores!$B$10:$B$509,AH246),"")))</f>
        <v/>
      </c>
      <c r="AR246" s="14" t="str">
        <f t="shared" si="32"/>
        <v/>
      </c>
      <c r="AS246" s="14" t="str">
        <f t="shared" si="33"/>
        <v/>
      </c>
      <c r="AT246" s="27"/>
      <c r="AU246" s="31"/>
      <c r="AV246" s="31"/>
      <c r="AW246" s="27"/>
      <c r="AX246" s="27"/>
      <c r="AY246" s="27"/>
      <c r="AZ246" s="27"/>
      <c r="BA246" s="30" t="str">
        <f t="shared" si="34"/>
        <v/>
      </c>
      <c r="BB246" s="30" t="str">
        <f t="shared" si="35"/>
        <v/>
      </c>
      <c r="BC246" s="30">
        <f>IF(X246=0,0,IF(COUNTIFS($X$10:X246,1,$BA$10:BA246,BA246)=1,1,0))</f>
        <v>0</v>
      </c>
      <c r="BD246" s="29"/>
    </row>
    <row r="247" spans="1:56" ht="42" customHeight="1">
      <c r="A247" s="41"/>
      <c r="B247" s="44"/>
      <c r="C247" s="44"/>
      <c r="D247" s="44"/>
      <c r="E247" s="44"/>
      <c r="F247" s="44"/>
      <c r="G247" s="44"/>
      <c r="H247" s="44"/>
      <c r="I247" s="44"/>
      <c r="J247" s="44"/>
      <c r="K247" s="44"/>
      <c r="L247" s="49"/>
      <c r="M247" s="48"/>
      <c r="N247" s="48"/>
      <c r="O247" s="48"/>
      <c r="P247" s="48"/>
      <c r="Q247" s="48"/>
      <c r="R247" s="48"/>
      <c r="S247" s="49"/>
      <c r="T247" s="48"/>
      <c r="U247" s="48"/>
      <c r="V247" s="14">
        <f t="shared" si="27"/>
        <v>0</v>
      </c>
      <c r="W247" s="14">
        <f t="shared" si="28"/>
        <v>0</v>
      </c>
      <c r="X247" s="14">
        <f>IF(AND(V247=1,OR(Painel!$C$6="Todos",D247=Painel!$C$6),AND(OR(Painel!$L$6="Todas",E247=Painel!$L$6),OR(Painel!$C$8="Todos",F247=Painel!$C$8),OR(Painel!$L$8="Todos",G247=Painel!$L$8),OR(Painel!$C$10="",ISNUMBER(SEARCH(SUBSTITUTE(SUBSTITUTE(SUBSTITUTE(Painel!$C$10,"~","~~"),"*","~*"),"?","~?"),A247&amp;" "&amp;H247&amp;" "&amp;I247))))),1,0)</f>
        <v>0</v>
      </c>
      <c r="Y247" s="14">
        <f t="shared" si="29"/>
        <v>0</v>
      </c>
      <c r="Z247" s="15" t="str">
        <f>IF(V247=0,"",IF(COUNTIFS(Andamentos!$K$10:$K$2009,"="&amp;SUBSTITUTE(SUBSTITUTE(SUBSTITUTE("P:"&amp;A247,"~","~~"),"*","~*"),"?","~?"),Andamentos!$G$10:$G$2009,1)=0,"",_xlfn.AGGREGATE(14,6,Andamentos!$D$10:$D$2009/((Andamentos!$K$10:$K$2009=AS247)*(Andamentos!$G$10:$G$2009=1)),1)))</f>
        <v/>
      </c>
      <c r="AA247" s="14">
        <f>IF(Z247="",0,COUNTIFS(Andamentos!$K$10:$K$2009,"="&amp;SUBSTITUTE(SUBSTITUTE(SUBSTITUTE("P:"&amp;A247,"~","~~"),"*","~*"),"?","~?"),Andamentos!$D$10:$D$2009,Z247,Andamentos!$G$10:$G$2009,1))</f>
        <v>0</v>
      </c>
      <c r="AB247" s="14">
        <f>IF(AA247=1,SUMIFS(Andamentos!$L$10:$L$2009,Andamentos!$K$10:$K$2009,"="&amp;SUBSTITUTE(SUBSTITUTE(SUBSTITUTE(AS247,"~","~~"),"*","~*"),"?","~?"),Andamentos!$D$10:$D$2009,Z247,Andamentos!$G$10:$G$2009,1)-9,0)</f>
        <v>0</v>
      </c>
      <c r="AC247" s="14" t="str">
        <f>IF(V247=0,"",IF(AA247&gt;1,"Conferir recebimentos empatados",IF(AB247=0,"Sem atualização",INDEX(Andamentos!$C$10:$C$2009,AB247))))</f>
        <v/>
      </c>
      <c r="AD247" s="14">
        <f>IF(W247=0,0,IF(MAX(Z247,BD247)=0,1,IF(Configurar!$J$12-INT(MAX(Z247,BD247))&gt;Configurar!$J$11,1,0)))</f>
        <v>0</v>
      </c>
      <c r="AE247" s="16"/>
      <c r="AF247" s="14"/>
      <c r="AG247" s="14"/>
      <c r="AH247" s="14">
        <f>IF(AND(V247=1,COUNTIFS(Valores!$S$10:$S$509,"="&amp;SUBSTITUTE(SUBSTITUTE(SUBSTITUTE("P:"&amp;A247,"~","~~"),"*","~*"),"?","~?"))=1),(IF(ISNA(MATCH(SUBSTITUTE(SUBSTITUTE(SUBSTITUTE("P:"&amp;A247,"~","~~"),"*","~*"),"?","~?"),Valores!$S$10:$S$509,0)),9,INDEX(Valores!$R$10:$R$509,MATCH(SUBSTITUTE(SUBSTITUTE(SUBSTITUTE("P:"&amp;A247,"~","~~"),"*","~*"),"?","~?"),Valores!$S$10:$S$509,0)))-9),0)</f>
        <v>0</v>
      </c>
      <c r="AI247" s="40" t="str">
        <f t="shared" si="30"/>
        <v/>
      </c>
      <c r="AJ247" s="14" t="str">
        <f>IF(AND(X247=1,Y247=1),COUNTIFS($X$10:X247,1,$Y$10:Y247,1),"")</f>
        <v/>
      </c>
      <c r="AK247" s="14" t="str">
        <f>IF(X247=1,COUNTIFS($X$10:X247,1),"")</f>
        <v/>
      </c>
      <c r="AL247" s="14">
        <f>IF(AND(V247=1,AND(OR(Painel!$L$6="Todas",E247=Painel!$L$6),OR(Painel!$C$8="Todos",F247=Painel!$C$8),OR(Painel!$L$8="Todos",G247=Painel!$L$8),OR(Painel!$C$10="",ISNUMBER(SEARCH(SUBSTITUTE(SUBSTITUTE(SUBSTITUTE(Painel!$C$10,"~","~~"),"*","~*"),"?","~?"),A247&amp;" "&amp;H247&amp;" "&amp;I247))))),1,0)</f>
        <v>0</v>
      </c>
      <c r="AM247" s="14">
        <f t="shared" si="31"/>
        <v>0</v>
      </c>
      <c r="AN247" s="14"/>
      <c r="AO247" s="14"/>
      <c r="AP247" s="16" t="str">
        <f>IF(AB247=0,"",IF(INDEX(Andamentos!$B$10:$B$2009,AB247)="","",INDEX(Andamentos!$B$10:$B$2009,AB247)))</f>
        <v/>
      </c>
      <c r="AQ247" s="17" t="str">
        <f>IF(AH247=0,"",IF(INDEX(Valores!$B$10:$B$509,AH247)="","",IF(ISNUMBER(INDEX(Valores!$B$10:$B$509,AH247)),INDEX(Valores!$B$10:$B$509,AH247),"")))</f>
        <v/>
      </c>
      <c r="AR247" s="14" t="str">
        <f t="shared" si="32"/>
        <v/>
      </c>
      <c r="AS247" s="14" t="str">
        <f t="shared" si="33"/>
        <v/>
      </c>
      <c r="AT247" s="27"/>
      <c r="AU247" s="31"/>
      <c r="AV247" s="31"/>
      <c r="AW247" s="27"/>
      <c r="AX247" s="27"/>
      <c r="AY247" s="27"/>
      <c r="AZ247" s="27"/>
      <c r="BA247" s="30" t="str">
        <f t="shared" si="34"/>
        <v/>
      </c>
      <c r="BB247" s="30" t="str">
        <f t="shared" si="35"/>
        <v/>
      </c>
      <c r="BC247" s="30">
        <f>IF(X247=0,0,IF(COUNTIFS($X$10:X247,1,$BA$10:BA247,BA247)=1,1,0))</f>
        <v>0</v>
      </c>
      <c r="BD247" s="29"/>
    </row>
    <row r="248" spans="1:56" ht="42" customHeight="1">
      <c r="A248" s="41"/>
      <c r="B248" s="44"/>
      <c r="C248" s="44"/>
      <c r="D248" s="44"/>
      <c r="E248" s="44"/>
      <c r="F248" s="44"/>
      <c r="G248" s="44"/>
      <c r="H248" s="44"/>
      <c r="I248" s="44"/>
      <c r="J248" s="44"/>
      <c r="K248" s="44"/>
      <c r="L248" s="49"/>
      <c r="M248" s="48"/>
      <c r="N248" s="48"/>
      <c r="O248" s="48"/>
      <c r="P248" s="48"/>
      <c r="Q248" s="48"/>
      <c r="R248" s="48"/>
      <c r="S248" s="49"/>
      <c r="T248" s="48"/>
      <c r="U248" s="48"/>
      <c r="V248" s="14">
        <f t="shared" si="27"/>
        <v>0</v>
      </c>
      <c r="W248" s="14">
        <f t="shared" si="28"/>
        <v>0</v>
      </c>
      <c r="X248" s="14">
        <f>IF(AND(V248=1,OR(Painel!$C$6="Todos",D248=Painel!$C$6),AND(OR(Painel!$L$6="Todas",E248=Painel!$L$6),OR(Painel!$C$8="Todos",F248=Painel!$C$8),OR(Painel!$L$8="Todos",G248=Painel!$L$8),OR(Painel!$C$10="",ISNUMBER(SEARCH(SUBSTITUTE(SUBSTITUTE(SUBSTITUTE(Painel!$C$10,"~","~~"),"*","~*"),"?","~?"),A248&amp;" "&amp;H248&amp;" "&amp;I248))))),1,0)</f>
        <v>0</v>
      </c>
      <c r="Y248" s="14">
        <f t="shared" si="29"/>
        <v>0</v>
      </c>
      <c r="Z248" s="15" t="str">
        <f>IF(V248=0,"",IF(COUNTIFS(Andamentos!$K$10:$K$2009,"="&amp;SUBSTITUTE(SUBSTITUTE(SUBSTITUTE("P:"&amp;A248,"~","~~"),"*","~*"),"?","~?"),Andamentos!$G$10:$G$2009,1)=0,"",_xlfn.AGGREGATE(14,6,Andamentos!$D$10:$D$2009/((Andamentos!$K$10:$K$2009=AS248)*(Andamentos!$G$10:$G$2009=1)),1)))</f>
        <v/>
      </c>
      <c r="AA248" s="14">
        <f>IF(Z248="",0,COUNTIFS(Andamentos!$K$10:$K$2009,"="&amp;SUBSTITUTE(SUBSTITUTE(SUBSTITUTE("P:"&amp;A248,"~","~~"),"*","~*"),"?","~?"),Andamentos!$D$10:$D$2009,Z248,Andamentos!$G$10:$G$2009,1))</f>
        <v>0</v>
      </c>
      <c r="AB248" s="14">
        <f>IF(AA248=1,SUMIFS(Andamentos!$L$10:$L$2009,Andamentos!$K$10:$K$2009,"="&amp;SUBSTITUTE(SUBSTITUTE(SUBSTITUTE(AS248,"~","~~"),"*","~*"),"?","~?"),Andamentos!$D$10:$D$2009,Z248,Andamentos!$G$10:$G$2009,1)-9,0)</f>
        <v>0</v>
      </c>
      <c r="AC248" s="14" t="str">
        <f>IF(V248=0,"",IF(AA248&gt;1,"Conferir recebimentos empatados",IF(AB248=0,"Sem atualização",INDEX(Andamentos!$C$10:$C$2009,AB248))))</f>
        <v/>
      </c>
      <c r="AD248" s="14">
        <f>IF(W248=0,0,IF(MAX(Z248,BD248)=0,1,IF(Configurar!$J$12-INT(MAX(Z248,BD248))&gt;Configurar!$J$11,1,0)))</f>
        <v>0</v>
      </c>
      <c r="AE248" s="16"/>
      <c r="AF248" s="14"/>
      <c r="AG248" s="14"/>
      <c r="AH248" s="14">
        <f>IF(AND(V248=1,COUNTIFS(Valores!$S$10:$S$509,"="&amp;SUBSTITUTE(SUBSTITUTE(SUBSTITUTE("P:"&amp;A248,"~","~~"),"*","~*"),"?","~?"))=1),(IF(ISNA(MATCH(SUBSTITUTE(SUBSTITUTE(SUBSTITUTE("P:"&amp;A248,"~","~~"),"*","~*"),"?","~?"),Valores!$S$10:$S$509,0)),9,INDEX(Valores!$R$10:$R$509,MATCH(SUBSTITUTE(SUBSTITUTE(SUBSTITUTE("P:"&amp;A248,"~","~~"),"*","~*"),"?","~?"),Valores!$S$10:$S$509,0)))-9),0)</f>
        <v>0</v>
      </c>
      <c r="AI248" s="40" t="str">
        <f t="shared" si="30"/>
        <v/>
      </c>
      <c r="AJ248" s="14" t="str">
        <f>IF(AND(X248=1,Y248=1),COUNTIFS($X$10:X248,1,$Y$10:Y248,1),"")</f>
        <v/>
      </c>
      <c r="AK248" s="14" t="str">
        <f>IF(X248=1,COUNTIFS($X$10:X248,1),"")</f>
        <v/>
      </c>
      <c r="AL248" s="14">
        <f>IF(AND(V248=1,AND(OR(Painel!$L$6="Todas",E248=Painel!$L$6),OR(Painel!$C$8="Todos",F248=Painel!$C$8),OR(Painel!$L$8="Todos",G248=Painel!$L$8),OR(Painel!$C$10="",ISNUMBER(SEARCH(SUBSTITUTE(SUBSTITUTE(SUBSTITUTE(Painel!$C$10,"~","~~"),"*","~*"),"?","~?"),A248&amp;" "&amp;H248&amp;" "&amp;I248))))),1,0)</f>
        <v>0</v>
      </c>
      <c r="AM248" s="14">
        <f t="shared" si="31"/>
        <v>0</v>
      </c>
      <c r="AN248" s="14"/>
      <c r="AO248" s="14"/>
      <c r="AP248" s="16" t="str">
        <f>IF(AB248=0,"",IF(INDEX(Andamentos!$B$10:$B$2009,AB248)="","",INDEX(Andamentos!$B$10:$B$2009,AB248)))</f>
        <v/>
      </c>
      <c r="AQ248" s="17" t="str">
        <f>IF(AH248=0,"",IF(INDEX(Valores!$B$10:$B$509,AH248)="","",IF(ISNUMBER(INDEX(Valores!$B$10:$B$509,AH248)),INDEX(Valores!$B$10:$B$509,AH248),"")))</f>
        <v/>
      </c>
      <c r="AR248" s="14" t="str">
        <f t="shared" si="32"/>
        <v/>
      </c>
      <c r="AS248" s="14" t="str">
        <f t="shared" si="33"/>
        <v/>
      </c>
      <c r="AT248" s="27"/>
      <c r="AU248" s="31"/>
      <c r="AV248" s="31"/>
      <c r="AW248" s="27"/>
      <c r="AX248" s="27"/>
      <c r="AY248" s="27"/>
      <c r="AZ248" s="27"/>
      <c r="BA248" s="30" t="str">
        <f t="shared" si="34"/>
        <v/>
      </c>
      <c r="BB248" s="30" t="str">
        <f t="shared" si="35"/>
        <v/>
      </c>
      <c r="BC248" s="30">
        <f>IF(X248=0,0,IF(COUNTIFS($X$10:X248,1,$BA$10:BA248,BA248)=1,1,0))</f>
        <v>0</v>
      </c>
      <c r="BD248" s="29"/>
    </row>
    <row r="249" spans="1:56" ht="42" customHeight="1">
      <c r="A249" s="41"/>
      <c r="B249" s="44"/>
      <c r="C249" s="44"/>
      <c r="D249" s="44"/>
      <c r="E249" s="44"/>
      <c r="F249" s="44"/>
      <c r="G249" s="44"/>
      <c r="H249" s="44"/>
      <c r="I249" s="44"/>
      <c r="J249" s="44"/>
      <c r="K249" s="44"/>
      <c r="L249" s="49"/>
      <c r="M249" s="48"/>
      <c r="N249" s="48"/>
      <c r="O249" s="48"/>
      <c r="P249" s="48"/>
      <c r="Q249" s="48"/>
      <c r="R249" s="48"/>
      <c r="S249" s="49"/>
      <c r="T249" s="48"/>
      <c r="U249" s="48"/>
      <c r="V249" s="14">
        <f t="shared" si="27"/>
        <v>0</v>
      </c>
      <c r="W249" s="14">
        <f t="shared" si="28"/>
        <v>0</v>
      </c>
      <c r="X249" s="14">
        <f>IF(AND(V249=1,OR(Painel!$C$6="Todos",D249=Painel!$C$6),AND(OR(Painel!$L$6="Todas",E249=Painel!$L$6),OR(Painel!$C$8="Todos",F249=Painel!$C$8),OR(Painel!$L$8="Todos",G249=Painel!$L$8),OR(Painel!$C$10="",ISNUMBER(SEARCH(SUBSTITUTE(SUBSTITUTE(SUBSTITUTE(Painel!$C$10,"~","~~"),"*","~*"),"?","~?"),A249&amp;" "&amp;H249&amp;" "&amp;I249))))),1,0)</f>
        <v>0</v>
      </c>
      <c r="Y249" s="14">
        <f t="shared" si="29"/>
        <v>0</v>
      </c>
      <c r="Z249" s="15" t="str">
        <f>IF(V249=0,"",IF(COUNTIFS(Andamentos!$K$10:$K$2009,"="&amp;SUBSTITUTE(SUBSTITUTE(SUBSTITUTE("P:"&amp;A249,"~","~~"),"*","~*"),"?","~?"),Andamentos!$G$10:$G$2009,1)=0,"",_xlfn.AGGREGATE(14,6,Andamentos!$D$10:$D$2009/((Andamentos!$K$10:$K$2009=AS249)*(Andamentos!$G$10:$G$2009=1)),1)))</f>
        <v/>
      </c>
      <c r="AA249" s="14">
        <f>IF(Z249="",0,COUNTIFS(Andamentos!$K$10:$K$2009,"="&amp;SUBSTITUTE(SUBSTITUTE(SUBSTITUTE("P:"&amp;A249,"~","~~"),"*","~*"),"?","~?"),Andamentos!$D$10:$D$2009,Z249,Andamentos!$G$10:$G$2009,1))</f>
        <v>0</v>
      </c>
      <c r="AB249" s="14">
        <f>IF(AA249=1,SUMIFS(Andamentos!$L$10:$L$2009,Andamentos!$K$10:$K$2009,"="&amp;SUBSTITUTE(SUBSTITUTE(SUBSTITUTE(AS249,"~","~~"),"*","~*"),"?","~?"),Andamentos!$D$10:$D$2009,Z249,Andamentos!$G$10:$G$2009,1)-9,0)</f>
        <v>0</v>
      </c>
      <c r="AC249" s="14" t="str">
        <f>IF(V249=0,"",IF(AA249&gt;1,"Conferir recebimentos empatados",IF(AB249=0,"Sem atualização",INDEX(Andamentos!$C$10:$C$2009,AB249))))</f>
        <v/>
      </c>
      <c r="AD249" s="14">
        <f>IF(W249=0,0,IF(MAX(Z249,BD249)=0,1,IF(Configurar!$J$12-INT(MAX(Z249,BD249))&gt;Configurar!$J$11,1,0)))</f>
        <v>0</v>
      </c>
      <c r="AE249" s="16"/>
      <c r="AF249" s="14"/>
      <c r="AG249" s="14"/>
      <c r="AH249" s="14">
        <f>IF(AND(V249=1,COUNTIFS(Valores!$S$10:$S$509,"="&amp;SUBSTITUTE(SUBSTITUTE(SUBSTITUTE("P:"&amp;A249,"~","~~"),"*","~*"),"?","~?"))=1),(IF(ISNA(MATCH(SUBSTITUTE(SUBSTITUTE(SUBSTITUTE("P:"&amp;A249,"~","~~"),"*","~*"),"?","~?"),Valores!$S$10:$S$509,0)),9,INDEX(Valores!$R$10:$R$509,MATCH(SUBSTITUTE(SUBSTITUTE(SUBSTITUTE("P:"&amp;A249,"~","~~"),"*","~*"),"?","~?"),Valores!$S$10:$S$509,0)))-9),0)</f>
        <v>0</v>
      </c>
      <c r="AI249" s="40" t="str">
        <f t="shared" si="30"/>
        <v/>
      </c>
      <c r="AJ249" s="14" t="str">
        <f>IF(AND(X249=1,Y249=1),COUNTIFS($X$10:X249,1,$Y$10:Y249,1),"")</f>
        <v/>
      </c>
      <c r="AK249" s="14" t="str">
        <f>IF(X249=1,COUNTIFS($X$10:X249,1),"")</f>
        <v/>
      </c>
      <c r="AL249" s="14">
        <f>IF(AND(V249=1,AND(OR(Painel!$L$6="Todas",E249=Painel!$L$6),OR(Painel!$C$8="Todos",F249=Painel!$C$8),OR(Painel!$L$8="Todos",G249=Painel!$L$8),OR(Painel!$C$10="",ISNUMBER(SEARCH(SUBSTITUTE(SUBSTITUTE(SUBSTITUTE(Painel!$C$10,"~","~~"),"*","~*"),"?","~?"),A249&amp;" "&amp;H249&amp;" "&amp;I249))))),1,0)</f>
        <v>0</v>
      </c>
      <c r="AM249" s="14">
        <f t="shared" si="31"/>
        <v>0</v>
      </c>
      <c r="AN249" s="14"/>
      <c r="AO249" s="14"/>
      <c r="AP249" s="16" t="str">
        <f>IF(AB249=0,"",IF(INDEX(Andamentos!$B$10:$B$2009,AB249)="","",INDEX(Andamentos!$B$10:$B$2009,AB249)))</f>
        <v/>
      </c>
      <c r="AQ249" s="17" t="str">
        <f>IF(AH249=0,"",IF(INDEX(Valores!$B$10:$B$509,AH249)="","",IF(ISNUMBER(INDEX(Valores!$B$10:$B$509,AH249)),INDEX(Valores!$B$10:$B$509,AH249),"")))</f>
        <v/>
      </c>
      <c r="AR249" s="14" t="str">
        <f t="shared" si="32"/>
        <v/>
      </c>
      <c r="AS249" s="14" t="str">
        <f t="shared" si="33"/>
        <v/>
      </c>
      <c r="AT249" s="27"/>
      <c r="AU249" s="31"/>
      <c r="AV249" s="31"/>
      <c r="AW249" s="27"/>
      <c r="AX249" s="27"/>
      <c r="AY249" s="27"/>
      <c r="AZ249" s="27"/>
      <c r="BA249" s="30" t="str">
        <f t="shared" si="34"/>
        <v/>
      </c>
      <c r="BB249" s="30" t="str">
        <f t="shared" si="35"/>
        <v/>
      </c>
      <c r="BC249" s="30">
        <f>IF(X249=0,0,IF(COUNTIFS($X$10:X249,1,$BA$10:BA249,BA249)=1,1,0))</f>
        <v>0</v>
      </c>
      <c r="BD249" s="29"/>
    </row>
    <row r="250" spans="1:56" ht="42" customHeight="1">
      <c r="A250" s="41"/>
      <c r="B250" s="44"/>
      <c r="C250" s="44"/>
      <c r="D250" s="44"/>
      <c r="E250" s="44"/>
      <c r="F250" s="44"/>
      <c r="G250" s="44"/>
      <c r="H250" s="44"/>
      <c r="I250" s="44"/>
      <c r="J250" s="44"/>
      <c r="K250" s="44"/>
      <c r="L250" s="49"/>
      <c r="M250" s="48"/>
      <c r="N250" s="48"/>
      <c r="O250" s="48"/>
      <c r="P250" s="48"/>
      <c r="Q250" s="48"/>
      <c r="R250" s="48"/>
      <c r="S250" s="49"/>
      <c r="T250" s="48"/>
      <c r="U250" s="48"/>
      <c r="V250" s="14">
        <f t="shared" si="27"/>
        <v>0</v>
      </c>
      <c r="W250" s="14">
        <f t="shared" si="28"/>
        <v>0</v>
      </c>
      <c r="X250" s="14">
        <f>IF(AND(V250=1,OR(Painel!$C$6="Todos",D250=Painel!$C$6),AND(OR(Painel!$L$6="Todas",E250=Painel!$L$6),OR(Painel!$C$8="Todos",F250=Painel!$C$8),OR(Painel!$L$8="Todos",G250=Painel!$L$8),OR(Painel!$C$10="",ISNUMBER(SEARCH(SUBSTITUTE(SUBSTITUTE(SUBSTITUTE(Painel!$C$10,"~","~~"),"*","~*"),"?","~?"),A250&amp;" "&amp;H250&amp;" "&amp;I250))))),1,0)</f>
        <v>0</v>
      </c>
      <c r="Y250" s="14">
        <f t="shared" si="29"/>
        <v>0</v>
      </c>
      <c r="Z250" s="15" t="str">
        <f>IF(V250=0,"",IF(COUNTIFS(Andamentos!$K$10:$K$2009,"="&amp;SUBSTITUTE(SUBSTITUTE(SUBSTITUTE("P:"&amp;A250,"~","~~"),"*","~*"),"?","~?"),Andamentos!$G$10:$G$2009,1)=0,"",_xlfn.AGGREGATE(14,6,Andamentos!$D$10:$D$2009/((Andamentos!$K$10:$K$2009=AS250)*(Andamentos!$G$10:$G$2009=1)),1)))</f>
        <v/>
      </c>
      <c r="AA250" s="14">
        <f>IF(Z250="",0,COUNTIFS(Andamentos!$K$10:$K$2009,"="&amp;SUBSTITUTE(SUBSTITUTE(SUBSTITUTE("P:"&amp;A250,"~","~~"),"*","~*"),"?","~?"),Andamentos!$D$10:$D$2009,Z250,Andamentos!$G$10:$G$2009,1))</f>
        <v>0</v>
      </c>
      <c r="AB250" s="14">
        <f>IF(AA250=1,SUMIFS(Andamentos!$L$10:$L$2009,Andamentos!$K$10:$K$2009,"="&amp;SUBSTITUTE(SUBSTITUTE(SUBSTITUTE(AS250,"~","~~"),"*","~*"),"?","~?"),Andamentos!$D$10:$D$2009,Z250,Andamentos!$G$10:$G$2009,1)-9,0)</f>
        <v>0</v>
      </c>
      <c r="AC250" s="14" t="str">
        <f>IF(V250=0,"",IF(AA250&gt;1,"Conferir recebimentos empatados",IF(AB250=0,"Sem atualização",INDEX(Andamentos!$C$10:$C$2009,AB250))))</f>
        <v/>
      </c>
      <c r="AD250" s="14">
        <f>IF(W250=0,0,IF(MAX(Z250,BD250)=0,1,IF(Configurar!$J$12-INT(MAX(Z250,BD250))&gt;Configurar!$J$11,1,0)))</f>
        <v>0</v>
      </c>
      <c r="AE250" s="16"/>
      <c r="AF250" s="14"/>
      <c r="AG250" s="14"/>
      <c r="AH250" s="14">
        <f>IF(AND(V250=1,COUNTIFS(Valores!$S$10:$S$509,"="&amp;SUBSTITUTE(SUBSTITUTE(SUBSTITUTE("P:"&amp;A250,"~","~~"),"*","~*"),"?","~?"))=1),(IF(ISNA(MATCH(SUBSTITUTE(SUBSTITUTE(SUBSTITUTE("P:"&amp;A250,"~","~~"),"*","~*"),"?","~?"),Valores!$S$10:$S$509,0)),9,INDEX(Valores!$R$10:$R$509,MATCH(SUBSTITUTE(SUBSTITUTE(SUBSTITUTE("P:"&amp;A250,"~","~~"),"*","~*"),"?","~?"),Valores!$S$10:$S$509,0)))-9),0)</f>
        <v>0</v>
      </c>
      <c r="AI250" s="40" t="str">
        <f t="shared" si="30"/>
        <v/>
      </c>
      <c r="AJ250" s="14" t="str">
        <f>IF(AND(X250=1,Y250=1),COUNTIFS($X$10:X250,1,$Y$10:Y250,1),"")</f>
        <v/>
      </c>
      <c r="AK250" s="14" t="str">
        <f>IF(X250=1,COUNTIFS($X$10:X250,1),"")</f>
        <v/>
      </c>
      <c r="AL250" s="14">
        <f>IF(AND(V250=1,AND(OR(Painel!$L$6="Todas",E250=Painel!$L$6),OR(Painel!$C$8="Todos",F250=Painel!$C$8),OR(Painel!$L$8="Todos",G250=Painel!$L$8),OR(Painel!$C$10="",ISNUMBER(SEARCH(SUBSTITUTE(SUBSTITUTE(SUBSTITUTE(Painel!$C$10,"~","~~"),"*","~*"),"?","~?"),A250&amp;" "&amp;H250&amp;" "&amp;I250))))),1,0)</f>
        <v>0</v>
      </c>
      <c r="AM250" s="14">
        <f t="shared" si="31"/>
        <v>0</v>
      </c>
      <c r="AN250" s="14"/>
      <c r="AO250" s="14"/>
      <c r="AP250" s="16" t="str">
        <f>IF(AB250=0,"",IF(INDEX(Andamentos!$B$10:$B$2009,AB250)="","",INDEX(Andamentos!$B$10:$B$2009,AB250)))</f>
        <v/>
      </c>
      <c r="AQ250" s="17" t="str">
        <f>IF(AH250=0,"",IF(INDEX(Valores!$B$10:$B$509,AH250)="","",IF(ISNUMBER(INDEX(Valores!$B$10:$B$509,AH250)),INDEX(Valores!$B$10:$B$509,AH250),"")))</f>
        <v/>
      </c>
      <c r="AR250" s="14" t="str">
        <f t="shared" si="32"/>
        <v/>
      </c>
      <c r="AS250" s="14" t="str">
        <f t="shared" si="33"/>
        <v/>
      </c>
      <c r="AT250" s="27"/>
      <c r="AU250" s="31"/>
      <c r="AV250" s="31"/>
      <c r="AW250" s="27"/>
      <c r="AX250" s="27"/>
      <c r="AY250" s="27"/>
      <c r="AZ250" s="27"/>
      <c r="BA250" s="30" t="str">
        <f t="shared" si="34"/>
        <v/>
      </c>
      <c r="BB250" s="30" t="str">
        <f t="shared" si="35"/>
        <v/>
      </c>
      <c r="BC250" s="30">
        <f>IF(X250=0,0,IF(COUNTIFS($X$10:X250,1,$BA$10:BA250,BA250)=1,1,0))</f>
        <v>0</v>
      </c>
      <c r="BD250" s="29"/>
    </row>
    <row r="251" spans="1:56" ht="42" customHeight="1">
      <c r="A251" s="41"/>
      <c r="B251" s="44"/>
      <c r="C251" s="44"/>
      <c r="D251" s="44"/>
      <c r="E251" s="44"/>
      <c r="F251" s="44"/>
      <c r="G251" s="44"/>
      <c r="H251" s="44"/>
      <c r="I251" s="44"/>
      <c r="J251" s="44"/>
      <c r="K251" s="44"/>
      <c r="L251" s="49"/>
      <c r="M251" s="48"/>
      <c r="N251" s="48"/>
      <c r="O251" s="48"/>
      <c r="P251" s="48"/>
      <c r="Q251" s="48"/>
      <c r="R251" s="48"/>
      <c r="S251" s="49"/>
      <c r="T251" s="48"/>
      <c r="U251" s="48"/>
      <c r="V251" s="14">
        <f t="shared" si="27"/>
        <v>0</v>
      </c>
      <c r="W251" s="14">
        <f t="shared" si="28"/>
        <v>0</v>
      </c>
      <c r="X251" s="14">
        <f>IF(AND(V251=1,OR(Painel!$C$6="Todos",D251=Painel!$C$6),AND(OR(Painel!$L$6="Todas",E251=Painel!$L$6),OR(Painel!$C$8="Todos",F251=Painel!$C$8),OR(Painel!$L$8="Todos",G251=Painel!$L$8),OR(Painel!$C$10="",ISNUMBER(SEARCH(SUBSTITUTE(SUBSTITUTE(SUBSTITUTE(Painel!$C$10,"~","~~"),"*","~*"),"?","~?"),A251&amp;" "&amp;H251&amp;" "&amp;I251))))),1,0)</f>
        <v>0</v>
      </c>
      <c r="Y251" s="14">
        <f t="shared" si="29"/>
        <v>0</v>
      </c>
      <c r="Z251" s="15" t="str">
        <f>IF(V251=0,"",IF(COUNTIFS(Andamentos!$K$10:$K$2009,"="&amp;SUBSTITUTE(SUBSTITUTE(SUBSTITUTE("P:"&amp;A251,"~","~~"),"*","~*"),"?","~?"),Andamentos!$G$10:$G$2009,1)=0,"",_xlfn.AGGREGATE(14,6,Andamentos!$D$10:$D$2009/((Andamentos!$K$10:$K$2009=AS251)*(Andamentos!$G$10:$G$2009=1)),1)))</f>
        <v/>
      </c>
      <c r="AA251" s="14">
        <f>IF(Z251="",0,COUNTIFS(Andamentos!$K$10:$K$2009,"="&amp;SUBSTITUTE(SUBSTITUTE(SUBSTITUTE("P:"&amp;A251,"~","~~"),"*","~*"),"?","~?"),Andamentos!$D$10:$D$2009,Z251,Andamentos!$G$10:$G$2009,1))</f>
        <v>0</v>
      </c>
      <c r="AB251" s="14">
        <f>IF(AA251=1,SUMIFS(Andamentos!$L$10:$L$2009,Andamentos!$K$10:$K$2009,"="&amp;SUBSTITUTE(SUBSTITUTE(SUBSTITUTE(AS251,"~","~~"),"*","~*"),"?","~?"),Andamentos!$D$10:$D$2009,Z251,Andamentos!$G$10:$G$2009,1)-9,0)</f>
        <v>0</v>
      </c>
      <c r="AC251" s="14" t="str">
        <f>IF(V251=0,"",IF(AA251&gt;1,"Conferir recebimentos empatados",IF(AB251=0,"Sem atualização",INDEX(Andamentos!$C$10:$C$2009,AB251))))</f>
        <v/>
      </c>
      <c r="AD251" s="14">
        <f>IF(W251=0,0,IF(MAX(Z251,BD251)=0,1,IF(Configurar!$J$12-INT(MAX(Z251,BD251))&gt;Configurar!$J$11,1,0)))</f>
        <v>0</v>
      </c>
      <c r="AE251" s="16"/>
      <c r="AF251" s="14"/>
      <c r="AG251" s="14"/>
      <c r="AH251" s="14">
        <f>IF(AND(V251=1,COUNTIFS(Valores!$S$10:$S$509,"="&amp;SUBSTITUTE(SUBSTITUTE(SUBSTITUTE("P:"&amp;A251,"~","~~"),"*","~*"),"?","~?"))=1),(IF(ISNA(MATCH(SUBSTITUTE(SUBSTITUTE(SUBSTITUTE("P:"&amp;A251,"~","~~"),"*","~*"),"?","~?"),Valores!$S$10:$S$509,0)),9,INDEX(Valores!$R$10:$R$509,MATCH(SUBSTITUTE(SUBSTITUTE(SUBSTITUTE("P:"&amp;A251,"~","~~"),"*","~*"),"?","~?"),Valores!$S$10:$S$509,0)))-9),0)</f>
        <v>0</v>
      </c>
      <c r="AI251" s="40" t="str">
        <f t="shared" si="30"/>
        <v/>
      </c>
      <c r="AJ251" s="14" t="str">
        <f>IF(AND(X251=1,Y251=1),COUNTIFS($X$10:X251,1,$Y$10:Y251,1),"")</f>
        <v/>
      </c>
      <c r="AK251" s="14" t="str">
        <f>IF(X251=1,COUNTIFS($X$10:X251,1),"")</f>
        <v/>
      </c>
      <c r="AL251" s="14">
        <f>IF(AND(V251=1,AND(OR(Painel!$L$6="Todas",E251=Painel!$L$6),OR(Painel!$C$8="Todos",F251=Painel!$C$8),OR(Painel!$L$8="Todos",G251=Painel!$L$8),OR(Painel!$C$10="",ISNUMBER(SEARCH(SUBSTITUTE(SUBSTITUTE(SUBSTITUTE(Painel!$C$10,"~","~~"),"*","~*"),"?","~?"),A251&amp;" "&amp;H251&amp;" "&amp;I251))))),1,0)</f>
        <v>0</v>
      </c>
      <c r="AM251" s="14">
        <f t="shared" si="31"/>
        <v>0</v>
      </c>
      <c r="AN251" s="14"/>
      <c r="AO251" s="14"/>
      <c r="AP251" s="16" t="str">
        <f>IF(AB251=0,"",IF(INDEX(Andamentos!$B$10:$B$2009,AB251)="","",INDEX(Andamentos!$B$10:$B$2009,AB251)))</f>
        <v/>
      </c>
      <c r="AQ251" s="17" t="str">
        <f>IF(AH251=0,"",IF(INDEX(Valores!$B$10:$B$509,AH251)="","",IF(ISNUMBER(INDEX(Valores!$B$10:$B$509,AH251)),INDEX(Valores!$B$10:$B$509,AH251),"")))</f>
        <v/>
      </c>
      <c r="AR251" s="14" t="str">
        <f t="shared" si="32"/>
        <v/>
      </c>
      <c r="AS251" s="14" t="str">
        <f t="shared" si="33"/>
        <v/>
      </c>
      <c r="AT251" s="27"/>
      <c r="AU251" s="31"/>
      <c r="AV251" s="31"/>
      <c r="AW251" s="27"/>
      <c r="AX251" s="27"/>
      <c r="AY251" s="27"/>
      <c r="AZ251" s="27"/>
      <c r="BA251" s="30" t="str">
        <f t="shared" si="34"/>
        <v/>
      </c>
      <c r="BB251" s="30" t="str">
        <f t="shared" si="35"/>
        <v/>
      </c>
      <c r="BC251" s="30">
        <f>IF(X251=0,0,IF(COUNTIFS($X$10:X251,1,$BA$10:BA251,BA251)=1,1,0))</f>
        <v>0</v>
      </c>
      <c r="BD251" s="29"/>
    </row>
    <row r="252" spans="1:56" ht="42" customHeight="1">
      <c r="A252" s="41"/>
      <c r="B252" s="44"/>
      <c r="C252" s="44"/>
      <c r="D252" s="44"/>
      <c r="E252" s="44"/>
      <c r="F252" s="44"/>
      <c r="G252" s="44"/>
      <c r="H252" s="44"/>
      <c r="I252" s="44"/>
      <c r="J252" s="44"/>
      <c r="K252" s="44"/>
      <c r="L252" s="49"/>
      <c r="M252" s="48"/>
      <c r="N252" s="48"/>
      <c r="O252" s="48"/>
      <c r="P252" s="48"/>
      <c r="Q252" s="48"/>
      <c r="R252" s="48"/>
      <c r="S252" s="49"/>
      <c r="T252" s="48"/>
      <c r="U252" s="48"/>
      <c r="V252" s="14">
        <f t="shared" si="27"/>
        <v>0</v>
      </c>
      <c r="W252" s="14">
        <f t="shared" si="28"/>
        <v>0</v>
      </c>
      <c r="X252" s="14">
        <f>IF(AND(V252=1,OR(Painel!$C$6="Todos",D252=Painel!$C$6),AND(OR(Painel!$L$6="Todas",E252=Painel!$L$6),OR(Painel!$C$8="Todos",F252=Painel!$C$8),OR(Painel!$L$8="Todos",G252=Painel!$L$8),OR(Painel!$C$10="",ISNUMBER(SEARCH(SUBSTITUTE(SUBSTITUTE(SUBSTITUTE(Painel!$C$10,"~","~~"),"*","~*"),"?","~?"),A252&amp;" "&amp;H252&amp;" "&amp;I252))))),1,0)</f>
        <v>0</v>
      </c>
      <c r="Y252" s="14">
        <f t="shared" si="29"/>
        <v>0</v>
      </c>
      <c r="Z252" s="15" t="str">
        <f>IF(V252=0,"",IF(COUNTIFS(Andamentos!$K$10:$K$2009,"="&amp;SUBSTITUTE(SUBSTITUTE(SUBSTITUTE("P:"&amp;A252,"~","~~"),"*","~*"),"?","~?"),Andamentos!$G$10:$G$2009,1)=0,"",_xlfn.AGGREGATE(14,6,Andamentos!$D$10:$D$2009/((Andamentos!$K$10:$K$2009=AS252)*(Andamentos!$G$10:$G$2009=1)),1)))</f>
        <v/>
      </c>
      <c r="AA252" s="14">
        <f>IF(Z252="",0,COUNTIFS(Andamentos!$K$10:$K$2009,"="&amp;SUBSTITUTE(SUBSTITUTE(SUBSTITUTE("P:"&amp;A252,"~","~~"),"*","~*"),"?","~?"),Andamentos!$D$10:$D$2009,Z252,Andamentos!$G$10:$G$2009,1))</f>
        <v>0</v>
      </c>
      <c r="AB252" s="14">
        <f>IF(AA252=1,SUMIFS(Andamentos!$L$10:$L$2009,Andamentos!$K$10:$K$2009,"="&amp;SUBSTITUTE(SUBSTITUTE(SUBSTITUTE(AS252,"~","~~"),"*","~*"),"?","~?"),Andamentos!$D$10:$D$2009,Z252,Andamentos!$G$10:$G$2009,1)-9,0)</f>
        <v>0</v>
      </c>
      <c r="AC252" s="14" t="str">
        <f>IF(V252=0,"",IF(AA252&gt;1,"Conferir recebimentos empatados",IF(AB252=0,"Sem atualização",INDEX(Andamentos!$C$10:$C$2009,AB252))))</f>
        <v/>
      </c>
      <c r="AD252" s="14">
        <f>IF(W252=0,0,IF(MAX(Z252,BD252)=0,1,IF(Configurar!$J$12-INT(MAX(Z252,BD252))&gt;Configurar!$J$11,1,0)))</f>
        <v>0</v>
      </c>
      <c r="AE252" s="16"/>
      <c r="AF252" s="14"/>
      <c r="AG252" s="14"/>
      <c r="AH252" s="14">
        <f>IF(AND(V252=1,COUNTIFS(Valores!$S$10:$S$509,"="&amp;SUBSTITUTE(SUBSTITUTE(SUBSTITUTE("P:"&amp;A252,"~","~~"),"*","~*"),"?","~?"))=1),(IF(ISNA(MATCH(SUBSTITUTE(SUBSTITUTE(SUBSTITUTE("P:"&amp;A252,"~","~~"),"*","~*"),"?","~?"),Valores!$S$10:$S$509,0)),9,INDEX(Valores!$R$10:$R$509,MATCH(SUBSTITUTE(SUBSTITUTE(SUBSTITUTE("P:"&amp;A252,"~","~~"),"*","~*"),"?","~?"),Valores!$S$10:$S$509,0)))-9),0)</f>
        <v>0</v>
      </c>
      <c r="AI252" s="40" t="str">
        <f t="shared" si="30"/>
        <v/>
      </c>
      <c r="AJ252" s="14" t="str">
        <f>IF(AND(X252=1,Y252=1),COUNTIFS($X$10:X252,1,$Y$10:Y252,1),"")</f>
        <v/>
      </c>
      <c r="AK252" s="14" t="str">
        <f>IF(X252=1,COUNTIFS($X$10:X252,1),"")</f>
        <v/>
      </c>
      <c r="AL252" s="14">
        <f>IF(AND(V252=1,AND(OR(Painel!$L$6="Todas",E252=Painel!$L$6),OR(Painel!$C$8="Todos",F252=Painel!$C$8),OR(Painel!$L$8="Todos",G252=Painel!$L$8),OR(Painel!$C$10="",ISNUMBER(SEARCH(SUBSTITUTE(SUBSTITUTE(SUBSTITUTE(Painel!$C$10,"~","~~"),"*","~*"),"?","~?"),A252&amp;" "&amp;H252&amp;" "&amp;I252))))),1,0)</f>
        <v>0</v>
      </c>
      <c r="AM252" s="14">
        <f t="shared" si="31"/>
        <v>0</v>
      </c>
      <c r="AN252" s="14"/>
      <c r="AO252" s="14"/>
      <c r="AP252" s="16" t="str">
        <f>IF(AB252=0,"",IF(INDEX(Andamentos!$B$10:$B$2009,AB252)="","",INDEX(Andamentos!$B$10:$B$2009,AB252)))</f>
        <v/>
      </c>
      <c r="AQ252" s="17" t="str">
        <f>IF(AH252=0,"",IF(INDEX(Valores!$B$10:$B$509,AH252)="","",IF(ISNUMBER(INDEX(Valores!$B$10:$B$509,AH252)),INDEX(Valores!$B$10:$B$509,AH252),"")))</f>
        <v/>
      </c>
      <c r="AR252" s="14" t="str">
        <f t="shared" si="32"/>
        <v/>
      </c>
      <c r="AS252" s="14" t="str">
        <f t="shared" si="33"/>
        <v/>
      </c>
      <c r="AT252" s="27"/>
      <c r="AU252" s="31"/>
      <c r="AV252" s="31"/>
      <c r="AW252" s="27"/>
      <c r="AX252" s="27"/>
      <c r="AY252" s="27"/>
      <c r="AZ252" s="27"/>
      <c r="BA252" s="30" t="str">
        <f t="shared" si="34"/>
        <v/>
      </c>
      <c r="BB252" s="30" t="str">
        <f t="shared" si="35"/>
        <v/>
      </c>
      <c r="BC252" s="30">
        <f>IF(X252=0,0,IF(COUNTIFS($X$10:X252,1,$BA$10:BA252,BA252)=1,1,0))</f>
        <v>0</v>
      </c>
      <c r="BD252" s="29"/>
    </row>
    <row r="253" spans="1:56" ht="42" customHeight="1">
      <c r="A253" s="41"/>
      <c r="B253" s="44"/>
      <c r="C253" s="44"/>
      <c r="D253" s="44"/>
      <c r="E253" s="44"/>
      <c r="F253" s="44"/>
      <c r="G253" s="44"/>
      <c r="H253" s="44"/>
      <c r="I253" s="44"/>
      <c r="J253" s="44"/>
      <c r="K253" s="44"/>
      <c r="L253" s="49"/>
      <c r="M253" s="48"/>
      <c r="N253" s="48"/>
      <c r="O253" s="48"/>
      <c r="P253" s="48"/>
      <c r="Q253" s="48"/>
      <c r="R253" s="48"/>
      <c r="S253" s="49"/>
      <c r="T253" s="48"/>
      <c r="U253" s="48"/>
      <c r="V253" s="14">
        <f t="shared" si="27"/>
        <v>0</v>
      </c>
      <c r="W253" s="14">
        <f t="shared" si="28"/>
        <v>0</v>
      </c>
      <c r="X253" s="14">
        <f>IF(AND(V253=1,OR(Painel!$C$6="Todos",D253=Painel!$C$6),AND(OR(Painel!$L$6="Todas",E253=Painel!$L$6),OR(Painel!$C$8="Todos",F253=Painel!$C$8),OR(Painel!$L$8="Todos",G253=Painel!$L$8),OR(Painel!$C$10="",ISNUMBER(SEARCH(SUBSTITUTE(SUBSTITUTE(SUBSTITUTE(Painel!$C$10,"~","~~"),"*","~*"),"?","~?"),A253&amp;" "&amp;H253&amp;" "&amp;I253))))),1,0)</f>
        <v>0</v>
      </c>
      <c r="Y253" s="14">
        <f t="shared" si="29"/>
        <v>0</v>
      </c>
      <c r="Z253" s="15" t="str">
        <f>IF(V253=0,"",IF(COUNTIFS(Andamentos!$K$10:$K$2009,"="&amp;SUBSTITUTE(SUBSTITUTE(SUBSTITUTE("P:"&amp;A253,"~","~~"),"*","~*"),"?","~?"),Andamentos!$G$10:$G$2009,1)=0,"",_xlfn.AGGREGATE(14,6,Andamentos!$D$10:$D$2009/((Andamentos!$K$10:$K$2009=AS253)*(Andamentos!$G$10:$G$2009=1)),1)))</f>
        <v/>
      </c>
      <c r="AA253" s="14">
        <f>IF(Z253="",0,COUNTIFS(Andamentos!$K$10:$K$2009,"="&amp;SUBSTITUTE(SUBSTITUTE(SUBSTITUTE("P:"&amp;A253,"~","~~"),"*","~*"),"?","~?"),Andamentos!$D$10:$D$2009,Z253,Andamentos!$G$10:$G$2009,1))</f>
        <v>0</v>
      </c>
      <c r="AB253" s="14">
        <f>IF(AA253=1,SUMIFS(Andamentos!$L$10:$L$2009,Andamentos!$K$10:$K$2009,"="&amp;SUBSTITUTE(SUBSTITUTE(SUBSTITUTE(AS253,"~","~~"),"*","~*"),"?","~?"),Andamentos!$D$10:$D$2009,Z253,Andamentos!$G$10:$G$2009,1)-9,0)</f>
        <v>0</v>
      </c>
      <c r="AC253" s="14" t="str">
        <f>IF(V253=0,"",IF(AA253&gt;1,"Conferir recebimentos empatados",IF(AB253=0,"Sem atualização",INDEX(Andamentos!$C$10:$C$2009,AB253))))</f>
        <v/>
      </c>
      <c r="AD253" s="14">
        <f>IF(W253=0,0,IF(MAX(Z253,BD253)=0,1,IF(Configurar!$J$12-INT(MAX(Z253,BD253))&gt;Configurar!$J$11,1,0)))</f>
        <v>0</v>
      </c>
      <c r="AE253" s="16"/>
      <c r="AF253" s="14"/>
      <c r="AG253" s="14"/>
      <c r="AH253" s="14">
        <f>IF(AND(V253=1,COUNTIFS(Valores!$S$10:$S$509,"="&amp;SUBSTITUTE(SUBSTITUTE(SUBSTITUTE("P:"&amp;A253,"~","~~"),"*","~*"),"?","~?"))=1),(IF(ISNA(MATCH(SUBSTITUTE(SUBSTITUTE(SUBSTITUTE("P:"&amp;A253,"~","~~"),"*","~*"),"?","~?"),Valores!$S$10:$S$509,0)),9,INDEX(Valores!$R$10:$R$509,MATCH(SUBSTITUTE(SUBSTITUTE(SUBSTITUTE("P:"&amp;A253,"~","~~"),"*","~*"),"?","~?"),Valores!$S$10:$S$509,0)))-9),0)</f>
        <v>0</v>
      </c>
      <c r="AI253" s="40" t="str">
        <f t="shared" si="30"/>
        <v/>
      </c>
      <c r="AJ253" s="14" t="str">
        <f>IF(AND(X253=1,Y253=1),COUNTIFS($X$10:X253,1,$Y$10:Y253,1),"")</f>
        <v/>
      </c>
      <c r="AK253" s="14" t="str">
        <f>IF(X253=1,COUNTIFS($X$10:X253,1),"")</f>
        <v/>
      </c>
      <c r="AL253" s="14">
        <f>IF(AND(V253=1,AND(OR(Painel!$L$6="Todas",E253=Painel!$L$6),OR(Painel!$C$8="Todos",F253=Painel!$C$8),OR(Painel!$L$8="Todos",G253=Painel!$L$8),OR(Painel!$C$10="",ISNUMBER(SEARCH(SUBSTITUTE(SUBSTITUTE(SUBSTITUTE(Painel!$C$10,"~","~~"),"*","~*"),"?","~?"),A253&amp;" "&amp;H253&amp;" "&amp;I253))))),1,0)</f>
        <v>0</v>
      </c>
      <c r="AM253" s="14">
        <f t="shared" si="31"/>
        <v>0</v>
      </c>
      <c r="AN253" s="14"/>
      <c r="AO253" s="14"/>
      <c r="AP253" s="16" t="str">
        <f>IF(AB253=0,"",IF(INDEX(Andamentos!$B$10:$B$2009,AB253)="","",INDEX(Andamentos!$B$10:$B$2009,AB253)))</f>
        <v/>
      </c>
      <c r="AQ253" s="17" t="str">
        <f>IF(AH253=0,"",IF(INDEX(Valores!$B$10:$B$509,AH253)="","",IF(ISNUMBER(INDEX(Valores!$B$10:$B$509,AH253)),INDEX(Valores!$B$10:$B$509,AH253),"")))</f>
        <v/>
      </c>
      <c r="AR253" s="14" t="str">
        <f t="shared" si="32"/>
        <v/>
      </c>
      <c r="AS253" s="14" t="str">
        <f t="shared" si="33"/>
        <v/>
      </c>
      <c r="AT253" s="27"/>
      <c r="AU253" s="31"/>
      <c r="AV253" s="31"/>
      <c r="AW253" s="27"/>
      <c r="AX253" s="27"/>
      <c r="AY253" s="27"/>
      <c r="AZ253" s="27"/>
      <c r="BA253" s="30" t="str">
        <f t="shared" si="34"/>
        <v/>
      </c>
      <c r="BB253" s="30" t="str">
        <f t="shared" si="35"/>
        <v/>
      </c>
      <c r="BC253" s="30">
        <f>IF(X253=0,0,IF(COUNTIFS($X$10:X253,1,$BA$10:BA253,BA253)=1,1,0))</f>
        <v>0</v>
      </c>
      <c r="BD253" s="29"/>
    </row>
    <row r="254" spans="1:56" ht="42" customHeight="1">
      <c r="A254" s="41"/>
      <c r="B254" s="44"/>
      <c r="C254" s="44"/>
      <c r="D254" s="44"/>
      <c r="E254" s="44"/>
      <c r="F254" s="44"/>
      <c r="G254" s="44"/>
      <c r="H254" s="44"/>
      <c r="I254" s="44"/>
      <c r="J254" s="44"/>
      <c r="K254" s="44"/>
      <c r="L254" s="49"/>
      <c r="M254" s="48"/>
      <c r="N254" s="48"/>
      <c r="O254" s="48"/>
      <c r="P254" s="48"/>
      <c r="Q254" s="48"/>
      <c r="R254" s="48"/>
      <c r="S254" s="49"/>
      <c r="T254" s="48"/>
      <c r="U254" s="48"/>
      <c r="V254" s="14">
        <f t="shared" si="27"/>
        <v>0</v>
      </c>
      <c r="W254" s="14">
        <f t="shared" si="28"/>
        <v>0</v>
      </c>
      <c r="X254" s="14">
        <f>IF(AND(V254=1,OR(Painel!$C$6="Todos",D254=Painel!$C$6),AND(OR(Painel!$L$6="Todas",E254=Painel!$L$6),OR(Painel!$C$8="Todos",F254=Painel!$C$8),OR(Painel!$L$8="Todos",G254=Painel!$L$8),OR(Painel!$C$10="",ISNUMBER(SEARCH(SUBSTITUTE(SUBSTITUTE(SUBSTITUTE(Painel!$C$10,"~","~~"),"*","~*"),"?","~?"),A254&amp;" "&amp;H254&amp;" "&amp;I254))))),1,0)</f>
        <v>0</v>
      </c>
      <c r="Y254" s="14">
        <f t="shared" si="29"/>
        <v>0</v>
      </c>
      <c r="Z254" s="15" t="str">
        <f>IF(V254=0,"",IF(COUNTIFS(Andamentos!$K$10:$K$2009,"="&amp;SUBSTITUTE(SUBSTITUTE(SUBSTITUTE("P:"&amp;A254,"~","~~"),"*","~*"),"?","~?"),Andamentos!$G$10:$G$2009,1)=0,"",_xlfn.AGGREGATE(14,6,Andamentos!$D$10:$D$2009/((Andamentos!$K$10:$K$2009=AS254)*(Andamentos!$G$10:$G$2009=1)),1)))</f>
        <v/>
      </c>
      <c r="AA254" s="14">
        <f>IF(Z254="",0,COUNTIFS(Andamentos!$K$10:$K$2009,"="&amp;SUBSTITUTE(SUBSTITUTE(SUBSTITUTE("P:"&amp;A254,"~","~~"),"*","~*"),"?","~?"),Andamentos!$D$10:$D$2009,Z254,Andamentos!$G$10:$G$2009,1))</f>
        <v>0</v>
      </c>
      <c r="AB254" s="14">
        <f>IF(AA254=1,SUMIFS(Andamentos!$L$10:$L$2009,Andamentos!$K$10:$K$2009,"="&amp;SUBSTITUTE(SUBSTITUTE(SUBSTITUTE(AS254,"~","~~"),"*","~*"),"?","~?"),Andamentos!$D$10:$D$2009,Z254,Andamentos!$G$10:$G$2009,1)-9,0)</f>
        <v>0</v>
      </c>
      <c r="AC254" s="14" t="str">
        <f>IF(V254=0,"",IF(AA254&gt;1,"Conferir recebimentos empatados",IF(AB254=0,"Sem atualização",INDEX(Andamentos!$C$10:$C$2009,AB254))))</f>
        <v/>
      </c>
      <c r="AD254" s="14">
        <f>IF(W254=0,0,IF(MAX(Z254,BD254)=0,1,IF(Configurar!$J$12-INT(MAX(Z254,BD254))&gt;Configurar!$J$11,1,0)))</f>
        <v>0</v>
      </c>
      <c r="AE254" s="16"/>
      <c r="AF254" s="14"/>
      <c r="AG254" s="14"/>
      <c r="AH254" s="14">
        <f>IF(AND(V254=1,COUNTIFS(Valores!$S$10:$S$509,"="&amp;SUBSTITUTE(SUBSTITUTE(SUBSTITUTE("P:"&amp;A254,"~","~~"),"*","~*"),"?","~?"))=1),(IF(ISNA(MATCH(SUBSTITUTE(SUBSTITUTE(SUBSTITUTE("P:"&amp;A254,"~","~~"),"*","~*"),"?","~?"),Valores!$S$10:$S$509,0)),9,INDEX(Valores!$R$10:$R$509,MATCH(SUBSTITUTE(SUBSTITUTE(SUBSTITUTE("P:"&amp;A254,"~","~~"),"*","~*"),"?","~?"),Valores!$S$10:$S$509,0)))-9),0)</f>
        <v>0</v>
      </c>
      <c r="AI254" s="40" t="str">
        <f t="shared" si="30"/>
        <v/>
      </c>
      <c r="AJ254" s="14" t="str">
        <f>IF(AND(X254=1,Y254=1),COUNTIFS($X$10:X254,1,$Y$10:Y254,1),"")</f>
        <v/>
      </c>
      <c r="AK254" s="14" t="str">
        <f>IF(X254=1,COUNTIFS($X$10:X254,1),"")</f>
        <v/>
      </c>
      <c r="AL254" s="14">
        <f>IF(AND(V254=1,AND(OR(Painel!$L$6="Todas",E254=Painel!$L$6),OR(Painel!$C$8="Todos",F254=Painel!$C$8),OR(Painel!$L$8="Todos",G254=Painel!$L$8),OR(Painel!$C$10="",ISNUMBER(SEARCH(SUBSTITUTE(SUBSTITUTE(SUBSTITUTE(Painel!$C$10,"~","~~"),"*","~*"),"?","~?"),A254&amp;" "&amp;H254&amp;" "&amp;I254))))),1,0)</f>
        <v>0</v>
      </c>
      <c r="AM254" s="14">
        <f t="shared" si="31"/>
        <v>0</v>
      </c>
      <c r="AN254" s="14"/>
      <c r="AO254" s="14"/>
      <c r="AP254" s="16" t="str">
        <f>IF(AB254=0,"",IF(INDEX(Andamentos!$B$10:$B$2009,AB254)="","",INDEX(Andamentos!$B$10:$B$2009,AB254)))</f>
        <v/>
      </c>
      <c r="AQ254" s="17" t="str">
        <f>IF(AH254=0,"",IF(INDEX(Valores!$B$10:$B$509,AH254)="","",IF(ISNUMBER(INDEX(Valores!$B$10:$B$509,AH254)),INDEX(Valores!$B$10:$B$509,AH254),"")))</f>
        <v/>
      </c>
      <c r="AR254" s="14" t="str">
        <f t="shared" si="32"/>
        <v/>
      </c>
      <c r="AS254" s="14" t="str">
        <f t="shared" si="33"/>
        <v/>
      </c>
      <c r="AT254" s="27"/>
      <c r="AU254" s="31"/>
      <c r="AV254" s="31"/>
      <c r="AW254" s="27"/>
      <c r="AX254" s="27"/>
      <c r="AY254" s="27"/>
      <c r="AZ254" s="27"/>
      <c r="BA254" s="30" t="str">
        <f t="shared" si="34"/>
        <v/>
      </c>
      <c r="BB254" s="30" t="str">
        <f t="shared" si="35"/>
        <v/>
      </c>
      <c r="BC254" s="30">
        <f>IF(X254=0,0,IF(COUNTIFS($X$10:X254,1,$BA$10:BA254,BA254)=1,1,0))</f>
        <v>0</v>
      </c>
      <c r="BD254" s="29"/>
    </row>
    <row r="255" spans="1:56" ht="42" customHeight="1">
      <c r="A255" s="41"/>
      <c r="B255" s="44"/>
      <c r="C255" s="44"/>
      <c r="D255" s="44"/>
      <c r="E255" s="44"/>
      <c r="F255" s="44"/>
      <c r="G255" s="44"/>
      <c r="H255" s="44"/>
      <c r="I255" s="44"/>
      <c r="J255" s="44"/>
      <c r="K255" s="44"/>
      <c r="L255" s="49"/>
      <c r="M255" s="48"/>
      <c r="N255" s="48"/>
      <c r="O255" s="48"/>
      <c r="P255" s="48"/>
      <c r="Q255" s="48"/>
      <c r="R255" s="48"/>
      <c r="S255" s="49"/>
      <c r="T255" s="48"/>
      <c r="U255" s="48"/>
      <c r="V255" s="14">
        <f t="shared" si="27"/>
        <v>0</v>
      </c>
      <c r="W255" s="14">
        <f t="shared" si="28"/>
        <v>0</v>
      </c>
      <c r="X255" s="14">
        <f>IF(AND(V255=1,OR(Painel!$C$6="Todos",D255=Painel!$C$6),AND(OR(Painel!$L$6="Todas",E255=Painel!$L$6),OR(Painel!$C$8="Todos",F255=Painel!$C$8),OR(Painel!$L$8="Todos",G255=Painel!$L$8),OR(Painel!$C$10="",ISNUMBER(SEARCH(SUBSTITUTE(SUBSTITUTE(SUBSTITUTE(Painel!$C$10,"~","~~"),"*","~*"),"?","~?"),A255&amp;" "&amp;H255&amp;" "&amp;I255))))),1,0)</f>
        <v>0</v>
      </c>
      <c r="Y255" s="14">
        <f t="shared" si="29"/>
        <v>0</v>
      </c>
      <c r="Z255" s="15" t="str">
        <f>IF(V255=0,"",IF(COUNTIFS(Andamentos!$K$10:$K$2009,"="&amp;SUBSTITUTE(SUBSTITUTE(SUBSTITUTE("P:"&amp;A255,"~","~~"),"*","~*"),"?","~?"),Andamentos!$G$10:$G$2009,1)=0,"",_xlfn.AGGREGATE(14,6,Andamentos!$D$10:$D$2009/((Andamentos!$K$10:$K$2009=AS255)*(Andamentos!$G$10:$G$2009=1)),1)))</f>
        <v/>
      </c>
      <c r="AA255" s="14">
        <f>IF(Z255="",0,COUNTIFS(Andamentos!$K$10:$K$2009,"="&amp;SUBSTITUTE(SUBSTITUTE(SUBSTITUTE("P:"&amp;A255,"~","~~"),"*","~*"),"?","~?"),Andamentos!$D$10:$D$2009,Z255,Andamentos!$G$10:$G$2009,1))</f>
        <v>0</v>
      </c>
      <c r="AB255" s="14">
        <f>IF(AA255=1,SUMIFS(Andamentos!$L$10:$L$2009,Andamentos!$K$10:$K$2009,"="&amp;SUBSTITUTE(SUBSTITUTE(SUBSTITUTE(AS255,"~","~~"),"*","~*"),"?","~?"),Andamentos!$D$10:$D$2009,Z255,Andamentos!$G$10:$G$2009,1)-9,0)</f>
        <v>0</v>
      </c>
      <c r="AC255" s="14" t="str">
        <f>IF(V255=0,"",IF(AA255&gt;1,"Conferir recebimentos empatados",IF(AB255=0,"Sem atualização",INDEX(Andamentos!$C$10:$C$2009,AB255))))</f>
        <v/>
      </c>
      <c r="AD255" s="14">
        <f>IF(W255=0,0,IF(MAX(Z255,BD255)=0,1,IF(Configurar!$J$12-INT(MAX(Z255,BD255))&gt;Configurar!$J$11,1,0)))</f>
        <v>0</v>
      </c>
      <c r="AE255" s="16"/>
      <c r="AF255" s="14"/>
      <c r="AG255" s="14"/>
      <c r="AH255" s="14">
        <f>IF(AND(V255=1,COUNTIFS(Valores!$S$10:$S$509,"="&amp;SUBSTITUTE(SUBSTITUTE(SUBSTITUTE("P:"&amp;A255,"~","~~"),"*","~*"),"?","~?"))=1),(IF(ISNA(MATCH(SUBSTITUTE(SUBSTITUTE(SUBSTITUTE("P:"&amp;A255,"~","~~"),"*","~*"),"?","~?"),Valores!$S$10:$S$509,0)),9,INDEX(Valores!$R$10:$R$509,MATCH(SUBSTITUTE(SUBSTITUTE(SUBSTITUTE("P:"&amp;A255,"~","~~"),"*","~*"),"?","~?"),Valores!$S$10:$S$509,0)))-9),0)</f>
        <v>0</v>
      </c>
      <c r="AI255" s="40" t="str">
        <f t="shared" si="30"/>
        <v/>
      </c>
      <c r="AJ255" s="14" t="str">
        <f>IF(AND(X255=1,Y255=1),COUNTIFS($X$10:X255,1,$Y$10:Y255,1),"")</f>
        <v/>
      </c>
      <c r="AK255" s="14" t="str">
        <f>IF(X255=1,COUNTIFS($X$10:X255,1),"")</f>
        <v/>
      </c>
      <c r="AL255" s="14">
        <f>IF(AND(V255=1,AND(OR(Painel!$L$6="Todas",E255=Painel!$L$6),OR(Painel!$C$8="Todos",F255=Painel!$C$8),OR(Painel!$L$8="Todos",G255=Painel!$L$8),OR(Painel!$C$10="",ISNUMBER(SEARCH(SUBSTITUTE(SUBSTITUTE(SUBSTITUTE(Painel!$C$10,"~","~~"),"*","~*"),"?","~?"),A255&amp;" "&amp;H255&amp;" "&amp;I255))))),1,0)</f>
        <v>0</v>
      </c>
      <c r="AM255" s="14">
        <f t="shared" si="31"/>
        <v>0</v>
      </c>
      <c r="AN255" s="14"/>
      <c r="AO255" s="14"/>
      <c r="AP255" s="16" t="str">
        <f>IF(AB255=0,"",IF(INDEX(Andamentos!$B$10:$B$2009,AB255)="","",INDEX(Andamentos!$B$10:$B$2009,AB255)))</f>
        <v/>
      </c>
      <c r="AQ255" s="17" t="str">
        <f>IF(AH255=0,"",IF(INDEX(Valores!$B$10:$B$509,AH255)="","",IF(ISNUMBER(INDEX(Valores!$B$10:$B$509,AH255)),INDEX(Valores!$B$10:$B$509,AH255),"")))</f>
        <v/>
      </c>
      <c r="AR255" s="14" t="str">
        <f t="shared" si="32"/>
        <v/>
      </c>
      <c r="AS255" s="14" t="str">
        <f t="shared" si="33"/>
        <v/>
      </c>
      <c r="AT255" s="27"/>
      <c r="AU255" s="31"/>
      <c r="AV255" s="31"/>
      <c r="AW255" s="27"/>
      <c r="AX255" s="27"/>
      <c r="AY255" s="27"/>
      <c r="AZ255" s="27"/>
      <c r="BA255" s="30" t="str">
        <f t="shared" si="34"/>
        <v/>
      </c>
      <c r="BB255" s="30" t="str">
        <f t="shared" si="35"/>
        <v/>
      </c>
      <c r="BC255" s="30">
        <f>IF(X255=0,0,IF(COUNTIFS($X$10:X255,1,$BA$10:BA255,BA255)=1,1,0))</f>
        <v>0</v>
      </c>
      <c r="BD255" s="29"/>
    </row>
    <row r="256" spans="1:56" ht="42" customHeight="1">
      <c r="A256" s="41"/>
      <c r="B256" s="44"/>
      <c r="C256" s="44"/>
      <c r="D256" s="44"/>
      <c r="E256" s="44"/>
      <c r="F256" s="44"/>
      <c r="G256" s="44"/>
      <c r="H256" s="44"/>
      <c r="I256" s="44"/>
      <c r="J256" s="44"/>
      <c r="K256" s="44"/>
      <c r="L256" s="49"/>
      <c r="M256" s="48"/>
      <c r="N256" s="48"/>
      <c r="O256" s="48"/>
      <c r="P256" s="48"/>
      <c r="Q256" s="48"/>
      <c r="R256" s="48"/>
      <c r="S256" s="49"/>
      <c r="T256" s="48"/>
      <c r="U256" s="48"/>
      <c r="V256" s="14">
        <f t="shared" si="27"/>
        <v>0</v>
      </c>
      <c r="W256" s="14">
        <f t="shared" si="28"/>
        <v>0</v>
      </c>
      <c r="X256" s="14">
        <f>IF(AND(V256=1,OR(Painel!$C$6="Todos",D256=Painel!$C$6),AND(OR(Painel!$L$6="Todas",E256=Painel!$L$6),OR(Painel!$C$8="Todos",F256=Painel!$C$8),OR(Painel!$L$8="Todos",G256=Painel!$L$8),OR(Painel!$C$10="",ISNUMBER(SEARCH(SUBSTITUTE(SUBSTITUTE(SUBSTITUTE(Painel!$C$10,"~","~~"),"*","~*"),"?","~?"),A256&amp;" "&amp;H256&amp;" "&amp;I256))))),1,0)</f>
        <v>0</v>
      </c>
      <c r="Y256" s="14">
        <f t="shared" si="29"/>
        <v>0</v>
      </c>
      <c r="Z256" s="15" t="str">
        <f>IF(V256=0,"",IF(COUNTIFS(Andamentos!$K$10:$K$2009,"="&amp;SUBSTITUTE(SUBSTITUTE(SUBSTITUTE("P:"&amp;A256,"~","~~"),"*","~*"),"?","~?"),Andamentos!$G$10:$G$2009,1)=0,"",_xlfn.AGGREGATE(14,6,Andamentos!$D$10:$D$2009/((Andamentos!$K$10:$K$2009=AS256)*(Andamentos!$G$10:$G$2009=1)),1)))</f>
        <v/>
      </c>
      <c r="AA256" s="14">
        <f>IF(Z256="",0,COUNTIFS(Andamentos!$K$10:$K$2009,"="&amp;SUBSTITUTE(SUBSTITUTE(SUBSTITUTE("P:"&amp;A256,"~","~~"),"*","~*"),"?","~?"),Andamentos!$D$10:$D$2009,Z256,Andamentos!$G$10:$G$2009,1))</f>
        <v>0</v>
      </c>
      <c r="AB256" s="14">
        <f>IF(AA256=1,SUMIFS(Andamentos!$L$10:$L$2009,Andamentos!$K$10:$K$2009,"="&amp;SUBSTITUTE(SUBSTITUTE(SUBSTITUTE(AS256,"~","~~"),"*","~*"),"?","~?"),Andamentos!$D$10:$D$2009,Z256,Andamentos!$G$10:$G$2009,1)-9,0)</f>
        <v>0</v>
      </c>
      <c r="AC256" s="14" t="str">
        <f>IF(V256=0,"",IF(AA256&gt;1,"Conferir recebimentos empatados",IF(AB256=0,"Sem atualização",INDEX(Andamentos!$C$10:$C$2009,AB256))))</f>
        <v/>
      </c>
      <c r="AD256" s="14">
        <f>IF(W256=0,0,IF(MAX(Z256,BD256)=0,1,IF(Configurar!$J$12-INT(MAX(Z256,BD256))&gt;Configurar!$J$11,1,0)))</f>
        <v>0</v>
      </c>
      <c r="AE256" s="16"/>
      <c r="AF256" s="14"/>
      <c r="AG256" s="14"/>
      <c r="AH256" s="14">
        <f>IF(AND(V256=1,COUNTIFS(Valores!$S$10:$S$509,"="&amp;SUBSTITUTE(SUBSTITUTE(SUBSTITUTE("P:"&amp;A256,"~","~~"),"*","~*"),"?","~?"))=1),(IF(ISNA(MATCH(SUBSTITUTE(SUBSTITUTE(SUBSTITUTE("P:"&amp;A256,"~","~~"),"*","~*"),"?","~?"),Valores!$S$10:$S$509,0)),9,INDEX(Valores!$R$10:$R$509,MATCH(SUBSTITUTE(SUBSTITUTE(SUBSTITUTE("P:"&amp;A256,"~","~~"),"*","~*"),"?","~?"),Valores!$S$10:$S$509,0)))-9),0)</f>
        <v>0</v>
      </c>
      <c r="AI256" s="40" t="str">
        <f t="shared" si="30"/>
        <v/>
      </c>
      <c r="AJ256" s="14" t="str">
        <f>IF(AND(X256=1,Y256=1),COUNTIFS($X$10:X256,1,$Y$10:Y256,1),"")</f>
        <v/>
      </c>
      <c r="AK256" s="14" t="str">
        <f>IF(X256=1,COUNTIFS($X$10:X256,1),"")</f>
        <v/>
      </c>
      <c r="AL256" s="14">
        <f>IF(AND(V256=1,AND(OR(Painel!$L$6="Todas",E256=Painel!$L$6),OR(Painel!$C$8="Todos",F256=Painel!$C$8),OR(Painel!$L$8="Todos",G256=Painel!$L$8),OR(Painel!$C$10="",ISNUMBER(SEARCH(SUBSTITUTE(SUBSTITUTE(SUBSTITUTE(Painel!$C$10,"~","~~"),"*","~*"),"?","~?"),A256&amp;" "&amp;H256&amp;" "&amp;I256))))),1,0)</f>
        <v>0</v>
      </c>
      <c r="AM256" s="14">
        <f t="shared" si="31"/>
        <v>0</v>
      </c>
      <c r="AN256" s="14"/>
      <c r="AO256" s="14"/>
      <c r="AP256" s="16" t="str">
        <f>IF(AB256=0,"",IF(INDEX(Andamentos!$B$10:$B$2009,AB256)="","",INDEX(Andamentos!$B$10:$B$2009,AB256)))</f>
        <v/>
      </c>
      <c r="AQ256" s="17" t="str">
        <f>IF(AH256=0,"",IF(INDEX(Valores!$B$10:$B$509,AH256)="","",IF(ISNUMBER(INDEX(Valores!$B$10:$B$509,AH256)),INDEX(Valores!$B$10:$B$509,AH256),"")))</f>
        <v/>
      </c>
      <c r="AR256" s="14" t="str">
        <f t="shared" si="32"/>
        <v/>
      </c>
      <c r="AS256" s="14" t="str">
        <f t="shared" si="33"/>
        <v/>
      </c>
      <c r="AT256" s="27"/>
      <c r="AU256" s="31"/>
      <c r="AV256" s="31"/>
      <c r="AW256" s="27"/>
      <c r="AX256" s="27"/>
      <c r="AY256" s="27"/>
      <c r="AZ256" s="27"/>
      <c r="BA256" s="30" t="str">
        <f t="shared" si="34"/>
        <v/>
      </c>
      <c r="BB256" s="30" t="str">
        <f t="shared" si="35"/>
        <v/>
      </c>
      <c r="BC256" s="30">
        <f>IF(X256=0,0,IF(COUNTIFS($X$10:X256,1,$BA$10:BA256,BA256)=1,1,0))</f>
        <v>0</v>
      </c>
      <c r="BD256" s="29"/>
    </row>
    <row r="257" spans="1:56" ht="42" customHeight="1">
      <c r="A257" s="41"/>
      <c r="B257" s="44"/>
      <c r="C257" s="44"/>
      <c r="D257" s="44"/>
      <c r="E257" s="44"/>
      <c r="F257" s="44"/>
      <c r="G257" s="44"/>
      <c r="H257" s="44"/>
      <c r="I257" s="44"/>
      <c r="J257" s="44"/>
      <c r="K257" s="44"/>
      <c r="L257" s="49"/>
      <c r="M257" s="48"/>
      <c r="N257" s="48"/>
      <c r="O257" s="48"/>
      <c r="P257" s="48"/>
      <c r="Q257" s="48"/>
      <c r="R257" s="48"/>
      <c r="S257" s="49"/>
      <c r="T257" s="48"/>
      <c r="U257" s="48"/>
      <c r="V257" s="14">
        <f t="shared" si="27"/>
        <v>0</v>
      </c>
      <c r="W257" s="14">
        <f t="shared" si="28"/>
        <v>0</v>
      </c>
      <c r="X257" s="14">
        <f>IF(AND(V257=1,OR(Painel!$C$6="Todos",D257=Painel!$C$6),AND(OR(Painel!$L$6="Todas",E257=Painel!$L$6),OR(Painel!$C$8="Todos",F257=Painel!$C$8),OR(Painel!$L$8="Todos",G257=Painel!$L$8),OR(Painel!$C$10="",ISNUMBER(SEARCH(SUBSTITUTE(SUBSTITUTE(SUBSTITUTE(Painel!$C$10,"~","~~"),"*","~*"),"?","~?"),A257&amp;" "&amp;H257&amp;" "&amp;I257))))),1,0)</f>
        <v>0</v>
      </c>
      <c r="Y257" s="14">
        <f t="shared" si="29"/>
        <v>0</v>
      </c>
      <c r="Z257" s="15" t="str">
        <f>IF(V257=0,"",IF(COUNTIFS(Andamentos!$K$10:$K$2009,"="&amp;SUBSTITUTE(SUBSTITUTE(SUBSTITUTE("P:"&amp;A257,"~","~~"),"*","~*"),"?","~?"),Andamentos!$G$10:$G$2009,1)=0,"",_xlfn.AGGREGATE(14,6,Andamentos!$D$10:$D$2009/((Andamentos!$K$10:$K$2009=AS257)*(Andamentos!$G$10:$G$2009=1)),1)))</f>
        <v/>
      </c>
      <c r="AA257" s="14">
        <f>IF(Z257="",0,COUNTIFS(Andamentos!$K$10:$K$2009,"="&amp;SUBSTITUTE(SUBSTITUTE(SUBSTITUTE("P:"&amp;A257,"~","~~"),"*","~*"),"?","~?"),Andamentos!$D$10:$D$2009,Z257,Andamentos!$G$10:$G$2009,1))</f>
        <v>0</v>
      </c>
      <c r="AB257" s="14">
        <f>IF(AA257=1,SUMIFS(Andamentos!$L$10:$L$2009,Andamentos!$K$10:$K$2009,"="&amp;SUBSTITUTE(SUBSTITUTE(SUBSTITUTE(AS257,"~","~~"),"*","~*"),"?","~?"),Andamentos!$D$10:$D$2009,Z257,Andamentos!$G$10:$G$2009,1)-9,0)</f>
        <v>0</v>
      </c>
      <c r="AC257" s="14" t="str">
        <f>IF(V257=0,"",IF(AA257&gt;1,"Conferir recebimentos empatados",IF(AB257=0,"Sem atualização",INDEX(Andamentos!$C$10:$C$2009,AB257))))</f>
        <v/>
      </c>
      <c r="AD257" s="14">
        <f>IF(W257=0,0,IF(MAX(Z257,BD257)=0,1,IF(Configurar!$J$12-INT(MAX(Z257,BD257))&gt;Configurar!$J$11,1,0)))</f>
        <v>0</v>
      </c>
      <c r="AE257" s="16"/>
      <c r="AF257" s="14"/>
      <c r="AG257" s="14"/>
      <c r="AH257" s="14">
        <f>IF(AND(V257=1,COUNTIFS(Valores!$S$10:$S$509,"="&amp;SUBSTITUTE(SUBSTITUTE(SUBSTITUTE("P:"&amp;A257,"~","~~"),"*","~*"),"?","~?"))=1),(IF(ISNA(MATCH(SUBSTITUTE(SUBSTITUTE(SUBSTITUTE("P:"&amp;A257,"~","~~"),"*","~*"),"?","~?"),Valores!$S$10:$S$509,0)),9,INDEX(Valores!$R$10:$R$509,MATCH(SUBSTITUTE(SUBSTITUTE(SUBSTITUTE("P:"&amp;A257,"~","~~"),"*","~*"),"?","~?"),Valores!$S$10:$S$509,0)))-9),0)</f>
        <v>0</v>
      </c>
      <c r="AI257" s="40" t="str">
        <f t="shared" si="30"/>
        <v/>
      </c>
      <c r="AJ257" s="14" t="str">
        <f>IF(AND(X257=1,Y257=1),COUNTIFS($X$10:X257,1,$Y$10:Y257,1),"")</f>
        <v/>
      </c>
      <c r="AK257" s="14" t="str">
        <f>IF(X257=1,COUNTIFS($X$10:X257,1),"")</f>
        <v/>
      </c>
      <c r="AL257" s="14">
        <f>IF(AND(V257=1,AND(OR(Painel!$L$6="Todas",E257=Painel!$L$6),OR(Painel!$C$8="Todos",F257=Painel!$C$8),OR(Painel!$L$8="Todos",G257=Painel!$L$8),OR(Painel!$C$10="",ISNUMBER(SEARCH(SUBSTITUTE(SUBSTITUTE(SUBSTITUTE(Painel!$C$10,"~","~~"),"*","~*"),"?","~?"),A257&amp;" "&amp;H257&amp;" "&amp;I257))))),1,0)</f>
        <v>0</v>
      </c>
      <c r="AM257" s="14">
        <f t="shared" si="31"/>
        <v>0</v>
      </c>
      <c r="AN257" s="14"/>
      <c r="AO257" s="14"/>
      <c r="AP257" s="16" t="str">
        <f>IF(AB257=0,"",IF(INDEX(Andamentos!$B$10:$B$2009,AB257)="","",INDEX(Andamentos!$B$10:$B$2009,AB257)))</f>
        <v/>
      </c>
      <c r="AQ257" s="17" t="str">
        <f>IF(AH257=0,"",IF(INDEX(Valores!$B$10:$B$509,AH257)="","",IF(ISNUMBER(INDEX(Valores!$B$10:$B$509,AH257)),INDEX(Valores!$B$10:$B$509,AH257),"")))</f>
        <v/>
      </c>
      <c r="AR257" s="14" t="str">
        <f t="shared" si="32"/>
        <v/>
      </c>
      <c r="AS257" s="14" t="str">
        <f t="shared" si="33"/>
        <v/>
      </c>
      <c r="AT257" s="27"/>
      <c r="AU257" s="31"/>
      <c r="AV257" s="31"/>
      <c r="AW257" s="27"/>
      <c r="AX257" s="27"/>
      <c r="AY257" s="27"/>
      <c r="AZ257" s="27"/>
      <c r="BA257" s="30" t="str">
        <f t="shared" si="34"/>
        <v/>
      </c>
      <c r="BB257" s="30" t="str">
        <f t="shared" si="35"/>
        <v/>
      </c>
      <c r="BC257" s="30">
        <f>IF(X257=0,0,IF(COUNTIFS($X$10:X257,1,$BA$10:BA257,BA257)=1,1,0))</f>
        <v>0</v>
      </c>
      <c r="BD257" s="29"/>
    </row>
    <row r="258" spans="1:56" ht="42" customHeight="1">
      <c r="A258" s="41"/>
      <c r="B258" s="44"/>
      <c r="C258" s="44"/>
      <c r="D258" s="44"/>
      <c r="E258" s="44"/>
      <c r="F258" s="44"/>
      <c r="G258" s="44"/>
      <c r="H258" s="44"/>
      <c r="I258" s="44"/>
      <c r="J258" s="44"/>
      <c r="K258" s="44"/>
      <c r="L258" s="49"/>
      <c r="M258" s="48"/>
      <c r="N258" s="48"/>
      <c r="O258" s="48"/>
      <c r="P258" s="48"/>
      <c r="Q258" s="48"/>
      <c r="R258" s="48"/>
      <c r="S258" s="49"/>
      <c r="T258" s="48"/>
      <c r="U258" s="48"/>
      <c r="V258" s="14">
        <f t="shared" si="27"/>
        <v>0</v>
      </c>
      <c r="W258" s="14">
        <f t="shared" si="28"/>
        <v>0</v>
      </c>
      <c r="X258" s="14">
        <f>IF(AND(V258=1,OR(Painel!$C$6="Todos",D258=Painel!$C$6),AND(OR(Painel!$L$6="Todas",E258=Painel!$L$6),OR(Painel!$C$8="Todos",F258=Painel!$C$8),OR(Painel!$L$8="Todos",G258=Painel!$L$8),OR(Painel!$C$10="",ISNUMBER(SEARCH(SUBSTITUTE(SUBSTITUTE(SUBSTITUTE(Painel!$C$10,"~","~~"),"*","~*"),"?","~?"),A258&amp;" "&amp;H258&amp;" "&amp;I258))))),1,0)</f>
        <v>0</v>
      </c>
      <c r="Y258" s="14">
        <f t="shared" si="29"/>
        <v>0</v>
      </c>
      <c r="Z258" s="15" t="str">
        <f>IF(V258=0,"",IF(COUNTIFS(Andamentos!$K$10:$K$2009,"="&amp;SUBSTITUTE(SUBSTITUTE(SUBSTITUTE("P:"&amp;A258,"~","~~"),"*","~*"),"?","~?"),Andamentos!$G$10:$G$2009,1)=0,"",_xlfn.AGGREGATE(14,6,Andamentos!$D$10:$D$2009/((Andamentos!$K$10:$K$2009=AS258)*(Andamentos!$G$10:$G$2009=1)),1)))</f>
        <v/>
      </c>
      <c r="AA258" s="14">
        <f>IF(Z258="",0,COUNTIFS(Andamentos!$K$10:$K$2009,"="&amp;SUBSTITUTE(SUBSTITUTE(SUBSTITUTE("P:"&amp;A258,"~","~~"),"*","~*"),"?","~?"),Andamentos!$D$10:$D$2009,Z258,Andamentos!$G$10:$G$2009,1))</f>
        <v>0</v>
      </c>
      <c r="AB258" s="14">
        <f>IF(AA258=1,SUMIFS(Andamentos!$L$10:$L$2009,Andamentos!$K$10:$K$2009,"="&amp;SUBSTITUTE(SUBSTITUTE(SUBSTITUTE(AS258,"~","~~"),"*","~*"),"?","~?"),Andamentos!$D$10:$D$2009,Z258,Andamentos!$G$10:$G$2009,1)-9,0)</f>
        <v>0</v>
      </c>
      <c r="AC258" s="14" t="str">
        <f>IF(V258=0,"",IF(AA258&gt;1,"Conferir recebimentos empatados",IF(AB258=0,"Sem atualização",INDEX(Andamentos!$C$10:$C$2009,AB258))))</f>
        <v/>
      </c>
      <c r="AD258" s="14">
        <f>IF(W258=0,0,IF(MAX(Z258,BD258)=0,1,IF(Configurar!$J$12-INT(MAX(Z258,BD258))&gt;Configurar!$J$11,1,0)))</f>
        <v>0</v>
      </c>
      <c r="AE258" s="16"/>
      <c r="AF258" s="14"/>
      <c r="AG258" s="14"/>
      <c r="AH258" s="14">
        <f>IF(AND(V258=1,COUNTIFS(Valores!$S$10:$S$509,"="&amp;SUBSTITUTE(SUBSTITUTE(SUBSTITUTE("P:"&amp;A258,"~","~~"),"*","~*"),"?","~?"))=1),(IF(ISNA(MATCH(SUBSTITUTE(SUBSTITUTE(SUBSTITUTE("P:"&amp;A258,"~","~~"),"*","~*"),"?","~?"),Valores!$S$10:$S$509,0)),9,INDEX(Valores!$R$10:$R$509,MATCH(SUBSTITUTE(SUBSTITUTE(SUBSTITUTE("P:"&amp;A258,"~","~~"),"*","~*"),"?","~?"),Valores!$S$10:$S$509,0)))-9),0)</f>
        <v>0</v>
      </c>
      <c r="AI258" s="40" t="str">
        <f t="shared" si="30"/>
        <v/>
      </c>
      <c r="AJ258" s="14" t="str">
        <f>IF(AND(X258=1,Y258=1),COUNTIFS($X$10:X258,1,$Y$10:Y258,1),"")</f>
        <v/>
      </c>
      <c r="AK258" s="14" t="str">
        <f>IF(X258=1,COUNTIFS($X$10:X258,1),"")</f>
        <v/>
      </c>
      <c r="AL258" s="14">
        <f>IF(AND(V258=1,AND(OR(Painel!$L$6="Todas",E258=Painel!$L$6),OR(Painel!$C$8="Todos",F258=Painel!$C$8),OR(Painel!$L$8="Todos",G258=Painel!$L$8),OR(Painel!$C$10="",ISNUMBER(SEARCH(SUBSTITUTE(SUBSTITUTE(SUBSTITUTE(Painel!$C$10,"~","~~"),"*","~*"),"?","~?"),A258&amp;" "&amp;H258&amp;" "&amp;I258))))),1,0)</f>
        <v>0</v>
      </c>
      <c r="AM258" s="14">
        <f t="shared" si="31"/>
        <v>0</v>
      </c>
      <c r="AN258" s="14"/>
      <c r="AO258" s="14"/>
      <c r="AP258" s="16" t="str">
        <f>IF(AB258=0,"",IF(INDEX(Andamentos!$B$10:$B$2009,AB258)="","",INDEX(Andamentos!$B$10:$B$2009,AB258)))</f>
        <v/>
      </c>
      <c r="AQ258" s="17" t="str">
        <f>IF(AH258=0,"",IF(INDEX(Valores!$B$10:$B$509,AH258)="","",IF(ISNUMBER(INDEX(Valores!$B$10:$B$509,AH258)),INDEX(Valores!$B$10:$B$509,AH258),"")))</f>
        <v/>
      </c>
      <c r="AR258" s="14" t="str">
        <f t="shared" si="32"/>
        <v/>
      </c>
      <c r="AS258" s="14" t="str">
        <f t="shared" si="33"/>
        <v/>
      </c>
      <c r="AT258" s="27"/>
      <c r="AU258" s="31"/>
      <c r="AV258" s="31"/>
      <c r="AW258" s="27"/>
      <c r="AX258" s="27"/>
      <c r="AY258" s="27"/>
      <c r="AZ258" s="27"/>
      <c r="BA258" s="30" t="str">
        <f t="shared" si="34"/>
        <v/>
      </c>
      <c r="BB258" s="30" t="str">
        <f t="shared" si="35"/>
        <v/>
      </c>
      <c r="BC258" s="30">
        <f>IF(X258=0,0,IF(COUNTIFS($X$10:X258,1,$BA$10:BA258,BA258)=1,1,0))</f>
        <v>0</v>
      </c>
      <c r="BD258" s="29"/>
    </row>
    <row r="259" spans="1:56" ht="42" customHeight="1">
      <c r="A259" s="41"/>
      <c r="B259" s="44"/>
      <c r="C259" s="44"/>
      <c r="D259" s="44"/>
      <c r="E259" s="44"/>
      <c r="F259" s="44"/>
      <c r="G259" s="44"/>
      <c r="H259" s="44"/>
      <c r="I259" s="44"/>
      <c r="J259" s="44"/>
      <c r="K259" s="44"/>
      <c r="L259" s="49"/>
      <c r="M259" s="48"/>
      <c r="N259" s="48"/>
      <c r="O259" s="48"/>
      <c r="P259" s="48"/>
      <c r="Q259" s="48"/>
      <c r="R259" s="48"/>
      <c r="S259" s="49"/>
      <c r="T259" s="48"/>
      <c r="U259" s="48"/>
      <c r="V259" s="14">
        <f t="shared" si="27"/>
        <v>0</v>
      </c>
      <c r="W259" s="14">
        <f t="shared" si="28"/>
        <v>0</v>
      </c>
      <c r="X259" s="14">
        <f>IF(AND(V259=1,OR(Painel!$C$6="Todos",D259=Painel!$C$6),AND(OR(Painel!$L$6="Todas",E259=Painel!$L$6),OR(Painel!$C$8="Todos",F259=Painel!$C$8),OR(Painel!$L$8="Todos",G259=Painel!$L$8),OR(Painel!$C$10="",ISNUMBER(SEARCH(SUBSTITUTE(SUBSTITUTE(SUBSTITUTE(Painel!$C$10,"~","~~"),"*","~*"),"?","~?"),A259&amp;" "&amp;H259&amp;" "&amp;I259))))),1,0)</f>
        <v>0</v>
      </c>
      <c r="Y259" s="14">
        <f t="shared" si="29"/>
        <v>0</v>
      </c>
      <c r="Z259" s="15" t="str">
        <f>IF(V259=0,"",IF(COUNTIFS(Andamentos!$K$10:$K$2009,"="&amp;SUBSTITUTE(SUBSTITUTE(SUBSTITUTE("P:"&amp;A259,"~","~~"),"*","~*"),"?","~?"),Andamentos!$G$10:$G$2009,1)=0,"",_xlfn.AGGREGATE(14,6,Andamentos!$D$10:$D$2009/((Andamentos!$K$10:$K$2009=AS259)*(Andamentos!$G$10:$G$2009=1)),1)))</f>
        <v/>
      </c>
      <c r="AA259" s="14">
        <f>IF(Z259="",0,COUNTIFS(Andamentos!$K$10:$K$2009,"="&amp;SUBSTITUTE(SUBSTITUTE(SUBSTITUTE("P:"&amp;A259,"~","~~"),"*","~*"),"?","~?"),Andamentos!$D$10:$D$2009,Z259,Andamentos!$G$10:$G$2009,1))</f>
        <v>0</v>
      </c>
      <c r="AB259" s="14">
        <f>IF(AA259=1,SUMIFS(Andamentos!$L$10:$L$2009,Andamentos!$K$10:$K$2009,"="&amp;SUBSTITUTE(SUBSTITUTE(SUBSTITUTE(AS259,"~","~~"),"*","~*"),"?","~?"),Andamentos!$D$10:$D$2009,Z259,Andamentos!$G$10:$G$2009,1)-9,0)</f>
        <v>0</v>
      </c>
      <c r="AC259" s="14" t="str">
        <f>IF(V259=0,"",IF(AA259&gt;1,"Conferir recebimentos empatados",IF(AB259=0,"Sem atualização",INDEX(Andamentos!$C$10:$C$2009,AB259))))</f>
        <v/>
      </c>
      <c r="AD259" s="14">
        <f>IF(W259=0,0,IF(MAX(Z259,BD259)=0,1,IF(Configurar!$J$12-INT(MAX(Z259,BD259))&gt;Configurar!$J$11,1,0)))</f>
        <v>0</v>
      </c>
      <c r="AE259" s="16"/>
      <c r="AF259" s="14"/>
      <c r="AG259" s="14"/>
      <c r="AH259" s="14">
        <f>IF(AND(V259=1,COUNTIFS(Valores!$S$10:$S$509,"="&amp;SUBSTITUTE(SUBSTITUTE(SUBSTITUTE("P:"&amp;A259,"~","~~"),"*","~*"),"?","~?"))=1),(IF(ISNA(MATCH(SUBSTITUTE(SUBSTITUTE(SUBSTITUTE("P:"&amp;A259,"~","~~"),"*","~*"),"?","~?"),Valores!$S$10:$S$509,0)),9,INDEX(Valores!$R$10:$R$509,MATCH(SUBSTITUTE(SUBSTITUTE(SUBSTITUTE("P:"&amp;A259,"~","~~"),"*","~*"),"?","~?"),Valores!$S$10:$S$509,0)))-9),0)</f>
        <v>0</v>
      </c>
      <c r="AI259" s="40" t="str">
        <f t="shared" si="30"/>
        <v/>
      </c>
      <c r="AJ259" s="14" t="str">
        <f>IF(AND(X259=1,Y259=1),COUNTIFS($X$10:X259,1,$Y$10:Y259,1),"")</f>
        <v/>
      </c>
      <c r="AK259" s="14" t="str">
        <f>IF(X259=1,COUNTIFS($X$10:X259,1),"")</f>
        <v/>
      </c>
      <c r="AL259" s="14">
        <f>IF(AND(V259=1,AND(OR(Painel!$L$6="Todas",E259=Painel!$L$6),OR(Painel!$C$8="Todos",F259=Painel!$C$8),OR(Painel!$L$8="Todos",G259=Painel!$L$8),OR(Painel!$C$10="",ISNUMBER(SEARCH(SUBSTITUTE(SUBSTITUTE(SUBSTITUTE(Painel!$C$10,"~","~~"),"*","~*"),"?","~?"),A259&amp;" "&amp;H259&amp;" "&amp;I259))))),1,0)</f>
        <v>0</v>
      </c>
      <c r="AM259" s="14">
        <f t="shared" si="31"/>
        <v>0</v>
      </c>
      <c r="AN259" s="14"/>
      <c r="AO259" s="14"/>
      <c r="AP259" s="16" t="str">
        <f>IF(AB259=0,"",IF(INDEX(Andamentos!$B$10:$B$2009,AB259)="","",INDEX(Andamentos!$B$10:$B$2009,AB259)))</f>
        <v/>
      </c>
      <c r="AQ259" s="17" t="str">
        <f>IF(AH259=0,"",IF(INDEX(Valores!$B$10:$B$509,AH259)="","",IF(ISNUMBER(INDEX(Valores!$B$10:$B$509,AH259)),INDEX(Valores!$B$10:$B$509,AH259),"")))</f>
        <v/>
      </c>
      <c r="AR259" s="14" t="str">
        <f t="shared" si="32"/>
        <v/>
      </c>
      <c r="AS259" s="14" t="str">
        <f t="shared" si="33"/>
        <v/>
      </c>
      <c r="AT259" s="27"/>
      <c r="AU259" s="31"/>
      <c r="AV259" s="31"/>
      <c r="AW259" s="27"/>
      <c r="AX259" s="27"/>
      <c r="AY259" s="27"/>
      <c r="AZ259" s="27"/>
      <c r="BA259" s="30" t="str">
        <f t="shared" si="34"/>
        <v/>
      </c>
      <c r="BB259" s="30" t="str">
        <f t="shared" si="35"/>
        <v/>
      </c>
      <c r="BC259" s="30">
        <f>IF(X259=0,0,IF(COUNTIFS($X$10:X259,1,$BA$10:BA259,BA259)=1,1,0))</f>
        <v>0</v>
      </c>
      <c r="BD259" s="29"/>
    </row>
    <row r="260" spans="1:56" ht="42" customHeight="1">
      <c r="A260" s="41"/>
      <c r="B260" s="44"/>
      <c r="C260" s="44"/>
      <c r="D260" s="44"/>
      <c r="E260" s="44"/>
      <c r="F260" s="44"/>
      <c r="G260" s="44"/>
      <c r="H260" s="44"/>
      <c r="I260" s="44"/>
      <c r="J260" s="44"/>
      <c r="K260" s="44"/>
      <c r="L260" s="49"/>
      <c r="M260" s="48"/>
      <c r="N260" s="48"/>
      <c r="O260" s="48"/>
      <c r="P260" s="48"/>
      <c r="Q260" s="48"/>
      <c r="R260" s="48"/>
      <c r="S260" s="49"/>
      <c r="T260" s="48"/>
      <c r="U260" s="48"/>
      <c r="V260" s="14">
        <f t="shared" si="27"/>
        <v>0</v>
      </c>
      <c r="W260" s="14">
        <f t="shared" si="28"/>
        <v>0</v>
      </c>
      <c r="X260" s="14">
        <f>IF(AND(V260=1,OR(Painel!$C$6="Todos",D260=Painel!$C$6),AND(OR(Painel!$L$6="Todas",E260=Painel!$L$6),OR(Painel!$C$8="Todos",F260=Painel!$C$8),OR(Painel!$L$8="Todos",G260=Painel!$L$8),OR(Painel!$C$10="",ISNUMBER(SEARCH(SUBSTITUTE(SUBSTITUTE(SUBSTITUTE(Painel!$C$10,"~","~~"),"*","~*"),"?","~?"),A260&amp;" "&amp;H260&amp;" "&amp;I260))))),1,0)</f>
        <v>0</v>
      </c>
      <c r="Y260" s="14">
        <f t="shared" si="29"/>
        <v>0</v>
      </c>
      <c r="Z260" s="15" t="str">
        <f>IF(V260=0,"",IF(COUNTIFS(Andamentos!$K$10:$K$2009,"="&amp;SUBSTITUTE(SUBSTITUTE(SUBSTITUTE("P:"&amp;A260,"~","~~"),"*","~*"),"?","~?"),Andamentos!$G$10:$G$2009,1)=0,"",_xlfn.AGGREGATE(14,6,Andamentos!$D$10:$D$2009/((Andamentos!$K$10:$K$2009=AS260)*(Andamentos!$G$10:$G$2009=1)),1)))</f>
        <v/>
      </c>
      <c r="AA260" s="14">
        <f>IF(Z260="",0,COUNTIFS(Andamentos!$K$10:$K$2009,"="&amp;SUBSTITUTE(SUBSTITUTE(SUBSTITUTE("P:"&amp;A260,"~","~~"),"*","~*"),"?","~?"),Andamentos!$D$10:$D$2009,Z260,Andamentos!$G$10:$G$2009,1))</f>
        <v>0</v>
      </c>
      <c r="AB260" s="14">
        <f>IF(AA260=1,SUMIFS(Andamentos!$L$10:$L$2009,Andamentos!$K$10:$K$2009,"="&amp;SUBSTITUTE(SUBSTITUTE(SUBSTITUTE(AS260,"~","~~"),"*","~*"),"?","~?"),Andamentos!$D$10:$D$2009,Z260,Andamentos!$G$10:$G$2009,1)-9,0)</f>
        <v>0</v>
      </c>
      <c r="AC260" s="14" t="str">
        <f>IF(V260=0,"",IF(AA260&gt;1,"Conferir recebimentos empatados",IF(AB260=0,"Sem atualização",INDEX(Andamentos!$C$10:$C$2009,AB260))))</f>
        <v/>
      </c>
      <c r="AD260" s="14">
        <f>IF(W260=0,0,IF(MAX(Z260,BD260)=0,1,IF(Configurar!$J$12-INT(MAX(Z260,BD260))&gt;Configurar!$J$11,1,0)))</f>
        <v>0</v>
      </c>
      <c r="AE260" s="16"/>
      <c r="AF260" s="14"/>
      <c r="AG260" s="14"/>
      <c r="AH260" s="14">
        <f>IF(AND(V260=1,COUNTIFS(Valores!$S$10:$S$509,"="&amp;SUBSTITUTE(SUBSTITUTE(SUBSTITUTE("P:"&amp;A260,"~","~~"),"*","~*"),"?","~?"))=1),(IF(ISNA(MATCH(SUBSTITUTE(SUBSTITUTE(SUBSTITUTE("P:"&amp;A260,"~","~~"),"*","~*"),"?","~?"),Valores!$S$10:$S$509,0)),9,INDEX(Valores!$R$10:$R$509,MATCH(SUBSTITUTE(SUBSTITUTE(SUBSTITUTE("P:"&amp;A260,"~","~~"),"*","~*"),"?","~?"),Valores!$S$10:$S$509,0)))-9),0)</f>
        <v>0</v>
      </c>
      <c r="AI260" s="40" t="str">
        <f t="shared" si="30"/>
        <v/>
      </c>
      <c r="AJ260" s="14" t="str">
        <f>IF(AND(X260=1,Y260=1),COUNTIFS($X$10:X260,1,$Y$10:Y260,1),"")</f>
        <v/>
      </c>
      <c r="AK260" s="14" t="str">
        <f>IF(X260=1,COUNTIFS($X$10:X260,1),"")</f>
        <v/>
      </c>
      <c r="AL260" s="14">
        <f>IF(AND(V260=1,AND(OR(Painel!$L$6="Todas",E260=Painel!$L$6),OR(Painel!$C$8="Todos",F260=Painel!$C$8),OR(Painel!$L$8="Todos",G260=Painel!$L$8),OR(Painel!$C$10="",ISNUMBER(SEARCH(SUBSTITUTE(SUBSTITUTE(SUBSTITUTE(Painel!$C$10,"~","~~"),"*","~*"),"?","~?"),A260&amp;" "&amp;H260&amp;" "&amp;I260))))),1,0)</f>
        <v>0</v>
      </c>
      <c r="AM260" s="14">
        <f t="shared" si="31"/>
        <v>0</v>
      </c>
      <c r="AN260" s="14"/>
      <c r="AO260" s="14"/>
      <c r="AP260" s="16" t="str">
        <f>IF(AB260=0,"",IF(INDEX(Andamentos!$B$10:$B$2009,AB260)="","",INDEX(Andamentos!$B$10:$B$2009,AB260)))</f>
        <v/>
      </c>
      <c r="AQ260" s="17" t="str">
        <f>IF(AH260=0,"",IF(INDEX(Valores!$B$10:$B$509,AH260)="","",IF(ISNUMBER(INDEX(Valores!$B$10:$B$509,AH260)),INDEX(Valores!$B$10:$B$509,AH260),"")))</f>
        <v/>
      </c>
      <c r="AR260" s="14" t="str">
        <f t="shared" si="32"/>
        <v/>
      </c>
      <c r="AS260" s="14" t="str">
        <f t="shared" si="33"/>
        <v/>
      </c>
      <c r="AT260" s="27"/>
      <c r="AU260" s="31"/>
      <c r="AV260" s="31"/>
      <c r="AW260" s="27"/>
      <c r="AX260" s="27"/>
      <c r="AY260" s="27"/>
      <c r="AZ260" s="27"/>
      <c r="BA260" s="30" t="str">
        <f t="shared" si="34"/>
        <v/>
      </c>
      <c r="BB260" s="30" t="str">
        <f t="shared" si="35"/>
        <v/>
      </c>
      <c r="BC260" s="30">
        <f>IF(X260=0,0,IF(COUNTIFS($X$10:X260,1,$BA$10:BA260,BA260)=1,1,0))</f>
        <v>0</v>
      </c>
      <c r="BD260" s="29"/>
    </row>
    <row r="261" spans="1:56" ht="42" customHeight="1">
      <c r="A261" s="41"/>
      <c r="B261" s="44"/>
      <c r="C261" s="44"/>
      <c r="D261" s="44"/>
      <c r="E261" s="44"/>
      <c r="F261" s="44"/>
      <c r="G261" s="44"/>
      <c r="H261" s="44"/>
      <c r="I261" s="44"/>
      <c r="J261" s="44"/>
      <c r="K261" s="44"/>
      <c r="L261" s="49"/>
      <c r="M261" s="48"/>
      <c r="N261" s="48"/>
      <c r="O261" s="48"/>
      <c r="P261" s="48"/>
      <c r="Q261" s="48"/>
      <c r="R261" s="48"/>
      <c r="S261" s="49"/>
      <c r="T261" s="48"/>
      <c r="U261" s="48"/>
      <c r="V261" s="14">
        <f t="shared" si="27"/>
        <v>0</v>
      </c>
      <c r="W261" s="14">
        <f t="shared" si="28"/>
        <v>0</v>
      </c>
      <c r="X261" s="14">
        <f>IF(AND(V261=1,OR(Painel!$C$6="Todos",D261=Painel!$C$6),AND(OR(Painel!$L$6="Todas",E261=Painel!$L$6),OR(Painel!$C$8="Todos",F261=Painel!$C$8),OR(Painel!$L$8="Todos",G261=Painel!$L$8),OR(Painel!$C$10="",ISNUMBER(SEARCH(SUBSTITUTE(SUBSTITUTE(SUBSTITUTE(Painel!$C$10,"~","~~"),"*","~*"),"?","~?"),A261&amp;" "&amp;H261&amp;" "&amp;I261))))),1,0)</f>
        <v>0</v>
      </c>
      <c r="Y261" s="14">
        <f t="shared" si="29"/>
        <v>0</v>
      </c>
      <c r="Z261" s="15" t="str">
        <f>IF(V261=0,"",IF(COUNTIFS(Andamentos!$K$10:$K$2009,"="&amp;SUBSTITUTE(SUBSTITUTE(SUBSTITUTE("P:"&amp;A261,"~","~~"),"*","~*"),"?","~?"),Andamentos!$G$10:$G$2009,1)=0,"",_xlfn.AGGREGATE(14,6,Andamentos!$D$10:$D$2009/((Andamentos!$K$10:$K$2009=AS261)*(Andamentos!$G$10:$G$2009=1)),1)))</f>
        <v/>
      </c>
      <c r="AA261" s="14">
        <f>IF(Z261="",0,COUNTIFS(Andamentos!$K$10:$K$2009,"="&amp;SUBSTITUTE(SUBSTITUTE(SUBSTITUTE("P:"&amp;A261,"~","~~"),"*","~*"),"?","~?"),Andamentos!$D$10:$D$2009,Z261,Andamentos!$G$10:$G$2009,1))</f>
        <v>0</v>
      </c>
      <c r="AB261" s="14">
        <f>IF(AA261=1,SUMIFS(Andamentos!$L$10:$L$2009,Andamentos!$K$10:$K$2009,"="&amp;SUBSTITUTE(SUBSTITUTE(SUBSTITUTE(AS261,"~","~~"),"*","~*"),"?","~?"),Andamentos!$D$10:$D$2009,Z261,Andamentos!$G$10:$G$2009,1)-9,0)</f>
        <v>0</v>
      </c>
      <c r="AC261" s="14" t="str">
        <f>IF(V261=0,"",IF(AA261&gt;1,"Conferir recebimentos empatados",IF(AB261=0,"Sem atualização",INDEX(Andamentos!$C$10:$C$2009,AB261))))</f>
        <v/>
      </c>
      <c r="AD261" s="14">
        <f>IF(W261=0,0,IF(MAX(Z261,BD261)=0,1,IF(Configurar!$J$12-INT(MAX(Z261,BD261))&gt;Configurar!$J$11,1,0)))</f>
        <v>0</v>
      </c>
      <c r="AE261" s="16"/>
      <c r="AF261" s="14"/>
      <c r="AG261" s="14"/>
      <c r="AH261" s="14">
        <f>IF(AND(V261=1,COUNTIFS(Valores!$S$10:$S$509,"="&amp;SUBSTITUTE(SUBSTITUTE(SUBSTITUTE("P:"&amp;A261,"~","~~"),"*","~*"),"?","~?"))=1),(IF(ISNA(MATCH(SUBSTITUTE(SUBSTITUTE(SUBSTITUTE("P:"&amp;A261,"~","~~"),"*","~*"),"?","~?"),Valores!$S$10:$S$509,0)),9,INDEX(Valores!$R$10:$R$509,MATCH(SUBSTITUTE(SUBSTITUTE(SUBSTITUTE("P:"&amp;A261,"~","~~"),"*","~*"),"?","~?"),Valores!$S$10:$S$509,0)))-9),0)</f>
        <v>0</v>
      </c>
      <c r="AI261" s="40" t="str">
        <f t="shared" si="30"/>
        <v/>
      </c>
      <c r="AJ261" s="14" t="str">
        <f>IF(AND(X261=1,Y261=1),COUNTIFS($X$10:X261,1,$Y$10:Y261,1),"")</f>
        <v/>
      </c>
      <c r="AK261" s="14" t="str">
        <f>IF(X261=1,COUNTIFS($X$10:X261,1),"")</f>
        <v/>
      </c>
      <c r="AL261" s="14">
        <f>IF(AND(V261=1,AND(OR(Painel!$L$6="Todas",E261=Painel!$L$6),OR(Painel!$C$8="Todos",F261=Painel!$C$8),OR(Painel!$L$8="Todos",G261=Painel!$L$8),OR(Painel!$C$10="",ISNUMBER(SEARCH(SUBSTITUTE(SUBSTITUTE(SUBSTITUTE(Painel!$C$10,"~","~~"),"*","~*"),"?","~?"),A261&amp;" "&amp;H261&amp;" "&amp;I261))))),1,0)</f>
        <v>0</v>
      </c>
      <c r="AM261" s="14">
        <f t="shared" si="31"/>
        <v>0</v>
      </c>
      <c r="AN261" s="14"/>
      <c r="AO261" s="14"/>
      <c r="AP261" s="16" t="str">
        <f>IF(AB261=0,"",IF(INDEX(Andamentos!$B$10:$B$2009,AB261)="","",INDEX(Andamentos!$B$10:$B$2009,AB261)))</f>
        <v/>
      </c>
      <c r="AQ261" s="17" t="str">
        <f>IF(AH261=0,"",IF(INDEX(Valores!$B$10:$B$509,AH261)="","",IF(ISNUMBER(INDEX(Valores!$B$10:$B$509,AH261)),INDEX(Valores!$B$10:$B$509,AH261),"")))</f>
        <v/>
      </c>
      <c r="AR261" s="14" t="str">
        <f t="shared" si="32"/>
        <v/>
      </c>
      <c r="AS261" s="14" t="str">
        <f t="shared" si="33"/>
        <v/>
      </c>
      <c r="AT261" s="27"/>
      <c r="AU261" s="31"/>
      <c r="AV261" s="31"/>
      <c r="AW261" s="27"/>
      <c r="AX261" s="27"/>
      <c r="AY261" s="27"/>
      <c r="AZ261" s="27"/>
      <c r="BA261" s="30" t="str">
        <f t="shared" si="34"/>
        <v/>
      </c>
      <c r="BB261" s="30" t="str">
        <f t="shared" si="35"/>
        <v/>
      </c>
      <c r="BC261" s="30">
        <f>IF(X261=0,0,IF(COUNTIFS($X$10:X261,1,$BA$10:BA261,BA261)=1,1,0))</f>
        <v>0</v>
      </c>
      <c r="BD261" s="29"/>
    </row>
    <row r="262" spans="1:56" ht="42" customHeight="1">
      <c r="A262" s="41"/>
      <c r="B262" s="44"/>
      <c r="C262" s="44"/>
      <c r="D262" s="44"/>
      <c r="E262" s="44"/>
      <c r="F262" s="44"/>
      <c r="G262" s="44"/>
      <c r="H262" s="44"/>
      <c r="I262" s="44"/>
      <c r="J262" s="44"/>
      <c r="K262" s="44"/>
      <c r="L262" s="49"/>
      <c r="M262" s="48"/>
      <c r="N262" s="48"/>
      <c r="O262" s="48"/>
      <c r="P262" s="48"/>
      <c r="Q262" s="48"/>
      <c r="R262" s="48"/>
      <c r="S262" s="49"/>
      <c r="T262" s="48"/>
      <c r="U262" s="48"/>
      <c r="V262" s="14">
        <f t="shared" si="27"/>
        <v>0</v>
      </c>
      <c r="W262" s="14">
        <f t="shared" si="28"/>
        <v>0</v>
      </c>
      <c r="X262" s="14">
        <f>IF(AND(V262=1,OR(Painel!$C$6="Todos",D262=Painel!$C$6),AND(OR(Painel!$L$6="Todas",E262=Painel!$L$6),OR(Painel!$C$8="Todos",F262=Painel!$C$8),OR(Painel!$L$8="Todos",G262=Painel!$L$8),OR(Painel!$C$10="",ISNUMBER(SEARCH(SUBSTITUTE(SUBSTITUTE(SUBSTITUTE(Painel!$C$10,"~","~~"),"*","~*"),"?","~?"),A262&amp;" "&amp;H262&amp;" "&amp;I262))))),1,0)</f>
        <v>0</v>
      </c>
      <c r="Y262" s="14">
        <f t="shared" si="29"/>
        <v>0</v>
      </c>
      <c r="Z262" s="15" t="str">
        <f>IF(V262=0,"",IF(COUNTIFS(Andamentos!$K$10:$K$2009,"="&amp;SUBSTITUTE(SUBSTITUTE(SUBSTITUTE("P:"&amp;A262,"~","~~"),"*","~*"),"?","~?"),Andamentos!$G$10:$G$2009,1)=0,"",_xlfn.AGGREGATE(14,6,Andamentos!$D$10:$D$2009/((Andamentos!$K$10:$K$2009=AS262)*(Andamentos!$G$10:$G$2009=1)),1)))</f>
        <v/>
      </c>
      <c r="AA262" s="14">
        <f>IF(Z262="",0,COUNTIFS(Andamentos!$K$10:$K$2009,"="&amp;SUBSTITUTE(SUBSTITUTE(SUBSTITUTE("P:"&amp;A262,"~","~~"),"*","~*"),"?","~?"),Andamentos!$D$10:$D$2009,Z262,Andamentos!$G$10:$G$2009,1))</f>
        <v>0</v>
      </c>
      <c r="AB262" s="14">
        <f>IF(AA262=1,SUMIFS(Andamentos!$L$10:$L$2009,Andamentos!$K$10:$K$2009,"="&amp;SUBSTITUTE(SUBSTITUTE(SUBSTITUTE(AS262,"~","~~"),"*","~*"),"?","~?"),Andamentos!$D$10:$D$2009,Z262,Andamentos!$G$10:$G$2009,1)-9,0)</f>
        <v>0</v>
      </c>
      <c r="AC262" s="14" t="str">
        <f>IF(V262=0,"",IF(AA262&gt;1,"Conferir recebimentos empatados",IF(AB262=0,"Sem atualização",INDEX(Andamentos!$C$10:$C$2009,AB262))))</f>
        <v/>
      </c>
      <c r="AD262" s="14">
        <f>IF(W262=0,0,IF(MAX(Z262,BD262)=0,1,IF(Configurar!$J$12-INT(MAX(Z262,BD262))&gt;Configurar!$J$11,1,0)))</f>
        <v>0</v>
      </c>
      <c r="AE262" s="16"/>
      <c r="AF262" s="14"/>
      <c r="AG262" s="14"/>
      <c r="AH262" s="14">
        <f>IF(AND(V262=1,COUNTIFS(Valores!$S$10:$S$509,"="&amp;SUBSTITUTE(SUBSTITUTE(SUBSTITUTE("P:"&amp;A262,"~","~~"),"*","~*"),"?","~?"))=1),(IF(ISNA(MATCH(SUBSTITUTE(SUBSTITUTE(SUBSTITUTE("P:"&amp;A262,"~","~~"),"*","~*"),"?","~?"),Valores!$S$10:$S$509,0)),9,INDEX(Valores!$R$10:$R$509,MATCH(SUBSTITUTE(SUBSTITUTE(SUBSTITUTE("P:"&amp;A262,"~","~~"),"*","~*"),"?","~?"),Valores!$S$10:$S$509,0)))-9),0)</f>
        <v>0</v>
      </c>
      <c r="AI262" s="40" t="str">
        <f t="shared" si="30"/>
        <v/>
      </c>
      <c r="AJ262" s="14" t="str">
        <f>IF(AND(X262=1,Y262=1),COUNTIFS($X$10:X262,1,$Y$10:Y262,1),"")</f>
        <v/>
      </c>
      <c r="AK262" s="14" t="str">
        <f>IF(X262=1,COUNTIFS($X$10:X262,1),"")</f>
        <v/>
      </c>
      <c r="AL262" s="14">
        <f>IF(AND(V262=1,AND(OR(Painel!$L$6="Todas",E262=Painel!$L$6),OR(Painel!$C$8="Todos",F262=Painel!$C$8),OR(Painel!$L$8="Todos",G262=Painel!$L$8),OR(Painel!$C$10="",ISNUMBER(SEARCH(SUBSTITUTE(SUBSTITUTE(SUBSTITUTE(Painel!$C$10,"~","~~"),"*","~*"),"?","~?"),A262&amp;" "&amp;H262&amp;" "&amp;I262))))),1,0)</f>
        <v>0</v>
      </c>
      <c r="AM262" s="14">
        <f t="shared" si="31"/>
        <v>0</v>
      </c>
      <c r="AN262" s="14"/>
      <c r="AO262" s="14"/>
      <c r="AP262" s="16" t="str">
        <f>IF(AB262=0,"",IF(INDEX(Andamentos!$B$10:$B$2009,AB262)="","",INDEX(Andamentos!$B$10:$B$2009,AB262)))</f>
        <v/>
      </c>
      <c r="AQ262" s="17" t="str">
        <f>IF(AH262=0,"",IF(INDEX(Valores!$B$10:$B$509,AH262)="","",IF(ISNUMBER(INDEX(Valores!$B$10:$B$509,AH262)),INDEX(Valores!$B$10:$B$509,AH262),"")))</f>
        <v/>
      </c>
      <c r="AR262" s="14" t="str">
        <f t="shared" si="32"/>
        <v/>
      </c>
      <c r="AS262" s="14" t="str">
        <f t="shared" si="33"/>
        <v/>
      </c>
      <c r="AT262" s="27"/>
      <c r="AU262" s="31"/>
      <c r="AV262" s="31"/>
      <c r="AW262" s="27"/>
      <c r="AX262" s="27"/>
      <c r="AY262" s="27"/>
      <c r="AZ262" s="27"/>
      <c r="BA262" s="30" t="str">
        <f t="shared" si="34"/>
        <v/>
      </c>
      <c r="BB262" s="30" t="str">
        <f t="shared" si="35"/>
        <v/>
      </c>
      <c r="BC262" s="30">
        <f>IF(X262=0,0,IF(COUNTIFS($X$10:X262,1,$BA$10:BA262,BA262)=1,1,0))</f>
        <v>0</v>
      </c>
      <c r="BD262" s="29"/>
    </row>
    <row r="263" spans="1:56" ht="42" customHeight="1">
      <c r="A263" s="41"/>
      <c r="B263" s="44"/>
      <c r="C263" s="44"/>
      <c r="D263" s="44"/>
      <c r="E263" s="44"/>
      <c r="F263" s="44"/>
      <c r="G263" s="44"/>
      <c r="H263" s="44"/>
      <c r="I263" s="44"/>
      <c r="J263" s="44"/>
      <c r="K263" s="44"/>
      <c r="L263" s="49"/>
      <c r="M263" s="48"/>
      <c r="N263" s="48"/>
      <c r="O263" s="48"/>
      <c r="P263" s="48"/>
      <c r="Q263" s="48"/>
      <c r="R263" s="48"/>
      <c r="S263" s="49"/>
      <c r="T263" s="48"/>
      <c r="U263" s="48"/>
      <c r="V263" s="14">
        <f t="shared" si="27"/>
        <v>0</v>
      </c>
      <c r="W263" s="14">
        <f t="shared" si="28"/>
        <v>0</v>
      </c>
      <c r="X263" s="14">
        <f>IF(AND(V263=1,OR(Painel!$C$6="Todos",D263=Painel!$C$6),AND(OR(Painel!$L$6="Todas",E263=Painel!$L$6),OR(Painel!$C$8="Todos",F263=Painel!$C$8),OR(Painel!$L$8="Todos",G263=Painel!$L$8),OR(Painel!$C$10="",ISNUMBER(SEARCH(SUBSTITUTE(SUBSTITUTE(SUBSTITUTE(Painel!$C$10,"~","~~"),"*","~*"),"?","~?"),A263&amp;" "&amp;H263&amp;" "&amp;I263))))),1,0)</f>
        <v>0</v>
      </c>
      <c r="Y263" s="14">
        <f t="shared" si="29"/>
        <v>0</v>
      </c>
      <c r="Z263" s="15" t="str">
        <f>IF(V263=0,"",IF(COUNTIFS(Andamentos!$K$10:$K$2009,"="&amp;SUBSTITUTE(SUBSTITUTE(SUBSTITUTE("P:"&amp;A263,"~","~~"),"*","~*"),"?","~?"),Andamentos!$G$10:$G$2009,1)=0,"",_xlfn.AGGREGATE(14,6,Andamentos!$D$10:$D$2009/((Andamentos!$K$10:$K$2009=AS263)*(Andamentos!$G$10:$G$2009=1)),1)))</f>
        <v/>
      </c>
      <c r="AA263" s="14">
        <f>IF(Z263="",0,COUNTIFS(Andamentos!$K$10:$K$2009,"="&amp;SUBSTITUTE(SUBSTITUTE(SUBSTITUTE("P:"&amp;A263,"~","~~"),"*","~*"),"?","~?"),Andamentos!$D$10:$D$2009,Z263,Andamentos!$G$10:$G$2009,1))</f>
        <v>0</v>
      </c>
      <c r="AB263" s="14">
        <f>IF(AA263=1,SUMIFS(Andamentos!$L$10:$L$2009,Andamentos!$K$10:$K$2009,"="&amp;SUBSTITUTE(SUBSTITUTE(SUBSTITUTE(AS263,"~","~~"),"*","~*"),"?","~?"),Andamentos!$D$10:$D$2009,Z263,Andamentos!$G$10:$G$2009,1)-9,0)</f>
        <v>0</v>
      </c>
      <c r="AC263" s="14" t="str">
        <f>IF(V263=0,"",IF(AA263&gt;1,"Conferir recebimentos empatados",IF(AB263=0,"Sem atualização",INDEX(Andamentos!$C$10:$C$2009,AB263))))</f>
        <v/>
      </c>
      <c r="AD263" s="14">
        <f>IF(W263=0,0,IF(MAX(Z263,BD263)=0,1,IF(Configurar!$J$12-INT(MAX(Z263,BD263))&gt;Configurar!$J$11,1,0)))</f>
        <v>0</v>
      </c>
      <c r="AE263" s="16"/>
      <c r="AF263" s="14"/>
      <c r="AG263" s="14"/>
      <c r="AH263" s="14">
        <f>IF(AND(V263=1,COUNTIFS(Valores!$S$10:$S$509,"="&amp;SUBSTITUTE(SUBSTITUTE(SUBSTITUTE("P:"&amp;A263,"~","~~"),"*","~*"),"?","~?"))=1),(IF(ISNA(MATCH(SUBSTITUTE(SUBSTITUTE(SUBSTITUTE("P:"&amp;A263,"~","~~"),"*","~*"),"?","~?"),Valores!$S$10:$S$509,0)),9,INDEX(Valores!$R$10:$R$509,MATCH(SUBSTITUTE(SUBSTITUTE(SUBSTITUTE("P:"&amp;A263,"~","~~"),"*","~*"),"?","~?"),Valores!$S$10:$S$509,0)))-9),0)</f>
        <v>0</v>
      </c>
      <c r="AI263" s="40" t="str">
        <f t="shared" si="30"/>
        <v/>
      </c>
      <c r="AJ263" s="14" t="str">
        <f>IF(AND(X263=1,Y263=1),COUNTIFS($X$10:X263,1,$Y$10:Y263,1),"")</f>
        <v/>
      </c>
      <c r="AK263" s="14" t="str">
        <f>IF(X263=1,COUNTIFS($X$10:X263,1),"")</f>
        <v/>
      </c>
      <c r="AL263" s="14">
        <f>IF(AND(V263=1,AND(OR(Painel!$L$6="Todas",E263=Painel!$L$6),OR(Painel!$C$8="Todos",F263=Painel!$C$8),OR(Painel!$L$8="Todos",G263=Painel!$L$8),OR(Painel!$C$10="",ISNUMBER(SEARCH(SUBSTITUTE(SUBSTITUTE(SUBSTITUTE(Painel!$C$10,"~","~~"),"*","~*"),"?","~?"),A263&amp;" "&amp;H263&amp;" "&amp;I263))))),1,0)</f>
        <v>0</v>
      </c>
      <c r="AM263" s="14">
        <f t="shared" si="31"/>
        <v>0</v>
      </c>
      <c r="AN263" s="14"/>
      <c r="AO263" s="14"/>
      <c r="AP263" s="16" t="str">
        <f>IF(AB263=0,"",IF(INDEX(Andamentos!$B$10:$B$2009,AB263)="","",INDEX(Andamentos!$B$10:$B$2009,AB263)))</f>
        <v/>
      </c>
      <c r="AQ263" s="17" t="str">
        <f>IF(AH263=0,"",IF(INDEX(Valores!$B$10:$B$509,AH263)="","",IF(ISNUMBER(INDEX(Valores!$B$10:$B$509,AH263)),INDEX(Valores!$B$10:$B$509,AH263),"")))</f>
        <v/>
      </c>
      <c r="AR263" s="14" t="str">
        <f t="shared" si="32"/>
        <v/>
      </c>
      <c r="AS263" s="14" t="str">
        <f t="shared" si="33"/>
        <v/>
      </c>
      <c r="AT263" s="27"/>
      <c r="AU263" s="31"/>
      <c r="AV263" s="31"/>
      <c r="AW263" s="27"/>
      <c r="AX263" s="27"/>
      <c r="AY263" s="27"/>
      <c r="AZ263" s="27"/>
      <c r="BA263" s="30" t="str">
        <f t="shared" si="34"/>
        <v/>
      </c>
      <c r="BB263" s="30" t="str">
        <f t="shared" si="35"/>
        <v/>
      </c>
      <c r="BC263" s="30">
        <f>IF(X263=0,0,IF(COUNTIFS($X$10:X263,1,$BA$10:BA263,BA263)=1,1,0))</f>
        <v>0</v>
      </c>
      <c r="BD263" s="29"/>
    </row>
    <row r="264" spans="1:56" ht="42" customHeight="1">
      <c r="A264" s="41"/>
      <c r="B264" s="44"/>
      <c r="C264" s="44"/>
      <c r="D264" s="44"/>
      <c r="E264" s="44"/>
      <c r="F264" s="44"/>
      <c r="G264" s="44"/>
      <c r="H264" s="44"/>
      <c r="I264" s="44"/>
      <c r="J264" s="44"/>
      <c r="K264" s="44"/>
      <c r="L264" s="49"/>
      <c r="M264" s="48"/>
      <c r="N264" s="48"/>
      <c r="O264" s="48"/>
      <c r="P264" s="48"/>
      <c r="Q264" s="48"/>
      <c r="R264" s="48"/>
      <c r="S264" s="49"/>
      <c r="T264" s="48"/>
      <c r="U264" s="48"/>
      <c r="V264" s="14">
        <f t="shared" si="27"/>
        <v>0</v>
      </c>
      <c r="W264" s="14">
        <f t="shared" si="28"/>
        <v>0</v>
      </c>
      <c r="X264" s="14">
        <f>IF(AND(V264=1,OR(Painel!$C$6="Todos",D264=Painel!$C$6),AND(OR(Painel!$L$6="Todas",E264=Painel!$L$6),OR(Painel!$C$8="Todos",F264=Painel!$C$8),OR(Painel!$L$8="Todos",G264=Painel!$L$8),OR(Painel!$C$10="",ISNUMBER(SEARCH(SUBSTITUTE(SUBSTITUTE(SUBSTITUTE(Painel!$C$10,"~","~~"),"*","~*"),"?","~?"),A264&amp;" "&amp;H264&amp;" "&amp;I264))))),1,0)</f>
        <v>0</v>
      </c>
      <c r="Y264" s="14">
        <f t="shared" si="29"/>
        <v>0</v>
      </c>
      <c r="Z264" s="15" t="str">
        <f>IF(V264=0,"",IF(COUNTIFS(Andamentos!$K$10:$K$2009,"="&amp;SUBSTITUTE(SUBSTITUTE(SUBSTITUTE("P:"&amp;A264,"~","~~"),"*","~*"),"?","~?"),Andamentos!$G$10:$G$2009,1)=0,"",_xlfn.AGGREGATE(14,6,Andamentos!$D$10:$D$2009/((Andamentos!$K$10:$K$2009=AS264)*(Andamentos!$G$10:$G$2009=1)),1)))</f>
        <v/>
      </c>
      <c r="AA264" s="14">
        <f>IF(Z264="",0,COUNTIFS(Andamentos!$K$10:$K$2009,"="&amp;SUBSTITUTE(SUBSTITUTE(SUBSTITUTE("P:"&amp;A264,"~","~~"),"*","~*"),"?","~?"),Andamentos!$D$10:$D$2009,Z264,Andamentos!$G$10:$G$2009,1))</f>
        <v>0</v>
      </c>
      <c r="AB264" s="14">
        <f>IF(AA264=1,SUMIFS(Andamentos!$L$10:$L$2009,Andamentos!$K$10:$K$2009,"="&amp;SUBSTITUTE(SUBSTITUTE(SUBSTITUTE(AS264,"~","~~"),"*","~*"),"?","~?"),Andamentos!$D$10:$D$2009,Z264,Andamentos!$G$10:$G$2009,1)-9,0)</f>
        <v>0</v>
      </c>
      <c r="AC264" s="14" t="str">
        <f>IF(V264=0,"",IF(AA264&gt;1,"Conferir recebimentos empatados",IF(AB264=0,"Sem atualização",INDEX(Andamentos!$C$10:$C$2009,AB264))))</f>
        <v/>
      </c>
      <c r="AD264" s="14">
        <f>IF(W264=0,0,IF(MAX(Z264,BD264)=0,1,IF(Configurar!$J$12-INT(MAX(Z264,BD264))&gt;Configurar!$J$11,1,0)))</f>
        <v>0</v>
      </c>
      <c r="AE264" s="16"/>
      <c r="AF264" s="14"/>
      <c r="AG264" s="14"/>
      <c r="AH264" s="14">
        <f>IF(AND(V264=1,COUNTIFS(Valores!$S$10:$S$509,"="&amp;SUBSTITUTE(SUBSTITUTE(SUBSTITUTE("P:"&amp;A264,"~","~~"),"*","~*"),"?","~?"))=1),(IF(ISNA(MATCH(SUBSTITUTE(SUBSTITUTE(SUBSTITUTE("P:"&amp;A264,"~","~~"),"*","~*"),"?","~?"),Valores!$S$10:$S$509,0)),9,INDEX(Valores!$R$10:$R$509,MATCH(SUBSTITUTE(SUBSTITUTE(SUBSTITUTE("P:"&amp;A264,"~","~~"),"*","~*"),"?","~?"),Valores!$S$10:$S$509,0)))-9),0)</f>
        <v>0</v>
      </c>
      <c r="AI264" s="40" t="str">
        <f t="shared" si="30"/>
        <v/>
      </c>
      <c r="AJ264" s="14" t="str">
        <f>IF(AND(X264=1,Y264=1),COUNTIFS($X$10:X264,1,$Y$10:Y264,1),"")</f>
        <v/>
      </c>
      <c r="AK264" s="14" t="str">
        <f>IF(X264=1,COUNTIFS($X$10:X264,1),"")</f>
        <v/>
      </c>
      <c r="AL264" s="14">
        <f>IF(AND(V264=1,AND(OR(Painel!$L$6="Todas",E264=Painel!$L$6),OR(Painel!$C$8="Todos",F264=Painel!$C$8),OR(Painel!$L$8="Todos",G264=Painel!$L$8),OR(Painel!$C$10="",ISNUMBER(SEARCH(SUBSTITUTE(SUBSTITUTE(SUBSTITUTE(Painel!$C$10,"~","~~"),"*","~*"),"?","~?"),A264&amp;" "&amp;H264&amp;" "&amp;I264))))),1,0)</f>
        <v>0</v>
      </c>
      <c r="AM264" s="14">
        <f t="shared" si="31"/>
        <v>0</v>
      </c>
      <c r="AN264" s="14"/>
      <c r="AO264" s="14"/>
      <c r="AP264" s="16" t="str">
        <f>IF(AB264=0,"",IF(INDEX(Andamentos!$B$10:$B$2009,AB264)="","",INDEX(Andamentos!$B$10:$B$2009,AB264)))</f>
        <v/>
      </c>
      <c r="AQ264" s="17" t="str">
        <f>IF(AH264=0,"",IF(INDEX(Valores!$B$10:$B$509,AH264)="","",IF(ISNUMBER(INDEX(Valores!$B$10:$B$509,AH264)),INDEX(Valores!$B$10:$B$509,AH264),"")))</f>
        <v/>
      </c>
      <c r="AR264" s="14" t="str">
        <f t="shared" si="32"/>
        <v/>
      </c>
      <c r="AS264" s="14" t="str">
        <f t="shared" si="33"/>
        <v/>
      </c>
      <c r="AT264" s="27"/>
      <c r="AU264" s="31"/>
      <c r="AV264" s="31"/>
      <c r="AW264" s="27"/>
      <c r="AX264" s="27"/>
      <c r="AY264" s="27"/>
      <c r="AZ264" s="27"/>
      <c r="BA264" s="30" t="str">
        <f t="shared" si="34"/>
        <v/>
      </c>
      <c r="BB264" s="30" t="str">
        <f t="shared" si="35"/>
        <v/>
      </c>
      <c r="BC264" s="30">
        <f>IF(X264=0,0,IF(COUNTIFS($X$10:X264,1,$BA$10:BA264,BA264)=1,1,0))</f>
        <v>0</v>
      </c>
      <c r="BD264" s="29"/>
    </row>
    <row r="265" spans="1:56" ht="42" customHeight="1">
      <c r="A265" s="41"/>
      <c r="B265" s="44"/>
      <c r="C265" s="44"/>
      <c r="D265" s="44"/>
      <c r="E265" s="44"/>
      <c r="F265" s="44"/>
      <c r="G265" s="44"/>
      <c r="H265" s="44"/>
      <c r="I265" s="44"/>
      <c r="J265" s="44"/>
      <c r="K265" s="44"/>
      <c r="L265" s="49"/>
      <c r="M265" s="48"/>
      <c r="N265" s="48"/>
      <c r="O265" s="48"/>
      <c r="P265" s="48"/>
      <c r="Q265" s="48"/>
      <c r="R265" s="48"/>
      <c r="S265" s="49"/>
      <c r="T265" s="48"/>
      <c r="U265" s="48"/>
      <c r="V265" s="14">
        <f t="shared" si="27"/>
        <v>0</v>
      </c>
      <c r="W265" s="14">
        <f t="shared" si="28"/>
        <v>0</v>
      </c>
      <c r="X265" s="14">
        <f>IF(AND(V265=1,OR(Painel!$C$6="Todos",D265=Painel!$C$6),AND(OR(Painel!$L$6="Todas",E265=Painel!$L$6),OR(Painel!$C$8="Todos",F265=Painel!$C$8),OR(Painel!$L$8="Todos",G265=Painel!$L$8),OR(Painel!$C$10="",ISNUMBER(SEARCH(SUBSTITUTE(SUBSTITUTE(SUBSTITUTE(Painel!$C$10,"~","~~"),"*","~*"),"?","~?"),A265&amp;" "&amp;H265&amp;" "&amp;I265))))),1,0)</f>
        <v>0</v>
      </c>
      <c r="Y265" s="14">
        <f t="shared" si="29"/>
        <v>0</v>
      </c>
      <c r="Z265" s="15" t="str">
        <f>IF(V265=0,"",IF(COUNTIFS(Andamentos!$K$10:$K$2009,"="&amp;SUBSTITUTE(SUBSTITUTE(SUBSTITUTE("P:"&amp;A265,"~","~~"),"*","~*"),"?","~?"),Andamentos!$G$10:$G$2009,1)=0,"",_xlfn.AGGREGATE(14,6,Andamentos!$D$10:$D$2009/((Andamentos!$K$10:$K$2009=AS265)*(Andamentos!$G$10:$G$2009=1)),1)))</f>
        <v/>
      </c>
      <c r="AA265" s="14">
        <f>IF(Z265="",0,COUNTIFS(Andamentos!$K$10:$K$2009,"="&amp;SUBSTITUTE(SUBSTITUTE(SUBSTITUTE("P:"&amp;A265,"~","~~"),"*","~*"),"?","~?"),Andamentos!$D$10:$D$2009,Z265,Andamentos!$G$10:$G$2009,1))</f>
        <v>0</v>
      </c>
      <c r="AB265" s="14">
        <f>IF(AA265=1,SUMIFS(Andamentos!$L$10:$L$2009,Andamentos!$K$10:$K$2009,"="&amp;SUBSTITUTE(SUBSTITUTE(SUBSTITUTE(AS265,"~","~~"),"*","~*"),"?","~?"),Andamentos!$D$10:$D$2009,Z265,Andamentos!$G$10:$G$2009,1)-9,0)</f>
        <v>0</v>
      </c>
      <c r="AC265" s="14" t="str">
        <f>IF(V265=0,"",IF(AA265&gt;1,"Conferir recebimentos empatados",IF(AB265=0,"Sem atualização",INDEX(Andamentos!$C$10:$C$2009,AB265))))</f>
        <v/>
      </c>
      <c r="AD265" s="14">
        <f>IF(W265=0,0,IF(MAX(Z265,BD265)=0,1,IF(Configurar!$J$12-INT(MAX(Z265,BD265))&gt;Configurar!$J$11,1,0)))</f>
        <v>0</v>
      </c>
      <c r="AE265" s="16"/>
      <c r="AF265" s="14"/>
      <c r="AG265" s="14"/>
      <c r="AH265" s="14">
        <f>IF(AND(V265=1,COUNTIFS(Valores!$S$10:$S$509,"="&amp;SUBSTITUTE(SUBSTITUTE(SUBSTITUTE("P:"&amp;A265,"~","~~"),"*","~*"),"?","~?"))=1),(IF(ISNA(MATCH(SUBSTITUTE(SUBSTITUTE(SUBSTITUTE("P:"&amp;A265,"~","~~"),"*","~*"),"?","~?"),Valores!$S$10:$S$509,0)),9,INDEX(Valores!$R$10:$R$509,MATCH(SUBSTITUTE(SUBSTITUTE(SUBSTITUTE("P:"&amp;A265,"~","~~"),"*","~*"),"?","~?"),Valores!$S$10:$S$509,0)))-9),0)</f>
        <v>0</v>
      </c>
      <c r="AI265" s="40" t="str">
        <f t="shared" si="30"/>
        <v/>
      </c>
      <c r="AJ265" s="14" t="str">
        <f>IF(AND(X265=1,Y265=1),COUNTIFS($X$10:X265,1,$Y$10:Y265,1),"")</f>
        <v/>
      </c>
      <c r="AK265" s="14" t="str">
        <f>IF(X265=1,COUNTIFS($X$10:X265,1),"")</f>
        <v/>
      </c>
      <c r="AL265" s="14">
        <f>IF(AND(V265=1,AND(OR(Painel!$L$6="Todas",E265=Painel!$L$6),OR(Painel!$C$8="Todos",F265=Painel!$C$8),OR(Painel!$L$8="Todos",G265=Painel!$L$8),OR(Painel!$C$10="",ISNUMBER(SEARCH(SUBSTITUTE(SUBSTITUTE(SUBSTITUTE(Painel!$C$10,"~","~~"),"*","~*"),"?","~?"),A265&amp;" "&amp;H265&amp;" "&amp;I265))))),1,0)</f>
        <v>0</v>
      </c>
      <c r="AM265" s="14">
        <f t="shared" si="31"/>
        <v>0</v>
      </c>
      <c r="AN265" s="14"/>
      <c r="AO265" s="14"/>
      <c r="AP265" s="16" t="str">
        <f>IF(AB265=0,"",IF(INDEX(Andamentos!$B$10:$B$2009,AB265)="","",INDEX(Andamentos!$B$10:$B$2009,AB265)))</f>
        <v/>
      </c>
      <c r="AQ265" s="17" t="str">
        <f>IF(AH265=0,"",IF(INDEX(Valores!$B$10:$B$509,AH265)="","",IF(ISNUMBER(INDEX(Valores!$B$10:$B$509,AH265)),INDEX(Valores!$B$10:$B$509,AH265),"")))</f>
        <v/>
      </c>
      <c r="AR265" s="14" t="str">
        <f t="shared" si="32"/>
        <v/>
      </c>
      <c r="AS265" s="14" t="str">
        <f t="shared" si="33"/>
        <v/>
      </c>
      <c r="AT265" s="27"/>
      <c r="AU265" s="31"/>
      <c r="AV265" s="31"/>
      <c r="AW265" s="27"/>
      <c r="AX265" s="27"/>
      <c r="AY265" s="27"/>
      <c r="AZ265" s="27"/>
      <c r="BA265" s="30" t="str">
        <f t="shared" si="34"/>
        <v/>
      </c>
      <c r="BB265" s="30" t="str">
        <f t="shared" si="35"/>
        <v/>
      </c>
      <c r="BC265" s="30">
        <f>IF(X265=0,0,IF(COUNTIFS($X$10:X265,1,$BA$10:BA265,BA265)=1,1,0))</f>
        <v>0</v>
      </c>
      <c r="BD265" s="29"/>
    </row>
    <row r="266" spans="1:56" ht="42" customHeight="1">
      <c r="A266" s="41"/>
      <c r="B266" s="44"/>
      <c r="C266" s="44"/>
      <c r="D266" s="44"/>
      <c r="E266" s="44"/>
      <c r="F266" s="44"/>
      <c r="G266" s="44"/>
      <c r="H266" s="44"/>
      <c r="I266" s="44"/>
      <c r="J266" s="44"/>
      <c r="K266" s="44"/>
      <c r="L266" s="49"/>
      <c r="M266" s="48"/>
      <c r="N266" s="48"/>
      <c r="O266" s="48"/>
      <c r="P266" s="48"/>
      <c r="Q266" s="48"/>
      <c r="R266" s="48"/>
      <c r="S266" s="49"/>
      <c r="T266" s="48"/>
      <c r="U266" s="48"/>
      <c r="V266" s="14">
        <f t="shared" ref="V266:V329" si="36">IF(AND(A266&lt;&gt;"",ISTEXT(A266),COUNTIFS($AS$10:$AS$509,"="&amp;SUBSTITUTE(SUBSTITUTE(SUBSTITUTE("P:"&amp;A266,"~","~~"),"*","~*"),"?","~?"))=1),1,0)</f>
        <v>0</v>
      </c>
      <c r="W266" s="14">
        <f t="shared" ref="W266:W329" si="37">IF(AND(V266=1,OR(C266="Ativo",C266="Suspenso")),1,0)</f>
        <v>0</v>
      </c>
      <c r="X266" s="14">
        <f>IF(AND(V266=1,OR(Painel!$C$6="Todos",D266=Painel!$C$6),AND(OR(Painel!$L$6="Todas",E266=Painel!$L$6),OR(Painel!$C$8="Todos",F266=Painel!$C$8),OR(Painel!$L$8="Todos",G266=Painel!$L$8),OR(Painel!$C$10="",ISNUMBER(SEARCH(SUBSTITUTE(SUBSTITUTE(SUBSTITUTE(Painel!$C$10,"~","~~"),"*","~*"),"?","~?"),A266&amp;" "&amp;H266&amp;" "&amp;I266))))),1,0)</f>
        <v>0</v>
      </c>
      <c r="Y266" s="14">
        <f t="shared" ref="Y266:Y329" si="38">IF(AND(W266=1,OR(N266="Crítica",O266="Sim",P266="Sim")),1,0)</f>
        <v>0</v>
      </c>
      <c r="Z266" s="15" t="str">
        <f>IF(V266=0,"",IF(COUNTIFS(Andamentos!$K$10:$K$2009,"="&amp;SUBSTITUTE(SUBSTITUTE(SUBSTITUTE("P:"&amp;A266,"~","~~"),"*","~*"),"?","~?"),Andamentos!$G$10:$G$2009,1)=0,"",_xlfn.AGGREGATE(14,6,Andamentos!$D$10:$D$2009/((Andamentos!$K$10:$K$2009=AS266)*(Andamentos!$G$10:$G$2009=1)),1)))</f>
        <v/>
      </c>
      <c r="AA266" s="14">
        <f>IF(Z266="",0,COUNTIFS(Andamentos!$K$10:$K$2009,"="&amp;SUBSTITUTE(SUBSTITUTE(SUBSTITUTE("P:"&amp;A266,"~","~~"),"*","~*"),"?","~?"),Andamentos!$D$10:$D$2009,Z266,Andamentos!$G$10:$G$2009,1))</f>
        <v>0</v>
      </c>
      <c r="AB266" s="14">
        <f>IF(AA266=1,SUMIFS(Andamentos!$L$10:$L$2009,Andamentos!$K$10:$K$2009,"="&amp;SUBSTITUTE(SUBSTITUTE(SUBSTITUTE(AS266,"~","~~"),"*","~*"),"?","~?"),Andamentos!$D$10:$D$2009,Z266,Andamentos!$G$10:$G$2009,1)-9,0)</f>
        <v>0</v>
      </c>
      <c r="AC266" s="14" t="str">
        <f>IF(V266=0,"",IF(AA266&gt;1,"Conferir recebimentos empatados",IF(AB266=0,"Sem atualização",INDEX(Andamentos!$C$10:$C$2009,AB266))))</f>
        <v/>
      </c>
      <c r="AD266" s="14">
        <f>IF(W266=0,0,IF(MAX(Z266,BD266)=0,1,IF(Configurar!$J$12-INT(MAX(Z266,BD266))&gt;Configurar!$J$11,1,0)))</f>
        <v>0</v>
      </c>
      <c r="AE266" s="16"/>
      <c r="AF266" s="14"/>
      <c r="AG266" s="14"/>
      <c r="AH266" s="14">
        <f>IF(AND(V266=1,COUNTIFS(Valores!$S$10:$S$509,"="&amp;SUBSTITUTE(SUBSTITUTE(SUBSTITUTE("P:"&amp;A266,"~","~~"),"*","~*"),"?","~?"))=1),(IF(ISNA(MATCH(SUBSTITUTE(SUBSTITUTE(SUBSTITUTE("P:"&amp;A266,"~","~~"),"*","~*"),"?","~?"),Valores!$S$10:$S$509,0)),9,INDEX(Valores!$R$10:$R$509,MATCH(SUBSTITUTE(SUBSTITUTE(SUBSTITUTE("P:"&amp;A266,"~","~~"),"*","~*"),"?","~?"),Valores!$S$10:$S$509,0)))-9),0)</f>
        <v>0</v>
      </c>
      <c r="AI266" s="40" t="str">
        <f t="shared" ref="AI266:AI329" si="39">IF(COUNTA(A266:U266)=0,"",IF(A266="","Preencha o número do processo",IF(NOT(ISTEXT(A266)),"Mantenha o número como texto",IF(V266=0,"Número duplicado: confira o identificador completo",IF(C266="","Informe a situação",IF(AND(C266&lt;&gt;"Ativo",C266&lt;&gt;"Suspenso",C266&lt;&gt;"Encerrado",C266&lt;&gt;"Arquivado"),"Escolha uma situação da lista",IF(D266="","Informe o escritório",IF(E266="","Informe a empresa responsável",IF(H266="","Informe a parte autora",IF(I266="","Informe a parte ré",IF(M266="","Inclua o resumo dos fatos",IF(AND(L266&lt;&gt;"",OR(NOT(ISNUMBER(L266)),L266&lt;1,L266&gt;100000)),"Revise a data de instauração",IF(AND(S266&lt;&gt;"",OR(NOT(ISNUMBER(S266)),S266&lt;1,S266&gt;100000)),"Revise a previsão de encerramento",IF(AND(OR(C266="Encerrado",C266="Arquivado"),OR(O266="Sim",P266="Sim")),"Reveja as restrições após o encerramento",""))))))))))))))</f>
        <v/>
      </c>
      <c r="AJ266" s="14" t="str">
        <f>IF(AND(X266=1,Y266=1),COUNTIFS($X$10:X266,1,$Y$10:Y266,1),"")</f>
        <v/>
      </c>
      <c r="AK266" s="14" t="str">
        <f>IF(X266=1,COUNTIFS($X$10:X266,1),"")</f>
        <v/>
      </c>
      <c r="AL266" s="14">
        <f>IF(AND(V266=1,AND(OR(Painel!$L$6="Todas",E266=Painel!$L$6),OR(Painel!$C$8="Todos",F266=Painel!$C$8),OR(Painel!$L$8="Todos",G266=Painel!$L$8),OR(Painel!$C$10="",ISNUMBER(SEARCH(SUBSTITUTE(SUBSTITUTE(SUBSTITUTE(Painel!$C$10,"~","~~"),"*","~*"),"?","~?"),A266&amp;" "&amp;H266&amp;" "&amp;I266))))),1,0)</f>
        <v>0</v>
      </c>
      <c r="AM266" s="14">
        <f t="shared" ref="AM266:AM329" si="40">IF(A266="",0,ROW())</f>
        <v>0</v>
      </c>
      <c r="AN266" s="14"/>
      <c r="AO266" s="14"/>
      <c r="AP266" s="16" t="str">
        <f>IF(AB266=0,"",IF(INDEX(Andamentos!$B$10:$B$2009,AB266)="","",INDEX(Andamentos!$B$10:$B$2009,AB266)))</f>
        <v/>
      </c>
      <c r="AQ266" s="17" t="str">
        <f>IF(AH266=0,"",IF(INDEX(Valores!$B$10:$B$509,AH266)="","",IF(ISNUMBER(INDEX(Valores!$B$10:$B$509,AH266)),INDEX(Valores!$B$10:$B$509,AH266),"")))</f>
        <v/>
      </c>
      <c r="AR266" s="14" t="str">
        <f t="shared" ref="AR266:AR329" si="41">IF(Y266=0,"",IF(N266="Crítica","Prioridade crítica. ","")&amp;IF(O266="Sim","Bloqueio vigente. ","")&amp;IF(P266="Sim","Penhora vigente. ","")&amp;IF(Q266="","",Q266))</f>
        <v/>
      </c>
      <c r="AS266" s="14" t="str">
        <f t="shared" ref="AS266:AS329" si="42">IF(AND(A266&lt;&gt;"",ISTEXT(A266)),"P:"&amp;A266,"")</f>
        <v/>
      </c>
      <c r="AT266" s="27"/>
      <c r="AU266" s="31"/>
      <c r="AV266" s="31"/>
      <c r="AW266" s="27"/>
      <c r="AX266" s="27"/>
      <c r="AY266" s="27"/>
      <c r="AZ266" s="27"/>
      <c r="BA266" s="30" t="str">
        <f t="shared" ref="BA266:BA329" si="43">IF(A266="","",IF(AU266&lt;&gt;"",AU266,IF(AV266&lt;&gt;"",AV266,A266)))</f>
        <v/>
      </c>
      <c r="BB266" s="30" t="str">
        <f t="shared" ref="BB266:BB329" si="44">IF(A266="","",IF(COUNTIFS($BA$10:$BA$509,BA266)&gt;1,"Revisar repetição",""))</f>
        <v/>
      </c>
      <c r="BC266" s="30">
        <f>IF(X266=0,0,IF(COUNTIFS($X$10:X266,1,$BA$10:BA266,BA266)=1,1,0))</f>
        <v>0</v>
      </c>
      <c r="BD266" s="29"/>
    </row>
    <row r="267" spans="1:56" ht="42" customHeight="1">
      <c r="A267" s="41"/>
      <c r="B267" s="44"/>
      <c r="C267" s="44"/>
      <c r="D267" s="44"/>
      <c r="E267" s="44"/>
      <c r="F267" s="44"/>
      <c r="G267" s="44"/>
      <c r="H267" s="44"/>
      <c r="I267" s="44"/>
      <c r="J267" s="44"/>
      <c r="K267" s="44"/>
      <c r="L267" s="49"/>
      <c r="M267" s="48"/>
      <c r="N267" s="48"/>
      <c r="O267" s="48"/>
      <c r="P267" s="48"/>
      <c r="Q267" s="48"/>
      <c r="R267" s="48"/>
      <c r="S267" s="49"/>
      <c r="T267" s="48"/>
      <c r="U267" s="48"/>
      <c r="V267" s="14">
        <f t="shared" si="36"/>
        <v>0</v>
      </c>
      <c r="W267" s="14">
        <f t="shared" si="37"/>
        <v>0</v>
      </c>
      <c r="X267" s="14">
        <f>IF(AND(V267=1,OR(Painel!$C$6="Todos",D267=Painel!$C$6),AND(OR(Painel!$L$6="Todas",E267=Painel!$L$6),OR(Painel!$C$8="Todos",F267=Painel!$C$8),OR(Painel!$L$8="Todos",G267=Painel!$L$8),OR(Painel!$C$10="",ISNUMBER(SEARCH(SUBSTITUTE(SUBSTITUTE(SUBSTITUTE(Painel!$C$10,"~","~~"),"*","~*"),"?","~?"),A267&amp;" "&amp;H267&amp;" "&amp;I267))))),1,0)</f>
        <v>0</v>
      </c>
      <c r="Y267" s="14">
        <f t="shared" si="38"/>
        <v>0</v>
      </c>
      <c r="Z267" s="15" t="str">
        <f>IF(V267=0,"",IF(COUNTIFS(Andamentos!$K$10:$K$2009,"="&amp;SUBSTITUTE(SUBSTITUTE(SUBSTITUTE("P:"&amp;A267,"~","~~"),"*","~*"),"?","~?"),Andamentos!$G$10:$G$2009,1)=0,"",_xlfn.AGGREGATE(14,6,Andamentos!$D$10:$D$2009/((Andamentos!$K$10:$K$2009=AS267)*(Andamentos!$G$10:$G$2009=1)),1)))</f>
        <v/>
      </c>
      <c r="AA267" s="14">
        <f>IF(Z267="",0,COUNTIFS(Andamentos!$K$10:$K$2009,"="&amp;SUBSTITUTE(SUBSTITUTE(SUBSTITUTE("P:"&amp;A267,"~","~~"),"*","~*"),"?","~?"),Andamentos!$D$10:$D$2009,Z267,Andamentos!$G$10:$G$2009,1))</f>
        <v>0</v>
      </c>
      <c r="AB267" s="14">
        <f>IF(AA267=1,SUMIFS(Andamentos!$L$10:$L$2009,Andamentos!$K$10:$K$2009,"="&amp;SUBSTITUTE(SUBSTITUTE(SUBSTITUTE(AS267,"~","~~"),"*","~*"),"?","~?"),Andamentos!$D$10:$D$2009,Z267,Andamentos!$G$10:$G$2009,1)-9,0)</f>
        <v>0</v>
      </c>
      <c r="AC267" s="14" t="str">
        <f>IF(V267=0,"",IF(AA267&gt;1,"Conferir recebimentos empatados",IF(AB267=0,"Sem atualização",INDEX(Andamentos!$C$10:$C$2009,AB267))))</f>
        <v/>
      </c>
      <c r="AD267" s="14">
        <f>IF(W267=0,0,IF(MAX(Z267,BD267)=0,1,IF(Configurar!$J$12-INT(MAX(Z267,BD267))&gt;Configurar!$J$11,1,0)))</f>
        <v>0</v>
      </c>
      <c r="AE267" s="16"/>
      <c r="AF267" s="14"/>
      <c r="AG267" s="14"/>
      <c r="AH267" s="14">
        <f>IF(AND(V267=1,COUNTIFS(Valores!$S$10:$S$509,"="&amp;SUBSTITUTE(SUBSTITUTE(SUBSTITUTE("P:"&amp;A267,"~","~~"),"*","~*"),"?","~?"))=1),(IF(ISNA(MATCH(SUBSTITUTE(SUBSTITUTE(SUBSTITUTE("P:"&amp;A267,"~","~~"),"*","~*"),"?","~?"),Valores!$S$10:$S$509,0)),9,INDEX(Valores!$R$10:$R$509,MATCH(SUBSTITUTE(SUBSTITUTE(SUBSTITUTE("P:"&amp;A267,"~","~~"),"*","~*"),"?","~?"),Valores!$S$10:$S$509,0)))-9),0)</f>
        <v>0</v>
      </c>
      <c r="AI267" s="40" t="str">
        <f t="shared" si="39"/>
        <v/>
      </c>
      <c r="AJ267" s="14" t="str">
        <f>IF(AND(X267=1,Y267=1),COUNTIFS($X$10:X267,1,$Y$10:Y267,1),"")</f>
        <v/>
      </c>
      <c r="AK267" s="14" t="str">
        <f>IF(X267=1,COUNTIFS($X$10:X267,1),"")</f>
        <v/>
      </c>
      <c r="AL267" s="14">
        <f>IF(AND(V267=1,AND(OR(Painel!$L$6="Todas",E267=Painel!$L$6),OR(Painel!$C$8="Todos",F267=Painel!$C$8),OR(Painel!$L$8="Todos",G267=Painel!$L$8),OR(Painel!$C$10="",ISNUMBER(SEARCH(SUBSTITUTE(SUBSTITUTE(SUBSTITUTE(Painel!$C$10,"~","~~"),"*","~*"),"?","~?"),A267&amp;" "&amp;H267&amp;" "&amp;I267))))),1,0)</f>
        <v>0</v>
      </c>
      <c r="AM267" s="14">
        <f t="shared" si="40"/>
        <v>0</v>
      </c>
      <c r="AN267" s="14"/>
      <c r="AO267" s="14"/>
      <c r="AP267" s="16" t="str">
        <f>IF(AB267=0,"",IF(INDEX(Andamentos!$B$10:$B$2009,AB267)="","",INDEX(Andamentos!$B$10:$B$2009,AB267)))</f>
        <v/>
      </c>
      <c r="AQ267" s="17" t="str">
        <f>IF(AH267=0,"",IF(INDEX(Valores!$B$10:$B$509,AH267)="","",IF(ISNUMBER(INDEX(Valores!$B$10:$B$509,AH267)),INDEX(Valores!$B$10:$B$509,AH267),"")))</f>
        <v/>
      </c>
      <c r="AR267" s="14" t="str">
        <f t="shared" si="41"/>
        <v/>
      </c>
      <c r="AS267" s="14" t="str">
        <f t="shared" si="42"/>
        <v/>
      </c>
      <c r="AT267" s="27"/>
      <c r="AU267" s="31"/>
      <c r="AV267" s="31"/>
      <c r="AW267" s="27"/>
      <c r="AX267" s="27"/>
      <c r="AY267" s="27"/>
      <c r="AZ267" s="27"/>
      <c r="BA267" s="30" t="str">
        <f t="shared" si="43"/>
        <v/>
      </c>
      <c r="BB267" s="30" t="str">
        <f t="shared" si="44"/>
        <v/>
      </c>
      <c r="BC267" s="30">
        <f>IF(X267=0,0,IF(COUNTIFS($X$10:X267,1,$BA$10:BA267,BA267)=1,1,0))</f>
        <v>0</v>
      </c>
      <c r="BD267" s="29"/>
    </row>
    <row r="268" spans="1:56" ht="42" customHeight="1">
      <c r="A268" s="41"/>
      <c r="B268" s="44"/>
      <c r="C268" s="44"/>
      <c r="D268" s="44"/>
      <c r="E268" s="44"/>
      <c r="F268" s="44"/>
      <c r="G268" s="44"/>
      <c r="H268" s="44"/>
      <c r="I268" s="44"/>
      <c r="J268" s="44"/>
      <c r="K268" s="44"/>
      <c r="L268" s="49"/>
      <c r="M268" s="48"/>
      <c r="N268" s="48"/>
      <c r="O268" s="48"/>
      <c r="P268" s="48"/>
      <c r="Q268" s="48"/>
      <c r="R268" s="48"/>
      <c r="S268" s="49"/>
      <c r="T268" s="48"/>
      <c r="U268" s="48"/>
      <c r="V268" s="14">
        <f t="shared" si="36"/>
        <v>0</v>
      </c>
      <c r="W268" s="14">
        <f t="shared" si="37"/>
        <v>0</v>
      </c>
      <c r="X268" s="14">
        <f>IF(AND(V268=1,OR(Painel!$C$6="Todos",D268=Painel!$C$6),AND(OR(Painel!$L$6="Todas",E268=Painel!$L$6),OR(Painel!$C$8="Todos",F268=Painel!$C$8),OR(Painel!$L$8="Todos",G268=Painel!$L$8),OR(Painel!$C$10="",ISNUMBER(SEARCH(SUBSTITUTE(SUBSTITUTE(SUBSTITUTE(Painel!$C$10,"~","~~"),"*","~*"),"?","~?"),A268&amp;" "&amp;H268&amp;" "&amp;I268))))),1,0)</f>
        <v>0</v>
      </c>
      <c r="Y268" s="14">
        <f t="shared" si="38"/>
        <v>0</v>
      </c>
      <c r="Z268" s="15" t="str">
        <f>IF(V268=0,"",IF(COUNTIFS(Andamentos!$K$10:$K$2009,"="&amp;SUBSTITUTE(SUBSTITUTE(SUBSTITUTE("P:"&amp;A268,"~","~~"),"*","~*"),"?","~?"),Andamentos!$G$10:$G$2009,1)=0,"",_xlfn.AGGREGATE(14,6,Andamentos!$D$10:$D$2009/((Andamentos!$K$10:$K$2009=AS268)*(Andamentos!$G$10:$G$2009=1)),1)))</f>
        <v/>
      </c>
      <c r="AA268" s="14">
        <f>IF(Z268="",0,COUNTIFS(Andamentos!$K$10:$K$2009,"="&amp;SUBSTITUTE(SUBSTITUTE(SUBSTITUTE("P:"&amp;A268,"~","~~"),"*","~*"),"?","~?"),Andamentos!$D$10:$D$2009,Z268,Andamentos!$G$10:$G$2009,1))</f>
        <v>0</v>
      </c>
      <c r="AB268" s="14">
        <f>IF(AA268=1,SUMIFS(Andamentos!$L$10:$L$2009,Andamentos!$K$10:$K$2009,"="&amp;SUBSTITUTE(SUBSTITUTE(SUBSTITUTE(AS268,"~","~~"),"*","~*"),"?","~?"),Andamentos!$D$10:$D$2009,Z268,Andamentos!$G$10:$G$2009,1)-9,0)</f>
        <v>0</v>
      </c>
      <c r="AC268" s="14" t="str">
        <f>IF(V268=0,"",IF(AA268&gt;1,"Conferir recebimentos empatados",IF(AB268=0,"Sem atualização",INDEX(Andamentos!$C$10:$C$2009,AB268))))</f>
        <v/>
      </c>
      <c r="AD268" s="14">
        <f>IF(W268=0,0,IF(MAX(Z268,BD268)=0,1,IF(Configurar!$J$12-INT(MAX(Z268,BD268))&gt;Configurar!$J$11,1,0)))</f>
        <v>0</v>
      </c>
      <c r="AE268" s="16"/>
      <c r="AF268" s="14"/>
      <c r="AG268" s="14"/>
      <c r="AH268" s="14">
        <f>IF(AND(V268=1,COUNTIFS(Valores!$S$10:$S$509,"="&amp;SUBSTITUTE(SUBSTITUTE(SUBSTITUTE("P:"&amp;A268,"~","~~"),"*","~*"),"?","~?"))=1),(IF(ISNA(MATCH(SUBSTITUTE(SUBSTITUTE(SUBSTITUTE("P:"&amp;A268,"~","~~"),"*","~*"),"?","~?"),Valores!$S$10:$S$509,0)),9,INDEX(Valores!$R$10:$R$509,MATCH(SUBSTITUTE(SUBSTITUTE(SUBSTITUTE("P:"&amp;A268,"~","~~"),"*","~*"),"?","~?"),Valores!$S$10:$S$509,0)))-9),0)</f>
        <v>0</v>
      </c>
      <c r="AI268" s="40" t="str">
        <f t="shared" si="39"/>
        <v/>
      </c>
      <c r="AJ268" s="14" t="str">
        <f>IF(AND(X268=1,Y268=1),COUNTIFS($X$10:X268,1,$Y$10:Y268,1),"")</f>
        <v/>
      </c>
      <c r="AK268" s="14" t="str">
        <f>IF(X268=1,COUNTIFS($X$10:X268,1),"")</f>
        <v/>
      </c>
      <c r="AL268" s="14">
        <f>IF(AND(V268=1,AND(OR(Painel!$L$6="Todas",E268=Painel!$L$6),OR(Painel!$C$8="Todos",F268=Painel!$C$8),OR(Painel!$L$8="Todos",G268=Painel!$L$8),OR(Painel!$C$10="",ISNUMBER(SEARCH(SUBSTITUTE(SUBSTITUTE(SUBSTITUTE(Painel!$C$10,"~","~~"),"*","~*"),"?","~?"),A268&amp;" "&amp;H268&amp;" "&amp;I268))))),1,0)</f>
        <v>0</v>
      </c>
      <c r="AM268" s="14">
        <f t="shared" si="40"/>
        <v>0</v>
      </c>
      <c r="AN268" s="14"/>
      <c r="AO268" s="14"/>
      <c r="AP268" s="16" t="str">
        <f>IF(AB268=0,"",IF(INDEX(Andamentos!$B$10:$B$2009,AB268)="","",INDEX(Andamentos!$B$10:$B$2009,AB268)))</f>
        <v/>
      </c>
      <c r="AQ268" s="17" t="str">
        <f>IF(AH268=0,"",IF(INDEX(Valores!$B$10:$B$509,AH268)="","",IF(ISNUMBER(INDEX(Valores!$B$10:$B$509,AH268)),INDEX(Valores!$B$10:$B$509,AH268),"")))</f>
        <v/>
      </c>
      <c r="AR268" s="14" t="str">
        <f t="shared" si="41"/>
        <v/>
      </c>
      <c r="AS268" s="14" t="str">
        <f t="shared" si="42"/>
        <v/>
      </c>
      <c r="AT268" s="27"/>
      <c r="AU268" s="31"/>
      <c r="AV268" s="31"/>
      <c r="AW268" s="27"/>
      <c r="AX268" s="27"/>
      <c r="AY268" s="27"/>
      <c r="AZ268" s="27"/>
      <c r="BA268" s="30" t="str">
        <f t="shared" si="43"/>
        <v/>
      </c>
      <c r="BB268" s="30" t="str">
        <f t="shared" si="44"/>
        <v/>
      </c>
      <c r="BC268" s="30">
        <f>IF(X268=0,0,IF(COUNTIFS($X$10:X268,1,$BA$10:BA268,BA268)=1,1,0))</f>
        <v>0</v>
      </c>
      <c r="BD268" s="29"/>
    </row>
    <row r="269" spans="1:56" ht="42" customHeight="1">
      <c r="A269" s="41"/>
      <c r="B269" s="44"/>
      <c r="C269" s="44"/>
      <c r="D269" s="44"/>
      <c r="E269" s="44"/>
      <c r="F269" s="44"/>
      <c r="G269" s="44"/>
      <c r="H269" s="44"/>
      <c r="I269" s="44"/>
      <c r="J269" s="44"/>
      <c r="K269" s="44"/>
      <c r="L269" s="49"/>
      <c r="M269" s="48"/>
      <c r="N269" s="48"/>
      <c r="O269" s="48"/>
      <c r="P269" s="48"/>
      <c r="Q269" s="48"/>
      <c r="R269" s="48"/>
      <c r="S269" s="49"/>
      <c r="T269" s="48"/>
      <c r="U269" s="48"/>
      <c r="V269" s="14">
        <f t="shared" si="36"/>
        <v>0</v>
      </c>
      <c r="W269" s="14">
        <f t="shared" si="37"/>
        <v>0</v>
      </c>
      <c r="X269" s="14">
        <f>IF(AND(V269=1,OR(Painel!$C$6="Todos",D269=Painel!$C$6),AND(OR(Painel!$L$6="Todas",E269=Painel!$L$6),OR(Painel!$C$8="Todos",F269=Painel!$C$8),OR(Painel!$L$8="Todos",G269=Painel!$L$8),OR(Painel!$C$10="",ISNUMBER(SEARCH(SUBSTITUTE(SUBSTITUTE(SUBSTITUTE(Painel!$C$10,"~","~~"),"*","~*"),"?","~?"),A269&amp;" "&amp;H269&amp;" "&amp;I269))))),1,0)</f>
        <v>0</v>
      </c>
      <c r="Y269" s="14">
        <f t="shared" si="38"/>
        <v>0</v>
      </c>
      <c r="Z269" s="15" t="str">
        <f>IF(V269=0,"",IF(COUNTIFS(Andamentos!$K$10:$K$2009,"="&amp;SUBSTITUTE(SUBSTITUTE(SUBSTITUTE("P:"&amp;A269,"~","~~"),"*","~*"),"?","~?"),Andamentos!$G$10:$G$2009,1)=0,"",_xlfn.AGGREGATE(14,6,Andamentos!$D$10:$D$2009/((Andamentos!$K$10:$K$2009=AS269)*(Andamentos!$G$10:$G$2009=1)),1)))</f>
        <v/>
      </c>
      <c r="AA269" s="14">
        <f>IF(Z269="",0,COUNTIFS(Andamentos!$K$10:$K$2009,"="&amp;SUBSTITUTE(SUBSTITUTE(SUBSTITUTE("P:"&amp;A269,"~","~~"),"*","~*"),"?","~?"),Andamentos!$D$10:$D$2009,Z269,Andamentos!$G$10:$G$2009,1))</f>
        <v>0</v>
      </c>
      <c r="AB269" s="14">
        <f>IF(AA269=1,SUMIFS(Andamentos!$L$10:$L$2009,Andamentos!$K$10:$K$2009,"="&amp;SUBSTITUTE(SUBSTITUTE(SUBSTITUTE(AS269,"~","~~"),"*","~*"),"?","~?"),Andamentos!$D$10:$D$2009,Z269,Andamentos!$G$10:$G$2009,1)-9,0)</f>
        <v>0</v>
      </c>
      <c r="AC269" s="14" t="str">
        <f>IF(V269=0,"",IF(AA269&gt;1,"Conferir recebimentos empatados",IF(AB269=0,"Sem atualização",INDEX(Andamentos!$C$10:$C$2009,AB269))))</f>
        <v/>
      </c>
      <c r="AD269" s="14">
        <f>IF(W269=0,0,IF(MAX(Z269,BD269)=0,1,IF(Configurar!$J$12-INT(MAX(Z269,BD269))&gt;Configurar!$J$11,1,0)))</f>
        <v>0</v>
      </c>
      <c r="AE269" s="16"/>
      <c r="AF269" s="14"/>
      <c r="AG269" s="14"/>
      <c r="AH269" s="14">
        <f>IF(AND(V269=1,COUNTIFS(Valores!$S$10:$S$509,"="&amp;SUBSTITUTE(SUBSTITUTE(SUBSTITUTE("P:"&amp;A269,"~","~~"),"*","~*"),"?","~?"))=1),(IF(ISNA(MATCH(SUBSTITUTE(SUBSTITUTE(SUBSTITUTE("P:"&amp;A269,"~","~~"),"*","~*"),"?","~?"),Valores!$S$10:$S$509,0)),9,INDEX(Valores!$R$10:$R$509,MATCH(SUBSTITUTE(SUBSTITUTE(SUBSTITUTE("P:"&amp;A269,"~","~~"),"*","~*"),"?","~?"),Valores!$S$10:$S$509,0)))-9),0)</f>
        <v>0</v>
      </c>
      <c r="AI269" s="40" t="str">
        <f t="shared" si="39"/>
        <v/>
      </c>
      <c r="AJ269" s="14" t="str">
        <f>IF(AND(X269=1,Y269=1),COUNTIFS($X$10:X269,1,$Y$10:Y269,1),"")</f>
        <v/>
      </c>
      <c r="AK269" s="14" t="str">
        <f>IF(X269=1,COUNTIFS($X$10:X269,1),"")</f>
        <v/>
      </c>
      <c r="AL269" s="14">
        <f>IF(AND(V269=1,AND(OR(Painel!$L$6="Todas",E269=Painel!$L$6),OR(Painel!$C$8="Todos",F269=Painel!$C$8),OR(Painel!$L$8="Todos",G269=Painel!$L$8),OR(Painel!$C$10="",ISNUMBER(SEARCH(SUBSTITUTE(SUBSTITUTE(SUBSTITUTE(Painel!$C$10,"~","~~"),"*","~*"),"?","~?"),A269&amp;" "&amp;H269&amp;" "&amp;I269))))),1,0)</f>
        <v>0</v>
      </c>
      <c r="AM269" s="14">
        <f t="shared" si="40"/>
        <v>0</v>
      </c>
      <c r="AN269" s="14"/>
      <c r="AO269" s="14"/>
      <c r="AP269" s="16" t="str">
        <f>IF(AB269=0,"",IF(INDEX(Andamentos!$B$10:$B$2009,AB269)="","",INDEX(Andamentos!$B$10:$B$2009,AB269)))</f>
        <v/>
      </c>
      <c r="AQ269" s="17" t="str">
        <f>IF(AH269=0,"",IF(INDEX(Valores!$B$10:$B$509,AH269)="","",IF(ISNUMBER(INDEX(Valores!$B$10:$B$509,AH269)),INDEX(Valores!$B$10:$B$509,AH269),"")))</f>
        <v/>
      </c>
      <c r="AR269" s="14" t="str">
        <f t="shared" si="41"/>
        <v/>
      </c>
      <c r="AS269" s="14" t="str">
        <f t="shared" si="42"/>
        <v/>
      </c>
      <c r="AT269" s="27"/>
      <c r="AU269" s="31"/>
      <c r="AV269" s="31"/>
      <c r="AW269" s="27"/>
      <c r="AX269" s="27"/>
      <c r="AY269" s="27"/>
      <c r="AZ269" s="27"/>
      <c r="BA269" s="30" t="str">
        <f t="shared" si="43"/>
        <v/>
      </c>
      <c r="BB269" s="30" t="str">
        <f t="shared" si="44"/>
        <v/>
      </c>
      <c r="BC269" s="30">
        <f>IF(X269=0,0,IF(COUNTIFS($X$10:X269,1,$BA$10:BA269,BA269)=1,1,0))</f>
        <v>0</v>
      </c>
      <c r="BD269" s="29"/>
    </row>
    <row r="270" spans="1:56" ht="42" customHeight="1">
      <c r="A270" s="41"/>
      <c r="B270" s="44"/>
      <c r="C270" s="44"/>
      <c r="D270" s="44"/>
      <c r="E270" s="44"/>
      <c r="F270" s="44"/>
      <c r="G270" s="44"/>
      <c r="H270" s="44"/>
      <c r="I270" s="44"/>
      <c r="J270" s="44"/>
      <c r="K270" s="44"/>
      <c r="L270" s="49"/>
      <c r="M270" s="48"/>
      <c r="N270" s="48"/>
      <c r="O270" s="48"/>
      <c r="P270" s="48"/>
      <c r="Q270" s="48"/>
      <c r="R270" s="48"/>
      <c r="S270" s="49"/>
      <c r="T270" s="48"/>
      <c r="U270" s="48"/>
      <c r="V270" s="14">
        <f t="shared" si="36"/>
        <v>0</v>
      </c>
      <c r="W270" s="14">
        <f t="shared" si="37"/>
        <v>0</v>
      </c>
      <c r="X270" s="14">
        <f>IF(AND(V270=1,OR(Painel!$C$6="Todos",D270=Painel!$C$6),AND(OR(Painel!$L$6="Todas",E270=Painel!$L$6),OR(Painel!$C$8="Todos",F270=Painel!$C$8),OR(Painel!$L$8="Todos",G270=Painel!$L$8),OR(Painel!$C$10="",ISNUMBER(SEARCH(SUBSTITUTE(SUBSTITUTE(SUBSTITUTE(Painel!$C$10,"~","~~"),"*","~*"),"?","~?"),A270&amp;" "&amp;H270&amp;" "&amp;I270))))),1,0)</f>
        <v>0</v>
      </c>
      <c r="Y270" s="14">
        <f t="shared" si="38"/>
        <v>0</v>
      </c>
      <c r="Z270" s="15" t="str">
        <f>IF(V270=0,"",IF(COUNTIFS(Andamentos!$K$10:$K$2009,"="&amp;SUBSTITUTE(SUBSTITUTE(SUBSTITUTE("P:"&amp;A270,"~","~~"),"*","~*"),"?","~?"),Andamentos!$G$10:$G$2009,1)=0,"",_xlfn.AGGREGATE(14,6,Andamentos!$D$10:$D$2009/((Andamentos!$K$10:$K$2009=AS270)*(Andamentos!$G$10:$G$2009=1)),1)))</f>
        <v/>
      </c>
      <c r="AA270" s="14">
        <f>IF(Z270="",0,COUNTIFS(Andamentos!$K$10:$K$2009,"="&amp;SUBSTITUTE(SUBSTITUTE(SUBSTITUTE("P:"&amp;A270,"~","~~"),"*","~*"),"?","~?"),Andamentos!$D$10:$D$2009,Z270,Andamentos!$G$10:$G$2009,1))</f>
        <v>0</v>
      </c>
      <c r="AB270" s="14">
        <f>IF(AA270=1,SUMIFS(Andamentos!$L$10:$L$2009,Andamentos!$K$10:$K$2009,"="&amp;SUBSTITUTE(SUBSTITUTE(SUBSTITUTE(AS270,"~","~~"),"*","~*"),"?","~?"),Andamentos!$D$10:$D$2009,Z270,Andamentos!$G$10:$G$2009,1)-9,0)</f>
        <v>0</v>
      </c>
      <c r="AC270" s="14" t="str">
        <f>IF(V270=0,"",IF(AA270&gt;1,"Conferir recebimentos empatados",IF(AB270=0,"Sem atualização",INDEX(Andamentos!$C$10:$C$2009,AB270))))</f>
        <v/>
      </c>
      <c r="AD270" s="14">
        <f>IF(W270=0,0,IF(MAX(Z270,BD270)=0,1,IF(Configurar!$J$12-INT(MAX(Z270,BD270))&gt;Configurar!$J$11,1,0)))</f>
        <v>0</v>
      </c>
      <c r="AE270" s="16"/>
      <c r="AF270" s="14"/>
      <c r="AG270" s="14"/>
      <c r="AH270" s="14">
        <f>IF(AND(V270=1,COUNTIFS(Valores!$S$10:$S$509,"="&amp;SUBSTITUTE(SUBSTITUTE(SUBSTITUTE("P:"&amp;A270,"~","~~"),"*","~*"),"?","~?"))=1),(IF(ISNA(MATCH(SUBSTITUTE(SUBSTITUTE(SUBSTITUTE("P:"&amp;A270,"~","~~"),"*","~*"),"?","~?"),Valores!$S$10:$S$509,0)),9,INDEX(Valores!$R$10:$R$509,MATCH(SUBSTITUTE(SUBSTITUTE(SUBSTITUTE("P:"&amp;A270,"~","~~"),"*","~*"),"?","~?"),Valores!$S$10:$S$509,0)))-9),0)</f>
        <v>0</v>
      </c>
      <c r="AI270" s="40" t="str">
        <f t="shared" si="39"/>
        <v/>
      </c>
      <c r="AJ270" s="14" t="str">
        <f>IF(AND(X270=1,Y270=1),COUNTIFS($X$10:X270,1,$Y$10:Y270,1),"")</f>
        <v/>
      </c>
      <c r="AK270" s="14" t="str">
        <f>IF(X270=1,COUNTIFS($X$10:X270,1),"")</f>
        <v/>
      </c>
      <c r="AL270" s="14">
        <f>IF(AND(V270=1,AND(OR(Painel!$L$6="Todas",E270=Painel!$L$6),OR(Painel!$C$8="Todos",F270=Painel!$C$8),OR(Painel!$L$8="Todos",G270=Painel!$L$8),OR(Painel!$C$10="",ISNUMBER(SEARCH(SUBSTITUTE(SUBSTITUTE(SUBSTITUTE(Painel!$C$10,"~","~~"),"*","~*"),"?","~?"),A270&amp;" "&amp;H270&amp;" "&amp;I270))))),1,0)</f>
        <v>0</v>
      </c>
      <c r="AM270" s="14">
        <f t="shared" si="40"/>
        <v>0</v>
      </c>
      <c r="AN270" s="14"/>
      <c r="AO270" s="14"/>
      <c r="AP270" s="16" t="str">
        <f>IF(AB270=0,"",IF(INDEX(Andamentos!$B$10:$B$2009,AB270)="","",INDEX(Andamentos!$B$10:$B$2009,AB270)))</f>
        <v/>
      </c>
      <c r="AQ270" s="17" t="str">
        <f>IF(AH270=0,"",IF(INDEX(Valores!$B$10:$B$509,AH270)="","",IF(ISNUMBER(INDEX(Valores!$B$10:$B$509,AH270)),INDEX(Valores!$B$10:$B$509,AH270),"")))</f>
        <v/>
      </c>
      <c r="AR270" s="14" t="str">
        <f t="shared" si="41"/>
        <v/>
      </c>
      <c r="AS270" s="14" t="str">
        <f t="shared" si="42"/>
        <v/>
      </c>
      <c r="AT270" s="27"/>
      <c r="AU270" s="31"/>
      <c r="AV270" s="31"/>
      <c r="AW270" s="27"/>
      <c r="AX270" s="27"/>
      <c r="AY270" s="27"/>
      <c r="AZ270" s="27"/>
      <c r="BA270" s="30" t="str">
        <f t="shared" si="43"/>
        <v/>
      </c>
      <c r="BB270" s="30" t="str">
        <f t="shared" si="44"/>
        <v/>
      </c>
      <c r="BC270" s="30">
        <f>IF(X270=0,0,IF(COUNTIFS($X$10:X270,1,$BA$10:BA270,BA270)=1,1,0))</f>
        <v>0</v>
      </c>
      <c r="BD270" s="29"/>
    </row>
    <row r="271" spans="1:56" ht="42" customHeight="1">
      <c r="A271" s="41"/>
      <c r="B271" s="44"/>
      <c r="C271" s="44"/>
      <c r="D271" s="44"/>
      <c r="E271" s="44"/>
      <c r="F271" s="44"/>
      <c r="G271" s="44"/>
      <c r="H271" s="44"/>
      <c r="I271" s="44"/>
      <c r="J271" s="44"/>
      <c r="K271" s="44"/>
      <c r="L271" s="49"/>
      <c r="M271" s="48"/>
      <c r="N271" s="48"/>
      <c r="O271" s="48"/>
      <c r="P271" s="48"/>
      <c r="Q271" s="48"/>
      <c r="R271" s="48"/>
      <c r="S271" s="49"/>
      <c r="T271" s="48"/>
      <c r="U271" s="48"/>
      <c r="V271" s="14">
        <f t="shared" si="36"/>
        <v>0</v>
      </c>
      <c r="W271" s="14">
        <f t="shared" si="37"/>
        <v>0</v>
      </c>
      <c r="X271" s="14">
        <f>IF(AND(V271=1,OR(Painel!$C$6="Todos",D271=Painel!$C$6),AND(OR(Painel!$L$6="Todas",E271=Painel!$L$6),OR(Painel!$C$8="Todos",F271=Painel!$C$8),OR(Painel!$L$8="Todos",G271=Painel!$L$8),OR(Painel!$C$10="",ISNUMBER(SEARCH(SUBSTITUTE(SUBSTITUTE(SUBSTITUTE(Painel!$C$10,"~","~~"),"*","~*"),"?","~?"),A271&amp;" "&amp;H271&amp;" "&amp;I271))))),1,0)</f>
        <v>0</v>
      </c>
      <c r="Y271" s="14">
        <f t="shared" si="38"/>
        <v>0</v>
      </c>
      <c r="Z271" s="15" t="str">
        <f>IF(V271=0,"",IF(COUNTIFS(Andamentos!$K$10:$K$2009,"="&amp;SUBSTITUTE(SUBSTITUTE(SUBSTITUTE("P:"&amp;A271,"~","~~"),"*","~*"),"?","~?"),Andamentos!$G$10:$G$2009,1)=0,"",_xlfn.AGGREGATE(14,6,Andamentos!$D$10:$D$2009/((Andamentos!$K$10:$K$2009=AS271)*(Andamentos!$G$10:$G$2009=1)),1)))</f>
        <v/>
      </c>
      <c r="AA271" s="14">
        <f>IF(Z271="",0,COUNTIFS(Andamentos!$K$10:$K$2009,"="&amp;SUBSTITUTE(SUBSTITUTE(SUBSTITUTE("P:"&amp;A271,"~","~~"),"*","~*"),"?","~?"),Andamentos!$D$10:$D$2009,Z271,Andamentos!$G$10:$G$2009,1))</f>
        <v>0</v>
      </c>
      <c r="AB271" s="14">
        <f>IF(AA271=1,SUMIFS(Andamentos!$L$10:$L$2009,Andamentos!$K$10:$K$2009,"="&amp;SUBSTITUTE(SUBSTITUTE(SUBSTITUTE(AS271,"~","~~"),"*","~*"),"?","~?"),Andamentos!$D$10:$D$2009,Z271,Andamentos!$G$10:$G$2009,1)-9,0)</f>
        <v>0</v>
      </c>
      <c r="AC271" s="14" t="str">
        <f>IF(V271=0,"",IF(AA271&gt;1,"Conferir recebimentos empatados",IF(AB271=0,"Sem atualização",INDEX(Andamentos!$C$10:$C$2009,AB271))))</f>
        <v/>
      </c>
      <c r="AD271" s="14">
        <f>IF(W271=0,0,IF(MAX(Z271,BD271)=0,1,IF(Configurar!$J$12-INT(MAX(Z271,BD271))&gt;Configurar!$J$11,1,0)))</f>
        <v>0</v>
      </c>
      <c r="AE271" s="16"/>
      <c r="AF271" s="14"/>
      <c r="AG271" s="14"/>
      <c r="AH271" s="14">
        <f>IF(AND(V271=1,COUNTIFS(Valores!$S$10:$S$509,"="&amp;SUBSTITUTE(SUBSTITUTE(SUBSTITUTE("P:"&amp;A271,"~","~~"),"*","~*"),"?","~?"))=1),(IF(ISNA(MATCH(SUBSTITUTE(SUBSTITUTE(SUBSTITUTE("P:"&amp;A271,"~","~~"),"*","~*"),"?","~?"),Valores!$S$10:$S$509,0)),9,INDEX(Valores!$R$10:$R$509,MATCH(SUBSTITUTE(SUBSTITUTE(SUBSTITUTE("P:"&amp;A271,"~","~~"),"*","~*"),"?","~?"),Valores!$S$10:$S$509,0)))-9),0)</f>
        <v>0</v>
      </c>
      <c r="AI271" s="40" t="str">
        <f t="shared" si="39"/>
        <v/>
      </c>
      <c r="AJ271" s="14" t="str">
        <f>IF(AND(X271=1,Y271=1),COUNTIFS($X$10:X271,1,$Y$10:Y271,1),"")</f>
        <v/>
      </c>
      <c r="AK271" s="14" t="str">
        <f>IF(X271=1,COUNTIFS($X$10:X271,1),"")</f>
        <v/>
      </c>
      <c r="AL271" s="14">
        <f>IF(AND(V271=1,AND(OR(Painel!$L$6="Todas",E271=Painel!$L$6),OR(Painel!$C$8="Todos",F271=Painel!$C$8),OR(Painel!$L$8="Todos",G271=Painel!$L$8),OR(Painel!$C$10="",ISNUMBER(SEARCH(SUBSTITUTE(SUBSTITUTE(SUBSTITUTE(Painel!$C$10,"~","~~"),"*","~*"),"?","~?"),A271&amp;" "&amp;H271&amp;" "&amp;I271))))),1,0)</f>
        <v>0</v>
      </c>
      <c r="AM271" s="14">
        <f t="shared" si="40"/>
        <v>0</v>
      </c>
      <c r="AN271" s="14"/>
      <c r="AO271" s="14"/>
      <c r="AP271" s="16" t="str">
        <f>IF(AB271=0,"",IF(INDEX(Andamentos!$B$10:$B$2009,AB271)="","",INDEX(Andamentos!$B$10:$B$2009,AB271)))</f>
        <v/>
      </c>
      <c r="AQ271" s="17" t="str">
        <f>IF(AH271=0,"",IF(INDEX(Valores!$B$10:$B$509,AH271)="","",IF(ISNUMBER(INDEX(Valores!$B$10:$B$509,AH271)),INDEX(Valores!$B$10:$B$509,AH271),"")))</f>
        <v/>
      </c>
      <c r="AR271" s="14" t="str">
        <f t="shared" si="41"/>
        <v/>
      </c>
      <c r="AS271" s="14" t="str">
        <f t="shared" si="42"/>
        <v/>
      </c>
      <c r="AT271" s="27"/>
      <c r="AU271" s="31"/>
      <c r="AV271" s="31"/>
      <c r="AW271" s="27"/>
      <c r="AX271" s="27"/>
      <c r="AY271" s="27"/>
      <c r="AZ271" s="27"/>
      <c r="BA271" s="30" t="str">
        <f t="shared" si="43"/>
        <v/>
      </c>
      <c r="BB271" s="30" t="str">
        <f t="shared" si="44"/>
        <v/>
      </c>
      <c r="BC271" s="30">
        <f>IF(X271=0,0,IF(COUNTIFS($X$10:X271,1,$BA$10:BA271,BA271)=1,1,0))</f>
        <v>0</v>
      </c>
      <c r="BD271" s="29"/>
    </row>
    <row r="272" spans="1:56" ht="42" customHeight="1">
      <c r="A272" s="41"/>
      <c r="B272" s="44"/>
      <c r="C272" s="44"/>
      <c r="D272" s="44"/>
      <c r="E272" s="44"/>
      <c r="F272" s="44"/>
      <c r="G272" s="44"/>
      <c r="H272" s="44"/>
      <c r="I272" s="44"/>
      <c r="J272" s="44"/>
      <c r="K272" s="44"/>
      <c r="L272" s="49"/>
      <c r="M272" s="48"/>
      <c r="N272" s="48"/>
      <c r="O272" s="48"/>
      <c r="P272" s="48"/>
      <c r="Q272" s="48"/>
      <c r="R272" s="48"/>
      <c r="S272" s="49"/>
      <c r="T272" s="48"/>
      <c r="U272" s="48"/>
      <c r="V272" s="14">
        <f t="shared" si="36"/>
        <v>0</v>
      </c>
      <c r="W272" s="14">
        <f t="shared" si="37"/>
        <v>0</v>
      </c>
      <c r="X272" s="14">
        <f>IF(AND(V272=1,OR(Painel!$C$6="Todos",D272=Painel!$C$6),AND(OR(Painel!$L$6="Todas",E272=Painel!$L$6),OR(Painel!$C$8="Todos",F272=Painel!$C$8),OR(Painel!$L$8="Todos",G272=Painel!$L$8),OR(Painel!$C$10="",ISNUMBER(SEARCH(SUBSTITUTE(SUBSTITUTE(SUBSTITUTE(Painel!$C$10,"~","~~"),"*","~*"),"?","~?"),A272&amp;" "&amp;H272&amp;" "&amp;I272))))),1,0)</f>
        <v>0</v>
      </c>
      <c r="Y272" s="14">
        <f t="shared" si="38"/>
        <v>0</v>
      </c>
      <c r="Z272" s="15" t="str">
        <f>IF(V272=0,"",IF(COUNTIFS(Andamentos!$K$10:$K$2009,"="&amp;SUBSTITUTE(SUBSTITUTE(SUBSTITUTE("P:"&amp;A272,"~","~~"),"*","~*"),"?","~?"),Andamentos!$G$10:$G$2009,1)=0,"",_xlfn.AGGREGATE(14,6,Andamentos!$D$10:$D$2009/((Andamentos!$K$10:$K$2009=AS272)*(Andamentos!$G$10:$G$2009=1)),1)))</f>
        <v/>
      </c>
      <c r="AA272" s="14">
        <f>IF(Z272="",0,COUNTIFS(Andamentos!$K$10:$K$2009,"="&amp;SUBSTITUTE(SUBSTITUTE(SUBSTITUTE("P:"&amp;A272,"~","~~"),"*","~*"),"?","~?"),Andamentos!$D$10:$D$2009,Z272,Andamentos!$G$10:$G$2009,1))</f>
        <v>0</v>
      </c>
      <c r="AB272" s="14">
        <f>IF(AA272=1,SUMIFS(Andamentos!$L$10:$L$2009,Andamentos!$K$10:$K$2009,"="&amp;SUBSTITUTE(SUBSTITUTE(SUBSTITUTE(AS272,"~","~~"),"*","~*"),"?","~?"),Andamentos!$D$10:$D$2009,Z272,Andamentos!$G$10:$G$2009,1)-9,0)</f>
        <v>0</v>
      </c>
      <c r="AC272" s="14" t="str">
        <f>IF(V272=0,"",IF(AA272&gt;1,"Conferir recebimentos empatados",IF(AB272=0,"Sem atualização",INDEX(Andamentos!$C$10:$C$2009,AB272))))</f>
        <v/>
      </c>
      <c r="AD272" s="14">
        <f>IF(W272=0,0,IF(MAX(Z272,BD272)=0,1,IF(Configurar!$J$12-INT(MAX(Z272,BD272))&gt;Configurar!$J$11,1,0)))</f>
        <v>0</v>
      </c>
      <c r="AE272" s="16"/>
      <c r="AF272" s="14"/>
      <c r="AG272" s="14"/>
      <c r="AH272" s="14">
        <f>IF(AND(V272=1,COUNTIFS(Valores!$S$10:$S$509,"="&amp;SUBSTITUTE(SUBSTITUTE(SUBSTITUTE("P:"&amp;A272,"~","~~"),"*","~*"),"?","~?"))=1),(IF(ISNA(MATCH(SUBSTITUTE(SUBSTITUTE(SUBSTITUTE("P:"&amp;A272,"~","~~"),"*","~*"),"?","~?"),Valores!$S$10:$S$509,0)),9,INDEX(Valores!$R$10:$R$509,MATCH(SUBSTITUTE(SUBSTITUTE(SUBSTITUTE("P:"&amp;A272,"~","~~"),"*","~*"),"?","~?"),Valores!$S$10:$S$509,0)))-9),0)</f>
        <v>0</v>
      </c>
      <c r="AI272" s="40" t="str">
        <f t="shared" si="39"/>
        <v/>
      </c>
      <c r="AJ272" s="14" t="str">
        <f>IF(AND(X272=1,Y272=1),COUNTIFS($X$10:X272,1,$Y$10:Y272,1),"")</f>
        <v/>
      </c>
      <c r="AK272" s="14" t="str">
        <f>IF(X272=1,COUNTIFS($X$10:X272,1),"")</f>
        <v/>
      </c>
      <c r="AL272" s="14">
        <f>IF(AND(V272=1,AND(OR(Painel!$L$6="Todas",E272=Painel!$L$6),OR(Painel!$C$8="Todos",F272=Painel!$C$8),OR(Painel!$L$8="Todos",G272=Painel!$L$8),OR(Painel!$C$10="",ISNUMBER(SEARCH(SUBSTITUTE(SUBSTITUTE(SUBSTITUTE(Painel!$C$10,"~","~~"),"*","~*"),"?","~?"),A272&amp;" "&amp;H272&amp;" "&amp;I272))))),1,0)</f>
        <v>0</v>
      </c>
      <c r="AM272" s="14">
        <f t="shared" si="40"/>
        <v>0</v>
      </c>
      <c r="AN272" s="14"/>
      <c r="AO272" s="14"/>
      <c r="AP272" s="16" t="str">
        <f>IF(AB272=0,"",IF(INDEX(Andamentos!$B$10:$B$2009,AB272)="","",INDEX(Andamentos!$B$10:$B$2009,AB272)))</f>
        <v/>
      </c>
      <c r="AQ272" s="17" t="str">
        <f>IF(AH272=0,"",IF(INDEX(Valores!$B$10:$B$509,AH272)="","",IF(ISNUMBER(INDEX(Valores!$B$10:$B$509,AH272)),INDEX(Valores!$B$10:$B$509,AH272),"")))</f>
        <v/>
      </c>
      <c r="AR272" s="14" t="str">
        <f t="shared" si="41"/>
        <v/>
      </c>
      <c r="AS272" s="14" t="str">
        <f t="shared" si="42"/>
        <v/>
      </c>
      <c r="AT272" s="27"/>
      <c r="AU272" s="31"/>
      <c r="AV272" s="31"/>
      <c r="AW272" s="27"/>
      <c r="AX272" s="27"/>
      <c r="AY272" s="27"/>
      <c r="AZ272" s="27"/>
      <c r="BA272" s="30" t="str">
        <f t="shared" si="43"/>
        <v/>
      </c>
      <c r="BB272" s="30" t="str">
        <f t="shared" si="44"/>
        <v/>
      </c>
      <c r="BC272" s="30">
        <f>IF(X272=0,0,IF(COUNTIFS($X$10:X272,1,$BA$10:BA272,BA272)=1,1,0))</f>
        <v>0</v>
      </c>
      <c r="BD272" s="29"/>
    </row>
    <row r="273" spans="1:56" ht="42" customHeight="1">
      <c r="A273" s="41"/>
      <c r="B273" s="44"/>
      <c r="C273" s="44"/>
      <c r="D273" s="44"/>
      <c r="E273" s="44"/>
      <c r="F273" s="44"/>
      <c r="G273" s="44"/>
      <c r="H273" s="44"/>
      <c r="I273" s="44"/>
      <c r="J273" s="44"/>
      <c r="K273" s="44"/>
      <c r="L273" s="49"/>
      <c r="M273" s="48"/>
      <c r="N273" s="48"/>
      <c r="O273" s="48"/>
      <c r="P273" s="48"/>
      <c r="Q273" s="48"/>
      <c r="R273" s="48"/>
      <c r="S273" s="49"/>
      <c r="T273" s="48"/>
      <c r="U273" s="48"/>
      <c r="V273" s="14">
        <f t="shared" si="36"/>
        <v>0</v>
      </c>
      <c r="W273" s="14">
        <f t="shared" si="37"/>
        <v>0</v>
      </c>
      <c r="X273" s="14">
        <f>IF(AND(V273=1,OR(Painel!$C$6="Todos",D273=Painel!$C$6),AND(OR(Painel!$L$6="Todas",E273=Painel!$L$6),OR(Painel!$C$8="Todos",F273=Painel!$C$8),OR(Painel!$L$8="Todos",G273=Painel!$L$8),OR(Painel!$C$10="",ISNUMBER(SEARCH(SUBSTITUTE(SUBSTITUTE(SUBSTITUTE(Painel!$C$10,"~","~~"),"*","~*"),"?","~?"),A273&amp;" "&amp;H273&amp;" "&amp;I273))))),1,0)</f>
        <v>0</v>
      </c>
      <c r="Y273" s="14">
        <f t="shared" si="38"/>
        <v>0</v>
      </c>
      <c r="Z273" s="15" t="str">
        <f>IF(V273=0,"",IF(COUNTIFS(Andamentos!$K$10:$K$2009,"="&amp;SUBSTITUTE(SUBSTITUTE(SUBSTITUTE("P:"&amp;A273,"~","~~"),"*","~*"),"?","~?"),Andamentos!$G$10:$G$2009,1)=0,"",_xlfn.AGGREGATE(14,6,Andamentos!$D$10:$D$2009/((Andamentos!$K$10:$K$2009=AS273)*(Andamentos!$G$10:$G$2009=1)),1)))</f>
        <v/>
      </c>
      <c r="AA273" s="14">
        <f>IF(Z273="",0,COUNTIFS(Andamentos!$K$10:$K$2009,"="&amp;SUBSTITUTE(SUBSTITUTE(SUBSTITUTE("P:"&amp;A273,"~","~~"),"*","~*"),"?","~?"),Andamentos!$D$10:$D$2009,Z273,Andamentos!$G$10:$G$2009,1))</f>
        <v>0</v>
      </c>
      <c r="AB273" s="14">
        <f>IF(AA273=1,SUMIFS(Andamentos!$L$10:$L$2009,Andamentos!$K$10:$K$2009,"="&amp;SUBSTITUTE(SUBSTITUTE(SUBSTITUTE(AS273,"~","~~"),"*","~*"),"?","~?"),Andamentos!$D$10:$D$2009,Z273,Andamentos!$G$10:$G$2009,1)-9,0)</f>
        <v>0</v>
      </c>
      <c r="AC273" s="14" t="str">
        <f>IF(V273=0,"",IF(AA273&gt;1,"Conferir recebimentos empatados",IF(AB273=0,"Sem atualização",INDEX(Andamentos!$C$10:$C$2009,AB273))))</f>
        <v/>
      </c>
      <c r="AD273" s="14">
        <f>IF(W273=0,0,IF(MAX(Z273,BD273)=0,1,IF(Configurar!$J$12-INT(MAX(Z273,BD273))&gt;Configurar!$J$11,1,0)))</f>
        <v>0</v>
      </c>
      <c r="AE273" s="16"/>
      <c r="AF273" s="14"/>
      <c r="AG273" s="14"/>
      <c r="AH273" s="14">
        <f>IF(AND(V273=1,COUNTIFS(Valores!$S$10:$S$509,"="&amp;SUBSTITUTE(SUBSTITUTE(SUBSTITUTE("P:"&amp;A273,"~","~~"),"*","~*"),"?","~?"))=1),(IF(ISNA(MATCH(SUBSTITUTE(SUBSTITUTE(SUBSTITUTE("P:"&amp;A273,"~","~~"),"*","~*"),"?","~?"),Valores!$S$10:$S$509,0)),9,INDEX(Valores!$R$10:$R$509,MATCH(SUBSTITUTE(SUBSTITUTE(SUBSTITUTE("P:"&amp;A273,"~","~~"),"*","~*"),"?","~?"),Valores!$S$10:$S$509,0)))-9),0)</f>
        <v>0</v>
      </c>
      <c r="AI273" s="40" t="str">
        <f t="shared" si="39"/>
        <v/>
      </c>
      <c r="AJ273" s="14" t="str">
        <f>IF(AND(X273=1,Y273=1),COUNTIFS($X$10:X273,1,$Y$10:Y273,1),"")</f>
        <v/>
      </c>
      <c r="AK273" s="14" t="str">
        <f>IF(X273=1,COUNTIFS($X$10:X273,1),"")</f>
        <v/>
      </c>
      <c r="AL273" s="14">
        <f>IF(AND(V273=1,AND(OR(Painel!$L$6="Todas",E273=Painel!$L$6),OR(Painel!$C$8="Todos",F273=Painel!$C$8),OR(Painel!$L$8="Todos",G273=Painel!$L$8),OR(Painel!$C$10="",ISNUMBER(SEARCH(SUBSTITUTE(SUBSTITUTE(SUBSTITUTE(Painel!$C$10,"~","~~"),"*","~*"),"?","~?"),A273&amp;" "&amp;H273&amp;" "&amp;I273))))),1,0)</f>
        <v>0</v>
      </c>
      <c r="AM273" s="14">
        <f t="shared" si="40"/>
        <v>0</v>
      </c>
      <c r="AN273" s="14"/>
      <c r="AO273" s="14"/>
      <c r="AP273" s="16" t="str">
        <f>IF(AB273=0,"",IF(INDEX(Andamentos!$B$10:$B$2009,AB273)="","",INDEX(Andamentos!$B$10:$B$2009,AB273)))</f>
        <v/>
      </c>
      <c r="AQ273" s="17" t="str">
        <f>IF(AH273=0,"",IF(INDEX(Valores!$B$10:$B$509,AH273)="","",IF(ISNUMBER(INDEX(Valores!$B$10:$B$509,AH273)),INDEX(Valores!$B$10:$B$509,AH273),"")))</f>
        <v/>
      </c>
      <c r="AR273" s="14" t="str">
        <f t="shared" si="41"/>
        <v/>
      </c>
      <c r="AS273" s="14" t="str">
        <f t="shared" si="42"/>
        <v/>
      </c>
      <c r="AT273" s="27"/>
      <c r="AU273" s="31"/>
      <c r="AV273" s="31"/>
      <c r="AW273" s="27"/>
      <c r="AX273" s="27"/>
      <c r="AY273" s="27"/>
      <c r="AZ273" s="27"/>
      <c r="BA273" s="30" t="str">
        <f t="shared" si="43"/>
        <v/>
      </c>
      <c r="BB273" s="30" t="str">
        <f t="shared" si="44"/>
        <v/>
      </c>
      <c r="BC273" s="30">
        <f>IF(X273=0,0,IF(COUNTIFS($X$10:X273,1,$BA$10:BA273,BA273)=1,1,0))</f>
        <v>0</v>
      </c>
      <c r="BD273" s="29"/>
    </row>
    <row r="274" spans="1:56" ht="42" customHeight="1">
      <c r="A274" s="41"/>
      <c r="B274" s="44"/>
      <c r="C274" s="44"/>
      <c r="D274" s="44"/>
      <c r="E274" s="44"/>
      <c r="F274" s="44"/>
      <c r="G274" s="44"/>
      <c r="H274" s="44"/>
      <c r="I274" s="44"/>
      <c r="J274" s="44"/>
      <c r="K274" s="44"/>
      <c r="L274" s="49"/>
      <c r="M274" s="48"/>
      <c r="N274" s="48"/>
      <c r="O274" s="48"/>
      <c r="P274" s="48"/>
      <c r="Q274" s="48"/>
      <c r="R274" s="48"/>
      <c r="S274" s="49"/>
      <c r="T274" s="48"/>
      <c r="U274" s="48"/>
      <c r="V274" s="14">
        <f t="shared" si="36"/>
        <v>0</v>
      </c>
      <c r="W274" s="14">
        <f t="shared" si="37"/>
        <v>0</v>
      </c>
      <c r="X274" s="14">
        <f>IF(AND(V274=1,OR(Painel!$C$6="Todos",D274=Painel!$C$6),AND(OR(Painel!$L$6="Todas",E274=Painel!$L$6),OR(Painel!$C$8="Todos",F274=Painel!$C$8),OR(Painel!$L$8="Todos",G274=Painel!$L$8),OR(Painel!$C$10="",ISNUMBER(SEARCH(SUBSTITUTE(SUBSTITUTE(SUBSTITUTE(Painel!$C$10,"~","~~"),"*","~*"),"?","~?"),A274&amp;" "&amp;H274&amp;" "&amp;I274))))),1,0)</f>
        <v>0</v>
      </c>
      <c r="Y274" s="14">
        <f t="shared" si="38"/>
        <v>0</v>
      </c>
      <c r="Z274" s="15" t="str">
        <f>IF(V274=0,"",IF(COUNTIFS(Andamentos!$K$10:$K$2009,"="&amp;SUBSTITUTE(SUBSTITUTE(SUBSTITUTE("P:"&amp;A274,"~","~~"),"*","~*"),"?","~?"),Andamentos!$G$10:$G$2009,1)=0,"",_xlfn.AGGREGATE(14,6,Andamentos!$D$10:$D$2009/((Andamentos!$K$10:$K$2009=AS274)*(Andamentos!$G$10:$G$2009=1)),1)))</f>
        <v/>
      </c>
      <c r="AA274" s="14">
        <f>IF(Z274="",0,COUNTIFS(Andamentos!$K$10:$K$2009,"="&amp;SUBSTITUTE(SUBSTITUTE(SUBSTITUTE("P:"&amp;A274,"~","~~"),"*","~*"),"?","~?"),Andamentos!$D$10:$D$2009,Z274,Andamentos!$G$10:$G$2009,1))</f>
        <v>0</v>
      </c>
      <c r="AB274" s="14">
        <f>IF(AA274=1,SUMIFS(Andamentos!$L$10:$L$2009,Andamentos!$K$10:$K$2009,"="&amp;SUBSTITUTE(SUBSTITUTE(SUBSTITUTE(AS274,"~","~~"),"*","~*"),"?","~?"),Andamentos!$D$10:$D$2009,Z274,Andamentos!$G$10:$G$2009,1)-9,0)</f>
        <v>0</v>
      </c>
      <c r="AC274" s="14" t="str">
        <f>IF(V274=0,"",IF(AA274&gt;1,"Conferir recebimentos empatados",IF(AB274=0,"Sem atualização",INDEX(Andamentos!$C$10:$C$2009,AB274))))</f>
        <v/>
      </c>
      <c r="AD274" s="14">
        <f>IF(W274=0,0,IF(MAX(Z274,BD274)=0,1,IF(Configurar!$J$12-INT(MAX(Z274,BD274))&gt;Configurar!$J$11,1,0)))</f>
        <v>0</v>
      </c>
      <c r="AE274" s="16"/>
      <c r="AF274" s="14"/>
      <c r="AG274" s="14"/>
      <c r="AH274" s="14">
        <f>IF(AND(V274=1,COUNTIFS(Valores!$S$10:$S$509,"="&amp;SUBSTITUTE(SUBSTITUTE(SUBSTITUTE("P:"&amp;A274,"~","~~"),"*","~*"),"?","~?"))=1),(IF(ISNA(MATCH(SUBSTITUTE(SUBSTITUTE(SUBSTITUTE("P:"&amp;A274,"~","~~"),"*","~*"),"?","~?"),Valores!$S$10:$S$509,0)),9,INDEX(Valores!$R$10:$R$509,MATCH(SUBSTITUTE(SUBSTITUTE(SUBSTITUTE("P:"&amp;A274,"~","~~"),"*","~*"),"?","~?"),Valores!$S$10:$S$509,0)))-9),0)</f>
        <v>0</v>
      </c>
      <c r="AI274" s="40" t="str">
        <f t="shared" si="39"/>
        <v/>
      </c>
      <c r="AJ274" s="14" t="str">
        <f>IF(AND(X274=1,Y274=1),COUNTIFS($X$10:X274,1,$Y$10:Y274,1),"")</f>
        <v/>
      </c>
      <c r="AK274" s="14" t="str">
        <f>IF(X274=1,COUNTIFS($X$10:X274,1),"")</f>
        <v/>
      </c>
      <c r="AL274" s="14">
        <f>IF(AND(V274=1,AND(OR(Painel!$L$6="Todas",E274=Painel!$L$6),OR(Painel!$C$8="Todos",F274=Painel!$C$8),OR(Painel!$L$8="Todos",G274=Painel!$L$8),OR(Painel!$C$10="",ISNUMBER(SEARCH(SUBSTITUTE(SUBSTITUTE(SUBSTITUTE(Painel!$C$10,"~","~~"),"*","~*"),"?","~?"),A274&amp;" "&amp;H274&amp;" "&amp;I274))))),1,0)</f>
        <v>0</v>
      </c>
      <c r="AM274" s="14">
        <f t="shared" si="40"/>
        <v>0</v>
      </c>
      <c r="AN274" s="14"/>
      <c r="AO274" s="14"/>
      <c r="AP274" s="16" t="str">
        <f>IF(AB274=0,"",IF(INDEX(Andamentos!$B$10:$B$2009,AB274)="","",INDEX(Andamentos!$B$10:$B$2009,AB274)))</f>
        <v/>
      </c>
      <c r="AQ274" s="17" t="str">
        <f>IF(AH274=0,"",IF(INDEX(Valores!$B$10:$B$509,AH274)="","",IF(ISNUMBER(INDEX(Valores!$B$10:$B$509,AH274)),INDEX(Valores!$B$10:$B$509,AH274),"")))</f>
        <v/>
      </c>
      <c r="AR274" s="14" t="str">
        <f t="shared" si="41"/>
        <v/>
      </c>
      <c r="AS274" s="14" t="str">
        <f t="shared" si="42"/>
        <v/>
      </c>
      <c r="AT274" s="27"/>
      <c r="AU274" s="31"/>
      <c r="AV274" s="31"/>
      <c r="AW274" s="27"/>
      <c r="AX274" s="27"/>
      <c r="AY274" s="27"/>
      <c r="AZ274" s="27"/>
      <c r="BA274" s="30" t="str">
        <f t="shared" si="43"/>
        <v/>
      </c>
      <c r="BB274" s="30" t="str">
        <f t="shared" si="44"/>
        <v/>
      </c>
      <c r="BC274" s="30">
        <f>IF(X274=0,0,IF(COUNTIFS($X$10:X274,1,$BA$10:BA274,BA274)=1,1,0))</f>
        <v>0</v>
      </c>
      <c r="BD274" s="29"/>
    </row>
    <row r="275" spans="1:56" ht="42" customHeight="1">
      <c r="A275" s="41"/>
      <c r="B275" s="44"/>
      <c r="C275" s="44"/>
      <c r="D275" s="44"/>
      <c r="E275" s="44"/>
      <c r="F275" s="44"/>
      <c r="G275" s="44"/>
      <c r="H275" s="44"/>
      <c r="I275" s="44"/>
      <c r="J275" s="44"/>
      <c r="K275" s="44"/>
      <c r="L275" s="49"/>
      <c r="M275" s="48"/>
      <c r="N275" s="48"/>
      <c r="O275" s="48"/>
      <c r="P275" s="48"/>
      <c r="Q275" s="48"/>
      <c r="R275" s="48"/>
      <c r="S275" s="49"/>
      <c r="T275" s="48"/>
      <c r="U275" s="48"/>
      <c r="V275" s="14">
        <f t="shared" si="36"/>
        <v>0</v>
      </c>
      <c r="W275" s="14">
        <f t="shared" si="37"/>
        <v>0</v>
      </c>
      <c r="X275" s="14">
        <f>IF(AND(V275=1,OR(Painel!$C$6="Todos",D275=Painel!$C$6),AND(OR(Painel!$L$6="Todas",E275=Painel!$L$6),OR(Painel!$C$8="Todos",F275=Painel!$C$8),OR(Painel!$L$8="Todos",G275=Painel!$L$8),OR(Painel!$C$10="",ISNUMBER(SEARCH(SUBSTITUTE(SUBSTITUTE(SUBSTITUTE(Painel!$C$10,"~","~~"),"*","~*"),"?","~?"),A275&amp;" "&amp;H275&amp;" "&amp;I275))))),1,0)</f>
        <v>0</v>
      </c>
      <c r="Y275" s="14">
        <f t="shared" si="38"/>
        <v>0</v>
      </c>
      <c r="Z275" s="15" t="str">
        <f>IF(V275=0,"",IF(COUNTIFS(Andamentos!$K$10:$K$2009,"="&amp;SUBSTITUTE(SUBSTITUTE(SUBSTITUTE("P:"&amp;A275,"~","~~"),"*","~*"),"?","~?"),Andamentos!$G$10:$G$2009,1)=0,"",_xlfn.AGGREGATE(14,6,Andamentos!$D$10:$D$2009/((Andamentos!$K$10:$K$2009=AS275)*(Andamentos!$G$10:$G$2009=1)),1)))</f>
        <v/>
      </c>
      <c r="AA275" s="14">
        <f>IF(Z275="",0,COUNTIFS(Andamentos!$K$10:$K$2009,"="&amp;SUBSTITUTE(SUBSTITUTE(SUBSTITUTE("P:"&amp;A275,"~","~~"),"*","~*"),"?","~?"),Andamentos!$D$10:$D$2009,Z275,Andamentos!$G$10:$G$2009,1))</f>
        <v>0</v>
      </c>
      <c r="AB275" s="14">
        <f>IF(AA275=1,SUMIFS(Andamentos!$L$10:$L$2009,Andamentos!$K$10:$K$2009,"="&amp;SUBSTITUTE(SUBSTITUTE(SUBSTITUTE(AS275,"~","~~"),"*","~*"),"?","~?"),Andamentos!$D$10:$D$2009,Z275,Andamentos!$G$10:$G$2009,1)-9,0)</f>
        <v>0</v>
      </c>
      <c r="AC275" s="14" t="str">
        <f>IF(V275=0,"",IF(AA275&gt;1,"Conferir recebimentos empatados",IF(AB275=0,"Sem atualização",INDEX(Andamentos!$C$10:$C$2009,AB275))))</f>
        <v/>
      </c>
      <c r="AD275" s="14">
        <f>IF(W275=0,0,IF(MAX(Z275,BD275)=0,1,IF(Configurar!$J$12-INT(MAX(Z275,BD275))&gt;Configurar!$J$11,1,0)))</f>
        <v>0</v>
      </c>
      <c r="AE275" s="16"/>
      <c r="AF275" s="14"/>
      <c r="AG275" s="14"/>
      <c r="AH275" s="14">
        <f>IF(AND(V275=1,COUNTIFS(Valores!$S$10:$S$509,"="&amp;SUBSTITUTE(SUBSTITUTE(SUBSTITUTE("P:"&amp;A275,"~","~~"),"*","~*"),"?","~?"))=1),(IF(ISNA(MATCH(SUBSTITUTE(SUBSTITUTE(SUBSTITUTE("P:"&amp;A275,"~","~~"),"*","~*"),"?","~?"),Valores!$S$10:$S$509,0)),9,INDEX(Valores!$R$10:$R$509,MATCH(SUBSTITUTE(SUBSTITUTE(SUBSTITUTE("P:"&amp;A275,"~","~~"),"*","~*"),"?","~?"),Valores!$S$10:$S$509,0)))-9),0)</f>
        <v>0</v>
      </c>
      <c r="AI275" s="40" t="str">
        <f t="shared" si="39"/>
        <v/>
      </c>
      <c r="AJ275" s="14" t="str">
        <f>IF(AND(X275=1,Y275=1),COUNTIFS($X$10:X275,1,$Y$10:Y275,1),"")</f>
        <v/>
      </c>
      <c r="AK275" s="14" t="str">
        <f>IF(X275=1,COUNTIFS($X$10:X275,1),"")</f>
        <v/>
      </c>
      <c r="AL275" s="14">
        <f>IF(AND(V275=1,AND(OR(Painel!$L$6="Todas",E275=Painel!$L$6),OR(Painel!$C$8="Todos",F275=Painel!$C$8),OR(Painel!$L$8="Todos",G275=Painel!$L$8),OR(Painel!$C$10="",ISNUMBER(SEARCH(SUBSTITUTE(SUBSTITUTE(SUBSTITUTE(Painel!$C$10,"~","~~"),"*","~*"),"?","~?"),A275&amp;" "&amp;H275&amp;" "&amp;I275))))),1,0)</f>
        <v>0</v>
      </c>
      <c r="AM275" s="14">
        <f t="shared" si="40"/>
        <v>0</v>
      </c>
      <c r="AN275" s="14"/>
      <c r="AO275" s="14"/>
      <c r="AP275" s="16" t="str">
        <f>IF(AB275=0,"",IF(INDEX(Andamentos!$B$10:$B$2009,AB275)="","",INDEX(Andamentos!$B$10:$B$2009,AB275)))</f>
        <v/>
      </c>
      <c r="AQ275" s="17" t="str">
        <f>IF(AH275=0,"",IF(INDEX(Valores!$B$10:$B$509,AH275)="","",IF(ISNUMBER(INDEX(Valores!$B$10:$B$509,AH275)),INDEX(Valores!$B$10:$B$509,AH275),"")))</f>
        <v/>
      </c>
      <c r="AR275" s="14" t="str">
        <f t="shared" si="41"/>
        <v/>
      </c>
      <c r="AS275" s="14" t="str">
        <f t="shared" si="42"/>
        <v/>
      </c>
      <c r="AT275" s="27"/>
      <c r="AU275" s="31"/>
      <c r="AV275" s="31"/>
      <c r="AW275" s="27"/>
      <c r="AX275" s="27"/>
      <c r="AY275" s="27"/>
      <c r="AZ275" s="27"/>
      <c r="BA275" s="30" t="str">
        <f t="shared" si="43"/>
        <v/>
      </c>
      <c r="BB275" s="30" t="str">
        <f t="shared" si="44"/>
        <v/>
      </c>
      <c r="BC275" s="30">
        <f>IF(X275=0,0,IF(COUNTIFS($X$10:X275,1,$BA$10:BA275,BA275)=1,1,0))</f>
        <v>0</v>
      </c>
      <c r="BD275" s="29"/>
    </row>
    <row r="276" spans="1:56" ht="42" customHeight="1">
      <c r="A276" s="41"/>
      <c r="B276" s="44"/>
      <c r="C276" s="44"/>
      <c r="D276" s="44"/>
      <c r="E276" s="44"/>
      <c r="F276" s="44"/>
      <c r="G276" s="44"/>
      <c r="H276" s="44"/>
      <c r="I276" s="44"/>
      <c r="J276" s="44"/>
      <c r="K276" s="44"/>
      <c r="L276" s="49"/>
      <c r="M276" s="48"/>
      <c r="N276" s="48"/>
      <c r="O276" s="48"/>
      <c r="P276" s="48"/>
      <c r="Q276" s="48"/>
      <c r="R276" s="48"/>
      <c r="S276" s="49"/>
      <c r="T276" s="48"/>
      <c r="U276" s="48"/>
      <c r="V276" s="14">
        <f t="shared" si="36"/>
        <v>0</v>
      </c>
      <c r="W276" s="14">
        <f t="shared" si="37"/>
        <v>0</v>
      </c>
      <c r="X276" s="14">
        <f>IF(AND(V276=1,OR(Painel!$C$6="Todos",D276=Painel!$C$6),AND(OR(Painel!$L$6="Todas",E276=Painel!$L$6),OR(Painel!$C$8="Todos",F276=Painel!$C$8),OR(Painel!$L$8="Todos",G276=Painel!$L$8),OR(Painel!$C$10="",ISNUMBER(SEARCH(SUBSTITUTE(SUBSTITUTE(SUBSTITUTE(Painel!$C$10,"~","~~"),"*","~*"),"?","~?"),A276&amp;" "&amp;H276&amp;" "&amp;I276))))),1,0)</f>
        <v>0</v>
      </c>
      <c r="Y276" s="14">
        <f t="shared" si="38"/>
        <v>0</v>
      </c>
      <c r="Z276" s="15" t="str">
        <f>IF(V276=0,"",IF(COUNTIFS(Andamentos!$K$10:$K$2009,"="&amp;SUBSTITUTE(SUBSTITUTE(SUBSTITUTE("P:"&amp;A276,"~","~~"),"*","~*"),"?","~?"),Andamentos!$G$10:$G$2009,1)=0,"",_xlfn.AGGREGATE(14,6,Andamentos!$D$10:$D$2009/((Andamentos!$K$10:$K$2009=AS276)*(Andamentos!$G$10:$G$2009=1)),1)))</f>
        <v/>
      </c>
      <c r="AA276" s="14">
        <f>IF(Z276="",0,COUNTIFS(Andamentos!$K$10:$K$2009,"="&amp;SUBSTITUTE(SUBSTITUTE(SUBSTITUTE("P:"&amp;A276,"~","~~"),"*","~*"),"?","~?"),Andamentos!$D$10:$D$2009,Z276,Andamentos!$G$10:$G$2009,1))</f>
        <v>0</v>
      </c>
      <c r="AB276" s="14">
        <f>IF(AA276=1,SUMIFS(Andamentos!$L$10:$L$2009,Andamentos!$K$10:$K$2009,"="&amp;SUBSTITUTE(SUBSTITUTE(SUBSTITUTE(AS276,"~","~~"),"*","~*"),"?","~?"),Andamentos!$D$10:$D$2009,Z276,Andamentos!$G$10:$G$2009,1)-9,0)</f>
        <v>0</v>
      </c>
      <c r="AC276" s="14" t="str">
        <f>IF(V276=0,"",IF(AA276&gt;1,"Conferir recebimentos empatados",IF(AB276=0,"Sem atualização",INDEX(Andamentos!$C$10:$C$2009,AB276))))</f>
        <v/>
      </c>
      <c r="AD276" s="14">
        <f>IF(W276=0,0,IF(MAX(Z276,BD276)=0,1,IF(Configurar!$J$12-INT(MAX(Z276,BD276))&gt;Configurar!$J$11,1,0)))</f>
        <v>0</v>
      </c>
      <c r="AE276" s="16"/>
      <c r="AF276" s="14"/>
      <c r="AG276" s="14"/>
      <c r="AH276" s="14">
        <f>IF(AND(V276=1,COUNTIFS(Valores!$S$10:$S$509,"="&amp;SUBSTITUTE(SUBSTITUTE(SUBSTITUTE("P:"&amp;A276,"~","~~"),"*","~*"),"?","~?"))=1),(IF(ISNA(MATCH(SUBSTITUTE(SUBSTITUTE(SUBSTITUTE("P:"&amp;A276,"~","~~"),"*","~*"),"?","~?"),Valores!$S$10:$S$509,0)),9,INDEX(Valores!$R$10:$R$509,MATCH(SUBSTITUTE(SUBSTITUTE(SUBSTITUTE("P:"&amp;A276,"~","~~"),"*","~*"),"?","~?"),Valores!$S$10:$S$509,0)))-9),0)</f>
        <v>0</v>
      </c>
      <c r="AI276" s="40" t="str">
        <f t="shared" si="39"/>
        <v/>
      </c>
      <c r="AJ276" s="14" t="str">
        <f>IF(AND(X276=1,Y276=1),COUNTIFS($X$10:X276,1,$Y$10:Y276,1),"")</f>
        <v/>
      </c>
      <c r="AK276" s="14" t="str">
        <f>IF(X276=1,COUNTIFS($X$10:X276,1),"")</f>
        <v/>
      </c>
      <c r="AL276" s="14">
        <f>IF(AND(V276=1,AND(OR(Painel!$L$6="Todas",E276=Painel!$L$6),OR(Painel!$C$8="Todos",F276=Painel!$C$8),OR(Painel!$L$8="Todos",G276=Painel!$L$8),OR(Painel!$C$10="",ISNUMBER(SEARCH(SUBSTITUTE(SUBSTITUTE(SUBSTITUTE(Painel!$C$10,"~","~~"),"*","~*"),"?","~?"),A276&amp;" "&amp;H276&amp;" "&amp;I276))))),1,0)</f>
        <v>0</v>
      </c>
      <c r="AM276" s="14">
        <f t="shared" si="40"/>
        <v>0</v>
      </c>
      <c r="AN276" s="14"/>
      <c r="AO276" s="14"/>
      <c r="AP276" s="16" t="str">
        <f>IF(AB276=0,"",IF(INDEX(Andamentos!$B$10:$B$2009,AB276)="","",INDEX(Andamentos!$B$10:$B$2009,AB276)))</f>
        <v/>
      </c>
      <c r="AQ276" s="17" t="str">
        <f>IF(AH276=0,"",IF(INDEX(Valores!$B$10:$B$509,AH276)="","",IF(ISNUMBER(INDEX(Valores!$B$10:$B$509,AH276)),INDEX(Valores!$B$10:$B$509,AH276),"")))</f>
        <v/>
      </c>
      <c r="AR276" s="14" t="str">
        <f t="shared" si="41"/>
        <v/>
      </c>
      <c r="AS276" s="14" t="str">
        <f t="shared" si="42"/>
        <v/>
      </c>
      <c r="AT276" s="27"/>
      <c r="AU276" s="31"/>
      <c r="AV276" s="31"/>
      <c r="AW276" s="27"/>
      <c r="AX276" s="27"/>
      <c r="AY276" s="27"/>
      <c r="AZ276" s="27"/>
      <c r="BA276" s="30" t="str">
        <f t="shared" si="43"/>
        <v/>
      </c>
      <c r="BB276" s="30" t="str">
        <f t="shared" si="44"/>
        <v/>
      </c>
      <c r="BC276" s="30">
        <f>IF(X276=0,0,IF(COUNTIFS($X$10:X276,1,$BA$10:BA276,BA276)=1,1,0))</f>
        <v>0</v>
      </c>
      <c r="BD276" s="29"/>
    </row>
    <row r="277" spans="1:56" ht="42" customHeight="1">
      <c r="A277" s="41"/>
      <c r="B277" s="44"/>
      <c r="C277" s="44"/>
      <c r="D277" s="44"/>
      <c r="E277" s="44"/>
      <c r="F277" s="44"/>
      <c r="G277" s="44"/>
      <c r="H277" s="44"/>
      <c r="I277" s="44"/>
      <c r="J277" s="44"/>
      <c r="K277" s="44"/>
      <c r="L277" s="49"/>
      <c r="M277" s="48"/>
      <c r="N277" s="48"/>
      <c r="O277" s="48"/>
      <c r="P277" s="48"/>
      <c r="Q277" s="48"/>
      <c r="R277" s="48"/>
      <c r="S277" s="49"/>
      <c r="T277" s="48"/>
      <c r="U277" s="48"/>
      <c r="V277" s="14">
        <f t="shared" si="36"/>
        <v>0</v>
      </c>
      <c r="W277" s="14">
        <f t="shared" si="37"/>
        <v>0</v>
      </c>
      <c r="X277" s="14">
        <f>IF(AND(V277=1,OR(Painel!$C$6="Todos",D277=Painel!$C$6),AND(OR(Painel!$L$6="Todas",E277=Painel!$L$6),OR(Painel!$C$8="Todos",F277=Painel!$C$8),OR(Painel!$L$8="Todos",G277=Painel!$L$8),OR(Painel!$C$10="",ISNUMBER(SEARCH(SUBSTITUTE(SUBSTITUTE(SUBSTITUTE(Painel!$C$10,"~","~~"),"*","~*"),"?","~?"),A277&amp;" "&amp;H277&amp;" "&amp;I277))))),1,0)</f>
        <v>0</v>
      </c>
      <c r="Y277" s="14">
        <f t="shared" si="38"/>
        <v>0</v>
      </c>
      <c r="Z277" s="15" t="str">
        <f>IF(V277=0,"",IF(COUNTIFS(Andamentos!$K$10:$K$2009,"="&amp;SUBSTITUTE(SUBSTITUTE(SUBSTITUTE("P:"&amp;A277,"~","~~"),"*","~*"),"?","~?"),Andamentos!$G$10:$G$2009,1)=0,"",_xlfn.AGGREGATE(14,6,Andamentos!$D$10:$D$2009/((Andamentos!$K$10:$K$2009=AS277)*(Andamentos!$G$10:$G$2009=1)),1)))</f>
        <v/>
      </c>
      <c r="AA277" s="14">
        <f>IF(Z277="",0,COUNTIFS(Andamentos!$K$10:$K$2009,"="&amp;SUBSTITUTE(SUBSTITUTE(SUBSTITUTE("P:"&amp;A277,"~","~~"),"*","~*"),"?","~?"),Andamentos!$D$10:$D$2009,Z277,Andamentos!$G$10:$G$2009,1))</f>
        <v>0</v>
      </c>
      <c r="AB277" s="14">
        <f>IF(AA277=1,SUMIFS(Andamentos!$L$10:$L$2009,Andamentos!$K$10:$K$2009,"="&amp;SUBSTITUTE(SUBSTITUTE(SUBSTITUTE(AS277,"~","~~"),"*","~*"),"?","~?"),Andamentos!$D$10:$D$2009,Z277,Andamentos!$G$10:$G$2009,1)-9,0)</f>
        <v>0</v>
      </c>
      <c r="AC277" s="14" t="str">
        <f>IF(V277=0,"",IF(AA277&gt;1,"Conferir recebimentos empatados",IF(AB277=0,"Sem atualização",INDEX(Andamentos!$C$10:$C$2009,AB277))))</f>
        <v/>
      </c>
      <c r="AD277" s="14">
        <f>IF(W277=0,0,IF(MAX(Z277,BD277)=0,1,IF(Configurar!$J$12-INT(MAX(Z277,BD277))&gt;Configurar!$J$11,1,0)))</f>
        <v>0</v>
      </c>
      <c r="AE277" s="16"/>
      <c r="AF277" s="14"/>
      <c r="AG277" s="14"/>
      <c r="AH277" s="14">
        <f>IF(AND(V277=1,COUNTIFS(Valores!$S$10:$S$509,"="&amp;SUBSTITUTE(SUBSTITUTE(SUBSTITUTE("P:"&amp;A277,"~","~~"),"*","~*"),"?","~?"))=1),(IF(ISNA(MATCH(SUBSTITUTE(SUBSTITUTE(SUBSTITUTE("P:"&amp;A277,"~","~~"),"*","~*"),"?","~?"),Valores!$S$10:$S$509,0)),9,INDEX(Valores!$R$10:$R$509,MATCH(SUBSTITUTE(SUBSTITUTE(SUBSTITUTE("P:"&amp;A277,"~","~~"),"*","~*"),"?","~?"),Valores!$S$10:$S$509,0)))-9),0)</f>
        <v>0</v>
      </c>
      <c r="AI277" s="40" t="str">
        <f t="shared" si="39"/>
        <v/>
      </c>
      <c r="AJ277" s="14" t="str">
        <f>IF(AND(X277=1,Y277=1),COUNTIFS($X$10:X277,1,$Y$10:Y277,1),"")</f>
        <v/>
      </c>
      <c r="AK277" s="14" t="str">
        <f>IF(X277=1,COUNTIFS($X$10:X277,1),"")</f>
        <v/>
      </c>
      <c r="AL277" s="14">
        <f>IF(AND(V277=1,AND(OR(Painel!$L$6="Todas",E277=Painel!$L$6),OR(Painel!$C$8="Todos",F277=Painel!$C$8),OR(Painel!$L$8="Todos",G277=Painel!$L$8),OR(Painel!$C$10="",ISNUMBER(SEARCH(SUBSTITUTE(SUBSTITUTE(SUBSTITUTE(Painel!$C$10,"~","~~"),"*","~*"),"?","~?"),A277&amp;" "&amp;H277&amp;" "&amp;I277))))),1,0)</f>
        <v>0</v>
      </c>
      <c r="AM277" s="14">
        <f t="shared" si="40"/>
        <v>0</v>
      </c>
      <c r="AN277" s="14"/>
      <c r="AO277" s="14"/>
      <c r="AP277" s="16" t="str">
        <f>IF(AB277=0,"",IF(INDEX(Andamentos!$B$10:$B$2009,AB277)="","",INDEX(Andamentos!$B$10:$B$2009,AB277)))</f>
        <v/>
      </c>
      <c r="AQ277" s="17" t="str">
        <f>IF(AH277=0,"",IF(INDEX(Valores!$B$10:$B$509,AH277)="","",IF(ISNUMBER(INDEX(Valores!$B$10:$B$509,AH277)),INDEX(Valores!$B$10:$B$509,AH277),"")))</f>
        <v/>
      </c>
      <c r="AR277" s="14" t="str">
        <f t="shared" si="41"/>
        <v/>
      </c>
      <c r="AS277" s="14" t="str">
        <f t="shared" si="42"/>
        <v/>
      </c>
      <c r="AT277" s="27"/>
      <c r="AU277" s="31"/>
      <c r="AV277" s="31"/>
      <c r="AW277" s="27"/>
      <c r="AX277" s="27"/>
      <c r="AY277" s="27"/>
      <c r="AZ277" s="27"/>
      <c r="BA277" s="30" t="str">
        <f t="shared" si="43"/>
        <v/>
      </c>
      <c r="BB277" s="30" t="str">
        <f t="shared" si="44"/>
        <v/>
      </c>
      <c r="BC277" s="30">
        <f>IF(X277=0,0,IF(COUNTIFS($X$10:X277,1,$BA$10:BA277,BA277)=1,1,0))</f>
        <v>0</v>
      </c>
      <c r="BD277" s="29"/>
    </row>
    <row r="278" spans="1:56" ht="42" customHeight="1">
      <c r="A278" s="41"/>
      <c r="B278" s="44"/>
      <c r="C278" s="44"/>
      <c r="D278" s="44"/>
      <c r="E278" s="44"/>
      <c r="F278" s="44"/>
      <c r="G278" s="44"/>
      <c r="H278" s="44"/>
      <c r="I278" s="44"/>
      <c r="J278" s="44"/>
      <c r="K278" s="44"/>
      <c r="L278" s="49"/>
      <c r="M278" s="48"/>
      <c r="N278" s="48"/>
      <c r="O278" s="48"/>
      <c r="P278" s="48"/>
      <c r="Q278" s="48"/>
      <c r="R278" s="48"/>
      <c r="S278" s="49"/>
      <c r="T278" s="48"/>
      <c r="U278" s="48"/>
      <c r="V278" s="14">
        <f t="shared" si="36"/>
        <v>0</v>
      </c>
      <c r="W278" s="14">
        <f t="shared" si="37"/>
        <v>0</v>
      </c>
      <c r="X278" s="14">
        <f>IF(AND(V278=1,OR(Painel!$C$6="Todos",D278=Painel!$C$6),AND(OR(Painel!$L$6="Todas",E278=Painel!$L$6),OR(Painel!$C$8="Todos",F278=Painel!$C$8),OR(Painel!$L$8="Todos",G278=Painel!$L$8),OR(Painel!$C$10="",ISNUMBER(SEARCH(SUBSTITUTE(SUBSTITUTE(SUBSTITUTE(Painel!$C$10,"~","~~"),"*","~*"),"?","~?"),A278&amp;" "&amp;H278&amp;" "&amp;I278))))),1,0)</f>
        <v>0</v>
      </c>
      <c r="Y278" s="14">
        <f t="shared" si="38"/>
        <v>0</v>
      </c>
      <c r="Z278" s="15" t="str">
        <f>IF(V278=0,"",IF(COUNTIFS(Andamentos!$K$10:$K$2009,"="&amp;SUBSTITUTE(SUBSTITUTE(SUBSTITUTE("P:"&amp;A278,"~","~~"),"*","~*"),"?","~?"),Andamentos!$G$10:$G$2009,1)=0,"",_xlfn.AGGREGATE(14,6,Andamentos!$D$10:$D$2009/((Andamentos!$K$10:$K$2009=AS278)*(Andamentos!$G$10:$G$2009=1)),1)))</f>
        <v/>
      </c>
      <c r="AA278" s="14">
        <f>IF(Z278="",0,COUNTIFS(Andamentos!$K$10:$K$2009,"="&amp;SUBSTITUTE(SUBSTITUTE(SUBSTITUTE("P:"&amp;A278,"~","~~"),"*","~*"),"?","~?"),Andamentos!$D$10:$D$2009,Z278,Andamentos!$G$10:$G$2009,1))</f>
        <v>0</v>
      </c>
      <c r="AB278" s="14">
        <f>IF(AA278=1,SUMIFS(Andamentos!$L$10:$L$2009,Andamentos!$K$10:$K$2009,"="&amp;SUBSTITUTE(SUBSTITUTE(SUBSTITUTE(AS278,"~","~~"),"*","~*"),"?","~?"),Andamentos!$D$10:$D$2009,Z278,Andamentos!$G$10:$G$2009,1)-9,0)</f>
        <v>0</v>
      </c>
      <c r="AC278" s="14" t="str">
        <f>IF(V278=0,"",IF(AA278&gt;1,"Conferir recebimentos empatados",IF(AB278=0,"Sem atualização",INDEX(Andamentos!$C$10:$C$2009,AB278))))</f>
        <v/>
      </c>
      <c r="AD278" s="14">
        <f>IF(W278=0,0,IF(MAX(Z278,BD278)=0,1,IF(Configurar!$J$12-INT(MAX(Z278,BD278))&gt;Configurar!$J$11,1,0)))</f>
        <v>0</v>
      </c>
      <c r="AE278" s="16"/>
      <c r="AF278" s="14"/>
      <c r="AG278" s="14"/>
      <c r="AH278" s="14">
        <f>IF(AND(V278=1,COUNTIFS(Valores!$S$10:$S$509,"="&amp;SUBSTITUTE(SUBSTITUTE(SUBSTITUTE("P:"&amp;A278,"~","~~"),"*","~*"),"?","~?"))=1),(IF(ISNA(MATCH(SUBSTITUTE(SUBSTITUTE(SUBSTITUTE("P:"&amp;A278,"~","~~"),"*","~*"),"?","~?"),Valores!$S$10:$S$509,0)),9,INDEX(Valores!$R$10:$R$509,MATCH(SUBSTITUTE(SUBSTITUTE(SUBSTITUTE("P:"&amp;A278,"~","~~"),"*","~*"),"?","~?"),Valores!$S$10:$S$509,0)))-9),0)</f>
        <v>0</v>
      </c>
      <c r="AI278" s="40" t="str">
        <f t="shared" si="39"/>
        <v/>
      </c>
      <c r="AJ278" s="14" t="str">
        <f>IF(AND(X278=1,Y278=1),COUNTIFS($X$10:X278,1,$Y$10:Y278,1),"")</f>
        <v/>
      </c>
      <c r="AK278" s="14" t="str">
        <f>IF(X278=1,COUNTIFS($X$10:X278,1),"")</f>
        <v/>
      </c>
      <c r="AL278" s="14">
        <f>IF(AND(V278=1,AND(OR(Painel!$L$6="Todas",E278=Painel!$L$6),OR(Painel!$C$8="Todos",F278=Painel!$C$8),OR(Painel!$L$8="Todos",G278=Painel!$L$8),OR(Painel!$C$10="",ISNUMBER(SEARCH(SUBSTITUTE(SUBSTITUTE(SUBSTITUTE(Painel!$C$10,"~","~~"),"*","~*"),"?","~?"),A278&amp;" "&amp;H278&amp;" "&amp;I278))))),1,0)</f>
        <v>0</v>
      </c>
      <c r="AM278" s="14">
        <f t="shared" si="40"/>
        <v>0</v>
      </c>
      <c r="AN278" s="14"/>
      <c r="AO278" s="14"/>
      <c r="AP278" s="16" t="str">
        <f>IF(AB278=0,"",IF(INDEX(Andamentos!$B$10:$B$2009,AB278)="","",INDEX(Andamentos!$B$10:$B$2009,AB278)))</f>
        <v/>
      </c>
      <c r="AQ278" s="17" t="str">
        <f>IF(AH278=0,"",IF(INDEX(Valores!$B$10:$B$509,AH278)="","",IF(ISNUMBER(INDEX(Valores!$B$10:$B$509,AH278)),INDEX(Valores!$B$10:$B$509,AH278),"")))</f>
        <v/>
      </c>
      <c r="AR278" s="14" t="str">
        <f t="shared" si="41"/>
        <v/>
      </c>
      <c r="AS278" s="14" t="str">
        <f t="shared" si="42"/>
        <v/>
      </c>
      <c r="AT278" s="27"/>
      <c r="AU278" s="31"/>
      <c r="AV278" s="31"/>
      <c r="AW278" s="27"/>
      <c r="AX278" s="27"/>
      <c r="AY278" s="27"/>
      <c r="AZ278" s="27"/>
      <c r="BA278" s="30" t="str">
        <f t="shared" si="43"/>
        <v/>
      </c>
      <c r="BB278" s="30" t="str">
        <f t="shared" si="44"/>
        <v/>
      </c>
      <c r="BC278" s="30">
        <f>IF(X278=0,0,IF(COUNTIFS($X$10:X278,1,$BA$10:BA278,BA278)=1,1,0))</f>
        <v>0</v>
      </c>
      <c r="BD278" s="29"/>
    </row>
    <row r="279" spans="1:56" ht="42" customHeight="1">
      <c r="A279" s="41"/>
      <c r="B279" s="44"/>
      <c r="C279" s="44"/>
      <c r="D279" s="44"/>
      <c r="E279" s="44"/>
      <c r="F279" s="44"/>
      <c r="G279" s="44"/>
      <c r="H279" s="44"/>
      <c r="I279" s="44"/>
      <c r="J279" s="44"/>
      <c r="K279" s="44"/>
      <c r="L279" s="49"/>
      <c r="M279" s="48"/>
      <c r="N279" s="48"/>
      <c r="O279" s="48"/>
      <c r="P279" s="48"/>
      <c r="Q279" s="48"/>
      <c r="R279" s="48"/>
      <c r="S279" s="49"/>
      <c r="T279" s="48"/>
      <c r="U279" s="48"/>
      <c r="V279" s="14">
        <f t="shared" si="36"/>
        <v>0</v>
      </c>
      <c r="W279" s="14">
        <f t="shared" si="37"/>
        <v>0</v>
      </c>
      <c r="X279" s="14">
        <f>IF(AND(V279=1,OR(Painel!$C$6="Todos",D279=Painel!$C$6),AND(OR(Painel!$L$6="Todas",E279=Painel!$L$6),OR(Painel!$C$8="Todos",F279=Painel!$C$8),OR(Painel!$L$8="Todos",G279=Painel!$L$8),OR(Painel!$C$10="",ISNUMBER(SEARCH(SUBSTITUTE(SUBSTITUTE(SUBSTITUTE(Painel!$C$10,"~","~~"),"*","~*"),"?","~?"),A279&amp;" "&amp;H279&amp;" "&amp;I279))))),1,0)</f>
        <v>0</v>
      </c>
      <c r="Y279" s="14">
        <f t="shared" si="38"/>
        <v>0</v>
      </c>
      <c r="Z279" s="15" t="str">
        <f>IF(V279=0,"",IF(COUNTIFS(Andamentos!$K$10:$K$2009,"="&amp;SUBSTITUTE(SUBSTITUTE(SUBSTITUTE("P:"&amp;A279,"~","~~"),"*","~*"),"?","~?"),Andamentos!$G$10:$G$2009,1)=0,"",_xlfn.AGGREGATE(14,6,Andamentos!$D$10:$D$2009/((Andamentos!$K$10:$K$2009=AS279)*(Andamentos!$G$10:$G$2009=1)),1)))</f>
        <v/>
      </c>
      <c r="AA279" s="14">
        <f>IF(Z279="",0,COUNTIFS(Andamentos!$K$10:$K$2009,"="&amp;SUBSTITUTE(SUBSTITUTE(SUBSTITUTE("P:"&amp;A279,"~","~~"),"*","~*"),"?","~?"),Andamentos!$D$10:$D$2009,Z279,Andamentos!$G$10:$G$2009,1))</f>
        <v>0</v>
      </c>
      <c r="AB279" s="14">
        <f>IF(AA279=1,SUMIFS(Andamentos!$L$10:$L$2009,Andamentos!$K$10:$K$2009,"="&amp;SUBSTITUTE(SUBSTITUTE(SUBSTITUTE(AS279,"~","~~"),"*","~*"),"?","~?"),Andamentos!$D$10:$D$2009,Z279,Andamentos!$G$10:$G$2009,1)-9,0)</f>
        <v>0</v>
      </c>
      <c r="AC279" s="14" t="str">
        <f>IF(V279=0,"",IF(AA279&gt;1,"Conferir recebimentos empatados",IF(AB279=0,"Sem atualização",INDEX(Andamentos!$C$10:$C$2009,AB279))))</f>
        <v/>
      </c>
      <c r="AD279" s="14">
        <f>IF(W279=0,0,IF(MAX(Z279,BD279)=0,1,IF(Configurar!$J$12-INT(MAX(Z279,BD279))&gt;Configurar!$J$11,1,0)))</f>
        <v>0</v>
      </c>
      <c r="AE279" s="16"/>
      <c r="AF279" s="14"/>
      <c r="AG279" s="14"/>
      <c r="AH279" s="14">
        <f>IF(AND(V279=1,COUNTIFS(Valores!$S$10:$S$509,"="&amp;SUBSTITUTE(SUBSTITUTE(SUBSTITUTE("P:"&amp;A279,"~","~~"),"*","~*"),"?","~?"))=1),(IF(ISNA(MATCH(SUBSTITUTE(SUBSTITUTE(SUBSTITUTE("P:"&amp;A279,"~","~~"),"*","~*"),"?","~?"),Valores!$S$10:$S$509,0)),9,INDEX(Valores!$R$10:$R$509,MATCH(SUBSTITUTE(SUBSTITUTE(SUBSTITUTE("P:"&amp;A279,"~","~~"),"*","~*"),"?","~?"),Valores!$S$10:$S$509,0)))-9),0)</f>
        <v>0</v>
      </c>
      <c r="AI279" s="40" t="str">
        <f t="shared" si="39"/>
        <v/>
      </c>
      <c r="AJ279" s="14" t="str">
        <f>IF(AND(X279=1,Y279=1),COUNTIFS($X$10:X279,1,$Y$10:Y279,1),"")</f>
        <v/>
      </c>
      <c r="AK279" s="14" t="str">
        <f>IF(X279=1,COUNTIFS($X$10:X279,1),"")</f>
        <v/>
      </c>
      <c r="AL279" s="14">
        <f>IF(AND(V279=1,AND(OR(Painel!$L$6="Todas",E279=Painel!$L$6),OR(Painel!$C$8="Todos",F279=Painel!$C$8),OR(Painel!$L$8="Todos",G279=Painel!$L$8),OR(Painel!$C$10="",ISNUMBER(SEARCH(SUBSTITUTE(SUBSTITUTE(SUBSTITUTE(Painel!$C$10,"~","~~"),"*","~*"),"?","~?"),A279&amp;" "&amp;H279&amp;" "&amp;I279))))),1,0)</f>
        <v>0</v>
      </c>
      <c r="AM279" s="14">
        <f t="shared" si="40"/>
        <v>0</v>
      </c>
      <c r="AN279" s="14"/>
      <c r="AO279" s="14"/>
      <c r="AP279" s="16" t="str">
        <f>IF(AB279=0,"",IF(INDEX(Andamentos!$B$10:$B$2009,AB279)="","",INDEX(Andamentos!$B$10:$B$2009,AB279)))</f>
        <v/>
      </c>
      <c r="AQ279" s="17" t="str">
        <f>IF(AH279=0,"",IF(INDEX(Valores!$B$10:$B$509,AH279)="","",IF(ISNUMBER(INDEX(Valores!$B$10:$B$509,AH279)),INDEX(Valores!$B$10:$B$509,AH279),"")))</f>
        <v/>
      </c>
      <c r="AR279" s="14" t="str">
        <f t="shared" si="41"/>
        <v/>
      </c>
      <c r="AS279" s="14" t="str">
        <f t="shared" si="42"/>
        <v/>
      </c>
      <c r="AT279" s="27"/>
      <c r="AU279" s="31"/>
      <c r="AV279" s="31"/>
      <c r="AW279" s="27"/>
      <c r="AX279" s="27"/>
      <c r="AY279" s="27"/>
      <c r="AZ279" s="27"/>
      <c r="BA279" s="30" t="str">
        <f t="shared" si="43"/>
        <v/>
      </c>
      <c r="BB279" s="30" t="str">
        <f t="shared" si="44"/>
        <v/>
      </c>
      <c r="BC279" s="30">
        <f>IF(X279=0,0,IF(COUNTIFS($X$10:X279,1,$BA$10:BA279,BA279)=1,1,0))</f>
        <v>0</v>
      </c>
      <c r="BD279" s="29"/>
    </row>
    <row r="280" spans="1:56" ht="42" customHeight="1">
      <c r="A280" s="41"/>
      <c r="B280" s="44"/>
      <c r="C280" s="44"/>
      <c r="D280" s="44"/>
      <c r="E280" s="44"/>
      <c r="F280" s="44"/>
      <c r="G280" s="44"/>
      <c r="H280" s="44"/>
      <c r="I280" s="44"/>
      <c r="J280" s="44"/>
      <c r="K280" s="44"/>
      <c r="L280" s="49"/>
      <c r="M280" s="48"/>
      <c r="N280" s="48"/>
      <c r="O280" s="48"/>
      <c r="P280" s="48"/>
      <c r="Q280" s="48"/>
      <c r="R280" s="48"/>
      <c r="S280" s="49"/>
      <c r="T280" s="48"/>
      <c r="U280" s="48"/>
      <c r="V280" s="14">
        <f t="shared" si="36"/>
        <v>0</v>
      </c>
      <c r="W280" s="14">
        <f t="shared" si="37"/>
        <v>0</v>
      </c>
      <c r="X280" s="14">
        <f>IF(AND(V280=1,OR(Painel!$C$6="Todos",D280=Painel!$C$6),AND(OR(Painel!$L$6="Todas",E280=Painel!$L$6),OR(Painel!$C$8="Todos",F280=Painel!$C$8),OR(Painel!$L$8="Todos",G280=Painel!$L$8),OR(Painel!$C$10="",ISNUMBER(SEARCH(SUBSTITUTE(SUBSTITUTE(SUBSTITUTE(Painel!$C$10,"~","~~"),"*","~*"),"?","~?"),A280&amp;" "&amp;H280&amp;" "&amp;I280))))),1,0)</f>
        <v>0</v>
      </c>
      <c r="Y280" s="14">
        <f t="shared" si="38"/>
        <v>0</v>
      </c>
      <c r="Z280" s="15" t="str">
        <f>IF(V280=0,"",IF(COUNTIFS(Andamentos!$K$10:$K$2009,"="&amp;SUBSTITUTE(SUBSTITUTE(SUBSTITUTE("P:"&amp;A280,"~","~~"),"*","~*"),"?","~?"),Andamentos!$G$10:$G$2009,1)=0,"",_xlfn.AGGREGATE(14,6,Andamentos!$D$10:$D$2009/((Andamentos!$K$10:$K$2009=AS280)*(Andamentos!$G$10:$G$2009=1)),1)))</f>
        <v/>
      </c>
      <c r="AA280" s="14">
        <f>IF(Z280="",0,COUNTIFS(Andamentos!$K$10:$K$2009,"="&amp;SUBSTITUTE(SUBSTITUTE(SUBSTITUTE("P:"&amp;A280,"~","~~"),"*","~*"),"?","~?"),Andamentos!$D$10:$D$2009,Z280,Andamentos!$G$10:$G$2009,1))</f>
        <v>0</v>
      </c>
      <c r="AB280" s="14">
        <f>IF(AA280=1,SUMIFS(Andamentos!$L$10:$L$2009,Andamentos!$K$10:$K$2009,"="&amp;SUBSTITUTE(SUBSTITUTE(SUBSTITUTE(AS280,"~","~~"),"*","~*"),"?","~?"),Andamentos!$D$10:$D$2009,Z280,Andamentos!$G$10:$G$2009,1)-9,0)</f>
        <v>0</v>
      </c>
      <c r="AC280" s="14" t="str">
        <f>IF(V280=0,"",IF(AA280&gt;1,"Conferir recebimentos empatados",IF(AB280=0,"Sem atualização",INDEX(Andamentos!$C$10:$C$2009,AB280))))</f>
        <v/>
      </c>
      <c r="AD280" s="14">
        <f>IF(W280=0,0,IF(MAX(Z280,BD280)=0,1,IF(Configurar!$J$12-INT(MAX(Z280,BD280))&gt;Configurar!$J$11,1,0)))</f>
        <v>0</v>
      </c>
      <c r="AE280" s="16"/>
      <c r="AF280" s="14"/>
      <c r="AG280" s="14"/>
      <c r="AH280" s="14">
        <f>IF(AND(V280=1,COUNTIFS(Valores!$S$10:$S$509,"="&amp;SUBSTITUTE(SUBSTITUTE(SUBSTITUTE("P:"&amp;A280,"~","~~"),"*","~*"),"?","~?"))=1),(IF(ISNA(MATCH(SUBSTITUTE(SUBSTITUTE(SUBSTITUTE("P:"&amp;A280,"~","~~"),"*","~*"),"?","~?"),Valores!$S$10:$S$509,0)),9,INDEX(Valores!$R$10:$R$509,MATCH(SUBSTITUTE(SUBSTITUTE(SUBSTITUTE("P:"&amp;A280,"~","~~"),"*","~*"),"?","~?"),Valores!$S$10:$S$509,0)))-9),0)</f>
        <v>0</v>
      </c>
      <c r="AI280" s="40" t="str">
        <f t="shared" si="39"/>
        <v/>
      </c>
      <c r="AJ280" s="14" t="str">
        <f>IF(AND(X280=1,Y280=1),COUNTIFS($X$10:X280,1,$Y$10:Y280,1),"")</f>
        <v/>
      </c>
      <c r="AK280" s="14" t="str">
        <f>IF(X280=1,COUNTIFS($X$10:X280,1),"")</f>
        <v/>
      </c>
      <c r="AL280" s="14">
        <f>IF(AND(V280=1,AND(OR(Painel!$L$6="Todas",E280=Painel!$L$6),OR(Painel!$C$8="Todos",F280=Painel!$C$8),OR(Painel!$L$8="Todos",G280=Painel!$L$8),OR(Painel!$C$10="",ISNUMBER(SEARCH(SUBSTITUTE(SUBSTITUTE(SUBSTITUTE(Painel!$C$10,"~","~~"),"*","~*"),"?","~?"),A280&amp;" "&amp;H280&amp;" "&amp;I280))))),1,0)</f>
        <v>0</v>
      </c>
      <c r="AM280" s="14">
        <f t="shared" si="40"/>
        <v>0</v>
      </c>
      <c r="AN280" s="14"/>
      <c r="AO280" s="14"/>
      <c r="AP280" s="16" t="str">
        <f>IF(AB280=0,"",IF(INDEX(Andamentos!$B$10:$B$2009,AB280)="","",INDEX(Andamentos!$B$10:$B$2009,AB280)))</f>
        <v/>
      </c>
      <c r="AQ280" s="17" t="str">
        <f>IF(AH280=0,"",IF(INDEX(Valores!$B$10:$B$509,AH280)="","",IF(ISNUMBER(INDEX(Valores!$B$10:$B$509,AH280)),INDEX(Valores!$B$10:$B$509,AH280),"")))</f>
        <v/>
      </c>
      <c r="AR280" s="14" t="str">
        <f t="shared" si="41"/>
        <v/>
      </c>
      <c r="AS280" s="14" t="str">
        <f t="shared" si="42"/>
        <v/>
      </c>
      <c r="AT280" s="27"/>
      <c r="AU280" s="31"/>
      <c r="AV280" s="31"/>
      <c r="AW280" s="27"/>
      <c r="AX280" s="27"/>
      <c r="AY280" s="27"/>
      <c r="AZ280" s="27"/>
      <c r="BA280" s="30" t="str">
        <f t="shared" si="43"/>
        <v/>
      </c>
      <c r="BB280" s="30" t="str">
        <f t="shared" si="44"/>
        <v/>
      </c>
      <c r="BC280" s="30">
        <f>IF(X280=0,0,IF(COUNTIFS($X$10:X280,1,$BA$10:BA280,BA280)=1,1,0))</f>
        <v>0</v>
      </c>
      <c r="BD280" s="29"/>
    </row>
    <row r="281" spans="1:56" ht="42" customHeight="1">
      <c r="A281" s="41"/>
      <c r="B281" s="44"/>
      <c r="C281" s="44"/>
      <c r="D281" s="44"/>
      <c r="E281" s="44"/>
      <c r="F281" s="44"/>
      <c r="G281" s="44"/>
      <c r="H281" s="44"/>
      <c r="I281" s="44"/>
      <c r="J281" s="44"/>
      <c r="K281" s="44"/>
      <c r="L281" s="49"/>
      <c r="M281" s="48"/>
      <c r="N281" s="48"/>
      <c r="O281" s="48"/>
      <c r="P281" s="48"/>
      <c r="Q281" s="48"/>
      <c r="R281" s="48"/>
      <c r="S281" s="49"/>
      <c r="T281" s="48"/>
      <c r="U281" s="48"/>
      <c r="V281" s="14">
        <f t="shared" si="36"/>
        <v>0</v>
      </c>
      <c r="W281" s="14">
        <f t="shared" si="37"/>
        <v>0</v>
      </c>
      <c r="X281" s="14">
        <f>IF(AND(V281=1,OR(Painel!$C$6="Todos",D281=Painel!$C$6),AND(OR(Painel!$L$6="Todas",E281=Painel!$L$6),OR(Painel!$C$8="Todos",F281=Painel!$C$8),OR(Painel!$L$8="Todos",G281=Painel!$L$8),OR(Painel!$C$10="",ISNUMBER(SEARCH(SUBSTITUTE(SUBSTITUTE(SUBSTITUTE(Painel!$C$10,"~","~~"),"*","~*"),"?","~?"),A281&amp;" "&amp;H281&amp;" "&amp;I281))))),1,0)</f>
        <v>0</v>
      </c>
      <c r="Y281" s="14">
        <f t="shared" si="38"/>
        <v>0</v>
      </c>
      <c r="Z281" s="15" t="str">
        <f>IF(V281=0,"",IF(COUNTIFS(Andamentos!$K$10:$K$2009,"="&amp;SUBSTITUTE(SUBSTITUTE(SUBSTITUTE("P:"&amp;A281,"~","~~"),"*","~*"),"?","~?"),Andamentos!$G$10:$G$2009,1)=0,"",_xlfn.AGGREGATE(14,6,Andamentos!$D$10:$D$2009/((Andamentos!$K$10:$K$2009=AS281)*(Andamentos!$G$10:$G$2009=1)),1)))</f>
        <v/>
      </c>
      <c r="AA281" s="14">
        <f>IF(Z281="",0,COUNTIFS(Andamentos!$K$10:$K$2009,"="&amp;SUBSTITUTE(SUBSTITUTE(SUBSTITUTE("P:"&amp;A281,"~","~~"),"*","~*"),"?","~?"),Andamentos!$D$10:$D$2009,Z281,Andamentos!$G$10:$G$2009,1))</f>
        <v>0</v>
      </c>
      <c r="AB281" s="14">
        <f>IF(AA281=1,SUMIFS(Andamentos!$L$10:$L$2009,Andamentos!$K$10:$K$2009,"="&amp;SUBSTITUTE(SUBSTITUTE(SUBSTITUTE(AS281,"~","~~"),"*","~*"),"?","~?"),Andamentos!$D$10:$D$2009,Z281,Andamentos!$G$10:$G$2009,1)-9,0)</f>
        <v>0</v>
      </c>
      <c r="AC281" s="14" t="str">
        <f>IF(V281=0,"",IF(AA281&gt;1,"Conferir recebimentos empatados",IF(AB281=0,"Sem atualização",INDEX(Andamentos!$C$10:$C$2009,AB281))))</f>
        <v/>
      </c>
      <c r="AD281" s="14">
        <f>IF(W281=0,0,IF(MAX(Z281,BD281)=0,1,IF(Configurar!$J$12-INT(MAX(Z281,BD281))&gt;Configurar!$J$11,1,0)))</f>
        <v>0</v>
      </c>
      <c r="AE281" s="16"/>
      <c r="AF281" s="14"/>
      <c r="AG281" s="14"/>
      <c r="AH281" s="14">
        <f>IF(AND(V281=1,COUNTIFS(Valores!$S$10:$S$509,"="&amp;SUBSTITUTE(SUBSTITUTE(SUBSTITUTE("P:"&amp;A281,"~","~~"),"*","~*"),"?","~?"))=1),(IF(ISNA(MATCH(SUBSTITUTE(SUBSTITUTE(SUBSTITUTE("P:"&amp;A281,"~","~~"),"*","~*"),"?","~?"),Valores!$S$10:$S$509,0)),9,INDEX(Valores!$R$10:$R$509,MATCH(SUBSTITUTE(SUBSTITUTE(SUBSTITUTE("P:"&amp;A281,"~","~~"),"*","~*"),"?","~?"),Valores!$S$10:$S$509,0)))-9),0)</f>
        <v>0</v>
      </c>
      <c r="AI281" s="40" t="str">
        <f t="shared" si="39"/>
        <v/>
      </c>
      <c r="AJ281" s="14" t="str">
        <f>IF(AND(X281=1,Y281=1),COUNTIFS($X$10:X281,1,$Y$10:Y281,1),"")</f>
        <v/>
      </c>
      <c r="AK281" s="14" t="str">
        <f>IF(X281=1,COUNTIFS($X$10:X281,1),"")</f>
        <v/>
      </c>
      <c r="AL281" s="14">
        <f>IF(AND(V281=1,AND(OR(Painel!$L$6="Todas",E281=Painel!$L$6),OR(Painel!$C$8="Todos",F281=Painel!$C$8),OR(Painel!$L$8="Todos",G281=Painel!$L$8),OR(Painel!$C$10="",ISNUMBER(SEARCH(SUBSTITUTE(SUBSTITUTE(SUBSTITUTE(Painel!$C$10,"~","~~"),"*","~*"),"?","~?"),A281&amp;" "&amp;H281&amp;" "&amp;I281))))),1,0)</f>
        <v>0</v>
      </c>
      <c r="AM281" s="14">
        <f t="shared" si="40"/>
        <v>0</v>
      </c>
      <c r="AN281" s="14"/>
      <c r="AO281" s="14"/>
      <c r="AP281" s="16" t="str">
        <f>IF(AB281=0,"",IF(INDEX(Andamentos!$B$10:$B$2009,AB281)="","",INDEX(Andamentos!$B$10:$B$2009,AB281)))</f>
        <v/>
      </c>
      <c r="AQ281" s="17" t="str">
        <f>IF(AH281=0,"",IF(INDEX(Valores!$B$10:$B$509,AH281)="","",IF(ISNUMBER(INDEX(Valores!$B$10:$B$509,AH281)),INDEX(Valores!$B$10:$B$509,AH281),"")))</f>
        <v/>
      </c>
      <c r="AR281" s="14" t="str">
        <f t="shared" si="41"/>
        <v/>
      </c>
      <c r="AS281" s="14" t="str">
        <f t="shared" si="42"/>
        <v/>
      </c>
      <c r="AT281" s="27"/>
      <c r="AU281" s="31"/>
      <c r="AV281" s="31"/>
      <c r="AW281" s="27"/>
      <c r="AX281" s="27"/>
      <c r="AY281" s="27"/>
      <c r="AZ281" s="27"/>
      <c r="BA281" s="30" t="str">
        <f t="shared" si="43"/>
        <v/>
      </c>
      <c r="BB281" s="30" t="str">
        <f t="shared" si="44"/>
        <v/>
      </c>
      <c r="BC281" s="30">
        <f>IF(X281=0,0,IF(COUNTIFS($X$10:X281,1,$BA$10:BA281,BA281)=1,1,0))</f>
        <v>0</v>
      </c>
      <c r="BD281" s="29"/>
    </row>
    <row r="282" spans="1:56" ht="42" customHeight="1">
      <c r="A282" s="41"/>
      <c r="B282" s="44"/>
      <c r="C282" s="44"/>
      <c r="D282" s="44"/>
      <c r="E282" s="44"/>
      <c r="F282" s="44"/>
      <c r="G282" s="44"/>
      <c r="H282" s="44"/>
      <c r="I282" s="44"/>
      <c r="J282" s="44"/>
      <c r="K282" s="44"/>
      <c r="L282" s="49"/>
      <c r="M282" s="48"/>
      <c r="N282" s="48"/>
      <c r="O282" s="48"/>
      <c r="P282" s="48"/>
      <c r="Q282" s="48"/>
      <c r="R282" s="48"/>
      <c r="S282" s="49"/>
      <c r="T282" s="48"/>
      <c r="U282" s="48"/>
      <c r="V282" s="14">
        <f t="shared" si="36"/>
        <v>0</v>
      </c>
      <c r="W282" s="14">
        <f t="shared" si="37"/>
        <v>0</v>
      </c>
      <c r="X282" s="14">
        <f>IF(AND(V282=1,OR(Painel!$C$6="Todos",D282=Painel!$C$6),AND(OR(Painel!$L$6="Todas",E282=Painel!$L$6),OR(Painel!$C$8="Todos",F282=Painel!$C$8),OR(Painel!$L$8="Todos",G282=Painel!$L$8),OR(Painel!$C$10="",ISNUMBER(SEARCH(SUBSTITUTE(SUBSTITUTE(SUBSTITUTE(Painel!$C$10,"~","~~"),"*","~*"),"?","~?"),A282&amp;" "&amp;H282&amp;" "&amp;I282))))),1,0)</f>
        <v>0</v>
      </c>
      <c r="Y282" s="14">
        <f t="shared" si="38"/>
        <v>0</v>
      </c>
      <c r="Z282" s="15" t="str">
        <f>IF(V282=0,"",IF(COUNTIFS(Andamentos!$K$10:$K$2009,"="&amp;SUBSTITUTE(SUBSTITUTE(SUBSTITUTE("P:"&amp;A282,"~","~~"),"*","~*"),"?","~?"),Andamentos!$G$10:$G$2009,1)=0,"",_xlfn.AGGREGATE(14,6,Andamentos!$D$10:$D$2009/((Andamentos!$K$10:$K$2009=AS282)*(Andamentos!$G$10:$G$2009=1)),1)))</f>
        <v/>
      </c>
      <c r="AA282" s="14">
        <f>IF(Z282="",0,COUNTIFS(Andamentos!$K$10:$K$2009,"="&amp;SUBSTITUTE(SUBSTITUTE(SUBSTITUTE("P:"&amp;A282,"~","~~"),"*","~*"),"?","~?"),Andamentos!$D$10:$D$2009,Z282,Andamentos!$G$10:$G$2009,1))</f>
        <v>0</v>
      </c>
      <c r="AB282" s="14">
        <f>IF(AA282=1,SUMIFS(Andamentos!$L$10:$L$2009,Andamentos!$K$10:$K$2009,"="&amp;SUBSTITUTE(SUBSTITUTE(SUBSTITUTE(AS282,"~","~~"),"*","~*"),"?","~?"),Andamentos!$D$10:$D$2009,Z282,Andamentos!$G$10:$G$2009,1)-9,0)</f>
        <v>0</v>
      </c>
      <c r="AC282" s="14" t="str">
        <f>IF(V282=0,"",IF(AA282&gt;1,"Conferir recebimentos empatados",IF(AB282=0,"Sem atualização",INDEX(Andamentos!$C$10:$C$2009,AB282))))</f>
        <v/>
      </c>
      <c r="AD282" s="14">
        <f>IF(W282=0,0,IF(MAX(Z282,BD282)=0,1,IF(Configurar!$J$12-INT(MAX(Z282,BD282))&gt;Configurar!$J$11,1,0)))</f>
        <v>0</v>
      </c>
      <c r="AE282" s="16"/>
      <c r="AF282" s="14"/>
      <c r="AG282" s="14"/>
      <c r="AH282" s="14">
        <f>IF(AND(V282=1,COUNTIFS(Valores!$S$10:$S$509,"="&amp;SUBSTITUTE(SUBSTITUTE(SUBSTITUTE("P:"&amp;A282,"~","~~"),"*","~*"),"?","~?"))=1),(IF(ISNA(MATCH(SUBSTITUTE(SUBSTITUTE(SUBSTITUTE("P:"&amp;A282,"~","~~"),"*","~*"),"?","~?"),Valores!$S$10:$S$509,0)),9,INDEX(Valores!$R$10:$R$509,MATCH(SUBSTITUTE(SUBSTITUTE(SUBSTITUTE("P:"&amp;A282,"~","~~"),"*","~*"),"?","~?"),Valores!$S$10:$S$509,0)))-9),0)</f>
        <v>0</v>
      </c>
      <c r="AI282" s="40" t="str">
        <f t="shared" si="39"/>
        <v/>
      </c>
      <c r="AJ282" s="14" t="str">
        <f>IF(AND(X282=1,Y282=1),COUNTIFS($X$10:X282,1,$Y$10:Y282,1),"")</f>
        <v/>
      </c>
      <c r="AK282" s="14" t="str">
        <f>IF(X282=1,COUNTIFS($X$10:X282,1),"")</f>
        <v/>
      </c>
      <c r="AL282" s="14">
        <f>IF(AND(V282=1,AND(OR(Painel!$L$6="Todas",E282=Painel!$L$6),OR(Painel!$C$8="Todos",F282=Painel!$C$8),OR(Painel!$L$8="Todos",G282=Painel!$L$8),OR(Painel!$C$10="",ISNUMBER(SEARCH(SUBSTITUTE(SUBSTITUTE(SUBSTITUTE(Painel!$C$10,"~","~~"),"*","~*"),"?","~?"),A282&amp;" "&amp;H282&amp;" "&amp;I282))))),1,0)</f>
        <v>0</v>
      </c>
      <c r="AM282" s="14">
        <f t="shared" si="40"/>
        <v>0</v>
      </c>
      <c r="AN282" s="14"/>
      <c r="AO282" s="14"/>
      <c r="AP282" s="16" t="str">
        <f>IF(AB282=0,"",IF(INDEX(Andamentos!$B$10:$B$2009,AB282)="","",INDEX(Andamentos!$B$10:$B$2009,AB282)))</f>
        <v/>
      </c>
      <c r="AQ282" s="17" t="str">
        <f>IF(AH282=0,"",IF(INDEX(Valores!$B$10:$B$509,AH282)="","",IF(ISNUMBER(INDEX(Valores!$B$10:$B$509,AH282)),INDEX(Valores!$B$10:$B$509,AH282),"")))</f>
        <v/>
      </c>
      <c r="AR282" s="14" t="str">
        <f t="shared" si="41"/>
        <v/>
      </c>
      <c r="AS282" s="14" t="str">
        <f t="shared" si="42"/>
        <v/>
      </c>
      <c r="AT282" s="27"/>
      <c r="AU282" s="31"/>
      <c r="AV282" s="31"/>
      <c r="AW282" s="27"/>
      <c r="AX282" s="27"/>
      <c r="AY282" s="27"/>
      <c r="AZ282" s="27"/>
      <c r="BA282" s="30" t="str">
        <f t="shared" si="43"/>
        <v/>
      </c>
      <c r="BB282" s="30" t="str">
        <f t="shared" si="44"/>
        <v/>
      </c>
      <c r="BC282" s="30">
        <f>IF(X282=0,0,IF(COUNTIFS($X$10:X282,1,$BA$10:BA282,BA282)=1,1,0))</f>
        <v>0</v>
      </c>
      <c r="BD282" s="29"/>
    </row>
    <row r="283" spans="1:56" ht="42" customHeight="1">
      <c r="A283" s="41"/>
      <c r="B283" s="44"/>
      <c r="C283" s="44"/>
      <c r="D283" s="44"/>
      <c r="E283" s="44"/>
      <c r="F283" s="44"/>
      <c r="G283" s="44"/>
      <c r="H283" s="44"/>
      <c r="I283" s="44"/>
      <c r="J283" s="44"/>
      <c r="K283" s="44"/>
      <c r="L283" s="49"/>
      <c r="M283" s="48"/>
      <c r="N283" s="48"/>
      <c r="O283" s="48"/>
      <c r="P283" s="48"/>
      <c r="Q283" s="48"/>
      <c r="R283" s="48"/>
      <c r="S283" s="49"/>
      <c r="T283" s="48"/>
      <c r="U283" s="48"/>
      <c r="V283" s="14">
        <f t="shared" si="36"/>
        <v>0</v>
      </c>
      <c r="W283" s="14">
        <f t="shared" si="37"/>
        <v>0</v>
      </c>
      <c r="X283" s="14">
        <f>IF(AND(V283=1,OR(Painel!$C$6="Todos",D283=Painel!$C$6),AND(OR(Painel!$L$6="Todas",E283=Painel!$L$6),OR(Painel!$C$8="Todos",F283=Painel!$C$8),OR(Painel!$L$8="Todos",G283=Painel!$L$8),OR(Painel!$C$10="",ISNUMBER(SEARCH(SUBSTITUTE(SUBSTITUTE(SUBSTITUTE(Painel!$C$10,"~","~~"),"*","~*"),"?","~?"),A283&amp;" "&amp;H283&amp;" "&amp;I283))))),1,0)</f>
        <v>0</v>
      </c>
      <c r="Y283" s="14">
        <f t="shared" si="38"/>
        <v>0</v>
      </c>
      <c r="Z283" s="15" t="str">
        <f>IF(V283=0,"",IF(COUNTIFS(Andamentos!$K$10:$K$2009,"="&amp;SUBSTITUTE(SUBSTITUTE(SUBSTITUTE("P:"&amp;A283,"~","~~"),"*","~*"),"?","~?"),Andamentos!$G$10:$G$2009,1)=0,"",_xlfn.AGGREGATE(14,6,Andamentos!$D$10:$D$2009/((Andamentos!$K$10:$K$2009=AS283)*(Andamentos!$G$10:$G$2009=1)),1)))</f>
        <v/>
      </c>
      <c r="AA283" s="14">
        <f>IF(Z283="",0,COUNTIFS(Andamentos!$K$10:$K$2009,"="&amp;SUBSTITUTE(SUBSTITUTE(SUBSTITUTE("P:"&amp;A283,"~","~~"),"*","~*"),"?","~?"),Andamentos!$D$10:$D$2009,Z283,Andamentos!$G$10:$G$2009,1))</f>
        <v>0</v>
      </c>
      <c r="AB283" s="14">
        <f>IF(AA283=1,SUMIFS(Andamentos!$L$10:$L$2009,Andamentos!$K$10:$K$2009,"="&amp;SUBSTITUTE(SUBSTITUTE(SUBSTITUTE(AS283,"~","~~"),"*","~*"),"?","~?"),Andamentos!$D$10:$D$2009,Z283,Andamentos!$G$10:$G$2009,1)-9,0)</f>
        <v>0</v>
      </c>
      <c r="AC283" s="14" t="str">
        <f>IF(V283=0,"",IF(AA283&gt;1,"Conferir recebimentos empatados",IF(AB283=0,"Sem atualização",INDEX(Andamentos!$C$10:$C$2009,AB283))))</f>
        <v/>
      </c>
      <c r="AD283" s="14">
        <f>IF(W283=0,0,IF(MAX(Z283,BD283)=0,1,IF(Configurar!$J$12-INT(MAX(Z283,BD283))&gt;Configurar!$J$11,1,0)))</f>
        <v>0</v>
      </c>
      <c r="AE283" s="16"/>
      <c r="AF283" s="14"/>
      <c r="AG283" s="14"/>
      <c r="AH283" s="14">
        <f>IF(AND(V283=1,COUNTIFS(Valores!$S$10:$S$509,"="&amp;SUBSTITUTE(SUBSTITUTE(SUBSTITUTE("P:"&amp;A283,"~","~~"),"*","~*"),"?","~?"))=1),(IF(ISNA(MATCH(SUBSTITUTE(SUBSTITUTE(SUBSTITUTE("P:"&amp;A283,"~","~~"),"*","~*"),"?","~?"),Valores!$S$10:$S$509,0)),9,INDEX(Valores!$R$10:$R$509,MATCH(SUBSTITUTE(SUBSTITUTE(SUBSTITUTE("P:"&amp;A283,"~","~~"),"*","~*"),"?","~?"),Valores!$S$10:$S$509,0)))-9),0)</f>
        <v>0</v>
      </c>
      <c r="AI283" s="40" t="str">
        <f t="shared" si="39"/>
        <v/>
      </c>
      <c r="AJ283" s="14" t="str">
        <f>IF(AND(X283=1,Y283=1),COUNTIFS($X$10:X283,1,$Y$10:Y283,1),"")</f>
        <v/>
      </c>
      <c r="AK283" s="14" t="str">
        <f>IF(X283=1,COUNTIFS($X$10:X283,1),"")</f>
        <v/>
      </c>
      <c r="AL283" s="14">
        <f>IF(AND(V283=1,AND(OR(Painel!$L$6="Todas",E283=Painel!$L$6),OR(Painel!$C$8="Todos",F283=Painel!$C$8),OR(Painel!$L$8="Todos",G283=Painel!$L$8),OR(Painel!$C$10="",ISNUMBER(SEARCH(SUBSTITUTE(SUBSTITUTE(SUBSTITUTE(Painel!$C$10,"~","~~"),"*","~*"),"?","~?"),A283&amp;" "&amp;H283&amp;" "&amp;I283))))),1,0)</f>
        <v>0</v>
      </c>
      <c r="AM283" s="14">
        <f t="shared" si="40"/>
        <v>0</v>
      </c>
      <c r="AN283" s="14"/>
      <c r="AO283" s="14"/>
      <c r="AP283" s="16" t="str">
        <f>IF(AB283=0,"",IF(INDEX(Andamentos!$B$10:$B$2009,AB283)="","",INDEX(Andamentos!$B$10:$B$2009,AB283)))</f>
        <v/>
      </c>
      <c r="AQ283" s="17" t="str">
        <f>IF(AH283=0,"",IF(INDEX(Valores!$B$10:$B$509,AH283)="","",IF(ISNUMBER(INDEX(Valores!$B$10:$B$509,AH283)),INDEX(Valores!$B$10:$B$509,AH283),"")))</f>
        <v/>
      </c>
      <c r="AR283" s="14" t="str">
        <f t="shared" si="41"/>
        <v/>
      </c>
      <c r="AS283" s="14" t="str">
        <f t="shared" si="42"/>
        <v/>
      </c>
      <c r="AT283" s="27"/>
      <c r="AU283" s="31"/>
      <c r="AV283" s="31"/>
      <c r="AW283" s="27"/>
      <c r="AX283" s="27"/>
      <c r="AY283" s="27"/>
      <c r="AZ283" s="27"/>
      <c r="BA283" s="30" t="str">
        <f t="shared" si="43"/>
        <v/>
      </c>
      <c r="BB283" s="30" t="str">
        <f t="shared" si="44"/>
        <v/>
      </c>
      <c r="BC283" s="30">
        <f>IF(X283=0,0,IF(COUNTIFS($X$10:X283,1,$BA$10:BA283,BA283)=1,1,0))</f>
        <v>0</v>
      </c>
      <c r="BD283" s="29"/>
    </row>
    <row r="284" spans="1:56" ht="42" customHeight="1">
      <c r="A284" s="41"/>
      <c r="B284" s="44"/>
      <c r="C284" s="44"/>
      <c r="D284" s="44"/>
      <c r="E284" s="44"/>
      <c r="F284" s="44"/>
      <c r="G284" s="44"/>
      <c r="H284" s="44"/>
      <c r="I284" s="44"/>
      <c r="J284" s="44"/>
      <c r="K284" s="44"/>
      <c r="L284" s="49"/>
      <c r="M284" s="48"/>
      <c r="N284" s="48"/>
      <c r="O284" s="48"/>
      <c r="P284" s="48"/>
      <c r="Q284" s="48"/>
      <c r="R284" s="48"/>
      <c r="S284" s="49"/>
      <c r="T284" s="48"/>
      <c r="U284" s="48"/>
      <c r="V284" s="14">
        <f t="shared" si="36"/>
        <v>0</v>
      </c>
      <c r="W284" s="14">
        <f t="shared" si="37"/>
        <v>0</v>
      </c>
      <c r="X284" s="14">
        <f>IF(AND(V284=1,OR(Painel!$C$6="Todos",D284=Painel!$C$6),AND(OR(Painel!$L$6="Todas",E284=Painel!$L$6),OR(Painel!$C$8="Todos",F284=Painel!$C$8),OR(Painel!$L$8="Todos",G284=Painel!$L$8),OR(Painel!$C$10="",ISNUMBER(SEARCH(SUBSTITUTE(SUBSTITUTE(SUBSTITUTE(Painel!$C$10,"~","~~"),"*","~*"),"?","~?"),A284&amp;" "&amp;H284&amp;" "&amp;I284))))),1,0)</f>
        <v>0</v>
      </c>
      <c r="Y284" s="14">
        <f t="shared" si="38"/>
        <v>0</v>
      </c>
      <c r="Z284" s="15" t="str">
        <f>IF(V284=0,"",IF(COUNTIFS(Andamentos!$K$10:$K$2009,"="&amp;SUBSTITUTE(SUBSTITUTE(SUBSTITUTE("P:"&amp;A284,"~","~~"),"*","~*"),"?","~?"),Andamentos!$G$10:$G$2009,1)=0,"",_xlfn.AGGREGATE(14,6,Andamentos!$D$10:$D$2009/((Andamentos!$K$10:$K$2009=AS284)*(Andamentos!$G$10:$G$2009=1)),1)))</f>
        <v/>
      </c>
      <c r="AA284" s="14">
        <f>IF(Z284="",0,COUNTIFS(Andamentos!$K$10:$K$2009,"="&amp;SUBSTITUTE(SUBSTITUTE(SUBSTITUTE("P:"&amp;A284,"~","~~"),"*","~*"),"?","~?"),Andamentos!$D$10:$D$2009,Z284,Andamentos!$G$10:$G$2009,1))</f>
        <v>0</v>
      </c>
      <c r="AB284" s="14">
        <f>IF(AA284=1,SUMIFS(Andamentos!$L$10:$L$2009,Andamentos!$K$10:$K$2009,"="&amp;SUBSTITUTE(SUBSTITUTE(SUBSTITUTE(AS284,"~","~~"),"*","~*"),"?","~?"),Andamentos!$D$10:$D$2009,Z284,Andamentos!$G$10:$G$2009,1)-9,0)</f>
        <v>0</v>
      </c>
      <c r="AC284" s="14" t="str">
        <f>IF(V284=0,"",IF(AA284&gt;1,"Conferir recebimentos empatados",IF(AB284=0,"Sem atualização",INDEX(Andamentos!$C$10:$C$2009,AB284))))</f>
        <v/>
      </c>
      <c r="AD284" s="14">
        <f>IF(W284=0,0,IF(MAX(Z284,BD284)=0,1,IF(Configurar!$J$12-INT(MAX(Z284,BD284))&gt;Configurar!$J$11,1,0)))</f>
        <v>0</v>
      </c>
      <c r="AE284" s="16"/>
      <c r="AF284" s="14"/>
      <c r="AG284" s="14"/>
      <c r="AH284" s="14">
        <f>IF(AND(V284=1,COUNTIFS(Valores!$S$10:$S$509,"="&amp;SUBSTITUTE(SUBSTITUTE(SUBSTITUTE("P:"&amp;A284,"~","~~"),"*","~*"),"?","~?"))=1),(IF(ISNA(MATCH(SUBSTITUTE(SUBSTITUTE(SUBSTITUTE("P:"&amp;A284,"~","~~"),"*","~*"),"?","~?"),Valores!$S$10:$S$509,0)),9,INDEX(Valores!$R$10:$R$509,MATCH(SUBSTITUTE(SUBSTITUTE(SUBSTITUTE("P:"&amp;A284,"~","~~"),"*","~*"),"?","~?"),Valores!$S$10:$S$509,0)))-9),0)</f>
        <v>0</v>
      </c>
      <c r="AI284" s="40" t="str">
        <f t="shared" si="39"/>
        <v/>
      </c>
      <c r="AJ284" s="14" t="str">
        <f>IF(AND(X284=1,Y284=1),COUNTIFS($X$10:X284,1,$Y$10:Y284,1),"")</f>
        <v/>
      </c>
      <c r="AK284" s="14" t="str">
        <f>IF(X284=1,COUNTIFS($X$10:X284,1),"")</f>
        <v/>
      </c>
      <c r="AL284" s="14">
        <f>IF(AND(V284=1,AND(OR(Painel!$L$6="Todas",E284=Painel!$L$6),OR(Painel!$C$8="Todos",F284=Painel!$C$8),OR(Painel!$L$8="Todos",G284=Painel!$L$8),OR(Painel!$C$10="",ISNUMBER(SEARCH(SUBSTITUTE(SUBSTITUTE(SUBSTITUTE(Painel!$C$10,"~","~~"),"*","~*"),"?","~?"),A284&amp;" "&amp;H284&amp;" "&amp;I284))))),1,0)</f>
        <v>0</v>
      </c>
      <c r="AM284" s="14">
        <f t="shared" si="40"/>
        <v>0</v>
      </c>
      <c r="AN284" s="14"/>
      <c r="AO284" s="14"/>
      <c r="AP284" s="16" t="str">
        <f>IF(AB284=0,"",IF(INDEX(Andamentos!$B$10:$B$2009,AB284)="","",INDEX(Andamentos!$B$10:$B$2009,AB284)))</f>
        <v/>
      </c>
      <c r="AQ284" s="17" t="str">
        <f>IF(AH284=0,"",IF(INDEX(Valores!$B$10:$B$509,AH284)="","",IF(ISNUMBER(INDEX(Valores!$B$10:$B$509,AH284)),INDEX(Valores!$B$10:$B$509,AH284),"")))</f>
        <v/>
      </c>
      <c r="AR284" s="14" t="str">
        <f t="shared" si="41"/>
        <v/>
      </c>
      <c r="AS284" s="14" t="str">
        <f t="shared" si="42"/>
        <v/>
      </c>
      <c r="AT284" s="27"/>
      <c r="AU284" s="31"/>
      <c r="AV284" s="31"/>
      <c r="AW284" s="27"/>
      <c r="AX284" s="27"/>
      <c r="AY284" s="27"/>
      <c r="AZ284" s="27"/>
      <c r="BA284" s="30" t="str">
        <f t="shared" si="43"/>
        <v/>
      </c>
      <c r="BB284" s="30" t="str">
        <f t="shared" si="44"/>
        <v/>
      </c>
      <c r="BC284" s="30">
        <f>IF(X284=0,0,IF(COUNTIFS($X$10:X284,1,$BA$10:BA284,BA284)=1,1,0))</f>
        <v>0</v>
      </c>
      <c r="BD284" s="29"/>
    </row>
    <row r="285" spans="1:56" ht="42" customHeight="1">
      <c r="A285" s="41"/>
      <c r="B285" s="44"/>
      <c r="C285" s="44"/>
      <c r="D285" s="44"/>
      <c r="E285" s="44"/>
      <c r="F285" s="44"/>
      <c r="G285" s="44"/>
      <c r="H285" s="44"/>
      <c r="I285" s="44"/>
      <c r="J285" s="44"/>
      <c r="K285" s="44"/>
      <c r="L285" s="49"/>
      <c r="M285" s="48"/>
      <c r="N285" s="48"/>
      <c r="O285" s="48"/>
      <c r="P285" s="48"/>
      <c r="Q285" s="48"/>
      <c r="R285" s="48"/>
      <c r="S285" s="49"/>
      <c r="T285" s="48"/>
      <c r="U285" s="48"/>
      <c r="V285" s="14">
        <f t="shared" si="36"/>
        <v>0</v>
      </c>
      <c r="W285" s="14">
        <f t="shared" si="37"/>
        <v>0</v>
      </c>
      <c r="X285" s="14">
        <f>IF(AND(V285=1,OR(Painel!$C$6="Todos",D285=Painel!$C$6),AND(OR(Painel!$L$6="Todas",E285=Painel!$L$6),OR(Painel!$C$8="Todos",F285=Painel!$C$8),OR(Painel!$L$8="Todos",G285=Painel!$L$8),OR(Painel!$C$10="",ISNUMBER(SEARCH(SUBSTITUTE(SUBSTITUTE(SUBSTITUTE(Painel!$C$10,"~","~~"),"*","~*"),"?","~?"),A285&amp;" "&amp;H285&amp;" "&amp;I285))))),1,0)</f>
        <v>0</v>
      </c>
      <c r="Y285" s="14">
        <f t="shared" si="38"/>
        <v>0</v>
      </c>
      <c r="Z285" s="15" t="str">
        <f>IF(V285=0,"",IF(COUNTIFS(Andamentos!$K$10:$K$2009,"="&amp;SUBSTITUTE(SUBSTITUTE(SUBSTITUTE("P:"&amp;A285,"~","~~"),"*","~*"),"?","~?"),Andamentos!$G$10:$G$2009,1)=0,"",_xlfn.AGGREGATE(14,6,Andamentos!$D$10:$D$2009/((Andamentos!$K$10:$K$2009=AS285)*(Andamentos!$G$10:$G$2009=1)),1)))</f>
        <v/>
      </c>
      <c r="AA285" s="14">
        <f>IF(Z285="",0,COUNTIFS(Andamentos!$K$10:$K$2009,"="&amp;SUBSTITUTE(SUBSTITUTE(SUBSTITUTE("P:"&amp;A285,"~","~~"),"*","~*"),"?","~?"),Andamentos!$D$10:$D$2009,Z285,Andamentos!$G$10:$G$2009,1))</f>
        <v>0</v>
      </c>
      <c r="AB285" s="14">
        <f>IF(AA285=1,SUMIFS(Andamentos!$L$10:$L$2009,Andamentos!$K$10:$K$2009,"="&amp;SUBSTITUTE(SUBSTITUTE(SUBSTITUTE(AS285,"~","~~"),"*","~*"),"?","~?"),Andamentos!$D$10:$D$2009,Z285,Andamentos!$G$10:$G$2009,1)-9,0)</f>
        <v>0</v>
      </c>
      <c r="AC285" s="14" t="str">
        <f>IF(V285=0,"",IF(AA285&gt;1,"Conferir recebimentos empatados",IF(AB285=0,"Sem atualização",INDEX(Andamentos!$C$10:$C$2009,AB285))))</f>
        <v/>
      </c>
      <c r="AD285" s="14">
        <f>IF(W285=0,0,IF(MAX(Z285,BD285)=0,1,IF(Configurar!$J$12-INT(MAX(Z285,BD285))&gt;Configurar!$J$11,1,0)))</f>
        <v>0</v>
      </c>
      <c r="AE285" s="16"/>
      <c r="AF285" s="14"/>
      <c r="AG285" s="14"/>
      <c r="AH285" s="14">
        <f>IF(AND(V285=1,COUNTIFS(Valores!$S$10:$S$509,"="&amp;SUBSTITUTE(SUBSTITUTE(SUBSTITUTE("P:"&amp;A285,"~","~~"),"*","~*"),"?","~?"))=1),(IF(ISNA(MATCH(SUBSTITUTE(SUBSTITUTE(SUBSTITUTE("P:"&amp;A285,"~","~~"),"*","~*"),"?","~?"),Valores!$S$10:$S$509,0)),9,INDEX(Valores!$R$10:$R$509,MATCH(SUBSTITUTE(SUBSTITUTE(SUBSTITUTE("P:"&amp;A285,"~","~~"),"*","~*"),"?","~?"),Valores!$S$10:$S$509,0)))-9),0)</f>
        <v>0</v>
      </c>
      <c r="AI285" s="40" t="str">
        <f t="shared" si="39"/>
        <v/>
      </c>
      <c r="AJ285" s="14" t="str">
        <f>IF(AND(X285=1,Y285=1),COUNTIFS($X$10:X285,1,$Y$10:Y285,1),"")</f>
        <v/>
      </c>
      <c r="AK285" s="14" t="str">
        <f>IF(X285=1,COUNTIFS($X$10:X285,1),"")</f>
        <v/>
      </c>
      <c r="AL285" s="14">
        <f>IF(AND(V285=1,AND(OR(Painel!$L$6="Todas",E285=Painel!$L$6),OR(Painel!$C$8="Todos",F285=Painel!$C$8),OR(Painel!$L$8="Todos",G285=Painel!$L$8),OR(Painel!$C$10="",ISNUMBER(SEARCH(SUBSTITUTE(SUBSTITUTE(SUBSTITUTE(Painel!$C$10,"~","~~"),"*","~*"),"?","~?"),A285&amp;" "&amp;H285&amp;" "&amp;I285))))),1,0)</f>
        <v>0</v>
      </c>
      <c r="AM285" s="14">
        <f t="shared" si="40"/>
        <v>0</v>
      </c>
      <c r="AN285" s="14"/>
      <c r="AO285" s="14"/>
      <c r="AP285" s="16" t="str">
        <f>IF(AB285=0,"",IF(INDEX(Andamentos!$B$10:$B$2009,AB285)="","",INDEX(Andamentos!$B$10:$B$2009,AB285)))</f>
        <v/>
      </c>
      <c r="AQ285" s="17" t="str">
        <f>IF(AH285=0,"",IF(INDEX(Valores!$B$10:$B$509,AH285)="","",IF(ISNUMBER(INDEX(Valores!$B$10:$B$509,AH285)),INDEX(Valores!$B$10:$B$509,AH285),"")))</f>
        <v/>
      </c>
      <c r="AR285" s="14" t="str">
        <f t="shared" si="41"/>
        <v/>
      </c>
      <c r="AS285" s="14" t="str">
        <f t="shared" si="42"/>
        <v/>
      </c>
      <c r="AT285" s="27"/>
      <c r="AU285" s="31"/>
      <c r="AV285" s="31"/>
      <c r="AW285" s="27"/>
      <c r="AX285" s="27"/>
      <c r="AY285" s="27"/>
      <c r="AZ285" s="27"/>
      <c r="BA285" s="30" t="str">
        <f t="shared" si="43"/>
        <v/>
      </c>
      <c r="BB285" s="30" t="str">
        <f t="shared" si="44"/>
        <v/>
      </c>
      <c r="BC285" s="30">
        <f>IF(X285=0,0,IF(COUNTIFS($X$10:X285,1,$BA$10:BA285,BA285)=1,1,0))</f>
        <v>0</v>
      </c>
      <c r="BD285" s="29"/>
    </row>
    <row r="286" spans="1:56" ht="42" customHeight="1">
      <c r="A286" s="41"/>
      <c r="B286" s="44"/>
      <c r="C286" s="44"/>
      <c r="D286" s="44"/>
      <c r="E286" s="44"/>
      <c r="F286" s="44"/>
      <c r="G286" s="44"/>
      <c r="H286" s="44"/>
      <c r="I286" s="44"/>
      <c r="J286" s="44"/>
      <c r="K286" s="44"/>
      <c r="L286" s="49"/>
      <c r="M286" s="48"/>
      <c r="N286" s="48"/>
      <c r="O286" s="48"/>
      <c r="P286" s="48"/>
      <c r="Q286" s="48"/>
      <c r="R286" s="48"/>
      <c r="S286" s="49"/>
      <c r="T286" s="48"/>
      <c r="U286" s="48"/>
      <c r="V286" s="14">
        <f t="shared" si="36"/>
        <v>0</v>
      </c>
      <c r="W286" s="14">
        <f t="shared" si="37"/>
        <v>0</v>
      </c>
      <c r="X286" s="14">
        <f>IF(AND(V286=1,OR(Painel!$C$6="Todos",D286=Painel!$C$6),AND(OR(Painel!$L$6="Todas",E286=Painel!$L$6),OR(Painel!$C$8="Todos",F286=Painel!$C$8),OR(Painel!$L$8="Todos",G286=Painel!$L$8),OR(Painel!$C$10="",ISNUMBER(SEARCH(SUBSTITUTE(SUBSTITUTE(SUBSTITUTE(Painel!$C$10,"~","~~"),"*","~*"),"?","~?"),A286&amp;" "&amp;H286&amp;" "&amp;I286))))),1,0)</f>
        <v>0</v>
      </c>
      <c r="Y286" s="14">
        <f t="shared" si="38"/>
        <v>0</v>
      </c>
      <c r="Z286" s="15" t="str">
        <f>IF(V286=0,"",IF(COUNTIFS(Andamentos!$K$10:$K$2009,"="&amp;SUBSTITUTE(SUBSTITUTE(SUBSTITUTE("P:"&amp;A286,"~","~~"),"*","~*"),"?","~?"),Andamentos!$G$10:$G$2009,1)=0,"",_xlfn.AGGREGATE(14,6,Andamentos!$D$10:$D$2009/((Andamentos!$K$10:$K$2009=AS286)*(Andamentos!$G$10:$G$2009=1)),1)))</f>
        <v/>
      </c>
      <c r="AA286" s="14">
        <f>IF(Z286="",0,COUNTIFS(Andamentos!$K$10:$K$2009,"="&amp;SUBSTITUTE(SUBSTITUTE(SUBSTITUTE("P:"&amp;A286,"~","~~"),"*","~*"),"?","~?"),Andamentos!$D$10:$D$2009,Z286,Andamentos!$G$10:$G$2009,1))</f>
        <v>0</v>
      </c>
      <c r="AB286" s="14">
        <f>IF(AA286=1,SUMIFS(Andamentos!$L$10:$L$2009,Andamentos!$K$10:$K$2009,"="&amp;SUBSTITUTE(SUBSTITUTE(SUBSTITUTE(AS286,"~","~~"),"*","~*"),"?","~?"),Andamentos!$D$10:$D$2009,Z286,Andamentos!$G$10:$G$2009,1)-9,0)</f>
        <v>0</v>
      </c>
      <c r="AC286" s="14" t="str">
        <f>IF(V286=0,"",IF(AA286&gt;1,"Conferir recebimentos empatados",IF(AB286=0,"Sem atualização",INDEX(Andamentos!$C$10:$C$2009,AB286))))</f>
        <v/>
      </c>
      <c r="AD286" s="14">
        <f>IF(W286=0,0,IF(MAX(Z286,BD286)=0,1,IF(Configurar!$J$12-INT(MAX(Z286,BD286))&gt;Configurar!$J$11,1,0)))</f>
        <v>0</v>
      </c>
      <c r="AE286" s="16"/>
      <c r="AF286" s="14"/>
      <c r="AG286" s="14"/>
      <c r="AH286" s="14">
        <f>IF(AND(V286=1,COUNTIFS(Valores!$S$10:$S$509,"="&amp;SUBSTITUTE(SUBSTITUTE(SUBSTITUTE("P:"&amp;A286,"~","~~"),"*","~*"),"?","~?"))=1),(IF(ISNA(MATCH(SUBSTITUTE(SUBSTITUTE(SUBSTITUTE("P:"&amp;A286,"~","~~"),"*","~*"),"?","~?"),Valores!$S$10:$S$509,0)),9,INDEX(Valores!$R$10:$R$509,MATCH(SUBSTITUTE(SUBSTITUTE(SUBSTITUTE("P:"&amp;A286,"~","~~"),"*","~*"),"?","~?"),Valores!$S$10:$S$509,0)))-9),0)</f>
        <v>0</v>
      </c>
      <c r="AI286" s="40" t="str">
        <f t="shared" si="39"/>
        <v/>
      </c>
      <c r="AJ286" s="14" t="str">
        <f>IF(AND(X286=1,Y286=1),COUNTIFS($X$10:X286,1,$Y$10:Y286,1),"")</f>
        <v/>
      </c>
      <c r="AK286" s="14" t="str">
        <f>IF(X286=1,COUNTIFS($X$10:X286,1),"")</f>
        <v/>
      </c>
      <c r="AL286" s="14">
        <f>IF(AND(V286=1,AND(OR(Painel!$L$6="Todas",E286=Painel!$L$6),OR(Painel!$C$8="Todos",F286=Painel!$C$8),OR(Painel!$L$8="Todos",G286=Painel!$L$8),OR(Painel!$C$10="",ISNUMBER(SEARCH(SUBSTITUTE(SUBSTITUTE(SUBSTITUTE(Painel!$C$10,"~","~~"),"*","~*"),"?","~?"),A286&amp;" "&amp;H286&amp;" "&amp;I286))))),1,0)</f>
        <v>0</v>
      </c>
      <c r="AM286" s="14">
        <f t="shared" si="40"/>
        <v>0</v>
      </c>
      <c r="AN286" s="14"/>
      <c r="AO286" s="14"/>
      <c r="AP286" s="16" t="str">
        <f>IF(AB286=0,"",IF(INDEX(Andamentos!$B$10:$B$2009,AB286)="","",INDEX(Andamentos!$B$10:$B$2009,AB286)))</f>
        <v/>
      </c>
      <c r="AQ286" s="17" t="str">
        <f>IF(AH286=0,"",IF(INDEX(Valores!$B$10:$B$509,AH286)="","",IF(ISNUMBER(INDEX(Valores!$B$10:$B$509,AH286)),INDEX(Valores!$B$10:$B$509,AH286),"")))</f>
        <v/>
      </c>
      <c r="AR286" s="14" t="str">
        <f t="shared" si="41"/>
        <v/>
      </c>
      <c r="AS286" s="14" t="str">
        <f t="shared" si="42"/>
        <v/>
      </c>
      <c r="AT286" s="27"/>
      <c r="AU286" s="31"/>
      <c r="AV286" s="31"/>
      <c r="AW286" s="27"/>
      <c r="AX286" s="27"/>
      <c r="AY286" s="27"/>
      <c r="AZ286" s="27"/>
      <c r="BA286" s="30" t="str">
        <f t="shared" si="43"/>
        <v/>
      </c>
      <c r="BB286" s="30" t="str">
        <f t="shared" si="44"/>
        <v/>
      </c>
      <c r="BC286" s="30">
        <f>IF(X286=0,0,IF(COUNTIFS($X$10:X286,1,$BA$10:BA286,BA286)=1,1,0))</f>
        <v>0</v>
      </c>
      <c r="BD286" s="29"/>
    </row>
    <row r="287" spans="1:56" ht="42" customHeight="1">
      <c r="A287" s="41"/>
      <c r="B287" s="44"/>
      <c r="C287" s="44"/>
      <c r="D287" s="44"/>
      <c r="E287" s="44"/>
      <c r="F287" s="44"/>
      <c r="G287" s="44"/>
      <c r="H287" s="44"/>
      <c r="I287" s="44"/>
      <c r="J287" s="44"/>
      <c r="K287" s="44"/>
      <c r="L287" s="49"/>
      <c r="M287" s="48"/>
      <c r="N287" s="48"/>
      <c r="O287" s="48"/>
      <c r="P287" s="48"/>
      <c r="Q287" s="48"/>
      <c r="R287" s="48"/>
      <c r="S287" s="49"/>
      <c r="T287" s="48"/>
      <c r="U287" s="48"/>
      <c r="V287" s="14">
        <f t="shared" si="36"/>
        <v>0</v>
      </c>
      <c r="W287" s="14">
        <f t="shared" si="37"/>
        <v>0</v>
      </c>
      <c r="X287" s="14">
        <f>IF(AND(V287=1,OR(Painel!$C$6="Todos",D287=Painel!$C$6),AND(OR(Painel!$L$6="Todas",E287=Painel!$L$6),OR(Painel!$C$8="Todos",F287=Painel!$C$8),OR(Painel!$L$8="Todos",G287=Painel!$L$8),OR(Painel!$C$10="",ISNUMBER(SEARCH(SUBSTITUTE(SUBSTITUTE(SUBSTITUTE(Painel!$C$10,"~","~~"),"*","~*"),"?","~?"),A287&amp;" "&amp;H287&amp;" "&amp;I287))))),1,0)</f>
        <v>0</v>
      </c>
      <c r="Y287" s="14">
        <f t="shared" si="38"/>
        <v>0</v>
      </c>
      <c r="Z287" s="15" t="str">
        <f>IF(V287=0,"",IF(COUNTIFS(Andamentos!$K$10:$K$2009,"="&amp;SUBSTITUTE(SUBSTITUTE(SUBSTITUTE("P:"&amp;A287,"~","~~"),"*","~*"),"?","~?"),Andamentos!$G$10:$G$2009,1)=0,"",_xlfn.AGGREGATE(14,6,Andamentos!$D$10:$D$2009/((Andamentos!$K$10:$K$2009=AS287)*(Andamentos!$G$10:$G$2009=1)),1)))</f>
        <v/>
      </c>
      <c r="AA287" s="14">
        <f>IF(Z287="",0,COUNTIFS(Andamentos!$K$10:$K$2009,"="&amp;SUBSTITUTE(SUBSTITUTE(SUBSTITUTE("P:"&amp;A287,"~","~~"),"*","~*"),"?","~?"),Andamentos!$D$10:$D$2009,Z287,Andamentos!$G$10:$G$2009,1))</f>
        <v>0</v>
      </c>
      <c r="AB287" s="14">
        <f>IF(AA287=1,SUMIFS(Andamentos!$L$10:$L$2009,Andamentos!$K$10:$K$2009,"="&amp;SUBSTITUTE(SUBSTITUTE(SUBSTITUTE(AS287,"~","~~"),"*","~*"),"?","~?"),Andamentos!$D$10:$D$2009,Z287,Andamentos!$G$10:$G$2009,1)-9,0)</f>
        <v>0</v>
      </c>
      <c r="AC287" s="14" t="str">
        <f>IF(V287=0,"",IF(AA287&gt;1,"Conferir recebimentos empatados",IF(AB287=0,"Sem atualização",INDEX(Andamentos!$C$10:$C$2009,AB287))))</f>
        <v/>
      </c>
      <c r="AD287" s="14">
        <f>IF(W287=0,0,IF(MAX(Z287,BD287)=0,1,IF(Configurar!$J$12-INT(MAX(Z287,BD287))&gt;Configurar!$J$11,1,0)))</f>
        <v>0</v>
      </c>
      <c r="AE287" s="16"/>
      <c r="AF287" s="14"/>
      <c r="AG287" s="14"/>
      <c r="AH287" s="14">
        <f>IF(AND(V287=1,COUNTIFS(Valores!$S$10:$S$509,"="&amp;SUBSTITUTE(SUBSTITUTE(SUBSTITUTE("P:"&amp;A287,"~","~~"),"*","~*"),"?","~?"))=1),(IF(ISNA(MATCH(SUBSTITUTE(SUBSTITUTE(SUBSTITUTE("P:"&amp;A287,"~","~~"),"*","~*"),"?","~?"),Valores!$S$10:$S$509,0)),9,INDEX(Valores!$R$10:$R$509,MATCH(SUBSTITUTE(SUBSTITUTE(SUBSTITUTE("P:"&amp;A287,"~","~~"),"*","~*"),"?","~?"),Valores!$S$10:$S$509,0)))-9),0)</f>
        <v>0</v>
      </c>
      <c r="AI287" s="40" t="str">
        <f t="shared" si="39"/>
        <v/>
      </c>
      <c r="AJ287" s="14" t="str">
        <f>IF(AND(X287=1,Y287=1),COUNTIFS($X$10:X287,1,$Y$10:Y287,1),"")</f>
        <v/>
      </c>
      <c r="AK287" s="14" t="str">
        <f>IF(X287=1,COUNTIFS($X$10:X287,1),"")</f>
        <v/>
      </c>
      <c r="AL287" s="14">
        <f>IF(AND(V287=1,AND(OR(Painel!$L$6="Todas",E287=Painel!$L$6),OR(Painel!$C$8="Todos",F287=Painel!$C$8),OR(Painel!$L$8="Todos",G287=Painel!$L$8),OR(Painel!$C$10="",ISNUMBER(SEARCH(SUBSTITUTE(SUBSTITUTE(SUBSTITUTE(Painel!$C$10,"~","~~"),"*","~*"),"?","~?"),A287&amp;" "&amp;H287&amp;" "&amp;I287))))),1,0)</f>
        <v>0</v>
      </c>
      <c r="AM287" s="14">
        <f t="shared" si="40"/>
        <v>0</v>
      </c>
      <c r="AN287" s="14"/>
      <c r="AO287" s="14"/>
      <c r="AP287" s="16" t="str">
        <f>IF(AB287=0,"",IF(INDEX(Andamentos!$B$10:$B$2009,AB287)="","",INDEX(Andamentos!$B$10:$B$2009,AB287)))</f>
        <v/>
      </c>
      <c r="AQ287" s="17" t="str">
        <f>IF(AH287=0,"",IF(INDEX(Valores!$B$10:$B$509,AH287)="","",IF(ISNUMBER(INDEX(Valores!$B$10:$B$509,AH287)),INDEX(Valores!$B$10:$B$509,AH287),"")))</f>
        <v/>
      </c>
      <c r="AR287" s="14" t="str">
        <f t="shared" si="41"/>
        <v/>
      </c>
      <c r="AS287" s="14" t="str">
        <f t="shared" si="42"/>
        <v/>
      </c>
      <c r="AT287" s="27"/>
      <c r="AU287" s="31"/>
      <c r="AV287" s="31"/>
      <c r="AW287" s="27"/>
      <c r="AX287" s="27"/>
      <c r="AY287" s="27"/>
      <c r="AZ287" s="27"/>
      <c r="BA287" s="30" t="str">
        <f t="shared" si="43"/>
        <v/>
      </c>
      <c r="BB287" s="30" t="str">
        <f t="shared" si="44"/>
        <v/>
      </c>
      <c r="BC287" s="30">
        <f>IF(X287=0,0,IF(COUNTIFS($X$10:X287,1,$BA$10:BA287,BA287)=1,1,0))</f>
        <v>0</v>
      </c>
      <c r="BD287" s="29"/>
    </row>
    <row r="288" spans="1:56" ht="42" customHeight="1">
      <c r="A288" s="41"/>
      <c r="B288" s="44"/>
      <c r="C288" s="44"/>
      <c r="D288" s="44"/>
      <c r="E288" s="44"/>
      <c r="F288" s="44"/>
      <c r="G288" s="44"/>
      <c r="H288" s="44"/>
      <c r="I288" s="44"/>
      <c r="J288" s="44"/>
      <c r="K288" s="44"/>
      <c r="L288" s="49"/>
      <c r="M288" s="48"/>
      <c r="N288" s="48"/>
      <c r="O288" s="48"/>
      <c r="P288" s="48"/>
      <c r="Q288" s="48"/>
      <c r="R288" s="48"/>
      <c r="S288" s="49"/>
      <c r="T288" s="48"/>
      <c r="U288" s="48"/>
      <c r="V288" s="14">
        <f t="shared" si="36"/>
        <v>0</v>
      </c>
      <c r="W288" s="14">
        <f t="shared" si="37"/>
        <v>0</v>
      </c>
      <c r="X288" s="14">
        <f>IF(AND(V288=1,OR(Painel!$C$6="Todos",D288=Painel!$C$6),AND(OR(Painel!$L$6="Todas",E288=Painel!$L$6),OR(Painel!$C$8="Todos",F288=Painel!$C$8),OR(Painel!$L$8="Todos",G288=Painel!$L$8),OR(Painel!$C$10="",ISNUMBER(SEARCH(SUBSTITUTE(SUBSTITUTE(SUBSTITUTE(Painel!$C$10,"~","~~"),"*","~*"),"?","~?"),A288&amp;" "&amp;H288&amp;" "&amp;I288))))),1,0)</f>
        <v>0</v>
      </c>
      <c r="Y288" s="14">
        <f t="shared" si="38"/>
        <v>0</v>
      </c>
      <c r="Z288" s="15" t="str">
        <f>IF(V288=0,"",IF(COUNTIFS(Andamentos!$K$10:$K$2009,"="&amp;SUBSTITUTE(SUBSTITUTE(SUBSTITUTE("P:"&amp;A288,"~","~~"),"*","~*"),"?","~?"),Andamentos!$G$10:$G$2009,1)=0,"",_xlfn.AGGREGATE(14,6,Andamentos!$D$10:$D$2009/((Andamentos!$K$10:$K$2009=AS288)*(Andamentos!$G$10:$G$2009=1)),1)))</f>
        <v/>
      </c>
      <c r="AA288" s="14">
        <f>IF(Z288="",0,COUNTIFS(Andamentos!$K$10:$K$2009,"="&amp;SUBSTITUTE(SUBSTITUTE(SUBSTITUTE("P:"&amp;A288,"~","~~"),"*","~*"),"?","~?"),Andamentos!$D$10:$D$2009,Z288,Andamentos!$G$10:$G$2009,1))</f>
        <v>0</v>
      </c>
      <c r="AB288" s="14">
        <f>IF(AA288=1,SUMIFS(Andamentos!$L$10:$L$2009,Andamentos!$K$10:$K$2009,"="&amp;SUBSTITUTE(SUBSTITUTE(SUBSTITUTE(AS288,"~","~~"),"*","~*"),"?","~?"),Andamentos!$D$10:$D$2009,Z288,Andamentos!$G$10:$G$2009,1)-9,0)</f>
        <v>0</v>
      </c>
      <c r="AC288" s="14" t="str">
        <f>IF(V288=0,"",IF(AA288&gt;1,"Conferir recebimentos empatados",IF(AB288=0,"Sem atualização",INDEX(Andamentos!$C$10:$C$2009,AB288))))</f>
        <v/>
      </c>
      <c r="AD288" s="14">
        <f>IF(W288=0,0,IF(MAX(Z288,BD288)=0,1,IF(Configurar!$J$12-INT(MAX(Z288,BD288))&gt;Configurar!$J$11,1,0)))</f>
        <v>0</v>
      </c>
      <c r="AE288" s="16"/>
      <c r="AF288" s="14"/>
      <c r="AG288" s="14"/>
      <c r="AH288" s="14">
        <f>IF(AND(V288=1,COUNTIFS(Valores!$S$10:$S$509,"="&amp;SUBSTITUTE(SUBSTITUTE(SUBSTITUTE("P:"&amp;A288,"~","~~"),"*","~*"),"?","~?"))=1),(IF(ISNA(MATCH(SUBSTITUTE(SUBSTITUTE(SUBSTITUTE("P:"&amp;A288,"~","~~"),"*","~*"),"?","~?"),Valores!$S$10:$S$509,0)),9,INDEX(Valores!$R$10:$R$509,MATCH(SUBSTITUTE(SUBSTITUTE(SUBSTITUTE("P:"&amp;A288,"~","~~"),"*","~*"),"?","~?"),Valores!$S$10:$S$509,0)))-9),0)</f>
        <v>0</v>
      </c>
      <c r="AI288" s="40" t="str">
        <f t="shared" si="39"/>
        <v/>
      </c>
      <c r="AJ288" s="14" t="str">
        <f>IF(AND(X288=1,Y288=1),COUNTIFS($X$10:X288,1,$Y$10:Y288,1),"")</f>
        <v/>
      </c>
      <c r="AK288" s="14" t="str">
        <f>IF(X288=1,COUNTIFS($X$10:X288,1),"")</f>
        <v/>
      </c>
      <c r="AL288" s="14">
        <f>IF(AND(V288=1,AND(OR(Painel!$L$6="Todas",E288=Painel!$L$6),OR(Painel!$C$8="Todos",F288=Painel!$C$8),OR(Painel!$L$8="Todos",G288=Painel!$L$8),OR(Painel!$C$10="",ISNUMBER(SEARCH(SUBSTITUTE(SUBSTITUTE(SUBSTITUTE(Painel!$C$10,"~","~~"),"*","~*"),"?","~?"),A288&amp;" "&amp;H288&amp;" "&amp;I288))))),1,0)</f>
        <v>0</v>
      </c>
      <c r="AM288" s="14">
        <f t="shared" si="40"/>
        <v>0</v>
      </c>
      <c r="AN288" s="14"/>
      <c r="AO288" s="14"/>
      <c r="AP288" s="16" t="str">
        <f>IF(AB288=0,"",IF(INDEX(Andamentos!$B$10:$B$2009,AB288)="","",INDEX(Andamentos!$B$10:$B$2009,AB288)))</f>
        <v/>
      </c>
      <c r="AQ288" s="17" t="str">
        <f>IF(AH288=0,"",IF(INDEX(Valores!$B$10:$B$509,AH288)="","",IF(ISNUMBER(INDEX(Valores!$B$10:$B$509,AH288)),INDEX(Valores!$B$10:$B$509,AH288),"")))</f>
        <v/>
      </c>
      <c r="AR288" s="14" t="str">
        <f t="shared" si="41"/>
        <v/>
      </c>
      <c r="AS288" s="14" t="str">
        <f t="shared" si="42"/>
        <v/>
      </c>
      <c r="AT288" s="27"/>
      <c r="AU288" s="31"/>
      <c r="AV288" s="31"/>
      <c r="AW288" s="27"/>
      <c r="AX288" s="27"/>
      <c r="AY288" s="27"/>
      <c r="AZ288" s="27"/>
      <c r="BA288" s="30" t="str">
        <f t="shared" si="43"/>
        <v/>
      </c>
      <c r="BB288" s="30" t="str">
        <f t="shared" si="44"/>
        <v/>
      </c>
      <c r="BC288" s="30">
        <f>IF(X288=0,0,IF(COUNTIFS($X$10:X288,1,$BA$10:BA288,BA288)=1,1,0))</f>
        <v>0</v>
      </c>
      <c r="BD288" s="29"/>
    </row>
    <row r="289" spans="1:56" ht="42" customHeight="1">
      <c r="A289" s="41"/>
      <c r="B289" s="44"/>
      <c r="C289" s="44"/>
      <c r="D289" s="44"/>
      <c r="E289" s="44"/>
      <c r="F289" s="44"/>
      <c r="G289" s="44"/>
      <c r="H289" s="44"/>
      <c r="I289" s="44"/>
      <c r="J289" s="44"/>
      <c r="K289" s="44"/>
      <c r="L289" s="49"/>
      <c r="M289" s="48"/>
      <c r="N289" s="48"/>
      <c r="O289" s="48"/>
      <c r="P289" s="48"/>
      <c r="Q289" s="48"/>
      <c r="R289" s="48"/>
      <c r="S289" s="49"/>
      <c r="T289" s="48"/>
      <c r="U289" s="48"/>
      <c r="V289" s="14">
        <f t="shared" si="36"/>
        <v>0</v>
      </c>
      <c r="W289" s="14">
        <f t="shared" si="37"/>
        <v>0</v>
      </c>
      <c r="X289" s="14">
        <f>IF(AND(V289=1,OR(Painel!$C$6="Todos",D289=Painel!$C$6),AND(OR(Painel!$L$6="Todas",E289=Painel!$L$6),OR(Painel!$C$8="Todos",F289=Painel!$C$8),OR(Painel!$L$8="Todos",G289=Painel!$L$8),OR(Painel!$C$10="",ISNUMBER(SEARCH(SUBSTITUTE(SUBSTITUTE(SUBSTITUTE(Painel!$C$10,"~","~~"),"*","~*"),"?","~?"),A289&amp;" "&amp;H289&amp;" "&amp;I289))))),1,0)</f>
        <v>0</v>
      </c>
      <c r="Y289" s="14">
        <f t="shared" si="38"/>
        <v>0</v>
      </c>
      <c r="Z289" s="15" t="str">
        <f>IF(V289=0,"",IF(COUNTIFS(Andamentos!$K$10:$K$2009,"="&amp;SUBSTITUTE(SUBSTITUTE(SUBSTITUTE("P:"&amp;A289,"~","~~"),"*","~*"),"?","~?"),Andamentos!$G$10:$G$2009,1)=0,"",_xlfn.AGGREGATE(14,6,Andamentos!$D$10:$D$2009/((Andamentos!$K$10:$K$2009=AS289)*(Andamentos!$G$10:$G$2009=1)),1)))</f>
        <v/>
      </c>
      <c r="AA289" s="14">
        <f>IF(Z289="",0,COUNTIFS(Andamentos!$K$10:$K$2009,"="&amp;SUBSTITUTE(SUBSTITUTE(SUBSTITUTE("P:"&amp;A289,"~","~~"),"*","~*"),"?","~?"),Andamentos!$D$10:$D$2009,Z289,Andamentos!$G$10:$G$2009,1))</f>
        <v>0</v>
      </c>
      <c r="AB289" s="14">
        <f>IF(AA289=1,SUMIFS(Andamentos!$L$10:$L$2009,Andamentos!$K$10:$K$2009,"="&amp;SUBSTITUTE(SUBSTITUTE(SUBSTITUTE(AS289,"~","~~"),"*","~*"),"?","~?"),Andamentos!$D$10:$D$2009,Z289,Andamentos!$G$10:$G$2009,1)-9,0)</f>
        <v>0</v>
      </c>
      <c r="AC289" s="14" t="str">
        <f>IF(V289=0,"",IF(AA289&gt;1,"Conferir recebimentos empatados",IF(AB289=0,"Sem atualização",INDEX(Andamentos!$C$10:$C$2009,AB289))))</f>
        <v/>
      </c>
      <c r="AD289" s="14">
        <f>IF(W289=0,0,IF(MAX(Z289,BD289)=0,1,IF(Configurar!$J$12-INT(MAX(Z289,BD289))&gt;Configurar!$J$11,1,0)))</f>
        <v>0</v>
      </c>
      <c r="AE289" s="16"/>
      <c r="AF289" s="14"/>
      <c r="AG289" s="14"/>
      <c r="AH289" s="14">
        <f>IF(AND(V289=1,COUNTIFS(Valores!$S$10:$S$509,"="&amp;SUBSTITUTE(SUBSTITUTE(SUBSTITUTE("P:"&amp;A289,"~","~~"),"*","~*"),"?","~?"))=1),(IF(ISNA(MATCH(SUBSTITUTE(SUBSTITUTE(SUBSTITUTE("P:"&amp;A289,"~","~~"),"*","~*"),"?","~?"),Valores!$S$10:$S$509,0)),9,INDEX(Valores!$R$10:$R$509,MATCH(SUBSTITUTE(SUBSTITUTE(SUBSTITUTE("P:"&amp;A289,"~","~~"),"*","~*"),"?","~?"),Valores!$S$10:$S$509,0)))-9),0)</f>
        <v>0</v>
      </c>
      <c r="AI289" s="40" t="str">
        <f t="shared" si="39"/>
        <v/>
      </c>
      <c r="AJ289" s="14" t="str">
        <f>IF(AND(X289=1,Y289=1),COUNTIFS($X$10:X289,1,$Y$10:Y289,1),"")</f>
        <v/>
      </c>
      <c r="AK289" s="14" t="str">
        <f>IF(X289=1,COUNTIFS($X$10:X289,1),"")</f>
        <v/>
      </c>
      <c r="AL289" s="14">
        <f>IF(AND(V289=1,AND(OR(Painel!$L$6="Todas",E289=Painel!$L$6),OR(Painel!$C$8="Todos",F289=Painel!$C$8),OR(Painel!$L$8="Todos",G289=Painel!$L$8),OR(Painel!$C$10="",ISNUMBER(SEARCH(SUBSTITUTE(SUBSTITUTE(SUBSTITUTE(Painel!$C$10,"~","~~"),"*","~*"),"?","~?"),A289&amp;" "&amp;H289&amp;" "&amp;I289))))),1,0)</f>
        <v>0</v>
      </c>
      <c r="AM289" s="14">
        <f t="shared" si="40"/>
        <v>0</v>
      </c>
      <c r="AN289" s="14"/>
      <c r="AO289" s="14"/>
      <c r="AP289" s="16" t="str">
        <f>IF(AB289=0,"",IF(INDEX(Andamentos!$B$10:$B$2009,AB289)="","",INDEX(Andamentos!$B$10:$B$2009,AB289)))</f>
        <v/>
      </c>
      <c r="AQ289" s="17" t="str">
        <f>IF(AH289=0,"",IF(INDEX(Valores!$B$10:$B$509,AH289)="","",IF(ISNUMBER(INDEX(Valores!$B$10:$B$509,AH289)),INDEX(Valores!$B$10:$B$509,AH289),"")))</f>
        <v/>
      </c>
      <c r="AR289" s="14" t="str">
        <f t="shared" si="41"/>
        <v/>
      </c>
      <c r="AS289" s="14" t="str">
        <f t="shared" si="42"/>
        <v/>
      </c>
      <c r="AT289" s="27"/>
      <c r="AU289" s="31"/>
      <c r="AV289" s="31"/>
      <c r="AW289" s="27"/>
      <c r="AX289" s="27"/>
      <c r="AY289" s="27"/>
      <c r="AZ289" s="27"/>
      <c r="BA289" s="30" t="str">
        <f t="shared" si="43"/>
        <v/>
      </c>
      <c r="BB289" s="30" t="str">
        <f t="shared" si="44"/>
        <v/>
      </c>
      <c r="BC289" s="30">
        <f>IF(X289=0,0,IF(COUNTIFS($X$10:X289,1,$BA$10:BA289,BA289)=1,1,0))</f>
        <v>0</v>
      </c>
      <c r="BD289" s="29"/>
    </row>
    <row r="290" spans="1:56" ht="42" customHeight="1">
      <c r="A290" s="41"/>
      <c r="B290" s="44"/>
      <c r="C290" s="44"/>
      <c r="D290" s="44"/>
      <c r="E290" s="44"/>
      <c r="F290" s="44"/>
      <c r="G290" s="44"/>
      <c r="H290" s="44"/>
      <c r="I290" s="44"/>
      <c r="J290" s="44"/>
      <c r="K290" s="44"/>
      <c r="L290" s="49"/>
      <c r="M290" s="48"/>
      <c r="N290" s="48"/>
      <c r="O290" s="48"/>
      <c r="P290" s="48"/>
      <c r="Q290" s="48"/>
      <c r="R290" s="48"/>
      <c r="S290" s="49"/>
      <c r="T290" s="48"/>
      <c r="U290" s="48"/>
      <c r="V290" s="14">
        <f t="shared" si="36"/>
        <v>0</v>
      </c>
      <c r="W290" s="14">
        <f t="shared" si="37"/>
        <v>0</v>
      </c>
      <c r="X290" s="14">
        <f>IF(AND(V290=1,OR(Painel!$C$6="Todos",D290=Painel!$C$6),AND(OR(Painel!$L$6="Todas",E290=Painel!$L$6),OR(Painel!$C$8="Todos",F290=Painel!$C$8),OR(Painel!$L$8="Todos",G290=Painel!$L$8),OR(Painel!$C$10="",ISNUMBER(SEARCH(SUBSTITUTE(SUBSTITUTE(SUBSTITUTE(Painel!$C$10,"~","~~"),"*","~*"),"?","~?"),A290&amp;" "&amp;H290&amp;" "&amp;I290))))),1,0)</f>
        <v>0</v>
      </c>
      <c r="Y290" s="14">
        <f t="shared" si="38"/>
        <v>0</v>
      </c>
      <c r="Z290" s="15" t="str">
        <f>IF(V290=0,"",IF(COUNTIFS(Andamentos!$K$10:$K$2009,"="&amp;SUBSTITUTE(SUBSTITUTE(SUBSTITUTE("P:"&amp;A290,"~","~~"),"*","~*"),"?","~?"),Andamentos!$G$10:$G$2009,1)=0,"",_xlfn.AGGREGATE(14,6,Andamentos!$D$10:$D$2009/((Andamentos!$K$10:$K$2009=AS290)*(Andamentos!$G$10:$G$2009=1)),1)))</f>
        <v/>
      </c>
      <c r="AA290" s="14">
        <f>IF(Z290="",0,COUNTIFS(Andamentos!$K$10:$K$2009,"="&amp;SUBSTITUTE(SUBSTITUTE(SUBSTITUTE("P:"&amp;A290,"~","~~"),"*","~*"),"?","~?"),Andamentos!$D$10:$D$2009,Z290,Andamentos!$G$10:$G$2009,1))</f>
        <v>0</v>
      </c>
      <c r="AB290" s="14">
        <f>IF(AA290=1,SUMIFS(Andamentos!$L$10:$L$2009,Andamentos!$K$10:$K$2009,"="&amp;SUBSTITUTE(SUBSTITUTE(SUBSTITUTE(AS290,"~","~~"),"*","~*"),"?","~?"),Andamentos!$D$10:$D$2009,Z290,Andamentos!$G$10:$G$2009,1)-9,0)</f>
        <v>0</v>
      </c>
      <c r="AC290" s="14" t="str">
        <f>IF(V290=0,"",IF(AA290&gt;1,"Conferir recebimentos empatados",IF(AB290=0,"Sem atualização",INDEX(Andamentos!$C$10:$C$2009,AB290))))</f>
        <v/>
      </c>
      <c r="AD290" s="14">
        <f>IF(W290=0,0,IF(MAX(Z290,BD290)=0,1,IF(Configurar!$J$12-INT(MAX(Z290,BD290))&gt;Configurar!$J$11,1,0)))</f>
        <v>0</v>
      </c>
      <c r="AE290" s="16"/>
      <c r="AF290" s="14"/>
      <c r="AG290" s="14"/>
      <c r="AH290" s="14">
        <f>IF(AND(V290=1,COUNTIFS(Valores!$S$10:$S$509,"="&amp;SUBSTITUTE(SUBSTITUTE(SUBSTITUTE("P:"&amp;A290,"~","~~"),"*","~*"),"?","~?"))=1),(IF(ISNA(MATCH(SUBSTITUTE(SUBSTITUTE(SUBSTITUTE("P:"&amp;A290,"~","~~"),"*","~*"),"?","~?"),Valores!$S$10:$S$509,0)),9,INDEX(Valores!$R$10:$R$509,MATCH(SUBSTITUTE(SUBSTITUTE(SUBSTITUTE("P:"&amp;A290,"~","~~"),"*","~*"),"?","~?"),Valores!$S$10:$S$509,0)))-9),0)</f>
        <v>0</v>
      </c>
      <c r="AI290" s="40" t="str">
        <f t="shared" si="39"/>
        <v/>
      </c>
      <c r="AJ290" s="14" t="str">
        <f>IF(AND(X290=1,Y290=1),COUNTIFS($X$10:X290,1,$Y$10:Y290,1),"")</f>
        <v/>
      </c>
      <c r="AK290" s="14" t="str">
        <f>IF(X290=1,COUNTIFS($X$10:X290,1),"")</f>
        <v/>
      </c>
      <c r="AL290" s="14">
        <f>IF(AND(V290=1,AND(OR(Painel!$L$6="Todas",E290=Painel!$L$6),OR(Painel!$C$8="Todos",F290=Painel!$C$8),OR(Painel!$L$8="Todos",G290=Painel!$L$8),OR(Painel!$C$10="",ISNUMBER(SEARCH(SUBSTITUTE(SUBSTITUTE(SUBSTITUTE(Painel!$C$10,"~","~~"),"*","~*"),"?","~?"),A290&amp;" "&amp;H290&amp;" "&amp;I290))))),1,0)</f>
        <v>0</v>
      </c>
      <c r="AM290" s="14">
        <f t="shared" si="40"/>
        <v>0</v>
      </c>
      <c r="AN290" s="14"/>
      <c r="AO290" s="14"/>
      <c r="AP290" s="16" t="str">
        <f>IF(AB290=0,"",IF(INDEX(Andamentos!$B$10:$B$2009,AB290)="","",INDEX(Andamentos!$B$10:$B$2009,AB290)))</f>
        <v/>
      </c>
      <c r="AQ290" s="17" t="str">
        <f>IF(AH290=0,"",IF(INDEX(Valores!$B$10:$B$509,AH290)="","",IF(ISNUMBER(INDEX(Valores!$B$10:$B$509,AH290)),INDEX(Valores!$B$10:$B$509,AH290),"")))</f>
        <v/>
      </c>
      <c r="AR290" s="14" t="str">
        <f t="shared" si="41"/>
        <v/>
      </c>
      <c r="AS290" s="14" t="str">
        <f t="shared" si="42"/>
        <v/>
      </c>
      <c r="AT290" s="27"/>
      <c r="AU290" s="31"/>
      <c r="AV290" s="31"/>
      <c r="AW290" s="27"/>
      <c r="AX290" s="27"/>
      <c r="AY290" s="27"/>
      <c r="AZ290" s="27"/>
      <c r="BA290" s="30" t="str">
        <f t="shared" si="43"/>
        <v/>
      </c>
      <c r="BB290" s="30" t="str">
        <f t="shared" si="44"/>
        <v/>
      </c>
      <c r="BC290" s="30">
        <f>IF(X290=0,0,IF(COUNTIFS($X$10:X290,1,$BA$10:BA290,BA290)=1,1,0))</f>
        <v>0</v>
      </c>
      <c r="BD290" s="29"/>
    </row>
    <row r="291" spans="1:56" ht="42" customHeight="1">
      <c r="A291" s="41"/>
      <c r="B291" s="44"/>
      <c r="C291" s="44"/>
      <c r="D291" s="44"/>
      <c r="E291" s="44"/>
      <c r="F291" s="44"/>
      <c r="G291" s="44"/>
      <c r="H291" s="44"/>
      <c r="I291" s="44"/>
      <c r="J291" s="44"/>
      <c r="K291" s="44"/>
      <c r="L291" s="49"/>
      <c r="M291" s="48"/>
      <c r="N291" s="48"/>
      <c r="O291" s="48"/>
      <c r="P291" s="48"/>
      <c r="Q291" s="48"/>
      <c r="R291" s="48"/>
      <c r="S291" s="49"/>
      <c r="T291" s="48"/>
      <c r="U291" s="48"/>
      <c r="V291" s="14">
        <f t="shared" si="36"/>
        <v>0</v>
      </c>
      <c r="W291" s="14">
        <f t="shared" si="37"/>
        <v>0</v>
      </c>
      <c r="X291" s="14">
        <f>IF(AND(V291=1,OR(Painel!$C$6="Todos",D291=Painel!$C$6),AND(OR(Painel!$L$6="Todas",E291=Painel!$L$6),OR(Painel!$C$8="Todos",F291=Painel!$C$8),OR(Painel!$L$8="Todos",G291=Painel!$L$8),OR(Painel!$C$10="",ISNUMBER(SEARCH(SUBSTITUTE(SUBSTITUTE(SUBSTITUTE(Painel!$C$10,"~","~~"),"*","~*"),"?","~?"),A291&amp;" "&amp;H291&amp;" "&amp;I291))))),1,0)</f>
        <v>0</v>
      </c>
      <c r="Y291" s="14">
        <f t="shared" si="38"/>
        <v>0</v>
      </c>
      <c r="Z291" s="15" t="str">
        <f>IF(V291=0,"",IF(COUNTIFS(Andamentos!$K$10:$K$2009,"="&amp;SUBSTITUTE(SUBSTITUTE(SUBSTITUTE("P:"&amp;A291,"~","~~"),"*","~*"),"?","~?"),Andamentos!$G$10:$G$2009,1)=0,"",_xlfn.AGGREGATE(14,6,Andamentos!$D$10:$D$2009/((Andamentos!$K$10:$K$2009=AS291)*(Andamentos!$G$10:$G$2009=1)),1)))</f>
        <v/>
      </c>
      <c r="AA291" s="14">
        <f>IF(Z291="",0,COUNTIFS(Andamentos!$K$10:$K$2009,"="&amp;SUBSTITUTE(SUBSTITUTE(SUBSTITUTE("P:"&amp;A291,"~","~~"),"*","~*"),"?","~?"),Andamentos!$D$10:$D$2009,Z291,Andamentos!$G$10:$G$2009,1))</f>
        <v>0</v>
      </c>
      <c r="AB291" s="14">
        <f>IF(AA291=1,SUMIFS(Andamentos!$L$10:$L$2009,Andamentos!$K$10:$K$2009,"="&amp;SUBSTITUTE(SUBSTITUTE(SUBSTITUTE(AS291,"~","~~"),"*","~*"),"?","~?"),Andamentos!$D$10:$D$2009,Z291,Andamentos!$G$10:$G$2009,1)-9,0)</f>
        <v>0</v>
      </c>
      <c r="AC291" s="14" t="str">
        <f>IF(V291=0,"",IF(AA291&gt;1,"Conferir recebimentos empatados",IF(AB291=0,"Sem atualização",INDEX(Andamentos!$C$10:$C$2009,AB291))))</f>
        <v/>
      </c>
      <c r="AD291" s="14">
        <f>IF(W291=0,0,IF(MAX(Z291,BD291)=0,1,IF(Configurar!$J$12-INT(MAX(Z291,BD291))&gt;Configurar!$J$11,1,0)))</f>
        <v>0</v>
      </c>
      <c r="AE291" s="16"/>
      <c r="AF291" s="14"/>
      <c r="AG291" s="14"/>
      <c r="AH291" s="14">
        <f>IF(AND(V291=1,COUNTIFS(Valores!$S$10:$S$509,"="&amp;SUBSTITUTE(SUBSTITUTE(SUBSTITUTE("P:"&amp;A291,"~","~~"),"*","~*"),"?","~?"))=1),(IF(ISNA(MATCH(SUBSTITUTE(SUBSTITUTE(SUBSTITUTE("P:"&amp;A291,"~","~~"),"*","~*"),"?","~?"),Valores!$S$10:$S$509,0)),9,INDEX(Valores!$R$10:$R$509,MATCH(SUBSTITUTE(SUBSTITUTE(SUBSTITUTE("P:"&amp;A291,"~","~~"),"*","~*"),"?","~?"),Valores!$S$10:$S$509,0)))-9),0)</f>
        <v>0</v>
      </c>
      <c r="AI291" s="40" t="str">
        <f t="shared" si="39"/>
        <v/>
      </c>
      <c r="AJ291" s="14" t="str">
        <f>IF(AND(X291=1,Y291=1),COUNTIFS($X$10:X291,1,$Y$10:Y291,1),"")</f>
        <v/>
      </c>
      <c r="AK291" s="14" t="str">
        <f>IF(X291=1,COUNTIFS($X$10:X291,1),"")</f>
        <v/>
      </c>
      <c r="AL291" s="14">
        <f>IF(AND(V291=1,AND(OR(Painel!$L$6="Todas",E291=Painel!$L$6),OR(Painel!$C$8="Todos",F291=Painel!$C$8),OR(Painel!$L$8="Todos",G291=Painel!$L$8),OR(Painel!$C$10="",ISNUMBER(SEARCH(SUBSTITUTE(SUBSTITUTE(SUBSTITUTE(Painel!$C$10,"~","~~"),"*","~*"),"?","~?"),A291&amp;" "&amp;H291&amp;" "&amp;I291))))),1,0)</f>
        <v>0</v>
      </c>
      <c r="AM291" s="14">
        <f t="shared" si="40"/>
        <v>0</v>
      </c>
      <c r="AN291" s="14"/>
      <c r="AO291" s="14"/>
      <c r="AP291" s="16" t="str">
        <f>IF(AB291=0,"",IF(INDEX(Andamentos!$B$10:$B$2009,AB291)="","",INDEX(Andamentos!$B$10:$B$2009,AB291)))</f>
        <v/>
      </c>
      <c r="AQ291" s="17" t="str">
        <f>IF(AH291=0,"",IF(INDEX(Valores!$B$10:$B$509,AH291)="","",IF(ISNUMBER(INDEX(Valores!$B$10:$B$509,AH291)),INDEX(Valores!$B$10:$B$509,AH291),"")))</f>
        <v/>
      </c>
      <c r="AR291" s="14" t="str">
        <f t="shared" si="41"/>
        <v/>
      </c>
      <c r="AS291" s="14" t="str">
        <f t="shared" si="42"/>
        <v/>
      </c>
      <c r="AT291" s="27"/>
      <c r="AU291" s="31"/>
      <c r="AV291" s="31"/>
      <c r="AW291" s="27"/>
      <c r="AX291" s="27"/>
      <c r="AY291" s="27"/>
      <c r="AZ291" s="27"/>
      <c r="BA291" s="30" t="str">
        <f t="shared" si="43"/>
        <v/>
      </c>
      <c r="BB291" s="30" t="str">
        <f t="shared" si="44"/>
        <v/>
      </c>
      <c r="BC291" s="30">
        <f>IF(X291=0,0,IF(COUNTIFS($X$10:X291,1,$BA$10:BA291,BA291)=1,1,0))</f>
        <v>0</v>
      </c>
      <c r="BD291" s="29"/>
    </row>
    <row r="292" spans="1:56" ht="42" customHeight="1">
      <c r="A292" s="41"/>
      <c r="B292" s="44"/>
      <c r="C292" s="44"/>
      <c r="D292" s="44"/>
      <c r="E292" s="44"/>
      <c r="F292" s="44"/>
      <c r="G292" s="44"/>
      <c r="H292" s="44"/>
      <c r="I292" s="44"/>
      <c r="J292" s="44"/>
      <c r="K292" s="44"/>
      <c r="L292" s="49"/>
      <c r="M292" s="48"/>
      <c r="N292" s="48"/>
      <c r="O292" s="48"/>
      <c r="P292" s="48"/>
      <c r="Q292" s="48"/>
      <c r="R292" s="48"/>
      <c r="S292" s="49"/>
      <c r="T292" s="48"/>
      <c r="U292" s="48"/>
      <c r="V292" s="14">
        <f t="shared" si="36"/>
        <v>0</v>
      </c>
      <c r="W292" s="14">
        <f t="shared" si="37"/>
        <v>0</v>
      </c>
      <c r="X292" s="14">
        <f>IF(AND(V292=1,OR(Painel!$C$6="Todos",D292=Painel!$C$6),AND(OR(Painel!$L$6="Todas",E292=Painel!$L$6),OR(Painel!$C$8="Todos",F292=Painel!$C$8),OR(Painel!$L$8="Todos",G292=Painel!$L$8),OR(Painel!$C$10="",ISNUMBER(SEARCH(SUBSTITUTE(SUBSTITUTE(SUBSTITUTE(Painel!$C$10,"~","~~"),"*","~*"),"?","~?"),A292&amp;" "&amp;H292&amp;" "&amp;I292))))),1,0)</f>
        <v>0</v>
      </c>
      <c r="Y292" s="14">
        <f t="shared" si="38"/>
        <v>0</v>
      </c>
      <c r="Z292" s="15" t="str">
        <f>IF(V292=0,"",IF(COUNTIFS(Andamentos!$K$10:$K$2009,"="&amp;SUBSTITUTE(SUBSTITUTE(SUBSTITUTE("P:"&amp;A292,"~","~~"),"*","~*"),"?","~?"),Andamentos!$G$10:$G$2009,1)=0,"",_xlfn.AGGREGATE(14,6,Andamentos!$D$10:$D$2009/((Andamentos!$K$10:$K$2009=AS292)*(Andamentos!$G$10:$G$2009=1)),1)))</f>
        <v/>
      </c>
      <c r="AA292" s="14">
        <f>IF(Z292="",0,COUNTIFS(Andamentos!$K$10:$K$2009,"="&amp;SUBSTITUTE(SUBSTITUTE(SUBSTITUTE("P:"&amp;A292,"~","~~"),"*","~*"),"?","~?"),Andamentos!$D$10:$D$2009,Z292,Andamentos!$G$10:$G$2009,1))</f>
        <v>0</v>
      </c>
      <c r="AB292" s="14">
        <f>IF(AA292=1,SUMIFS(Andamentos!$L$10:$L$2009,Andamentos!$K$10:$K$2009,"="&amp;SUBSTITUTE(SUBSTITUTE(SUBSTITUTE(AS292,"~","~~"),"*","~*"),"?","~?"),Andamentos!$D$10:$D$2009,Z292,Andamentos!$G$10:$G$2009,1)-9,0)</f>
        <v>0</v>
      </c>
      <c r="AC292" s="14" t="str">
        <f>IF(V292=0,"",IF(AA292&gt;1,"Conferir recebimentos empatados",IF(AB292=0,"Sem atualização",INDEX(Andamentos!$C$10:$C$2009,AB292))))</f>
        <v/>
      </c>
      <c r="AD292" s="14">
        <f>IF(W292=0,0,IF(MAX(Z292,BD292)=0,1,IF(Configurar!$J$12-INT(MAX(Z292,BD292))&gt;Configurar!$J$11,1,0)))</f>
        <v>0</v>
      </c>
      <c r="AE292" s="16"/>
      <c r="AF292" s="14"/>
      <c r="AG292" s="14"/>
      <c r="AH292" s="14">
        <f>IF(AND(V292=1,COUNTIFS(Valores!$S$10:$S$509,"="&amp;SUBSTITUTE(SUBSTITUTE(SUBSTITUTE("P:"&amp;A292,"~","~~"),"*","~*"),"?","~?"))=1),(IF(ISNA(MATCH(SUBSTITUTE(SUBSTITUTE(SUBSTITUTE("P:"&amp;A292,"~","~~"),"*","~*"),"?","~?"),Valores!$S$10:$S$509,0)),9,INDEX(Valores!$R$10:$R$509,MATCH(SUBSTITUTE(SUBSTITUTE(SUBSTITUTE("P:"&amp;A292,"~","~~"),"*","~*"),"?","~?"),Valores!$S$10:$S$509,0)))-9),0)</f>
        <v>0</v>
      </c>
      <c r="AI292" s="40" t="str">
        <f t="shared" si="39"/>
        <v/>
      </c>
      <c r="AJ292" s="14" t="str">
        <f>IF(AND(X292=1,Y292=1),COUNTIFS($X$10:X292,1,$Y$10:Y292,1),"")</f>
        <v/>
      </c>
      <c r="AK292" s="14" t="str">
        <f>IF(X292=1,COUNTIFS($X$10:X292,1),"")</f>
        <v/>
      </c>
      <c r="AL292" s="14">
        <f>IF(AND(V292=1,AND(OR(Painel!$L$6="Todas",E292=Painel!$L$6),OR(Painel!$C$8="Todos",F292=Painel!$C$8),OR(Painel!$L$8="Todos",G292=Painel!$L$8),OR(Painel!$C$10="",ISNUMBER(SEARCH(SUBSTITUTE(SUBSTITUTE(SUBSTITUTE(Painel!$C$10,"~","~~"),"*","~*"),"?","~?"),A292&amp;" "&amp;H292&amp;" "&amp;I292))))),1,0)</f>
        <v>0</v>
      </c>
      <c r="AM292" s="14">
        <f t="shared" si="40"/>
        <v>0</v>
      </c>
      <c r="AN292" s="14"/>
      <c r="AO292" s="14"/>
      <c r="AP292" s="16" t="str">
        <f>IF(AB292=0,"",IF(INDEX(Andamentos!$B$10:$B$2009,AB292)="","",INDEX(Andamentos!$B$10:$B$2009,AB292)))</f>
        <v/>
      </c>
      <c r="AQ292" s="17" t="str">
        <f>IF(AH292=0,"",IF(INDEX(Valores!$B$10:$B$509,AH292)="","",IF(ISNUMBER(INDEX(Valores!$B$10:$B$509,AH292)),INDEX(Valores!$B$10:$B$509,AH292),"")))</f>
        <v/>
      </c>
      <c r="AR292" s="14" t="str">
        <f t="shared" si="41"/>
        <v/>
      </c>
      <c r="AS292" s="14" t="str">
        <f t="shared" si="42"/>
        <v/>
      </c>
      <c r="AT292" s="27"/>
      <c r="AU292" s="31"/>
      <c r="AV292" s="31"/>
      <c r="AW292" s="27"/>
      <c r="AX292" s="27"/>
      <c r="AY292" s="27"/>
      <c r="AZ292" s="27"/>
      <c r="BA292" s="30" t="str">
        <f t="shared" si="43"/>
        <v/>
      </c>
      <c r="BB292" s="30" t="str">
        <f t="shared" si="44"/>
        <v/>
      </c>
      <c r="BC292" s="30">
        <f>IF(X292=0,0,IF(COUNTIFS($X$10:X292,1,$BA$10:BA292,BA292)=1,1,0))</f>
        <v>0</v>
      </c>
      <c r="BD292" s="29"/>
    </row>
    <row r="293" spans="1:56" ht="42" customHeight="1">
      <c r="A293" s="41"/>
      <c r="B293" s="44"/>
      <c r="C293" s="44"/>
      <c r="D293" s="44"/>
      <c r="E293" s="44"/>
      <c r="F293" s="44"/>
      <c r="G293" s="44"/>
      <c r="H293" s="44"/>
      <c r="I293" s="44"/>
      <c r="J293" s="44"/>
      <c r="K293" s="44"/>
      <c r="L293" s="49"/>
      <c r="M293" s="48"/>
      <c r="N293" s="48"/>
      <c r="O293" s="48"/>
      <c r="P293" s="48"/>
      <c r="Q293" s="48"/>
      <c r="R293" s="48"/>
      <c r="S293" s="49"/>
      <c r="T293" s="48"/>
      <c r="U293" s="48"/>
      <c r="V293" s="14">
        <f t="shared" si="36"/>
        <v>0</v>
      </c>
      <c r="W293" s="14">
        <f t="shared" si="37"/>
        <v>0</v>
      </c>
      <c r="X293" s="14">
        <f>IF(AND(V293=1,OR(Painel!$C$6="Todos",D293=Painel!$C$6),AND(OR(Painel!$L$6="Todas",E293=Painel!$L$6),OR(Painel!$C$8="Todos",F293=Painel!$C$8),OR(Painel!$L$8="Todos",G293=Painel!$L$8),OR(Painel!$C$10="",ISNUMBER(SEARCH(SUBSTITUTE(SUBSTITUTE(SUBSTITUTE(Painel!$C$10,"~","~~"),"*","~*"),"?","~?"),A293&amp;" "&amp;H293&amp;" "&amp;I293))))),1,0)</f>
        <v>0</v>
      </c>
      <c r="Y293" s="14">
        <f t="shared" si="38"/>
        <v>0</v>
      </c>
      <c r="Z293" s="15" t="str">
        <f>IF(V293=0,"",IF(COUNTIFS(Andamentos!$K$10:$K$2009,"="&amp;SUBSTITUTE(SUBSTITUTE(SUBSTITUTE("P:"&amp;A293,"~","~~"),"*","~*"),"?","~?"),Andamentos!$G$10:$G$2009,1)=0,"",_xlfn.AGGREGATE(14,6,Andamentos!$D$10:$D$2009/((Andamentos!$K$10:$K$2009=AS293)*(Andamentos!$G$10:$G$2009=1)),1)))</f>
        <v/>
      </c>
      <c r="AA293" s="14">
        <f>IF(Z293="",0,COUNTIFS(Andamentos!$K$10:$K$2009,"="&amp;SUBSTITUTE(SUBSTITUTE(SUBSTITUTE("P:"&amp;A293,"~","~~"),"*","~*"),"?","~?"),Andamentos!$D$10:$D$2009,Z293,Andamentos!$G$10:$G$2009,1))</f>
        <v>0</v>
      </c>
      <c r="AB293" s="14">
        <f>IF(AA293=1,SUMIFS(Andamentos!$L$10:$L$2009,Andamentos!$K$10:$K$2009,"="&amp;SUBSTITUTE(SUBSTITUTE(SUBSTITUTE(AS293,"~","~~"),"*","~*"),"?","~?"),Andamentos!$D$10:$D$2009,Z293,Andamentos!$G$10:$G$2009,1)-9,0)</f>
        <v>0</v>
      </c>
      <c r="AC293" s="14" t="str">
        <f>IF(V293=0,"",IF(AA293&gt;1,"Conferir recebimentos empatados",IF(AB293=0,"Sem atualização",INDEX(Andamentos!$C$10:$C$2009,AB293))))</f>
        <v/>
      </c>
      <c r="AD293" s="14">
        <f>IF(W293=0,0,IF(MAX(Z293,BD293)=0,1,IF(Configurar!$J$12-INT(MAX(Z293,BD293))&gt;Configurar!$J$11,1,0)))</f>
        <v>0</v>
      </c>
      <c r="AE293" s="16"/>
      <c r="AF293" s="14"/>
      <c r="AG293" s="14"/>
      <c r="AH293" s="14">
        <f>IF(AND(V293=1,COUNTIFS(Valores!$S$10:$S$509,"="&amp;SUBSTITUTE(SUBSTITUTE(SUBSTITUTE("P:"&amp;A293,"~","~~"),"*","~*"),"?","~?"))=1),(IF(ISNA(MATCH(SUBSTITUTE(SUBSTITUTE(SUBSTITUTE("P:"&amp;A293,"~","~~"),"*","~*"),"?","~?"),Valores!$S$10:$S$509,0)),9,INDEX(Valores!$R$10:$R$509,MATCH(SUBSTITUTE(SUBSTITUTE(SUBSTITUTE("P:"&amp;A293,"~","~~"),"*","~*"),"?","~?"),Valores!$S$10:$S$509,0)))-9),0)</f>
        <v>0</v>
      </c>
      <c r="AI293" s="40" t="str">
        <f t="shared" si="39"/>
        <v/>
      </c>
      <c r="AJ293" s="14" t="str">
        <f>IF(AND(X293=1,Y293=1),COUNTIFS($X$10:X293,1,$Y$10:Y293,1),"")</f>
        <v/>
      </c>
      <c r="AK293" s="14" t="str">
        <f>IF(X293=1,COUNTIFS($X$10:X293,1),"")</f>
        <v/>
      </c>
      <c r="AL293" s="14">
        <f>IF(AND(V293=1,AND(OR(Painel!$L$6="Todas",E293=Painel!$L$6),OR(Painel!$C$8="Todos",F293=Painel!$C$8),OR(Painel!$L$8="Todos",G293=Painel!$L$8),OR(Painel!$C$10="",ISNUMBER(SEARCH(SUBSTITUTE(SUBSTITUTE(SUBSTITUTE(Painel!$C$10,"~","~~"),"*","~*"),"?","~?"),A293&amp;" "&amp;H293&amp;" "&amp;I293))))),1,0)</f>
        <v>0</v>
      </c>
      <c r="AM293" s="14">
        <f t="shared" si="40"/>
        <v>0</v>
      </c>
      <c r="AN293" s="14"/>
      <c r="AO293" s="14"/>
      <c r="AP293" s="16" t="str">
        <f>IF(AB293=0,"",IF(INDEX(Andamentos!$B$10:$B$2009,AB293)="","",INDEX(Andamentos!$B$10:$B$2009,AB293)))</f>
        <v/>
      </c>
      <c r="AQ293" s="17" t="str">
        <f>IF(AH293=0,"",IF(INDEX(Valores!$B$10:$B$509,AH293)="","",IF(ISNUMBER(INDEX(Valores!$B$10:$B$509,AH293)),INDEX(Valores!$B$10:$B$509,AH293),"")))</f>
        <v/>
      </c>
      <c r="AR293" s="14" t="str">
        <f t="shared" si="41"/>
        <v/>
      </c>
      <c r="AS293" s="14" t="str">
        <f t="shared" si="42"/>
        <v/>
      </c>
      <c r="AT293" s="27"/>
      <c r="AU293" s="31"/>
      <c r="AV293" s="31"/>
      <c r="AW293" s="27"/>
      <c r="AX293" s="27"/>
      <c r="AY293" s="27"/>
      <c r="AZ293" s="27"/>
      <c r="BA293" s="30" t="str">
        <f t="shared" si="43"/>
        <v/>
      </c>
      <c r="BB293" s="30" t="str">
        <f t="shared" si="44"/>
        <v/>
      </c>
      <c r="BC293" s="30">
        <f>IF(X293=0,0,IF(COUNTIFS($X$10:X293,1,$BA$10:BA293,BA293)=1,1,0))</f>
        <v>0</v>
      </c>
      <c r="BD293" s="29"/>
    </row>
    <row r="294" spans="1:56" ht="42" customHeight="1">
      <c r="A294" s="41"/>
      <c r="B294" s="44"/>
      <c r="C294" s="44"/>
      <c r="D294" s="44"/>
      <c r="E294" s="44"/>
      <c r="F294" s="44"/>
      <c r="G294" s="44"/>
      <c r="H294" s="44"/>
      <c r="I294" s="44"/>
      <c r="J294" s="44"/>
      <c r="K294" s="44"/>
      <c r="L294" s="49"/>
      <c r="M294" s="48"/>
      <c r="N294" s="48"/>
      <c r="O294" s="48"/>
      <c r="P294" s="48"/>
      <c r="Q294" s="48"/>
      <c r="R294" s="48"/>
      <c r="S294" s="49"/>
      <c r="T294" s="48"/>
      <c r="U294" s="48"/>
      <c r="V294" s="14">
        <f t="shared" si="36"/>
        <v>0</v>
      </c>
      <c r="W294" s="14">
        <f t="shared" si="37"/>
        <v>0</v>
      </c>
      <c r="X294" s="14">
        <f>IF(AND(V294=1,OR(Painel!$C$6="Todos",D294=Painel!$C$6),AND(OR(Painel!$L$6="Todas",E294=Painel!$L$6),OR(Painel!$C$8="Todos",F294=Painel!$C$8),OR(Painel!$L$8="Todos",G294=Painel!$L$8),OR(Painel!$C$10="",ISNUMBER(SEARCH(SUBSTITUTE(SUBSTITUTE(SUBSTITUTE(Painel!$C$10,"~","~~"),"*","~*"),"?","~?"),A294&amp;" "&amp;H294&amp;" "&amp;I294))))),1,0)</f>
        <v>0</v>
      </c>
      <c r="Y294" s="14">
        <f t="shared" si="38"/>
        <v>0</v>
      </c>
      <c r="Z294" s="15" t="str">
        <f>IF(V294=0,"",IF(COUNTIFS(Andamentos!$K$10:$K$2009,"="&amp;SUBSTITUTE(SUBSTITUTE(SUBSTITUTE("P:"&amp;A294,"~","~~"),"*","~*"),"?","~?"),Andamentos!$G$10:$G$2009,1)=0,"",_xlfn.AGGREGATE(14,6,Andamentos!$D$10:$D$2009/((Andamentos!$K$10:$K$2009=AS294)*(Andamentos!$G$10:$G$2009=1)),1)))</f>
        <v/>
      </c>
      <c r="AA294" s="14">
        <f>IF(Z294="",0,COUNTIFS(Andamentos!$K$10:$K$2009,"="&amp;SUBSTITUTE(SUBSTITUTE(SUBSTITUTE("P:"&amp;A294,"~","~~"),"*","~*"),"?","~?"),Andamentos!$D$10:$D$2009,Z294,Andamentos!$G$10:$G$2009,1))</f>
        <v>0</v>
      </c>
      <c r="AB294" s="14">
        <f>IF(AA294=1,SUMIFS(Andamentos!$L$10:$L$2009,Andamentos!$K$10:$K$2009,"="&amp;SUBSTITUTE(SUBSTITUTE(SUBSTITUTE(AS294,"~","~~"),"*","~*"),"?","~?"),Andamentos!$D$10:$D$2009,Z294,Andamentos!$G$10:$G$2009,1)-9,0)</f>
        <v>0</v>
      </c>
      <c r="AC294" s="14" t="str">
        <f>IF(V294=0,"",IF(AA294&gt;1,"Conferir recebimentos empatados",IF(AB294=0,"Sem atualização",INDEX(Andamentos!$C$10:$C$2009,AB294))))</f>
        <v/>
      </c>
      <c r="AD294" s="14">
        <f>IF(W294=0,0,IF(MAX(Z294,BD294)=0,1,IF(Configurar!$J$12-INT(MAX(Z294,BD294))&gt;Configurar!$J$11,1,0)))</f>
        <v>0</v>
      </c>
      <c r="AE294" s="16"/>
      <c r="AF294" s="14"/>
      <c r="AG294" s="14"/>
      <c r="AH294" s="14">
        <f>IF(AND(V294=1,COUNTIFS(Valores!$S$10:$S$509,"="&amp;SUBSTITUTE(SUBSTITUTE(SUBSTITUTE("P:"&amp;A294,"~","~~"),"*","~*"),"?","~?"))=1),(IF(ISNA(MATCH(SUBSTITUTE(SUBSTITUTE(SUBSTITUTE("P:"&amp;A294,"~","~~"),"*","~*"),"?","~?"),Valores!$S$10:$S$509,0)),9,INDEX(Valores!$R$10:$R$509,MATCH(SUBSTITUTE(SUBSTITUTE(SUBSTITUTE("P:"&amp;A294,"~","~~"),"*","~*"),"?","~?"),Valores!$S$10:$S$509,0)))-9),0)</f>
        <v>0</v>
      </c>
      <c r="AI294" s="40" t="str">
        <f t="shared" si="39"/>
        <v/>
      </c>
      <c r="AJ294" s="14" t="str">
        <f>IF(AND(X294=1,Y294=1),COUNTIFS($X$10:X294,1,$Y$10:Y294,1),"")</f>
        <v/>
      </c>
      <c r="AK294" s="14" t="str">
        <f>IF(X294=1,COUNTIFS($X$10:X294,1),"")</f>
        <v/>
      </c>
      <c r="AL294" s="14">
        <f>IF(AND(V294=1,AND(OR(Painel!$L$6="Todas",E294=Painel!$L$6),OR(Painel!$C$8="Todos",F294=Painel!$C$8),OR(Painel!$L$8="Todos",G294=Painel!$L$8),OR(Painel!$C$10="",ISNUMBER(SEARCH(SUBSTITUTE(SUBSTITUTE(SUBSTITUTE(Painel!$C$10,"~","~~"),"*","~*"),"?","~?"),A294&amp;" "&amp;H294&amp;" "&amp;I294))))),1,0)</f>
        <v>0</v>
      </c>
      <c r="AM294" s="14">
        <f t="shared" si="40"/>
        <v>0</v>
      </c>
      <c r="AN294" s="14"/>
      <c r="AO294" s="14"/>
      <c r="AP294" s="16" t="str">
        <f>IF(AB294=0,"",IF(INDEX(Andamentos!$B$10:$B$2009,AB294)="","",INDEX(Andamentos!$B$10:$B$2009,AB294)))</f>
        <v/>
      </c>
      <c r="AQ294" s="17" t="str">
        <f>IF(AH294=0,"",IF(INDEX(Valores!$B$10:$B$509,AH294)="","",IF(ISNUMBER(INDEX(Valores!$B$10:$B$509,AH294)),INDEX(Valores!$B$10:$B$509,AH294),"")))</f>
        <v/>
      </c>
      <c r="AR294" s="14" t="str">
        <f t="shared" si="41"/>
        <v/>
      </c>
      <c r="AS294" s="14" t="str">
        <f t="shared" si="42"/>
        <v/>
      </c>
      <c r="AT294" s="27"/>
      <c r="AU294" s="31"/>
      <c r="AV294" s="31"/>
      <c r="AW294" s="27"/>
      <c r="AX294" s="27"/>
      <c r="AY294" s="27"/>
      <c r="AZ294" s="27"/>
      <c r="BA294" s="30" t="str">
        <f t="shared" si="43"/>
        <v/>
      </c>
      <c r="BB294" s="30" t="str">
        <f t="shared" si="44"/>
        <v/>
      </c>
      <c r="BC294" s="30">
        <f>IF(X294=0,0,IF(COUNTIFS($X$10:X294,1,$BA$10:BA294,BA294)=1,1,0))</f>
        <v>0</v>
      </c>
      <c r="BD294" s="29"/>
    </row>
    <row r="295" spans="1:56" ht="42" customHeight="1">
      <c r="A295" s="41"/>
      <c r="B295" s="44"/>
      <c r="C295" s="44"/>
      <c r="D295" s="44"/>
      <c r="E295" s="44"/>
      <c r="F295" s="44"/>
      <c r="G295" s="44"/>
      <c r="H295" s="44"/>
      <c r="I295" s="44"/>
      <c r="J295" s="44"/>
      <c r="K295" s="44"/>
      <c r="L295" s="49"/>
      <c r="M295" s="48"/>
      <c r="N295" s="48"/>
      <c r="O295" s="48"/>
      <c r="P295" s="48"/>
      <c r="Q295" s="48"/>
      <c r="R295" s="48"/>
      <c r="S295" s="49"/>
      <c r="T295" s="48"/>
      <c r="U295" s="48"/>
      <c r="V295" s="14">
        <f t="shared" si="36"/>
        <v>0</v>
      </c>
      <c r="W295" s="14">
        <f t="shared" si="37"/>
        <v>0</v>
      </c>
      <c r="X295" s="14">
        <f>IF(AND(V295=1,OR(Painel!$C$6="Todos",D295=Painel!$C$6),AND(OR(Painel!$L$6="Todas",E295=Painel!$L$6),OR(Painel!$C$8="Todos",F295=Painel!$C$8),OR(Painel!$L$8="Todos",G295=Painel!$L$8),OR(Painel!$C$10="",ISNUMBER(SEARCH(SUBSTITUTE(SUBSTITUTE(SUBSTITUTE(Painel!$C$10,"~","~~"),"*","~*"),"?","~?"),A295&amp;" "&amp;H295&amp;" "&amp;I295))))),1,0)</f>
        <v>0</v>
      </c>
      <c r="Y295" s="14">
        <f t="shared" si="38"/>
        <v>0</v>
      </c>
      <c r="Z295" s="15" t="str">
        <f>IF(V295=0,"",IF(COUNTIFS(Andamentos!$K$10:$K$2009,"="&amp;SUBSTITUTE(SUBSTITUTE(SUBSTITUTE("P:"&amp;A295,"~","~~"),"*","~*"),"?","~?"),Andamentos!$G$10:$G$2009,1)=0,"",_xlfn.AGGREGATE(14,6,Andamentos!$D$10:$D$2009/((Andamentos!$K$10:$K$2009=AS295)*(Andamentos!$G$10:$G$2009=1)),1)))</f>
        <v/>
      </c>
      <c r="AA295" s="14">
        <f>IF(Z295="",0,COUNTIFS(Andamentos!$K$10:$K$2009,"="&amp;SUBSTITUTE(SUBSTITUTE(SUBSTITUTE("P:"&amp;A295,"~","~~"),"*","~*"),"?","~?"),Andamentos!$D$10:$D$2009,Z295,Andamentos!$G$10:$G$2009,1))</f>
        <v>0</v>
      </c>
      <c r="AB295" s="14">
        <f>IF(AA295=1,SUMIFS(Andamentos!$L$10:$L$2009,Andamentos!$K$10:$K$2009,"="&amp;SUBSTITUTE(SUBSTITUTE(SUBSTITUTE(AS295,"~","~~"),"*","~*"),"?","~?"),Andamentos!$D$10:$D$2009,Z295,Andamentos!$G$10:$G$2009,1)-9,0)</f>
        <v>0</v>
      </c>
      <c r="AC295" s="14" t="str">
        <f>IF(V295=0,"",IF(AA295&gt;1,"Conferir recebimentos empatados",IF(AB295=0,"Sem atualização",INDEX(Andamentos!$C$10:$C$2009,AB295))))</f>
        <v/>
      </c>
      <c r="AD295" s="14">
        <f>IF(W295=0,0,IF(MAX(Z295,BD295)=0,1,IF(Configurar!$J$12-INT(MAX(Z295,BD295))&gt;Configurar!$J$11,1,0)))</f>
        <v>0</v>
      </c>
      <c r="AE295" s="16"/>
      <c r="AF295" s="14"/>
      <c r="AG295" s="14"/>
      <c r="AH295" s="14">
        <f>IF(AND(V295=1,COUNTIFS(Valores!$S$10:$S$509,"="&amp;SUBSTITUTE(SUBSTITUTE(SUBSTITUTE("P:"&amp;A295,"~","~~"),"*","~*"),"?","~?"))=1),(IF(ISNA(MATCH(SUBSTITUTE(SUBSTITUTE(SUBSTITUTE("P:"&amp;A295,"~","~~"),"*","~*"),"?","~?"),Valores!$S$10:$S$509,0)),9,INDEX(Valores!$R$10:$R$509,MATCH(SUBSTITUTE(SUBSTITUTE(SUBSTITUTE("P:"&amp;A295,"~","~~"),"*","~*"),"?","~?"),Valores!$S$10:$S$509,0)))-9),0)</f>
        <v>0</v>
      </c>
      <c r="AI295" s="40" t="str">
        <f t="shared" si="39"/>
        <v/>
      </c>
      <c r="AJ295" s="14" t="str">
        <f>IF(AND(X295=1,Y295=1),COUNTIFS($X$10:X295,1,$Y$10:Y295,1),"")</f>
        <v/>
      </c>
      <c r="AK295" s="14" t="str">
        <f>IF(X295=1,COUNTIFS($X$10:X295,1),"")</f>
        <v/>
      </c>
      <c r="AL295" s="14">
        <f>IF(AND(V295=1,AND(OR(Painel!$L$6="Todas",E295=Painel!$L$6),OR(Painel!$C$8="Todos",F295=Painel!$C$8),OR(Painel!$L$8="Todos",G295=Painel!$L$8),OR(Painel!$C$10="",ISNUMBER(SEARCH(SUBSTITUTE(SUBSTITUTE(SUBSTITUTE(Painel!$C$10,"~","~~"),"*","~*"),"?","~?"),A295&amp;" "&amp;H295&amp;" "&amp;I295))))),1,0)</f>
        <v>0</v>
      </c>
      <c r="AM295" s="14">
        <f t="shared" si="40"/>
        <v>0</v>
      </c>
      <c r="AN295" s="14"/>
      <c r="AO295" s="14"/>
      <c r="AP295" s="16" t="str">
        <f>IF(AB295=0,"",IF(INDEX(Andamentos!$B$10:$B$2009,AB295)="","",INDEX(Andamentos!$B$10:$B$2009,AB295)))</f>
        <v/>
      </c>
      <c r="AQ295" s="17" t="str">
        <f>IF(AH295=0,"",IF(INDEX(Valores!$B$10:$B$509,AH295)="","",IF(ISNUMBER(INDEX(Valores!$B$10:$B$509,AH295)),INDEX(Valores!$B$10:$B$509,AH295),"")))</f>
        <v/>
      </c>
      <c r="AR295" s="14" t="str">
        <f t="shared" si="41"/>
        <v/>
      </c>
      <c r="AS295" s="14" t="str">
        <f t="shared" si="42"/>
        <v/>
      </c>
      <c r="AT295" s="27"/>
      <c r="AU295" s="31"/>
      <c r="AV295" s="31"/>
      <c r="AW295" s="27"/>
      <c r="AX295" s="27"/>
      <c r="AY295" s="27"/>
      <c r="AZ295" s="27"/>
      <c r="BA295" s="30" t="str">
        <f t="shared" si="43"/>
        <v/>
      </c>
      <c r="BB295" s="30" t="str">
        <f t="shared" si="44"/>
        <v/>
      </c>
      <c r="BC295" s="30">
        <f>IF(X295=0,0,IF(COUNTIFS($X$10:X295,1,$BA$10:BA295,BA295)=1,1,0))</f>
        <v>0</v>
      </c>
      <c r="BD295" s="29"/>
    </row>
    <row r="296" spans="1:56" ht="42" customHeight="1">
      <c r="A296" s="41"/>
      <c r="B296" s="44"/>
      <c r="C296" s="44"/>
      <c r="D296" s="44"/>
      <c r="E296" s="44"/>
      <c r="F296" s="44"/>
      <c r="G296" s="44"/>
      <c r="H296" s="44"/>
      <c r="I296" s="44"/>
      <c r="J296" s="44"/>
      <c r="K296" s="44"/>
      <c r="L296" s="49"/>
      <c r="M296" s="48"/>
      <c r="N296" s="48"/>
      <c r="O296" s="48"/>
      <c r="P296" s="48"/>
      <c r="Q296" s="48"/>
      <c r="R296" s="48"/>
      <c r="S296" s="49"/>
      <c r="T296" s="48"/>
      <c r="U296" s="48"/>
      <c r="V296" s="14">
        <f t="shared" si="36"/>
        <v>0</v>
      </c>
      <c r="W296" s="14">
        <f t="shared" si="37"/>
        <v>0</v>
      </c>
      <c r="X296" s="14">
        <f>IF(AND(V296=1,OR(Painel!$C$6="Todos",D296=Painel!$C$6),AND(OR(Painel!$L$6="Todas",E296=Painel!$L$6),OR(Painel!$C$8="Todos",F296=Painel!$C$8),OR(Painel!$L$8="Todos",G296=Painel!$L$8),OR(Painel!$C$10="",ISNUMBER(SEARCH(SUBSTITUTE(SUBSTITUTE(SUBSTITUTE(Painel!$C$10,"~","~~"),"*","~*"),"?","~?"),A296&amp;" "&amp;H296&amp;" "&amp;I296))))),1,0)</f>
        <v>0</v>
      </c>
      <c r="Y296" s="14">
        <f t="shared" si="38"/>
        <v>0</v>
      </c>
      <c r="Z296" s="15" t="str">
        <f>IF(V296=0,"",IF(COUNTIFS(Andamentos!$K$10:$K$2009,"="&amp;SUBSTITUTE(SUBSTITUTE(SUBSTITUTE("P:"&amp;A296,"~","~~"),"*","~*"),"?","~?"),Andamentos!$G$10:$G$2009,1)=0,"",_xlfn.AGGREGATE(14,6,Andamentos!$D$10:$D$2009/((Andamentos!$K$10:$K$2009=AS296)*(Andamentos!$G$10:$G$2009=1)),1)))</f>
        <v/>
      </c>
      <c r="AA296" s="14">
        <f>IF(Z296="",0,COUNTIFS(Andamentos!$K$10:$K$2009,"="&amp;SUBSTITUTE(SUBSTITUTE(SUBSTITUTE("P:"&amp;A296,"~","~~"),"*","~*"),"?","~?"),Andamentos!$D$10:$D$2009,Z296,Andamentos!$G$10:$G$2009,1))</f>
        <v>0</v>
      </c>
      <c r="AB296" s="14">
        <f>IF(AA296=1,SUMIFS(Andamentos!$L$10:$L$2009,Andamentos!$K$10:$K$2009,"="&amp;SUBSTITUTE(SUBSTITUTE(SUBSTITUTE(AS296,"~","~~"),"*","~*"),"?","~?"),Andamentos!$D$10:$D$2009,Z296,Andamentos!$G$10:$G$2009,1)-9,0)</f>
        <v>0</v>
      </c>
      <c r="AC296" s="14" t="str">
        <f>IF(V296=0,"",IF(AA296&gt;1,"Conferir recebimentos empatados",IF(AB296=0,"Sem atualização",INDEX(Andamentos!$C$10:$C$2009,AB296))))</f>
        <v/>
      </c>
      <c r="AD296" s="14">
        <f>IF(W296=0,0,IF(MAX(Z296,BD296)=0,1,IF(Configurar!$J$12-INT(MAX(Z296,BD296))&gt;Configurar!$J$11,1,0)))</f>
        <v>0</v>
      </c>
      <c r="AE296" s="16"/>
      <c r="AF296" s="14"/>
      <c r="AG296" s="14"/>
      <c r="AH296" s="14">
        <f>IF(AND(V296=1,COUNTIFS(Valores!$S$10:$S$509,"="&amp;SUBSTITUTE(SUBSTITUTE(SUBSTITUTE("P:"&amp;A296,"~","~~"),"*","~*"),"?","~?"))=1),(IF(ISNA(MATCH(SUBSTITUTE(SUBSTITUTE(SUBSTITUTE("P:"&amp;A296,"~","~~"),"*","~*"),"?","~?"),Valores!$S$10:$S$509,0)),9,INDEX(Valores!$R$10:$R$509,MATCH(SUBSTITUTE(SUBSTITUTE(SUBSTITUTE("P:"&amp;A296,"~","~~"),"*","~*"),"?","~?"),Valores!$S$10:$S$509,0)))-9),0)</f>
        <v>0</v>
      </c>
      <c r="AI296" s="40" t="str">
        <f t="shared" si="39"/>
        <v/>
      </c>
      <c r="AJ296" s="14" t="str">
        <f>IF(AND(X296=1,Y296=1),COUNTIFS($X$10:X296,1,$Y$10:Y296,1),"")</f>
        <v/>
      </c>
      <c r="AK296" s="14" t="str">
        <f>IF(X296=1,COUNTIFS($X$10:X296,1),"")</f>
        <v/>
      </c>
      <c r="AL296" s="14">
        <f>IF(AND(V296=1,AND(OR(Painel!$L$6="Todas",E296=Painel!$L$6),OR(Painel!$C$8="Todos",F296=Painel!$C$8),OR(Painel!$L$8="Todos",G296=Painel!$L$8),OR(Painel!$C$10="",ISNUMBER(SEARCH(SUBSTITUTE(SUBSTITUTE(SUBSTITUTE(Painel!$C$10,"~","~~"),"*","~*"),"?","~?"),A296&amp;" "&amp;H296&amp;" "&amp;I296))))),1,0)</f>
        <v>0</v>
      </c>
      <c r="AM296" s="14">
        <f t="shared" si="40"/>
        <v>0</v>
      </c>
      <c r="AN296" s="14"/>
      <c r="AO296" s="14"/>
      <c r="AP296" s="16" t="str">
        <f>IF(AB296=0,"",IF(INDEX(Andamentos!$B$10:$B$2009,AB296)="","",INDEX(Andamentos!$B$10:$B$2009,AB296)))</f>
        <v/>
      </c>
      <c r="AQ296" s="17" t="str">
        <f>IF(AH296=0,"",IF(INDEX(Valores!$B$10:$B$509,AH296)="","",IF(ISNUMBER(INDEX(Valores!$B$10:$B$509,AH296)),INDEX(Valores!$B$10:$B$509,AH296),"")))</f>
        <v/>
      </c>
      <c r="AR296" s="14" t="str">
        <f t="shared" si="41"/>
        <v/>
      </c>
      <c r="AS296" s="14" t="str">
        <f t="shared" si="42"/>
        <v/>
      </c>
      <c r="AT296" s="27"/>
      <c r="AU296" s="31"/>
      <c r="AV296" s="31"/>
      <c r="AW296" s="27"/>
      <c r="AX296" s="27"/>
      <c r="AY296" s="27"/>
      <c r="AZ296" s="27"/>
      <c r="BA296" s="30" t="str">
        <f t="shared" si="43"/>
        <v/>
      </c>
      <c r="BB296" s="30" t="str">
        <f t="shared" si="44"/>
        <v/>
      </c>
      <c r="BC296" s="30">
        <f>IF(X296=0,0,IF(COUNTIFS($X$10:X296,1,$BA$10:BA296,BA296)=1,1,0))</f>
        <v>0</v>
      </c>
      <c r="BD296" s="29"/>
    </row>
    <row r="297" spans="1:56" ht="42" customHeight="1">
      <c r="A297" s="41"/>
      <c r="B297" s="44"/>
      <c r="C297" s="44"/>
      <c r="D297" s="44"/>
      <c r="E297" s="44"/>
      <c r="F297" s="44"/>
      <c r="G297" s="44"/>
      <c r="H297" s="44"/>
      <c r="I297" s="44"/>
      <c r="J297" s="44"/>
      <c r="K297" s="44"/>
      <c r="L297" s="49"/>
      <c r="M297" s="48"/>
      <c r="N297" s="48"/>
      <c r="O297" s="48"/>
      <c r="P297" s="48"/>
      <c r="Q297" s="48"/>
      <c r="R297" s="48"/>
      <c r="S297" s="49"/>
      <c r="T297" s="48"/>
      <c r="U297" s="48"/>
      <c r="V297" s="14">
        <f t="shared" si="36"/>
        <v>0</v>
      </c>
      <c r="W297" s="14">
        <f t="shared" si="37"/>
        <v>0</v>
      </c>
      <c r="X297" s="14">
        <f>IF(AND(V297=1,OR(Painel!$C$6="Todos",D297=Painel!$C$6),AND(OR(Painel!$L$6="Todas",E297=Painel!$L$6),OR(Painel!$C$8="Todos",F297=Painel!$C$8),OR(Painel!$L$8="Todos",G297=Painel!$L$8),OR(Painel!$C$10="",ISNUMBER(SEARCH(SUBSTITUTE(SUBSTITUTE(SUBSTITUTE(Painel!$C$10,"~","~~"),"*","~*"),"?","~?"),A297&amp;" "&amp;H297&amp;" "&amp;I297))))),1,0)</f>
        <v>0</v>
      </c>
      <c r="Y297" s="14">
        <f t="shared" si="38"/>
        <v>0</v>
      </c>
      <c r="Z297" s="15" t="str">
        <f>IF(V297=0,"",IF(COUNTIFS(Andamentos!$K$10:$K$2009,"="&amp;SUBSTITUTE(SUBSTITUTE(SUBSTITUTE("P:"&amp;A297,"~","~~"),"*","~*"),"?","~?"),Andamentos!$G$10:$G$2009,1)=0,"",_xlfn.AGGREGATE(14,6,Andamentos!$D$10:$D$2009/((Andamentos!$K$10:$K$2009=AS297)*(Andamentos!$G$10:$G$2009=1)),1)))</f>
        <v/>
      </c>
      <c r="AA297" s="14">
        <f>IF(Z297="",0,COUNTIFS(Andamentos!$K$10:$K$2009,"="&amp;SUBSTITUTE(SUBSTITUTE(SUBSTITUTE("P:"&amp;A297,"~","~~"),"*","~*"),"?","~?"),Andamentos!$D$10:$D$2009,Z297,Andamentos!$G$10:$G$2009,1))</f>
        <v>0</v>
      </c>
      <c r="AB297" s="14">
        <f>IF(AA297=1,SUMIFS(Andamentos!$L$10:$L$2009,Andamentos!$K$10:$K$2009,"="&amp;SUBSTITUTE(SUBSTITUTE(SUBSTITUTE(AS297,"~","~~"),"*","~*"),"?","~?"),Andamentos!$D$10:$D$2009,Z297,Andamentos!$G$10:$G$2009,1)-9,0)</f>
        <v>0</v>
      </c>
      <c r="AC297" s="14" t="str">
        <f>IF(V297=0,"",IF(AA297&gt;1,"Conferir recebimentos empatados",IF(AB297=0,"Sem atualização",INDEX(Andamentos!$C$10:$C$2009,AB297))))</f>
        <v/>
      </c>
      <c r="AD297" s="14">
        <f>IF(W297=0,0,IF(MAX(Z297,BD297)=0,1,IF(Configurar!$J$12-INT(MAX(Z297,BD297))&gt;Configurar!$J$11,1,0)))</f>
        <v>0</v>
      </c>
      <c r="AE297" s="16"/>
      <c r="AF297" s="14"/>
      <c r="AG297" s="14"/>
      <c r="AH297" s="14">
        <f>IF(AND(V297=1,COUNTIFS(Valores!$S$10:$S$509,"="&amp;SUBSTITUTE(SUBSTITUTE(SUBSTITUTE("P:"&amp;A297,"~","~~"),"*","~*"),"?","~?"))=1),(IF(ISNA(MATCH(SUBSTITUTE(SUBSTITUTE(SUBSTITUTE("P:"&amp;A297,"~","~~"),"*","~*"),"?","~?"),Valores!$S$10:$S$509,0)),9,INDEX(Valores!$R$10:$R$509,MATCH(SUBSTITUTE(SUBSTITUTE(SUBSTITUTE("P:"&amp;A297,"~","~~"),"*","~*"),"?","~?"),Valores!$S$10:$S$509,0)))-9),0)</f>
        <v>0</v>
      </c>
      <c r="AI297" s="40" t="str">
        <f t="shared" si="39"/>
        <v/>
      </c>
      <c r="AJ297" s="14" t="str">
        <f>IF(AND(X297=1,Y297=1),COUNTIFS($X$10:X297,1,$Y$10:Y297,1),"")</f>
        <v/>
      </c>
      <c r="AK297" s="14" t="str">
        <f>IF(X297=1,COUNTIFS($X$10:X297,1),"")</f>
        <v/>
      </c>
      <c r="AL297" s="14">
        <f>IF(AND(V297=1,AND(OR(Painel!$L$6="Todas",E297=Painel!$L$6),OR(Painel!$C$8="Todos",F297=Painel!$C$8),OR(Painel!$L$8="Todos",G297=Painel!$L$8),OR(Painel!$C$10="",ISNUMBER(SEARCH(SUBSTITUTE(SUBSTITUTE(SUBSTITUTE(Painel!$C$10,"~","~~"),"*","~*"),"?","~?"),A297&amp;" "&amp;H297&amp;" "&amp;I297))))),1,0)</f>
        <v>0</v>
      </c>
      <c r="AM297" s="14">
        <f t="shared" si="40"/>
        <v>0</v>
      </c>
      <c r="AN297" s="14"/>
      <c r="AO297" s="14"/>
      <c r="AP297" s="16" t="str">
        <f>IF(AB297=0,"",IF(INDEX(Andamentos!$B$10:$B$2009,AB297)="","",INDEX(Andamentos!$B$10:$B$2009,AB297)))</f>
        <v/>
      </c>
      <c r="AQ297" s="17" t="str">
        <f>IF(AH297=0,"",IF(INDEX(Valores!$B$10:$B$509,AH297)="","",IF(ISNUMBER(INDEX(Valores!$B$10:$B$509,AH297)),INDEX(Valores!$B$10:$B$509,AH297),"")))</f>
        <v/>
      </c>
      <c r="AR297" s="14" t="str">
        <f t="shared" si="41"/>
        <v/>
      </c>
      <c r="AS297" s="14" t="str">
        <f t="shared" si="42"/>
        <v/>
      </c>
      <c r="AT297" s="27"/>
      <c r="AU297" s="31"/>
      <c r="AV297" s="31"/>
      <c r="AW297" s="27"/>
      <c r="AX297" s="27"/>
      <c r="AY297" s="27"/>
      <c r="AZ297" s="27"/>
      <c r="BA297" s="30" t="str">
        <f t="shared" si="43"/>
        <v/>
      </c>
      <c r="BB297" s="30" t="str">
        <f t="shared" si="44"/>
        <v/>
      </c>
      <c r="BC297" s="30">
        <f>IF(X297=0,0,IF(COUNTIFS($X$10:X297,1,$BA$10:BA297,BA297)=1,1,0))</f>
        <v>0</v>
      </c>
      <c r="BD297" s="29"/>
    </row>
    <row r="298" spans="1:56" ht="42" customHeight="1">
      <c r="A298" s="41"/>
      <c r="B298" s="44"/>
      <c r="C298" s="44"/>
      <c r="D298" s="44"/>
      <c r="E298" s="44"/>
      <c r="F298" s="44"/>
      <c r="G298" s="44"/>
      <c r="H298" s="44"/>
      <c r="I298" s="44"/>
      <c r="J298" s="44"/>
      <c r="K298" s="44"/>
      <c r="L298" s="49"/>
      <c r="M298" s="48"/>
      <c r="N298" s="48"/>
      <c r="O298" s="48"/>
      <c r="P298" s="48"/>
      <c r="Q298" s="48"/>
      <c r="R298" s="48"/>
      <c r="S298" s="49"/>
      <c r="T298" s="48"/>
      <c r="U298" s="48"/>
      <c r="V298" s="14">
        <f t="shared" si="36"/>
        <v>0</v>
      </c>
      <c r="W298" s="14">
        <f t="shared" si="37"/>
        <v>0</v>
      </c>
      <c r="X298" s="14">
        <f>IF(AND(V298=1,OR(Painel!$C$6="Todos",D298=Painel!$C$6),AND(OR(Painel!$L$6="Todas",E298=Painel!$L$6),OR(Painel!$C$8="Todos",F298=Painel!$C$8),OR(Painel!$L$8="Todos",G298=Painel!$L$8),OR(Painel!$C$10="",ISNUMBER(SEARCH(SUBSTITUTE(SUBSTITUTE(SUBSTITUTE(Painel!$C$10,"~","~~"),"*","~*"),"?","~?"),A298&amp;" "&amp;H298&amp;" "&amp;I298))))),1,0)</f>
        <v>0</v>
      </c>
      <c r="Y298" s="14">
        <f t="shared" si="38"/>
        <v>0</v>
      </c>
      <c r="Z298" s="15" t="str">
        <f>IF(V298=0,"",IF(COUNTIFS(Andamentos!$K$10:$K$2009,"="&amp;SUBSTITUTE(SUBSTITUTE(SUBSTITUTE("P:"&amp;A298,"~","~~"),"*","~*"),"?","~?"),Andamentos!$G$10:$G$2009,1)=0,"",_xlfn.AGGREGATE(14,6,Andamentos!$D$10:$D$2009/((Andamentos!$K$10:$K$2009=AS298)*(Andamentos!$G$10:$G$2009=1)),1)))</f>
        <v/>
      </c>
      <c r="AA298" s="14">
        <f>IF(Z298="",0,COUNTIFS(Andamentos!$K$10:$K$2009,"="&amp;SUBSTITUTE(SUBSTITUTE(SUBSTITUTE("P:"&amp;A298,"~","~~"),"*","~*"),"?","~?"),Andamentos!$D$10:$D$2009,Z298,Andamentos!$G$10:$G$2009,1))</f>
        <v>0</v>
      </c>
      <c r="AB298" s="14">
        <f>IF(AA298=1,SUMIFS(Andamentos!$L$10:$L$2009,Andamentos!$K$10:$K$2009,"="&amp;SUBSTITUTE(SUBSTITUTE(SUBSTITUTE(AS298,"~","~~"),"*","~*"),"?","~?"),Andamentos!$D$10:$D$2009,Z298,Andamentos!$G$10:$G$2009,1)-9,0)</f>
        <v>0</v>
      </c>
      <c r="AC298" s="14" t="str">
        <f>IF(V298=0,"",IF(AA298&gt;1,"Conferir recebimentos empatados",IF(AB298=0,"Sem atualização",INDEX(Andamentos!$C$10:$C$2009,AB298))))</f>
        <v/>
      </c>
      <c r="AD298" s="14">
        <f>IF(W298=0,0,IF(MAX(Z298,BD298)=0,1,IF(Configurar!$J$12-INT(MAX(Z298,BD298))&gt;Configurar!$J$11,1,0)))</f>
        <v>0</v>
      </c>
      <c r="AE298" s="16"/>
      <c r="AF298" s="14"/>
      <c r="AG298" s="14"/>
      <c r="AH298" s="14">
        <f>IF(AND(V298=1,COUNTIFS(Valores!$S$10:$S$509,"="&amp;SUBSTITUTE(SUBSTITUTE(SUBSTITUTE("P:"&amp;A298,"~","~~"),"*","~*"),"?","~?"))=1),(IF(ISNA(MATCH(SUBSTITUTE(SUBSTITUTE(SUBSTITUTE("P:"&amp;A298,"~","~~"),"*","~*"),"?","~?"),Valores!$S$10:$S$509,0)),9,INDEX(Valores!$R$10:$R$509,MATCH(SUBSTITUTE(SUBSTITUTE(SUBSTITUTE("P:"&amp;A298,"~","~~"),"*","~*"),"?","~?"),Valores!$S$10:$S$509,0)))-9),0)</f>
        <v>0</v>
      </c>
      <c r="AI298" s="40" t="str">
        <f t="shared" si="39"/>
        <v/>
      </c>
      <c r="AJ298" s="14" t="str">
        <f>IF(AND(X298=1,Y298=1),COUNTIFS($X$10:X298,1,$Y$10:Y298,1),"")</f>
        <v/>
      </c>
      <c r="AK298" s="14" t="str">
        <f>IF(X298=1,COUNTIFS($X$10:X298,1),"")</f>
        <v/>
      </c>
      <c r="AL298" s="14">
        <f>IF(AND(V298=1,AND(OR(Painel!$L$6="Todas",E298=Painel!$L$6),OR(Painel!$C$8="Todos",F298=Painel!$C$8),OR(Painel!$L$8="Todos",G298=Painel!$L$8),OR(Painel!$C$10="",ISNUMBER(SEARCH(SUBSTITUTE(SUBSTITUTE(SUBSTITUTE(Painel!$C$10,"~","~~"),"*","~*"),"?","~?"),A298&amp;" "&amp;H298&amp;" "&amp;I298))))),1,0)</f>
        <v>0</v>
      </c>
      <c r="AM298" s="14">
        <f t="shared" si="40"/>
        <v>0</v>
      </c>
      <c r="AN298" s="14"/>
      <c r="AO298" s="14"/>
      <c r="AP298" s="16" t="str">
        <f>IF(AB298=0,"",IF(INDEX(Andamentos!$B$10:$B$2009,AB298)="","",INDEX(Andamentos!$B$10:$B$2009,AB298)))</f>
        <v/>
      </c>
      <c r="AQ298" s="17" t="str">
        <f>IF(AH298=0,"",IF(INDEX(Valores!$B$10:$B$509,AH298)="","",IF(ISNUMBER(INDEX(Valores!$B$10:$B$509,AH298)),INDEX(Valores!$B$10:$B$509,AH298),"")))</f>
        <v/>
      </c>
      <c r="AR298" s="14" t="str">
        <f t="shared" si="41"/>
        <v/>
      </c>
      <c r="AS298" s="14" t="str">
        <f t="shared" si="42"/>
        <v/>
      </c>
      <c r="AT298" s="27"/>
      <c r="AU298" s="31"/>
      <c r="AV298" s="31"/>
      <c r="AW298" s="27"/>
      <c r="AX298" s="27"/>
      <c r="AY298" s="27"/>
      <c r="AZ298" s="27"/>
      <c r="BA298" s="30" t="str">
        <f t="shared" si="43"/>
        <v/>
      </c>
      <c r="BB298" s="30" t="str">
        <f t="shared" si="44"/>
        <v/>
      </c>
      <c r="BC298" s="30">
        <f>IF(X298=0,0,IF(COUNTIFS($X$10:X298,1,$BA$10:BA298,BA298)=1,1,0))</f>
        <v>0</v>
      </c>
      <c r="BD298" s="29"/>
    </row>
    <row r="299" spans="1:56" ht="42" customHeight="1">
      <c r="A299" s="41"/>
      <c r="B299" s="44"/>
      <c r="C299" s="44"/>
      <c r="D299" s="44"/>
      <c r="E299" s="44"/>
      <c r="F299" s="44"/>
      <c r="G299" s="44"/>
      <c r="H299" s="44"/>
      <c r="I299" s="44"/>
      <c r="J299" s="44"/>
      <c r="K299" s="44"/>
      <c r="L299" s="49"/>
      <c r="M299" s="48"/>
      <c r="N299" s="48"/>
      <c r="O299" s="48"/>
      <c r="P299" s="48"/>
      <c r="Q299" s="48"/>
      <c r="R299" s="48"/>
      <c r="S299" s="49"/>
      <c r="T299" s="48"/>
      <c r="U299" s="48"/>
      <c r="V299" s="14">
        <f t="shared" si="36"/>
        <v>0</v>
      </c>
      <c r="W299" s="14">
        <f t="shared" si="37"/>
        <v>0</v>
      </c>
      <c r="X299" s="14">
        <f>IF(AND(V299=1,OR(Painel!$C$6="Todos",D299=Painel!$C$6),AND(OR(Painel!$L$6="Todas",E299=Painel!$L$6),OR(Painel!$C$8="Todos",F299=Painel!$C$8),OR(Painel!$L$8="Todos",G299=Painel!$L$8),OR(Painel!$C$10="",ISNUMBER(SEARCH(SUBSTITUTE(SUBSTITUTE(SUBSTITUTE(Painel!$C$10,"~","~~"),"*","~*"),"?","~?"),A299&amp;" "&amp;H299&amp;" "&amp;I299))))),1,0)</f>
        <v>0</v>
      </c>
      <c r="Y299" s="14">
        <f t="shared" si="38"/>
        <v>0</v>
      </c>
      <c r="Z299" s="15" t="str">
        <f>IF(V299=0,"",IF(COUNTIFS(Andamentos!$K$10:$K$2009,"="&amp;SUBSTITUTE(SUBSTITUTE(SUBSTITUTE("P:"&amp;A299,"~","~~"),"*","~*"),"?","~?"),Andamentos!$G$10:$G$2009,1)=0,"",_xlfn.AGGREGATE(14,6,Andamentos!$D$10:$D$2009/((Andamentos!$K$10:$K$2009=AS299)*(Andamentos!$G$10:$G$2009=1)),1)))</f>
        <v/>
      </c>
      <c r="AA299" s="14">
        <f>IF(Z299="",0,COUNTIFS(Andamentos!$K$10:$K$2009,"="&amp;SUBSTITUTE(SUBSTITUTE(SUBSTITUTE("P:"&amp;A299,"~","~~"),"*","~*"),"?","~?"),Andamentos!$D$10:$D$2009,Z299,Andamentos!$G$10:$G$2009,1))</f>
        <v>0</v>
      </c>
      <c r="AB299" s="14">
        <f>IF(AA299=1,SUMIFS(Andamentos!$L$10:$L$2009,Andamentos!$K$10:$K$2009,"="&amp;SUBSTITUTE(SUBSTITUTE(SUBSTITUTE(AS299,"~","~~"),"*","~*"),"?","~?"),Andamentos!$D$10:$D$2009,Z299,Andamentos!$G$10:$G$2009,1)-9,0)</f>
        <v>0</v>
      </c>
      <c r="AC299" s="14" t="str">
        <f>IF(V299=0,"",IF(AA299&gt;1,"Conferir recebimentos empatados",IF(AB299=0,"Sem atualização",INDEX(Andamentos!$C$10:$C$2009,AB299))))</f>
        <v/>
      </c>
      <c r="AD299" s="14">
        <f>IF(W299=0,0,IF(MAX(Z299,BD299)=0,1,IF(Configurar!$J$12-INT(MAX(Z299,BD299))&gt;Configurar!$J$11,1,0)))</f>
        <v>0</v>
      </c>
      <c r="AE299" s="16"/>
      <c r="AF299" s="14"/>
      <c r="AG299" s="14"/>
      <c r="AH299" s="14">
        <f>IF(AND(V299=1,COUNTIFS(Valores!$S$10:$S$509,"="&amp;SUBSTITUTE(SUBSTITUTE(SUBSTITUTE("P:"&amp;A299,"~","~~"),"*","~*"),"?","~?"))=1),(IF(ISNA(MATCH(SUBSTITUTE(SUBSTITUTE(SUBSTITUTE("P:"&amp;A299,"~","~~"),"*","~*"),"?","~?"),Valores!$S$10:$S$509,0)),9,INDEX(Valores!$R$10:$R$509,MATCH(SUBSTITUTE(SUBSTITUTE(SUBSTITUTE("P:"&amp;A299,"~","~~"),"*","~*"),"?","~?"),Valores!$S$10:$S$509,0)))-9),0)</f>
        <v>0</v>
      </c>
      <c r="AI299" s="40" t="str">
        <f t="shared" si="39"/>
        <v/>
      </c>
      <c r="AJ299" s="14" t="str">
        <f>IF(AND(X299=1,Y299=1),COUNTIFS($X$10:X299,1,$Y$10:Y299,1),"")</f>
        <v/>
      </c>
      <c r="AK299" s="14" t="str">
        <f>IF(X299=1,COUNTIFS($X$10:X299,1),"")</f>
        <v/>
      </c>
      <c r="AL299" s="14">
        <f>IF(AND(V299=1,AND(OR(Painel!$L$6="Todas",E299=Painel!$L$6),OR(Painel!$C$8="Todos",F299=Painel!$C$8),OR(Painel!$L$8="Todos",G299=Painel!$L$8),OR(Painel!$C$10="",ISNUMBER(SEARCH(SUBSTITUTE(SUBSTITUTE(SUBSTITUTE(Painel!$C$10,"~","~~"),"*","~*"),"?","~?"),A299&amp;" "&amp;H299&amp;" "&amp;I299))))),1,0)</f>
        <v>0</v>
      </c>
      <c r="AM299" s="14">
        <f t="shared" si="40"/>
        <v>0</v>
      </c>
      <c r="AN299" s="14"/>
      <c r="AO299" s="14"/>
      <c r="AP299" s="16" t="str">
        <f>IF(AB299=0,"",IF(INDEX(Andamentos!$B$10:$B$2009,AB299)="","",INDEX(Andamentos!$B$10:$B$2009,AB299)))</f>
        <v/>
      </c>
      <c r="AQ299" s="17" t="str">
        <f>IF(AH299=0,"",IF(INDEX(Valores!$B$10:$B$509,AH299)="","",IF(ISNUMBER(INDEX(Valores!$B$10:$B$509,AH299)),INDEX(Valores!$B$10:$B$509,AH299),"")))</f>
        <v/>
      </c>
      <c r="AR299" s="14" t="str">
        <f t="shared" si="41"/>
        <v/>
      </c>
      <c r="AS299" s="14" t="str">
        <f t="shared" si="42"/>
        <v/>
      </c>
      <c r="AT299" s="27"/>
      <c r="AU299" s="31"/>
      <c r="AV299" s="31"/>
      <c r="AW299" s="27"/>
      <c r="AX299" s="27"/>
      <c r="AY299" s="27"/>
      <c r="AZ299" s="27"/>
      <c r="BA299" s="30" t="str">
        <f t="shared" si="43"/>
        <v/>
      </c>
      <c r="BB299" s="30" t="str">
        <f t="shared" si="44"/>
        <v/>
      </c>
      <c r="BC299" s="30">
        <f>IF(X299=0,0,IF(COUNTIFS($X$10:X299,1,$BA$10:BA299,BA299)=1,1,0))</f>
        <v>0</v>
      </c>
      <c r="BD299" s="29"/>
    </row>
    <row r="300" spans="1:56" ht="42" customHeight="1">
      <c r="A300" s="41"/>
      <c r="B300" s="44"/>
      <c r="C300" s="44"/>
      <c r="D300" s="44"/>
      <c r="E300" s="44"/>
      <c r="F300" s="44"/>
      <c r="G300" s="44"/>
      <c r="H300" s="44"/>
      <c r="I300" s="44"/>
      <c r="J300" s="44"/>
      <c r="K300" s="44"/>
      <c r="L300" s="49"/>
      <c r="M300" s="48"/>
      <c r="N300" s="48"/>
      <c r="O300" s="48"/>
      <c r="P300" s="48"/>
      <c r="Q300" s="48"/>
      <c r="R300" s="48"/>
      <c r="S300" s="49"/>
      <c r="T300" s="48"/>
      <c r="U300" s="48"/>
      <c r="V300" s="14">
        <f t="shared" si="36"/>
        <v>0</v>
      </c>
      <c r="W300" s="14">
        <f t="shared" si="37"/>
        <v>0</v>
      </c>
      <c r="X300" s="14">
        <f>IF(AND(V300=1,OR(Painel!$C$6="Todos",D300=Painel!$C$6),AND(OR(Painel!$L$6="Todas",E300=Painel!$L$6),OR(Painel!$C$8="Todos",F300=Painel!$C$8),OR(Painel!$L$8="Todos",G300=Painel!$L$8),OR(Painel!$C$10="",ISNUMBER(SEARCH(SUBSTITUTE(SUBSTITUTE(SUBSTITUTE(Painel!$C$10,"~","~~"),"*","~*"),"?","~?"),A300&amp;" "&amp;H300&amp;" "&amp;I300))))),1,0)</f>
        <v>0</v>
      </c>
      <c r="Y300" s="14">
        <f t="shared" si="38"/>
        <v>0</v>
      </c>
      <c r="Z300" s="15" t="str">
        <f>IF(V300=0,"",IF(COUNTIFS(Andamentos!$K$10:$K$2009,"="&amp;SUBSTITUTE(SUBSTITUTE(SUBSTITUTE("P:"&amp;A300,"~","~~"),"*","~*"),"?","~?"),Andamentos!$G$10:$G$2009,1)=0,"",_xlfn.AGGREGATE(14,6,Andamentos!$D$10:$D$2009/((Andamentos!$K$10:$K$2009=AS300)*(Andamentos!$G$10:$G$2009=1)),1)))</f>
        <v/>
      </c>
      <c r="AA300" s="14">
        <f>IF(Z300="",0,COUNTIFS(Andamentos!$K$10:$K$2009,"="&amp;SUBSTITUTE(SUBSTITUTE(SUBSTITUTE("P:"&amp;A300,"~","~~"),"*","~*"),"?","~?"),Andamentos!$D$10:$D$2009,Z300,Andamentos!$G$10:$G$2009,1))</f>
        <v>0</v>
      </c>
      <c r="AB300" s="14">
        <f>IF(AA300=1,SUMIFS(Andamentos!$L$10:$L$2009,Andamentos!$K$10:$K$2009,"="&amp;SUBSTITUTE(SUBSTITUTE(SUBSTITUTE(AS300,"~","~~"),"*","~*"),"?","~?"),Andamentos!$D$10:$D$2009,Z300,Andamentos!$G$10:$G$2009,1)-9,0)</f>
        <v>0</v>
      </c>
      <c r="AC300" s="14" t="str">
        <f>IF(V300=0,"",IF(AA300&gt;1,"Conferir recebimentos empatados",IF(AB300=0,"Sem atualização",INDEX(Andamentos!$C$10:$C$2009,AB300))))</f>
        <v/>
      </c>
      <c r="AD300" s="14">
        <f>IF(W300=0,0,IF(MAX(Z300,BD300)=0,1,IF(Configurar!$J$12-INT(MAX(Z300,BD300))&gt;Configurar!$J$11,1,0)))</f>
        <v>0</v>
      </c>
      <c r="AE300" s="16"/>
      <c r="AF300" s="14"/>
      <c r="AG300" s="14"/>
      <c r="AH300" s="14">
        <f>IF(AND(V300=1,COUNTIFS(Valores!$S$10:$S$509,"="&amp;SUBSTITUTE(SUBSTITUTE(SUBSTITUTE("P:"&amp;A300,"~","~~"),"*","~*"),"?","~?"))=1),(IF(ISNA(MATCH(SUBSTITUTE(SUBSTITUTE(SUBSTITUTE("P:"&amp;A300,"~","~~"),"*","~*"),"?","~?"),Valores!$S$10:$S$509,0)),9,INDEX(Valores!$R$10:$R$509,MATCH(SUBSTITUTE(SUBSTITUTE(SUBSTITUTE("P:"&amp;A300,"~","~~"),"*","~*"),"?","~?"),Valores!$S$10:$S$509,0)))-9),0)</f>
        <v>0</v>
      </c>
      <c r="AI300" s="40" t="str">
        <f t="shared" si="39"/>
        <v/>
      </c>
      <c r="AJ300" s="14" t="str">
        <f>IF(AND(X300=1,Y300=1),COUNTIFS($X$10:X300,1,$Y$10:Y300,1),"")</f>
        <v/>
      </c>
      <c r="AK300" s="14" t="str">
        <f>IF(X300=1,COUNTIFS($X$10:X300,1),"")</f>
        <v/>
      </c>
      <c r="AL300" s="14">
        <f>IF(AND(V300=1,AND(OR(Painel!$L$6="Todas",E300=Painel!$L$6),OR(Painel!$C$8="Todos",F300=Painel!$C$8),OR(Painel!$L$8="Todos",G300=Painel!$L$8),OR(Painel!$C$10="",ISNUMBER(SEARCH(SUBSTITUTE(SUBSTITUTE(SUBSTITUTE(Painel!$C$10,"~","~~"),"*","~*"),"?","~?"),A300&amp;" "&amp;H300&amp;" "&amp;I300))))),1,0)</f>
        <v>0</v>
      </c>
      <c r="AM300" s="14">
        <f t="shared" si="40"/>
        <v>0</v>
      </c>
      <c r="AN300" s="14"/>
      <c r="AO300" s="14"/>
      <c r="AP300" s="16" t="str">
        <f>IF(AB300=0,"",IF(INDEX(Andamentos!$B$10:$B$2009,AB300)="","",INDEX(Andamentos!$B$10:$B$2009,AB300)))</f>
        <v/>
      </c>
      <c r="AQ300" s="17" t="str">
        <f>IF(AH300=0,"",IF(INDEX(Valores!$B$10:$B$509,AH300)="","",IF(ISNUMBER(INDEX(Valores!$B$10:$B$509,AH300)),INDEX(Valores!$B$10:$B$509,AH300),"")))</f>
        <v/>
      </c>
      <c r="AR300" s="14" t="str">
        <f t="shared" si="41"/>
        <v/>
      </c>
      <c r="AS300" s="14" t="str">
        <f t="shared" si="42"/>
        <v/>
      </c>
      <c r="AT300" s="27"/>
      <c r="AU300" s="31"/>
      <c r="AV300" s="31"/>
      <c r="AW300" s="27"/>
      <c r="AX300" s="27"/>
      <c r="AY300" s="27"/>
      <c r="AZ300" s="27"/>
      <c r="BA300" s="30" t="str">
        <f t="shared" si="43"/>
        <v/>
      </c>
      <c r="BB300" s="30" t="str">
        <f t="shared" si="44"/>
        <v/>
      </c>
      <c r="BC300" s="30">
        <f>IF(X300=0,0,IF(COUNTIFS($X$10:X300,1,$BA$10:BA300,BA300)=1,1,0))</f>
        <v>0</v>
      </c>
      <c r="BD300" s="29"/>
    </row>
    <row r="301" spans="1:56" ht="42" customHeight="1">
      <c r="A301" s="41"/>
      <c r="B301" s="44"/>
      <c r="C301" s="44"/>
      <c r="D301" s="44"/>
      <c r="E301" s="44"/>
      <c r="F301" s="44"/>
      <c r="G301" s="44"/>
      <c r="H301" s="44"/>
      <c r="I301" s="44"/>
      <c r="J301" s="44"/>
      <c r="K301" s="44"/>
      <c r="L301" s="49"/>
      <c r="M301" s="48"/>
      <c r="N301" s="48"/>
      <c r="O301" s="48"/>
      <c r="P301" s="48"/>
      <c r="Q301" s="48"/>
      <c r="R301" s="48"/>
      <c r="S301" s="49"/>
      <c r="T301" s="48"/>
      <c r="U301" s="48"/>
      <c r="V301" s="14">
        <f t="shared" si="36"/>
        <v>0</v>
      </c>
      <c r="W301" s="14">
        <f t="shared" si="37"/>
        <v>0</v>
      </c>
      <c r="X301" s="14">
        <f>IF(AND(V301=1,OR(Painel!$C$6="Todos",D301=Painel!$C$6),AND(OR(Painel!$L$6="Todas",E301=Painel!$L$6),OR(Painel!$C$8="Todos",F301=Painel!$C$8),OR(Painel!$L$8="Todos",G301=Painel!$L$8),OR(Painel!$C$10="",ISNUMBER(SEARCH(SUBSTITUTE(SUBSTITUTE(SUBSTITUTE(Painel!$C$10,"~","~~"),"*","~*"),"?","~?"),A301&amp;" "&amp;H301&amp;" "&amp;I301))))),1,0)</f>
        <v>0</v>
      </c>
      <c r="Y301" s="14">
        <f t="shared" si="38"/>
        <v>0</v>
      </c>
      <c r="Z301" s="15" t="str">
        <f>IF(V301=0,"",IF(COUNTIFS(Andamentos!$K$10:$K$2009,"="&amp;SUBSTITUTE(SUBSTITUTE(SUBSTITUTE("P:"&amp;A301,"~","~~"),"*","~*"),"?","~?"),Andamentos!$G$10:$G$2009,1)=0,"",_xlfn.AGGREGATE(14,6,Andamentos!$D$10:$D$2009/((Andamentos!$K$10:$K$2009=AS301)*(Andamentos!$G$10:$G$2009=1)),1)))</f>
        <v/>
      </c>
      <c r="AA301" s="14">
        <f>IF(Z301="",0,COUNTIFS(Andamentos!$K$10:$K$2009,"="&amp;SUBSTITUTE(SUBSTITUTE(SUBSTITUTE("P:"&amp;A301,"~","~~"),"*","~*"),"?","~?"),Andamentos!$D$10:$D$2009,Z301,Andamentos!$G$10:$G$2009,1))</f>
        <v>0</v>
      </c>
      <c r="AB301" s="14">
        <f>IF(AA301=1,SUMIFS(Andamentos!$L$10:$L$2009,Andamentos!$K$10:$K$2009,"="&amp;SUBSTITUTE(SUBSTITUTE(SUBSTITUTE(AS301,"~","~~"),"*","~*"),"?","~?"),Andamentos!$D$10:$D$2009,Z301,Andamentos!$G$10:$G$2009,1)-9,0)</f>
        <v>0</v>
      </c>
      <c r="AC301" s="14" t="str">
        <f>IF(V301=0,"",IF(AA301&gt;1,"Conferir recebimentos empatados",IF(AB301=0,"Sem atualização",INDEX(Andamentos!$C$10:$C$2009,AB301))))</f>
        <v/>
      </c>
      <c r="AD301" s="14">
        <f>IF(W301=0,0,IF(MAX(Z301,BD301)=0,1,IF(Configurar!$J$12-INT(MAX(Z301,BD301))&gt;Configurar!$J$11,1,0)))</f>
        <v>0</v>
      </c>
      <c r="AE301" s="16"/>
      <c r="AF301" s="14"/>
      <c r="AG301" s="14"/>
      <c r="AH301" s="14">
        <f>IF(AND(V301=1,COUNTIFS(Valores!$S$10:$S$509,"="&amp;SUBSTITUTE(SUBSTITUTE(SUBSTITUTE("P:"&amp;A301,"~","~~"),"*","~*"),"?","~?"))=1),(IF(ISNA(MATCH(SUBSTITUTE(SUBSTITUTE(SUBSTITUTE("P:"&amp;A301,"~","~~"),"*","~*"),"?","~?"),Valores!$S$10:$S$509,0)),9,INDEX(Valores!$R$10:$R$509,MATCH(SUBSTITUTE(SUBSTITUTE(SUBSTITUTE("P:"&amp;A301,"~","~~"),"*","~*"),"?","~?"),Valores!$S$10:$S$509,0)))-9),0)</f>
        <v>0</v>
      </c>
      <c r="AI301" s="40" t="str">
        <f t="shared" si="39"/>
        <v/>
      </c>
      <c r="AJ301" s="14" t="str">
        <f>IF(AND(X301=1,Y301=1),COUNTIFS($X$10:X301,1,$Y$10:Y301,1),"")</f>
        <v/>
      </c>
      <c r="AK301" s="14" t="str">
        <f>IF(X301=1,COUNTIFS($X$10:X301,1),"")</f>
        <v/>
      </c>
      <c r="AL301" s="14">
        <f>IF(AND(V301=1,AND(OR(Painel!$L$6="Todas",E301=Painel!$L$6),OR(Painel!$C$8="Todos",F301=Painel!$C$8),OR(Painel!$L$8="Todos",G301=Painel!$L$8),OR(Painel!$C$10="",ISNUMBER(SEARCH(SUBSTITUTE(SUBSTITUTE(SUBSTITUTE(Painel!$C$10,"~","~~"),"*","~*"),"?","~?"),A301&amp;" "&amp;H301&amp;" "&amp;I301))))),1,0)</f>
        <v>0</v>
      </c>
      <c r="AM301" s="14">
        <f t="shared" si="40"/>
        <v>0</v>
      </c>
      <c r="AN301" s="14"/>
      <c r="AO301" s="14"/>
      <c r="AP301" s="16" t="str">
        <f>IF(AB301=0,"",IF(INDEX(Andamentos!$B$10:$B$2009,AB301)="","",INDEX(Andamentos!$B$10:$B$2009,AB301)))</f>
        <v/>
      </c>
      <c r="AQ301" s="17" t="str">
        <f>IF(AH301=0,"",IF(INDEX(Valores!$B$10:$B$509,AH301)="","",IF(ISNUMBER(INDEX(Valores!$B$10:$B$509,AH301)),INDEX(Valores!$B$10:$B$509,AH301),"")))</f>
        <v/>
      </c>
      <c r="AR301" s="14" t="str">
        <f t="shared" si="41"/>
        <v/>
      </c>
      <c r="AS301" s="14" t="str">
        <f t="shared" si="42"/>
        <v/>
      </c>
      <c r="AT301" s="27"/>
      <c r="AU301" s="31"/>
      <c r="AV301" s="31"/>
      <c r="AW301" s="27"/>
      <c r="AX301" s="27"/>
      <c r="AY301" s="27"/>
      <c r="AZ301" s="27"/>
      <c r="BA301" s="30" t="str">
        <f t="shared" si="43"/>
        <v/>
      </c>
      <c r="BB301" s="30" t="str">
        <f t="shared" si="44"/>
        <v/>
      </c>
      <c r="BC301" s="30">
        <f>IF(X301=0,0,IF(COUNTIFS($X$10:X301,1,$BA$10:BA301,BA301)=1,1,0))</f>
        <v>0</v>
      </c>
      <c r="BD301" s="29"/>
    </row>
    <row r="302" spans="1:56" ht="42" customHeight="1">
      <c r="A302" s="41"/>
      <c r="B302" s="44"/>
      <c r="C302" s="44"/>
      <c r="D302" s="44"/>
      <c r="E302" s="44"/>
      <c r="F302" s="44"/>
      <c r="G302" s="44"/>
      <c r="H302" s="44"/>
      <c r="I302" s="44"/>
      <c r="J302" s="44"/>
      <c r="K302" s="44"/>
      <c r="L302" s="49"/>
      <c r="M302" s="48"/>
      <c r="N302" s="48"/>
      <c r="O302" s="48"/>
      <c r="P302" s="48"/>
      <c r="Q302" s="48"/>
      <c r="R302" s="48"/>
      <c r="S302" s="49"/>
      <c r="T302" s="48"/>
      <c r="U302" s="48"/>
      <c r="V302" s="14">
        <f t="shared" si="36"/>
        <v>0</v>
      </c>
      <c r="W302" s="14">
        <f t="shared" si="37"/>
        <v>0</v>
      </c>
      <c r="X302" s="14">
        <f>IF(AND(V302=1,OR(Painel!$C$6="Todos",D302=Painel!$C$6),AND(OR(Painel!$L$6="Todas",E302=Painel!$L$6),OR(Painel!$C$8="Todos",F302=Painel!$C$8),OR(Painel!$L$8="Todos",G302=Painel!$L$8),OR(Painel!$C$10="",ISNUMBER(SEARCH(SUBSTITUTE(SUBSTITUTE(SUBSTITUTE(Painel!$C$10,"~","~~"),"*","~*"),"?","~?"),A302&amp;" "&amp;H302&amp;" "&amp;I302))))),1,0)</f>
        <v>0</v>
      </c>
      <c r="Y302" s="14">
        <f t="shared" si="38"/>
        <v>0</v>
      </c>
      <c r="Z302" s="15" t="str">
        <f>IF(V302=0,"",IF(COUNTIFS(Andamentos!$K$10:$K$2009,"="&amp;SUBSTITUTE(SUBSTITUTE(SUBSTITUTE("P:"&amp;A302,"~","~~"),"*","~*"),"?","~?"),Andamentos!$G$10:$G$2009,1)=0,"",_xlfn.AGGREGATE(14,6,Andamentos!$D$10:$D$2009/((Andamentos!$K$10:$K$2009=AS302)*(Andamentos!$G$10:$G$2009=1)),1)))</f>
        <v/>
      </c>
      <c r="AA302" s="14">
        <f>IF(Z302="",0,COUNTIFS(Andamentos!$K$10:$K$2009,"="&amp;SUBSTITUTE(SUBSTITUTE(SUBSTITUTE("P:"&amp;A302,"~","~~"),"*","~*"),"?","~?"),Andamentos!$D$10:$D$2009,Z302,Andamentos!$G$10:$G$2009,1))</f>
        <v>0</v>
      </c>
      <c r="AB302" s="14">
        <f>IF(AA302=1,SUMIFS(Andamentos!$L$10:$L$2009,Andamentos!$K$10:$K$2009,"="&amp;SUBSTITUTE(SUBSTITUTE(SUBSTITUTE(AS302,"~","~~"),"*","~*"),"?","~?"),Andamentos!$D$10:$D$2009,Z302,Andamentos!$G$10:$G$2009,1)-9,0)</f>
        <v>0</v>
      </c>
      <c r="AC302" s="14" t="str">
        <f>IF(V302=0,"",IF(AA302&gt;1,"Conferir recebimentos empatados",IF(AB302=0,"Sem atualização",INDEX(Andamentos!$C$10:$C$2009,AB302))))</f>
        <v/>
      </c>
      <c r="AD302" s="14">
        <f>IF(W302=0,0,IF(MAX(Z302,BD302)=0,1,IF(Configurar!$J$12-INT(MAX(Z302,BD302))&gt;Configurar!$J$11,1,0)))</f>
        <v>0</v>
      </c>
      <c r="AE302" s="16"/>
      <c r="AF302" s="14"/>
      <c r="AG302" s="14"/>
      <c r="AH302" s="14">
        <f>IF(AND(V302=1,COUNTIFS(Valores!$S$10:$S$509,"="&amp;SUBSTITUTE(SUBSTITUTE(SUBSTITUTE("P:"&amp;A302,"~","~~"),"*","~*"),"?","~?"))=1),(IF(ISNA(MATCH(SUBSTITUTE(SUBSTITUTE(SUBSTITUTE("P:"&amp;A302,"~","~~"),"*","~*"),"?","~?"),Valores!$S$10:$S$509,0)),9,INDEX(Valores!$R$10:$R$509,MATCH(SUBSTITUTE(SUBSTITUTE(SUBSTITUTE("P:"&amp;A302,"~","~~"),"*","~*"),"?","~?"),Valores!$S$10:$S$509,0)))-9),0)</f>
        <v>0</v>
      </c>
      <c r="AI302" s="40" t="str">
        <f t="shared" si="39"/>
        <v/>
      </c>
      <c r="AJ302" s="14" t="str">
        <f>IF(AND(X302=1,Y302=1),COUNTIFS($X$10:X302,1,$Y$10:Y302,1),"")</f>
        <v/>
      </c>
      <c r="AK302" s="14" t="str">
        <f>IF(X302=1,COUNTIFS($X$10:X302,1),"")</f>
        <v/>
      </c>
      <c r="AL302" s="14">
        <f>IF(AND(V302=1,AND(OR(Painel!$L$6="Todas",E302=Painel!$L$6),OR(Painel!$C$8="Todos",F302=Painel!$C$8),OR(Painel!$L$8="Todos",G302=Painel!$L$8),OR(Painel!$C$10="",ISNUMBER(SEARCH(SUBSTITUTE(SUBSTITUTE(SUBSTITUTE(Painel!$C$10,"~","~~"),"*","~*"),"?","~?"),A302&amp;" "&amp;H302&amp;" "&amp;I302))))),1,0)</f>
        <v>0</v>
      </c>
      <c r="AM302" s="14">
        <f t="shared" si="40"/>
        <v>0</v>
      </c>
      <c r="AN302" s="14"/>
      <c r="AO302" s="14"/>
      <c r="AP302" s="16" t="str">
        <f>IF(AB302=0,"",IF(INDEX(Andamentos!$B$10:$B$2009,AB302)="","",INDEX(Andamentos!$B$10:$B$2009,AB302)))</f>
        <v/>
      </c>
      <c r="AQ302" s="17" t="str">
        <f>IF(AH302=0,"",IF(INDEX(Valores!$B$10:$B$509,AH302)="","",IF(ISNUMBER(INDEX(Valores!$B$10:$B$509,AH302)),INDEX(Valores!$B$10:$B$509,AH302),"")))</f>
        <v/>
      </c>
      <c r="AR302" s="14" t="str">
        <f t="shared" si="41"/>
        <v/>
      </c>
      <c r="AS302" s="14" t="str">
        <f t="shared" si="42"/>
        <v/>
      </c>
      <c r="AT302" s="27"/>
      <c r="AU302" s="31"/>
      <c r="AV302" s="31"/>
      <c r="AW302" s="27"/>
      <c r="AX302" s="27"/>
      <c r="AY302" s="27"/>
      <c r="AZ302" s="27"/>
      <c r="BA302" s="30" t="str">
        <f t="shared" si="43"/>
        <v/>
      </c>
      <c r="BB302" s="30" t="str">
        <f t="shared" si="44"/>
        <v/>
      </c>
      <c r="BC302" s="30">
        <f>IF(X302=0,0,IF(COUNTIFS($X$10:X302,1,$BA$10:BA302,BA302)=1,1,0))</f>
        <v>0</v>
      </c>
      <c r="BD302" s="29"/>
    </row>
    <row r="303" spans="1:56" ht="42" customHeight="1">
      <c r="A303" s="41"/>
      <c r="B303" s="44"/>
      <c r="C303" s="44"/>
      <c r="D303" s="44"/>
      <c r="E303" s="44"/>
      <c r="F303" s="44"/>
      <c r="G303" s="44"/>
      <c r="H303" s="44"/>
      <c r="I303" s="44"/>
      <c r="J303" s="44"/>
      <c r="K303" s="44"/>
      <c r="L303" s="49"/>
      <c r="M303" s="48"/>
      <c r="N303" s="48"/>
      <c r="O303" s="48"/>
      <c r="P303" s="48"/>
      <c r="Q303" s="48"/>
      <c r="R303" s="48"/>
      <c r="S303" s="49"/>
      <c r="T303" s="48"/>
      <c r="U303" s="48"/>
      <c r="V303" s="14">
        <f t="shared" si="36"/>
        <v>0</v>
      </c>
      <c r="W303" s="14">
        <f t="shared" si="37"/>
        <v>0</v>
      </c>
      <c r="X303" s="14">
        <f>IF(AND(V303=1,OR(Painel!$C$6="Todos",D303=Painel!$C$6),AND(OR(Painel!$L$6="Todas",E303=Painel!$L$6),OR(Painel!$C$8="Todos",F303=Painel!$C$8),OR(Painel!$L$8="Todos",G303=Painel!$L$8),OR(Painel!$C$10="",ISNUMBER(SEARCH(SUBSTITUTE(SUBSTITUTE(SUBSTITUTE(Painel!$C$10,"~","~~"),"*","~*"),"?","~?"),A303&amp;" "&amp;H303&amp;" "&amp;I303))))),1,0)</f>
        <v>0</v>
      </c>
      <c r="Y303" s="14">
        <f t="shared" si="38"/>
        <v>0</v>
      </c>
      <c r="Z303" s="15" t="str">
        <f>IF(V303=0,"",IF(COUNTIFS(Andamentos!$K$10:$K$2009,"="&amp;SUBSTITUTE(SUBSTITUTE(SUBSTITUTE("P:"&amp;A303,"~","~~"),"*","~*"),"?","~?"),Andamentos!$G$10:$G$2009,1)=0,"",_xlfn.AGGREGATE(14,6,Andamentos!$D$10:$D$2009/((Andamentos!$K$10:$K$2009=AS303)*(Andamentos!$G$10:$G$2009=1)),1)))</f>
        <v/>
      </c>
      <c r="AA303" s="14">
        <f>IF(Z303="",0,COUNTIFS(Andamentos!$K$10:$K$2009,"="&amp;SUBSTITUTE(SUBSTITUTE(SUBSTITUTE("P:"&amp;A303,"~","~~"),"*","~*"),"?","~?"),Andamentos!$D$10:$D$2009,Z303,Andamentos!$G$10:$G$2009,1))</f>
        <v>0</v>
      </c>
      <c r="AB303" s="14">
        <f>IF(AA303=1,SUMIFS(Andamentos!$L$10:$L$2009,Andamentos!$K$10:$K$2009,"="&amp;SUBSTITUTE(SUBSTITUTE(SUBSTITUTE(AS303,"~","~~"),"*","~*"),"?","~?"),Andamentos!$D$10:$D$2009,Z303,Andamentos!$G$10:$G$2009,1)-9,0)</f>
        <v>0</v>
      </c>
      <c r="AC303" s="14" t="str">
        <f>IF(V303=0,"",IF(AA303&gt;1,"Conferir recebimentos empatados",IF(AB303=0,"Sem atualização",INDEX(Andamentos!$C$10:$C$2009,AB303))))</f>
        <v/>
      </c>
      <c r="AD303" s="14">
        <f>IF(W303=0,0,IF(MAX(Z303,BD303)=0,1,IF(Configurar!$J$12-INT(MAX(Z303,BD303))&gt;Configurar!$J$11,1,0)))</f>
        <v>0</v>
      </c>
      <c r="AE303" s="16"/>
      <c r="AF303" s="14"/>
      <c r="AG303" s="14"/>
      <c r="AH303" s="14">
        <f>IF(AND(V303=1,COUNTIFS(Valores!$S$10:$S$509,"="&amp;SUBSTITUTE(SUBSTITUTE(SUBSTITUTE("P:"&amp;A303,"~","~~"),"*","~*"),"?","~?"))=1),(IF(ISNA(MATCH(SUBSTITUTE(SUBSTITUTE(SUBSTITUTE("P:"&amp;A303,"~","~~"),"*","~*"),"?","~?"),Valores!$S$10:$S$509,0)),9,INDEX(Valores!$R$10:$R$509,MATCH(SUBSTITUTE(SUBSTITUTE(SUBSTITUTE("P:"&amp;A303,"~","~~"),"*","~*"),"?","~?"),Valores!$S$10:$S$509,0)))-9),0)</f>
        <v>0</v>
      </c>
      <c r="AI303" s="40" t="str">
        <f t="shared" si="39"/>
        <v/>
      </c>
      <c r="AJ303" s="14" t="str">
        <f>IF(AND(X303=1,Y303=1),COUNTIFS($X$10:X303,1,$Y$10:Y303,1),"")</f>
        <v/>
      </c>
      <c r="AK303" s="14" t="str">
        <f>IF(X303=1,COUNTIFS($X$10:X303,1),"")</f>
        <v/>
      </c>
      <c r="AL303" s="14">
        <f>IF(AND(V303=1,AND(OR(Painel!$L$6="Todas",E303=Painel!$L$6),OR(Painel!$C$8="Todos",F303=Painel!$C$8),OR(Painel!$L$8="Todos",G303=Painel!$L$8),OR(Painel!$C$10="",ISNUMBER(SEARCH(SUBSTITUTE(SUBSTITUTE(SUBSTITUTE(Painel!$C$10,"~","~~"),"*","~*"),"?","~?"),A303&amp;" "&amp;H303&amp;" "&amp;I303))))),1,0)</f>
        <v>0</v>
      </c>
      <c r="AM303" s="14">
        <f t="shared" si="40"/>
        <v>0</v>
      </c>
      <c r="AN303" s="14"/>
      <c r="AO303" s="14"/>
      <c r="AP303" s="16" t="str">
        <f>IF(AB303=0,"",IF(INDEX(Andamentos!$B$10:$B$2009,AB303)="","",INDEX(Andamentos!$B$10:$B$2009,AB303)))</f>
        <v/>
      </c>
      <c r="AQ303" s="17" t="str">
        <f>IF(AH303=0,"",IF(INDEX(Valores!$B$10:$B$509,AH303)="","",IF(ISNUMBER(INDEX(Valores!$B$10:$B$509,AH303)),INDEX(Valores!$B$10:$B$509,AH303),"")))</f>
        <v/>
      </c>
      <c r="AR303" s="14" t="str">
        <f t="shared" si="41"/>
        <v/>
      </c>
      <c r="AS303" s="14" t="str">
        <f t="shared" si="42"/>
        <v/>
      </c>
      <c r="AT303" s="27"/>
      <c r="AU303" s="31"/>
      <c r="AV303" s="31"/>
      <c r="AW303" s="27"/>
      <c r="AX303" s="27"/>
      <c r="AY303" s="27"/>
      <c r="AZ303" s="27"/>
      <c r="BA303" s="30" t="str">
        <f t="shared" si="43"/>
        <v/>
      </c>
      <c r="BB303" s="30" t="str">
        <f t="shared" si="44"/>
        <v/>
      </c>
      <c r="BC303" s="30">
        <f>IF(X303=0,0,IF(COUNTIFS($X$10:X303,1,$BA$10:BA303,BA303)=1,1,0))</f>
        <v>0</v>
      </c>
      <c r="BD303" s="29"/>
    </row>
    <row r="304" spans="1:56" ht="42" customHeight="1">
      <c r="A304" s="41"/>
      <c r="B304" s="44"/>
      <c r="C304" s="44"/>
      <c r="D304" s="44"/>
      <c r="E304" s="44"/>
      <c r="F304" s="44"/>
      <c r="G304" s="44"/>
      <c r="H304" s="44"/>
      <c r="I304" s="44"/>
      <c r="J304" s="44"/>
      <c r="K304" s="44"/>
      <c r="L304" s="49"/>
      <c r="M304" s="48"/>
      <c r="N304" s="48"/>
      <c r="O304" s="48"/>
      <c r="P304" s="48"/>
      <c r="Q304" s="48"/>
      <c r="R304" s="48"/>
      <c r="S304" s="49"/>
      <c r="T304" s="48"/>
      <c r="U304" s="48"/>
      <c r="V304" s="14">
        <f t="shared" si="36"/>
        <v>0</v>
      </c>
      <c r="W304" s="14">
        <f t="shared" si="37"/>
        <v>0</v>
      </c>
      <c r="X304" s="14">
        <f>IF(AND(V304=1,OR(Painel!$C$6="Todos",D304=Painel!$C$6),AND(OR(Painel!$L$6="Todas",E304=Painel!$L$6),OR(Painel!$C$8="Todos",F304=Painel!$C$8),OR(Painel!$L$8="Todos",G304=Painel!$L$8),OR(Painel!$C$10="",ISNUMBER(SEARCH(SUBSTITUTE(SUBSTITUTE(SUBSTITUTE(Painel!$C$10,"~","~~"),"*","~*"),"?","~?"),A304&amp;" "&amp;H304&amp;" "&amp;I304))))),1,0)</f>
        <v>0</v>
      </c>
      <c r="Y304" s="14">
        <f t="shared" si="38"/>
        <v>0</v>
      </c>
      <c r="Z304" s="15" t="str">
        <f>IF(V304=0,"",IF(COUNTIFS(Andamentos!$K$10:$K$2009,"="&amp;SUBSTITUTE(SUBSTITUTE(SUBSTITUTE("P:"&amp;A304,"~","~~"),"*","~*"),"?","~?"),Andamentos!$G$10:$G$2009,1)=0,"",_xlfn.AGGREGATE(14,6,Andamentos!$D$10:$D$2009/((Andamentos!$K$10:$K$2009=AS304)*(Andamentos!$G$10:$G$2009=1)),1)))</f>
        <v/>
      </c>
      <c r="AA304" s="14">
        <f>IF(Z304="",0,COUNTIFS(Andamentos!$K$10:$K$2009,"="&amp;SUBSTITUTE(SUBSTITUTE(SUBSTITUTE("P:"&amp;A304,"~","~~"),"*","~*"),"?","~?"),Andamentos!$D$10:$D$2009,Z304,Andamentos!$G$10:$G$2009,1))</f>
        <v>0</v>
      </c>
      <c r="AB304" s="14">
        <f>IF(AA304=1,SUMIFS(Andamentos!$L$10:$L$2009,Andamentos!$K$10:$K$2009,"="&amp;SUBSTITUTE(SUBSTITUTE(SUBSTITUTE(AS304,"~","~~"),"*","~*"),"?","~?"),Andamentos!$D$10:$D$2009,Z304,Andamentos!$G$10:$G$2009,1)-9,0)</f>
        <v>0</v>
      </c>
      <c r="AC304" s="14" t="str">
        <f>IF(V304=0,"",IF(AA304&gt;1,"Conferir recebimentos empatados",IF(AB304=0,"Sem atualização",INDEX(Andamentos!$C$10:$C$2009,AB304))))</f>
        <v/>
      </c>
      <c r="AD304" s="14">
        <f>IF(W304=0,0,IF(MAX(Z304,BD304)=0,1,IF(Configurar!$J$12-INT(MAX(Z304,BD304))&gt;Configurar!$J$11,1,0)))</f>
        <v>0</v>
      </c>
      <c r="AE304" s="16"/>
      <c r="AF304" s="14"/>
      <c r="AG304" s="14"/>
      <c r="AH304" s="14">
        <f>IF(AND(V304=1,COUNTIFS(Valores!$S$10:$S$509,"="&amp;SUBSTITUTE(SUBSTITUTE(SUBSTITUTE("P:"&amp;A304,"~","~~"),"*","~*"),"?","~?"))=1),(IF(ISNA(MATCH(SUBSTITUTE(SUBSTITUTE(SUBSTITUTE("P:"&amp;A304,"~","~~"),"*","~*"),"?","~?"),Valores!$S$10:$S$509,0)),9,INDEX(Valores!$R$10:$R$509,MATCH(SUBSTITUTE(SUBSTITUTE(SUBSTITUTE("P:"&amp;A304,"~","~~"),"*","~*"),"?","~?"),Valores!$S$10:$S$509,0)))-9),0)</f>
        <v>0</v>
      </c>
      <c r="AI304" s="40" t="str">
        <f t="shared" si="39"/>
        <v/>
      </c>
      <c r="AJ304" s="14" t="str">
        <f>IF(AND(X304=1,Y304=1),COUNTIFS($X$10:X304,1,$Y$10:Y304,1),"")</f>
        <v/>
      </c>
      <c r="AK304" s="14" t="str">
        <f>IF(X304=1,COUNTIFS($X$10:X304,1),"")</f>
        <v/>
      </c>
      <c r="AL304" s="14">
        <f>IF(AND(V304=1,AND(OR(Painel!$L$6="Todas",E304=Painel!$L$6),OR(Painel!$C$8="Todos",F304=Painel!$C$8),OR(Painel!$L$8="Todos",G304=Painel!$L$8),OR(Painel!$C$10="",ISNUMBER(SEARCH(SUBSTITUTE(SUBSTITUTE(SUBSTITUTE(Painel!$C$10,"~","~~"),"*","~*"),"?","~?"),A304&amp;" "&amp;H304&amp;" "&amp;I304))))),1,0)</f>
        <v>0</v>
      </c>
      <c r="AM304" s="14">
        <f t="shared" si="40"/>
        <v>0</v>
      </c>
      <c r="AN304" s="14"/>
      <c r="AO304" s="14"/>
      <c r="AP304" s="16" t="str">
        <f>IF(AB304=0,"",IF(INDEX(Andamentos!$B$10:$B$2009,AB304)="","",INDEX(Andamentos!$B$10:$B$2009,AB304)))</f>
        <v/>
      </c>
      <c r="AQ304" s="17" t="str">
        <f>IF(AH304=0,"",IF(INDEX(Valores!$B$10:$B$509,AH304)="","",IF(ISNUMBER(INDEX(Valores!$B$10:$B$509,AH304)),INDEX(Valores!$B$10:$B$509,AH304),"")))</f>
        <v/>
      </c>
      <c r="AR304" s="14" t="str">
        <f t="shared" si="41"/>
        <v/>
      </c>
      <c r="AS304" s="14" t="str">
        <f t="shared" si="42"/>
        <v/>
      </c>
      <c r="AT304" s="27"/>
      <c r="AU304" s="31"/>
      <c r="AV304" s="31"/>
      <c r="AW304" s="27"/>
      <c r="AX304" s="27"/>
      <c r="AY304" s="27"/>
      <c r="AZ304" s="27"/>
      <c r="BA304" s="30" t="str">
        <f t="shared" si="43"/>
        <v/>
      </c>
      <c r="BB304" s="30" t="str">
        <f t="shared" si="44"/>
        <v/>
      </c>
      <c r="BC304" s="30">
        <f>IF(X304=0,0,IF(COUNTIFS($X$10:X304,1,$BA$10:BA304,BA304)=1,1,0))</f>
        <v>0</v>
      </c>
      <c r="BD304" s="29"/>
    </row>
    <row r="305" spans="1:56" ht="42" customHeight="1">
      <c r="A305" s="41"/>
      <c r="B305" s="44"/>
      <c r="C305" s="44"/>
      <c r="D305" s="44"/>
      <c r="E305" s="44"/>
      <c r="F305" s="44"/>
      <c r="G305" s="44"/>
      <c r="H305" s="44"/>
      <c r="I305" s="44"/>
      <c r="J305" s="44"/>
      <c r="K305" s="44"/>
      <c r="L305" s="49"/>
      <c r="M305" s="48"/>
      <c r="N305" s="48"/>
      <c r="O305" s="48"/>
      <c r="P305" s="48"/>
      <c r="Q305" s="48"/>
      <c r="R305" s="48"/>
      <c r="S305" s="49"/>
      <c r="T305" s="48"/>
      <c r="U305" s="48"/>
      <c r="V305" s="14">
        <f t="shared" si="36"/>
        <v>0</v>
      </c>
      <c r="W305" s="14">
        <f t="shared" si="37"/>
        <v>0</v>
      </c>
      <c r="X305" s="14">
        <f>IF(AND(V305=1,OR(Painel!$C$6="Todos",D305=Painel!$C$6),AND(OR(Painel!$L$6="Todas",E305=Painel!$L$6),OR(Painel!$C$8="Todos",F305=Painel!$C$8),OR(Painel!$L$8="Todos",G305=Painel!$L$8),OR(Painel!$C$10="",ISNUMBER(SEARCH(SUBSTITUTE(SUBSTITUTE(SUBSTITUTE(Painel!$C$10,"~","~~"),"*","~*"),"?","~?"),A305&amp;" "&amp;H305&amp;" "&amp;I305))))),1,0)</f>
        <v>0</v>
      </c>
      <c r="Y305" s="14">
        <f t="shared" si="38"/>
        <v>0</v>
      </c>
      <c r="Z305" s="15" t="str">
        <f>IF(V305=0,"",IF(COUNTIFS(Andamentos!$K$10:$K$2009,"="&amp;SUBSTITUTE(SUBSTITUTE(SUBSTITUTE("P:"&amp;A305,"~","~~"),"*","~*"),"?","~?"),Andamentos!$G$10:$G$2009,1)=0,"",_xlfn.AGGREGATE(14,6,Andamentos!$D$10:$D$2009/((Andamentos!$K$10:$K$2009=AS305)*(Andamentos!$G$10:$G$2009=1)),1)))</f>
        <v/>
      </c>
      <c r="AA305" s="14">
        <f>IF(Z305="",0,COUNTIFS(Andamentos!$K$10:$K$2009,"="&amp;SUBSTITUTE(SUBSTITUTE(SUBSTITUTE("P:"&amp;A305,"~","~~"),"*","~*"),"?","~?"),Andamentos!$D$10:$D$2009,Z305,Andamentos!$G$10:$G$2009,1))</f>
        <v>0</v>
      </c>
      <c r="AB305" s="14">
        <f>IF(AA305=1,SUMIFS(Andamentos!$L$10:$L$2009,Andamentos!$K$10:$K$2009,"="&amp;SUBSTITUTE(SUBSTITUTE(SUBSTITUTE(AS305,"~","~~"),"*","~*"),"?","~?"),Andamentos!$D$10:$D$2009,Z305,Andamentos!$G$10:$G$2009,1)-9,0)</f>
        <v>0</v>
      </c>
      <c r="AC305" s="14" t="str">
        <f>IF(V305=0,"",IF(AA305&gt;1,"Conferir recebimentos empatados",IF(AB305=0,"Sem atualização",INDEX(Andamentos!$C$10:$C$2009,AB305))))</f>
        <v/>
      </c>
      <c r="AD305" s="14">
        <f>IF(W305=0,0,IF(MAX(Z305,BD305)=0,1,IF(Configurar!$J$12-INT(MAX(Z305,BD305))&gt;Configurar!$J$11,1,0)))</f>
        <v>0</v>
      </c>
      <c r="AE305" s="16"/>
      <c r="AF305" s="14"/>
      <c r="AG305" s="14"/>
      <c r="AH305" s="14">
        <f>IF(AND(V305=1,COUNTIFS(Valores!$S$10:$S$509,"="&amp;SUBSTITUTE(SUBSTITUTE(SUBSTITUTE("P:"&amp;A305,"~","~~"),"*","~*"),"?","~?"))=1),(IF(ISNA(MATCH(SUBSTITUTE(SUBSTITUTE(SUBSTITUTE("P:"&amp;A305,"~","~~"),"*","~*"),"?","~?"),Valores!$S$10:$S$509,0)),9,INDEX(Valores!$R$10:$R$509,MATCH(SUBSTITUTE(SUBSTITUTE(SUBSTITUTE("P:"&amp;A305,"~","~~"),"*","~*"),"?","~?"),Valores!$S$10:$S$509,0)))-9),0)</f>
        <v>0</v>
      </c>
      <c r="AI305" s="40" t="str">
        <f t="shared" si="39"/>
        <v/>
      </c>
      <c r="AJ305" s="14" t="str">
        <f>IF(AND(X305=1,Y305=1),COUNTIFS($X$10:X305,1,$Y$10:Y305,1),"")</f>
        <v/>
      </c>
      <c r="AK305" s="14" t="str">
        <f>IF(X305=1,COUNTIFS($X$10:X305,1),"")</f>
        <v/>
      </c>
      <c r="AL305" s="14">
        <f>IF(AND(V305=1,AND(OR(Painel!$L$6="Todas",E305=Painel!$L$6),OR(Painel!$C$8="Todos",F305=Painel!$C$8),OR(Painel!$L$8="Todos",G305=Painel!$L$8),OR(Painel!$C$10="",ISNUMBER(SEARCH(SUBSTITUTE(SUBSTITUTE(SUBSTITUTE(Painel!$C$10,"~","~~"),"*","~*"),"?","~?"),A305&amp;" "&amp;H305&amp;" "&amp;I305))))),1,0)</f>
        <v>0</v>
      </c>
      <c r="AM305" s="14">
        <f t="shared" si="40"/>
        <v>0</v>
      </c>
      <c r="AN305" s="14"/>
      <c r="AO305" s="14"/>
      <c r="AP305" s="16" t="str">
        <f>IF(AB305=0,"",IF(INDEX(Andamentos!$B$10:$B$2009,AB305)="","",INDEX(Andamentos!$B$10:$B$2009,AB305)))</f>
        <v/>
      </c>
      <c r="AQ305" s="17" t="str">
        <f>IF(AH305=0,"",IF(INDEX(Valores!$B$10:$B$509,AH305)="","",IF(ISNUMBER(INDEX(Valores!$B$10:$B$509,AH305)),INDEX(Valores!$B$10:$B$509,AH305),"")))</f>
        <v/>
      </c>
      <c r="AR305" s="14" t="str">
        <f t="shared" si="41"/>
        <v/>
      </c>
      <c r="AS305" s="14" t="str">
        <f t="shared" si="42"/>
        <v/>
      </c>
      <c r="AT305" s="27"/>
      <c r="AU305" s="31"/>
      <c r="AV305" s="31"/>
      <c r="AW305" s="27"/>
      <c r="AX305" s="27"/>
      <c r="AY305" s="27"/>
      <c r="AZ305" s="27"/>
      <c r="BA305" s="30" t="str">
        <f t="shared" si="43"/>
        <v/>
      </c>
      <c r="BB305" s="30" t="str">
        <f t="shared" si="44"/>
        <v/>
      </c>
      <c r="BC305" s="30">
        <f>IF(X305=0,0,IF(COUNTIFS($X$10:X305,1,$BA$10:BA305,BA305)=1,1,0))</f>
        <v>0</v>
      </c>
      <c r="BD305" s="29"/>
    </row>
    <row r="306" spans="1:56" ht="42" customHeight="1">
      <c r="A306" s="41"/>
      <c r="B306" s="44"/>
      <c r="C306" s="44"/>
      <c r="D306" s="44"/>
      <c r="E306" s="44"/>
      <c r="F306" s="44"/>
      <c r="G306" s="44"/>
      <c r="H306" s="44"/>
      <c r="I306" s="44"/>
      <c r="J306" s="44"/>
      <c r="K306" s="44"/>
      <c r="L306" s="49"/>
      <c r="M306" s="48"/>
      <c r="N306" s="48"/>
      <c r="O306" s="48"/>
      <c r="P306" s="48"/>
      <c r="Q306" s="48"/>
      <c r="R306" s="48"/>
      <c r="S306" s="49"/>
      <c r="T306" s="48"/>
      <c r="U306" s="48"/>
      <c r="V306" s="14">
        <f t="shared" si="36"/>
        <v>0</v>
      </c>
      <c r="W306" s="14">
        <f t="shared" si="37"/>
        <v>0</v>
      </c>
      <c r="X306" s="14">
        <f>IF(AND(V306=1,OR(Painel!$C$6="Todos",D306=Painel!$C$6),AND(OR(Painel!$L$6="Todas",E306=Painel!$L$6),OR(Painel!$C$8="Todos",F306=Painel!$C$8),OR(Painel!$L$8="Todos",G306=Painel!$L$8),OR(Painel!$C$10="",ISNUMBER(SEARCH(SUBSTITUTE(SUBSTITUTE(SUBSTITUTE(Painel!$C$10,"~","~~"),"*","~*"),"?","~?"),A306&amp;" "&amp;H306&amp;" "&amp;I306))))),1,0)</f>
        <v>0</v>
      </c>
      <c r="Y306" s="14">
        <f t="shared" si="38"/>
        <v>0</v>
      </c>
      <c r="Z306" s="15" t="str">
        <f>IF(V306=0,"",IF(COUNTIFS(Andamentos!$K$10:$K$2009,"="&amp;SUBSTITUTE(SUBSTITUTE(SUBSTITUTE("P:"&amp;A306,"~","~~"),"*","~*"),"?","~?"),Andamentos!$G$10:$G$2009,1)=0,"",_xlfn.AGGREGATE(14,6,Andamentos!$D$10:$D$2009/((Andamentos!$K$10:$K$2009=AS306)*(Andamentos!$G$10:$G$2009=1)),1)))</f>
        <v/>
      </c>
      <c r="AA306" s="14">
        <f>IF(Z306="",0,COUNTIFS(Andamentos!$K$10:$K$2009,"="&amp;SUBSTITUTE(SUBSTITUTE(SUBSTITUTE("P:"&amp;A306,"~","~~"),"*","~*"),"?","~?"),Andamentos!$D$10:$D$2009,Z306,Andamentos!$G$10:$G$2009,1))</f>
        <v>0</v>
      </c>
      <c r="AB306" s="14">
        <f>IF(AA306=1,SUMIFS(Andamentos!$L$10:$L$2009,Andamentos!$K$10:$K$2009,"="&amp;SUBSTITUTE(SUBSTITUTE(SUBSTITUTE(AS306,"~","~~"),"*","~*"),"?","~?"),Andamentos!$D$10:$D$2009,Z306,Andamentos!$G$10:$G$2009,1)-9,0)</f>
        <v>0</v>
      </c>
      <c r="AC306" s="14" t="str">
        <f>IF(V306=0,"",IF(AA306&gt;1,"Conferir recebimentos empatados",IF(AB306=0,"Sem atualização",INDEX(Andamentos!$C$10:$C$2009,AB306))))</f>
        <v/>
      </c>
      <c r="AD306" s="14">
        <f>IF(W306=0,0,IF(MAX(Z306,BD306)=0,1,IF(Configurar!$J$12-INT(MAX(Z306,BD306))&gt;Configurar!$J$11,1,0)))</f>
        <v>0</v>
      </c>
      <c r="AE306" s="16"/>
      <c r="AF306" s="14"/>
      <c r="AG306" s="14"/>
      <c r="AH306" s="14">
        <f>IF(AND(V306=1,COUNTIFS(Valores!$S$10:$S$509,"="&amp;SUBSTITUTE(SUBSTITUTE(SUBSTITUTE("P:"&amp;A306,"~","~~"),"*","~*"),"?","~?"))=1),(IF(ISNA(MATCH(SUBSTITUTE(SUBSTITUTE(SUBSTITUTE("P:"&amp;A306,"~","~~"),"*","~*"),"?","~?"),Valores!$S$10:$S$509,0)),9,INDEX(Valores!$R$10:$R$509,MATCH(SUBSTITUTE(SUBSTITUTE(SUBSTITUTE("P:"&amp;A306,"~","~~"),"*","~*"),"?","~?"),Valores!$S$10:$S$509,0)))-9),0)</f>
        <v>0</v>
      </c>
      <c r="AI306" s="40" t="str">
        <f t="shared" si="39"/>
        <v/>
      </c>
      <c r="AJ306" s="14" t="str">
        <f>IF(AND(X306=1,Y306=1),COUNTIFS($X$10:X306,1,$Y$10:Y306,1),"")</f>
        <v/>
      </c>
      <c r="AK306" s="14" t="str">
        <f>IF(X306=1,COUNTIFS($X$10:X306,1),"")</f>
        <v/>
      </c>
      <c r="AL306" s="14">
        <f>IF(AND(V306=1,AND(OR(Painel!$L$6="Todas",E306=Painel!$L$6),OR(Painel!$C$8="Todos",F306=Painel!$C$8),OR(Painel!$L$8="Todos",G306=Painel!$L$8),OR(Painel!$C$10="",ISNUMBER(SEARCH(SUBSTITUTE(SUBSTITUTE(SUBSTITUTE(Painel!$C$10,"~","~~"),"*","~*"),"?","~?"),A306&amp;" "&amp;H306&amp;" "&amp;I306))))),1,0)</f>
        <v>0</v>
      </c>
      <c r="AM306" s="14">
        <f t="shared" si="40"/>
        <v>0</v>
      </c>
      <c r="AN306" s="14"/>
      <c r="AO306" s="14"/>
      <c r="AP306" s="16" t="str">
        <f>IF(AB306=0,"",IF(INDEX(Andamentos!$B$10:$B$2009,AB306)="","",INDEX(Andamentos!$B$10:$B$2009,AB306)))</f>
        <v/>
      </c>
      <c r="AQ306" s="17" t="str">
        <f>IF(AH306=0,"",IF(INDEX(Valores!$B$10:$B$509,AH306)="","",IF(ISNUMBER(INDEX(Valores!$B$10:$B$509,AH306)),INDEX(Valores!$B$10:$B$509,AH306),"")))</f>
        <v/>
      </c>
      <c r="AR306" s="14" t="str">
        <f t="shared" si="41"/>
        <v/>
      </c>
      <c r="AS306" s="14" t="str">
        <f t="shared" si="42"/>
        <v/>
      </c>
      <c r="AT306" s="27"/>
      <c r="AU306" s="31"/>
      <c r="AV306" s="31"/>
      <c r="AW306" s="27"/>
      <c r="AX306" s="27"/>
      <c r="AY306" s="27"/>
      <c r="AZ306" s="27"/>
      <c r="BA306" s="30" t="str">
        <f t="shared" si="43"/>
        <v/>
      </c>
      <c r="BB306" s="30" t="str">
        <f t="shared" si="44"/>
        <v/>
      </c>
      <c r="BC306" s="30">
        <f>IF(X306=0,0,IF(COUNTIFS($X$10:X306,1,$BA$10:BA306,BA306)=1,1,0))</f>
        <v>0</v>
      </c>
      <c r="BD306" s="29"/>
    </row>
    <row r="307" spans="1:56" ht="42" customHeight="1">
      <c r="A307" s="41"/>
      <c r="B307" s="44"/>
      <c r="C307" s="44"/>
      <c r="D307" s="44"/>
      <c r="E307" s="44"/>
      <c r="F307" s="44"/>
      <c r="G307" s="44"/>
      <c r="H307" s="44"/>
      <c r="I307" s="44"/>
      <c r="J307" s="44"/>
      <c r="K307" s="44"/>
      <c r="L307" s="49"/>
      <c r="M307" s="48"/>
      <c r="N307" s="48"/>
      <c r="O307" s="48"/>
      <c r="P307" s="48"/>
      <c r="Q307" s="48"/>
      <c r="R307" s="48"/>
      <c r="S307" s="49"/>
      <c r="T307" s="48"/>
      <c r="U307" s="48"/>
      <c r="V307" s="14">
        <f t="shared" si="36"/>
        <v>0</v>
      </c>
      <c r="W307" s="14">
        <f t="shared" si="37"/>
        <v>0</v>
      </c>
      <c r="X307" s="14">
        <f>IF(AND(V307=1,OR(Painel!$C$6="Todos",D307=Painel!$C$6),AND(OR(Painel!$L$6="Todas",E307=Painel!$L$6),OR(Painel!$C$8="Todos",F307=Painel!$C$8),OR(Painel!$L$8="Todos",G307=Painel!$L$8),OR(Painel!$C$10="",ISNUMBER(SEARCH(SUBSTITUTE(SUBSTITUTE(SUBSTITUTE(Painel!$C$10,"~","~~"),"*","~*"),"?","~?"),A307&amp;" "&amp;H307&amp;" "&amp;I307))))),1,0)</f>
        <v>0</v>
      </c>
      <c r="Y307" s="14">
        <f t="shared" si="38"/>
        <v>0</v>
      </c>
      <c r="Z307" s="15" t="str">
        <f>IF(V307=0,"",IF(COUNTIFS(Andamentos!$K$10:$K$2009,"="&amp;SUBSTITUTE(SUBSTITUTE(SUBSTITUTE("P:"&amp;A307,"~","~~"),"*","~*"),"?","~?"),Andamentos!$G$10:$G$2009,1)=0,"",_xlfn.AGGREGATE(14,6,Andamentos!$D$10:$D$2009/((Andamentos!$K$10:$K$2009=AS307)*(Andamentos!$G$10:$G$2009=1)),1)))</f>
        <v/>
      </c>
      <c r="AA307" s="14">
        <f>IF(Z307="",0,COUNTIFS(Andamentos!$K$10:$K$2009,"="&amp;SUBSTITUTE(SUBSTITUTE(SUBSTITUTE("P:"&amp;A307,"~","~~"),"*","~*"),"?","~?"),Andamentos!$D$10:$D$2009,Z307,Andamentos!$G$10:$G$2009,1))</f>
        <v>0</v>
      </c>
      <c r="AB307" s="14">
        <f>IF(AA307=1,SUMIFS(Andamentos!$L$10:$L$2009,Andamentos!$K$10:$K$2009,"="&amp;SUBSTITUTE(SUBSTITUTE(SUBSTITUTE(AS307,"~","~~"),"*","~*"),"?","~?"),Andamentos!$D$10:$D$2009,Z307,Andamentos!$G$10:$G$2009,1)-9,0)</f>
        <v>0</v>
      </c>
      <c r="AC307" s="14" t="str">
        <f>IF(V307=0,"",IF(AA307&gt;1,"Conferir recebimentos empatados",IF(AB307=0,"Sem atualização",INDEX(Andamentos!$C$10:$C$2009,AB307))))</f>
        <v/>
      </c>
      <c r="AD307" s="14">
        <f>IF(W307=0,0,IF(MAX(Z307,BD307)=0,1,IF(Configurar!$J$12-INT(MAX(Z307,BD307))&gt;Configurar!$J$11,1,0)))</f>
        <v>0</v>
      </c>
      <c r="AE307" s="16"/>
      <c r="AF307" s="14"/>
      <c r="AG307" s="14"/>
      <c r="AH307" s="14">
        <f>IF(AND(V307=1,COUNTIFS(Valores!$S$10:$S$509,"="&amp;SUBSTITUTE(SUBSTITUTE(SUBSTITUTE("P:"&amp;A307,"~","~~"),"*","~*"),"?","~?"))=1),(IF(ISNA(MATCH(SUBSTITUTE(SUBSTITUTE(SUBSTITUTE("P:"&amp;A307,"~","~~"),"*","~*"),"?","~?"),Valores!$S$10:$S$509,0)),9,INDEX(Valores!$R$10:$R$509,MATCH(SUBSTITUTE(SUBSTITUTE(SUBSTITUTE("P:"&amp;A307,"~","~~"),"*","~*"),"?","~?"),Valores!$S$10:$S$509,0)))-9),0)</f>
        <v>0</v>
      </c>
      <c r="AI307" s="40" t="str">
        <f t="shared" si="39"/>
        <v/>
      </c>
      <c r="AJ307" s="14" t="str">
        <f>IF(AND(X307=1,Y307=1),COUNTIFS($X$10:X307,1,$Y$10:Y307,1),"")</f>
        <v/>
      </c>
      <c r="AK307" s="14" t="str">
        <f>IF(X307=1,COUNTIFS($X$10:X307,1),"")</f>
        <v/>
      </c>
      <c r="AL307" s="14">
        <f>IF(AND(V307=1,AND(OR(Painel!$L$6="Todas",E307=Painel!$L$6),OR(Painel!$C$8="Todos",F307=Painel!$C$8),OR(Painel!$L$8="Todos",G307=Painel!$L$8),OR(Painel!$C$10="",ISNUMBER(SEARCH(SUBSTITUTE(SUBSTITUTE(SUBSTITUTE(Painel!$C$10,"~","~~"),"*","~*"),"?","~?"),A307&amp;" "&amp;H307&amp;" "&amp;I307))))),1,0)</f>
        <v>0</v>
      </c>
      <c r="AM307" s="14">
        <f t="shared" si="40"/>
        <v>0</v>
      </c>
      <c r="AN307" s="14"/>
      <c r="AO307" s="14"/>
      <c r="AP307" s="16" t="str">
        <f>IF(AB307=0,"",IF(INDEX(Andamentos!$B$10:$B$2009,AB307)="","",INDEX(Andamentos!$B$10:$B$2009,AB307)))</f>
        <v/>
      </c>
      <c r="AQ307" s="17" t="str">
        <f>IF(AH307=0,"",IF(INDEX(Valores!$B$10:$B$509,AH307)="","",IF(ISNUMBER(INDEX(Valores!$B$10:$B$509,AH307)),INDEX(Valores!$B$10:$B$509,AH307),"")))</f>
        <v/>
      </c>
      <c r="AR307" s="14" t="str">
        <f t="shared" si="41"/>
        <v/>
      </c>
      <c r="AS307" s="14" t="str">
        <f t="shared" si="42"/>
        <v/>
      </c>
      <c r="AT307" s="27"/>
      <c r="AU307" s="31"/>
      <c r="AV307" s="31"/>
      <c r="AW307" s="27"/>
      <c r="AX307" s="27"/>
      <c r="AY307" s="27"/>
      <c r="AZ307" s="27"/>
      <c r="BA307" s="30" t="str">
        <f t="shared" si="43"/>
        <v/>
      </c>
      <c r="BB307" s="30" t="str">
        <f t="shared" si="44"/>
        <v/>
      </c>
      <c r="BC307" s="30">
        <f>IF(X307=0,0,IF(COUNTIFS($X$10:X307,1,$BA$10:BA307,BA307)=1,1,0))</f>
        <v>0</v>
      </c>
      <c r="BD307" s="29"/>
    </row>
    <row r="308" spans="1:56" ht="42" customHeight="1">
      <c r="A308" s="41"/>
      <c r="B308" s="44"/>
      <c r="C308" s="44"/>
      <c r="D308" s="44"/>
      <c r="E308" s="44"/>
      <c r="F308" s="44"/>
      <c r="G308" s="44"/>
      <c r="H308" s="44"/>
      <c r="I308" s="44"/>
      <c r="J308" s="44"/>
      <c r="K308" s="44"/>
      <c r="L308" s="49"/>
      <c r="M308" s="48"/>
      <c r="N308" s="48"/>
      <c r="O308" s="48"/>
      <c r="P308" s="48"/>
      <c r="Q308" s="48"/>
      <c r="R308" s="48"/>
      <c r="S308" s="49"/>
      <c r="T308" s="48"/>
      <c r="U308" s="48"/>
      <c r="V308" s="14">
        <f t="shared" si="36"/>
        <v>0</v>
      </c>
      <c r="W308" s="14">
        <f t="shared" si="37"/>
        <v>0</v>
      </c>
      <c r="X308" s="14">
        <f>IF(AND(V308=1,OR(Painel!$C$6="Todos",D308=Painel!$C$6),AND(OR(Painel!$L$6="Todas",E308=Painel!$L$6),OR(Painel!$C$8="Todos",F308=Painel!$C$8),OR(Painel!$L$8="Todos",G308=Painel!$L$8),OR(Painel!$C$10="",ISNUMBER(SEARCH(SUBSTITUTE(SUBSTITUTE(SUBSTITUTE(Painel!$C$10,"~","~~"),"*","~*"),"?","~?"),A308&amp;" "&amp;H308&amp;" "&amp;I308))))),1,0)</f>
        <v>0</v>
      </c>
      <c r="Y308" s="14">
        <f t="shared" si="38"/>
        <v>0</v>
      </c>
      <c r="Z308" s="15" t="str">
        <f>IF(V308=0,"",IF(COUNTIFS(Andamentos!$K$10:$K$2009,"="&amp;SUBSTITUTE(SUBSTITUTE(SUBSTITUTE("P:"&amp;A308,"~","~~"),"*","~*"),"?","~?"),Andamentos!$G$10:$G$2009,1)=0,"",_xlfn.AGGREGATE(14,6,Andamentos!$D$10:$D$2009/((Andamentos!$K$10:$K$2009=AS308)*(Andamentos!$G$10:$G$2009=1)),1)))</f>
        <v/>
      </c>
      <c r="AA308" s="14">
        <f>IF(Z308="",0,COUNTIFS(Andamentos!$K$10:$K$2009,"="&amp;SUBSTITUTE(SUBSTITUTE(SUBSTITUTE("P:"&amp;A308,"~","~~"),"*","~*"),"?","~?"),Andamentos!$D$10:$D$2009,Z308,Andamentos!$G$10:$G$2009,1))</f>
        <v>0</v>
      </c>
      <c r="AB308" s="14">
        <f>IF(AA308=1,SUMIFS(Andamentos!$L$10:$L$2009,Andamentos!$K$10:$K$2009,"="&amp;SUBSTITUTE(SUBSTITUTE(SUBSTITUTE(AS308,"~","~~"),"*","~*"),"?","~?"),Andamentos!$D$10:$D$2009,Z308,Andamentos!$G$10:$G$2009,1)-9,0)</f>
        <v>0</v>
      </c>
      <c r="AC308" s="14" t="str">
        <f>IF(V308=0,"",IF(AA308&gt;1,"Conferir recebimentos empatados",IF(AB308=0,"Sem atualização",INDEX(Andamentos!$C$10:$C$2009,AB308))))</f>
        <v/>
      </c>
      <c r="AD308" s="14">
        <f>IF(W308=0,0,IF(MAX(Z308,BD308)=0,1,IF(Configurar!$J$12-INT(MAX(Z308,BD308))&gt;Configurar!$J$11,1,0)))</f>
        <v>0</v>
      </c>
      <c r="AE308" s="16"/>
      <c r="AF308" s="14"/>
      <c r="AG308" s="14"/>
      <c r="AH308" s="14">
        <f>IF(AND(V308=1,COUNTIFS(Valores!$S$10:$S$509,"="&amp;SUBSTITUTE(SUBSTITUTE(SUBSTITUTE("P:"&amp;A308,"~","~~"),"*","~*"),"?","~?"))=1),(IF(ISNA(MATCH(SUBSTITUTE(SUBSTITUTE(SUBSTITUTE("P:"&amp;A308,"~","~~"),"*","~*"),"?","~?"),Valores!$S$10:$S$509,0)),9,INDEX(Valores!$R$10:$R$509,MATCH(SUBSTITUTE(SUBSTITUTE(SUBSTITUTE("P:"&amp;A308,"~","~~"),"*","~*"),"?","~?"),Valores!$S$10:$S$509,0)))-9),0)</f>
        <v>0</v>
      </c>
      <c r="AI308" s="40" t="str">
        <f t="shared" si="39"/>
        <v/>
      </c>
      <c r="AJ308" s="14" t="str">
        <f>IF(AND(X308=1,Y308=1),COUNTIFS($X$10:X308,1,$Y$10:Y308,1),"")</f>
        <v/>
      </c>
      <c r="AK308" s="14" t="str">
        <f>IF(X308=1,COUNTIFS($X$10:X308,1),"")</f>
        <v/>
      </c>
      <c r="AL308" s="14">
        <f>IF(AND(V308=1,AND(OR(Painel!$L$6="Todas",E308=Painel!$L$6),OR(Painel!$C$8="Todos",F308=Painel!$C$8),OR(Painel!$L$8="Todos",G308=Painel!$L$8),OR(Painel!$C$10="",ISNUMBER(SEARCH(SUBSTITUTE(SUBSTITUTE(SUBSTITUTE(Painel!$C$10,"~","~~"),"*","~*"),"?","~?"),A308&amp;" "&amp;H308&amp;" "&amp;I308))))),1,0)</f>
        <v>0</v>
      </c>
      <c r="AM308" s="14">
        <f t="shared" si="40"/>
        <v>0</v>
      </c>
      <c r="AN308" s="14"/>
      <c r="AO308" s="14"/>
      <c r="AP308" s="16" t="str">
        <f>IF(AB308=0,"",IF(INDEX(Andamentos!$B$10:$B$2009,AB308)="","",INDEX(Andamentos!$B$10:$B$2009,AB308)))</f>
        <v/>
      </c>
      <c r="AQ308" s="17" t="str">
        <f>IF(AH308=0,"",IF(INDEX(Valores!$B$10:$B$509,AH308)="","",IF(ISNUMBER(INDEX(Valores!$B$10:$B$509,AH308)),INDEX(Valores!$B$10:$B$509,AH308),"")))</f>
        <v/>
      </c>
      <c r="AR308" s="14" t="str">
        <f t="shared" si="41"/>
        <v/>
      </c>
      <c r="AS308" s="14" t="str">
        <f t="shared" si="42"/>
        <v/>
      </c>
      <c r="AT308" s="27"/>
      <c r="AU308" s="31"/>
      <c r="AV308" s="31"/>
      <c r="AW308" s="27"/>
      <c r="AX308" s="27"/>
      <c r="AY308" s="27"/>
      <c r="AZ308" s="27"/>
      <c r="BA308" s="30" t="str">
        <f t="shared" si="43"/>
        <v/>
      </c>
      <c r="BB308" s="30" t="str">
        <f t="shared" si="44"/>
        <v/>
      </c>
      <c r="BC308" s="30">
        <f>IF(X308=0,0,IF(COUNTIFS($X$10:X308,1,$BA$10:BA308,BA308)=1,1,0))</f>
        <v>0</v>
      </c>
      <c r="BD308" s="29"/>
    </row>
    <row r="309" spans="1:56" ht="42" customHeight="1">
      <c r="A309" s="41"/>
      <c r="B309" s="44"/>
      <c r="C309" s="44"/>
      <c r="D309" s="44"/>
      <c r="E309" s="44"/>
      <c r="F309" s="44"/>
      <c r="G309" s="44"/>
      <c r="H309" s="44"/>
      <c r="I309" s="44"/>
      <c r="J309" s="44"/>
      <c r="K309" s="44"/>
      <c r="L309" s="49"/>
      <c r="M309" s="48"/>
      <c r="N309" s="48"/>
      <c r="O309" s="48"/>
      <c r="P309" s="48"/>
      <c r="Q309" s="48"/>
      <c r="R309" s="48"/>
      <c r="S309" s="49"/>
      <c r="T309" s="48"/>
      <c r="U309" s="48"/>
      <c r="V309" s="14">
        <f t="shared" si="36"/>
        <v>0</v>
      </c>
      <c r="W309" s="14">
        <f t="shared" si="37"/>
        <v>0</v>
      </c>
      <c r="X309" s="14">
        <f>IF(AND(V309=1,OR(Painel!$C$6="Todos",D309=Painel!$C$6),AND(OR(Painel!$L$6="Todas",E309=Painel!$L$6),OR(Painel!$C$8="Todos",F309=Painel!$C$8),OR(Painel!$L$8="Todos",G309=Painel!$L$8),OR(Painel!$C$10="",ISNUMBER(SEARCH(SUBSTITUTE(SUBSTITUTE(SUBSTITUTE(Painel!$C$10,"~","~~"),"*","~*"),"?","~?"),A309&amp;" "&amp;H309&amp;" "&amp;I309))))),1,0)</f>
        <v>0</v>
      </c>
      <c r="Y309" s="14">
        <f t="shared" si="38"/>
        <v>0</v>
      </c>
      <c r="Z309" s="15" t="str">
        <f>IF(V309=0,"",IF(COUNTIFS(Andamentos!$K$10:$K$2009,"="&amp;SUBSTITUTE(SUBSTITUTE(SUBSTITUTE("P:"&amp;A309,"~","~~"),"*","~*"),"?","~?"),Andamentos!$G$10:$G$2009,1)=0,"",_xlfn.AGGREGATE(14,6,Andamentos!$D$10:$D$2009/((Andamentos!$K$10:$K$2009=AS309)*(Andamentos!$G$10:$G$2009=1)),1)))</f>
        <v/>
      </c>
      <c r="AA309" s="14">
        <f>IF(Z309="",0,COUNTIFS(Andamentos!$K$10:$K$2009,"="&amp;SUBSTITUTE(SUBSTITUTE(SUBSTITUTE("P:"&amp;A309,"~","~~"),"*","~*"),"?","~?"),Andamentos!$D$10:$D$2009,Z309,Andamentos!$G$10:$G$2009,1))</f>
        <v>0</v>
      </c>
      <c r="AB309" s="14">
        <f>IF(AA309=1,SUMIFS(Andamentos!$L$10:$L$2009,Andamentos!$K$10:$K$2009,"="&amp;SUBSTITUTE(SUBSTITUTE(SUBSTITUTE(AS309,"~","~~"),"*","~*"),"?","~?"),Andamentos!$D$10:$D$2009,Z309,Andamentos!$G$10:$G$2009,1)-9,0)</f>
        <v>0</v>
      </c>
      <c r="AC309" s="14" t="str">
        <f>IF(V309=0,"",IF(AA309&gt;1,"Conferir recebimentos empatados",IF(AB309=0,"Sem atualização",INDEX(Andamentos!$C$10:$C$2009,AB309))))</f>
        <v/>
      </c>
      <c r="AD309" s="14">
        <f>IF(W309=0,0,IF(MAX(Z309,BD309)=0,1,IF(Configurar!$J$12-INT(MAX(Z309,BD309))&gt;Configurar!$J$11,1,0)))</f>
        <v>0</v>
      </c>
      <c r="AE309" s="16"/>
      <c r="AF309" s="14"/>
      <c r="AG309" s="14"/>
      <c r="AH309" s="14">
        <f>IF(AND(V309=1,COUNTIFS(Valores!$S$10:$S$509,"="&amp;SUBSTITUTE(SUBSTITUTE(SUBSTITUTE("P:"&amp;A309,"~","~~"),"*","~*"),"?","~?"))=1),(IF(ISNA(MATCH(SUBSTITUTE(SUBSTITUTE(SUBSTITUTE("P:"&amp;A309,"~","~~"),"*","~*"),"?","~?"),Valores!$S$10:$S$509,0)),9,INDEX(Valores!$R$10:$R$509,MATCH(SUBSTITUTE(SUBSTITUTE(SUBSTITUTE("P:"&amp;A309,"~","~~"),"*","~*"),"?","~?"),Valores!$S$10:$S$509,0)))-9),0)</f>
        <v>0</v>
      </c>
      <c r="AI309" s="40" t="str">
        <f t="shared" si="39"/>
        <v/>
      </c>
      <c r="AJ309" s="14" t="str">
        <f>IF(AND(X309=1,Y309=1),COUNTIFS($X$10:X309,1,$Y$10:Y309,1),"")</f>
        <v/>
      </c>
      <c r="AK309" s="14" t="str">
        <f>IF(X309=1,COUNTIFS($X$10:X309,1),"")</f>
        <v/>
      </c>
      <c r="AL309" s="14">
        <f>IF(AND(V309=1,AND(OR(Painel!$L$6="Todas",E309=Painel!$L$6),OR(Painel!$C$8="Todos",F309=Painel!$C$8),OR(Painel!$L$8="Todos",G309=Painel!$L$8),OR(Painel!$C$10="",ISNUMBER(SEARCH(SUBSTITUTE(SUBSTITUTE(SUBSTITUTE(Painel!$C$10,"~","~~"),"*","~*"),"?","~?"),A309&amp;" "&amp;H309&amp;" "&amp;I309))))),1,0)</f>
        <v>0</v>
      </c>
      <c r="AM309" s="14">
        <f t="shared" si="40"/>
        <v>0</v>
      </c>
      <c r="AN309" s="14"/>
      <c r="AO309" s="14"/>
      <c r="AP309" s="16" t="str">
        <f>IF(AB309=0,"",IF(INDEX(Andamentos!$B$10:$B$2009,AB309)="","",INDEX(Andamentos!$B$10:$B$2009,AB309)))</f>
        <v/>
      </c>
      <c r="AQ309" s="17" t="str">
        <f>IF(AH309=0,"",IF(INDEX(Valores!$B$10:$B$509,AH309)="","",IF(ISNUMBER(INDEX(Valores!$B$10:$B$509,AH309)),INDEX(Valores!$B$10:$B$509,AH309),"")))</f>
        <v/>
      </c>
      <c r="AR309" s="14" t="str">
        <f t="shared" si="41"/>
        <v/>
      </c>
      <c r="AS309" s="14" t="str">
        <f t="shared" si="42"/>
        <v/>
      </c>
      <c r="AT309" s="27"/>
      <c r="AU309" s="31"/>
      <c r="AV309" s="31"/>
      <c r="AW309" s="27"/>
      <c r="AX309" s="27"/>
      <c r="AY309" s="27"/>
      <c r="AZ309" s="27"/>
      <c r="BA309" s="30" t="str">
        <f t="shared" si="43"/>
        <v/>
      </c>
      <c r="BB309" s="30" t="str">
        <f t="shared" si="44"/>
        <v/>
      </c>
      <c r="BC309" s="30">
        <f>IF(X309=0,0,IF(COUNTIFS($X$10:X309,1,$BA$10:BA309,BA309)=1,1,0))</f>
        <v>0</v>
      </c>
      <c r="BD309" s="29"/>
    </row>
    <row r="310" spans="1:56" ht="42" customHeight="1">
      <c r="A310" s="41"/>
      <c r="B310" s="44"/>
      <c r="C310" s="44"/>
      <c r="D310" s="44"/>
      <c r="E310" s="44"/>
      <c r="F310" s="44"/>
      <c r="G310" s="44"/>
      <c r="H310" s="44"/>
      <c r="I310" s="44"/>
      <c r="J310" s="44"/>
      <c r="K310" s="44"/>
      <c r="L310" s="49"/>
      <c r="M310" s="48"/>
      <c r="N310" s="48"/>
      <c r="O310" s="48"/>
      <c r="P310" s="48"/>
      <c r="Q310" s="48"/>
      <c r="R310" s="48"/>
      <c r="S310" s="49"/>
      <c r="T310" s="48"/>
      <c r="U310" s="48"/>
      <c r="V310" s="14">
        <f t="shared" si="36"/>
        <v>0</v>
      </c>
      <c r="W310" s="14">
        <f t="shared" si="37"/>
        <v>0</v>
      </c>
      <c r="X310" s="14">
        <f>IF(AND(V310=1,OR(Painel!$C$6="Todos",D310=Painel!$C$6),AND(OR(Painel!$L$6="Todas",E310=Painel!$L$6),OR(Painel!$C$8="Todos",F310=Painel!$C$8),OR(Painel!$L$8="Todos",G310=Painel!$L$8),OR(Painel!$C$10="",ISNUMBER(SEARCH(SUBSTITUTE(SUBSTITUTE(SUBSTITUTE(Painel!$C$10,"~","~~"),"*","~*"),"?","~?"),A310&amp;" "&amp;H310&amp;" "&amp;I310))))),1,0)</f>
        <v>0</v>
      </c>
      <c r="Y310" s="14">
        <f t="shared" si="38"/>
        <v>0</v>
      </c>
      <c r="Z310" s="15" t="str">
        <f>IF(V310=0,"",IF(COUNTIFS(Andamentos!$K$10:$K$2009,"="&amp;SUBSTITUTE(SUBSTITUTE(SUBSTITUTE("P:"&amp;A310,"~","~~"),"*","~*"),"?","~?"),Andamentos!$G$10:$G$2009,1)=0,"",_xlfn.AGGREGATE(14,6,Andamentos!$D$10:$D$2009/((Andamentos!$K$10:$K$2009=AS310)*(Andamentos!$G$10:$G$2009=1)),1)))</f>
        <v/>
      </c>
      <c r="AA310" s="14">
        <f>IF(Z310="",0,COUNTIFS(Andamentos!$K$10:$K$2009,"="&amp;SUBSTITUTE(SUBSTITUTE(SUBSTITUTE("P:"&amp;A310,"~","~~"),"*","~*"),"?","~?"),Andamentos!$D$10:$D$2009,Z310,Andamentos!$G$10:$G$2009,1))</f>
        <v>0</v>
      </c>
      <c r="AB310" s="14">
        <f>IF(AA310=1,SUMIFS(Andamentos!$L$10:$L$2009,Andamentos!$K$10:$K$2009,"="&amp;SUBSTITUTE(SUBSTITUTE(SUBSTITUTE(AS310,"~","~~"),"*","~*"),"?","~?"),Andamentos!$D$10:$D$2009,Z310,Andamentos!$G$10:$G$2009,1)-9,0)</f>
        <v>0</v>
      </c>
      <c r="AC310" s="14" t="str">
        <f>IF(V310=0,"",IF(AA310&gt;1,"Conferir recebimentos empatados",IF(AB310=0,"Sem atualização",INDEX(Andamentos!$C$10:$C$2009,AB310))))</f>
        <v/>
      </c>
      <c r="AD310" s="14">
        <f>IF(W310=0,0,IF(MAX(Z310,BD310)=0,1,IF(Configurar!$J$12-INT(MAX(Z310,BD310))&gt;Configurar!$J$11,1,0)))</f>
        <v>0</v>
      </c>
      <c r="AE310" s="16"/>
      <c r="AF310" s="14"/>
      <c r="AG310" s="14"/>
      <c r="AH310" s="14">
        <f>IF(AND(V310=1,COUNTIFS(Valores!$S$10:$S$509,"="&amp;SUBSTITUTE(SUBSTITUTE(SUBSTITUTE("P:"&amp;A310,"~","~~"),"*","~*"),"?","~?"))=1),(IF(ISNA(MATCH(SUBSTITUTE(SUBSTITUTE(SUBSTITUTE("P:"&amp;A310,"~","~~"),"*","~*"),"?","~?"),Valores!$S$10:$S$509,0)),9,INDEX(Valores!$R$10:$R$509,MATCH(SUBSTITUTE(SUBSTITUTE(SUBSTITUTE("P:"&amp;A310,"~","~~"),"*","~*"),"?","~?"),Valores!$S$10:$S$509,0)))-9),0)</f>
        <v>0</v>
      </c>
      <c r="AI310" s="40" t="str">
        <f t="shared" si="39"/>
        <v/>
      </c>
      <c r="AJ310" s="14" t="str">
        <f>IF(AND(X310=1,Y310=1),COUNTIFS($X$10:X310,1,$Y$10:Y310,1),"")</f>
        <v/>
      </c>
      <c r="AK310" s="14" t="str">
        <f>IF(X310=1,COUNTIFS($X$10:X310,1),"")</f>
        <v/>
      </c>
      <c r="AL310" s="14">
        <f>IF(AND(V310=1,AND(OR(Painel!$L$6="Todas",E310=Painel!$L$6),OR(Painel!$C$8="Todos",F310=Painel!$C$8),OR(Painel!$L$8="Todos",G310=Painel!$L$8),OR(Painel!$C$10="",ISNUMBER(SEARCH(SUBSTITUTE(SUBSTITUTE(SUBSTITUTE(Painel!$C$10,"~","~~"),"*","~*"),"?","~?"),A310&amp;" "&amp;H310&amp;" "&amp;I310))))),1,0)</f>
        <v>0</v>
      </c>
      <c r="AM310" s="14">
        <f t="shared" si="40"/>
        <v>0</v>
      </c>
      <c r="AN310" s="14"/>
      <c r="AO310" s="14"/>
      <c r="AP310" s="16" t="str">
        <f>IF(AB310=0,"",IF(INDEX(Andamentos!$B$10:$B$2009,AB310)="","",INDEX(Andamentos!$B$10:$B$2009,AB310)))</f>
        <v/>
      </c>
      <c r="AQ310" s="17" t="str">
        <f>IF(AH310=0,"",IF(INDEX(Valores!$B$10:$B$509,AH310)="","",IF(ISNUMBER(INDEX(Valores!$B$10:$B$509,AH310)),INDEX(Valores!$B$10:$B$509,AH310),"")))</f>
        <v/>
      </c>
      <c r="AR310" s="14" t="str">
        <f t="shared" si="41"/>
        <v/>
      </c>
      <c r="AS310" s="14" t="str">
        <f t="shared" si="42"/>
        <v/>
      </c>
      <c r="AT310" s="27"/>
      <c r="AU310" s="31"/>
      <c r="AV310" s="31"/>
      <c r="AW310" s="27"/>
      <c r="AX310" s="27"/>
      <c r="AY310" s="27"/>
      <c r="AZ310" s="27"/>
      <c r="BA310" s="30" t="str">
        <f t="shared" si="43"/>
        <v/>
      </c>
      <c r="BB310" s="30" t="str">
        <f t="shared" si="44"/>
        <v/>
      </c>
      <c r="BC310" s="30">
        <f>IF(X310=0,0,IF(COUNTIFS($X$10:X310,1,$BA$10:BA310,BA310)=1,1,0))</f>
        <v>0</v>
      </c>
      <c r="BD310" s="29"/>
    </row>
    <row r="311" spans="1:56" ht="42" customHeight="1">
      <c r="A311" s="41"/>
      <c r="B311" s="44"/>
      <c r="C311" s="44"/>
      <c r="D311" s="44"/>
      <c r="E311" s="44"/>
      <c r="F311" s="44"/>
      <c r="G311" s="44"/>
      <c r="H311" s="44"/>
      <c r="I311" s="44"/>
      <c r="J311" s="44"/>
      <c r="K311" s="44"/>
      <c r="L311" s="49"/>
      <c r="M311" s="48"/>
      <c r="N311" s="48"/>
      <c r="O311" s="48"/>
      <c r="P311" s="48"/>
      <c r="Q311" s="48"/>
      <c r="R311" s="48"/>
      <c r="S311" s="49"/>
      <c r="T311" s="48"/>
      <c r="U311" s="48"/>
      <c r="V311" s="14">
        <f t="shared" si="36"/>
        <v>0</v>
      </c>
      <c r="W311" s="14">
        <f t="shared" si="37"/>
        <v>0</v>
      </c>
      <c r="X311" s="14">
        <f>IF(AND(V311=1,OR(Painel!$C$6="Todos",D311=Painel!$C$6),AND(OR(Painel!$L$6="Todas",E311=Painel!$L$6),OR(Painel!$C$8="Todos",F311=Painel!$C$8),OR(Painel!$L$8="Todos",G311=Painel!$L$8),OR(Painel!$C$10="",ISNUMBER(SEARCH(SUBSTITUTE(SUBSTITUTE(SUBSTITUTE(Painel!$C$10,"~","~~"),"*","~*"),"?","~?"),A311&amp;" "&amp;H311&amp;" "&amp;I311))))),1,0)</f>
        <v>0</v>
      </c>
      <c r="Y311" s="14">
        <f t="shared" si="38"/>
        <v>0</v>
      </c>
      <c r="Z311" s="15" t="str">
        <f>IF(V311=0,"",IF(COUNTIFS(Andamentos!$K$10:$K$2009,"="&amp;SUBSTITUTE(SUBSTITUTE(SUBSTITUTE("P:"&amp;A311,"~","~~"),"*","~*"),"?","~?"),Andamentos!$G$10:$G$2009,1)=0,"",_xlfn.AGGREGATE(14,6,Andamentos!$D$10:$D$2009/((Andamentos!$K$10:$K$2009=AS311)*(Andamentos!$G$10:$G$2009=1)),1)))</f>
        <v/>
      </c>
      <c r="AA311" s="14">
        <f>IF(Z311="",0,COUNTIFS(Andamentos!$K$10:$K$2009,"="&amp;SUBSTITUTE(SUBSTITUTE(SUBSTITUTE("P:"&amp;A311,"~","~~"),"*","~*"),"?","~?"),Andamentos!$D$10:$D$2009,Z311,Andamentos!$G$10:$G$2009,1))</f>
        <v>0</v>
      </c>
      <c r="AB311" s="14">
        <f>IF(AA311=1,SUMIFS(Andamentos!$L$10:$L$2009,Andamentos!$K$10:$K$2009,"="&amp;SUBSTITUTE(SUBSTITUTE(SUBSTITUTE(AS311,"~","~~"),"*","~*"),"?","~?"),Andamentos!$D$10:$D$2009,Z311,Andamentos!$G$10:$G$2009,1)-9,0)</f>
        <v>0</v>
      </c>
      <c r="AC311" s="14" t="str">
        <f>IF(V311=0,"",IF(AA311&gt;1,"Conferir recebimentos empatados",IF(AB311=0,"Sem atualização",INDEX(Andamentos!$C$10:$C$2009,AB311))))</f>
        <v/>
      </c>
      <c r="AD311" s="14">
        <f>IF(W311=0,0,IF(MAX(Z311,BD311)=0,1,IF(Configurar!$J$12-INT(MAX(Z311,BD311))&gt;Configurar!$J$11,1,0)))</f>
        <v>0</v>
      </c>
      <c r="AE311" s="16"/>
      <c r="AF311" s="14"/>
      <c r="AG311" s="14"/>
      <c r="AH311" s="14">
        <f>IF(AND(V311=1,COUNTIFS(Valores!$S$10:$S$509,"="&amp;SUBSTITUTE(SUBSTITUTE(SUBSTITUTE("P:"&amp;A311,"~","~~"),"*","~*"),"?","~?"))=1),(IF(ISNA(MATCH(SUBSTITUTE(SUBSTITUTE(SUBSTITUTE("P:"&amp;A311,"~","~~"),"*","~*"),"?","~?"),Valores!$S$10:$S$509,0)),9,INDEX(Valores!$R$10:$R$509,MATCH(SUBSTITUTE(SUBSTITUTE(SUBSTITUTE("P:"&amp;A311,"~","~~"),"*","~*"),"?","~?"),Valores!$S$10:$S$509,0)))-9),0)</f>
        <v>0</v>
      </c>
      <c r="AI311" s="40" t="str">
        <f t="shared" si="39"/>
        <v/>
      </c>
      <c r="AJ311" s="14" t="str">
        <f>IF(AND(X311=1,Y311=1),COUNTIFS($X$10:X311,1,$Y$10:Y311,1),"")</f>
        <v/>
      </c>
      <c r="AK311" s="14" t="str">
        <f>IF(X311=1,COUNTIFS($X$10:X311,1),"")</f>
        <v/>
      </c>
      <c r="AL311" s="14">
        <f>IF(AND(V311=1,AND(OR(Painel!$L$6="Todas",E311=Painel!$L$6),OR(Painel!$C$8="Todos",F311=Painel!$C$8),OR(Painel!$L$8="Todos",G311=Painel!$L$8),OR(Painel!$C$10="",ISNUMBER(SEARCH(SUBSTITUTE(SUBSTITUTE(SUBSTITUTE(Painel!$C$10,"~","~~"),"*","~*"),"?","~?"),A311&amp;" "&amp;H311&amp;" "&amp;I311))))),1,0)</f>
        <v>0</v>
      </c>
      <c r="AM311" s="14">
        <f t="shared" si="40"/>
        <v>0</v>
      </c>
      <c r="AN311" s="14"/>
      <c r="AO311" s="14"/>
      <c r="AP311" s="16" t="str">
        <f>IF(AB311=0,"",IF(INDEX(Andamentos!$B$10:$B$2009,AB311)="","",INDEX(Andamentos!$B$10:$B$2009,AB311)))</f>
        <v/>
      </c>
      <c r="AQ311" s="17" t="str">
        <f>IF(AH311=0,"",IF(INDEX(Valores!$B$10:$B$509,AH311)="","",IF(ISNUMBER(INDEX(Valores!$B$10:$B$509,AH311)),INDEX(Valores!$B$10:$B$509,AH311),"")))</f>
        <v/>
      </c>
      <c r="AR311" s="14" t="str">
        <f t="shared" si="41"/>
        <v/>
      </c>
      <c r="AS311" s="14" t="str">
        <f t="shared" si="42"/>
        <v/>
      </c>
      <c r="AT311" s="27"/>
      <c r="AU311" s="31"/>
      <c r="AV311" s="31"/>
      <c r="AW311" s="27"/>
      <c r="AX311" s="27"/>
      <c r="AY311" s="27"/>
      <c r="AZ311" s="27"/>
      <c r="BA311" s="30" t="str">
        <f t="shared" si="43"/>
        <v/>
      </c>
      <c r="BB311" s="30" t="str">
        <f t="shared" si="44"/>
        <v/>
      </c>
      <c r="BC311" s="30">
        <f>IF(X311=0,0,IF(COUNTIFS($X$10:X311,1,$BA$10:BA311,BA311)=1,1,0))</f>
        <v>0</v>
      </c>
      <c r="BD311" s="29"/>
    </row>
    <row r="312" spans="1:56" ht="42" customHeight="1">
      <c r="A312" s="41"/>
      <c r="B312" s="44"/>
      <c r="C312" s="44"/>
      <c r="D312" s="44"/>
      <c r="E312" s="44"/>
      <c r="F312" s="44"/>
      <c r="G312" s="44"/>
      <c r="H312" s="44"/>
      <c r="I312" s="44"/>
      <c r="J312" s="44"/>
      <c r="K312" s="44"/>
      <c r="L312" s="49"/>
      <c r="M312" s="48"/>
      <c r="N312" s="48"/>
      <c r="O312" s="48"/>
      <c r="P312" s="48"/>
      <c r="Q312" s="48"/>
      <c r="R312" s="48"/>
      <c r="S312" s="49"/>
      <c r="T312" s="48"/>
      <c r="U312" s="48"/>
      <c r="V312" s="14">
        <f t="shared" si="36"/>
        <v>0</v>
      </c>
      <c r="W312" s="14">
        <f t="shared" si="37"/>
        <v>0</v>
      </c>
      <c r="X312" s="14">
        <f>IF(AND(V312=1,OR(Painel!$C$6="Todos",D312=Painel!$C$6),AND(OR(Painel!$L$6="Todas",E312=Painel!$L$6),OR(Painel!$C$8="Todos",F312=Painel!$C$8),OR(Painel!$L$8="Todos",G312=Painel!$L$8),OR(Painel!$C$10="",ISNUMBER(SEARCH(SUBSTITUTE(SUBSTITUTE(SUBSTITUTE(Painel!$C$10,"~","~~"),"*","~*"),"?","~?"),A312&amp;" "&amp;H312&amp;" "&amp;I312))))),1,0)</f>
        <v>0</v>
      </c>
      <c r="Y312" s="14">
        <f t="shared" si="38"/>
        <v>0</v>
      </c>
      <c r="Z312" s="15" t="str">
        <f>IF(V312=0,"",IF(COUNTIFS(Andamentos!$K$10:$K$2009,"="&amp;SUBSTITUTE(SUBSTITUTE(SUBSTITUTE("P:"&amp;A312,"~","~~"),"*","~*"),"?","~?"),Andamentos!$G$10:$G$2009,1)=0,"",_xlfn.AGGREGATE(14,6,Andamentos!$D$10:$D$2009/((Andamentos!$K$10:$K$2009=AS312)*(Andamentos!$G$10:$G$2009=1)),1)))</f>
        <v/>
      </c>
      <c r="AA312" s="14">
        <f>IF(Z312="",0,COUNTIFS(Andamentos!$K$10:$K$2009,"="&amp;SUBSTITUTE(SUBSTITUTE(SUBSTITUTE("P:"&amp;A312,"~","~~"),"*","~*"),"?","~?"),Andamentos!$D$10:$D$2009,Z312,Andamentos!$G$10:$G$2009,1))</f>
        <v>0</v>
      </c>
      <c r="AB312" s="14">
        <f>IF(AA312=1,SUMIFS(Andamentos!$L$10:$L$2009,Andamentos!$K$10:$K$2009,"="&amp;SUBSTITUTE(SUBSTITUTE(SUBSTITUTE(AS312,"~","~~"),"*","~*"),"?","~?"),Andamentos!$D$10:$D$2009,Z312,Andamentos!$G$10:$G$2009,1)-9,0)</f>
        <v>0</v>
      </c>
      <c r="AC312" s="14" t="str">
        <f>IF(V312=0,"",IF(AA312&gt;1,"Conferir recebimentos empatados",IF(AB312=0,"Sem atualização",INDEX(Andamentos!$C$10:$C$2009,AB312))))</f>
        <v/>
      </c>
      <c r="AD312" s="14">
        <f>IF(W312=0,0,IF(MAX(Z312,BD312)=0,1,IF(Configurar!$J$12-INT(MAX(Z312,BD312))&gt;Configurar!$J$11,1,0)))</f>
        <v>0</v>
      </c>
      <c r="AE312" s="16"/>
      <c r="AF312" s="14"/>
      <c r="AG312" s="14"/>
      <c r="AH312" s="14">
        <f>IF(AND(V312=1,COUNTIFS(Valores!$S$10:$S$509,"="&amp;SUBSTITUTE(SUBSTITUTE(SUBSTITUTE("P:"&amp;A312,"~","~~"),"*","~*"),"?","~?"))=1),(IF(ISNA(MATCH(SUBSTITUTE(SUBSTITUTE(SUBSTITUTE("P:"&amp;A312,"~","~~"),"*","~*"),"?","~?"),Valores!$S$10:$S$509,0)),9,INDEX(Valores!$R$10:$R$509,MATCH(SUBSTITUTE(SUBSTITUTE(SUBSTITUTE("P:"&amp;A312,"~","~~"),"*","~*"),"?","~?"),Valores!$S$10:$S$509,0)))-9),0)</f>
        <v>0</v>
      </c>
      <c r="AI312" s="40" t="str">
        <f t="shared" si="39"/>
        <v/>
      </c>
      <c r="AJ312" s="14" t="str">
        <f>IF(AND(X312=1,Y312=1),COUNTIFS($X$10:X312,1,$Y$10:Y312,1),"")</f>
        <v/>
      </c>
      <c r="AK312" s="14" t="str">
        <f>IF(X312=1,COUNTIFS($X$10:X312,1),"")</f>
        <v/>
      </c>
      <c r="AL312" s="14">
        <f>IF(AND(V312=1,AND(OR(Painel!$L$6="Todas",E312=Painel!$L$6),OR(Painel!$C$8="Todos",F312=Painel!$C$8),OR(Painel!$L$8="Todos",G312=Painel!$L$8),OR(Painel!$C$10="",ISNUMBER(SEARCH(SUBSTITUTE(SUBSTITUTE(SUBSTITUTE(Painel!$C$10,"~","~~"),"*","~*"),"?","~?"),A312&amp;" "&amp;H312&amp;" "&amp;I312))))),1,0)</f>
        <v>0</v>
      </c>
      <c r="AM312" s="14">
        <f t="shared" si="40"/>
        <v>0</v>
      </c>
      <c r="AN312" s="14"/>
      <c r="AO312" s="14"/>
      <c r="AP312" s="16" t="str">
        <f>IF(AB312=0,"",IF(INDEX(Andamentos!$B$10:$B$2009,AB312)="","",INDEX(Andamentos!$B$10:$B$2009,AB312)))</f>
        <v/>
      </c>
      <c r="AQ312" s="17" t="str">
        <f>IF(AH312=0,"",IF(INDEX(Valores!$B$10:$B$509,AH312)="","",IF(ISNUMBER(INDEX(Valores!$B$10:$B$509,AH312)),INDEX(Valores!$B$10:$B$509,AH312),"")))</f>
        <v/>
      </c>
      <c r="AR312" s="14" t="str">
        <f t="shared" si="41"/>
        <v/>
      </c>
      <c r="AS312" s="14" t="str">
        <f t="shared" si="42"/>
        <v/>
      </c>
      <c r="AT312" s="27"/>
      <c r="AU312" s="31"/>
      <c r="AV312" s="31"/>
      <c r="AW312" s="27"/>
      <c r="AX312" s="27"/>
      <c r="AY312" s="27"/>
      <c r="AZ312" s="27"/>
      <c r="BA312" s="30" t="str">
        <f t="shared" si="43"/>
        <v/>
      </c>
      <c r="BB312" s="30" t="str">
        <f t="shared" si="44"/>
        <v/>
      </c>
      <c r="BC312" s="30">
        <f>IF(X312=0,0,IF(COUNTIFS($X$10:X312,1,$BA$10:BA312,BA312)=1,1,0))</f>
        <v>0</v>
      </c>
      <c r="BD312" s="29"/>
    </row>
    <row r="313" spans="1:56" ht="42" customHeight="1">
      <c r="A313" s="41"/>
      <c r="B313" s="44"/>
      <c r="C313" s="44"/>
      <c r="D313" s="44"/>
      <c r="E313" s="44"/>
      <c r="F313" s="44"/>
      <c r="G313" s="44"/>
      <c r="H313" s="44"/>
      <c r="I313" s="44"/>
      <c r="J313" s="44"/>
      <c r="K313" s="44"/>
      <c r="L313" s="49"/>
      <c r="M313" s="48"/>
      <c r="N313" s="48"/>
      <c r="O313" s="48"/>
      <c r="P313" s="48"/>
      <c r="Q313" s="48"/>
      <c r="R313" s="48"/>
      <c r="S313" s="49"/>
      <c r="T313" s="48"/>
      <c r="U313" s="48"/>
      <c r="V313" s="14">
        <f t="shared" si="36"/>
        <v>0</v>
      </c>
      <c r="W313" s="14">
        <f t="shared" si="37"/>
        <v>0</v>
      </c>
      <c r="X313" s="14">
        <f>IF(AND(V313=1,OR(Painel!$C$6="Todos",D313=Painel!$C$6),AND(OR(Painel!$L$6="Todas",E313=Painel!$L$6),OR(Painel!$C$8="Todos",F313=Painel!$C$8),OR(Painel!$L$8="Todos",G313=Painel!$L$8),OR(Painel!$C$10="",ISNUMBER(SEARCH(SUBSTITUTE(SUBSTITUTE(SUBSTITUTE(Painel!$C$10,"~","~~"),"*","~*"),"?","~?"),A313&amp;" "&amp;H313&amp;" "&amp;I313))))),1,0)</f>
        <v>0</v>
      </c>
      <c r="Y313" s="14">
        <f t="shared" si="38"/>
        <v>0</v>
      </c>
      <c r="Z313" s="15" t="str">
        <f>IF(V313=0,"",IF(COUNTIFS(Andamentos!$K$10:$K$2009,"="&amp;SUBSTITUTE(SUBSTITUTE(SUBSTITUTE("P:"&amp;A313,"~","~~"),"*","~*"),"?","~?"),Andamentos!$G$10:$G$2009,1)=0,"",_xlfn.AGGREGATE(14,6,Andamentos!$D$10:$D$2009/((Andamentos!$K$10:$K$2009=AS313)*(Andamentos!$G$10:$G$2009=1)),1)))</f>
        <v/>
      </c>
      <c r="AA313" s="14">
        <f>IF(Z313="",0,COUNTIFS(Andamentos!$K$10:$K$2009,"="&amp;SUBSTITUTE(SUBSTITUTE(SUBSTITUTE("P:"&amp;A313,"~","~~"),"*","~*"),"?","~?"),Andamentos!$D$10:$D$2009,Z313,Andamentos!$G$10:$G$2009,1))</f>
        <v>0</v>
      </c>
      <c r="AB313" s="14">
        <f>IF(AA313=1,SUMIFS(Andamentos!$L$10:$L$2009,Andamentos!$K$10:$K$2009,"="&amp;SUBSTITUTE(SUBSTITUTE(SUBSTITUTE(AS313,"~","~~"),"*","~*"),"?","~?"),Andamentos!$D$10:$D$2009,Z313,Andamentos!$G$10:$G$2009,1)-9,0)</f>
        <v>0</v>
      </c>
      <c r="AC313" s="14" t="str">
        <f>IF(V313=0,"",IF(AA313&gt;1,"Conferir recebimentos empatados",IF(AB313=0,"Sem atualização",INDEX(Andamentos!$C$10:$C$2009,AB313))))</f>
        <v/>
      </c>
      <c r="AD313" s="14">
        <f>IF(W313=0,0,IF(MAX(Z313,BD313)=0,1,IF(Configurar!$J$12-INT(MAX(Z313,BD313))&gt;Configurar!$J$11,1,0)))</f>
        <v>0</v>
      </c>
      <c r="AE313" s="16"/>
      <c r="AF313" s="14"/>
      <c r="AG313" s="14"/>
      <c r="AH313" s="14">
        <f>IF(AND(V313=1,COUNTIFS(Valores!$S$10:$S$509,"="&amp;SUBSTITUTE(SUBSTITUTE(SUBSTITUTE("P:"&amp;A313,"~","~~"),"*","~*"),"?","~?"))=1),(IF(ISNA(MATCH(SUBSTITUTE(SUBSTITUTE(SUBSTITUTE("P:"&amp;A313,"~","~~"),"*","~*"),"?","~?"),Valores!$S$10:$S$509,0)),9,INDEX(Valores!$R$10:$R$509,MATCH(SUBSTITUTE(SUBSTITUTE(SUBSTITUTE("P:"&amp;A313,"~","~~"),"*","~*"),"?","~?"),Valores!$S$10:$S$509,0)))-9),0)</f>
        <v>0</v>
      </c>
      <c r="AI313" s="40" t="str">
        <f t="shared" si="39"/>
        <v/>
      </c>
      <c r="AJ313" s="14" t="str">
        <f>IF(AND(X313=1,Y313=1),COUNTIFS($X$10:X313,1,$Y$10:Y313,1),"")</f>
        <v/>
      </c>
      <c r="AK313" s="14" t="str">
        <f>IF(X313=1,COUNTIFS($X$10:X313,1),"")</f>
        <v/>
      </c>
      <c r="AL313" s="14">
        <f>IF(AND(V313=1,AND(OR(Painel!$L$6="Todas",E313=Painel!$L$6),OR(Painel!$C$8="Todos",F313=Painel!$C$8),OR(Painel!$L$8="Todos",G313=Painel!$L$8),OR(Painel!$C$10="",ISNUMBER(SEARCH(SUBSTITUTE(SUBSTITUTE(SUBSTITUTE(Painel!$C$10,"~","~~"),"*","~*"),"?","~?"),A313&amp;" "&amp;H313&amp;" "&amp;I313))))),1,0)</f>
        <v>0</v>
      </c>
      <c r="AM313" s="14">
        <f t="shared" si="40"/>
        <v>0</v>
      </c>
      <c r="AN313" s="14"/>
      <c r="AO313" s="14"/>
      <c r="AP313" s="16" t="str">
        <f>IF(AB313=0,"",IF(INDEX(Andamentos!$B$10:$B$2009,AB313)="","",INDEX(Andamentos!$B$10:$B$2009,AB313)))</f>
        <v/>
      </c>
      <c r="AQ313" s="17" t="str">
        <f>IF(AH313=0,"",IF(INDEX(Valores!$B$10:$B$509,AH313)="","",IF(ISNUMBER(INDEX(Valores!$B$10:$B$509,AH313)),INDEX(Valores!$B$10:$B$509,AH313),"")))</f>
        <v/>
      </c>
      <c r="AR313" s="14" t="str">
        <f t="shared" si="41"/>
        <v/>
      </c>
      <c r="AS313" s="14" t="str">
        <f t="shared" si="42"/>
        <v/>
      </c>
      <c r="AT313" s="27"/>
      <c r="AU313" s="31"/>
      <c r="AV313" s="31"/>
      <c r="AW313" s="27"/>
      <c r="AX313" s="27"/>
      <c r="AY313" s="27"/>
      <c r="AZ313" s="27"/>
      <c r="BA313" s="30" t="str">
        <f t="shared" si="43"/>
        <v/>
      </c>
      <c r="BB313" s="30" t="str">
        <f t="shared" si="44"/>
        <v/>
      </c>
      <c r="BC313" s="30">
        <f>IF(X313=0,0,IF(COUNTIFS($X$10:X313,1,$BA$10:BA313,BA313)=1,1,0))</f>
        <v>0</v>
      </c>
      <c r="BD313" s="29"/>
    </row>
    <row r="314" spans="1:56" ht="42" customHeight="1">
      <c r="A314" s="41"/>
      <c r="B314" s="44"/>
      <c r="C314" s="44"/>
      <c r="D314" s="44"/>
      <c r="E314" s="44"/>
      <c r="F314" s="44"/>
      <c r="G314" s="44"/>
      <c r="H314" s="44"/>
      <c r="I314" s="44"/>
      <c r="J314" s="44"/>
      <c r="K314" s="44"/>
      <c r="L314" s="49"/>
      <c r="M314" s="48"/>
      <c r="N314" s="48"/>
      <c r="O314" s="48"/>
      <c r="P314" s="48"/>
      <c r="Q314" s="48"/>
      <c r="R314" s="48"/>
      <c r="S314" s="49"/>
      <c r="T314" s="48"/>
      <c r="U314" s="48"/>
      <c r="V314" s="14">
        <f t="shared" si="36"/>
        <v>0</v>
      </c>
      <c r="W314" s="14">
        <f t="shared" si="37"/>
        <v>0</v>
      </c>
      <c r="X314" s="14">
        <f>IF(AND(V314=1,OR(Painel!$C$6="Todos",D314=Painel!$C$6),AND(OR(Painel!$L$6="Todas",E314=Painel!$L$6),OR(Painel!$C$8="Todos",F314=Painel!$C$8),OR(Painel!$L$8="Todos",G314=Painel!$L$8),OR(Painel!$C$10="",ISNUMBER(SEARCH(SUBSTITUTE(SUBSTITUTE(SUBSTITUTE(Painel!$C$10,"~","~~"),"*","~*"),"?","~?"),A314&amp;" "&amp;H314&amp;" "&amp;I314))))),1,0)</f>
        <v>0</v>
      </c>
      <c r="Y314" s="14">
        <f t="shared" si="38"/>
        <v>0</v>
      </c>
      <c r="Z314" s="15" t="str">
        <f>IF(V314=0,"",IF(COUNTIFS(Andamentos!$K$10:$K$2009,"="&amp;SUBSTITUTE(SUBSTITUTE(SUBSTITUTE("P:"&amp;A314,"~","~~"),"*","~*"),"?","~?"),Andamentos!$G$10:$G$2009,1)=0,"",_xlfn.AGGREGATE(14,6,Andamentos!$D$10:$D$2009/((Andamentos!$K$10:$K$2009=AS314)*(Andamentos!$G$10:$G$2009=1)),1)))</f>
        <v/>
      </c>
      <c r="AA314" s="14">
        <f>IF(Z314="",0,COUNTIFS(Andamentos!$K$10:$K$2009,"="&amp;SUBSTITUTE(SUBSTITUTE(SUBSTITUTE("P:"&amp;A314,"~","~~"),"*","~*"),"?","~?"),Andamentos!$D$10:$D$2009,Z314,Andamentos!$G$10:$G$2009,1))</f>
        <v>0</v>
      </c>
      <c r="AB314" s="14">
        <f>IF(AA314=1,SUMIFS(Andamentos!$L$10:$L$2009,Andamentos!$K$10:$K$2009,"="&amp;SUBSTITUTE(SUBSTITUTE(SUBSTITUTE(AS314,"~","~~"),"*","~*"),"?","~?"),Andamentos!$D$10:$D$2009,Z314,Andamentos!$G$10:$G$2009,1)-9,0)</f>
        <v>0</v>
      </c>
      <c r="AC314" s="14" t="str">
        <f>IF(V314=0,"",IF(AA314&gt;1,"Conferir recebimentos empatados",IF(AB314=0,"Sem atualização",INDEX(Andamentos!$C$10:$C$2009,AB314))))</f>
        <v/>
      </c>
      <c r="AD314" s="14">
        <f>IF(W314=0,0,IF(MAX(Z314,BD314)=0,1,IF(Configurar!$J$12-INT(MAX(Z314,BD314))&gt;Configurar!$J$11,1,0)))</f>
        <v>0</v>
      </c>
      <c r="AE314" s="16"/>
      <c r="AF314" s="14"/>
      <c r="AG314" s="14"/>
      <c r="AH314" s="14">
        <f>IF(AND(V314=1,COUNTIFS(Valores!$S$10:$S$509,"="&amp;SUBSTITUTE(SUBSTITUTE(SUBSTITUTE("P:"&amp;A314,"~","~~"),"*","~*"),"?","~?"))=1),(IF(ISNA(MATCH(SUBSTITUTE(SUBSTITUTE(SUBSTITUTE("P:"&amp;A314,"~","~~"),"*","~*"),"?","~?"),Valores!$S$10:$S$509,0)),9,INDEX(Valores!$R$10:$R$509,MATCH(SUBSTITUTE(SUBSTITUTE(SUBSTITUTE("P:"&amp;A314,"~","~~"),"*","~*"),"?","~?"),Valores!$S$10:$S$509,0)))-9),0)</f>
        <v>0</v>
      </c>
      <c r="AI314" s="40" t="str">
        <f t="shared" si="39"/>
        <v/>
      </c>
      <c r="AJ314" s="14" t="str">
        <f>IF(AND(X314=1,Y314=1),COUNTIFS($X$10:X314,1,$Y$10:Y314,1),"")</f>
        <v/>
      </c>
      <c r="AK314" s="14" t="str">
        <f>IF(X314=1,COUNTIFS($X$10:X314,1),"")</f>
        <v/>
      </c>
      <c r="AL314" s="14">
        <f>IF(AND(V314=1,AND(OR(Painel!$L$6="Todas",E314=Painel!$L$6),OR(Painel!$C$8="Todos",F314=Painel!$C$8),OR(Painel!$L$8="Todos",G314=Painel!$L$8),OR(Painel!$C$10="",ISNUMBER(SEARCH(SUBSTITUTE(SUBSTITUTE(SUBSTITUTE(Painel!$C$10,"~","~~"),"*","~*"),"?","~?"),A314&amp;" "&amp;H314&amp;" "&amp;I314))))),1,0)</f>
        <v>0</v>
      </c>
      <c r="AM314" s="14">
        <f t="shared" si="40"/>
        <v>0</v>
      </c>
      <c r="AN314" s="14"/>
      <c r="AO314" s="14"/>
      <c r="AP314" s="16" t="str">
        <f>IF(AB314=0,"",IF(INDEX(Andamentos!$B$10:$B$2009,AB314)="","",INDEX(Andamentos!$B$10:$B$2009,AB314)))</f>
        <v/>
      </c>
      <c r="AQ314" s="17" t="str">
        <f>IF(AH314=0,"",IF(INDEX(Valores!$B$10:$B$509,AH314)="","",IF(ISNUMBER(INDEX(Valores!$B$10:$B$509,AH314)),INDEX(Valores!$B$10:$B$509,AH314),"")))</f>
        <v/>
      </c>
      <c r="AR314" s="14" t="str">
        <f t="shared" si="41"/>
        <v/>
      </c>
      <c r="AS314" s="14" t="str">
        <f t="shared" si="42"/>
        <v/>
      </c>
      <c r="AT314" s="27"/>
      <c r="AU314" s="31"/>
      <c r="AV314" s="31"/>
      <c r="AW314" s="27"/>
      <c r="AX314" s="27"/>
      <c r="AY314" s="27"/>
      <c r="AZ314" s="27"/>
      <c r="BA314" s="30" t="str">
        <f t="shared" si="43"/>
        <v/>
      </c>
      <c r="BB314" s="30" t="str">
        <f t="shared" si="44"/>
        <v/>
      </c>
      <c r="BC314" s="30">
        <f>IF(X314=0,0,IF(COUNTIFS($X$10:X314,1,$BA$10:BA314,BA314)=1,1,0))</f>
        <v>0</v>
      </c>
      <c r="BD314" s="29"/>
    </row>
    <row r="315" spans="1:56" ht="42" customHeight="1">
      <c r="A315" s="41"/>
      <c r="B315" s="44"/>
      <c r="C315" s="44"/>
      <c r="D315" s="44"/>
      <c r="E315" s="44"/>
      <c r="F315" s="44"/>
      <c r="G315" s="44"/>
      <c r="H315" s="44"/>
      <c r="I315" s="44"/>
      <c r="J315" s="44"/>
      <c r="K315" s="44"/>
      <c r="L315" s="49"/>
      <c r="M315" s="48"/>
      <c r="N315" s="48"/>
      <c r="O315" s="48"/>
      <c r="P315" s="48"/>
      <c r="Q315" s="48"/>
      <c r="R315" s="48"/>
      <c r="S315" s="49"/>
      <c r="T315" s="48"/>
      <c r="U315" s="48"/>
      <c r="V315" s="14">
        <f t="shared" si="36"/>
        <v>0</v>
      </c>
      <c r="W315" s="14">
        <f t="shared" si="37"/>
        <v>0</v>
      </c>
      <c r="X315" s="14">
        <f>IF(AND(V315=1,OR(Painel!$C$6="Todos",D315=Painel!$C$6),AND(OR(Painel!$L$6="Todas",E315=Painel!$L$6),OR(Painel!$C$8="Todos",F315=Painel!$C$8),OR(Painel!$L$8="Todos",G315=Painel!$L$8),OR(Painel!$C$10="",ISNUMBER(SEARCH(SUBSTITUTE(SUBSTITUTE(SUBSTITUTE(Painel!$C$10,"~","~~"),"*","~*"),"?","~?"),A315&amp;" "&amp;H315&amp;" "&amp;I315))))),1,0)</f>
        <v>0</v>
      </c>
      <c r="Y315" s="14">
        <f t="shared" si="38"/>
        <v>0</v>
      </c>
      <c r="Z315" s="15" t="str">
        <f>IF(V315=0,"",IF(COUNTIFS(Andamentos!$K$10:$K$2009,"="&amp;SUBSTITUTE(SUBSTITUTE(SUBSTITUTE("P:"&amp;A315,"~","~~"),"*","~*"),"?","~?"),Andamentos!$G$10:$G$2009,1)=0,"",_xlfn.AGGREGATE(14,6,Andamentos!$D$10:$D$2009/((Andamentos!$K$10:$K$2009=AS315)*(Andamentos!$G$10:$G$2009=1)),1)))</f>
        <v/>
      </c>
      <c r="AA315" s="14">
        <f>IF(Z315="",0,COUNTIFS(Andamentos!$K$10:$K$2009,"="&amp;SUBSTITUTE(SUBSTITUTE(SUBSTITUTE("P:"&amp;A315,"~","~~"),"*","~*"),"?","~?"),Andamentos!$D$10:$D$2009,Z315,Andamentos!$G$10:$G$2009,1))</f>
        <v>0</v>
      </c>
      <c r="AB315" s="14">
        <f>IF(AA315=1,SUMIFS(Andamentos!$L$10:$L$2009,Andamentos!$K$10:$K$2009,"="&amp;SUBSTITUTE(SUBSTITUTE(SUBSTITUTE(AS315,"~","~~"),"*","~*"),"?","~?"),Andamentos!$D$10:$D$2009,Z315,Andamentos!$G$10:$G$2009,1)-9,0)</f>
        <v>0</v>
      </c>
      <c r="AC315" s="14" t="str">
        <f>IF(V315=0,"",IF(AA315&gt;1,"Conferir recebimentos empatados",IF(AB315=0,"Sem atualização",INDEX(Andamentos!$C$10:$C$2009,AB315))))</f>
        <v/>
      </c>
      <c r="AD315" s="14">
        <f>IF(W315=0,0,IF(MAX(Z315,BD315)=0,1,IF(Configurar!$J$12-INT(MAX(Z315,BD315))&gt;Configurar!$J$11,1,0)))</f>
        <v>0</v>
      </c>
      <c r="AE315" s="16"/>
      <c r="AF315" s="14"/>
      <c r="AG315" s="14"/>
      <c r="AH315" s="14">
        <f>IF(AND(V315=1,COUNTIFS(Valores!$S$10:$S$509,"="&amp;SUBSTITUTE(SUBSTITUTE(SUBSTITUTE("P:"&amp;A315,"~","~~"),"*","~*"),"?","~?"))=1),(IF(ISNA(MATCH(SUBSTITUTE(SUBSTITUTE(SUBSTITUTE("P:"&amp;A315,"~","~~"),"*","~*"),"?","~?"),Valores!$S$10:$S$509,0)),9,INDEX(Valores!$R$10:$R$509,MATCH(SUBSTITUTE(SUBSTITUTE(SUBSTITUTE("P:"&amp;A315,"~","~~"),"*","~*"),"?","~?"),Valores!$S$10:$S$509,0)))-9),0)</f>
        <v>0</v>
      </c>
      <c r="AI315" s="40" t="str">
        <f t="shared" si="39"/>
        <v/>
      </c>
      <c r="AJ315" s="14" t="str">
        <f>IF(AND(X315=1,Y315=1),COUNTIFS($X$10:X315,1,$Y$10:Y315,1),"")</f>
        <v/>
      </c>
      <c r="AK315" s="14" t="str">
        <f>IF(X315=1,COUNTIFS($X$10:X315,1),"")</f>
        <v/>
      </c>
      <c r="AL315" s="14">
        <f>IF(AND(V315=1,AND(OR(Painel!$L$6="Todas",E315=Painel!$L$6),OR(Painel!$C$8="Todos",F315=Painel!$C$8),OR(Painel!$L$8="Todos",G315=Painel!$L$8),OR(Painel!$C$10="",ISNUMBER(SEARCH(SUBSTITUTE(SUBSTITUTE(SUBSTITUTE(Painel!$C$10,"~","~~"),"*","~*"),"?","~?"),A315&amp;" "&amp;H315&amp;" "&amp;I315))))),1,0)</f>
        <v>0</v>
      </c>
      <c r="AM315" s="14">
        <f t="shared" si="40"/>
        <v>0</v>
      </c>
      <c r="AN315" s="14"/>
      <c r="AO315" s="14"/>
      <c r="AP315" s="16" t="str">
        <f>IF(AB315=0,"",IF(INDEX(Andamentos!$B$10:$B$2009,AB315)="","",INDEX(Andamentos!$B$10:$B$2009,AB315)))</f>
        <v/>
      </c>
      <c r="AQ315" s="17" t="str">
        <f>IF(AH315=0,"",IF(INDEX(Valores!$B$10:$B$509,AH315)="","",IF(ISNUMBER(INDEX(Valores!$B$10:$B$509,AH315)),INDEX(Valores!$B$10:$B$509,AH315),"")))</f>
        <v/>
      </c>
      <c r="AR315" s="14" t="str">
        <f t="shared" si="41"/>
        <v/>
      </c>
      <c r="AS315" s="14" t="str">
        <f t="shared" si="42"/>
        <v/>
      </c>
      <c r="AT315" s="27"/>
      <c r="AU315" s="31"/>
      <c r="AV315" s="31"/>
      <c r="AW315" s="27"/>
      <c r="AX315" s="27"/>
      <c r="AY315" s="27"/>
      <c r="AZ315" s="27"/>
      <c r="BA315" s="30" t="str">
        <f t="shared" si="43"/>
        <v/>
      </c>
      <c r="BB315" s="30" t="str">
        <f t="shared" si="44"/>
        <v/>
      </c>
      <c r="BC315" s="30">
        <f>IF(X315=0,0,IF(COUNTIFS($X$10:X315,1,$BA$10:BA315,BA315)=1,1,0))</f>
        <v>0</v>
      </c>
      <c r="BD315" s="29"/>
    </row>
    <row r="316" spans="1:56" ht="42" customHeight="1">
      <c r="A316" s="41"/>
      <c r="B316" s="44"/>
      <c r="C316" s="44"/>
      <c r="D316" s="44"/>
      <c r="E316" s="44"/>
      <c r="F316" s="44"/>
      <c r="G316" s="44"/>
      <c r="H316" s="44"/>
      <c r="I316" s="44"/>
      <c r="J316" s="44"/>
      <c r="K316" s="44"/>
      <c r="L316" s="49"/>
      <c r="M316" s="48"/>
      <c r="N316" s="48"/>
      <c r="O316" s="48"/>
      <c r="P316" s="48"/>
      <c r="Q316" s="48"/>
      <c r="R316" s="48"/>
      <c r="S316" s="49"/>
      <c r="T316" s="48"/>
      <c r="U316" s="48"/>
      <c r="V316" s="14">
        <f t="shared" si="36"/>
        <v>0</v>
      </c>
      <c r="W316" s="14">
        <f t="shared" si="37"/>
        <v>0</v>
      </c>
      <c r="X316" s="14">
        <f>IF(AND(V316=1,OR(Painel!$C$6="Todos",D316=Painel!$C$6),AND(OR(Painel!$L$6="Todas",E316=Painel!$L$6),OR(Painel!$C$8="Todos",F316=Painel!$C$8),OR(Painel!$L$8="Todos",G316=Painel!$L$8),OR(Painel!$C$10="",ISNUMBER(SEARCH(SUBSTITUTE(SUBSTITUTE(SUBSTITUTE(Painel!$C$10,"~","~~"),"*","~*"),"?","~?"),A316&amp;" "&amp;H316&amp;" "&amp;I316))))),1,0)</f>
        <v>0</v>
      </c>
      <c r="Y316" s="14">
        <f t="shared" si="38"/>
        <v>0</v>
      </c>
      <c r="Z316" s="15" t="str">
        <f>IF(V316=0,"",IF(COUNTIFS(Andamentos!$K$10:$K$2009,"="&amp;SUBSTITUTE(SUBSTITUTE(SUBSTITUTE("P:"&amp;A316,"~","~~"),"*","~*"),"?","~?"),Andamentos!$G$10:$G$2009,1)=0,"",_xlfn.AGGREGATE(14,6,Andamentos!$D$10:$D$2009/((Andamentos!$K$10:$K$2009=AS316)*(Andamentos!$G$10:$G$2009=1)),1)))</f>
        <v/>
      </c>
      <c r="AA316" s="14">
        <f>IF(Z316="",0,COUNTIFS(Andamentos!$K$10:$K$2009,"="&amp;SUBSTITUTE(SUBSTITUTE(SUBSTITUTE("P:"&amp;A316,"~","~~"),"*","~*"),"?","~?"),Andamentos!$D$10:$D$2009,Z316,Andamentos!$G$10:$G$2009,1))</f>
        <v>0</v>
      </c>
      <c r="AB316" s="14">
        <f>IF(AA316=1,SUMIFS(Andamentos!$L$10:$L$2009,Andamentos!$K$10:$K$2009,"="&amp;SUBSTITUTE(SUBSTITUTE(SUBSTITUTE(AS316,"~","~~"),"*","~*"),"?","~?"),Andamentos!$D$10:$D$2009,Z316,Andamentos!$G$10:$G$2009,1)-9,0)</f>
        <v>0</v>
      </c>
      <c r="AC316" s="14" t="str">
        <f>IF(V316=0,"",IF(AA316&gt;1,"Conferir recebimentos empatados",IF(AB316=0,"Sem atualização",INDEX(Andamentos!$C$10:$C$2009,AB316))))</f>
        <v/>
      </c>
      <c r="AD316" s="14">
        <f>IF(W316=0,0,IF(MAX(Z316,BD316)=0,1,IF(Configurar!$J$12-INT(MAX(Z316,BD316))&gt;Configurar!$J$11,1,0)))</f>
        <v>0</v>
      </c>
      <c r="AE316" s="16"/>
      <c r="AF316" s="14"/>
      <c r="AG316" s="14"/>
      <c r="AH316" s="14">
        <f>IF(AND(V316=1,COUNTIFS(Valores!$S$10:$S$509,"="&amp;SUBSTITUTE(SUBSTITUTE(SUBSTITUTE("P:"&amp;A316,"~","~~"),"*","~*"),"?","~?"))=1),(IF(ISNA(MATCH(SUBSTITUTE(SUBSTITUTE(SUBSTITUTE("P:"&amp;A316,"~","~~"),"*","~*"),"?","~?"),Valores!$S$10:$S$509,0)),9,INDEX(Valores!$R$10:$R$509,MATCH(SUBSTITUTE(SUBSTITUTE(SUBSTITUTE("P:"&amp;A316,"~","~~"),"*","~*"),"?","~?"),Valores!$S$10:$S$509,0)))-9),0)</f>
        <v>0</v>
      </c>
      <c r="AI316" s="40" t="str">
        <f t="shared" si="39"/>
        <v/>
      </c>
      <c r="AJ316" s="14" t="str">
        <f>IF(AND(X316=1,Y316=1),COUNTIFS($X$10:X316,1,$Y$10:Y316,1),"")</f>
        <v/>
      </c>
      <c r="AK316" s="14" t="str">
        <f>IF(X316=1,COUNTIFS($X$10:X316,1),"")</f>
        <v/>
      </c>
      <c r="AL316" s="14">
        <f>IF(AND(V316=1,AND(OR(Painel!$L$6="Todas",E316=Painel!$L$6),OR(Painel!$C$8="Todos",F316=Painel!$C$8),OR(Painel!$L$8="Todos",G316=Painel!$L$8),OR(Painel!$C$10="",ISNUMBER(SEARCH(SUBSTITUTE(SUBSTITUTE(SUBSTITUTE(Painel!$C$10,"~","~~"),"*","~*"),"?","~?"),A316&amp;" "&amp;H316&amp;" "&amp;I316))))),1,0)</f>
        <v>0</v>
      </c>
      <c r="AM316" s="14">
        <f t="shared" si="40"/>
        <v>0</v>
      </c>
      <c r="AN316" s="14"/>
      <c r="AO316" s="14"/>
      <c r="AP316" s="16" t="str">
        <f>IF(AB316=0,"",IF(INDEX(Andamentos!$B$10:$B$2009,AB316)="","",INDEX(Andamentos!$B$10:$B$2009,AB316)))</f>
        <v/>
      </c>
      <c r="AQ316" s="17" t="str">
        <f>IF(AH316=0,"",IF(INDEX(Valores!$B$10:$B$509,AH316)="","",IF(ISNUMBER(INDEX(Valores!$B$10:$B$509,AH316)),INDEX(Valores!$B$10:$B$509,AH316),"")))</f>
        <v/>
      </c>
      <c r="AR316" s="14" t="str">
        <f t="shared" si="41"/>
        <v/>
      </c>
      <c r="AS316" s="14" t="str">
        <f t="shared" si="42"/>
        <v/>
      </c>
      <c r="AT316" s="27"/>
      <c r="AU316" s="31"/>
      <c r="AV316" s="31"/>
      <c r="AW316" s="27"/>
      <c r="AX316" s="27"/>
      <c r="AY316" s="27"/>
      <c r="AZ316" s="27"/>
      <c r="BA316" s="30" t="str">
        <f t="shared" si="43"/>
        <v/>
      </c>
      <c r="BB316" s="30" t="str">
        <f t="shared" si="44"/>
        <v/>
      </c>
      <c r="BC316" s="30">
        <f>IF(X316=0,0,IF(COUNTIFS($X$10:X316,1,$BA$10:BA316,BA316)=1,1,0))</f>
        <v>0</v>
      </c>
      <c r="BD316" s="29"/>
    </row>
    <row r="317" spans="1:56" ht="42" customHeight="1">
      <c r="A317" s="41"/>
      <c r="B317" s="44"/>
      <c r="C317" s="44"/>
      <c r="D317" s="44"/>
      <c r="E317" s="44"/>
      <c r="F317" s="44"/>
      <c r="G317" s="44"/>
      <c r="H317" s="44"/>
      <c r="I317" s="44"/>
      <c r="J317" s="44"/>
      <c r="K317" s="44"/>
      <c r="L317" s="49"/>
      <c r="M317" s="48"/>
      <c r="N317" s="48"/>
      <c r="O317" s="48"/>
      <c r="P317" s="48"/>
      <c r="Q317" s="48"/>
      <c r="R317" s="48"/>
      <c r="S317" s="49"/>
      <c r="T317" s="48"/>
      <c r="U317" s="48"/>
      <c r="V317" s="14">
        <f t="shared" si="36"/>
        <v>0</v>
      </c>
      <c r="W317" s="14">
        <f t="shared" si="37"/>
        <v>0</v>
      </c>
      <c r="X317" s="14">
        <f>IF(AND(V317=1,OR(Painel!$C$6="Todos",D317=Painel!$C$6),AND(OR(Painel!$L$6="Todas",E317=Painel!$L$6),OR(Painel!$C$8="Todos",F317=Painel!$C$8),OR(Painel!$L$8="Todos",G317=Painel!$L$8),OR(Painel!$C$10="",ISNUMBER(SEARCH(SUBSTITUTE(SUBSTITUTE(SUBSTITUTE(Painel!$C$10,"~","~~"),"*","~*"),"?","~?"),A317&amp;" "&amp;H317&amp;" "&amp;I317))))),1,0)</f>
        <v>0</v>
      </c>
      <c r="Y317" s="14">
        <f t="shared" si="38"/>
        <v>0</v>
      </c>
      <c r="Z317" s="15" t="str">
        <f>IF(V317=0,"",IF(COUNTIFS(Andamentos!$K$10:$K$2009,"="&amp;SUBSTITUTE(SUBSTITUTE(SUBSTITUTE("P:"&amp;A317,"~","~~"),"*","~*"),"?","~?"),Andamentos!$G$10:$G$2009,1)=0,"",_xlfn.AGGREGATE(14,6,Andamentos!$D$10:$D$2009/((Andamentos!$K$10:$K$2009=AS317)*(Andamentos!$G$10:$G$2009=1)),1)))</f>
        <v/>
      </c>
      <c r="AA317" s="14">
        <f>IF(Z317="",0,COUNTIFS(Andamentos!$K$10:$K$2009,"="&amp;SUBSTITUTE(SUBSTITUTE(SUBSTITUTE("P:"&amp;A317,"~","~~"),"*","~*"),"?","~?"),Andamentos!$D$10:$D$2009,Z317,Andamentos!$G$10:$G$2009,1))</f>
        <v>0</v>
      </c>
      <c r="AB317" s="14">
        <f>IF(AA317=1,SUMIFS(Andamentos!$L$10:$L$2009,Andamentos!$K$10:$K$2009,"="&amp;SUBSTITUTE(SUBSTITUTE(SUBSTITUTE(AS317,"~","~~"),"*","~*"),"?","~?"),Andamentos!$D$10:$D$2009,Z317,Andamentos!$G$10:$G$2009,1)-9,0)</f>
        <v>0</v>
      </c>
      <c r="AC317" s="14" t="str">
        <f>IF(V317=0,"",IF(AA317&gt;1,"Conferir recebimentos empatados",IF(AB317=0,"Sem atualização",INDEX(Andamentos!$C$10:$C$2009,AB317))))</f>
        <v/>
      </c>
      <c r="AD317" s="14">
        <f>IF(W317=0,0,IF(MAX(Z317,BD317)=0,1,IF(Configurar!$J$12-INT(MAX(Z317,BD317))&gt;Configurar!$J$11,1,0)))</f>
        <v>0</v>
      </c>
      <c r="AE317" s="16"/>
      <c r="AF317" s="14"/>
      <c r="AG317" s="14"/>
      <c r="AH317" s="14">
        <f>IF(AND(V317=1,COUNTIFS(Valores!$S$10:$S$509,"="&amp;SUBSTITUTE(SUBSTITUTE(SUBSTITUTE("P:"&amp;A317,"~","~~"),"*","~*"),"?","~?"))=1),(IF(ISNA(MATCH(SUBSTITUTE(SUBSTITUTE(SUBSTITUTE("P:"&amp;A317,"~","~~"),"*","~*"),"?","~?"),Valores!$S$10:$S$509,0)),9,INDEX(Valores!$R$10:$R$509,MATCH(SUBSTITUTE(SUBSTITUTE(SUBSTITUTE("P:"&amp;A317,"~","~~"),"*","~*"),"?","~?"),Valores!$S$10:$S$509,0)))-9),0)</f>
        <v>0</v>
      </c>
      <c r="AI317" s="40" t="str">
        <f t="shared" si="39"/>
        <v/>
      </c>
      <c r="AJ317" s="14" t="str">
        <f>IF(AND(X317=1,Y317=1),COUNTIFS($X$10:X317,1,$Y$10:Y317,1),"")</f>
        <v/>
      </c>
      <c r="AK317" s="14" t="str">
        <f>IF(X317=1,COUNTIFS($X$10:X317,1),"")</f>
        <v/>
      </c>
      <c r="AL317" s="14">
        <f>IF(AND(V317=1,AND(OR(Painel!$L$6="Todas",E317=Painel!$L$6),OR(Painel!$C$8="Todos",F317=Painel!$C$8),OR(Painel!$L$8="Todos",G317=Painel!$L$8),OR(Painel!$C$10="",ISNUMBER(SEARCH(SUBSTITUTE(SUBSTITUTE(SUBSTITUTE(Painel!$C$10,"~","~~"),"*","~*"),"?","~?"),A317&amp;" "&amp;H317&amp;" "&amp;I317))))),1,0)</f>
        <v>0</v>
      </c>
      <c r="AM317" s="14">
        <f t="shared" si="40"/>
        <v>0</v>
      </c>
      <c r="AN317" s="14"/>
      <c r="AO317" s="14"/>
      <c r="AP317" s="16" t="str">
        <f>IF(AB317=0,"",IF(INDEX(Andamentos!$B$10:$B$2009,AB317)="","",INDEX(Andamentos!$B$10:$B$2009,AB317)))</f>
        <v/>
      </c>
      <c r="AQ317" s="17" t="str">
        <f>IF(AH317=0,"",IF(INDEX(Valores!$B$10:$B$509,AH317)="","",IF(ISNUMBER(INDEX(Valores!$B$10:$B$509,AH317)),INDEX(Valores!$B$10:$B$509,AH317),"")))</f>
        <v/>
      </c>
      <c r="AR317" s="14" t="str">
        <f t="shared" si="41"/>
        <v/>
      </c>
      <c r="AS317" s="14" t="str">
        <f t="shared" si="42"/>
        <v/>
      </c>
      <c r="AT317" s="27"/>
      <c r="AU317" s="31"/>
      <c r="AV317" s="31"/>
      <c r="AW317" s="27"/>
      <c r="AX317" s="27"/>
      <c r="AY317" s="27"/>
      <c r="AZ317" s="27"/>
      <c r="BA317" s="30" t="str">
        <f t="shared" si="43"/>
        <v/>
      </c>
      <c r="BB317" s="30" t="str">
        <f t="shared" si="44"/>
        <v/>
      </c>
      <c r="BC317" s="30">
        <f>IF(X317=0,0,IF(COUNTIFS($X$10:X317,1,$BA$10:BA317,BA317)=1,1,0))</f>
        <v>0</v>
      </c>
      <c r="BD317" s="29"/>
    </row>
    <row r="318" spans="1:56" ht="42" customHeight="1">
      <c r="A318" s="41"/>
      <c r="B318" s="44"/>
      <c r="C318" s="44"/>
      <c r="D318" s="44"/>
      <c r="E318" s="44"/>
      <c r="F318" s="44"/>
      <c r="G318" s="44"/>
      <c r="H318" s="44"/>
      <c r="I318" s="44"/>
      <c r="J318" s="44"/>
      <c r="K318" s="44"/>
      <c r="L318" s="49"/>
      <c r="M318" s="48"/>
      <c r="N318" s="48"/>
      <c r="O318" s="48"/>
      <c r="P318" s="48"/>
      <c r="Q318" s="48"/>
      <c r="R318" s="48"/>
      <c r="S318" s="49"/>
      <c r="T318" s="48"/>
      <c r="U318" s="48"/>
      <c r="V318" s="14">
        <f t="shared" si="36"/>
        <v>0</v>
      </c>
      <c r="W318" s="14">
        <f t="shared" si="37"/>
        <v>0</v>
      </c>
      <c r="X318" s="14">
        <f>IF(AND(V318=1,OR(Painel!$C$6="Todos",D318=Painel!$C$6),AND(OR(Painel!$L$6="Todas",E318=Painel!$L$6),OR(Painel!$C$8="Todos",F318=Painel!$C$8),OR(Painel!$L$8="Todos",G318=Painel!$L$8),OR(Painel!$C$10="",ISNUMBER(SEARCH(SUBSTITUTE(SUBSTITUTE(SUBSTITUTE(Painel!$C$10,"~","~~"),"*","~*"),"?","~?"),A318&amp;" "&amp;H318&amp;" "&amp;I318))))),1,0)</f>
        <v>0</v>
      </c>
      <c r="Y318" s="14">
        <f t="shared" si="38"/>
        <v>0</v>
      </c>
      <c r="Z318" s="15" t="str">
        <f>IF(V318=0,"",IF(COUNTIFS(Andamentos!$K$10:$K$2009,"="&amp;SUBSTITUTE(SUBSTITUTE(SUBSTITUTE("P:"&amp;A318,"~","~~"),"*","~*"),"?","~?"),Andamentos!$G$10:$G$2009,1)=0,"",_xlfn.AGGREGATE(14,6,Andamentos!$D$10:$D$2009/((Andamentos!$K$10:$K$2009=AS318)*(Andamentos!$G$10:$G$2009=1)),1)))</f>
        <v/>
      </c>
      <c r="AA318" s="14">
        <f>IF(Z318="",0,COUNTIFS(Andamentos!$K$10:$K$2009,"="&amp;SUBSTITUTE(SUBSTITUTE(SUBSTITUTE("P:"&amp;A318,"~","~~"),"*","~*"),"?","~?"),Andamentos!$D$10:$D$2009,Z318,Andamentos!$G$10:$G$2009,1))</f>
        <v>0</v>
      </c>
      <c r="AB318" s="14">
        <f>IF(AA318=1,SUMIFS(Andamentos!$L$10:$L$2009,Andamentos!$K$10:$K$2009,"="&amp;SUBSTITUTE(SUBSTITUTE(SUBSTITUTE(AS318,"~","~~"),"*","~*"),"?","~?"),Andamentos!$D$10:$D$2009,Z318,Andamentos!$G$10:$G$2009,1)-9,0)</f>
        <v>0</v>
      </c>
      <c r="AC318" s="14" t="str">
        <f>IF(V318=0,"",IF(AA318&gt;1,"Conferir recebimentos empatados",IF(AB318=0,"Sem atualização",INDEX(Andamentos!$C$10:$C$2009,AB318))))</f>
        <v/>
      </c>
      <c r="AD318" s="14">
        <f>IF(W318=0,0,IF(MAX(Z318,BD318)=0,1,IF(Configurar!$J$12-INT(MAX(Z318,BD318))&gt;Configurar!$J$11,1,0)))</f>
        <v>0</v>
      </c>
      <c r="AE318" s="16"/>
      <c r="AF318" s="14"/>
      <c r="AG318" s="14"/>
      <c r="AH318" s="14">
        <f>IF(AND(V318=1,COUNTIFS(Valores!$S$10:$S$509,"="&amp;SUBSTITUTE(SUBSTITUTE(SUBSTITUTE("P:"&amp;A318,"~","~~"),"*","~*"),"?","~?"))=1),(IF(ISNA(MATCH(SUBSTITUTE(SUBSTITUTE(SUBSTITUTE("P:"&amp;A318,"~","~~"),"*","~*"),"?","~?"),Valores!$S$10:$S$509,0)),9,INDEX(Valores!$R$10:$R$509,MATCH(SUBSTITUTE(SUBSTITUTE(SUBSTITUTE("P:"&amp;A318,"~","~~"),"*","~*"),"?","~?"),Valores!$S$10:$S$509,0)))-9),0)</f>
        <v>0</v>
      </c>
      <c r="AI318" s="40" t="str">
        <f t="shared" si="39"/>
        <v/>
      </c>
      <c r="AJ318" s="14" t="str">
        <f>IF(AND(X318=1,Y318=1),COUNTIFS($X$10:X318,1,$Y$10:Y318,1),"")</f>
        <v/>
      </c>
      <c r="AK318" s="14" t="str">
        <f>IF(X318=1,COUNTIFS($X$10:X318,1),"")</f>
        <v/>
      </c>
      <c r="AL318" s="14">
        <f>IF(AND(V318=1,AND(OR(Painel!$L$6="Todas",E318=Painel!$L$6),OR(Painel!$C$8="Todos",F318=Painel!$C$8),OR(Painel!$L$8="Todos",G318=Painel!$L$8),OR(Painel!$C$10="",ISNUMBER(SEARCH(SUBSTITUTE(SUBSTITUTE(SUBSTITUTE(Painel!$C$10,"~","~~"),"*","~*"),"?","~?"),A318&amp;" "&amp;H318&amp;" "&amp;I318))))),1,0)</f>
        <v>0</v>
      </c>
      <c r="AM318" s="14">
        <f t="shared" si="40"/>
        <v>0</v>
      </c>
      <c r="AN318" s="14"/>
      <c r="AO318" s="14"/>
      <c r="AP318" s="16" t="str">
        <f>IF(AB318=0,"",IF(INDEX(Andamentos!$B$10:$B$2009,AB318)="","",INDEX(Andamentos!$B$10:$B$2009,AB318)))</f>
        <v/>
      </c>
      <c r="AQ318" s="17" t="str">
        <f>IF(AH318=0,"",IF(INDEX(Valores!$B$10:$B$509,AH318)="","",IF(ISNUMBER(INDEX(Valores!$B$10:$B$509,AH318)),INDEX(Valores!$B$10:$B$509,AH318),"")))</f>
        <v/>
      </c>
      <c r="AR318" s="14" t="str">
        <f t="shared" si="41"/>
        <v/>
      </c>
      <c r="AS318" s="14" t="str">
        <f t="shared" si="42"/>
        <v/>
      </c>
      <c r="AT318" s="27"/>
      <c r="AU318" s="31"/>
      <c r="AV318" s="31"/>
      <c r="AW318" s="27"/>
      <c r="AX318" s="27"/>
      <c r="AY318" s="27"/>
      <c r="AZ318" s="27"/>
      <c r="BA318" s="30" t="str">
        <f t="shared" si="43"/>
        <v/>
      </c>
      <c r="BB318" s="30" t="str">
        <f t="shared" si="44"/>
        <v/>
      </c>
      <c r="BC318" s="30">
        <f>IF(X318=0,0,IF(COUNTIFS($X$10:X318,1,$BA$10:BA318,BA318)=1,1,0))</f>
        <v>0</v>
      </c>
      <c r="BD318" s="29"/>
    </row>
    <row r="319" spans="1:56" ht="42" customHeight="1">
      <c r="A319" s="41"/>
      <c r="B319" s="44"/>
      <c r="C319" s="44"/>
      <c r="D319" s="44"/>
      <c r="E319" s="44"/>
      <c r="F319" s="44"/>
      <c r="G319" s="44"/>
      <c r="H319" s="44"/>
      <c r="I319" s="44"/>
      <c r="J319" s="44"/>
      <c r="K319" s="44"/>
      <c r="L319" s="49"/>
      <c r="M319" s="48"/>
      <c r="N319" s="48"/>
      <c r="O319" s="48"/>
      <c r="P319" s="48"/>
      <c r="Q319" s="48"/>
      <c r="R319" s="48"/>
      <c r="S319" s="49"/>
      <c r="T319" s="48"/>
      <c r="U319" s="48"/>
      <c r="V319" s="14">
        <f t="shared" si="36"/>
        <v>0</v>
      </c>
      <c r="W319" s="14">
        <f t="shared" si="37"/>
        <v>0</v>
      </c>
      <c r="X319" s="14">
        <f>IF(AND(V319=1,OR(Painel!$C$6="Todos",D319=Painel!$C$6),AND(OR(Painel!$L$6="Todas",E319=Painel!$L$6),OR(Painel!$C$8="Todos",F319=Painel!$C$8),OR(Painel!$L$8="Todos",G319=Painel!$L$8),OR(Painel!$C$10="",ISNUMBER(SEARCH(SUBSTITUTE(SUBSTITUTE(SUBSTITUTE(Painel!$C$10,"~","~~"),"*","~*"),"?","~?"),A319&amp;" "&amp;H319&amp;" "&amp;I319))))),1,0)</f>
        <v>0</v>
      </c>
      <c r="Y319" s="14">
        <f t="shared" si="38"/>
        <v>0</v>
      </c>
      <c r="Z319" s="15" t="str">
        <f>IF(V319=0,"",IF(COUNTIFS(Andamentos!$K$10:$K$2009,"="&amp;SUBSTITUTE(SUBSTITUTE(SUBSTITUTE("P:"&amp;A319,"~","~~"),"*","~*"),"?","~?"),Andamentos!$G$10:$G$2009,1)=0,"",_xlfn.AGGREGATE(14,6,Andamentos!$D$10:$D$2009/((Andamentos!$K$10:$K$2009=AS319)*(Andamentos!$G$10:$G$2009=1)),1)))</f>
        <v/>
      </c>
      <c r="AA319" s="14">
        <f>IF(Z319="",0,COUNTIFS(Andamentos!$K$10:$K$2009,"="&amp;SUBSTITUTE(SUBSTITUTE(SUBSTITUTE("P:"&amp;A319,"~","~~"),"*","~*"),"?","~?"),Andamentos!$D$10:$D$2009,Z319,Andamentos!$G$10:$G$2009,1))</f>
        <v>0</v>
      </c>
      <c r="AB319" s="14">
        <f>IF(AA319=1,SUMIFS(Andamentos!$L$10:$L$2009,Andamentos!$K$10:$K$2009,"="&amp;SUBSTITUTE(SUBSTITUTE(SUBSTITUTE(AS319,"~","~~"),"*","~*"),"?","~?"),Andamentos!$D$10:$D$2009,Z319,Andamentos!$G$10:$G$2009,1)-9,0)</f>
        <v>0</v>
      </c>
      <c r="AC319" s="14" t="str">
        <f>IF(V319=0,"",IF(AA319&gt;1,"Conferir recebimentos empatados",IF(AB319=0,"Sem atualização",INDEX(Andamentos!$C$10:$C$2009,AB319))))</f>
        <v/>
      </c>
      <c r="AD319" s="14">
        <f>IF(W319=0,0,IF(MAX(Z319,BD319)=0,1,IF(Configurar!$J$12-INT(MAX(Z319,BD319))&gt;Configurar!$J$11,1,0)))</f>
        <v>0</v>
      </c>
      <c r="AE319" s="16"/>
      <c r="AF319" s="14"/>
      <c r="AG319" s="14"/>
      <c r="AH319" s="14">
        <f>IF(AND(V319=1,COUNTIFS(Valores!$S$10:$S$509,"="&amp;SUBSTITUTE(SUBSTITUTE(SUBSTITUTE("P:"&amp;A319,"~","~~"),"*","~*"),"?","~?"))=1),(IF(ISNA(MATCH(SUBSTITUTE(SUBSTITUTE(SUBSTITUTE("P:"&amp;A319,"~","~~"),"*","~*"),"?","~?"),Valores!$S$10:$S$509,0)),9,INDEX(Valores!$R$10:$R$509,MATCH(SUBSTITUTE(SUBSTITUTE(SUBSTITUTE("P:"&amp;A319,"~","~~"),"*","~*"),"?","~?"),Valores!$S$10:$S$509,0)))-9),0)</f>
        <v>0</v>
      </c>
      <c r="AI319" s="40" t="str">
        <f t="shared" si="39"/>
        <v/>
      </c>
      <c r="AJ319" s="14" t="str">
        <f>IF(AND(X319=1,Y319=1),COUNTIFS($X$10:X319,1,$Y$10:Y319,1),"")</f>
        <v/>
      </c>
      <c r="AK319" s="14" t="str">
        <f>IF(X319=1,COUNTIFS($X$10:X319,1),"")</f>
        <v/>
      </c>
      <c r="AL319" s="14">
        <f>IF(AND(V319=1,AND(OR(Painel!$L$6="Todas",E319=Painel!$L$6),OR(Painel!$C$8="Todos",F319=Painel!$C$8),OR(Painel!$L$8="Todos",G319=Painel!$L$8),OR(Painel!$C$10="",ISNUMBER(SEARCH(SUBSTITUTE(SUBSTITUTE(SUBSTITUTE(Painel!$C$10,"~","~~"),"*","~*"),"?","~?"),A319&amp;" "&amp;H319&amp;" "&amp;I319))))),1,0)</f>
        <v>0</v>
      </c>
      <c r="AM319" s="14">
        <f t="shared" si="40"/>
        <v>0</v>
      </c>
      <c r="AN319" s="14"/>
      <c r="AO319" s="14"/>
      <c r="AP319" s="16" t="str">
        <f>IF(AB319=0,"",IF(INDEX(Andamentos!$B$10:$B$2009,AB319)="","",INDEX(Andamentos!$B$10:$B$2009,AB319)))</f>
        <v/>
      </c>
      <c r="AQ319" s="17" t="str">
        <f>IF(AH319=0,"",IF(INDEX(Valores!$B$10:$B$509,AH319)="","",IF(ISNUMBER(INDEX(Valores!$B$10:$B$509,AH319)),INDEX(Valores!$B$10:$B$509,AH319),"")))</f>
        <v/>
      </c>
      <c r="AR319" s="14" t="str">
        <f t="shared" si="41"/>
        <v/>
      </c>
      <c r="AS319" s="14" t="str">
        <f t="shared" si="42"/>
        <v/>
      </c>
      <c r="AT319" s="27"/>
      <c r="AU319" s="31"/>
      <c r="AV319" s="31"/>
      <c r="AW319" s="27"/>
      <c r="AX319" s="27"/>
      <c r="AY319" s="27"/>
      <c r="AZ319" s="27"/>
      <c r="BA319" s="30" t="str">
        <f t="shared" si="43"/>
        <v/>
      </c>
      <c r="BB319" s="30" t="str">
        <f t="shared" si="44"/>
        <v/>
      </c>
      <c r="BC319" s="30">
        <f>IF(X319=0,0,IF(COUNTIFS($X$10:X319,1,$BA$10:BA319,BA319)=1,1,0))</f>
        <v>0</v>
      </c>
      <c r="BD319" s="29"/>
    </row>
    <row r="320" spans="1:56" ht="42" customHeight="1">
      <c r="A320" s="41"/>
      <c r="B320" s="44"/>
      <c r="C320" s="44"/>
      <c r="D320" s="44"/>
      <c r="E320" s="44"/>
      <c r="F320" s="44"/>
      <c r="G320" s="44"/>
      <c r="H320" s="44"/>
      <c r="I320" s="44"/>
      <c r="J320" s="44"/>
      <c r="K320" s="44"/>
      <c r="L320" s="49"/>
      <c r="M320" s="48"/>
      <c r="N320" s="48"/>
      <c r="O320" s="48"/>
      <c r="P320" s="48"/>
      <c r="Q320" s="48"/>
      <c r="R320" s="48"/>
      <c r="S320" s="49"/>
      <c r="T320" s="48"/>
      <c r="U320" s="48"/>
      <c r="V320" s="14">
        <f t="shared" si="36"/>
        <v>0</v>
      </c>
      <c r="W320" s="14">
        <f t="shared" si="37"/>
        <v>0</v>
      </c>
      <c r="X320" s="14">
        <f>IF(AND(V320=1,OR(Painel!$C$6="Todos",D320=Painel!$C$6),AND(OR(Painel!$L$6="Todas",E320=Painel!$L$6),OR(Painel!$C$8="Todos",F320=Painel!$C$8),OR(Painel!$L$8="Todos",G320=Painel!$L$8),OR(Painel!$C$10="",ISNUMBER(SEARCH(SUBSTITUTE(SUBSTITUTE(SUBSTITUTE(Painel!$C$10,"~","~~"),"*","~*"),"?","~?"),A320&amp;" "&amp;H320&amp;" "&amp;I320))))),1,0)</f>
        <v>0</v>
      </c>
      <c r="Y320" s="14">
        <f t="shared" si="38"/>
        <v>0</v>
      </c>
      <c r="Z320" s="15" t="str">
        <f>IF(V320=0,"",IF(COUNTIFS(Andamentos!$K$10:$K$2009,"="&amp;SUBSTITUTE(SUBSTITUTE(SUBSTITUTE("P:"&amp;A320,"~","~~"),"*","~*"),"?","~?"),Andamentos!$G$10:$G$2009,1)=0,"",_xlfn.AGGREGATE(14,6,Andamentos!$D$10:$D$2009/((Andamentos!$K$10:$K$2009=AS320)*(Andamentos!$G$10:$G$2009=1)),1)))</f>
        <v/>
      </c>
      <c r="AA320" s="14">
        <f>IF(Z320="",0,COUNTIFS(Andamentos!$K$10:$K$2009,"="&amp;SUBSTITUTE(SUBSTITUTE(SUBSTITUTE("P:"&amp;A320,"~","~~"),"*","~*"),"?","~?"),Andamentos!$D$10:$D$2009,Z320,Andamentos!$G$10:$G$2009,1))</f>
        <v>0</v>
      </c>
      <c r="AB320" s="14">
        <f>IF(AA320=1,SUMIFS(Andamentos!$L$10:$L$2009,Andamentos!$K$10:$K$2009,"="&amp;SUBSTITUTE(SUBSTITUTE(SUBSTITUTE(AS320,"~","~~"),"*","~*"),"?","~?"),Andamentos!$D$10:$D$2009,Z320,Andamentos!$G$10:$G$2009,1)-9,0)</f>
        <v>0</v>
      </c>
      <c r="AC320" s="14" t="str">
        <f>IF(V320=0,"",IF(AA320&gt;1,"Conferir recebimentos empatados",IF(AB320=0,"Sem atualização",INDEX(Andamentos!$C$10:$C$2009,AB320))))</f>
        <v/>
      </c>
      <c r="AD320" s="14">
        <f>IF(W320=0,0,IF(MAX(Z320,BD320)=0,1,IF(Configurar!$J$12-INT(MAX(Z320,BD320))&gt;Configurar!$J$11,1,0)))</f>
        <v>0</v>
      </c>
      <c r="AE320" s="16"/>
      <c r="AF320" s="14"/>
      <c r="AG320" s="14"/>
      <c r="AH320" s="14">
        <f>IF(AND(V320=1,COUNTIFS(Valores!$S$10:$S$509,"="&amp;SUBSTITUTE(SUBSTITUTE(SUBSTITUTE("P:"&amp;A320,"~","~~"),"*","~*"),"?","~?"))=1),(IF(ISNA(MATCH(SUBSTITUTE(SUBSTITUTE(SUBSTITUTE("P:"&amp;A320,"~","~~"),"*","~*"),"?","~?"),Valores!$S$10:$S$509,0)),9,INDEX(Valores!$R$10:$R$509,MATCH(SUBSTITUTE(SUBSTITUTE(SUBSTITUTE("P:"&amp;A320,"~","~~"),"*","~*"),"?","~?"),Valores!$S$10:$S$509,0)))-9),0)</f>
        <v>0</v>
      </c>
      <c r="AI320" s="40" t="str">
        <f t="shared" si="39"/>
        <v/>
      </c>
      <c r="AJ320" s="14" t="str">
        <f>IF(AND(X320=1,Y320=1),COUNTIFS($X$10:X320,1,$Y$10:Y320,1),"")</f>
        <v/>
      </c>
      <c r="AK320" s="14" t="str">
        <f>IF(X320=1,COUNTIFS($X$10:X320,1),"")</f>
        <v/>
      </c>
      <c r="AL320" s="14">
        <f>IF(AND(V320=1,AND(OR(Painel!$L$6="Todas",E320=Painel!$L$6),OR(Painel!$C$8="Todos",F320=Painel!$C$8),OR(Painel!$L$8="Todos",G320=Painel!$L$8),OR(Painel!$C$10="",ISNUMBER(SEARCH(SUBSTITUTE(SUBSTITUTE(SUBSTITUTE(Painel!$C$10,"~","~~"),"*","~*"),"?","~?"),A320&amp;" "&amp;H320&amp;" "&amp;I320))))),1,0)</f>
        <v>0</v>
      </c>
      <c r="AM320" s="14">
        <f t="shared" si="40"/>
        <v>0</v>
      </c>
      <c r="AN320" s="14"/>
      <c r="AO320" s="14"/>
      <c r="AP320" s="16" t="str">
        <f>IF(AB320=0,"",IF(INDEX(Andamentos!$B$10:$B$2009,AB320)="","",INDEX(Andamentos!$B$10:$B$2009,AB320)))</f>
        <v/>
      </c>
      <c r="AQ320" s="17" t="str">
        <f>IF(AH320=0,"",IF(INDEX(Valores!$B$10:$B$509,AH320)="","",IF(ISNUMBER(INDEX(Valores!$B$10:$B$509,AH320)),INDEX(Valores!$B$10:$B$509,AH320),"")))</f>
        <v/>
      </c>
      <c r="AR320" s="14" t="str">
        <f t="shared" si="41"/>
        <v/>
      </c>
      <c r="AS320" s="14" t="str">
        <f t="shared" si="42"/>
        <v/>
      </c>
      <c r="AT320" s="27"/>
      <c r="AU320" s="31"/>
      <c r="AV320" s="31"/>
      <c r="AW320" s="27"/>
      <c r="AX320" s="27"/>
      <c r="AY320" s="27"/>
      <c r="AZ320" s="27"/>
      <c r="BA320" s="30" t="str">
        <f t="shared" si="43"/>
        <v/>
      </c>
      <c r="BB320" s="30" t="str">
        <f t="shared" si="44"/>
        <v/>
      </c>
      <c r="BC320" s="30">
        <f>IF(X320=0,0,IF(COUNTIFS($X$10:X320,1,$BA$10:BA320,BA320)=1,1,0))</f>
        <v>0</v>
      </c>
      <c r="BD320" s="29"/>
    </row>
    <row r="321" spans="1:56" ht="42" customHeight="1">
      <c r="A321" s="41"/>
      <c r="B321" s="44"/>
      <c r="C321" s="44"/>
      <c r="D321" s="44"/>
      <c r="E321" s="44"/>
      <c r="F321" s="44"/>
      <c r="G321" s="44"/>
      <c r="H321" s="44"/>
      <c r="I321" s="44"/>
      <c r="J321" s="44"/>
      <c r="K321" s="44"/>
      <c r="L321" s="49"/>
      <c r="M321" s="48"/>
      <c r="N321" s="48"/>
      <c r="O321" s="48"/>
      <c r="P321" s="48"/>
      <c r="Q321" s="48"/>
      <c r="R321" s="48"/>
      <c r="S321" s="49"/>
      <c r="T321" s="48"/>
      <c r="U321" s="48"/>
      <c r="V321" s="14">
        <f t="shared" si="36"/>
        <v>0</v>
      </c>
      <c r="W321" s="14">
        <f t="shared" si="37"/>
        <v>0</v>
      </c>
      <c r="X321" s="14">
        <f>IF(AND(V321=1,OR(Painel!$C$6="Todos",D321=Painel!$C$6),AND(OR(Painel!$L$6="Todas",E321=Painel!$L$6),OR(Painel!$C$8="Todos",F321=Painel!$C$8),OR(Painel!$L$8="Todos",G321=Painel!$L$8),OR(Painel!$C$10="",ISNUMBER(SEARCH(SUBSTITUTE(SUBSTITUTE(SUBSTITUTE(Painel!$C$10,"~","~~"),"*","~*"),"?","~?"),A321&amp;" "&amp;H321&amp;" "&amp;I321))))),1,0)</f>
        <v>0</v>
      </c>
      <c r="Y321" s="14">
        <f t="shared" si="38"/>
        <v>0</v>
      </c>
      <c r="Z321" s="15" t="str">
        <f>IF(V321=0,"",IF(COUNTIFS(Andamentos!$K$10:$K$2009,"="&amp;SUBSTITUTE(SUBSTITUTE(SUBSTITUTE("P:"&amp;A321,"~","~~"),"*","~*"),"?","~?"),Andamentos!$G$10:$G$2009,1)=0,"",_xlfn.AGGREGATE(14,6,Andamentos!$D$10:$D$2009/((Andamentos!$K$10:$K$2009=AS321)*(Andamentos!$G$10:$G$2009=1)),1)))</f>
        <v/>
      </c>
      <c r="AA321" s="14">
        <f>IF(Z321="",0,COUNTIFS(Andamentos!$K$10:$K$2009,"="&amp;SUBSTITUTE(SUBSTITUTE(SUBSTITUTE("P:"&amp;A321,"~","~~"),"*","~*"),"?","~?"),Andamentos!$D$10:$D$2009,Z321,Andamentos!$G$10:$G$2009,1))</f>
        <v>0</v>
      </c>
      <c r="AB321" s="14">
        <f>IF(AA321=1,SUMIFS(Andamentos!$L$10:$L$2009,Andamentos!$K$10:$K$2009,"="&amp;SUBSTITUTE(SUBSTITUTE(SUBSTITUTE(AS321,"~","~~"),"*","~*"),"?","~?"),Andamentos!$D$10:$D$2009,Z321,Andamentos!$G$10:$G$2009,1)-9,0)</f>
        <v>0</v>
      </c>
      <c r="AC321" s="14" t="str">
        <f>IF(V321=0,"",IF(AA321&gt;1,"Conferir recebimentos empatados",IF(AB321=0,"Sem atualização",INDEX(Andamentos!$C$10:$C$2009,AB321))))</f>
        <v/>
      </c>
      <c r="AD321" s="14">
        <f>IF(W321=0,0,IF(MAX(Z321,BD321)=0,1,IF(Configurar!$J$12-INT(MAX(Z321,BD321))&gt;Configurar!$J$11,1,0)))</f>
        <v>0</v>
      </c>
      <c r="AE321" s="16"/>
      <c r="AF321" s="14"/>
      <c r="AG321" s="14"/>
      <c r="AH321" s="14">
        <f>IF(AND(V321=1,COUNTIFS(Valores!$S$10:$S$509,"="&amp;SUBSTITUTE(SUBSTITUTE(SUBSTITUTE("P:"&amp;A321,"~","~~"),"*","~*"),"?","~?"))=1),(IF(ISNA(MATCH(SUBSTITUTE(SUBSTITUTE(SUBSTITUTE("P:"&amp;A321,"~","~~"),"*","~*"),"?","~?"),Valores!$S$10:$S$509,0)),9,INDEX(Valores!$R$10:$R$509,MATCH(SUBSTITUTE(SUBSTITUTE(SUBSTITUTE("P:"&amp;A321,"~","~~"),"*","~*"),"?","~?"),Valores!$S$10:$S$509,0)))-9),0)</f>
        <v>0</v>
      </c>
      <c r="AI321" s="40" t="str">
        <f t="shared" si="39"/>
        <v/>
      </c>
      <c r="AJ321" s="14" t="str">
        <f>IF(AND(X321=1,Y321=1),COUNTIFS($X$10:X321,1,$Y$10:Y321,1),"")</f>
        <v/>
      </c>
      <c r="AK321" s="14" t="str">
        <f>IF(X321=1,COUNTIFS($X$10:X321,1),"")</f>
        <v/>
      </c>
      <c r="AL321" s="14">
        <f>IF(AND(V321=1,AND(OR(Painel!$L$6="Todas",E321=Painel!$L$6),OR(Painel!$C$8="Todos",F321=Painel!$C$8),OR(Painel!$L$8="Todos",G321=Painel!$L$8),OR(Painel!$C$10="",ISNUMBER(SEARCH(SUBSTITUTE(SUBSTITUTE(SUBSTITUTE(Painel!$C$10,"~","~~"),"*","~*"),"?","~?"),A321&amp;" "&amp;H321&amp;" "&amp;I321))))),1,0)</f>
        <v>0</v>
      </c>
      <c r="AM321" s="14">
        <f t="shared" si="40"/>
        <v>0</v>
      </c>
      <c r="AN321" s="14"/>
      <c r="AO321" s="14"/>
      <c r="AP321" s="16" t="str">
        <f>IF(AB321=0,"",IF(INDEX(Andamentos!$B$10:$B$2009,AB321)="","",INDEX(Andamentos!$B$10:$B$2009,AB321)))</f>
        <v/>
      </c>
      <c r="AQ321" s="17" t="str">
        <f>IF(AH321=0,"",IF(INDEX(Valores!$B$10:$B$509,AH321)="","",IF(ISNUMBER(INDEX(Valores!$B$10:$B$509,AH321)),INDEX(Valores!$B$10:$B$509,AH321),"")))</f>
        <v/>
      </c>
      <c r="AR321" s="14" t="str">
        <f t="shared" si="41"/>
        <v/>
      </c>
      <c r="AS321" s="14" t="str">
        <f t="shared" si="42"/>
        <v/>
      </c>
      <c r="AT321" s="27"/>
      <c r="AU321" s="31"/>
      <c r="AV321" s="31"/>
      <c r="AW321" s="27"/>
      <c r="AX321" s="27"/>
      <c r="AY321" s="27"/>
      <c r="AZ321" s="27"/>
      <c r="BA321" s="30" t="str">
        <f t="shared" si="43"/>
        <v/>
      </c>
      <c r="BB321" s="30" t="str">
        <f t="shared" si="44"/>
        <v/>
      </c>
      <c r="BC321" s="30">
        <f>IF(X321=0,0,IF(COUNTIFS($X$10:X321,1,$BA$10:BA321,BA321)=1,1,0))</f>
        <v>0</v>
      </c>
      <c r="BD321" s="29"/>
    </row>
    <row r="322" spans="1:56" ht="42" customHeight="1">
      <c r="A322" s="41"/>
      <c r="B322" s="44"/>
      <c r="C322" s="44"/>
      <c r="D322" s="44"/>
      <c r="E322" s="44"/>
      <c r="F322" s="44"/>
      <c r="G322" s="44"/>
      <c r="H322" s="44"/>
      <c r="I322" s="44"/>
      <c r="J322" s="44"/>
      <c r="K322" s="44"/>
      <c r="L322" s="49"/>
      <c r="M322" s="48"/>
      <c r="N322" s="48"/>
      <c r="O322" s="48"/>
      <c r="P322" s="48"/>
      <c r="Q322" s="48"/>
      <c r="R322" s="48"/>
      <c r="S322" s="49"/>
      <c r="T322" s="48"/>
      <c r="U322" s="48"/>
      <c r="V322" s="14">
        <f t="shared" si="36"/>
        <v>0</v>
      </c>
      <c r="W322" s="14">
        <f t="shared" si="37"/>
        <v>0</v>
      </c>
      <c r="X322" s="14">
        <f>IF(AND(V322=1,OR(Painel!$C$6="Todos",D322=Painel!$C$6),AND(OR(Painel!$L$6="Todas",E322=Painel!$L$6),OR(Painel!$C$8="Todos",F322=Painel!$C$8),OR(Painel!$L$8="Todos",G322=Painel!$L$8),OR(Painel!$C$10="",ISNUMBER(SEARCH(SUBSTITUTE(SUBSTITUTE(SUBSTITUTE(Painel!$C$10,"~","~~"),"*","~*"),"?","~?"),A322&amp;" "&amp;H322&amp;" "&amp;I322))))),1,0)</f>
        <v>0</v>
      </c>
      <c r="Y322" s="14">
        <f t="shared" si="38"/>
        <v>0</v>
      </c>
      <c r="Z322" s="15" t="str">
        <f>IF(V322=0,"",IF(COUNTIFS(Andamentos!$K$10:$K$2009,"="&amp;SUBSTITUTE(SUBSTITUTE(SUBSTITUTE("P:"&amp;A322,"~","~~"),"*","~*"),"?","~?"),Andamentos!$G$10:$G$2009,1)=0,"",_xlfn.AGGREGATE(14,6,Andamentos!$D$10:$D$2009/((Andamentos!$K$10:$K$2009=AS322)*(Andamentos!$G$10:$G$2009=1)),1)))</f>
        <v/>
      </c>
      <c r="AA322" s="14">
        <f>IF(Z322="",0,COUNTIFS(Andamentos!$K$10:$K$2009,"="&amp;SUBSTITUTE(SUBSTITUTE(SUBSTITUTE("P:"&amp;A322,"~","~~"),"*","~*"),"?","~?"),Andamentos!$D$10:$D$2009,Z322,Andamentos!$G$10:$G$2009,1))</f>
        <v>0</v>
      </c>
      <c r="AB322" s="14">
        <f>IF(AA322=1,SUMIFS(Andamentos!$L$10:$L$2009,Andamentos!$K$10:$K$2009,"="&amp;SUBSTITUTE(SUBSTITUTE(SUBSTITUTE(AS322,"~","~~"),"*","~*"),"?","~?"),Andamentos!$D$10:$D$2009,Z322,Andamentos!$G$10:$G$2009,1)-9,0)</f>
        <v>0</v>
      </c>
      <c r="AC322" s="14" t="str">
        <f>IF(V322=0,"",IF(AA322&gt;1,"Conferir recebimentos empatados",IF(AB322=0,"Sem atualização",INDEX(Andamentos!$C$10:$C$2009,AB322))))</f>
        <v/>
      </c>
      <c r="AD322" s="14">
        <f>IF(W322=0,0,IF(MAX(Z322,BD322)=0,1,IF(Configurar!$J$12-INT(MAX(Z322,BD322))&gt;Configurar!$J$11,1,0)))</f>
        <v>0</v>
      </c>
      <c r="AE322" s="16"/>
      <c r="AF322" s="14"/>
      <c r="AG322" s="14"/>
      <c r="AH322" s="14">
        <f>IF(AND(V322=1,COUNTIFS(Valores!$S$10:$S$509,"="&amp;SUBSTITUTE(SUBSTITUTE(SUBSTITUTE("P:"&amp;A322,"~","~~"),"*","~*"),"?","~?"))=1),(IF(ISNA(MATCH(SUBSTITUTE(SUBSTITUTE(SUBSTITUTE("P:"&amp;A322,"~","~~"),"*","~*"),"?","~?"),Valores!$S$10:$S$509,0)),9,INDEX(Valores!$R$10:$R$509,MATCH(SUBSTITUTE(SUBSTITUTE(SUBSTITUTE("P:"&amp;A322,"~","~~"),"*","~*"),"?","~?"),Valores!$S$10:$S$509,0)))-9),0)</f>
        <v>0</v>
      </c>
      <c r="AI322" s="40" t="str">
        <f t="shared" si="39"/>
        <v/>
      </c>
      <c r="AJ322" s="14" t="str">
        <f>IF(AND(X322=1,Y322=1),COUNTIFS($X$10:X322,1,$Y$10:Y322,1),"")</f>
        <v/>
      </c>
      <c r="AK322" s="14" t="str">
        <f>IF(X322=1,COUNTIFS($X$10:X322,1),"")</f>
        <v/>
      </c>
      <c r="AL322" s="14">
        <f>IF(AND(V322=1,AND(OR(Painel!$L$6="Todas",E322=Painel!$L$6),OR(Painel!$C$8="Todos",F322=Painel!$C$8),OR(Painel!$L$8="Todos",G322=Painel!$L$8),OR(Painel!$C$10="",ISNUMBER(SEARCH(SUBSTITUTE(SUBSTITUTE(SUBSTITUTE(Painel!$C$10,"~","~~"),"*","~*"),"?","~?"),A322&amp;" "&amp;H322&amp;" "&amp;I322))))),1,0)</f>
        <v>0</v>
      </c>
      <c r="AM322" s="14">
        <f t="shared" si="40"/>
        <v>0</v>
      </c>
      <c r="AN322" s="14"/>
      <c r="AO322" s="14"/>
      <c r="AP322" s="16" t="str">
        <f>IF(AB322=0,"",IF(INDEX(Andamentos!$B$10:$B$2009,AB322)="","",INDEX(Andamentos!$B$10:$B$2009,AB322)))</f>
        <v/>
      </c>
      <c r="AQ322" s="17" t="str">
        <f>IF(AH322=0,"",IF(INDEX(Valores!$B$10:$B$509,AH322)="","",IF(ISNUMBER(INDEX(Valores!$B$10:$B$509,AH322)),INDEX(Valores!$B$10:$B$509,AH322),"")))</f>
        <v/>
      </c>
      <c r="AR322" s="14" t="str">
        <f t="shared" si="41"/>
        <v/>
      </c>
      <c r="AS322" s="14" t="str">
        <f t="shared" si="42"/>
        <v/>
      </c>
      <c r="AT322" s="27"/>
      <c r="AU322" s="31"/>
      <c r="AV322" s="31"/>
      <c r="AW322" s="27"/>
      <c r="AX322" s="27"/>
      <c r="AY322" s="27"/>
      <c r="AZ322" s="27"/>
      <c r="BA322" s="30" t="str">
        <f t="shared" si="43"/>
        <v/>
      </c>
      <c r="BB322" s="30" t="str">
        <f t="shared" si="44"/>
        <v/>
      </c>
      <c r="BC322" s="30">
        <f>IF(X322=0,0,IF(COUNTIFS($X$10:X322,1,$BA$10:BA322,BA322)=1,1,0))</f>
        <v>0</v>
      </c>
      <c r="BD322" s="29"/>
    </row>
    <row r="323" spans="1:56" ht="42" customHeight="1">
      <c r="A323" s="41"/>
      <c r="B323" s="44"/>
      <c r="C323" s="44"/>
      <c r="D323" s="44"/>
      <c r="E323" s="44"/>
      <c r="F323" s="44"/>
      <c r="G323" s="44"/>
      <c r="H323" s="44"/>
      <c r="I323" s="44"/>
      <c r="J323" s="44"/>
      <c r="K323" s="44"/>
      <c r="L323" s="49"/>
      <c r="M323" s="48"/>
      <c r="N323" s="48"/>
      <c r="O323" s="48"/>
      <c r="P323" s="48"/>
      <c r="Q323" s="48"/>
      <c r="R323" s="48"/>
      <c r="S323" s="49"/>
      <c r="T323" s="48"/>
      <c r="U323" s="48"/>
      <c r="V323" s="14">
        <f t="shared" si="36"/>
        <v>0</v>
      </c>
      <c r="W323" s="14">
        <f t="shared" si="37"/>
        <v>0</v>
      </c>
      <c r="X323" s="14">
        <f>IF(AND(V323=1,OR(Painel!$C$6="Todos",D323=Painel!$C$6),AND(OR(Painel!$L$6="Todas",E323=Painel!$L$6),OR(Painel!$C$8="Todos",F323=Painel!$C$8),OR(Painel!$L$8="Todos",G323=Painel!$L$8),OR(Painel!$C$10="",ISNUMBER(SEARCH(SUBSTITUTE(SUBSTITUTE(SUBSTITUTE(Painel!$C$10,"~","~~"),"*","~*"),"?","~?"),A323&amp;" "&amp;H323&amp;" "&amp;I323))))),1,0)</f>
        <v>0</v>
      </c>
      <c r="Y323" s="14">
        <f t="shared" si="38"/>
        <v>0</v>
      </c>
      <c r="Z323" s="15" t="str">
        <f>IF(V323=0,"",IF(COUNTIFS(Andamentos!$K$10:$K$2009,"="&amp;SUBSTITUTE(SUBSTITUTE(SUBSTITUTE("P:"&amp;A323,"~","~~"),"*","~*"),"?","~?"),Andamentos!$G$10:$G$2009,1)=0,"",_xlfn.AGGREGATE(14,6,Andamentos!$D$10:$D$2009/((Andamentos!$K$10:$K$2009=AS323)*(Andamentos!$G$10:$G$2009=1)),1)))</f>
        <v/>
      </c>
      <c r="AA323" s="14">
        <f>IF(Z323="",0,COUNTIFS(Andamentos!$K$10:$K$2009,"="&amp;SUBSTITUTE(SUBSTITUTE(SUBSTITUTE("P:"&amp;A323,"~","~~"),"*","~*"),"?","~?"),Andamentos!$D$10:$D$2009,Z323,Andamentos!$G$10:$G$2009,1))</f>
        <v>0</v>
      </c>
      <c r="AB323" s="14">
        <f>IF(AA323=1,SUMIFS(Andamentos!$L$10:$L$2009,Andamentos!$K$10:$K$2009,"="&amp;SUBSTITUTE(SUBSTITUTE(SUBSTITUTE(AS323,"~","~~"),"*","~*"),"?","~?"),Andamentos!$D$10:$D$2009,Z323,Andamentos!$G$10:$G$2009,1)-9,0)</f>
        <v>0</v>
      </c>
      <c r="AC323" s="14" t="str">
        <f>IF(V323=0,"",IF(AA323&gt;1,"Conferir recebimentos empatados",IF(AB323=0,"Sem atualização",INDEX(Andamentos!$C$10:$C$2009,AB323))))</f>
        <v/>
      </c>
      <c r="AD323" s="14">
        <f>IF(W323=0,0,IF(MAX(Z323,BD323)=0,1,IF(Configurar!$J$12-INT(MAX(Z323,BD323))&gt;Configurar!$J$11,1,0)))</f>
        <v>0</v>
      </c>
      <c r="AE323" s="16"/>
      <c r="AF323" s="14"/>
      <c r="AG323" s="14"/>
      <c r="AH323" s="14">
        <f>IF(AND(V323=1,COUNTIFS(Valores!$S$10:$S$509,"="&amp;SUBSTITUTE(SUBSTITUTE(SUBSTITUTE("P:"&amp;A323,"~","~~"),"*","~*"),"?","~?"))=1),(IF(ISNA(MATCH(SUBSTITUTE(SUBSTITUTE(SUBSTITUTE("P:"&amp;A323,"~","~~"),"*","~*"),"?","~?"),Valores!$S$10:$S$509,0)),9,INDEX(Valores!$R$10:$R$509,MATCH(SUBSTITUTE(SUBSTITUTE(SUBSTITUTE("P:"&amp;A323,"~","~~"),"*","~*"),"?","~?"),Valores!$S$10:$S$509,0)))-9),0)</f>
        <v>0</v>
      </c>
      <c r="AI323" s="40" t="str">
        <f t="shared" si="39"/>
        <v/>
      </c>
      <c r="AJ323" s="14" t="str">
        <f>IF(AND(X323=1,Y323=1),COUNTIFS($X$10:X323,1,$Y$10:Y323,1),"")</f>
        <v/>
      </c>
      <c r="AK323" s="14" t="str">
        <f>IF(X323=1,COUNTIFS($X$10:X323,1),"")</f>
        <v/>
      </c>
      <c r="AL323" s="14">
        <f>IF(AND(V323=1,AND(OR(Painel!$L$6="Todas",E323=Painel!$L$6),OR(Painel!$C$8="Todos",F323=Painel!$C$8),OR(Painel!$L$8="Todos",G323=Painel!$L$8),OR(Painel!$C$10="",ISNUMBER(SEARCH(SUBSTITUTE(SUBSTITUTE(SUBSTITUTE(Painel!$C$10,"~","~~"),"*","~*"),"?","~?"),A323&amp;" "&amp;H323&amp;" "&amp;I323))))),1,0)</f>
        <v>0</v>
      </c>
      <c r="AM323" s="14">
        <f t="shared" si="40"/>
        <v>0</v>
      </c>
      <c r="AN323" s="14"/>
      <c r="AO323" s="14"/>
      <c r="AP323" s="16" t="str">
        <f>IF(AB323=0,"",IF(INDEX(Andamentos!$B$10:$B$2009,AB323)="","",INDEX(Andamentos!$B$10:$B$2009,AB323)))</f>
        <v/>
      </c>
      <c r="AQ323" s="17" t="str">
        <f>IF(AH323=0,"",IF(INDEX(Valores!$B$10:$B$509,AH323)="","",IF(ISNUMBER(INDEX(Valores!$B$10:$B$509,AH323)),INDEX(Valores!$B$10:$B$509,AH323),"")))</f>
        <v/>
      </c>
      <c r="AR323" s="14" t="str">
        <f t="shared" si="41"/>
        <v/>
      </c>
      <c r="AS323" s="14" t="str">
        <f t="shared" si="42"/>
        <v/>
      </c>
      <c r="AT323" s="27"/>
      <c r="AU323" s="31"/>
      <c r="AV323" s="31"/>
      <c r="AW323" s="27"/>
      <c r="AX323" s="27"/>
      <c r="AY323" s="27"/>
      <c r="AZ323" s="27"/>
      <c r="BA323" s="30" t="str">
        <f t="shared" si="43"/>
        <v/>
      </c>
      <c r="BB323" s="30" t="str">
        <f t="shared" si="44"/>
        <v/>
      </c>
      <c r="BC323" s="30">
        <f>IF(X323=0,0,IF(COUNTIFS($X$10:X323,1,$BA$10:BA323,BA323)=1,1,0))</f>
        <v>0</v>
      </c>
      <c r="BD323" s="29"/>
    </row>
    <row r="324" spans="1:56" ht="42" customHeight="1">
      <c r="A324" s="41"/>
      <c r="B324" s="44"/>
      <c r="C324" s="44"/>
      <c r="D324" s="44"/>
      <c r="E324" s="44"/>
      <c r="F324" s="44"/>
      <c r="G324" s="44"/>
      <c r="H324" s="44"/>
      <c r="I324" s="44"/>
      <c r="J324" s="44"/>
      <c r="K324" s="44"/>
      <c r="L324" s="49"/>
      <c r="M324" s="48"/>
      <c r="N324" s="48"/>
      <c r="O324" s="48"/>
      <c r="P324" s="48"/>
      <c r="Q324" s="48"/>
      <c r="R324" s="48"/>
      <c r="S324" s="49"/>
      <c r="T324" s="48"/>
      <c r="U324" s="48"/>
      <c r="V324" s="14">
        <f t="shared" si="36"/>
        <v>0</v>
      </c>
      <c r="W324" s="14">
        <f t="shared" si="37"/>
        <v>0</v>
      </c>
      <c r="X324" s="14">
        <f>IF(AND(V324=1,OR(Painel!$C$6="Todos",D324=Painel!$C$6),AND(OR(Painel!$L$6="Todas",E324=Painel!$L$6),OR(Painel!$C$8="Todos",F324=Painel!$C$8),OR(Painel!$L$8="Todos",G324=Painel!$L$8),OR(Painel!$C$10="",ISNUMBER(SEARCH(SUBSTITUTE(SUBSTITUTE(SUBSTITUTE(Painel!$C$10,"~","~~"),"*","~*"),"?","~?"),A324&amp;" "&amp;H324&amp;" "&amp;I324))))),1,0)</f>
        <v>0</v>
      </c>
      <c r="Y324" s="14">
        <f t="shared" si="38"/>
        <v>0</v>
      </c>
      <c r="Z324" s="15" t="str">
        <f>IF(V324=0,"",IF(COUNTIFS(Andamentos!$K$10:$K$2009,"="&amp;SUBSTITUTE(SUBSTITUTE(SUBSTITUTE("P:"&amp;A324,"~","~~"),"*","~*"),"?","~?"),Andamentos!$G$10:$G$2009,1)=0,"",_xlfn.AGGREGATE(14,6,Andamentos!$D$10:$D$2009/((Andamentos!$K$10:$K$2009=AS324)*(Andamentos!$G$10:$G$2009=1)),1)))</f>
        <v/>
      </c>
      <c r="AA324" s="14">
        <f>IF(Z324="",0,COUNTIFS(Andamentos!$K$10:$K$2009,"="&amp;SUBSTITUTE(SUBSTITUTE(SUBSTITUTE("P:"&amp;A324,"~","~~"),"*","~*"),"?","~?"),Andamentos!$D$10:$D$2009,Z324,Andamentos!$G$10:$G$2009,1))</f>
        <v>0</v>
      </c>
      <c r="AB324" s="14">
        <f>IF(AA324=1,SUMIFS(Andamentos!$L$10:$L$2009,Andamentos!$K$10:$K$2009,"="&amp;SUBSTITUTE(SUBSTITUTE(SUBSTITUTE(AS324,"~","~~"),"*","~*"),"?","~?"),Andamentos!$D$10:$D$2009,Z324,Andamentos!$G$10:$G$2009,1)-9,0)</f>
        <v>0</v>
      </c>
      <c r="AC324" s="14" t="str">
        <f>IF(V324=0,"",IF(AA324&gt;1,"Conferir recebimentos empatados",IF(AB324=0,"Sem atualização",INDEX(Andamentos!$C$10:$C$2009,AB324))))</f>
        <v/>
      </c>
      <c r="AD324" s="14">
        <f>IF(W324=0,0,IF(MAX(Z324,BD324)=0,1,IF(Configurar!$J$12-INT(MAX(Z324,BD324))&gt;Configurar!$J$11,1,0)))</f>
        <v>0</v>
      </c>
      <c r="AE324" s="16"/>
      <c r="AF324" s="14"/>
      <c r="AG324" s="14"/>
      <c r="AH324" s="14">
        <f>IF(AND(V324=1,COUNTIFS(Valores!$S$10:$S$509,"="&amp;SUBSTITUTE(SUBSTITUTE(SUBSTITUTE("P:"&amp;A324,"~","~~"),"*","~*"),"?","~?"))=1),(IF(ISNA(MATCH(SUBSTITUTE(SUBSTITUTE(SUBSTITUTE("P:"&amp;A324,"~","~~"),"*","~*"),"?","~?"),Valores!$S$10:$S$509,0)),9,INDEX(Valores!$R$10:$R$509,MATCH(SUBSTITUTE(SUBSTITUTE(SUBSTITUTE("P:"&amp;A324,"~","~~"),"*","~*"),"?","~?"),Valores!$S$10:$S$509,0)))-9),0)</f>
        <v>0</v>
      </c>
      <c r="AI324" s="40" t="str">
        <f t="shared" si="39"/>
        <v/>
      </c>
      <c r="AJ324" s="14" t="str">
        <f>IF(AND(X324=1,Y324=1),COUNTIFS($X$10:X324,1,$Y$10:Y324,1),"")</f>
        <v/>
      </c>
      <c r="AK324" s="14" t="str">
        <f>IF(X324=1,COUNTIFS($X$10:X324,1),"")</f>
        <v/>
      </c>
      <c r="AL324" s="14">
        <f>IF(AND(V324=1,AND(OR(Painel!$L$6="Todas",E324=Painel!$L$6),OR(Painel!$C$8="Todos",F324=Painel!$C$8),OR(Painel!$L$8="Todos",G324=Painel!$L$8),OR(Painel!$C$10="",ISNUMBER(SEARCH(SUBSTITUTE(SUBSTITUTE(SUBSTITUTE(Painel!$C$10,"~","~~"),"*","~*"),"?","~?"),A324&amp;" "&amp;H324&amp;" "&amp;I324))))),1,0)</f>
        <v>0</v>
      </c>
      <c r="AM324" s="14">
        <f t="shared" si="40"/>
        <v>0</v>
      </c>
      <c r="AN324" s="14"/>
      <c r="AO324" s="14"/>
      <c r="AP324" s="16" t="str">
        <f>IF(AB324=0,"",IF(INDEX(Andamentos!$B$10:$B$2009,AB324)="","",INDEX(Andamentos!$B$10:$B$2009,AB324)))</f>
        <v/>
      </c>
      <c r="AQ324" s="17" t="str">
        <f>IF(AH324=0,"",IF(INDEX(Valores!$B$10:$B$509,AH324)="","",IF(ISNUMBER(INDEX(Valores!$B$10:$B$509,AH324)),INDEX(Valores!$B$10:$B$509,AH324),"")))</f>
        <v/>
      </c>
      <c r="AR324" s="14" t="str">
        <f t="shared" si="41"/>
        <v/>
      </c>
      <c r="AS324" s="14" t="str">
        <f t="shared" si="42"/>
        <v/>
      </c>
      <c r="AT324" s="27"/>
      <c r="AU324" s="31"/>
      <c r="AV324" s="31"/>
      <c r="AW324" s="27"/>
      <c r="AX324" s="27"/>
      <c r="AY324" s="27"/>
      <c r="AZ324" s="27"/>
      <c r="BA324" s="30" t="str">
        <f t="shared" si="43"/>
        <v/>
      </c>
      <c r="BB324" s="30" t="str">
        <f t="shared" si="44"/>
        <v/>
      </c>
      <c r="BC324" s="30">
        <f>IF(X324=0,0,IF(COUNTIFS($X$10:X324,1,$BA$10:BA324,BA324)=1,1,0))</f>
        <v>0</v>
      </c>
      <c r="BD324" s="29"/>
    </row>
    <row r="325" spans="1:56" ht="42" customHeight="1">
      <c r="A325" s="41"/>
      <c r="B325" s="44"/>
      <c r="C325" s="44"/>
      <c r="D325" s="44"/>
      <c r="E325" s="44"/>
      <c r="F325" s="44"/>
      <c r="G325" s="44"/>
      <c r="H325" s="44"/>
      <c r="I325" s="44"/>
      <c r="J325" s="44"/>
      <c r="K325" s="44"/>
      <c r="L325" s="49"/>
      <c r="M325" s="48"/>
      <c r="N325" s="48"/>
      <c r="O325" s="48"/>
      <c r="P325" s="48"/>
      <c r="Q325" s="48"/>
      <c r="R325" s="48"/>
      <c r="S325" s="49"/>
      <c r="T325" s="48"/>
      <c r="U325" s="48"/>
      <c r="V325" s="14">
        <f t="shared" si="36"/>
        <v>0</v>
      </c>
      <c r="W325" s="14">
        <f t="shared" si="37"/>
        <v>0</v>
      </c>
      <c r="X325" s="14">
        <f>IF(AND(V325=1,OR(Painel!$C$6="Todos",D325=Painel!$C$6),AND(OR(Painel!$L$6="Todas",E325=Painel!$L$6),OR(Painel!$C$8="Todos",F325=Painel!$C$8),OR(Painel!$L$8="Todos",G325=Painel!$L$8),OR(Painel!$C$10="",ISNUMBER(SEARCH(SUBSTITUTE(SUBSTITUTE(SUBSTITUTE(Painel!$C$10,"~","~~"),"*","~*"),"?","~?"),A325&amp;" "&amp;H325&amp;" "&amp;I325))))),1,0)</f>
        <v>0</v>
      </c>
      <c r="Y325" s="14">
        <f t="shared" si="38"/>
        <v>0</v>
      </c>
      <c r="Z325" s="15" t="str">
        <f>IF(V325=0,"",IF(COUNTIFS(Andamentos!$K$10:$K$2009,"="&amp;SUBSTITUTE(SUBSTITUTE(SUBSTITUTE("P:"&amp;A325,"~","~~"),"*","~*"),"?","~?"),Andamentos!$G$10:$G$2009,1)=0,"",_xlfn.AGGREGATE(14,6,Andamentos!$D$10:$D$2009/((Andamentos!$K$10:$K$2009=AS325)*(Andamentos!$G$10:$G$2009=1)),1)))</f>
        <v/>
      </c>
      <c r="AA325" s="14">
        <f>IF(Z325="",0,COUNTIFS(Andamentos!$K$10:$K$2009,"="&amp;SUBSTITUTE(SUBSTITUTE(SUBSTITUTE("P:"&amp;A325,"~","~~"),"*","~*"),"?","~?"),Andamentos!$D$10:$D$2009,Z325,Andamentos!$G$10:$G$2009,1))</f>
        <v>0</v>
      </c>
      <c r="AB325" s="14">
        <f>IF(AA325=1,SUMIFS(Andamentos!$L$10:$L$2009,Andamentos!$K$10:$K$2009,"="&amp;SUBSTITUTE(SUBSTITUTE(SUBSTITUTE(AS325,"~","~~"),"*","~*"),"?","~?"),Andamentos!$D$10:$D$2009,Z325,Andamentos!$G$10:$G$2009,1)-9,0)</f>
        <v>0</v>
      </c>
      <c r="AC325" s="14" t="str">
        <f>IF(V325=0,"",IF(AA325&gt;1,"Conferir recebimentos empatados",IF(AB325=0,"Sem atualização",INDEX(Andamentos!$C$10:$C$2009,AB325))))</f>
        <v/>
      </c>
      <c r="AD325" s="14">
        <f>IF(W325=0,0,IF(MAX(Z325,BD325)=0,1,IF(Configurar!$J$12-INT(MAX(Z325,BD325))&gt;Configurar!$J$11,1,0)))</f>
        <v>0</v>
      </c>
      <c r="AE325" s="16"/>
      <c r="AF325" s="14"/>
      <c r="AG325" s="14"/>
      <c r="AH325" s="14">
        <f>IF(AND(V325=1,COUNTIFS(Valores!$S$10:$S$509,"="&amp;SUBSTITUTE(SUBSTITUTE(SUBSTITUTE("P:"&amp;A325,"~","~~"),"*","~*"),"?","~?"))=1),(IF(ISNA(MATCH(SUBSTITUTE(SUBSTITUTE(SUBSTITUTE("P:"&amp;A325,"~","~~"),"*","~*"),"?","~?"),Valores!$S$10:$S$509,0)),9,INDEX(Valores!$R$10:$R$509,MATCH(SUBSTITUTE(SUBSTITUTE(SUBSTITUTE("P:"&amp;A325,"~","~~"),"*","~*"),"?","~?"),Valores!$S$10:$S$509,0)))-9),0)</f>
        <v>0</v>
      </c>
      <c r="AI325" s="40" t="str">
        <f t="shared" si="39"/>
        <v/>
      </c>
      <c r="AJ325" s="14" t="str">
        <f>IF(AND(X325=1,Y325=1),COUNTIFS($X$10:X325,1,$Y$10:Y325,1),"")</f>
        <v/>
      </c>
      <c r="AK325" s="14" t="str">
        <f>IF(X325=1,COUNTIFS($X$10:X325,1),"")</f>
        <v/>
      </c>
      <c r="AL325" s="14">
        <f>IF(AND(V325=1,AND(OR(Painel!$L$6="Todas",E325=Painel!$L$6),OR(Painel!$C$8="Todos",F325=Painel!$C$8),OR(Painel!$L$8="Todos",G325=Painel!$L$8),OR(Painel!$C$10="",ISNUMBER(SEARCH(SUBSTITUTE(SUBSTITUTE(SUBSTITUTE(Painel!$C$10,"~","~~"),"*","~*"),"?","~?"),A325&amp;" "&amp;H325&amp;" "&amp;I325))))),1,0)</f>
        <v>0</v>
      </c>
      <c r="AM325" s="14">
        <f t="shared" si="40"/>
        <v>0</v>
      </c>
      <c r="AN325" s="14"/>
      <c r="AO325" s="14"/>
      <c r="AP325" s="16" t="str">
        <f>IF(AB325=0,"",IF(INDEX(Andamentos!$B$10:$B$2009,AB325)="","",INDEX(Andamentos!$B$10:$B$2009,AB325)))</f>
        <v/>
      </c>
      <c r="AQ325" s="17" t="str">
        <f>IF(AH325=0,"",IF(INDEX(Valores!$B$10:$B$509,AH325)="","",IF(ISNUMBER(INDEX(Valores!$B$10:$B$509,AH325)),INDEX(Valores!$B$10:$B$509,AH325),"")))</f>
        <v/>
      </c>
      <c r="AR325" s="14" t="str">
        <f t="shared" si="41"/>
        <v/>
      </c>
      <c r="AS325" s="14" t="str">
        <f t="shared" si="42"/>
        <v/>
      </c>
      <c r="AT325" s="27"/>
      <c r="AU325" s="31"/>
      <c r="AV325" s="31"/>
      <c r="AW325" s="27"/>
      <c r="AX325" s="27"/>
      <c r="AY325" s="27"/>
      <c r="AZ325" s="27"/>
      <c r="BA325" s="30" t="str">
        <f t="shared" si="43"/>
        <v/>
      </c>
      <c r="BB325" s="30" t="str">
        <f t="shared" si="44"/>
        <v/>
      </c>
      <c r="BC325" s="30">
        <f>IF(X325=0,0,IF(COUNTIFS($X$10:X325,1,$BA$10:BA325,BA325)=1,1,0))</f>
        <v>0</v>
      </c>
      <c r="BD325" s="29"/>
    </row>
    <row r="326" spans="1:56" ht="42" customHeight="1">
      <c r="A326" s="41"/>
      <c r="B326" s="44"/>
      <c r="C326" s="44"/>
      <c r="D326" s="44"/>
      <c r="E326" s="44"/>
      <c r="F326" s="44"/>
      <c r="G326" s="44"/>
      <c r="H326" s="44"/>
      <c r="I326" s="44"/>
      <c r="J326" s="44"/>
      <c r="K326" s="44"/>
      <c r="L326" s="49"/>
      <c r="M326" s="48"/>
      <c r="N326" s="48"/>
      <c r="O326" s="48"/>
      <c r="P326" s="48"/>
      <c r="Q326" s="48"/>
      <c r="R326" s="48"/>
      <c r="S326" s="49"/>
      <c r="T326" s="48"/>
      <c r="U326" s="48"/>
      <c r="V326" s="14">
        <f t="shared" si="36"/>
        <v>0</v>
      </c>
      <c r="W326" s="14">
        <f t="shared" si="37"/>
        <v>0</v>
      </c>
      <c r="X326" s="14">
        <f>IF(AND(V326=1,OR(Painel!$C$6="Todos",D326=Painel!$C$6),AND(OR(Painel!$L$6="Todas",E326=Painel!$L$6),OR(Painel!$C$8="Todos",F326=Painel!$C$8),OR(Painel!$L$8="Todos",G326=Painel!$L$8),OR(Painel!$C$10="",ISNUMBER(SEARCH(SUBSTITUTE(SUBSTITUTE(SUBSTITUTE(Painel!$C$10,"~","~~"),"*","~*"),"?","~?"),A326&amp;" "&amp;H326&amp;" "&amp;I326))))),1,0)</f>
        <v>0</v>
      </c>
      <c r="Y326" s="14">
        <f t="shared" si="38"/>
        <v>0</v>
      </c>
      <c r="Z326" s="15" t="str">
        <f>IF(V326=0,"",IF(COUNTIFS(Andamentos!$K$10:$K$2009,"="&amp;SUBSTITUTE(SUBSTITUTE(SUBSTITUTE("P:"&amp;A326,"~","~~"),"*","~*"),"?","~?"),Andamentos!$G$10:$G$2009,1)=0,"",_xlfn.AGGREGATE(14,6,Andamentos!$D$10:$D$2009/((Andamentos!$K$10:$K$2009=AS326)*(Andamentos!$G$10:$G$2009=1)),1)))</f>
        <v/>
      </c>
      <c r="AA326" s="14">
        <f>IF(Z326="",0,COUNTIFS(Andamentos!$K$10:$K$2009,"="&amp;SUBSTITUTE(SUBSTITUTE(SUBSTITUTE("P:"&amp;A326,"~","~~"),"*","~*"),"?","~?"),Andamentos!$D$10:$D$2009,Z326,Andamentos!$G$10:$G$2009,1))</f>
        <v>0</v>
      </c>
      <c r="AB326" s="14">
        <f>IF(AA326=1,SUMIFS(Andamentos!$L$10:$L$2009,Andamentos!$K$10:$K$2009,"="&amp;SUBSTITUTE(SUBSTITUTE(SUBSTITUTE(AS326,"~","~~"),"*","~*"),"?","~?"),Andamentos!$D$10:$D$2009,Z326,Andamentos!$G$10:$G$2009,1)-9,0)</f>
        <v>0</v>
      </c>
      <c r="AC326" s="14" t="str">
        <f>IF(V326=0,"",IF(AA326&gt;1,"Conferir recebimentos empatados",IF(AB326=0,"Sem atualização",INDEX(Andamentos!$C$10:$C$2009,AB326))))</f>
        <v/>
      </c>
      <c r="AD326" s="14">
        <f>IF(W326=0,0,IF(MAX(Z326,BD326)=0,1,IF(Configurar!$J$12-INT(MAX(Z326,BD326))&gt;Configurar!$J$11,1,0)))</f>
        <v>0</v>
      </c>
      <c r="AE326" s="16"/>
      <c r="AF326" s="14"/>
      <c r="AG326" s="14"/>
      <c r="AH326" s="14">
        <f>IF(AND(V326=1,COUNTIFS(Valores!$S$10:$S$509,"="&amp;SUBSTITUTE(SUBSTITUTE(SUBSTITUTE("P:"&amp;A326,"~","~~"),"*","~*"),"?","~?"))=1),(IF(ISNA(MATCH(SUBSTITUTE(SUBSTITUTE(SUBSTITUTE("P:"&amp;A326,"~","~~"),"*","~*"),"?","~?"),Valores!$S$10:$S$509,0)),9,INDEX(Valores!$R$10:$R$509,MATCH(SUBSTITUTE(SUBSTITUTE(SUBSTITUTE("P:"&amp;A326,"~","~~"),"*","~*"),"?","~?"),Valores!$S$10:$S$509,0)))-9),0)</f>
        <v>0</v>
      </c>
      <c r="AI326" s="40" t="str">
        <f t="shared" si="39"/>
        <v/>
      </c>
      <c r="AJ326" s="14" t="str">
        <f>IF(AND(X326=1,Y326=1),COUNTIFS($X$10:X326,1,$Y$10:Y326,1),"")</f>
        <v/>
      </c>
      <c r="AK326" s="14" t="str">
        <f>IF(X326=1,COUNTIFS($X$10:X326,1),"")</f>
        <v/>
      </c>
      <c r="AL326" s="14">
        <f>IF(AND(V326=1,AND(OR(Painel!$L$6="Todas",E326=Painel!$L$6),OR(Painel!$C$8="Todos",F326=Painel!$C$8),OR(Painel!$L$8="Todos",G326=Painel!$L$8),OR(Painel!$C$10="",ISNUMBER(SEARCH(SUBSTITUTE(SUBSTITUTE(SUBSTITUTE(Painel!$C$10,"~","~~"),"*","~*"),"?","~?"),A326&amp;" "&amp;H326&amp;" "&amp;I326))))),1,0)</f>
        <v>0</v>
      </c>
      <c r="AM326" s="14">
        <f t="shared" si="40"/>
        <v>0</v>
      </c>
      <c r="AN326" s="14"/>
      <c r="AO326" s="14"/>
      <c r="AP326" s="16" t="str">
        <f>IF(AB326=0,"",IF(INDEX(Andamentos!$B$10:$B$2009,AB326)="","",INDEX(Andamentos!$B$10:$B$2009,AB326)))</f>
        <v/>
      </c>
      <c r="AQ326" s="17" t="str">
        <f>IF(AH326=0,"",IF(INDEX(Valores!$B$10:$B$509,AH326)="","",IF(ISNUMBER(INDEX(Valores!$B$10:$B$509,AH326)),INDEX(Valores!$B$10:$B$509,AH326),"")))</f>
        <v/>
      </c>
      <c r="AR326" s="14" t="str">
        <f t="shared" si="41"/>
        <v/>
      </c>
      <c r="AS326" s="14" t="str">
        <f t="shared" si="42"/>
        <v/>
      </c>
      <c r="AT326" s="27"/>
      <c r="AU326" s="31"/>
      <c r="AV326" s="31"/>
      <c r="AW326" s="27"/>
      <c r="AX326" s="27"/>
      <c r="AY326" s="27"/>
      <c r="AZ326" s="27"/>
      <c r="BA326" s="30" t="str">
        <f t="shared" si="43"/>
        <v/>
      </c>
      <c r="BB326" s="30" t="str">
        <f t="shared" si="44"/>
        <v/>
      </c>
      <c r="BC326" s="30">
        <f>IF(X326=0,0,IF(COUNTIFS($X$10:X326,1,$BA$10:BA326,BA326)=1,1,0))</f>
        <v>0</v>
      </c>
      <c r="BD326" s="29"/>
    </row>
    <row r="327" spans="1:56" ht="42" customHeight="1">
      <c r="A327" s="41"/>
      <c r="B327" s="44"/>
      <c r="C327" s="44"/>
      <c r="D327" s="44"/>
      <c r="E327" s="44"/>
      <c r="F327" s="44"/>
      <c r="G327" s="44"/>
      <c r="H327" s="44"/>
      <c r="I327" s="44"/>
      <c r="J327" s="44"/>
      <c r="K327" s="44"/>
      <c r="L327" s="49"/>
      <c r="M327" s="48"/>
      <c r="N327" s="48"/>
      <c r="O327" s="48"/>
      <c r="P327" s="48"/>
      <c r="Q327" s="48"/>
      <c r="R327" s="48"/>
      <c r="S327" s="49"/>
      <c r="T327" s="48"/>
      <c r="U327" s="48"/>
      <c r="V327" s="14">
        <f t="shared" si="36"/>
        <v>0</v>
      </c>
      <c r="W327" s="14">
        <f t="shared" si="37"/>
        <v>0</v>
      </c>
      <c r="X327" s="14">
        <f>IF(AND(V327=1,OR(Painel!$C$6="Todos",D327=Painel!$C$6),AND(OR(Painel!$L$6="Todas",E327=Painel!$L$6),OR(Painel!$C$8="Todos",F327=Painel!$C$8),OR(Painel!$L$8="Todos",G327=Painel!$L$8),OR(Painel!$C$10="",ISNUMBER(SEARCH(SUBSTITUTE(SUBSTITUTE(SUBSTITUTE(Painel!$C$10,"~","~~"),"*","~*"),"?","~?"),A327&amp;" "&amp;H327&amp;" "&amp;I327))))),1,0)</f>
        <v>0</v>
      </c>
      <c r="Y327" s="14">
        <f t="shared" si="38"/>
        <v>0</v>
      </c>
      <c r="Z327" s="15" t="str">
        <f>IF(V327=0,"",IF(COUNTIFS(Andamentos!$K$10:$K$2009,"="&amp;SUBSTITUTE(SUBSTITUTE(SUBSTITUTE("P:"&amp;A327,"~","~~"),"*","~*"),"?","~?"),Andamentos!$G$10:$G$2009,1)=0,"",_xlfn.AGGREGATE(14,6,Andamentos!$D$10:$D$2009/((Andamentos!$K$10:$K$2009=AS327)*(Andamentos!$G$10:$G$2009=1)),1)))</f>
        <v/>
      </c>
      <c r="AA327" s="14">
        <f>IF(Z327="",0,COUNTIFS(Andamentos!$K$10:$K$2009,"="&amp;SUBSTITUTE(SUBSTITUTE(SUBSTITUTE("P:"&amp;A327,"~","~~"),"*","~*"),"?","~?"),Andamentos!$D$10:$D$2009,Z327,Andamentos!$G$10:$G$2009,1))</f>
        <v>0</v>
      </c>
      <c r="AB327" s="14">
        <f>IF(AA327=1,SUMIFS(Andamentos!$L$10:$L$2009,Andamentos!$K$10:$K$2009,"="&amp;SUBSTITUTE(SUBSTITUTE(SUBSTITUTE(AS327,"~","~~"),"*","~*"),"?","~?"),Andamentos!$D$10:$D$2009,Z327,Andamentos!$G$10:$G$2009,1)-9,0)</f>
        <v>0</v>
      </c>
      <c r="AC327" s="14" t="str">
        <f>IF(V327=0,"",IF(AA327&gt;1,"Conferir recebimentos empatados",IF(AB327=0,"Sem atualização",INDEX(Andamentos!$C$10:$C$2009,AB327))))</f>
        <v/>
      </c>
      <c r="AD327" s="14">
        <f>IF(W327=0,0,IF(MAX(Z327,BD327)=0,1,IF(Configurar!$J$12-INT(MAX(Z327,BD327))&gt;Configurar!$J$11,1,0)))</f>
        <v>0</v>
      </c>
      <c r="AE327" s="16"/>
      <c r="AF327" s="14"/>
      <c r="AG327" s="14"/>
      <c r="AH327" s="14">
        <f>IF(AND(V327=1,COUNTIFS(Valores!$S$10:$S$509,"="&amp;SUBSTITUTE(SUBSTITUTE(SUBSTITUTE("P:"&amp;A327,"~","~~"),"*","~*"),"?","~?"))=1),(IF(ISNA(MATCH(SUBSTITUTE(SUBSTITUTE(SUBSTITUTE("P:"&amp;A327,"~","~~"),"*","~*"),"?","~?"),Valores!$S$10:$S$509,0)),9,INDEX(Valores!$R$10:$R$509,MATCH(SUBSTITUTE(SUBSTITUTE(SUBSTITUTE("P:"&amp;A327,"~","~~"),"*","~*"),"?","~?"),Valores!$S$10:$S$509,0)))-9),0)</f>
        <v>0</v>
      </c>
      <c r="AI327" s="40" t="str">
        <f t="shared" si="39"/>
        <v/>
      </c>
      <c r="AJ327" s="14" t="str">
        <f>IF(AND(X327=1,Y327=1),COUNTIFS($X$10:X327,1,$Y$10:Y327,1),"")</f>
        <v/>
      </c>
      <c r="AK327" s="14" t="str">
        <f>IF(X327=1,COUNTIFS($X$10:X327,1),"")</f>
        <v/>
      </c>
      <c r="AL327" s="14">
        <f>IF(AND(V327=1,AND(OR(Painel!$L$6="Todas",E327=Painel!$L$6),OR(Painel!$C$8="Todos",F327=Painel!$C$8),OR(Painel!$L$8="Todos",G327=Painel!$L$8),OR(Painel!$C$10="",ISNUMBER(SEARCH(SUBSTITUTE(SUBSTITUTE(SUBSTITUTE(Painel!$C$10,"~","~~"),"*","~*"),"?","~?"),A327&amp;" "&amp;H327&amp;" "&amp;I327))))),1,0)</f>
        <v>0</v>
      </c>
      <c r="AM327" s="14">
        <f t="shared" si="40"/>
        <v>0</v>
      </c>
      <c r="AN327" s="14"/>
      <c r="AO327" s="14"/>
      <c r="AP327" s="16" t="str">
        <f>IF(AB327=0,"",IF(INDEX(Andamentos!$B$10:$B$2009,AB327)="","",INDEX(Andamentos!$B$10:$B$2009,AB327)))</f>
        <v/>
      </c>
      <c r="AQ327" s="17" t="str">
        <f>IF(AH327=0,"",IF(INDEX(Valores!$B$10:$B$509,AH327)="","",IF(ISNUMBER(INDEX(Valores!$B$10:$B$509,AH327)),INDEX(Valores!$B$10:$B$509,AH327),"")))</f>
        <v/>
      </c>
      <c r="AR327" s="14" t="str">
        <f t="shared" si="41"/>
        <v/>
      </c>
      <c r="AS327" s="14" t="str">
        <f t="shared" si="42"/>
        <v/>
      </c>
      <c r="AT327" s="27"/>
      <c r="AU327" s="31"/>
      <c r="AV327" s="31"/>
      <c r="AW327" s="27"/>
      <c r="AX327" s="27"/>
      <c r="AY327" s="27"/>
      <c r="AZ327" s="27"/>
      <c r="BA327" s="30" t="str">
        <f t="shared" si="43"/>
        <v/>
      </c>
      <c r="BB327" s="30" t="str">
        <f t="shared" si="44"/>
        <v/>
      </c>
      <c r="BC327" s="30">
        <f>IF(X327=0,0,IF(COUNTIFS($X$10:X327,1,$BA$10:BA327,BA327)=1,1,0))</f>
        <v>0</v>
      </c>
      <c r="BD327" s="29"/>
    </row>
    <row r="328" spans="1:56" ht="42" customHeight="1">
      <c r="A328" s="41"/>
      <c r="B328" s="44"/>
      <c r="C328" s="44"/>
      <c r="D328" s="44"/>
      <c r="E328" s="44"/>
      <c r="F328" s="44"/>
      <c r="G328" s="44"/>
      <c r="H328" s="44"/>
      <c r="I328" s="44"/>
      <c r="J328" s="44"/>
      <c r="K328" s="44"/>
      <c r="L328" s="49"/>
      <c r="M328" s="48"/>
      <c r="N328" s="48"/>
      <c r="O328" s="48"/>
      <c r="P328" s="48"/>
      <c r="Q328" s="48"/>
      <c r="R328" s="48"/>
      <c r="S328" s="49"/>
      <c r="T328" s="48"/>
      <c r="U328" s="48"/>
      <c r="V328" s="14">
        <f t="shared" si="36"/>
        <v>0</v>
      </c>
      <c r="W328" s="14">
        <f t="shared" si="37"/>
        <v>0</v>
      </c>
      <c r="X328" s="14">
        <f>IF(AND(V328=1,OR(Painel!$C$6="Todos",D328=Painel!$C$6),AND(OR(Painel!$L$6="Todas",E328=Painel!$L$6),OR(Painel!$C$8="Todos",F328=Painel!$C$8),OR(Painel!$L$8="Todos",G328=Painel!$L$8),OR(Painel!$C$10="",ISNUMBER(SEARCH(SUBSTITUTE(SUBSTITUTE(SUBSTITUTE(Painel!$C$10,"~","~~"),"*","~*"),"?","~?"),A328&amp;" "&amp;H328&amp;" "&amp;I328))))),1,0)</f>
        <v>0</v>
      </c>
      <c r="Y328" s="14">
        <f t="shared" si="38"/>
        <v>0</v>
      </c>
      <c r="Z328" s="15" t="str">
        <f>IF(V328=0,"",IF(COUNTIFS(Andamentos!$K$10:$K$2009,"="&amp;SUBSTITUTE(SUBSTITUTE(SUBSTITUTE("P:"&amp;A328,"~","~~"),"*","~*"),"?","~?"),Andamentos!$G$10:$G$2009,1)=0,"",_xlfn.AGGREGATE(14,6,Andamentos!$D$10:$D$2009/((Andamentos!$K$10:$K$2009=AS328)*(Andamentos!$G$10:$G$2009=1)),1)))</f>
        <v/>
      </c>
      <c r="AA328" s="14">
        <f>IF(Z328="",0,COUNTIFS(Andamentos!$K$10:$K$2009,"="&amp;SUBSTITUTE(SUBSTITUTE(SUBSTITUTE("P:"&amp;A328,"~","~~"),"*","~*"),"?","~?"),Andamentos!$D$10:$D$2009,Z328,Andamentos!$G$10:$G$2009,1))</f>
        <v>0</v>
      </c>
      <c r="AB328" s="14">
        <f>IF(AA328=1,SUMIFS(Andamentos!$L$10:$L$2009,Andamentos!$K$10:$K$2009,"="&amp;SUBSTITUTE(SUBSTITUTE(SUBSTITUTE(AS328,"~","~~"),"*","~*"),"?","~?"),Andamentos!$D$10:$D$2009,Z328,Andamentos!$G$10:$G$2009,1)-9,0)</f>
        <v>0</v>
      </c>
      <c r="AC328" s="14" t="str">
        <f>IF(V328=0,"",IF(AA328&gt;1,"Conferir recebimentos empatados",IF(AB328=0,"Sem atualização",INDEX(Andamentos!$C$10:$C$2009,AB328))))</f>
        <v/>
      </c>
      <c r="AD328" s="14">
        <f>IF(W328=0,0,IF(MAX(Z328,BD328)=0,1,IF(Configurar!$J$12-INT(MAX(Z328,BD328))&gt;Configurar!$J$11,1,0)))</f>
        <v>0</v>
      </c>
      <c r="AE328" s="16"/>
      <c r="AF328" s="14"/>
      <c r="AG328" s="14"/>
      <c r="AH328" s="14">
        <f>IF(AND(V328=1,COUNTIFS(Valores!$S$10:$S$509,"="&amp;SUBSTITUTE(SUBSTITUTE(SUBSTITUTE("P:"&amp;A328,"~","~~"),"*","~*"),"?","~?"))=1),(IF(ISNA(MATCH(SUBSTITUTE(SUBSTITUTE(SUBSTITUTE("P:"&amp;A328,"~","~~"),"*","~*"),"?","~?"),Valores!$S$10:$S$509,0)),9,INDEX(Valores!$R$10:$R$509,MATCH(SUBSTITUTE(SUBSTITUTE(SUBSTITUTE("P:"&amp;A328,"~","~~"),"*","~*"),"?","~?"),Valores!$S$10:$S$509,0)))-9),0)</f>
        <v>0</v>
      </c>
      <c r="AI328" s="40" t="str">
        <f t="shared" si="39"/>
        <v/>
      </c>
      <c r="AJ328" s="14" t="str">
        <f>IF(AND(X328=1,Y328=1),COUNTIFS($X$10:X328,1,$Y$10:Y328,1),"")</f>
        <v/>
      </c>
      <c r="AK328" s="14" t="str">
        <f>IF(X328=1,COUNTIFS($X$10:X328,1),"")</f>
        <v/>
      </c>
      <c r="AL328" s="14">
        <f>IF(AND(V328=1,AND(OR(Painel!$L$6="Todas",E328=Painel!$L$6),OR(Painel!$C$8="Todos",F328=Painel!$C$8),OR(Painel!$L$8="Todos",G328=Painel!$L$8),OR(Painel!$C$10="",ISNUMBER(SEARCH(SUBSTITUTE(SUBSTITUTE(SUBSTITUTE(Painel!$C$10,"~","~~"),"*","~*"),"?","~?"),A328&amp;" "&amp;H328&amp;" "&amp;I328))))),1,0)</f>
        <v>0</v>
      </c>
      <c r="AM328" s="14">
        <f t="shared" si="40"/>
        <v>0</v>
      </c>
      <c r="AN328" s="14"/>
      <c r="AO328" s="14"/>
      <c r="AP328" s="16" t="str">
        <f>IF(AB328=0,"",IF(INDEX(Andamentos!$B$10:$B$2009,AB328)="","",INDEX(Andamentos!$B$10:$B$2009,AB328)))</f>
        <v/>
      </c>
      <c r="AQ328" s="17" t="str">
        <f>IF(AH328=0,"",IF(INDEX(Valores!$B$10:$B$509,AH328)="","",IF(ISNUMBER(INDEX(Valores!$B$10:$B$509,AH328)),INDEX(Valores!$B$10:$B$509,AH328),"")))</f>
        <v/>
      </c>
      <c r="AR328" s="14" t="str">
        <f t="shared" si="41"/>
        <v/>
      </c>
      <c r="AS328" s="14" t="str">
        <f t="shared" si="42"/>
        <v/>
      </c>
      <c r="AT328" s="27"/>
      <c r="AU328" s="31"/>
      <c r="AV328" s="31"/>
      <c r="AW328" s="27"/>
      <c r="AX328" s="27"/>
      <c r="AY328" s="27"/>
      <c r="AZ328" s="27"/>
      <c r="BA328" s="30" t="str">
        <f t="shared" si="43"/>
        <v/>
      </c>
      <c r="BB328" s="30" t="str">
        <f t="shared" si="44"/>
        <v/>
      </c>
      <c r="BC328" s="30">
        <f>IF(X328=0,0,IF(COUNTIFS($X$10:X328,1,$BA$10:BA328,BA328)=1,1,0))</f>
        <v>0</v>
      </c>
      <c r="BD328" s="29"/>
    </row>
    <row r="329" spans="1:56" ht="42" customHeight="1">
      <c r="A329" s="41"/>
      <c r="B329" s="44"/>
      <c r="C329" s="44"/>
      <c r="D329" s="44"/>
      <c r="E329" s="44"/>
      <c r="F329" s="44"/>
      <c r="G329" s="44"/>
      <c r="H329" s="44"/>
      <c r="I329" s="44"/>
      <c r="J329" s="44"/>
      <c r="K329" s="44"/>
      <c r="L329" s="49"/>
      <c r="M329" s="48"/>
      <c r="N329" s="48"/>
      <c r="O329" s="48"/>
      <c r="P329" s="48"/>
      <c r="Q329" s="48"/>
      <c r="R329" s="48"/>
      <c r="S329" s="49"/>
      <c r="T329" s="48"/>
      <c r="U329" s="48"/>
      <c r="V329" s="14">
        <f t="shared" si="36"/>
        <v>0</v>
      </c>
      <c r="W329" s="14">
        <f t="shared" si="37"/>
        <v>0</v>
      </c>
      <c r="X329" s="14">
        <f>IF(AND(V329=1,OR(Painel!$C$6="Todos",D329=Painel!$C$6),AND(OR(Painel!$L$6="Todas",E329=Painel!$L$6),OR(Painel!$C$8="Todos",F329=Painel!$C$8),OR(Painel!$L$8="Todos",G329=Painel!$L$8),OR(Painel!$C$10="",ISNUMBER(SEARCH(SUBSTITUTE(SUBSTITUTE(SUBSTITUTE(Painel!$C$10,"~","~~"),"*","~*"),"?","~?"),A329&amp;" "&amp;H329&amp;" "&amp;I329))))),1,0)</f>
        <v>0</v>
      </c>
      <c r="Y329" s="14">
        <f t="shared" si="38"/>
        <v>0</v>
      </c>
      <c r="Z329" s="15" t="str">
        <f>IF(V329=0,"",IF(COUNTIFS(Andamentos!$K$10:$K$2009,"="&amp;SUBSTITUTE(SUBSTITUTE(SUBSTITUTE("P:"&amp;A329,"~","~~"),"*","~*"),"?","~?"),Andamentos!$G$10:$G$2009,1)=0,"",_xlfn.AGGREGATE(14,6,Andamentos!$D$10:$D$2009/((Andamentos!$K$10:$K$2009=AS329)*(Andamentos!$G$10:$G$2009=1)),1)))</f>
        <v/>
      </c>
      <c r="AA329" s="14">
        <f>IF(Z329="",0,COUNTIFS(Andamentos!$K$10:$K$2009,"="&amp;SUBSTITUTE(SUBSTITUTE(SUBSTITUTE("P:"&amp;A329,"~","~~"),"*","~*"),"?","~?"),Andamentos!$D$10:$D$2009,Z329,Andamentos!$G$10:$G$2009,1))</f>
        <v>0</v>
      </c>
      <c r="AB329" s="14">
        <f>IF(AA329=1,SUMIFS(Andamentos!$L$10:$L$2009,Andamentos!$K$10:$K$2009,"="&amp;SUBSTITUTE(SUBSTITUTE(SUBSTITUTE(AS329,"~","~~"),"*","~*"),"?","~?"),Andamentos!$D$10:$D$2009,Z329,Andamentos!$G$10:$G$2009,1)-9,0)</f>
        <v>0</v>
      </c>
      <c r="AC329" s="14" t="str">
        <f>IF(V329=0,"",IF(AA329&gt;1,"Conferir recebimentos empatados",IF(AB329=0,"Sem atualização",INDEX(Andamentos!$C$10:$C$2009,AB329))))</f>
        <v/>
      </c>
      <c r="AD329" s="14">
        <f>IF(W329=0,0,IF(MAX(Z329,BD329)=0,1,IF(Configurar!$J$12-INT(MAX(Z329,BD329))&gt;Configurar!$J$11,1,0)))</f>
        <v>0</v>
      </c>
      <c r="AE329" s="16"/>
      <c r="AF329" s="14"/>
      <c r="AG329" s="14"/>
      <c r="AH329" s="14">
        <f>IF(AND(V329=1,COUNTIFS(Valores!$S$10:$S$509,"="&amp;SUBSTITUTE(SUBSTITUTE(SUBSTITUTE("P:"&amp;A329,"~","~~"),"*","~*"),"?","~?"))=1),(IF(ISNA(MATCH(SUBSTITUTE(SUBSTITUTE(SUBSTITUTE("P:"&amp;A329,"~","~~"),"*","~*"),"?","~?"),Valores!$S$10:$S$509,0)),9,INDEX(Valores!$R$10:$R$509,MATCH(SUBSTITUTE(SUBSTITUTE(SUBSTITUTE("P:"&amp;A329,"~","~~"),"*","~*"),"?","~?"),Valores!$S$10:$S$509,0)))-9),0)</f>
        <v>0</v>
      </c>
      <c r="AI329" s="40" t="str">
        <f t="shared" si="39"/>
        <v/>
      </c>
      <c r="AJ329" s="14" t="str">
        <f>IF(AND(X329=1,Y329=1),COUNTIFS($X$10:X329,1,$Y$10:Y329,1),"")</f>
        <v/>
      </c>
      <c r="AK329" s="14" t="str">
        <f>IF(X329=1,COUNTIFS($X$10:X329,1),"")</f>
        <v/>
      </c>
      <c r="AL329" s="14">
        <f>IF(AND(V329=1,AND(OR(Painel!$L$6="Todas",E329=Painel!$L$6),OR(Painel!$C$8="Todos",F329=Painel!$C$8),OR(Painel!$L$8="Todos",G329=Painel!$L$8),OR(Painel!$C$10="",ISNUMBER(SEARCH(SUBSTITUTE(SUBSTITUTE(SUBSTITUTE(Painel!$C$10,"~","~~"),"*","~*"),"?","~?"),A329&amp;" "&amp;H329&amp;" "&amp;I329))))),1,0)</f>
        <v>0</v>
      </c>
      <c r="AM329" s="14">
        <f t="shared" si="40"/>
        <v>0</v>
      </c>
      <c r="AN329" s="14"/>
      <c r="AO329" s="14"/>
      <c r="AP329" s="16" t="str">
        <f>IF(AB329=0,"",IF(INDEX(Andamentos!$B$10:$B$2009,AB329)="","",INDEX(Andamentos!$B$10:$B$2009,AB329)))</f>
        <v/>
      </c>
      <c r="AQ329" s="17" t="str">
        <f>IF(AH329=0,"",IF(INDEX(Valores!$B$10:$B$509,AH329)="","",IF(ISNUMBER(INDEX(Valores!$B$10:$B$509,AH329)),INDEX(Valores!$B$10:$B$509,AH329),"")))</f>
        <v/>
      </c>
      <c r="AR329" s="14" t="str">
        <f t="shared" si="41"/>
        <v/>
      </c>
      <c r="AS329" s="14" t="str">
        <f t="shared" si="42"/>
        <v/>
      </c>
      <c r="AT329" s="27"/>
      <c r="AU329" s="31"/>
      <c r="AV329" s="31"/>
      <c r="AW329" s="27"/>
      <c r="AX329" s="27"/>
      <c r="AY329" s="27"/>
      <c r="AZ329" s="27"/>
      <c r="BA329" s="30" t="str">
        <f t="shared" si="43"/>
        <v/>
      </c>
      <c r="BB329" s="30" t="str">
        <f t="shared" si="44"/>
        <v/>
      </c>
      <c r="BC329" s="30">
        <f>IF(X329=0,0,IF(COUNTIFS($X$10:X329,1,$BA$10:BA329,BA329)=1,1,0))</f>
        <v>0</v>
      </c>
      <c r="BD329" s="29"/>
    </row>
    <row r="330" spans="1:56" ht="42" customHeight="1">
      <c r="A330" s="41"/>
      <c r="B330" s="44"/>
      <c r="C330" s="44"/>
      <c r="D330" s="44"/>
      <c r="E330" s="44"/>
      <c r="F330" s="44"/>
      <c r="G330" s="44"/>
      <c r="H330" s="44"/>
      <c r="I330" s="44"/>
      <c r="J330" s="44"/>
      <c r="K330" s="44"/>
      <c r="L330" s="49"/>
      <c r="M330" s="48"/>
      <c r="N330" s="48"/>
      <c r="O330" s="48"/>
      <c r="P330" s="48"/>
      <c r="Q330" s="48"/>
      <c r="R330" s="48"/>
      <c r="S330" s="49"/>
      <c r="T330" s="48"/>
      <c r="U330" s="48"/>
      <c r="V330" s="14">
        <f t="shared" ref="V330:V393" si="45">IF(AND(A330&lt;&gt;"",ISTEXT(A330),COUNTIFS($AS$10:$AS$509,"="&amp;SUBSTITUTE(SUBSTITUTE(SUBSTITUTE("P:"&amp;A330,"~","~~"),"*","~*"),"?","~?"))=1),1,0)</f>
        <v>0</v>
      </c>
      <c r="W330" s="14">
        <f t="shared" ref="W330:W393" si="46">IF(AND(V330=1,OR(C330="Ativo",C330="Suspenso")),1,0)</f>
        <v>0</v>
      </c>
      <c r="X330" s="14">
        <f>IF(AND(V330=1,OR(Painel!$C$6="Todos",D330=Painel!$C$6),AND(OR(Painel!$L$6="Todas",E330=Painel!$L$6),OR(Painel!$C$8="Todos",F330=Painel!$C$8),OR(Painel!$L$8="Todos",G330=Painel!$L$8),OR(Painel!$C$10="",ISNUMBER(SEARCH(SUBSTITUTE(SUBSTITUTE(SUBSTITUTE(Painel!$C$10,"~","~~"),"*","~*"),"?","~?"),A330&amp;" "&amp;H330&amp;" "&amp;I330))))),1,0)</f>
        <v>0</v>
      </c>
      <c r="Y330" s="14">
        <f t="shared" ref="Y330:Y393" si="47">IF(AND(W330=1,OR(N330="Crítica",O330="Sim",P330="Sim")),1,0)</f>
        <v>0</v>
      </c>
      <c r="Z330" s="15" t="str">
        <f>IF(V330=0,"",IF(COUNTIFS(Andamentos!$K$10:$K$2009,"="&amp;SUBSTITUTE(SUBSTITUTE(SUBSTITUTE("P:"&amp;A330,"~","~~"),"*","~*"),"?","~?"),Andamentos!$G$10:$G$2009,1)=0,"",_xlfn.AGGREGATE(14,6,Andamentos!$D$10:$D$2009/((Andamentos!$K$10:$K$2009=AS330)*(Andamentos!$G$10:$G$2009=1)),1)))</f>
        <v/>
      </c>
      <c r="AA330" s="14">
        <f>IF(Z330="",0,COUNTIFS(Andamentos!$K$10:$K$2009,"="&amp;SUBSTITUTE(SUBSTITUTE(SUBSTITUTE("P:"&amp;A330,"~","~~"),"*","~*"),"?","~?"),Andamentos!$D$10:$D$2009,Z330,Andamentos!$G$10:$G$2009,1))</f>
        <v>0</v>
      </c>
      <c r="AB330" s="14">
        <f>IF(AA330=1,SUMIFS(Andamentos!$L$10:$L$2009,Andamentos!$K$10:$K$2009,"="&amp;SUBSTITUTE(SUBSTITUTE(SUBSTITUTE(AS330,"~","~~"),"*","~*"),"?","~?"),Andamentos!$D$10:$D$2009,Z330,Andamentos!$G$10:$G$2009,1)-9,0)</f>
        <v>0</v>
      </c>
      <c r="AC330" s="14" t="str">
        <f>IF(V330=0,"",IF(AA330&gt;1,"Conferir recebimentos empatados",IF(AB330=0,"Sem atualização",INDEX(Andamentos!$C$10:$C$2009,AB330))))</f>
        <v/>
      </c>
      <c r="AD330" s="14">
        <f>IF(W330=0,0,IF(MAX(Z330,BD330)=0,1,IF(Configurar!$J$12-INT(MAX(Z330,BD330))&gt;Configurar!$J$11,1,0)))</f>
        <v>0</v>
      </c>
      <c r="AE330" s="16"/>
      <c r="AF330" s="14"/>
      <c r="AG330" s="14"/>
      <c r="AH330" s="14">
        <f>IF(AND(V330=1,COUNTIFS(Valores!$S$10:$S$509,"="&amp;SUBSTITUTE(SUBSTITUTE(SUBSTITUTE("P:"&amp;A330,"~","~~"),"*","~*"),"?","~?"))=1),(IF(ISNA(MATCH(SUBSTITUTE(SUBSTITUTE(SUBSTITUTE("P:"&amp;A330,"~","~~"),"*","~*"),"?","~?"),Valores!$S$10:$S$509,0)),9,INDEX(Valores!$R$10:$R$509,MATCH(SUBSTITUTE(SUBSTITUTE(SUBSTITUTE("P:"&amp;A330,"~","~~"),"*","~*"),"?","~?"),Valores!$S$10:$S$509,0)))-9),0)</f>
        <v>0</v>
      </c>
      <c r="AI330" s="40" t="str">
        <f t="shared" ref="AI330:AI393" si="48">IF(COUNTA(A330:U330)=0,"",IF(A330="","Preencha o número do processo",IF(NOT(ISTEXT(A330)),"Mantenha o número como texto",IF(V330=0,"Número duplicado: confira o identificador completo",IF(C330="","Informe a situação",IF(AND(C330&lt;&gt;"Ativo",C330&lt;&gt;"Suspenso",C330&lt;&gt;"Encerrado",C330&lt;&gt;"Arquivado"),"Escolha uma situação da lista",IF(D330="","Informe o escritório",IF(E330="","Informe a empresa responsável",IF(H330="","Informe a parte autora",IF(I330="","Informe a parte ré",IF(M330="","Inclua o resumo dos fatos",IF(AND(L330&lt;&gt;"",OR(NOT(ISNUMBER(L330)),L330&lt;1,L330&gt;100000)),"Revise a data de instauração",IF(AND(S330&lt;&gt;"",OR(NOT(ISNUMBER(S330)),S330&lt;1,S330&gt;100000)),"Revise a previsão de encerramento",IF(AND(OR(C330="Encerrado",C330="Arquivado"),OR(O330="Sim",P330="Sim")),"Reveja as restrições após o encerramento",""))))))))))))))</f>
        <v/>
      </c>
      <c r="AJ330" s="14" t="str">
        <f>IF(AND(X330=1,Y330=1),COUNTIFS($X$10:X330,1,$Y$10:Y330,1),"")</f>
        <v/>
      </c>
      <c r="AK330" s="14" t="str">
        <f>IF(X330=1,COUNTIFS($X$10:X330,1),"")</f>
        <v/>
      </c>
      <c r="AL330" s="14">
        <f>IF(AND(V330=1,AND(OR(Painel!$L$6="Todas",E330=Painel!$L$6),OR(Painel!$C$8="Todos",F330=Painel!$C$8),OR(Painel!$L$8="Todos",G330=Painel!$L$8),OR(Painel!$C$10="",ISNUMBER(SEARCH(SUBSTITUTE(SUBSTITUTE(SUBSTITUTE(Painel!$C$10,"~","~~"),"*","~*"),"?","~?"),A330&amp;" "&amp;H330&amp;" "&amp;I330))))),1,0)</f>
        <v>0</v>
      </c>
      <c r="AM330" s="14">
        <f t="shared" ref="AM330:AM393" si="49">IF(A330="",0,ROW())</f>
        <v>0</v>
      </c>
      <c r="AN330" s="14"/>
      <c r="AO330" s="14"/>
      <c r="AP330" s="16" t="str">
        <f>IF(AB330=0,"",IF(INDEX(Andamentos!$B$10:$B$2009,AB330)="","",INDEX(Andamentos!$B$10:$B$2009,AB330)))</f>
        <v/>
      </c>
      <c r="AQ330" s="17" t="str">
        <f>IF(AH330=0,"",IF(INDEX(Valores!$B$10:$B$509,AH330)="","",IF(ISNUMBER(INDEX(Valores!$B$10:$B$509,AH330)),INDEX(Valores!$B$10:$B$509,AH330),"")))</f>
        <v/>
      </c>
      <c r="AR330" s="14" t="str">
        <f t="shared" ref="AR330:AR393" si="50">IF(Y330=0,"",IF(N330="Crítica","Prioridade crítica. ","")&amp;IF(O330="Sim","Bloqueio vigente. ","")&amp;IF(P330="Sim","Penhora vigente. ","")&amp;IF(Q330="","",Q330))</f>
        <v/>
      </c>
      <c r="AS330" s="14" t="str">
        <f t="shared" ref="AS330:AS393" si="51">IF(AND(A330&lt;&gt;"",ISTEXT(A330)),"P:"&amp;A330,"")</f>
        <v/>
      </c>
      <c r="AT330" s="27"/>
      <c r="AU330" s="31"/>
      <c r="AV330" s="31"/>
      <c r="AW330" s="27"/>
      <c r="AX330" s="27"/>
      <c r="AY330" s="27"/>
      <c r="AZ330" s="27"/>
      <c r="BA330" s="30" t="str">
        <f t="shared" ref="BA330:BA393" si="52">IF(A330="","",IF(AU330&lt;&gt;"",AU330,IF(AV330&lt;&gt;"",AV330,A330)))</f>
        <v/>
      </c>
      <c r="BB330" s="30" t="str">
        <f t="shared" ref="BB330:BB393" si="53">IF(A330="","",IF(COUNTIFS($BA$10:$BA$509,BA330)&gt;1,"Revisar repetição",""))</f>
        <v/>
      </c>
      <c r="BC330" s="30">
        <f>IF(X330=0,0,IF(COUNTIFS($X$10:X330,1,$BA$10:BA330,BA330)=1,1,0))</f>
        <v>0</v>
      </c>
      <c r="BD330" s="29"/>
    </row>
    <row r="331" spans="1:56" ht="42" customHeight="1">
      <c r="A331" s="41"/>
      <c r="B331" s="44"/>
      <c r="C331" s="44"/>
      <c r="D331" s="44"/>
      <c r="E331" s="44"/>
      <c r="F331" s="44"/>
      <c r="G331" s="44"/>
      <c r="H331" s="44"/>
      <c r="I331" s="44"/>
      <c r="J331" s="44"/>
      <c r="K331" s="44"/>
      <c r="L331" s="49"/>
      <c r="M331" s="48"/>
      <c r="N331" s="48"/>
      <c r="O331" s="48"/>
      <c r="P331" s="48"/>
      <c r="Q331" s="48"/>
      <c r="R331" s="48"/>
      <c r="S331" s="49"/>
      <c r="T331" s="48"/>
      <c r="U331" s="48"/>
      <c r="V331" s="14">
        <f t="shared" si="45"/>
        <v>0</v>
      </c>
      <c r="W331" s="14">
        <f t="shared" si="46"/>
        <v>0</v>
      </c>
      <c r="X331" s="14">
        <f>IF(AND(V331=1,OR(Painel!$C$6="Todos",D331=Painel!$C$6),AND(OR(Painel!$L$6="Todas",E331=Painel!$L$6),OR(Painel!$C$8="Todos",F331=Painel!$C$8),OR(Painel!$L$8="Todos",G331=Painel!$L$8),OR(Painel!$C$10="",ISNUMBER(SEARCH(SUBSTITUTE(SUBSTITUTE(SUBSTITUTE(Painel!$C$10,"~","~~"),"*","~*"),"?","~?"),A331&amp;" "&amp;H331&amp;" "&amp;I331))))),1,0)</f>
        <v>0</v>
      </c>
      <c r="Y331" s="14">
        <f t="shared" si="47"/>
        <v>0</v>
      </c>
      <c r="Z331" s="15" t="str">
        <f>IF(V331=0,"",IF(COUNTIFS(Andamentos!$K$10:$K$2009,"="&amp;SUBSTITUTE(SUBSTITUTE(SUBSTITUTE("P:"&amp;A331,"~","~~"),"*","~*"),"?","~?"),Andamentos!$G$10:$G$2009,1)=0,"",_xlfn.AGGREGATE(14,6,Andamentos!$D$10:$D$2009/((Andamentos!$K$10:$K$2009=AS331)*(Andamentos!$G$10:$G$2009=1)),1)))</f>
        <v/>
      </c>
      <c r="AA331" s="14">
        <f>IF(Z331="",0,COUNTIFS(Andamentos!$K$10:$K$2009,"="&amp;SUBSTITUTE(SUBSTITUTE(SUBSTITUTE("P:"&amp;A331,"~","~~"),"*","~*"),"?","~?"),Andamentos!$D$10:$D$2009,Z331,Andamentos!$G$10:$G$2009,1))</f>
        <v>0</v>
      </c>
      <c r="AB331" s="14">
        <f>IF(AA331=1,SUMIFS(Andamentos!$L$10:$L$2009,Andamentos!$K$10:$K$2009,"="&amp;SUBSTITUTE(SUBSTITUTE(SUBSTITUTE(AS331,"~","~~"),"*","~*"),"?","~?"),Andamentos!$D$10:$D$2009,Z331,Andamentos!$G$10:$G$2009,1)-9,0)</f>
        <v>0</v>
      </c>
      <c r="AC331" s="14" t="str">
        <f>IF(V331=0,"",IF(AA331&gt;1,"Conferir recebimentos empatados",IF(AB331=0,"Sem atualização",INDEX(Andamentos!$C$10:$C$2009,AB331))))</f>
        <v/>
      </c>
      <c r="AD331" s="14">
        <f>IF(W331=0,0,IF(MAX(Z331,BD331)=0,1,IF(Configurar!$J$12-INT(MAX(Z331,BD331))&gt;Configurar!$J$11,1,0)))</f>
        <v>0</v>
      </c>
      <c r="AE331" s="16"/>
      <c r="AF331" s="14"/>
      <c r="AG331" s="14"/>
      <c r="AH331" s="14">
        <f>IF(AND(V331=1,COUNTIFS(Valores!$S$10:$S$509,"="&amp;SUBSTITUTE(SUBSTITUTE(SUBSTITUTE("P:"&amp;A331,"~","~~"),"*","~*"),"?","~?"))=1),(IF(ISNA(MATCH(SUBSTITUTE(SUBSTITUTE(SUBSTITUTE("P:"&amp;A331,"~","~~"),"*","~*"),"?","~?"),Valores!$S$10:$S$509,0)),9,INDEX(Valores!$R$10:$R$509,MATCH(SUBSTITUTE(SUBSTITUTE(SUBSTITUTE("P:"&amp;A331,"~","~~"),"*","~*"),"?","~?"),Valores!$S$10:$S$509,0)))-9),0)</f>
        <v>0</v>
      </c>
      <c r="AI331" s="40" t="str">
        <f t="shared" si="48"/>
        <v/>
      </c>
      <c r="AJ331" s="14" t="str">
        <f>IF(AND(X331=1,Y331=1),COUNTIFS($X$10:X331,1,$Y$10:Y331,1),"")</f>
        <v/>
      </c>
      <c r="AK331" s="14" t="str">
        <f>IF(X331=1,COUNTIFS($X$10:X331,1),"")</f>
        <v/>
      </c>
      <c r="AL331" s="14">
        <f>IF(AND(V331=1,AND(OR(Painel!$L$6="Todas",E331=Painel!$L$6),OR(Painel!$C$8="Todos",F331=Painel!$C$8),OR(Painel!$L$8="Todos",G331=Painel!$L$8),OR(Painel!$C$10="",ISNUMBER(SEARCH(SUBSTITUTE(SUBSTITUTE(SUBSTITUTE(Painel!$C$10,"~","~~"),"*","~*"),"?","~?"),A331&amp;" "&amp;H331&amp;" "&amp;I331))))),1,0)</f>
        <v>0</v>
      </c>
      <c r="AM331" s="14">
        <f t="shared" si="49"/>
        <v>0</v>
      </c>
      <c r="AN331" s="14"/>
      <c r="AO331" s="14"/>
      <c r="AP331" s="16" t="str">
        <f>IF(AB331=0,"",IF(INDEX(Andamentos!$B$10:$B$2009,AB331)="","",INDEX(Andamentos!$B$10:$B$2009,AB331)))</f>
        <v/>
      </c>
      <c r="AQ331" s="17" t="str">
        <f>IF(AH331=0,"",IF(INDEX(Valores!$B$10:$B$509,AH331)="","",IF(ISNUMBER(INDEX(Valores!$B$10:$B$509,AH331)),INDEX(Valores!$B$10:$B$509,AH331),"")))</f>
        <v/>
      </c>
      <c r="AR331" s="14" t="str">
        <f t="shared" si="50"/>
        <v/>
      </c>
      <c r="AS331" s="14" t="str">
        <f t="shared" si="51"/>
        <v/>
      </c>
      <c r="AT331" s="27"/>
      <c r="AU331" s="31"/>
      <c r="AV331" s="31"/>
      <c r="AW331" s="27"/>
      <c r="AX331" s="27"/>
      <c r="AY331" s="27"/>
      <c r="AZ331" s="27"/>
      <c r="BA331" s="30" t="str">
        <f t="shared" si="52"/>
        <v/>
      </c>
      <c r="BB331" s="30" t="str">
        <f t="shared" si="53"/>
        <v/>
      </c>
      <c r="BC331" s="30">
        <f>IF(X331=0,0,IF(COUNTIFS($X$10:X331,1,$BA$10:BA331,BA331)=1,1,0))</f>
        <v>0</v>
      </c>
      <c r="BD331" s="29"/>
    </row>
    <row r="332" spans="1:56" ht="42" customHeight="1">
      <c r="A332" s="41"/>
      <c r="B332" s="44"/>
      <c r="C332" s="44"/>
      <c r="D332" s="44"/>
      <c r="E332" s="44"/>
      <c r="F332" s="44"/>
      <c r="G332" s="44"/>
      <c r="H332" s="44"/>
      <c r="I332" s="44"/>
      <c r="J332" s="44"/>
      <c r="K332" s="44"/>
      <c r="L332" s="49"/>
      <c r="M332" s="48"/>
      <c r="N332" s="48"/>
      <c r="O332" s="48"/>
      <c r="P332" s="48"/>
      <c r="Q332" s="48"/>
      <c r="R332" s="48"/>
      <c r="S332" s="49"/>
      <c r="T332" s="48"/>
      <c r="U332" s="48"/>
      <c r="V332" s="14">
        <f t="shared" si="45"/>
        <v>0</v>
      </c>
      <c r="W332" s="14">
        <f t="shared" si="46"/>
        <v>0</v>
      </c>
      <c r="X332" s="14">
        <f>IF(AND(V332=1,OR(Painel!$C$6="Todos",D332=Painel!$C$6),AND(OR(Painel!$L$6="Todas",E332=Painel!$L$6),OR(Painel!$C$8="Todos",F332=Painel!$C$8),OR(Painel!$L$8="Todos",G332=Painel!$L$8),OR(Painel!$C$10="",ISNUMBER(SEARCH(SUBSTITUTE(SUBSTITUTE(SUBSTITUTE(Painel!$C$10,"~","~~"),"*","~*"),"?","~?"),A332&amp;" "&amp;H332&amp;" "&amp;I332))))),1,0)</f>
        <v>0</v>
      </c>
      <c r="Y332" s="14">
        <f t="shared" si="47"/>
        <v>0</v>
      </c>
      <c r="Z332" s="15" t="str">
        <f>IF(V332=0,"",IF(COUNTIFS(Andamentos!$K$10:$K$2009,"="&amp;SUBSTITUTE(SUBSTITUTE(SUBSTITUTE("P:"&amp;A332,"~","~~"),"*","~*"),"?","~?"),Andamentos!$G$10:$G$2009,1)=0,"",_xlfn.AGGREGATE(14,6,Andamentos!$D$10:$D$2009/((Andamentos!$K$10:$K$2009=AS332)*(Andamentos!$G$10:$G$2009=1)),1)))</f>
        <v/>
      </c>
      <c r="AA332" s="14">
        <f>IF(Z332="",0,COUNTIFS(Andamentos!$K$10:$K$2009,"="&amp;SUBSTITUTE(SUBSTITUTE(SUBSTITUTE("P:"&amp;A332,"~","~~"),"*","~*"),"?","~?"),Andamentos!$D$10:$D$2009,Z332,Andamentos!$G$10:$G$2009,1))</f>
        <v>0</v>
      </c>
      <c r="AB332" s="14">
        <f>IF(AA332=1,SUMIFS(Andamentos!$L$10:$L$2009,Andamentos!$K$10:$K$2009,"="&amp;SUBSTITUTE(SUBSTITUTE(SUBSTITUTE(AS332,"~","~~"),"*","~*"),"?","~?"),Andamentos!$D$10:$D$2009,Z332,Andamentos!$G$10:$G$2009,1)-9,0)</f>
        <v>0</v>
      </c>
      <c r="AC332" s="14" t="str">
        <f>IF(V332=0,"",IF(AA332&gt;1,"Conferir recebimentos empatados",IF(AB332=0,"Sem atualização",INDEX(Andamentos!$C$10:$C$2009,AB332))))</f>
        <v/>
      </c>
      <c r="AD332" s="14">
        <f>IF(W332=0,0,IF(MAX(Z332,BD332)=0,1,IF(Configurar!$J$12-INT(MAX(Z332,BD332))&gt;Configurar!$J$11,1,0)))</f>
        <v>0</v>
      </c>
      <c r="AE332" s="16"/>
      <c r="AF332" s="14"/>
      <c r="AG332" s="14"/>
      <c r="AH332" s="14">
        <f>IF(AND(V332=1,COUNTIFS(Valores!$S$10:$S$509,"="&amp;SUBSTITUTE(SUBSTITUTE(SUBSTITUTE("P:"&amp;A332,"~","~~"),"*","~*"),"?","~?"))=1),(IF(ISNA(MATCH(SUBSTITUTE(SUBSTITUTE(SUBSTITUTE("P:"&amp;A332,"~","~~"),"*","~*"),"?","~?"),Valores!$S$10:$S$509,0)),9,INDEX(Valores!$R$10:$R$509,MATCH(SUBSTITUTE(SUBSTITUTE(SUBSTITUTE("P:"&amp;A332,"~","~~"),"*","~*"),"?","~?"),Valores!$S$10:$S$509,0)))-9),0)</f>
        <v>0</v>
      </c>
      <c r="AI332" s="40" t="str">
        <f t="shared" si="48"/>
        <v/>
      </c>
      <c r="AJ332" s="14" t="str">
        <f>IF(AND(X332=1,Y332=1),COUNTIFS($X$10:X332,1,$Y$10:Y332,1),"")</f>
        <v/>
      </c>
      <c r="AK332" s="14" t="str">
        <f>IF(X332=1,COUNTIFS($X$10:X332,1),"")</f>
        <v/>
      </c>
      <c r="AL332" s="14">
        <f>IF(AND(V332=1,AND(OR(Painel!$L$6="Todas",E332=Painel!$L$6),OR(Painel!$C$8="Todos",F332=Painel!$C$8),OR(Painel!$L$8="Todos",G332=Painel!$L$8),OR(Painel!$C$10="",ISNUMBER(SEARCH(SUBSTITUTE(SUBSTITUTE(SUBSTITUTE(Painel!$C$10,"~","~~"),"*","~*"),"?","~?"),A332&amp;" "&amp;H332&amp;" "&amp;I332))))),1,0)</f>
        <v>0</v>
      </c>
      <c r="AM332" s="14">
        <f t="shared" si="49"/>
        <v>0</v>
      </c>
      <c r="AN332" s="14"/>
      <c r="AO332" s="14"/>
      <c r="AP332" s="16" t="str">
        <f>IF(AB332=0,"",IF(INDEX(Andamentos!$B$10:$B$2009,AB332)="","",INDEX(Andamentos!$B$10:$B$2009,AB332)))</f>
        <v/>
      </c>
      <c r="AQ332" s="17" t="str">
        <f>IF(AH332=0,"",IF(INDEX(Valores!$B$10:$B$509,AH332)="","",IF(ISNUMBER(INDEX(Valores!$B$10:$B$509,AH332)),INDEX(Valores!$B$10:$B$509,AH332),"")))</f>
        <v/>
      </c>
      <c r="AR332" s="14" t="str">
        <f t="shared" si="50"/>
        <v/>
      </c>
      <c r="AS332" s="14" t="str">
        <f t="shared" si="51"/>
        <v/>
      </c>
      <c r="AT332" s="27"/>
      <c r="AU332" s="31"/>
      <c r="AV332" s="31"/>
      <c r="AW332" s="27"/>
      <c r="AX332" s="27"/>
      <c r="AY332" s="27"/>
      <c r="AZ332" s="27"/>
      <c r="BA332" s="30" t="str">
        <f t="shared" si="52"/>
        <v/>
      </c>
      <c r="BB332" s="30" t="str">
        <f t="shared" si="53"/>
        <v/>
      </c>
      <c r="BC332" s="30">
        <f>IF(X332=0,0,IF(COUNTIFS($X$10:X332,1,$BA$10:BA332,BA332)=1,1,0))</f>
        <v>0</v>
      </c>
      <c r="BD332" s="29"/>
    </row>
    <row r="333" spans="1:56" ht="42" customHeight="1">
      <c r="A333" s="41"/>
      <c r="B333" s="44"/>
      <c r="C333" s="44"/>
      <c r="D333" s="44"/>
      <c r="E333" s="44"/>
      <c r="F333" s="44"/>
      <c r="G333" s="44"/>
      <c r="H333" s="44"/>
      <c r="I333" s="44"/>
      <c r="J333" s="44"/>
      <c r="K333" s="44"/>
      <c r="L333" s="49"/>
      <c r="M333" s="48"/>
      <c r="N333" s="48"/>
      <c r="O333" s="48"/>
      <c r="P333" s="48"/>
      <c r="Q333" s="48"/>
      <c r="R333" s="48"/>
      <c r="S333" s="49"/>
      <c r="T333" s="48"/>
      <c r="U333" s="48"/>
      <c r="V333" s="14">
        <f t="shared" si="45"/>
        <v>0</v>
      </c>
      <c r="W333" s="14">
        <f t="shared" si="46"/>
        <v>0</v>
      </c>
      <c r="X333" s="14">
        <f>IF(AND(V333=1,OR(Painel!$C$6="Todos",D333=Painel!$C$6),AND(OR(Painel!$L$6="Todas",E333=Painel!$L$6),OR(Painel!$C$8="Todos",F333=Painel!$C$8),OR(Painel!$L$8="Todos",G333=Painel!$L$8),OR(Painel!$C$10="",ISNUMBER(SEARCH(SUBSTITUTE(SUBSTITUTE(SUBSTITUTE(Painel!$C$10,"~","~~"),"*","~*"),"?","~?"),A333&amp;" "&amp;H333&amp;" "&amp;I333))))),1,0)</f>
        <v>0</v>
      </c>
      <c r="Y333" s="14">
        <f t="shared" si="47"/>
        <v>0</v>
      </c>
      <c r="Z333" s="15" t="str">
        <f>IF(V333=0,"",IF(COUNTIFS(Andamentos!$K$10:$K$2009,"="&amp;SUBSTITUTE(SUBSTITUTE(SUBSTITUTE("P:"&amp;A333,"~","~~"),"*","~*"),"?","~?"),Andamentos!$G$10:$G$2009,1)=0,"",_xlfn.AGGREGATE(14,6,Andamentos!$D$10:$D$2009/((Andamentos!$K$10:$K$2009=AS333)*(Andamentos!$G$10:$G$2009=1)),1)))</f>
        <v/>
      </c>
      <c r="AA333" s="14">
        <f>IF(Z333="",0,COUNTIFS(Andamentos!$K$10:$K$2009,"="&amp;SUBSTITUTE(SUBSTITUTE(SUBSTITUTE("P:"&amp;A333,"~","~~"),"*","~*"),"?","~?"),Andamentos!$D$10:$D$2009,Z333,Andamentos!$G$10:$G$2009,1))</f>
        <v>0</v>
      </c>
      <c r="AB333" s="14">
        <f>IF(AA333=1,SUMIFS(Andamentos!$L$10:$L$2009,Andamentos!$K$10:$K$2009,"="&amp;SUBSTITUTE(SUBSTITUTE(SUBSTITUTE(AS333,"~","~~"),"*","~*"),"?","~?"),Andamentos!$D$10:$D$2009,Z333,Andamentos!$G$10:$G$2009,1)-9,0)</f>
        <v>0</v>
      </c>
      <c r="AC333" s="14" t="str">
        <f>IF(V333=0,"",IF(AA333&gt;1,"Conferir recebimentos empatados",IF(AB333=0,"Sem atualização",INDEX(Andamentos!$C$10:$C$2009,AB333))))</f>
        <v/>
      </c>
      <c r="AD333" s="14">
        <f>IF(W333=0,0,IF(MAX(Z333,BD333)=0,1,IF(Configurar!$J$12-INT(MAX(Z333,BD333))&gt;Configurar!$J$11,1,0)))</f>
        <v>0</v>
      </c>
      <c r="AE333" s="16"/>
      <c r="AF333" s="14"/>
      <c r="AG333" s="14"/>
      <c r="AH333" s="14">
        <f>IF(AND(V333=1,COUNTIFS(Valores!$S$10:$S$509,"="&amp;SUBSTITUTE(SUBSTITUTE(SUBSTITUTE("P:"&amp;A333,"~","~~"),"*","~*"),"?","~?"))=1),(IF(ISNA(MATCH(SUBSTITUTE(SUBSTITUTE(SUBSTITUTE("P:"&amp;A333,"~","~~"),"*","~*"),"?","~?"),Valores!$S$10:$S$509,0)),9,INDEX(Valores!$R$10:$R$509,MATCH(SUBSTITUTE(SUBSTITUTE(SUBSTITUTE("P:"&amp;A333,"~","~~"),"*","~*"),"?","~?"),Valores!$S$10:$S$509,0)))-9),0)</f>
        <v>0</v>
      </c>
      <c r="AI333" s="40" t="str">
        <f t="shared" si="48"/>
        <v/>
      </c>
      <c r="AJ333" s="14" t="str">
        <f>IF(AND(X333=1,Y333=1),COUNTIFS($X$10:X333,1,$Y$10:Y333,1),"")</f>
        <v/>
      </c>
      <c r="AK333" s="14" t="str">
        <f>IF(X333=1,COUNTIFS($X$10:X333,1),"")</f>
        <v/>
      </c>
      <c r="AL333" s="14">
        <f>IF(AND(V333=1,AND(OR(Painel!$L$6="Todas",E333=Painel!$L$6),OR(Painel!$C$8="Todos",F333=Painel!$C$8),OR(Painel!$L$8="Todos",G333=Painel!$L$8),OR(Painel!$C$10="",ISNUMBER(SEARCH(SUBSTITUTE(SUBSTITUTE(SUBSTITUTE(Painel!$C$10,"~","~~"),"*","~*"),"?","~?"),A333&amp;" "&amp;H333&amp;" "&amp;I333))))),1,0)</f>
        <v>0</v>
      </c>
      <c r="AM333" s="14">
        <f t="shared" si="49"/>
        <v>0</v>
      </c>
      <c r="AN333" s="14"/>
      <c r="AO333" s="14"/>
      <c r="AP333" s="16" t="str">
        <f>IF(AB333=0,"",IF(INDEX(Andamentos!$B$10:$B$2009,AB333)="","",INDEX(Andamentos!$B$10:$B$2009,AB333)))</f>
        <v/>
      </c>
      <c r="AQ333" s="17" t="str">
        <f>IF(AH333=0,"",IF(INDEX(Valores!$B$10:$B$509,AH333)="","",IF(ISNUMBER(INDEX(Valores!$B$10:$B$509,AH333)),INDEX(Valores!$B$10:$B$509,AH333),"")))</f>
        <v/>
      </c>
      <c r="AR333" s="14" t="str">
        <f t="shared" si="50"/>
        <v/>
      </c>
      <c r="AS333" s="14" t="str">
        <f t="shared" si="51"/>
        <v/>
      </c>
      <c r="AT333" s="27"/>
      <c r="AU333" s="31"/>
      <c r="AV333" s="31"/>
      <c r="AW333" s="27"/>
      <c r="AX333" s="27"/>
      <c r="AY333" s="27"/>
      <c r="AZ333" s="27"/>
      <c r="BA333" s="30" t="str">
        <f t="shared" si="52"/>
        <v/>
      </c>
      <c r="BB333" s="30" t="str">
        <f t="shared" si="53"/>
        <v/>
      </c>
      <c r="BC333" s="30">
        <f>IF(X333=0,0,IF(COUNTIFS($X$10:X333,1,$BA$10:BA333,BA333)=1,1,0))</f>
        <v>0</v>
      </c>
      <c r="BD333" s="29"/>
    </row>
    <row r="334" spans="1:56" ht="42" customHeight="1">
      <c r="A334" s="41"/>
      <c r="B334" s="44"/>
      <c r="C334" s="44"/>
      <c r="D334" s="44"/>
      <c r="E334" s="44"/>
      <c r="F334" s="44"/>
      <c r="G334" s="44"/>
      <c r="H334" s="44"/>
      <c r="I334" s="44"/>
      <c r="J334" s="44"/>
      <c r="K334" s="44"/>
      <c r="L334" s="49"/>
      <c r="M334" s="48"/>
      <c r="N334" s="48"/>
      <c r="O334" s="48"/>
      <c r="P334" s="48"/>
      <c r="Q334" s="48"/>
      <c r="R334" s="48"/>
      <c r="S334" s="49"/>
      <c r="T334" s="48"/>
      <c r="U334" s="48"/>
      <c r="V334" s="14">
        <f t="shared" si="45"/>
        <v>0</v>
      </c>
      <c r="W334" s="14">
        <f t="shared" si="46"/>
        <v>0</v>
      </c>
      <c r="X334" s="14">
        <f>IF(AND(V334=1,OR(Painel!$C$6="Todos",D334=Painel!$C$6),AND(OR(Painel!$L$6="Todas",E334=Painel!$L$6),OR(Painel!$C$8="Todos",F334=Painel!$C$8),OR(Painel!$L$8="Todos",G334=Painel!$L$8),OR(Painel!$C$10="",ISNUMBER(SEARCH(SUBSTITUTE(SUBSTITUTE(SUBSTITUTE(Painel!$C$10,"~","~~"),"*","~*"),"?","~?"),A334&amp;" "&amp;H334&amp;" "&amp;I334))))),1,0)</f>
        <v>0</v>
      </c>
      <c r="Y334" s="14">
        <f t="shared" si="47"/>
        <v>0</v>
      </c>
      <c r="Z334" s="15" t="str">
        <f>IF(V334=0,"",IF(COUNTIFS(Andamentos!$K$10:$K$2009,"="&amp;SUBSTITUTE(SUBSTITUTE(SUBSTITUTE("P:"&amp;A334,"~","~~"),"*","~*"),"?","~?"),Andamentos!$G$10:$G$2009,1)=0,"",_xlfn.AGGREGATE(14,6,Andamentos!$D$10:$D$2009/((Andamentos!$K$10:$K$2009=AS334)*(Andamentos!$G$10:$G$2009=1)),1)))</f>
        <v/>
      </c>
      <c r="AA334" s="14">
        <f>IF(Z334="",0,COUNTIFS(Andamentos!$K$10:$K$2009,"="&amp;SUBSTITUTE(SUBSTITUTE(SUBSTITUTE("P:"&amp;A334,"~","~~"),"*","~*"),"?","~?"),Andamentos!$D$10:$D$2009,Z334,Andamentos!$G$10:$G$2009,1))</f>
        <v>0</v>
      </c>
      <c r="AB334" s="14">
        <f>IF(AA334=1,SUMIFS(Andamentos!$L$10:$L$2009,Andamentos!$K$10:$K$2009,"="&amp;SUBSTITUTE(SUBSTITUTE(SUBSTITUTE(AS334,"~","~~"),"*","~*"),"?","~?"),Andamentos!$D$10:$D$2009,Z334,Andamentos!$G$10:$G$2009,1)-9,0)</f>
        <v>0</v>
      </c>
      <c r="AC334" s="14" t="str">
        <f>IF(V334=0,"",IF(AA334&gt;1,"Conferir recebimentos empatados",IF(AB334=0,"Sem atualização",INDEX(Andamentos!$C$10:$C$2009,AB334))))</f>
        <v/>
      </c>
      <c r="AD334" s="14">
        <f>IF(W334=0,0,IF(MAX(Z334,BD334)=0,1,IF(Configurar!$J$12-INT(MAX(Z334,BD334))&gt;Configurar!$J$11,1,0)))</f>
        <v>0</v>
      </c>
      <c r="AE334" s="16"/>
      <c r="AF334" s="14"/>
      <c r="AG334" s="14"/>
      <c r="AH334" s="14">
        <f>IF(AND(V334=1,COUNTIFS(Valores!$S$10:$S$509,"="&amp;SUBSTITUTE(SUBSTITUTE(SUBSTITUTE("P:"&amp;A334,"~","~~"),"*","~*"),"?","~?"))=1),(IF(ISNA(MATCH(SUBSTITUTE(SUBSTITUTE(SUBSTITUTE("P:"&amp;A334,"~","~~"),"*","~*"),"?","~?"),Valores!$S$10:$S$509,0)),9,INDEX(Valores!$R$10:$R$509,MATCH(SUBSTITUTE(SUBSTITUTE(SUBSTITUTE("P:"&amp;A334,"~","~~"),"*","~*"),"?","~?"),Valores!$S$10:$S$509,0)))-9),0)</f>
        <v>0</v>
      </c>
      <c r="AI334" s="40" t="str">
        <f t="shared" si="48"/>
        <v/>
      </c>
      <c r="AJ334" s="14" t="str">
        <f>IF(AND(X334=1,Y334=1),COUNTIFS($X$10:X334,1,$Y$10:Y334,1),"")</f>
        <v/>
      </c>
      <c r="AK334" s="14" t="str">
        <f>IF(X334=1,COUNTIFS($X$10:X334,1),"")</f>
        <v/>
      </c>
      <c r="AL334" s="14">
        <f>IF(AND(V334=1,AND(OR(Painel!$L$6="Todas",E334=Painel!$L$6),OR(Painel!$C$8="Todos",F334=Painel!$C$8),OR(Painel!$L$8="Todos",G334=Painel!$L$8),OR(Painel!$C$10="",ISNUMBER(SEARCH(SUBSTITUTE(SUBSTITUTE(SUBSTITUTE(Painel!$C$10,"~","~~"),"*","~*"),"?","~?"),A334&amp;" "&amp;H334&amp;" "&amp;I334))))),1,0)</f>
        <v>0</v>
      </c>
      <c r="AM334" s="14">
        <f t="shared" si="49"/>
        <v>0</v>
      </c>
      <c r="AN334" s="14"/>
      <c r="AO334" s="14"/>
      <c r="AP334" s="16" t="str">
        <f>IF(AB334=0,"",IF(INDEX(Andamentos!$B$10:$B$2009,AB334)="","",INDEX(Andamentos!$B$10:$B$2009,AB334)))</f>
        <v/>
      </c>
      <c r="AQ334" s="17" t="str">
        <f>IF(AH334=0,"",IF(INDEX(Valores!$B$10:$B$509,AH334)="","",IF(ISNUMBER(INDEX(Valores!$B$10:$B$509,AH334)),INDEX(Valores!$B$10:$B$509,AH334),"")))</f>
        <v/>
      </c>
      <c r="AR334" s="14" t="str">
        <f t="shared" si="50"/>
        <v/>
      </c>
      <c r="AS334" s="14" t="str">
        <f t="shared" si="51"/>
        <v/>
      </c>
      <c r="AT334" s="27"/>
      <c r="AU334" s="31"/>
      <c r="AV334" s="31"/>
      <c r="AW334" s="27"/>
      <c r="AX334" s="27"/>
      <c r="AY334" s="27"/>
      <c r="AZ334" s="27"/>
      <c r="BA334" s="30" t="str">
        <f t="shared" si="52"/>
        <v/>
      </c>
      <c r="BB334" s="30" t="str">
        <f t="shared" si="53"/>
        <v/>
      </c>
      <c r="BC334" s="30">
        <f>IF(X334=0,0,IF(COUNTIFS($X$10:X334,1,$BA$10:BA334,BA334)=1,1,0))</f>
        <v>0</v>
      </c>
      <c r="BD334" s="29"/>
    </row>
    <row r="335" spans="1:56" ht="42" customHeight="1">
      <c r="A335" s="41"/>
      <c r="B335" s="44"/>
      <c r="C335" s="44"/>
      <c r="D335" s="44"/>
      <c r="E335" s="44"/>
      <c r="F335" s="44"/>
      <c r="G335" s="44"/>
      <c r="H335" s="44"/>
      <c r="I335" s="44"/>
      <c r="J335" s="44"/>
      <c r="K335" s="44"/>
      <c r="L335" s="49"/>
      <c r="M335" s="48"/>
      <c r="N335" s="48"/>
      <c r="O335" s="48"/>
      <c r="P335" s="48"/>
      <c r="Q335" s="48"/>
      <c r="R335" s="48"/>
      <c r="S335" s="49"/>
      <c r="T335" s="48"/>
      <c r="U335" s="48"/>
      <c r="V335" s="14">
        <f t="shared" si="45"/>
        <v>0</v>
      </c>
      <c r="W335" s="14">
        <f t="shared" si="46"/>
        <v>0</v>
      </c>
      <c r="X335" s="14">
        <f>IF(AND(V335=1,OR(Painel!$C$6="Todos",D335=Painel!$C$6),AND(OR(Painel!$L$6="Todas",E335=Painel!$L$6),OR(Painel!$C$8="Todos",F335=Painel!$C$8),OR(Painel!$L$8="Todos",G335=Painel!$L$8),OR(Painel!$C$10="",ISNUMBER(SEARCH(SUBSTITUTE(SUBSTITUTE(SUBSTITUTE(Painel!$C$10,"~","~~"),"*","~*"),"?","~?"),A335&amp;" "&amp;H335&amp;" "&amp;I335))))),1,0)</f>
        <v>0</v>
      </c>
      <c r="Y335" s="14">
        <f t="shared" si="47"/>
        <v>0</v>
      </c>
      <c r="Z335" s="15" t="str">
        <f>IF(V335=0,"",IF(COUNTIFS(Andamentos!$K$10:$K$2009,"="&amp;SUBSTITUTE(SUBSTITUTE(SUBSTITUTE("P:"&amp;A335,"~","~~"),"*","~*"),"?","~?"),Andamentos!$G$10:$G$2009,1)=0,"",_xlfn.AGGREGATE(14,6,Andamentos!$D$10:$D$2009/((Andamentos!$K$10:$K$2009=AS335)*(Andamentos!$G$10:$G$2009=1)),1)))</f>
        <v/>
      </c>
      <c r="AA335" s="14">
        <f>IF(Z335="",0,COUNTIFS(Andamentos!$K$10:$K$2009,"="&amp;SUBSTITUTE(SUBSTITUTE(SUBSTITUTE("P:"&amp;A335,"~","~~"),"*","~*"),"?","~?"),Andamentos!$D$10:$D$2009,Z335,Andamentos!$G$10:$G$2009,1))</f>
        <v>0</v>
      </c>
      <c r="AB335" s="14">
        <f>IF(AA335=1,SUMIFS(Andamentos!$L$10:$L$2009,Andamentos!$K$10:$K$2009,"="&amp;SUBSTITUTE(SUBSTITUTE(SUBSTITUTE(AS335,"~","~~"),"*","~*"),"?","~?"),Andamentos!$D$10:$D$2009,Z335,Andamentos!$G$10:$G$2009,1)-9,0)</f>
        <v>0</v>
      </c>
      <c r="AC335" s="14" t="str">
        <f>IF(V335=0,"",IF(AA335&gt;1,"Conferir recebimentos empatados",IF(AB335=0,"Sem atualização",INDEX(Andamentos!$C$10:$C$2009,AB335))))</f>
        <v/>
      </c>
      <c r="AD335" s="14">
        <f>IF(W335=0,0,IF(MAX(Z335,BD335)=0,1,IF(Configurar!$J$12-INT(MAX(Z335,BD335))&gt;Configurar!$J$11,1,0)))</f>
        <v>0</v>
      </c>
      <c r="AE335" s="16"/>
      <c r="AF335" s="14"/>
      <c r="AG335" s="14"/>
      <c r="AH335" s="14">
        <f>IF(AND(V335=1,COUNTIFS(Valores!$S$10:$S$509,"="&amp;SUBSTITUTE(SUBSTITUTE(SUBSTITUTE("P:"&amp;A335,"~","~~"),"*","~*"),"?","~?"))=1),(IF(ISNA(MATCH(SUBSTITUTE(SUBSTITUTE(SUBSTITUTE("P:"&amp;A335,"~","~~"),"*","~*"),"?","~?"),Valores!$S$10:$S$509,0)),9,INDEX(Valores!$R$10:$R$509,MATCH(SUBSTITUTE(SUBSTITUTE(SUBSTITUTE("P:"&amp;A335,"~","~~"),"*","~*"),"?","~?"),Valores!$S$10:$S$509,0)))-9),0)</f>
        <v>0</v>
      </c>
      <c r="AI335" s="40" t="str">
        <f t="shared" si="48"/>
        <v/>
      </c>
      <c r="AJ335" s="14" t="str">
        <f>IF(AND(X335=1,Y335=1),COUNTIFS($X$10:X335,1,$Y$10:Y335,1),"")</f>
        <v/>
      </c>
      <c r="AK335" s="14" t="str">
        <f>IF(X335=1,COUNTIFS($X$10:X335,1),"")</f>
        <v/>
      </c>
      <c r="AL335" s="14">
        <f>IF(AND(V335=1,AND(OR(Painel!$L$6="Todas",E335=Painel!$L$6),OR(Painel!$C$8="Todos",F335=Painel!$C$8),OR(Painel!$L$8="Todos",G335=Painel!$L$8),OR(Painel!$C$10="",ISNUMBER(SEARCH(SUBSTITUTE(SUBSTITUTE(SUBSTITUTE(Painel!$C$10,"~","~~"),"*","~*"),"?","~?"),A335&amp;" "&amp;H335&amp;" "&amp;I335))))),1,0)</f>
        <v>0</v>
      </c>
      <c r="AM335" s="14">
        <f t="shared" si="49"/>
        <v>0</v>
      </c>
      <c r="AN335" s="14"/>
      <c r="AO335" s="14"/>
      <c r="AP335" s="16" t="str">
        <f>IF(AB335=0,"",IF(INDEX(Andamentos!$B$10:$B$2009,AB335)="","",INDEX(Andamentos!$B$10:$B$2009,AB335)))</f>
        <v/>
      </c>
      <c r="AQ335" s="17" t="str">
        <f>IF(AH335=0,"",IF(INDEX(Valores!$B$10:$B$509,AH335)="","",IF(ISNUMBER(INDEX(Valores!$B$10:$B$509,AH335)),INDEX(Valores!$B$10:$B$509,AH335),"")))</f>
        <v/>
      </c>
      <c r="AR335" s="14" t="str">
        <f t="shared" si="50"/>
        <v/>
      </c>
      <c r="AS335" s="14" t="str">
        <f t="shared" si="51"/>
        <v/>
      </c>
      <c r="AT335" s="27"/>
      <c r="AU335" s="31"/>
      <c r="AV335" s="31"/>
      <c r="AW335" s="27"/>
      <c r="AX335" s="27"/>
      <c r="AY335" s="27"/>
      <c r="AZ335" s="27"/>
      <c r="BA335" s="30" t="str">
        <f t="shared" si="52"/>
        <v/>
      </c>
      <c r="BB335" s="30" t="str">
        <f t="shared" si="53"/>
        <v/>
      </c>
      <c r="BC335" s="30">
        <f>IF(X335=0,0,IF(COUNTIFS($X$10:X335,1,$BA$10:BA335,BA335)=1,1,0))</f>
        <v>0</v>
      </c>
      <c r="BD335" s="29"/>
    </row>
    <row r="336" spans="1:56" ht="42" customHeight="1">
      <c r="A336" s="41"/>
      <c r="B336" s="44"/>
      <c r="C336" s="44"/>
      <c r="D336" s="44"/>
      <c r="E336" s="44"/>
      <c r="F336" s="44"/>
      <c r="G336" s="44"/>
      <c r="H336" s="44"/>
      <c r="I336" s="44"/>
      <c r="J336" s="44"/>
      <c r="K336" s="44"/>
      <c r="L336" s="49"/>
      <c r="M336" s="48"/>
      <c r="N336" s="48"/>
      <c r="O336" s="48"/>
      <c r="P336" s="48"/>
      <c r="Q336" s="48"/>
      <c r="R336" s="48"/>
      <c r="S336" s="49"/>
      <c r="T336" s="48"/>
      <c r="U336" s="48"/>
      <c r="V336" s="14">
        <f t="shared" si="45"/>
        <v>0</v>
      </c>
      <c r="W336" s="14">
        <f t="shared" si="46"/>
        <v>0</v>
      </c>
      <c r="X336" s="14">
        <f>IF(AND(V336=1,OR(Painel!$C$6="Todos",D336=Painel!$C$6),AND(OR(Painel!$L$6="Todas",E336=Painel!$L$6),OR(Painel!$C$8="Todos",F336=Painel!$C$8),OR(Painel!$L$8="Todos",G336=Painel!$L$8),OR(Painel!$C$10="",ISNUMBER(SEARCH(SUBSTITUTE(SUBSTITUTE(SUBSTITUTE(Painel!$C$10,"~","~~"),"*","~*"),"?","~?"),A336&amp;" "&amp;H336&amp;" "&amp;I336))))),1,0)</f>
        <v>0</v>
      </c>
      <c r="Y336" s="14">
        <f t="shared" si="47"/>
        <v>0</v>
      </c>
      <c r="Z336" s="15" t="str">
        <f>IF(V336=0,"",IF(COUNTIFS(Andamentos!$K$10:$K$2009,"="&amp;SUBSTITUTE(SUBSTITUTE(SUBSTITUTE("P:"&amp;A336,"~","~~"),"*","~*"),"?","~?"),Andamentos!$G$10:$G$2009,1)=0,"",_xlfn.AGGREGATE(14,6,Andamentos!$D$10:$D$2009/((Andamentos!$K$10:$K$2009=AS336)*(Andamentos!$G$10:$G$2009=1)),1)))</f>
        <v/>
      </c>
      <c r="AA336" s="14">
        <f>IF(Z336="",0,COUNTIFS(Andamentos!$K$10:$K$2009,"="&amp;SUBSTITUTE(SUBSTITUTE(SUBSTITUTE("P:"&amp;A336,"~","~~"),"*","~*"),"?","~?"),Andamentos!$D$10:$D$2009,Z336,Andamentos!$G$10:$G$2009,1))</f>
        <v>0</v>
      </c>
      <c r="AB336" s="14">
        <f>IF(AA336=1,SUMIFS(Andamentos!$L$10:$L$2009,Andamentos!$K$10:$K$2009,"="&amp;SUBSTITUTE(SUBSTITUTE(SUBSTITUTE(AS336,"~","~~"),"*","~*"),"?","~?"),Andamentos!$D$10:$D$2009,Z336,Andamentos!$G$10:$G$2009,1)-9,0)</f>
        <v>0</v>
      </c>
      <c r="AC336" s="14" t="str">
        <f>IF(V336=0,"",IF(AA336&gt;1,"Conferir recebimentos empatados",IF(AB336=0,"Sem atualização",INDEX(Andamentos!$C$10:$C$2009,AB336))))</f>
        <v/>
      </c>
      <c r="AD336" s="14">
        <f>IF(W336=0,0,IF(MAX(Z336,BD336)=0,1,IF(Configurar!$J$12-INT(MAX(Z336,BD336))&gt;Configurar!$J$11,1,0)))</f>
        <v>0</v>
      </c>
      <c r="AE336" s="16"/>
      <c r="AF336" s="14"/>
      <c r="AG336" s="14"/>
      <c r="AH336" s="14">
        <f>IF(AND(V336=1,COUNTIFS(Valores!$S$10:$S$509,"="&amp;SUBSTITUTE(SUBSTITUTE(SUBSTITUTE("P:"&amp;A336,"~","~~"),"*","~*"),"?","~?"))=1),(IF(ISNA(MATCH(SUBSTITUTE(SUBSTITUTE(SUBSTITUTE("P:"&amp;A336,"~","~~"),"*","~*"),"?","~?"),Valores!$S$10:$S$509,0)),9,INDEX(Valores!$R$10:$R$509,MATCH(SUBSTITUTE(SUBSTITUTE(SUBSTITUTE("P:"&amp;A336,"~","~~"),"*","~*"),"?","~?"),Valores!$S$10:$S$509,0)))-9),0)</f>
        <v>0</v>
      </c>
      <c r="AI336" s="40" t="str">
        <f t="shared" si="48"/>
        <v/>
      </c>
      <c r="AJ336" s="14" t="str">
        <f>IF(AND(X336=1,Y336=1),COUNTIFS($X$10:X336,1,$Y$10:Y336,1),"")</f>
        <v/>
      </c>
      <c r="AK336" s="14" t="str">
        <f>IF(X336=1,COUNTIFS($X$10:X336,1),"")</f>
        <v/>
      </c>
      <c r="AL336" s="14">
        <f>IF(AND(V336=1,AND(OR(Painel!$L$6="Todas",E336=Painel!$L$6),OR(Painel!$C$8="Todos",F336=Painel!$C$8),OR(Painel!$L$8="Todos",G336=Painel!$L$8),OR(Painel!$C$10="",ISNUMBER(SEARCH(SUBSTITUTE(SUBSTITUTE(SUBSTITUTE(Painel!$C$10,"~","~~"),"*","~*"),"?","~?"),A336&amp;" "&amp;H336&amp;" "&amp;I336))))),1,0)</f>
        <v>0</v>
      </c>
      <c r="AM336" s="14">
        <f t="shared" si="49"/>
        <v>0</v>
      </c>
      <c r="AN336" s="14"/>
      <c r="AO336" s="14"/>
      <c r="AP336" s="16" t="str">
        <f>IF(AB336=0,"",IF(INDEX(Andamentos!$B$10:$B$2009,AB336)="","",INDEX(Andamentos!$B$10:$B$2009,AB336)))</f>
        <v/>
      </c>
      <c r="AQ336" s="17" t="str">
        <f>IF(AH336=0,"",IF(INDEX(Valores!$B$10:$B$509,AH336)="","",IF(ISNUMBER(INDEX(Valores!$B$10:$B$509,AH336)),INDEX(Valores!$B$10:$B$509,AH336),"")))</f>
        <v/>
      </c>
      <c r="AR336" s="14" t="str">
        <f t="shared" si="50"/>
        <v/>
      </c>
      <c r="AS336" s="14" t="str">
        <f t="shared" si="51"/>
        <v/>
      </c>
      <c r="AT336" s="27"/>
      <c r="AU336" s="31"/>
      <c r="AV336" s="31"/>
      <c r="AW336" s="27"/>
      <c r="AX336" s="27"/>
      <c r="AY336" s="27"/>
      <c r="AZ336" s="27"/>
      <c r="BA336" s="30" t="str">
        <f t="shared" si="52"/>
        <v/>
      </c>
      <c r="BB336" s="30" t="str">
        <f t="shared" si="53"/>
        <v/>
      </c>
      <c r="BC336" s="30">
        <f>IF(X336=0,0,IF(COUNTIFS($X$10:X336,1,$BA$10:BA336,BA336)=1,1,0))</f>
        <v>0</v>
      </c>
      <c r="BD336" s="29"/>
    </row>
    <row r="337" spans="1:56" ht="42" customHeight="1">
      <c r="A337" s="41"/>
      <c r="B337" s="44"/>
      <c r="C337" s="44"/>
      <c r="D337" s="44"/>
      <c r="E337" s="44"/>
      <c r="F337" s="44"/>
      <c r="G337" s="44"/>
      <c r="H337" s="44"/>
      <c r="I337" s="44"/>
      <c r="J337" s="44"/>
      <c r="K337" s="44"/>
      <c r="L337" s="49"/>
      <c r="M337" s="48"/>
      <c r="N337" s="48"/>
      <c r="O337" s="48"/>
      <c r="P337" s="48"/>
      <c r="Q337" s="48"/>
      <c r="R337" s="48"/>
      <c r="S337" s="49"/>
      <c r="T337" s="48"/>
      <c r="U337" s="48"/>
      <c r="V337" s="14">
        <f t="shared" si="45"/>
        <v>0</v>
      </c>
      <c r="W337" s="14">
        <f t="shared" si="46"/>
        <v>0</v>
      </c>
      <c r="X337" s="14">
        <f>IF(AND(V337=1,OR(Painel!$C$6="Todos",D337=Painel!$C$6),AND(OR(Painel!$L$6="Todas",E337=Painel!$L$6),OR(Painel!$C$8="Todos",F337=Painel!$C$8),OR(Painel!$L$8="Todos",G337=Painel!$L$8),OR(Painel!$C$10="",ISNUMBER(SEARCH(SUBSTITUTE(SUBSTITUTE(SUBSTITUTE(Painel!$C$10,"~","~~"),"*","~*"),"?","~?"),A337&amp;" "&amp;H337&amp;" "&amp;I337))))),1,0)</f>
        <v>0</v>
      </c>
      <c r="Y337" s="14">
        <f t="shared" si="47"/>
        <v>0</v>
      </c>
      <c r="Z337" s="15" t="str">
        <f>IF(V337=0,"",IF(COUNTIFS(Andamentos!$K$10:$K$2009,"="&amp;SUBSTITUTE(SUBSTITUTE(SUBSTITUTE("P:"&amp;A337,"~","~~"),"*","~*"),"?","~?"),Andamentos!$G$10:$G$2009,1)=0,"",_xlfn.AGGREGATE(14,6,Andamentos!$D$10:$D$2009/((Andamentos!$K$10:$K$2009=AS337)*(Andamentos!$G$10:$G$2009=1)),1)))</f>
        <v/>
      </c>
      <c r="AA337" s="14">
        <f>IF(Z337="",0,COUNTIFS(Andamentos!$K$10:$K$2009,"="&amp;SUBSTITUTE(SUBSTITUTE(SUBSTITUTE("P:"&amp;A337,"~","~~"),"*","~*"),"?","~?"),Andamentos!$D$10:$D$2009,Z337,Andamentos!$G$10:$G$2009,1))</f>
        <v>0</v>
      </c>
      <c r="AB337" s="14">
        <f>IF(AA337=1,SUMIFS(Andamentos!$L$10:$L$2009,Andamentos!$K$10:$K$2009,"="&amp;SUBSTITUTE(SUBSTITUTE(SUBSTITUTE(AS337,"~","~~"),"*","~*"),"?","~?"),Andamentos!$D$10:$D$2009,Z337,Andamentos!$G$10:$G$2009,1)-9,0)</f>
        <v>0</v>
      </c>
      <c r="AC337" s="14" t="str">
        <f>IF(V337=0,"",IF(AA337&gt;1,"Conferir recebimentos empatados",IF(AB337=0,"Sem atualização",INDEX(Andamentos!$C$10:$C$2009,AB337))))</f>
        <v/>
      </c>
      <c r="AD337" s="14">
        <f>IF(W337=0,0,IF(MAX(Z337,BD337)=0,1,IF(Configurar!$J$12-INT(MAX(Z337,BD337))&gt;Configurar!$J$11,1,0)))</f>
        <v>0</v>
      </c>
      <c r="AE337" s="16"/>
      <c r="AF337" s="14"/>
      <c r="AG337" s="14"/>
      <c r="AH337" s="14">
        <f>IF(AND(V337=1,COUNTIFS(Valores!$S$10:$S$509,"="&amp;SUBSTITUTE(SUBSTITUTE(SUBSTITUTE("P:"&amp;A337,"~","~~"),"*","~*"),"?","~?"))=1),(IF(ISNA(MATCH(SUBSTITUTE(SUBSTITUTE(SUBSTITUTE("P:"&amp;A337,"~","~~"),"*","~*"),"?","~?"),Valores!$S$10:$S$509,0)),9,INDEX(Valores!$R$10:$R$509,MATCH(SUBSTITUTE(SUBSTITUTE(SUBSTITUTE("P:"&amp;A337,"~","~~"),"*","~*"),"?","~?"),Valores!$S$10:$S$509,0)))-9),0)</f>
        <v>0</v>
      </c>
      <c r="AI337" s="40" t="str">
        <f t="shared" si="48"/>
        <v/>
      </c>
      <c r="AJ337" s="14" t="str">
        <f>IF(AND(X337=1,Y337=1),COUNTIFS($X$10:X337,1,$Y$10:Y337,1),"")</f>
        <v/>
      </c>
      <c r="AK337" s="14" t="str">
        <f>IF(X337=1,COUNTIFS($X$10:X337,1),"")</f>
        <v/>
      </c>
      <c r="AL337" s="14">
        <f>IF(AND(V337=1,AND(OR(Painel!$L$6="Todas",E337=Painel!$L$6),OR(Painel!$C$8="Todos",F337=Painel!$C$8),OR(Painel!$L$8="Todos",G337=Painel!$L$8),OR(Painel!$C$10="",ISNUMBER(SEARCH(SUBSTITUTE(SUBSTITUTE(SUBSTITUTE(Painel!$C$10,"~","~~"),"*","~*"),"?","~?"),A337&amp;" "&amp;H337&amp;" "&amp;I337))))),1,0)</f>
        <v>0</v>
      </c>
      <c r="AM337" s="14">
        <f t="shared" si="49"/>
        <v>0</v>
      </c>
      <c r="AN337" s="14"/>
      <c r="AO337" s="14"/>
      <c r="AP337" s="16" t="str">
        <f>IF(AB337=0,"",IF(INDEX(Andamentos!$B$10:$B$2009,AB337)="","",INDEX(Andamentos!$B$10:$B$2009,AB337)))</f>
        <v/>
      </c>
      <c r="AQ337" s="17" t="str">
        <f>IF(AH337=0,"",IF(INDEX(Valores!$B$10:$B$509,AH337)="","",IF(ISNUMBER(INDEX(Valores!$B$10:$B$509,AH337)),INDEX(Valores!$B$10:$B$509,AH337),"")))</f>
        <v/>
      </c>
      <c r="AR337" s="14" t="str">
        <f t="shared" si="50"/>
        <v/>
      </c>
      <c r="AS337" s="14" t="str">
        <f t="shared" si="51"/>
        <v/>
      </c>
      <c r="AT337" s="27"/>
      <c r="AU337" s="31"/>
      <c r="AV337" s="31"/>
      <c r="AW337" s="27"/>
      <c r="AX337" s="27"/>
      <c r="AY337" s="27"/>
      <c r="AZ337" s="27"/>
      <c r="BA337" s="30" t="str">
        <f t="shared" si="52"/>
        <v/>
      </c>
      <c r="BB337" s="30" t="str">
        <f t="shared" si="53"/>
        <v/>
      </c>
      <c r="BC337" s="30">
        <f>IF(X337=0,0,IF(COUNTIFS($X$10:X337,1,$BA$10:BA337,BA337)=1,1,0))</f>
        <v>0</v>
      </c>
      <c r="BD337" s="29"/>
    </row>
    <row r="338" spans="1:56" ht="42" customHeight="1">
      <c r="A338" s="41"/>
      <c r="B338" s="44"/>
      <c r="C338" s="44"/>
      <c r="D338" s="44"/>
      <c r="E338" s="44"/>
      <c r="F338" s="44"/>
      <c r="G338" s="44"/>
      <c r="H338" s="44"/>
      <c r="I338" s="44"/>
      <c r="J338" s="44"/>
      <c r="K338" s="44"/>
      <c r="L338" s="49"/>
      <c r="M338" s="48"/>
      <c r="N338" s="48"/>
      <c r="O338" s="48"/>
      <c r="P338" s="48"/>
      <c r="Q338" s="48"/>
      <c r="R338" s="48"/>
      <c r="S338" s="49"/>
      <c r="T338" s="48"/>
      <c r="U338" s="48"/>
      <c r="V338" s="14">
        <f t="shared" si="45"/>
        <v>0</v>
      </c>
      <c r="W338" s="14">
        <f t="shared" si="46"/>
        <v>0</v>
      </c>
      <c r="X338" s="14">
        <f>IF(AND(V338=1,OR(Painel!$C$6="Todos",D338=Painel!$C$6),AND(OR(Painel!$L$6="Todas",E338=Painel!$L$6),OR(Painel!$C$8="Todos",F338=Painel!$C$8),OR(Painel!$L$8="Todos",G338=Painel!$L$8),OR(Painel!$C$10="",ISNUMBER(SEARCH(SUBSTITUTE(SUBSTITUTE(SUBSTITUTE(Painel!$C$10,"~","~~"),"*","~*"),"?","~?"),A338&amp;" "&amp;H338&amp;" "&amp;I338))))),1,0)</f>
        <v>0</v>
      </c>
      <c r="Y338" s="14">
        <f t="shared" si="47"/>
        <v>0</v>
      </c>
      <c r="Z338" s="15" t="str">
        <f>IF(V338=0,"",IF(COUNTIFS(Andamentos!$K$10:$K$2009,"="&amp;SUBSTITUTE(SUBSTITUTE(SUBSTITUTE("P:"&amp;A338,"~","~~"),"*","~*"),"?","~?"),Andamentos!$G$10:$G$2009,1)=0,"",_xlfn.AGGREGATE(14,6,Andamentos!$D$10:$D$2009/((Andamentos!$K$10:$K$2009=AS338)*(Andamentos!$G$10:$G$2009=1)),1)))</f>
        <v/>
      </c>
      <c r="AA338" s="14">
        <f>IF(Z338="",0,COUNTIFS(Andamentos!$K$10:$K$2009,"="&amp;SUBSTITUTE(SUBSTITUTE(SUBSTITUTE("P:"&amp;A338,"~","~~"),"*","~*"),"?","~?"),Andamentos!$D$10:$D$2009,Z338,Andamentos!$G$10:$G$2009,1))</f>
        <v>0</v>
      </c>
      <c r="AB338" s="14">
        <f>IF(AA338=1,SUMIFS(Andamentos!$L$10:$L$2009,Andamentos!$K$10:$K$2009,"="&amp;SUBSTITUTE(SUBSTITUTE(SUBSTITUTE(AS338,"~","~~"),"*","~*"),"?","~?"),Andamentos!$D$10:$D$2009,Z338,Andamentos!$G$10:$G$2009,1)-9,0)</f>
        <v>0</v>
      </c>
      <c r="AC338" s="14" t="str">
        <f>IF(V338=0,"",IF(AA338&gt;1,"Conferir recebimentos empatados",IF(AB338=0,"Sem atualização",INDEX(Andamentos!$C$10:$C$2009,AB338))))</f>
        <v/>
      </c>
      <c r="AD338" s="14">
        <f>IF(W338=0,0,IF(MAX(Z338,BD338)=0,1,IF(Configurar!$J$12-INT(MAX(Z338,BD338))&gt;Configurar!$J$11,1,0)))</f>
        <v>0</v>
      </c>
      <c r="AE338" s="16"/>
      <c r="AF338" s="14"/>
      <c r="AG338" s="14"/>
      <c r="AH338" s="14">
        <f>IF(AND(V338=1,COUNTIFS(Valores!$S$10:$S$509,"="&amp;SUBSTITUTE(SUBSTITUTE(SUBSTITUTE("P:"&amp;A338,"~","~~"),"*","~*"),"?","~?"))=1),(IF(ISNA(MATCH(SUBSTITUTE(SUBSTITUTE(SUBSTITUTE("P:"&amp;A338,"~","~~"),"*","~*"),"?","~?"),Valores!$S$10:$S$509,0)),9,INDEX(Valores!$R$10:$R$509,MATCH(SUBSTITUTE(SUBSTITUTE(SUBSTITUTE("P:"&amp;A338,"~","~~"),"*","~*"),"?","~?"),Valores!$S$10:$S$509,0)))-9),0)</f>
        <v>0</v>
      </c>
      <c r="AI338" s="40" t="str">
        <f t="shared" si="48"/>
        <v/>
      </c>
      <c r="AJ338" s="14" t="str">
        <f>IF(AND(X338=1,Y338=1),COUNTIFS($X$10:X338,1,$Y$10:Y338,1),"")</f>
        <v/>
      </c>
      <c r="AK338" s="14" t="str">
        <f>IF(X338=1,COUNTIFS($X$10:X338,1),"")</f>
        <v/>
      </c>
      <c r="AL338" s="14">
        <f>IF(AND(V338=1,AND(OR(Painel!$L$6="Todas",E338=Painel!$L$6),OR(Painel!$C$8="Todos",F338=Painel!$C$8),OR(Painel!$L$8="Todos",G338=Painel!$L$8),OR(Painel!$C$10="",ISNUMBER(SEARCH(SUBSTITUTE(SUBSTITUTE(SUBSTITUTE(Painel!$C$10,"~","~~"),"*","~*"),"?","~?"),A338&amp;" "&amp;H338&amp;" "&amp;I338))))),1,0)</f>
        <v>0</v>
      </c>
      <c r="AM338" s="14">
        <f t="shared" si="49"/>
        <v>0</v>
      </c>
      <c r="AN338" s="14"/>
      <c r="AO338" s="14"/>
      <c r="AP338" s="16" t="str">
        <f>IF(AB338=0,"",IF(INDEX(Andamentos!$B$10:$B$2009,AB338)="","",INDEX(Andamentos!$B$10:$B$2009,AB338)))</f>
        <v/>
      </c>
      <c r="AQ338" s="17" t="str">
        <f>IF(AH338=0,"",IF(INDEX(Valores!$B$10:$B$509,AH338)="","",IF(ISNUMBER(INDEX(Valores!$B$10:$B$509,AH338)),INDEX(Valores!$B$10:$B$509,AH338),"")))</f>
        <v/>
      </c>
      <c r="AR338" s="14" t="str">
        <f t="shared" si="50"/>
        <v/>
      </c>
      <c r="AS338" s="14" t="str">
        <f t="shared" si="51"/>
        <v/>
      </c>
      <c r="AT338" s="27"/>
      <c r="AU338" s="31"/>
      <c r="AV338" s="31"/>
      <c r="AW338" s="27"/>
      <c r="AX338" s="27"/>
      <c r="AY338" s="27"/>
      <c r="AZ338" s="27"/>
      <c r="BA338" s="30" t="str">
        <f t="shared" si="52"/>
        <v/>
      </c>
      <c r="BB338" s="30" t="str">
        <f t="shared" si="53"/>
        <v/>
      </c>
      <c r="BC338" s="30">
        <f>IF(X338=0,0,IF(COUNTIFS($X$10:X338,1,$BA$10:BA338,BA338)=1,1,0))</f>
        <v>0</v>
      </c>
      <c r="BD338" s="29"/>
    </row>
    <row r="339" spans="1:56" ht="42" customHeight="1">
      <c r="A339" s="41"/>
      <c r="B339" s="44"/>
      <c r="C339" s="44"/>
      <c r="D339" s="44"/>
      <c r="E339" s="44"/>
      <c r="F339" s="44"/>
      <c r="G339" s="44"/>
      <c r="H339" s="44"/>
      <c r="I339" s="44"/>
      <c r="J339" s="44"/>
      <c r="K339" s="44"/>
      <c r="L339" s="49"/>
      <c r="M339" s="48"/>
      <c r="N339" s="48"/>
      <c r="O339" s="48"/>
      <c r="P339" s="48"/>
      <c r="Q339" s="48"/>
      <c r="R339" s="48"/>
      <c r="S339" s="49"/>
      <c r="T339" s="48"/>
      <c r="U339" s="48"/>
      <c r="V339" s="14">
        <f t="shared" si="45"/>
        <v>0</v>
      </c>
      <c r="W339" s="14">
        <f t="shared" si="46"/>
        <v>0</v>
      </c>
      <c r="X339" s="14">
        <f>IF(AND(V339=1,OR(Painel!$C$6="Todos",D339=Painel!$C$6),AND(OR(Painel!$L$6="Todas",E339=Painel!$L$6),OR(Painel!$C$8="Todos",F339=Painel!$C$8),OR(Painel!$L$8="Todos",G339=Painel!$L$8),OR(Painel!$C$10="",ISNUMBER(SEARCH(SUBSTITUTE(SUBSTITUTE(SUBSTITUTE(Painel!$C$10,"~","~~"),"*","~*"),"?","~?"),A339&amp;" "&amp;H339&amp;" "&amp;I339))))),1,0)</f>
        <v>0</v>
      </c>
      <c r="Y339" s="14">
        <f t="shared" si="47"/>
        <v>0</v>
      </c>
      <c r="Z339" s="15" t="str">
        <f>IF(V339=0,"",IF(COUNTIFS(Andamentos!$K$10:$K$2009,"="&amp;SUBSTITUTE(SUBSTITUTE(SUBSTITUTE("P:"&amp;A339,"~","~~"),"*","~*"),"?","~?"),Andamentos!$G$10:$G$2009,1)=0,"",_xlfn.AGGREGATE(14,6,Andamentos!$D$10:$D$2009/((Andamentos!$K$10:$K$2009=AS339)*(Andamentos!$G$10:$G$2009=1)),1)))</f>
        <v/>
      </c>
      <c r="AA339" s="14">
        <f>IF(Z339="",0,COUNTIFS(Andamentos!$K$10:$K$2009,"="&amp;SUBSTITUTE(SUBSTITUTE(SUBSTITUTE("P:"&amp;A339,"~","~~"),"*","~*"),"?","~?"),Andamentos!$D$10:$D$2009,Z339,Andamentos!$G$10:$G$2009,1))</f>
        <v>0</v>
      </c>
      <c r="AB339" s="14">
        <f>IF(AA339=1,SUMIFS(Andamentos!$L$10:$L$2009,Andamentos!$K$10:$K$2009,"="&amp;SUBSTITUTE(SUBSTITUTE(SUBSTITUTE(AS339,"~","~~"),"*","~*"),"?","~?"),Andamentos!$D$10:$D$2009,Z339,Andamentos!$G$10:$G$2009,1)-9,0)</f>
        <v>0</v>
      </c>
      <c r="AC339" s="14" t="str">
        <f>IF(V339=0,"",IF(AA339&gt;1,"Conferir recebimentos empatados",IF(AB339=0,"Sem atualização",INDEX(Andamentos!$C$10:$C$2009,AB339))))</f>
        <v/>
      </c>
      <c r="AD339" s="14">
        <f>IF(W339=0,0,IF(MAX(Z339,BD339)=0,1,IF(Configurar!$J$12-INT(MAX(Z339,BD339))&gt;Configurar!$J$11,1,0)))</f>
        <v>0</v>
      </c>
      <c r="AE339" s="16"/>
      <c r="AF339" s="14"/>
      <c r="AG339" s="14"/>
      <c r="AH339" s="14">
        <f>IF(AND(V339=1,COUNTIFS(Valores!$S$10:$S$509,"="&amp;SUBSTITUTE(SUBSTITUTE(SUBSTITUTE("P:"&amp;A339,"~","~~"),"*","~*"),"?","~?"))=1),(IF(ISNA(MATCH(SUBSTITUTE(SUBSTITUTE(SUBSTITUTE("P:"&amp;A339,"~","~~"),"*","~*"),"?","~?"),Valores!$S$10:$S$509,0)),9,INDEX(Valores!$R$10:$R$509,MATCH(SUBSTITUTE(SUBSTITUTE(SUBSTITUTE("P:"&amp;A339,"~","~~"),"*","~*"),"?","~?"),Valores!$S$10:$S$509,0)))-9),0)</f>
        <v>0</v>
      </c>
      <c r="AI339" s="40" t="str">
        <f t="shared" si="48"/>
        <v/>
      </c>
      <c r="AJ339" s="14" t="str">
        <f>IF(AND(X339=1,Y339=1),COUNTIFS($X$10:X339,1,$Y$10:Y339,1),"")</f>
        <v/>
      </c>
      <c r="AK339" s="14" t="str">
        <f>IF(X339=1,COUNTIFS($X$10:X339,1),"")</f>
        <v/>
      </c>
      <c r="AL339" s="14">
        <f>IF(AND(V339=1,AND(OR(Painel!$L$6="Todas",E339=Painel!$L$6),OR(Painel!$C$8="Todos",F339=Painel!$C$8),OR(Painel!$L$8="Todos",G339=Painel!$L$8),OR(Painel!$C$10="",ISNUMBER(SEARCH(SUBSTITUTE(SUBSTITUTE(SUBSTITUTE(Painel!$C$10,"~","~~"),"*","~*"),"?","~?"),A339&amp;" "&amp;H339&amp;" "&amp;I339))))),1,0)</f>
        <v>0</v>
      </c>
      <c r="AM339" s="14">
        <f t="shared" si="49"/>
        <v>0</v>
      </c>
      <c r="AN339" s="14"/>
      <c r="AO339" s="14"/>
      <c r="AP339" s="16" t="str">
        <f>IF(AB339=0,"",IF(INDEX(Andamentos!$B$10:$B$2009,AB339)="","",INDEX(Andamentos!$B$10:$B$2009,AB339)))</f>
        <v/>
      </c>
      <c r="AQ339" s="17" t="str">
        <f>IF(AH339=0,"",IF(INDEX(Valores!$B$10:$B$509,AH339)="","",IF(ISNUMBER(INDEX(Valores!$B$10:$B$509,AH339)),INDEX(Valores!$B$10:$B$509,AH339),"")))</f>
        <v/>
      </c>
      <c r="AR339" s="14" t="str">
        <f t="shared" si="50"/>
        <v/>
      </c>
      <c r="AS339" s="14" t="str">
        <f t="shared" si="51"/>
        <v/>
      </c>
      <c r="AT339" s="27"/>
      <c r="AU339" s="31"/>
      <c r="AV339" s="31"/>
      <c r="AW339" s="27"/>
      <c r="AX339" s="27"/>
      <c r="AY339" s="27"/>
      <c r="AZ339" s="27"/>
      <c r="BA339" s="30" t="str">
        <f t="shared" si="52"/>
        <v/>
      </c>
      <c r="BB339" s="30" t="str">
        <f t="shared" si="53"/>
        <v/>
      </c>
      <c r="BC339" s="30">
        <f>IF(X339=0,0,IF(COUNTIFS($X$10:X339,1,$BA$10:BA339,BA339)=1,1,0))</f>
        <v>0</v>
      </c>
      <c r="BD339" s="29"/>
    </row>
    <row r="340" spans="1:56" ht="42" customHeight="1">
      <c r="A340" s="41"/>
      <c r="B340" s="44"/>
      <c r="C340" s="44"/>
      <c r="D340" s="44"/>
      <c r="E340" s="44"/>
      <c r="F340" s="44"/>
      <c r="G340" s="44"/>
      <c r="H340" s="44"/>
      <c r="I340" s="44"/>
      <c r="J340" s="44"/>
      <c r="K340" s="44"/>
      <c r="L340" s="49"/>
      <c r="M340" s="48"/>
      <c r="N340" s="48"/>
      <c r="O340" s="48"/>
      <c r="P340" s="48"/>
      <c r="Q340" s="48"/>
      <c r="R340" s="48"/>
      <c r="S340" s="49"/>
      <c r="T340" s="48"/>
      <c r="U340" s="48"/>
      <c r="V340" s="14">
        <f t="shared" si="45"/>
        <v>0</v>
      </c>
      <c r="W340" s="14">
        <f t="shared" si="46"/>
        <v>0</v>
      </c>
      <c r="X340" s="14">
        <f>IF(AND(V340=1,OR(Painel!$C$6="Todos",D340=Painel!$C$6),AND(OR(Painel!$L$6="Todas",E340=Painel!$L$6),OR(Painel!$C$8="Todos",F340=Painel!$C$8),OR(Painel!$L$8="Todos",G340=Painel!$L$8),OR(Painel!$C$10="",ISNUMBER(SEARCH(SUBSTITUTE(SUBSTITUTE(SUBSTITUTE(Painel!$C$10,"~","~~"),"*","~*"),"?","~?"),A340&amp;" "&amp;H340&amp;" "&amp;I340))))),1,0)</f>
        <v>0</v>
      </c>
      <c r="Y340" s="14">
        <f t="shared" si="47"/>
        <v>0</v>
      </c>
      <c r="Z340" s="15" t="str">
        <f>IF(V340=0,"",IF(COUNTIFS(Andamentos!$K$10:$K$2009,"="&amp;SUBSTITUTE(SUBSTITUTE(SUBSTITUTE("P:"&amp;A340,"~","~~"),"*","~*"),"?","~?"),Andamentos!$G$10:$G$2009,1)=0,"",_xlfn.AGGREGATE(14,6,Andamentos!$D$10:$D$2009/((Andamentos!$K$10:$K$2009=AS340)*(Andamentos!$G$10:$G$2009=1)),1)))</f>
        <v/>
      </c>
      <c r="AA340" s="14">
        <f>IF(Z340="",0,COUNTIFS(Andamentos!$K$10:$K$2009,"="&amp;SUBSTITUTE(SUBSTITUTE(SUBSTITUTE("P:"&amp;A340,"~","~~"),"*","~*"),"?","~?"),Andamentos!$D$10:$D$2009,Z340,Andamentos!$G$10:$G$2009,1))</f>
        <v>0</v>
      </c>
      <c r="AB340" s="14">
        <f>IF(AA340=1,SUMIFS(Andamentos!$L$10:$L$2009,Andamentos!$K$10:$K$2009,"="&amp;SUBSTITUTE(SUBSTITUTE(SUBSTITUTE(AS340,"~","~~"),"*","~*"),"?","~?"),Andamentos!$D$10:$D$2009,Z340,Andamentos!$G$10:$G$2009,1)-9,0)</f>
        <v>0</v>
      </c>
      <c r="AC340" s="14" t="str">
        <f>IF(V340=0,"",IF(AA340&gt;1,"Conferir recebimentos empatados",IF(AB340=0,"Sem atualização",INDEX(Andamentos!$C$10:$C$2009,AB340))))</f>
        <v/>
      </c>
      <c r="AD340" s="14">
        <f>IF(W340=0,0,IF(MAX(Z340,BD340)=0,1,IF(Configurar!$J$12-INT(MAX(Z340,BD340))&gt;Configurar!$J$11,1,0)))</f>
        <v>0</v>
      </c>
      <c r="AE340" s="16"/>
      <c r="AF340" s="14"/>
      <c r="AG340" s="14"/>
      <c r="AH340" s="14">
        <f>IF(AND(V340=1,COUNTIFS(Valores!$S$10:$S$509,"="&amp;SUBSTITUTE(SUBSTITUTE(SUBSTITUTE("P:"&amp;A340,"~","~~"),"*","~*"),"?","~?"))=1),(IF(ISNA(MATCH(SUBSTITUTE(SUBSTITUTE(SUBSTITUTE("P:"&amp;A340,"~","~~"),"*","~*"),"?","~?"),Valores!$S$10:$S$509,0)),9,INDEX(Valores!$R$10:$R$509,MATCH(SUBSTITUTE(SUBSTITUTE(SUBSTITUTE("P:"&amp;A340,"~","~~"),"*","~*"),"?","~?"),Valores!$S$10:$S$509,0)))-9),0)</f>
        <v>0</v>
      </c>
      <c r="AI340" s="40" t="str">
        <f t="shared" si="48"/>
        <v/>
      </c>
      <c r="AJ340" s="14" t="str">
        <f>IF(AND(X340=1,Y340=1),COUNTIFS($X$10:X340,1,$Y$10:Y340,1),"")</f>
        <v/>
      </c>
      <c r="AK340" s="14" t="str">
        <f>IF(X340=1,COUNTIFS($X$10:X340,1),"")</f>
        <v/>
      </c>
      <c r="AL340" s="14">
        <f>IF(AND(V340=1,AND(OR(Painel!$L$6="Todas",E340=Painel!$L$6),OR(Painel!$C$8="Todos",F340=Painel!$C$8),OR(Painel!$L$8="Todos",G340=Painel!$L$8),OR(Painel!$C$10="",ISNUMBER(SEARCH(SUBSTITUTE(SUBSTITUTE(SUBSTITUTE(Painel!$C$10,"~","~~"),"*","~*"),"?","~?"),A340&amp;" "&amp;H340&amp;" "&amp;I340))))),1,0)</f>
        <v>0</v>
      </c>
      <c r="AM340" s="14">
        <f t="shared" si="49"/>
        <v>0</v>
      </c>
      <c r="AN340" s="14"/>
      <c r="AO340" s="14"/>
      <c r="AP340" s="16" t="str">
        <f>IF(AB340=0,"",IF(INDEX(Andamentos!$B$10:$B$2009,AB340)="","",INDEX(Andamentos!$B$10:$B$2009,AB340)))</f>
        <v/>
      </c>
      <c r="AQ340" s="17" t="str">
        <f>IF(AH340=0,"",IF(INDEX(Valores!$B$10:$B$509,AH340)="","",IF(ISNUMBER(INDEX(Valores!$B$10:$B$509,AH340)),INDEX(Valores!$B$10:$B$509,AH340),"")))</f>
        <v/>
      </c>
      <c r="AR340" s="14" t="str">
        <f t="shared" si="50"/>
        <v/>
      </c>
      <c r="AS340" s="14" t="str">
        <f t="shared" si="51"/>
        <v/>
      </c>
      <c r="AT340" s="27"/>
      <c r="AU340" s="31"/>
      <c r="AV340" s="31"/>
      <c r="AW340" s="27"/>
      <c r="AX340" s="27"/>
      <c r="AY340" s="27"/>
      <c r="AZ340" s="27"/>
      <c r="BA340" s="30" t="str">
        <f t="shared" si="52"/>
        <v/>
      </c>
      <c r="BB340" s="30" t="str">
        <f t="shared" si="53"/>
        <v/>
      </c>
      <c r="BC340" s="30">
        <f>IF(X340=0,0,IF(COUNTIFS($X$10:X340,1,$BA$10:BA340,BA340)=1,1,0))</f>
        <v>0</v>
      </c>
      <c r="BD340" s="29"/>
    </row>
    <row r="341" spans="1:56" ht="42" customHeight="1">
      <c r="A341" s="41"/>
      <c r="B341" s="44"/>
      <c r="C341" s="44"/>
      <c r="D341" s="44"/>
      <c r="E341" s="44"/>
      <c r="F341" s="44"/>
      <c r="G341" s="44"/>
      <c r="H341" s="44"/>
      <c r="I341" s="44"/>
      <c r="J341" s="44"/>
      <c r="K341" s="44"/>
      <c r="L341" s="49"/>
      <c r="M341" s="48"/>
      <c r="N341" s="48"/>
      <c r="O341" s="48"/>
      <c r="P341" s="48"/>
      <c r="Q341" s="48"/>
      <c r="R341" s="48"/>
      <c r="S341" s="49"/>
      <c r="T341" s="48"/>
      <c r="U341" s="48"/>
      <c r="V341" s="14">
        <f t="shared" si="45"/>
        <v>0</v>
      </c>
      <c r="W341" s="14">
        <f t="shared" si="46"/>
        <v>0</v>
      </c>
      <c r="X341" s="14">
        <f>IF(AND(V341=1,OR(Painel!$C$6="Todos",D341=Painel!$C$6),AND(OR(Painel!$L$6="Todas",E341=Painel!$L$6),OR(Painel!$C$8="Todos",F341=Painel!$C$8),OR(Painel!$L$8="Todos",G341=Painel!$L$8),OR(Painel!$C$10="",ISNUMBER(SEARCH(SUBSTITUTE(SUBSTITUTE(SUBSTITUTE(Painel!$C$10,"~","~~"),"*","~*"),"?","~?"),A341&amp;" "&amp;H341&amp;" "&amp;I341))))),1,0)</f>
        <v>0</v>
      </c>
      <c r="Y341" s="14">
        <f t="shared" si="47"/>
        <v>0</v>
      </c>
      <c r="Z341" s="15" t="str">
        <f>IF(V341=0,"",IF(COUNTIFS(Andamentos!$K$10:$K$2009,"="&amp;SUBSTITUTE(SUBSTITUTE(SUBSTITUTE("P:"&amp;A341,"~","~~"),"*","~*"),"?","~?"),Andamentos!$G$10:$G$2009,1)=0,"",_xlfn.AGGREGATE(14,6,Andamentos!$D$10:$D$2009/((Andamentos!$K$10:$K$2009=AS341)*(Andamentos!$G$10:$G$2009=1)),1)))</f>
        <v/>
      </c>
      <c r="AA341" s="14">
        <f>IF(Z341="",0,COUNTIFS(Andamentos!$K$10:$K$2009,"="&amp;SUBSTITUTE(SUBSTITUTE(SUBSTITUTE("P:"&amp;A341,"~","~~"),"*","~*"),"?","~?"),Andamentos!$D$10:$D$2009,Z341,Andamentos!$G$10:$G$2009,1))</f>
        <v>0</v>
      </c>
      <c r="AB341" s="14">
        <f>IF(AA341=1,SUMIFS(Andamentos!$L$10:$L$2009,Andamentos!$K$10:$K$2009,"="&amp;SUBSTITUTE(SUBSTITUTE(SUBSTITUTE(AS341,"~","~~"),"*","~*"),"?","~?"),Andamentos!$D$10:$D$2009,Z341,Andamentos!$G$10:$G$2009,1)-9,0)</f>
        <v>0</v>
      </c>
      <c r="AC341" s="14" t="str">
        <f>IF(V341=0,"",IF(AA341&gt;1,"Conferir recebimentos empatados",IF(AB341=0,"Sem atualização",INDEX(Andamentos!$C$10:$C$2009,AB341))))</f>
        <v/>
      </c>
      <c r="AD341" s="14">
        <f>IF(W341=0,0,IF(MAX(Z341,BD341)=0,1,IF(Configurar!$J$12-INT(MAX(Z341,BD341))&gt;Configurar!$J$11,1,0)))</f>
        <v>0</v>
      </c>
      <c r="AE341" s="16"/>
      <c r="AF341" s="14"/>
      <c r="AG341" s="14"/>
      <c r="AH341" s="14">
        <f>IF(AND(V341=1,COUNTIFS(Valores!$S$10:$S$509,"="&amp;SUBSTITUTE(SUBSTITUTE(SUBSTITUTE("P:"&amp;A341,"~","~~"),"*","~*"),"?","~?"))=1),(IF(ISNA(MATCH(SUBSTITUTE(SUBSTITUTE(SUBSTITUTE("P:"&amp;A341,"~","~~"),"*","~*"),"?","~?"),Valores!$S$10:$S$509,0)),9,INDEX(Valores!$R$10:$R$509,MATCH(SUBSTITUTE(SUBSTITUTE(SUBSTITUTE("P:"&amp;A341,"~","~~"),"*","~*"),"?","~?"),Valores!$S$10:$S$509,0)))-9),0)</f>
        <v>0</v>
      </c>
      <c r="AI341" s="40" t="str">
        <f t="shared" si="48"/>
        <v/>
      </c>
      <c r="AJ341" s="14" t="str">
        <f>IF(AND(X341=1,Y341=1),COUNTIFS($X$10:X341,1,$Y$10:Y341,1),"")</f>
        <v/>
      </c>
      <c r="AK341" s="14" t="str">
        <f>IF(X341=1,COUNTIFS($X$10:X341,1),"")</f>
        <v/>
      </c>
      <c r="AL341" s="14">
        <f>IF(AND(V341=1,AND(OR(Painel!$L$6="Todas",E341=Painel!$L$6),OR(Painel!$C$8="Todos",F341=Painel!$C$8),OR(Painel!$L$8="Todos",G341=Painel!$L$8),OR(Painel!$C$10="",ISNUMBER(SEARCH(SUBSTITUTE(SUBSTITUTE(SUBSTITUTE(Painel!$C$10,"~","~~"),"*","~*"),"?","~?"),A341&amp;" "&amp;H341&amp;" "&amp;I341))))),1,0)</f>
        <v>0</v>
      </c>
      <c r="AM341" s="14">
        <f t="shared" si="49"/>
        <v>0</v>
      </c>
      <c r="AN341" s="14"/>
      <c r="AO341" s="14"/>
      <c r="AP341" s="16" t="str">
        <f>IF(AB341=0,"",IF(INDEX(Andamentos!$B$10:$B$2009,AB341)="","",INDEX(Andamentos!$B$10:$B$2009,AB341)))</f>
        <v/>
      </c>
      <c r="AQ341" s="17" t="str">
        <f>IF(AH341=0,"",IF(INDEX(Valores!$B$10:$B$509,AH341)="","",IF(ISNUMBER(INDEX(Valores!$B$10:$B$509,AH341)),INDEX(Valores!$B$10:$B$509,AH341),"")))</f>
        <v/>
      </c>
      <c r="AR341" s="14" t="str">
        <f t="shared" si="50"/>
        <v/>
      </c>
      <c r="AS341" s="14" t="str">
        <f t="shared" si="51"/>
        <v/>
      </c>
      <c r="AT341" s="27"/>
      <c r="AU341" s="31"/>
      <c r="AV341" s="31"/>
      <c r="AW341" s="27"/>
      <c r="AX341" s="27"/>
      <c r="AY341" s="27"/>
      <c r="AZ341" s="27"/>
      <c r="BA341" s="30" t="str">
        <f t="shared" si="52"/>
        <v/>
      </c>
      <c r="BB341" s="30" t="str">
        <f t="shared" si="53"/>
        <v/>
      </c>
      <c r="BC341" s="30">
        <f>IF(X341=0,0,IF(COUNTIFS($X$10:X341,1,$BA$10:BA341,BA341)=1,1,0))</f>
        <v>0</v>
      </c>
      <c r="BD341" s="29"/>
    </row>
    <row r="342" spans="1:56" ht="42" customHeight="1">
      <c r="A342" s="41"/>
      <c r="B342" s="44"/>
      <c r="C342" s="44"/>
      <c r="D342" s="44"/>
      <c r="E342" s="44"/>
      <c r="F342" s="44"/>
      <c r="G342" s="44"/>
      <c r="H342" s="44"/>
      <c r="I342" s="44"/>
      <c r="J342" s="44"/>
      <c r="K342" s="44"/>
      <c r="L342" s="49"/>
      <c r="M342" s="48"/>
      <c r="N342" s="48"/>
      <c r="O342" s="48"/>
      <c r="P342" s="48"/>
      <c r="Q342" s="48"/>
      <c r="R342" s="48"/>
      <c r="S342" s="49"/>
      <c r="T342" s="48"/>
      <c r="U342" s="48"/>
      <c r="V342" s="14">
        <f t="shared" si="45"/>
        <v>0</v>
      </c>
      <c r="W342" s="14">
        <f t="shared" si="46"/>
        <v>0</v>
      </c>
      <c r="X342" s="14">
        <f>IF(AND(V342=1,OR(Painel!$C$6="Todos",D342=Painel!$C$6),AND(OR(Painel!$L$6="Todas",E342=Painel!$L$6),OR(Painel!$C$8="Todos",F342=Painel!$C$8),OR(Painel!$L$8="Todos",G342=Painel!$L$8),OR(Painel!$C$10="",ISNUMBER(SEARCH(SUBSTITUTE(SUBSTITUTE(SUBSTITUTE(Painel!$C$10,"~","~~"),"*","~*"),"?","~?"),A342&amp;" "&amp;H342&amp;" "&amp;I342))))),1,0)</f>
        <v>0</v>
      </c>
      <c r="Y342" s="14">
        <f t="shared" si="47"/>
        <v>0</v>
      </c>
      <c r="Z342" s="15" t="str">
        <f>IF(V342=0,"",IF(COUNTIFS(Andamentos!$K$10:$K$2009,"="&amp;SUBSTITUTE(SUBSTITUTE(SUBSTITUTE("P:"&amp;A342,"~","~~"),"*","~*"),"?","~?"),Andamentos!$G$10:$G$2009,1)=0,"",_xlfn.AGGREGATE(14,6,Andamentos!$D$10:$D$2009/((Andamentos!$K$10:$K$2009=AS342)*(Andamentos!$G$10:$G$2009=1)),1)))</f>
        <v/>
      </c>
      <c r="AA342" s="14">
        <f>IF(Z342="",0,COUNTIFS(Andamentos!$K$10:$K$2009,"="&amp;SUBSTITUTE(SUBSTITUTE(SUBSTITUTE("P:"&amp;A342,"~","~~"),"*","~*"),"?","~?"),Andamentos!$D$10:$D$2009,Z342,Andamentos!$G$10:$G$2009,1))</f>
        <v>0</v>
      </c>
      <c r="AB342" s="14">
        <f>IF(AA342=1,SUMIFS(Andamentos!$L$10:$L$2009,Andamentos!$K$10:$K$2009,"="&amp;SUBSTITUTE(SUBSTITUTE(SUBSTITUTE(AS342,"~","~~"),"*","~*"),"?","~?"),Andamentos!$D$10:$D$2009,Z342,Andamentos!$G$10:$G$2009,1)-9,0)</f>
        <v>0</v>
      </c>
      <c r="AC342" s="14" t="str">
        <f>IF(V342=0,"",IF(AA342&gt;1,"Conferir recebimentos empatados",IF(AB342=0,"Sem atualização",INDEX(Andamentos!$C$10:$C$2009,AB342))))</f>
        <v/>
      </c>
      <c r="AD342" s="14">
        <f>IF(W342=0,0,IF(MAX(Z342,BD342)=0,1,IF(Configurar!$J$12-INT(MAX(Z342,BD342))&gt;Configurar!$J$11,1,0)))</f>
        <v>0</v>
      </c>
      <c r="AE342" s="16"/>
      <c r="AF342" s="14"/>
      <c r="AG342" s="14"/>
      <c r="AH342" s="14">
        <f>IF(AND(V342=1,COUNTIFS(Valores!$S$10:$S$509,"="&amp;SUBSTITUTE(SUBSTITUTE(SUBSTITUTE("P:"&amp;A342,"~","~~"),"*","~*"),"?","~?"))=1),(IF(ISNA(MATCH(SUBSTITUTE(SUBSTITUTE(SUBSTITUTE("P:"&amp;A342,"~","~~"),"*","~*"),"?","~?"),Valores!$S$10:$S$509,0)),9,INDEX(Valores!$R$10:$R$509,MATCH(SUBSTITUTE(SUBSTITUTE(SUBSTITUTE("P:"&amp;A342,"~","~~"),"*","~*"),"?","~?"),Valores!$S$10:$S$509,0)))-9),0)</f>
        <v>0</v>
      </c>
      <c r="AI342" s="40" t="str">
        <f t="shared" si="48"/>
        <v/>
      </c>
      <c r="AJ342" s="14" t="str">
        <f>IF(AND(X342=1,Y342=1),COUNTIFS($X$10:X342,1,$Y$10:Y342,1),"")</f>
        <v/>
      </c>
      <c r="AK342" s="14" t="str">
        <f>IF(X342=1,COUNTIFS($X$10:X342,1),"")</f>
        <v/>
      </c>
      <c r="AL342" s="14">
        <f>IF(AND(V342=1,AND(OR(Painel!$L$6="Todas",E342=Painel!$L$6),OR(Painel!$C$8="Todos",F342=Painel!$C$8),OR(Painel!$L$8="Todos",G342=Painel!$L$8),OR(Painel!$C$10="",ISNUMBER(SEARCH(SUBSTITUTE(SUBSTITUTE(SUBSTITUTE(Painel!$C$10,"~","~~"),"*","~*"),"?","~?"),A342&amp;" "&amp;H342&amp;" "&amp;I342))))),1,0)</f>
        <v>0</v>
      </c>
      <c r="AM342" s="14">
        <f t="shared" si="49"/>
        <v>0</v>
      </c>
      <c r="AN342" s="14"/>
      <c r="AO342" s="14"/>
      <c r="AP342" s="16" t="str">
        <f>IF(AB342=0,"",IF(INDEX(Andamentos!$B$10:$B$2009,AB342)="","",INDEX(Andamentos!$B$10:$B$2009,AB342)))</f>
        <v/>
      </c>
      <c r="AQ342" s="17" t="str">
        <f>IF(AH342=0,"",IF(INDEX(Valores!$B$10:$B$509,AH342)="","",IF(ISNUMBER(INDEX(Valores!$B$10:$B$509,AH342)),INDEX(Valores!$B$10:$B$509,AH342),"")))</f>
        <v/>
      </c>
      <c r="AR342" s="14" t="str">
        <f t="shared" si="50"/>
        <v/>
      </c>
      <c r="AS342" s="14" t="str">
        <f t="shared" si="51"/>
        <v/>
      </c>
      <c r="AT342" s="27"/>
      <c r="AU342" s="31"/>
      <c r="AV342" s="31"/>
      <c r="AW342" s="27"/>
      <c r="AX342" s="27"/>
      <c r="AY342" s="27"/>
      <c r="AZ342" s="27"/>
      <c r="BA342" s="30" t="str">
        <f t="shared" si="52"/>
        <v/>
      </c>
      <c r="BB342" s="30" t="str">
        <f t="shared" si="53"/>
        <v/>
      </c>
      <c r="BC342" s="30">
        <f>IF(X342=0,0,IF(COUNTIFS($X$10:X342,1,$BA$10:BA342,BA342)=1,1,0))</f>
        <v>0</v>
      </c>
      <c r="BD342" s="29"/>
    </row>
    <row r="343" spans="1:56" ht="42" customHeight="1">
      <c r="A343" s="41"/>
      <c r="B343" s="44"/>
      <c r="C343" s="44"/>
      <c r="D343" s="44"/>
      <c r="E343" s="44"/>
      <c r="F343" s="44"/>
      <c r="G343" s="44"/>
      <c r="H343" s="44"/>
      <c r="I343" s="44"/>
      <c r="J343" s="44"/>
      <c r="K343" s="44"/>
      <c r="L343" s="49"/>
      <c r="M343" s="48"/>
      <c r="N343" s="48"/>
      <c r="O343" s="48"/>
      <c r="P343" s="48"/>
      <c r="Q343" s="48"/>
      <c r="R343" s="48"/>
      <c r="S343" s="49"/>
      <c r="T343" s="48"/>
      <c r="U343" s="48"/>
      <c r="V343" s="14">
        <f t="shared" si="45"/>
        <v>0</v>
      </c>
      <c r="W343" s="14">
        <f t="shared" si="46"/>
        <v>0</v>
      </c>
      <c r="X343" s="14">
        <f>IF(AND(V343=1,OR(Painel!$C$6="Todos",D343=Painel!$C$6),AND(OR(Painel!$L$6="Todas",E343=Painel!$L$6),OR(Painel!$C$8="Todos",F343=Painel!$C$8),OR(Painel!$L$8="Todos",G343=Painel!$L$8),OR(Painel!$C$10="",ISNUMBER(SEARCH(SUBSTITUTE(SUBSTITUTE(SUBSTITUTE(Painel!$C$10,"~","~~"),"*","~*"),"?","~?"),A343&amp;" "&amp;H343&amp;" "&amp;I343))))),1,0)</f>
        <v>0</v>
      </c>
      <c r="Y343" s="14">
        <f t="shared" si="47"/>
        <v>0</v>
      </c>
      <c r="Z343" s="15" t="str">
        <f>IF(V343=0,"",IF(COUNTIFS(Andamentos!$K$10:$K$2009,"="&amp;SUBSTITUTE(SUBSTITUTE(SUBSTITUTE("P:"&amp;A343,"~","~~"),"*","~*"),"?","~?"),Andamentos!$G$10:$G$2009,1)=0,"",_xlfn.AGGREGATE(14,6,Andamentos!$D$10:$D$2009/((Andamentos!$K$10:$K$2009=AS343)*(Andamentos!$G$10:$G$2009=1)),1)))</f>
        <v/>
      </c>
      <c r="AA343" s="14">
        <f>IF(Z343="",0,COUNTIFS(Andamentos!$K$10:$K$2009,"="&amp;SUBSTITUTE(SUBSTITUTE(SUBSTITUTE("P:"&amp;A343,"~","~~"),"*","~*"),"?","~?"),Andamentos!$D$10:$D$2009,Z343,Andamentos!$G$10:$G$2009,1))</f>
        <v>0</v>
      </c>
      <c r="AB343" s="14">
        <f>IF(AA343=1,SUMIFS(Andamentos!$L$10:$L$2009,Andamentos!$K$10:$K$2009,"="&amp;SUBSTITUTE(SUBSTITUTE(SUBSTITUTE(AS343,"~","~~"),"*","~*"),"?","~?"),Andamentos!$D$10:$D$2009,Z343,Andamentos!$G$10:$G$2009,1)-9,0)</f>
        <v>0</v>
      </c>
      <c r="AC343" s="14" t="str">
        <f>IF(V343=0,"",IF(AA343&gt;1,"Conferir recebimentos empatados",IF(AB343=0,"Sem atualização",INDEX(Andamentos!$C$10:$C$2009,AB343))))</f>
        <v/>
      </c>
      <c r="AD343" s="14">
        <f>IF(W343=0,0,IF(MAX(Z343,BD343)=0,1,IF(Configurar!$J$12-INT(MAX(Z343,BD343))&gt;Configurar!$J$11,1,0)))</f>
        <v>0</v>
      </c>
      <c r="AE343" s="16"/>
      <c r="AF343" s="14"/>
      <c r="AG343" s="14"/>
      <c r="AH343" s="14">
        <f>IF(AND(V343=1,COUNTIFS(Valores!$S$10:$S$509,"="&amp;SUBSTITUTE(SUBSTITUTE(SUBSTITUTE("P:"&amp;A343,"~","~~"),"*","~*"),"?","~?"))=1),(IF(ISNA(MATCH(SUBSTITUTE(SUBSTITUTE(SUBSTITUTE("P:"&amp;A343,"~","~~"),"*","~*"),"?","~?"),Valores!$S$10:$S$509,0)),9,INDEX(Valores!$R$10:$R$509,MATCH(SUBSTITUTE(SUBSTITUTE(SUBSTITUTE("P:"&amp;A343,"~","~~"),"*","~*"),"?","~?"),Valores!$S$10:$S$509,0)))-9),0)</f>
        <v>0</v>
      </c>
      <c r="AI343" s="40" t="str">
        <f t="shared" si="48"/>
        <v/>
      </c>
      <c r="AJ343" s="14" t="str">
        <f>IF(AND(X343=1,Y343=1),COUNTIFS($X$10:X343,1,$Y$10:Y343,1),"")</f>
        <v/>
      </c>
      <c r="AK343" s="14" t="str">
        <f>IF(X343=1,COUNTIFS($X$10:X343,1),"")</f>
        <v/>
      </c>
      <c r="AL343" s="14">
        <f>IF(AND(V343=1,AND(OR(Painel!$L$6="Todas",E343=Painel!$L$6),OR(Painel!$C$8="Todos",F343=Painel!$C$8),OR(Painel!$L$8="Todos",G343=Painel!$L$8),OR(Painel!$C$10="",ISNUMBER(SEARCH(SUBSTITUTE(SUBSTITUTE(SUBSTITUTE(Painel!$C$10,"~","~~"),"*","~*"),"?","~?"),A343&amp;" "&amp;H343&amp;" "&amp;I343))))),1,0)</f>
        <v>0</v>
      </c>
      <c r="AM343" s="14">
        <f t="shared" si="49"/>
        <v>0</v>
      </c>
      <c r="AN343" s="14"/>
      <c r="AO343" s="14"/>
      <c r="AP343" s="16" t="str">
        <f>IF(AB343=0,"",IF(INDEX(Andamentos!$B$10:$B$2009,AB343)="","",INDEX(Andamentos!$B$10:$B$2009,AB343)))</f>
        <v/>
      </c>
      <c r="AQ343" s="17" t="str">
        <f>IF(AH343=0,"",IF(INDEX(Valores!$B$10:$B$509,AH343)="","",IF(ISNUMBER(INDEX(Valores!$B$10:$B$509,AH343)),INDEX(Valores!$B$10:$B$509,AH343),"")))</f>
        <v/>
      </c>
      <c r="AR343" s="14" t="str">
        <f t="shared" si="50"/>
        <v/>
      </c>
      <c r="AS343" s="14" t="str">
        <f t="shared" si="51"/>
        <v/>
      </c>
      <c r="AT343" s="27"/>
      <c r="AU343" s="31"/>
      <c r="AV343" s="31"/>
      <c r="AW343" s="27"/>
      <c r="AX343" s="27"/>
      <c r="AY343" s="27"/>
      <c r="AZ343" s="27"/>
      <c r="BA343" s="30" t="str">
        <f t="shared" si="52"/>
        <v/>
      </c>
      <c r="BB343" s="30" t="str">
        <f t="shared" si="53"/>
        <v/>
      </c>
      <c r="BC343" s="30">
        <f>IF(X343=0,0,IF(COUNTIFS($X$10:X343,1,$BA$10:BA343,BA343)=1,1,0))</f>
        <v>0</v>
      </c>
      <c r="BD343" s="29"/>
    </row>
    <row r="344" spans="1:56" ht="42" customHeight="1">
      <c r="A344" s="41"/>
      <c r="B344" s="44"/>
      <c r="C344" s="44"/>
      <c r="D344" s="44"/>
      <c r="E344" s="44"/>
      <c r="F344" s="44"/>
      <c r="G344" s="44"/>
      <c r="H344" s="44"/>
      <c r="I344" s="44"/>
      <c r="J344" s="44"/>
      <c r="K344" s="44"/>
      <c r="L344" s="49"/>
      <c r="M344" s="48"/>
      <c r="N344" s="48"/>
      <c r="O344" s="48"/>
      <c r="P344" s="48"/>
      <c r="Q344" s="48"/>
      <c r="R344" s="48"/>
      <c r="S344" s="49"/>
      <c r="T344" s="48"/>
      <c r="U344" s="48"/>
      <c r="V344" s="14">
        <f t="shared" si="45"/>
        <v>0</v>
      </c>
      <c r="W344" s="14">
        <f t="shared" si="46"/>
        <v>0</v>
      </c>
      <c r="X344" s="14">
        <f>IF(AND(V344=1,OR(Painel!$C$6="Todos",D344=Painel!$C$6),AND(OR(Painel!$L$6="Todas",E344=Painel!$L$6),OR(Painel!$C$8="Todos",F344=Painel!$C$8),OR(Painel!$L$8="Todos",G344=Painel!$L$8),OR(Painel!$C$10="",ISNUMBER(SEARCH(SUBSTITUTE(SUBSTITUTE(SUBSTITUTE(Painel!$C$10,"~","~~"),"*","~*"),"?","~?"),A344&amp;" "&amp;H344&amp;" "&amp;I344))))),1,0)</f>
        <v>0</v>
      </c>
      <c r="Y344" s="14">
        <f t="shared" si="47"/>
        <v>0</v>
      </c>
      <c r="Z344" s="15" t="str">
        <f>IF(V344=0,"",IF(COUNTIFS(Andamentos!$K$10:$K$2009,"="&amp;SUBSTITUTE(SUBSTITUTE(SUBSTITUTE("P:"&amp;A344,"~","~~"),"*","~*"),"?","~?"),Andamentos!$G$10:$G$2009,1)=0,"",_xlfn.AGGREGATE(14,6,Andamentos!$D$10:$D$2009/((Andamentos!$K$10:$K$2009=AS344)*(Andamentos!$G$10:$G$2009=1)),1)))</f>
        <v/>
      </c>
      <c r="AA344" s="14">
        <f>IF(Z344="",0,COUNTIFS(Andamentos!$K$10:$K$2009,"="&amp;SUBSTITUTE(SUBSTITUTE(SUBSTITUTE("P:"&amp;A344,"~","~~"),"*","~*"),"?","~?"),Andamentos!$D$10:$D$2009,Z344,Andamentos!$G$10:$G$2009,1))</f>
        <v>0</v>
      </c>
      <c r="AB344" s="14">
        <f>IF(AA344=1,SUMIFS(Andamentos!$L$10:$L$2009,Andamentos!$K$10:$K$2009,"="&amp;SUBSTITUTE(SUBSTITUTE(SUBSTITUTE(AS344,"~","~~"),"*","~*"),"?","~?"),Andamentos!$D$10:$D$2009,Z344,Andamentos!$G$10:$G$2009,1)-9,0)</f>
        <v>0</v>
      </c>
      <c r="AC344" s="14" t="str">
        <f>IF(V344=0,"",IF(AA344&gt;1,"Conferir recebimentos empatados",IF(AB344=0,"Sem atualização",INDEX(Andamentos!$C$10:$C$2009,AB344))))</f>
        <v/>
      </c>
      <c r="AD344" s="14">
        <f>IF(W344=0,0,IF(MAX(Z344,BD344)=0,1,IF(Configurar!$J$12-INT(MAX(Z344,BD344))&gt;Configurar!$J$11,1,0)))</f>
        <v>0</v>
      </c>
      <c r="AE344" s="16"/>
      <c r="AF344" s="14"/>
      <c r="AG344" s="14"/>
      <c r="AH344" s="14">
        <f>IF(AND(V344=1,COUNTIFS(Valores!$S$10:$S$509,"="&amp;SUBSTITUTE(SUBSTITUTE(SUBSTITUTE("P:"&amp;A344,"~","~~"),"*","~*"),"?","~?"))=1),(IF(ISNA(MATCH(SUBSTITUTE(SUBSTITUTE(SUBSTITUTE("P:"&amp;A344,"~","~~"),"*","~*"),"?","~?"),Valores!$S$10:$S$509,0)),9,INDEX(Valores!$R$10:$R$509,MATCH(SUBSTITUTE(SUBSTITUTE(SUBSTITUTE("P:"&amp;A344,"~","~~"),"*","~*"),"?","~?"),Valores!$S$10:$S$509,0)))-9),0)</f>
        <v>0</v>
      </c>
      <c r="AI344" s="40" t="str">
        <f t="shared" si="48"/>
        <v/>
      </c>
      <c r="AJ344" s="14" t="str">
        <f>IF(AND(X344=1,Y344=1),COUNTIFS($X$10:X344,1,$Y$10:Y344,1),"")</f>
        <v/>
      </c>
      <c r="AK344" s="14" t="str">
        <f>IF(X344=1,COUNTIFS($X$10:X344,1),"")</f>
        <v/>
      </c>
      <c r="AL344" s="14">
        <f>IF(AND(V344=1,AND(OR(Painel!$L$6="Todas",E344=Painel!$L$6),OR(Painel!$C$8="Todos",F344=Painel!$C$8),OR(Painel!$L$8="Todos",G344=Painel!$L$8),OR(Painel!$C$10="",ISNUMBER(SEARCH(SUBSTITUTE(SUBSTITUTE(SUBSTITUTE(Painel!$C$10,"~","~~"),"*","~*"),"?","~?"),A344&amp;" "&amp;H344&amp;" "&amp;I344))))),1,0)</f>
        <v>0</v>
      </c>
      <c r="AM344" s="14">
        <f t="shared" si="49"/>
        <v>0</v>
      </c>
      <c r="AN344" s="14"/>
      <c r="AO344" s="14"/>
      <c r="AP344" s="16" t="str">
        <f>IF(AB344=0,"",IF(INDEX(Andamentos!$B$10:$B$2009,AB344)="","",INDEX(Andamentos!$B$10:$B$2009,AB344)))</f>
        <v/>
      </c>
      <c r="AQ344" s="17" t="str">
        <f>IF(AH344=0,"",IF(INDEX(Valores!$B$10:$B$509,AH344)="","",IF(ISNUMBER(INDEX(Valores!$B$10:$B$509,AH344)),INDEX(Valores!$B$10:$B$509,AH344),"")))</f>
        <v/>
      </c>
      <c r="AR344" s="14" t="str">
        <f t="shared" si="50"/>
        <v/>
      </c>
      <c r="AS344" s="14" t="str">
        <f t="shared" si="51"/>
        <v/>
      </c>
      <c r="AT344" s="27"/>
      <c r="AU344" s="31"/>
      <c r="AV344" s="31"/>
      <c r="AW344" s="27"/>
      <c r="AX344" s="27"/>
      <c r="AY344" s="27"/>
      <c r="AZ344" s="27"/>
      <c r="BA344" s="30" t="str">
        <f t="shared" si="52"/>
        <v/>
      </c>
      <c r="BB344" s="30" t="str">
        <f t="shared" si="53"/>
        <v/>
      </c>
      <c r="BC344" s="30">
        <f>IF(X344=0,0,IF(COUNTIFS($X$10:X344,1,$BA$10:BA344,BA344)=1,1,0))</f>
        <v>0</v>
      </c>
      <c r="BD344" s="29"/>
    </row>
    <row r="345" spans="1:56" ht="42" customHeight="1">
      <c r="A345" s="41"/>
      <c r="B345" s="44"/>
      <c r="C345" s="44"/>
      <c r="D345" s="44"/>
      <c r="E345" s="44"/>
      <c r="F345" s="44"/>
      <c r="G345" s="44"/>
      <c r="H345" s="44"/>
      <c r="I345" s="44"/>
      <c r="J345" s="44"/>
      <c r="K345" s="44"/>
      <c r="L345" s="49"/>
      <c r="M345" s="48"/>
      <c r="N345" s="48"/>
      <c r="O345" s="48"/>
      <c r="P345" s="48"/>
      <c r="Q345" s="48"/>
      <c r="R345" s="48"/>
      <c r="S345" s="49"/>
      <c r="T345" s="48"/>
      <c r="U345" s="48"/>
      <c r="V345" s="14">
        <f t="shared" si="45"/>
        <v>0</v>
      </c>
      <c r="W345" s="14">
        <f t="shared" si="46"/>
        <v>0</v>
      </c>
      <c r="X345" s="14">
        <f>IF(AND(V345=1,OR(Painel!$C$6="Todos",D345=Painel!$C$6),AND(OR(Painel!$L$6="Todas",E345=Painel!$L$6),OR(Painel!$C$8="Todos",F345=Painel!$C$8),OR(Painel!$L$8="Todos",G345=Painel!$L$8),OR(Painel!$C$10="",ISNUMBER(SEARCH(SUBSTITUTE(SUBSTITUTE(SUBSTITUTE(Painel!$C$10,"~","~~"),"*","~*"),"?","~?"),A345&amp;" "&amp;H345&amp;" "&amp;I345))))),1,0)</f>
        <v>0</v>
      </c>
      <c r="Y345" s="14">
        <f t="shared" si="47"/>
        <v>0</v>
      </c>
      <c r="Z345" s="15" t="str">
        <f>IF(V345=0,"",IF(COUNTIFS(Andamentos!$K$10:$K$2009,"="&amp;SUBSTITUTE(SUBSTITUTE(SUBSTITUTE("P:"&amp;A345,"~","~~"),"*","~*"),"?","~?"),Andamentos!$G$10:$G$2009,1)=0,"",_xlfn.AGGREGATE(14,6,Andamentos!$D$10:$D$2009/((Andamentos!$K$10:$K$2009=AS345)*(Andamentos!$G$10:$G$2009=1)),1)))</f>
        <v/>
      </c>
      <c r="AA345" s="14">
        <f>IF(Z345="",0,COUNTIFS(Andamentos!$K$10:$K$2009,"="&amp;SUBSTITUTE(SUBSTITUTE(SUBSTITUTE("P:"&amp;A345,"~","~~"),"*","~*"),"?","~?"),Andamentos!$D$10:$D$2009,Z345,Andamentos!$G$10:$G$2009,1))</f>
        <v>0</v>
      </c>
      <c r="AB345" s="14">
        <f>IF(AA345=1,SUMIFS(Andamentos!$L$10:$L$2009,Andamentos!$K$10:$K$2009,"="&amp;SUBSTITUTE(SUBSTITUTE(SUBSTITUTE(AS345,"~","~~"),"*","~*"),"?","~?"),Andamentos!$D$10:$D$2009,Z345,Andamentos!$G$10:$G$2009,1)-9,0)</f>
        <v>0</v>
      </c>
      <c r="AC345" s="14" t="str">
        <f>IF(V345=0,"",IF(AA345&gt;1,"Conferir recebimentos empatados",IF(AB345=0,"Sem atualização",INDEX(Andamentos!$C$10:$C$2009,AB345))))</f>
        <v/>
      </c>
      <c r="AD345" s="14">
        <f>IF(W345=0,0,IF(MAX(Z345,BD345)=0,1,IF(Configurar!$J$12-INT(MAX(Z345,BD345))&gt;Configurar!$J$11,1,0)))</f>
        <v>0</v>
      </c>
      <c r="AE345" s="16"/>
      <c r="AF345" s="14"/>
      <c r="AG345" s="14"/>
      <c r="AH345" s="14">
        <f>IF(AND(V345=1,COUNTIFS(Valores!$S$10:$S$509,"="&amp;SUBSTITUTE(SUBSTITUTE(SUBSTITUTE("P:"&amp;A345,"~","~~"),"*","~*"),"?","~?"))=1),(IF(ISNA(MATCH(SUBSTITUTE(SUBSTITUTE(SUBSTITUTE("P:"&amp;A345,"~","~~"),"*","~*"),"?","~?"),Valores!$S$10:$S$509,0)),9,INDEX(Valores!$R$10:$R$509,MATCH(SUBSTITUTE(SUBSTITUTE(SUBSTITUTE("P:"&amp;A345,"~","~~"),"*","~*"),"?","~?"),Valores!$S$10:$S$509,0)))-9),0)</f>
        <v>0</v>
      </c>
      <c r="AI345" s="40" t="str">
        <f t="shared" si="48"/>
        <v/>
      </c>
      <c r="AJ345" s="14" t="str">
        <f>IF(AND(X345=1,Y345=1),COUNTIFS($X$10:X345,1,$Y$10:Y345,1),"")</f>
        <v/>
      </c>
      <c r="AK345" s="14" t="str">
        <f>IF(X345=1,COUNTIFS($X$10:X345,1),"")</f>
        <v/>
      </c>
      <c r="AL345" s="14">
        <f>IF(AND(V345=1,AND(OR(Painel!$L$6="Todas",E345=Painel!$L$6),OR(Painel!$C$8="Todos",F345=Painel!$C$8),OR(Painel!$L$8="Todos",G345=Painel!$L$8),OR(Painel!$C$10="",ISNUMBER(SEARCH(SUBSTITUTE(SUBSTITUTE(SUBSTITUTE(Painel!$C$10,"~","~~"),"*","~*"),"?","~?"),A345&amp;" "&amp;H345&amp;" "&amp;I345))))),1,0)</f>
        <v>0</v>
      </c>
      <c r="AM345" s="14">
        <f t="shared" si="49"/>
        <v>0</v>
      </c>
      <c r="AN345" s="14"/>
      <c r="AO345" s="14"/>
      <c r="AP345" s="16" t="str">
        <f>IF(AB345=0,"",IF(INDEX(Andamentos!$B$10:$B$2009,AB345)="","",INDEX(Andamentos!$B$10:$B$2009,AB345)))</f>
        <v/>
      </c>
      <c r="AQ345" s="17" t="str">
        <f>IF(AH345=0,"",IF(INDEX(Valores!$B$10:$B$509,AH345)="","",IF(ISNUMBER(INDEX(Valores!$B$10:$B$509,AH345)),INDEX(Valores!$B$10:$B$509,AH345),"")))</f>
        <v/>
      </c>
      <c r="AR345" s="14" t="str">
        <f t="shared" si="50"/>
        <v/>
      </c>
      <c r="AS345" s="14" t="str">
        <f t="shared" si="51"/>
        <v/>
      </c>
      <c r="AT345" s="27"/>
      <c r="AU345" s="31"/>
      <c r="AV345" s="31"/>
      <c r="AW345" s="27"/>
      <c r="AX345" s="27"/>
      <c r="AY345" s="27"/>
      <c r="AZ345" s="27"/>
      <c r="BA345" s="30" t="str">
        <f t="shared" si="52"/>
        <v/>
      </c>
      <c r="BB345" s="30" t="str">
        <f t="shared" si="53"/>
        <v/>
      </c>
      <c r="BC345" s="30">
        <f>IF(X345=0,0,IF(COUNTIFS($X$10:X345,1,$BA$10:BA345,BA345)=1,1,0))</f>
        <v>0</v>
      </c>
      <c r="BD345" s="29"/>
    </row>
    <row r="346" spans="1:56" ht="42" customHeight="1">
      <c r="A346" s="41"/>
      <c r="B346" s="44"/>
      <c r="C346" s="44"/>
      <c r="D346" s="44"/>
      <c r="E346" s="44"/>
      <c r="F346" s="44"/>
      <c r="G346" s="44"/>
      <c r="H346" s="44"/>
      <c r="I346" s="44"/>
      <c r="J346" s="44"/>
      <c r="K346" s="44"/>
      <c r="L346" s="49"/>
      <c r="M346" s="48"/>
      <c r="N346" s="48"/>
      <c r="O346" s="48"/>
      <c r="P346" s="48"/>
      <c r="Q346" s="48"/>
      <c r="R346" s="48"/>
      <c r="S346" s="49"/>
      <c r="T346" s="48"/>
      <c r="U346" s="48"/>
      <c r="V346" s="14">
        <f t="shared" si="45"/>
        <v>0</v>
      </c>
      <c r="W346" s="14">
        <f t="shared" si="46"/>
        <v>0</v>
      </c>
      <c r="X346" s="14">
        <f>IF(AND(V346=1,OR(Painel!$C$6="Todos",D346=Painel!$C$6),AND(OR(Painel!$L$6="Todas",E346=Painel!$L$6),OR(Painel!$C$8="Todos",F346=Painel!$C$8),OR(Painel!$L$8="Todos",G346=Painel!$L$8),OR(Painel!$C$10="",ISNUMBER(SEARCH(SUBSTITUTE(SUBSTITUTE(SUBSTITUTE(Painel!$C$10,"~","~~"),"*","~*"),"?","~?"),A346&amp;" "&amp;H346&amp;" "&amp;I346))))),1,0)</f>
        <v>0</v>
      </c>
      <c r="Y346" s="14">
        <f t="shared" si="47"/>
        <v>0</v>
      </c>
      <c r="Z346" s="15" t="str">
        <f>IF(V346=0,"",IF(COUNTIFS(Andamentos!$K$10:$K$2009,"="&amp;SUBSTITUTE(SUBSTITUTE(SUBSTITUTE("P:"&amp;A346,"~","~~"),"*","~*"),"?","~?"),Andamentos!$G$10:$G$2009,1)=0,"",_xlfn.AGGREGATE(14,6,Andamentos!$D$10:$D$2009/((Andamentos!$K$10:$K$2009=AS346)*(Andamentos!$G$10:$G$2009=1)),1)))</f>
        <v/>
      </c>
      <c r="AA346" s="14">
        <f>IF(Z346="",0,COUNTIFS(Andamentos!$K$10:$K$2009,"="&amp;SUBSTITUTE(SUBSTITUTE(SUBSTITUTE("P:"&amp;A346,"~","~~"),"*","~*"),"?","~?"),Andamentos!$D$10:$D$2009,Z346,Andamentos!$G$10:$G$2009,1))</f>
        <v>0</v>
      </c>
      <c r="AB346" s="14">
        <f>IF(AA346=1,SUMIFS(Andamentos!$L$10:$L$2009,Andamentos!$K$10:$K$2009,"="&amp;SUBSTITUTE(SUBSTITUTE(SUBSTITUTE(AS346,"~","~~"),"*","~*"),"?","~?"),Andamentos!$D$10:$D$2009,Z346,Andamentos!$G$10:$G$2009,1)-9,0)</f>
        <v>0</v>
      </c>
      <c r="AC346" s="14" t="str">
        <f>IF(V346=0,"",IF(AA346&gt;1,"Conferir recebimentos empatados",IF(AB346=0,"Sem atualização",INDEX(Andamentos!$C$10:$C$2009,AB346))))</f>
        <v/>
      </c>
      <c r="AD346" s="14">
        <f>IF(W346=0,0,IF(MAX(Z346,BD346)=0,1,IF(Configurar!$J$12-INT(MAX(Z346,BD346))&gt;Configurar!$J$11,1,0)))</f>
        <v>0</v>
      </c>
      <c r="AE346" s="16"/>
      <c r="AF346" s="14"/>
      <c r="AG346" s="14"/>
      <c r="AH346" s="14">
        <f>IF(AND(V346=1,COUNTIFS(Valores!$S$10:$S$509,"="&amp;SUBSTITUTE(SUBSTITUTE(SUBSTITUTE("P:"&amp;A346,"~","~~"),"*","~*"),"?","~?"))=1),(IF(ISNA(MATCH(SUBSTITUTE(SUBSTITUTE(SUBSTITUTE("P:"&amp;A346,"~","~~"),"*","~*"),"?","~?"),Valores!$S$10:$S$509,0)),9,INDEX(Valores!$R$10:$R$509,MATCH(SUBSTITUTE(SUBSTITUTE(SUBSTITUTE("P:"&amp;A346,"~","~~"),"*","~*"),"?","~?"),Valores!$S$10:$S$509,0)))-9),0)</f>
        <v>0</v>
      </c>
      <c r="AI346" s="40" t="str">
        <f t="shared" si="48"/>
        <v/>
      </c>
      <c r="AJ346" s="14" t="str">
        <f>IF(AND(X346=1,Y346=1),COUNTIFS($X$10:X346,1,$Y$10:Y346,1),"")</f>
        <v/>
      </c>
      <c r="AK346" s="14" t="str">
        <f>IF(X346=1,COUNTIFS($X$10:X346,1),"")</f>
        <v/>
      </c>
      <c r="AL346" s="14">
        <f>IF(AND(V346=1,AND(OR(Painel!$L$6="Todas",E346=Painel!$L$6),OR(Painel!$C$8="Todos",F346=Painel!$C$8),OR(Painel!$L$8="Todos",G346=Painel!$L$8),OR(Painel!$C$10="",ISNUMBER(SEARCH(SUBSTITUTE(SUBSTITUTE(SUBSTITUTE(Painel!$C$10,"~","~~"),"*","~*"),"?","~?"),A346&amp;" "&amp;H346&amp;" "&amp;I346))))),1,0)</f>
        <v>0</v>
      </c>
      <c r="AM346" s="14">
        <f t="shared" si="49"/>
        <v>0</v>
      </c>
      <c r="AN346" s="14"/>
      <c r="AO346" s="14"/>
      <c r="AP346" s="16" t="str">
        <f>IF(AB346=0,"",IF(INDEX(Andamentos!$B$10:$B$2009,AB346)="","",INDEX(Andamentos!$B$10:$B$2009,AB346)))</f>
        <v/>
      </c>
      <c r="AQ346" s="17" t="str">
        <f>IF(AH346=0,"",IF(INDEX(Valores!$B$10:$B$509,AH346)="","",IF(ISNUMBER(INDEX(Valores!$B$10:$B$509,AH346)),INDEX(Valores!$B$10:$B$509,AH346),"")))</f>
        <v/>
      </c>
      <c r="AR346" s="14" t="str">
        <f t="shared" si="50"/>
        <v/>
      </c>
      <c r="AS346" s="14" t="str">
        <f t="shared" si="51"/>
        <v/>
      </c>
      <c r="AT346" s="27"/>
      <c r="AU346" s="31"/>
      <c r="AV346" s="31"/>
      <c r="AW346" s="27"/>
      <c r="AX346" s="27"/>
      <c r="AY346" s="27"/>
      <c r="AZ346" s="27"/>
      <c r="BA346" s="30" t="str">
        <f t="shared" si="52"/>
        <v/>
      </c>
      <c r="BB346" s="30" t="str">
        <f t="shared" si="53"/>
        <v/>
      </c>
      <c r="BC346" s="30">
        <f>IF(X346=0,0,IF(COUNTIFS($X$10:X346,1,$BA$10:BA346,BA346)=1,1,0))</f>
        <v>0</v>
      </c>
      <c r="BD346" s="29"/>
    </row>
    <row r="347" spans="1:56" ht="42" customHeight="1">
      <c r="A347" s="41"/>
      <c r="B347" s="44"/>
      <c r="C347" s="44"/>
      <c r="D347" s="44"/>
      <c r="E347" s="44"/>
      <c r="F347" s="44"/>
      <c r="G347" s="44"/>
      <c r="H347" s="44"/>
      <c r="I347" s="44"/>
      <c r="J347" s="44"/>
      <c r="K347" s="44"/>
      <c r="L347" s="49"/>
      <c r="M347" s="48"/>
      <c r="N347" s="48"/>
      <c r="O347" s="48"/>
      <c r="P347" s="48"/>
      <c r="Q347" s="48"/>
      <c r="R347" s="48"/>
      <c r="S347" s="49"/>
      <c r="T347" s="48"/>
      <c r="U347" s="48"/>
      <c r="V347" s="14">
        <f t="shared" si="45"/>
        <v>0</v>
      </c>
      <c r="W347" s="14">
        <f t="shared" si="46"/>
        <v>0</v>
      </c>
      <c r="X347" s="14">
        <f>IF(AND(V347=1,OR(Painel!$C$6="Todos",D347=Painel!$C$6),AND(OR(Painel!$L$6="Todas",E347=Painel!$L$6),OR(Painel!$C$8="Todos",F347=Painel!$C$8),OR(Painel!$L$8="Todos",G347=Painel!$L$8),OR(Painel!$C$10="",ISNUMBER(SEARCH(SUBSTITUTE(SUBSTITUTE(SUBSTITUTE(Painel!$C$10,"~","~~"),"*","~*"),"?","~?"),A347&amp;" "&amp;H347&amp;" "&amp;I347))))),1,0)</f>
        <v>0</v>
      </c>
      <c r="Y347" s="14">
        <f t="shared" si="47"/>
        <v>0</v>
      </c>
      <c r="Z347" s="15" t="str">
        <f>IF(V347=0,"",IF(COUNTIFS(Andamentos!$K$10:$K$2009,"="&amp;SUBSTITUTE(SUBSTITUTE(SUBSTITUTE("P:"&amp;A347,"~","~~"),"*","~*"),"?","~?"),Andamentos!$G$10:$G$2009,1)=0,"",_xlfn.AGGREGATE(14,6,Andamentos!$D$10:$D$2009/((Andamentos!$K$10:$K$2009=AS347)*(Andamentos!$G$10:$G$2009=1)),1)))</f>
        <v/>
      </c>
      <c r="AA347" s="14">
        <f>IF(Z347="",0,COUNTIFS(Andamentos!$K$10:$K$2009,"="&amp;SUBSTITUTE(SUBSTITUTE(SUBSTITUTE("P:"&amp;A347,"~","~~"),"*","~*"),"?","~?"),Andamentos!$D$10:$D$2009,Z347,Andamentos!$G$10:$G$2009,1))</f>
        <v>0</v>
      </c>
      <c r="AB347" s="14">
        <f>IF(AA347=1,SUMIFS(Andamentos!$L$10:$L$2009,Andamentos!$K$10:$K$2009,"="&amp;SUBSTITUTE(SUBSTITUTE(SUBSTITUTE(AS347,"~","~~"),"*","~*"),"?","~?"),Andamentos!$D$10:$D$2009,Z347,Andamentos!$G$10:$G$2009,1)-9,0)</f>
        <v>0</v>
      </c>
      <c r="AC347" s="14" t="str">
        <f>IF(V347=0,"",IF(AA347&gt;1,"Conferir recebimentos empatados",IF(AB347=0,"Sem atualização",INDEX(Andamentos!$C$10:$C$2009,AB347))))</f>
        <v/>
      </c>
      <c r="AD347" s="14">
        <f>IF(W347=0,0,IF(MAX(Z347,BD347)=0,1,IF(Configurar!$J$12-INT(MAX(Z347,BD347))&gt;Configurar!$J$11,1,0)))</f>
        <v>0</v>
      </c>
      <c r="AE347" s="16"/>
      <c r="AF347" s="14"/>
      <c r="AG347" s="14"/>
      <c r="AH347" s="14">
        <f>IF(AND(V347=1,COUNTIFS(Valores!$S$10:$S$509,"="&amp;SUBSTITUTE(SUBSTITUTE(SUBSTITUTE("P:"&amp;A347,"~","~~"),"*","~*"),"?","~?"))=1),(IF(ISNA(MATCH(SUBSTITUTE(SUBSTITUTE(SUBSTITUTE("P:"&amp;A347,"~","~~"),"*","~*"),"?","~?"),Valores!$S$10:$S$509,0)),9,INDEX(Valores!$R$10:$R$509,MATCH(SUBSTITUTE(SUBSTITUTE(SUBSTITUTE("P:"&amp;A347,"~","~~"),"*","~*"),"?","~?"),Valores!$S$10:$S$509,0)))-9),0)</f>
        <v>0</v>
      </c>
      <c r="AI347" s="40" t="str">
        <f t="shared" si="48"/>
        <v/>
      </c>
      <c r="AJ347" s="14" t="str">
        <f>IF(AND(X347=1,Y347=1),COUNTIFS($X$10:X347,1,$Y$10:Y347,1),"")</f>
        <v/>
      </c>
      <c r="AK347" s="14" t="str">
        <f>IF(X347=1,COUNTIFS($X$10:X347,1),"")</f>
        <v/>
      </c>
      <c r="AL347" s="14">
        <f>IF(AND(V347=1,AND(OR(Painel!$L$6="Todas",E347=Painel!$L$6),OR(Painel!$C$8="Todos",F347=Painel!$C$8),OR(Painel!$L$8="Todos",G347=Painel!$L$8),OR(Painel!$C$10="",ISNUMBER(SEARCH(SUBSTITUTE(SUBSTITUTE(SUBSTITUTE(Painel!$C$10,"~","~~"),"*","~*"),"?","~?"),A347&amp;" "&amp;H347&amp;" "&amp;I347))))),1,0)</f>
        <v>0</v>
      </c>
      <c r="AM347" s="14">
        <f t="shared" si="49"/>
        <v>0</v>
      </c>
      <c r="AN347" s="14"/>
      <c r="AO347" s="14"/>
      <c r="AP347" s="16" t="str">
        <f>IF(AB347=0,"",IF(INDEX(Andamentos!$B$10:$B$2009,AB347)="","",INDEX(Andamentos!$B$10:$B$2009,AB347)))</f>
        <v/>
      </c>
      <c r="AQ347" s="17" t="str">
        <f>IF(AH347=0,"",IF(INDEX(Valores!$B$10:$B$509,AH347)="","",IF(ISNUMBER(INDEX(Valores!$B$10:$B$509,AH347)),INDEX(Valores!$B$10:$B$509,AH347),"")))</f>
        <v/>
      </c>
      <c r="AR347" s="14" t="str">
        <f t="shared" si="50"/>
        <v/>
      </c>
      <c r="AS347" s="14" t="str">
        <f t="shared" si="51"/>
        <v/>
      </c>
      <c r="AT347" s="27"/>
      <c r="AU347" s="31"/>
      <c r="AV347" s="31"/>
      <c r="AW347" s="27"/>
      <c r="AX347" s="27"/>
      <c r="AY347" s="27"/>
      <c r="AZ347" s="27"/>
      <c r="BA347" s="30" t="str">
        <f t="shared" si="52"/>
        <v/>
      </c>
      <c r="BB347" s="30" t="str">
        <f t="shared" si="53"/>
        <v/>
      </c>
      <c r="BC347" s="30">
        <f>IF(X347=0,0,IF(COUNTIFS($X$10:X347,1,$BA$10:BA347,BA347)=1,1,0))</f>
        <v>0</v>
      </c>
      <c r="BD347" s="29"/>
    </row>
    <row r="348" spans="1:56" ht="42" customHeight="1">
      <c r="A348" s="41"/>
      <c r="B348" s="44"/>
      <c r="C348" s="44"/>
      <c r="D348" s="44"/>
      <c r="E348" s="44"/>
      <c r="F348" s="44"/>
      <c r="G348" s="44"/>
      <c r="H348" s="44"/>
      <c r="I348" s="44"/>
      <c r="J348" s="44"/>
      <c r="K348" s="44"/>
      <c r="L348" s="49"/>
      <c r="M348" s="48"/>
      <c r="N348" s="48"/>
      <c r="O348" s="48"/>
      <c r="P348" s="48"/>
      <c r="Q348" s="48"/>
      <c r="R348" s="48"/>
      <c r="S348" s="49"/>
      <c r="T348" s="48"/>
      <c r="U348" s="48"/>
      <c r="V348" s="14">
        <f t="shared" si="45"/>
        <v>0</v>
      </c>
      <c r="W348" s="14">
        <f t="shared" si="46"/>
        <v>0</v>
      </c>
      <c r="X348" s="14">
        <f>IF(AND(V348=1,OR(Painel!$C$6="Todos",D348=Painel!$C$6),AND(OR(Painel!$L$6="Todas",E348=Painel!$L$6),OR(Painel!$C$8="Todos",F348=Painel!$C$8),OR(Painel!$L$8="Todos",G348=Painel!$L$8),OR(Painel!$C$10="",ISNUMBER(SEARCH(SUBSTITUTE(SUBSTITUTE(SUBSTITUTE(Painel!$C$10,"~","~~"),"*","~*"),"?","~?"),A348&amp;" "&amp;H348&amp;" "&amp;I348))))),1,0)</f>
        <v>0</v>
      </c>
      <c r="Y348" s="14">
        <f t="shared" si="47"/>
        <v>0</v>
      </c>
      <c r="Z348" s="15" t="str">
        <f>IF(V348=0,"",IF(COUNTIFS(Andamentos!$K$10:$K$2009,"="&amp;SUBSTITUTE(SUBSTITUTE(SUBSTITUTE("P:"&amp;A348,"~","~~"),"*","~*"),"?","~?"),Andamentos!$G$10:$G$2009,1)=0,"",_xlfn.AGGREGATE(14,6,Andamentos!$D$10:$D$2009/((Andamentos!$K$10:$K$2009=AS348)*(Andamentos!$G$10:$G$2009=1)),1)))</f>
        <v/>
      </c>
      <c r="AA348" s="14">
        <f>IF(Z348="",0,COUNTIFS(Andamentos!$K$10:$K$2009,"="&amp;SUBSTITUTE(SUBSTITUTE(SUBSTITUTE("P:"&amp;A348,"~","~~"),"*","~*"),"?","~?"),Andamentos!$D$10:$D$2009,Z348,Andamentos!$G$10:$G$2009,1))</f>
        <v>0</v>
      </c>
      <c r="AB348" s="14">
        <f>IF(AA348=1,SUMIFS(Andamentos!$L$10:$L$2009,Andamentos!$K$10:$K$2009,"="&amp;SUBSTITUTE(SUBSTITUTE(SUBSTITUTE(AS348,"~","~~"),"*","~*"),"?","~?"),Andamentos!$D$10:$D$2009,Z348,Andamentos!$G$10:$G$2009,1)-9,0)</f>
        <v>0</v>
      </c>
      <c r="AC348" s="14" t="str">
        <f>IF(V348=0,"",IF(AA348&gt;1,"Conferir recebimentos empatados",IF(AB348=0,"Sem atualização",INDEX(Andamentos!$C$10:$C$2009,AB348))))</f>
        <v/>
      </c>
      <c r="AD348" s="14">
        <f>IF(W348=0,0,IF(MAX(Z348,BD348)=0,1,IF(Configurar!$J$12-INT(MAX(Z348,BD348))&gt;Configurar!$J$11,1,0)))</f>
        <v>0</v>
      </c>
      <c r="AE348" s="16"/>
      <c r="AF348" s="14"/>
      <c r="AG348" s="14"/>
      <c r="AH348" s="14">
        <f>IF(AND(V348=1,COUNTIFS(Valores!$S$10:$S$509,"="&amp;SUBSTITUTE(SUBSTITUTE(SUBSTITUTE("P:"&amp;A348,"~","~~"),"*","~*"),"?","~?"))=1),(IF(ISNA(MATCH(SUBSTITUTE(SUBSTITUTE(SUBSTITUTE("P:"&amp;A348,"~","~~"),"*","~*"),"?","~?"),Valores!$S$10:$S$509,0)),9,INDEX(Valores!$R$10:$R$509,MATCH(SUBSTITUTE(SUBSTITUTE(SUBSTITUTE("P:"&amp;A348,"~","~~"),"*","~*"),"?","~?"),Valores!$S$10:$S$509,0)))-9),0)</f>
        <v>0</v>
      </c>
      <c r="AI348" s="40" t="str">
        <f t="shared" si="48"/>
        <v/>
      </c>
      <c r="AJ348" s="14" t="str">
        <f>IF(AND(X348=1,Y348=1),COUNTIFS($X$10:X348,1,$Y$10:Y348,1),"")</f>
        <v/>
      </c>
      <c r="AK348" s="14" t="str">
        <f>IF(X348=1,COUNTIFS($X$10:X348,1),"")</f>
        <v/>
      </c>
      <c r="AL348" s="14">
        <f>IF(AND(V348=1,AND(OR(Painel!$L$6="Todas",E348=Painel!$L$6),OR(Painel!$C$8="Todos",F348=Painel!$C$8),OR(Painel!$L$8="Todos",G348=Painel!$L$8),OR(Painel!$C$10="",ISNUMBER(SEARCH(SUBSTITUTE(SUBSTITUTE(SUBSTITUTE(Painel!$C$10,"~","~~"),"*","~*"),"?","~?"),A348&amp;" "&amp;H348&amp;" "&amp;I348))))),1,0)</f>
        <v>0</v>
      </c>
      <c r="AM348" s="14">
        <f t="shared" si="49"/>
        <v>0</v>
      </c>
      <c r="AN348" s="14"/>
      <c r="AO348" s="14"/>
      <c r="AP348" s="16" t="str">
        <f>IF(AB348=0,"",IF(INDEX(Andamentos!$B$10:$B$2009,AB348)="","",INDEX(Andamentos!$B$10:$B$2009,AB348)))</f>
        <v/>
      </c>
      <c r="AQ348" s="17" t="str">
        <f>IF(AH348=0,"",IF(INDEX(Valores!$B$10:$B$509,AH348)="","",IF(ISNUMBER(INDEX(Valores!$B$10:$B$509,AH348)),INDEX(Valores!$B$10:$B$509,AH348),"")))</f>
        <v/>
      </c>
      <c r="AR348" s="14" t="str">
        <f t="shared" si="50"/>
        <v/>
      </c>
      <c r="AS348" s="14" t="str">
        <f t="shared" si="51"/>
        <v/>
      </c>
      <c r="AT348" s="27"/>
      <c r="AU348" s="31"/>
      <c r="AV348" s="31"/>
      <c r="AW348" s="27"/>
      <c r="AX348" s="27"/>
      <c r="AY348" s="27"/>
      <c r="AZ348" s="27"/>
      <c r="BA348" s="30" t="str">
        <f t="shared" si="52"/>
        <v/>
      </c>
      <c r="BB348" s="30" t="str">
        <f t="shared" si="53"/>
        <v/>
      </c>
      <c r="BC348" s="30">
        <f>IF(X348=0,0,IF(COUNTIFS($X$10:X348,1,$BA$10:BA348,BA348)=1,1,0))</f>
        <v>0</v>
      </c>
      <c r="BD348" s="29"/>
    </row>
    <row r="349" spans="1:56" ht="42" customHeight="1">
      <c r="A349" s="41"/>
      <c r="B349" s="44"/>
      <c r="C349" s="44"/>
      <c r="D349" s="44"/>
      <c r="E349" s="44"/>
      <c r="F349" s="44"/>
      <c r="G349" s="44"/>
      <c r="H349" s="44"/>
      <c r="I349" s="44"/>
      <c r="J349" s="44"/>
      <c r="K349" s="44"/>
      <c r="L349" s="49"/>
      <c r="M349" s="48"/>
      <c r="N349" s="48"/>
      <c r="O349" s="48"/>
      <c r="P349" s="48"/>
      <c r="Q349" s="48"/>
      <c r="R349" s="48"/>
      <c r="S349" s="49"/>
      <c r="T349" s="48"/>
      <c r="U349" s="48"/>
      <c r="V349" s="14">
        <f t="shared" si="45"/>
        <v>0</v>
      </c>
      <c r="W349" s="14">
        <f t="shared" si="46"/>
        <v>0</v>
      </c>
      <c r="X349" s="14">
        <f>IF(AND(V349=1,OR(Painel!$C$6="Todos",D349=Painel!$C$6),AND(OR(Painel!$L$6="Todas",E349=Painel!$L$6),OR(Painel!$C$8="Todos",F349=Painel!$C$8),OR(Painel!$L$8="Todos",G349=Painel!$L$8),OR(Painel!$C$10="",ISNUMBER(SEARCH(SUBSTITUTE(SUBSTITUTE(SUBSTITUTE(Painel!$C$10,"~","~~"),"*","~*"),"?","~?"),A349&amp;" "&amp;H349&amp;" "&amp;I349))))),1,0)</f>
        <v>0</v>
      </c>
      <c r="Y349" s="14">
        <f t="shared" si="47"/>
        <v>0</v>
      </c>
      <c r="Z349" s="15" t="str">
        <f>IF(V349=0,"",IF(COUNTIFS(Andamentos!$K$10:$K$2009,"="&amp;SUBSTITUTE(SUBSTITUTE(SUBSTITUTE("P:"&amp;A349,"~","~~"),"*","~*"),"?","~?"),Andamentos!$G$10:$G$2009,1)=0,"",_xlfn.AGGREGATE(14,6,Andamentos!$D$10:$D$2009/((Andamentos!$K$10:$K$2009=AS349)*(Andamentos!$G$10:$G$2009=1)),1)))</f>
        <v/>
      </c>
      <c r="AA349" s="14">
        <f>IF(Z349="",0,COUNTIFS(Andamentos!$K$10:$K$2009,"="&amp;SUBSTITUTE(SUBSTITUTE(SUBSTITUTE("P:"&amp;A349,"~","~~"),"*","~*"),"?","~?"),Andamentos!$D$10:$D$2009,Z349,Andamentos!$G$10:$G$2009,1))</f>
        <v>0</v>
      </c>
      <c r="AB349" s="14">
        <f>IF(AA349=1,SUMIFS(Andamentos!$L$10:$L$2009,Andamentos!$K$10:$K$2009,"="&amp;SUBSTITUTE(SUBSTITUTE(SUBSTITUTE(AS349,"~","~~"),"*","~*"),"?","~?"),Andamentos!$D$10:$D$2009,Z349,Andamentos!$G$10:$G$2009,1)-9,0)</f>
        <v>0</v>
      </c>
      <c r="AC349" s="14" t="str">
        <f>IF(V349=0,"",IF(AA349&gt;1,"Conferir recebimentos empatados",IF(AB349=0,"Sem atualização",INDEX(Andamentos!$C$10:$C$2009,AB349))))</f>
        <v/>
      </c>
      <c r="AD349" s="14">
        <f>IF(W349=0,0,IF(MAX(Z349,BD349)=0,1,IF(Configurar!$J$12-INT(MAX(Z349,BD349))&gt;Configurar!$J$11,1,0)))</f>
        <v>0</v>
      </c>
      <c r="AE349" s="16"/>
      <c r="AF349" s="14"/>
      <c r="AG349" s="14"/>
      <c r="AH349" s="14">
        <f>IF(AND(V349=1,COUNTIFS(Valores!$S$10:$S$509,"="&amp;SUBSTITUTE(SUBSTITUTE(SUBSTITUTE("P:"&amp;A349,"~","~~"),"*","~*"),"?","~?"))=1),(IF(ISNA(MATCH(SUBSTITUTE(SUBSTITUTE(SUBSTITUTE("P:"&amp;A349,"~","~~"),"*","~*"),"?","~?"),Valores!$S$10:$S$509,0)),9,INDEX(Valores!$R$10:$R$509,MATCH(SUBSTITUTE(SUBSTITUTE(SUBSTITUTE("P:"&amp;A349,"~","~~"),"*","~*"),"?","~?"),Valores!$S$10:$S$509,0)))-9),0)</f>
        <v>0</v>
      </c>
      <c r="AI349" s="40" t="str">
        <f t="shared" si="48"/>
        <v/>
      </c>
      <c r="AJ349" s="14" t="str">
        <f>IF(AND(X349=1,Y349=1),COUNTIFS($X$10:X349,1,$Y$10:Y349,1),"")</f>
        <v/>
      </c>
      <c r="AK349" s="14" t="str">
        <f>IF(X349=1,COUNTIFS($X$10:X349,1),"")</f>
        <v/>
      </c>
      <c r="AL349" s="14">
        <f>IF(AND(V349=1,AND(OR(Painel!$L$6="Todas",E349=Painel!$L$6),OR(Painel!$C$8="Todos",F349=Painel!$C$8),OR(Painel!$L$8="Todos",G349=Painel!$L$8),OR(Painel!$C$10="",ISNUMBER(SEARCH(SUBSTITUTE(SUBSTITUTE(SUBSTITUTE(Painel!$C$10,"~","~~"),"*","~*"),"?","~?"),A349&amp;" "&amp;H349&amp;" "&amp;I349))))),1,0)</f>
        <v>0</v>
      </c>
      <c r="AM349" s="14">
        <f t="shared" si="49"/>
        <v>0</v>
      </c>
      <c r="AN349" s="14"/>
      <c r="AO349" s="14"/>
      <c r="AP349" s="16" t="str">
        <f>IF(AB349=0,"",IF(INDEX(Andamentos!$B$10:$B$2009,AB349)="","",INDEX(Andamentos!$B$10:$B$2009,AB349)))</f>
        <v/>
      </c>
      <c r="AQ349" s="17" t="str">
        <f>IF(AH349=0,"",IF(INDEX(Valores!$B$10:$B$509,AH349)="","",IF(ISNUMBER(INDEX(Valores!$B$10:$B$509,AH349)),INDEX(Valores!$B$10:$B$509,AH349),"")))</f>
        <v/>
      </c>
      <c r="AR349" s="14" t="str">
        <f t="shared" si="50"/>
        <v/>
      </c>
      <c r="AS349" s="14" t="str">
        <f t="shared" si="51"/>
        <v/>
      </c>
      <c r="AT349" s="27"/>
      <c r="AU349" s="31"/>
      <c r="AV349" s="31"/>
      <c r="AW349" s="27"/>
      <c r="AX349" s="27"/>
      <c r="AY349" s="27"/>
      <c r="AZ349" s="27"/>
      <c r="BA349" s="30" t="str">
        <f t="shared" si="52"/>
        <v/>
      </c>
      <c r="BB349" s="30" t="str">
        <f t="shared" si="53"/>
        <v/>
      </c>
      <c r="BC349" s="30">
        <f>IF(X349=0,0,IF(COUNTIFS($X$10:X349,1,$BA$10:BA349,BA349)=1,1,0))</f>
        <v>0</v>
      </c>
      <c r="BD349" s="29"/>
    </row>
    <row r="350" spans="1:56" ht="42" customHeight="1">
      <c r="A350" s="41"/>
      <c r="B350" s="44"/>
      <c r="C350" s="44"/>
      <c r="D350" s="44"/>
      <c r="E350" s="44"/>
      <c r="F350" s="44"/>
      <c r="G350" s="44"/>
      <c r="H350" s="44"/>
      <c r="I350" s="44"/>
      <c r="J350" s="44"/>
      <c r="K350" s="44"/>
      <c r="L350" s="49"/>
      <c r="M350" s="48"/>
      <c r="N350" s="48"/>
      <c r="O350" s="48"/>
      <c r="P350" s="48"/>
      <c r="Q350" s="48"/>
      <c r="R350" s="48"/>
      <c r="S350" s="49"/>
      <c r="T350" s="48"/>
      <c r="U350" s="48"/>
      <c r="V350" s="14">
        <f t="shared" si="45"/>
        <v>0</v>
      </c>
      <c r="W350" s="14">
        <f t="shared" si="46"/>
        <v>0</v>
      </c>
      <c r="X350" s="14">
        <f>IF(AND(V350=1,OR(Painel!$C$6="Todos",D350=Painel!$C$6),AND(OR(Painel!$L$6="Todas",E350=Painel!$L$6),OR(Painel!$C$8="Todos",F350=Painel!$C$8),OR(Painel!$L$8="Todos",G350=Painel!$L$8),OR(Painel!$C$10="",ISNUMBER(SEARCH(SUBSTITUTE(SUBSTITUTE(SUBSTITUTE(Painel!$C$10,"~","~~"),"*","~*"),"?","~?"),A350&amp;" "&amp;H350&amp;" "&amp;I350))))),1,0)</f>
        <v>0</v>
      </c>
      <c r="Y350" s="14">
        <f t="shared" si="47"/>
        <v>0</v>
      </c>
      <c r="Z350" s="15" t="str">
        <f>IF(V350=0,"",IF(COUNTIFS(Andamentos!$K$10:$K$2009,"="&amp;SUBSTITUTE(SUBSTITUTE(SUBSTITUTE("P:"&amp;A350,"~","~~"),"*","~*"),"?","~?"),Andamentos!$G$10:$G$2009,1)=0,"",_xlfn.AGGREGATE(14,6,Andamentos!$D$10:$D$2009/((Andamentos!$K$10:$K$2009=AS350)*(Andamentos!$G$10:$G$2009=1)),1)))</f>
        <v/>
      </c>
      <c r="AA350" s="14">
        <f>IF(Z350="",0,COUNTIFS(Andamentos!$K$10:$K$2009,"="&amp;SUBSTITUTE(SUBSTITUTE(SUBSTITUTE("P:"&amp;A350,"~","~~"),"*","~*"),"?","~?"),Andamentos!$D$10:$D$2009,Z350,Andamentos!$G$10:$G$2009,1))</f>
        <v>0</v>
      </c>
      <c r="AB350" s="14">
        <f>IF(AA350=1,SUMIFS(Andamentos!$L$10:$L$2009,Andamentos!$K$10:$K$2009,"="&amp;SUBSTITUTE(SUBSTITUTE(SUBSTITUTE(AS350,"~","~~"),"*","~*"),"?","~?"),Andamentos!$D$10:$D$2009,Z350,Andamentos!$G$10:$G$2009,1)-9,0)</f>
        <v>0</v>
      </c>
      <c r="AC350" s="14" t="str">
        <f>IF(V350=0,"",IF(AA350&gt;1,"Conferir recebimentos empatados",IF(AB350=0,"Sem atualização",INDEX(Andamentos!$C$10:$C$2009,AB350))))</f>
        <v/>
      </c>
      <c r="AD350" s="14">
        <f>IF(W350=0,0,IF(MAX(Z350,BD350)=0,1,IF(Configurar!$J$12-INT(MAX(Z350,BD350))&gt;Configurar!$J$11,1,0)))</f>
        <v>0</v>
      </c>
      <c r="AE350" s="16"/>
      <c r="AF350" s="14"/>
      <c r="AG350" s="14"/>
      <c r="AH350" s="14">
        <f>IF(AND(V350=1,COUNTIFS(Valores!$S$10:$S$509,"="&amp;SUBSTITUTE(SUBSTITUTE(SUBSTITUTE("P:"&amp;A350,"~","~~"),"*","~*"),"?","~?"))=1),(IF(ISNA(MATCH(SUBSTITUTE(SUBSTITUTE(SUBSTITUTE("P:"&amp;A350,"~","~~"),"*","~*"),"?","~?"),Valores!$S$10:$S$509,0)),9,INDEX(Valores!$R$10:$R$509,MATCH(SUBSTITUTE(SUBSTITUTE(SUBSTITUTE("P:"&amp;A350,"~","~~"),"*","~*"),"?","~?"),Valores!$S$10:$S$509,0)))-9),0)</f>
        <v>0</v>
      </c>
      <c r="AI350" s="40" t="str">
        <f t="shared" si="48"/>
        <v/>
      </c>
      <c r="AJ350" s="14" t="str">
        <f>IF(AND(X350=1,Y350=1),COUNTIFS($X$10:X350,1,$Y$10:Y350,1),"")</f>
        <v/>
      </c>
      <c r="AK350" s="14" t="str">
        <f>IF(X350=1,COUNTIFS($X$10:X350,1),"")</f>
        <v/>
      </c>
      <c r="AL350" s="14">
        <f>IF(AND(V350=1,AND(OR(Painel!$L$6="Todas",E350=Painel!$L$6),OR(Painel!$C$8="Todos",F350=Painel!$C$8),OR(Painel!$L$8="Todos",G350=Painel!$L$8),OR(Painel!$C$10="",ISNUMBER(SEARCH(SUBSTITUTE(SUBSTITUTE(SUBSTITUTE(Painel!$C$10,"~","~~"),"*","~*"),"?","~?"),A350&amp;" "&amp;H350&amp;" "&amp;I350))))),1,0)</f>
        <v>0</v>
      </c>
      <c r="AM350" s="14">
        <f t="shared" si="49"/>
        <v>0</v>
      </c>
      <c r="AN350" s="14"/>
      <c r="AO350" s="14"/>
      <c r="AP350" s="16" t="str">
        <f>IF(AB350=0,"",IF(INDEX(Andamentos!$B$10:$B$2009,AB350)="","",INDEX(Andamentos!$B$10:$B$2009,AB350)))</f>
        <v/>
      </c>
      <c r="AQ350" s="17" t="str">
        <f>IF(AH350=0,"",IF(INDEX(Valores!$B$10:$B$509,AH350)="","",IF(ISNUMBER(INDEX(Valores!$B$10:$B$509,AH350)),INDEX(Valores!$B$10:$B$509,AH350),"")))</f>
        <v/>
      </c>
      <c r="AR350" s="14" t="str">
        <f t="shared" si="50"/>
        <v/>
      </c>
      <c r="AS350" s="14" t="str">
        <f t="shared" si="51"/>
        <v/>
      </c>
      <c r="AT350" s="27"/>
      <c r="AU350" s="31"/>
      <c r="AV350" s="31"/>
      <c r="AW350" s="27"/>
      <c r="AX350" s="27"/>
      <c r="AY350" s="27"/>
      <c r="AZ350" s="27"/>
      <c r="BA350" s="30" t="str">
        <f t="shared" si="52"/>
        <v/>
      </c>
      <c r="BB350" s="30" t="str">
        <f t="shared" si="53"/>
        <v/>
      </c>
      <c r="BC350" s="30">
        <f>IF(X350=0,0,IF(COUNTIFS($X$10:X350,1,$BA$10:BA350,BA350)=1,1,0))</f>
        <v>0</v>
      </c>
      <c r="BD350" s="29"/>
    </row>
    <row r="351" spans="1:56" ht="42" customHeight="1">
      <c r="A351" s="41"/>
      <c r="B351" s="44"/>
      <c r="C351" s="44"/>
      <c r="D351" s="44"/>
      <c r="E351" s="44"/>
      <c r="F351" s="44"/>
      <c r="G351" s="44"/>
      <c r="H351" s="44"/>
      <c r="I351" s="44"/>
      <c r="J351" s="44"/>
      <c r="K351" s="44"/>
      <c r="L351" s="49"/>
      <c r="M351" s="48"/>
      <c r="N351" s="48"/>
      <c r="O351" s="48"/>
      <c r="P351" s="48"/>
      <c r="Q351" s="48"/>
      <c r="R351" s="48"/>
      <c r="S351" s="49"/>
      <c r="T351" s="48"/>
      <c r="U351" s="48"/>
      <c r="V351" s="14">
        <f t="shared" si="45"/>
        <v>0</v>
      </c>
      <c r="W351" s="14">
        <f t="shared" si="46"/>
        <v>0</v>
      </c>
      <c r="X351" s="14">
        <f>IF(AND(V351=1,OR(Painel!$C$6="Todos",D351=Painel!$C$6),AND(OR(Painel!$L$6="Todas",E351=Painel!$L$6),OR(Painel!$C$8="Todos",F351=Painel!$C$8),OR(Painel!$L$8="Todos",G351=Painel!$L$8),OR(Painel!$C$10="",ISNUMBER(SEARCH(SUBSTITUTE(SUBSTITUTE(SUBSTITUTE(Painel!$C$10,"~","~~"),"*","~*"),"?","~?"),A351&amp;" "&amp;H351&amp;" "&amp;I351))))),1,0)</f>
        <v>0</v>
      </c>
      <c r="Y351" s="14">
        <f t="shared" si="47"/>
        <v>0</v>
      </c>
      <c r="Z351" s="15" t="str">
        <f>IF(V351=0,"",IF(COUNTIFS(Andamentos!$K$10:$K$2009,"="&amp;SUBSTITUTE(SUBSTITUTE(SUBSTITUTE("P:"&amp;A351,"~","~~"),"*","~*"),"?","~?"),Andamentos!$G$10:$G$2009,1)=0,"",_xlfn.AGGREGATE(14,6,Andamentos!$D$10:$D$2009/((Andamentos!$K$10:$K$2009=AS351)*(Andamentos!$G$10:$G$2009=1)),1)))</f>
        <v/>
      </c>
      <c r="AA351" s="14">
        <f>IF(Z351="",0,COUNTIFS(Andamentos!$K$10:$K$2009,"="&amp;SUBSTITUTE(SUBSTITUTE(SUBSTITUTE("P:"&amp;A351,"~","~~"),"*","~*"),"?","~?"),Andamentos!$D$10:$D$2009,Z351,Andamentos!$G$10:$G$2009,1))</f>
        <v>0</v>
      </c>
      <c r="AB351" s="14">
        <f>IF(AA351=1,SUMIFS(Andamentos!$L$10:$L$2009,Andamentos!$K$10:$K$2009,"="&amp;SUBSTITUTE(SUBSTITUTE(SUBSTITUTE(AS351,"~","~~"),"*","~*"),"?","~?"),Andamentos!$D$10:$D$2009,Z351,Andamentos!$G$10:$G$2009,1)-9,0)</f>
        <v>0</v>
      </c>
      <c r="AC351" s="14" t="str">
        <f>IF(V351=0,"",IF(AA351&gt;1,"Conferir recebimentos empatados",IF(AB351=0,"Sem atualização",INDEX(Andamentos!$C$10:$C$2009,AB351))))</f>
        <v/>
      </c>
      <c r="AD351" s="14">
        <f>IF(W351=0,0,IF(MAX(Z351,BD351)=0,1,IF(Configurar!$J$12-INT(MAX(Z351,BD351))&gt;Configurar!$J$11,1,0)))</f>
        <v>0</v>
      </c>
      <c r="AE351" s="16"/>
      <c r="AF351" s="14"/>
      <c r="AG351" s="14"/>
      <c r="AH351" s="14">
        <f>IF(AND(V351=1,COUNTIFS(Valores!$S$10:$S$509,"="&amp;SUBSTITUTE(SUBSTITUTE(SUBSTITUTE("P:"&amp;A351,"~","~~"),"*","~*"),"?","~?"))=1),(IF(ISNA(MATCH(SUBSTITUTE(SUBSTITUTE(SUBSTITUTE("P:"&amp;A351,"~","~~"),"*","~*"),"?","~?"),Valores!$S$10:$S$509,0)),9,INDEX(Valores!$R$10:$R$509,MATCH(SUBSTITUTE(SUBSTITUTE(SUBSTITUTE("P:"&amp;A351,"~","~~"),"*","~*"),"?","~?"),Valores!$S$10:$S$509,0)))-9),0)</f>
        <v>0</v>
      </c>
      <c r="AI351" s="40" t="str">
        <f t="shared" si="48"/>
        <v/>
      </c>
      <c r="AJ351" s="14" t="str">
        <f>IF(AND(X351=1,Y351=1),COUNTIFS($X$10:X351,1,$Y$10:Y351,1),"")</f>
        <v/>
      </c>
      <c r="AK351" s="14" t="str">
        <f>IF(X351=1,COUNTIFS($X$10:X351,1),"")</f>
        <v/>
      </c>
      <c r="AL351" s="14">
        <f>IF(AND(V351=1,AND(OR(Painel!$L$6="Todas",E351=Painel!$L$6),OR(Painel!$C$8="Todos",F351=Painel!$C$8),OR(Painel!$L$8="Todos",G351=Painel!$L$8),OR(Painel!$C$10="",ISNUMBER(SEARCH(SUBSTITUTE(SUBSTITUTE(SUBSTITUTE(Painel!$C$10,"~","~~"),"*","~*"),"?","~?"),A351&amp;" "&amp;H351&amp;" "&amp;I351))))),1,0)</f>
        <v>0</v>
      </c>
      <c r="AM351" s="14">
        <f t="shared" si="49"/>
        <v>0</v>
      </c>
      <c r="AN351" s="14"/>
      <c r="AO351" s="14"/>
      <c r="AP351" s="16" t="str">
        <f>IF(AB351=0,"",IF(INDEX(Andamentos!$B$10:$B$2009,AB351)="","",INDEX(Andamentos!$B$10:$B$2009,AB351)))</f>
        <v/>
      </c>
      <c r="AQ351" s="17" t="str">
        <f>IF(AH351=0,"",IF(INDEX(Valores!$B$10:$B$509,AH351)="","",IF(ISNUMBER(INDEX(Valores!$B$10:$B$509,AH351)),INDEX(Valores!$B$10:$B$509,AH351),"")))</f>
        <v/>
      </c>
      <c r="AR351" s="14" t="str">
        <f t="shared" si="50"/>
        <v/>
      </c>
      <c r="AS351" s="14" t="str">
        <f t="shared" si="51"/>
        <v/>
      </c>
      <c r="AT351" s="27"/>
      <c r="AU351" s="31"/>
      <c r="AV351" s="31"/>
      <c r="AW351" s="27"/>
      <c r="AX351" s="27"/>
      <c r="AY351" s="27"/>
      <c r="AZ351" s="27"/>
      <c r="BA351" s="30" t="str">
        <f t="shared" si="52"/>
        <v/>
      </c>
      <c r="BB351" s="30" t="str">
        <f t="shared" si="53"/>
        <v/>
      </c>
      <c r="BC351" s="30">
        <f>IF(X351=0,0,IF(COUNTIFS($X$10:X351,1,$BA$10:BA351,BA351)=1,1,0))</f>
        <v>0</v>
      </c>
      <c r="BD351" s="29"/>
    </row>
    <row r="352" spans="1:56" ht="42" customHeight="1">
      <c r="A352" s="41"/>
      <c r="B352" s="44"/>
      <c r="C352" s="44"/>
      <c r="D352" s="44"/>
      <c r="E352" s="44"/>
      <c r="F352" s="44"/>
      <c r="G352" s="44"/>
      <c r="H352" s="44"/>
      <c r="I352" s="44"/>
      <c r="J352" s="44"/>
      <c r="K352" s="44"/>
      <c r="L352" s="49"/>
      <c r="M352" s="48"/>
      <c r="N352" s="48"/>
      <c r="O352" s="48"/>
      <c r="P352" s="48"/>
      <c r="Q352" s="48"/>
      <c r="R352" s="48"/>
      <c r="S352" s="49"/>
      <c r="T352" s="48"/>
      <c r="U352" s="48"/>
      <c r="V352" s="14">
        <f t="shared" si="45"/>
        <v>0</v>
      </c>
      <c r="W352" s="14">
        <f t="shared" si="46"/>
        <v>0</v>
      </c>
      <c r="X352" s="14">
        <f>IF(AND(V352=1,OR(Painel!$C$6="Todos",D352=Painel!$C$6),AND(OR(Painel!$L$6="Todas",E352=Painel!$L$6),OR(Painel!$C$8="Todos",F352=Painel!$C$8),OR(Painel!$L$8="Todos",G352=Painel!$L$8),OR(Painel!$C$10="",ISNUMBER(SEARCH(SUBSTITUTE(SUBSTITUTE(SUBSTITUTE(Painel!$C$10,"~","~~"),"*","~*"),"?","~?"),A352&amp;" "&amp;H352&amp;" "&amp;I352))))),1,0)</f>
        <v>0</v>
      </c>
      <c r="Y352" s="14">
        <f t="shared" si="47"/>
        <v>0</v>
      </c>
      <c r="Z352" s="15" t="str">
        <f>IF(V352=0,"",IF(COUNTIFS(Andamentos!$K$10:$K$2009,"="&amp;SUBSTITUTE(SUBSTITUTE(SUBSTITUTE("P:"&amp;A352,"~","~~"),"*","~*"),"?","~?"),Andamentos!$G$10:$G$2009,1)=0,"",_xlfn.AGGREGATE(14,6,Andamentos!$D$10:$D$2009/((Andamentos!$K$10:$K$2009=AS352)*(Andamentos!$G$10:$G$2009=1)),1)))</f>
        <v/>
      </c>
      <c r="AA352" s="14">
        <f>IF(Z352="",0,COUNTIFS(Andamentos!$K$10:$K$2009,"="&amp;SUBSTITUTE(SUBSTITUTE(SUBSTITUTE("P:"&amp;A352,"~","~~"),"*","~*"),"?","~?"),Andamentos!$D$10:$D$2009,Z352,Andamentos!$G$10:$G$2009,1))</f>
        <v>0</v>
      </c>
      <c r="AB352" s="14">
        <f>IF(AA352=1,SUMIFS(Andamentos!$L$10:$L$2009,Andamentos!$K$10:$K$2009,"="&amp;SUBSTITUTE(SUBSTITUTE(SUBSTITUTE(AS352,"~","~~"),"*","~*"),"?","~?"),Andamentos!$D$10:$D$2009,Z352,Andamentos!$G$10:$G$2009,1)-9,0)</f>
        <v>0</v>
      </c>
      <c r="AC352" s="14" t="str">
        <f>IF(V352=0,"",IF(AA352&gt;1,"Conferir recebimentos empatados",IF(AB352=0,"Sem atualização",INDEX(Andamentos!$C$10:$C$2009,AB352))))</f>
        <v/>
      </c>
      <c r="AD352" s="14">
        <f>IF(W352=0,0,IF(MAX(Z352,BD352)=0,1,IF(Configurar!$J$12-INT(MAX(Z352,BD352))&gt;Configurar!$J$11,1,0)))</f>
        <v>0</v>
      </c>
      <c r="AE352" s="16"/>
      <c r="AF352" s="14"/>
      <c r="AG352" s="14"/>
      <c r="AH352" s="14">
        <f>IF(AND(V352=1,COUNTIFS(Valores!$S$10:$S$509,"="&amp;SUBSTITUTE(SUBSTITUTE(SUBSTITUTE("P:"&amp;A352,"~","~~"),"*","~*"),"?","~?"))=1),(IF(ISNA(MATCH(SUBSTITUTE(SUBSTITUTE(SUBSTITUTE("P:"&amp;A352,"~","~~"),"*","~*"),"?","~?"),Valores!$S$10:$S$509,0)),9,INDEX(Valores!$R$10:$R$509,MATCH(SUBSTITUTE(SUBSTITUTE(SUBSTITUTE("P:"&amp;A352,"~","~~"),"*","~*"),"?","~?"),Valores!$S$10:$S$509,0)))-9),0)</f>
        <v>0</v>
      </c>
      <c r="AI352" s="40" t="str">
        <f t="shared" si="48"/>
        <v/>
      </c>
      <c r="AJ352" s="14" t="str">
        <f>IF(AND(X352=1,Y352=1),COUNTIFS($X$10:X352,1,$Y$10:Y352,1),"")</f>
        <v/>
      </c>
      <c r="AK352" s="14" t="str">
        <f>IF(X352=1,COUNTIFS($X$10:X352,1),"")</f>
        <v/>
      </c>
      <c r="AL352" s="14">
        <f>IF(AND(V352=1,AND(OR(Painel!$L$6="Todas",E352=Painel!$L$6),OR(Painel!$C$8="Todos",F352=Painel!$C$8),OR(Painel!$L$8="Todos",G352=Painel!$L$8),OR(Painel!$C$10="",ISNUMBER(SEARCH(SUBSTITUTE(SUBSTITUTE(SUBSTITUTE(Painel!$C$10,"~","~~"),"*","~*"),"?","~?"),A352&amp;" "&amp;H352&amp;" "&amp;I352))))),1,0)</f>
        <v>0</v>
      </c>
      <c r="AM352" s="14">
        <f t="shared" si="49"/>
        <v>0</v>
      </c>
      <c r="AN352" s="14"/>
      <c r="AO352" s="14"/>
      <c r="AP352" s="16" t="str">
        <f>IF(AB352=0,"",IF(INDEX(Andamentos!$B$10:$B$2009,AB352)="","",INDEX(Andamentos!$B$10:$B$2009,AB352)))</f>
        <v/>
      </c>
      <c r="AQ352" s="17" t="str">
        <f>IF(AH352=0,"",IF(INDEX(Valores!$B$10:$B$509,AH352)="","",IF(ISNUMBER(INDEX(Valores!$B$10:$B$509,AH352)),INDEX(Valores!$B$10:$B$509,AH352),"")))</f>
        <v/>
      </c>
      <c r="AR352" s="14" t="str">
        <f t="shared" si="50"/>
        <v/>
      </c>
      <c r="AS352" s="14" t="str">
        <f t="shared" si="51"/>
        <v/>
      </c>
      <c r="AT352" s="27"/>
      <c r="AU352" s="31"/>
      <c r="AV352" s="31"/>
      <c r="AW352" s="27"/>
      <c r="AX352" s="27"/>
      <c r="AY352" s="27"/>
      <c r="AZ352" s="27"/>
      <c r="BA352" s="30" t="str">
        <f t="shared" si="52"/>
        <v/>
      </c>
      <c r="BB352" s="30" t="str">
        <f t="shared" si="53"/>
        <v/>
      </c>
      <c r="BC352" s="30">
        <f>IF(X352=0,0,IF(COUNTIFS($X$10:X352,1,$BA$10:BA352,BA352)=1,1,0))</f>
        <v>0</v>
      </c>
      <c r="BD352" s="29"/>
    </row>
    <row r="353" spans="1:56" ht="42" customHeight="1">
      <c r="A353" s="41"/>
      <c r="B353" s="44"/>
      <c r="C353" s="44"/>
      <c r="D353" s="44"/>
      <c r="E353" s="44"/>
      <c r="F353" s="44"/>
      <c r="G353" s="44"/>
      <c r="H353" s="44"/>
      <c r="I353" s="44"/>
      <c r="J353" s="44"/>
      <c r="K353" s="44"/>
      <c r="L353" s="49"/>
      <c r="M353" s="48"/>
      <c r="N353" s="48"/>
      <c r="O353" s="48"/>
      <c r="P353" s="48"/>
      <c r="Q353" s="48"/>
      <c r="R353" s="48"/>
      <c r="S353" s="49"/>
      <c r="T353" s="48"/>
      <c r="U353" s="48"/>
      <c r="V353" s="14">
        <f t="shared" si="45"/>
        <v>0</v>
      </c>
      <c r="W353" s="14">
        <f t="shared" si="46"/>
        <v>0</v>
      </c>
      <c r="X353" s="14">
        <f>IF(AND(V353=1,OR(Painel!$C$6="Todos",D353=Painel!$C$6),AND(OR(Painel!$L$6="Todas",E353=Painel!$L$6),OR(Painel!$C$8="Todos",F353=Painel!$C$8),OR(Painel!$L$8="Todos",G353=Painel!$L$8),OR(Painel!$C$10="",ISNUMBER(SEARCH(SUBSTITUTE(SUBSTITUTE(SUBSTITUTE(Painel!$C$10,"~","~~"),"*","~*"),"?","~?"),A353&amp;" "&amp;H353&amp;" "&amp;I353))))),1,0)</f>
        <v>0</v>
      </c>
      <c r="Y353" s="14">
        <f t="shared" si="47"/>
        <v>0</v>
      </c>
      <c r="Z353" s="15" t="str">
        <f>IF(V353=0,"",IF(COUNTIFS(Andamentos!$K$10:$K$2009,"="&amp;SUBSTITUTE(SUBSTITUTE(SUBSTITUTE("P:"&amp;A353,"~","~~"),"*","~*"),"?","~?"),Andamentos!$G$10:$G$2009,1)=0,"",_xlfn.AGGREGATE(14,6,Andamentos!$D$10:$D$2009/((Andamentos!$K$10:$K$2009=AS353)*(Andamentos!$G$10:$G$2009=1)),1)))</f>
        <v/>
      </c>
      <c r="AA353" s="14">
        <f>IF(Z353="",0,COUNTIFS(Andamentos!$K$10:$K$2009,"="&amp;SUBSTITUTE(SUBSTITUTE(SUBSTITUTE("P:"&amp;A353,"~","~~"),"*","~*"),"?","~?"),Andamentos!$D$10:$D$2009,Z353,Andamentos!$G$10:$G$2009,1))</f>
        <v>0</v>
      </c>
      <c r="AB353" s="14">
        <f>IF(AA353=1,SUMIFS(Andamentos!$L$10:$L$2009,Andamentos!$K$10:$K$2009,"="&amp;SUBSTITUTE(SUBSTITUTE(SUBSTITUTE(AS353,"~","~~"),"*","~*"),"?","~?"),Andamentos!$D$10:$D$2009,Z353,Andamentos!$G$10:$G$2009,1)-9,0)</f>
        <v>0</v>
      </c>
      <c r="AC353" s="14" t="str">
        <f>IF(V353=0,"",IF(AA353&gt;1,"Conferir recebimentos empatados",IF(AB353=0,"Sem atualização",INDEX(Andamentos!$C$10:$C$2009,AB353))))</f>
        <v/>
      </c>
      <c r="AD353" s="14">
        <f>IF(W353=0,0,IF(MAX(Z353,BD353)=0,1,IF(Configurar!$J$12-INT(MAX(Z353,BD353))&gt;Configurar!$J$11,1,0)))</f>
        <v>0</v>
      </c>
      <c r="AE353" s="16"/>
      <c r="AF353" s="14"/>
      <c r="AG353" s="14"/>
      <c r="AH353" s="14">
        <f>IF(AND(V353=1,COUNTIFS(Valores!$S$10:$S$509,"="&amp;SUBSTITUTE(SUBSTITUTE(SUBSTITUTE("P:"&amp;A353,"~","~~"),"*","~*"),"?","~?"))=1),(IF(ISNA(MATCH(SUBSTITUTE(SUBSTITUTE(SUBSTITUTE("P:"&amp;A353,"~","~~"),"*","~*"),"?","~?"),Valores!$S$10:$S$509,0)),9,INDEX(Valores!$R$10:$R$509,MATCH(SUBSTITUTE(SUBSTITUTE(SUBSTITUTE("P:"&amp;A353,"~","~~"),"*","~*"),"?","~?"),Valores!$S$10:$S$509,0)))-9),0)</f>
        <v>0</v>
      </c>
      <c r="AI353" s="40" t="str">
        <f t="shared" si="48"/>
        <v/>
      </c>
      <c r="AJ353" s="14" t="str">
        <f>IF(AND(X353=1,Y353=1),COUNTIFS($X$10:X353,1,$Y$10:Y353,1),"")</f>
        <v/>
      </c>
      <c r="AK353" s="14" t="str">
        <f>IF(X353=1,COUNTIFS($X$10:X353,1),"")</f>
        <v/>
      </c>
      <c r="AL353" s="14">
        <f>IF(AND(V353=1,AND(OR(Painel!$L$6="Todas",E353=Painel!$L$6),OR(Painel!$C$8="Todos",F353=Painel!$C$8),OR(Painel!$L$8="Todos",G353=Painel!$L$8),OR(Painel!$C$10="",ISNUMBER(SEARCH(SUBSTITUTE(SUBSTITUTE(SUBSTITUTE(Painel!$C$10,"~","~~"),"*","~*"),"?","~?"),A353&amp;" "&amp;H353&amp;" "&amp;I353))))),1,0)</f>
        <v>0</v>
      </c>
      <c r="AM353" s="14">
        <f t="shared" si="49"/>
        <v>0</v>
      </c>
      <c r="AN353" s="14"/>
      <c r="AO353" s="14"/>
      <c r="AP353" s="16" t="str">
        <f>IF(AB353=0,"",IF(INDEX(Andamentos!$B$10:$B$2009,AB353)="","",INDEX(Andamentos!$B$10:$B$2009,AB353)))</f>
        <v/>
      </c>
      <c r="AQ353" s="17" t="str">
        <f>IF(AH353=0,"",IF(INDEX(Valores!$B$10:$B$509,AH353)="","",IF(ISNUMBER(INDEX(Valores!$B$10:$B$509,AH353)),INDEX(Valores!$B$10:$B$509,AH353),"")))</f>
        <v/>
      </c>
      <c r="AR353" s="14" t="str">
        <f t="shared" si="50"/>
        <v/>
      </c>
      <c r="AS353" s="14" t="str">
        <f t="shared" si="51"/>
        <v/>
      </c>
      <c r="AT353" s="27"/>
      <c r="AU353" s="31"/>
      <c r="AV353" s="31"/>
      <c r="AW353" s="27"/>
      <c r="AX353" s="27"/>
      <c r="AY353" s="27"/>
      <c r="AZ353" s="27"/>
      <c r="BA353" s="30" t="str">
        <f t="shared" si="52"/>
        <v/>
      </c>
      <c r="BB353" s="30" t="str">
        <f t="shared" si="53"/>
        <v/>
      </c>
      <c r="BC353" s="30">
        <f>IF(X353=0,0,IF(COUNTIFS($X$10:X353,1,$BA$10:BA353,BA353)=1,1,0))</f>
        <v>0</v>
      </c>
      <c r="BD353" s="29"/>
    </row>
    <row r="354" spans="1:56" ht="42" customHeight="1">
      <c r="A354" s="41"/>
      <c r="B354" s="44"/>
      <c r="C354" s="44"/>
      <c r="D354" s="44"/>
      <c r="E354" s="44"/>
      <c r="F354" s="44"/>
      <c r="G354" s="44"/>
      <c r="H354" s="44"/>
      <c r="I354" s="44"/>
      <c r="J354" s="44"/>
      <c r="K354" s="44"/>
      <c r="L354" s="49"/>
      <c r="M354" s="48"/>
      <c r="N354" s="48"/>
      <c r="O354" s="48"/>
      <c r="P354" s="48"/>
      <c r="Q354" s="48"/>
      <c r="R354" s="48"/>
      <c r="S354" s="49"/>
      <c r="T354" s="48"/>
      <c r="U354" s="48"/>
      <c r="V354" s="14">
        <f t="shared" si="45"/>
        <v>0</v>
      </c>
      <c r="W354" s="14">
        <f t="shared" si="46"/>
        <v>0</v>
      </c>
      <c r="X354" s="14">
        <f>IF(AND(V354=1,OR(Painel!$C$6="Todos",D354=Painel!$C$6),AND(OR(Painel!$L$6="Todas",E354=Painel!$L$6),OR(Painel!$C$8="Todos",F354=Painel!$C$8),OR(Painel!$L$8="Todos",G354=Painel!$L$8),OR(Painel!$C$10="",ISNUMBER(SEARCH(SUBSTITUTE(SUBSTITUTE(SUBSTITUTE(Painel!$C$10,"~","~~"),"*","~*"),"?","~?"),A354&amp;" "&amp;H354&amp;" "&amp;I354))))),1,0)</f>
        <v>0</v>
      </c>
      <c r="Y354" s="14">
        <f t="shared" si="47"/>
        <v>0</v>
      </c>
      <c r="Z354" s="15" t="str">
        <f>IF(V354=0,"",IF(COUNTIFS(Andamentos!$K$10:$K$2009,"="&amp;SUBSTITUTE(SUBSTITUTE(SUBSTITUTE("P:"&amp;A354,"~","~~"),"*","~*"),"?","~?"),Andamentos!$G$10:$G$2009,1)=0,"",_xlfn.AGGREGATE(14,6,Andamentos!$D$10:$D$2009/((Andamentos!$K$10:$K$2009=AS354)*(Andamentos!$G$10:$G$2009=1)),1)))</f>
        <v/>
      </c>
      <c r="AA354" s="14">
        <f>IF(Z354="",0,COUNTIFS(Andamentos!$K$10:$K$2009,"="&amp;SUBSTITUTE(SUBSTITUTE(SUBSTITUTE("P:"&amp;A354,"~","~~"),"*","~*"),"?","~?"),Andamentos!$D$10:$D$2009,Z354,Andamentos!$G$10:$G$2009,1))</f>
        <v>0</v>
      </c>
      <c r="AB354" s="14">
        <f>IF(AA354=1,SUMIFS(Andamentos!$L$10:$L$2009,Andamentos!$K$10:$K$2009,"="&amp;SUBSTITUTE(SUBSTITUTE(SUBSTITUTE(AS354,"~","~~"),"*","~*"),"?","~?"),Andamentos!$D$10:$D$2009,Z354,Andamentos!$G$10:$G$2009,1)-9,0)</f>
        <v>0</v>
      </c>
      <c r="AC354" s="14" t="str">
        <f>IF(V354=0,"",IF(AA354&gt;1,"Conferir recebimentos empatados",IF(AB354=0,"Sem atualização",INDEX(Andamentos!$C$10:$C$2009,AB354))))</f>
        <v/>
      </c>
      <c r="AD354" s="14">
        <f>IF(W354=0,0,IF(MAX(Z354,BD354)=0,1,IF(Configurar!$J$12-INT(MAX(Z354,BD354))&gt;Configurar!$J$11,1,0)))</f>
        <v>0</v>
      </c>
      <c r="AE354" s="16"/>
      <c r="AF354" s="14"/>
      <c r="AG354" s="14"/>
      <c r="AH354" s="14">
        <f>IF(AND(V354=1,COUNTIFS(Valores!$S$10:$S$509,"="&amp;SUBSTITUTE(SUBSTITUTE(SUBSTITUTE("P:"&amp;A354,"~","~~"),"*","~*"),"?","~?"))=1),(IF(ISNA(MATCH(SUBSTITUTE(SUBSTITUTE(SUBSTITUTE("P:"&amp;A354,"~","~~"),"*","~*"),"?","~?"),Valores!$S$10:$S$509,0)),9,INDEX(Valores!$R$10:$R$509,MATCH(SUBSTITUTE(SUBSTITUTE(SUBSTITUTE("P:"&amp;A354,"~","~~"),"*","~*"),"?","~?"),Valores!$S$10:$S$509,0)))-9),0)</f>
        <v>0</v>
      </c>
      <c r="AI354" s="40" t="str">
        <f t="shared" si="48"/>
        <v/>
      </c>
      <c r="AJ354" s="14" t="str">
        <f>IF(AND(X354=1,Y354=1),COUNTIFS($X$10:X354,1,$Y$10:Y354,1),"")</f>
        <v/>
      </c>
      <c r="AK354" s="14" t="str">
        <f>IF(X354=1,COUNTIFS($X$10:X354,1),"")</f>
        <v/>
      </c>
      <c r="AL354" s="14">
        <f>IF(AND(V354=1,AND(OR(Painel!$L$6="Todas",E354=Painel!$L$6),OR(Painel!$C$8="Todos",F354=Painel!$C$8),OR(Painel!$L$8="Todos",G354=Painel!$L$8),OR(Painel!$C$10="",ISNUMBER(SEARCH(SUBSTITUTE(SUBSTITUTE(SUBSTITUTE(Painel!$C$10,"~","~~"),"*","~*"),"?","~?"),A354&amp;" "&amp;H354&amp;" "&amp;I354))))),1,0)</f>
        <v>0</v>
      </c>
      <c r="AM354" s="14">
        <f t="shared" si="49"/>
        <v>0</v>
      </c>
      <c r="AN354" s="14"/>
      <c r="AO354" s="14"/>
      <c r="AP354" s="16" t="str">
        <f>IF(AB354=0,"",IF(INDEX(Andamentos!$B$10:$B$2009,AB354)="","",INDEX(Andamentos!$B$10:$B$2009,AB354)))</f>
        <v/>
      </c>
      <c r="AQ354" s="17" t="str">
        <f>IF(AH354=0,"",IF(INDEX(Valores!$B$10:$B$509,AH354)="","",IF(ISNUMBER(INDEX(Valores!$B$10:$B$509,AH354)),INDEX(Valores!$B$10:$B$509,AH354),"")))</f>
        <v/>
      </c>
      <c r="AR354" s="14" t="str">
        <f t="shared" si="50"/>
        <v/>
      </c>
      <c r="AS354" s="14" t="str">
        <f t="shared" si="51"/>
        <v/>
      </c>
      <c r="AT354" s="27"/>
      <c r="AU354" s="31"/>
      <c r="AV354" s="31"/>
      <c r="AW354" s="27"/>
      <c r="AX354" s="27"/>
      <c r="AY354" s="27"/>
      <c r="AZ354" s="27"/>
      <c r="BA354" s="30" t="str">
        <f t="shared" si="52"/>
        <v/>
      </c>
      <c r="BB354" s="30" t="str">
        <f t="shared" si="53"/>
        <v/>
      </c>
      <c r="BC354" s="30">
        <f>IF(X354=0,0,IF(COUNTIFS($X$10:X354,1,$BA$10:BA354,BA354)=1,1,0))</f>
        <v>0</v>
      </c>
      <c r="BD354" s="29"/>
    </row>
    <row r="355" spans="1:56" ht="42" customHeight="1">
      <c r="A355" s="41"/>
      <c r="B355" s="44"/>
      <c r="C355" s="44"/>
      <c r="D355" s="44"/>
      <c r="E355" s="44"/>
      <c r="F355" s="44"/>
      <c r="G355" s="44"/>
      <c r="H355" s="44"/>
      <c r="I355" s="44"/>
      <c r="J355" s="44"/>
      <c r="K355" s="44"/>
      <c r="L355" s="49"/>
      <c r="M355" s="48"/>
      <c r="N355" s="48"/>
      <c r="O355" s="48"/>
      <c r="P355" s="48"/>
      <c r="Q355" s="48"/>
      <c r="R355" s="48"/>
      <c r="S355" s="49"/>
      <c r="T355" s="48"/>
      <c r="U355" s="48"/>
      <c r="V355" s="14">
        <f t="shared" si="45"/>
        <v>0</v>
      </c>
      <c r="W355" s="14">
        <f t="shared" si="46"/>
        <v>0</v>
      </c>
      <c r="X355" s="14">
        <f>IF(AND(V355=1,OR(Painel!$C$6="Todos",D355=Painel!$C$6),AND(OR(Painel!$L$6="Todas",E355=Painel!$L$6),OR(Painel!$C$8="Todos",F355=Painel!$C$8),OR(Painel!$L$8="Todos",G355=Painel!$L$8),OR(Painel!$C$10="",ISNUMBER(SEARCH(SUBSTITUTE(SUBSTITUTE(SUBSTITUTE(Painel!$C$10,"~","~~"),"*","~*"),"?","~?"),A355&amp;" "&amp;H355&amp;" "&amp;I355))))),1,0)</f>
        <v>0</v>
      </c>
      <c r="Y355" s="14">
        <f t="shared" si="47"/>
        <v>0</v>
      </c>
      <c r="Z355" s="15" t="str">
        <f>IF(V355=0,"",IF(COUNTIFS(Andamentos!$K$10:$K$2009,"="&amp;SUBSTITUTE(SUBSTITUTE(SUBSTITUTE("P:"&amp;A355,"~","~~"),"*","~*"),"?","~?"),Andamentos!$G$10:$G$2009,1)=0,"",_xlfn.AGGREGATE(14,6,Andamentos!$D$10:$D$2009/((Andamentos!$K$10:$K$2009=AS355)*(Andamentos!$G$10:$G$2009=1)),1)))</f>
        <v/>
      </c>
      <c r="AA355" s="14">
        <f>IF(Z355="",0,COUNTIFS(Andamentos!$K$10:$K$2009,"="&amp;SUBSTITUTE(SUBSTITUTE(SUBSTITUTE("P:"&amp;A355,"~","~~"),"*","~*"),"?","~?"),Andamentos!$D$10:$D$2009,Z355,Andamentos!$G$10:$G$2009,1))</f>
        <v>0</v>
      </c>
      <c r="AB355" s="14">
        <f>IF(AA355=1,SUMIFS(Andamentos!$L$10:$L$2009,Andamentos!$K$10:$K$2009,"="&amp;SUBSTITUTE(SUBSTITUTE(SUBSTITUTE(AS355,"~","~~"),"*","~*"),"?","~?"),Andamentos!$D$10:$D$2009,Z355,Andamentos!$G$10:$G$2009,1)-9,0)</f>
        <v>0</v>
      </c>
      <c r="AC355" s="14" t="str">
        <f>IF(V355=0,"",IF(AA355&gt;1,"Conferir recebimentos empatados",IF(AB355=0,"Sem atualização",INDEX(Andamentos!$C$10:$C$2009,AB355))))</f>
        <v/>
      </c>
      <c r="AD355" s="14">
        <f>IF(W355=0,0,IF(MAX(Z355,BD355)=0,1,IF(Configurar!$J$12-INT(MAX(Z355,BD355))&gt;Configurar!$J$11,1,0)))</f>
        <v>0</v>
      </c>
      <c r="AE355" s="16"/>
      <c r="AF355" s="14"/>
      <c r="AG355" s="14"/>
      <c r="AH355" s="14">
        <f>IF(AND(V355=1,COUNTIFS(Valores!$S$10:$S$509,"="&amp;SUBSTITUTE(SUBSTITUTE(SUBSTITUTE("P:"&amp;A355,"~","~~"),"*","~*"),"?","~?"))=1),(IF(ISNA(MATCH(SUBSTITUTE(SUBSTITUTE(SUBSTITUTE("P:"&amp;A355,"~","~~"),"*","~*"),"?","~?"),Valores!$S$10:$S$509,0)),9,INDEX(Valores!$R$10:$R$509,MATCH(SUBSTITUTE(SUBSTITUTE(SUBSTITUTE("P:"&amp;A355,"~","~~"),"*","~*"),"?","~?"),Valores!$S$10:$S$509,0)))-9),0)</f>
        <v>0</v>
      </c>
      <c r="AI355" s="40" t="str">
        <f t="shared" si="48"/>
        <v/>
      </c>
      <c r="AJ355" s="14" t="str">
        <f>IF(AND(X355=1,Y355=1),COUNTIFS($X$10:X355,1,$Y$10:Y355,1),"")</f>
        <v/>
      </c>
      <c r="AK355" s="14" t="str">
        <f>IF(X355=1,COUNTIFS($X$10:X355,1),"")</f>
        <v/>
      </c>
      <c r="AL355" s="14">
        <f>IF(AND(V355=1,AND(OR(Painel!$L$6="Todas",E355=Painel!$L$6),OR(Painel!$C$8="Todos",F355=Painel!$C$8),OR(Painel!$L$8="Todos",G355=Painel!$L$8),OR(Painel!$C$10="",ISNUMBER(SEARCH(SUBSTITUTE(SUBSTITUTE(SUBSTITUTE(Painel!$C$10,"~","~~"),"*","~*"),"?","~?"),A355&amp;" "&amp;H355&amp;" "&amp;I355))))),1,0)</f>
        <v>0</v>
      </c>
      <c r="AM355" s="14">
        <f t="shared" si="49"/>
        <v>0</v>
      </c>
      <c r="AN355" s="14"/>
      <c r="AO355" s="14"/>
      <c r="AP355" s="16" t="str">
        <f>IF(AB355=0,"",IF(INDEX(Andamentos!$B$10:$B$2009,AB355)="","",INDEX(Andamentos!$B$10:$B$2009,AB355)))</f>
        <v/>
      </c>
      <c r="AQ355" s="17" t="str">
        <f>IF(AH355=0,"",IF(INDEX(Valores!$B$10:$B$509,AH355)="","",IF(ISNUMBER(INDEX(Valores!$B$10:$B$509,AH355)),INDEX(Valores!$B$10:$B$509,AH355),"")))</f>
        <v/>
      </c>
      <c r="AR355" s="14" t="str">
        <f t="shared" si="50"/>
        <v/>
      </c>
      <c r="AS355" s="14" t="str">
        <f t="shared" si="51"/>
        <v/>
      </c>
      <c r="AT355" s="27"/>
      <c r="AU355" s="31"/>
      <c r="AV355" s="31"/>
      <c r="AW355" s="27"/>
      <c r="AX355" s="27"/>
      <c r="AY355" s="27"/>
      <c r="AZ355" s="27"/>
      <c r="BA355" s="30" t="str">
        <f t="shared" si="52"/>
        <v/>
      </c>
      <c r="BB355" s="30" t="str">
        <f t="shared" si="53"/>
        <v/>
      </c>
      <c r="BC355" s="30">
        <f>IF(X355=0,0,IF(COUNTIFS($X$10:X355,1,$BA$10:BA355,BA355)=1,1,0))</f>
        <v>0</v>
      </c>
      <c r="BD355" s="29"/>
    </row>
    <row r="356" spans="1:56" ht="42" customHeight="1">
      <c r="A356" s="41"/>
      <c r="B356" s="44"/>
      <c r="C356" s="44"/>
      <c r="D356" s="44"/>
      <c r="E356" s="44"/>
      <c r="F356" s="44"/>
      <c r="G356" s="44"/>
      <c r="H356" s="44"/>
      <c r="I356" s="44"/>
      <c r="J356" s="44"/>
      <c r="K356" s="44"/>
      <c r="L356" s="49"/>
      <c r="M356" s="48"/>
      <c r="N356" s="48"/>
      <c r="O356" s="48"/>
      <c r="P356" s="48"/>
      <c r="Q356" s="48"/>
      <c r="R356" s="48"/>
      <c r="S356" s="49"/>
      <c r="T356" s="48"/>
      <c r="U356" s="48"/>
      <c r="V356" s="14">
        <f t="shared" si="45"/>
        <v>0</v>
      </c>
      <c r="W356" s="14">
        <f t="shared" si="46"/>
        <v>0</v>
      </c>
      <c r="X356" s="14">
        <f>IF(AND(V356=1,OR(Painel!$C$6="Todos",D356=Painel!$C$6),AND(OR(Painel!$L$6="Todas",E356=Painel!$L$6),OR(Painel!$C$8="Todos",F356=Painel!$C$8),OR(Painel!$L$8="Todos",G356=Painel!$L$8),OR(Painel!$C$10="",ISNUMBER(SEARCH(SUBSTITUTE(SUBSTITUTE(SUBSTITUTE(Painel!$C$10,"~","~~"),"*","~*"),"?","~?"),A356&amp;" "&amp;H356&amp;" "&amp;I356))))),1,0)</f>
        <v>0</v>
      </c>
      <c r="Y356" s="14">
        <f t="shared" si="47"/>
        <v>0</v>
      </c>
      <c r="Z356" s="15" t="str">
        <f>IF(V356=0,"",IF(COUNTIFS(Andamentos!$K$10:$K$2009,"="&amp;SUBSTITUTE(SUBSTITUTE(SUBSTITUTE("P:"&amp;A356,"~","~~"),"*","~*"),"?","~?"),Andamentos!$G$10:$G$2009,1)=0,"",_xlfn.AGGREGATE(14,6,Andamentos!$D$10:$D$2009/((Andamentos!$K$10:$K$2009=AS356)*(Andamentos!$G$10:$G$2009=1)),1)))</f>
        <v/>
      </c>
      <c r="AA356" s="14">
        <f>IF(Z356="",0,COUNTIFS(Andamentos!$K$10:$K$2009,"="&amp;SUBSTITUTE(SUBSTITUTE(SUBSTITUTE("P:"&amp;A356,"~","~~"),"*","~*"),"?","~?"),Andamentos!$D$10:$D$2009,Z356,Andamentos!$G$10:$G$2009,1))</f>
        <v>0</v>
      </c>
      <c r="AB356" s="14">
        <f>IF(AA356=1,SUMIFS(Andamentos!$L$10:$L$2009,Andamentos!$K$10:$K$2009,"="&amp;SUBSTITUTE(SUBSTITUTE(SUBSTITUTE(AS356,"~","~~"),"*","~*"),"?","~?"),Andamentos!$D$10:$D$2009,Z356,Andamentos!$G$10:$G$2009,1)-9,0)</f>
        <v>0</v>
      </c>
      <c r="AC356" s="14" t="str">
        <f>IF(V356=0,"",IF(AA356&gt;1,"Conferir recebimentos empatados",IF(AB356=0,"Sem atualização",INDEX(Andamentos!$C$10:$C$2009,AB356))))</f>
        <v/>
      </c>
      <c r="AD356" s="14">
        <f>IF(W356=0,0,IF(MAX(Z356,BD356)=0,1,IF(Configurar!$J$12-INT(MAX(Z356,BD356))&gt;Configurar!$J$11,1,0)))</f>
        <v>0</v>
      </c>
      <c r="AE356" s="16"/>
      <c r="AF356" s="14"/>
      <c r="AG356" s="14"/>
      <c r="AH356" s="14">
        <f>IF(AND(V356=1,COUNTIFS(Valores!$S$10:$S$509,"="&amp;SUBSTITUTE(SUBSTITUTE(SUBSTITUTE("P:"&amp;A356,"~","~~"),"*","~*"),"?","~?"))=1),(IF(ISNA(MATCH(SUBSTITUTE(SUBSTITUTE(SUBSTITUTE("P:"&amp;A356,"~","~~"),"*","~*"),"?","~?"),Valores!$S$10:$S$509,0)),9,INDEX(Valores!$R$10:$R$509,MATCH(SUBSTITUTE(SUBSTITUTE(SUBSTITUTE("P:"&amp;A356,"~","~~"),"*","~*"),"?","~?"),Valores!$S$10:$S$509,0)))-9),0)</f>
        <v>0</v>
      </c>
      <c r="AI356" s="40" t="str">
        <f t="shared" si="48"/>
        <v/>
      </c>
      <c r="AJ356" s="14" t="str">
        <f>IF(AND(X356=1,Y356=1),COUNTIFS($X$10:X356,1,$Y$10:Y356,1),"")</f>
        <v/>
      </c>
      <c r="AK356" s="14" t="str">
        <f>IF(X356=1,COUNTIFS($X$10:X356,1),"")</f>
        <v/>
      </c>
      <c r="AL356" s="14">
        <f>IF(AND(V356=1,AND(OR(Painel!$L$6="Todas",E356=Painel!$L$6),OR(Painel!$C$8="Todos",F356=Painel!$C$8),OR(Painel!$L$8="Todos",G356=Painel!$L$8),OR(Painel!$C$10="",ISNUMBER(SEARCH(SUBSTITUTE(SUBSTITUTE(SUBSTITUTE(Painel!$C$10,"~","~~"),"*","~*"),"?","~?"),A356&amp;" "&amp;H356&amp;" "&amp;I356))))),1,0)</f>
        <v>0</v>
      </c>
      <c r="AM356" s="14">
        <f t="shared" si="49"/>
        <v>0</v>
      </c>
      <c r="AN356" s="14"/>
      <c r="AO356" s="14"/>
      <c r="AP356" s="16" t="str">
        <f>IF(AB356=0,"",IF(INDEX(Andamentos!$B$10:$B$2009,AB356)="","",INDEX(Andamentos!$B$10:$B$2009,AB356)))</f>
        <v/>
      </c>
      <c r="AQ356" s="17" t="str">
        <f>IF(AH356=0,"",IF(INDEX(Valores!$B$10:$B$509,AH356)="","",IF(ISNUMBER(INDEX(Valores!$B$10:$B$509,AH356)),INDEX(Valores!$B$10:$B$509,AH356),"")))</f>
        <v/>
      </c>
      <c r="AR356" s="14" t="str">
        <f t="shared" si="50"/>
        <v/>
      </c>
      <c r="AS356" s="14" t="str">
        <f t="shared" si="51"/>
        <v/>
      </c>
      <c r="AT356" s="27"/>
      <c r="AU356" s="31"/>
      <c r="AV356" s="31"/>
      <c r="AW356" s="27"/>
      <c r="AX356" s="27"/>
      <c r="AY356" s="27"/>
      <c r="AZ356" s="27"/>
      <c r="BA356" s="30" t="str">
        <f t="shared" si="52"/>
        <v/>
      </c>
      <c r="BB356" s="30" t="str">
        <f t="shared" si="53"/>
        <v/>
      </c>
      <c r="BC356" s="30">
        <f>IF(X356=0,0,IF(COUNTIFS($X$10:X356,1,$BA$10:BA356,BA356)=1,1,0))</f>
        <v>0</v>
      </c>
      <c r="BD356" s="29"/>
    </row>
    <row r="357" spans="1:56" ht="42" customHeight="1">
      <c r="A357" s="41"/>
      <c r="B357" s="44"/>
      <c r="C357" s="44"/>
      <c r="D357" s="44"/>
      <c r="E357" s="44"/>
      <c r="F357" s="44"/>
      <c r="G357" s="44"/>
      <c r="H357" s="44"/>
      <c r="I357" s="44"/>
      <c r="J357" s="44"/>
      <c r="K357" s="44"/>
      <c r="L357" s="49"/>
      <c r="M357" s="48"/>
      <c r="N357" s="48"/>
      <c r="O357" s="48"/>
      <c r="P357" s="48"/>
      <c r="Q357" s="48"/>
      <c r="R357" s="48"/>
      <c r="S357" s="49"/>
      <c r="T357" s="48"/>
      <c r="U357" s="48"/>
      <c r="V357" s="14">
        <f t="shared" si="45"/>
        <v>0</v>
      </c>
      <c r="W357" s="14">
        <f t="shared" si="46"/>
        <v>0</v>
      </c>
      <c r="X357" s="14">
        <f>IF(AND(V357=1,OR(Painel!$C$6="Todos",D357=Painel!$C$6),AND(OR(Painel!$L$6="Todas",E357=Painel!$L$6),OR(Painel!$C$8="Todos",F357=Painel!$C$8),OR(Painel!$L$8="Todos",G357=Painel!$L$8),OR(Painel!$C$10="",ISNUMBER(SEARCH(SUBSTITUTE(SUBSTITUTE(SUBSTITUTE(Painel!$C$10,"~","~~"),"*","~*"),"?","~?"),A357&amp;" "&amp;H357&amp;" "&amp;I357))))),1,0)</f>
        <v>0</v>
      </c>
      <c r="Y357" s="14">
        <f t="shared" si="47"/>
        <v>0</v>
      </c>
      <c r="Z357" s="15" t="str">
        <f>IF(V357=0,"",IF(COUNTIFS(Andamentos!$K$10:$K$2009,"="&amp;SUBSTITUTE(SUBSTITUTE(SUBSTITUTE("P:"&amp;A357,"~","~~"),"*","~*"),"?","~?"),Andamentos!$G$10:$G$2009,1)=0,"",_xlfn.AGGREGATE(14,6,Andamentos!$D$10:$D$2009/((Andamentos!$K$10:$K$2009=AS357)*(Andamentos!$G$10:$G$2009=1)),1)))</f>
        <v/>
      </c>
      <c r="AA357" s="14">
        <f>IF(Z357="",0,COUNTIFS(Andamentos!$K$10:$K$2009,"="&amp;SUBSTITUTE(SUBSTITUTE(SUBSTITUTE("P:"&amp;A357,"~","~~"),"*","~*"),"?","~?"),Andamentos!$D$10:$D$2009,Z357,Andamentos!$G$10:$G$2009,1))</f>
        <v>0</v>
      </c>
      <c r="AB357" s="14">
        <f>IF(AA357=1,SUMIFS(Andamentos!$L$10:$L$2009,Andamentos!$K$10:$K$2009,"="&amp;SUBSTITUTE(SUBSTITUTE(SUBSTITUTE(AS357,"~","~~"),"*","~*"),"?","~?"),Andamentos!$D$10:$D$2009,Z357,Andamentos!$G$10:$G$2009,1)-9,0)</f>
        <v>0</v>
      </c>
      <c r="AC357" s="14" t="str">
        <f>IF(V357=0,"",IF(AA357&gt;1,"Conferir recebimentos empatados",IF(AB357=0,"Sem atualização",INDEX(Andamentos!$C$10:$C$2009,AB357))))</f>
        <v/>
      </c>
      <c r="AD357" s="14">
        <f>IF(W357=0,0,IF(MAX(Z357,BD357)=0,1,IF(Configurar!$J$12-INT(MAX(Z357,BD357))&gt;Configurar!$J$11,1,0)))</f>
        <v>0</v>
      </c>
      <c r="AE357" s="16"/>
      <c r="AF357" s="14"/>
      <c r="AG357" s="14"/>
      <c r="AH357" s="14">
        <f>IF(AND(V357=1,COUNTIFS(Valores!$S$10:$S$509,"="&amp;SUBSTITUTE(SUBSTITUTE(SUBSTITUTE("P:"&amp;A357,"~","~~"),"*","~*"),"?","~?"))=1),(IF(ISNA(MATCH(SUBSTITUTE(SUBSTITUTE(SUBSTITUTE("P:"&amp;A357,"~","~~"),"*","~*"),"?","~?"),Valores!$S$10:$S$509,0)),9,INDEX(Valores!$R$10:$R$509,MATCH(SUBSTITUTE(SUBSTITUTE(SUBSTITUTE("P:"&amp;A357,"~","~~"),"*","~*"),"?","~?"),Valores!$S$10:$S$509,0)))-9),0)</f>
        <v>0</v>
      </c>
      <c r="AI357" s="40" t="str">
        <f t="shared" si="48"/>
        <v/>
      </c>
      <c r="AJ357" s="14" t="str">
        <f>IF(AND(X357=1,Y357=1),COUNTIFS($X$10:X357,1,$Y$10:Y357,1),"")</f>
        <v/>
      </c>
      <c r="AK357" s="14" t="str">
        <f>IF(X357=1,COUNTIFS($X$10:X357,1),"")</f>
        <v/>
      </c>
      <c r="AL357" s="14">
        <f>IF(AND(V357=1,AND(OR(Painel!$L$6="Todas",E357=Painel!$L$6),OR(Painel!$C$8="Todos",F357=Painel!$C$8),OR(Painel!$L$8="Todos",G357=Painel!$L$8),OR(Painel!$C$10="",ISNUMBER(SEARCH(SUBSTITUTE(SUBSTITUTE(SUBSTITUTE(Painel!$C$10,"~","~~"),"*","~*"),"?","~?"),A357&amp;" "&amp;H357&amp;" "&amp;I357))))),1,0)</f>
        <v>0</v>
      </c>
      <c r="AM357" s="14">
        <f t="shared" si="49"/>
        <v>0</v>
      </c>
      <c r="AN357" s="14"/>
      <c r="AO357" s="14"/>
      <c r="AP357" s="16" t="str">
        <f>IF(AB357=0,"",IF(INDEX(Andamentos!$B$10:$B$2009,AB357)="","",INDEX(Andamentos!$B$10:$B$2009,AB357)))</f>
        <v/>
      </c>
      <c r="AQ357" s="17" t="str">
        <f>IF(AH357=0,"",IF(INDEX(Valores!$B$10:$B$509,AH357)="","",IF(ISNUMBER(INDEX(Valores!$B$10:$B$509,AH357)),INDEX(Valores!$B$10:$B$509,AH357),"")))</f>
        <v/>
      </c>
      <c r="AR357" s="14" t="str">
        <f t="shared" si="50"/>
        <v/>
      </c>
      <c r="AS357" s="14" t="str">
        <f t="shared" si="51"/>
        <v/>
      </c>
      <c r="AT357" s="27"/>
      <c r="AU357" s="31"/>
      <c r="AV357" s="31"/>
      <c r="AW357" s="27"/>
      <c r="AX357" s="27"/>
      <c r="AY357" s="27"/>
      <c r="AZ357" s="27"/>
      <c r="BA357" s="30" t="str">
        <f t="shared" si="52"/>
        <v/>
      </c>
      <c r="BB357" s="30" t="str">
        <f t="shared" si="53"/>
        <v/>
      </c>
      <c r="BC357" s="30">
        <f>IF(X357=0,0,IF(COUNTIFS($X$10:X357,1,$BA$10:BA357,BA357)=1,1,0))</f>
        <v>0</v>
      </c>
      <c r="BD357" s="29"/>
    </row>
    <row r="358" spans="1:56" ht="42" customHeight="1">
      <c r="A358" s="41"/>
      <c r="B358" s="44"/>
      <c r="C358" s="44"/>
      <c r="D358" s="44"/>
      <c r="E358" s="44"/>
      <c r="F358" s="44"/>
      <c r="G358" s="44"/>
      <c r="H358" s="44"/>
      <c r="I358" s="44"/>
      <c r="J358" s="44"/>
      <c r="K358" s="44"/>
      <c r="L358" s="49"/>
      <c r="M358" s="48"/>
      <c r="N358" s="48"/>
      <c r="O358" s="48"/>
      <c r="P358" s="48"/>
      <c r="Q358" s="48"/>
      <c r="R358" s="48"/>
      <c r="S358" s="49"/>
      <c r="T358" s="48"/>
      <c r="U358" s="48"/>
      <c r="V358" s="14">
        <f t="shared" si="45"/>
        <v>0</v>
      </c>
      <c r="W358" s="14">
        <f t="shared" si="46"/>
        <v>0</v>
      </c>
      <c r="X358" s="14">
        <f>IF(AND(V358=1,OR(Painel!$C$6="Todos",D358=Painel!$C$6),AND(OR(Painel!$L$6="Todas",E358=Painel!$L$6),OR(Painel!$C$8="Todos",F358=Painel!$C$8),OR(Painel!$L$8="Todos",G358=Painel!$L$8),OR(Painel!$C$10="",ISNUMBER(SEARCH(SUBSTITUTE(SUBSTITUTE(SUBSTITUTE(Painel!$C$10,"~","~~"),"*","~*"),"?","~?"),A358&amp;" "&amp;H358&amp;" "&amp;I358))))),1,0)</f>
        <v>0</v>
      </c>
      <c r="Y358" s="14">
        <f t="shared" si="47"/>
        <v>0</v>
      </c>
      <c r="Z358" s="15" t="str">
        <f>IF(V358=0,"",IF(COUNTIFS(Andamentos!$K$10:$K$2009,"="&amp;SUBSTITUTE(SUBSTITUTE(SUBSTITUTE("P:"&amp;A358,"~","~~"),"*","~*"),"?","~?"),Andamentos!$G$10:$G$2009,1)=0,"",_xlfn.AGGREGATE(14,6,Andamentos!$D$10:$D$2009/((Andamentos!$K$10:$K$2009=AS358)*(Andamentos!$G$10:$G$2009=1)),1)))</f>
        <v/>
      </c>
      <c r="AA358" s="14">
        <f>IF(Z358="",0,COUNTIFS(Andamentos!$K$10:$K$2009,"="&amp;SUBSTITUTE(SUBSTITUTE(SUBSTITUTE("P:"&amp;A358,"~","~~"),"*","~*"),"?","~?"),Andamentos!$D$10:$D$2009,Z358,Andamentos!$G$10:$G$2009,1))</f>
        <v>0</v>
      </c>
      <c r="AB358" s="14">
        <f>IF(AA358=1,SUMIFS(Andamentos!$L$10:$L$2009,Andamentos!$K$10:$K$2009,"="&amp;SUBSTITUTE(SUBSTITUTE(SUBSTITUTE(AS358,"~","~~"),"*","~*"),"?","~?"),Andamentos!$D$10:$D$2009,Z358,Andamentos!$G$10:$G$2009,1)-9,0)</f>
        <v>0</v>
      </c>
      <c r="AC358" s="14" t="str">
        <f>IF(V358=0,"",IF(AA358&gt;1,"Conferir recebimentos empatados",IF(AB358=0,"Sem atualização",INDEX(Andamentos!$C$10:$C$2009,AB358))))</f>
        <v/>
      </c>
      <c r="AD358" s="14">
        <f>IF(W358=0,0,IF(MAX(Z358,BD358)=0,1,IF(Configurar!$J$12-INT(MAX(Z358,BD358))&gt;Configurar!$J$11,1,0)))</f>
        <v>0</v>
      </c>
      <c r="AE358" s="16"/>
      <c r="AF358" s="14"/>
      <c r="AG358" s="14"/>
      <c r="AH358" s="14">
        <f>IF(AND(V358=1,COUNTIFS(Valores!$S$10:$S$509,"="&amp;SUBSTITUTE(SUBSTITUTE(SUBSTITUTE("P:"&amp;A358,"~","~~"),"*","~*"),"?","~?"))=1),(IF(ISNA(MATCH(SUBSTITUTE(SUBSTITUTE(SUBSTITUTE("P:"&amp;A358,"~","~~"),"*","~*"),"?","~?"),Valores!$S$10:$S$509,0)),9,INDEX(Valores!$R$10:$R$509,MATCH(SUBSTITUTE(SUBSTITUTE(SUBSTITUTE("P:"&amp;A358,"~","~~"),"*","~*"),"?","~?"),Valores!$S$10:$S$509,0)))-9),0)</f>
        <v>0</v>
      </c>
      <c r="AI358" s="40" t="str">
        <f t="shared" si="48"/>
        <v/>
      </c>
      <c r="AJ358" s="14" t="str">
        <f>IF(AND(X358=1,Y358=1),COUNTIFS($X$10:X358,1,$Y$10:Y358,1),"")</f>
        <v/>
      </c>
      <c r="AK358" s="14" t="str">
        <f>IF(X358=1,COUNTIFS($X$10:X358,1),"")</f>
        <v/>
      </c>
      <c r="AL358" s="14">
        <f>IF(AND(V358=1,AND(OR(Painel!$L$6="Todas",E358=Painel!$L$6),OR(Painel!$C$8="Todos",F358=Painel!$C$8),OR(Painel!$L$8="Todos",G358=Painel!$L$8),OR(Painel!$C$10="",ISNUMBER(SEARCH(SUBSTITUTE(SUBSTITUTE(SUBSTITUTE(Painel!$C$10,"~","~~"),"*","~*"),"?","~?"),A358&amp;" "&amp;H358&amp;" "&amp;I358))))),1,0)</f>
        <v>0</v>
      </c>
      <c r="AM358" s="14">
        <f t="shared" si="49"/>
        <v>0</v>
      </c>
      <c r="AN358" s="14"/>
      <c r="AO358" s="14"/>
      <c r="AP358" s="16" t="str">
        <f>IF(AB358=0,"",IF(INDEX(Andamentos!$B$10:$B$2009,AB358)="","",INDEX(Andamentos!$B$10:$B$2009,AB358)))</f>
        <v/>
      </c>
      <c r="AQ358" s="17" t="str">
        <f>IF(AH358=0,"",IF(INDEX(Valores!$B$10:$B$509,AH358)="","",IF(ISNUMBER(INDEX(Valores!$B$10:$B$509,AH358)),INDEX(Valores!$B$10:$B$509,AH358),"")))</f>
        <v/>
      </c>
      <c r="AR358" s="14" t="str">
        <f t="shared" si="50"/>
        <v/>
      </c>
      <c r="AS358" s="14" t="str">
        <f t="shared" si="51"/>
        <v/>
      </c>
      <c r="AT358" s="27"/>
      <c r="AU358" s="31"/>
      <c r="AV358" s="31"/>
      <c r="AW358" s="27"/>
      <c r="AX358" s="27"/>
      <c r="AY358" s="27"/>
      <c r="AZ358" s="27"/>
      <c r="BA358" s="30" t="str">
        <f t="shared" si="52"/>
        <v/>
      </c>
      <c r="BB358" s="30" t="str">
        <f t="shared" si="53"/>
        <v/>
      </c>
      <c r="BC358" s="30">
        <f>IF(X358=0,0,IF(COUNTIFS($X$10:X358,1,$BA$10:BA358,BA358)=1,1,0))</f>
        <v>0</v>
      </c>
      <c r="BD358" s="29"/>
    </row>
    <row r="359" spans="1:56" ht="42" customHeight="1">
      <c r="A359" s="41"/>
      <c r="B359" s="44"/>
      <c r="C359" s="44"/>
      <c r="D359" s="44"/>
      <c r="E359" s="44"/>
      <c r="F359" s="44"/>
      <c r="G359" s="44"/>
      <c r="H359" s="44"/>
      <c r="I359" s="44"/>
      <c r="J359" s="44"/>
      <c r="K359" s="44"/>
      <c r="L359" s="49"/>
      <c r="M359" s="48"/>
      <c r="N359" s="48"/>
      <c r="O359" s="48"/>
      <c r="P359" s="48"/>
      <c r="Q359" s="48"/>
      <c r="R359" s="48"/>
      <c r="S359" s="49"/>
      <c r="T359" s="48"/>
      <c r="U359" s="48"/>
      <c r="V359" s="14">
        <f t="shared" si="45"/>
        <v>0</v>
      </c>
      <c r="W359" s="14">
        <f t="shared" si="46"/>
        <v>0</v>
      </c>
      <c r="X359" s="14">
        <f>IF(AND(V359=1,OR(Painel!$C$6="Todos",D359=Painel!$C$6),AND(OR(Painel!$L$6="Todas",E359=Painel!$L$6),OR(Painel!$C$8="Todos",F359=Painel!$C$8),OR(Painel!$L$8="Todos",G359=Painel!$L$8),OR(Painel!$C$10="",ISNUMBER(SEARCH(SUBSTITUTE(SUBSTITUTE(SUBSTITUTE(Painel!$C$10,"~","~~"),"*","~*"),"?","~?"),A359&amp;" "&amp;H359&amp;" "&amp;I359))))),1,0)</f>
        <v>0</v>
      </c>
      <c r="Y359" s="14">
        <f t="shared" si="47"/>
        <v>0</v>
      </c>
      <c r="Z359" s="15" t="str">
        <f>IF(V359=0,"",IF(COUNTIFS(Andamentos!$K$10:$K$2009,"="&amp;SUBSTITUTE(SUBSTITUTE(SUBSTITUTE("P:"&amp;A359,"~","~~"),"*","~*"),"?","~?"),Andamentos!$G$10:$G$2009,1)=0,"",_xlfn.AGGREGATE(14,6,Andamentos!$D$10:$D$2009/((Andamentos!$K$10:$K$2009=AS359)*(Andamentos!$G$10:$G$2009=1)),1)))</f>
        <v/>
      </c>
      <c r="AA359" s="14">
        <f>IF(Z359="",0,COUNTIFS(Andamentos!$K$10:$K$2009,"="&amp;SUBSTITUTE(SUBSTITUTE(SUBSTITUTE("P:"&amp;A359,"~","~~"),"*","~*"),"?","~?"),Andamentos!$D$10:$D$2009,Z359,Andamentos!$G$10:$G$2009,1))</f>
        <v>0</v>
      </c>
      <c r="AB359" s="14">
        <f>IF(AA359=1,SUMIFS(Andamentos!$L$10:$L$2009,Andamentos!$K$10:$K$2009,"="&amp;SUBSTITUTE(SUBSTITUTE(SUBSTITUTE(AS359,"~","~~"),"*","~*"),"?","~?"),Andamentos!$D$10:$D$2009,Z359,Andamentos!$G$10:$G$2009,1)-9,0)</f>
        <v>0</v>
      </c>
      <c r="AC359" s="14" t="str">
        <f>IF(V359=0,"",IF(AA359&gt;1,"Conferir recebimentos empatados",IF(AB359=0,"Sem atualização",INDEX(Andamentos!$C$10:$C$2009,AB359))))</f>
        <v/>
      </c>
      <c r="AD359" s="14">
        <f>IF(W359=0,0,IF(MAX(Z359,BD359)=0,1,IF(Configurar!$J$12-INT(MAX(Z359,BD359))&gt;Configurar!$J$11,1,0)))</f>
        <v>0</v>
      </c>
      <c r="AE359" s="16"/>
      <c r="AF359" s="14"/>
      <c r="AG359" s="14"/>
      <c r="AH359" s="14">
        <f>IF(AND(V359=1,COUNTIFS(Valores!$S$10:$S$509,"="&amp;SUBSTITUTE(SUBSTITUTE(SUBSTITUTE("P:"&amp;A359,"~","~~"),"*","~*"),"?","~?"))=1),(IF(ISNA(MATCH(SUBSTITUTE(SUBSTITUTE(SUBSTITUTE("P:"&amp;A359,"~","~~"),"*","~*"),"?","~?"),Valores!$S$10:$S$509,0)),9,INDEX(Valores!$R$10:$R$509,MATCH(SUBSTITUTE(SUBSTITUTE(SUBSTITUTE("P:"&amp;A359,"~","~~"),"*","~*"),"?","~?"),Valores!$S$10:$S$509,0)))-9),0)</f>
        <v>0</v>
      </c>
      <c r="AI359" s="40" t="str">
        <f t="shared" si="48"/>
        <v/>
      </c>
      <c r="AJ359" s="14" t="str">
        <f>IF(AND(X359=1,Y359=1),COUNTIFS($X$10:X359,1,$Y$10:Y359,1),"")</f>
        <v/>
      </c>
      <c r="AK359" s="14" t="str">
        <f>IF(X359=1,COUNTIFS($X$10:X359,1),"")</f>
        <v/>
      </c>
      <c r="AL359" s="14">
        <f>IF(AND(V359=1,AND(OR(Painel!$L$6="Todas",E359=Painel!$L$6),OR(Painel!$C$8="Todos",F359=Painel!$C$8),OR(Painel!$L$8="Todos",G359=Painel!$L$8),OR(Painel!$C$10="",ISNUMBER(SEARCH(SUBSTITUTE(SUBSTITUTE(SUBSTITUTE(Painel!$C$10,"~","~~"),"*","~*"),"?","~?"),A359&amp;" "&amp;H359&amp;" "&amp;I359))))),1,0)</f>
        <v>0</v>
      </c>
      <c r="AM359" s="14">
        <f t="shared" si="49"/>
        <v>0</v>
      </c>
      <c r="AN359" s="14"/>
      <c r="AO359" s="14"/>
      <c r="AP359" s="16" t="str">
        <f>IF(AB359=0,"",IF(INDEX(Andamentos!$B$10:$B$2009,AB359)="","",INDEX(Andamentos!$B$10:$B$2009,AB359)))</f>
        <v/>
      </c>
      <c r="AQ359" s="17" t="str">
        <f>IF(AH359=0,"",IF(INDEX(Valores!$B$10:$B$509,AH359)="","",IF(ISNUMBER(INDEX(Valores!$B$10:$B$509,AH359)),INDEX(Valores!$B$10:$B$509,AH359),"")))</f>
        <v/>
      </c>
      <c r="AR359" s="14" t="str">
        <f t="shared" si="50"/>
        <v/>
      </c>
      <c r="AS359" s="14" t="str">
        <f t="shared" si="51"/>
        <v/>
      </c>
      <c r="AT359" s="27"/>
      <c r="AU359" s="31"/>
      <c r="AV359" s="31"/>
      <c r="AW359" s="27"/>
      <c r="AX359" s="27"/>
      <c r="AY359" s="27"/>
      <c r="AZ359" s="27"/>
      <c r="BA359" s="30" t="str">
        <f t="shared" si="52"/>
        <v/>
      </c>
      <c r="BB359" s="30" t="str">
        <f t="shared" si="53"/>
        <v/>
      </c>
      <c r="BC359" s="30">
        <f>IF(X359=0,0,IF(COUNTIFS($X$10:X359,1,$BA$10:BA359,BA359)=1,1,0))</f>
        <v>0</v>
      </c>
      <c r="BD359" s="29"/>
    </row>
    <row r="360" spans="1:56" ht="42" customHeight="1">
      <c r="A360" s="41"/>
      <c r="B360" s="44"/>
      <c r="C360" s="44"/>
      <c r="D360" s="44"/>
      <c r="E360" s="44"/>
      <c r="F360" s="44"/>
      <c r="G360" s="44"/>
      <c r="H360" s="44"/>
      <c r="I360" s="44"/>
      <c r="J360" s="44"/>
      <c r="K360" s="44"/>
      <c r="L360" s="49"/>
      <c r="M360" s="48"/>
      <c r="N360" s="48"/>
      <c r="O360" s="48"/>
      <c r="P360" s="48"/>
      <c r="Q360" s="48"/>
      <c r="R360" s="48"/>
      <c r="S360" s="49"/>
      <c r="T360" s="48"/>
      <c r="U360" s="48"/>
      <c r="V360" s="14">
        <f t="shared" si="45"/>
        <v>0</v>
      </c>
      <c r="W360" s="14">
        <f t="shared" si="46"/>
        <v>0</v>
      </c>
      <c r="X360" s="14">
        <f>IF(AND(V360=1,OR(Painel!$C$6="Todos",D360=Painel!$C$6),AND(OR(Painel!$L$6="Todas",E360=Painel!$L$6),OR(Painel!$C$8="Todos",F360=Painel!$C$8),OR(Painel!$L$8="Todos",G360=Painel!$L$8),OR(Painel!$C$10="",ISNUMBER(SEARCH(SUBSTITUTE(SUBSTITUTE(SUBSTITUTE(Painel!$C$10,"~","~~"),"*","~*"),"?","~?"),A360&amp;" "&amp;H360&amp;" "&amp;I360))))),1,0)</f>
        <v>0</v>
      </c>
      <c r="Y360" s="14">
        <f t="shared" si="47"/>
        <v>0</v>
      </c>
      <c r="Z360" s="15" t="str">
        <f>IF(V360=0,"",IF(COUNTIFS(Andamentos!$K$10:$K$2009,"="&amp;SUBSTITUTE(SUBSTITUTE(SUBSTITUTE("P:"&amp;A360,"~","~~"),"*","~*"),"?","~?"),Andamentos!$G$10:$G$2009,1)=0,"",_xlfn.AGGREGATE(14,6,Andamentos!$D$10:$D$2009/((Andamentos!$K$10:$K$2009=AS360)*(Andamentos!$G$10:$G$2009=1)),1)))</f>
        <v/>
      </c>
      <c r="AA360" s="14">
        <f>IF(Z360="",0,COUNTIFS(Andamentos!$K$10:$K$2009,"="&amp;SUBSTITUTE(SUBSTITUTE(SUBSTITUTE("P:"&amp;A360,"~","~~"),"*","~*"),"?","~?"),Andamentos!$D$10:$D$2009,Z360,Andamentos!$G$10:$G$2009,1))</f>
        <v>0</v>
      </c>
      <c r="AB360" s="14">
        <f>IF(AA360=1,SUMIFS(Andamentos!$L$10:$L$2009,Andamentos!$K$10:$K$2009,"="&amp;SUBSTITUTE(SUBSTITUTE(SUBSTITUTE(AS360,"~","~~"),"*","~*"),"?","~?"),Andamentos!$D$10:$D$2009,Z360,Andamentos!$G$10:$G$2009,1)-9,0)</f>
        <v>0</v>
      </c>
      <c r="AC360" s="14" t="str">
        <f>IF(V360=0,"",IF(AA360&gt;1,"Conferir recebimentos empatados",IF(AB360=0,"Sem atualização",INDEX(Andamentos!$C$10:$C$2009,AB360))))</f>
        <v/>
      </c>
      <c r="AD360" s="14">
        <f>IF(W360=0,0,IF(MAX(Z360,BD360)=0,1,IF(Configurar!$J$12-INT(MAX(Z360,BD360))&gt;Configurar!$J$11,1,0)))</f>
        <v>0</v>
      </c>
      <c r="AE360" s="16"/>
      <c r="AF360" s="14"/>
      <c r="AG360" s="14"/>
      <c r="AH360" s="14">
        <f>IF(AND(V360=1,COUNTIFS(Valores!$S$10:$S$509,"="&amp;SUBSTITUTE(SUBSTITUTE(SUBSTITUTE("P:"&amp;A360,"~","~~"),"*","~*"),"?","~?"))=1),(IF(ISNA(MATCH(SUBSTITUTE(SUBSTITUTE(SUBSTITUTE("P:"&amp;A360,"~","~~"),"*","~*"),"?","~?"),Valores!$S$10:$S$509,0)),9,INDEX(Valores!$R$10:$R$509,MATCH(SUBSTITUTE(SUBSTITUTE(SUBSTITUTE("P:"&amp;A360,"~","~~"),"*","~*"),"?","~?"),Valores!$S$10:$S$509,0)))-9),0)</f>
        <v>0</v>
      </c>
      <c r="AI360" s="40" t="str">
        <f t="shared" si="48"/>
        <v/>
      </c>
      <c r="AJ360" s="14" t="str">
        <f>IF(AND(X360=1,Y360=1),COUNTIFS($X$10:X360,1,$Y$10:Y360,1),"")</f>
        <v/>
      </c>
      <c r="AK360" s="14" t="str">
        <f>IF(X360=1,COUNTIFS($X$10:X360,1),"")</f>
        <v/>
      </c>
      <c r="AL360" s="14">
        <f>IF(AND(V360=1,AND(OR(Painel!$L$6="Todas",E360=Painel!$L$6),OR(Painel!$C$8="Todos",F360=Painel!$C$8),OR(Painel!$L$8="Todos",G360=Painel!$L$8),OR(Painel!$C$10="",ISNUMBER(SEARCH(SUBSTITUTE(SUBSTITUTE(SUBSTITUTE(Painel!$C$10,"~","~~"),"*","~*"),"?","~?"),A360&amp;" "&amp;H360&amp;" "&amp;I360))))),1,0)</f>
        <v>0</v>
      </c>
      <c r="AM360" s="14">
        <f t="shared" si="49"/>
        <v>0</v>
      </c>
      <c r="AN360" s="14"/>
      <c r="AO360" s="14"/>
      <c r="AP360" s="16" t="str">
        <f>IF(AB360=0,"",IF(INDEX(Andamentos!$B$10:$B$2009,AB360)="","",INDEX(Andamentos!$B$10:$B$2009,AB360)))</f>
        <v/>
      </c>
      <c r="AQ360" s="17" t="str">
        <f>IF(AH360=0,"",IF(INDEX(Valores!$B$10:$B$509,AH360)="","",IF(ISNUMBER(INDEX(Valores!$B$10:$B$509,AH360)),INDEX(Valores!$B$10:$B$509,AH360),"")))</f>
        <v/>
      </c>
      <c r="AR360" s="14" t="str">
        <f t="shared" si="50"/>
        <v/>
      </c>
      <c r="AS360" s="14" t="str">
        <f t="shared" si="51"/>
        <v/>
      </c>
      <c r="AT360" s="27"/>
      <c r="AU360" s="31"/>
      <c r="AV360" s="31"/>
      <c r="AW360" s="27"/>
      <c r="AX360" s="27"/>
      <c r="AY360" s="27"/>
      <c r="AZ360" s="27"/>
      <c r="BA360" s="30" t="str">
        <f t="shared" si="52"/>
        <v/>
      </c>
      <c r="BB360" s="30" t="str">
        <f t="shared" si="53"/>
        <v/>
      </c>
      <c r="BC360" s="30">
        <f>IF(X360=0,0,IF(COUNTIFS($X$10:X360,1,$BA$10:BA360,BA360)=1,1,0))</f>
        <v>0</v>
      </c>
      <c r="BD360" s="29"/>
    </row>
    <row r="361" spans="1:56" ht="42" customHeight="1">
      <c r="A361" s="41"/>
      <c r="B361" s="44"/>
      <c r="C361" s="44"/>
      <c r="D361" s="44"/>
      <c r="E361" s="44"/>
      <c r="F361" s="44"/>
      <c r="G361" s="44"/>
      <c r="H361" s="44"/>
      <c r="I361" s="44"/>
      <c r="J361" s="44"/>
      <c r="K361" s="44"/>
      <c r="L361" s="49"/>
      <c r="M361" s="48"/>
      <c r="N361" s="48"/>
      <c r="O361" s="48"/>
      <c r="P361" s="48"/>
      <c r="Q361" s="48"/>
      <c r="R361" s="48"/>
      <c r="S361" s="49"/>
      <c r="T361" s="48"/>
      <c r="U361" s="48"/>
      <c r="V361" s="14">
        <f t="shared" si="45"/>
        <v>0</v>
      </c>
      <c r="W361" s="14">
        <f t="shared" si="46"/>
        <v>0</v>
      </c>
      <c r="X361" s="14">
        <f>IF(AND(V361=1,OR(Painel!$C$6="Todos",D361=Painel!$C$6),AND(OR(Painel!$L$6="Todas",E361=Painel!$L$6),OR(Painel!$C$8="Todos",F361=Painel!$C$8),OR(Painel!$L$8="Todos",G361=Painel!$L$8),OR(Painel!$C$10="",ISNUMBER(SEARCH(SUBSTITUTE(SUBSTITUTE(SUBSTITUTE(Painel!$C$10,"~","~~"),"*","~*"),"?","~?"),A361&amp;" "&amp;H361&amp;" "&amp;I361))))),1,0)</f>
        <v>0</v>
      </c>
      <c r="Y361" s="14">
        <f t="shared" si="47"/>
        <v>0</v>
      </c>
      <c r="Z361" s="15" t="str">
        <f>IF(V361=0,"",IF(COUNTIFS(Andamentos!$K$10:$K$2009,"="&amp;SUBSTITUTE(SUBSTITUTE(SUBSTITUTE("P:"&amp;A361,"~","~~"),"*","~*"),"?","~?"),Andamentos!$G$10:$G$2009,1)=0,"",_xlfn.AGGREGATE(14,6,Andamentos!$D$10:$D$2009/((Andamentos!$K$10:$K$2009=AS361)*(Andamentos!$G$10:$G$2009=1)),1)))</f>
        <v/>
      </c>
      <c r="AA361" s="14">
        <f>IF(Z361="",0,COUNTIFS(Andamentos!$K$10:$K$2009,"="&amp;SUBSTITUTE(SUBSTITUTE(SUBSTITUTE("P:"&amp;A361,"~","~~"),"*","~*"),"?","~?"),Andamentos!$D$10:$D$2009,Z361,Andamentos!$G$10:$G$2009,1))</f>
        <v>0</v>
      </c>
      <c r="AB361" s="14">
        <f>IF(AA361=1,SUMIFS(Andamentos!$L$10:$L$2009,Andamentos!$K$10:$K$2009,"="&amp;SUBSTITUTE(SUBSTITUTE(SUBSTITUTE(AS361,"~","~~"),"*","~*"),"?","~?"),Andamentos!$D$10:$D$2009,Z361,Andamentos!$G$10:$G$2009,1)-9,0)</f>
        <v>0</v>
      </c>
      <c r="AC361" s="14" t="str">
        <f>IF(V361=0,"",IF(AA361&gt;1,"Conferir recebimentos empatados",IF(AB361=0,"Sem atualização",INDEX(Andamentos!$C$10:$C$2009,AB361))))</f>
        <v/>
      </c>
      <c r="AD361" s="14">
        <f>IF(W361=0,0,IF(MAX(Z361,BD361)=0,1,IF(Configurar!$J$12-INT(MAX(Z361,BD361))&gt;Configurar!$J$11,1,0)))</f>
        <v>0</v>
      </c>
      <c r="AE361" s="16"/>
      <c r="AF361" s="14"/>
      <c r="AG361" s="14"/>
      <c r="AH361" s="14">
        <f>IF(AND(V361=1,COUNTIFS(Valores!$S$10:$S$509,"="&amp;SUBSTITUTE(SUBSTITUTE(SUBSTITUTE("P:"&amp;A361,"~","~~"),"*","~*"),"?","~?"))=1),(IF(ISNA(MATCH(SUBSTITUTE(SUBSTITUTE(SUBSTITUTE("P:"&amp;A361,"~","~~"),"*","~*"),"?","~?"),Valores!$S$10:$S$509,0)),9,INDEX(Valores!$R$10:$R$509,MATCH(SUBSTITUTE(SUBSTITUTE(SUBSTITUTE("P:"&amp;A361,"~","~~"),"*","~*"),"?","~?"),Valores!$S$10:$S$509,0)))-9),0)</f>
        <v>0</v>
      </c>
      <c r="AI361" s="40" t="str">
        <f t="shared" si="48"/>
        <v/>
      </c>
      <c r="AJ361" s="14" t="str">
        <f>IF(AND(X361=1,Y361=1),COUNTIFS($X$10:X361,1,$Y$10:Y361,1),"")</f>
        <v/>
      </c>
      <c r="AK361" s="14" t="str">
        <f>IF(X361=1,COUNTIFS($X$10:X361,1),"")</f>
        <v/>
      </c>
      <c r="AL361" s="14">
        <f>IF(AND(V361=1,AND(OR(Painel!$L$6="Todas",E361=Painel!$L$6),OR(Painel!$C$8="Todos",F361=Painel!$C$8),OR(Painel!$L$8="Todos",G361=Painel!$L$8),OR(Painel!$C$10="",ISNUMBER(SEARCH(SUBSTITUTE(SUBSTITUTE(SUBSTITUTE(Painel!$C$10,"~","~~"),"*","~*"),"?","~?"),A361&amp;" "&amp;H361&amp;" "&amp;I361))))),1,0)</f>
        <v>0</v>
      </c>
      <c r="AM361" s="14">
        <f t="shared" si="49"/>
        <v>0</v>
      </c>
      <c r="AN361" s="14"/>
      <c r="AO361" s="14"/>
      <c r="AP361" s="16" t="str">
        <f>IF(AB361=0,"",IF(INDEX(Andamentos!$B$10:$B$2009,AB361)="","",INDEX(Andamentos!$B$10:$B$2009,AB361)))</f>
        <v/>
      </c>
      <c r="AQ361" s="17" t="str">
        <f>IF(AH361=0,"",IF(INDEX(Valores!$B$10:$B$509,AH361)="","",IF(ISNUMBER(INDEX(Valores!$B$10:$B$509,AH361)),INDEX(Valores!$B$10:$B$509,AH361),"")))</f>
        <v/>
      </c>
      <c r="AR361" s="14" t="str">
        <f t="shared" si="50"/>
        <v/>
      </c>
      <c r="AS361" s="14" t="str">
        <f t="shared" si="51"/>
        <v/>
      </c>
      <c r="AT361" s="27"/>
      <c r="AU361" s="31"/>
      <c r="AV361" s="31"/>
      <c r="AW361" s="27"/>
      <c r="AX361" s="27"/>
      <c r="AY361" s="27"/>
      <c r="AZ361" s="27"/>
      <c r="BA361" s="30" t="str">
        <f t="shared" si="52"/>
        <v/>
      </c>
      <c r="BB361" s="30" t="str">
        <f t="shared" si="53"/>
        <v/>
      </c>
      <c r="BC361" s="30">
        <f>IF(X361=0,0,IF(COUNTIFS($X$10:X361,1,$BA$10:BA361,BA361)=1,1,0))</f>
        <v>0</v>
      </c>
      <c r="BD361" s="29"/>
    </row>
    <row r="362" spans="1:56" ht="42" customHeight="1">
      <c r="A362" s="41"/>
      <c r="B362" s="44"/>
      <c r="C362" s="44"/>
      <c r="D362" s="44"/>
      <c r="E362" s="44"/>
      <c r="F362" s="44"/>
      <c r="G362" s="44"/>
      <c r="H362" s="44"/>
      <c r="I362" s="44"/>
      <c r="J362" s="44"/>
      <c r="K362" s="44"/>
      <c r="L362" s="49"/>
      <c r="M362" s="48"/>
      <c r="N362" s="48"/>
      <c r="O362" s="48"/>
      <c r="P362" s="48"/>
      <c r="Q362" s="48"/>
      <c r="R362" s="48"/>
      <c r="S362" s="49"/>
      <c r="T362" s="48"/>
      <c r="U362" s="48"/>
      <c r="V362" s="14">
        <f t="shared" si="45"/>
        <v>0</v>
      </c>
      <c r="W362" s="14">
        <f t="shared" si="46"/>
        <v>0</v>
      </c>
      <c r="X362" s="14">
        <f>IF(AND(V362=1,OR(Painel!$C$6="Todos",D362=Painel!$C$6),AND(OR(Painel!$L$6="Todas",E362=Painel!$L$6),OR(Painel!$C$8="Todos",F362=Painel!$C$8),OR(Painel!$L$8="Todos",G362=Painel!$L$8),OR(Painel!$C$10="",ISNUMBER(SEARCH(SUBSTITUTE(SUBSTITUTE(SUBSTITUTE(Painel!$C$10,"~","~~"),"*","~*"),"?","~?"),A362&amp;" "&amp;H362&amp;" "&amp;I362))))),1,0)</f>
        <v>0</v>
      </c>
      <c r="Y362" s="14">
        <f t="shared" si="47"/>
        <v>0</v>
      </c>
      <c r="Z362" s="15" t="str">
        <f>IF(V362=0,"",IF(COUNTIFS(Andamentos!$K$10:$K$2009,"="&amp;SUBSTITUTE(SUBSTITUTE(SUBSTITUTE("P:"&amp;A362,"~","~~"),"*","~*"),"?","~?"),Andamentos!$G$10:$G$2009,1)=0,"",_xlfn.AGGREGATE(14,6,Andamentos!$D$10:$D$2009/((Andamentos!$K$10:$K$2009=AS362)*(Andamentos!$G$10:$G$2009=1)),1)))</f>
        <v/>
      </c>
      <c r="AA362" s="14">
        <f>IF(Z362="",0,COUNTIFS(Andamentos!$K$10:$K$2009,"="&amp;SUBSTITUTE(SUBSTITUTE(SUBSTITUTE("P:"&amp;A362,"~","~~"),"*","~*"),"?","~?"),Andamentos!$D$10:$D$2009,Z362,Andamentos!$G$10:$G$2009,1))</f>
        <v>0</v>
      </c>
      <c r="AB362" s="14">
        <f>IF(AA362=1,SUMIFS(Andamentos!$L$10:$L$2009,Andamentos!$K$10:$K$2009,"="&amp;SUBSTITUTE(SUBSTITUTE(SUBSTITUTE(AS362,"~","~~"),"*","~*"),"?","~?"),Andamentos!$D$10:$D$2009,Z362,Andamentos!$G$10:$G$2009,1)-9,0)</f>
        <v>0</v>
      </c>
      <c r="AC362" s="14" t="str">
        <f>IF(V362=0,"",IF(AA362&gt;1,"Conferir recebimentos empatados",IF(AB362=0,"Sem atualização",INDEX(Andamentos!$C$10:$C$2009,AB362))))</f>
        <v/>
      </c>
      <c r="AD362" s="14">
        <f>IF(W362=0,0,IF(MAX(Z362,BD362)=0,1,IF(Configurar!$J$12-INT(MAX(Z362,BD362))&gt;Configurar!$J$11,1,0)))</f>
        <v>0</v>
      </c>
      <c r="AE362" s="16"/>
      <c r="AF362" s="14"/>
      <c r="AG362" s="14"/>
      <c r="AH362" s="14">
        <f>IF(AND(V362=1,COUNTIFS(Valores!$S$10:$S$509,"="&amp;SUBSTITUTE(SUBSTITUTE(SUBSTITUTE("P:"&amp;A362,"~","~~"),"*","~*"),"?","~?"))=1),(IF(ISNA(MATCH(SUBSTITUTE(SUBSTITUTE(SUBSTITUTE("P:"&amp;A362,"~","~~"),"*","~*"),"?","~?"),Valores!$S$10:$S$509,0)),9,INDEX(Valores!$R$10:$R$509,MATCH(SUBSTITUTE(SUBSTITUTE(SUBSTITUTE("P:"&amp;A362,"~","~~"),"*","~*"),"?","~?"),Valores!$S$10:$S$509,0)))-9),0)</f>
        <v>0</v>
      </c>
      <c r="AI362" s="40" t="str">
        <f t="shared" si="48"/>
        <v/>
      </c>
      <c r="AJ362" s="14" t="str">
        <f>IF(AND(X362=1,Y362=1),COUNTIFS($X$10:X362,1,$Y$10:Y362,1),"")</f>
        <v/>
      </c>
      <c r="AK362" s="14" t="str">
        <f>IF(X362=1,COUNTIFS($X$10:X362,1),"")</f>
        <v/>
      </c>
      <c r="AL362" s="14">
        <f>IF(AND(V362=1,AND(OR(Painel!$L$6="Todas",E362=Painel!$L$6),OR(Painel!$C$8="Todos",F362=Painel!$C$8),OR(Painel!$L$8="Todos",G362=Painel!$L$8),OR(Painel!$C$10="",ISNUMBER(SEARCH(SUBSTITUTE(SUBSTITUTE(SUBSTITUTE(Painel!$C$10,"~","~~"),"*","~*"),"?","~?"),A362&amp;" "&amp;H362&amp;" "&amp;I362))))),1,0)</f>
        <v>0</v>
      </c>
      <c r="AM362" s="14">
        <f t="shared" si="49"/>
        <v>0</v>
      </c>
      <c r="AN362" s="14"/>
      <c r="AO362" s="14"/>
      <c r="AP362" s="16" t="str">
        <f>IF(AB362=0,"",IF(INDEX(Andamentos!$B$10:$B$2009,AB362)="","",INDEX(Andamentos!$B$10:$B$2009,AB362)))</f>
        <v/>
      </c>
      <c r="AQ362" s="17" t="str">
        <f>IF(AH362=0,"",IF(INDEX(Valores!$B$10:$B$509,AH362)="","",IF(ISNUMBER(INDEX(Valores!$B$10:$B$509,AH362)),INDEX(Valores!$B$10:$B$509,AH362),"")))</f>
        <v/>
      </c>
      <c r="AR362" s="14" t="str">
        <f t="shared" si="50"/>
        <v/>
      </c>
      <c r="AS362" s="14" t="str">
        <f t="shared" si="51"/>
        <v/>
      </c>
      <c r="AT362" s="27"/>
      <c r="AU362" s="31"/>
      <c r="AV362" s="31"/>
      <c r="AW362" s="27"/>
      <c r="AX362" s="27"/>
      <c r="AY362" s="27"/>
      <c r="AZ362" s="27"/>
      <c r="BA362" s="30" t="str">
        <f t="shared" si="52"/>
        <v/>
      </c>
      <c r="BB362" s="30" t="str">
        <f t="shared" si="53"/>
        <v/>
      </c>
      <c r="BC362" s="30">
        <f>IF(X362=0,0,IF(COUNTIFS($X$10:X362,1,$BA$10:BA362,BA362)=1,1,0))</f>
        <v>0</v>
      </c>
      <c r="BD362" s="29"/>
    </row>
    <row r="363" spans="1:56" ht="42" customHeight="1">
      <c r="A363" s="41"/>
      <c r="B363" s="44"/>
      <c r="C363" s="44"/>
      <c r="D363" s="44"/>
      <c r="E363" s="44"/>
      <c r="F363" s="44"/>
      <c r="G363" s="44"/>
      <c r="H363" s="44"/>
      <c r="I363" s="44"/>
      <c r="J363" s="44"/>
      <c r="K363" s="44"/>
      <c r="L363" s="49"/>
      <c r="M363" s="48"/>
      <c r="N363" s="48"/>
      <c r="O363" s="48"/>
      <c r="P363" s="48"/>
      <c r="Q363" s="48"/>
      <c r="R363" s="48"/>
      <c r="S363" s="49"/>
      <c r="T363" s="48"/>
      <c r="U363" s="48"/>
      <c r="V363" s="14">
        <f t="shared" si="45"/>
        <v>0</v>
      </c>
      <c r="W363" s="14">
        <f t="shared" si="46"/>
        <v>0</v>
      </c>
      <c r="X363" s="14">
        <f>IF(AND(V363=1,OR(Painel!$C$6="Todos",D363=Painel!$C$6),AND(OR(Painel!$L$6="Todas",E363=Painel!$L$6),OR(Painel!$C$8="Todos",F363=Painel!$C$8),OR(Painel!$L$8="Todos",G363=Painel!$L$8),OR(Painel!$C$10="",ISNUMBER(SEARCH(SUBSTITUTE(SUBSTITUTE(SUBSTITUTE(Painel!$C$10,"~","~~"),"*","~*"),"?","~?"),A363&amp;" "&amp;H363&amp;" "&amp;I363))))),1,0)</f>
        <v>0</v>
      </c>
      <c r="Y363" s="14">
        <f t="shared" si="47"/>
        <v>0</v>
      </c>
      <c r="Z363" s="15" t="str">
        <f>IF(V363=0,"",IF(COUNTIFS(Andamentos!$K$10:$K$2009,"="&amp;SUBSTITUTE(SUBSTITUTE(SUBSTITUTE("P:"&amp;A363,"~","~~"),"*","~*"),"?","~?"),Andamentos!$G$10:$G$2009,1)=0,"",_xlfn.AGGREGATE(14,6,Andamentos!$D$10:$D$2009/((Andamentos!$K$10:$K$2009=AS363)*(Andamentos!$G$10:$G$2009=1)),1)))</f>
        <v/>
      </c>
      <c r="AA363" s="14">
        <f>IF(Z363="",0,COUNTIFS(Andamentos!$K$10:$K$2009,"="&amp;SUBSTITUTE(SUBSTITUTE(SUBSTITUTE("P:"&amp;A363,"~","~~"),"*","~*"),"?","~?"),Andamentos!$D$10:$D$2009,Z363,Andamentos!$G$10:$G$2009,1))</f>
        <v>0</v>
      </c>
      <c r="AB363" s="14">
        <f>IF(AA363=1,SUMIFS(Andamentos!$L$10:$L$2009,Andamentos!$K$10:$K$2009,"="&amp;SUBSTITUTE(SUBSTITUTE(SUBSTITUTE(AS363,"~","~~"),"*","~*"),"?","~?"),Andamentos!$D$10:$D$2009,Z363,Andamentos!$G$10:$G$2009,1)-9,0)</f>
        <v>0</v>
      </c>
      <c r="AC363" s="14" t="str">
        <f>IF(V363=0,"",IF(AA363&gt;1,"Conferir recebimentos empatados",IF(AB363=0,"Sem atualização",INDEX(Andamentos!$C$10:$C$2009,AB363))))</f>
        <v/>
      </c>
      <c r="AD363" s="14">
        <f>IF(W363=0,0,IF(MAX(Z363,BD363)=0,1,IF(Configurar!$J$12-INT(MAX(Z363,BD363))&gt;Configurar!$J$11,1,0)))</f>
        <v>0</v>
      </c>
      <c r="AE363" s="16"/>
      <c r="AF363" s="14"/>
      <c r="AG363" s="14"/>
      <c r="AH363" s="14">
        <f>IF(AND(V363=1,COUNTIFS(Valores!$S$10:$S$509,"="&amp;SUBSTITUTE(SUBSTITUTE(SUBSTITUTE("P:"&amp;A363,"~","~~"),"*","~*"),"?","~?"))=1),(IF(ISNA(MATCH(SUBSTITUTE(SUBSTITUTE(SUBSTITUTE("P:"&amp;A363,"~","~~"),"*","~*"),"?","~?"),Valores!$S$10:$S$509,0)),9,INDEX(Valores!$R$10:$R$509,MATCH(SUBSTITUTE(SUBSTITUTE(SUBSTITUTE("P:"&amp;A363,"~","~~"),"*","~*"),"?","~?"),Valores!$S$10:$S$509,0)))-9),0)</f>
        <v>0</v>
      </c>
      <c r="AI363" s="40" t="str">
        <f t="shared" si="48"/>
        <v/>
      </c>
      <c r="AJ363" s="14" t="str">
        <f>IF(AND(X363=1,Y363=1),COUNTIFS($X$10:X363,1,$Y$10:Y363,1),"")</f>
        <v/>
      </c>
      <c r="AK363" s="14" t="str">
        <f>IF(X363=1,COUNTIFS($X$10:X363,1),"")</f>
        <v/>
      </c>
      <c r="AL363" s="14">
        <f>IF(AND(V363=1,AND(OR(Painel!$L$6="Todas",E363=Painel!$L$6),OR(Painel!$C$8="Todos",F363=Painel!$C$8),OR(Painel!$L$8="Todos",G363=Painel!$L$8),OR(Painel!$C$10="",ISNUMBER(SEARCH(SUBSTITUTE(SUBSTITUTE(SUBSTITUTE(Painel!$C$10,"~","~~"),"*","~*"),"?","~?"),A363&amp;" "&amp;H363&amp;" "&amp;I363))))),1,0)</f>
        <v>0</v>
      </c>
      <c r="AM363" s="14">
        <f t="shared" si="49"/>
        <v>0</v>
      </c>
      <c r="AN363" s="14"/>
      <c r="AO363" s="14"/>
      <c r="AP363" s="16" t="str">
        <f>IF(AB363=0,"",IF(INDEX(Andamentos!$B$10:$B$2009,AB363)="","",INDEX(Andamentos!$B$10:$B$2009,AB363)))</f>
        <v/>
      </c>
      <c r="AQ363" s="17" t="str">
        <f>IF(AH363=0,"",IF(INDEX(Valores!$B$10:$B$509,AH363)="","",IF(ISNUMBER(INDEX(Valores!$B$10:$B$509,AH363)),INDEX(Valores!$B$10:$B$509,AH363),"")))</f>
        <v/>
      </c>
      <c r="AR363" s="14" t="str">
        <f t="shared" si="50"/>
        <v/>
      </c>
      <c r="AS363" s="14" t="str">
        <f t="shared" si="51"/>
        <v/>
      </c>
      <c r="AT363" s="27"/>
      <c r="AU363" s="31"/>
      <c r="AV363" s="31"/>
      <c r="AW363" s="27"/>
      <c r="AX363" s="27"/>
      <c r="AY363" s="27"/>
      <c r="AZ363" s="27"/>
      <c r="BA363" s="30" t="str">
        <f t="shared" si="52"/>
        <v/>
      </c>
      <c r="BB363" s="30" t="str">
        <f t="shared" si="53"/>
        <v/>
      </c>
      <c r="BC363" s="30">
        <f>IF(X363=0,0,IF(COUNTIFS($X$10:X363,1,$BA$10:BA363,BA363)=1,1,0))</f>
        <v>0</v>
      </c>
      <c r="BD363" s="29"/>
    </row>
    <row r="364" spans="1:56" ht="42" customHeight="1">
      <c r="A364" s="41"/>
      <c r="B364" s="44"/>
      <c r="C364" s="44"/>
      <c r="D364" s="44"/>
      <c r="E364" s="44"/>
      <c r="F364" s="44"/>
      <c r="G364" s="44"/>
      <c r="H364" s="44"/>
      <c r="I364" s="44"/>
      <c r="J364" s="44"/>
      <c r="K364" s="44"/>
      <c r="L364" s="49"/>
      <c r="M364" s="48"/>
      <c r="N364" s="48"/>
      <c r="O364" s="48"/>
      <c r="P364" s="48"/>
      <c r="Q364" s="48"/>
      <c r="R364" s="48"/>
      <c r="S364" s="49"/>
      <c r="T364" s="48"/>
      <c r="U364" s="48"/>
      <c r="V364" s="14">
        <f t="shared" si="45"/>
        <v>0</v>
      </c>
      <c r="W364" s="14">
        <f t="shared" si="46"/>
        <v>0</v>
      </c>
      <c r="X364" s="14">
        <f>IF(AND(V364=1,OR(Painel!$C$6="Todos",D364=Painel!$C$6),AND(OR(Painel!$L$6="Todas",E364=Painel!$L$6),OR(Painel!$C$8="Todos",F364=Painel!$C$8),OR(Painel!$L$8="Todos",G364=Painel!$L$8),OR(Painel!$C$10="",ISNUMBER(SEARCH(SUBSTITUTE(SUBSTITUTE(SUBSTITUTE(Painel!$C$10,"~","~~"),"*","~*"),"?","~?"),A364&amp;" "&amp;H364&amp;" "&amp;I364))))),1,0)</f>
        <v>0</v>
      </c>
      <c r="Y364" s="14">
        <f t="shared" si="47"/>
        <v>0</v>
      </c>
      <c r="Z364" s="15" t="str">
        <f>IF(V364=0,"",IF(COUNTIFS(Andamentos!$K$10:$K$2009,"="&amp;SUBSTITUTE(SUBSTITUTE(SUBSTITUTE("P:"&amp;A364,"~","~~"),"*","~*"),"?","~?"),Andamentos!$G$10:$G$2009,1)=0,"",_xlfn.AGGREGATE(14,6,Andamentos!$D$10:$D$2009/((Andamentos!$K$10:$K$2009=AS364)*(Andamentos!$G$10:$G$2009=1)),1)))</f>
        <v/>
      </c>
      <c r="AA364" s="14">
        <f>IF(Z364="",0,COUNTIFS(Andamentos!$K$10:$K$2009,"="&amp;SUBSTITUTE(SUBSTITUTE(SUBSTITUTE("P:"&amp;A364,"~","~~"),"*","~*"),"?","~?"),Andamentos!$D$10:$D$2009,Z364,Andamentos!$G$10:$G$2009,1))</f>
        <v>0</v>
      </c>
      <c r="AB364" s="14">
        <f>IF(AA364=1,SUMIFS(Andamentos!$L$10:$L$2009,Andamentos!$K$10:$K$2009,"="&amp;SUBSTITUTE(SUBSTITUTE(SUBSTITUTE(AS364,"~","~~"),"*","~*"),"?","~?"),Andamentos!$D$10:$D$2009,Z364,Andamentos!$G$10:$G$2009,1)-9,0)</f>
        <v>0</v>
      </c>
      <c r="AC364" s="14" t="str">
        <f>IF(V364=0,"",IF(AA364&gt;1,"Conferir recebimentos empatados",IF(AB364=0,"Sem atualização",INDEX(Andamentos!$C$10:$C$2009,AB364))))</f>
        <v/>
      </c>
      <c r="AD364" s="14">
        <f>IF(W364=0,0,IF(MAX(Z364,BD364)=0,1,IF(Configurar!$J$12-INT(MAX(Z364,BD364))&gt;Configurar!$J$11,1,0)))</f>
        <v>0</v>
      </c>
      <c r="AE364" s="16"/>
      <c r="AF364" s="14"/>
      <c r="AG364" s="14"/>
      <c r="AH364" s="14">
        <f>IF(AND(V364=1,COUNTIFS(Valores!$S$10:$S$509,"="&amp;SUBSTITUTE(SUBSTITUTE(SUBSTITUTE("P:"&amp;A364,"~","~~"),"*","~*"),"?","~?"))=1),(IF(ISNA(MATCH(SUBSTITUTE(SUBSTITUTE(SUBSTITUTE("P:"&amp;A364,"~","~~"),"*","~*"),"?","~?"),Valores!$S$10:$S$509,0)),9,INDEX(Valores!$R$10:$R$509,MATCH(SUBSTITUTE(SUBSTITUTE(SUBSTITUTE("P:"&amp;A364,"~","~~"),"*","~*"),"?","~?"),Valores!$S$10:$S$509,0)))-9),0)</f>
        <v>0</v>
      </c>
      <c r="AI364" s="40" t="str">
        <f t="shared" si="48"/>
        <v/>
      </c>
      <c r="AJ364" s="14" t="str">
        <f>IF(AND(X364=1,Y364=1),COUNTIFS($X$10:X364,1,$Y$10:Y364,1),"")</f>
        <v/>
      </c>
      <c r="AK364" s="14" t="str">
        <f>IF(X364=1,COUNTIFS($X$10:X364,1),"")</f>
        <v/>
      </c>
      <c r="AL364" s="14">
        <f>IF(AND(V364=1,AND(OR(Painel!$L$6="Todas",E364=Painel!$L$6),OR(Painel!$C$8="Todos",F364=Painel!$C$8),OR(Painel!$L$8="Todos",G364=Painel!$L$8),OR(Painel!$C$10="",ISNUMBER(SEARCH(SUBSTITUTE(SUBSTITUTE(SUBSTITUTE(Painel!$C$10,"~","~~"),"*","~*"),"?","~?"),A364&amp;" "&amp;H364&amp;" "&amp;I364))))),1,0)</f>
        <v>0</v>
      </c>
      <c r="AM364" s="14">
        <f t="shared" si="49"/>
        <v>0</v>
      </c>
      <c r="AN364" s="14"/>
      <c r="AO364" s="14"/>
      <c r="AP364" s="16" t="str">
        <f>IF(AB364=0,"",IF(INDEX(Andamentos!$B$10:$B$2009,AB364)="","",INDEX(Andamentos!$B$10:$B$2009,AB364)))</f>
        <v/>
      </c>
      <c r="AQ364" s="17" t="str">
        <f>IF(AH364=0,"",IF(INDEX(Valores!$B$10:$B$509,AH364)="","",IF(ISNUMBER(INDEX(Valores!$B$10:$B$509,AH364)),INDEX(Valores!$B$10:$B$509,AH364),"")))</f>
        <v/>
      </c>
      <c r="AR364" s="14" t="str">
        <f t="shared" si="50"/>
        <v/>
      </c>
      <c r="AS364" s="14" t="str">
        <f t="shared" si="51"/>
        <v/>
      </c>
      <c r="AT364" s="27"/>
      <c r="AU364" s="31"/>
      <c r="AV364" s="31"/>
      <c r="AW364" s="27"/>
      <c r="AX364" s="27"/>
      <c r="AY364" s="27"/>
      <c r="AZ364" s="27"/>
      <c r="BA364" s="30" t="str">
        <f t="shared" si="52"/>
        <v/>
      </c>
      <c r="BB364" s="30" t="str">
        <f t="shared" si="53"/>
        <v/>
      </c>
      <c r="BC364" s="30">
        <f>IF(X364=0,0,IF(COUNTIFS($X$10:X364,1,$BA$10:BA364,BA364)=1,1,0))</f>
        <v>0</v>
      </c>
      <c r="BD364" s="29"/>
    </row>
    <row r="365" spans="1:56" ht="42" customHeight="1">
      <c r="A365" s="41"/>
      <c r="B365" s="44"/>
      <c r="C365" s="44"/>
      <c r="D365" s="44"/>
      <c r="E365" s="44"/>
      <c r="F365" s="44"/>
      <c r="G365" s="44"/>
      <c r="H365" s="44"/>
      <c r="I365" s="44"/>
      <c r="J365" s="44"/>
      <c r="K365" s="44"/>
      <c r="L365" s="49"/>
      <c r="M365" s="48"/>
      <c r="N365" s="48"/>
      <c r="O365" s="48"/>
      <c r="P365" s="48"/>
      <c r="Q365" s="48"/>
      <c r="R365" s="48"/>
      <c r="S365" s="49"/>
      <c r="T365" s="48"/>
      <c r="U365" s="48"/>
      <c r="V365" s="14">
        <f t="shared" si="45"/>
        <v>0</v>
      </c>
      <c r="W365" s="14">
        <f t="shared" si="46"/>
        <v>0</v>
      </c>
      <c r="X365" s="14">
        <f>IF(AND(V365=1,OR(Painel!$C$6="Todos",D365=Painel!$C$6),AND(OR(Painel!$L$6="Todas",E365=Painel!$L$6),OR(Painel!$C$8="Todos",F365=Painel!$C$8),OR(Painel!$L$8="Todos",G365=Painel!$L$8),OR(Painel!$C$10="",ISNUMBER(SEARCH(SUBSTITUTE(SUBSTITUTE(SUBSTITUTE(Painel!$C$10,"~","~~"),"*","~*"),"?","~?"),A365&amp;" "&amp;H365&amp;" "&amp;I365))))),1,0)</f>
        <v>0</v>
      </c>
      <c r="Y365" s="14">
        <f t="shared" si="47"/>
        <v>0</v>
      </c>
      <c r="Z365" s="15" t="str">
        <f>IF(V365=0,"",IF(COUNTIFS(Andamentos!$K$10:$K$2009,"="&amp;SUBSTITUTE(SUBSTITUTE(SUBSTITUTE("P:"&amp;A365,"~","~~"),"*","~*"),"?","~?"),Andamentos!$G$10:$G$2009,1)=0,"",_xlfn.AGGREGATE(14,6,Andamentos!$D$10:$D$2009/((Andamentos!$K$10:$K$2009=AS365)*(Andamentos!$G$10:$G$2009=1)),1)))</f>
        <v/>
      </c>
      <c r="AA365" s="14">
        <f>IF(Z365="",0,COUNTIFS(Andamentos!$K$10:$K$2009,"="&amp;SUBSTITUTE(SUBSTITUTE(SUBSTITUTE("P:"&amp;A365,"~","~~"),"*","~*"),"?","~?"),Andamentos!$D$10:$D$2009,Z365,Andamentos!$G$10:$G$2009,1))</f>
        <v>0</v>
      </c>
      <c r="AB365" s="14">
        <f>IF(AA365=1,SUMIFS(Andamentos!$L$10:$L$2009,Andamentos!$K$10:$K$2009,"="&amp;SUBSTITUTE(SUBSTITUTE(SUBSTITUTE(AS365,"~","~~"),"*","~*"),"?","~?"),Andamentos!$D$10:$D$2009,Z365,Andamentos!$G$10:$G$2009,1)-9,0)</f>
        <v>0</v>
      </c>
      <c r="AC365" s="14" t="str">
        <f>IF(V365=0,"",IF(AA365&gt;1,"Conferir recebimentos empatados",IF(AB365=0,"Sem atualização",INDEX(Andamentos!$C$10:$C$2009,AB365))))</f>
        <v/>
      </c>
      <c r="AD365" s="14">
        <f>IF(W365=0,0,IF(MAX(Z365,BD365)=0,1,IF(Configurar!$J$12-INT(MAX(Z365,BD365))&gt;Configurar!$J$11,1,0)))</f>
        <v>0</v>
      </c>
      <c r="AE365" s="16"/>
      <c r="AF365" s="14"/>
      <c r="AG365" s="14"/>
      <c r="AH365" s="14">
        <f>IF(AND(V365=1,COUNTIFS(Valores!$S$10:$S$509,"="&amp;SUBSTITUTE(SUBSTITUTE(SUBSTITUTE("P:"&amp;A365,"~","~~"),"*","~*"),"?","~?"))=1),(IF(ISNA(MATCH(SUBSTITUTE(SUBSTITUTE(SUBSTITUTE("P:"&amp;A365,"~","~~"),"*","~*"),"?","~?"),Valores!$S$10:$S$509,0)),9,INDEX(Valores!$R$10:$R$509,MATCH(SUBSTITUTE(SUBSTITUTE(SUBSTITUTE("P:"&amp;A365,"~","~~"),"*","~*"),"?","~?"),Valores!$S$10:$S$509,0)))-9),0)</f>
        <v>0</v>
      </c>
      <c r="AI365" s="40" t="str">
        <f t="shared" si="48"/>
        <v/>
      </c>
      <c r="AJ365" s="14" t="str">
        <f>IF(AND(X365=1,Y365=1),COUNTIFS($X$10:X365,1,$Y$10:Y365,1),"")</f>
        <v/>
      </c>
      <c r="AK365" s="14" t="str">
        <f>IF(X365=1,COUNTIFS($X$10:X365,1),"")</f>
        <v/>
      </c>
      <c r="AL365" s="14">
        <f>IF(AND(V365=1,AND(OR(Painel!$L$6="Todas",E365=Painel!$L$6),OR(Painel!$C$8="Todos",F365=Painel!$C$8),OR(Painel!$L$8="Todos",G365=Painel!$L$8),OR(Painel!$C$10="",ISNUMBER(SEARCH(SUBSTITUTE(SUBSTITUTE(SUBSTITUTE(Painel!$C$10,"~","~~"),"*","~*"),"?","~?"),A365&amp;" "&amp;H365&amp;" "&amp;I365))))),1,0)</f>
        <v>0</v>
      </c>
      <c r="AM365" s="14">
        <f t="shared" si="49"/>
        <v>0</v>
      </c>
      <c r="AN365" s="14"/>
      <c r="AO365" s="14"/>
      <c r="AP365" s="16" t="str">
        <f>IF(AB365=0,"",IF(INDEX(Andamentos!$B$10:$B$2009,AB365)="","",INDEX(Andamentos!$B$10:$B$2009,AB365)))</f>
        <v/>
      </c>
      <c r="AQ365" s="17" t="str">
        <f>IF(AH365=0,"",IF(INDEX(Valores!$B$10:$B$509,AH365)="","",IF(ISNUMBER(INDEX(Valores!$B$10:$B$509,AH365)),INDEX(Valores!$B$10:$B$509,AH365),"")))</f>
        <v/>
      </c>
      <c r="AR365" s="14" t="str">
        <f t="shared" si="50"/>
        <v/>
      </c>
      <c r="AS365" s="14" t="str">
        <f t="shared" si="51"/>
        <v/>
      </c>
      <c r="AT365" s="27"/>
      <c r="AU365" s="31"/>
      <c r="AV365" s="31"/>
      <c r="AW365" s="27"/>
      <c r="AX365" s="27"/>
      <c r="AY365" s="27"/>
      <c r="AZ365" s="27"/>
      <c r="BA365" s="30" t="str">
        <f t="shared" si="52"/>
        <v/>
      </c>
      <c r="BB365" s="30" t="str">
        <f t="shared" si="53"/>
        <v/>
      </c>
      <c r="BC365" s="30">
        <f>IF(X365=0,0,IF(COUNTIFS($X$10:X365,1,$BA$10:BA365,BA365)=1,1,0))</f>
        <v>0</v>
      </c>
      <c r="BD365" s="29"/>
    </row>
    <row r="366" spans="1:56" ht="42" customHeight="1">
      <c r="A366" s="41"/>
      <c r="B366" s="44"/>
      <c r="C366" s="44"/>
      <c r="D366" s="44"/>
      <c r="E366" s="44"/>
      <c r="F366" s="44"/>
      <c r="G366" s="44"/>
      <c r="H366" s="44"/>
      <c r="I366" s="44"/>
      <c r="J366" s="44"/>
      <c r="K366" s="44"/>
      <c r="L366" s="49"/>
      <c r="M366" s="48"/>
      <c r="N366" s="48"/>
      <c r="O366" s="48"/>
      <c r="P366" s="48"/>
      <c r="Q366" s="48"/>
      <c r="R366" s="48"/>
      <c r="S366" s="49"/>
      <c r="T366" s="48"/>
      <c r="U366" s="48"/>
      <c r="V366" s="14">
        <f t="shared" si="45"/>
        <v>0</v>
      </c>
      <c r="W366" s="14">
        <f t="shared" si="46"/>
        <v>0</v>
      </c>
      <c r="X366" s="14">
        <f>IF(AND(V366=1,OR(Painel!$C$6="Todos",D366=Painel!$C$6),AND(OR(Painel!$L$6="Todas",E366=Painel!$L$6),OR(Painel!$C$8="Todos",F366=Painel!$C$8),OR(Painel!$L$8="Todos",G366=Painel!$L$8),OR(Painel!$C$10="",ISNUMBER(SEARCH(SUBSTITUTE(SUBSTITUTE(SUBSTITUTE(Painel!$C$10,"~","~~"),"*","~*"),"?","~?"),A366&amp;" "&amp;H366&amp;" "&amp;I366))))),1,0)</f>
        <v>0</v>
      </c>
      <c r="Y366" s="14">
        <f t="shared" si="47"/>
        <v>0</v>
      </c>
      <c r="Z366" s="15" t="str">
        <f>IF(V366=0,"",IF(COUNTIFS(Andamentos!$K$10:$K$2009,"="&amp;SUBSTITUTE(SUBSTITUTE(SUBSTITUTE("P:"&amp;A366,"~","~~"),"*","~*"),"?","~?"),Andamentos!$G$10:$G$2009,1)=0,"",_xlfn.AGGREGATE(14,6,Andamentos!$D$10:$D$2009/((Andamentos!$K$10:$K$2009=AS366)*(Andamentos!$G$10:$G$2009=1)),1)))</f>
        <v/>
      </c>
      <c r="AA366" s="14">
        <f>IF(Z366="",0,COUNTIFS(Andamentos!$K$10:$K$2009,"="&amp;SUBSTITUTE(SUBSTITUTE(SUBSTITUTE("P:"&amp;A366,"~","~~"),"*","~*"),"?","~?"),Andamentos!$D$10:$D$2009,Z366,Andamentos!$G$10:$G$2009,1))</f>
        <v>0</v>
      </c>
      <c r="AB366" s="14">
        <f>IF(AA366=1,SUMIFS(Andamentos!$L$10:$L$2009,Andamentos!$K$10:$K$2009,"="&amp;SUBSTITUTE(SUBSTITUTE(SUBSTITUTE(AS366,"~","~~"),"*","~*"),"?","~?"),Andamentos!$D$10:$D$2009,Z366,Andamentos!$G$10:$G$2009,1)-9,0)</f>
        <v>0</v>
      </c>
      <c r="AC366" s="14" t="str">
        <f>IF(V366=0,"",IF(AA366&gt;1,"Conferir recebimentos empatados",IF(AB366=0,"Sem atualização",INDEX(Andamentos!$C$10:$C$2009,AB366))))</f>
        <v/>
      </c>
      <c r="AD366" s="14">
        <f>IF(W366=0,0,IF(MAX(Z366,BD366)=0,1,IF(Configurar!$J$12-INT(MAX(Z366,BD366))&gt;Configurar!$J$11,1,0)))</f>
        <v>0</v>
      </c>
      <c r="AE366" s="16"/>
      <c r="AF366" s="14"/>
      <c r="AG366" s="14"/>
      <c r="AH366" s="14">
        <f>IF(AND(V366=1,COUNTIFS(Valores!$S$10:$S$509,"="&amp;SUBSTITUTE(SUBSTITUTE(SUBSTITUTE("P:"&amp;A366,"~","~~"),"*","~*"),"?","~?"))=1),(IF(ISNA(MATCH(SUBSTITUTE(SUBSTITUTE(SUBSTITUTE("P:"&amp;A366,"~","~~"),"*","~*"),"?","~?"),Valores!$S$10:$S$509,0)),9,INDEX(Valores!$R$10:$R$509,MATCH(SUBSTITUTE(SUBSTITUTE(SUBSTITUTE("P:"&amp;A366,"~","~~"),"*","~*"),"?","~?"),Valores!$S$10:$S$509,0)))-9),0)</f>
        <v>0</v>
      </c>
      <c r="AI366" s="40" t="str">
        <f t="shared" si="48"/>
        <v/>
      </c>
      <c r="AJ366" s="14" t="str">
        <f>IF(AND(X366=1,Y366=1),COUNTIFS($X$10:X366,1,$Y$10:Y366,1),"")</f>
        <v/>
      </c>
      <c r="AK366" s="14" t="str">
        <f>IF(X366=1,COUNTIFS($X$10:X366,1),"")</f>
        <v/>
      </c>
      <c r="AL366" s="14">
        <f>IF(AND(V366=1,AND(OR(Painel!$L$6="Todas",E366=Painel!$L$6),OR(Painel!$C$8="Todos",F366=Painel!$C$8),OR(Painel!$L$8="Todos",G366=Painel!$L$8),OR(Painel!$C$10="",ISNUMBER(SEARCH(SUBSTITUTE(SUBSTITUTE(SUBSTITUTE(Painel!$C$10,"~","~~"),"*","~*"),"?","~?"),A366&amp;" "&amp;H366&amp;" "&amp;I366))))),1,0)</f>
        <v>0</v>
      </c>
      <c r="AM366" s="14">
        <f t="shared" si="49"/>
        <v>0</v>
      </c>
      <c r="AN366" s="14"/>
      <c r="AO366" s="14"/>
      <c r="AP366" s="16" t="str">
        <f>IF(AB366=0,"",IF(INDEX(Andamentos!$B$10:$B$2009,AB366)="","",INDEX(Andamentos!$B$10:$B$2009,AB366)))</f>
        <v/>
      </c>
      <c r="AQ366" s="17" t="str">
        <f>IF(AH366=0,"",IF(INDEX(Valores!$B$10:$B$509,AH366)="","",IF(ISNUMBER(INDEX(Valores!$B$10:$B$509,AH366)),INDEX(Valores!$B$10:$B$509,AH366),"")))</f>
        <v/>
      </c>
      <c r="AR366" s="14" t="str">
        <f t="shared" si="50"/>
        <v/>
      </c>
      <c r="AS366" s="14" t="str">
        <f t="shared" si="51"/>
        <v/>
      </c>
      <c r="AT366" s="27"/>
      <c r="AU366" s="31"/>
      <c r="AV366" s="31"/>
      <c r="AW366" s="27"/>
      <c r="AX366" s="27"/>
      <c r="AY366" s="27"/>
      <c r="AZ366" s="27"/>
      <c r="BA366" s="30" t="str">
        <f t="shared" si="52"/>
        <v/>
      </c>
      <c r="BB366" s="30" t="str">
        <f t="shared" si="53"/>
        <v/>
      </c>
      <c r="BC366" s="30">
        <f>IF(X366=0,0,IF(COUNTIFS($X$10:X366,1,$BA$10:BA366,BA366)=1,1,0))</f>
        <v>0</v>
      </c>
      <c r="BD366" s="29"/>
    </row>
    <row r="367" spans="1:56" ht="42" customHeight="1">
      <c r="A367" s="41"/>
      <c r="B367" s="44"/>
      <c r="C367" s="44"/>
      <c r="D367" s="44"/>
      <c r="E367" s="44"/>
      <c r="F367" s="44"/>
      <c r="G367" s="44"/>
      <c r="H367" s="44"/>
      <c r="I367" s="44"/>
      <c r="J367" s="44"/>
      <c r="K367" s="44"/>
      <c r="L367" s="49"/>
      <c r="M367" s="48"/>
      <c r="N367" s="48"/>
      <c r="O367" s="48"/>
      <c r="P367" s="48"/>
      <c r="Q367" s="48"/>
      <c r="R367" s="48"/>
      <c r="S367" s="49"/>
      <c r="T367" s="48"/>
      <c r="U367" s="48"/>
      <c r="V367" s="14">
        <f t="shared" si="45"/>
        <v>0</v>
      </c>
      <c r="W367" s="14">
        <f t="shared" si="46"/>
        <v>0</v>
      </c>
      <c r="X367" s="14">
        <f>IF(AND(V367=1,OR(Painel!$C$6="Todos",D367=Painel!$C$6),AND(OR(Painel!$L$6="Todas",E367=Painel!$L$6),OR(Painel!$C$8="Todos",F367=Painel!$C$8),OR(Painel!$L$8="Todos",G367=Painel!$L$8),OR(Painel!$C$10="",ISNUMBER(SEARCH(SUBSTITUTE(SUBSTITUTE(SUBSTITUTE(Painel!$C$10,"~","~~"),"*","~*"),"?","~?"),A367&amp;" "&amp;H367&amp;" "&amp;I367))))),1,0)</f>
        <v>0</v>
      </c>
      <c r="Y367" s="14">
        <f t="shared" si="47"/>
        <v>0</v>
      </c>
      <c r="Z367" s="15" t="str">
        <f>IF(V367=0,"",IF(COUNTIFS(Andamentos!$K$10:$K$2009,"="&amp;SUBSTITUTE(SUBSTITUTE(SUBSTITUTE("P:"&amp;A367,"~","~~"),"*","~*"),"?","~?"),Andamentos!$G$10:$G$2009,1)=0,"",_xlfn.AGGREGATE(14,6,Andamentos!$D$10:$D$2009/((Andamentos!$K$10:$K$2009=AS367)*(Andamentos!$G$10:$G$2009=1)),1)))</f>
        <v/>
      </c>
      <c r="AA367" s="14">
        <f>IF(Z367="",0,COUNTIFS(Andamentos!$K$10:$K$2009,"="&amp;SUBSTITUTE(SUBSTITUTE(SUBSTITUTE("P:"&amp;A367,"~","~~"),"*","~*"),"?","~?"),Andamentos!$D$10:$D$2009,Z367,Andamentos!$G$10:$G$2009,1))</f>
        <v>0</v>
      </c>
      <c r="AB367" s="14">
        <f>IF(AA367=1,SUMIFS(Andamentos!$L$10:$L$2009,Andamentos!$K$10:$K$2009,"="&amp;SUBSTITUTE(SUBSTITUTE(SUBSTITUTE(AS367,"~","~~"),"*","~*"),"?","~?"),Andamentos!$D$10:$D$2009,Z367,Andamentos!$G$10:$G$2009,1)-9,0)</f>
        <v>0</v>
      </c>
      <c r="AC367" s="14" t="str">
        <f>IF(V367=0,"",IF(AA367&gt;1,"Conferir recebimentos empatados",IF(AB367=0,"Sem atualização",INDEX(Andamentos!$C$10:$C$2009,AB367))))</f>
        <v/>
      </c>
      <c r="AD367" s="14">
        <f>IF(W367=0,0,IF(MAX(Z367,BD367)=0,1,IF(Configurar!$J$12-INT(MAX(Z367,BD367))&gt;Configurar!$J$11,1,0)))</f>
        <v>0</v>
      </c>
      <c r="AE367" s="16"/>
      <c r="AF367" s="14"/>
      <c r="AG367" s="14"/>
      <c r="AH367" s="14">
        <f>IF(AND(V367=1,COUNTIFS(Valores!$S$10:$S$509,"="&amp;SUBSTITUTE(SUBSTITUTE(SUBSTITUTE("P:"&amp;A367,"~","~~"),"*","~*"),"?","~?"))=1),(IF(ISNA(MATCH(SUBSTITUTE(SUBSTITUTE(SUBSTITUTE("P:"&amp;A367,"~","~~"),"*","~*"),"?","~?"),Valores!$S$10:$S$509,0)),9,INDEX(Valores!$R$10:$R$509,MATCH(SUBSTITUTE(SUBSTITUTE(SUBSTITUTE("P:"&amp;A367,"~","~~"),"*","~*"),"?","~?"),Valores!$S$10:$S$509,0)))-9),0)</f>
        <v>0</v>
      </c>
      <c r="AI367" s="40" t="str">
        <f t="shared" si="48"/>
        <v/>
      </c>
      <c r="AJ367" s="14" t="str">
        <f>IF(AND(X367=1,Y367=1),COUNTIFS($X$10:X367,1,$Y$10:Y367,1),"")</f>
        <v/>
      </c>
      <c r="AK367" s="14" t="str">
        <f>IF(X367=1,COUNTIFS($X$10:X367,1),"")</f>
        <v/>
      </c>
      <c r="AL367" s="14">
        <f>IF(AND(V367=1,AND(OR(Painel!$L$6="Todas",E367=Painel!$L$6),OR(Painel!$C$8="Todos",F367=Painel!$C$8),OR(Painel!$L$8="Todos",G367=Painel!$L$8),OR(Painel!$C$10="",ISNUMBER(SEARCH(SUBSTITUTE(SUBSTITUTE(SUBSTITUTE(Painel!$C$10,"~","~~"),"*","~*"),"?","~?"),A367&amp;" "&amp;H367&amp;" "&amp;I367))))),1,0)</f>
        <v>0</v>
      </c>
      <c r="AM367" s="14">
        <f t="shared" si="49"/>
        <v>0</v>
      </c>
      <c r="AN367" s="14"/>
      <c r="AO367" s="14"/>
      <c r="AP367" s="16" t="str">
        <f>IF(AB367=0,"",IF(INDEX(Andamentos!$B$10:$B$2009,AB367)="","",INDEX(Andamentos!$B$10:$B$2009,AB367)))</f>
        <v/>
      </c>
      <c r="AQ367" s="17" t="str">
        <f>IF(AH367=0,"",IF(INDEX(Valores!$B$10:$B$509,AH367)="","",IF(ISNUMBER(INDEX(Valores!$B$10:$B$509,AH367)),INDEX(Valores!$B$10:$B$509,AH367),"")))</f>
        <v/>
      </c>
      <c r="AR367" s="14" t="str">
        <f t="shared" si="50"/>
        <v/>
      </c>
      <c r="AS367" s="14" t="str">
        <f t="shared" si="51"/>
        <v/>
      </c>
      <c r="AT367" s="27"/>
      <c r="AU367" s="31"/>
      <c r="AV367" s="31"/>
      <c r="AW367" s="27"/>
      <c r="AX367" s="27"/>
      <c r="AY367" s="27"/>
      <c r="AZ367" s="27"/>
      <c r="BA367" s="30" t="str">
        <f t="shared" si="52"/>
        <v/>
      </c>
      <c r="BB367" s="30" t="str">
        <f t="shared" si="53"/>
        <v/>
      </c>
      <c r="BC367" s="30">
        <f>IF(X367=0,0,IF(COUNTIFS($X$10:X367,1,$BA$10:BA367,BA367)=1,1,0))</f>
        <v>0</v>
      </c>
      <c r="BD367" s="29"/>
    </row>
    <row r="368" spans="1:56" ht="42" customHeight="1">
      <c r="A368" s="41"/>
      <c r="B368" s="44"/>
      <c r="C368" s="44"/>
      <c r="D368" s="44"/>
      <c r="E368" s="44"/>
      <c r="F368" s="44"/>
      <c r="G368" s="44"/>
      <c r="H368" s="44"/>
      <c r="I368" s="44"/>
      <c r="J368" s="44"/>
      <c r="K368" s="44"/>
      <c r="L368" s="49"/>
      <c r="M368" s="48"/>
      <c r="N368" s="48"/>
      <c r="O368" s="48"/>
      <c r="P368" s="48"/>
      <c r="Q368" s="48"/>
      <c r="R368" s="48"/>
      <c r="S368" s="49"/>
      <c r="T368" s="48"/>
      <c r="U368" s="48"/>
      <c r="V368" s="14">
        <f t="shared" si="45"/>
        <v>0</v>
      </c>
      <c r="W368" s="14">
        <f t="shared" si="46"/>
        <v>0</v>
      </c>
      <c r="X368" s="14">
        <f>IF(AND(V368=1,OR(Painel!$C$6="Todos",D368=Painel!$C$6),AND(OR(Painel!$L$6="Todas",E368=Painel!$L$6),OR(Painel!$C$8="Todos",F368=Painel!$C$8),OR(Painel!$L$8="Todos",G368=Painel!$L$8),OR(Painel!$C$10="",ISNUMBER(SEARCH(SUBSTITUTE(SUBSTITUTE(SUBSTITUTE(Painel!$C$10,"~","~~"),"*","~*"),"?","~?"),A368&amp;" "&amp;H368&amp;" "&amp;I368))))),1,0)</f>
        <v>0</v>
      </c>
      <c r="Y368" s="14">
        <f t="shared" si="47"/>
        <v>0</v>
      </c>
      <c r="Z368" s="15" t="str">
        <f>IF(V368=0,"",IF(COUNTIFS(Andamentos!$K$10:$K$2009,"="&amp;SUBSTITUTE(SUBSTITUTE(SUBSTITUTE("P:"&amp;A368,"~","~~"),"*","~*"),"?","~?"),Andamentos!$G$10:$G$2009,1)=0,"",_xlfn.AGGREGATE(14,6,Andamentos!$D$10:$D$2009/((Andamentos!$K$10:$K$2009=AS368)*(Andamentos!$G$10:$G$2009=1)),1)))</f>
        <v/>
      </c>
      <c r="AA368" s="14">
        <f>IF(Z368="",0,COUNTIFS(Andamentos!$K$10:$K$2009,"="&amp;SUBSTITUTE(SUBSTITUTE(SUBSTITUTE("P:"&amp;A368,"~","~~"),"*","~*"),"?","~?"),Andamentos!$D$10:$D$2009,Z368,Andamentos!$G$10:$G$2009,1))</f>
        <v>0</v>
      </c>
      <c r="AB368" s="14">
        <f>IF(AA368=1,SUMIFS(Andamentos!$L$10:$L$2009,Andamentos!$K$10:$K$2009,"="&amp;SUBSTITUTE(SUBSTITUTE(SUBSTITUTE(AS368,"~","~~"),"*","~*"),"?","~?"),Andamentos!$D$10:$D$2009,Z368,Andamentos!$G$10:$G$2009,1)-9,0)</f>
        <v>0</v>
      </c>
      <c r="AC368" s="14" t="str">
        <f>IF(V368=0,"",IF(AA368&gt;1,"Conferir recebimentos empatados",IF(AB368=0,"Sem atualização",INDEX(Andamentos!$C$10:$C$2009,AB368))))</f>
        <v/>
      </c>
      <c r="AD368" s="14">
        <f>IF(W368=0,0,IF(MAX(Z368,BD368)=0,1,IF(Configurar!$J$12-INT(MAX(Z368,BD368))&gt;Configurar!$J$11,1,0)))</f>
        <v>0</v>
      </c>
      <c r="AE368" s="16"/>
      <c r="AF368" s="14"/>
      <c r="AG368" s="14"/>
      <c r="AH368" s="14">
        <f>IF(AND(V368=1,COUNTIFS(Valores!$S$10:$S$509,"="&amp;SUBSTITUTE(SUBSTITUTE(SUBSTITUTE("P:"&amp;A368,"~","~~"),"*","~*"),"?","~?"))=1),(IF(ISNA(MATCH(SUBSTITUTE(SUBSTITUTE(SUBSTITUTE("P:"&amp;A368,"~","~~"),"*","~*"),"?","~?"),Valores!$S$10:$S$509,0)),9,INDEX(Valores!$R$10:$R$509,MATCH(SUBSTITUTE(SUBSTITUTE(SUBSTITUTE("P:"&amp;A368,"~","~~"),"*","~*"),"?","~?"),Valores!$S$10:$S$509,0)))-9),0)</f>
        <v>0</v>
      </c>
      <c r="AI368" s="40" t="str">
        <f t="shared" si="48"/>
        <v/>
      </c>
      <c r="AJ368" s="14" t="str">
        <f>IF(AND(X368=1,Y368=1),COUNTIFS($X$10:X368,1,$Y$10:Y368,1),"")</f>
        <v/>
      </c>
      <c r="AK368" s="14" t="str">
        <f>IF(X368=1,COUNTIFS($X$10:X368,1),"")</f>
        <v/>
      </c>
      <c r="AL368" s="14">
        <f>IF(AND(V368=1,AND(OR(Painel!$L$6="Todas",E368=Painel!$L$6),OR(Painel!$C$8="Todos",F368=Painel!$C$8),OR(Painel!$L$8="Todos",G368=Painel!$L$8),OR(Painel!$C$10="",ISNUMBER(SEARCH(SUBSTITUTE(SUBSTITUTE(SUBSTITUTE(Painel!$C$10,"~","~~"),"*","~*"),"?","~?"),A368&amp;" "&amp;H368&amp;" "&amp;I368))))),1,0)</f>
        <v>0</v>
      </c>
      <c r="AM368" s="14">
        <f t="shared" si="49"/>
        <v>0</v>
      </c>
      <c r="AN368" s="14"/>
      <c r="AO368" s="14"/>
      <c r="AP368" s="16" t="str">
        <f>IF(AB368=0,"",IF(INDEX(Andamentos!$B$10:$B$2009,AB368)="","",INDEX(Andamentos!$B$10:$B$2009,AB368)))</f>
        <v/>
      </c>
      <c r="AQ368" s="17" t="str">
        <f>IF(AH368=0,"",IF(INDEX(Valores!$B$10:$B$509,AH368)="","",IF(ISNUMBER(INDEX(Valores!$B$10:$B$509,AH368)),INDEX(Valores!$B$10:$B$509,AH368),"")))</f>
        <v/>
      </c>
      <c r="AR368" s="14" t="str">
        <f t="shared" si="50"/>
        <v/>
      </c>
      <c r="AS368" s="14" t="str">
        <f t="shared" si="51"/>
        <v/>
      </c>
      <c r="AT368" s="27"/>
      <c r="AU368" s="31"/>
      <c r="AV368" s="31"/>
      <c r="AW368" s="27"/>
      <c r="AX368" s="27"/>
      <c r="AY368" s="27"/>
      <c r="AZ368" s="27"/>
      <c r="BA368" s="30" t="str">
        <f t="shared" si="52"/>
        <v/>
      </c>
      <c r="BB368" s="30" t="str">
        <f t="shared" si="53"/>
        <v/>
      </c>
      <c r="BC368" s="30">
        <f>IF(X368=0,0,IF(COUNTIFS($X$10:X368,1,$BA$10:BA368,BA368)=1,1,0))</f>
        <v>0</v>
      </c>
      <c r="BD368" s="29"/>
    </row>
    <row r="369" spans="1:56" ht="42" customHeight="1">
      <c r="A369" s="41"/>
      <c r="B369" s="44"/>
      <c r="C369" s="44"/>
      <c r="D369" s="44"/>
      <c r="E369" s="44"/>
      <c r="F369" s="44"/>
      <c r="G369" s="44"/>
      <c r="H369" s="44"/>
      <c r="I369" s="44"/>
      <c r="J369" s="44"/>
      <c r="K369" s="44"/>
      <c r="L369" s="49"/>
      <c r="M369" s="48"/>
      <c r="N369" s="48"/>
      <c r="O369" s="48"/>
      <c r="P369" s="48"/>
      <c r="Q369" s="48"/>
      <c r="R369" s="48"/>
      <c r="S369" s="49"/>
      <c r="T369" s="48"/>
      <c r="U369" s="48"/>
      <c r="V369" s="14">
        <f t="shared" si="45"/>
        <v>0</v>
      </c>
      <c r="W369" s="14">
        <f t="shared" si="46"/>
        <v>0</v>
      </c>
      <c r="X369" s="14">
        <f>IF(AND(V369=1,OR(Painel!$C$6="Todos",D369=Painel!$C$6),AND(OR(Painel!$L$6="Todas",E369=Painel!$L$6),OR(Painel!$C$8="Todos",F369=Painel!$C$8),OR(Painel!$L$8="Todos",G369=Painel!$L$8),OR(Painel!$C$10="",ISNUMBER(SEARCH(SUBSTITUTE(SUBSTITUTE(SUBSTITUTE(Painel!$C$10,"~","~~"),"*","~*"),"?","~?"),A369&amp;" "&amp;H369&amp;" "&amp;I369))))),1,0)</f>
        <v>0</v>
      </c>
      <c r="Y369" s="14">
        <f t="shared" si="47"/>
        <v>0</v>
      </c>
      <c r="Z369" s="15" t="str">
        <f>IF(V369=0,"",IF(COUNTIFS(Andamentos!$K$10:$K$2009,"="&amp;SUBSTITUTE(SUBSTITUTE(SUBSTITUTE("P:"&amp;A369,"~","~~"),"*","~*"),"?","~?"),Andamentos!$G$10:$G$2009,1)=0,"",_xlfn.AGGREGATE(14,6,Andamentos!$D$10:$D$2009/((Andamentos!$K$10:$K$2009=AS369)*(Andamentos!$G$10:$G$2009=1)),1)))</f>
        <v/>
      </c>
      <c r="AA369" s="14">
        <f>IF(Z369="",0,COUNTIFS(Andamentos!$K$10:$K$2009,"="&amp;SUBSTITUTE(SUBSTITUTE(SUBSTITUTE("P:"&amp;A369,"~","~~"),"*","~*"),"?","~?"),Andamentos!$D$10:$D$2009,Z369,Andamentos!$G$10:$G$2009,1))</f>
        <v>0</v>
      </c>
      <c r="AB369" s="14">
        <f>IF(AA369=1,SUMIFS(Andamentos!$L$10:$L$2009,Andamentos!$K$10:$K$2009,"="&amp;SUBSTITUTE(SUBSTITUTE(SUBSTITUTE(AS369,"~","~~"),"*","~*"),"?","~?"),Andamentos!$D$10:$D$2009,Z369,Andamentos!$G$10:$G$2009,1)-9,0)</f>
        <v>0</v>
      </c>
      <c r="AC369" s="14" t="str">
        <f>IF(V369=0,"",IF(AA369&gt;1,"Conferir recebimentos empatados",IF(AB369=0,"Sem atualização",INDEX(Andamentos!$C$10:$C$2009,AB369))))</f>
        <v/>
      </c>
      <c r="AD369" s="14">
        <f>IF(W369=0,0,IF(MAX(Z369,BD369)=0,1,IF(Configurar!$J$12-INT(MAX(Z369,BD369))&gt;Configurar!$J$11,1,0)))</f>
        <v>0</v>
      </c>
      <c r="AE369" s="16"/>
      <c r="AF369" s="14"/>
      <c r="AG369" s="14"/>
      <c r="AH369" s="14">
        <f>IF(AND(V369=1,COUNTIFS(Valores!$S$10:$S$509,"="&amp;SUBSTITUTE(SUBSTITUTE(SUBSTITUTE("P:"&amp;A369,"~","~~"),"*","~*"),"?","~?"))=1),(IF(ISNA(MATCH(SUBSTITUTE(SUBSTITUTE(SUBSTITUTE("P:"&amp;A369,"~","~~"),"*","~*"),"?","~?"),Valores!$S$10:$S$509,0)),9,INDEX(Valores!$R$10:$R$509,MATCH(SUBSTITUTE(SUBSTITUTE(SUBSTITUTE("P:"&amp;A369,"~","~~"),"*","~*"),"?","~?"),Valores!$S$10:$S$509,0)))-9),0)</f>
        <v>0</v>
      </c>
      <c r="AI369" s="40" t="str">
        <f t="shared" si="48"/>
        <v/>
      </c>
      <c r="AJ369" s="14" t="str">
        <f>IF(AND(X369=1,Y369=1),COUNTIFS($X$10:X369,1,$Y$10:Y369,1),"")</f>
        <v/>
      </c>
      <c r="AK369" s="14" t="str">
        <f>IF(X369=1,COUNTIFS($X$10:X369,1),"")</f>
        <v/>
      </c>
      <c r="AL369" s="14">
        <f>IF(AND(V369=1,AND(OR(Painel!$L$6="Todas",E369=Painel!$L$6),OR(Painel!$C$8="Todos",F369=Painel!$C$8),OR(Painel!$L$8="Todos",G369=Painel!$L$8),OR(Painel!$C$10="",ISNUMBER(SEARCH(SUBSTITUTE(SUBSTITUTE(SUBSTITUTE(Painel!$C$10,"~","~~"),"*","~*"),"?","~?"),A369&amp;" "&amp;H369&amp;" "&amp;I369))))),1,0)</f>
        <v>0</v>
      </c>
      <c r="AM369" s="14">
        <f t="shared" si="49"/>
        <v>0</v>
      </c>
      <c r="AN369" s="14"/>
      <c r="AO369" s="14"/>
      <c r="AP369" s="16" t="str">
        <f>IF(AB369=0,"",IF(INDEX(Andamentos!$B$10:$B$2009,AB369)="","",INDEX(Andamentos!$B$10:$B$2009,AB369)))</f>
        <v/>
      </c>
      <c r="AQ369" s="17" t="str">
        <f>IF(AH369=0,"",IF(INDEX(Valores!$B$10:$B$509,AH369)="","",IF(ISNUMBER(INDEX(Valores!$B$10:$B$509,AH369)),INDEX(Valores!$B$10:$B$509,AH369),"")))</f>
        <v/>
      </c>
      <c r="AR369" s="14" t="str">
        <f t="shared" si="50"/>
        <v/>
      </c>
      <c r="AS369" s="14" t="str">
        <f t="shared" si="51"/>
        <v/>
      </c>
      <c r="AT369" s="27"/>
      <c r="AU369" s="31"/>
      <c r="AV369" s="31"/>
      <c r="AW369" s="27"/>
      <c r="AX369" s="27"/>
      <c r="AY369" s="27"/>
      <c r="AZ369" s="27"/>
      <c r="BA369" s="30" t="str">
        <f t="shared" si="52"/>
        <v/>
      </c>
      <c r="BB369" s="30" t="str">
        <f t="shared" si="53"/>
        <v/>
      </c>
      <c r="BC369" s="30">
        <f>IF(X369=0,0,IF(COUNTIFS($X$10:X369,1,$BA$10:BA369,BA369)=1,1,0))</f>
        <v>0</v>
      </c>
      <c r="BD369" s="29"/>
    </row>
    <row r="370" spans="1:56" ht="42" customHeight="1">
      <c r="A370" s="41"/>
      <c r="B370" s="44"/>
      <c r="C370" s="44"/>
      <c r="D370" s="44"/>
      <c r="E370" s="44"/>
      <c r="F370" s="44"/>
      <c r="G370" s="44"/>
      <c r="H370" s="44"/>
      <c r="I370" s="44"/>
      <c r="J370" s="44"/>
      <c r="K370" s="44"/>
      <c r="L370" s="49"/>
      <c r="M370" s="48"/>
      <c r="N370" s="48"/>
      <c r="O370" s="48"/>
      <c r="P370" s="48"/>
      <c r="Q370" s="48"/>
      <c r="R370" s="48"/>
      <c r="S370" s="49"/>
      <c r="T370" s="48"/>
      <c r="U370" s="48"/>
      <c r="V370" s="14">
        <f t="shared" si="45"/>
        <v>0</v>
      </c>
      <c r="W370" s="14">
        <f t="shared" si="46"/>
        <v>0</v>
      </c>
      <c r="X370" s="14">
        <f>IF(AND(V370=1,OR(Painel!$C$6="Todos",D370=Painel!$C$6),AND(OR(Painel!$L$6="Todas",E370=Painel!$L$6),OR(Painel!$C$8="Todos",F370=Painel!$C$8),OR(Painel!$L$8="Todos",G370=Painel!$L$8),OR(Painel!$C$10="",ISNUMBER(SEARCH(SUBSTITUTE(SUBSTITUTE(SUBSTITUTE(Painel!$C$10,"~","~~"),"*","~*"),"?","~?"),A370&amp;" "&amp;H370&amp;" "&amp;I370))))),1,0)</f>
        <v>0</v>
      </c>
      <c r="Y370" s="14">
        <f t="shared" si="47"/>
        <v>0</v>
      </c>
      <c r="Z370" s="15" t="str">
        <f>IF(V370=0,"",IF(COUNTIFS(Andamentos!$K$10:$K$2009,"="&amp;SUBSTITUTE(SUBSTITUTE(SUBSTITUTE("P:"&amp;A370,"~","~~"),"*","~*"),"?","~?"),Andamentos!$G$10:$G$2009,1)=0,"",_xlfn.AGGREGATE(14,6,Andamentos!$D$10:$D$2009/((Andamentos!$K$10:$K$2009=AS370)*(Andamentos!$G$10:$G$2009=1)),1)))</f>
        <v/>
      </c>
      <c r="AA370" s="14">
        <f>IF(Z370="",0,COUNTIFS(Andamentos!$K$10:$K$2009,"="&amp;SUBSTITUTE(SUBSTITUTE(SUBSTITUTE("P:"&amp;A370,"~","~~"),"*","~*"),"?","~?"),Andamentos!$D$10:$D$2009,Z370,Andamentos!$G$10:$G$2009,1))</f>
        <v>0</v>
      </c>
      <c r="AB370" s="14">
        <f>IF(AA370=1,SUMIFS(Andamentos!$L$10:$L$2009,Andamentos!$K$10:$K$2009,"="&amp;SUBSTITUTE(SUBSTITUTE(SUBSTITUTE(AS370,"~","~~"),"*","~*"),"?","~?"),Andamentos!$D$10:$D$2009,Z370,Andamentos!$G$10:$G$2009,1)-9,0)</f>
        <v>0</v>
      </c>
      <c r="AC370" s="14" t="str">
        <f>IF(V370=0,"",IF(AA370&gt;1,"Conferir recebimentos empatados",IF(AB370=0,"Sem atualização",INDEX(Andamentos!$C$10:$C$2009,AB370))))</f>
        <v/>
      </c>
      <c r="AD370" s="14">
        <f>IF(W370=0,0,IF(MAX(Z370,BD370)=0,1,IF(Configurar!$J$12-INT(MAX(Z370,BD370))&gt;Configurar!$J$11,1,0)))</f>
        <v>0</v>
      </c>
      <c r="AE370" s="16"/>
      <c r="AF370" s="14"/>
      <c r="AG370" s="14"/>
      <c r="AH370" s="14">
        <f>IF(AND(V370=1,COUNTIFS(Valores!$S$10:$S$509,"="&amp;SUBSTITUTE(SUBSTITUTE(SUBSTITUTE("P:"&amp;A370,"~","~~"),"*","~*"),"?","~?"))=1),(IF(ISNA(MATCH(SUBSTITUTE(SUBSTITUTE(SUBSTITUTE("P:"&amp;A370,"~","~~"),"*","~*"),"?","~?"),Valores!$S$10:$S$509,0)),9,INDEX(Valores!$R$10:$R$509,MATCH(SUBSTITUTE(SUBSTITUTE(SUBSTITUTE("P:"&amp;A370,"~","~~"),"*","~*"),"?","~?"),Valores!$S$10:$S$509,0)))-9),0)</f>
        <v>0</v>
      </c>
      <c r="AI370" s="40" t="str">
        <f t="shared" si="48"/>
        <v/>
      </c>
      <c r="AJ370" s="14" t="str">
        <f>IF(AND(X370=1,Y370=1),COUNTIFS($X$10:X370,1,$Y$10:Y370,1),"")</f>
        <v/>
      </c>
      <c r="AK370" s="14" t="str">
        <f>IF(X370=1,COUNTIFS($X$10:X370,1),"")</f>
        <v/>
      </c>
      <c r="AL370" s="14">
        <f>IF(AND(V370=1,AND(OR(Painel!$L$6="Todas",E370=Painel!$L$6),OR(Painel!$C$8="Todos",F370=Painel!$C$8),OR(Painel!$L$8="Todos",G370=Painel!$L$8),OR(Painel!$C$10="",ISNUMBER(SEARCH(SUBSTITUTE(SUBSTITUTE(SUBSTITUTE(Painel!$C$10,"~","~~"),"*","~*"),"?","~?"),A370&amp;" "&amp;H370&amp;" "&amp;I370))))),1,0)</f>
        <v>0</v>
      </c>
      <c r="AM370" s="14">
        <f t="shared" si="49"/>
        <v>0</v>
      </c>
      <c r="AN370" s="14"/>
      <c r="AO370" s="14"/>
      <c r="AP370" s="16" t="str">
        <f>IF(AB370=0,"",IF(INDEX(Andamentos!$B$10:$B$2009,AB370)="","",INDEX(Andamentos!$B$10:$B$2009,AB370)))</f>
        <v/>
      </c>
      <c r="AQ370" s="17" t="str">
        <f>IF(AH370=0,"",IF(INDEX(Valores!$B$10:$B$509,AH370)="","",IF(ISNUMBER(INDEX(Valores!$B$10:$B$509,AH370)),INDEX(Valores!$B$10:$B$509,AH370),"")))</f>
        <v/>
      </c>
      <c r="AR370" s="14" t="str">
        <f t="shared" si="50"/>
        <v/>
      </c>
      <c r="AS370" s="14" t="str">
        <f t="shared" si="51"/>
        <v/>
      </c>
      <c r="AT370" s="27"/>
      <c r="AU370" s="31"/>
      <c r="AV370" s="31"/>
      <c r="AW370" s="27"/>
      <c r="AX370" s="27"/>
      <c r="AY370" s="27"/>
      <c r="AZ370" s="27"/>
      <c r="BA370" s="30" t="str">
        <f t="shared" si="52"/>
        <v/>
      </c>
      <c r="BB370" s="30" t="str">
        <f t="shared" si="53"/>
        <v/>
      </c>
      <c r="BC370" s="30">
        <f>IF(X370=0,0,IF(COUNTIFS($X$10:X370,1,$BA$10:BA370,BA370)=1,1,0))</f>
        <v>0</v>
      </c>
      <c r="BD370" s="29"/>
    </row>
    <row r="371" spans="1:56" ht="42" customHeight="1">
      <c r="A371" s="41"/>
      <c r="B371" s="44"/>
      <c r="C371" s="44"/>
      <c r="D371" s="44"/>
      <c r="E371" s="44"/>
      <c r="F371" s="44"/>
      <c r="G371" s="44"/>
      <c r="H371" s="44"/>
      <c r="I371" s="44"/>
      <c r="J371" s="44"/>
      <c r="K371" s="44"/>
      <c r="L371" s="49"/>
      <c r="M371" s="48"/>
      <c r="N371" s="48"/>
      <c r="O371" s="48"/>
      <c r="P371" s="48"/>
      <c r="Q371" s="48"/>
      <c r="R371" s="48"/>
      <c r="S371" s="49"/>
      <c r="T371" s="48"/>
      <c r="U371" s="48"/>
      <c r="V371" s="14">
        <f t="shared" si="45"/>
        <v>0</v>
      </c>
      <c r="W371" s="14">
        <f t="shared" si="46"/>
        <v>0</v>
      </c>
      <c r="X371" s="14">
        <f>IF(AND(V371=1,OR(Painel!$C$6="Todos",D371=Painel!$C$6),AND(OR(Painel!$L$6="Todas",E371=Painel!$L$6),OR(Painel!$C$8="Todos",F371=Painel!$C$8),OR(Painel!$L$8="Todos",G371=Painel!$L$8),OR(Painel!$C$10="",ISNUMBER(SEARCH(SUBSTITUTE(SUBSTITUTE(SUBSTITUTE(Painel!$C$10,"~","~~"),"*","~*"),"?","~?"),A371&amp;" "&amp;H371&amp;" "&amp;I371))))),1,0)</f>
        <v>0</v>
      </c>
      <c r="Y371" s="14">
        <f t="shared" si="47"/>
        <v>0</v>
      </c>
      <c r="Z371" s="15" t="str">
        <f>IF(V371=0,"",IF(COUNTIFS(Andamentos!$K$10:$K$2009,"="&amp;SUBSTITUTE(SUBSTITUTE(SUBSTITUTE("P:"&amp;A371,"~","~~"),"*","~*"),"?","~?"),Andamentos!$G$10:$G$2009,1)=0,"",_xlfn.AGGREGATE(14,6,Andamentos!$D$10:$D$2009/((Andamentos!$K$10:$K$2009=AS371)*(Andamentos!$G$10:$G$2009=1)),1)))</f>
        <v/>
      </c>
      <c r="AA371" s="14">
        <f>IF(Z371="",0,COUNTIFS(Andamentos!$K$10:$K$2009,"="&amp;SUBSTITUTE(SUBSTITUTE(SUBSTITUTE("P:"&amp;A371,"~","~~"),"*","~*"),"?","~?"),Andamentos!$D$10:$D$2009,Z371,Andamentos!$G$10:$G$2009,1))</f>
        <v>0</v>
      </c>
      <c r="AB371" s="14">
        <f>IF(AA371=1,SUMIFS(Andamentos!$L$10:$L$2009,Andamentos!$K$10:$K$2009,"="&amp;SUBSTITUTE(SUBSTITUTE(SUBSTITUTE(AS371,"~","~~"),"*","~*"),"?","~?"),Andamentos!$D$10:$D$2009,Z371,Andamentos!$G$10:$G$2009,1)-9,0)</f>
        <v>0</v>
      </c>
      <c r="AC371" s="14" t="str">
        <f>IF(V371=0,"",IF(AA371&gt;1,"Conferir recebimentos empatados",IF(AB371=0,"Sem atualização",INDEX(Andamentos!$C$10:$C$2009,AB371))))</f>
        <v/>
      </c>
      <c r="AD371" s="14">
        <f>IF(W371=0,0,IF(MAX(Z371,BD371)=0,1,IF(Configurar!$J$12-INT(MAX(Z371,BD371))&gt;Configurar!$J$11,1,0)))</f>
        <v>0</v>
      </c>
      <c r="AE371" s="16"/>
      <c r="AF371" s="14"/>
      <c r="AG371" s="14"/>
      <c r="AH371" s="14">
        <f>IF(AND(V371=1,COUNTIFS(Valores!$S$10:$S$509,"="&amp;SUBSTITUTE(SUBSTITUTE(SUBSTITUTE("P:"&amp;A371,"~","~~"),"*","~*"),"?","~?"))=1),(IF(ISNA(MATCH(SUBSTITUTE(SUBSTITUTE(SUBSTITUTE("P:"&amp;A371,"~","~~"),"*","~*"),"?","~?"),Valores!$S$10:$S$509,0)),9,INDEX(Valores!$R$10:$R$509,MATCH(SUBSTITUTE(SUBSTITUTE(SUBSTITUTE("P:"&amp;A371,"~","~~"),"*","~*"),"?","~?"),Valores!$S$10:$S$509,0)))-9),0)</f>
        <v>0</v>
      </c>
      <c r="AI371" s="40" t="str">
        <f t="shared" si="48"/>
        <v/>
      </c>
      <c r="AJ371" s="14" t="str">
        <f>IF(AND(X371=1,Y371=1),COUNTIFS($X$10:X371,1,$Y$10:Y371,1),"")</f>
        <v/>
      </c>
      <c r="AK371" s="14" t="str">
        <f>IF(X371=1,COUNTIFS($X$10:X371,1),"")</f>
        <v/>
      </c>
      <c r="AL371" s="14">
        <f>IF(AND(V371=1,AND(OR(Painel!$L$6="Todas",E371=Painel!$L$6),OR(Painel!$C$8="Todos",F371=Painel!$C$8),OR(Painel!$L$8="Todos",G371=Painel!$L$8),OR(Painel!$C$10="",ISNUMBER(SEARCH(SUBSTITUTE(SUBSTITUTE(SUBSTITUTE(Painel!$C$10,"~","~~"),"*","~*"),"?","~?"),A371&amp;" "&amp;H371&amp;" "&amp;I371))))),1,0)</f>
        <v>0</v>
      </c>
      <c r="AM371" s="14">
        <f t="shared" si="49"/>
        <v>0</v>
      </c>
      <c r="AN371" s="14"/>
      <c r="AO371" s="14"/>
      <c r="AP371" s="16" t="str">
        <f>IF(AB371=0,"",IF(INDEX(Andamentos!$B$10:$B$2009,AB371)="","",INDEX(Andamentos!$B$10:$B$2009,AB371)))</f>
        <v/>
      </c>
      <c r="AQ371" s="17" t="str">
        <f>IF(AH371=0,"",IF(INDEX(Valores!$B$10:$B$509,AH371)="","",IF(ISNUMBER(INDEX(Valores!$B$10:$B$509,AH371)),INDEX(Valores!$B$10:$B$509,AH371),"")))</f>
        <v/>
      </c>
      <c r="AR371" s="14" t="str">
        <f t="shared" si="50"/>
        <v/>
      </c>
      <c r="AS371" s="14" t="str">
        <f t="shared" si="51"/>
        <v/>
      </c>
      <c r="AT371" s="27"/>
      <c r="AU371" s="31"/>
      <c r="AV371" s="31"/>
      <c r="AW371" s="27"/>
      <c r="AX371" s="27"/>
      <c r="AY371" s="27"/>
      <c r="AZ371" s="27"/>
      <c r="BA371" s="30" t="str">
        <f t="shared" si="52"/>
        <v/>
      </c>
      <c r="BB371" s="30" t="str">
        <f t="shared" si="53"/>
        <v/>
      </c>
      <c r="BC371" s="30">
        <f>IF(X371=0,0,IF(COUNTIFS($X$10:X371,1,$BA$10:BA371,BA371)=1,1,0))</f>
        <v>0</v>
      </c>
      <c r="BD371" s="29"/>
    </row>
    <row r="372" spans="1:56" ht="42" customHeight="1">
      <c r="A372" s="41"/>
      <c r="B372" s="44"/>
      <c r="C372" s="44"/>
      <c r="D372" s="44"/>
      <c r="E372" s="44"/>
      <c r="F372" s="44"/>
      <c r="G372" s="44"/>
      <c r="H372" s="44"/>
      <c r="I372" s="44"/>
      <c r="J372" s="44"/>
      <c r="K372" s="44"/>
      <c r="L372" s="49"/>
      <c r="M372" s="48"/>
      <c r="N372" s="48"/>
      <c r="O372" s="48"/>
      <c r="P372" s="48"/>
      <c r="Q372" s="48"/>
      <c r="R372" s="48"/>
      <c r="S372" s="49"/>
      <c r="T372" s="48"/>
      <c r="U372" s="48"/>
      <c r="V372" s="14">
        <f t="shared" si="45"/>
        <v>0</v>
      </c>
      <c r="W372" s="14">
        <f t="shared" si="46"/>
        <v>0</v>
      </c>
      <c r="X372" s="14">
        <f>IF(AND(V372=1,OR(Painel!$C$6="Todos",D372=Painel!$C$6),AND(OR(Painel!$L$6="Todas",E372=Painel!$L$6),OR(Painel!$C$8="Todos",F372=Painel!$C$8),OR(Painel!$L$8="Todos",G372=Painel!$L$8),OR(Painel!$C$10="",ISNUMBER(SEARCH(SUBSTITUTE(SUBSTITUTE(SUBSTITUTE(Painel!$C$10,"~","~~"),"*","~*"),"?","~?"),A372&amp;" "&amp;H372&amp;" "&amp;I372))))),1,0)</f>
        <v>0</v>
      </c>
      <c r="Y372" s="14">
        <f t="shared" si="47"/>
        <v>0</v>
      </c>
      <c r="Z372" s="15" t="str">
        <f>IF(V372=0,"",IF(COUNTIFS(Andamentos!$K$10:$K$2009,"="&amp;SUBSTITUTE(SUBSTITUTE(SUBSTITUTE("P:"&amp;A372,"~","~~"),"*","~*"),"?","~?"),Andamentos!$G$10:$G$2009,1)=0,"",_xlfn.AGGREGATE(14,6,Andamentos!$D$10:$D$2009/((Andamentos!$K$10:$K$2009=AS372)*(Andamentos!$G$10:$G$2009=1)),1)))</f>
        <v/>
      </c>
      <c r="AA372" s="14">
        <f>IF(Z372="",0,COUNTIFS(Andamentos!$K$10:$K$2009,"="&amp;SUBSTITUTE(SUBSTITUTE(SUBSTITUTE("P:"&amp;A372,"~","~~"),"*","~*"),"?","~?"),Andamentos!$D$10:$D$2009,Z372,Andamentos!$G$10:$G$2009,1))</f>
        <v>0</v>
      </c>
      <c r="AB372" s="14">
        <f>IF(AA372=1,SUMIFS(Andamentos!$L$10:$L$2009,Andamentos!$K$10:$K$2009,"="&amp;SUBSTITUTE(SUBSTITUTE(SUBSTITUTE(AS372,"~","~~"),"*","~*"),"?","~?"),Andamentos!$D$10:$D$2009,Z372,Andamentos!$G$10:$G$2009,1)-9,0)</f>
        <v>0</v>
      </c>
      <c r="AC372" s="14" t="str">
        <f>IF(V372=0,"",IF(AA372&gt;1,"Conferir recebimentos empatados",IF(AB372=0,"Sem atualização",INDEX(Andamentos!$C$10:$C$2009,AB372))))</f>
        <v/>
      </c>
      <c r="AD372" s="14">
        <f>IF(W372=0,0,IF(MAX(Z372,BD372)=0,1,IF(Configurar!$J$12-INT(MAX(Z372,BD372))&gt;Configurar!$J$11,1,0)))</f>
        <v>0</v>
      </c>
      <c r="AE372" s="16"/>
      <c r="AF372" s="14"/>
      <c r="AG372" s="14"/>
      <c r="AH372" s="14">
        <f>IF(AND(V372=1,COUNTIFS(Valores!$S$10:$S$509,"="&amp;SUBSTITUTE(SUBSTITUTE(SUBSTITUTE("P:"&amp;A372,"~","~~"),"*","~*"),"?","~?"))=1),(IF(ISNA(MATCH(SUBSTITUTE(SUBSTITUTE(SUBSTITUTE("P:"&amp;A372,"~","~~"),"*","~*"),"?","~?"),Valores!$S$10:$S$509,0)),9,INDEX(Valores!$R$10:$R$509,MATCH(SUBSTITUTE(SUBSTITUTE(SUBSTITUTE("P:"&amp;A372,"~","~~"),"*","~*"),"?","~?"),Valores!$S$10:$S$509,0)))-9),0)</f>
        <v>0</v>
      </c>
      <c r="AI372" s="40" t="str">
        <f t="shared" si="48"/>
        <v/>
      </c>
      <c r="AJ372" s="14" t="str">
        <f>IF(AND(X372=1,Y372=1),COUNTIFS($X$10:X372,1,$Y$10:Y372,1),"")</f>
        <v/>
      </c>
      <c r="AK372" s="14" t="str">
        <f>IF(X372=1,COUNTIFS($X$10:X372,1),"")</f>
        <v/>
      </c>
      <c r="AL372" s="14">
        <f>IF(AND(V372=1,AND(OR(Painel!$L$6="Todas",E372=Painel!$L$6),OR(Painel!$C$8="Todos",F372=Painel!$C$8),OR(Painel!$L$8="Todos",G372=Painel!$L$8),OR(Painel!$C$10="",ISNUMBER(SEARCH(SUBSTITUTE(SUBSTITUTE(SUBSTITUTE(Painel!$C$10,"~","~~"),"*","~*"),"?","~?"),A372&amp;" "&amp;H372&amp;" "&amp;I372))))),1,0)</f>
        <v>0</v>
      </c>
      <c r="AM372" s="14">
        <f t="shared" si="49"/>
        <v>0</v>
      </c>
      <c r="AN372" s="14"/>
      <c r="AO372" s="14"/>
      <c r="AP372" s="16" t="str">
        <f>IF(AB372=0,"",IF(INDEX(Andamentos!$B$10:$B$2009,AB372)="","",INDEX(Andamentos!$B$10:$B$2009,AB372)))</f>
        <v/>
      </c>
      <c r="AQ372" s="17" t="str">
        <f>IF(AH372=0,"",IF(INDEX(Valores!$B$10:$B$509,AH372)="","",IF(ISNUMBER(INDEX(Valores!$B$10:$B$509,AH372)),INDEX(Valores!$B$10:$B$509,AH372),"")))</f>
        <v/>
      </c>
      <c r="AR372" s="14" t="str">
        <f t="shared" si="50"/>
        <v/>
      </c>
      <c r="AS372" s="14" t="str">
        <f t="shared" si="51"/>
        <v/>
      </c>
      <c r="AT372" s="27"/>
      <c r="AU372" s="31"/>
      <c r="AV372" s="31"/>
      <c r="AW372" s="27"/>
      <c r="AX372" s="27"/>
      <c r="AY372" s="27"/>
      <c r="AZ372" s="27"/>
      <c r="BA372" s="30" t="str">
        <f t="shared" si="52"/>
        <v/>
      </c>
      <c r="BB372" s="30" t="str">
        <f t="shared" si="53"/>
        <v/>
      </c>
      <c r="BC372" s="30">
        <f>IF(X372=0,0,IF(COUNTIFS($X$10:X372,1,$BA$10:BA372,BA372)=1,1,0))</f>
        <v>0</v>
      </c>
      <c r="BD372" s="29"/>
    </row>
    <row r="373" spans="1:56" ht="42" customHeight="1">
      <c r="A373" s="41"/>
      <c r="B373" s="44"/>
      <c r="C373" s="44"/>
      <c r="D373" s="44"/>
      <c r="E373" s="44"/>
      <c r="F373" s="44"/>
      <c r="G373" s="44"/>
      <c r="H373" s="44"/>
      <c r="I373" s="44"/>
      <c r="J373" s="44"/>
      <c r="K373" s="44"/>
      <c r="L373" s="49"/>
      <c r="M373" s="48"/>
      <c r="N373" s="48"/>
      <c r="O373" s="48"/>
      <c r="P373" s="48"/>
      <c r="Q373" s="48"/>
      <c r="R373" s="48"/>
      <c r="S373" s="49"/>
      <c r="T373" s="48"/>
      <c r="U373" s="48"/>
      <c r="V373" s="14">
        <f t="shared" si="45"/>
        <v>0</v>
      </c>
      <c r="W373" s="14">
        <f t="shared" si="46"/>
        <v>0</v>
      </c>
      <c r="X373" s="14">
        <f>IF(AND(V373=1,OR(Painel!$C$6="Todos",D373=Painel!$C$6),AND(OR(Painel!$L$6="Todas",E373=Painel!$L$6),OR(Painel!$C$8="Todos",F373=Painel!$C$8),OR(Painel!$L$8="Todos",G373=Painel!$L$8),OR(Painel!$C$10="",ISNUMBER(SEARCH(SUBSTITUTE(SUBSTITUTE(SUBSTITUTE(Painel!$C$10,"~","~~"),"*","~*"),"?","~?"),A373&amp;" "&amp;H373&amp;" "&amp;I373))))),1,0)</f>
        <v>0</v>
      </c>
      <c r="Y373" s="14">
        <f t="shared" si="47"/>
        <v>0</v>
      </c>
      <c r="Z373" s="15" t="str">
        <f>IF(V373=0,"",IF(COUNTIFS(Andamentos!$K$10:$K$2009,"="&amp;SUBSTITUTE(SUBSTITUTE(SUBSTITUTE("P:"&amp;A373,"~","~~"),"*","~*"),"?","~?"),Andamentos!$G$10:$G$2009,1)=0,"",_xlfn.AGGREGATE(14,6,Andamentos!$D$10:$D$2009/((Andamentos!$K$10:$K$2009=AS373)*(Andamentos!$G$10:$G$2009=1)),1)))</f>
        <v/>
      </c>
      <c r="AA373" s="14">
        <f>IF(Z373="",0,COUNTIFS(Andamentos!$K$10:$K$2009,"="&amp;SUBSTITUTE(SUBSTITUTE(SUBSTITUTE("P:"&amp;A373,"~","~~"),"*","~*"),"?","~?"),Andamentos!$D$10:$D$2009,Z373,Andamentos!$G$10:$G$2009,1))</f>
        <v>0</v>
      </c>
      <c r="AB373" s="14">
        <f>IF(AA373=1,SUMIFS(Andamentos!$L$10:$L$2009,Andamentos!$K$10:$K$2009,"="&amp;SUBSTITUTE(SUBSTITUTE(SUBSTITUTE(AS373,"~","~~"),"*","~*"),"?","~?"),Andamentos!$D$10:$D$2009,Z373,Andamentos!$G$10:$G$2009,1)-9,0)</f>
        <v>0</v>
      </c>
      <c r="AC373" s="14" t="str">
        <f>IF(V373=0,"",IF(AA373&gt;1,"Conferir recebimentos empatados",IF(AB373=0,"Sem atualização",INDEX(Andamentos!$C$10:$C$2009,AB373))))</f>
        <v/>
      </c>
      <c r="AD373" s="14">
        <f>IF(W373=0,0,IF(MAX(Z373,BD373)=0,1,IF(Configurar!$J$12-INT(MAX(Z373,BD373))&gt;Configurar!$J$11,1,0)))</f>
        <v>0</v>
      </c>
      <c r="AE373" s="16"/>
      <c r="AF373" s="14"/>
      <c r="AG373" s="14"/>
      <c r="AH373" s="14">
        <f>IF(AND(V373=1,COUNTIFS(Valores!$S$10:$S$509,"="&amp;SUBSTITUTE(SUBSTITUTE(SUBSTITUTE("P:"&amp;A373,"~","~~"),"*","~*"),"?","~?"))=1),(IF(ISNA(MATCH(SUBSTITUTE(SUBSTITUTE(SUBSTITUTE("P:"&amp;A373,"~","~~"),"*","~*"),"?","~?"),Valores!$S$10:$S$509,0)),9,INDEX(Valores!$R$10:$R$509,MATCH(SUBSTITUTE(SUBSTITUTE(SUBSTITUTE("P:"&amp;A373,"~","~~"),"*","~*"),"?","~?"),Valores!$S$10:$S$509,0)))-9),0)</f>
        <v>0</v>
      </c>
      <c r="AI373" s="40" t="str">
        <f t="shared" si="48"/>
        <v/>
      </c>
      <c r="AJ373" s="14" t="str">
        <f>IF(AND(X373=1,Y373=1),COUNTIFS($X$10:X373,1,$Y$10:Y373,1),"")</f>
        <v/>
      </c>
      <c r="AK373" s="14" t="str">
        <f>IF(X373=1,COUNTIFS($X$10:X373,1),"")</f>
        <v/>
      </c>
      <c r="AL373" s="14">
        <f>IF(AND(V373=1,AND(OR(Painel!$L$6="Todas",E373=Painel!$L$6),OR(Painel!$C$8="Todos",F373=Painel!$C$8),OR(Painel!$L$8="Todos",G373=Painel!$L$8),OR(Painel!$C$10="",ISNUMBER(SEARCH(SUBSTITUTE(SUBSTITUTE(SUBSTITUTE(Painel!$C$10,"~","~~"),"*","~*"),"?","~?"),A373&amp;" "&amp;H373&amp;" "&amp;I373))))),1,0)</f>
        <v>0</v>
      </c>
      <c r="AM373" s="14">
        <f t="shared" si="49"/>
        <v>0</v>
      </c>
      <c r="AN373" s="14"/>
      <c r="AO373" s="14"/>
      <c r="AP373" s="16" t="str">
        <f>IF(AB373=0,"",IF(INDEX(Andamentos!$B$10:$B$2009,AB373)="","",INDEX(Andamentos!$B$10:$B$2009,AB373)))</f>
        <v/>
      </c>
      <c r="AQ373" s="17" t="str">
        <f>IF(AH373=0,"",IF(INDEX(Valores!$B$10:$B$509,AH373)="","",IF(ISNUMBER(INDEX(Valores!$B$10:$B$509,AH373)),INDEX(Valores!$B$10:$B$509,AH373),"")))</f>
        <v/>
      </c>
      <c r="AR373" s="14" t="str">
        <f t="shared" si="50"/>
        <v/>
      </c>
      <c r="AS373" s="14" t="str">
        <f t="shared" si="51"/>
        <v/>
      </c>
      <c r="AT373" s="27"/>
      <c r="AU373" s="31"/>
      <c r="AV373" s="31"/>
      <c r="AW373" s="27"/>
      <c r="AX373" s="27"/>
      <c r="AY373" s="27"/>
      <c r="AZ373" s="27"/>
      <c r="BA373" s="30" t="str">
        <f t="shared" si="52"/>
        <v/>
      </c>
      <c r="BB373" s="30" t="str">
        <f t="shared" si="53"/>
        <v/>
      </c>
      <c r="BC373" s="30">
        <f>IF(X373=0,0,IF(COUNTIFS($X$10:X373,1,$BA$10:BA373,BA373)=1,1,0))</f>
        <v>0</v>
      </c>
      <c r="BD373" s="29"/>
    </row>
    <row r="374" spans="1:56" ht="42" customHeight="1">
      <c r="A374" s="41"/>
      <c r="B374" s="44"/>
      <c r="C374" s="44"/>
      <c r="D374" s="44"/>
      <c r="E374" s="44"/>
      <c r="F374" s="44"/>
      <c r="G374" s="44"/>
      <c r="H374" s="44"/>
      <c r="I374" s="44"/>
      <c r="J374" s="44"/>
      <c r="K374" s="44"/>
      <c r="L374" s="49"/>
      <c r="M374" s="48"/>
      <c r="N374" s="48"/>
      <c r="O374" s="48"/>
      <c r="P374" s="48"/>
      <c r="Q374" s="48"/>
      <c r="R374" s="48"/>
      <c r="S374" s="49"/>
      <c r="T374" s="48"/>
      <c r="U374" s="48"/>
      <c r="V374" s="14">
        <f t="shared" si="45"/>
        <v>0</v>
      </c>
      <c r="W374" s="14">
        <f t="shared" si="46"/>
        <v>0</v>
      </c>
      <c r="X374" s="14">
        <f>IF(AND(V374=1,OR(Painel!$C$6="Todos",D374=Painel!$C$6),AND(OR(Painel!$L$6="Todas",E374=Painel!$L$6),OR(Painel!$C$8="Todos",F374=Painel!$C$8),OR(Painel!$L$8="Todos",G374=Painel!$L$8),OR(Painel!$C$10="",ISNUMBER(SEARCH(SUBSTITUTE(SUBSTITUTE(SUBSTITUTE(Painel!$C$10,"~","~~"),"*","~*"),"?","~?"),A374&amp;" "&amp;H374&amp;" "&amp;I374))))),1,0)</f>
        <v>0</v>
      </c>
      <c r="Y374" s="14">
        <f t="shared" si="47"/>
        <v>0</v>
      </c>
      <c r="Z374" s="15" t="str">
        <f>IF(V374=0,"",IF(COUNTIFS(Andamentos!$K$10:$K$2009,"="&amp;SUBSTITUTE(SUBSTITUTE(SUBSTITUTE("P:"&amp;A374,"~","~~"),"*","~*"),"?","~?"),Andamentos!$G$10:$G$2009,1)=0,"",_xlfn.AGGREGATE(14,6,Andamentos!$D$10:$D$2009/((Andamentos!$K$10:$K$2009=AS374)*(Andamentos!$G$10:$G$2009=1)),1)))</f>
        <v/>
      </c>
      <c r="AA374" s="14">
        <f>IF(Z374="",0,COUNTIFS(Andamentos!$K$10:$K$2009,"="&amp;SUBSTITUTE(SUBSTITUTE(SUBSTITUTE("P:"&amp;A374,"~","~~"),"*","~*"),"?","~?"),Andamentos!$D$10:$D$2009,Z374,Andamentos!$G$10:$G$2009,1))</f>
        <v>0</v>
      </c>
      <c r="AB374" s="14">
        <f>IF(AA374=1,SUMIFS(Andamentos!$L$10:$L$2009,Andamentos!$K$10:$K$2009,"="&amp;SUBSTITUTE(SUBSTITUTE(SUBSTITUTE(AS374,"~","~~"),"*","~*"),"?","~?"),Andamentos!$D$10:$D$2009,Z374,Andamentos!$G$10:$G$2009,1)-9,0)</f>
        <v>0</v>
      </c>
      <c r="AC374" s="14" t="str">
        <f>IF(V374=0,"",IF(AA374&gt;1,"Conferir recebimentos empatados",IF(AB374=0,"Sem atualização",INDEX(Andamentos!$C$10:$C$2009,AB374))))</f>
        <v/>
      </c>
      <c r="AD374" s="14">
        <f>IF(W374=0,0,IF(MAX(Z374,BD374)=0,1,IF(Configurar!$J$12-INT(MAX(Z374,BD374))&gt;Configurar!$J$11,1,0)))</f>
        <v>0</v>
      </c>
      <c r="AE374" s="16"/>
      <c r="AF374" s="14"/>
      <c r="AG374" s="14"/>
      <c r="AH374" s="14">
        <f>IF(AND(V374=1,COUNTIFS(Valores!$S$10:$S$509,"="&amp;SUBSTITUTE(SUBSTITUTE(SUBSTITUTE("P:"&amp;A374,"~","~~"),"*","~*"),"?","~?"))=1),(IF(ISNA(MATCH(SUBSTITUTE(SUBSTITUTE(SUBSTITUTE("P:"&amp;A374,"~","~~"),"*","~*"),"?","~?"),Valores!$S$10:$S$509,0)),9,INDEX(Valores!$R$10:$R$509,MATCH(SUBSTITUTE(SUBSTITUTE(SUBSTITUTE("P:"&amp;A374,"~","~~"),"*","~*"),"?","~?"),Valores!$S$10:$S$509,0)))-9),0)</f>
        <v>0</v>
      </c>
      <c r="AI374" s="40" t="str">
        <f t="shared" si="48"/>
        <v/>
      </c>
      <c r="AJ374" s="14" t="str">
        <f>IF(AND(X374=1,Y374=1),COUNTIFS($X$10:X374,1,$Y$10:Y374,1),"")</f>
        <v/>
      </c>
      <c r="AK374" s="14" t="str">
        <f>IF(X374=1,COUNTIFS($X$10:X374,1),"")</f>
        <v/>
      </c>
      <c r="AL374" s="14">
        <f>IF(AND(V374=1,AND(OR(Painel!$L$6="Todas",E374=Painel!$L$6),OR(Painel!$C$8="Todos",F374=Painel!$C$8),OR(Painel!$L$8="Todos",G374=Painel!$L$8),OR(Painel!$C$10="",ISNUMBER(SEARCH(SUBSTITUTE(SUBSTITUTE(SUBSTITUTE(Painel!$C$10,"~","~~"),"*","~*"),"?","~?"),A374&amp;" "&amp;H374&amp;" "&amp;I374))))),1,0)</f>
        <v>0</v>
      </c>
      <c r="AM374" s="14">
        <f t="shared" si="49"/>
        <v>0</v>
      </c>
      <c r="AN374" s="14"/>
      <c r="AO374" s="14"/>
      <c r="AP374" s="16" t="str">
        <f>IF(AB374=0,"",IF(INDEX(Andamentos!$B$10:$B$2009,AB374)="","",INDEX(Andamentos!$B$10:$B$2009,AB374)))</f>
        <v/>
      </c>
      <c r="AQ374" s="17" t="str">
        <f>IF(AH374=0,"",IF(INDEX(Valores!$B$10:$B$509,AH374)="","",IF(ISNUMBER(INDEX(Valores!$B$10:$B$509,AH374)),INDEX(Valores!$B$10:$B$509,AH374),"")))</f>
        <v/>
      </c>
      <c r="AR374" s="14" t="str">
        <f t="shared" si="50"/>
        <v/>
      </c>
      <c r="AS374" s="14" t="str">
        <f t="shared" si="51"/>
        <v/>
      </c>
      <c r="AT374" s="27"/>
      <c r="AU374" s="31"/>
      <c r="AV374" s="31"/>
      <c r="AW374" s="27"/>
      <c r="AX374" s="27"/>
      <c r="AY374" s="27"/>
      <c r="AZ374" s="27"/>
      <c r="BA374" s="30" t="str">
        <f t="shared" si="52"/>
        <v/>
      </c>
      <c r="BB374" s="30" t="str">
        <f t="shared" si="53"/>
        <v/>
      </c>
      <c r="BC374" s="30">
        <f>IF(X374=0,0,IF(COUNTIFS($X$10:X374,1,$BA$10:BA374,BA374)=1,1,0))</f>
        <v>0</v>
      </c>
      <c r="BD374" s="29"/>
    </row>
    <row r="375" spans="1:56" ht="42" customHeight="1">
      <c r="A375" s="41"/>
      <c r="B375" s="44"/>
      <c r="C375" s="44"/>
      <c r="D375" s="44"/>
      <c r="E375" s="44"/>
      <c r="F375" s="44"/>
      <c r="G375" s="44"/>
      <c r="H375" s="44"/>
      <c r="I375" s="44"/>
      <c r="J375" s="44"/>
      <c r="K375" s="44"/>
      <c r="L375" s="49"/>
      <c r="M375" s="48"/>
      <c r="N375" s="48"/>
      <c r="O375" s="48"/>
      <c r="P375" s="48"/>
      <c r="Q375" s="48"/>
      <c r="R375" s="48"/>
      <c r="S375" s="49"/>
      <c r="T375" s="48"/>
      <c r="U375" s="48"/>
      <c r="V375" s="14">
        <f t="shared" si="45"/>
        <v>0</v>
      </c>
      <c r="W375" s="14">
        <f t="shared" si="46"/>
        <v>0</v>
      </c>
      <c r="X375" s="14">
        <f>IF(AND(V375=1,OR(Painel!$C$6="Todos",D375=Painel!$C$6),AND(OR(Painel!$L$6="Todas",E375=Painel!$L$6),OR(Painel!$C$8="Todos",F375=Painel!$C$8),OR(Painel!$L$8="Todos",G375=Painel!$L$8),OR(Painel!$C$10="",ISNUMBER(SEARCH(SUBSTITUTE(SUBSTITUTE(SUBSTITUTE(Painel!$C$10,"~","~~"),"*","~*"),"?","~?"),A375&amp;" "&amp;H375&amp;" "&amp;I375))))),1,0)</f>
        <v>0</v>
      </c>
      <c r="Y375" s="14">
        <f t="shared" si="47"/>
        <v>0</v>
      </c>
      <c r="Z375" s="15" t="str">
        <f>IF(V375=0,"",IF(COUNTIFS(Andamentos!$K$10:$K$2009,"="&amp;SUBSTITUTE(SUBSTITUTE(SUBSTITUTE("P:"&amp;A375,"~","~~"),"*","~*"),"?","~?"),Andamentos!$G$10:$G$2009,1)=0,"",_xlfn.AGGREGATE(14,6,Andamentos!$D$10:$D$2009/((Andamentos!$K$10:$K$2009=AS375)*(Andamentos!$G$10:$G$2009=1)),1)))</f>
        <v/>
      </c>
      <c r="AA375" s="14">
        <f>IF(Z375="",0,COUNTIFS(Andamentos!$K$10:$K$2009,"="&amp;SUBSTITUTE(SUBSTITUTE(SUBSTITUTE("P:"&amp;A375,"~","~~"),"*","~*"),"?","~?"),Andamentos!$D$10:$D$2009,Z375,Andamentos!$G$10:$G$2009,1))</f>
        <v>0</v>
      </c>
      <c r="AB375" s="14">
        <f>IF(AA375=1,SUMIFS(Andamentos!$L$10:$L$2009,Andamentos!$K$10:$K$2009,"="&amp;SUBSTITUTE(SUBSTITUTE(SUBSTITUTE(AS375,"~","~~"),"*","~*"),"?","~?"),Andamentos!$D$10:$D$2009,Z375,Andamentos!$G$10:$G$2009,1)-9,0)</f>
        <v>0</v>
      </c>
      <c r="AC375" s="14" t="str">
        <f>IF(V375=0,"",IF(AA375&gt;1,"Conferir recebimentos empatados",IF(AB375=0,"Sem atualização",INDEX(Andamentos!$C$10:$C$2009,AB375))))</f>
        <v/>
      </c>
      <c r="AD375" s="14">
        <f>IF(W375=0,0,IF(MAX(Z375,BD375)=0,1,IF(Configurar!$J$12-INT(MAX(Z375,BD375))&gt;Configurar!$J$11,1,0)))</f>
        <v>0</v>
      </c>
      <c r="AE375" s="16"/>
      <c r="AF375" s="14"/>
      <c r="AG375" s="14"/>
      <c r="AH375" s="14">
        <f>IF(AND(V375=1,COUNTIFS(Valores!$S$10:$S$509,"="&amp;SUBSTITUTE(SUBSTITUTE(SUBSTITUTE("P:"&amp;A375,"~","~~"),"*","~*"),"?","~?"))=1),(IF(ISNA(MATCH(SUBSTITUTE(SUBSTITUTE(SUBSTITUTE("P:"&amp;A375,"~","~~"),"*","~*"),"?","~?"),Valores!$S$10:$S$509,0)),9,INDEX(Valores!$R$10:$R$509,MATCH(SUBSTITUTE(SUBSTITUTE(SUBSTITUTE("P:"&amp;A375,"~","~~"),"*","~*"),"?","~?"),Valores!$S$10:$S$509,0)))-9),0)</f>
        <v>0</v>
      </c>
      <c r="AI375" s="40" t="str">
        <f t="shared" si="48"/>
        <v/>
      </c>
      <c r="AJ375" s="14" t="str">
        <f>IF(AND(X375=1,Y375=1),COUNTIFS($X$10:X375,1,$Y$10:Y375,1),"")</f>
        <v/>
      </c>
      <c r="AK375" s="14" t="str">
        <f>IF(X375=1,COUNTIFS($X$10:X375,1),"")</f>
        <v/>
      </c>
      <c r="AL375" s="14">
        <f>IF(AND(V375=1,AND(OR(Painel!$L$6="Todas",E375=Painel!$L$6),OR(Painel!$C$8="Todos",F375=Painel!$C$8),OR(Painel!$L$8="Todos",G375=Painel!$L$8),OR(Painel!$C$10="",ISNUMBER(SEARCH(SUBSTITUTE(SUBSTITUTE(SUBSTITUTE(Painel!$C$10,"~","~~"),"*","~*"),"?","~?"),A375&amp;" "&amp;H375&amp;" "&amp;I375))))),1,0)</f>
        <v>0</v>
      </c>
      <c r="AM375" s="14">
        <f t="shared" si="49"/>
        <v>0</v>
      </c>
      <c r="AN375" s="14"/>
      <c r="AO375" s="14"/>
      <c r="AP375" s="16" t="str">
        <f>IF(AB375=0,"",IF(INDEX(Andamentos!$B$10:$B$2009,AB375)="","",INDEX(Andamentos!$B$10:$B$2009,AB375)))</f>
        <v/>
      </c>
      <c r="AQ375" s="17" t="str">
        <f>IF(AH375=0,"",IF(INDEX(Valores!$B$10:$B$509,AH375)="","",IF(ISNUMBER(INDEX(Valores!$B$10:$B$509,AH375)),INDEX(Valores!$B$10:$B$509,AH375),"")))</f>
        <v/>
      </c>
      <c r="AR375" s="14" t="str">
        <f t="shared" si="50"/>
        <v/>
      </c>
      <c r="AS375" s="14" t="str">
        <f t="shared" si="51"/>
        <v/>
      </c>
      <c r="AT375" s="27"/>
      <c r="AU375" s="31"/>
      <c r="AV375" s="31"/>
      <c r="AW375" s="27"/>
      <c r="AX375" s="27"/>
      <c r="AY375" s="27"/>
      <c r="AZ375" s="27"/>
      <c r="BA375" s="30" t="str">
        <f t="shared" si="52"/>
        <v/>
      </c>
      <c r="BB375" s="30" t="str">
        <f t="shared" si="53"/>
        <v/>
      </c>
      <c r="BC375" s="30">
        <f>IF(X375=0,0,IF(COUNTIFS($X$10:X375,1,$BA$10:BA375,BA375)=1,1,0))</f>
        <v>0</v>
      </c>
      <c r="BD375" s="29"/>
    </row>
    <row r="376" spans="1:56" ht="42" customHeight="1">
      <c r="A376" s="41"/>
      <c r="B376" s="44"/>
      <c r="C376" s="44"/>
      <c r="D376" s="44"/>
      <c r="E376" s="44"/>
      <c r="F376" s="44"/>
      <c r="G376" s="44"/>
      <c r="H376" s="44"/>
      <c r="I376" s="44"/>
      <c r="J376" s="44"/>
      <c r="K376" s="44"/>
      <c r="L376" s="49"/>
      <c r="M376" s="48"/>
      <c r="N376" s="48"/>
      <c r="O376" s="48"/>
      <c r="P376" s="48"/>
      <c r="Q376" s="48"/>
      <c r="R376" s="48"/>
      <c r="S376" s="49"/>
      <c r="T376" s="48"/>
      <c r="U376" s="48"/>
      <c r="V376" s="14">
        <f t="shared" si="45"/>
        <v>0</v>
      </c>
      <c r="W376" s="14">
        <f t="shared" si="46"/>
        <v>0</v>
      </c>
      <c r="X376" s="14">
        <f>IF(AND(V376=1,OR(Painel!$C$6="Todos",D376=Painel!$C$6),AND(OR(Painel!$L$6="Todas",E376=Painel!$L$6),OR(Painel!$C$8="Todos",F376=Painel!$C$8),OR(Painel!$L$8="Todos",G376=Painel!$L$8),OR(Painel!$C$10="",ISNUMBER(SEARCH(SUBSTITUTE(SUBSTITUTE(SUBSTITUTE(Painel!$C$10,"~","~~"),"*","~*"),"?","~?"),A376&amp;" "&amp;H376&amp;" "&amp;I376))))),1,0)</f>
        <v>0</v>
      </c>
      <c r="Y376" s="14">
        <f t="shared" si="47"/>
        <v>0</v>
      </c>
      <c r="Z376" s="15" t="str">
        <f>IF(V376=0,"",IF(COUNTIFS(Andamentos!$K$10:$K$2009,"="&amp;SUBSTITUTE(SUBSTITUTE(SUBSTITUTE("P:"&amp;A376,"~","~~"),"*","~*"),"?","~?"),Andamentos!$G$10:$G$2009,1)=0,"",_xlfn.AGGREGATE(14,6,Andamentos!$D$10:$D$2009/((Andamentos!$K$10:$K$2009=AS376)*(Andamentos!$G$10:$G$2009=1)),1)))</f>
        <v/>
      </c>
      <c r="AA376" s="14">
        <f>IF(Z376="",0,COUNTIFS(Andamentos!$K$10:$K$2009,"="&amp;SUBSTITUTE(SUBSTITUTE(SUBSTITUTE("P:"&amp;A376,"~","~~"),"*","~*"),"?","~?"),Andamentos!$D$10:$D$2009,Z376,Andamentos!$G$10:$G$2009,1))</f>
        <v>0</v>
      </c>
      <c r="AB376" s="14">
        <f>IF(AA376=1,SUMIFS(Andamentos!$L$10:$L$2009,Andamentos!$K$10:$K$2009,"="&amp;SUBSTITUTE(SUBSTITUTE(SUBSTITUTE(AS376,"~","~~"),"*","~*"),"?","~?"),Andamentos!$D$10:$D$2009,Z376,Andamentos!$G$10:$G$2009,1)-9,0)</f>
        <v>0</v>
      </c>
      <c r="AC376" s="14" t="str">
        <f>IF(V376=0,"",IF(AA376&gt;1,"Conferir recebimentos empatados",IF(AB376=0,"Sem atualização",INDEX(Andamentos!$C$10:$C$2009,AB376))))</f>
        <v/>
      </c>
      <c r="AD376" s="14">
        <f>IF(W376=0,0,IF(MAX(Z376,BD376)=0,1,IF(Configurar!$J$12-INT(MAX(Z376,BD376))&gt;Configurar!$J$11,1,0)))</f>
        <v>0</v>
      </c>
      <c r="AE376" s="16"/>
      <c r="AF376" s="14"/>
      <c r="AG376" s="14"/>
      <c r="AH376" s="14">
        <f>IF(AND(V376=1,COUNTIFS(Valores!$S$10:$S$509,"="&amp;SUBSTITUTE(SUBSTITUTE(SUBSTITUTE("P:"&amp;A376,"~","~~"),"*","~*"),"?","~?"))=1),(IF(ISNA(MATCH(SUBSTITUTE(SUBSTITUTE(SUBSTITUTE("P:"&amp;A376,"~","~~"),"*","~*"),"?","~?"),Valores!$S$10:$S$509,0)),9,INDEX(Valores!$R$10:$R$509,MATCH(SUBSTITUTE(SUBSTITUTE(SUBSTITUTE("P:"&amp;A376,"~","~~"),"*","~*"),"?","~?"),Valores!$S$10:$S$509,0)))-9),0)</f>
        <v>0</v>
      </c>
      <c r="AI376" s="40" t="str">
        <f t="shared" si="48"/>
        <v/>
      </c>
      <c r="AJ376" s="14" t="str">
        <f>IF(AND(X376=1,Y376=1),COUNTIFS($X$10:X376,1,$Y$10:Y376,1),"")</f>
        <v/>
      </c>
      <c r="AK376" s="14" t="str">
        <f>IF(X376=1,COUNTIFS($X$10:X376,1),"")</f>
        <v/>
      </c>
      <c r="AL376" s="14">
        <f>IF(AND(V376=1,AND(OR(Painel!$L$6="Todas",E376=Painel!$L$6),OR(Painel!$C$8="Todos",F376=Painel!$C$8),OR(Painel!$L$8="Todos",G376=Painel!$L$8),OR(Painel!$C$10="",ISNUMBER(SEARCH(SUBSTITUTE(SUBSTITUTE(SUBSTITUTE(Painel!$C$10,"~","~~"),"*","~*"),"?","~?"),A376&amp;" "&amp;H376&amp;" "&amp;I376))))),1,0)</f>
        <v>0</v>
      </c>
      <c r="AM376" s="14">
        <f t="shared" si="49"/>
        <v>0</v>
      </c>
      <c r="AN376" s="14"/>
      <c r="AO376" s="14"/>
      <c r="AP376" s="16" t="str">
        <f>IF(AB376=0,"",IF(INDEX(Andamentos!$B$10:$B$2009,AB376)="","",INDEX(Andamentos!$B$10:$B$2009,AB376)))</f>
        <v/>
      </c>
      <c r="AQ376" s="17" t="str">
        <f>IF(AH376=0,"",IF(INDEX(Valores!$B$10:$B$509,AH376)="","",IF(ISNUMBER(INDEX(Valores!$B$10:$B$509,AH376)),INDEX(Valores!$B$10:$B$509,AH376),"")))</f>
        <v/>
      </c>
      <c r="AR376" s="14" t="str">
        <f t="shared" si="50"/>
        <v/>
      </c>
      <c r="AS376" s="14" t="str">
        <f t="shared" si="51"/>
        <v/>
      </c>
      <c r="AT376" s="27"/>
      <c r="AU376" s="31"/>
      <c r="AV376" s="31"/>
      <c r="AW376" s="27"/>
      <c r="AX376" s="27"/>
      <c r="AY376" s="27"/>
      <c r="AZ376" s="27"/>
      <c r="BA376" s="30" t="str">
        <f t="shared" si="52"/>
        <v/>
      </c>
      <c r="BB376" s="30" t="str">
        <f t="shared" si="53"/>
        <v/>
      </c>
      <c r="BC376" s="30">
        <f>IF(X376=0,0,IF(COUNTIFS($X$10:X376,1,$BA$10:BA376,BA376)=1,1,0))</f>
        <v>0</v>
      </c>
      <c r="BD376" s="29"/>
    </row>
    <row r="377" spans="1:56" ht="42" customHeight="1">
      <c r="A377" s="41"/>
      <c r="B377" s="44"/>
      <c r="C377" s="44"/>
      <c r="D377" s="44"/>
      <c r="E377" s="44"/>
      <c r="F377" s="44"/>
      <c r="G377" s="44"/>
      <c r="H377" s="44"/>
      <c r="I377" s="44"/>
      <c r="J377" s="44"/>
      <c r="K377" s="44"/>
      <c r="L377" s="49"/>
      <c r="M377" s="48"/>
      <c r="N377" s="48"/>
      <c r="O377" s="48"/>
      <c r="P377" s="48"/>
      <c r="Q377" s="48"/>
      <c r="R377" s="48"/>
      <c r="S377" s="49"/>
      <c r="T377" s="48"/>
      <c r="U377" s="48"/>
      <c r="V377" s="14">
        <f t="shared" si="45"/>
        <v>0</v>
      </c>
      <c r="W377" s="14">
        <f t="shared" si="46"/>
        <v>0</v>
      </c>
      <c r="X377" s="14">
        <f>IF(AND(V377=1,OR(Painel!$C$6="Todos",D377=Painel!$C$6),AND(OR(Painel!$L$6="Todas",E377=Painel!$L$6),OR(Painel!$C$8="Todos",F377=Painel!$C$8),OR(Painel!$L$8="Todos",G377=Painel!$L$8),OR(Painel!$C$10="",ISNUMBER(SEARCH(SUBSTITUTE(SUBSTITUTE(SUBSTITUTE(Painel!$C$10,"~","~~"),"*","~*"),"?","~?"),A377&amp;" "&amp;H377&amp;" "&amp;I377))))),1,0)</f>
        <v>0</v>
      </c>
      <c r="Y377" s="14">
        <f t="shared" si="47"/>
        <v>0</v>
      </c>
      <c r="Z377" s="15" t="str">
        <f>IF(V377=0,"",IF(COUNTIFS(Andamentos!$K$10:$K$2009,"="&amp;SUBSTITUTE(SUBSTITUTE(SUBSTITUTE("P:"&amp;A377,"~","~~"),"*","~*"),"?","~?"),Andamentos!$G$10:$G$2009,1)=0,"",_xlfn.AGGREGATE(14,6,Andamentos!$D$10:$D$2009/((Andamentos!$K$10:$K$2009=AS377)*(Andamentos!$G$10:$G$2009=1)),1)))</f>
        <v/>
      </c>
      <c r="AA377" s="14">
        <f>IF(Z377="",0,COUNTIFS(Andamentos!$K$10:$K$2009,"="&amp;SUBSTITUTE(SUBSTITUTE(SUBSTITUTE("P:"&amp;A377,"~","~~"),"*","~*"),"?","~?"),Andamentos!$D$10:$D$2009,Z377,Andamentos!$G$10:$G$2009,1))</f>
        <v>0</v>
      </c>
      <c r="AB377" s="14">
        <f>IF(AA377=1,SUMIFS(Andamentos!$L$10:$L$2009,Andamentos!$K$10:$K$2009,"="&amp;SUBSTITUTE(SUBSTITUTE(SUBSTITUTE(AS377,"~","~~"),"*","~*"),"?","~?"),Andamentos!$D$10:$D$2009,Z377,Andamentos!$G$10:$G$2009,1)-9,0)</f>
        <v>0</v>
      </c>
      <c r="AC377" s="14" t="str">
        <f>IF(V377=0,"",IF(AA377&gt;1,"Conferir recebimentos empatados",IF(AB377=0,"Sem atualização",INDEX(Andamentos!$C$10:$C$2009,AB377))))</f>
        <v/>
      </c>
      <c r="AD377" s="14">
        <f>IF(W377=0,0,IF(MAX(Z377,BD377)=0,1,IF(Configurar!$J$12-INT(MAX(Z377,BD377))&gt;Configurar!$J$11,1,0)))</f>
        <v>0</v>
      </c>
      <c r="AE377" s="16"/>
      <c r="AF377" s="14"/>
      <c r="AG377" s="14"/>
      <c r="AH377" s="14">
        <f>IF(AND(V377=1,COUNTIFS(Valores!$S$10:$S$509,"="&amp;SUBSTITUTE(SUBSTITUTE(SUBSTITUTE("P:"&amp;A377,"~","~~"),"*","~*"),"?","~?"))=1),(IF(ISNA(MATCH(SUBSTITUTE(SUBSTITUTE(SUBSTITUTE("P:"&amp;A377,"~","~~"),"*","~*"),"?","~?"),Valores!$S$10:$S$509,0)),9,INDEX(Valores!$R$10:$R$509,MATCH(SUBSTITUTE(SUBSTITUTE(SUBSTITUTE("P:"&amp;A377,"~","~~"),"*","~*"),"?","~?"),Valores!$S$10:$S$509,0)))-9),0)</f>
        <v>0</v>
      </c>
      <c r="AI377" s="40" t="str">
        <f t="shared" si="48"/>
        <v/>
      </c>
      <c r="AJ377" s="14" t="str">
        <f>IF(AND(X377=1,Y377=1),COUNTIFS($X$10:X377,1,$Y$10:Y377,1),"")</f>
        <v/>
      </c>
      <c r="AK377" s="14" t="str">
        <f>IF(X377=1,COUNTIFS($X$10:X377,1),"")</f>
        <v/>
      </c>
      <c r="AL377" s="14">
        <f>IF(AND(V377=1,AND(OR(Painel!$L$6="Todas",E377=Painel!$L$6),OR(Painel!$C$8="Todos",F377=Painel!$C$8),OR(Painel!$L$8="Todos",G377=Painel!$L$8),OR(Painel!$C$10="",ISNUMBER(SEARCH(SUBSTITUTE(SUBSTITUTE(SUBSTITUTE(Painel!$C$10,"~","~~"),"*","~*"),"?","~?"),A377&amp;" "&amp;H377&amp;" "&amp;I377))))),1,0)</f>
        <v>0</v>
      </c>
      <c r="AM377" s="14">
        <f t="shared" si="49"/>
        <v>0</v>
      </c>
      <c r="AN377" s="14"/>
      <c r="AO377" s="14"/>
      <c r="AP377" s="16" t="str">
        <f>IF(AB377=0,"",IF(INDEX(Andamentos!$B$10:$B$2009,AB377)="","",INDEX(Andamentos!$B$10:$B$2009,AB377)))</f>
        <v/>
      </c>
      <c r="AQ377" s="17" t="str">
        <f>IF(AH377=0,"",IF(INDEX(Valores!$B$10:$B$509,AH377)="","",IF(ISNUMBER(INDEX(Valores!$B$10:$B$509,AH377)),INDEX(Valores!$B$10:$B$509,AH377),"")))</f>
        <v/>
      </c>
      <c r="AR377" s="14" t="str">
        <f t="shared" si="50"/>
        <v/>
      </c>
      <c r="AS377" s="14" t="str">
        <f t="shared" si="51"/>
        <v/>
      </c>
      <c r="AT377" s="27"/>
      <c r="AU377" s="31"/>
      <c r="AV377" s="31"/>
      <c r="AW377" s="27"/>
      <c r="AX377" s="27"/>
      <c r="AY377" s="27"/>
      <c r="AZ377" s="27"/>
      <c r="BA377" s="30" t="str">
        <f t="shared" si="52"/>
        <v/>
      </c>
      <c r="BB377" s="30" t="str">
        <f t="shared" si="53"/>
        <v/>
      </c>
      <c r="BC377" s="30">
        <f>IF(X377=0,0,IF(COUNTIFS($X$10:X377,1,$BA$10:BA377,BA377)=1,1,0))</f>
        <v>0</v>
      </c>
      <c r="BD377" s="29"/>
    </row>
    <row r="378" spans="1:56" ht="42" customHeight="1">
      <c r="A378" s="41"/>
      <c r="B378" s="44"/>
      <c r="C378" s="44"/>
      <c r="D378" s="44"/>
      <c r="E378" s="44"/>
      <c r="F378" s="44"/>
      <c r="G378" s="44"/>
      <c r="H378" s="44"/>
      <c r="I378" s="44"/>
      <c r="J378" s="44"/>
      <c r="K378" s="44"/>
      <c r="L378" s="49"/>
      <c r="M378" s="48"/>
      <c r="N378" s="48"/>
      <c r="O378" s="48"/>
      <c r="P378" s="48"/>
      <c r="Q378" s="48"/>
      <c r="R378" s="48"/>
      <c r="S378" s="49"/>
      <c r="T378" s="48"/>
      <c r="U378" s="48"/>
      <c r="V378" s="14">
        <f t="shared" si="45"/>
        <v>0</v>
      </c>
      <c r="W378" s="14">
        <f t="shared" si="46"/>
        <v>0</v>
      </c>
      <c r="X378" s="14">
        <f>IF(AND(V378=1,OR(Painel!$C$6="Todos",D378=Painel!$C$6),AND(OR(Painel!$L$6="Todas",E378=Painel!$L$6),OR(Painel!$C$8="Todos",F378=Painel!$C$8),OR(Painel!$L$8="Todos",G378=Painel!$L$8),OR(Painel!$C$10="",ISNUMBER(SEARCH(SUBSTITUTE(SUBSTITUTE(SUBSTITUTE(Painel!$C$10,"~","~~"),"*","~*"),"?","~?"),A378&amp;" "&amp;H378&amp;" "&amp;I378))))),1,0)</f>
        <v>0</v>
      </c>
      <c r="Y378" s="14">
        <f t="shared" si="47"/>
        <v>0</v>
      </c>
      <c r="Z378" s="15" t="str">
        <f>IF(V378=0,"",IF(COUNTIFS(Andamentos!$K$10:$K$2009,"="&amp;SUBSTITUTE(SUBSTITUTE(SUBSTITUTE("P:"&amp;A378,"~","~~"),"*","~*"),"?","~?"),Andamentos!$G$10:$G$2009,1)=0,"",_xlfn.AGGREGATE(14,6,Andamentos!$D$10:$D$2009/((Andamentos!$K$10:$K$2009=AS378)*(Andamentos!$G$10:$G$2009=1)),1)))</f>
        <v/>
      </c>
      <c r="AA378" s="14">
        <f>IF(Z378="",0,COUNTIFS(Andamentos!$K$10:$K$2009,"="&amp;SUBSTITUTE(SUBSTITUTE(SUBSTITUTE("P:"&amp;A378,"~","~~"),"*","~*"),"?","~?"),Andamentos!$D$10:$D$2009,Z378,Andamentos!$G$10:$G$2009,1))</f>
        <v>0</v>
      </c>
      <c r="AB378" s="14">
        <f>IF(AA378=1,SUMIFS(Andamentos!$L$10:$L$2009,Andamentos!$K$10:$K$2009,"="&amp;SUBSTITUTE(SUBSTITUTE(SUBSTITUTE(AS378,"~","~~"),"*","~*"),"?","~?"),Andamentos!$D$10:$D$2009,Z378,Andamentos!$G$10:$G$2009,1)-9,0)</f>
        <v>0</v>
      </c>
      <c r="AC378" s="14" t="str">
        <f>IF(V378=0,"",IF(AA378&gt;1,"Conferir recebimentos empatados",IF(AB378=0,"Sem atualização",INDEX(Andamentos!$C$10:$C$2009,AB378))))</f>
        <v/>
      </c>
      <c r="AD378" s="14">
        <f>IF(W378=0,0,IF(MAX(Z378,BD378)=0,1,IF(Configurar!$J$12-INT(MAX(Z378,BD378))&gt;Configurar!$J$11,1,0)))</f>
        <v>0</v>
      </c>
      <c r="AE378" s="16"/>
      <c r="AF378" s="14"/>
      <c r="AG378" s="14"/>
      <c r="AH378" s="14">
        <f>IF(AND(V378=1,COUNTIFS(Valores!$S$10:$S$509,"="&amp;SUBSTITUTE(SUBSTITUTE(SUBSTITUTE("P:"&amp;A378,"~","~~"),"*","~*"),"?","~?"))=1),(IF(ISNA(MATCH(SUBSTITUTE(SUBSTITUTE(SUBSTITUTE("P:"&amp;A378,"~","~~"),"*","~*"),"?","~?"),Valores!$S$10:$S$509,0)),9,INDEX(Valores!$R$10:$R$509,MATCH(SUBSTITUTE(SUBSTITUTE(SUBSTITUTE("P:"&amp;A378,"~","~~"),"*","~*"),"?","~?"),Valores!$S$10:$S$509,0)))-9),0)</f>
        <v>0</v>
      </c>
      <c r="AI378" s="40" t="str">
        <f t="shared" si="48"/>
        <v/>
      </c>
      <c r="AJ378" s="14" t="str">
        <f>IF(AND(X378=1,Y378=1),COUNTIFS($X$10:X378,1,$Y$10:Y378,1),"")</f>
        <v/>
      </c>
      <c r="AK378" s="14" t="str">
        <f>IF(X378=1,COUNTIFS($X$10:X378,1),"")</f>
        <v/>
      </c>
      <c r="AL378" s="14">
        <f>IF(AND(V378=1,AND(OR(Painel!$L$6="Todas",E378=Painel!$L$6),OR(Painel!$C$8="Todos",F378=Painel!$C$8),OR(Painel!$L$8="Todos",G378=Painel!$L$8),OR(Painel!$C$10="",ISNUMBER(SEARCH(SUBSTITUTE(SUBSTITUTE(SUBSTITUTE(Painel!$C$10,"~","~~"),"*","~*"),"?","~?"),A378&amp;" "&amp;H378&amp;" "&amp;I378))))),1,0)</f>
        <v>0</v>
      </c>
      <c r="AM378" s="14">
        <f t="shared" si="49"/>
        <v>0</v>
      </c>
      <c r="AN378" s="14"/>
      <c r="AO378" s="14"/>
      <c r="AP378" s="16" t="str">
        <f>IF(AB378=0,"",IF(INDEX(Andamentos!$B$10:$B$2009,AB378)="","",INDEX(Andamentos!$B$10:$B$2009,AB378)))</f>
        <v/>
      </c>
      <c r="AQ378" s="17" t="str">
        <f>IF(AH378=0,"",IF(INDEX(Valores!$B$10:$B$509,AH378)="","",IF(ISNUMBER(INDEX(Valores!$B$10:$B$509,AH378)),INDEX(Valores!$B$10:$B$509,AH378),"")))</f>
        <v/>
      </c>
      <c r="AR378" s="14" t="str">
        <f t="shared" si="50"/>
        <v/>
      </c>
      <c r="AS378" s="14" t="str">
        <f t="shared" si="51"/>
        <v/>
      </c>
      <c r="AT378" s="27"/>
      <c r="AU378" s="31"/>
      <c r="AV378" s="31"/>
      <c r="AW378" s="27"/>
      <c r="AX378" s="27"/>
      <c r="AY378" s="27"/>
      <c r="AZ378" s="27"/>
      <c r="BA378" s="30" t="str">
        <f t="shared" si="52"/>
        <v/>
      </c>
      <c r="BB378" s="30" t="str">
        <f t="shared" si="53"/>
        <v/>
      </c>
      <c r="BC378" s="30">
        <f>IF(X378=0,0,IF(COUNTIFS($X$10:X378,1,$BA$10:BA378,BA378)=1,1,0))</f>
        <v>0</v>
      </c>
      <c r="BD378" s="29"/>
    </row>
    <row r="379" spans="1:56" ht="42" customHeight="1">
      <c r="A379" s="41"/>
      <c r="B379" s="44"/>
      <c r="C379" s="44"/>
      <c r="D379" s="44"/>
      <c r="E379" s="44"/>
      <c r="F379" s="44"/>
      <c r="G379" s="44"/>
      <c r="H379" s="44"/>
      <c r="I379" s="44"/>
      <c r="J379" s="44"/>
      <c r="K379" s="44"/>
      <c r="L379" s="49"/>
      <c r="M379" s="48"/>
      <c r="N379" s="48"/>
      <c r="O379" s="48"/>
      <c r="P379" s="48"/>
      <c r="Q379" s="48"/>
      <c r="R379" s="48"/>
      <c r="S379" s="49"/>
      <c r="T379" s="48"/>
      <c r="U379" s="48"/>
      <c r="V379" s="14">
        <f t="shared" si="45"/>
        <v>0</v>
      </c>
      <c r="W379" s="14">
        <f t="shared" si="46"/>
        <v>0</v>
      </c>
      <c r="X379" s="14">
        <f>IF(AND(V379=1,OR(Painel!$C$6="Todos",D379=Painel!$C$6),AND(OR(Painel!$L$6="Todas",E379=Painel!$L$6),OR(Painel!$C$8="Todos",F379=Painel!$C$8),OR(Painel!$L$8="Todos",G379=Painel!$L$8),OR(Painel!$C$10="",ISNUMBER(SEARCH(SUBSTITUTE(SUBSTITUTE(SUBSTITUTE(Painel!$C$10,"~","~~"),"*","~*"),"?","~?"),A379&amp;" "&amp;H379&amp;" "&amp;I379))))),1,0)</f>
        <v>0</v>
      </c>
      <c r="Y379" s="14">
        <f t="shared" si="47"/>
        <v>0</v>
      </c>
      <c r="Z379" s="15" t="str">
        <f>IF(V379=0,"",IF(COUNTIFS(Andamentos!$K$10:$K$2009,"="&amp;SUBSTITUTE(SUBSTITUTE(SUBSTITUTE("P:"&amp;A379,"~","~~"),"*","~*"),"?","~?"),Andamentos!$G$10:$G$2009,1)=0,"",_xlfn.AGGREGATE(14,6,Andamentos!$D$10:$D$2009/((Andamentos!$K$10:$K$2009=AS379)*(Andamentos!$G$10:$G$2009=1)),1)))</f>
        <v/>
      </c>
      <c r="AA379" s="14">
        <f>IF(Z379="",0,COUNTIFS(Andamentos!$K$10:$K$2009,"="&amp;SUBSTITUTE(SUBSTITUTE(SUBSTITUTE("P:"&amp;A379,"~","~~"),"*","~*"),"?","~?"),Andamentos!$D$10:$D$2009,Z379,Andamentos!$G$10:$G$2009,1))</f>
        <v>0</v>
      </c>
      <c r="AB379" s="14">
        <f>IF(AA379=1,SUMIFS(Andamentos!$L$10:$L$2009,Andamentos!$K$10:$K$2009,"="&amp;SUBSTITUTE(SUBSTITUTE(SUBSTITUTE(AS379,"~","~~"),"*","~*"),"?","~?"),Andamentos!$D$10:$D$2009,Z379,Andamentos!$G$10:$G$2009,1)-9,0)</f>
        <v>0</v>
      </c>
      <c r="AC379" s="14" t="str">
        <f>IF(V379=0,"",IF(AA379&gt;1,"Conferir recebimentos empatados",IF(AB379=0,"Sem atualização",INDEX(Andamentos!$C$10:$C$2009,AB379))))</f>
        <v/>
      </c>
      <c r="AD379" s="14">
        <f>IF(W379=0,0,IF(MAX(Z379,BD379)=0,1,IF(Configurar!$J$12-INT(MAX(Z379,BD379))&gt;Configurar!$J$11,1,0)))</f>
        <v>0</v>
      </c>
      <c r="AE379" s="16"/>
      <c r="AF379" s="14"/>
      <c r="AG379" s="14"/>
      <c r="AH379" s="14">
        <f>IF(AND(V379=1,COUNTIFS(Valores!$S$10:$S$509,"="&amp;SUBSTITUTE(SUBSTITUTE(SUBSTITUTE("P:"&amp;A379,"~","~~"),"*","~*"),"?","~?"))=1),(IF(ISNA(MATCH(SUBSTITUTE(SUBSTITUTE(SUBSTITUTE("P:"&amp;A379,"~","~~"),"*","~*"),"?","~?"),Valores!$S$10:$S$509,0)),9,INDEX(Valores!$R$10:$R$509,MATCH(SUBSTITUTE(SUBSTITUTE(SUBSTITUTE("P:"&amp;A379,"~","~~"),"*","~*"),"?","~?"),Valores!$S$10:$S$509,0)))-9),0)</f>
        <v>0</v>
      </c>
      <c r="AI379" s="40" t="str">
        <f t="shared" si="48"/>
        <v/>
      </c>
      <c r="AJ379" s="14" t="str">
        <f>IF(AND(X379=1,Y379=1),COUNTIFS($X$10:X379,1,$Y$10:Y379,1),"")</f>
        <v/>
      </c>
      <c r="AK379" s="14" t="str">
        <f>IF(X379=1,COUNTIFS($X$10:X379,1),"")</f>
        <v/>
      </c>
      <c r="AL379" s="14">
        <f>IF(AND(V379=1,AND(OR(Painel!$L$6="Todas",E379=Painel!$L$6),OR(Painel!$C$8="Todos",F379=Painel!$C$8),OR(Painel!$L$8="Todos",G379=Painel!$L$8),OR(Painel!$C$10="",ISNUMBER(SEARCH(SUBSTITUTE(SUBSTITUTE(SUBSTITUTE(Painel!$C$10,"~","~~"),"*","~*"),"?","~?"),A379&amp;" "&amp;H379&amp;" "&amp;I379))))),1,0)</f>
        <v>0</v>
      </c>
      <c r="AM379" s="14">
        <f t="shared" si="49"/>
        <v>0</v>
      </c>
      <c r="AN379" s="14"/>
      <c r="AO379" s="14"/>
      <c r="AP379" s="16" t="str">
        <f>IF(AB379=0,"",IF(INDEX(Andamentos!$B$10:$B$2009,AB379)="","",INDEX(Andamentos!$B$10:$B$2009,AB379)))</f>
        <v/>
      </c>
      <c r="AQ379" s="17" t="str">
        <f>IF(AH379=0,"",IF(INDEX(Valores!$B$10:$B$509,AH379)="","",IF(ISNUMBER(INDEX(Valores!$B$10:$B$509,AH379)),INDEX(Valores!$B$10:$B$509,AH379),"")))</f>
        <v/>
      </c>
      <c r="AR379" s="14" t="str">
        <f t="shared" si="50"/>
        <v/>
      </c>
      <c r="AS379" s="14" t="str">
        <f t="shared" si="51"/>
        <v/>
      </c>
      <c r="AT379" s="27"/>
      <c r="AU379" s="31"/>
      <c r="AV379" s="31"/>
      <c r="AW379" s="27"/>
      <c r="AX379" s="27"/>
      <c r="AY379" s="27"/>
      <c r="AZ379" s="27"/>
      <c r="BA379" s="30" t="str">
        <f t="shared" si="52"/>
        <v/>
      </c>
      <c r="BB379" s="30" t="str">
        <f t="shared" si="53"/>
        <v/>
      </c>
      <c r="BC379" s="30">
        <f>IF(X379=0,0,IF(COUNTIFS($X$10:X379,1,$BA$10:BA379,BA379)=1,1,0))</f>
        <v>0</v>
      </c>
      <c r="BD379" s="29"/>
    </row>
    <row r="380" spans="1:56" ht="42" customHeight="1">
      <c r="A380" s="41"/>
      <c r="B380" s="44"/>
      <c r="C380" s="44"/>
      <c r="D380" s="44"/>
      <c r="E380" s="44"/>
      <c r="F380" s="44"/>
      <c r="G380" s="44"/>
      <c r="H380" s="44"/>
      <c r="I380" s="44"/>
      <c r="J380" s="44"/>
      <c r="K380" s="44"/>
      <c r="L380" s="49"/>
      <c r="M380" s="48"/>
      <c r="N380" s="48"/>
      <c r="O380" s="48"/>
      <c r="P380" s="48"/>
      <c r="Q380" s="48"/>
      <c r="R380" s="48"/>
      <c r="S380" s="49"/>
      <c r="T380" s="48"/>
      <c r="U380" s="48"/>
      <c r="V380" s="14">
        <f t="shared" si="45"/>
        <v>0</v>
      </c>
      <c r="W380" s="14">
        <f t="shared" si="46"/>
        <v>0</v>
      </c>
      <c r="X380" s="14">
        <f>IF(AND(V380=1,OR(Painel!$C$6="Todos",D380=Painel!$C$6),AND(OR(Painel!$L$6="Todas",E380=Painel!$L$6),OR(Painel!$C$8="Todos",F380=Painel!$C$8),OR(Painel!$L$8="Todos",G380=Painel!$L$8),OR(Painel!$C$10="",ISNUMBER(SEARCH(SUBSTITUTE(SUBSTITUTE(SUBSTITUTE(Painel!$C$10,"~","~~"),"*","~*"),"?","~?"),A380&amp;" "&amp;H380&amp;" "&amp;I380))))),1,0)</f>
        <v>0</v>
      </c>
      <c r="Y380" s="14">
        <f t="shared" si="47"/>
        <v>0</v>
      </c>
      <c r="Z380" s="15" t="str">
        <f>IF(V380=0,"",IF(COUNTIFS(Andamentos!$K$10:$K$2009,"="&amp;SUBSTITUTE(SUBSTITUTE(SUBSTITUTE("P:"&amp;A380,"~","~~"),"*","~*"),"?","~?"),Andamentos!$G$10:$G$2009,1)=0,"",_xlfn.AGGREGATE(14,6,Andamentos!$D$10:$D$2009/((Andamentos!$K$10:$K$2009=AS380)*(Andamentos!$G$10:$G$2009=1)),1)))</f>
        <v/>
      </c>
      <c r="AA380" s="14">
        <f>IF(Z380="",0,COUNTIFS(Andamentos!$K$10:$K$2009,"="&amp;SUBSTITUTE(SUBSTITUTE(SUBSTITUTE("P:"&amp;A380,"~","~~"),"*","~*"),"?","~?"),Andamentos!$D$10:$D$2009,Z380,Andamentos!$G$10:$G$2009,1))</f>
        <v>0</v>
      </c>
      <c r="AB380" s="14">
        <f>IF(AA380=1,SUMIFS(Andamentos!$L$10:$L$2009,Andamentos!$K$10:$K$2009,"="&amp;SUBSTITUTE(SUBSTITUTE(SUBSTITUTE(AS380,"~","~~"),"*","~*"),"?","~?"),Andamentos!$D$10:$D$2009,Z380,Andamentos!$G$10:$G$2009,1)-9,0)</f>
        <v>0</v>
      </c>
      <c r="AC380" s="14" t="str">
        <f>IF(V380=0,"",IF(AA380&gt;1,"Conferir recebimentos empatados",IF(AB380=0,"Sem atualização",INDEX(Andamentos!$C$10:$C$2009,AB380))))</f>
        <v/>
      </c>
      <c r="AD380" s="14">
        <f>IF(W380=0,0,IF(MAX(Z380,BD380)=0,1,IF(Configurar!$J$12-INT(MAX(Z380,BD380))&gt;Configurar!$J$11,1,0)))</f>
        <v>0</v>
      </c>
      <c r="AE380" s="16"/>
      <c r="AF380" s="14"/>
      <c r="AG380" s="14"/>
      <c r="AH380" s="14">
        <f>IF(AND(V380=1,COUNTIFS(Valores!$S$10:$S$509,"="&amp;SUBSTITUTE(SUBSTITUTE(SUBSTITUTE("P:"&amp;A380,"~","~~"),"*","~*"),"?","~?"))=1),(IF(ISNA(MATCH(SUBSTITUTE(SUBSTITUTE(SUBSTITUTE("P:"&amp;A380,"~","~~"),"*","~*"),"?","~?"),Valores!$S$10:$S$509,0)),9,INDEX(Valores!$R$10:$R$509,MATCH(SUBSTITUTE(SUBSTITUTE(SUBSTITUTE("P:"&amp;A380,"~","~~"),"*","~*"),"?","~?"),Valores!$S$10:$S$509,0)))-9),0)</f>
        <v>0</v>
      </c>
      <c r="AI380" s="40" t="str">
        <f t="shared" si="48"/>
        <v/>
      </c>
      <c r="AJ380" s="14" t="str">
        <f>IF(AND(X380=1,Y380=1),COUNTIFS($X$10:X380,1,$Y$10:Y380,1),"")</f>
        <v/>
      </c>
      <c r="AK380" s="14" t="str">
        <f>IF(X380=1,COUNTIFS($X$10:X380,1),"")</f>
        <v/>
      </c>
      <c r="AL380" s="14">
        <f>IF(AND(V380=1,AND(OR(Painel!$L$6="Todas",E380=Painel!$L$6),OR(Painel!$C$8="Todos",F380=Painel!$C$8),OR(Painel!$L$8="Todos",G380=Painel!$L$8),OR(Painel!$C$10="",ISNUMBER(SEARCH(SUBSTITUTE(SUBSTITUTE(SUBSTITUTE(Painel!$C$10,"~","~~"),"*","~*"),"?","~?"),A380&amp;" "&amp;H380&amp;" "&amp;I380))))),1,0)</f>
        <v>0</v>
      </c>
      <c r="AM380" s="14">
        <f t="shared" si="49"/>
        <v>0</v>
      </c>
      <c r="AN380" s="14"/>
      <c r="AO380" s="14"/>
      <c r="AP380" s="16" t="str">
        <f>IF(AB380=0,"",IF(INDEX(Andamentos!$B$10:$B$2009,AB380)="","",INDEX(Andamentos!$B$10:$B$2009,AB380)))</f>
        <v/>
      </c>
      <c r="AQ380" s="17" t="str">
        <f>IF(AH380=0,"",IF(INDEX(Valores!$B$10:$B$509,AH380)="","",IF(ISNUMBER(INDEX(Valores!$B$10:$B$509,AH380)),INDEX(Valores!$B$10:$B$509,AH380),"")))</f>
        <v/>
      </c>
      <c r="AR380" s="14" t="str">
        <f t="shared" si="50"/>
        <v/>
      </c>
      <c r="AS380" s="14" t="str">
        <f t="shared" si="51"/>
        <v/>
      </c>
      <c r="AT380" s="27"/>
      <c r="AU380" s="31"/>
      <c r="AV380" s="31"/>
      <c r="AW380" s="27"/>
      <c r="AX380" s="27"/>
      <c r="AY380" s="27"/>
      <c r="AZ380" s="27"/>
      <c r="BA380" s="30" t="str">
        <f t="shared" si="52"/>
        <v/>
      </c>
      <c r="BB380" s="30" t="str">
        <f t="shared" si="53"/>
        <v/>
      </c>
      <c r="BC380" s="30">
        <f>IF(X380=0,0,IF(COUNTIFS($X$10:X380,1,$BA$10:BA380,BA380)=1,1,0))</f>
        <v>0</v>
      </c>
      <c r="BD380" s="29"/>
    </row>
    <row r="381" spans="1:56" ht="42" customHeight="1">
      <c r="A381" s="41"/>
      <c r="B381" s="44"/>
      <c r="C381" s="44"/>
      <c r="D381" s="44"/>
      <c r="E381" s="44"/>
      <c r="F381" s="44"/>
      <c r="G381" s="44"/>
      <c r="H381" s="44"/>
      <c r="I381" s="44"/>
      <c r="J381" s="44"/>
      <c r="K381" s="44"/>
      <c r="L381" s="49"/>
      <c r="M381" s="48"/>
      <c r="N381" s="48"/>
      <c r="O381" s="48"/>
      <c r="P381" s="48"/>
      <c r="Q381" s="48"/>
      <c r="R381" s="48"/>
      <c r="S381" s="49"/>
      <c r="T381" s="48"/>
      <c r="U381" s="48"/>
      <c r="V381" s="14">
        <f t="shared" si="45"/>
        <v>0</v>
      </c>
      <c r="W381" s="14">
        <f t="shared" si="46"/>
        <v>0</v>
      </c>
      <c r="X381" s="14">
        <f>IF(AND(V381=1,OR(Painel!$C$6="Todos",D381=Painel!$C$6),AND(OR(Painel!$L$6="Todas",E381=Painel!$L$6),OR(Painel!$C$8="Todos",F381=Painel!$C$8),OR(Painel!$L$8="Todos",G381=Painel!$L$8),OR(Painel!$C$10="",ISNUMBER(SEARCH(SUBSTITUTE(SUBSTITUTE(SUBSTITUTE(Painel!$C$10,"~","~~"),"*","~*"),"?","~?"),A381&amp;" "&amp;H381&amp;" "&amp;I381))))),1,0)</f>
        <v>0</v>
      </c>
      <c r="Y381" s="14">
        <f t="shared" si="47"/>
        <v>0</v>
      </c>
      <c r="Z381" s="15" t="str">
        <f>IF(V381=0,"",IF(COUNTIFS(Andamentos!$K$10:$K$2009,"="&amp;SUBSTITUTE(SUBSTITUTE(SUBSTITUTE("P:"&amp;A381,"~","~~"),"*","~*"),"?","~?"),Andamentos!$G$10:$G$2009,1)=0,"",_xlfn.AGGREGATE(14,6,Andamentos!$D$10:$D$2009/((Andamentos!$K$10:$K$2009=AS381)*(Andamentos!$G$10:$G$2009=1)),1)))</f>
        <v/>
      </c>
      <c r="AA381" s="14">
        <f>IF(Z381="",0,COUNTIFS(Andamentos!$K$10:$K$2009,"="&amp;SUBSTITUTE(SUBSTITUTE(SUBSTITUTE("P:"&amp;A381,"~","~~"),"*","~*"),"?","~?"),Andamentos!$D$10:$D$2009,Z381,Andamentos!$G$10:$G$2009,1))</f>
        <v>0</v>
      </c>
      <c r="AB381" s="14">
        <f>IF(AA381=1,SUMIFS(Andamentos!$L$10:$L$2009,Andamentos!$K$10:$K$2009,"="&amp;SUBSTITUTE(SUBSTITUTE(SUBSTITUTE(AS381,"~","~~"),"*","~*"),"?","~?"),Andamentos!$D$10:$D$2009,Z381,Andamentos!$G$10:$G$2009,1)-9,0)</f>
        <v>0</v>
      </c>
      <c r="AC381" s="14" t="str">
        <f>IF(V381=0,"",IF(AA381&gt;1,"Conferir recebimentos empatados",IF(AB381=0,"Sem atualização",INDEX(Andamentos!$C$10:$C$2009,AB381))))</f>
        <v/>
      </c>
      <c r="AD381" s="14">
        <f>IF(W381=0,0,IF(MAX(Z381,BD381)=0,1,IF(Configurar!$J$12-INT(MAX(Z381,BD381))&gt;Configurar!$J$11,1,0)))</f>
        <v>0</v>
      </c>
      <c r="AE381" s="16"/>
      <c r="AF381" s="14"/>
      <c r="AG381" s="14"/>
      <c r="AH381" s="14">
        <f>IF(AND(V381=1,COUNTIFS(Valores!$S$10:$S$509,"="&amp;SUBSTITUTE(SUBSTITUTE(SUBSTITUTE("P:"&amp;A381,"~","~~"),"*","~*"),"?","~?"))=1),(IF(ISNA(MATCH(SUBSTITUTE(SUBSTITUTE(SUBSTITUTE("P:"&amp;A381,"~","~~"),"*","~*"),"?","~?"),Valores!$S$10:$S$509,0)),9,INDEX(Valores!$R$10:$R$509,MATCH(SUBSTITUTE(SUBSTITUTE(SUBSTITUTE("P:"&amp;A381,"~","~~"),"*","~*"),"?","~?"),Valores!$S$10:$S$509,0)))-9),0)</f>
        <v>0</v>
      </c>
      <c r="AI381" s="40" t="str">
        <f t="shared" si="48"/>
        <v/>
      </c>
      <c r="AJ381" s="14" t="str">
        <f>IF(AND(X381=1,Y381=1),COUNTIFS($X$10:X381,1,$Y$10:Y381,1),"")</f>
        <v/>
      </c>
      <c r="AK381" s="14" t="str">
        <f>IF(X381=1,COUNTIFS($X$10:X381,1),"")</f>
        <v/>
      </c>
      <c r="AL381" s="14">
        <f>IF(AND(V381=1,AND(OR(Painel!$L$6="Todas",E381=Painel!$L$6),OR(Painel!$C$8="Todos",F381=Painel!$C$8),OR(Painel!$L$8="Todos",G381=Painel!$L$8),OR(Painel!$C$10="",ISNUMBER(SEARCH(SUBSTITUTE(SUBSTITUTE(SUBSTITUTE(Painel!$C$10,"~","~~"),"*","~*"),"?","~?"),A381&amp;" "&amp;H381&amp;" "&amp;I381))))),1,0)</f>
        <v>0</v>
      </c>
      <c r="AM381" s="14">
        <f t="shared" si="49"/>
        <v>0</v>
      </c>
      <c r="AN381" s="14"/>
      <c r="AO381" s="14"/>
      <c r="AP381" s="16" t="str">
        <f>IF(AB381=0,"",IF(INDEX(Andamentos!$B$10:$B$2009,AB381)="","",INDEX(Andamentos!$B$10:$B$2009,AB381)))</f>
        <v/>
      </c>
      <c r="AQ381" s="17" t="str">
        <f>IF(AH381=0,"",IF(INDEX(Valores!$B$10:$B$509,AH381)="","",IF(ISNUMBER(INDEX(Valores!$B$10:$B$509,AH381)),INDEX(Valores!$B$10:$B$509,AH381),"")))</f>
        <v/>
      </c>
      <c r="AR381" s="14" t="str">
        <f t="shared" si="50"/>
        <v/>
      </c>
      <c r="AS381" s="14" t="str">
        <f t="shared" si="51"/>
        <v/>
      </c>
      <c r="AT381" s="27"/>
      <c r="AU381" s="31"/>
      <c r="AV381" s="31"/>
      <c r="AW381" s="27"/>
      <c r="AX381" s="27"/>
      <c r="AY381" s="27"/>
      <c r="AZ381" s="27"/>
      <c r="BA381" s="30" t="str">
        <f t="shared" si="52"/>
        <v/>
      </c>
      <c r="BB381" s="30" t="str">
        <f t="shared" si="53"/>
        <v/>
      </c>
      <c r="BC381" s="30">
        <f>IF(X381=0,0,IF(COUNTIFS($X$10:X381,1,$BA$10:BA381,BA381)=1,1,0))</f>
        <v>0</v>
      </c>
      <c r="BD381" s="29"/>
    </row>
    <row r="382" spans="1:56" ht="42" customHeight="1">
      <c r="A382" s="41"/>
      <c r="B382" s="44"/>
      <c r="C382" s="44"/>
      <c r="D382" s="44"/>
      <c r="E382" s="44"/>
      <c r="F382" s="44"/>
      <c r="G382" s="44"/>
      <c r="H382" s="44"/>
      <c r="I382" s="44"/>
      <c r="J382" s="44"/>
      <c r="K382" s="44"/>
      <c r="L382" s="49"/>
      <c r="M382" s="48"/>
      <c r="N382" s="48"/>
      <c r="O382" s="48"/>
      <c r="P382" s="48"/>
      <c r="Q382" s="48"/>
      <c r="R382" s="48"/>
      <c r="S382" s="49"/>
      <c r="T382" s="48"/>
      <c r="U382" s="48"/>
      <c r="V382" s="14">
        <f t="shared" si="45"/>
        <v>0</v>
      </c>
      <c r="W382" s="14">
        <f t="shared" si="46"/>
        <v>0</v>
      </c>
      <c r="X382" s="14">
        <f>IF(AND(V382=1,OR(Painel!$C$6="Todos",D382=Painel!$C$6),AND(OR(Painel!$L$6="Todas",E382=Painel!$L$6),OR(Painel!$C$8="Todos",F382=Painel!$C$8),OR(Painel!$L$8="Todos",G382=Painel!$L$8),OR(Painel!$C$10="",ISNUMBER(SEARCH(SUBSTITUTE(SUBSTITUTE(SUBSTITUTE(Painel!$C$10,"~","~~"),"*","~*"),"?","~?"),A382&amp;" "&amp;H382&amp;" "&amp;I382))))),1,0)</f>
        <v>0</v>
      </c>
      <c r="Y382" s="14">
        <f t="shared" si="47"/>
        <v>0</v>
      </c>
      <c r="Z382" s="15" t="str">
        <f>IF(V382=0,"",IF(COUNTIFS(Andamentos!$K$10:$K$2009,"="&amp;SUBSTITUTE(SUBSTITUTE(SUBSTITUTE("P:"&amp;A382,"~","~~"),"*","~*"),"?","~?"),Andamentos!$G$10:$G$2009,1)=0,"",_xlfn.AGGREGATE(14,6,Andamentos!$D$10:$D$2009/((Andamentos!$K$10:$K$2009=AS382)*(Andamentos!$G$10:$G$2009=1)),1)))</f>
        <v/>
      </c>
      <c r="AA382" s="14">
        <f>IF(Z382="",0,COUNTIFS(Andamentos!$K$10:$K$2009,"="&amp;SUBSTITUTE(SUBSTITUTE(SUBSTITUTE("P:"&amp;A382,"~","~~"),"*","~*"),"?","~?"),Andamentos!$D$10:$D$2009,Z382,Andamentos!$G$10:$G$2009,1))</f>
        <v>0</v>
      </c>
      <c r="AB382" s="14">
        <f>IF(AA382=1,SUMIFS(Andamentos!$L$10:$L$2009,Andamentos!$K$10:$K$2009,"="&amp;SUBSTITUTE(SUBSTITUTE(SUBSTITUTE(AS382,"~","~~"),"*","~*"),"?","~?"),Andamentos!$D$10:$D$2009,Z382,Andamentos!$G$10:$G$2009,1)-9,0)</f>
        <v>0</v>
      </c>
      <c r="AC382" s="14" t="str">
        <f>IF(V382=0,"",IF(AA382&gt;1,"Conferir recebimentos empatados",IF(AB382=0,"Sem atualização",INDEX(Andamentos!$C$10:$C$2009,AB382))))</f>
        <v/>
      </c>
      <c r="AD382" s="14">
        <f>IF(W382=0,0,IF(MAX(Z382,BD382)=0,1,IF(Configurar!$J$12-INT(MAX(Z382,BD382))&gt;Configurar!$J$11,1,0)))</f>
        <v>0</v>
      </c>
      <c r="AE382" s="16"/>
      <c r="AF382" s="14"/>
      <c r="AG382" s="14"/>
      <c r="AH382" s="14">
        <f>IF(AND(V382=1,COUNTIFS(Valores!$S$10:$S$509,"="&amp;SUBSTITUTE(SUBSTITUTE(SUBSTITUTE("P:"&amp;A382,"~","~~"),"*","~*"),"?","~?"))=1),(IF(ISNA(MATCH(SUBSTITUTE(SUBSTITUTE(SUBSTITUTE("P:"&amp;A382,"~","~~"),"*","~*"),"?","~?"),Valores!$S$10:$S$509,0)),9,INDEX(Valores!$R$10:$R$509,MATCH(SUBSTITUTE(SUBSTITUTE(SUBSTITUTE("P:"&amp;A382,"~","~~"),"*","~*"),"?","~?"),Valores!$S$10:$S$509,0)))-9),0)</f>
        <v>0</v>
      </c>
      <c r="AI382" s="40" t="str">
        <f t="shared" si="48"/>
        <v/>
      </c>
      <c r="AJ382" s="14" t="str">
        <f>IF(AND(X382=1,Y382=1),COUNTIFS($X$10:X382,1,$Y$10:Y382,1),"")</f>
        <v/>
      </c>
      <c r="AK382" s="14" t="str">
        <f>IF(X382=1,COUNTIFS($X$10:X382,1),"")</f>
        <v/>
      </c>
      <c r="AL382" s="14">
        <f>IF(AND(V382=1,AND(OR(Painel!$L$6="Todas",E382=Painel!$L$6),OR(Painel!$C$8="Todos",F382=Painel!$C$8),OR(Painel!$L$8="Todos",G382=Painel!$L$8),OR(Painel!$C$10="",ISNUMBER(SEARCH(SUBSTITUTE(SUBSTITUTE(SUBSTITUTE(Painel!$C$10,"~","~~"),"*","~*"),"?","~?"),A382&amp;" "&amp;H382&amp;" "&amp;I382))))),1,0)</f>
        <v>0</v>
      </c>
      <c r="AM382" s="14">
        <f t="shared" si="49"/>
        <v>0</v>
      </c>
      <c r="AN382" s="14"/>
      <c r="AO382" s="14"/>
      <c r="AP382" s="16" t="str">
        <f>IF(AB382=0,"",IF(INDEX(Andamentos!$B$10:$B$2009,AB382)="","",INDEX(Andamentos!$B$10:$B$2009,AB382)))</f>
        <v/>
      </c>
      <c r="AQ382" s="17" t="str">
        <f>IF(AH382=0,"",IF(INDEX(Valores!$B$10:$B$509,AH382)="","",IF(ISNUMBER(INDEX(Valores!$B$10:$B$509,AH382)),INDEX(Valores!$B$10:$B$509,AH382),"")))</f>
        <v/>
      </c>
      <c r="AR382" s="14" t="str">
        <f t="shared" si="50"/>
        <v/>
      </c>
      <c r="AS382" s="14" t="str">
        <f t="shared" si="51"/>
        <v/>
      </c>
      <c r="AT382" s="27"/>
      <c r="AU382" s="31"/>
      <c r="AV382" s="31"/>
      <c r="AW382" s="27"/>
      <c r="AX382" s="27"/>
      <c r="AY382" s="27"/>
      <c r="AZ382" s="27"/>
      <c r="BA382" s="30" t="str">
        <f t="shared" si="52"/>
        <v/>
      </c>
      <c r="BB382" s="30" t="str">
        <f t="shared" si="53"/>
        <v/>
      </c>
      <c r="BC382" s="30">
        <f>IF(X382=0,0,IF(COUNTIFS($X$10:X382,1,$BA$10:BA382,BA382)=1,1,0))</f>
        <v>0</v>
      </c>
      <c r="BD382" s="29"/>
    </row>
    <row r="383" spans="1:56" ht="42" customHeight="1">
      <c r="A383" s="41"/>
      <c r="B383" s="44"/>
      <c r="C383" s="44"/>
      <c r="D383" s="44"/>
      <c r="E383" s="44"/>
      <c r="F383" s="44"/>
      <c r="G383" s="44"/>
      <c r="H383" s="44"/>
      <c r="I383" s="44"/>
      <c r="J383" s="44"/>
      <c r="K383" s="44"/>
      <c r="L383" s="49"/>
      <c r="M383" s="48"/>
      <c r="N383" s="48"/>
      <c r="O383" s="48"/>
      <c r="P383" s="48"/>
      <c r="Q383" s="48"/>
      <c r="R383" s="48"/>
      <c r="S383" s="49"/>
      <c r="T383" s="48"/>
      <c r="U383" s="48"/>
      <c r="V383" s="14">
        <f t="shared" si="45"/>
        <v>0</v>
      </c>
      <c r="W383" s="14">
        <f t="shared" si="46"/>
        <v>0</v>
      </c>
      <c r="X383" s="14">
        <f>IF(AND(V383=1,OR(Painel!$C$6="Todos",D383=Painel!$C$6),AND(OR(Painel!$L$6="Todas",E383=Painel!$L$6),OR(Painel!$C$8="Todos",F383=Painel!$C$8),OR(Painel!$L$8="Todos",G383=Painel!$L$8),OR(Painel!$C$10="",ISNUMBER(SEARCH(SUBSTITUTE(SUBSTITUTE(SUBSTITUTE(Painel!$C$10,"~","~~"),"*","~*"),"?","~?"),A383&amp;" "&amp;H383&amp;" "&amp;I383))))),1,0)</f>
        <v>0</v>
      </c>
      <c r="Y383" s="14">
        <f t="shared" si="47"/>
        <v>0</v>
      </c>
      <c r="Z383" s="15" t="str">
        <f>IF(V383=0,"",IF(COUNTIFS(Andamentos!$K$10:$K$2009,"="&amp;SUBSTITUTE(SUBSTITUTE(SUBSTITUTE("P:"&amp;A383,"~","~~"),"*","~*"),"?","~?"),Andamentos!$G$10:$G$2009,1)=0,"",_xlfn.AGGREGATE(14,6,Andamentos!$D$10:$D$2009/((Andamentos!$K$10:$K$2009=AS383)*(Andamentos!$G$10:$G$2009=1)),1)))</f>
        <v/>
      </c>
      <c r="AA383" s="14">
        <f>IF(Z383="",0,COUNTIFS(Andamentos!$K$10:$K$2009,"="&amp;SUBSTITUTE(SUBSTITUTE(SUBSTITUTE("P:"&amp;A383,"~","~~"),"*","~*"),"?","~?"),Andamentos!$D$10:$D$2009,Z383,Andamentos!$G$10:$G$2009,1))</f>
        <v>0</v>
      </c>
      <c r="AB383" s="14">
        <f>IF(AA383=1,SUMIFS(Andamentos!$L$10:$L$2009,Andamentos!$K$10:$K$2009,"="&amp;SUBSTITUTE(SUBSTITUTE(SUBSTITUTE(AS383,"~","~~"),"*","~*"),"?","~?"),Andamentos!$D$10:$D$2009,Z383,Andamentos!$G$10:$G$2009,1)-9,0)</f>
        <v>0</v>
      </c>
      <c r="AC383" s="14" t="str">
        <f>IF(V383=0,"",IF(AA383&gt;1,"Conferir recebimentos empatados",IF(AB383=0,"Sem atualização",INDEX(Andamentos!$C$10:$C$2009,AB383))))</f>
        <v/>
      </c>
      <c r="AD383" s="14">
        <f>IF(W383=0,0,IF(MAX(Z383,BD383)=0,1,IF(Configurar!$J$12-INT(MAX(Z383,BD383))&gt;Configurar!$J$11,1,0)))</f>
        <v>0</v>
      </c>
      <c r="AE383" s="16"/>
      <c r="AF383" s="14"/>
      <c r="AG383" s="14"/>
      <c r="AH383" s="14">
        <f>IF(AND(V383=1,COUNTIFS(Valores!$S$10:$S$509,"="&amp;SUBSTITUTE(SUBSTITUTE(SUBSTITUTE("P:"&amp;A383,"~","~~"),"*","~*"),"?","~?"))=1),(IF(ISNA(MATCH(SUBSTITUTE(SUBSTITUTE(SUBSTITUTE("P:"&amp;A383,"~","~~"),"*","~*"),"?","~?"),Valores!$S$10:$S$509,0)),9,INDEX(Valores!$R$10:$R$509,MATCH(SUBSTITUTE(SUBSTITUTE(SUBSTITUTE("P:"&amp;A383,"~","~~"),"*","~*"),"?","~?"),Valores!$S$10:$S$509,0)))-9),0)</f>
        <v>0</v>
      </c>
      <c r="AI383" s="40" t="str">
        <f t="shared" si="48"/>
        <v/>
      </c>
      <c r="AJ383" s="14" t="str">
        <f>IF(AND(X383=1,Y383=1),COUNTIFS($X$10:X383,1,$Y$10:Y383,1),"")</f>
        <v/>
      </c>
      <c r="AK383" s="14" t="str">
        <f>IF(X383=1,COUNTIFS($X$10:X383,1),"")</f>
        <v/>
      </c>
      <c r="AL383" s="14">
        <f>IF(AND(V383=1,AND(OR(Painel!$L$6="Todas",E383=Painel!$L$6),OR(Painel!$C$8="Todos",F383=Painel!$C$8),OR(Painel!$L$8="Todos",G383=Painel!$L$8),OR(Painel!$C$10="",ISNUMBER(SEARCH(SUBSTITUTE(SUBSTITUTE(SUBSTITUTE(Painel!$C$10,"~","~~"),"*","~*"),"?","~?"),A383&amp;" "&amp;H383&amp;" "&amp;I383))))),1,0)</f>
        <v>0</v>
      </c>
      <c r="AM383" s="14">
        <f t="shared" si="49"/>
        <v>0</v>
      </c>
      <c r="AN383" s="14"/>
      <c r="AO383" s="14"/>
      <c r="AP383" s="16" t="str">
        <f>IF(AB383=0,"",IF(INDEX(Andamentos!$B$10:$B$2009,AB383)="","",INDEX(Andamentos!$B$10:$B$2009,AB383)))</f>
        <v/>
      </c>
      <c r="AQ383" s="17" t="str">
        <f>IF(AH383=0,"",IF(INDEX(Valores!$B$10:$B$509,AH383)="","",IF(ISNUMBER(INDEX(Valores!$B$10:$B$509,AH383)),INDEX(Valores!$B$10:$B$509,AH383),"")))</f>
        <v/>
      </c>
      <c r="AR383" s="14" t="str">
        <f t="shared" si="50"/>
        <v/>
      </c>
      <c r="AS383" s="14" t="str">
        <f t="shared" si="51"/>
        <v/>
      </c>
      <c r="AT383" s="27"/>
      <c r="AU383" s="31"/>
      <c r="AV383" s="31"/>
      <c r="AW383" s="27"/>
      <c r="AX383" s="27"/>
      <c r="AY383" s="27"/>
      <c r="AZ383" s="27"/>
      <c r="BA383" s="30" t="str">
        <f t="shared" si="52"/>
        <v/>
      </c>
      <c r="BB383" s="30" t="str">
        <f t="shared" si="53"/>
        <v/>
      </c>
      <c r="BC383" s="30">
        <f>IF(X383=0,0,IF(COUNTIFS($X$10:X383,1,$BA$10:BA383,BA383)=1,1,0))</f>
        <v>0</v>
      </c>
      <c r="BD383" s="29"/>
    </row>
    <row r="384" spans="1:56" ht="42" customHeight="1">
      <c r="A384" s="41"/>
      <c r="B384" s="44"/>
      <c r="C384" s="44"/>
      <c r="D384" s="44"/>
      <c r="E384" s="44"/>
      <c r="F384" s="44"/>
      <c r="G384" s="44"/>
      <c r="H384" s="44"/>
      <c r="I384" s="44"/>
      <c r="J384" s="44"/>
      <c r="K384" s="44"/>
      <c r="L384" s="49"/>
      <c r="M384" s="48"/>
      <c r="N384" s="48"/>
      <c r="O384" s="48"/>
      <c r="P384" s="48"/>
      <c r="Q384" s="48"/>
      <c r="R384" s="48"/>
      <c r="S384" s="49"/>
      <c r="T384" s="48"/>
      <c r="U384" s="48"/>
      <c r="V384" s="14">
        <f t="shared" si="45"/>
        <v>0</v>
      </c>
      <c r="W384" s="14">
        <f t="shared" si="46"/>
        <v>0</v>
      </c>
      <c r="X384" s="14">
        <f>IF(AND(V384=1,OR(Painel!$C$6="Todos",D384=Painel!$C$6),AND(OR(Painel!$L$6="Todas",E384=Painel!$L$6),OR(Painel!$C$8="Todos",F384=Painel!$C$8),OR(Painel!$L$8="Todos",G384=Painel!$L$8),OR(Painel!$C$10="",ISNUMBER(SEARCH(SUBSTITUTE(SUBSTITUTE(SUBSTITUTE(Painel!$C$10,"~","~~"),"*","~*"),"?","~?"),A384&amp;" "&amp;H384&amp;" "&amp;I384))))),1,0)</f>
        <v>0</v>
      </c>
      <c r="Y384" s="14">
        <f t="shared" si="47"/>
        <v>0</v>
      </c>
      <c r="Z384" s="15" t="str">
        <f>IF(V384=0,"",IF(COUNTIFS(Andamentos!$K$10:$K$2009,"="&amp;SUBSTITUTE(SUBSTITUTE(SUBSTITUTE("P:"&amp;A384,"~","~~"),"*","~*"),"?","~?"),Andamentos!$G$10:$G$2009,1)=0,"",_xlfn.AGGREGATE(14,6,Andamentos!$D$10:$D$2009/((Andamentos!$K$10:$K$2009=AS384)*(Andamentos!$G$10:$G$2009=1)),1)))</f>
        <v/>
      </c>
      <c r="AA384" s="14">
        <f>IF(Z384="",0,COUNTIFS(Andamentos!$K$10:$K$2009,"="&amp;SUBSTITUTE(SUBSTITUTE(SUBSTITUTE("P:"&amp;A384,"~","~~"),"*","~*"),"?","~?"),Andamentos!$D$10:$D$2009,Z384,Andamentos!$G$10:$G$2009,1))</f>
        <v>0</v>
      </c>
      <c r="AB384" s="14">
        <f>IF(AA384=1,SUMIFS(Andamentos!$L$10:$L$2009,Andamentos!$K$10:$K$2009,"="&amp;SUBSTITUTE(SUBSTITUTE(SUBSTITUTE(AS384,"~","~~"),"*","~*"),"?","~?"),Andamentos!$D$10:$D$2009,Z384,Andamentos!$G$10:$G$2009,1)-9,0)</f>
        <v>0</v>
      </c>
      <c r="AC384" s="14" t="str">
        <f>IF(V384=0,"",IF(AA384&gt;1,"Conferir recebimentos empatados",IF(AB384=0,"Sem atualização",INDEX(Andamentos!$C$10:$C$2009,AB384))))</f>
        <v/>
      </c>
      <c r="AD384" s="14">
        <f>IF(W384=0,0,IF(MAX(Z384,BD384)=0,1,IF(Configurar!$J$12-INT(MAX(Z384,BD384))&gt;Configurar!$J$11,1,0)))</f>
        <v>0</v>
      </c>
      <c r="AE384" s="16"/>
      <c r="AF384" s="14"/>
      <c r="AG384" s="14"/>
      <c r="AH384" s="14">
        <f>IF(AND(V384=1,COUNTIFS(Valores!$S$10:$S$509,"="&amp;SUBSTITUTE(SUBSTITUTE(SUBSTITUTE("P:"&amp;A384,"~","~~"),"*","~*"),"?","~?"))=1),(IF(ISNA(MATCH(SUBSTITUTE(SUBSTITUTE(SUBSTITUTE("P:"&amp;A384,"~","~~"),"*","~*"),"?","~?"),Valores!$S$10:$S$509,0)),9,INDEX(Valores!$R$10:$R$509,MATCH(SUBSTITUTE(SUBSTITUTE(SUBSTITUTE("P:"&amp;A384,"~","~~"),"*","~*"),"?","~?"),Valores!$S$10:$S$509,0)))-9),0)</f>
        <v>0</v>
      </c>
      <c r="AI384" s="40" t="str">
        <f t="shared" si="48"/>
        <v/>
      </c>
      <c r="AJ384" s="14" t="str">
        <f>IF(AND(X384=1,Y384=1),COUNTIFS($X$10:X384,1,$Y$10:Y384,1),"")</f>
        <v/>
      </c>
      <c r="AK384" s="14" t="str">
        <f>IF(X384=1,COUNTIFS($X$10:X384,1),"")</f>
        <v/>
      </c>
      <c r="AL384" s="14">
        <f>IF(AND(V384=1,AND(OR(Painel!$L$6="Todas",E384=Painel!$L$6),OR(Painel!$C$8="Todos",F384=Painel!$C$8),OR(Painel!$L$8="Todos",G384=Painel!$L$8),OR(Painel!$C$10="",ISNUMBER(SEARCH(SUBSTITUTE(SUBSTITUTE(SUBSTITUTE(Painel!$C$10,"~","~~"),"*","~*"),"?","~?"),A384&amp;" "&amp;H384&amp;" "&amp;I384))))),1,0)</f>
        <v>0</v>
      </c>
      <c r="AM384" s="14">
        <f t="shared" si="49"/>
        <v>0</v>
      </c>
      <c r="AN384" s="14"/>
      <c r="AO384" s="14"/>
      <c r="AP384" s="16" t="str">
        <f>IF(AB384=0,"",IF(INDEX(Andamentos!$B$10:$B$2009,AB384)="","",INDEX(Andamentos!$B$10:$B$2009,AB384)))</f>
        <v/>
      </c>
      <c r="AQ384" s="17" t="str">
        <f>IF(AH384=0,"",IF(INDEX(Valores!$B$10:$B$509,AH384)="","",IF(ISNUMBER(INDEX(Valores!$B$10:$B$509,AH384)),INDEX(Valores!$B$10:$B$509,AH384),"")))</f>
        <v/>
      </c>
      <c r="AR384" s="14" t="str">
        <f t="shared" si="50"/>
        <v/>
      </c>
      <c r="AS384" s="14" t="str">
        <f t="shared" si="51"/>
        <v/>
      </c>
      <c r="AT384" s="27"/>
      <c r="AU384" s="31"/>
      <c r="AV384" s="31"/>
      <c r="AW384" s="27"/>
      <c r="AX384" s="27"/>
      <c r="AY384" s="27"/>
      <c r="AZ384" s="27"/>
      <c r="BA384" s="30" t="str">
        <f t="shared" si="52"/>
        <v/>
      </c>
      <c r="BB384" s="30" t="str">
        <f t="shared" si="53"/>
        <v/>
      </c>
      <c r="BC384" s="30">
        <f>IF(X384=0,0,IF(COUNTIFS($X$10:X384,1,$BA$10:BA384,BA384)=1,1,0))</f>
        <v>0</v>
      </c>
      <c r="BD384" s="29"/>
    </row>
    <row r="385" spans="1:56" ht="42" customHeight="1">
      <c r="A385" s="41"/>
      <c r="B385" s="44"/>
      <c r="C385" s="44"/>
      <c r="D385" s="44"/>
      <c r="E385" s="44"/>
      <c r="F385" s="44"/>
      <c r="G385" s="44"/>
      <c r="H385" s="44"/>
      <c r="I385" s="44"/>
      <c r="J385" s="44"/>
      <c r="K385" s="44"/>
      <c r="L385" s="49"/>
      <c r="M385" s="48"/>
      <c r="N385" s="48"/>
      <c r="O385" s="48"/>
      <c r="P385" s="48"/>
      <c r="Q385" s="48"/>
      <c r="R385" s="48"/>
      <c r="S385" s="49"/>
      <c r="T385" s="48"/>
      <c r="U385" s="48"/>
      <c r="V385" s="14">
        <f t="shared" si="45"/>
        <v>0</v>
      </c>
      <c r="W385" s="14">
        <f t="shared" si="46"/>
        <v>0</v>
      </c>
      <c r="X385" s="14">
        <f>IF(AND(V385=1,OR(Painel!$C$6="Todos",D385=Painel!$C$6),AND(OR(Painel!$L$6="Todas",E385=Painel!$L$6),OR(Painel!$C$8="Todos",F385=Painel!$C$8),OR(Painel!$L$8="Todos",G385=Painel!$L$8),OR(Painel!$C$10="",ISNUMBER(SEARCH(SUBSTITUTE(SUBSTITUTE(SUBSTITUTE(Painel!$C$10,"~","~~"),"*","~*"),"?","~?"),A385&amp;" "&amp;H385&amp;" "&amp;I385))))),1,0)</f>
        <v>0</v>
      </c>
      <c r="Y385" s="14">
        <f t="shared" si="47"/>
        <v>0</v>
      </c>
      <c r="Z385" s="15" t="str">
        <f>IF(V385=0,"",IF(COUNTIFS(Andamentos!$K$10:$K$2009,"="&amp;SUBSTITUTE(SUBSTITUTE(SUBSTITUTE("P:"&amp;A385,"~","~~"),"*","~*"),"?","~?"),Andamentos!$G$10:$G$2009,1)=0,"",_xlfn.AGGREGATE(14,6,Andamentos!$D$10:$D$2009/((Andamentos!$K$10:$K$2009=AS385)*(Andamentos!$G$10:$G$2009=1)),1)))</f>
        <v/>
      </c>
      <c r="AA385" s="14">
        <f>IF(Z385="",0,COUNTIFS(Andamentos!$K$10:$K$2009,"="&amp;SUBSTITUTE(SUBSTITUTE(SUBSTITUTE("P:"&amp;A385,"~","~~"),"*","~*"),"?","~?"),Andamentos!$D$10:$D$2009,Z385,Andamentos!$G$10:$G$2009,1))</f>
        <v>0</v>
      </c>
      <c r="AB385" s="14">
        <f>IF(AA385=1,SUMIFS(Andamentos!$L$10:$L$2009,Andamentos!$K$10:$K$2009,"="&amp;SUBSTITUTE(SUBSTITUTE(SUBSTITUTE(AS385,"~","~~"),"*","~*"),"?","~?"),Andamentos!$D$10:$D$2009,Z385,Andamentos!$G$10:$G$2009,1)-9,0)</f>
        <v>0</v>
      </c>
      <c r="AC385" s="14" t="str">
        <f>IF(V385=0,"",IF(AA385&gt;1,"Conferir recebimentos empatados",IF(AB385=0,"Sem atualização",INDEX(Andamentos!$C$10:$C$2009,AB385))))</f>
        <v/>
      </c>
      <c r="AD385" s="14">
        <f>IF(W385=0,0,IF(MAX(Z385,BD385)=0,1,IF(Configurar!$J$12-INT(MAX(Z385,BD385))&gt;Configurar!$J$11,1,0)))</f>
        <v>0</v>
      </c>
      <c r="AE385" s="16"/>
      <c r="AF385" s="14"/>
      <c r="AG385" s="14"/>
      <c r="AH385" s="14">
        <f>IF(AND(V385=1,COUNTIFS(Valores!$S$10:$S$509,"="&amp;SUBSTITUTE(SUBSTITUTE(SUBSTITUTE("P:"&amp;A385,"~","~~"),"*","~*"),"?","~?"))=1),(IF(ISNA(MATCH(SUBSTITUTE(SUBSTITUTE(SUBSTITUTE("P:"&amp;A385,"~","~~"),"*","~*"),"?","~?"),Valores!$S$10:$S$509,0)),9,INDEX(Valores!$R$10:$R$509,MATCH(SUBSTITUTE(SUBSTITUTE(SUBSTITUTE("P:"&amp;A385,"~","~~"),"*","~*"),"?","~?"),Valores!$S$10:$S$509,0)))-9),0)</f>
        <v>0</v>
      </c>
      <c r="AI385" s="40" t="str">
        <f t="shared" si="48"/>
        <v/>
      </c>
      <c r="AJ385" s="14" t="str">
        <f>IF(AND(X385=1,Y385=1),COUNTIFS($X$10:X385,1,$Y$10:Y385,1),"")</f>
        <v/>
      </c>
      <c r="AK385" s="14" t="str">
        <f>IF(X385=1,COUNTIFS($X$10:X385,1),"")</f>
        <v/>
      </c>
      <c r="AL385" s="14">
        <f>IF(AND(V385=1,AND(OR(Painel!$L$6="Todas",E385=Painel!$L$6),OR(Painel!$C$8="Todos",F385=Painel!$C$8),OR(Painel!$L$8="Todos",G385=Painel!$L$8),OR(Painel!$C$10="",ISNUMBER(SEARCH(SUBSTITUTE(SUBSTITUTE(SUBSTITUTE(Painel!$C$10,"~","~~"),"*","~*"),"?","~?"),A385&amp;" "&amp;H385&amp;" "&amp;I385))))),1,0)</f>
        <v>0</v>
      </c>
      <c r="AM385" s="14">
        <f t="shared" si="49"/>
        <v>0</v>
      </c>
      <c r="AN385" s="14"/>
      <c r="AO385" s="14"/>
      <c r="AP385" s="16" t="str">
        <f>IF(AB385=0,"",IF(INDEX(Andamentos!$B$10:$B$2009,AB385)="","",INDEX(Andamentos!$B$10:$B$2009,AB385)))</f>
        <v/>
      </c>
      <c r="AQ385" s="17" t="str">
        <f>IF(AH385=0,"",IF(INDEX(Valores!$B$10:$B$509,AH385)="","",IF(ISNUMBER(INDEX(Valores!$B$10:$B$509,AH385)),INDEX(Valores!$B$10:$B$509,AH385),"")))</f>
        <v/>
      </c>
      <c r="AR385" s="14" t="str">
        <f t="shared" si="50"/>
        <v/>
      </c>
      <c r="AS385" s="14" t="str">
        <f t="shared" si="51"/>
        <v/>
      </c>
      <c r="AT385" s="27"/>
      <c r="AU385" s="31"/>
      <c r="AV385" s="31"/>
      <c r="AW385" s="27"/>
      <c r="AX385" s="27"/>
      <c r="AY385" s="27"/>
      <c r="AZ385" s="27"/>
      <c r="BA385" s="30" t="str">
        <f t="shared" si="52"/>
        <v/>
      </c>
      <c r="BB385" s="30" t="str">
        <f t="shared" si="53"/>
        <v/>
      </c>
      <c r="BC385" s="30">
        <f>IF(X385=0,0,IF(COUNTIFS($X$10:X385,1,$BA$10:BA385,BA385)=1,1,0))</f>
        <v>0</v>
      </c>
      <c r="BD385" s="29"/>
    </row>
    <row r="386" spans="1:56" ht="42" customHeight="1">
      <c r="A386" s="41"/>
      <c r="B386" s="44"/>
      <c r="C386" s="44"/>
      <c r="D386" s="44"/>
      <c r="E386" s="44"/>
      <c r="F386" s="44"/>
      <c r="G386" s="44"/>
      <c r="H386" s="44"/>
      <c r="I386" s="44"/>
      <c r="J386" s="44"/>
      <c r="K386" s="44"/>
      <c r="L386" s="49"/>
      <c r="M386" s="48"/>
      <c r="N386" s="48"/>
      <c r="O386" s="48"/>
      <c r="P386" s="48"/>
      <c r="Q386" s="48"/>
      <c r="R386" s="48"/>
      <c r="S386" s="49"/>
      <c r="T386" s="48"/>
      <c r="U386" s="48"/>
      <c r="V386" s="14">
        <f t="shared" si="45"/>
        <v>0</v>
      </c>
      <c r="W386" s="14">
        <f t="shared" si="46"/>
        <v>0</v>
      </c>
      <c r="X386" s="14">
        <f>IF(AND(V386=1,OR(Painel!$C$6="Todos",D386=Painel!$C$6),AND(OR(Painel!$L$6="Todas",E386=Painel!$L$6),OR(Painel!$C$8="Todos",F386=Painel!$C$8),OR(Painel!$L$8="Todos",G386=Painel!$L$8),OR(Painel!$C$10="",ISNUMBER(SEARCH(SUBSTITUTE(SUBSTITUTE(SUBSTITUTE(Painel!$C$10,"~","~~"),"*","~*"),"?","~?"),A386&amp;" "&amp;H386&amp;" "&amp;I386))))),1,0)</f>
        <v>0</v>
      </c>
      <c r="Y386" s="14">
        <f t="shared" si="47"/>
        <v>0</v>
      </c>
      <c r="Z386" s="15" t="str">
        <f>IF(V386=0,"",IF(COUNTIFS(Andamentos!$K$10:$K$2009,"="&amp;SUBSTITUTE(SUBSTITUTE(SUBSTITUTE("P:"&amp;A386,"~","~~"),"*","~*"),"?","~?"),Andamentos!$G$10:$G$2009,1)=0,"",_xlfn.AGGREGATE(14,6,Andamentos!$D$10:$D$2009/((Andamentos!$K$10:$K$2009=AS386)*(Andamentos!$G$10:$G$2009=1)),1)))</f>
        <v/>
      </c>
      <c r="AA386" s="14">
        <f>IF(Z386="",0,COUNTIFS(Andamentos!$K$10:$K$2009,"="&amp;SUBSTITUTE(SUBSTITUTE(SUBSTITUTE("P:"&amp;A386,"~","~~"),"*","~*"),"?","~?"),Andamentos!$D$10:$D$2009,Z386,Andamentos!$G$10:$G$2009,1))</f>
        <v>0</v>
      </c>
      <c r="AB386" s="14">
        <f>IF(AA386=1,SUMIFS(Andamentos!$L$10:$L$2009,Andamentos!$K$10:$K$2009,"="&amp;SUBSTITUTE(SUBSTITUTE(SUBSTITUTE(AS386,"~","~~"),"*","~*"),"?","~?"),Andamentos!$D$10:$D$2009,Z386,Andamentos!$G$10:$G$2009,1)-9,0)</f>
        <v>0</v>
      </c>
      <c r="AC386" s="14" t="str">
        <f>IF(V386=0,"",IF(AA386&gt;1,"Conferir recebimentos empatados",IF(AB386=0,"Sem atualização",INDEX(Andamentos!$C$10:$C$2009,AB386))))</f>
        <v/>
      </c>
      <c r="AD386" s="14">
        <f>IF(W386=0,0,IF(MAX(Z386,BD386)=0,1,IF(Configurar!$J$12-INT(MAX(Z386,BD386))&gt;Configurar!$J$11,1,0)))</f>
        <v>0</v>
      </c>
      <c r="AE386" s="16"/>
      <c r="AF386" s="14"/>
      <c r="AG386" s="14"/>
      <c r="AH386" s="14">
        <f>IF(AND(V386=1,COUNTIFS(Valores!$S$10:$S$509,"="&amp;SUBSTITUTE(SUBSTITUTE(SUBSTITUTE("P:"&amp;A386,"~","~~"),"*","~*"),"?","~?"))=1),(IF(ISNA(MATCH(SUBSTITUTE(SUBSTITUTE(SUBSTITUTE("P:"&amp;A386,"~","~~"),"*","~*"),"?","~?"),Valores!$S$10:$S$509,0)),9,INDEX(Valores!$R$10:$R$509,MATCH(SUBSTITUTE(SUBSTITUTE(SUBSTITUTE("P:"&amp;A386,"~","~~"),"*","~*"),"?","~?"),Valores!$S$10:$S$509,0)))-9),0)</f>
        <v>0</v>
      </c>
      <c r="AI386" s="40" t="str">
        <f t="shared" si="48"/>
        <v/>
      </c>
      <c r="AJ386" s="14" t="str">
        <f>IF(AND(X386=1,Y386=1),COUNTIFS($X$10:X386,1,$Y$10:Y386,1),"")</f>
        <v/>
      </c>
      <c r="AK386" s="14" t="str">
        <f>IF(X386=1,COUNTIFS($X$10:X386,1),"")</f>
        <v/>
      </c>
      <c r="AL386" s="14">
        <f>IF(AND(V386=1,AND(OR(Painel!$L$6="Todas",E386=Painel!$L$6),OR(Painel!$C$8="Todos",F386=Painel!$C$8),OR(Painel!$L$8="Todos",G386=Painel!$L$8),OR(Painel!$C$10="",ISNUMBER(SEARCH(SUBSTITUTE(SUBSTITUTE(SUBSTITUTE(Painel!$C$10,"~","~~"),"*","~*"),"?","~?"),A386&amp;" "&amp;H386&amp;" "&amp;I386))))),1,0)</f>
        <v>0</v>
      </c>
      <c r="AM386" s="14">
        <f t="shared" si="49"/>
        <v>0</v>
      </c>
      <c r="AN386" s="14"/>
      <c r="AO386" s="14"/>
      <c r="AP386" s="16" t="str">
        <f>IF(AB386=0,"",IF(INDEX(Andamentos!$B$10:$B$2009,AB386)="","",INDEX(Andamentos!$B$10:$B$2009,AB386)))</f>
        <v/>
      </c>
      <c r="AQ386" s="17" t="str">
        <f>IF(AH386=0,"",IF(INDEX(Valores!$B$10:$B$509,AH386)="","",IF(ISNUMBER(INDEX(Valores!$B$10:$B$509,AH386)),INDEX(Valores!$B$10:$B$509,AH386),"")))</f>
        <v/>
      </c>
      <c r="AR386" s="14" t="str">
        <f t="shared" si="50"/>
        <v/>
      </c>
      <c r="AS386" s="14" t="str">
        <f t="shared" si="51"/>
        <v/>
      </c>
      <c r="AT386" s="27"/>
      <c r="AU386" s="31"/>
      <c r="AV386" s="31"/>
      <c r="AW386" s="27"/>
      <c r="AX386" s="27"/>
      <c r="AY386" s="27"/>
      <c r="AZ386" s="27"/>
      <c r="BA386" s="30" t="str">
        <f t="shared" si="52"/>
        <v/>
      </c>
      <c r="BB386" s="30" t="str">
        <f t="shared" si="53"/>
        <v/>
      </c>
      <c r="BC386" s="30">
        <f>IF(X386=0,0,IF(COUNTIFS($X$10:X386,1,$BA$10:BA386,BA386)=1,1,0))</f>
        <v>0</v>
      </c>
      <c r="BD386" s="29"/>
    </row>
    <row r="387" spans="1:56" ht="42" customHeight="1">
      <c r="A387" s="41"/>
      <c r="B387" s="44"/>
      <c r="C387" s="44"/>
      <c r="D387" s="44"/>
      <c r="E387" s="44"/>
      <c r="F387" s="44"/>
      <c r="G387" s="44"/>
      <c r="H387" s="44"/>
      <c r="I387" s="44"/>
      <c r="J387" s="44"/>
      <c r="K387" s="44"/>
      <c r="L387" s="49"/>
      <c r="M387" s="48"/>
      <c r="N387" s="48"/>
      <c r="O387" s="48"/>
      <c r="P387" s="48"/>
      <c r="Q387" s="48"/>
      <c r="R387" s="48"/>
      <c r="S387" s="49"/>
      <c r="T387" s="48"/>
      <c r="U387" s="48"/>
      <c r="V387" s="14">
        <f t="shared" si="45"/>
        <v>0</v>
      </c>
      <c r="W387" s="14">
        <f t="shared" si="46"/>
        <v>0</v>
      </c>
      <c r="X387" s="14">
        <f>IF(AND(V387=1,OR(Painel!$C$6="Todos",D387=Painel!$C$6),AND(OR(Painel!$L$6="Todas",E387=Painel!$L$6),OR(Painel!$C$8="Todos",F387=Painel!$C$8),OR(Painel!$L$8="Todos",G387=Painel!$L$8),OR(Painel!$C$10="",ISNUMBER(SEARCH(SUBSTITUTE(SUBSTITUTE(SUBSTITUTE(Painel!$C$10,"~","~~"),"*","~*"),"?","~?"),A387&amp;" "&amp;H387&amp;" "&amp;I387))))),1,0)</f>
        <v>0</v>
      </c>
      <c r="Y387" s="14">
        <f t="shared" si="47"/>
        <v>0</v>
      </c>
      <c r="Z387" s="15" t="str">
        <f>IF(V387=0,"",IF(COUNTIFS(Andamentos!$K$10:$K$2009,"="&amp;SUBSTITUTE(SUBSTITUTE(SUBSTITUTE("P:"&amp;A387,"~","~~"),"*","~*"),"?","~?"),Andamentos!$G$10:$G$2009,1)=0,"",_xlfn.AGGREGATE(14,6,Andamentos!$D$10:$D$2009/((Andamentos!$K$10:$K$2009=AS387)*(Andamentos!$G$10:$G$2009=1)),1)))</f>
        <v/>
      </c>
      <c r="AA387" s="14">
        <f>IF(Z387="",0,COUNTIFS(Andamentos!$K$10:$K$2009,"="&amp;SUBSTITUTE(SUBSTITUTE(SUBSTITUTE("P:"&amp;A387,"~","~~"),"*","~*"),"?","~?"),Andamentos!$D$10:$D$2009,Z387,Andamentos!$G$10:$G$2009,1))</f>
        <v>0</v>
      </c>
      <c r="AB387" s="14">
        <f>IF(AA387=1,SUMIFS(Andamentos!$L$10:$L$2009,Andamentos!$K$10:$K$2009,"="&amp;SUBSTITUTE(SUBSTITUTE(SUBSTITUTE(AS387,"~","~~"),"*","~*"),"?","~?"),Andamentos!$D$10:$D$2009,Z387,Andamentos!$G$10:$G$2009,1)-9,0)</f>
        <v>0</v>
      </c>
      <c r="AC387" s="14" t="str">
        <f>IF(V387=0,"",IF(AA387&gt;1,"Conferir recebimentos empatados",IF(AB387=0,"Sem atualização",INDEX(Andamentos!$C$10:$C$2009,AB387))))</f>
        <v/>
      </c>
      <c r="AD387" s="14">
        <f>IF(W387=0,0,IF(MAX(Z387,BD387)=0,1,IF(Configurar!$J$12-INT(MAX(Z387,BD387))&gt;Configurar!$J$11,1,0)))</f>
        <v>0</v>
      </c>
      <c r="AE387" s="16"/>
      <c r="AF387" s="14"/>
      <c r="AG387" s="14"/>
      <c r="AH387" s="14">
        <f>IF(AND(V387=1,COUNTIFS(Valores!$S$10:$S$509,"="&amp;SUBSTITUTE(SUBSTITUTE(SUBSTITUTE("P:"&amp;A387,"~","~~"),"*","~*"),"?","~?"))=1),(IF(ISNA(MATCH(SUBSTITUTE(SUBSTITUTE(SUBSTITUTE("P:"&amp;A387,"~","~~"),"*","~*"),"?","~?"),Valores!$S$10:$S$509,0)),9,INDEX(Valores!$R$10:$R$509,MATCH(SUBSTITUTE(SUBSTITUTE(SUBSTITUTE("P:"&amp;A387,"~","~~"),"*","~*"),"?","~?"),Valores!$S$10:$S$509,0)))-9),0)</f>
        <v>0</v>
      </c>
      <c r="AI387" s="40" t="str">
        <f t="shared" si="48"/>
        <v/>
      </c>
      <c r="AJ387" s="14" t="str">
        <f>IF(AND(X387=1,Y387=1),COUNTIFS($X$10:X387,1,$Y$10:Y387,1),"")</f>
        <v/>
      </c>
      <c r="AK387" s="14" t="str">
        <f>IF(X387=1,COUNTIFS($X$10:X387,1),"")</f>
        <v/>
      </c>
      <c r="AL387" s="14">
        <f>IF(AND(V387=1,AND(OR(Painel!$L$6="Todas",E387=Painel!$L$6),OR(Painel!$C$8="Todos",F387=Painel!$C$8),OR(Painel!$L$8="Todos",G387=Painel!$L$8),OR(Painel!$C$10="",ISNUMBER(SEARCH(SUBSTITUTE(SUBSTITUTE(SUBSTITUTE(Painel!$C$10,"~","~~"),"*","~*"),"?","~?"),A387&amp;" "&amp;H387&amp;" "&amp;I387))))),1,0)</f>
        <v>0</v>
      </c>
      <c r="AM387" s="14">
        <f t="shared" si="49"/>
        <v>0</v>
      </c>
      <c r="AN387" s="14"/>
      <c r="AO387" s="14"/>
      <c r="AP387" s="16" t="str">
        <f>IF(AB387=0,"",IF(INDEX(Andamentos!$B$10:$B$2009,AB387)="","",INDEX(Andamentos!$B$10:$B$2009,AB387)))</f>
        <v/>
      </c>
      <c r="AQ387" s="17" t="str">
        <f>IF(AH387=0,"",IF(INDEX(Valores!$B$10:$B$509,AH387)="","",IF(ISNUMBER(INDEX(Valores!$B$10:$B$509,AH387)),INDEX(Valores!$B$10:$B$509,AH387),"")))</f>
        <v/>
      </c>
      <c r="AR387" s="14" t="str">
        <f t="shared" si="50"/>
        <v/>
      </c>
      <c r="AS387" s="14" t="str">
        <f t="shared" si="51"/>
        <v/>
      </c>
      <c r="AT387" s="27"/>
      <c r="AU387" s="31"/>
      <c r="AV387" s="31"/>
      <c r="AW387" s="27"/>
      <c r="AX387" s="27"/>
      <c r="AY387" s="27"/>
      <c r="AZ387" s="27"/>
      <c r="BA387" s="30" t="str">
        <f t="shared" si="52"/>
        <v/>
      </c>
      <c r="BB387" s="30" t="str">
        <f t="shared" si="53"/>
        <v/>
      </c>
      <c r="BC387" s="30">
        <f>IF(X387=0,0,IF(COUNTIFS($X$10:X387,1,$BA$10:BA387,BA387)=1,1,0))</f>
        <v>0</v>
      </c>
      <c r="BD387" s="29"/>
    </row>
    <row r="388" spans="1:56" ht="42" customHeight="1">
      <c r="A388" s="41"/>
      <c r="B388" s="44"/>
      <c r="C388" s="44"/>
      <c r="D388" s="44"/>
      <c r="E388" s="44"/>
      <c r="F388" s="44"/>
      <c r="G388" s="44"/>
      <c r="H388" s="44"/>
      <c r="I388" s="44"/>
      <c r="J388" s="44"/>
      <c r="K388" s="44"/>
      <c r="L388" s="49"/>
      <c r="M388" s="48"/>
      <c r="N388" s="48"/>
      <c r="O388" s="48"/>
      <c r="P388" s="48"/>
      <c r="Q388" s="48"/>
      <c r="R388" s="48"/>
      <c r="S388" s="49"/>
      <c r="T388" s="48"/>
      <c r="U388" s="48"/>
      <c r="V388" s="14">
        <f t="shared" si="45"/>
        <v>0</v>
      </c>
      <c r="W388" s="14">
        <f t="shared" si="46"/>
        <v>0</v>
      </c>
      <c r="X388" s="14">
        <f>IF(AND(V388=1,OR(Painel!$C$6="Todos",D388=Painel!$C$6),AND(OR(Painel!$L$6="Todas",E388=Painel!$L$6),OR(Painel!$C$8="Todos",F388=Painel!$C$8),OR(Painel!$L$8="Todos",G388=Painel!$L$8),OR(Painel!$C$10="",ISNUMBER(SEARCH(SUBSTITUTE(SUBSTITUTE(SUBSTITUTE(Painel!$C$10,"~","~~"),"*","~*"),"?","~?"),A388&amp;" "&amp;H388&amp;" "&amp;I388))))),1,0)</f>
        <v>0</v>
      </c>
      <c r="Y388" s="14">
        <f t="shared" si="47"/>
        <v>0</v>
      </c>
      <c r="Z388" s="15" t="str">
        <f>IF(V388=0,"",IF(COUNTIFS(Andamentos!$K$10:$K$2009,"="&amp;SUBSTITUTE(SUBSTITUTE(SUBSTITUTE("P:"&amp;A388,"~","~~"),"*","~*"),"?","~?"),Andamentos!$G$10:$G$2009,1)=0,"",_xlfn.AGGREGATE(14,6,Andamentos!$D$10:$D$2009/((Andamentos!$K$10:$K$2009=AS388)*(Andamentos!$G$10:$G$2009=1)),1)))</f>
        <v/>
      </c>
      <c r="AA388" s="14">
        <f>IF(Z388="",0,COUNTIFS(Andamentos!$K$10:$K$2009,"="&amp;SUBSTITUTE(SUBSTITUTE(SUBSTITUTE("P:"&amp;A388,"~","~~"),"*","~*"),"?","~?"),Andamentos!$D$10:$D$2009,Z388,Andamentos!$G$10:$G$2009,1))</f>
        <v>0</v>
      </c>
      <c r="AB388" s="14">
        <f>IF(AA388=1,SUMIFS(Andamentos!$L$10:$L$2009,Andamentos!$K$10:$K$2009,"="&amp;SUBSTITUTE(SUBSTITUTE(SUBSTITUTE(AS388,"~","~~"),"*","~*"),"?","~?"),Andamentos!$D$10:$D$2009,Z388,Andamentos!$G$10:$G$2009,1)-9,0)</f>
        <v>0</v>
      </c>
      <c r="AC388" s="14" t="str">
        <f>IF(V388=0,"",IF(AA388&gt;1,"Conferir recebimentos empatados",IF(AB388=0,"Sem atualização",INDEX(Andamentos!$C$10:$C$2009,AB388))))</f>
        <v/>
      </c>
      <c r="AD388" s="14">
        <f>IF(W388=0,0,IF(MAX(Z388,BD388)=0,1,IF(Configurar!$J$12-INT(MAX(Z388,BD388))&gt;Configurar!$J$11,1,0)))</f>
        <v>0</v>
      </c>
      <c r="AE388" s="16"/>
      <c r="AF388" s="14"/>
      <c r="AG388" s="14"/>
      <c r="AH388" s="14">
        <f>IF(AND(V388=1,COUNTIFS(Valores!$S$10:$S$509,"="&amp;SUBSTITUTE(SUBSTITUTE(SUBSTITUTE("P:"&amp;A388,"~","~~"),"*","~*"),"?","~?"))=1),(IF(ISNA(MATCH(SUBSTITUTE(SUBSTITUTE(SUBSTITUTE("P:"&amp;A388,"~","~~"),"*","~*"),"?","~?"),Valores!$S$10:$S$509,0)),9,INDEX(Valores!$R$10:$R$509,MATCH(SUBSTITUTE(SUBSTITUTE(SUBSTITUTE("P:"&amp;A388,"~","~~"),"*","~*"),"?","~?"),Valores!$S$10:$S$509,0)))-9),0)</f>
        <v>0</v>
      </c>
      <c r="AI388" s="40" t="str">
        <f t="shared" si="48"/>
        <v/>
      </c>
      <c r="AJ388" s="14" t="str">
        <f>IF(AND(X388=1,Y388=1),COUNTIFS($X$10:X388,1,$Y$10:Y388,1),"")</f>
        <v/>
      </c>
      <c r="AK388" s="14" t="str">
        <f>IF(X388=1,COUNTIFS($X$10:X388,1),"")</f>
        <v/>
      </c>
      <c r="AL388" s="14">
        <f>IF(AND(V388=1,AND(OR(Painel!$L$6="Todas",E388=Painel!$L$6),OR(Painel!$C$8="Todos",F388=Painel!$C$8),OR(Painel!$L$8="Todos",G388=Painel!$L$8),OR(Painel!$C$10="",ISNUMBER(SEARCH(SUBSTITUTE(SUBSTITUTE(SUBSTITUTE(Painel!$C$10,"~","~~"),"*","~*"),"?","~?"),A388&amp;" "&amp;H388&amp;" "&amp;I388))))),1,0)</f>
        <v>0</v>
      </c>
      <c r="AM388" s="14">
        <f t="shared" si="49"/>
        <v>0</v>
      </c>
      <c r="AN388" s="14"/>
      <c r="AO388" s="14"/>
      <c r="AP388" s="16" t="str">
        <f>IF(AB388=0,"",IF(INDEX(Andamentos!$B$10:$B$2009,AB388)="","",INDEX(Andamentos!$B$10:$B$2009,AB388)))</f>
        <v/>
      </c>
      <c r="AQ388" s="17" t="str">
        <f>IF(AH388=0,"",IF(INDEX(Valores!$B$10:$B$509,AH388)="","",IF(ISNUMBER(INDEX(Valores!$B$10:$B$509,AH388)),INDEX(Valores!$B$10:$B$509,AH388),"")))</f>
        <v/>
      </c>
      <c r="AR388" s="14" t="str">
        <f t="shared" si="50"/>
        <v/>
      </c>
      <c r="AS388" s="14" t="str">
        <f t="shared" si="51"/>
        <v/>
      </c>
      <c r="AT388" s="27"/>
      <c r="AU388" s="31"/>
      <c r="AV388" s="31"/>
      <c r="AW388" s="27"/>
      <c r="AX388" s="27"/>
      <c r="AY388" s="27"/>
      <c r="AZ388" s="27"/>
      <c r="BA388" s="30" t="str">
        <f t="shared" si="52"/>
        <v/>
      </c>
      <c r="BB388" s="30" t="str">
        <f t="shared" si="53"/>
        <v/>
      </c>
      <c r="BC388" s="30">
        <f>IF(X388=0,0,IF(COUNTIFS($X$10:X388,1,$BA$10:BA388,BA388)=1,1,0))</f>
        <v>0</v>
      </c>
      <c r="BD388" s="29"/>
    </row>
    <row r="389" spans="1:56" ht="42" customHeight="1">
      <c r="A389" s="41"/>
      <c r="B389" s="44"/>
      <c r="C389" s="44"/>
      <c r="D389" s="44"/>
      <c r="E389" s="44"/>
      <c r="F389" s="44"/>
      <c r="G389" s="44"/>
      <c r="H389" s="44"/>
      <c r="I389" s="44"/>
      <c r="J389" s="44"/>
      <c r="K389" s="44"/>
      <c r="L389" s="49"/>
      <c r="M389" s="48"/>
      <c r="N389" s="48"/>
      <c r="O389" s="48"/>
      <c r="P389" s="48"/>
      <c r="Q389" s="48"/>
      <c r="R389" s="48"/>
      <c r="S389" s="49"/>
      <c r="T389" s="48"/>
      <c r="U389" s="48"/>
      <c r="V389" s="14">
        <f t="shared" si="45"/>
        <v>0</v>
      </c>
      <c r="W389" s="14">
        <f t="shared" si="46"/>
        <v>0</v>
      </c>
      <c r="X389" s="14">
        <f>IF(AND(V389=1,OR(Painel!$C$6="Todos",D389=Painel!$C$6),AND(OR(Painel!$L$6="Todas",E389=Painel!$L$6),OR(Painel!$C$8="Todos",F389=Painel!$C$8),OR(Painel!$L$8="Todos",G389=Painel!$L$8),OR(Painel!$C$10="",ISNUMBER(SEARCH(SUBSTITUTE(SUBSTITUTE(SUBSTITUTE(Painel!$C$10,"~","~~"),"*","~*"),"?","~?"),A389&amp;" "&amp;H389&amp;" "&amp;I389))))),1,0)</f>
        <v>0</v>
      </c>
      <c r="Y389" s="14">
        <f t="shared" si="47"/>
        <v>0</v>
      </c>
      <c r="Z389" s="15" t="str">
        <f>IF(V389=0,"",IF(COUNTIFS(Andamentos!$K$10:$K$2009,"="&amp;SUBSTITUTE(SUBSTITUTE(SUBSTITUTE("P:"&amp;A389,"~","~~"),"*","~*"),"?","~?"),Andamentos!$G$10:$G$2009,1)=0,"",_xlfn.AGGREGATE(14,6,Andamentos!$D$10:$D$2009/((Andamentos!$K$10:$K$2009=AS389)*(Andamentos!$G$10:$G$2009=1)),1)))</f>
        <v/>
      </c>
      <c r="AA389" s="14">
        <f>IF(Z389="",0,COUNTIFS(Andamentos!$K$10:$K$2009,"="&amp;SUBSTITUTE(SUBSTITUTE(SUBSTITUTE("P:"&amp;A389,"~","~~"),"*","~*"),"?","~?"),Andamentos!$D$10:$D$2009,Z389,Andamentos!$G$10:$G$2009,1))</f>
        <v>0</v>
      </c>
      <c r="AB389" s="14">
        <f>IF(AA389=1,SUMIFS(Andamentos!$L$10:$L$2009,Andamentos!$K$10:$K$2009,"="&amp;SUBSTITUTE(SUBSTITUTE(SUBSTITUTE(AS389,"~","~~"),"*","~*"),"?","~?"),Andamentos!$D$10:$D$2009,Z389,Andamentos!$G$10:$G$2009,1)-9,0)</f>
        <v>0</v>
      </c>
      <c r="AC389" s="14" t="str">
        <f>IF(V389=0,"",IF(AA389&gt;1,"Conferir recebimentos empatados",IF(AB389=0,"Sem atualização",INDEX(Andamentos!$C$10:$C$2009,AB389))))</f>
        <v/>
      </c>
      <c r="AD389" s="14">
        <f>IF(W389=0,0,IF(MAX(Z389,BD389)=0,1,IF(Configurar!$J$12-INT(MAX(Z389,BD389))&gt;Configurar!$J$11,1,0)))</f>
        <v>0</v>
      </c>
      <c r="AE389" s="16"/>
      <c r="AF389" s="14"/>
      <c r="AG389" s="14"/>
      <c r="AH389" s="14">
        <f>IF(AND(V389=1,COUNTIFS(Valores!$S$10:$S$509,"="&amp;SUBSTITUTE(SUBSTITUTE(SUBSTITUTE("P:"&amp;A389,"~","~~"),"*","~*"),"?","~?"))=1),(IF(ISNA(MATCH(SUBSTITUTE(SUBSTITUTE(SUBSTITUTE("P:"&amp;A389,"~","~~"),"*","~*"),"?","~?"),Valores!$S$10:$S$509,0)),9,INDEX(Valores!$R$10:$R$509,MATCH(SUBSTITUTE(SUBSTITUTE(SUBSTITUTE("P:"&amp;A389,"~","~~"),"*","~*"),"?","~?"),Valores!$S$10:$S$509,0)))-9),0)</f>
        <v>0</v>
      </c>
      <c r="AI389" s="40" t="str">
        <f t="shared" si="48"/>
        <v/>
      </c>
      <c r="AJ389" s="14" t="str">
        <f>IF(AND(X389=1,Y389=1),COUNTIFS($X$10:X389,1,$Y$10:Y389,1),"")</f>
        <v/>
      </c>
      <c r="AK389" s="14" t="str">
        <f>IF(X389=1,COUNTIFS($X$10:X389,1),"")</f>
        <v/>
      </c>
      <c r="AL389" s="14">
        <f>IF(AND(V389=1,AND(OR(Painel!$L$6="Todas",E389=Painel!$L$6),OR(Painel!$C$8="Todos",F389=Painel!$C$8),OR(Painel!$L$8="Todos",G389=Painel!$L$8),OR(Painel!$C$10="",ISNUMBER(SEARCH(SUBSTITUTE(SUBSTITUTE(SUBSTITUTE(Painel!$C$10,"~","~~"),"*","~*"),"?","~?"),A389&amp;" "&amp;H389&amp;" "&amp;I389))))),1,0)</f>
        <v>0</v>
      </c>
      <c r="AM389" s="14">
        <f t="shared" si="49"/>
        <v>0</v>
      </c>
      <c r="AN389" s="14"/>
      <c r="AO389" s="14"/>
      <c r="AP389" s="16" t="str">
        <f>IF(AB389=0,"",IF(INDEX(Andamentos!$B$10:$B$2009,AB389)="","",INDEX(Andamentos!$B$10:$B$2009,AB389)))</f>
        <v/>
      </c>
      <c r="AQ389" s="17" t="str">
        <f>IF(AH389=0,"",IF(INDEX(Valores!$B$10:$B$509,AH389)="","",IF(ISNUMBER(INDEX(Valores!$B$10:$B$509,AH389)),INDEX(Valores!$B$10:$B$509,AH389),"")))</f>
        <v/>
      </c>
      <c r="AR389" s="14" t="str">
        <f t="shared" si="50"/>
        <v/>
      </c>
      <c r="AS389" s="14" t="str">
        <f t="shared" si="51"/>
        <v/>
      </c>
      <c r="AT389" s="27"/>
      <c r="AU389" s="31"/>
      <c r="AV389" s="31"/>
      <c r="AW389" s="27"/>
      <c r="AX389" s="27"/>
      <c r="AY389" s="27"/>
      <c r="AZ389" s="27"/>
      <c r="BA389" s="30" t="str">
        <f t="shared" si="52"/>
        <v/>
      </c>
      <c r="BB389" s="30" t="str">
        <f t="shared" si="53"/>
        <v/>
      </c>
      <c r="BC389" s="30">
        <f>IF(X389=0,0,IF(COUNTIFS($X$10:X389,1,$BA$10:BA389,BA389)=1,1,0))</f>
        <v>0</v>
      </c>
      <c r="BD389" s="29"/>
    </row>
    <row r="390" spans="1:56" ht="42" customHeight="1">
      <c r="A390" s="41"/>
      <c r="B390" s="44"/>
      <c r="C390" s="44"/>
      <c r="D390" s="44"/>
      <c r="E390" s="44"/>
      <c r="F390" s="44"/>
      <c r="G390" s="44"/>
      <c r="H390" s="44"/>
      <c r="I390" s="44"/>
      <c r="J390" s="44"/>
      <c r="K390" s="44"/>
      <c r="L390" s="49"/>
      <c r="M390" s="48"/>
      <c r="N390" s="48"/>
      <c r="O390" s="48"/>
      <c r="P390" s="48"/>
      <c r="Q390" s="48"/>
      <c r="R390" s="48"/>
      <c r="S390" s="49"/>
      <c r="T390" s="48"/>
      <c r="U390" s="48"/>
      <c r="V390" s="14">
        <f t="shared" si="45"/>
        <v>0</v>
      </c>
      <c r="W390" s="14">
        <f t="shared" si="46"/>
        <v>0</v>
      </c>
      <c r="X390" s="14">
        <f>IF(AND(V390=1,OR(Painel!$C$6="Todos",D390=Painel!$C$6),AND(OR(Painel!$L$6="Todas",E390=Painel!$L$6),OR(Painel!$C$8="Todos",F390=Painel!$C$8),OR(Painel!$L$8="Todos",G390=Painel!$L$8),OR(Painel!$C$10="",ISNUMBER(SEARCH(SUBSTITUTE(SUBSTITUTE(SUBSTITUTE(Painel!$C$10,"~","~~"),"*","~*"),"?","~?"),A390&amp;" "&amp;H390&amp;" "&amp;I390))))),1,0)</f>
        <v>0</v>
      </c>
      <c r="Y390" s="14">
        <f t="shared" si="47"/>
        <v>0</v>
      </c>
      <c r="Z390" s="15" t="str">
        <f>IF(V390=0,"",IF(COUNTIFS(Andamentos!$K$10:$K$2009,"="&amp;SUBSTITUTE(SUBSTITUTE(SUBSTITUTE("P:"&amp;A390,"~","~~"),"*","~*"),"?","~?"),Andamentos!$G$10:$G$2009,1)=0,"",_xlfn.AGGREGATE(14,6,Andamentos!$D$10:$D$2009/((Andamentos!$K$10:$K$2009=AS390)*(Andamentos!$G$10:$G$2009=1)),1)))</f>
        <v/>
      </c>
      <c r="AA390" s="14">
        <f>IF(Z390="",0,COUNTIFS(Andamentos!$K$10:$K$2009,"="&amp;SUBSTITUTE(SUBSTITUTE(SUBSTITUTE("P:"&amp;A390,"~","~~"),"*","~*"),"?","~?"),Andamentos!$D$10:$D$2009,Z390,Andamentos!$G$10:$G$2009,1))</f>
        <v>0</v>
      </c>
      <c r="AB390" s="14">
        <f>IF(AA390=1,SUMIFS(Andamentos!$L$10:$L$2009,Andamentos!$K$10:$K$2009,"="&amp;SUBSTITUTE(SUBSTITUTE(SUBSTITUTE(AS390,"~","~~"),"*","~*"),"?","~?"),Andamentos!$D$10:$D$2009,Z390,Andamentos!$G$10:$G$2009,1)-9,0)</f>
        <v>0</v>
      </c>
      <c r="AC390" s="14" t="str">
        <f>IF(V390=0,"",IF(AA390&gt;1,"Conferir recebimentos empatados",IF(AB390=0,"Sem atualização",INDEX(Andamentos!$C$10:$C$2009,AB390))))</f>
        <v/>
      </c>
      <c r="AD390" s="14">
        <f>IF(W390=0,0,IF(MAX(Z390,BD390)=0,1,IF(Configurar!$J$12-INT(MAX(Z390,BD390))&gt;Configurar!$J$11,1,0)))</f>
        <v>0</v>
      </c>
      <c r="AE390" s="16"/>
      <c r="AF390" s="14"/>
      <c r="AG390" s="14"/>
      <c r="AH390" s="14">
        <f>IF(AND(V390=1,COUNTIFS(Valores!$S$10:$S$509,"="&amp;SUBSTITUTE(SUBSTITUTE(SUBSTITUTE("P:"&amp;A390,"~","~~"),"*","~*"),"?","~?"))=1),(IF(ISNA(MATCH(SUBSTITUTE(SUBSTITUTE(SUBSTITUTE("P:"&amp;A390,"~","~~"),"*","~*"),"?","~?"),Valores!$S$10:$S$509,0)),9,INDEX(Valores!$R$10:$R$509,MATCH(SUBSTITUTE(SUBSTITUTE(SUBSTITUTE("P:"&amp;A390,"~","~~"),"*","~*"),"?","~?"),Valores!$S$10:$S$509,0)))-9),0)</f>
        <v>0</v>
      </c>
      <c r="AI390" s="40" t="str">
        <f t="shared" si="48"/>
        <v/>
      </c>
      <c r="AJ390" s="14" t="str">
        <f>IF(AND(X390=1,Y390=1),COUNTIFS($X$10:X390,1,$Y$10:Y390,1),"")</f>
        <v/>
      </c>
      <c r="AK390" s="14" t="str">
        <f>IF(X390=1,COUNTIFS($X$10:X390,1),"")</f>
        <v/>
      </c>
      <c r="AL390" s="14">
        <f>IF(AND(V390=1,AND(OR(Painel!$L$6="Todas",E390=Painel!$L$6),OR(Painel!$C$8="Todos",F390=Painel!$C$8),OR(Painel!$L$8="Todos",G390=Painel!$L$8),OR(Painel!$C$10="",ISNUMBER(SEARCH(SUBSTITUTE(SUBSTITUTE(SUBSTITUTE(Painel!$C$10,"~","~~"),"*","~*"),"?","~?"),A390&amp;" "&amp;H390&amp;" "&amp;I390))))),1,0)</f>
        <v>0</v>
      </c>
      <c r="AM390" s="14">
        <f t="shared" si="49"/>
        <v>0</v>
      </c>
      <c r="AN390" s="14"/>
      <c r="AO390" s="14"/>
      <c r="AP390" s="16" t="str">
        <f>IF(AB390=0,"",IF(INDEX(Andamentos!$B$10:$B$2009,AB390)="","",INDEX(Andamentos!$B$10:$B$2009,AB390)))</f>
        <v/>
      </c>
      <c r="AQ390" s="17" t="str">
        <f>IF(AH390=0,"",IF(INDEX(Valores!$B$10:$B$509,AH390)="","",IF(ISNUMBER(INDEX(Valores!$B$10:$B$509,AH390)),INDEX(Valores!$B$10:$B$509,AH390),"")))</f>
        <v/>
      </c>
      <c r="AR390" s="14" t="str">
        <f t="shared" si="50"/>
        <v/>
      </c>
      <c r="AS390" s="14" t="str">
        <f t="shared" si="51"/>
        <v/>
      </c>
      <c r="AT390" s="27"/>
      <c r="AU390" s="31"/>
      <c r="AV390" s="31"/>
      <c r="AW390" s="27"/>
      <c r="AX390" s="27"/>
      <c r="AY390" s="27"/>
      <c r="AZ390" s="27"/>
      <c r="BA390" s="30" t="str">
        <f t="shared" si="52"/>
        <v/>
      </c>
      <c r="BB390" s="30" t="str">
        <f t="shared" si="53"/>
        <v/>
      </c>
      <c r="BC390" s="30">
        <f>IF(X390=0,0,IF(COUNTIFS($X$10:X390,1,$BA$10:BA390,BA390)=1,1,0))</f>
        <v>0</v>
      </c>
      <c r="BD390" s="29"/>
    </row>
    <row r="391" spans="1:56" ht="42" customHeight="1">
      <c r="A391" s="41"/>
      <c r="B391" s="44"/>
      <c r="C391" s="44"/>
      <c r="D391" s="44"/>
      <c r="E391" s="44"/>
      <c r="F391" s="44"/>
      <c r="G391" s="44"/>
      <c r="H391" s="44"/>
      <c r="I391" s="44"/>
      <c r="J391" s="44"/>
      <c r="K391" s="44"/>
      <c r="L391" s="49"/>
      <c r="M391" s="48"/>
      <c r="N391" s="48"/>
      <c r="O391" s="48"/>
      <c r="P391" s="48"/>
      <c r="Q391" s="48"/>
      <c r="R391" s="48"/>
      <c r="S391" s="49"/>
      <c r="T391" s="48"/>
      <c r="U391" s="48"/>
      <c r="V391" s="14">
        <f t="shared" si="45"/>
        <v>0</v>
      </c>
      <c r="W391" s="14">
        <f t="shared" si="46"/>
        <v>0</v>
      </c>
      <c r="X391" s="14">
        <f>IF(AND(V391=1,OR(Painel!$C$6="Todos",D391=Painel!$C$6),AND(OR(Painel!$L$6="Todas",E391=Painel!$L$6),OR(Painel!$C$8="Todos",F391=Painel!$C$8),OR(Painel!$L$8="Todos",G391=Painel!$L$8),OR(Painel!$C$10="",ISNUMBER(SEARCH(SUBSTITUTE(SUBSTITUTE(SUBSTITUTE(Painel!$C$10,"~","~~"),"*","~*"),"?","~?"),A391&amp;" "&amp;H391&amp;" "&amp;I391))))),1,0)</f>
        <v>0</v>
      </c>
      <c r="Y391" s="14">
        <f t="shared" si="47"/>
        <v>0</v>
      </c>
      <c r="Z391" s="15" t="str">
        <f>IF(V391=0,"",IF(COUNTIFS(Andamentos!$K$10:$K$2009,"="&amp;SUBSTITUTE(SUBSTITUTE(SUBSTITUTE("P:"&amp;A391,"~","~~"),"*","~*"),"?","~?"),Andamentos!$G$10:$G$2009,1)=0,"",_xlfn.AGGREGATE(14,6,Andamentos!$D$10:$D$2009/((Andamentos!$K$10:$K$2009=AS391)*(Andamentos!$G$10:$G$2009=1)),1)))</f>
        <v/>
      </c>
      <c r="AA391" s="14">
        <f>IF(Z391="",0,COUNTIFS(Andamentos!$K$10:$K$2009,"="&amp;SUBSTITUTE(SUBSTITUTE(SUBSTITUTE("P:"&amp;A391,"~","~~"),"*","~*"),"?","~?"),Andamentos!$D$10:$D$2009,Z391,Andamentos!$G$10:$G$2009,1))</f>
        <v>0</v>
      </c>
      <c r="AB391" s="14">
        <f>IF(AA391=1,SUMIFS(Andamentos!$L$10:$L$2009,Andamentos!$K$10:$K$2009,"="&amp;SUBSTITUTE(SUBSTITUTE(SUBSTITUTE(AS391,"~","~~"),"*","~*"),"?","~?"),Andamentos!$D$10:$D$2009,Z391,Andamentos!$G$10:$G$2009,1)-9,0)</f>
        <v>0</v>
      </c>
      <c r="AC391" s="14" t="str">
        <f>IF(V391=0,"",IF(AA391&gt;1,"Conferir recebimentos empatados",IF(AB391=0,"Sem atualização",INDEX(Andamentos!$C$10:$C$2009,AB391))))</f>
        <v/>
      </c>
      <c r="AD391" s="14">
        <f>IF(W391=0,0,IF(MAX(Z391,BD391)=0,1,IF(Configurar!$J$12-INT(MAX(Z391,BD391))&gt;Configurar!$J$11,1,0)))</f>
        <v>0</v>
      </c>
      <c r="AE391" s="16"/>
      <c r="AF391" s="14"/>
      <c r="AG391" s="14"/>
      <c r="AH391" s="14">
        <f>IF(AND(V391=1,COUNTIFS(Valores!$S$10:$S$509,"="&amp;SUBSTITUTE(SUBSTITUTE(SUBSTITUTE("P:"&amp;A391,"~","~~"),"*","~*"),"?","~?"))=1),(IF(ISNA(MATCH(SUBSTITUTE(SUBSTITUTE(SUBSTITUTE("P:"&amp;A391,"~","~~"),"*","~*"),"?","~?"),Valores!$S$10:$S$509,0)),9,INDEX(Valores!$R$10:$R$509,MATCH(SUBSTITUTE(SUBSTITUTE(SUBSTITUTE("P:"&amp;A391,"~","~~"),"*","~*"),"?","~?"),Valores!$S$10:$S$509,0)))-9),0)</f>
        <v>0</v>
      </c>
      <c r="AI391" s="40" t="str">
        <f t="shared" si="48"/>
        <v/>
      </c>
      <c r="AJ391" s="14" t="str">
        <f>IF(AND(X391=1,Y391=1),COUNTIFS($X$10:X391,1,$Y$10:Y391,1),"")</f>
        <v/>
      </c>
      <c r="AK391" s="14" t="str">
        <f>IF(X391=1,COUNTIFS($X$10:X391,1),"")</f>
        <v/>
      </c>
      <c r="AL391" s="14">
        <f>IF(AND(V391=1,AND(OR(Painel!$L$6="Todas",E391=Painel!$L$6),OR(Painel!$C$8="Todos",F391=Painel!$C$8),OR(Painel!$L$8="Todos",G391=Painel!$L$8),OR(Painel!$C$10="",ISNUMBER(SEARCH(SUBSTITUTE(SUBSTITUTE(SUBSTITUTE(Painel!$C$10,"~","~~"),"*","~*"),"?","~?"),A391&amp;" "&amp;H391&amp;" "&amp;I391))))),1,0)</f>
        <v>0</v>
      </c>
      <c r="AM391" s="14">
        <f t="shared" si="49"/>
        <v>0</v>
      </c>
      <c r="AN391" s="14"/>
      <c r="AO391" s="14"/>
      <c r="AP391" s="16" t="str">
        <f>IF(AB391=0,"",IF(INDEX(Andamentos!$B$10:$B$2009,AB391)="","",INDEX(Andamentos!$B$10:$B$2009,AB391)))</f>
        <v/>
      </c>
      <c r="AQ391" s="17" t="str">
        <f>IF(AH391=0,"",IF(INDEX(Valores!$B$10:$B$509,AH391)="","",IF(ISNUMBER(INDEX(Valores!$B$10:$B$509,AH391)),INDEX(Valores!$B$10:$B$509,AH391),"")))</f>
        <v/>
      </c>
      <c r="AR391" s="14" t="str">
        <f t="shared" si="50"/>
        <v/>
      </c>
      <c r="AS391" s="14" t="str">
        <f t="shared" si="51"/>
        <v/>
      </c>
      <c r="AT391" s="27"/>
      <c r="AU391" s="31"/>
      <c r="AV391" s="31"/>
      <c r="AW391" s="27"/>
      <c r="AX391" s="27"/>
      <c r="AY391" s="27"/>
      <c r="AZ391" s="27"/>
      <c r="BA391" s="30" t="str">
        <f t="shared" si="52"/>
        <v/>
      </c>
      <c r="BB391" s="30" t="str">
        <f t="shared" si="53"/>
        <v/>
      </c>
      <c r="BC391" s="30">
        <f>IF(X391=0,0,IF(COUNTIFS($X$10:X391,1,$BA$10:BA391,BA391)=1,1,0))</f>
        <v>0</v>
      </c>
      <c r="BD391" s="29"/>
    </row>
    <row r="392" spans="1:56" ht="42" customHeight="1">
      <c r="A392" s="41"/>
      <c r="B392" s="44"/>
      <c r="C392" s="44"/>
      <c r="D392" s="44"/>
      <c r="E392" s="44"/>
      <c r="F392" s="44"/>
      <c r="G392" s="44"/>
      <c r="H392" s="44"/>
      <c r="I392" s="44"/>
      <c r="J392" s="44"/>
      <c r="K392" s="44"/>
      <c r="L392" s="49"/>
      <c r="M392" s="48"/>
      <c r="N392" s="48"/>
      <c r="O392" s="48"/>
      <c r="P392" s="48"/>
      <c r="Q392" s="48"/>
      <c r="R392" s="48"/>
      <c r="S392" s="49"/>
      <c r="T392" s="48"/>
      <c r="U392" s="48"/>
      <c r="V392" s="14">
        <f t="shared" si="45"/>
        <v>0</v>
      </c>
      <c r="W392" s="14">
        <f t="shared" si="46"/>
        <v>0</v>
      </c>
      <c r="X392" s="14">
        <f>IF(AND(V392=1,OR(Painel!$C$6="Todos",D392=Painel!$C$6),AND(OR(Painel!$L$6="Todas",E392=Painel!$L$6),OR(Painel!$C$8="Todos",F392=Painel!$C$8),OR(Painel!$L$8="Todos",G392=Painel!$L$8),OR(Painel!$C$10="",ISNUMBER(SEARCH(SUBSTITUTE(SUBSTITUTE(SUBSTITUTE(Painel!$C$10,"~","~~"),"*","~*"),"?","~?"),A392&amp;" "&amp;H392&amp;" "&amp;I392))))),1,0)</f>
        <v>0</v>
      </c>
      <c r="Y392" s="14">
        <f t="shared" si="47"/>
        <v>0</v>
      </c>
      <c r="Z392" s="15" t="str">
        <f>IF(V392=0,"",IF(COUNTIFS(Andamentos!$K$10:$K$2009,"="&amp;SUBSTITUTE(SUBSTITUTE(SUBSTITUTE("P:"&amp;A392,"~","~~"),"*","~*"),"?","~?"),Andamentos!$G$10:$G$2009,1)=0,"",_xlfn.AGGREGATE(14,6,Andamentos!$D$10:$D$2009/((Andamentos!$K$10:$K$2009=AS392)*(Andamentos!$G$10:$G$2009=1)),1)))</f>
        <v/>
      </c>
      <c r="AA392" s="14">
        <f>IF(Z392="",0,COUNTIFS(Andamentos!$K$10:$K$2009,"="&amp;SUBSTITUTE(SUBSTITUTE(SUBSTITUTE("P:"&amp;A392,"~","~~"),"*","~*"),"?","~?"),Andamentos!$D$10:$D$2009,Z392,Andamentos!$G$10:$G$2009,1))</f>
        <v>0</v>
      </c>
      <c r="AB392" s="14">
        <f>IF(AA392=1,SUMIFS(Andamentos!$L$10:$L$2009,Andamentos!$K$10:$K$2009,"="&amp;SUBSTITUTE(SUBSTITUTE(SUBSTITUTE(AS392,"~","~~"),"*","~*"),"?","~?"),Andamentos!$D$10:$D$2009,Z392,Andamentos!$G$10:$G$2009,1)-9,0)</f>
        <v>0</v>
      </c>
      <c r="AC392" s="14" t="str">
        <f>IF(V392=0,"",IF(AA392&gt;1,"Conferir recebimentos empatados",IF(AB392=0,"Sem atualização",INDEX(Andamentos!$C$10:$C$2009,AB392))))</f>
        <v/>
      </c>
      <c r="AD392" s="14">
        <f>IF(W392=0,0,IF(MAX(Z392,BD392)=0,1,IF(Configurar!$J$12-INT(MAX(Z392,BD392))&gt;Configurar!$J$11,1,0)))</f>
        <v>0</v>
      </c>
      <c r="AE392" s="16"/>
      <c r="AF392" s="14"/>
      <c r="AG392" s="14"/>
      <c r="AH392" s="14">
        <f>IF(AND(V392=1,COUNTIFS(Valores!$S$10:$S$509,"="&amp;SUBSTITUTE(SUBSTITUTE(SUBSTITUTE("P:"&amp;A392,"~","~~"),"*","~*"),"?","~?"))=1),(IF(ISNA(MATCH(SUBSTITUTE(SUBSTITUTE(SUBSTITUTE("P:"&amp;A392,"~","~~"),"*","~*"),"?","~?"),Valores!$S$10:$S$509,0)),9,INDEX(Valores!$R$10:$R$509,MATCH(SUBSTITUTE(SUBSTITUTE(SUBSTITUTE("P:"&amp;A392,"~","~~"),"*","~*"),"?","~?"),Valores!$S$10:$S$509,0)))-9),0)</f>
        <v>0</v>
      </c>
      <c r="AI392" s="40" t="str">
        <f t="shared" si="48"/>
        <v/>
      </c>
      <c r="AJ392" s="14" t="str">
        <f>IF(AND(X392=1,Y392=1),COUNTIFS($X$10:X392,1,$Y$10:Y392,1),"")</f>
        <v/>
      </c>
      <c r="AK392" s="14" t="str">
        <f>IF(X392=1,COUNTIFS($X$10:X392,1),"")</f>
        <v/>
      </c>
      <c r="AL392" s="14">
        <f>IF(AND(V392=1,AND(OR(Painel!$L$6="Todas",E392=Painel!$L$6),OR(Painel!$C$8="Todos",F392=Painel!$C$8),OR(Painel!$L$8="Todos",G392=Painel!$L$8),OR(Painel!$C$10="",ISNUMBER(SEARCH(SUBSTITUTE(SUBSTITUTE(SUBSTITUTE(Painel!$C$10,"~","~~"),"*","~*"),"?","~?"),A392&amp;" "&amp;H392&amp;" "&amp;I392))))),1,0)</f>
        <v>0</v>
      </c>
      <c r="AM392" s="14">
        <f t="shared" si="49"/>
        <v>0</v>
      </c>
      <c r="AN392" s="14"/>
      <c r="AO392" s="14"/>
      <c r="AP392" s="16" t="str">
        <f>IF(AB392=0,"",IF(INDEX(Andamentos!$B$10:$B$2009,AB392)="","",INDEX(Andamentos!$B$10:$B$2009,AB392)))</f>
        <v/>
      </c>
      <c r="AQ392" s="17" t="str">
        <f>IF(AH392=0,"",IF(INDEX(Valores!$B$10:$B$509,AH392)="","",IF(ISNUMBER(INDEX(Valores!$B$10:$B$509,AH392)),INDEX(Valores!$B$10:$B$509,AH392),"")))</f>
        <v/>
      </c>
      <c r="AR392" s="14" t="str">
        <f t="shared" si="50"/>
        <v/>
      </c>
      <c r="AS392" s="14" t="str">
        <f t="shared" si="51"/>
        <v/>
      </c>
      <c r="AT392" s="27"/>
      <c r="AU392" s="31"/>
      <c r="AV392" s="31"/>
      <c r="AW392" s="27"/>
      <c r="AX392" s="27"/>
      <c r="AY392" s="27"/>
      <c r="AZ392" s="27"/>
      <c r="BA392" s="30" t="str">
        <f t="shared" si="52"/>
        <v/>
      </c>
      <c r="BB392" s="30" t="str">
        <f t="shared" si="53"/>
        <v/>
      </c>
      <c r="BC392" s="30">
        <f>IF(X392=0,0,IF(COUNTIFS($X$10:X392,1,$BA$10:BA392,BA392)=1,1,0))</f>
        <v>0</v>
      </c>
      <c r="BD392" s="29"/>
    </row>
    <row r="393" spans="1:56" ht="42" customHeight="1">
      <c r="A393" s="41"/>
      <c r="B393" s="44"/>
      <c r="C393" s="44"/>
      <c r="D393" s="44"/>
      <c r="E393" s="44"/>
      <c r="F393" s="44"/>
      <c r="G393" s="44"/>
      <c r="H393" s="44"/>
      <c r="I393" s="44"/>
      <c r="J393" s="44"/>
      <c r="K393" s="44"/>
      <c r="L393" s="49"/>
      <c r="M393" s="48"/>
      <c r="N393" s="48"/>
      <c r="O393" s="48"/>
      <c r="P393" s="48"/>
      <c r="Q393" s="48"/>
      <c r="R393" s="48"/>
      <c r="S393" s="49"/>
      <c r="T393" s="48"/>
      <c r="U393" s="48"/>
      <c r="V393" s="14">
        <f t="shared" si="45"/>
        <v>0</v>
      </c>
      <c r="W393" s="14">
        <f t="shared" si="46"/>
        <v>0</v>
      </c>
      <c r="X393" s="14">
        <f>IF(AND(V393=1,OR(Painel!$C$6="Todos",D393=Painel!$C$6),AND(OR(Painel!$L$6="Todas",E393=Painel!$L$6),OR(Painel!$C$8="Todos",F393=Painel!$C$8),OR(Painel!$L$8="Todos",G393=Painel!$L$8),OR(Painel!$C$10="",ISNUMBER(SEARCH(SUBSTITUTE(SUBSTITUTE(SUBSTITUTE(Painel!$C$10,"~","~~"),"*","~*"),"?","~?"),A393&amp;" "&amp;H393&amp;" "&amp;I393))))),1,0)</f>
        <v>0</v>
      </c>
      <c r="Y393" s="14">
        <f t="shared" si="47"/>
        <v>0</v>
      </c>
      <c r="Z393" s="15" t="str">
        <f>IF(V393=0,"",IF(COUNTIFS(Andamentos!$K$10:$K$2009,"="&amp;SUBSTITUTE(SUBSTITUTE(SUBSTITUTE("P:"&amp;A393,"~","~~"),"*","~*"),"?","~?"),Andamentos!$G$10:$G$2009,1)=0,"",_xlfn.AGGREGATE(14,6,Andamentos!$D$10:$D$2009/((Andamentos!$K$10:$K$2009=AS393)*(Andamentos!$G$10:$G$2009=1)),1)))</f>
        <v/>
      </c>
      <c r="AA393" s="14">
        <f>IF(Z393="",0,COUNTIFS(Andamentos!$K$10:$K$2009,"="&amp;SUBSTITUTE(SUBSTITUTE(SUBSTITUTE("P:"&amp;A393,"~","~~"),"*","~*"),"?","~?"),Andamentos!$D$10:$D$2009,Z393,Andamentos!$G$10:$G$2009,1))</f>
        <v>0</v>
      </c>
      <c r="AB393" s="14">
        <f>IF(AA393=1,SUMIFS(Andamentos!$L$10:$L$2009,Andamentos!$K$10:$K$2009,"="&amp;SUBSTITUTE(SUBSTITUTE(SUBSTITUTE(AS393,"~","~~"),"*","~*"),"?","~?"),Andamentos!$D$10:$D$2009,Z393,Andamentos!$G$10:$G$2009,1)-9,0)</f>
        <v>0</v>
      </c>
      <c r="AC393" s="14" t="str">
        <f>IF(V393=0,"",IF(AA393&gt;1,"Conferir recebimentos empatados",IF(AB393=0,"Sem atualização",INDEX(Andamentos!$C$10:$C$2009,AB393))))</f>
        <v/>
      </c>
      <c r="AD393" s="14">
        <f>IF(W393=0,0,IF(MAX(Z393,BD393)=0,1,IF(Configurar!$J$12-INT(MAX(Z393,BD393))&gt;Configurar!$J$11,1,0)))</f>
        <v>0</v>
      </c>
      <c r="AE393" s="16"/>
      <c r="AF393" s="14"/>
      <c r="AG393" s="14"/>
      <c r="AH393" s="14">
        <f>IF(AND(V393=1,COUNTIFS(Valores!$S$10:$S$509,"="&amp;SUBSTITUTE(SUBSTITUTE(SUBSTITUTE("P:"&amp;A393,"~","~~"),"*","~*"),"?","~?"))=1),(IF(ISNA(MATCH(SUBSTITUTE(SUBSTITUTE(SUBSTITUTE("P:"&amp;A393,"~","~~"),"*","~*"),"?","~?"),Valores!$S$10:$S$509,0)),9,INDEX(Valores!$R$10:$R$509,MATCH(SUBSTITUTE(SUBSTITUTE(SUBSTITUTE("P:"&amp;A393,"~","~~"),"*","~*"),"?","~?"),Valores!$S$10:$S$509,0)))-9),0)</f>
        <v>0</v>
      </c>
      <c r="AI393" s="40" t="str">
        <f t="shared" si="48"/>
        <v/>
      </c>
      <c r="AJ393" s="14" t="str">
        <f>IF(AND(X393=1,Y393=1),COUNTIFS($X$10:X393,1,$Y$10:Y393,1),"")</f>
        <v/>
      </c>
      <c r="AK393" s="14" t="str">
        <f>IF(X393=1,COUNTIFS($X$10:X393,1),"")</f>
        <v/>
      </c>
      <c r="AL393" s="14">
        <f>IF(AND(V393=1,AND(OR(Painel!$L$6="Todas",E393=Painel!$L$6),OR(Painel!$C$8="Todos",F393=Painel!$C$8),OR(Painel!$L$8="Todos",G393=Painel!$L$8),OR(Painel!$C$10="",ISNUMBER(SEARCH(SUBSTITUTE(SUBSTITUTE(SUBSTITUTE(Painel!$C$10,"~","~~"),"*","~*"),"?","~?"),A393&amp;" "&amp;H393&amp;" "&amp;I393))))),1,0)</f>
        <v>0</v>
      </c>
      <c r="AM393" s="14">
        <f t="shared" si="49"/>
        <v>0</v>
      </c>
      <c r="AN393" s="14"/>
      <c r="AO393" s="14"/>
      <c r="AP393" s="16" t="str">
        <f>IF(AB393=0,"",IF(INDEX(Andamentos!$B$10:$B$2009,AB393)="","",INDEX(Andamentos!$B$10:$B$2009,AB393)))</f>
        <v/>
      </c>
      <c r="AQ393" s="17" t="str">
        <f>IF(AH393=0,"",IF(INDEX(Valores!$B$10:$B$509,AH393)="","",IF(ISNUMBER(INDEX(Valores!$B$10:$B$509,AH393)),INDEX(Valores!$B$10:$B$509,AH393),"")))</f>
        <v/>
      </c>
      <c r="AR393" s="14" t="str">
        <f t="shared" si="50"/>
        <v/>
      </c>
      <c r="AS393" s="14" t="str">
        <f t="shared" si="51"/>
        <v/>
      </c>
      <c r="AT393" s="27"/>
      <c r="AU393" s="31"/>
      <c r="AV393" s="31"/>
      <c r="AW393" s="27"/>
      <c r="AX393" s="27"/>
      <c r="AY393" s="27"/>
      <c r="AZ393" s="27"/>
      <c r="BA393" s="30" t="str">
        <f t="shared" si="52"/>
        <v/>
      </c>
      <c r="BB393" s="30" t="str">
        <f t="shared" si="53"/>
        <v/>
      </c>
      <c r="BC393" s="30">
        <f>IF(X393=0,0,IF(COUNTIFS($X$10:X393,1,$BA$10:BA393,BA393)=1,1,0))</f>
        <v>0</v>
      </c>
      <c r="BD393" s="29"/>
    </row>
    <row r="394" spans="1:56" ht="42" customHeight="1">
      <c r="A394" s="41"/>
      <c r="B394" s="44"/>
      <c r="C394" s="44"/>
      <c r="D394" s="44"/>
      <c r="E394" s="44"/>
      <c r="F394" s="44"/>
      <c r="G394" s="44"/>
      <c r="H394" s="44"/>
      <c r="I394" s="44"/>
      <c r="J394" s="44"/>
      <c r="K394" s="44"/>
      <c r="L394" s="49"/>
      <c r="M394" s="48"/>
      <c r="N394" s="48"/>
      <c r="O394" s="48"/>
      <c r="P394" s="48"/>
      <c r="Q394" s="48"/>
      <c r="R394" s="48"/>
      <c r="S394" s="49"/>
      <c r="T394" s="48"/>
      <c r="U394" s="48"/>
      <c r="V394" s="14">
        <f t="shared" ref="V394:V457" si="54">IF(AND(A394&lt;&gt;"",ISTEXT(A394),COUNTIFS($AS$10:$AS$509,"="&amp;SUBSTITUTE(SUBSTITUTE(SUBSTITUTE("P:"&amp;A394,"~","~~"),"*","~*"),"?","~?"))=1),1,0)</f>
        <v>0</v>
      </c>
      <c r="W394" s="14">
        <f t="shared" ref="W394:W457" si="55">IF(AND(V394=1,OR(C394="Ativo",C394="Suspenso")),1,0)</f>
        <v>0</v>
      </c>
      <c r="X394" s="14">
        <f>IF(AND(V394=1,OR(Painel!$C$6="Todos",D394=Painel!$C$6),AND(OR(Painel!$L$6="Todas",E394=Painel!$L$6),OR(Painel!$C$8="Todos",F394=Painel!$C$8),OR(Painel!$L$8="Todos",G394=Painel!$L$8),OR(Painel!$C$10="",ISNUMBER(SEARCH(SUBSTITUTE(SUBSTITUTE(SUBSTITUTE(Painel!$C$10,"~","~~"),"*","~*"),"?","~?"),A394&amp;" "&amp;H394&amp;" "&amp;I394))))),1,0)</f>
        <v>0</v>
      </c>
      <c r="Y394" s="14">
        <f t="shared" ref="Y394:Y457" si="56">IF(AND(W394=1,OR(N394="Crítica",O394="Sim",P394="Sim")),1,0)</f>
        <v>0</v>
      </c>
      <c r="Z394" s="15" t="str">
        <f>IF(V394=0,"",IF(COUNTIFS(Andamentos!$K$10:$K$2009,"="&amp;SUBSTITUTE(SUBSTITUTE(SUBSTITUTE("P:"&amp;A394,"~","~~"),"*","~*"),"?","~?"),Andamentos!$G$10:$G$2009,1)=0,"",_xlfn.AGGREGATE(14,6,Andamentos!$D$10:$D$2009/((Andamentos!$K$10:$K$2009=AS394)*(Andamentos!$G$10:$G$2009=1)),1)))</f>
        <v/>
      </c>
      <c r="AA394" s="14">
        <f>IF(Z394="",0,COUNTIFS(Andamentos!$K$10:$K$2009,"="&amp;SUBSTITUTE(SUBSTITUTE(SUBSTITUTE("P:"&amp;A394,"~","~~"),"*","~*"),"?","~?"),Andamentos!$D$10:$D$2009,Z394,Andamentos!$G$10:$G$2009,1))</f>
        <v>0</v>
      </c>
      <c r="AB394" s="14">
        <f>IF(AA394=1,SUMIFS(Andamentos!$L$10:$L$2009,Andamentos!$K$10:$K$2009,"="&amp;SUBSTITUTE(SUBSTITUTE(SUBSTITUTE(AS394,"~","~~"),"*","~*"),"?","~?"),Andamentos!$D$10:$D$2009,Z394,Andamentos!$G$10:$G$2009,1)-9,0)</f>
        <v>0</v>
      </c>
      <c r="AC394" s="14" t="str">
        <f>IF(V394=0,"",IF(AA394&gt;1,"Conferir recebimentos empatados",IF(AB394=0,"Sem atualização",INDEX(Andamentos!$C$10:$C$2009,AB394))))</f>
        <v/>
      </c>
      <c r="AD394" s="14">
        <f>IF(W394=0,0,IF(MAX(Z394,BD394)=0,1,IF(Configurar!$J$12-INT(MAX(Z394,BD394))&gt;Configurar!$J$11,1,0)))</f>
        <v>0</v>
      </c>
      <c r="AE394" s="16"/>
      <c r="AF394" s="14"/>
      <c r="AG394" s="14"/>
      <c r="AH394" s="14">
        <f>IF(AND(V394=1,COUNTIFS(Valores!$S$10:$S$509,"="&amp;SUBSTITUTE(SUBSTITUTE(SUBSTITUTE("P:"&amp;A394,"~","~~"),"*","~*"),"?","~?"))=1),(IF(ISNA(MATCH(SUBSTITUTE(SUBSTITUTE(SUBSTITUTE("P:"&amp;A394,"~","~~"),"*","~*"),"?","~?"),Valores!$S$10:$S$509,0)),9,INDEX(Valores!$R$10:$R$509,MATCH(SUBSTITUTE(SUBSTITUTE(SUBSTITUTE("P:"&amp;A394,"~","~~"),"*","~*"),"?","~?"),Valores!$S$10:$S$509,0)))-9),0)</f>
        <v>0</v>
      </c>
      <c r="AI394" s="40" t="str">
        <f t="shared" ref="AI394:AI457" si="57">IF(COUNTA(A394:U394)=0,"",IF(A394="","Preencha o número do processo",IF(NOT(ISTEXT(A394)),"Mantenha o número como texto",IF(V394=0,"Número duplicado: confira o identificador completo",IF(C394="","Informe a situação",IF(AND(C394&lt;&gt;"Ativo",C394&lt;&gt;"Suspenso",C394&lt;&gt;"Encerrado",C394&lt;&gt;"Arquivado"),"Escolha uma situação da lista",IF(D394="","Informe o escritório",IF(E394="","Informe a empresa responsável",IF(H394="","Informe a parte autora",IF(I394="","Informe a parte ré",IF(M394="","Inclua o resumo dos fatos",IF(AND(L394&lt;&gt;"",OR(NOT(ISNUMBER(L394)),L394&lt;1,L394&gt;100000)),"Revise a data de instauração",IF(AND(S394&lt;&gt;"",OR(NOT(ISNUMBER(S394)),S394&lt;1,S394&gt;100000)),"Revise a previsão de encerramento",IF(AND(OR(C394="Encerrado",C394="Arquivado"),OR(O394="Sim",P394="Sim")),"Reveja as restrições após o encerramento",""))))))))))))))</f>
        <v/>
      </c>
      <c r="AJ394" s="14" t="str">
        <f>IF(AND(X394=1,Y394=1),COUNTIFS($X$10:X394,1,$Y$10:Y394,1),"")</f>
        <v/>
      </c>
      <c r="AK394" s="14" t="str">
        <f>IF(X394=1,COUNTIFS($X$10:X394,1),"")</f>
        <v/>
      </c>
      <c r="AL394" s="14">
        <f>IF(AND(V394=1,AND(OR(Painel!$L$6="Todas",E394=Painel!$L$6),OR(Painel!$C$8="Todos",F394=Painel!$C$8),OR(Painel!$L$8="Todos",G394=Painel!$L$8),OR(Painel!$C$10="",ISNUMBER(SEARCH(SUBSTITUTE(SUBSTITUTE(SUBSTITUTE(Painel!$C$10,"~","~~"),"*","~*"),"?","~?"),A394&amp;" "&amp;H394&amp;" "&amp;I394))))),1,0)</f>
        <v>0</v>
      </c>
      <c r="AM394" s="14">
        <f t="shared" ref="AM394:AM457" si="58">IF(A394="",0,ROW())</f>
        <v>0</v>
      </c>
      <c r="AN394" s="14"/>
      <c r="AO394" s="14"/>
      <c r="AP394" s="16" t="str">
        <f>IF(AB394=0,"",IF(INDEX(Andamentos!$B$10:$B$2009,AB394)="","",INDEX(Andamentos!$B$10:$B$2009,AB394)))</f>
        <v/>
      </c>
      <c r="AQ394" s="17" t="str">
        <f>IF(AH394=0,"",IF(INDEX(Valores!$B$10:$B$509,AH394)="","",IF(ISNUMBER(INDEX(Valores!$B$10:$B$509,AH394)),INDEX(Valores!$B$10:$B$509,AH394),"")))</f>
        <v/>
      </c>
      <c r="AR394" s="14" t="str">
        <f t="shared" ref="AR394:AR457" si="59">IF(Y394=0,"",IF(N394="Crítica","Prioridade crítica. ","")&amp;IF(O394="Sim","Bloqueio vigente. ","")&amp;IF(P394="Sim","Penhora vigente. ","")&amp;IF(Q394="","",Q394))</f>
        <v/>
      </c>
      <c r="AS394" s="14" t="str">
        <f t="shared" ref="AS394:AS457" si="60">IF(AND(A394&lt;&gt;"",ISTEXT(A394)),"P:"&amp;A394,"")</f>
        <v/>
      </c>
      <c r="AT394" s="27"/>
      <c r="AU394" s="31"/>
      <c r="AV394" s="31"/>
      <c r="AW394" s="27"/>
      <c r="AX394" s="27"/>
      <c r="AY394" s="27"/>
      <c r="AZ394" s="27"/>
      <c r="BA394" s="30" t="str">
        <f t="shared" ref="BA394:BA457" si="61">IF(A394="","",IF(AU394&lt;&gt;"",AU394,IF(AV394&lt;&gt;"",AV394,A394)))</f>
        <v/>
      </c>
      <c r="BB394" s="30" t="str">
        <f t="shared" ref="BB394:BB457" si="62">IF(A394="","",IF(COUNTIFS($BA$10:$BA$509,BA394)&gt;1,"Revisar repetição",""))</f>
        <v/>
      </c>
      <c r="BC394" s="30">
        <f>IF(X394=0,0,IF(COUNTIFS($X$10:X394,1,$BA$10:BA394,BA394)=1,1,0))</f>
        <v>0</v>
      </c>
      <c r="BD394" s="29"/>
    </row>
    <row r="395" spans="1:56" ht="42" customHeight="1">
      <c r="A395" s="41"/>
      <c r="B395" s="44"/>
      <c r="C395" s="44"/>
      <c r="D395" s="44"/>
      <c r="E395" s="44"/>
      <c r="F395" s="44"/>
      <c r="G395" s="44"/>
      <c r="H395" s="44"/>
      <c r="I395" s="44"/>
      <c r="J395" s="44"/>
      <c r="K395" s="44"/>
      <c r="L395" s="49"/>
      <c r="M395" s="48"/>
      <c r="N395" s="48"/>
      <c r="O395" s="48"/>
      <c r="P395" s="48"/>
      <c r="Q395" s="48"/>
      <c r="R395" s="48"/>
      <c r="S395" s="49"/>
      <c r="T395" s="48"/>
      <c r="U395" s="48"/>
      <c r="V395" s="14">
        <f t="shared" si="54"/>
        <v>0</v>
      </c>
      <c r="W395" s="14">
        <f t="shared" si="55"/>
        <v>0</v>
      </c>
      <c r="X395" s="14">
        <f>IF(AND(V395=1,OR(Painel!$C$6="Todos",D395=Painel!$C$6),AND(OR(Painel!$L$6="Todas",E395=Painel!$L$6),OR(Painel!$C$8="Todos",F395=Painel!$C$8),OR(Painel!$L$8="Todos",G395=Painel!$L$8),OR(Painel!$C$10="",ISNUMBER(SEARCH(SUBSTITUTE(SUBSTITUTE(SUBSTITUTE(Painel!$C$10,"~","~~"),"*","~*"),"?","~?"),A395&amp;" "&amp;H395&amp;" "&amp;I395))))),1,0)</f>
        <v>0</v>
      </c>
      <c r="Y395" s="14">
        <f t="shared" si="56"/>
        <v>0</v>
      </c>
      <c r="Z395" s="15" t="str">
        <f>IF(V395=0,"",IF(COUNTIFS(Andamentos!$K$10:$K$2009,"="&amp;SUBSTITUTE(SUBSTITUTE(SUBSTITUTE("P:"&amp;A395,"~","~~"),"*","~*"),"?","~?"),Andamentos!$G$10:$G$2009,1)=0,"",_xlfn.AGGREGATE(14,6,Andamentos!$D$10:$D$2009/((Andamentos!$K$10:$K$2009=AS395)*(Andamentos!$G$10:$G$2009=1)),1)))</f>
        <v/>
      </c>
      <c r="AA395" s="14">
        <f>IF(Z395="",0,COUNTIFS(Andamentos!$K$10:$K$2009,"="&amp;SUBSTITUTE(SUBSTITUTE(SUBSTITUTE("P:"&amp;A395,"~","~~"),"*","~*"),"?","~?"),Andamentos!$D$10:$D$2009,Z395,Andamentos!$G$10:$G$2009,1))</f>
        <v>0</v>
      </c>
      <c r="AB395" s="14">
        <f>IF(AA395=1,SUMIFS(Andamentos!$L$10:$L$2009,Andamentos!$K$10:$K$2009,"="&amp;SUBSTITUTE(SUBSTITUTE(SUBSTITUTE(AS395,"~","~~"),"*","~*"),"?","~?"),Andamentos!$D$10:$D$2009,Z395,Andamentos!$G$10:$G$2009,1)-9,0)</f>
        <v>0</v>
      </c>
      <c r="AC395" s="14" t="str">
        <f>IF(V395=0,"",IF(AA395&gt;1,"Conferir recebimentos empatados",IF(AB395=0,"Sem atualização",INDEX(Andamentos!$C$10:$C$2009,AB395))))</f>
        <v/>
      </c>
      <c r="AD395" s="14">
        <f>IF(W395=0,0,IF(MAX(Z395,BD395)=0,1,IF(Configurar!$J$12-INT(MAX(Z395,BD395))&gt;Configurar!$J$11,1,0)))</f>
        <v>0</v>
      </c>
      <c r="AE395" s="16"/>
      <c r="AF395" s="14"/>
      <c r="AG395" s="14"/>
      <c r="AH395" s="14">
        <f>IF(AND(V395=1,COUNTIFS(Valores!$S$10:$S$509,"="&amp;SUBSTITUTE(SUBSTITUTE(SUBSTITUTE("P:"&amp;A395,"~","~~"),"*","~*"),"?","~?"))=1),(IF(ISNA(MATCH(SUBSTITUTE(SUBSTITUTE(SUBSTITUTE("P:"&amp;A395,"~","~~"),"*","~*"),"?","~?"),Valores!$S$10:$S$509,0)),9,INDEX(Valores!$R$10:$R$509,MATCH(SUBSTITUTE(SUBSTITUTE(SUBSTITUTE("P:"&amp;A395,"~","~~"),"*","~*"),"?","~?"),Valores!$S$10:$S$509,0)))-9),0)</f>
        <v>0</v>
      </c>
      <c r="AI395" s="40" t="str">
        <f t="shared" si="57"/>
        <v/>
      </c>
      <c r="AJ395" s="14" t="str">
        <f>IF(AND(X395=1,Y395=1),COUNTIFS($X$10:X395,1,$Y$10:Y395,1),"")</f>
        <v/>
      </c>
      <c r="AK395" s="14" t="str">
        <f>IF(X395=1,COUNTIFS($X$10:X395,1),"")</f>
        <v/>
      </c>
      <c r="AL395" s="14">
        <f>IF(AND(V395=1,AND(OR(Painel!$L$6="Todas",E395=Painel!$L$6),OR(Painel!$C$8="Todos",F395=Painel!$C$8),OR(Painel!$L$8="Todos",G395=Painel!$L$8),OR(Painel!$C$10="",ISNUMBER(SEARCH(SUBSTITUTE(SUBSTITUTE(SUBSTITUTE(Painel!$C$10,"~","~~"),"*","~*"),"?","~?"),A395&amp;" "&amp;H395&amp;" "&amp;I395))))),1,0)</f>
        <v>0</v>
      </c>
      <c r="AM395" s="14">
        <f t="shared" si="58"/>
        <v>0</v>
      </c>
      <c r="AN395" s="14"/>
      <c r="AO395" s="14"/>
      <c r="AP395" s="16" t="str">
        <f>IF(AB395=0,"",IF(INDEX(Andamentos!$B$10:$B$2009,AB395)="","",INDEX(Andamentos!$B$10:$B$2009,AB395)))</f>
        <v/>
      </c>
      <c r="AQ395" s="17" t="str">
        <f>IF(AH395=0,"",IF(INDEX(Valores!$B$10:$B$509,AH395)="","",IF(ISNUMBER(INDEX(Valores!$B$10:$B$509,AH395)),INDEX(Valores!$B$10:$B$509,AH395),"")))</f>
        <v/>
      </c>
      <c r="AR395" s="14" t="str">
        <f t="shared" si="59"/>
        <v/>
      </c>
      <c r="AS395" s="14" t="str">
        <f t="shared" si="60"/>
        <v/>
      </c>
      <c r="AT395" s="27"/>
      <c r="AU395" s="31"/>
      <c r="AV395" s="31"/>
      <c r="AW395" s="27"/>
      <c r="AX395" s="27"/>
      <c r="AY395" s="27"/>
      <c r="AZ395" s="27"/>
      <c r="BA395" s="30" t="str">
        <f t="shared" si="61"/>
        <v/>
      </c>
      <c r="BB395" s="30" t="str">
        <f t="shared" si="62"/>
        <v/>
      </c>
      <c r="BC395" s="30">
        <f>IF(X395=0,0,IF(COUNTIFS($X$10:X395,1,$BA$10:BA395,BA395)=1,1,0))</f>
        <v>0</v>
      </c>
      <c r="BD395" s="29"/>
    </row>
    <row r="396" spans="1:56" ht="42" customHeight="1">
      <c r="A396" s="41"/>
      <c r="B396" s="44"/>
      <c r="C396" s="44"/>
      <c r="D396" s="44"/>
      <c r="E396" s="44"/>
      <c r="F396" s="44"/>
      <c r="G396" s="44"/>
      <c r="H396" s="44"/>
      <c r="I396" s="44"/>
      <c r="J396" s="44"/>
      <c r="K396" s="44"/>
      <c r="L396" s="49"/>
      <c r="M396" s="48"/>
      <c r="N396" s="48"/>
      <c r="O396" s="48"/>
      <c r="P396" s="48"/>
      <c r="Q396" s="48"/>
      <c r="R396" s="48"/>
      <c r="S396" s="49"/>
      <c r="T396" s="48"/>
      <c r="U396" s="48"/>
      <c r="V396" s="14">
        <f t="shared" si="54"/>
        <v>0</v>
      </c>
      <c r="W396" s="14">
        <f t="shared" si="55"/>
        <v>0</v>
      </c>
      <c r="X396" s="14">
        <f>IF(AND(V396=1,OR(Painel!$C$6="Todos",D396=Painel!$C$6),AND(OR(Painel!$L$6="Todas",E396=Painel!$L$6),OR(Painel!$C$8="Todos",F396=Painel!$C$8),OR(Painel!$L$8="Todos",G396=Painel!$L$8),OR(Painel!$C$10="",ISNUMBER(SEARCH(SUBSTITUTE(SUBSTITUTE(SUBSTITUTE(Painel!$C$10,"~","~~"),"*","~*"),"?","~?"),A396&amp;" "&amp;H396&amp;" "&amp;I396))))),1,0)</f>
        <v>0</v>
      </c>
      <c r="Y396" s="14">
        <f t="shared" si="56"/>
        <v>0</v>
      </c>
      <c r="Z396" s="15" t="str">
        <f>IF(V396=0,"",IF(COUNTIFS(Andamentos!$K$10:$K$2009,"="&amp;SUBSTITUTE(SUBSTITUTE(SUBSTITUTE("P:"&amp;A396,"~","~~"),"*","~*"),"?","~?"),Andamentos!$G$10:$G$2009,1)=0,"",_xlfn.AGGREGATE(14,6,Andamentos!$D$10:$D$2009/((Andamentos!$K$10:$K$2009=AS396)*(Andamentos!$G$10:$G$2009=1)),1)))</f>
        <v/>
      </c>
      <c r="AA396" s="14">
        <f>IF(Z396="",0,COUNTIFS(Andamentos!$K$10:$K$2009,"="&amp;SUBSTITUTE(SUBSTITUTE(SUBSTITUTE("P:"&amp;A396,"~","~~"),"*","~*"),"?","~?"),Andamentos!$D$10:$D$2009,Z396,Andamentos!$G$10:$G$2009,1))</f>
        <v>0</v>
      </c>
      <c r="AB396" s="14">
        <f>IF(AA396=1,SUMIFS(Andamentos!$L$10:$L$2009,Andamentos!$K$10:$K$2009,"="&amp;SUBSTITUTE(SUBSTITUTE(SUBSTITUTE(AS396,"~","~~"),"*","~*"),"?","~?"),Andamentos!$D$10:$D$2009,Z396,Andamentos!$G$10:$G$2009,1)-9,0)</f>
        <v>0</v>
      </c>
      <c r="AC396" s="14" t="str">
        <f>IF(V396=0,"",IF(AA396&gt;1,"Conferir recebimentos empatados",IF(AB396=0,"Sem atualização",INDEX(Andamentos!$C$10:$C$2009,AB396))))</f>
        <v/>
      </c>
      <c r="AD396" s="14">
        <f>IF(W396=0,0,IF(MAX(Z396,BD396)=0,1,IF(Configurar!$J$12-INT(MAX(Z396,BD396))&gt;Configurar!$J$11,1,0)))</f>
        <v>0</v>
      </c>
      <c r="AE396" s="16"/>
      <c r="AF396" s="14"/>
      <c r="AG396" s="14"/>
      <c r="AH396" s="14">
        <f>IF(AND(V396=1,COUNTIFS(Valores!$S$10:$S$509,"="&amp;SUBSTITUTE(SUBSTITUTE(SUBSTITUTE("P:"&amp;A396,"~","~~"),"*","~*"),"?","~?"))=1),(IF(ISNA(MATCH(SUBSTITUTE(SUBSTITUTE(SUBSTITUTE("P:"&amp;A396,"~","~~"),"*","~*"),"?","~?"),Valores!$S$10:$S$509,0)),9,INDEX(Valores!$R$10:$R$509,MATCH(SUBSTITUTE(SUBSTITUTE(SUBSTITUTE("P:"&amp;A396,"~","~~"),"*","~*"),"?","~?"),Valores!$S$10:$S$509,0)))-9),0)</f>
        <v>0</v>
      </c>
      <c r="AI396" s="40" t="str">
        <f t="shared" si="57"/>
        <v/>
      </c>
      <c r="AJ396" s="14" t="str">
        <f>IF(AND(X396=1,Y396=1),COUNTIFS($X$10:X396,1,$Y$10:Y396,1),"")</f>
        <v/>
      </c>
      <c r="AK396" s="14" t="str">
        <f>IF(X396=1,COUNTIFS($X$10:X396,1),"")</f>
        <v/>
      </c>
      <c r="AL396" s="14">
        <f>IF(AND(V396=1,AND(OR(Painel!$L$6="Todas",E396=Painel!$L$6),OR(Painel!$C$8="Todos",F396=Painel!$C$8),OR(Painel!$L$8="Todos",G396=Painel!$L$8),OR(Painel!$C$10="",ISNUMBER(SEARCH(SUBSTITUTE(SUBSTITUTE(SUBSTITUTE(Painel!$C$10,"~","~~"),"*","~*"),"?","~?"),A396&amp;" "&amp;H396&amp;" "&amp;I396))))),1,0)</f>
        <v>0</v>
      </c>
      <c r="AM396" s="14">
        <f t="shared" si="58"/>
        <v>0</v>
      </c>
      <c r="AN396" s="14"/>
      <c r="AO396" s="14"/>
      <c r="AP396" s="16" t="str">
        <f>IF(AB396=0,"",IF(INDEX(Andamentos!$B$10:$B$2009,AB396)="","",INDEX(Andamentos!$B$10:$B$2009,AB396)))</f>
        <v/>
      </c>
      <c r="AQ396" s="17" t="str">
        <f>IF(AH396=0,"",IF(INDEX(Valores!$B$10:$B$509,AH396)="","",IF(ISNUMBER(INDEX(Valores!$B$10:$B$509,AH396)),INDEX(Valores!$B$10:$B$509,AH396),"")))</f>
        <v/>
      </c>
      <c r="AR396" s="14" t="str">
        <f t="shared" si="59"/>
        <v/>
      </c>
      <c r="AS396" s="14" t="str">
        <f t="shared" si="60"/>
        <v/>
      </c>
      <c r="AT396" s="27"/>
      <c r="AU396" s="31"/>
      <c r="AV396" s="31"/>
      <c r="AW396" s="27"/>
      <c r="AX396" s="27"/>
      <c r="AY396" s="27"/>
      <c r="AZ396" s="27"/>
      <c r="BA396" s="30" t="str">
        <f t="shared" si="61"/>
        <v/>
      </c>
      <c r="BB396" s="30" t="str">
        <f t="shared" si="62"/>
        <v/>
      </c>
      <c r="BC396" s="30">
        <f>IF(X396=0,0,IF(COUNTIFS($X$10:X396,1,$BA$10:BA396,BA396)=1,1,0))</f>
        <v>0</v>
      </c>
      <c r="BD396" s="29"/>
    </row>
    <row r="397" spans="1:56" ht="42" customHeight="1">
      <c r="A397" s="41"/>
      <c r="B397" s="44"/>
      <c r="C397" s="44"/>
      <c r="D397" s="44"/>
      <c r="E397" s="44"/>
      <c r="F397" s="44"/>
      <c r="G397" s="44"/>
      <c r="H397" s="44"/>
      <c r="I397" s="44"/>
      <c r="J397" s="44"/>
      <c r="K397" s="44"/>
      <c r="L397" s="49"/>
      <c r="M397" s="48"/>
      <c r="N397" s="48"/>
      <c r="O397" s="48"/>
      <c r="P397" s="48"/>
      <c r="Q397" s="48"/>
      <c r="R397" s="48"/>
      <c r="S397" s="49"/>
      <c r="T397" s="48"/>
      <c r="U397" s="48"/>
      <c r="V397" s="14">
        <f t="shared" si="54"/>
        <v>0</v>
      </c>
      <c r="W397" s="14">
        <f t="shared" si="55"/>
        <v>0</v>
      </c>
      <c r="X397" s="14">
        <f>IF(AND(V397=1,OR(Painel!$C$6="Todos",D397=Painel!$C$6),AND(OR(Painel!$L$6="Todas",E397=Painel!$L$6),OR(Painel!$C$8="Todos",F397=Painel!$C$8),OR(Painel!$L$8="Todos",G397=Painel!$L$8),OR(Painel!$C$10="",ISNUMBER(SEARCH(SUBSTITUTE(SUBSTITUTE(SUBSTITUTE(Painel!$C$10,"~","~~"),"*","~*"),"?","~?"),A397&amp;" "&amp;H397&amp;" "&amp;I397))))),1,0)</f>
        <v>0</v>
      </c>
      <c r="Y397" s="14">
        <f t="shared" si="56"/>
        <v>0</v>
      </c>
      <c r="Z397" s="15" t="str">
        <f>IF(V397=0,"",IF(COUNTIFS(Andamentos!$K$10:$K$2009,"="&amp;SUBSTITUTE(SUBSTITUTE(SUBSTITUTE("P:"&amp;A397,"~","~~"),"*","~*"),"?","~?"),Andamentos!$G$10:$G$2009,1)=0,"",_xlfn.AGGREGATE(14,6,Andamentos!$D$10:$D$2009/((Andamentos!$K$10:$K$2009=AS397)*(Andamentos!$G$10:$G$2009=1)),1)))</f>
        <v/>
      </c>
      <c r="AA397" s="14">
        <f>IF(Z397="",0,COUNTIFS(Andamentos!$K$10:$K$2009,"="&amp;SUBSTITUTE(SUBSTITUTE(SUBSTITUTE("P:"&amp;A397,"~","~~"),"*","~*"),"?","~?"),Andamentos!$D$10:$D$2009,Z397,Andamentos!$G$10:$G$2009,1))</f>
        <v>0</v>
      </c>
      <c r="AB397" s="14">
        <f>IF(AA397=1,SUMIFS(Andamentos!$L$10:$L$2009,Andamentos!$K$10:$K$2009,"="&amp;SUBSTITUTE(SUBSTITUTE(SUBSTITUTE(AS397,"~","~~"),"*","~*"),"?","~?"),Andamentos!$D$10:$D$2009,Z397,Andamentos!$G$10:$G$2009,1)-9,0)</f>
        <v>0</v>
      </c>
      <c r="AC397" s="14" t="str">
        <f>IF(V397=0,"",IF(AA397&gt;1,"Conferir recebimentos empatados",IF(AB397=0,"Sem atualização",INDEX(Andamentos!$C$10:$C$2009,AB397))))</f>
        <v/>
      </c>
      <c r="AD397" s="14">
        <f>IF(W397=0,0,IF(MAX(Z397,BD397)=0,1,IF(Configurar!$J$12-INT(MAX(Z397,BD397))&gt;Configurar!$J$11,1,0)))</f>
        <v>0</v>
      </c>
      <c r="AE397" s="16"/>
      <c r="AF397" s="14"/>
      <c r="AG397" s="14"/>
      <c r="AH397" s="14">
        <f>IF(AND(V397=1,COUNTIFS(Valores!$S$10:$S$509,"="&amp;SUBSTITUTE(SUBSTITUTE(SUBSTITUTE("P:"&amp;A397,"~","~~"),"*","~*"),"?","~?"))=1),(IF(ISNA(MATCH(SUBSTITUTE(SUBSTITUTE(SUBSTITUTE("P:"&amp;A397,"~","~~"),"*","~*"),"?","~?"),Valores!$S$10:$S$509,0)),9,INDEX(Valores!$R$10:$R$509,MATCH(SUBSTITUTE(SUBSTITUTE(SUBSTITUTE("P:"&amp;A397,"~","~~"),"*","~*"),"?","~?"),Valores!$S$10:$S$509,0)))-9),0)</f>
        <v>0</v>
      </c>
      <c r="AI397" s="40" t="str">
        <f t="shared" si="57"/>
        <v/>
      </c>
      <c r="AJ397" s="14" t="str">
        <f>IF(AND(X397=1,Y397=1),COUNTIFS($X$10:X397,1,$Y$10:Y397,1),"")</f>
        <v/>
      </c>
      <c r="AK397" s="14" t="str">
        <f>IF(X397=1,COUNTIFS($X$10:X397,1),"")</f>
        <v/>
      </c>
      <c r="AL397" s="14">
        <f>IF(AND(V397=1,AND(OR(Painel!$L$6="Todas",E397=Painel!$L$6),OR(Painel!$C$8="Todos",F397=Painel!$C$8),OR(Painel!$L$8="Todos",G397=Painel!$L$8),OR(Painel!$C$10="",ISNUMBER(SEARCH(SUBSTITUTE(SUBSTITUTE(SUBSTITUTE(Painel!$C$10,"~","~~"),"*","~*"),"?","~?"),A397&amp;" "&amp;H397&amp;" "&amp;I397))))),1,0)</f>
        <v>0</v>
      </c>
      <c r="AM397" s="14">
        <f t="shared" si="58"/>
        <v>0</v>
      </c>
      <c r="AN397" s="14"/>
      <c r="AO397" s="14"/>
      <c r="AP397" s="16" t="str">
        <f>IF(AB397=0,"",IF(INDEX(Andamentos!$B$10:$B$2009,AB397)="","",INDEX(Andamentos!$B$10:$B$2009,AB397)))</f>
        <v/>
      </c>
      <c r="AQ397" s="17" t="str">
        <f>IF(AH397=0,"",IF(INDEX(Valores!$B$10:$B$509,AH397)="","",IF(ISNUMBER(INDEX(Valores!$B$10:$B$509,AH397)),INDEX(Valores!$B$10:$B$509,AH397),"")))</f>
        <v/>
      </c>
      <c r="AR397" s="14" t="str">
        <f t="shared" si="59"/>
        <v/>
      </c>
      <c r="AS397" s="14" t="str">
        <f t="shared" si="60"/>
        <v/>
      </c>
      <c r="AT397" s="27"/>
      <c r="AU397" s="31"/>
      <c r="AV397" s="31"/>
      <c r="AW397" s="27"/>
      <c r="AX397" s="27"/>
      <c r="AY397" s="27"/>
      <c r="AZ397" s="27"/>
      <c r="BA397" s="30" t="str">
        <f t="shared" si="61"/>
        <v/>
      </c>
      <c r="BB397" s="30" t="str">
        <f t="shared" si="62"/>
        <v/>
      </c>
      <c r="BC397" s="30">
        <f>IF(X397=0,0,IF(COUNTIFS($X$10:X397,1,$BA$10:BA397,BA397)=1,1,0))</f>
        <v>0</v>
      </c>
      <c r="BD397" s="29"/>
    </row>
    <row r="398" spans="1:56" ht="42" customHeight="1">
      <c r="A398" s="41"/>
      <c r="B398" s="44"/>
      <c r="C398" s="44"/>
      <c r="D398" s="44"/>
      <c r="E398" s="44"/>
      <c r="F398" s="44"/>
      <c r="G398" s="44"/>
      <c r="H398" s="44"/>
      <c r="I398" s="44"/>
      <c r="J398" s="44"/>
      <c r="K398" s="44"/>
      <c r="L398" s="49"/>
      <c r="M398" s="48"/>
      <c r="N398" s="48"/>
      <c r="O398" s="48"/>
      <c r="P398" s="48"/>
      <c r="Q398" s="48"/>
      <c r="R398" s="48"/>
      <c r="S398" s="49"/>
      <c r="T398" s="48"/>
      <c r="U398" s="48"/>
      <c r="V398" s="14">
        <f t="shared" si="54"/>
        <v>0</v>
      </c>
      <c r="W398" s="14">
        <f t="shared" si="55"/>
        <v>0</v>
      </c>
      <c r="X398" s="14">
        <f>IF(AND(V398=1,OR(Painel!$C$6="Todos",D398=Painel!$C$6),AND(OR(Painel!$L$6="Todas",E398=Painel!$L$6),OR(Painel!$C$8="Todos",F398=Painel!$C$8),OR(Painel!$L$8="Todos",G398=Painel!$L$8),OR(Painel!$C$10="",ISNUMBER(SEARCH(SUBSTITUTE(SUBSTITUTE(SUBSTITUTE(Painel!$C$10,"~","~~"),"*","~*"),"?","~?"),A398&amp;" "&amp;H398&amp;" "&amp;I398))))),1,0)</f>
        <v>0</v>
      </c>
      <c r="Y398" s="14">
        <f t="shared" si="56"/>
        <v>0</v>
      </c>
      <c r="Z398" s="15" t="str">
        <f>IF(V398=0,"",IF(COUNTIFS(Andamentos!$K$10:$K$2009,"="&amp;SUBSTITUTE(SUBSTITUTE(SUBSTITUTE("P:"&amp;A398,"~","~~"),"*","~*"),"?","~?"),Andamentos!$G$10:$G$2009,1)=0,"",_xlfn.AGGREGATE(14,6,Andamentos!$D$10:$D$2009/((Andamentos!$K$10:$K$2009=AS398)*(Andamentos!$G$10:$G$2009=1)),1)))</f>
        <v/>
      </c>
      <c r="AA398" s="14">
        <f>IF(Z398="",0,COUNTIFS(Andamentos!$K$10:$K$2009,"="&amp;SUBSTITUTE(SUBSTITUTE(SUBSTITUTE("P:"&amp;A398,"~","~~"),"*","~*"),"?","~?"),Andamentos!$D$10:$D$2009,Z398,Andamentos!$G$10:$G$2009,1))</f>
        <v>0</v>
      </c>
      <c r="AB398" s="14">
        <f>IF(AA398=1,SUMIFS(Andamentos!$L$10:$L$2009,Andamentos!$K$10:$K$2009,"="&amp;SUBSTITUTE(SUBSTITUTE(SUBSTITUTE(AS398,"~","~~"),"*","~*"),"?","~?"),Andamentos!$D$10:$D$2009,Z398,Andamentos!$G$10:$G$2009,1)-9,0)</f>
        <v>0</v>
      </c>
      <c r="AC398" s="14" t="str">
        <f>IF(V398=0,"",IF(AA398&gt;1,"Conferir recebimentos empatados",IF(AB398=0,"Sem atualização",INDEX(Andamentos!$C$10:$C$2009,AB398))))</f>
        <v/>
      </c>
      <c r="AD398" s="14">
        <f>IF(W398=0,0,IF(MAX(Z398,BD398)=0,1,IF(Configurar!$J$12-INT(MAX(Z398,BD398))&gt;Configurar!$J$11,1,0)))</f>
        <v>0</v>
      </c>
      <c r="AE398" s="16"/>
      <c r="AF398" s="14"/>
      <c r="AG398" s="14"/>
      <c r="AH398" s="14">
        <f>IF(AND(V398=1,COUNTIFS(Valores!$S$10:$S$509,"="&amp;SUBSTITUTE(SUBSTITUTE(SUBSTITUTE("P:"&amp;A398,"~","~~"),"*","~*"),"?","~?"))=1),(IF(ISNA(MATCH(SUBSTITUTE(SUBSTITUTE(SUBSTITUTE("P:"&amp;A398,"~","~~"),"*","~*"),"?","~?"),Valores!$S$10:$S$509,0)),9,INDEX(Valores!$R$10:$R$509,MATCH(SUBSTITUTE(SUBSTITUTE(SUBSTITUTE("P:"&amp;A398,"~","~~"),"*","~*"),"?","~?"),Valores!$S$10:$S$509,0)))-9),0)</f>
        <v>0</v>
      </c>
      <c r="AI398" s="40" t="str">
        <f t="shared" si="57"/>
        <v/>
      </c>
      <c r="AJ398" s="14" t="str">
        <f>IF(AND(X398=1,Y398=1),COUNTIFS($X$10:X398,1,$Y$10:Y398,1),"")</f>
        <v/>
      </c>
      <c r="AK398" s="14" t="str">
        <f>IF(X398=1,COUNTIFS($X$10:X398,1),"")</f>
        <v/>
      </c>
      <c r="AL398" s="14">
        <f>IF(AND(V398=1,AND(OR(Painel!$L$6="Todas",E398=Painel!$L$6),OR(Painel!$C$8="Todos",F398=Painel!$C$8),OR(Painel!$L$8="Todos",G398=Painel!$L$8),OR(Painel!$C$10="",ISNUMBER(SEARCH(SUBSTITUTE(SUBSTITUTE(SUBSTITUTE(Painel!$C$10,"~","~~"),"*","~*"),"?","~?"),A398&amp;" "&amp;H398&amp;" "&amp;I398))))),1,0)</f>
        <v>0</v>
      </c>
      <c r="AM398" s="14">
        <f t="shared" si="58"/>
        <v>0</v>
      </c>
      <c r="AN398" s="14"/>
      <c r="AO398" s="14"/>
      <c r="AP398" s="16" t="str">
        <f>IF(AB398=0,"",IF(INDEX(Andamentos!$B$10:$B$2009,AB398)="","",INDEX(Andamentos!$B$10:$B$2009,AB398)))</f>
        <v/>
      </c>
      <c r="AQ398" s="17" t="str">
        <f>IF(AH398=0,"",IF(INDEX(Valores!$B$10:$B$509,AH398)="","",IF(ISNUMBER(INDEX(Valores!$B$10:$B$509,AH398)),INDEX(Valores!$B$10:$B$509,AH398),"")))</f>
        <v/>
      </c>
      <c r="AR398" s="14" t="str">
        <f t="shared" si="59"/>
        <v/>
      </c>
      <c r="AS398" s="14" t="str">
        <f t="shared" si="60"/>
        <v/>
      </c>
      <c r="AT398" s="27"/>
      <c r="AU398" s="31"/>
      <c r="AV398" s="31"/>
      <c r="AW398" s="27"/>
      <c r="AX398" s="27"/>
      <c r="AY398" s="27"/>
      <c r="AZ398" s="27"/>
      <c r="BA398" s="30" t="str">
        <f t="shared" si="61"/>
        <v/>
      </c>
      <c r="BB398" s="30" t="str">
        <f t="shared" si="62"/>
        <v/>
      </c>
      <c r="BC398" s="30">
        <f>IF(X398=0,0,IF(COUNTIFS($X$10:X398,1,$BA$10:BA398,BA398)=1,1,0))</f>
        <v>0</v>
      </c>
      <c r="BD398" s="29"/>
    </row>
    <row r="399" spans="1:56" ht="42" customHeight="1">
      <c r="A399" s="41"/>
      <c r="B399" s="44"/>
      <c r="C399" s="44"/>
      <c r="D399" s="44"/>
      <c r="E399" s="44"/>
      <c r="F399" s="44"/>
      <c r="G399" s="44"/>
      <c r="H399" s="44"/>
      <c r="I399" s="44"/>
      <c r="J399" s="44"/>
      <c r="K399" s="44"/>
      <c r="L399" s="49"/>
      <c r="M399" s="48"/>
      <c r="N399" s="48"/>
      <c r="O399" s="48"/>
      <c r="P399" s="48"/>
      <c r="Q399" s="48"/>
      <c r="R399" s="48"/>
      <c r="S399" s="49"/>
      <c r="T399" s="48"/>
      <c r="U399" s="48"/>
      <c r="V399" s="14">
        <f t="shared" si="54"/>
        <v>0</v>
      </c>
      <c r="W399" s="14">
        <f t="shared" si="55"/>
        <v>0</v>
      </c>
      <c r="X399" s="14">
        <f>IF(AND(V399=1,OR(Painel!$C$6="Todos",D399=Painel!$C$6),AND(OR(Painel!$L$6="Todas",E399=Painel!$L$6),OR(Painel!$C$8="Todos",F399=Painel!$C$8),OR(Painel!$L$8="Todos",G399=Painel!$L$8),OR(Painel!$C$10="",ISNUMBER(SEARCH(SUBSTITUTE(SUBSTITUTE(SUBSTITUTE(Painel!$C$10,"~","~~"),"*","~*"),"?","~?"),A399&amp;" "&amp;H399&amp;" "&amp;I399))))),1,0)</f>
        <v>0</v>
      </c>
      <c r="Y399" s="14">
        <f t="shared" si="56"/>
        <v>0</v>
      </c>
      <c r="Z399" s="15" t="str">
        <f>IF(V399=0,"",IF(COUNTIFS(Andamentos!$K$10:$K$2009,"="&amp;SUBSTITUTE(SUBSTITUTE(SUBSTITUTE("P:"&amp;A399,"~","~~"),"*","~*"),"?","~?"),Andamentos!$G$10:$G$2009,1)=0,"",_xlfn.AGGREGATE(14,6,Andamentos!$D$10:$D$2009/((Andamentos!$K$10:$K$2009=AS399)*(Andamentos!$G$10:$G$2009=1)),1)))</f>
        <v/>
      </c>
      <c r="AA399" s="14">
        <f>IF(Z399="",0,COUNTIFS(Andamentos!$K$10:$K$2009,"="&amp;SUBSTITUTE(SUBSTITUTE(SUBSTITUTE("P:"&amp;A399,"~","~~"),"*","~*"),"?","~?"),Andamentos!$D$10:$D$2009,Z399,Andamentos!$G$10:$G$2009,1))</f>
        <v>0</v>
      </c>
      <c r="AB399" s="14">
        <f>IF(AA399=1,SUMIFS(Andamentos!$L$10:$L$2009,Andamentos!$K$10:$K$2009,"="&amp;SUBSTITUTE(SUBSTITUTE(SUBSTITUTE(AS399,"~","~~"),"*","~*"),"?","~?"),Andamentos!$D$10:$D$2009,Z399,Andamentos!$G$10:$G$2009,1)-9,0)</f>
        <v>0</v>
      </c>
      <c r="AC399" s="14" t="str">
        <f>IF(V399=0,"",IF(AA399&gt;1,"Conferir recebimentos empatados",IF(AB399=0,"Sem atualização",INDEX(Andamentos!$C$10:$C$2009,AB399))))</f>
        <v/>
      </c>
      <c r="AD399" s="14">
        <f>IF(W399=0,0,IF(MAX(Z399,BD399)=0,1,IF(Configurar!$J$12-INT(MAX(Z399,BD399))&gt;Configurar!$J$11,1,0)))</f>
        <v>0</v>
      </c>
      <c r="AE399" s="16"/>
      <c r="AF399" s="14"/>
      <c r="AG399" s="14"/>
      <c r="AH399" s="14">
        <f>IF(AND(V399=1,COUNTIFS(Valores!$S$10:$S$509,"="&amp;SUBSTITUTE(SUBSTITUTE(SUBSTITUTE("P:"&amp;A399,"~","~~"),"*","~*"),"?","~?"))=1),(IF(ISNA(MATCH(SUBSTITUTE(SUBSTITUTE(SUBSTITUTE("P:"&amp;A399,"~","~~"),"*","~*"),"?","~?"),Valores!$S$10:$S$509,0)),9,INDEX(Valores!$R$10:$R$509,MATCH(SUBSTITUTE(SUBSTITUTE(SUBSTITUTE("P:"&amp;A399,"~","~~"),"*","~*"),"?","~?"),Valores!$S$10:$S$509,0)))-9),0)</f>
        <v>0</v>
      </c>
      <c r="AI399" s="40" t="str">
        <f t="shared" si="57"/>
        <v/>
      </c>
      <c r="AJ399" s="14" t="str">
        <f>IF(AND(X399=1,Y399=1),COUNTIFS($X$10:X399,1,$Y$10:Y399,1),"")</f>
        <v/>
      </c>
      <c r="AK399" s="14" t="str">
        <f>IF(X399=1,COUNTIFS($X$10:X399,1),"")</f>
        <v/>
      </c>
      <c r="AL399" s="14">
        <f>IF(AND(V399=1,AND(OR(Painel!$L$6="Todas",E399=Painel!$L$6),OR(Painel!$C$8="Todos",F399=Painel!$C$8),OR(Painel!$L$8="Todos",G399=Painel!$L$8),OR(Painel!$C$10="",ISNUMBER(SEARCH(SUBSTITUTE(SUBSTITUTE(SUBSTITUTE(Painel!$C$10,"~","~~"),"*","~*"),"?","~?"),A399&amp;" "&amp;H399&amp;" "&amp;I399))))),1,0)</f>
        <v>0</v>
      </c>
      <c r="AM399" s="14">
        <f t="shared" si="58"/>
        <v>0</v>
      </c>
      <c r="AN399" s="14"/>
      <c r="AO399" s="14"/>
      <c r="AP399" s="16" t="str">
        <f>IF(AB399=0,"",IF(INDEX(Andamentos!$B$10:$B$2009,AB399)="","",INDEX(Andamentos!$B$10:$B$2009,AB399)))</f>
        <v/>
      </c>
      <c r="AQ399" s="17" t="str">
        <f>IF(AH399=0,"",IF(INDEX(Valores!$B$10:$B$509,AH399)="","",IF(ISNUMBER(INDEX(Valores!$B$10:$B$509,AH399)),INDEX(Valores!$B$10:$B$509,AH399),"")))</f>
        <v/>
      </c>
      <c r="AR399" s="14" t="str">
        <f t="shared" si="59"/>
        <v/>
      </c>
      <c r="AS399" s="14" t="str">
        <f t="shared" si="60"/>
        <v/>
      </c>
      <c r="AT399" s="27"/>
      <c r="AU399" s="31"/>
      <c r="AV399" s="31"/>
      <c r="AW399" s="27"/>
      <c r="AX399" s="27"/>
      <c r="AY399" s="27"/>
      <c r="AZ399" s="27"/>
      <c r="BA399" s="30" t="str">
        <f t="shared" si="61"/>
        <v/>
      </c>
      <c r="BB399" s="30" t="str">
        <f t="shared" si="62"/>
        <v/>
      </c>
      <c r="BC399" s="30">
        <f>IF(X399=0,0,IF(COUNTIFS($X$10:X399,1,$BA$10:BA399,BA399)=1,1,0))</f>
        <v>0</v>
      </c>
      <c r="BD399" s="29"/>
    </row>
    <row r="400" spans="1:56" ht="42" customHeight="1">
      <c r="A400" s="41"/>
      <c r="B400" s="44"/>
      <c r="C400" s="44"/>
      <c r="D400" s="44"/>
      <c r="E400" s="44"/>
      <c r="F400" s="44"/>
      <c r="G400" s="44"/>
      <c r="H400" s="44"/>
      <c r="I400" s="44"/>
      <c r="J400" s="44"/>
      <c r="K400" s="44"/>
      <c r="L400" s="49"/>
      <c r="M400" s="48"/>
      <c r="N400" s="48"/>
      <c r="O400" s="48"/>
      <c r="P400" s="48"/>
      <c r="Q400" s="48"/>
      <c r="R400" s="48"/>
      <c r="S400" s="49"/>
      <c r="T400" s="48"/>
      <c r="U400" s="48"/>
      <c r="V400" s="14">
        <f t="shared" si="54"/>
        <v>0</v>
      </c>
      <c r="W400" s="14">
        <f t="shared" si="55"/>
        <v>0</v>
      </c>
      <c r="X400" s="14">
        <f>IF(AND(V400=1,OR(Painel!$C$6="Todos",D400=Painel!$C$6),AND(OR(Painel!$L$6="Todas",E400=Painel!$L$6),OR(Painel!$C$8="Todos",F400=Painel!$C$8),OR(Painel!$L$8="Todos",G400=Painel!$L$8),OR(Painel!$C$10="",ISNUMBER(SEARCH(SUBSTITUTE(SUBSTITUTE(SUBSTITUTE(Painel!$C$10,"~","~~"),"*","~*"),"?","~?"),A400&amp;" "&amp;H400&amp;" "&amp;I400))))),1,0)</f>
        <v>0</v>
      </c>
      <c r="Y400" s="14">
        <f t="shared" si="56"/>
        <v>0</v>
      </c>
      <c r="Z400" s="15" t="str">
        <f>IF(V400=0,"",IF(COUNTIFS(Andamentos!$K$10:$K$2009,"="&amp;SUBSTITUTE(SUBSTITUTE(SUBSTITUTE("P:"&amp;A400,"~","~~"),"*","~*"),"?","~?"),Andamentos!$G$10:$G$2009,1)=0,"",_xlfn.AGGREGATE(14,6,Andamentos!$D$10:$D$2009/((Andamentos!$K$10:$K$2009=AS400)*(Andamentos!$G$10:$G$2009=1)),1)))</f>
        <v/>
      </c>
      <c r="AA400" s="14">
        <f>IF(Z400="",0,COUNTIFS(Andamentos!$K$10:$K$2009,"="&amp;SUBSTITUTE(SUBSTITUTE(SUBSTITUTE("P:"&amp;A400,"~","~~"),"*","~*"),"?","~?"),Andamentos!$D$10:$D$2009,Z400,Andamentos!$G$10:$G$2009,1))</f>
        <v>0</v>
      </c>
      <c r="AB400" s="14">
        <f>IF(AA400=1,SUMIFS(Andamentos!$L$10:$L$2009,Andamentos!$K$10:$K$2009,"="&amp;SUBSTITUTE(SUBSTITUTE(SUBSTITUTE(AS400,"~","~~"),"*","~*"),"?","~?"),Andamentos!$D$10:$D$2009,Z400,Andamentos!$G$10:$G$2009,1)-9,0)</f>
        <v>0</v>
      </c>
      <c r="AC400" s="14" t="str">
        <f>IF(V400=0,"",IF(AA400&gt;1,"Conferir recebimentos empatados",IF(AB400=0,"Sem atualização",INDEX(Andamentos!$C$10:$C$2009,AB400))))</f>
        <v/>
      </c>
      <c r="AD400" s="14">
        <f>IF(W400=0,0,IF(MAX(Z400,BD400)=0,1,IF(Configurar!$J$12-INT(MAX(Z400,BD400))&gt;Configurar!$J$11,1,0)))</f>
        <v>0</v>
      </c>
      <c r="AE400" s="16"/>
      <c r="AF400" s="14"/>
      <c r="AG400" s="14"/>
      <c r="AH400" s="14">
        <f>IF(AND(V400=1,COUNTIFS(Valores!$S$10:$S$509,"="&amp;SUBSTITUTE(SUBSTITUTE(SUBSTITUTE("P:"&amp;A400,"~","~~"),"*","~*"),"?","~?"))=1),(IF(ISNA(MATCH(SUBSTITUTE(SUBSTITUTE(SUBSTITUTE("P:"&amp;A400,"~","~~"),"*","~*"),"?","~?"),Valores!$S$10:$S$509,0)),9,INDEX(Valores!$R$10:$R$509,MATCH(SUBSTITUTE(SUBSTITUTE(SUBSTITUTE("P:"&amp;A400,"~","~~"),"*","~*"),"?","~?"),Valores!$S$10:$S$509,0)))-9),0)</f>
        <v>0</v>
      </c>
      <c r="AI400" s="40" t="str">
        <f t="shared" si="57"/>
        <v/>
      </c>
      <c r="AJ400" s="14" t="str">
        <f>IF(AND(X400=1,Y400=1),COUNTIFS($X$10:X400,1,$Y$10:Y400,1),"")</f>
        <v/>
      </c>
      <c r="AK400" s="14" t="str">
        <f>IF(X400=1,COUNTIFS($X$10:X400,1),"")</f>
        <v/>
      </c>
      <c r="AL400" s="14">
        <f>IF(AND(V400=1,AND(OR(Painel!$L$6="Todas",E400=Painel!$L$6),OR(Painel!$C$8="Todos",F400=Painel!$C$8),OR(Painel!$L$8="Todos",G400=Painel!$L$8),OR(Painel!$C$10="",ISNUMBER(SEARCH(SUBSTITUTE(SUBSTITUTE(SUBSTITUTE(Painel!$C$10,"~","~~"),"*","~*"),"?","~?"),A400&amp;" "&amp;H400&amp;" "&amp;I400))))),1,0)</f>
        <v>0</v>
      </c>
      <c r="AM400" s="14">
        <f t="shared" si="58"/>
        <v>0</v>
      </c>
      <c r="AN400" s="14"/>
      <c r="AO400" s="14"/>
      <c r="AP400" s="16" t="str">
        <f>IF(AB400=0,"",IF(INDEX(Andamentos!$B$10:$B$2009,AB400)="","",INDEX(Andamentos!$B$10:$B$2009,AB400)))</f>
        <v/>
      </c>
      <c r="AQ400" s="17" t="str">
        <f>IF(AH400=0,"",IF(INDEX(Valores!$B$10:$B$509,AH400)="","",IF(ISNUMBER(INDEX(Valores!$B$10:$B$509,AH400)),INDEX(Valores!$B$10:$B$509,AH400),"")))</f>
        <v/>
      </c>
      <c r="AR400" s="14" t="str">
        <f t="shared" si="59"/>
        <v/>
      </c>
      <c r="AS400" s="14" t="str">
        <f t="shared" si="60"/>
        <v/>
      </c>
      <c r="AT400" s="27"/>
      <c r="AU400" s="31"/>
      <c r="AV400" s="31"/>
      <c r="AW400" s="27"/>
      <c r="AX400" s="27"/>
      <c r="AY400" s="27"/>
      <c r="AZ400" s="27"/>
      <c r="BA400" s="30" t="str">
        <f t="shared" si="61"/>
        <v/>
      </c>
      <c r="BB400" s="30" t="str">
        <f t="shared" si="62"/>
        <v/>
      </c>
      <c r="BC400" s="30">
        <f>IF(X400=0,0,IF(COUNTIFS($X$10:X400,1,$BA$10:BA400,BA400)=1,1,0))</f>
        <v>0</v>
      </c>
      <c r="BD400" s="29"/>
    </row>
    <row r="401" spans="1:56" ht="42" customHeight="1">
      <c r="A401" s="41"/>
      <c r="B401" s="44"/>
      <c r="C401" s="44"/>
      <c r="D401" s="44"/>
      <c r="E401" s="44"/>
      <c r="F401" s="44"/>
      <c r="G401" s="44"/>
      <c r="H401" s="44"/>
      <c r="I401" s="44"/>
      <c r="J401" s="44"/>
      <c r="K401" s="44"/>
      <c r="L401" s="49"/>
      <c r="M401" s="48"/>
      <c r="N401" s="48"/>
      <c r="O401" s="48"/>
      <c r="P401" s="48"/>
      <c r="Q401" s="48"/>
      <c r="R401" s="48"/>
      <c r="S401" s="49"/>
      <c r="T401" s="48"/>
      <c r="U401" s="48"/>
      <c r="V401" s="14">
        <f t="shared" si="54"/>
        <v>0</v>
      </c>
      <c r="W401" s="14">
        <f t="shared" si="55"/>
        <v>0</v>
      </c>
      <c r="X401" s="14">
        <f>IF(AND(V401=1,OR(Painel!$C$6="Todos",D401=Painel!$C$6),AND(OR(Painel!$L$6="Todas",E401=Painel!$L$6),OR(Painel!$C$8="Todos",F401=Painel!$C$8),OR(Painel!$L$8="Todos",G401=Painel!$L$8),OR(Painel!$C$10="",ISNUMBER(SEARCH(SUBSTITUTE(SUBSTITUTE(SUBSTITUTE(Painel!$C$10,"~","~~"),"*","~*"),"?","~?"),A401&amp;" "&amp;H401&amp;" "&amp;I401))))),1,0)</f>
        <v>0</v>
      </c>
      <c r="Y401" s="14">
        <f t="shared" si="56"/>
        <v>0</v>
      </c>
      <c r="Z401" s="15" t="str">
        <f>IF(V401=0,"",IF(COUNTIFS(Andamentos!$K$10:$K$2009,"="&amp;SUBSTITUTE(SUBSTITUTE(SUBSTITUTE("P:"&amp;A401,"~","~~"),"*","~*"),"?","~?"),Andamentos!$G$10:$G$2009,1)=0,"",_xlfn.AGGREGATE(14,6,Andamentos!$D$10:$D$2009/((Andamentos!$K$10:$K$2009=AS401)*(Andamentos!$G$10:$G$2009=1)),1)))</f>
        <v/>
      </c>
      <c r="AA401" s="14">
        <f>IF(Z401="",0,COUNTIFS(Andamentos!$K$10:$K$2009,"="&amp;SUBSTITUTE(SUBSTITUTE(SUBSTITUTE("P:"&amp;A401,"~","~~"),"*","~*"),"?","~?"),Andamentos!$D$10:$D$2009,Z401,Andamentos!$G$10:$G$2009,1))</f>
        <v>0</v>
      </c>
      <c r="AB401" s="14">
        <f>IF(AA401=1,SUMIFS(Andamentos!$L$10:$L$2009,Andamentos!$K$10:$K$2009,"="&amp;SUBSTITUTE(SUBSTITUTE(SUBSTITUTE(AS401,"~","~~"),"*","~*"),"?","~?"),Andamentos!$D$10:$D$2009,Z401,Andamentos!$G$10:$G$2009,1)-9,0)</f>
        <v>0</v>
      </c>
      <c r="AC401" s="14" t="str">
        <f>IF(V401=0,"",IF(AA401&gt;1,"Conferir recebimentos empatados",IF(AB401=0,"Sem atualização",INDEX(Andamentos!$C$10:$C$2009,AB401))))</f>
        <v/>
      </c>
      <c r="AD401" s="14">
        <f>IF(W401=0,0,IF(MAX(Z401,BD401)=0,1,IF(Configurar!$J$12-INT(MAX(Z401,BD401))&gt;Configurar!$J$11,1,0)))</f>
        <v>0</v>
      </c>
      <c r="AE401" s="16"/>
      <c r="AF401" s="14"/>
      <c r="AG401" s="14"/>
      <c r="AH401" s="14">
        <f>IF(AND(V401=1,COUNTIFS(Valores!$S$10:$S$509,"="&amp;SUBSTITUTE(SUBSTITUTE(SUBSTITUTE("P:"&amp;A401,"~","~~"),"*","~*"),"?","~?"))=1),(IF(ISNA(MATCH(SUBSTITUTE(SUBSTITUTE(SUBSTITUTE("P:"&amp;A401,"~","~~"),"*","~*"),"?","~?"),Valores!$S$10:$S$509,0)),9,INDEX(Valores!$R$10:$R$509,MATCH(SUBSTITUTE(SUBSTITUTE(SUBSTITUTE("P:"&amp;A401,"~","~~"),"*","~*"),"?","~?"),Valores!$S$10:$S$509,0)))-9),0)</f>
        <v>0</v>
      </c>
      <c r="AI401" s="40" t="str">
        <f t="shared" si="57"/>
        <v/>
      </c>
      <c r="AJ401" s="14" t="str">
        <f>IF(AND(X401=1,Y401=1),COUNTIFS($X$10:X401,1,$Y$10:Y401,1),"")</f>
        <v/>
      </c>
      <c r="AK401" s="14" t="str">
        <f>IF(X401=1,COUNTIFS($X$10:X401,1),"")</f>
        <v/>
      </c>
      <c r="AL401" s="14">
        <f>IF(AND(V401=1,AND(OR(Painel!$L$6="Todas",E401=Painel!$L$6),OR(Painel!$C$8="Todos",F401=Painel!$C$8),OR(Painel!$L$8="Todos",G401=Painel!$L$8),OR(Painel!$C$10="",ISNUMBER(SEARCH(SUBSTITUTE(SUBSTITUTE(SUBSTITUTE(Painel!$C$10,"~","~~"),"*","~*"),"?","~?"),A401&amp;" "&amp;H401&amp;" "&amp;I401))))),1,0)</f>
        <v>0</v>
      </c>
      <c r="AM401" s="14">
        <f t="shared" si="58"/>
        <v>0</v>
      </c>
      <c r="AN401" s="14"/>
      <c r="AO401" s="14"/>
      <c r="AP401" s="16" t="str">
        <f>IF(AB401=0,"",IF(INDEX(Andamentos!$B$10:$B$2009,AB401)="","",INDEX(Andamentos!$B$10:$B$2009,AB401)))</f>
        <v/>
      </c>
      <c r="AQ401" s="17" t="str">
        <f>IF(AH401=0,"",IF(INDEX(Valores!$B$10:$B$509,AH401)="","",IF(ISNUMBER(INDEX(Valores!$B$10:$B$509,AH401)),INDEX(Valores!$B$10:$B$509,AH401),"")))</f>
        <v/>
      </c>
      <c r="AR401" s="14" t="str">
        <f t="shared" si="59"/>
        <v/>
      </c>
      <c r="AS401" s="14" t="str">
        <f t="shared" si="60"/>
        <v/>
      </c>
      <c r="AT401" s="27"/>
      <c r="AU401" s="31"/>
      <c r="AV401" s="31"/>
      <c r="AW401" s="27"/>
      <c r="AX401" s="27"/>
      <c r="AY401" s="27"/>
      <c r="AZ401" s="27"/>
      <c r="BA401" s="30" t="str">
        <f t="shared" si="61"/>
        <v/>
      </c>
      <c r="BB401" s="30" t="str">
        <f t="shared" si="62"/>
        <v/>
      </c>
      <c r="BC401" s="30">
        <f>IF(X401=0,0,IF(COUNTIFS($X$10:X401,1,$BA$10:BA401,BA401)=1,1,0))</f>
        <v>0</v>
      </c>
      <c r="BD401" s="29"/>
    </row>
    <row r="402" spans="1:56" ht="42" customHeight="1">
      <c r="A402" s="41"/>
      <c r="B402" s="44"/>
      <c r="C402" s="44"/>
      <c r="D402" s="44"/>
      <c r="E402" s="44"/>
      <c r="F402" s="44"/>
      <c r="G402" s="44"/>
      <c r="H402" s="44"/>
      <c r="I402" s="44"/>
      <c r="J402" s="44"/>
      <c r="K402" s="44"/>
      <c r="L402" s="49"/>
      <c r="M402" s="48"/>
      <c r="N402" s="48"/>
      <c r="O402" s="48"/>
      <c r="P402" s="48"/>
      <c r="Q402" s="48"/>
      <c r="R402" s="48"/>
      <c r="S402" s="49"/>
      <c r="T402" s="48"/>
      <c r="U402" s="48"/>
      <c r="V402" s="14">
        <f t="shared" si="54"/>
        <v>0</v>
      </c>
      <c r="W402" s="14">
        <f t="shared" si="55"/>
        <v>0</v>
      </c>
      <c r="X402" s="14">
        <f>IF(AND(V402=1,OR(Painel!$C$6="Todos",D402=Painel!$C$6),AND(OR(Painel!$L$6="Todas",E402=Painel!$L$6),OR(Painel!$C$8="Todos",F402=Painel!$C$8),OR(Painel!$L$8="Todos",G402=Painel!$L$8),OR(Painel!$C$10="",ISNUMBER(SEARCH(SUBSTITUTE(SUBSTITUTE(SUBSTITUTE(Painel!$C$10,"~","~~"),"*","~*"),"?","~?"),A402&amp;" "&amp;H402&amp;" "&amp;I402))))),1,0)</f>
        <v>0</v>
      </c>
      <c r="Y402" s="14">
        <f t="shared" si="56"/>
        <v>0</v>
      </c>
      <c r="Z402" s="15" t="str">
        <f>IF(V402=0,"",IF(COUNTIFS(Andamentos!$K$10:$K$2009,"="&amp;SUBSTITUTE(SUBSTITUTE(SUBSTITUTE("P:"&amp;A402,"~","~~"),"*","~*"),"?","~?"),Andamentos!$G$10:$G$2009,1)=0,"",_xlfn.AGGREGATE(14,6,Andamentos!$D$10:$D$2009/((Andamentos!$K$10:$K$2009=AS402)*(Andamentos!$G$10:$G$2009=1)),1)))</f>
        <v/>
      </c>
      <c r="AA402" s="14">
        <f>IF(Z402="",0,COUNTIFS(Andamentos!$K$10:$K$2009,"="&amp;SUBSTITUTE(SUBSTITUTE(SUBSTITUTE("P:"&amp;A402,"~","~~"),"*","~*"),"?","~?"),Andamentos!$D$10:$D$2009,Z402,Andamentos!$G$10:$G$2009,1))</f>
        <v>0</v>
      </c>
      <c r="AB402" s="14">
        <f>IF(AA402=1,SUMIFS(Andamentos!$L$10:$L$2009,Andamentos!$K$10:$K$2009,"="&amp;SUBSTITUTE(SUBSTITUTE(SUBSTITUTE(AS402,"~","~~"),"*","~*"),"?","~?"),Andamentos!$D$10:$D$2009,Z402,Andamentos!$G$10:$G$2009,1)-9,0)</f>
        <v>0</v>
      </c>
      <c r="AC402" s="14" t="str">
        <f>IF(V402=0,"",IF(AA402&gt;1,"Conferir recebimentos empatados",IF(AB402=0,"Sem atualização",INDEX(Andamentos!$C$10:$C$2009,AB402))))</f>
        <v/>
      </c>
      <c r="AD402" s="14">
        <f>IF(W402=0,0,IF(MAX(Z402,BD402)=0,1,IF(Configurar!$J$12-INT(MAX(Z402,BD402))&gt;Configurar!$J$11,1,0)))</f>
        <v>0</v>
      </c>
      <c r="AE402" s="16"/>
      <c r="AF402" s="14"/>
      <c r="AG402" s="14"/>
      <c r="AH402" s="14">
        <f>IF(AND(V402=1,COUNTIFS(Valores!$S$10:$S$509,"="&amp;SUBSTITUTE(SUBSTITUTE(SUBSTITUTE("P:"&amp;A402,"~","~~"),"*","~*"),"?","~?"))=1),(IF(ISNA(MATCH(SUBSTITUTE(SUBSTITUTE(SUBSTITUTE("P:"&amp;A402,"~","~~"),"*","~*"),"?","~?"),Valores!$S$10:$S$509,0)),9,INDEX(Valores!$R$10:$R$509,MATCH(SUBSTITUTE(SUBSTITUTE(SUBSTITUTE("P:"&amp;A402,"~","~~"),"*","~*"),"?","~?"),Valores!$S$10:$S$509,0)))-9),0)</f>
        <v>0</v>
      </c>
      <c r="AI402" s="40" t="str">
        <f t="shared" si="57"/>
        <v/>
      </c>
      <c r="AJ402" s="14" t="str">
        <f>IF(AND(X402=1,Y402=1),COUNTIFS($X$10:X402,1,$Y$10:Y402,1),"")</f>
        <v/>
      </c>
      <c r="AK402" s="14" t="str">
        <f>IF(X402=1,COUNTIFS($X$10:X402,1),"")</f>
        <v/>
      </c>
      <c r="AL402" s="14">
        <f>IF(AND(V402=1,AND(OR(Painel!$L$6="Todas",E402=Painel!$L$6),OR(Painel!$C$8="Todos",F402=Painel!$C$8),OR(Painel!$L$8="Todos",G402=Painel!$L$8),OR(Painel!$C$10="",ISNUMBER(SEARCH(SUBSTITUTE(SUBSTITUTE(SUBSTITUTE(Painel!$C$10,"~","~~"),"*","~*"),"?","~?"),A402&amp;" "&amp;H402&amp;" "&amp;I402))))),1,0)</f>
        <v>0</v>
      </c>
      <c r="AM402" s="14">
        <f t="shared" si="58"/>
        <v>0</v>
      </c>
      <c r="AN402" s="14"/>
      <c r="AO402" s="14"/>
      <c r="AP402" s="16" t="str">
        <f>IF(AB402=0,"",IF(INDEX(Andamentos!$B$10:$B$2009,AB402)="","",INDEX(Andamentos!$B$10:$B$2009,AB402)))</f>
        <v/>
      </c>
      <c r="AQ402" s="17" t="str">
        <f>IF(AH402=0,"",IF(INDEX(Valores!$B$10:$B$509,AH402)="","",IF(ISNUMBER(INDEX(Valores!$B$10:$B$509,AH402)),INDEX(Valores!$B$10:$B$509,AH402),"")))</f>
        <v/>
      </c>
      <c r="AR402" s="14" t="str">
        <f t="shared" si="59"/>
        <v/>
      </c>
      <c r="AS402" s="14" t="str">
        <f t="shared" si="60"/>
        <v/>
      </c>
      <c r="AT402" s="27"/>
      <c r="AU402" s="31"/>
      <c r="AV402" s="31"/>
      <c r="AW402" s="27"/>
      <c r="AX402" s="27"/>
      <c r="AY402" s="27"/>
      <c r="AZ402" s="27"/>
      <c r="BA402" s="30" t="str">
        <f t="shared" si="61"/>
        <v/>
      </c>
      <c r="BB402" s="30" t="str">
        <f t="shared" si="62"/>
        <v/>
      </c>
      <c r="BC402" s="30">
        <f>IF(X402=0,0,IF(COUNTIFS($X$10:X402,1,$BA$10:BA402,BA402)=1,1,0))</f>
        <v>0</v>
      </c>
      <c r="BD402" s="29"/>
    </row>
    <row r="403" spans="1:56" ht="42" customHeight="1">
      <c r="A403" s="41"/>
      <c r="B403" s="44"/>
      <c r="C403" s="44"/>
      <c r="D403" s="44"/>
      <c r="E403" s="44"/>
      <c r="F403" s="44"/>
      <c r="G403" s="44"/>
      <c r="H403" s="44"/>
      <c r="I403" s="44"/>
      <c r="J403" s="44"/>
      <c r="K403" s="44"/>
      <c r="L403" s="49"/>
      <c r="M403" s="48"/>
      <c r="N403" s="48"/>
      <c r="O403" s="48"/>
      <c r="P403" s="48"/>
      <c r="Q403" s="48"/>
      <c r="R403" s="48"/>
      <c r="S403" s="49"/>
      <c r="T403" s="48"/>
      <c r="U403" s="48"/>
      <c r="V403" s="14">
        <f t="shared" si="54"/>
        <v>0</v>
      </c>
      <c r="W403" s="14">
        <f t="shared" si="55"/>
        <v>0</v>
      </c>
      <c r="X403" s="14">
        <f>IF(AND(V403=1,OR(Painel!$C$6="Todos",D403=Painel!$C$6),AND(OR(Painel!$L$6="Todas",E403=Painel!$L$6),OR(Painel!$C$8="Todos",F403=Painel!$C$8),OR(Painel!$L$8="Todos",G403=Painel!$L$8),OR(Painel!$C$10="",ISNUMBER(SEARCH(SUBSTITUTE(SUBSTITUTE(SUBSTITUTE(Painel!$C$10,"~","~~"),"*","~*"),"?","~?"),A403&amp;" "&amp;H403&amp;" "&amp;I403))))),1,0)</f>
        <v>0</v>
      </c>
      <c r="Y403" s="14">
        <f t="shared" si="56"/>
        <v>0</v>
      </c>
      <c r="Z403" s="15" t="str">
        <f>IF(V403=0,"",IF(COUNTIFS(Andamentos!$K$10:$K$2009,"="&amp;SUBSTITUTE(SUBSTITUTE(SUBSTITUTE("P:"&amp;A403,"~","~~"),"*","~*"),"?","~?"),Andamentos!$G$10:$G$2009,1)=0,"",_xlfn.AGGREGATE(14,6,Andamentos!$D$10:$D$2009/((Andamentos!$K$10:$K$2009=AS403)*(Andamentos!$G$10:$G$2009=1)),1)))</f>
        <v/>
      </c>
      <c r="AA403" s="14">
        <f>IF(Z403="",0,COUNTIFS(Andamentos!$K$10:$K$2009,"="&amp;SUBSTITUTE(SUBSTITUTE(SUBSTITUTE("P:"&amp;A403,"~","~~"),"*","~*"),"?","~?"),Andamentos!$D$10:$D$2009,Z403,Andamentos!$G$10:$G$2009,1))</f>
        <v>0</v>
      </c>
      <c r="AB403" s="14">
        <f>IF(AA403=1,SUMIFS(Andamentos!$L$10:$L$2009,Andamentos!$K$10:$K$2009,"="&amp;SUBSTITUTE(SUBSTITUTE(SUBSTITUTE(AS403,"~","~~"),"*","~*"),"?","~?"),Andamentos!$D$10:$D$2009,Z403,Andamentos!$G$10:$G$2009,1)-9,0)</f>
        <v>0</v>
      </c>
      <c r="AC403" s="14" t="str">
        <f>IF(V403=0,"",IF(AA403&gt;1,"Conferir recebimentos empatados",IF(AB403=0,"Sem atualização",INDEX(Andamentos!$C$10:$C$2009,AB403))))</f>
        <v/>
      </c>
      <c r="AD403" s="14">
        <f>IF(W403=0,0,IF(MAX(Z403,BD403)=0,1,IF(Configurar!$J$12-INT(MAX(Z403,BD403))&gt;Configurar!$J$11,1,0)))</f>
        <v>0</v>
      </c>
      <c r="AE403" s="16"/>
      <c r="AF403" s="14"/>
      <c r="AG403" s="14"/>
      <c r="AH403" s="14">
        <f>IF(AND(V403=1,COUNTIFS(Valores!$S$10:$S$509,"="&amp;SUBSTITUTE(SUBSTITUTE(SUBSTITUTE("P:"&amp;A403,"~","~~"),"*","~*"),"?","~?"))=1),(IF(ISNA(MATCH(SUBSTITUTE(SUBSTITUTE(SUBSTITUTE("P:"&amp;A403,"~","~~"),"*","~*"),"?","~?"),Valores!$S$10:$S$509,0)),9,INDEX(Valores!$R$10:$R$509,MATCH(SUBSTITUTE(SUBSTITUTE(SUBSTITUTE("P:"&amp;A403,"~","~~"),"*","~*"),"?","~?"),Valores!$S$10:$S$509,0)))-9),0)</f>
        <v>0</v>
      </c>
      <c r="AI403" s="40" t="str">
        <f t="shared" si="57"/>
        <v/>
      </c>
      <c r="AJ403" s="14" t="str">
        <f>IF(AND(X403=1,Y403=1),COUNTIFS($X$10:X403,1,$Y$10:Y403,1),"")</f>
        <v/>
      </c>
      <c r="AK403" s="14" t="str">
        <f>IF(X403=1,COUNTIFS($X$10:X403,1),"")</f>
        <v/>
      </c>
      <c r="AL403" s="14">
        <f>IF(AND(V403=1,AND(OR(Painel!$L$6="Todas",E403=Painel!$L$6),OR(Painel!$C$8="Todos",F403=Painel!$C$8),OR(Painel!$L$8="Todos",G403=Painel!$L$8),OR(Painel!$C$10="",ISNUMBER(SEARCH(SUBSTITUTE(SUBSTITUTE(SUBSTITUTE(Painel!$C$10,"~","~~"),"*","~*"),"?","~?"),A403&amp;" "&amp;H403&amp;" "&amp;I403))))),1,0)</f>
        <v>0</v>
      </c>
      <c r="AM403" s="14">
        <f t="shared" si="58"/>
        <v>0</v>
      </c>
      <c r="AN403" s="14"/>
      <c r="AO403" s="14"/>
      <c r="AP403" s="16" t="str">
        <f>IF(AB403=0,"",IF(INDEX(Andamentos!$B$10:$B$2009,AB403)="","",INDEX(Andamentos!$B$10:$B$2009,AB403)))</f>
        <v/>
      </c>
      <c r="AQ403" s="17" t="str">
        <f>IF(AH403=0,"",IF(INDEX(Valores!$B$10:$B$509,AH403)="","",IF(ISNUMBER(INDEX(Valores!$B$10:$B$509,AH403)),INDEX(Valores!$B$10:$B$509,AH403),"")))</f>
        <v/>
      </c>
      <c r="AR403" s="14" t="str">
        <f t="shared" si="59"/>
        <v/>
      </c>
      <c r="AS403" s="14" t="str">
        <f t="shared" si="60"/>
        <v/>
      </c>
      <c r="AT403" s="27"/>
      <c r="AU403" s="31"/>
      <c r="AV403" s="31"/>
      <c r="AW403" s="27"/>
      <c r="AX403" s="27"/>
      <c r="AY403" s="27"/>
      <c r="AZ403" s="27"/>
      <c r="BA403" s="30" t="str">
        <f t="shared" si="61"/>
        <v/>
      </c>
      <c r="BB403" s="30" t="str">
        <f t="shared" si="62"/>
        <v/>
      </c>
      <c r="BC403" s="30">
        <f>IF(X403=0,0,IF(COUNTIFS($X$10:X403,1,$BA$10:BA403,BA403)=1,1,0))</f>
        <v>0</v>
      </c>
      <c r="BD403" s="29"/>
    </row>
    <row r="404" spans="1:56" ht="42" customHeight="1">
      <c r="A404" s="41"/>
      <c r="B404" s="44"/>
      <c r="C404" s="44"/>
      <c r="D404" s="44"/>
      <c r="E404" s="44"/>
      <c r="F404" s="44"/>
      <c r="G404" s="44"/>
      <c r="H404" s="44"/>
      <c r="I404" s="44"/>
      <c r="J404" s="44"/>
      <c r="K404" s="44"/>
      <c r="L404" s="49"/>
      <c r="M404" s="48"/>
      <c r="N404" s="48"/>
      <c r="O404" s="48"/>
      <c r="P404" s="48"/>
      <c r="Q404" s="48"/>
      <c r="R404" s="48"/>
      <c r="S404" s="49"/>
      <c r="T404" s="48"/>
      <c r="U404" s="48"/>
      <c r="V404" s="14">
        <f t="shared" si="54"/>
        <v>0</v>
      </c>
      <c r="W404" s="14">
        <f t="shared" si="55"/>
        <v>0</v>
      </c>
      <c r="X404" s="14">
        <f>IF(AND(V404=1,OR(Painel!$C$6="Todos",D404=Painel!$C$6),AND(OR(Painel!$L$6="Todas",E404=Painel!$L$6),OR(Painel!$C$8="Todos",F404=Painel!$C$8),OR(Painel!$L$8="Todos",G404=Painel!$L$8),OR(Painel!$C$10="",ISNUMBER(SEARCH(SUBSTITUTE(SUBSTITUTE(SUBSTITUTE(Painel!$C$10,"~","~~"),"*","~*"),"?","~?"),A404&amp;" "&amp;H404&amp;" "&amp;I404))))),1,0)</f>
        <v>0</v>
      </c>
      <c r="Y404" s="14">
        <f t="shared" si="56"/>
        <v>0</v>
      </c>
      <c r="Z404" s="15" t="str">
        <f>IF(V404=0,"",IF(COUNTIFS(Andamentos!$K$10:$K$2009,"="&amp;SUBSTITUTE(SUBSTITUTE(SUBSTITUTE("P:"&amp;A404,"~","~~"),"*","~*"),"?","~?"),Andamentos!$G$10:$G$2009,1)=0,"",_xlfn.AGGREGATE(14,6,Andamentos!$D$10:$D$2009/((Andamentos!$K$10:$K$2009=AS404)*(Andamentos!$G$10:$G$2009=1)),1)))</f>
        <v/>
      </c>
      <c r="AA404" s="14">
        <f>IF(Z404="",0,COUNTIFS(Andamentos!$K$10:$K$2009,"="&amp;SUBSTITUTE(SUBSTITUTE(SUBSTITUTE("P:"&amp;A404,"~","~~"),"*","~*"),"?","~?"),Andamentos!$D$10:$D$2009,Z404,Andamentos!$G$10:$G$2009,1))</f>
        <v>0</v>
      </c>
      <c r="AB404" s="14">
        <f>IF(AA404=1,SUMIFS(Andamentos!$L$10:$L$2009,Andamentos!$K$10:$K$2009,"="&amp;SUBSTITUTE(SUBSTITUTE(SUBSTITUTE(AS404,"~","~~"),"*","~*"),"?","~?"),Andamentos!$D$10:$D$2009,Z404,Andamentos!$G$10:$G$2009,1)-9,0)</f>
        <v>0</v>
      </c>
      <c r="AC404" s="14" t="str">
        <f>IF(V404=0,"",IF(AA404&gt;1,"Conferir recebimentos empatados",IF(AB404=0,"Sem atualização",INDEX(Andamentos!$C$10:$C$2009,AB404))))</f>
        <v/>
      </c>
      <c r="AD404" s="14">
        <f>IF(W404=0,0,IF(MAX(Z404,BD404)=0,1,IF(Configurar!$J$12-INT(MAX(Z404,BD404))&gt;Configurar!$J$11,1,0)))</f>
        <v>0</v>
      </c>
      <c r="AE404" s="16"/>
      <c r="AF404" s="14"/>
      <c r="AG404" s="14"/>
      <c r="AH404" s="14">
        <f>IF(AND(V404=1,COUNTIFS(Valores!$S$10:$S$509,"="&amp;SUBSTITUTE(SUBSTITUTE(SUBSTITUTE("P:"&amp;A404,"~","~~"),"*","~*"),"?","~?"))=1),(IF(ISNA(MATCH(SUBSTITUTE(SUBSTITUTE(SUBSTITUTE("P:"&amp;A404,"~","~~"),"*","~*"),"?","~?"),Valores!$S$10:$S$509,0)),9,INDEX(Valores!$R$10:$R$509,MATCH(SUBSTITUTE(SUBSTITUTE(SUBSTITUTE("P:"&amp;A404,"~","~~"),"*","~*"),"?","~?"),Valores!$S$10:$S$509,0)))-9),0)</f>
        <v>0</v>
      </c>
      <c r="AI404" s="40" t="str">
        <f t="shared" si="57"/>
        <v/>
      </c>
      <c r="AJ404" s="14" t="str">
        <f>IF(AND(X404=1,Y404=1),COUNTIFS($X$10:X404,1,$Y$10:Y404,1),"")</f>
        <v/>
      </c>
      <c r="AK404" s="14" t="str">
        <f>IF(X404=1,COUNTIFS($X$10:X404,1),"")</f>
        <v/>
      </c>
      <c r="AL404" s="14">
        <f>IF(AND(V404=1,AND(OR(Painel!$L$6="Todas",E404=Painel!$L$6),OR(Painel!$C$8="Todos",F404=Painel!$C$8),OR(Painel!$L$8="Todos",G404=Painel!$L$8),OR(Painel!$C$10="",ISNUMBER(SEARCH(SUBSTITUTE(SUBSTITUTE(SUBSTITUTE(Painel!$C$10,"~","~~"),"*","~*"),"?","~?"),A404&amp;" "&amp;H404&amp;" "&amp;I404))))),1,0)</f>
        <v>0</v>
      </c>
      <c r="AM404" s="14">
        <f t="shared" si="58"/>
        <v>0</v>
      </c>
      <c r="AN404" s="14"/>
      <c r="AO404" s="14"/>
      <c r="AP404" s="16" t="str">
        <f>IF(AB404=0,"",IF(INDEX(Andamentos!$B$10:$B$2009,AB404)="","",INDEX(Andamentos!$B$10:$B$2009,AB404)))</f>
        <v/>
      </c>
      <c r="AQ404" s="17" t="str">
        <f>IF(AH404=0,"",IF(INDEX(Valores!$B$10:$B$509,AH404)="","",IF(ISNUMBER(INDEX(Valores!$B$10:$B$509,AH404)),INDEX(Valores!$B$10:$B$509,AH404),"")))</f>
        <v/>
      </c>
      <c r="AR404" s="14" t="str">
        <f t="shared" si="59"/>
        <v/>
      </c>
      <c r="AS404" s="14" t="str">
        <f t="shared" si="60"/>
        <v/>
      </c>
      <c r="AT404" s="27"/>
      <c r="AU404" s="31"/>
      <c r="AV404" s="31"/>
      <c r="AW404" s="27"/>
      <c r="AX404" s="27"/>
      <c r="AY404" s="27"/>
      <c r="AZ404" s="27"/>
      <c r="BA404" s="30" t="str">
        <f t="shared" si="61"/>
        <v/>
      </c>
      <c r="BB404" s="30" t="str">
        <f t="shared" si="62"/>
        <v/>
      </c>
      <c r="BC404" s="30">
        <f>IF(X404=0,0,IF(COUNTIFS($X$10:X404,1,$BA$10:BA404,BA404)=1,1,0))</f>
        <v>0</v>
      </c>
      <c r="BD404" s="29"/>
    </row>
    <row r="405" spans="1:56" ht="42" customHeight="1">
      <c r="A405" s="41"/>
      <c r="B405" s="44"/>
      <c r="C405" s="44"/>
      <c r="D405" s="44"/>
      <c r="E405" s="44"/>
      <c r="F405" s="44"/>
      <c r="G405" s="44"/>
      <c r="H405" s="44"/>
      <c r="I405" s="44"/>
      <c r="J405" s="44"/>
      <c r="K405" s="44"/>
      <c r="L405" s="49"/>
      <c r="M405" s="48"/>
      <c r="N405" s="48"/>
      <c r="O405" s="48"/>
      <c r="P405" s="48"/>
      <c r="Q405" s="48"/>
      <c r="R405" s="48"/>
      <c r="S405" s="49"/>
      <c r="T405" s="48"/>
      <c r="U405" s="48"/>
      <c r="V405" s="14">
        <f t="shared" si="54"/>
        <v>0</v>
      </c>
      <c r="W405" s="14">
        <f t="shared" si="55"/>
        <v>0</v>
      </c>
      <c r="X405" s="14">
        <f>IF(AND(V405=1,OR(Painel!$C$6="Todos",D405=Painel!$C$6),AND(OR(Painel!$L$6="Todas",E405=Painel!$L$6),OR(Painel!$C$8="Todos",F405=Painel!$C$8),OR(Painel!$L$8="Todos",G405=Painel!$L$8),OR(Painel!$C$10="",ISNUMBER(SEARCH(SUBSTITUTE(SUBSTITUTE(SUBSTITUTE(Painel!$C$10,"~","~~"),"*","~*"),"?","~?"),A405&amp;" "&amp;H405&amp;" "&amp;I405))))),1,0)</f>
        <v>0</v>
      </c>
      <c r="Y405" s="14">
        <f t="shared" si="56"/>
        <v>0</v>
      </c>
      <c r="Z405" s="15" t="str">
        <f>IF(V405=0,"",IF(COUNTIFS(Andamentos!$K$10:$K$2009,"="&amp;SUBSTITUTE(SUBSTITUTE(SUBSTITUTE("P:"&amp;A405,"~","~~"),"*","~*"),"?","~?"),Andamentos!$G$10:$G$2009,1)=0,"",_xlfn.AGGREGATE(14,6,Andamentos!$D$10:$D$2009/((Andamentos!$K$10:$K$2009=AS405)*(Andamentos!$G$10:$G$2009=1)),1)))</f>
        <v/>
      </c>
      <c r="AA405" s="14">
        <f>IF(Z405="",0,COUNTIFS(Andamentos!$K$10:$K$2009,"="&amp;SUBSTITUTE(SUBSTITUTE(SUBSTITUTE("P:"&amp;A405,"~","~~"),"*","~*"),"?","~?"),Andamentos!$D$10:$D$2009,Z405,Andamentos!$G$10:$G$2009,1))</f>
        <v>0</v>
      </c>
      <c r="AB405" s="14">
        <f>IF(AA405=1,SUMIFS(Andamentos!$L$10:$L$2009,Andamentos!$K$10:$K$2009,"="&amp;SUBSTITUTE(SUBSTITUTE(SUBSTITUTE(AS405,"~","~~"),"*","~*"),"?","~?"),Andamentos!$D$10:$D$2009,Z405,Andamentos!$G$10:$G$2009,1)-9,0)</f>
        <v>0</v>
      </c>
      <c r="AC405" s="14" t="str">
        <f>IF(V405=0,"",IF(AA405&gt;1,"Conferir recebimentos empatados",IF(AB405=0,"Sem atualização",INDEX(Andamentos!$C$10:$C$2009,AB405))))</f>
        <v/>
      </c>
      <c r="AD405" s="14">
        <f>IF(W405=0,0,IF(MAX(Z405,BD405)=0,1,IF(Configurar!$J$12-INT(MAX(Z405,BD405))&gt;Configurar!$J$11,1,0)))</f>
        <v>0</v>
      </c>
      <c r="AE405" s="16"/>
      <c r="AF405" s="14"/>
      <c r="AG405" s="14"/>
      <c r="AH405" s="14">
        <f>IF(AND(V405=1,COUNTIFS(Valores!$S$10:$S$509,"="&amp;SUBSTITUTE(SUBSTITUTE(SUBSTITUTE("P:"&amp;A405,"~","~~"),"*","~*"),"?","~?"))=1),(IF(ISNA(MATCH(SUBSTITUTE(SUBSTITUTE(SUBSTITUTE("P:"&amp;A405,"~","~~"),"*","~*"),"?","~?"),Valores!$S$10:$S$509,0)),9,INDEX(Valores!$R$10:$R$509,MATCH(SUBSTITUTE(SUBSTITUTE(SUBSTITUTE("P:"&amp;A405,"~","~~"),"*","~*"),"?","~?"),Valores!$S$10:$S$509,0)))-9),0)</f>
        <v>0</v>
      </c>
      <c r="AI405" s="40" t="str">
        <f t="shared" si="57"/>
        <v/>
      </c>
      <c r="AJ405" s="14" t="str">
        <f>IF(AND(X405=1,Y405=1),COUNTIFS($X$10:X405,1,$Y$10:Y405,1),"")</f>
        <v/>
      </c>
      <c r="AK405" s="14" t="str">
        <f>IF(X405=1,COUNTIFS($X$10:X405,1),"")</f>
        <v/>
      </c>
      <c r="AL405" s="14">
        <f>IF(AND(V405=1,AND(OR(Painel!$L$6="Todas",E405=Painel!$L$6),OR(Painel!$C$8="Todos",F405=Painel!$C$8),OR(Painel!$L$8="Todos",G405=Painel!$L$8),OR(Painel!$C$10="",ISNUMBER(SEARCH(SUBSTITUTE(SUBSTITUTE(SUBSTITUTE(Painel!$C$10,"~","~~"),"*","~*"),"?","~?"),A405&amp;" "&amp;H405&amp;" "&amp;I405))))),1,0)</f>
        <v>0</v>
      </c>
      <c r="AM405" s="14">
        <f t="shared" si="58"/>
        <v>0</v>
      </c>
      <c r="AN405" s="14"/>
      <c r="AO405" s="14"/>
      <c r="AP405" s="16" t="str">
        <f>IF(AB405=0,"",IF(INDEX(Andamentos!$B$10:$B$2009,AB405)="","",INDEX(Andamentos!$B$10:$B$2009,AB405)))</f>
        <v/>
      </c>
      <c r="AQ405" s="17" t="str">
        <f>IF(AH405=0,"",IF(INDEX(Valores!$B$10:$B$509,AH405)="","",IF(ISNUMBER(INDEX(Valores!$B$10:$B$509,AH405)),INDEX(Valores!$B$10:$B$509,AH405),"")))</f>
        <v/>
      </c>
      <c r="AR405" s="14" t="str">
        <f t="shared" si="59"/>
        <v/>
      </c>
      <c r="AS405" s="14" t="str">
        <f t="shared" si="60"/>
        <v/>
      </c>
      <c r="AT405" s="27"/>
      <c r="AU405" s="31"/>
      <c r="AV405" s="31"/>
      <c r="AW405" s="27"/>
      <c r="AX405" s="27"/>
      <c r="AY405" s="27"/>
      <c r="AZ405" s="27"/>
      <c r="BA405" s="30" t="str">
        <f t="shared" si="61"/>
        <v/>
      </c>
      <c r="BB405" s="30" t="str">
        <f t="shared" si="62"/>
        <v/>
      </c>
      <c r="BC405" s="30">
        <f>IF(X405=0,0,IF(COUNTIFS($X$10:X405,1,$BA$10:BA405,BA405)=1,1,0))</f>
        <v>0</v>
      </c>
      <c r="BD405" s="29"/>
    </row>
    <row r="406" spans="1:56" ht="42" customHeight="1">
      <c r="A406" s="41"/>
      <c r="B406" s="44"/>
      <c r="C406" s="44"/>
      <c r="D406" s="44"/>
      <c r="E406" s="44"/>
      <c r="F406" s="44"/>
      <c r="G406" s="44"/>
      <c r="H406" s="44"/>
      <c r="I406" s="44"/>
      <c r="J406" s="44"/>
      <c r="K406" s="44"/>
      <c r="L406" s="49"/>
      <c r="M406" s="48"/>
      <c r="N406" s="48"/>
      <c r="O406" s="48"/>
      <c r="P406" s="48"/>
      <c r="Q406" s="48"/>
      <c r="R406" s="48"/>
      <c r="S406" s="49"/>
      <c r="T406" s="48"/>
      <c r="U406" s="48"/>
      <c r="V406" s="14">
        <f t="shared" si="54"/>
        <v>0</v>
      </c>
      <c r="W406" s="14">
        <f t="shared" si="55"/>
        <v>0</v>
      </c>
      <c r="X406" s="14">
        <f>IF(AND(V406=1,OR(Painel!$C$6="Todos",D406=Painel!$C$6),AND(OR(Painel!$L$6="Todas",E406=Painel!$L$6),OR(Painel!$C$8="Todos",F406=Painel!$C$8),OR(Painel!$L$8="Todos",G406=Painel!$L$8),OR(Painel!$C$10="",ISNUMBER(SEARCH(SUBSTITUTE(SUBSTITUTE(SUBSTITUTE(Painel!$C$10,"~","~~"),"*","~*"),"?","~?"),A406&amp;" "&amp;H406&amp;" "&amp;I406))))),1,0)</f>
        <v>0</v>
      </c>
      <c r="Y406" s="14">
        <f t="shared" si="56"/>
        <v>0</v>
      </c>
      <c r="Z406" s="15" t="str">
        <f>IF(V406=0,"",IF(COUNTIFS(Andamentos!$K$10:$K$2009,"="&amp;SUBSTITUTE(SUBSTITUTE(SUBSTITUTE("P:"&amp;A406,"~","~~"),"*","~*"),"?","~?"),Andamentos!$G$10:$G$2009,1)=0,"",_xlfn.AGGREGATE(14,6,Andamentos!$D$10:$D$2009/((Andamentos!$K$10:$K$2009=AS406)*(Andamentos!$G$10:$G$2009=1)),1)))</f>
        <v/>
      </c>
      <c r="AA406" s="14">
        <f>IF(Z406="",0,COUNTIFS(Andamentos!$K$10:$K$2009,"="&amp;SUBSTITUTE(SUBSTITUTE(SUBSTITUTE("P:"&amp;A406,"~","~~"),"*","~*"),"?","~?"),Andamentos!$D$10:$D$2009,Z406,Andamentos!$G$10:$G$2009,1))</f>
        <v>0</v>
      </c>
      <c r="AB406" s="14">
        <f>IF(AA406=1,SUMIFS(Andamentos!$L$10:$L$2009,Andamentos!$K$10:$K$2009,"="&amp;SUBSTITUTE(SUBSTITUTE(SUBSTITUTE(AS406,"~","~~"),"*","~*"),"?","~?"),Andamentos!$D$10:$D$2009,Z406,Andamentos!$G$10:$G$2009,1)-9,0)</f>
        <v>0</v>
      </c>
      <c r="AC406" s="14" t="str">
        <f>IF(V406=0,"",IF(AA406&gt;1,"Conferir recebimentos empatados",IF(AB406=0,"Sem atualização",INDEX(Andamentos!$C$10:$C$2009,AB406))))</f>
        <v/>
      </c>
      <c r="AD406" s="14">
        <f>IF(W406=0,0,IF(MAX(Z406,BD406)=0,1,IF(Configurar!$J$12-INT(MAX(Z406,BD406))&gt;Configurar!$J$11,1,0)))</f>
        <v>0</v>
      </c>
      <c r="AE406" s="16"/>
      <c r="AF406" s="14"/>
      <c r="AG406" s="14"/>
      <c r="AH406" s="14">
        <f>IF(AND(V406=1,COUNTIFS(Valores!$S$10:$S$509,"="&amp;SUBSTITUTE(SUBSTITUTE(SUBSTITUTE("P:"&amp;A406,"~","~~"),"*","~*"),"?","~?"))=1),(IF(ISNA(MATCH(SUBSTITUTE(SUBSTITUTE(SUBSTITUTE("P:"&amp;A406,"~","~~"),"*","~*"),"?","~?"),Valores!$S$10:$S$509,0)),9,INDEX(Valores!$R$10:$R$509,MATCH(SUBSTITUTE(SUBSTITUTE(SUBSTITUTE("P:"&amp;A406,"~","~~"),"*","~*"),"?","~?"),Valores!$S$10:$S$509,0)))-9),0)</f>
        <v>0</v>
      </c>
      <c r="AI406" s="40" t="str">
        <f t="shared" si="57"/>
        <v/>
      </c>
      <c r="AJ406" s="14" t="str">
        <f>IF(AND(X406=1,Y406=1),COUNTIFS($X$10:X406,1,$Y$10:Y406,1),"")</f>
        <v/>
      </c>
      <c r="AK406" s="14" t="str">
        <f>IF(X406=1,COUNTIFS($X$10:X406,1),"")</f>
        <v/>
      </c>
      <c r="AL406" s="14">
        <f>IF(AND(V406=1,AND(OR(Painel!$L$6="Todas",E406=Painel!$L$6),OR(Painel!$C$8="Todos",F406=Painel!$C$8),OR(Painel!$L$8="Todos",G406=Painel!$L$8),OR(Painel!$C$10="",ISNUMBER(SEARCH(SUBSTITUTE(SUBSTITUTE(SUBSTITUTE(Painel!$C$10,"~","~~"),"*","~*"),"?","~?"),A406&amp;" "&amp;H406&amp;" "&amp;I406))))),1,0)</f>
        <v>0</v>
      </c>
      <c r="AM406" s="14">
        <f t="shared" si="58"/>
        <v>0</v>
      </c>
      <c r="AN406" s="14"/>
      <c r="AO406" s="14"/>
      <c r="AP406" s="16" t="str">
        <f>IF(AB406=0,"",IF(INDEX(Andamentos!$B$10:$B$2009,AB406)="","",INDEX(Andamentos!$B$10:$B$2009,AB406)))</f>
        <v/>
      </c>
      <c r="AQ406" s="17" t="str">
        <f>IF(AH406=0,"",IF(INDEX(Valores!$B$10:$B$509,AH406)="","",IF(ISNUMBER(INDEX(Valores!$B$10:$B$509,AH406)),INDEX(Valores!$B$10:$B$509,AH406),"")))</f>
        <v/>
      </c>
      <c r="AR406" s="14" t="str">
        <f t="shared" si="59"/>
        <v/>
      </c>
      <c r="AS406" s="14" t="str">
        <f t="shared" si="60"/>
        <v/>
      </c>
      <c r="AT406" s="27"/>
      <c r="AU406" s="31"/>
      <c r="AV406" s="31"/>
      <c r="AW406" s="27"/>
      <c r="AX406" s="27"/>
      <c r="AY406" s="27"/>
      <c r="AZ406" s="27"/>
      <c r="BA406" s="30" t="str">
        <f t="shared" si="61"/>
        <v/>
      </c>
      <c r="BB406" s="30" t="str">
        <f t="shared" si="62"/>
        <v/>
      </c>
      <c r="BC406" s="30">
        <f>IF(X406=0,0,IF(COUNTIFS($X$10:X406,1,$BA$10:BA406,BA406)=1,1,0))</f>
        <v>0</v>
      </c>
      <c r="BD406" s="29"/>
    </row>
    <row r="407" spans="1:56" ht="42" customHeight="1">
      <c r="A407" s="41"/>
      <c r="B407" s="44"/>
      <c r="C407" s="44"/>
      <c r="D407" s="44"/>
      <c r="E407" s="44"/>
      <c r="F407" s="44"/>
      <c r="G407" s="44"/>
      <c r="H407" s="44"/>
      <c r="I407" s="44"/>
      <c r="J407" s="44"/>
      <c r="K407" s="44"/>
      <c r="L407" s="49"/>
      <c r="M407" s="48"/>
      <c r="N407" s="48"/>
      <c r="O407" s="48"/>
      <c r="P407" s="48"/>
      <c r="Q407" s="48"/>
      <c r="R407" s="48"/>
      <c r="S407" s="49"/>
      <c r="T407" s="48"/>
      <c r="U407" s="48"/>
      <c r="V407" s="14">
        <f t="shared" si="54"/>
        <v>0</v>
      </c>
      <c r="W407" s="14">
        <f t="shared" si="55"/>
        <v>0</v>
      </c>
      <c r="X407" s="14">
        <f>IF(AND(V407=1,OR(Painel!$C$6="Todos",D407=Painel!$C$6),AND(OR(Painel!$L$6="Todas",E407=Painel!$L$6),OR(Painel!$C$8="Todos",F407=Painel!$C$8),OR(Painel!$L$8="Todos",G407=Painel!$L$8),OR(Painel!$C$10="",ISNUMBER(SEARCH(SUBSTITUTE(SUBSTITUTE(SUBSTITUTE(Painel!$C$10,"~","~~"),"*","~*"),"?","~?"),A407&amp;" "&amp;H407&amp;" "&amp;I407))))),1,0)</f>
        <v>0</v>
      </c>
      <c r="Y407" s="14">
        <f t="shared" si="56"/>
        <v>0</v>
      </c>
      <c r="Z407" s="15" t="str">
        <f>IF(V407=0,"",IF(COUNTIFS(Andamentos!$K$10:$K$2009,"="&amp;SUBSTITUTE(SUBSTITUTE(SUBSTITUTE("P:"&amp;A407,"~","~~"),"*","~*"),"?","~?"),Andamentos!$G$10:$G$2009,1)=0,"",_xlfn.AGGREGATE(14,6,Andamentos!$D$10:$D$2009/((Andamentos!$K$10:$K$2009=AS407)*(Andamentos!$G$10:$G$2009=1)),1)))</f>
        <v/>
      </c>
      <c r="AA407" s="14">
        <f>IF(Z407="",0,COUNTIFS(Andamentos!$K$10:$K$2009,"="&amp;SUBSTITUTE(SUBSTITUTE(SUBSTITUTE("P:"&amp;A407,"~","~~"),"*","~*"),"?","~?"),Andamentos!$D$10:$D$2009,Z407,Andamentos!$G$10:$G$2009,1))</f>
        <v>0</v>
      </c>
      <c r="AB407" s="14">
        <f>IF(AA407=1,SUMIFS(Andamentos!$L$10:$L$2009,Andamentos!$K$10:$K$2009,"="&amp;SUBSTITUTE(SUBSTITUTE(SUBSTITUTE(AS407,"~","~~"),"*","~*"),"?","~?"),Andamentos!$D$10:$D$2009,Z407,Andamentos!$G$10:$G$2009,1)-9,0)</f>
        <v>0</v>
      </c>
      <c r="AC407" s="14" t="str">
        <f>IF(V407=0,"",IF(AA407&gt;1,"Conferir recebimentos empatados",IF(AB407=0,"Sem atualização",INDEX(Andamentos!$C$10:$C$2009,AB407))))</f>
        <v/>
      </c>
      <c r="AD407" s="14">
        <f>IF(W407=0,0,IF(MAX(Z407,BD407)=0,1,IF(Configurar!$J$12-INT(MAX(Z407,BD407))&gt;Configurar!$J$11,1,0)))</f>
        <v>0</v>
      </c>
      <c r="AE407" s="16"/>
      <c r="AF407" s="14"/>
      <c r="AG407" s="14"/>
      <c r="AH407" s="14">
        <f>IF(AND(V407=1,COUNTIFS(Valores!$S$10:$S$509,"="&amp;SUBSTITUTE(SUBSTITUTE(SUBSTITUTE("P:"&amp;A407,"~","~~"),"*","~*"),"?","~?"))=1),(IF(ISNA(MATCH(SUBSTITUTE(SUBSTITUTE(SUBSTITUTE("P:"&amp;A407,"~","~~"),"*","~*"),"?","~?"),Valores!$S$10:$S$509,0)),9,INDEX(Valores!$R$10:$R$509,MATCH(SUBSTITUTE(SUBSTITUTE(SUBSTITUTE("P:"&amp;A407,"~","~~"),"*","~*"),"?","~?"),Valores!$S$10:$S$509,0)))-9),0)</f>
        <v>0</v>
      </c>
      <c r="AI407" s="40" t="str">
        <f t="shared" si="57"/>
        <v/>
      </c>
      <c r="AJ407" s="14" t="str">
        <f>IF(AND(X407=1,Y407=1),COUNTIFS($X$10:X407,1,$Y$10:Y407,1),"")</f>
        <v/>
      </c>
      <c r="AK407" s="14" t="str">
        <f>IF(X407=1,COUNTIFS($X$10:X407,1),"")</f>
        <v/>
      </c>
      <c r="AL407" s="14">
        <f>IF(AND(V407=1,AND(OR(Painel!$L$6="Todas",E407=Painel!$L$6),OR(Painel!$C$8="Todos",F407=Painel!$C$8),OR(Painel!$L$8="Todos",G407=Painel!$L$8),OR(Painel!$C$10="",ISNUMBER(SEARCH(SUBSTITUTE(SUBSTITUTE(SUBSTITUTE(Painel!$C$10,"~","~~"),"*","~*"),"?","~?"),A407&amp;" "&amp;H407&amp;" "&amp;I407))))),1,0)</f>
        <v>0</v>
      </c>
      <c r="AM407" s="14">
        <f t="shared" si="58"/>
        <v>0</v>
      </c>
      <c r="AN407" s="14"/>
      <c r="AO407" s="14"/>
      <c r="AP407" s="16" t="str">
        <f>IF(AB407=0,"",IF(INDEX(Andamentos!$B$10:$B$2009,AB407)="","",INDEX(Andamentos!$B$10:$B$2009,AB407)))</f>
        <v/>
      </c>
      <c r="AQ407" s="17" t="str">
        <f>IF(AH407=0,"",IF(INDEX(Valores!$B$10:$B$509,AH407)="","",IF(ISNUMBER(INDEX(Valores!$B$10:$B$509,AH407)),INDEX(Valores!$B$10:$B$509,AH407),"")))</f>
        <v/>
      </c>
      <c r="AR407" s="14" t="str">
        <f t="shared" si="59"/>
        <v/>
      </c>
      <c r="AS407" s="14" t="str">
        <f t="shared" si="60"/>
        <v/>
      </c>
      <c r="AT407" s="27"/>
      <c r="AU407" s="31"/>
      <c r="AV407" s="31"/>
      <c r="AW407" s="27"/>
      <c r="AX407" s="27"/>
      <c r="AY407" s="27"/>
      <c r="AZ407" s="27"/>
      <c r="BA407" s="30" t="str">
        <f t="shared" si="61"/>
        <v/>
      </c>
      <c r="BB407" s="30" t="str">
        <f t="shared" si="62"/>
        <v/>
      </c>
      <c r="BC407" s="30">
        <f>IF(X407=0,0,IF(COUNTIFS($X$10:X407,1,$BA$10:BA407,BA407)=1,1,0))</f>
        <v>0</v>
      </c>
      <c r="BD407" s="29"/>
    </row>
    <row r="408" spans="1:56" ht="42" customHeight="1">
      <c r="A408" s="41"/>
      <c r="B408" s="44"/>
      <c r="C408" s="44"/>
      <c r="D408" s="44"/>
      <c r="E408" s="44"/>
      <c r="F408" s="44"/>
      <c r="G408" s="44"/>
      <c r="H408" s="44"/>
      <c r="I408" s="44"/>
      <c r="J408" s="44"/>
      <c r="K408" s="44"/>
      <c r="L408" s="49"/>
      <c r="M408" s="48"/>
      <c r="N408" s="48"/>
      <c r="O408" s="48"/>
      <c r="P408" s="48"/>
      <c r="Q408" s="48"/>
      <c r="R408" s="48"/>
      <c r="S408" s="49"/>
      <c r="T408" s="48"/>
      <c r="U408" s="48"/>
      <c r="V408" s="14">
        <f t="shared" si="54"/>
        <v>0</v>
      </c>
      <c r="W408" s="14">
        <f t="shared" si="55"/>
        <v>0</v>
      </c>
      <c r="X408" s="14">
        <f>IF(AND(V408=1,OR(Painel!$C$6="Todos",D408=Painel!$C$6),AND(OR(Painel!$L$6="Todas",E408=Painel!$L$6),OR(Painel!$C$8="Todos",F408=Painel!$C$8),OR(Painel!$L$8="Todos",G408=Painel!$L$8),OR(Painel!$C$10="",ISNUMBER(SEARCH(SUBSTITUTE(SUBSTITUTE(SUBSTITUTE(Painel!$C$10,"~","~~"),"*","~*"),"?","~?"),A408&amp;" "&amp;H408&amp;" "&amp;I408))))),1,0)</f>
        <v>0</v>
      </c>
      <c r="Y408" s="14">
        <f t="shared" si="56"/>
        <v>0</v>
      </c>
      <c r="Z408" s="15" t="str">
        <f>IF(V408=0,"",IF(COUNTIFS(Andamentos!$K$10:$K$2009,"="&amp;SUBSTITUTE(SUBSTITUTE(SUBSTITUTE("P:"&amp;A408,"~","~~"),"*","~*"),"?","~?"),Andamentos!$G$10:$G$2009,1)=0,"",_xlfn.AGGREGATE(14,6,Andamentos!$D$10:$D$2009/((Andamentos!$K$10:$K$2009=AS408)*(Andamentos!$G$10:$G$2009=1)),1)))</f>
        <v/>
      </c>
      <c r="AA408" s="14">
        <f>IF(Z408="",0,COUNTIFS(Andamentos!$K$10:$K$2009,"="&amp;SUBSTITUTE(SUBSTITUTE(SUBSTITUTE("P:"&amp;A408,"~","~~"),"*","~*"),"?","~?"),Andamentos!$D$10:$D$2009,Z408,Andamentos!$G$10:$G$2009,1))</f>
        <v>0</v>
      </c>
      <c r="AB408" s="14">
        <f>IF(AA408=1,SUMIFS(Andamentos!$L$10:$L$2009,Andamentos!$K$10:$K$2009,"="&amp;SUBSTITUTE(SUBSTITUTE(SUBSTITUTE(AS408,"~","~~"),"*","~*"),"?","~?"),Andamentos!$D$10:$D$2009,Z408,Andamentos!$G$10:$G$2009,1)-9,0)</f>
        <v>0</v>
      </c>
      <c r="AC408" s="14" t="str">
        <f>IF(V408=0,"",IF(AA408&gt;1,"Conferir recebimentos empatados",IF(AB408=0,"Sem atualização",INDEX(Andamentos!$C$10:$C$2009,AB408))))</f>
        <v/>
      </c>
      <c r="AD408" s="14">
        <f>IF(W408=0,0,IF(MAX(Z408,BD408)=0,1,IF(Configurar!$J$12-INT(MAX(Z408,BD408))&gt;Configurar!$J$11,1,0)))</f>
        <v>0</v>
      </c>
      <c r="AE408" s="16"/>
      <c r="AF408" s="14"/>
      <c r="AG408" s="14"/>
      <c r="AH408" s="14">
        <f>IF(AND(V408=1,COUNTIFS(Valores!$S$10:$S$509,"="&amp;SUBSTITUTE(SUBSTITUTE(SUBSTITUTE("P:"&amp;A408,"~","~~"),"*","~*"),"?","~?"))=1),(IF(ISNA(MATCH(SUBSTITUTE(SUBSTITUTE(SUBSTITUTE("P:"&amp;A408,"~","~~"),"*","~*"),"?","~?"),Valores!$S$10:$S$509,0)),9,INDEX(Valores!$R$10:$R$509,MATCH(SUBSTITUTE(SUBSTITUTE(SUBSTITUTE("P:"&amp;A408,"~","~~"),"*","~*"),"?","~?"),Valores!$S$10:$S$509,0)))-9),0)</f>
        <v>0</v>
      </c>
      <c r="AI408" s="40" t="str">
        <f t="shared" si="57"/>
        <v/>
      </c>
      <c r="AJ408" s="14" t="str">
        <f>IF(AND(X408=1,Y408=1),COUNTIFS($X$10:X408,1,$Y$10:Y408,1),"")</f>
        <v/>
      </c>
      <c r="AK408" s="14" t="str">
        <f>IF(X408=1,COUNTIFS($X$10:X408,1),"")</f>
        <v/>
      </c>
      <c r="AL408" s="14">
        <f>IF(AND(V408=1,AND(OR(Painel!$L$6="Todas",E408=Painel!$L$6),OR(Painel!$C$8="Todos",F408=Painel!$C$8),OR(Painel!$L$8="Todos",G408=Painel!$L$8),OR(Painel!$C$10="",ISNUMBER(SEARCH(SUBSTITUTE(SUBSTITUTE(SUBSTITUTE(Painel!$C$10,"~","~~"),"*","~*"),"?","~?"),A408&amp;" "&amp;H408&amp;" "&amp;I408))))),1,0)</f>
        <v>0</v>
      </c>
      <c r="AM408" s="14">
        <f t="shared" si="58"/>
        <v>0</v>
      </c>
      <c r="AN408" s="14"/>
      <c r="AO408" s="14"/>
      <c r="AP408" s="16" t="str">
        <f>IF(AB408=0,"",IF(INDEX(Andamentos!$B$10:$B$2009,AB408)="","",INDEX(Andamentos!$B$10:$B$2009,AB408)))</f>
        <v/>
      </c>
      <c r="AQ408" s="17" t="str">
        <f>IF(AH408=0,"",IF(INDEX(Valores!$B$10:$B$509,AH408)="","",IF(ISNUMBER(INDEX(Valores!$B$10:$B$509,AH408)),INDEX(Valores!$B$10:$B$509,AH408),"")))</f>
        <v/>
      </c>
      <c r="AR408" s="14" t="str">
        <f t="shared" si="59"/>
        <v/>
      </c>
      <c r="AS408" s="14" t="str">
        <f t="shared" si="60"/>
        <v/>
      </c>
      <c r="AT408" s="27"/>
      <c r="AU408" s="31"/>
      <c r="AV408" s="31"/>
      <c r="AW408" s="27"/>
      <c r="AX408" s="27"/>
      <c r="AY408" s="27"/>
      <c r="AZ408" s="27"/>
      <c r="BA408" s="30" t="str">
        <f t="shared" si="61"/>
        <v/>
      </c>
      <c r="BB408" s="30" t="str">
        <f t="shared" si="62"/>
        <v/>
      </c>
      <c r="BC408" s="30">
        <f>IF(X408=0,0,IF(COUNTIFS($X$10:X408,1,$BA$10:BA408,BA408)=1,1,0))</f>
        <v>0</v>
      </c>
      <c r="BD408" s="29"/>
    </row>
    <row r="409" spans="1:56" ht="42" customHeight="1">
      <c r="A409" s="41"/>
      <c r="B409" s="44"/>
      <c r="C409" s="44"/>
      <c r="D409" s="44"/>
      <c r="E409" s="44"/>
      <c r="F409" s="44"/>
      <c r="G409" s="44"/>
      <c r="H409" s="44"/>
      <c r="I409" s="44"/>
      <c r="J409" s="44"/>
      <c r="K409" s="44"/>
      <c r="L409" s="49"/>
      <c r="M409" s="48"/>
      <c r="N409" s="48"/>
      <c r="O409" s="48"/>
      <c r="P409" s="48"/>
      <c r="Q409" s="48"/>
      <c r="R409" s="48"/>
      <c r="S409" s="49"/>
      <c r="T409" s="48"/>
      <c r="U409" s="48"/>
      <c r="V409" s="14">
        <f t="shared" si="54"/>
        <v>0</v>
      </c>
      <c r="W409" s="14">
        <f t="shared" si="55"/>
        <v>0</v>
      </c>
      <c r="X409" s="14">
        <f>IF(AND(V409=1,OR(Painel!$C$6="Todos",D409=Painel!$C$6),AND(OR(Painel!$L$6="Todas",E409=Painel!$L$6),OR(Painel!$C$8="Todos",F409=Painel!$C$8),OR(Painel!$L$8="Todos",G409=Painel!$L$8),OR(Painel!$C$10="",ISNUMBER(SEARCH(SUBSTITUTE(SUBSTITUTE(SUBSTITUTE(Painel!$C$10,"~","~~"),"*","~*"),"?","~?"),A409&amp;" "&amp;H409&amp;" "&amp;I409))))),1,0)</f>
        <v>0</v>
      </c>
      <c r="Y409" s="14">
        <f t="shared" si="56"/>
        <v>0</v>
      </c>
      <c r="Z409" s="15" t="str">
        <f>IF(V409=0,"",IF(COUNTIFS(Andamentos!$K$10:$K$2009,"="&amp;SUBSTITUTE(SUBSTITUTE(SUBSTITUTE("P:"&amp;A409,"~","~~"),"*","~*"),"?","~?"),Andamentos!$G$10:$G$2009,1)=0,"",_xlfn.AGGREGATE(14,6,Andamentos!$D$10:$D$2009/((Andamentos!$K$10:$K$2009=AS409)*(Andamentos!$G$10:$G$2009=1)),1)))</f>
        <v/>
      </c>
      <c r="AA409" s="14">
        <f>IF(Z409="",0,COUNTIFS(Andamentos!$K$10:$K$2009,"="&amp;SUBSTITUTE(SUBSTITUTE(SUBSTITUTE("P:"&amp;A409,"~","~~"),"*","~*"),"?","~?"),Andamentos!$D$10:$D$2009,Z409,Andamentos!$G$10:$G$2009,1))</f>
        <v>0</v>
      </c>
      <c r="AB409" s="14">
        <f>IF(AA409=1,SUMIFS(Andamentos!$L$10:$L$2009,Andamentos!$K$10:$K$2009,"="&amp;SUBSTITUTE(SUBSTITUTE(SUBSTITUTE(AS409,"~","~~"),"*","~*"),"?","~?"),Andamentos!$D$10:$D$2009,Z409,Andamentos!$G$10:$G$2009,1)-9,0)</f>
        <v>0</v>
      </c>
      <c r="AC409" s="14" t="str">
        <f>IF(V409=0,"",IF(AA409&gt;1,"Conferir recebimentos empatados",IF(AB409=0,"Sem atualização",INDEX(Andamentos!$C$10:$C$2009,AB409))))</f>
        <v/>
      </c>
      <c r="AD409" s="14">
        <f>IF(W409=0,0,IF(MAX(Z409,BD409)=0,1,IF(Configurar!$J$12-INT(MAX(Z409,BD409))&gt;Configurar!$J$11,1,0)))</f>
        <v>0</v>
      </c>
      <c r="AE409" s="16"/>
      <c r="AF409" s="14"/>
      <c r="AG409" s="14"/>
      <c r="AH409" s="14">
        <f>IF(AND(V409=1,COUNTIFS(Valores!$S$10:$S$509,"="&amp;SUBSTITUTE(SUBSTITUTE(SUBSTITUTE("P:"&amp;A409,"~","~~"),"*","~*"),"?","~?"))=1),(IF(ISNA(MATCH(SUBSTITUTE(SUBSTITUTE(SUBSTITUTE("P:"&amp;A409,"~","~~"),"*","~*"),"?","~?"),Valores!$S$10:$S$509,0)),9,INDEX(Valores!$R$10:$R$509,MATCH(SUBSTITUTE(SUBSTITUTE(SUBSTITUTE("P:"&amp;A409,"~","~~"),"*","~*"),"?","~?"),Valores!$S$10:$S$509,0)))-9),0)</f>
        <v>0</v>
      </c>
      <c r="AI409" s="40" t="str">
        <f t="shared" si="57"/>
        <v/>
      </c>
      <c r="AJ409" s="14" t="str">
        <f>IF(AND(X409=1,Y409=1),COUNTIFS($X$10:X409,1,$Y$10:Y409,1),"")</f>
        <v/>
      </c>
      <c r="AK409" s="14" t="str">
        <f>IF(X409=1,COUNTIFS($X$10:X409,1),"")</f>
        <v/>
      </c>
      <c r="AL409" s="14">
        <f>IF(AND(V409=1,AND(OR(Painel!$L$6="Todas",E409=Painel!$L$6),OR(Painel!$C$8="Todos",F409=Painel!$C$8),OR(Painel!$L$8="Todos",G409=Painel!$L$8),OR(Painel!$C$10="",ISNUMBER(SEARCH(SUBSTITUTE(SUBSTITUTE(SUBSTITUTE(Painel!$C$10,"~","~~"),"*","~*"),"?","~?"),A409&amp;" "&amp;H409&amp;" "&amp;I409))))),1,0)</f>
        <v>0</v>
      </c>
      <c r="AM409" s="14">
        <f t="shared" si="58"/>
        <v>0</v>
      </c>
      <c r="AN409" s="14"/>
      <c r="AO409" s="14"/>
      <c r="AP409" s="16" t="str">
        <f>IF(AB409=0,"",IF(INDEX(Andamentos!$B$10:$B$2009,AB409)="","",INDEX(Andamentos!$B$10:$B$2009,AB409)))</f>
        <v/>
      </c>
      <c r="AQ409" s="17" t="str">
        <f>IF(AH409=0,"",IF(INDEX(Valores!$B$10:$B$509,AH409)="","",IF(ISNUMBER(INDEX(Valores!$B$10:$B$509,AH409)),INDEX(Valores!$B$10:$B$509,AH409),"")))</f>
        <v/>
      </c>
      <c r="AR409" s="14" t="str">
        <f t="shared" si="59"/>
        <v/>
      </c>
      <c r="AS409" s="14" t="str">
        <f t="shared" si="60"/>
        <v/>
      </c>
      <c r="AT409" s="27"/>
      <c r="AU409" s="31"/>
      <c r="AV409" s="31"/>
      <c r="AW409" s="27"/>
      <c r="AX409" s="27"/>
      <c r="AY409" s="27"/>
      <c r="AZ409" s="27"/>
      <c r="BA409" s="30" t="str">
        <f t="shared" si="61"/>
        <v/>
      </c>
      <c r="BB409" s="30" t="str">
        <f t="shared" si="62"/>
        <v/>
      </c>
      <c r="BC409" s="30">
        <f>IF(X409=0,0,IF(COUNTIFS($X$10:X409,1,$BA$10:BA409,BA409)=1,1,0))</f>
        <v>0</v>
      </c>
      <c r="BD409" s="29"/>
    </row>
    <row r="410" spans="1:56" ht="42" customHeight="1">
      <c r="A410" s="41"/>
      <c r="B410" s="44"/>
      <c r="C410" s="44"/>
      <c r="D410" s="44"/>
      <c r="E410" s="44"/>
      <c r="F410" s="44"/>
      <c r="G410" s="44"/>
      <c r="H410" s="44"/>
      <c r="I410" s="44"/>
      <c r="J410" s="44"/>
      <c r="K410" s="44"/>
      <c r="L410" s="49"/>
      <c r="M410" s="48"/>
      <c r="N410" s="48"/>
      <c r="O410" s="48"/>
      <c r="P410" s="48"/>
      <c r="Q410" s="48"/>
      <c r="R410" s="48"/>
      <c r="S410" s="49"/>
      <c r="T410" s="48"/>
      <c r="U410" s="48"/>
      <c r="V410" s="14">
        <f t="shared" si="54"/>
        <v>0</v>
      </c>
      <c r="W410" s="14">
        <f t="shared" si="55"/>
        <v>0</v>
      </c>
      <c r="X410" s="14">
        <f>IF(AND(V410=1,OR(Painel!$C$6="Todos",D410=Painel!$C$6),AND(OR(Painel!$L$6="Todas",E410=Painel!$L$6),OR(Painel!$C$8="Todos",F410=Painel!$C$8),OR(Painel!$L$8="Todos",G410=Painel!$L$8),OR(Painel!$C$10="",ISNUMBER(SEARCH(SUBSTITUTE(SUBSTITUTE(SUBSTITUTE(Painel!$C$10,"~","~~"),"*","~*"),"?","~?"),A410&amp;" "&amp;H410&amp;" "&amp;I410))))),1,0)</f>
        <v>0</v>
      </c>
      <c r="Y410" s="14">
        <f t="shared" si="56"/>
        <v>0</v>
      </c>
      <c r="Z410" s="15" t="str">
        <f>IF(V410=0,"",IF(COUNTIFS(Andamentos!$K$10:$K$2009,"="&amp;SUBSTITUTE(SUBSTITUTE(SUBSTITUTE("P:"&amp;A410,"~","~~"),"*","~*"),"?","~?"),Andamentos!$G$10:$G$2009,1)=0,"",_xlfn.AGGREGATE(14,6,Andamentos!$D$10:$D$2009/((Andamentos!$K$10:$K$2009=AS410)*(Andamentos!$G$10:$G$2009=1)),1)))</f>
        <v/>
      </c>
      <c r="AA410" s="14">
        <f>IF(Z410="",0,COUNTIFS(Andamentos!$K$10:$K$2009,"="&amp;SUBSTITUTE(SUBSTITUTE(SUBSTITUTE("P:"&amp;A410,"~","~~"),"*","~*"),"?","~?"),Andamentos!$D$10:$D$2009,Z410,Andamentos!$G$10:$G$2009,1))</f>
        <v>0</v>
      </c>
      <c r="AB410" s="14">
        <f>IF(AA410=1,SUMIFS(Andamentos!$L$10:$L$2009,Andamentos!$K$10:$K$2009,"="&amp;SUBSTITUTE(SUBSTITUTE(SUBSTITUTE(AS410,"~","~~"),"*","~*"),"?","~?"),Andamentos!$D$10:$D$2009,Z410,Andamentos!$G$10:$G$2009,1)-9,0)</f>
        <v>0</v>
      </c>
      <c r="AC410" s="14" t="str">
        <f>IF(V410=0,"",IF(AA410&gt;1,"Conferir recebimentos empatados",IF(AB410=0,"Sem atualização",INDEX(Andamentos!$C$10:$C$2009,AB410))))</f>
        <v/>
      </c>
      <c r="AD410" s="14">
        <f>IF(W410=0,0,IF(MAX(Z410,BD410)=0,1,IF(Configurar!$J$12-INT(MAX(Z410,BD410))&gt;Configurar!$J$11,1,0)))</f>
        <v>0</v>
      </c>
      <c r="AE410" s="16"/>
      <c r="AF410" s="14"/>
      <c r="AG410" s="14"/>
      <c r="AH410" s="14">
        <f>IF(AND(V410=1,COUNTIFS(Valores!$S$10:$S$509,"="&amp;SUBSTITUTE(SUBSTITUTE(SUBSTITUTE("P:"&amp;A410,"~","~~"),"*","~*"),"?","~?"))=1),(IF(ISNA(MATCH(SUBSTITUTE(SUBSTITUTE(SUBSTITUTE("P:"&amp;A410,"~","~~"),"*","~*"),"?","~?"),Valores!$S$10:$S$509,0)),9,INDEX(Valores!$R$10:$R$509,MATCH(SUBSTITUTE(SUBSTITUTE(SUBSTITUTE("P:"&amp;A410,"~","~~"),"*","~*"),"?","~?"),Valores!$S$10:$S$509,0)))-9),0)</f>
        <v>0</v>
      </c>
      <c r="AI410" s="40" t="str">
        <f t="shared" si="57"/>
        <v/>
      </c>
      <c r="AJ410" s="14" t="str">
        <f>IF(AND(X410=1,Y410=1),COUNTIFS($X$10:X410,1,$Y$10:Y410,1),"")</f>
        <v/>
      </c>
      <c r="AK410" s="14" t="str">
        <f>IF(X410=1,COUNTIFS($X$10:X410,1),"")</f>
        <v/>
      </c>
      <c r="AL410" s="14">
        <f>IF(AND(V410=1,AND(OR(Painel!$L$6="Todas",E410=Painel!$L$6),OR(Painel!$C$8="Todos",F410=Painel!$C$8),OR(Painel!$L$8="Todos",G410=Painel!$L$8),OR(Painel!$C$10="",ISNUMBER(SEARCH(SUBSTITUTE(SUBSTITUTE(SUBSTITUTE(Painel!$C$10,"~","~~"),"*","~*"),"?","~?"),A410&amp;" "&amp;H410&amp;" "&amp;I410))))),1,0)</f>
        <v>0</v>
      </c>
      <c r="AM410" s="14">
        <f t="shared" si="58"/>
        <v>0</v>
      </c>
      <c r="AN410" s="14"/>
      <c r="AO410" s="14"/>
      <c r="AP410" s="16" t="str">
        <f>IF(AB410=0,"",IF(INDEX(Andamentos!$B$10:$B$2009,AB410)="","",INDEX(Andamentos!$B$10:$B$2009,AB410)))</f>
        <v/>
      </c>
      <c r="AQ410" s="17" t="str">
        <f>IF(AH410=0,"",IF(INDEX(Valores!$B$10:$B$509,AH410)="","",IF(ISNUMBER(INDEX(Valores!$B$10:$B$509,AH410)),INDEX(Valores!$B$10:$B$509,AH410),"")))</f>
        <v/>
      </c>
      <c r="AR410" s="14" t="str">
        <f t="shared" si="59"/>
        <v/>
      </c>
      <c r="AS410" s="14" t="str">
        <f t="shared" si="60"/>
        <v/>
      </c>
      <c r="AT410" s="27"/>
      <c r="AU410" s="31"/>
      <c r="AV410" s="31"/>
      <c r="AW410" s="27"/>
      <c r="AX410" s="27"/>
      <c r="AY410" s="27"/>
      <c r="AZ410" s="27"/>
      <c r="BA410" s="30" t="str">
        <f t="shared" si="61"/>
        <v/>
      </c>
      <c r="BB410" s="30" t="str">
        <f t="shared" si="62"/>
        <v/>
      </c>
      <c r="BC410" s="30">
        <f>IF(X410=0,0,IF(COUNTIFS($X$10:X410,1,$BA$10:BA410,BA410)=1,1,0))</f>
        <v>0</v>
      </c>
      <c r="BD410" s="29"/>
    </row>
    <row r="411" spans="1:56" ht="42" customHeight="1">
      <c r="A411" s="41"/>
      <c r="B411" s="44"/>
      <c r="C411" s="44"/>
      <c r="D411" s="44"/>
      <c r="E411" s="44"/>
      <c r="F411" s="44"/>
      <c r="G411" s="44"/>
      <c r="H411" s="44"/>
      <c r="I411" s="44"/>
      <c r="J411" s="44"/>
      <c r="K411" s="44"/>
      <c r="L411" s="49"/>
      <c r="M411" s="48"/>
      <c r="N411" s="48"/>
      <c r="O411" s="48"/>
      <c r="P411" s="48"/>
      <c r="Q411" s="48"/>
      <c r="R411" s="48"/>
      <c r="S411" s="49"/>
      <c r="T411" s="48"/>
      <c r="U411" s="48"/>
      <c r="V411" s="14">
        <f t="shared" si="54"/>
        <v>0</v>
      </c>
      <c r="W411" s="14">
        <f t="shared" si="55"/>
        <v>0</v>
      </c>
      <c r="X411" s="14">
        <f>IF(AND(V411=1,OR(Painel!$C$6="Todos",D411=Painel!$C$6),AND(OR(Painel!$L$6="Todas",E411=Painel!$L$6),OR(Painel!$C$8="Todos",F411=Painel!$C$8),OR(Painel!$L$8="Todos",G411=Painel!$L$8),OR(Painel!$C$10="",ISNUMBER(SEARCH(SUBSTITUTE(SUBSTITUTE(SUBSTITUTE(Painel!$C$10,"~","~~"),"*","~*"),"?","~?"),A411&amp;" "&amp;H411&amp;" "&amp;I411))))),1,0)</f>
        <v>0</v>
      </c>
      <c r="Y411" s="14">
        <f t="shared" si="56"/>
        <v>0</v>
      </c>
      <c r="Z411" s="15" t="str">
        <f>IF(V411=0,"",IF(COUNTIFS(Andamentos!$K$10:$K$2009,"="&amp;SUBSTITUTE(SUBSTITUTE(SUBSTITUTE("P:"&amp;A411,"~","~~"),"*","~*"),"?","~?"),Andamentos!$G$10:$G$2009,1)=0,"",_xlfn.AGGREGATE(14,6,Andamentos!$D$10:$D$2009/((Andamentos!$K$10:$K$2009=AS411)*(Andamentos!$G$10:$G$2009=1)),1)))</f>
        <v/>
      </c>
      <c r="AA411" s="14">
        <f>IF(Z411="",0,COUNTIFS(Andamentos!$K$10:$K$2009,"="&amp;SUBSTITUTE(SUBSTITUTE(SUBSTITUTE("P:"&amp;A411,"~","~~"),"*","~*"),"?","~?"),Andamentos!$D$10:$D$2009,Z411,Andamentos!$G$10:$G$2009,1))</f>
        <v>0</v>
      </c>
      <c r="AB411" s="14">
        <f>IF(AA411=1,SUMIFS(Andamentos!$L$10:$L$2009,Andamentos!$K$10:$K$2009,"="&amp;SUBSTITUTE(SUBSTITUTE(SUBSTITUTE(AS411,"~","~~"),"*","~*"),"?","~?"),Andamentos!$D$10:$D$2009,Z411,Andamentos!$G$10:$G$2009,1)-9,0)</f>
        <v>0</v>
      </c>
      <c r="AC411" s="14" t="str">
        <f>IF(V411=0,"",IF(AA411&gt;1,"Conferir recebimentos empatados",IF(AB411=0,"Sem atualização",INDEX(Andamentos!$C$10:$C$2009,AB411))))</f>
        <v/>
      </c>
      <c r="AD411" s="14">
        <f>IF(W411=0,0,IF(MAX(Z411,BD411)=0,1,IF(Configurar!$J$12-INT(MAX(Z411,BD411))&gt;Configurar!$J$11,1,0)))</f>
        <v>0</v>
      </c>
      <c r="AE411" s="16"/>
      <c r="AF411" s="14"/>
      <c r="AG411" s="14"/>
      <c r="AH411" s="14">
        <f>IF(AND(V411=1,COUNTIFS(Valores!$S$10:$S$509,"="&amp;SUBSTITUTE(SUBSTITUTE(SUBSTITUTE("P:"&amp;A411,"~","~~"),"*","~*"),"?","~?"))=1),(IF(ISNA(MATCH(SUBSTITUTE(SUBSTITUTE(SUBSTITUTE("P:"&amp;A411,"~","~~"),"*","~*"),"?","~?"),Valores!$S$10:$S$509,0)),9,INDEX(Valores!$R$10:$R$509,MATCH(SUBSTITUTE(SUBSTITUTE(SUBSTITUTE("P:"&amp;A411,"~","~~"),"*","~*"),"?","~?"),Valores!$S$10:$S$509,0)))-9),0)</f>
        <v>0</v>
      </c>
      <c r="AI411" s="40" t="str">
        <f t="shared" si="57"/>
        <v/>
      </c>
      <c r="AJ411" s="14" t="str">
        <f>IF(AND(X411=1,Y411=1),COUNTIFS($X$10:X411,1,$Y$10:Y411,1),"")</f>
        <v/>
      </c>
      <c r="AK411" s="14" t="str">
        <f>IF(X411=1,COUNTIFS($X$10:X411,1),"")</f>
        <v/>
      </c>
      <c r="AL411" s="14">
        <f>IF(AND(V411=1,AND(OR(Painel!$L$6="Todas",E411=Painel!$L$6),OR(Painel!$C$8="Todos",F411=Painel!$C$8),OR(Painel!$L$8="Todos",G411=Painel!$L$8),OR(Painel!$C$10="",ISNUMBER(SEARCH(SUBSTITUTE(SUBSTITUTE(SUBSTITUTE(Painel!$C$10,"~","~~"),"*","~*"),"?","~?"),A411&amp;" "&amp;H411&amp;" "&amp;I411))))),1,0)</f>
        <v>0</v>
      </c>
      <c r="AM411" s="14">
        <f t="shared" si="58"/>
        <v>0</v>
      </c>
      <c r="AN411" s="14"/>
      <c r="AO411" s="14"/>
      <c r="AP411" s="16" t="str">
        <f>IF(AB411=0,"",IF(INDEX(Andamentos!$B$10:$B$2009,AB411)="","",INDEX(Andamentos!$B$10:$B$2009,AB411)))</f>
        <v/>
      </c>
      <c r="AQ411" s="17" t="str">
        <f>IF(AH411=0,"",IF(INDEX(Valores!$B$10:$B$509,AH411)="","",IF(ISNUMBER(INDEX(Valores!$B$10:$B$509,AH411)),INDEX(Valores!$B$10:$B$509,AH411),"")))</f>
        <v/>
      </c>
      <c r="AR411" s="14" t="str">
        <f t="shared" si="59"/>
        <v/>
      </c>
      <c r="AS411" s="14" t="str">
        <f t="shared" si="60"/>
        <v/>
      </c>
      <c r="AT411" s="27"/>
      <c r="AU411" s="31"/>
      <c r="AV411" s="31"/>
      <c r="AW411" s="27"/>
      <c r="AX411" s="27"/>
      <c r="AY411" s="27"/>
      <c r="AZ411" s="27"/>
      <c r="BA411" s="30" t="str">
        <f t="shared" si="61"/>
        <v/>
      </c>
      <c r="BB411" s="30" t="str">
        <f t="shared" si="62"/>
        <v/>
      </c>
      <c r="BC411" s="30">
        <f>IF(X411=0,0,IF(COUNTIFS($X$10:X411,1,$BA$10:BA411,BA411)=1,1,0))</f>
        <v>0</v>
      </c>
      <c r="BD411" s="29"/>
    </row>
    <row r="412" spans="1:56" ht="42" customHeight="1">
      <c r="A412" s="41"/>
      <c r="B412" s="44"/>
      <c r="C412" s="44"/>
      <c r="D412" s="44"/>
      <c r="E412" s="44"/>
      <c r="F412" s="44"/>
      <c r="G412" s="44"/>
      <c r="H412" s="44"/>
      <c r="I412" s="44"/>
      <c r="J412" s="44"/>
      <c r="K412" s="44"/>
      <c r="L412" s="49"/>
      <c r="M412" s="48"/>
      <c r="N412" s="48"/>
      <c r="O412" s="48"/>
      <c r="P412" s="48"/>
      <c r="Q412" s="48"/>
      <c r="R412" s="48"/>
      <c r="S412" s="49"/>
      <c r="T412" s="48"/>
      <c r="U412" s="48"/>
      <c r="V412" s="14">
        <f t="shared" si="54"/>
        <v>0</v>
      </c>
      <c r="W412" s="14">
        <f t="shared" si="55"/>
        <v>0</v>
      </c>
      <c r="X412" s="14">
        <f>IF(AND(V412=1,OR(Painel!$C$6="Todos",D412=Painel!$C$6),AND(OR(Painel!$L$6="Todas",E412=Painel!$L$6),OR(Painel!$C$8="Todos",F412=Painel!$C$8),OR(Painel!$L$8="Todos",G412=Painel!$L$8),OR(Painel!$C$10="",ISNUMBER(SEARCH(SUBSTITUTE(SUBSTITUTE(SUBSTITUTE(Painel!$C$10,"~","~~"),"*","~*"),"?","~?"),A412&amp;" "&amp;H412&amp;" "&amp;I412))))),1,0)</f>
        <v>0</v>
      </c>
      <c r="Y412" s="14">
        <f t="shared" si="56"/>
        <v>0</v>
      </c>
      <c r="Z412" s="15" t="str">
        <f>IF(V412=0,"",IF(COUNTIFS(Andamentos!$K$10:$K$2009,"="&amp;SUBSTITUTE(SUBSTITUTE(SUBSTITUTE("P:"&amp;A412,"~","~~"),"*","~*"),"?","~?"),Andamentos!$G$10:$G$2009,1)=0,"",_xlfn.AGGREGATE(14,6,Andamentos!$D$10:$D$2009/((Andamentos!$K$10:$K$2009=AS412)*(Andamentos!$G$10:$G$2009=1)),1)))</f>
        <v/>
      </c>
      <c r="AA412" s="14">
        <f>IF(Z412="",0,COUNTIFS(Andamentos!$K$10:$K$2009,"="&amp;SUBSTITUTE(SUBSTITUTE(SUBSTITUTE("P:"&amp;A412,"~","~~"),"*","~*"),"?","~?"),Andamentos!$D$10:$D$2009,Z412,Andamentos!$G$10:$G$2009,1))</f>
        <v>0</v>
      </c>
      <c r="AB412" s="14">
        <f>IF(AA412=1,SUMIFS(Andamentos!$L$10:$L$2009,Andamentos!$K$10:$K$2009,"="&amp;SUBSTITUTE(SUBSTITUTE(SUBSTITUTE(AS412,"~","~~"),"*","~*"),"?","~?"),Andamentos!$D$10:$D$2009,Z412,Andamentos!$G$10:$G$2009,1)-9,0)</f>
        <v>0</v>
      </c>
      <c r="AC412" s="14" t="str">
        <f>IF(V412=0,"",IF(AA412&gt;1,"Conferir recebimentos empatados",IF(AB412=0,"Sem atualização",INDEX(Andamentos!$C$10:$C$2009,AB412))))</f>
        <v/>
      </c>
      <c r="AD412" s="14">
        <f>IF(W412=0,0,IF(MAX(Z412,BD412)=0,1,IF(Configurar!$J$12-INT(MAX(Z412,BD412))&gt;Configurar!$J$11,1,0)))</f>
        <v>0</v>
      </c>
      <c r="AE412" s="16"/>
      <c r="AF412" s="14"/>
      <c r="AG412" s="14"/>
      <c r="AH412" s="14">
        <f>IF(AND(V412=1,COUNTIFS(Valores!$S$10:$S$509,"="&amp;SUBSTITUTE(SUBSTITUTE(SUBSTITUTE("P:"&amp;A412,"~","~~"),"*","~*"),"?","~?"))=1),(IF(ISNA(MATCH(SUBSTITUTE(SUBSTITUTE(SUBSTITUTE("P:"&amp;A412,"~","~~"),"*","~*"),"?","~?"),Valores!$S$10:$S$509,0)),9,INDEX(Valores!$R$10:$R$509,MATCH(SUBSTITUTE(SUBSTITUTE(SUBSTITUTE("P:"&amp;A412,"~","~~"),"*","~*"),"?","~?"),Valores!$S$10:$S$509,0)))-9),0)</f>
        <v>0</v>
      </c>
      <c r="AI412" s="40" t="str">
        <f t="shared" si="57"/>
        <v/>
      </c>
      <c r="AJ412" s="14" t="str">
        <f>IF(AND(X412=1,Y412=1),COUNTIFS($X$10:X412,1,$Y$10:Y412,1),"")</f>
        <v/>
      </c>
      <c r="AK412" s="14" t="str">
        <f>IF(X412=1,COUNTIFS($X$10:X412,1),"")</f>
        <v/>
      </c>
      <c r="AL412" s="14">
        <f>IF(AND(V412=1,AND(OR(Painel!$L$6="Todas",E412=Painel!$L$6),OR(Painel!$C$8="Todos",F412=Painel!$C$8),OR(Painel!$L$8="Todos",G412=Painel!$L$8),OR(Painel!$C$10="",ISNUMBER(SEARCH(SUBSTITUTE(SUBSTITUTE(SUBSTITUTE(Painel!$C$10,"~","~~"),"*","~*"),"?","~?"),A412&amp;" "&amp;H412&amp;" "&amp;I412))))),1,0)</f>
        <v>0</v>
      </c>
      <c r="AM412" s="14">
        <f t="shared" si="58"/>
        <v>0</v>
      </c>
      <c r="AN412" s="14"/>
      <c r="AO412" s="14"/>
      <c r="AP412" s="16" t="str">
        <f>IF(AB412=0,"",IF(INDEX(Andamentos!$B$10:$B$2009,AB412)="","",INDEX(Andamentos!$B$10:$B$2009,AB412)))</f>
        <v/>
      </c>
      <c r="AQ412" s="17" t="str">
        <f>IF(AH412=0,"",IF(INDEX(Valores!$B$10:$B$509,AH412)="","",IF(ISNUMBER(INDEX(Valores!$B$10:$B$509,AH412)),INDEX(Valores!$B$10:$B$509,AH412),"")))</f>
        <v/>
      </c>
      <c r="AR412" s="14" t="str">
        <f t="shared" si="59"/>
        <v/>
      </c>
      <c r="AS412" s="14" t="str">
        <f t="shared" si="60"/>
        <v/>
      </c>
      <c r="AT412" s="27"/>
      <c r="AU412" s="31"/>
      <c r="AV412" s="31"/>
      <c r="AW412" s="27"/>
      <c r="AX412" s="27"/>
      <c r="AY412" s="27"/>
      <c r="AZ412" s="27"/>
      <c r="BA412" s="30" t="str">
        <f t="shared" si="61"/>
        <v/>
      </c>
      <c r="BB412" s="30" t="str">
        <f t="shared" si="62"/>
        <v/>
      </c>
      <c r="BC412" s="30">
        <f>IF(X412=0,0,IF(COUNTIFS($X$10:X412,1,$BA$10:BA412,BA412)=1,1,0))</f>
        <v>0</v>
      </c>
      <c r="BD412" s="29"/>
    </row>
    <row r="413" spans="1:56" ht="42" customHeight="1">
      <c r="A413" s="41"/>
      <c r="B413" s="44"/>
      <c r="C413" s="44"/>
      <c r="D413" s="44"/>
      <c r="E413" s="44"/>
      <c r="F413" s="44"/>
      <c r="G413" s="44"/>
      <c r="H413" s="44"/>
      <c r="I413" s="44"/>
      <c r="J413" s="44"/>
      <c r="K413" s="44"/>
      <c r="L413" s="49"/>
      <c r="M413" s="48"/>
      <c r="N413" s="48"/>
      <c r="O413" s="48"/>
      <c r="P413" s="48"/>
      <c r="Q413" s="48"/>
      <c r="R413" s="48"/>
      <c r="S413" s="49"/>
      <c r="T413" s="48"/>
      <c r="U413" s="48"/>
      <c r="V413" s="14">
        <f t="shared" si="54"/>
        <v>0</v>
      </c>
      <c r="W413" s="14">
        <f t="shared" si="55"/>
        <v>0</v>
      </c>
      <c r="X413" s="14">
        <f>IF(AND(V413=1,OR(Painel!$C$6="Todos",D413=Painel!$C$6),AND(OR(Painel!$L$6="Todas",E413=Painel!$L$6),OR(Painel!$C$8="Todos",F413=Painel!$C$8),OR(Painel!$L$8="Todos",G413=Painel!$L$8),OR(Painel!$C$10="",ISNUMBER(SEARCH(SUBSTITUTE(SUBSTITUTE(SUBSTITUTE(Painel!$C$10,"~","~~"),"*","~*"),"?","~?"),A413&amp;" "&amp;H413&amp;" "&amp;I413))))),1,0)</f>
        <v>0</v>
      </c>
      <c r="Y413" s="14">
        <f t="shared" si="56"/>
        <v>0</v>
      </c>
      <c r="Z413" s="15" t="str">
        <f>IF(V413=0,"",IF(COUNTIFS(Andamentos!$K$10:$K$2009,"="&amp;SUBSTITUTE(SUBSTITUTE(SUBSTITUTE("P:"&amp;A413,"~","~~"),"*","~*"),"?","~?"),Andamentos!$G$10:$G$2009,1)=0,"",_xlfn.AGGREGATE(14,6,Andamentos!$D$10:$D$2009/((Andamentos!$K$10:$K$2009=AS413)*(Andamentos!$G$10:$G$2009=1)),1)))</f>
        <v/>
      </c>
      <c r="AA413" s="14">
        <f>IF(Z413="",0,COUNTIFS(Andamentos!$K$10:$K$2009,"="&amp;SUBSTITUTE(SUBSTITUTE(SUBSTITUTE("P:"&amp;A413,"~","~~"),"*","~*"),"?","~?"),Andamentos!$D$10:$D$2009,Z413,Andamentos!$G$10:$G$2009,1))</f>
        <v>0</v>
      </c>
      <c r="AB413" s="14">
        <f>IF(AA413=1,SUMIFS(Andamentos!$L$10:$L$2009,Andamentos!$K$10:$K$2009,"="&amp;SUBSTITUTE(SUBSTITUTE(SUBSTITUTE(AS413,"~","~~"),"*","~*"),"?","~?"),Andamentos!$D$10:$D$2009,Z413,Andamentos!$G$10:$G$2009,1)-9,0)</f>
        <v>0</v>
      </c>
      <c r="AC413" s="14" t="str">
        <f>IF(V413=0,"",IF(AA413&gt;1,"Conferir recebimentos empatados",IF(AB413=0,"Sem atualização",INDEX(Andamentos!$C$10:$C$2009,AB413))))</f>
        <v/>
      </c>
      <c r="AD413" s="14">
        <f>IF(W413=0,0,IF(MAX(Z413,BD413)=0,1,IF(Configurar!$J$12-INT(MAX(Z413,BD413))&gt;Configurar!$J$11,1,0)))</f>
        <v>0</v>
      </c>
      <c r="AE413" s="16"/>
      <c r="AF413" s="14"/>
      <c r="AG413" s="14"/>
      <c r="AH413" s="14">
        <f>IF(AND(V413=1,COUNTIFS(Valores!$S$10:$S$509,"="&amp;SUBSTITUTE(SUBSTITUTE(SUBSTITUTE("P:"&amp;A413,"~","~~"),"*","~*"),"?","~?"))=1),(IF(ISNA(MATCH(SUBSTITUTE(SUBSTITUTE(SUBSTITUTE("P:"&amp;A413,"~","~~"),"*","~*"),"?","~?"),Valores!$S$10:$S$509,0)),9,INDEX(Valores!$R$10:$R$509,MATCH(SUBSTITUTE(SUBSTITUTE(SUBSTITUTE("P:"&amp;A413,"~","~~"),"*","~*"),"?","~?"),Valores!$S$10:$S$509,0)))-9),0)</f>
        <v>0</v>
      </c>
      <c r="AI413" s="40" t="str">
        <f t="shared" si="57"/>
        <v/>
      </c>
      <c r="AJ413" s="14" t="str">
        <f>IF(AND(X413=1,Y413=1),COUNTIFS($X$10:X413,1,$Y$10:Y413,1),"")</f>
        <v/>
      </c>
      <c r="AK413" s="14" t="str">
        <f>IF(X413=1,COUNTIFS($X$10:X413,1),"")</f>
        <v/>
      </c>
      <c r="AL413" s="14">
        <f>IF(AND(V413=1,AND(OR(Painel!$L$6="Todas",E413=Painel!$L$6),OR(Painel!$C$8="Todos",F413=Painel!$C$8),OR(Painel!$L$8="Todos",G413=Painel!$L$8),OR(Painel!$C$10="",ISNUMBER(SEARCH(SUBSTITUTE(SUBSTITUTE(SUBSTITUTE(Painel!$C$10,"~","~~"),"*","~*"),"?","~?"),A413&amp;" "&amp;H413&amp;" "&amp;I413))))),1,0)</f>
        <v>0</v>
      </c>
      <c r="AM413" s="14">
        <f t="shared" si="58"/>
        <v>0</v>
      </c>
      <c r="AN413" s="14"/>
      <c r="AO413" s="14"/>
      <c r="AP413" s="16" t="str">
        <f>IF(AB413=0,"",IF(INDEX(Andamentos!$B$10:$B$2009,AB413)="","",INDEX(Andamentos!$B$10:$B$2009,AB413)))</f>
        <v/>
      </c>
      <c r="AQ413" s="17" t="str">
        <f>IF(AH413=0,"",IF(INDEX(Valores!$B$10:$B$509,AH413)="","",IF(ISNUMBER(INDEX(Valores!$B$10:$B$509,AH413)),INDEX(Valores!$B$10:$B$509,AH413),"")))</f>
        <v/>
      </c>
      <c r="AR413" s="14" t="str">
        <f t="shared" si="59"/>
        <v/>
      </c>
      <c r="AS413" s="14" t="str">
        <f t="shared" si="60"/>
        <v/>
      </c>
      <c r="AT413" s="27"/>
      <c r="AU413" s="31"/>
      <c r="AV413" s="31"/>
      <c r="AW413" s="27"/>
      <c r="AX413" s="27"/>
      <c r="AY413" s="27"/>
      <c r="AZ413" s="27"/>
      <c r="BA413" s="30" t="str">
        <f t="shared" si="61"/>
        <v/>
      </c>
      <c r="BB413" s="30" t="str">
        <f t="shared" si="62"/>
        <v/>
      </c>
      <c r="BC413" s="30">
        <f>IF(X413=0,0,IF(COUNTIFS($X$10:X413,1,$BA$10:BA413,BA413)=1,1,0))</f>
        <v>0</v>
      </c>
      <c r="BD413" s="29"/>
    </row>
    <row r="414" spans="1:56" ht="42" customHeight="1">
      <c r="A414" s="41"/>
      <c r="B414" s="44"/>
      <c r="C414" s="44"/>
      <c r="D414" s="44"/>
      <c r="E414" s="44"/>
      <c r="F414" s="44"/>
      <c r="G414" s="44"/>
      <c r="H414" s="44"/>
      <c r="I414" s="44"/>
      <c r="J414" s="44"/>
      <c r="K414" s="44"/>
      <c r="L414" s="49"/>
      <c r="M414" s="48"/>
      <c r="N414" s="48"/>
      <c r="O414" s="48"/>
      <c r="P414" s="48"/>
      <c r="Q414" s="48"/>
      <c r="R414" s="48"/>
      <c r="S414" s="49"/>
      <c r="T414" s="48"/>
      <c r="U414" s="48"/>
      <c r="V414" s="14">
        <f t="shared" si="54"/>
        <v>0</v>
      </c>
      <c r="W414" s="14">
        <f t="shared" si="55"/>
        <v>0</v>
      </c>
      <c r="X414" s="14">
        <f>IF(AND(V414=1,OR(Painel!$C$6="Todos",D414=Painel!$C$6),AND(OR(Painel!$L$6="Todas",E414=Painel!$L$6),OR(Painel!$C$8="Todos",F414=Painel!$C$8),OR(Painel!$L$8="Todos",G414=Painel!$L$8),OR(Painel!$C$10="",ISNUMBER(SEARCH(SUBSTITUTE(SUBSTITUTE(SUBSTITUTE(Painel!$C$10,"~","~~"),"*","~*"),"?","~?"),A414&amp;" "&amp;H414&amp;" "&amp;I414))))),1,0)</f>
        <v>0</v>
      </c>
      <c r="Y414" s="14">
        <f t="shared" si="56"/>
        <v>0</v>
      </c>
      <c r="Z414" s="15" t="str">
        <f>IF(V414=0,"",IF(COUNTIFS(Andamentos!$K$10:$K$2009,"="&amp;SUBSTITUTE(SUBSTITUTE(SUBSTITUTE("P:"&amp;A414,"~","~~"),"*","~*"),"?","~?"),Andamentos!$G$10:$G$2009,1)=0,"",_xlfn.AGGREGATE(14,6,Andamentos!$D$10:$D$2009/((Andamentos!$K$10:$K$2009=AS414)*(Andamentos!$G$10:$G$2009=1)),1)))</f>
        <v/>
      </c>
      <c r="AA414" s="14">
        <f>IF(Z414="",0,COUNTIFS(Andamentos!$K$10:$K$2009,"="&amp;SUBSTITUTE(SUBSTITUTE(SUBSTITUTE("P:"&amp;A414,"~","~~"),"*","~*"),"?","~?"),Andamentos!$D$10:$D$2009,Z414,Andamentos!$G$10:$G$2009,1))</f>
        <v>0</v>
      </c>
      <c r="AB414" s="14">
        <f>IF(AA414=1,SUMIFS(Andamentos!$L$10:$L$2009,Andamentos!$K$10:$K$2009,"="&amp;SUBSTITUTE(SUBSTITUTE(SUBSTITUTE(AS414,"~","~~"),"*","~*"),"?","~?"),Andamentos!$D$10:$D$2009,Z414,Andamentos!$G$10:$G$2009,1)-9,0)</f>
        <v>0</v>
      </c>
      <c r="AC414" s="14" t="str">
        <f>IF(V414=0,"",IF(AA414&gt;1,"Conferir recebimentos empatados",IF(AB414=0,"Sem atualização",INDEX(Andamentos!$C$10:$C$2009,AB414))))</f>
        <v/>
      </c>
      <c r="AD414" s="14">
        <f>IF(W414=0,0,IF(MAX(Z414,BD414)=0,1,IF(Configurar!$J$12-INT(MAX(Z414,BD414))&gt;Configurar!$J$11,1,0)))</f>
        <v>0</v>
      </c>
      <c r="AE414" s="16"/>
      <c r="AF414" s="14"/>
      <c r="AG414" s="14"/>
      <c r="AH414" s="14">
        <f>IF(AND(V414=1,COUNTIFS(Valores!$S$10:$S$509,"="&amp;SUBSTITUTE(SUBSTITUTE(SUBSTITUTE("P:"&amp;A414,"~","~~"),"*","~*"),"?","~?"))=1),(IF(ISNA(MATCH(SUBSTITUTE(SUBSTITUTE(SUBSTITUTE("P:"&amp;A414,"~","~~"),"*","~*"),"?","~?"),Valores!$S$10:$S$509,0)),9,INDEX(Valores!$R$10:$R$509,MATCH(SUBSTITUTE(SUBSTITUTE(SUBSTITUTE("P:"&amp;A414,"~","~~"),"*","~*"),"?","~?"),Valores!$S$10:$S$509,0)))-9),0)</f>
        <v>0</v>
      </c>
      <c r="AI414" s="40" t="str">
        <f t="shared" si="57"/>
        <v/>
      </c>
      <c r="AJ414" s="14" t="str">
        <f>IF(AND(X414=1,Y414=1),COUNTIFS($X$10:X414,1,$Y$10:Y414,1),"")</f>
        <v/>
      </c>
      <c r="AK414" s="14" t="str">
        <f>IF(X414=1,COUNTIFS($X$10:X414,1),"")</f>
        <v/>
      </c>
      <c r="AL414" s="14">
        <f>IF(AND(V414=1,AND(OR(Painel!$L$6="Todas",E414=Painel!$L$6),OR(Painel!$C$8="Todos",F414=Painel!$C$8),OR(Painel!$L$8="Todos",G414=Painel!$L$8),OR(Painel!$C$10="",ISNUMBER(SEARCH(SUBSTITUTE(SUBSTITUTE(SUBSTITUTE(Painel!$C$10,"~","~~"),"*","~*"),"?","~?"),A414&amp;" "&amp;H414&amp;" "&amp;I414))))),1,0)</f>
        <v>0</v>
      </c>
      <c r="AM414" s="14">
        <f t="shared" si="58"/>
        <v>0</v>
      </c>
      <c r="AN414" s="14"/>
      <c r="AO414" s="14"/>
      <c r="AP414" s="16" t="str">
        <f>IF(AB414=0,"",IF(INDEX(Andamentos!$B$10:$B$2009,AB414)="","",INDEX(Andamentos!$B$10:$B$2009,AB414)))</f>
        <v/>
      </c>
      <c r="AQ414" s="17" t="str">
        <f>IF(AH414=0,"",IF(INDEX(Valores!$B$10:$B$509,AH414)="","",IF(ISNUMBER(INDEX(Valores!$B$10:$B$509,AH414)),INDEX(Valores!$B$10:$B$509,AH414),"")))</f>
        <v/>
      </c>
      <c r="AR414" s="14" t="str">
        <f t="shared" si="59"/>
        <v/>
      </c>
      <c r="AS414" s="14" t="str">
        <f t="shared" si="60"/>
        <v/>
      </c>
      <c r="AT414" s="27"/>
      <c r="AU414" s="31"/>
      <c r="AV414" s="31"/>
      <c r="AW414" s="27"/>
      <c r="AX414" s="27"/>
      <c r="AY414" s="27"/>
      <c r="AZ414" s="27"/>
      <c r="BA414" s="30" t="str">
        <f t="shared" si="61"/>
        <v/>
      </c>
      <c r="BB414" s="30" t="str">
        <f t="shared" si="62"/>
        <v/>
      </c>
      <c r="BC414" s="30">
        <f>IF(X414=0,0,IF(COUNTIFS($X$10:X414,1,$BA$10:BA414,BA414)=1,1,0))</f>
        <v>0</v>
      </c>
      <c r="BD414" s="29"/>
    </row>
    <row r="415" spans="1:56" ht="42" customHeight="1">
      <c r="A415" s="41"/>
      <c r="B415" s="44"/>
      <c r="C415" s="44"/>
      <c r="D415" s="44"/>
      <c r="E415" s="44"/>
      <c r="F415" s="44"/>
      <c r="G415" s="44"/>
      <c r="H415" s="44"/>
      <c r="I415" s="44"/>
      <c r="J415" s="44"/>
      <c r="K415" s="44"/>
      <c r="L415" s="49"/>
      <c r="M415" s="48"/>
      <c r="N415" s="48"/>
      <c r="O415" s="48"/>
      <c r="P415" s="48"/>
      <c r="Q415" s="48"/>
      <c r="R415" s="48"/>
      <c r="S415" s="49"/>
      <c r="T415" s="48"/>
      <c r="U415" s="48"/>
      <c r="V415" s="14">
        <f t="shared" si="54"/>
        <v>0</v>
      </c>
      <c r="W415" s="14">
        <f t="shared" si="55"/>
        <v>0</v>
      </c>
      <c r="X415" s="14">
        <f>IF(AND(V415=1,OR(Painel!$C$6="Todos",D415=Painel!$C$6),AND(OR(Painel!$L$6="Todas",E415=Painel!$L$6),OR(Painel!$C$8="Todos",F415=Painel!$C$8),OR(Painel!$L$8="Todos",G415=Painel!$L$8),OR(Painel!$C$10="",ISNUMBER(SEARCH(SUBSTITUTE(SUBSTITUTE(SUBSTITUTE(Painel!$C$10,"~","~~"),"*","~*"),"?","~?"),A415&amp;" "&amp;H415&amp;" "&amp;I415))))),1,0)</f>
        <v>0</v>
      </c>
      <c r="Y415" s="14">
        <f t="shared" si="56"/>
        <v>0</v>
      </c>
      <c r="Z415" s="15" t="str">
        <f>IF(V415=0,"",IF(COUNTIFS(Andamentos!$K$10:$K$2009,"="&amp;SUBSTITUTE(SUBSTITUTE(SUBSTITUTE("P:"&amp;A415,"~","~~"),"*","~*"),"?","~?"),Andamentos!$G$10:$G$2009,1)=0,"",_xlfn.AGGREGATE(14,6,Andamentos!$D$10:$D$2009/((Andamentos!$K$10:$K$2009=AS415)*(Andamentos!$G$10:$G$2009=1)),1)))</f>
        <v/>
      </c>
      <c r="AA415" s="14">
        <f>IF(Z415="",0,COUNTIFS(Andamentos!$K$10:$K$2009,"="&amp;SUBSTITUTE(SUBSTITUTE(SUBSTITUTE("P:"&amp;A415,"~","~~"),"*","~*"),"?","~?"),Andamentos!$D$10:$D$2009,Z415,Andamentos!$G$10:$G$2009,1))</f>
        <v>0</v>
      </c>
      <c r="AB415" s="14">
        <f>IF(AA415=1,SUMIFS(Andamentos!$L$10:$L$2009,Andamentos!$K$10:$K$2009,"="&amp;SUBSTITUTE(SUBSTITUTE(SUBSTITUTE(AS415,"~","~~"),"*","~*"),"?","~?"),Andamentos!$D$10:$D$2009,Z415,Andamentos!$G$10:$G$2009,1)-9,0)</f>
        <v>0</v>
      </c>
      <c r="AC415" s="14" t="str">
        <f>IF(V415=0,"",IF(AA415&gt;1,"Conferir recebimentos empatados",IF(AB415=0,"Sem atualização",INDEX(Andamentos!$C$10:$C$2009,AB415))))</f>
        <v/>
      </c>
      <c r="AD415" s="14">
        <f>IF(W415=0,0,IF(MAX(Z415,BD415)=0,1,IF(Configurar!$J$12-INT(MAX(Z415,BD415))&gt;Configurar!$J$11,1,0)))</f>
        <v>0</v>
      </c>
      <c r="AE415" s="16"/>
      <c r="AF415" s="14"/>
      <c r="AG415" s="14"/>
      <c r="AH415" s="14">
        <f>IF(AND(V415=1,COUNTIFS(Valores!$S$10:$S$509,"="&amp;SUBSTITUTE(SUBSTITUTE(SUBSTITUTE("P:"&amp;A415,"~","~~"),"*","~*"),"?","~?"))=1),(IF(ISNA(MATCH(SUBSTITUTE(SUBSTITUTE(SUBSTITUTE("P:"&amp;A415,"~","~~"),"*","~*"),"?","~?"),Valores!$S$10:$S$509,0)),9,INDEX(Valores!$R$10:$R$509,MATCH(SUBSTITUTE(SUBSTITUTE(SUBSTITUTE("P:"&amp;A415,"~","~~"),"*","~*"),"?","~?"),Valores!$S$10:$S$509,0)))-9),0)</f>
        <v>0</v>
      </c>
      <c r="AI415" s="40" t="str">
        <f t="shared" si="57"/>
        <v/>
      </c>
      <c r="AJ415" s="14" t="str">
        <f>IF(AND(X415=1,Y415=1),COUNTIFS($X$10:X415,1,$Y$10:Y415,1),"")</f>
        <v/>
      </c>
      <c r="AK415" s="14" t="str">
        <f>IF(X415=1,COUNTIFS($X$10:X415,1),"")</f>
        <v/>
      </c>
      <c r="AL415" s="14">
        <f>IF(AND(V415=1,AND(OR(Painel!$L$6="Todas",E415=Painel!$L$6),OR(Painel!$C$8="Todos",F415=Painel!$C$8),OR(Painel!$L$8="Todos",G415=Painel!$L$8),OR(Painel!$C$10="",ISNUMBER(SEARCH(SUBSTITUTE(SUBSTITUTE(SUBSTITUTE(Painel!$C$10,"~","~~"),"*","~*"),"?","~?"),A415&amp;" "&amp;H415&amp;" "&amp;I415))))),1,0)</f>
        <v>0</v>
      </c>
      <c r="AM415" s="14">
        <f t="shared" si="58"/>
        <v>0</v>
      </c>
      <c r="AN415" s="14"/>
      <c r="AO415" s="14"/>
      <c r="AP415" s="16" t="str">
        <f>IF(AB415=0,"",IF(INDEX(Andamentos!$B$10:$B$2009,AB415)="","",INDEX(Andamentos!$B$10:$B$2009,AB415)))</f>
        <v/>
      </c>
      <c r="AQ415" s="17" t="str">
        <f>IF(AH415=0,"",IF(INDEX(Valores!$B$10:$B$509,AH415)="","",IF(ISNUMBER(INDEX(Valores!$B$10:$B$509,AH415)),INDEX(Valores!$B$10:$B$509,AH415),"")))</f>
        <v/>
      </c>
      <c r="AR415" s="14" t="str">
        <f t="shared" si="59"/>
        <v/>
      </c>
      <c r="AS415" s="14" t="str">
        <f t="shared" si="60"/>
        <v/>
      </c>
      <c r="AT415" s="27"/>
      <c r="AU415" s="31"/>
      <c r="AV415" s="31"/>
      <c r="AW415" s="27"/>
      <c r="AX415" s="27"/>
      <c r="AY415" s="27"/>
      <c r="AZ415" s="27"/>
      <c r="BA415" s="30" t="str">
        <f t="shared" si="61"/>
        <v/>
      </c>
      <c r="BB415" s="30" t="str">
        <f t="shared" si="62"/>
        <v/>
      </c>
      <c r="BC415" s="30">
        <f>IF(X415=0,0,IF(COUNTIFS($X$10:X415,1,$BA$10:BA415,BA415)=1,1,0))</f>
        <v>0</v>
      </c>
      <c r="BD415" s="29"/>
    </row>
    <row r="416" spans="1:56" ht="42" customHeight="1">
      <c r="A416" s="41"/>
      <c r="B416" s="44"/>
      <c r="C416" s="44"/>
      <c r="D416" s="44"/>
      <c r="E416" s="44"/>
      <c r="F416" s="44"/>
      <c r="G416" s="44"/>
      <c r="H416" s="44"/>
      <c r="I416" s="44"/>
      <c r="J416" s="44"/>
      <c r="K416" s="44"/>
      <c r="L416" s="49"/>
      <c r="M416" s="48"/>
      <c r="N416" s="48"/>
      <c r="O416" s="48"/>
      <c r="P416" s="48"/>
      <c r="Q416" s="48"/>
      <c r="R416" s="48"/>
      <c r="S416" s="49"/>
      <c r="T416" s="48"/>
      <c r="U416" s="48"/>
      <c r="V416" s="14">
        <f t="shared" si="54"/>
        <v>0</v>
      </c>
      <c r="W416" s="14">
        <f t="shared" si="55"/>
        <v>0</v>
      </c>
      <c r="X416" s="14">
        <f>IF(AND(V416=1,OR(Painel!$C$6="Todos",D416=Painel!$C$6),AND(OR(Painel!$L$6="Todas",E416=Painel!$L$6),OR(Painel!$C$8="Todos",F416=Painel!$C$8),OR(Painel!$L$8="Todos",G416=Painel!$L$8),OR(Painel!$C$10="",ISNUMBER(SEARCH(SUBSTITUTE(SUBSTITUTE(SUBSTITUTE(Painel!$C$10,"~","~~"),"*","~*"),"?","~?"),A416&amp;" "&amp;H416&amp;" "&amp;I416))))),1,0)</f>
        <v>0</v>
      </c>
      <c r="Y416" s="14">
        <f t="shared" si="56"/>
        <v>0</v>
      </c>
      <c r="Z416" s="15" t="str">
        <f>IF(V416=0,"",IF(COUNTIFS(Andamentos!$K$10:$K$2009,"="&amp;SUBSTITUTE(SUBSTITUTE(SUBSTITUTE("P:"&amp;A416,"~","~~"),"*","~*"),"?","~?"),Andamentos!$G$10:$G$2009,1)=0,"",_xlfn.AGGREGATE(14,6,Andamentos!$D$10:$D$2009/((Andamentos!$K$10:$K$2009=AS416)*(Andamentos!$G$10:$G$2009=1)),1)))</f>
        <v/>
      </c>
      <c r="AA416" s="14">
        <f>IF(Z416="",0,COUNTIFS(Andamentos!$K$10:$K$2009,"="&amp;SUBSTITUTE(SUBSTITUTE(SUBSTITUTE("P:"&amp;A416,"~","~~"),"*","~*"),"?","~?"),Andamentos!$D$10:$D$2009,Z416,Andamentos!$G$10:$G$2009,1))</f>
        <v>0</v>
      </c>
      <c r="AB416" s="14">
        <f>IF(AA416=1,SUMIFS(Andamentos!$L$10:$L$2009,Andamentos!$K$10:$K$2009,"="&amp;SUBSTITUTE(SUBSTITUTE(SUBSTITUTE(AS416,"~","~~"),"*","~*"),"?","~?"),Andamentos!$D$10:$D$2009,Z416,Andamentos!$G$10:$G$2009,1)-9,0)</f>
        <v>0</v>
      </c>
      <c r="AC416" s="14" t="str">
        <f>IF(V416=0,"",IF(AA416&gt;1,"Conferir recebimentos empatados",IF(AB416=0,"Sem atualização",INDEX(Andamentos!$C$10:$C$2009,AB416))))</f>
        <v/>
      </c>
      <c r="AD416" s="14">
        <f>IF(W416=0,0,IF(MAX(Z416,BD416)=0,1,IF(Configurar!$J$12-INT(MAX(Z416,BD416))&gt;Configurar!$J$11,1,0)))</f>
        <v>0</v>
      </c>
      <c r="AE416" s="16"/>
      <c r="AF416" s="14"/>
      <c r="AG416" s="14"/>
      <c r="AH416" s="14">
        <f>IF(AND(V416=1,COUNTIFS(Valores!$S$10:$S$509,"="&amp;SUBSTITUTE(SUBSTITUTE(SUBSTITUTE("P:"&amp;A416,"~","~~"),"*","~*"),"?","~?"))=1),(IF(ISNA(MATCH(SUBSTITUTE(SUBSTITUTE(SUBSTITUTE("P:"&amp;A416,"~","~~"),"*","~*"),"?","~?"),Valores!$S$10:$S$509,0)),9,INDEX(Valores!$R$10:$R$509,MATCH(SUBSTITUTE(SUBSTITUTE(SUBSTITUTE("P:"&amp;A416,"~","~~"),"*","~*"),"?","~?"),Valores!$S$10:$S$509,0)))-9),0)</f>
        <v>0</v>
      </c>
      <c r="AI416" s="40" t="str">
        <f t="shared" si="57"/>
        <v/>
      </c>
      <c r="AJ416" s="14" t="str">
        <f>IF(AND(X416=1,Y416=1),COUNTIFS($X$10:X416,1,$Y$10:Y416,1),"")</f>
        <v/>
      </c>
      <c r="AK416" s="14" t="str">
        <f>IF(X416=1,COUNTIFS($X$10:X416,1),"")</f>
        <v/>
      </c>
      <c r="AL416" s="14">
        <f>IF(AND(V416=1,AND(OR(Painel!$L$6="Todas",E416=Painel!$L$6),OR(Painel!$C$8="Todos",F416=Painel!$C$8),OR(Painel!$L$8="Todos",G416=Painel!$L$8),OR(Painel!$C$10="",ISNUMBER(SEARCH(SUBSTITUTE(SUBSTITUTE(SUBSTITUTE(Painel!$C$10,"~","~~"),"*","~*"),"?","~?"),A416&amp;" "&amp;H416&amp;" "&amp;I416))))),1,0)</f>
        <v>0</v>
      </c>
      <c r="AM416" s="14">
        <f t="shared" si="58"/>
        <v>0</v>
      </c>
      <c r="AN416" s="14"/>
      <c r="AO416" s="14"/>
      <c r="AP416" s="16" t="str">
        <f>IF(AB416=0,"",IF(INDEX(Andamentos!$B$10:$B$2009,AB416)="","",INDEX(Andamentos!$B$10:$B$2009,AB416)))</f>
        <v/>
      </c>
      <c r="AQ416" s="17" t="str">
        <f>IF(AH416=0,"",IF(INDEX(Valores!$B$10:$B$509,AH416)="","",IF(ISNUMBER(INDEX(Valores!$B$10:$B$509,AH416)),INDEX(Valores!$B$10:$B$509,AH416),"")))</f>
        <v/>
      </c>
      <c r="AR416" s="14" t="str">
        <f t="shared" si="59"/>
        <v/>
      </c>
      <c r="AS416" s="14" t="str">
        <f t="shared" si="60"/>
        <v/>
      </c>
      <c r="AT416" s="27"/>
      <c r="AU416" s="31"/>
      <c r="AV416" s="31"/>
      <c r="AW416" s="27"/>
      <c r="AX416" s="27"/>
      <c r="AY416" s="27"/>
      <c r="AZ416" s="27"/>
      <c r="BA416" s="30" t="str">
        <f t="shared" si="61"/>
        <v/>
      </c>
      <c r="BB416" s="30" t="str">
        <f t="shared" si="62"/>
        <v/>
      </c>
      <c r="BC416" s="30">
        <f>IF(X416=0,0,IF(COUNTIFS($X$10:X416,1,$BA$10:BA416,BA416)=1,1,0))</f>
        <v>0</v>
      </c>
      <c r="BD416" s="29"/>
    </row>
    <row r="417" spans="1:56" ht="42" customHeight="1">
      <c r="A417" s="41"/>
      <c r="B417" s="44"/>
      <c r="C417" s="44"/>
      <c r="D417" s="44"/>
      <c r="E417" s="44"/>
      <c r="F417" s="44"/>
      <c r="G417" s="44"/>
      <c r="H417" s="44"/>
      <c r="I417" s="44"/>
      <c r="J417" s="44"/>
      <c r="K417" s="44"/>
      <c r="L417" s="49"/>
      <c r="M417" s="48"/>
      <c r="N417" s="48"/>
      <c r="O417" s="48"/>
      <c r="P417" s="48"/>
      <c r="Q417" s="48"/>
      <c r="R417" s="48"/>
      <c r="S417" s="49"/>
      <c r="T417" s="48"/>
      <c r="U417" s="48"/>
      <c r="V417" s="14">
        <f t="shared" si="54"/>
        <v>0</v>
      </c>
      <c r="W417" s="14">
        <f t="shared" si="55"/>
        <v>0</v>
      </c>
      <c r="X417" s="14">
        <f>IF(AND(V417=1,OR(Painel!$C$6="Todos",D417=Painel!$C$6),AND(OR(Painel!$L$6="Todas",E417=Painel!$L$6),OR(Painel!$C$8="Todos",F417=Painel!$C$8),OR(Painel!$L$8="Todos",G417=Painel!$L$8),OR(Painel!$C$10="",ISNUMBER(SEARCH(SUBSTITUTE(SUBSTITUTE(SUBSTITUTE(Painel!$C$10,"~","~~"),"*","~*"),"?","~?"),A417&amp;" "&amp;H417&amp;" "&amp;I417))))),1,0)</f>
        <v>0</v>
      </c>
      <c r="Y417" s="14">
        <f t="shared" si="56"/>
        <v>0</v>
      </c>
      <c r="Z417" s="15" t="str">
        <f>IF(V417=0,"",IF(COUNTIFS(Andamentos!$K$10:$K$2009,"="&amp;SUBSTITUTE(SUBSTITUTE(SUBSTITUTE("P:"&amp;A417,"~","~~"),"*","~*"),"?","~?"),Andamentos!$G$10:$G$2009,1)=0,"",_xlfn.AGGREGATE(14,6,Andamentos!$D$10:$D$2009/((Andamentos!$K$10:$K$2009=AS417)*(Andamentos!$G$10:$G$2009=1)),1)))</f>
        <v/>
      </c>
      <c r="AA417" s="14">
        <f>IF(Z417="",0,COUNTIFS(Andamentos!$K$10:$K$2009,"="&amp;SUBSTITUTE(SUBSTITUTE(SUBSTITUTE("P:"&amp;A417,"~","~~"),"*","~*"),"?","~?"),Andamentos!$D$10:$D$2009,Z417,Andamentos!$G$10:$G$2009,1))</f>
        <v>0</v>
      </c>
      <c r="AB417" s="14">
        <f>IF(AA417=1,SUMIFS(Andamentos!$L$10:$L$2009,Andamentos!$K$10:$K$2009,"="&amp;SUBSTITUTE(SUBSTITUTE(SUBSTITUTE(AS417,"~","~~"),"*","~*"),"?","~?"),Andamentos!$D$10:$D$2009,Z417,Andamentos!$G$10:$G$2009,1)-9,0)</f>
        <v>0</v>
      </c>
      <c r="AC417" s="14" t="str">
        <f>IF(V417=0,"",IF(AA417&gt;1,"Conferir recebimentos empatados",IF(AB417=0,"Sem atualização",INDEX(Andamentos!$C$10:$C$2009,AB417))))</f>
        <v/>
      </c>
      <c r="AD417" s="14">
        <f>IF(W417=0,0,IF(MAX(Z417,BD417)=0,1,IF(Configurar!$J$12-INT(MAX(Z417,BD417))&gt;Configurar!$J$11,1,0)))</f>
        <v>0</v>
      </c>
      <c r="AE417" s="16"/>
      <c r="AF417" s="14"/>
      <c r="AG417" s="14"/>
      <c r="AH417" s="14">
        <f>IF(AND(V417=1,COUNTIFS(Valores!$S$10:$S$509,"="&amp;SUBSTITUTE(SUBSTITUTE(SUBSTITUTE("P:"&amp;A417,"~","~~"),"*","~*"),"?","~?"))=1),(IF(ISNA(MATCH(SUBSTITUTE(SUBSTITUTE(SUBSTITUTE("P:"&amp;A417,"~","~~"),"*","~*"),"?","~?"),Valores!$S$10:$S$509,0)),9,INDEX(Valores!$R$10:$R$509,MATCH(SUBSTITUTE(SUBSTITUTE(SUBSTITUTE("P:"&amp;A417,"~","~~"),"*","~*"),"?","~?"),Valores!$S$10:$S$509,0)))-9),0)</f>
        <v>0</v>
      </c>
      <c r="AI417" s="40" t="str">
        <f t="shared" si="57"/>
        <v/>
      </c>
      <c r="AJ417" s="14" t="str">
        <f>IF(AND(X417=1,Y417=1),COUNTIFS($X$10:X417,1,$Y$10:Y417,1),"")</f>
        <v/>
      </c>
      <c r="AK417" s="14" t="str">
        <f>IF(X417=1,COUNTIFS($X$10:X417,1),"")</f>
        <v/>
      </c>
      <c r="AL417" s="14">
        <f>IF(AND(V417=1,AND(OR(Painel!$L$6="Todas",E417=Painel!$L$6),OR(Painel!$C$8="Todos",F417=Painel!$C$8),OR(Painel!$L$8="Todos",G417=Painel!$L$8),OR(Painel!$C$10="",ISNUMBER(SEARCH(SUBSTITUTE(SUBSTITUTE(SUBSTITUTE(Painel!$C$10,"~","~~"),"*","~*"),"?","~?"),A417&amp;" "&amp;H417&amp;" "&amp;I417))))),1,0)</f>
        <v>0</v>
      </c>
      <c r="AM417" s="14">
        <f t="shared" si="58"/>
        <v>0</v>
      </c>
      <c r="AN417" s="14"/>
      <c r="AO417" s="14"/>
      <c r="AP417" s="16" t="str">
        <f>IF(AB417=0,"",IF(INDEX(Andamentos!$B$10:$B$2009,AB417)="","",INDEX(Andamentos!$B$10:$B$2009,AB417)))</f>
        <v/>
      </c>
      <c r="AQ417" s="17" t="str">
        <f>IF(AH417=0,"",IF(INDEX(Valores!$B$10:$B$509,AH417)="","",IF(ISNUMBER(INDEX(Valores!$B$10:$B$509,AH417)),INDEX(Valores!$B$10:$B$509,AH417),"")))</f>
        <v/>
      </c>
      <c r="AR417" s="14" t="str">
        <f t="shared" si="59"/>
        <v/>
      </c>
      <c r="AS417" s="14" t="str">
        <f t="shared" si="60"/>
        <v/>
      </c>
      <c r="AT417" s="27"/>
      <c r="AU417" s="31"/>
      <c r="AV417" s="31"/>
      <c r="AW417" s="27"/>
      <c r="AX417" s="27"/>
      <c r="AY417" s="27"/>
      <c r="AZ417" s="27"/>
      <c r="BA417" s="30" t="str">
        <f t="shared" si="61"/>
        <v/>
      </c>
      <c r="BB417" s="30" t="str">
        <f t="shared" si="62"/>
        <v/>
      </c>
      <c r="BC417" s="30">
        <f>IF(X417=0,0,IF(COUNTIFS($X$10:X417,1,$BA$10:BA417,BA417)=1,1,0))</f>
        <v>0</v>
      </c>
      <c r="BD417" s="29"/>
    </row>
    <row r="418" spans="1:56" ht="42" customHeight="1">
      <c r="A418" s="41"/>
      <c r="B418" s="44"/>
      <c r="C418" s="44"/>
      <c r="D418" s="44"/>
      <c r="E418" s="44"/>
      <c r="F418" s="44"/>
      <c r="G418" s="44"/>
      <c r="H418" s="44"/>
      <c r="I418" s="44"/>
      <c r="J418" s="44"/>
      <c r="K418" s="44"/>
      <c r="L418" s="49"/>
      <c r="M418" s="48"/>
      <c r="N418" s="48"/>
      <c r="O418" s="48"/>
      <c r="P418" s="48"/>
      <c r="Q418" s="48"/>
      <c r="R418" s="48"/>
      <c r="S418" s="49"/>
      <c r="T418" s="48"/>
      <c r="U418" s="48"/>
      <c r="V418" s="14">
        <f t="shared" si="54"/>
        <v>0</v>
      </c>
      <c r="W418" s="14">
        <f t="shared" si="55"/>
        <v>0</v>
      </c>
      <c r="X418" s="14">
        <f>IF(AND(V418=1,OR(Painel!$C$6="Todos",D418=Painel!$C$6),AND(OR(Painel!$L$6="Todas",E418=Painel!$L$6),OR(Painel!$C$8="Todos",F418=Painel!$C$8),OR(Painel!$L$8="Todos",G418=Painel!$L$8),OR(Painel!$C$10="",ISNUMBER(SEARCH(SUBSTITUTE(SUBSTITUTE(SUBSTITUTE(Painel!$C$10,"~","~~"),"*","~*"),"?","~?"),A418&amp;" "&amp;H418&amp;" "&amp;I418))))),1,0)</f>
        <v>0</v>
      </c>
      <c r="Y418" s="14">
        <f t="shared" si="56"/>
        <v>0</v>
      </c>
      <c r="Z418" s="15" t="str">
        <f>IF(V418=0,"",IF(COUNTIFS(Andamentos!$K$10:$K$2009,"="&amp;SUBSTITUTE(SUBSTITUTE(SUBSTITUTE("P:"&amp;A418,"~","~~"),"*","~*"),"?","~?"),Andamentos!$G$10:$G$2009,1)=0,"",_xlfn.AGGREGATE(14,6,Andamentos!$D$10:$D$2009/((Andamentos!$K$10:$K$2009=AS418)*(Andamentos!$G$10:$G$2009=1)),1)))</f>
        <v/>
      </c>
      <c r="AA418" s="14">
        <f>IF(Z418="",0,COUNTIFS(Andamentos!$K$10:$K$2009,"="&amp;SUBSTITUTE(SUBSTITUTE(SUBSTITUTE("P:"&amp;A418,"~","~~"),"*","~*"),"?","~?"),Andamentos!$D$10:$D$2009,Z418,Andamentos!$G$10:$G$2009,1))</f>
        <v>0</v>
      </c>
      <c r="AB418" s="14">
        <f>IF(AA418=1,SUMIFS(Andamentos!$L$10:$L$2009,Andamentos!$K$10:$K$2009,"="&amp;SUBSTITUTE(SUBSTITUTE(SUBSTITUTE(AS418,"~","~~"),"*","~*"),"?","~?"),Andamentos!$D$10:$D$2009,Z418,Andamentos!$G$10:$G$2009,1)-9,0)</f>
        <v>0</v>
      </c>
      <c r="AC418" s="14" t="str">
        <f>IF(V418=0,"",IF(AA418&gt;1,"Conferir recebimentos empatados",IF(AB418=0,"Sem atualização",INDEX(Andamentos!$C$10:$C$2009,AB418))))</f>
        <v/>
      </c>
      <c r="AD418" s="14">
        <f>IF(W418=0,0,IF(MAX(Z418,BD418)=0,1,IF(Configurar!$J$12-INT(MAX(Z418,BD418))&gt;Configurar!$J$11,1,0)))</f>
        <v>0</v>
      </c>
      <c r="AE418" s="16"/>
      <c r="AF418" s="14"/>
      <c r="AG418" s="14"/>
      <c r="AH418" s="14">
        <f>IF(AND(V418=1,COUNTIFS(Valores!$S$10:$S$509,"="&amp;SUBSTITUTE(SUBSTITUTE(SUBSTITUTE("P:"&amp;A418,"~","~~"),"*","~*"),"?","~?"))=1),(IF(ISNA(MATCH(SUBSTITUTE(SUBSTITUTE(SUBSTITUTE("P:"&amp;A418,"~","~~"),"*","~*"),"?","~?"),Valores!$S$10:$S$509,0)),9,INDEX(Valores!$R$10:$R$509,MATCH(SUBSTITUTE(SUBSTITUTE(SUBSTITUTE("P:"&amp;A418,"~","~~"),"*","~*"),"?","~?"),Valores!$S$10:$S$509,0)))-9),0)</f>
        <v>0</v>
      </c>
      <c r="AI418" s="40" t="str">
        <f t="shared" si="57"/>
        <v/>
      </c>
      <c r="AJ418" s="14" t="str">
        <f>IF(AND(X418=1,Y418=1),COUNTIFS($X$10:X418,1,$Y$10:Y418,1),"")</f>
        <v/>
      </c>
      <c r="AK418" s="14" t="str">
        <f>IF(X418=1,COUNTIFS($X$10:X418,1),"")</f>
        <v/>
      </c>
      <c r="AL418" s="14">
        <f>IF(AND(V418=1,AND(OR(Painel!$L$6="Todas",E418=Painel!$L$6),OR(Painel!$C$8="Todos",F418=Painel!$C$8),OR(Painel!$L$8="Todos",G418=Painel!$L$8),OR(Painel!$C$10="",ISNUMBER(SEARCH(SUBSTITUTE(SUBSTITUTE(SUBSTITUTE(Painel!$C$10,"~","~~"),"*","~*"),"?","~?"),A418&amp;" "&amp;H418&amp;" "&amp;I418))))),1,0)</f>
        <v>0</v>
      </c>
      <c r="AM418" s="14">
        <f t="shared" si="58"/>
        <v>0</v>
      </c>
      <c r="AN418" s="14"/>
      <c r="AO418" s="14"/>
      <c r="AP418" s="16" t="str">
        <f>IF(AB418=0,"",IF(INDEX(Andamentos!$B$10:$B$2009,AB418)="","",INDEX(Andamentos!$B$10:$B$2009,AB418)))</f>
        <v/>
      </c>
      <c r="AQ418" s="17" t="str">
        <f>IF(AH418=0,"",IF(INDEX(Valores!$B$10:$B$509,AH418)="","",IF(ISNUMBER(INDEX(Valores!$B$10:$B$509,AH418)),INDEX(Valores!$B$10:$B$509,AH418),"")))</f>
        <v/>
      </c>
      <c r="AR418" s="14" t="str">
        <f t="shared" si="59"/>
        <v/>
      </c>
      <c r="AS418" s="14" t="str">
        <f t="shared" si="60"/>
        <v/>
      </c>
      <c r="AT418" s="27"/>
      <c r="AU418" s="31"/>
      <c r="AV418" s="31"/>
      <c r="AW418" s="27"/>
      <c r="AX418" s="27"/>
      <c r="AY418" s="27"/>
      <c r="AZ418" s="27"/>
      <c r="BA418" s="30" t="str">
        <f t="shared" si="61"/>
        <v/>
      </c>
      <c r="BB418" s="30" t="str">
        <f t="shared" si="62"/>
        <v/>
      </c>
      <c r="BC418" s="30">
        <f>IF(X418=0,0,IF(COUNTIFS($X$10:X418,1,$BA$10:BA418,BA418)=1,1,0))</f>
        <v>0</v>
      </c>
      <c r="BD418" s="29"/>
    </row>
    <row r="419" spans="1:56" ht="42" customHeight="1">
      <c r="A419" s="41"/>
      <c r="B419" s="44"/>
      <c r="C419" s="44"/>
      <c r="D419" s="44"/>
      <c r="E419" s="44"/>
      <c r="F419" s="44"/>
      <c r="G419" s="44"/>
      <c r="H419" s="44"/>
      <c r="I419" s="44"/>
      <c r="J419" s="44"/>
      <c r="K419" s="44"/>
      <c r="L419" s="49"/>
      <c r="M419" s="48"/>
      <c r="N419" s="48"/>
      <c r="O419" s="48"/>
      <c r="P419" s="48"/>
      <c r="Q419" s="48"/>
      <c r="R419" s="48"/>
      <c r="S419" s="49"/>
      <c r="T419" s="48"/>
      <c r="U419" s="48"/>
      <c r="V419" s="14">
        <f t="shared" si="54"/>
        <v>0</v>
      </c>
      <c r="W419" s="14">
        <f t="shared" si="55"/>
        <v>0</v>
      </c>
      <c r="X419" s="14">
        <f>IF(AND(V419=1,OR(Painel!$C$6="Todos",D419=Painel!$C$6),AND(OR(Painel!$L$6="Todas",E419=Painel!$L$6),OR(Painel!$C$8="Todos",F419=Painel!$C$8),OR(Painel!$L$8="Todos",G419=Painel!$L$8),OR(Painel!$C$10="",ISNUMBER(SEARCH(SUBSTITUTE(SUBSTITUTE(SUBSTITUTE(Painel!$C$10,"~","~~"),"*","~*"),"?","~?"),A419&amp;" "&amp;H419&amp;" "&amp;I419))))),1,0)</f>
        <v>0</v>
      </c>
      <c r="Y419" s="14">
        <f t="shared" si="56"/>
        <v>0</v>
      </c>
      <c r="Z419" s="15" t="str">
        <f>IF(V419=0,"",IF(COUNTIFS(Andamentos!$K$10:$K$2009,"="&amp;SUBSTITUTE(SUBSTITUTE(SUBSTITUTE("P:"&amp;A419,"~","~~"),"*","~*"),"?","~?"),Andamentos!$G$10:$G$2009,1)=0,"",_xlfn.AGGREGATE(14,6,Andamentos!$D$10:$D$2009/((Andamentos!$K$10:$K$2009=AS419)*(Andamentos!$G$10:$G$2009=1)),1)))</f>
        <v/>
      </c>
      <c r="AA419" s="14">
        <f>IF(Z419="",0,COUNTIFS(Andamentos!$K$10:$K$2009,"="&amp;SUBSTITUTE(SUBSTITUTE(SUBSTITUTE("P:"&amp;A419,"~","~~"),"*","~*"),"?","~?"),Andamentos!$D$10:$D$2009,Z419,Andamentos!$G$10:$G$2009,1))</f>
        <v>0</v>
      </c>
      <c r="AB419" s="14">
        <f>IF(AA419=1,SUMIFS(Andamentos!$L$10:$L$2009,Andamentos!$K$10:$K$2009,"="&amp;SUBSTITUTE(SUBSTITUTE(SUBSTITUTE(AS419,"~","~~"),"*","~*"),"?","~?"),Andamentos!$D$10:$D$2009,Z419,Andamentos!$G$10:$G$2009,1)-9,0)</f>
        <v>0</v>
      </c>
      <c r="AC419" s="14" t="str">
        <f>IF(V419=0,"",IF(AA419&gt;1,"Conferir recebimentos empatados",IF(AB419=0,"Sem atualização",INDEX(Andamentos!$C$10:$C$2009,AB419))))</f>
        <v/>
      </c>
      <c r="AD419" s="14">
        <f>IF(W419=0,0,IF(MAX(Z419,BD419)=0,1,IF(Configurar!$J$12-INT(MAX(Z419,BD419))&gt;Configurar!$J$11,1,0)))</f>
        <v>0</v>
      </c>
      <c r="AE419" s="16"/>
      <c r="AF419" s="14"/>
      <c r="AG419" s="14"/>
      <c r="AH419" s="14">
        <f>IF(AND(V419=1,COUNTIFS(Valores!$S$10:$S$509,"="&amp;SUBSTITUTE(SUBSTITUTE(SUBSTITUTE("P:"&amp;A419,"~","~~"),"*","~*"),"?","~?"))=1),(IF(ISNA(MATCH(SUBSTITUTE(SUBSTITUTE(SUBSTITUTE("P:"&amp;A419,"~","~~"),"*","~*"),"?","~?"),Valores!$S$10:$S$509,0)),9,INDEX(Valores!$R$10:$R$509,MATCH(SUBSTITUTE(SUBSTITUTE(SUBSTITUTE("P:"&amp;A419,"~","~~"),"*","~*"),"?","~?"),Valores!$S$10:$S$509,0)))-9),0)</f>
        <v>0</v>
      </c>
      <c r="AI419" s="40" t="str">
        <f t="shared" si="57"/>
        <v/>
      </c>
      <c r="AJ419" s="14" t="str">
        <f>IF(AND(X419=1,Y419=1),COUNTIFS($X$10:X419,1,$Y$10:Y419,1),"")</f>
        <v/>
      </c>
      <c r="AK419" s="14" t="str">
        <f>IF(X419=1,COUNTIFS($X$10:X419,1),"")</f>
        <v/>
      </c>
      <c r="AL419" s="14">
        <f>IF(AND(V419=1,AND(OR(Painel!$L$6="Todas",E419=Painel!$L$6),OR(Painel!$C$8="Todos",F419=Painel!$C$8),OR(Painel!$L$8="Todos",G419=Painel!$L$8),OR(Painel!$C$10="",ISNUMBER(SEARCH(SUBSTITUTE(SUBSTITUTE(SUBSTITUTE(Painel!$C$10,"~","~~"),"*","~*"),"?","~?"),A419&amp;" "&amp;H419&amp;" "&amp;I419))))),1,0)</f>
        <v>0</v>
      </c>
      <c r="AM419" s="14">
        <f t="shared" si="58"/>
        <v>0</v>
      </c>
      <c r="AN419" s="14"/>
      <c r="AO419" s="14"/>
      <c r="AP419" s="16" t="str">
        <f>IF(AB419=0,"",IF(INDEX(Andamentos!$B$10:$B$2009,AB419)="","",INDEX(Andamentos!$B$10:$B$2009,AB419)))</f>
        <v/>
      </c>
      <c r="AQ419" s="17" t="str">
        <f>IF(AH419=0,"",IF(INDEX(Valores!$B$10:$B$509,AH419)="","",IF(ISNUMBER(INDEX(Valores!$B$10:$B$509,AH419)),INDEX(Valores!$B$10:$B$509,AH419),"")))</f>
        <v/>
      </c>
      <c r="AR419" s="14" t="str">
        <f t="shared" si="59"/>
        <v/>
      </c>
      <c r="AS419" s="14" t="str">
        <f t="shared" si="60"/>
        <v/>
      </c>
      <c r="AT419" s="27"/>
      <c r="AU419" s="31"/>
      <c r="AV419" s="31"/>
      <c r="AW419" s="27"/>
      <c r="AX419" s="27"/>
      <c r="AY419" s="27"/>
      <c r="AZ419" s="27"/>
      <c r="BA419" s="30" t="str">
        <f t="shared" si="61"/>
        <v/>
      </c>
      <c r="BB419" s="30" t="str">
        <f t="shared" si="62"/>
        <v/>
      </c>
      <c r="BC419" s="30">
        <f>IF(X419=0,0,IF(COUNTIFS($X$10:X419,1,$BA$10:BA419,BA419)=1,1,0))</f>
        <v>0</v>
      </c>
      <c r="BD419" s="29"/>
    </row>
    <row r="420" spans="1:56" ht="42" customHeight="1">
      <c r="A420" s="41"/>
      <c r="B420" s="44"/>
      <c r="C420" s="44"/>
      <c r="D420" s="44"/>
      <c r="E420" s="44"/>
      <c r="F420" s="44"/>
      <c r="G420" s="44"/>
      <c r="H420" s="44"/>
      <c r="I420" s="44"/>
      <c r="J420" s="44"/>
      <c r="K420" s="44"/>
      <c r="L420" s="49"/>
      <c r="M420" s="48"/>
      <c r="N420" s="48"/>
      <c r="O420" s="48"/>
      <c r="P420" s="48"/>
      <c r="Q420" s="48"/>
      <c r="R420" s="48"/>
      <c r="S420" s="49"/>
      <c r="T420" s="48"/>
      <c r="U420" s="48"/>
      <c r="V420" s="14">
        <f t="shared" si="54"/>
        <v>0</v>
      </c>
      <c r="W420" s="14">
        <f t="shared" si="55"/>
        <v>0</v>
      </c>
      <c r="X420" s="14">
        <f>IF(AND(V420=1,OR(Painel!$C$6="Todos",D420=Painel!$C$6),AND(OR(Painel!$L$6="Todas",E420=Painel!$L$6),OR(Painel!$C$8="Todos",F420=Painel!$C$8),OR(Painel!$L$8="Todos",G420=Painel!$L$8),OR(Painel!$C$10="",ISNUMBER(SEARCH(SUBSTITUTE(SUBSTITUTE(SUBSTITUTE(Painel!$C$10,"~","~~"),"*","~*"),"?","~?"),A420&amp;" "&amp;H420&amp;" "&amp;I420))))),1,0)</f>
        <v>0</v>
      </c>
      <c r="Y420" s="14">
        <f t="shared" si="56"/>
        <v>0</v>
      </c>
      <c r="Z420" s="15" t="str">
        <f>IF(V420=0,"",IF(COUNTIFS(Andamentos!$K$10:$K$2009,"="&amp;SUBSTITUTE(SUBSTITUTE(SUBSTITUTE("P:"&amp;A420,"~","~~"),"*","~*"),"?","~?"),Andamentos!$G$10:$G$2009,1)=0,"",_xlfn.AGGREGATE(14,6,Andamentos!$D$10:$D$2009/((Andamentos!$K$10:$K$2009=AS420)*(Andamentos!$G$10:$G$2009=1)),1)))</f>
        <v/>
      </c>
      <c r="AA420" s="14">
        <f>IF(Z420="",0,COUNTIFS(Andamentos!$K$10:$K$2009,"="&amp;SUBSTITUTE(SUBSTITUTE(SUBSTITUTE("P:"&amp;A420,"~","~~"),"*","~*"),"?","~?"),Andamentos!$D$10:$D$2009,Z420,Andamentos!$G$10:$G$2009,1))</f>
        <v>0</v>
      </c>
      <c r="AB420" s="14">
        <f>IF(AA420=1,SUMIFS(Andamentos!$L$10:$L$2009,Andamentos!$K$10:$K$2009,"="&amp;SUBSTITUTE(SUBSTITUTE(SUBSTITUTE(AS420,"~","~~"),"*","~*"),"?","~?"),Andamentos!$D$10:$D$2009,Z420,Andamentos!$G$10:$G$2009,1)-9,0)</f>
        <v>0</v>
      </c>
      <c r="AC420" s="14" t="str">
        <f>IF(V420=0,"",IF(AA420&gt;1,"Conferir recebimentos empatados",IF(AB420=0,"Sem atualização",INDEX(Andamentos!$C$10:$C$2009,AB420))))</f>
        <v/>
      </c>
      <c r="AD420" s="14">
        <f>IF(W420=0,0,IF(MAX(Z420,BD420)=0,1,IF(Configurar!$J$12-INT(MAX(Z420,BD420))&gt;Configurar!$J$11,1,0)))</f>
        <v>0</v>
      </c>
      <c r="AE420" s="16"/>
      <c r="AF420" s="14"/>
      <c r="AG420" s="14"/>
      <c r="AH420" s="14">
        <f>IF(AND(V420=1,COUNTIFS(Valores!$S$10:$S$509,"="&amp;SUBSTITUTE(SUBSTITUTE(SUBSTITUTE("P:"&amp;A420,"~","~~"),"*","~*"),"?","~?"))=1),(IF(ISNA(MATCH(SUBSTITUTE(SUBSTITUTE(SUBSTITUTE("P:"&amp;A420,"~","~~"),"*","~*"),"?","~?"),Valores!$S$10:$S$509,0)),9,INDEX(Valores!$R$10:$R$509,MATCH(SUBSTITUTE(SUBSTITUTE(SUBSTITUTE("P:"&amp;A420,"~","~~"),"*","~*"),"?","~?"),Valores!$S$10:$S$509,0)))-9),0)</f>
        <v>0</v>
      </c>
      <c r="AI420" s="40" t="str">
        <f t="shared" si="57"/>
        <v/>
      </c>
      <c r="AJ420" s="14" t="str">
        <f>IF(AND(X420=1,Y420=1),COUNTIFS($X$10:X420,1,$Y$10:Y420,1),"")</f>
        <v/>
      </c>
      <c r="AK420" s="14" t="str">
        <f>IF(X420=1,COUNTIFS($X$10:X420,1),"")</f>
        <v/>
      </c>
      <c r="AL420" s="14">
        <f>IF(AND(V420=1,AND(OR(Painel!$L$6="Todas",E420=Painel!$L$6),OR(Painel!$C$8="Todos",F420=Painel!$C$8),OR(Painel!$L$8="Todos",G420=Painel!$L$8),OR(Painel!$C$10="",ISNUMBER(SEARCH(SUBSTITUTE(SUBSTITUTE(SUBSTITUTE(Painel!$C$10,"~","~~"),"*","~*"),"?","~?"),A420&amp;" "&amp;H420&amp;" "&amp;I420))))),1,0)</f>
        <v>0</v>
      </c>
      <c r="AM420" s="14">
        <f t="shared" si="58"/>
        <v>0</v>
      </c>
      <c r="AN420" s="14"/>
      <c r="AO420" s="14"/>
      <c r="AP420" s="16" t="str">
        <f>IF(AB420=0,"",IF(INDEX(Andamentos!$B$10:$B$2009,AB420)="","",INDEX(Andamentos!$B$10:$B$2009,AB420)))</f>
        <v/>
      </c>
      <c r="AQ420" s="17" t="str">
        <f>IF(AH420=0,"",IF(INDEX(Valores!$B$10:$B$509,AH420)="","",IF(ISNUMBER(INDEX(Valores!$B$10:$B$509,AH420)),INDEX(Valores!$B$10:$B$509,AH420),"")))</f>
        <v/>
      </c>
      <c r="AR420" s="14" t="str">
        <f t="shared" si="59"/>
        <v/>
      </c>
      <c r="AS420" s="14" t="str">
        <f t="shared" si="60"/>
        <v/>
      </c>
      <c r="AT420" s="27"/>
      <c r="AU420" s="31"/>
      <c r="AV420" s="31"/>
      <c r="AW420" s="27"/>
      <c r="AX420" s="27"/>
      <c r="AY420" s="27"/>
      <c r="AZ420" s="27"/>
      <c r="BA420" s="30" t="str">
        <f t="shared" si="61"/>
        <v/>
      </c>
      <c r="BB420" s="30" t="str">
        <f t="shared" si="62"/>
        <v/>
      </c>
      <c r="BC420" s="30">
        <f>IF(X420=0,0,IF(COUNTIFS($X$10:X420,1,$BA$10:BA420,BA420)=1,1,0))</f>
        <v>0</v>
      </c>
      <c r="BD420" s="29"/>
    </row>
    <row r="421" spans="1:56" ht="42" customHeight="1">
      <c r="A421" s="41"/>
      <c r="B421" s="44"/>
      <c r="C421" s="44"/>
      <c r="D421" s="44"/>
      <c r="E421" s="44"/>
      <c r="F421" s="44"/>
      <c r="G421" s="44"/>
      <c r="H421" s="44"/>
      <c r="I421" s="44"/>
      <c r="J421" s="44"/>
      <c r="K421" s="44"/>
      <c r="L421" s="49"/>
      <c r="M421" s="48"/>
      <c r="N421" s="48"/>
      <c r="O421" s="48"/>
      <c r="P421" s="48"/>
      <c r="Q421" s="48"/>
      <c r="R421" s="48"/>
      <c r="S421" s="49"/>
      <c r="T421" s="48"/>
      <c r="U421" s="48"/>
      <c r="V421" s="14">
        <f t="shared" si="54"/>
        <v>0</v>
      </c>
      <c r="W421" s="14">
        <f t="shared" si="55"/>
        <v>0</v>
      </c>
      <c r="X421" s="14">
        <f>IF(AND(V421=1,OR(Painel!$C$6="Todos",D421=Painel!$C$6),AND(OR(Painel!$L$6="Todas",E421=Painel!$L$6),OR(Painel!$C$8="Todos",F421=Painel!$C$8),OR(Painel!$L$8="Todos",G421=Painel!$L$8),OR(Painel!$C$10="",ISNUMBER(SEARCH(SUBSTITUTE(SUBSTITUTE(SUBSTITUTE(Painel!$C$10,"~","~~"),"*","~*"),"?","~?"),A421&amp;" "&amp;H421&amp;" "&amp;I421))))),1,0)</f>
        <v>0</v>
      </c>
      <c r="Y421" s="14">
        <f t="shared" si="56"/>
        <v>0</v>
      </c>
      <c r="Z421" s="15" t="str">
        <f>IF(V421=0,"",IF(COUNTIFS(Andamentos!$K$10:$K$2009,"="&amp;SUBSTITUTE(SUBSTITUTE(SUBSTITUTE("P:"&amp;A421,"~","~~"),"*","~*"),"?","~?"),Andamentos!$G$10:$G$2009,1)=0,"",_xlfn.AGGREGATE(14,6,Andamentos!$D$10:$D$2009/((Andamentos!$K$10:$K$2009=AS421)*(Andamentos!$G$10:$G$2009=1)),1)))</f>
        <v/>
      </c>
      <c r="AA421" s="14">
        <f>IF(Z421="",0,COUNTIFS(Andamentos!$K$10:$K$2009,"="&amp;SUBSTITUTE(SUBSTITUTE(SUBSTITUTE("P:"&amp;A421,"~","~~"),"*","~*"),"?","~?"),Andamentos!$D$10:$D$2009,Z421,Andamentos!$G$10:$G$2009,1))</f>
        <v>0</v>
      </c>
      <c r="AB421" s="14">
        <f>IF(AA421=1,SUMIFS(Andamentos!$L$10:$L$2009,Andamentos!$K$10:$K$2009,"="&amp;SUBSTITUTE(SUBSTITUTE(SUBSTITUTE(AS421,"~","~~"),"*","~*"),"?","~?"),Andamentos!$D$10:$D$2009,Z421,Andamentos!$G$10:$G$2009,1)-9,0)</f>
        <v>0</v>
      </c>
      <c r="AC421" s="14" t="str">
        <f>IF(V421=0,"",IF(AA421&gt;1,"Conferir recebimentos empatados",IF(AB421=0,"Sem atualização",INDEX(Andamentos!$C$10:$C$2009,AB421))))</f>
        <v/>
      </c>
      <c r="AD421" s="14">
        <f>IF(W421=0,0,IF(MAX(Z421,BD421)=0,1,IF(Configurar!$J$12-INT(MAX(Z421,BD421))&gt;Configurar!$J$11,1,0)))</f>
        <v>0</v>
      </c>
      <c r="AE421" s="16"/>
      <c r="AF421" s="14"/>
      <c r="AG421" s="14"/>
      <c r="AH421" s="14">
        <f>IF(AND(V421=1,COUNTIFS(Valores!$S$10:$S$509,"="&amp;SUBSTITUTE(SUBSTITUTE(SUBSTITUTE("P:"&amp;A421,"~","~~"),"*","~*"),"?","~?"))=1),(IF(ISNA(MATCH(SUBSTITUTE(SUBSTITUTE(SUBSTITUTE("P:"&amp;A421,"~","~~"),"*","~*"),"?","~?"),Valores!$S$10:$S$509,0)),9,INDEX(Valores!$R$10:$R$509,MATCH(SUBSTITUTE(SUBSTITUTE(SUBSTITUTE("P:"&amp;A421,"~","~~"),"*","~*"),"?","~?"),Valores!$S$10:$S$509,0)))-9),0)</f>
        <v>0</v>
      </c>
      <c r="AI421" s="40" t="str">
        <f t="shared" si="57"/>
        <v/>
      </c>
      <c r="AJ421" s="14" t="str">
        <f>IF(AND(X421=1,Y421=1),COUNTIFS($X$10:X421,1,$Y$10:Y421,1),"")</f>
        <v/>
      </c>
      <c r="AK421" s="14" t="str">
        <f>IF(X421=1,COUNTIFS($X$10:X421,1),"")</f>
        <v/>
      </c>
      <c r="AL421" s="14">
        <f>IF(AND(V421=1,AND(OR(Painel!$L$6="Todas",E421=Painel!$L$6),OR(Painel!$C$8="Todos",F421=Painel!$C$8),OR(Painel!$L$8="Todos",G421=Painel!$L$8),OR(Painel!$C$10="",ISNUMBER(SEARCH(SUBSTITUTE(SUBSTITUTE(SUBSTITUTE(Painel!$C$10,"~","~~"),"*","~*"),"?","~?"),A421&amp;" "&amp;H421&amp;" "&amp;I421))))),1,0)</f>
        <v>0</v>
      </c>
      <c r="AM421" s="14">
        <f t="shared" si="58"/>
        <v>0</v>
      </c>
      <c r="AN421" s="14"/>
      <c r="AO421" s="14"/>
      <c r="AP421" s="16" t="str">
        <f>IF(AB421=0,"",IF(INDEX(Andamentos!$B$10:$B$2009,AB421)="","",INDEX(Andamentos!$B$10:$B$2009,AB421)))</f>
        <v/>
      </c>
      <c r="AQ421" s="17" t="str">
        <f>IF(AH421=0,"",IF(INDEX(Valores!$B$10:$B$509,AH421)="","",IF(ISNUMBER(INDEX(Valores!$B$10:$B$509,AH421)),INDEX(Valores!$B$10:$B$509,AH421),"")))</f>
        <v/>
      </c>
      <c r="AR421" s="14" t="str">
        <f t="shared" si="59"/>
        <v/>
      </c>
      <c r="AS421" s="14" t="str">
        <f t="shared" si="60"/>
        <v/>
      </c>
      <c r="AT421" s="27"/>
      <c r="AU421" s="31"/>
      <c r="AV421" s="31"/>
      <c r="AW421" s="27"/>
      <c r="AX421" s="27"/>
      <c r="AY421" s="27"/>
      <c r="AZ421" s="27"/>
      <c r="BA421" s="30" t="str">
        <f t="shared" si="61"/>
        <v/>
      </c>
      <c r="BB421" s="30" t="str">
        <f t="shared" si="62"/>
        <v/>
      </c>
      <c r="BC421" s="30">
        <f>IF(X421=0,0,IF(COUNTIFS($X$10:X421,1,$BA$10:BA421,BA421)=1,1,0))</f>
        <v>0</v>
      </c>
      <c r="BD421" s="29"/>
    </row>
    <row r="422" spans="1:56" ht="42" customHeight="1">
      <c r="A422" s="41"/>
      <c r="B422" s="44"/>
      <c r="C422" s="44"/>
      <c r="D422" s="44"/>
      <c r="E422" s="44"/>
      <c r="F422" s="44"/>
      <c r="G422" s="44"/>
      <c r="H422" s="44"/>
      <c r="I422" s="44"/>
      <c r="J422" s="44"/>
      <c r="K422" s="44"/>
      <c r="L422" s="49"/>
      <c r="M422" s="48"/>
      <c r="N422" s="48"/>
      <c r="O422" s="48"/>
      <c r="P422" s="48"/>
      <c r="Q422" s="48"/>
      <c r="R422" s="48"/>
      <c r="S422" s="49"/>
      <c r="T422" s="48"/>
      <c r="U422" s="48"/>
      <c r="V422" s="14">
        <f t="shared" si="54"/>
        <v>0</v>
      </c>
      <c r="W422" s="14">
        <f t="shared" si="55"/>
        <v>0</v>
      </c>
      <c r="X422" s="14">
        <f>IF(AND(V422=1,OR(Painel!$C$6="Todos",D422=Painel!$C$6),AND(OR(Painel!$L$6="Todas",E422=Painel!$L$6),OR(Painel!$C$8="Todos",F422=Painel!$C$8),OR(Painel!$L$8="Todos",G422=Painel!$L$8),OR(Painel!$C$10="",ISNUMBER(SEARCH(SUBSTITUTE(SUBSTITUTE(SUBSTITUTE(Painel!$C$10,"~","~~"),"*","~*"),"?","~?"),A422&amp;" "&amp;H422&amp;" "&amp;I422))))),1,0)</f>
        <v>0</v>
      </c>
      <c r="Y422" s="14">
        <f t="shared" si="56"/>
        <v>0</v>
      </c>
      <c r="Z422" s="15" t="str">
        <f>IF(V422=0,"",IF(COUNTIFS(Andamentos!$K$10:$K$2009,"="&amp;SUBSTITUTE(SUBSTITUTE(SUBSTITUTE("P:"&amp;A422,"~","~~"),"*","~*"),"?","~?"),Andamentos!$G$10:$G$2009,1)=0,"",_xlfn.AGGREGATE(14,6,Andamentos!$D$10:$D$2009/((Andamentos!$K$10:$K$2009=AS422)*(Andamentos!$G$10:$G$2009=1)),1)))</f>
        <v/>
      </c>
      <c r="AA422" s="14">
        <f>IF(Z422="",0,COUNTIFS(Andamentos!$K$10:$K$2009,"="&amp;SUBSTITUTE(SUBSTITUTE(SUBSTITUTE("P:"&amp;A422,"~","~~"),"*","~*"),"?","~?"),Andamentos!$D$10:$D$2009,Z422,Andamentos!$G$10:$G$2009,1))</f>
        <v>0</v>
      </c>
      <c r="AB422" s="14">
        <f>IF(AA422=1,SUMIFS(Andamentos!$L$10:$L$2009,Andamentos!$K$10:$K$2009,"="&amp;SUBSTITUTE(SUBSTITUTE(SUBSTITUTE(AS422,"~","~~"),"*","~*"),"?","~?"),Andamentos!$D$10:$D$2009,Z422,Andamentos!$G$10:$G$2009,1)-9,0)</f>
        <v>0</v>
      </c>
      <c r="AC422" s="14" t="str">
        <f>IF(V422=0,"",IF(AA422&gt;1,"Conferir recebimentos empatados",IF(AB422=0,"Sem atualização",INDEX(Andamentos!$C$10:$C$2009,AB422))))</f>
        <v/>
      </c>
      <c r="AD422" s="14">
        <f>IF(W422=0,0,IF(MAX(Z422,BD422)=0,1,IF(Configurar!$J$12-INT(MAX(Z422,BD422))&gt;Configurar!$J$11,1,0)))</f>
        <v>0</v>
      </c>
      <c r="AE422" s="16"/>
      <c r="AF422" s="14"/>
      <c r="AG422" s="14"/>
      <c r="AH422" s="14">
        <f>IF(AND(V422=1,COUNTIFS(Valores!$S$10:$S$509,"="&amp;SUBSTITUTE(SUBSTITUTE(SUBSTITUTE("P:"&amp;A422,"~","~~"),"*","~*"),"?","~?"))=1),(IF(ISNA(MATCH(SUBSTITUTE(SUBSTITUTE(SUBSTITUTE("P:"&amp;A422,"~","~~"),"*","~*"),"?","~?"),Valores!$S$10:$S$509,0)),9,INDEX(Valores!$R$10:$R$509,MATCH(SUBSTITUTE(SUBSTITUTE(SUBSTITUTE("P:"&amp;A422,"~","~~"),"*","~*"),"?","~?"),Valores!$S$10:$S$509,0)))-9),0)</f>
        <v>0</v>
      </c>
      <c r="AI422" s="40" t="str">
        <f t="shared" si="57"/>
        <v/>
      </c>
      <c r="AJ422" s="14" t="str">
        <f>IF(AND(X422=1,Y422=1),COUNTIFS($X$10:X422,1,$Y$10:Y422,1),"")</f>
        <v/>
      </c>
      <c r="AK422" s="14" t="str">
        <f>IF(X422=1,COUNTIFS($X$10:X422,1),"")</f>
        <v/>
      </c>
      <c r="AL422" s="14">
        <f>IF(AND(V422=1,AND(OR(Painel!$L$6="Todas",E422=Painel!$L$6),OR(Painel!$C$8="Todos",F422=Painel!$C$8),OR(Painel!$L$8="Todos",G422=Painel!$L$8),OR(Painel!$C$10="",ISNUMBER(SEARCH(SUBSTITUTE(SUBSTITUTE(SUBSTITUTE(Painel!$C$10,"~","~~"),"*","~*"),"?","~?"),A422&amp;" "&amp;H422&amp;" "&amp;I422))))),1,0)</f>
        <v>0</v>
      </c>
      <c r="AM422" s="14">
        <f t="shared" si="58"/>
        <v>0</v>
      </c>
      <c r="AN422" s="14"/>
      <c r="AO422" s="14"/>
      <c r="AP422" s="16" t="str">
        <f>IF(AB422=0,"",IF(INDEX(Andamentos!$B$10:$B$2009,AB422)="","",INDEX(Andamentos!$B$10:$B$2009,AB422)))</f>
        <v/>
      </c>
      <c r="AQ422" s="17" t="str">
        <f>IF(AH422=0,"",IF(INDEX(Valores!$B$10:$B$509,AH422)="","",IF(ISNUMBER(INDEX(Valores!$B$10:$B$509,AH422)),INDEX(Valores!$B$10:$B$509,AH422),"")))</f>
        <v/>
      </c>
      <c r="AR422" s="14" t="str">
        <f t="shared" si="59"/>
        <v/>
      </c>
      <c r="AS422" s="14" t="str">
        <f t="shared" si="60"/>
        <v/>
      </c>
      <c r="AT422" s="27"/>
      <c r="AU422" s="31"/>
      <c r="AV422" s="31"/>
      <c r="AW422" s="27"/>
      <c r="AX422" s="27"/>
      <c r="AY422" s="27"/>
      <c r="AZ422" s="27"/>
      <c r="BA422" s="30" t="str">
        <f t="shared" si="61"/>
        <v/>
      </c>
      <c r="BB422" s="30" t="str">
        <f t="shared" si="62"/>
        <v/>
      </c>
      <c r="BC422" s="30">
        <f>IF(X422=0,0,IF(COUNTIFS($X$10:X422,1,$BA$10:BA422,BA422)=1,1,0))</f>
        <v>0</v>
      </c>
      <c r="BD422" s="29"/>
    </row>
    <row r="423" spans="1:56" ht="42" customHeight="1">
      <c r="A423" s="41"/>
      <c r="B423" s="44"/>
      <c r="C423" s="44"/>
      <c r="D423" s="44"/>
      <c r="E423" s="44"/>
      <c r="F423" s="44"/>
      <c r="G423" s="44"/>
      <c r="H423" s="44"/>
      <c r="I423" s="44"/>
      <c r="J423" s="44"/>
      <c r="K423" s="44"/>
      <c r="L423" s="49"/>
      <c r="M423" s="48"/>
      <c r="N423" s="48"/>
      <c r="O423" s="48"/>
      <c r="P423" s="48"/>
      <c r="Q423" s="48"/>
      <c r="R423" s="48"/>
      <c r="S423" s="49"/>
      <c r="T423" s="48"/>
      <c r="U423" s="48"/>
      <c r="V423" s="14">
        <f t="shared" si="54"/>
        <v>0</v>
      </c>
      <c r="W423" s="14">
        <f t="shared" si="55"/>
        <v>0</v>
      </c>
      <c r="X423" s="14">
        <f>IF(AND(V423=1,OR(Painel!$C$6="Todos",D423=Painel!$C$6),AND(OR(Painel!$L$6="Todas",E423=Painel!$L$6),OR(Painel!$C$8="Todos",F423=Painel!$C$8),OR(Painel!$L$8="Todos",G423=Painel!$L$8),OR(Painel!$C$10="",ISNUMBER(SEARCH(SUBSTITUTE(SUBSTITUTE(SUBSTITUTE(Painel!$C$10,"~","~~"),"*","~*"),"?","~?"),A423&amp;" "&amp;H423&amp;" "&amp;I423))))),1,0)</f>
        <v>0</v>
      </c>
      <c r="Y423" s="14">
        <f t="shared" si="56"/>
        <v>0</v>
      </c>
      <c r="Z423" s="15" t="str">
        <f>IF(V423=0,"",IF(COUNTIFS(Andamentos!$K$10:$K$2009,"="&amp;SUBSTITUTE(SUBSTITUTE(SUBSTITUTE("P:"&amp;A423,"~","~~"),"*","~*"),"?","~?"),Andamentos!$G$10:$G$2009,1)=0,"",_xlfn.AGGREGATE(14,6,Andamentos!$D$10:$D$2009/((Andamentos!$K$10:$K$2009=AS423)*(Andamentos!$G$10:$G$2009=1)),1)))</f>
        <v/>
      </c>
      <c r="AA423" s="14">
        <f>IF(Z423="",0,COUNTIFS(Andamentos!$K$10:$K$2009,"="&amp;SUBSTITUTE(SUBSTITUTE(SUBSTITUTE("P:"&amp;A423,"~","~~"),"*","~*"),"?","~?"),Andamentos!$D$10:$D$2009,Z423,Andamentos!$G$10:$G$2009,1))</f>
        <v>0</v>
      </c>
      <c r="AB423" s="14">
        <f>IF(AA423=1,SUMIFS(Andamentos!$L$10:$L$2009,Andamentos!$K$10:$K$2009,"="&amp;SUBSTITUTE(SUBSTITUTE(SUBSTITUTE(AS423,"~","~~"),"*","~*"),"?","~?"),Andamentos!$D$10:$D$2009,Z423,Andamentos!$G$10:$G$2009,1)-9,0)</f>
        <v>0</v>
      </c>
      <c r="AC423" s="14" t="str">
        <f>IF(V423=0,"",IF(AA423&gt;1,"Conferir recebimentos empatados",IF(AB423=0,"Sem atualização",INDEX(Andamentos!$C$10:$C$2009,AB423))))</f>
        <v/>
      </c>
      <c r="AD423" s="14">
        <f>IF(W423=0,0,IF(MAX(Z423,BD423)=0,1,IF(Configurar!$J$12-INT(MAX(Z423,BD423))&gt;Configurar!$J$11,1,0)))</f>
        <v>0</v>
      </c>
      <c r="AE423" s="16"/>
      <c r="AF423" s="14"/>
      <c r="AG423" s="14"/>
      <c r="AH423" s="14">
        <f>IF(AND(V423=1,COUNTIFS(Valores!$S$10:$S$509,"="&amp;SUBSTITUTE(SUBSTITUTE(SUBSTITUTE("P:"&amp;A423,"~","~~"),"*","~*"),"?","~?"))=1),(IF(ISNA(MATCH(SUBSTITUTE(SUBSTITUTE(SUBSTITUTE("P:"&amp;A423,"~","~~"),"*","~*"),"?","~?"),Valores!$S$10:$S$509,0)),9,INDEX(Valores!$R$10:$R$509,MATCH(SUBSTITUTE(SUBSTITUTE(SUBSTITUTE("P:"&amp;A423,"~","~~"),"*","~*"),"?","~?"),Valores!$S$10:$S$509,0)))-9),0)</f>
        <v>0</v>
      </c>
      <c r="AI423" s="40" t="str">
        <f t="shared" si="57"/>
        <v/>
      </c>
      <c r="AJ423" s="14" t="str">
        <f>IF(AND(X423=1,Y423=1),COUNTIFS($X$10:X423,1,$Y$10:Y423,1),"")</f>
        <v/>
      </c>
      <c r="AK423" s="14" t="str">
        <f>IF(X423=1,COUNTIFS($X$10:X423,1),"")</f>
        <v/>
      </c>
      <c r="AL423" s="14">
        <f>IF(AND(V423=1,AND(OR(Painel!$L$6="Todas",E423=Painel!$L$6),OR(Painel!$C$8="Todos",F423=Painel!$C$8),OR(Painel!$L$8="Todos",G423=Painel!$L$8),OR(Painel!$C$10="",ISNUMBER(SEARCH(SUBSTITUTE(SUBSTITUTE(SUBSTITUTE(Painel!$C$10,"~","~~"),"*","~*"),"?","~?"),A423&amp;" "&amp;H423&amp;" "&amp;I423))))),1,0)</f>
        <v>0</v>
      </c>
      <c r="AM423" s="14">
        <f t="shared" si="58"/>
        <v>0</v>
      </c>
      <c r="AN423" s="14"/>
      <c r="AO423" s="14"/>
      <c r="AP423" s="16" t="str">
        <f>IF(AB423=0,"",IF(INDEX(Andamentos!$B$10:$B$2009,AB423)="","",INDEX(Andamentos!$B$10:$B$2009,AB423)))</f>
        <v/>
      </c>
      <c r="AQ423" s="17" t="str">
        <f>IF(AH423=0,"",IF(INDEX(Valores!$B$10:$B$509,AH423)="","",IF(ISNUMBER(INDEX(Valores!$B$10:$B$509,AH423)),INDEX(Valores!$B$10:$B$509,AH423),"")))</f>
        <v/>
      </c>
      <c r="AR423" s="14" t="str">
        <f t="shared" si="59"/>
        <v/>
      </c>
      <c r="AS423" s="14" t="str">
        <f t="shared" si="60"/>
        <v/>
      </c>
      <c r="AT423" s="27"/>
      <c r="AU423" s="31"/>
      <c r="AV423" s="31"/>
      <c r="AW423" s="27"/>
      <c r="AX423" s="27"/>
      <c r="AY423" s="27"/>
      <c r="AZ423" s="27"/>
      <c r="BA423" s="30" t="str">
        <f t="shared" si="61"/>
        <v/>
      </c>
      <c r="BB423" s="30" t="str">
        <f t="shared" si="62"/>
        <v/>
      </c>
      <c r="BC423" s="30">
        <f>IF(X423=0,0,IF(COUNTIFS($X$10:X423,1,$BA$10:BA423,BA423)=1,1,0))</f>
        <v>0</v>
      </c>
      <c r="BD423" s="29"/>
    </row>
    <row r="424" spans="1:56" ht="42" customHeight="1">
      <c r="A424" s="41"/>
      <c r="B424" s="44"/>
      <c r="C424" s="44"/>
      <c r="D424" s="44"/>
      <c r="E424" s="44"/>
      <c r="F424" s="44"/>
      <c r="G424" s="44"/>
      <c r="H424" s="44"/>
      <c r="I424" s="44"/>
      <c r="J424" s="44"/>
      <c r="K424" s="44"/>
      <c r="L424" s="49"/>
      <c r="M424" s="48"/>
      <c r="N424" s="48"/>
      <c r="O424" s="48"/>
      <c r="P424" s="48"/>
      <c r="Q424" s="48"/>
      <c r="R424" s="48"/>
      <c r="S424" s="49"/>
      <c r="T424" s="48"/>
      <c r="U424" s="48"/>
      <c r="V424" s="14">
        <f t="shared" si="54"/>
        <v>0</v>
      </c>
      <c r="W424" s="14">
        <f t="shared" si="55"/>
        <v>0</v>
      </c>
      <c r="X424" s="14">
        <f>IF(AND(V424=1,OR(Painel!$C$6="Todos",D424=Painel!$C$6),AND(OR(Painel!$L$6="Todas",E424=Painel!$L$6),OR(Painel!$C$8="Todos",F424=Painel!$C$8),OR(Painel!$L$8="Todos",G424=Painel!$L$8),OR(Painel!$C$10="",ISNUMBER(SEARCH(SUBSTITUTE(SUBSTITUTE(SUBSTITUTE(Painel!$C$10,"~","~~"),"*","~*"),"?","~?"),A424&amp;" "&amp;H424&amp;" "&amp;I424))))),1,0)</f>
        <v>0</v>
      </c>
      <c r="Y424" s="14">
        <f t="shared" si="56"/>
        <v>0</v>
      </c>
      <c r="Z424" s="15" t="str">
        <f>IF(V424=0,"",IF(COUNTIFS(Andamentos!$K$10:$K$2009,"="&amp;SUBSTITUTE(SUBSTITUTE(SUBSTITUTE("P:"&amp;A424,"~","~~"),"*","~*"),"?","~?"),Andamentos!$G$10:$G$2009,1)=0,"",_xlfn.AGGREGATE(14,6,Andamentos!$D$10:$D$2009/((Andamentos!$K$10:$K$2009=AS424)*(Andamentos!$G$10:$G$2009=1)),1)))</f>
        <v/>
      </c>
      <c r="AA424" s="14">
        <f>IF(Z424="",0,COUNTIFS(Andamentos!$K$10:$K$2009,"="&amp;SUBSTITUTE(SUBSTITUTE(SUBSTITUTE("P:"&amp;A424,"~","~~"),"*","~*"),"?","~?"),Andamentos!$D$10:$D$2009,Z424,Andamentos!$G$10:$G$2009,1))</f>
        <v>0</v>
      </c>
      <c r="AB424" s="14">
        <f>IF(AA424=1,SUMIFS(Andamentos!$L$10:$L$2009,Andamentos!$K$10:$K$2009,"="&amp;SUBSTITUTE(SUBSTITUTE(SUBSTITUTE(AS424,"~","~~"),"*","~*"),"?","~?"),Andamentos!$D$10:$D$2009,Z424,Andamentos!$G$10:$G$2009,1)-9,0)</f>
        <v>0</v>
      </c>
      <c r="AC424" s="14" t="str">
        <f>IF(V424=0,"",IF(AA424&gt;1,"Conferir recebimentos empatados",IF(AB424=0,"Sem atualização",INDEX(Andamentos!$C$10:$C$2009,AB424))))</f>
        <v/>
      </c>
      <c r="AD424" s="14">
        <f>IF(W424=0,0,IF(MAX(Z424,BD424)=0,1,IF(Configurar!$J$12-INT(MAX(Z424,BD424))&gt;Configurar!$J$11,1,0)))</f>
        <v>0</v>
      </c>
      <c r="AE424" s="16"/>
      <c r="AF424" s="14"/>
      <c r="AG424" s="14"/>
      <c r="AH424" s="14">
        <f>IF(AND(V424=1,COUNTIFS(Valores!$S$10:$S$509,"="&amp;SUBSTITUTE(SUBSTITUTE(SUBSTITUTE("P:"&amp;A424,"~","~~"),"*","~*"),"?","~?"))=1),(IF(ISNA(MATCH(SUBSTITUTE(SUBSTITUTE(SUBSTITUTE("P:"&amp;A424,"~","~~"),"*","~*"),"?","~?"),Valores!$S$10:$S$509,0)),9,INDEX(Valores!$R$10:$R$509,MATCH(SUBSTITUTE(SUBSTITUTE(SUBSTITUTE("P:"&amp;A424,"~","~~"),"*","~*"),"?","~?"),Valores!$S$10:$S$509,0)))-9),0)</f>
        <v>0</v>
      </c>
      <c r="AI424" s="40" t="str">
        <f t="shared" si="57"/>
        <v/>
      </c>
      <c r="AJ424" s="14" t="str">
        <f>IF(AND(X424=1,Y424=1),COUNTIFS($X$10:X424,1,$Y$10:Y424,1),"")</f>
        <v/>
      </c>
      <c r="AK424" s="14" t="str">
        <f>IF(X424=1,COUNTIFS($X$10:X424,1),"")</f>
        <v/>
      </c>
      <c r="AL424" s="14">
        <f>IF(AND(V424=1,AND(OR(Painel!$L$6="Todas",E424=Painel!$L$6),OR(Painel!$C$8="Todos",F424=Painel!$C$8),OR(Painel!$L$8="Todos",G424=Painel!$L$8),OR(Painel!$C$10="",ISNUMBER(SEARCH(SUBSTITUTE(SUBSTITUTE(SUBSTITUTE(Painel!$C$10,"~","~~"),"*","~*"),"?","~?"),A424&amp;" "&amp;H424&amp;" "&amp;I424))))),1,0)</f>
        <v>0</v>
      </c>
      <c r="AM424" s="14">
        <f t="shared" si="58"/>
        <v>0</v>
      </c>
      <c r="AN424" s="14"/>
      <c r="AO424" s="14"/>
      <c r="AP424" s="16" t="str">
        <f>IF(AB424=0,"",IF(INDEX(Andamentos!$B$10:$B$2009,AB424)="","",INDEX(Andamentos!$B$10:$B$2009,AB424)))</f>
        <v/>
      </c>
      <c r="AQ424" s="17" t="str">
        <f>IF(AH424=0,"",IF(INDEX(Valores!$B$10:$B$509,AH424)="","",IF(ISNUMBER(INDEX(Valores!$B$10:$B$509,AH424)),INDEX(Valores!$B$10:$B$509,AH424),"")))</f>
        <v/>
      </c>
      <c r="AR424" s="14" t="str">
        <f t="shared" si="59"/>
        <v/>
      </c>
      <c r="AS424" s="14" t="str">
        <f t="shared" si="60"/>
        <v/>
      </c>
      <c r="AT424" s="27"/>
      <c r="AU424" s="31"/>
      <c r="AV424" s="31"/>
      <c r="AW424" s="27"/>
      <c r="AX424" s="27"/>
      <c r="AY424" s="27"/>
      <c r="AZ424" s="27"/>
      <c r="BA424" s="30" t="str">
        <f t="shared" si="61"/>
        <v/>
      </c>
      <c r="BB424" s="30" t="str">
        <f t="shared" si="62"/>
        <v/>
      </c>
      <c r="BC424" s="30">
        <f>IF(X424=0,0,IF(COUNTIFS($X$10:X424,1,$BA$10:BA424,BA424)=1,1,0))</f>
        <v>0</v>
      </c>
      <c r="BD424" s="29"/>
    </row>
    <row r="425" spans="1:56" ht="42" customHeight="1">
      <c r="A425" s="41"/>
      <c r="B425" s="44"/>
      <c r="C425" s="44"/>
      <c r="D425" s="44"/>
      <c r="E425" s="44"/>
      <c r="F425" s="44"/>
      <c r="G425" s="44"/>
      <c r="H425" s="44"/>
      <c r="I425" s="44"/>
      <c r="J425" s="44"/>
      <c r="K425" s="44"/>
      <c r="L425" s="49"/>
      <c r="M425" s="48"/>
      <c r="N425" s="48"/>
      <c r="O425" s="48"/>
      <c r="P425" s="48"/>
      <c r="Q425" s="48"/>
      <c r="R425" s="48"/>
      <c r="S425" s="49"/>
      <c r="T425" s="48"/>
      <c r="U425" s="48"/>
      <c r="V425" s="14">
        <f t="shared" si="54"/>
        <v>0</v>
      </c>
      <c r="W425" s="14">
        <f t="shared" si="55"/>
        <v>0</v>
      </c>
      <c r="X425" s="14">
        <f>IF(AND(V425=1,OR(Painel!$C$6="Todos",D425=Painel!$C$6),AND(OR(Painel!$L$6="Todas",E425=Painel!$L$6),OR(Painel!$C$8="Todos",F425=Painel!$C$8),OR(Painel!$L$8="Todos",G425=Painel!$L$8),OR(Painel!$C$10="",ISNUMBER(SEARCH(SUBSTITUTE(SUBSTITUTE(SUBSTITUTE(Painel!$C$10,"~","~~"),"*","~*"),"?","~?"),A425&amp;" "&amp;H425&amp;" "&amp;I425))))),1,0)</f>
        <v>0</v>
      </c>
      <c r="Y425" s="14">
        <f t="shared" si="56"/>
        <v>0</v>
      </c>
      <c r="Z425" s="15" t="str">
        <f>IF(V425=0,"",IF(COUNTIFS(Andamentos!$K$10:$K$2009,"="&amp;SUBSTITUTE(SUBSTITUTE(SUBSTITUTE("P:"&amp;A425,"~","~~"),"*","~*"),"?","~?"),Andamentos!$G$10:$G$2009,1)=0,"",_xlfn.AGGREGATE(14,6,Andamentos!$D$10:$D$2009/((Andamentos!$K$10:$K$2009=AS425)*(Andamentos!$G$10:$G$2009=1)),1)))</f>
        <v/>
      </c>
      <c r="AA425" s="14">
        <f>IF(Z425="",0,COUNTIFS(Andamentos!$K$10:$K$2009,"="&amp;SUBSTITUTE(SUBSTITUTE(SUBSTITUTE("P:"&amp;A425,"~","~~"),"*","~*"),"?","~?"),Andamentos!$D$10:$D$2009,Z425,Andamentos!$G$10:$G$2009,1))</f>
        <v>0</v>
      </c>
      <c r="AB425" s="14">
        <f>IF(AA425=1,SUMIFS(Andamentos!$L$10:$L$2009,Andamentos!$K$10:$K$2009,"="&amp;SUBSTITUTE(SUBSTITUTE(SUBSTITUTE(AS425,"~","~~"),"*","~*"),"?","~?"),Andamentos!$D$10:$D$2009,Z425,Andamentos!$G$10:$G$2009,1)-9,0)</f>
        <v>0</v>
      </c>
      <c r="AC425" s="14" t="str">
        <f>IF(V425=0,"",IF(AA425&gt;1,"Conferir recebimentos empatados",IF(AB425=0,"Sem atualização",INDEX(Andamentos!$C$10:$C$2009,AB425))))</f>
        <v/>
      </c>
      <c r="AD425" s="14">
        <f>IF(W425=0,0,IF(MAX(Z425,BD425)=0,1,IF(Configurar!$J$12-INT(MAX(Z425,BD425))&gt;Configurar!$J$11,1,0)))</f>
        <v>0</v>
      </c>
      <c r="AE425" s="16"/>
      <c r="AF425" s="14"/>
      <c r="AG425" s="14"/>
      <c r="AH425" s="14">
        <f>IF(AND(V425=1,COUNTIFS(Valores!$S$10:$S$509,"="&amp;SUBSTITUTE(SUBSTITUTE(SUBSTITUTE("P:"&amp;A425,"~","~~"),"*","~*"),"?","~?"))=1),(IF(ISNA(MATCH(SUBSTITUTE(SUBSTITUTE(SUBSTITUTE("P:"&amp;A425,"~","~~"),"*","~*"),"?","~?"),Valores!$S$10:$S$509,0)),9,INDEX(Valores!$R$10:$R$509,MATCH(SUBSTITUTE(SUBSTITUTE(SUBSTITUTE("P:"&amp;A425,"~","~~"),"*","~*"),"?","~?"),Valores!$S$10:$S$509,0)))-9),0)</f>
        <v>0</v>
      </c>
      <c r="AI425" s="40" t="str">
        <f t="shared" si="57"/>
        <v/>
      </c>
      <c r="AJ425" s="14" t="str">
        <f>IF(AND(X425=1,Y425=1),COUNTIFS($X$10:X425,1,$Y$10:Y425,1),"")</f>
        <v/>
      </c>
      <c r="AK425" s="14" t="str">
        <f>IF(X425=1,COUNTIFS($X$10:X425,1),"")</f>
        <v/>
      </c>
      <c r="AL425" s="14">
        <f>IF(AND(V425=1,AND(OR(Painel!$L$6="Todas",E425=Painel!$L$6),OR(Painel!$C$8="Todos",F425=Painel!$C$8),OR(Painel!$L$8="Todos",G425=Painel!$L$8),OR(Painel!$C$10="",ISNUMBER(SEARCH(SUBSTITUTE(SUBSTITUTE(SUBSTITUTE(Painel!$C$10,"~","~~"),"*","~*"),"?","~?"),A425&amp;" "&amp;H425&amp;" "&amp;I425))))),1,0)</f>
        <v>0</v>
      </c>
      <c r="AM425" s="14">
        <f t="shared" si="58"/>
        <v>0</v>
      </c>
      <c r="AN425" s="14"/>
      <c r="AO425" s="14"/>
      <c r="AP425" s="16" t="str">
        <f>IF(AB425=0,"",IF(INDEX(Andamentos!$B$10:$B$2009,AB425)="","",INDEX(Andamentos!$B$10:$B$2009,AB425)))</f>
        <v/>
      </c>
      <c r="AQ425" s="17" t="str">
        <f>IF(AH425=0,"",IF(INDEX(Valores!$B$10:$B$509,AH425)="","",IF(ISNUMBER(INDEX(Valores!$B$10:$B$509,AH425)),INDEX(Valores!$B$10:$B$509,AH425),"")))</f>
        <v/>
      </c>
      <c r="AR425" s="14" t="str">
        <f t="shared" si="59"/>
        <v/>
      </c>
      <c r="AS425" s="14" t="str">
        <f t="shared" si="60"/>
        <v/>
      </c>
      <c r="AT425" s="27"/>
      <c r="AU425" s="31"/>
      <c r="AV425" s="31"/>
      <c r="AW425" s="27"/>
      <c r="AX425" s="27"/>
      <c r="AY425" s="27"/>
      <c r="AZ425" s="27"/>
      <c r="BA425" s="30" t="str">
        <f t="shared" si="61"/>
        <v/>
      </c>
      <c r="BB425" s="30" t="str">
        <f t="shared" si="62"/>
        <v/>
      </c>
      <c r="BC425" s="30">
        <f>IF(X425=0,0,IF(COUNTIFS($X$10:X425,1,$BA$10:BA425,BA425)=1,1,0))</f>
        <v>0</v>
      </c>
      <c r="BD425" s="29"/>
    </row>
    <row r="426" spans="1:56" ht="42" customHeight="1">
      <c r="A426" s="41"/>
      <c r="B426" s="44"/>
      <c r="C426" s="44"/>
      <c r="D426" s="44"/>
      <c r="E426" s="44"/>
      <c r="F426" s="44"/>
      <c r="G426" s="44"/>
      <c r="H426" s="44"/>
      <c r="I426" s="44"/>
      <c r="J426" s="44"/>
      <c r="K426" s="44"/>
      <c r="L426" s="49"/>
      <c r="M426" s="48"/>
      <c r="N426" s="48"/>
      <c r="O426" s="48"/>
      <c r="P426" s="48"/>
      <c r="Q426" s="48"/>
      <c r="R426" s="48"/>
      <c r="S426" s="49"/>
      <c r="T426" s="48"/>
      <c r="U426" s="48"/>
      <c r="V426" s="14">
        <f t="shared" si="54"/>
        <v>0</v>
      </c>
      <c r="W426" s="14">
        <f t="shared" si="55"/>
        <v>0</v>
      </c>
      <c r="X426" s="14">
        <f>IF(AND(V426=1,OR(Painel!$C$6="Todos",D426=Painel!$C$6),AND(OR(Painel!$L$6="Todas",E426=Painel!$L$6),OR(Painel!$C$8="Todos",F426=Painel!$C$8),OR(Painel!$L$8="Todos",G426=Painel!$L$8),OR(Painel!$C$10="",ISNUMBER(SEARCH(SUBSTITUTE(SUBSTITUTE(SUBSTITUTE(Painel!$C$10,"~","~~"),"*","~*"),"?","~?"),A426&amp;" "&amp;H426&amp;" "&amp;I426))))),1,0)</f>
        <v>0</v>
      </c>
      <c r="Y426" s="14">
        <f t="shared" si="56"/>
        <v>0</v>
      </c>
      <c r="Z426" s="15" t="str">
        <f>IF(V426=0,"",IF(COUNTIFS(Andamentos!$K$10:$K$2009,"="&amp;SUBSTITUTE(SUBSTITUTE(SUBSTITUTE("P:"&amp;A426,"~","~~"),"*","~*"),"?","~?"),Andamentos!$G$10:$G$2009,1)=0,"",_xlfn.AGGREGATE(14,6,Andamentos!$D$10:$D$2009/((Andamentos!$K$10:$K$2009=AS426)*(Andamentos!$G$10:$G$2009=1)),1)))</f>
        <v/>
      </c>
      <c r="AA426" s="14">
        <f>IF(Z426="",0,COUNTIFS(Andamentos!$K$10:$K$2009,"="&amp;SUBSTITUTE(SUBSTITUTE(SUBSTITUTE("P:"&amp;A426,"~","~~"),"*","~*"),"?","~?"),Andamentos!$D$10:$D$2009,Z426,Andamentos!$G$10:$G$2009,1))</f>
        <v>0</v>
      </c>
      <c r="AB426" s="14">
        <f>IF(AA426=1,SUMIFS(Andamentos!$L$10:$L$2009,Andamentos!$K$10:$K$2009,"="&amp;SUBSTITUTE(SUBSTITUTE(SUBSTITUTE(AS426,"~","~~"),"*","~*"),"?","~?"),Andamentos!$D$10:$D$2009,Z426,Andamentos!$G$10:$G$2009,1)-9,0)</f>
        <v>0</v>
      </c>
      <c r="AC426" s="14" t="str">
        <f>IF(V426=0,"",IF(AA426&gt;1,"Conferir recebimentos empatados",IF(AB426=0,"Sem atualização",INDEX(Andamentos!$C$10:$C$2009,AB426))))</f>
        <v/>
      </c>
      <c r="AD426" s="14">
        <f>IF(W426=0,0,IF(MAX(Z426,BD426)=0,1,IF(Configurar!$J$12-INT(MAX(Z426,BD426))&gt;Configurar!$J$11,1,0)))</f>
        <v>0</v>
      </c>
      <c r="AE426" s="16"/>
      <c r="AF426" s="14"/>
      <c r="AG426" s="14"/>
      <c r="AH426" s="14">
        <f>IF(AND(V426=1,COUNTIFS(Valores!$S$10:$S$509,"="&amp;SUBSTITUTE(SUBSTITUTE(SUBSTITUTE("P:"&amp;A426,"~","~~"),"*","~*"),"?","~?"))=1),(IF(ISNA(MATCH(SUBSTITUTE(SUBSTITUTE(SUBSTITUTE("P:"&amp;A426,"~","~~"),"*","~*"),"?","~?"),Valores!$S$10:$S$509,0)),9,INDEX(Valores!$R$10:$R$509,MATCH(SUBSTITUTE(SUBSTITUTE(SUBSTITUTE("P:"&amp;A426,"~","~~"),"*","~*"),"?","~?"),Valores!$S$10:$S$509,0)))-9),0)</f>
        <v>0</v>
      </c>
      <c r="AI426" s="40" t="str">
        <f t="shared" si="57"/>
        <v/>
      </c>
      <c r="AJ426" s="14" t="str">
        <f>IF(AND(X426=1,Y426=1),COUNTIFS($X$10:X426,1,$Y$10:Y426,1),"")</f>
        <v/>
      </c>
      <c r="AK426" s="14" t="str">
        <f>IF(X426=1,COUNTIFS($X$10:X426,1),"")</f>
        <v/>
      </c>
      <c r="AL426" s="14">
        <f>IF(AND(V426=1,AND(OR(Painel!$L$6="Todas",E426=Painel!$L$6),OR(Painel!$C$8="Todos",F426=Painel!$C$8),OR(Painel!$L$8="Todos",G426=Painel!$L$8),OR(Painel!$C$10="",ISNUMBER(SEARCH(SUBSTITUTE(SUBSTITUTE(SUBSTITUTE(Painel!$C$10,"~","~~"),"*","~*"),"?","~?"),A426&amp;" "&amp;H426&amp;" "&amp;I426))))),1,0)</f>
        <v>0</v>
      </c>
      <c r="AM426" s="14">
        <f t="shared" si="58"/>
        <v>0</v>
      </c>
      <c r="AN426" s="14"/>
      <c r="AO426" s="14"/>
      <c r="AP426" s="16" t="str">
        <f>IF(AB426=0,"",IF(INDEX(Andamentos!$B$10:$B$2009,AB426)="","",INDEX(Andamentos!$B$10:$B$2009,AB426)))</f>
        <v/>
      </c>
      <c r="AQ426" s="17" t="str">
        <f>IF(AH426=0,"",IF(INDEX(Valores!$B$10:$B$509,AH426)="","",IF(ISNUMBER(INDEX(Valores!$B$10:$B$509,AH426)),INDEX(Valores!$B$10:$B$509,AH426),"")))</f>
        <v/>
      </c>
      <c r="AR426" s="14" t="str">
        <f t="shared" si="59"/>
        <v/>
      </c>
      <c r="AS426" s="14" t="str">
        <f t="shared" si="60"/>
        <v/>
      </c>
      <c r="AT426" s="27"/>
      <c r="AU426" s="31"/>
      <c r="AV426" s="31"/>
      <c r="AW426" s="27"/>
      <c r="AX426" s="27"/>
      <c r="AY426" s="27"/>
      <c r="AZ426" s="27"/>
      <c r="BA426" s="30" t="str">
        <f t="shared" si="61"/>
        <v/>
      </c>
      <c r="BB426" s="30" t="str">
        <f t="shared" si="62"/>
        <v/>
      </c>
      <c r="BC426" s="30">
        <f>IF(X426=0,0,IF(COUNTIFS($X$10:X426,1,$BA$10:BA426,BA426)=1,1,0))</f>
        <v>0</v>
      </c>
      <c r="BD426" s="29"/>
    </row>
    <row r="427" spans="1:56" ht="42" customHeight="1">
      <c r="A427" s="41"/>
      <c r="B427" s="44"/>
      <c r="C427" s="44"/>
      <c r="D427" s="44"/>
      <c r="E427" s="44"/>
      <c r="F427" s="44"/>
      <c r="G427" s="44"/>
      <c r="H427" s="44"/>
      <c r="I427" s="44"/>
      <c r="J427" s="44"/>
      <c r="K427" s="44"/>
      <c r="L427" s="49"/>
      <c r="M427" s="48"/>
      <c r="N427" s="48"/>
      <c r="O427" s="48"/>
      <c r="P427" s="48"/>
      <c r="Q427" s="48"/>
      <c r="R427" s="48"/>
      <c r="S427" s="49"/>
      <c r="T427" s="48"/>
      <c r="U427" s="48"/>
      <c r="V427" s="14">
        <f t="shared" si="54"/>
        <v>0</v>
      </c>
      <c r="W427" s="14">
        <f t="shared" si="55"/>
        <v>0</v>
      </c>
      <c r="X427" s="14">
        <f>IF(AND(V427=1,OR(Painel!$C$6="Todos",D427=Painel!$C$6),AND(OR(Painel!$L$6="Todas",E427=Painel!$L$6),OR(Painel!$C$8="Todos",F427=Painel!$C$8),OR(Painel!$L$8="Todos",G427=Painel!$L$8),OR(Painel!$C$10="",ISNUMBER(SEARCH(SUBSTITUTE(SUBSTITUTE(SUBSTITUTE(Painel!$C$10,"~","~~"),"*","~*"),"?","~?"),A427&amp;" "&amp;H427&amp;" "&amp;I427))))),1,0)</f>
        <v>0</v>
      </c>
      <c r="Y427" s="14">
        <f t="shared" si="56"/>
        <v>0</v>
      </c>
      <c r="Z427" s="15" t="str">
        <f>IF(V427=0,"",IF(COUNTIFS(Andamentos!$K$10:$K$2009,"="&amp;SUBSTITUTE(SUBSTITUTE(SUBSTITUTE("P:"&amp;A427,"~","~~"),"*","~*"),"?","~?"),Andamentos!$G$10:$G$2009,1)=0,"",_xlfn.AGGREGATE(14,6,Andamentos!$D$10:$D$2009/((Andamentos!$K$10:$K$2009=AS427)*(Andamentos!$G$10:$G$2009=1)),1)))</f>
        <v/>
      </c>
      <c r="AA427" s="14">
        <f>IF(Z427="",0,COUNTIFS(Andamentos!$K$10:$K$2009,"="&amp;SUBSTITUTE(SUBSTITUTE(SUBSTITUTE("P:"&amp;A427,"~","~~"),"*","~*"),"?","~?"),Andamentos!$D$10:$D$2009,Z427,Andamentos!$G$10:$G$2009,1))</f>
        <v>0</v>
      </c>
      <c r="AB427" s="14">
        <f>IF(AA427=1,SUMIFS(Andamentos!$L$10:$L$2009,Andamentos!$K$10:$K$2009,"="&amp;SUBSTITUTE(SUBSTITUTE(SUBSTITUTE(AS427,"~","~~"),"*","~*"),"?","~?"),Andamentos!$D$10:$D$2009,Z427,Andamentos!$G$10:$G$2009,1)-9,0)</f>
        <v>0</v>
      </c>
      <c r="AC427" s="14" t="str">
        <f>IF(V427=0,"",IF(AA427&gt;1,"Conferir recebimentos empatados",IF(AB427=0,"Sem atualização",INDEX(Andamentos!$C$10:$C$2009,AB427))))</f>
        <v/>
      </c>
      <c r="AD427" s="14">
        <f>IF(W427=0,0,IF(MAX(Z427,BD427)=0,1,IF(Configurar!$J$12-INT(MAX(Z427,BD427))&gt;Configurar!$J$11,1,0)))</f>
        <v>0</v>
      </c>
      <c r="AE427" s="16"/>
      <c r="AF427" s="14"/>
      <c r="AG427" s="14"/>
      <c r="AH427" s="14">
        <f>IF(AND(V427=1,COUNTIFS(Valores!$S$10:$S$509,"="&amp;SUBSTITUTE(SUBSTITUTE(SUBSTITUTE("P:"&amp;A427,"~","~~"),"*","~*"),"?","~?"))=1),(IF(ISNA(MATCH(SUBSTITUTE(SUBSTITUTE(SUBSTITUTE("P:"&amp;A427,"~","~~"),"*","~*"),"?","~?"),Valores!$S$10:$S$509,0)),9,INDEX(Valores!$R$10:$R$509,MATCH(SUBSTITUTE(SUBSTITUTE(SUBSTITUTE("P:"&amp;A427,"~","~~"),"*","~*"),"?","~?"),Valores!$S$10:$S$509,0)))-9),0)</f>
        <v>0</v>
      </c>
      <c r="AI427" s="40" t="str">
        <f t="shared" si="57"/>
        <v/>
      </c>
      <c r="AJ427" s="14" t="str">
        <f>IF(AND(X427=1,Y427=1),COUNTIFS($X$10:X427,1,$Y$10:Y427,1),"")</f>
        <v/>
      </c>
      <c r="AK427" s="14" t="str">
        <f>IF(X427=1,COUNTIFS($X$10:X427,1),"")</f>
        <v/>
      </c>
      <c r="AL427" s="14">
        <f>IF(AND(V427=1,AND(OR(Painel!$L$6="Todas",E427=Painel!$L$6),OR(Painel!$C$8="Todos",F427=Painel!$C$8),OR(Painel!$L$8="Todos",G427=Painel!$L$8),OR(Painel!$C$10="",ISNUMBER(SEARCH(SUBSTITUTE(SUBSTITUTE(SUBSTITUTE(Painel!$C$10,"~","~~"),"*","~*"),"?","~?"),A427&amp;" "&amp;H427&amp;" "&amp;I427))))),1,0)</f>
        <v>0</v>
      </c>
      <c r="AM427" s="14">
        <f t="shared" si="58"/>
        <v>0</v>
      </c>
      <c r="AN427" s="14"/>
      <c r="AO427" s="14"/>
      <c r="AP427" s="16" t="str">
        <f>IF(AB427=0,"",IF(INDEX(Andamentos!$B$10:$B$2009,AB427)="","",INDEX(Andamentos!$B$10:$B$2009,AB427)))</f>
        <v/>
      </c>
      <c r="AQ427" s="17" t="str">
        <f>IF(AH427=0,"",IF(INDEX(Valores!$B$10:$B$509,AH427)="","",IF(ISNUMBER(INDEX(Valores!$B$10:$B$509,AH427)),INDEX(Valores!$B$10:$B$509,AH427),"")))</f>
        <v/>
      </c>
      <c r="AR427" s="14" t="str">
        <f t="shared" si="59"/>
        <v/>
      </c>
      <c r="AS427" s="14" t="str">
        <f t="shared" si="60"/>
        <v/>
      </c>
      <c r="AT427" s="27"/>
      <c r="AU427" s="31"/>
      <c r="AV427" s="31"/>
      <c r="AW427" s="27"/>
      <c r="AX427" s="27"/>
      <c r="AY427" s="27"/>
      <c r="AZ427" s="27"/>
      <c r="BA427" s="30" t="str">
        <f t="shared" si="61"/>
        <v/>
      </c>
      <c r="BB427" s="30" t="str">
        <f t="shared" si="62"/>
        <v/>
      </c>
      <c r="BC427" s="30">
        <f>IF(X427=0,0,IF(COUNTIFS($X$10:X427,1,$BA$10:BA427,BA427)=1,1,0))</f>
        <v>0</v>
      </c>
      <c r="BD427" s="29"/>
    </row>
    <row r="428" spans="1:56" ht="42" customHeight="1">
      <c r="A428" s="41"/>
      <c r="B428" s="44"/>
      <c r="C428" s="44"/>
      <c r="D428" s="44"/>
      <c r="E428" s="44"/>
      <c r="F428" s="44"/>
      <c r="G428" s="44"/>
      <c r="H428" s="44"/>
      <c r="I428" s="44"/>
      <c r="J428" s="44"/>
      <c r="K428" s="44"/>
      <c r="L428" s="49"/>
      <c r="M428" s="48"/>
      <c r="N428" s="48"/>
      <c r="O428" s="48"/>
      <c r="P428" s="48"/>
      <c r="Q428" s="48"/>
      <c r="R428" s="48"/>
      <c r="S428" s="49"/>
      <c r="T428" s="48"/>
      <c r="U428" s="48"/>
      <c r="V428" s="14">
        <f t="shared" si="54"/>
        <v>0</v>
      </c>
      <c r="W428" s="14">
        <f t="shared" si="55"/>
        <v>0</v>
      </c>
      <c r="X428" s="14">
        <f>IF(AND(V428=1,OR(Painel!$C$6="Todos",D428=Painel!$C$6),AND(OR(Painel!$L$6="Todas",E428=Painel!$L$6),OR(Painel!$C$8="Todos",F428=Painel!$C$8),OR(Painel!$L$8="Todos",G428=Painel!$L$8),OR(Painel!$C$10="",ISNUMBER(SEARCH(SUBSTITUTE(SUBSTITUTE(SUBSTITUTE(Painel!$C$10,"~","~~"),"*","~*"),"?","~?"),A428&amp;" "&amp;H428&amp;" "&amp;I428))))),1,0)</f>
        <v>0</v>
      </c>
      <c r="Y428" s="14">
        <f t="shared" si="56"/>
        <v>0</v>
      </c>
      <c r="Z428" s="15" t="str">
        <f>IF(V428=0,"",IF(COUNTIFS(Andamentos!$K$10:$K$2009,"="&amp;SUBSTITUTE(SUBSTITUTE(SUBSTITUTE("P:"&amp;A428,"~","~~"),"*","~*"),"?","~?"),Andamentos!$G$10:$G$2009,1)=0,"",_xlfn.AGGREGATE(14,6,Andamentos!$D$10:$D$2009/((Andamentos!$K$10:$K$2009=AS428)*(Andamentos!$G$10:$G$2009=1)),1)))</f>
        <v/>
      </c>
      <c r="AA428" s="14">
        <f>IF(Z428="",0,COUNTIFS(Andamentos!$K$10:$K$2009,"="&amp;SUBSTITUTE(SUBSTITUTE(SUBSTITUTE("P:"&amp;A428,"~","~~"),"*","~*"),"?","~?"),Andamentos!$D$10:$D$2009,Z428,Andamentos!$G$10:$G$2009,1))</f>
        <v>0</v>
      </c>
      <c r="AB428" s="14">
        <f>IF(AA428=1,SUMIFS(Andamentos!$L$10:$L$2009,Andamentos!$K$10:$K$2009,"="&amp;SUBSTITUTE(SUBSTITUTE(SUBSTITUTE(AS428,"~","~~"),"*","~*"),"?","~?"),Andamentos!$D$10:$D$2009,Z428,Andamentos!$G$10:$G$2009,1)-9,0)</f>
        <v>0</v>
      </c>
      <c r="AC428" s="14" t="str">
        <f>IF(V428=0,"",IF(AA428&gt;1,"Conferir recebimentos empatados",IF(AB428=0,"Sem atualização",INDEX(Andamentos!$C$10:$C$2009,AB428))))</f>
        <v/>
      </c>
      <c r="AD428" s="14">
        <f>IF(W428=0,0,IF(MAX(Z428,BD428)=0,1,IF(Configurar!$J$12-INT(MAX(Z428,BD428))&gt;Configurar!$J$11,1,0)))</f>
        <v>0</v>
      </c>
      <c r="AE428" s="16"/>
      <c r="AF428" s="14"/>
      <c r="AG428" s="14"/>
      <c r="AH428" s="14">
        <f>IF(AND(V428=1,COUNTIFS(Valores!$S$10:$S$509,"="&amp;SUBSTITUTE(SUBSTITUTE(SUBSTITUTE("P:"&amp;A428,"~","~~"),"*","~*"),"?","~?"))=1),(IF(ISNA(MATCH(SUBSTITUTE(SUBSTITUTE(SUBSTITUTE("P:"&amp;A428,"~","~~"),"*","~*"),"?","~?"),Valores!$S$10:$S$509,0)),9,INDEX(Valores!$R$10:$R$509,MATCH(SUBSTITUTE(SUBSTITUTE(SUBSTITUTE("P:"&amp;A428,"~","~~"),"*","~*"),"?","~?"),Valores!$S$10:$S$509,0)))-9),0)</f>
        <v>0</v>
      </c>
      <c r="AI428" s="40" t="str">
        <f t="shared" si="57"/>
        <v/>
      </c>
      <c r="AJ428" s="14" t="str">
        <f>IF(AND(X428=1,Y428=1),COUNTIFS($X$10:X428,1,$Y$10:Y428,1),"")</f>
        <v/>
      </c>
      <c r="AK428" s="14" t="str">
        <f>IF(X428=1,COUNTIFS($X$10:X428,1),"")</f>
        <v/>
      </c>
      <c r="AL428" s="14">
        <f>IF(AND(V428=1,AND(OR(Painel!$L$6="Todas",E428=Painel!$L$6),OR(Painel!$C$8="Todos",F428=Painel!$C$8),OR(Painel!$L$8="Todos",G428=Painel!$L$8),OR(Painel!$C$10="",ISNUMBER(SEARCH(SUBSTITUTE(SUBSTITUTE(SUBSTITUTE(Painel!$C$10,"~","~~"),"*","~*"),"?","~?"),A428&amp;" "&amp;H428&amp;" "&amp;I428))))),1,0)</f>
        <v>0</v>
      </c>
      <c r="AM428" s="14">
        <f t="shared" si="58"/>
        <v>0</v>
      </c>
      <c r="AN428" s="14"/>
      <c r="AO428" s="14"/>
      <c r="AP428" s="16" t="str">
        <f>IF(AB428=0,"",IF(INDEX(Andamentos!$B$10:$B$2009,AB428)="","",INDEX(Andamentos!$B$10:$B$2009,AB428)))</f>
        <v/>
      </c>
      <c r="AQ428" s="17" t="str">
        <f>IF(AH428=0,"",IF(INDEX(Valores!$B$10:$B$509,AH428)="","",IF(ISNUMBER(INDEX(Valores!$B$10:$B$509,AH428)),INDEX(Valores!$B$10:$B$509,AH428),"")))</f>
        <v/>
      </c>
      <c r="AR428" s="14" t="str">
        <f t="shared" si="59"/>
        <v/>
      </c>
      <c r="AS428" s="14" t="str">
        <f t="shared" si="60"/>
        <v/>
      </c>
      <c r="AT428" s="27"/>
      <c r="AU428" s="31"/>
      <c r="AV428" s="31"/>
      <c r="AW428" s="27"/>
      <c r="AX428" s="27"/>
      <c r="AY428" s="27"/>
      <c r="AZ428" s="27"/>
      <c r="BA428" s="30" t="str">
        <f t="shared" si="61"/>
        <v/>
      </c>
      <c r="BB428" s="30" t="str">
        <f t="shared" si="62"/>
        <v/>
      </c>
      <c r="BC428" s="30">
        <f>IF(X428=0,0,IF(COUNTIFS($X$10:X428,1,$BA$10:BA428,BA428)=1,1,0))</f>
        <v>0</v>
      </c>
      <c r="BD428" s="29"/>
    </row>
    <row r="429" spans="1:56" ht="42" customHeight="1">
      <c r="A429" s="41"/>
      <c r="B429" s="44"/>
      <c r="C429" s="44"/>
      <c r="D429" s="44"/>
      <c r="E429" s="44"/>
      <c r="F429" s="44"/>
      <c r="G429" s="44"/>
      <c r="H429" s="44"/>
      <c r="I429" s="44"/>
      <c r="J429" s="44"/>
      <c r="K429" s="44"/>
      <c r="L429" s="49"/>
      <c r="M429" s="48"/>
      <c r="N429" s="48"/>
      <c r="O429" s="48"/>
      <c r="P429" s="48"/>
      <c r="Q429" s="48"/>
      <c r="R429" s="48"/>
      <c r="S429" s="49"/>
      <c r="T429" s="48"/>
      <c r="U429" s="48"/>
      <c r="V429" s="14">
        <f t="shared" si="54"/>
        <v>0</v>
      </c>
      <c r="W429" s="14">
        <f t="shared" si="55"/>
        <v>0</v>
      </c>
      <c r="X429" s="14">
        <f>IF(AND(V429=1,OR(Painel!$C$6="Todos",D429=Painel!$C$6),AND(OR(Painel!$L$6="Todas",E429=Painel!$L$6),OR(Painel!$C$8="Todos",F429=Painel!$C$8),OR(Painel!$L$8="Todos",G429=Painel!$L$8),OR(Painel!$C$10="",ISNUMBER(SEARCH(SUBSTITUTE(SUBSTITUTE(SUBSTITUTE(Painel!$C$10,"~","~~"),"*","~*"),"?","~?"),A429&amp;" "&amp;H429&amp;" "&amp;I429))))),1,0)</f>
        <v>0</v>
      </c>
      <c r="Y429" s="14">
        <f t="shared" si="56"/>
        <v>0</v>
      </c>
      <c r="Z429" s="15" t="str">
        <f>IF(V429=0,"",IF(COUNTIFS(Andamentos!$K$10:$K$2009,"="&amp;SUBSTITUTE(SUBSTITUTE(SUBSTITUTE("P:"&amp;A429,"~","~~"),"*","~*"),"?","~?"),Andamentos!$G$10:$G$2009,1)=0,"",_xlfn.AGGREGATE(14,6,Andamentos!$D$10:$D$2009/((Andamentos!$K$10:$K$2009=AS429)*(Andamentos!$G$10:$G$2009=1)),1)))</f>
        <v/>
      </c>
      <c r="AA429" s="14">
        <f>IF(Z429="",0,COUNTIFS(Andamentos!$K$10:$K$2009,"="&amp;SUBSTITUTE(SUBSTITUTE(SUBSTITUTE("P:"&amp;A429,"~","~~"),"*","~*"),"?","~?"),Andamentos!$D$10:$D$2009,Z429,Andamentos!$G$10:$G$2009,1))</f>
        <v>0</v>
      </c>
      <c r="AB429" s="14">
        <f>IF(AA429=1,SUMIFS(Andamentos!$L$10:$L$2009,Andamentos!$K$10:$K$2009,"="&amp;SUBSTITUTE(SUBSTITUTE(SUBSTITUTE(AS429,"~","~~"),"*","~*"),"?","~?"),Andamentos!$D$10:$D$2009,Z429,Andamentos!$G$10:$G$2009,1)-9,0)</f>
        <v>0</v>
      </c>
      <c r="AC429" s="14" t="str">
        <f>IF(V429=0,"",IF(AA429&gt;1,"Conferir recebimentos empatados",IF(AB429=0,"Sem atualização",INDEX(Andamentos!$C$10:$C$2009,AB429))))</f>
        <v/>
      </c>
      <c r="AD429" s="14">
        <f>IF(W429=0,0,IF(MAX(Z429,BD429)=0,1,IF(Configurar!$J$12-INT(MAX(Z429,BD429))&gt;Configurar!$J$11,1,0)))</f>
        <v>0</v>
      </c>
      <c r="AE429" s="16"/>
      <c r="AF429" s="14"/>
      <c r="AG429" s="14"/>
      <c r="AH429" s="14">
        <f>IF(AND(V429=1,COUNTIFS(Valores!$S$10:$S$509,"="&amp;SUBSTITUTE(SUBSTITUTE(SUBSTITUTE("P:"&amp;A429,"~","~~"),"*","~*"),"?","~?"))=1),(IF(ISNA(MATCH(SUBSTITUTE(SUBSTITUTE(SUBSTITUTE("P:"&amp;A429,"~","~~"),"*","~*"),"?","~?"),Valores!$S$10:$S$509,0)),9,INDEX(Valores!$R$10:$R$509,MATCH(SUBSTITUTE(SUBSTITUTE(SUBSTITUTE("P:"&amp;A429,"~","~~"),"*","~*"),"?","~?"),Valores!$S$10:$S$509,0)))-9),0)</f>
        <v>0</v>
      </c>
      <c r="AI429" s="40" t="str">
        <f t="shared" si="57"/>
        <v/>
      </c>
      <c r="AJ429" s="14" t="str">
        <f>IF(AND(X429=1,Y429=1),COUNTIFS($X$10:X429,1,$Y$10:Y429,1),"")</f>
        <v/>
      </c>
      <c r="AK429" s="14" t="str">
        <f>IF(X429=1,COUNTIFS($X$10:X429,1),"")</f>
        <v/>
      </c>
      <c r="AL429" s="14">
        <f>IF(AND(V429=1,AND(OR(Painel!$L$6="Todas",E429=Painel!$L$6),OR(Painel!$C$8="Todos",F429=Painel!$C$8),OR(Painel!$L$8="Todos",G429=Painel!$L$8),OR(Painel!$C$10="",ISNUMBER(SEARCH(SUBSTITUTE(SUBSTITUTE(SUBSTITUTE(Painel!$C$10,"~","~~"),"*","~*"),"?","~?"),A429&amp;" "&amp;H429&amp;" "&amp;I429))))),1,0)</f>
        <v>0</v>
      </c>
      <c r="AM429" s="14">
        <f t="shared" si="58"/>
        <v>0</v>
      </c>
      <c r="AN429" s="14"/>
      <c r="AO429" s="14"/>
      <c r="AP429" s="16" t="str">
        <f>IF(AB429=0,"",IF(INDEX(Andamentos!$B$10:$B$2009,AB429)="","",INDEX(Andamentos!$B$10:$B$2009,AB429)))</f>
        <v/>
      </c>
      <c r="AQ429" s="17" t="str">
        <f>IF(AH429=0,"",IF(INDEX(Valores!$B$10:$B$509,AH429)="","",IF(ISNUMBER(INDEX(Valores!$B$10:$B$509,AH429)),INDEX(Valores!$B$10:$B$509,AH429),"")))</f>
        <v/>
      </c>
      <c r="AR429" s="14" t="str">
        <f t="shared" si="59"/>
        <v/>
      </c>
      <c r="AS429" s="14" t="str">
        <f t="shared" si="60"/>
        <v/>
      </c>
      <c r="AT429" s="27"/>
      <c r="AU429" s="31"/>
      <c r="AV429" s="31"/>
      <c r="AW429" s="27"/>
      <c r="AX429" s="27"/>
      <c r="AY429" s="27"/>
      <c r="AZ429" s="27"/>
      <c r="BA429" s="30" t="str">
        <f t="shared" si="61"/>
        <v/>
      </c>
      <c r="BB429" s="30" t="str">
        <f t="shared" si="62"/>
        <v/>
      </c>
      <c r="BC429" s="30">
        <f>IF(X429=0,0,IF(COUNTIFS($X$10:X429,1,$BA$10:BA429,BA429)=1,1,0))</f>
        <v>0</v>
      </c>
      <c r="BD429" s="29"/>
    </row>
    <row r="430" spans="1:56" ht="42" customHeight="1">
      <c r="A430" s="41"/>
      <c r="B430" s="44"/>
      <c r="C430" s="44"/>
      <c r="D430" s="44"/>
      <c r="E430" s="44"/>
      <c r="F430" s="44"/>
      <c r="G430" s="44"/>
      <c r="H430" s="44"/>
      <c r="I430" s="44"/>
      <c r="J430" s="44"/>
      <c r="K430" s="44"/>
      <c r="L430" s="49"/>
      <c r="M430" s="48"/>
      <c r="N430" s="48"/>
      <c r="O430" s="48"/>
      <c r="P430" s="48"/>
      <c r="Q430" s="48"/>
      <c r="R430" s="48"/>
      <c r="S430" s="49"/>
      <c r="T430" s="48"/>
      <c r="U430" s="48"/>
      <c r="V430" s="14">
        <f t="shared" si="54"/>
        <v>0</v>
      </c>
      <c r="W430" s="14">
        <f t="shared" si="55"/>
        <v>0</v>
      </c>
      <c r="X430" s="14">
        <f>IF(AND(V430=1,OR(Painel!$C$6="Todos",D430=Painel!$C$6),AND(OR(Painel!$L$6="Todas",E430=Painel!$L$6),OR(Painel!$C$8="Todos",F430=Painel!$C$8),OR(Painel!$L$8="Todos",G430=Painel!$L$8),OR(Painel!$C$10="",ISNUMBER(SEARCH(SUBSTITUTE(SUBSTITUTE(SUBSTITUTE(Painel!$C$10,"~","~~"),"*","~*"),"?","~?"),A430&amp;" "&amp;H430&amp;" "&amp;I430))))),1,0)</f>
        <v>0</v>
      </c>
      <c r="Y430" s="14">
        <f t="shared" si="56"/>
        <v>0</v>
      </c>
      <c r="Z430" s="15" t="str">
        <f>IF(V430=0,"",IF(COUNTIFS(Andamentos!$K$10:$K$2009,"="&amp;SUBSTITUTE(SUBSTITUTE(SUBSTITUTE("P:"&amp;A430,"~","~~"),"*","~*"),"?","~?"),Andamentos!$G$10:$G$2009,1)=0,"",_xlfn.AGGREGATE(14,6,Andamentos!$D$10:$D$2009/((Andamentos!$K$10:$K$2009=AS430)*(Andamentos!$G$10:$G$2009=1)),1)))</f>
        <v/>
      </c>
      <c r="AA430" s="14">
        <f>IF(Z430="",0,COUNTIFS(Andamentos!$K$10:$K$2009,"="&amp;SUBSTITUTE(SUBSTITUTE(SUBSTITUTE("P:"&amp;A430,"~","~~"),"*","~*"),"?","~?"),Andamentos!$D$10:$D$2009,Z430,Andamentos!$G$10:$G$2009,1))</f>
        <v>0</v>
      </c>
      <c r="AB430" s="14">
        <f>IF(AA430=1,SUMIFS(Andamentos!$L$10:$L$2009,Andamentos!$K$10:$K$2009,"="&amp;SUBSTITUTE(SUBSTITUTE(SUBSTITUTE(AS430,"~","~~"),"*","~*"),"?","~?"),Andamentos!$D$10:$D$2009,Z430,Andamentos!$G$10:$G$2009,1)-9,0)</f>
        <v>0</v>
      </c>
      <c r="AC430" s="14" t="str">
        <f>IF(V430=0,"",IF(AA430&gt;1,"Conferir recebimentos empatados",IF(AB430=0,"Sem atualização",INDEX(Andamentos!$C$10:$C$2009,AB430))))</f>
        <v/>
      </c>
      <c r="AD430" s="14">
        <f>IF(W430=0,0,IF(MAX(Z430,BD430)=0,1,IF(Configurar!$J$12-INT(MAX(Z430,BD430))&gt;Configurar!$J$11,1,0)))</f>
        <v>0</v>
      </c>
      <c r="AE430" s="16"/>
      <c r="AF430" s="14"/>
      <c r="AG430" s="14"/>
      <c r="AH430" s="14">
        <f>IF(AND(V430=1,COUNTIFS(Valores!$S$10:$S$509,"="&amp;SUBSTITUTE(SUBSTITUTE(SUBSTITUTE("P:"&amp;A430,"~","~~"),"*","~*"),"?","~?"))=1),(IF(ISNA(MATCH(SUBSTITUTE(SUBSTITUTE(SUBSTITUTE("P:"&amp;A430,"~","~~"),"*","~*"),"?","~?"),Valores!$S$10:$S$509,0)),9,INDEX(Valores!$R$10:$R$509,MATCH(SUBSTITUTE(SUBSTITUTE(SUBSTITUTE("P:"&amp;A430,"~","~~"),"*","~*"),"?","~?"),Valores!$S$10:$S$509,0)))-9),0)</f>
        <v>0</v>
      </c>
      <c r="AI430" s="40" t="str">
        <f t="shared" si="57"/>
        <v/>
      </c>
      <c r="AJ430" s="14" t="str">
        <f>IF(AND(X430=1,Y430=1),COUNTIFS($X$10:X430,1,$Y$10:Y430,1),"")</f>
        <v/>
      </c>
      <c r="AK430" s="14" t="str">
        <f>IF(X430=1,COUNTIFS($X$10:X430,1),"")</f>
        <v/>
      </c>
      <c r="AL430" s="14">
        <f>IF(AND(V430=1,AND(OR(Painel!$L$6="Todas",E430=Painel!$L$6),OR(Painel!$C$8="Todos",F430=Painel!$C$8),OR(Painel!$L$8="Todos",G430=Painel!$L$8),OR(Painel!$C$10="",ISNUMBER(SEARCH(SUBSTITUTE(SUBSTITUTE(SUBSTITUTE(Painel!$C$10,"~","~~"),"*","~*"),"?","~?"),A430&amp;" "&amp;H430&amp;" "&amp;I430))))),1,0)</f>
        <v>0</v>
      </c>
      <c r="AM430" s="14">
        <f t="shared" si="58"/>
        <v>0</v>
      </c>
      <c r="AN430" s="14"/>
      <c r="AO430" s="14"/>
      <c r="AP430" s="16" t="str">
        <f>IF(AB430=0,"",IF(INDEX(Andamentos!$B$10:$B$2009,AB430)="","",INDEX(Andamentos!$B$10:$B$2009,AB430)))</f>
        <v/>
      </c>
      <c r="AQ430" s="17" t="str">
        <f>IF(AH430=0,"",IF(INDEX(Valores!$B$10:$B$509,AH430)="","",IF(ISNUMBER(INDEX(Valores!$B$10:$B$509,AH430)),INDEX(Valores!$B$10:$B$509,AH430),"")))</f>
        <v/>
      </c>
      <c r="AR430" s="14" t="str">
        <f t="shared" si="59"/>
        <v/>
      </c>
      <c r="AS430" s="14" t="str">
        <f t="shared" si="60"/>
        <v/>
      </c>
      <c r="AT430" s="27"/>
      <c r="AU430" s="31"/>
      <c r="AV430" s="31"/>
      <c r="AW430" s="27"/>
      <c r="AX430" s="27"/>
      <c r="AY430" s="27"/>
      <c r="AZ430" s="27"/>
      <c r="BA430" s="30" t="str">
        <f t="shared" si="61"/>
        <v/>
      </c>
      <c r="BB430" s="30" t="str">
        <f t="shared" si="62"/>
        <v/>
      </c>
      <c r="BC430" s="30">
        <f>IF(X430=0,0,IF(COUNTIFS($X$10:X430,1,$BA$10:BA430,BA430)=1,1,0))</f>
        <v>0</v>
      </c>
      <c r="BD430" s="29"/>
    </row>
    <row r="431" spans="1:56" ht="42" customHeight="1">
      <c r="A431" s="41"/>
      <c r="B431" s="44"/>
      <c r="C431" s="44"/>
      <c r="D431" s="44"/>
      <c r="E431" s="44"/>
      <c r="F431" s="44"/>
      <c r="G431" s="44"/>
      <c r="H431" s="44"/>
      <c r="I431" s="44"/>
      <c r="J431" s="44"/>
      <c r="K431" s="44"/>
      <c r="L431" s="49"/>
      <c r="M431" s="48"/>
      <c r="N431" s="48"/>
      <c r="O431" s="48"/>
      <c r="P431" s="48"/>
      <c r="Q431" s="48"/>
      <c r="R431" s="48"/>
      <c r="S431" s="49"/>
      <c r="T431" s="48"/>
      <c r="U431" s="48"/>
      <c r="V431" s="14">
        <f t="shared" si="54"/>
        <v>0</v>
      </c>
      <c r="W431" s="14">
        <f t="shared" si="55"/>
        <v>0</v>
      </c>
      <c r="X431" s="14">
        <f>IF(AND(V431=1,OR(Painel!$C$6="Todos",D431=Painel!$C$6),AND(OR(Painel!$L$6="Todas",E431=Painel!$L$6),OR(Painel!$C$8="Todos",F431=Painel!$C$8),OR(Painel!$L$8="Todos",G431=Painel!$L$8),OR(Painel!$C$10="",ISNUMBER(SEARCH(SUBSTITUTE(SUBSTITUTE(SUBSTITUTE(Painel!$C$10,"~","~~"),"*","~*"),"?","~?"),A431&amp;" "&amp;H431&amp;" "&amp;I431))))),1,0)</f>
        <v>0</v>
      </c>
      <c r="Y431" s="14">
        <f t="shared" si="56"/>
        <v>0</v>
      </c>
      <c r="Z431" s="15" t="str">
        <f>IF(V431=0,"",IF(COUNTIFS(Andamentos!$K$10:$K$2009,"="&amp;SUBSTITUTE(SUBSTITUTE(SUBSTITUTE("P:"&amp;A431,"~","~~"),"*","~*"),"?","~?"),Andamentos!$G$10:$G$2009,1)=0,"",_xlfn.AGGREGATE(14,6,Andamentos!$D$10:$D$2009/((Andamentos!$K$10:$K$2009=AS431)*(Andamentos!$G$10:$G$2009=1)),1)))</f>
        <v/>
      </c>
      <c r="AA431" s="14">
        <f>IF(Z431="",0,COUNTIFS(Andamentos!$K$10:$K$2009,"="&amp;SUBSTITUTE(SUBSTITUTE(SUBSTITUTE("P:"&amp;A431,"~","~~"),"*","~*"),"?","~?"),Andamentos!$D$10:$D$2009,Z431,Andamentos!$G$10:$G$2009,1))</f>
        <v>0</v>
      </c>
      <c r="AB431" s="14">
        <f>IF(AA431=1,SUMIFS(Andamentos!$L$10:$L$2009,Andamentos!$K$10:$K$2009,"="&amp;SUBSTITUTE(SUBSTITUTE(SUBSTITUTE(AS431,"~","~~"),"*","~*"),"?","~?"),Andamentos!$D$10:$D$2009,Z431,Andamentos!$G$10:$G$2009,1)-9,0)</f>
        <v>0</v>
      </c>
      <c r="AC431" s="14" t="str">
        <f>IF(V431=0,"",IF(AA431&gt;1,"Conferir recebimentos empatados",IF(AB431=0,"Sem atualização",INDEX(Andamentos!$C$10:$C$2009,AB431))))</f>
        <v/>
      </c>
      <c r="AD431" s="14">
        <f>IF(W431=0,0,IF(MAX(Z431,BD431)=0,1,IF(Configurar!$J$12-INT(MAX(Z431,BD431))&gt;Configurar!$J$11,1,0)))</f>
        <v>0</v>
      </c>
      <c r="AE431" s="16"/>
      <c r="AF431" s="14"/>
      <c r="AG431" s="14"/>
      <c r="AH431" s="14">
        <f>IF(AND(V431=1,COUNTIFS(Valores!$S$10:$S$509,"="&amp;SUBSTITUTE(SUBSTITUTE(SUBSTITUTE("P:"&amp;A431,"~","~~"),"*","~*"),"?","~?"))=1),(IF(ISNA(MATCH(SUBSTITUTE(SUBSTITUTE(SUBSTITUTE("P:"&amp;A431,"~","~~"),"*","~*"),"?","~?"),Valores!$S$10:$S$509,0)),9,INDEX(Valores!$R$10:$R$509,MATCH(SUBSTITUTE(SUBSTITUTE(SUBSTITUTE("P:"&amp;A431,"~","~~"),"*","~*"),"?","~?"),Valores!$S$10:$S$509,0)))-9),0)</f>
        <v>0</v>
      </c>
      <c r="AI431" s="40" t="str">
        <f t="shared" si="57"/>
        <v/>
      </c>
      <c r="AJ431" s="14" t="str">
        <f>IF(AND(X431=1,Y431=1),COUNTIFS($X$10:X431,1,$Y$10:Y431,1),"")</f>
        <v/>
      </c>
      <c r="AK431" s="14" t="str">
        <f>IF(X431=1,COUNTIFS($X$10:X431,1),"")</f>
        <v/>
      </c>
      <c r="AL431" s="14">
        <f>IF(AND(V431=1,AND(OR(Painel!$L$6="Todas",E431=Painel!$L$6),OR(Painel!$C$8="Todos",F431=Painel!$C$8),OR(Painel!$L$8="Todos",G431=Painel!$L$8),OR(Painel!$C$10="",ISNUMBER(SEARCH(SUBSTITUTE(SUBSTITUTE(SUBSTITUTE(Painel!$C$10,"~","~~"),"*","~*"),"?","~?"),A431&amp;" "&amp;H431&amp;" "&amp;I431))))),1,0)</f>
        <v>0</v>
      </c>
      <c r="AM431" s="14">
        <f t="shared" si="58"/>
        <v>0</v>
      </c>
      <c r="AN431" s="14"/>
      <c r="AO431" s="14"/>
      <c r="AP431" s="16" t="str">
        <f>IF(AB431=0,"",IF(INDEX(Andamentos!$B$10:$B$2009,AB431)="","",INDEX(Andamentos!$B$10:$B$2009,AB431)))</f>
        <v/>
      </c>
      <c r="AQ431" s="17" t="str">
        <f>IF(AH431=0,"",IF(INDEX(Valores!$B$10:$B$509,AH431)="","",IF(ISNUMBER(INDEX(Valores!$B$10:$B$509,AH431)),INDEX(Valores!$B$10:$B$509,AH431),"")))</f>
        <v/>
      </c>
      <c r="AR431" s="14" t="str">
        <f t="shared" si="59"/>
        <v/>
      </c>
      <c r="AS431" s="14" t="str">
        <f t="shared" si="60"/>
        <v/>
      </c>
      <c r="AT431" s="27"/>
      <c r="AU431" s="31"/>
      <c r="AV431" s="31"/>
      <c r="AW431" s="27"/>
      <c r="AX431" s="27"/>
      <c r="AY431" s="27"/>
      <c r="AZ431" s="27"/>
      <c r="BA431" s="30" t="str">
        <f t="shared" si="61"/>
        <v/>
      </c>
      <c r="BB431" s="30" t="str">
        <f t="shared" si="62"/>
        <v/>
      </c>
      <c r="BC431" s="30">
        <f>IF(X431=0,0,IF(COUNTIFS($X$10:X431,1,$BA$10:BA431,BA431)=1,1,0))</f>
        <v>0</v>
      </c>
      <c r="BD431" s="29"/>
    </row>
    <row r="432" spans="1:56" ht="42" customHeight="1">
      <c r="A432" s="41"/>
      <c r="B432" s="44"/>
      <c r="C432" s="44"/>
      <c r="D432" s="44"/>
      <c r="E432" s="44"/>
      <c r="F432" s="44"/>
      <c r="G432" s="44"/>
      <c r="H432" s="44"/>
      <c r="I432" s="44"/>
      <c r="J432" s="44"/>
      <c r="K432" s="44"/>
      <c r="L432" s="49"/>
      <c r="M432" s="48"/>
      <c r="N432" s="48"/>
      <c r="O432" s="48"/>
      <c r="P432" s="48"/>
      <c r="Q432" s="48"/>
      <c r="R432" s="48"/>
      <c r="S432" s="49"/>
      <c r="T432" s="48"/>
      <c r="U432" s="48"/>
      <c r="V432" s="14">
        <f t="shared" si="54"/>
        <v>0</v>
      </c>
      <c r="W432" s="14">
        <f t="shared" si="55"/>
        <v>0</v>
      </c>
      <c r="X432" s="14">
        <f>IF(AND(V432=1,OR(Painel!$C$6="Todos",D432=Painel!$C$6),AND(OR(Painel!$L$6="Todas",E432=Painel!$L$6),OR(Painel!$C$8="Todos",F432=Painel!$C$8),OR(Painel!$L$8="Todos",G432=Painel!$L$8),OR(Painel!$C$10="",ISNUMBER(SEARCH(SUBSTITUTE(SUBSTITUTE(SUBSTITUTE(Painel!$C$10,"~","~~"),"*","~*"),"?","~?"),A432&amp;" "&amp;H432&amp;" "&amp;I432))))),1,0)</f>
        <v>0</v>
      </c>
      <c r="Y432" s="14">
        <f t="shared" si="56"/>
        <v>0</v>
      </c>
      <c r="Z432" s="15" t="str">
        <f>IF(V432=0,"",IF(COUNTIFS(Andamentos!$K$10:$K$2009,"="&amp;SUBSTITUTE(SUBSTITUTE(SUBSTITUTE("P:"&amp;A432,"~","~~"),"*","~*"),"?","~?"),Andamentos!$G$10:$G$2009,1)=0,"",_xlfn.AGGREGATE(14,6,Andamentos!$D$10:$D$2009/((Andamentos!$K$10:$K$2009=AS432)*(Andamentos!$G$10:$G$2009=1)),1)))</f>
        <v/>
      </c>
      <c r="AA432" s="14">
        <f>IF(Z432="",0,COUNTIFS(Andamentos!$K$10:$K$2009,"="&amp;SUBSTITUTE(SUBSTITUTE(SUBSTITUTE("P:"&amp;A432,"~","~~"),"*","~*"),"?","~?"),Andamentos!$D$10:$D$2009,Z432,Andamentos!$G$10:$G$2009,1))</f>
        <v>0</v>
      </c>
      <c r="AB432" s="14">
        <f>IF(AA432=1,SUMIFS(Andamentos!$L$10:$L$2009,Andamentos!$K$10:$K$2009,"="&amp;SUBSTITUTE(SUBSTITUTE(SUBSTITUTE(AS432,"~","~~"),"*","~*"),"?","~?"),Andamentos!$D$10:$D$2009,Z432,Andamentos!$G$10:$G$2009,1)-9,0)</f>
        <v>0</v>
      </c>
      <c r="AC432" s="14" t="str">
        <f>IF(V432=0,"",IF(AA432&gt;1,"Conferir recebimentos empatados",IF(AB432=0,"Sem atualização",INDEX(Andamentos!$C$10:$C$2009,AB432))))</f>
        <v/>
      </c>
      <c r="AD432" s="14">
        <f>IF(W432=0,0,IF(MAX(Z432,BD432)=0,1,IF(Configurar!$J$12-INT(MAX(Z432,BD432))&gt;Configurar!$J$11,1,0)))</f>
        <v>0</v>
      </c>
      <c r="AE432" s="16"/>
      <c r="AF432" s="14"/>
      <c r="AG432" s="14"/>
      <c r="AH432" s="14">
        <f>IF(AND(V432=1,COUNTIFS(Valores!$S$10:$S$509,"="&amp;SUBSTITUTE(SUBSTITUTE(SUBSTITUTE("P:"&amp;A432,"~","~~"),"*","~*"),"?","~?"))=1),(IF(ISNA(MATCH(SUBSTITUTE(SUBSTITUTE(SUBSTITUTE("P:"&amp;A432,"~","~~"),"*","~*"),"?","~?"),Valores!$S$10:$S$509,0)),9,INDEX(Valores!$R$10:$R$509,MATCH(SUBSTITUTE(SUBSTITUTE(SUBSTITUTE("P:"&amp;A432,"~","~~"),"*","~*"),"?","~?"),Valores!$S$10:$S$509,0)))-9),0)</f>
        <v>0</v>
      </c>
      <c r="AI432" s="40" t="str">
        <f t="shared" si="57"/>
        <v/>
      </c>
      <c r="AJ432" s="14" t="str">
        <f>IF(AND(X432=1,Y432=1),COUNTIFS($X$10:X432,1,$Y$10:Y432,1),"")</f>
        <v/>
      </c>
      <c r="AK432" s="14" t="str">
        <f>IF(X432=1,COUNTIFS($X$10:X432,1),"")</f>
        <v/>
      </c>
      <c r="AL432" s="14">
        <f>IF(AND(V432=1,AND(OR(Painel!$L$6="Todas",E432=Painel!$L$6),OR(Painel!$C$8="Todos",F432=Painel!$C$8),OR(Painel!$L$8="Todos",G432=Painel!$L$8),OR(Painel!$C$10="",ISNUMBER(SEARCH(SUBSTITUTE(SUBSTITUTE(SUBSTITUTE(Painel!$C$10,"~","~~"),"*","~*"),"?","~?"),A432&amp;" "&amp;H432&amp;" "&amp;I432))))),1,0)</f>
        <v>0</v>
      </c>
      <c r="AM432" s="14">
        <f t="shared" si="58"/>
        <v>0</v>
      </c>
      <c r="AN432" s="14"/>
      <c r="AO432" s="14"/>
      <c r="AP432" s="16" t="str">
        <f>IF(AB432=0,"",IF(INDEX(Andamentos!$B$10:$B$2009,AB432)="","",INDEX(Andamentos!$B$10:$B$2009,AB432)))</f>
        <v/>
      </c>
      <c r="AQ432" s="17" t="str">
        <f>IF(AH432=0,"",IF(INDEX(Valores!$B$10:$B$509,AH432)="","",IF(ISNUMBER(INDEX(Valores!$B$10:$B$509,AH432)),INDEX(Valores!$B$10:$B$509,AH432),"")))</f>
        <v/>
      </c>
      <c r="AR432" s="14" t="str">
        <f t="shared" si="59"/>
        <v/>
      </c>
      <c r="AS432" s="14" t="str">
        <f t="shared" si="60"/>
        <v/>
      </c>
      <c r="AT432" s="27"/>
      <c r="AU432" s="31"/>
      <c r="AV432" s="31"/>
      <c r="AW432" s="27"/>
      <c r="AX432" s="27"/>
      <c r="AY432" s="27"/>
      <c r="AZ432" s="27"/>
      <c r="BA432" s="30" t="str">
        <f t="shared" si="61"/>
        <v/>
      </c>
      <c r="BB432" s="30" t="str">
        <f t="shared" si="62"/>
        <v/>
      </c>
      <c r="BC432" s="30">
        <f>IF(X432=0,0,IF(COUNTIFS($X$10:X432,1,$BA$10:BA432,BA432)=1,1,0))</f>
        <v>0</v>
      </c>
      <c r="BD432" s="29"/>
    </row>
    <row r="433" spans="1:56" ht="42" customHeight="1">
      <c r="A433" s="41"/>
      <c r="B433" s="44"/>
      <c r="C433" s="44"/>
      <c r="D433" s="44"/>
      <c r="E433" s="44"/>
      <c r="F433" s="44"/>
      <c r="G433" s="44"/>
      <c r="H433" s="44"/>
      <c r="I433" s="44"/>
      <c r="J433" s="44"/>
      <c r="K433" s="44"/>
      <c r="L433" s="49"/>
      <c r="M433" s="48"/>
      <c r="N433" s="48"/>
      <c r="O433" s="48"/>
      <c r="P433" s="48"/>
      <c r="Q433" s="48"/>
      <c r="R433" s="48"/>
      <c r="S433" s="49"/>
      <c r="T433" s="48"/>
      <c r="U433" s="48"/>
      <c r="V433" s="14">
        <f t="shared" si="54"/>
        <v>0</v>
      </c>
      <c r="W433" s="14">
        <f t="shared" si="55"/>
        <v>0</v>
      </c>
      <c r="X433" s="14">
        <f>IF(AND(V433=1,OR(Painel!$C$6="Todos",D433=Painel!$C$6),AND(OR(Painel!$L$6="Todas",E433=Painel!$L$6),OR(Painel!$C$8="Todos",F433=Painel!$C$8),OR(Painel!$L$8="Todos",G433=Painel!$L$8),OR(Painel!$C$10="",ISNUMBER(SEARCH(SUBSTITUTE(SUBSTITUTE(SUBSTITUTE(Painel!$C$10,"~","~~"),"*","~*"),"?","~?"),A433&amp;" "&amp;H433&amp;" "&amp;I433))))),1,0)</f>
        <v>0</v>
      </c>
      <c r="Y433" s="14">
        <f t="shared" si="56"/>
        <v>0</v>
      </c>
      <c r="Z433" s="15" t="str">
        <f>IF(V433=0,"",IF(COUNTIFS(Andamentos!$K$10:$K$2009,"="&amp;SUBSTITUTE(SUBSTITUTE(SUBSTITUTE("P:"&amp;A433,"~","~~"),"*","~*"),"?","~?"),Andamentos!$G$10:$G$2009,1)=0,"",_xlfn.AGGREGATE(14,6,Andamentos!$D$10:$D$2009/((Andamentos!$K$10:$K$2009=AS433)*(Andamentos!$G$10:$G$2009=1)),1)))</f>
        <v/>
      </c>
      <c r="AA433" s="14">
        <f>IF(Z433="",0,COUNTIFS(Andamentos!$K$10:$K$2009,"="&amp;SUBSTITUTE(SUBSTITUTE(SUBSTITUTE("P:"&amp;A433,"~","~~"),"*","~*"),"?","~?"),Andamentos!$D$10:$D$2009,Z433,Andamentos!$G$10:$G$2009,1))</f>
        <v>0</v>
      </c>
      <c r="AB433" s="14">
        <f>IF(AA433=1,SUMIFS(Andamentos!$L$10:$L$2009,Andamentos!$K$10:$K$2009,"="&amp;SUBSTITUTE(SUBSTITUTE(SUBSTITUTE(AS433,"~","~~"),"*","~*"),"?","~?"),Andamentos!$D$10:$D$2009,Z433,Andamentos!$G$10:$G$2009,1)-9,0)</f>
        <v>0</v>
      </c>
      <c r="AC433" s="14" t="str">
        <f>IF(V433=0,"",IF(AA433&gt;1,"Conferir recebimentos empatados",IF(AB433=0,"Sem atualização",INDEX(Andamentos!$C$10:$C$2009,AB433))))</f>
        <v/>
      </c>
      <c r="AD433" s="14">
        <f>IF(W433=0,0,IF(MAX(Z433,BD433)=0,1,IF(Configurar!$J$12-INT(MAX(Z433,BD433))&gt;Configurar!$J$11,1,0)))</f>
        <v>0</v>
      </c>
      <c r="AE433" s="16"/>
      <c r="AF433" s="14"/>
      <c r="AG433" s="14"/>
      <c r="AH433" s="14">
        <f>IF(AND(V433=1,COUNTIFS(Valores!$S$10:$S$509,"="&amp;SUBSTITUTE(SUBSTITUTE(SUBSTITUTE("P:"&amp;A433,"~","~~"),"*","~*"),"?","~?"))=1),(IF(ISNA(MATCH(SUBSTITUTE(SUBSTITUTE(SUBSTITUTE("P:"&amp;A433,"~","~~"),"*","~*"),"?","~?"),Valores!$S$10:$S$509,0)),9,INDEX(Valores!$R$10:$R$509,MATCH(SUBSTITUTE(SUBSTITUTE(SUBSTITUTE("P:"&amp;A433,"~","~~"),"*","~*"),"?","~?"),Valores!$S$10:$S$509,0)))-9),0)</f>
        <v>0</v>
      </c>
      <c r="AI433" s="40" t="str">
        <f t="shared" si="57"/>
        <v/>
      </c>
      <c r="AJ433" s="14" t="str">
        <f>IF(AND(X433=1,Y433=1),COUNTIFS($X$10:X433,1,$Y$10:Y433,1),"")</f>
        <v/>
      </c>
      <c r="AK433" s="14" t="str">
        <f>IF(X433=1,COUNTIFS($X$10:X433,1),"")</f>
        <v/>
      </c>
      <c r="AL433" s="14">
        <f>IF(AND(V433=1,AND(OR(Painel!$L$6="Todas",E433=Painel!$L$6),OR(Painel!$C$8="Todos",F433=Painel!$C$8),OR(Painel!$L$8="Todos",G433=Painel!$L$8),OR(Painel!$C$10="",ISNUMBER(SEARCH(SUBSTITUTE(SUBSTITUTE(SUBSTITUTE(Painel!$C$10,"~","~~"),"*","~*"),"?","~?"),A433&amp;" "&amp;H433&amp;" "&amp;I433))))),1,0)</f>
        <v>0</v>
      </c>
      <c r="AM433" s="14">
        <f t="shared" si="58"/>
        <v>0</v>
      </c>
      <c r="AN433" s="14"/>
      <c r="AO433" s="14"/>
      <c r="AP433" s="16" t="str">
        <f>IF(AB433=0,"",IF(INDEX(Andamentos!$B$10:$B$2009,AB433)="","",INDEX(Andamentos!$B$10:$B$2009,AB433)))</f>
        <v/>
      </c>
      <c r="AQ433" s="17" t="str">
        <f>IF(AH433=0,"",IF(INDEX(Valores!$B$10:$B$509,AH433)="","",IF(ISNUMBER(INDEX(Valores!$B$10:$B$509,AH433)),INDEX(Valores!$B$10:$B$509,AH433),"")))</f>
        <v/>
      </c>
      <c r="AR433" s="14" t="str">
        <f t="shared" si="59"/>
        <v/>
      </c>
      <c r="AS433" s="14" t="str">
        <f t="shared" si="60"/>
        <v/>
      </c>
      <c r="AT433" s="27"/>
      <c r="AU433" s="31"/>
      <c r="AV433" s="31"/>
      <c r="AW433" s="27"/>
      <c r="AX433" s="27"/>
      <c r="AY433" s="27"/>
      <c r="AZ433" s="27"/>
      <c r="BA433" s="30" t="str">
        <f t="shared" si="61"/>
        <v/>
      </c>
      <c r="BB433" s="30" t="str">
        <f t="shared" si="62"/>
        <v/>
      </c>
      <c r="BC433" s="30">
        <f>IF(X433=0,0,IF(COUNTIFS($X$10:X433,1,$BA$10:BA433,BA433)=1,1,0))</f>
        <v>0</v>
      </c>
      <c r="BD433" s="29"/>
    </row>
    <row r="434" spans="1:56" ht="42" customHeight="1">
      <c r="A434" s="41"/>
      <c r="B434" s="44"/>
      <c r="C434" s="44"/>
      <c r="D434" s="44"/>
      <c r="E434" s="44"/>
      <c r="F434" s="44"/>
      <c r="G434" s="44"/>
      <c r="H434" s="44"/>
      <c r="I434" s="44"/>
      <c r="J434" s="44"/>
      <c r="K434" s="44"/>
      <c r="L434" s="49"/>
      <c r="M434" s="48"/>
      <c r="N434" s="48"/>
      <c r="O434" s="48"/>
      <c r="P434" s="48"/>
      <c r="Q434" s="48"/>
      <c r="R434" s="48"/>
      <c r="S434" s="49"/>
      <c r="T434" s="48"/>
      <c r="U434" s="48"/>
      <c r="V434" s="14">
        <f t="shared" si="54"/>
        <v>0</v>
      </c>
      <c r="W434" s="14">
        <f t="shared" si="55"/>
        <v>0</v>
      </c>
      <c r="X434" s="14">
        <f>IF(AND(V434=1,OR(Painel!$C$6="Todos",D434=Painel!$C$6),AND(OR(Painel!$L$6="Todas",E434=Painel!$L$6),OR(Painel!$C$8="Todos",F434=Painel!$C$8),OR(Painel!$L$8="Todos",G434=Painel!$L$8),OR(Painel!$C$10="",ISNUMBER(SEARCH(SUBSTITUTE(SUBSTITUTE(SUBSTITUTE(Painel!$C$10,"~","~~"),"*","~*"),"?","~?"),A434&amp;" "&amp;H434&amp;" "&amp;I434))))),1,0)</f>
        <v>0</v>
      </c>
      <c r="Y434" s="14">
        <f t="shared" si="56"/>
        <v>0</v>
      </c>
      <c r="Z434" s="15" t="str">
        <f>IF(V434=0,"",IF(COUNTIFS(Andamentos!$K$10:$K$2009,"="&amp;SUBSTITUTE(SUBSTITUTE(SUBSTITUTE("P:"&amp;A434,"~","~~"),"*","~*"),"?","~?"),Andamentos!$G$10:$G$2009,1)=0,"",_xlfn.AGGREGATE(14,6,Andamentos!$D$10:$D$2009/((Andamentos!$K$10:$K$2009=AS434)*(Andamentos!$G$10:$G$2009=1)),1)))</f>
        <v/>
      </c>
      <c r="AA434" s="14">
        <f>IF(Z434="",0,COUNTIFS(Andamentos!$K$10:$K$2009,"="&amp;SUBSTITUTE(SUBSTITUTE(SUBSTITUTE("P:"&amp;A434,"~","~~"),"*","~*"),"?","~?"),Andamentos!$D$10:$D$2009,Z434,Andamentos!$G$10:$G$2009,1))</f>
        <v>0</v>
      </c>
      <c r="AB434" s="14">
        <f>IF(AA434=1,SUMIFS(Andamentos!$L$10:$L$2009,Andamentos!$K$10:$K$2009,"="&amp;SUBSTITUTE(SUBSTITUTE(SUBSTITUTE(AS434,"~","~~"),"*","~*"),"?","~?"),Andamentos!$D$10:$D$2009,Z434,Andamentos!$G$10:$G$2009,1)-9,0)</f>
        <v>0</v>
      </c>
      <c r="AC434" s="14" t="str">
        <f>IF(V434=0,"",IF(AA434&gt;1,"Conferir recebimentos empatados",IF(AB434=0,"Sem atualização",INDEX(Andamentos!$C$10:$C$2009,AB434))))</f>
        <v/>
      </c>
      <c r="AD434" s="14">
        <f>IF(W434=0,0,IF(MAX(Z434,BD434)=0,1,IF(Configurar!$J$12-INT(MAX(Z434,BD434))&gt;Configurar!$J$11,1,0)))</f>
        <v>0</v>
      </c>
      <c r="AE434" s="16"/>
      <c r="AF434" s="14"/>
      <c r="AG434" s="14"/>
      <c r="AH434" s="14">
        <f>IF(AND(V434=1,COUNTIFS(Valores!$S$10:$S$509,"="&amp;SUBSTITUTE(SUBSTITUTE(SUBSTITUTE("P:"&amp;A434,"~","~~"),"*","~*"),"?","~?"))=1),(IF(ISNA(MATCH(SUBSTITUTE(SUBSTITUTE(SUBSTITUTE("P:"&amp;A434,"~","~~"),"*","~*"),"?","~?"),Valores!$S$10:$S$509,0)),9,INDEX(Valores!$R$10:$R$509,MATCH(SUBSTITUTE(SUBSTITUTE(SUBSTITUTE("P:"&amp;A434,"~","~~"),"*","~*"),"?","~?"),Valores!$S$10:$S$509,0)))-9),0)</f>
        <v>0</v>
      </c>
      <c r="AI434" s="40" t="str">
        <f t="shared" si="57"/>
        <v/>
      </c>
      <c r="AJ434" s="14" t="str">
        <f>IF(AND(X434=1,Y434=1),COUNTIFS($X$10:X434,1,$Y$10:Y434,1),"")</f>
        <v/>
      </c>
      <c r="AK434" s="14" t="str">
        <f>IF(X434=1,COUNTIFS($X$10:X434,1),"")</f>
        <v/>
      </c>
      <c r="AL434" s="14">
        <f>IF(AND(V434=1,AND(OR(Painel!$L$6="Todas",E434=Painel!$L$6),OR(Painel!$C$8="Todos",F434=Painel!$C$8),OR(Painel!$L$8="Todos",G434=Painel!$L$8),OR(Painel!$C$10="",ISNUMBER(SEARCH(SUBSTITUTE(SUBSTITUTE(SUBSTITUTE(Painel!$C$10,"~","~~"),"*","~*"),"?","~?"),A434&amp;" "&amp;H434&amp;" "&amp;I434))))),1,0)</f>
        <v>0</v>
      </c>
      <c r="AM434" s="14">
        <f t="shared" si="58"/>
        <v>0</v>
      </c>
      <c r="AN434" s="14"/>
      <c r="AO434" s="14"/>
      <c r="AP434" s="16" t="str">
        <f>IF(AB434=0,"",IF(INDEX(Andamentos!$B$10:$B$2009,AB434)="","",INDEX(Andamentos!$B$10:$B$2009,AB434)))</f>
        <v/>
      </c>
      <c r="AQ434" s="17" t="str">
        <f>IF(AH434=0,"",IF(INDEX(Valores!$B$10:$B$509,AH434)="","",IF(ISNUMBER(INDEX(Valores!$B$10:$B$509,AH434)),INDEX(Valores!$B$10:$B$509,AH434),"")))</f>
        <v/>
      </c>
      <c r="AR434" s="14" t="str">
        <f t="shared" si="59"/>
        <v/>
      </c>
      <c r="AS434" s="14" t="str">
        <f t="shared" si="60"/>
        <v/>
      </c>
      <c r="AT434" s="27"/>
      <c r="AU434" s="31"/>
      <c r="AV434" s="31"/>
      <c r="AW434" s="27"/>
      <c r="AX434" s="27"/>
      <c r="AY434" s="27"/>
      <c r="AZ434" s="27"/>
      <c r="BA434" s="30" t="str">
        <f t="shared" si="61"/>
        <v/>
      </c>
      <c r="BB434" s="30" t="str">
        <f t="shared" si="62"/>
        <v/>
      </c>
      <c r="BC434" s="30">
        <f>IF(X434=0,0,IF(COUNTIFS($X$10:X434,1,$BA$10:BA434,BA434)=1,1,0))</f>
        <v>0</v>
      </c>
      <c r="BD434" s="29"/>
    </row>
    <row r="435" spans="1:56" ht="42" customHeight="1">
      <c r="A435" s="41"/>
      <c r="B435" s="44"/>
      <c r="C435" s="44"/>
      <c r="D435" s="44"/>
      <c r="E435" s="44"/>
      <c r="F435" s="44"/>
      <c r="G435" s="44"/>
      <c r="H435" s="44"/>
      <c r="I435" s="44"/>
      <c r="J435" s="44"/>
      <c r="K435" s="44"/>
      <c r="L435" s="49"/>
      <c r="M435" s="48"/>
      <c r="N435" s="48"/>
      <c r="O435" s="48"/>
      <c r="P435" s="48"/>
      <c r="Q435" s="48"/>
      <c r="R435" s="48"/>
      <c r="S435" s="49"/>
      <c r="T435" s="48"/>
      <c r="U435" s="48"/>
      <c r="V435" s="14">
        <f t="shared" si="54"/>
        <v>0</v>
      </c>
      <c r="W435" s="14">
        <f t="shared" si="55"/>
        <v>0</v>
      </c>
      <c r="X435" s="14">
        <f>IF(AND(V435=1,OR(Painel!$C$6="Todos",D435=Painel!$C$6),AND(OR(Painel!$L$6="Todas",E435=Painel!$L$6),OR(Painel!$C$8="Todos",F435=Painel!$C$8),OR(Painel!$L$8="Todos",G435=Painel!$L$8),OR(Painel!$C$10="",ISNUMBER(SEARCH(SUBSTITUTE(SUBSTITUTE(SUBSTITUTE(Painel!$C$10,"~","~~"),"*","~*"),"?","~?"),A435&amp;" "&amp;H435&amp;" "&amp;I435))))),1,0)</f>
        <v>0</v>
      </c>
      <c r="Y435" s="14">
        <f t="shared" si="56"/>
        <v>0</v>
      </c>
      <c r="Z435" s="15" t="str">
        <f>IF(V435=0,"",IF(COUNTIFS(Andamentos!$K$10:$K$2009,"="&amp;SUBSTITUTE(SUBSTITUTE(SUBSTITUTE("P:"&amp;A435,"~","~~"),"*","~*"),"?","~?"),Andamentos!$G$10:$G$2009,1)=0,"",_xlfn.AGGREGATE(14,6,Andamentos!$D$10:$D$2009/((Andamentos!$K$10:$K$2009=AS435)*(Andamentos!$G$10:$G$2009=1)),1)))</f>
        <v/>
      </c>
      <c r="AA435" s="14">
        <f>IF(Z435="",0,COUNTIFS(Andamentos!$K$10:$K$2009,"="&amp;SUBSTITUTE(SUBSTITUTE(SUBSTITUTE("P:"&amp;A435,"~","~~"),"*","~*"),"?","~?"),Andamentos!$D$10:$D$2009,Z435,Andamentos!$G$10:$G$2009,1))</f>
        <v>0</v>
      </c>
      <c r="AB435" s="14">
        <f>IF(AA435=1,SUMIFS(Andamentos!$L$10:$L$2009,Andamentos!$K$10:$K$2009,"="&amp;SUBSTITUTE(SUBSTITUTE(SUBSTITUTE(AS435,"~","~~"),"*","~*"),"?","~?"),Andamentos!$D$10:$D$2009,Z435,Andamentos!$G$10:$G$2009,1)-9,0)</f>
        <v>0</v>
      </c>
      <c r="AC435" s="14" t="str">
        <f>IF(V435=0,"",IF(AA435&gt;1,"Conferir recebimentos empatados",IF(AB435=0,"Sem atualização",INDEX(Andamentos!$C$10:$C$2009,AB435))))</f>
        <v/>
      </c>
      <c r="AD435" s="14">
        <f>IF(W435=0,0,IF(MAX(Z435,BD435)=0,1,IF(Configurar!$J$12-INT(MAX(Z435,BD435))&gt;Configurar!$J$11,1,0)))</f>
        <v>0</v>
      </c>
      <c r="AE435" s="16"/>
      <c r="AF435" s="14"/>
      <c r="AG435" s="14"/>
      <c r="AH435" s="14">
        <f>IF(AND(V435=1,COUNTIFS(Valores!$S$10:$S$509,"="&amp;SUBSTITUTE(SUBSTITUTE(SUBSTITUTE("P:"&amp;A435,"~","~~"),"*","~*"),"?","~?"))=1),(IF(ISNA(MATCH(SUBSTITUTE(SUBSTITUTE(SUBSTITUTE("P:"&amp;A435,"~","~~"),"*","~*"),"?","~?"),Valores!$S$10:$S$509,0)),9,INDEX(Valores!$R$10:$R$509,MATCH(SUBSTITUTE(SUBSTITUTE(SUBSTITUTE("P:"&amp;A435,"~","~~"),"*","~*"),"?","~?"),Valores!$S$10:$S$509,0)))-9),0)</f>
        <v>0</v>
      </c>
      <c r="AI435" s="40" t="str">
        <f t="shared" si="57"/>
        <v/>
      </c>
      <c r="AJ435" s="14" t="str">
        <f>IF(AND(X435=1,Y435=1),COUNTIFS($X$10:X435,1,$Y$10:Y435,1),"")</f>
        <v/>
      </c>
      <c r="AK435" s="14" t="str">
        <f>IF(X435=1,COUNTIFS($X$10:X435,1),"")</f>
        <v/>
      </c>
      <c r="AL435" s="14">
        <f>IF(AND(V435=1,AND(OR(Painel!$L$6="Todas",E435=Painel!$L$6),OR(Painel!$C$8="Todos",F435=Painel!$C$8),OR(Painel!$L$8="Todos",G435=Painel!$L$8),OR(Painel!$C$10="",ISNUMBER(SEARCH(SUBSTITUTE(SUBSTITUTE(SUBSTITUTE(Painel!$C$10,"~","~~"),"*","~*"),"?","~?"),A435&amp;" "&amp;H435&amp;" "&amp;I435))))),1,0)</f>
        <v>0</v>
      </c>
      <c r="AM435" s="14">
        <f t="shared" si="58"/>
        <v>0</v>
      </c>
      <c r="AN435" s="14"/>
      <c r="AO435" s="14"/>
      <c r="AP435" s="16" t="str">
        <f>IF(AB435=0,"",IF(INDEX(Andamentos!$B$10:$B$2009,AB435)="","",INDEX(Andamentos!$B$10:$B$2009,AB435)))</f>
        <v/>
      </c>
      <c r="AQ435" s="17" t="str">
        <f>IF(AH435=0,"",IF(INDEX(Valores!$B$10:$B$509,AH435)="","",IF(ISNUMBER(INDEX(Valores!$B$10:$B$509,AH435)),INDEX(Valores!$B$10:$B$509,AH435),"")))</f>
        <v/>
      </c>
      <c r="AR435" s="14" t="str">
        <f t="shared" si="59"/>
        <v/>
      </c>
      <c r="AS435" s="14" t="str">
        <f t="shared" si="60"/>
        <v/>
      </c>
      <c r="AT435" s="27"/>
      <c r="AU435" s="31"/>
      <c r="AV435" s="31"/>
      <c r="AW435" s="27"/>
      <c r="AX435" s="27"/>
      <c r="AY435" s="27"/>
      <c r="AZ435" s="27"/>
      <c r="BA435" s="30" t="str">
        <f t="shared" si="61"/>
        <v/>
      </c>
      <c r="BB435" s="30" t="str">
        <f t="shared" si="62"/>
        <v/>
      </c>
      <c r="BC435" s="30">
        <f>IF(X435=0,0,IF(COUNTIFS($X$10:X435,1,$BA$10:BA435,BA435)=1,1,0))</f>
        <v>0</v>
      </c>
      <c r="BD435" s="29"/>
    </row>
    <row r="436" spans="1:56" ht="42" customHeight="1">
      <c r="A436" s="41"/>
      <c r="B436" s="44"/>
      <c r="C436" s="44"/>
      <c r="D436" s="44"/>
      <c r="E436" s="44"/>
      <c r="F436" s="44"/>
      <c r="G436" s="44"/>
      <c r="H436" s="44"/>
      <c r="I436" s="44"/>
      <c r="J436" s="44"/>
      <c r="K436" s="44"/>
      <c r="L436" s="49"/>
      <c r="M436" s="48"/>
      <c r="N436" s="48"/>
      <c r="O436" s="48"/>
      <c r="P436" s="48"/>
      <c r="Q436" s="48"/>
      <c r="R436" s="48"/>
      <c r="S436" s="49"/>
      <c r="T436" s="48"/>
      <c r="U436" s="48"/>
      <c r="V436" s="14">
        <f t="shared" si="54"/>
        <v>0</v>
      </c>
      <c r="W436" s="14">
        <f t="shared" si="55"/>
        <v>0</v>
      </c>
      <c r="X436" s="14">
        <f>IF(AND(V436=1,OR(Painel!$C$6="Todos",D436=Painel!$C$6),AND(OR(Painel!$L$6="Todas",E436=Painel!$L$6),OR(Painel!$C$8="Todos",F436=Painel!$C$8),OR(Painel!$L$8="Todos",G436=Painel!$L$8),OR(Painel!$C$10="",ISNUMBER(SEARCH(SUBSTITUTE(SUBSTITUTE(SUBSTITUTE(Painel!$C$10,"~","~~"),"*","~*"),"?","~?"),A436&amp;" "&amp;H436&amp;" "&amp;I436))))),1,0)</f>
        <v>0</v>
      </c>
      <c r="Y436" s="14">
        <f t="shared" si="56"/>
        <v>0</v>
      </c>
      <c r="Z436" s="15" t="str">
        <f>IF(V436=0,"",IF(COUNTIFS(Andamentos!$K$10:$K$2009,"="&amp;SUBSTITUTE(SUBSTITUTE(SUBSTITUTE("P:"&amp;A436,"~","~~"),"*","~*"),"?","~?"),Andamentos!$G$10:$G$2009,1)=0,"",_xlfn.AGGREGATE(14,6,Andamentos!$D$10:$D$2009/((Andamentos!$K$10:$K$2009=AS436)*(Andamentos!$G$10:$G$2009=1)),1)))</f>
        <v/>
      </c>
      <c r="AA436" s="14">
        <f>IF(Z436="",0,COUNTIFS(Andamentos!$K$10:$K$2009,"="&amp;SUBSTITUTE(SUBSTITUTE(SUBSTITUTE("P:"&amp;A436,"~","~~"),"*","~*"),"?","~?"),Andamentos!$D$10:$D$2009,Z436,Andamentos!$G$10:$G$2009,1))</f>
        <v>0</v>
      </c>
      <c r="AB436" s="14">
        <f>IF(AA436=1,SUMIFS(Andamentos!$L$10:$L$2009,Andamentos!$K$10:$K$2009,"="&amp;SUBSTITUTE(SUBSTITUTE(SUBSTITUTE(AS436,"~","~~"),"*","~*"),"?","~?"),Andamentos!$D$10:$D$2009,Z436,Andamentos!$G$10:$G$2009,1)-9,0)</f>
        <v>0</v>
      </c>
      <c r="AC436" s="14" t="str">
        <f>IF(V436=0,"",IF(AA436&gt;1,"Conferir recebimentos empatados",IF(AB436=0,"Sem atualização",INDEX(Andamentos!$C$10:$C$2009,AB436))))</f>
        <v/>
      </c>
      <c r="AD436" s="14">
        <f>IF(W436=0,0,IF(MAX(Z436,BD436)=0,1,IF(Configurar!$J$12-INT(MAX(Z436,BD436))&gt;Configurar!$J$11,1,0)))</f>
        <v>0</v>
      </c>
      <c r="AE436" s="16"/>
      <c r="AF436" s="14"/>
      <c r="AG436" s="14"/>
      <c r="AH436" s="14">
        <f>IF(AND(V436=1,COUNTIFS(Valores!$S$10:$S$509,"="&amp;SUBSTITUTE(SUBSTITUTE(SUBSTITUTE("P:"&amp;A436,"~","~~"),"*","~*"),"?","~?"))=1),(IF(ISNA(MATCH(SUBSTITUTE(SUBSTITUTE(SUBSTITUTE("P:"&amp;A436,"~","~~"),"*","~*"),"?","~?"),Valores!$S$10:$S$509,0)),9,INDEX(Valores!$R$10:$R$509,MATCH(SUBSTITUTE(SUBSTITUTE(SUBSTITUTE("P:"&amp;A436,"~","~~"),"*","~*"),"?","~?"),Valores!$S$10:$S$509,0)))-9),0)</f>
        <v>0</v>
      </c>
      <c r="AI436" s="40" t="str">
        <f t="shared" si="57"/>
        <v/>
      </c>
      <c r="AJ436" s="14" t="str">
        <f>IF(AND(X436=1,Y436=1),COUNTIFS($X$10:X436,1,$Y$10:Y436,1),"")</f>
        <v/>
      </c>
      <c r="AK436" s="14" t="str">
        <f>IF(X436=1,COUNTIFS($X$10:X436,1),"")</f>
        <v/>
      </c>
      <c r="AL436" s="14">
        <f>IF(AND(V436=1,AND(OR(Painel!$L$6="Todas",E436=Painel!$L$6),OR(Painel!$C$8="Todos",F436=Painel!$C$8),OR(Painel!$L$8="Todos",G436=Painel!$L$8),OR(Painel!$C$10="",ISNUMBER(SEARCH(SUBSTITUTE(SUBSTITUTE(SUBSTITUTE(Painel!$C$10,"~","~~"),"*","~*"),"?","~?"),A436&amp;" "&amp;H436&amp;" "&amp;I436))))),1,0)</f>
        <v>0</v>
      </c>
      <c r="AM436" s="14">
        <f t="shared" si="58"/>
        <v>0</v>
      </c>
      <c r="AN436" s="14"/>
      <c r="AO436" s="14"/>
      <c r="AP436" s="16" t="str">
        <f>IF(AB436=0,"",IF(INDEX(Andamentos!$B$10:$B$2009,AB436)="","",INDEX(Andamentos!$B$10:$B$2009,AB436)))</f>
        <v/>
      </c>
      <c r="AQ436" s="17" t="str">
        <f>IF(AH436=0,"",IF(INDEX(Valores!$B$10:$B$509,AH436)="","",IF(ISNUMBER(INDEX(Valores!$B$10:$B$509,AH436)),INDEX(Valores!$B$10:$B$509,AH436),"")))</f>
        <v/>
      </c>
      <c r="AR436" s="14" t="str">
        <f t="shared" si="59"/>
        <v/>
      </c>
      <c r="AS436" s="14" t="str">
        <f t="shared" si="60"/>
        <v/>
      </c>
      <c r="AT436" s="27"/>
      <c r="AU436" s="31"/>
      <c r="AV436" s="31"/>
      <c r="AW436" s="27"/>
      <c r="AX436" s="27"/>
      <c r="AY436" s="27"/>
      <c r="AZ436" s="27"/>
      <c r="BA436" s="30" t="str">
        <f t="shared" si="61"/>
        <v/>
      </c>
      <c r="BB436" s="30" t="str">
        <f t="shared" si="62"/>
        <v/>
      </c>
      <c r="BC436" s="30">
        <f>IF(X436=0,0,IF(COUNTIFS($X$10:X436,1,$BA$10:BA436,BA436)=1,1,0))</f>
        <v>0</v>
      </c>
      <c r="BD436" s="29"/>
    </row>
    <row r="437" spans="1:56" ht="42" customHeight="1">
      <c r="A437" s="41"/>
      <c r="B437" s="44"/>
      <c r="C437" s="44"/>
      <c r="D437" s="44"/>
      <c r="E437" s="44"/>
      <c r="F437" s="44"/>
      <c r="G437" s="44"/>
      <c r="H437" s="44"/>
      <c r="I437" s="44"/>
      <c r="J437" s="44"/>
      <c r="K437" s="44"/>
      <c r="L437" s="49"/>
      <c r="M437" s="48"/>
      <c r="N437" s="48"/>
      <c r="O437" s="48"/>
      <c r="P437" s="48"/>
      <c r="Q437" s="48"/>
      <c r="R437" s="48"/>
      <c r="S437" s="49"/>
      <c r="T437" s="48"/>
      <c r="U437" s="48"/>
      <c r="V437" s="14">
        <f t="shared" si="54"/>
        <v>0</v>
      </c>
      <c r="W437" s="14">
        <f t="shared" si="55"/>
        <v>0</v>
      </c>
      <c r="X437" s="14">
        <f>IF(AND(V437=1,OR(Painel!$C$6="Todos",D437=Painel!$C$6),AND(OR(Painel!$L$6="Todas",E437=Painel!$L$6),OR(Painel!$C$8="Todos",F437=Painel!$C$8),OR(Painel!$L$8="Todos",G437=Painel!$L$8),OR(Painel!$C$10="",ISNUMBER(SEARCH(SUBSTITUTE(SUBSTITUTE(SUBSTITUTE(Painel!$C$10,"~","~~"),"*","~*"),"?","~?"),A437&amp;" "&amp;H437&amp;" "&amp;I437))))),1,0)</f>
        <v>0</v>
      </c>
      <c r="Y437" s="14">
        <f t="shared" si="56"/>
        <v>0</v>
      </c>
      <c r="Z437" s="15" t="str">
        <f>IF(V437=0,"",IF(COUNTIFS(Andamentos!$K$10:$K$2009,"="&amp;SUBSTITUTE(SUBSTITUTE(SUBSTITUTE("P:"&amp;A437,"~","~~"),"*","~*"),"?","~?"),Andamentos!$G$10:$G$2009,1)=0,"",_xlfn.AGGREGATE(14,6,Andamentos!$D$10:$D$2009/((Andamentos!$K$10:$K$2009=AS437)*(Andamentos!$G$10:$G$2009=1)),1)))</f>
        <v/>
      </c>
      <c r="AA437" s="14">
        <f>IF(Z437="",0,COUNTIFS(Andamentos!$K$10:$K$2009,"="&amp;SUBSTITUTE(SUBSTITUTE(SUBSTITUTE("P:"&amp;A437,"~","~~"),"*","~*"),"?","~?"),Andamentos!$D$10:$D$2009,Z437,Andamentos!$G$10:$G$2009,1))</f>
        <v>0</v>
      </c>
      <c r="AB437" s="14">
        <f>IF(AA437=1,SUMIFS(Andamentos!$L$10:$L$2009,Andamentos!$K$10:$K$2009,"="&amp;SUBSTITUTE(SUBSTITUTE(SUBSTITUTE(AS437,"~","~~"),"*","~*"),"?","~?"),Andamentos!$D$10:$D$2009,Z437,Andamentos!$G$10:$G$2009,1)-9,0)</f>
        <v>0</v>
      </c>
      <c r="AC437" s="14" t="str">
        <f>IF(V437=0,"",IF(AA437&gt;1,"Conferir recebimentos empatados",IF(AB437=0,"Sem atualização",INDEX(Andamentos!$C$10:$C$2009,AB437))))</f>
        <v/>
      </c>
      <c r="AD437" s="14">
        <f>IF(W437=0,0,IF(MAX(Z437,BD437)=0,1,IF(Configurar!$J$12-INT(MAX(Z437,BD437))&gt;Configurar!$J$11,1,0)))</f>
        <v>0</v>
      </c>
      <c r="AE437" s="16"/>
      <c r="AF437" s="14"/>
      <c r="AG437" s="14"/>
      <c r="AH437" s="14">
        <f>IF(AND(V437=1,COUNTIFS(Valores!$S$10:$S$509,"="&amp;SUBSTITUTE(SUBSTITUTE(SUBSTITUTE("P:"&amp;A437,"~","~~"),"*","~*"),"?","~?"))=1),(IF(ISNA(MATCH(SUBSTITUTE(SUBSTITUTE(SUBSTITUTE("P:"&amp;A437,"~","~~"),"*","~*"),"?","~?"),Valores!$S$10:$S$509,0)),9,INDEX(Valores!$R$10:$R$509,MATCH(SUBSTITUTE(SUBSTITUTE(SUBSTITUTE("P:"&amp;A437,"~","~~"),"*","~*"),"?","~?"),Valores!$S$10:$S$509,0)))-9),0)</f>
        <v>0</v>
      </c>
      <c r="AI437" s="40" t="str">
        <f t="shared" si="57"/>
        <v/>
      </c>
      <c r="AJ437" s="14" t="str">
        <f>IF(AND(X437=1,Y437=1),COUNTIFS($X$10:X437,1,$Y$10:Y437,1),"")</f>
        <v/>
      </c>
      <c r="AK437" s="14" t="str">
        <f>IF(X437=1,COUNTIFS($X$10:X437,1),"")</f>
        <v/>
      </c>
      <c r="AL437" s="14">
        <f>IF(AND(V437=1,AND(OR(Painel!$L$6="Todas",E437=Painel!$L$6),OR(Painel!$C$8="Todos",F437=Painel!$C$8),OR(Painel!$L$8="Todos",G437=Painel!$L$8),OR(Painel!$C$10="",ISNUMBER(SEARCH(SUBSTITUTE(SUBSTITUTE(SUBSTITUTE(Painel!$C$10,"~","~~"),"*","~*"),"?","~?"),A437&amp;" "&amp;H437&amp;" "&amp;I437))))),1,0)</f>
        <v>0</v>
      </c>
      <c r="AM437" s="14">
        <f t="shared" si="58"/>
        <v>0</v>
      </c>
      <c r="AN437" s="14"/>
      <c r="AO437" s="14"/>
      <c r="AP437" s="16" t="str">
        <f>IF(AB437=0,"",IF(INDEX(Andamentos!$B$10:$B$2009,AB437)="","",INDEX(Andamentos!$B$10:$B$2009,AB437)))</f>
        <v/>
      </c>
      <c r="AQ437" s="17" t="str">
        <f>IF(AH437=0,"",IF(INDEX(Valores!$B$10:$B$509,AH437)="","",IF(ISNUMBER(INDEX(Valores!$B$10:$B$509,AH437)),INDEX(Valores!$B$10:$B$509,AH437),"")))</f>
        <v/>
      </c>
      <c r="AR437" s="14" t="str">
        <f t="shared" si="59"/>
        <v/>
      </c>
      <c r="AS437" s="14" t="str">
        <f t="shared" si="60"/>
        <v/>
      </c>
      <c r="AT437" s="27"/>
      <c r="AU437" s="31"/>
      <c r="AV437" s="31"/>
      <c r="AW437" s="27"/>
      <c r="AX437" s="27"/>
      <c r="AY437" s="27"/>
      <c r="AZ437" s="27"/>
      <c r="BA437" s="30" t="str">
        <f t="shared" si="61"/>
        <v/>
      </c>
      <c r="BB437" s="30" t="str">
        <f t="shared" si="62"/>
        <v/>
      </c>
      <c r="BC437" s="30">
        <f>IF(X437=0,0,IF(COUNTIFS($X$10:X437,1,$BA$10:BA437,BA437)=1,1,0))</f>
        <v>0</v>
      </c>
      <c r="BD437" s="29"/>
    </row>
    <row r="438" spans="1:56" ht="42" customHeight="1">
      <c r="A438" s="41"/>
      <c r="B438" s="44"/>
      <c r="C438" s="44"/>
      <c r="D438" s="44"/>
      <c r="E438" s="44"/>
      <c r="F438" s="44"/>
      <c r="G438" s="44"/>
      <c r="H438" s="44"/>
      <c r="I438" s="44"/>
      <c r="J438" s="44"/>
      <c r="K438" s="44"/>
      <c r="L438" s="49"/>
      <c r="M438" s="48"/>
      <c r="N438" s="48"/>
      <c r="O438" s="48"/>
      <c r="P438" s="48"/>
      <c r="Q438" s="48"/>
      <c r="R438" s="48"/>
      <c r="S438" s="49"/>
      <c r="T438" s="48"/>
      <c r="U438" s="48"/>
      <c r="V438" s="14">
        <f t="shared" si="54"/>
        <v>0</v>
      </c>
      <c r="W438" s="14">
        <f t="shared" si="55"/>
        <v>0</v>
      </c>
      <c r="X438" s="14">
        <f>IF(AND(V438=1,OR(Painel!$C$6="Todos",D438=Painel!$C$6),AND(OR(Painel!$L$6="Todas",E438=Painel!$L$6),OR(Painel!$C$8="Todos",F438=Painel!$C$8),OR(Painel!$L$8="Todos",G438=Painel!$L$8),OR(Painel!$C$10="",ISNUMBER(SEARCH(SUBSTITUTE(SUBSTITUTE(SUBSTITUTE(Painel!$C$10,"~","~~"),"*","~*"),"?","~?"),A438&amp;" "&amp;H438&amp;" "&amp;I438))))),1,0)</f>
        <v>0</v>
      </c>
      <c r="Y438" s="14">
        <f t="shared" si="56"/>
        <v>0</v>
      </c>
      <c r="Z438" s="15" t="str">
        <f>IF(V438=0,"",IF(COUNTIFS(Andamentos!$K$10:$K$2009,"="&amp;SUBSTITUTE(SUBSTITUTE(SUBSTITUTE("P:"&amp;A438,"~","~~"),"*","~*"),"?","~?"),Andamentos!$G$10:$G$2009,1)=0,"",_xlfn.AGGREGATE(14,6,Andamentos!$D$10:$D$2009/((Andamentos!$K$10:$K$2009=AS438)*(Andamentos!$G$10:$G$2009=1)),1)))</f>
        <v/>
      </c>
      <c r="AA438" s="14">
        <f>IF(Z438="",0,COUNTIFS(Andamentos!$K$10:$K$2009,"="&amp;SUBSTITUTE(SUBSTITUTE(SUBSTITUTE("P:"&amp;A438,"~","~~"),"*","~*"),"?","~?"),Andamentos!$D$10:$D$2009,Z438,Andamentos!$G$10:$G$2009,1))</f>
        <v>0</v>
      </c>
      <c r="AB438" s="14">
        <f>IF(AA438=1,SUMIFS(Andamentos!$L$10:$L$2009,Andamentos!$K$10:$K$2009,"="&amp;SUBSTITUTE(SUBSTITUTE(SUBSTITUTE(AS438,"~","~~"),"*","~*"),"?","~?"),Andamentos!$D$10:$D$2009,Z438,Andamentos!$G$10:$G$2009,1)-9,0)</f>
        <v>0</v>
      </c>
      <c r="AC438" s="14" t="str">
        <f>IF(V438=0,"",IF(AA438&gt;1,"Conferir recebimentos empatados",IF(AB438=0,"Sem atualização",INDEX(Andamentos!$C$10:$C$2009,AB438))))</f>
        <v/>
      </c>
      <c r="AD438" s="14">
        <f>IF(W438=0,0,IF(MAX(Z438,BD438)=0,1,IF(Configurar!$J$12-INT(MAX(Z438,BD438))&gt;Configurar!$J$11,1,0)))</f>
        <v>0</v>
      </c>
      <c r="AE438" s="16"/>
      <c r="AF438" s="14"/>
      <c r="AG438" s="14"/>
      <c r="AH438" s="14">
        <f>IF(AND(V438=1,COUNTIFS(Valores!$S$10:$S$509,"="&amp;SUBSTITUTE(SUBSTITUTE(SUBSTITUTE("P:"&amp;A438,"~","~~"),"*","~*"),"?","~?"))=1),(IF(ISNA(MATCH(SUBSTITUTE(SUBSTITUTE(SUBSTITUTE("P:"&amp;A438,"~","~~"),"*","~*"),"?","~?"),Valores!$S$10:$S$509,0)),9,INDEX(Valores!$R$10:$R$509,MATCH(SUBSTITUTE(SUBSTITUTE(SUBSTITUTE("P:"&amp;A438,"~","~~"),"*","~*"),"?","~?"),Valores!$S$10:$S$509,0)))-9),0)</f>
        <v>0</v>
      </c>
      <c r="AI438" s="40" t="str">
        <f t="shared" si="57"/>
        <v/>
      </c>
      <c r="AJ438" s="14" t="str">
        <f>IF(AND(X438=1,Y438=1),COUNTIFS($X$10:X438,1,$Y$10:Y438,1),"")</f>
        <v/>
      </c>
      <c r="AK438" s="14" t="str">
        <f>IF(X438=1,COUNTIFS($X$10:X438,1),"")</f>
        <v/>
      </c>
      <c r="AL438" s="14">
        <f>IF(AND(V438=1,AND(OR(Painel!$L$6="Todas",E438=Painel!$L$6),OR(Painel!$C$8="Todos",F438=Painel!$C$8),OR(Painel!$L$8="Todos",G438=Painel!$L$8),OR(Painel!$C$10="",ISNUMBER(SEARCH(SUBSTITUTE(SUBSTITUTE(SUBSTITUTE(Painel!$C$10,"~","~~"),"*","~*"),"?","~?"),A438&amp;" "&amp;H438&amp;" "&amp;I438))))),1,0)</f>
        <v>0</v>
      </c>
      <c r="AM438" s="14">
        <f t="shared" si="58"/>
        <v>0</v>
      </c>
      <c r="AN438" s="14"/>
      <c r="AO438" s="14"/>
      <c r="AP438" s="16" t="str">
        <f>IF(AB438=0,"",IF(INDEX(Andamentos!$B$10:$B$2009,AB438)="","",INDEX(Andamentos!$B$10:$B$2009,AB438)))</f>
        <v/>
      </c>
      <c r="AQ438" s="17" t="str">
        <f>IF(AH438=0,"",IF(INDEX(Valores!$B$10:$B$509,AH438)="","",IF(ISNUMBER(INDEX(Valores!$B$10:$B$509,AH438)),INDEX(Valores!$B$10:$B$509,AH438),"")))</f>
        <v/>
      </c>
      <c r="AR438" s="14" t="str">
        <f t="shared" si="59"/>
        <v/>
      </c>
      <c r="AS438" s="14" t="str">
        <f t="shared" si="60"/>
        <v/>
      </c>
      <c r="AT438" s="27"/>
      <c r="AU438" s="31"/>
      <c r="AV438" s="31"/>
      <c r="AW438" s="27"/>
      <c r="AX438" s="27"/>
      <c r="AY438" s="27"/>
      <c r="AZ438" s="27"/>
      <c r="BA438" s="30" t="str">
        <f t="shared" si="61"/>
        <v/>
      </c>
      <c r="BB438" s="30" t="str">
        <f t="shared" si="62"/>
        <v/>
      </c>
      <c r="BC438" s="30">
        <f>IF(X438=0,0,IF(COUNTIFS($X$10:X438,1,$BA$10:BA438,BA438)=1,1,0))</f>
        <v>0</v>
      </c>
      <c r="BD438" s="29"/>
    </row>
    <row r="439" spans="1:56" ht="42" customHeight="1">
      <c r="A439" s="41"/>
      <c r="B439" s="44"/>
      <c r="C439" s="44"/>
      <c r="D439" s="44"/>
      <c r="E439" s="44"/>
      <c r="F439" s="44"/>
      <c r="G439" s="44"/>
      <c r="H439" s="44"/>
      <c r="I439" s="44"/>
      <c r="J439" s="44"/>
      <c r="K439" s="44"/>
      <c r="L439" s="49"/>
      <c r="M439" s="48"/>
      <c r="N439" s="48"/>
      <c r="O439" s="48"/>
      <c r="P439" s="48"/>
      <c r="Q439" s="48"/>
      <c r="R439" s="48"/>
      <c r="S439" s="49"/>
      <c r="T439" s="48"/>
      <c r="U439" s="48"/>
      <c r="V439" s="14">
        <f t="shared" si="54"/>
        <v>0</v>
      </c>
      <c r="W439" s="14">
        <f t="shared" si="55"/>
        <v>0</v>
      </c>
      <c r="X439" s="14">
        <f>IF(AND(V439=1,OR(Painel!$C$6="Todos",D439=Painel!$C$6),AND(OR(Painel!$L$6="Todas",E439=Painel!$L$6),OR(Painel!$C$8="Todos",F439=Painel!$C$8),OR(Painel!$L$8="Todos",G439=Painel!$L$8),OR(Painel!$C$10="",ISNUMBER(SEARCH(SUBSTITUTE(SUBSTITUTE(SUBSTITUTE(Painel!$C$10,"~","~~"),"*","~*"),"?","~?"),A439&amp;" "&amp;H439&amp;" "&amp;I439))))),1,0)</f>
        <v>0</v>
      </c>
      <c r="Y439" s="14">
        <f t="shared" si="56"/>
        <v>0</v>
      </c>
      <c r="Z439" s="15" t="str">
        <f>IF(V439=0,"",IF(COUNTIFS(Andamentos!$K$10:$K$2009,"="&amp;SUBSTITUTE(SUBSTITUTE(SUBSTITUTE("P:"&amp;A439,"~","~~"),"*","~*"),"?","~?"),Andamentos!$G$10:$G$2009,1)=0,"",_xlfn.AGGREGATE(14,6,Andamentos!$D$10:$D$2009/((Andamentos!$K$10:$K$2009=AS439)*(Andamentos!$G$10:$G$2009=1)),1)))</f>
        <v/>
      </c>
      <c r="AA439" s="14">
        <f>IF(Z439="",0,COUNTIFS(Andamentos!$K$10:$K$2009,"="&amp;SUBSTITUTE(SUBSTITUTE(SUBSTITUTE("P:"&amp;A439,"~","~~"),"*","~*"),"?","~?"),Andamentos!$D$10:$D$2009,Z439,Andamentos!$G$10:$G$2009,1))</f>
        <v>0</v>
      </c>
      <c r="AB439" s="14">
        <f>IF(AA439=1,SUMIFS(Andamentos!$L$10:$L$2009,Andamentos!$K$10:$K$2009,"="&amp;SUBSTITUTE(SUBSTITUTE(SUBSTITUTE(AS439,"~","~~"),"*","~*"),"?","~?"),Andamentos!$D$10:$D$2009,Z439,Andamentos!$G$10:$G$2009,1)-9,0)</f>
        <v>0</v>
      </c>
      <c r="AC439" s="14" t="str">
        <f>IF(V439=0,"",IF(AA439&gt;1,"Conferir recebimentos empatados",IF(AB439=0,"Sem atualização",INDEX(Andamentos!$C$10:$C$2009,AB439))))</f>
        <v/>
      </c>
      <c r="AD439" s="14">
        <f>IF(W439=0,0,IF(MAX(Z439,BD439)=0,1,IF(Configurar!$J$12-INT(MAX(Z439,BD439))&gt;Configurar!$J$11,1,0)))</f>
        <v>0</v>
      </c>
      <c r="AE439" s="16"/>
      <c r="AF439" s="14"/>
      <c r="AG439" s="14"/>
      <c r="AH439" s="14">
        <f>IF(AND(V439=1,COUNTIFS(Valores!$S$10:$S$509,"="&amp;SUBSTITUTE(SUBSTITUTE(SUBSTITUTE("P:"&amp;A439,"~","~~"),"*","~*"),"?","~?"))=1),(IF(ISNA(MATCH(SUBSTITUTE(SUBSTITUTE(SUBSTITUTE("P:"&amp;A439,"~","~~"),"*","~*"),"?","~?"),Valores!$S$10:$S$509,0)),9,INDEX(Valores!$R$10:$R$509,MATCH(SUBSTITUTE(SUBSTITUTE(SUBSTITUTE("P:"&amp;A439,"~","~~"),"*","~*"),"?","~?"),Valores!$S$10:$S$509,0)))-9),0)</f>
        <v>0</v>
      </c>
      <c r="AI439" s="40" t="str">
        <f t="shared" si="57"/>
        <v/>
      </c>
      <c r="AJ439" s="14" t="str">
        <f>IF(AND(X439=1,Y439=1),COUNTIFS($X$10:X439,1,$Y$10:Y439,1),"")</f>
        <v/>
      </c>
      <c r="AK439" s="14" t="str">
        <f>IF(X439=1,COUNTIFS($X$10:X439,1),"")</f>
        <v/>
      </c>
      <c r="AL439" s="14">
        <f>IF(AND(V439=1,AND(OR(Painel!$L$6="Todas",E439=Painel!$L$6),OR(Painel!$C$8="Todos",F439=Painel!$C$8),OR(Painel!$L$8="Todos",G439=Painel!$L$8),OR(Painel!$C$10="",ISNUMBER(SEARCH(SUBSTITUTE(SUBSTITUTE(SUBSTITUTE(Painel!$C$10,"~","~~"),"*","~*"),"?","~?"),A439&amp;" "&amp;H439&amp;" "&amp;I439))))),1,0)</f>
        <v>0</v>
      </c>
      <c r="AM439" s="14">
        <f t="shared" si="58"/>
        <v>0</v>
      </c>
      <c r="AN439" s="14"/>
      <c r="AO439" s="14"/>
      <c r="AP439" s="16" t="str">
        <f>IF(AB439=0,"",IF(INDEX(Andamentos!$B$10:$B$2009,AB439)="","",INDEX(Andamentos!$B$10:$B$2009,AB439)))</f>
        <v/>
      </c>
      <c r="AQ439" s="17" t="str">
        <f>IF(AH439=0,"",IF(INDEX(Valores!$B$10:$B$509,AH439)="","",IF(ISNUMBER(INDEX(Valores!$B$10:$B$509,AH439)),INDEX(Valores!$B$10:$B$509,AH439),"")))</f>
        <v/>
      </c>
      <c r="AR439" s="14" t="str">
        <f t="shared" si="59"/>
        <v/>
      </c>
      <c r="AS439" s="14" t="str">
        <f t="shared" si="60"/>
        <v/>
      </c>
      <c r="AT439" s="27"/>
      <c r="AU439" s="31"/>
      <c r="AV439" s="31"/>
      <c r="AW439" s="27"/>
      <c r="AX439" s="27"/>
      <c r="AY439" s="27"/>
      <c r="AZ439" s="27"/>
      <c r="BA439" s="30" t="str">
        <f t="shared" si="61"/>
        <v/>
      </c>
      <c r="BB439" s="30" t="str">
        <f t="shared" si="62"/>
        <v/>
      </c>
      <c r="BC439" s="30">
        <f>IF(X439=0,0,IF(COUNTIFS($X$10:X439,1,$BA$10:BA439,BA439)=1,1,0))</f>
        <v>0</v>
      </c>
      <c r="BD439" s="29"/>
    </row>
    <row r="440" spans="1:56" ht="42" customHeight="1">
      <c r="A440" s="41"/>
      <c r="B440" s="44"/>
      <c r="C440" s="44"/>
      <c r="D440" s="44"/>
      <c r="E440" s="44"/>
      <c r="F440" s="44"/>
      <c r="G440" s="44"/>
      <c r="H440" s="44"/>
      <c r="I440" s="44"/>
      <c r="J440" s="44"/>
      <c r="K440" s="44"/>
      <c r="L440" s="49"/>
      <c r="M440" s="48"/>
      <c r="N440" s="48"/>
      <c r="O440" s="48"/>
      <c r="P440" s="48"/>
      <c r="Q440" s="48"/>
      <c r="R440" s="48"/>
      <c r="S440" s="49"/>
      <c r="T440" s="48"/>
      <c r="U440" s="48"/>
      <c r="V440" s="14">
        <f t="shared" si="54"/>
        <v>0</v>
      </c>
      <c r="W440" s="14">
        <f t="shared" si="55"/>
        <v>0</v>
      </c>
      <c r="X440" s="14">
        <f>IF(AND(V440=1,OR(Painel!$C$6="Todos",D440=Painel!$C$6),AND(OR(Painel!$L$6="Todas",E440=Painel!$L$6),OR(Painel!$C$8="Todos",F440=Painel!$C$8),OR(Painel!$L$8="Todos",G440=Painel!$L$8),OR(Painel!$C$10="",ISNUMBER(SEARCH(SUBSTITUTE(SUBSTITUTE(SUBSTITUTE(Painel!$C$10,"~","~~"),"*","~*"),"?","~?"),A440&amp;" "&amp;H440&amp;" "&amp;I440))))),1,0)</f>
        <v>0</v>
      </c>
      <c r="Y440" s="14">
        <f t="shared" si="56"/>
        <v>0</v>
      </c>
      <c r="Z440" s="15" t="str">
        <f>IF(V440=0,"",IF(COUNTIFS(Andamentos!$K$10:$K$2009,"="&amp;SUBSTITUTE(SUBSTITUTE(SUBSTITUTE("P:"&amp;A440,"~","~~"),"*","~*"),"?","~?"),Andamentos!$G$10:$G$2009,1)=0,"",_xlfn.AGGREGATE(14,6,Andamentos!$D$10:$D$2009/((Andamentos!$K$10:$K$2009=AS440)*(Andamentos!$G$10:$G$2009=1)),1)))</f>
        <v/>
      </c>
      <c r="AA440" s="14">
        <f>IF(Z440="",0,COUNTIFS(Andamentos!$K$10:$K$2009,"="&amp;SUBSTITUTE(SUBSTITUTE(SUBSTITUTE("P:"&amp;A440,"~","~~"),"*","~*"),"?","~?"),Andamentos!$D$10:$D$2009,Z440,Andamentos!$G$10:$G$2009,1))</f>
        <v>0</v>
      </c>
      <c r="AB440" s="14">
        <f>IF(AA440=1,SUMIFS(Andamentos!$L$10:$L$2009,Andamentos!$K$10:$K$2009,"="&amp;SUBSTITUTE(SUBSTITUTE(SUBSTITUTE(AS440,"~","~~"),"*","~*"),"?","~?"),Andamentos!$D$10:$D$2009,Z440,Andamentos!$G$10:$G$2009,1)-9,0)</f>
        <v>0</v>
      </c>
      <c r="AC440" s="14" t="str">
        <f>IF(V440=0,"",IF(AA440&gt;1,"Conferir recebimentos empatados",IF(AB440=0,"Sem atualização",INDEX(Andamentos!$C$10:$C$2009,AB440))))</f>
        <v/>
      </c>
      <c r="AD440" s="14">
        <f>IF(W440=0,0,IF(MAX(Z440,BD440)=0,1,IF(Configurar!$J$12-INT(MAX(Z440,BD440))&gt;Configurar!$J$11,1,0)))</f>
        <v>0</v>
      </c>
      <c r="AE440" s="16"/>
      <c r="AF440" s="14"/>
      <c r="AG440" s="14"/>
      <c r="AH440" s="14">
        <f>IF(AND(V440=1,COUNTIFS(Valores!$S$10:$S$509,"="&amp;SUBSTITUTE(SUBSTITUTE(SUBSTITUTE("P:"&amp;A440,"~","~~"),"*","~*"),"?","~?"))=1),(IF(ISNA(MATCH(SUBSTITUTE(SUBSTITUTE(SUBSTITUTE("P:"&amp;A440,"~","~~"),"*","~*"),"?","~?"),Valores!$S$10:$S$509,0)),9,INDEX(Valores!$R$10:$R$509,MATCH(SUBSTITUTE(SUBSTITUTE(SUBSTITUTE("P:"&amp;A440,"~","~~"),"*","~*"),"?","~?"),Valores!$S$10:$S$509,0)))-9),0)</f>
        <v>0</v>
      </c>
      <c r="AI440" s="40" t="str">
        <f t="shared" si="57"/>
        <v/>
      </c>
      <c r="AJ440" s="14" t="str">
        <f>IF(AND(X440=1,Y440=1),COUNTIFS($X$10:X440,1,$Y$10:Y440,1),"")</f>
        <v/>
      </c>
      <c r="AK440" s="14" t="str">
        <f>IF(X440=1,COUNTIFS($X$10:X440,1),"")</f>
        <v/>
      </c>
      <c r="AL440" s="14">
        <f>IF(AND(V440=1,AND(OR(Painel!$L$6="Todas",E440=Painel!$L$6),OR(Painel!$C$8="Todos",F440=Painel!$C$8),OR(Painel!$L$8="Todos",G440=Painel!$L$8),OR(Painel!$C$10="",ISNUMBER(SEARCH(SUBSTITUTE(SUBSTITUTE(SUBSTITUTE(Painel!$C$10,"~","~~"),"*","~*"),"?","~?"),A440&amp;" "&amp;H440&amp;" "&amp;I440))))),1,0)</f>
        <v>0</v>
      </c>
      <c r="AM440" s="14">
        <f t="shared" si="58"/>
        <v>0</v>
      </c>
      <c r="AN440" s="14"/>
      <c r="AO440" s="14"/>
      <c r="AP440" s="16" t="str">
        <f>IF(AB440=0,"",IF(INDEX(Andamentos!$B$10:$B$2009,AB440)="","",INDEX(Andamentos!$B$10:$B$2009,AB440)))</f>
        <v/>
      </c>
      <c r="AQ440" s="17" t="str">
        <f>IF(AH440=0,"",IF(INDEX(Valores!$B$10:$B$509,AH440)="","",IF(ISNUMBER(INDEX(Valores!$B$10:$B$509,AH440)),INDEX(Valores!$B$10:$B$509,AH440),"")))</f>
        <v/>
      </c>
      <c r="AR440" s="14" t="str">
        <f t="shared" si="59"/>
        <v/>
      </c>
      <c r="AS440" s="14" t="str">
        <f t="shared" si="60"/>
        <v/>
      </c>
      <c r="AT440" s="27"/>
      <c r="AU440" s="31"/>
      <c r="AV440" s="31"/>
      <c r="AW440" s="27"/>
      <c r="AX440" s="27"/>
      <c r="AY440" s="27"/>
      <c r="AZ440" s="27"/>
      <c r="BA440" s="30" t="str">
        <f t="shared" si="61"/>
        <v/>
      </c>
      <c r="BB440" s="30" t="str">
        <f t="shared" si="62"/>
        <v/>
      </c>
      <c r="BC440" s="30">
        <f>IF(X440=0,0,IF(COUNTIFS($X$10:X440,1,$BA$10:BA440,BA440)=1,1,0))</f>
        <v>0</v>
      </c>
      <c r="BD440" s="29"/>
    </row>
    <row r="441" spans="1:56" ht="42" customHeight="1">
      <c r="A441" s="41"/>
      <c r="B441" s="44"/>
      <c r="C441" s="44"/>
      <c r="D441" s="44"/>
      <c r="E441" s="44"/>
      <c r="F441" s="44"/>
      <c r="G441" s="44"/>
      <c r="H441" s="44"/>
      <c r="I441" s="44"/>
      <c r="J441" s="44"/>
      <c r="K441" s="44"/>
      <c r="L441" s="49"/>
      <c r="M441" s="48"/>
      <c r="N441" s="48"/>
      <c r="O441" s="48"/>
      <c r="P441" s="48"/>
      <c r="Q441" s="48"/>
      <c r="R441" s="48"/>
      <c r="S441" s="49"/>
      <c r="T441" s="48"/>
      <c r="U441" s="48"/>
      <c r="V441" s="14">
        <f t="shared" si="54"/>
        <v>0</v>
      </c>
      <c r="W441" s="14">
        <f t="shared" si="55"/>
        <v>0</v>
      </c>
      <c r="X441" s="14">
        <f>IF(AND(V441=1,OR(Painel!$C$6="Todos",D441=Painel!$C$6),AND(OR(Painel!$L$6="Todas",E441=Painel!$L$6),OR(Painel!$C$8="Todos",F441=Painel!$C$8),OR(Painel!$L$8="Todos",G441=Painel!$L$8),OR(Painel!$C$10="",ISNUMBER(SEARCH(SUBSTITUTE(SUBSTITUTE(SUBSTITUTE(Painel!$C$10,"~","~~"),"*","~*"),"?","~?"),A441&amp;" "&amp;H441&amp;" "&amp;I441))))),1,0)</f>
        <v>0</v>
      </c>
      <c r="Y441" s="14">
        <f t="shared" si="56"/>
        <v>0</v>
      </c>
      <c r="Z441" s="15" t="str">
        <f>IF(V441=0,"",IF(COUNTIFS(Andamentos!$K$10:$K$2009,"="&amp;SUBSTITUTE(SUBSTITUTE(SUBSTITUTE("P:"&amp;A441,"~","~~"),"*","~*"),"?","~?"),Andamentos!$G$10:$G$2009,1)=0,"",_xlfn.AGGREGATE(14,6,Andamentos!$D$10:$D$2009/((Andamentos!$K$10:$K$2009=AS441)*(Andamentos!$G$10:$G$2009=1)),1)))</f>
        <v/>
      </c>
      <c r="AA441" s="14">
        <f>IF(Z441="",0,COUNTIFS(Andamentos!$K$10:$K$2009,"="&amp;SUBSTITUTE(SUBSTITUTE(SUBSTITUTE("P:"&amp;A441,"~","~~"),"*","~*"),"?","~?"),Andamentos!$D$10:$D$2009,Z441,Andamentos!$G$10:$G$2009,1))</f>
        <v>0</v>
      </c>
      <c r="AB441" s="14">
        <f>IF(AA441=1,SUMIFS(Andamentos!$L$10:$L$2009,Andamentos!$K$10:$K$2009,"="&amp;SUBSTITUTE(SUBSTITUTE(SUBSTITUTE(AS441,"~","~~"),"*","~*"),"?","~?"),Andamentos!$D$10:$D$2009,Z441,Andamentos!$G$10:$G$2009,1)-9,0)</f>
        <v>0</v>
      </c>
      <c r="AC441" s="14" t="str">
        <f>IF(V441=0,"",IF(AA441&gt;1,"Conferir recebimentos empatados",IF(AB441=0,"Sem atualização",INDEX(Andamentos!$C$10:$C$2009,AB441))))</f>
        <v/>
      </c>
      <c r="AD441" s="14">
        <f>IF(W441=0,0,IF(MAX(Z441,BD441)=0,1,IF(Configurar!$J$12-INT(MAX(Z441,BD441))&gt;Configurar!$J$11,1,0)))</f>
        <v>0</v>
      </c>
      <c r="AE441" s="16"/>
      <c r="AF441" s="14"/>
      <c r="AG441" s="14"/>
      <c r="AH441" s="14">
        <f>IF(AND(V441=1,COUNTIFS(Valores!$S$10:$S$509,"="&amp;SUBSTITUTE(SUBSTITUTE(SUBSTITUTE("P:"&amp;A441,"~","~~"),"*","~*"),"?","~?"))=1),(IF(ISNA(MATCH(SUBSTITUTE(SUBSTITUTE(SUBSTITUTE("P:"&amp;A441,"~","~~"),"*","~*"),"?","~?"),Valores!$S$10:$S$509,0)),9,INDEX(Valores!$R$10:$R$509,MATCH(SUBSTITUTE(SUBSTITUTE(SUBSTITUTE("P:"&amp;A441,"~","~~"),"*","~*"),"?","~?"),Valores!$S$10:$S$509,0)))-9),0)</f>
        <v>0</v>
      </c>
      <c r="AI441" s="40" t="str">
        <f t="shared" si="57"/>
        <v/>
      </c>
      <c r="AJ441" s="14" t="str">
        <f>IF(AND(X441=1,Y441=1),COUNTIFS($X$10:X441,1,$Y$10:Y441,1),"")</f>
        <v/>
      </c>
      <c r="AK441" s="14" t="str">
        <f>IF(X441=1,COUNTIFS($X$10:X441,1),"")</f>
        <v/>
      </c>
      <c r="AL441" s="14">
        <f>IF(AND(V441=1,AND(OR(Painel!$L$6="Todas",E441=Painel!$L$6),OR(Painel!$C$8="Todos",F441=Painel!$C$8),OR(Painel!$L$8="Todos",G441=Painel!$L$8),OR(Painel!$C$10="",ISNUMBER(SEARCH(SUBSTITUTE(SUBSTITUTE(SUBSTITUTE(Painel!$C$10,"~","~~"),"*","~*"),"?","~?"),A441&amp;" "&amp;H441&amp;" "&amp;I441))))),1,0)</f>
        <v>0</v>
      </c>
      <c r="AM441" s="14">
        <f t="shared" si="58"/>
        <v>0</v>
      </c>
      <c r="AN441" s="14"/>
      <c r="AO441" s="14"/>
      <c r="AP441" s="16" t="str">
        <f>IF(AB441=0,"",IF(INDEX(Andamentos!$B$10:$B$2009,AB441)="","",INDEX(Andamentos!$B$10:$B$2009,AB441)))</f>
        <v/>
      </c>
      <c r="AQ441" s="17" t="str">
        <f>IF(AH441=0,"",IF(INDEX(Valores!$B$10:$B$509,AH441)="","",IF(ISNUMBER(INDEX(Valores!$B$10:$B$509,AH441)),INDEX(Valores!$B$10:$B$509,AH441),"")))</f>
        <v/>
      </c>
      <c r="AR441" s="14" t="str">
        <f t="shared" si="59"/>
        <v/>
      </c>
      <c r="AS441" s="14" t="str">
        <f t="shared" si="60"/>
        <v/>
      </c>
      <c r="AT441" s="27"/>
      <c r="AU441" s="31"/>
      <c r="AV441" s="31"/>
      <c r="AW441" s="27"/>
      <c r="AX441" s="27"/>
      <c r="AY441" s="27"/>
      <c r="AZ441" s="27"/>
      <c r="BA441" s="30" t="str">
        <f t="shared" si="61"/>
        <v/>
      </c>
      <c r="BB441" s="30" t="str">
        <f t="shared" si="62"/>
        <v/>
      </c>
      <c r="BC441" s="30">
        <f>IF(X441=0,0,IF(COUNTIFS($X$10:X441,1,$BA$10:BA441,BA441)=1,1,0))</f>
        <v>0</v>
      </c>
      <c r="BD441" s="29"/>
    </row>
    <row r="442" spans="1:56" ht="42" customHeight="1">
      <c r="A442" s="41"/>
      <c r="B442" s="44"/>
      <c r="C442" s="44"/>
      <c r="D442" s="44"/>
      <c r="E442" s="44"/>
      <c r="F442" s="44"/>
      <c r="G442" s="44"/>
      <c r="H442" s="44"/>
      <c r="I442" s="44"/>
      <c r="J442" s="44"/>
      <c r="K442" s="44"/>
      <c r="L442" s="49"/>
      <c r="M442" s="48"/>
      <c r="N442" s="48"/>
      <c r="O442" s="48"/>
      <c r="P442" s="48"/>
      <c r="Q442" s="48"/>
      <c r="R442" s="48"/>
      <c r="S442" s="49"/>
      <c r="T442" s="48"/>
      <c r="U442" s="48"/>
      <c r="V442" s="14">
        <f t="shared" si="54"/>
        <v>0</v>
      </c>
      <c r="W442" s="14">
        <f t="shared" si="55"/>
        <v>0</v>
      </c>
      <c r="X442" s="14">
        <f>IF(AND(V442=1,OR(Painel!$C$6="Todos",D442=Painel!$C$6),AND(OR(Painel!$L$6="Todas",E442=Painel!$L$6),OR(Painel!$C$8="Todos",F442=Painel!$C$8),OR(Painel!$L$8="Todos",G442=Painel!$L$8),OR(Painel!$C$10="",ISNUMBER(SEARCH(SUBSTITUTE(SUBSTITUTE(SUBSTITUTE(Painel!$C$10,"~","~~"),"*","~*"),"?","~?"),A442&amp;" "&amp;H442&amp;" "&amp;I442))))),1,0)</f>
        <v>0</v>
      </c>
      <c r="Y442" s="14">
        <f t="shared" si="56"/>
        <v>0</v>
      </c>
      <c r="Z442" s="15" t="str">
        <f>IF(V442=0,"",IF(COUNTIFS(Andamentos!$K$10:$K$2009,"="&amp;SUBSTITUTE(SUBSTITUTE(SUBSTITUTE("P:"&amp;A442,"~","~~"),"*","~*"),"?","~?"),Andamentos!$G$10:$G$2009,1)=0,"",_xlfn.AGGREGATE(14,6,Andamentos!$D$10:$D$2009/((Andamentos!$K$10:$K$2009=AS442)*(Andamentos!$G$10:$G$2009=1)),1)))</f>
        <v/>
      </c>
      <c r="AA442" s="14">
        <f>IF(Z442="",0,COUNTIFS(Andamentos!$K$10:$K$2009,"="&amp;SUBSTITUTE(SUBSTITUTE(SUBSTITUTE("P:"&amp;A442,"~","~~"),"*","~*"),"?","~?"),Andamentos!$D$10:$D$2009,Z442,Andamentos!$G$10:$G$2009,1))</f>
        <v>0</v>
      </c>
      <c r="AB442" s="14">
        <f>IF(AA442=1,SUMIFS(Andamentos!$L$10:$L$2009,Andamentos!$K$10:$K$2009,"="&amp;SUBSTITUTE(SUBSTITUTE(SUBSTITUTE(AS442,"~","~~"),"*","~*"),"?","~?"),Andamentos!$D$10:$D$2009,Z442,Andamentos!$G$10:$G$2009,1)-9,0)</f>
        <v>0</v>
      </c>
      <c r="AC442" s="14" t="str">
        <f>IF(V442=0,"",IF(AA442&gt;1,"Conferir recebimentos empatados",IF(AB442=0,"Sem atualização",INDEX(Andamentos!$C$10:$C$2009,AB442))))</f>
        <v/>
      </c>
      <c r="AD442" s="14">
        <f>IF(W442=0,0,IF(MAX(Z442,BD442)=0,1,IF(Configurar!$J$12-INT(MAX(Z442,BD442))&gt;Configurar!$J$11,1,0)))</f>
        <v>0</v>
      </c>
      <c r="AE442" s="16"/>
      <c r="AF442" s="14"/>
      <c r="AG442" s="14"/>
      <c r="AH442" s="14">
        <f>IF(AND(V442=1,COUNTIFS(Valores!$S$10:$S$509,"="&amp;SUBSTITUTE(SUBSTITUTE(SUBSTITUTE("P:"&amp;A442,"~","~~"),"*","~*"),"?","~?"))=1),(IF(ISNA(MATCH(SUBSTITUTE(SUBSTITUTE(SUBSTITUTE("P:"&amp;A442,"~","~~"),"*","~*"),"?","~?"),Valores!$S$10:$S$509,0)),9,INDEX(Valores!$R$10:$R$509,MATCH(SUBSTITUTE(SUBSTITUTE(SUBSTITUTE("P:"&amp;A442,"~","~~"),"*","~*"),"?","~?"),Valores!$S$10:$S$509,0)))-9),0)</f>
        <v>0</v>
      </c>
      <c r="AI442" s="40" t="str">
        <f t="shared" si="57"/>
        <v/>
      </c>
      <c r="AJ442" s="14" t="str">
        <f>IF(AND(X442=1,Y442=1),COUNTIFS($X$10:X442,1,$Y$10:Y442,1),"")</f>
        <v/>
      </c>
      <c r="AK442" s="14" t="str">
        <f>IF(X442=1,COUNTIFS($X$10:X442,1),"")</f>
        <v/>
      </c>
      <c r="AL442" s="14">
        <f>IF(AND(V442=1,AND(OR(Painel!$L$6="Todas",E442=Painel!$L$6),OR(Painel!$C$8="Todos",F442=Painel!$C$8),OR(Painel!$L$8="Todos",G442=Painel!$L$8),OR(Painel!$C$10="",ISNUMBER(SEARCH(SUBSTITUTE(SUBSTITUTE(SUBSTITUTE(Painel!$C$10,"~","~~"),"*","~*"),"?","~?"),A442&amp;" "&amp;H442&amp;" "&amp;I442))))),1,0)</f>
        <v>0</v>
      </c>
      <c r="AM442" s="14">
        <f t="shared" si="58"/>
        <v>0</v>
      </c>
      <c r="AN442" s="14"/>
      <c r="AO442" s="14"/>
      <c r="AP442" s="16" t="str">
        <f>IF(AB442=0,"",IF(INDEX(Andamentos!$B$10:$B$2009,AB442)="","",INDEX(Andamentos!$B$10:$B$2009,AB442)))</f>
        <v/>
      </c>
      <c r="AQ442" s="17" t="str">
        <f>IF(AH442=0,"",IF(INDEX(Valores!$B$10:$B$509,AH442)="","",IF(ISNUMBER(INDEX(Valores!$B$10:$B$509,AH442)),INDEX(Valores!$B$10:$B$509,AH442),"")))</f>
        <v/>
      </c>
      <c r="AR442" s="14" t="str">
        <f t="shared" si="59"/>
        <v/>
      </c>
      <c r="AS442" s="14" t="str">
        <f t="shared" si="60"/>
        <v/>
      </c>
      <c r="AT442" s="27"/>
      <c r="AU442" s="31"/>
      <c r="AV442" s="31"/>
      <c r="AW442" s="27"/>
      <c r="AX442" s="27"/>
      <c r="AY442" s="27"/>
      <c r="AZ442" s="27"/>
      <c r="BA442" s="30" t="str">
        <f t="shared" si="61"/>
        <v/>
      </c>
      <c r="BB442" s="30" t="str">
        <f t="shared" si="62"/>
        <v/>
      </c>
      <c r="BC442" s="30">
        <f>IF(X442=0,0,IF(COUNTIFS($X$10:X442,1,$BA$10:BA442,BA442)=1,1,0))</f>
        <v>0</v>
      </c>
      <c r="BD442" s="29"/>
    </row>
    <row r="443" spans="1:56" ht="42" customHeight="1">
      <c r="A443" s="41"/>
      <c r="B443" s="44"/>
      <c r="C443" s="44"/>
      <c r="D443" s="44"/>
      <c r="E443" s="44"/>
      <c r="F443" s="44"/>
      <c r="G443" s="44"/>
      <c r="H443" s="44"/>
      <c r="I443" s="44"/>
      <c r="J443" s="44"/>
      <c r="K443" s="44"/>
      <c r="L443" s="49"/>
      <c r="M443" s="48"/>
      <c r="N443" s="48"/>
      <c r="O443" s="48"/>
      <c r="P443" s="48"/>
      <c r="Q443" s="48"/>
      <c r="R443" s="48"/>
      <c r="S443" s="49"/>
      <c r="T443" s="48"/>
      <c r="U443" s="48"/>
      <c r="V443" s="14">
        <f t="shared" si="54"/>
        <v>0</v>
      </c>
      <c r="W443" s="14">
        <f t="shared" si="55"/>
        <v>0</v>
      </c>
      <c r="X443" s="14">
        <f>IF(AND(V443=1,OR(Painel!$C$6="Todos",D443=Painel!$C$6),AND(OR(Painel!$L$6="Todas",E443=Painel!$L$6),OR(Painel!$C$8="Todos",F443=Painel!$C$8),OR(Painel!$L$8="Todos",G443=Painel!$L$8),OR(Painel!$C$10="",ISNUMBER(SEARCH(SUBSTITUTE(SUBSTITUTE(SUBSTITUTE(Painel!$C$10,"~","~~"),"*","~*"),"?","~?"),A443&amp;" "&amp;H443&amp;" "&amp;I443))))),1,0)</f>
        <v>0</v>
      </c>
      <c r="Y443" s="14">
        <f t="shared" si="56"/>
        <v>0</v>
      </c>
      <c r="Z443" s="15" t="str">
        <f>IF(V443=0,"",IF(COUNTIFS(Andamentos!$K$10:$K$2009,"="&amp;SUBSTITUTE(SUBSTITUTE(SUBSTITUTE("P:"&amp;A443,"~","~~"),"*","~*"),"?","~?"),Andamentos!$G$10:$G$2009,1)=0,"",_xlfn.AGGREGATE(14,6,Andamentos!$D$10:$D$2009/((Andamentos!$K$10:$K$2009=AS443)*(Andamentos!$G$10:$G$2009=1)),1)))</f>
        <v/>
      </c>
      <c r="AA443" s="14">
        <f>IF(Z443="",0,COUNTIFS(Andamentos!$K$10:$K$2009,"="&amp;SUBSTITUTE(SUBSTITUTE(SUBSTITUTE("P:"&amp;A443,"~","~~"),"*","~*"),"?","~?"),Andamentos!$D$10:$D$2009,Z443,Andamentos!$G$10:$G$2009,1))</f>
        <v>0</v>
      </c>
      <c r="AB443" s="14">
        <f>IF(AA443=1,SUMIFS(Andamentos!$L$10:$L$2009,Andamentos!$K$10:$K$2009,"="&amp;SUBSTITUTE(SUBSTITUTE(SUBSTITUTE(AS443,"~","~~"),"*","~*"),"?","~?"),Andamentos!$D$10:$D$2009,Z443,Andamentos!$G$10:$G$2009,1)-9,0)</f>
        <v>0</v>
      </c>
      <c r="AC443" s="14" t="str">
        <f>IF(V443=0,"",IF(AA443&gt;1,"Conferir recebimentos empatados",IF(AB443=0,"Sem atualização",INDEX(Andamentos!$C$10:$C$2009,AB443))))</f>
        <v/>
      </c>
      <c r="AD443" s="14">
        <f>IF(W443=0,0,IF(MAX(Z443,BD443)=0,1,IF(Configurar!$J$12-INT(MAX(Z443,BD443))&gt;Configurar!$J$11,1,0)))</f>
        <v>0</v>
      </c>
      <c r="AE443" s="16"/>
      <c r="AF443" s="14"/>
      <c r="AG443" s="14"/>
      <c r="AH443" s="14">
        <f>IF(AND(V443=1,COUNTIFS(Valores!$S$10:$S$509,"="&amp;SUBSTITUTE(SUBSTITUTE(SUBSTITUTE("P:"&amp;A443,"~","~~"),"*","~*"),"?","~?"))=1),(IF(ISNA(MATCH(SUBSTITUTE(SUBSTITUTE(SUBSTITUTE("P:"&amp;A443,"~","~~"),"*","~*"),"?","~?"),Valores!$S$10:$S$509,0)),9,INDEX(Valores!$R$10:$R$509,MATCH(SUBSTITUTE(SUBSTITUTE(SUBSTITUTE("P:"&amp;A443,"~","~~"),"*","~*"),"?","~?"),Valores!$S$10:$S$509,0)))-9),0)</f>
        <v>0</v>
      </c>
      <c r="AI443" s="40" t="str">
        <f t="shared" si="57"/>
        <v/>
      </c>
      <c r="AJ443" s="14" t="str">
        <f>IF(AND(X443=1,Y443=1),COUNTIFS($X$10:X443,1,$Y$10:Y443,1),"")</f>
        <v/>
      </c>
      <c r="AK443" s="14" t="str">
        <f>IF(X443=1,COUNTIFS($X$10:X443,1),"")</f>
        <v/>
      </c>
      <c r="AL443" s="14">
        <f>IF(AND(V443=1,AND(OR(Painel!$L$6="Todas",E443=Painel!$L$6),OR(Painel!$C$8="Todos",F443=Painel!$C$8),OR(Painel!$L$8="Todos",G443=Painel!$L$8),OR(Painel!$C$10="",ISNUMBER(SEARCH(SUBSTITUTE(SUBSTITUTE(SUBSTITUTE(Painel!$C$10,"~","~~"),"*","~*"),"?","~?"),A443&amp;" "&amp;H443&amp;" "&amp;I443))))),1,0)</f>
        <v>0</v>
      </c>
      <c r="AM443" s="14">
        <f t="shared" si="58"/>
        <v>0</v>
      </c>
      <c r="AN443" s="14"/>
      <c r="AO443" s="14"/>
      <c r="AP443" s="16" t="str">
        <f>IF(AB443=0,"",IF(INDEX(Andamentos!$B$10:$B$2009,AB443)="","",INDEX(Andamentos!$B$10:$B$2009,AB443)))</f>
        <v/>
      </c>
      <c r="AQ443" s="17" t="str">
        <f>IF(AH443=0,"",IF(INDEX(Valores!$B$10:$B$509,AH443)="","",IF(ISNUMBER(INDEX(Valores!$B$10:$B$509,AH443)),INDEX(Valores!$B$10:$B$509,AH443),"")))</f>
        <v/>
      </c>
      <c r="AR443" s="14" t="str">
        <f t="shared" si="59"/>
        <v/>
      </c>
      <c r="AS443" s="14" t="str">
        <f t="shared" si="60"/>
        <v/>
      </c>
      <c r="AT443" s="27"/>
      <c r="AU443" s="31"/>
      <c r="AV443" s="31"/>
      <c r="AW443" s="27"/>
      <c r="AX443" s="27"/>
      <c r="AY443" s="27"/>
      <c r="AZ443" s="27"/>
      <c r="BA443" s="30" t="str">
        <f t="shared" si="61"/>
        <v/>
      </c>
      <c r="BB443" s="30" t="str">
        <f t="shared" si="62"/>
        <v/>
      </c>
      <c r="BC443" s="30">
        <f>IF(X443=0,0,IF(COUNTIFS($X$10:X443,1,$BA$10:BA443,BA443)=1,1,0))</f>
        <v>0</v>
      </c>
      <c r="BD443" s="29"/>
    </row>
    <row r="444" spans="1:56" ht="42" customHeight="1">
      <c r="A444" s="41"/>
      <c r="B444" s="44"/>
      <c r="C444" s="44"/>
      <c r="D444" s="44"/>
      <c r="E444" s="44"/>
      <c r="F444" s="44"/>
      <c r="G444" s="44"/>
      <c r="H444" s="44"/>
      <c r="I444" s="44"/>
      <c r="J444" s="44"/>
      <c r="K444" s="44"/>
      <c r="L444" s="49"/>
      <c r="M444" s="48"/>
      <c r="N444" s="48"/>
      <c r="O444" s="48"/>
      <c r="P444" s="48"/>
      <c r="Q444" s="48"/>
      <c r="R444" s="48"/>
      <c r="S444" s="49"/>
      <c r="T444" s="48"/>
      <c r="U444" s="48"/>
      <c r="V444" s="14">
        <f t="shared" si="54"/>
        <v>0</v>
      </c>
      <c r="W444" s="14">
        <f t="shared" si="55"/>
        <v>0</v>
      </c>
      <c r="X444" s="14">
        <f>IF(AND(V444=1,OR(Painel!$C$6="Todos",D444=Painel!$C$6),AND(OR(Painel!$L$6="Todas",E444=Painel!$L$6),OR(Painel!$C$8="Todos",F444=Painel!$C$8),OR(Painel!$L$8="Todos",G444=Painel!$L$8),OR(Painel!$C$10="",ISNUMBER(SEARCH(SUBSTITUTE(SUBSTITUTE(SUBSTITUTE(Painel!$C$10,"~","~~"),"*","~*"),"?","~?"),A444&amp;" "&amp;H444&amp;" "&amp;I444))))),1,0)</f>
        <v>0</v>
      </c>
      <c r="Y444" s="14">
        <f t="shared" si="56"/>
        <v>0</v>
      </c>
      <c r="Z444" s="15" t="str">
        <f>IF(V444=0,"",IF(COUNTIFS(Andamentos!$K$10:$K$2009,"="&amp;SUBSTITUTE(SUBSTITUTE(SUBSTITUTE("P:"&amp;A444,"~","~~"),"*","~*"),"?","~?"),Andamentos!$G$10:$G$2009,1)=0,"",_xlfn.AGGREGATE(14,6,Andamentos!$D$10:$D$2009/((Andamentos!$K$10:$K$2009=AS444)*(Andamentos!$G$10:$G$2009=1)),1)))</f>
        <v/>
      </c>
      <c r="AA444" s="14">
        <f>IF(Z444="",0,COUNTIFS(Andamentos!$K$10:$K$2009,"="&amp;SUBSTITUTE(SUBSTITUTE(SUBSTITUTE("P:"&amp;A444,"~","~~"),"*","~*"),"?","~?"),Andamentos!$D$10:$D$2009,Z444,Andamentos!$G$10:$G$2009,1))</f>
        <v>0</v>
      </c>
      <c r="AB444" s="14">
        <f>IF(AA444=1,SUMIFS(Andamentos!$L$10:$L$2009,Andamentos!$K$10:$K$2009,"="&amp;SUBSTITUTE(SUBSTITUTE(SUBSTITUTE(AS444,"~","~~"),"*","~*"),"?","~?"),Andamentos!$D$10:$D$2009,Z444,Andamentos!$G$10:$G$2009,1)-9,0)</f>
        <v>0</v>
      </c>
      <c r="AC444" s="14" t="str">
        <f>IF(V444=0,"",IF(AA444&gt;1,"Conferir recebimentos empatados",IF(AB444=0,"Sem atualização",INDEX(Andamentos!$C$10:$C$2009,AB444))))</f>
        <v/>
      </c>
      <c r="AD444" s="14">
        <f>IF(W444=0,0,IF(MAX(Z444,BD444)=0,1,IF(Configurar!$J$12-INT(MAX(Z444,BD444))&gt;Configurar!$J$11,1,0)))</f>
        <v>0</v>
      </c>
      <c r="AE444" s="16"/>
      <c r="AF444" s="14"/>
      <c r="AG444" s="14"/>
      <c r="AH444" s="14">
        <f>IF(AND(V444=1,COUNTIFS(Valores!$S$10:$S$509,"="&amp;SUBSTITUTE(SUBSTITUTE(SUBSTITUTE("P:"&amp;A444,"~","~~"),"*","~*"),"?","~?"))=1),(IF(ISNA(MATCH(SUBSTITUTE(SUBSTITUTE(SUBSTITUTE("P:"&amp;A444,"~","~~"),"*","~*"),"?","~?"),Valores!$S$10:$S$509,0)),9,INDEX(Valores!$R$10:$R$509,MATCH(SUBSTITUTE(SUBSTITUTE(SUBSTITUTE("P:"&amp;A444,"~","~~"),"*","~*"),"?","~?"),Valores!$S$10:$S$509,0)))-9),0)</f>
        <v>0</v>
      </c>
      <c r="AI444" s="40" t="str">
        <f t="shared" si="57"/>
        <v/>
      </c>
      <c r="AJ444" s="14" t="str">
        <f>IF(AND(X444=1,Y444=1),COUNTIFS($X$10:X444,1,$Y$10:Y444,1),"")</f>
        <v/>
      </c>
      <c r="AK444" s="14" t="str">
        <f>IF(X444=1,COUNTIFS($X$10:X444,1),"")</f>
        <v/>
      </c>
      <c r="AL444" s="14">
        <f>IF(AND(V444=1,AND(OR(Painel!$L$6="Todas",E444=Painel!$L$6),OR(Painel!$C$8="Todos",F444=Painel!$C$8),OR(Painel!$L$8="Todos",G444=Painel!$L$8),OR(Painel!$C$10="",ISNUMBER(SEARCH(SUBSTITUTE(SUBSTITUTE(SUBSTITUTE(Painel!$C$10,"~","~~"),"*","~*"),"?","~?"),A444&amp;" "&amp;H444&amp;" "&amp;I444))))),1,0)</f>
        <v>0</v>
      </c>
      <c r="AM444" s="14">
        <f t="shared" si="58"/>
        <v>0</v>
      </c>
      <c r="AN444" s="14"/>
      <c r="AO444" s="14"/>
      <c r="AP444" s="16" t="str">
        <f>IF(AB444=0,"",IF(INDEX(Andamentos!$B$10:$B$2009,AB444)="","",INDEX(Andamentos!$B$10:$B$2009,AB444)))</f>
        <v/>
      </c>
      <c r="AQ444" s="17" t="str">
        <f>IF(AH444=0,"",IF(INDEX(Valores!$B$10:$B$509,AH444)="","",IF(ISNUMBER(INDEX(Valores!$B$10:$B$509,AH444)),INDEX(Valores!$B$10:$B$509,AH444),"")))</f>
        <v/>
      </c>
      <c r="AR444" s="14" t="str">
        <f t="shared" si="59"/>
        <v/>
      </c>
      <c r="AS444" s="14" t="str">
        <f t="shared" si="60"/>
        <v/>
      </c>
      <c r="AT444" s="27"/>
      <c r="AU444" s="31"/>
      <c r="AV444" s="31"/>
      <c r="AW444" s="27"/>
      <c r="AX444" s="27"/>
      <c r="AY444" s="27"/>
      <c r="AZ444" s="27"/>
      <c r="BA444" s="30" t="str">
        <f t="shared" si="61"/>
        <v/>
      </c>
      <c r="BB444" s="30" t="str">
        <f t="shared" si="62"/>
        <v/>
      </c>
      <c r="BC444" s="30">
        <f>IF(X444=0,0,IF(COUNTIFS($X$10:X444,1,$BA$10:BA444,BA444)=1,1,0))</f>
        <v>0</v>
      </c>
      <c r="BD444" s="29"/>
    </row>
    <row r="445" spans="1:56" ht="42" customHeight="1">
      <c r="A445" s="41"/>
      <c r="B445" s="44"/>
      <c r="C445" s="44"/>
      <c r="D445" s="44"/>
      <c r="E445" s="44"/>
      <c r="F445" s="44"/>
      <c r="G445" s="44"/>
      <c r="H445" s="44"/>
      <c r="I445" s="44"/>
      <c r="J445" s="44"/>
      <c r="K445" s="44"/>
      <c r="L445" s="49"/>
      <c r="M445" s="48"/>
      <c r="N445" s="48"/>
      <c r="O445" s="48"/>
      <c r="P445" s="48"/>
      <c r="Q445" s="48"/>
      <c r="R445" s="48"/>
      <c r="S445" s="49"/>
      <c r="T445" s="48"/>
      <c r="U445" s="48"/>
      <c r="V445" s="14">
        <f t="shared" si="54"/>
        <v>0</v>
      </c>
      <c r="W445" s="14">
        <f t="shared" si="55"/>
        <v>0</v>
      </c>
      <c r="X445" s="14">
        <f>IF(AND(V445=1,OR(Painel!$C$6="Todos",D445=Painel!$C$6),AND(OR(Painel!$L$6="Todas",E445=Painel!$L$6),OR(Painel!$C$8="Todos",F445=Painel!$C$8),OR(Painel!$L$8="Todos",G445=Painel!$L$8),OR(Painel!$C$10="",ISNUMBER(SEARCH(SUBSTITUTE(SUBSTITUTE(SUBSTITUTE(Painel!$C$10,"~","~~"),"*","~*"),"?","~?"),A445&amp;" "&amp;H445&amp;" "&amp;I445))))),1,0)</f>
        <v>0</v>
      </c>
      <c r="Y445" s="14">
        <f t="shared" si="56"/>
        <v>0</v>
      </c>
      <c r="Z445" s="15" t="str">
        <f>IF(V445=0,"",IF(COUNTIFS(Andamentos!$K$10:$K$2009,"="&amp;SUBSTITUTE(SUBSTITUTE(SUBSTITUTE("P:"&amp;A445,"~","~~"),"*","~*"),"?","~?"),Andamentos!$G$10:$G$2009,1)=0,"",_xlfn.AGGREGATE(14,6,Andamentos!$D$10:$D$2009/((Andamentos!$K$10:$K$2009=AS445)*(Andamentos!$G$10:$G$2009=1)),1)))</f>
        <v/>
      </c>
      <c r="AA445" s="14">
        <f>IF(Z445="",0,COUNTIFS(Andamentos!$K$10:$K$2009,"="&amp;SUBSTITUTE(SUBSTITUTE(SUBSTITUTE("P:"&amp;A445,"~","~~"),"*","~*"),"?","~?"),Andamentos!$D$10:$D$2009,Z445,Andamentos!$G$10:$G$2009,1))</f>
        <v>0</v>
      </c>
      <c r="AB445" s="14">
        <f>IF(AA445=1,SUMIFS(Andamentos!$L$10:$L$2009,Andamentos!$K$10:$K$2009,"="&amp;SUBSTITUTE(SUBSTITUTE(SUBSTITUTE(AS445,"~","~~"),"*","~*"),"?","~?"),Andamentos!$D$10:$D$2009,Z445,Andamentos!$G$10:$G$2009,1)-9,0)</f>
        <v>0</v>
      </c>
      <c r="AC445" s="14" t="str">
        <f>IF(V445=0,"",IF(AA445&gt;1,"Conferir recebimentos empatados",IF(AB445=0,"Sem atualização",INDEX(Andamentos!$C$10:$C$2009,AB445))))</f>
        <v/>
      </c>
      <c r="AD445" s="14">
        <f>IF(W445=0,0,IF(MAX(Z445,BD445)=0,1,IF(Configurar!$J$12-INT(MAX(Z445,BD445))&gt;Configurar!$J$11,1,0)))</f>
        <v>0</v>
      </c>
      <c r="AE445" s="16"/>
      <c r="AF445" s="14"/>
      <c r="AG445" s="14"/>
      <c r="AH445" s="14">
        <f>IF(AND(V445=1,COUNTIFS(Valores!$S$10:$S$509,"="&amp;SUBSTITUTE(SUBSTITUTE(SUBSTITUTE("P:"&amp;A445,"~","~~"),"*","~*"),"?","~?"))=1),(IF(ISNA(MATCH(SUBSTITUTE(SUBSTITUTE(SUBSTITUTE("P:"&amp;A445,"~","~~"),"*","~*"),"?","~?"),Valores!$S$10:$S$509,0)),9,INDEX(Valores!$R$10:$R$509,MATCH(SUBSTITUTE(SUBSTITUTE(SUBSTITUTE("P:"&amp;A445,"~","~~"),"*","~*"),"?","~?"),Valores!$S$10:$S$509,0)))-9),0)</f>
        <v>0</v>
      </c>
      <c r="AI445" s="40" t="str">
        <f t="shared" si="57"/>
        <v/>
      </c>
      <c r="AJ445" s="14" t="str">
        <f>IF(AND(X445=1,Y445=1),COUNTIFS($X$10:X445,1,$Y$10:Y445,1),"")</f>
        <v/>
      </c>
      <c r="AK445" s="14" t="str">
        <f>IF(X445=1,COUNTIFS($X$10:X445,1),"")</f>
        <v/>
      </c>
      <c r="AL445" s="14">
        <f>IF(AND(V445=1,AND(OR(Painel!$L$6="Todas",E445=Painel!$L$6),OR(Painel!$C$8="Todos",F445=Painel!$C$8),OR(Painel!$L$8="Todos",G445=Painel!$L$8),OR(Painel!$C$10="",ISNUMBER(SEARCH(SUBSTITUTE(SUBSTITUTE(SUBSTITUTE(Painel!$C$10,"~","~~"),"*","~*"),"?","~?"),A445&amp;" "&amp;H445&amp;" "&amp;I445))))),1,0)</f>
        <v>0</v>
      </c>
      <c r="AM445" s="14">
        <f t="shared" si="58"/>
        <v>0</v>
      </c>
      <c r="AN445" s="14"/>
      <c r="AO445" s="14"/>
      <c r="AP445" s="16" t="str">
        <f>IF(AB445=0,"",IF(INDEX(Andamentos!$B$10:$B$2009,AB445)="","",INDEX(Andamentos!$B$10:$B$2009,AB445)))</f>
        <v/>
      </c>
      <c r="AQ445" s="17" t="str">
        <f>IF(AH445=0,"",IF(INDEX(Valores!$B$10:$B$509,AH445)="","",IF(ISNUMBER(INDEX(Valores!$B$10:$B$509,AH445)),INDEX(Valores!$B$10:$B$509,AH445),"")))</f>
        <v/>
      </c>
      <c r="AR445" s="14" t="str">
        <f t="shared" si="59"/>
        <v/>
      </c>
      <c r="AS445" s="14" t="str">
        <f t="shared" si="60"/>
        <v/>
      </c>
      <c r="AT445" s="27"/>
      <c r="AU445" s="31"/>
      <c r="AV445" s="31"/>
      <c r="AW445" s="27"/>
      <c r="AX445" s="27"/>
      <c r="AY445" s="27"/>
      <c r="AZ445" s="27"/>
      <c r="BA445" s="30" t="str">
        <f t="shared" si="61"/>
        <v/>
      </c>
      <c r="BB445" s="30" t="str">
        <f t="shared" si="62"/>
        <v/>
      </c>
      <c r="BC445" s="30">
        <f>IF(X445=0,0,IF(COUNTIFS($X$10:X445,1,$BA$10:BA445,BA445)=1,1,0))</f>
        <v>0</v>
      </c>
      <c r="BD445" s="29"/>
    </row>
    <row r="446" spans="1:56" ht="42" customHeight="1">
      <c r="A446" s="41"/>
      <c r="B446" s="44"/>
      <c r="C446" s="44"/>
      <c r="D446" s="44"/>
      <c r="E446" s="44"/>
      <c r="F446" s="44"/>
      <c r="G446" s="44"/>
      <c r="H446" s="44"/>
      <c r="I446" s="44"/>
      <c r="J446" s="44"/>
      <c r="K446" s="44"/>
      <c r="L446" s="49"/>
      <c r="M446" s="48"/>
      <c r="N446" s="48"/>
      <c r="O446" s="48"/>
      <c r="P446" s="48"/>
      <c r="Q446" s="48"/>
      <c r="R446" s="48"/>
      <c r="S446" s="49"/>
      <c r="T446" s="48"/>
      <c r="U446" s="48"/>
      <c r="V446" s="14">
        <f t="shared" si="54"/>
        <v>0</v>
      </c>
      <c r="W446" s="14">
        <f t="shared" si="55"/>
        <v>0</v>
      </c>
      <c r="X446" s="14">
        <f>IF(AND(V446=1,OR(Painel!$C$6="Todos",D446=Painel!$C$6),AND(OR(Painel!$L$6="Todas",E446=Painel!$L$6),OR(Painel!$C$8="Todos",F446=Painel!$C$8),OR(Painel!$L$8="Todos",G446=Painel!$L$8),OR(Painel!$C$10="",ISNUMBER(SEARCH(SUBSTITUTE(SUBSTITUTE(SUBSTITUTE(Painel!$C$10,"~","~~"),"*","~*"),"?","~?"),A446&amp;" "&amp;H446&amp;" "&amp;I446))))),1,0)</f>
        <v>0</v>
      </c>
      <c r="Y446" s="14">
        <f t="shared" si="56"/>
        <v>0</v>
      </c>
      <c r="Z446" s="15" t="str">
        <f>IF(V446=0,"",IF(COUNTIFS(Andamentos!$K$10:$K$2009,"="&amp;SUBSTITUTE(SUBSTITUTE(SUBSTITUTE("P:"&amp;A446,"~","~~"),"*","~*"),"?","~?"),Andamentos!$G$10:$G$2009,1)=0,"",_xlfn.AGGREGATE(14,6,Andamentos!$D$10:$D$2009/((Andamentos!$K$10:$K$2009=AS446)*(Andamentos!$G$10:$G$2009=1)),1)))</f>
        <v/>
      </c>
      <c r="AA446" s="14">
        <f>IF(Z446="",0,COUNTIFS(Andamentos!$K$10:$K$2009,"="&amp;SUBSTITUTE(SUBSTITUTE(SUBSTITUTE("P:"&amp;A446,"~","~~"),"*","~*"),"?","~?"),Andamentos!$D$10:$D$2009,Z446,Andamentos!$G$10:$G$2009,1))</f>
        <v>0</v>
      </c>
      <c r="AB446" s="14">
        <f>IF(AA446=1,SUMIFS(Andamentos!$L$10:$L$2009,Andamentos!$K$10:$K$2009,"="&amp;SUBSTITUTE(SUBSTITUTE(SUBSTITUTE(AS446,"~","~~"),"*","~*"),"?","~?"),Andamentos!$D$10:$D$2009,Z446,Andamentos!$G$10:$G$2009,1)-9,0)</f>
        <v>0</v>
      </c>
      <c r="AC446" s="14" t="str">
        <f>IF(V446=0,"",IF(AA446&gt;1,"Conferir recebimentos empatados",IF(AB446=0,"Sem atualização",INDEX(Andamentos!$C$10:$C$2009,AB446))))</f>
        <v/>
      </c>
      <c r="AD446" s="14">
        <f>IF(W446=0,0,IF(MAX(Z446,BD446)=0,1,IF(Configurar!$J$12-INT(MAX(Z446,BD446))&gt;Configurar!$J$11,1,0)))</f>
        <v>0</v>
      </c>
      <c r="AE446" s="16"/>
      <c r="AF446" s="14"/>
      <c r="AG446" s="14"/>
      <c r="AH446" s="14">
        <f>IF(AND(V446=1,COUNTIFS(Valores!$S$10:$S$509,"="&amp;SUBSTITUTE(SUBSTITUTE(SUBSTITUTE("P:"&amp;A446,"~","~~"),"*","~*"),"?","~?"))=1),(IF(ISNA(MATCH(SUBSTITUTE(SUBSTITUTE(SUBSTITUTE("P:"&amp;A446,"~","~~"),"*","~*"),"?","~?"),Valores!$S$10:$S$509,0)),9,INDEX(Valores!$R$10:$R$509,MATCH(SUBSTITUTE(SUBSTITUTE(SUBSTITUTE("P:"&amp;A446,"~","~~"),"*","~*"),"?","~?"),Valores!$S$10:$S$509,0)))-9),0)</f>
        <v>0</v>
      </c>
      <c r="AI446" s="40" t="str">
        <f t="shared" si="57"/>
        <v/>
      </c>
      <c r="AJ446" s="14" t="str">
        <f>IF(AND(X446=1,Y446=1),COUNTIFS($X$10:X446,1,$Y$10:Y446,1),"")</f>
        <v/>
      </c>
      <c r="AK446" s="14" t="str">
        <f>IF(X446=1,COUNTIFS($X$10:X446,1),"")</f>
        <v/>
      </c>
      <c r="AL446" s="14">
        <f>IF(AND(V446=1,AND(OR(Painel!$L$6="Todas",E446=Painel!$L$6),OR(Painel!$C$8="Todos",F446=Painel!$C$8),OR(Painel!$L$8="Todos",G446=Painel!$L$8),OR(Painel!$C$10="",ISNUMBER(SEARCH(SUBSTITUTE(SUBSTITUTE(SUBSTITUTE(Painel!$C$10,"~","~~"),"*","~*"),"?","~?"),A446&amp;" "&amp;H446&amp;" "&amp;I446))))),1,0)</f>
        <v>0</v>
      </c>
      <c r="AM446" s="14">
        <f t="shared" si="58"/>
        <v>0</v>
      </c>
      <c r="AN446" s="14"/>
      <c r="AO446" s="14"/>
      <c r="AP446" s="16" t="str">
        <f>IF(AB446=0,"",IF(INDEX(Andamentos!$B$10:$B$2009,AB446)="","",INDEX(Andamentos!$B$10:$B$2009,AB446)))</f>
        <v/>
      </c>
      <c r="AQ446" s="17" t="str">
        <f>IF(AH446=0,"",IF(INDEX(Valores!$B$10:$B$509,AH446)="","",IF(ISNUMBER(INDEX(Valores!$B$10:$B$509,AH446)),INDEX(Valores!$B$10:$B$509,AH446),"")))</f>
        <v/>
      </c>
      <c r="AR446" s="14" t="str">
        <f t="shared" si="59"/>
        <v/>
      </c>
      <c r="AS446" s="14" t="str">
        <f t="shared" si="60"/>
        <v/>
      </c>
      <c r="AT446" s="27"/>
      <c r="AU446" s="31"/>
      <c r="AV446" s="31"/>
      <c r="AW446" s="27"/>
      <c r="AX446" s="27"/>
      <c r="AY446" s="27"/>
      <c r="AZ446" s="27"/>
      <c r="BA446" s="30" t="str">
        <f t="shared" si="61"/>
        <v/>
      </c>
      <c r="BB446" s="30" t="str">
        <f t="shared" si="62"/>
        <v/>
      </c>
      <c r="BC446" s="30">
        <f>IF(X446=0,0,IF(COUNTIFS($X$10:X446,1,$BA$10:BA446,BA446)=1,1,0))</f>
        <v>0</v>
      </c>
      <c r="BD446" s="29"/>
    </row>
    <row r="447" spans="1:56" ht="42" customHeight="1">
      <c r="A447" s="41"/>
      <c r="B447" s="44"/>
      <c r="C447" s="44"/>
      <c r="D447" s="44"/>
      <c r="E447" s="44"/>
      <c r="F447" s="44"/>
      <c r="G447" s="44"/>
      <c r="H447" s="44"/>
      <c r="I447" s="44"/>
      <c r="J447" s="44"/>
      <c r="K447" s="44"/>
      <c r="L447" s="49"/>
      <c r="M447" s="48"/>
      <c r="N447" s="48"/>
      <c r="O447" s="48"/>
      <c r="P447" s="48"/>
      <c r="Q447" s="48"/>
      <c r="R447" s="48"/>
      <c r="S447" s="49"/>
      <c r="T447" s="48"/>
      <c r="U447" s="48"/>
      <c r="V447" s="14">
        <f t="shared" si="54"/>
        <v>0</v>
      </c>
      <c r="W447" s="14">
        <f t="shared" si="55"/>
        <v>0</v>
      </c>
      <c r="X447" s="14">
        <f>IF(AND(V447=1,OR(Painel!$C$6="Todos",D447=Painel!$C$6),AND(OR(Painel!$L$6="Todas",E447=Painel!$L$6),OR(Painel!$C$8="Todos",F447=Painel!$C$8),OR(Painel!$L$8="Todos",G447=Painel!$L$8),OR(Painel!$C$10="",ISNUMBER(SEARCH(SUBSTITUTE(SUBSTITUTE(SUBSTITUTE(Painel!$C$10,"~","~~"),"*","~*"),"?","~?"),A447&amp;" "&amp;H447&amp;" "&amp;I447))))),1,0)</f>
        <v>0</v>
      </c>
      <c r="Y447" s="14">
        <f t="shared" si="56"/>
        <v>0</v>
      </c>
      <c r="Z447" s="15" t="str">
        <f>IF(V447=0,"",IF(COUNTIFS(Andamentos!$K$10:$K$2009,"="&amp;SUBSTITUTE(SUBSTITUTE(SUBSTITUTE("P:"&amp;A447,"~","~~"),"*","~*"),"?","~?"),Andamentos!$G$10:$G$2009,1)=0,"",_xlfn.AGGREGATE(14,6,Andamentos!$D$10:$D$2009/((Andamentos!$K$10:$K$2009=AS447)*(Andamentos!$G$10:$G$2009=1)),1)))</f>
        <v/>
      </c>
      <c r="AA447" s="14">
        <f>IF(Z447="",0,COUNTIFS(Andamentos!$K$10:$K$2009,"="&amp;SUBSTITUTE(SUBSTITUTE(SUBSTITUTE("P:"&amp;A447,"~","~~"),"*","~*"),"?","~?"),Andamentos!$D$10:$D$2009,Z447,Andamentos!$G$10:$G$2009,1))</f>
        <v>0</v>
      </c>
      <c r="AB447" s="14">
        <f>IF(AA447=1,SUMIFS(Andamentos!$L$10:$L$2009,Andamentos!$K$10:$K$2009,"="&amp;SUBSTITUTE(SUBSTITUTE(SUBSTITUTE(AS447,"~","~~"),"*","~*"),"?","~?"),Andamentos!$D$10:$D$2009,Z447,Andamentos!$G$10:$G$2009,1)-9,0)</f>
        <v>0</v>
      </c>
      <c r="AC447" s="14" t="str">
        <f>IF(V447=0,"",IF(AA447&gt;1,"Conferir recebimentos empatados",IF(AB447=0,"Sem atualização",INDEX(Andamentos!$C$10:$C$2009,AB447))))</f>
        <v/>
      </c>
      <c r="AD447" s="14">
        <f>IF(W447=0,0,IF(MAX(Z447,BD447)=0,1,IF(Configurar!$J$12-INT(MAX(Z447,BD447))&gt;Configurar!$J$11,1,0)))</f>
        <v>0</v>
      </c>
      <c r="AE447" s="16"/>
      <c r="AF447" s="14"/>
      <c r="AG447" s="14"/>
      <c r="AH447" s="14">
        <f>IF(AND(V447=1,COUNTIFS(Valores!$S$10:$S$509,"="&amp;SUBSTITUTE(SUBSTITUTE(SUBSTITUTE("P:"&amp;A447,"~","~~"),"*","~*"),"?","~?"))=1),(IF(ISNA(MATCH(SUBSTITUTE(SUBSTITUTE(SUBSTITUTE("P:"&amp;A447,"~","~~"),"*","~*"),"?","~?"),Valores!$S$10:$S$509,0)),9,INDEX(Valores!$R$10:$R$509,MATCH(SUBSTITUTE(SUBSTITUTE(SUBSTITUTE("P:"&amp;A447,"~","~~"),"*","~*"),"?","~?"),Valores!$S$10:$S$509,0)))-9),0)</f>
        <v>0</v>
      </c>
      <c r="AI447" s="40" t="str">
        <f t="shared" si="57"/>
        <v/>
      </c>
      <c r="AJ447" s="14" t="str">
        <f>IF(AND(X447=1,Y447=1),COUNTIFS($X$10:X447,1,$Y$10:Y447,1),"")</f>
        <v/>
      </c>
      <c r="AK447" s="14" t="str">
        <f>IF(X447=1,COUNTIFS($X$10:X447,1),"")</f>
        <v/>
      </c>
      <c r="AL447" s="14">
        <f>IF(AND(V447=1,AND(OR(Painel!$L$6="Todas",E447=Painel!$L$6),OR(Painel!$C$8="Todos",F447=Painel!$C$8),OR(Painel!$L$8="Todos",G447=Painel!$L$8),OR(Painel!$C$10="",ISNUMBER(SEARCH(SUBSTITUTE(SUBSTITUTE(SUBSTITUTE(Painel!$C$10,"~","~~"),"*","~*"),"?","~?"),A447&amp;" "&amp;H447&amp;" "&amp;I447))))),1,0)</f>
        <v>0</v>
      </c>
      <c r="AM447" s="14">
        <f t="shared" si="58"/>
        <v>0</v>
      </c>
      <c r="AN447" s="14"/>
      <c r="AO447" s="14"/>
      <c r="AP447" s="16" t="str">
        <f>IF(AB447=0,"",IF(INDEX(Andamentos!$B$10:$B$2009,AB447)="","",INDEX(Andamentos!$B$10:$B$2009,AB447)))</f>
        <v/>
      </c>
      <c r="AQ447" s="17" t="str">
        <f>IF(AH447=0,"",IF(INDEX(Valores!$B$10:$B$509,AH447)="","",IF(ISNUMBER(INDEX(Valores!$B$10:$B$509,AH447)),INDEX(Valores!$B$10:$B$509,AH447),"")))</f>
        <v/>
      </c>
      <c r="AR447" s="14" t="str">
        <f t="shared" si="59"/>
        <v/>
      </c>
      <c r="AS447" s="14" t="str">
        <f t="shared" si="60"/>
        <v/>
      </c>
      <c r="AT447" s="27"/>
      <c r="AU447" s="31"/>
      <c r="AV447" s="31"/>
      <c r="AW447" s="27"/>
      <c r="AX447" s="27"/>
      <c r="AY447" s="27"/>
      <c r="AZ447" s="27"/>
      <c r="BA447" s="30" t="str">
        <f t="shared" si="61"/>
        <v/>
      </c>
      <c r="BB447" s="30" t="str">
        <f t="shared" si="62"/>
        <v/>
      </c>
      <c r="BC447" s="30">
        <f>IF(X447=0,0,IF(COUNTIFS($X$10:X447,1,$BA$10:BA447,BA447)=1,1,0))</f>
        <v>0</v>
      </c>
      <c r="BD447" s="29"/>
    </row>
    <row r="448" spans="1:56" ht="42" customHeight="1">
      <c r="A448" s="41"/>
      <c r="B448" s="44"/>
      <c r="C448" s="44"/>
      <c r="D448" s="44"/>
      <c r="E448" s="44"/>
      <c r="F448" s="44"/>
      <c r="G448" s="44"/>
      <c r="H448" s="44"/>
      <c r="I448" s="44"/>
      <c r="J448" s="44"/>
      <c r="K448" s="44"/>
      <c r="L448" s="49"/>
      <c r="M448" s="48"/>
      <c r="N448" s="48"/>
      <c r="O448" s="48"/>
      <c r="P448" s="48"/>
      <c r="Q448" s="48"/>
      <c r="R448" s="48"/>
      <c r="S448" s="49"/>
      <c r="T448" s="48"/>
      <c r="U448" s="48"/>
      <c r="V448" s="14">
        <f t="shared" si="54"/>
        <v>0</v>
      </c>
      <c r="W448" s="14">
        <f t="shared" si="55"/>
        <v>0</v>
      </c>
      <c r="X448" s="14">
        <f>IF(AND(V448=1,OR(Painel!$C$6="Todos",D448=Painel!$C$6),AND(OR(Painel!$L$6="Todas",E448=Painel!$L$6),OR(Painel!$C$8="Todos",F448=Painel!$C$8),OR(Painel!$L$8="Todos",G448=Painel!$L$8),OR(Painel!$C$10="",ISNUMBER(SEARCH(SUBSTITUTE(SUBSTITUTE(SUBSTITUTE(Painel!$C$10,"~","~~"),"*","~*"),"?","~?"),A448&amp;" "&amp;H448&amp;" "&amp;I448))))),1,0)</f>
        <v>0</v>
      </c>
      <c r="Y448" s="14">
        <f t="shared" si="56"/>
        <v>0</v>
      </c>
      <c r="Z448" s="15" t="str">
        <f>IF(V448=0,"",IF(COUNTIFS(Andamentos!$K$10:$K$2009,"="&amp;SUBSTITUTE(SUBSTITUTE(SUBSTITUTE("P:"&amp;A448,"~","~~"),"*","~*"),"?","~?"),Andamentos!$G$10:$G$2009,1)=0,"",_xlfn.AGGREGATE(14,6,Andamentos!$D$10:$D$2009/((Andamentos!$K$10:$K$2009=AS448)*(Andamentos!$G$10:$G$2009=1)),1)))</f>
        <v/>
      </c>
      <c r="AA448" s="14">
        <f>IF(Z448="",0,COUNTIFS(Andamentos!$K$10:$K$2009,"="&amp;SUBSTITUTE(SUBSTITUTE(SUBSTITUTE("P:"&amp;A448,"~","~~"),"*","~*"),"?","~?"),Andamentos!$D$10:$D$2009,Z448,Andamentos!$G$10:$G$2009,1))</f>
        <v>0</v>
      </c>
      <c r="AB448" s="14">
        <f>IF(AA448=1,SUMIFS(Andamentos!$L$10:$L$2009,Andamentos!$K$10:$K$2009,"="&amp;SUBSTITUTE(SUBSTITUTE(SUBSTITUTE(AS448,"~","~~"),"*","~*"),"?","~?"),Andamentos!$D$10:$D$2009,Z448,Andamentos!$G$10:$G$2009,1)-9,0)</f>
        <v>0</v>
      </c>
      <c r="AC448" s="14" t="str">
        <f>IF(V448=0,"",IF(AA448&gt;1,"Conferir recebimentos empatados",IF(AB448=0,"Sem atualização",INDEX(Andamentos!$C$10:$C$2009,AB448))))</f>
        <v/>
      </c>
      <c r="AD448" s="14">
        <f>IF(W448=0,0,IF(MAX(Z448,BD448)=0,1,IF(Configurar!$J$12-INT(MAX(Z448,BD448))&gt;Configurar!$J$11,1,0)))</f>
        <v>0</v>
      </c>
      <c r="AE448" s="16"/>
      <c r="AF448" s="14"/>
      <c r="AG448" s="14"/>
      <c r="AH448" s="14">
        <f>IF(AND(V448=1,COUNTIFS(Valores!$S$10:$S$509,"="&amp;SUBSTITUTE(SUBSTITUTE(SUBSTITUTE("P:"&amp;A448,"~","~~"),"*","~*"),"?","~?"))=1),(IF(ISNA(MATCH(SUBSTITUTE(SUBSTITUTE(SUBSTITUTE("P:"&amp;A448,"~","~~"),"*","~*"),"?","~?"),Valores!$S$10:$S$509,0)),9,INDEX(Valores!$R$10:$R$509,MATCH(SUBSTITUTE(SUBSTITUTE(SUBSTITUTE("P:"&amp;A448,"~","~~"),"*","~*"),"?","~?"),Valores!$S$10:$S$509,0)))-9),0)</f>
        <v>0</v>
      </c>
      <c r="AI448" s="40" t="str">
        <f t="shared" si="57"/>
        <v/>
      </c>
      <c r="AJ448" s="14" t="str">
        <f>IF(AND(X448=1,Y448=1),COUNTIFS($X$10:X448,1,$Y$10:Y448,1),"")</f>
        <v/>
      </c>
      <c r="AK448" s="14" t="str">
        <f>IF(X448=1,COUNTIFS($X$10:X448,1),"")</f>
        <v/>
      </c>
      <c r="AL448" s="14">
        <f>IF(AND(V448=1,AND(OR(Painel!$L$6="Todas",E448=Painel!$L$6),OR(Painel!$C$8="Todos",F448=Painel!$C$8),OR(Painel!$L$8="Todos",G448=Painel!$L$8),OR(Painel!$C$10="",ISNUMBER(SEARCH(SUBSTITUTE(SUBSTITUTE(SUBSTITUTE(Painel!$C$10,"~","~~"),"*","~*"),"?","~?"),A448&amp;" "&amp;H448&amp;" "&amp;I448))))),1,0)</f>
        <v>0</v>
      </c>
      <c r="AM448" s="14">
        <f t="shared" si="58"/>
        <v>0</v>
      </c>
      <c r="AN448" s="14"/>
      <c r="AO448" s="14"/>
      <c r="AP448" s="16" t="str">
        <f>IF(AB448=0,"",IF(INDEX(Andamentos!$B$10:$B$2009,AB448)="","",INDEX(Andamentos!$B$10:$B$2009,AB448)))</f>
        <v/>
      </c>
      <c r="AQ448" s="17" t="str">
        <f>IF(AH448=0,"",IF(INDEX(Valores!$B$10:$B$509,AH448)="","",IF(ISNUMBER(INDEX(Valores!$B$10:$B$509,AH448)),INDEX(Valores!$B$10:$B$509,AH448),"")))</f>
        <v/>
      </c>
      <c r="AR448" s="14" t="str">
        <f t="shared" si="59"/>
        <v/>
      </c>
      <c r="AS448" s="14" t="str">
        <f t="shared" si="60"/>
        <v/>
      </c>
      <c r="AT448" s="27"/>
      <c r="AU448" s="31"/>
      <c r="AV448" s="31"/>
      <c r="AW448" s="27"/>
      <c r="AX448" s="27"/>
      <c r="AY448" s="27"/>
      <c r="AZ448" s="27"/>
      <c r="BA448" s="30" t="str">
        <f t="shared" si="61"/>
        <v/>
      </c>
      <c r="BB448" s="30" t="str">
        <f t="shared" si="62"/>
        <v/>
      </c>
      <c r="BC448" s="30">
        <f>IF(X448=0,0,IF(COUNTIFS($X$10:X448,1,$BA$10:BA448,BA448)=1,1,0))</f>
        <v>0</v>
      </c>
      <c r="BD448" s="29"/>
    </row>
    <row r="449" spans="1:56" ht="42" customHeight="1">
      <c r="A449" s="41"/>
      <c r="B449" s="44"/>
      <c r="C449" s="44"/>
      <c r="D449" s="44"/>
      <c r="E449" s="44"/>
      <c r="F449" s="44"/>
      <c r="G449" s="44"/>
      <c r="H449" s="44"/>
      <c r="I449" s="44"/>
      <c r="J449" s="44"/>
      <c r="K449" s="44"/>
      <c r="L449" s="49"/>
      <c r="M449" s="48"/>
      <c r="N449" s="48"/>
      <c r="O449" s="48"/>
      <c r="P449" s="48"/>
      <c r="Q449" s="48"/>
      <c r="R449" s="48"/>
      <c r="S449" s="49"/>
      <c r="T449" s="48"/>
      <c r="U449" s="48"/>
      <c r="V449" s="14">
        <f t="shared" si="54"/>
        <v>0</v>
      </c>
      <c r="W449" s="14">
        <f t="shared" si="55"/>
        <v>0</v>
      </c>
      <c r="X449" s="14">
        <f>IF(AND(V449=1,OR(Painel!$C$6="Todos",D449=Painel!$C$6),AND(OR(Painel!$L$6="Todas",E449=Painel!$L$6),OR(Painel!$C$8="Todos",F449=Painel!$C$8),OR(Painel!$L$8="Todos",G449=Painel!$L$8),OR(Painel!$C$10="",ISNUMBER(SEARCH(SUBSTITUTE(SUBSTITUTE(SUBSTITUTE(Painel!$C$10,"~","~~"),"*","~*"),"?","~?"),A449&amp;" "&amp;H449&amp;" "&amp;I449))))),1,0)</f>
        <v>0</v>
      </c>
      <c r="Y449" s="14">
        <f t="shared" si="56"/>
        <v>0</v>
      </c>
      <c r="Z449" s="15" t="str">
        <f>IF(V449=0,"",IF(COUNTIFS(Andamentos!$K$10:$K$2009,"="&amp;SUBSTITUTE(SUBSTITUTE(SUBSTITUTE("P:"&amp;A449,"~","~~"),"*","~*"),"?","~?"),Andamentos!$G$10:$G$2009,1)=0,"",_xlfn.AGGREGATE(14,6,Andamentos!$D$10:$D$2009/((Andamentos!$K$10:$K$2009=AS449)*(Andamentos!$G$10:$G$2009=1)),1)))</f>
        <v/>
      </c>
      <c r="AA449" s="14">
        <f>IF(Z449="",0,COUNTIFS(Andamentos!$K$10:$K$2009,"="&amp;SUBSTITUTE(SUBSTITUTE(SUBSTITUTE("P:"&amp;A449,"~","~~"),"*","~*"),"?","~?"),Andamentos!$D$10:$D$2009,Z449,Andamentos!$G$10:$G$2009,1))</f>
        <v>0</v>
      </c>
      <c r="AB449" s="14">
        <f>IF(AA449=1,SUMIFS(Andamentos!$L$10:$L$2009,Andamentos!$K$10:$K$2009,"="&amp;SUBSTITUTE(SUBSTITUTE(SUBSTITUTE(AS449,"~","~~"),"*","~*"),"?","~?"),Andamentos!$D$10:$D$2009,Z449,Andamentos!$G$10:$G$2009,1)-9,0)</f>
        <v>0</v>
      </c>
      <c r="AC449" s="14" t="str">
        <f>IF(V449=0,"",IF(AA449&gt;1,"Conferir recebimentos empatados",IF(AB449=0,"Sem atualização",INDEX(Andamentos!$C$10:$C$2009,AB449))))</f>
        <v/>
      </c>
      <c r="AD449" s="14">
        <f>IF(W449=0,0,IF(MAX(Z449,BD449)=0,1,IF(Configurar!$J$12-INT(MAX(Z449,BD449))&gt;Configurar!$J$11,1,0)))</f>
        <v>0</v>
      </c>
      <c r="AE449" s="16"/>
      <c r="AF449" s="14"/>
      <c r="AG449" s="14"/>
      <c r="AH449" s="14">
        <f>IF(AND(V449=1,COUNTIFS(Valores!$S$10:$S$509,"="&amp;SUBSTITUTE(SUBSTITUTE(SUBSTITUTE("P:"&amp;A449,"~","~~"),"*","~*"),"?","~?"))=1),(IF(ISNA(MATCH(SUBSTITUTE(SUBSTITUTE(SUBSTITUTE("P:"&amp;A449,"~","~~"),"*","~*"),"?","~?"),Valores!$S$10:$S$509,0)),9,INDEX(Valores!$R$10:$R$509,MATCH(SUBSTITUTE(SUBSTITUTE(SUBSTITUTE("P:"&amp;A449,"~","~~"),"*","~*"),"?","~?"),Valores!$S$10:$S$509,0)))-9),0)</f>
        <v>0</v>
      </c>
      <c r="AI449" s="40" t="str">
        <f t="shared" si="57"/>
        <v/>
      </c>
      <c r="AJ449" s="14" t="str">
        <f>IF(AND(X449=1,Y449=1),COUNTIFS($X$10:X449,1,$Y$10:Y449,1),"")</f>
        <v/>
      </c>
      <c r="AK449" s="14" t="str">
        <f>IF(X449=1,COUNTIFS($X$10:X449,1),"")</f>
        <v/>
      </c>
      <c r="AL449" s="14">
        <f>IF(AND(V449=1,AND(OR(Painel!$L$6="Todas",E449=Painel!$L$6),OR(Painel!$C$8="Todos",F449=Painel!$C$8),OR(Painel!$L$8="Todos",G449=Painel!$L$8),OR(Painel!$C$10="",ISNUMBER(SEARCH(SUBSTITUTE(SUBSTITUTE(SUBSTITUTE(Painel!$C$10,"~","~~"),"*","~*"),"?","~?"),A449&amp;" "&amp;H449&amp;" "&amp;I449))))),1,0)</f>
        <v>0</v>
      </c>
      <c r="AM449" s="14">
        <f t="shared" si="58"/>
        <v>0</v>
      </c>
      <c r="AN449" s="14"/>
      <c r="AO449" s="14"/>
      <c r="AP449" s="16" t="str">
        <f>IF(AB449=0,"",IF(INDEX(Andamentos!$B$10:$B$2009,AB449)="","",INDEX(Andamentos!$B$10:$B$2009,AB449)))</f>
        <v/>
      </c>
      <c r="AQ449" s="17" t="str">
        <f>IF(AH449=0,"",IF(INDEX(Valores!$B$10:$B$509,AH449)="","",IF(ISNUMBER(INDEX(Valores!$B$10:$B$509,AH449)),INDEX(Valores!$B$10:$B$509,AH449),"")))</f>
        <v/>
      </c>
      <c r="AR449" s="14" t="str">
        <f t="shared" si="59"/>
        <v/>
      </c>
      <c r="AS449" s="14" t="str">
        <f t="shared" si="60"/>
        <v/>
      </c>
      <c r="AT449" s="27"/>
      <c r="AU449" s="31"/>
      <c r="AV449" s="31"/>
      <c r="AW449" s="27"/>
      <c r="AX449" s="27"/>
      <c r="AY449" s="27"/>
      <c r="AZ449" s="27"/>
      <c r="BA449" s="30" t="str">
        <f t="shared" si="61"/>
        <v/>
      </c>
      <c r="BB449" s="30" t="str">
        <f t="shared" si="62"/>
        <v/>
      </c>
      <c r="BC449" s="30">
        <f>IF(X449=0,0,IF(COUNTIFS($X$10:X449,1,$BA$10:BA449,BA449)=1,1,0))</f>
        <v>0</v>
      </c>
      <c r="BD449" s="29"/>
    </row>
    <row r="450" spans="1:56" ht="42" customHeight="1">
      <c r="A450" s="41"/>
      <c r="B450" s="44"/>
      <c r="C450" s="44"/>
      <c r="D450" s="44"/>
      <c r="E450" s="44"/>
      <c r="F450" s="44"/>
      <c r="G450" s="44"/>
      <c r="H450" s="44"/>
      <c r="I450" s="44"/>
      <c r="J450" s="44"/>
      <c r="K450" s="44"/>
      <c r="L450" s="49"/>
      <c r="M450" s="48"/>
      <c r="N450" s="48"/>
      <c r="O450" s="48"/>
      <c r="P450" s="48"/>
      <c r="Q450" s="48"/>
      <c r="R450" s="48"/>
      <c r="S450" s="49"/>
      <c r="T450" s="48"/>
      <c r="U450" s="48"/>
      <c r="V450" s="14">
        <f t="shared" si="54"/>
        <v>0</v>
      </c>
      <c r="W450" s="14">
        <f t="shared" si="55"/>
        <v>0</v>
      </c>
      <c r="X450" s="14">
        <f>IF(AND(V450=1,OR(Painel!$C$6="Todos",D450=Painel!$C$6),AND(OR(Painel!$L$6="Todas",E450=Painel!$L$6),OR(Painel!$C$8="Todos",F450=Painel!$C$8),OR(Painel!$L$8="Todos",G450=Painel!$L$8),OR(Painel!$C$10="",ISNUMBER(SEARCH(SUBSTITUTE(SUBSTITUTE(SUBSTITUTE(Painel!$C$10,"~","~~"),"*","~*"),"?","~?"),A450&amp;" "&amp;H450&amp;" "&amp;I450))))),1,0)</f>
        <v>0</v>
      </c>
      <c r="Y450" s="14">
        <f t="shared" si="56"/>
        <v>0</v>
      </c>
      <c r="Z450" s="15" t="str">
        <f>IF(V450=0,"",IF(COUNTIFS(Andamentos!$K$10:$K$2009,"="&amp;SUBSTITUTE(SUBSTITUTE(SUBSTITUTE("P:"&amp;A450,"~","~~"),"*","~*"),"?","~?"),Andamentos!$G$10:$G$2009,1)=0,"",_xlfn.AGGREGATE(14,6,Andamentos!$D$10:$D$2009/((Andamentos!$K$10:$K$2009=AS450)*(Andamentos!$G$10:$G$2009=1)),1)))</f>
        <v/>
      </c>
      <c r="AA450" s="14">
        <f>IF(Z450="",0,COUNTIFS(Andamentos!$K$10:$K$2009,"="&amp;SUBSTITUTE(SUBSTITUTE(SUBSTITUTE("P:"&amp;A450,"~","~~"),"*","~*"),"?","~?"),Andamentos!$D$10:$D$2009,Z450,Andamentos!$G$10:$G$2009,1))</f>
        <v>0</v>
      </c>
      <c r="AB450" s="14">
        <f>IF(AA450=1,SUMIFS(Andamentos!$L$10:$L$2009,Andamentos!$K$10:$K$2009,"="&amp;SUBSTITUTE(SUBSTITUTE(SUBSTITUTE(AS450,"~","~~"),"*","~*"),"?","~?"),Andamentos!$D$10:$D$2009,Z450,Andamentos!$G$10:$G$2009,1)-9,0)</f>
        <v>0</v>
      </c>
      <c r="AC450" s="14" t="str">
        <f>IF(V450=0,"",IF(AA450&gt;1,"Conferir recebimentos empatados",IF(AB450=0,"Sem atualização",INDEX(Andamentos!$C$10:$C$2009,AB450))))</f>
        <v/>
      </c>
      <c r="AD450" s="14">
        <f>IF(W450=0,0,IF(MAX(Z450,BD450)=0,1,IF(Configurar!$J$12-INT(MAX(Z450,BD450))&gt;Configurar!$J$11,1,0)))</f>
        <v>0</v>
      </c>
      <c r="AE450" s="16"/>
      <c r="AF450" s="14"/>
      <c r="AG450" s="14"/>
      <c r="AH450" s="14">
        <f>IF(AND(V450=1,COUNTIFS(Valores!$S$10:$S$509,"="&amp;SUBSTITUTE(SUBSTITUTE(SUBSTITUTE("P:"&amp;A450,"~","~~"),"*","~*"),"?","~?"))=1),(IF(ISNA(MATCH(SUBSTITUTE(SUBSTITUTE(SUBSTITUTE("P:"&amp;A450,"~","~~"),"*","~*"),"?","~?"),Valores!$S$10:$S$509,0)),9,INDEX(Valores!$R$10:$R$509,MATCH(SUBSTITUTE(SUBSTITUTE(SUBSTITUTE("P:"&amp;A450,"~","~~"),"*","~*"),"?","~?"),Valores!$S$10:$S$509,0)))-9),0)</f>
        <v>0</v>
      </c>
      <c r="AI450" s="40" t="str">
        <f t="shared" si="57"/>
        <v/>
      </c>
      <c r="AJ450" s="14" t="str">
        <f>IF(AND(X450=1,Y450=1),COUNTIFS($X$10:X450,1,$Y$10:Y450,1),"")</f>
        <v/>
      </c>
      <c r="AK450" s="14" t="str">
        <f>IF(X450=1,COUNTIFS($X$10:X450,1),"")</f>
        <v/>
      </c>
      <c r="AL450" s="14">
        <f>IF(AND(V450=1,AND(OR(Painel!$L$6="Todas",E450=Painel!$L$6),OR(Painel!$C$8="Todos",F450=Painel!$C$8),OR(Painel!$L$8="Todos",G450=Painel!$L$8),OR(Painel!$C$10="",ISNUMBER(SEARCH(SUBSTITUTE(SUBSTITUTE(SUBSTITUTE(Painel!$C$10,"~","~~"),"*","~*"),"?","~?"),A450&amp;" "&amp;H450&amp;" "&amp;I450))))),1,0)</f>
        <v>0</v>
      </c>
      <c r="AM450" s="14">
        <f t="shared" si="58"/>
        <v>0</v>
      </c>
      <c r="AN450" s="14"/>
      <c r="AO450" s="14"/>
      <c r="AP450" s="16" t="str">
        <f>IF(AB450=0,"",IF(INDEX(Andamentos!$B$10:$B$2009,AB450)="","",INDEX(Andamentos!$B$10:$B$2009,AB450)))</f>
        <v/>
      </c>
      <c r="AQ450" s="17" t="str">
        <f>IF(AH450=0,"",IF(INDEX(Valores!$B$10:$B$509,AH450)="","",IF(ISNUMBER(INDEX(Valores!$B$10:$B$509,AH450)),INDEX(Valores!$B$10:$B$509,AH450),"")))</f>
        <v/>
      </c>
      <c r="AR450" s="14" t="str">
        <f t="shared" si="59"/>
        <v/>
      </c>
      <c r="AS450" s="14" t="str">
        <f t="shared" si="60"/>
        <v/>
      </c>
      <c r="AT450" s="27"/>
      <c r="AU450" s="31"/>
      <c r="AV450" s="31"/>
      <c r="AW450" s="27"/>
      <c r="AX450" s="27"/>
      <c r="AY450" s="27"/>
      <c r="AZ450" s="27"/>
      <c r="BA450" s="30" t="str">
        <f t="shared" si="61"/>
        <v/>
      </c>
      <c r="BB450" s="30" t="str">
        <f t="shared" si="62"/>
        <v/>
      </c>
      <c r="BC450" s="30">
        <f>IF(X450=0,0,IF(COUNTIFS($X$10:X450,1,$BA$10:BA450,BA450)=1,1,0))</f>
        <v>0</v>
      </c>
      <c r="BD450" s="29"/>
    </row>
    <row r="451" spans="1:56" ht="42" customHeight="1">
      <c r="A451" s="41"/>
      <c r="B451" s="44"/>
      <c r="C451" s="44"/>
      <c r="D451" s="44"/>
      <c r="E451" s="44"/>
      <c r="F451" s="44"/>
      <c r="G451" s="44"/>
      <c r="H451" s="44"/>
      <c r="I451" s="44"/>
      <c r="J451" s="44"/>
      <c r="K451" s="44"/>
      <c r="L451" s="49"/>
      <c r="M451" s="48"/>
      <c r="N451" s="48"/>
      <c r="O451" s="48"/>
      <c r="P451" s="48"/>
      <c r="Q451" s="48"/>
      <c r="R451" s="48"/>
      <c r="S451" s="49"/>
      <c r="T451" s="48"/>
      <c r="U451" s="48"/>
      <c r="V451" s="14">
        <f t="shared" si="54"/>
        <v>0</v>
      </c>
      <c r="W451" s="14">
        <f t="shared" si="55"/>
        <v>0</v>
      </c>
      <c r="X451" s="14">
        <f>IF(AND(V451=1,OR(Painel!$C$6="Todos",D451=Painel!$C$6),AND(OR(Painel!$L$6="Todas",E451=Painel!$L$6),OR(Painel!$C$8="Todos",F451=Painel!$C$8),OR(Painel!$L$8="Todos",G451=Painel!$L$8),OR(Painel!$C$10="",ISNUMBER(SEARCH(SUBSTITUTE(SUBSTITUTE(SUBSTITUTE(Painel!$C$10,"~","~~"),"*","~*"),"?","~?"),A451&amp;" "&amp;H451&amp;" "&amp;I451))))),1,0)</f>
        <v>0</v>
      </c>
      <c r="Y451" s="14">
        <f t="shared" si="56"/>
        <v>0</v>
      </c>
      <c r="Z451" s="15" t="str">
        <f>IF(V451=0,"",IF(COUNTIFS(Andamentos!$K$10:$K$2009,"="&amp;SUBSTITUTE(SUBSTITUTE(SUBSTITUTE("P:"&amp;A451,"~","~~"),"*","~*"),"?","~?"),Andamentos!$G$10:$G$2009,1)=0,"",_xlfn.AGGREGATE(14,6,Andamentos!$D$10:$D$2009/((Andamentos!$K$10:$K$2009=AS451)*(Andamentos!$G$10:$G$2009=1)),1)))</f>
        <v/>
      </c>
      <c r="AA451" s="14">
        <f>IF(Z451="",0,COUNTIFS(Andamentos!$K$10:$K$2009,"="&amp;SUBSTITUTE(SUBSTITUTE(SUBSTITUTE("P:"&amp;A451,"~","~~"),"*","~*"),"?","~?"),Andamentos!$D$10:$D$2009,Z451,Andamentos!$G$10:$G$2009,1))</f>
        <v>0</v>
      </c>
      <c r="AB451" s="14">
        <f>IF(AA451=1,SUMIFS(Andamentos!$L$10:$L$2009,Andamentos!$K$10:$K$2009,"="&amp;SUBSTITUTE(SUBSTITUTE(SUBSTITUTE(AS451,"~","~~"),"*","~*"),"?","~?"),Andamentos!$D$10:$D$2009,Z451,Andamentos!$G$10:$G$2009,1)-9,0)</f>
        <v>0</v>
      </c>
      <c r="AC451" s="14" t="str">
        <f>IF(V451=0,"",IF(AA451&gt;1,"Conferir recebimentos empatados",IF(AB451=0,"Sem atualização",INDEX(Andamentos!$C$10:$C$2009,AB451))))</f>
        <v/>
      </c>
      <c r="AD451" s="14">
        <f>IF(W451=0,0,IF(MAX(Z451,BD451)=0,1,IF(Configurar!$J$12-INT(MAX(Z451,BD451))&gt;Configurar!$J$11,1,0)))</f>
        <v>0</v>
      </c>
      <c r="AE451" s="16"/>
      <c r="AF451" s="14"/>
      <c r="AG451" s="14"/>
      <c r="AH451" s="14">
        <f>IF(AND(V451=1,COUNTIFS(Valores!$S$10:$S$509,"="&amp;SUBSTITUTE(SUBSTITUTE(SUBSTITUTE("P:"&amp;A451,"~","~~"),"*","~*"),"?","~?"))=1),(IF(ISNA(MATCH(SUBSTITUTE(SUBSTITUTE(SUBSTITUTE("P:"&amp;A451,"~","~~"),"*","~*"),"?","~?"),Valores!$S$10:$S$509,0)),9,INDEX(Valores!$R$10:$R$509,MATCH(SUBSTITUTE(SUBSTITUTE(SUBSTITUTE("P:"&amp;A451,"~","~~"),"*","~*"),"?","~?"),Valores!$S$10:$S$509,0)))-9),0)</f>
        <v>0</v>
      </c>
      <c r="AI451" s="40" t="str">
        <f t="shared" si="57"/>
        <v/>
      </c>
      <c r="AJ451" s="14" t="str">
        <f>IF(AND(X451=1,Y451=1),COUNTIFS($X$10:X451,1,$Y$10:Y451,1),"")</f>
        <v/>
      </c>
      <c r="AK451" s="14" t="str">
        <f>IF(X451=1,COUNTIFS($X$10:X451,1),"")</f>
        <v/>
      </c>
      <c r="AL451" s="14">
        <f>IF(AND(V451=1,AND(OR(Painel!$L$6="Todas",E451=Painel!$L$6),OR(Painel!$C$8="Todos",F451=Painel!$C$8),OR(Painel!$L$8="Todos",G451=Painel!$L$8),OR(Painel!$C$10="",ISNUMBER(SEARCH(SUBSTITUTE(SUBSTITUTE(SUBSTITUTE(Painel!$C$10,"~","~~"),"*","~*"),"?","~?"),A451&amp;" "&amp;H451&amp;" "&amp;I451))))),1,0)</f>
        <v>0</v>
      </c>
      <c r="AM451" s="14">
        <f t="shared" si="58"/>
        <v>0</v>
      </c>
      <c r="AN451" s="14"/>
      <c r="AO451" s="14"/>
      <c r="AP451" s="16" t="str">
        <f>IF(AB451=0,"",IF(INDEX(Andamentos!$B$10:$B$2009,AB451)="","",INDEX(Andamentos!$B$10:$B$2009,AB451)))</f>
        <v/>
      </c>
      <c r="AQ451" s="17" t="str">
        <f>IF(AH451=0,"",IF(INDEX(Valores!$B$10:$B$509,AH451)="","",IF(ISNUMBER(INDEX(Valores!$B$10:$B$509,AH451)),INDEX(Valores!$B$10:$B$509,AH451),"")))</f>
        <v/>
      </c>
      <c r="AR451" s="14" t="str">
        <f t="shared" si="59"/>
        <v/>
      </c>
      <c r="AS451" s="14" t="str">
        <f t="shared" si="60"/>
        <v/>
      </c>
      <c r="AT451" s="27"/>
      <c r="AU451" s="31"/>
      <c r="AV451" s="31"/>
      <c r="AW451" s="27"/>
      <c r="AX451" s="27"/>
      <c r="AY451" s="27"/>
      <c r="AZ451" s="27"/>
      <c r="BA451" s="30" t="str">
        <f t="shared" si="61"/>
        <v/>
      </c>
      <c r="BB451" s="30" t="str">
        <f t="shared" si="62"/>
        <v/>
      </c>
      <c r="BC451" s="30">
        <f>IF(X451=0,0,IF(COUNTIFS($X$10:X451,1,$BA$10:BA451,BA451)=1,1,0))</f>
        <v>0</v>
      </c>
      <c r="BD451" s="29"/>
    </row>
    <row r="452" spans="1:56" ht="42" customHeight="1">
      <c r="A452" s="41"/>
      <c r="B452" s="44"/>
      <c r="C452" s="44"/>
      <c r="D452" s="44"/>
      <c r="E452" s="44"/>
      <c r="F452" s="44"/>
      <c r="G452" s="44"/>
      <c r="H452" s="44"/>
      <c r="I452" s="44"/>
      <c r="J452" s="44"/>
      <c r="K452" s="44"/>
      <c r="L452" s="49"/>
      <c r="M452" s="48"/>
      <c r="N452" s="48"/>
      <c r="O452" s="48"/>
      <c r="P452" s="48"/>
      <c r="Q452" s="48"/>
      <c r="R452" s="48"/>
      <c r="S452" s="49"/>
      <c r="T452" s="48"/>
      <c r="U452" s="48"/>
      <c r="V452" s="14">
        <f t="shared" si="54"/>
        <v>0</v>
      </c>
      <c r="W452" s="14">
        <f t="shared" si="55"/>
        <v>0</v>
      </c>
      <c r="X452" s="14">
        <f>IF(AND(V452=1,OR(Painel!$C$6="Todos",D452=Painel!$C$6),AND(OR(Painel!$L$6="Todas",E452=Painel!$L$6),OR(Painel!$C$8="Todos",F452=Painel!$C$8),OR(Painel!$L$8="Todos",G452=Painel!$L$8),OR(Painel!$C$10="",ISNUMBER(SEARCH(SUBSTITUTE(SUBSTITUTE(SUBSTITUTE(Painel!$C$10,"~","~~"),"*","~*"),"?","~?"),A452&amp;" "&amp;H452&amp;" "&amp;I452))))),1,0)</f>
        <v>0</v>
      </c>
      <c r="Y452" s="14">
        <f t="shared" si="56"/>
        <v>0</v>
      </c>
      <c r="Z452" s="15" t="str">
        <f>IF(V452=0,"",IF(COUNTIFS(Andamentos!$K$10:$K$2009,"="&amp;SUBSTITUTE(SUBSTITUTE(SUBSTITUTE("P:"&amp;A452,"~","~~"),"*","~*"),"?","~?"),Andamentos!$G$10:$G$2009,1)=0,"",_xlfn.AGGREGATE(14,6,Andamentos!$D$10:$D$2009/((Andamentos!$K$10:$K$2009=AS452)*(Andamentos!$G$10:$G$2009=1)),1)))</f>
        <v/>
      </c>
      <c r="AA452" s="14">
        <f>IF(Z452="",0,COUNTIFS(Andamentos!$K$10:$K$2009,"="&amp;SUBSTITUTE(SUBSTITUTE(SUBSTITUTE("P:"&amp;A452,"~","~~"),"*","~*"),"?","~?"),Andamentos!$D$10:$D$2009,Z452,Andamentos!$G$10:$G$2009,1))</f>
        <v>0</v>
      </c>
      <c r="AB452" s="14">
        <f>IF(AA452=1,SUMIFS(Andamentos!$L$10:$L$2009,Andamentos!$K$10:$K$2009,"="&amp;SUBSTITUTE(SUBSTITUTE(SUBSTITUTE(AS452,"~","~~"),"*","~*"),"?","~?"),Andamentos!$D$10:$D$2009,Z452,Andamentos!$G$10:$G$2009,1)-9,0)</f>
        <v>0</v>
      </c>
      <c r="AC452" s="14" t="str">
        <f>IF(V452=0,"",IF(AA452&gt;1,"Conferir recebimentos empatados",IF(AB452=0,"Sem atualização",INDEX(Andamentos!$C$10:$C$2009,AB452))))</f>
        <v/>
      </c>
      <c r="AD452" s="14">
        <f>IF(W452=0,0,IF(MAX(Z452,BD452)=0,1,IF(Configurar!$J$12-INT(MAX(Z452,BD452))&gt;Configurar!$J$11,1,0)))</f>
        <v>0</v>
      </c>
      <c r="AE452" s="16"/>
      <c r="AF452" s="14"/>
      <c r="AG452" s="14"/>
      <c r="AH452" s="14">
        <f>IF(AND(V452=1,COUNTIFS(Valores!$S$10:$S$509,"="&amp;SUBSTITUTE(SUBSTITUTE(SUBSTITUTE("P:"&amp;A452,"~","~~"),"*","~*"),"?","~?"))=1),(IF(ISNA(MATCH(SUBSTITUTE(SUBSTITUTE(SUBSTITUTE("P:"&amp;A452,"~","~~"),"*","~*"),"?","~?"),Valores!$S$10:$S$509,0)),9,INDEX(Valores!$R$10:$R$509,MATCH(SUBSTITUTE(SUBSTITUTE(SUBSTITUTE("P:"&amp;A452,"~","~~"),"*","~*"),"?","~?"),Valores!$S$10:$S$509,0)))-9),0)</f>
        <v>0</v>
      </c>
      <c r="AI452" s="40" t="str">
        <f t="shared" si="57"/>
        <v/>
      </c>
      <c r="AJ452" s="14" t="str">
        <f>IF(AND(X452=1,Y452=1),COUNTIFS($X$10:X452,1,$Y$10:Y452,1),"")</f>
        <v/>
      </c>
      <c r="AK452" s="14" t="str">
        <f>IF(X452=1,COUNTIFS($X$10:X452,1),"")</f>
        <v/>
      </c>
      <c r="AL452" s="14">
        <f>IF(AND(V452=1,AND(OR(Painel!$L$6="Todas",E452=Painel!$L$6),OR(Painel!$C$8="Todos",F452=Painel!$C$8),OR(Painel!$L$8="Todos",G452=Painel!$L$8),OR(Painel!$C$10="",ISNUMBER(SEARCH(SUBSTITUTE(SUBSTITUTE(SUBSTITUTE(Painel!$C$10,"~","~~"),"*","~*"),"?","~?"),A452&amp;" "&amp;H452&amp;" "&amp;I452))))),1,0)</f>
        <v>0</v>
      </c>
      <c r="AM452" s="14">
        <f t="shared" si="58"/>
        <v>0</v>
      </c>
      <c r="AN452" s="14"/>
      <c r="AO452" s="14"/>
      <c r="AP452" s="16" t="str">
        <f>IF(AB452=0,"",IF(INDEX(Andamentos!$B$10:$B$2009,AB452)="","",INDEX(Andamentos!$B$10:$B$2009,AB452)))</f>
        <v/>
      </c>
      <c r="AQ452" s="17" t="str">
        <f>IF(AH452=0,"",IF(INDEX(Valores!$B$10:$B$509,AH452)="","",IF(ISNUMBER(INDEX(Valores!$B$10:$B$509,AH452)),INDEX(Valores!$B$10:$B$509,AH452),"")))</f>
        <v/>
      </c>
      <c r="AR452" s="14" t="str">
        <f t="shared" si="59"/>
        <v/>
      </c>
      <c r="AS452" s="14" t="str">
        <f t="shared" si="60"/>
        <v/>
      </c>
      <c r="AT452" s="27"/>
      <c r="AU452" s="31"/>
      <c r="AV452" s="31"/>
      <c r="AW452" s="27"/>
      <c r="AX452" s="27"/>
      <c r="AY452" s="27"/>
      <c r="AZ452" s="27"/>
      <c r="BA452" s="30" t="str">
        <f t="shared" si="61"/>
        <v/>
      </c>
      <c r="BB452" s="30" t="str">
        <f t="shared" si="62"/>
        <v/>
      </c>
      <c r="BC452" s="30">
        <f>IF(X452=0,0,IF(COUNTIFS($X$10:X452,1,$BA$10:BA452,BA452)=1,1,0))</f>
        <v>0</v>
      </c>
      <c r="BD452" s="29"/>
    </row>
    <row r="453" spans="1:56" ht="42" customHeight="1">
      <c r="A453" s="41"/>
      <c r="B453" s="44"/>
      <c r="C453" s="44"/>
      <c r="D453" s="44"/>
      <c r="E453" s="44"/>
      <c r="F453" s="44"/>
      <c r="G453" s="44"/>
      <c r="H453" s="44"/>
      <c r="I453" s="44"/>
      <c r="J453" s="44"/>
      <c r="K453" s="44"/>
      <c r="L453" s="49"/>
      <c r="M453" s="48"/>
      <c r="N453" s="48"/>
      <c r="O453" s="48"/>
      <c r="P453" s="48"/>
      <c r="Q453" s="48"/>
      <c r="R453" s="48"/>
      <c r="S453" s="49"/>
      <c r="T453" s="48"/>
      <c r="U453" s="48"/>
      <c r="V453" s="14">
        <f t="shared" si="54"/>
        <v>0</v>
      </c>
      <c r="W453" s="14">
        <f t="shared" si="55"/>
        <v>0</v>
      </c>
      <c r="X453" s="14">
        <f>IF(AND(V453=1,OR(Painel!$C$6="Todos",D453=Painel!$C$6),AND(OR(Painel!$L$6="Todas",E453=Painel!$L$6),OR(Painel!$C$8="Todos",F453=Painel!$C$8),OR(Painel!$L$8="Todos",G453=Painel!$L$8),OR(Painel!$C$10="",ISNUMBER(SEARCH(SUBSTITUTE(SUBSTITUTE(SUBSTITUTE(Painel!$C$10,"~","~~"),"*","~*"),"?","~?"),A453&amp;" "&amp;H453&amp;" "&amp;I453))))),1,0)</f>
        <v>0</v>
      </c>
      <c r="Y453" s="14">
        <f t="shared" si="56"/>
        <v>0</v>
      </c>
      <c r="Z453" s="15" t="str">
        <f>IF(V453=0,"",IF(COUNTIFS(Andamentos!$K$10:$K$2009,"="&amp;SUBSTITUTE(SUBSTITUTE(SUBSTITUTE("P:"&amp;A453,"~","~~"),"*","~*"),"?","~?"),Andamentos!$G$10:$G$2009,1)=0,"",_xlfn.AGGREGATE(14,6,Andamentos!$D$10:$D$2009/((Andamentos!$K$10:$K$2009=AS453)*(Andamentos!$G$10:$G$2009=1)),1)))</f>
        <v/>
      </c>
      <c r="AA453" s="14">
        <f>IF(Z453="",0,COUNTIFS(Andamentos!$K$10:$K$2009,"="&amp;SUBSTITUTE(SUBSTITUTE(SUBSTITUTE("P:"&amp;A453,"~","~~"),"*","~*"),"?","~?"),Andamentos!$D$10:$D$2009,Z453,Andamentos!$G$10:$G$2009,1))</f>
        <v>0</v>
      </c>
      <c r="AB453" s="14">
        <f>IF(AA453=1,SUMIFS(Andamentos!$L$10:$L$2009,Andamentos!$K$10:$K$2009,"="&amp;SUBSTITUTE(SUBSTITUTE(SUBSTITUTE(AS453,"~","~~"),"*","~*"),"?","~?"),Andamentos!$D$10:$D$2009,Z453,Andamentos!$G$10:$G$2009,1)-9,0)</f>
        <v>0</v>
      </c>
      <c r="AC453" s="14" t="str">
        <f>IF(V453=0,"",IF(AA453&gt;1,"Conferir recebimentos empatados",IF(AB453=0,"Sem atualização",INDEX(Andamentos!$C$10:$C$2009,AB453))))</f>
        <v/>
      </c>
      <c r="AD453" s="14">
        <f>IF(W453=0,0,IF(MAX(Z453,BD453)=0,1,IF(Configurar!$J$12-INT(MAX(Z453,BD453))&gt;Configurar!$J$11,1,0)))</f>
        <v>0</v>
      </c>
      <c r="AE453" s="16"/>
      <c r="AF453" s="14"/>
      <c r="AG453" s="14"/>
      <c r="AH453" s="14">
        <f>IF(AND(V453=1,COUNTIFS(Valores!$S$10:$S$509,"="&amp;SUBSTITUTE(SUBSTITUTE(SUBSTITUTE("P:"&amp;A453,"~","~~"),"*","~*"),"?","~?"))=1),(IF(ISNA(MATCH(SUBSTITUTE(SUBSTITUTE(SUBSTITUTE("P:"&amp;A453,"~","~~"),"*","~*"),"?","~?"),Valores!$S$10:$S$509,0)),9,INDEX(Valores!$R$10:$R$509,MATCH(SUBSTITUTE(SUBSTITUTE(SUBSTITUTE("P:"&amp;A453,"~","~~"),"*","~*"),"?","~?"),Valores!$S$10:$S$509,0)))-9),0)</f>
        <v>0</v>
      </c>
      <c r="AI453" s="40" t="str">
        <f t="shared" si="57"/>
        <v/>
      </c>
      <c r="AJ453" s="14" t="str">
        <f>IF(AND(X453=1,Y453=1),COUNTIFS($X$10:X453,1,$Y$10:Y453,1),"")</f>
        <v/>
      </c>
      <c r="AK453" s="14" t="str">
        <f>IF(X453=1,COUNTIFS($X$10:X453,1),"")</f>
        <v/>
      </c>
      <c r="AL453" s="14">
        <f>IF(AND(V453=1,AND(OR(Painel!$L$6="Todas",E453=Painel!$L$6),OR(Painel!$C$8="Todos",F453=Painel!$C$8),OR(Painel!$L$8="Todos",G453=Painel!$L$8),OR(Painel!$C$10="",ISNUMBER(SEARCH(SUBSTITUTE(SUBSTITUTE(SUBSTITUTE(Painel!$C$10,"~","~~"),"*","~*"),"?","~?"),A453&amp;" "&amp;H453&amp;" "&amp;I453))))),1,0)</f>
        <v>0</v>
      </c>
      <c r="AM453" s="14">
        <f t="shared" si="58"/>
        <v>0</v>
      </c>
      <c r="AN453" s="14"/>
      <c r="AO453" s="14"/>
      <c r="AP453" s="16" t="str">
        <f>IF(AB453=0,"",IF(INDEX(Andamentos!$B$10:$B$2009,AB453)="","",INDEX(Andamentos!$B$10:$B$2009,AB453)))</f>
        <v/>
      </c>
      <c r="AQ453" s="17" t="str">
        <f>IF(AH453=0,"",IF(INDEX(Valores!$B$10:$B$509,AH453)="","",IF(ISNUMBER(INDEX(Valores!$B$10:$B$509,AH453)),INDEX(Valores!$B$10:$B$509,AH453),"")))</f>
        <v/>
      </c>
      <c r="AR453" s="14" t="str">
        <f t="shared" si="59"/>
        <v/>
      </c>
      <c r="AS453" s="14" t="str">
        <f t="shared" si="60"/>
        <v/>
      </c>
      <c r="AT453" s="27"/>
      <c r="AU453" s="31"/>
      <c r="AV453" s="31"/>
      <c r="AW453" s="27"/>
      <c r="AX453" s="27"/>
      <c r="AY453" s="27"/>
      <c r="AZ453" s="27"/>
      <c r="BA453" s="30" t="str">
        <f t="shared" si="61"/>
        <v/>
      </c>
      <c r="BB453" s="30" t="str">
        <f t="shared" si="62"/>
        <v/>
      </c>
      <c r="BC453" s="30">
        <f>IF(X453=0,0,IF(COUNTIFS($X$10:X453,1,$BA$10:BA453,BA453)=1,1,0))</f>
        <v>0</v>
      </c>
      <c r="BD453" s="29"/>
    </row>
    <row r="454" spans="1:56" ht="42" customHeight="1">
      <c r="A454" s="41"/>
      <c r="B454" s="44"/>
      <c r="C454" s="44"/>
      <c r="D454" s="44"/>
      <c r="E454" s="44"/>
      <c r="F454" s="44"/>
      <c r="G454" s="44"/>
      <c r="H454" s="44"/>
      <c r="I454" s="44"/>
      <c r="J454" s="44"/>
      <c r="K454" s="44"/>
      <c r="L454" s="49"/>
      <c r="M454" s="48"/>
      <c r="N454" s="48"/>
      <c r="O454" s="48"/>
      <c r="P454" s="48"/>
      <c r="Q454" s="48"/>
      <c r="R454" s="48"/>
      <c r="S454" s="49"/>
      <c r="T454" s="48"/>
      <c r="U454" s="48"/>
      <c r="V454" s="14">
        <f t="shared" si="54"/>
        <v>0</v>
      </c>
      <c r="W454" s="14">
        <f t="shared" si="55"/>
        <v>0</v>
      </c>
      <c r="X454" s="14">
        <f>IF(AND(V454=1,OR(Painel!$C$6="Todos",D454=Painel!$C$6),AND(OR(Painel!$L$6="Todas",E454=Painel!$L$6),OR(Painel!$C$8="Todos",F454=Painel!$C$8),OR(Painel!$L$8="Todos",G454=Painel!$L$8),OR(Painel!$C$10="",ISNUMBER(SEARCH(SUBSTITUTE(SUBSTITUTE(SUBSTITUTE(Painel!$C$10,"~","~~"),"*","~*"),"?","~?"),A454&amp;" "&amp;H454&amp;" "&amp;I454))))),1,0)</f>
        <v>0</v>
      </c>
      <c r="Y454" s="14">
        <f t="shared" si="56"/>
        <v>0</v>
      </c>
      <c r="Z454" s="15" t="str">
        <f>IF(V454=0,"",IF(COUNTIFS(Andamentos!$K$10:$K$2009,"="&amp;SUBSTITUTE(SUBSTITUTE(SUBSTITUTE("P:"&amp;A454,"~","~~"),"*","~*"),"?","~?"),Andamentos!$G$10:$G$2009,1)=0,"",_xlfn.AGGREGATE(14,6,Andamentos!$D$10:$D$2009/((Andamentos!$K$10:$K$2009=AS454)*(Andamentos!$G$10:$G$2009=1)),1)))</f>
        <v/>
      </c>
      <c r="AA454" s="14">
        <f>IF(Z454="",0,COUNTIFS(Andamentos!$K$10:$K$2009,"="&amp;SUBSTITUTE(SUBSTITUTE(SUBSTITUTE("P:"&amp;A454,"~","~~"),"*","~*"),"?","~?"),Andamentos!$D$10:$D$2009,Z454,Andamentos!$G$10:$G$2009,1))</f>
        <v>0</v>
      </c>
      <c r="AB454" s="14">
        <f>IF(AA454=1,SUMIFS(Andamentos!$L$10:$L$2009,Andamentos!$K$10:$K$2009,"="&amp;SUBSTITUTE(SUBSTITUTE(SUBSTITUTE(AS454,"~","~~"),"*","~*"),"?","~?"),Andamentos!$D$10:$D$2009,Z454,Andamentos!$G$10:$G$2009,1)-9,0)</f>
        <v>0</v>
      </c>
      <c r="AC454" s="14" t="str">
        <f>IF(V454=0,"",IF(AA454&gt;1,"Conferir recebimentos empatados",IF(AB454=0,"Sem atualização",INDEX(Andamentos!$C$10:$C$2009,AB454))))</f>
        <v/>
      </c>
      <c r="AD454" s="14">
        <f>IF(W454=0,0,IF(MAX(Z454,BD454)=0,1,IF(Configurar!$J$12-INT(MAX(Z454,BD454))&gt;Configurar!$J$11,1,0)))</f>
        <v>0</v>
      </c>
      <c r="AE454" s="16"/>
      <c r="AF454" s="14"/>
      <c r="AG454" s="14"/>
      <c r="AH454" s="14">
        <f>IF(AND(V454=1,COUNTIFS(Valores!$S$10:$S$509,"="&amp;SUBSTITUTE(SUBSTITUTE(SUBSTITUTE("P:"&amp;A454,"~","~~"),"*","~*"),"?","~?"))=1),(IF(ISNA(MATCH(SUBSTITUTE(SUBSTITUTE(SUBSTITUTE("P:"&amp;A454,"~","~~"),"*","~*"),"?","~?"),Valores!$S$10:$S$509,0)),9,INDEX(Valores!$R$10:$R$509,MATCH(SUBSTITUTE(SUBSTITUTE(SUBSTITUTE("P:"&amp;A454,"~","~~"),"*","~*"),"?","~?"),Valores!$S$10:$S$509,0)))-9),0)</f>
        <v>0</v>
      </c>
      <c r="AI454" s="40" t="str">
        <f t="shared" si="57"/>
        <v/>
      </c>
      <c r="AJ454" s="14" t="str">
        <f>IF(AND(X454=1,Y454=1),COUNTIFS($X$10:X454,1,$Y$10:Y454,1),"")</f>
        <v/>
      </c>
      <c r="AK454" s="14" t="str">
        <f>IF(X454=1,COUNTIFS($X$10:X454,1),"")</f>
        <v/>
      </c>
      <c r="AL454" s="14">
        <f>IF(AND(V454=1,AND(OR(Painel!$L$6="Todas",E454=Painel!$L$6),OR(Painel!$C$8="Todos",F454=Painel!$C$8),OR(Painel!$L$8="Todos",G454=Painel!$L$8),OR(Painel!$C$10="",ISNUMBER(SEARCH(SUBSTITUTE(SUBSTITUTE(SUBSTITUTE(Painel!$C$10,"~","~~"),"*","~*"),"?","~?"),A454&amp;" "&amp;H454&amp;" "&amp;I454))))),1,0)</f>
        <v>0</v>
      </c>
      <c r="AM454" s="14">
        <f t="shared" si="58"/>
        <v>0</v>
      </c>
      <c r="AN454" s="14"/>
      <c r="AO454" s="14"/>
      <c r="AP454" s="16" t="str">
        <f>IF(AB454=0,"",IF(INDEX(Andamentos!$B$10:$B$2009,AB454)="","",INDEX(Andamentos!$B$10:$B$2009,AB454)))</f>
        <v/>
      </c>
      <c r="AQ454" s="17" t="str">
        <f>IF(AH454=0,"",IF(INDEX(Valores!$B$10:$B$509,AH454)="","",IF(ISNUMBER(INDEX(Valores!$B$10:$B$509,AH454)),INDEX(Valores!$B$10:$B$509,AH454),"")))</f>
        <v/>
      </c>
      <c r="AR454" s="14" t="str">
        <f t="shared" si="59"/>
        <v/>
      </c>
      <c r="AS454" s="14" t="str">
        <f t="shared" si="60"/>
        <v/>
      </c>
      <c r="AT454" s="27"/>
      <c r="AU454" s="31"/>
      <c r="AV454" s="31"/>
      <c r="AW454" s="27"/>
      <c r="AX454" s="27"/>
      <c r="AY454" s="27"/>
      <c r="AZ454" s="27"/>
      <c r="BA454" s="30" t="str">
        <f t="shared" si="61"/>
        <v/>
      </c>
      <c r="BB454" s="30" t="str">
        <f t="shared" si="62"/>
        <v/>
      </c>
      <c r="BC454" s="30">
        <f>IF(X454=0,0,IF(COUNTIFS($X$10:X454,1,$BA$10:BA454,BA454)=1,1,0))</f>
        <v>0</v>
      </c>
      <c r="BD454" s="29"/>
    </row>
    <row r="455" spans="1:56" ht="42" customHeight="1">
      <c r="A455" s="41"/>
      <c r="B455" s="44"/>
      <c r="C455" s="44"/>
      <c r="D455" s="44"/>
      <c r="E455" s="44"/>
      <c r="F455" s="44"/>
      <c r="G455" s="44"/>
      <c r="H455" s="44"/>
      <c r="I455" s="44"/>
      <c r="J455" s="44"/>
      <c r="K455" s="44"/>
      <c r="L455" s="49"/>
      <c r="M455" s="48"/>
      <c r="N455" s="48"/>
      <c r="O455" s="48"/>
      <c r="P455" s="48"/>
      <c r="Q455" s="48"/>
      <c r="R455" s="48"/>
      <c r="S455" s="49"/>
      <c r="T455" s="48"/>
      <c r="U455" s="48"/>
      <c r="V455" s="14">
        <f t="shared" si="54"/>
        <v>0</v>
      </c>
      <c r="W455" s="14">
        <f t="shared" si="55"/>
        <v>0</v>
      </c>
      <c r="X455" s="14">
        <f>IF(AND(V455=1,OR(Painel!$C$6="Todos",D455=Painel!$C$6),AND(OR(Painel!$L$6="Todas",E455=Painel!$L$6),OR(Painel!$C$8="Todos",F455=Painel!$C$8),OR(Painel!$L$8="Todos",G455=Painel!$L$8),OR(Painel!$C$10="",ISNUMBER(SEARCH(SUBSTITUTE(SUBSTITUTE(SUBSTITUTE(Painel!$C$10,"~","~~"),"*","~*"),"?","~?"),A455&amp;" "&amp;H455&amp;" "&amp;I455))))),1,0)</f>
        <v>0</v>
      </c>
      <c r="Y455" s="14">
        <f t="shared" si="56"/>
        <v>0</v>
      </c>
      <c r="Z455" s="15" t="str">
        <f>IF(V455=0,"",IF(COUNTIFS(Andamentos!$K$10:$K$2009,"="&amp;SUBSTITUTE(SUBSTITUTE(SUBSTITUTE("P:"&amp;A455,"~","~~"),"*","~*"),"?","~?"),Andamentos!$G$10:$G$2009,1)=0,"",_xlfn.AGGREGATE(14,6,Andamentos!$D$10:$D$2009/((Andamentos!$K$10:$K$2009=AS455)*(Andamentos!$G$10:$G$2009=1)),1)))</f>
        <v/>
      </c>
      <c r="AA455" s="14">
        <f>IF(Z455="",0,COUNTIFS(Andamentos!$K$10:$K$2009,"="&amp;SUBSTITUTE(SUBSTITUTE(SUBSTITUTE("P:"&amp;A455,"~","~~"),"*","~*"),"?","~?"),Andamentos!$D$10:$D$2009,Z455,Andamentos!$G$10:$G$2009,1))</f>
        <v>0</v>
      </c>
      <c r="AB455" s="14">
        <f>IF(AA455=1,SUMIFS(Andamentos!$L$10:$L$2009,Andamentos!$K$10:$K$2009,"="&amp;SUBSTITUTE(SUBSTITUTE(SUBSTITUTE(AS455,"~","~~"),"*","~*"),"?","~?"),Andamentos!$D$10:$D$2009,Z455,Andamentos!$G$10:$G$2009,1)-9,0)</f>
        <v>0</v>
      </c>
      <c r="AC455" s="14" t="str">
        <f>IF(V455=0,"",IF(AA455&gt;1,"Conferir recebimentos empatados",IF(AB455=0,"Sem atualização",INDEX(Andamentos!$C$10:$C$2009,AB455))))</f>
        <v/>
      </c>
      <c r="AD455" s="14">
        <f>IF(W455=0,0,IF(MAX(Z455,BD455)=0,1,IF(Configurar!$J$12-INT(MAX(Z455,BD455))&gt;Configurar!$J$11,1,0)))</f>
        <v>0</v>
      </c>
      <c r="AE455" s="16"/>
      <c r="AF455" s="14"/>
      <c r="AG455" s="14"/>
      <c r="AH455" s="14">
        <f>IF(AND(V455=1,COUNTIFS(Valores!$S$10:$S$509,"="&amp;SUBSTITUTE(SUBSTITUTE(SUBSTITUTE("P:"&amp;A455,"~","~~"),"*","~*"),"?","~?"))=1),(IF(ISNA(MATCH(SUBSTITUTE(SUBSTITUTE(SUBSTITUTE("P:"&amp;A455,"~","~~"),"*","~*"),"?","~?"),Valores!$S$10:$S$509,0)),9,INDEX(Valores!$R$10:$R$509,MATCH(SUBSTITUTE(SUBSTITUTE(SUBSTITUTE("P:"&amp;A455,"~","~~"),"*","~*"),"?","~?"),Valores!$S$10:$S$509,0)))-9),0)</f>
        <v>0</v>
      </c>
      <c r="AI455" s="40" t="str">
        <f t="shared" si="57"/>
        <v/>
      </c>
      <c r="AJ455" s="14" t="str">
        <f>IF(AND(X455=1,Y455=1),COUNTIFS($X$10:X455,1,$Y$10:Y455,1),"")</f>
        <v/>
      </c>
      <c r="AK455" s="14" t="str">
        <f>IF(X455=1,COUNTIFS($X$10:X455,1),"")</f>
        <v/>
      </c>
      <c r="AL455" s="14">
        <f>IF(AND(V455=1,AND(OR(Painel!$L$6="Todas",E455=Painel!$L$6),OR(Painel!$C$8="Todos",F455=Painel!$C$8),OR(Painel!$L$8="Todos",G455=Painel!$L$8),OR(Painel!$C$10="",ISNUMBER(SEARCH(SUBSTITUTE(SUBSTITUTE(SUBSTITUTE(Painel!$C$10,"~","~~"),"*","~*"),"?","~?"),A455&amp;" "&amp;H455&amp;" "&amp;I455))))),1,0)</f>
        <v>0</v>
      </c>
      <c r="AM455" s="14">
        <f t="shared" si="58"/>
        <v>0</v>
      </c>
      <c r="AN455" s="14"/>
      <c r="AO455" s="14"/>
      <c r="AP455" s="16" t="str">
        <f>IF(AB455=0,"",IF(INDEX(Andamentos!$B$10:$B$2009,AB455)="","",INDEX(Andamentos!$B$10:$B$2009,AB455)))</f>
        <v/>
      </c>
      <c r="AQ455" s="17" t="str">
        <f>IF(AH455=0,"",IF(INDEX(Valores!$B$10:$B$509,AH455)="","",IF(ISNUMBER(INDEX(Valores!$B$10:$B$509,AH455)),INDEX(Valores!$B$10:$B$509,AH455),"")))</f>
        <v/>
      </c>
      <c r="AR455" s="14" t="str">
        <f t="shared" si="59"/>
        <v/>
      </c>
      <c r="AS455" s="14" t="str">
        <f t="shared" si="60"/>
        <v/>
      </c>
      <c r="AT455" s="27"/>
      <c r="AU455" s="31"/>
      <c r="AV455" s="31"/>
      <c r="AW455" s="27"/>
      <c r="AX455" s="27"/>
      <c r="AY455" s="27"/>
      <c r="AZ455" s="27"/>
      <c r="BA455" s="30" t="str">
        <f t="shared" si="61"/>
        <v/>
      </c>
      <c r="BB455" s="30" t="str">
        <f t="shared" si="62"/>
        <v/>
      </c>
      <c r="BC455" s="30">
        <f>IF(X455=0,0,IF(COUNTIFS($X$10:X455,1,$BA$10:BA455,BA455)=1,1,0))</f>
        <v>0</v>
      </c>
      <c r="BD455" s="29"/>
    </row>
    <row r="456" spans="1:56" ht="42" customHeight="1">
      <c r="A456" s="41"/>
      <c r="B456" s="44"/>
      <c r="C456" s="44"/>
      <c r="D456" s="44"/>
      <c r="E456" s="44"/>
      <c r="F456" s="44"/>
      <c r="G456" s="44"/>
      <c r="H456" s="44"/>
      <c r="I456" s="44"/>
      <c r="J456" s="44"/>
      <c r="K456" s="44"/>
      <c r="L456" s="49"/>
      <c r="M456" s="48"/>
      <c r="N456" s="48"/>
      <c r="O456" s="48"/>
      <c r="P456" s="48"/>
      <c r="Q456" s="48"/>
      <c r="R456" s="48"/>
      <c r="S456" s="49"/>
      <c r="T456" s="48"/>
      <c r="U456" s="48"/>
      <c r="V456" s="14">
        <f t="shared" si="54"/>
        <v>0</v>
      </c>
      <c r="W456" s="14">
        <f t="shared" si="55"/>
        <v>0</v>
      </c>
      <c r="X456" s="14">
        <f>IF(AND(V456=1,OR(Painel!$C$6="Todos",D456=Painel!$C$6),AND(OR(Painel!$L$6="Todas",E456=Painel!$L$6),OR(Painel!$C$8="Todos",F456=Painel!$C$8),OR(Painel!$L$8="Todos",G456=Painel!$L$8),OR(Painel!$C$10="",ISNUMBER(SEARCH(SUBSTITUTE(SUBSTITUTE(SUBSTITUTE(Painel!$C$10,"~","~~"),"*","~*"),"?","~?"),A456&amp;" "&amp;H456&amp;" "&amp;I456))))),1,0)</f>
        <v>0</v>
      </c>
      <c r="Y456" s="14">
        <f t="shared" si="56"/>
        <v>0</v>
      </c>
      <c r="Z456" s="15" t="str">
        <f>IF(V456=0,"",IF(COUNTIFS(Andamentos!$K$10:$K$2009,"="&amp;SUBSTITUTE(SUBSTITUTE(SUBSTITUTE("P:"&amp;A456,"~","~~"),"*","~*"),"?","~?"),Andamentos!$G$10:$G$2009,1)=0,"",_xlfn.AGGREGATE(14,6,Andamentos!$D$10:$D$2009/((Andamentos!$K$10:$K$2009=AS456)*(Andamentos!$G$10:$G$2009=1)),1)))</f>
        <v/>
      </c>
      <c r="AA456" s="14">
        <f>IF(Z456="",0,COUNTIFS(Andamentos!$K$10:$K$2009,"="&amp;SUBSTITUTE(SUBSTITUTE(SUBSTITUTE("P:"&amp;A456,"~","~~"),"*","~*"),"?","~?"),Andamentos!$D$10:$D$2009,Z456,Andamentos!$G$10:$G$2009,1))</f>
        <v>0</v>
      </c>
      <c r="AB456" s="14">
        <f>IF(AA456=1,SUMIFS(Andamentos!$L$10:$L$2009,Andamentos!$K$10:$K$2009,"="&amp;SUBSTITUTE(SUBSTITUTE(SUBSTITUTE(AS456,"~","~~"),"*","~*"),"?","~?"),Andamentos!$D$10:$D$2009,Z456,Andamentos!$G$10:$G$2009,1)-9,0)</f>
        <v>0</v>
      </c>
      <c r="AC456" s="14" t="str">
        <f>IF(V456=0,"",IF(AA456&gt;1,"Conferir recebimentos empatados",IF(AB456=0,"Sem atualização",INDEX(Andamentos!$C$10:$C$2009,AB456))))</f>
        <v/>
      </c>
      <c r="AD456" s="14">
        <f>IF(W456=0,0,IF(MAX(Z456,BD456)=0,1,IF(Configurar!$J$12-INT(MAX(Z456,BD456))&gt;Configurar!$J$11,1,0)))</f>
        <v>0</v>
      </c>
      <c r="AE456" s="16"/>
      <c r="AF456" s="14"/>
      <c r="AG456" s="14"/>
      <c r="AH456" s="14">
        <f>IF(AND(V456=1,COUNTIFS(Valores!$S$10:$S$509,"="&amp;SUBSTITUTE(SUBSTITUTE(SUBSTITUTE("P:"&amp;A456,"~","~~"),"*","~*"),"?","~?"))=1),(IF(ISNA(MATCH(SUBSTITUTE(SUBSTITUTE(SUBSTITUTE("P:"&amp;A456,"~","~~"),"*","~*"),"?","~?"),Valores!$S$10:$S$509,0)),9,INDEX(Valores!$R$10:$R$509,MATCH(SUBSTITUTE(SUBSTITUTE(SUBSTITUTE("P:"&amp;A456,"~","~~"),"*","~*"),"?","~?"),Valores!$S$10:$S$509,0)))-9),0)</f>
        <v>0</v>
      </c>
      <c r="AI456" s="40" t="str">
        <f t="shared" si="57"/>
        <v/>
      </c>
      <c r="AJ456" s="14" t="str">
        <f>IF(AND(X456=1,Y456=1),COUNTIFS($X$10:X456,1,$Y$10:Y456,1),"")</f>
        <v/>
      </c>
      <c r="AK456" s="14" t="str">
        <f>IF(X456=1,COUNTIFS($X$10:X456,1),"")</f>
        <v/>
      </c>
      <c r="AL456" s="14">
        <f>IF(AND(V456=1,AND(OR(Painel!$L$6="Todas",E456=Painel!$L$6),OR(Painel!$C$8="Todos",F456=Painel!$C$8),OR(Painel!$L$8="Todos",G456=Painel!$L$8),OR(Painel!$C$10="",ISNUMBER(SEARCH(SUBSTITUTE(SUBSTITUTE(SUBSTITUTE(Painel!$C$10,"~","~~"),"*","~*"),"?","~?"),A456&amp;" "&amp;H456&amp;" "&amp;I456))))),1,0)</f>
        <v>0</v>
      </c>
      <c r="AM456" s="14">
        <f t="shared" si="58"/>
        <v>0</v>
      </c>
      <c r="AN456" s="14"/>
      <c r="AO456" s="14"/>
      <c r="AP456" s="16" t="str">
        <f>IF(AB456=0,"",IF(INDEX(Andamentos!$B$10:$B$2009,AB456)="","",INDEX(Andamentos!$B$10:$B$2009,AB456)))</f>
        <v/>
      </c>
      <c r="AQ456" s="17" t="str">
        <f>IF(AH456=0,"",IF(INDEX(Valores!$B$10:$B$509,AH456)="","",IF(ISNUMBER(INDEX(Valores!$B$10:$B$509,AH456)),INDEX(Valores!$B$10:$B$509,AH456),"")))</f>
        <v/>
      </c>
      <c r="AR456" s="14" t="str">
        <f t="shared" si="59"/>
        <v/>
      </c>
      <c r="AS456" s="14" t="str">
        <f t="shared" si="60"/>
        <v/>
      </c>
      <c r="AT456" s="27"/>
      <c r="AU456" s="31"/>
      <c r="AV456" s="31"/>
      <c r="AW456" s="27"/>
      <c r="AX456" s="27"/>
      <c r="AY456" s="27"/>
      <c r="AZ456" s="27"/>
      <c r="BA456" s="30" t="str">
        <f t="shared" si="61"/>
        <v/>
      </c>
      <c r="BB456" s="30" t="str">
        <f t="shared" si="62"/>
        <v/>
      </c>
      <c r="BC456" s="30">
        <f>IF(X456=0,0,IF(COUNTIFS($X$10:X456,1,$BA$10:BA456,BA456)=1,1,0))</f>
        <v>0</v>
      </c>
      <c r="BD456" s="29"/>
    </row>
    <row r="457" spans="1:56" ht="42" customHeight="1">
      <c r="A457" s="41"/>
      <c r="B457" s="44"/>
      <c r="C457" s="44"/>
      <c r="D457" s="44"/>
      <c r="E457" s="44"/>
      <c r="F457" s="44"/>
      <c r="G457" s="44"/>
      <c r="H457" s="44"/>
      <c r="I457" s="44"/>
      <c r="J457" s="44"/>
      <c r="K457" s="44"/>
      <c r="L457" s="49"/>
      <c r="M457" s="48"/>
      <c r="N457" s="48"/>
      <c r="O457" s="48"/>
      <c r="P457" s="48"/>
      <c r="Q457" s="48"/>
      <c r="R457" s="48"/>
      <c r="S457" s="49"/>
      <c r="T457" s="48"/>
      <c r="U457" s="48"/>
      <c r="V457" s="14">
        <f t="shared" si="54"/>
        <v>0</v>
      </c>
      <c r="W457" s="14">
        <f t="shared" si="55"/>
        <v>0</v>
      </c>
      <c r="X457" s="14">
        <f>IF(AND(V457=1,OR(Painel!$C$6="Todos",D457=Painel!$C$6),AND(OR(Painel!$L$6="Todas",E457=Painel!$L$6),OR(Painel!$C$8="Todos",F457=Painel!$C$8),OR(Painel!$L$8="Todos",G457=Painel!$L$8),OR(Painel!$C$10="",ISNUMBER(SEARCH(SUBSTITUTE(SUBSTITUTE(SUBSTITUTE(Painel!$C$10,"~","~~"),"*","~*"),"?","~?"),A457&amp;" "&amp;H457&amp;" "&amp;I457))))),1,0)</f>
        <v>0</v>
      </c>
      <c r="Y457" s="14">
        <f t="shared" si="56"/>
        <v>0</v>
      </c>
      <c r="Z457" s="15" t="str">
        <f>IF(V457=0,"",IF(COUNTIFS(Andamentos!$K$10:$K$2009,"="&amp;SUBSTITUTE(SUBSTITUTE(SUBSTITUTE("P:"&amp;A457,"~","~~"),"*","~*"),"?","~?"),Andamentos!$G$10:$G$2009,1)=0,"",_xlfn.AGGREGATE(14,6,Andamentos!$D$10:$D$2009/((Andamentos!$K$10:$K$2009=AS457)*(Andamentos!$G$10:$G$2009=1)),1)))</f>
        <v/>
      </c>
      <c r="AA457" s="14">
        <f>IF(Z457="",0,COUNTIFS(Andamentos!$K$10:$K$2009,"="&amp;SUBSTITUTE(SUBSTITUTE(SUBSTITUTE("P:"&amp;A457,"~","~~"),"*","~*"),"?","~?"),Andamentos!$D$10:$D$2009,Z457,Andamentos!$G$10:$G$2009,1))</f>
        <v>0</v>
      </c>
      <c r="AB457" s="14">
        <f>IF(AA457=1,SUMIFS(Andamentos!$L$10:$L$2009,Andamentos!$K$10:$K$2009,"="&amp;SUBSTITUTE(SUBSTITUTE(SUBSTITUTE(AS457,"~","~~"),"*","~*"),"?","~?"),Andamentos!$D$10:$D$2009,Z457,Andamentos!$G$10:$G$2009,1)-9,0)</f>
        <v>0</v>
      </c>
      <c r="AC457" s="14" t="str">
        <f>IF(V457=0,"",IF(AA457&gt;1,"Conferir recebimentos empatados",IF(AB457=0,"Sem atualização",INDEX(Andamentos!$C$10:$C$2009,AB457))))</f>
        <v/>
      </c>
      <c r="AD457" s="14">
        <f>IF(W457=0,0,IF(MAX(Z457,BD457)=0,1,IF(Configurar!$J$12-INT(MAX(Z457,BD457))&gt;Configurar!$J$11,1,0)))</f>
        <v>0</v>
      </c>
      <c r="AE457" s="16"/>
      <c r="AF457" s="14"/>
      <c r="AG457" s="14"/>
      <c r="AH457" s="14">
        <f>IF(AND(V457=1,COUNTIFS(Valores!$S$10:$S$509,"="&amp;SUBSTITUTE(SUBSTITUTE(SUBSTITUTE("P:"&amp;A457,"~","~~"),"*","~*"),"?","~?"))=1),(IF(ISNA(MATCH(SUBSTITUTE(SUBSTITUTE(SUBSTITUTE("P:"&amp;A457,"~","~~"),"*","~*"),"?","~?"),Valores!$S$10:$S$509,0)),9,INDEX(Valores!$R$10:$R$509,MATCH(SUBSTITUTE(SUBSTITUTE(SUBSTITUTE("P:"&amp;A457,"~","~~"),"*","~*"),"?","~?"),Valores!$S$10:$S$509,0)))-9),0)</f>
        <v>0</v>
      </c>
      <c r="AI457" s="40" t="str">
        <f t="shared" si="57"/>
        <v/>
      </c>
      <c r="AJ457" s="14" t="str">
        <f>IF(AND(X457=1,Y457=1),COUNTIFS($X$10:X457,1,$Y$10:Y457,1),"")</f>
        <v/>
      </c>
      <c r="AK457" s="14" t="str">
        <f>IF(X457=1,COUNTIFS($X$10:X457,1),"")</f>
        <v/>
      </c>
      <c r="AL457" s="14">
        <f>IF(AND(V457=1,AND(OR(Painel!$L$6="Todas",E457=Painel!$L$6),OR(Painel!$C$8="Todos",F457=Painel!$C$8),OR(Painel!$L$8="Todos",G457=Painel!$L$8),OR(Painel!$C$10="",ISNUMBER(SEARCH(SUBSTITUTE(SUBSTITUTE(SUBSTITUTE(Painel!$C$10,"~","~~"),"*","~*"),"?","~?"),A457&amp;" "&amp;H457&amp;" "&amp;I457))))),1,0)</f>
        <v>0</v>
      </c>
      <c r="AM457" s="14">
        <f t="shared" si="58"/>
        <v>0</v>
      </c>
      <c r="AN457" s="14"/>
      <c r="AO457" s="14"/>
      <c r="AP457" s="16" t="str">
        <f>IF(AB457=0,"",IF(INDEX(Andamentos!$B$10:$B$2009,AB457)="","",INDEX(Andamentos!$B$10:$B$2009,AB457)))</f>
        <v/>
      </c>
      <c r="AQ457" s="17" t="str">
        <f>IF(AH457=0,"",IF(INDEX(Valores!$B$10:$B$509,AH457)="","",IF(ISNUMBER(INDEX(Valores!$B$10:$B$509,AH457)),INDEX(Valores!$B$10:$B$509,AH457),"")))</f>
        <v/>
      </c>
      <c r="AR457" s="14" t="str">
        <f t="shared" si="59"/>
        <v/>
      </c>
      <c r="AS457" s="14" t="str">
        <f t="shared" si="60"/>
        <v/>
      </c>
      <c r="AT457" s="27"/>
      <c r="AU457" s="31"/>
      <c r="AV457" s="31"/>
      <c r="AW457" s="27"/>
      <c r="AX457" s="27"/>
      <c r="AY457" s="27"/>
      <c r="AZ457" s="27"/>
      <c r="BA457" s="30" t="str">
        <f t="shared" si="61"/>
        <v/>
      </c>
      <c r="BB457" s="30" t="str">
        <f t="shared" si="62"/>
        <v/>
      </c>
      <c r="BC457" s="30">
        <f>IF(X457=0,0,IF(COUNTIFS($X$10:X457,1,$BA$10:BA457,BA457)=1,1,0))</f>
        <v>0</v>
      </c>
      <c r="BD457" s="29"/>
    </row>
    <row r="458" spans="1:56" ht="42" customHeight="1">
      <c r="A458" s="41"/>
      <c r="B458" s="44"/>
      <c r="C458" s="44"/>
      <c r="D458" s="44"/>
      <c r="E458" s="44"/>
      <c r="F458" s="44"/>
      <c r="G458" s="44"/>
      <c r="H458" s="44"/>
      <c r="I458" s="44"/>
      <c r="J458" s="44"/>
      <c r="K458" s="44"/>
      <c r="L458" s="49"/>
      <c r="M458" s="48"/>
      <c r="N458" s="48"/>
      <c r="O458" s="48"/>
      <c r="P458" s="48"/>
      <c r="Q458" s="48"/>
      <c r="R458" s="48"/>
      <c r="S458" s="49"/>
      <c r="T458" s="48"/>
      <c r="U458" s="48"/>
      <c r="V458" s="14">
        <f t="shared" ref="V458:V509" si="63">IF(AND(A458&lt;&gt;"",ISTEXT(A458),COUNTIFS($AS$10:$AS$509,"="&amp;SUBSTITUTE(SUBSTITUTE(SUBSTITUTE("P:"&amp;A458,"~","~~"),"*","~*"),"?","~?"))=1),1,0)</f>
        <v>0</v>
      </c>
      <c r="W458" s="14">
        <f t="shared" ref="W458:W521" si="64">IF(AND(V458=1,OR(C458="Ativo",C458="Suspenso")),1,0)</f>
        <v>0</v>
      </c>
      <c r="X458" s="14">
        <f>IF(AND(V458=1,OR(Painel!$C$6="Todos",D458=Painel!$C$6),AND(OR(Painel!$L$6="Todas",E458=Painel!$L$6),OR(Painel!$C$8="Todos",F458=Painel!$C$8),OR(Painel!$L$8="Todos",G458=Painel!$L$8),OR(Painel!$C$10="",ISNUMBER(SEARCH(SUBSTITUTE(SUBSTITUTE(SUBSTITUTE(Painel!$C$10,"~","~~"),"*","~*"),"?","~?"),A458&amp;" "&amp;H458&amp;" "&amp;I458))))),1,0)</f>
        <v>0</v>
      </c>
      <c r="Y458" s="14">
        <f t="shared" ref="Y458:Y509" si="65">IF(AND(W458=1,OR(N458="Crítica",O458="Sim",P458="Sim")),1,0)</f>
        <v>0</v>
      </c>
      <c r="Z458" s="15" t="str">
        <f>IF(V458=0,"",IF(COUNTIFS(Andamentos!$K$10:$K$2009,"="&amp;SUBSTITUTE(SUBSTITUTE(SUBSTITUTE("P:"&amp;A458,"~","~~"),"*","~*"),"?","~?"),Andamentos!$G$10:$G$2009,1)=0,"",_xlfn.AGGREGATE(14,6,Andamentos!$D$10:$D$2009/((Andamentos!$K$10:$K$2009=AS458)*(Andamentos!$G$10:$G$2009=1)),1)))</f>
        <v/>
      </c>
      <c r="AA458" s="14">
        <f>IF(Z458="",0,COUNTIFS(Andamentos!$K$10:$K$2009,"="&amp;SUBSTITUTE(SUBSTITUTE(SUBSTITUTE("P:"&amp;A458,"~","~~"),"*","~*"),"?","~?"),Andamentos!$D$10:$D$2009,Z458,Andamentos!$G$10:$G$2009,1))</f>
        <v>0</v>
      </c>
      <c r="AB458" s="14">
        <f>IF(AA458=1,SUMIFS(Andamentos!$L$10:$L$2009,Andamentos!$K$10:$K$2009,"="&amp;SUBSTITUTE(SUBSTITUTE(SUBSTITUTE(AS458,"~","~~"),"*","~*"),"?","~?"),Andamentos!$D$10:$D$2009,Z458,Andamentos!$G$10:$G$2009,1)-9,0)</f>
        <v>0</v>
      </c>
      <c r="AC458" s="14" t="str">
        <f>IF(V458=0,"",IF(AA458&gt;1,"Conferir recebimentos empatados",IF(AB458=0,"Sem atualização",INDEX(Andamentos!$C$10:$C$2009,AB458))))</f>
        <v/>
      </c>
      <c r="AD458" s="14">
        <f>IF(W458=0,0,IF(MAX(Z458,BD458)=0,1,IF(Configurar!$J$12-INT(MAX(Z458,BD458))&gt;Configurar!$J$11,1,0)))</f>
        <v>0</v>
      </c>
      <c r="AE458" s="16"/>
      <c r="AF458" s="14"/>
      <c r="AG458" s="14"/>
      <c r="AH458" s="14">
        <f>IF(AND(V458=1,COUNTIFS(Valores!$S$10:$S$509,"="&amp;SUBSTITUTE(SUBSTITUTE(SUBSTITUTE("P:"&amp;A458,"~","~~"),"*","~*"),"?","~?"))=1),(IF(ISNA(MATCH(SUBSTITUTE(SUBSTITUTE(SUBSTITUTE("P:"&amp;A458,"~","~~"),"*","~*"),"?","~?"),Valores!$S$10:$S$509,0)),9,INDEX(Valores!$R$10:$R$509,MATCH(SUBSTITUTE(SUBSTITUTE(SUBSTITUTE("P:"&amp;A458,"~","~~"),"*","~*"),"?","~?"),Valores!$S$10:$S$509,0)))-9),0)</f>
        <v>0</v>
      </c>
      <c r="AI458" s="40" t="str">
        <f t="shared" ref="AI458:AI509" si="66">IF(COUNTA(A458:U458)=0,"",IF(A458="","Preencha o número do processo",IF(NOT(ISTEXT(A458)),"Mantenha o número como texto",IF(V458=0,"Número duplicado: confira o identificador completo",IF(C458="","Informe a situação",IF(AND(C458&lt;&gt;"Ativo",C458&lt;&gt;"Suspenso",C458&lt;&gt;"Encerrado",C458&lt;&gt;"Arquivado"),"Escolha uma situação da lista",IF(D458="","Informe o escritório",IF(E458="","Informe a empresa responsável",IF(H458="","Informe a parte autora",IF(I458="","Informe a parte ré",IF(M458="","Inclua o resumo dos fatos",IF(AND(L458&lt;&gt;"",OR(NOT(ISNUMBER(L458)),L458&lt;1,L458&gt;100000)),"Revise a data de instauração",IF(AND(S458&lt;&gt;"",OR(NOT(ISNUMBER(S458)),S458&lt;1,S458&gt;100000)),"Revise a previsão de encerramento",IF(AND(OR(C458="Encerrado",C458="Arquivado"),OR(O458="Sim",P458="Sim")),"Reveja as restrições após o encerramento",""))))))))))))))</f>
        <v/>
      </c>
      <c r="AJ458" s="14" t="str">
        <f>IF(AND(X458=1,Y458=1),COUNTIFS($X$10:X458,1,$Y$10:Y458,1),"")</f>
        <v/>
      </c>
      <c r="AK458" s="14" t="str">
        <f>IF(X458=1,COUNTIFS($X$10:X458,1),"")</f>
        <v/>
      </c>
      <c r="AL458" s="14">
        <f>IF(AND(V458=1,AND(OR(Painel!$L$6="Todas",E458=Painel!$L$6),OR(Painel!$C$8="Todos",F458=Painel!$C$8),OR(Painel!$L$8="Todos",G458=Painel!$L$8),OR(Painel!$C$10="",ISNUMBER(SEARCH(SUBSTITUTE(SUBSTITUTE(SUBSTITUTE(Painel!$C$10,"~","~~"),"*","~*"),"?","~?"),A458&amp;" "&amp;H458&amp;" "&amp;I458))))),1,0)</f>
        <v>0</v>
      </c>
      <c r="AM458" s="14">
        <f t="shared" ref="AM458:AM509" si="67">IF(A458="",0,ROW())</f>
        <v>0</v>
      </c>
      <c r="AN458" s="14"/>
      <c r="AO458" s="14"/>
      <c r="AP458" s="16" t="str">
        <f>IF(AB458=0,"",IF(INDEX(Andamentos!$B$10:$B$2009,AB458)="","",INDEX(Andamentos!$B$10:$B$2009,AB458)))</f>
        <v/>
      </c>
      <c r="AQ458" s="17" t="str">
        <f>IF(AH458=0,"",IF(INDEX(Valores!$B$10:$B$509,AH458)="","",IF(ISNUMBER(INDEX(Valores!$B$10:$B$509,AH458)),INDEX(Valores!$B$10:$B$509,AH458),"")))</f>
        <v/>
      </c>
      <c r="AR458" s="14" t="str">
        <f t="shared" ref="AR458:AR509" si="68">IF(Y458=0,"",IF(N458="Crítica","Prioridade crítica. ","")&amp;IF(O458="Sim","Bloqueio vigente. ","")&amp;IF(P458="Sim","Penhora vigente. ","")&amp;IF(Q458="","",Q458))</f>
        <v/>
      </c>
      <c r="AS458" s="14" t="str">
        <f t="shared" ref="AS458:AS509" si="69">IF(AND(A458&lt;&gt;"",ISTEXT(A458)),"P:"&amp;A458,"")</f>
        <v/>
      </c>
      <c r="AT458" s="27"/>
      <c r="AU458" s="31"/>
      <c r="AV458" s="31"/>
      <c r="AW458" s="27"/>
      <c r="AX458" s="27"/>
      <c r="AY458" s="27"/>
      <c r="AZ458" s="27"/>
      <c r="BA458" s="30" t="str">
        <f t="shared" ref="BA458:BA509" si="70">IF(A458="","",IF(AU458&lt;&gt;"",AU458,IF(AV458&lt;&gt;"",AV458,A458)))</f>
        <v/>
      </c>
      <c r="BB458" s="30" t="str">
        <f t="shared" ref="BB458:BB521" si="71">IF(A458="","",IF(COUNTIFS($BA$10:$BA$509,BA458)&gt;1,"Revisar repetição",""))</f>
        <v/>
      </c>
      <c r="BC458" s="30">
        <f>IF(X458=0,0,IF(COUNTIFS($X$10:X458,1,$BA$10:BA458,BA458)=1,1,0))</f>
        <v>0</v>
      </c>
      <c r="BD458" s="29"/>
    </row>
    <row r="459" spans="1:56" ht="42" customHeight="1">
      <c r="A459" s="41"/>
      <c r="B459" s="44"/>
      <c r="C459" s="44"/>
      <c r="D459" s="44"/>
      <c r="E459" s="44"/>
      <c r="F459" s="44"/>
      <c r="G459" s="44"/>
      <c r="H459" s="44"/>
      <c r="I459" s="44"/>
      <c r="J459" s="44"/>
      <c r="K459" s="44"/>
      <c r="L459" s="49"/>
      <c r="M459" s="48"/>
      <c r="N459" s="48"/>
      <c r="O459" s="48"/>
      <c r="P459" s="48"/>
      <c r="Q459" s="48"/>
      <c r="R459" s="48"/>
      <c r="S459" s="49"/>
      <c r="T459" s="48"/>
      <c r="U459" s="48"/>
      <c r="V459" s="14">
        <f t="shared" si="63"/>
        <v>0</v>
      </c>
      <c r="W459" s="14">
        <f t="shared" si="64"/>
        <v>0</v>
      </c>
      <c r="X459" s="14">
        <f>IF(AND(V459=1,OR(Painel!$C$6="Todos",D459=Painel!$C$6),AND(OR(Painel!$L$6="Todas",E459=Painel!$L$6),OR(Painel!$C$8="Todos",F459=Painel!$C$8),OR(Painel!$L$8="Todos",G459=Painel!$L$8),OR(Painel!$C$10="",ISNUMBER(SEARCH(SUBSTITUTE(SUBSTITUTE(SUBSTITUTE(Painel!$C$10,"~","~~"),"*","~*"),"?","~?"),A459&amp;" "&amp;H459&amp;" "&amp;I459))))),1,0)</f>
        <v>0</v>
      </c>
      <c r="Y459" s="14">
        <f t="shared" si="65"/>
        <v>0</v>
      </c>
      <c r="Z459" s="15" t="str">
        <f>IF(V459=0,"",IF(COUNTIFS(Andamentos!$K$10:$K$2009,"="&amp;SUBSTITUTE(SUBSTITUTE(SUBSTITUTE("P:"&amp;A459,"~","~~"),"*","~*"),"?","~?"),Andamentos!$G$10:$G$2009,1)=0,"",_xlfn.AGGREGATE(14,6,Andamentos!$D$10:$D$2009/((Andamentos!$K$10:$K$2009=AS459)*(Andamentos!$G$10:$G$2009=1)),1)))</f>
        <v/>
      </c>
      <c r="AA459" s="14">
        <f>IF(Z459="",0,COUNTIFS(Andamentos!$K$10:$K$2009,"="&amp;SUBSTITUTE(SUBSTITUTE(SUBSTITUTE("P:"&amp;A459,"~","~~"),"*","~*"),"?","~?"),Andamentos!$D$10:$D$2009,Z459,Andamentos!$G$10:$G$2009,1))</f>
        <v>0</v>
      </c>
      <c r="AB459" s="14">
        <f>IF(AA459=1,SUMIFS(Andamentos!$L$10:$L$2009,Andamentos!$K$10:$K$2009,"="&amp;SUBSTITUTE(SUBSTITUTE(SUBSTITUTE(AS459,"~","~~"),"*","~*"),"?","~?"),Andamentos!$D$10:$D$2009,Z459,Andamentos!$G$10:$G$2009,1)-9,0)</f>
        <v>0</v>
      </c>
      <c r="AC459" s="14" t="str">
        <f>IF(V459=0,"",IF(AA459&gt;1,"Conferir recebimentos empatados",IF(AB459=0,"Sem atualização",INDEX(Andamentos!$C$10:$C$2009,AB459))))</f>
        <v/>
      </c>
      <c r="AD459" s="14">
        <f>IF(W459=0,0,IF(MAX(Z459,BD459)=0,1,IF(Configurar!$J$12-INT(MAX(Z459,BD459))&gt;Configurar!$J$11,1,0)))</f>
        <v>0</v>
      </c>
      <c r="AE459" s="16"/>
      <c r="AF459" s="14"/>
      <c r="AG459" s="14"/>
      <c r="AH459" s="14">
        <f>IF(AND(V459=1,COUNTIFS(Valores!$S$10:$S$509,"="&amp;SUBSTITUTE(SUBSTITUTE(SUBSTITUTE("P:"&amp;A459,"~","~~"),"*","~*"),"?","~?"))=1),(IF(ISNA(MATCH(SUBSTITUTE(SUBSTITUTE(SUBSTITUTE("P:"&amp;A459,"~","~~"),"*","~*"),"?","~?"),Valores!$S$10:$S$509,0)),9,INDEX(Valores!$R$10:$R$509,MATCH(SUBSTITUTE(SUBSTITUTE(SUBSTITUTE("P:"&amp;A459,"~","~~"),"*","~*"),"?","~?"),Valores!$S$10:$S$509,0)))-9),0)</f>
        <v>0</v>
      </c>
      <c r="AI459" s="40" t="str">
        <f t="shared" si="66"/>
        <v/>
      </c>
      <c r="AJ459" s="14" t="str">
        <f>IF(AND(X459=1,Y459=1),COUNTIFS($X$10:X459,1,$Y$10:Y459,1),"")</f>
        <v/>
      </c>
      <c r="AK459" s="14" t="str">
        <f>IF(X459=1,COUNTIFS($X$10:X459,1),"")</f>
        <v/>
      </c>
      <c r="AL459" s="14">
        <f>IF(AND(V459=1,AND(OR(Painel!$L$6="Todas",E459=Painel!$L$6),OR(Painel!$C$8="Todos",F459=Painel!$C$8),OR(Painel!$L$8="Todos",G459=Painel!$L$8),OR(Painel!$C$10="",ISNUMBER(SEARCH(SUBSTITUTE(SUBSTITUTE(SUBSTITUTE(Painel!$C$10,"~","~~"),"*","~*"),"?","~?"),A459&amp;" "&amp;H459&amp;" "&amp;I459))))),1,0)</f>
        <v>0</v>
      </c>
      <c r="AM459" s="14">
        <f t="shared" si="67"/>
        <v>0</v>
      </c>
      <c r="AN459" s="14"/>
      <c r="AO459" s="14"/>
      <c r="AP459" s="16" t="str">
        <f>IF(AB459=0,"",IF(INDEX(Andamentos!$B$10:$B$2009,AB459)="","",INDEX(Andamentos!$B$10:$B$2009,AB459)))</f>
        <v/>
      </c>
      <c r="AQ459" s="17" t="str">
        <f>IF(AH459=0,"",IF(INDEX(Valores!$B$10:$B$509,AH459)="","",IF(ISNUMBER(INDEX(Valores!$B$10:$B$509,AH459)),INDEX(Valores!$B$10:$B$509,AH459),"")))</f>
        <v/>
      </c>
      <c r="AR459" s="14" t="str">
        <f t="shared" si="68"/>
        <v/>
      </c>
      <c r="AS459" s="14" t="str">
        <f t="shared" si="69"/>
        <v/>
      </c>
      <c r="AT459" s="27"/>
      <c r="AU459" s="31"/>
      <c r="AV459" s="31"/>
      <c r="AW459" s="27"/>
      <c r="AX459" s="27"/>
      <c r="AY459" s="27"/>
      <c r="AZ459" s="27"/>
      <c r="BA459" s="30" t="str">
        <f t="shared" si="70"/>
        <v/>
      </c>
      <c r="BB459" s="30" t="str">
        <f t="shared" si="71"/>
        <v/>
      </c>
      <c r="BC459" s="30">
        <f>IF(X459=0,0,IF(COUNTIFS($X$10:X459,1,$BA$10:BA459,BA459)=1,1,0))</f>
        <v>0</v>
      </c>
      <c r="BD459" s="29"/>
    </row>
    <row r="460" spans="1:56" ht="42" customHeight="1">
      <c r="A460" s="41"/>
      <c r="B460" s="44"/>
      <c r="C460" s="44"/>
      <c r="D460" s="44"/>
      <c r="E460" s="44"/>
      <c r="F460" s="44"/>
      <c r="G460" s="44"/>
      <c r="H460" s="44"/>
      <c r="I460" s="44"/>
      <c r="J460" s="44"/>
      <c r="K460" s="44"/>
      <c r="L460" s="49"/>
      <c r="M460" s="48"/>
      <c r="N460" s="48"/>
      <c r="O460" s="48"/>
      <c r="P460" s="48"/>
      <c r="Q460" s="48"/>
      <c r="R460" s="48"/>
      <c r="S460" s="49"/>
      <c r="T460" s="48"/>
      <c r="U460" s="48"/>
      <c r="V460" s="14">
        <f t="shared" si="63"/>
        <v>0</v>
      </c>
      <c r="W460" s="14">
        <f t="shared" si="64"/>
        <v>0</v>
      </c>
      <c r="X460" s="14">
        <f>IF(AND(V460=1,OR(Painel!$C$6="Todos",D460=Painel!$C$6),AND(OR(Painel!$L$6="Todas",E460=Painel!$L$6),OR(Painel!$C$8="Todos",F460=Painel!$C$8),OR(Painel!$L$8="Todos",G460=Painel!$L$8),OR(Painel!$C$10="",ISNUMBER(SEARCH(SUBSTITUTE(SUBSTITUTE(SUBSTITUTE(Painel!$C$10,"~","~~"),"*","~*"),"?","~?"),A460&amp;" "&amp;H460&amp;" "&amp;I460))))),1,0)</f>
        <v>0</v>
      </c>
      <c r="Y460" s="14">
        <f t="shared" si="65"/>
        <v>0</v>
      </c>
      <c r="Z460" s="15" t="str">
        <f>IF(V460=0,"",IF(COUNTIFS(Andamentos!$K$10:$K$2009,"="&amp;SUBSTITUTE(SUBSTITUTE(SUBSTITUTE("P:"&amp;A460,"~","~~"),"*","~*"),"?","~?"),Andamentos!$G$10:$G$2009,1)=0,"",_xlfn.AGGREGATE(14,6,Andamentos!$D$10:$D$2009/((Andamentos!$K$10:$K$2009=AS460)*(Andamentos!$G$10:$G$2009=1)),1)))</f>
        <v/>
      </c>
      <c r="AA460" s="14">
        <f>IF(Z460="",0,COUNTIFS(Andamentos!$K$10:$K$2009,"="&amp;SUBSTITUTE(SUBSTITUTE(SUBSTITUTE("P:"&amp;A460,"~","~~"),"*","~*"),"?","~?"),Andamentos!$D$10:$D$2009,Z460,Andamentos!$G$10:$G$2009,1))</f>
        <v>0</v>
      </c>
      <c r="AB460" s="14">
        <f>IF(AA460=1,SUMIFS(Andamentos!$L$10:$L$2009,Andamentos!$K$10:$K$2009,"="&amp;SUBSTITUTE(SUBSTITUTE(SUBSTITUTE(AS460,"~","~~"),"*","~*"),"?","~?"),Andamentos!$D$10:$D$2009,Z460,Andamentos!$G$10:$G$2009,1)-9,0)</f>
        <v>0</v>
      </c>
      <c r="AC460" s="14" t="str">
        <f>IF(V460=0,"",IF(AA460&gt;1,"Conferir recebimentos empatados",IF(AB460=0,"Sem atualização",INDEX(Andamentos!$C$10:$C$2009,AB460))))</f>
        <v/>
      </c>
      <c r="AD460" s="14">
        <f>IF(W460=0,0,IF(MAX(Z460,BD460)=0,1,IF(Configurar!$J$12-INT(MAX(Z460,BD460))&gt;Configurar!$J$11,1,0)))</f>
        <v>0</v>
      </c>
      <c r="AE460" s="16"/>
      <c r="AF460" s="14"/>
      <c r="AG460" s="14"/>
      <c r="AH460" s="14">
        <f>IF(AND(V460=1,COUNTIFS(Valores!$S$10:$S$509,"="&amp;SUBSTITUTE(SUBSTITUTE(SUBSTITUTE("P:"&amp;A460,"~","~~"),"*","~*"),"?","~?"))=1),(IF(ISNA(MATCH(SUBSTITUTE(SUBSTITUTE(SUBSTITUTE("P:"&amp;A460,"~","~~"),"*","~*"),"?","~?"),Valores!$S$10:$S$509,0)),9,INDEX(Valores!$R$10:$R$509,MATCH(SUBSTITUTE(SUBSTITUTE(SUBSTITUTE("P:"&amp;A460,"~","~~"),"*","~*"),"?","~?"),Valores!$S$10:$S$509,0)))-9),0)</f>
        <v>0</v>
      </c>
      <c r="AI460" s="40" t="str">
        <f t="shared" si="66"/>
        <v/>
      </c>
      <c r="AJ460" s="14" t="str">
        <f>IF(AND(X460=1,Y460=1),COUNTIFS($X$10:X460,1,$Y$10:Y460,1),"")</f>
        <v/>
      </c>
      <c r="AK460" s="14" t="str">
        <f>IF(X460=1,COUNTIFS($X$10:X460,1),"")</f>
        <v/>
      </c>
      <c r="AL460" s="14">
        <f>IF(AND(V460=1,AND(OR(Painel!$L$6="Todas",E460=Painel!$L$6),OR(Painel!$C$8="Todos",F460=Painel!$C$8),OR(Painel!$L$8="Todos",G460=Painel!$L$8),OR(Painel!$C$10="",ISNUMBER(SEARCH(SUBSTITUTE(SUBSTITUTE(SUBSTITUTE(Painel!$C$10,"~","~~"),"*","~*"),"?","~?"),A460&amp;" "&amp;H460&amp;" "&amp;I460))))),1,0)</f>
        <v>0</v>
      </c>
      <c r="AM460" s="14">
        <f t="shared" si="67"/>
        <v>0</v>
      </c>
      <c r="AN460" s="14"/>
      <c r="AO460" s="14"/>
      <c r="AP460" s="16" t="str">
        <f>IF(AB460=0,"",IF(INDEX(Andamentos!$B$10:$B$2009,AB460)="","",INDEX(Andamentos!$B$10:$B$2009,AB460)))</f>
        <v/>
      </c>
      <c r="AQ460" s="17" t="str">
        <f>IF(AH460=0,"",IF(INDEX(Valores!$B$10:$B$509,AH460)="","",IF(ISNUMBER(INDEX(Valores!$B$10:$B$509,AH460)),INDEX(Valores!$B$10:$B$509,AH460),"")))</f>
        <v/>
      </c>
      <c r="AR460" s="14" t="str">
        <f t="shared" si="68"/>
        <v/>
      </c>
      <c r="AS460" s="14" t="str">
        <f t="shared" si="69"/>
        <v/>
      </c>
      <c r="AT460" s="27"/>
      <c r="AU460" s="31"/>
      <c r="AV460" s="31"/>
      <c r="AW460" s="27"/>
      <c r="AX460" s="27"/>
      <c r="AY460" s="27"/>
      <c r="AZ460" s="27"/>
      <c r="BA460" s="30" t="str">
        <f t="shared" si="70"/>
        <v/>
      </c>
      <c r="BB460" s="30" t="str">
        <f t="shared" si="71"/>
        <v/>
      </c>
      <c r="BC460" s="30">
        <f>IF(X460=0,0,IF(COUNTIFS($X$10:X460,1,$BA$10:BA460,BA460)=1,1,0))</f>
        <v>0</v>
      </c>
      <c r="BD460" s="29"/>
    </row>
    <row r="461" spans="1:56" ht="42" customHeight="1">
      <c r="A461" s="41"/>
      <c r="B461" s="44"/>
      <c r="C461" s="44"/>
      <c r="D461" s="44"/>
      <c r="E461" s="44"/>
      <c r="F461" s="44"/>
      <c r="G461" s="44"/>
      <c r="H461" s="44"/>
      <c r="I461" s="44"/>
      <c r="J461" s="44"/>
      <c r="K461" s="44"/>
      <c r="L461" s="49"/>
      <c r="M461" s="48"/>
      <c r="N461" s="48"/>
      <c r="O461" s="48"/>
      <c r="P461" s="48"/>
      <c r="Q461" s="48"/>
      <c r="R461" s="48"/>
      <c r="S461" s="49"/>
      <c r="T461" s="48"/>
      <c r="U461" s="48"/>
      <c r="V461" s="14">
        <f t="shared" si="63"/>
        <v>0</v>
      </c>
      <c r="W461" s="14">
        <f t="shared" si="64"/>
        <v>0</v>
      </c>
      <c r="X461" s="14">
        <f>IF(AND(V461=1,OR(Painel!$C$6="Todos",D461=Painel!$C$6),AND(OR(Painel!$L$6="Todas",E461=Painel!$L$6),OR(Painel!$C$8="Todos",F461=Painel!$C$8),OR(Painel!$L$8="Todos",G461=Painel!$L$8),OR(Painel!$C$10="",ISNUMBER(SEARCH(SUBSTITUTE(SUBSTITUTE(SUBSTITUTE(Painel!$C$10,"~","~~"),"*","~*"),"?","~?"),A461&amp;" "&amp;H461&amp;" "&amp;I461))))),1,0)</f>
        <v>0</v>
      </c>
      <c r="Y461" s="14">
        <f t="shared" si="65"/>
        <v>0</v>
      </c>
      <c r="Z461" s="15" t="str">
        <f>IF(V461=0,"",IF(COUNTIFS(Andamentos!$K$10:$K$2009,"="&amp;SUBSTITUTE(SUBSTITUTE(SUBSTITUTE("P:"&amp;A461,"~","~~"),"*","~*"),"?","~?"),Andamentos!$G$10:$G$2009,1)=0,"",_xlfn.AGGREGATE(14,6,Andamentos!$D$10:$D$2009/((Andamentos!$K$10:$K$2009=AS461)*(Andamentos!$G$10:$G$2009=1)),1)))</f>
        <v/>
      </c>
      <c r="AA461" s="14">
        <f>IF(Z461="",0,COUNTIFS(Andamentos!$K$10:$K$2009,"="&amp;SUBSTITUTE(SUBSTITUTE(SUBSTITUTE("P:"&amp;A461,"~","~~"),"*","~*"),"?","~?"),Andamentos!$D$10:$D$2009,Z461,Andamentos!$G$10:$G$2009,1))</f>
        <v>0</v>
      </c>
      <c r="AB461" s="14">
        <f>IF(AA461=1,SUMIFS(Andamentos!$L$10:$L$2009,Andamentos!$K$10:$K$2009,"="&amp;SUBSTITUTE(SUBSTITUTE(SUBSTITUTE(AS461,"~","~~"),"*","~*"),"?","~?"),Andamentos!$D$10:$D$2009,Z461,Andamentos!$G$10:$G$2009,1)-9,0)</f>
        <v>0</v>
      </c>
      <c r="AC461" s="14" t="str">
        <f>IF(V461=0,"",IF(AA461&gt;1,"Conferir recebimentos empatados",IF(AB461=0,"Sem atualização",INDEX(Andamentos!$C$10:$C$2009,AB461))))</f>
        <v/>
      </c>
      <c r="AD461" s="14">
        <f>IF(W461=0,0,IF(MAX(Z461,BD461)=0,1,IF(Configurar!$J$12-INT(MAX(Z461,BD461))&gt;Configurar!$J$11,1,0)))</f>
        <v>0</v>
      </c>
      <c r="AE461" s="16"/>
      <c r="AF461" s="14"/>
      <c r="AG461" s="14"/>
      <c r="AH461" s="14">
        <f>IF(AND(V461=1,COUNTIFS(Valores!$S$10:$S$509,"="&amp;SUBSTITUTE(SUBSTITUTE(SUBSTITUTE("P:"&amp;A461,"~","~~"),"*","~*"),"?","~?"))=1),(IF(ISNA(MATCH(SUBSTITUTE(SUBSTITUTE(SUBSTITUTE("P:"&amp;A461,"~","~~"),"*","~*"),"?","~?"),Valores!$S$10:$S$509,0)),9,INDEX(Valores!$R$10:$R$509,MATCH(SUBSTITUTE(SUBSTITUTE(SUBSTITUTE("P:"&amp;A461,"~","~~"),"*","~*"),"?","~?"),Valores!$S$10:$S$509,0)))-9),0)</f>
        <v>0</v>
      </c>
      <c r="AI461" s="40" t="str">
        <f t="shared" si="66"/>
        <v/>
      </c>
      <c r="AJ461" s="14" t="str">
        <f>IF(AND(X461=1,Y461=1),COUNTIFS($X$10:X461,1,$Y$10:Y461,1),"")</f>
        <v/>
      </c>
      <c r="AK461" s="14" t="str">
        <f>IF(X461=1,COUNTIFS($X$10:X461,1),"")</f>
        <v/>
      </c>
      <c r="AL461" s="14">
        <f>IF(AND(V461=1,AND(OR(Painel!$L$6="Todas",E461=Painel!$L$6),OR(Painel!$C$8="Todos",F461=Painel!$C$8),OR(Painel!$L$8="Todos",G461=Painel!$L$8),OR(Painel!$C$10="",ISNUMBER(SEARCH(SUBSTITUTE(SUBSTITUTE(SUBSTITUTE(Painel!$C$10,"~","~~"),"*","~*"),"?","~?"),A461&amp;" "&amp;H461&amp;" "&amp;I461))))),1,0)</f>
        <v>0</v>
      </c>
      <c r="AM461" s="14">
        <f t="shared" si="67"/>
        <v>0</v>
      </c>
      <c r="AN461" s="14"/>
      <c r="AO461" s="14"/>
      <c r="AP461" s="16" t="str">
        <f>IF(AB461=0,"",IF(INDEX(Andamentos!$B$10:$B$2009,AB461)="","",INDEX(Andamentos!$B$10:$B$2009,AB461)))</f>
        <v/>
      </c>
      <c r="AQ461" s="17" t="str">
        <f>IF(AH461=0,"",IF(INDEX(Valores!$B$10:$B$509,AH461)="","",IF(ISNUMBER(INDEX(Valores!$B$10:$B$509,AH461)),INDEX(Valores!$B$10:$B$509,AH461),"")))</f>
        <v/>
      </c>
      <c r="AR461" s="14" t="str">
        <f t="shared" si="68"/>
        <v/>
      </c>
      <c r="AS461" s="14" t="str">
        <f t="shared" si="69"/>
        <v/>
      </c>
      <c r="AT461" s="27"/>
      <c r="AU461" s="31"/>
      <c r="AV461" s="31"/>
      <c r="AW461" s="27"/>
      <c r="AX461" s="27"/>
      <c r="AY461" s="27"/>
      <c r="AZ461" s="27"/>
      <c r="BA461" s="30" t="str">
        <f t="shared" si="70"/>
        <v/>
      </c>
      <c r="BB461" s="30" t="str">
        <f t="shared" si="71"/>
        <v/>
      </c>
      <c r="BC461" s="30">
        <f>IF(X461=0,0,IF(COUNTIFS($X$10:X461,1,$BA$10:BA461,BA461)=1,1,0))</f>
        <v>0</v>
      </c>
      <c r="BD461" s="29"/>
    </row>
    <row r="462" spans="1:56" ht="42" customHeight="1">
      <c r="A462" s="41"/>
      <c r="B462" s="44"/>
      <c r="C462" s="44"/>
      <c r="D462" s="44"/>
      <c r="E462" s="44"/>
      <c r="F462" s="44"/>
      <c r="G462" s="44"/>
      <c r="H462" s="44"/>
      <c r="I462" s="44"/>
      <c r="J462" s="44"/>
      <c r="K462" s="44"/>
      <c r="L462" s="49"/>
      <c r="M462" s="48"/>
      <c r="N462" s="48"/>
      <c r="O462" s="48"/>
      <c r="P462" s="48"/>
      <c r="Q462" s="48"/>
      <c r="R462" s="48"/>
      <c r="S462" s="49"/>
      <c r="T462" s="48"/>
      <c r="U462" s="48"/>
      <c r="V462" s="14">
        <f t="shared" si="63"/>
        <v>0</v>
      </c>
      <c r="W462" s="14">
        <f t="shared" si="64"/>
        <v>0</v>
      </c>
      <c r="X462" s="14">
        <f>IF(AND(V462=1,OR(Painel!$C$6="Todos",D462=Painel!$C$6),AND(OR(Painel!$L$6="Todas",E462=Painel!$L$6),OR(Painel!$C$8="Todos",F462=Painel!$C$8),OR(Painel!$L$8="Todos",G462=Painel!$L$8),OR(Painel!$C$10="",ISNUMBER(SEARCH(SUBSTITUTE(SUBSTITUTE(SUBSTITUTE(Painel!$C$10,"~","~~"),"*","~*"),"?","~?"),A462&amp;" "&amp;H462&amp;" "&amp;I462))))),1,0)</f>
        <v>0</v>
      </c>
      <c r="Y462" s="14">
        <f t="shared" si="65"/>
        <v>0</v>
      </c>
      <c r="Z462" s="15" t="str">
        <f>IF(V462=0,"",IF(COUNTIFS(Andamentos!$K$10:$K$2009,"="&amp;SUBSTITUTE(SUBSTITUTE(SUBSTITUTE("P:"&amp;A462,"~","~~"),"*","~*"),"?","~?"),Andamentos!$G$10:$G$2009,1)=0,"",_xlfn.AGGREGATE(14,6,Andamentos!$D$10:$D$2009/((Andamentos!$K$10:$K$2009=AS462)*(Andamentos!$G$10:$G$2009=1)),1)))</f>
        <v/>
      </c>
      <c r="AA462" s="14">
        <f>IF(Z462="",0,COUNTIFS(Andamentos!$K$10:$K$2009,"="&amp;SUBSTITUTE(SUBSTITUTE(SUBSTITUTE("P:"&amp;A462,"~","~~"),"*","~*"),"?","~?"),Andamentos!$D$10:$D$2009,Z462,Andamentos!$G$10:$G$2009,1))</f>
        <v>0</v>
      </c>
      <c r="AB462" s="14">
        <f>IF(AA462=1,SUMIFS(Andamentos!$L$10:$L$2009,Andamentos!$K$10:$K$2009,"="&amp;SUBSTITUTE(SUBSTITUTE(SUBSTITUTE(AS462,"~","~~"),"*","~*"),"?","~?"),Andamentos!$D$10:$D$2009,Z462,Andamentos!$G$10:$G$2009,1)-9,0)</f>
        <v>0</v>
      </c>
      <c r="AC462" s="14" t="str">
        <f>IF(V462=0,"",IF(AA462&gt;1,"Conferir recebimentos empatados",IF(AB462=0,"Sem atualização",INDEX(Andamentos!$C$10:$C$2009,AB462))))</f>
        <v/>
      </c>
      <c r="AD462" s="14">
        <f>IF(W462=0,0,IF(MAX(Z462,BD462)=0,1,IF(Configurar!$J$12-INT(MAX(Z462,BD462))&gt;Configurar!$J$11,1,0)))</f>
        <v>0</v>
      </c>
      <c r="AE462" s="16"/>
      <c r="AF462" s="14"/>
      <c r="AG462" s="14"/>
      <c r="AH462" s="14">
        <f>IF(AND(V462=1,COUNTIFS(Valores!$S$10:$S$509,"="&amp;SUBSTITUTE(SUBSTITUTE(SUBSTITUTE("P:"&amp;A462,"~","~~"),"*","~*"),"?","~?"))=1),(IF(ISNA(MATCH(SUBSTITUTE(SUBSTITUTE(SUBSTITUTE("P:"&amp;A462,"~","~~"),"*","~*"),"?","~?"),Valores!$S$10:$S$509,0)),9,INDEX(Valores!$R$10:$R$509,MATCH(SUBSTITUTE(SUBSTITUTE(SUBSTITUTE("P:"&amp;A462,"~","~~"),"*","~*"),"?","~?"),Valores!$S$10:$S$509,0)))-9),0)</f>
        <v>0</v>
      </c>
      <c r="AI462" s="40" t="str">
        <f t="shared" si="66"/>
        <v/>
      </c>
      <c r="AJ462" s="14" t="str">
        <f>IF(AND(X462=1,Y462=1),COUNTIFS($X$10:X462,1,$Y$10:Y462,1),"")</f>
        <v/>
      </c>
      <c r="AK462" s="14" t="str">
        <f>IF(X462=1,COUNTIFS($X$10:X462,1),"")</f>
        <v/>
      </c>
      <c r="AL462" s="14">
        <f>IF(AND(V462=1,AND(OR(Painel!$L$6="Todas",E462=Painel!$L$6),OR(Painel!$C$8="Todos",F462=Painel!$C$8),OR(Painel!$L$8="Todos",G462=Painel!$L$8),OR(Painel!$C$10="",ISNUMBER(SEARCH(SUBSTITUTE(SUBSTITUTE(SUBSTITUTE(Painel!$C$10,"~","~~"),"*","~*"),"?","~?"),A462&amp;" "&amp;H462&amp;" "&amp;I462))))),1,0)</f>
        <v>0</v>
      </c>
      <c r="AM462" s="14">
        <f t="shared" si="67"/>
        <v>0</v>
      </c>
      <c r="AN462" s="14"/>
      <c r="AO462" s="14"/>
      <c r="AP462" s="16" t="str">
        <f>IF(AB462=0,"",IF(INDEX(Andamentos!$B$10:$B$2009,AB462)="","",INDEX(Andamentos!$B$10:$B$2009,AB462)))</f>
        <v/>
      </c>
      <c r="AQ462" s="17" t="str">
        <f>IF(AH462=0,"",IF(INDEX(Valores!$B$10:$B$509,AH462)="","",IF(ISNUMBER(INDEX(Valores!$B$10:$B$509,AH462)),INDEX(Valores!$B$10:$B$509,AH462),"")))</f>
        <v/>
      </c>
      <c r="AR462" s="14" t="str">
        <f t="shared" si="68"/>
        <v/>
      </c>
      <c r="AS462" s="14" t="str">
        <f t="shared" si="69"/>
        <v/>
      </c>
      <c r="AT462" s="27"/>
      <c r="AU462" s="31"/>
      <c r="AV462" s="31"/>
      <c r="AW462" s="27"/>
      <c r="AX462" s="27"/>
      <c r="AY462" s="27"/>
      <c r="AZ462" s="27"/>
      <c r="BA462" s="30" t="str">
        <f t="shared" si="70"/>
        <v/>
      </c>
      <c r="BB462" s="30" t="str">
        <f t="shared" si="71"/>
        <v/>
      </c>
      <c r="BC462" s="30">
        <f>IF(X462=0,0,IF(COUNTIFS($X$10:X462,1,$BA$10:BA462,BA462)=1,1,0))</f>
        <v>0</v>
      </c>
      <c r="BD462" s="29"/>
    </row>
    <row r="463" spans="1:56" ht="42" customHeight="1">
      <c r="A463" s="41"/>
      <c r="B463" s="44"/>
      <c r="C463" s="44"/>
      <c r="D463" s="44"/>
      <c r="E463" s="44"/>
      <c r="F463" s="44"/>
      <c r="G463" s="44"/>
      <c r="H463" s="44"/>
      <c r="I463" s="44"/>
      <c r="J463" s="44"/>
      <c r="K463" s="44"/>
      <c r="L463" s="49"/>
      <c r="M463" s="48"/>
      <c r="N463" s="48"/>
      <c r="O463" s="48"/>
      <c r="P463" s="48"/>
      <c r="Q463" s="48"/>
      <c r="R463" s="48"/>
      <c r="S463" s="49"/>
      <c r="T463" s="48"/>
      <c r="U463" s="48"/>
      <c r="V463" s="14">
        <f t="shared" si="63"/>
        <v>0</v>
      </c>
      <c r="W463" s="14">
        <f t="shared" si="64"/>
        <v>0</v>
      </c>
      <c r="X463" s="14">
        <f>IF(AND(V463=1,OR(Painel!$C$6="Todos",D463=Painel!$C$6),AND(OR(Painel!$L$6="Todas",E463=Painel!$L$6),OR(Painel!$C$8="Todos",F463=Painel!$C$8),OR(Painel!$L$8="Todos",G463=Painel!$L$8),OR(Painel!$C$10="",ISNUMBER(SEARCH(SUBSTITUTE(SUBSTITUTE(SUBSTITUTE(Painel!$C$10,"~","~~"),"*","~*"),"?","~?"),A463&amp;" "&amp;H463&amp;" "&amp;I463))))),1,0)</f>
        <v>0</v>
      </c>
      <c r="Y463" s="14">
        <f t="shared" si="65"/>
        <v>0</v>
      </c>
      <c r="Z463" s="15" t="str">
        <f>IF(V463=0,"",IF(COUNTIFS(Andamentos!$K$10:$K$2009,"="&amp;SUBSTITUTE(SUBSTITUTE(SUBSTITUTE("P:"&amp;A463,"~","~~"),"*","~*"),"?","~?"),Andamentos!$G$10:$G$2009,1)=0,"",_xlfn.AGGREGATE(14,6,Andamentos!$D$10:$D$2009/((Andamentos!$K$10:$K$2009=AS463)*(Andamentos!$G$10:$G$2009=1)),1)))</f>
        <v/>
      </c>
      <c r="AA463" s="14">
        <f>IF(Z463="",0,COUNTIFS(Andamentos!$K$10:$K$2009,"="&amp;SUBSTITUTE(SUBSTITUTE(SUBSTITUTE("P:"&amp;A463,"~","~~"),"*","~*"),"?","~?"),Andamentos!$D$10:$D$2009,Z463,Andamentos!$G$10:$G$2009,1))</f>
        <v>0</v>
      </c>
      <c r="AB463" s="14">
        <f>IF(AA463=1,SUMIFS(Andamentos!$L$10:$L$2009,Andamentos!$K$10:$K$2009,"="&amp;SUBSTITUTE(SUBSTITUTE(SUBSTITUTE(AS463,"~","~~"),"*","~*"),"?","~?"),Andamentos!$D$10:$D$2009,Z463,Andamentos!$G$10:$G$2009,1)-9,0)</f>
        <v>0</v>
      </c>
      <c r="AC463" s="14" t="str">
        <f>IF(V463=0,"",IF(AA463&gt;1,"Conferir recebimentos empatados",IF(AB463=0,"Sem atualização",INDEX(Andamentos!$C$10:$C$2009,AB463))))</f>
        <v/>
      </c>
      <c r="AD463" s="14">
        <f>IF(W463=0,0,IF(MAX(Z463,BD463)=0,1,IF(Configurar!$J$12-INT(MAX(Z463,BD463))&gt;Configurar!$J$11,1,0)))</f>
        <v>0</v>
      </c>
      <c r="AE463" s="16"/>
      <c r="AF463" s="14"/>
      <c r="AG463" s="14"/>
      <c r="AH463" s="14">
        <f>IF(AND(V463=1,COUNTIFS(Valores!$S$10:$S$509,"="&amp;SUBSTITUTE(SUBSTITUTE(SUBSTITUTE("P:"&amp;A463,"~","~~"),"*","~*"),"?","~?"))=1),(IF(ISNA(MATCH(SUBSTITUTE(SUBSTITUTE(SUBSTITUTE("P:"&amp;A463,"~","~~"),"*","~*"),"?","~?"),Valores!$S$10:$S$509,0)),9,INDEX(Valores!$R$10:$R$509,MATCH(SUBSTITUTE(SUBSTITUTE(SUBSTITUTE("P:"&amp;A463,"~","~~"),"*","~*"),"?","~?"),Valores!$S$10:$S$509,0)))-9),0)</f>
        <v>0</v>
      </c>
      <c r="AI463" s="40" t="str">
        <f t="shared" si="66"/>
        <v/>
      </c>
      <c r="AJ463" s="14" t="str">
        <f>IF(AND(X463=1,Y463=1),COUNTIFS($X$10:X463,1,$Y$10:Y463,1),"")</f>
        <v/>
      </c>
      <c r="AK463" s="14" t="str">
        <f>IF(X463=1,COUNTIFS($X$10:X463,1),"")</f>
        <v/>
      </c>
      <c r="AL463" s="14">
        <f>IF(AND(V463=1,AND(OR(Painel!$L$6="Todas",E463=Painel!$L$6),OR(Painel!$C$8="Todos",F463=Painel!$C$8),OR(Painel!$L$8="Todos",G463=Painel!$L$8),OR(Painel!$C$10="",ISNUMBER(SEARCH(SUBSTITUTE(SUBSTITUTE(SUBSTITUTE(Painel!$C$10,"~","~~"),"*","~*"),"?","~?"),A463&amp;" "&amp;H463&amp;" "&amp;I463))))),1,0)</f>
        <v>0</v>
      </c>
      <c r="AM463" s="14">
        <f t="shared" si="67"/>
        <v>0</v>
      </c>
      <c r="AN463" s="14"/>
      <c r="AO463" s="14"/>
      <c r="AP463" s="16" t="str">
        <f>IF(AB463=0,"",IF(INDEX(Andamentos!$B$10:$B$2009,AB463)="","",INDEX(Andamentos!$B$10:$B$2009,AB463)))</f>
        <v/>
      </c>
      <c r="AQ463" s="17" t="str">
        <f>IF(AH463=0,"",IF(INDEX(Valores!$B$10:$B$509,AH463)="","",IF(ISNUMBER(INDEX(Valores!$B$10:$B$509,AH463)),INDEX(Valores!$B$10:$B$509,AH463),"")))</f>
        <v/>
      </c>
      <c r="AR463" s="14" t="str">
        <f t="shared" si="68"/>
        <v/>
      </c>
      <c r="AS463" s="14" t="str">
        <f t="shared" si="69"/>
        <v/>
      </c>
      <c r="AT463" s="27"/>
      <c r="AU463" s="31"/>
      <c r="AV463" s="31"/>
      <c r="AW463" s="27"/>
      <c r="AX463" s="27"/>
      <c r="AY463" s="27"/>
      <c r="AZ463" s="27"/>
      <c r="BA463" s="30" t="str">
        <f t="shared" si="70"/>
        <v/>
      </c>
      <c r="BB463" s="30" t="str">
        <f t="shared" si="71"/>
        <v/>
      </c>
      <c r="BC463" s="30">
        <f>IF(X463=0,0,IF(COUNTIFS($X$10:X463,1,$BA$10:BA463,BA463)=1,1,0))</f>
        <v>0</v>
      </c>
      <c r="BD463" s="29"/>
    </row>
    <row r="464" spans="1:56" ht="42" customHeight="1">
      <c r="A464" s="41"/>
      <c r="B464" s="44"/>
      <c r="C464" s="44"/>
      <c r="D464" s="44"/>
      <c r="E464" s="44"/>
      <c r="F464" s="44"/>
      <c r="G464" s="44"/>
      <c r="H464" s="44"/>
      <c r="I464" s="44"/>
      <c r="J464" s="44"/>
      <c r="K464" s="44"/>
      <c r="L464" s="49"/>
      <c r="M464" s="48"/>
      <c r="N464" s="48"/>
      <c r="O464" s="48"/>
      <c r="P464" s="48"/>
      <c r="Q464" s="48"/>
      <c r="R464" s="48"/>
      <c r="S464" s="49"/>
      <c r="T464" s="48"/>
      <c r="U464" s="48"/>
      <c r="V464" s="14">
        <f t="shared" si="63"/>
        <v>0</v>
      </c>
      <c r="W464" s="14">
        <f t="shared" si="64"/>
        <v>0</v>
      </c>
      <c r="X464" s="14">
        <f>IF(AND(V464=1,OR(Painel!$C$6="Todos",D464=Painel!$C$6),AND(OR(Painel!$L$6="Todas",E464=Painel!$L$6),OR(Painel!$C$8="Todos",F464=Painel!$C$8),OR(Painel!$L$8="Todos",G464=Painel!$L$8),OR(Painel!$C$10="",ISNUMBER(SEARCH(SUBSTITUTE(SUBSTITUTE(SUBSTITUTE(Painel!$C$10,"~","~~"),"*","~*"),"?","~?"),A464&amp;" "&amp;H464&amp;" "&amp;I464))))),1,0)</f>
        <v>0</v>
      </c>
      <c r="Y464" s="14">
        <f t="shared" si="65"/>
        <v>0</v>
      </c>
      <c r="Z464" s="15" t="str">
        <f>IF(V464=0,"",IF(COUNTIFS(Andamentos!$K$10:$K$2009,"="&amp;SUBSTITUTE(SUBSTITUTE(SUBSTITUTE("P:"&amp;A464,"~","~~"),"*","~*"),"?","~?"),Andamentos!$G$10:$G$2009,1)=0,"",_xlfn.AGGREGATE(14,6,Andamentos!$D$10:$D$2009/((Andamentos!$K$10:$K$2009=AS464)*(Andamentos!$G$10:$G$2009=1)),1)))</f>
        <v/>
      </c>
      <c r="AA464" s="14">
        <f>IF(Z464="",0,COUNTIFS(Andamentos!$K$10:$K$2009,"="&amp;SUBSTITUTE(SUBSTITUTE(SUBSTITUTE("P:"&amp;A464,"~","~~"),"*","~*"),"?","~?"),Andamentos!$D$10:$D$2009,Z464,Andamentos!$G$10:$G$2009,1))</f>
        <v>0</v>
      </c>
      <c r="AB464" s="14">
        <f>IF(AA464=1,SUMIFS(Andamentos!$L$10:$L$2009,Andamentos!$K$10:$K$2009,"="&amp;SUBSTITUTE(SUBSTITUTE(SUBSTITUTE(AS464,"~","~~"),"*","~*"),"?","~?"),Andamentos!$D$10:$D$2009,Z464,Andamentos!$G$10:$G$2009,1)-9,0)</f>
        <v>0</v>
      </c>
      <c r="AC464" s="14" t="str">
        <f>IF(V464=0,"",IF(AA464&gt;1,"Conferir recebimentos empatados",IF(AB464=0,"Sem atualização",INDEX(Andamentos!$C$10:$C$2009,AB464))))</f>
        <v/>
      </c>
      <c r="AD464" s="14">
        <f>IF(W464=0,0,IF(MAX(Z464,BD464)=0,1,IF(Configurar!$J$12-INT(MAX(Z464,BD464))&gt;Configurar!$J$11,1,0)))</f>
        <v>0</v>
      </c>
      <c r="AE464" s="16"/>
      <c r="AF464" s="14"/>
      <c r="AG464" s="14"/>
      <c r="AH464" s="14">
        <f>IF(AND(V464=1,COUNTIFS(Valores!$S$10:$S$509,"="&amp;SUBSTITUTE(SUBSTITUTE(SUBSTITUTE("P:"&amp;A464,"~","~~"),"*","~*"),"?","~?"))=1),(IF(ISNA(MATCH(SUBSTITUTE(SUBSTITUTE(SUBSTITUTE("P:"&amp;A464,"~","~~"),"*","~*"),"?","~?"),Valores!$S$10:$S$509,0)),9,INDEX(Valores!$R$10:$R$509,MATCH(SUBSTITUTE(SUBSTITUTE(SUBSTITUTE("P:"&amp;A464,"~","~~"),"*","~*"),"?","~?"),Valores!$S$10:$S$509,0)))-9),0)</f>
        <v>0</v>
      </c>
      <c r="AI464" s="40" t="str">
        <f t="shared" si="66"/>
        <v/>
      </c>
      <c r="AJ464" s="14" t="str">
        <f>IF(AND(X464=1,Y464=1),COUNTIFS($X$10:X464,1,$Y$10:Y464,1),"")</f>
        <v/>
      </c>
      <c r="AK464" s="14" t="str">
        <f>IF(X464=1,COUNTIFS($X$10:X464,1),"")</f>
        <v/>
      </c>
      <c r="AL464" s="14">
        <f>IF(AND(V464=1,AND(OR(Painel!$L$6="Todas",E464=Painel!$L$6),OR(Painel!$C$8="Todos",F464=Painel!$C$8),OR(Painel!$L$8="Todos",G464=Painel!$L$8),OR(Painel!$C$10="",ISNUMBER(SEARCH(SUBSTITUTE(SUBSTITUTE(SUBSTITUTE(Painel!$C$10,"~","~~"),"*","~*"),"?","~?"),A464&amp;" "&amp;H464&amp;" "&amp;I464))))),1,0)</f>
        <v>0</v>
      </c>
      <c r="AM464" s="14">
        <f t="shared" si="67"/>
        <v>0</v>
      </c>
      <c r="AN464" s="14"/>
      <c r="AO464" s="14"/>
      <c r="AP464" s="16" t="str">
        <f>IF(AB464=0,"",IF(INDEX(Andamentos!$B$10:$B$2009,AB464)="","",INDEX(Andamentos!$B$10:$B$2009,AB464)))</f>
        <v/>
      </c>
      <c r="AQ464" s="17" t="str">
        <f>IF(AH464=0,"",IF(INDEX(Valores!$B$10:$B$509,AH464)="","",IF(ISNUMBER(INDEX(Valores!$B$10:$B$509,AH464)),INDEX(Valores!$B$10:$B$509,AH464),"")))</f>
        <v/>
      </c>
      <c r="AR464" s="14" t="str">
        <f t="shared" si="68"/>
        <v/>
      </c>
      <c r="AS464" s="14" t="str">
        <f t="shared" si="69"/>
        <v/>
      </c>
      <c r="AT464" s="27"/>
      <c r="AU464" s="31"/>
      <c r="AV464" s="31"/>
      <c r="AW464" s="27"/>
      <c r="AX464" s="27"/>
      <c r="AY464" s="27"/>
      <c r="AZ464" s="27"/>
      <c r="BA464" s="30" t="str">
        <f t="shared" si="70"/>
        <v/>
      </c>
      <c r="BB464" s="30" t="str">
        <f t="shared" si="71"/>
        <v/>
      </c>
      <c r="BC464" s="30">
        <f>IF(X464=0,0,IF(COUNTIFS($X$10:X464,1,$BA$10:BA464,BA464)=1,1,0))</f>
        <v>0</v>
      </c>
      <c r="BD464" s="29"/>
    </row>
    <row r="465" spans="1:56" ht="42" customHeight="1">
      <c r="A465" s="41"/>
      <c r="B465" s="44"/>
      <c r="C465" s="44"/>
      <c r="D465" s="44"/>
      <c r="E465" s="44"/>
      <c r="F465" s="44"/>
      <c r="G465" s="44"/>
      <c r="H465" s="44"/>
      <c r="I465" s="44"/>
      <c r="J465" s="44"/>
      <c r="K465" s="44"/>
      <c r="L465" s="49"/>
      <c r="M465" s="48"/>
      <c r="N465" s="48"/>
      <c r="O465" s="48"/>
      <c r="P465" s="48"/>
      <c r="Q465" s="48"/>
      <c r="R465" s="48"/>
      <c r="S465" s="49"/>
      <c r="T465" s="48"/>
      <c r="U465" s="48"/>
      <c r="V465" s="14">
        <f t="shared" si="63"/>
        <v>0</v>
      </c>
      <c r="W465" s="14">
        <f t="shared" si="64"/>
        <v>0</v>
      </c>
      <c r="X465" s="14">
        <f>IF(AND(V465=1,OR(Painel!$C$6="Todos",D465=Painel!$C$6),AND(OR(Painel!$L$6="Todas",E465=Painel!$L$6),OR(Painel!$C$8="Todos",F465=Painel!$C$8),OR(Painel!$L$8="Todos",G465=Painel!$L$8),OR(Painel!$C$10="",ISNUMBER(SEARCH(SUBSTITUTE(SUBSTITUTE(SUBSTITUTE(Painel!$C$10,"~","~~"),"*","~*"),"?","~?"),A465&amp;" "&amp;H465&amp;" "&amp;I465))))),1,0)</f>
        <v>0</v>
      </c>
      <c r="Y465" s="14">
        <f t="shared" si="65"/>
        <v>0</v>
      </c>
      <c r="Z465" s="15" t="str">
        <f>IF(V465=0,"",IF(COUNTIFS(Andamentos!$K$10:$K$2009,"="&amp;SUBSTITUTE(SUBSTITUTE(SUBSTITUTE("P:"&amp;A465,"~","~~"),"*","~*"),"?","~?"),Andamentos!$G$10:$G$2009,1)=0,"",_xlfn.AGGREGATE(14,6,Andamentos!$D$10:$D$2009/((Andamentos!$K$10:$K$2009=AS465)*(Andamentos!$G$10:$G$2009=1)),1)))</f>
        <v/>
      </c>
      <c r="AA465" s="14">
        <f>IF(Z465="",0,COUNTIFS(Andamentos!$K$10:$K$2009,"="&amp;SUBSTITUTE(SUBSTITUTE(SUBSTITUTE("P:"&amp;A465,"~","~~"),"*","~*"),"?","~?"),Andamentos!$D$10:$D$2009,Z465,Andamentos!$G$10:$G$2009,1))</f>
        <v>0</v>
      </c>
      <c r="AB465" s="14">
        <f>IF(AA465=1,SUMIFS(Andamentos!$L$10:$L$2009,Andamentos!$K$10:$K$2009,"="&amp;SUBSTITUTE(SUBSTITUTE(SUBSTITUTE(AS465,"~","~~"),"*","~*"),"?","~?"),Andamentos!$D$10:$D$2009,Z465,Andamentos!$G$10:$G$2009,1)-9,0)</f>
        <v>0</v>
      </c>
      <c r="AC465" s="14" t="str">
        <f>IF(V465=0,"",IF(AA465&gt;1,"Conferir recebimentos empatados",IF(AB465=0,"Sem atualização",INDEX(Andamentos!$C$10:$C$2009,AB465))))</f>
        <v/>
      </c>
      <c r="AD465" s="14">
        <f>IF(W465=0,0,IF(MAX(Z465,BD465)=0,1,IF(Configurar!$J$12-INT(MAX(Z465,BD465))&gt;Configurar!$J$11,1,0)))</f>
        <v>0</v>
      </c>
      <c r="AE465" s="16"/>
      <c r="AF465" s="14"/>
      <c r="AG465" s="14"/>
      <c r="AH465" s="14">
        <f>IF(AND(V465=1,COUNTIFS(Valores!$S$10:$S$509,"="&amp;SUBSTITUTE(SUBSTITUTE(SUBSTITUTE("P:"&amp;A465,"~","~~"),"*","~*"),"?","~?"))=1),(IF(ISNA(MATCH(SUBSTITUTE(SUBSTITUTE(SUBSTITUTE("P:"&amp;A465,"~","~~"),"*","~*"),"?","~?"),Valores!$S$10:$S$509,0)),9,INDEX(Valores!$R$10:$R$509,MATCH(SUBSTITUTE(SUBSTITUTE(SUBSTITUTE("P:"&amp;A465,"~","~~"),"*","~*"),"?","~?"),Valores!$S$10:$S$509,0)))-9),0)</f>
        <v>0</v>
      </c>
      <c r="AI465" s="40" t="str">
        <f t="shared" si="66"/>
        <v/>
      </c>
      <c r="AJ465" s="14" t="str">
        <f>IF(AND(X465=1,Y465=1),COUNTIFS($X$10:X465,1,$Y$10:Y465,1),"")</f>
        <v/>
      </c>
      <c r="AK465" s="14" t="str">
        <f>IF(X465=1,COUNTIFS($X$10:X465,1),"")</f>
        <v/>
      </c>
      <c r="AL465" s="14">
        <f>IF(AND(V465=1,AND(OR(Painel!$L$6="Todas",E465=Painel!$L$6),OR(Painel!$C$8="Todos",F465=Painel!$C$8),OR(Painel!$L$8="Todos",G465=Painel!$L$8),OR(Painel!$C$10="",ISNUMBER(SEARCH(SUBSTITUTE(SUBSTITUTE(SUBSTITUTE(Painel!$C$10,"~","~~"),"*","~*"),"?","~?"),A465&amp;" "&amp;H465&amp;" "&amp;I465))))),1,0)</f>
        <v>0</v>
      </c>
      <c r="AM465" s="14">
        <f t="shared" si="67"/>
        <v>0</v>
      </c>
      <c r="AN465" s="14"/>
      <c r="AO465" s="14"/>
      <c r="AP465" s="16" t="str">
        <f>IF(AB465=0,"",IF(INDEX(Andamentos!$B$10:$B$2009,AB465)="","",INDEX(Andamentos!$B$10:$B$2009,AB465)))</f>
        <v/>
      </c>
      <c r="AQ465" s="17" t="str">
        <f>IF(AH465=0,"",IF(INDEX(Valores!$B$10:$B$509,AH465)="","",IF(ISNUMBER(INDEX(Valores!$B$10:$B$509,AH465)),INDEX(Valores!$B$10:$B$509,AH465),"")))</f>
        <v/>
      </c>
      <c r="AR465" s="14" t="str">
        <f t="shared" si="68"/>
        <v/>
      </c>
      <c r="AS465" s="14" t="str">
        <f t="shared" si="69"/>
        <v/>
      </c>
      <c r="AT465" s="27"/>
      <c r="AU465" s="31"/>
      <c r="AV465" s="31"/>
      <c r="AW465" s="27"/>
      <c r="AX465" s="27"/>
      <c r="AY465" s="27"/>
      <c r="AZ465" s="27"/>
      <c r="BA465" s="30" t="str">
        <f t="shared" si="70"/>
        <v/>
      </c>
      <c r="BB465" s="30" t="str">
        <f t="shared" si="71"/>
        <v/>
      </c>
      <c r="BC465" s="30">
        <f>IF(X465=0,0,IF(COUNTIFS($X$10:X465,1,$BA$10:BA465,BA465)=1,1,0))</f>
        <v>0</v>
      </c>
      <c r="BD465" s="29"/>
    </row>
    <row r="466" spans="1:56" ht="42" customHeight="1">
      <c r="A466" s="41"/>
      <c r="B466" s="44"/>
      <c r="C466" s="44"/>
      <c r="D466" s="44"/>
      <c r="E466" s="44"/>
      <c r="F466" s="44"/>
      <c r="G466" s="44"/>
      <c r="H466" s="44"/>
      <c r="I466" s="44"/>
      <c r="J466" s="44"/>
      <c r="K466" s="44"/>
      <c r="L466" s="49"/>
      <c r="M466" s="48"/>
      <c r="N466" s="48"/>
      <c r="O466" s="48"/>
      <c r="P466" s="48"/>
      <c r="Q466" s="48"/>
      <c r="R466" s="48"/>
      <c r="S466" s="49"/>
      <c r="T466" s="48"/>
      <c r="U466" s="48"/>
      <c r="V466" s="14">
        <f t="shared" si="63"/>
        <v>0</v>
      </c>
      <c r="W466" s="14">
        <f t="shared" si="64"/>
        <v>0</v>
      </c>
      <c r="X466" s="14">
        <f>IF(AND(V466=1,OR(Painel!$C$6="Todos",D466=Painel!$C$6),AND(OR(Painel!$L$6="Todas",E466=Painel!$L$6),OR(Painel!$C$8="Todos",F466=Painel!$C$8),OR(Painel!$L$8="Todos",G466=Painel!$L$8),OR(Painel!$C$10="",ISNUMBER(SEARCH(SUBSTITUTE(SUBSTITUTE(SUBSTITUTE(Painel!$C$10,"~","~~"),"*","~*"),"?","~?"),A466&amp;" "&amp;H466&amp;" "&amp;I466))))),1,0)</f>
        <v>0</v>
      </c>
      <c r="Y466" s="14">
        <f t="shared" si="65"/>
        <v>0</v>
      </c>
      <c r="Z466" s="15" t="str">
        <f>IF(V466=0,"",IF(COUNTIFS(Andamentos!$K$10:$K$2009,"="&amp;SUBSTITUTE(SUBSTITUTE(SUBSTITUTE("P:"&amp;A466,"~","~~"),"*","~*"),"?","~?"),Andamentos!$G$10:$G$2009,1)=0,"",_xlfn.AGGREGATE(14,6,Andamentos!$D$10:$D$2009/((Andamentos!$K$10:$K$2009=AS466)*(Andamentos!$G$10:$G$2009=1)),1)))</f>
        <v/>
      </c>
      <c r="AA466" s="14">
        <f>IF(Z466="",0,COUNTIFS(Andamentos!$K$10:$K$2009,"="&amp;SUBSTITUTE(SUBSTITUTE(SUBSTITUTE("P:"&amp;A466,"~","~~"),"*","~*"),"?","~?"),Andamentos!$D$10:$D$2009,Z466,Andamentos!$G$10:$G$2009,1))</f>
        <v>0</v>
      </c>
      <c r="AB466" s="14">
        <f>IF(AA466=1,SUMIFS(Andamentos!$L$10:$L$2009,Andamentos!$K$10:$K$2009,"="&amp;SUBSTITUTE(SUBSTITUTE(SUBSTITUTE(AS466,"~","~~"),"*","~*"),"?","~?"),Andamentos!$D$10:$D$2009,Z466,Andamentos!$G$10:$G$2009,1)-9,0)</f>
        <v>0</v>
      </c>
      <c r="AC466" s="14" t="str">
        <f>IF(V466=0,"",IF(AA466&gt;1,"Conferir recebimentos empatados",IF(AB466=0,"Sem atualização",INDEX(Andamentos!$C$10:$C$2009,AB466))))</f>
        <v/>
      </c>
      <c r="AD466" s="14">
        <f>IF(W466=0,0,IF(MAX(Z466,BD466)=0,1,IF(Configurar!$J$12-INT(MAX(Z466,BD466))&gt;Configurar!$J$11,1,0)))</f>
        <v>0</v>
      </c>
      <c r="AE466" s="16"/>
      <c r="AF466" s="14"/>
      <c r="AG466" s="14"/>
      <c r="AH466" s="14">
        <f>IF(AND(V466=1,COUNTIFS(Valores!$S$10:$S$509,"="&amp;SUBSTITUTE(SUBSTITUTE(SUBSTITUTE("P:"&amp;A466,"~","~~"),"*","~*"),"?","~?"))=1),(IF(ISNA(MATCH(SUBSTITUTE(SUBSTITUTE(SUBSTITUTE("P:"&amp;A466,"~","~~"),"*","~*"),"?","~?"),Valores!$S$10:$S$509,0)),9,INDEX(Valores!$R$10:$R$509,MATCH(SUBSTITUTE(SUBSTITUTE(SUBSTITUTE("P:"&amp;A466,"~","~~"),"*","~*"),"?","~?"),Valores!$S$10:$S$509,0)))-9),0)</f>
        <v>0</v>
      </c>
      <c r="AI466" s="40" t="str">
        <f t="shared" si="66"/>
        <v/>
      </c>
      <c r="AJ466" s="14" t="str">
        <f>IF(AND(X466=1,Y466=1),COUNTIFS($X$10:X466,1,$Y$10:Y466,1),"")</f>
        <v/>
      </c>
      <c r="AK466" s="14" t="str">
        <f>IF(X466=1,COUNTIFS($X$10:X466,1),"")</f>
        <v/>
      </c>
      <c r="AL466" s="14">
        <f>IF(AND(V466=1,AND(OR(Painel!$L$6="Todas",E466=Painel!$L$6),OR(Painel!$C$8="Todos",F466=Painel!$C$8),OR(Painel!$L$8="Todos",G466=Painel!$L$8),OR(Painel!$C$10="",ISNUMBER(SEARCH(SUBSTITUTE(SUBSTITUTE(SUBSTITUTE(Painel!$C$10,"~","~~"),"*","~*"),"?","~?"),A466&amp;" "&amp;H466&amp;" "&amp;I466))))),1,0)</f>
        <v>0</v>
      </c>
      <c r="AM466" s="14">
        <f t="shared" si="67"/>
        <v>0</v>
      </c>
      <c r="AN466" s="14"/>
      <c r="AO466" s="14"/>
      <c r="AP466" s="16" t="str">
        <f>IF(AB466=0,"",IF(INDEX(Andamentos!$B$10:$B$2009,AB466)="","",INDEX(Andamentos!$B$10:$B$2009,AB466)))</f>
        <v/>
      </c>
      <c r="AQ466" s="17" t="str">
        <f>IF(AH466=0,"",IF(INDEX(Valores!$B$10:$B$509,AH466)="","",IF(ISNUMBER(INDEX(Valores!$B$10:$B$509,AH466)),INDEX(Valores!$B$10:$B$509,AH466),"")))</f>
        <v/>
      </c>
      <c r="AR466" s="14" t="str">
        <f t="shared" si="68"/>
        <v/>
      </c>
      <c r="AS466" s="14" t="str">
        <f t="shared" si="69"/>
        <v/>
      </c>
      <c r="AT466" s="27"/>
      <c r="AU466" s="31"/>
      <c r="AV466" s="31"/>
      <c r="AW466" s="27"/>
      <c r="AX466" s="27"/>
      <c r="AY466" s="27"/>
      <c r="AZ466" s="27"/>
      <c r="BA466" s="30" t="str">
        <f t="shared" si="70"/>
        <v/>
      </c>
      <c r="BB466" s="30" t="str">
        <f t="shared" si="71"/>
        <v/>
      </c>
      <c r="BC466" s="30">
        <f>IF(X466=0,0,IF(COUNTIFS($X$10:X466,1,$BA$10:BA466,BA466)=1,1,0))</f>
        <v>0</v>
      </c>
      <c r="BD466" s="29"/>
    </row>
    <row r="467" spans="1:56" ht="42" customHeight="1">
      <c r="A467" s="41"/>
      <c r="B467" s="44"/>
      <c r="C467" s="44"/>
      <c r="D467" s="44"/>
      <c r="E467" s="44"/>
      <c r="F467" s="44"/>
      <c r="G467" s="44"/>
      <c r="H467" s="44"/>
      <c r="I467" s="44"/>
      <c r="J467" s="44"/>
      <c r="K467" s="44"/>
      <c r="L467" s="49"/>
      <c r="M467" s="48"/>
      <c r="N467" s="48"/>
      <c r="O467" s="48"/>
      <c r="P467" s="48"/>
      <c r="Q467" s="48"/>
      <c r="R467" s="48"/>
      <c r="S467" s="49"/>
      <c r="T467" s="48"/>
      <c r="U467" s="48"/>
      <c r="V467" s="14">
        <f t="shared" si="63"/>
        <v>0</v>
      </c>
      <c r="W467" s="14">
        <f t="shared" si="64"/>
        <v>0</v>
      </c>
      <c r="X467" s="14">
        <f>IF(AND(V467=1,OR(Painel!$C$6="Todos",D467=Painel!$C$6),AND(OR(Painel!$L$6="Todas",E467=Painel!$L$6),OR(Painel!$C$8="Todos",F467=Painel!$C$8),OR(Painel!$L$8="Todos",G467=Painel!$L$8),OR(Painel!$C$10="",ISNUMBER(SEARCH(SUBSTITUTE(SUBSTITUTE(SUBSTITUTE(Painel!$C$10,"~","~~"),"*","~*"),"?","~?"),A467&amp;" "&amp;H467&amp;" "&amp;I467))))),1,0)</f>
        <v>0</v>
      </c>
      <c r="Y467" s="14">
        <f t="shared" si="65"/>
        <v>0</v>
      </c>
      <c r="Z467" s="15" t="str">
        <f>IF(V467=0,"",IF(COUNTIFS(Andamentos!$K$10:$K$2009,"="&amp;SUBSTITUTE(SUBSTITUTE(SUBSTITUTE("P:"&amp;A467,"~","~~"),"*","~*"),"?","~?"),Andamentos!$G$10:$G$2009,1)=0,"",_xlfn.AGGREGATE(14,6,Andamentos!$D$10:$D$2009/((Andamentos!$K$10:$K$2009=AS467)*(Andamentos!$G$10:$G$2009=1)),1)))</f>
        <v/>
      </c>
      <c r="AA467" s="14">
        <f>IF(Z467="",0,COUNTIFS(Andamentos!$K$10:$K$2009,"="&amp;SUBSTITUTE(SUBSTITUTE(SUBSTITUTE("P:"&amp;A467,"~","~~"),"*","~*"),"?","~?"),Andamentos!$D$10:$D$2009,Z467,Andamentos!$G$10:$G$2009,1))</f>
        <v>0</v>
      </c>
      <c r="AB467" s="14">
        <f>IF(AA467=1,SUMIFS(Andamentos!$L$10:$L$2009,Andamentos!$K$10:$K$2009,"="&amp;SUBSTITUTE(SUBSTITUTE(SUBSTITUTE(AS467,"~","~~"),"*","~*"),"?","~?"),Andamentos!$D$10:$D$2009,Z467,Andamentos!$G$10:$G$2009,1)-9,0)</f>
        <v>0</v>
      </c>
      <c r="AC467" s="14" t="str">
        <f>IF(V467=0,"",IF(AA467&gt;1,"Conferir recebimentos empatados",IF(AB467=0,"Sem atualização",INDEX(Andamentos!$C$10:$C$2009,AB467))))</f>
        <v/>
      </c>
      <c r="AD467" s="14">
        <f>IF(W467=0,0,IF(MAX(Z467,BD467)=0,1,IF(Configurar!$J$12-INT(MAX(Z467,BD467))&gt;Configurar!$J$11,1,0)))</f>
        <v>0</v>
      </c>
      <c r="AE467" s="16"/>
      <c r="AF467" s="14"/>
      <c r="AG467" s="14"/>
      <c r="AH467" s="14">
        <f>IF(AND(V467=1,COUNTIFS(Valores!$S$10:$S$509,"="&amp;SUBSTITUTE(SUBSTITUTE(SUBSTITUTE("P:"&amp;A467,"~","~~"),"*","~*"),"?","~?"))=1),(IF(ISNA(MATCH(SUBSTITUTE(SUBSTITUTE(SUBSTITUTE("P:"&amp;A467,"~","~~"),"*","~*"),"?","~?"),Valores!$S$10:$S$509,0)),9,INDEX(Valores!$R$10:$R$509,MATCH(SUBSTITUTE(SUBSTITUTE(SUBSTITUTE("P:"&amp;A467,"~","~~"),"*","~*"),"?","~?"),Valores!$S$10:$S$509,0)))-9),0)</f>
        <v>0</v>
      </c>
      <c r="AI467" s="40" t="str">
        <f t="shared" si="66"/>
        <v/>
      </c>
      <c r="AJ467" s="14" t="str">
        <f>IF(AND(X467=1,Y467=1),COUNTIFS($X$10:X467,1,$Y$10:Y467,1),"")</f>
        <v/>
      </c>
      <c r="AK467" s="14" t="str">
        <f>IF(X467=1,COUNTIFS($X$10:X467,1),"")</f>
        <v/>
      </c>
      <c r="AL467" s="14">
        <f>IF(AND(V467=1,AND(OR(Painel!$L$6="Todas",E467=Painel!$L$6),OR(Painel!$C$8="Todos",F467=Painel!$C$8),OR(Painel!$L$8="Todos",G467=Painel!$L$8),OR(Painel!$C$10="",ISNUMBER(SEARCH(SUBSTITUTE(SUBSTITUTE(SUBSTITUTE(Painel!$C$10,"~","~~"),"*","~*"),"?","~?"),A467&amp;" "&amp;H467&amp;" "&amp;I467))))),1,0)</f>
        <v>0</v>
      </c>
      <c r="AM467" s="14">
        <f t="shared" si="67"/>
        <v>0</v>
      </c>
      <c r="AN467" s="14"/>
      <c r="AO467" s="14"/>
      <c r="AP467" s="16" t="str">
        <f>IF(AB467=0,"",IF(INDEX(Andamentos!$B$10:$B$2009,AB467)="","",INDEX(Andamentos!$B$10:$B$2009,AB467)))</f>
        <v/>
      </c>
      <c r="AQ467" s="17" t="str">
        <f>IF(AH467=0,"",IF(INDEX(Valores!$B$10:$B$509,AH467)="","",IF(ISNUMBER(INDEX(Valores!$B$10:$B$509,AH467)),INDEX(Valores!$B$10:$B$509,AH467),"")))</f>
        <v/>
      </c>
      <c r="AR467" s="14" t="str">
        <f t="shared" si="68"/>
        <v/>
      </c>
      <c r="AS467" s="14" t="str">
        <f t="shared" si="69"/>
        <v/>
      </c>
      <c r="AT467" s="27"/>
      <c r="AU467" s="31"/>
      <c r="AV467" s="31"/>
      <c r="AW467" s="27"/>
      <c r="AX467" s="27"/>
      <c r="AY467" s="27"/>
      <c r="AZ467" s="27"/>
      <c r="BA467" s="30" t="str">
        <f t="shared" si="70"/>
        <v/>
      </c>
      <c r="BB467" s="30" t="str">
        <f t="shared" si="71"/>
        <v/>
      </c>
      <c r="BC467" s="30">
        <f>IF(X467=0,0,IF(COUNTIFS($X$10:X467,1,$BA$10:BA467,BA467)=1,1,0))</f>
        <v>0</v>
      </c>
      <c r="BD467" s="29"/>
    </row>
    <row r="468" spans="1:56" ht="42" customHeight="1">
      <c r="A468" s="41"/>
      <c r="B468" s="44"/>
      <c r="C468" s="44"/>
      <c r="D468" s="44"/>
      <c r="E468" s="44"/>
      <c r="F468" s="44"/>
      <c r="G468" s="44"/>
      <c r="H468" s="44"/>
      <c r="I468" s="44"/>
      <c r="J468" s="44"/>
      <c r="K468" s="44"/>
      <c r="L468" s="49"/>
      <c r="M468" s="48"/>
      <c r="N468" s="48"/>
      <c r="O468" s="48"/>
      <c r="P468" s="48"/>
      <c r="Q468" s="48"/>
      <c r="R468" s="48"/>
      <c r="S468" s="49"/>
      <c r="T468" s="48"/>
      <c r="U468" s="48"/>
      <c r="V468" s="14">
        <f t="shared" si="63"/>
        <v>0</v>
      </c>
      <c r="W468" s="14">
        <f t="shared" si="64"/>
        <v>0</v>
      </c>
      <c r="X468" s="14">
        <f>IF(AND(V468=1,OR(Painel!$C$6="Todos",D468=Painel!$C$6),AND(OR(Painel!$L$6="Todas",E468=Painel!$L$6),OR(Painel!$C$8="Todos",F468=Painel!$C$8),OR(Painel!$L$8="Todos",G468=Painel!$L$8),OR(Painel!$C$10="",ISNUMBER(SEARCH(SUBSTITUTE(SUBSTITUTE(SUBSTITUTE(Painel!$C$10,"~","~~"),"*","~*"),"?","~?"),A468&amp;" "&amp;H468&amp;" "&amp;I468))))),1,0)</f>
        <v>0</v>
      </c>
      <c r="Y468" s="14">
        <f t="shared" si="65"/>
        <v>0</v>
      </c>
      <c r="Z468" s="15" t="str">
        <f>IF(V468=0,"",IF(COUNTIFS(Andamentos!$K$10:$K$2009,"="&amp;SUBSTITUTE(SUBSTITUTE(SUBSTITUTE("P:"&amp;A468,"~","~~"),"*","~*"),"?","~?"),Andamentos!$G$10:$G$2009,1)=0,"",_xlfn.AGGREGATE(14,6,Andamentos!$D$10:$D$2009/((Andamentos!$K$10:$K$2009=AS468)*(Andamentos!$G$10:$G$2009=1)),1)))</f>
        <v/>
      </c>
      <c r="AA468" s="14">
        <f>IF(Z468="",0,COUNTIFS(Andamentos!$K$10:$K$2009,"="&amp;SUBSTITUTE(SUBSTITUTE(SUBSTITUTE("P:"&amp;A468,"~","~~"),"*","~*"),"?","~?"),Andamentos!$D$10:$D$2009,Z468,Andamentos!$G$10:$G$2009,1))</f>
        <v>0</v>
      </c>
      <c r="AB468" s="14">
        <f>IF(AA468=1,SUMIFS(Andamentos!$L$10:$L$2009,Andamentos!$K$10:$K$2009,"="&amp;SUBSTITUTE(SUBSTITUTE(SUBSTITUTE(AS468,"~","~~"),"*","~*"),"?","~?"),Andamentos!$D$10:$D$2009,Z468,Andamentos!$G$10:$G$2009,1)-9,0)</f>
        <v>0</v>
      </c>
      <c r="AC468" s="14" t="str">
        <f>IF(V468=0,"",IF(AA468&gt;1,"Conferir recebimentos empatados",IF(AB468=0,"Sem atualização",INDEX(Andamentos!$C$10:$C$2009,AB468))))</f>
        <v/>
      </c>
      <c r="AD468" s="14">
        <f>IF(W468=0,0,IF(MAX(Z468,BD468)=0,1,IF(Configurar!$J$12-INT(MAX(Z468,BD468))&gt;Configurar!$J$11,1,0)))</f>
        <v>0</v>
      </c>
      <c r="AE468" s="16"/>
      <c r="AF468" s="14"/>
      <c r="AG468" s="14"/>
      <c r="AH468" s="14">
        <f>IF(AND(V468=1,COUNTIFS(Valores!$S$10:$S$509,"="&amp;SUBSTITUTE(SUBSTITUTE(SUBSTITUTE("P:"&amp;A468,"~","~~"),"*","~*"),"?","~?"))=1),(IF(ISNA(MATCH(SUBSTITUTE(SUBSTITUTE(SUBSTITUTE("P:"&amp;A468,"~","~~"),"*","~*"),"?","~?"),Valores!$S$10:$S$509,0)),9,INDEX(Valores!$R$10:$R$509,MATCH(SUBSTITUTE(SUBSTITUTE(SUBSTITUTE("P:"&amp;A468,"~","~~"),"*","~*"),"?","~?"),Valores!$S$10:$S$509,0)))-9),0)</f>
        <v>0</v>
      </c>
      <c r="AI468" s="40" t="str">
        <f t="shared" si="66"/>
        <v/>
      </c>
      <c r="AJ468" s="14" t="str">
        <f>IF(AND(X468=1,Y468=1),COUNTIFS($X$10:X468,1,$Y$10:Y468,1),"")</f>
        <v/>
      </c>
      <c r="AK468" s="14" t="str">
        <f>IF(X468=1,COUNTIFS($X$10:X468,1),"")</f>
        <v/>
      </c>
      <c r="AL468" s="14">
        <f>IF(AND(V468=1,AND(OR(Painel!$L$6="Todas",E468=Painel!$L$6),OR(Painel!$C$8="Todos",F468=Painel!$C$8),OR(Painel!$L$8="Todos",G468=Painel!$L$8),OR(Painel!$C$10="",ISNUMBER(SEARCH(SUBSTITUTE(SUBSTITUTE(SUBSTITUTE(Painel!$C$10,"~","~~"),"*","~*"),"?","~?"),A468&amp;" "&amp;H468&amp;" "&amp;I468))))),1,0)</f>
        <v>0</v>
      </c>
      <c r="AM468" s="14">
        <f t="shared" si="67"/>
        <v>0</v>
      </c>
      <c r="AN468" s="14"/>
      <c r="AO468" s="14"/>
      <c r="AP468" s="16" t="str">
        <f>IF(AB468=0,"",IF(INDEX(Andamentos!$B$10:$B$2009,AB468)="","",INDEX(Andamentos!$B$10:$B$2009,AB468)))</f>
        <v/>
      </c>
      <c r="AQ468" s="17" t="str">
        <f>IF(AH468=0,"",IF(INDEX(Valores!$B$10:$B$509,AH468)="","",IF(ISNUMBER(INDEX(Valores!$B$10:$B$509,AH468)),INDEX(Valores!$B$10:$B$509,AH468),"")))</f>
        <v/>
      </c>
      <c r="AR468" s="14" t="str">
        <f t="shared" si="68"/>
        <v/>
      </c>
      <c r="AS468" s="14" t="str">
        <f t="shared" si="69"/>
        <v/>
      </c>
      <c r="AT468" s="27"/>
      <c r="AU468" s="31"/>
      <c r="AV468" s="31"/>
      <c r="AW468" s="27"/>
      <c r="AX468" s="27"/>
      <c r="AY468" s="27"/>
      <c r="AZ468" s="27"/>
      <c r="BA468" s="30" t="str">
        <f t="shared" si="70"/>
        <v/>
      </c>
      <c r="BB468" s="30" t="str">
        <f t="shared" si="71"/>
        <v/>
      </c>
      <c r="BC468" s="30">
        <f>IF(X468=0,0,IF(COUNTIFS($X$10:X468,1,$BA$10:BA468,BA468)=1,1,0))</f>
        <v>0</v>
      </c>
      <c r="BD468" s="29"/>
    </row>
    <row r="469" spans="1:56" ht="42" customHeight="1">
      <c r="A469" s="41"/>
      <c r="B469" s="44"/>
      <c r="C469" s="44"/>
      <c r="D469" s="44"/>
      <c r="E469" s="44"/>
      <c r="F469" s="44"/>
      <c r="G469" s="44"/>
      <c r="H469" s="44"/>
      <c r="I469" s="44"/>
      <c r="J469" s="44"/>
      <c r="K469" s="44"/>
      <c r="L469" s="49"/>
      <c r="M469" s="48"/>
      <c r="N469" s="48"/>
      <c r="O469" s="48"/>
      <c r="P469" s="48"/>
      <c r="Q469" s="48"/>
      <c r="R469" s="48"/>
      <c r="S469" s="49"/>
      <c r="T469" s="48"/>
      <c r="U469" s="48"/>
      <c r="V469" s="14">
        <f t="shared" si="63"/>
        <v>0</v>
      </c>
      <c r="W469" s="14">
        <f t="shared" si="64"/>
        <v>0</v>
      </c>
      <c r="X469" s="14">
        <f>IF(AND(V469=1,OR(Painel!$C$6="Todos",D469=Painel!$C$6),AND(OR(Painel!$L$6="Todas",E469=Painel!$L$6),OR(Painel!$C$8="Todos",F469=Painel!$C$8),OR(Painel!$L$8="Todos",G469=Painel!$L$8),OR(Painel!$C$10="",ISNUMBER(SEARCH(SUBSTITUTE(SUBSTITUTE(SUBSTITUTE(Painel!$C$10,"~","~~"),"*","~*"),"?","~?"),A469&amp;" "&amp;H469&amp;" "&amp;I469))))),1,0)</f>
        <v>0</v>
      </c>
      <c r="Y469" s="14">
        <f t="shared" si="65"/>
        <v>0</v>
      </c>
      <c r="Z469" s="15" t="str">
        <f>IF(V469=0,"",IF(COUNTIFS(Andamentos!$K$10:$K$2009,"="&amp;SUBSTITUTE(SUBSTITUTE(SUBSTITUTE("P:"&amp;A469,"~","~~"),"*","~*"),"?","~?"),Andamentos!$G$10:$G$2009,1)=0,"",_xlfn.AGGREGATE(14,6,Andamentos!$D$10:$D$2009/((Andamentos!$K$10:$K$2009=AS469)*(Andamentos!$G$10:$G$2009=1)),1)))</f>
        <v/>
      </c>
      <c r="AA469" s="14">
        <f>IF(Z469="",0,COUNTIFS(Andamentos!$K$10:$K$2009,"="&amp;SUBSTITUTE(SUBSTITUTE(SUBSTITUTE("P:"&amp;A469,"~","~~"),"*","~*"),"?","~?"),Andamentos!$D$10:$D$2009,Z469,Andamentos!$G$10:$G$2009,1))</f>
        <v>0</v>
      </c>
      <c r="AB469" s="14">
        <f>IF(AA469=1,SUMIFS(Andamentos!$L$10:$L$2009,Andamentos!$K$10:$K$2009,"="&amp;SUBSTITUTE(SUBSTITUTE(SUBSTITUTE(AS469,"~","~~"),"*","~*"),"?","~?"),Andamentos!$D$10:$D$2009,Z469,Andamentos!$G$10:$G$2009,1)-9,0)</f>
        <v>0</v>
      </c>
      <c r="AC469" s="14" t="str">
        <f>IF(V469=0,"",IF(AA469&gt;1,"Conferir recebimentos empatados",IF(AB469=0,"Sem atualização",INDEX(Andamentos!$C$10:$C$2009,AB469))))</f>
        <v/>
      </c>
      <c r="AD469" s="14">
        <f>IF(W469=0,0,IF(MAX(Z469,BD469)=0,1,IF(Configurar!$J$12-INT(MAX(Z469,BD469))&gt;Configurar!$J$11,1,0)))</f>
        <v>0</v>
      </c>
      <c r="AE469" s="16"/>
      <c r="AF469" s="14"/>
      <c r="AG469" s="14"/>
      <c r="AH469" s="14">
        <f>IF(AND(V469=1,COUNTIFS(Valores!$S$10:$S$509,"="&amp;SUBSTITUTE(SUBSTITUTE(SUBSTITUTE("P:"&amp;A469,"~","~~"),"*","~*"),"?","~?"))=1),(IF(ISNA(MATCH(SUBSTITUTE(SUBSTITUTE(SUBSTITUTE("P:"&amp;A469,"~","~~"),"*","~*"),"?","~?"),Valores!$S$10:$S$509,0)),9,INDEX(Valores!$R$10:$R$509,MATCH(SUBSTITUTE(SUBSTITUTE(SUBSTITUTE("P:"&amp;A469,"~","~~"),"*","~*"),"?","~?"),Valores!$S$10:$S$509,0)))-9),0)</f>
        <v>0</v>
      </c>
      <c r="AI469" s="40" t="str">
        <f t="shared" si="66"/>
        <v/>
      </c>
      <c r="AJ469" s="14" t="str">
        <f>IF(AND(X469=1,Y469=1),COUNTIFS($X$10:X469,1,$Y$10:Y469,1),"")</f>
        <v/>
      </c>
      <c r="AK469" s="14" t="str">
        <f>IF(X469=1,COUNTIFS($X$10:X469,1),"")</f>
        <v/>
      </c>
      <c r="AL469" s="14">
        <f>IF(AND(V469=1,AND(OR(Painel!$L$6="Todas",E469=Painel!$L$6),OR(Painel!$C$8="Todos",F469=Painel!$C$8),OR(Painel!$L$8="Todos",G469=Painel!$L$8),OR(Painel!$C$10="",ISNUMBER(SEARCH(SUBSTITUTE(SUBSTITUTE(SUBSTITUTE(Painel!$C$10,"~","~~"),"*","~*"),"?","~?"),A469&amp;" "&amp;H469&amp;" "&amp;I469))))),1,0)</f>
        <v>0</v>
      </c>
      <c r="AM469" s="14">
        <f t="shared" si="67"/>
        <v>0</v>
      </c>
      <c r="AN469" s="14"/>
      <c r="AO469" s="14"/>
      <c r="AP469" s="16" t="str">
        <f>IF(AB469=0,"",IF(INDEX(Andamentos!$B$10:$B$2009,AB469)="","",INDEX(Andamentos!$B$10:$B$2009,AB469)))</f>
        <v/>
      </c>
      <c r="AQ469" s="17" t="str">
        <f>IF(AH469=0,"",IF(INDEX(Valores!$B$10:$B$509,AH469)="","",IF(ISNUMBER(INDEX(Valores!$B$10:$B$509,AH469)),INDEX(Valores!$B$10:$B$509,AH469),"")))</f>
        <v/>
      </c>
      <c r="AR469" s="14" t="str">
        <f t="shared" si="68"/>
        <v/>
      </c>
      <c r="AS469" s="14" t="str">
        <f t="shared" si="69"/>
        <v/>
      </c>
      <c r="AT469" s="27"/>
      <c r="AU469" s="31"/>
      <c r="AV469" s="31"/>
      <c r="AW469" s="27"/>
      <c r="AX469" s="27"/>
      <c r="AY469" s="27"/>
      <c r="AZ469" s="27"/>
      <c r="BA469" s="30" t="str">
        <f t="shared" si="70"/>
        <v/>
      </c>
      <c r="BB469" s="30" t="str">
        <f t="shared" si="71"/>
        <v/>
      </c>
      <c r="BC469" s="30">
        <f>IF(X469=0,0,IF(COUNTIFS($X$10:X469,1,$BA$10:BA469,BA469)=1,1,0))</f>
        <v>0</v>
      </c>
      <c r="BD469" s="29"/>
    </row>
    <row r="470" spans="1:56" ht="42" customHeight="1">
      <c r="A470" s="41"/>
      <c r="B470" s="44"/>
      <c r="C470" s="44"/>
      <c r="D470" s="44"/>
      <c r="E470" s="44"/>
      <c r="F470" s="44"/>
      <c r="G470" s="44"/>
      <c r="H470" s="44"/>
      <c r="I470" s="44"/>
      <c r="J470" s="44"/>
      <c r="K470" s="44"/>
      <c r="L470" s="49"/>
      <c r="M470" s="48"/>
      <c r="N470" s="48"/>
      <c r="O470" s="48"/>
      <c r="P470" s="48"/>
      <c r="Q470" s="48"/>
      <c r="R470" s="48"/>
      <c r="S470" s="49"/>
      <c r="T470" s="48"/>
      <c r="U470" s="48"/>
      <c r="V470" s="14">
        <f t="shared" si="63"/>
        <v>0</v>
      </c>
      <c r="W470" s="14">
        <f t="shared" si="64"/>
        <v>0</v>
      </c>
      <c r="X470" s="14">
        <f>IF(AND(V470=1,OR(Painel!$C$6="Todos",D470=Painel!$C$6),AND(OR(Painel!$L$6="Todas",E470=Painel!$L$6),OR(Painel!$C$8="Todos",F470=Painel!$C$8),OR(Painel!$L$8="Todos",G470=Painel!$L$8),OR(Painel!$C$10="",ISNUMBER(SEARCH(SUBSTITUTE(SUBSTITUTE(SUBSTITUTE(Painel!$C$10,"~","~~"),"*","~*"),"?","~?"),A470&amp;" "&amp;H470&amp;" "&amp;I470))))),1,0)</f>
        <v>0</v>
      </c>
      <c r="Y470" s="14">
        <f t="shared" si="65"/>
        <v>0</v>
      </c>
      <c r="Z470" s="15" t="str">
        <f>IF(V470=0,"",IF(COUNTIFS(Andamentos!$K$10:$K$2009,"="&amp;SUBSTITUTE(SUBSTITUTE(SUBSTITUTE("P:"&amp;A470,"~","~~"),"*","~*"),"?","~?"),Andamentos!$G$10:$G$2009,1)=0,"",_xlfn.AGGREGATE(14,6,Andamentos!$D$10:$D$2009/((Andamentos!$K$10:$K$2009=AS470)*(Andamentos!$G$10:$G$2009=1)),1)))</f>
        <v/>
      </c>
      <c r="AA470" s="14">
        <f>IF(Z470="",0,COUNTIFS(Andamentos!$K$10:$K$2009,"="&amp;SUBSTITUTE(SUBSTITUTE(SUBSTITUTE("P:"&amp;A470,"~","~~"),"*","~*"),"?","~?"),Andamentos!$D$10:$D$2009,Z470,Andamentos!$G$10:$G$2009,1))</f>
        <v>0</v>
      </c>
      <c r="AB470" s="14">
        <f>IF(AA470=1,SUMIFS(Andamentos!$L$10:$L$2009,Andamentos!$K$10:$K$2009,"="&amp;SUBSTITUTE(SUBSTITUTE(SUBSTITUTE(AS470,"~","~~"),"*","~*"),"?","~?"),Andamentos!$D$10:$D$2009,Z470,Andamentos!$G$10:$G$2009,1)-9,0)</f>
        <v>0</v>
      </c>
      <c r="AC470" s="14" t="str">
        <f>IF(V470=0,"",IF(AA470&gt;1,"Conferir recebimentos empatados",IF(AB470=0,"Sem atualização",INDEX(Andamentos!$C$10:$C$2009,AB470))))</f>
        <v/>
      </c>
      <c r="AD470" s="14">
        <f>IF(W470=0,0,IF(MAX(Z470,BD470)=0,1,IF(Configurar!$J$12-INT(MAX(Z470,BD470))&gt;Configurar!$J$11,1,0)))</f>
        <v>0</v>
      </c>
      <c r="AE470" s="16"/>
      <c r="AF470" s="14"/>
      <c r="AG470" s="14"/>
      <c r="AH470" s="14">
        <f>IF(AND(V470=1,COUNTIFS(Valores!$S$10:$S$509,"="&amp;SUBSTITUTE(SUBSTITUTE(SUBSTITUTE("P:"&amp;A470,"~","~~"),"*","~*"),"?","~?"))=1),(IF(ISNA(MATCH(SUBSTITUTE(SUBSTITUTE(SUBSTITUTE("P:"&amp;A470,"~","~~"),"*","~*"),"?","~?"),Valores!$S$10:$S$509,0)),9,INDEX(Valores!$R$10:$R$509,MATCH(SUBSTITUTE(SUBSTITUTE(SUBSTITUTE("P:"&amp;A470,"~","~~"),"*","~*"),"?","~?"),Valores!$S$10:$S$509,0)))-9),0)</f>
        <v>0</v>
      </c>
      <c r="AI470" s="40" t="str">
        <f t="shared" si="66"/>
        <v/>
      </c>
      <c r="AJ470" s="14" t="str">
        <f>IF(AND(X470=1,Y470=1),COUNTIFS($X$10:X470,1,$Y$10:Y470,1),"")</f>
        <v/>
      </c>
      <c r="AK470" s="14" t="str">
        <f>IF(X470=1,COUNTIFS($X$10:X470,1),"")</f>
        <v/>
      </c>
      <c r="AL470" s="14">
        <f>IF(AND(V470=1,AND(OR(Painel!$L$6="Todas",E470=Painel!$L$6),OR(Painel!$C$8="Todos",F470=Painel!$C$8),OR(Painel!$L$8="Todos",G470=Painel!$L$8),OR(Painel!$C$10="",ISNUMBER(SEARCH(SUBSTITUTE(SUBSTITUTE(SUBSTITUTE(Painel!$C$10,"~","~~"),"*","~*"),"?","~?"),A470&amp;" "&amp;H470&amp;" "&amp;I470))))),1,0)</f>
        <v>0</v>
      </c>
      <c r="AM470" s="14">
        <f t="shared" si="67"/>
        <v>0</v>
      </c>
      <c r="AN470" s="14"/>
      <c r="AO470" s="14"/>
      <c r="AP470" s="16" t="str">
        <f>IF(AB470=0,"",IF(INDEX(Andamentos!$B$10:$B$2009,AB470)="","",INDEX(Andamentos!$B$10:$B$2009,AB470)))</f>
        <v/>
      </c>
      <c r="AQ470" s="17" t="str">
        <f>IF(AH470=0,"",IF(INDEX(Valores!$B$10:$B$509,AH470)="","",IF(ISNUMBER(INDEX(Valores!$B$10:$B$509,AH470)),INDEX(Valores!$B$10:$B$509,AH470),"")))</f>
        <v/>
      </c>
      <c r="AR470" s="14" t="str">
        <f t="shared" si="68"/>
        <v/>
      </c>
      <c r="AS470" s="14" t="str">
        <f t="shared" si="69"/>
        <v/>
      </c>
      <c r="AT470" s="27"/>
      <c r="AU470" s="31"/>
      <c r="AV470" s="31"/>
      <c r="AW470" s="27"/>
      <c r="AX470" s="27"/>
      <c r="AY470" s="27"/>
      <c r="AZ470" s="27"/>
      <c r="BA470" s="30" t="str">
        <f t="shared" si="70"/>
        <v/>
      </c>
      <c r="BB470" s="30" t="str">
        <f t="shared" si="71"/>
        <v/>
      </c>
      <c r="BC470" s="30">
        <f>IF(X470=0,0,IF(COUNTIFS($X$10:X470,1,$BA$10:BA470,BA470)=1,1,0))</f>
        <v>0</v>
      </c>
      <c r="BD470" s="29"/>
    </row>
    <row r="471" spans="1:56" ht="42" customHeight="1">
      <c r="A471" s="41"/>
      <c r="B471" s="44"/>
      <c r="C471" s="44"/>
      <c r="D471" s="44"/>
      <c r="E471" s="44"/>
      <c r="F471" s="44"/>
      <c r="G471" s="44"/>
      <c r="H471" s="44"/>
      <c r="I471" s="44"/>
      <c r="J471" s="44"/>
      <c r="K471" s="44"/>
      <c r="L471" s="49"/>
      <c r="M471" s="48"/>
      <c r="N471" s="48"/>
      <c r="O471" s="48"/>
      <c r="P471" s="48"/>
      <c r="Q471" s="48"/>
      <c r="R471" s="48"/>
      <c r="S471" s="49"/>
      <c r="T471" s="48"/>
      <c r="U471" s="48"/>
      <c r="V471" s="14">
        <f t="shared" si="63"/>
        <v>0</v>
      </c>
      <c r="W471" s="14">
        <f t="shared" si="64"/>
        <v>0</v>
      </c>
      <c r="X471" s="14">
        <f>IF(AND(V471=1,OR(Painel!$C$6="Todos",D471=Painel!$C$6),AND(OR(Painel!$L$6="Todas",E471=Painel!$L$6),OR(Painel!$C$8="Todos",F471=Painel!$C$8),OR(Painel!$L$8="Todos",G471=Painel!$L$8),OR(Painel!$C$10="",ISNUMBER(SEARCH(SUBSTITUTE(SUBSTITUTE(SUBSTITUTE(Painel!$C$10,"~","~~"),"*","~*"),"?","~?"),A471&amp;" "&amp;H471&amp;" "&amp;I471))))),1,0)</f>
        <v>0</v>
      </c>
      <c r="Y471" s="14">
        <f t="shared" si="65"/>
        <v>0</v>
      </c>
      <c r="Z471" s="15" t="str">
        <f>IF(V471=0,"",IF(COUNTIFS(Andamentos!$K$10:$K$2009,"="&amp;SUBSTITUTE(SUBSTITUTE(SUBSTITUTE("P:"&amp;A471,"~","~~"),"*","~*"),"?","~?"),Andamentos!$G$10:$G$2009,1)=0,"",_xlfn.AGGREGATE(14,6,Andamentos!$D$10:$D$2009/((Andamentos!$K$10:$K$2009=AS471)*(Andamentos!$G$10:$G$2009=1)),1)))</f>
        <v/>
      </c>
      <c r="AA471" s="14">
        <f>IF(Z471="",0,COUNTIFS(Andamentos!$K$10:$K$2009,"="&amp;SUBSTITUTE(SUBSTITUTE(SUBSTITUTE("P:"&amp;A471,"~","~~"),"*","~*"),"?","~?"),Andamentos!$D$10:$D$2009,Z471,Andamentos!$G$10:$G$2009,1))</f>
        <v>0</v>
      </c>
      <c r="AB471" s="14">
        <f>IF(AA471=1,SUMIFS(Andamentos!$L$10:$L$2009,Andamentos!$K$10:$K$2009,"="&amp;SUBSTITUTE(SUBSTITUTE(SUBSTITUTE(AS471,"~","~~"),"*","~*"),"?","~?"),Andamentos!$D$10:$D$2009,Z471,Andamentos!$G$10:$G$2009,1)-9,0)</f>
        <v>0</v>
      </c>
      <c r="AC471" s="14" t="str">
        <f>IF(V471=0,"",IF(AA471&gt;1,"Conferir recebimentos empatados",IF(AB471=0,"Sem atualização",INDEX(Andamentos!$C$10:$C$2009,AB471))))</f>
        <v/>
      </c>
      <c r="AD471" s="14">
        <f>IF(W471=0,0,IF(MAX(Z471,BD471)=0,1,IF(Configurar!$J$12-INT(MAX(Z471,BD471))&gt;Configurar!$J$11,1,0)))</f>
        <v>0</v>
      </c>
      <c r="AE471" s="16"/>
      <c r="AF471" s="14"/>
      <c r="AG471" s="14"/>
      <c r="AH471" s="14">
        <f>IF(AND(V471=1,COUNTIFS(Valores!$S$10:$S$509,"="&amp;SUBSTITUTE(SUBSTITUTE(SUBSTITUTE("P:"&amp;A471,"~","~~"),"*","~*"),"?","~?"))=1),(IF(ISNA(MATCH(SUBSTITUTE(SUBSTITUTE(SUBSTITUTE("P:"&amp;A471,"~","~~"),"*","~*"),"?","~?"),Valores!$S$10:$S$509,0)),9,INDEX(Valores!$R$10:$R$509,MATCH(SUBSTITUTE(SUBSTITUTE(SUBSTITUTE("P:"&amp;A471,"~","~~"),"*","~*"),"?","~?"),Valores!$S$10:$S$509,0)))-9),0)</f>
        <v>0</v>
      </c>
      <c r="AI471" s="40" t="str">
        <f t="shared" si="66"/>
        <v/>
      </c>
      <c r="AJ471" s="14" t="str">
        <f>IF(AND(X471=1,Y471=1),COUNTIFS($X$10:X471,1,$Y$10:Y471,1),"")</f>
        <v/>
      </c>
      <c r="AK471" s="14" t="str">
        <f>IF(X471=1,COUNTIFS($X$10:X471,1),"")</f>
        <v/>
      </c>
      <c r="AL471" s="14">
        <f>IF(AND(V471=1,AND(OR(Painel!$L$6="Todas",E471=Painel!$L$6),OR(Painel!$C$8="Todos",F471=Painel!$C$8),OR(Painel!$L$8="Todos",G471=Painel!$L$8),OR(Painel!$C$10="",ISNUMBER(SEARCH(SUBSTITUTE(SUBSTITUTE(SUBSTITUTE(Painel!$C$10,"~","~~"),"*","~*"),"?","~?"),A471&amp;" "&amp;H471&amp;" "&amp;I471))))),1,0)</f>
        <v>0</v>
      </c>
      <c r="AM471" s="14">
        <f t="shared" si="67"/>
        <v>0</v>
      </c>
      <c r="AN471" s="14"/>
      <c r="AO471" s="14"/>
      <c r="AP471" s="16" t="str">
        <f>IF(AB471=0,"",IF(INDEX(Andamentos!$B$10:$B$2009,AB471)="","",INDEX(Andamentos!$B$10:$B$2009,AB471)))</f>
        <v/>
      </c>
      <c r="AQ471" s="17" t="str">
        <f>IF(AH471=0,"",IF(INDEX(Valores!$B$10:$B$509,AH471)="","",IF(ISNUMBER(INDEX(Valores!$B$10:$B$509,AH471)),INDEX(Valores!$B$10:$B$509,AH471),"")))</f>
        <v/>
      </c>
      <c r="AR471" s="14" t="str">
        <f t="shared" si="68"/>
        <v/>
      </c>
      <c r="AS471" s="14" t="str">
        <f t="shared" si="69"/>
        <v/>
      </c>
      <c r="AT471" s="27"/>
      <c r="AU471" s="31"/>
      <c r="AV471" s="31"/>
      <c r="AW471" s="27"/>
      <c r="AX471" s="27"/>
      <c r="AY471" s="27"/>
      <c r="AZ471" s="27"/>
      <c r="BA471" s="30" t="str">
        <f t="shared" si="70"/>
        <v/>
      </c>
      <c r="BB471" s="30" t="str">
        <f t="shared" si="71"/>
        <v/>
      </c>
      <c r="BC471" s="30">
        <f>IF(X471=0,0,IF(COUNTIFS($X$10:X471,1,$BA$10:BA471,BA471)=1,1,0))</f>
        <v>0</v>
      </c>
      <c r="BD471" s="29"/>
    </row>
    <row r="472" spans="1:56" ht="42" customHeight="1">
      <c r="A472" s="41"/>
      <c r="B472" s="44"/>
      <c r="C472" s="44"/>
      <c r="D472" s="44"/>
      <c r="E472" s="44"/>
      <c r="F472" s="44"/>
      <c r="G472" s="44"/>
      <c r="H472" s="44"/>
      <c r="I472" s="44"/>
      <c r="J472" s="44"/>
      <c r="K472" s="44"/>
      <c r="L472" s="49"/>
      <c r="M472" s="48"/>
      <c r="N472" s="48"/>
      <c r="O472" s="48"/>
      <c r="P472" s="48"/>
      <c r="Q472" s="48"/>
      <c r="R472" s="48"/>
      <c r="S472" s="49"/>
      <c r="T472" s="48"/>
      <c r="U472" s="48"/>
      <c r="V472" s="14">
        <f t="shared" si="63"/>
        <v>0</v>
      </c>
      <c r="W472" s="14">
        <f t="shared" si="64"/>
        <v>0</v>
      </c>
      <c r="X472" s="14">
        <f>IF(AND(V472=1,OR(Painel!$C$6="Todos",D472=Painel!$C$6),AND(OR(Painel!$L$6="Todas",E472=Painel!$L$6),OR(Painel!$C$8="Todos",F472=Painel!$C$8),OR(Painel!$L$8="Todos",G472=Painel!$L$8),OR(Painel!$C$10="",ISNUMBER(SEARCH(SUBSTITUTE(SUBSTITUTE(SUBSTITUTE(Painel!$C$10,"~","~~"),"*","~*"),"?","~?"),A472&amp;" "&amp;H472&amp;" "&amp;I472))))),1,0)</f>
        <v>0</v>
      </c>
      <c r="Y472" s="14">
        <f t="shared" si="65"/>
        <v>0</v>
      </c>
      <c r="Z472" s="15" t="str">
        <f>IF(V472=0,"",IF(COUNTIFS(Andamentos!$K$10:$K$2009,"="&amp;SUBSTITUTE(SUBSTITUTE(SUBSTITUTE("P:"&amp;A472,"~","~~"),"*","~*"),"?","~?"),Andamentos!$G$10:$G$2009,1)=0,"",_xlfn.AGGREGATE(14,6,Andamentos!$D$10:$D$2009/((Andamentos!$K$10:$K$2009=AS472)*(Andamentos!$G$10:$G$2009=1)),1)))</f>
        <v/>
      </c>
      <c r="AA472" s="14">
        <f>IF(Z472="",0,COUNTIFS(Andamentos!$K$10:$K$2009,"="&amp;SUBSTITUTE(SUBSTITUTE(SUBSTITUTE("P:"&amp;A472,"~","~~"),"*","~*"),"?","~?"),Andamentos!$D$10:$D$2009,Z472,Andamentos!$G$10:$G$2009,1))</f>
        <v>0</v>
      </c>
      <c r="AB472" s="14">
        <f>IF(AA472=1,SUMIFS(Andamentos!$L$10:$L$2009,Andamentos!$K$10:$K$2009,"="&amp;SUBSTITUTE(SUBSTITUTE(SUBSTITUTE(AS472,"~","~~"),"*","~*"),"?","~?"),Andamentos!$D$10:$D$2009,Z472,Andamentos!$G$10:$G$2009,1)-9,0)</f>
        <v>0</v>
      </c>
      <c r="AC472" s="14" t="str">
        <f>IF(V472=0,"",IF(AA472&gt;1,"Conferir recebimentos empatados",IF(AB472=0,"Sem atualização",INDEX(Andamentos!$C$10:$C$2009,AB472))))</f>
        <v/>
      </c>
      <c r="AD472" s="14">
        <f>IF(W472=0,0,IF(MAX(Z472,BD472)=0,1,IF(Configurar!$J$12-INT(MAX(Z472,BD472))&gt;Configurar!$J$11,1,0)))</f>
        <v>0</v>
      </c>
      <c r="AE472" s="16"/>
      <c r="AF472" s="14"/>
      <c r="AG472" s="14"/>
      <c r="AH472" s="14">
        <f>IF(AND(V472=1,COUNTIFS(Valores!$S$10:$S$509,"="&amp;SUBSTITUTE(SUBSTITUTE(SUBSTITUTE("P:"&amp;A472,"~","~~"),"*","~*"),"?","~?"))=1),(IF(ISNA(MATCH(SUBSTITUTE(SUBSTITUTE(SUBSTITUTE("P:"&amp;A472,"~","~~"),"*","~*"),"?","~?"),Valores!$S$10:$S$509,0)),9,INDEX(Valores!$R$10:$R$509,MATCH(SUBSTITUTE(SUBSTITUTE(SUBSTITUTE("P:"&amp;A472,"~","~~"),"*","~*"),"?","~?"),Valores!$S$10:$S$509,0)))-9),0)</f>
        <v>0</v>
      </c>
      <c r="AI472" s="40" t="str">
        <f t="shared" si="66"/>
        <v/>
      </c>
      <c r="AJ472" s="14" t="str">
        <f>IF(AND(X472=1,Y472=1),COUNTIFS($X$10:X472,1,$Y$10:Y472,1),"")</f>
        <v/>
      </c>
      <c r="AK472" s="14" t="str">
        <f>IF(X472=1,COUNTIFS($X$10:X472,1),"")</f>
        <v/>
      </c>
      <c r="AL472" s="14">
        <f>IF(AND(V472=1,AND(OR(Painel!$L$6="Todas",E472=Painel!$L$6),OR(Painel!$C$8="Todos",F472=Painel!$C$8),OR(Painel!$L$8="Todos",G472=Painel!$L$8),OR(Painel!$C$10="",ISNUMBER(SEARCH(SUBSTITUTE(SUBSTITUTE(SUBSTITUTE(Painel!$C$10,"~","~~"),"*","~*"),"?","~?"),A472&amp;" "&amp;H472&amp;" "&amp;I472))))),1,0)</f>
        <v>0</v>
      </c>
      <c r="AM472" s="14">
        <f t="shared" si="67"/>
        <v>0</v>
      </c>
      <c r="AN472" s="14"/>
      <c r="AO472" s="14"/>
      <c r="AP472" s="16" t="str">
        <f>IF(AB472=0,"",IF(INDEX(Andamentos!$B$10:$B$2009,AB472)="","",INDEX(Andamentos!$B$10:$B$2009,AB472)))</f>
        <v/>
      </c>
      <c r="AQ472" s="17" t="str">
        <f>IF(AH472=0,"",IF(INDEX(Valores!$B$10:$B$509,AH472)="","",IF(ISNUMBER(INDEX(Valores!$B$10:$B$509,AH472)),INDEX(Valores!$B$10:$B$509,AH472),"")))</f>
        <v/>
      </c>
      <c r="AR472" s="14" t="str">
        <f t="shared" si="68"/>
        <v/>
      </c>
      <c r="AS472" s="14" t="str">
        <f t="shared" si="69"/>
        <v/>
      </c>
      <c r="AT472" s="27"/>
      <c r="AU472" s="31"/>
      <c r="AV472" s="31"/>
      <c r="AW472" s="27"/>
      <c r="AX472" s="27"/>
      <c r="AY472" s="27"/>
      <c r="AZ472" s="27"/>
      <c r="BA472" s="30" t="str">
        <f t="shared" si="70"/>
        <v/>
      </c>
      <c r="BB472" s="30" t="str">
        <f t="shared" si="71"/>
        <v/>
      </c>
      <c r="BC472" s="30">
        <f>IF(X472=0,0,IF(COUNTIFS($X$10:X472,1,$BA$10:BA472,BA472)=1,1,0))</f>
        <v>0</v>
      </c>
      <c r="BD472" s="29"/>
    </row>
    <row r="473" spans="1:56" ht="42" customHeight="1">
      <c r="A473" s="41"/>
      <c r="B473" s="44"/>
      <c r="C473" s="44"/>
      <c r="D473" s="44"/>
      <c r="E473" s="44"/>
      <c r="F473" s="44"/>
      <c r="G473" s="44"/>
      <c r="H473" s="44"/>
      <c r="I473" s="44"/>
      <c r="J473" s="44"/>
      <c r="K473" s="44"/>
      <c r="L473" s="49"/>
      <c r="M473" s="48"/>
      <c r="N473" s="48"/>
      <c r="O473" s="48"/>
      <c r="P473" s="48"/>
      <c r="Q473" s="48"/>
      <c r="R473" s="48"/>
      <c r="S473" s="49"/>
      <c r="T473" s="48"/>
      <c r="U473" s="48"/>
      <c r="V473" s="14">
        <f t="shared" si="63"/>
        <v>0</v>
      </c>
      <c r="W473" s="14">
        <f t="shared" si="64"/>
        <v>0</v>
      </c>
      <c r="X473" s="14">
        <f>IF(AND(V473=1,OR(Painel!$C$6="Todos",D473=Painel!$C$6),AND(OR(Painel!$L$6="Todas",E473=Painel!$L$6),OR(Painel!$C$8="Todos",F473=Painel!$C$8),OR(Painel!$L$8="Todos",G473=Painel!$L$8),OR(Painel!$C$10="",ISNUMBER(SEARCH(SUBSTITUTE(SUBSTITUTE(SUBSTITUTE(Painel!$C$10,"~","~~"),"*","~*"),"?","~?"),A473&amp;" "&amp;H473&amp;" "&amp;I473))))),1,0)</f>
        <v>0</v>
      </c>
      <c r="Y473" s="14">
        <f t="shared" si="65"/>
        <v>0</v>
      </c>
      <c r="Z473" s="15" t="str">
        <f>IF(V473=0,"",IF(COUNTIFS(Andamentos!$K$10:$K$2009,"="&amp;SUBSTITUTE(SUBSTITUTE(SUBSTITUTE("P:"&amp;A473,"~","~~"),"*","~*"),"?","~?"),Andamentos!$G$10:$G$2009,1)=0,"",_xlfn.AGGREGATE(14,6,Andamentos!$D$10:$D$2009/((Andamentos!$K$10:$K$2009=AS473)*(Andamentos!$G$10:$G$2009=1)),1)))</f>
        <v/>
      </c>
      <c r="AA473" s="14">
        <f>IF(Z473="",0,COUNTIFS(Andamentos!$K$10:$K$2009,"="&amp;SUBSTITUTE(SUBSTITUTE(SUBSTITUTE("P:"&amp;A473,"~","~~"),"*","~*"),"?","~?"),Andamentos!$D$10:$D$2009,Z473,Andamentos!$G$10:$G$2009,1))</f>
        <v>0</v>
      </c>
      <c r="AB473" s="14">
        <f>IF(AA473=1,SUMIFS(Andamentos!$L$10:$L$2009,Andamentos!$K$10:$K$2009,"="&amp;SUBSTITUTE(SUBSTITUTE(SUBSTITUTE(AS473,"~","~~"),"*","~*"),"?","~?"),Andamentos!$D$10:$D$2009,Z473,Andamentos!$G$10:$G$2009,1)-9,0)</f>
        <v>0</v>
      </c>
      <c r="AC473" s="14" t="str">
        <f>IF(V473=0,"",IF(AA473&gt;1,"Conferir recebimentos empatados",IF(AB473=0,"Sem atualização",INDEX(Andamentos!$C$10:$C$2009,AB473))))</f>
        <v/>
      </c>
      <c r="AD473" s="14">
        <f>IF(W473=0,0,IF(MAX(Z473,BD473)=0,1,IF(Configurar!$J$12-INT(MAX(Z473,BD473))&gt;Configurar!$J$11,1,0)))</f>
        <v>0</v>
      </c>
      <c r="AE473" s="16"/>
      <c r="AF473" s="14"/>
      <c r="AG473" s="14"/>
      <c r="AH473" s="14">
        <f>IF(AND(V473=1,COUNTIFS(Valores!$S$10:$S$509,"="&amp;SUBSTITUTE(SUBSTITUTE(SUBSTITUTE("P:"&amp;A473,"~","~~"),"*","~*"),"?","~?"))=1),(IF(ISNA(MATCH(SUBSTITUTE(SUBSTITUTE(SUBSTITUTE("P:"&amp;A473,"~","~~"),"*","~*"),"?","~?"),Valores!$S$10:$S$509,0)),9,INDEX(Valores!$R$10:$R$509,MATCH(SUBSTITUTE(SUBSTITUTE(SUBSTITUTE("P:"&amp;A473,"~","~~"),"*","~*"),"?","~?"),Valores!$S$10:$S$509,0)))-9),0)</f>
        <v>0</v>
      </c>
      <c r="AI473" s="40" t="str">
        <f t="shared" si="66"/>
        <v/>
      </c>
      <c r="AJ473" s="14" t="str">
        <f>IF(AND(X473=1,Y473=1),COUNTIFS($X$10:X473,1,$Y$10:Y473,1),"")</f>
        <v/>
      </c>
      <c r="AK473" s="14" t="str">
        <f>IF(X473=1,COUNTIFS($X$10:X473,1),"")</f>
        <v/>
      </c>
      <c r="AL473" s="14">
        <f>IF(AND(V473=1,AND(OR(Painel!$L$6="Todas",E473=Painel!$L$6),OR(Painel!$C$8="Todos",F473=Painel!$C$8),OR(Painel!$L$8="Todos",G473=Painel!$L$8),OR(Painel!$C$10="",ISNUMBER(SEARCH(SUBSTITUTE(SUBSTITUTE(SUBSTITUTE(Painel!$C$10,"~","~~"),"*","~*"),"?","~?"),A473&amp;" "&amp;H473&amp;" "&amp;I473))))),1,0)</f>
        <v>0</v>
      </c>
      <c r="AM473" s="14">
        <f t="shared" si="67"/>
        <v>0</v>
      </c>
      <c r="AN473" s="14"/>
      <c r="AO473" s="14"/>
      <c r="AP473" s="16" t="str">
        <f>IF(AB473=0,"",IF(INDEX(Andamentos!$B$10:$B$2009,AB473)="","",INDEX(Andamentos!$B$10:$B$2009,AB473)))</f>
        <v/>
      </c>
      <c r="AQ473" s="17" t="str">
        <f>IF(AH473=0,"",IF(INDEX(Valores!$B$10:$B$509,AH473)="","",IF(ISNUMBER(INDEX(Valores!$B$10:$B$509,AH473)),INDEX(Valores!$B$10:$B$509,AH473),"")))</f>
        <v/>
      </c>
      <c r="AR473" s="14" t="str">
        <f t="shared" si="68"/>
        <v/>
      </c>
      <c r="AS473" s="14" t="str">
        <f t="shared" si="69"/>
        <v/>
      </c>
      <c r="AT473" s="27"/>
      <c r="AU473" s="31"/>
      <c r="AV473" s="31"/>
      <c r="AW473" s="27"/>
      <c r="AX473" s="27"/>
      <c r="AY473" s="27"/>
      <c r="AZ473" s="27"/>
      <c r="BA473" s="30" t="str">
        <f t="shared" si="70"/>
        <v/>
      </c>
      <c r="BB473" s="30" t="str">
        <f t="shared" si="71"/>
        <v/>
      </c>
      <c r="BC473" s="30">
        <f>IF(X473=0,0,IF(COUNTIFS($X$10:X473,1,$BA$10:BA473,BA473)=1,1,0))</f>
        <v>0</v>
      </c>
      <c r="BD473" s="29"/>
    </row>
    <row r="474" spans="1:56" ht="42" customHeight="1">
      <c r="A474" s="41"/>
      <c r="B474" s="44"/>
      <c r="C474" s="44"/>
      <c r="D474" s="44"/>
      <c r="E474" s="44"/>
      <c r="F474" s="44"/>
      <c r="G474" s="44"/>
      <c r="H474" s="44"/>
      <c r="I474" s="44"/>
      <c r="J474" s="44"/>
      <c r="K474" s="44"/>
      <c r="L474" s="49"/>
      <c r="M474" s="48"/>
      <c r="N474" s="48"/>
      <c r="O474" s="48"/>
      <c r="P474" s="48"/>
      <c r="Q474" s="48"/>
      <c r="R474" s="48"/>
      <c r="S474" s="49"/>
      <c r="T474" s="48"/>
      <c r="U474" s="48"/>
      <c r="V474" s="14">
        <f t="shared" si="63"/>
        <v>0</v>
      </c>
      <c r="W474" s="14">
        <f t="shared" si="64"/>
        <v>0</v>
      </c>
      <c r="X474" s="14">
        <f>IF(AND(V474=1,OR(Painel!$C$6="Todos",D474=Painel!$C$6),AND(OR(Painel!$L$6="Todas",E474=Painel!$L$6),OR(Painel!$C$8="Todos",F474=Painel!$C$8),OR(Painel!$L$8="Todos",G474=Painel!$L$8),OR(Painel!$C$10="",ISNUMBER(SEARCH(SUBSTITUTE(SUBSTITUTE(SUBSTITUTE(Painel!$C$10,"~","~~"),"*","~*"),"?","~?"),A474&amp;" "&amp;H474&amp;" "&amp;I474))))),1,0)</f>
        <v>0</v>
      </c>
      <c r="Y474" s="14">
        <f t="shared" si="65"/>
        <v>0</v>
      </c>
      <c r="Z474" s="15" t="str">
        <f>IF(V474=0,"",IF(COUNTIFS(Andamentos!$K$10:$K$2009,"="&amp;SUBSTITUTE(SUBSTITUTE(SUBSTITUTE("P:"&amp;A474,"~","~~"),"*","~*"),"?","~?"),Andamentos!$G$10:$G$2009,1)=0,"",_xlfn.AGGREGATE(14,6,Andamentos!$D$10:$D$2009/((Andamentos!$K$10:$K$2009=AS474)*(Andamentos!$G$10:$G$2009=1)),1)))</f>
        <v/>
      </c>
      <c r="AA474" s="14">
        <f>IF(Z474="",0,COUNTIFS(Andamentos!$K$10:$K$2009,"="&amp;SUBSTITUTE(SUBSTITUTE(SUBSTITUTE("P:"&amp;A474,"~","~~"),"*","~*"),"?","~?"),Andamentos!$D$10:$D$2009,Z474,Andamentos!$G$10:$G$2009,1))</f>
        <v>0</v>
      </c>
      <c r="AB474" s="14">
        <f>IF(AA474=1,SUMIFS(Andamentos!$L$10:$L$2009,Andamentos!$K$10:$K$2009,"="&amp;SUBSTITUTE(SUBSTITUTE(SUBSTITUTE(AS474,"~","~~"),"*","~*"),"?","~?"),Andamentos!$D$10:$D$2009,Z474,Andamentos!$G$10:$G$2009,1)-9,0)</f>
        <v>0</v>
      </c>
      <c r="AC474" s="14" t="str">
        <f>IF(V474=0,"",IF(AA474&gt;1,"Conferir recebimentos empatados",IF(AB474=0,"Sem atualização",INDEX(Andamentos!$C$10:$C$2009,AB474))))</f>
        <v/>
      </c>
      <c r="AD474" s="14">
        <f>IF(W474=0,0,IF(MAX(Z474,BD474)=0,1,IF(Configurar!$J$12-INT(MAX(Z474,BD474))&gt;Configurar!$J$11,1,0)))</f>
        <v>0</v>
      </c>
      <c r="AE474" s="16"/>
      <c r="AF474" s="14"/>
      <c r="AG474" s="14"/>
      <c r="AH474" s="14">
        <f>IF(AND(V474=1,COUNTIFS(Valores!$S$10:$S$509,"="&amp;SUBSTITUTE(SUBSTITUTE(SUBSTITUTE("P:"&amp;A474,"~","~~"),"*","~*"),"?","~?"))=1),(IF(ISNA(MATCH(SUBSTITUTE(SUBSTITUTE(SUBSTITUTE("P:"&amp;A474,"~","~~"),"*","~*"),"?","~?"),Valores!$S$10:$S$509,0)),9,INDEX(Valores!$R$10:$R$509,MATCH(SUBSTITUTE(SUBSTITUTE(SUBSTITUTE("P:"&amp;A474,"~","~~"),"*","~*"),"?","~?"),Valores!$S$10:$S$509,0)))-9),0)</f>
        <v>0</v>
      </c>
      <c r="AI474" s="40" t="str">
        <f t="shared" si="66"/>
        <v/>
      </c>
      <c r="AJ474" s="14" t="str">
        <f>IF(AND(X474=1,Y474=1),COUNTIFS($X$10:X474,1,$Y$10:Y474,1),"")</f>
        <v/>
      </c>
      <c r="AK474" s="14" t="str">
        <f>IF(X474=1,COUNTIFS($X$10:X474,1),"")</f>
        <v/>
      </c>
      <c r="AL474" s="14">
        <f>IF(AND(V474=1,AND(OR(Painel!$L$6="Todas",E474=Painel!$L$6),OR(Painel!$C$8="Todos",F474=Painel!$C$8),OR(Painel!$L$8="Todos",G474=Painel!$L$8),OR(Painel!$C$10="",ISNUMBER(SEARCH(SUBSTITUTE(SUBSTITUTE(SUBSTITUTE(Painel!$C$10,"~","~~"),"*","~*"),"?","~?"),A474&amp;" "&amp;H474&amp;" "&amp;I474))))),1,0)</f>
        <v>0</v>
      </c>
      <c r="AM474" s="14">
        <f t="shared" si="67"/>
        <v>0</v>
      </c>
      <c r="AN474" s="14"/>
      <c r="AO474" s="14"/>
      <c r="AP474" s="16" t="str">
        <f>IF(AB474=0,"",IF(INDEX(Andamentos!$B$10:$B$2009,AB474)="","",INDEX(Andamentos!$B$10:$B$2009,AB474)))</f>
        <v/>
      </c>
      <c r="AQ474" s="17" t="str">
        <f>IF(AH474=0,"",IF(INDEX(Valores!$B$10:$B$509,AH474)="","",IF(ISNUMBER(INDEX(Valores!$B$10:$B$509,AH474)),INDEX(Valores!$B$10:$B$509,AH474),"")))</f>
        <v/>
      </c>
      <c r="AR474" s="14" t="str">
        <f t="shared" si="68"/>
        <v/>
      </c>
      <c r="AS474" s="14" t="str">
        <f t="shared" si="69"/>
        <v/>
      </c>
      <c r="AT474" s="27"/>
      <c r="AU474" s="31"/>
      <c r="AV474" s="31"/>
      <c r="AW474" s="27"/>
      <c r="AX474" s="27"/>
      <c r="AY474" s="27"/>
      <c r="AZ474" s="27"/>
      <c r="BA474" s="30" t="str">
        <f t="shared" si="70"/>
        <v/>
      </c>
      <c r="BB474" s="30" t="str">
        <f t="shared" si="71"/>
        <v/>
      </c>
      <c r="BC474" s="30">
        <f>IF(X474=0,0,IF(COUNTIFS($X$10:X474,1,$BA$10:BA474,BA474)=1,1,0))</f>
        <v>0</v>
      </c>
      <c r="BD474" s="29"/>
    </row>
    <row r="475" spans="1:56" ht="42" customHeight="1">
      <c r="A475" s="41"/>
      <c r="B475" s="44"/>
      <c r="C475" s="44"/>
      <c r="D475" s="44"/>
      <c r="E475" s="44"/>
      <c r="F475" s="44"/>
      <c r="G475" s="44"/>
      <c r="H475" s="44"/>
      <c r="I475" s="44"/>
      <c r="J475" s="44"/>
      <c r="K475" s="44"/>
      <c r="L475" s="49"/>
      <c r="M475" s="48"/>
      <c r="N475" s="48"/>
      <c r="O475" s="48"/>
      <c r="P475" s="48"/>
      <c r="Q475" s="48"/>
      <c r="R475" s="48"/>
      <c r="S475" s="49"/>
      <c r="T475" s="48"/>
      <c r="U475" s="48"/>
      <c r="V475" s="14">
        <f t="shared" si="63"/>
        <v>0</v>
      </c>
      <c r="W475" s="14">
        <f t="shared" si="64"/>
        <v>0</v>
      </c>
      <c r="X475" s="14">
        <f>IF(AND(V475=1,OR(Painel!$C$6="Todos",D475=Painel!$C$6),AND(OR(Painel!$L$6="Todas",E475=Painel!$L$6),OR(Painel!$C$8="Todos",F475=Painel!$C$8),OR(Painel!$L$8="Todos",G475=Painel!$L$8),OR(Painel!$C$10="",ISNUMBER(SEARCH(SUBSTITUTE(SUBSTITUTE(SUBSTITUTE(Painel!$C$10,"~","~~"),"*","~*"),"?","~?"),A475&amp;" "&amp;H475&amp;" "&amp;I475))))),1,0)</f>
        <v>0</v>
      </c>
      <c r="Y475" s="14">
        <f t="shared" si="65"/>
        <v>0</v>
      </c>
      <c r="Z475" s="15" t="str">
        <f>IF(V475=0,"",IF(COUNTIFS(Andamentos!$K$10:$K$2009,"="&amp;SUBSTITUTE(SUBSTITUTE(SUBSTITUTE("P:"&amp;A475,"~","~~"),"*","~*"),"?","~?"),Andamentos!$G$10:$G$2009,1)=0,"",_xlfn.AGGREGATE(14,6,Andamentos!$D$10:$D$2009/((Andamentos!$K$10:$K$2009=AS475)*(Andamentos!$G$10:$G$2009=1)),1)))</f>
        <v/>
      </c>
      <c r="AA475" s="14">
        <f>IF(Z475="",0,COUNTIFS(Andamentos!$K$10:$K$2009,"="&amp;SUBSTITUTE(SUBSTITUTE(SUBSTITUTE("P:"&amp;A475,"~","~~"),"*","~*"),"?","~?"),Andamentos!$D$10:$D$2009,Z475,Andamentos!$G$10:$G$2009,1))</f>
        <v>0</v>
      </c>
      <c r="AB475" s="14">
        <f>IF(AA475=1,SUMIFS(Andamentos!$L$10:$L$2009,Andamentos!$K$10:$K$2009,"="&amp;SUBSTITUTE(SUBSTITUTE(SUBSTITUTE(AS475,"~","~~"),"*","~*"),"?","~?"),Andamentos!$D$10:$D$2009,Z475,Andamentos!$G$10:$G$2009,1)-9,0)</f>
        <v>0</v>
      </c>
      <c r="AC475" s="14" t="str">
        <f>IF(V475=0,"",IF(AA475&gt;1,"Conferir recebimentos empatados",IF(AB475=0,"Sem atualização",INDEX(Andamentos!$C$10:$C$2009,AB475))))</f>
        <v/>
      </c>
      <c r="AD475" s="14">
        <f>IF(W475=0,0,IF(MAX(Z475,BD475)=0,1,IF(Configurar!$J$12-INT(MAX(Z475,BD475))&gt;Configurar!$J$11,1,0)))</f>
        <v>0</v>
      </c>
      <c r="AE475" s="16"/>
      <c r="AF475" s="14"/>
      <c r="AG475" s="14"/>
      <c r="AH475" s="14">
        <f>IF(AND(V475=1,COUNTIFS(Valores!$S$10:$S$509,"="&amp;SUBSTITUTE(SUBSTITUTE(SUBSTITUTE("P:"&amp;A475,"~","~~"),"*","~*"),"?","~?"))=1),(IF(ISNA(MATCH(SUBSTITUTE(SUBSTITUTE(SUBSTITUTE("P:"&amp;A475,"~","~~"),"*","~*"),"?","~?"),Valores!$S$10:$S$509,0)),9,INDEX(Valores!$R$10:$R$509,MATCH(SUBSTITUTE(SUBSTITUTE(SUBSTITUTE("P:"&amp;A475,"~","~~"),"*","~*"),"?","~?"),Valores!$S$10:$S$509,0)))-9),0)</f>
        <v>0</v>
      </c>
      <c r="AI475" s="40" t="str">
        <f t="shared" si="66"/>
        <v/>
      </c>
      <c r="AJ475" s="14" t="str">
        <f>IF(AND(X475=1,Y475=1),COUNTIFS($X$10:X475,1,$Y$10:Y475,1),"")</f>
        <v/>
      </c>
      <c r="AK475" s="14" t="str">
        <f>IF(X475=1,COUNTIFS($X$10:X475,1),"")</f>
        <v/>
      </c>
      <c r="AL475" s="14">
        <f>IF(AND(V475=1,AND(OR(Painel!$L$6="Todas",E475=Painel!$L$6),OR(Painel!$C$8="Todos",F475=Painel!$C$8),OR(Painel!$L$8="Todos",G475=Painel!$L$8),OR(Painel!$C$10="",ISNUMBER(SEARCH(SUBSTITUTE(SUBSTITUTE(SUBSTITUTE(Painel!$C$10,"~","~~"),"*","~*"),"?","~?"),A475&amp;" "&amp;H475&amp;" "&amp;I475))))),1,0)</f>
        <v>0</v>
      </c>
      <c r="AM475" s="14">
        <f t="shared" si="67"/>
        <v>0</v>
      </c>
      <c r="AN475" s="14"/>
      <c r="AO475" s="14"/>
      <c r="AP475" s="16" t="str">
        <f>IF(AB475=0,"",IF(INDEX(Andamentos!$B$10:$B$2009,AB475)="","",INDEX(Andamentos!$B$10:$B$2009,AB475)))</f>
        <v/>
      </c>
      <c r="AQ475" s="17" t="str">
        <f>IF(AH475=0,"",IF(INDEX(Valores!$B$10:$B$509,AH475)="","",IF(ISNUMBER(INDEX(Valores!$B$10:$B$509,AH475)),INDEX(Valores!$B$10:$B$509,AH475),"")))</f>
        <v/>
      </c>
      <c r="AR475" s="14" t="str">
        <f t="shared" si="68"/>
        <v/>
      </c>
      <c r="AS475" s="14" t="str">
        <f t="shared" si="69"/>
        <v/>
      </c>
      <c r="AT475" s="27"/>
      <c r="AU475" s="31"/>
      <c r="AV475" s="31"/>
      <c r="AW475" s="27"/>
      <c r="AX475" s="27"/>
      <c r="AY475" s="27"/>
      <c r="AZ475" s="27"/>
      <c r="BA475" s="30" t="str">
        <f t="shared" si="70"/>
        <v/>
      </c>
      <c r="BB475" s="30" t="str">
        <f t="shared" si="71"/>
        <v/>
      </c>
      <c r="BC475" s="30">
        <f>IF(X475=0,0,IF(COUNTIFS($X$10:X475,1,$BA$10:BA475,BA475)=1,1,0))</f>
        <v>0</v>
      </c>
      <c r="BD475" s="29"/>
    </row>
    <row r="476" spans="1:56" ht="42" customHeight="1">
      <c r="A476" s="41"/>
      <c r="B476" s="44"/>
      <c r="C476" s="44"/>
      <c r="D476" s="44"/>
      <c r="E476" s="44"/>
      <c r="F476" s="44"/>
      <c r="G476" s="44"/>
      <c r="H476" s="44"/>
      <c r="I476" s="44"/>
      <c r="J476" s="44"/>
      <c r="K476" s="44"/>
      <c r="L476" s="49"/>
      <c r="M476" s="48"/>
      <c r="N476" s="48"/>
      <c r="O476" s="48"/>
      <c r="P476" s="48"/>
      <c r="Q476" s="48"/>
      <c r="R476" s="48"/>
      <c r="S476" s="49"/>
      <c r="T476" s="48"/>
      <c r="U476" s="48"/>
      <c r="V476" s="14">
        <f t="shared" si="63"/>
        <v>0</v>
      </c>
      <c r="W476" s="14">
        <f t="shared" si="64"/>
        <v>0</v>
      </c>
      <c r="X476" s="14">
        <f>IF(AND(V476=1,OR(Painel!$C$6="Todos",D476=Painel!$C$6),AND(OR(Painel!$L$6="Todas",E476=Painel!$L$6),OR(Painel!$C$8="Todos",F476=Painel!$C$8),OR(Painel!$L$8="Todos",G476=Painel!$L$8),OR(Painel!$C$10="",ISNUMBER(SEARCH(SUBSTITUTE(SUBSTITUTE(SUBSTITUTE(Painel!$C$10,"~","~~"),"*","~*"),"?","~?"),A476&amp;" "&amp;H476&amp;" "&amp;I476))))),1,0)</f>
        <v>0</v>
      </c>
      <c r="Y476" s="14">
        <f t="shared" si="65"/>
        <v>0</v>
      </c>
      <c r="Z476" s="15" t="str">
        <f>IF(V476=0,"",IF(COUNTIFS(Andamentos!$K$10:$K$2009,"="&amp;SUBSTITUTE(SUBSTITUTE(SUBSTITUTE("P:"&amp;A476,"~","~~"),"*","~*"),"?","~?"),Andamentos!$G$10:$G$2009,1)=0,"",_xlfn.AGGREGATE(14,6,Andamentos!$D$10:$D$2009/((Andamentos!$K$10:$K$2009=AS476)*(Andamentos!$G$10:$G$2009=1)),1)))</f>
        <v/>
      </c>
      <c r="AA476" s="14">
        <f>IF(Z476="",0,COUNTIFS(Andamentos!$K$10:$K$2009,"="&amp;SUBSTITUTE(SUBSTITUTE(SUBSTITUTE("P:"&amp;A476,"~","~~"),"*","~*"),"?","~?"),Andamentos!$D$10:$D$2009,Z476,Andamentos!$G$10:$G$2009,1))</f>
        <v>0</v>
      </c>
      <c r="AB476" s="14">
        <f>IF(AA476=1,SUMIFS(Andamentos!$L$10:$L$2009,Andamentos!$K$10:$K$2009,"="&amp;SUBSTITUTE(SUBSTITUTE(SUBSTITUTE(AS476,"~","~~"),"*","~*"),"?","~?"),Andamentos!$D$10:$D$2009,Z476,Andamentos!$G$10:$G$2009,1)-9,0)</f>
        <v>0</v>
      </c>
      <c r="AC476" s="14" t="str">
        <f>IF(V476=0,"",IF(AA476&gt;1,"Conferir recebimentos empatados",IF(AB476=0,"Sem atualização",INDEX(Andamentos!$C$10:$C$2009,AB476))))</f>
        <v/>
      </c>
      <c r="AD476" s="14">
        <f>IF(W476=0,0,IF(MAX(Z476,BD476)=0,1,IF(Configurar!$J$12-INT(MAX(Z476,BD476))&gt;Configurar!$J$11,1,0)))</f>
        <v>0</v>
      </c>
      <c r="AE476" s="16"/>
      <c r="AF476" s="14"/>
      <c r="AG476" s="14"/>
      <c r="AH476" s="14">
        <f>IF(AND(V476=1,COUNTIFS(Valores!$S$10:$S$509,"="&amp;SUBSTITUTE(SUBSTITUTE(SUBSTITUTE("P:"&amp;A476,"~","~~"),"*","~*"),"?","~?"))=1),(IF(ISNA(MATCH(SUBSTITUTE(SUBSTITUTE(SUBSTITUTE("P:"&amp;A476,"~","~~"),"*","~*"),"?","~?"),Valores!$S$10:$S$509,0)),9,INDEX(Valores!$R$10:$R$509,MATCH(SUBSTITUTE(SUBSTITUTE(SUBSTITUTE("P:"&amp;A476,"~","~~"),"*","~*"),"?","~?"),Valores!$S$10:$S$509,0)))-9),0)</f>
        <v>0</v>
      </c>
      <c r="AI476" s="40" t="str">
        <f t="shared" si="66"/>
        <v/>
      </c>
      <c r="AJ476" s="14" t="str">
        <f>IF(AND(X476=1,Y476=1),COUNTIFS($X$10:X476,1,$Y$10:Y476,1),"")</f>
        <v/>
      </c>
      <c r="AK476" s="14" t="str">
        <f>IF(X476=1,COUNTIFS($X$10:X476,1),"")</f>
        <v/>
      </c>
      <c r="AL476" s="14">
        <f>IF(AND(V476=1,AND(OR(Painel!$L$6="Todas",E476=Painel!$L$6),OR(Painel!$C$8="Todos",F476=Painel!$C$8),OR(Painel!$L$8="Todos",G476=Painel!$L$8),OR(Painel!$C$10="",ISNUMBER(SEARCH(SUBSTITUTE(SUBSTITUTE(SUBSTITUTE(Painel!$C$10,"~","~~"),"*","~*"),"?","~?"),A476&amp;" "&amp;H476&amp;" "&amp;I476))))),1,0)</f>
        <v>0</v>
      </c>
      <c r="AM476" s="14">
        <f t="shared" si="67"/>
        <v>0</v>
      </c>
      <c r="AN476" s="14"/>
      <c r="AO476" s="14"/>
      <c r="AP476" s="16" t="str">
        <f>IF(AB476=0,"",IF(INDEX(Andamentos!$B$10:$B$2009,AB476)="","",INDEX(Andamentos!$B$10:$B$2009,AB476)))</f>
        <v/>
      </c>
      <c r="AQ476" s="17" t="str">
        <f>IF(AH476=0,"",IF(INDEX(Valores!$B$10:$B$509,AH476)="","",IF(ISNUMBER(INDEX(Valores!$B$10:$B$509,AH476)),INDEX(Valores!$B$10:$B$509,AH476),"")))</f>
        <v/>
      </c>
      <c r="AR476" s="14" t="str">
        <f t="shared" si="68"/>
        <v/>
      </c>
      <c r="AS476" s="14" t="str">
        <f t="shared" si="69"/>
        <v/>
      </c>
      <c r="AT476" s="27"/>
      <c r="AU476" s="31"/>
      <c r="AV476" s="31"/>
      <c r="AW476" s="27"/>
      <c r="AX476" s="27"/>
      <c r="AY476" s="27"/>
      <c r="AZ476" s="27"/>
      <c r="BA476" s="30" t="str">
        <f t="shared" si="70"/>
        <v/>
      </c>
      <c r="BB476" s="30" t="str">
        <f t="shared" si="71"/>
        <v/>
      </c>
      <c r="BC476" s="30">
        <f>IF(X476=0,0,IF(COUNTIFS($X$10:X476,1,$BA$10:BA476,BA476)=1,1,0))</f>
        <v>0</v>
      </c>
      <c r="BD476" s="29"/>
    </row>
    <row r="477" spans="1:56" ht="42" customHeight="1">
      <c r="A477" s="41"/>
      <c r="B477" s="44"/>
      <c r="C477" s="44"/>
      <c r="D477" s="44"/>
      <c r="E477" s="44"/>
      <c r="F477" s="44"/>
      <c r="G477" s="44"/>
      <c r="H477" s="44"/>
      <c r="I477" s="44"/>
      <c r="J477" s="44"/>
      <c r="K477" s="44"/>
      <c r="L477" s="49"/>
      <c r="M477" s="48"/>
      <c r="N477" s="48"/>
      <c r="O477" s="48"/>
      <c r="P477" s="48"/>
      <c r="Q477" s="48"/>
      <c r="R477" s="48"/>
      <c r="S477" s="49"/>
      <c r="T477" s="48"/>
      <c r="U477" s="48"/>
      <c r="V477" s="14">
        <f t="shared" si="63"/>
        <v>0</v>
      </c>
      <c r="W477" s="14">
        <f t="shared" si="64"/>
        <v>0</v>
      </c>
      <c r="X477" s="14">
        <f>IF(AND(V477=1,OR(Painel!$C$6="Todos",D477=Painel!$C$6),AND(OR(Painel!$L$6="Todas",E477=Painel!$L$6),OR(Painel!$C$8="Todos",F477=Painel!$C$8),OR(Painel!$L$8="Todos",G477=Painel!$L$8),OR(Painel!$C$10="",ISNUMBER(SEARCH(SUBSTITUTE(SUBSTITUTE(SUBSTITUTE(Painel!$C$10,"~","~~"),"*","~*"),"?","~?"),A477&amp;" "&amp;H477&amp;" "&amp;I477))))),1,0)</f>
        <v>0</v>
      </c>
      <c r="Y477" s="14">
        <f t="shared" si="65"/>
        <v>0</v>
      </c>
      <c r="Z477" s="15" t="str">
        <f>IF(V477=0,"",IF(COUNTIFS(Andamentos!$K$10:$K$2009,"="&amp;SUBSTITUTE(SUBSTITUTE(SUBSTITUTE("P:"&amp;A477,"~","~~"),"*","~*"),"?","~?"),Andamentos!$G$10:$G$2009,1)=0,"",_xlfn.AGGREGATE(14,6,Andamentos!$D$10:$D$2009/((Andamentos!$K$10:$K$2009=AS477)*(Andamentos!$G$10:$G$2009=1)),1)))</f>
        <v/>
      </c>
      <c r="AA477" s="14">
        <f>IF(Z477="",0,COUNTIFS(Andamentos!$K$10:$K$2009,"="&amp;SUBSTITUTE(SUBSTITUTE(SUBSTITUTE("P:"&amp;A477,"~","~~"),"*","~*"),"?","~?"),Andamentos!$D$10:$D$2009,Z477,Andamentos!$G$10:$G$2009,1))</f>
        <v>0</v>
      </c>
      <c r="AB477" s="14">
        <f>IF(AA477=1,SUMIFS(Andamentos!$L$10:$L$2009,Andamentos!$K$10:$K$2009,"="&amp;SUBSTITUTE(SUBSTITUTE(SUBSTITUTE(AS477,"~","~~"),"*","~*"),"?","~?"),Andamentos!$D$10:$D$2009,Z477,Andamentos!$G$10:$G$2009,1)-9,0)</f>
        <v>0</v>
      </c>
      <c r="AC477" s="14" t="str">
        <f>IF(V477=0,"",IF(AA477&gt;1,"Conferir recebimentos empatados",IF(AB477=0,"Sem atualização",INDEX(Andamentos!$C$10:$C$2009,AB477))))</f>
        <v/>
      </c>
      <c r="AD477" s="14">
        <f>IF(W477=0,0,IF(MAX(Z477,BD477)=0,1,IF(Configurar!$J$12-INT(MAX(Z477,BD477))&gt;Configurar!$J$11,1,0)))</f>
        <v>0</v>
      </c>
      <c r="AE477" s="16"/>
      <c r="AF477" s="14"/>
      <c r="AG477" s="14"/>
      <c r="AH477" s="14">
        <f>IF(AND(V477=1,COUNTIFS(Valores!$S$10:$S$509,"="&amp;SUBSTITUTE(SUBSTITUTE(SUBSTITUTE("P:"&amp;A477,"~","~~"),"*","~*"),"?","~?"))=1),(IF(ISNA(MATCH(SUBSTITUTE(SUBSTITUTE(SUBSTITUTE("P:"&amp;A477,"~","~~"),"*","~*"),"?","~?"),Valores!$S$10:$S$509,0)),9,INDEX(Valores!$R$10:$R$509,MATCH(SUBSTITUTE(SUBSTITUTE(SUBSTITUTE("P:"&amp;A477,"~","~~"),"*","~*"),"?","~?"),Valores!$S$10:$S$509,0)))-9),0)</f>
        <v>0</v>
      </c>
      <c r="AI477" s="40" t="str">
        <f t="shared" si="66"/>
        <v/>
      </c>
      <c r="AJ477" s="14" t="str">
        <f>IF(AND(X477=1,Y477=1),COUNTIFS($X$10:X477,1,$Y$10:Y477,1),"")</f>
        <v/>
      </c>
      <c r="AK477" s="14" t="str">
        <f>IF(X477=1,COUNTIFS($X$10:X477,1),"")</f>
        <v/>
      </c>
      <c r="AL477" s="14">
        <f>IF(AND(V477=1,AND(OR(Painel!$L$6="Todas",E477=Painel!$L$6),OR(Painel!$C$8="Todos",F477=Painel!$C$8),OR(Painel!$L$8="Todos",G477=Painel!$L$8),OR(Painel!$C$10="",ISNUMBER(SEARCH(SUBSTITUTE(SUBSTITUTE(SUBSTITUTE(Painel!$C$10,"~","~~"),"*","~*"),"?","~?"),A477&amp;" "&amp;H477&amp;" "&amp;I477))))),1,0)</f>
        <v>0</v>
      </c>
      <c r="AM477" s="14">
        <f t="shared" si="67"/>
        <v>0</v>
      </c>
      <c r="AN477" s="14"/>
      <c r="AO477" s="14"/>
      <c r="AP477" s="16" t="str">
        <f>IF(AB477=0,"",IF(INDEX(Andamentos!$B$10:$B$2009,AB477)="","",INDEX(Andamentos!$B$10:$B$2009,AB477)))</f>
        <v/>
      </c>
      <c r="AQ477" s="17" t="str">
        <f>IF(AH477=0,"",IF(INDEX(Valores!$B$10:$B$509,AH477)="","",IF(ISNUMBER(INDEX(Valores!$B$10:$B$509,AH477)),INDEX(Valores!$B$10:$B$509,AH477),"")))</f>
        <v/>
      </c>
      <c r="AR477" s="14" t="str">
        <f t="shared" si="68"/>
        <v/>
      </c>
      <c r="AS477" s="14" t="str">
        <f t="shared" si="69"/>
        <v/>
      </c>
      <c r="AT477" s="27"/>
      <c r="AU477" s="31"/>
      <c r="AV477" s="31"/>
      <c r="AW477" s="27"/>
      <c r="AX477" s="27"/>
      <c r="AY477" s="27"/>
      <c r="AZ477" s="27"/>
      <c r="BA477" s="30" t="str">
        <f t="shared" si="70"/>
        <v/>
      </c>
      <c r="BB477" s="30" t="str">
        <f t="shared" si="71"/>
        <v/>
      </c>
      <c r="BC477" s="30">
        <f>IF(X477=0,0,IF(COUNTIFS($X$10:X477,1,$BA$10:BA477,BA477)=1,1,0))</f>
        <v>0</v>
      </c>
      <c r="BD477" s="29"/>
    </row>
    <row r="478" spans="1:56" ht="42" customHeight="1">
      <c r="A478" s="41"/>
      <c r="B478" s="44"/>
      <c r="C478" s="44"/>
      <c r="D478" s="44"/>
      <c r="E478" s="44"/>
      <c r="F478" s="44"/>
      <c r="G478" s="44"/>
      <c r="H478" s="44"/>
      <c r="I478" s="44"/>
      <c r="J478" s="44"/>
      <c r="K478" s="44"/>
      <c r="L478" s="49"/>
      <c r="M478" s="48"/>
      <c r="N478" s="48"/>
      <c r="O478" s="48"/>
      <c r="P478" s="48"/>
      <c r="Q478" s="48"/>
      <c r="R478" s="48"/>
      <c r="S478" s="49"/>
      <c r="T478" s="48"/>
      <c r="U478" s="48"/>
      <c r="V478" s="14">
        <f t="shared" si="63"/>
        <v>0</v>
      </c>
      <c r="W478" s="14">
        <f t="shared" si="64"/>
        <v>0</v>
      </c>
      <c r="X478" s="14">
        <f>IF(AND(V478=1,OR(Painel!$C$6="Todos",D478=Painel!$C$6),AND(OR(Painel!$L$6="Todas",E478=Painel!$L$6),OR(Painel!$C$8="Todos",F478=Painel!$C$8),OR(Painel!$L$8="Todos",G478=Painel!$L$8),OR(Painel!$C$10="",ISNUMBER(SEARCH(SUBSTITUTE(SUBSTITUTE(SUBSTITUTE(Painel!$C$10,"~","~~"),"*","~*"),"?","~?"),A478&amp;" "&amp;H478&amp;" "&amp;I478))))),1,0)</f>
        <v>0</v>
      </c>
      <c r="Y478" s="14">
        <f t="shared" si="65"/>
        <v>0</v>
      </c>
      <c r="Z478" s="15" t="str">
        <f>IF(V478=0,"",IF(COUNTIFS(Andamentos!$K$10:$K$2009,"="&amp;SUBSTITUTE(SUBSTITUTE(SUBSTITUTE("P:"&amp;A478,"~","~~"),"*","~*"),"?","~?"),Andamentos!$G$10:$G$2009,1)=0,"",_xlfn.AGGREGATE(14,6,Andamentos!$D$10:$D$2009/((Andamentos!$K$10:$K$2009=AS478)*(Andamentos!$G$10:$G$2009=1)),1)))</f>
        <v/>
      </c>
      <c r="AA478" s="14">
        <f>IF(Z478="",0,COUNTIFS(Andamentos!$K$10:$K$2009,"="&amp;SUBSTITUTE(SUBSTITUTE(SUBSTITUTE("P:"&amp;A478,"~","~~"),"*","~*"),"?","~?"),Andamentos!$D$10:$D$2009,Z478,Andamentos!$G$10:$G$2009,1))</f>
        <v>0</v>
      </c>
      <c r="AB478" s="14">
        <f>IF(AA478=1,SUMIFS(Andamentos!$L$10:$L$2009,Andamentos!$K$10:$K$2009,"="&amp;SUBSTITUTE(SUBSTITUTE(SUBSTITUTE(AS478,"~","~~"),"*","~*"),"?","~?"),Andamentos!$D$10:$D$2009,Z478,Andamentos!$G$10:$G$2009,1)-9,0)</f>
        <v>0</v>
      </c>
      <c r="AC478" s="14" t="str">
        <f>IF(V478=0,"",IF(AA478&gt;1,"Conferir recebimentos empatados",IF(AB478=0,"Sem atualização",INDEX(Andamentos!$C$10:$C$2009,AB478))))</f>
        <v/>
      </c>
      <c r="AD478" s="14">
        <f>IF(W478=0,0,IF(MAX(Z478,BD478)=0,1,IF(Configurar!$J$12-INT(MAX(Z478,BD478))&gt;Configurar!$J$11,1,0)))</f>
        <v>0</v>
      </c>
      <c r="AE478" s="16"/>
      <c r="AF478" s="14"/>
      <c r="AG478" s="14"/>
      <c r="AH478" s="14">
        <f>IF(AND(V478=1,COUNTIFS(Valores!$S$10:$S$509,"="&amp;SUBSTITUTE(SUBSTITUTE(SUBSTITUTE("P:"&amp;A478,"~","~~"),"*","~*"),"?","~?"))=1),(IF(ISNA(MATCH(SUBSTITUTE(SUBSTITUTE(SUBSTITUTE("P:"&amp;A478,"~","~~"),"*","~*"),"?","~?"),Valores!$S$10:$S$509,0)),9,INDEX(Valores!$R$10:$R$509,MATCH(SUBSTITUTE(SUBSTITUTE(SUBSTITUTE("P:"&amp;A478,"~","~~"),"*","~*"),"?","~?"),Valores!$S$10:$S$509,0)))-9),0)</f>
        <v>0</v>
      </c>
      <c r="AI478" s="40" t="str">
        <f t="shared" si="66"/>
        <v/>
      </c>
      <c r="AJ478" s="14" t="str">
        <f>IF(AND(X478=1,Y478=1),COUNTIFS($X$10:X478,1,$Y$10:Y478,1),"")</f>
        <v/>
      </c>
      <c r="AK478" s="14" t="str">
        <f>IF(X478=1,COUNTIFS($X$10:X478,1),"")</f>
        <v/>
      </c>
      <c r="AL478" s="14">
        <f>IF(AND(V478=1,AND(OR(Painel!$L$6="Todas",E478=Painel!$L$6),OR(Painel!$C$8="Todos",F478=Painel!$C$8),OR(Painel!$L$8="Todos",G478=Painel!$L$8),OR(Painel!$C$10="",ISNUMBER(SEARCH(SUBSTITUTE(SUBSTITUTE(SUBSTITUTE(Painel!$C$10,"~","~~"),"*","~*"),"?","~?"),A478&amp;" "&amp;H478&amp;" "&amp;I478))))),1,0)</f>
        <v>0</v>
      </c>
      <c r="AM478" s="14">
        <f t="shared" si="67"/>
        <v>0</v>
      </c>
      <c r="AN478" s="14"/>
      <c r="AO478" s="14"/>
      <c r="AP478" s="16" t="str">
        <f>IF(AB478=0,"",IF(INDEX(Andamentos!$B$10:$B$2009,AB478)="","",INDEX(Andamentos!$B$10:$B$2009,AB478)))</f>
        <v/>
      </c>
      <c r="AQ478" s="17" t="str">
        <f>IF(AH478=0,"",IF(INDEX(Valores!$B$10:$B$509,AH478)="","",IF(ISNUMBER(INDEX(Valores!$B$10:$B$509,AH478)),INDEX(Valores!$B$10:$B$509,AH478),"")))</f>
        <v/>
      </c>
      <c r="AR478" s="14" t="str">
        <f t="shared" si="68"/>
        <v/>
      </c>
      <c r="AS478" s="14" t="str">
        <f t="shared" si="69"/>
        <v/>
      </c>
      <c r="AT478" s="27"/>
      <c r="AU478" s="31"/>
      <c r="AV478" s="31"/>
      <c r="AW478" s="27"/>
      <c r="AX478" s="27"/>
      <c r="AY478" s="27"/>
      <c r="AZ478" s="27"/>
      <c r="BA478" s="30" t="str">
        <f t="shared" si="70"/>
        <v/>
      </c>
      <c r="BB478" s="30" t="str">
        <f t="shared" si="71"/>
        <v/>
      </c>
      <c r="BC478" s="30">
        <f>IF(X478=0,0,IF(COUNTIFS($X$10:X478,1,$BA$10:BA478,BA478)=1,1,0))</f>
        <v>0</v>
      </c>
      <c r="BD478" s="29"/>
    </row>
    <row r="479" spans="1:56" ht="42" customHeight="1">
      <c r="A479" s="41"/>
      <c r="B479" s="44"/>
      <c r="C479" s="44"/>
      <c r="D479" s="44"/>
      <c r="E479" s="44"/>
      <c r="F479" s="44"/>
      <c r="G479" s="44"/>
      <c r="H479" s="44"/>
      <c r="I479" s="44"/>
      <c r="J479" s="44"/>
      <c r="K479" s="44"/>
      <c r="L479" s="49"/>
      <c r="M479" s="48"/>
      <c r="N479" s="48"/>
      <c r="O479" s="48"/>
      <c r="P479" s="48"/>
      <c r="Q479" s="48"/>
      <c r="R479" s="48"/>
      <c r="S479" s="49"/>
      <c r="T479" s="48"/>
      <c r="U479" s="48"/>
      <c r="V479" s="14">
        <f t="shared" si="63"/>
        <v>0</v>
      </c>
      <c r="W479" s="14">
        <f t="shared" si="64"/>
        <v>0</v>
      </c>
      <c r="X479" s="14">
        <f>IF(AND(V479=1,OR(Painel!$C$6="Todos",D479=Painel!$C$6),AND(OR(Painel!$L$6="Todas",E479=Painel!$L$6),OR(Painel!$C$8="Todos",F479=Painel!$C$8),OR(Painel!$L$8="Todos",G479=Painel!$L$8),OR(Painel!$C$10="",ISNUMBER(SEARCH(SUBSTITUTE(SUBSTITUTE(SUBSTITUTE(Painel!$C$10,"~","~~"),"*","~*"),"?","~?"),A479&amp;" "&amp;H479&amp;" "&amp;I479))))),1,0)</f>
        <v>0</v>
      </c>
      <c r="Y479" s="14">
        <f t="shared" si="65"/>
        <v>0</v>
      </c>
      <c r="Z479" s="15" t="str">
        <f>IF(V479=0,"",IF(COUNTIFS(Andamentos!$K$10:$K$2009,"="&amp;SUBSTITUTE(SUBSTITUTE(SUBSTITUTE("P:"&amp;A479,"~","~~"),"*","~*"),"?","~?"),Andamentos!$G$10:$G$2009,1)=0,"",_xlfn.AGGREGATE(14,6,Andamentos!$D$10:$D$2009/((Andamentos!$K$10:$K$2009=AS479)*(Andamentos!$G$10:$G$2009=1)),1)))</f>
        <v/>
      </c>
      <c r="AA479" s="14">
        <f>IF(Z479="",0,COUNTIFS(Andamentos!$K$10:$K$2009,"="&amp;SUBSTITUTE(SUBSTITUTE(SUBSTITUTE("P:"&amp;A479,"~","~~"),"*","~*"),"?","~?"),Andamentos!$D$10:$D$2009,Z479,Andamentos!$G$10:$G$2009,1))</f>
        <v>0</v>
      </c>
      <c r="AB479" s="14">
        <f>IF(AA479=1,SUMIFS(Andamentos!$L$10:$L$2009,Andamentos!$K$10:$K$2009,"="&amp;SUBSTITUTE(SUBSTITUTE(SUBSTITUTE(AS479,"~","~~"),"*","~*"),"?","~?"),Andamentos!$D$10:$D$2009,Z479,Andamentos!$G$10:$G$2009,1)-9,0)</f>
        <v>0</v>
      </c>
      <c r="AC479" s="14" t="str">
        <f>IF(V479=0,"",IF(AA479&gt;1,"Conferir recebimentos empatados",IF(AB479=0,"Sem atualização",INDEX(Andamentos!$C$10:$C$2009,AB479))))</f>
        <v/>
      </c>
      <c r="AD479" s="14">
        <f>IF(W479=0,0,IF(MAX(Z479,BD479)=0,1,IF(Configurar!$J$12-INT(MAX(Z479,BD479))&gt;Configurar!$J$11,1,0)))</f>
        <v>0</v>
      </c>
      <c r="AE479" s="16"/>
      <c r="AF479" s="14"/>
      <c r="AG479" s="14"/>
      <c r="AH479" s="14">
        <f>IF(AND(V479=1,COUNTIFS(Valores!$S$10:$S$509,"="&amp;SUBSTITUTE(SUBSTITUTE(SUBSTITUTE("P:"&amp;A479,"~","~~"),"*","~*"),"?","~?"))=1),(IF(ISNA(MATCH(SUBSTITUTE(SUBSTITUTE(SUBSTITUTE("P:"&amp;A479,"~","~~"),"*","~*"),"?","~?"),Valores!$S$10:$S$509,0)),9,INDEX(Valores!$R$10:$R$509,MATCH(SUBSTITUTE(SUBSTITUTE(SUBSTITUTE("P:"&amp;A479,"~","~~"),"*","~*"),"?","~?"),Valores!$S$10:$S$509,0)))-9),0)</f>
        <v>0</v>
      </c>
      <c r="AI479" s="40" t="str">
        <f t="shared" si="66"/>
        <v/>
      </c>
      <c r="AJ479" s="14" t="str">
        <f>IF(AND(X479=1,Y479=1),COUNTIFS($X$10:X479,1,$Y$10:Y479,1),"")</f>
        <v/>
      </c>
      <c r="AK479" s="14" t="str">
        <f>IF(X479=1,COUNTIFS($X$10:X479,1),"")</f>
        <v/>
      </c>
      <c r="AL479" s="14">
        <f>IF(AND(V479=1,AND(OR(Painel!$L$6="Todas",E479=Painel!$L$6),OR(Painel!$C$8="Todos",F479=Painel!$C$8),OR(Painel!$L$8="Todos",G479=Painel!$L$8),OR(Painel!$C$10="",ISNUMBER(SEARCH(SUBSTITUTE(SUBSTITUTE(SUBSTITUTE(Painel!$C$10,"~","~~"),"*","~*"),"?","~?"),A479&amp;" "&amp;H479&amp;" "&amp;I479))))),1,0)</f>
        <v>0</v>
      </c>
      <c r="AM479" s="14">
        <f t="shared" si="67"/>
        <v>0</v>
      </c>
      <c r="AN479" s="14"/>
      <c r="AO479" s="14"/>
      <c r="AP479" s="16" t="str">
        <f>IF(AB479=0,"",IF(INDEX(Andamentos!$B$10:$B$2009,AB479)="","",INDEX(Andamentos!$B$10:$B$2009,AB479)))</f>
        <v/>
      </c>
      <c r="AQ479" s="17" t="str">
        <f>IF(AH479=0,"",IF(INDEX(Valores!$B$10:$B$509,AH479)="","",IF(ISNUMBER(INDEX(Valores!$B$10:$B$509,AH479)),INDEX(Valores!$B$10:$B$509,AH479),"")))</f>
        <v/>
      </c>
      <c r="AR479" s="14" t="str">
        <f t="shared" si="68"/>
        <v/>
      </c>
      <c r="AS479" s="14" t="str">
        <f t="shared" si="69"/>
        <v/>
      </c>
      <c r="AT479" s="27"/>
      <c r="AU479" s="31"/>
      <c r="AV479" s="31"/>
      <c r="AW479" s="27"/>
      <c r="AX479" s="27"/>
      <c r="AY479" s="27"/>
      <c r="AZ479" s="27"/>
      <c r="BA479" s="30" t="str">
        <f t="shared" si="70"/>
        <v/>
      </c>
      <c r="BB479" s="30" t="str">
        <f t="shared" si="71"/>
        <v/>
      </c>
      <c r="BC479" s="30">
        <f>IF(X479=0,0,IF(COUNTIFS($X$10:X479,1,$BA$10:BA479,BA479)=1,1,0))</f>
        <v>0</v>
      </c>
      <c r="BD479" s="29"/>
    </row>
    <row r="480" spans="1:56" ht="42" customHeight="1">
      <c r="A480" s="41"/>
      <c r="B480" s="44"/>
      <c r="C480" s="44"/>
      <c r="D480" s="44"/>
      <c r="E480" s="44"/>
      <c r="F480" s="44"/>
      <c r="G480" s="44"/>
      <c r="H480" s="44"/>
      <c r="I480" s="44"/>
      <c r="J480" s="44"/>
      <c r="K480" s="44"/>
      <c r="L480" s="49"/>
      <c r="M480" s="48"/>
      <c r="N480" s="48"/>
      <c r="O480" s="48"/>
      <c r="P480" s="48"/>
      <c r="Q480" s="48"/>
      <c r="R480" s="48"/>
      <c r="S480" s="49"/>
      <c r="T480" s="48"/>
      <c r="U480" s="48"/>
      <c r="V480" s="14">
        <f t="shared" si="63"/>
        <v>0</v>
      </c>
      <c r="W480" s="14">
        <f t="shared" si="64"/>
        <v>0</v>
      </c>
      <c r="X480" s="14">
        <f>IF(AND(V480=1,OR(Painel!$C$6="Todos",D480=Painel!$C$6),AND(OR(Painel!$L$6="Todas",E480=Painel!$L$6),OR(Painel!$C$8="Todos",F480=Painel!$C$8),OR(Painel!$L$8="Todos",G480=Painel!$L$8),OR(Painel!$C$10="",ISNUMBER(SEARCH(SUBSTITUTE(SUBSTITUTE(SUBSTITUTE(Painel!$C$10,"~","~~"),"*","~*"),"?","~?"),A480&amp;" "&amp;H480&amp;" "&amp;I480))))),1,0)</f>
        <v>0</v>
      </c>
      <c r="Y480" s="14">
        <f t="shared" si="65"/>
        <v>0</v>
      </c>
      <c r="Z480" s="15" t="str">
        <f>IF(V480=0,"",IF(COUNTIFS(Andamentos!$K$10:$K$2009,"="&amp;SUBSTITUTE(SUBSTITUTE(SUBSTITUTE("P:"&amp;A480,"~","~~"),"*","~*"),"?","~?"),Andamentos!$G$10:$G$2009,1)=0,"",_xlfn.AGGREGATE(14,6,Andamentos!$D$10:$D$2009/((Andamentos!$K$10:$K$2009=AS480)*(Andamentos!$G$10:$G$2009=1)),1)))</f>
        <v/>
      </c>
      <c r="AA480" s="14">
        <f>IF(Z480="",0,COUNTIFS(Andamentos!$K$10:$K$2009,"="&amp;SUBSTITUTE(SUBSTITUTE(SUBSTITUTE("P:"&amp;A480,"~","~~"),"*","~*"),"?","~?"),Andamentos!$D$10:$D$2009,Z480,Andamentos!$G$10:$G$2009,1))</f>
        <v>0</v>
      </c>
      <c r="AB480" s="14">
        <f>IF(AA480=1,SUMIFS(Andamentos!$L$10:$L$2009,Andamentos!$K$10:$K$2009,"="&amp;SUBSTITUTE(SUBSTITUTE(SUBSTITUTE(AS480,"~","~~"),"*","~*"),"?","~?"),Andamentos!$D$10:$D$2009,Z480,Andamentos!$G$10:$G$2009,1)-9,0)</f>
        <v>0</v>
      </c>
      <c r="AC480" s="14" t="str">
        <f>IF(V480=0,"",IF(AA480&gt;1,"Conferir recebimentos empatados",IF(AB480=0,"Sem atualização",INDEX(Andamentos!$C$10:$C$2009,AB480))))</f>
        <v/>
      </c>
      <c r="AD480" s="14">
        <f>IF(W480=0,0,IF(MAX(Z480,BD480)=0,1,IF(Configurar!$J$12-INT(MAX(Z480,BD480))&gt;Configurar!$J$11,1,0)))</f>
        <v>0</v>
      </c>
      <c r="AE480" s="16"/>
      <c r="AF480" s="14"/>
      <c r="AG480" s="14"/>
      <c r="AH480" s="14">
        <f>IF(AND(V480=1,COUNTIFS(Valores!$S$10:$S$509,"="&amp;SUBSTITUTE(SUBSTITUTE(SUBSTITUTE("P:"&amp;A480,"~","~~"),"*","~*"),"?","~?"))=1),(IF(ISNA(MATCH(SUBSTITUTE(SUBSTITUTE(SUBSTITUTE("P:"&amp;A480,"~","~~"),"*","~*"),"?","~?"),Valores!$S$10:$S$509,0)),9,INDEX(Valores!$R$10:$R$509,MATCH(SUBSTITUTE(SUBSTITUTE(SUBSTITUTE("P:"&amp;A480,"~","~~"),"*","~*"),"?","~?"),Valores!$S$10:$S$509,0)))-9),0)</f>
        <v>0</v>
      </c>
      <c r="AI480" s="40" t="str">
        <f t="shared" si="66"/>
        <v/>
      </c>
      <c r="AJ480" s="14" t="str">
        <f>IF(AND(X480=1,Y480=1),COUNTIFS($X$10:X480,1,$Y$10:Y480,1),"")</f>
        <v/>
      </c>
      <c r="AK480" s="14" t="str">
        <f>IF(X480=1,COUNTIFS($X$10:X480,1),"")</f>
        <v/>
      </c>
      <c r="AL480" s="14">
        <f>IF(AND(V480=1,AND(OR(Painel!$L$6="Todas",E480=Painel!$L$6),OR(Painel!$C$8="Todos",F480=Painel!$C$8),OR(Painel!$L$8="Todos",G480=Painel!$L$8),OR(Painel!$C$10="",ISNUMBER(SEARCH(SUBSTITUTE(SUBSTITUTE(SUBSTITUTE(Painel!$C$10,"~","~~"),"*","~*"),"?","~?"),A480&amp;" "&amp;H480&amp;" "&amp;I480))))),1,0)</f>
        <v>0</v>
      </c>
      <c r="AM480" s="14">
        <f t="shared" si="67"/>
        <v>0</v>
      </c>
      <c r="AN480" s="14"/>
      <c r="AO480" s="14"/>
      <c r="AP480" s="16" t="str">
        <f>IF(AB480=0,"",IF(INDEX(Andamentos!$B$10:$B$2009,AB480)="","",INDEX(Andamentos!$B$10:$B$2009,AB480)))</f>
        <v/>
      </c>
      <c r="AQ480" s="17" t="str">
        <f>IF(AH480=0,"",IF(INDEX(Valores!$B$10:$B$509,AH480)="","",IF(ISNUMBER(INDEX(Valores!$B$10:$B$509,AH480)),INDEX(Valores!$B$10:$B$509,AH480),"")))</f>
        <v/>
      </c>
      <c r="AR480" s="14" t="str">
        <f t="shared" si="68"/>
        <v/>
      </c>
      <c r="AS480" s="14" t="str">
        <f t="shared" si="69"/>
        <v/>
      </c>
      <c r="AT480" s="27"/>
      <c r="AU480" s="31"/>
      <c r="AV480" s="31"/>
      <c r="AW480" s="27"/>
      <c r="AX480" s="27"/>
      <c r="AY480" s="27"/>
      <c r="AZ480" s="27"/>
      <c r="BA480" s="30" t="str">
        <f t="shared" si="70"/>
        <v/>
      </c>
      <c r="BB480" s="30" t="str">
        <f t="shared" si="71"/>
        <v/>
      </c>
      <c r="BC480" s="30">
        <f>IF(X480=0,0,IF(COUNTIFS($X$10:X480,1,$BA$10:BA480,BA480)=1,1,0))</f>
        <v>0</v>
      </c>
      <c r="BD480" s="29"/>
    </row>
    <row r="481" spans="1:56" ht="42" customHeight="1">
      <c r="A481" s="41"/>
      <c r="B481" s="44"/>
      <c r="C481" s="44"/>
      <c r="D481" s="44"/>
      <c r="E481" s="44"/>
      <c r="F481" s="44"/>
      <c r="G481" s="44"/>
      <c r="H481" s="44"/>
      <c r="I481" s="44"/>
      <c r="J481" s="44"/>
      <c r="K481" s="44"/>
      <c r="L481" s="49"/>
      <c r="M481" s="48"/>
      <c r="N481" s="48"/>
      <c r="O481" s="48"/>
      <c r="P481" s="48"/>
      <c r="Q481" s="48"/>
      <c r="R481" s="48"/>
      <c r="S481" s="49"/>
      <c r="T481" s="48"/>
      <c r="U481" s="48"/>
      <c r="V481" s="14">
        <f t="shared" si="63"/>
        <v>0</v>
      </c>
      <c r="W481" s="14">
        <f t="shared" si="64"/>
        <v>0</v>
      </c>
      <c r="X481" s="14">
        <f>IF(AND(V481=1,OR(Painel!$C$6="Todos",D481=Painel!$C$6),AND(OR(Painel!$L$6="Todas",E481=Painel!$L$6),OR(Painel!$C$8="Todos",F481=Painel!$C$8),OR(Painel!$L$8="Todos",G481=Painel!$L$8),OR(Painel!$C$10="",ISNUMBER(SEARCH(SUBSTITUTE(SUBSTITUTE(SUBSTITUTE(Painel!$C$10,"~","~~"),"*","~*"),"?","~?"),A481&amp;" "&amp;H481&amp;" "&amp;I481))))),1,0)</f>
        <v>0</v>
      </c>
      <c r="Y481" s="14">
        <f t="shared" si="65"/>
        <v>0</v>
      </c>
      <c r="Z481" s="15" t="str">
        <f>IF(V481=0,"",IF(COUNTIFS(Andamentos!$K$10:$K$2009,"="&amp;SUBSTITUTE(SUBSTITUTE(SUBSTITUTE("P:"&amp;A481,"~","~~"),"*","~*"),"?","~?"),Andamentos!$G$10:$G$2009,1)=0,"",_xlfn.AGGREGATE(14,6,Andamentos!$D$10:$D$2009/((Andamentos!$K$10:$K$2009=AS481)*(Andamentos!$G$10:$G$2009=1)),1)))</f>
        <v/>
      </c>
      <c r="AA481" s="14">
        <f>IF(Z481="",0,COUNTIFS(Andamentos!$K$10:$K$2009,"="&amp;SUBSTITUTE(SUBSTITUTE(SUBSTITUTE("P:"&amp;A481,"~","~~"),"*","~*"),"?","~?"),Andamentos!$D$10:$D$2009,Z481,Andamentos!$G$10:$G$2009,1))</f>
        <v>0</v>
      </c>
      <c r="AB481" s="14">
        <f>IF(AA481=1,SUMIFS(Andamentos!$L$10:$L$2009,Andamentos!$K$10:$K$2009,"="&amp;SUBSTITUTE(SUBSTITUTE(SUBSTITUTE(AS481,"~","~~"),"*","~*"),"?","~?"),Andamentos!$D$10:$D$2009,Z481,Andamentos!$G$10:$G$2009,1)-9,0)</f>
        <v>0</v>
      </c>
      <c r="AC481" s="14" t="str">
        <f>IF(V481=0,"",IF(AA481&gt;1,"Conferir recebimentos empatados",IF(AB481=0,"Sem atualização",INDEX(Andamentos!$C$10:$C$2009,AB481))))</f>
        <v/>
      </c>
      <c r="AD481" s="14">
        <f>IF(W481=0,0,IF(MAX(Z481,BD481)=0,1,IF(Configurar!$J$12-INT(MAX(Z481,BD481))&gt;Configurar!$J$11,1,0)))</f>
        <v>0</v>
      </c>
      <c r="AE481" s="16"/>
      <c r="AF481" s="14"/>
      <c r="AG481" s="14"/>
      <c r="AH481" s="14">
        <f>IF(AND(V481=1,COUNTIFS(Valores!$S$10:$S$509,"="&amp;SUBSTITUTE(SUBSTITUTE(SUBSTITUTE("P:"&amp;A481,"~","~~"),"*","~*"),"?","~?"))=1),(IF(ISNA(MATCH(SUBSTITUTE(SUBSTITUTE(SUBSTITUTE("P:"&amp;A481,"~","~~"),"*","~*"),"?","~?"),Valores!$S$10:$S$509,0)),9,INDEX(Valores!$R$10:$R$509,MATCH(SUBSTITUTE(SUBSTITUTE(SUBSTITUTE("P:"&amp;A481,"~","~~"),"*","~*"),"?","~?"),Valores!$S$10:$S$509,0)))-9),0)</f>
        <v>0</v>
      </c>
      <c r="AI481" s="40" t="str">
        <f t="shared" si="66"/>
        <v/>
      </c>
      <c r="AJ481" s="14" t="str">
        <f>IF(AND(X481=1,Y481=1),COUNTIFS($X$10:X481,1,$Y$10:Y481,1),"")</f>
        <v/>
      </c>
      <c r="AK481" s="14" t="str">
        <f>IF(X481=1,COUNTIFS($X$10:X481,1),"")</f>
        <v/>
      </c>
      <c r="AL481" s="14">
        <f>IF(AND(V481=1,AND(OR(Painel!$L$6="Todas",E481=Painel!$L$6),OR(Painel!$C$8="Todos",F481=Painel!$C$8),OR(Painel!$L$8="Todos",G481=Painel!$L$8),OR(Painel!$C$10="",ISNUMBER(SEARCH(SUBSTITUTE(SUBSTITUTE(SUBSTITUTE(Painel!$C$10,"~","~~"),"*","~*"),"?","~?"),A481&amp;" "&amp;H481&amp;" "&amp;I481))))),1,0)</f>
        <v>0</v>
      </c>
      <c r="AM481" s="14">
        <f t="shared" si="67"/>
        <v>0</v>
      </c>
      <c r="AN481" s="14"/>
      <c r="AO481" s="14"/>
      <c r="AP481" s="16" t="str">
        <f>IF(AB481=0,"",IF(INDEX(Andamentos!$B$10:$B$2009,AB481)="","",INDEX(Andamentos!$B$10:$B$2009,AB481)))</f>
        <v/>
      </c>
      <c r="AQ481" s="17" t="str">
        <f>IF(AH481=0,"",IF(INDEX(Valores!$B$10:$B$509,AH481)="","",IF(ISNUMBER(INDEX(Valores!$B$10:$B$509,AH481)),INDEX(Valores!$B$10:$B$509,AH481),"")))</f>
        <v/>
      </c>
      <c r="AR481" s="14" t="str">
        <f t="shared" si="68"/>
        <v/>
      </c>
      <c r="AS481" s="14" t="str">
        <f t="shared" si="69"/>
        <v/>
      </c>
      <c r="AT481" s="27"/>
      <c r="AU481" s="31"/>
      <c r="AV481" s="31"/>
      <c r="AW481" s="27"/>
      <c r="AX481" s="27"/>
      <c r="AY481" s="27"/>
      <c r="AZ481" s="27"/>
      <c r="BA481" s="30" t="str">
        <f t="shared" si="70"/>
        <v/>
      </c>
      <c r="BB481" s="30" t="str">
        <f t="shared" si="71"/>
        <v/>
      </c>
      <c r="BC481" s="30">
        <f>IF(X481=0,0,IF(COUNTIFS($X$10:X481,1,$BA$10:BA481,BA481)=1,1,0))</f>
        <v>0</v>
      </c>
      <c r="BD481" s="29"/>
    </row>
    <row r="482" spans="1:56" ht="42" customHeight="1">
      <c r="A482" s="41"/>
      <c r="B482" s="44"/>
      <c r="C482" s="44"/>
      <c r="D482" s="44"/>
      <c r="E482" s="44"/>
      <c r="F482" s="44"/>
      <c r="G482" s="44"/>
      <c r="H482" s="44"/>
      <c r="I482" s="44"/>
      <c r="J482" s="44"/>
      <c r="K482" s="44"/>
      <c r="L482" s="49"/>
      <c r="M482" s="48"/>
      <c r="N482" s="48"/>
      <c r="O482" s="48"/>
      <c r="P482" s="48"/>
      <c r="Q482" s="48"/>
      <c r="R482" s="48"/>
      <c r="S482" s="49"/>
      <c r="T482" s="48"/>
      <c r="U482" s="48"/>
      <c r="V482" s="14">
        <f t="shared" si="63"/>
        <v>0</v>
      </c>
      <c r="W482" s="14">
        <f t="shared" si="64"/>
        <v>0</v>
      </c>
      <c r="X482" s="14">
        <f>IF(AND(V482=1,OR(Painel!$C$6="Todos",D482=Painel!$C$6),AND(OR(Painel!$L$6="Todas",E482=Painel!$L$6),OR(Painel!$C$8="Todos",F482=Painel!$C$8),OR(Painel!$L$8="Todos",G482=Painel!$L$8),OR(Painel!$C$10="",ISNUMBER(SEARCH(SUBSTITUTE(SUBSTITUTE(SUBSTITUTE(Painel!$C$10,"~","~~"),"*","~*"),"?","~?"),A482&amp;" "&amp;H482&amp;" "&amp;I482))))),1,0)</f>
        <v>0</v>
      </c>
      <c r="Y482" s="14">
        <f t="shared" si="65"/>
        <v>0</v>
      </c>
      <c r="Z482" s="15" t="str">
        <f>IF(V482=0,"",IF(COUNTIFS(Andamentos!$K$10:$K$2009,"="&amp;SUBSTITUTE(SUBSTITUTE(SUBSTITUTE("P:"&amp;A482,"~","~~"),"*","~*"),"?","~?"),Andamentos!$G$10:$G$2009,1)=0,"",_xlfn.AGGREGATE(14,6,Andamentos!$D$10:$D$2009/((Andamentos!$K$10:$K$2009=AS482)*(Andamentos!$G$10:$G$2009=1)),1)))</f>
        <v/>
      </c>
      <c r="AA482" s="14">
        <f>IF(Z482="",0,COUNTIFS(Andamentos!$K$10:$K$2009,"="&amp;SUBSTITUTE(SUBSTITUTE(SUBSTITUTE("P:"&amp;A482,"~","~~"),"*","~*"),"?","~?"),Andamentos!$D$10:$D$2009,Z482,Andamentos!$G$10:$G$2009,1))</f>
        <v>0</v>
      </c>
      <c r="AB482" s="14">
        <f>IF(AA482=1,SUMIFS(Andamentos!$L$10:$L$2009,Andamentos!$K$10:$K$2009,"="&amp;SUBSTITUTE(SUBSTITUTE(SUBSTITUTE(AS482,"~","~~"),"*","~*"),"?","~?"),Andamentos!$D$10:$D$2009,Z482,Andamentos!$G$10:$G$2009,1)-9,0)</f>
        <v>0</v>
      </c>
      <c r="AC482" s="14" t="str">
        <f>IF(V482=0,"",IF(AA482&gt;1,"Conferir recebimentos empatados",IF(AB482=0,"Sem atualização",INDEX(Andamentos!$C$10:$C$2009,AB482))))</f>
        <v/>
      </c>
      <c r="AD482" s="14">
        <f>IF(W482=0,0,IF(MAX(Z482,BD482)=0,1,IF(Configurar!$J$12-INT(MAX(Z482,BD482))&gt;Configurar!$J$11,1,0)))</f>
        <v>0</v>
      </c>
      <c r="AE482" s="16"/>
      <c r="AF482" s="14"/>
      <c r="AG482" s="14"/>
      <c r="AH482" s="14">
        <f>IF(AND(V482=1,COUNTIFS(Valores!$S$10:$S$509,"="&amp;SUBSTITUTE(SUBSTITUTE(SUBSTITUTE("P:"&amp;A482,"~","~~"),"*","~*"),"?","~?"))=1),(IF(ISNA(MATCH(SUBSTITUTE(SUBSTITUTE(SUBSTITUTE("P:"&amp;A482,"~","~~"),"*","~*"),"?","~?"),Valores!$S$10:$S$509,0)),9,INDEX(Valores!$R$10:$R$509,MATCH(SUBSTITUTE(SUBSTITUTE(SUBSTITUTE("P:"&amp;A482,"~","~~"),"*","~*"),"?","~?"),Valores!$S$10:$S$509,0)))-9),0)</f>
        <v>0</v>
      </c>
      <c r="AI482" s="40" t="str">
        <f t="shared" si="66"/>
        <v/>
      </c>
      <c r="AJ482" s="14" t="str">
        <f>IF(AND(X482=1,Y482=1),COUNTIFS($X$10:X482,1,$Y$10:Y482,1),"")</f>
        <v/>
      </c>
      <c r="AK482" s="14" t="str">
        <f>IF(X482=1,COUNTIFS($X$10:X482,1),"")</f>
        <v/>
      </c>
      <c r="AL482" s="14">
        <f>IF(AND(V482=1,AND(OR(Painel!$L$6="Todas",E482=Painel!$L$6),OR(Painel!$C$8="Todos",F482=Painel!$C$8),OR(Painel!$L$8="Todos",G482=Painel!$L$8),OR(Painel!$C$10="",ISNUMBER(SEARCH(SUBSTITUTE(SUBSTITUTE(SUBSTITUTE(Painel!$C$10,"~","~~"),"*","~*"),"?","~?"),A482&amp;" "&amp;H482&amp;" "&amp;I482))))),1,0)</f>
        <v>0</v>
      </c>
      <c r="AM482" s="14">
        <f t="shared" si="67"/>
        <v>0</v>
      </c>
      <c r="AN482" s="14"/>
      <c r="AO482" s="14"/>
      <c r="AP482" s="16" t="str">
        <f>IF(AB482=0,"",IF(INDEX(Andamentos!$B$10:$B$2009,AB482)="","",INDEX(Andamentos!$B$10:$B$2009,AB482)))</f>
        <v/>
      </c>
      <c r="AQ482" s="17" t="str">
        <f>IF(AH482=0,"",IF(INDEX(Valores!$B$10:$B$509,AH482)="","",IF(ISNUMBER(INDEX(Valores!$B$10:$B$509,AH482)),INDEX(Valores!$B$10:$B$509,AH482),"")))</f>
        <v/>
      </c>
      <c r="AR482" s="14" t="str">
        <f t="shared" si="68"/>
        <v/>
      </c>
      <c r="AS482" s="14" t="str">
        <f t="shared" si="69"/>
        <v/>
      </c>
      <c r="AT482" s="27"/>
      <c r="AU482" s="31"/>
      <c r="AV482" s="31"/>
      <c r="AW482" s="27"/>
      <c r="AX482" s="27"/>
      <c r="AY482" s="27"/>
      <c r="AZ482" s="27"/>
      <c r="BA482" s="30" t="str">
        <f t="shared" si="70"/>
        <v/>
      </c>
      <c r="BB482" s="30" t="str">
        <f t="shared" si="71"/>
        <v/>
      </c>
      <c r="BC482" s="30">
        <f>IF(X482=0,0,IF(COUNTIFS($X$10:X482,1,$BA$10:BA482,BA482)=1,1,0))</f>
        <v>0</v>
      </c>
      <c r="BD482" s="29"/>
    </row>
    <row r="483" spans="1:56" ht="42" customHeight="1">
      <c r="A483" s="41"/>
      <c r="B483" s="44"/>
      <c r="C483" s="44"/>
      <c r="D483" s="44"/>
      <c r="E483" s="44"/>
      <c r="F483" s="44"/>
      <c r="G483" s="44"/>
      <c r="H483" s="44"/>
      <c r="I483" s="44"/>
      <c r="J483" s="44"/>
      <c r="K483" s="44"/>
      <c r="L483" s="49"/>
      <c r="M483" s="48"/>
      <c r="N483" s="48"/>
      <c r="O483" s="48"/>
      <c r="P483" s="48"/>
      <c r="Q483" s="48"/>
      <c r="R483" s="48"/>
      <c r="S483" s="49"/>
      <c r="T483" s="48"/>
      <c r="U483" s="48"/>
      <c r="V483" s="14">
        <f t="shared" si="63"/>
        <v>0</v>
      </c>
      <c r="W483" s="14">
        <f t="shared" si="64"/>
        <v>0</v>
      </c>
      <c r="X483" s="14">
        <f>IF(AND(V483=1,OR(Painel!$C$6="Todos",D483=Painel!$C$6),AND(OR(Painel!$L$6="Todas",E483=Painel!$L$6),OR(Painel!$C$8="Todos",F483=Painel!$C$8),OR(Painel!$L$8="Todos",G483=Painel!$L$8),OR(Painel!$C$10="",ISNUMBER(SEARCH(SUBSTITUTE(SUBSTITUTE(SUBSTITUTE(Painel!$C$10,"~","~~"),"*","~*"),"?","~?"),A483&amp;" "&amp;H483&amp;" "&amp;I483))))),1,0)</f>
        <v>0</v>
      </c>
      <c r="Y483" s="14">
        <f t="shared" si="65"/>
        <v>0</v>
      </c>
      <c r="Z483" s="15" t="str">
        <f>IF(V483=0,"",IF(COUNTIFS(Andamentos!$K$10:$K$2009,"="&amp;SUBSTITUTE(SUBSTITUTE(SUBSTITUTE("P:"&amp;A483,"~","~~"),"*","~*"),"?","~?"),Andamentos!$G$10:$G$2009,1)=0,"",_xlfn.AGGREGATE(14,6,Andamentos!$D$10:$D$2009/((Andamentos!$K$10:$K$2009=AS483)*(Andamentos!$G$10:$G$2009=1)),1)))</f>
        <v/>
      </c>
      <c r="AA483" s="14">
        <f>IF(Z483="",0,COUNTIFS(Andamentos!$K$10:$K$2009,"="&amp;SUBSTITUTE(SUBSTITUTE(SUBSTITUTE("P:"&amp;A483,"~","~~"),"*","~*"),"?","~?"),Andamentos!$D$10:$D$2009,Z483,Andamentos!$G$10:$G$2009,1))</f>
        <v>0</v>
      </c>
      <c r="AB483" s="14">
        <f>IF(AA483=1,SUMIFS(Andamentos!$L$10:$L$2009,Andamentos!$K$10:$K$2009,"="&amp;SUBSTITUTE(SUBSTITUTE(SUBSTITUTE(AS483,"~","~~"),"*","~*"),"?","~?"),Andamentos!$D$10:$D$2009,Z483,Andamentos!$G$10:$G$2009,1)-9,0)</f>
        <v>0</v>
      </c>
      <c r="AC483" s="14" t="str">
        <f>IF(V483=0,"",IF(AA483&gt;1,"Conferir recebimentos empatados",IF(AB483=0,"Sem atualização",INDEX(Andamentos!$C$10:$C$2009,AB483))))</f>
        <v/>
      </c>
      <c r="AD483" s="14">
        <f>IF(W483=0,0,IF(MAX(Z483,BD483)=0,1,IF(Configurar!$J$12-INT(MAX(Z483,BD483))&gt;Configurar!$J$11,1,0)))</f>
        <v>0</v>
      </c>
      <c r="AE483" s="16"/>
      <c r="AF483" s="14"/>
      <c r="AG483" s="14"/>
      <c r="AH483" s="14">
        <f>IF(AND(V483=1,COUNTIFS(Valores!$S$10:$S$509,"="&amp;SUBSTITUTE(SUBSTITUTE(SUBSTITUTE("P:"&amp;A483,"~","~~"),"*","~*"),"?","~?"))=1),(IF(ISNA(MATCH(SUBSTITUTE(SUBSTITUTE(SUBSTITUTE("P:"&amp;A483,"~","~~"),"*","~*"),"?","~?"),Valores!$S$10:$S$509,0)),9,INDEX(Valores!$R$10:$R$509,MATCH(SUBSTITUTE(SUBSTITUTE(SUBSTITUTE("P:"&amp;A483,"~","~~"),"*","~*"),"?","~?"),Valores!$S$10:$S$509,0)))-9),0)</f>
        <v>0</v>
      </c>
      <c r="AI483" s="40" t="str">
        <f t="shared" si="66"/>
        <v/>
      </c>
      <c r="AJ483" s="14" t="str">
        <f>IF(AND(X483=1,Y483=1),COUNTIFS($X$10:X483,1,$Y$10:Y483,1),"")</f>
        <v/>
      </c>
      <c r="AK483" s="14" t="str">
        <f>IF(X483=1,COUNTIFS($X$10:X483,1),"")</f>
        <v/>
      </c>
      <c r="AL483" s="14">
        <f>IF(AND(V483=1,AND(OR(Painel!$L$6="Todas",E483=Painel!$L$6),OR(Painel!$C$8="Todos",F483=Painel!$C$8),OR(Painel!$L$8="Todos",G483=Painel!$L$8),OR(Painel!$C$10="",ISNUMBER(SEARCH(SUBSTITUTE(SUBSTITUTE(SUBSTITUTE(Painel!$C$10,"~","~~"),"*","~*"),"?","~?"),A483&amp;" "&amp;H483&amp;" "&amp;I483))))),1,0)</f>
        <v>0</v>
      </c>
      <c r="AM483" s="14">
        <f t="shared" si="67"/>
        <v>0</v>
      </c>
      <c r="AN483" s="14"/>
      <c r="AO483" s="14"/>
      <c r="AP483" s="16" t="str">
        <f>IF(AB483=0,"",IF(INDEX(Andamentos!$B$10:$B$2009,AB483)="","",INDEX(Andamentos!$B$10:$B$2009,AB483)))</f>
        <v/>
      </c>
      <c r="AQ483" s="17" t="str">
        <f>IF(AH483=0,"",IF(INDEX(Valores!$B$10:$B$509,AH483)="","",IF(ISNUMBER(INDEX(Valores!$B$10:$B$509,AH483)),INDEX(Valores!$B$10:$B$509,AH483),"")))</f>
        <v/>
      </c>
      <c r="AR483" s="14" t="str">
        <f t="shared" si="68"/>
        <v/>
      </c>
      <c r="AS483" s="14" t="str">
        <f t="shared" si="69"/>
        <v/>
      </c>
      <c r="AT483" s="27"/>
      <c r="AU483" s="31"/>
      <c r="AV483" s="31"/>
      <c r="AW483" s="27"/>
      <c r="AX483" s="27"/>
      <c r="AY483" s="27"/>
      <c r="AZ483" s="27"/>
      <c r="BA483" s="30" t="str">
        <f t="shared" si="70"/>
        <v/>
      </c>
      <c r="BB483" s="30" t="str">
        <f t="shared" si="71"/>
        <v/>
      </c>
      <c r="BC483" s="30">
        <f>IF(X483=0,0,IF(COUNTIFS($X$10:X483,1,$BA$10:BA483,BA483)=1,1,0))</f>
        <v>0</v>
      </c>
      <c r="BD483" s="29"/>
    </row>
    <row r="484" spans="1:56" ht="42" customHeight="1">
      <c r="A484" s="41"/>
      <c r="B484" s="44"/>
      <c r="C484" s="44"/>
      <c r="D484" s="44"/>
      <c r="E484" s="44"/>
      <c r="F484" s="44"/>
      <c r="G484" s="44"/>
      <c r="H484" s="44"/>
      <c r="I484" s="44"/>
      <c r="J484" s="44"/>
      <c r="K484" s="44"/>
      <c r="L484" s="49"/>
      <c r="M484" s="48"/>
      <c r="N484" s="48"/>
      <c r="O484" s="48"/>
      <c r="P484" s="48"/>
      <c r="Q484" s="48"/>
      <c r="R484" s="48"/>
      <c r="S484" s="49"/>
      <c r="T484" s="48"/>
      <c r="U484" s="48"/>
      <c r="V484" s="14">
        <f t="shared" si="63"/>
        <v>0</v>
      </c>
      <c r="W484" s="14">
        <f t="shared" si="64"/>
        <v>0</v>
      </c>
      <c r="X484" s="14">
        <f>IF(AND(V484=1,OR(Painel!$C$6="Todos",D484=Painel!$C$6),AND(OR(Painel!$L$6="Todas",E484=Painel!$L$6),OR(Painel!$C$8="Todos",F484=Painel!$C$8),OR(Painel!$L$8="Todos",G484=Painel!$L$8),OR(Painel!$C$10="",ISNUMBER(SEARCH(SUBSTITUTE(SUBSTITUTE(SUBSTITUTE(Painel!$C$10,"~","~~"),"*","~*"),"?","~?"),A484&amp;" "&amp;H484&amp;" "&amp;I484))))),1,0)</f>
        <v>0</v>
      </c>
      <c r="Y484" s="14">
        <f t="shared" si="65"/>
        <v>0</v>
      </c>
      <c r="Z484" s="15" t="str">
        <f>IF(V484=0,"",IF(COUNTIFS(Andamentos!$K$10:$K$2009,"="&amp;SUBSTITUTE(SUBSTITUTE(SUBSTITUTE("P:"&amp;A484,"~","~~"),"*","~*"),"?","~?"),Andamentos!$G$10:$G$2009,1)=0,"",_xlfn.AGGREGATE(14,6,Andamentos!$D$10:$D$2009/((Andamentos!$K$10:$K$2009=AS484)*(Andamentos!$G$10:$G$2009=1)),1)))</f>
        <v/>
      </c>
      <c r="AA484" s="14">
        <f>IF(Z484="",0,COUNTIFS(Andamentos!$K$10:$K$2009,"="&amp;SUBSTITUTE(SUBSTITUTE(SUBSTITUTE("P:"&amp;A484,"~","~~"),"*","~*"),"?","~?"),Andamentos!$D$10:$D$2009,Z484,Andamentos!$G$10:$G$2009,1))</f>
        <v>0</v>
      </c>
      <c r="AB484" s="14">
        <f>IF(AA484=1,SUMIFS(Andamentos!$L$10:$L$2009,Andamentos!$K$10:$K$2009,"="&amp;SUBSTITUTE(SUBSTITUTE(SUBSTITUTE(AS484,"~","~~"),"*","~*"),"?","~?"),Andamentos!$D$10:$D$2009,Z484,Andamentos!$G$10:$G$2009,1)-9,0)</f>
        <v>0</v>
      </c>
      <c r="AC484" s="14" t="str">
        <f>IF(V484=0,"",IF(AA484&gt;1,"Conferir recebimentos empatados",IF(AB484=0,"Sem atualização",INDEX(Andamentos!$C$10:$C$2009,AB484))))</f>
        <v/>
      </c>
      <c r="AD484" s="14">
        <f>IF(W484=0,0,IF(MAX(Z484,BD484)=0,1,IF(Configurar!$J$12-INT(MAX(Z484,BD484))&gt;Configurar!$J$11,1,0)))</f>
        <v>0</v>
      </c>
      <c r="AE484" s="16"/>
      <c r="AF484" s="14"/>
      <c r="AG484" s="14"/>
      <c r="AH484" s="14">
        <f>IF(AND(V484=1,COUNTIFS(Valores!$S$10:$S$509,"="&amp;SUBSTITUTE(SUBSTITUTE(SUBSTITUTE("P:"&amp;A484,"~","~~"),"*","~*"),"?","~?"))=1),(IF(ISNA(MATCH(SUBSTITUTE(SUBSTITUTE(SUBSTITUTE("P:"&amp;A484,"~","~~"),"*","~*"),"?","~?"),Valores!$S$10:$S$509,0)),9,INDEX(Valores!$R$10:$R$509,MATCH(SUBSTITUTE(SUBSTITUTE(SUBSTITUTE("P:"&amp;A484,"~","~~"),"*","~*"),"?","~?"),Valores!$S$10:$S$509,0)))-9),0)</f>
        <v>0</v>
      </c>
      <c r="AI484" s="40" t="str">
        <f t="shared" si="66"/>
        <v/>
      </c>
      <c r="AJ484" s="14" t="str">
        <f>IF(AND(X484=1,Y484=1),COUNTIFS($X$10:X484,1,$Y$10:Y484,1),"")</f>
        <v/>
      </c>
      <c r="AK484" s="14" t="str">
        <f>IF(X484=1,COUNTIFS($X$10:X484,1),"")</f>
        <v/>
      </c>
      <c r="AL484" s="14">
        <f>IF(AND(V484=1,AND(OR(Painel!$L$6="Todas",E484=Painel!$L$6),OR(Painel!$C$8="Todos",F484=Painel!$C$8),OR(Painel!$L$8="Todos",G484=Painel!$L$8),OR(Painel!$C$10="",ISNUMBER(SEARCH(SUBSTITUTE(SUBSTITUTE(SUBSTITUTE(Painel!$C$10,"~","~~"),"*","~*"),"?","~?"),A484&amp;" "&amp;H484&amp;" "&amp;I484))))),1,0)</f>
        <v>0</v>
      </c>
      <c r="AM484" s="14">
        <f t="shared" si="67"/>
        <v>0</v>
      </c>
      <c r="AN484" s="14"/>
      <c r="AO484" s="14"/>
      <c r="AP484" s="16" t="str">
        <f>IF(AB484=0,"",IF(INDEX(Andamentos!$B$10:$B$2009,AB484)="","",INDEX(Andamentos!$B$10:$B$2009,AB484)))</f>
        <v/>
      </c>
      <c r="AQ484" s="17" t="str">
        <f>IF(AH484=0,"",IF(INDEX(Valores!$B$10:$B$509,AH484)="","",IF(ISNUMBER(INDEX(Valores!$B$10:$B$509,AH484)),INDEX(Valores!$B$10:$B$509,AH484),"")))</f>
        <v/>
      </c>
      <c r="AR484" s="14" t="str">
        <f t="shared" si="68"/>
        <v/>
      </c>
      <c r="AS484" s="14" t="str">
        <f t="shared" si="69"/>
        <v/>
      </c>
      <c r="AT484" s="27"/>
      <c r="AU484" s="31"/>
      <c r="AV484" s="31"/>
      <c r="AW484" s="27"/>
      <c r="AX484" s="27"/>
      <c r="AY484" s="27"/>
      <c r="AZ484" s="27"/>
      <c r="BA484" s="30" t="str">
        <f t="shared" si="70"/>
        <v/>
      </c>
      <c r="BB484" s="30" t="str">
        <f t="shared" si="71"/>
        <v/>
      </c>
      <c r="BC484" s="30">
        <f>IF(X484=0,0,IF(COUNTIFS($X$10:X484,1,$BA$10:BA484,BA484)=1,1,0))</f>
        <v>0</v>
      </c>
      <c r="BD484" s="29"/>
    </row>
    <row r="485" spans="1:56" ht="42" customHeight="1">
      <c r="A485" s="41"/>
      <c r="B485" s="44"/>
      <c r="C485" s="44"/>
      <c r="D485" s="44"/>
      <c r="E485" s="44"/>
      <c r="F485" s="44"/>
      <c r="G485" s="44"/>
      <c r="H485" s="44"/>
      <c r="I485" s="44"/>
      <c r="J485" s="44"/>
      <c r="K485" s="44"/>
      <c r="L485" s="49"/>
      <c r="M485" s="48"/>
      <c r="N485" s="48"/>
      <c r="O485" s="48"/>
      <c r="P485" s="48"/>
      <c r="Q485" s="48"/>
      <c r="R485" s="48"/>
      <c r="S485" s="49"/>
      <c r="T485" s="48"/>
      <c r="U485" s="48"/>
      <c r="V485" s="14">
        <f t="shared" si="63"/>
        <v>0</v>
      </c>
      <c r="W485" s="14">
        <f t="shared" si="64"/>
        <v>0</v>
      </c>
      <c r="X485" s="14">
        <f>IF(AND(V485=1,OR(Painel!$C$6="Todos",D485=Painel!$C$6),AND(OR(Painel!$L$6="Todas",E485=Painel!$L$6),OR(Painel!$C$8="Todos",F485=Painel!$C$8),OR(Painel!$L$8="Todos",G485=Painel!$L$8),OR(Painel!$C$10="",ISNUMBER(SEARCH(SUBSTITUTE(SUBSTITUTE(SUBSTITUTE(Painel!$C$10,"~","~~"),"*","~*"),"?","~?"),A485&amp;" "&amp;H485&amp;" "&amp;I485))))),1,0)</f>
        <v>0</v>
      </c>
      <c r="Y485" s="14">
        <f t="shared" si="65"/>
        <v>0</v>
      </c>
      <c r="Z485" s="15" t="str">
        <f>IF(V485=0,"",IF(COUNTIFS(Andamentos!$K$10:$K$2009,"="&amp;SUBSTITUTE(SUBSTITUTE(SUBSTITUTE("P:"&amp;A485,"~","~~"),"*","~*"),"?","~?"),Andamentos!$G$10:$G$2009,1)=0,"",_xlfn.AGGREGATE(14,6,Andamentos!$D$10:$D$2009/((Andamentos!$K$10:$K$2009=AS485)*(Andamentos!$G$10:$G$2009=1)),1)))</f>
        <v/>
      </c>
      <c r="AA485" s="14">
        <f>IF(Z485="",0,COUNTIFS(Andamentos!$K$10:$K$2009,"="&amp;SUBSTITUTE(SUBSTITUTE(SUBSTITUTE("P:"&amp;A485,"~","~~"),"*","~*"),"?","~?"),Andamentos!$D$10:$D$2009,Z485,Andamentos!$G$10:$G$2009,1))</f>
        <v>0</v>
      </c>
      <c r="AB485" s="14">
        <f>IF(AA485=1,SUMIFS(Andamentos!$L$10:$L$2009,Andamentos!$K$10:$K$2009,"="&amp;SUBSTITUTE(SUBSTITUTE(SUBSTITUTE(AS485,"~","~~"),"*","~*"),"?","~?"),Andamentos!$D$10:$D$2009,Z485,Andamentos!$G$10:$G$2009,1)-9,0)</f>
        <v>0</v>
      </c>
      <c r="AC485" s="14" t="str">
        <f>IF(V485=0,"",IF(AA485&gt;1,"Conferir recebimentos empatados",IF(AB485=0,"Sem atualização",INDEX(Andamentos!$C$10:$C$2009,AB485))))</f>
        <v/>
      </c>
      <c r="AD485" s="14">
        <f>IF(W485=0,0,IF(MAX(Z485,BD485)=0,1,IF(Configurar!$J$12-INT(MAX(Z485,BD485))&gt;Configurar!$J$11,1,0)))</f>
        <v>0</v>
      </c>
      <c r="AE485" s="16"/>
      <c r="AF485" s="14"/>
      <c r="AG485" s="14"/>
      <c r="AH485" s="14">
        <f>IF(AND(V485=1,COUNTIFS(Valores!$S$10:$S$509,"="&amp;SUBSTITUTE(SUBSTITUTE(SUBSTITUTE("P:"&amp;A485,"~","~~"),"*","~*"),"?","~?"))=1),(IF(ISNA(MATCH(SUBSTITUTE(SUBSTITUTE(SUBSTITUTE("P:"&amp;A485,"~","~~"),"*","~*"),"?","~?"),Valores!$S$10:$S$509,0)),9,INDEX(Valores!$R$10:$R$509,MATCH(SUBSTITUTE(SUBSTITUTE(SUBSTITUTE("P:"&amp;A485,"~","~~"),"*","~*"),"?","~?"),Valores!$S$10:$S$509,0)))-9),0)</f>
        <v>0</v>
      </c>
      <c r="AI485" s="40" t="str">
        <f t="shared" si="66"/>
        <v/>
      </c>
      <c r="AJ485" s="14" t="str">
        <f>IF(AND(X485=1,Y485=1),COUNTIFS($X$10:X485,1,$Y$10:Y485,1),"")</f>
        <v/>
      </c>
      <c r="AK485" s="14" t="str">
        <f>IF(X485=1,COUNTIFS($X$10:X485,1),"")</f>
        <v/>
      </c>
      <c r="AL485" s="14">
        <f>IF(AND(V485=1,AND(OR(Painel!$L$6="Todas",E485=Painel!$L$6),OR(Painel!$C$8="Todos",F485=Painel!$C$8),OR(Painel!$L$8="Todos",G485=Painel!$L$8),OR(Painel!$C$10="",ISNUMBER(SEARCH(SUBSTITUTE(SUBSTITUTE(SUBSTITUTE(Painel!$C$10,"~","~~"),"*","~*"),"?","~?"),A485&amp;" "&amp;H485&amp;" "&amp;I485))))),1,0)</f>
        <v>0</v>
      </c>
      <c r="AM485" s="14">
        <f t="shared" si="67"/>
        <v>0</v>
      </c>
      <c r="AN485" s="14"/>
      <c r="AO485" s="14"/>
      <c r="AP485" s="16" t="str">
        <f>IF(AB485=0,"",IF(INDEX(Andamentos!$B$10:$B$2009,AB485)="","",INDEX(Andamentos!$B$10:$B$2009,AB485)))</f>
        <v/>
      </c>
      <c r="AQ485" s="17" t="str">
        <f>IF(AH485=0,"",IF(INDEX(Valores!$B$10:$B$509,AH485)="","",IF(ISNUMBER(INDEX(Valores!$B$10:$B$509,AH485)),INDEX(Valores!$B$10:$B$509,AH485),"")))</f>
        <v/>
      </c>
      <c r="AR485" s="14" t="str">
        <f t="shared" si="68"/>
        <v/>
      </c>
      <c r="AS485" s="14" t="str">
        <f t="shared" si="69"/>
        <v/>
      </c>
      <c r="AT485" s="27"/>
      <c r="AU485" s="31"/>
      <c r="AV485" s="31"/>
      <c r="AW485" s="27"/>
      <c r="AX485" s="27"/>
      <c r="AY485" s="27"/>
      <c r="AZ485" s="27"/>
      <c r="BA485" s="30" t="str">
        <f t="shared" si="70"/>
        <v/>
      </c>
      <c r="BB485" s="30" t="str">
        <f t="shared" si="71"/>
        <v/>
      </c>
      <c r="BC485" s="30">
        <f>IF(X485=0,0,IF(COUNTIFS($X$10:X485,1,$BA$10:BA485,BA485)=1,1,0))</f>
        <v>0</v>
      </c>
      <c r="BD485" s="29"/>
    </row>
    <row r="486" spans="1:56" ht="42" customHeight="1">
      <c r="A486" s="41"/>
      <c r="B486" s="44"/>
      <c r="C486" s="44"/>
      <c r="D486" s="44"/>
      <c r="E486" s="44"/>
      <c r="F486" s="44"/>
      <c r="G486" s="44"/>
      <c r="H486" s="44"/>
      <c r="I486" s="44"/>
      <c r="J486" s="44"/>
      <c r="K486" s="44"/>
      <c r="L486" s="49"/>
      <c r="M486" s="48"/>
      <c r="N486" s="48"/>
      <c r="O486" s="48"/>
      <c r="P486" s="48"/>
      <c r="Q486" s="48"/>
      <c r="R486" s="48"/>
      <c r="S486" s="49"/>
      <c r="T486" s="48"/>
      <c r="U486" s="48"/>
      <c r="V486" s="14">
        <f t="shared" si="63"/>
        <v>0</v>
      </c>
      <c r="W486" s="14">
        <f t="shared" si="64"/>
        <v>0</v>
      </c>
      <c r="X486" s="14">
        <f>IF(AND(V486=1,OR(Painel!$C$6="Todos",D486=Painel!$C$6),AND(OR(Painel!$L$6="Todas",E486=Painel!$L$6),OR(Painel!$C$8="Todos",F486=Painel!$C$8),OR(Painel!$L$8="Todos",G486=Painel!$L$8),OR(Painel!$C$10="",ISNUMBER(SEARCH(SUBSTITUTE(SUBSTITUTE(SUBSTITUTE(Painel!$C$10,"~","~~"),"*","~*"),"?","~?"),A486&amp;" "&amp;H486&amp;" "&amp;I486))))),1,0)</f>
        <v>0</v>
      </c>
      <c r="Y486" s="14">
        <f t="shared" si="65"/>
        <v>0</v>
      </c>
      <c r="Z486" s="15" t="str">
        <f>IF(V486=0,"",IF(COUNTIFS(Andamentos!$K$10:$K$2009,"="&amp;SUBSTITUTE(SUBSTITUTE(SUBSTITUTE("P:"&amp;A486,"~","~~"),"*","~*"),"?","~?"),Andamentos!$G$10:$G$2009,1)=0,"",_xlfn.AGGREGATE(14,6,Andamentos!$D$10:$D$2009/((Andamentos!$K$10:$K$2009=AS486)*(Andamentos!$G$10:$G$2009=1)),1)))</f>
        <v/>
      </c>
      <c r="AA486" s="14">
        <f>IF(Z486="",0,COUNTIFS(Andamentos!$K$10:$K$2009,"="&amp;SUBSTITUTE(SUBSTITUTE(SUBSTITUTE("P:"&amp;A486,"~","~~"),"*","~*"),"?","~?"),Andamentos!$D$10:$D$2009,Z486,Andamentos!$G$10:$G$2009,1))</f>
        <v>0</v>
      </c>
      <c r="AB486" s="14">
        <f>IF(AA486=1,SUMIFS(Andamentos!$L$10:$L$2009,Andamentos!$K$10:$K$2009,"="&amp;SUBSTITUTE(SUBSTITUTE(SUBSTITUTE(AS486,"~","~~"),"*","~*"),"?","~?"),Andamentos!$D$10:$D$2009,Z486,Andamentos!$G$10:$G$2009,1)-9,0)</f>
        <v>0</v>
      </c>
      <c r="AC486" s="14" t="str">
        <f>IF(V486=0,"",IF(AA486&gt;1,"Conferir recebimentos empatados",IF(AB486=0,"Sem atualização",INDEX(Andamentos!$C$10:$C$2009,AB486))))</f>
        <v/>
      </c>
      <c r="AD486" s="14">
        <f>IF(W486=0,0,IF(MAX(Z486,BD486)=0,1,IF(Configurar!$J$12-INT(MAX(Z486,BD486))&gt;Configurar!$J$11,1,0)))</f>
        <v>0</v>
      </c>
      <c r="AE486" s="16"/>
      <c r="AF486" s="14"/>
      <c r="AG486" s="14"/>
      <c r="AH486" s="14">
        <f>IF(AND(V486=1,COUNTIFS(Valores!$S$10:$S$509,"="&amp;SUBSTITUTE(SUBSTITUTE(SUBSTITUTE("P:"&amp;A486,"~","~~"),"*","~*"),"?","~?"))=1),(IF(ISNA(MATCH(SUBSTITUTE(SUBSTITUTE(SUBSTITUTE("P:"&amp;A486,"~","~~"),"*","~*"),"?","~?"),Valores!$S$10:$S$509,0)),9,INDEX(Valores!$R$10:$R$509,MATCH(SUBSTITUTE(SUBSTITUTE(SUBSTITUTE("P:"&amp;A486,"~","~~"),"*","~*"),"?","~?"),Valores!$S$10:$S$509,0)))-9),0)</f>
        <v>0</v>
      </c>
      <c r="AI486" s="40" t="str">
        <f t="shared" si="66"/>
        <v/>
      </c>
      <c r="AJ486" s="14" t="str">
        <f>IF(AND(X486=1,Y486=1),COUNTIFS($X$10:X486,1,$Y$10:Y486,1),"")</f>
        <v/>
      </c>
      <c r="AK486" s="14" t="str">
        <f>IF(X486=1,COUNTIFS($X$10:X486,1),"")</f>
        <v/>
      </c>
      <c r="AL486" s="14">
        <f>IF(AND(V486=1,AND(OR(Painel!$L$6="Todas",E486=Painel!$L$6),OR(Painel!$C$8="Todos",F486=Painel!$C$8),OR(Painel!$L$8="Todos",G486=Painel!$L$8),OR(Painel!$C$10="",ISNUMBER(SEARCH(SUBSTITUTE(SUBSTITUTE(SUBSTITUTE(Painel!$C$10,"~","~~"),"*","~*"),"?","~?"),A486&amp;" "&amp;H486&amp;" "&amp;I486))))),1,0)</f>
        <v>0</v>
      </c>
      <c r="AM486" s="14">
        <f t="shared" si="67"/>
        <v>0</v>
      </c>
      <c r="AN486" s="14"/>
      <c r="AO486" s="14"/>
      <c r="AP486" s="16" t="str">
        <f>IF(AB486=0,"",IF(INDEX(Andamentos!$B$10:$B$2009,AB486)="","",INDEX(Andamentos!$B$10:$B$2009,AB486)))</f>
        <v/>
      </c>
      <c r="AQ486" s="17" t="str">
        <f>IF(AH486=0,"",IF(INDEX(Valores!$B$10:$B$509,AH486)="","",IF(ISNUMBER(INDEX(Valores!$B$10:$B$509,AH486)),INDEX(Valores!$B$10:$B$509,AH486),"")))</f>
        <v/>
      </c>
      <c r="AR486" s="14" t="str">
        <f t="shared" si="68"/>
        <v/>
      </c>
      <c r="AS486" s="14" t="str">
        <f t="shared" si="69"/>
        <v/>
      </c>
      <c r="AT486" s="27"/>
      <c r="AU486" s="31"/>
      <c r="AV486" s="31"/>
      <c r="AW486" s="27"/>
      <c r="AX486" s="27"/>
      <c r="AY486" s="27"/>
      <c r="AZ486" s="27"/>
      <c r="BA486" s="30" t="str">
        <f t="shared" si="70"/>
        <v/>
      </c>
      <c r="BB486" s="30" t="str">
        <f t="shared" si="71"/>
        <v/>
      </c>
      <c r="BC486" s="30">
        <f>IF(X486=0,0,IF(COUNTIFS($X$10:X486,1,$BA$10:BA486,BA486)=1,1,0))</f>
        <v>0</v>
      </c>
      <c r="BD486" s="29"/>
    </row>
    <row r="487" spans="1:56" ht="42" customHeight="1">
      <c r="A487" s="41"/>
      <c r="B487" s="44"/>
      <c r="C487" s="44"/>
      <c r="D487" s="44"/>
      <c r="E487" s="44"/>
      <c r="F487" s="44"/>
      <c r="G487" s="44"/>
      <c r="H487" s="44"/>
      <c r="I487" s="44"/>
      <c r="J487" s="44"/>
      <c r="K487" s="44"/>
      <c r="L487" s="49"/>
      <c r="M487" s="48"/>
      <c r="N487" s="48"/>
      <c r="O487" s="48"/>
      <c r="P487" s="48"/>
      <c r="Q487" s="48"/>
      <c r="R487" s="48"/>
      <c r="S487" s="49"/>
      <c r="T487" s="48"/>
      <c r="U487" s="48"/>
      <c r="V487" s="14">
        <f t="shared" si="63"/>
        <v>0</v>
      </c>
      <c r="W487" s="14">
        <f t="shared" si="64"/>
        <v>0</v>
      </c>
      <c r="X487" s="14">
        <f>IF(AND(V487=1,OR(Painel!$C$6="Todos",D487=Painel!$C$6),AND(OR(Painel!$L$6="Todas",E487=Painel!$L$6),OR(Painel!$C$8="Todos",F487=Painel!$C$8),OR(Painel!$L$8="Todos",G487=Painel!$L$8),OR(Painel!$C$10="",ISNUMBER(SEARCH(SUBSTITUTE(SUBSTITUTE(SUBSTITUTE(Painel!$C$10,"~","~~"),"*","~*"),"?","~?"),A487&amp;" "&amp;H487&amp;" "&amp;I487))))),1,0)</f>
        <v>0</v>
      </c>
      <c r="Y487" s="14">
        <f t="shared" si="65"/>
        <v>0</v>
      </c>
      <c r="Z487" s="15" t="str">
        <f>IF(V487=0,"",IF(COUNTIFS(Andamentos!$K$10:$K$2009,"="&amp;SUBSTITUTE(SUBSTITUTE(SUBSTITUTE("P:"&amp;A487,"~","~~"),"*","~*"),"?","~?"),Andamentos!$G$10:$G$2009,1)=0,"",_xlfn.AGGREGATE(14,6,Andamentos!$D$10:$D$2009/((Andamentos!$K$10:$K$2009=AS487)*(Andamentos!$G$10:$G$2009=1)),1)))</f>
        <v/>
      </c>
      <c r="AA487" s="14">
        <f>IF(Z487="",0,COUNTIFS(Andamentos!$K$10:$K$2009,"="&amp;SUBSTITUTE(SUBSTITUTE(SUBSTITUTE("P:"&amp;A487,"~","~~"),"*","~*"),"?","~?"),Andamentos!$D$10:$D$2009,Z487,Andamentos!$G$10:$G$2009,1))</f>
        <v>0</v>
      </c>
      <c r="AB487" s="14">
        <f>IF(AA487=1,SUMIFS(Andamentos!$L$10:$L$2009,Andamentos!$K$10:$K$2009,"="&amp;SUBSTITUTE(SUBSTITUTE(SUBSTITUTE(AS487,"~","~~"),"*","~*"),"?","~?"),Andamentos!$D$10:$D$2009,Z487,Andamentos!$G$10:$G$2009,1)-9,0)</f>
        <v>0</v>
      </c>
      <c r="AC487" s="14" t="str">
        <f>IF(V487=0,"",IF(AA487&gt;1,"Conferir recebimentos empatados",IF(AB487=0,"Sem atualização",INDEX(Andamentos!$C$10:$C$2009,AB487))))</f>
        <v/>
      </c>
      <c r="AD487" s="14">
        <f>IF(W487=0,0,IF(MAX(Z487,BD487)=0,1,IF(Configurar!$J$12-INT(MAX(Z487,BD487))&gt;Configurar!$J$11,1,0)))</f>
        <v>0</v>
      </c>
      <c r="AE487" s="16"/>
      <c r="AF487" s="14"/>
      <c r="AG487" s="14"/>
      <c r="AH487" s="14">
        <f>IF(AND(V487=1,COUNTIFS(Valores!$S$10:$S$509,"="&amp;SUBSTITUTE(SUBSTITUTE(SUBSTITUTE("P:"&amp;A487,"~","~~"),"*","~*"),"?","~?"))=1),(IF(ISNA(MATCH(SUBSTITUTE(SUBSTITUTE(SUBSTITUTE("P:"&amp;A487,"~","~~"),"*","~*"),"?","~?"),Valores!$S$10:$S$509,0)),9,INDEX(Valores!$R$10:$R$509,MATCH(SUBSTITUTE(SUBSTITUTE(SUBSTITUTE("P:"&amp;A487,"~","~~"),"*","~*"),"?","~?"),Valores!$S$10:$S$509,0)))-9),0)</f>
        <v>0</v>
      </c>
      <c r="AI487" s="40" t="str">
        <f t="shared" si="66"/>
        <v/>
      </c>
      <c r="AJ487" s="14" t="str">
        <f>IF(AND(X487=1,Y487=1),COUNTIFS($X$10:X487,1,$Y$10:Y487,1),"")</f>
        <v/>
      </c>
      <c r="AK487" s="14" t="str">
        <f>IF(X487=1,COUNTIFS($X$10:X487,1),"")</f>
        <v/>
      </c>
      <c r="AL487" s="14">
        <f>IF(AND(V487=1,AND(OR(Painel!$L$6="Todas",E487=Painel!$L$6),OR(Painel!$C$8="Todos",F487=Painel!$C$8),OR(Painel!$L$8="Todos",G487=Painel!$L$8),OR(Painel!$C$10="",ISNUMBER(SEARCH(SUBSTITUTE(SUBSTITUTE(SUBSTITUTE(Painel!$C$10,"~","~~"),"*","~*"),"?","~?"),A487&amp;" "&amp;H487&amp;" "&amp;I487))))),1,0)</f>
        <v>0</v>
      </c>
      <c r="AM487" s="14">
        <f t="shared" si="67"/>
        <v>0</v>
      </c>
      <c r="AN487" s="14"/>
      <c r="AO487" s="14"/>
      <c r="AP487" s="16" t="str">
        <f>IF(AB487=0,"",IF(INDEX(Andamentos!$B$10:$B$2009,AB487)="","",INDEX(Andamentos!$B$10:$B$2009,AB487)))</f>
        <v/>
      </c>
      <c r="AQ487" s="17" t="str">
        <f>IF(AH487=0,"",IF(INDEX(Valores!$B$10:$B$509,AH487)="","",IF(ISNUMBER(INDEX(Valores!$B$10:$B$509,AH487)),INDEX(Valores!$B$10:$B$509,AH487),"")))</f>
        <v/>
      </c>
      <c r="AR487" s="14" t="str">
        <f t="shared" si="68"/>
        <v/>
      </c>
      <c r="AS487" s="14" t="str">
        <f t="shared" si="69"/>
        <v/>
      </c>
      <c r="AT487" s="27"/>
      <c r="AU487" s="31"/>
      <c r="AV487" s="31"/>
      <c r="AW487" s="27"/>
      <c r="AX487" s="27"/>
      <c r="AY487" s="27"/>
      <c r="AZ487" s="27"/>
      <c r="BA487" s="30" t="str">
        <f t="shared" si="70"/>
        <v/>
      </c>
      <c r="BB487" s="30" t="str">
        <f t="shared" si="71"/>
        <v/>
      </c>
      <c r="BC487" s="30">
        <f>IF(X487=0,0,IF(COUNTIFS($X$10:X487,1,$BA$10:BA487,BA487)=1,1,0))</f>
        <v>0</v>
      </c>
      <c r="BD487" s="29"/>
    </row>
    <row r="488" spans="1:56" ht="42" customHeight="1">
      <c r="A488" s="41"/>
      <c r="B488" s="44"/>
      <c r="C488" s="44"/>
      <c r="D488" s="44"/>
      <c r="E488" s="44"/>
      <c r="F488" s="44"/>
      <c r="G488" s="44"/>
      <c r="H488" s="44"/>
      <c r="I488" s="44"/>
      <c r="J488" s="44"/>
      <c r="K488" s="44"/>
      <c r="L488" s="49"/>
      <c r="M488" s="48"/>
      <c r="N488" s="48"/>
      <c r="O488" s="48"/>
      <c r="P488" s="48"/>
      <c r="Q488" s="48"/>
      <c r="R488" s="48"/>
      <c r="S488" s="49"/>
      <c r="T488" s="48"/>
      <c r="U488" s="48"/>
      <c r="V488" s="14">
        <f t="shared" si="63"/>
        <v>0</v>
      </c>
      <c r="W488" s="14">
        <f t="shared" si="64"/>
        <v>0</v>
      </c>
      <c r="X488" s="14">
        <f>IF(AND(V488=1,OR(Painel!$C$6="Todos",D488=Painel!$C$6),AND(OR(Painel!$L$6="Todas",E488=Painel!$L$6),OR(Painel!$C$8="Todos",F488=Painel!$C$8),OR(Painel!$L$8="Todos",G488=Painel!$L$8),OR(Painel!$C$10="",ISNUMBER(SEARCH(SUBSTITUTE(SUBSTITUTE(SUBSTITUTE(Painel!$C$10,"~","~~"),"*","~*"),"?","~?"),A488&amp;" "&amp;H488&amp;" "&amp;I488))))),1,0)</f>
        <v>0</v>
      </c>
      <c r="Y488" s="14">
        <f t="shared" si="65"/>
        <v>0</v>
      </c>
      <c r="Z488" s="15" t="str">
        <f>IF(V488=0,"",IF(COUNTIFS(Andamentos!$K$10:$K$2009,"="&amp;SUBSTITUTE(SUBSTITUTE(SUBSTITUTE("P:"&amp;A488,"~","~~"),"*","~*"),"?","~?"),Andamentos!$G$10:$G$2009,1)=0,"",_xlfn.AGGREGATE(14,6,Andamentos!$D$10:$D$2009/((Andamentos!$K$10:$K$2009=AS488)*(Andamentos!$G$10:$G$2009=1)),1)))</f>
        <v/>
      </c>
      <c r="AA488" s="14">
        <f>IF(Z488="",0,COUNTIFS(Andamentos!$K$10:$K$2009,"="&amp;SUBSTITUTE(SUBSTITUTE(SUBSTITUTE("P:"&amp;A488,"~","~~"),"*","~*"),"?","~?"),Andamentos!$D$10:$D$2009,Z488,Andamentos!$G$10:$G$2009,1))</f>
        <v>0</v>
      </c>
      <c r="AB488" s="14">
        <f>IF(AA488=1,SUMIFS(Andamentos!$L$10:$L$2009,Andamentos!$K$10:$K$2009,"="&amp;SUBSTITUTE(SUBSTITUTE(SUBSTITUTE(AS488,"~","~~"),"*","~*"),"?","~?"),Andamentos!$D$10:$D$2009,Z488,Andamentos!$G$10:$G$2009,1)-9,0)</f>
        <v>0</v>
      </c>
      <c r="AC488" s="14" t="str">
        <f>IF(V488=0,"",IF(AA488&gt;1,"Conferir recebimentos empatados",IF(AB488=0,"Sem atualização",INDEX(Andamentos!$C$10:$C$2009,AB488))))</f>
        <v/>
      </c>
      <c r="AD488" s="14">
        <f>IF(W488=0,0,IF(MAX(Z488,BD488)=0,1,IF(Configurar!$J$12-INT(MAX(Z488,BD488))&gt;Configurar!$J$11,1,0)))</f>
        <v>0</v>
      </c>
      <c r="AE488" s="16"/>
      <c r="AF488" s="14"/>
      <c r="AG488" s="14"/>
      <c r="AH488" s="14">
        <f>IF(AND(V488=1,COUNTIFS(Valores!$S$10:$S$509,"="&amp;SUBSTITUTE(SUBSTITUTE(SUBSTITUTE("P:"&amp;A488,"~","~~"),"*","~*"),"?","~?"))=1),(IF(ISNA(MATCH(SUBSTITUTE(SUBSTITUTE(SUBSTITUTE("P:"&amp;A488,"~","~~"),"*","~*"),"?","~?"),Valores!$S$10:$S$509,0)),9,INDEX(Valores!$R$10:$R$509,MATCH(SUBSTITUTE(SUBSTITUTE(SUBSTITUTE("P:"&amp;A488,"~","~~"),"*","~*"),"?","~?"),Valores!$S$10:$S$509,0)))-9),0)</f>
        <v>0</v>
      </c>
      <c r="AI488" s="40" t="str">
        <f t="shared" si="66"/>
        <v/>
      </c>
      <c r="AJ488" s="14" t="str">
        <f>IF(AND(X488=1,Y488=1),COUNTIFS($X$10:X488,1,$Y$10:Y488,1),"")</f>
        <v/>
      </c>
      <c r="AK488" s="14" t="str">
        <f>IF(X488=1,COUNTIFS($X$10:X488,1),"")</f>
        <v/>
      </c>
      <c r="AL488" s="14">
        <f>IF(AND(V488=1,AND(OR(Painel!$L$6="Todas",E488=Painel!$L$6),OR(Painel!$C$8="Todos",F488=Painel!$C$8),OR(Painel!$L$8="Todos",G488=Painel!$L$8),OR(Painel!$C$10="",ISNUMBER(SEARCH(SUBSTITUTE(SUBSTITUTE(SUBSTITUTE(Painel!$C$10,"~","~~"),"*","~*"),"?","~?"),A488&amp;" "&amp;H488&amp;" "&amp;I488))))),1,0)</f>
        <v>0</v>
      </c>
      <c r="AM488" s="14">
        <f t="shared" si="67"/>
        <v>0</v>
      </c>
      <c r="AN488" s="14"/>
      <c r="AO488" s="14"/>
      <c r="AP488" s="16" t="str">
        <f>IF(AB488=0,"",IF(INDEX(Andamentos!$B$10:$B$2009,AB488)="","",INDEX(Andamentos!$B$10:$B$2009,AB488)))</f>
        <v/>
      </c>
      <c r="AQ488" s="17" t="str">
        <f>IF(AH488=0,"",IF(INDEX(Valores!$B$10:$B$509,AH488)="","",IF(ISNUMBER(INDEX(Valores!$B$10:$B$509,AH488)),INDEX(Valores!$B$10:$B$509,AH488),"")))</f>
        <v/>
      </c>
      <c r="AR488" s="14" t="str">
        <f t="shared" si="68"/>
        <v/>
      </c>
      <c r="AS488" s="14" t="str">
        <f t="shared" si="69"/>
        <v/>
      </c>
      <c r="AT488" s="27"/>
      <c r="AU488" s="31"/>
      <c r="AV488" s="31"/>
      <c r="AW488" s="27"/>
      <c r="AX488" s="27"/>
      <c r="AY488" s="27"/>
      <c r="AZ488" s="27"/>
      <c r="BA488" s="30" t="str">
        <f t="shared" si="70"/>
        <v/>
      </c>
      <c r="BB488" s="30" t="str">
        <f t="shared" si="71"/>
        <v/>
      </c>
      <c r="BC488" s="30">
        <f>IF(X488=0,0,IF(COUNTIFS($X$10:X488,1,$BA$10:BA488,BA488)=1,1,0))</f>
        <v>0</v>
      </c>
      <c r="BD488" s="29"/>
    </row>
    <row r="489" spans="1:56" ht="42" customHeight="1">
      <c r="A489" s="41"/>
      <c r="B489" s="44"/>
      <c r="C489" s="44"/>
      <c r="D489" s="44"/>
      <c r="E489" s="44"/>
      <c r="F489" s="44"/>
      <c r="G489" s="44"/>
      <c r="H489" s="44"/>
      <c r="I489" s="44"/>
      <c r="J489" s="44"/>
      <c r="K489" s="44"/>
      <c r="L489" s="49"/>
      <c r="M489" s="48"/>
      <c r="N489" s="48"/>
      <c r="O489" s="48"/>
      <c r="P489" s="48"/>
      <c r="Q489" s="48"/>
      <c r="R489" s="48"/>
      <c r="S489" s="49"/>
      <c r="T489" s="48"/>
      <c r="U489" s="48"/>
      <c r="V489" s="14">
        <f t="shared" si="63"/>
        <v>0</v>
      </c>
      <c r="W489" s="14">
        <f t="shared" si="64"/>
        <v>0</v>
      </c>
      <c r="X489" s="14">
        <f>IF(AND(V489=1,OR(Painel!$C$6="Todos",D489=Painel!$C$6),AND(OR(Painel!$L$6="Todas",E489=Painel!$L$6),OR(Painel!$C$8="Todos",F489=Painel!$C$8),OR(Painel!$L$8="Todos",G489=Painel!$L$8),OR(Painel!$C$10="",ISNUMBER(SEARCH(SUBSTITUTE(SUBSTITUTE(SUBSTITUTE(Painel!$C$10,"~","~~"),"*","~*"),"?","~?"),A489&amp;" "&amp;H489&amp;" "&amp;I489))))),1,0)</f>
        <v>0</v>
      </c>
      <c r="Y489" s="14">
        <f t="shared" si="65"/>
        <v>0</v>
      </c>
      <c r="Z489" s="15" t="str">
        <f>IF(V489=0,"",IF(COUNTIFS(Andamentos!$K$10:$K$2009,"="&amp;SUBSTITUTE(SUBSTITUTE(SUBSTITUTE("P:"&amp;A489,"~","~~"),"*","~*"),"?","~?"),Andamentos!$G$10:$G$2009,1)=0,"",_xlfn.AGGREGATE(14,6,Andamentos!$D$10:$D$2009/((Andamentos!$K$10:$K$2009=AS489)*(Andamentos!$G$10:$G$2009=1)),1)))</f>
        <v/>
      </c>
      <c r="AA489" s="14">
        <f>IF(Z489="",0,COUNTIFS(Andamentos!$K$10:$K$2009,"="&amp;SUBSTITUTE(SUBSTITUTE(SUBSTITUTE("P:"&amp;A489,"~","~~"),"*","~*"),"?","~?"),Andamentos!$D$10:$D$2009,Z489,Andamentos!$G$10:$G$2009,1))</f>
        <v>0</v>
      </c>
      <c r="AB489" s="14">
        <f>IF(AA489=1,SUMIFS(Andamentos!$L$10:$L$2009,Andamentos!$K$10:$K$2009,"="&amp;SUBSTITUTE(SUBSTITUTE(SUBSTITUTE(AS489,"~","~~"),"*","~*"),"?","~?"),Andamentos!$D$10:$D$2009,Z489,Andamentos!$G$10:$G$2009,1)-9,0)</f>
        <v>0</v>
      </c>
      <c r="AC489" s="14" t="str">
        <f>IF(V489=0,"",IF(AA489&gt;1,"Conferir recebimentos empatados",IF(AB489=0,"Sem atualização",INDEX(Andamentos!$C$10:$C$2009,AB489))))</f>
        <v/>
      </c>
      <c r="AD489" s="14">
        <f>IF(W489=0,0,IF(MAX(Z489,BD489)=0,1,IF(Configurar!$J$12-INT(MAX(Z489,BD489))&gt;Configurar!$J$11,1,0)))</f>
        <v>0</v>
      </c>
      <c r="AE489" s="16"/>
      <c r="AF489" s="14"/>
      <c r="AG489" s="14"/>
      <c r="AH489" s="14">
        <f>IF(AND(V489=1,COUNTIFS(Valores!$S$10:$S$509,"="&amp;SUBSTITUTE(SUBSTITUTE(SUBSTITUTE("P:"&amp;A489,"~","~~"),"*","~*"),"?","~?"))=1),(IF(ISNA(MATCH(SUBSTITUTE(SUBSTITUTE(SUBSTITUTE("P:"&amp;A489,"~","~~"),"*","~*"),"?","~?"),Valores!$S$10:$S$509,0)),9,INDEX(Valores!$R$10:$R$509,MATCH(SUBSTITUTE(SUBSTITUTE(SUBSTITUTE("P:"&amp;A489,"~","~~"),"*","~*"),"?","~?"),Valores!$S$10:$S$509,0)))-9),0)</f>
        <v>0</v>
      </c>
      <c r="AI489" s="40" t="str">
        <f t="shared" si="66"/>
        <v/>
      </c>
      <c r="AJ489" s="14" t="str">
        <f>IF(AND(X489=1,Y489=1),COUNTIFS($X$10:X489,1,$Y$10:Y489,1),"")</f>
        <v/>
      </c>
      <c r="AK489" s="14" t="str">
        <f>IF(X489=1,COUNTIFS($X$10:X489,1),"")</f>
        <v/>
      </c>
      <c r="AL489" s="14">
        <f>IF(AND(V489=1,AND(OR(Painel!$L$6="Todas",E489=Painel!$L$6),OR(Painel!$C$8="Todos",F489=Painel!$C$8),OR(Painel!$L$8="Todos",G489=Painel!$L$8),OR(Painel!$C$10="",ISNUMBER(SEARCH(SUBSTITUTE(SUBSTITUTE(SUBSTITUTE(Painel!$C$10,"~","~~"),"*","~*"),"?","~?"),A489&amp;" "&amp;H489&amp;" "&amp;I489))))),1,0)</f>
        <v>0</v>
      </c>
      <c r="AM489" s="14">
        <f t="shared" si="67"/>
        <v>0</v>
      </c>
      <c r="AN489" s="14"/>
      <c r="AO489" s="14"/>
      <c r="AP489" s="16" t="str">
        <f>IF(AB489=0,"",IF(INDEX(Andamentos!$B$10:$B$2009,AB489)="","",INDEX(Andamentos!$B$10:$B$2009,AB489)))</f>
        <v/>
      </c>
      <c r="AQ489" s="17" t="str">
        <f>IF(AH489=0,"",IF(INDEX(Valores!$B$10:$B$509,AH489)="","",IF(ISNUMBER(INDEX(Valores!$B$10:$B$509,AH489)),INDEX(Valores!$B$10:$B$509,AH489),"")))</f>
        <v/>
      </c>
      <c r="AR489" s="14" t="str">
        <f t="shared" si="68"/>
        <v/>
      </c>
      <c r="AS489" s="14" t="str">
        <f t="shared" si="69"/>
        <v/>
      </c>
      <c r="AT489" s="27"/>
      <c r="AU489" s="31"/>
      <c r="AV489" s="31"/>
      <c r="AW489" s="27"/>
      <c r="AX489" s="27"/>
      <c r="AY489" s="27"/>
      <c r="AZ489" s="27"/>
      <c r="BA489" s="30" t="str">
        <f t="shared" si="70"/>
        <v/>
      </c>
      <c r="BB489" s="30" t="str">
        <f t="shared" si="71"/>
        <v/>
      </c>
      <c r="BC489" s="30">
        <f>IF(X489=0,0,IF(COUNTIFS($X$10:X489,1,$BA$10:BA489,BA489)=1,1,0))</f>
        <v>0</v>
      </c>
      <c r="BD489" s="29"/>
    </row>
    <row r="490" spans="1:56" ht="42" customHeight="1">
      <c r="A490" s="41"/>
      <c r="B490" s="44"/>
      <c r="C490" s="44"/>
      <c r="D490" s="44"/>
      <c r="E490" s="44"/>
      <c r="F490" s="44"/>
      <c r="G490" s="44"/>
      <c r="H490" s="44"/>
      <c r="I490" s="44"/>
      <c r="J490" s="44"/>
      <c r="K490" s="44"/>
      <c r="L490" s="49"/>
      <c r="M490" s="48"/>
      <c r="N490" s="48"/>
      <c r="O490" s="48"/>
      <c r="P490" s="48"/>
      <c r="Q490" s="48"/>
      <c r="R490" s="48"/>
      <c r="S490" s="49"/>
      <c r="T490" s="48"/>
      <c r="U490" s="48"/>
      <c r="V490" s="14">
        <f t="shared" si="63"/>
        <v>0</v>
      </c>
      <c r="W490" s="14">
        <f t="shared" si="64"/>
        <v>0</v>
      </c>
      <c r="X490" s="14">
        <f>IF(AND(V490=1,OR(Painel!$C$6="Todos",D490=Painel!$C$6),AND(OR(Painel!$L$6="Todas",E490=Painel!$L$6),OR(Painel!$C$8="Todos",F490=Painel!$C$8),OR(Painel!$L$8="Todos",G490=Painel!$L$8),OR(Painel!$C$10="",ISNUMBER(SEARCH(SUBSTITUTE(SUBSTITUTE(SUBSTITUTE(Painel!$C$10,"~","~~"),"*","~*"),"?","~?"),A490&amp;" "&amp;H490&amp;" "&amp;I490))))),1,0)</f>
        <v>0</v>
      </c>
      <c r="Y490" s="14">
        <f t="shared" si="65"/>
        <v>0</v>
      </c>
      <c r="Z490" s="15" t="str">
        <f>IF(V490=0,"",IF(COUNTIFS(Andamentos!$K$10:$K$2009,"="&amp;SUBSTITUTE(SUBSTITUTE(SUBSTITUTE("P:"&amp;A490,"~","~~"),"*","~*"),"?","~?"),Andamentos!$G$10:$G$2009,1)=0,"",_xlfn.AGGREGATE(14,6,Andamentos!$D$10:$D$2009/((Andamentos!$K$10:$K$2009=AS490)*(Andamentos!$G$10:$G$2009=1)),1)))</f>
        <v/>
      </c>
      <c r="AA490" s="14">
        <f>IF(Z490="",0,COUNTIFS(Andamentos!$K$10:$K$2009,"="&amp;SUBSTITUTE(SUBSTITUTE(SUBSTITUTE("P:"&amp;A490,"~","~~"),"*","~*"),"?","~?"),Andamentos!$D$10:$D$2009,Z490,Andamentos!$G$10:$G$2009,1))</f>
        <v>0</v>
      </c>
      <c r="AB490" s="14">
        <f>IF(AA490=1,SUMIFS(Andamentos!$L$10:$L$2009,Andamentos!$K$10:$K$2009,"="&amp;SUBSTITUTE(SUBSTITUTE(SUBSTITUTE(AS490,"~","~~"),"*","~*"),"?","~?"),Andamentos!$D$10:$D$2009,Z490,Andamentos!$G$10:$G$2009,1)-9,0)</f>
        <v>0</v>
      </c>
      <c r="AC490" s="14" t="str">
        <f>IF(V490=0,"",IF(AA490&gt;1,"Conferir recebimentos empatados",IF(AB490=0,"Sem atualização",INDEX(Andamentos!$C$10:$C$2009,AB490))))</f>
        <v/>
      </c>
      <c r="AD490" s="14">
        <f>IF(W490=0,0,IF(MAX(Z490,BD490)=0,1,IF(Configurar!$J$12-INT(MAX(Z490,BD490))&gt;Configurar!$J$11,1,0)))</f>
        <v>0</v>
      </c>
      <c r="AE490" s="16"/>
      <c r="AF490" s="14"/>
      <c r="AG490" s="14"/>
      <c r="AH490" s="14">
        <f>IF(AND(V490=1,COUNTIFS(Valores!$S$10:$S$509,"="&amp;SUBSTITUTE(SUBSTITUTE(SUBSTITUTE("P:"&amp;A490,"~","~~"),"*","~*"),"?","~?"))=1),(IF(ISNA(MATCH(SUBSTITUTE(SUBSTITUTE(SUBSTITUTE("P:"&amp;A490,"~","~~"),"*","~*"),"?","~?"),Valores!$S$10:$S$509,0)),9,INDEX(Valores!$R$10:$R$509,MATCH(SUBSTITUTE(SUBSTITUTE(SUBSTITUTE("P:"&amp;A490,"~","~~"),"*","~*"),"?","~?"),Valores!$S$10:$S$509,0)))-9),0)</f>
        <v>0</v>
      </c>
      <c r="AI490" s="40" t="str">
        <f t="shared" si="66"/>
        <v/>
      </c>
      <c r="AJ490" s="14" t="str">
        <f>IF(AND(X490=1,Y490=1),COUNTIFS($X$10:X490,1,$Y$10:Y490,1),"")</f>
        <v/>
      </c>
      <c r="AK490" s="14" t="str">
        <f>IF(X490=1,COUNTIFS($X$10:X490,1),"")</f>
        <v/>
      </c>
      <c r="AL490" s="14">
        <f>IF(AND(V490=1,AND(OR(Painel!$L$6="Todas",E490=Painel!$L$6),OR(Painel!$C$8="Todos",F490=Painel!$C$8),OR(Painel!$L$8="Todos",G490=Painel!$L$8),OR(Painel!$C$10="",ISNUMBER(SEARCH(SUBSTITUTE(SUBSTITUTE(SUBSTITUTE(Painel!$C$10,"~","~~"),"*","~*"),"?","~?"),A490&amp;" "&amp;H490&amp;" "&amp;I490))))),1,0)</f>
        <v>0</v>
      </c>
      <c r="AM490" s="14">
        <f t="shared" si="67"/>
        <v>0</v>
      </c>
      <c r="AN490" s="14"/>
      <c r="AO490" s="14"/>
      <c r="AP490" s="16" t="str">
        <f>IF(AB490=0,"",IF(INDEX(Andamentos!$B$10:$B$2009,AB490)="","",INDEX(Andamentos!$B$10:$B$2009,AB490)))</f>
        <v/>
      </c>
      <c r="AQ490" s="17" t="str">
        <f>IF(AH490=0,"",IF(INDEX(Valores!$B$10:$B$509,AH490)="","",IF(ISNUMBER(INDEX(Valores!$B$10:$B$509,AH490)),INDEX(Valores!$B$10:$B$509,AH490),"")))</f>
        <v/>
      </c>
      <c r="AR490" s="14" t="str">
        <f t="shared" si="68"/>
        <v/>
      </c>
      <c r="AS490" s="14" t="str">
        <f t="shared" si="69"/>
        <v/>
      </c>
      <c r="AT490" s="27"/>
      <c r="AU490" s="31"/>
      <c r="AV490" s="31"/>
      <c r="AW490" s="27"/>
      <c r="AX490" s="27"/>
      <c r="AY490" s="27"/>
      <c r="AZ490" s="27"/>
      <c r="BA490" s="30" t="str">
        <f t="shared" si="70"/>
        <v/>
      </c>
      <c r="BB490" s="30" t="str">
        <f t="shared" si="71"/>
        <v/>
      </c>
      <c r="BC490" s="30">
        <f>IF(X490=0,0,IF(COUNTIFS($X$10:X490,1,$BA$10:BA490,BA490)=1,1,0))</f>
        <v>0</v>
      </c>
      <c r="BD490" s="29"/>
    </row>
    <row r="491" spans="1:56" ht="42" customHeight="1">
      <c r="A491" s="41"/>
      <c r="B491" s="44"/>
      <c r="C491" s="44"/>
      <c r="D491" s="44"/>
      <c r="E491" s="44"/>
      <c r="F491" s="44"/>
      <c r="G491" s="44"/>
      <c r="H491" s="44"/>
      <c r="I491" s="44"/>
      <c r="J491" s="44"/>
      <c r="K491" s="44"/>
      <c r="L491" s="49"/>
      <c r="M491" s="48"/>
      <c r="N491" s="48"/>
      <c r="O491" s="48"/>
      <c r="P491" s="48"/>
      <c r="Q491" s="48"/>
      <c r="R491" s="48"/>
      <c r="S491" s="49"/>
      <c r="T491" s="48"/>
      <c r="U491" s="48"/>
      <c r="V491" s="14">
        <f t="shared" si="63"/>
        <v>0</v>
      </c>
      <c r="W491" s="14">
        <f t="shared" si="64"/>
        <v>0</v>
      </c>
      <c r="X491" s="14">
        <f>IF(AND(V491=1,OR(Painel!$C$6="Todos",D491=Painel!$C$6),AND(OR(Painel!$L$6="Todas",E491=Painel!$L$6),OR(Painel!$C$8="Todos",F491=Painel!$C$8),OR(Painel!$L$8="Todos",G491=Painel!$L$8),OR(Painel!$C$10="",ISNUMBER(SEARCH(SUBSTITUTE(SUBSTITUTE(SUBSTITUTE(Painel!$C$10,"~","~~"),"*","~*"),"?","~?"),A491&amp;" "&amp;H491&amp;" "&amp;I491))))),1,0)</f>
        <v>0</v>
      </c>
      <c r="Y491" s="14">
        <f t="shared" si="65"/>
        <v>0</v>
      </c>
      <c r="Z491" s="15" t="str">
        <f>IF(V491=0,"",IF(COUNTIFS(Andamentos!$K$10:$K$2009,"="&amp;SUBSTITUTE(SUBSTITUTE(SUBSTITUTE("P:"&amp;A491,"~","~~"),"*","~*"),"?","~?"),Andamentos!$G$10:$G$2009,1)=0,"",_xlfn.AGGREGATE(14,6,Andamentos!$D$10:$D$2009/((Andamentos!$K$10:$K$2009=AS491)*(Andamentos!$G$10:$G$2009=1)),1)))</f>
        <v/>
      </c>
      <c r="AA491" s="14">
        <f>IF(Z491="",0,COUNTIFS(Andamentos!$K$10:$K$2009,"="&amp;SUBSTITUTE(SUBSTITUTE(SUBSTITUTE("P:"&amp;A491,"~","~~"),"*","~*"),"?","~?"),Andamentos!$D$10:$D$2009,Z491,Andamentos!$G$10:$G$2009,1))</f>
        <v>0</v>
      </c>
      <c r="AB491" s="14">
        <f>IF(AA491=1,SUMIFS(Andamentos!$L$10:$L$2009,Andamentos!$K$10:$K$2009,"="&amp;SUBSTITUTE(SUBSTITUTE(SUBSTITUTE(AS491,"~","~~"),"*","~*"),"?","~?"),Andamentos!$D$10:$D$2009,Z491,Andamentos!$G$10:$G$2009,1)-9,0)</f>
        <v>0</v>
      </c>
      <c r="AC491" s="14" t="str">
        <f>IF(V491=0,"",IF(AA491&gt;1,"Conferir recebimentos empatados",IF(AB491=0,"Sem atualização",INDEX(Andamentos!$C$10:$C$2009,AB491))))</f>
        <v/>
      </c>
      <c r="AD491" s="14">
        <f>IF(W491=0,0,IF(MAX(Z491,BD491)=0,1,IF(Configurar!$J$12-INT(MAX(Z491,BD491))&gt;Configurar!$J$11,1,0)))</f>
        <v>0</v>
      </c>
      <c r="AE491" s="16"/>
      <c r="AF491" s="14"/>
      <c r="AG491" s="14"/>
      <c r="AH491" s="14">
        <f>IF(AND(V491=1,COUNTIFS(Valores!$S$10:$S$509,"="&amp;SUBSTITUTE(SUBSTITUTE(SUBSTITUTE("P:"&amp;A491,"~","~~"),"*","~*"),"?","~?"))=1),(IF(ISNA(MATCH(SUBSTITUTE(SUBSTITUTE(SUBSTITUTE("P:"&amp;A491,"~","~~"),"*","~*"),"?","~?"),Valores!$S$10:$S$509,0)),9,INDEX(Valores!$R$10:$R$509,MATCH(SUBSTITUTE(SUBSTITUTE(SUBSTITUTE("P:"&amp;A491,"~","~~"),"*","~*"),"?","~?"),Valores!$S$10:$S$509,0)))-9),0)</f>
        <v>0</v>
      </c>
      <c r="AI491" s="40" t="str">
        <f t="shared" si="66"/>
        <v/>
      </c>
      <c r="AJ491" s="14" t="str">
        <f>IF(AND(X491=1,Y491=1),COUNTIFS($X$10:X491,1,$Y$10:Y491,1),"")</f>
        <v/>
      </c>
      <c r="AK491" s="14" t="str">
        <f>IF(X491=1,COUNTIFS($X$10:X491,1),"")</f>
        <v/>
      </c>
      <c r="AL491" s="14">
        <f>IF(AND(V491=1,AND(OR(Painel!$L$6="Todas",E491=Painel!$L$6),OR(Painel!$C$8="Todos",F491=Painel!$C$8),OR(Painel!$L$8="Todos",G491=Painel!$L$8),OR(Painel!$C$10="",ISNUMBER(SEARCH(SUBSTITUTE(SUBSTITUTE(SUBSTITUTE(Painel!$C$10,"~","~~"),"*","~*"),"?","~?"),A491&amp;" "&amp;H491&amp;" "&amp;I491))))),1,0)</f>
        <v>0</v>
      </c>
      <c r="AM491" s="14">
        <f t="shared" si="67"/>
        <v>0</v>
      </c>
      <c r="AN491" s="14"/>
      <c r="AO491" s="14"/>
      <c r="AP491" s="16" t="str">
        <f>IF(AB491=0,"",IF(INDEX(Andamentos!$B$10:$B$2009,AB491)="","",INDEX(Andamentos!$B$10:$B$2009,AB491)))</f>
        <v/>
      </c>
      <c r="AQ491" s="17" t="str">
        <f>IF(AH491=0,"",IF(INDEX(Valores!$B$10:$B$509,AH491)="","",IF(ISNUMBER(INDEX(Valores!$B$10:$B$509,AH491)),INDEX(Valores!$B$10:$B$509,AH491),"")))</f>
        <v/>
      </c>
      <c r="AR491" s="14" t="str">
        <f t="shared" si="68"/>
        <v/>
      </c>
      <c r="AS491" s="14" t="str">
        <f t="shared" si="69"/>
        <v/>
      </c>
      <c r="AT491" s="27"/>
      <c r="AU491" s="31"/>
      <c r="AV491" s="31"/>
      <c r="AW491" s="27"/>
      <c r="AX491" s="27"/>
      <c r="AY491" s="27"/>
      <c r="AZ491" s="27"/>
      <c r="BA491" s="30" t="str">
        <f t="shared" si="70"/>
        <v/>
      </c>
      <c r="BB491" s="30" t="str">
        <f t="shared" si="71"/>
        <v/>
      </c>
      <c r="BC491" s="30">
        <f>IF(X491=0,0,IF(COUNTIFS($X$10:X491,1,$BA$10:BA491,BA491)=1,1,0))</f>
        <v>0</v>
      </c>
      <c r="BD491" s="29"/>
    </row>
    <row r="492" spans="1:56" ht="42" customHeight="1">
      <c r="A492" s="41"/>
      <c r="B492" s="44"/>
      <c r="C492" s="44"/>
      <c r="D492" s="44"/>
      <c r="E492" s="44"/>
      <c r="F492" s="44"/>
      <c r="G492" s="44"/>
      <c r="H492" s="44"/>
      <c r="I492" s="44"/>
      <c r="J492" s="44"/>
      <c r="K492" s="44"/>
      <c r="L492" s="49"/>
      <c r="M492" s="48"/>
      <c r="N492" s="48"/>
      <c r="O492" s="48"/>
      <c r="P492" s="48"/>
      <c r="Q492" s="48"/>
      <c r="R492" s="48"/>
      <c r="S492" s="49"/>
      <c r="T492" s="48"/>
      <c r="U492" s="48"/>
      <c r="V492" s="14">
        <f t="shared" si="63"/>
        <v>0</v>
      </c>
      <c r="W492" s="14">
        <f t="shared" si="64"/>
        <v>0</v>
      </c>
      <c r="X492" s="14">
        <f>IF(AND(V492=1,OR(Painel!$C$6="Todos",D492=Painel!$C$6),AND(OR(Painel!$L$6="Todas",E492=Painel!$L$6),OR(Painel!$C$8="Todos",F492=Painel!$C$8),OR(Painel!$L$8="Todos",G492=Painel!$L$8),OR(Painel!$C$10="",ISNUMBER(SEARCH(SUBSTITUTE(SUBSTITUTE(SUBSTITUTE(Painel!$C$10,"~","~~"),"*","~*"),"?","~?"),A492&amp;" "&amp;H492&amp;" "&amp;I492))))),1,0)</f>
        <v>0</v>
      </c>
      <c r="Y492" s="14">
        <f t="shared" si="65"/>
        <v>0</v>
      </c>
      <c r="Z492" s="15" t="str">
        <f>IF(V492=0,"",IF(COUNTIFS(Andamentos!$K$10:$K$2009,"="&amp;SUBSTITUTE(SUBSTITUTE(SUBSTITUTE("P:"&amp;A492,"~","~~"),"*","~*"),"?","~?"),Andamentos!$G$10:$G$2009,1)=0,"",_xlfn.AGGREGATE(14,6,Andamentos!$D$10:$D$2009/((Andamentos!$K$10:$K$2009=AS492)*(Andamentos!$G$10:$G$2009=1)),1)))</f>
        <v/>
      </c>
      <c r="AA492" s="14">
        <f>IF(Z492="",0,COUNTIFS(Andamentos!$K$10:$K$2009,"="&amp;SUBSTITUTE(SUBSTITUTE(SUBSTITUTE("P:"&amp;A492,"~","~~"),"*","~*"),"?","~?"),Andamentos!$D$10:$D$2009,Z492,Andamentos!$G$10:$G$2009,1))</f>
        <v>0</v>
      </c>
      <c r="AB492" s="14">
        <f>IF(AA492=1,SUMIFS(Andamentos!$L$10:$L$2009,Andamentos!$K$10:$K$2009,"="&amp;SUBSTITUTE(SUBSTITUTE(SUBSTITUTE(AS492,"~","~~"),"*","~*"),"?","~?"),Andamentos!$D$10:$D$2009,Z492,Andamentos!$G$10:$G$2009,1)-9,0)</f>
        <v>0</v>
      </c>
      <c r="AC492" s="14" t="str">
        <f>IF(V492=0,"",IF(AA492&gt;1,"Conferir recebimentos empatados",IF(AB492=0,"Sem atualização",INDEX(Andamentos!$C$10:$C$2009,AB492))))</f>
        <v/>
      </c>
      <c r="AD492" s="14">
        <f>IF(W492=0,0,IF(MAX(Z492,BD492)=0,1,IF(Configurar!$J$12-INT(MAX(Z492,BD492))&gt;Configurar!$J$11,1,0)))</f>
        <v>0</v>
      </c>
      <c r="AE492" s="16"/>
      <c r="AF492" s="14"/>
      <c r="AG492" s="14"/>
      <c r="AH492" s="14">
        <f>IF(AND(V492=1,COUNTIFS(Valores!$S$10:$S$509,"="&amp;SUBSTITUTE(SUBSTITUTE(SUBSTITUTE("P:"&amp;A492,"~","~~"),"*","~*"),"?","~?"))=1),(IF(ISNA(MATCH(SUBSTITUTE(SUBSTITUTE(SUBSTITUTE("P:"&amp;A492,"~","~~"),"*","~*"),"?","~?"),Valores!$S$10:$S$509,0)),9,INDEX(Valores!$R$10:$R$509,MATCH(SUBSTITUTE(SUBSTITUTE(SUBSTITUTE("P:"&amp;A492,"~","~~"),"*","~*"),"?","~?"),Valores!$S$10:$S$509,0)))-9),0)</f>
        <v>0</v>
      </c>
      <c r="AI492" s="40" t="str">
        <f t="shared" si="66"/>
        <v/>
      </c>
      <c r="AJ492" s="14" t="str">
        <f>IF(AND(X492=1,Y492=1),COUNTIFS($X$10:X492,1,$Y$10:Y492,1),"")</f>
        <v/>
      </c>
      <c r="AK492" s="14" t="str">
        <f>IF(X492=1,COUNTIFS($X$10:X492,1),"")</f>
        <v/>
      </c>
      <c r="AL492" s="14">
        <f>IF(AND(V492=1,AND(OR(Painel!$L$6="Todas",E492=Painel!$L$6),OR(Painel!$C$8="Todos",F492=Painel!$C$8),OR(Painel!$L$8="Todos",G492=Painel!$L$8),OR(Painel!$C$10="",ISNUMBER(SEARCH(SUBSTITUTE(SUBSTITUTE(SUBSTITUTE(Painel!$C$10,"~","~~"),"*","~*"),"?","~?"),A492&amp;" "&amp;H492&amp;" "&amp;I492))))),1,0)</f>
        <v>0</v>
      </c>
      <c r="AM492" s="14">
        <f t="shared" si="67"/>
        <v>0</v>
      </c>
      <c r="AN492" s="14"/>
      <c r="AO492" s="14"/>
      <c r="AP492" s="16" t="str">
        <f>IF(AB492=0,"",IF(INDEX(Andamentos!$B$10:$B$2009,AB492)="","",INDEX(Andamentos!$B$10:$B$2009,AB492)))</f>
        <v/>
      </c>
      <c r="AQ492" s="17" t="str">
        <f>IF(AH492=0,"",IF(INDEX(Valores!$B$10:$B$509,AH492)="","",IF(ISNUMBER(INDEX(Valores!$B$10:$B$509,AH492)),INDEX(Valores!$B$10:$B$509,AH492),"")))</f>
        <v/>
      </c>
      <c r="AR492" s="14" t="str">
        <f t="shared" si="68"/>
        <v/>
      </c>
      <c r="AS492" s="14" t="str">
        <f t="shared" si="69"/>
        <v/>
      </c>
      <c r="AT492" s="27"/>
      <c r="AU492" s="31"/>
      <c r="AV492" s="31"/>
      <c r="AW492" s="27"/>
      <c r="AX492" s="27"/>
      <c r="AY492" s="27"/>
      <c r="AZ492" s="27"/>
      <c r="BA492" s="30" t="str">
        <f t="shared" si="70"/>
        <v/>
      </c>
      <c r="BB492" s="30" t="str">
        <f t="shared" si="71"/>
        <v/>
      </c>
      <c r="BC492" s="30">
        <f>IF(X492=0,0,IF(COUNTIFS($X$10:X492,1,$BA$10:BA492,BA492)=1,1,0))</f>
        <v>0</v>
      </c>
      <c r="BD492" s="29"/>
    </row>
    <row r="493" spans="1:56" ht="42" customHeight="1">
      <c r="A493" s="41"/>
      <c r="B493" s="44"/>
      <c r="C493" s="44"/>
      <c r="D493" s="44"/>
      <c r="E493" s="44"/>
      <c r="F493" s="44"/>
      <c r="G493" s="44"/>
      <c r="H493" s="44"/>
      <c r="I493" s="44"/>
      <c r="J493" s="44"/>
      <c r="K493" s="44"/>
      <c r="L493" s="49"/>
      <c r="M493" s="48"/>
      <c r="N493" s="48"/>
      <c r="O493" s="48"/>
      <c r="P493" s="48"/>
      <c r="Q493" s="48"/>
      <c r="R493" s="48"/>
      <c r="S493" s="49"/>
      <c r="T493" s="48"/>
      <c r="U493" s="48"/>
      <c r="V493" s="14">
        <f t="shared" si="63"/>
        <v>0</v>
      </c>
      <c r="W493" s="14">
        <f t="shared" si="64"/>
        <v>0</v>
      </c>
      <c r="X493" s="14">
        <f>IF(AND(V493=1,OR(Painel!$C$6="Todos",D493=Painel!$C$6),AND(OR(Painel!$L$6="Todas",E493=Painel!$L$6),OR(Painel!$C$8="Todos",F493=Painel!$C$8),OR(Painel!$L$8="Todos",G493=Painel!$L$8),OR(Painel!$C$10="",ISNUMBER(SEARCH(SUBSTITUTE(SUBSTITUTE(SUBSTITUTE(Painel!$C$10,"~","~~"),"*","~*"),"?","~?"),A493&amp;" "&amp;H493&amp;" "&amp;I493))))),1,0)</f>
        <v>0</v>
      </c>
      <c r="Y493" s="14">
        <f t="shared" si="65"/>
        <v>0</v>
      </c>
      <c r="Z493" s="15" t="str">
        <f>IF(V493=0,"",IF(COUNTIFS(Andamentos!$K$10:$K$2009,"="&amp;SUBSTITUTE(SUBSTITUTE(SUBSTITUTE("P:"&amp;A493,"~","~~"),"*","~*"),"?","~?"),Andamentos!$G$10:$G$2009,1)=0,"",_xlfn.AGGREGATE(14,6,Andamentos!$D$10:$D$2009/((Andamentos!$K$10:$K$2009=AS493)*(Andamentos!$G$10:$G$2009=1)),1)))</f>
        <v/>
      </c>
      <c r="AA493" s="14">
        <f>IF(Z493="",0,COUNTIFS(Andamentos!$K$10:$K$2009,"="&amp;SUBSTITUTE(SUBSTITUTE(SUBSTITUTE("P:"&amp;A493,"~","~~"),"*","~*"),"?","~?"),Andamentos!$D$10:$D$2009,Z493,Andamentos!$G$10:$G$2009,1))</f>
        <v>0</v>
      </c>
      <c r="AB493" s="14">
        <f>IF(AA493=1,SUMIFS(Andamentos!$L$10:$L$2009,Andamentos!$K$10:$K$2009,"="&amp;SUBSTITUTE(SUBSTITUTE(SUBSTITUTE(AS493,"~","~~"),"*","~*"),"?","~?"),Andamentos!$D$10:$D$2009,Z493,Andamentos!$G$10:$G$2009,1)-9,0)</f>
        <v>0</v>
      </c>
      <c r="AC493" s="14" t="str">
        <f>IF(V493=0,"",IF(AA493&gt;1,"Conferir recebimentos empatados",IF(AB493=0,"Sem atualização",INDEX(Andamentos!$C$10:$C$2009,AB493))))</f>
        <v/>
      </c>
      <c r="AD493" s="14">
        <f>IF(W493=0,0,IF(MAX(Z493,BD493)=0,1,IF(Configurar!$J$12-INT(MAX(Z493,BD493))&gt;Configurar!$J$11,1,0)))</f>
        <v>0</v>
      </c>
      <c r="AE493" s="16"/>
      <c r="AF493" s="14"/>
      <c r="AG493" s="14"/>
      <c r="AH493" s="14">
        <f>IF(AND(V493=1,COUNTIFS(Valores!$S$10:$S$509,"="&amp;SUBSTITUTE(SUBSTITUTE(SUBSTITUTE("P:"&amp;A493,"~","~~"),"*","~*"),"?","~?"))=1),(IF(ISNA(MATCH(SUBSTITUTE(SUBSTITUTE(SUBSTITUTE("P:"&amp;A493,"~","~~"),"*","~*"),"?","~?"),Valores!$S$10:$S$509,0)),9,INDEX(Valores!$R$10:$R$509,MATCH(SUBSTITUTE(SUBSTITUTE(SUBSTITUTE("P:"&amp;A493,"~","~~"),"*","~*"),"?","~?"),Valores!$S$10:$S$509,0)))-9),0)</f>
        <v>0</v>
      </c>
      <c r="AI493" s="40" t="str">
        <f t="shared" si="66"/>
        <v/>
      </c>
      <c r="AJ493" s="14" t="str">
        <f>IF(AND(X493=1,Y493=1),COUNTIFS($X$10:X493,1,$Y$10:Y493,1),"")</f>
        <v/>
      </c>
      <c r="AK493" s="14" t="str">
        <f>IF(X493=1,COUNTIFS($X$10:X493,1),"")</f>
        <v/>
      </c>
      <c r="AL493" s="14">
        <f>IF(AND(V493=1,AND(OR(Painel!$L$6="Todas",E493=Painel!$L$6),OR(Painel!$C$8="Todos",F493=Painel!$C$8),OR(Painel!$L$8="Todos",G493=Painel!$L$8),OR(Painel!$C$10="",ISNUMBER(SEARCH(SUBSTITUTE(SUBSTITUTE(SUBSTITUTE(Painel!$C$10,"~","~~"),"*","~*"),"?","~?"),A493&amp;" "&amp;H493&amp;" "&amp;I493))))),1,0)</f>
        <v>0</v>
      </c>
      <c r="AM493" s="14">
        <f t="shared" si="67"/>
        <v>0</v>
      </c>
      <c r="AN493" s="14"/>
      <c r="AO493" s="14"/>
      <c r="AP493" s="16" t="str">
        <f>IF(AB493=0,"",IF(INDEX(Andamentos!$B$10:$B$2009,AB493)="","",INDEX(Andamentos!$B$10:$B$2009,AB493)))</f>
        <v/>
      </c>
      <c r="AQ493" s="17" t="str">
        <f>IF(AH493=0,"",IF(INDEX(Valores!$B$10:$B$509,AH493)="","",IF(ISNUMBER(INDEX(Valores!$B$10:$B$509,AH493)),INDEX(Valores!$B$10:$B$509,AH493),"")))</f>
        <v/>
      </c>
      <c r="AR493" s="14" t="str">
        <f t="shared" si="68"/>
        <v/>
      </c>
      <c r="AS493" s="14" t="str">
        <f t="shared" si="69"/>
        <v/>
      </c>
      <c r="AT493" s="27"/>
      <c r="AU493" s="31"/>
      <c r="AV493" s="31"/>
      <c r="AW493" s="27"/>
      <c r="AX493" s="27"/>
      <c r="AY493" s="27"/>
      <c r="AZ493" s="27"/>
      <c r="BA493" s="30" t="str">
        <f t="shared" si="70"/>
        <v/>
      </c>
      <c r="BB493" s="30" t="str">
        <f t="shared" si="71"/>
        <v/>
      </c>
      <c r="BC493" s="30">
        <f>IF(X493=0,0,IF(COUNTIFS($X$10:X493,1,$BA$10:BA493,BA493)=1,1,0))</f>
        <v>0</v>
      </c>
      <c r="BD493" s="29"/>
    </row>
    <row r="494" spans="1:56" ht="42" customHeight="1">
      <c r="A494" s="41"/>
      <c r="B494" s="44"/>
      <c r="C494" s="44"/>
      <c r="D494" s="44"/>
      <c r="E494" s="44"/>
      <c r="F494" s="44"/>
      <c r="G494" s="44"/>
      <c r="H494" s="44"/>
      <c r="I494" s="44"/>
      <c r="J494" s="44"/>
      <c r="K494" s="44"/>
      <c r="L494" s="49"/>
      <c r="M494" s="48"/>
      <c r="N494" s="48"/>
      <c r="O494" s="48"/>
      <c r="P494" s="48"/>
      <c r="Q494" s="48"/>
      <c r="R494" s="48"/>
      <c r="S494" s="49"/>
      <c r="T494" s="48"/>
      <c r="U494" s="48"/>
      <c r="V494" s="14">
        <f t="shared" si="63"/>
        <v>0</v>
      </c>
      <c r="W494" s="14">
        <f t="shared" si="64"/>
        <v>0</v>
      </c>
      <c r="X494" s="14">
        <f>IF(AND(V494=1,OR(Painel!$C$6="Todos",D494=Painel!$C$6),AND(OR(Painel!$L$6="Todas",E494=Painel!$L$6),OR(Painel!$C$8="Todos",F494=Painel!$C$8),OR(Painel!$L$8="Todos",G494=Painel!$L$8),OR(Painel!$C$10="",ISNUMBER(SEARCH(SUBSTITUTE(SUBSTITUTE(SUBSTITUTE(Painel!$C$10,"~","~~"),"*","~*"),"?","~?"),A494&amp;" "&amp;H494&amp;" "&amp;I494))))),1,0)</f>
        <v>0</v>
      </c>
      <c r="Y494" s="14">
        <f t="shared" si="65"/>
        <v>0</v>
      </c>
      <c r="Z494" s="15" t="str">
        <f>IF(V494=0,"",IF(COUNTIFS(Andamentos!$K$10:$K$2009,"="&amp;SUBSTITUTE(SUBSTITUTE(SUBSTITUTE("P:"&amp;A494,"~","~~"),"*","~*"),"?","~?"),Andamentos!$G$10:$G$2009,1)=0,"",_xlfn.AGGREGATE(14,6,Andamentos!$D$10:$D$2009/((Andamentos!$K$10:$K$2009=AS494)*(Andamentos!$G$10:$G$2009=1)),1)))</f>
        <v/>
      </c>
      <c r="AA494" s="14">
        <f>IF(Z494="",0,COUNTIFS(Andamentos!$K$10:$K$2009,"="&amp;SUBSTITUTE(SUBSTITUTE(SUBSTITUTE("P:"&amp;A494,"~","~~"),"*","~*"),"?","~?"),Andamentos!$D$10:$D$2009,Z494,Andamentos!$G$10:$G$2009,1))</f>
        <v>0</v>
      </c>
      <c r="AB494" s="14">
        <f>IF(AA494=1,SUMIFS(Andamentos!$L$10:$L$2009,Andamentos!$K$10:$K$2009,"="&amp;SUBSTITUTE(SUBSTITUTE(SUBSTITUTE(AS494,"~","~~"),"*","~*"),"?","~?"),Andamentos!$D$10:$D$2009,Z494,Andamentos!$G$10:$G$2009,1)-9,0)</f>
        <v>0</v>
      </c>
      <c r="AC494" s="14" t="str">
        <f>IF(V494=0,"",IF(AA494&gt;1,"Conferir recebimentos empatados",IF(AB494=0,"Sem atualização",INDEX(Andamentos!$C$10:$C$2009,AB494))))</f>
        <v/>
      </c>
      <c r="AD494" s="14">
        <f>IF(W494=0,0,IF(MAX(Z494,BD494)=0,1,IF(Configurar!$J$12-INT(MAX(Z494,BD494))&gt;Configurar!$J$11,1,0)))</f>
        <v>0</v>
      </c>
      <c r="AE494" s="16"/>
      <c r="AF494" s="14"/>
      <c r="AG494" s="14"/>
      <c r="AH494" s="14">
        <f>IF(AND(V494=1,COUNTIFS(Valores!$S$10:$S$509,"="&amp;SUBSTITUTE(SUBSTITUTE(SUBSTITUTE("P:"&amp;A494,"~","~~"),"*","~*"),"?","~?"))=1),(IF(ISNA(MATCH(SUBSTITUTE(SUBSTITUTE(SUBSTITUTE("P:"&amp;A494,"~","~~"),"*","~*"),"?","~?"),Valores!$S$10:$S$509,0)),9,INDEX(Valores!$R$10:$R$509,MATCH(SUBSTITUTE(SUBSTITUTE(SUBSTITUTE("P:"&amp;A494,"~","~~"),"*","~*"),"?","~?"),Valores!$S$10:$S$509,0)))-9),0)</f>
        <v>0</v>
      </c>
      <c r="AI494" s="40" t="str">
        <f t="shared" si="66"/>
        <v/>
      </c>
      <c r="AJ494" s="14" t="str">
        <f>IF(AND(X494=1,Y494=1),COUNTIFS($X$10:X494,1,$Y$10:Y494,1),"")</f>
        <v/>
      </c>
      <c r="AK494" s="14" t="str">
        <f>IF(X494=1,COUNTIFS($X$10:X494,1),"")</f>
        <v/>
      </c>
      <c r="AL494" s="14">
        <f>IF(AND(V494=1,AND(OR(Painel!$L$6="Todas",E494=Painel!$L$6),OR(Painel!$C$8="Todos",F494=Painel!$C$8),OR(Painel!$L$8="Todos",G494=Painel!$L$8),OR(Painel!$C$10="",ISNUMBER(SEARCH(SUBSTITUTE(SUBSTITUTE(SUBSTITUTE(Painel!$C$10,"~","~~"),"*","~*"),"?","~?"),A494&amp;" "&amp;H494&amp;" "&amp;I494))))),1,0)</f>
        <v>0</v>
      </c>
      <c r="AM494" s="14">
        <f t="shared" si="67"/>
        <v>0</v>
      </c>
      <c r="AN494" s="14"/>
      <c r="AO494" s="14"/>
      <c r="AP494" s="16" t="str">
        <f>IF(AB494=0,"",IF(INDEX(Andamentos!$B$10:$B$2009,AB494)="","",INDEX(Andamentos!$B$10:$B$2009,AB494)))</f>
        <v/>
      </c>
      <c r="AQ494" s="17" t="str">
        <f>IF(AH494=0,"",IF(INDEX(Valores!$B$10:$B$509,AH494)="","",IF(ISNUMBER(INDEX(Valores!$B$10:$B$509,AH494)),INDEX(Valores!$B$10:$B$509,AH494),"")))</f>
        <v/>
      </c>
      <c r="AR494" s="14" t="str">
        <f t="shared" si="68"/>
        <v/>
      </c>
      <c r="AS494" s="14" t="str">
        <f t="shared" si="69"/>
        <v/>
      </c>
      <c r="AT494" s="27"/>
      <c r="AU494" s="31"/>
      <c r="AV494" s="31"/>
      <c r="AW494" s="27"/>
      <c r="AX494" s="27"/>
      <c r="AY494" s="27"/>
      <c r="AZ494" s="27"/>
      <c r="BA494" s="30" t="str">
        <f t="shared" si="70"/>
        <v/>
      </c>
      <c r="BB494" s="30" t="str">
        <f t="shared" si="71"/>
        <v/>
      </c>
      <c r="BC494" s="30">
        <f>IF(X494=0,0,IF(COUNTIFS($X$10:X494,1,$BA$10:BA494,BA494)=1,1,0))</f>
        <v>0</v>
      </c>
      <c r="BD494" s="29"/>
    </row>
    <row r="495" spans="1:56" ht="42" customHeight="1">
      <c r="A495" s="41"/>
      <c r="B495" s="44"/>
      <c r="C495" s="44"/>
      <c r="D495" s="44"/>
      <c r="E495" s="44"/>
      <c r="F495" s="44"/>
      <c r="G495" s="44"/>
      <c r="H495" s="44"/>
      <c r="I495" s="44"/>
      <c r="J495" s="44"/>
      <c r="K495" s="44"/>
      <c r="L495" s="49"/>
      <c r="M495" s="48"/>
      <c r="N495" s="48"/>
      <c r="O495" s="48"/>
      <c r="P495" s="48"/>
      <c r="Q495" s="48"/>
      <c r="R495" s="48"/>
      <c r="S495" s="49"/>
      <c r="T495" s="48"/>
      <c r="U495" s="48"/>
      <c r="V495" s="14">
        <f t="shared" si="63"/>
        <v>0</v>
      </c>
      <c r="W495" s="14">
        <f t="shared" si="64"/>
        <v>0</v>
      </c>
      <c r="X495" s="14">
        <f>IF(AND(V495=1,OR(Painel!$C$6="Todos",D495=Painel!$C$6),AND(OR(Painel!$L$6="Todas",E495=Painel!$L$6),OR(Painel!$C$8="Todos",F495=Painel!$C$8),OR(Painel!$L$8="Todos",G495=Painel!$L$8),OR(Painel!$C$10="",ISNUMBER(SEARCH(SUBSTITUTE(SUBSTITUTE(SUBSTITUTE(Painel!$C$10,"~","~~"),"*","~*"),"?","~?"),A495&amp;" "&amp;H495&amp;" "&amp;I495))))),1,0)</f>
        <v>0</v>
      </c>
      <c r="Y495" s="14">
        <f t="shared" si="65"/>
        <v>0</v>
      </c>
      <c r="Z495" s="15" t="str">
        <f>IF(V495=0,"",IF(COUNTIFS(Andamentos!$K$10:$K$2009,"="&amp;SUBSTITUTE(SUBSTITUTE(SUBSTITUTE("P:"&amp;A495,"~","~~"),"*","~*"),"?","~?"),Andamentos!$G$10:$G$2009,1)=0,"",_xlfn.AGGREGATE(14,6,Andamentos!$D$10:$D$2009/((Andamentos!$K$10:$K$2009=AS495)*(Andamentos!$G$10:$G$2009=1)),1)))</f>
        <v/>
      </c>
      <c r="AA495" s="14">
        <f>IF(Z495="",0,COUNTIFS(Andamentos!$K$10:$K$2009,"="&amp;SUBSTITUTE(SUBSTITUTE(SUBSTITUTE("P:"&amp;A495,"~","~~"),"*","~*"),"?","~?"),Andamentos!$D$10:$D$2009,Z495,Andamentos!$G$10:$G$2009,1))</f>
        <v>0</v>
      </c>
      <c r="AB495" s="14">
        <f>IF(AA495=1,SUMIFS(Andamentos!$L$10:$L$2009,Andamentos!$K$10:$K$2009,"="&amp;SUBSTITUTE(SUBSTITUTE(SUBSTITUTE(AS495,"~","~~"),"*","~*"),"?","~?"),Andamentos!$D$10:$D$2009,Z495,Andamentos!$G$10:$G$2009,1)-9,0)</f>
        <v>0</v>
      </c>
      <c r="AC495" s="14" t="str">
        <f>IF(V495=0,"",IF(AA495&gt;1,"Conferir recebimentos empatados",IF(AB495=0,"Sem atualização",INDEX(Andamentos!$C$10:$C$2009,AB495))))</f>
        <v/>
      </c>
      <c r="AD495" s="14">
        <f>IF(W495=0,0,IF(MAX(Z495,BD495)=0,1,IF(Configurar!$J$12-INT(MAX(Z495,BD495))&gt;Configurar!$J$11,1,0)))</f>
        <v>0</v>
      </c>
      <c r="AE495" s="16"/>
      <c r="AF495" s="14"/>
      <c r="AG495" s="14"/>
      <c r="AH495" s="14">
        <f>IF(AND(V495=1,COUNTIFS(Valores!$S$10:$S$509,"="&amp;SUBSTITUTE(SUBSTITUTE(SUBSTITUTE("P:"&amp;A495,"~","~~"),"*","~*"),"?","~?"))=1),(IF(ISNA(MATCH(SUBSTITUTE(SUBSTITUTE(SUBSTITUTE("P:"&amp;A495,"~","~~"),"*","~*"),"?","~?"),Valores!$S$10:$S$509,0)),9,INDEX(Valores!$R$10:$R$509,MATCH(SUBSTITUTE(SUBSTITUTE(SUBSTITUTE("P:"&amp;A495,"~","~~"),"*","~*"),"?","~?"),Valores!$S$10:$S$509,0)))-9),0)</f>
        <v>0</v>
      </c>
      <c r="AI495" s="40" t="str">
        <f t="shared" si="66"/>
        <v/>
      </c>
      <c r="AJ495" s="14" t="str">
        <f>IF(AND(X495=1,Y495=1),COUNTIFS($X$10:X495,1,$Y$10:Y495,1),"")</f>
        <v/>
      </c>
      <c r="AK495" s="14" t="str">
        <f>IF(X495=1,COUNTIFS($X$10:X495,1),"")</f>
        <v/>
      </c>
      <c r="AL495" s="14">
        <f>IF(AND(V495=1,AND(OR(Painel!$L$6="Todas",E495=Painel!$L$6),OR(Painel!$C$8="Todos",F495=Painel!$C$8),OR(Painel!$L$8="Todos",G495=Painel!$L$8),OR(Painel!$C$10="",ISNUMBER(SEARCH(SUBSTITUTE(SUBSTITUTE(SUBSTITUTE(Painel!$C$10,"~","~~"),"*","~*"),"?","~?"),A495&amp;" "&amp;H495&amp;" "&amp;I495))))),1,0)</f>
        <v>0</v>
      </c>
      <c r="AM495" s="14">
        <f t="shared" si="67"/>
        <v>0</v>
      </c>
      <c r="AN495" s="14"/>
      <c r="AO495" s="14"/>
      <c r="AP495" s="16" t="str">
        <f>IF(AB495=0,"",IF(INDEX(Andamentos!$B$10:$B$2009,AB495)="","",INDEX(Andamentos!$B$10:$B$2009,AB495)))</f>
        <v/>
      </c>
      <c r="AQ495" s="17" t="str">
        <f>IF(AH495=0,"",IF(INDEX(Valores!$B$10:$B$509,AH495)="","",IF(ISNUMBER(INDEX(Valores!$B$10:$B$509,AH495)),INDEX(Valores!$B$10:$B$509,AH495),"")))</f>
        <v/>
      </c>
      <c r="AR495" s="14" t="str">
        <f t="shared" si="68"/>
        <v/>
      </c>
      <c r="AS495" s="14" t="str">
        <f t="shared" si="69"/>
        <v/>
      </c>
      <c r="AT495" s="27"/>
      <c r="AU495" s="31"/>
      <c r="AV495" s="31"/>
      <c r="AW495" s="27"/>
      <c r="AX495" s="27"/>
      <c r="AY495" s="27"/>
      <c r="AZ495" s="27"/>
      <c r="BA495" s="30" t="str">
        <f t="shared" si="70"/>
        <v/>
      </c>
      <c r="BB495" s="30" t="str">
        <f t="shared" si="71"/>
        <v/>
      </c>
      <c r="BC495" s="30">
        <f>IF(X495=0,0,IF(COUNTIFS($X$10:X495,1,$BA$10:BA495,BA495)=1,1,0))</f>
        <v>0</v>
      </c>
      <c r="BD495" s="29"/>
    </row>
    <row r="496" spans="1:56" ht="42" customHeight="1">
      <c r="A496" s="41"/>
      <c r="B496" s="44"/>
      <c r="C496" s="44"/>
      <c r="D496" s="44"/>
      <c r="E496" s="44"/>
      <c r="F496" s="44"/>
      <c r="G496" s="44"/>
      <c r="H496" s="44"/>
      <c r="I496" s="44"/>
      <c r="J496" s="44"/>
      <c r="K496" s="44"/>
      <c r="L496" s="49"/>
      <c r="M496" s="48"/>
      <c r="N496" s="48"/>
      <c r="O496" s="48"/>
      <c r="P496" s="48"/>
      <c r="Q496" s="48"/>
      <c r="R496" s="48"/>
      <c r="S496" s="49"/>
      <c r="T496" s="48"/>
      <c r="U496" s="48"/>
      <c r="V496" s="14">
        <f t="shared" si="63"/>
        <v>0</v>
      </c>
      <c r="W496" s="14">
        <f t="shared" si="64"/>
        <v>0</v>
      </c>
      <c r="X496" s="14">
        <f>IF(AND(V496=1,OR(Painel!$C$6="Todos",D496=Painel!$C$6),AND(OR(Painel!$L$6="Todas",E496=Painel!$L$6),OR(Painel!$C$8="Todos",F496=Painel!$C$8),OR(Painel!$L$8="Todos",G496=Painel!$L$8),OR(Painel!$C$10="",ISNUMBER(SEARCH(SUBSTITUTE(SUBSTITUTE(SUBSTITUTE(Painel!$C$10,"~","~~"),"*","~*"),"?","~?"),A496&amp;" "&amp;H496&amp;" "&amp;I496))))),1,0)</f>
        <v>0</v>
      </c>
      <c r="Y496" s="14">
        <f t="shared" si="65"/>
        <v>0</v>
      </c>
      <c r="Z496" s="15" t="str">
        <f>IF(V496=0,"",IF(COUNTIFS(Andamentos!$K$10:$K$2009,"="&amp;SUBSTITUTE(SUBSTITUTE(SUBSTITUTE("P:"&amp;A496,"~","~~"),"*","~*"),"?","~?"),Andamentos!$G$10:$G$2009,1)=0,"",_xlfn.AGGREGATE(14,6,Andamentos!$D$10:$D$2009/((Andamentos!$K$10:$K$2009=AS496)*(Andamentos!$G$10:$G$2009=1)),1)))</f>
        <v/>
      </c>
      <c r="AA496" s="14">
        <f>IF(Z496="",0,COUNTIFS(Andamentos!$K$10:$K$2009,"="&amp;SUBSTITUTE(SUBSTITUTE(SUBSTITUTE("P:"&amp;A496,"~","~~"),"*","~*"),"?","~?"),Andamentos!$D$10:$D$2009,Z496,Andamentos!$G$10:$G$2009,1))</f>
        <v>0</v>
      </c>
      <c r="AB496" s="14">
        <f>IF(AA496=1,SUMIFS(Andamentos!$L$10:$L$2009,Andamentos!$K$10:$K$2009,"="&amp;SUBSTITUTE(SUBSTITUTE(SUBSTITUTE(AS496,"~","~~"),"*","~*"),"?","~?"),Andamentos!$D$10:$D$2009,Z496,Andamentos!$G$10:$G$2009,1)-9,0)</f>
        <v>0</v>
      </c>
      <c r="AC496" s="14" t="str">
        <f>IF(V496=0,"",IF(AA496&gt;1,"Conferir recebimentos empatados",IF(AB496=0,"Sem atualização",INDEX(Andamentos!$C$10:$C$2009,AB496))))</f>
        <v/>
      </c>
      <c r="AD496" s="14">
        <f>IF(W496=0,0,IF(MAX(Z496,BD496)=0,1,IF(Configurar!$J$12-INT(MAX(Z496,BD496))&gt;Configurar!$J$11,1,0)))</f>
        <v>0</v>
      </c>
      <c r="AE496" s="16"/>
      <c r="AF496" s="14"/>
      <c r="AG496" s="14"/>
      <c r="AH496" s="14">
        <f>IF(AND(V496=1,COUNTIFS(Valores!$S$10:$S$509,"="&amp;SUBSTITUTE(SUBSTITUTE(SUBSTITUTE("P:"&amp;A496,"~","~~"),"*","~*"),"?","~?"))=1),(IF(ISNA(MATCH(SUBSTITUTE(SUBSTITUTE(SUBSTITUTE("P:"&amp;A496,"~","~~"),"*","~*"),"?","~?"),Valores!$S$10:$S$509,0)),9,INDEX(Valores!$R$10:$R$509,MATCH(SUBSTITUTE(SUBSTITUTE(SUBSTITUTE("P:"&amp;A496,"~","~~"),"*","~*"),"?","~?"),Valores!$S$10:$S$509,0)))-9),0)</f>
        <v>0</v>
      </c>
      <c r="AI496" s="40" t="str">
        <f t="shared" si="66"/>
        <v/>
      </c>
      <c r="AJ496" s="14" t="str">
        <f>IF(AND(X496=1,Y496=1),COUNTIFS($X$10:X496,1,$Y$10:Y496,1),"")</f>
        <v/>
      </c>
      <c r="AK496" s="14" t="str">
        <f>IF(X496=1,COUNTIFS($X$10:X496,1),"")</f>
        <v/>
      </c>
      <c r="AL496" s="14">
        <f>IF(AND(V496=1,AND(OR(Painel!$L$6="Todas",E496=Painel!$L$6),OR(Painel!$C$8="Todos",F496=Painel!$C$8),OR(Painel!$L$8="Todos",G496=Painel!$L$8),OR(Painel!$C$10="",ISNUMBER(SEARCH(SUBSTITUTE(SUBSTITUTE(SUBSTITUTE(Painel!$C$10,"~","~~"),"*","~*"),"?","~?"),A496&amp;" "&amp;H496&amp;" "&amp;I496))))),1,0)</f>
        <v>0</v>
      </c>
      <c r="AM496" s="14">
        <f t="shared" si="67"/>
        <v>0</v>
      </c>
      <c r="AN496" s="14"/>
      <c r="AO496" s="14"/>
      <c r="AP496" s="16" t="str">
        <f>IF(AB496=0,"",IF(INDEX(Andamentos!$B$10:$B$2009,AB496)="","",INDEX(Andamentos!$B$10:$B$2009,AB496)))</f>
        <v/>
      </c>
      <c r="AQ496" s="17" t="str">
        <f>IF(AH496=0,"",IF(INDEX(Valores!$B$10:$B$509,AH496)="","",IF(ISNUMBER(INDEX(Valores!$B$10:$B$509,AH496)),INDEX(Valores!$B$10:$B$509,AH496),"")))</f>
        <v/>
      </c>
      <c r="AR496" s="14" t="str">
        <f t="shared" si="68"/>
        <v/>
      </c>
      <c r="AS496" s="14" t="str">
        <f t="shared" si="69"/>
        <v/>
      </c>
      <c r="AT496" s="27"/>
      <c r="AU496" s="31"/>
      <c r="AV496" s="31"/>
      <c r="AW496" s="27"/>
      <c r="AX496" s="27"/>
      <c r="AY496" s="27"/>
      <c r="AZ496" s="27"/>
      <c r="BA496" s="30" t="str">
        <f t="shared" si="70"/>
        <v/>
      </c>
      <c r="BB496" s="30" t="str">
        <f t="shared" si="71"/>
        <v/>
      </c>
      <c r="BC496" s="30">
        <f>IF(X496=0,0,IF(COUNTIFS($X$10:X496,1,$BA$10:BA496,BA496)=1,1,0))</f>
        <v>0</v>
      </c>
      <c r="BD496" s="29"/>
    </row>
    <row r="497" spans="1:56" ht="42" customHeight="1">
      <c r="A497" s="41"/>
      <c r="B497" s="44"/>
      <c r="C497" s="44"/>
      <c r="D497" s="44"/>
      <c r="E497" s="44"/>
      <c r="F497" s="44"/>
      <c r="G497" s="44"/>
      <c r="H497" s="44"/>
      <c r="I497" s="44"/>
      <c r="J497" s="44"/>
      <c r="K497" s="44"/>
      <c r="L497" s="49"/>
      <c r="M497" s="48"/>
      <c r="N497" s="48"/>
      <c r="O497" s="48"/>
      <c r="P497" s="48"/>
      <c r="Q497" s="48"/>
      <c r="R497" s="48"/>
      <c r="S497" s="49"/>
      <c r="T497" s="48"/>
      <c r="U497" s="48"/>
      <c r="V497" s="14">
        <f t="shared" si="63"/>
        <v>0</v>
      </c>
      <c r="W497" s="14">
        <f t="shared" si="64"/>
        <v>0</v>
      </c>
      <c r="X497" s="14">
        <f>IF(AND(V497=1,OR(Painel!$C$6="Todos",D497=Painel!$C$6),AND(OR(Painel!$L$6="Todas",E497=Painel!$L$6),OR(Painel!$C$8="Todos",F497=Painel!$C$8),OR(Painel!$L$8="Todos",G497=Painel!$L$8),OR(Painel!$C$10="",ISNUMBER(SEARCH(SUBSTITUTE(SUBSTITUTE(SUBSTITUTE(Painel!$C$10,"~","~~"),"*","~*"),"?","~?"),A497&amp;" "&amp;H497&amp;" "&amp;I497))))),1,0)</f>
        <v>0</v>
      </c>
      <c r="Y497" s="14">
        <f t="shared" si="65"/>
        <v>0</v>
      </c>
      <c r="Z497" s="15" t="str">
        <f>IF(V497=0,"",IF(COUNTIFS(Andamentos!$K$10:$K$2009,"="&amp;SUBSTITUTE(SUBSTITUTE(SUBSTITUTE("P:"&amp;A497,"~","~~"),"*","~*"),"?","~?"),Andamentos!$G$10:$G$2009,1)=0,"",_xlfn.AGGREGATE(14,6,Andamentos!$D$10:$D$2009/((Andamentos!$K$10:$K$2009=AS497)*(Andamentos!$G$10:$G$2009=1)),1)))</f>
        <v/>
      </c>
      <c r="AA497" s="14">
        <f>IF(Z497="",0,COUNTIFS(Andamentos!$K$10:$K$2009,"="&amp;SUBSTITUTE(SUBSTITUTE(SUBSTITUTE("P:"&amp;A497,"~","~~"),"*","~*"),"?","~?"),Andamentos!$D$10:$D$2009,Z497,Andamentos!$G$10:$G$2009,1))</f>
        <v>0</v>
      </c>
      <c r="AB497" s="14">
        <f>IF(AA497=1,SUMIFS(Andamentos!$L$10:$L$2009,Andamentos!$K$10:$K$2009,"="&amp;SUBSTITUTE(SUBSTITUTE(SUBSTITUTE(AS497,"~","~~"),"*","~*"),"?","~?"),Andamentos!$D$10:$D$2009,Z497,Andamentos!$G$10:$G$2009,1)-9,0)</f>
        <v>0</v>
      </c>
      <c r="AC497" s="14" t="str">
        <f>IF(V497=0,"",IF(AA497&gt;1,"Conferir recebimentos empatados",IF(AB497=0,"Sem atualização",INDEX(Andamentos!$C$10:$C$2009,AB497))))</f>
        <v/>
      </c>
      <c r="AD497" s="14">
        <f>IF(W497=0,0,IF(MAX(Z497,BD497)=0,1,IF(Configurar!$J$12-INT(MAX(Z497,BD497))&gt;Configurar!$J$11,1,0)))</f>
        <v>0</v>
      </c>
      <c r="AE497" s="16"/>
      <c r="AF497" s="14"/>
      <c r="AG497" s="14"/>
      <c r="AH497" s="14">
        <f>IF(AND(V497=1,COUNTIFS(Valores!$S$10:$S$509,"="&amp;SUBSTITUTE(SUBSTITUTE(SUBSTITUTE("P:"&amp;A497,"~","~~"),"*","~*"),"?","~?"))=1),(IF(ISNA(MATCH(SUBSTITUTE(SUBSTITUTE(SUBSTITUTE("P:"&amp;A497,"~","~~"),"*","~*"),"?","~?"),Valores!$S$10:$S$509,0)),9,INDEX(Valores!$R$10:$R$509,MATCH(SUBSTITUTE(SUBSTITUTE(SUBSTITUTE("P:"&amp;A497,"~","~~"),"*","~*"),"?","~?"),Valores!$S$10:$S$509,0)))-9),0)</f>
        <v>0</v>
      </c>
      <c r="AI497" s="40" t="str">
        <f t="shared" si="66"/>
        <v/>
      </c>
      <c r="AJ497" s="14" t="str">
        <f>IF(AND(X497=1,Y497=1),COUNTIFS($X$10:X497,1,$Y$10:Y497,1),"")</f>
        <v/>
      </c>
      <c r="AK497" s="14" t="str">
        <f>IF(X497=1,COUNTIFS($X$10:X497,1),"")</f>
        <v/>
      </c>
      <c r="AL497" s="14">
        <f>IF(AND(V497=1,AND(OR(Painel!$L$6="Todas",E497=Painel!$L$6),OR(Painel!$C$8="Todos",F497=Painel!$C$8),OR(Painel!$L$8="Todos",G497=Painel!$L$8),OR(Painel!$C$10="",ISNUMBER(SEARCH(SUBSTITUTE(SUBSTITUTE(SUBSTITUTE(Painel!$C$10,"~","~~"),"*","~*"),"?","~?"),A497&amp;" "&amp;H497&amp;" "&amp;I497))))),1,0)</f>
        <v>0</v>
      </c>
      <c r="AM497" s="14">
        <f t="shared" si="67"/>
        <v>0</v>
      </c>
      <c r="AN497" s="14"/>
      <c r="AO497" s="14"/>
      <c r="AP497" s="16" t="str">
        <f>IF(AB497=0,"",IF(INDEX(Andamentos!$B$10:$B$2009,AB497)="","",INDEX(Andamentos!$B$10:$B$2009,AB497)))</f>
        <v/>
      </c>
      <c r="AQ497" s="17" t="str">
        <f>IF(AH497=0,"",IF(INDEX(Valores!$B$10:$B$509,AH497)="","",IF(ISNUMBER(INDEX(Valores!$B$10:$B$509,AH497)),INDEX(Valores!$B$10:$B$509,AH497),"")))</f>
        <v/>
      </c>
      <c r="AR497" s="14" t="str">
        <f t="shared" si="68"/>
        <v/>
      </c>
      <c r="AS497" s="14" t="str">
        <f t="shared" si="69"/>
        <v/>
      </c>
      <c r="AT497" s="27"/>
      <c r="AU497" s="31"/>
      <c r="AV497" s="31"/>
      <c r="AW497" s="27"/>
      <c r="AX497" s="27"/>
      <c r="AY497" s="27"/>
      <c r="AZ497" s="27"/>
      <c r="BA497" s="30" t="str">
        <f t="shared" si="70"/>
        <v/>
      </c>
      <c r="BB497" s="30" t="str">
        <f t="shared" si="71"/>
        <v/>
      </c>
      <c r="BC497" s="30">
        <f>IF(X497=0,0,IF(COUNTIFS($X$10:X497,1,$BA$10:BA497,BA497)=1,1,0))</f>
        <v>0</v>
      </c>
      <c r="BD497" s="29"/>
    </row>
    <row r="498" spans="1:56" ht="42" customHeight="1">
      <c r="A498" s="41"/>
      <c r="B498" s="44"/>
      <c r="C498" s="44"/>
      <c r="D498" s="44"/>
      <c r="E498" s="44"/>
      <c r="F498" s="44"/>
      <c r="G498" s="44"/>
      <c r="H498" s="44"/>
      <c r="I498" s="44"/>
      <c r="J498" s="44"/>
      <c r="K498" s="44"/>
      <c r="L498" s="49"/>
      <c r="M498" s="48"/>
      <c r="N498" s="48"/>
      <c r="O498" s="48"/>
      <c r="P498" s="48"/>
      <c r="Q498" s="48"/>
      <c r="R498" s="48"/>
      <c r="S498" s="49"/>
      <c r="T498" s="48"/>
      <c r="U498" s="48"/>
      <c r="V498" s="14">
        <f t="shared" si="63"/>
        <v>0</v>
      </c>
      <c r="W498" s="14">
        <f t="shared" si="64"/>
        <v>0</v>
      </c>
      <c r="X498" s="14">
        <f>IF(AND(V498=1,OR(Painel!$C$6="Todos",D498=Painel!$C$6),AND(OR(Painel!$L$6="Todas",E498=Painel!$L$6),OR(Painel!$C$8="Todos",F498=Painel!$C$8),OR(Painel!$L$8="Todos",G498=Painel!$L$8),OR(Painel!$C$10="",ISNUMBER(SEARCH(SUBSTITUTE(SUBSTITUTE(SUBSTITUTE(Painel!$C$10,"~","~~"),"*","~*"),"?","~?"),A498&amp;" "&amp;H498&amp;" "&amp;I498))))),1,0)</f>
        <v>0</v>
      </c>
      <c r="Y498" s="14">
        <f t="shared" si="65"/>
        <v>0</v>
      </c>
      <c r="Z498" s="15" t="str">
        <f>IF(V498=0,"",IF(COUNTIFS(Andamentos!$K$10:$K$2009,"="&amp;SUBSTITUTE(SUBSTITUTE(SUBSTITUTE("P:"&amp;A498,"~","~~"),"*","~*"),"?","~?"),Andamentos!$G$10:$G$2009,1)=0,"",_xlfn.AGGREGATE(14,6,Andamentos!$D$10:$D$2009/((Andamentos!$K$10:$K$2009=AS498)*(Andamentos!$G$10:$G$2009=1)),1)))</f>
        <v/>
      </c>
      <c r="AA498" s="14">
        <f>IF(Z498="",0,COUNTIFS(Andamentos!$K$10:$K$2009,"="&amp;SUBSTITUTE(SUBSTITUTE(SUBSTITUTE("P:"&amp;A498,"~","~~"),"*","~*"),"?","~?"),Andamentos!$D$10:$D$2009,Z498,Andamentos!$G$10:$G$2009,1))</f>
        <v>0</v>
      </c>
      <c r="AB498" s="14">
        <f>IF(AA498=1,SUMIFS(Andamentos!$L$10:$L$2009,Andamentos!$K$10:$K$2009,"="&amp;SUBSTITUTE(SUBSTITUTE(SUBSTITUTE(AS498,"~","~~"),"*","~*"),"?","~?"),Andamentos!$D$10:$D$2009,Z498,Andamentos!$G$10:$G$2009,1)-9,0)</f>
        <v>0</v>
      </c>
      <c r="AC498" s="14" t="str">
        <f>IF(V498=0,"",IF(AA498&gt;1,"Conferir recebimentos empatados",IF(AB498=0,"Sem atualização",INDEX(Andamentos!$C$10:$C$2009,AB498))))</f>
        <v/>
      </c>
      <c r="AD498" s="14">
        <f>IF(W498=0,0,IF(MAX(Z498,BD498)=0,1,IF(Configurar!$J$12-INT(MAX(Z498,BD498))&gt;Configurar!$J$11,1,0)))</f>
        <v>0</v>
      </c>
      <c r="AE498" s="16"/>
      <c r="AF498" s="14"/>
      <c r="AG498" s="14"/>
      <c r="AH498" s="14">
        <f>IF(AND(V498=1,COUNTIFS(Valores!$S$10:$S$509,"="&amp;SUBSTITUTE(SUBSTITUTE(SUBSTITUTE("P:"&amp;A498,"~","~~"),"*","~*"),"?","~?"))=1),(IF(ISNA(MATCH(SUBSTITUTE(SUBSTITUTE(SUBSTITUTE("P:"&amp;A498,"~","~~"),"*","~*"),"?","~?"),Valores!$S$10:$S$509,0)),9,INDEX(Valores!$R$10:$R$509,MATCH(SUBSTITUTE(SUBSTITUTE(SUBSTITUTE("P:"&amp;A498,"~","~~"),"*","~*"),"?","~?"),Valores!$S$10:$S$509,0)))-9),0)</f>
        <v>0</v>
      </c>
      <c r="AI498" s="40" t="str">
        <f t="shared" si="66"/>
        <v/>
      </c>
      <c r="AJ498" s="14" t="str">
        <f>IF(AND(X498=1,Y498=1),COUNTIFS($X$10:X498,1,$Y$10:Y498,1),"")</f>
        <v/>
      </c>
      <c r="AK498" s="14" t="str">
        <f>IF(X498=1,COUNTIFS($X$10:X498,1),"")</f>
        <v/>
      </c>
      <c r="AL498" s="14">
        <f>IF(AND(V498=1,AND(OR(Painel!$L$6="Todas",E498=Painel!$L$6),OR(Painel!$C$8="Todos",F498=Painel!$C$8),OR(Painel!$L$8="Todos",G498=Painel!$L$8),OR(Painel!$C$10="",ISNUMBER(SEARCH(SUBSTITUTE(SUBSTITUTE(SUBSTITUTE(Painel!$C$10,"~","~~"),"*","~*"),"?","~?"),A498&amp;" "&amp;H498&amp;" "&amp;I498))))),1,0)</f>
        <v>0</v>
      </c>
      <c r="AM498" s="14">
        <f t="shared" si="67"/>
        <v>0</v>
      </c>
      <c r="AN498" s="14"/>
      <c r="AO498" s="14"/>
      <c r="AP498" s="16" t="str">
        <f>IF(AB498=0,"",IF(INDEX(Andamentos!$B$10:$B$2009,AB498)="","",INDEX(Andamentos!$B$10:$B$2009,AB498)))</f>
        <v/>
      </c>
      <c r="AQ498" s="17" t="str">
        <f>IF(AH498=0,"",IF(INDEX(Valores!$B$10:$B$509,AH498)="","",IF(ISNUMBER(INDEX(Valores!$B$10:$B$509,AH498)),INDEX(Valores!$B$10:$B$509,AH498),"")))</f>
        <v/>
      </c>
      <c r="AR498" s="14" t="str">
        <f t="shared" si="68"/>
        <v/>
      </c>
      <c r="AS498" s="14" t="str">
        <f t="shared" si="69"/>
        <v/>
      </c>
      <c r="AT498" s="27"/>
      <c r="AU498" s="31"/>
      <c r="AV498" s="31"/>
      <c r="AW498" s="27"/>
      <c r="AX498" s="27"/>
      <c r="AY498" s="27"/>
      <c r="AZ498" s="27"/>
      <c r="BA498" s="30" t="str">
        <f t="shared" si="70"/>
        <v/>
      </c>
      <c r="BB498" s="30" t="str">
        <f t="shared" si="71"/>
        <v/>
      </c>
      <c r="BC498" s="30">
        <f>IF(X498=0,0,IF(COUNTIFS($X$10:X498,1,$BA$10:BA498,BA498)=1,1,0))</f>
        <v>0</v>
      </c>
      <c r="BD498" s="29"/>
    </row>
    <row r="499" spans="1:56" ht="42" customHeight="1">
      <c r="A499" s="41"/>
      <c r="B499" s="44"/>
      <c r="C499" s="44"/>
      <c r="D499" s="44"/>
      <c r="E499" s="44"/>
      <c r="F499" s="44"/>
      <c r="G499" s="44"/>
      <c r="H499" s="44"/>
      <c r="I499" s="44"/>
      <c r="J499" s="44"/>
      <c r="K499" s="44"/>
      <c r="L499" s="49"/>
      <c r="M499" s="48"/>
      <c r="N499" s="48"/>
      <c r="O499" s="48"/>
      <c r="P499" s="48"/>
      <c r="Q499" s="48"/>
      <c r="R499" s="48"/>
      <c r="S499" s="49"/>
      <c r="T499" s="48"/>
      <c r="U499" s="48"/>
      <c r="V499" s="14">
        <f t="shared" si="63"/>
        <v>0</v>
      </c>
      <c r="W499" s="14">
        <f t="shared" si="64"/>
        <v>0</v>
      </c>
      <c r="X499" s="14">
        <f>IF(AND(V499=1,OR(Painel!$C$6="Todos",D499=Painel!$C$6),AND(OR(Painel!$L$6="Todas",E499=Painel!$L$6),OR(Painel!$C$8="Todos",F499=Painel!$C$8),OR(Painel!$L$8="Todos",G499=Painel!$L$8),OR(Painel!$C$10="",ISNUMBER(SEARCH(SUBSTITUTE(SUBSTITUTE(SUBSTITUTE(Painel!$C$10,"~","~~"),"*","~*"),"?","~?"),A499&amp;" "&amp;H499&amp;" "&amp;I499))))),1,0)</f>
        <v>0</v>
      </c>
      <c r="Y499" s="14">
        <f t="shared" si="65"/>
        <v>0</v>
      </c>
      <c r="Z499" s="15" t="str">
        <f>IF(V499=0,"",IF(COUNTIFS(Andamentos!$K$10:$K$2009,"="&amp;SUBSTITUTE(SUBSTITUTE(SUBSTITUTE("P:"&amp;A499,"~","~~"),"*","~*"),"?","~?"),Andamentos!$G$10:$G$2009,1)=0,"",_xlfn.AGGREGATE(14,6,Andamentos!$D$10:$D$2009/((Andamentos!$K$10:$K$2009=AS499)*(Andamentos!$G$10:$G$2009=1)),1)))</f>
        <v/>
      </c>
      <c r="AA499" s="14">
        <f>IF(Z499="",0,COUNTIFS(Andamentos!$K$10:$K$2009,"="&amp;SUBSTITUTE(SUBSTITUTE(SUBSTITUTE("P:"&amp;A499,"~","~~"),"*","~*"),"?","~?"),Andamentos!$D$10:$D$2009,Z499,Andamentos!$G$10:$G$2009,1))</f>
        <v>0</v>
      </c>
      <c r="AB499" s="14">
        <f>IF(AA499=1,SUMIFS(Andamentos!$L$10:$L$2009,Andamentos!$K$10:$K$2009,"="&amp;SUBSTITUTE(SUBSTITUTE(SUBSTITUTE(AS499,"~","~~"),"*","~*"),"?","~?"),Andamentos!$D$10:$D$2009,Z499,Andamentos!$G$10:$G$2009,1)-9,0)</f>
        <v>0</v>
      </c>
      <c r="AC499" s="14" t="str">
        <f>IF(V499=0,"",IF(AA499&gt;1,"Conferir recebimentos empatados",IF(AB499=0,"Sem atualização",INDEX(Andamentos!$C$10:$C$2009,AB499))))</f>
        <v/>
      </c>
      <c r="AD499" s="14">
        <f>IF(W499=0,0,IF(MAX(Z499,BD499)=0,1,IF(Configurar!$J$12-INT(MAX(Z499,BD499))&gt;Configurar!$J$11,1,0)))</f>
        <v>0</v>
      </c>
      <c r="AE499" s="16"/>
      <c r="AF499" s="14"/>
      <c r="AG499" s="14"/>
      <c r="AH499" s="14">
        <f>IF(AND(V499=1,COUNTIFS(Valores!$S$10:$S$509,"="&amp;SUBSTITUTE(SUBSTITUTE(SUBSTITUTE("P:"&amp;A499,"~","~~"),"*","~*"),"?","~?"))=1),(IF(ISNA(MATCH(SUBSTITUTE(SUBSTITUTE(SUBSTITUTE("P:"&amp;A499,"~","~~"),"*","~*"),"?","~?"),Valores!$S$10:$S$509,0)),9,INDEX(Valores!$R$10:$R$509,MATCH(SUBSTITUTE(SUBSTITUTE(SUBSTITUTE("P:"&amp;A499,"~","~~"),"*","~*"),"?","~?"),Valores!$S$10:$S$509,0)))-9),0)</f>
        <v>0</v>
      </c>
      <c r="AI499" s="40" t="str">
        <f t="shared" si="66"/>
        <v/>
      </c>
      <c r="AJ499" s="14" t="str">
        <f>IF(AND(X499=1,Y499=1),COUNTIFS($X$10:X499,1,$Y$10:Y499,1),"")</f>
        <v/>
      </c>
      <c r="AK499" s="14" t="str">
        <f>IF(X499=1,COUNTIFS($X$10:X499,1),"")</f>
        <v/>
      </c>
      <c r="AL499" s="14">
        <f>IF(AND(V499=1,AND(OR(Painel!$L$6="Todas",E499=Painel!$L$6),OR(Painel!$C$8="Todos",F499=Painel!$C$8),OR(Painel!$L$8="Todos",G499=Painel!$L$8),OR(Painel!$C$10="",ISNUMBER(SEARCH(SUBSTITUTE(SUBSTITUTE(SUBSTITUTE(Painel!$C$10,"~","~~"),"*","~*"),"?","~?"),A499&amp;" "&amp;H499&amp;" "&amp;I499))))),1,0)</f>
        <v>0</v>
      </c>
      <c r="AM499" s="14">
        <f t="shared" si="67"/>
        <v>0</v>
      </c>
      <c r="AN499" s="14"/>
      <c r="AO499" s="14"/>
      <c r="AP499" s="16" t="str">
        <f>IF(AB499=0,"",IF(INDEX(Andamentos!$B$10:$B$2009,AB499)="","",INDEX(Andamentos!$B$10:$B$2009,AB499)))</f>
        <v/>
      </c>
      <c r="AQ499" s="17" t="str">
        <f>IF(AH499=0,"",IF(INDEX(Valores!$B$10:$B$509,AH499)="","",IF(ISNUMBER(INDEX(Valores!$B$10:$B$509,AH499)),INDEX(Valores!$B$10:$B$509,AH499),"")))</f>
        <v/>
      </c>
      <c r="AR499" s="14" t="str">
        <f t="shared" si="68"/>
        <v/>
      </c>
      <c r="AS499" s="14" t="str">
        <f t="shared" si="69"/>
        <v/>
      </c>
      <c r="AT499" s="27"/>
      <c r="AU499" s="31"/>
      <c r="AV499" s="31"/>
      <c r="AW499" s="27"/>
      <c r="AX499" s="27"/>
      <c r="AY499" s="27"/>
      <c r="AZ499" s="27"/>
      <c r="BA499" s="30" t="str">
        <f t="shared" si="70"/>
        <v/>
      </c>
      <c r="BB499" s="30" t="str">
        <f t="shared" si="71"/>
        <v/>
      </c>
      <c r="BC499" s="30">
        <f>IF(X499=0,0,IF(COUNTIFS($X$10:X499,1,$BA$10:BA499,BA499)=1,1,0))</f>
        <v>0</v>
      </c>
      <c r="BD499" s="29"/>
    </row>
    <row r="500" spans="1:56" ht="42" customHeight="1">
      <c r="A500" s="41"/>
      <c r="B500" s="44"/>
      <c r="C500" s="44"/>
      <c r="D500" s="44"/>
      <c r="E500" s="44"/>
      <c r="F500" s="44"/>
      <c r="G500" s="44"/>
      <c r="H500" s="44"/>
      <c r="I500" s="44"/>
      <c r="J500" s="44"/>
      <c r="K500" s="44"/>
      <c r="L500" s="49"/>
      <c r="M500" s="48"/>
      <c r="N500" s="48"/>
      <c r="O500" s="48"/>
      <c r="P500" s="48"/>
      <c r="Q500" s="48"/>
      <c r="R500" s="48"/>
      <c r="S500" s="49"/>
      <c r="T500" s="48"/>
      <c r="U500" s="48"/>
      <c r="V500" s="14">
        <f t="shared" si="63"/>
        <v>0</v>
      </c>
      <c r="W500" s="14">
        <f t="shared" si="64"/>
        <v>0</v>
      </c>
      <c r="X500" s="14">
        <f>IF(AND(V500=1,OR(Painel!$C$6="Todos",D500=Painel!$C$6),AND(OR(Painel!$L$6="Todas",E500=Painel!$L$6),OR(Painel!$C$8="Todos",F500=Painel!$C$8),OR(Painel!$L$8="Todos",G500=Painel!$L$8),OR(Painel!$C$10="",ISNUMBER(SEARCH(SUBSTITUTE(SUBSTITUTE(SUBSTITUTE(Painel!$C$10,"~","~~"),"*","~*"),"?","~?"),A500&amp;" "&amp;H500&amp;" "&amp;I500))))),1,0)</f>
        <v>0</v>
      </c>
      <c r="Y500" s="14">
        <f t="shared" si="65"/>
        <v>0</v>
      </c>
      <c r="Z500" s="15" t="str">
        <f>IF(V500=0,"",IF(COUNTIFS(Andamentos!$K$10:$K$2009,"="&amp;SUBSTITUTE(SUBSTITUTE(SUBSTITUTE("P:"&amp;A500,"~","~~"),"*","~*"),"?","~?"),Andamentos!$G$10:$G$2009,1)=0,"",_xlfn.AGGREGATE(14,6,Andamentos!$D$10:$D$2009/((Andamentos!$K$10:$K$2009=AS500)*(Andamentos!$G$10:$G$2009=1)),1)))</f>
        <v/>
      </c>
      <c r="AA500" s="14">
        <f>IF(Z500="",0,COUNTIFS(Andamentos!$K$10:$K$2009,"="&amp;SUBSTITUTE(SUBSTITUTE(SUBSTITUTE("P:"&amp;A500,"~","~~"),"*","~*"),"?","~?"),Andamentos!$D$10:$D$2009,Z500,Andamentos!$G$10:$G$2009,1))</f>
        <v>0</v>
      </c>
      <c r="AB500" s="14">
        <f>IF(AA500=1,SUMIFS(Andamentos!$L$10:$L$2009,Andamentos!$K$10:$K$2009,"="&amp;SUBSTITUTE(SUBSTITUTE(SUBSTITUTE(AS500,"~","~~"),"*","~*"),"?","~?"),Andamentos!$D$10:$D$2009,Z500,Andamentos!$G$10:$G$2009,1)-9,0)</f>
        <v>0</v>
      </c>
      <c r="AC500" s="14" t="str">
        <f>IF(V500=0,"",IF(AA500&gt;1,"Conferir recebimentos empatados",IF(AB500=0,"Sem atualização",INDEX(Andamentos!$C$10:$C$2009,AB500))))</f>
        <v/>
      </c>
      <c r="AD500" s="14">
        <f>IF(W500=0,0,IF(MAX(Z500,BD500)=0,1,IF(Configurar!$J$12-INT(MAX(Z500,BD500))&gt;Configurar!$J$11,1,0)))</f>
        <v>0</v>
      </c>
      <c r="AE500" s="16"/>
      <c r="AF500" s="14"/>
      <c r="AG500" s="14"/>
      <c r="AH500" s="14">
        <f>IF(AND(V500=1,COUNTIFS(Valores!$S$10:$S$509,"="&amp;SUBSTITUTE(SUBSTITUTE(SUBSTITUTE("P:"&amp;A500,"~","~~"),"*","~*"),"?","~?"))=1),(IF(ISNA(MATCH(SUBSTITUTE(SUBSTITUTE(SUBSTITUTE("P:"&amp;A500,"~","~~"),"*","~*"),"?","~?"),Valores!$S$10:$S$509,0)),9,INDEX(Valores!$R$10:$R$509,MATCH(SUBSTITUTE(SUBSTITUTE(SUBSTITUTE("P:"&amp;A500,"~","~~"),"*","~*"),"?","~?"),Valores!$S$10:$S$509,0)))-9),0)</f>
        <v>0</v>
      </c>
      <c r="AI500" s="40" t="str">
        <f t="shared" si="66"/>
        <v/>
      </c>
      <c r="AJ500" s="14" t="str">
        <f>IF(AND(X500=1,Y500=1),COUNTIFS($X$10:X500,1,$Y$10:Y500,1),"")</f>
        <v/>
      </c>
      <c r="AK500" s="14" t="str">
        <f>IF(X500=1,COUNTIFS($X$10:X500,1),"")</f>
        <v/>
      </c>
      <c r="AL500" s="14">
        <f>IF(AND(V500=1,AND(OR(Painel!$L$6="Todas",E500=Painel!$L$6),OR(Painel!$C$8="Todos",F500=Painel!$C$8),OR(Painel!$L$8="Todos",G500=Painel!$L$8),OR(Painel!$C$10="",ISNUMBER(SEARCH(SUBSTITUTE(SUBSTITUTE(SUBSTITUTE(Painel!$C$10,"~","~~"),"*","~*"),"?","~?"),A500&amp;" "&amp;H500&amp;" "&amp;I500))))),1,0)</f>
        <v>0</v>
      </c>
      <c r="AM500" s="14">
        <f t="shared" si="67"/>
        <v>0</v>
      </c>
      <c r="AN500" s="14"/>
      <c r="AO500" s="14"/>
      <c r="AP500" s="16" t="str">
        <f>IF(AB500=0,"",IF(INDEX(Andamentos!$B$10:$B$2009,AB500)="","",INDEX(Andamentos!$B$10:$B$2009,AB500)))</f>
        <v/>
      </c>
      <c r="AQ500" s="17" t="str">
        <f>IF(AH500=0,"",IF(INDEX(Valores!$B$10:$B$509,AH500)="","",IF(ISNUMBER(INDEX(Valores!$B$10:$B$509,AH500)),INDEX(Valores!$B$10:$B$509,AH500),"")))</f>
        <v/>
      </c>
      <c r="AR500" s="14" t="str">
        <f t="shared" si="68"/>
        <v/>
      </c>
      <c r="AS500" s="14" t="str">
        <f t="shared" si="69"/>
        <v/>
      </c>
      <c r="AT500" s="27"/>
      <c r="AU500" s="31"/>
      <c r="AV500" s="31"/>
      <c r="AW500" s="27"/>
      <c r="AX500" s="27"/>
      <c r="AY500" s="27"/>
      <c r="AZ500" s="27"/>
      <c r="BA500" s="30" t="str">
        <f t="shared" si="70"/>
        <v/>
      </c>
      <c r="BB500" s="30" t="str">
        <f t="shared" si="71"/>
        <v/>
      </c>
      <c r="BC500" s="30">
        <f>IF(X500=0,0,IF(COUNTIFS($X$10:X500,1,$BA$10:BA500,BA500)=1,1,0))</f>
        <v>0</v>
      </c>
      <c r="BD500" s="29"/>
    </row>
    <row r="501" spans="1:56" ht="42" customHeight="1">
      <c r="A501" s="41"/>
      <c r="B501" s="44"/>
      <c r="C501" s="44"/>
      <c r="D501" s="44"/>
      <c r="E501" s="44"/>
      <c r="F501" s="44"/>
      <c r="G501" s="44"/>
      <c r="H501" s="44"/>
      <c r="I501" s="44"/>
      <c r="J501" s="44"/>
      <c r="K501" s="44"/>
      <c r="L501" s="49"/>
      <c r="M501" s="48"/>
      <c r="N501" s="48"/>
      <c r="O501" s="48"/>
      <c r="P501" s="48"/>
      <c r="Q501" s="48"/>
      <c r="R501" s="48"/>
      <c r="S501" s="49"/>
      <c r="T501" s="48"/>
      <c r="U501" s="48"/>
      <c r="V501" s="14">
        <f t="shared" si="63"/>
        <v>0</v>
      </c>
      <c r="W501" s="14">
        <f t="shared" si="64"/>
        <v>0</v>
      </c>
      <c r="X501" s="14">
        <f>IF(AND(V501=1,OR(Painel!$C$6="Todos",D501=Painel!$C$6),AND(OR(Painel!$L$6="Todas",E501=Painel!$L$6),OR(Painel!$C$8="Todos",F501=Painel!$C$8),OR(Painel!$L$8="Todos",G501=Painel!$L$8),OR(Painel!$C$10="",ISNUMBER(SEARCH(SUBSTITUTE(SUBSTITUTE(SUBSTITUTE(Painel!$C$10,"~","~~"),"*","~*"),"?","~?"),A501&amp;" "&amp;H501&amp;" "&amp;I501))))),1,0)</f>
        <v>0</v>
      </c>
      <c r="Y501" s="14">
        <f t="shared" si="65"/>
        <v>0</v>
      </c>
      <c r="Z501" s="15" t="str">
        <f>IF(V501=0,"",IF(COUNTIFS(Andamentos!$K$10:$K$2009,"="&amp;SUBSTITUTE(SUBSTITUTE(SUBSTITUTE("P:"&amp;A501,"~","~~"),"*","~*"),"?","~?"),Andamentos!$G$10:$G$2009,1)=0,"",_xlfn.AGGREGATE(14,6,Andamentos!$D$10:$D$2009/((Andamentos!$K$10:$K$2009=AS501)*(Andamentos!$G$10:$G$2009=1)),1)))</f>
        <v/>
      </c>
      <c r="AA501" s="14">
        <f>IF(Z501="",0,COUNTIFS(Andamentos!$K$10:$K$2009,"="&amp;SUBSTITUTE(SUBSTITUTE(SUBSTITUTE("P:"&amp;A501,"~","~~"),"*","~*"),"?","~?"),Andamentos!$D$10:$D$2009,Z501,Andamentos!$G$10:$G$2009,1))</f>
        <v>0</v>
      </c>
      <c r="AB501" s="14">
        <f>IF(AA501=1,SUMIFS(Andamentos!$L$10:$L$2009,Andamentos!$K$10:$K$2009,"="&amp;SUBSTITUTE(SUBSTITUTE(SUBSTITUTE(AS501,"~","~~"),"*","~*"),"?","~?"),Andamentos!$D$10:$D$2009,Z501,Andamentos!$G$10:$G$2009,1)-9,0)</f>
        <v>0</v>
      </c>
      <c r="AC501" s="14" t="str">
        <f>IF(V501=0,"",IF(AA501&gt;1,"Conferir recebimentos empatados",IF(AB501=0,"Sem atualização",INDEX(Andamentos!$C$10:$C$2009,AB501))))</f>
        <v/>
      </c>
      <c r="AD501" s="14">
        <f>IF(W501=0,0,IF(MAX(Z501,BD501)=0,1,IF(Configurar!$J$12-INT(MAX(Z501,BD501))&gt;Configurar!$J$11,1,0)))</f>
        <v>0</v>
      </c>
      <c r="AE501" s="16"/>
      <c r="AF501" s="14"/>
      <c r="AG501" s="14"/>
      <c r="AH501" s="14">
        <f>IF(AND(V501=1,COUNTIFS(Valores!$S$10:$S$509,"="&amp;SUBSTITUTE(SUBSTITUTE(SUBSTITUTE("P:"&amp;A501,"~","~~"),"*","~*"),"?","~?"))=1),(IF(ISNA(MATCH(SUBSTITUTE(SUBSTITUTE(SUBSTITUTE("P:"&amp;A501,"~","~~"),"*","~*"),"?","~?"),Valores!$S$10:$S$509,0)),9,INDEX(Valores!$R$10:$R$509,MATCH(SUBSTITUTE(SUBSTITUTE(SUBSTITUTE("P:"&amp;A501,"~","~~"),"*","~*"),"?","~?"),Valores!$S$10:$S$509,0)))-9),0)</f>
        <v>0</v>
      </c>
      <c r="AI501" s="40" t="str">
        <f t="shared" si="66"/>
        <v/>
      </c>
      <c r="AJ501" s="14" t="str">
        <f>IF(AND(X501=1,Y501=1),COUNTIFS($X$10:X501,1,$Y$10:Y501,1),"")</f>
        <v/>
      </c>
      <c r="AK501" s="14" t="str">
        <f>IF(X501=1,COUNTIFS($X$10:X501,1),"")</f>
        <v/>
      </c>
      <c r="AL501" s="14">
        <f>IF(AND(V501=1,AND(OR(Painel!$L$6="Todas",E501=Painel!$L$6),OR(Painel!$C$8="Todos",F501=Painel!$C$8),OR(Painel!$L$8="Todos",G501=Painel!$L$8),OR(Painel!$C$10="",ISNUMBER(SEARCH(SUBSTITUTE(SUBSTITUTE(SUBSTITUTE(Painel!$C$10,"~","~~"),"*","~*"),"?","~?"),A501&amp;" "&amp;H501&amp;" "&amp;I501))))),1,0)</f>
        <v>0</v>
      </c>
      <c r="AM501" s="14">
        <f t="shared" si="67"/>
        <v>0</v>
      </c>
      <c r="AN501" s="14"/>
      <c r="AO501" s="14"/>
      <c r="AP501" s="16" t="str">
        <f>IF(AB501=0,"",IF(INDEX(Andamentos!$B$10:$B$2009,AB501)="","",INDEX(Andamentos!$B$10:$B$2009,AB501)))</f>
        <v/>
      </c>
      <c r="AQ501" s="17" t="str">
        <f>IF(AH501=0,"",IF(INDEX(Valores!$B$10:$B$509,AH501)="","",IF(ISNUMBER(INDEX(Valores!$B$10:$B$509,AH501)),INDEX(Valores!$B$10:$B$509,AH501),"")))</f>
        <v/>
      </c>
      <c r="AR501" s="14" t="str">
        <f t="shared" si="68"/>
        <v/>
      </c>
      <c r="AS501" s="14" t="str">
        <f t="shared" si="69"/>
        <v/>
      </c>
      <c r="AT501" s="27"/>
      <c r="AU501" s="31"/>
      <c r="AV501" s="31"/>
      <c r="AW501" s="27"/>
      <c r="AX501" s="27"/>
      <c r="AY501" s="27"/>
      <c r="AZ501" s="27"/>
      <c r="BA501" s="30" t="str">
        <f t="shared" si="70"/>
        <v/>
      </c>
      <c r="BB501" s="30" t="str">
        <f t="shared" si="71"/>
        <v/>
      </c>
      <c r="BC501" s="30">
        <f>IF(X501=0,0,IF(COUNTIFS($X$10:X501,1,$BA$10:BA501,BA501)=1,1,0))</f>
        <v>0</v>
      </c>
      <c r="BD501" s="29"/>
    </row>
    <row r="502" spans="1:56" ht="42" customHeight="1">
      <c r="A502" s="41"/>
      <c r="B502" s="44"/>
      <c r="C502" s="44"/>
      <c r="D502" s="44"/>
      <c r="E502" s="44"/>
      <c r="F502" s="44"/>
      <c r="G502" s="44"/>
      <c r="H502" s="44"/>
      <c r="I502" s="44"/>
      <c r="J502" s="44"/>
      <c r="K502" s="44"/>
      <c r="L502" s="49"/>
      <c r="M502" s="48"/>
      <c r="N502" s="48"/>
      <c r="O502" s="48"/>
      <c r="P502" s="48"/>
      <c r="Q502" s="48"/>
      <c r="R502" s="48"/>
      <c r="S502" s="49"/>
      <c r="T502" s="48"/>
      <c r="U502" s="48"/>
      <c r="V502" s="14">
        <f t="shared" si="63"/>
        <v>0</v>
      </c>
      <c r="W502" s="14">
        <f t="shared" si="64"/>
        <v>0</v>
      </c>
      <c r="X502" s="14">
        <f>IF(AND(V502=1,OR(Painel!$C$6="Todos",D502=Painel!$C$6),AND(OR(Painel!$L$6="Todas",E502=Painel!$L$6),OR(Painel!$C$8="Todos",F502=Painel!$C$8),OR(Painel!$L$8="Todos",G502=Painel!$L$8),OR(Painel!$C$10="",ISNUMBER(SEARCH(SUBSTITUTE(SUBSTITUTE(SUBSTITUTE(Painel!$C$10,"~","~~"),"*","~*"),"?","~?"),A502&amp;" "&amp;H502&amp;" "&amp;I502))))),1,0)</f>
        <v>0</v>
      </c>
      <c r="Y502" s="14">
        <f t="shared" si="65"/>
        <v>0</v>
      </c>
      <c r="Z502" s="15" t="str">
        <f>IF(V502=0,"",IF(COUNTIFS(Andamentos!$K$10:$K$2009,"="&amp;SUBSTITUTE(SUBSTITUTE(SUBSTITUTE("P:"&amp;A502,"~","~~"),"*","~*"),"?","~?"),Andamentos!$G$10:$G$2009,1)=0,"",_xlfn.AGGREGATE(14,6,Andamentos!$D$10:$D$2009/((Andamentos!$K$10:$K$2009=AS502)*(Andamentos!$G$10:$G$2009=1)),1)))</f>
        <v/>
      </c>
      <c r="AA502" s="14">
        <f>IF(Z502="",0,COUNTIFS(Andamentos!$K$10:$K$2009,"="&amp;SUBSTITUTE(SUBSTITUTE(SUBSTITUTE("P:"&amp;A502,"~","~~"),"*","~*"),"?","~?"),Andamentos!$D$10:$D$2009,Z502,Andamentos!$G$10:$G$2009,1))</f>
        <v>0</v>
      </c>
      <c r="AB502" s="14">
        <f>IF(AA502=1,SUMIFS(Andamentos!$L$10:$L$2009,Andamentos!$K$10:$K$2009,"="&amp;SUBSTITUTE(SUBSTITUTE(SUBSTITUTE(AS502,"~","~~"),"*","~*"),"?","~?"),Andamentos!$D$10:$D$2009,Z502,Andamentos!$G$10:$G$2009,1)-9,0)</f>
        <v>0</v>
      </c>
      <c r="AC502" s="14" t="str">
        <f>IF(V502=0,"",IF(AA502&gt;1,"Conferir recebimentos empatados",IF(AB502=0,"Sem atualização",INDEX(Andamentos!$C$10:$C$2009,AB502))))</f>
        <v/>
      </c>
      <c r="AD502" s="14">
        <f>IF(W502=0,0,IF(MAX(Z502,BD502)=0,1,IF(Configurar!$J$12-INT(MAX(Z502,BD502))&gt;Configurar!$J$11,1,0)))</f>
        <v>0</v>
      </c>
      <c r="AE502" s="16"/>
      <c r="AF502" s="14"/>
      <c r="AG502" s="14"/>
      <c r="AH502" s="14">
        <f>IF(AND(V502=1,COUNTIFS(Valores!$S$10:$S$509,"="&amp;SUBSTITUTE(SUBSTITUTE(SUBSTITUTE("P:"&amp;A502,"~","~~"),"*","~*"),"?","~?"))=1),(IF(ISNA(MATCH(SUBSTITUTE(SUBSTITUTE(SUBSTITUTE("P:"&amp;A502,"~","~~"),"*","~*"),"?","~?"),Valores!$S$10:$S$509,0)),9,INDEX(Valores!$R$10:$R$509,MATCH(SUBSTITUTE(SUBSTITUTE(SUBSTITUTE("P:"&amp;A502,"~","~~"),"*","~*"),"?","~?"),Valores!$S$10:$S$509,0)))-9),0)</f>
        <v>0</v>
      </c>
      <c r="AI502" s="40" t="str">
        <f t="shared" si="66"/>
        <v/>
      </c>
      <c r="AJ502" s="14" t="str">
        <f>IF(AND(X502=1,Y502=1),COUNTIFS($X$10:X502,1,$Y$10:Y502,1),"")</f>
        <v/>
      </c>
      <c r="AK502" s="14" t="str">
        <f>IF(X502=1,COUNTIFS($X$10:X502,1),"")</f>
        <v/>
      </c>
      <c r="AL502" s="14">
        <f>IF(AND(V502=1,AND(OR(Painel!$L$6="Todas",E502=Painel!$L$6),OR(Painel!$C$8="Todos",F502=Painel!$C$8),OR(Painel!$L$8="Todos",G502=Painel!$L$8),OR(Painel!$C$10="",ISNUMBER(SEARCH(SUBSTITUTE(SUBSTITUTE(SUBSTITUTE(Painel!$C$10,"~","~~"),"*","~*"),"?","~?"),A502&amp;" "&amp;H502&amp;" "&amp;I502))))),1,0)</f>
        <v>0</v>
      </c>
      <c r="AM502" s="14">
        <f t="shared" si="67"/>
        <v>0</v>
      </c>
      <c r="AN502" s="14"/>
      <c r="AO502" s="14"/>
      <c r="AP502" s="16" t="str">
        <f>IF(AB502=0,"",IF(INDEX(Andamentos!$B$10:$B$2009,AB502)="","",INDEX(Andamentos!$B$10:$B$2009,AB502)))</f>
        <v/>
      </c>
      <c r="AQ502" s="17" t="str">
        <f>IF(AH502=0,"",IF(INDEX(Valores!$B$10:$B$509,AH502)="","",IF(ISNUMBER(INDEX(Valores!$B$10:$B$509,AH502)),INDEX(Valores!$B$10:$B$509,AH502),"")))</f>
        <v/>
      </c>
      <c r="AR502" s="14" t="str">
        <f t="shared" si="68"/>
        <v/>
      </c>
      <c r="AS502" s="14" t="str">
        <f t="shared" si="69"/>
        <v/>
      </c>
      <c r="AT502" s="27"/>
      <c r="AU502" s="31"/>
      <c r="AV502" s="31"/>
      <c r="AW502" s="27"/>
      <c r="AX502" s="27"/>
      <c r="AY502" s="27"/>
      <c r="AZ502" s="27"/>
      <c r="BA502" s="30" t="str">
        <f t="shared" si="70"/>
        <v/>
      </c>
      <c r="BB502" s="30" t="str">
        <f t="shared" si="71"/>
        <v/>
      </c>
      <c r="BC502" s="30">
        <f>IF(X502=0,0,IF(COUNTIFS($X$10:X502,1,$BA$10:BA502,BA502)=1,1,0))</f>
        <v>0</v>
      </c>
      <c r="BD502" s="29"/>
    </row>
    <row r="503" spans="1:56" ht="42" customHeight="1">
      <c r="A503" s="41"/>
      <c r="B503" s="44"/>
      <c r="C503" s="44"/>
      <c r="D503" s="44"/>
      <c r="E503" s="44"/>
      <c r="F503" s="44"/>
      <c r="G503" s="44"/>
      <c r="H503" s="44"/>
      <c r="I503" s="44"/>
      <c r="J503" s="44"/>
      <c r="K503" s="44"/>
      <c r="L503" s="49"/>
      <c r="M503" s="48"/>
      <c r="N503" s="48"/>
      <c r="O503" s="48"/>
      <c r="P503" s="48"/>
      <c r="Q503" s="48"/>
      <c r="R503" s="48"/>
      <c r="S503" s="49"/>
      <c r="T503" s="48"/>
      <c r="U503" s="48"/>
      <c r="V503" s="14">
        <f t="shared" si="63"/>
        <v>0</v>
      </c>
      <c r="W503" s="14">
        <f t="shared" si="64"/>
        <v>0</v>
      </c>
      <c r="X503" s="14">
        <f>IF(AND(V503=1,OR(Painel!$C$6="Todos",D503=Painel!$C$6),AND(OR(Painel!$L$6="Todas",E503=Painel!$L$6),OR(Painel!$C$8="Todos",F503=Painel!$C$8),OR(Painel!$L$8="Todos",G503=Painel!$L$8),OR(Painel!$C$10="",ISNUMBER(SEARCH(SUBSTITUTE(SUBSTITUTE(SUBSTITUTE(Painel!$C$10,"~","~~"),"*","~*"),"?","~?"),A503&amp;" "&amp;H503&amp;" "&amp;I503))))),1,0)</f>
        <v>0</v>
      </c>
      <c r="Y503" s="14">
        <f t="shared" si="65"/>
        <v>0</v>
      </c>
      <c r="Z503" s="15" t="str">
        <f>IF(V503=0,"",IF(COUNTIFS(Andamentos!$K$10:$K$2009,"="&amp;SUBSTITUTE(SUBSTITUTE(SUBSTITUTE("P:"&amp;A503,"~","~~"),"*","~*"),"?","~?"),Andamentos!$G$10:$G$2009,1)=0,"",_xlfn.AGGREGATE(14,6,Andamentos!$D$10:$D$2009/((Andamentos!$K$10:$K$2009=AS503)*(Andamentos!$G$10:$G$2009=1)),1)))</f>
        <v/>
      </c>
      <c r="AA503" s="14">
        <f>IF(Z503="",0,COUNTIFS(Andamentos!$K$10:$K$2009,"="&amp;SUBSTITUTE(SUBSTITUTE(SUBSTITUTE("P:"&amp;A503,"~","~~"),"*","~*"),"?","~?"),Andamentos!$D$10:$D$2009,Z503,Andamentos!$G$10:$G$2009,1))</f>
        <v>0</v>
      </c>
      <c r="AB503" s="14">
        <f>IF(AA503=1,SUMIFS(Andamentos!$L$10:$L$2009,Andamentos!$K$10:$K$2009,"="&amp;SUBSTITUTE(SUBSTITUTE(SUBSTITUTE(AS503,"~","~~"),"*","~*"),"?","~?"),Andamentos!$D$10:$D$2009,Z503,Andamentos!$G$10:$G$2009,1)-9,0)</f>
        <v>0</v>
      </c>
      <c r="AC503" s="14" t="str">
        <f>IF(V503=0,"",IF(AA503&gt;1,"Conferir recebimentos empatados",IF(AB503=0,"Sem atualização",INDEX(Andamentos!$C$10:$C$2009,AB503))))</f>
        <v/>
      </c>
      <c r="AD503" s="14">
        <f>IF(W503=0,0,IF(MAX(Z503,BD503)=0,1,IF(Configurar!$J$12-INT(MAX(Z503,BD503))&gt;Configurar!$J$11,1,0)))</f>
        <v>0</v>
      </c>
      <c r="AE503" s="16"/>
      <c r="AF503" s="14"/>
      <c r="AG503" s="14"/>
      <c r="AH503" s="14">
        <f>IF(AND(V503=1,COUNTIFS(Valores!$S$10:$S$509,"="&amp;SUBSTITUTE(SUBSTITUTE(SUBSTITUTE("P:"&amp;A503,"~","~~"),"*","~*"),"?","~?"))=1),(IF(ISNA(MATCH(SUBSTITUTE(SUBSTITUTE(SUBSTITUTE("P:"&amp;A503,"~","~~"),"*","~*"),"?","~?"),Valores!$S$10:$S$509,0)),9,INDEX(Valores!$R$10:$R$509,MATCH(SUBSTITUTE(SUBSTITUTE(SUBSTITUTE("P:"&amp;A503,"~","~~"),"*","~*"),"?","~?"),Valores!$S$10:$S$509,0)))-9),0)</f>
        <v>0</v>
      </c>
      <c r="AI503" s="40" t="str">
        <f t="shared" si="66"/>
        <v/>
      </c>
      <c r="AJ503" s="14" t="str">
        <f>IF(AND(X503=1,Y503=1),COUNTIFS($X$10:X503,1,$Y$10:Y503,1),"")</f>
        <v/>
      </c>
      <c r="AK503" s="14" t="str">
        <f>IF(X503=1,COUNTIFS($X$10:X503,1),"")</f>
        <v/>
      </c>
      <c r="AL503" s="14">
        <f>IF(AND(V503=1,AND(OR(Painel!$L$6="Todas",E503=Painel!$L$6),OR(Painel!$C$8="Todos",F503=Painel!$C$8),OR(Painel!$L$8="Todos",G503=Painel!$L$8),OR(Painel!$C$10="",ISNUMBER(SEARCH(SUBSTITUTE(SUBSTITUTE(SUBSTITUTE(Painel!$C$10,"~","~~"),"*","~*"),"?","~?"),A503&amp;" "&amp;H503&amp;" "&amp;I503))))),1,0)</f>
        <v>0</v>
      </c>
      <c r="AM503" s="14">
        <f t="shared" si="67"/>
        <v>0</v>
      </c>
      <c r="AN503" s="14"/>
      <c r="AO503" s="14"/>
      <c r="AP503" s="16" t="str">
        <f>IF(AB503=0,"",IF(INDEX(Andamentos!$B$10:$B$2009,AB503)="","",INDEX(Andamentos!$B$10:$B$2009,AB503)))</f>
        <v/>
      </c>
      <c r="AQ503" s="17" t="str">
        <f>IF(AH503=0,"",IF(INDEX(Valores!$B$10:$B$509,AH503)="","",IF(ISNUMBER(INDEX(Valores!$B$10:$B$509,AH503)),INDEX(Valores!$B$10:$B$509,AH503),"")))</f>
        <v/>
      </c>
      <c r="AR503" s="14" t="str">
        <f t="shared" si="68"/>
        <v/>
      </c>
      <c r="AS503" s="14" t="str">
        <f t="shared" si="69"/>
        <v/>
      </c>
      <c r="AT503" s="27"/>
      <c r="AU503" s="31"/>
      <c r="AV503" s="31"/>
      <c r="AW503" s="27"/>
      <c r="AX503" s="27"/>
      <c r="AY503" s="27"/>
      <c r="AZ503" s="27"/>
      <c r="BA503" s="30" t="str">
        <f t="shared" si="70"/>
        <v/>
      </c>
      <c r="BB503" s="30" t="str">
        <f t="shared" si="71"/>
        <v/>
      </c>
      <c r="BC503" s="30">
        <f>IF(X503=0,0,IF(COUNTIFS($X$10:X503,1,$BA$10:BA503,BA503)=1,1,0))</f>
        <v>0</v>
      </c>
      <c r="BD503" s="29"/>
    </row>
    <row r="504" spans="1:56" ht="42" customHeight="1">
      <c r="A504" s="41"/>
      <c r="B504" s="44"/>
      <c r="C504" s="44"/>
      <c r="D504" s="44"/>
      <c r="E504" s="44"/>
      <c r="F504" s="44"/>
      <c r="G504" s="44"/>
      <c r="H504" s="44"/>
      <c r="I504" s="44"/>
      <c r="J504" s="44"/>
      <c r="K504" s="44"/>
      <c r="L504" s="49"/>
      <c r="M504" s="48"/>
      <c r="N504" s="48"/>
      <c r="O504" s="48"/>
      <c r="P504" s="48"/>
      <c r="Q504" s="48"/>
      <c r="R504" s="48"/>
      <c r="S504" s="49"/>
      <c r="T504" s="48"/>
      <c r="U504" s="48"/>
      <c r="V504" s="14">
        <f t="shared" si="63"/>
        <v>0</v>
      </c>
      <c r="W504" s="14">
        <f t="shared" si="64"/>
        <v>0</v>
      </c>
      <c r="X504" s="14">
        <f>IF(AND(V504=1,OR(Painel!$C$6="Todos",D504=Painel!$C$6),AND(OR(Painel!$L$6="Todas",E504=Painel!$L$6),OR(Painel!$C$8="Todos",F504=Painel!$C$8),OR(Painel!$L$8="Todos",G504=Painel!$L$8),OR(Painel!$C$10="",ISNUMBER(SEARCH(SUBSTITUTE(SUBSTITUTE(SUBSTITUTE(Painel!$C$10,"~","~~"),"*","~*"),"?","~?"),A504&amp;" "&amp;H504&amp;" "&amp;I504))))),1,0)</f>
        <v>0</v>
      </c>
      <c r="Y504" s="14">
        <f t="shared" si="65"/>
        <v>0</v>
      </c>
      <c r="Z504" s="15" t="str">
        <f>IF(V504=0,"",IF(COUNTIFS(Andamentos!$K$10:$K$2009,"="&amp;SUBSTITUTE(SUBSTITUTE(SUBSTITUTE("P:"&amp;A504,"~","~~"),"*","~*"),"?","~?"),Andamentos!$G$10:$G$2009,1)=0,"",_xlfn.AGGREGATE(14,6,Andamentos!$D$10:$D$2009/((Andamentos!$K$10:$K$2009=AS504)*(Andamentos!$G$10:$G$2009=1)),1)))</f>
        <v/>
      </c>
      <c r="AA504" s="14">
        <f>IF(Z504="",0,COUNTIFS(Andamentos!$K$10:$K$2009,"="&amp;SUBSTITUTE(SUBSTITUTE(SUBSTITUTE("P:"&amp;A504,"~","~~"),"*","~*"),"?","~?"),Andamentos!$D$10:$D$2009,Z504,Andamentos!$G$10:$G$2009,1))</f>
        <v>0</v>
      </c>
      <c r="AB504" s="14">
        <f>IF(AA504=1,SUMIFS(Andamentos!$L$10:$L$2009,Andamentos!$K$10:$K$2009,"="&amp;SUBSTITUTE(SUBSTITUTE(SUBSTITUTE(AS504,"~","~~"),"*","~*"),"?","~?"),Andamentos!$D$10:$D$2009,Z504,Andamentos!$G$10:$G$2009,1)-9,0)</f>
        <v>0</v>
      </c>
      <c r="AC504" s="14" t="str">
        <f>IF(V504=0,"",IF(AA504&gt;1,"Conferir recebimentos empatados",IF(AB504=0,"Sem atualização",INDEX(Andamentos!$C$10:$C$2009,AB504))))</f>
        <v/>
      </c>
      <c r="AD504" s="14">
        <f>IF(W504=0,0,IF(MAX(Z504,BD504)=0,1,IF(Configurar!$J$12-INT(MAX(Z504,BD504))&gt;Configurar!$J$11,1,0)))</f>
        <v>0</v>
      </c>
      <c r="AE504" s="16"/>
      <c r="AF504" s="14"/>
      <c r="AG504" s="14"/>
      <c r="AH504" s="14">
        <f>IF(AND(V504=1,COUNTIFS(Valores!$S$10:$S$509,"="&amp;SUBSTITUTE(SUBSTITUTE(SUBSTITUTE("P:"&amp;A504,"~","~~"),"*","~*"),"?","~?"))=1),(IF(ISNA(MATCH(SUBSTITUTE(SUBSTITUTE(SUBSTITUTE("P:"&amp;A504,"~","~~"),"*","~*"),"?","~?"),Valores!$S$10:$S$509,0)),9,INDEX(Valores!$R$10:$R$509,MATCH(SUBSTITUTE(SUBSTITUTE(SUBSTITUTE("P:"&amp;A504,"~","~~"),"*","~*"),"?","~?"),Valores!$S$10:$S$509,0)))-9),0)</f>
        <v>0</v>
      </c>
      <c r="AI504" s="40" t="str">
        <f t="shared" si="66"/>
        <v/>
      </c>
      <c r="AJ504" s="14" t="str">
        <f>IF(AND(X504=1,Y504=1),COUNTIFS($X$10:X504,1,$Y$10:Y504,1),"")</f>
        <v/>
      </c>
      <c r="AK504" s="14" t="str">
        <f>IF(X504=1,COUNTIFS($X$10:X504,1),"")</f>
        <v/>
      </c>
      <c r="AL504" s="14">
        <f>IF(AND(V504=1,AND(OR(Painel!$L$6="Todas",E504=Painel!$L$6),OR(Painel!$C$8="Todos",F504=Painel!$C$8),OR(Painel!$L$8="Todos",G504=Painel!$L$8),OR(Painel!$C$10="",ISNUMBER(SEARCH(SUBSTITUTE(SUBSTITUTE(SUBSTITUTE(Painel!$C$10,"~","~~"),"*","~*"),"?","~?"),A504&amp;" "&amp;H504&amp;" "&amp;I504))))),1,0)</f>
        <v>0</v>
      </c>
      <c r="AM504" s="14">
        <f t="shared" si="67"/>
        <v>0</v>
      </c>
      <c r="AN504" s="14"/>
      <c r="AO504" s="14"/>
      <c r="AP504" s="16" t="str">
        <f>IF(AB504=0,"",IF(INDEX(Andamentos!$B$10:$B$2009,AB504)="","",INDEX(Andamentos!$B$10:$B$2009,AB504)))</f>
        <v/>
      </c>
      <c r="AQ504" s="17" t="str">
        <f>IF(AH504=0,"",IF(INDEX(Valores!$B$10:$B$509,AH504)="","",IF(ISNUMBER(INDEX(Valores!$B$10:$B$509,AH504)),INDEX(Valores!$B$10:$B$509,AH504),"")))</f>
        <v/>
      </c>
      <c r="AR504" s="14" t="str">
        <f t="shared" si="68"/>
        <v/>
      </c>
      <c r="AS504" s="14" t="str">
        <f t="shared" si="69"/>
        <v/>
      </c>
      <c r="AT504" s="27"/>
      <c r="AU504" s="31"/>
      <c r="AV504" s="31"/>
      <c r="AW504" s="27"/>
      <c r="AX504" s="27"/>
      <c r="AY504" s="27"/>
      <c r="AZ504" s="27"/>
      <c r="BA504" s="30" t="str">
        <f t="shared" si="70"/>
        <v/>
      </c>
      <c r="BB504" s="30" t="str">
        <f t="shared" si="71"/>
        <v/>
      </c>
      <c r="BC504" s="30">
        <f>IF(X504=0,0,IF(COUNTIFS($X$10:X504,1,$BA$10:BA504,BA504)=1,1,0))</f>
        <v>0</v>
      </c>
      <c r="BD504" s="29"/>
    </row>
    <row r="505" spans="1:56" ht="42" customHeight="1">
      <c r="A505" s="41"/>
      <c r="B505" s="44"/>
      <c r="C505" s="44"/>
      <c r="D505" s="44"/>
      <c r="E505" s="44"/>
      <c r="F505" s="44"/>
      <c r="G505" s="44"/>
      <c r="H505" s="44"/>
      <c r="I505" s="44"/>
      <c r="J505" s="44"/>
      <c r="K505" s="44"/>
      <c r="L505" s="49"/>
      <c r="M505" s="48"/>
      <c r="N505" s="48"/>
      <c r="O505" s="48"/>
      <c r="P505" s="48"/>
      <c r="Q505" s="48"/>
      <c r="R505" s="48"/>
      <c r="S505" s="49"/>
      <c r="T505" s="48"/>
      <c r="U505" s="48"/>
      <c r="V505" s="14">
        <f t="shared" si="63"/>
        <v>0</v>
      </c>
      <c r="W505" s="14">
        <f t="shared" si="64"/>
        <v>0</v>
      </c>
      <c r="X505" s="14">
        <f>IF(AND(V505=1,OR(Painel!$C$6="Todos",D505=Painel!$C$6),AND(OR(Painel!$L$6="Todas",E505=Painel!$L$6),OR(Painel!$C$8="Todos",F505=Painel!$C$8),OR(Painel!$L$8="Todos",G505=Painel!$L$8),OR(Painel!$C$10="",ISNUMBER(SEARCH(SUBSTITUTE(SUBSTITUTE(SUBSTITUTE(Painel!$C$10,"~","~~"),"*","~*"),"?","~?"),A505&amp;" "&amp;H505&amp;" "&amp;I505))))),1,0)</f>
        <v>0</v>
      </c>
      <c r="Y505" s="14">
        <f t="shared" si="65"/>
        <v>0</v>
      </c>
      <c r="Z505" s="15" t="str">
        <f>IF(V505=0,"",IF(COUNTIFS(Andamentos!$K$10:$K$2009,"="&amp;SUBSTITUTE(SUBSTITUTE(SUBSTITUTE("P:"&amp;A505,"~","~~"),"*","~*"),"?","~?"),Andamentos!$G$10:$G$2009,1)=0,"",_xlfn.AGGREGATE(14,6,Andamentos!$D$10:$D$2009/((Andamentos!$K$10:$K$2009=AS505)*(Andamentos!$G$10:$G$2009=1)),1)))</f>
        <v/>
      </c>
      <c r="AA505" s="14">
        <f>IF(Z505="",0,COUNTIFS(Andamentos!$K$10:$K$2009,"="&amp;SUBSTITUTE(SUBSTITUTE(SUBSTITUTE("P:"&amp;A505,"~","~~"),"*","~*"),"?","~?"),Andamentos!$D$10:$D$2009,Z505,Andamentos!$G$10:$G$2009,1))</f>
        <v>0</v>
      </c>
      <c r="AB505" s="14">
        <f>IF(AA505=1,SUMIFS(Andamentos!$L$10:$L$2009,Andamentos!$K$10:$K$2009,"="&amp;SUBSTITUTE(SUBSTITUTE(SUBSTITUTE(AS505,"~","~~"),"*","~*"),"?","~?"),Andamentos!$D$10:$D$2009,Z505,Andamentos!$G$10:$G$2009,1)-9,0)</f>
        <v>0</v>
      </c>
      <c r="AC505" s="14" t="str">
        <f>IF(V505=0,"",IF(AA505&gt;1,"Conferir recebimentos empatados",IF(AB505=0,"Sem atualização",INDEX(Andamentos!$C$10:$C$2009,AB505))))</f>
        <v/>
      </c>
      <c r="AD505" s="14">
        <f>IF(W505=0,0,IF(MAX(Z505,BD505)=0,1,IF(Configurar!$J$12-INT(MAX(Z505,BD505))&gt;Configurar!$J$11,1,0)))</f>
        <v>0</v>
      </c>
      <c r="AE505" s="16"/>
      <c r="AF505" s="14"/>
      <c r="AG505" s="14"/>
      <c r="AH505" s="14">
        <f>IF(AND(V505=1,COUNTIFS(Valores!$S$10:$S$509,"="&amp;SUBSTITUTE(SUBSTITUTE(SUBSTITUTE("P:"&amp;A505,"~","~~"),"*","~*"),"?","~?"))=1),(IF(ISNA(MATCH(SUBSTITUTE(SUBSTITUTE(SUBSTITUTE("P:"&amp;A505,"~","~~"),"*","~*"),"?","~?"),Valores!$S$10:$S$509,0)),9,INDEX(Valores!$R$10:$R$509,MATCH(SUBSTITUTE(SUBSTITUTE(SUBSTITUTE("P:"&amp;A505,"~","~~"),"*","~*"),"?","~?"),Valores!$S$10:$S$509,0)))-9),0)</f>
        <v>0</v>
      </c>
      <c r="AI505" s="40" t="str">
        <f t="shared" si="66"/>
        <v/>
      </c>
      <c r="AJ505" s="14" t="str">
        <f>IF(AND(X505=1,Y505=1),COUNTIFS($X$10:X505,1,$Y$10:Y505,1),"")</f>
        <v/>
      </c>
      <c r="AK505" s="14" t="str">
        <f>IF(X505=1,COUNTIFS($X$10:X505,1),"")</f>
        <v/>
      </c>
      <c r="AL505" s="14">
        <f>IF(AND(V505=1,AND(OR(Painel!$L$6="Todas",E505=Painel!$L$6),OR(Painel!$C$8="Todos",F505=Painel!$C$8),OR(Painel!$L$8="Todos",G505=Painel!$L$8),OR(Painel!$C$10="",ISNUMBER(SEARCH(SUBSTITUTE(SUBSTITUTE(SUBSTITUTE(Painel!$C$10,"~","~~"),"*","~*"),"?","~?"),A505&amp;" "&amp;H505&amp;" "&amp;I505))))),1,0)</f>
        <v>0</v>
      </c>
      <c r="AM505" s="14">
        <f t="shared" si="67"/>
        <v>0</v>
      </c>
      <c r="AN505" s="14"/>
      <c r="AO505" s="14"/>
      <c r="AP505" s="16" t="str">
        <f>IF(AB505=0,"",IF(INDEX(Andamentos!$B$10:$B$2009,AB505)="","",INDEX(Andamentos!$B$10:$B$2009,AB505)))</f>
        <v/>
      </c>
      <c r="AQ505" s="17" t="str">
        <f>IF(AH505=0,"",IF(INDEX(Valores!$B$10:$B$509,AH505)="","",IF(ISNUMBER(INDEX(Valores!$B$10:$B$509,AH505)),INDEX(Valores!$B$10:$B$509,AH505),"")))</f>
        <v/>
      </c>
      <c r="AR505" s="14" t="str">
        <f t="shared" si="68"/>
        <v/>
      </c>
      <c r="AS505" s="14" t="str">
        <f t="shared" si="69"/>
        <v/>
      </c>
      <c r="AT505" s="27"/>
      <c r="AU505" s="31"/>
      <c r="AV505" s="31"/>
      <c r="AW505" s="27"/>
      <c r="AX505" s="27"/>
      <c r="AY505" s="27"/>
      <c r="AZ505" s="27"/>
      <c r="BA505" s="30" t="str">
        <f t="shared" si="70"/>
        <v/>
      </c>
      <c r="BB505" s="30" t="str">
        <f t="shared" si="71"/>
        <v/>
      </c>
      <c r="BC505" s="30">
        <f>IF(X505=0,0,IF(COUNTIFS($X$10:X505,1,$BA$10:BA505,BA505)=1,1,0))</f>
        <v>0</v>
      </c>
      <c r="BD505" s="29"/>
    </row>
    <row r="506" spans="1:56" ht="42" customHeight="1">
      <c r="A506" s="41"/>
      <c r="B506" s="44"/>
      <c r="C506" s="44"/>
      <c r="D506" s="44"/>
      <c r="E506" s="44"/>
      <c r="F506" s="44"/>
      <c r="G506" s="44"/>
      <c r="H506" s="44"/>
      <c r="I506" s="44"/>
      <c r="J506" s="44"/>
      <c r="K506" s="44"/>
      <c r="L506" s="49"/>
      <c r="M506" s="48"/>
      <c r="N506" s="48"/>
      <c r="O506" s="48"/>
      <c r="P506" s="48"/>
      <c r="Q506" s="48"/>
      <c r="R506" s="48"/>
      <c r="S506" s="49"/>
      <c r="T506" s="48"/>
      <c r="U506" s="48"/>
      <c r="V506" s="14">
        <f t="shared" si="63"/>
        <v>0</v>
      </c>
      <c r="W506" s="14">
        <f t="shared" si="64"/>
        <v>0</v>
      </c>
      <c r="X506" s="14">
        <f>IF(AND(V506=1,OR(Painel!$C$6="Todos",D506=Painel!$C$6),AND(OR(Painel!$L$6="Todas",E506=Painel!$L$6),OR(Painel!$C$8="Todos",F506=Painel!$C$8),OR(Painel!$L$8="Todos",G506=Painel!$L$8),OR(Painel!$C$10="",ISNUMBER(SEARCH(SUBSTITUTE(SUBSTITUTE(SUBSTITUTE(Painel!$C$10,"~","~~"),"*","~*"),"?","~?"),A506&amp;" "&amp;H506&amp;" "&amp;I506))))),1,0)</f>
        <v>0</v>
      </c>
      <c r="Y506" s="14">
        <f t="shared" si="65"/>
        <v>0</v>
      </c>
      <c r="Z506" s="15" t="str">
        <f>IF(V506=0,"",IF(COUNTIFS(Andamentos!$K$10:$K$2009,"="&amp;SUBSTITUTE(SUBSTITUTE(SUBSTITUTE("P:"&amp;A506,"~","~~"),"*","~*"),"?","~?"),Andamentos!$G$10:$G$2009,1)=0,"",_xlfn.AGGREGATE(14,6,Andamentos!$D$10:$D$2009/((Andamentos!$K$10:$K$2009=AS506)*(Andamentos!$G$10:$G$2009=1)),1)))</f>
        <v/>
      </c>
      <c r="AA506" s="14">
        <f>IF(Z506="",0,COUNTIFS(Andamentos!$K$10:$K$2009,"="&amp;SUBSTITUTE(SUBSTITUTE(SUBSTITUTE("P:"&amp;A506,"~","~~"),"*","~*"),"?","~?"),Andamentos!$D$10:$D$2009,Z506,Andamentos!$G$10:$G$2009,1))</f>
        <v>0</v>
      </c>
      <c r="AB506" s="14">
        <f>IF(AA506=1,SUMIFS(Andamentos!$L$10:$L$2009,Andamentos!$K$10:$K$2009,"="&amp;SUBSTITUTE(SUBSTITUTE(SUBSTITUTE(AS506,"~","~~"),"*","~*"),"?","~?"),Andamentos!$D$10:$D$2009,Z506,Andamentos!$G$10:$G$2009,1)-9,0)</f>
        <v>0</v>
      </c>
      <c r="AC506" s="14" t="str">
        <f>IF(V506=0,"",IF(AA506&gt;1,"Conferir recebimentos empatados",IF(AB506=0,"Sem atualização",INDEX(Andamentos!$C$10:$C$2009,AB506))))</f>
        <v/>
      </c>
      <c r="AD506" s="14">
        <f>IF(W506=0,0,IF(MAX(Z506,BD506)=0,1,IF(Configurar!$J$12-INT(MAX(Z506,BD506))&gt;Configurar!$J$11,1,0)))</f>
        <v>0</v>
      </c>
      <c r="AE506" s="16"/>
      <c r="AF506" s="14"/>
      <c r="AG506" s="14"/>
      <c r="AH506" s="14">
        <f>IF(AND(V506=1,COUNTIFS(Valores!$S$10:$S$509,"="&amp;SUBSTITUTE(SUBSTITUTE(SUBSTITUTE("P:"&amp;A506,"~","~~"),"*","~*"),"?","~?"))=1),(IF(ISNA(MATCH(SUBSTITUTE(SUBSTITUTE(SUBSTITUTE("P:"&amp;A506,"~","~~"),"*","~*"),"?","~?"),Valores!$S$10:$S$509,0)),9,INDEX(Valores!$R$10:$R$509,MATCH(SUBSTITUTE(SUBSTITUTE(SUBSTITUTE("P:"&amp;A506,"~","~~"),"*","~*"),"?","~?"),Valores!$S$10:$S$509,0)))-9),0)</f>
        <v>0</v>
      </c>
      <c r="AI506" s="40" t="str">
        <f t="shared" si="66"/>
        <v/>
      </c>
      <c r="AJ506" s="14" t="str">
        <f>IF(AND(X506=1,Y506=1),COUNTIFS($X$10:X506,1,$Y$10:Y506,1),"")</f>
        <v/>
      </c>
      <c r="AK506" s="14" t="str">
        <f>IF(X506=1,COUNTIFS($X$10:X506,1),"")</f>
        <v/>
      </c>
      <c r="AL506" s="14">
        <f>IF(AND(V506=1,AND(OR(Painel!$L$6="Todas",E506=Painel!$L$6),OR(Painel!$C$8="Todos",F506=Painel!$C$8),OR(Painel!$L$8="Todos",G506=Painel!$L$8),OR(Painel!$C$10="",ISNUMBER(SEARCH(SUBSTITUTE(SUBSTITUTE(SUBSTITUTE(Painel!$C$10,"~","~~"),"*","~*"),"?","~?"),A506&amp;" "&amp;H506&amp;" "&amp;I506))))),1,0)</f>
        <v>0</v>
      </c>
      <c r="AM506" s="14">
        <f t="shared" si="67"/>
        <v>0</v>
      </c>
      <c r="AN506" s="14"/>
      <c r="AO506" s="14"/>
      <c r="AP506" s="16" t="str">
        <f>IF(AB506=0,"",IF(INDEX(Andamentos!$B$10:$B$2009,AB506)="","",INDEX(Andamentos!$B$10:$B$2009,AB506)))</f>
        <v/>
      </c>
      <c r="AQ506" s="17" t="str">
        <f>IF(AH506=0,"",IF(INDEX(Valores!$B$10:$B$509,AH506)="","",IF(ISNUMBER(INDEX(Valores!$B$10:$B$509,AH506)),INDEX(Valores!$B$10:$B$509,AH506),"")))</f>
        <v/>
      </c>
      <c r="AR506" s="14" t="str">
        <f t="shared" si="68"/>
        <v/>
      </c>
      <c r="AS506" s="14" t="str">
        <f t="shared" si="69"/>
        <v/>
      </c>
      <c r="AT506" s="27"/>
      <c r="AU506" s="31"/>
      <c r="AV506" s="31"/>
      <c r="AW506" s="27"/>
      <c r="AX506" s="27"/>
      <c r="AY506" s="27"/>
      <c r="AZ506" s="27"/>
      <c r="BA506" s="30" t="str">
        <f t="shared" si="70"/>
        <v/>
      </c>
      <c r="BB506" s="30" t="str">
        <f t="shared" si="71"/>
        <v/>
      </c>
      <c r="BC506" s="30">
        <f>IF(X506=0,0,IF(COUNTIFS($X$10:X506,1,$BA$10:BA506,BA506)=1,1,0))</f>
        <v>0</v>
      </c>
      <c r="BD506" s="29"/>
    </row>
    <row r="507" spans="1:56" ht="42" customHeight="1">
      <c r="A507" s="41"/>
      <c r="B507" s="44"/>
      <c r="C507" s="44"/>
      <c r="D507" s="44"/>
      <c r="E507" s="44"/>
      <c r="F507" s="44"/>
      <c r="G507" s="44"/>
      <c r="H507" s="44"/>
      <c r="I507" s="44"/>
      <c r="J507" s="44"/>
      <c r="K507" s="44"/>
      <c r="L507" s="49"/>
      <c r="M507" s="48"/>
      <c r="N507" s="48"/>
      <c r="O507" s="48"/>
      <c r="P507" s="48"/>
      <c r="Q507" s="48"/>
      <c r="R507" s="48"/>
      <c r="S507" s="49"/>
      <c r="T507" s="48"/>
      <c r="U507" s="48"/>
      <c r="V507" s="14">
        <f t="shared" si="63"/>
        <v>0</v>
      </c>
      <c r="W507" s="14">
        <f t="shared" si="64"/>
        <v>0</v>
      </c>
      <c r="X507" s="14">
        <f>IF(AND(V507=1,OR(Painel!$C$6="Todos",D507=Painel!$C$6),AND(OR(Painel!$L$6="Todas",E507=Painel!$L$6),OR(Painel!$C$8="Todos",F507=Painel!$C$8),OR(Painel!$L$8="Todos",G507=Painel!$L$8),OR(Painel!$C$10="",ISNUMBER(SEARCH(SUBSTITUTE(SUBSTITUTE(SUBSTITUTE(Painel!$C$10,"~","~~"),"*","~*"),"?","~?"),A507&amp;" "&amp;H507&amp;" "&amp;I507))))),1,0)</f>
        <v>0</v>
      </c>
      <c r="Y507" s="14">
        <f t="shared" si="65"/>
        <v>0</v>
      </c>
      <c r="Z507" s="15" t="str">
        <f>IF(V507=0,"",IF(COUNTIFS(Andamentos!$K$10:$K$2009,"="&amp;SUBSTITUTE(SUBSTITUTE(SUBSTITUTE("P:"&amp;A507,"~","~~"),"*","~*"),"?","~?"),Andamentos!$G$10:$G$2009,1)=0,"",_xlfn.AGGREGATE(14,6,Andamentos!$D$10:$D$2009/((Andamentos!$K$10:$K$2009=AS507)*(Andamentos!$G$10:$G$2009=1)),1)))</f>
        <v/>
      </c>
      <c r="AA507" s="14">
        <f>IF(Z507="",0,COUNTIFS(Andamentos!$K$10:$K$2009,"="&amp;SUBSTITUTE(SUBSTITUTE(SUBSTITUTE("P:"&amp;A507,"~","~~"),"*","~*"),"?","~?"),Andamentos!$D$10:$D$2009,Z507,Andamentos!$G$10:$G$2009,1))</f>
        <v>0</v>
      </c>
      <c r="AB507" s="14">
        <f>IF(AA507=1,SUMIFS(Andamentos!$L$10:$L$2009,Andamentos!$K$10:$K$2009,"="&amp;SUBSTITUTE(SUBSTITUTE(SUBSTITUTE(AS507,"~","~~"),"*","~*"),"?","~?"),Andamentos!$D$10:$D$2009,Z507,Andamentos!$G$10:$G$2009,1)-9,0)</f>
        <v>0</v>
      </c>
      <c r="AC507" s="14" t="str">
        <f>IF(V507=0,"",IF(AA507&gt;1,"Conferir recebimentos empatados",IF(AB507=0,"Sem atualização",INDEX(Andamentos!$C$10:$C$2009,AB507))))</f>
        <v/>
      </c>
      <c r="AD507" s="14">
        <f>IF(W507=0,0,IF(MAX(Z507,BD507)=0,1,IF(Configurar!$J$12-INT(MAX(Z507,BD507))&gt;Configurar!$J$11,1,0)))</f>
        <v>0</v>
      </c>
      <c r="AE507" s="16"/>
      <c r="AF507" s="14"/>
      <c r="AG507" s="14"/>
      <c r="AH507" s="14">
        <f>IF(AND(V507=1,COUNTIFS(Valores!$S$10:$S$509,"="&amp;SUBSTITUTE(SUBSTITUTE(SUBSTITUTE("P:"&amp;A507,"~","~~"),"*","~*"),"?","~?"))=1),(IF(ISNA(MATCH(SUBSTITUTE(SUBSTITUTE(SUBSTITUTE("P:"&amp;A507,"~","~~"),"*","~*"),"?","~?"),Valores!$S$10:$S$509,0)),9,INDEX(Valores!$R$10:$R$509,MATCH(SUBSTITUTE(SUBSTITUTE(SUBSTITUTE("P:"&amp;A507,"~","~~"),"*","~*"),"?","~?"),Valores!$S$10:$S$509,0)))-9),0)</f>
        <v>0</v>
      </c>
      <c r="AI507" s="40" t="str">
        <f t="shared" si="66"/>
        <v/>
      </c>
      <c r="AJ507" s="14" t="str">
        <f>IF(AND(X507=1,Y507=1),COUNTIFS($X$10:X507,1,$Y$10:Y507,1),"")</f>
        <v/>
      </c>
      <c r="AK507" s="14" t="str">
        <f>IF(X507=1,COUNTIFS($X$10:X507,1),"")</f>
        <v/>
      </c>
      <c r="AL507" s="14">
        <f>IF(AND(V507=1,AND(OR(Painel!$L$6="Todas",E507=Painel!$L$6),OR(Painel!$C$8="Todos",F507=Painel!$C$8),OR(Painel!$L$8="Todos",G507=Painel!$L$8),OR(Painel!$C$10="",ISNUMBER(SEARCH(SUBSTITUTE(SUBSTITUTE(SUBSTITUTE(Painel!$C$10,"~","~~"),"*","~*"),"?","~?"),A507&amp;" "&amp;H507&amp;" "&amp;I507))))),1,0)</f>
        <v>0</v>
      </c>
      <c r="AM507" s="14">
        <f t="shared" si="67"/>
        <v>0</v>
      </c>
      <c r="AN507" s="14"/>
      <c r="AO507" s="14"/>
      <c r="AP507" s="16" t="str">
        <f>IF(AB507=0,"",IF(INDEX(Andamentos!$B$10:$B$2009,AB507)="","",INDEX(Andamentos!$B$10:$B$2009,AB507)))</f>
        <v/>
      </c>
      <c r="AQ507" s="17" t="str">
        <f>IF(AH507=0,"",IF(INDEX(Valores!$B$10:$B$509,AH507)="","",IF(ISNUMBER(INDEX(Valores!$B$10:$B$509,AH507)),INDEX(Valores!$B$10:$B$509,AH507),"")))</f>
        <v/>
      </c>
      <c r="AR507" s="14" t="str">
        <f t="shared" si="68"/>
        <v/>
      </c>
      <c r="AS507" s="14" t="str">
        <f t="shared" si="69"/>
        <v/>
      </c>
      <c r="AT507" s="27"/>
      <c r="AU507" s="31"/>
      <c r="AV507" s="31"/>
      <c r="AW507" s="27"/>
      <c r="AX507" s="27"/>
      <c r="AY507" s="27"/>
      <c r="AZ507" s="27"/>
      <c r="BA507" s="30" t="str">
        <f t="shared" si="70"/>
        <v/>
      </c>
      <c r="BB507" s="30" t="str">
        <f t="shared" si="71"/>
        <v/>
      </c>
      <c r="BC507" s="30">
        <f>IF(X507=0,0,IF(COUNTIFS($X$10:X507,1,$BA$10:BA507,BA507)=1,1,0))</f>
        <v>0</v>
      </c>
      <c r="BD507" s="29"/>
    </row>
    <row r="508" spans="1:56" ht="42" customHeight="1">
      <c r="A508" s="41"/>
      <c r="B508" s="44"/>
      <c r="C508" s="44"/>
      <c r="D508" s="44"/>
      <c r="E508" s="44"/>
      <c r="F508" s="44"/>
      <c r="G508" s="44"/>
      <c r="H508" s="44"/>
      <c r="I508" s="44"/>
      <c r="J508" s="44"/>
      <c r="K508" s="44"/>
      <c r="L508" s="49"/>
      <c r="M508" s="48"/>
      <c r="N508" s="48"/>
      <c r="O508" s="48"/>
      <c r="P508" s="48"/>
      <c r="Q508" s="48"/>
      <c r="R508" s="48"/>
      <c r="S508" s="49"/>
      <c r="T508" s="48"/>
      <c r="U508" s="48"/>
      <c r="V508" s="14">
        <f t="shared" si="63"/>
        <v>0</v>
      </c>
      <c r="W508" s="14">
        <f t="shared" si="64"/>
        <v>0</v>
      </c>
      <c r="X508" s="14">
        <f>IF(AND(V508=1,OR(Painel!$C$6="Todos",D508=Painel!$C$6),AND(OR(Painel!$L$6="Todas",E508=Painel!$L$6),OR(Painel!$C$8="Todos",F508=Painel!$C$8),OR(Painel!$L$8="Todos",G508=Painel!$L$8),OR(Painel!$C$10="",ISNUMBER(SEARCH(SUBSTITUTE(SUBSTITUTE(SUBSTITUTE(Painel!$C$10,"~","~~"),"*","~*"),"?","~?"),A508&amp;" "&amp;H508&amp;" "&amp;I508))))),1,0)</f>
        <v>0</v>
      </c>
      <c r="Y508" s="14">
        <f t="shared" si="65"/>
        <v>0</v>
      </c>
      <c r="Z508" s="15" t="str">
        <f>IF(V508=0,"",IF(COUNTIFS(Andamentos!$K$10:$K$2009,"="&amp;SUBSTITUTE(SUBSTITUTE(SUBSTITUTE("P:"&amp;A508,"~","~~"),"*","~*"),"?","~?"),Andamentos!$G$10:$G$2009,1)=0,"",_xlfn.AGGREGATE(14,6,Andamentos!$D$10:$D$2009/((Andamentos!$K$10:$K$2009=AS508)*(Andamentos!$G$10:$G$2009=1)),1)))</f>
        <v/>
      </c>
      <c r="AA508" s="14">
        <f>IF(Z508="",0,COUNTIFS(Andamentos!$K$10:$K$2009,"="&amp;SUBSTITUTE(SUBSTITUTE(SUBSTITUTE("P:"&amp;A508,"~","~~"),"*","~*"),"?","~?"),Andamentos!$D$10:$D$2009,Z508,Andamentos!$G$10:$G$2009,1))</f>
        <v>0</v>
      </c>
      <c r="AB508" s="14">
        <f>IF(AA508=1,SUMIFS(Andamentos!$L$10:$L$2009,Andamentos!$K$10:$K$2009,"="&amp;SUBSTITUTE(SUBSTITUTE(SUBSTITUTE(AS508,"~","~~"),"*","~*"),"?","~?"),Andamentos!$D$10:$D$2009,Z508,Andamentos!$G$10:$G$2009,1)-9,0)</f>
        <v>0</v>
      </c>
      <c r="AC508" s="14" t="str">
        <f>IF(V508=0,"",IF(AA508&gt;1,"Conferir recebimentos empatados",IF(AB508=0,"Sem atualização",INDEX(Andamentos!$C$10:$C$2009,AB508))))</f>
        <v/>
      </c>
      <c r="AD508" s="14">
        <f>IF(W508=0,0,IF(MAX(Z508,BD508)=0,1,IF(Configurar!$J$12-INT(MAX(Z508,BD508))&gt;Configurar!$J$11,1,0)))</f>
        <v>0</v>
      </c>
      <c r="AE508" s="16"/>
      <c r="AF508" s="14"/>
      <c r="AG508" s="14"/>
      <c r="AH508" s="14">
        <f>IF(AND(V508=1,COUNTIFS(Valores!$S$10:$S$509,"="&amp;SUBSTITUTE(SUBSTITUTE(SUBSTITUTE("P:"&amp;A508,"~","~~"),"*","~*"),"?","~?"))=1),(IF(ISNA(MATCH(SUBSTITUTE(SUBSTITUTE(SUBSTITUTE("P:"&amp;A508,"~","~~"),"*","~*"),"?","~?"),Valores!$S$10:$S$509,0)),9,INDEX(Valores!$R$10:$R$509,MATCH(SUBSTITUTE(SUBSTITUTE(SUBSTITUTE("P:"&amp;A508,"~","~~"),"*","~*"),"?","~?"),Valores!$S$10:$S$509,0)))-9),0)</f>
        <v>0</v>
      </c>
      <c r="AI508" s="40" t="str">
        <f t="shared" si="66"/>
        <v/>
      </c>
      <c r="AJ508" s="14" t="str">
        <f>IF(AND(X508=1,Y508=1),COUNTIFS($X$10:X508,1,$Y$10:Y508,1),"")</f>
        <v/>
      </c>
      <c r="AK508" s="14" t="str">
        <f>IF(X508=1,COUNTIFS($X$10:X508,1),"")</f>
        <v/>
      </c>
      <c r="AL508" s="14">
        <f>IF(AND(V508=1,AND(OR(Painel!$L$6="Todas",E508=Painel!$L$6),OR(Painel!$C$8="Todos",F508=Painel!$C$8),OR(Painel!$L$8="Todos",G508=Painel!$L$8),OR(Painel!$C$10="",ISNUMBER(SEARCH(SUBSTITUTE(SUBSTITUTE(SUBSTITUTE(Painel!$C$10,"~","~~"),"*","~*"),"?","~?"),A508&amp;" "&amp;H508&amp;" "&amp;I508))))),1,0)</f>
        <v>0</v>
      </c>
      <c r="AM508" s="14">
        <f t="shared" si="67"/>
        <v>0</v>
      </c>
      <c r="AN508" s="14"/>
      <c r="AO508" s="14"/>
      <c r="AP508" s="16" t="str">
        <f>IF(AB508=0,"",IF(INDEX(Andamentos!$B$10:$B$2009,AB508)="","",INDEX(Andamentos!$B$10:$B$2009,AB508)))</f>
        <v/>
      </c>
      <c r="AQ508" s="17" t="str">
        <f>IF(AH508=0,"",IF(INDEX(Valores!$B$10:$B$509,AH508)="","",IF(ISNUMBER(INDEX(Valores!$B$10:$B$509,AH508)),INDEX(Valores!$B$10:$B$509,AH508),"")))</f>
        <v/>
      </c>
      <c r="AR508" s="14" t="str">
        <f t="shared" si="68"/>
        <v/>
      </c>
      <c r="AS508" s="14" t="str">
        <f t="shared" si="69"/>
        <v/>
      </c>
      <c r="AT508" s="27"/>
      <c r="AU508" s="31"/>
      <c r="AV508" s="31"/>
      <c r="AW508" s="27"/>
      <c r="AX508" s="27"/>
      <c r="AY508" s="27"/>
      <c r="AZ508" s="27"/>
      <c r="BA508" s="30" t="str">
        <f t="shared" si="70"/>
        <v/>
      </c>
      <c r="BB508" s="30" t="str">
        <f t="shared" si="71"/>
        <v/>
      </c>
      <c r="BC508" s="30">
        <f>IF(X508=0,0,IF(COUNTIFS($X$10:X508,1,$BA$10:BA508,BA508)=1,1,0))</f>
        <v>0</v>
      </c>
      <c r="BD508" s="29"/>
    </row>
    <row r="509" spans="1:56" ht="42" customHeight="1">
      <c r="A509" s="41"/>
      <c r="B509" s="44"/>
      <c r="C509" s="44"/>
      <c r="D509" s="44"/>
      <c r="E509" s="44"/>
      <c r="F509" s="44"/>
      <c r="G509" s="44"/>
      <c r="H509" s="44"/>
      <c r="I509" s="44"/>
      <c r="J509" s="44"/>
      <c r="K509" s="44"/>
      <c r="L509" s="49"/>
      <c r="M509" s="48"/>
      <c r="N509" s="48"/>
      <c r="O509" s="48"/>
      <c r="P509" s="48"/>
      <c r="Q509" s="48"/>
      <c r="R509" s="48"/>
      <c r="S509" s="49"/>
      <c r="T509" s="48"/>
      <c r="U509" s="48"/>
      <c r="V509" s="14">
        <f t="shared" si="63"/>
        <v>0</v>
      </c>
      <c r="W509" s="14">
        <f t="shared" si="64"/>
        <v>0</v>
      </c>
      <c r="X509" s="14">
        <f>IF(AND(V509=1,OR(Painel!$C$6="Todos",D509=Painel!$C$6),AND(OR(Painel!$L$6="Todas",E509=Painel!$L$6),OR(Painel!$C$8="Todos",F509=Painel!$C$8),OR(Painel!$L$8="Todos",G509=Painel!$L$8),OR(Painel!$C$10="",ISNUMBER(SEARCH(SUBSTITUTE(SUBSTITUTE(SUBSTITUTE(Painel!$C$10,"~","~~"),"*","~*"),"?","~?"),A509&amp;" "&amp;H509&amp;" "&amp;I509))))),1,0)</f>
        <v>0</v>
      </c>
      <c r="Y509" s="14">
        <f t="shared" si="65"/>
        <v>0</v>
      </c>
      <c r="Z509" s="15" t="str">
        <f>IF(V509=0,"",IF(COUNTIFS(Andamentos!$K$10:$K$2009,"="&amp;SUBSTITUTE(SUBSTITUTE(SUBSTITUTE("P:"&amp;A509,"~","~~"),"*","~*"),"?","~?"),Andamentos!$G$10:$G$2009,1)=0,"",_xlfn.AGGREGATE(14,6,Andamentos!$D$10:$D$2009/((Andamentos!$K$10:$K$2009=AS509)*(Andamentos!$G$10:$G$2009=1)),1)))</f>
        <v/>
      </c>
      <c r="AA509" s="14">
        <f>IF(Z509="",0,COUNTIFS(Andamentos!$K$10:$K$2009,"="&amp;SUBSTITUTE(SUBSTITUTE(SUBSTITUTE("P:"&amp;A509,"~","~~"),"*","~*"),"?","~?"),Andamentos!$D$10:$D$2009,Z509,Andamentos!$G$10:$G$2009,1))</f>
        <v>0</v>
      </c>
      <c r="AB509" s="14">
        <f>IF(AA509=1,SUMIFS(Andamentos!$L$10:$L$2009,Andamentos!$K$10:$K$2009,"="&amp;SUBSTITUTE(SUBSTITUTE(SUBSTITUTE(AS509,"~","~~"),"*","~*"),"?","~?"),Andamentos!$D$10:$D$2009,Z509,Andamentos!$G$10:$G$2009,1)-9,0)</f>
        <v>0</v>
      </c>
      <c r="AC509" s="14" t="str">
        <f>IF(V509=0,"",IF(AA509&gt;1,"Conferir recebimentos empatados",IF(AB509=0,"Sem atualização",INDEX(Andamentos!$C$10:$C$2009,AB509))))</f>
        <v/>
      </c>
      <c r="AD509" s="14">
        <f>IF(W509=0,0,IF(MAX(Z509,BD509)=0,1,IF(Configurar!$J$12-INT(MAX(Z509,BD509))&gt;Configurar!$J$11,1,0)))</f>
        <v>0</v>
      </c>
      <c r="AE509" s="16"/>
      <c r="AF509" s="14"/>
      <c r="AG509" s="14"/>
      <c r="AH509" s="14">
        <f>IF(AND(V509=1,COUNTIFS(Valores!$S$10:$S$509,"="&amp;SUBSTITUTE(SUBSTITUTE(SUBSTITUTE("P:"&amp;A509,"~","~~"),"*","~*"),"?","~?"))=1),(IF(ISNA(MATCH(SUBSTITUTE(SUBSTITUTE(SUBSTITUTE("P:"&amp;A509,"~","~~"),"*","~*"),"?","~?"),Valores!$S$10:$S$509,0)),9,INDEX(Valores!$R$10:$R$509,MATCH(SUBSTITUTE(SUBSTITUTE(SUBSTITUTE("P:"&amp;A509,"~","~~"),"*","~*"),"?","~?"),Valores!$S$10:$S$509,0)))-9),0)</f>
        <v>0</v>
      </c>
      <c r="AI509" s="40" t="str">
        <f t="shared" si="66"/>
        <v/>
      </c>
      <c r="AJ509" s="14" t="str">
        <f>IF(AND(X509=1,Y509=1),COUNTIFS($X$10:X509,1,$Y$10:Y509,1),"")</f>
        <v/>
      </c>
      <c r="AK509" s="14" t="str">
        <f>IF(X509=1,COUNTIFS($X$10:X509,1),"")</f>
        <v/>
      </c>
      <c r="AL509" s="14">
        <f>IF(AND(V509=1,AND(OR(Painel!$L$6="Todas",E509=Painel!$L$6),OR(Painel!$C$8="Todos",F509=Painel!$C$8),OR(Painel!$L$8="Todos",G509=Painel!$L$8),OR(Painel!$C$10="",ISNUMBER(SEARCH(SUBSTITUTE(SUBSTITUTE(SUBSTITUTE(Painel!$C$10,"~","~~"),"*","~*"),"?","~?"),A509&amp;" "&amp;H509&amp;" "&amp;I509))))),1,0)</f>
        <v>0</v>
      </c>
      <c r="AM509" s="14">
        <f t="shared" si="67"/>
        <v>0</v>
      </c>
      <c r="AN509" s="14"/>
      <c r="AO509" s="14"/>
      <c r="AP509" s="16" t="str">
        <f>IF(AB509=0,"",IF(INDEX(Andamentos!$B$10:$B$2009,AB509)="","",INDEX(Andamentos!$B$10:$B$2009,AB509)))</f>
        <v/>
      </c>
      <c r="AQ509" s="17" t="str">
        <f>IF(AH509=0,"",IF(INDEX(Valores!$B$10:$B$509,AH509)="","",IF(ISNUMBER(INDEX(Valores!$B$10:$B$509,AH509)),INDEX(Valores!$B$10:$B$509,AH509),"")))</f>
        <v/>
      </c>
      <c r="AR509" s="14" t="str">
        <f t="shared" si="68"/>
        <v/>
      </c>
      <c r="AS509" s="14" t="str">
        <f t="shared" si="69"/>
        <v/>
      </c>
      <c r="AT509" s="27"/>
      <c r="AU509" s="31"/>
      <c r="AV509" s="31"/>
      <c r="AW509" s="27"/>
      <c r="AX509" s="27"/>
      <c r="AY509" s="27"/>
      <c r="AZ509" s="27"/>
      <c r="BA509" s="30" t="str">
        <f t="shared" si="70"/>
        <v/>
      </c>
      <c r="BB509" s="30" t="str">
        <f t="shared" si="71"/>
        <v/>
      </c>
      <c r="BC509" s="30">
        <f>IF(X509=0,0,IF(COUNTIFS($X$10:X509,1,$BA$10:BA509,BA509)=1,1,0))</f>
        <v>0</v>
      </c>
      <c r="BD509" s="29"/>
    </row>
  </sheetData>
  <mergeCells count="10">
    <mergeCell ref="A6:C6"/>
    <mergeCell ref="D6:F6"/>
    <mergeCell ref="G6:I6"/>
    <mergeCell ref="A7:I7"/>
    <mergeCell ref="A5:I5"/>
    <mergeCell ref="A2:I2"/>
    <mergeCell ref="A3:I3"/>
    <mergeCell ref="A4:C4"/>
    <mergeCell ref="D4:F4"/>
    <mergeCell ref="G4:I4"/>
  </mergeCells>
  <conditionalFormatting sqref="E10:E509">
    <cfRule type="expression" dxfId="13" priority="4">
      <formula>AND($A10&lt;&gt;"",$E10="")</formula>
    </cfRule>
  </conditionalFormatting>
  <conditionalFormatting sqref="N10:N509">
    <cfRule type="expression" dxfId="12" priority="7">
      <formula>ISNUMBER(SEARCH("Crítica",$N10))</formula>
    </cfRule>
    <cfRule type="expression" dxfId="11" priority="8">
      <formula>ISNUMBER(SEARCH("Alta",$N10))</formula>
    </cfRule>
  </conditionalFormatting>
  <conditionalFormatting sqref="AI10:AI509">
    <cfRule type="expression" dxfId="10" priority="5">
      <formula>LEN($AI10)&gt;0</formula>
    </cfRule>
  </conditionalFormatting>
  <conditionalFormatting sqref="BB10:BB509">
    <cfRule type="expression" dxfId="9" priority="6">
      <formula>ISNUMBER(SEARCH("Revisar",$BB10))</formula>
    </cfRule>
  </conditionalFormatting>
  <dataValidations count="10">
    <dataValidation type="list" sqref="B10:B509" xr:uid="{00000000-0002-0000-0500-000000000000}">
      <formula1>"Judicial,Administrativo,Inquérito / Policial,Controle externo"</formula1>
    </dataValidation>
    <dataValidation type="list" sqref="C10:C509" xr:uid="{00000000-0002-0000-0500-000001000000}">
      <formula1>"Ativo,Suspenso,Encerrado,Arquivado"</formula1>
    </dataValidation>
    <dataValidation type="list" sqref="D10:D509" xr:uid="{00000000-0002-0000-0500-000002000000}">
      <formula1>INDIRECT("'Configurar'!A10:A29")</formula1>
    </dataValidation>
    <dataValidation type="list" sqref="E10:E509" xr:uid="{00000000-0002-0000-0500-000003000000}">
      <formula1>INDIRECT("'Configurar'!B10:B29")</formula1>
    </dataValidation>
    <dataValidation type="list" sqref="F10:F509" xr:uid="{00000000-0002-0000-0500-000004000000}">
      <formula1>INDIRECT("'Configurar'!C10:C39")</formula1>
    </dataValidation>
    <dataValidation type="list" sqref="G10:G509" xr:uid="{00000000-0002-0000-0500-000005000000}">
      <formula1>INDIRECT("'Configurar'!D10:D19")</formula1>
    </dataValidation>
    <dataValidation type="list" sqref="R10:R509" xr:uid="{00000000-0002-0000-0500-000006000000}">
      <formula1>INDIRECT("'Configurar'!E10:E29")</formula1>
    </dataValidation>
    <dataValidation type="list" sqref="N10:N509" xr:uid="{00000000-0002-0000-0500-000007000000}">
      <formula1>"Normal,Alta,Crítica"</formula1>
    </dataValidation>
    <dataValidation type="list" sqref="O10:P509" xr:uid="{00000000-0002-0000-0500-000008000000}">
      <formula1>"Sim,Não"</formula1>
    </dataValidation>
    <dataValidation type="date" sqref="L10:L509 S10:S509" xr:uid="{00000000-0002-0000-0500-000009000000}">
      <formula1>1</formula1>
      <formula2>100000</formula2>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19A42"/>
  </sheetPr>
  <dimension ref="A1:AB509"/>
  <sheetViews>
    <sheetView showGridLines="0" workbookViewId="0">
      <pane xSplit="1" ySplit="9" topLeftCell="B10" activePane="bottomRight" state="frozen"/>
      <selection pane="topRight"/>
      <selection pane="bottomLeft"/>
      <selection pane="bottomRight" activeCell="B10" sqref="B10"/>
    </sheetView>
  </sheetViews>
  <sheetFormatPr defaultRowHeight="14.25"/>
  <cols>
    <col min="1" max="1" width="32" customWidth="1"/>
    <col min="2" max="3" width="23" customWidth="1"/>
    <col min="4" max="4" width="27" customWidth="1"/>
    <col min="5" max="5" width="28" customWidth="1"/>
    <col min="6" max="6" width="0" hidden="1" customWidth="1"/>
    <col min="7" max="7" width="27" customWidth="1"/>
    <col min="8" max="8" width="22" customWidth="1"/>
    <col min="9" max="9" width="0" hidden="1" customWidth="1"/>
    <col min="10" max="10" width="18" customWidth="1"/>
    <col min="11" max="11" width="48" customWidth="1"/>
    <col min="12" max="12" width="17" hidden="1" customWidth="1"/>
    <col min="13" max="13" width="15" hidden="1" customWidth="1"/>
    <col min="14" max="14" width="50" customWidth="1"/>
    <col min="15" max="15" width="19" hidden="1" customWidth="1"/>
    <col min="16" max="16" width="27" hidden="1" customWidth="1"/>
    <col min="17" max="17" width="20" hidden="1" customWidth="1"/>
    <col min="18" max="18" width="17" hidden="1" customWidth="1"/>
    <col min="19" max="19" width="36" hidden="1" customWidth="1"/>
    <col min="20" max="21" width="23" customWidth="1"/>
    <col min="22" max="24" width="0" hidden="1" customWidth="1"/>
    <col min="25" max="27" width="36" customWidth="1"/>
    <col min="28" max="28" width="0" hidden="1" customWidth="1"/>
  </cols>
  <sheetData>
    <row r="1" spans="1:28" ht="23.1" customHeight="1">
      <c r="A1" s="6"/>
      <c r="B1" s="6"/>
      <c r="C1" s="6"/>
      <c r="D1" s="6"/>
      <c r="E1" s="6"/>
      <c r="F1" s="6"/>
      <c r="G1" s="6"/>
      <c r="H1" s="6"/>
      <c r="I1" s="6"/>
      <c r="J1" s="6"/>
      <c r="K1" s="6"/>
      <c r="L1" s="6"/>
      <c r="M1" s="6"/>
      <c r="N1" s="6"/>
      <c r="O1" s="6"/>
      <c r="P1" s="6"/>
      <c r="Q1" s="6"/>
      <c r="R1" s="6"/>
      <c r="S1" s="6"/>
    </row>
    <row r="2" spans="1:28" ht="33.950000000000003" customHeight="1">
      <c r="A2" s="53" t="s">
        <v>1089</v>
      </c>
      <c r="B2" s="53"/>
      <c r="C2" s="53"/>
      <c r="D2" s="53"/>
      <c r="E2" s="53"/>
      <c r="F2" s="53"/>
      <c r="G2" s="53"/>
      <c r="H2" s="53"/>
      <c r="I2" s="53"/>
      <c r="J2" s="6"/>
      <c r="K2" s="6"/>
      <c r="L2" s="6"/>
      <c r="M2" s="6"/>
      <c r="N2" s="6"/>
      <c r="O2" s="6"/>
      <c r="P2" s="6"/>
      <c r="Q2" s="6"/>
      <c r="R2" s="6"/>
      <c r="S2" s="6"/>
    </row>
    <row r="3" spans="1:28" ht="30" customHeight="1">
      <c r="A3" s="54" t="s">
        <v>1090</v>
      </c>
      <c r="B3" s="54"/>
      <c r="C3" s="54"/>
      <c r="D3" s="54"/>
      <c r="E3" s="54"/>
      <c r="F3" s="54"/>
      <c r="G3" s="54"/>
      <c r="H3" s="54"/>
      <c r="I3" s="54"/>
      <c r="J3" s="6"/>
      <c r="K3" s="6"/>
      <c r="L3" s="6"/>
      <c r="M3" s="6"/>
      <c r="N3" s="6"/>
      <c r="O3" s="6"/>
      <c r="P3" s="6"/>
      <c r="Q3" s="6"/>
      <c r="R3" s="6"/>
      <c r="S3" s="6"/>
    </row>
    <row r="4" spans="1:28" ht="27.95" customHeight="1">
      <c r="A4" s="78" t="str">
        <f>IFERROR(HYPERLINK("#'Painel'!A1","Painel"),"Painel")</f>
        <v>Painel</v>
      </c>
      <c r="B4" s="78"/>
      <c r="C4" s="78"/>
      <c r="D4" s="78" t="str">
        <f>IFERROR(HYPERLINK("#'Ficha'!C6","Ficha do processo"),"Ficha do processo")</f>
        <v>Ficha do processo</v>
      </c>
      <c r="E4" s="78"/>
      <c r="F4" s="78"/>
      <c r="G4" s="77" t="str">
        <f>IFERROR(HYPERLINK("#'Central IA'!C6","Atualizar com IA"),"Atualizar com IA")</f>
        <v>Atualizar com IA</v>
      </c>
      <c r="H4" s="77"/>
      <c r="I4" s="77"/>
      <c r="J4" s="6"/>
      <c r="K4" s="6"/>
      <c r="L4" s="6"/>
      <c r="M4" s="6"/>
      <c r="N4" s="6"/>
      <c r="O4" s="6"/>
      <c r="P4" s="6"/>
      <c r="Q4" s="6"/>
      <c r="R4" s="6"/>
      <c r="S4" s="6"/>
    </row>
    <row r="5" spans="1:28" ht="27" customHeight="1">
      <c r="A5" s="122" t="s">
        <v>108</v>
      </c>
      <c r="B5" s="122"/>
      <c r="C5" s="122"/>
      <c r="D5" s="122"/>
      <c r="E5" s="122"/>
      <c r="F5" s="122"/>
      <c r="G5" s="122"/>
      <c r="H5" s="122"/>
      <c r="I5" s="122"/>
      <c r="J5" s="6"/>
      <c r="K5" s="6"/>
      <c r="L5" s="6"/>
      <c r="M5" s="6"/>
      <c r="N5" s="6"/>
      <c r="O5" s="6"/>
      <c r="P5" s="6"/>
      <c r="Q5" s="6"/>
      <c r="R5" s="6"/>
      <c r="S5" s="6"/>
    </row>
    <row r="6" spans="1:28" ht="23.1" customHeight="1">
      <c r="A6" s="125" t="s">
        <v>1091</v>
      </c>
      <c r="B6" s="125"/>
      <c r="C6" s="125"/>
      <c r="D6" s="125"/>
      <c r="E6" s="125"/>
      <c r="F6" s="125"/>
      <c r="G6" s="6"/>
      <c r="H6" s="6"/>
      <c r="I6" s="6"/>
      <c r="J6" s="6"/>
      <c r="K6" s="6"/>
      <c r="L6" s="6"/>
      <c r="M6" s="6"/>
      <c r="N6" s="6"/>
      <c r="O6" s="6"/>
      <c r="P6" s="6"/>
      <c r="Q6" s="6"/>
      <c r="R6" s="6"/>
      <c r="S6" s="6"/>
    </row>
    <row r="7" spans="1:28" ht="23.1" customHeight="1">
      <c r="A7" s="125"/>
      <c r="B7" s="125"/>
      <c r="C7" s="125"/>
      <c r="D7" s="125"/>
      <c r="E7" s="125"/>
      <c r="F7" s="125"/>
      <c r="G7" s="6"/>
      <c r="H7" s="6"/>
      <c r="I7" s="6"/>
      <c r="J7" s="6"/>
      <c r="K7" s="6"/>
      <c r="L7" s="6"/>
      <c r="M7" s="6"/>
      <c r="N7" s="6"/>
      <c r="O7" s="6"/>
      <c r="P7" s="6"/>
      <c r="Q7" s="6"/>
      <c r="R7" s="6"/>
      <c r="S7" s="6"/>
    </row>
    <row r="8" spans="1:28" ht="23.1" customHeight="1">
      <c r="A8" s="6"/>
      <c r="B8" s="6"/>
      <c r="C8" s="6"/>
      <c r="D8" s="6"/>
      <c r="E8" s="6"/>
      <c r="F8" s="6"/>
      <c r="G8" s="6"/>
      <c r="H8" s="6"/>
      <c r="I8" s="6"/>
      <c r="J8" s="6"/>
      <c r="K8" s="6"/>
      <c r="L8" s="6"/>
      <c r="M8" s="6"/>
      <c r="N8" s="6"/>
      <c r="O8" s="6"/>
      <c r="P8" s="6"/>
      <c r="Q8" s="6"/>
      <c r="R8" s="6"/>
      <c r="S8" s="6"/>
    </row>
    <row r="9" spans="1:28" ht="42" customHeight="1">
      <c r="A9" s="46" t="s">
        <v>110</v>
      </c>
      <c r="B9" s="46" t="s">
        <v>91</v>
      </c>
      <c r="C9" s="46" t="s">
        <v>1092</v>
      </c>
      <c r="D9" s="46" t="s">
        <v>16</v>
      </c>
      <c r="E9" s="46" t="s">
        <v>17</v>
      </c>
      <c r="F9" s="46" t="s">
        <v>1093</v>
      </c>
      <c r="G9" s="46" t="s">
        <v>18</v>
      </c>
      <c r="H9" s="46" t="s">
        <v>1094</v>
      </c>
      <c r="I9" s="46" t="s">
        <v>1095</v>
      </c>
      <c r="J9" s="46" t="s">
        <v>1096</v>
      </c>
      <c r="K9" s="46" t="s">
        <v>1097</v>
      </c>
      <c r="L9" s="46" t="s">
        <v>1098</v>
      </c>
      <c r="M9" s="46" t="s">
        <v>130</v>
      </c>
      <c r="N9" s="46" t="s">
        <v>1099</v>
      </c>
      <c r="O9" s="46" t="s">
        <v>1100</v>
      </c>
      <c r="P9" s="46" t="s">
        <v>1101</v>
      </c>
      <c r="Q9" s="46" t="s">
        <v>142</v>
      </c>
      <c r="R9" s="46" t="s">
        <v>1102</v>
      </c>
      <c r="S9" s="46" t="s">
        <v>148</v>
      </c>
      <c r="T9" s="47" t="s">
        <v>1103</v>
      </c>
      <c r="U9" s="47" t="s">
        <v>1104</v>
      </c>
      <c r="V9" s="47" t="s">
        <v>1105</v>
      </c>
      <c r="W9" s="47" t="s">
        <v>1106</v>
      </c>
      <c r="X9" s="47" t="s">
        <v>1107</v>
      </c>
      <c r="Y9" s="47" t="s">
        <v>1108</v>
      </c>
      <c r="Z9" s="47" t="s">
        <v>1109</v>
      </c>
      <c r="AA9" s="47" t="s">
        <v>1110</v>
      </c>
      <c r="AB9" s="47" t="s">
        <v>1111</v>
      </c>
    </row>
    <row r="10" spans="1:28" ht="42" customHeight="1">
      <c r="A10" s="41" t="s">
        <v>160</v>
      </c>
      <c r="B10" s="42">
        <v>50000</v>
      </c>
      <c r="C10" s="42">
        <v>40557.83</v>
      </c>
      <c r="D10" s="42"/>
      <c r="E10" s="42"/>
      <c r="F10" s="42"/>
      <c r="G10" s="42"/>
      <c r="H10" s="45"/>
      <c r="I10" s="44"/>
      <c r="J10" s="43"/>
      <c r="K10" s="44" t="s">
        <v>1112</v>
      </c>
      <c r="L10" s="14">
        <f t="shared" ref="L10:L73" si="0">IF(AND(A10&lt;&gt;"",ISTEXT(A10),O10&gt;0,COUNTIFS($S$10:$S$509,"="&amp;SUBSTITUTE(SUBSTITUTE(SUBSTITUTE("P:"&amp;A10,"~","~~"),"*","~*"),"?","~?"))=1),1,0)</f>
        <v>1</v>
      </c>
      <c r="M10" s="14">
        <f>IF(OR(L10=0,T10&lt;&gt;"Sim"),0,INDEX(Processos!$X$10:$X$509,O10))</f>
        <v>1</v>
      </c>
      <c r="N10" s="40" t="str">
        <f t="shared" ref="N10:N73" si="1">IF(COUNTA(A10:K10)=0,"",IF(A10="","Selecione o processo",IF(O10=0,"Processo inexistente, duplicado ou número não textual",IF(COUNTIFS($S$10:$S$509,"="&amp;SUBSTITUTE(SUBSTITUTE(SUBSTITUTE("P:"&amp;A10,"~","~~"),"*","~*"),"?","~?"))&gt;1,"Mantenha apenas uma linha de valores por processo",IF(COUNT(B10:G10)&lt;&gt;COUNTA(B10:G10),"Use números nos campos financeiros",IF(MIN(B10:G10)&lt;0,"Revise os valores negativos",IF(AND(H10&lt;&gt;"",OR(NOT(ISNUMBER(H10)),H10&lt;0,H10&gt;1)),"Probabilidade deve estar entre 0% e 100%",IF(AND(J10&lt;&gt;"",OR(NOT(ISNUMBER(J10)),J10&lt;1,J10&gt;100000)),"Revise a data da avaliação",IF(AND(COUNTA(B10:I10)&gt;0,J10=""),"Informe a data da revisão financeira","")))))))))</f>
        <v>Informe a data da revisão financeira</v>
      </c>
      <c r="O10" s="14">
        <f>IF(AND(A10&lt;&gt;"",ISTEXT(A10),COUNTIFS(Processos!$AS$10:$AS$509,"="&amp;SUBSTITUTE(SUBSTITUTE(SUBSTITUTE("P:"&amp;A10,"~","~~"),"*","~*"),"?","~?"))=1),(IF(ISNA(MATCH(SUBSTITUTE(SUBSTITUTE(SUBSTITUTE("P:"&amp;A10,"~","~~"),"*","~*"),"?","~?"),Processos!$AS$10:$AS$509,0)),9,INDEX(Processos!$AM$10:$AM$509,MATCH(SUBSTITUTE(SUBSTITUTE(SUBSTITUTE("P:"&amp;A10,"~","~~"),"*","~*"),"?","~?"),Processos!$AS$10:$AS$509,0)))-9),0)</f>
        <v>1</v>
      </c>
      <c r="P10" s="14" t="str">
        <f>IF(L10=0,"",INDEX(Processos!$D$10:$D$509,O10))</f>
        <v>BMM Advogados</v>
      </c>
      <c r="Q10" s="14">
        <f>IF(OR(L10=0,T10&lt;&gt;"Sim"),0,INDEX(Processos!$AL$10:$AL$509,O10))</f>
        <v>1</v>
      </c>
      <c r="R10" s="14">
        <f>ROW()</f>
        <v>10</v>
      </c>
      <c r="S10" s="14" t="str">
        <f t="shared" ref="S10:S73" si="2">IF(AND(A10&lt;&gt;"",ISTEXT(A10)),"P:"&amp;A10,"")</f>
        <v>P:0000365-30.2017.5.14.0071</v>
      </c>
      <c r="T10" s="27" t="s">
        <v>1113</v>
      </c>
      <c r="U10" s="28"/>
      <c r="V10" s="28"/>
      <c r="W10" s="28"/>
      <c r="X10" s="28"/>
      <c r="Y10" s="27"/>
      <c r="Z10" s="27"/>
      <c r="AA10" s="27"/>
      <c r="AB10" s="27"/>
    </row>
    <row r="11" spans="1:28" ht="42" customHeight="1">
      <c r="A11" s="41" t="s">
        <v>173</v>
      </c>
      <c r="B11" s="42">
        <v>125064.62</v>
      </c>
      <c r="C11" s="42">
        <v>53025.9</v>
      </c>
      <c r="D11" s="42"/>
      <c r="E11" s="42"/>
      <c r="F11" s="42"/>
      <c r="G11" s="42"/>
      <c r="H11" s="45"/>
      <c r="I11" s="44"/>
      <c r="J11" s="43"/>
      <c r="K11" s="44" t="s">
        <v>1114</v>
      </c>
      <c r="L11" s="14">
        <f t="shared" si="0"/>
        <v>1</v>
      </c>
      <c r="M11" s="14">
        <f>IF(OR(L11=0,T11&lt;&gt;"Sim"),0,INDEX(Processos!$X$10:$X$509,O11))</f>
        <v>1</v>
      </c>
      <c r="N11" s="40" t="str">
        <f t="shared" si="1"/>
        <v>Informe a data da revisão financeira</v>
      </c>
      <c r="O11" s="14">
        <f>IF(AND(A11&lt;&gt;"",ISTEXT(A11),COUNTIFS(Processos!$AS$10:$AS$509,"="&amp;SUBSTITUTE(SUBSTITUTE(SUBSTITUTE("P:"&amp;A11,"~","~~"),"*","~*"),"?","~?"))=1),(IF(ISNA(MATCH(SUBSTITUTE(SUBSTITUTE(SUBSTITUTE("P:"&amp;A11,"~","~~"),"*","~*"),"?","~?"),Processos!$AS$10:$AS$509,0)),9,INDEX(Processos!$AM$10:$AM$509,MATCH(SUBSTITUTE(SUBSTITUTE(SUBSTITUTE("P:"&amp;A11,"~","~~"),"*","~*"),"?","~?"),Processos!$AS$10:$AS$509,0)))-9),0)</f>
        <v>2</v>
      </c>
      <c r="P11" s="14" t="str">
        <f>IF(L11=0,"",INDEX(Processos!$D$10:$D$509,O11))</f>
        <v>BMM Advogados</v>
      </c>
      <c r="Q11" s="14">
        <f>IF(OR(L11=0,T11&lt;&gt;"Sim"),0,INDEX(Processos!$AL$10:$AL$509,O11))</f>
        <v>1</v>
      </c>
      <c r="R11" s="14">
        <f>ROW()</f>
        <v>11</v>
      </c>
      <c r="S11" s="14" t="str">
        <f t="shared" si="2"/>
        <v>P:0010045-55.2019.5.18.0201</v>
      </c>
      <c r="T11" s="27" t="s">
        <v>1113</v>
      </c>
      <c r="U11" s="28"/>
      <c r="V11" s="28"/>
      <c r="W11" s="28"/>
      <c r="X11" s="28"/>
      <c r="Y11" s="27"/>
      <c r="Z11" s="27"/>
      <c r="AA11" s="27"/>
      <c r="AB11" s="27"/>
    </row>
    <row r="12" spans="1:28" ht="42" customHeight="1">
      <c r="A12" s="41" t="s">
        <v>181</v>
      </c>
      <c r="B12" s="42">
        <v>75411.850000000006</v>
      </c>
      <c r="C12" s="42">
        <v>2358.41</v>
      </c>
      <c r="D12" s="42"/>
      <c r="E12" s="42"/>
      <c r="F12" s="42"/>
      <c r="G12" s="42"/>
      <c r="H12" s="45"/>
      <c r="I12" s="44"/>
      <c r="J12" s="43"/>
      <c r="K12" s="44" t="s">
        <v>1115</v>
      </c>
      <c r="L12" s="14">
        <f t="shared" si="0"/>
        <v>1</v>
      </c>
      <c r="M12" s="14">
        <f>IF(OR(L12=0,T12&lt;&gt;"Sim"),0,INDEX(Processos!$X$10:$X$509,O12))</f>
        <v>1</v>
      </c>
      <c r="N12" s="40" t="str">
        <f t="shared" si="1"/>
        <v>Informe a data da revisão financeira</v>
      </c>
      <c r="O12" s="14">
        <f>IF(AND(A12&lt;&gt;"",ISTEXT(A12),COUNTIFS(Processos!$AS$10:$AS$509,"="&amp;SUBSTITUTE(SUBSTITUTE(SUBSTITUTE("P:"&amp;A12,"~","~~"),"*","~*"),"?","~?"))=1),(IF(ISNA(MATCH(SUBSTITUTE(SUBSTITUTE(SUBSTITUTE("P:"&amp;A12,"~","~~"),"*","~*"),"?","~?"),Processos!$AS$10:$AS$509,0)),9,INDEX(Processos!$AM$10:$AM$509,MATCH(SUBSTITUTE(SUBSTITUTE(SUBSTITUTE("P:"&amp;A12,"~","~~"),"*","~*"),"?","~?"),Processos!$AS$10:$AS$509,0)))-9),0)</f>
        <v>3</v>
      </c>
      <c r="P12" s="14" t="str">
        <f>IF(L12=0,"",INDEX(Processos!$D$10:$D$509,O12))</f>
        <v>BMM Advogados</v>
      </c>
      <c r="Q12" s="14">
        <f>IF(OR(L12=0,T12&lt;&gt;"Sim"),0,INDEX(Processos!$AL$10:$AL$509,O12))</f>
        <v>1</v>
      </c>
      <c r="R12" s="14">
        <f>ROW()</f>
        <v>12</v>
      </c>
      <c r="S12" s="14" t="str">
        <f t="shared" si="2"/>
        <v>P:0011340-98.2017.5.18.0104</v>
      </c>
      <c r="T12" s="27" t="s">
        <v>1113</v>
      </c>
      <c r="U12" s="28"/>
      <c r="V12" s="28"/>
      <c r="W12" s="28"/>
      <c r="X12" s="28"/>
      <c r="Y12" s="27"/>
      <c r="Z12" s="27"/>
      <c r="AA12" s="27"/>
      <c r="AB12" s="27"/>
    </row>
    <row r="13" spans="1:28" ht="42" customHeight="1">
      <c r="A13" s="41" t="s">
        <v>188</v>
      </c>
      <c r="B13" s="42">
        <v>36472</v>
      </c>
      <c r="C13" s="42">
        <v>49514.13</v>
      </c>
      <c r="D13" s="42"/>
      <c r="E13" s="42"/>
      <c r="F13" s="42"/>
      <c r="G13" s="42"/>
      <c r="H13" s="45"/>
      <c r="I13" s="44"/>
      <c r="J13" s="43"/>
      <c r="K13" s="44" t="s">
        <v>1116</v>
      </c>
      <c r="L13" s="14">
        <f t="shared" si="0"/>
        <v>1</v>
      </c>
      <c r="M13" s="14">
        <f>IF(OR(L13=0,T13&lt;&gt;"Sim"),0,INDEX(Processos!$X$10:$X$509,O13))</f>
        <v>0</v>
      </c>
      <c r="N13" s="40" t="str">
        <f t="shared" si="1"/>
        <v>Informe a data da revisão financeira</v>
      </c>
      <c r="O13" s="14">
        <f>IF(AND(A13&lt;&gt;"",ISTEXT(A13),COUNTIFS(Processos!$AS$10:$AS$509,"="&amp;SUBSTITUTE(SUBSTITUTE(SUBSTITUTE("P:"&amp;A13,"~","~~"),"*","~*"),"?","~?"))=1),(IF(ISNA(MATCH(SUBSTITUTE(SUBSTITUTE(SUBSTITUTE("P:"&amp;A13,"~","~~"),"*","~*"),"?","~?"),Processos!$AS$10:$AS$509,0)),9,INDEX(Processos!$AM$10:$AM$509,MATCH(SUBSTITUTE(SUBSTITUTE(SUBSTITUTE("P:"&amp;A13,"~","~~"),"*","~*"),"?","~?"),Processos!$AS$10:$AS$509,0)))-9),0)</f>
        <v>4</v>
      </c>
      <c r="P13" s="14" t="str">
        <f>IF(L13=0,"",INDEX(Processos!$D$10:$D$509,O13))</f>
        <v>BMM Advogados</v>
      </c>
      <c r="Q13" s="14">
        <f>IF(OR(L13=0,T13&lt;&gt;"Sim"),0,INDEX(Processos!$AL$10:$AL$509,O13))</f>
        <v>0</v>
      </c>
      <c r="R13" s="14">
        <f>ROW()</f>
        <v>13</v>
      </c>
      <c r="S13" s="14" t="str">
        <f t="shared" si="2"/>
        <v>P:0010110-19.2020.5.18.0103 [BMM-004]</v>
      </c>
      <c r="T13" s="27" t="s">
        <v>1117</v>
      </c>
      <c r="U13" s="28"/>
      <c r="V13" s="28"/>
      <c r="W13" s="28"/>
      <c r="X13" s="28"/>
      <c r="Y13" s="27"/>
      <c r="Z13" s="27"/>
      <c r="AA13" s="27"/>
      <c r="AB13" s="27"/>
    </row>
    <row r="14" spans="1:28" ht="42" customHeight="1">
      <c r="A14" s="41" t="s">
        <v>195</v>
      </c>
      <c r="B14" s="42">
        <v>11981.19</v>
      </c>
      <c r="C14" s="42">
        <v>14125.03</v>
      </c>
      <c r="D14" s="42"/>
      <c r="E14" s="42"/>
      <c r="F14" s="42"/>
      <c r="G14" s="42"/>
      <c r="H14" s="45"/>
      <c r="I14" s="44"/>
      <c r="J14" s="43"/>
      <c r="K14" s="44" t="s">
        <v>1118</v>
      </c>
      <c r="L14" s="14">
        <f t="shared" si="0"/>
        <v>1</v>
      </c>
      <c r="M14" s="14">
        <f>IF(OR(L14=0,T14&lt;&gt;"Sim"),0,INDEX(Processos!$X$10:$X$509,O14))</f>
        <v>1</v>
      </c>
      <c r="N14" s="40" t="str">
        <f t="shared" si="1"/>
        <v>Informe a data da revisão financeira</v>
      </c>
      <c r="O14" s="14">
        <f>IF(AND(A14&lt;&gt;"",ISTEXT(A14),COUNTIFS(Processos!$AS$10:$AS$509,"="&amp;SUBSTITUTE(SUBSTITUTE(SUBSTITUTE("P:"&amp;A14,"~","~~"),"*","~*"),"?","~?"))=1),(IF(ISNA(MATCH(SUBSTITUTE(SUBSTITUTE(SUBSTITUTE("P:"&amp;A14,"~","~~"),"*","~*"),"?","~?"),Processos!$AS$10:$AS$509,0)),9,INDEX(Processos!$AM$10:$AM$509,MATCH(SUBSTITUTE(SUBSTITUTE(SUBSTITUTE("P:"&amp;A14,"~","~~"),"*","~*"),"?","~?"),Processos!$AS$10:$AS$509,0)))-9),0)</f>
        <v>5</v>
      </c>
      <c r="P14" s="14" t="str">
        <f>IF(L14=0,"",INDEX(Processos!$D$10:$D$509,O14))</f>
        <v>Frois</v>
      </c>
      <c r="Q14" s="14">
        <f>IF(OR(L14=0,T14&lt;&gt;"Sim"),0,INDEX(Processos!$AL$10:$AL$509,O14))</f>
        <v>1</v>
      </c>
      <c r="R14" s="14">
        <f>ROW()</f>
        <v>14</v>
      </c>
      <c r="S14" s="14" t="str">
        <f t="shared" si="2"/>
        <v>P:0010752-95.2020.5.18.0101</v>
      </c>
      <c r="T14" s="27" t="s">
        <v>1113</v>
      </c>
      <c r="U14" s="28"/>
      <c r="V14" s="28"/>
      <c r="W14" s="28"/>
      <c r="X14" s="28"/>
      <c r="Y14" s="27"/>
      <c r="Z14" s="27"/>
      <c r="AA14" s="27"/>
      <c r="AB14" s="27"/>
    </row>
    <row r="15" spans="1:28" ht="42" customHeight="1">
      <c r="A15" s="41" t="s">
        <v>200</v>
      </c>
      <c r="B15" s="42">
        <v>209128.3</v>
      </c>
      <c r="C15" s="42">
        <v>17740.52</v>
      </c>
      <c r="D15" s="42"/>
      <c r="E15" s="42"/>
      <c r="F15" s="42"/>
      <c r="G15" s="42"/>
      <c r="H15" s="45"/>
      <c r="I15" s="44"/>
      <c r="J15" s="43"/>
      <c r="K15" s="44" t="s">
        <v>1119</v>
      </c>
      <c r="L15" s="14">
        <f t="shared" si="0"/>
        <v>1</v>
      </c>
      <c r="M15" s="14">
        <f>IF(OR(L15=0,T15&lt;&gt;"Sim"),0,INDEX(Processos!$X$10:$X$509,O15))</f>
        <v>1</v>
      </c>
      <c r="N15" s="40" t="str">
        <f t="shared" si="1"/>
        <v>Informe a data da revisão financeira</v>
      </c>
      <c r="O15" s="14">
        <f>IF(AND(A15&lt;&gt;"",ISTEXT(A15),COUNTIFS(Processos!$AS$10:$AS$509,"="&amp;SUBSTITUTE(SUBSTITUTE(SUBSTITUTE("P:"&amp;A15,"~","~~"),"*","~*"),"?","~?"))=1),(IF(ISNA(MATCH(SUBSTITUTE(SUBSTITUTE(SUBSTITUTE("P:"&amp;A15,"~","~~"),"*","~*"),"?","~?"),Processos!$AS$10:$AS$509,0)),9,INDEX(Processos!$AM$10:$AM$509,MATCH(SUBSTITUTE(SUBSTITUTE(SUBSTITUTE("P:"&amp;A15,"~","~~"),"*","~*"),"?","~?"),Processos!$AS$10:$AS$509,0)))-9),0)</f>
        <v>6</v>
      </c>
      <c r="P15" s="14" t="str">
        <f>IF(L15=0,"",INDEX(Processos!$D$10:$D$509,O15))</f>
        <v>BMM Advogados</v>
      </c>
      <c r="Q15" s="14">
        <f>IF(OR(L15=0,T15&lt;&gt;"Sim"),0,INDEX(Processos!$AL$10:$AL$509,O15))</f>
        <v>1</v>
      </c>
      <c r="R15" s="14">
        <f>ROW()</f>
        <v>15</v>
      </c>
      <c r="S15" s="14" t="str">
        <f t="shared" si="2"/>
        <v>P:0010065-46.2019.5.18.0104</v>
      </c>
      <c r="T15" s="27" t="s">
        <v>1113</v>
      </c>
      <c r="U15" s="28"/>
      <c r="V15" s="28"/>
      <c r="W15" s="28"/>
      <c r="X15" s="28"/>
      <c r="Y15" s="27"/>
      <c r="Z15" s="27"/>
      <c r="AA15" s="27"/>
      <c r="AB15" s="27"/>
    </row>
    <row r="16" spans="1:28" ht="42" customHeight="1">
      <c r="A16" s="41" t="s">
        <v>205</v>
      </c>
      <c r="B16" s="42">
        <v>43882.11</v>
      </c>
      <c r="C16" s="42">
        <v>84734.36</v>
      </c>
      <c r="D16" s="42"/>
      <c r="E16" s="42"/>
      <c r="F16" s="42"/>
      <c r="G16" s="42"/>
      <c r="H16" s="45"/>
      <c r="I16" s="44"/>
      <c r="J16" s="43"/>
      <c r="K16" s="44" t="s">
        <v>1120</v>
      </c>
      <c r="L16" s="14">
        <f t="shared" si="0"/>
        <v>1</v>
      </c>
      <c r="M16" s="14">
        <f>IF(OR(L16=0,T16&lt;&gt;"Sim"),0,INDEX(Processos!$X$10:$X$509,O16))</f>
        <v>1</v>
      </c>
      <c r="N16" s="40" t="str">
        <f t="shared" si="1"/>
        <v>Informe a data da revisão financeira</v>
      </c>
      <c r="O16" s="14">
        <f>IF(AND(A16&lt;&gt;"",ISTEXT(A16),COUNTIFS(Processos!$AS$10:$AS$509,"="&amp;SUBSTITUTE(SUBSTITUTE(SUBSTITUTE("P:"&amp;A16,"~","~~"),"*","~*"),"?","~?"))=1),(IF(ISNA(MATCH(SUBSTITUTE(SUBSTITUTE(SUBSTITUTE("P:"&amp;A16,"~","~~"),"*","~*"),"?","~?"),Processos!$AS$10:$AS$509,0)),9,INDEX(Processos!$AM$10:$AM$509,MATCH(SUBSTITUTE(SUBSTITUTE(SUBSTITUTE("P:"&amp;A16,"~","~~"),"*","~*"),"?","~?"),Processos!$AS$10:$AS$509,0)))-9),0)</f>
        <v>7</v>
      </c>
      <c r="P16" s="14" t="str">
        <f>IF(L16=0,"",INDEX(Processos!$D$10:$D$509,O16))</f>
        <v>BMM Advogados</v>
      </c>
      <c r="Q16" s="14">
        <f>IF(OR(L16=0,T16&lt;&gt;"Sim"),0,INDEX(Processos!$AL$10:$AL$509,O16))</f>
        <v>1</v>
      </c>
      <c r="R16" s="14">
        <f>ROW()</f>
        <v>16</v>
      </c>
      <c r="S16" s="14" t="str">
        <f t="shared" si="2"/>
        <v>P:0011079-71.2019.5.18.0102</v>
      </c>
      <c r="T16" s="27" t="s">
        <v>1113</v>
      </c>
      <c r="U16" s="28"/>
      <c r="V16" s="28"/>
      <c r="W16" s="28"/>
      <c r="X16" s="28"/>
      <c r="Y16" s="27"/>
      <c r="Z16" s="27"/>
      <c r="AA16" s="27"/>
      <c r="AB16" s="27"/>
    </row>
    <row r="17" spans="1:28" ht="42" customHeight="1">
      <c r="A17" s="41" t="s">
        <v>212</v>
      </c>
      <c r="B17" s="42">
        <v>22913</v>
      </c>
      <c r="C17" s="42">
        <v>1938.14</v>
      </c>
      <c r="D17" s="42"/>
      <c r="E17" s="42"/>
      <c r="F17" s="42"/>
      <c r="G17" s="42"/>
      <c r="H17" s="45"/>
      <c r="I17" s="44"/>
      <c r="J17" s="43"/>
      <c r="K17" s="44" t="s">
        <v>1121</v>
      </c>
      <c r="L17" s="14">
        <f t="shared" si="0"/>
        <v>1</v>
      </c>
      <c r="M17" s="14">
        <f>IF(OR(L17=0,T17&lt;&gt;"Sim"),0,INDEX(Processos!$X$10:$X$509,O17))</f>
        <v>0</v>
      </c>
      <c r="N17" s="40" t="str">
        <f t="shared" si="1"/>
        <v>Informe a data da revisão financeira</v>
      </c>
      <c r="O17" s="14">
        <f>IF(AND(A17&lt;&gt;"",ISTEXT(A17),COUNTIFS(Processos!$AS$10:$AS$509,"="&amp;SUBSTITUTE(SUBSTITUTE(SUBSTITUTE("P:"&amp;A17,"~","~~"),"*","~*"),"?","~?"))=1),(IF(ISNA(MATCH(SUBSTITUTE(SUBSTITUTE(SUBSTITUTE("P:"&amp;A17,"~","~~"),"*","~*"),"?","~?"),Processos!$AS$10:$AS$509,0)),9,INDEX(Processos!$AM$10:$AM$509,MATCH(SUBSTITUTE(SUBSTITUTE(SUBSTITUTE("P:"&amp;A17,"~","~~"),"*","~*"),"?","~?"),Processos!$AS$10:$AS$509,0)))-9),0)</f>
        <v>8</v>
      </c>
      <c r="P17" s="14" t="str">
        <f>IF(L17=0,"",INDEX(Processos!$D$10:$D$509,O17))</f>
        <v>Frois</v>
      </c>
      <c r="Q17" s="14">
        <f>IF(OR(L17=0,T17&lt;&gt;"Sim"),0,INDEX(Processos!$AL$10:$AL$509,O17))</f>
        <v>0</v>
      </c>
      <c r="R17" s="14">
        <f>ROW()</f>
        <v>17</v>
      </c>
      <c r="S17" s="14" t="str">
        <f t="shared" si="2"/>
        <v>P:0010968-84.2019.5.18.0103 [BMM-008]</v>
      </c>
      <c r="T17" s="27" t="s">
        <v>1117</v>
      </c>
      <c r="U17" s="28"/>
      <c r="V17" s="28"/>
      <c r="W17" s="28"/>
      <c r="X17" s="28"/>
      <c r="Y17" s="27"/>
      <c r="Z17" s="27"/>
      <c r="AA17" s="27"/>
      <c r="AB17" s="27"/>
    </row>
    <row r="18" spans="1:28" ht="42" customHeight="1">
      <c r="A18" s="41" t="s">
        <v>218</v>
      </c>
      <c r="B18" s="42">
        <v>80849.55</v>
      </c>
      <c r="C18" s="42">
        <v>51000</v>
      </c>
      <c r="D18" s="42"/>
      <c r="E18" s="42"/>
      <c r="F18" s="42"/>
      <c r="G18" s="42"/>
      <c r="H18" s="45"/>
      <c r="I18" s="44"/>
      <c r="J18" s="43"/>
      <c r="K18" s="44" t="s">
        <v>1122</v>
      </c>
      <c r="L18" s="14">
        <f t="shared" si="0"/>
        <v>1</v>
      </c>
      <c r="M18" s="14">
        <f>IF(OR(L18=0,T18&lt;&gt;"Sim"),0,INDEX(Processos!$X$10:$X$509,O18))</f>
        <v>1</v>
      </c>
      <c r="N18" s="40" t="str">
        <f t="shared" si="1"/>
        <v>Informe a data da revisão financeira</v>
      </c>
      <c r="O18" s="14">
        <f>IF(AND(A18&lt;&gt;"",ISTEXT(A18),COUNTIFS(Processos!$AS$10:$AS$509,"="&amp;SUBSTITUTE(SUBSTITUTE(SUBSTITUTE("P:"&amp;A18,"~","~~"),"*","~*"),"?","~?"))=1),(IF(ISNA(MATCH(SUBSTITUTE(SUBSTITUTE(SUBSTITUTE("P:"&amp;A18,"~","~~"),"*","~*"),"?","~?"),Processos!$AS$10:$AS$509,0)),9,INDEX(Processos!$AM$10:$AM$509,MATCH(SUBSTITUTE(SUBSTITUTE(SUBSTITUTE("P:"&amp;A18,"~","~~"),"*","~*"),"?","~?"),Processos!$AS$10:$AS$509,0)))-9),0)</f>
        <v>9</v>
      </c>
      <c r="P18" s="14" t="str">
        <f>IF(L18=0,"",INDEX(Processos!$D$10:$D$509,O18))</f>
        <v>BMM Advogados</v>
      </c>
      <c r="Q18" s="14">
        <f>IF(OR(L18=0,T18&lt;&gt;"Sim"),0,INDEX(Processos!$AL$10:$AL$509,O18))</f>
        <v>1</v>
      </c>
      <c r="R18" s="14">
        <f>ROW()</f>
        <v>18</v>
      </c>
      <c r="S18" s="14" t="str">
        <f t="shared" si="2"/>
        <v>P:0010160-08.2021.5.18.0201</v>
      </c>
      <c r="T18" s="27" t="s">
        <v>1113</v>
      </c>
      <c r="U18" s="28"/>
      <c r="V18" s="28"/>
      <c r="W18" s="28"/>
      <c r="X18" s="28"/>
      <c r="Y18" s="27"/>
      <c r="Z18" s="27"/>
      <c r="AA18" s="27"/>
      <c r="AB18" s="27"/>
    </row>
    <row r="19" spans="1:28" ht="42" customHeight="1">
      <c r="A19" s="41" t="s">
        <v>223</v>
      </c>
      <c r="B19" s="42">
        <v>213561.34</v>
      </c>
      <c r="C19" s="42">
        <v>10332.209999999999</v>
      </c>
      <c r="D19" s="42"/>
      <c r="E19" s="42"/>
      <c r="F19" s="42"/>
      <c r="G19" s="42"/>
      <c r="H19" s="45"/>
      <c r="I19" s="44"/>
      <c r="J19" s="43"/>
      <c r="K19" s="44" t="s">
        <v>1123</v>
      </c>
      <c r="L19" s="14">
        <f t="shared" si="0"/>
        <v>1</v>
      </c>
      <c r="M19" s="14">
        <f>IF(OR(L19=0,T19&lt;&gt;"Sim"),0,INDEX(Processos!$X$10:$X$509,O19))</f>
        <v>1</v>
      </c>
      <c r="N19" s="40" t="str">
        <f t="shared" si="1"/>
        <v>Informe a data da revisão financeira</v>
      </c>
      <c r="O19" s="14">
        <f>IF(AND(A19&lt;&gt;"",ISTEXT(A19),COUNTIFS(Processos!$AS$10:$AS$509,"="&amp;SUBSTITUTE(SUBSTITUTE(SUBSTITUTE("P:"&amp;A19,"~","~~"),"*","~*"),"?","~?"))=1),(IF(ISNA(MATCH(SUBSTITUTE(SUBSTITUTE(SUBSTITUTE("P:"&amp;A19,"~","~~"),"*","~*"),"?","~?"),Processos!$AS$10:$AS$509,0)),9,INDEX(Processos!$AM$10:$AM$509,MATCH(SUBSTITUTE(SUBSTITUTE(SUBSTITUTE("P:"&amp;A19,"~","~~"),"*","~*"),"?","~?"),Processos!$AS$10:$AS$509,0)))-9),0)</f>
        <v>10</v>
      </c>
      <c r="P19" s="14" t="str">
        <f>IF(L19=0,"",INDEX(Processos!$D$10:$D$509,O19))</f>
        <v>BMM Advogados</v>
      </c>
      <c r="Q19" s="14">
        <f>IF(OR(L19=0,T19&lt;&gt;"Sim"),0,INDEX(Processos!$AL$10:$AL$509,O19))</f>
        <v>1</v>
      </c>
      <c r="R19" s="14">
        <f>ROW()</f>
        <v>19</v>
      </c>
      <c r="S19" s="14" t="str">
        <f t="shared" si="2"/>
        <v>P:0000972-59.2016.5.08.0131</v>
      </c>
      <c r="T19" s="27" t="s">
        <v>1113</v>
      </c>
      <c r="U19" s="28"/>
      <c r="V19" s="28"/>
      <c r="W19" s="28"/>
      <c r="X19" s="28"/>
      <c r="Y19" s="27"/>
      <c r="Z19" s="27"/>
      <c r="AA19" s="27"/>
      <c r="AB19" s="27"/>
    </row>
    <row r="20" spans="1:28" ht="42" customHeight="1">
      <c r="A20" s="41" t="s">
        <v>230</v>
      </c>
      <c r="B20" s="42">
        <v>5000</v>
      </c>
      <c r="C20" s="42">
        <v>486345.39</v>
      </c>
      <c r="D20" s="42"/>
      <c r="E20" s="42"/>
      <c r="F20" s="42"/>
      <c r="G20" s="42"/>
      <c r="H20" s="45"/>
      <c r="I20" s="44"/>
      <c r="J20" s="43"/>
      <c r="K20" s="44" t="s">
        <v>1124</v>
      </c>
      <c r="L20" s="14">
        <f t="shared" si="0"/>
        <v>1</v>
      </c>
      <c r="M20" s="14">
        <f>IF(OR(L20=0,T20&lt;&gt;"Sim"),0,INDEX(Processos!$X$10:$X$509,O20))</f>
        <v>1</v>
      </c>
      <c r="N20" s="40" t="str">
        <f t="shared" si="1"/>
        <v>Informe a data da revisão financeira</v>
      </c>
      <c r="O20" s="14">
        <f>IF(AND(A20&lt;&gt;"",ISTEXT(A20),COUNTIFS(Processos!$AS$10:$AS$509,"="&amp;SUBSTITUTE(SUBSTITUTE(SUBSTITUTE("P:"&amp;A20,"~","~~"),"*","~*"),"?","~?"))=1),(IF(ISNA(MATCH(SUBSTITUTE(SUBSTITUTE(SUBSTITUTE("P:"&amp;A20,"~","~~"),"*","~*"),"?","~?"),Processos!$AS$10:$AS$509,0)),9,INDEX(Processos!$AM$10:$AM$509,MATCH(SUBSTITUTE(SUBSTITUTE(SUBSTITUTE("P:"&amp;A20,"~","~~"),"*","~*"),"?","~?"),Processos!$AS$10:$AS$509,0)))-9),0)</f>
        <v>11</v>
      </c>
      <c r="P20" s="14" t="str">
        <f>IF(L20=0,"",INDEX(Processos!$D$10:$D$509,O20))</f>
        <v>BMM Advogados</v>
      </c>
      <c r="Q20" s="14">
        <f>IF(OR(L20=0,T20&lt;&gt;"Sim"),0,INDEX(Processos!$AL$10:$AL$509,O20))</f>
        <v>1</v>
      </c>
      <c r="R20" s="14">
        <f>ROW()</f>
        <v>20</v>
      </c>
      <c r="S20" s="14" t="str">
        <f t="shared" si="2"/>
        <v>P:0001354-49.2013.5.05.0581</v>
      </c>
      <c r="T20" s="27" t="s">
        <v>1113</v>
      </c>
      <c r="U20" s="28"/>
      <c r="V20" s="28"/>
      <c r="W20" s="28"/>
      <c r="X20" s="28"/>
      <c r="Y20" s="27"/>
      <c r="Z20" s="27"/>
      <c r="AA20" s="27"/>
      <c r="AB20" s="27"/>
    </row>
    <row r="21" spans="1:28" ht="42" customHeight="1">
      <c r="A21" s="41" t="s">
        <v>237</v>
      </c>
      <c r="B21" s="42">
        <v>41800</v>
      </c>
      <c r="C21" s="42"/>
      <c r="D21" s="42"/>
      <c r="E21" s="42"/>
      <c r="F21" s="42"/>
      <c r="G21" s="42"/>
      <c r="H21" s="45"/>
      <c r="I21" s="44"/>
      <c r="J21" s="43"/>
      <c r="K21" s="44" t="s">
        <v>1125</v>
      </c>
      <c r="L21" s="14">
        <f t="shared" si="0"/>
        <v>1</v>
      </c>
      <c r="M21" s="14">
        <f>IF(OR(L21=0,T21&lt;&gt;"Sim"),0,INDEX(Processos!$X$10:$X$509,O21))</f>
        <v>1</v>
      </c>
      <c r="N21" s="40" t="str">
        <f t="shared" si="1"/>
        <v>Informe a data da revisão financeira</v>
      </c>
      <c r="O21" s="14">
        <f>IF(AND(A21&lt;&gt;"",ISTEXT(A21),COUNTIFS(Processos!$AS$10:$AS$509,"="&amp;SUBSTITUTE(SUBSTITUTE(SUBSTITUTE("P:"&amp;A21,"~","~~"),"*","~*"),"?","~?"))=1),(IF(ISNA(MATCH(SUBSTITUTE(SUBSTITUTE(SUBSTITUTE("P:"&amp;A21,"~","~~"),"*","~*"),"?","~?"),Processos!$AS$10:$AS$509,0)),9,INDEX(Processos!$AM$10:$AM$509,MATCH(SUBSTITUTE(SUBSTITUTE(SUBSTITUTE("P:"&amp;A21,"~","~~"),"*","~*"),"?","~?"),Processos!$AS$10:$AS$509,0)))-9),0)</f>
        <v>12</v>
      </c>
      <c r="P21" s="14" t="str">
        <f>IF(L21=0,"",INDEX(Processos!$D$10:$D$509,O21))</f>
        <v>BMM Advogados</v>
      </c>
      <c r="Q21" s="14">
        <f>IF(OR(L21=0,T21&lt;&gt;"Sim"),0,INDEX(Processos!$AL$10:$AL$509,O21))</f>
        <v>1</v>
      </c>
      <c r="R21" s="14">
        <f>ROW()</f>
        <v>21</v>
      </c>
      <c r="S21" s="14" t="str">
        <f t="shared" si="2"/>
        <v>P:5179003-70.2022.8.09.0149</v>
      </c>
      <c r="T21" s="27" t="s">
        <v>1113</v>
      </c>
      <c r="U21" s="28"/>
      <c r="V21" s="28"/>
      <c r="W21" s="28"/>
      <c r="X21" s="28"/>
      <c r="Y21" s="27"/>
      <c r="Z21" s="27"/>
      <c r="AA21" s="27"/>
      <c r="AB21" s="27"/>
    </row>
    <row r="22" spans="1:28" ht="42" customHeight="1">
      <c r="A22" s="41" t="s">
        <v>247</v>
      </c>
      <c r="B22" s="42">
        <v>39000</v>
      </c>
      <c r="C22" s="42"/>
      <c r="D22" s="42"/>
      <c r="E22" s="42"/>
      <c r="F22" s="42"/>
      <c r="G22" s="42"/>
      <c r="H22" s="45"/>
      <c r="I22" s="44"/>
      <c r="J22" s="43"/>
      <c r="K22" s="44" t="s">
        <v>1126</v>
      </c>
      <c r="L22" s="14">
        <f t="shared" si="0"/>
        <v>1</v>
      </c>
      <c r="M22" s="14">
        <f>IF(OR(L22=0,T22&lt;&gt;"Sim"),0,INDEX(Processos!$X$10:$X$509,O22))</f>
        <v>1</v>
      </c>
      <c r="N22" s="40" t="str">
        <f t="shared" si="1"/>
        <v>Informe a data da revisão financeira</v>
      </c>
      <c r="O22" s="14">
        <f>IF(AND(A22&lt;&gt;"",ISTEXT(A22),COUNTIFS(Processos!$AS$10:$AS$509,"="&amp;SUBSTITUTE(SUBSTITUTE(SUBSTITUTE("P:"&amp;A22,"~","~~"),"*","~*"),"?","~?"))=1),(IF(ISNA(MATCH(SUBSTITUTE(SUBSTITUTE(SUBSTITUTE("P:"&amp;A22,"~","~~"),"*","~*"),"?","~?"),Processos!$AS$10:$AS$509,0)),9,INDEX(Processos!$AM$10:$AM$509,MATCH(SUBSTITUTE(SUBSTITUTE(SUBSTITUTE("P:"&amp;A22,"~","~~"),"*","~*"),"?","~?"),Processos!$AS$10:$AS$509,0)))-9),0)</f>
        <v>13</v>
      </c>
      <c r="P22" s="14" t="str">
        <f>IF(L22=0,"",INDEX(Processos!$D$10:$D$509,O22))</f>
        <v>BMM Advogados</v>
      </c>
      <c r="Q22" s="14">
        <f>IF(OR(L22=0,T22&lt;&gt;"Sim"),0,INDEX(Processos!$AL$10:$AL$509,O22))</f>
        <v>1</v>
      </c>
      <c r="R22" s="14">
        <f>ROW()</f>
        <v>22</v>
      </c>
      <c r="S22" s="14" t="str">
        <f t="shared" si="2"/>
        <v>P:5200111-92.2021.8.09.0149</v>
      </c>
      <c r="T22" s="27" t="s">
        <v>1113</v>
      </c>
      <c r="U22" s="28"/>
      <c r="V22" s="28"/>
      <c r="W22" s="28"/>
      <c r="X22" s="28"/>
      <c r="Y22" s="27"/>
      <c r="Z22" s="27"/>
      <c r="AA22" s="27"/>
      <c r="AB22" s="27"/>
    </row>
    <row r="23" spans="1:28" ht="42" customHeight="1">
      <c r="A23" s="41" t="s">
        <v>251</v>
      </c>
      <c r="B23" s="42">
        <v>55086.09</v>
      </c>
      <c r="C23" s="42"/>
      <c r="D23" s="42"/>
      <c r="E23" s="42"/>
      <c r="F23" s="42"/>
      <c r="G23" s="42"/>
      <c r="H23" s="45"/>
      <c r="I23" s="44"/>
      <c r="J23" s="43"/>
      <c r="K23" s="44" t="s">
        <v>1127</v>
      </c>
      <c r="L23" s="14">
        <f t="shared" si="0"/>
        <v>1</v>
      </c>
      <c r="M23" s="14">
        <f>IF(OR(L23=0,T23&lt;&gt;"Sim"),0,INDEX(Processos!$X$10:$X$509,O23))</f>
        <v>1</v>
      </c>
      <c r="N23" s="40" t="str">
        <f t="shared" si="1"/>
        <v>Informe a data da revisão financeira</v>
      </c>
      <c r="O23" s="14">
        <f>IF(AND(A23&lt;&gt;"",ISTEXT(A23),COUNTIFS(Processos!$AS$10:$AS$509,"="&amp;SUBSTITUTE(SUBSTITUTE(SUBSTITUTE("P:"&amp;A23,"~","~~"),"*","~*"),"?","~?"))=1),(IF(ISNA(MATCH(SUBSTITUTE(SUBSTITUTE(SUBSTITUTE("P:"&amp;A23,"~","~~"),"*","~*"),"?","~?"),Processos!$AS$10:$AS$509,0)),9,INDEX(Processos!$AM$10:$AM$509,MATCH(SUBSTITUTE(SUBSTITUTE(SUBSTITUTE("P:"&amp;A23,"~","~~"),"*","~*"),"?","~?"),Processos!$AS$10:$AS$509,0)))-9),0)</f>
        <v>14</v>
      </c>
      <c r="P23" s="14" t="str">
        <f>IF(L23=0,"",INDEX(Processos!$D$10:$D$509,O23))</f>
        <v>BMM Advogados</v>
      </c>
      <c r="Q23" s="14">
        <f>IF(OR(L23=0,T23&lt;&gt;"Sim"),0,INDEX(Processos!$AL$10:$AL$509,O23))</f>
        <v>1</v>
      </c>
      <c r="R23" s="14">
        <f>ROW()</f>
        <v>23</v>
      </c>
      <c r="S23" s="14" t="str">
        <f t="shared" si="2"/>
        <v>P:0766105-29.2022.8.07.0016</v>
      </c>
      <c r="T23" s="27" t="s">
        <v>1113</v>
      </c>
      <c r="U23" s="28"/>
      <c r="V23" s="28"/>
      <c r="W23" s="28"/>
      <c r="X23" s="28"/>
      <c r="Y23" s="27"/>
      <c r="Z23" s="27"/>
      <c r="AA23" s="27"/>
      <c r="AB23" s="27"/>
    </row>
    <row r="24" spans="1:28" ht="42" customHeight="1">
      <c r="A24" s="41" t="s">
        <v>263</v>
      </c>
      <c r="B24" s="42">
        <v>54146.65</v>
      </c>
      <c r="C24" s="42"/>
      <c r="D24" s="42"/>
      <c r="E24" s="42"/>
      <c r="F24" s="42"/>
      <c r="G24" s="42"/>
      <c r="H24" s="45"/>
      <c r="I24" s="44"/>
      <c r="J24" s="43"/>
      <c r="K24" s="44" t="s">
        <v>1128</v>
      </c>
      <c r="L24" s="14">
        <f t="shared" si="0"/>
        <v>1</v>
      </c>
      <c r="M24" s="14">
        <f>IF(OR(L24=0,T24&lt;&gt;"Sim"),0,INDEX(Processos!$X$10:$X$509,O24))</f>
        <v>1</v>
      </c>
      <c r="N24" s="40" t="str">
        <f t="shared" si="1"/>
        <v>Informe a data da revisão financeira</v>
      </c>
      <c r="O24" s="14">
        <f>IF(AND(A24&lt;&gt;"",ISTEXT(A24),COUNTIFS(Processos!$AS$10:$AS$509,"="&amp;SUBSTITUTE(SUBSTITUTE(SUBSTITUTE("P:"&amp;A24,"~","~~"),"*","~*"),"?","~?"))=1),(IF(ISNA(MATCH(SUBSTITUTE(SUBSTITUTE(SUBSTITUTE("P:"&amp;A24,"~","~~"),"*","~*"),"?","~?"),Processos!$AS$10:$AS$509,0)),9,INDEX(Processos!$AM$10:$AM$509,MATCH(SUBSTITUTE(SUBSTITUTE(SUBSTITUTE("P:"&amp;A24,"~","~~"),"*","~*"),"?","~?"),Processos!$AS$10:$AS$509,0)))-9),0)</f>
        <v>15</v>
      </c>
      <c r="P24" s="14" t="str">
        <f>IF(L24=0,"",INDEX(Processos!$D$10:$D$509,O24))</f>
        <v>BMM Advogados</v>
      </c>
      <c r="Q24" s="14">
        <f>IF(OR(L24=0,T24&lt;&gt;"Sim"),0,INDEX(Processos!$AL$10:$AL$509,O24))</f>
        <v>1</v>
      </c>
      <c r="R24" s="14">
        <f>ROW()</f>
        <v>24</v>
      </c>
      <c r="S24" s="14" t="str">
        <f t="shared" si="2"/>
        <v>P:0766128-72.2022.8.07.0016</v>
      </c>
      <c r="T24" s="27" t="s">
        <v>1113</v>
      </c>
      <c r="U24" s="28"/>
      <c r="V24" s="28"/>
      <c r="W24" s="28"/>
      <c r="X24" s="28"/>
      <c r="Y24" s="27"/>
      <c r="Z24" s="27" t="s">
        <v>1129</v>
      </c>
      <c r="AA24" s="27"/>
      <c r="AB24" s="27"/>
    </row>
    <row r="25" spans="1:28" ht="42" customHeight="1">
      <c r="A25" s="41" t="s">
        <v>268</v>
      </c>
      <c r="B25" s="42"/>
      <c r="C25" s="42"/>
      <c r="D25" s="42">
        <v>20000</v>
      </c>
      <c r="E25" s="42"/>
      <c r="F25" s="42"/>
      <c r="G25" s="42"/>
      <c r="H25" s="45"/>
      <c r="I25" s="44"/>
      <c r="J25" s="43"/>
      <c r="K25" s="44" t="s">
        <v>1130</v>
      </c>
      <c r="L25" s="14">
        <f t="shared" si="0"/>
        <v>1</v>
      </c>
      <c r="M25" s="14">
        <f>IF(OR(L25=0,T25&lt;&gt;"Sim"),0,INDEX(Processos!$X$10:$X$509,O25))</f>
        <v>0</v>
      </c>
      <c r="N25" s="40" t="str">
        <f t="shared" si="1"/>
        <v>Informe a data da revisão financeira</v>
      </c>
      <c r="O25" s="14">
        <f>IF(AND(A25&lt;&gt;"",ISTEXT(A25),COUNTIFS(Processos!$AS$10:$AS$509,"="&amp;SUBSTITUTE(SUBSTITUTE(SUBSTITUTE("P:"&amp;A25,"~","~~"),"*","~*"),"?","~?"))=1),(IF(ISNA(MATCH(SUBSTITUTE(SUBSTITUTE(SUBSTITUTE("P:"&amp;A25,"~","~~"),"*","~*"),"?","~?"),Processos!$AS$10:$AS$509,0)),9,INDEX(Processos!$AM$10:$AM$509,MATCH(SUBSTITUTE(SUBSTITUTE(SUBSTITUTE("P:"&amp;A25,"~","~~"),"*","~*"),"?","~?"),Processos!$AS$10:$AS$509,0)))-9),0)</f>
        <v>16</v>
      </c>
      <c r="P25" s="14" t="str">
        <f>IF(L25=0,"",INDEX(Processos!$D$10:$D$509,O25))</f>
        <v>BMM Advogados</v>
      </c>
      <c r="Q25" s="14">
        <f>IF(OR(L25=0,T25&lt;&gt;"Sim"),0,INDEX(Processos!$AL$10:$AL$509,O25))</f>
        <v>0</v>
      </c>
      <c r="R25" s="14">
        <f>ROW()</f>
        <v>25</v>
      </c>
      <c r="S25" s="14" t="str">
        <f t="shared" si="2"/>
        <v>P:0010110-19.2020.5.18.0103 [BMM-016]</v>
      </c>
      <c r="T25" s="27" t="s">
        <v>1117</v>
      </c>
      <c r="U25" s="28"/>
      <c r="V25" s="28"/>
      <c r="W25" s="28"/>
      <c r="X25" s="28"/>
      <c r="Y25" s="27"/>
      <c r="Z25" s="27"/>
      <c r="AA25" s="27"/>
      <c r="AB25" s="27"/>
    </row>
    <row r="26" spans="1:28" ht="42" customHeight="1">
      <c r="A26" s="41" t="s">
        <v>273</v>
      </c>
      <c r="B26" s="42">
        <v>99772.54</v>
      </c>
      <c r="C26" s="42"/>
      <c r="D26" s="42"/>
      <c r="E26" s="42"/>
      <c r="F26" s="42"/>
      <c r="G26" s="42"/>
      <c r="H26" s="45"/>
      <c r="I26" s="44"/>
      <c r="J26" s="43"/>
      <c r="K26" s="44" t="s">
        <v>1131</v>
      </c>
      <c r="L26" s="14">
        <f t="shared" si="0"/>
        <v>1</v>
      </c>
      <c r="M26" s="14">
        <f>IF(OR(L26=0,T26&lt;&gt;"Sim"),0,INDEX(Processos!$X$10:$X$509,O26))</f>
        <v>0</v>
      </c>
      <c r="N26" s="40" t="str">
        <f t="shared" si="1"/>
        <v>Informe a data da revisão financeira</v>
      </c>
      <c r="O26" s="14">
        <f>IF(AND(A26&lt;&gt;"",ISTEXT(A26),COUNTIFS(Processos!$AS$10:$AS$509,"="&amp;SUBSTITUTE(SUBSTITUTE(SUBSTITUTE("P:"&amp;A26,"~","~~"),"*","~*"),"?","~?"))=1),(IF(ISNA(MATCH(SUBSTITUTE(SUBSTITUTE(SUBSTITUTE("P:"&amp;A26,"~","~~"),"*","~*"),"?","~?"),Processos!$AS$10:$AS$509,0)),9,INDEX(Processos!$AM$10:$AM$509,MATCH(SUBSTITUTE(SUBSTITUTE(SUBSTITUTE("P:"&amp;A26,"~","~~"),"*","~*"),"?","~?"),Processos!$AS$10:$AS$509,0)))-9),0)</f>
        <v>17</v>
      </c>
      <c r="P26" s="14" t="str">
        <f>IF(L26=0,"",INDEX(Processos!$D$10:$D$509,O26))</f>
        <v>BMM Advogados</v>
      </c>
      <c r="Q26" s="14">
        <f>IF(OR(L26=0,T26&lt;&gt;"Sim"),0,INDEX(Processos!$AL$10:$AL$509,O26))</f>
        <v>0</v>
      </c>
      <c r="R26" s="14">
        <f>ROW()</f>
        <v>26</v>
      </c>
      <c r="S26" s="14" t="str">
        <f t="shared" si="2"/>
        <v>P:5116564-98.2018.8.09.0137 [BMM-017]</v>
      </c>
      <c r="T26" s="27" t="s">
        <v>1117</v>
      </c>
      <c r="U26" s="28"/>
      <c r="V26" s="28"/>
      <c r="W26" s="28"/>
      <c r="X26" s="28"/>
      <c r="Y26" s="27"/>
      <c r="Z26" s="27" t="s">
        <v>1132</v>
      </c>
      <c r="AA26" s="27"/>
      <c r="AB26" s="27"/>
    </row>
    <row r="27" spans="1:28" ht="42" customHeight="1">
      <c r="A27" s="41" t="s">
        <v>281</v>
      </c>
      <c r="B27" s="42">
        <v>24328.71</v>
      </c>
      <c r="C27" s="42">
        <v>11741.96</v>
      </c>
      <c r="D27" s="42">
        <v>6000</v>
      </c>
      <c r="E27" s="42"/>
      <c r="F27" s="42"/>
      <c r="G27" s="42"/>
      <c r="H27" s="45"/>
      <c r="I27" s="44"/>
      <c r="J27" s="43"/>
      <c r="K27" s="44" t="s">
        <v>1133</v>
      </c>
      <c r="L27" s="14">
        <f t="shared" si="0"/>
        <v>1</v>
      </c>
      <c r="M27" s="14">
        <f>IF(OR(L27=0,T27&lt;&gt;"Sim"),0,INDEX(Processos!$X$10:$X$509,O27))</f>
        <v>1</v>
      </c>
      <c r="N27" s="40" t="str">
        <f t="shared" si="1"/>
        <v>Informe a data da revisão financeira</v>
      </c>
      <c r="O27" s="14">
        <f>IF(AND(A27&lt;&gt;"",ISTEXT(A27),COUNTIFS(Processos!$AS$10:$AS$509,"="&amp;SUBSTITUTE(SUBSTITUTE(SUBSTITUTE("P:"&amp;A27,"~","~~"),"*","~*"),"?","~?"))=1),(IF(ISNA(MATCH(SUBSTITUTE(SUBSTITUTE(SUBSTITUTE("P:"&amp;A27,"~","~~"),"*","~*"),"?","~?"),Processos!$AS$10:$AS$509,0)),9,INDEX(Processos!$AM$10:$AM$509,MATCH(SUBSTITUTE(SUBSTITUTE(SUBSTITUTE("P:"&amp;A27,"~","~~"),"*","~*"),"?","~?"),Processos!$AS$10:$AS$509,0)))-9),0)</f>
        <v>18</v>
      </c>
      <c r="P27" s="14" t="str">
        <f>IF(L27=0,"",INDEX(Processos!$D$10:$D$509,O27))</f>
        <v>BMM Advogados</v>
      </c>
      <c r="Q27" s="14">
        <f>IF(OR(L27=0,T27&lt;&gt;"Sim"),0,INDEX(Processos!$AL$10:$AL$509,O27))</f>
        <v>1</v>
      </c>
      <c r="R27" s="14">
        <f>ROW()</f>
        <v>27</v>
      </c>
      <c r="S27" s="14" t="str">
        <f t="shared" si="2"/>
        <v>P:0010551-59.2023.5.18.0211</v>
      </c>
      <c r="T27" s="27" t="s">
        <v>1113</v>
      </c>
      <c r="U27" s="28"/>
      <c r="V27" s="28"/>
      <c r="W27" s="28"/>
      <c r="X27" s="28"/>
      <c r="Y27" s="27"/>
      <c r="Z27" s="27"/>
      <c r="AA27" s="27"/>
      <c r="AB27" s="27"/>
    </row>
    <row r="28" spans="1:28" ht="42" customHeight="1">
      <c r="A28" s="41" t="s">
        <v>288</v>
      </c>
      <c r="B28" s="42">
        <v>62703.23</v>
      </c>
      <c r="C28" s="42">
        <v>2773.41</v>
      </c>
      <c r="D28" s="42"/>
      <c r="E28" s="42"/>
      <c r="F28" s="42"/>
      <c r="G28" s="42"/>
      <c r="H28" s="45"/>
      <c r="I28" s="44"/>
      <c r="J28" s="43"/>
      <c r="K28" s="44" t="s">
        <v>1134</v>
      </c>
      <c r="L28" s="14">
        <f t="shared" si="0"/>
        <v>1</v>
      </c>
      <c r="M28" s="14">
        <f>IF(OR(L28=0,T28&lt;&gt;"Sim"),0,INDEX(Processos!$X$10:$X$509,O28))</f>
        <v>1</v>
      </c>
      <c r="N28" s="40" t="str">
        <f t="shared" si="1"/>
        <v>Informe a data da revisão financeira</v>
      </c>
      <c r="O28" s="14">
        <f>IF(AND(A28&lt;&gt;"",ISTEXT(A28),COUNTIFS(Processos!$AS$10:$AS$509,"="&amp;SUBSTITUTE(SUBSTITUTE(SUBSTITUTE("P:"&amp;A28,"~","~~"),"*","~*"),"?","~?"))=1),(IF(ISNA(MATCH(SUBSTITUTE(SUBSTITUTE(SUBSTITUTE("P:"&amp;A28,"~","~~"),"*","~*"),"?","~?"),Processos!$AS$10:$AS$509,0)),9,INDEX(Processos!$AM$10:$AM$509,MATCH(SUBSTITUTE(SUBSTITUTE(SUBSTITUTE("P:"&amp;A28,"~","~~"),"*","~*"),"?","~?"),Processos!$AS$10:$AS$509,0)))-9),0)</f>
        <v>19</v>
      </c>
      <c r="P28" s="14" t="str">
        <f>IF(L28=0,"",INDEX(Processos!$D$10:$D$509,O28))</f>
        <v>BMM Advogados</v>
      </c>
      <c r="Q28" s="14">
        <f>IF(OR(L28=0,T28&lt;&gt;"Sim"),0,INDEX(Processos!$AL$10:$AL$509,O28))</f>
        <v>1</v>
      </c>
      <c r="R28" s="14">
        <f>ROW()</f>
        <v>28</v>
      </c>
      <c r="S28" s="14" t="str">
        <f t="shared" si="2"/>
        <v>P:0010458-96.2023.5.18.0211</v>
      </c>
      <c r="T28" s="27" t="s">
        <v>1113</v>
      </c>
      <c r="U28" s="28"/>
      <c r="V28" s="28"/>
      <c r="W28" s="28"/>
      <c r="X28" s="28"/>
      <c r="Y28" s="27"/>
      <c r="Z28" s="27"/>
      <c r="AA28" s="27"/>
      <c r="AB28" s="27"/>
    </row>
    <row r="29" spans="1:28" ht="42" customHeight="1">
      <c r="A29" s="41" t="s">
        <v>292</v>
      </c>
      <c r="B29" s="42">
        <v>29000</v>
      </c>
      <c r="C29" s="42">
        <v>3116.48</v>
      </c>
      <c r="D29" s="42">
        <v>11184.32</v>
      </c>
      <c r="E29" s="42"/>
      <c r="F29" s="42"/>
      <c r="G29" s="42"/>
      <c r="H29" s="45"/>
      <c r="I29" s="44"/>
      <c r="J29" s="43"/>
      <c r="K29" s="44" t="s">
        <v>1135</v>
      </c>
      <c r="L29" s="14">
        <f t="shared" si="0"/>
        <v>1</v>
      </c>
      <c r="M29" s="14">
        <f>IF(OR(L29=0,T29&lt;&gt;"Sim"),0,INDEX(Processos!$X$10:$X$509,O29))</f>
        <v>1</v>
      </c>
      <c r="N29" s="40" t="str">
        <f t="shared" si="1"/>
        <v>Informe a data da revisão financeira</v>
      </c>
      <c r="O29" s="14">
        <f>IF(AND(A29&lt;&gt;"",ISTEXT(A29),COUNTIFS(Processos!$AS$10:$AS$509,"="&amp;SUBSTITUTE(SUBSTITUTE(SUBSTITUTE("P:"&amp;A29,"~","~~"),"*","~*"),"?","~?"))=1),(IF(ISNA(MATCH(SUBSTITUTE(SUBSTITUTE(SUBSTITUTE("P:"&amp;A29,"~","~~"),"*","~*"),"?","~?"),Processos!$AS$10:$AS$509,0)),9,INDEX(Processos!$AM$10:$AM$509,MATCH(SUBSTITUTE(SUBSTITUTE(SUBSTITUTE("P:"&amp;A29,"~","~~"),"*","~*"),"?","~?"),Processos!$AS$10:$AS$509,0)))-9),0)</f>
        <v>20</v>
      </c>
      <c r="P29" s="14" t="str">
        <f>IF(L29=0,"",INDEX(Processos!$D$10:$D$509,O29))</f>
        <v>BMM Advogados</v>
      </c>
      <c r="Q29" s="14">
        <f>IF(OR(L29=0,T29&lt;&gt;"Sim"),0,INDEX(Processos!$AL$10:$AL$509,O29))</f>
        <v>1</v>
      </c>
      <c r="R29" s="14">
        <f>ROW()</f>
        <v>29</v>
      </c>
      <c r="S29" s="14" t="str">
        <f t="shared" si="2"/>
        <v>P:0059400-23.2014.5.17.0141</v>
      </c>
      <c r="T29" s="27" t="s">
        <v>1113</v>
      </c>
      <c r="U29" s="28"/>
      <c r="V29" s="28"/>
      <c r="W29" s="28"/>
      <c r="X29" s="28"/>
      <c r="Y29" s="27"/>
      <c r="Z29" s="27" t="s">
        <v>1129</v>
      </c>
      <c r="AA29" s="27"/>
      <c r="AB29" s="27"/>
    </row>
    <row r="30" spans="1:28" ht="42" customHeight="1">
      <c r="A30" s="41" t="s">
        <v>299</v>
      </c>
      <c r="B30" s="42">
        <v>50921.25</v>
      </c>
      <c r="C30" s="42">
        <v>152401.99</v>
      </c>
      <c r="D30" s="42"/>
      <c r="E30" s="42"/>
      <c r="F30" s="42"/>
      <c r="G30" s="42"/>
      <c r="H30" s="45"/>
      <c r="I30" s="44"/>
      <c r="J30" s="43"/>
      <c r="K30" s="44" t="s">
        <v>1136</v>
      </c>
      <c r="L30" s="14">
        <f t="shared" si="0"/>
        <v>1</v>
      </c>
      <c r="M30" s="14">
        <f>IF(OR(L30=0,T30&lt;&gt;"Sim"),0,INDEX(Processos!$X$10:$X$509,O30))</f>
        <v>1</v>
      </c>
      <c r="N30" s="40" t="str">
        <f t="shared" si="1"/>
        <v>Informe a data da revisão financeira</v>
      </c>
      <c r="O30" s="14">
        <f>IF(AND(A30&lt;&gt;"",ISTEXT(A30),COUNTIFS(Processos!$AS$10:$AS$509,"="&amp;SUBSTITUTE(SUBSTITUTE(SUBSTITUTE("P:"&amp;A30,"~","~~"),"*","~*"),"?","~?"))=1),(IF(ISNA(MATCH(SUBSTITUTE(SUBSTITUTE(SUBSTITUTE("P:"&amp;A30,"~","~~"),"*","~*"),"?","~?"),Processos!$AS$10:$AS$509,0)),9,INDEX(Processos!$AM$10:$AM$509,MATCH(SUBSTITUTE(SUBSTITUTE(SUBSTITUTE("P:"&amp;A30,"~","~~"),"*","~*"),"?","~?"),Processos!$AS$10:$AS$509,0)))-9),0)</f>
        <v>21</v>
      </c>
      <c r="P30" s="14" t="str">
        <f>IF(L30=0,"",INDEX(Processos!$D$10:$D$509,O30))</f>
        <v>BMM Advogados</v>
      </c>
      <c r="Q30" s="14">
        <f>IF(OR(L30=0,T30&lt;&gt;"Sim"),0,INDEX(Processos!$AL$10:$AL$509,O30))</f>
        <v>1</v>
      </c>
      <c r="R30" s="14">
        <f>ROW()</f>
        <v>30</v>
      </c>
      <c r="S30" s="14" t="str">
        <f t="shared" si="2"/>
        <v>P:5119575-46.2016.8.13.0024</v>
      </c>
      <c r="T30" s="27" t="s">
        <v>1113</v>
      </c>
      <c r="U30" s="28"/>
      <c r="V30" s="28"/>
      <c r="W30" s="28"/>
      <c r="X30" s="28"/>
      <c r="Y30" s="27"/>
      <c r="Z30" s="27" t="s">
        <v>1129</v>
      </c>
      <c r="AA30" s="27"/>
      <c r="AB30" s="27"/>
    </row>
    <row r="31" spans="1:28" ht="42" customHeight="1">
      <c r="A31" s="41" t="s">
        <v>307</v>
      </c>
      <c r="B31" s="42">
        <v>168024.19</v>
      </c>
      <c r="C31" s="42">
        <v>26728.17</v>
      </c>
      <c r="D31" s="42"/>
      <c r="E31" s="42"/>
      <c r="F31" s="42"/>
      <c r="G31" s="42"/>
      <c r="H31" s="45"/>
      <c r="I31" s="44"/>
      <c r="J31" s="43"/>
      <c r="K31" s="44" t="s">
        <v>1137</v>
      </c>
      <c r="L31" s="14">
        <f t="shared" si="0"/>
        <v>1</v>
      </c>
      <c r="M31" s="14">
        <f>IF(OR(L31=0,T31&lt;&gt;"Sim"),0,INDEX(Processos!$X$10:$X$509,O31))</f>
        <v>1</v>
      </c>
      <c r="N31" s="40" t="str">
        <f t="shared" si="1"/>
        <v>Informe a data da revisão financeira</v>
      </c>
      <c r="O31" s="14">
        <f>IF(AND(A31&lt;&gt;"",ISTEXT(A31),COUNTIFS(Processos!$AS$10:$AS$509,"="&amp;SUBSTITUTE(SUBSTITUTE(SUBSTITUTE("P:"&amp;A31,"~","~~"),"*","~*"),"?","~?"))=1),(IF(ISNA(MATCH(SUBSTITUTE(SUBSTITUTE(SUBSTITUTE("P:"&amp;A31,"~","~~"),"*","~*"),"?","~?"),Processos!$AS$10:$AS$509,0)),9,INDEX(Processos!$AM$10:$AM$509,MATCH(SUBSTITUTE(SUBSTITUTE(SUBSTITUTE("P:"&amp;A31,"~","~~"),"*","~*"),"?","~?"),Processos!$AS$10:$AS$509,0)))-9),0)</f>
        <v>22</v>
      </c>
      <c r="P31" s="14" t="str">
        <f>IF(L31=0,"",INDEX(Processos!$D$10:$D$509,O31))</f>
        <v>BMM Advogados</v>
      </c>
      <c r="Q31" s="14">
        <f>IF(OR(L31=0,T31&lt;&gt;"Sim"),0,INDEX(Processos!$AL$10:$AL$509,O31))</f>
        <v>1</v>
      </c>
      <c r="R31" s="14">
        <f>ROW()</f>
        <v>31</v>
      </c>
      <c r="S31" s="14" t="str">
        <f t="shared" si="2"/>
        <v>P:0052185-74.2016.8.09.0051</v>
      </c>
      <c r="T31" s="27" t="s">
        <v>1113</v>
      </c>
      <c r="U31" s="28"/>
      <c r="V31" s="28"/>
      <c r="W31" s="28"/>
      <c r="X31" s="28"/>
      <c r="Y31" s="27"/>
      <c r="Z31" s="27" t="s">
        <v>1129</v>
      </c>
      <c r="AA31" s="27"/>
      <c r="AB31" s="27"/>
    </row>
    <row r="32" spans="1:28" ht="42" customHeight="1">
      <c r="A32" s="41" t="s">
        <v>315</v>
      </c>
      <c r="B32" s="42">
        <v>267720.77</v>
      </c>
      <c r="C32" s="42"/>
      <c r="D32" s="42"/>
      <c r="E32" s="42"/>
      <c r="F32" s="42"/>
      <c r="G32" s="42"/>
      <c r="H32" s="45"/>
      <c r="I32" s="44"/>
      <c r="J32" s="43"/>
      <c r="K32" s="44" t="s">
        <v>1138</v>
      </c>
      <c r="L32" s="14">
        <f t="shared" si="0"/>
        <v>1</v>
      </c>
      <c r="M32" s="14">
        <f>IF(OR(L32=0,T32&lt;&gt;"Sim"),0,INDEX(Processos!$X$10:$X$509,O32))</f>
        <v>1</v>
      </c>
      <c r="N32" s="40" t="str">
        <f t="shared" si="1"/>
        <v>Informe a data da revisão financeira</v>
      </c>
      <c r="O32" s="14">
        <f>IF(AND(A32&lt;&gt;"",ISTEXT(A32),COUNTIFS(Processos!$AS$10:$AS$509,"="&amp;SUBSTITUTE(SUBSTITUTE(SUBSTITUTE("P:"&amp;A32,"~","~~"),"*","~*"),"?","~?"))=1),(IF(ISNA(MATCH(SUBSTITUTE(SUBSTITUTE(SUBSTITUTE("P:"&amp;A32,"~","~~"),"*","~*"),"?","~?"),Processos!$AS$10:$AS$509,0)),9,INDEX(Processos!$AM$10:$AM$509,MATCH(SUBSTITUTE(SUBSTITUTE(SUBSTITUTE("P:"&amp;A32,"~","~~"),"*","~*"),"?","~?"),Processos!$AS$10:$AS$509,0)))-9),0)</f>
        <v>23</v>
      </c>
      <c r="P32" s="14" t="str">
        <f>IF(L32=0,"",INDEX(Processos!$D$10:$D$509,O32))</f>
        <v>BMM Advogados</v>
      </c>
      <c r="Q32" s="14">
        <f>IF(OR(L32=0,T32&lt;&gt;"Sim"),0,INDEX(Processos!$AL$10:$AL$509,O32))</f>
        <v>1</v>
      </c>
      <c r="R32" s="14">
        <f>ROW()</f>
        <v>32</v>
      </c>
      <c r="S32" s="14" t="str">
        <f t="shared" si="2"/>
        <v>P:5131188-29.2017.8.13.0024</v>
      </c>
      <c r="T32" s="27" t="s">
        <v>1113</v>
      </c>
      <c r="U32" s="28"/>
      <c r="V32" s="28"/>
      <c r="W32" s="28"/>
      <c r="X32" s="28"/>
      <c r="Y32" s="27"/>
      <c r="Z32" s="27"/>
      <c r="AA32" s="27"/>
      <c r="AB32" s="27"/>
    </row>
    <row r="33" spans="1:28" ht="42" customHeight="1">
      <c r="A33" s="41" t="s">
        <v>321</v>
      </c>
      <c r="B33" s="42">
        <v>520579.71</v>
      </c>
      <c r="C33" s="42"/>
      <c r="D33" s="42"/>
      <c r="E33" s="42"/>
      <c r="F33" s="42"/>
      <c r="G33" s="42"/>
      <c r="H33" s="45"/>
      <c r="I33" s="44"/>
      <c r="J33" s="43"/>
      <c r="K33" s="44" t="s">
        <v>1139</v>
      </c>
      <c r="L33" s="14">
        <f t="shared" si="0"/>
        <v>1</v>
      </c>
      <c r="M33" s="14">
        <f>IF(OR(L33=0,T33&lt;&gt;"Sim"),0,INDEX(Processos!$X$10:$X$509,O33))</f>
        <v>1</v>
      </c>
      <c r="N33" s="40" t="str">
        <f t="shared" si="1"/>
        <v>Informe a data da revisão financeira</v>
      </c>
      <c r="O33" s="14">
        <f>IF(AND(A33&lt;&gt;"",ISTEXT(A33),COUNTIFS(Processos!$AS$10:$AS$509,"="&amp;SUBSTITUTE(SUBSTITUTE(SUBSTITUTE("P:"&amp;A33,"~","~~"),"*","~*"),"?","~?"))=1),(IF(ISNA(MATCH(SUBSTITUTE(SUBSTITUTE(SUBSTITUTE("P:"&amp;A33,"~","~~"),"*","~*"),"?","~?"),Processos!$AS$10:$AS$509,0)),9,INDEX(Processos!$AM$10:$AM$509,MATCH(SUBSTITUTE(SUBSTITUTE(SUBSTITUTE("P:"&amp;A33,"~","~~"),"*","~*"),"?","~?"),Processos!$AS$10:$AS$509,0)))-9),0)</f>
        <v>24</v>
      </c>
      <c r="P33" s="14" t="str">
        <f>IF(L33=0,"",INDEX(Processos!$D$10:$D$509,O33))</f>
        <v>BMM Advogados</v>
      </c>
      <c r="Q33" s="14">
        <f>IF(OR(L33=0,T33&lt;&gt;"Sim"),0,INDEX(Processos!$AL$10:$AL$509,O33))</f>
        <v>1</v>
      </c>
      <c r="R33" s="14">
        <f>ROW()</f>
        <v>33</v>
      </c>
      <c r="S33" s="14" t="str">
        <f t="shared" si="2"/>
        <v>P:5071968-32.2019.8.13.0024</v>
      </c>
      <c r="T33" s="27" t="s">
        <v>1113</v>
      </c>
      <c r="U33" s="28"/>
      <c r="V33" s="28"/>
      <c r="W33" s="28"/>
      <c r="X33" s="28"/>
      <c r="Y33" s="27"/>
      <c r="Z33" s="27"/>
      <c r="AA33" s="27"/>
      <c r="AB33" s="27"/>
    </row>
    <row r="34" spans="1:28" ht="42" customHeight="1">
      <c r="A34" s="41" t="s">
        <v>327</v>
      </c>
      <c r="B34" s="42">
        <v>429296.48</v>
      </c>
      <c r="C34" s="42"/>
      <c r="D34" s="42"/>
      <c r="E34" s="42"/>
      <c r="F34" s="42"/>
      <c r="G34" s="42"/>
      <c r="H34" s="45"/>
      <c r="I34" s="44"/>
      <c r="J34" s="43"/>
      <c r="K34" s="44" t="s">
        <v>1140</v>
      </c>
      <c r="L34" s="14">
        <f t="shared" si="0"/>
        <v>1</v>
      </c>
      <c r="M34" s="14">
        <f>IF(OR(L34=0,T34&lt;&gt;"Sim"),0,INDEX(Processos!$X$10:$X$509,O34))</f>
        <v>1</v>
      </c>
      <c r="N34" s="40" t="str">
        <f t="shared" si="1"/>
        <v>Informe a data da revisão financeira</v>
      </c>
      <c r="O34" s="14">
        <f>IF(AND(A34&lt;&gt;"",ISTEXT(A34),COUNTIFS(Processos!$AS$10:$AS$509,"="&amp;SUBSTITUTE(SUBSTITUTE(SUBSTITUTE("P:"&amp;A34,"~","~~"),"*","~*"),"?","~?"))=1),(IF(ISNA(MATCH(SUBSTITUTE(SUBSTITUTE(SUBSTITUTE("P:"&amp;A34,"~","~~"),"*","~*"),"?","~?"),Processos!$AS$10:$AS$509,0)),9,INDEX(Processos!$AM$10:$AM$509,MATCH(SUBSTITUTE(SUBSTITUTE(SUBSTITUTE("P:"&amp;A34,"~","~~"),"*","~*"),"?","~?"),Processos!$AS$10:$AS$509,0)))-9),0)</f>
        <v>25</v>
      </c>
      <c r="P34" s="14" t="str">
        <f>IF(L34=0,"",INDEX(Processos!$D$10:$D$509,O34))</f>
        <v>BMM Advogados</v>
      </c>
      <c r="Q34" s="14">
        <f>IF(OR(L34=0,T34&lt;&gt;"Sim"),0,INDEX(Processos!$AL$10:$AL$509,O34))</f>
        <v>1</v>
      </c>
      <c r="R34" s="14">
        <f>ROW()</f>
        <v>34</v>
      </c>
      <c r="S34" s="14" t="str">
        <f t="shared" si="2"/>
        <v>P:5321924-94.2018.8.09.0051</v>
      </c>
      <c r="T34" s="27" t="s">
        <v>1113</v>
      </c>
      <c r="U34" s="28"/>
      <c r="V34" s="28"/>
      <c r="W34" s="28"/>
      <c r="X34" s="28"/>
      <c r="Y34" s="27"/>
      <c r="Z34" s="27" t="s">
        <v>1129</v>
      </c>
      <c r="AA34" s="27"/>
      <c r="AB34" s="27"/>
    </row>
    <row r="35" spans="1:28" ht="42" customHeight="1">
      <c r="A35" s="41" t="s">
        <v>334</v>
      </c>
      <c r="B35" s="42">
        <v>164916.37</v>
      </c>
      <c r="C35" s="42">
        <v>93057.53</v>
      </c>
      <c r="D35" s="42"/>
      <c r="E35" s="42"/>
      <c r="F35" s="42"/>
      <c r="G35" s="42"/>
      <c r="H35" s="45"/>
      <c r="I35" s="44"/>
      <c r="J35" s="43"/>
      <c r="K35" s="44" t="s">
        <v>1141</v>
      </c>
      <c r="L35" s="14">
        <f t="shared" si="0"/>
        <v>1</v>
      </c>
      <c r="M35" s="14">
        <f>IF(OR(L35=0,T35&lt;&gt;"Sim"),0,INDEX(Processos!$X$10:$X$509,O35))</f>
        <v>1</v>
      </c>
      <c r="N35" s="40" t="str">
        <f t="shared" si="1"/>
        <v>Informe a data da revisão financeira</v>
      </c>
      <c r="O35" s="14">
        <f>IF(AND(A35&lt;&gt;"",ISTEXT(A35),COUNTIFS(Processos!$AS$10:$AS$509,"="&amp;SUBSTITUTE(SUBSTITUTE(SUBSTITUTE("P:"&amp;A35,"~","~~"),"*","~*"),"?","~?"))=1),(IF(ISNA(MATCH(SUBSTITUTE(SUBSTITUTE(SUBSTITUTE("P:"&amp;A35,"~","~~"),"*","~*"),"?","~?"),Processos!$AS$10:$AS$509,0)),9,INDEX(Processos!$AM$10:$AM$509,MATCH(SUBSTITUTE(SUBSTITUTE(SUBSTITUTE("P:"&amp;A35,"~","~~"),"*","~*"),"?","~?"),Processos!$AS$10:$AS$509,0)))-9),0)</f>
        <v>26</v>
      </c>
      <c r="P35" s="14" t="str">
        <f>IF(L35=0,"",INDEX(Processos!$D$10:$D$509,O35))</f>
        <v>BMM Advogados</v>
      </c>
      <c r="Q35" s="14">
        <f>IF(OR(L35=0,T35&lt;&gt;"Sim"),0,INDEX(Processos!$AL$10:$AL$509,O35))</f>
        <v>1</v>
      </c>
      <c r="R35" s="14">
        <f>ROW()</f>
        <v>35</v>
      </c>
      <c r="S35" s="14" t="str">
        <f t="shared" si="2"/>
        <v>P:5475775-26.2017.8.09.0137</v>
      </c>
      <c r="T35" s="27" t="s">
        <v>1113</v>
      </c>
      <c r="U35" s="28"/>
      <c r="V35" s="28"/>
      <c r="W35" s="28"/>
      <c r="X35" s="28"/>
      <c r="Y35" s="27"/>
      <c r="Z35" s="27"/>
      <c r="AA35" s="27"/>
      <c r="AB35" s="27"/>
    </row>
    <row r="36" spans="1:28" ht="42" customHeight="1">
      <c r="A36" s="41" t="s">
        <v>340</v>
      </c>
      <c r="B36" s="42">
        <v>69937.05</v>
      </c>
      <c r="C36" s="42">
        <v>124151.77</v>
      </c>
      <c r="D36" s="42"/>
      <c r="E36" s="42"/>
      <c r="F36" s="42"/>
      <c r="G36" s="42"/>
      <c r="H36" s="45"/>
      <c r="I36" s="44"/>
      <c r="J36" s="43"/>
      <c r="K36" s="44" t="s">
        <v>1142</v>
      </c>
      <c r="L36" s="14">
        <f t="shared" si="0"/>
        <v>1</v>
      </c>
      <c r="M36" s="14">
        <f>IF(OR(L36=0,T36&lt;&gt;"Sim"),0,INDEX(Processos!$X$10:$X$509,O36))</f>
        <v>0</v>
      </c>
      <c r="N36" s="40" t="str">
        <f t="shared" si="1"/>
        <v>Informe a data da revisão financeira</v>
      </c>
      <c r="O36" s="14">
        <f>IF(AND(A36&lt;&gt;"",ISTEXT(A36),COUNTIFS(Processos!$AS$10:$AS$509,"="&amp;SUBSTITUTE(SUBSTITUTE(SUBSTITUTE("P:"&amp;A36,"~","~~"),"*","~*"),"?","~?"))=1),(IF(ISNA(MATCH(SUBSTITUTE(SUBSTITUTE(SUBSTITUTE("P:"&amp;A36,"~","~~"),"*","~*"),"?","~?"),Processos!$AS$10:$AS$509,0)),9,INDEX(Processos!$AM$10:$AM$509,MATCH(SUBSTITUTE(SUBSTITUTE(SUBSTITUTE("P:"&amp;A36,"~","~~"),"*","~*"),"?","~?"),Processos!$AS$10:$AS$509,0)))-9),0)</f>
        <v>27</v>
      </c>
      <c r="P36" s="14" t="str">
        <f>IF(L36=0,"",INDEX(Processos!$D$10:$D$509,O36))</f>
        <v>BMM Advogados</v>
      </c>
      <c r="Q36" s="14">
        <f>IF(OR(L36=0,T36&lt;&gt;"Sim"),0,INDEX(Processos!$AL$10:$AL$509,O36))</f>
        <v>0</v>
      </c>
      <c r="R36" s="14">
        <f>ROW()</f>
        <v>36</v>
      </c>
      <c r="S36" s="14" t="str">
        <f t="shared" si="2"/>
        <v>P:5116564-98.2018.8.09.0137 [BMM-027]</v>
      </c>
      <c r="T36" s="27" t="s">
        <v>1117</v>
      </c>
      <c r="U36" s="28"/>
      <c r="V36" s="28"/>
      <c r="W36" s="28"/>
      <c r="X36" s="28"/>
      <c r="Y36" s="27"/>
      <c r="Z36" s="27"/>
      <c r="AA36" s="27"/>
      <c r="AB36" s="27"/>
    </row>
    <row r="37" spans="1:28" ht="42" customHeight="1">
      <c r="A37" s="41" t="s">
        <v>345</v>
      </c>
      <c r="B37" s="42">
        <v>95594.39</v>
      </c>
      <c r="C37" s="42">
        <v>174641.39</v>
      </c>
      <c r="D37" s="42"/>
      <c r="E37" s="42"/>
      <c r="F37" s="42"/>
      <c r="G37" s="42"/>
      <c r="H37" s="45"/>
      <c r="I37" s="44"/>
      <c r="J37" s="43"/>
      <c r="K37" s="44" t="s">
        <v>1143</v>
      </c>
      <c r="L37" s="14">
        <f t="shared" si="0"/>
        <v>1</v>
      </c>
      <c r="M37" s="14">
        <f>IF(OR(L37=0,T37&lt;&gt;"Sim"),0,INDEX(Processos!$X$10:$X$509,O37))</f>
        <v>1</v>
      </c>
      <c r="N37" s="40" t="str">
        <f t="shared" si="1"/>
        <v>Informe a data da revisão financeira</v>
      </c>
      <c r="O37" s="14">
        <f>IF(AND(A37&lt;&gt;"",ISTEXT(A37),COUNTIFS(Processos!$AS$10:$AS$509,"="&amp;SUBSTITUTE(SUBSTITUTE(SUBSTITUTE("P:"&amp;A37,"~","~~"),"*","~*"),"?","~?"))=1),(IF(ISNA(MATCH(SUBSTITUTE(SUBSTITUTE(SUBSTITUTE("P:"&amp;A37,"~","~~"),"*","~*"),"?","~?"),Processos!$AS$10:$AS$509,0)),9,INDEX(Processos!$AM$10:$AM$509,MATCH(SUBSTITUTE(SUBSTITUTE(SUBSTITUTE("P:"&amp;A37,"~","~~"),"*","~*"),"?","~?"),Processos!$AS$10:$AS$509,0)))-9),0)</f>
        <v>28</v>
      </c>
      <c r="P37" s="14" t="str">
        <f>IF(L37=0,"",INDEX(Processos!$D$10:$D$509,O37))</f>
        <v>BMM Advogados</v>
      </c>
      <c r="Q37" s="14">
        <f>IF(OR(L37=0,T37&lt;&gt;"Sim"),0,INDEX(Processos!$AL$10:$AL$509,O37))</f>
        <v>1</v>
      </c>
      <c r="R37" s="14">
        <f>ROW()</f>
        <v>37</v>
      </c>
      <c r="S37" s="14" t="str">
        <f t="shared" si="2"/>
        <v>P:5173200-24.2018.8.13.0024</v>
      </c>
      <c r="T37" s="27" t="s">
        <v>1113</v>
      </c>
      <c r="U37" s="28"/>
      <c r="V37" s="28"/>
      <c r="W37" s="28"/>
      <c r="X37" s="28"/>
      <c r="Y37" s="27"/>
      <c r="Z37" s="27"/>
      <c r="AA37" s="27"/>
      <c r="AB37" s="27"/>
    </row>
    <row r="38" spans="1:28" ht="42" customHeight="1">
      <c r="A38" s="41" t="s">
        <v>352</v>
      </c>
      <c r="B38" s="42">
        <v>3467.48</v>
      </c>
      <c r="C38" s="42">
        <v>6094.49</v>
      </c>
      <c r="D38" s="42"/>
      <c r="E38" s="42"/>
      <c r="F38" s="42"/>
      <c r="G38" s="42"/>
      <c r="H38" s="45"/>
      <c r="I38" s="44"/>
      <c r="J38" s="43"/>
      <c r="K38" s="44" t="s">
        <v>1144</v>
      </c>
      <c r="L38" s="14">
        <f t="shared" si="0"/>
        <v>1</v>
      </c>
      <c r="M38" s="14">
        <f>IF(OR(L38=0,T38&lt;&gt;"Sim"),0,INDEX(Processos!$X$10:$X$509,O38))</f>
        <v>1</v>
      </c>
      <c r="N38" s="40" t="str">
        <f t="shared" si="1"/>
        <v>Informe a data da revisão financeira</v>
      </c>
      <c r="O38" s="14">
        <f>IF(AND(A38&lt;&gt;"",ISTEXT(A38),COUNTIFS(Processos!$AS$10:$AS$509,"="&amp;SUBSTITUTE(SUBSTITUTE(SUBSTITUTE("P:"&amp;A38,"~","~~"),"*","~*"),"?","~?"))=1),(IF(ISNA(MATCH(SUBSTITUTE(SUBSTITUTE(SUBSTITUTE("P:"&amp;A38,"~","~~"),"*","~*"),"?","~?"),Processos!$AS$10:$AS$509,0)),9,INDEX(Processos!$AM$10:$AM$509,MATCH(SUBSTITUTE(SUBSTITUTE(SUBSTITUTE("P:"&amp;A38,"~","~~"),"*","~*"),"?","~?"),Processos!$AS$10:$AS$509,0)))-9),0)</f>
        <v>29</v>
      </c>
      <c r="P38" s="14" t="str">
        <f>IF(L38=0,"",INDEX(Processos!$D$10:$D$509,O38))</f>
        <v>BMM Advogados</v>
      </c>
      <c r="Q38" s="14">
        <f>IF(OR(L38=0,T38&lt;&gt;"Sim"),0,INDEX(Processos!$AL$10:$AL$509,O38))</f>
        <v>1</v>
      </c>
      <c r="R38" s="14">
        <f>ROW()</f>
        <v>38</v>
      </c>
      <c r="S38" s="14" t="str">
        <f t="shared" si="2"/>
        <v>P:5028530-58.2016.8.13.0024</v>
      </c>
      <c r="T38" s="27" t="s">
        <v>1113</v>
      </c>
      <c r="U38" s="28"/>
      <c r="V38" s="28"/>
      <c r="W38" s="28"/>
      <c r="X38" s="28"/>
      <c r="Y38" s="27"/>
      <c r="Z38" s="27"/>
      <c r="AA38" s="27"/>
      <c r="AB38" s="27"/>
    </row>
    <row r="39" spans="1:28" ht="42" customHeight="1">
      <c r="A39" s="41" t="s">
        <v>358</v>
      </c>
      <c r="B39" s="42">
        <v>19594.07</v>
      </c>
      <c r="C39" s="42">
        <v>46334.28</v>
      </c>
      <c r="D39" s="42"/>
      <c r="E39" s="42"/>
      <c r="F39" s="42"/>
      <c r="G39" s="42"/>
      <c r="H39" s="45"/>
      <c r="I39" s="44"/>
      <c r="J39" s="43"/>
      <c r="K39" s="44" t="s">
        <v>1145</v>
      </c>
      <c r="L39" s="14">
        <f t="shared" si="0"/>
        <v>1</v>
      </c>
      <c r="M39" s="14">
        <f>IF(OR(L39=0,T39&lt;&gt;"Sim"),0,INDEX(Processos!$X$10:$X$509,O39))</f>
        <v>1</v>
      </c>
      <c r="N39" s="40" t="str">
        <f t="shared" si="1"/>
        <v>Informe a data da revisão financeira</v>
      </c>
      <c r="O39" s="14">
        <f>IF(AND(A39&lt;&gt;"",ISTEXT(A39),COUNTIFS(Processos!$AS$10:$AS$509,"="&amp;SUBSTITUTE(SUBSTITUTE(SUBSTITUTE("P:"&amp;A39,"~","~~"),"*","~*"),"?","~?"))=1),(IF(ISNA(MATCH(SUBSTITUTE(SUBSTITUTE(SUBSTITUTE("P:"&amp;A39,"~","~~"),"*","~*"),"?","~?"),Processos!$AS$10:$AS$509,0)),9,INDEX(Processos!$AM$10:$AM$509,MATCH(SUBSTITUTE(SUBSTITUTE(SUBSTITUTE("P:"&amp;A39,"~","~~"),"*","~*"),"?","~?"),Processos!$AS$10:$AS$509,0)))-9),0)</f>
        <v>30</v>
      </c>
      <c r="P39" s="14" t="str">
        <f>IF(L39=0,"",INDEX(Processos!$D$10:$D$509,O39))</f>
        <v>BMM Advogados</v>
      </c>
      <c r="Q39" s="14">
        <f>IF(OR(L39=0,T39&lt;&gt;"Sim"),0,INDEX(Processos!$AL$10:$AL$509,O39))</f>
        <v>1</v>
      </c>
      <c r="R39" s="14">
        <f>ROW()</f>
        <v>39</v>
      </c>
      <c r="S39" s="14" t="str">
        <f t="shared" si="2"/>
        <v>P:5144250-31.2019.8.09.0137</v>
      </c>
      <c r="T39" s="27" t="s">
        <v>1113</v>
      </c>
      <c r="U39" s="28"/>
      <c r="V39" s="28"/>
      <c r="W39" s="28"/>
      <c r="X39" s="28"/>
      <c r="Y39" s="27"/>
      <c r="Z39" s="27"/>
      <c r="AA39" s="27"/>
      <c r="AB39" s="27"/>
    </row>
    <row r="40" spans="1:28" ht="42" customHeight="1">
      <c r="A40" s="41" t="s">
        <v>363</v>
      </c>
      <c r="B40" s="42">
        <v>24909.81</v>
      </c>
      <c r="C40" s="42">
        <v>43534.44</v>
      </c>
      <c r="D40" s="42"/>
      <c r="E40" s="42"/>
      <c r="F40" s="42"/>
      <c r="G40" s="42"/>
      <c r="H40" s="45"/>
      <c r="I40" s="44"/>
      <c r="J40" s="43"/>
      <c r="K40" s="44" t="s">
        <v>1146</v>
      </c>
      <c r="L40" s="14">
        <f t="shared" si="0"/>
        <v>1</v>
      </c>
      <c r="M40" s="14">
        <f>IF(OR(L40=0,T40&lt;&gt;"Sim"),0,INDEX(Processos!$X$10:$X$509,O40))</f>
        <v>1</v>
      </c>
      <c r="N40" s="40" t="str">
        <f t="shared" si="1"/>
        <v>Informe a data da revisão financeira</v>
      </c>
      <c r="O40" s="14">
        <f>IF(AND(A40&lt;&gt;"",ISTEXT(A40),COUNTIFS(Processos!$AS$10:$AS$509,"="&amp;SUBSTITUTE(SUBSTITUTE(SUBSTITUTE("P:"&amp;A40,"~","~~"),"*","~*"),"?","~?"))=1),(IF(ISNA(MATCH(SUBSTITUTE(SUBSTITUTE(SUBSTITUTE("P:"&amp;A40,"~","~~"),"*","~*"),"?","~?"),Processos!$AS$10:$AS$509,0)),9,INDEX(Processos!$AM$10:$AM$509,MATCH(SUBSTITUTE(SUBSTITUTE(SUBSTITUTE("P:"&amp;A40,"~","~~"),"*","~*"),"?","~?"),Processos!$AS$10:$AS$509,0)))-9),0)</f>
        <v>31</v>
      </c>
      <c r="P40" s="14" t="str">
        <f>IF(L40=0,"",INDEX(Processos!$D$10:$D$509,O40))</f>
        <v>BMM Advogados</v>
      </c>
      <c r="Q40" s="14">
        <f>IF(OR(L40=0,T40&lt;&gt;"Sim"),0,INDEX(Processos!$AL$10:$AL$509,O40))</f>
        <v>1</v>
      </c>
      <c r="R40" s="14">
        <f>ROW()</f>
        <v>40</v>
      </c>
      <c r="S40" s="14" t="str">
        <f t="shared" si="2"/>
        <v>P:5116378-75.2018.8.09.0137</v>
      </c>
      <c r="T40" s="27" t="s">
        <v>1113</v>
      </c>
      <c r="U40" s="28"/>
      <c r="V40" s="28"/>
      <c r="W40" s="28"/>
      <c r="X40" s="28"/>
      <c r="Y40" s="27"/>
      <c r="Z40" s="27"/>
      <c r="AA40" s="27"/>
      <c r="AB40" s="27"/>
    </row>
    <row r="41" spans="1:28" ht="42" customHeight="1">
      <c r="A41" s="41" t="s">
        <v>369</v>
      </c>
      <c r="B41" s="42">
        <v>5000</v>
      </c>
      <c r="C41" s="42">
        <v>129983.01</v>
      </c>
      <c r="D41" s="42"/>
      <c r="E41" s="42"/>
      <c r="F41" s="42"/>
      <c r="G41" s="42"/>
      <c r="H41" s="45"/>
      <c r="I41" s="44"/>
      <c r="J41" s="43"/>
      <c r="K41" s="44" t="s">
        <v>1147</v>
      </c>
      <c r="L41" s="14">
        <f t="shared" si="0"/>
        <v>1</v>
      </c>
      <c r="M41" s="14">
        <f>IF(OR(L41=0,T41&lt;&gt;"Sim"),0,INDEX(Processos!$X$10:$X$509,O41))</f>
        <v>1</v>
      </c>
      <c r="N41" s="40" t="str">
        <f t="shared" si="1"/>
        <v>Informe a data da revisão financeira</v>
      </c>
      <c r="O41" s="14">
        <f>IF(AND(A41&lt;&gt;"",ISTEXT(A41),COUNTIFS(Processos!$AS$10:$AS$509,"="&amp;SUBSTITUTE(SUBSTITUTE(SUBSTITUTE("P:"&amp;A41,"~","~~"),"*","~*"),"?","~?"))=1),(IF(ISNA(MATCH(SUBSTITUTE(SUBSTITUTE(SUBSTITUTE("P:"&amp;A41,"~","~~"),"*","~*"),"?","~?"),Processos!$AS$10:$AS$509,0)),9,INDEX(Processos!$AM$10:$AM$509,MATCH(SUBSTITUTE(SUBSTITUTE(SUBSTITUTE("P:"&amp;A41,"~","~~"),"*","~*"),"?","~?"),Processos!$AS$10:$AS$509,0)))-9),0)</f>
        <v>32</v>
      </c>
      <c r="P41" s="14" t="str">
        <f>IF(L41=0,"",INDEX(Processos!$D$10:$D$509,O41))</f>
        <v>BMM Advogados</v>
      </c>
      <c r="Q41" s="14">
        <f>IF(OR(L41=0,T41&lt;&gt;"Sim"),0,INDEX(Processos!$AL$10:$AL$509,O41))</f>
        <v>1</v>
      </c>
      <c r="R41" s="14">
        <f>ROW()</f>
        <v>41</v>
      </c>
      <c r="S41" s="14" t="str">
        <f t="shared" si="2"/>
        <v>P:0001353-64.2013.5.05.0581</v>
      </c>
      <c r="T41" s="27" t="s">
        <v>1113</v>
      </c>
      <c r="U41" s="28"/>
      <c r="V41" s="28"/>
      <c r="W41" s="28"/>
      <c r="X41" s="28"/>
      <c r="Y41" s="27"/>
      <c r="Z41" s="27"/>
      <c r="AA41" s="27"/>
      <c r="AB41" s="27"/>
    </row>
    <row r="42" spans="1:28" ht="42" customHeight="1">
      <c r="A42" s="41" t="s">
        <v>373</v>
      </c>
      <c r="B42" s="42">
        <v>16946.439999999999</v>
      </c>
      <c r="C42" s="42">
        <v>16748.330000000002</v>
      </c>
      <c r="D42" s="42"/>
      <c r="E42" s="42"/>
      <c r="F42" s="42"/>
      <c r="G42" s="42"/>
      <c r="H42" s="45"/>
      <c r="I42" s="44"/>
      <c r="J42" s="43"/>
      <c r="K42" s="44" t="s">
        <v>1148</v>
      </c>
      <c r="L42" s="14">
        <f t="shared" si="0"/>
        <v>1</v>
      </c>
      <c r="M42" s="14">
        <f>IF(OR(L42=0,T42&lt;&gt;"Sim"),0,INDEX(Processos!$X$10:$X$509,O42))</f>
        <v>1</v>
      </c>
      <c r="N42" s="40" t="str">
        <f t="shared" si="1"/>
        <v>Informe a data da revisão financeira</v>
      </c>
      <c r="O42" s="14">
        <f>IF(AND(A42&lt;&gt;"",ISTEXT(A42),COUNTIFS(Processos!$AS$10:$AS$509,"="&amp;SUBSTITUTE(SUBSTITUTE(SUBSTITUTE("P:"&amp;A42,"~","~~"),"*","~*"),"?","~?"))=1),(IF(ISNA(MATCH(SUBSTITUTE(SUBSTITUTE(SUBSTITUTE("P:"&amp;A42,"~","~~"),"*","~*"),"?","~?"),Processos!$AS$10:$AS$509,0)),9,INDEX(Processos!$AM$10:$AM$509,MATCH(SUBSTITUTE(SUBSTITUTE(SUBSTITUTE("P:"&amp;A42,"~","~~"),"*","~*"),"?","~?"),Processos!$AS$10:$AS$509,0)))-9),0)</f>
        <v>33</v>
      </c>
      <c r="P42" s="14" t="str">
        <f>IF(L42=0,"",INDEX(Processos!$D$10:$D$509,O42))</f>
        <v>BMM Advogados</v>
      </c>
      <c r="Q42" s="14">
        <f>IF(OR(L42=0,T42&lt;&gt;"Sim"),0,INDEX(Processos!$AL$10:$AL$509,O42))</f>
        <v>1</v>
      </c>
      <c r="R42" s="14">
        <f>ROW()</f>
        <v>42</v>
      </c>
      <c r="S42" s="14" t="str">
        <f t="shared" si="2"/>
        <v>P:0010565-52.2018.5.18.0103</v>
      </c>
      <c r="T42" s="27" t="s">
        <v>1113</v>
      </c>
      <c r="U42" s="28"/>
      <c r="V42" s="28"/>
      <c r="W42" s="28"/>
      <c r="X42" s="28"/>
      <c r="Y42" s="27"/>
      <c r="Z42" s="27" t="s">
        <v>1149</v>
      </c>
      <c r="AA42" s="27"/>
      <c r="AB42" s="27"/>
    </row>
    <row r="43" spans="1:28" ht="42" customHeight="1">
      <c r="A43" s="41" t="s">
        <v>381</v>
      </c>
      <c r="B43" s="42">
        <v>54939.72</v>
      </c>
      <c r="C43" s="42">
        <v>21046.2</v>
      </c>
      <c r="D43" s="42">
        <v>20254.02</v>
      </c>
      <c r="E43" s="42"/>
      <c r="F43" s="42"/>
      <c r="G43" s="42"/>
      <c r="H43" s="45"/>
      <c r="I43" s="44"/>
      <c r="J43" s="43"/>
      <c r="K43" s="44" t="s">
        <v>1150</v>
      </c>
      <c r="L43" s="14">
        <f t="shared" si="0"/>
        <v>1</v>
      </c>
      <c r="M43" s="14">
        <f>IF(OR(L43=0,T43&lt;&gt;"Sim"),0,INDEX(Processos!$X$10:$X$509,O43))</f>
        <v>1</v>
      </c>
      <c r="N43" s="40" t="str">
        <f t="shared" si="1"/>
        <v>Informe a data da revisão financeira</v>
      </c>
      <c r="O43" s="14">
        <f>IF(AND(A43&lt;&gt;"",ISTEXT(A43),COUNTIFS(Processos!$AS$10:$AS$509,"="&amp;SUBSTITUTE(SUBSTITUTE(SUBSTITUTE("P:"&amp;A43,"~","~~"),"*","~*"),"?","~?"))=1),(IF(ISNA(MATCH(SUBSTITUTE(SUBSTITUTE(SUBSTITUTE("P:"&amp;A43,"~","~~"),"*","~*"),"?","~?"),Processos!$AS$10:$AS$509,0)),9,INDEX(Processos!$AM$10:$AM$509,MATCH(SUBSTITUTE(SUBSTITUTE(SUBSTITUTE("P:"&amp;A43,"~","~~"),"*","~*"),"?","~?"),Processos!$AS$10:$AS$509,0)))-9),0)</f>
        <v>34</v>
      </c>
      <c r="P43" s="14" t="str">
        <f>IF(L43=0,"",INDEX(Processos!$D$10:$D$509,O43))</f>
        <v>BMM Advogados</v>
      </c>
      <c r="Q43" s="14">
        <f>IF(OR(L43=0,T43&lt;&gt;"Sim"),0,INDEX(Processos!$AL$10:$AL$509,O43))</f>
        <v>1</v>
      </c>
      <c r="R43" s="14">
        <f>ROW()</f>
        <v>43</v>
      </c>
      <c r="S43" s="14" t="str">
        <f t="shared" si="2"/>
        <v>P:0019397-14.2017.5.16.0023</v>
      </c>
      <c r="T43" s="27" t="s">
        <v>1113</v>
      </c>
      <c r="U43" s="28"/>
      <c r="V43" s="28"/>
      <c r="W43" s="28"/>
      <c r="X43" s="28"/>
      <c r="Y43" s="27"/>
      <c r="Z43" s="27" t="s">
        <v>1149</v>
      </c>
      <c r="AA43" s="27"/>
      <c r="AB43" s="27"/>
    </row>
    <row r="44" spans="1:28" ht="42" customHeight="1">
      <c r="A44" s="41" t="s">
        <v>387</v>
      </c>
      <c r="B44" s="42">
        <v>158931.65</v>
      </c>
      <c r="C44" s="42">
        <v>161748.04999999999</v>
      </c>
      <c r="D44" s="42"/>
      <c r="E44" s="42"/>
      <c r="F44" s="42"/>
      <c r="G44" s="42"/>
      <c r="H44" s="45"/>
      <c r="I44" s="44"/>
      <c r="J44" s="43"/>
      <c r="K44" s="44" t="s">
        <v>1151</v>
      </c>
      <c r="L44" s="14">
        <f t="shared" si="0"/>
        <v>1</v>
      </c>
      <c r="M44" s="14">
        <f>IF(OR(L44=0,T44&lt;&gt;"Sim"),0,INDEX(Processos!$X$10:$X$509,O44))</f>
        <v>1</v>
      </c>
      <c r="N44" s="40" t="str">
        <f t="shared" si="1"/>
        <v>Informe a data da revisão financeira</v>
      </c>
      <c r="O44" s="14">
        <f>IF(AND(A44&lt;&gt;"",ISTEXT(A44),COUNTIFS(Processos!$AS$10:$AS$509,"="&amp;SUBSTITUTE(SUBSTITUTE(SUBSTITUTE("P:"&amp;A44,"~","~~"),"*","~*"),"?","~?"))=1),(IF(ISNA(MATCH(SUBSTITUTE(SUBSTITUTE(SUBSTITUTE("P:"&amp;A44,"~","~~"),"*","~*"),"?","~?"),Processos!$AS$10:$AS$509,0)),9,INDEX(Processos!$AM$10:$AM$509,MATCH(SUBSTITUTE(SUBSTITUTE(SUBSTITUTE("P:"&amp;A44,"~","~~"),"*","~*"),"?","~?"),Processos!$AS$10:$AS$509,0)))-9),0)</f>
        <v>35</v>
      </c>
      <c r="P44" s="14" t="str">
        <f>IF(L44=0,"",INDEX(Processos!$D$10:$D$509,O44))</f>
        <v>BMM Advogados</v>
      </c>
      <c r="Q44" s="14">
        <f>IF(OR(L44=0,T44&lt;&gt;"Sim"),0,INDEX(Processos!$AL$10:$AL$509,O44))</f>
        <v>1</v>
      </c>
      <c r="R44" s="14">
        <f>ROW()</f>
        <v>44</v>
      </c>
      <c r="S44" s="14" t="str">
        <f t="shared" si="2"/>
        <v>P:0010754-56.2020.5.18.0104</v>
      </c>
      <c r="T44" s="27" t="s">
        <v>1113</v>
      </c>
      <c r="U44" s="28"/>
      <c r="V44" s="28"/>
      <c r="W44" s="28"/>
      <c r="X44" s="28"/>
      <c r="Y44" s="27"/>
      <c r="Z44" s="27"/>
      <c r="AA44" s="27"/>
      <c r="AB44" s="27"/>
    </row>
    <row r="45" spans="1:28" ht="42" customHeight="1">
      <c r="A45" s="41" t="s">
        <v>393</v>
      </c>
      <c r="B45" s="42">
        <v>10160.65</v>
      </c>
      <c r="C45" s="42">
        <v>6402.94</v>
      </c>
      <c r="D45" s="42"/>
      <c r="E45" s="42"/>
      <c r="F45" s="42"/>
      <c r="G45" s="42"/>
      <c r="H45" s="45"/>
      <c r="I45" s="44"/>
      <c r="J45" s="43"/>
      <c r="K45" s="44" t="s">
        <v>1152</v>
      </c>
      <c r="L45" s="14">
        <f t="shared" si="0"/>
        <v>1</v>
      </c>
      <c r="M45" s="14">
        <f>IF(OR(L45=0,T45&lt;&gt;"Sim"),0,INDEX(Processos!$X$10:$X$509,O45))</f>
        <v>1</v>
      </c>
      <c r="N45" s="40" t="str">
        <f t="shared" si="1"/>
        <v>Informe a data da revisão financeira</v>
      </c>
      <c r="O45" s="14">
        <f>IF(AND(A45&lt;&gt;"",ISTEXT(A45),COUNTIFS(Processos!$AS$10:$AS$509,"="&amp;SUBSTITUTE(SUBSTITUTE(SUBSTITUTE("P:"&amp;A45,"~","~~"),"*","~*"),"?","~?"))=1),(IF(ISNA(MATCH(SUBSTITUTE(SUBSTITUTE(SUBSTITUTE("P:"&amp;A45,"~","~~"),"*","~*"),"?","~?"),Processos!$AS$10:$AS$509,0)),9,INDEX(Processos!$AM$10:$AM$509,MATCH(SUBSTITUTE(SUBSTITUTE(SUBSTITUTE("P:"&amp;A45,"~","~~"),"*","~*"),"?","~?"),Processos!$AS$10:$AS$509,0)))-9),0)</f>
        <v>36</v>
      </c>
      <c r="P45" s="14" t="str">
        <f>IF(L45=0,"",INDEX(Processos!$D$10:$D$509,O45))</f>
        <v>BMM Advogados</v>
      </c>
      <c r="Q45" s="14">
        <f>IF(OR(L45=0,T45&lt;&gt;"Sim"),0,INDEX(Processos!$AL$10:$AL$509,O45))</f>
        <v>1</v>
      </c>
      <c r="R45" s="14">
        <f>ROW()</f>
        <v>45</v>
      </c>
      <c r="S45" s="14" t="str">
        <f t="shared" si="2"/>
        <v>P:0010481-51.2018.5.18.0103</v>
      </c>
      <c r="T45" s="27" t="s">
        <v>1113</v>
      </c>
      <c r="U45" s="28"/>
      <c r="V45" s="28"/>
      <c r="W45" s="28"/>
      <c r="X45" s="28"/>
      <c r="Y45" s="27"/>
      <c r="Z45" s="27"/>
      <c r="AA45" s="27"/>
      <c r="AB45" s="27"/>
    </row>
    <row r="46" spans="1:28" ht="42" customHeight="1">
      <c r="A46" s="41" t="s">
        <v>398</v>
      </c>
      <c r="B46" s="42">
        <v>20042.43</v>
      </c>
      <c r="C46" s="42">
        <v>29584.74</v>
      </c>
      <c r="D46" s="42"/>
      <c r="E46" s="42"/>
      <c r="F46" s="42"/>
      <c r="G46" s="42"/>
      <c r="H46" s="45"/>
      <c r="I46" s="44"/>
      <c r="J46" s="43"/>
      <c r="K46" s="44" t="s">
        <v>1153</v>
      </c>
      <c r="L46" s="14">
        <f t="shared" si="0"/>
        <v>1</v>
      </c>
      <c r="M46" s="14">
        <f>IF(OR(L46=0,T46&lt;&gt;"Sim"),0,INDEX(Processos!$X$10:$X$509,O46))</f>
        <v>1</v>
      </c>
      <c r="N46" s="40" t="str">
        <f t="shared" si="1"/>
        <v>Informe a data da revisão financeira</v>
      </c>
      <c r="O46" s="14">
        <f>IF(AND(A46&lt;&gt;"",ISTEXT(A46),COUNTIFS(Processos!$AS$10:$AS$509,"="&amp;SUBSTITUTE(SUBSTITUTE(SUBSTITUTE("P:"&amp;A46,"~","~~"),"*","~*"),"?","~?"))=1),(IF(ISNA(MATCH(SUBSTITUTE(SUBSTITUTE(SUBSTITUTE("P:"&amp;A46,"~","~~"),"*","~*"),"?","~?"),Processos!$AS$10:$AS$509,0)),9,INDEX(Processos!$AM$10:$AM$509,MATCH(SUBSTITUTE(SUBSTITUTE(SUBSTITUTE("P:"&amp;A46,"~","~~"),"*","~*"),"?","~?"),Processos!$AS$10:$AS$509,0)))-9),0)</f>
        <v>37</v>
      </c>
      <c r="P46" s="14" t="str">
        <f>IF(L46=0,"",INDEX(Processos!$D$10:$D$509,O46))</f>
        <v>BMM Advogados</v>
      </c>
      <c r="Q46" s="14">
        <f>IF(OR(L46=0,T46&lt;&gt;"Sim"),0,INDEX(Processos!$AL$10:$AL$509,O46))</f>
        <v>1</v>
      </c>
      <c r="R46" s="14">
        <f>ROW()</f>
        <v>46</v>
      </c>
      <c r="S46" s="14" t="str">
        <f t="shared" si="2"/>
        <v>P:0010795-91.2018.5.18.0104</v>
      </c>
      <c r="T46" s="27" t="s">
        <v>1113</v>
      </c>
      <c r="U46" s="28"/>
      <c r="V46" s="28"/>
      <c r="W46" s="28"/>
      <c r="X46" s="28"/>
      <c r="Y46" s="27"/>
      <c r="Z46" s="27"/>
      <c r="AA46" s="27"/>
      <c r="AB46" s="27"/>
    </row>
    <row r="47" spans="1:28" ht="42" customHeight="1">
      <c r="A47" s="41" t="s">
        <v>404</v>
      </c>
      <c r="B47" s="42">
        <v>32390.75</v>
      </c>
      <c r="C47" s="42">
        <v>18227.060000000001</v>
      </c>
      <c r="D47" s="42"/>
      <c r="E47" s="42"/>
      <c r="F47" s="42"/>
      <c r="G47" s="42"/>
      <c r="H47" s="45"/>
      <c r="I47" s="44"/>
      <c r="J47" s="43"/>
      <c r="K47" s="44" t="s">
        <v>1154</v>
      </c>
      <c r="L47" s="14">
        <f t="shared" si="0"/>
        <v>1</v>
      </c>
      <c r="M47" s="14">
        <f>IF(OR(L47=0,T47&lt;&gt;"Sim"),0,INDEX(Processos!$X$10:$X$509,O47))</f>
        <v>1</v>
      </c>
      <c r="N47" s="40" t="str">
        <f t="shared" si="1"/>
        <v>Informe a data da revisão financeira</v>
      </c>
      <c r="O47" s="14">
        <f>IF(AND(A47&lt;&gt;"",ISTEXT(A47),COUNTIFS(Processos!$AS$10:$AS$509,"="&amp;SUBSTITUTE(SUBSTITUTE(SUBSTITUTE("P:"&amp;A47,"~","~~"),"*","~*"),"?","~?"))=1),(IF(ISNA(MATCH(SUBSTITUTE(SUBSTITUTE(SUBSTITUTE("P:"&amp;A47,"~","~~"),"*","~*"),"?","~?"),Processos!$AS$10:$AS$509,0)),9,INDEX(Processos!$AM$10:$AM$509,MATCH(SUBSTITUTE(SUBSTITUTE(SUBSTITUTE("P:"&amp;A47,"~","~~"),"*","~*"),"?","~?"),Processos!$AS$10:$AS$509,0)))-9),0)</f>
        <v>38</v>
      </c>
      <c r="P47" s="14" t="str">
        <f>IF(L47=0,"",INDEX(Processos!$D$10:$D$509,O47))</f>
        <v>BMM Advogados</v>
      </c>
      <c r="Q47" s="14">
        <f>IF(OR(L47=0,T47&lt;&gt;"Sim"),0,INDEX(Processos!$AL$10:$AL$509,O47))</f>
        <v>1</v>
      </c>
      <c r="R47" s="14">
        <f>ROW()</f>
        <v>47</v>
      </c>
      <c r="S47" s="14" t="str">
        <f t="shared" si="2"/>
        <v>P:0010860-95.2018.5.18.0101</v>
      </c>
      <c r="T47" s="27" t="s">
        <v>1113</v>
      </c>
      <c r="U47" s="28"/>
      <c r="V47" s="28"/>
      <c r="W47" s="28"/>
      <c r="X47" s="28"/>
      <c r="Y47" s="27"/>
      <c r="Z47" s="27" t="s">
        <v>1149</v>
      </c>
      <c r="AA47" s="27"/>
      <c r="AB47" s="27"/>
    </row>
    <row r="48" spans="1:28" ht="42" customHeight="1">
      <c r="A48" s="41" t="s">
        <v>411</v>
      </c>
      <c r="B48" s="42">
        <v>49973.45</v>
      </c>
      <c r="C48" s="42">
        <v>40937.699999999997</v>
      </c>
      <c r="D48" s="42"/>
      <c r="E48" s="42"/>
      <c r="F48" s="42"/>
      <c r="G48" s="42"/>
      <c r="H48" s="45"/>
      <c r="I48" s="44"/>
      <c r="J48" s="43"/>
      <c r="K48" s="44" t="s">
        <v>1155</v>
      </c>
      <c r="L48" s="14">
        <f t="shared" si="0"/>
        <v>1</v>
      </c>
      <c r="M48" s="14">
        <f>IF(OR(L48=0,T48&lt;&gt;"Sim"),0,INDEX(Processos!$X$10:$X$509,O48))</f>
        <v>0</v>
      </c>
      <c r="N48" s="40" t="str">
        <f t="shared" si="1"/>
        <v>Informe a data da revisão financeira</v>
      </c>
      <c r="O48" s="14">
        <f>IF(AND(A48&lt;&gt;"",ISTEXT(A48),COUNTIFS(Processos!$AS$10:$AS$509,"="&amp;SUBSTITUTE(SUBSTITUTE(SUBSTITUTE("P:"&amp;A48,"~","~~"),"*","~*"),"?","~?"))=1),(IF(ISNA(MATCH(SUBSTITUTE(SUBSTITUTE(SUBSTITUTE("P:"&amp;A48,"~","~~"),"*","~*"),"?","~?"),Processos!$AS$10:$AS$509,0)),9,INDEX(Processos!$AM$10:$AM$509,MATCH(SUBSTITUTE(SUBSTITUTE(SUBSTITUTE("P:"&amp;A48,"~","~~"),"*","~*"),"?","~?"),Processos!$AS$10:$AS$509,0)))-9),0)</f>
        <v>39</v>
      </c>
      <c r="P48" s="14" t="str">
        <f>IF(L48=0,"",INDEX(Processos!$D$10:$D$509,O48))</f>
        <v>BMM Advogados</v>
      </c>
      <c r="Q48" s="14">
        <f>IF(OR(L48=0,T48&lt;&gt;"Sim"),0,INDEX(Processos!$AL$10:$AL$509,O48))</f>
        <v>0</v>
      </c>
      <c r="R48" s="14">
        <f>ROW()</f>
        <v>48</v>
      </c>
      <c r="S48" s="14" t="str">
        <f t="shared" si="2"/>
        <v>P:0010941-35.2018.5.18.0104 [BMM-039]</v>
      </c>
      <c r="T48" s="27" t="s">
        <v>1117</v>
      </c>
      <c r="U48" s="28"/>
      <c r="V48" s="28"/>
      <c r="W48" s="28"/>
      <c r="X48" s="28"/>
      <c r="Y48" s="27"/>
      <c r="Z48" s="27" t="s">
        <v>1149</v>
      </c>
      <c r="AA48" s="27"/>
      <c r="AB48" s="27"/>
    </row>
    <row r="49" spans="1:28" ht="42" customHeight="1">
      <c r="A49" s="41" t="s">
        <v>418</v>
      </c>
      <c r="B49" s="42">
        <v>59519.22</v>
      </c>
      <c r="C49" s="42">
        <v>21004.18</v>
      </c>
      <c r="D49" s="42"/>
      <c r="E49" s="42"/>
      <c r="F49" s="42"/>
      <c r="G49" s="42"/>
      <c r="H49" s="45"/>
      <c r="I49" s="44"/>
      <c r="J49" s="43"/>
      <c r="K49" s="44" t="s">
        <v>1156</v>
      </c>
      <c r="L49" s="14">
        <f t="shared" si="0"/>
        <v>1</v>
      </c>
      <c r="M49" s="14">
        <f>IF(OR(L49=0,T49&lt;&gt;"Sim"),0,INDEX(Processos!$X$10:$X$509,O49))</f>
        <v>1</v>
      </c>
      <c r="N49" s="40" t="str">
        <f t="shared" si="1"/>
        <v>Informe a data da revisão financeira</v>
      </c>
      <c r="O49" s="14">
        <f>IF(AND(A49&lt;&gt;"",ISTEXT(A49),COUNTIFS(Processos!$AS$10:$AS$509,"="&amp;SUBSTITUTE(SUBSTITUTE(SUBSTITUTE("P:"&amp;A49,"~","~~"),"*","~*"),"?","~?"))=1),(IF(ISNA(MATCH(SUBSTITUTE(SUBSTITUTE(SUBSTITUTE("P:"&amp;A49,"~","~~"),"*","~*"),"?","~?"),Processos!$AS$10:$AS$509,0)),9,INDEX(Processos!$AM$10:$AM$509,MATCH(SUBSTITUTE(SUBSTITUTE(SUBSTITUTE("P:"&amp;A49,"~","~~"),"*","~*"),"?","~?"),Processos!$AS$10:$AS$509,0)))-9),0)</f>
        <v>40</v>
      </c>
      <c r="P49" s="14" t="str">
        <f>IF(L49=0,"",INDEX(Processos!$D$10:$D$509,O49))</f>
        <v>BMM Advogados</v>
      </c>
      <c r="Q49" s="14">
        <f>IF(OR(L49=0,T49&lt;&gt;"Sim"),0,INDEX(Processos!$AL$10:$AL$509,O49))</f>
        <v>1</v>
      </c>
      <c r="R49" s="14">
        <f>ROW()</f>
        <v>49</v>
      </c>
      <c r="S49" s="14" t="str">
        <f t="shared" si="2"/>
        <v>P:0016188-50.2020.5.16.0017</v>
      </c>
      <c r="T49" s="27" t="s">
        <v>1113</v>
      </c>
      <c r="U49" s="28"/>
      <c r="V49" s="28"/>
      <c r="W49" s="28"/>
      <c r="X49" s="28"/>
      <c r="Y49" s="27"/>
      <c r="Z49" s="27"/>
      <c r="AA49" s="27"/>
      <c r="AB49" s="27"/>
    </row>
    <row r="50" spans="1:28" ht="42" customHeight="1">
      <c r="A50" s="41" t="s">
        <v>424</v>
      </c>
      <c r="B50" s="42">
        <v>34596.68</v>
      </c>
      <c r="C50" s="42">
        <v>20360.759999999998</v>
      </c>
      <c r="D50" s="42"/>
      <c r="E50" s="42"/>
      <c r="F50" s="42"/>
      <c r="G50" s="42"/>
      <c r="H50" s="45"/>
      <c r="I50" s="44"/>
      <c r="J50" s="43"/>
      <c r="K50" s="44" t="s">
        <v>1157</v>
      </c>
      <c r="L50" s="14">
        <f t="shared" si="0"/>
        <v>1</v>
      </c>
      <c r="M50" s="14">
        <f>IF(OR(L50=0,T50&lt;&gt;"Sim"),0,INDEX(Processos!$X$10:$X$509,O50))</f>
        <v>1</v>
      </c>
      <c r="N50" s="40" t="str">
        <f t="shared" si="1"/>
        <v>Informe a data da revisão financeira</v>
      </c>
      <c r="O50" s="14">
        <f>IF(AND(A50&lt;&gt;"",ISTEXT(A50),COUNTIFS(Processos!$AS$10:$AS$509,"="&amp;SUBSTITUTE(SUBSTITUTE(SUBSTITUTE("P:"&amp;A50,"~","~~"),"*","~*"),"?","~?"))=1),(IF(ISNA(MATCH(SUBSTITUTE(SUBSTITUTE(SUBSTITUTE("P:"&amp;A50,"~","~~"),"*","~*"),"?","~?"),Processos!$AS$10:$AS$509,0)),9,INDEX(Processos!$AM$10:$AM$509,MATCH(SUBSTITUTE(SUBSTITUTE(SUBSTITUTE("P:"&amp;A50,"~","~~"),"*","~*"),"?","~?"),Processos!$AS$10:$AS$509,0)))-9),0)</f>
        <v>41</v>
      </c>
      <c r="P50" s="14" t="str">
        <f>IF(L50=0,"",INDEX(Processos!$D$10:$D$509,O50))</f>
        <v>BMM Advogados</v>
      </c>
      <c r="Q50" s="14">
        <f>IF(OR(L50=0,T50&lt;&gt;"Sim"),0,INDEX(Processos!$AL$10:$AL$509,O50))</f>
        <v>1</v>
      </c>
      <c r="R50" s="14">
        <f>ROW()</f>
        <v>50</v>
      </c>
      <c r="S50" s="14" t="str">
        <f t="shared" si="2"/>
        <v>P:0010704-04.2018.5.18.0103</v>
      </c>
      <c r="T50" s="27" t="s">
        <v>1113</v>
      </c>
      <c r="U50" s="28"/>
      <c r="V50" s="28"/>
      <c r="W50" s="28"/>
      <c r="X50" s="28"/>
      <c r="Y50" s="27"/>
      <c r="Z50" s="27" t="s">
        <v>1132</v>
      </c>
      <c r="AA50" s="27"/>
      <c r="AB50" s="27"/>
    </row>
    <row r="51" spans="1:28" ht="42" customHeight="1">
      <c r="A51" s="41" t="s">
        <v>431</v>
      </c>
      <c r="B51" s="42">
        <v>80000</v>
      </c>
      <c r="C51" s="42">
        <v>104036.23</v>
      </c>
      <c r="D51" s="42"/>
      <c r="E51" s="42"/>
      <c r="F51" s="42"/>
      <c r="G51" s="42"/>
      <c r="H51" s="45"/>
      <c r="I51" s="44"/>
      <c r="J51" s="43"/>
      <c r="K51" s="44" t="s">
        <v>1158</v>
      </c>
      <c r="L51" s="14">
        <f t="shared" si="0"/>
        <v>1</v>
      </c>
      <c r="M51" s="14">
        <f>IF(OR(L51=0,T51&lt;&gt;"Sim"),0,INDEX(Processos!$X$10:$X$509,O51))</f>
        <v>1</v>
      </c>
      <c r="N51" s="40" t="str">
        <f t="shared" si="1"/>
        <v>Informe a data da revisão financeira</v>
      </c>
      <c r="O51" s="14">
        <f>IF(AND(A51&lt;&gt;"",ISTEXT(A51),COUNTIFS(Processos!$AS$10:$AS$509,"="&amp;SUBSTITUTE(SUBSTITUTE(SUBSTITUTE("P:"&amp;A51,"~","~~"),"*","~*"),"?","~?"))=1),(IF(ISNA(MATCH(SUBSTITUTE(SUBSTITUTE(SUBSTITUTE("P:"&amp;A51,"~","~~"),"*","~*"),"?","~?"),Processos!$AS$10:$AS$509,0)),9,INDEX(Processos!$AM$10:$AM$509,MATCH(SUBSTITUTE(SUBSTITUTE(SUBSTITUTE("P:"&amp;A51,"~","~~"),"*","~*"),"?","~?"),Processos!$AS$10:$AS$509,0)))-9),0)</f>
        <v>42</v>
      </c>
      <c r="P51" s="14" t="str">
        <f>IF(L51=0,"",INDEX(Processos!$D$10:$D$509,O51))</f>
        <v>BMM Advogados</v>
      </c>
      <c r="Q51" s="14">
        <f>IF(OR(L51=0,T51&lt;&gt;"Sim"),0,INDEX(Processos!$AL$10:$AL$509,O51))</f>
        <v>1</v>
      </c>
      <c r="R51" s="14">
        <f>ROW()</f>
        <v>51</v>
      </c>
      <c r="S51" s="14" t="str">
        <f t="shared" si="2"/>
        <v>P:0000696-15.2019.5.05.0581</v>
      </c>
      <c r="T51" s="27" t="s">
        <v>1113</v>
      </c>
      <c r="U51" s="28"/>
      <c r="V51" s="28"/>
      <c r="W51" s="28"/>
      <c r="X51" s="28"/>
      <c r="Y51" s="27"/>
      <c r="Z51" s="27"/>
      <c r="AA51" s="27"/>
      <c r="AB51" s="27"/>
    </row>
    <row r="52" spans="1:28" ht="42" customHeight="1">
      <c r="A52" s="41" t="s">
        <v>438</v>
      </c>
      <c r="B52" s="42">
        <v>21875.09</v>
      </c>
      <c r="C52" s="42">
        <v>86251.8</v>
      </c>
      <c r="D52" s="42"/>
      <c r="E52" s="42"/>
      <c r="F52" s="42"/>
      <c r="G52" s="42"/>
      <c r="H52" s="45"/>
      <c r="I52" s="44"/>
      <c r="J52" s="43"/>
      <c r="K52" s="44" t="s">
        <v>1159</v>
      </c>
      <c r="L52" s="14">
        <f t="shared" si="0"/>
        <v>1</v>
      </c>
      <c r="M52" s="14">
        <f>IF(OR(L52=0,T52&lt;&gt;"Sim"),0,INDEX(Processos!$X$10:$X$509,O52))</f>
        <v>1</v>
      </c>
      <c r="N52" s="40" t="str">
        <f t="shared" si="1"/>
        <v>Informe a data da revisão financeira</v>
      </c>
      <c r="O52" s="14">
        <f>IF(AND(A52&lt;&gt;"",ISTEXT(A52),COUNTIFS(Processos!$AS$10:$AS$509,"="&amp;SUBSTITUTE(SUBSTITUTE(SUBSTITUTE("P:"&amp;A52,"~","~~"),"*","~*"),"?","~?"))=1),(IF(ISNA(MATCH(SUBSTITUTE(SUBSTITUTE(SUBSTITUTE("P:"&amp;A52,"~","~~"),"*","~*"),"?","~?"),Processos!$AS$10:$AS$509,0)),9,INDEX(Processos!$AM$10:$AM$509,MATCH(SUBSTITUTE(SUBSTITUTE(SUBSTITUTE("P:"&amp;A52,"~","~~"),"*","~*"),"?","~?"),Processos!$AS$10:$AS$509,0)))-9),0)</f>
        <v>43</v>
      </c>
      <c r="P52" s="14" t="str">
        <f>IF(L52=0,"",INDEX(Processos!$D$10:$D$509,O52))</f>
        <v>BMM Advogados</v>
      </c>
      <c r="Q52" s="14">
        <f>IF(OR(L52=0,T52&lt;&gt;"Sim"),0,INDEX(Processos!$AL$10:$AL$509,O52))</f>
        <v>1</v>
      </c>
      <c r="R52" s="14">
        <f>ROW()</f>
        <v>52</v>
      </c>
      <c r="S52" s="14" t="str">
        <f t="shared" si="2"/>
        <v>P:0000045-57.2021.5.10.0812</v>
      </c>
      <c r="T52" s="27" t="s">
        <v>1113</v>
      </c>
      <c r="U52" s="28"/>
      <c r="V52" s="28"/>
      <c r="W52" s="28"/>
      <c r="X52" s="28"/>
      <c r="Y52" s="27"/>
      <c r="Z52" s="27"/>
      <c r="AA52" s="27"/>
      <c r="AB52" s="27"/>
    </row>
    <row r="53" spans="1:28" ht="42" customHeight="1">
      <c r="A53" s="41" t="s">
        <v>445</v>
      </c>
      <c r="B53" s="42">
        <v>137223.76</v>
      </c>
      <c r="C53" s="42">
        <v>96841.24</v>
      </c>
      <c r="D53" s="42"/>
      <c r="E53" s="42"/>
      <c r="F53" s="42"/>
      <c r="G53" s="42"/>
      <c r="H53" s="45"/>
      <c r="I53" s="44"/>
      <c r="J53" s="43"/>
      <c r="K53" s="44" t="s">
        <v>1160</v>
      </c>
      <c r="L53" s="14">
        <f t="shared" si="0"/>
        <v>1</v>
      </c>
      <c r="M53" s="14">
        <f>IF(OR(L53=0,T53&lt;&gt;"Sim"),0,INDEX(Processos!$X$10:$X$509,O53))</f>
        <v>1</v>
      </c>
      <c r="N53" s="40" t="str">
        <f t="shared" si="1"/>
        <v>Informe a data da revisão financeira</v>
      </c>
      <c r="O53" s="14">
        <f>IF(AND(A53&lt;&gt;"",ISTEXT(A53),COUNTIFS(Processos!$AS$10:$AS$509,"="&amp;SUBSTITUTE(SUBSTITUTE(SUBSTITUTE("P:"&amp;A53,"~","~~"),"*","~*"),"?","~?"))=1),(IF(ISNA(MATCH(SUBSTITUTE(SUBSTITUTE(SUBSTITUTE("P:"&amp;A53,"~","~~"),"*","~*"),"?","~?"),Processos!$AS$10:$AS$509,0)),9,INDEX(Processos!$AM$10:$AM$509,MATCH(SUBSTITUTE(SUBSTITUTE(SUBSTITUTE("P:"&amp;A53,"~","~~"),"*","~*"),"?","~?"),Processos!$AS$10:$AS$509,0)))-9),0)</f>
        <v>44</v>
      </c>
      <c r="P53" s="14" t="str">
        <f>IF(L53=0,"",INDEX(Processos!$D$10:$D$509,O53))</f>
        <v>BMM Advogados</v>
      </c>
      <c r="Q53" s="14">
        <f>IF(OR(L53=0,T53&lt;&gt;"Sim"),0,INDEX(Processos!$AL$10:$AL$509,O53))</f>
        <v>1</v>
      </c>
      <c r="R53" s="14">
        <f>ROW()</f>
        <v>53</v>
      </c>
      <c r="S53" s="14" t="str">
        <f t="shared" si="2"/>
        <v>P:0010574-51.2020.5.03.0009</v>
      </c>
      <c r="T53" s="27" t="s">
        <v>1113</v>
      </c>
      <c r="U53" s="28"/>
      <c r="V53" s="28"/>
      <c r="W53" s="28"/>
      <c r="X53" s="28"/>
      <c r="Y53" s="27"/>
      <c r="Z53" s="27"/>
      <c r="AA53" s="27"/>
      <c r="AB53" s="27"/>
    </row>
    <row r="54" spans="1:28" ht="42" customHeight="1">
      <c r="A54" s="41" t="s">
        <v>453</v>
      </c>
      <c r="B54" s="42">
        <v>15245.63</v>
      </c>
      <c r="C54" s="42">
        <v>16782.87</v>
      </c>
      <c r="D54" s="42"/>
      <c r="E54" s="42"/>
      <c r="F54" s="42"/>
      <c r="G54" s="42"/>
      <c r="H54" s="45"/>
      <c r="I54" s="44"/>
      <c r="J54" s="43"/>
      <c r="K54" s="44" t="s">
        <v>1161</v>
      </c>
      <c r="L54" s="14">
        <f t="shared" si="0"/>
        <v>1</v>
      </c>
      <c r="M54" s="14">
        <f>IF(OR(L54=0,T54&lt;&gt;"Sim"),0,INDEX(Processos!$X$10:$X$509,O54))</f>
        <v>1</v>
      </c>
      <c r="N54" s="40" t="str">
        <f t="shared" si="1"/>
        <v>Informe a data da revisão financeira</v>
      </c>
      <c r="O54" s="14">
        <f>IF(AND(A54&lt;&gt;"",ISTEXT(A54),COUNTIFS(Processos!$AS$10:$AS$509,"="&amp;SUBSTITUTE(SUBSTITUTE(SUBSTITUTE("P:"&amp;A54,"~","~~"),"*","~*"),"?","~?"))=1),(IF(ISNA(MATCH(SUBSTITUTE(SUBSTITUTE(SUBSTITUTE("P:"&amp;A54,"~","~~"),"*","~*"),"?","~?"),Processos!$AS$10:$AS$509,0)),9,INDEX(Processos!$AM$10:$AM$509,MATCH(SUBSTITUTE(SUBSTITUTE(SUBSTITUTE("P:"&amp;A54,"~","~~"),"*","~*"),"?","~?"),Processos!$AS$10:$AS$509,0)))-9),0)</f>
        <v>45</v>
      </c>
      <c r="P54" s="14" t="str">
        <f>IF(L54=0,"",INDEX(Processos!$D$10:$D$509,O54))</f>
        <v>BMM Advogados</v>
      </c>
      <c r="Q54" s="14">
        <f>IF(OR(L54=0,T54&lt;&gt;"Sim"),0,INDEX(Processos!$AL$10:$AL$509,O54))</f>
        <v>1</v>
      </c>
      <c r="R54" s="14">
        <f>ROW()</f>
        <v>54</v>
      </c>
      <c r="S54" s="14" t="str">
        <f t="shared" si="2"/>
        <v>P:0010566-06.2019.5.18.0102</v>
      </c>
      <c r="T54" s="27" t="s">
        <v>1113</v>
      </c>
      <c r="U54" s="28"/>
      <c r="V54" s="28"/>
      <c r="W54" s="28"/>
      <c r="X54" s="28"/>
      <c r="Y54" s="27"/>
      <c r="Z54" s="27"/>
      <c r="AA54" s="27"/>
      <c r="AB54" s="27"/>
    </row>
    <row r="55" spans="1:28" ht="42" customHeight="1">
      <c r="A55" s="41" t="s">
        <v>459</v>
      </c>
      <c r="B55" s="42">
        <v>24455.34</v>
      </c>
      <c r="C55" s="42">
        <v>21755.81</v>
      </c>
      <c r="D55" s="42"/>
      <c r="E55" s="42"/>
      <c r="F55" s="42"/>
      <c r="G55" s="42"/>
      <c r="H55" s="45"/>
      <c r="I55" s="44"/>
      <c r="J55" s="43"/>
      <c r="K55" s="44" t="s">
        <v>1162</v>
      </c>
      <c r="L55" s="14">
        <f t="shared" si="0"/>
        <v>1</v>
      </c>
      <c r="M55" s="14">
        <f>IF(OR(L55=0,T55&lt;&gt;"Sim"),0,INDEX(Processos!$X$10:$X$509,O55))</f>
        <v>1</v>
      </c>
      <c r="N55" s="40" t="str">
        <f t="shared" si="1"/>
        <v>Informe a data da revisão financeira</v>
      </c>
      <c r="O55" s="14">
        <f>IF(AND(A55&lt;&gt;"",ISTEXT(A55),COUNTIFS(Processos!$AS$10:$AS$509,"="&amp;SUBSTITUTE(SUBSTITUTE(SUBSTITUTE("P:"&amp;A55,"~","~~"),"*","~*"),"?","~?"))=1),(IF(ISNA(MATCH(SUBSTITUTE(SUBSTITUTE(SUBSTITUTE("P:"&amp;A55,"~","~~"),"*","~*"),"?","~?"),Processos!$AS$10:$AS$509,0)),9,INDEX(Processos!$AM$10:$AM$509,MATCH(SUBSTITUTE(SUBSTITUTE(SUBSTITUTE("P:"&amp;A55,"~","~~"),"*","~*"),"?","~?"),Processos!$AS$10:$AS$509,0)))-9),0)</f>
        <v>46</v>
      </c>
      <c r="P55" s="14" t="str">
        <f>IF(L55=0,"",INDEX(Processos!$D$10:$D$509,O55))</f>
        <v>BMM Advogados</v>
      </c>
      <c r="Q55" s="14">
        <f>IF(OR(L55=0,T55&lt;&gt;"Sim"),0,INDEX(Processos!$AL$10:$AL$509,O55))</f>
        <v>1</v>
      </c>
      <c r="R55" s="14">
        <f>ROW()</f>
        <v>55</v>
      </c>
      <c r="S55" s="14" t="str">
        <f t="shared" si="2"/>
        <v>P:0010519-26.2019.5.18.0104</v>
      </c>
      <c r="T55" s="27" t="s">
        <v>1113</v>
      </c>
      <c r="U55" s="28"/>
      <c r="V55" s="28"/>
      <c r="W55" s="28"/>
      <c r="X55" s="28"/>
      <c r="Y55" s="27"/>
      <c r="Z55" s="27" t="s">
        <v>1149</v>
      </c>
      <c r="AA55" s="27"/>
      <c r="AB55" s="27"/>
    </row>
    <row r="56" spans="1:28" ht="42" customHeight="1">
      <c r="A56" s="41" t="s">
        <v>465</v>
      </c>
      <c r="B56" s="42">
        <v>107189.84</v>
      </c>
      <c r="C56" s="42">
        <v>9860.92</v>
      </c>
      <c r="D56" s="42"/>
      <c r="E56" s="42"/>
      <c r="F56" s="42"/>
      <c r="G56" s="42"/>
      <c r="H56" s="45"/>
      <c r="I56" s="44"/>
      <c r="J56" s="43"/>
      <c r="K56" s="44" t="s">
        <v>1163</v>
      </c>
      <c r="L56" s="14">
        <f t="shared" si="0"/>
        <v>1</v>
      </c>
      <c r="M56" s="14">
        <f>IF(OR(L56=0,T56&lt;&gt;"Sim"),0,INDEX(Processos!$X$10:$X$509,O56))</f>
        <v>1</v>
      </c>
      <c r="N56" s="40" t="str">
        <f t="shared" si="1"/>
        <v>Informe a data da revisão financeira</v>
      </c>
      <c r="O56" s="14">
        <f>IF(AND(A56&lt;&gt;"",ISTEXT(A56),COUNTIFS(Processos!$AS$10:$AS$509,"="&amp;SUBSTITUTE(SUBSTITUTE(SUBSTITUTE("P:"&amp;A56,"~","~~"),"*","~*"),"?","~?"))=1),(IF(ISNA(MATCH(SUBSTITUTE(SUBSTITUTE(SUBSTITUTE("P:"&amp;A56,"~","~~"),"*","~*"),"?","~?"),Processos!$AS$10:$AS$509,0)),9,INDEX(Processos!$AM$10:$AM$509,MATCH(SUBSTITUTE(SUBSTITUTE(SUBSTITUTE("P:"&amp;A56,"~","~~"),"*","~*"),"?","~?"),Processos!$AS$10:$AS$509,0)))-9),0)</f>
        <v>47</v>
      </c>
      <c r="P56" s="14" t="str">
        <f>IF(L56=0,"",INDEX(Processos!$D$10:$D$509,O56))</f>
        <v>BMM Advogados</v>
      </c>
      <c r="Q56" s="14">
        <f>IF(OR(L56=0,T56&lt;&gt;"Sim"),0,INDEX(Processos!$AL$10:$AL$509,O56))</f>
        <v>1</v>
      </c>
      <c r="R56" s="14">
        <f>ROW()</f>
        <v>56</v>
      </c>
      <c r="S56" s="14" t="str">
        <f t="shared" si="2"/>
        <v>P:0010266-75.2018.5.18.0103</v>
      </c>
      <c r="T56" s="27" t="s">
        <v>1113</v>
      </c>
      <c r="U56" s="28"/>
      <c r="V56" s="28"/>
      <c r="W56" s="28"/>
      <c r="X56" s="28"/>
      <c r="Y56" s="27"/>
      <c r="Z56" s="27" t="s">
        <v>1149</v>
      </c>
      <c r="AA56" s="27"/>
      <c r="AB56" s="27"/>
    </row>
    <row r="57" spans="1:28" ht="42" customHeight="1">
      <c r="A57" s="41" t="s">
        <v>470</v>
      </c>
      <c r="B57" s="42">
        <v>68715</v>
      </c>
      <c r="C57" s="42">
        <v>46741.7</v>
      </c>
      <c r="D57" s="42"/>
      <c r="E57" s="42"/>
      <c r="F57" s="42"/>
      <c r="G57" s="42"/>
      <c r="H57" s="45"/>
      <c r="I57" s="44"/>
      <c r="J57" s="43"/>
      <c r="K57" s="44" t="s">
        <v>1164</v>
      </c>
      <c r="L57" s="14">
        <f t="shared" si="0"/>
        <v>1</v>
      </c>
      <c r="M57" s="14">
        <f>IF(OR(L57=0,T57&lt;&gt;"Sim"),0,INDEX(Processos!$X$10:$X$509,O57))</f>
        <v>1</v>
      </c>
      <c r="N57" s="40" t="str">
        <f t="shared" si="1"/>
        <v>Informe a data da revisão financeira</v>
      </c>
      <c r="O57" s="14">
        <f>IF(AND(A57&lt;&gt;"",ISTEXT(A57),COUNTIFS(Processos!$AS$10:$AS$509,"="&amp;SUBSTITUTE(SUBSTITUTE(SUBSTITUTE("P:"&amp;A57,"~","~~"),"*","~*"),"?","~?"))=1),(IF(ISNA(MATCH(SUBSTITUTE(SUBSTITUTE(SUBSTITUTE("P:"&amp;A57,"~","~~"),"*","~*"),"?","~?"),Processos!$AS$10:$AS$509,0)),9,INDEX(Processos!$AM$10:$AM$509,MATCH(SUBSTITUTE(SUBSTITUTE(SUBSTITUTE("P:"&amp;A57,"~","~~"),"*","~*"),"?","~?"),Processos!$AS$10:$AS$509,0)))-9),0)</f>
        <v>48</v>
      </c>
      <c r="P57" s="14" t="str">
        <f>IF(L57=0,"",INDEX(Processos!$D$10:$D$509,O57))</f>
        <v>BMM Advogados</v>
      </c>
      <c r="Q57" s="14">
        <f>IF(OR(L57=0,T57&lt;&gt;"Sim"),0,INDEX(Processos!$AL$10:$AL$509,O57))</f>
        <v>1</v>
      </c>
      <c r="R57" s="14">
        <f>ROW()</f>
        <v>57</v>
      </c>
      <c r="S57" s="14" t="str">
        <f t="shared" si="2"/>
        <v>P:0010607-67.2019.5.18.0103</v>
      </c>
      <c r="T57" s="27" t="s">
        <v>1113</v>
      </c>
      <c r="U57" s="28"/>
      <c r="V57" s="28"/>
      <c r="W57" s="28"/>
      <c r="X57" s="28"/>
      <c r="Y57" s="27"/>
      <c r="Z57" s="27" t="s">
        <v>1149</v>
      </c>
      <c r="AA57" s="27"/>
      <c r="AB57" s="27"/>
    </row>
    <row r="58" spans="1:28" ht="42" customHeight="1">
      <c r="A58" s="41" t="s">
        <v>476</v>
      </c>
      <c r="B58" s="42">
        <v>35382.160000000003</v>
      </c>
      <c r="C58" s="42">
        <v>15869.76</v>
      </c>
      <c r="D58" s="42"/>
      <c r="E58" s="42"/>
      <c r="F58" s="42"/>
      <c r="G58" s="42"/>
      <c r="H58" s="45"/>
      <c r="I58" s="44"/>
      <c r="J58" s="43"/>
      <c r="K58" s="44" t="s">
        <v>1165</v>
      </c>
      <c r="L58" s="14">
        <f t="shared" si="0"/>
        <v>1</v>
      </c>
      <c r="M58" s="14">
        <f>IF(OR(L58=0,T58&lt;&gt;"Sim"),0,INDEX(Processos!$X$10:$X$509,O58))</f>
        <v>1</v>
      </c>
      <c r="N58" s="40" t="str">
        <f t="shared" si="1"/>
        <v>Informe a data da revisão financeira</v>
      </c>
      <c r="O58" s="14">
        <f>IF(AND(A58&lt;&gt;"",ISTEXT(A58),COUNTIFS(Processos!$AS$10:$AS$509,"="&amp;SUBSTITUTE(SUBSTITUTE(SUBSTITUTE("P:"&amp;A58,"~","~~"),"*","~*"),"?","~?"))=1),(IF(ISNA(MATCH(SUBSTITUTE(SUBSTITUTE(SUBSTITUTE("P:"&amp;A58,"~","~~"),"*","~*"),"?","~?"),Processos!$AS$10:$AS$509,0)),9,INDEX(Processos!$AM$10:$AM$509,MATCH(SUBSTITUTE(SUBSTITUTE(SUBSTITUTE("P:"&amp;A58,"~","~~"),"*","~*"),"?","~?"),Processos!$AS$10:$AS$509,0)))-9),0)</f>
        <v>49</v>
      </c>
      <c r="P58" s="14" t="str">
        <f>IF(L58=0,"",INDEX(Processos!$D$10:$D$509,O58))</f>
        <v>BMM Advogados</v>
      </c>
      <c r="Q58" s="14">
        <f>IF(OR(L58=0,T58&lt;&gt;"Sim"),0,INDEX(Processos!$AL$10:$AL$509,O58))</f>
        <v>1</v>
      </c>
      <c r="R58" s="14">
        <f>ROW()</f>
        <v>58</v>
      </c>
      <c r="S58" s="14" t="str">
        <f t="shared" si="2"/>
        <v>P:0010719-67.2018.5.18.0104</v>
      </c>
      <c r="T58" s="27" t="s">
        <v>1113</v>
      </c>
      <c r="U58" s="28"/>
      <c r="V58" s="28"/>
      <c r="W58" s="28"/>
      <c r="X58" s="28"/>
      <c r="Y58" s="27"/>
      <c r="Z58" s="27" t="s">
        <v>1149</v>
      </c>
      <c r="AA58" s="27"/>
      <c r="AB58" s="27"/>
    </row>
    <row r="59" spans="1:28" ht="42" customHeight="1">
      <c r="A59" s="41" t="s">
        <v>27</v>
      </c>
      <c r="B59" s="42">
        <v>119383.18</v>
      </c>
      <c r="C59" s="42">
        <v>108062.21</v>
      </c>
      <c r="D59" s="42"/>
      <c r="E59" s="42"/>
      <c r="F59" s="42"/>
      <c r="G59" s="42"/>
      <c r="H59" s="45"/>
      <c r="I59" s="44"/>
      <c r="J59" s="43"/>
      <c r="K59" s="44" t="s">
        <v>1166</v>
      </c>
      <c r="L59" s="14">
        <f t="shared" si="0"/>
        <v>1</v>
      </c>
      <c r="M59" s="14">
        <f>IF(OR(L59=0,T59&lt;&gt;"Sim"),0,INDEX(Processos!$X$10:$X$509,O59))</f>
        <v>1</v>
      </c>
      <c r="N59" s="40" t="str">
        <f t="shared" si="1"/>
        <v>Informe a data da revisão financeira</v>
      </c>
      <c r="O59" s="14">
        <f>IF(AND(A59&lt;&gt;"",ISTEXT(A59),COUNTIFS(Processos!$AS$10:$AS$509,"="&amp;SUBSTITUTE(SUBSTITUTE(SUBSTITUTE("P:"&amp;A59,"~","~~"),"*","~*"),"?","~?"))=1),(IF(ISNA(MATCH(SUBSTITUTE(SUBSTITUTE(SUBSTITUTE("P:"&amp;A59,"~","~~"),"*","~*"),"?","~?"),Processos!$AS$10:$AS$509,0)),9,INDEX(Processos!$AM$10:$AM$509,MATCH(SUBSTITUTE(SUBSTITUTE(SUBSTITUTE("P:"&amp;A59,"~","~~"),"*","~*"),"?","~?"),Processos!$AS$10:$AS$509,0)))-9),0)</f>
        <v>50</v>
      </c>
      <c r="P59" s="14" t="str">
        <f>IF(L59=0,"",INDEX(Processos!$D$10:$D$509,O59))</f>
        <v>BMM Advogados</v>
      </c>
      <c r="Q59" s="14">
        <f>IF(OR(L59=0,T59&lt;&gt;"Sim"),0,INDEX(Processos!$AL$10:$AL$509,O59))</f>
        <v>1</v>
      </c>
      <c r="R59" s="14">
        <f>ROW()</f>
        <v>59</v>
      </c>
      <c r="S59" s="14" t="str">
        <f t="shared" si="2"/>
        <v>P:0016196-95.2018.5.16.0017</v>
      </c>
      <c r="T59" s="27" t="s">
        <v>1113</v>
      </c>
      <c r="U59" s="28"/>
      <c r="V59" s="28"/>
      <c r="W59" s="28"/>
      <c r="X59" s="28"/>
      <c r="Y59" s="27"/>
      <c r="Z59" s="27" t="s">
        <v>1149</v>
      </c>
      <c r="AA59" s="27"/>
      <c r="AB59" s="27"/>
    </row>
    <row r="60" spans="1:28" ht="42" customHeight="1">
      <c r="A60" s="41" t="s">
        <v>487</v>
      </c>
      <c r="B60" s="42">
        <v>10739.7</v>
      </c>
      <c r="C60" s="42">
        <v>14562.89</v>
      </c>
      <c r="D60" s="42"/>
      <c r="E60" s="42"/>
      <c r="F60" s="42"/>
      <c r="G60" s="42"/>
      <c r="H60" s="45"/>
      <c r="I60" s="44"/>
      <c r="J60" s="43"/>
      <c r="K60" s="44" t="s">
        <v>1167</v>
      </c>
      <c r="L60" s="14">
        <f t="shared" si="0"/>
        <v>1</v>
      </c>
      <c r="M60" s="14">
        <f>IF(OR(L60=0,T60&lt;&gt;"Sim"),0,INDEX(Processos!$X$10:$X$509,O60))</f>
        <v>1</v>
      </c>
      <c r="N60" s="40" t="str">
        <f t="shared" si="1"/>
        <v>Informe a data da revisão financeira</v>
      </c>
      <c r="O60" s="14">
        <f>IF(AND(A60&lt;&gt;"",ISTEXT(A60),COUNTIFS(Processos!$AS$10:$AS$509,"="&amp;SUBSTITUTE(SUBSTITUTE(SUBSTITUTE("P:"&amp;A60,"~","~~"),"*","~*"),"?","~?"))=1),(IF(ISNA(MATCH(SUBSTITUTE(SUBSTITUTE(SUBSTITUTE("P:"&amp;A60,"~","~~"),"*","~*"),"?","~?"),Processos!$AS$10:$AS$509,0)),9,INDEX(Processos!$AM$10:$AM$509,MATCH(SUBSTITUTE(SUBSTITUTE(SUBSTITUTE("P:"&amp;A60,"~","~~"),"*","~*"),"?","~?"),Processos!$AS$10:$AS$509,0)))-9),0)</f>
        <v>51</v>
      </c>
      <c r="P60" s="14" t="str">
        <f>IF(L60=0,"",INDEX(Processos!$D$10:$D$509,O60))</f>
        <v>BMM Advogados</v>
      </c>
      <c r="Q60" s="14">
        <f>IF(OR(L60=0,T60&lt;&gt;"Sim"),0,INDEX(Processos!$AL$10:$AL$509,O60))</f>
        <v>1</v>
      </c>
      <c r="R60" s="14">
        <f>ROW()</f>
        <v>60</v>
      </c>
      <c r="S60" s="14" t="str">
        <f t="shared" si="2"/>
        <v>P:0000273-60.2019.5.22.0103</v>
      </c>
      <c r="T60" s="27" t="s">
        <v>1113</v>
      </c>
      <c r="U60" s="28"/>
      <c r="V60" s="28"/>
      <c r="W60" s="28"/>
      <c r="X60" s="28"/>
      <c r="Y60" s="27"/>
      <c r="Z60" s="27"/>
      <c r="AA60" s="27"/>
      <c r="AB60" s="27"/>
    </row>
    <row r="61" spans="1:28" ht="42" customHeight="1">
      <c r="A61" s="41" t="s">
        <v>495</v>
      </c>
      <c r="B61" s="42">
        <v>65000</v>
      </c>
      <c r="C61" s="42">
        <v>66655.64</v>
      </c>
      <c r="D61" s="42"/>
      <c r="E61" s="42"/>
      <c r="F61" s="42"/>
      <c r="G61" s="42"/>
      <c r="H61" s="45"/>
      <c r="I61" s="44"/>
      <c r="J61" s="43"/>
      <c r="K61" s="44" t="s">
        <v>1168</v>
      </c>
      <c r="L61" s="14">
        <f t="shared" si="0"/>
        <v>1</v>
      </c>
      <c r="M61" s="14">
        <f>IF(OR(L61=0,T61&lt;&gt;"Sim"),0,INDEX(Processos!$X$10:$X$509,O61))</f>
        <v>1</v>
      </c>
      <c r="N61" s="40" t="str">
        <f t="shared" si="1"/>
        <v>Informe a data da revisão financeira</v>
      </c>
      <c r="O61" s="14">
        <f>IF(AND(A61&lt;&gt;"",ISTEXT(A61),COUNTIFS(Processos!$AS$10:$AS$509,"="&amp;SUBSTITUTE(SUBSTITUTE(SUBSTITUTE("P:"&amp;A61,"~","~~"),"*","~*"),"?","~?"))=1),(IF(ISNA(MATCH(SUBSTITUTE(SUBSTITUTE(SUBSTITUTE("P:"&amp;A61,"~","~~"),"*","~*"),"?","~?"),Processos!$AS$10:$AS$509,0)),9,INDEX(Processos!$AM$10:$AM$509,MATCH(SUBSTITUTE(SUBSTITUTE(SUBSTITUTE("P:"&amp;A61,"~","~~"),"*","~*"),"?","~?"),Processos!$AS$10:$AS$509,0)))-9),0)</f>
        <v>52</v>
      </c>
      <c r="P61" s="14" t="str">
        <f>IF(L61=0,"",INDEX(Processos!$D$10:$D$509,O61))</f>
        <v>BMM Advogados</v>
      </c>
      <c r="Q61" s="14">
        <f>IF(OR(L61=0,T61&lt;&gt;"Sim"),0,INDEX(Processos!$AL$10:$AL$509,O61))</f>
        <v>1</v>
      </c>
      <c r="R61" s="14">
        <f>ROW()</f>
        <v>61</v>
      </c>
      <c r="S61" s="14" t="str">
        <f t="shared" si="2"/>
        <v>P:0000743-86.2019.5.05.0581</v>
      </c>
      <c r="T61" s="27" t="s">
        <v>1113</v>
      </c>
      <c r="U61" s="28"/>
      <c r="V61" s="28"/>
      <c r="W61" s="28"/>
      <c r="X61" s="28"/>
      <c r="Y61" s="27"/>
      <c r="Z61" s="27"/>
      <c r="AA61" s="27"/>
      <c r="AB61" s="27"/>
    </row>
    <row r="62" spans="1:28" ht="42" customHeight="1">
      <c r="A62" s="41" t="s">
        <v>500</v>
      </c>
      <c r="B62" s="42">
        <v>32384.49</v>
      </c>
      <c r="C62" s="42">
        <v>55065.86</v>
      </c>
      <c r="D62" s="42"/>
      <c r="E62" s="42"/>
      <c r="F62" s="42"/>
      <c r="G62" s="42"/>
      <c r="H62" s="45"/>
      <c r="I62" s="44"/>
      <c r="J62" s="43"/>
      <c r="K62" s="44" t="s">
        <v>1169</v>
      </c>
      <c r="L62" s="14">
        <f t="shared" si="0"/>
        <v>1</v>
      </c>
      <c r="M62" s="14">
        <f>IF(OR(L62=0,T62&lt;&gt;"Sim"),0,INDEX(Processos!$X$10:$X$509,O62))</f>
        <v>1</v>
      </c>
      <c r="N62" s="40" t="str">
        <f t="shared" si="1"/>
        <v>Informe a data da revisão financeira</v>
      </c>
      <c r="O62" s="14">
        <f>IF(AND(A62&lt;&gt;"",ISTEXT(A62),COUNTIFS(Processos!$AS$10:$AS$509,"="&amp;SUBSTITUTE(SUBSTITUTE(SUBSTITUTE("P:"&amp;A62,"~","~~"),"*","~*"),"?","~?"))=1),(IF(ISNA(MATCH(SUBSTITUTE(SUBSTITUTE(SUBSTITUTE("P:"&amp;A62,"~","~~"),"*","~*"),"?","~?"),Processos!$AS$10:$AS$509,0)),9,INDEX(Processos!$AM$10:$AM$509,MATCH(SUBSTITUTE(SUBSTITUTE(SUBSTITUTE("P:"&amp;A62,"~","~~"),"*","~*"),"?","~?"),Processos!$AS$10:$AS$509,0)))-9),0)</f>
        <v>53</v>
      </c>
      <c r="P62" s="14" t="str">
        <f>IF(L62=0,"",INDEX(Processos!$D$10:$D$509,O62))</f>
        <v>BMM Advogados</v>
      </c>
      <c r="Q62" s="14">
        <f>IF(OR(L62=0,T62&lt;&gt;"Sim"),0,INDEX(Processos!$AL$10:$AL$509,O62))</f>
        <v>1</v>
      </c>
      <c r="R62" s="14">
        <f>ROW()</f>
        <v>62</v>
      </c>
      <c r="S62" s="14" t="str">
        <f t="shared" si="2"/>
        <v>P:0010451-80.2022.5.18.0101</v>
      </c>
      <c r="T62" s="27" t="s">
        <v>1113</v>
      </c>
      <c r="U62" s="28"/>
      <c r="V62" s="28"/>
      <c r="W62" s="28"/>
      <c r="X62" s="28"/>
      <c r="Y62" s="27"/>
      <c r="Z62" s="27"/>
      <c r="AA62" s="27"/>
      <c r="AB62" s="27"/>
    </row>
    <row r="63" spans="1:28" ht="42" customHeight="1">
      <c r="A63" s="41" t="s">
        <v>507</v>
      </c>
      <c r="B63" s="42"/>
      <c r="C63" s="42">
        <v>139191.76999999999</v>
      </c>
      <c r="D63" s="42"/>
      <c r="E63" s="42"/>
      <c r="F63" s="42"/>
      <c r="G63" s="42"/>
      <c r="H63" s="45"/>
      <c r="I63" s="44"/>
      <c r="J63" s="43"/>
      <c r="K63" s="44" t="s">
        <v>1170</v>
      </c>
      <c r="L63" s="14">
        <f t="shared" si="0"/>
        <v>1</v>
      </c>
      <c r="M63" s="14">
        <f>IF(OR(L63=0,T63&lt;&gt;"Sim"),0,INDEX(Processos!$X$10:$X$509,O63))</f>
        <v>1</v>
      </c>
      <c r="N63" s="40" t="str">
        <f t="shared" si="1"/>
        <v>Informe a data da revisão financeira</v>
      </c>
      <c r="O63" s="14">
        <f>IF(AND(A63&lt;&gt;"",ISTEXT(A63),COUNTIFS(Processos!$AS$10:$AS$509,"="&amp;SUBSTITUTE(SUBSTITUTE(SUBSTITUTE("P:"&amp;A63,"~","~~"),"*","~*"),"?","~?"))=1),(IF(ISNA(MATCH(SUBSTITUTE(SUBSTITUTE(SUBSTITUTE("P:"&amp;A63,"~","~~"),"*","~*"),"?","~?"),Processos!$AS$10:$AS$509,0)),9,INDEX(Processos!$AM$10:$AM$509,MATCH(SUBSTITUTE(SUBSTITUTE(SUBSTITUTE("P:"&amp;A63,"~","~~"),"*","~*"),"?","~?"),Processos!$AS$10:$AS$509,0)))-9),0)</f>
        <v>54</v>
      </c>
      <c r="P63" s="14" t="str">
        <f>IF(L63=0,"",INDEX(Processos!$D$10:$D$509,O63))</f>
        <v>BMM Advogados</v>
      </c>
      <c r="Q63" s="14">
        <f>IF(OR(L63=0,T63&lt;&gt;"Sim"),0,INDEX(Processos!$AL$10:$AL$509,O63))</f>
        <v>1</v>
      </c>
      <c r="R63" s="14">
        <f>ROW()</f>
        <v>63</v>
      </c>
      <c r="S63" s="14" t="str">
        <f t="shared" si="2"/>
        <v>P:0010450-95.2022.5.18.0101</v>
      </c>
      <c r="T63" s="27" t="s">
        <v>1113</v>
      </c>
      <c r="U63" s="28"/>
      <c r="V63" s="28"/>
      <c r="W63" s="28"/>
      <c r="X63" s="28"/>
      <c r="Y63" s="27"/>
      <c r="Z63" s="27"/>
      <c r="AA63" s="27"/>
      <c r="AB63" s="27"/>
    </row>
    <row r="64" spans="1:28" ht="42" customHeight="1">
      <c r="A64" s="41" t="s">
        <v>513</v>
      </c>
      <c r="B64" s="42">
        <v>18421.18</v>
      </c>
      <c r="C64" s="42">
        <v>8806.6200000000008</v>
      </c>
      <c r="D64" s="42"/>
      <c r="E64" s="42"/>
      <c r="F64" s="42"/>
      <c r="G64" s="42"/>
      <c r="H64" s="45"/>
      <c r="I64" s="44"/>
      <c r="J64" s="43"/>
      <c r="K64" s="44" t="s">
        <v>1171</v>
      </c>
      <c r="L64" s="14">
        <f t="shared" si="0"/>
        <v>1</v>
      </c>
      <c r="M64" s="14">
        <f>IF(OR(L64=0,T64&lt;&gt;"Sim"),0,INDEX(Processos!$X$10:$X$509,O64))</f>
        <v>1</v>
      </c>
      <c r="N64" s="40" t="str">
        <f t="shared" si="1"/>
        <v>Informe a data da revisão financeira</v>
      </c>
      <c r="O64" s="14">
        <f>IF(AND(A64&lt;&gt;"",ISTEXT(A64),COUNTIFS(Processos!$AS$10:$AS$509,"="&amp;SUBSTITUTE(SUBSTITUTE(SUBSTITUTE("P:"&amp;A64,"~","~~"),"*","~*"),"?","~?"))=1),(IF(ISNA(MATCH(SUBSTITUTE(SUBSTITUTE(SUBSTITUTE("P:"&amp;A64,"~","~~"),"*","~*"),"?","~?"),Processos!$AS$10:$AS$509,0)),9,INDEX(Processos!$AM$10:$AM$509,MATCH(SUBSTITUTE(SUBSTITUTE(SUBSTITUTE("P:"&amp;A64,"~","~~"),"*","~*"),"?","~?"),Processos!$AS$10:$AS$509,0)))-9),0)</f>
        <v>55</v>
      </c>
      <c r="P64" s="14" t="str">
        <f>IF(L64=0,"",INDEX(Processos!$D$10:$D$509,O64))</f>
        <v>BMM Advogados</v>
      </c>
      <c r="Q64" s="14">
        <f>IF(OR(L64=0,T64&lt;&gt;"Sim"),0,INDEX(Processos!$AL$10:$AL$509,O64))</f>
        <v>1</v>
      </c>
      <c r="R64" s="14">
        <f>ROW()</f>
        <v>64</v>
      </c>
      <c r="S64" s="14" t="str">
        <f t="shared" si="2"/>
        <v>P:0010076-73.2022.5.18.0103</v>
      </c>
      <c r="T64" s="27" t="s">
        <v>1113</v>
      </c>
      <c r="U64" s="28"/>
      <c r="V64" s="28"/>
      <c r="W64" s="28"/>
      <c r="X64" s="28"/>
      <c r="Y64" s="27"/>
      <c r="Z64" s="27"/>
      <c r="AA64" s="27"/>
      <c r="AB64" s="27"/>
    </row>
    <row r="65" spans="1:28" ht="42" customHeight="1">
      <c r="A65" s="41" t="s">
        <v>520</v>
      </c>
      <c r="B65" s="42">
        <v>32021.55</v>
      </c>
      <c r="C65" s="42">
        <v>38153.980000000003</v>
      </c>
      <c r="D65" s="42"/>
      <c r="E65" s="42"/>
      <c r="F65" s="42"/>
      <c r="G65" s="42"/>
      <c r="H65" s="45"/>
      <c r="I65" s="44"/>
      <c r="J65" s="43"/>
      <c r="K65" s="44" t="s">
        <v>1172</v>
      </c>
      <c r="L65" s="14">
        <f t="shared" si="0"/>
        <v>1</v>
      </c>
      <c r="M65" s="14">
        <f>IF(OR(L65=0,T65&lt;&gt;"Sim"),0,INDEX(Processos!$X$10:$X$509,O65))</f>
        <v>1</v>
      </c>
      <c r="N65" s="40" t="str">
        <f t="shared" si="1"/>
        <v>Informe a data da revisão financeira</v>
      </c>
      <c r="O65" s="14">
        <f>IF(AND(A65&lt;&gt;"",ISTEXT(A65),COUNTIFS(Processos!$AS$10:$AS$509,"="&amp;SUBSTITUTE(SUBSTITUTE(SUBSTITUTE("P:"&amp;A65,"~","~~"),"*","~*"),"?","~?"))=1),(IF(ISNA(MATCH(SUBSTITUTE(SUBSTITUTE(SUBSTITUTE("P:"&amp;A65,"~","~~"),"*","~*"),"?","~?"),Processos!$AS$10:$AS$509,0)),9,INDEX(Processos!$AM$10:$AM$509,MATCH(SUBSTITUTE(SUBSTITUTE(SUBSTITUTE("P:"&amp;A65,"~","~~"),"*","~*"),"?","~?"),Processos!$AS$10:$AS$509,0)))-9),0)</f>
        <v>56</v>
      </c>
      <c r="P65" s="14" t="str">
        <f>IF(L65=0,"",INDEX(Processos!$D$10:$D$509,O65))</f>
        <v>BMM Advogados</v>
      </c>
      <c r="Q65" s="14">
        <f>IF(OR(L65=0,T65&lt;&gt;"Sim"),0,INDEX(Processos!$AL$10:$AL$509,O65))</f>
        <v>1</v>
      </c>
      <c r="R65" s="14">
        <f>ROW()</f>
        <v>65</v>
      </c>
      <c r="S65" s="14" t="str">
        <f t="shared" si="2"/>
        <v>P:0010751-67.2021.5.18.0104</v>
      </c>
      <c r="T65" s="27" t="s">
        <v>1113</v>
      </c>
      <c r="U65" s="28"/>
      <c r="V65" s="28"/>
      <c r="W65" s="28"/>
      <c r="X65" s="28"/>
      <c r="Y65" s="27"/>
      <c r="Z65" s="27"/>
      <c r="AA65" s="27"/>
      <c r="AB65" s="27"/>
    </row>
    <row r="66" spans="1:28" ht="42" customHeight="1">
      <c r="A66" s="41" t="s">
        <v>526</v>
      </c>
      <c r="B66" s="42">
        <v>38850.050000000003</v>
      </c>
      <c r="C66" s="42">
        <v>32320.18</v>
      </c>
      <c r="D66" s="42"/>
      <c r="E66" s="42"/>
      <c r="F66" s="42"/>
      <c r="G66" s="42"/>
      <c r="H66" s="45"/>
      <c r="I66" s="44"/>
      <c r="J66" s="43"/>
      <c r="K66" s="44" t="s">
        <v>1173</v>
      </c>
      <c r="L66" s="14">
        <f t="shared" si="0"/>
        <v>1</v>
      </c>
      <c r="M66" s="14">
        <f>IF(OR(L66=0,T66&lt;&gt;"Sim"),0,INDEX(Processos!$X$10:$X$509,O66))</f>
        <v>1</v>
      </c>
      <c r="N66" s="40" t="str">
        <f t="shared" si="1"/>
        <v>Informe a data da revisão financeira</v>
      </c>
      <c r="O66" s="14">
        <f>IF(AND(A66&lt;&gt;"",ISTEXT(A66),COUNTIFS(Processos!$AS$10:$AS$509,"="&amp;SUBSTITUTE(SUBSTITUTE(SUBSTITUTE("P:"&amp;A66,"~","~~"),"*","~*"),"?","~?"))=1),(IF(ISNA(MATCH(SUBSTITUTE(SUBSTITUTE(SUBSTITUTE("P:"&amp;A66,"~","~~"),"*","~*"),"?","~?"),Processos!$AS$10:$AS$509,0)),9,INDEX(Processos!$AM$10:$AM$509,MATCH(SUBSTITUTE(SUBSTITUTE(SUBSTITUTE("P:"&amp;A66,"~","~~"),"*","~*"),"?","~?"),Processos!$AS$10:$AS$509,0)))-9),0)</f>
        <v>57</v>
      </c>
      <c r="P66" s="14" t="str">
        <f>IF(L66=0,"",INDEX(Processos!$D$10:$D$509,O66))</f>
        <v>BMM Advogados</v>
      </c>
      <c r="Q66" s="14">
        <f>IF(OR(L66=0,T66&lt;&gt;"Sim"),0,INDEX(Processos!$AL$10:$AL$509,O66))</f>
        <v>1</v>
      </c>
      <c r="R66" s="14">
        <f>ROW()</f>
        <v>66</v>
      </c>
      <c r="S66" s="14" t="str">
        <f t="shared" si="2"/>
        <v>P:0010733-31.2019.5.03.0105</v>
      </c>
      <c r="T66" s="27" t="s">
        <v>1113</v>
      </c>
      <c r="U66" s="28"/>
      <c r="V66" s="28"/>
      <c r="W66" s="28"/>
      <c r="X66" s="28"/>
      <c r="Y66" s="27"/>
      <c r="Z66" s="27"/>
      <c r="AA66" s="27"/>
      <c r="AB66" s="27"/>
    </row>
    <row r="67" spans="1:28" ht="42" customHeight="1">
      <c r="A67" s="41" t="s">
        <v>532</v>
      </c>
      <c r="B67" s="42">
        <v>29289.47</v>
      </c>
      <c r="C67" s="42">
        <v>39654.31</v>
      </c>
      <c r="D67" s="42"/>
      <c r="E67" s="42"/>
      <c r="F67" s="42"/>
      <c r="G67" s="42"/>
      <c r="H67" s="45"/>
      <c r="I67" s="44"/>
      <c r="J67" s="43"/>
      <c r="K67" s="44" t="s">
        <v>1174</v>
      </c>
      <c r="L67" s="14">
        <f t="shared" si="0"/>
        <v>1</v>
      </c>
      <c r="M67" s="14">
        <f>IF(OR(L67=0,T67&lt;&gt;"Sim"),0,INDEX(Processos!$X$10:$X$509,O67))</f>
        <v>1</v>
      </c>
      <c r="N67" s="40" t="str">
        <f t="shared" si="1"/>
        <v>Informe a data da revisão financeira</v>
      </c>
      <c r="O67" s="14">
        <f>IF(AND(A67&lt;&gt;"",ISTEXT(A67),COUNTIFS(Processos!$AS$10:$AS$509,"="&amp;SUBSTITUTE(SUBSTITUTE(SUBSTITUTE("P:"&amp;A67,"~","~~"),"*","~*"),"?","~?"))=1),(IF(ISNA(MATCH(SUBSTITUTE(SUBSTITUTE(SUBSTITUTE("P:"&amp;A67,"~","~~"),"*","~*"),"?","~?"),Processos!$AS$10:$AS$509,0)),9,INDEX(Processos!$AM$10:$AM$509,MATCH(SUBSTITUTE(SUBSTITUTE(SUBSTITUTE("P:"&amp;A67,"~","~~"),"*","~*"),"?","~?"),Processos!$AS$10:$AS$509,0)))-9),0)</f>
        <v>58</v>
      </c>
      <c r="P67" s="14" t="str">
        <f>IF(L67=0,"",INDEX(Processos!$D$10:$D$509,O67))</f>
        <v>BMM Advogados</v>
      </c>
      <c r="Q67" s="14">
        <f>IF(OR(L67=0,T67&lt;&gt;"Sim"),0,INDEX(Processos!$AL$10:$AL$509,O67))</f>
        <v>1</v>
      </c>
      <c r="R67" s="14">
        <f>ROW()</f>
        <v>67</v>
      </c>
      <c r="S67" s="14" t="str">
        <f t="shared" si="2"/>
        <v>P:0010751-72.2018.5.18.0104</v>
      </c>
      <c r="T67" s="27" t="s">
        <v>1113</v>
      </c>
      <c r="U67" s="28"/>
      <c r="V67" s="28"/>
      <c r="W67" s="28"/>
      <c r="X67" s="28"/>
      <c r="Y67" s="27"/>
      <c r="Z67" s="27" t="s">
        <v>1149</v>
      </c>
      <c r="AA67" s="27"/>
      <c r="AB67" s="27"/>
    </row>
    <row r="68" spans="1:28" ht="42" customHeight="1">
      <c r="A68" s="41" t="s">
        <v>538</v>
      </c>
      <c r="B68" s="42">
        <v>261849.65</v>
      </c>
      <c r="C68" s="42">
        <v>14378.33</v>
      </c>
      <c r="D68" s="42"/>
      <c r="E68" s="42"/>
      <c r="F68" s="42"/>
      <c r="G68" s="42"/>
      <c r="H68" s="45"/>
      <c r="I68" s="44"/>
      <c r="J68" s="43"/>
      <c r="K68" s="44" t="s">
        <v>1175</v>
      </c>
      <c r="L68" s="14">
        <f t="shared" si="0"/>
        <v>1</v>
      </c>
      <c r="M68" s="14">
        <f>IF(OR(L68=0,T68&lt;&gt;"Sim"),0,INDEX(Processos!$X$10:$X$509,O68))</f>
        <v>0</v>
      </c>
      <c r="N68" s="40" t="str">
        <f t="shared" si="1"/>
        <v>Informe a data da revisão financeira</v>
      </c>
      <c r="O68" s="14">
        <f>IF(AND(A68&lt;&gt;"",ISTEXT(A68),COUNTIFS(Processos!$AS$10:$AS$509,"="&amp;SUBSTITUTE(SUBSTITUTE(SUBSTITUTE("P:"&amp;A68,"~","~~"),"*","~*"),"?","~?"))=1),(IF(ISNA(MATCH(SUBSTITUTE(SUBSTITUTE(SUBSTITUTE("P:"&amp;A68,"~","~~"),"*","~*"),"?","~?"),Processos!$AS$10:$AS$509,0)),9,INDEX(Processos!$AM$10:$AM$509,MATCH(SUBSTITUTE(SUBSTITUTE(SUBSTITUTE("P:"&amp;A68,"~","~~"),"*","~*"),"?","~?"),Processos!$AS$10:$AS$509,0)))-9),0)</f>
        <v>59</v>
      </c>
      <c r="P68" s="14" t="str">
        <f>IF(L68=0,"",INDEX(Processos!$D$10:$D$509,O68))</f>
        <v>BMM Advogados</v>
      </c>
      <c r="Q68" s="14">
        <f>IF(OR(L68=0,T68&lt;&gt;"Sim"),0,INDEX(Processos!$AL$10:$AL$509,O68))</f>
        <v>0</v>
      </c>
      <c r="R68" s="14">
        <f>ROW()</f>
        <v>68</v>
      </c>
      <c r="S68" s="14" t="str">
        <f t="shared" si="2"/>
        <v>P:0010251-67.2022.5.18.0103 [BMM-059]</v>
      </c>
      <c r="T68" s="27" t="s">
        <v>1117</v>
      </c>
      <c r="U68" s="28"/>
      <c r="V68" s="28"/>
      <c r="W68" s="28"/>
      <c r="X68" s="28"/>
      <c r="Y68" s="27"/>
      <c r="Z68" s="27"/>
      <c r="AA68" s="27"/>
      <c r="AB68" s="27"/>
    </row>
    <row r="69" spans="1:28" ht="42" customHeight="1">
      <c r="A69" s="41" t="s">
        <v>545</v>
      </c>
      <c r="B69" s="42">
        <v>13113.48</v>
      </c>
      <c r="C69" s="42">
        <v>13113.48</v>
      </c>
      <c r="D69" s="42"/>
      <c r="E69" s="42"/>
      <c r="F69" s="42"/>
      <c r="G69" s="42"/>
      <c r="H69" s="45"/>
      <c r="I69" s="44"/>
      <c r="J69" s="43"/>
      <c r="K69" s="44" t="s">
        <v>1176</v>
      </c>
      <c r="L69" s="14">
        <f t="shared" si="0"/>
        <v>1</v>
      </c>
      <c r="M69" s="14">
        <f>IF(OR(L69=0,T69&lt;&gt;"Sim"),0,INDEX(Processos!$X$10:$X$509,O69))</f>
        <v>1</v>
      </c>
      <c r="N69" s="40" t="str">
        <f t="shared" si="1"/>
        <v>Informe a data da revisão financeira</v>
      </c>
      <c r="O69" s="14">
        <f>IF(AND(A69&lt;&gt;"",ISTEXT(A69),COUNTIFS(Processos!$AS$10:$AS$509,"="&amp;SUBSTITUTE(SUBSTITUTE(SUBSTITUTE("P:"&amp;A69,"~","~~"),"*","~*"),"?","~?"))=1),(IF(ISNA(MATCH(SUBSTITUTE(SUBSTITUTE(SUBSTITUTE("P:"&amp;A69,"~","~~"),"*","~*"),"?","~?"),Processos!$AS$10:$AS$509,0)),9,INDEX(Processos!$AM$10:$AM$509,MATCH(SUBSTITUTE(SUBSTITUTE(SUBSTITUTE("P:"&amp;A69,"~","~~"),"*","~*"),"?","~?"),Processos!$AS$10:$AS$509,0)))-9),0)</f>
        <v>60</v>
      </c>
      <c r="P69" s="14" t="str">
        <f>IF(L69=0,"",INDEX(Processos!$D$10:$D$509,O69))</f>
        <v>BMM Advogados</v>
      </c>
      <c r="Q69" s="14">
        <f>IF(OR(L69=0,T69&lt;&gt;"Sim"),0,INDEX(Processos!$AL$10:$AL$509,O69))</f>
        <v>1</v>
      </c>
      <c r="R69" s="14">
        <f>ROW()</f>
        <v>69</v>
      </c>
      <c r="S69" s="14" t="str">
        <f t="shared" si="2"/>
        <v>P:5540289-89.2025.8.09.0045</v>
      </c>
      <c r="T69" s="27" t="s">
        <v>1113</v>
      </c>
      <c r="U69" s="28"/>
      <c r="V69" s="28"/>
      <c r="W69" s="28"/>
      <c r="X69" s="28"/>
      <c r="Y69" s="27"/>
      <c r="Z69" s="27" t="s">
        <v>1129</v>
      </c>
      <c r="AA69" s="27"/>
      <c r="AB69" s="27"/>
    </row>
    <row r="70" spans="1:28" ht="42" customHeight="1">
      <c r="A70" s="41" t="s">
        <v>551</v>
      </c>
      <c r="B70" s="42">
        <v>80298.47</v>
      </c>
      <c r="C70" s="42">
        <v>56288.38</v>
      </c>
      <c r="D70" s="42"/>
      <c r="E70" s="42"/>
      <c r="F70" s="42"/>
      <c r="G70" s="42"/>
      <c r="H70" s="45"/>
      <c r="I70" s="44"/>
      <c r="J70" s="43"/>
      <c r="K70" s="44" t="s">
        <v>1177</v>
      </c>
      <c r="L70" s="14">
        <f t="shared" si="0"/>
        <v>1</v>
      </c>
      <c r="M70" s="14">
        <f>IF(OR(L70=0,T70&lt;&gt;"Sim"),0,INDEX(Processos!$X$10:$X$509,O70))</f>
        <v>1</v>
      </c>
      <c r="N70" s="40" t="str">
        <f t="shared" si="1"/>
        <v>Informe a data da revisão financeira</v>
      </c>
      <c r="O70" s="14">
        <f>IF(AND(A70&lt;&gt;"",ISTEXT(A70),COUNTIFS(Processos!$AS$10:$AS$509,"="&amp;SUBSTITUTE(SUBSTITUTE(SUBSTITUTE("P:"&amp;A70,"~","~~"),"*","~*"),"?","~?"))=1),(IF(ISNA(MATCH(SUBSTITUTE(SUBSTITUTE(SUBSTITUTE("P:"&amp;A70,"~","~~"),"*","~*"),"?","~?"),Processos!$AS$10:$AS$509,0)),9,INDEX(Processos!$AM$10:$AM$509,MATCH(SUBSTITUTE(SUBSTITUTE(SUBSTITUTE("P:"&amp;A70,"~","~~"),"*","~*"),"?","~?"),Processos!$AS$10:$AS$509,0)))-9),0)</f>
        <v>61</v>
      </c>
      <c r="P70" s="14" t="str">
        <f>IF(L70=0,"",INDEX(Processos!$D$10:$D$509,O70))</f>
        <v>BMM Advogados</v>
      </c>
      <c r="Q70" s="14">
        <f>IF(OR(L70=0,T70&lt;&gt;"Sim"),0,INDEX(Processos!$AL$10:$AL$509,O70))</f>
        <v>1</v>
      </c>
      <c r="R70" s="14">
        <f>ROW()</f>
        <v>70</v>
      </c>
      <c r="S70" s="14" t="str">
        <f t="shared" si="2"/>
        <v>P:0010552-28.2019.5.03.0138</v>
      </c>
      <c r="T70" s="27" t="s">
        <v>1113</v>
      </c>
      <c r="U70" s="28"/>
      <c r="V70" s="28"/>
      <c r="W70" s="28"/>
      <c r="X70" s="28"/>
      <c r="Y70" s="27"/>
      <c r="Z70" s="27" t="s">
        <v>1149</v>
      </c>
      <c r="AA70" s="27"/>
      <c r="AB70" s="27"/>
    </row>
    <row r="71" spans="1:28" ht="42" customHeight="1">
      <c r="A71" s="41" t="s">
        <v>558</v>
      </c>
      <c r="B71" s="42">
        <v>293379.51</v>
      </c>
      <c r="C71" s="42"/>
      <c r="D71" s="42"/>
      <c r="E71" s="42"/>
      <c r="F71" s="42"/>
      <c r="G71" s="42"/>
      <c r="H71" s="45"/>
      <c r="I71" s="44"/>
      <c r="J71" s="43"/>
      <c r="K71" s="44" t="s">
        <v>1178</v>
      </c>
      <c r="L71" s="14">
        <f t="shared" si="0"/>
        <v>1</v>
      </c>
      <c r="M71" s="14">
        <f>IF(OR(L71=0,T71&lt;&gt;"Sim"),0,INDEX(Processos!$X$10:$X$509,O71))</f>
        <v>1</v>
      </c>
      <c r="N71" s="40" t="str">
        <f t="shared" si="1"/>
        <v>Informe a data da revisão financeira</v>
      </c>
      <c r="O71" s="14">
        <f>IF(AND(A71&lt;&gt;"",ISTEXT(A71),COUNTIFS(Processos!$AS$10:$AS$509,"="&amp;SUBSTITUTE(SUBSTITUTE(SUBSTITUTE("P:"&amp;A71,"~","~~"),"*","~*"),"?","~?"))=1),(IF(ISNA(MATCH(SUBSTITUTE(SUBSTITUTE(SUBSTITUTE("P:"&amp;A71,"~","~~"),"*","~*"),"?","~?"),Processos!$AS$10:$AS$509,0)),9,INDEX(Processos!$AM$10:$AM$509,MATCH(SUBSTITUTE(SUBSTITUTE(SUBSTITUTE("P:"&amp;A71,"~","~~"),"*","~*"),"?","~?"),Processos!$AS$10:$AS$509,0)))-9),0)</f>
        <v>62</v>
      </c>
      <c r="P71" s="14" t="str">
        <f>IF(L71=0,"",INDEX(Processos!$D$10:$D$509,O71))</f>
        <v>BMM Advogados</v>
      </c>
      <c r="Q71" s="14">
        <f>IF(OR(L71=0,T71&lt;&gt;"Sim"),0,INDEX(Processos!$AL$10:$AL$509,O71))</f>
        <v>1</v>
      </c>
      <c r="R71" s="14">
        <f>ROW()</f>
        <v>71</v>
      </c>
      <c r="S71" s="14" t="str">
        <f t="shared" si="2"/>
        <v>P:5158368-83.2018.8.13.0024</v>
      </c>
      <c r="T71" s="27" t="s">
        <v>1113</v>
      </c>
      <c r="U71" s="28"/>
      <c r="V71" s="28"/>
      <c r="W71" s="28"/>
      <c r="X71" s="28"/>
      <c r="Y71" s="27"/>
      <c r="Z71" s="27"/>
      <c r="AA71" s="27"/>
      <c r="AB71" s="27"/>
    </row>
    <row r="72" spans="1:28" ht="42" customHeight="1">
      <c r="A72" s="41" t="s">
        <v>564</v>
      </c>
      <c r="B72" s="42">
        <v>58038.42</v>
      </c>
      <c r="C72" s="42">
        <v>58967.42</v>
      </c>
      <c r="D72" s="42"/>
      <c r="E72" s="42"/>
      <c r="F72" s="42"/>
      <c r="G72" s="42"/>
      <c r="H72" s="45"/>
      <c r="I72" s="44"/>
      <c r="J72" s="43"/>
      <c r="K72" s="44" t="s">
        <v>1179</v>
      </c>
      <c r="L72" s="14">
        <f t="shared" si="0"/>
        <v>1</v>
      </c>
      <c r="M72" s="14">
        <f>IF(OR(L72=0,T72&lt;&gt;"Sim"),0,INDEX(Processos!$X$10:$X$509,O72))</f>
        <v>1</v>
      </c>
      <c r="N72" s="40" t="str">
        <f t="shared" si="1"/>
        <v>Informe a data da revisão financeira</v>
      </c>
      <c r="O72" s="14">
        <f>IF(AND(A72&lt;&gt;"",ISTEXT(A72),COUNTIFS(Processos!$AS$10:$AS$509,"="&amp;SUBSTITUTE(SUBSTITUTE(SUBSTITUTE("P:"&amp;A72,"~","~~"),"*","~*"),"?","~?"))=1),(IF(ISNA(MATCH(SUBSTITUTE(SUBSTITUTE(SUBSTITUTE("P:"&amp;A72,"~","~~"),"*","~*"),"?","~?"),Processos!$AS$10:$AS$509,0)),9,INDEX(Processos!$AM$10:$AM$509,MATCH(SUBSTITUTE(SUBSTITUTE(SUBSTITUTE("P:"&amp;A72,"~","~~"),"*","~*"),"?","~?"),Processos!$AS$10:$AS$509,0)))-9),0)</f>
        <v>63</v>
      </c>
      <c r="P72" s="14" t="str">
        <f>IF(L72=0,"",INDEX(Processos!$D$10:$D$509,O72))</f>
        <v>BMM Advogados</v>
      </c>
      <c r="Q72" s="14">
        <f>IF(OR(L72=0,T72&lt;&gt;"Sim"),0,INDEX(Processos!$AL$10:$AL$509,O72))</f>
        <v>1</v>
      </c>
      <c r="R72" s="14">
        <f>ROW()</f>
        <v>72</v>
      </c>
      <c r="S72" s="14" t="str">
        <f t="shared" si="2"/>
        <v>P:0010471-11.2021.5.03.0138</v>
      </c>
      <c r="T72" s="27" t="s">
        <v>1113</v>
      </c>
      <c r="U72" s="28"/>
      <c r="V72" s="28"/>
      <c r="W72" s="28"/>
      <c r="X72" s="28"/>
      <c r="Y72" s="27"/>
      <c r="Z72" s="27" t="s">
        <v>1149</v>
      </c>
      <c r="AA72" s="27"/>
      <c r="AB72" s="27"/>
    </row>
    <row r="73" spans="1:28" ht="42" customHeight="1">
      <c r="A73" s="41" t="s">
        <v>569</v>
      </c>
      <c r="B73" s="42"/>
      <c r="C73" s="42"/>
      <c r="D73" s="42"/>
      <c r="E73" s="42"/>
      <c r="F73" s="42"/>
      <c r="G73" s="42"/>
      <c r="H73" s="45"/>
      <c r="I73" s="44"/>
      <c r="J73" s="43"/>
      <c r="K73" s="44" t="s">
        <v>1180</v>
      </c>
      <c r="L73" s="14">
        <f t="shared" si="0"/>
        <v>1</v>
      </c>
      <c r="M73" s="14">
        <f>IF(OR(L73=0,T73&lt;&gt;"Sim"),0,INDEX(Processos!$X$10:$X$509,O73))</f>
        <v>0</v>
      </c>
      <c r="N73" s="40" t="str">
        <f t="shared" si="1"/>
        <v/>
      </c>
      <c r="O73" s="14">
        <f>IF(AND(A73&lt;&gt;"",ISTEXT(A73),COUNTIFS(Processos!$AS$10:$AS$509,"="&amp;SUBSTITUTE(SUBSTITUTE(SUBSTITUTE("P:"&amp;A73,"~","~~"),"*","~*"),"?","~?"))=1),(IF(ISNA(MATCH(SUBSTITUTE(SUBSTITUTE(SUBSTITUTE("P:"&amp;A73,"~","~~"),"*","~*"),"?","~?"),Processos!$AS$10:$AS$509,0)),9,INDEX(Processos!$AM$10:$AM$509,MATCH(SUBSTITUTE(SUBSTITUTE(SUBSTITUTE("P:"&amp;A73,"~","~~"),"*","~*"),"?","~?"),Processos!$AS$10:$AS$509,0)))-9),0)</f>
        <v>64</v>
      </c>
      <c r="P73" s="14" t="str">
        <f>IF(L73=0,"",INDEX(Processos!$D$10:$D$509,O73))</f>
        <v>BMM Advogados</v>
      </c>
      <c r="Q73" s="14">
        <f>IF(OR(L73=0,T73&lt;&gt;"Sim"),0,INDEX(Processos!$AL$10:$AL$509,O73))</f>
        <v>0</v>
      </c>
      <c r="R73" s="14">
        <f>ROW()</f>
        <v>73</v>
      </c>
      <c r="S73" s="14" t="str">
        <f t="shared" si="2"/>
        <v>P:0010251-67.2022.5.18.0103 [BMM-064]</v>
      </c>
      <c r="T73" s="27" t="s">
        <v>1117</v>
      </c>
      <c r="U73" s="28"/>
      <c r="V73" s="28"/>
      <c r="W73" s="28"/>
      <c r="X73" s="28"/>
      <c r="Y73" s="27"/>
      <c r="Z73" s="27"/>
      <c r="AA73" s="27"/>
      <c r="AB73" s="27"/>
    </row>
    <row r="74" spans="1:28" ht="42" customHeight="1">
      <c r="A74" s="41" t="s">
        <v>574</v>
      </c>
      <c r="B74" s="42">
        <v>79000</v>
      </c>
      <c r="C74" s="42"/>
      <c r="D74" s="42"/>
      <c r="E74" s="42"/>
      <c r="F74" s="42"/>
      <c r="G74" s="42"/>
      <c r="H74" s="45"/>
      <c r="I74" s="44"/>
      <c r="J74" s="43"/>
      <c r="K74" s="44" t="s">
        <v>1181</v>
      </c>
      <c r="L74" s="14">
        <f t="shared" ref="L74:L137" si="3">IF(AND(A74&lt;&gt;"",ISTEXT(A74),O74&gt;0,COUNTIFS($S$10:$S$509,"="&amp;SUBSTITUTE(SUBSTITUTE(SUBSTITUTE("P:"&amp;A74,"~","~~"),"*","~*"),"?","~?"))=1),1,0)</f>
        <v>1</v>
      </c>
      <c r="M74" s="14">
        <f>IF(OR(L74=0,T74&lt;&gt;"Sim"),0,INDEX(Processos!$X$10:$X$509,O74))</f>
        <v>1</v>
      </c>
      <c r="N74" s="40" t="str">
        <f t="shared" ref="N74:N137" si="4">IF(COUNTA(A74:K74)=0,"",IF(A74="","Selecione o processo",IF(O74=0,"Processo inexistente, duplicado ou número não textual",IF(COUNTIFS($S$10:$S$509,"="&amp;SUBSTITUTE(SUBSTITUTE(SUBSTITUTE("P:"&amp;A74,"~","~~"),"*","~*"),"?","~?"))&gt;1,"Mantenha apenas uma linha de valores por processo",IF(COUNT(B74:G74)&lt;&gt;COUNTA(B74:G74),"Use números nos campos financeiros",IF(MIN(B74:G74)&lt;0,"Revise os valores negativos",IF(AND(H74&lt;&gt;"",OR(NOT(ISNUMBER(H74)),H74&lt;0,H74&gt;1)),"Probabilidade deve estar entre 0% e 100%",IF(AND(J74&lt;&gt;"",OR(NOT(ISNUMBER(J74)),J74&lt;1,J74&gt;100000)),"Revise a data da avaliação",IF(AND(COUNTA(B74:I74)&gt;0,J74=""),"Informe a data da revisão financeira","")))))))))</f>
        <v>Informe a data da revisão financeira</v>
      </c>
      <c r="O74" s="14">
        <f>IF(AND(A74&lt;&gt;"",ISTEXT(A74),COUNTIFS(Processos!$AS$10:$AS$509,"="&amp;SUBSTITUTE(SUBSTITUTE(SUBSTITUTE("P:"&amp;A74,"~","~~"),"*","~*"),"?","~?"))=1),(IF(ISNA(MATCH(SUBSTITUTE(SUBSTITUTE(SUBSTITUTE("P:"&amp;A74,"~","~~"),"*","~*"),"?","~?"),Processos!$AS$10:$AS$509,0)),9,INDEX(Processos!$AM$10:$AM$509,MATCH(SUBSTITUTE(SUBSTITUTE(SUBSTITUTE("P:"&amp;A74,"~","~~"),"*","~*"),"?","~?"),Processos!$AS$10:$AS$509,0)))-9),0)</f>
        <v>65</v>
      </c>
      <c r="P74" s="14" t="str">
        <f>IF(L74=0,"",INDEX(Processos!$D$10:$D$509,O74))</f>
        <v>BMM Advogados</v>
      </c>
      <c r="Q74" s="14">
        <f>IF(OR(L74=0,T74&lt;&gt;"Sim"),0,INDEX(Processos!$AL$10:$AL$509,O74))</f>
        <v>1</v>
      </c>
      <c r="R74" s="14">
        <f>ROW()</f>
        <v>74</v>
      </c>
      <c r="S74" s="14" t="str">
        <f t="shared" ref="S74:S137" si="5">IF(AND(A74&lt;&gt;"",ISTEXT(A74)),"P:"&amp;A74,"")</f>
        <v>P:1002777-19.2018.4.01.3500</v>
      </c>
      <c r="T74" s="27" t="s">
        <v>1113</v>
      </c>
      <c r="U74" s="28"/>
      <c r="V74" s="28"/>
      <c r="W74" s="28"/>
      <c r="X74" s="28"/>
      <c r="Y74" s="27"/>
      <c r="Z74" s="27" t="s">
        <v>1132</v>
      </c>
      <c r="AA74" s="27"/>
      <c r="AB74" s="27"/>
    </row>
    <row r="75" spans="1:28" ht="42" customHeight="1">
      <c r="A75" s="41" t="s">
        <v>583</v>
      </c>
      <c r="B75" s="42">
        <v>30000</v>
      </c>
      <c r="C75" s="42"/>
      <c r="D75" s="42"/>
      <c r="E75" s="42"/>
      <c r="F75" s="42"/>
      <c r="G75" s="42"/>
      <c r="H75" s="45"/>
      <c r="I75" s="44"/>
      <c r="J75" s="43"/>
      <c r="K75" s="44" t="s">
        <v>1182</v>
      </c>
      <c r="L75" s="14">
        <f t="shared" si="3"/>
        <v>1</v>
      </c>
      <c r="M75" s="14">
        <f>IF(OR(L75=0,T75&lt;&gt;"Sim"),0,INDEX(Processos!$X$10:$X$509,O75))</f>
        <v>1</v>
      </c>
      <c r="N75" s="40" t="str">
        <f t="shared" si="4"/>
        <v>Informe a data da revisão financeira</v>
      </c>
      <c r="O75" s="14">
        <f>IF(AND(A75&lt;&gt;"",ISTEXT(A75),COUNTIFS(Processos!$AS$10:$AS$509,"="&amp;SUBSTITUTE(SUBSTITUTE(SUBSTITUTE("P:"&amp;A75,"~","~~"),"*","~*"),"?","~?"))=1),(IF(ISNA(MATCH(SUBSTITUTE(SUBSTITUTE(SUBSTITUTE("P:"&amp;A75,"~","~~"),"*","~*"),"?","~?"),Processos!$AS$10:$AS$509,0)),9,INDEX(Processos!$AM$10:$AM$509,MATCH(SUBSTITUTE(SUBSTITUTE(SUBSTITUTE("P:"&amp;A75,"~","~~"),"*","~*"),"?","~?"),Processos!$AS$10:$AS$509,0)))-9),0)</f>
        <v>66</v>
      </c>
      <c r="P75" s="14" t="str">
        <f>IF(L75=0,"",INDEX(Processos!$D$10:$D$509,O75))</f>
        <v>BMM Advogados</v>
      </c>
      <c r="Q75" s="14">
        <f>IF(OR(L75=0,T75&lt;&gt;"Sim"),0,INDEX(Processos!$AL$10:$AL$509,O75))</f>
        <v>1</v>
      </c>
      <c r="R75" s="14">
        <f>ROW()</f>
        <v>75</v>
      </c>
      <c r="S75" s="14" t="str">
        <f t="shared" si="5"/>
        <v>P:0015510-80.2013.4.01.3800</v>
      </c>
      <c r="T75" s="27" t="s">
        <v>1113</v>
      </c>
      <c r="U75" s="28"/>
      <c r="V75" s="28"/>
      <c r="W75" s="28"/>
      <c r="X75" s="28"/>
      <c r="Y75" s="27"/>
      <c r="Z75" s="27"/>
      <c r="AA75" s="27"/>
      <c r="AB75" s="27"/>
    </row>
    <row r="76" spans="1:28" ht="42" customHeight="1">
      <c r="A76" s="41" t="s">
        <v>590</v>
      </c>
      <c r="B76" s="42">
        <v>7335.99</v>
      </c>
      <c r="C76" s="42"/>
      <c r="D76" s="42"/>
      <c r="E76" s="42"/>
      <c r="F76" s="42"/>
      <c r="G76" s="42"/>
      <c r="H76" s="45"/>
      <c r="I76" s="44"/>
      <c r="J76" s="43"/>
      <c r="K76" s="44" t="s">
        <v>1183</v>
      </c>
      <c r="L76" s="14">
        <f t="shared" si="3"/>
        <v>1</v>
      </c>
      <c r="M76" s="14">
        <f>IF(OR(L76=0,T76&lt;&gt;"Sim"),0,INDEX(Processos!$X$10:$X$509,O76))</f>
        <v>1</v>
      </c>
      <c r="N76" s="40" t="str">
        <f t="shared" si="4"/>
        <v>Informe a data da revisão financeira</v>
      </c>
      <c r="O76" s="14">
        <f>IF(AND(A76&lt;&gt;"",ISTEXT(A76),COUNTIFS(Processos!$AS$10:$AS$509,"="&amp;SUBSTITUTE(SUBSTITUTE(SUBSTITUTE("P:"&amp;A76,"~","~~"),"*","~*"),"?","~?"))=1),(IF(ISNA(MATCH(SUBSTITUTE(SUBSTITUTE(SUBSTITUTE("P:"&amp;A76,"~","~~"),"*","~*"),"?","~?"),Processos!$AS$10:$AS$509,0)),9,INDEX(Processos!$AM$10:$AM$509,MATCH(SUBSTITUTE(SUBSTITUTE(SUBSTITUTE("P:"&amp;A76,"~","~~"),"*","~*"),"?","~?"),Processos!$AS$10:$AS$509,0)))-9),0)</f>
        <v>67</v>
      </c>
      <c r="P76" s="14" t="str">
        <f>IF(L76=0,"",INDEX(Processos!$D$10:$D$509,O76))</f>
        <v>BMM Advogados</v>
      </c>
      <c r="Q76" s="14">
        <f>IF(OR(L76=0,T76&lt;&gt;"Sim"),0,INDEX(Processos!$AL$10:$AL$509,O76))</f>
        <v>1</v>
      </c>
      <c r="R76" s="14">
        <f>ROW()</f>
        <v>76</v>
      </c>
      <c r="S76" s="14" t="str">
        <f t="shared" si="5"/>
        <v>P:8002509-98.2021.8.05.0231</v>
      </c>
      <c r="T76" s="27" t="s">
        <v>1113</v>
      </c>
      <c r="U76" s="28"/>
      <c r="V76" s="28"/>
      <c r="W76" s="28"/>
      <c r="X76" s="28"/>
      <c r="Y76" s="27"/>
      <c r="Z76" s="27"/>
      <c r="AA76" s="27"/>
      <c r="AB76" s="27"/>
    </row>
    <row r="77" spans="1:28" ht="42" customHeight="1">
      <c r="A77" s="41" t="s">
        <v>597</v>
      </c>
      <c r="B77" s="42">
        <v>76138.740000000005</v>
      </c>
      <c r="C77" s="42"/>
      <c r="D77" s="42"/>
      <c r="E77" s="42"/>
      <c r="F77" s="42"/>
      <c r="G77" s="42"/>
      <c r="H77" s="45"/>
      <c r="I77" s="44"/>
      <c r="J77" s="43"/>
      <c r="K77" s="44" t="s">
        <v>1184</v>
      </c>
      <c r="L77" s="14">
        <f t="shared" si="3"/>
        <v>1</v>
      </c>
      <c r="M77" s="14">
        <f>IF(OR(L77=0,T77&lt;&gt;"Sim"),0,INDEX(Processos!$X$10:$X$509,O77))</f>
        <v>1</v>
      </c>
      <c r="N77" s="40" t="str">
        <f t="shared" si="4"/>
        <v>Informe a data da revisão financeira</v>
      </c>
      <c r="O77" s="14">
        <f>IF(AND(A77&lt;&gt;"",ISTEXT(A77),COUNTIFS(Processos!$AS$10:$AS$509,"="&amp;SUBSTITUTE(SUBSTITUTE(SUBSTITUTE("P:"&amp;A77,"~","~~"),"*","~*"),"?","~?"))=1),(IF(ISNA(MATCH(SUBSTITUTE(SUBSTITUTE(SUBSTITUTE("P:"&amp;A77,"~","~~"),"*","~*"),"?","~?"),Processos!$AS$10:$AS$509,0)),9,INDEX(Processos!$AM$10:$AM$509,MATCH(SUBSTITUTE(SUBSTITUTE(SUBSTITUTE("P:"&amp;A77,"~","~~"),"*","~*"),"?","~?"),Processos!$AS$10:$AS$509,0)))-9),0)</f>
        <v>68</v>
      </c>
      <c r="P77" s="14" t="str">
        <f>IF(L77=0,"",INDEX(Processos!$D$10:$D$509,O77))</f>
        <v>BMM Advogados</v>
      </c>
      <c r="Q77" s="14">
        <f>IF(OR(L77=0,T77&lt;&gt;"Sim"),0,INDEX(Processos!$AL$10:$AL$509,O77))</f>
        <v>1</v>
      </c>
      <c r="R77" s="14">
        <f>ROW()</f>
        <v>77</v>
      </c>
      <c r="S77" s="14" t="str">
        <f t="shared" si="5"/>
        <v>P:AUTO DE INFRAÇÃO Nº 06.2019</v>
      </c>
      <c r="T77" s="27" t="s">
        <v>1113</v>
      </c>
      <c r="U77" s="28"/>
      <c r="V77" s="28"/>
      <c r="W77" s="28"/>
      <c r="X77" s="28"/>
      <c r="Y77" s="27"/>
      <c r="Z77" s="27"/>
      <c r="AA77" s="27"/>
      <c r="AB77" s="27"/>
    </row>
    <row r="78" spans="1:28" ht="42" customHeight="1">
      <c r="A78" s="41" t="s">
        <v>603</v>
      </c>
      <c r="B78" s="42">
        <v>187427.45</v>
      </c>
      <c r="C78" s="42"/>
      <c r="D78" s="42"/>
      <c r="E78" s="42"/>
      <c r="F78" s="42"/>
      <c r="G78" s="42"/>
      <c r="H78" s="45"/>
      <c r="I78" s="44"/>
      <c r="J78" s="43"/>
      <c r="K78" s="44" t="s">
        <v>1185</v>
      </c>
      <c r="L78" s="14">
        <f t="shared" si="3"/>
        <v>1</v>
      </c>
      <c r="M78" s="14">
        <f>IF(OR(L78=0,T78&lt;&gt;"Sim"),0,INDEX(Processos!$X$10:$X$509,O78))</f>
        <v>1</v>
      </c>
      <c r="N78" s="40" t="str">
        <f t="shared" si="4"/>
        <v>Informe a data da revisão financeira</v>
      </c>
      <c r="O78" s="14">
        <f>IF(AND(A78&lt;&gt;"",ISTEXT(A78),COUNTIFS(Processos!$AS$10:$AS$509,"="&amp;SUBSTITUTE(SUBSTITUTE(SUBSTITUTE("P:"&amp;A78,"~","~~"),"*","~*"),"?","~?"))=1),(IF(ISNA(MATCH(SUBSTITUTE(SUBSTITUTE(SUBSTITUTE("P:"&amp;A78,"~","~~"),"*","~*"),"?","~?"),Processos!$AS$10:$AS$509,0)),9,INDEX(Processos!$AM$10:$AM$509,MATCH(SUBSTITUTE(SUBSTITUTE(SUBSTITUTE("P:"&amp;A78,"~","~~"),"*","~*"),"?","~?"),Processos!$AS$10:$AS$509,0)))-9),0)</f>
        <v>69</v>
      </c>
      <c r="P78" s="14" t="str">
        <f>IF(L78=0,"",INDEX(Processos!$D$10:$D$509,O78))</f>
        <v>BMM Advogados</v>
      </c>
      <c r="Q78" s="14">
        <f>IF(OR(L78=0,T78&lt;&gt;"Sim"),0,INDEX(Processos!$AL$10:$AL$509,O78))</f>
        <v>1</v>
      </c>
      <c r="R78" s="14">
        <f>ROW()</f>
        <v>78</v>
      </c>
      <c r="S78" s="14" t="str">
        <f t="shared" si="5"/>
        <v>P:AUTO DE INFRAÇÃO Nº 07.2019</v>
      </c>
      <c r="T78" s="27" t="s">
        <v>1113</v>
      </c>
      <c r="U78" s="28"/>
      <c r="V78" s="28"/>
      <c r="W78" s="28"/>
      <c r="X78" s="28"/>
      <c r="Y78" s="27"/>
      <c r="Z78" s="27" t="s">
        <v>1132</v>
      </c>
      <c r="AA78" s="27"/>
      <c r="AB78" s="27"/>
    </row>
    <row r="79" spans="1:28" ht="42" customHeight="1">
      <c r="A79" s="41" t="s">
        <v>609</v>
      </c>
      <c r="B79" s="42">
        <v>1501326.27</v>
      </c>
      <c r="C79" s="42"/>
      <c r="D79" s="42"/>
      <c r="E79" s="42"/>
      <c r="F79" s="42"/>
      <c r="G79" s="42"/>
      <c r="H79" s="45"/>
      <c r="I79" s="44"/>
      <c r="J79" s="43"/>
      <c r="K79" s="44" t="s">
        <v>1186</v>
      </c>
      <c r="L79" s="14">
        <f t="shared" si="3"/>
        <v>1</v>
      </c>
      <c r="M79" s="14">
        <f>IF(OR(L79=0,T79&lt;&gt;"Sim"),0,INDEX(Processos!$X$10:$X$509,O79))</f>
        <v>1</v>
      </c>
      <c r="N79" s="40" t="str">
        <f t="shared" si="4"/>
        <v>Informe a data da revisão financeira</v>
      </c>
      <c r="O79" s="14">
        <f>IF(AND(A79&lt;&gt;"",ISTEXT(A79),COUNTIFS(Processos!$AS$10:$AS$509,"="&amp;SUBSTITUTE(SUBSTITUTE(SUBSTITUTE("P:"&amp;A79,"~","~~"),"*","~*"),"?","~?"))=1),(IF(ISNA(MATCH(SUBSTITUTE(SUBSTITUTE(SUBSTITUTE("P:"&amp;A79,"~","~~"),"*","~*"),"?","~?"),Processos!$AS$10:$AS$509,0)),9,INDEX(Processos!$AM$10:$AM$509,MATCH(SUBSTITUTE(SUBSTITUTE(SUBSTITUTE("P:"&amp;A79,"~","~~"),"*","~*"),"?","~?"),Processos!$AS$10:$AS$509,0)))-9),0)</f>
        <v>70</v>
      </c>
      <c r="P79" s="14" t="str">
        <f>IF(L79=0,"",INDEX(Processos!$D$10:$D$509,O79))</f>
        <v>BMM Advogados</v>
      </c>
      <c r="Q79" s="14">
        <f>IF(OR(L79=0,T79&lt;&gt;"Sim"),0,INDEX(Processos!$AL$10:$AL$509,O79))</f>
        <v>1</v>
      </c>
      <c r="R79" s="14">
        <f>ROW()</f>
        <v>79</v>
      </c>
      <c r="S79" s="14" t="str">
        <f t="shared" si="5"/>
        <v>P:1012801-81.2019.4.01.3400</v>
      </c>
      <c r="T79" s="27" t="s">
        <v>1113</v>
      </c>
      <c r="U79" s="28"/>
      <c r="V79" s="28"/>
      <c r="W79" s="28"/>
      <c r="X79" s="28"/>
      <c r="Y79" s="27"/>
      <c r="Z79" s="27"/>
      <c r="AA79" s="27"/>
      <c r="AB79" s="27"/>
    </row>
    <row r="80" spans="1:28" ht="42" customHeight="1">
      <c r="A80" s="41" t="s">
        <v>615</v>
      </c>
      <c r="B80" s="42">
        <v>7714.47</v>
      </c>
      <c r="C80" s="42"/>
      <c r="D80" s="42"/>
      <c r="E80" s="42"/>
      <c r="F80" s="42"/>
      <c r="G80" s="42"/>
      <c r="H80" s="45"/>
      <c r="I80" s="44"/>
      <c r="J80" s="43"/>
      <c r="K80" s="44" t="s">
        <v>1187</v>
      </c>
      <c r="L80" s="14">
        <f t="shared" si="3"/>
        <v>1</v>
      </c>
      <c r="M80" s="14">
        <f>IF(OR(L80=0,T80&lt;&gt;"Sim"),0,INDEX(Processos!$X$10:$X$509,O80))</f>
        <v>1</v>
      </c>
      <c r="N80" s="40" t="str">
        <f t="shared" si="4"/>
        <v>Informe a data da revisão financeira</v>
      </c>
      <c r="O80" s="14">
        <f>IF(AND(A80&lt;&gt;"",ISTEXT(A80),COUNTIFS(Processos!$AS$10:$AS$509,"="&amp;SUBSTITUTE(SUBSTITUTE(SUBSTITUTE("P:"&amp;A80,"~","~~"),"*","~*"),"?","~?"))=1),(IF(ISNA(MATCH(SUBSTITUTE(SUBSTITUTE(SUBSTITUTE("P:"&amp;A80,"~","~~"),"*","~*"),"?","~?"),Processos!$AS$10:$AS$509,0)),9,INDEX(Processos!$AM$10:$AM$509,MATCH(SUBSTITUTE(SUBSTITUTE(SUBSTITUTE("P:"&amp;A80,"~","~~"),"*","~*"),"?","~?"),Processos!$AS$10:$AS$509,0)))-9),0)</f>
        <v>71</v>
      </c>
      <c r="P80" s="14" t="str">
        <f>IF(L80=0,"",INDEX(Processos!$D$10:$D$509,O80))</f>
        <v>BMM Advogados</v>
      </c>
      <c r="Q80" s="14">
        <f>IF(OR(L80=0,T80&lt;&gt;"Sim"),0,INDEX(Processos!$AL$10:$AL$509,O80))</f>
        <v>1</v>
      </c>
      <c r="R80" s="14">
        <f>ROW()</f>
        <v>80</v>
      </c>
      <c r="S80" s="14" t="str">
        <f t="shared" si="5"/>
        <v>P:5074087-97.2018.8.13.0024</v>
      </c>
      <c r="T80" s="27" t="s">
        <v>1113</v>
      </c>
      <c r="U80" s="28"/>
      <c r="V80" s="28"/>
      <c r="W80" s="28"/>
      <c r="X80" s="28"/>
      <c r="Y80" s="27"/>
      <c r="Z80" s="27"/>
      <c r="AA80" s="27"/>
      <c r="AB80" s="27"/>
    </row>
    <row r="81" spans="1:28" ht="42" customHeight="1">
      <c r="A81" s="41" t="s">
        <v>621</v>
      </c>
      <c r="B81" s="42">
        <v>122137.09</v>
      </c>
      <c r="C81" s="42"/>
      <c r="D81" s="42"/>
      <c r="E81" s="42"/>
      <c r="F81" s="42"/>
      <c r="G81" s="42"/>
      <c r="H81" s="45"/>
      <c r="I81" s="44"/>
      <c r="J81" s="43"/>
      <c r="K81" s="44" t="s">
        <v>1188</v>
      </c>
      <c r="L81" s="14">
        <f t="shared" si="3"/>
        <v>1</v>
      </c>
      <c r="M81" s="14">
        <f>IF(OR(L81=0,T81&lt;&gt;"Sim"),0,INDEX(Processos!$X$10:$X$509,O81))</f>
        <v>1</v>
      </c>
      <c r="N81" s="40" t="str">
        <f t="shared" si="4"/>
        <v>Informe a data da revisão financeira</v>
      </c>
      <c r="O81" s="14">
        <f>IF(AND(A81&lt;&gt;"",ISTEXT(A81),COUNTIFS(Processos!$AS$10:$AS$509,"="&amp;SUBSTITUTE(SUBSTITUTE(SUBSTITUTE("P:"&amp;A81,"~","~~"),"*","~*"),"?","~?"))=1),(IF(ISNA(MATCH(SUBSTITUTE(SUBSTITUTE(SUBSTITUTE("P:"&amp;A81,"~","~~"),"*","~*"),"?","~?"),Processos!$AS$10:$AS$509,0)),9,INDEX(Processos!$AM$10:$AM$509,MATCH(SUBSTITUTE(SUBSTITUTE(SUBSTITUTE("P:"&amp;A81,"~","~~"),"*","~*"),"?","~?"),Processos!$AS$10:$AS$509,0)))-9),0)</f>
        <v>72</v>
      </c>
      <c r="P81" s="14" t="str">
        <f>IF(L81=0,"",INDEX(Processos!$D$10:$D$509,O81))</f>
        <v>BMM Advogados</v>
      </c>
      <c r="Q81" s="14">
        <f>IF(OR(L81=0,T81&lt;&gt;"Sim"),0,INDEX(Processos!$AL$10:$AL$509,O81))</f>
        <v>1</v>
      </c>
      <c r="R81" s="14">
        <f>ROW()</f>
        <v>81</v>
      </c>
      <c r="S81" s="14" t="str">
        <f t="shared" si="5"/>
        <v>P:5096306-36.2020.8.13.0024</v>
      </c>
      <c r="T81" s="27" t="s">
        <v>1113</v>
      </c>
      <c r="U81" s="28"/>
      <c r="V81" s="28"/>
      <c r="W81" s="28"/>
      <c r="X81" s="28"/>
      <c r="Y81" s="27"/>
      <c r="Z81" s="27"/>
      <c r="AA81" s="27"/>
      <c r="AB81" s="27"/>
    </row>
    <row r="82" spans="1:28" ht="42" customHeight="1">
      <c r="A82" s="41" t="s">
        <v>625</v>
      </c>
      <c r="B82" s="42">
        <v>3000000</v>
      </c>
      <c r="C82" s="42">
        <v>488857.89</v>
      </c>
      <c r="D82" s="42">
        <v>30643.82</v>
      </c>
      <c r="E82" s="42"/>
      <c r="F82" s="42"/>
      <c r="G82" s="42"/>
      <c r="H82" s="45"/>
      <c r="I82" s="44"/>
      <c r="J82" s="43"/>
      <c r="K82" s="44" t="s">
        <v>1189</v>
      </c>
      <c r="L82" s="14">
        <f t="shared" si="3"/>
        <v>1</v>
      </c>
      <c r="M82" s="14">
        <f>IF(OR(L82=0,T82&lt;&gt;"Sim"),0,INDEX(Processos!$X$10:$X$509,O82))</f>
        <v>1</v>
      </c>
      <c r="N82" s="40" t="str">
        <f t="shared" si="4"/>
        <v>Informe a data da revisão financeira</v>
      </c>
      <c r="O82" s="14">
        <f>IF(AND(A82&lt;&gt;"",ISTEXT(A82),COUNTIFS(Processos!$AS$10:$AS$509,"="&amp;SUBSTITUTE(SUBSTITUTE(SUBSTITUTE("P:"&amp;A82,"~","~~"),"*","~*"),"?","~?"))=1),(IF(ISNA(MATCH(SUBSTITUTE(SUBSTITUTE(SUBSTITUTE("P:"&amp;A82,"~","~~"),"*","~*"),"?","~?"),Processos!$AS$10:$AS$509,0)),9,INDEX(Processos!$AM$10:$AM$509,MATCH(SUBSTITUTE(SUBSTITUTE(SUBSTITUTE("P:"&amp;A82,"~","~~"),"*","~*"),"?","~?"),Processos!$AS$10:$AS$509,0)))-9),0)</f>
        <v>73</v>
      </c>
      <c r="P82" s="14" t="str">
        <f>IF(L82=0,"",INDEX(Processos!$D$10:$D$509,O82))</f>
        <v>BMM Advogados</v>
      </c>
      <c r="Q82" s="14">
        <f>IF(OR(L82=0,T82&lt;&gt;"Sim"),0,INDEX(Processos!$AL$10:$AL$509,O82))</f>
        <v>1</v>
      </c>
      <c r="R82" s="14">
        <f>ROW()</f>
        <v>82</v>
      </c>
      <c r="S82" s="14" t="str">
        <f t="shared" si="5"/>
        <v>P:0001532-68.2015.5.10.0005</v>
      </c>
      <c r="T82" s="27" t="s">
        <v>1113</v>
      </c>
      <c r="U82" s="28"/>
      <c r="V82" s="28"/>
      <c r="W82" s="28"/>
      <c r="X82" s="28"/>
      <c r="Y82" s="27"/>
      <c r="Z82" s="27" t="s">
        <v>1149</v>
      </c>
      <c r="AA82" s="27"/>
      <c r="AB82" s="27"/>
    </row>
    <row r="83" spans="1:28" ht="42" customHeight="1">
      <c r="A83" s="41" t="s">
        <v>633</v>
      </c>
      <c r="B83" s="42"/>
      <c r="C83" s="42"/>
      <c r="D83" s="42">
        <v>12296.38</v>
      </c>
      <c r="E83" s="42"/>
      <c r="F83" s="42"/>
      <c r="G83" s="42"/>
      <c r="H83" s="45"/>
      <c r="I83" s="44"/>
      <c r="J83" s="43"/>
      <c r="K83" s="44" t="s">
        <v>1190</v>
      </c>
      <c r="L83" s="14">
        <f t="shared" si="3"/>
        <v>1</v>
      </c>
      <c r="M83" s="14">
        <f>IF(OR(L83=0,T83&lt;&gt;"Sim"),0,INDEX(Processos!$X$10:$X$509,O83))</f>
        <v>0</v>
      </c>
      <c r="N83" s="40" t="str">
        <f t="shared" si="4"/>
        <v>Informe a data da revisão financeira</v>
      </c>
      <c r="O83" s="14">
        <f>IF(AND(A83&lt;&gt;"",ISTEXT(A83),COUNTIFS(Processos!$AS$10:$AS$509,"="&amp;SUBSTITUTE(SUBSTITUTE(SUBSTITUTE("P:"&amp;A83,"~","~~"),"*","~*"),"?","~?"))=1),(IF(ISNA(MATCH(SUBSTITUTE(SUBSTITUTE(SUBSTITUTE("P:"&amp;A83,"~","~~"),"*","~*"),"?","~?"),Processos!$AS$10:$AS$509,0)),9,INDEX(Processos!$AM$10:$AM$509,MATCH(SUBSTITUTE(SUBSTITUTE(SUBSTITUTE("P:"&amp;A83,"~","~~"),"*","~*"),"?","~?"),Processos!$AS$10:$AS$509,0)))-9),0)</f>
        <v>74</v>
      </c>
      <c r="P83" s="14" t="str">
        <f>IF(L83=0,"",INDEX(Processos!$D$10:$D$509,O83))</f>
        <v>BMM Advogados</v>
      </c>
      <c r="Q83" s="14">
        <f>IF(OR(L83=0,T83&lt;&gt;"Sim"),0,INDEX(Processos!$AL$10:$AL$509,O83))</f>
        <v>0</v>
      </c>
      <c r="R83" s="14">
        <f>ROW()</f>
        <v>83</v>
      </c>
      <c r="S83" s="14" t="str">
        <f t="shared" si="5"/>
        <v>P:0010968-84.2019.5.18.0103 [BMM-074]</v>
      </c>
      <c r="T83" s="27" t="s">
        <v>1117</v>
      </c>
      <c r="U83" s="28"/>
      <c r="V83" s="28"/>
      <c r="W83" s="28"/>
      <c r="X83" s="28"/>
      <c r="Y83" s="27"/>
      <c r="Z83" s="27"/>
      <c r="AA83" s="27"/>
      <c r="AB83" s="27"/>
    </row>
    <row r="84" spans="1:28" ht="42" customHeight="1">
      <c r="A84" s="41" t="s">
        <v>637</v>
      </c>
      <c r="B84" s="42">
        <v>120000</v>
      </c>
      <c r="C84" s="42"/>
      <c r="D84" s="42"/>
      <c r="E84" s="42"/>
      <c r="F84" s="42"/>
      <c r="G84" s="42"/>
      <c r="H84" s="45"/>
      <c r="I84" s="44"/>
      <c r="J84" s="43"/>
      <c r="K84" s="44" t="s">
        <v>1191</v>
      </c>
      <c r="L84" s="14">
        <f t="shared" si="3"/>
        <v>1</v>
      </c>
      <c r="M84" s="14">
        <f>IF(OR(L84=0,T84&lt;&gt;"Sim"),0,INDEX(Processos!$X$10:$X$509,O84))</f>
        <v>1</v>
      </c>
      <c r="N84" s="40" t="str">
        <f t="shared" si="4"/>
        <v>Informe a data da revisão financeira</v>
      </c>
      <c r="O84" s="14">
        <f>IF(AND(A84&lt;&gt;"",ISTEXT(A84),COUNTIFS(Processos!$AS$10:$AS$509,"="&amp;SUBSTITUTE(SUBSTITUTE(SUBSTITUTE("P:"&amp;A84,"~","~~"),"*","~*"),"?","~?"))=1),(IF(ISNA(MATCH(SUBSTITUTE(SUBSTITUTE(SUBSTITUTE("P:"&amp;A84,"~","~~"),"*","~*"),"?","~?"),Processos!$AS$10:$AS$509,0)),9,INDEX(Processos!$AM$10:$AM$509,MATCH(SUBSTITUTE(SUBSTITUTE(SUBSTITUTE("P:"&amp;A84,"~","~~"),"*","~*"),"?","~?"),Processos!$AS$10:$AS$509,0)))-9),0)</f>
        <v>75</v>
      </c>
      <c r="P84" s="14" t="str">
        <f>IF(L84=0,"",INDEX(Processos!$D$10:$D$509,O84))</f>
        <v>BMM Advogados</v>
      </c>
      <c r="Q84" s="14">
        <f>IF(OR(L84=0,T84&lt;&gt;"Sim"),0,INDEX(Processos!$AL$10:$AL$509,O84))</f>
        <v>1</v>
      </c>
      <c r="R84" s="14">
        <f>ROW()</f>
        <v>84</v>
      </c>
      <c r="S84" s="14" t="str">
        <f t="shared" si="5"/>
        <v>P:0071379-91.2014.4.01.3800</v>
      </c>
      <c r="T84" s="27" t="s">
        <v>1113</v>
      </c>
      <c r="U84" s="28"/>
      <c r="V84" s="28"/>
      <c r="W84" s="28"/>
      <c r="X84" s="28"/>
      <c r="Y84" s="27"/>
      <c r="Z84" s="27" t="s">
        <v>1132</v>
      </c>
      <c r="AA84" s="27"/>
      <c r="AB84" s="27"/>
    </row>
    <row r="85" spans="1:28" ht="42" customHeight="1">
      <c r="A85" s="41" t="s">
        <v>643</v>
      </c>
      <c r="B85" s="42">
        <v>50000</v>
      </c>
      <c r="C85" s="42"/>
      <c r="D85" s="42"/>
      <c r="E85" s="42"/>
      <c r="F85" s="42"/>
      <c r="G85" s="42"/>
      <c r="H85" s="45"/>
      <c r="I85" s="44"/>
      <c r="J85" s="43"/>
      <c r="K85" s="44" t="s">
        <v>1192</v>
      </c>
      <c r="L85" s="14">
        <f t="shared" si="3"/>
        <v>1</v>
      </c>
      <c r="M85" s="14">
        <f>IF(OR(L85=0,T85&lt;&gt;"Sim"),0,INDEX(Processos!$X$10:$X$509,O85))</f>
        <v>1</v>
      </c>
      <c r="N85" s="40" t="str">
        <f t="shared" si="4"/>
        <v>Informe a data da revisão financeira</v>
      </c>
      <c r="O85" s="14">
        <f>IF(AND(A85&lt;&gt;"",ISTEXT(A85),COUNTIFS(Processos!$AS$10:$AS$509,"="&amp;SUBSTITUTE(SUBSTITUTE(SUBSTITUTE("P:"&amp;A85,"~","~~"),"*","~*"),"?","~?"))=1),(IF(ISNA(MATCH(SUBSTITUTE(SUBSTITUTE(SUBSTITUTE("P:"&amp;A85,"~","~~"),"*","~*"),"?","~?"),Processos!$AS$10:$AS$509,0)),9,INDEX(Processos!$AM$10:$AM$509,MATCH(SUBSTITUTE(SUBSTITUTE(SUBSTITUTE("P:"&amp;A85,"~","~~"),"*","~*"),"?","~?"),Processos!$AS$10:$AS$509,0)))-9),0)</f>
        <v>76</v>
      </c>
      <c r="P85" s="14" t="str">
        <f>IF(L85=0,"",INDEX(Processos!$D$10:$D$509,O85))</f>
        <v>BMM Advogados</v>
      </c>
      <c r="Q85" s="14">
        <f>IF(OR(L85=0,T85&lt;&gt;"Sim"),0,INDEX(Processos!$AL$10:$AL$509,O85))</f>
        <v>1</v>
      </c>
      <c r="R85" s="14">
        <f>ROW()</f>
        <v>85</v>
      </c>
      <c r="S85" s="14" t="str">
        <f t="shared" si="5"/>
        <v>P:0049710-50.2012.4.01.3800</v>
      </c>
      <c r="T85" s="27" t="s">
        <v>1113</v>
      </c>
      <c r="U85" s="28"/>
      <c r="V85" s="28"/>
      <c r="W85" s="28"/>
      <c r="X85" s="28"/>
      <c r="Y85" s="27"/>
      <c r="Z85" s="27" t="s">
        <v>1132</v>
      </c>
      <c r="AA85" s="27"/>
      <c r="AB85" s="27"/>
    </row>
    <row r="86" spans="1:28" ht="42" customHeight="1">
      <c r="A86" s="41" t="s">
        <v>647</v>
      </c>
      <c r="B86" s="42">
        <v>150000</v>
      </c>
      <c r="C86" s="42"/>
      <c r="D86" s="42"/>
      <c r="E86" s="42"/>
      <c r="F86" s="42"/>
      <c r="G86" s="42"/>
      <c r="H86" s="45"/>
      <c r="I86" s="44"/>
      <c r="J86" s="43"/>
      <c r="K86" s="44" t="s">
        <v>1193</v>
      </c>
      <c r="L86" s="14">
        <f t="shared" si="3"/>
        <v>1</v>
      </c>
      <c r="M86" s="14">
        <f>IF(OR(L86=0,T86&lt;&gt;"Sim"),0,INDEX(Processos!$X$10:$X$509,O86))</f>
        <v>1</v>
      </c>
      <c r="N86" s="40" t="str">
        <f t="shared" si="4"/>
        <v>Informe a data da revisão financeira</v>
      </c>
      <c r="O86" s="14">
        <f>IF(AND(A86&lt;&gt;"",ISTEXT(A86),COUNTIFS(Processos!$AS$10:$AS$509,"="&amp;SUBSTITUTE(SUBSTITUTE(SUBSTITUTE("P:"&amp;A86,"~","~~"),"*","~*"),"?","~?"))=1),(IF(ISNA(MATCH(SUBSTITUTE(SUBSTITUTE(SUBSTITUTE("P:"&amp;A86,"~","~~"),"*","~*"),"?","~?"),Processos!$AS$10:$AS$509,0)),9,INDEX(Processos!$AM$10:$AM$509,MATCH(SUBSTITUTE(SUBSTITUTE(SUBSTITUTE("P:"&amp;A86,"~","~~"),"*","~*"),"?","~?"),Processos!$AS$10:$AS$509,0)))-9),0)</f>
        <v>77</v>
      </c>
      <c r="P86" s="14" t="str">
        <f>IF(L86=0,"",INDEX(Processos!$D$10:$D$509,O86))</f>
        <v>BMM Advogados</v>
      </c>
      <c r="Q86" s="14">
        <f>IF(OR(L86=0,T86&lt;&gt;"Sim"),0,INDEX(Processos!$AL$10:$AL$509,O86))</f>
        <v>1</v>
      </c>
      <c r="R86" s="14">
        <f>ROW()</f>
        <v>86</v>
      </c>
      <c r="S86" s="14" t="str">
        <f t="shared" si="5"/>
        <v>P:0032498-11.2015.4.01.3800</v>
      </c>
      <c r="T86" s="27" t="s">
        <v>1113</v>
      </c>
      <c r="U86" s="28"/>
      <c r="V86" s="28"/>
      <c r="W86" s="28"/>
      <c r="X86" s="28"/>
      <c r="Y86" s="27"/>
      <c r="Z86" s="27" t="s">
        <v>1149</v>
      </c>
      <c r="AA86" s="27"/>
      <c r="AB86" s="27"/>
    </row>
    <row r="87" spans="1:28" ht="42" customHeight="1">
      <c r="A87" s="41" t="s">
        <v>653</v>
      </c>
      <c r="B87" s="42">
        <v>50921.25</v>
      </c>
      <c r="C87" s="42"/>
      <c r="D87" s="42"/>
      <c r="E87" s="42"/>
      <c r="F87" s="42"/>
      <c r="G87" s="42"/>
      <c r="H87" s="45"/>
      <c r="I87" s="44"/>
      <c r="J87" s="43"/>
      <c r="K87" s="44" t="s">
        <v>1194</v>
      </c>
      <c r="L87" s="14">
        <f t="shared" si="3"/>
        <v>1</v>
      </c>
      <c r="M87" s="14">
        <f>IF(OR(L87=0,T87&lt;&gt;"Sim"),0,INDEX(Processos!$X$10:$X$509,O87))</f>
        <v>1</v>
      </c>
      <c r="N87" s="40" t="str">
        <f t="shared" si="4"/>
        <v>Informe a data da revisão financeira</v>
      </c>
      <c r="O87" s="14">
        <f>IF(AND(A87&lt;&gt;"",ISTEXT(A87),COUNTIFS(Processos!$AS$10:$AS$509,"="&amp;SUBSTITUTE(SUBSTITUTE(SUBSTITUTE("P:"&amp;A87,"~","~~"),"*","~*"),"?","~?"))=1),(IF(ISNA(MATCH(SUBSTITUTE(SUBSTITUTE(SUBSTITUTE("P:"&amp;A87,"~","~~"),"*","~*"),"?","~?"),Processos!$AS$10:$AS$509,0)),9,INDEX(Processos!$AM$10:$AM$509,MATCH(SUBSTITUTE(SUBSTITUTE(SUBSTITUTE("P:"&amp;A87,"~","~~"),"*","~*"),"?","~?"),Processos!$AS$10:$AS$509,0)))-9),0)</f>
        <v>78</v>
      </c>
      <c r="P87" s="14" t="str">
        <f>IF(L87=0,"",INDEX(Processos!$D$10:$D$509,O87))</f>
        <v>BMM Advogados</v>
      </c>
      <c r="Q87" s="14">
        <f>IF(OR(L87=0,T87&lt;&gt;"Sim"),0,INDEX(Processos!$AL$10:$AL$509,O87))</f>
        <v>1</v>
      </c>
      <c r="R87" s="14">
        <f>ROW()</f>
        <v>87</v>
      </c>
      <c r="S87" s="14" t="str">
        <f t="shared" si="5"/>
        <v>P:5035486-22.2018.8.13.0024</v>
      </c>
      <c r="T87" s="27" t="s">
        <v>1113</v>
      </c>
      <c r="U87" s="28"/>
      <c r="V87" s="28"/>
      <c r="W87" s="28"/>
      <c r="X87" s="28"/>
      <c r="Y87" s="27"/>
      <c r="Z87" s="27"/>
      <c r="AA87" s="27"/>
      <c r="AB87" s="27"/>
    </row>
    <row r="88" spans="1:28" ht="42" customHeight="1">
      <c r="A88" s="41" t="s">
        <v>658</v>
      </c>
      <c r="B88" s="42">
        <v>295800</v>
      </c>
      <c r="C88" s="42"/>
      <c r="D88" s="42">
        <v>14733.46</v>
      </c>
      <c r="E88" s="42"/>
      <c r="F88" s="42"/>
      <c r="G88" s="42"/>
      <c r="H88" s="45"/>
      <c r="I88" s="44"/>
      <c r="J88" s="43"/>
      <c r="K88" s="44" t="s">
        <v>1195</v>
      </c>
      <c r="L88" s="14">
        <f t="shared" si="3"/>
        <v>1</v>
      </c>
      <c r="M88" s="14">
        <f>IF(OR(L88=0,T88&lt;&gt;"Sim"),0,INDEX(Processos!$X$10:$X$509,O88))</f>
        <v>1</v>
      </c>
      <c r="N88" s="40" t="str">
        <f t="shared" si="4"/>
        <v>Informe a data da revisão financeira</v>
      </c>
      <c r="O88" s="14">
        <f>IF(AND(A88&lt;&gt;"",ISTEXT(A88),COUNTIFS(Processos!$AS$10:$AS$509,"="&amp;SUBSTITUTE(SUBSTITUTE(SUBSTITUTE("P:"&amp;A88,"~","~~"),"*","~*"),"?","~?"))=1),(IF(ISNA(MATCH(SUBSTITUTE(SUBSTITUTE(SUBSTITUTE("P:"&amp;A88,"~","~~"),"*","~*"),"?","~?"),Processos!$AS$10:$AS$509,0)),9,INDEX(Processos!$AM$10:$AM$509,MATCH(SUBSTITUTE(SUBSTITUTE(SUBSTITUTE("P:"&amp;A88,"~","~~"),"*","~*"),"?","~?"),Processos!$AS$10:$AS$509,0)))-9),0)</f>
        <v>79</v>
      </c>
      <c r="P88" s="14" t="str">
        <f>IF(L88=0,"",INDEX(Processos!$D$10:$D$509,O88))</f>
        <v>BMM Advogados</v>
      </c>
      <c r="Q88" s="14">
        <f>IF(OR(L88=0,T88&lt;&gt;"Sim"),0,INDEX(Processos!$AL$10:$AL$509,O88))</f>
        <v>1</v>
      </c>
      <c r="R88" s="14">
        <f>ROW()</f>
        <v>88</v>
      </c>
      <c r="S88" s="14" t="str">
        <f t="shared" si="5"/>
        <v>P:0010246-78.2024.5.18.0231</v>
      </c>
      <c r="T88" s="27" t="s">
        <v>1113</v>
      </c>
      <c r="U88" s="28"/>
      <c r="V88" s="28"/>
      <c r="W88" s="28"/>
      <c r="X88" s="28"/>
      <c r="Y88" s="27"/>
      <c r="Z88" s="27" t="s">
        <v>1129</v>
      </c>
      <c r="AA88" s="27"/>
      <c r="AB88" s="27"/>
    </row>
    <row r="89" spans="1:28" ht="42" customHeight="1">
      <c r="A89" s="41" t="s">
        <v>665</v>
      </c>
      <c r="B89" s="42">
        <v>750000</v>
      </c>
      <c r="C89" s="42"/>
      <c r="D89" s="42">
        <v>15533.46</v>
      </c>
      <c r="E89" s="42"/>
      <c r="F89" s="42"/>
      <c r="G89" s="42"/>
      <c r="H89" s="45"/>
      <c r="I89" s="44"/>
      <c r="J89" s="43"/>
      <c r="K89" s="44" t="s">
        <v>1196</v>
      </c>
      <c r="L89" s="14">
        <f t="shared" si="3"/>
        <v>1</v>
      </c>
      <c r="M89" s="14">
        <f>IF(OR(L89=0,T89&lt;&gt;"Sim"),0,INDEX(Processos!$X$10:$X$509,O89))</f>
        <v>1</v>
      </c>
      <c r="N89" s="40" t="str">
        <f t="shared" si="4"/>
        <v>Informe a data da revisão financeira</v>
      </c>
      <c r="O89" s="14">
        <f>IF(AND(A89&lt;&gt;"",ISTEXT(A89),COUNTIFS(Processos!$AS$10:$AS$509,"="&amp;SUBSTITUTE(SUBSTITUTE(SUBSTITUTE("P:"&amp;A89,"~","~~"),"*","~*"),"?","~?"))=1),(IF(ISNA(MATCH(SUBSTITUTE(SUBSTITUTE(SUBSTITUTE("P:"&amp;A89,"~","~~"),"*","~*"),"?","~?"),Processos!$AS$10:$AS$509,0)),9,INDEX(Processos!$AM$10:$AM$509,MATCH(SUBSTITUTE(SUBSTITUTE(SUBSTITUTE("P:"&amp;A89,"~","~~"),"*","~*"),"?","~?"),Processos!$AS$10:$AS$509,0)))-9),0)</f>
        <v>80</v>
      </c>
      <c r="P89" s="14" t="str">
        <f>IF(L89=0,"",INDEX(Processos!$D$10:$D$509,O89))</f>
        <v>BMM Advogados</v>
      </c>
      <c r="Q89" s="14">
        <f>IF(OR(L89=0,T89&lt;&gt;"Sim"),0,INDEX(Processos!$AL$10:$AL$509,O89))</f>
        <v>1</v>
      </c>
      <c r="R89" s="14">
        <f>ROW()</f>
        <v>89</v>
      </c>
      <c r="S89" s="14" t="str">
        <f t="shared" si="5"/>
        <v>P:0010245-93.2024.5.18.0231</v>
      </c>
      <c r="T89" s="27" t="s">
        <v>1113</v>
      </c>
      <c r="U89" s="28"/>
      <c r="V89" s="28"/>
      <c r="W89" s="28"/>
      <c r="X89" s="28"/>
      <c r="Y89" s="27"/>
      <c r="Z89" s="27"/>
      <c r="AA89" s="27"/>
      <c r="AB89" s="27"/>
    </row>
    <row r="90" spans="1:28" ht="42" customHeight="1">
      <c r="A90" s="41" t="s">
        <v>669</v>
      </c>
      <c r="B90" s="42">
        <v>606874.76</v>
      </c>
      <c r="C90" s="42">
        <v>300000</v>
      </c>
      <c r="D90" s="42">
        <v>13133.46</v>
      </c>
      <c r="E90" s="42"/>
      <c r="F90" s="42"/>
      <c r="G90" s="42"/>
      <c r="H90" s="45"/>
      <c r="I90" s="44"/>
      <c r="J90" s="43"/>
      <c r="K90" s="44" t="s">
        <v>1197</v>
      </c>
      <c r="L90" s="14">
        <f t="shared" si="3"/>
        <v>1</v>
      </c>
      <c r="M90" s="14">
        <f>IF(OR(L90=0,T90&lt;&gt;"Sim"),0,INDEX(Processos!$X$10:$X$509,O90))</f>
        <v>1</v>
      </c>
      <c r="N90" s="40" t="str">
        <f t="shared" si="4"/>
        <v>Informe a data da revisão financeira</v>
      </c>
      <c r="O90" s="14">
        <f>IF(AND(A90&lt;&gt;"",ISTEXT(A90),COUNTIFS(Processos!$AS$10:$AS$509,"="&amp;SUBSTITUTE(SUBSTITUTE(SUBSTITUTE("P:"&amp;A90,"~","~~"),"*","~*"),"?","~?"))=1),(IF(ISNA(MATCH(SUBSTITUTE(SUBSTITUTE(SUBSTITUTE("P:"&amp;A90,"~","~~"),"*","~*"),"?","~?"),Processos!$AS$10:$AS$509,0)),9,INDEX(Processos!$AM$10:$AM$509,MATCH(SUBSTITUTE(SUBSTITUTE(SUBSTITUTE("P:"&amp;A90,"~","~~"),"*","~*"),"?","~?"),Processos!$AS$10:$AS$509,0)))-9),0)</f>
        <v>81</v>
      </c>
      <c r="P90" s="14" t="str">
        <f>IF(L90=0,"",INDEX(Processos!$D$10:$D$509,O90))</f>
        <v>BMM Advogados</v>
      </c>
      <c r="Q90" s="14">
        <f>IF(OR(L90=0,T90&lt;&gt;"Sim"),0,INDEX(Processos!$AL$10:$AL$509,O90))</f>
        <v>1</v>
      </c>
      <c r="R90" s="14">
        <f>ROW()</f>
        <v>90</v>
      </c>
      <c r="S90" s="14" t="str">
        <f t="shared" si="5"/>
        <v>P:0010298-49.2024.5.18.0013</v>
      </c>
      <c r="T90" s="27" t="s">
        <v>1113</v>
      </c>
      <c r="U90" s="28"/>
      <c r="V90" s="28"/>
      <c r="W90" s="28"/>
      <c r="X90" s="28"/>
      <c r="Y90" s="27"/>
      <c r="Z90" s="27"/>
      <c r="AA90" s="27"/>
      <c r="AB90" s="27"/>
    </row>
    <row r="91" spans="1:28" ht="42" customHeight="1">
      <c r="A91" s="41" t="s">
        <v>675</v>
      </c>
      <c r="B91" s="42">
        <v>8278.27</v>
      </c>
      <c r="C91" s="42">
        <v>4966.96</v>
      </c>
      <c r="D91" s="42"/>
      <c r="E91" s="42"/>
      <c r="F91" s="42"/>
      <c r="G91" s="42"/>
      <c r="H91" s="45"/>
      <c r="I91" s="44"/>
      <c r="J91" s="43"/>
      <c r="K91" s="44" t="s">
        <v>1198</v>
      </c>
      <c r="L91" s="14">
        <f t="shared" si="3"/>
        <v>1</v>
      </c>
      <c r="M91" s="14">
        <f>IF(OR(L91=0,T91&lt;&gt;"Sim"),0,INDEX(Processos!$X$10:$X$509,O91))</f>
        <v>1</v>
      </c>
      <c r="N91" s="40" t="str">
        <f t="shared" si="4"/>
        <v>Informe a data da revisão financeira</v>
      </c>
      <c r="O91" s="14">
        <f>IF(AND(A91&lt;&gt;"",ISTEXT(A91),COUNTIFS(Processos!$AS$10:$AS$509,"="&amp;SUBSTITUTE(SUBSTITUTE(SUBSTITUTE("P:"&amp;A91,"~","~~"),"*","~*"),"?","~?"))=1),(IF(ISNA(MATCH(SUBSTITUTE(SUBSTITUTE(SUBSTITUTE("P:"&amp;A91,"~","~~"),"*","~*"),"?","~?"),Processos!$AS$10:$AS$509,0)),9,INDEX(Processos!$AM$10:$AM$509,MATCH(SUBSTITUTE(SUBSTITUTE(SUBSTITUTE("P:"&amp;A91,"~","~~"),"*","~*"),"?","~?"),Processos!$AS$10:$AS$509,0)))-9),0)</f>
        <v>82</v>
      </c>
      <c r="P91" s="14" t="str">
        <f>IF(L91=0,"",INDEX(Processos!$D$10:$D$509,O91))</f>
        <v>BMM Advogados</v>
      </c>
      <c r="Q91" s="14">
        <f>IF(OR(L91=0,T91&lt;&gt;"Sim"),0,INDEX(Processos!$AL$10:$AL$509,O91))</f>
        <v>1</v>
      </c>
      <c r="R91" s="14">
        <f>ROW()</f>
        <v>91</v>
      </c>
      <c r="S91" s="14" t="str">
        <f t="shared" si="5"/>
        <v>P:0012596-61.2015.5.18.0261</v>
      </c>
      <c r="T91" s="27" t="s">
        <v>1113</v>
      </c>
      <c r="U91" s="28"/>
      <c r="V91" s="28"/>
      <c r="W91" s="28"/>
      <c r="X91" s="28"/>
      <c r="Y91" s="27"/>
      <c r="Z91" s="27"/>
      <c r="AA91" s="27"/>
      <c r="AB91" s="27"/>
    </row>
    <row r="92" spans="1:28" ht="42" customHeight="1">
      <c r="A92" s="41" t="s">
        <v>681</v>
      </c>
      <c r="B92" s="42">
        <v>11676.1</v>
      </c>
      <c r="C92" s="42">
        <v>29457.95</v>
      </c>
      <c r="D92" s="42"/>
      <c r="E92" s="42"/>
      <c r="F92" s="42"/>
      <c r="G92" s="42"/>
      <c r="H92" s="45"/>
      <c r="I92" s="44"/>
      <c r="J92" s="43"/>
      <c r="K92" s="44" t="s">
        <v>1199</v>
      </c>
      <c r="L92" s="14">
        <f t="shared" si="3"/>
        <v>1</v>
      </c>
      <c r="M92" s="14">
        <f>IF(OR(L92=0,T92&lt;&gt;"Sim"),0,INDEX(Processos!$X$10:$X$509,O92))</f>
        <v>1</v>
      </c>
      <c r="N92" s="40" t="str">
        <f t="shared" si="4"/>
        <v>Informe a data da revisão financeira</v>
      </c>
      <c r="O92" s="14">
        <f>IF(AND(A92&lt;&gt;"",ISTEXT(A92),COUNTIFS(Processos!$AS$10:$AS$509,"="&amp;SUBSTITUTE(SUBSTITUTE(SUBSTITUTE("P:"&amp;A92,"~","~~"),"*","~*"),"?","~?"))=1),(IF(ISNA(MATCH(SUBSTITUTE(SUBSTITUTE(SUBSTITUTE("P:"&amp;A92,"~","~~"),"*","~*"),"?","~?"),Processos!$AS$10:$AS$509,0)),9,INDEX(Processos!$AM$10:$AM$509,MATCH(SUBSTITUTE(SUBSTITUTE(SUBSTITUTE("P:"&amp;A92,"~","~~"),"*","~*"),"?","~?"),Processos!$AS$10:$AS$509,0)))-9),0)</f>
        <v>83</v>
      </c>
      <c r="P92" s="14" t="str">
        <f>IF(L92=0,"",INDEX(Processos!$D$10:$D$509,O92))</f>
        <v>BMM Advogados</v>
      </c>
      <c r="Q92" s="14">
        <f>IF(OR(L92=0,T92&lt;&gt;"Sim"),0,INDEX(Processos!$AL$10:$AL$509,O92))</f>
        <v>1</v>
      </c>
      <c r="R92" s="14">
        <f>ROW()</f>
        <v>92</v>
      </c>
      <c r="S92" s="14" t="str">
        <f t="shared" si="5"/>
        <v>P:0010756-19.2018.5.18.0129</v>
      </c>
      <c r="T92" s="27" t="s">
        <v>1113</v>
      </c>
      <c r="U92" s="28"/>
      <c r="V92" s="28"/>
      <c r="W92" s="28"/>
      <c r="X92" s="28"/>
      <c r="Y92" s="27"/>
      <c r="Z92" s="27" t="s">
        <v>1149</v>
      </c>
      <c r="AA92" s="27"/>
      <c r="AB92" s="27"/>
    </row>
    <row r="93" spans="1:28" ht="42" customHeight="1">
      <c r="A93" s="41" t="s">
        <v>689</v>
      </c>
      <c r="B93" s="42">
        <v>691268.27</v>
      </c>
      <c r="C93" s="42">
        <v>690268.27</v>
      </c>
      <c r="D93" s="42"/>
      <c r="E93" s="42"/>
      <c r="F93" s="42"/>
      <c r="G93" s="42"/>
      <c r="H93" s="45"/>
      <c r="I93" s="44"/>
      <c r="J93" s="43"/>
      <c r="K93" s="44" t="s">
        <v>1200</v>
      </c>
      <c r="L93" s="14">
        <f t="shared" si="3"/>
        <v>1</v>
      </c>
      <c r="M93" s="14">
        <f>IF(OR(L93=0,T93&lt;&gt;"Sim"),0,INDEX(Processos!$X$10:$X$509,O93))</f>
        <v>1</v>
      </c>
      <c r="N93" s="40" t="str">
        <f t="shared" si="4"/>
        <v>Informe a data da revisão financeira</v>
      </c>
      <c r="O93" s="14">
        <f>IF(AND(A93&lt;&gt;"",ISTEXT(A93),COUNTIFS(Processos!$AS$10:$AS$509,"="&amp;SUBSTITUTE(SUBSTITUTE(SUBSTITUTE("P:"&amp;A93,"~","~~"),"*","~*"),"?","~?"))=1),(IF(ISNA(MATCH(SUBSTITUTE(SUBSTITUTE(SUBSTITUTE("P:"&amp;A93,"~","~~"),"*","~*"),"?","~?"),Processos!$AS$10:$AS$509,0)),9,INDEX(Processos!$AM$10:$AM$509,MATCH(SUBSTITUTE(SUBSTITUTE(SUBSTITUTE("P:"&amp;A93,"~","~~"),"*","~*"),"?","~?"),Processos!$AS$10:$AS$509,0)))-9),0)</f>
        <v>84</v>
      </c>
      <c r="P93" s="14" t="str">
        <f>IF(L93=0,"",INDEX(Processos!$D$10:$D$509,O93))</f>
        <v>BMM Advogados</v>
      </c>
      <c r="Q93" s="14">
        <f>IF(OR(L93=0,T93&lt;&gt;"Sim"),0,INDEX(Processos!$AL$10:$AL$509,O93))</f>
        <v>1</v>
      </c>
      <c r="R93" s="14">
        <f>ROW()</f>
        <v>93</v>
      </c>
      <c r="S93" s="14" t="str">
        <f t="shared" si="5"/>
        <v>P:0010522-50.2020.5.18.0102</v>
      </c>
      <c r="T93" s="27" t="s">
        <v>1113</v>
      </c>
      <c r="U93" s="28"/>
      <c r="V93" s="28"/>
      <c r="W93" s="28"/>
      <c r="X93" s="28"/>
      <c r="Y93" s="27"/>
      <c r="Z93" s="27"/>
      <c r="AA93" s="27"/>
      <c r="AB93" s="27"/>
    </row>
    <row r="94" spans="1:28" ht="42" customHeight="1">
      <c r="A94" s="41" t="s">
        <v>696</v>
      </c>
      <c r="B94" s="42">
        <v>2018074.76</v>
      </c>
      <c r="C94" s="42">
        <v>250000</v>
      </c>
      <c r="D94" s="42"/>
      <c r="E94" s="42"/>
      <c r="F94" s="42"/>
      <c r="G94" s="42"/>
      <c r="H94" s="45"/>
      <c r="I94" s="44"/>
      <c r="J94" s="43"/>
      <c r="K94" s="44" t="s">
        <v>1201</v>
      </c>
      <c r="L94" s="14">
        <f t="shared" si="3"/>
        <v>1</v>
      </c>
      <c r="M94" s="14">
        <f>IF(OR(L94=0,T94&lt;&gt;"Sim"),0,INDEX(Processos!$X$10:$X$509,O94))</f>
        <v>1</v>
      </c>
      <c r="N94" s="40" t="str">
        <f t="shared" si="4"/>
        <v>Informe a data da revisão financeira</v>
      </c>
      <c r="O94" s="14">
        <f>IF(AND(A94&lt;&gt;"",ISTEXT(A94),COUNTIFS(Processos!$AS$10:$AS$509,"="&amp;SUBSTITUTE(SUBSTITUTE(SUBSTITUTE("P:"&amp;A94,"~","~~"),"*","~*"),"?","~?"))=1),(IF(ISNA(MATCH(SUBSTITUTE(SUBSTITUTE(SUBSTITUTE("P:"&amp;A94,"~","~~"),"*","~*"),"?","~?"),Processos!$AS$10:$AS$509,0)),9,INDEX(Processos!$AM$10:$AM$509,MATCH(SUBSTITUTE(SUBSTITUTE(SUBSTITUTE("P:"&amp;A94,"~","~~"),"*","~*"),"?","~?"),Processos!$AS$10:$AS$509,0)))-9),0)</f>
        <v>85</v>
      </c>
      <c r="P94" s="14" t="str">
        <f>IF(L94=0,"",INDEX(Processos!$D$10:$D$509,O94))</f>
        <v>BMM Advogados</v>
      </c>
      <c r="Q94" s="14">
        <f>IF(OR(L94=0,T94&lt;&gt;"Sim"),0,INDEX(Processos!$AL$10:$AL$509,O94))</f>
        <v>1</v>
      </c>
      <c r="R94" s="14">
        <f>ROW()</f>
        <v>94</v>
      </c>
      <c r="S94" s="14" t="str">
        <f t="shared" si="5"/>
        <v>P:0010993-94.2019.5.18.0104</v>
      </c>
      <c r="T94" s="27" t="s">
        <v>1113</v>
      </c>
      <c r="U94" s="28"/>
      <c r="V94" s="28"/>
      <c r="W94" s="28"/>
      <c r="X94" s="28"/>
      <c r="Y94" s="27"/>
      <c r="Z94" s="27" t="s">
        <v>1149</v>
      </c>
      <c r="AA94" s="27"/>
      <c r="AB94" s="27"/>
    </row>
    <row r="95" spans="1:28" ht="42" customHeight="1">
      <c r="A95" s="41" t="s">
        <v>702</v>
      </c>
      <c r="B95" s="42">
        <v>73704.320000000007</v>
      </c>
      <c r="C95" s="42">
        <v>60000</v>
      </c>
      <c r="D95" s="42"/>
      <c r="E95" s="42"/>
      <c r="F95" s="42"/>
      <c r="G95" s="42"/>
      <c r="H95" s="45"/>
      <c r="I95" s="44"/>
      <c r="J95" s="43"/>
      <c r="K95" s="44" t="s">
        <v>1202</v>
      </c>
      <c r="L95" s="14">
        <f t="shared" si="3"/>
        <v>1</v>
      </c>
      <c r="M95" s="14">
        <f>IF(OR(L95=0,T95&lt;&gt;"Sim"),0,INDEX(Processos!$X$10:$X$509,O95))</f>
        <v>1</v>
      </c>
      <c r="N95" s="40" t="str">
        <f t="shared" si="4"/>
        <v>Informe a data da revisão financeira</v>
      </c>
      <c r="O95" s="14">
        <f>IF(AND(A95&lt;&gt;"",ISTEXT(A95),COUNTIFS(Processos!$AS$10:$AS$509,"="&amp;SUBSTITUTE(SUBSTITUTE(SUBSTITUTE("P:"&amp;A95,"~","~~"),"*","~*"),"?","~?"))=1),(IF(ISNA(MATCH(SUBSTITUTE(SUBSTITUTE(SUBSTITUTE("P:"&amp;A95,"~","~~"),"*","~*"),"?","~?"),Processos!$AS$10:$AS$509,0)),9,INDEX(Processos!$AM$10:$AM$509,MATCH(SUBSTITUTE(SUBSTITUTE(SUBSTITUTE("P:"&amp;A95,"~","~~"),"*","~*"),"?","~?"),Processos!$AS$10:$AS$509,0)))-9),0)</f>
        <v>86</v>
      </c>
      <c r="P95" s="14" t="str">
        <f>IF(L95=0,"",INDEX(Processos!$D$10:$D$509,O95))</f>
        <v>BMM Advogados</v>
      </c>
      <c r="Q95" s="14">
        <f>IF(OR(L95=0,T95&lt;&gt;"Sim"),0,INDEX(Processos!$AL$10:$AL$509,O95))</f>
        <v>1</v>
      </c>
      <c r="R95" s="14">
        <f>ROW()</f>
        <v>95</v>
      </c>
      <c r="S95" s="14" t="str">
        <f t="shared" si="5"/>
        <v>P:1000876-51.2020.5.02.0261</v>
      </c>
      <c r="T95" s="27" t="s">
        <v>1113</v>
      </c>
      <c r="U95" s="28"/>
      <c r="V95" s="28"/>
      <c r="W95" s="28"/>
      <c r="X95" s="28"/>
      <c r="Y95" s="27"/>
      <c r="Z95" s="27"/>
      <c r="AA95" s="27"/>
      <c r="AB95" s="27"/>
    </row>
    <row r="96" spans="1:28" ht="42" customHeight="1">
      <c r="A96" s="41" t="s">
        <v>710</v>
      </c>
      <c r="B96" s="42">
        <v>2681428.54</v>
      </c>
      <c r="C96" s="42">
        <v>2023357.8</v>
      </c>
      <c r="D96" s="42">
        <v>26266.92</v>
      </c>
      <c r="E96" s="42"/>
      <c r="F96" s="42"/>
      <c r="G96" s="42"/>
      <c r="H96" s="45"/>
      <c r="I96" s="44"/>
      <c r="J96" s="43"/>
      <c r="K96" s="44" t="s">
        <v>1203</v>
      </c>
      <c r="L96" s="14">
        <f t="shared" si="3"/>
        <v>1</v>
      </c>
      <c r="M96" s="14">
        <f>IF(OR(L96=0,T96&lt;&gt;"Sim"),0,INDEX(Processos!$X$10:$X$509,O96))</f>
        <v>1</v>
      </c>
      <c r="N96" s="40" t="str">
        <f t="shared" si="4"/>
        <v>Informe a data da revisão financeira</v>
      </c>
      <c r="O96" s="14">
        <f>IF(AND(A96&lt;&gt;"",ISTEXT(A96),COUNTIFS(Processos!$AS$10:$AS$509,"="&amp;SUBSTITUTE(SUBSTITUTE(SUBSTITUTE("P:"&amp;A96,"~","~~"),"*","~*"),"?","~?"))=1),(IF(ISNA(MATCH(SUBSTITUTE(SUBSTITUTE(SUBSTITUTE("P:"&amp;A96,"~","~~"),"*","~*"),"?","~?"),Processos!$AS$10:$AS$509,0)),9,INDEX(Processos!$AM$10:$AM$509,MATCH(SUBSTITUTE(SUBSTITUTE(SUBSTITUTE("P:"&amp;A96,"~","~~"),"*","~*"),"?","~?"),Processos!$AS$10:$AS$509,0)))-9),0)</f>
        <v>87</v>
      </c>
      <c r="P96" s="14" t="str">
        <f>IF(L96=0,"",INDEX(Processos!$D$10:$D$509,O96))</f>
        <v>BMM Advogados</v>
      </c>
      <c r="Q96" s="14">
        <f>IF(OR(L96=0,T96&lt;&gt;"Sim"),0,INDEX(Processos!$AL$10:$AL$509,O96))</f>
        <v>1</v>
      </c>
      <c r="R96" s="14">
        <f>ROW()</f>
        <v>96</v>
      </c>
      <c r="S96" s="14" t="str">
        <f t="shared" si="5"/>
        <v>P:0010723-70.2019.5.18.0104</v>
      </c>
      <c r="T96" s="27" t="s">
        <v>1113</v>
      </c>
      <c r="U96" s="28"/>
      <c r="V96" s="28"/>
      <c r="W96" s="28"/>
      <c r="X96" s="28"/>
      <c r="Y96" s="27"/>
      <c r="Z96" s="27" t="s">
        <v>1149</v>
      </c>
      <c r="AA96" s="27"/>
      <c r="AB96" s="27"/>
    </row>
    <row r="97" spans="1:28" ht="42" customHeight="1">
      <c r="A97" s="41" t="s">
        <v>715</v>
      </c>
      <c r="B97" s="42">
        <v>37297.279999999999</v>
      </c>
      <c r="C97" s="42"/>
      <c r="D97" s="42"/>
      <c r="E97" s="42"/>
      <c r="F97" s="42"/>
      <c r="G97" s="42"/>
      <c r="H97" s="45"/>
      <c r="I97" s="44"/>
      <c r="J97" s="43"/>
      <c r="K97" s="44" t="s">
        <v>1204</v>
      </c>
      <c r="L97" s="14">
        <f t="shared" si="3"/>
        <v>1</v>
      </c>
      <c r="M97" s="14">
        <f>IF(OR(L97=0,T97&lt;&gt;"Sim"),0,INDEX(Processos!$X$10:$X$509,O97))</f>
        <v>1</v>
      </c>
      <c r="N97" s="40" t="str">
        <f t="shared" si="4"/>
        <v>Informe a data da revisão financeira</v>
      </c>
      <c r="O97" s="14">
        <f>IF(AND(A97&lt;&gt;"",ISTEXT(A97),COUNTIFS(Processos!$AS$10:$AS$509,"="&amp;SUBSTITUTE(SUBSTITUTE(SUBSTITUTE("P:"&amp;A97,"~","~~"),"*","~*"),"?","~?"))=1),(IF(ISNA(MATCH(SUBSTITUTE(SUBSTITUTE(SUBSTITUTE("P:"&amp;A97,"~","~~"),"*","~*"),"?","~?"),Processos!$AS$10:$AS$509,0)),9,INDEX(Processos!$AM$10:$AM$509,MATCH(SUBSTITUTE(SUBSTITUTE(SUBSTITUTE("P:"&amp;A97,"~","~~"),"*","~*"),"?","~?"),Processos!$AS$10:$AS$509,0)))-9),0)</f>
        <v>88</v>
      </c>
      <c r="P97" s="14" t="str">
        <f>IF(L97=0,"",INDEX(Processos!$D$10:$D$509,O97))</f>
        <v>BMM Advogados</v>
      </c>
      <c r="Q97" s="14">
        <f>IF(OR(L97=0,T97&lt;&gt;"Sim"),0,INDEX(Processos!$AL$10:$AL$509,O97))</f>
        <v>1</v>
      </c>
      <c r="R97" s="14">
        <f>ROW()</f>
        <v>97</v>
      </c>
      <c r="S97" s="14" t="str">
        <f t="shared" si="5"/>
        <v>P:0000159-22.2025.5.18.0201</v>
      </c>
      <c r="T97" s="27" t="s">
        <v>1113</v>
      </c>
      <c r="U97" s="28"/>
      <c r="V97" s="28"/>
      <c r="W97" s="28"/>
      <c r="X97" s="28"/>
      <c r="Y97" s="27"/>
      <c r="Z97" s="27"/>
      <c r="AA97" s="27"/>
      <c r="AB97" s="27"/>
    </row>
    <row r="98" spans="1:28" ht="42" customHeight="1">
      <c r="A98" s="41" t="s">
        <v>721</v>
      </c>
      <c r="B98" s="42">
        <v>15000</v>
      </c>
      <c r="C98" s="42"/>
      <c r="D98" s="42"/>
      <c r="E98" s="42"/>
      <c r="F98" s="42"/>
      <c r="G98" s="42"/>
      <c r="H98" s="45"/>
      <c r="I98" s="44"/>
      <c r="J98" s="43"/>
      <c r="K98" s="44" t="s">
        <v>1205</v>
      </c>
      <c r="L98" s="14">
        <f t="shared" si="3"/>
        <v>1</v>
      </c>
      <c r="M98" s="14">
        <f>IF(OR(L98=0,T98&lt;&gt;"Sim"),0,INDEX(Processos!$X$10:$X$509,O98))</f>
        <v>1</v>
      </c>
      <c r="N98" s="40" t="str">
        <f t="shared" si="4"/>
        <v>Informe a data da revisão financeira</v>
      </c>
      <c r="O98" s="14">
        <f>IF(AND(A98&lt;&gt;"",ISTEXT(A98),COUNTIFS(Processos!$AS$10:$AS$509,"="&amp;SUBSTITUTE(SUBSTITUTE(SUBSTITUTE("P:"&amp;A98,"~","~~"),"*","~*"),"?","~?"))=1),(IF(ISNA(MATCH(SUBSTITUTE(SUBSTITUTE(SUBSTITUTE("P:"&amp;A98,"~","~~"),"*","~*"),"?","~?"),Processos!$AS$10:$AS$509,0)),9,INDEX(Processos!$AM$10:$AM$509,MATCH(SUBSTITUTE(SUBSTITUTE(SUBSTITUTE("P:"&amp;A98,"~","~~"),"*","~*"),"?","~?"),Processos!$AS$10:$AS$509,0)))-9),0)</f>
        <v>89</v>
      </c>
      <c r="P98" s="14" t="str">
        <f>IF(L98=0,"",INDEX(Processos!$D$10:$D$509,O98))</f>
        <v>BMM Advogados</v>
      </c>
      <c r="Q98" s="14">
        <f>IF(OR(L98=0,T98&lt;&gt;"Sim"),0,INDEX(Processos!$AL$10:$AL$509,O98))</f>
        <v>1</v>
      </c>
      <c r="R98" s="14">
        <f>ROW()</f>
        <v>98</v>
      </c>
      <c r="S98" s="14" t="str">
        <f t="shared" si="5"/>
        <v>P:0820668-09.2024.8.12.0001</v>
      </c>
      <c r="T98" s="27" t="s">
        <v>1113</v>
      </c>
      <c r="U98" s="28"/>
      <c r="V98" s="28"/>
      <c r="W98" s="28"/>
      <c r="X98" s="28"/>
      <c r="Y98" s="27"/>
      <c r="Z98" s="27"/>
      <c r="AA98" s="27"/>
      <c r="AB98" s="27"/>
    </row>
    <row r="99" spans="1:28" ht="42" customHeight="1">
      <c r="A99" s="41" t="s">
        <v>729</v>
      </c>
      <c r="B99" s="42"/>
      <c r="C99" s="42"/>
      <c r="D99" s="42"/>
      <c r="E99" s="42"/>
      <c r="F99" s="42"/>
      <c r="G99" s="42"/>
      <c r="H99" s="45"/>
      <c r="I99" s="44"/>
      <c r="J99" s="43"/>
      <c r="K99" s="44" t="s">
        <v>1206</v>
      </c>
      <c r="L99" s="14">
        <f t="shared" si="3"/>
        <v>1</v>
      </c>
      <c r="M99" s="14">
        <f>IF(OR(L99=0,T99&lt;&gt;"Sim"),0,INDEX(Processos!$X$10:$X$509,O99))</f>
        <v>0</v>
      </c>
      <c r="N99" s="40" t="str">
        <f t="shared" si="4"/>
        <v/>
      </c>
      <c r="O99" s="14">
        <f>IF(AND(A99&lt;&gt;"",ISTEXT(A99),COUNTIFS(Processos!$AS$10:$AS$509,"="&amp;SUBSTITUTE(SUBSTITUTE(SUBSTITUTE("P:"&amp;A99,"~","~~"),"*","~*"),"?","~?"))=1),(IF(ISNA(MATCH(SUBSTITUTE(SUBSTITUTE(SUBSTITUTE("P:"&amp;A99,"~","~~"),"*","~*"),"?","~?"),Processos!$AS$10:$AS$509,0)),9,INDEX(Processos!$AM$10:$AM$509,MATCH(SUBSTITUTE(SUBSTITUTE(SUBSTITUTE("P:"&amp;A99,"~","~~"),"*","~*"),"?","~?"),Processos!$AS$10:$AS$509,0)))-9),0)</f>
        <v>90</v>
      </c>
      <c r="P99" s="14" t="str">
        <f>IF(L99=0,"",INDEX(Processos!$D$10:$D$509,O99))</f>
        <v>BMM Advogados</v>
      </c>
      <c r="Q99" s="14">
        <f>IF(OR(L99=0,T99&lt;&gt;"Sim"),0,INDEX(Processos!$AL$10:$AL$509,O99))</f>
        <v>0</v>
      </c>
      <c r="R99" s="14">
        <f>ROW()</f>
        <v>99</v>
      </c>
      <c r="S99" s="14" t="str">
        <f t="shared" si="5"/>
        <v>P:0010941-35.2018.5.18.0104 [BMM-090]</v>
      </c>
      <c r="T99" s="27" t="s">
        <v>1117</v>
      </c>
      <c r="U99" s="28"/>
      <c r="V99" s="28"/>
      <c r="W99" s="28"/>
      <c r="X99" s="28"/>
      <c r="Y99" s="27"/>
      <c r="Z99" s="27"/>
      <c r="AA99" s="27"/>
      <c r="AB99" s="27"/>
    </row>
    <row r="100" spans="1:28" ht="42" customHeight="1">
      <c r="A100" s="41" t="s">
        <v>733</v>
      </c>
      <c r="B100" s="42">
        <v>1245291.1000000001</v>
      </c>
      <c r="C100" s="42"/>
      <c r="D100" s="42"/>
      <c r="E100" s="42"/>
      <c r="F100" s="42"/>
      <c r="G100" s="42"/>
      <c r="H100" s="45"/>
      <c r="I100" s="44"/>
      <c r="J100" s="43"/>
      <c r="K100" s="44" t="s">
        <v>1207</v>
      </c>
      <c r="L100" s="14">
        <f t="shared" si="3"/>
        <v>1</v>
      </c>
      <c r="M100" s="14">
        <f>IF(OR(L100=0,T100&lt;&gt;"Sim"),0,INDEX(Processos!$X$10:$X$509,O100))</f>
        <v>1</v>
      </c>
      <c r="N100" s="40" t="str">
        <f t="shared" si="4"/>
        <v>Informe a data da revisão financeira</v>
      </c>
      <c r="O100" s="14">
        <f>IF(AND(A100&lt;&gt;"",ISTEXT(A100),COUNTIFS(Processos!$AS$10:$AS$509,"="&amp;SUBSTITUTE(SUBSTITUTE(SUBSTITUTE("P:"&amp;A100,"~","~~"),"*","~*"),"?","~?"))=1),(IF(ISNA(MATCH(SUBSTITUTE(SUBSTITUTE(SUBSTITUTE("P:"&amp;A100,"~","~~"),"*","~*"),"?","~?"),Processos!$AS$10:$AS$509,0)),9,INDEX(Processos!$AM$10:$AM$509,MATCH(SUBSTITUTE(SUBSTITUTE(SUBSTITUTE("P:"&amp;A100,"~","~~"),"*","~*"),"?","~?"),Processos!$AS$10:$AS$509,0)))-9),0)</f>
        <v>91</v>
      </c>
      <c r="P100" s="14" t="str">
        <f>IF(L100=0,"",INDEX(Processos!$D$10:$D$509,O100))</f>
        <v>BMM Advogados</v>
      </c>
      <c r="Q100" s="14">
        <f>IF(OR(L100=0,T100&lt;&gt;"Sim"),0,INDEX(Processos!$AL$10:$AL$509,O100))</f>
        <v>1</v>
      </c>
      <c r="R100" s="14">
        <f>ROW()</f>
        <v>100</v>
      </c>
      <c r="S100" s="14" t="str">
        <f t="shared" si="5"/>
        <v>P:5263294-40.2021.8.09.0051</v>
      </c>
      <c r="T100" s="27" t="s">
        <v>1113</v>
      </c>
      <c r="U100" s="28"/>
      <c r="V100" s="28"/>
      <c r="W100" s="28"/>
      <c r="X100" s="28"/>
      <c r="Y100" s="27"/>
      <c r="Z100" s="27" t="s">
        <v>1129</v>
      </c>
      <c r="AA100" s="27"/>
      <c r="AB100" s="27"/>
    </row>
    <row r="101" spans="1:28" ht="42" customHeight="1">
      <c r="A101" s="41" t="s">
        <v>741</v>
      </c>
      <c r="B101" s="42">
        <v>13116.91</v>
      </c>
      <c r="C101" s="42"/>
      <c r="D101" s="42"/>
      <c r="E101" s="42"/>
      <c r="F101" s="42"/>
      <c r="G101" s="42"/>
      <c r="H101" s="45"/>
      <c r="I101" s="44"/>
      <c r="J101" s="43"/>
      <c r="K101" s="44" t="s">
        <v>1208</v>
      </c>
      <c r="L101" s="14">
        <f t="shared" si="3"/>
        <v>1</v>
      </c>
      <c r="M101" s="14">
        <f>IF(OR(L101=0,T101&lt;&gt;"Sim"),0,INDEX(Processos!$X$10:$X$509,O101))</f>
        <v>1</v>
      </c>
      <c r="N101" s="40" t="str">
        <f t="shared" si="4"/>
        <v>Informe a data da revisão financeira</v>
      </c>
      <c r="O101" s="14">
        <f>IF(AND(A101&lt;&gt;"",ISTEXT(A101),COUNTIFS(Processos!$AS$10:$AS$509,"="&amp;SUBSTITUTE(SUBSTITUTE(SUBSTITUTE("P:"&amp;A101,"~","~~"),"*","~*"),"?","~?"))=1),(IF(ISNA(MATCH(SUBSTITUTE(SUBSTITUTE(SUBSTITUTE("P:"&amp;A101,"~","~~"),"*","~*"),"?","~?"),Processos!$AS$10:$AS$509,0)),9,INDEX(Processos!$AM$10:$AM$509,MATCH(SUBSTITUTE(SUBSTITUTE(SUBSTITUTE("P:"&amp;A101,"~","~~"),"*","~*"),"?","~?"),Processos!$AS$10:$AS$509,0)))-9),0)</f>
        <v>92</v>
      </c>
      <c r="P101" s="14" t="str">
        <f>IF(L101=0,"",INDEX(Processos!$D$10:$D$509,O101))</f>
        <v>BMM Advogados</v>
      </c>
      <c r="Q101" s="14">
        <f>IF(OR(L101=0,T101&lt;&gt;"Sim"),0,INDEX(Processos!$AL$10:$AL$509,O101))</f>
        <v>1</v>
      </c>
      <c r="R101" s="14">
        <f>ROW()</f>
        <v>101</v>
      </c>
      <c r="S101" s="14" t="str">
        <f t="shared" si="5"/>
        <v>P:5542516-52.2025.8.09.0045</v>
      </c>
      <c r="T101" s="27" t="s">
        <v>1113</v>
      </c>
      <c r="U101" s="28"/>
      <c r="V101" s="28"/>
      <c r="W101" s="28"/>
      <c r="X101" s="28"/>
      <c r="Y101" s="27"/>
      <c r="Z101" s="27"/>
      <c r="AA101" s="27"/>
      <c r="AB101" s="27"/>
    </row>
    <row r="102" spans="1:28" ht="42" customHeight="1">
      <c r="A102" s="41" t="s">
        <v>747</v>
      </c>
      <c r="B102" s="42">
        <v>68004.679999999993</v>
      </c>
      <c r="C102" s="42"/>
      <c r="D102" s="42"/>
      <c r="E102" s="42"/>
      <c r="F102" s="42"/>
      <c r="G102" s="42"/>
      <c r="H102" s="45"/>
      <c r="I102" s="44"/>
      <c r="J102" s="43"/>
      <c r="K102" s="44" t="s">
        <v>1209</v>
      </c>
      <c r="L102" s="14">
        <f t="shared" si="3"/>
        <v>1</v>
      </c>
      <c r="M102" s="14">
        <f>IF(OR(L102=0,T102&lt;&gt;"Sim"),0,INDEX(Processos!$X$10:$X$509,O102))</f>
        <v>0</v>
      </c>
      <c r="N102" s="40" t="str">
        <f t="shared" si="4"/>
        <v>Informe a data da revisão financeira</v>
      </c>
      <c r="O102" s="14">
        <f>IF(AND(A102&lt;&gt;"",ISTEXT(A102),COUNTIFS(Processos!$AS$10:$AS$509,"="&amp;SUBSTITUTE(SUBSTITUTE(SUBSTITUTE("P:"&amp;A102,"~","~~"),"*","~*"),"?","~?"))=1),(IF(ISNA(MATCH(SUBSTITUTE(SUBSTITUTE(SUBSTITUTE("P:"&amp;A102,"~","~~"),"*","~*"),"?","~?"),Processos!$AS$10:$AS$509,0)),9,INDEX(Processos!$AM$10:$AM$509,MATCH(SUBSTITUTE(SUBSTITUTE(SUBSTITUTE("P:"&amp;A102,"~","~~"),"*","~*"),"?","~?"),Processos!$AS$10:$AS$509,0)))-9),0)</f>
        <v>93</v>
      </c>
      <c r="P102" s="14" t="str">
        <f>IF(L102=0,"",INDEX(Processos!$D$10:$D$509,O102))</f>
        <v>BMM Advogados</v>
      </c>
      <c r="Q102" s="14">
        <f>IF(OR(L102=0,T102&lt;&gt;"Sim"),0,INDEX(Processos!$AL$10:$AL$509,O102))</f>
        <v>0</v>
      </c>
      <c r="R102" s="14">
        <f>ROW()</f>
        <v>102</v>
      </c>
      <c r="S102" s="14" t="str">
        <f t="shared" si="5"/>
        <v>P:0011074-81.2024.5.03.0008 [BMM-093]</v>
      </c>
      <c r="T102" s="27" t="s">
        <v>1117</v>
      </c>
      <c r="U102" s="28"/>
      <c r="V102" s="28"/>
      <c r="W102" s="28"/>
      <c r="X102" s="28"/>
      <c r="Y102" s="27"/>
      <c r="Z102" s="27"/>
      <c r="AA102" s="27"/>
      <c r="AB102" s="27"/>
    </row>
    <row r="103" spans="1:28" ht="42" customHeight="1">
      <c r="A103" s="41" t="s">
        <v>754</v>
      </c>
      <c r="B103" s="42">
        <v>10000</v>
      </c>
      <c r="C103" s="42"/>
      <c r="D103" s="42"/>
      <c r="E103" s="42"/>
      <c r="F103" s="42"/>
      <c r="G103" s="42"/>
      <c r="H103" s="45"/>
      <c r="I103" s="44"/>
      <c r="J103" s="43"/>
      <c r="K103" s="44" t="s">
        <v>1210</v>
      </c>
      <c r="L103" s="14">
        <f t="shared" si="3"/>
        <v>1</v>
      </c>
      <c r="M103" s="14">
        <f>IF(OR(L103=0,T103&lt;&gt;"Sim"),0,INDEX(Processos!$X$10:$X$509,O103))</f>
        <v>1</v>
      </c>
      <c r="N103" s="40" t="str">
        <f t="shared" si="4"/>
        <v>Informe a data da revisão financeira</v>
      </c>
      <c r="O103" s="14">
        <f>IF(AND(A103&lt;&gt;"",ISTEXT(A103),COUNTIFS(Processos!$AS$10:$AS$509,"="&amp;SUBSTITUTE(SUBSTITUTE(SUBSTITUTE("P:"&amp;A103,"~","~~"),"*","~*"),"?","~?"))=1),(IF(ISNA(MATCH(SUBSTITUTE(SUBSTITUTE(SUBSTITUTE("P:"&amp;A103,"~","~~"),"*","~*"),"?","~?"),Processos!$AS$10:$AS$509,0)),9,INDEX(Processos!$AM$10:$AM$509,MATCH(SUBSTITUTE(SUBSTITUTE(SUBSTITUTE("P:"&amp;A103,"~","~~"),"*","~*"),"?","~?"),Processos!$AS$10:$AS$509,0)))-9),0)</f>
        <v>94</v>
      </c>
      <c r="P103" s="14" t="str">
        <f>IF(L103=0,"",INDEX(Processos!$D$10:$D$509,O103))</f>
        <v>BMM Advogados</v>
      </c>
      <c r="Q103" s="14">
        <f>IF(OR(L103=0,T103&lt;&gt;"Sim"),0,INDEX(Processos!$AL$10:$AL$509,O103))</f>
        <v>1</v>
      </c>
      <c r="R103" s="14">
        <f>ROW()</f>
        <v>103</v>
      </c>
      <c r="S103" s="14" t="str">
        <f t="shared" si="5"/>
        <v>P:1095925-23.2025.8.13.0024</v>
      </c>
      <c r="T103" s="27" t="s">
        <v>1113</v>
      </c>
      <c r="U103" s="28"/>
      <c r="V103" s="28"/>
      <c r="W103" s="28"/>
      <c r="X103" s="28"/>
      <c r="Y103" s="27"/>
      <c r="Z103" s="27" t="s">
        <v>1129</v>
      </c>
      <c r="AA103" s="27"/>
      <c r="AB103" s="27"/>
    </row>
    <row r="104" spans="1:28" ht="42" customHeight="1">
      <c r="A104" s="41" t="s">
        <v>760</v>
      </c>
      <c r="B104" s="42">
        <v>350000</v>
      </c>
      <c r="C104" s="42">
        <v>453450.18</v>
      </c>
      <c r="D104" s="42"/>
      <c r="E104" s="42"/>
      <c r="F104" s="42"/>
      <c r="G104" s="42"/>
      <c r="H104" s="45"/>
      <c r="I104" s="44"/>
      <c r="J104" s="43"/>
      <c r="K104" s="44" t="s">
        <v>1211</v>
      </c>
      <c r="L104" s="14">
        <f t="shared" si="3"/>
        <v>1</v>
      </c>
      <c r="M104" s="14">
        <f>IF(OR(L104=0,T104&lt;&gt;"Sim"),0,INDEX(Processos!$X$10:$X$509,O104))</f>
        <v>1</v>
      </c>
      <c r="N104" s="40" t="str">
        <f t="shared" si="4"/>
        <v>Informe a data da revisão financeira</v>
      </c>
      <c r="O104" s="14">
        <f>IF(AND(A104&lt;&gt;"",ISTEXT(A104),COUNTIFS(Processos!$AS$10:$AS$509,"="&amp;SUBSTITUTE(SUBSTITUTE(SUBSTITUTE("P:"&amp;A104,"~","~~"),"*","~*"),"?","~?"))=1),(IF(ISNA(MATCH(SUBSTITUTE(SUBSTITUTE(SUBSTITUTE("P:"&amp;A104,"~","~~"),"*","~*"),"?","~?"),Processos!$AS$10:$AS$509,0)),9,INDEX(Processos!$AM$10:$AM$509,MATCH(SUBSTITUTE(SUBSTITUTE(SUBSTITUTE("P:"&amp;A104,"~","~~"),"*","~*"),"?","~?"),Processos!$AS$10:$AS$509,0)))-9),0)</f>
        <v>95</v>
      </c>
      <c r="P104" s="14" t="str">
        <f>IF(L104=0,"",INDEX(Processos!$D$10:$D$509,O104))</f>
        <v>BMM Advogados</v>
      </c>
      <c r="Q104" s="14">
        <f>IF(OR(L104=0,T104&lt;&gt;"Sim"),0,INDEX(Processos!$AL$10:$AL$509,O104))</f>
        <v>1</v>
      </c>
      <c r="R104" s="14">
        <f>ROW()</f>
        <v>104</v>
      </c>
      <c r="S104" s="14" t="str">
        <f t="shared" si="5"/>
        <v>P:0000330-07.2025.5.10.0005</v>
      </c>
      <c r="T104" s="27" t="s">
        <v>1113</v>
      </c>
      <c r="U104" s="28"/>
      <c r="V104" s="28"/>
      <c r="W104" s="28"/>
      <c r="X104" s="28"/>
      <c r="Y104" s="27"/>
      <c r="Z104" s="27" t="s">
        <v>1149</v>
      </c>
      <c r="AA104" s="27"/>
      <c r="AB104" s="27"/>
    </row>
    <row r="105" spans="1:28" ht="42" customHeight="1">
      <c r="A105" s="41" t="s">
        <v>766</v>
      </c>
      <c r="B105" s="42">
        <v>295800</v>
      </c>
      <c r="C105" s="42"/>
      <c r="D105" s="42"/>
      <c r="E105" s="42"/>
      <c r="F105" s="42"/>
      <c r="G105" s="42"/>
      <c r="H105" s="45"/>
      <c r="I105" s="44"/>
      <c r="J105" s="43"/>
      <c r="K105" s="44" t="s">
        <v>1212</v>
      </c>
      <c r="L105" s="14">
        <f t="shared" si="3"/>
        <v>1</v>
      </c>
      <c r="M105" s="14">
        <f>IF(OR(L105=0,T105&lt;&gt;"Sim"),0,INDEX(Processos!$X$10:$X$509,O105))</f>
        <v>1</v>
      </c>
      <c r="N105" s="40" t="str">
        <f t="shared" si="4"/>
        <v>Informe a data da revisão financeira</v>
      </c>
      <c r="O105" s="14">
        <f>IF(AND(A105&lt;&gt;"",ISTEXT(A105),COUNTIFS(Processos!$AS$10:$AS$509,"="&amp;SUBSTITUTE(SUBSTITUTE(SUBSTITUTE("P:"&amp;A105,"~","~~"),"*","~*"),"?","~?"))=1),(IF(ISNA(MATCH(SUBSTITUTE(SUBSTITUTE(SUBSTITUTE("P:"&amp;A105,"~","~~"),"*","~*"),"?","~?"),Processos!$AS$10:$AS$509,0)),9,INDEX(Processos!$AM$10:$AM$509,MATCH(SUBSTITUTE(SUBSTITUTE(SUBSTITUTE("P:"&amp;A105,"~","~~"),"*","~*"),"?","~?"),Processos!$AS$10:$AS$509,0)))-9),0)</f>
        <v>96</v>
      </c>
      <c r="P105" s="14" t="str">
        <f>IF(L105=0,"",INDEX(Processos!$D$10:$D$509,O105))</f>
        <v>BMM Advogados</v>
      </c>
      <c r="Q105" s="14">
        <f>IF(OR(L105=0,T105&lt;&gt;"Sim"),0,INDEX(Processos!$AL$10:$AL$509,O105))</f>
        <v>1</v>
      </c>
      <c r="R105" s="14">
        <f>ROW()</f>
        <v>105</v>
      </c>
      <c r="S105" s="14" t="str">
        <f t="shared" si="5"/>
        <v>P:0001127-22.2025.5.18.0211</v>
      </c>
      <c r="T105" s="27" t="s">
        <v>1113</v>
      </c>
      <c r="U105" s="28"/>
      <c r="V105" s="28"/>
      <c r="W105" s="28"/>
      <c r="X105" s="28"/>
      <c r="Y105" s="27"/>
      <c r="Z105" s="27"/>
      <c r="AA105" s="27"/>
      <c r="AB105" s="27"/>
    </row>
    <row r="106" spans="1:28" ht="42" customHeight="1">
      <c r="A106" s="41" t="s">
        <v>771</v>
      </c>
      <c r="B106" s="42">
        <v>360876</v>
      </c>
      <c r="C106" s="42"/>
      <c r="D106" s="42"/>
      <c r="E106" s="42"/>
      <c r="F106" s="42"/>
      <c r="G106" s="42"/>
      <c r="H106" s="45"/>
      <c r="I106" s="44"/>
      <c r="J106" s="43"/>
      <c r="K106" s="44" t="s">
        <v>1213</v>
      </c>
      <c r="L106" s="14">
        <f t="shared" si="3"/>
        <v>1</v>
      </c>
      <c r="M106" s="14">
        <f>IF(OR(L106=0,T106&lt;&gt;"Sim"),0,INDEX(Processos!$X$10:$X$509,O106))</f>
        <v>1</v>
      </c>
      <c r="N106" s="40" t="str">
        <f t="shared" si="4"/>
        <v>Informe a data da revisão financeira</v>
      </c>
      <c r="O106" s="14">
        <f>IF(AND(A106&lt;&gt;"",ISTEXT(A106),COUNTIFS(Processos!$AS$10:$AS$509,"="&amp;SUBSTITUTE(SUBSTITUTE(SUBSTITUTE("P:"&amp;A106,"~","~~"),"*","~*"),"?","~?"))=1),(IF(ISNA(MATCH(SUBSTITUTE(SUBSTITUTE(SUBSTITUTE("P:"&amp;A106,"~","~~"),"*","~*"),"?","~?"),Processos!$AS$10:$AS$509,0)),9,INDEX(Processos!$AM$10:$AM$509,MATCH(SUBSTITUTE(SUBSTITUTE(SUBSTITUTE("P:"&amp;A106,"~","~~"),"*","~*"),"?","~?"),Processos!$AS$10:$AS$509,0)))-9),0)</f>
        <v>97</v>
      </c>
      <c r="P106" s="14" t="str">
        <f>IF(L106=0,"",INDEX(Processos!$D$10:$D$509,O106))</f>
        <v>BMM Advogados</v>
      </c>
      <c r="Q106" s="14">
        <f>IF(OR(L106=0,T106&lt;&gt;"Sim"),0,INDEX(Processos!$AL$10:$AL$509,O106))</f>
        <v>1</v>
      </c>
      <c r="R106" s="14">
        <f>ROW()</f>
        <v>106</v>
      </c>
      <c r="S106" s="14" t="str">
        <f t="shared" si="5"/>
        <v>P:0001128-07.2025.5.18.0211</v>
      </c>
      <c r="T106" s="27" t="s">
        <v>1113</v>
      </c>
      <c r="U106" s="28"/>
      <c r="V106" s="28"/>
      <c r="W106" s="28"/>
      <c r="X106" s="28"/>
      <c r="Y106" s="27"/>
      <c r="Z106" s="27"/>
      <c r="AA106" s="27"/>
      <c r="AB106" s="27"/>
    </row>
    <row r="107" spans="1:28" ht="42" customHeight="1">
      <c r="A107" s="41" t="s">
        <v>775</v>
      </c>
      <c r="B107" s="42">
        <v>12952.93</v>
      </c>
      <c r="C107" s="42">
        <v>18091.02</v>
      </c>
      <c r="D107" s="42"/>
      <c r="E107" s="42"/>
      <c r="F107" s="42"/>
      <c r="G107" s="42"/>
      <c r="H107" s="45"/>
      <c r="I107" s="44"/>
      <c r="J107" s="43"/>
      <c r="K107" s="44" t="s">
        <v>1214</v>
      </c>
      <c r="L107" s="14">
        <f t="shared" si="3"/>
        <v>1</v>
      </c>
      <c r="M107" s="14">
        <f>IF(OR(L107=0,T107&lt;&gt;"Sim"),0,INDEX(Processos!$X$10:$X$509,O107))</f>
        <v>1</v>
      </c>
      <c r="N107" s="40" t="str">
        <f t="shared" si="4"/>
        <v>Informe a data da revisão financeira</v>
      </c>
      <c r="O107" s="14">
        <f>IF(AND(A107&lt;&gt;"",ISTEXT(A107),COUNTIFS(Processos!$AS$10:$AS$509,"="&amp;SUBSTITUTE(SUBSTITUTE(SUBSTITUTE("P:"&amp;A107,"~","~~"),"*","~*"),"?","~?"))=1),(IF(ISNA(MATCH(SUBSTITUTE(SUBSTITUTE(SUBSTITUTE("P:"&amp;A107,"~","~~"),"*","~*"),"?","~?"),Processos!$AS$10:$AS$509,0)),9,INDEX(Processos!$AM$10:$AM$509,MATCH(SUBSTITUTE(SUBSTITUTE(SUBSTITUTE("P:"&amp;A107,"~","~~"),"*","~*"),"?","~?"),Processos!$AS$10:$AS$509,0)))-9),0)</f>
        <v>98</v>
      </c>
      <c r="P107" s="14" t="str">
        <f>IF(L107=0,"",INDEX(Processos!$D$10:$D$509,O107))</f>
        <v>BMM Advogados</v>
      </c>
      <c r="Q107" s="14">
        <f>IF(OR(L107=0,T107&lt;&gt;"Sim"),0,INDEX(Processos!$AL$10:$AL$509,O107))</f>
        <v>1</v>
      </c>
      <c r="R107" s="14">
        <f>ROW()</f>
        <v>107</v>
      </c>
      <c r="S107" s="14" t="str">
        <f t="shared" si="5"/>
        <v>P:0010890-77.2018.5.18.0054</v>
      </c>
      <c r="T107" s="27" t="s">
        <v>1113</v>
      </c>
      <c r="U107" s="28"/>
      <c r="V107" s="28"/>
      <c r="W107" s="28"/>
      <c r="X107" s="28"/>
      <c r="Y107" s="27"/>
      <c r="Z107" s="27" t="s">
        <v>1129</v>
      </c>
      <c r="AA107" s="27"/>
      <c r="AB107" s="27"/>
    </row>
    <row r="108" spans="1:28" ht="42" customHeight="1">
      <c r="A108" s="41" t="s">
        <v>781</v>
      </c>
      <c r="B108" s="42">
        <v>24889.15</v>
      </c>
      <c r="C108" s="42">
        <v>28497.87</v>
      </c>
      <c r="D108" s="42"/>
      <c r="E108" s="42"/>
      <c r="F108" s="42"/>
      <c r="G108" s="42"/>
      <c r="H108" s="45"/>
      <c r="I108" s="44"/>
      <c r="J108" s="43"/>
      <c r="K108" s="44" t="s">
        <v>1215</v>
      </c>
      <c r="L108" s="14">
        <f t="shared" si="3"/>
        <v>1</v>
      </c>
      <c r="M108" s="14">
        <f>IF(OR(L108=0,T108&lt;&gt;"Sim"),0,INDEX(Processos!$X$10:$X$509,O108))</f>
        <v>1</v>
      </c>
      <c r="N108" s="40" t="str">
        <f t="shared" si="4"/>
        <v>Informe a data da revisão financeira</v>
      </c>
      <c r="O108" s="14">
        <f>IF(AND(A108&lt;&gt;"",ISTEXT(A108),COUNTIFS(Processos!$AS$10:$AS$509,"="&amp;SUBSTITUTE(SUBSTITUTE(SUBSTITUTE("P:"&amp;A108,"~","~~"),"*","~*"),"?","~?"))=1),(IF(ISNA(MATCH(SUBSTITUTE(SUBSTITUTE(SUBSTITUTE("P:"&amp;A108,"~","~~"),"*","~*"),"?","~?"),Processos!$AS$10:$AS$509,0)),9,INDEX(Processos!$AM$10:$AM$509,MATCH(SUBSTITUTE(SUBSTITUTE(SUBSTITUTE("P:"&amp;A108,"~","~~"),"*","~*"),"?","~?"),Processos!$AS$10:$AS$509,0)))-9),0)</f>
        <v>99</v>
      </c>
      <c r="P108" s="14" t="str">
        <f>IF(L108=0,"",INDEX(Processos!$D$10:$D$509,O108))</f>
        <v>BMM Advogados</v>
      </c>
      <c r="Q108" s="14">
        <f>IF(OR(L108=0,T108&lt;&gt;"Sim"),0,INDEX(Processos!$AL$10:$AL$509,O108))</f>
        <v>1</v>
      </c>
      <c r="R108" s="14">
        <f>ROW()</f>
        <v>108</v>
      </c>
      <c r="S108" s="14" t="str">
        <f t="shared" si="5"/>
        <v>P:0010008-81.2019.5.18.0054</v>
      </c>
      <c r="T108" s="27" t="s">
        <v>1113</v>
      </c>
      <c r="U108" s="28"/>
      <c r="V108" s="28"/>
      <c r="W108" s="28"/>
      <c r="X108" s="28"/>
      <c r="Y108" s="27"/>
      <c r="Z108" s="27" t="s">
        <v>1129</v>
      </c>
      <c r="AA108" s="27"/>
      <c r="AB108" s="27"/>
    </row>
    <row r="109" spans="1:28" ht="42" customHeight="1">
      <c r="A109" s="41" t="s">
        <v>787</v>
      </c>
      <c r="B109" s="42">
        <v>33486.449999999997</v>
      </c>
      <c r="C109" s="42">
        <v>1921.41</v>
      </c>
      <c r="D109" s="42"/>
      <c r="E109" s="42"/>
      <c r="F109" s="42"/>
      <c r="G109" s="42"/>
      <c r="H109" s="45"/>
      <c r="I109" s="44"/>
      <c r="J109" s="43"/>
      <c r="K109" s="44" t="s">
        <v>1216</v>
      </c>
      <c r="L109" s="14">
        <f t="shared" si="3"/>
        <v>1</v>
      </c>
      <c r="M109" s="14">
        <f>IF(OR(L109=0,T109&lt;&gt;"Sim"),0,INDEX(Processos!$X$10:$X$509,O109))</f>
        <v>1</v>
      </c>
      <c r="N109" s="40" t="str">
        <f t="shared" si="4"/>
        <v>Informe a data da revisão financeira</v>
      </c>
      <c r="O109" s="14">
        <f>IF(AND(A109&lt;&gt;"",ISTEXT(A109),COUNTIFS(Processos!$AS$10:$AS$509,"="&amp;SUBSTITUTE(SUBSTITUTE(SUBSTITUTE("P:"&amp;A109,"~","~~"),"*","~*"),"?","~?"))=1),(IF(ISNA(MATCH(SUBSTITUTE(SUBSTITUTE(SUBSTITUTE("P:"&amp;A109,"~","~~"),"*","~*"),"?","~?"),Processos!$AS$10:$AS$509,0)),9,INDEX(Processos!$AM$10:$AM$509,MATCH(SUBSTITUTE(SUBSTITUTE(SUBSTITUTE("P:"&amp;A109,"~","~~"),"*","~*"),"?","~?"),Processos!$AS$10:$AS$509,0)))-9),0)</f>
        <v>100</v>
      </c>
      <c r="P109" s="14" t="str">
        <f>IF(L109=0,"",INDEX(Processos!$D$10:$D$509,O109))</f>
        <v>BMM Advogados</v>
      </c>
      <c r="Q109" s="14">
        <f>IF(OR(L109=0,T109&lt;&gt;"Sim"),0,INDEX(Processos!$AL$10:$AL$509,O109))</f>
        <v>1</v>
      </c>
      <c r="R109" s="14">
        <f>ROW()</f>
        <v>109</v>
      </c>
      <c r="S109" s="14" t="str">
        <f t="shared" si="5"/>
        <v>P:0010009-66.2019.5.18.0054</v>
      </c>
      <c r="T109" s="27" t="s">
        <v>1113</v>
      </c>
      <c r="U109" s="28"/>
      <c r="V109" s="28"/>
      <c r="W109" s="28"/>
      <c r="X109" s="28"/>
      <c r="Y109" s="27"/>
      <c r="Z109" s="27" t="s">
        <v>1129</v>
      </c>
      <c r="AA109" s="27"/>
      <c r="AB109" s="27"/>
    </row>
    <row r="110" spans="1:28" ht="42" customHeight="1">
      <c r="A110" s="41" t="s">
        <v>792</v>
      </c>
      <c r="B110" s="42">
        <v>171753.38</v>
      </c>
      <c r="C110" s="42"/>
      <c r="D110" s="42"/>
      <c r="E110" s="42"/>
      <c r="F110" s="42"/>
      <c r="G110" s="42"/>
      <c r="H110" s="45"/>
      <c r="I110" s="44"/>
      <c r="J110" s="43"/>
      <c r="K110" s="44" t="s">
        <v>1217</v>
      </c>
      <c r="L110" s="14">
        <f t="shared" si="3"/>
        <v>1</v>
      </c>
      <c r="M110" s="14">
        <f>IF(OR(L110=0,T110&lt;&gt;"Sim"),0,INDEX(Processos!$X$10:$X$509,O110))</f>
        <v>1</v>
      </c>
      <c r="N110" s="40" t="str">
        <f t="shared" si="4"/>
        <v>Informe a data da revisão financeira</v>
      </c>
      <c r="O110" s="14">
        <f>IF(AND(A110&lt;&gt;"",ISTEXT(A110),COUNTIFS(Processos!$AS$10:$AS$509,"="&amp;SUBSTITUTE(SUBSTITUTE(SUBSTITUTE("P:"&amp;A110,"~","~~"),"*","~*"),"?","~?"))=1),(IF(ISNA(MATCH(SUBSTITUTE(SUBSTITUTE(SUBSTITUTE("P:"&amp;A110,"~","~~"),"*","~*"),"?","~?"),Processos!$AS$10:$AS$509,0)),9,INDEX(Processos!$AM$10:$AM$509,MATCH(SUBSTITUTE(SUBSTITUTE(SUBSTITUTE("P:"&amp;A110,"~","~~"),"*","~*"),"?","~?"),Processos!$AS$10:$AS$509,0)))-9),0)</f>
        <v>101</v>
      </c>
      <c r="P110" s="14" t="str">
        <f>IF(L110=0,"",INDEX(Processos!$D$10:$D$509,O110))</f>
        <v>BMM Advogados</v>
      </c>
      <c r="Q110" s="14">
        <f>IF(OR(L110=0,T110&lt;&gt;"Sim"),0,INDEX(Processos!$AL$10:$AL$509,O110))</f>
        <v>1</v>
      </c>
      <c r="R110" s="14">
        <f>ROW()</f>
        <v>110</v>
      </c>
      <c r="S110" s="14" t="str">
        <f t="shared" si="5"/>
        <v>P:0002951-37.2019.8.27.2729</v>
      </c>
      <c r="T110" s="27" t="s">
        <v>1113</v>
      </c>
      <c r="U110" s="28"/>
      <c r="V110" s="28"/>
      <c r="W110" s="28"/>
      <c r="X110" s="28"/>
      <c r="Y110" s="27"/>
      <c r="Z110" s="27"/>
      <c r="AA110" s="27"/>
      <c r="AB110" s="27"/>
    </row>
    <row r="111" spans="1:28" ht="42" customHeight="1">
      <c r="A111" s="41" t="s">
        <v>799</v>
      </c>
      <c r="B111" s="42">
        <v>141556.26</v>
      </c>
      <c r="C111" s="42"/>
      <c r="D111" s="42"/>
      <c r="E111" s="42"/>
      <c r="F111" s="42"/>
      <c r="G111" s="42"/>
      <c r="H111" s="45"/>
      <c r="I111" s="44"/>
      <c r="J111" s="43"/>
      <c r="K111" s="44" t="s">
        <v>1218</v>
      </c>
      <c r="L111" s="14">
        <f t="shared" si="3"/>
        <v>1</v>
      </c>
      <c r="M111" s="14">
        <f>IF(OR(L111=0,T111&lt;&gt;"Sim"),0,INDEX(Processos!$X$10:$X$509,O111))</f>
        <v>0</v>
      </c>
      <c r="N111" s="40" t="str">
        <f t="shared" si="4"/>
        <v>Informe a data da revisão financeira</v>
      </c>
      <c r="O111" s="14">
        <f>IF(AND(A111&lt;&gt;"",ISTEXT(A111),COUNTIFS(Processos!$AS$10:$AS$509,"="&amp;SUBSTITUTE(SUBSTITUTE(SUBSTITUTE("P:"&amp;A111,"~","~~"),"*","~*"),"?","~?"))=1),(IF(ISNA(MATCH(SUBSTITUTE(SUBSTITUTE(SUBSTITUTE("P:"&amp;A111,"~","~~"),"*","~*"),"?","~?"),Processos!$AS$10:$AS$509,0)),9,INDEX(Processos!$AM$10:$AM$509,MATCH(SUBSTITUTE(SUBSTITUTE(SUBSTITUTE("P:"&amp;A111,"~","~~"),"*","~*"),"?","~?"),Processos!$AS$10:$AS$509,0)))-9),0)</f>
        <v>102</v>
      </c>
      <c r="P111" s="14" t="str">
        <f>IF(L111=0,"",INDEX(Processos!$D$10:$D$509,O111))</f>
        <v>BMM Advogados</v>
      </c>
      <c r="Q111" s="14">
        <f>IF(OR(L111=0,T111&lt;&gt;"Sim"),0,INDEX(Processos!$AL$10:$AL$509,O111))</f>
        <v>0</v>
      </c>
      <c r="R111" s="14">
        <f>ROW()</f>
        <v>111</v>
      </c>
      <c r="S111" s="14" t="str">
        <f t="shared" si="5"/>
        <v>P:5239168-56.2026.8.09.0145 [BMM-102]</v>
      </c>
      <c r="T111" s="27" t="s">
        <v>1117</v>
      </c>
      <c r="U111" s="28"/>
      <c r="V111" s="28"/>
      <c r="W111" s="28"/>
      <c r="X111" s="28"/>
      <c r="Y111" s="27"/>
      <c r="Z111" s="27"/>
      <c r="AA111" s="27"/>
      <c r="AB111" s="27"/>
    </row>
    <row r="112" spans="1:28" ht="42" customHeight="1">
      <c r="A112" s="41" t="s">
        <v>805</v>
      </c>
      <c r="B112" s="42">
        <v>1939.12</v>
      </c>
      <c r="C112" s="42"/>
      <c r="D112" s="42"/>
      <c r="E112" s="42"/>
      <c r="F112" s="42"/>
      <c r="G112" s="42"/>
      <c r="H112" s="45"/>
      <c r="I112" s="44"/>
      <c r="J112" s="43"/>
      <c r="K112" s="44" t="s">
        <v>1219</v>
      </c>
      <c r="L112" s="14">
        <f t="shared" si="3"/>
        <v>1</v>
      </c>
      <c r="M112" s="14">
        <f>IF(OR(L112=0,T112&lt;&gt;"Sim"),0,INDEX(Processos!$X$10:$X$509,O112))</f>
        <v>1</v>
      </c>
      <c r="N112" s="40" t="str">
        <f t="shared" si="4"/>
        <v>Informe a data da revisão financeira</v>
      </c>
      <c r="O112" s="14">
        <f>IF(AND(A112&lt;&gt;"",ISTEXT(A112),COUNTIFS(Processos!$AS$10:$AS$509,"="&amp;SUBSTITUTE(SUBSTITUTE(SUBSTITUTE("P:"&amp;A112,"~","~~"),"*","~*"),"?","~?"))=1),(IF(ISNA(MATCH(SUBSTITUTE(SUBSTITUTE(SUBSTITUTE("P:"&amp;A112,"~","~~"),"*","~*"),"?","~?"),Processos!$AS$10:$AS$509,0)),9,INDEX(Processos!$AM$10:$AM$509,MATCH(SUBSTITUTE(SUBSTITUTE(SUBSTITUTE("P:"&amp;A112,"~","~~"),"*","~*"),"?","~?"),Processos!$AS$10:$AS$509,0)))-9),0)</f>
        <v>103</v>
      </c>
      <c r="P112" s="14" t="str">
        <f>IF(L112=0,"",INDEX(Processos!$D$10:$D$509,O112))</f>
        <v>BMM Advogados</v>
      </c>
      <c r="Q112" s="14">
        <f>IF(OR(L112=0,T112&lt;&gt;"Sim"),0,INDEX(Processos!$AL$10:$AL$509,O112))</f>
        <v>1</v>
      </c>
      <c r="R112" s="14">
        <f>ROW()</f>
        <v>112</v>
      </c>
      <c r="S112" s="14" t="str">
        <f t="shared" si="5"/>
        <v>P:5049644-08.2019.8.09.0138</v>
      </c>
      <c r="T112" s="27" t="s">
        <v>1113</v>
      </c>
      <c r="U112" s="28"/>
      <c r="V112" s="28"/>
      <c r="W112" s="28"/>
      <c r="X112" s="28"/>
      <c r="Y112" s="27"/>
      <c r="Z112" s="27"/>
      <c r="AA112" s="27"/>
      <c r="AB112" s="27"/>
    </row>
    <row r="113" spans="1:28" ht="42" customHeight="1">
      <c r="A113" s="41" t="s">
        <v>812</v>
      </c>
      <c r="B113" s="42">
        <v>68004.679999999993</v>
      </c>
      <c r="C113" s="42"/>
      <c r="D113" s="42"/>
      <c r="E113" s="42"/>
      <c r="F113" s="42"/>
      <c r="G113" s="42"/>
      <c r="H113" s="45"/>
      <c r="I113" s="44"/>
      <c r="J113" s="43"/>
      <c r="K113" s="44" t="s">
        <v>1220</v>
      </c>
      <c r="L113" s="14">
        <f t="shared" si="3"/>
        <v>1</v>
      </c>
      <c r="M113" s="14">
        <f>IF(OR(L113=0,T113&lt;&gt;"Sim"),0,INDEX(Processos!$X$10:$X$509,O113))</f>
        <v>0</v>
      </c>
      <c r="N113" s="40" t="str">
        <f t="shared" si="4"/>
        <v>Informe a data da revisão financeira</v>
      </c>
      <c r="O113" s="14">
        <f>IF(AND(A113&lt;&gt;"",ISTEXT(A113),COUNTIFS(Processos!$AS$10:$AS$509,"="&amp;SUBSTITUTE(SUBSTITUTE(SUBSTITUTE("P:"&amp;A113,"~","~~"),"*","~*"),"?","~?"))=1),(IF(ISNA(MATCH(SUBSTITUTE(SUBSTITUTE(SUBSTITUTE("P:"&amp;A113,"~","~~"),"*","~*"),"?","~?"),Processos!$AS$10:$AS$509,0)),9,INDEX(Processos!$AM$10:$AM$509,MATCH(SUBSTITUTE(SUBSTITUTE(SUBSTITUTE("P:"&amp;A113,"~","~~"),"*","~*"),"?","~?"),Processos!$AS$10:$AS$509,0)))-9),0)</f>
        <v>104</v>
      </c>
      <c r="P113" s="14" t="str">
        <f>IF(L113=0,"",INDEX(Processos!$D$10:$D$509,O113))</f>
        <v>BMM Advogados</v>
      </c>
      <c r="Q113" s="14">
        <f>IF(OR(L113=0,T113&lt;&gt;"Sim"),0,INDEX(Processos!$AL$10:$AL$509,O113))</f>
        <v>0</v>
      </c>
      <c r="R113" s="14">
        <f>ROW()</f>
        <v>113</v>
      </c>
      <c r="S113" s="14" t="str">
        <f t="shared" si="5"/>
        <v>P:0011074-81.2024.5.03.0008 [BMM-104]</v>
      </c>
      <c r="T113" s="27" t="s">
        <v>1117</v>
      </c>
      <c r="U113" s="28"/>
      <c r="V113" s="28"/>
      <c r="W113" s="28"/>
      <c r="X113" s="28"/>
      <c r="Y113" s="27"/>
      <c r="Z113" s="27"/>
      <c r="AA113" s="27"/>
      <c r="AB113" s="27"/>
    </row>
    <row r="114" spans="1:28" ht="42" customHeight="1">
      <c r="A114" s="41" t="s">
        <v>816</v>
      </c>
      <c r="B114" s="42"/>
      <c r="C114" s="42"/>
      <c r="D114" s="42"/>
      <c r="E114" s="42"/>
      <c r="F114" s="42"/>
      <c r="G114" s="42"/>
      <c r="H114" s="45"/>
      <c r="I114" s="44"/>
      <c r="J114" s="43"/>
      <c r="K114" s="44" t="s">
        <v>1221</v>
      </c>
      <c r="L114" s="14">
        <f t="shared" si="3"/>
        <v>1</v>
      </c>
      <c r="M114" s="14">
        <f>IF(OR(L114=0,T114&lt;&gt;"Sim"),0,INDEX(Processos!$X$10:$X$509,O114))</f>
        <v>0</v>
      </c>
      <c r="N114" s="40" t="str">
        <f t="shared" si="4"/>
        <v/>
      </c>
      <c r="O114" s="14">
        <f>IF(AND(A114&lt;&gt;"",ISTEXT(A114),COUNTIFS(Processos!$AS$10:$AS$509,"="&amp;SUBSTITUTE(SUBSTITUTE(SUBSTITUTE("P:"&amp;A114,"~","~~"),"*","~*"),"?","~?"))=1),(IF(ISNA(MATCH(SUBSTITUTE(SUBSTITUTE(SUBSTITUTE("P:"&amp;A114,"~","~~"),"*","~*"),"?","~?"),Processos!$AS$10:$AS$509,0)),9,INDEX(Processos!$AM$10:$AM$509,MATCH(SUBSTITUTE(SUBSTITUTE(SUBSTITUTE("P:"&amp;A114,"~","~~"),"*","~*"),"?","~?"),Processos!$AS$10:$AS$509,0)))-9),0)</f>
        <v>105</v>
      </c>
      <c r="P114" s="14" t="str">
        <f>IF(L114=0,"",INDEX(Processos!$D$10:$D$509,O114))</f>
        <v>BMM Advogados</v>
      </c>
      <c r="Q114" s="14">
        <f>IF(OR(L114=0,T114&lt;&gt;"Sim"),0,INDEX(Processos!$AL$10:$AL$509,O114))</f>
        <v>0</v>
      </c>
      <c r="R114" s="14">
        <f>ROW()</f>
        <v>114</v>
      </c>
      <c r="S114" s="14" t="str">
        <f t="shared" si="5"/>
        <v>P:5239168-56.2026.8.09.0145 [BMM-105]</v>
      </c>
      <c r="T114" s="27" t="s">
        <v>1117</v>
      </c>
      <c r="U114" s="28"/>
      <c r="V114" s="28"/>
      <c r="W114" s="28"/>
      <c r="X114" s="28"/>
      <c r="Y114" s="27"/>
      <c r="Z114" s="27"/>
      <c r="AA114" s="27"/>
      <c r="AB114" s="27"/>
    </row>
    <row r="115" spans="1:28" ht="42" customHeight="1">
      <c r="A115" s="41" t="s">
        <v>822</v>
      </c>
      <c r="B115" s="42"/>
      <c r="C115" s="42"/>
      <c r="D115" s="42"/>
      <c r="E115" s="42"/>
      <c r="F115" s="42"/>
      <c r="G115" s="42"/>
      <c r="H115" s="45"/>
      <c r="I115" s="44"/>
      <c r="J115" s="43"/>
      <c r="K115" s="44" t="s">
        <v>1222</v>
      </c>
      <c r="L115" s="14">
        <f t="shared" si="3"/>
        <v>1</v>
      </c>
      <c r="M115" s="14">
        <f>IF(OR(L115=0,T115&lt;&gt;"Sim"),0,INDEX(Processos!$X$10:$X$509,O115))</f>
        <v>1</v>
      </c>
      <c r="N115" s="40" t="str">
        <f t="shared" si="4"/>
        <v/>
      </c>
      <c r="O115" s="14">
        <f>IF(AND(A115&lt;&gt;"",ISTEXT(A115),COUNTIFS(Processos!$AS$10:$AS$509,"="&amp;SUBSTITUTE(SUBSTITUTE(SUBSTITUTE("P:"&amp;A115,"~","~~"),"*","~*"),"?","~?"))=1),(IF(ISNA(MATCH(SUBSTITUTE(SUBSTITUTE(SUBSTITUTE("P:"&amp;A115,"~","~~"),"*","~*"),"?","~?"),Processos!$AS$10:$AS$509,0)),9,INDEX(Processos!$AM$10:$AM$509,MATCH(SUBSTITUTE(SUBSTITUTE(SUBSTITUTE("P:"&amp;A115,"~","~~"),"*","~*"),"?","~?"),Processos!$AS$10:$AS$509,0)))-9),0)</f>
        <v>106</v>
      </c>
      <c r="P115" s="14" t="str">
        <f>IF(L115=0,"",INDEX(Processos!$D$10:$D$509,O115))</f>
        <v>SMP Advogados</v>
      </c>
      <c r="Q115" s="14">
        <f>IF(OR(L115=0,T115&lt;&gt;"Sim"),0,INDEX(Processos!$AL$10:$AL$509,O115))</f>
        <v>1</v>
      </c>
      <c r="R115" s="14">
        <f>ROW()</f>
        <v>115</v>
      </c>
      <c r="S115" s="14" t="str">
        <f t="shared" si="5"/>
        <v>P:50606.002121/2021-88</v>
      </c>
      <c r="T115" s="27" t="s">
        <v>1113</v>
      </c>
      <c r="U115" s="28"/>
      <c r="V115" s="28"/>
      <c r="W115" s="28"/>
      <c r="X115" s="28"/>
      <c r="Y115" s="27"/>
      <c r="Z115" s="27"/>
      <c r="AA115" s="27"/>
      <c r="AB115" s="27"/>
    </row>
    <row r="116" spans="1:28" ht="42" customHeight="1">
      <c r="A116" s="41" t="s">
        <v>831</v>
      </c>
      <c r="B116" s="42">
        <v>1343446.56</v>
      </c>
      <c r="C116" s="42">
        <v>1343446.56</v>
      </c>
      <c r="D116" s="42"/>
      <c r="E116" s="42"/>
      <c r="F116" s="42"/>
      <c r="G116" s="42"/>
      <c r="H116" s="45"/>
      <c r="I116" s="44"/>
      <c r="J116" s="43"/>
      <c r="K116" s="44" t="s">
        <v>1223</v>
      </c>
      <c r="L116" s="14">
        <f t="shared" si="3"/>
        <v>1</v>
      </c>
      <c r="M116" s="14">
        <f>IF(OR(L116=0,T116&lt;&gt;"Sim"),0,INDEX(Processos!$X$10:$X$509,O116))</f>
        <v>1</v>
      </c>
      <c r="N116" s="40" t="str">
        <f t="shared" si="4"/>
        <v>Informe a data da revisão financeira</v>
      </c>
      <c r="O116" s="14">
        <f>IF(AND(A116&lt;&gt;"",ISTEXT(A116),COUNTIFS(Processos!$AS$10:$AS$509,"="&amp;SUBSTITUTE(SUBSTITUTE(SUBSTITUTE("P:"&amp;A116,"~","~~"),"*","~*"),"?","~?"))=1),(IF(ISNA(MATCH(SUBSTITUTE(SUBSTITUTE(SUBSTITUTE("P:"&amp;A116,"~","~~"),"*","~*"),"?","~?"),Processos!$AS$10:$AS$509,0)),9,INDEX(Processos!$AM$10:$AM$509,MATCH(SUBSTITUTE(SUBSTITUTE(SUBSTITUTE("P:"&amp;A116,"~","~~"),"*","~*"),"?","~?"),Processos!$AS$10:$AS$509,0)))-9),0)</f>
        <v>107</v>
      </c>
      <c r="P116" s="14" t="str">
        <f>IF(L116=0,"",INDEX(Processos!$D$10:$D$509,O116))</f>
        <v>SMP Advogados</v>
      </c>
      <c r="Q116" s="14">
        <f>IF(OR(L116=0,T116&lt;&gt;"Sim"),0,INDEX(Processos!$AL$10:$AL$509,O116))</f>
        <v>1</v>
      </c>
      <c r="R116" s="14">
        <f>ROW()</f>
        <v>116</v>
      </c>
      <c r="S116" s="14" t="str">
        <f t="shared" si="5"/>
        <v>P:0736630-73.2022.8.07.0001</v>
      </c>
      <c r="T116" s="27" t="s">
        <v>1113</v>
      </c>
      <c r="U116" s="28"/>
      <c r="V116" s="28"/>
      <c r="W116" s="28"/>
      <c r="X116" s="28"/>
      <c r="Y116" s="27" t="s">
        <v>246</v>
      </c>
      <c r="Z116" s="27" t="s">
        <v>1132</v>
      </c>
      <c r="AA116" s="27" t="s">
        <v>1224</v>
      </c>
      <c r="AB116" s="27"/>
    </row>
    <row r="117" spans="1:28" ht="42" customHeight="1">
      <c r="A117" s="41" t="s">
        <v>838</v>
      </c>
      <c r="B117" s="42">
        <v>2059318.21</v>
      </c>
      <c r="C117" s="42"/>
      <c r="D117" s="42"/>
      <c r="E117" s="42"/>
      <c r="F117" s="42"/>
      <c r="G117" s="42"/>
      <c r="H117" s="45"/>
      <c r="I117" s="44"/>
      <c r="J117" s="43"/>
      <c r="K117" s="44" t="s">
        <v>1225</v>
      </c>
      <c r="L117" s="14">
        <f t="shared" si="3"/>
        <v>1</v>
      </c>
      <c r="M117" s="14">
        <f>IF(OR(L117=0,T117&lt;&gt;"Sim"),0,INDEX(Processos!$X$10:$X$509,O117))</f>
        <v>1</v>
      </c>
      <c r="N117" s="40" t="str">
        <f t="shared" si="4"/>
        <v>Informe a data da revisão financeira</v>
      </c>
      <c r="O117" s="14">
        <f>IF(AND(A117&lt;&gt;"",ISTEXT(A117),COUNTIFS(Processos!$AS$10:$AS$509,"="&amp;SUBSTITUTE(SUBSTITUTE(SUBSTITUTE("P:"&amp;A117,"~","~~"),"*","~*"),"?","~?"))=1),(IF(ISNA(MATCH(SUBSTITUTE(SUBSTITUTE(SUBSTITUTE("P:"&amp;A117,"~","~~"),"*","~*"),"?","~?"),Processos!$AS$10:$AS$509,0)),9,INDEX(Processos!$AM$10:$AM$509,MATCH(SUBSTITUTE(SUBSTITUTE(SUBSTITUTE("P:"&amp;A117,"~","~~"),"*","~*"),"?","~?"),Processos!$AS$10:$AS$509,0)))-9),0)</f>
        <v>108</v>
      </c>
      <c r="P117" s="14" t="str">
        <f>IF(L117=0,"",INDEX(Processos!$D$10:$D$509,O117))</f>
        <v>SMP Advogados</v>
      </c>
      <c r="Q117" s="14">
        <f>IF(OR(L117=0,T117&lt;&gt;"Sim"),0,INDEX(Processos!$AL$10:$AL$509,O117))</f>
        <v>1</v>
      </c>
      <c r="R117" s="14">
        <f>ROW()</f>
        <v>117</v>
      </c>
      <c r="S117" s="14" t="str">
        <f t="shared" si="5"/>
        <v>P:1135509-42.2021.8.26.0100</v>
      </c>
      <c r="T117" s="27" t="s">
        <v>1113</v>
      </c>
      <c r="U117" s="28"/>
      <c r="V117" s="28"/>
      <c r="W117" s="28"/>
      <c r="X117" s="28"/>
      <c r="Y117" s="27" t="s">
        <v>1226</v>
      </c>
      <c r="Z117" s="27" t="s">
        <v>1129</v>
      </c>
      <c r="AA117" s="27" t="s">
        <v>1227</v>
      </c>
      <c r="AB117" s="27"/>
    </row>
    <row r="118" spans="1:28" ht="42" customHeight="1">
      <c r="A118" s="41" t="s">
        <v>843</v>
      </c>
      <c r="B118" s="42">
        <v>1331548.8999999999</v>
      </c>
      <c r="C118" s="42">
        <v>1331548.8999999999</v>
      </c>
      <c r="D118" s="42"/>
      <c r="E118" s="42"/>
      <c r="F118" s="42"/>
      <c r="G118" s="42"/>
      <c r="H118" s="45"/>
      <c r="I118" s="44"/>
      <c r="J118" s="43"/>
      <c r="K118" s="44" t="s">
        <v>1228</v>
      </c>
      <c r="L118" s="14">
        <f t="shared" si="3"/>
        <v>1</v>
      </c>
      <c r="M118" s="14">
        <f>IF(OR(L118=0,T118&lt;&gt;"Sim"),0,INDEX(Processos!$X$10:$X$509,O118))</f>
        <v>1</v>
      </c>
      <c r="N118" s="40" t="str">
        <f t="shared" si="4"/>
        <v>Informe a data da revisão financeira</v>
      </c>
      <c r="O118" s="14">
        <f>IF(AND(A118&lt;&gt;"",ISTEXT(A118),COUNTIFS(Processos!$AS$10:$AS$509,"="&amp;SUBSTITUTE(SUBSTITUTE(SUBSTITUTE("P:"&amp;A118,"~","~~"),"*","~*"),"?","~?"))=1),(IF(ISNA(MATCH(SUBSTITUTE(SUBSTITUTE(SUBSTITUTE("P:"&amp;A118,"~","~~"),"*","~*"),"?","~?"),Processos!$AS$10:$AS$509,0)),9,INDEX(Processos!$AM$10:$AM$509,MATCH(SUBSTITUTE(SUBSTITUTE(SUBSTITUTE("P:"&amp;A118,"~","~~"),"*","~*"),"?","~?"),Processos!$AS$10:$AS$509,0)))-9),0)</f>
        <v>109</v>
      </c>
      <c r="P118" s="14" t="str">
        <f>IF(L118=0,"",INDEX(Processos!$D$10:$D$509,O118))</f>
        <v>SMP Advogados</v>
      </c>
      <c r="Q118" s="14">
        <f>IF(OR(L118=0,T118&lt;&gt;"Sim"),0,INDEX(Processos!$AL$10:$AL$509,O118))</f>
        <v>1</v>
      </c>
      <c r="R118" s="14">
        <f>ROW()</f>
        <v>118</v>
      </c>
      <c r="S118" s="14" t="str">
        <f t="shared" si="5"/>
        <v>P:1017504-73.2022.4.06.3800</v>
      </c>
      <c r="T118" s="27" t="s">
        <v>1113</v>
      </c>
      <c r="U118" s="28"/>
      <c r="V118" s="28"/>
      <c r="W118" s="28"/>
      <c r="X118" s="28"/>
      <c r="Y118" s="27" t="s">
        <v>246</v>
      </c>
      <c r="Z118" s="27" t="s">
        <v>1132</v>
      </c>
      <c r="AA118" s="27" t="s">
        <v>1224</v>
      </c>
      <c r="AB118" s="27"/>
    </row>
    <row r="119" spans="1:28" ht="42" customHeight="1">
      <c r="A119" s="41" t="s">
        <v>854</v>
      </c>
      <c r="B119" s="42"/>
      <c r="C119" s="42"/>
      <c r="D119" s="42"/>
      <c r="E119" s="42"/>
      <c r="F119" s="42"/>
      <c r="G119" s="42"/>
      <c r="H119" s="45"/>
      <c r="I119" s="44"/>
      <c r="J119" s="43"/>
      <c r="K119" s="44" t="s">
        <v>1229</v>
      </c>
      <c r="L119" s="14">
        <f t="shared" si="3"/>
        <v>1</v>
      </c>
      <c r="M119" s="14">
        <f>IF(OR(L119=0,T119&lt;&gt;"Sim"),0,INDEX(Processos!$X$10:$X$509,O119))</f>
        <v>1</v>
      </c>
      <c r="N119" s="40" t="str">
        <f t="shared" si="4"/>
        <v/>
      </c>
      <c r="O119" s="14">
        <f>IF(AND(A119&lt;&gt;"",ISTEXT(A119),COUNTIFS(Processos!$AS$10:$AS$509,"="&amp;SUBSTITUTE(SUBSTITUTE(SUBSTITUTE("P:"&amp;A119,"~","~~"),"*","~*"),"?","~?"))=1),(IF(ISNA(MATCH(SUBSTITUTE(SUBSTITUTE(SUBSTITUTE("P:"&amp;A119,"~","~~"),"*","~*"),"?","~?"),Processos!$AS$10:$AS$509,0)),9,INDEX(Processos!$AM$10:$AM$509,MATCH(SUBSTITUTE(SUBSTITUTE(SUBSTITUTE("P:"&amp;A119,"~","~~"),"*","~*"),"?","~?"),Processos!$AS$10:$AS$509,0)))-9),0)</f>
        <v>110</v>
      </c>
      <c r="P119" s="14" t="str">
        <f>IF(L119=0,"",INDEX(Processos!$D$10:$D$509,O119))</f>
        <v>SMP Advogados</v>
      </c>
      <c r="Q119" s="14">
        <f>IF(OR(L119=0,T119&lt;&gt;"Sim"),0,INDEX(Processos!$AL$10:$AL$509,O119))</f>
        <v>1</v>
      </c>
      <c r="R119" s="14">
        <f>ROW()</f>
        <v>119</v>
      </c>
      <c r="S119" s="14" t="str">
        <f t="shared" si="5"/>
        <v>P:1000658-95.2023.4.06.0000</v>
      </c>
      <c r="T119" s="27" t="s">
        <v>1113</v>
      </c>
      <c r="U119" s="28"/>
      <c r="V119" s="28"/>
      <c r="W119" s="28"/>
      <c r="X119" s="28"/>
      <c r="Y119" s="27" t="s">
        <v>246</v>
      </c>
      <c r="Z119" s="27" t="s">
        <v>1132</v>
      </c>
      <c r="AA119" s="27" t="s">
        <v>1224</v>
      </c>
      <c r="AB119" s="27"/>
    </row>
    <row r="120" spans="1:28" ht="42" customHeight="1">
      <c r="A120" s="41" t="s">
        <v>859</v>
      </c>
      <c r="B120" s="42"/>
      <c r="C120" s="42"/>
      <c r="D120" s="42"/>
      <c r="E120" s="42"/>
      <c r="F120" s="42"/>
      <c r="G120" s="42"/>
      <c r="H120" s="45"/>
      <c r="I120" s="44"/>
      <c r="J120" s="43"/>
      <c r="K120" s="44" t="s">
        <v>1230</v>
      </c>
      <c r="L120" s="14">
        <f t="shared" si="3"/>
        <v>1</v>
      </c>
      <c r="M120" s="14">
        <f>IF(OR(L120=0,T120&lt;&gt;"Sim"),0,INDEX(Processos!$X$10:$X$509,O120))</f>
        <v>1</v>
      </c>
      <c r="N120" s="40" t="str">
        <f t="shared" si="4"/>
        <v/>
      </c>
      <c r="O120" s="14">
        <f>IF(AND(A120&lt;&gt;"",ISTEXT(A120),COUNTIFS(Processos!$AS$10:$AS$509,"="&amp;SUBSTITUTE(SUBSTITUTE(SUBSTITUTE("P:"&amp;A120,"~","~~"),"*","~*"),"?","~?"))=1),(IF(ISNA(MATCH(SUBSTITUTE(SUBSTITUTE(SUBSTITUTE("P:"&amp;A120,"~","~~"),"*","~*"),"?","~?"),Processos!$AS$10:$AS$509,0)),9,INDEX(Processos!$AM$10:$AM$509,MATCH(SUBSTITUTE(SUBSTITUTE(SUBSTITUTE("P:"&amp;A120,"~","~~"),"*","~*"),"?","~?"),Processos!$AS$10:$AS$509,0)))-9),0)</f>
        <v>111</v>
      </c>
      <c r="P120" s="14" t="str">
        <f>IF(L120=0,"",INDEX(Processos!$D$10:$D$509,O120))</f>
        <v>SMP Advogados</v>
      </c>
      <c r="Q120" s="14">
        <f>IF(OR(L120=0,T120&lt;&gt;"Sim"),0,INDEX(Processos!$AL$10:$AL$509,O120))</f>
        <v>1</v>
      </c>
      <c r="R120" s="14">
        <f>ROW()</f>
        <v>120</v>
      </c>
      <c r="S120" s="14" t="str">
        <f t="shared" si="5"/>
        <v>P:1010455-53.2021.4.01.3800</v>
      </c>
      <c r="T120" s="27" t="s">
        <v>1113</v>
      </c>
      <c r="U120" s="28"/>
      <c r="V120" s="28"/>
      <c r="W120" s="28"/>
      <c r="X120" s="28"/>
      <c r="Y120" s="27" t="s">
        <v>246</v>
      </c>
      <c r="Z120" s="27" t="s">
        <v>1132</v>
      </c>
      <c r="AA120" s="27" t="s">
        <v>1224</v>
      </c>
      <c r="AB120" s="27"/>
    </row>
    <row r="121" spans="1:28" ht="42" customHeight="1">
      <c r="A121" s="41" t="s">
        <v>865</v>
      </c>
      <c r="B121" s="42">
        <v>1760543.1</v>
      </c>
      <c r="C121" s="42">
        <v>1760543.1</v>
      </c>
      <c r="D121" s="42"/>
      <c r="E121" s="42"/>
      <c r="F121" s="42"/>
      <c r="G121" s="42"/>
      <c r="H121" s="45"/>
      <c r="I121" s="44"/>
      <c r="J121" s="43"/>
      <c r="K121" s="44" t="s">
        <v>1231</v>
      </c>
      <c r="L121" s="14">
        <f t="shared" si="3"/>
        <v>1</v>
      </c>
      <c r="M121" s="14">
        <f>IF(OR(L121=0,T121&lt;&gt;"Sim"),0,INDEX(Processos!$X$10:$X$509,O121))</f>
        <v>1</v>
      </c>
      <c r="N121" s="40" t="str">
        <f t="shared" si="4"/>
        <v>Informe a data da revisão financeira</v>
      </c>
      <c r="O121" s="14">
        <f>IF(AND(A121&lt;&gt;"",ISTEXT(A121),COUNTIFS(Processos!$AS$10:$AS$509,"="&amp;SUBSTITUTE(SUBSTITUTE(SUBSTITUTE("P:"&amp;A121,"~","~~"),"*","~*"),"?","~?"))=1),(IF(ISNA(MATCH(SUBSTITUTE(SUBSTITUTE(SUBSTITUTE("P:"&amp;A121,"~","~~"),"*","~*"),"?","~?"),Processos!$AS$10:$AS$509,0)),9,INDEX(Processos!$AM$10:$AM$509,MATCH(SUBSTITUTE(SUBSTITUTE(SUBSTITUTE("P:"&amp;A121,"~","~~"),"*","~*"),"?","~?"),Processos!$AS$10:$AS$509,0)))-9),0)</f>
        <v>112</v>
      </c>
      <c r="P121" s="14" t="str">
        <f>IF(L121=0,"",INDEX(Processos!$D$10:$D$509,O121))</f>
        <v>SMP Advogados</v>
      </c>
      <c r="Q121" s="14">
        <f>IF(OR(L121=0,T121&lt;&gt;"Sim"),0,INDEX(Processos!$AL$10:$AL$509,O121))</f>
        <v>1</v>
      </c>
      <c r="R121" s="14">
        <f>ROW()</f>
        <v>121</v>
      </c>
      <c r="S121" s="14" t="str">
        <f t="shared" si="5"/>
        <v>P:1021095-81.2022.4.01.3800</v>
      </c>
      <c r="T121" s="27" t="s">
        <v>1113</v>
      </c>
      <c r="U121" s="28"/>
      <c r="V121" s="28"/>
      <c r="W121" s="28"/>
      <c r="X121" s="28"/>
      <c r="Y121" s="27" t="s">
        <v>246</v>
      </c>
      <c r="Z121" s="27" t="s">
        <v>1132</v>
      </c>
      <c r="AA121" s="27" t="s">
        <v>1224</v>
      </c>
      <c r="AB121" s="27"/>
    </row>
    <row r="122" spans="1:28" ht="42" customHeight="1">
      <c r="A122" s="41" t="s">
        <v>871</v>
      </c>
      <c r="B122" s="42">
        <v>1534163.28</v>
      </c>
      <c r="C122" s="42">
        <v>1534163.28</v>
      </c>
      <c r="D122" s="42"/>
      <c r="E122" s="42"/>
      <c r="F122" s="42"/>
      <c r="G122" s="42"/>
      <c r="H122" s="45"/>
      <c r="I122" s="44"/>
      <c r="J122" s="43"/>
      <c r="K122" s="44" t="s">
        <v>1232</v>
      </c>
      <c r="L122" s="14">
        <f t="shared" si="3"/>
        <v>1</v>
      </c>
      <c r="M122" s="14">
        <f>IF(OR(L122=0,T122&lt;&gt;"Sim"),0,INDEX(Processos!$X$10:$X$509,O122))</f>
        <v>1</v>
      </c>
      <c r="N122" s="40" t="str">
        <f t="shared" si="4"/>
        <v>Informe a data da revisão financeira</v>
      </c>
      <c r="O122" s="14">
        <f>IF(AND(A122&lt;&gt;"",ISTEXT(A122),COUNTIFS(Processos!$AS$10:$AS$509,"="&amp;SUBSTITUTE(SUBSTITUTE(SUBSTITUTE("P:"&amp;A122,"~","~~"),"*","~*"),"?","~?"))=1),(IF(ISNA(MATCH(SUBSTITUTE(SUBSTITUTE(SUBSTITUTE("P:"&amp;A122,"~","~~"),"*","~*"),"?","~?"),Processos!$AS$10:$AS$509,0)),9,INDEX(Processos!$AM$10:$AM$509,MATCH(SUBSTITUTE(SUBSTITUTE(SUBSTITUTE("P:"&amp;A122,"~","~~"),"*","~*"),"?","~?"),Processos!$AS$10:$AS$509,0)))-9),0)</f>
        <v>113</v>
      </c>
      <c r="P122" s="14" t="str">
        <f>IF(L122=0,"",INDEX(Processos!$D$10:$D$509,O122))</f>
        <v>SMP Advogados</v>
      </c>
      <c r="Q122" s="14">
        <f>IF(OR(L122=0,T122&lt;&gt;"Sim"),0,INDEX(Processos!$AL$10:$AL$509,O122))</f>
        <v>1</v>
      </c>
      <c r="R122" s="14">
        <f>ROW()</f>
        <v>122</v>
      </c>
      <c r="S122" s="14" t="str">
        <f t="shared" si="5"/>
        <v>P:1119107-46.2022.8.26.0100</v>
      </c>
      <c r="T122" s="27" t="s">
        <v>1113</v>
      </c>
      <c r="U122" s="28"/>
      <c r="V122" s="28"/>
      <c r="W122" s="28"/>
      <c r="X122" s="28"/>
      <c r="Y122" s="27" t="s">
        <v>246</v>
      </c>
      <c r="Z122" s="27" t="s">
        <v>1132</v>
      </c>
      <c r="AA122" s="27" t="s">
        <v>1224</v>
      </c>
      <c r="AB122" s="27"/>
    </row>
    <row r="123" spans="1:28" ht="42" customHeight="1">
      <c r="A123" s="41" t="s">
        <v>876</v>
      </c>
      <c r="B123" s="42">
        <v>10000</v>
      </c>
      <c r="C123" s="42"/>
      <c r="D123" s="42"/>
      <c r="E123" s="42"/>
      <c r="F123" s="42"/>
      <c r="G123" s="42"/>
      <c r="H123" s="45"/>
      <c r="I123" s="44"/>
      <c r="J123" s="43"/>
      <c r="K123" s="44" t="s">
        <v>1233</v>
      </c>
      <c r="L123" s="14">
        <f t="shared" si="3"/>
        <v>1</v>
      </c>
      <c r="M123" s="14">
        <f>IF(OR(L123=0,T123&lt;&gt;"Sim"),0,INDEX(Processos!$X$10:$X$509,O123))</f>
        <v>1</v>
      </c>
      <c r="N123" s="40" t="str">
        <f t="shared" si="4"/>
        <v>Informe a data da revisão financeira</v>
      </c>
      <c r="O123" s="14">
        <f>IF(AND(A123&lt;&gt;"",ISTEXT(A123),COUNTIFS(Processos!$AS$10:$AS$509,"="&amp;SUBSTITUTE(SUBSTITUTE(SUBSTITUTE("P:"&amp;A123,"~","~~"),"*","~*"),"?","~?"))=1),(IF(ISNA(MATCH(SUBSTITUTE(SUBSTITUTE(SUBSTITUTE("P:"&amp;A123,"~","~~"),"*","~*"),"?","~?"),Processos!$AS$10:$AS$509,0)),9,INDEX(Processos!$AM$10:$AM$509,MATCH(SUBSTITUTE(SUBSTITUTE(SUBSTITUTE("P:"&amp;A123,"~","~~"),"*","~*"),"?","~?"),Processos!$AS$10:$AS$509,0)))-9),0)</f>
        <v>114</v>
      </c>
      <c r="P123" s="14" t="str">
        <f>IF(L123=0,"",INDEX(Processos!$D$10:$D$509,O123))</f>
        <v>SMP Advogados</v>
      </c>
      <c r="Q123" s="14">
        <f>IF(OR(L123=0,T123&lt;&gt;"Sim"),0,INDEX(Processos!$AL$10:$AL$509,O123))</f>
        <v>1</v>
      </c>
      <c r="R123" s="14">
        <f>ROW()</f>
        <v>123</v>
      </c>
      <c r="S123" s="14" t="str">
        <f t="shared" si="5"/>
        <v>P:1030389-28.2024.4.01.3400</v>
      </c>
      <c r="T123" s="27" t="s">
        <v>1113</v>
      </c>
      <c r="U123" s="28"/>
      <c r="V123" s="28"/>
      <c r="W123" s="28"/>
      <c r="X123" s="28"/>
      <c r="Y123" s="27"/>
      <c r="Z123" s="27"/>
      <c r="AA123" s="27"/>
      <c r="AB123" s="27"/>
    </row>
    <row r="124" spans="1:28" ht="42" customHeight="1">
      <c r="A124" s="41" t="s">
        <v>883</v>
      </c>
      <c r="B124" s="42">
        <v>204105.73</v>
      </c>
      <c r="C124" s="42"/>
      <c r="D124" s="42"/>
      <c r="E124" s="42"/>
      <c r="F124" s="42"/>
      <c r="G124" s="42"/>
      <c r="H124" s="45"/>
      <c r="I124" s="44"/>
      <c r="J124" s="43"/>
      <c r="K124" s="44" t="s">
        <v>1234</v>
      </c>
      <c r="L124" s="14">
        <f t="shared" si="3"/>
        <v>1</v>
      </c>
      <c r="M124" s="14">
        <f>IF(OR(L124=0,T124&lt;&gt;"Sim"),0,INDEX(Processos!$X$10:$X$509,O124))</f>
        <v>1</v>
      </c>
      <c r="N124" s="40" t="str">
        <f t="shared" si="4"/>
        <v>Informe a data da revisão financeira</v>
      </c>
      <c r="O124" s="14">
        <f>IF(AND(A124&lt;&gt;"",ISTEXT(A124),COUNTIFS(Processos!$AS$10:$AS$509,"="&amp;SUBSTITUTE(SUBSTITUTE(SUBSTITUTE("P:"&amp;A124,"~","~~"),"*","~*"),"?","~?"))=1),(IF(ISNA(MATCH(SUBSTITUTE(SUBSTITUTE(SUBSTITUTE("P:"&amp;A124,"~","~~"),"*","~*"),"?","~?"),Processos!$AS$10:$AS$509,0)),9,INDEX(Processos!$AM$10:$AM$509,MATCH(SUBSTITUTE(SUBSTITUTE(SUBSTITUTE("P:"&amp;A124,"~","~~"),"*","~*"),"?","~?"),Processos!$AS$10:$AS$509,0)))-9),0)</f>
        <v>115</v>
      </c>
      <c r="P124" s="14" t="str">
        <f>IF(L124=0,"",INDEX(Processos!$D$10:$D$509,O124))</f>
        <v>SMP Advogados</v>
      </c>
      <c r="Q124" s="14">
        <f>IF(OR(L124=0,T124&lt;&gt;"Sim"),0,INDEX(Processos!$AL$10:$AL$509,O124))</f>
        <v>1</v>
      </c>
      <c r="R124" s="14">
        <f>ROW()</f>
        <v>124</v>
      </c>
      <c r="S124" s="14" t="str">
        <f t="shared" si="5"/>
        <v>P:1050120-10.2024.4.01.3400</v>
      </c>
      <c r="T124" s="27" t="s">
        <v>1113</v>
      </c>
      <c r="U124" s="28"/>
      <c r="V124" s="28"/>
      <c r="W124" s="28"/>
      <c r="X124" s="28"/>
      <c r="Y124" s="27" t="s">
        <v>246</v>
      </c>
      <c r="Z124" s="27"/>
      <c r="AA124" s="27" t="s">
        <v>246</v>
      </c>
      <c r="AB124" s="27"/>
    </row>
    <row r="125" spans="1:28" ht="42" customHeight="1">
      <c r="A125" s="41" t="s">
        <v>888</v>
      </c>
      <c r="B125" s="42">
        <v>1534163.28</v>
      </c>
      <c r="C125" s="42">
        <v>1534163.28</v>
      </c>
      <c r="D125" s="42"/>
      <c r="E125" s="42"/>
      <c r="F125" s="42"/>
      <c r="G125" s="42"/>
      <c r="H125" s="45"/>
      <c r="I125" s="44"/>
      <c r="J125" s="43"/>
      <c r="K125" s="44" t="s">
        <v>1235</v>
      </c>
      <c r="L125" s="14">
        <f t="shared" si="3"/>
        <v>1</v>
      </c>
      <c r="M125" s="14">
        <f>IF(OR(L125=0,T125&lt;&gt;"Sim"),0,INDEX(Processos!$X$10:$X$509,O125))</f>
        <v>1</v>
      </c>
      <c r="N125" s="40" t="str">
        <f t="shared" si="4"/>
        <v>Informe a data da revisão financeira</v>
      </c>
      <c r="O125" s="14">
        <f>IF(AND(A125&lt;&gt;"",ISTEXT(A125),COUNTIFS(Processos!$AS$10:$AS$509,"="&amp;SUBSTITUTE(SUBSTITUTE(SUBSTITUTE("P:"&amp;A125,"~","~~"),"*","~*"),"?","~?"))=1),(IF(ISNA(MATCH(SUBSTITUTE(SUBSTITUTE(SUBSTITUTE("P:"&amp;A125,"~","~~"),"*","~*"),"?","~?"),Processos!$AS$10:$AS$509,0)),9,INDEX(Processos!$AM$10:$AM$509,MATCH(SUBSTITUTE(SUBSTITUTE(SUBSTITUTE("P:"&amp;A125,"~","~~"),"*","~*"),"?","~?"),Processos!$AS$10:$AS$509,0)))-9),0)</f>
        <v>116</v>
      </c>
      <c r="P125" s="14" t="str">
        <f>IF(L125=0,"",INDEX(Processos!$D$10:$D$509,O125))</f>
        <v>SMP Advogados</v>
      </c>
      <c r="Q125" s="14">
        <f>IF(OR(L125=0,T125&lt;&gt;"Sim"),0,INDEX(Processos!$AL$10:$AL$509,O125))</f>
        <v>1</v>
      </c>
      <c r="R125" s="14">
        <f>ROW()</f>
        <v>125</v>
      </c>
      <c r="S125" s="14" t="str">
        <f t="shared" si="5"/>
        <v>P:0023079-86.2004.4.01.3400</v>
      </c>
      <c r="T125" s="27" t="s">
        <v>1113</v>
      </c>
      <c r="U125" s="28"/>
      <c r="V125" s="28"/>
      <c r="W125" s="28"/>
      <c r="X125" s="28"/>
      <c r="Y125" s="27" t="s">
        <v>246</v>
      </c>
      <c r="Z125" s="27" t="s">
        <v>1236</v>
      </c>
      <c r="AA125" s="27" t="s">
        <v>1237</v>
      </c>
      <c r="AB125" s="27"/>
    </row>
    <row r="126" spans="1:28" ht="42" customHeight="1">
      <c r="A126" s="41" t="s">
        <v>895</v>
      </c>
      <c r="B126" s="42">
        <v>42025.91</v>
      </c>
      <c r="C126" s="42"/>
      <c r="D126" s="42"/>
      <c r="E126" s="42"/>
      <c r="F126" s="42"/>
      <c r="G126" s="42"/>
      <c r="H126" s="45">
        <v>0.25</v>
      </c>
      <c r="I126" s="44"/>
      <c r="J126" s="43"/>
      <c r="K126" s="44" t="s">
        <v>1238</v>
      </c>
      <c r="L126" s="14">
        <f t="shared" si="3"/>
        <v>1</v>
      </c>
      <c r="M126" s="14">
        <f>IF(OR(L126=0,T126&lt;&gt;"Sim"),0,INDEX(Processos!$X$10:$X$509,O126))</f>
        <v>1</v>
      </c>
      <c r="N126" s="40" t="str">
        <f t="shared" si="4"/>
        <v>Informe a data da revisão financeira</v>
      </c>
      <c r="O126" s="14">
        <f>IF(AND(A126&lt;&gt;"",ISTEXT(A126),COUNTIFS(Processos!$AS$10:$AS$509,"="&amp;SUBSTITUTE(SUBSTITUTE(SUBSTITUTE("P:"&amp;A126,"~","~~"),"*","~*"),"?","~?"))=1),(IF(ISNA(MATCH(SUBSTITUTE(SUBSTITUTE(SUBSTITUTE("P:"&amp;A126,"~","~~"),"*","~*"),"?","~?"),Processos!$AS$10:$AS$509,0)),9,INDEX(Processos!$AM$10:$AM$509,MATCH(SUBSTITUTE(SUBSTITUTE(SUBSTITUTE("P:"&amp;A126,"~","~~"),"*","~*"),"?","~?"),Processos!$AS$10:$AS$509,0)))-9),0)</f>
        <v>117</v>
      </c>
      <c r="P126" s="14" t="str">
        <f>IF(L126=0,"",INDEX(Processos!$D$10:$D$509,O126))</f>
        <v>SMP Advogados</v>
      </c>
      <c r="Q126" s="14">
        <f>IF(OR(L126=0,T126&lt;&gt;"Sim"),0,INDEX(Processos!$AL$10:$AL$509,O126))</f>
        <v>1</v>
      </c>
      <c r="R126" s="14">
        <f>ROW()</f>
        <v>126</v>
      </c>
      <c r="S126" s="14" t="str">
        <f t="shared" si="5"/>
        <v>P:50606.005625/2024-01</v>
      </c>
      <c r="T126" s="27" t="s">
        <v>1113</v>
      </c>
      <c r="U126" s="28"/>
      <c r="V126" s="28"/>
      <c r="W126" s="28"/>
      <c r="X126" s="28"/>
      <c r="Y126" s="27" t="s">
        <v>1226</v>
      </c>
      <c r="Z126" s="27" t="s">
        <v>1236</v>
      </c>
      <c r="AA126" s="27" t="s">
        <v>1227</v>
      </c>
      <c r="AB126" s="27"/>
    </row>
    <row r="127" spans="1:28" ht="42" customHeight="1">
      <c r="A127" s="41" t="s">
        <v>901</v>
      </c>
      <c r="B127" s="42"/>
      <c r="C127" s="42"/>
      <c r="D127" s="42"/>
      <c r="E127" s="42"/>
      <c r="F127" s="42"/>
      <c r="G127" s="42"/>
      <c r="H127" s="45"/>
      <c r="I127" s="44"/>
      <c r="J127" s="43"/>
      <c r="K127" s="44" t="s">
        <v>1239</v>
      </c>
      <c r="L127" s="14">
        <f t="shared" si="3"/>
        <v>1</v>
      </c>
      <c r="M127" s="14">
        <f>IF(OR(L127=0,T127&lt;&gt;"Sim"),0,INDEX(Processos!$X$10:$X$509,O127))</f>
        <v>0</v>
      </c>
      <c r="N127" s="40" t="str">
        <f t="shared" si="4"/>
        <v/>
      </c>
      <c r="O127" s="14">
        <f>IF(AND(A127&lt;&gt;"",ISTEXT(A127),COUNTIFS(Processos!$AS$10:$AS$509,"="&amp;SUBSTITUTE(SUBSTITUTE(SUBSTITUTE("P:"&amp;A127,"~","~~"),"*","~*"),"?","~?"))=1),(IF(ISNA(MATCH(SUBSTITUTE(SUBSTITUTE(SUBSTITUTE("P:"&amp;A127,"~","~~"),"*","~*"),"?","~?"),Processos!$AS$10:$AS$509,0)),9,INDEX(Processos!$AM$10:$AM$509,MATCH(SUBSTITUTE(SUBSTITUTE(SUBSTITUTE("P:"&amp;A127,"~","~~"),"*","~*"),"?","~?"),Processos!$AS$10:$AS$509,0)))-9),0)</f>
        <v>118</v>
      </c>
      <c r="P127" s="14" t="str">
        <f>IF(L127=0,"",INDEX(Processos!$D$10:$D$509,O127))</f>
        <v>SMP Advogados</v>
      </c>
      <c r="Q127" s="14">
        <f>IF(OR(L127=0,T127&lt;&gt;"Sim"),0,INDEX(Processos!$AL$10:$AL$509,O127))</f>
        <v>0</v>
      </c>
      <c r="R127" s="14">
        <f>ROW()</f>
        <v>127</v>
      </c>
      <c r="S127" s="14" t="str">
        <f t="shared" si="5"/>
        <v>P:6355533-29.2025.4.06.3800 [SMP-013]</v>
      </c>
      <c r="T127" s="27" t="s">
        <v>1117</v>
      </c>
      <c r="U127" s="28"/>
      <c r="V127" s="28"/>
      <c r="W127" s="28"/>
      <c r="X127" s="28"/>
      <c r="Y127" s="27" t="s">
        <v>1240</v>
      </c>
      <c r="Z127" s="27" t="s">
        <v>1236</v>
      </c>
      <c r="AA127" s="27" t="s">
        <v>1240</v>
      </c>
      <c r="AB127" s="27"/>
    </row>
    <row r="128" spans="1:28" ht="42" customHeight="1">
      <c r="A128" s="41" t="s">
        <v>908</v>
      </c>
      <c r="B128" s="42">
        <v>1125695.24</v>
      </c>
      <c r="C128" s="42">
        <v>1125695.24</v>
      </c>
      <c r="D128" s="42"/>
      <c r="E128" s="42"/>
      <c r="F128" s="42"/>
      <c r="G128" s="42"/>
      <c r="H128" s="45"/>
      <c r="I128" s="44"/>
      <c r="J128" s="43"/>
      <c r="K128" s="44" t="s">
        <v>1241</v>
      </c>
      <c r="L128" s="14">
        <f t="shared" si="3"/>
        <v>1</v>
      </c>
      <c r="M128" s="14">
        <f>IF(OR(L128=0,T128&lt;&gt;"Sim"),0,INDEX(Processos!$X$10:$X$509,O128))</f>
        <v>0</v>
      </c>
      <c r="N128" s="40" t="str">
        <f t="shared" si="4"/>
        <v>Informe a data da revisão financeira</v>
      </c>
      <c r="O128" s="14">
        <f>IF(AND(A128&lt;&gt;"",ISTEXT(A128),COUNTIFS(Processos!$AS$10:$AS$509,"="&amp;SUBSTITUTE(SUBSTITUTE(SUBSTITUTE("P:"&amp;A128,"~","~~"),"*","~*"),"?","~?"))=1),(IF(ISNA(MATCH(SUBSTITUTE(SUBSTITUTE(SUBSTITUTE("P:"&amp;A128,"~","~~"),"*","~*"),"?","~?"),Processos!$AS$10:$AS$509,0)),9,INDEX(Processos!$AM$10:$AM$509,MATCH(SUBSTITUTE(SUBSTITUTE(SUBSTITUTE("P:"&amp;A128,"~","~~"),"*","~*"),"?","~?"),Processos!$AS$10:$AS$509,0)))-9),0)</f>
        <v>119</v>
      </c>
      <c r="P128" s="14" t="str">
        <f>IF(L128=0,"",INDEX(Processos!$D$10:$D$509,O128))</f>
        <v>SMP Advogados</v>
      </c>
      <c r="Q128" s="14">
        <f>IF(OR(L128=0,T128&lt;&gt;"Sim"),0,INDEX(Processos!$AL$10:$AL$509,O128))</f>
        <v>0</v>
      </c>
      <c r="R128" s="14">
        <f>ROW()</f>
        <v>128</v>
      </c>
      <c r="S128" s="14" t="str">
        <f t="shared" si="5"/>
        <v>P:6355533-29.2025.4.06.3800 [SMP-014]</v>
      </c>
      <c r="T128" s="27" t="s">
        <v>1117</v>
      </c>
      <c r="U128" s="28"/>
      <c r="V128" s="28"/>
      <c r="W128" s="28"/>
      <c r="X128" s="28"/>
      <c r="Y128" s="27" t="s">
        <v>246</v>
      </c>
      <c r="Z128" s="27" t="s">
        <v>1132</v>
      </c>
      <c r="AA128" s="27" t="s">
        <v>1224</v>
      </c>
      <c r="AB128" s="27"/>
    </row>
    <row r="129" spans="1:28" ht="42" customHeight="1">
      <c r="A129" s="41" t="s">
        <v>912</v>
      </c>
      <c r="B129" s="42"/>
      <c r="C129" s="42"/>
      <c r="D129" s="42"/>
      <c r="E129" s="42"/>
      <c r="F129" s="42"/>
      <c r="G129" s="42"/>
      <c r="H129" s="45"/>
      <c r="I129" s="44"/>
      <c r="J129" s="43"/>
      <c r="K129" s="44" t="s">
        <v>1242</v>
      </c>
      <c r="L129" s="14">
        <f t="shared" si="3"/>
        <v>1</v>
      </c>
      <c r="M129" s="14">
        <f>IF(OR(L129=0,T129&lt;&gt;"Sim"),0,INDEX(Processos!$X$10:$X$509,O129))</f>
        <v>1</v>
      </c>
      <c r="N129" s="40" t="str">
        <f t="shared" si="4"/>
        <v/>
      </c>
      <c r="O129" s="14">
        <f>IF(AND(A129&lt;&gt;"",ISTEXT(A129),COUNTIFS(Processos!$AS$10:$AS$509,"="&amp;SUBSTITUTE(SUBSTITUTE(SUBSTITUTE("P:"&amp;A129,"~","~~"),"*","~*"),"?","~?"))=1),(IF(ISNA(MATCH(SUBSTITUTE(SUBSTITUTE(SUBSTITUTE("P:"&amp;A129,"~","~~"),"*","~*"),"?","~?"),Processos!$AS$10:$AS$509,0)),9,INDEX(Processos!$AM$10:$AM$509,MATCH(SUBSTITUTE(SUBSTITUTE(SUBSTITUTE("P:"&amp;A129,"~","~~"),"*","~*"),"?","~?"),Processos!$AS$10:$AS$509,0)))-9),0)</f>
        <v>120</v>
      </c>
      <c r="P129" s="14" t="str">
        <f>IF(L129=0,"",INDEX(Processos!$D$10:$D$509,O129))</f>
        <v>SMP Advogados</v>
      </c>
      <c r="Q129" s="14">
        <f>IF(OR(L129=0,T129&lt;&gt;"Sim"),0,INDEX(Processos!$AL$10:$AL$509,O129))</f>
        <v>1</v>
      </c>
      <c r="R129" s="14">
        <f>ROW()</f>
        <v>129</v>
      </c>
      <c r="S129" s="14" t="str">
        <f t="shared" si="5"/>
        <v>P:50606.000326/2026-33</v>
      </c>
      <c r="T129" s="27" t="s">
        <v>1113</v>
      </c>
      <c r="U129" s="28"/>
      <c r="V129" s="28"/>
      <c r="W129" s="28"/>
      <c r="X129" s="28"/>
      <c r="Y129" s="27"/>
      <c r="Z129" s="27"/>
      <c r="AA129" s="27"/>
      <c r="AB129" s="27"/>
    </row>
    <row r="130" spans="1:28" ht="42" customHeight="1">
      <c r="A130" s="41" t="s">
        <v>917</v>
      </c>
      <c r="B130" s="42"/>
      <c r="C130" s="42"/>
      <c r="D130" s="42"/>
      <c r="E130" s="42"/>
      <c r="F130" s="42"/>
      <c r="G130" s="42"/>
      <c r="H130" s="45"/>
      <c r="I130" s="44"/>
      <c r="J130" s="43"/>
      <c r="K130" s="44" t="s">
        <v>1243</v>
      </c>
      <c r="L130" s="14">
        <f t="shared" si="3"/>
        <v>1</v>
      </c>
      <c r="M130" s="14">
        <f>IF(OR(L130=0,T130&lt;&gt;"Sim"),0,INDEX(Processos!$X$10:$X$509,O130))</f>
        <v>1</v>
      </c>
      <c r="N130" s="40" t="str">
        <f t="shared" si="4"/>
        <v/>
      </c>
      <c r="O130" s="14">
        <f>IF(AND(A130&lt;&gt;"",ISTEXT(A130),COUNTIFS(Processos!$AS$10:$AS$509,"="&amp;SUBSTITUTE(SUBSTITUTE(SUBSTITUTE("P:"&amp;A130,"~","~~"),"*","~*"),"?","~?"))=1),(IF(ISNA(MATCH(SUBSTITUTE(SUBSTITUTE(SUBSTITUTE("P:"&amp;A130,"~","~~"),"*","~*"),"?","~?"),Processos!$AS$10:$AS$509,0)),9,INDEX(Processos!$AM$10:$AM$509,MATCH(SUBSTITUTE(SUBSTITUTE(SUBSTITUTE("P:"&amp;A130,"~","~~"),"*","~*"),"?","~?"),Processos!$AS$10:$AS$509,0)))-9),0)</f>
        <v>121</v>
      </c>
      <c r="P130" s="14" t="str">
        <f>IF(L130=0,"",INDEX(Processos!$D$10:$D$509,O130))</f>
        <v>Liporace</v>
      </c>
      <c r="Q130" s="14">
        <f>IF(OR(L130=0,T130&lt;&gt;"Sim"),0,INDEX(Processos!$AL$10:$AL$509,O130))</f>
        <v>1</v>
      </c>
      <c r="R130" s="14">
        <f>ROW()</f>
        <v>130</v>
      </c>
      <c r="S130" s="14" t="str">
        <f t="shared" si="5"/>
        <v>P:51402.108343/2015-14</v>
      </c>
      <c r="T130" s="27" t="s">
        <v>1113</v>
      </c>
      <c r="U130" s="28"/>
      <c r="V130" s="28"/>
      <c r="W130" s="28"/>
      <c r="X130" s="28"/>
      <c r="Y130" s="27"/>
      <c r="Z130" s="27"/>
      <c r="AA130" s="27"/>
      <c r="AB130" s="27"/>
    </row>
    <row r="131" spans="1:28" ht="42" customHeight="1">
      <c r="A131" s="41" t="s">
        <v>924</v>
      </c>
      <c r="B131" s="42"/>
      <c r="C131" s="42"/>
      <c r="D131" s="42"/>
      <c r="E131" s="42"/>
      <c r="F131" s="42"/>
      <c r="G131" s="42"/>
      <c r="H131" s="45"/>
      <c r="I131" s="44"/>
      <c r="J131" s="43"/>
      <c r="K131" s="44" t="s">
        <v>1244</v>
      </c>
      <c r="L131" s="14">
        <f t="shared" si="3"/>
        <v>1</v>
      </c>
      <c r="M131" s="14">
        <f>IF(OR(L131=0,T131&lt;&gt;"Sim"),0,INDEX(Processos!$X$10:$X$509,O131))</f>
        <v>1</v>
      </c>
      <c r="N131" s="40" t="str">
        <f t="shared" si="4"/>
        <v/>
      </c>
      <c r="O131" s="14">
        <f>IF(AND(A131&lt;&gt;"",ISTEXT(A131),COUNTIFS(Processos!$AS$10:$AS$509,"="&amp;SUBSTITUTE(SUBSTITUTE(SUBSTITUTE("P:"&amp;A131,"~","~~"),"*","~*"),"?","~?"))=1),(IF(ISNA(MATCH(SUBSTITUTE(SUBSTITUTE(SUBSTITUTE("P:"&amp;A131,"~","~~"),"*","~*"),"?","~?"),Processos!$AS$10:$AS$509,0)),9,INDEX(Processos!$AM$10:$AM$509,MATCH(SUBSTITUTE(SUBSTITUTE(SUBSTITUTE("P:"&amp;A131,"~","~~"),"*","~*"),"?","~?"),Processos!$AS$10:$AS$509,0)))-9),0)</f>
        <v>122</v>
      </c>
      <c r="P131" s="14" t="str">
        <f>IF(L131=0,"",INDEX(Processos!$D$10:$D$509,O131))</f>
        <v>Liporace</v>
      </c>
      <c r="Q131" s="14">
        <f>IF(OR(L131=0,T131&lt;&gt;"Sim"),0,INDEX(Processos!$AL$10:$AL$509,O131))</f>
        <v>1</v>
      </c>
      <c r="R131" s="14">
        <f>ROW()</f>
        <v>131</v>
      </c>
      <c r="S131" s="14" t="str">
        <f t="shared" si="5"/>
        <v>P:51402.108251/2015-34</v>
      </c>
      <c r="T131" s="27" t="s">
        <v>1113</v>
      </c>
      <c r="U131" s="28"/>
      <c r="V131" s="28"/>
      <c r="W131" s="28"/>
      <c r="X131" s="28"/>
      <c r="Y131" s="27"/>
      <c r="Z131" s="27"/>
      <c r="AA131" s="27"/>
      <c r="AB131" s="27"/>
    </row>
    <row r="132" spans="1:28" ht="42" customHeight="1">
      <c r="A132" s="41" t="s">
        <v>928</v>
      </c>
      <c r="B132" s="42">
        <v>350000</v>
      </c>
      <c r="C132" s="42"/>
      <c r="D132" s="42"/>
      <c r="E132" s="42"/>
      <c r="F132" s="42"/>
      <c r="G132" s="42"/>
      <c r="H132" s="45"/>
      <c r="I132" s="44"/>
      <c r="J132" s="43"/>
      <c r="K132" s="44" t="s">
        <v>1245</v>
      </c>
      <c r="L132" s="14">
        <f t="shared" si="3"/>
        <v>1</v>
      </c>
      <c r="M132" s="14">
        <f>IF(OR(L132=0,T132&lt;&gt;"Sim"),0,INDEX(Processos!$X$10:$X$509,O132))</f>
        <v>1</v>
      </c>
      <c r="N132" s="40" t="str">
        <f t="shared" si="4"/>
        <v>Informe a data da revisão financeira</v>
      </c>
      <c r="O132" s="14">
        <f>IF(AND(A132&lt;&gt;"",ISTEXT(A132),COUNTIFS(Processos!$AS$10:$AS$509,"="&amp;SUBSTITUTE(SUBSTITUTE(SUBSTITUTE("P:"&amp;A132,"~","~~"),"*","~*"),"?","~?"))=1),(IF(ISNA(MATCH(SUBSTITUTE(SUBSTITUTE(SUBSTITUTE("P:"&amp;A132,"~","~~"),"*","~*"),"?","~?"),Processos!$AS$10:$AS$509,0)),9,INDEX(Processos!$AM$10:$AM$509,MATCH(SUBSTITUTE(SUBSTITUTE(SUBSTITUTE("P:"&amp;A132,"~","~~"),"*","~*"),"?","~?"),Processos!$AS$10:$AS$509,0)))-9),0)</f>
        <v>123</v>
      </c>
      <c r="P132" s="14" t="str">
        <f>IF(L132=0,"",INDEX(Processos!$D$10:$D$509,O132))</f>
        <v>Liporace</v>
      </c>
      <c r="Q132" s="14">
        <f>IF(OR(L132=0,T132&lt;&gt;"Sim"),0,INDEX(Processos!$AL$10:$AL$509,O132))</f>
        <v>1</v>
      </c>
      <c r="R132" s="14">
        <f>ROW()</f>
        <v>132</v>
      </c>
      <c r="S132" s="14" t="str">
        <f t="shared" si="5"/>
        <v>P:51402.237467/2019-31</v>
      </c>
      <c r="T132" s="27" t="s">
        <v>1113</v>
      </c>
      <c r="U132" s="28"/>
      <c r="V132" s="28"/>
      <c r="W132" s="28"/>
      <c r="X132" s="28"/>
      <c r="Y132" s="27" t="s">
        <v>246</v>
      </c>
      <c r="Z132" s="27" t="s">
        <v>1132</v>
      </c>
      <c r="AA132" s="27" t="s">
        <v>1246</v>
      </c>
      <c r="AB132" s="27"/>
    </row>
    <row r="133" spans="1:28" ht="42" customHeight="1">
      <c r="A133" s="41" t="s">
        <v>933</v>
      </c>
      <c r="B133" s="42">
        <v>78000000</v>
      </c>
      <c r="C133" s="42"/>
      <c r="D133" s="42"/>
      <c r="E133" s="42"/>
      <c r="F133" s="42"/>
      <c r="G133" s="42"/>
      <c r="H133" s="45"/>
      <c r="I133" s="44"/>
      <c r="J133" s="43"/>
      <c r="K133" s="44" t="s">
        <v>1247</v>
      </c>
      <c r="L133" s="14">
        <f t="shared" si="3"/>
        <v>1</v>
      </c>
      <c r="M133" s="14">
        <f>IF(OR(L133=0,T133&lt;&gt;"Sim"),0,INDEX(Processos!$X$10:$X$509,O133))</f>
        <v>1</v>
      </c>
      <c r="N133" s="40" t="str">
        <f t="shared" si="4"/>
        <v>Informe a data da revisão financeira</v>
      </c>
      <c r="O133" s="14">
        <f>IF(AND(A133&lt;&gt;"",ISTEXT(A133),COUNTIFS(Processos!$AS$10:$AS$509,"="&amp;SUBSTITUTE(SUBSTITUTE(SUBSTITUTE("P:"&amp;A133,"~","~~"),"*","~*"),"?","~?"))=1),(IF(ISNA(MATCH(SUBSTITUTE(SUBSTITUTE(SUBSTITUTE("P:"&amp;A133,"~","~~"),"*","~*"),"?","~?"),Processos!$AS$10:$AS$509,0)),9,INDEX(Processos!$AM$10:$AM$509,MATCH(SUBSTITUTE(SUBSTITUTE(SUBSTITUTE("P:"&amp;A133,"~","~~"),"*","~*"),"?","~?"),Processos!$AS$10:$AS$509,0)))-9),0)</f>
        <v>124</v>
      </c>
      <c r="P133" s="14" t="str">
        <f>IF(L133=0,"",INDEX(Processos!$D$10:$D$509,O133))</f>
        <v>Liporace</v>
      </c>
      <c r="Q133" s="14">
        <f>IF(OR(L133=0,T133&lt;&gt;"Sim"),0,INDEX(Processos!$AL$10:$AL$509,O133))</f>
        <v>1</v>
      </c>
      <c r="R133" s="14">
        <f>ROW()</f>
        <v>133</v>
      </c>
      <c r="S133" s="14" t="str">
        <f t="shared" si="5"/>
        <v>P:1027128-89.2023.4.01.3400</v>
      </c>
      <c r="T133" s="27" t="s">
        <v>1113</v>
      </c>
      <c r="U133" s="28"/>
      <c r="V133" s="28"/>
      <c r="W133" s="28"/>
      <c r="X133" s="28"/>
      <c r="Y133" s="27" t="s">
        <v>246</v>
      </c>
      <c r="Z133" s="27" t="s">
        <v>1236</v>
      </c>
      <c r="AA133" s="27" t="s">
        <v>1248</v>
      </c>
      <c r="AB133" s="27"/>
    </row>
    <row r="134" spans="1:28" ht="42" customHeight="1">
      <c r="A134" s="41" t="s">
        <v>941</v>
      </c>
      <c r="B134" s="42"/>
      <c r="C134" s="42"/>
      <c r="D134" s="42"/>
      <c r="E134" s="42"/>
      <c r="F134" s="42"/>
      <c r="G134" s="42"/>
      <c r="H134" s="45"/>
      <c r="I134" s="44"/>
      <c r="J134" s="43"/>
      <c r="K134" s="44" t="s">
        <v>1249</v>
      </c>
      <c r="L134" s="14">
        <f t="shared" si="3"/>
        <v>1</v>
      </c>
      <c r="M134" s="14">
        <f>IF(OR(L134=0,T134&lt;&gt;"Sim"),0,INDEX(Processos!$X$10:$X$509,O134))</f>
        <v>1</v>
      </c>
      <c r="N134" s="40" t="str">
        <f t="shared" si="4"/>
        <v/>
      </c>
      <c r="O134" s="14">
        <f>IF(AND(A134&lt;&gt;"",ISTEXT(A134),COUNTIFS(Processos!$AS$10:$AS$509,"="&amp;SUBSTITUTE(SUBSTITUTE(SUBSTITUTE("P:"&amp;A134,"~","~~"),"*","~*"),"?","~?"))=1),(IF(ISNA(MATCH(SUBSTITUTE(SUBSTITUTE(SUBSTITUTE("P:"&amp;A134,"~","~~"),"*","~*"),"?","~?"),Processos!$AS$10:$AS$509,0)),9,INDEX(Processos!$AM$10:$AM$509,MATCH(SUBSTITUTE(SUBSTITUTE(SUBSTITUTE("P:"&amp;A134,"~","~~"),"*","~*"),"?","~?"),Processos!$AS$10:$AS$509,0)))-9),0)</f>
        <v>125</v>
      </c>
      <c r="P134" s="14" t="str">
        <f>IF(L134=0,"",INDEX(Processos!$D$10:$D$509,O134))</f>
        <v>Liporace</v>
      </c>
      <c r="Q134" s="14">
        <f>IF(OR(L134=0,T134&lt;&gt;"Sim"),0,INDEX(Processos!$AL$10:$AL$509,O134))</f>
        <v>1</v>
      </c>
      <c r="R134" s="14">
        <f>ROW()</f>
        <v>134</v>
      </c>
      <c r="S134" s="14" t="str">
        <f t="shared" si="5"/>
        <v>P:51402.100591/2021-65</v>
      </c>
      <c r="T134" s="27" t="s">
        <v>1113</v>
      </c>
      <c r="U134" s="28"/>
      <c r="V134" s="28"/>
      <c r="W134" s="28"/>
      <c r="X134" s="28"/>
      <c r="Y134" s="27"/>
      <c r="Z134" s="27"/>
      <c r="AA134" s="27"/>
      <c r="AB134" s="27"/>
    </row>
    <row r="135" spans="1:28" ht="42" customHeight="1">
      <c r="A135" s="41" t="s">
        <v>945</v>
      </c>
      <c r="B135" s="42">
        <v>3500000</v>
      </c>
      <c r="C135" s="42"/>
      <c r="D135" s="42"/>
      <c r="E135" s="42"/>
      <c r="F135" s="42"/>
      <c r="G135" s="42"/>
      <c r="H135" s="45"/>
      <c r="I135" s="44"/>
      <c r="J135" s="43"/>
      <c r="K135" s="44" t="s">
        <v>1250</v>
      </c>
      <c r="L135" s="14">
        <f t="shared" si="3"/>
        <v>1</v>
      </c>
      <c r="M135" s="14">
        <f>IF(OR(L135=0,T135&lt;&gt;"Sim"),0,INDEX(Processos!$X$10:$X$509,O135))</f>
        <v>1</v>
      </c>
      <c r="N135" s="40" t="str">
        <f t="shared" si="4"/>
        <v>Informe a data da revisão financeira</v>
      </c>
      <c r="O135" s="14">
        <f>IF(AND(A135&lt;&gt;"",ISTEXT(A135),COUNTIFS(Processos!$AS$10:$AS$509,"="&amp;SUBSTITUTE(SUBSTITUTE(SUBSTITUTE("P:"&amp;A135,"~","~~"),"*","~*"),"?","~?"))=1),(IF(ISNA(MATCH(SUBSTITUTE(SUBSTITUTE(SUBSTITUTE("P:"&amp;A135,"~","~~"),"*","~*"),"?","~?"),Processos!$AS$10:$AS$509,0)),9,INDEX(Processos!$AM$10:$AM$509,MATCH(SUBSTITUTE(SUBSTITUTE(SUBSTITUTE("P:"&amp;A135,"~","~~"),"*","~*"),"?","~?"),Processos!$AS$10:$AS$509,0)))-9),0)</f>
        <v>126</v>
      </c>
      <c r="P135" s="14" t="str">
        <f>IF(L135=0,"",INDEX(Processos!$D$10:$D$509,O135))</f>
        <v>Liporace</v>
      </c>
      <c r="Q135" s="14">
        <f>IF(OR(L135=0,T135&lt;&gt;"Sim"),0,INDEX(Processos!$AL$10:$AL$509,O135))</f>
        <v>1</v>
      </c>
      <c r="R135" s="14">
        <f>ROW()</f>
        <v>135</v>
      </c>
      <c r="S135" s="14" t="str">
        <f t="shared" si="5"/>
        <v>P:1030764-29.2024.4.01.3400</v>
      </c>
      <c r="T135" s="27" t="s">
        <v>1113</v>
      </c>
      <c r="U135" s="28"/>
      <c r="V135" s="28"/>
      <c r="W135" s="28"/>
      <c r="X135" s="28"/>
      <c r="Y135" s="27" t="s">
        <v>246</v>
      </c>
      <c r="Z135" s="27" t="s">
        <v>1236</v>
      </c>
      <c r="AA135" s="27" t="s">
        <v>1248</v>
      </c>
      <c r="AB135" s="27"/>
    </row>
    <row r="136" spans="1:28" ht="42" customHeight="1">
      <c r="A136" s="41" t="s">
        <v>951</v>
      </c>
      <c r="B136" s="42">
        <v>12000000</v>
      </c>
      <c r="C136" s="42"/>
      <c r="D136" s="42"/>
      <c r="E136" s="42"/>
      <c r="F136" s="42"/>
      <c r="G136" s="42"/>
      <c r="H136" s="45"/>
      <c r="I136" s="44"/>
      <c r="J136" s="43"/>
      <c r="K136" s="44" t="s">
        <v>1251</v>
      </c>
      <c r="L136" s="14">
        <f t="shared" si="3"/>
        <v>1</v>
      </c>
      <c r="M136" s="14">
        <f>IF(OR(L136=0,T136&lt;&gt;"Sim"),0,INDEX(Processos!$X$10:$X$509,O136))</f>
        <v>1</v>
      </c>
      <c r="N136" s="40" t="str">
        <f t="shared" si="4"/>
        <v>Informe a data da revisão financeira</v>
      </c>
      <c r="O136" s="14">
        <f>IF(AND(A136&lt;&gt;"",ISTEXT(A136),COUNTIFS(Processos!$AS$10:$AS$509,"="&amp;SUBSTITUTE(SUBSTITUTE(SUBSTITUTE("P:"&amp;A136,"~","~~"),"*","~*"),"?","~?"))=1),(IF(ISNA(MATCH(SUBSTITUTE(SUBSTITUTE(SUBSTITUTE("P:"&amp;A136,"~","~~"),"*","~*"),"?","~?"),Processos!$AS$10:$AS$509,0)),9,INDEX(Processos!$AM$10:$AM$509,MATCH(SUBSTITUTE(SUBSTITUTE(SUBSTITUTE("P:"&amp;A136,"~","~~"),"*","~*"),"?","~?"),Processos!$AS$10:$AS$509,0)))-9),0)</f>
        <v>127</v>
      </c>
      <c r="P136" s="14" t="str">
        <f>IF(L136=0,"",INDEX(Processos!$D$10:$D$509,O136))</f>
        <v>Liporace</v>
      </c>
      <c r="Q136" s="14">
        <f>IF(OR(L136=0,T136&lt;&gt;"Sim"),0,INDEX(Processos!$AL$10:$AL$509,O136))</f>
        <v>1</v>
      </c>
      <c r="R136" s="14">
        <f>ROW()</f>
        <v>136</v>
      </c>
      <c r="S136" s="14" t="str">
        <f t="shared" si="5"/>
        <v>P:1029005-30.2024.4.01.3400</v>
      </c>
      <c r="T136" s="27" t="s">
        <v>1113</v>
      </c>
      <c r="U136" s="28"/>
      <c r="V136" s="28"/>
      <c r="W136" s="28"/>
      <c r="X136" s="28"/>
      <c r="Y136" s="27" t="s">
        <v>246</v>
      </c>
      <c r="Z136" s="27" t="s">
        <v>1236</v>
      </c>
      <c r="AA136" s="27" t="s">
        <v>1248</v>
      </c>
      <c r="AB136" s="27"/>
    </row>
    <row r="137" spans="1:28" ht="42" customHeight="1">
      <c r="A137" s="41" t="s">
        <v>956</v>
      </c>
      <c r="B137" s="42"/>
      <c r="C137" s="42"/>
      <c r="D137" s="42"/>
      <c r="E137" s="42"/>
      <c r="F137" s="42"/>
      <c r="G137" s="42"/>
      <c r="H137" s="45"/>
      <c r="I137" s="44"/>
      <c r="J137" s="43"/>
      <c r="K137" s="44" t="s">
        <v>1252</v>
      </c>
      <c r="L137" s="14">
        <f t="shared" si="3"/>
        <v>1</v>
      </c>
      <c r="M137" s="14">
        <f>IF(OR(L137=0,T137&lt;&gt;"Sim"),0,INDEX(Processos!$X$10:$X$509,O137))</f>
        <v>1</v>
      </c>
      <c r="N137" s="40" t="str">
        <f t="shared" si="4"/>
        <v/>
      </c>
      <c r="O137" s="14">
        <f>IF(AND(A137&lt;&gt;"",ISTEXT(A137),COUNTIFS(Processos!$AS$10:$AS$509,"="&amp;SUBSTITUTE(SUBSTITUTE(SUBSTITUTE("P:"&amp;A137,"~","~~"),"*","~*"),"?","~?"))=1),(IF(ISNA(MATCH(SUBSTITUTE(SUBSTITUTE(SUBSTITUTE("P:"&amp;A137,"~","~~"),"*","~*"),"?","~?"),Processos!$AS$10:$AS$509,0)),9,INDEX(Processos!$AM$10:$AM$509,MATCH(SUBSTITUTE(SUBSTITUTE(SUBSTITUTE("P:"&amp;A137,"~","~~"),"*","~*"),"?","~?"),Processos!$AS$10:$AS$509,0)))-9),0)</f>
        <v>128</v>
      </c>
      <c r="P137" s="14" t="str">
        <f>IF(L137=0,"",INDEX(Processos!$D$10:$D$509,O137))</f>
        <v>Liporace</v>
      </c>
      <c r="Q137" s="14">
        <f>IF(OR(L137=0,T137&lt;&gt;"Sim"),0,INDEX(Processos!$AL$10:$AL$509,O137))</f>
        <v>1</v>
      </c>
      <c r="R137" s="14">
        <f>ROW()</f>
        <v>137</v>
      </c>
      <c r="S137" s="14" t="str">
        <f t="shared" si="5"/>
        <v>P:51402.102109/2020-41</v>
      </c>
      <c r="T137" s="27" t="s">
        <v>1113</v>
      </c>
      <c r="U137" s="28"/>
      <c r="V137" s="28"/>
      <c r="W137" s="28"/>
      <c r="X137" s="28"/>
      <c r="Y137" s="27"/>
      <c r="Z137" s="27"/>
      <c r="AA137" s="27"/>
      <c r="AB137" s="27"/>
    </row>
    <row r="138" spans="1:28" ht="42" customHeight="1">
      <c r="A138" s="41" t="s">
        <v>960</v>
      </c>
      <c r="B138" s="42">
        <v>10500000</v>
      </c>
      <c r="C138" s="42"/>
      <c r="D138" s="42"/>
      <c r="E138" s="42"/>
      <c r="F138" s="42"/>
      <c r="G138" s="42"/>
      <c r="H138" s="45"/>
      <c r="I138" s="44"/>
      <c r="J138" s="43"/>
      <c r="K138" s="44" t="s">
        <v>1253</v>
      </c>
      <c r="L138" s="14">
        <f t="shared" ref="L138:L201" si="6">IF(AND(A138&lt;&gt;"",ISTEXT(A138),O138&gt;0,COUNTIFS($S$10:$S$509,"="&amp;SUBSTITUTE(SUBSTITUTE(SUBSTITUTE("P:"&amp;A138,"~","~~"),"*","~*"),"?","~?"))=1),1,0)</f>
        <v>1</v>
      </c>
      <c r="M138" s="14">
        <f>IF(OR(L138=0,T138&lt;&gt;"Sim"),0,INDEX(Processos!$X$10:$X$509,O138))</f>
        <v>1</v>
      </c>
      <c r="N138" s="40" t="str">
        <f t="shared" ref="N138:N201" si="7">IF(COUNTA(A138:K138)=0,"",IF(A138="","Selecione o processo",IF(O138=0,"Processo inexistente, duplicado ou número não textual",IF(COUNTIFS($S$10:$S$509,"="&amp;SUBSTITUTE(SUBSTITUTE(SUBSTITUTE("P:"&amp;A138,"~","~~"),"*","~*"),"?","~?"))&gt;1,"Mantenha apenas uma linha de valores por processo",IF(COUNT(B138:G138)&lt;&gt;COUNTA(B138:G138),"Use números nos campos financeiros",IF(MIN(B138:G138)&lt;0,"Revise os valores negativos",IF(AND(H138&lt;&gt;"",OR(NOT(ISNUMBER(H138)),H138&lt;0,H138&gt;1)),"Probabilidade deve estar entre 0% e 100%",IF(AND(J138&lt;&gt;"",OR(NOT(ISNUMBER(J138)),J138&lt;1,J138&gt;100000)),"Revise a data da avaliação",IF(AND(COUNTA(B138:I138)&gt;0,J138=""),"Informe a data da revisão financeira","")))))))))</f>
        <v>Informe a data da revisão financeira</v>
      </c>
      <c r="O138" s="14">
        <f>IF(AND(A138&lt;&gt;"",ISTEXT(A138),COUNTIFS(Processos!$AS$10:$AS$509,"="&amp;SUBSTITUTE(SUBSTITUTE(SUBSTITUTE("P:"&amp;A138,"~","~~"),"*","~*"),"?","~?"))=1),(IF(ISNA(MATCH(SUBSTITUTE(SUBSTITUTE(SUBSTITUTE("P:"&amp;A138,"~","~~"),"*","~*"),"?","~?"),Processos!$AS$10:$AS$509,0)),9,INDEX(Processos!$AM$10:$AM$509,MATCH(SUBSTITUTE(SUBSTITUTE(SUBSTITUTE("P:"&amp;A138,"~","~~"),"*","~*"),"?","~?"),Processos!$AS$10:$AS$509,0)))-9),0)</f>
        <v>129</v>
      </c>
      <c r="P138" s="14" t="str">
        <f>IF(L138=0,"",INDEX(Processos!$D$10:$D$509,O138))</f>
        <v>Liporace</v>
      </c>
      <c r="Q138" s="14">
        <f>IF(OR(L138=0,T138&lt;&gt;"Sim"),0,INDEX(Processos!$AL$10:$AL$509,O138))</f>
        <v>1</v>
      </c>
      <c r="R138" s="14">
        <f>ROW()</f>
        <v>138</v>
      </c>
      <c r="S138" s="14" t="str">
        <f t="shared" ref="S138:S201" si="8">IF(AND(A138&lt;&gt;"",ISTEXT(A138)),"P:"&amp;A138,"")</f>
        <v>P:51402.201435/2018-15</v>
      </c>
      <c r="T138" s="27" t="s">
        <v>1113</v>
      </c>
      <c r="U138" s="28"/>
      <c r="V138" s="28"/>
      <c r="W138" s="28"/>
      <c r="X138" s="28"/>
      <c r="Y138" s="27" t="s">
        <v>246</v>
      </c>
      <c r="Z138" s="27" t="s">
        <v>1132</v>
      </c>
      <c r="AA138" s="27" t="s">
        <v>1246</v>
      </c>
      <c r="AB138" s="27"/>
    </row>
    <row r="139" spans="1:28" ht="42" customHeight="1">
      <c r="A139" s="41" t="s">
        <v>964</v>
      </c>
      <c r="B139" s="42"/>
      <c r="C139" s="42"/>
      <c r="D139" s="42"/>
      <c r="E139" s="42"/>
      <c r="F139" s="42"/>
      <c r="G139" s="42"/>
      <c r="H139" s="45"/>
      <c r="I139" s="44"/>
      <c r="J139" s="43"/>
      <c r="K139" s="44" t="s">
        <v>1254</v>
      </c>
      <c r="L139" s="14">
        <f t="shared" si="6"/>
        <v>1</v>
      </c>
      <c r="M139" s="14">
        <f>IF(OR(L139=0,T139&lt;&gt;"Sim"),0,INDEX(Processos!$X$10:$X$509,O139))</f>
        <v>1</v>
      </c>
      <c r="N139" s="40" t="str">
        <f t="shared" si="7"/>
        <v/>
      </c>
      <c r="O139" s="14">
        <f>IF(AND(A139&lt;&gt;"",ISTEXT(A139),COUNTIFS(Processos!$AS$10:$AS$509,"="&amp;SUBSTITUTE(SUBSTITUTE(SUBSTITUTE("P:"&amp;A139,"~","~~"),"*","~*"),"?","~?"))=1),(IF(ISNA(MATCH(SUBSTITUTE(SUBSTITUTE(SUBSTITUTE("P:"&amp;A139,"~","~~"),"*","~*"),"?","~?"),Processos!$AS$10:$AS$509,0)),9,INDEX(Processos!$AM$10:$AM$509,MATCH(SUBSTITUTE(SUBSTITUTE(SUBSTITUTE("P:"&amp;A139,"~","~~"),"*","~*"),"?","~?"),Processos!$AS$10:$AS$509,0)))-9),0)</f>
        <v>130</v>
      </c>
      <c r="P139" s="14" t="str">
        <f>IF(L139=0,"",INDEX(Processos!$D$10:$D$509,O139))</f>
        <v>Enver</v>
      </c>
      <c r="Q139" s="14">
        <f>IF(OR(L139=0,T139&lt;&gt;"Sim"),0,INDEX(Processos!$AL$10:$AL$509,O139))</f>
        <v>1</v>
      </c>
      <c r="R139" s="14">
        <f>ROW()</f>
        <v>139</v>
      </c>
      <c r="S139" s="14" t="str">
        <f t="shared" si="8"/>
        <v>P:1023138-93.2019.4.01.3800</v>
      </c>
      <c r="T139" s="27" t="s">
        <v>1113</v>
      </c>
      <c r="U139" s="28"/>
      <c r="V139" s="28"/>
      <c r="W139" s="28"/>
      <c r="X139" s="28"/>
      <c r="Y139" s="27"/>
      <c r="Z139" s="27"/>
      <c r="AA139" s="27"/>
      <c r="AB139" s="27"/>
    </row>
    <row r="140" spans="1:28" ht="42" customHeight="1">
      <c r="A140" s="41" t="s">
        <v>971</v>
      </c>
      <c r="B140" s="42"/>
      <c r="C140" s="42"/>
      <c r="D140" s="42"/>
      <c r="E140" s="42"/>
      <c r="F140" s="42"/>
      <c r="G140" s="42"/>
      <c r="H140" s="45"/>
      <c r="I140" s="44"/>
      <c r="J140" s="43"/>
      <c r="K140" s="44" t="s">
        <v>1255</v>
      </c>
      <c r="L140" s="14">
        <f t="shared" si="6"/>
        <v>1</v>
      </c>
      <c r="M140" s="14">
        <f>IF(OR(L140=0,T140&lt;&gt;"Sim"),0,INDEX(Processos!$X$10:$X$509,O140))</f>
        <v>1</v>
      </c>
      <c r="N140" s="40" t="str">
        <f t="shared" si="7"/>
        <v/>
      </c>
      <c r="O140" s="14">
        <f>IF(AND(A140&lt;&gt;"",ISTEXT(A140),COUNTIFS(Processos!$AS$10:$AS$509,"="&amp;SUBSTITUTE(SUBSTITUTE(SUBSTITUTE("P:"&amp;A140,"~","~~"),"*","~*"),"?","~?"))=1),(IF(ISNA(MATCH(SUBSTITUTE(SUBSTITUTE(SUBSTITUTE("P:"&amp;A140,"~","~~"),"*","~*"),"?","~?"),Processos!$AS$10:$AS$509,0)),9,INDEX(Processos!$AM$10:$AM$509,MATCH(SUBSTITUTE(SUBSTITUTE(SUBSTITUTE("P:"&amp;A140,"~","~~"),"*","~*"),"?","~?"),Processos!$AS$10:$AS$509,0)))-9),0)</f>
        <v>131</v>
      </c>
      <c r="P140" s="14" t="str">
        <f>IF(L140=0,"",INDEX(Processos!$D$10:$D$509,O140))</f>
        <v>Pedro Calmon</v>
      </c>
      <c r="Q140" s="14">
        <f>IF(OR(L140=0,T140&lt;&gt;"Sim"),0,INDEX(Processos!$AL$10:$AL$509,O140))</f>
        <v>1</v>
      </c>
      <c r="R140" s="14">
        <f>ROW()</f>
        <v>140</v>
      </c>
      <c r="S140" s="14" t="str">
        <f t="shared" si="8"/>
        <v>P:0000935-94.2017.8.17.0810</v>
      </c>
      <c r="T140" s="27" t="s">
        <v>1113</v>
      </c>
      <c r="U140" s="28"/>
      <c r="V140" s="28"/>
      <c r="W140" s="28"/>
      <c r="X140" s="28"/>
      <c r="Y140" s="27" t="s">
        <v>1256</v>
      </c>
      <c r="Z140" s="27" t="s">
        <v>1149</v>
      </c>
      <c r="AA140" s="27" t="s">
        <v>1257</v>
      </c>
      <c r="AB140" s="27"/>
    </row>
    <row r="141" spans="1:28" ht="42" customHeight="1">
      <c r="A141" s="41" t="s">
        <v>980</v>
      </c>
      <c r="B141" s="42"/>
      <c r="C141" s="42"/>
      <c r="D141" s="42"/>
      <c r="E141" s="42"/>
      <c r="F141" s="42"/>
      <c r="G141" s="42"/>
      <c r="H141" s="45"/>
      <c r="I141" s="44"/>
      <c r="J141" s="43"/>
      <c r="K141" s="44" t="s">
        <v>1258</v>
      </c>
      <c r="L141" s="14">
        <f t="shared" si="6"/>
        <v>1</v>
      </c>
      <c r="M141" s="14">
        <f>IF(OR(L141=0,T141&lt;&gt;"Sim"),0,INDEX(Processos!$X$10:$X$509,O141))</f>
        <v>0</v>
      </c>
      <c r="N141" s="40" t="str">
        <f t="shared" si="7"/>
        <v/>
      </c>
      <c r="O141" s="14">
        <f>IF(AND(A141&lt;&gt;"",ISTEXT(A141),COUNTIFS(Processos!$AS$10:$AS$509,"="&amp;SUBSTITUTE(SUBSTITUTE(SUBSTITUTE("P:"&amp;A141,"~","~~"),"*","~*"),"?","~?"))=1),(IF(ISNA(MATCH(SUBSTITUTE(SUBSTITUTE(SUBSTITUTE("P:"&amp;A141,"~","~~"),"*","~*"),"?","~?"),Processos!$AS$10:$AS$509,0)),9,INDEX(Processos!$AM$10:$AM$509,MATCH(SUBSTITUTE(SUBSTITUTE(SUBSTITUTE("P:"&amp;A141,"~","~~"),"*","~*"),"?","~?"),Processos!$AS$10:$AS$509,0)))-9),0)</f>
        <v>132</v>
      </c>
      <c r="P141" s="14" t="str">
        <f>IF(L141=0,"",INDEX(Processos!$D$10:$D$509,O141))</f>
        <v>Brandão</v>
      </c>
      <c r="Q141" s="14">
        <f>IF(OR(L141=0,T141&lt;&gt;"Sim"),0,INDEX(Processos!$AL$10:$AL$509,O141))</f>
        <v>0</v>
      </c>
      <c r="R141" s="14">
        <f>ROW()</f>
        <v>141</v>
      </c>
      <c r="S141" s="14" t="str">
        <f t="shared" si="8"/>
        <v>P:1057475-42.2022.4.01.3400 [BRA-001]</v>
      </c>
      <c r="T141" s="27" t="s">
        <v>1117</v>
      </c>
      <c r="U141" s="28"/>
      <c r="V141" s="28"/>
      <c r="W141" s="28"/>
      <c r="X141" s="28"/>
      <c r="Y141" s="27" t="s">
        <v>1259</v>
      </c>
      <c r="Z141" s="27" t="s">
        <v>1236</v>
      </c>
      <c r="AA141" s="27" t="s">
        <v>1260</v>
      </c>
      <c r="AB141" s="27"/>
    </row>
    <row r="142" spans="1:28" ht="42" customHeight="1">
      <c r="A142" s="41" t="s">
        <v>992</v>
      </c>
      <c r="B142" s="42"/>
      <c r="C142" s="42"/>
      <c r="D142" s="42"/>
      <c r="E142" s="42"/>
      <c r="F142" s="42"/>
      <c r="G142" s="42"/>
      <c r="H142" s="45"/>
      <c r="I142" s="44"/>
      <c r="J142" s="43"/>
      <c r="K142" s="44" t="s">
        <v>1261</v>
      </c>
      <c r="L142" s="14">
        <f t="shared" si="6"/>
        <v>1</v>
      </c>
      <c r="M142" s="14">
        <f>IF(OR(L142=0,T142&lt;&gt;"Sim"),0,INDEX(Processos!$X$10:$X$509,O142))</f>
        <v>0</v>
      </c>
      <c r="N142" s="40" t="str">
        <f t="shared" si="7"/>
        <v/>
      </c>
      <c r="O142" s="14">
        <f>IF(AND(A142&lt;&gt;"",ISTEXT(A142),COUNTIFS(Processos!$AS$10:$AS$509,"="&amp;SUBSTITUTE(SUBSTITUTE(SUBSTITUTE("P:"&amp;A142,"~","~~"),"*","~*"),"?","~?"))=1),(IF(ISNA(MATCH(SUBSTITUTE(SUBSTITUTE(SUBSTITUTE("P:"&amp;A142,"~","~~"),"*","~*"),"?","~?"),Processos!$AS$10:$AS$509,0)),9,INDEX(Processos!$AM$10:$AM$509,MATCH(SUBSTITUTE(SUBSTITUTE(SUBSTITUTE("P:"&amp;A142,"~","~~"),"*","~*"),"?","~?"),Processos!$AS$10:$AS$509,0)))-9),0)</f>
        <v>133</v>
      </c>
      <c r="P142" s="14" t="str">
        <f>IF(L142=0,"",INDEX(Processos!$D$10:$D$509,O142))</f>
        <v>Brandão</v>
      </c>
      <c r="Q142" s="14">
        <f>IF(OR(L142=0,T142&lt;&gt;"Sim"),0,INDEX(Processos!$AL$10:$AL$509,O142))</f>
        <v>0</v>
      </c>
      <c r="R142" s="14">
        <f>ROW()</f>
        <v>142</v>
      </c>
      <c r="S142" s="14" t="str">
        <f t="shared" si="8"/>
        <v>P:1005926-71.2023.4.01.0000 [BRA-002]</v>
      </c>
      <c r="T142" s="27" t="s">
        <v>1117</v>
      </c>
      <c r="U142" s="28"/>
      <c r="V142" s="28"/>
      <c r="W142" s="28"/>
      <c r="X142" s="28"/>
      <c r="Y142" s="27" t="s">
        <v>1262</v>
      </c>
      <c r="Z142" s="27" t="s">
        <v>1236</v>
      </c>
      <c r="AA142" s="27" t="s">
        <v>1260</v>
      </c>
      <c r="AB142" s="27"/>
    </row>
    <row r="143" spans="1:28" ht="42" customHeight="1">
      <c r="A143" s="41" t="s">
        <v>1000</v>
      </c>
      <c r="B143" s="42"/>
      <c r="C143" s="42"/>
      <c r="D143" s="42"/>
      <c r="E143" s="42"/>
      <c r="F143" s="42"/>
      <c r="G143" s="42"/>
      <c r="H143" s="45"/>
      <c r="I143" s="44"/>
      <c r="J143" s="43"/>
      <c r="K143" s="44" t="s">
        <v>1263</v>
      </c>
      <c r="L143" s="14">
        <f t="shared" si="6"/>
        <v>1</v>
      </c>
      <c r="M143" s="14">
        <f>IF(OR(L143=0,T143&lt;&gt;"Sim"),0,INDEX(Processos!$X$10:$X$509,O143))</f>
        <v>1</v>
      </c>
      <c r="N143" s="40" t="str">
        <f t="shared" si="7"/>
        <v/>
      </c>
      <c r="O143" s="14">
        <f>IF(AND(A143&lt;&gt;"",ISTEXT(A143),COUNTIFS(Processos!$AS$10:$AS$509,"="&amp;SUBSTITUTE(SUBSTITUTE(SUBSTITUTE("P:"&amp;A143,"~","~~"),"*","~*"),"?","~?"))=1),(IF(ISNA(MATCH(SUBSTITUTE(SUBSTITUTE(SUBSTITUTE("P:"&amp;A143,"~","~~"),"*","~*"),"?","~?"),Processos!$AS$10:$AS$509,0)),9,INDEX(Processos!$AM$10:$AM$509,MATCH(SUBSTITUTE(SUBSTITUTE(SUBSTITUTE("P:"&amp;A143,"~","~~"),"*","~*"),"?","~?"),Processos!$AS$10:$AS$509,0)))-9),0)</f>
        <v>134</v>
      </c>
      <c r="P143" s="14" t="str">
        <f>IF(L143=0,"",INDEX(Processos!$D$10:$D$509,O143))</f>
        <v>Cavalcanti</v>
      </c>
      <c r="Q143" s="14">
        <f>IF(OR(L143=0,T143&lt;&gt;"Sim"),0,INDEX(Processos!$AL$10:$AL$509,O143))</f>
        <v>1</v>
      </c>
      <c r="R143" s="14">
        <f>ROW()</f>
        <v>143</v>
      </c>
      <c r="S143" s="14" t="str">
        <f t="shared" si="8"/>
        <v>P:1047703-21.2023.4.01.3400</v>
      </c>
      <c r="T143" s="27" t="s">
        <v>1113</v>
      </c>
      <c r="U143" s="28"/>
      <c r="V143" s="28"/>
      <c r="W143" s="28"/>
      <c r="X143" s="28"/>
      <c r="Y143" s="27" t="s">
        <v>1264</v>
      </c>
      <c r="Z143" s="27" t="s">
        <v>1132</v>
      </c>
      <c r="AA143" s="27" t="s">
        <v>1224</v>
      </c>
      <c r="AB143" s="27"/>
    </row>
    <row r="144" spans="1:28" ht="42" customHeight="1">
      <c r="A144" s="41" t="s">
        <v>1009</v>
      </c>
      <c r="B144" s="42"/>
      <c r="C144" s="42"/>
      <c r="D144" s="42"/>
      <c r="E144" s="42"/>
      <c r="F144" s="42"/>
      <c r="G144" s="42"/>
      <c r="H144" s="45"/>
      <c r="I144" s="44"/>
      <c r="J144" s="43"/>
      <c r="K144" s="44" t="s">
        <v>1265</v>
      </c>
      <c r="L144" s="14">
        <f t="shared" si="6"/>
        <v>1</v>
      </c>
      <c r="M144" s="14">
        <f>IF(OR(L144=0,T144&lt;&gt;"Sim"),0,INDEX(Processos!$X$10:$X$509,O144))</f>
        <v>0</v>
      </c>
      <c r="N144" s="40" t="str">
        <f t="shared" si="7"/>
        <v/>
      </c>
      <c r="O144" s="14">
        <f>IF(AND(A144&lt;&gt;"",ISTEXT(A144),COUNTIFS(Processos!$AS$10:$AS$509,"="&amp;SUBSTITUTE(SUBSTITUTE(SUBSTITUTE("P:"&amp;A144,"~","~~"),"*","~*"),"?","~?"))=1),(IF(ISNA(MATCH(SUBSTITUTE(SUBSTITUTE(SUBSTITUTE("P:"&amp;A144,"~","~~"),"*","~*"),"?","~?"),Processos!$AS$10:$AS$509,0)),9,INDEX(Processos!$AM$10:$AM$509,MATCH(SUBSTITUTE(SUBSTITUTE(SUBSTITUTE("P:"&amp;A144,"~","~~"),"*","~*"),"?","~?"),Processos!$AS$10:$AS$509,0)))-9),0)</f>
        <v>135</v>
      </c>
      <c r="P144" s="14" t="str">
        <f>IF(L144=0,"",INDEX(Processos!$D$10:$D$509,O144))</f>
        <v>Cavalcanti</v>
      </c>
      <c r="Q144" s="14">
        <f>IF(OR(L144=0,T144&lt;&gt;"Sim"),0,INDEX(Processos!$AL$10:$AL$509,O144))</f>
        <v>0</v>
      </c>
      <c r="R144" s="14">
        <f>ROW()</f>
        <v>144</v>
      </c>
      <c r="S144" s="14" t="str">
        <f t="shared" si="8"/>
        <v>P:1057475-42.2022.4.01.3400 [CAV-002]</v>
      </c>
      <c r="T144" s="27" t="s">
        <v>1117</v>
      </c>
      <c r="U144" s="28"/>
      <c r="V144" s="28"/>
      <c r="W144" s="28"/>
      <c r="X144" s="28"/>
      <c r="Y144" s="27" t="s">
        <v>1259</v>
      </c>
      <c r="Z144" s="27" t="s">
        <v>1236</v>
      </c>
      <c r="AA144" s="27" t="s">
        <v>1260</v>
      </c>
      <c r="AB144" s="27"/>
    </row>
    <row r="145" spans="1:28" ht="42" customHeight="1">
      <c r="A145" s="41" t="s">
        <v>1012</v>
      </c>
      <c r="B145" s="42"/>
      <c r="C145" s="42"/>
      <c r="D145" s="42"/>
      <c r="E145" s="42"/>
      <c r="F145" s="42"/>
      <c r="G145" s="42"/>
      <c r="H145" s="45"/>
      <c r="I145" s="44"/>
      <c r="J145" s="43"/>
      <c r="K145" s="44" t="s">
        <v>1266</v>
      </c>
      <c r="L145" s="14">
        <f t="shared" si="6"/>
        <v>1</v>
      </c>
      <c r="M145" s="14">
        <f>IF(OR(L145=0,T145&lt;&gt;"Sim"),0,INDEX(Processos!$X$10:$X$509,O145))</f>
        <v>0</v>
      </c>
      <c r="N145" s="40" t="str">
        <f t="shared" si="7"/>
        <v/>
      </c>
      <c r="O145" s="14">
        <f>IF(AND(A145&lt;&gt;"",ISTEXT(A145),COUNTIFS(Processos!$AS$10:$AS$509,"="&amp;SUBSTITUTE(SUBSTITUTE(SUBSTITUTE("P:"&amp;A145,"~","~~"),"*","~*"),"?","~?"))=1),(IF(ISNA(MATCH(SUBSTITUTE(SUBSTITUTE(SUBSTITUTE("P:"&amp;A145,"~","~~"),"*","~*"),"?","~?"),Processos!$AS$10:$AS$509,0)),9,INDEX(Processos!$AM$10:$AM$509,MATCH(SUBSTITUTE(SUBSTITUTE(SUBSTITUTE("P:"&amp;A145,"~","~~"),"*","~*"),"?","~?"),Processos!$AS$10:$AS$509,0)))-9),0)</f>
        <v>136</v>
      </c>
      <c r="P145" s="14" t="str">
        <f>IF(L145=0,"",INDEX(Processos!$D$10:$D$509,O145))</f>
        <v>Cavalcanti</v>
      </c>
      <c r="Q145" s="14">
        <f>IF(OR(L145=0,T145&lt;&gt;"Sim"),0,INDEX(Processos!$AL$10:$AL$509,O145))</f>
        <v>0</v>
      </c>
      <c r="R145" s="14">
        <f>ROW()</f>
        <v>145</v>
      </c>
      <c r="S145" s="14" t="str">
        <f t="shared" si="8"/>
        <v>P:1005926-71.2023.4.01.0000 [CAV-003]</v>
      </c>
      <c r="T145" s="27" t="s">
        <v>1117</v>
      </c>
      <c r="U145" s="28"/>
      <c r="V145" s="28"/>
      <c r="W145" s="28"/>
      <c r="X145" s="28"/>
      <c r="Y145" s="27" t="s">
        <v>1262</v>
      </c>
      <c r="Z145" s="27" t="s">
        <v>1236</v>
      </c>
      <c r="AA145" s="27" t="s">
        <v>1260</v>
      </c>
      <c r="AB145" s="27"/>
    </row>
    <row r="146" spans="1:28" ht="42" customHeight="1">
      <c r="A146" s="41" t="s">
        <v>1015</v>
      </c>
      <c r="B146" s="42"/>
      <c r="C146" s="42"/>
      <c r="D146" s="42"/>
      <c r="E146" s="42"/>
      <c r="F146" s="42"/>
      <c r="G146" s="42"/>
      <c r="H146" s="45"/>
      <c r="I146" s="44"/>
      <c r="J146" s="43"/>
      <c r="K146" s="44" t="s">
        <v>1267</v>
      </c>
      <c r="L146" s="14">
        <f t="shared" si="6"/>
        <v>1</v>
      </c>
      <c r="M146" s="14">
        <f>IF(OR(L146=0,T146&lt;&gt;"Sim"),0,INDEX(Processos!$X$10:$X$509,O146))</f>
        <v>1</v>
      </c>
      <c r="N146" s="40" t="str">
        <f t="shared" si="7"/>
        <v/>
      </c>
      <c r="O146" s="14">
        <f>IF(AND(A146&lt;&gt;"",ISTEXT(A146),COUNTIFS(Processos!$AS$10:$AS$509,"="&amp;SUBSTITUTE(SUBSTITUTE(SUBSTITUTE("P:"&amp;A146,"~","~~"),"*","~*"),"?","~?"))=1),(IF(ISNA(MATCH(SUBSTITUTE(SUBSTITUTE(SUBSTITUTE("P:"&amp;A146,"~","~~"),"*","~*"),"?","~?"),Processos!$AS$10:$AS$509,0)),9,INDEX(Processos!$AM$10:$AM$509,MATCH(SUBSTITUTE(SUBSTITUTE(SUBSTITUTE("P:"&amp;A146,"~","~~"),"*","~*"),"?","~?"),Processos!$AS$10:$AS$509,0)))-9),0)</f>
        <v>137</v>
      </c>
      <c r="P146" s="14" t="str">
        <f>IF(L146=0,"",INDEX(Processos!$D$10:$D$509,O146))</f>
        <v>Joaquim Carvalho</v>
      </c>
      <c r="Q146" s="14">
        <f>IF(OR(L146=0,T146&lt;&gt;"Sim"),0,INDEX(Processos!$AL$10:$AL$509,O146))</f>
        <v>1</v>
      </c>
      <c r="R146" s="14">
        <f>ROW()</f>
        <v>146</v>
      </c>
      <c r="S146" s="14" t="str">
        <f t="shared" si="8"/>
        <v>P:1019783-32.2022.4.06.3800</v>
      </c>
      <c r="T146" s="27" t="s">
        <v>1113</v>
      </c>
      <c r="U146" s="28"/>
      <c r="V146" s="28"/>
      <c r="W146" s="28"/>
      <c r="X146" s="28"/>
      <c r="Y146" s="27"/>
      <c r="Z146" s="27"/>
      <c r="AA146" s="27"/>
      <c r="AB146" s="27"/>
    </row>
    <row r="147" spans="1:28" ht="42" customHeight="1">
      <c r="A147" s="41" t="s">
        <v>1022</v>
      </c>
      <c r="B147" s="42"/>
      <c r="C147" s="42"/>
      <c r="D147" s="42"/>
      <c r="E147" s="42"/>
      <c r="F147" s="42"/>
      <c r="G147" s="42"/>
      <c r="H147" s="45"/>
      <c r="I147" s="44"/>
      <c r="J147" s="43"/>
      <c r="K147" s="44" t="s">
        <v>1268</v>
      </c>
      <c r="L147" s="14">
        <f t="shared" si="6"/>
        <v>1</v>
      </c>
      <c r="M147" s="14">
        <f>IF(OR(L147=0,T147&lt;&gt;"Sim"),0,INDEX(Processos!$X$10:$X$509,O147))</f>
        <v>1</v>
      </c>
      <c r="N147" s="40" t="str">
        <f t="shared" si="7"/>
        <v/>
      </c>
      <c r="O147" s="14">
        <f>IF(AND(A147&lt;&gt;"",ISTEXT(A147),COUNTIFS(Processos!$AS$10:$AS$509,"="&amp;SUBSTITUTE(SUBSTITUTE(SUBSTITUTE("P:"&amp;A147,"~","~~"),"*","~*"),"?","~?"))=1),(IF(ISNA(MATCH(SUBSTITUTE(SUBSTITUTE(SUBSTITUTE("P:"&amp;A147,"~","~~"),"*","~*"),"?","~?"),Processos!$AS$10:$AS$509,0)),9,INDEX(Processos!$AM$10:$AM$509,MATCH(SUBSTITUTE(SUBSTITUTE(SUBSTITUTE("P:"&amp;A147,"~","~~"),"*","~*"),"?","~?"),Processos!$AS$10:$AS$509,0)))-9),0)</f>
        <v>138</v>
      </c>
      <c r="P147" s="14" t="str">
        <f>IF(L147=0,"",INDEX(Processos!$D$10:$D$509,O147))</f>
        <v>Sacha Calmon</v>
      </c>
      <c r="Q147" s="14">
        <f>IF(OR(L147=0,T147&lt;&gt;"Sim"),0,INDEX(Processos!$AL$10:$AL$509,O147))</f>
        <v>1</v>
      </c>
      <c r="R147" s="14">
        <f>ROW()</f>
        <v>147</v>
      </c>
      <c r="S147" s="14" t="str">
        <f t="shared" si="8"/>
        <v>P:5287392-91.2023.8.13.0024</v>
      </c>
      <c r="T147" s="27" t="s">
        <v>1113</v>
      </c>
      <c r="U147" s="28"/>
      <c r="V147" s="28"/>
      <c r="W147" s="28"/>
      <c r="X147" s="28"/>
      <c r="Y147" s="27" t="s">
        <v>246</v>
      </c>
      <c r="Z147" s="27" t="s">
        <v>1132</v>
      </c>
      <c r="AA147" s="27" t="s">
        <v>1269</v>
      </c>
      <c r="AB147" s="27"/>
    </row>
    <row r="148" spans="1:28" ht="42" customHeight="1">
      <c r="A148" s="41" t="s">
        <v>1029</v>
      </c>
      <c r="B148" s="42">
        <v>28362468.460000001</v>
      </c>
      <c r="C148" s="42">
        <v>23349656.25</v>
      </c>
      <c r="D148" s="42"/>
      <c r="E148" s="42"/>
      <c r="F148" s="42"/>
      <c r="G148" s="42"/>
      <c r="H148" s="45"/>
      <c r="I148" s="44"/>
      <c r="J148" s="43"/>
      <c r="K148" s="44" t="s">
        <v>1270</v>
      </c>
      <c r="L148" s="14">
        <f t="shared" si="6"/>
        <v>1</v>
      </c>
      <c r="M148" s="14">
        <f>IF(OR(L148=0,T148&lt;&gt;"Sim"),0,INDEX(Processos!$X$10:$X$509,O148))</f>
        <v>1</v>
      </c>
      <c r="N148" s="40" t="str">
        <f t="shared" si="7"/>
        <v>Informe a data da revisão financeira</v>
      </c>
      <c r="O148" s="14">
        <f>IF(AND(A148&lt;&gt;"",ISTEXT(A148),COUNTIFS(Processos!$AS$10:$AS$509,"="&amp;SUBSTITUTE(SUBSTITUTE(SUBSTITUTE("P:"&amp;A148,"~","~~"),"*","~*"),"?","~?"))=1),(IF(ISNA(MATCH(SUBSTITUTE(SUBSTITUTE(SUBSTITUTE("P:"&amp;A148,"~","~~"),"*","~*"),"?","~?"),Processos!$AS$10:$AS$509,0)),9,INDEX(Processos!$AM$10:$AM$509,MATCH(SUBSTITUTE(SUBSTITUTE(SUBSTITUTE("P:"&amp;A148,"~","~~"),"*","~*"),"?","~?"),Processos!$AS$10:$AS$509,0)))-9),0)</f>
        <v>139</v>
      </c>
      <c r="P148" s="14" t="str">
        <f>IF(L148=0,"",INDEX(Processos!$D$10:$D$509,O148))</f>
        <v>Sacha Calmon</v>
      </c>
      <c r="Q148" s="14">
        <f>IF(OR(L148=0,T148&lt;&gt;"Sim"),0,INDEX(Processos!$AL$10:$AL$509,O148))</f>
        <v>1</v>
      </c>
      <c r="R148" s="14">
        <f>ROW()</f>
        <v>148</v>
      </c>
      <c r="S148" s="14" t="str">
        <f t="shared" si="8"/>
        <v>P:5225553-65.2023.8.13.0024</v>
      </c>
      <c r="T148" s="27" t="s">
        <v>1113</v>
      </c>
      <c r="U148" s="28"/>
      <c r="V148" s="28"/>
      <c r="W148" s="28"/>
      <c r="X148" s="28"/>
      <c r="Y148" s="27" t="s">
        <v>246</v>
      </c>
      <c r="Z148" s="27" t="s">
        <v>1132</v>
      </c>
      <c r="AA148" s="27" t="s">
        <v>1269</v>
      </c>
      <c r="AB148" s="27"/>
    </row>
    <row r="149" spans="1:28" ht="42" customHeight="1">
      <c r="A149" s="41" t="s">
        <v>1033</v>
      </c>
      <c r="B149" s="42"/>
      <c r="C149" s="42"/>
      <c r="D149" s="42"/>
      <c r="E149" s="42"/>
      <c r="F149" s="42"/>
      <c r="G149" s="42"/>
      <c r="H149" s="45"/>
      <c r="I149" s="44"/>
      <c r="J149" s="43"/>
      <c r="K149" s="44" t="s">
        <v>1271</v>
      </c>
      <c r="L149" s="14">
        <f t="shared" si="6"/>
        <v>1</v>
      </c>
      <c r="M149" s="14">
        <f>IF(OR(L149=0,T149&lt;&gt;"Sim"),0,INDEX(Processos!$X$10:$X$509,O149))</f>
        <v>1</v>
      </c>
      <c r="N149" s="40" t="str">
        <f t="shared" si="7"/>
        <v/>
      </c>
      <c r="O149" s="14">
        <f>IF(AND(A149&lt;&gt;"",ISTEXT(A149),COUNTIFS(Processos!$AS$10:$AS$509,"="&amp;SUBSTITUTE(SUBSTITUTE(SUBSTITUTE("P:"&amp;A149,"~","~~"),"*","~*"),"?","~?"))=1),(IF(ISNA(MATCH(SUBSTITUTE(SUBSTITUTE(SUBSTITUTE("P:"&amp;A149,"~","~~"),"*","~*"),"?","~?"),Processos!$AS$10:$AS$509,0)),9,INDEX(Processos!$AM$10:$AM$509,MATCH(SUBSTITUTE(SUBSTITUTE(SUBSTITUTE("P:"&amp;A149,"~","~~"),"*","~*"),"?","~?"),Processos!$AS$10:$AS$509,0)))-9),0)</f>
        <v>140</v>
      </c>
      <c r="P149" s="14" t="str">
        <f>IF(L149=0,"",INDEX(Processos!$D$10:$D$509,O149))</f>
        <v>Frois</v>
      </c>
      <c r="Q149" s="14">
        <f>IF(OR(L149=0,T149&lt;&gt;"Sim"),0,INDEX(Processos!$AL$10:$AL$509,O149))</f>
        <v>1</v>
      </c>
      <c r="R149" s="14">
        <f>ROW()</f>
        <v>149</v>
      </c>
      <c r="S149" s="14" t="str">
        <f t="shared" si="8"/>
        <v>P:Inquérito Policial 2022.0009514-SR/PF/MG</v>
      </c>
      <c r="T149" s="27" t="s">
        <v>1113</v>
      </c>
      <c r="U149" s="28"/>
      <c r="V149" s="28"/>
      <c r="W149" s="28"/>
      <c r="X149" s="28"/>
      <c r="Y149" s="27"/>
      <c r="Z149" s="27"/>
      <c r="AA149" s="27"/>
      <c r="AB149" s="27"/>
    </row>
    <row r="150" spans="1:28" ht="42" customHeight="1">
      <c r="A150" s="41" t="s">
        <v>1041</v>
      </c>
      <c r="B150" s="42"/>
      <c r="C150" s="42"/>
      <c r="D150" s="42"/>
      <c r="E150" s="42"/>
      <c r="F150" s="42"/>
      <c r="G150" s="42"/>
      <c r="H150" s="45"/>
      <c r="I150" s="44"/>
      <c r="J150" s="43"/>
      <c r="K150" s="44" t="s">
        <v>1272</v>
      </c>
      <c r="L150" s="14">
        <f t="shared" si="6"/>
        <v>1</v>
      </c>
      <c r="M150" s="14">
        <f>IF(OR(L150=0,T150&lt;&gt;"Sim"),0,INDEX(Processos!$X$10:$X$509,O150))</f>
        <v>1</v>
      </c>
      <c r="N150" s="40" t="str">
        <f t="shared" si="7"/>
        <v/>
      </c>
      <c r="O150" s="14">
        <f>IF(AND(A150&lt;&gt;"",ISTEXT(A150),COUNTIFS(Processos!$AS$10:$AS$509,"="&amp;SUBSTITUTE(SUBSTITUTE(SUBSTITUTE("P:"&amp;A150,"~","~~"),"*","~*"),"?","~?"))=1),(IF(ISNA(MATCH(SUBSTITUTE(SUBSTITUTE(SUBSTITUTE("P:"&amp;A150,"~","~~"),"*","~*"),"?","~?"),Processos!$AS$10:$AS$509,0)),9,INDEX(Processos!$AM$10:$AM$509,MATCH(SUBSTITUTE(SUBSTITUTE(SUBSTITUTE("P:"&amp;A150,"~","~~"),"*","~*"),"?","~?"),Processos!$AS$10:$AS$509,0)))-9),0)</f>
        <v>141</v>
      </c>
      <c r="P150" s="14" t="str">
        <f>IF(L150=0,"",INDEX(Processos!$D$10:$D$509,O150))</f>
        <v>Frois</v>
      </c>
      <c r="Q150" s="14">
        <f>IF(OR(L150=0,T150&lt;&gt;"Sim"),0,INDEX(Processos!$AL$10:$AL$509,O150))</f>
        <v>1</v>
      </c>
      <c r="R150" s="14">
        <f>ROW()</f>
        <v>150</v>
      </c>
      <c r="S150" s="14" t="str">
        <f t="shared" si="8"/>
        <v>P:1110200-94.2023.4.06.3800</v>
      </c>
      <c r="T150" s="27" t="s">
        <v>1113</v>
      </c>
      <c r="U150" s="28"/>
      <c r="V150" s="28"/>
      <c r="W150" s="28"/>
      <c r="X150" s="28"/>
      <c r="Y150" s="27"/>
      <c r="Z150" s="27"/>
      <c r="AA150" s="27"/>
      <c r="AB150" s="27"/>
    </row>
    <row r="151" spans="1:28" ht="42" customHeight="1">
      <c r="A151" s="41" t="s">
        <v>1046</v>
      </c>
      <c r="B151" s="42"/>
      <c r="C151" s="42"/>
      <c r="D151" s="42"/>
      <c r="E151" s="42"/>
      <c r="F151" s="42"/>
      <c r="G151" s="42"/>
      <c r="H151" s="45"/>
      <c r="I151" s="44"/>
      <c r="J151" s="43"/>
      <c r="K151" s="44" t="s">
        <v>1273</v>
      </c>
      <c r="L151" s="14">
        <f t="shared" si="6"/>
        <v>1</v>
      </c>
      <c r="M151" s="14">
        <f>IF(OR(L151=0,T151&lt;&gt;"Sim"),0,INDEX(Processos!$X$10:$X$509,O151))</f>
        <v>1</v>
      </c>
      <c r="N151" s="40" t="str">
        <f t="shared" si="7"/>
        <v/>
      </c>
      <c r="O151" s="14">
        <f>IF(AND(A151&lt;&gt;"",ISTEXT(A151),COUNTIFS(Processos!$AS$10:$AS$509,"="&amp;SUBSTITUTE(SUBSTITUTE(SUBSTITUTE("P:"&amp;A151,"~","~~"),"*","~*"),"?","~?"))=1),(IF(ISNA(MATCH(SUBSTITUTE(SUBSTITUTE(SUBSTITUTE("P:"&amp;A151,"~","~~"),"*","~*"),"?","~?"),Processos!$AS$10:$AS$509,0)),9,INDEX(Processos!$AM$10:$AM$509,MATCH(SUBSTITUTE(SUBSTITUTE(SUBSTITUTE("P:"&amp;A151,"~","~~"),"*","~*"),"?","~?"),Processos!$AS$10:$AS$509,0)))-9),0)</f>
        <v>142</v>
      </c>
      <c r="P151" s="14" t="str">
        <f>IF(L151=0,"",INDEX(Processos!$D$10:$D$509,O151))</f>
        <v>Frois</v>
      </c>
      <c r="Q151" s="14">
        <f>IF(OR(L151=0,T151&lt;&gt;"Sim"),0,INDEX(Processos!$AL$10:$AL$509,O151))</f>
        <v>1</v>
      </c>
      <c r="R151" s="14">
        <f>ROW()</f>
        <v>151</v>
      </c>
      <c r="S151" s="14" t="str">
        <f t="shared" si="8"/>
        <v>P:1020133-58.2022.4.01.3800</v>
      </c>
      <c r="T151" s="27" t="s">
        <v>1113</v>
      </c>
      <c r="U151" s="28"/>
      <c r="V151" s="28"/>
      <c r="W151" s="28"/>
      <c r="X151" s="28"/>
      <c r="Y151" s="27"/>
      <c r="Z151" s="27"/>
      <c r="AA151" s="27"/>
      <c r="AB151" s="27"/>
    </row>
    <row r="152" spans="1:28" ht="42" customHeight="1">
      <c r="A152" s="41" t="s">
        <v>1050</v>
      </c>
      <c r="B152" s="42"/>
      <c r="C152" s="42"/>
      <c r="D152" s="42"/>
      <c r="E152" s="42"/>
      <c r="F152" s="42"/>
      <c r="G152" s="42"/>
      <c r="H152" s="45"/>
      <c r="I152" s="44"/>
      <c r="J152" s="43"/>
      <c r="K152" s="44" t="s">
        <v>1274</v>
      </c>
      <c r="L152" s="14">
        <f t="shared" si="6"/>
        <v>1</v>
      </c>
      <c r="M152" s="14">
        <f>IF(OR(L152=0,T152&lt;&gt;"Sim"),0,INDEX(Processos!$X$10:$X$509,O152))</f>
        <v>1</v>
      </c>
      <c r="N152" s="40" t="str">
        <f t="shared" si="7"/>
        <v/>
      </c>
      <c r="O152" s="14">
        <f>IF(AND(A152&lt;&gt;"",ISTEXT(A152),COUNTIFS(Processos!$AS$10:$AS$509,"="&amp;SUBSTITUTE(SUBSTITUTE(SUBSTITUTE("P:"&amp;A152,"~","~~"),"*","~*"),"?","~?"))=1),(IF(ISNA(MATCH(SUBSTITUTE(SUBSTITUTE(SUBSTITUTE("P:"&amp;A152,"~","~~"),"*","~*"),"?","~?"),Processos!$AS$10:$AS$509,0)),9,INDEX(Processos!$AM$10:$AM$509,MATCH(SUBSTITUTE(SUBSTITUTE(SUBSTITUTE("P:"&amp;A152,"~","~~"),"*","~*"),"?","~?"),Processos!$AS$10:$AS$509,0)))-9),0)</f>
        <v>143</v>
      </c>
      <c r="P152" s="14" t="str">
        <f>IF(L152=0,"",INDEX(Processos!$D$10:$D$509,O152))</f>
        <v>Frois</v>
      </c>
      <c r="Q152" s="14">
        <f>IF(OR(L152=0,T152&lt;&gt;"Sim"),0,INDEX(Processos!$AL$10:$AL$509,O152))</f>
        <v>1</v>
      </c>
      <c r="R152" s="14">
        <f>ROW()</f>
        <v>152</v>
      </c>
      <c r="S152" s="14" t="str">
        <f t="shared" si="8"/>
        <v>P:Inquérito Policial Federal n. 2024.0003162</v>
      </c>
      <c r="T152" s="27" t="s">
        <v>1113</v>
      </c>
      <c r="U152" s="28"/>
      <c r="V152" s="28"/>
      <c r="W152" s="28"/>
      <c r="X152" s="28"/>
      <c r="Y152" s="27"/>
      <c r="Z152" s="27"/>
      <c r="AA152" s="27"/>
      <c r="AB152" s="27"/>
    </row>
    <row r="153" spans="1:28" ht="42" customHeight="1">
      <c r="A153" s="41" t="s">
        <v>1054</v>
      </c>
      <c r="B153" s="42">
        <v>13177.6</v>
      </c>
      <c r="C153" s="42"/>
      <c r="D153" s="42"/>
      <c r="E153" s="42"/>
      <c r="F153" s="42"/>
      <c r="G153" s="42"/>
      <c r="H153" s="45"/>
      <c r="I153" s="44"/>
      <c r="J153" s="43"/>
      <c r="K153" s="44" t="s">
        <v>1275</v>
      </c>
      <c r="L153" s="14">
        <f t="shared" si="6"/>
        <v>1</v>
      </c>
      <c r="M153" s="14">
        <f>IF(OR(L153=0,T153&lt;&gt;"Sim"),0,INDEX(Processos!$X$10:$X$509,O153))</f>
        <v>1</v>
      </c>
      <c r="N153" s="40" t="str">
        <f t="shared" si="7"/>
        <v>Informe a data da revisão financeira</v>
      </c>
      <c r="O153" s="14">
        <f>IF(AND(A153&lt;&gt;"",ISTEXT(A153),COUNTIFS(Processos!$AS$10:$AS$509,"="&amp;SUBSTITUTE(SUBSTITUTE(SUBSTITUTE("P:"&amp;A153,"~","~~"),"*","~*"),"?","~?"))=1),(IF(ISNA(MATCH(SUBSTITUTE(SUBSTITUTE(SUBSTITUTE("P:"&amp;A153,"~","~~"),"*","~*"),"?","~?"),Processos!$AS$10:$AS$509,0)),9,INDEX(Processos!$AM$10:$AM$509,MATCH(SUBSTITUTE(SUBSTITUTE(SUBSTITUTE("P:"&amp;A153,"~","~~"),"*","~*"),"?","~?"),Processos!$AS$10:$AS$509,0)))-9),0)</f>
        <v>144</v>
      </c>
      <c r="P153" s="14" t="str">
        <f>IF(L153=0,"",INDEX(Processos!$D$10:$D$509,O153))</f>
        <v>Frois</v>
      </c>
      <c r="Q153" s="14">
        <f>IF(OR(L153=0,T153&lt;&gt;"Sim"),0,INDEX(Processos!$AL$10:$AL$509,O153))</f>
        <v>1</v>
      </c>
      <c r="R153" s="14">
        <f>ROW()</f>
        <v>153</v>
      </c>
      <c r="S153" s="14" t="str">
        <f t="shared" si="8"/>
        <v>P:50050.005489/2024- 74</v>
      </c>
      <c r="T153" s="27" t="s">
        <v>1113</v>
      </c>
      <c r="U153" s="28"/>
      <c r="V153" s="28"/>
      <c r="W153" s="28"/>
      <c r="X153" s="28"/>
      <c r="Y153" s="27"/>
      <c r="Z153" s="27"/>
      <c r="AA153" s="27"/>
      <c r="AB153" s="27"/>
    </row>
    <row r="154" spans="1:28" ht="42" customHeight="1">
      <c r="A154" s="41" t="s">
        <v>1060</v>
      </c>
      <c r="B154" s="42"/>
      <c r="C154" s="42"/>
      <c r="D154" s="42"/>
      <c r="E154" s="42"/>
      <c r="F154" s="42"/>
      <c r="G154" s="42"/>
      <c r="H154" s="45"/>
      <c r="I154" s="44"/>
      <c r="J154" s="43"/>
      <c r="K154" s="44" t="s">
        <v>1276</v>
      </c>
      <c r="L154" s="14">
        <f t="shared" si="6"/>
        <v>1</v>
      </c>
      <c r="M154" s="14">
        <f>IF(OR(L154=0,T154&lt;&gt;"Sim"),0,INDEX(Processos!$X$10:$X$509,O154))</f>
        <v>1</v>
      </c>
      <c r="N154" s="40" t="str">
        <f t="shared" si="7"/>
        <v/>
      </c>
      <c r="O154" s="14">
        <f>IF(AND(A154&lt;&gt;"",ISTEXT(A154),COUNTIFS(Processos!$AS$10:$AS$509,"="&amp;SUBSTITUTE(SUBSTITUTE(SUBSTITUTE("P:"&amp;A154,"~","~~"),"*","~*"),"?","~?"))=1),(IF(ISNA(MATCH(SUBSTITUTE(SUBSTITUTE(SUBSTITUTE("P:"&amp;A154,"~","~~"),"*","~*"),"?","~?"),Processos!$AS$10:$AS$509,0)),9,INDEX(Processos!$AM$10:$AM$509,MATCH(SUBSTITUTE(SUBSTITUTE(SUBSTITUTE("P:"&amp;A154,"~","~~"),"*","~*"),"?","~?"),Processos!$AS$10:$AS$509,0)))-9),0)</f>
        <v>145</v>
      </c>
      <c r="P154" s="14" t="str">
        <f>IF(L154=0,"",INDEX(Processos!$D$10:$D$509,O154))</f>
        <v>EHJC</v>
      </c>
      <c r="Q154" s="14">
        <f>IF(OR(L154=0,T154&lt;&gt;"Sim"),0,INDEX(Processos!$AL$10:$AL$509,O154))</f>
        <v>1</v>
      </c>
      <c r="R154" s="14">
        <f>ROW()</f>
        <v>154</v>
      </c>
      <c r="S154" s="14" t="str">
        <f t="shared" si="8"/>
        <v>P:004.551/2022-2</v>
      </c>
      <c r="T154" s="27" t="s">
        <v>1113</v>
      </c>
      <c r="U154" s="28"/>
      <c r="V154" s="28"/>
      <c r="W154" s="28"/>
      <c r="X154" s="28"/>
      <c r="Y154" s="27"/>
      <c r="Z154" s="27" t="s">
        <v>1129</v>
      </c>
      <c r="AA154" s="27"/>
      <c r="AB154" s="27"/>
    </row>
    <row r="155" spans="1:28" ht="42" customHeight="1">
      <c r="A155" s="41" t="s">
        <v>1069</v>
      </c>
      <c r="B155" s="42"/>
      <c r="C155" s="42"/>
      <c r="D155" s="42"/>
      <c r="E155" s="42"/>
      <c r="F155" s="42"/>
      <c r="G155" s="42"/>
      <c r="H155" s="45"/>
      <c r="I155" s="44"/>
      <c r="J155" s="43"/>
      <c r="K155" s="44" t="s">
        <v>1277</v>
      </c>
      <c r="L155" s="14">
        <f t="shared" si="6"/>
        <v>1</v>
      </c>
      <c r="M155" s="14">
        <f>IF(OR(L155=0,T155&lt;&gt;"Sim"),0,INDEX(Processos!$X$10:$X$509,O155))</f>
        <v>1</v>
      </c>
      <c r="N155" s="40" t="str">
        <f t="shared" si="7"/>
        <v/>
      </c>
      <c r="O155" s="14">
        <f>IF(AND(A155&lt;&gt;"",ISTEXT(A155),COUNTIFS(Processos!$AS$10:$AS$509,"="&amp;SUBSTITUTE(SUBSTITUTE(SUBSTITUTE("P:"&amp;A155,"~","~~"),"*","~*"),"?","~?"))=1),(IF(ISNA(MATCH(SUBSTITUTE(SUBSTITUTE(SUBSTITUTE("P:"&amp;A155,"~","~~"),"*","~*"),"?","~?"),Processos!$AS$10:$AS$509,0)),9,INDEX(Processos!$AM$10:$AM$509,MATCH(SUBSTITUTE(SUBSTITUTE(SUBSTITUTE("P:"&amp;A155,"~","~~"),"*","~*"),"?","~?"),Processos!$AS$10:$AS$509,0)))-9),0)</f>
        <v>146</v>
      </c>
      <c r="P155" s="14" t="str">
        <f>IF(L155=0,"",INDEX(Processos!$D$10:$D$509,O155))</f>
        <v>Romanhol</v>
      </c>
      <c r="Q155" s="14">
        <f>IF(OR(L155=0,T155&lt;&gt;"Sim"),0,INDEX(Processos!$AL$10:$AL$509,O155))</f>
        <v>1</v>
      </c>
      <c r="R155" s="14">
        <f>ROW()</f>
        <v>155</v>
      </c>
      <c r="S155" s="14" t="str">
        <f t="shared" si="8"/>
        <v>P:50612.000400/2018-22</v>
      </c>
      <c r="T155" s="27" t="s">
        <v>1113</v>
      </c>
      <c r="U155" s="28"/>
      <c r="V155" s="28"/>
      <c r="W155" s="28"/>
      <c r="X155" s="28"/>
      <c r="Y155" s="27"/>
      <c r="Z155" s="27"/>
      <c r="AA155" s="27"/>
      <c r="AB155" s="27"/>
    </row>
    <row r="156" spans="1:28" ht="42" customHeight="1">
      <c r="A156" s="41" t="s">
        <v>1076</v>
      </c>
      <c r="B156" s="42"/>
      <c r="C156" s="42"/>
      <c r="D156" s="42"/>
      <c r="E156" s="42"/>
      <c r="F156" s="42"/>
      <c r="G156" s="42"/>
      <c r="H156" s="45"/>
      <c r="I156" s="44"/>
      <c r="J156" s="43"/>
      <c r="K156" s="44" t="s">
        <v>1278</v>
      </c>
      <c r="L156" s="14">
        <f t="shared" si="6"/>
        <v>1</v>
      </c>
      <c r="M156" s="14">
        <f>IF(OR(L156=0,T156&lt;&gt;"Sim"),0,INDEX(Processos!$X$10:$X$509,O156))</f>
        <v>1</v>
      </c>
      <c r="N156" s="40" t="str">
        <f t="shared" si="7"/>
        <v/>
      </c>
      <c r="O156" s="14">
        <f>IF(AND(A156&lt;&gt;"",ISTEXT(A156),COUNTIFS(Processos!$AS$10:$AS$509,"="&amp;SUBSTITUTE(SUBSTITUTE(SUBSTITUTE("P:"&amp;A156,"~","~~"),"*","~*"),"?","~?"))=1),(IF(ISNA(MATCH(SUBSTITUTE(SUBSTITUTE(SUBSTITUTE("P:"&amp;A156,"~","~~"),"*","~*"),"?","~?"),Processos!$AS$10:$AS$509,0)),9,INDEX(Processos!$AM$10:$AM$509,MATCH(SUBSTITUTE(SUBSTITUTE(SUBSTITUTE("P:"&amp;A156,"~","~~"),"*","~*"),"?","~?"),Processos!$AS$10:$AS$509,0)))-9),0)</f>
        <v>147</v>
      </c>
      <c r="P156" s="14" t="str">
        <f>IF(L156=0,"",INDEX(Processos!$D$10:$D$509,O156))</f>
        <v>Nazif</v>
      </c>
      <c r="Q156" s="14">
        <f>IF(OR(L156=0,T156&lt;&gt;"Sim"),0,INDEX(Processos!$AL$10:$AL$509,O156))</f>
        <v>1</v>
      </c>
      <c r="R156" s="14">
        <f>ROW()</f>
        <v>156</v>
      </c>
      <c r="S156" s="14" t="str">
        <f t="shared" si="8"/>
        <v>P:Concorrência Eletrônica nº 90157/2025 – DNIT/PB.</v>
      </c>
      <c r="T156" s="27" t="s">
        <v>1113</v>
      </c>
      <c r="U156" s="28"/>
      <c r="V156" s="28"/>
      <c r="W156" s="28"/>
      <c r="X156" s="28"/>
      <c r="Y156" s="27"/>
      <c r="Z156" s="27"/>
      <c r="AA156" s="27"/>
      <c r="AB156" s="27"/>
    </row>
    <row r="157" spans="1:28" ht="42" customHeight="1">
      <c r="A157" s="41" t="s">
        <v>1081</v>
      </c>
      <c r="B157" s="42"/>
      <c r="C157" s="42"/>
      <c r="D157" s="42"/>
      <c r="E157" s="42"/>
      <c r="F157" s="42"/>
      <c r="G157" s="42"/>
      <c r="H157" s="45"/>
      <c r="I157" s="44"/>
      <c r="J157" s="43"/>
      <c r="K157" s="44" t="s">
        <v>1279</v>
      </c>
      <c r="L157" s="14">
        <f t="shared" si="6"/>
        <v>1</v>
      </c>
      <c r="M157" s="14">
        <f>IF(OR(L157=0,T157&lt;&gt;"Sim"),0,INDEX(Processos!$X$10:$X$509,O157))</f>
        <v>1</v>
      </c>
      <c r="N157" s="40" t="str">
        <f t="shared" si="7"/>
        <v/>
      </c>
      <c r="O157" s="14">
        <f>IF(AND(A157&lt;&gt;"",ISTEXT(A157),COUNTIFS(Processos!$AS$10:$AS$509,"="&amp;SUBSTITUTE(SUBSTITUTE(SUBSTITUTE("P:"&amp;A157,"~","~~"),"*","~*"),"?","~?"))=1),(IF(ISNA(MATCH(SUBSTITUTE(SUBSTITUTE(SUBSTITUTE("P:"&amp;A157,"~","~~"),"*","~*"),"?","~?"),Processos!$AS$10:$AS$509,0)),9,INDEX(Processos!$AM$10:$AM$509,MATCH(SUBSTITUTE(SUBSTITUTE(SUBSTITUTE("P:"&amp;A157,"~","~~"),"*","~*"),"?","~?"),Processos!$AS$10:$AS$509,0)))-9),0)</f>
        <v>148</v>
      </c>
      <c r="P157" s="14" t="str">
        <f>IF(L157=0,"",INDEX(Processos!$D$10:$D$509,O157))</f>
        <v>Raimundo</v>
      </c>
      <c r="Q157" s="14">
        <f>IF(OR(L157=0,T157&lt;&gt;"Sim"),0,INDEX(Processos!$AL$10:$AL$509,O157))</f>
        <v>1</v>
      </c>
      <c r="R157" s="14">
        <f>ROW()</f>
        <v>157</v>
      </c>
      <c r="S157" s="14" t="str">
        <f t="shared" si="8"/>
        <v>P:51402.100197/2022-16</v>
      </c>
      <c r="T157" s="27" t="s">
        <v>1113</v>
      </c>
      <c r="U157" s="28"/>
      <c r="V157" s="28"/>
      <c r="W157" s="28"/>
      <c r="X157" s="28"/>
      <c r="Y157" s="27"/>
      <c r="Z157" s="27"/>
      <c r="AA157" s="27"/>
      <c r="AB157" s="27"/>
    </row>
    <row r="158" spans="1:28" ht="42" customHeight="1">
      <c r="A158" s="41"/>
      <c r="B158" s="42"/>
      <c r="C158" s="42"/>
      <c r="D158" s="42"/>
      <c r="E158" s="42"/>
      <c r="F158" s="42"/>
      <c r="G158" s="42"/>
      <c r="H158" s="45"/>
      <c r="I158" s="44"/>
      <c r="J158" s="43"/>
      <c r="K158" s="44"/>
      <c r="L158" s="14">
        <f t="shared" si="6"/>
        <v>0</v>
      </c>
      <c r="M158" s="14">
        <f>IF(OR(L158=0,T158&lt;&gt;"Sim"),0,INDEX(Processos!$X$10:$X$509,O158))</f>
        <v>0</v>
      </c>
      <c r="N158" s="40" t="str">
        <f t="shared" si="7"/>
        <v/>
      </c>
      <c r="O158" s="14">
        <f>IF(AND(A158&lt;&gt;"",ISTEXT(A158),COUNTIFS(Processos!$AS$10:$AS$509,"="&amp;SUBSTITUTE(SUBSTITUTE(SUBSTITUTE("P:"&amp;A158,"~","~~"),"*","~*"),"?","~?"))=1),(IF(ISNA(MATCH(SUBSTITUTE(SUBSTITUTE(SUBSTITUTE("P:"&amp;A158,"~","~~"),"*","~*"),"?","~?"),Processos!$AS$10:$AS$509,0)),9,INDEX(Processos!$AM$10:$AM$509,MATCH(SUBSTITUTE(SUBSTITUTE(SUBSTITUTE("P:"&amp;A158,"~","~~"),"*","~*"),"?","~?"),Processos!$AS$10:$AS$509,0)))-9),0)</f>
        <v>0</v>
      </c>
      <c r="P158" s="14" t="str">
        <f>IF(L158=0,"",INDEX(Processos!$D$10:$D$509,O158))</f>
        <v/>
      </c>
      <c r="Q158" s="14">
        <f>IF(OR(L158=0,T158&lt;&gt;"Sim"),0,INDEX(Processos!$AL$10:$AL$509,O158))</f>
        <v>0</v>
      </c>
      <c r="R158" s="14">
        <f>ROW()</f>
        <v>158</v>
      </c>
      <c r="S158" s="14" t="str">
        <f t="shared" si="8"/>
        <v/>
      </c>
      <c r="T158" s="27" t="s">
        <v>1113</v>
      </c>
      <c r="U158" s="28"/>
      <c r="V158" s="28"/>
      <c r="W158" s="28"/>
      <c r="X158" s="28"/>
      <c r="Y158" s="27"/>
      <c r="Z158" s="27"/>
      <c r="AA158" s="27"/>
      <c r="AB158" s="27"/>
    </row>
    <row r="159" spans="1:28" ht="42" customHeight="1">
      <c r="A159" s="41"/>
      <c r="B159" s="42"/>
      <c r="C159" s="42"/>
      <c r="D159" s="42"/>
      <c r="E159" s="42"/>
      <c r="F159" s="42"/>
      <c r="G159" s="42"/>
      <c r="H159" s="45"/>
      <c r="I159" s="44"/>
      <c r="J159" s="43"/>
      <c r="K159" s="44"/>
      <c r="L159" s="14">
        <f t="shared" si="6"/>
        <v>0</v>
      </c>
      <c r="M159" s="14">
        <f>IF(OR(L159=0,T159&lt;&gt;"Sim"),0,INDEX(Processos!$X$10:$X$509,O159))</f>
        <v>0</v>
      </c>
      <c r="N159" s="40" t="str">
        <f t="shared" si="7"/>
        <v/>
      </c>
      <c r="O159" s="14">
        <f>IF(AND(A159&lt;&gt;"",ISTEXT(A159),COUNTIFS(Processos!$AS$10:$AS$509,"="&amp;SUBSTITUTE(SUBSTITUTE(SUBSTITUTE("P:"&amp;A159,"~","~~"),"*","~*"),"?","~?"))=1),(IF(ISNA(MATCH(SUBSTITUTE(SUBSTITUTE(SUBSTITUTE("P:"&amp;A159,"~","~~"),"*","~*"),"?","~?"),Processos!$AS$10:$AS$509,0)),9,INDEX(Processos!$AM$10:$AM$509,MATCH(SUBSTITUTE(SUBSTITUTE(SUBSTITUTE("P:"&amp;A159,"~","~~"),"*","~*"),"?","~?"),Processos!$AS$10:$AS$509,0)))-9),0)</f>
        <v>0</v>
      </c>
      <c r="P159" s="14" t="str">
        <f>IF(L159=0,"",INDEX(Processos!$D$10:$D$509,O159))</f>
        <v/>
      </c>
      <c r="Q159" s="14">
        <f>IF(OR(L159=0,T159&lt;&gt;"Sim"),0,INDEX(Processos!$AL$10:$AL$509,O159))</f>
        <v>0</v>
      </c>
      <c r="R159" s="14">
        <f>ROW()</f>
        <v>159</v>
      </c>
      <c r="S159" s="14" t="str">
        <f t="shared" si="8"/>
        <v/>
      </c>
      <c r="T159" s="27" t="s">
        <v>1113</v>
      </c>
      <c r="U159" s="28"/>
      <c r="V159" s="28"/>
      <c r="W159" s="28"/>
      <c r="X159" s="28"/>
      <c r="Y159" s="27"/>
      <c r="Z159" s="27"/>
      <c r="AA159" s="27"/>
      <c r="AB159" s="27"/>
    </row>
    <row r="160" spans="1:28" ht="42" customHeight="1">
      <c r="A160" s="41"/>
      <c r="B160" s="42"/>
      <c r="C160" s="42"/>
      <c r="D160" s="42"/>
      <c r="E160" s="42"/>
      <c r="F160" s="42"/>
      <c r="G160" s="42"/>
      <c r="H160" s="45"/>
      <c r="I160" s="44"/>
      <c r="J160" s="43"/>
      <c r="K160" s="44"/>
      <c r="L160" s="14">
        <f t="shared" si="6"/>
        <v>0</v>
      </c>
      <c r="M160" s="14">
        <f>IF(OR(L160=0,T160&lt;&gt;"Sim"),0,INDEX(Processos!$X$10:$X$509,O160))</f>
        <v>0</v>
      </c>
      <c r="N160" s="40" t="str">
        <f t="shared" si="7"/>
        <v/>
      </c>
      <c r="O160" s="14">
        <f>IF(AND(A160&lt;&gt;"",ISTEXT(A160),COUNTIFS(Processos!$AS$10:$AS$509,"="&amp;SUBSTITUTE(SUBSTITUTE(SUBSTITUTE("P:"&amp;A160,"~","~~"),"*","~*"),"?","~?"))=1),(IF(ISNA(MATCH(SUBSTITUTE(SUBSTITUTE(SUBSTITUTE("P:"&amp;A160,"~","~~"),"*","~*"),"?","~?"),Processos!$AS$10:$AS$509,0)),9,INDEX(Processos!$AM$10:$AM$509,MATCH(SUBSTITUTE(SUBSTITUTE(SUBSTITUTE("P:"&amp;A160,"~","~~"),"*","~*"),"?","~?"),Processos!$AS$10:$AS$509,0)))-9),0)</f>
        <v>0</v>
      </c>
      <c r="P160" s="14" t="str">
        <f>IF(L160=0,"",INDEX(Processos!$D$10:$D$509,O160))</f>
        <v/>
      </c>
      <c r="Q160" s="14">
        <f>IF(OR(L160=0,T160&lt;&gt;"Sim"),0,INDEX(Processos!$AL$10:$AL$509,O160))</f>
        <v>0</v>
      </c>
      <c r="R160" s="14">
        <f>ROW()</f>
        <v>160</v>
      </c>
      <c r="S160" s="14" t="str">
        <f t="shared" si="8"/>
        <v/>
      </c>
      <c r="T160" s="27" t="s">
        <v>1113</v>
      </c>
      <c r="U160" s="28"/>
      <c r="V160" s="28"/>
      <c r="W160" s="28"/>
      <c r="X160" s="28"/>
      <c r="Y160" s="27"/>
      <c r="Z160" s="27"/>
      <c r="AA160" s="27"/>
      <c r="AB160" s="27"/>
    </row>
    <row r="161" spans="1:28" ht="42" customHeight="1">
      <c r="A161" s="41"/>
      <c r="B161" s="42"/>
      <c r="C161" s="42"/>
      <c r="D161" s="42"/>
      <c r="E161" s="42"/>
      <c r="F161" s="42"/>
      <c r="G161" s="42"/>
      <c r="H161" s="45"/>
      <c r="I161" s="44"/>
      <c r="J161" s="43"/>
      <c r="K161" s="44"/>
      <c r="L161" s="14">
        <f t="shared" si="6"/>
        <v>0</v>
      </c>
      <c r="M161" s="14">
        <f>IF(OR(L161=0,T161&lt;&gt;"Sim"),0,INDEX(Processos!$X$10:$X$509,O161))</f>
        <v>0</v>
      </c>
      <c r="N161" s="40" t="str">
        <f t="shared" si="7"/>
        <v/>
      </c>
      <c r="O161" s="14">
        <f>IF(AND(A161&lt;&gt;"",ISTEXT(A161),COUNTIFS(Processos!$AS$10:$AS$509,"="&amp;SUBSTITUTE(SUBSTITUTE(SUBSTITUTE("P:"&amp;A161,"~","~~"),"*","~*"),"?","~?"))=1),(IF(ISNA(MATCH(SUBSTITUTE(SUBSTITUTE(SUBSTITUTE("P:"&amp;A161,"~","~~"),"*","~*"),"?","~?"),Processos!$AS$10:$AS$509,0)),9,INDEX(Processos!$AM$10:$AM$509,MATCH(SUBSTITUTE(SUBSTITUTE(SUBSTITUTE("P:"&amp;A161,"~","~~"),"*","~*"),"?","~?"),Processos!$AS$10:$AS$509,0)))-9),0)</f>
        <v>0</v>
      </c>
      <c r="P161" s="14" t="str">
        <f>IF(L161=0,"",INDEX(Processos!$D$10:$D$509,O161))</f>
        <v/>
      </c>
      <c r="Q161" s="14">
        <f>IF(OR(L161=0,T161&lt;&gt;"Sim"),0,INDEX(Processos!$AL$10:$AL$509,O161))</f>
        <v>0</v>
      </c>
      <c r="R161" s="14">
        <f>ROW()</f>
        <v>161</v>
      </c>
      <c r="S161" s="14" t="str">
        <f t="shared" si="8"/>
        <v/>
      </c>
      <c r="T161" s="27" t="s">
        <v>1113</v>
      </c>
      <c r="U161" s="28"/>
      <c r="V161" s="28"/>
      <c r="W161" s="28"/>
      <c r="X161" s="28"/>
      <c r="Y161" s="27"/>
      <c r="Z161" s="27"/>
      <c r="AA161" s="27"/>
      <c r="AB161" s="27"/>
    </row>
    <row r="162" spans="1:28" ht="42" customHeight="1">
      <c r="A162" s="41"/>
      <c r="B162" s="42"/>
      <c r="C162" s="42"/>
      <c r="D162" s="42"/>
      <c r="E162" s="42"/>
      <c r="F162" s="42"/>
      <c r="G162" s="42"/>
      <c r="H162" s="45"/>
      <c r="I162" s="44"/>
      <c r="J162" s="43"/>
      <c r="K162" s="44"/>
      <c r="L162" s="14">
        <f t="shared" si="6"/>
        <v>0</v>
      </c>
      <c r="M162" s="14">
        <f>IF(OR(L162=0,T162&lt;&gt;"Sim"),0,INDEX(Processos!$X$10:$X$509,O162))</f>
        <v>0</v>
      </c>
      <c r="N162" s="40" t="str">
        <f t="shared" si="7"/>
        <v/>
      </c>
      <c r="O162" s="14">
        <f>IF(AND(A162&lt;&gt;"",ISTEXT(A162),COUNTIFS(Processos!$AS$10:$AS$509,"="&amp;SUBSTITUTE(SUBSTITUTE(SUBSTITUTE("P:"&amp;A162,"~","~~"),"*","~*"),"?","~?"))=1),(IF(ISNA(MATCH(SUBSTITUTE(SUBSTITUTE(SUBSTITUTE("P:"&amp;A162,"~","~~"),"*","~*"),"?","~?"),Processos!$AS$10:$AS$509,0)),9,INDEX(Processos!$AM$10:$AM$509,MATCH(SUBSTITUTE(SUBSTITUTE(SUBSTITUTE("P:"&amp;A162,"~","~~"),"*","~*"),"?","~?"),Processos!$AS$10:$AS$509,0)))-9),0)</f>
        <v>0</v>
      </c>
      <c r="P162" s="14" t="str">
        <f>IF(L162=0,"",INDEX(Processos!$D$10:$D$509,O162))</f>
        <v/>
      </c>
      <c r="Q162" s="14">
        <f>IF(OR(L162=0,T162&lt;&gt;"Sim"),0,INDEX(Processos!$AL$10:$AL$509,O162))</f>
        <v>0</v>
      </c>
      <c r="R162" s="14">
        <f>ROW()</f>
        <v>162</v>
      </c>
      <c r="S162" s="14" t="str">
        <f t="shared" si="8"/>
        <v/>
      </c>
      <c r="T162" s="27" t="s">
        <v>1113</v>
      </c>
      <c r="U162" s="28"/>
      <c r="V162" s="28"/>
      <c r="W162" s="28"/>
      <c r="X162" s="28"/>
      <c r="Y162" s="27"/>
      <c r="Z162" s="27"/>
      <c r="AA162" s="27"/>
      <c r="AB162" s="27"/>
    </row>
    <row r="163" spans="1:28" ht="42" customHeight="1">
      <c r="A163" s="41"/>
      <c r="B163" s="42"/>
      <c r="C163" s="42"/>
      <c r="D163" s="42"/>
      <c r="E163" s="42"/>
      <c r="F163" s="42"/>
      <c r="G163" s="42"/>
      <c r="H163" s="45"/>
      <c r="I163" s="44"/>
      <c r="J163" s="43"/>
      <c r="K163" s="44"/>
      <c r="L163" s="14">
        <f t="shared" si="6"/>
        <v>0</v>
      </c>
      <c r="M163" s="14">
        <f>IF(OR(L163=0,T163&lt;&gt;"Sim"),0,INDEX(Processos!$X$10:$X$509,O163))</f>
        <v>0</v>
      </c>
      <c r="N163" s="40" t="str">
        <f t="shared" si="7"/>
        <v/>
      </c>
      <c r="O163" s="14">
        <f>IF(AND(A163&lt;&gt;"",ISTEXT(A163),COUNTIFS(Processos!$AS$10:$AS$509,"="&amp;SUBSTITUTE(SUBSTITUTE(SUBSTITUTE("P:"&amp;A163,"~","~~"),"*","~*"),"?","~?"))=1),(IF(ISNA(MATCH(SUBSTITUTE(SUBSTITUTE(SUBSTITUTE("P:"&amp;A163,"~","~~"),"*","~*"),"?","~?"),Processos!$AS$10:$AS$509,0)),9,INDEX(Processos!$AM$10:$AM$509,MATCH(SUBSTITUTE(SUBSTITUTE(SUBSTITUTE("P:"&amp;A163,"~","~~"),"*","~*"),"?","~?"),Processos!$AS$10:$AS$509,0)))-9),0)</f>
        <v>0</v>
      </c>
      <c r="P163" s="14" t="str">
        <f>IF(L163=0,"",INDEX(Processos!$D$10:$D$509,O163))</f>
        <v/>
      </c>
      <c r="Q163" s="14">
        <f>IF(OR(L163=0,T163&lt;&gt;"Sim"),0,INDEX(Processos!$AL$10:$AL$509,O163))</f>
        <v>0</v>
      </c>
      <c r="R163" s="14">
        <f>ROW()</f>
        <v>163</v>
      </c>
      <c r="S163" s="14" t="str">
        <f t="shared" si="8"/>
        <v/>
      </c>
      <c r="T163" s="27" t="s">
        <v>1113</v>
      </c>
      <c r="U163" s="28"/>
      <c r="V163" s="28"/>
      <c r="W163" s="28"/>
      <c r="X163" s="28"/>
      <c r="Y163" s="27"/>
      <c r="Z163" s="27"/>
      <c r="AA163" s="27"/>
      <c r="AB163" s="27"/>
    </row>
    <row r="164" spans="1:28" ht="42" customHeight="1">
      <c r="A164" s="41"/>
      <c r="B164" s="42"/>
      <c r="C164" s="42"/>
      <c r="D164" s="42"/>
      <c r="E164" s="42"/>
      <c r="F164" s="42"/>
      <c r="G164" s="42"/>
      <c r="H164" s="45"/>
      <c r="I164" s="44"/>
      <c r="J164" s="43"/>
      <c r="K164" s="44"/>
      <c r="L164" s="14">
        <f t="shared" si="6"/>
        <v>0</v>
      </c>
      <c r="M164" s="14">
        <f>IF(OR(L164=0,T164&lt;&gt;"Sim"),0,INDEX(Processos!$X$10:$X$509,O164))</f>
        <v>0</v>
      </c>
      <c r="N164" s="40" t="str">
        <f t="shared" si="7"/>
        <v/>
      </c>
      <c r="O164" s="14">
        <f>IF(AND(A164&lt;&gt;"",ISTEXT(A164),COUNTIFS(Processos!$AS$10:$AS$509,"="&amp;SUBSTITUTE(SUBSTITUTE(SUBSTITUTE("P:"&amp;A164,"~","~~"),"*","~*"),"?","~?"))=1),(IF(ISNA(MATCH(SUBSTITUTE(SUBSTITUTE(SUBSTITUTE("P:"&amp;A164,"~","~~"),"*","~*"),"?","~?"),Processos!$AS$10:$AS$509,0)),9,INDEX(Processos!$AM$10:$AM$509,MATCH(SUBSTITUTE(SUBSTITUTE(SUBSTITUTE("P:"&amp;A164,"~","~~"),"*","~*"),"?","~?"),Processos!$AS$10:$AS$509,0)))-9),0)</f>
        <v>0</v>
      </c>
      <c r="P164" s="14" t="str">
        <f>IF(L164=0,"",INDEX(Processos!$D$10:$D$509,O164))</f>
        <v/>
      </c>
      <c r="Q164" s="14">
        <f>IF(OR(L164=0,T164&lt;&gt;"Sim"),0,INDEX(Processos!$AL$10:$AL$509,O164))</f>
        <v>0</v>
      </c>
      <c r="R164" s="14">
        <f>ROW()</f>
        <v>164</v>
      </c>
      <c r="S164" s="14" t="str">
        <f t="shared" si="8"/>
        <v/>
      </c>
      <c r="T164" s="27" t="s">
        <v>1113</v>
      </c>
      <c r="U164" s="28"/>
      <c r="V164" s="28"/>
      <c r="W164" s="28"/>
      <c r="X164" s="28"/>
      <c r="Y164" s="27"/>
      <c r="Z164" s="27"/>
      <c r="AA164" s="27"/>
      <c r="AB164" s="27"/>
    </row>
    <row r="165" spans="1:28" ht="42" customHeight="1">
      <c r="A165" s="41"/>
      <c r="B165" s="42"/>
      <c r="C165" s="42"/>
      <c r="D165" s="42"/>
      <c r="E165" s="42"/>
      <c r="F165" s="42"/>
      <c r="G165" s="42"/>
      <c r="H165" s="45"/>
      <c r="I165" s="44"/>
      <c r="J165" s="43"/>
      <c r="K165" s="44"/>
      <c r="L165" s="14">
        <f t="shared" si="6"/>
        <v>0</v>
      </c>
      <c r="M165" s="14">
        <f>IF(OR(L165=0,T165&lt;&gt;"Sim"),0,INDEX(Processos!$X$10:$X$509,O165))</f>
        <v>0</v>
      </c>
      <c r="N165" s="40" t="str">
        <f t="shared" si="7"/>
        <v/>
      </c>
      <c r="O165" s="14">
        <f>IF(AND(A165&lt;&gt;"",ISTEXT(A165),COUNTIFS(Processos!$AS$10:$AS$509,"="&amp;SUBSTITUTE(SUBSTITUTE(SUBSTITUTE("P:"&amp;A165,"~","~~"),"*","~*"),"?","~?"))=1),(IF(ISNA(MATCH(SUBSTITUTE(SUBSTITUTE(SUBSTITUTE("P:"&amp;A165,"~","~~"),"*","~*"),"?","~?"),Processos!$AS$10:$AS$509,0)),9,INDEX(Processos!$AM$10:$AM$509,MATCH(SUBSTITUTE(SUBSTITUTE(SUBSTITUTE("P:"&amp;A165,"~","~~"),"*","~*"),"?","~?"),Processos!$AS$10:$AS$509,0)))-9),0)</f>
        <v>0</v>
      </c>
      <c r="P165" s="14" t="str">
        <f>IF(L165=0,"",INDEX(Processos!$D$10:$D$509,O165))</f>
        <v/>
      </c>
      <c r="Q165" s="14">
        <f>IF(OR(L165=0,T165&lt;&gt;"Sim"),0,INDEX(Processos!$AL$10:$AL$509,O165))</f>
        <v>0</v>
      </c>
      <c r="R165" s="14">
        <f>ROW()</f>
        <v>165</v>
      </c>
      <c r="S165" s="14" t="str">
        <f t="shared" si="8"/>
        <v/>
      </c>
      <c r="T165" s="27" t="s">
        <v>1113</v>
      </c>
      <c r="U165" s="28"/>
      <c r="V165" s="28"/>
      <c r="W165" s="28"/>
      <c r="X165" s="28"/>
      <c r="Y165" s="27"/>
      <c r="Z165" s="27"/>
      <c r="AA165" s="27"/>
      <c r="AB165" s="27"/>
    </row>
    <row r="166" spans="1:28" ht="42" customHeight="1">
      <c r="A166" s="41"/>
      <c r="B166" s="42"/>
      <c r="C166" s="42"/>
      <c r="D166" s="42"/>
      <c r="E166" s="42"/>
      <c r="F166" s="42"/>
      <c r="G166" s="42"/>
      <c r="H166" s="45"/>
      <c r="I166" s="44"/>
      <c r="J166" s="43"/>
      <c r="K166" s="44"/>
      <c r="L166" s="14">
        <f t="shared" si="6"/>
        <v>0</v>
      </c>
      <c r="M166" s="14">
        <f>IF(OR(L166=0,T166&lt;&gt;"Sim"),0,INDEX(Processos!$X$10:$X$509,O166))</f>
        <v>0</v>
      </c>
      <c r="N166" s="40" t="str">
        <f t="shared" si="7"/>
        <v/>
      </c>
      <c r="O166" s="14">
        <f>IF(AND(A166&lt;&gt;"",ISTEXT(A166),COUNTIFS(Processos!$AS$10:$AS$509,"="&amp;SUBSTITUTE(SUBSTITUTE(SUBSTITUTE("P:"&amp;A166,"~","~~"),"*","~*"),"?","~?"))=1),(IF(ISNA(MATCH(SUBSTITUTE(SUBSTITUTE(SUBSTITUTE("P:"&amp;A166,"~","~~"),"*","~*"),"?","~?"),Processos!$AS$10:$AS$509,0)),9,INDEX(Processos!$AM$10:$AM$509,MATCH(SUBSTITUTE(SUBSTITUTE(SUBSTITUTE("P:"&amp;A166,"~","~~"),"*","~*"),"?","~?"),Processos!$AS$10:$AS$509,0)))-9),0)</f>
        <v>0</v>
      </c>
      <c r="P166" s="14" t="str">
        <f>IF(L166=0,"",INDEX(Processos!$D$10:$D$509,O166))</f>
        <v/>
      </c>
      <c r="Q166" s="14">
        <f>IF(OR(L166=0,T166&lt;&gt;"Sim"),0,INDEX(Processos!$AL$10:$AL$509,O166))</f>
        <v>0</v>
      </c>
      <c r="R166" s="14">
        <f>ROW()</f>
        <v>166</v>
      </c>
      <c r="S166" s="14" t="str">
        <f t="shared" si="8"/>
        <v/>
      </c>
      <c r="T166" s="27" t="s">
        <v>1113</v>
      </c>
      <c r="U166" s="28"/>
      <c r="V166" s="28"/>
      <c r="W166" s="28"/>
      <c r="X166" s="28"/>
      <c r="Y166" s="27"/>
      <c r="Z166" s="27"/>
      <c r="AA166" s="27"/>
      <c r="AB166" s="27"/>
    </row>
    <row r="167" spans="1:28" ht="42" customHeight="1">
      <c r="A167" s="41"/>
      <c r="B167" s="42"/>
      <c r="C167" s="42"/>
      <c r="D167" s="42"/>
      <c r="E167" s="42"/>
      <c r="F167" s="42"/>
      <c r="G167" s="42"/>
      <c r="H167" s="45"/>
      <c r="I167" s="44"/>
      <c r="J167" s="43"/>
      <c r="K167" s="44"/>
      <c r="L167" s="14">
        <f t="shared" si="6"/>
        <v>0</v>
      </c>
      <c r="M167" s="14">
        <f>IF(OR(L167=0,T167&lt;&gt;"Sim"),0,INDEX(Processos!$X$10:$X$509,O167))</f>
        <v>0</v>
      </c>
      <c r="N167" s="40" t="str">
        <f t="shared" si="7"/>
        <v/>
      </c>
      <c r="O167" s="14">
        <f>IF(AND(A167&lt;&gt;"",ISTEXT(A167),COUNTIFS(Processos!$AS$10:$AS$509,"="&amp;SUBSTITUTE(SUBSTITUTE(SUBSTITUTE("P:"&amp;A167,"~","~~"),"*","~*"),"?","~?"))=1),(IF(ISNA(MATCH(SUBSTITUTE(SUBSTITUTE(SUBSTITUTE("P:"&amp;A167,"~","~~"),"*","~*"),"?","~?"),Processos!$AS$10:$AS$509,0)),9,INDEX(Processos!$AM$10:$AM$509,MATCH(SUBSTITUTE(SUBSTITUTE(SUBSTITUTE("P:"&amp;A167,"~","~~"),"*","~*"),"?","~?"),Processos!$AS$10:$AS$509,0)))-9),0)</f>
        <v>0</v>
      </c>
      <c r="P167" s="14" t="str">
        <f>IF(L167=0,"",INDEX(Processos!$D$10:$D$509,O167))</f>
        <v/>
      </c>
      <c r="Q167" s="14">
        <f>IF(OR(L167=0,T167&lt;&gt;"Sim"),0,INDEX(Processos!$AL$10:$AL$509,O167))</f>
        <v>0</v>
      </c>
      <c r="R167" s="14">
        <f>ROW()</f>
        <v>167</v>
      </c>
      <c r="S167" s="14" t="str">
        <f t="shared" si="8"/>
        <v/>
      </c>
      <c r="T167" s="27" t="s">
        <v>1113</v>
      </c>
      <c r="U167" s="28"/>
      <c r="V167" s="28"/>
      <c r="W167" s="28"/>
      <c r="X167" s="28"/>
      <c r="Y167" s="27"/>
      <c r="Z167" s="27"/>
      <c r="AA167" s="27"/>
      <c r="AB167" s="27"/>
    </row>
    <row r="168" spans="1:28" ht="42" customHeight="1">
      <c r="A168" s="41"/>
      <c r="B168" s="42"/>
      <c r="C168" s="42"/>
      <c r="D168" s="42"/>
      <c r="E168" s="42"/>
      <c r="F168" s="42"/>
      <c r="G168" s="42"/>
      <c r="H168" s="45"/>
      <c r="I168" s="44"/>
      <c r="J168" s="43"/>
      <c r="K168" s="44"/>
      <c r="L168" s="14">
        <f t="shared" si="6"/>
        <v>0</v>
      </c>
      <c r="M168" s="14">
        <f>IF(OR(L168=0,T168&lt;&gt;"Sim"),0,INDEX(Processos!$X$10:$X$509,O168))</f>
        <v>0</v>
      </c>
      <c r="N168" s="40" t="str">
        <f t="shared" si="7"/>
        <v/>
      </c>
      <c r="O168" s="14">
        <f>IF(AND(A168&lt;&gt;"",ISTEXT(A168),COUNTIFS(Processos!$AS$10:$AS$509,"="&amp;SUBSTITUTE(SUBSTITUTE(SUBSTITUTE("P:"&amp;A168,"~","~~"),"*","~*"),"?","~?"))=1),(IF(ISNA(MATCH(SUBSTITUTE(SUBSTITUTE(SUBSTITUTE("P:"&amp;A168,"~","~~"),"*","~*"),"?","~?"),Processos!$AS$10:$AS$509,0)),9,INDEX(Processos!$AM$10:$AM$509,MATCH(SUBSTITUTE(SUBSTITUTE(SUBSTITUTE("P:"&amp;A168,"~","~~"),"*","~*"),"?","~?"),Processos!$AS$10:$AS$509,0)))-9),0)</f>
        <v>0</v>
      </c>
      <c r="P168" s="14" t="str">
        <f>IF(L168=0,"",INDEX(Processos!$D$10:$D$509,O168))</f>
        <v/>
      </c>
      <c r="Q168" s="14">
        <f>IF(OR(L168=0,T168&lt;&gt;"Sim"),0,INDEX(Processos!$AL$10:$AL$509,O168))</f>
        <v>0</v>
      </c>
      <c r="R168" s="14">
        <f>ROW()</f>
        <v>168</v>
      </c>
      <c r="S168" s="14" t="str">
        <f t="shared" si="8"/>
        <v/>
      </c>
      <c r="T168" s="27" t="s">
        <v>1113</v>
      </c>
      <c r="U168" s="28"/>
      <c r="V168" s="28"/>
      <c r="W168" s="28"/>
      <c r="X168" s="28"/>
      <c r="Y168" s="27"/>
      <c r="Z168" s="27"/>
      <c r="AA168" s="27"/>
      <c r="AB168" s="27"/>
    </row>
    <row r="169" spans="1:28" ht="42" customHeight="1">
      <c r="A169" s="41"/>
      <c r="B169" s="42"/>
      <c r="C169" s="42"/>
      <c r="D169" s="42"/>
      <c r="E169" s="42"/>
      <c r="F169" s="42"/>
      <c r="G169" s="42"/>
      <c r="H169" s="45"/>
      <c r="I169" s="44"/>
      <c r="J169" s="43"/>
      <c r="K169" s="44"/>
      <c r="L169" s="14">
        <f t="shared" si="6"/>
        <v>0</v>
      </c>
      <c r="M169" s="14">
        <f>IF(OR(L169=0,T169&lt;&gt;"Sim"),0,INDEX(Processos!$X$10:$X$509,O169))</f>
        <v>0</v>
      </c>
      <c r="N169" s="40" t="str">
        <f t="shared" si="7"/>
        <v/>
      </c>
      <c r="O169" s="14">
        <f>IF(AND(A169&lt;&gt;"",ISTEXT(A169),COUNTIFS(Processos!$AS$10:$AS$509,"="&amp;SUBSTITUTE(SUBSTITUTE(SUBSTITUTE("P:"&amp;A169,"~","~~"),"*","~*"),"?","~?"))=1),(IF(ISNA(MATCH(SUBSTITUTE(SUBSTITUTE(SUBSTITUTE("P:"&amp;A169,"~","~~"),"*","~*"),"?","~?"),Processos!$AS$10:$AS$509,0)),9,INDEX(Processos!$AM$10:$AM$509,MATCH(SUBSTITUTE(SUBSTITUTE(SUBSTITUTE("P:"&amp;A169,"~","~~"),"*","~*"),"?","~?"),Processos!$AS$10:$AS$509,0)))-9),0)</f>
        <v>0</v>
      </c>
      <c r="P169" s="14" t="str">
        <f>IF(L169=0,"",INDEX(Processos!$D$10:$D$509,O169))</f>
        <v/>
      </c>
      <c r="Q169" s="14">
        <f>IF(OR(L169=0,T169&lt;&gt;"Sim"),0,INDEX(Processos!$AL$10:$AL$509,O169))</f>
        <v>0</v>
      </c>
      <c r="R169" s="14">
        <f>ROW()</f>
        <v>169</v>
      </c>
      <c r="S169" s="14" t="str">
        <f t="shared" si="8"/>
        <v/>
      </c>
      <c r="T169" s="27" t="s">
        <v>1113</v>
      </c>
      <c r="U169" s="28"/>
      <c r="V169" s="28"/>
      <c r="W169" s="28"/>
      <c r="X169" s="28"/>
      <c r="Y169" s="27"/>
      <c r="Z169" s="27"/>
      <c r="AA169" s="27"/>
      <c r="AB169" s="27"/>
    </row>
    <row r="170" spans="1:28" ht="42" customHeight="1">
      <c r="A170" s="41"/>
      <c r="B170" s="42"/>
      <c r="C170" s="42"/>
      <c r="D170" s="42"/>
      <c r="E170" s="42"/>
      <c r="F170" s="42"/>
      <c r="G170" s="42"/>
      <c r="H170" s="45"/>
      <c r="I170" s="44"/>
      <c r="J170" s="43"/>
      <c r="K170" s="44"/>
      <c r="L170" s="14">
        <f t="shared" si="6"/>
        <v>0</v>
      </c>
      <c r="M170" s="14">
        <f>IF(OR(L170=0,T170&lt;&gt;"Sim"),0,INDEX(Processos!$X$10:$X$509,O170))</f>
        <v>0</v>
      </c>
      <c r="N170" s="40" t="str">
        <f t="shared" si="7"/>
        <v/>
      </c>
      <c r="O170" s="14">
        <f>IF(AND(A170&lt;&gt;"",ISTEXT(A170),COUNTIFS(Processos!$AS$10:$AS$509,"="&amp;SUBSTITUTE(SUBSTITUTE(SUBSTITUTE("P:"&amp;A170,"~","~~"),"*","~*"),"?","~?"))=1),(IF(ISNA(MATCH(SUBSTITUTE(SUBSTITUTE(SUBSTITUTE("P:"&amp;A170,"~","~~"),"*","~*"),"?","~?"),Processos!$AS$10:$AS$509,0)),9,INDEX(Processos!$AM$10:$AM$509,MATCH(SUBSTITUTE(SUBSTITUTE(SUBSTITUTE("P:"&amp;A170,"~","~~"),"*","~*"),"?","~?"),Processos!$AS$10:$AS$509,0)))-9),0)</f>
        <v>0</v>
      </c>
      <c r="P170" s="14" t="str">
        <f>IF(L170=0,"",INDEX(Processos!$D$10:$D$509,O170))</f>
        <v/>
      </c>
      <c r="Q170" s="14">
        <f>IF(OR(L170=0,T170&lt;&gt;"Sim"),0,INDEX(Processos!$AL$10:$AL$509,O170))</f>
        <v>0</v>
      </c>
      <c r="R170" s="14">
        <f>ROW()</f>
        <v>170</v>
      </c>
      <c r="S170" s="14" t="str">
        <f t="shared" si="8"/>
        <v/>
      </c>
      <c r="T170" s="27" t="s">
        <v>1113</v>
      </c>
      <c r="U170" s="28"/>
      <c r="V170" s="28"/>
      <c r="W170" s="28"/>
      <c r="X170" s="28"/>
      <c r="Y170" s="27"/>
      <c r="Z170" s="27"/>
      <c r="AA170" s="27"/>
      <c r="AB170" s="27"/>
    </row>
    <row r="171" spans="1:28" ht="42" customHeight="1">
      <c r="A171" s="41"/>
      <c r="B171" s="42"/>
      <c r="C171" s="42"/>
      <c r="D171" s="42"/>
      <c r="E171" s="42"/>
      <c r="F171" s="42"/>
      <c r="G171" s="42"/>
      <c r="H171" s="45"/>
      <c r="I171" s="44"/>
      <c r="J171" s="43"/>
      <c r="K171" s="44"/>
      <c r="L171" s="14">
        <f t="shared" si="6"/>
        <v>0</v>
      </c>
      <c r="M171" s="14">
        <f>IF(OR(L171=0,T171&lt;&gt;"Sim"),0,INDEX(Processos!$X$10:$X$509,O171))</f>
        <v>0</v>
      </c>
      <c r="N171" s="40" t="str">
        <f t="shared" si="7"/>
        <v/>
      </c>
      <c r="O171" s="14">
        <f>IF(AND(A171&lt;&gt;"",ISTEXT(A171),COUNTIFS(Processos!$AS$10:$AS$509,"="&amp;SUBSTITUTE(SUBSTITUTE(SUBSTITUTE("P:"&amp;A171,"~","~~"),"*","~*"),"?","~?"))=1),(IF(ISNA(MATCH(SUBSTITUTE(SUBSTITUTE(SUBSTITUTE("P:"&amp;A171,"~","~~"),"*","~*"),"?","~?"),Processos!$AS$10:$AS$509,0)),9,INDEX(Processos!$AM$10:$AM$509,MATCH(SUBSTITUTE(SUBSTITUTE(SUBSTITUTE("P:"&amp;A171,"~","~~"),"*","~*"),"?","~?"),Processos!$AS$10:$AS$509,0)))-9),0)</f>
        <v>0</v>
      </c>
      <c r="P171" s="14" t="str">
        <f>IF(L171=0,"",INDEX(Processos!$D$10:$D$509,O171))</f>
        <v/>
      </c>
      <c r="Q171" s="14">
        <f>IF(OR(L171=0,T171&lt;&gt;"Sim"),0,INDEX(Processos!$AL$10:$AL$509,O171))</f>
        <v>0</v>
      </c>
      <c r="R171" s="14">
        <f>ROW()</f>
        <v>171</v>
      </c>
      <c r="S171" s="14" t="str">
        <f t="shared" si="8"/>
        <v/>
      </c>
      <c r="T171" s="27" t="s">
        <v>1113</v>
      </c>
      <c r="U171" s="28"/>
      <c r="V171" s="28"/>
      <c r="W171" s="28"/>
      <c r="X171" s="28"/>
      <c r="Y171" s="27"/>
      <c r="Z171" s="27"/>
      <c r="AA171" s="27"/>
      <c r="AB171" s="27"/>
    </row>
    <row r="172" spans="1:28" ht="42" customHeight="1">
      <c r="A172" s="41"/>
      <c r="B172" s="42"/>
      <c r="C172" s="42"/>
      <c r="D172" s="42"/>
      <c r="E172" s="42"/>
      <c r="F172" s="42"/>
      <c r="G172" s="42"/>
      <c r="H172" s="45"/>
      <c r="I172" s="44"/>
      <c r="J172" s="43"/>
      <c r="K172" s="44"/>
      <c r="L172" s="14">
        <f t="shared" si="6"/>
        <v>0</v>
      </c>
      <c r="M172" s="14">
        <f>IF(OR(L172=0,T172&lt;&gt;"Sim"),0,INDEX(Processos!$X$10:$X$509,O172))</f>
        <v>0</v>
      </c>
      <c r="N172" s="40" t="str">
        <f t="shared" si="7"/>
        <v/>
      </c>
      <c r="O172" s="14">
        <f>IF(AND(A172&lt;&gt;"",ISTEXT(A172),COUNTIFS(Processos!$AS$10:$AS$509,"="&amp;SUBSTITUTE(SUBSTITUTE(SUBSTITUTE("P:"&amp;A172,"~","~~"),"*","~*"),"?","~?"))=1),(IF(ISNA(MATCH(SUBSTITUTE(SUBSTITUTE(SUBSTITUTE("P:"&amp;A172,"~","~~"),"*","~*"),"?","~?"),Processos!$AS$10:$AS$509,0)),9,INDEX(Processos!$AM$10:$AM$509,MATCH(SUBSTITUTE(SUBSTITUTE(SUBSTITUTE("P:"&amp;A172,"~","~~"),"*","~*"),"?","~?"),Processos!$AS$10:$AS$509,0)))-9),0)</f>
        <v>0</v>
      </c>
      <c r="P172" s="14" t="str">
        <f>IF(L172=0,"",INDEX(Processos!$D$10:$D$509,O172))</f>
        <v/>
      </c>
      <c r="Q172" s="14">
        <f>IF(OR(L172=0,T172&lt;&gt;"Sim"),0,INDEX(Processos!$AL$10:$AL$509,O172))</f>
        <v>0</v>
      </c>
      <c r="R172" s="14">
        <f>ROW()</f>
        <v>172</v>
      </c>
      <c r="S172" s="14" t="str">
        <f t="shared" si="8"/>
        <v/>
      </c>
      <c r="T172" s="27" t="s">
        <v>1113</v>
      </c>
      <c r="U172" s="28"/>
      <c r="V172" s="28"/>
      <c r="W172" s="28"/>
      <c r="X172" s="28"/>
      <c r="Y172" s="27"/>
      <c r="Z172" s="27"/>
      <c r="AA172" s="27"/>
      <c r="AB172" s="27"/>
    </row>
    <row r="173" spans="1:28" ht="42" customHeight="1">
      <c r="A173" s="41"/>
      <c r="B173" s="42"/>
      <c r="C173" s="42"/>
      <c r="D173" s="42"/>
      <c r="E173" s="42"/>
      <c r="F173" s="42"/>
      <c r="G173" s="42"/>
      <c r="H173" s="45"/>
      <c r="I173" s="44"/>
      <c r="J173" s="43"/>
      <c r="K173" s="44"/>
      <c r="L173" s="14">
        <f t="shared" si="6"/>
        <v>0</v>
      </c>
      <c r="M173" s="14">
        <f>IF(OR(L173=0,T173&lt;&gt;"Sim"),0,INDEX(Processos!$X$10:$X$509,O173))</f>
        <v>0</v>
      </c>
      <c r="N173" s="40" t="str">
        <f t="shared" si="7"/>
        <v/>
      </c>
      <c r="O173" s="14">
        <f>IF(AND(A173&lt;&gt;"",ISTEXT(A173),COUNTIFS(Processos!$AS$10:$AS$509,"="&amp;SUBSTITUTE(SUBSTITUTE(SUBSTITUTE("P:"&amp;A173,"~","~~"),"*","~*"),"?","~?"))=1),(IF(ISNA(MATCH(SUBSTITUTE(SUBSTITUTE(SUBSTITUTE("P:"&amp;A173,"~","~~"),"*","~*"),"?","~?"),Processos!$AS$10:$AS$509,0)),9,INDEX(Processos!$AM$10:$AM$509,MATCH(SUBSTITUTE(SUBSTITUTE(SUBSTITUTE("P:"&amp;A173,"~","~~"),"*","~*"),"?","~?"),Processos!$AS$10:$AS$509,0)))-9),0)</f>
        <v>0</v>
      </c>
      <c r="P173" s="14" t="str">
        <f>IF(L173=0,"",INDEX(Processos!$D$10:$D$509,O173))</f>
        <v/>
      </c>
      <c r="Q173" s="14">
        <f>IF(OR(L173=0,T173&lt;&gt;"Sim"),0,INDEX(Processos!$AL$10:$AL$509,O173))</f>
        <v>0</v>
      </c>
      <c r="R173" s="14">
        <f>ROW()</f>
        <v>173</v>
      </c>
      <c r="S173" s="14" t="str">
        <f t="shared" si="8"/>
        <v/>
      </c>
      <c r="T173" s="27" t="s">
        <v>1113</v>
      </c>
      <c r="U173" s="28"/>
      <c r="V173" s="28"/>
      <c r="W173" s="28"/>
      <c r="X173" s="28"/>
      <c r="Y173" s="27"/>
      <c r="Z173" s="27"/>
      <c r="AA173" s="27"/>
      <c r="AB173" s="27"/>
    </row>
    <row r="174" spans="1:28" ht="42" customHeight="1">
      <c r="A174" s="41"/>
      <c r="B174" s="42"/>
      <c r="C174" s="42"/>
      <c r="D174" s="42"/>
      <c r="E174" s="42"/>
      <c r="F174" s="42"/>
      <c r="G174" s="42"/>
      <c r="H174" s="45"/>
      <c r="I174" s="44"/>
      <c r="J174" s="43"/>
      <c r="K174" s="44"/>
      <c r="L174" s="14">
        <f t="shared" si="6"/>
        <v>0</v>
      </c>
      <c r="M174" s="14">
        <f>IF(OR(L174=0,T174&lt;&gt;"Sim"),0,INDEX(Processos!$X$10:$X$509,O174))</f>
        <v>0</v>
      </c>
      <c r="N174" s="40" t="str">
        <f t="shared" si="7"/>
        <v/>
      </c>
      <c r="O174" s="14">
        <f>IF(AND(A174&lt;&gt;"",ISTEXT(A174),COUNTIFS(Processos!$AS$10:$AS$509,"="&amp;SUBSTITUTE(SUBSTITUTE(SUBSTITUTE("P:"&amp;A174,"~","~~"),"*","~*"),"?","~?"))=1),(IF(ISNA(MATCH(SUBSTITUTE(SUBSTITUTE(SUBSTITUTE("P:"&amp;A174,"~","~~"),"*","~*"),"?","~?"),Processos!$AS$10:$AS$509,0)),9,INDEX(Processos!$AM$10:$AM$509,MATCH(SUBSTITUTE(SUBSTITUTE(SUBSTITUTE("P:"&amp;A174,"~","~~"),"*","~*"),"?","~?"),Processos!$AS$10:$AS$509,0)))-9),0)</f>
        <v>0</v>
      </c>
      <c r="P174" s="14" t="str">
        <f>IF(L174=0,"",INDEX(Processos!$D$10:$D$509,O174))</f>
        <v/>
      </c>
      <c r="Q174" s="14">
        <f>IF(OR(L174=0,T174&lt;&gt;"Sim"),0,INDEX(Processos!$AL$10:$AL$509,O174))</f>
        <v>0</v>
      </c>
      <c r="R174" s="14">
        <f>ROW()</f>
        <v>174</v>
      </c>
      <c r="S174" s="14" t="str">
        <f t="shared" si="8"/>
        <v/>
      </c>
      <c r="T174" s="27" t="s">
        <v>1113</v>
      </c>
      <c r="U174" s="28"/>
      <c r="V174" s="28"/>
      <c r="W174" s="28"/>
      <c r="X174" s="28"/>
      <c r="Y174" s="27"/>
      <c r="Z174" s="27"/>
      <c r="AA174" s="27"/>
      <c r="AB174" s="27"/>
    </row>
    <row r="175" spans="1:28" ht="42" customHeight="1">
      <c r="A175" s="41"/>
      <c r="B175" s="42"/>
      <c r="C175" s="42"/>
      <c r="D175" s="42"/>
      <c r="E175" s="42"/>
      <c r="F175" s="42"/>
      <c r="G175" s="42"/>
      <c r="H175" s="45"/>
      <c r="I175" s="44"/>
      <c r="J175" s="43"/>
      <c r="K175" s="44"/>
      <c r="L175" s="14">
        <f t="shared" si="6"/>
        <v>0</v>
      </c>
      <c r="M175" s="14">
        <f>IF(OR(L175=0,T175&lt;&gt;"Sim"),0,INDEX(Processos!$X$10:$X$509,O175))</f>
        <v>0</v>
      </c>
      <c r="N175" s="40" t="str">
        <f t="shared" si="7"/>
        <v/>
      </c>
      <c r="O175" s="14">
        <f>IF(AND(A175&lt;&gt;"",ISTEXT(A175),COUNTIFS(Processos!$AS$10:$AS$509,"="&amp;SUBSTITUTE(SUBSTITUTE(SUBSTITUTE("P:"&amp;A175,"~","~~"),"*","~*"),"?","~?"))=1),(IF(ISNA(MATCH(SUBSTITUTE(SUBSTITUTE(SUBSTITUTE("P:"&amp;A175,"~","~~"),"*","~*"),"?","~?"),Processos!$AS$10:$AS$509,0)),9,INDEX(Processos!$AM$10:$AM$509,MATCH(SUBSTITUTE(SUBSTITUTE(SUBSTITUTE("P:"&amp;A175,"~","~~"),"*","~*"),"?","~?"),Processos!$AS$10:$AS$509,0)))-9),0)</f>
        <v>0</v>
      </c>
      <c r="P175" s="14" t="str">
        <f>IF(L175=0,"",INDEX(Processos!$D$10:$D$509,O175))</f>
        <v/>
      </c>
      <c r="Q175" s="14">
        <f>IF(OR(L175=0,T175&lt;&gt;"Sim"),0,INDEX(Processos!$AL$10:$AL$509,O175))</f>
        <v>0</v>
      </c>
      <c r="R175" s="14">
        <f>ROW()</f>
        <v>175</v>
      </c>
      <c r="S175" s="14" t="str">
        <f t="shared" si="8"/>
        <v/>
      </c>
      <c r="T175" s="27" t="s">
        <v>1113</v>
      </c>
      <c r="U175" s="28"/>
      <c r="V175" s="28"/>
      <c r="W175" s="28"/>
      <c r="X175" s="28"/>
      <c r="Y175" s="27"/>
      <c r="Z175" s="27"/>
      <c r="AA175" s="27"/>
      <c r="AB175" s="27"/>
    </row>
    <row r="176" spans="1:28" ht="42" customHeight="1">
      <c r="A176" s="41"/>
      <c r="B176" s="42"/>
      <c r="C176" s="42"/>
      <c r="D176" s="42"/>
      <c r="E176" s="42"/>
      <c r="F176" s="42"/>
      <c r="G176" s="42"/>
      <c r="H176" s="45"/>
      <c r="I176" s="44"/>
      <c r="J176" s="43"/>
      <c r="K176" s="44"/>
      <c r="L176" s="14">
        <f t="shared" si="6"/>
        <v>0</v>
      </c>
      <c r="M176" s="14">
        <f>IF(OR(L176=0,T176&lt;&gt;"Sim"),0,INDEX(Processos!$X$10:$X$509,O176))</f>
        <v>0</v>
      </c>
      <c r="N176" s="40" t="str">
        <f t="shared" si="7"/>
        <v/>
      </c>
      <c r="O176" s="14">
        <f>IF(AND(A176&lt;&gt;"",ISTEXT(A176),COUNTIFS(Processos!$AS$10:$AS$509,"="&amp;SUBSTITUTE(SUBSTITUTE(SUBSTITUTE("P:"&amp;A176,"~","~~"),"*","~*"),"?","~?"))=1),(IF(ISNA(MATCH(SUBSTITUTE(SUBSTITUTE(SUBSTITUTE("P:"&amp;A176,"~","~~"),"*","~*"),"?","~?"),Processos!$AS$10:$AS$509,0)),9,INDEX(Processos!$AM$10:$AM$509,MATCH(SUBSTITUTE(SUBSTITUTE(SUBSTITUTE("P:"&amp;A176,"~","~~"),"*","~*"),"?","~?"),Processos!$AS$10:$AS$509,0)))-9),0)</f>
        <v>0</v>
      </c>
      <c r="P176" s="14" t="str">
        <f>IF(L176=0,"",INDEX(Processos!$D$10:$D$509,O176))</f>
        <v/>
      </c>
      <c r="Q176" s="14">
        <f>IF(OR(L176=0,T176&lt;&gt;"Sim"),0,INDEX(Processos!$AL$10:$AL$509,O176))</f>
        <v>0</v>
      </c>
      <c r="R176" s="14">
        <f>ROW()</f>
        <v>176</v>
      </c>
      <c r="S176" s="14" t="str">
        <f t="shared" si="8"/>
        <v/>
      </c>
      <c r="T176" s="27" t="s">
        <v>1113</v>
      </c>
      <c r="U176" s="28"/>
      <c r="V176" s="28"/>
      <c r="W176" s="28"/>
      <c r="X176" s="28"/>
      <c r="Y176" s="27"/>
      <c r="Z176" s="27"/>
      <c r="AA176" s="27"/>
      <c r="AB176" s="27"/>
    </row>
    <row r="177" spans="1:28" ht="42" customHeight="1">
      <c r="A177" s="41"/>
      <c r="B177" s="42"/>
      <c r="C177" s="42"/>
      <c r="D177" s="42"/>
      <c r="E177" s="42"/>
      <c r="F177" s="42"/>
      <c r="G177" s="42"/>
      <c r="H177" s="45"/>
      <c r="I177" s="44"/>
      <c r="J177" s="43"/>
      <c r="K177" s="44"/>
      <c r="L177" s="14">
        <f t="shared" si="6"/>
        <v>0</v>
      </c>
      <c r="M177" s="14">
        <f>IF(OR(L177=0,T177&lt;&gt;"Sim"),0,INDEX(Processos!$X$10:$X$509,O177))</f>
        <v>0</v>
      </c>
      <c r="N177" s="40" t="str">
        <f t="shared" si="7"/>
        <v/>
      </c>
      <c r="O177" s="14">
        <f>IF(AND(A177&lt;&gt;"",ISTEXT(A177),COUNTIFS(Processos!$AS$10:$AS$509,"="&amp;SUBSTITUTE(SUBSTITUTE(SUBSTITUTE("P:"&amp;A177,"~","~~"),"*","~*"),"?","~?"))=1),(IF(ISNA(MATCH(SUBSTITUTE(SUBSTITUTE(SUBSTITUTE("P:"&amp;A177,"~","~~"),"*","~*"),"?","~?"),Processos!$AS$10:$AS$509,0)),9,INDEX(Processos!$AM$10:$AM$509,MATCH(SUBSTITUTE(SUBSTITUTE(SUBSTITUTE("P:"&amp;A177,"~","~~"),"*","~*"),"?","~?"),Processos!$AS$10:$AS$509,0)))-9),0)</f>
        <v>0</v>
      </c>
      <c r="P177" s="14" t="str">
        <f>IF(L177=0,"",INDEX(Processos!$D$10:$D$509,O177))</f>
        <v/>
      </c>
      <c r="Q177" s="14">
        <f>IF(OR(L177=0,T177&lt;&gt;"Sim"),0,INDEX(Processos!$AL$10:$AL$509,O177))</f>
        <v>0</v>
      </c>
      <c r="R177" s="14">
        <f>ROW()</f>
        <v>177</v>
      </c>
      <c r="S177" s="14" t="str">
        <f t="shared" si="8"/>
        <v/>
      </c>
      <c r="T177" s="27" t="s">
        <v>1113</v>
      </c>
      <c r="U177" s="28"/>
      <c r="V177" s="28"/>
      <c r="W177" s="28"/>
      <c r="X177" s="28"/>
      <c r="Y177" s="27"/>
      <c r="Z177" s="27"/>
      <c r="AA177" s="27"/>
      <c r="AB177" s="27"/>
    </row>
    <row r="178" spans="1:28" ht="42" customHeight="1">
      <c r="A178" s="41"/>
      <c r="B178" s="42"/>
      <c r="C178" s="42"/>
      <c r="D178" s="42"/>
      <c r="E178" s="42"/>
      <c r="F178" s="42"/>
      <c r="G178" s="42"/>
      <c r="H178" s="45"/>
      <c r="I178" s="44"/>
      <c r="J178" s="43"/>
      <c r="K178" s="44"/>
      <c r="L178" s="14">
        <f t="shared" si="6"/>
        <v>0</v>
      </c>
      <c r="M178" s="14">
        <f>IF(OR(L178=0,T178&lt;&gt;"Sim"),0,INDEX(Processos!$X$10:$X$509,O178))</f>
        <v>0</v>
      </c>
      <c r="N178" s="40" t="str">
        <f t="shared" si="7"/>
        <v/>
      </c>
      <c r="O178" s="14">
        <f>IF(AND(A178&lt;&gt;"",ISTEXT(A178),COUNTIFS(Processos!$AS$10:$AS$509,"="&amp;SUBSTITUTE(SUBSTITUTE(SUBSTITUTE("P:"&amp;A178,"~","~~"),"*","~*"),"?","~?"))=1),(IF(ISNA(MATCH(SUBSTITUTE(SUBSTITUTE(SUBSTITUTE("P:"&amp;A178,"~","~~"),"*","~*"),"?","~?"),Processos!$AS$10:$AS$509,0)),9,INDEX(Processos!$AM$10:$AM$509,MATCH(SUBSTITUTE(SUBSTITUTE(SUBSTITUTE("P:"&amp;A178,"~","~~"),"*","~*"),"?","~?"),Processos!$AS$10:$AS$509,0)))-9),0)</f>
        <v>0</v>
      </c>
      <c r="P178" s="14" t="str">
        <f>IF(L178=0,"",INDEX(Processos!$D$10:$D$509,O178))</f>
        <v/>
      </c>
      <c r="Q178" s="14">
        <f>IF(OR(L178=0,T178&lt;&gt;"Sim"),0,INDEX(Processos!$AL$10:$AL$509,O178))</f>
        <v>0</v>
      </c>
      <c r="R178" s="14">
        <f>ROW()</f>
        <v>178</v>
      </c>
      <c r="S178" s="14" t="str">
        <f t="shared" si="8"/>
        <v/>
      </c>
      <c r="T178" s="27" t="s">
        <v>1113</v>
      </c>
      <c r="U178" s="28"/>
      <c r="V178" s="28"/>
      <c r="W178" s="28"/>
      <c r="X178" s="28"/>
      <c r="Y178" s="27"/>
      <c r="Z178" s="27"/>
      <c r="AA178" s="27"/>
      <c r="AB178" s="27"/>
    </row>
    <row r="179" spans="1:28" ht="42" customHeight="1">
      <c r="A179" s="41"/>
      <c r="B179" s="42"/>
      <c r="C179" s="42"/>
      <c r="D179" s="42"/>
      <c r="E179" s="42"/>
      <c r="F179" s="42"/>
      <c r="G179" s="42"/>
      <c r="H179" s="45"/>
      <c r="I179" s="44"/>
      <c r="J179" s="43"/>
      <c r="K179" s="44"/>
      <c r="L179" s="14">
        <f t="shared" si="6"/>
        <v>0</v>
      </c>
      <c r="M179" s="14">
        <f>IF(OR(L179=0,T179&lt;&gt;"Sim"),0,INDEX(Processos!$X$10:$X$509,O179))</f>
        <v>0</v>
      </c>
      <c r="N179" s="40" t="str">
        <f t="shared" si="7"/>
        <v/>
      </c>
      <c r="O179" s="14">
        <f>IF(AND(A179&lt;&gt;"",ISTEXT(A179),COUNTIFS(Processos!$AS$10:$AS$509,"="&amp;SUBSTITUTE(SUBSTITUTE(SUBSTITUTE("P:"&amp;A179,"~","~~"),"*","~*"),"?","~?"))=1),(IF(ISNA(MATCH(SUBSTITUTE(SUBSTITUTE(SUBSTITUTE("P:"&amp;A179,"~","~~"),"*","~*"),"?","~?"),Processos!$AS$10:$AS$509,0)),9,INDEX(Processos!$AM$10:$AM$509,MATCH(SUBSTITUTE(SUBSTITUTE(SUBSTITUTE("P:"&amp;A179,"~","~~"),"*","~*"),"?","~?"),Processos!$AS$10:$AS$509,0)))-9),0)</f>
        <v>0</v>
      </c>
      <c r="P179" s="14" t="str">
        <f>IF(L179=0,"",INDEX(Processos!$D$10:$D$509,O179))</f>
        <v/>
      </c>
      <c r="Q179" s="14">
        <f>IF(OR(L179=0,T179&lt;&gt;"Sim"),0,INDEX(Processos!$AL$10:$AL$509,O179))</f>
        <v>0</v>
      </c>
      <c r="R179" s="14">
        <f>ROW()</f>
        <v>179</v>
      </c>
      <c r="S179" s="14" t="str">
        <f t="shared" si="8"/>
        <v/>
      </c>
      <c r="T179" s="27" t="s">
        <v>1113</v>
      </c>
      <c r="U179" s="28"/>
      <c r="V179" s="28"/>
      <c r="W179" s="28"/>
      <c r="X179" s="28"/>
      <c r="Y179" s="27"/>
      <c r="Z179" s="27"/>
      <c r="AA179" s="27"/>
      <c r="AB179" s="27"/>
    </row>
    <row r="180" spans="1:28" ht="42" customHeight="1">
      <c r="A180" s="41"/>
      <c r="B180" s="42"/>
      <c r="C180" s="42"/>
      <c r="D180" s="42"/>
      <c r="E180" s="42"/>
      <c r="F180" s="42"/>
      <c r="G180" s="42"/>
      <c r="H180" s="45"/>
      <c r="I180" s="44"/>
      <c r="J180" s="43"/>
      <c r="K180" s="44"/>
      <c r="L180" s="14">
        <f t="shared" si="6"/>
        <v>0</v>
      </c>
      <c r="M180" s="14">
        <f>IF(OR(L180=0,T180&lt;&gt;"Sim"),0,INDEX(Processos!$X$10:$X$509,O180))</f>
        <v>0</v>
      </c>
      <c r="N180" s="40" t="str">
        <f t="shared" si="7"/>
        <v/>
      </c>
      <c r="O180" s="14">
        <f>IF(AND(A180&lt;&gt;"",ISTEXT(A180),COUNTIFS(Processos!$AS$10:$AS$509,"="&amp;SUBSTITUTE(SUBSTITUTE(SUBSTITUTE("P:"&amp;A180,"~","~~"),"*","~*"),"?","~?"))=1),(IF(ISNA(MATCH(SUBSTITUTE(SUBSTITUTE(SUBSTITUTE("P:"&amp;A180,"~","~~"),"*","~*"),"?","~?"),Processos!$AS$10:$AS$509,0)),9,INDEX(Processos!$AM$10:$AM$509,MATCH(SUBSTITUTE(SUBSTITUTE(SUBSTITUTE("P:"&amp;A180,"~","~~"),"*","~*"),"?","~?"),Processos!$AS$10:$AS$509,0)))-9),0)</f>
        <v>0</v>
      </c>
      <c r="P180" s="14" t="str">
        <f>IF(L180=0,"",INDEX(Processos!$D$10:$D$509,O180))</f>
        <v/>
      </c>
      <c r="Q180" s="14">
        <f>IF(OR(L180=0,T180&lt;&gt;"Sim"),0,INDEX(Processos!$AL$10:$AL$509,O180))</f>
        <v>0</v>
      </c>
      <c r="R180" s="14">
        <f>ROW()</f>
        <v>180</v>
      </c>
      <c r="S180" s="14" t="str">
        <f t="shared" si="8"/>
        <v/>
      </c>
      <c r="T180" s="27" t="s">
        <v>1113</v>
      </c>
      <c r="U180" s="28"/>
      <c r="V180" s="28"/>
      <c r="W180" s="28"/>
      <c r="X180" s="28"/>
      <c r="Y180" s="27"/>
      <c r="Z180" s="27"/>
      <c r="AA180" s="27"/>
      <c r="AB180" s="27"/>
    </row>
    <row r="181" spans="1:28" ht="42" customHeight="1">
      <c r="A181" s="41"/>
      <c r="B181" s="42"/>
      <c r="C181" s="42"/>
      <c r="D181" s="42"/>
      <c r="E181" s="42"/>
      <c r="F181" s="42"/>
      <c r="G181" s="42"/>
      <c r="H181" s="45"/>
      <c r="I181" s="44"/>
      <c r="J181" s="43"/>
      <c r="K181" s="44"/>
      <c r="L181" s="14">
        <f t="shared" si="6"/>
        <v>0</v>
      </c>
      <c r="M181" s="14">
        <f>IF(OR(L181=0,T181&lt;&gt;"Sim"),0,INDEX(Processos!$X$10:$X$509,O181))</f>
        <v>0</v>
      </c>
      <c r="N181" s="40" t="str">
        <f t="shared" si="7"/>
        <v/>
      </c>
      <c r="O181" s="14">
        <f>IF(AND(A181&lt;&gt;"",ISTEXT(A181),COUNTIFS(Processos!$AS$10:$AS$509,"="&amp;SUBSTITUTE(SUBSTITUTE(SUBSTITUTE("P:"&amp;A181,"~","~~"),"*","~*"),"?","~?"))=1),(IF(ISNA(MATCH(SUBSTITUTE(SUBSTITUTE(SUBSTITUTE("P:"&amp;A181,"~","~~"),"*","~*"),"?","~?"),Processos!$AS$10:$AS$509,0)),9,INDEX(Processos!$AM$10:$AM$509,MATCH(SUBSTITUTE(SUBSTITUTE(SUBSTITUTE("P:"&amp;A181,"~","~~"),"*","~*"),"?","~?"),Processos!$AS$10:$AS$509,0)))-9),0)</f>
        <v>0</v>
      </c>
      <c r="P181" s="14" t="str">
        <f>IF(L181=0,"",INDEX(Processos!$D$10:$D$509,O181))</f>
        <v/>
      </c>
      <c r="Q181" s="14">
        <f>IF(OR(L181=0,T181&lt;&gt;"Sim"),0,INDEX(Processos!$AL$10:$AL$509,O181))</f>
        <v>0</v>
      </c>
      <c r="R181" s="14">
        <f>ROW()</f>
        <v>181</v>
      </c>
      <c r="S181" s="14" t="str">
        <f t="shared" si="8"/>
        <v/>
      </c>
      <c r="T181" s="27" t="s">
        <v>1113</v>
      </c>
      <c r="U181" s="28"/>
      <c r="V181" s="28"/>
      <c r="W181" s="28"/>
      <c r="X181" s="28"/>
      <c r="Y181" s="27"/>
      <c r="Z181" s="27"/>
      <c r="AA181" s="27"/>
      <c r="AB181" s="27"/>
    </row>
    <row r="182" spans="1:28" ht="42" customHeight="1">
      <c r="A182" s="41"/>
      <c r="B182" s="42"/>
      <c r="C182" s="42"/>
      <c r="D182" s="42"/>
      <c r="E182" s="42"/>
      <c r="F182" s="42"/>
      <c r="G182" s="42"/>
      <c r="H182" s="45"/>
      <c r="I182" s="44"/>
      <c r="J182" s="43"/>
      <c r="K182" s="44"/>
      <c r="L182" s="14">
        <f t="shared" si="6"/>
        <v>0</v>
      </c>
      <c r="M182" s="14">
        <f>IF(OR(L182=0,T182&lt;&gt;"Sim"),0,INDEX(Processos!$X$10:$X$509,O182))</f>
        <v>0</v>
      </c>
      <c r="N182" s="40" t="str">
        <f t="shared" si="7"/>
        <v/>
      </c>
      <c r="O182" s="14">
        <f>IF(AND(A182&lt;&gt;"",ISTEXT(A182),COUNTIFS(Processos!$AS$10:$AS$509,"="&amp;SUBSTITUTE(SUBSTITUTE(SUBSTITUTE("P:"&amp;A182,"~","~~"),"*","~*"),"?","~?"))=1),(IF(ISNA(MATCH(SUBSTITUTE(SUBSTITUTE(SUBSTITUTE("P:"&amp;A182,"~","~~"),"*","~*"),"?","~?"),Processos!$AS$10:$AS$509,0)),9,INDEX(Processos!$AM$10:$AM$509,MATCH(SUBSTITUTE(SUBSTITUTE(SUBSTITUTE("P:"&amp;A182,"~","~~"),"*","~*"),"?","~?"),Processos!$AS$10:$AS$509,0)))-9),0)</f>
        <v>0</v>
      </c>
      <c r="P182" s="14" t="str">
        <f>IF(L182=0,"",INDEX(Processos!$D$10:$D$509,O182))</f>
        <v/>
      </c>
      <c r="Q182" s="14">
        <f>IF(OR(L182=0,T182&lt;&gt;"Sim"),0,INDEX(Processos!$AL$10:$AL$509,O182))</f>
        <v>0</v>
      </c>
      <c r="R182" s="14">
        <f>ROW()</f>
        <v>182</v>
      </c>
      <c r="S182" s="14" t="str">
        <f t="shared" si="8"/>
        <v/>
      </c>
      <c r="T182" s="27" t="s">
        <v>1113</v>
      </c>
      <c r="U182" s="28"/>
      <c r="V182" s="28"/>
      <c r="W182" s="28"/>
      <c r="X182" s="28"/>
      <c r="Y182" s="27"/>
      <c r="Z182" s="27"/>
      <c r="AA182" s="27"/>
      <c r="AB182" s="27"/>
    </row>
    <row r="183" spans="1:28" ht="42" customHeight="1">
      <c r="A183" s="41"/>
      <c r="B183" s="42"/>
      <c r="C183" s="42"/>
      <c r="D183" s="42"/>
      <c r="E183" s="42"/>
      <c r="F183" s="42"/>
      <c r="G183" s="42"/>
      <c r="H183" s="45"/>
      <c r="I183" s="44"/>
      <c r="J183" s="43"/>
      <c r="K183" s="44"/>
      <c r="L183" s="14">
        <f t="shared" si="6"/>
        <v>0</v>
      </c>
      <c r="M183" s="14">
        <f>IF(OR(L183=0,T183&lt;&gt;"Sim"),0,INDEX(Processos!$X$10:$X$509,O183))</f>
        <v>0</v>
      </c>
      <c r="N183" s="40" t="str">
        <f t="shared" si="7"/>
        <v/>
      </c>
      <c r="O183" s="14">
        <f>IF(AND(A183&lt;&gt;"",ISTEXT(A183),COUNTIFS(Processos!$AS$10:$AS$509,"="&amp;SUBSTITUTE(SUBSTITUTE(SUBSTITUTE("P:"&amp;A183,"~","~~"),"*","~*"),"?","~?"))=1),(IF(ISNA(MATCH(SUBSTITUTE(SUBSTITUTE(SUBSTITUTE("P:"&amp;A183,"~","~~"),"*","~*"),"?","~?"),Processos!$AS$10:$AS$509,0)),9,INDEX(Processos!$AM$10:$AM$509,MATCH(SUBSTITUTE(SUBSTITUTE(SUBSTITUTE("P:"&amp;A183,"~","~~"),"*","~*"),"?","~?"),Processos!$AS$10:$AS$509,0)))-9),0)</f>
        <v>0</v>
      </c>
      <c r="P183" s="14" t="str">
        <f>IF(L183=0,"",INDEX(Processos!$D$10:$D$509,O183))</f>
        <v/>
      </c>
      <c r="Q183" s="14">
        <f>IF(OR(L183=0,T183&lt;&gt;"Sim"),0,INDEX(Processos!$AL$10:$AL$509,O183))</f>
        <v>0</v>
      </c>
      <c r="R183" s="14">
        <f>ROW()</f>
        <v>183</v>
      </c>
      <c r="S183" s="14" t="str">
        <f t="shared" si="8"/>
        <v/>
      </c>
      <c r="T183" s="27" t="s">
        <v>1113</v>
      </c>
      <c r="U183" s="28"/>
      <c r="V183" s="28"/>
      <c r="W183" s="28"/>
      <c r="X183" s="28"/>
      <c r="Y183" s="27"/>
      <c r="Z183" s="27"/>
      <c r="AA183" s="27"/>
      <c r="AB183" s="27"/>
    </row>
    <row r="184" spans="1:28" ht="42" customHeight="1">
      <c r="A184" s="41"/>
      <c r="B184" s="42"/>
      <c r="C184" s="42"/>
      <c r="D184" s="42"/>
      <c r="E184" s="42"/>
      <c r="F184" s="42"/>
      <c r="G184" s="42"/>
      <c r="H184" s="45"/>
      <c r="I184" s="44"/>
      <c r="J184" s="43"/>
      <c r="K184" s="44"/>
      <c r="L184" s="14">
        <f t="shared" si="6"/>
        <v>0</v>
      </c>
      <c r="M184" s="14">
        <f>IF(OR(L184=0,T184&lt;&gt;"Sim"),0,INDEX(Processos!$X$10:$X$509,O184))</f>
        <v>0</v>
      </c>
      <c r="N184" s="40" t="str">
        <f t="shared" si="7"/>
        <v/>
      </c>
      <c r="O184" s="14">
        <f>IF(AND(A184&lt;&gt;"",ISTEXT(A184),COUNTIFS(Processos!$AS$10:$AS$509,"="&amp;SUBSTITUTE(SUBSTITUTE(SUBSTITUTE("P:"&amp;A184,"~","~~"),"*","~*"),"?","~?"))=1),(IF(ISNA(MATCH(SUBSTITUTE(SUBSTITUTE(SUBSTITUTE("P:"&amp;A184,"~","~~"),"*","~*"),"?","~?"),Processos!$AS$10:$AS$509,0)),9,INDEX(Processos!$AM$10:$AM$509,MATCH(SUBSTITUTE(SUBSTITUTE(SUBSTITUTE("P:"&amp;A184,"~","~~"),"*","~*"),"?","~?"),Processos!$AS$10:$AS$509,0)))-9),0)</f>
        <v>0</v>
      </c>
      <c r="P184" s="14" t="str">
        <f>IF(L184=0,"",INDEX(Processos!$D$10:$D$509,O184))</f>
        <v/>
      </c>
      <c r="Q184" s="14">
        <f>IF(OR(L184=0,T184&lt;&gt;"Sim"),0,INDEX(Processos!$AL$10:$AL$509,O184))</f>
        <v>0</v>
      </c>
      <c r="R184" s="14">
        <f>ROW()</f>
        <v>184</v>
      </c>
      <c r="S184" s="14" t="str">
        <f t="shared" si="8"/>
        <v/>
      </c>
      <c r="T184" s="27" t="s">
        <v>1113</v>
      </c>
      <c r="U184" s="28"/>
      <c r="V184" s="28"/>
      <c r="W184" s="28"/>
      <c r="X184" s="28"/>
      <c r="Y184" s="27"/>
      <c r="Z184" s="27"/>
      <c r="AA184" s="27"/>
      <c r="AB184" s="27"/>
    </row>
    <row r="185" spans="1:28" ht="42" customHeight="1">
      <c r="A185" s="41"/>
      <c r="B185" s="42"/>
      <c r="C185" s="42"/>
      <c r="D185" s="42"/>
      <c r="E185" s="42"/>
      <c r="F185" s="42"/>
      <c r="G185" s="42"/>
      <c r="H185" s="45"/>
      <c r="I185" s="44"/>
      <c r="J185" s="43"/>
      <c r="K185" s="44"/>
      <c r="L185" s="14">
        <f t="shared" si="6"/>
        <v>0</v>
      </c>
      <c r="M185" s="14">
        <f>IF(OR(L185=0,T185&lt;&gt;"Sim"),0,INDEX(Processos!$X$10:$X$509,O185))</f>
        <v>0</v>
      </c>
      <c r="N185" s="40" t="str">
        <f t="shared" si="7"/>
        <v/>
      </c>
      <c r="O185" s="14">
        <f>IF(AND(A185&lt;&gt;"",ISTEXT(A185),COUNTIFS(Processos!$AS$10:$AS$509,"="&amp;SUBSTITUTE(SUBSTITUTE(SUBSTITUTE("P:"&amp;A185,"~","~~"),"*","~*"),"?","~?"))=1),(IF(ISNA(MATCH(SUBSTITUTE(SUBSTITUTE(SUBSTITUTE("P:"&amp;A185,"~","~~"),"*","~*"),"?","~?"),Processos!$AS$10:$AS$509,0)),9,INDEX(Processos!$AM$10:$AM$509,MATCH(SUBSTITUTE(SUBSTITUTE(SUBSTITUTE("P:"&amp;A185,"~","~~"),"*","~*"),"?","~?"),Processos!$AS$10:$AS$509,0)))-9),0)</f>
        <v>0</v>
      </c>
      <c r="P185" s="14" t="str">
        <f>IF(L185=0,"",INDEX(Processos!$D$10:$D$509,O185))</f>
        <v/>
      </c>
      <c r="Q185" s="14">
        <f>IF(OR(L185=0,T185&lt;&gt;"Sim"),0,INDEX(Processos!$AL$10:$AL$509,O185))</f>
        <v>0</v>
      </c>
      <c r="R185" s="14">
        <f>ROW()</f>
        <v>185</v>
      </c>
      <c r="S185" s="14" t="str">
        <f t="shared" si="8"/>
        <v/>
      </c>
      <c r="T185" s="27" t="s">
        <v>1113</v>
      </c>
      <c r="U185" s="28"/>
      <c r="V185" s="28"/>
      <c r="W185" s="28"/>
      <c r="X185" s="28"/>
      <c r="Y185" s="27"/>
      <c r="Z185" s="27"/>
      <c r="AA185" s="27"/>
      <c r="AB185" s="27"/>
    </row>
    <row r="186" spans="1:28" ht="42" customHeight="1">
      <c r="A186" s="41"/>
      <c r="B186" s="42"/>
      <c r="C186" s="42"/>
      <c r="D186" s="42"/>
      <c r="E186" s="42"/>
      <c r="F186" s="42"/>
      <c r="G186" s="42"/>
      <c r="H186" s="45"/>
      <c r="I186" s="44"/>
      <c r="J186" s="43"/>
      <c r="K186" s="44"/>
      <c r="L186" s="14">
        <f t="shared" si="6"/>
        <v>0</v>
      </c>
      <c r="M186" s="14">
        <f>IF(OR(L186=0,T186&lt;&gt;"Sim"),0,INDEX(Processos!$X$10:$X$509,O186))</f>
        <v>0</v>
      </c>
      <c r="N186" s="40" t="str">
        <f t="shared" si="7"/>
        <v/>
      </c>
      <c r="O186" s="14">
        <f>IF(AND(A186&lt;&gt;"",ISTEXT(A186),COUNTIFS(Processos!$AS$10:$AS$509,"="&amp;SUBSTITUTE(SUBSTITUTE(SUBSTITUTE("P:"&amp;A186,"~","~~"),"*","~*"),"?","~?"))=1),(IF(ISNA(MATCH(SUBSTITUTE(SUBSTITUTE(SUBSTITUTE("P:"&amp;A186,"~","~~"),"*","~*"),"?","~?"),Processos!$AS$10:$AS$509,0)),9,INDEX(Processos!$AM$10:$AM$509,MATCH(SUBSTITUTE(SUBSTITUTE(SUBSTITUTE("P:"&amp;A186,"~","~~"),"*","~*"),"?","~?"),Processos!$AS$10:$AS$509,0)))-9),0)</f>
        <v>0</v>
      </c>
      <c r="P186" s="14" t="str">
        <f>IF(L186=0,"",INDEX(Processos!$D$10:$D$509,O186))</f>
        <v/>
      </c>
      <c r="Q186" s="14">
        <f>IF(OR(L186=0,T186&lt;&gt;"Sim"),0,INDEX(Processos!$AL$10:$AL$509,O186))</f>
        <v>0</v>
      </c>
      <c r="R186" s="14">
        <f>ROW()</f>
        <v>186</v>
      </c>
      <c r="S186" s="14" t="str">
        <f t="shared" si="8"/>
        <v/>
      </c>
      <c r="T186" s="27" t="s">
        <v>1113</v>
      </c>
      <c r="U186" s="28"/>
      <c r="V186" s="28"/>
      <c r="W186" s="28"/>
      <c r="X186" s="28"/>
      <c r="Y186" s="27"/>
      <c r="Z186" s="27"/>
      <c r="AA186" s="27"/>
      <c r="AB186" s="27"/>
    </row>
    <row r="187" spans="1:28" ht="42" customHeight="1">
      <c r="A187" s="41"/>
      <c r="B187" s="42"/>
      <c r="C187" s="42"/>
      <c r="D187" s="42"/>
      <c r="E187" s="42"/>
      <c r="F187" s="42"/>
      <c r="G187" s="42"/>
      <c r="H187" s="45"/>
      <c r="I187" s="44"/>
      <c r="J187" s="43"/>
      <c r="K187" s="44"/>
      <c r="L187" s="14">
        <f t="shared" si="6"/>
        <v>0</v>
      </c>
      <c r="M187" s="14">
        <f>IF(OR(L187=0,T187&lt;&gt;"Sim"),0,INDEX(Processos!$X$10:$X$509,O187))</f>
        <v>0</v>
      </c>
      <c r="N187" s="40" t="str">
        <f t="shared" si="7"/>
        <v/>
      </c>
      <c r="O187" s="14">
        <f>IF(AND(A187&lt;&gt;"",ISTEXT(A187),COUNTIFS(Processos!$AS$10:$AS$509,"="&amp;SUBSTITUTE(SUBSTITUTE(SUBSTITUTE("P:"&amp;A187,"~","~~"),"*","~*"),"?","~?"))=1),(IF(ISNA(MATCH(SUBSTITUTE(SUBSTITUTE(SUBSTITUTE("P:"&amp;A187,"~","~~"),"*","~*"),"?","~?"),Processos!$AS$10:$AS$509,0)),9,INDEX(Processos!$AM$10:$AM$509,MATCH(SUBSTITUTE(SUBSTITUTE(SUBSTITUTE("P:"&amp;A187,"~","~~"),"*","~*"),"?","~?"),Processos!$AS$10:$AS$509,0)))-9),0)</f>
        <v>0</v>
      </c>
      <c r="P187" s="14" t="str">
        <f>IF(L187=0,"",INDEX(Processos!$D$10:$D$509,O187))</f>
        <v/>
      </c>
      <c r="Q187" s="14">
        <f>IF(OR(L187=0,T187&lt;&gt;"Sim"),0,INDEX(Processos!$AL$10:$AL$509,O187))</f>
        <v>0</v>
      </c>
      <c r="R187" s="14">
        <f>ROW()</f>
        <v>187</v>
      </c>
      <c r="S187" s="14" t="str">
        <f t="shared" si="8"/>
        <v/>
      </c>
      <c r="T187" s="27" t="s">
        <v>1113</v>
      </c>
      <c r="U187" s="28"/>
      <c r="V187" s="28"/>
      <c r="W187" s="28"/>
      <c r="X187" s="28"/>
      <c r="Y187" s="27"/>
      <c r="Z187" s="27"/>
      <c r="AA187" s="27"/>
      <c r="AB187" s="27"/>
    </row>
    <row r="188" spans="1:28" ht="42" customHeight="1">
      <c r="A188" s="41"/>
      <c r="B188" s="42"/>
      <c r="C188" s="42"/>
      <c r="D188" s="42"/>
      <c r="E188" s="42"/>
      <c r="F188" s="42"/>
      <c r="G188" s="42"/>
      <c r="H188" s="45"/>
      <c r="I188" s="44"/>
      <c r="J188" s="43"/>
      <c r="K188" s="44"/>
      <c r="L188" s="14">
        <f t="shared" si="6"/>
        <v>0</v>
      </c>
      <c r="M188" s="14">
        <f>IF(OR(L188=0,T188&lt;&gt;"Sim"),0,INDEX(Processos!$X$10:$X$509,O188))</f>
        <v>0</v>
      </c>
      <c r="N188" s="40" t="str">
        <f t="shared" si="7"/>
        <v/>
      </c>
      <c r="O188" s="14">
        <f>IF(AND(A188&lt;&gt;"",ISTEXT(A188),COUNTIFS(Processos!$AS$10:$AS$509,"="&amp;SUBSTITUTE(SUBSTITUTE(SUBSTITUTE("P:"&amp;A188,"~","~~"),"*","~*"),"?","~?"))=1),(IF(ISNA(MATCH(SUBSTITUTE(SUBSTITUTE(SUBSTITUTE("P:"&amp;A188,"~","~~"),"*","~*"),"?","~?"),Processos!$AS$10:$AS$509,0)),9,INDEX(Processos!$AM$10:$AM$509,MATCH(SUBSTITUTE(SUBSTITUTE(SUBSTITUTE("P:"&amp;A188,"~","~~"),"*","~*"),"?","~?"),Processos!$AS$10:$AS$509,0)))-9),0)</f>
        <v>0</v>
      </c>
      <c r="P188" s="14" t="str">
        <f>IF(L188=0,"",INDEX(Processos!$D$10:$D$509,O188))</f>
        <v/>
      </c>
      <c r="Q188" s="14">
        <f>IF(OR(L188=0,T188&lt;&gt;"Sim"),0,INDEX(Processos!$AL$10:$AL$509,O188))</f>
        <v>0</v>
      </c>
      <c r="R188" s="14">
        <f>ROW()</f>
        <v>188</v>
      </c>
      <c r="S188" s="14" t="str">
        <f t="shared" si="8"/>
        <v/>
      </c>
      <c r="T188" s="27" t="s">
        <v>1113</v>
      </c>
      <c r="U188" s="28"/>
      <c r="V188" s="28"/>
      <c r="W188" s="28"/>
      <c r="X188" s="28"/>
      <c r="Y188" s="27"/>
      <c r="Z188" s="27"/>
      <c r="AA188" s="27"/>
      <c r="AB188" s="27"/>
    </row>
    <row r="189" spans="1:28" ht="42" customHeight="1">
      <c r="A189" s="41"/>
      <c r="B189" s="42"/>
      <c r="C189" s="42"/>
      <c r="D189" s="42"/>
      <c r="E189" s="42"/>
      <c r="F189" s="42"/>
      <c r="G189" s="42"/>
      <c r="H189" s="45"/>
      <c r="I189" s="44"/>
      <c r="J189" s="43"/>
      <c r="K189" s="44"/>
      <c r="L189" s="14">
        <f t="shared" si="6"/>
        <v>0</v>
      </c>
      <c r="M189" s="14">
        <f>IF(OR(L189=0,T189&lt;&gt;"Sim"),0,INDEX(Processos!$X$10:$X$509,O189))</f>
        <v>0</v>
      </c>
      <c r="N189" s="40" t="str">
        <f t="shared" si="7"/>
        <v/>
      </c>
      <c r="O189" s="14">
        <f>IF(AND(A189&lt;&gt;"",ISTEXT(A189),COUNTIFS(Processos!$AS$10:$AS$509,"="&amp;SUBSTITUTE(SUBSTITUTE(SUBSTITUTE("P:"&amp;A189,"~","~~"),"*","~*"),"?","~?"))=1),(IF(ISNA(MATCH(SUBSTITUTE(SUBSTITUTE(SUBSTITUTE("P:"&amp;A189,"~","~~"),"*","~*"),"?","~?"),Processos!$AS$10:$AS$509,0)),9,INDEX(Processos!$AM$10:$AM$509,MATCH(SUBSTITUTE(SUBSTITUTE(SUBSTITUTE("P:"&amp;A189,"~","~~"),"*","~*"),"?","~?"),Processos!$AS$10:$AS$509,0)))-9),0)</f>
        <v>0</v>
      </c>
      <c r="P189" s="14" t="str">
        <f>IF(L189=0,"",INDEX(Processos!$D$10:$D$509,O189))</f>
        <v/>
      </c>
      <c r="Q189" s="14">
        <f>IF(OR(L189=0,T189&lt;&gt;"Sim"),0,INDEX(Processos!$AL$10:$AL$509,O189))</f>
        <v>0</v>
      </c>
      <c r="R189" s="14">
        <f>ROW()</f>
        <v>189</v>
      </c>
      <c r="S189" s="14" t="str">
        <f t="shared" si="8"/>
        <v/>
      </c>
      <c r="T189" s="27" t="s">
        <v>1113</v>
      </c>
      <c r="U189" s="28"/>
      <c r="V189" s="28"/>
      <c r="W189" s="28"/>
      <c r="X189" s="28"/>
      <c r="Y189" s="27"/>
      <c r="Z189" s="27"/>
      <c r="AA189" s="27"/>
      <c r="AB189" s="27"/>
    </row>
    <row r="190" spans="1:28" ht="42" customHeight="1">
      <c r="A190" s="41"/>
      <c r="B190" s="42"/>
      <c r="C190" s="42"/>
      <c r="D190" s="42"/>
      <c r="E190" s="42"/>
      <c r="F190" s="42"/>
      <c r="G190" s="42"/>
      <c r="H190" s="45"/>
      <c r="I190" s="44"/>
      <c r="J190" s="43"/>
      <c r="K190" s="44"/>
      <c r="L190" s="14">
        <f t="shared" si="6"/>
        <v>0</v>
      </c>
      <c r="M190" s="14">
        <f>IF(OR(L190=0,T190&lt;&gt;"Sim"),0,INDEX(Processos!$X$10:$X$509,O190))</f>
        <v>0</v>
      </c>
      <c r="N190" s="40" t="str">
        <f t="shared" si="7"/>
        <v/>
      </c>
      <c r="O190" s="14">
        <f>IF(AND(A190&lt;&gt;"",ISTEXT(A190),COUNTIFS(Processos!$AS$10:$AS$509,"="&amp;SUBSTITUTE(SUBSTITUTE(SUBSTITUTE("P:"&amp;A190,"~","~~"),"*","~*"),"?","~?"))=1),(IF(ISNA(MATCH(SUBSTITUTE(SUBSTITUTE(SUBSTITUTE("P:"&amp;A190,"~","~~"),"*","~*"),"?","~?"),Processos!$AS$10:$AS$509,0)),9,INDEX(Processos!$AM$10:$AM$509,MATCH(SUBSTITUTE(SUBSTITUTE(SUBSTITUTE("P:"&amp;A190,"~","~~"),"*","~*"),"?","~?"),Processos!$AS$10:$AS$509,0)))-9),0)</f>
        <v>0</v>
      </c>
      <c r="P190" s="14" t="str">
        <f>IF(L190=0,"",INDEX(Processos!$D$10:$D$509,O190))</f>
        <v/>
      </c>
      <c r="Q190" s="14">
        <f>IF(OR(L190=0,T190&lt;&gt;"Sim"),0,INDEX(Processos!$AL$10:$AL$509,O190))</f>
        <v>0</v>
      </c>
      <c r="R190" s="14">
        <f>ROW()</f>
        <v>190</v>
      </c>
      <c r="S190" s="14" t="str">
        <f t="shared" si="8"/>
        <v/>
      </c>
      <c r="T190" s="27" t="s">
        <v>1113</v>
      </c>
      <c r="U190" s="28"/>
      <c r="V190" s="28"/>
      <c r="W190" s="28"/>
      <c r="X190" s="28"/>
      <c r="Y190" s="27"/>
      <c r="Z190" s="27"/>
      <c r="AA190" s="27"/>
      <c r="AB190" s="27"/>
    </row>
    <row r="191" spans="1:28" ht="42" customHeight="1">
      <c r="A191" s="41"/>
      <c r="B191" s="42"/>
      <c r="C191" s="42"/>
      <c r="D191" s="42"/>
      <c r="E191" s="42"/>
      <c r="F191" s="42"/>
      <c r="G191" s="42"/>
      <c r="H191" s="45"/>
      <c r="I191" s="44"/>
      <c r="J191" s="43"/>
      <c r="K191" s="44"/>
      <c r="L191" s="14">
        <f t="shared" si="6"/>
        <v>0</v>
      </c>
      <c r="M191" s="14">
        <f>IF(OR(L191=0,T191&lt;&gt;"Sim"),0,INDEX(Processos!$X$10:$X$509,O191))</f>
        <v>0</v>
      </c>
      <c r="N191" s="40" t="str">
        <f t="shared" si="7"/>
        <v/>
      </c>
      <c r="O191" s="14">
        <f>IF(AND(A191&lt;&gt;"",ISTEXT(A191),COUNTIFS(Processos!$AS$10:$AS$509,"="&amp;SUBSTITUTE(SUBSTITUTE(SUBSTITUTE("P:"&amp;A191,"~","~~"),"*","~*"),"?","~?"))=1),(IF(ISNA(MATCH(SUBSTITUTE(SUBSTITUTE(SUBSTITUTE("P:"&amp;A191,"~","~~"),"*","~*"),"?","~?"),Processos!$AS$10:$AS$509,0)),9,INDEX(Processos!$AM$10:$AM$509,MATCH(SUBSTITUTE(SUBSTITUTE(SUBSTITUTE("P:"&amp;A191,"~","~~"),"*","~*"),"?","~?"),Processos!$AS$10:$AS$509,0)))-9),0)</f>
        <v>0</v>
      </c>
      <c r="P191" s="14" t="str">
        <f>IF(L191=0,"",INDEX(Processos!$D$10:$D$509,O191))</f>
        <v/>
      </c>
      <c r="Q191" s="14">
        <f>IF(OR(L191=0,T191&lt;&gt;"Sim"),0,INDEX(Processos!$AL$10:$AL$509,O191))</f>
        <v>0</v>
      </c>
      <c r="R191" s="14">
        <f>ROW()</f>
        <v>191</v>
      </c>
      <c r="S191" s="14" t="str">
        <f t="shared" si="8"/>
        <v/>
      </c>
      <c r="T191" s="27" t="s">
        <v>1113</v>
      </c>
      <c r="U191" s="28"/>
      <c r="V191" s="28"/>
      <c r="W191" s="28"/>
      <c r="X191" s="28"/>
      <c r="Y191" s="27"/>
      <c r="Z191" s="27"/>
      <c r="AA191" s="27"/>
      <c r="AB191" s="27"/>
    </row>
    <row r="192" spans="1:28" ht="42" customHeight="1">
      <c r="A192" s="41"/>
      <c r="B192" s="42"/>
      <c r="C192" s="42"/>
      <c r="D192" s="42"/>
      <c r="E192" s="42"/>
      <c r="F192" s="42"/>
      <c r="G192" s="42"/>
      <c r="H192" s="45"/>
      <c r="I192" s="44"/>
      <c r="J192" s="43"/>
      <c r="K192" s="44"/>
      <c r="L192" s="14">
        <f t="shared" si="6"/>
        <v>0</v>
      </c>
      <c r="M192" s="14">
        <f>IF(OR(L192=0,T192&lt;&gt;"Sim"),0,INDEX(Processos!$X$10:$X$509,O192))</f>
        <v>0</v>
      </c>
      <c r="N192" s="40" t="str">
        <f t="shared" si="7"/>
        <v/>
      </c>
      <c r="O192" s="14">
        <f>IF(AND(A192&lt;&gt;"",ISTEXT(A192),COUNTIFS(Processos!$AS$10:$AS$509,"="&amp;SUBSTITUTE(SUBSTITUTE(SUBSTITUTE("P:"&amp;A192,"~","~~"),"*","~*"),"?","~?"))=1),(IF(ISNA(MATCH(SUBSTITUTE(SUBSTITUTE(SUBSTITUTE("P:"&amp;A192,"~","~~"),"*","~*"),"?","~?"),Processos!$AS$10:$AS$509,0)),9,INDEX(Processos!$AM$10:$AM$509,MATCH(SUBSTITUTE(SUBSTITUTE(SUBSTITUTE("P:"&amp;A192,"~","~~"),"*","~*"),"?","~?"),Processos!$AS$10:$AS$509,0)))-9),0)</f>
        <v>0</v>
      </c>
      <c r="P192" s="14" t="str">
        <f>IF(L192=0,"",INDEX(Processos!$D$10:$D$509,O192))</f>
        <v/>
      </c>
      <c r="Q192" s="14">
        <f>IF(OR(L192=0,T192&lt;&gt;"Sim"),0,INDEX(Processos!$AL$10:$AL$509,O192))</f>
        <v>0</v>
      </c>
      <c r="R192" s="14">
        <f>ROW()</f>
        <v>192</v>
      </c>
      <c r="S192" s="14" t="str">
        <f t="shared" si="8"/>
        <v/>
      </c>
      <c r="T192" s="27" t="s">
        <v>1113</v>
      </c>
      <c r="U192" s="28"/>
      <c r="V192" s="28"/>
      <c r="W192" s="28"/>
      <c r="X192" s="28"/>
      <c r="Y192" s="27"/>
      <c r="Z192" s="27"/>
      <c r="AA192" s="27"/>
      <c r="AB192" s="27"/>
    </row>
    <row r="193" spans="1:28" ht="42" customHeight="1">
      <c r="A193" s="41"/>
      <c r="B193" s="42"/>
      <c r="C193" s="42"/>
      <c r="D193" s="42"/>
      <c r="E193" s="42"/>
      <c r="F193" s="42"/>
      <c r="G193" s="42"/>
      <c r="H193" s="45"/>
      <c r="I193" s="44"/>
      <c r="J193" s="43"/>
      <c r="K193" s="44"/>
      <c r="L193" s="14">
        <f t="shared" si="6"/>
        <v>0</v>
      </c>
      <c r="M193" s="14">
        <f>IF(OR(L193=0,T193&lt;&gt;"Sim"),0,INDEX(Processos!$X$10:$X$509,O193))</f>
        <v>0</v>
      </c>
      <c r="N193" s="40" t="str">
        <f t="shared" si="7"/>
        <v/>
      </c>
      <c r="O193" s="14">
        <f>IF(AND(A193&lt;&gt;"",ISTEXT(A193),COUNTIFS(Processos!$AS$10:$AS$509,"="&amp;SUBSTITUTE(SUBSTITUTE(SUBSTITUTE("P:"&amp;A193,"~","~~"),"*","~*"),"?","~?"))=1),(IF(ISNA(MATCH(SUBSTITUTE(SUBSTITUTE(SUBSTITUTE("P:"&amp;A193,"~","~~"),"*","~*"),"?","~?"),Processos!$AS$10:$AS$509,0)),9,INDEX(Processos!$AM$10:$AM$509,MATCH(SUBSTITUTE(SUBSTITUTE(SUBSTITUTE("P:"&amp;A193,"~","~~"),"*","~*"),"?","~?"),Processos!$AS$10:$AS$509,0)))-9),0)</f>
        <v>0</v>
      </c>
      <c r="P193" s="14" t="str">
        <f>IF(L193=0,"",INDEX(Processos!$D$10:$D$509,O193))</f>
        <v/>
      </c>
      <c r="Q193" s="14">
        <f>IF(OR(L193=0,T193&lt;&gt;"Sim"),0,INDEX(Processos!$AL$10:$AL$509,O193))</f>
        <v>0</v>
      </c>
      <c r="R193" s="14">
        <f>ROW()</f>
        <v>193</v>
      </c>
      <c r="S193" s="14" t="str">
        <f t="shared" si="8"/>
        <v/>
      </c>
      <c r="T193" s="27" t="s">
        <v>1113</v>
      </c>
      <c r="U193" s="28"/>
      <c r="V193" s="28"/>
      <c r="W193" s="28"/>
      <c r="X193" s="28"/>
      <c r="Y193" s="27"/>
      <c r="Z193" s="27"/>
      <c r="AA193" s="27"/>
      <c r="AB193" s="27"/>
    </row>
    <row r="194" spans="1:28" ht="42" customHeight="1">
      <c r="A194" s="41"/>
      <c r="B194" s="42"/>
      <c r="C194" s="42"/>
      <c r="D194" s="42"/>
      <c r="E194" s="42"/>
      <c r="F194" s="42"/>
      <c r="G194" s="42"/>
      <c r="H194" s="45"/>
      <c r="I194" s="44"/>
      <c r="J194" s="43"/>
      <c r="K194" s="44"/>
      <c r="L194" s="14">
        <f t="shared" si="6"/>
        <v>0</v>
      </c>
      <c r="M194" s="14">
        <f>IF(OR(L194=0,T194&lt;&gt;"Sim"),0,INDEX(Processos!$X$10:$X$509,O194))</f>
        <v>0</v>
      </c>
      <c r="N194" s="40" t="str">
        <f t="shared" si="7"/>
        <v/>
      </c>
      <c r="O194" s="14">
        <f>IF(AND(A194&lt;&gt;"",ISTEXT(A194),COUNTIFS(Processos!$AS$10:$AS$509,"="&amp;SUBSTITUTE(SUBSTITUTE(SUBSTITUTE("P:"&amp;A194,"~","~~"),"*","~*"),"?","~?"))=1),(IF(ISNA(MATCH(SUBSTITUTE(SUBSTITUTE(SUBSTITUTE("P:"&amp;A194,"~","~~"),"*","~*"),"?","~?"),Processos!$AS$10:$AS$509,0)),9,INDEX(Processos!$AM$10:$AM$509,MATCH(SUBSTITUTE(SUBSTITUTE(SUBSTITUTE("P:"&amp;A194,"~","~~"),"*","~*"),"?","~?"),Processos!$AS$10:$AS$509,0)))-9),0)</f>
        <v>0</v>
      </c>
      <c r="P194" s="14" t="str">
        <f>IF(L194=0,"",INDEX(Processos!$D$10:$D$509,O194))</f>
        <v/>
      </c>
      <c r="Q194" s="14">
        <f>IF(OR(L194=0,T194&lt;&gt;"Sim"),0,INDEX(Processos!$AL$10:$AL$509,O194))</f>
        <v>0</v>
      </c>
      <c r="R194" s="14">
        <f>ROW()</f>
        <v>194</v>
      </c>
      <c r="S194" s="14" t="str">
        <f t="shared" si="8"/>
        <v/>
      </c>
      <c r="T194" s="27" t="s">
        <v>1113</v>
      </c>
      <c r="U194" s="28"/>
      <c r="V194" s="28"/>
      <c r="W194" s="28"/>
      <c r="X194" s="28"/>
      <c r="Y194" s="27"/>
      <c r="Z194" s="27"/>
      <c r="AA194" s="27"/>
      <c r="AB194" s="27"/>
    </row>
    <row r="195" spans="1:28" ht="42" customHeight="1">
      <c r="A195" s="41"/>
      <c r="B195" s="42"/>
      <c r="C195" s="42"/>
      <c r="D195" s="42"/>
      <c r="E195" s="42"/>
      <c r="F195" s="42"/>
      <c r="G195" s="42"/>
      <c r="H195" s="45"/>
      <c r="I195" s="44"/>
      <c r="J195" s="43"/>
      <c r="K195" s="44"/>
      <c r="L195" s="14">
        <f t="shared" si="6"/>
        <v>0</v>
      </c>
      <c r="M195" s="14">
        <f>IF(OR(L195=0,T195&lt;&gt;"Sim"),0,INDEX(Processos!$X$10:$X$509,O195))</f>
        <v>0</v>
      </c>
      <c r="N195" s="40" t="str">
        <f t="shared" si="7"/>
        <v/>
      </c>
      <c r="O195" s="14">
        <f>IF(AND(A195&lt;&gt;"",ISTEXT(A195),COUNTIFS(Processos!$AS$10:$AS$509,"="&amp;SUBSTITUTE(SUBSTITUTE(SUBSTITUTE("P:"&amp;A195,"~","~~"),"*","~*"),"?","~?"))=1),(IF(ISNA(MATCH(SUBSTITUTE(SUBSTITUTE(SUBSTITUTE("P:"&amp;A195,"~","~~"),"*","~*"),"?","~?"),Processos!$AS$10:$AS$509,0)),9,INDEX(Processos!$AM$10:$AM$509,MATCH(SUBSTITUTE(SUBSTITUTE(SUBSTITUTE("P:"&amp;A195,"~","~~"),"*","~*"),"?","~?"),Processos!$AS$10:$AS$509,0)))-9),0)</f>
        <v>0</v>
      </c>
      <c r="P195" s="14" t="str">
        <f>IF(L195=0,"",INDEX(Processos!$D$10:$D$509,O195))</f>
        <v/>
      </c>
      <c r="Q195" s="14">
        <f>IF(OR(L195=0,T195&lt;&gt;"Sim"),0,INDEX(Processos!$AL$10:$AL$509,O195))</f>
        <v>0</v>
      </c>
      <c r="R195" s="14">
        <f>ROW()</f>
        <v>195</v>
      </c>
      <c r="S195" s="14" t="str">
        <f t="shared" si="8"/>
        <v/>
      </c>
      <c r="T195" s="27" t="s">
        <v>1113</v>
      </c>
      <c r="U195" s="28"/>
      <c r="V195" s="28"/>
      <c r="W195" s="28"/>
      <c r="X195" s="28"/>
      <c r="Y195" s="27"/>
      <c r="Z195" s="27"/>
      <c r="AA195" s="27"/>
      <c r="AB195" s="27"/>
    </row>
    <row r="196" spans="1:28" ht="42" customHeight="1">
      <c r="A196" s="41"/>
      <c r="B196" s="42"/>
      <c r="C196" s="42"/>
      <c r="D196" s="42"/>
      <c r="E196" s="42"/>
      <c r="F196" s="42"/>
      <c r="G196" s="42"/>
      <c r="H196" s="45"/>
      <c r="I196" s="44"/>
      <c r="J196" s="43"/>
      <c r="K196" s="44"/>
      <c r="L196" s="14">
        <f t="shared" si="6"/>
        <v>0</v>
      </c>
      <c r="M196" s="14">
        <f>IF(OR(L196=0,T196&lt;&gt;"Sim"),0,INDEX(Processos!$X$10:$X$509,O196))</f>
        <v>0</v>
      </c>
      <c r="N196" s="40" t="str">
        <f t="shared" si="7"/>
        <v/>
      </c>
      <c r="O196" s="14">
        <f>IF(AND(A196&lt;&gt;"",ISTEXT(A196),COUNTIFS(Processos!$AS$10:$AS$509,"="&amp;SUBSTITUTE(SUBSTITUTE(SUBSTITUTE("P:"&amp;A196,"~","~~"),"*","~*"),"?","~?"))=1),(IF(ISNA(MATCH(SUBSTITUTE(SUBSTITUTE(SUBSTITUTE("P:"&amp;A196,"~","~~"),"*","~*"),"?","~?"),Processos!$AS$10:$AS$509,0)),9,INDEX(Processos!$AM$10:$AM$509,MATCH(SUBSTITUTE(SUBSTITUTE(SUBSTITUTE("P:"&amp;A196,"~","~~"),"*","~*"),"?","~?"),Processos!$AS$10:$AS$509,0)))-9),0)</f>
        <v>0</v>
      </c>
      <c r="P196" s="14" t="str">
        <f>IF(L196=0,"",INDEX(Processos!$D$10:$D$509,O196))</f>
        <v/>
      </c>
      <c r="Q196" s="14">
        <f>IF(OR(L196=0,T196&lt;&gt;"Sim"),0,INDEX(Processos!$AL$10:$AL$509,O196))</f>
        <v>0</v>
      </c>
      <c r="R196" s="14">
        <f>ROW()</f>
        <v>196</v>
      </c>
      <c r="S196" s="14" t="str">
        <f t="shared" si="8"/>
        <v/>
      </c>
      <c r="T196" s="27" t="s">
        <v>1113</v>
      </c>
      <c r="U196" s="28"/>
      <c r="V196" s="28"/>
      <c r="W196" s="28"/>
      <c r="X196" s="28"/>
      <c r="Y196" s="27"/>
      <c r="Z196" s="27"/>
      <c r="AA196" s="27"/>
      <c r="AB196" s="27"/>
    </row>
    <row r="197" spans="1:28" ht="42" customHeight="1">
      <c r="A197" s="41"/>
      <c r="B197" s="42"/>
      <c r="C197" s="42"/>
      <c r="D197" s="42"/>
      <c r="E197" s="42"/>
      <c r="F197" s="42"/>
      <c r="G197" s="42"/>
      <c r="H197" s="45"/>
      <c r="I197" s="44"/>
      <c r="J197" s="43"/>
      <c r="K197" s="44"/>
      <c r="L197" s="14">
        <f t="shared" si="6"/>
        <v>0</v>
      </c>
      <c r="M197" s="14">
        <f>IF(OR(L197=0,T197&lt;&gt;"Sim"),0,INDEX(Processos!$X$10:$X$509,O197))</f>
        <v>0</v>
      </c>
      <c r="N197" s="40" t="str">
        <f t="shared" si="7"/>
        <v/>
      </c>
      <c r="O197" s="14">
        <f>IF(AND(A197&lt;&gt;"",ISTEXT(A197),COUNTIFS(Processos!$AS$10:$AS$509,"="&amp;SUBSTITUTE(SUBSTITUTE(SUBSTITUTE("P:"&amp;A197,"~","~~"),"*","~*"),"?","~?"))=1),(IF(ISNA(MATCH(SUBSTITUTE(SUBSTITUTE(SUBSTITUTE("P:"&amp;A197,"~","~~"),"*","~*"),"?","~?"),Processos!$AS$10:$AS$509,0)),9,INDEX(Processos!$AM$10:$AM$509,MATCH(SUBSTITUTE(SUBSTITUTE(SUBSTITUTE("P:"&amp;A197,"~","~~"),"*","~*"),"?","~?"),Processos!$AS$10:$AS$509,0)))-9),0)</f>
        <v>0</v>
      </c>
      <c r="P197" s="14" t="str">
        <f>IF(L197=0,"",INDEX(Processos!$D$10:$D$509,O197))</f>
        <v/>
      </c>
      <c r="Q197" s="14">
        <f>IF(OR(L197=0,T197&lt;&gt;"Sim"),0,INDEX(Processos!$AL$10:$AL$509,O197))</f>
        <v>0</v>
      </c>
      <c r="R197" s="14">
        <f>ROW()</f>
        <v>197</v>
      </c>
      <c r="S197" s="14" t="str">
        <f t="shared" si="8"/>
        <v/>
      </c>
      <c r="T197" s="27" t="s">
        <v>1113</v>
      </c>
      <c r="U197" s="28"/>
      <c r="V197" s="28"/>
      <c r="W197" s="28"/>
      <c r="X197" s="28"/>
      <c r="Y197" s="27"/>
      <c r="Z197" s="27"/>
      <c r="AA197" s="27"/>
      <c r="AB197" s="27"/>
    </row>
    <row r="198" spans="1:28" ht="42" customHeight="1">
      <c r="A198" s="41"/>
      <c r="B198" s="42"/>
      <c r="C198" s="42"/>
      <c r="D198" s="42"/>
      <c r="E198" s="42"/>
      <c r="F198" s="42"/>
      <c r="G198" s="42"/>
      <c r="H198" s="45"/>
      <c r="I198" s="44"/>
      <c r="J198" s="43"/>
      <c r="K198" s="44"/>
      <c r="L198" s="14">
        <f t="shared" si="6"/>
        <v>0</v>
      </c>
      <c r="M198" s="14">
        <f>IF(OR(L198=0,T198&lt;&gt;"Sim"),0,INDEX(Processos!$X$10:$X$509,O198))</f>
        <v>0</v>
      </c>
      <c r="N198" s="40" t="str">
        <f t="shared" si="7"/>
        <v/>
      </c>
      <c r="O198" s="14">
        <f>IF(AND(A198&lt;&gt;"",ISTEXT(A198),COUNTIFS(Processos!$AS$10:$AS$509,"="&amp;SUBSTITUTE(SUBSTITUTE(SUBSTITUTE("P:"&amp;A198,"~","~~"),"*","~*"),"?","~?"))=1),(IF(ISNA(MATCH(SUBSTITUTE(SUBSTITUTE(SUBSTITUTE("P:"&amp;A198,"~","~~"),"*","~*"),"?","~?"),Processos!$AS$10:$AS$509,0)),9,INDEX(Processos!$AM$10:$AM$509,MATCH(SUBSTITUTE(SUBSTITUTE(SUBSTITUTE("P:"&amp;A198,"~","~~"),"*","~*"),"?","~?"),Processos!$AS$10:$AS$509,0)))-9),0)</f>
        <v>0</v>
      </c>
      <c r="P198" s="14" t="str">
        <f>IF(L198=0,"",INDEX(Processos!$D$10:$D$509,O198))</f>
        <v/>
      </c>
      <c r="Q198" s="14">
        <f>IF(OR(L198=0,T198&lt;&gt;"Sim"),0,INDEX(Processos!$AL$10:$AL$509,O198))</f>
        <v>0</v>
      </c>
      <c r="R198" s="14">
        <f>ROW()</f>
        <v>198</v>
      </c>
      <c r="S198" s="14" t="str">
        <f t="shared" si="8"/>
        <v/>
      </c>
      <c r="T198" s="27" t="s">
        <v>1113</v>
      </c>
      <c r="U198" s="28"/>
      <c r="V198" s="28"/>
      <c r="W198" s="28"/>
      <c r="X198" s="28"/>
      <c r="Y198" s="27"/>
      <c r="Z198" s="27"/>
      <c r="AA198" s="27"/>
      <c r="AB198" s="27"/>
    </row>
    <row r="199" spans="1:28" ht="42" customHeight="1">
      <c r="A199" s="41"/>
      <c r="B199" s="42"/>
      <c r="C199" s="42"/>
      <c r="D199" s="42"/>
      <c r="E199" s="42"/>
      <c r="F199" s="42"/>
      <c r="G199" s="42"/>
      <c r="H199" s="45"/>
      <c r="I199" s="44"/>
      <c r="J199" s="43"/>
      <c r="K199" s="44"/>
      <c r="L199" s="14">
        <f t="shared" si="6"/>
        <v>0</v>
      </c>
      <c r="M199" s="14">
        <f>IF(OR(L199=0,T199&lt;&gt;"Sim"),0,INDEX(Processos!$X$10:$X$509,O199))</f>
        <v>0</v>
      </c>
      <c r="N199" s="40" t="str">
        <f t="shared" si="7"/>
        <v/>
      </c>
      <c r="O199" s="14">
        <f>IF(AND(A199&lt;&gt;"",ISTEXT(A199),COUNTIFS(Processos!$AS$10:$AS$509,"="&amp;SUBSTITUTE(SUBSTITUTE(SUBSTITUTE("P:"&amp;A199,"~","~~"),"*","~*"),"?","~?"))=1),(IF(ISNA(MATCH(SUBSTITUTE(SUBSTITUTE(SUBSTITUTE("P:"&amp;A199,"~","~~"),"*","~*"),"?","~?"),Processos!$AS$10:$AS$509,0)),9,INDEX(Processos!$AM$10:$AM$509,MATCH(SUBSTITUTE(SUBSTITUTE(SUBSTITUTE("P:"&amp;A199,"~","~~"),"*","~*"),"?","~?"),Processos!$AS$10:$AS$509,0)))-9),0)</f>
        <v>0</v>
      </c>
      <c r="P199" s="14" t="str">
        <f>IF(L199=0,"",INDEX(Processos!$D$10:$D$509,O199))</f>
        <v/>
      </c>
      <c r="Q199" s="14">
        <f>IF(OR(L199=0,T199&lt;&gt;"Sim"),0,INDEX(Processos!$AL$10:$AL$509,O199))</f>
        <v>0</v>
      </c>
      <c r="R199" s="14">
        <f>ROW()</f>
        <v>199</v>
      </c>
      <c r="S199" s="14" t="str">
        <f t="shared" si="8"/>
        <v/>
      </c>
      <c r="T199" s="27" t="s">
        <v>1113</v>
      </c>
      <c r="U199" s="28"/>
      <c r="V199" s="28"/>
      <c r="W199" s="28"/>
      <c r="X199" s="28"/>
      <c r="Y199" s="27"/>
      <c r="Z199" s="27"/>
      <c r="AA199" s="27"/>
      <c r="AB199" s="27"/>
    </row>
    <row r="200" spans="1:28" ht="42" customHeight="1">
      <c r="A200" s="41"/>
      <c r="B200" s="42"/>
      <c r="C200" s="42"/>
      <c r="D200" s="42"/>
      <c r="E200" s="42"/>
      <c r="F200" s="42"/>
      <c r="G200" s="42"/>
      <c r="H200" s="45"/>
      <c r="I200" s="44"/>
      <c r="J200" s="43"/>
      <c r="K200" s="44"/>
      <c r="L200" s="14">
        <f t="shared" si="6"/>
        <v>0</v>
      </c>
      <c r="M200" s="14">
        <f>IF(OR(L200=0,T200&lt;&gt;"Sim"),0,INDEX(Processos!$X$10:$X$509,O200))</f>
        <v>0</v>
      </c>
      <c r="N200" s="40" t="str">
        <f t="shared" si="7"/>
        <v/>
      </c>
      <c r="O200" s="14">
        <f>IF(AND(A200&lt;&gt;"",ISTEXT(A200),COUNTIFS(Processos!$AS$10:$AS$509,"="&amp;SUBSTITUTE(SUBSTITUTE(SUBSTITUTE("P:"&amp;A200,"~","~~"),"*","~*"),"?","~?"))=1),(IF(ISNA(MATCH(SUBSTITUTE(SUBSTITUTE(SUBSTITUTE("P:"&amp;A200,"~","~~"),"*","~*"),"?","~?"),Processos!$AS$10:$AS$509,0)),9,INDEX(Processos!$AM$10:$AM$509,MATCH(SUBSTITUTE(SUBSTITUTE(SUBSTITUTE("P:"&amp;A200,"~","~~"),"*","~*"),"?","~?"),Processos!$AS$10:$AS$509,0)))-9),0)</f>
        <v>0</v>
      </c>
      <c r="P200" s="14" t="str">
        <f>IF(L200=0,"",INDEX(Processos!$D$10:$D$509,O200))</f>
        <v/>
      </c>
      <c r="Q200" s="14">
        <f>IF(OR(L200=0,T200&lt;&gt;"Sim"),0,INDEX(Processos!$AL$10:$AL$509,O200))</f>
        <v>0</v>
      </c>
      <c r="R200" s="14">
        <f>ROW()</f>
        <v>200</v>
      </c>
      <c r="S200" s="14" t="str">
        <f t="shared" si="8"/>
        <v/>
      </c>
      <c r="T200" s="27" t="s">
        <v>1113</v>
      </c>
      <c r="U200" s="28"/>
      <c r="V200" s="28"/>
      <c r="W200" s="28"/>
      <c r="X200" s="28"/>
      <c r="Y200" s="27"/>
      <c r="Z200" s="27"/>
      <c r="AA200" s="27"/>
      <c r="AB200" s="27"/>
    </row>
    <row r="201" spans="1:28" ht="42" customHeight="1">
      <c r="A201" s="41"/>
      <c r="B201" s="42"/>
      <c r="C201" s="42"/>
      <c r="D201" s="42"/>
      <c r="E201" s="42"/>
      <c r="F201" s="42"/>
      <c r="G201" s="42"/>
      <c r="H201" s="45"/>
      <c r="I201" s="44"/>
      <c r="J201" s="43"/>
      <c r="K201" s="44"/>
      <c r="L201" s="14">
        <f t="shared" si="6"/>
        <v>0</v>
      </c>
      <c r="M201" s="14">
        <f>IF(OR(L201=0,T201&lt;&gt;"Sim"),0,INDEX(Processos!$X$10:$X$509,O201))</f>
        <v>0</v>
      </c>
      <c r="N201" s="40" t="str">
        <f t="shared" si="7"/>
        <v/>
      </c>
      <c r="O201" s="14">
        <f>IF(AND(A201&lt;&gt;"",ISTEXT(A201),COUNTIFS(Processos!$AS$10:$AS$509,"="&amp;SUBSTITUTE(SUBSTITUTE(SUBSTITUTE("P:"&amp;A201,"~","~~"),"*","~*"),"?","~?"))=1),(IF(ISNA(MATCH(SUBSTITUTE(SUBSTITUTE(SUBSTITUTE("P:"&amp;A201,"~","~~"),"*","~*"),"?","~?"),Processos!$AS$10:$AS$509,0)),9,INDEX(Processos!$AM$10:$AM$509,MATCH(SUBSTITUTE(SUBSTITUTE(SUBSTITUTE("P:"&amp;A201,"~","~~"),"*","~*"),"?","~?"),Processos!$AS$10:$AS$509,0)))-9),0)</f>
        <v>0</v>
      </c>
      <c r="P201" s="14" t="str">
        <f>IF(L201=0,"",INDEX(Processos!$D$10:$D$509,O201))</f>
        <v/>
      </c>
      <c r="Q201" s="14">
        <f>IF(OR(L201=0,T201&lt;&gt;"Sim"),0,INDEX(Processos!$AL$10:$AL$509,O201))</f>
        <v>0</v>
      </c>
      <c r="R201" s="14">
        <f>ROW()</f>
        <v>201</v>
      </c>
      <c r="S201" s="14" t="str">
        <f t="shared" si="8"/>
        <v/>
      </c>
      <c r="T201" s="27" t="s">
        <v>1113</v>
      </c>
      <c r="U201" s="28"/>
      <c r="V201" s="28"/>
      <c r="W201" s="28"/>
      <c r="X201" s="28"/>
      <c r="Y201" s="27"/>
      <c r="Z201" s="27"/>
      <c r="AA201" s="27"/>
      <c r="AB201" s="27"/>
    </row>
    <row r="202" spans="1:28" ht="42" customHeight="1">
      <c r="A202" s="41"/>
      <c r="B202" s="42"/>
      <c r="C202" s="42"/>
      <c r="D202" s="42"/>
      <c r="E202" s="42"/>
      <c r="F202" s="42"/>
      <c r="G202" s="42"/>
      <c r="H202" s="45"/>
      <c r="I202" s="44"/>
      <c r="J202" s="43"/>
      <c r="K202" s="44"/>
      <c r="L202" s="14">
        <f t="shared" ref="L202:L265" si="9">IF(AND(A202&lt;&gt;"",ISTEXT(A202),O202&gt;0,COUNTIFS($S$10:$S$509,"="&amp;SUBSTITUTE(SUBSTITUTE(SUBSTITUTE("P:"&amp;A202,"~","~~"),"*","~*"),"?","~?"))=1),1,0)</f>
        <v>0</v>
      </c>
      <c r="M202" s="14">
        <f>IF(OR(L202=0,T202&lt;&gt;"Sim"),0,INDEX(Processos!$X$10:$X$509,O202))</f>
        <v>0</v>
      </c>
      <c r="N202" s="40" t="str">
        <f t="shared" ref="N202:N265" si="10">IF(COUNTA(A202:K202)=0,"",IF(A202="","Selecione o processo",IF(O202=0,"Processo inexistente, duplicado ou número não textual",IF(COUNTIFS($S$10:$S$509,"="&amp;SUBSTITUTE(SUBSTITUTE(SUBSTITUTE("P:"&amp;A202,"~","~~"),"*","~*"),"?","~?"))&gt;1,"Mantenha apenas uma linha de valores por processo",IF(COUNT(B202:G202)&lt;&gt;COUNTA(B202:G202),"Use números nos campos financeiros",IF(MIN(B202:G202)&lt;0,"Revise os valores negativos",IF(AND(H202&lt;&gt;"",OR(NOT(ISNUMBER(H202)),H202&lt;0,H202&gt;1)),"Probabilidade deve estar entre 0% e 100%",IF(AND(J202&lt;&gt;"",OR(NOT(ISNUMBER(J202)),J202&lt;1,J202&gt;100000)),"Revise a data da avaliação",IF(AND(COUNTA(B202:I202)&gt;0,J202=""),"Informe a data da revisão financeira","")))))))))</f>
        <v/>
      </c>
      <c r="O202" s="14">
        <f>IF(AND(A202&lt;&gt;"",ISTEXT(A202),COUNTIFS(Processos!$AS$10:$AS$509,"="&amp;SUBSTITUTE(SUBSTITUTE(SUBSTITUTE("P:"&amp;A202,"~","~~"),"*","~*"),"?","~?"))=1),(IF(ISNA(MATCH(SUBSTITUTE(SUBSTITUTE(SUBSTITUTE("P:"&amp;A202,"~","~~"),"*","~*"),"?","~?"),Processos!$AS$10:$AS$509,0)),9,INDEX(Processos!$AM$10:$AM$509,MATCH(SUBSTITUTE(SUBSTITUTE(SUBSTITUTE("P:"&amp;A202,"~","~~"),"*","~*"),"?","~?"),Processos!$AS$10:$AS$509,0)))-9),0)</f>
        <v>0</v>
      </c>
      <c r="P202" s="14" t="str">
        <f>IF(L202=0,"",INDEX(Processos!$D$10:$D$509,O202))</f>
        <v/>
      </c>
      <c r="Q202" s="14">
        <f>IF(OR(L202=0,T202&lt;&gt;"Sim"),0,INDEX(Processos!$AL$10:$AL$509,O202))</f>
        <v>0</v>
      </c>
      <c r="R202" s="14">
        <f>ROW()</f>
        <v>202</v>
      </c>
      <c r="S202" s="14" t="str">
        <f t="shared" ref="S202:S265" si="11">IF(AND(A202&lt;&gt;"",ISTEXT(A202)),"P:"&amp;A202,"")</f>
        <v/>
      </c>
      <c r="T202" s="27" t="s">
        <v>1113</v>
      </c>
      <c r="U202" s="28"/>
      <c r="V202" s="28"/>
      <c r="W202" s="28"/>
      <c r="X202" s="28"/>
      <c r="Y202" s="27"/>
      <c r="Z202" s="27"/>
      <c r="AA202" s="27"/>
      <c r="AB202" s="27"/>
    </row>
    <row r="203" spans="1:28" ht="42" customHeight="1">
      <c r="A203" s="41"/>
      <c r="B203" s="42"/>
      <c r="C203" s="42"/>
      <c r="D203" s="42"/>
      <c r="E203" s="42"/>
      <c r="F203" s="42"/>
      <c r="G203" s="42"/>
      <c r="H203" s="45"/>
      <c r="I203" s="44"/>
      <c r="J203" s="43"/>
      <c r="K203" s="44"/>
      <c r="L203" s="14">
        <f t="shared" si="9"/>
        <v>0</v>
      </c>
      <c r="M203" s="14">
        <f>IF(OR(L203=0,T203&lt;&gt;"Sim"),0,INDEX(Processos!$X$10:$X$509,O203))</f>
        <v>0</v>
      </c>
      <c r="N203" s="40" t="str">
        <f t="shared" si="10"/>
        <v/>
      </c>
      <c r="O203" s="14">
        <f>IF(AND(A203&lt;&gt;"",ISTEXT(A203),COUNTIFS(Processos!$AS$10:$AS$509,"="&amp;SUBSTITUTE(SUBSTITUTE(SUBSTITUTE("P:"&amp;A203,"~","~~"),"*","~*"),"?","~?"))=1),(IF(ISNA(MATCH(SUBSTITUTE(SUBSTITUTE(SUBSTITUTE("P:"&amp;A203,"~","~~"),"*","~*"),"?","~?"),Processos!$AS$10:$AS$509,0)),9,INDEX(Processos!$AM$10:$AM$509,MATCH(SUBSTITUTE(SUBSTITUTE(SUBSTITUTE("P:"&amp;A203,"~","~~"),"*","~*"),"?","~?"),Processos!$AS$10:$AS$509,0)))-9),0)</f>
        <v>0</v>
      </c>
      <c r="P203" s="14" t="str">
        <f>IF(L203=0,"",INDEX(Processos!$D$10:$D$509,O203))</f>
        <v/>
      </c>
      <c r="Q203" s="14">
        <f>IF(OR(L203=0,T203&lt;&gt;"Sim"),0,INDEX(Processos!$AL$10:$AL$509,O203))</f>
        <v>0</v>
      </c>
      <c r="R203" s="14">
        <f>ROW()</f>
        <v>203</v>
      </c>
      <c r="S203" s="14" t="str">
        <f t="shared" si="11"/>
        <v/>
      </c>
      <c r="T203" s="27" t="s">
        <v>1113</v>
      </c>
      <c r="U203" s="28"/>
      <c r="V203" s="28"/>
      <c r="W203" s="28"/>
      <c r="X203" s="28"/>
      <c r="Y203" s="27"/>
      <c r="Z203" s="27"/>
      <c r="AA203" s="27"/>
      <c r="AB203" s="27"/>
    </row>
    <row r="204" spans="1:28" ht="42" customHeight="1">
      <c r="A204" s="41"/>
      <c r="B204" s="42"/>
      <c r="C204" s="42"/>
      <c r="D204" s="42"/>
      <c r="E204" s="42"/>
      <c r="F204" s="42"/>
      <c r="G204" s="42"/>
      <c r="H204" s="45"/>
      <c r="I204" s="44"/>
      <c r="J204" s="43"/>
      <c r="K204" s="44"/>
      <c r="L204" s="14">
        <f t="shared" si="9"/>
        <v>0</v>
      </c>
      <c r="M204" s="14">
        <f>IF(OR(L204=0,T204&lt;&gt;"Sim"),0,INDEX(Processos!$X$10:$X$509,O204))</f>
        <v>0</v>
      </c>
      <c r="N204" s="40" t="str">
        <f t="shared" si="10"/>
        <v/>
      </c>
      <c r="O204" s="14">
        <f>IF(AND(A204&lt;&gt;"",ISTEXT(A204),COUNTIFS(Processos!$AS$10:$AS$509,"="&amp;SUBSTITUTE(SUBSTITUTE(SUBSTITUTE("P:"&amp;A204,"~","~~"),"*","~*"),"?","~?"))=1),(IF(ISNA(MATCH(SUBSTITUTE(SUBSTITUTE(SUBSTITUTE("P:"&amp;A204,"~","~~"),"*","~*"),"?","~?"),Processos!$AS$10:$AS$509,0)),9,INDEX(Processos!$AM$10:$AM$509,MATCH(SUBSTITUTE(SUBSTITUTE(SUBSTITUTE("P:"&amp;A204,"~","~~"),"*","~*"),"?","~?"),Processos!$AS$10:$AS$509,0)))-9),0)</f>
        <v>0</v>
      </c>
      <c r="P204" s="14" t="str">
        <f>IF(L204=0,"",INDEX(Processos!$D$10:$D$509,O204))</f>
        <v/>
      </c>
      <c r="Q204" s="14">
        <f>IF(OR(L204=0,T204&lt;&gt;"Sim"),0,INDEX(Processos!$AL$10:$AL$509,O204))</f>
        <v>0</v>
      </c>
      <c r="R204" s="14">
        <f>ROW()</f>
        <v>204</v>
      </c>
      <c r="S204" s="14" t="str">
        <f t="shared" si="11"/>
        <v/>
      </c>
      <c r="T204" s="27" t="s">
        <v>1113</v>
      </c>
      <c r="U204" s="28"/>
      <c r="V204" s="28"/>
      <c r="W204" s="28"/>
      <c r="X204" s="28"/>
      <c r="Y204" s="27"/>
      <c r="Z204" s="27"/>
      <c r="AA204" s="27"/>
      <c r="AB204" s="27"/>
    </row>
    <row r="205" spans="1:28" ht="42" customHeight="1">
      <c r="A205" s="41"/>
      <c r="B205" s="42"/>
      <c r="C205" s="42"/>
      <c r="D205" s="42"/>
      <c r="E205" s="42"/>
      <c r="F205" s="42"/>
      <c r="G205" s="42"/>
      <c r="H205" s="45"/>
      <c r="I205" s="44"/>
      <c r="J205" s="43"/>
      <c r="K205" s="44"/>
      <c r="L205" s="14">
        <f t="shared" si="9"/>
        <v>0</v>
      </c>
      <c r="M205" s="14">
        <f>IF(OR(L205=0,T205&lt;&gt;"Sim"),0,INDEX(Processos!$X$10:$X$509,O205))</f>
        <v>0</v>
      </c>
      <c r="N205" s="40" t="str">
        <f t="shared" si="10"/>
        <v/>
      </c>
      <c r="O205" s="14">
        <f>IF(AND(A205&lt;&gt;"",ISTEXT(A205),COUNTIFS(Processos!$AS$10:$AS$509,"="&amp;SUBSTITUTE(SUBSTITUTE(SUBSTITUTE("P:"&amp;A205,"~","~~"),"*","~*"),"?","~?"))=1),(IF(ISNA(MATCH(SUBSTITUTE(SUBSTITUTE(SUBSTITUTE("P:"&amp;A205,"~","~~"),"*","~*"),"?","~?"),Processos!$AS$10:$AS$509,0)),9,INDEX(Processos!$AM$10:$AM$509,MATCH(SUBSTITUTE(SUBSTITUTE(SUBSTITUTE("P:"&amp;A205,"~","~~"),"*","~*"),"?","~?"),Processos!$AS$10:$AS$509,0)))-9),0)</f>
        <v>0</v>
      </c>
      <c r="P205" s="14" t="str">
        <f>IF(L205=0,"",INDEX(Processos!$D$10:$D$509,O205))</f>
        <v/>
      </c>
      <c r="Q205" s="14">
        <f>IF(OR(L205=0,T205&lt;&gt;"Sim"),0,INDEX(Processos!$AL$10:$AL$509,O205))</f>
        <v>0</v>
      </c>
      <c r="R205" s="14">
        <f>ROW()</f>
        <v>205</v>
      </c>
      <c r="S205" s="14" t="str">
        <f t="shared" si="11"/>
        <v/>
      </c>
      <c r="T205" s="27" t="s">
        <v>1113</v>
      </c>
      <c r="U205" s="28"/>
      <c r="V205" s="28"/>
      <c r="W205" s="28"/>
      <c r="X205" s="28"/>
      <c r="Y205" s="27"/>
      <c r="Z205" s="27"/>
      <c r="AA205" s="27"/>
      <c r="AB205" s="27"/>
    </row>
    <row r="206" spans="1:28" ht="42" customHeight="1">
      <c r="A206" s="41"/>
      <c r="B206" s="42"/>
      <c r="C206" s="42"/>
      <c r="D206" s="42"/>
      <c r="E206" s="42"/>
      <c r="F206" s="42"/>
      <c r="G206" s="42"/>
      <c r="H206" s="45"/>
      <c r="I206" s="44"/>
      <c r="J206" s="43"/>
      <c r="K206" s="44"/>
      <c r="L206" s="14">
        <f t="shared" si="9"/>
        <v>0</v>
      </c>
      <c r="M206" s="14">
        <f>IF(OR(L206=0,T206&lt;&gt;"Sim"),0,INDEX(Processos!$X$10:$X$509,O206))</f>
        <v>0</v>
      </c>
      <c r="N206" s="40" t="str">
        <f t="shared" si="10"/>
        <v/>
      </c>
      <c r="O206" s="14">
        <f>IF(AND(A206&lt;&gt;"",ISTEXT(A206),COUNTIFS(Processos!$AS$10:$AS$509,"="&amp;SUBSTITUTE(SUBSTITUTE(SUBSTITUTE("P:"&amp;A206,"~","~~"),"*","~*"),"?","~?"))=1),(IF(ISNA(MATCH(SUBSTITUTE(SUBSTITUTE(SUBSTITUTE("P:"&amp;A206,"~","~~"),"*","~*"),"?","~?"),Processos!$AS$10:$AS$509,0)),9,INDEX(Processos!$AM$10:$AM$509,MATCH(SUBSTITUTE(SUBSTITUTE(SUBSTITUTE("P:"&amp;A206,"~","~~"),"*","~*"),"?","~?"),Processos!$AS$10:$AS$509,0)))-9),0)</f>
        <v>0</v>
      </c>
      <c r="P206" s="14" t="str">
        <f>IF(L206=0,"",INDEX(Processos!$D$10:$D$509,O206))</f>
        <v/>
      </c>
      <c r="Q206" s="14">
        <f>IF(OR(L206=0,T206&lt;&gt;"Sim"),0,INDEX(Processos!$AL$10:$AL$509,O206))</f>
        <v>0</v>
      </c>
      <c r="R206" s="14">
        <f>ROW()</f>
        <v>206</v>
      </c>
      <c r="S206" s="14" t="str">
        <f t="shared" si="11"/>
        <v/>
      </c>
      <c r="T206" s="27" t="s">
        <v>1113</v>
      </c>
      <c r="U206" s="28"/>
      <c r="V206" s="28"/>
      <c r="W206" s="28"/>
      <c r="X206" s="28"/>
      <c r="Y206" s="27"/>
      <c r="Z206" s="27"/>
      <c r="AA206" s="27"/>
      <c r="AB206" s="27"/>
    </row>
    <row r="207" spans="1:28" ht="42" customHeight="1">
      <c r="A207" s="41"/>
      <c r="B207" s="42"/>
      <c r="C207" s="42"/>
      <c r="D207" s="42"/>
      <c r="E207" s="42"/>
      <c r="F207" s="42"/>
      <c r="G207" s="42"/>
      <c r="H207" s="45"/>
      <c r="I207" s="44"/>
      <c r="J207" s="43"/>
      <c r="K207" s="44"/>
      <c r="L207" s="14">
        <f t="shared" si="9"/>
        <v>0</v>
      </c>
      <c r="M207" s="14">
        <f>IF(OR(L207=0,T207&lt;&gt;"Sim"),0,INDEX(Processos!$X$10:$X$509,O207))</f>
        <v>0</v>
      </c>
      <c r="N207" s="40" t="str">
        <f t="shared" si="10"/>
        <v/>
      </c>
      <c r="O207" s="14">
        <f>IF(AND(A207&lt;&gt;"",ISTEXT(A207),COUNTIFS(Processos!$AS$10:$AS$509,"="&amp;SUBSTITUTE(SUBSTITUTE(SUBSTITUTE("P:"&amp;A207,"~","~~"),"*","~*"),"?","~?"))=1),(IF(ISNA(MATCH(SUBSTITUTE(SUBSTITUTE(SUBSTITUTE("P:"&amp;A207,"~","~~"),"*","~*"),"?","~?"),Processos!$AS$10:$AS$509,0)),9,INDEX(Processos!$AM$10:$AM$509,MATCH(SUBSTITUTE(SUBSTITUTE(SUBSTITUTE("P:"&amp;A207,"~","~~"),"*","~*"),"?","~?"),Processos!$AS$10:$AS$509,0)))-9),0)</f>
        <v>0</v>
      </c>
      <c r="P207" s="14" t="str">
        <f>IF(L207=0,"",INDEX(Processos!$D$10:$D$509,O207))</f>
        <v/>
      </c>
      <c r="Q207" s="14">
        <f>IF(OR(L207=0,T207&lt;&gt;"Sim"),0,INDEX(Processos!$AL$10:$AL$509,O207))</f>
        <v>0</v>
      </c>
      <c r="R207" s="14">
        <f>ROW()</f>
        <v>207</v>
      </c>
      <c r="S207" s="14" t="str">
        <f t="shared" si="11"/>
        <v/>
      </c>
      <c r="T207" s="27" t="s">
        <v>1113</v>
      </c>
      <c r="U207" s="28"/>
      <c r="V207" s="28"/>
      <c r="W207" s="28"/>
      <c r="X207" s="28"/>
      <c r="Y207" s="27"/>
      <c r="Z207" s="27"/>
      <c r="AA207" s="27"/>
      <c r="AB207" s="27"/>
    </row>
    <row r="208" spans="1:28" ht="42" customHeight="1">
      <c r="A208" s="41"/>
      <c r="B208" s="42"/>
      <c r="C208" s="42"/>
      <c r="D208" s="42"/>
      <c r="E208" s="42"/>
      <c r="F208" s="42"/>
      <c r="G208" s="42"/>
      <c r="H208" s="45"/>
      <c r="I208" s="44"/>
      <c r="J208" s="43"/>
      <c r="K208" s="44"/>
      <c r="L208" s="14">
        <f t="shared" si="9"/>
        <v>0</v>
      </c>
      <c r="M208" s="14">
        <f>IF(OR(L208=0,T208&lt;&gt;"Sim"),0,INDEX(Processos!$X$10:$X$509,O208))</f>
        <v>0</v>
      </c>
      <c r="N208" s="40" t="str">
        <f t="shared" si="10"/>
        <v/>
      </c>
      <c r="O208" s="14">
        <f>IF(AND(A208&lt;&gt;"",ISTEXT(A208),COUNTIFS(Processos!$AS$10:$AS$509,"="&amp;SUBSTITUTE(SUBSTITUTE(SUBSTITUTE("P:"&amp;A208,"~","~~"),"*","~*"),"?","~?"))=1),(IF(ISNA(MATCH(SUBSTITUTE(SUBSTITUTE(SUBSTITUTE("P:"&amp;A208,"~","~~"),"*","~*"),"?","~?"),Processos!$AS$10:$AS$509,0)),9,INDEX(Processos!$AM$10:$AM$509,MATCH(SUBSTITUTE(SUBSTITUTE(SUBSTITUTE("P:"&amp;A208,"~","~~"),"*","~*"),"?","~?"),Processos!$AS$10:$AS$509,0)))-9),0)</f>
        <v>0</v>
      </c>
      <c r="P208" s="14" t="str">
        <f>IF(L208=0,"",INDEX(Processos!$D$10:$D$509,O208))</f>
        <v/>
      </c>
      <c r="Q208" s="14">
        <f>IF(OR(L208=0,T208&lt;&gt;"Sim"),0,INDEX(Processos!$AL$10:$AL$509,O208))</f>
        <v>0</v>
      </c>
      <c r="R208" s="14">
        <f>ROW()</f>
        <v>208</v>
      </c>
      <c r="S208" s="14" t="str">
        <f t="shared" si="11"/>
        <v/>
      </c>
      <c r="T208" s="27" t="s">
        <v>1113</v>
      </c>
      <c r="U208" s="28"/>
      <c r="V208" s="28"/>
      <c r="W208" s="28"/>
      <c r="X208" s="28"/>
      <c r="Y208" s="27"/>
      <c r="Z208" s="27"/>
      <c r="AA208" s="27"/>
      <c r="AB208" s="27"/>
    </row>
    <row r="209" spans="1:28" ht="42" customHeight="1">
      <c r="A209" s="41"/>
      <c r="B209" s="42"/>
      <c r="C209" s="42"/>
      <c r="D209" s="42"/>
      <c r="E209" s="42"/>
      <c r="F209" s="42"/>
      <c r="G209" s="42"/>
      <c r="H209" s="45"/>
      <c r="I209" s="44"/>
      <c r="J209" s="43"/>
      <c r="K209" s="44"/>
      <c r="L209" s="14">
        <f t="shared" si="9"/>
        <v>0</v>
      </c>
      <c r="M209" s="14">
        <f>IF(OR(L209=0,T209&lt;&gt;"Sim"),0,INDEX(Processos!$X$10:$X$509,O209))</f>
        <v>0</v>
      </c>
      <c r="N209" s="40" t="str">
        <f t="shared" si="10"/>
        <v/>
      </c>
      <c r="O209" s="14">
        <f>IF(AND(A209&lt;&gt;"",ISTEXT(A209),COUNTIFS(Processos!$AS$10:$AS$509,"="&amp;SUBSTITUTE(SUBSTITUTE(SUBSTITUTE("P:"&amp;A209,"~","~~"),"*","~*"),"?","~?"))=1),(IF(ISNA(MATCH(SUBSTITUTE(SUBSTITUTE(SUBSTITUTE("P:"&amp;A209,"~","~~"),"*","~*"),"?","~?"),Processos!$AS$10:$AS$509,0)),9,INDEX(Processos!$AM$10:$AM$509,MATCH(SUBSTITUTE(SUBSTITUTE(SUBSTITUTE("P:"&amp;A209,"~","~~"),"*","~*"),"?","~?"),Processos!$AS$10:$AS$509,0)))-9),0)</f>
        <v>0</v>
      </c>
      <c r="P209" s="14" t="str">
        <f>IF(L209=0,"",INDEX(Processos!$D$10:$D$509,O209))</f>
        <v/>
      </c>
      <c r="Q209" s="14">
        <f>IF(OR(L209=0,T209&lt;&gt;"Sim"),0,INDEX(Processos!$AL$10:$AL$509,O209))</f>
        <v>0</v>
      </c>
      <c r="R209" s="14">
        <f>ROW()</f>
        <v>209</v>
      </c>
      <c r="S209" s="14" t="str">
        <f t="shared" si="11"/>
        <v/>
      </c>
      <c r="T209" s="27" t="s">
        <v>1113</v>
      </c>
      <c r="U209" s="28"/>
      <c r="V209" s="28"/>
      <c r="W209" s="28"/>
      <c r="X209" s="28"/>
      <c r="Y209" s="27"/>
      <c r="Z209" s="27"/>
      <c r="AA209" s="27"/>
      <c r="AB209" s="27"/>
    </row>
    <row r="210" spans="1:28" ht="42" customHeight="1">
      <c r="A210" s="41"/>
      <c r="B210" s="42"/>
      <c r="C210" s="42"/>
      <c r="D210" s="42"/>
      <c r="E210" s="42"/>
      <c r="F210" s="42"/>
      <c r="G210" s="42"/>
      <c r="H210" s="45"/>
      <c r="I210" s="44"/>
      <c r="J210" s="43"/>
      <c r="K210" s="44"/>
      <c r="L210" s="14">
        <f t="shared" si="9"/>
        <v>0</v>
      </c>
      <c r="M210" s="14">
        <f>IF(OR(L210=0,T210&lt;&gt;"Sim"),0,INDEX(Processos!$X$10:$X$509,O210))</f>
        <v>0</v>
      </c>
      <c r="N210" s="40" t="str">
        <f t="shared" si="10"/>
        <v/>
      </c>
      <c r="O210" s="14">
        <f>IF(AND(A210&lt;&gt;"",ISTEXT(A210),COUNTIFS(Processos!$AS$10:$AS$509,"="&amp;SUBSTITUTE(SUBSTITUTE(SUBSTITUTE("P:"&amp;A210,"~","~~"),"*","~*"),"?","~?"))=1),(IF(ISNA(MATCH(SUBSTITUTE(SUBSTITUTE(SUBSTITUTE("P:"&amp;A210,"~","~~"),"*","~*"),"?","~?"),Processos!$AS$10:$AS$509,0)),9,INDEX(Processos!$AM$10:$AM$509,MATCH(SUBSTITUTE(SUBSTITUTE(SUBSTITUTE("P:"&amp;A210,"~","~~"),"*","~*"),"?","~?"),Processos!$AS$10:$AS$509,0)))-9),0)</f>
        <v>0</v>
      </c>
      <c r="P210" s="14" t="str">
        <f>IF(L210=0,"",INDEX(Processos!$D$10:$D$509,O210))</f>
        <v/>
      </c>
      <c r="Q210" s="14">
        <f>IF(OR(L210=0,T210&lt;&gt;"Sim"),0,INDEX(Processos!$AL$10:$AL$509,O210))</f>
        <v>0</v>
      </c>
      <c r="R210" s="14">
        <f>ROW()</f>
        <v>210</v>
      </c>
      <c r="S210" s="14" t="str">
        <f t="shared" si="11"/>
        <v/>
      </c>
      <c r="T210" s="27" t="s">
        <v>1113</v>
      </c>
      <c r="U210" s="28"/>
      <c r="V210" s="28"/>
      <c r="W210" s="28"/>
      <c r="X210" s="28"/>
      <c r="Y210" s="27"/>
      <c r="Z210" s="27"/>
      <c r="AA210" s="27"/>
      <c r="AB210" s="27"/>
    </row>
    <row r="211" spans="1:28" ht="42" customHeight="1">
      <c r="A211" s="41"/>
      <c r="B211" s="42"/>
      <c r="C211" s="42"/>
      <c r="D211" s="42"/>
      <c r="E211" s="42"/>
      <c r="F211" s="42"/>
      <c r="G211" s="42"/>
      <c r="H211" s="45"/>
      <c r="I211" s="44"/>
      <c r="J211" s="43"/>
      <c r="K211" s="44"/>
      <c r="L211" s="14">
        <f t="shared" si="9"/>
        <v>0</v>
      </c>
      <c r="M211" s="14">
        <f>IF(OR(L211=0,T211&lt;&gt;"Sim"),0,INDEX(Processos!$X$10:$X$509,O211))</f>
        <v>0</v>
      </c>
      <c r="N211" s="40" t="str">
        <f t="shared" si="10"/>
        <v/>
      </c>
      <c r="O211" s="14">
        <f>IF(AND(A211&lt;&gt;"",ISTEXT(A211),COUNTIFS(Processos!$AS$10:$AS$509,"="&amp;SUBSTITUTE(SUBSTITUTE(SUBSTITUTE("P:"&amp;A211,"~","~~"),"*","~*"),"?","~?"))=1),(IF(ISNA(MATCH(SUBSTITUTE(SUBSTITUTE(SUBSTITUTE("P:"&amp;A211,"~","~~"),"*","~*"),"?","~?"),Processos!$AS$10:$AS$509,0)),9,INDEX(Processos!$AM$10:$AM$509,MATCH(SUBSTITUTE(SUBSTITUTE(SUBSTITUTE("P:"&amp;A211,"~","~~"),"*","~*"),"?","~?"),Processos!$AS$10:$AS$509,0)))-9),0)</f>
        <v>0</v>
      </c>
      <c r="P211" s="14" t="str">
        <f>IF(L211=0,"",INDEX(Processos!$D$10:$D$509,O211))</f>
        <v/>
      </c>
      <c r="Q211" s="14">
        <f>IF(OR(L211=0,T211&lt;&gt;"Sim"),0,INDEX(Processos!$AL$10:$AL$509,O211))</f>
        <v>0</v>
      </c>
      <c r="R211" s="14">
        <f>ROW()</f>
        <v>211</v>
      </c>
      <c r="S211" s="14" t="str">
        <f t="shared" si="11"/>
        <v/>
      </c>
      <c r="T211" s="27" t="s">
        <v>1113</v>
      </c>
      <c r="U211" s="28"/>
      <c r="V211" s="28"/>
      <c r="W211" s="28"/>
      <c r="X211" s="28"/>
      <c r="Y211" s="27"/>
      <c r="Z211" s="27"/>
      <c r="AA211" s="27"/>
      <c r="AB211" s="27"/>
    </row>
    <row r="212" spans="1:28" ht="42" customHeight="1">
      <c r="A212" s="41"/>
      <c r="B212" s="42"/>
      <c r="C212" s="42"/>
      <c r="D212" s="42"/>
      <c r="E212" s="42"/>
      <c r="F212" s="42"/>
      <c r="G212" s="42"/>
      <c r="H212" s="45"/>
      <c r="I212" s="44"/>
      <c r="J212" s="43"/>
      <c r="K212" s="44"/>
      <c r="L212" s="14">
        <f t="shared" si="9"/>
        <v>0</v>
      </c>
      <c r="M212" s="14">
        <f>IF(OR(L212=0,T212&lt;&gt;"Sim"),0,INDEX(Processos!$X$10:$X$509,O212))</f>
        <v>0</v>
      </c>
      <c r="N212" s="40" t="str">
        <f t="shared" si="10"/>
        <v/>
      </c>
      <c r="O212" s="14">
        <f>IF(AND(A212&lt;&gt;"",ISTEXT(A212),COUNTIFS(Processos!$AS$10:$AS$509,"="&amp;SUBSTITUTE(SUBSTITUTE(SUBSTITUTE("P:"&amp;A212,"~","~~"),"*","~*"),"?","~?"))=1),(IF(ISNA(MATCH(SUBSTITUTE(SUBSTITUTE(SUBSTITUTE("P:"&amp;A212,"~","~~"),"*","~*"),"?","~?"),Processos!$AS$10:$AS$509,0)),9,INDEX(Processos!$AM$10:$AM$509,MATCH(SUBSTITUTE(SUBSTITUTE(SUBSTITUTE("P:"&amp;A212,"~","~~"),"*","~*"),"?","~?"),Processos!$AS$10:$AS$509,0)))-9),0)</f>
        <v>0</v>
      </c>
      <c r="P212" s="14" t="str">
        <f>IF(L212=0,"",INDEX(Processos!$D$10:$D$509,O212))</f>
        <v/>
      </c>
      <c r="Q212" s="14">
        <f>IF(OR(L212=0,T212&lt;&gt;"Sim"),0,INDEX(Processos!$AL$10:$AL$509,O212))</f>
        <v>0</v>
      </c>
      <c r="R212" s="14">
        <f>ROW()</f>
        <v>212</v>
      </c>
      <c r="S212" s="14" t="str">
        <f t="shared" si="11"/>
        <v/>
      </c>
      <c r="T212" s="27" t="s">
        <v>1113</v>
      </c>
      <c r="U212" s="28"/>
      <c r="V212" s="28"/>
      <c r="W212" s="28"/>
      <c r="X212" s="28"/>
      <c r="Y212" s="27"/>
      <c r="Z212" s="27"/>
      <c r="AA212" s="27"/>
      <c r="AB212" s="27"/>
    </row>
    <row r="213" spans="1:28" ht="42" customHeight="1">
      <c r="A213" s="41"/>
      <c r="B213" s="42"/>
      <c r="C213" s="42"/>
      <c r="D213" s="42"/>
      <c r="E213" s="42"/>
      <c r="F213" s="42"/>
      <c r="G213" s="42"/>
      <c r="H213" s="45"/>
      <c r="I213" s="44"/>
      <c r="J213" s="43"/>
      <c r="K213" s="44"/>
      <c r="L213" s="14">
        <f t="shared" si="9"/>
        <v>0</v>
      </c>
      <c r="M213" s="14">
        <f>IF(OR(L213=0,T213&lt;&gt;"Sim"),0,INDEX(Processos!$X$10:$X$509,O213))</f>
        <v>0</v>
      </c>
      <c r="N213" s="40" t="str">
        <f t="shared" si="10"/>
        <v/>
      </c>
      <c r="O213" s="14">
        <f>IF(AND(A213&lt;&gt;"",ISTEXT(A213),COUNTIFS(Processos!$AS$10:$AS$509,"="&amp;SUBSTITUTE(SUBSTITUTE(SUBSTITUTE("P:"&amp;A213,"~","~~"),"*","~*"),"?","~?"))=1),(IF(ISNA(MATCH(SUBSTITUTE(SUBSTITUTE(SUBSTITUTE("P:"&amp;A213,"~","~~"),"*","~*"),"?","~?"),Processos!$AS$10:$AS$509,0)),9,INDEX(Processos!$AM$10:$AM$509,MATCH(SUBSTITUTE(SUBSTITUTE(SUBSTITUTE("P:"&amp;A213,"~","~~"),"*","~*"),"?","~?"),Processos!$AS$10:$AS$509,0)))-9),0)</f>
        <v>0</v>
      </c>
      <c r="P213" s="14" t="str">
        <f>IF(L213=0,"",INDEX(Processos!$D$10:$D$509,O213))</f>
        <v/>
      </c>
      <c r="Q213" s="14">
        <f>IF(OR(L213=0,T213&lt;&gt;"Sim"),0,INDEX(Processos!$AL$10:$AL$509,O213))</f>
        <v>0</v>
      </c>
      <c r="R213" s="14">
        <f>ROW()</f>
        <v>213</v>
      </c>
      <c r="S213" s="14" t="str">
        <f t="shared" si="11"/>
        <v/>
      </c>
      <c r="T213" s="27" t="s">
        <v>1113</v>
      </c>
      <c r="U213" s="28"/>
      <c r="V213" s="28"/>
      <c r="W213" s="28"/>
      <c r="X213" s="28"/>
      <c r="Y213" s="27"/>
      <c r="Z213" s="27"/>
      <c r="AA213" s="27"/>
      <c r="AB213" s="27"/>
    </row>
    <row r="214" spans="1:28" ht="42" customHeight="1">
      <c r="A214" s="41"/>
      <c r="B214" s="42"/>
      <c r="C214" s="42"/>
      <c r="D214" s="42"/>
      <c r="E214" s="42"/>
      <c r="F214" s="42"/>
      <c r="G214" s="42"/>
      <c r="H214" s="45"/>
      <c r="I214" s="44"/>
      <c r="J214" s="43"/>
      <c r="K214" s="44"/>
      <c r="L214" s="14">
        <f t="shared" si="9"/>
        <v>0</v>
      </c>
      <c r="M214" s="14">
        <f>IF(OR(L214=0,T214&lt;&gt;"Sim"),0,INDEX(Processos!$X$10:$X$509,O214))</f>
        <v>0</v>
      </c>
      <c r="N214" s="40" t="str">
        <f t="shared" si="10"/>
        <v/>
      </c>
      <c r="O214" s="14">
        <f>IF(AND(A214&lt;&gt;"",ISTEXT(A214),COUNTIFS(Processos!$AS$10:$AS$509,"="&amp;SUBSTITUTE(SUBSTITUTE(SUBSTITUTE("P:"&amp;A214,"~","~~"),"*","~*"),"?","~?"))=1),(IF(ISNA(MATCH(SUBSTITUTE(SUBSTITUTE(SUBSTITUTE("P:"&amp;A214,"~","~~"),"*","~*"),"?","~?"),Processos!$AS$10:$AS$509,0)),9,INDEX(Processos!$AM$10:$AM$509,MATCH(SUBSTITUTE(SUBSTITUTE(SUBSTITUTE("P:"&amp;A214,"~","~~"),"*","~*"),"?","~?"),Processos!$AS$10:$AS$509,0)))-9),0)</f>
        <v>0</v>
      </c>
      <c r="P214" s="14" t="str">
        <f>IF(L214=0,"",INDEX(Processos!$D$10:$D$509,O214))</f>
        <v/>
      </c>
      <c r="Q214" s="14">
        <f>IF(OR(L214=0,T214&lt;&gt;"Sim"),0,INDEX(Processos!$AL$10:$AL$509,O214))</f>
        <v>0</v>
      </c>
      <c r="R214" s="14">
        <f>ROW()</f>
        <v>214</v>
      </c>
      <c r="S214" s="14" t="str">
        <f t="shared" si="11"/>
        <v/>
      </c>
      <c r="T214" s="27" t="s">
        <v>1113</v>
      </c>
      <c r="U214" s="28"/>
      <c r="V214" s="28"/>
      <c r="W214" s="28"/>
      <c r="X214" s="28"/>
      <c r="Y214" s="27"/>
      <c r="Z214" s="27"/>
      <c r="AA214" s="27"/>
      <c r="AB214" s="27"/>
    </row>
    <row r="215" spans="1:28" ht="42" customHeight="1">
      <c r="A215" s="41"/>
      <c r="B215" s="42"/>
      <c r="C215" s="42"/>
      <c r="D215" s="42"/>
      <c r="E215" s="42"/>
      <c r="F215" s="42"/>
      <c r="G215" s="42"/>
      <c r="H215" s="45"/>
      <c r="I215" s="44"/>
      <c r="J215" s="43"/>
      <c r="K215" s="44"/>
      <c r="L215" s="14">
        <f t="shared" si="9"/>
        <v>0</v>
      </c>
      <c r="M215" s="14">
        <f>IF(OR(L215=0,T215&lt;&gt;"Sim"),0,INDEX(Processos!$X$10:$X$509,O215))</f>
        <v>0</v>
      </c>
      <c r="N215" s="40" t="str">
        <f t="shared" si="10"/>
        <v/>
      </c>
      <c r="O215" s="14">
        <f>IF(AND(A215&lt;&gt;"",ISTEXT(A215),COUNTIFS(Processos!$AS$10:$AS$509,"="&amp;SUBSTITUTE(SUBSTITUTE(SUBSTITUTE("P:"&amp;A215,"~","~~"),"*","~*"),"?","~?"))=1),(IF(ISNA(MATCH(SUBSTITUTE(SUBSTITUTE(SUBSTITUTE("P:"&amp;A215,"~","~~"),"*","~*"),"?","~?"),Processos!$AS$10:$AS$509,0)),9,INDEX(Processos!$AM$10:$AM$509,MATCH(SUBSTITUTE(SUBSTITUTE(SUBSTITUTE("P:"&amp;A215,"~","~~"),"*","~*"),"?","~?"),Processos!$AS$10:$AS$509,0)))-9),0)</f>
        <v>0</v>
      </c>
      <c r="P215" s="14" t="str">
        <f>IF(L215=0,"",INDEX(Processos!$D$10:$D$509,O215))</f>
        <v/>
      </c>
      <c r="Q215" s="14">
        <f>IF(OR(L215=0,T215&lt;&gt;"Sim"),0,INDEX(Processos!$AL$10:$AL$509,O215))</f>
        <v>0</v>
      </c>
      <c r="R215" s="14">
        <f>ROW()</f>
        <v>215</v>
      </c>
      <c r="S215" s="14" t="str">
        <f t="shared" si="11"/>
        <v/>
      </c>
      <c r="T215" s="27" t="s">
        <v>1113</v>
      </c>
      <c r="U215" s="28"/>
      <c r="V215" s="28"/>
      <c r="W215" s="28"/>
      <c r="X215" s="28"/>
      <c r="Y215" s="27"/>
      <c r="Z215" s="27"/>
      <c r="AA215" s="27"/>
      <c r="AB215" s="27"/>
    </row>
    <row r="216" spans="1:28" ht="42" customHeight="1">
      <c r="A216" s="41"/>
      <c r="B216" s="42"/>
      <c r="C216" s="42"/>
      <c r="D216" s="42"/>
      <c r="E216" s="42"/>
      <c r="F216" s="42"/>
      <c r="G216" s="42"/>
      <c r="H216" s="45"/>
      <c r="I216" s="44"/>
      <c r="J216" s="43"/>
      <c r="K216" s="44"/>
      <c r="L216" s="14">
        <f t="shared" si="9"/>
        <v>0</v>
      </c>
      <c r="M216" s="14">
        <f>IF(OR(L216=0,T216&lt;&gt;"Sim"),0,INDEX(Processos!$X$10:$X$509,O216))</f>
        <v>0</v>
      </c>
      <c r="N216" s="40" t="str">
        <f t="shared" si="10"/>
        <v/>
      </c>
      <c r="O216" s="14">
        <f>IF(AND(A216&lt;&gt;"",ISTEXT(A216),COUNTIFS(Processos!$AS$10:$AS$509,"="&amp;SUBSTITUTE(SUBSTITUTE(SUBSTITUTE("P:"&amp;A216,"~","~~"),"*","~*"),"?","~?"))=1),(IF(ISNA(MATCH(SUBSTITUTE(SUBSTITUTE(SUBSTITUTE("P:"&amp;A216,"~","~~"),"*","~*"),"?","~?"),Processos!$AS$10:$AS$509,0)),9,INDEX(Processos!$AM$10:$AM$509,MATCH(SUBSTITUTE(SUBSTITUTE(SUBSTITUTE("P:"&amp;A216,"~","~~"),"*","~*"),"?","~?"),Processos!$AS$10:$AS$509,0)))-9),0)</f>
        <v>0</v>
      </c>
      <c r="P216" s="14" t="str">
        <f>IF(L216=0,"",INDEX(Processos!$D$10:$D$509,O216))</f>
        <v/>
      </c>
      <c r="Q216" s="14">
        <f>IF(OR(L216=0,T216&lt;&gt;"Sim"),0,INDEX(Processos!$AL$10:$AL$509,O216))</f>
        <v>0</v>
      </c>
      <c r="R216" s="14">
        <f>ROW()</f>
        <v>216</v>
      </c>
      <c r="S216" s="14" t="str">
        <f t="shared" si="11"/>
        <v/>
      </c>
      <c r="T216" s="27" t="s">
        <v>1113</v>
      </c>
      <c r="U216" s="28"/>
      <c r="V216" s="28"/>
      <c r="W216" s="28"/>
      <c r="X216" s="28"/>
      <c r="Y216" s="27"/>
      <c r="Z216" s="27"/>
      <c r="AA216" s="27"/>
      <c r="AB216" s="27"/>
    </row>
    <row r="217" spans="1:28" ht="42" customHeight="1">
      <c r="A217" s="41"/>
      <c r="B217" s="42"/>
      <c r="C217" s="42"/>
      <c r="D217" s="42"/>
      <c r="E217" s="42"/>
      <c r="F217" s="42"/>
      <c r="G217" s="42"/>
      <c r="H217" s="45"/>
      <c r="I217" s="44"/>
      <c r="J217" s="43"/>
      <c r="K217" s="44"/>
      <c r="L217" s="14">
        <f t="shared" si="9"/>
        <v>0</v>
      </c>
      <c r="M217" s="14">
        <f>IF(OR(L217=0,T217&lt;&gt;"Sim"),0,INDEX(Processos!$X$10:$X$509,O217))</f>
        <v>0</v>
      </c>
      <c r="N217" s="40" t="str">
        <f t="shared" si="10"/>
        <v/>
      </c>
      <c r="O217" s="14">
        <f>IF(AND(A217&lt;&gt;"",ISTEXT(A217),COUNTIFS(Processos!$AS$10:$AS$509,"="&amp;SUBSTITUTE(SUBSTITUTE(SUBSTITUTE("P:"&amp;A217,"~","~~"),"*","~*"),"?","~?"))=1),(IF(ISNA(MATCH(SUBSTITUTE(SUBSTITUTE(SUBSTITUTE("P:"&amp;A217,"~","~~"),"*","~*"),"?","~?"),Processos!$AS$10:$AS$509,0)),9,INDEX(Processos!$AM$10:$AM$509,MATCH(SUBSTITUTE(SUBSTITUTE(SUBSTITUTE("P:"&amp;A217,"~","~~"),"*","~*"),"?","~?"),Processos!$AS$10:$AS$509,0)))-9),0)</f>
        <v>0</v>
      </c>
      <c r="P217" s="14" t="str">
        <f>IF(L217=0,"",INDEX(Processos!$D$10:$D$509,O217))</f>
        <v/>
      </c>
      <c r="Q217" s="14">
        <f>IF(OR(L217=0,T217&lt;&gt;"Sim"),0,INDEX(Processos!$AL$10:$AL$509,O217))</f>
        <v>0</v>
      </c>
      <c r="R217" s="14">
        <f>ROW()</f>
        <v>217</v>
      </c>
      <c r="S217" s="14" t="str">
        <f t="shared" si="11"/>
        <v/>
      </c>
      <c r="T217" s="27" t="s">
        <v>1113</v>
      </c>
      <c r="U217" s="28"/>
      <c r="V217" s="28"/>
      <c r="W217" s="28"/>
      <c r="X217" s="28"/>
      <c r="Y217" s="27"/>
      <c r="Z217" s="27"/>
      <c r="AA217" s="27"/>
      <c r="AB217" s="27"/>
    </row>
    <row r="218" spans="1:28" ht="42" customHeight="1">
      <c r="A218" s="41"/>
      <c r="B218" s="42"/>
      <c r="C218" s="42"/>
      <c r="D218" s="42"/>
      <c r="E218" s="42"/>
      <c r="F218" s="42"/>
      <c r="G218" s="42"/>
      <c r="H218" s="45"/>
      <c r="I218" s="44"/>
      <c r="J218" s="43"/>
      <c r="K218" s="44"/>
      <c r="L218" s="14">
        <f t="shared" si="9"/>
        <v>0</v>
      </c>
      <c r="M218" s="14">
        <f>IF(OR(L218=0,T218&lt;&gt;"Sim"),0,INDEX(Processos!$X$10:$X$509,O218))</f>
        <v>0</v>
      </c>
      <c r="N218" s="40" t="str">
        <f t="shared" si="10"/>
        <v/>
      </c>
      <c r="O218" s="14">
        <f>IF(AND(A218&lt;&gt;"",ISTEXT(A218),COUNTIFS(Processos!$AS$10:$AS$509,"="&amp;SUBSTITUTE(SUBSTITUTE(SUBSTITUTE("P:"&amp;A218,"~","~~"),"*","~*"),"?","~?"))=1),(IF(ISNA(MATCH(SUBSTITUTE(SUBSTITUTE(SUBSTITUTE("P:"&amp;A218,"~","~~"),"*","~*"),"?","~?"),Processos!$AS$10:$AS$509,0)),9,INDEX(Processos!$AM$10:$AM$509,MATCH(SUBSTITUTE(SUBSTITUTE(SUBSTITUTE("P:"&amp;A218,"~","~~"),"*","~*"),"?","~?"),Processos!$AS$10:$AS$509,0)))-9),0)</f>
        <v>0</v>
      </c>
      <c r="P218" s="14" t="str">
        <f>IF(L218=0,"",INDEX(Processos!$D$10:$D$509,O218))</f>
        <v/>
      </c>
      <c r="Q218" s="14">
        <f>IF(OR(L218=0,T218&lt;&gt;"Sim"),0,INDEX(Processos!$AL$10:$AL$509,O218))</f>
        <v>0</v>
      </c>
      <c r="R218" s="14">
        <f>ROW()</f>
        <v>218</v>
      </c>
      <c r="S218" s="14" t="str">
        <f t="shared" si="11"/>
        <v/>
      </c>
      <c r="T218" s="27" t="s">
        <v>1113</v>
      </c>
      <c r="U218" s="28"/>
      <c r="V218" s="28"/>
      <c r="W218" s="28"/>
      <c r="X218" s="28"/>
      <c r="Y218" s="27"/>
      <c r="Z218" s="27"/>
      <c r="AA218" s="27"/>
      <c r="AB218" s="27"/>
    </row>
    <row r="219" spans="1:28" ht="42" customHeight="1">
      <c r="A219" s="41"/>
      <c r="B219" s="42"/>
      <c r="C219" s="42"/>
      <c r="D219" s="42"/>
      <c r="E219" s="42"/>
      <c r="F219" s="42"/>
      <c r="G219" s="42"/>
      <c r="H219" s="45"/>
      <c r="I219" s="44"/>
      <c r="J219" s="43"/>
      <c r="K219" s="44"/>
      <c r="L219" s="14">
        <f t="shared" si="9"/>
        <v>0</v>
      </c>
      <c r="M219" s="14">
        <f>IF(OR(L219=0,T219&lt;&gt;"Sim"),0,INDEX(Processos!$X$10:$X$509,O219))</f>
        <v>0</v>
      </c>
      <c r="N219" s="40" t="str">
        <f t="shared" si="10"/>
        <v/>
      </c>
      <c r="O219" s="14">
        <f>IF(AND(A219&lt;&gt;"",ISTEXT(A219),COUNTIFS(Processos!$AS$10:$AS$509,"="&amp;SUBSTITUTE(SUBSTITUTE(SUBSTITUTE("P:"&amp;A219,"~","~~"),"*","~*"),"?","~?"))=1),(IF(ISNA(MATCH(SUBSTITUTE(SUBSTITUTE(SUBSTITUTE("P:"&amp;A219,"~","~~"),"*","~*"),"?","~?"),Processos!$AS$10:$AS$509,0)),9,INDEX(Processos!$AM$10:$AM$509,MATCH(SUBSTITUTE(SUBSTITUTE(SUBSTITUTE("P:"&amp;A219,"~","~~"),"*","~*"),"?","~?"),Processos!$AS$10:$AS$509,0)))-9),0)</f>
        <v>0</v>
      </c>
      <c r="P219" s="14" t="str">
        <f>IF(L219=0,"",INDEX(Processos!$D$10:$D$509,O219))</f>
        <v/>
      </c>
      <c r="Q219" s="14">
        <f>IF(OR(L219=0,T219&lt;&gt;"Sim"),0,INDEX(Processos!$AL$10:$AL$509,O219))</f>
        <v>0</v>
      </c>
      <c r="R219" s="14">
        <f>ROW()</f>
        <v>219</v>
      </c>
      <c r="S219" s="14" t="str">
        <f t="shared" si="11"/>
        <v/>
      </c>
      <c r="T219" s="27" t="s">
        <v>1113</v>
      </c>
      <c r="U219" s="28"/>
      <c r="V219" s="28"/>
      <c r="W219" s="28"/>
      <c r="X219" s="28"/>
      <c r="Y219" s="27"/>
      <c r="Z219" s="27"/>
      <c r="AA219" s="27"/>
      <c r="AB219" s="27"/>
    </row>
    <row r="220" spans="1:28" ht="42" customHeight="1">
      <c r="A220" s="41"/>
      <c r="B220" s="42"/>
      <c r="C220" s="42"/>
      <c r="D220" s="42"/>
      <c r="E220" s="42"/>
      <c r="F220" s="42"/>
      <c r="G220" s="42"/>
      <c r="H220" s="45"/>
      <c r="I220" s="44"/>
      <c r="J220" s="43"/>
      <c r="K220" s="44"/>
      <c r="L220" s="14">
        <f t="shared" si="9"/>
        <v>0</v>
      </c>
      <c r="M220" s="14">
        <f>IF(OR(L220=0,T220&lt;&gt;"Sim"),0,INDEX(Processos!$X$10:$X$509,O220))</f>
        <v>0</v>
      </c>
      <c r="N220" s="40" t="str">
        <f t="shared" si="10"/>
        <v/>
      </c>
      <c r="O220" s="14">
        <f>IF(AND(A220&lt;&gt;"",ISTEXT(A220),COUNTIFS(Processos!$AS$10:$AS$509,"="&amp;SUBSTITUTE(SUBSTITUTE(SUBSTITUTE("P:"&amp;A220,"~","~~"),"*","~*"),"?","~?"))=1),(IF(ISNA(MATCH(SUBSTITUTE(SUBSTITUTE(SUBSTITUTE("P:"&amp;A220,"~","~~"),"*","~*"),"?","~?"),Processos!$AS$10:$AS$509,0)),9,INDEX(Processos!$AM$10:$AM$509,MATCH(SUBSTITUTE(SUBSTITUTE(SUBSTITUTE("P:"&amp;A220,"~","~~"),"*","~*"),"?","~?"),Processos!$AS$10:$AS$509,0)))-9),0)</f>
        <v>0</v>
      </c>
      <c r="P220" s="14" t="str">
        <f>IF(L220=0,"",INDEX(Processos!$D$10:$D$509,O220))</f>
        <v/>
      </c>
      <c r="Q220" s="14">
        <f>IF(OR(L220=0,T220&lt;&gt;"Sim"),0,INDEX(Processos!$AL$10:$AL$509,O220))</f>
        <v>0</v>
      </c>
      <c r="R220" s="14">
        <f>ROW()</f>
        <v>220</v>
      </c>
      <c r="S220" s="14" t="str">
        <f t="shared" si="11"/>
        <v/>
      </c>
      <c r="T220" s="27" t="s">
        <v>1113</v>
      </c>
      <c r="U220" s="28"/>
      <c r="V220" s="28"/>
      <c r="W220" s="28"/>
      <c r="X220" s="28"/>
      <c r="Y220" s="27"/>
      <c r="Z220" s="27"/>
      <c r="AA220" s="27"/>
      <c r="AB220" s="27"/>
    </row>
    <row r="221" spans="1:28" ht="42" customHeight="1">
      <c r="A221" s="41"/>
      <c r="B221" s="42"/>
      <c r="C221" s="42"/>
      <c r="D221" s="42"/>
      <c r="E221" s="42"/>
      <c r="F221" s="42"/>
      <c r="G221" s="42"/>
      <c r="H221" s="45"/>
      <c r="I221" s="44"/>
      <c r="J221" s="43"/>
      <c r="K221" s="44"/>
      <c r="L221" s="14">
        <f t="shared" si="9"/>
        <v>0</v>
      </c>
      <c r="M221" s="14">
        <f>IF(OR(L221=0,T221&lt;&gt;"Sim"),0,INDEX(Processos!$X$10:$X$509,O221))</f>
        <v>0</v>
      </c>
      <c r="N221" s="40" t="str">
        <f t="shared" si="10"/>
        <v/>
      </c>
      <c r="O221" s="14">
        <f>IF(AND(A221&lt;&gt;"",ISTEXT(A221),COUNTIFS(Processos!$AS$10:$AS$509,"="&amp;SUBSTITUTE(SUBSTITUTE(SUBSTITUTE("P:"&amp;A221,"~","~~"),"*","~*"),"?","~?"))=1),(IF(ISNA(MATCH(SUBSTITUTE(SUBSTITUTE(SUBSTITUTE("P:"&amp;A221,"~","~~"),"*","~*"),"?","~?"),Processos!$AS$10:$AS$509,0)),9,INDEX(Processos!$AM$10:$AM$509,MATCH(SUBSTITUTE(SUBSTITUTE(SUBSTITUTE("P:"&amp;A221,"~","~~"),"*","~*"),"?","~?"),Processos!$AS$10:$AS$509,0)))-9),0)</f>
        <v>0</v>
      </c>
      <c r="P221" s="14" t="str">
        <f>IF(L221=0,"",INDEX(Processos!$D$10:$D$509,O221))</f>
        <v/>
      </c>
      <c r="Q221" s="14">
        <f>IF(OR(L221=0,T221&lt;&gt;"Sim"),0,INDEX(Processos!$AL$10:$AL$509,O221))</f>
        <v>0</v>
      </c>
      <c r="R221" s="14">
        <f>ROW()</f>
        <v>221</v>
      </c>
      <c r="S221" s="14" t="str">
        <f t="shared" si="11"/>
        <v/>
      </c>
      <c r="T221" s="27" t="s">
        <v>1113</v>
      </c>
      <c r="U221" s="28"/>
      <c r="V221" s="28"/>
      <c r="W221" s="28"/>
      <c r="X221" s="28"/>
      <c r="Y221" s="27"/>
      <c r="Z221" s="27"/>
      <c r="AA221" s="27"/>
      <c r="AB221" s="27"/>
    </row>
    <row r="222" spans="1:28" ht="42" customHeight="1">
      <c r="A222" s="41"/>
      <c r="B222" s="42"/>
      <c r="C222" s="42"/>
      <c r="D222" s="42"/>
      <c r="E222" s="42"/>
      <c r="F222" s="42"/>
      <c r="G222" s="42"/>
      <c r="H222" s="45"/>
      <c r="I222" s="44"/>
      <c r="J222" s="43"/>
      <c r="K222" s="44"/>
      <c r="L222" s="14">
        <f t="shared" si="9"/>
        <v>0</v>
      </c>
      <c r="M222" s="14">
        <f>IF(OR(L222=0,T222&lt;&gt;"Sim"),0,INDEX(Processos!$X$10:$X$509,O222))</f>
        <v>0</v>
      </c>
      <c r="N222" s="40" t="str">
        <f t="shared" si="10"/>
        <v/>
      </c>
      <c r="O222" s="14">
        <f>IF(AND(A222&lt;&gt;"",ISTEXT(A222),COUNTIFS(Processos!$AS$10:$AS$509,"="&amp;SUBSTITUTE(SUBSTITUTE(SUBSTITUTE("P:"&amp;A222,"~","~~"),"*","~*"),"?","~?"))=1),(IF(ISNA(MATCH(SUBSTITUTE(SUBSTITUTE(SUBSTITUTE("P:"&amp;A222,"~","~~"),"*","~*"),"?","~?"),Processos!$AS$10:$AS$509,0)),9,INDEX(Processos!$AM$10:$AM$509,MATCH(SUBSTITUTE(SUBSTITUTE(SUBSTITUTE("P:"&amp;A222,"~","~~"),"*","~*"),"?","~?"),Processos!$AS$10:$AS$509,0)))-9),0)</f>
        <v>0</v>
      </c>
      <c r="P222" s="14" t="str">
        <f>IF(L222=0,"",INDEX(Processos!$D$10:$D$509,O222))</f>
        <v/>
      </c>
      <c r="Q222" s="14">
        <f>IF(OR(L222=0,T222&lt;&gt;"Sim"),0,INDEX(Processos!$AL$10:$AL$509,O222))</f>
        <v>0</v>
      </c>
      <c r="R222" s="14">
        <f>ROW()</f>
        <v>222</v>
      </c>
      <c r="S222" s="14" t="str">
        <f t="shared" si="11"/>
        <v/>
      </c>
      <c r="T222" s="27" t="s">
        <v>1113</v>
      </c>
      <c r="U222" s="28"/>
      <c r="V222" s="28"/>
      <c r="W222" s="28"/>
      <c r="X222" s="28"/>
      <c r="Y222" s="27"/>
      <c r="Z222" s="27"/>
      <c r="AA222" s="27"/>
      <c r="AB222" s="27"/>
    </row>
    <row r="223" spans="1:28" ht="42" customHeight="1">
      <c r="A223" s="41"/>
      <c r="B223" s="42"/>
      <c r="C223" s="42"/>
      <c r="D223" s="42"/>
      <c r="E223" s="42"/>
      <c r="F223" s="42"/>
      <c r="G223" s="42"/>
      <c r="H223" s="45"/>
      <c r="I223" s="44"/>
      <c r="J223" s="43"/>
      <c r="K223" s="44"/>
      <c r="L223" s="14">
        <f t="shared" si="9"/>
        <v>0</v>
      </c>
      <c r="M223" s="14">
        <f>IF(OR(L223=0,T223&lt;&gt;"Sim"),0,INDEX(Processos!$X$10:$X$509,O223))</f>
        <v>0</v>
      </c>
      <c r="N223" s="40" t="str">
        <f t="shared" si="10"/>
        <v/>
      </c>
      <c r="O223" s="14">
        <f>IF(AND(A223&lt;&gt;"",ISTEXT(A223),COUNTIFS(Processos!$AS$10:$AS$509,"="&amp;SUBSTITUTE(SUBSTITUTE(SUBSTITUTE("P:"&amp;A223,"~","~~"),"*","~*"),"?","~?"))=1),(IF(ISNA(MATCH(SUBSTITUTE(SUBSTITUTE(SUBSTITUTE("P:"&amp;A223,"~","~~"),"*","~*"),"?","~?"),Processos!$AS$10:$AS$509,0)),9,INDEX(Processos!$AM$10:$AM$509,MATCH(SUBSTITUTE(SUBSTITUTE(SUBSTITUTE("P:"&amp;A223,"~","~~"),"*","~*"),"?","~?"),Processos!$AS$10:$AS$509,0)))-9),0)</f>
        <v>0</v>
      </c>
      <c r="P223" s="14" t="str">
        <f>IF(L223=0,"",INDEX(Processos!$D$10:$D$509,O223))</f>
        <v/>
      </c>
      <c r="Q223" s="14">
        <f>IF(OR(L223=0,T223&lt;&gt;"Sim"),0,INDEX(Processos!$AL$10:$AL$509,O223))</f>
        <v>0</v>
      </c>
      <c r="R223" s="14">
        <f>ROW()</f>
        <v>223</v>
      </c>
      <c r="S223" s="14" t="str">
        <f t="shared" si="11"/>
        <v/>
      </c>
      <c r="T223" s="27" t="s">
        <v>1113</v>
      </c>
      <c r="U223" s="28"/>
      <c r="V223" s="28"/>
      <c r="W223" s="28"/>
      <c r="X223" s="28"/>
      <c r="Y223" s="27"/>
      <c r="Z223" s="27"/>
      <c r="AA223" s="27"/>
      <c r="AB223" s="27"/>
    </row>
    <row r="224" spans="1:28" ht="42" customHeight="1">
      <c r="A224" s="41"/>
      <c r="B224" s="42"/>
      <c r="C224" s="42"/>
      <c r="D224" s="42"/>
      <c r="E224" s="42"/>
      <c r="F224" s="42"/>
      <c r="G224" s="42"/>
      <c r="H224" s="45"/>
      <c r="I224" s="44"/>
      <c r="J224" s="43"/>
      <c r="K224" s="44"/>
      <c r="L224" s="14">
        <f t="shared" si="9"/>
        <v>0</v>
      </c>
      <c r="M224" s="14">
        <f>IF(OR(L224=0,T224&lt;&gt;"Sim"),0,INDEX(Processos!$X$10:$X$509,O224))</f>
        <v>0</v>
      </c>
      <c r="N224" s="40" t="str">
        <f t="shared" si="10"/>
        <v/>
      </c>
      <c r="O224" s="14">
        <f>IF(AND(A224&lt;&gt;"",ISTEXT(A224),COUNTIFS(Processos!$AS$10:$AS$509,"="&amp;SUBSTITUTE(SUBSTITUTE(SUBSTITUTE("P:"&amp;A224,"~","~~"),"*","~*"),"?","~?"))=1),(IF(ISNA(MATCH(SUBSTITUTE(SUBSTITUTE(SUBSTITUTE("P:"&amp;A224,"~","~~"),"*","~*"),"?","~?"),Processos!$AS$10:$AS$509,0)),9,INDEX(Processos!$AM$10:$AM$509,MATCH(SUBSTITUTE(SUBSTITUTE(SUBSTITUTE("P:"&amp;A224,"~","~~"),"*","~*"),"?","~?"),Processos!$AS$10:$AS$509,0)))-9),0)</f>
        <v>0</v>
      </c>
      <c r="P224" s="14" t="str">
        <f>IF(L224=0,"",INDEX(Processos!$D$10:$D$509,O224))</f>
        <v/>
      </c>
      <c r="Q224" s="14">
        <f>IF(OR(L224=0,T224&lt;&gt;"Sim"),0,INDEX(Processos!$AL$10:$AL$509,O224))</f>
        <v>0</v>
      </c>
      <c r="R224" s="14">
        <f>ROW()</f>
        <v>224</v>
      </c>
      <c r="S224" s="14" t="str">
        <f t="shared" si="11"/>
        <v/>
      </c>
      <c r="T224" s="27" t="s">
        <v>1113</v>
      </c>
      <c r="U224" s="28"/>
      <c r="V224" s="28"/>
      <c r="W224" s="28"/>
      <c r="X224" s="28"/>
      <c r="Y224" s="27"/>
      <c r="Z224" s="27"/>
      <c r="AA224" s="27"/>
      <c r="AB224" s="27"/>
    </row>
    <row r="225" spans="1:28" ht="42" customHeight="1">
      <c r="A225" s="41"/>
      <c r="B225" s="42"/>
      <c r="C225" s="42"/>
      <c r="D225" s="42"/>
      <c r="E225" s="42"/>
      <c r="F225" s="42"/>
      <c r="G225" s="42"/>
      <c r="H225" s="45"/>
      <c r="I225" s="44"/>
      <c r="J225" s="43"/>
      <c r="K225" s="44"/>
      <c r="L225" s="14">
        <f t="shared" si="9"/>
        <v>0</v>
      </c>
      <c r="M225" s="14">
        <f>IF(OR(L225=0,T225&lt;&gt;"Sim"),0,INDEX(Processos!$X$10:$X$509,O225))</f>
        <v>0</v>
      </c>
      <c r="N225" s="40" t="str">
        <f t="shared" si="10"/>
        <v/>
      </c>
      <c r="O225" s="14">
        <f>IF(AND(A225&lt;&gt;"",ISTEXT(A225),COUNTIFS(Processos!$AS$10:$AS$509,"="&amp;SUBSTITUTE(SUBSTITUTE(SUBSTITUTE("P:"&amp;A225,"~","~~"),"*","~*"),"?","~?"))=1),(IF(ISNA(MATCH(SUBSTITUTE(SUBSTITUTE(SUBSTITUTE("P:"&amp;A225,"~","~~"),"*","~*"),"?","~?"),Processos!$AS$10:$AS$509,0)),9,INDEX(Processos!$AM$10:$AM$509,MATCH(SUBSTITUTE(SUBSTITUTE(SUBSTITUTE("P:"&amp;A225,"~","~~"),"*","~*"),"?","~?"),Processos!$AS$10:$AS$509,0)))-9),0)</f>
        <v>0</v>
      </c>
      <c r="P225" s="14" t="str">
        <f>IF(L225=0,"",INDEX(Processos!$D$10:$D$509,O225))</f>
        <v/>
      </c>
      <c r="Q225" s="14">
        <f>IF(OR(L225=0,T225&lt;&gt;"Sim"),0,INDEX(Processos!$AL$10:$AL$509,O225))</f>
        <v>0</v>
      </c>
      <c r="R225" s="14">
        <f>ROW()</f>
        <v>225</v>
      </c>
      <c r="S225" s="14" t="str">
        <f t="shared" si="11"/>
        <v/>
      </c>
      <c r="T225" s="27" t="s">
        <v>1113</v>
      </c>
      <c r="U225" s="28"/>
      <c r="V225" s="28"/>
      <c r="W225" s="28"/>
      <c r="X225" s="28"/>
      <c r="Y225" s="27"/>
      <c r="Z225" s="27"/>
      <c r="AA225" s="27"/>
      <c r="AB225" s="27"/>
    </row>
    <row r="226" spans="1:28" ht="42" customHeight="1">
      <c r="A226" s="41"/>
      <c r="B226" s="42"/>
      <c r="C226" s="42"/>
      <c r="D226" s="42"/>
      <c r="E226" s="42"/>
      <c r="F226" s="42"/>
      <c r="G226" s="42"/>
      <c r="H226" s="45"/>
      <c r="I226" s="44"/>
      <c r="J226" s="43"/>
      <c r="K226" s="44"/>
      <c r="L226" s="14">
        <f t="shared" si="9"/>
        <v>0</v>
      </c>
      <c r="M226" s="14">
        <f>IF(OR(L226=0,T226&lt;&gt;"Sim"),0,INDEX(Processos!$X$10:$X$509,O226))</f>
        <v>0</v>
      </c>
      <c r="N226" s="40" t="str">
        <f t="shared" si="10"/>
        <v/>
      </c>
      <c r="O226" s="14">
        <f>IF(AND(A226&lt;&gt;"",ISTEXT(A226),COUNTIFS(Processos!$AS$10:$AS$509,"="&amp;SUBSTITUTE(SUBSTITUTE(SUBSTITUTE("P:"&amp;A226,"~","~~"),"*","~*"),"?","~?"))=1),(IF(ISNA(MATCH(SUBSTITUTE(SUBSTITUTE(SUBSTITUTE("P:"&amp;A226,"~","~~"),"*","~*"),"?","~?"),Processos!$AS$10:$AS$509,0)),9,INDEX(Processos!$AM$10:$AM$509,MATCH(SUBSTITUTE(SUBSTITUTE(SUBSTITUTE("P:"&amp;A226,"~","~~"),"*","~*"),"?","~?"),Processos!$AS$10:$AS$509,0)))-9),0)</f>
        <v>0</v>
      </c>
      <c r="P226" s="14" t="str">
        <f>IF(L226=0,"",INDEX(Processos!$D$10:$D$509,O226))</f>
        <v/>
      </c>
      <c r="Q226" s="14">
        <f>IF(OR(L226=0,T226&lt;&gt;"Sim"),0,INDEX(Processos!$AL$10:$AL$509,O226))</f>
        <v>0</v>
      </c>
      <c r="R226" s="14">
        <f>ROW()</f>
        <v>226</v>
      </c>
      <c r="S226" s="14" t="str">
        <f t="shared" si="11"/>
        <v/>
      </c>
      <c r="T226" s="27" t="s">
        <v>1113</v>
      </c>
      <c r="U226" s="28"/>
      <c r="V226" s="28"/>
      <c r="W226" s="28"/>
      <c r="X226" s="28"/>
      <c r="Y226" s="27"/>
      <c r="Z226" s="27"/>
      <c r="AA226" s="27"/>
      <c r="AB226" s="27"/>
    </row>
    <row r="227" spans="1:28" ht="42" customHeight="1">
      <c r="A227" s="41"/>
      <c r="B227" s="42"/>
      <c r="C227" s="42"/>
      <c r="D227" s="42"/>
      <c r="E227" s="42"/>
      <c r="F227" s="42"/>
      <c r="G227" s="42"/>
      <c r="H227" s="45"/>
      <c r="I227" s="44"/>
      <c r="J227" s="43"/>
      <c r="K227" s="44"/>
      <c r="L227" s="14">
        <f t="shared" si="9"/>
        <v>0</v>
      </c>
      <c r="M227" s="14">
        <f>IF(OR(L227=0,T227&lt;&gt;"Sim"),0,INDEX(Processos!$X$10:$X$509,O227))</f>
        <v>0</v>
      </c>
      <c r="N227" s="40" t="str">
        <f t="shared" si="10"/>
        <v/>
      </c>
      <c r="O227" s="14">
        <f>IF(AND(A227&lt;&gt;"",ISTEXT(A227),COUNTIFS(Processos!$AS$10:$AS$509,"="&amp;SUBSTITUTE(SUBSTITUTE(SUBSTITUTE("P:"&amp;A227,"~","~~"),"*","~*"),"?","~?"))=1),(IF(ISNA(MATCH(SUBSTITUTE(SUBSTITUTE(SUBSTITUTE("P:"&amp;A227,"~","~~"),"*","~*"),"?","~?"),Processos!$AS$10:$AS$509,0)),9,INDEX(Processos!$AM$10:$AM$509,MATCH(SUBSTITUTE(SUBSTITUTE(SUBSTITUTE("P:"&amp;A227,"~","~~"),"*","~*"),"?","~?"),Processos!$AS$10:$AS$509,0)))-9),0)</f>
        <v>0</v>
      </c>
      <c r="P227" s="14" t="str">
        <f>IF(L227=0,"",INDEX(Processos!$D$10:$D$509,O227))</f>
        <v/>
      </c>
      <c r="Q227" s="14">
        <f>IF(OR(L227=0,T227&lt;&gt;"Sim"),0,INDEX(Processos!$AL$10:$AL$509,O227))</f>
        <v>0</v>
      </c>
      <c r="R227" s="14">
        <f>ROW()</f>
        <v>227</v>
      </c>
      <c r="S227" s="14" t="str">
        <f t="shared" si="11"/>
        <v/>
      </c>
      <c r="T227" s="27" t="s">
        <v>1113</v>
      </c>
      <c r="U227" s="28"/>
      <c r="V227" s="28"/>
      <c r="W227" s="28"/>
      <c r="X227" s="28"/>
      <c r="Y227" s="27"/>
      <c r="Z227" s="27"/>
      <c r="AA227" s="27"/>
      <c r="AB227" s="27"/>
    </row>
    <row r="228" spans="1:28" ht="42" customHeight="1">
      <c r="A228" s="41"/>
      <c r="B228" s="42"/>
      <c r="C228" s="42"/>
      <c r="D228" s="42"/>
      <c r="E228" s="42"/>
      <c r="F228" s="42"/>
      <c r="G228" s="42"/>
      <c r="H228" s="45"/>
      <c r="I228" s="44"/>
      <c r="J228" s="43"/>
      <c r="K228" s="44"/>
      <c r="L228" s="14">
        <f t="shared" si="9"/>
        <v>0</v>
      </c>
      <c r="M228" s="14">
        <f>IF(OR(L228=0,T228&lt;&gt;"Sim"),0,INDEX(Processos!$X$10:$X$509,O228))</f>
        <v>0</v>
      </c>
      <c r="N228" s="40" t="str">
        <f t="shared" si="10"/>
        <v/>
      </c>
      <c r="O228" s="14">
        <f>IF(AND(A228&lt;&gt;"",ISTEXT(A228),COUNTIFS(Processos!$AS$10:$AS$509,"="&amp;SUBSTITUTE(SUBSTITUTE(SUBSTITUTE("P:"&amp;A228,"~","~~"),"*","~*"),"?","~?"))=1),(IF(ISNA(MATCH(SUBSTITUTE(SUBSTITUTE(SUBSTITUTE("P:"&amp;A228,"~","~~"),"*","~*"),"?","~?"),Processos!$AS$10:$AS$509,0)),9,INDEX(Processos!$AM$10:$AM$509,MATCH(SUBSTITUTE(SUBSTITUTE(SUBSTITUTE("P:"&amp;A228,"~","~~"),"*","~*"),"?","~?"),Processos!$AS$10:$AS$509,0)))-9),0)</f>
        <v>0</v>
      </c>
      <c r="P228" s="14" t="str">
        <f>IF(L228=0,"",INDEX(Processos!$D$10:$D$509,O228))</f>
        <v/>
      </c>
      <c r="Q228" s="14">
        <f>IF(OR(L228=0,T228&lt;&gt;"Sim"),0,INDEX(Processos!$AL$10:$AL$509,O228))</f>
        <v>0</v>
      </c>
      <c r="R228" s="14">
        <f>ROW()</f>
        <v>228</v>
      </c>
      <c r="S228" s="14" t="str">
        <f t="shared" si="11"/>
        <v/>
      </c>
      <c r="T228" s="27" t="s">
        <v>1113</v>
      </c>
      <c r="U228" s="28"/>
      <c r="V228" s="28"/>
      <c r="W228" s="28"/>
      <c r="X228" s="28"/>
      <c r="Y228" s="27"/>
      <c r="Z228" s="27"/>
      <c r="AA228" s="27"/>
      <c r="AB228" s="27"/>
    </row>
    <row r="229" spans="1:28" ht="42" customHeight="1">
      <c r="A229" s="41"/>
      <c r="B229" s="42"/>
      <c r="C229" s="42"/>
      <c r="D229" s="42"/>
      <c r="E229" s="42"/>
      <c r="F229" s="42"/>
      <c r="G229" s="42"/>
      <c r="H229" s="45"/>
      <c r="I229" s="44"/>
      <c r="J229" s="43"/>
      <c r="K229" s="44"/>
      <c r="L229" s="14">
        <f t="shared" si="9"/>
        <v>0</v>
      </c>
      <c r="M229" s="14">
        <f>IF(OR(L229=0,T229&lt;&gt;"Sim"),0,INDEX(Processos!$X$10:$X$509,O229))</f>
        <v>0</v>
      </c>
      <c r="N229" s="40" t="str">
        <f t="shared" si="10"/>
        <v/>
      </c>
      <c r="O229" s="14">
        <f>IF(AND(A229&lt;&gt;"",ISTEXT(A229),COUNTIFS(Processos!$AS$10:$AS$509,"="&amp;SUBSTITUTE(SUBSTITUTE(SUBSTITUTE("P:"&amp;A229,"~","~~"),"*","~*"),"?","~?"))=1),(IF(ISNA(MATCH(SUBSTITUTE(SUBSTITUTE(SUBSTITUTE("P:"&amp;A229,"~","~~"),"*","~*"),"?","~?"),Processos!$AS$10:$AS$509,0)),9,INDEX(Processos!$AM$10:$AM$509,MATCH(SUBSTITUTE(SUBSTITUTE(SUBSTITUTE("P:"&amp;A229,"~","~~"),"*","~*"),"?","~?"),Processos!$AS$10:$AS$509,0)))-9),0)</f>
        <v>0</v>
      </c>
      <c r="P229" s="14" t="str">
        <f>IF(L229=0,"",INDEX(Processos!$D$10:$D$509,O229))</f>
        <v/>
      </c>
      <c r="Q229" s="14">
        <f>IF(OR(L229=0,T229&lt;&gt;"Sim"),0,INDEX(Processos!$AL$10:$AL$509,O229))</f>
        <v>0</v>
      </c>
      <c r="R229" s="14">
        <f>ROW()</f>
        <v>229</v>
      </c>
      <c r="S229" s="14" t="str">
        <f t="shared" si="11"/>
        <v/>
      </c>
      <c r="T229" s="27" t="s">
        <v>1113</v>
      </c>
      <c r="U229" s="28"/>
      <c r="V229" s="28"/>
      <c r="W229" s="28"/>
      <c r="X229" s="28"/>
      <c r="Y229" s="27"/>
      <c r="Z229" s="27"/>
      <c r="AA229" s="27"/>
      <c r="AB229" s="27"/>
    </row>
    <row r="230" spans="1:28" ht="42" customHeight="1">
      <c r="A230" s="41"/>
      <c r="B230" s="42"/>
      <c r="C230" s="42"/>
      <c r="D230" s="42"/>
      <c r="E230" s="42"/>
      <c r="F230" s="42"/>
      <c r="G230" s="42"/>
      <c r="H230" s="45"/>
      <c r="I230" s="44"/>
      <c r="J230" s="43"/>
      <c r="K230" s="44"/>
      <c r="L230" s="14">
        <f t="shared" si="9"/>
        <v>0</v>
      </c>
      <c r="M230" s="14">
        <f>IF(OR(L230=0,T230&lt;&gt;"Sim"),0,INDEX(Processos!$X$10:$X$509,O230))</f>
        <v>0</v>
      </c>
      <c r="N230" s="40" t="str">
        <f t="shared" si="10"/>
        <v/>
      </c>
      <c r="O230" s="14">
        <f>IF(AND(A230&lt;&gt;"",ISTEXT(A230),COUNTIFS(Processos!$AS$10:$AS$509,"="&amp;SUBSTITUTE(SUBSTITUTE(SUBSTITUTE("P:"&amp;A230,"~","~~"),"*","~*"),"?","~?"))=1),(IF(ISNA(MATCH(SUBSTITUTE(SUBSTITUTE(SUBSTITUTE("P:"&amp;A230,"~","~~"),"*","~*"),"?","~?"),Processos!$AS$10:$AS$509,0)),9,INDEX(Processos!$AM$10:$AM$509,MATCH(SUBSTITUTE(SUBSTITUTE(SUBSTITUTE("P:"&amp;A230,"~","~~"),"*","~*"),"?","~?"),Processos!$AS$10:$AS$509,0)))-9),0)</f>
        <v>0</v>
      </c>
      <c r="P230" s="14" t="str">
        <f>IF(L230=0,"",INDEX(Processos!$D$10:$D$509,O230))</f>
        <v/>
      </c>
      <c r="Q230" s="14">
        <f>IF(OR(L230=0,T230&lt;&gt;"Sim"),0,INDEX(Processos!$AL$10:$AL$509,O230))</f>
        <v>0</v>
      </c>
      <c r="R230" s="14">
        <f>ROW()</f>
        <v>230</v>
      </c>
      <c r="S230" s="14" t="str">
        <f t="shared" si="11"/>
        <v/>
      </c>
      <c r="T230" s="27" t="s">
        <v>1113</v>
      </c>
      <c r="U230" s="28"/>
      <c r="V230" s="28"/>
      <c r="W230" s="28"/>
      <c r="X230" s="28"/>
      <c r="Y230" s="27"/>
      <c r="Z230" s="27"/>
      <c r="AA230" s="27"/>
      <c r="AB230" s="27"/>
    </row>
    <row r="231" spans="1:28" ht="42" customHeight="1">
      <c r="A231" s="41"/>
      <c r="B231" s="42"/>
      <c r="C231" s="42"/>
      <c r="D231" s="42"/>
      <c r="E231" s="42"/>
      <c r="F231" s="42"/>
      <c r="G231" s="42"/>
      <c r="H231" s="45"/>
      <c r="I231" s="44"/>
      <c r="J231" s="43"/>
      <c r="K231" s="44"/>
      <c r="L231" s="14">
        <f t="shared" si="9"/>
        <v>0</v>
      </c>
      <c r="M231" s="14">
        <f>IF(OR(L231=0,T231&lt;&gt;"Sim"),0,INDEX(Processos!$X$10:$X$509,O231))</f>
        <v>0</v>
      </c>
      <c r="N231" s="40" t="str">
        <f t="shared" si="10"/>
        <v/>
      </c>
      <c r="O231" s="14">
        <f>IF(AND(A231&lt;&gt;"",ISTEXT(A231),COUNTIFS(Processos!$AS$10:$AS$509,"="&amp;SUBSTITUTE(SUBSTITUTE(SUBSTITUTE("P:"&amp;A231,"~","~~"),"*","~*"),"?","~?"))=1),(IF(ISNA(MATCH(SUBSTITUTE(SUBSTITUTE(SUBSTITUTE("P:"&amp;A231,"~","~~"),"*","~*"),"?","~?"),Processos!$AS$10:$AS$509,0)),9,INDEX(Processos!$AM$10:$AM$509,MATCH(SUBSTITUTE(SUBSTITUTE(SUBSTITUTE("P:"&amp;A231,"~","~~"),"*","~*"),"?","~?"),Processos!$AS$10:$AS$509,0)))-9),0)</f>
        <v>0</v>
      </c>
      <c r="P231" s="14" t="str">
        <f>IF(L231=0,"",INDEX(Processos!$D$10:$D$509,O231))</f>
        <v/>
      </c>
      <c r="Q231" s="14">
        <f>IF(OR(L231=0,T231&lt;&gt;"Sim"),0,INDEX(Processos!$AL$10:$AL$509,O231))</f>
        <v>0</v>
      </c>
      <c r="R231" s="14">
        <f>ROW()</f>
        <v>231</v>
      </c>
      <c r="S231" s="14" t="str">
        <f t="shared" si="11"/>
        <v/>
      </c>
      <c r="T231" s="27" t="s">
        <v>1113</v>
      </c>
      <c r="U231" s="28"/>
      <c r="V231" s="28"/>
      <c r="W231" s="28"/>
      <c r="X231" s="28"/>
      <c r="Y231" s="27"/>
      <c r="Z231" s="27"/>
      <c r="AA231" s="27"/>
      <c r="AB231" s="27"/>
    </row>
    <row r="232" spans="1:28" ht="42" customHeight="1">
      <c r="A232" s="41"/>
      <c r="B232" s="42"/>
      <c r="C232" s="42"/>
      <c r="D232" s="42"/>
      <c r="E232" s="42"/>
      <c r="F232" s="42"/>
      <c r="G232" s="42"/>
      <c r="H232" s="45"/>
      <c r="I232" s="44"/>
      <c r="J232" s="43"/>
      <c r="K232" s="44"/>
      <c r="L232" s="14">
        <f t="shared" si="9"/>
        <v>0</v>
      </c>
      <c r="M232" s="14">
        <f>IF(OR(L232=0,T232&lt;&gt;"Sim"),0,INDEX(Processos!$X$10:$X$509,O232))</f>
        <v>0</v>
      </c>
      <c r="N232" s="40" t="str">
        <f t="shared" si="10"/>
        <v/>
      </c>
      <c r="O232" s="14">
        <f>IF(AND(A232&lt;&gt;"",ISTEXT(A232),COUNTIFS(Processos!$AS$10:$AS$509,"="&amp;SUBSTITUTE(SUBSTITUTE(SUBSTITUTE("P:"&amp;A232,"~","~~"),"*","~*"),"?","~?"))=1),(IF(ISNA(MATCH(SUBSTITUTE(SUBSTITUTE(SUBSTITUTE("P:"&amp;A232,"~","~~"),"*","~*"),"?","~?"),Processos!$AS$10:$AS$509,0)),9,INDEX(Processos!$AM$10:$AM$509,MATCH(SUBSTITUTE(SUBSTITUTE(SUBSTITUTE("P:"&amp;A232,"~","~~"),"*","~*"),"?","~?"),Processos!$AS$10:$AS$509,0)))-9),0)</f>
        <v>0</v>
      </c>
      <c r="P232" s="14" t="str">
        <f>IF(L232=0,"",INDEX(Processos!$D$10:$D$509,O232))</f>
        <v/>
      </c>
      <c r="Q232" s="14">
        <f>IF(OR(L232=0,T232&lt;&gt;"Sim"),0,INDEX(Processos!$AL$10:$AL$509,O232))</f>
        <v>0</v>
      </c>
      <c r="R232" s="14">
        <f>ROW()</f>
        <v>232</v>
      </c>
      <c r="S232" s="14" t="str">
        <f t="shared" si="11"/>
        <v/>
      </c>
      <c r="T232" s="27" t="s">
        <v>1113</v>
      </c>
      <c r="U232" s="28"/>
      <c r="V232" s="28"/>
      <c r="W232" s="28"/>
      <c r="X232" s="28"/>
      <c r="Y232" s="27"/>
      <c r="Z232" s="27"/>
      <c r="AA232" s="27"/>
      <c r="AB232" s="27"/>
    </row>
    <row r="233" spans="1:28" ht="42" customHeight="1">
      <c r="A233" s="41"/>
      <c r="B233" s="42"/>
      <c r="C233" s="42"/>
      <c r="D233" s="42"/>
      <c r="E233" s="42"/>
      <c r="F233" s="42"/>
      <c r="G233" s="42"/>
      <c r="H233" s="45"/>
      <c r="I233" s="44"/>
      <c r="J233" s="43"/>
      <c r="K233" s="44"/>
      <c r="L233" s="14">
        <f t="shared" si="9"/>
        <v>0</v>
      </c>
      <c r="M233" s="14">
        <f>IF(OR(L233=0,T233&lt;&gt;"Sim"),0,INDEX(Processos!$X$10:$X$509,O233))</f>
        <v>0</v>
      </c>
      <c r="N233" s="40" t="str">
        <f t="shared" si="10"/>
        <v/>
      </c>
      <c r="O233" s="14">
        <f>IF(AND(A233&lt;&gt;"",ISTEXT(A233),COUNTIFS(Processos!$AS$10:$AS$509,"="&amp;SUBSTITUTE(SUBSTITUTE(SUBSTITUTE("P:"&amp;A233,"~","~~"),"*","~*"),"?","~?"))=1),(IF(ISNA(MATCH(SUBSTITUTE(SUBSTITUTE(SUBSTITUTE("P:"&amp;A233,"~","~~"),"*","~*"),"?","~?"),Processos!$AS$10:$AS$509,0)),9,INDEX(Processos!$AM$10:$AM$509,MATCH(SUBSTITUTE(SUBSTITUTE(SUBSTITUTE("P:"&amp;A233,"~","~~"),"*","~*"),"?","~?"),Processos!$AS$10:$AS$509,0)))-9),0)</f>
        <v>0</v>
      </c>
      <c r="P233" s="14" t="str">
        <f>IF(L233=0,"",INDEX(Processos!$D$10:$D$509,O233))</f>
        <v/>
      </c>
      <c r="Q233" s="14">
        <f>IF(OR(L233=0,T233&lt;&gt;"Sim"),0,INDEX(Processos!$AL$10:$AL$509,O233))</f>
        <v>0</v>
      </c>
      <c r="R233" s="14">
        <f>ROW()</f>
        <v>233</v>
      </c>
      <c r="S233" s="14" t="str">
        <f t="shared" si="11"/>
        <v/>
      </c>
      <c r="T233" s="27" t="s">
        <v>1113</v>
      </c>
      <c r="U233" s="28"/>
      <c r="V233" s="28"/>
      <c r="W233" s="28"/>
      <c r="X233" s="28"/>
      <c r="Y233" s="27"/>
      <c r="Z233" s="27"/>
      <c r="AA233" s="27"/>
      <c r="AB233" s="27"/>
    </row>
    <row r="234" spans="1:28" ht="42" customHeight="1">
      <c r="A234" s="41"/>
      <c r="B234" s="42"/>
      <c r="C234" s="42"/>
      <c r="D234" s="42"/>
      <c r="E234" s="42"/>
      <c r="F234" s="42"/>
      <c r="G234" s="42"/>
      <c r="H234" s="45"/>
      <c r="I234" s="44"/>
      <c r="J234" s="43"/>
      <c r="K234" s="44"/>
      <c r="L234" s="14">
        <f t="shared" si="9"/>
        <v>0</v>
      </c>
      <c r="M234" s="14">
        <f>IF(OR(L234=0,T234&lt;&gt;"Sim"),0,INDEX(Processos!$X$10:$X$509,O234))</f>
        <v>0</v>
      </c>
      <c r="N234" s="40" t="str">
        <f t="shared" si="10"/>
        <v/>
      </c>
      <c r="O234" s="14">
        <f>IF(AND(A234&lt;&gt;"",ISTEXT(A234),COUNTIFS(Processos!$AS$10:$AS$509,"="&amp;SUBSTITUTE(SUBSTITUTE(SUBSTITUTE("P:"&amp;A234,"~","~~"),"*","~*"),"?","~?"))=1),(IF(ISNA(MATCH(SUBSTITUTE(SUBSTITUTE(SUBSTITUTE("P:"&amp;A234,"~","~~"),"*","~*"),"?","~?"),Processos!$AS$10:$AS$509,0)),9,INDEX(Processos!$AM$10:$AM$509,MATCH(SUBSTITUTE(SUBSTITUTE(SUBSTITUTE("P:"&amp;A234,"~","~~"),"*","~*"),"?","~?"),Processos!$AS$10:$AS$509,0)))-9),0)</f>
        <v>0</v>
      </c>
      <c r="P234" s="14" t="str">
        <f>IF(L234=0,"",INDEX(Processos!$D$10:$D$509,O234))</f>
        <v/>
      </c>
      <c r="Q234" s="14">
        <f>IF(OR(L234=0,T234&lt;&gt;"Sim"),0,INDEX(Processos!$AL$10:$AL$509,O234))</f>
        <v>0</v>
      </c>
      <c r="R234" s="14">
        <f>ROW()</f>
        <v>234</v>
      </c>
      <c r="S234" s="14" t="str">
        <f t="shared" si="11"/>
        <v/>
      </c>
      <c r="T234" s="27" t="s">
        <v>1113</v>
      </c>
      <c r="U234" s="28"/>
      <c r="V234" s="28"/>
      <c r="W234" s="28"/>
      <c r="X234" s="28"/>
      <c r="Y234" s="27"/>
      <c r="Z234" s="27"/>
      <c r="AA234" s="27"/>
      <c r="AB234" s="27"/>
    </row>
    <row r="235" spans="1:28" ht="42" customHeight="1">
      <c r="A235" s="41"/>
      <c r="B235" s="42"/>
      <c r="C235" s="42"/>
      <c r="D235" s="42"/>
      <c r="E235" s="42"/>
      <c r="F235" s="42"/>
      <c r="G235" s="42"/>
      <c r="H235" s="45"/>
      <c r="I235" s="44"/>
      <c r="J235" s="43"/>
      <c r="K235" s="44"/>
      <c r="L235" s="14">
        <f t="shared" si="9"/>
        <v>0</v>
      </c>
      <c r="M235" s="14">
        <f>IF(OR(L235=0,T235&lt;&gt;"Sim"),0,INDEX(Processos!$X$10:$X$509,O235))</f>
        <v>0</v>
      </c>
      <c r="N235" s="40" t="str">
        <f t="shared" si="10"/>
        <v/>
      </c>
      <c r="O235" s="14">
        <f>IF(AND(A235&lt;&gt;"",ISTEXT(A235),COUNTIFS(Processos!$AS$10:$AS$509,"="&amp;SUBSTITUTE(SUBSTITUTE(SUBSTITUTE("P:"&amp;A235,"~","~~"),"*","~*"),"?","~?"))=1),(IF(ISNA(MATCH(SUBSTITUTE(SUBSTITUTE(SUBSTITUTE("P:"&amp;A235,"~","~~"),"*","~*"),"?","~?"),Processos!$AS$10:$AS$509,0)),9,INDEX(Processos!$AM$10:$AM$509,MATCH(SUBSTITUTE(SUBSTITUTE(SUBSTITUTE("P:"&amp;A235,"~","~~"),"*","~*"),"?","~?"),Processos!$AS$10:$AS$509,0)))-9),0)</f>
        <v>0</v>
      </c>
      <c r="P235" s="14" t="str">
        <f>IF(L235=0,"",INDEX(Processos!$D$10:$D$509,O235))</f>
        <v/>
      </c>
      <c r="Q235" s="14">
        <f>IF(OR(L235=0,T235&lt;&gt;"Sim"),0,INDEX(Processos!$AL$10:$AL$509,O235))</f>
        <v>0</v>
      </c>
      <c r="R235" s="14">
        <f>ROW()</f>
        <v>235</v>
      </c>
      <c r="S235" s="14" t="str">
        <f t="shared" si="11"/>
        <v/>
      </c>
      <c r="T235" s="27" t="s">
        <v>1113</v>
      </c>
      <c r="U235" s="28"/>
      <c r="V235" s="28"/>
      <c r="W235" s="28"/>
      <c r="X235" s="28"/>
      <c r="Y235" s="27"/>
      <c r="Z235" s="27"/>
      <c r="AA235" s="27"/>
      <c r="AB235" s="27"/>
    </row>
    <row r="236" spans="1:28" ht="42" customHeight="1">
      <c r="A236" s="41"/>
      <c r="B236" s="42"/>
      <c r="C236" s="42"/>
      <c r="D236" s="42"/>
      <c r="E236" s="42"/>
      <c r="F236" s="42"/>
      <c r="G236" s="42"/>
      <c r="H236" s="45"/>
      <c r="I236" s="44"/>
      <c r="J236" s="43"/>
      <c r="K236" s="44"/>
      <c r="L236" s="14">
        <f t="shared" si="9"/>
        <v>0</v>
      </c>
      <c r="M236" s="14">
        <f>IF(OR(L236=0,T236&lt;&gt;"Sim"),0,INDEX(Processos!$X$10:$X$509,O236))</f>
        <v>0</v>
      </c>
      <c r="N236" s="40" t="str">
        <f t="shared" si="10"/>
        <v/>
      </c>
      <c r="O236" s="14">
        <f>IF(AND(A236&lt;&gt;"",ISTEXT(A236),COUNTIFS(Processos!$AS$10:$AS$509,"="&amp;SUBSTITUTE(SUBSTITUTE(SUBSTITUTE("P:"&amp;A236,"~","~~"),"*","~*"),"?","~?"))=1),(IF(ISNA(MATCH(SUBSTITUTE(SUBSTITUTE(SUBSTITUTE("P:"&amp;A236,"~","~~"),"*","~*"),"?","~?"),Processos!$AS$10:$AS$509,0)),9,INDEX(Processos!$AM$10:$AM$509,MATCH(SUBSTITUTE(SUBSTITUTE(SUBSTITUTE("P:"&amp;A236,"~","~~"),"*","~*"),"?","~?"),Processos!$AS$10:$AS$509,0)))-9),0)</f>
        <v>0</v>
      </c>
      <c r="P236" s="14" t="str">
        <f>IF(L236=0,"",INDEX(Processos!$D$10:$D$509,O236))</f>
        <v/>
      </c>
      <c r="Q236" s="14">
        <f>IF(OR(L236=0,T236&lt;&gt;"Sim"),0,INDEX(Processos!$AL$10:$AL$509,O236))</f>
        <v>0</v>
      </c>
      <c r="R236" s="14">
        <f>ROW()</f>
        <v>236</v>
      </c>
      <c r="S236" s="14" t="str">
        <f t="shared" si="11"/>
        <v/>
      </c>
      <c r="T236" s="27" t="s">
        <v>1113</v>
      </c>
      <c r="U236" s="28"/>
      <c r="V236" s="28"/>
      <c r="W236" s="28"/>
      <c r="X236" s="28"/>
      <c r="Y236" s="27"/>
      <c r="Z236" s="27"/>
      <c r="AA236" s="27"/>
      <c r="AB236" s="27"/>
    </row>
    <row r="237" spans="1:28" ht="42" customHeight="1">
      <c r="A237" s="41"/>
      <c r="B237" s="42"/>
      <c r="C237" s="42"/>
      <c r="D237" s="42"/>
      <c r="E237" s="42"/>
      <c r="F237" s="42"/>
      <c r="G237" s="42"/>
      <c r="H237" s="45"/>
      <c r="I237" s="44"/>
      <c r="J237" s="43"/>
      <c r="K237" s="44"/>
      <c r="L237" s="14">
        <f t="shared" si="9"/>
        <v>0</v>
      </c>
      <c r="M237" s="14">
        <f>IF(OR(L237=0,T237&lt;&gt;"Sim"),0,INDEX(Processos!$X$10:$X$509,O237))</f>
        <v>0</v>
      </c>
      <c r="N237" s="40" t="str">
        <f t="shared" si="10"/>
        <v/>
      </c>
      <c r="O237" s="14">
        <f>IF(AND(A237&lt;&gt;"",ISTEXT(A237),COUNTIFS(Processos!$AS$10:$AS$509,"="&amp;SUBSTITUTE(SUBSTITUTE(SUBSTITUTE("P:"&amp;A237,"~","~~"),"*","~*"),"?","~?"))=1),(IF(ISNA(MATCH(SUBSTITUTE(SUBSTITUTE(SUBSTITUTE("P:"&amp;A237,"~","~~"),"*","~*"),"?","~?"),Processos!$AS$10:$AS$509,0)),9,INDEX(Processos!$AM$10:$AM$509,MATCH(SUBSTITUTE(SUBSTITUTE(SUBSTITUTE("P:"&amp;A237,"~","~~"),"*","~*"),"?","~?"),Processos!$AS$10:$AS$509,0)))-9),0)</f>
        <v>0</v>
      </c>
      <c r="P237" s="14" t="str">
        <f>IF(L237=0,"",INDEX(Processos!$D$10:$D$509,O237))</f>
        <v/>
      </c>
      <c r="Q237" s="14">
        <f>IF(OR(L237=0,T237&lt;&gt;"Sim"),0,INDEX(Processos!$AL$10:$AL$509,O237))</f>
        <v>0</v>
      </c>
      <c r="R237" s="14">
        <f>ROW()</f>
        <v>237</v>
      </c>
      <c r="S237" s="14" t="str">
        <f t="shared" si="11"/>
        <v/>
      </c>
      <c r="T237" s="27" t="s">
        <v>1113</v>
      </c>
      <c r="U237" s="28"/>
      <c r="V237" s="28"/>
      <c r="W237" s="28"/>
      <c r="X237" s="28"/>
      <c r="Y237" s="27"/>
      <c r="Z237" s="27"/>
      <c r="AA237" s="27"/>
      <c r="AB237" s="27"/>
    </row>
    <row r="238" spans="1:28" ht="42" customHeight="1">
      <c r="A238" s="41"/>
      <c r="B238" s="42"/>
      <c r="C238" s="42"/>
      <c r="D238" s="42"/>
      <c r="E238" s="42"/>
      <c r="F238" s="42"/>
      <c r="G238" s="42"/>
      <c r="H238" s="45"/>
      <c r="I238" s="44"/>
      <c r="J238" s="43"/>
      <c r="K238" s="44"/>
      <c r="L238" s="14">
        <f t="shared" si="9"/>
        <v>0</v>
      </c>
      <c r="M238" s="14">
        <f>IF(OR(L238=0,T238&lt;&gt;"Sim"),0,INDEX(Processos!$X$10:$X$509,O238))</f>
        <v>0</v>
      </c>
      <c r="N238" s="40" t="str">
        <f t="shared" si="10"/>
        <v/>
      </c>
      <c r="O238" s="14">
        <f>IF(AND(A238&lt;&gt;"",ISTEXT(A238),COUNTIFS(Processos!$AS$10:$AS$509,"="&amp;SUBSTITUTE(SUBSTITUTE(SUBSTITUTE("P:"&amp;A238,"~","~~"),"*","~*"),"?","~?"))=1),(IF(ISNA(MATCH(SUBSTITUTE(SUBSTITUTE(SUBSTITUTE("P:"&amp;A238,"~","~~"),"*","~*"),"?","~?"),Processos!$AS$10:$AS$509,0)),9,INDEX(Processos!$AM$10:$AM$509,MATCH(SUBSTITUTE(SUBSTITUTE(SUBSTITUTE("P:"&amp;A238,"~","~~"),"*","~*"),"?","~?"),Processos!$AS$10:$AS$509,0)))-9),0)</f>
        <v>0</v>
      </c>
      <c r="P238" s="14" t="str">
        <f>IF(L238=0,"",INDEX(Processos!$D$10:$D$509,O238))</f>
        <v/>
      </c>
      <c r="Q238" s="14">
        <f>IF(OR(L238=0,T238&lt;&gt;"Sim"),0,INDEX(Processos!$AL$10:$AL$509,O238))</f>
        <v>0</v>
      </c>
      <c r="R238" s="14">
        <f>ROW()</f>
        <v>238</v>
      </c>
      <c r="S238" s="14" t="str">
        <f t="shared" si="11"/>
        <v/>
      </c>
      <c r="T238" s="27" t="s">
        <v>1113</v>
      </c>
      <c r="U238" s="28"/>
      <c r="V238" s="28"/>
      <c r="W238" s="28"/>
      <c r="X238" s="28"/>
      <c r="Y238" s="27"/>
      <c r="Z238" s="27"/>
      <c r="AA238" s="27"/>
      <c r="AB238" s="27"/>
    </row>
    <row r="239" spans="1:28" ht="42" customHeight="1">
      <c r="A239" s="41"/>
      <c r="B239" s="42"/>
      <c r="C239" s="42"/>
      <c r="D239" s="42"/>
      <c r="E239" s="42"/>
      <c r="F239" s="42"/>
      <c r="G239" s="42"/>
      <c r="H239" s="45"/>
      <c r="I239" s="44"/>
      <c r="J239" s="43"/>
      <c r="K239" s="44"/>
      <c r="L239" s="14">
        <f t="shared" si="9"/>
        <v>0</v>
      </c>
      <c r="M239" s="14">
        <f>IF(OR(L239=0,T239&lt;&gt;"Sim"),0,INDEX(Processos!$X$10:$X$509,O239))</f>
        <v>0</v>
      </c>
      <c r="N239" s="40" t="str">
        <f t="shared" si="10"/>
        <v/>
      </c>
      <c r="O239" s="14">
        <f>IF(AND(A239&lt;&gt;"",ISTEXT(A239),COUNTIFS(Processos!$AS$10:$AS$509,"="&amp;SUBSTITUTE(SUBSTITUTE(SUBSTITUTE("P:"&amp;A239,"~","~~"),"*","~*"),"?","~?"))=1),(IF(ISNA(MATCH(SUBSTITUTE(SUBSTITUTE(SUBSTITUTE("P:"&amp;A239,"~","~~"),"*","~*"),"?","~?"),Processos!$AS$10:$AS$509,0)),9,INDEX(Processos!$AM$10:$AM$509,MATCH(SUBSTITUTE(SUBSTITUTE(SUBSTITUTE("P:"&amp;A239,"~","~~"),"*","~*"),"?","~?"),Processos!$AS$10:$AS$509,0)))-9),0)</f>
        <v>0</v>
      </c>
      <c r="P239" s="14" t="str">
        <f>IF(L239=0,"",INDEX(Processos!$D$10:$D$509,O239))</f>
        <v/>
      </c>
      <c r="Q239" s="14">
        <f>IF(OR(L239=0,T239&lt;&gt;"Sim"),0,INDEX(Processos!$AL$10:$AL$509,O239))</f>
        <v>0</v>
      </c>
      <c r="R239" s="14">
        <f>ROW()</f>
        <v>239</v>
      </c>
      <c r="S239" s="14" t="str">
        <f t="shared" si="11"/>
        <v/>
      </c>
      <c r="T239" s="27" t="s">
        <v>1113</v>
      </c>
      <c r="U239" s="28"/>
      <c r="V239" s="28"/>
      <c r="W239" s="28"/>
      <c r="X239" s="28"/>
      <c r="Y239" s="27"/>
      <c r="Z239" s="27"/>
      <c r="AA239" s="27"/>
      <c r="AB239" s="27"/>
    </row>
    <row r="240" spans="1:28" ht="42" customHeight="1">
      <c r="A240" s="41"/>
      <c r="B240" s="42"/>
      <c r="C240" s="42"/>
      <c r="D240" s="42"/>
      <c r="E240" s="42"/>
      <c r="F240" s="42"/>
      <c r="G240" s="42"/>
      <c r="H240" s="45"/>
      <c r="I240" s="44"/>
      <c r="J240" s="43"/>
      <c r="K240" s="44"/>
      <c r="L240" s="14">
        <f t="shared" si="9"/>
        <v>0</v>
      </c>
      <c r="M240" s="14">
        <f>IF(OR(L240=0,T240&lt;&gt;"Sim"),0,INDEX(Processos!$X$10:$X$509,O240))</f>
        <v>0</v>
      </c>
      <c r="N240" s="40" t="str">
        <f t="shared" si="10"/>
        <v/>
      </c>
      <c r="O240" s="14">
        <f>IF(AND(A240&lt;&gt;"",ISTEXT(A240),COUNTIFS(Processos!$AS$10:$AS$509,"="&amp;SUBSTITUTE(SUBSTITUTE(SUBSTITUTE("P:"&amp;A240,"~","~~"),"*","~*"),"?","~?"))=1),(IF(ISNA(MATCH(SUBSTITUTE(SUBSTITUTE(SUBSTITUTE("P:"&amp;A240,"~","~~"),"*","~*"),"?","~?"),Processos!$AS$10:$AS$509,0)),9,INDEX(Processos!$AM$10:$AM$509,MATCH(SUBSTITUTE(SUBSTITUTE(SUBSTITUTE("P:"&amp;A240,"~","~~"),"*","~*"),"?","~?"),Processos!$AS$10:$AS$509,0)))-9),0)</f>
        <v>0</v>
      </c>
      <c r="P240" s="14" t="str">
        <f>IF(L240=0,"",INDEX(Processos!$D$10:$D$509,O240))</f>
        <v/>
      </c>
      <c r="Q240" s="14">
        <f>IF(OR(L240=0,T240&lt;&gt;"Sim"),0,INDEX(Processos!$AL$10:$AL$509,O240))</f>
        <v>0</v>
      </c>
      <c r="R240" s="14">
        <f>ROW()</f>
        <v>240</v>
      </c>
      <c r="S240" s="14" t="str">
        <f t="shared" si="11"/>
        <v/>
      </c>
      <c r="T240" s="27" t="s">
        <v>1113</v>
      </c>
      <c r="U240" s="28"/>
      <c r="V240" s="28"/>
      <c r="W240" s="28"/>
      <c r="X240" s="28"/>
      <c r="Y240" s="27"/>
      <c r="Z240" s="27"/>
      <c r="AA240" s="27"/>
      <c r="AB240" s="27"/>
    </row>
    <row r="241" spans="1:28" ht="42" customHeight="1">
      <c r="A241" s="41"/>
      <c r="B241" s="42"/>
      <c r="C241" s="42"/>
      <c r="D241" s="42"/>
      <c r="E241" s="42"/>
      <c r="F241" s="42"/>
      <c r="G241" s="42"/>
      <c r="H241" s="45"/>
      <c r="I241" s="44"/>
      <c r="J241" s="43"/>
      <c r="K241" s="44"/>
      <c r="L241" s="14">
        <f t="shared" si="9"/>
        <v>0</v>
      </c>
      <c r="M241" s="14">
        <f>IF(OR(L241=0,T241&lt;&gt;"Sim"),0,INDEX(Processos!$X$10:$X$509,O241))</f>
        <v>0</v>
      </c>
      <c r="N241" s="40" t="str">
        <f t="shared" si="10"/>
        <v/>
      </c>
      <c r="O241" s="14">
        <f>IF(AND(A241&lt;&gt;"",ISTEXT(A241),COUNTIFS(Processos!$AS$10:$AS$509,"="&amp;SUBSTITUTE(SUBSTITUTE(SUBSTITUTE("P:"&amp;A241,"~","~~"),"*","~*"),"?","~?"))=1),(IF(ISNA(MATCH(SUBSTITUTE(SUBSTITUTE(SUBSTITUTE("P:"&amp;A241,"~","~~"),"*","~*"),"?","~?"),Processos!$AS$10:$AS$509,0)),9,INDEX(Processos!$AM$10:$AM$509,MATCH(SUBSTITUTE(SUBSTITUTE(SUBSTITUTE("P:"&amp;A241,"~","~~"),"*","~*"),"?","~?"),Processos!$AS$10:$AS$509,0)))-9),0)</f>
        <v>0</v>
      </c>
      <c r="P241" s="14" t="str">
        <f>IF(L241=0,"",INDEX(Processos!$D$10:$D$509,O241))</f>
        <v/>
      </c>
      <c r="Q241" s="14">
        <f>IF(OR(L241=0,T241&lt;&gt;"Sim"),0,INDEX(Processos!$AL$10:$AL$509,O241))</f>
        <v>0</v>
      </c>
      <c r="R241" s="14">
        <f>ROW()</f>
        <v>241</v>
      </c>
      <c r="S241" s="14" t="str">
        <f t="shared" si="11"/>
        <v/>
      </c>
      <c r="T241" s="27" t="s">
        <v>1113</v>
      </c>
      <c r="U241" s="28"/>
      <c r="V241" s="28"/>
      <c r="W241" s="28"/>
      <c r="X241" s="28"/>
      <c r="Y241" s="27"/>
      <c r="Z241" s="27"/>
      <c r="AA241" s="27"/>
      <c r="AB241" s="27"/>
    </row>
    <row r="242" spans="1:28" ht="42" customHeight="1">
      <c r="A242" s="41"/>
      <c r="B242" s="42"/>
      <c r="C242" s="42"/>
      <c r="D242" s="42"/>
      <c r="E242" s="42"/>
      <c r="F242" s="42"/>
      <c r="G242" s="42"/>
      <c r="H242" s="45"/>
      <c r="I242" s="44"/>
      <c r="J242" s="43"/>
      <c r="K242" s="44"/>
      <c r="L242" s="14">
        <f t="shared" si="9"/>
        <v>0</v>
      </c>
      <c r="M242" s="14">
        <f>IF(OR(L242=0,T242&lt;&gt;"Sim"),0,INDEX(Processos!$X$10:$X$509,O242))</f>
        <v>0</v>
      </c>
      <c r="N242" s="40" t="str">
        <f t="shared" si="10"/>
        <v/>
      </c>
      <c r="O242" s="14">
        <f>IF(AND(A242&lt;&gt;"",ISTEXT(A242),COUNTIFS(Processos!$AS$10:$AS$509,"="&amp;SUBSTITUTE(SUBSTITUTE(SUBSTITUTE("P:"&amp;A242,"~","~~"),"*","~*"),"?","~?"))=1),(IF(ISNA(MATCH(SUBSTITUTE(SUBSTITUTE(SUBSTITUTE("P:"&amp;A242,"~","~~"),"*","~*"),"?","~?"),Processos!$AS$10:$AS$509,0)),9,INDEX(Processos!$AM$10:$AM$509,MATCH(SUBSTITUTE(SUBSTITUTE(SUBSTITUTE("P:"&amp;A242,"~","~~"),"*","~*"),"?","~?"),Processos!$AS$10:$AS$509,0)))-9),0)</f>
        <v>0</v>
      </c>
      <c r="P242" s="14" t="str">
        <f>IF(L242=0,"",INDEX(Processos!$D$10:$D$509,O242))</f>
        <v/>
      </c>
      <c r="Q242" s="14">
        <f>IF(OR(L242=0,T242&lt;&gt;"Sim"),0,INDEX(Processos!$AL$10:$AL$509,O242))</f>
        <v>0</v>
      </c>
      <c r="R242" s="14">
        <f>ROW()</f>
        <v>242</v>
      </c>
      <c r="S242" s="14" t="str">
        <f t="shared" si="11"/>
        <v/>
      </c>
      <c r="T242" s="27" t="s">
        <v>1113</v>
      </c>
      <c r="U242" s="28"/>
      <c r="V242" s="28"/>
      <c r="W242" s="28"/>
      <c r="X242" s="28"/>
      <c r="Y242" s="27"/>
      <c r="Z242" s="27"/>
      <c r="AA242" s="27"/>
      <c r="AB242" s="27"/>
    </row>
    <row r="243" spans="1:28" ht="42" customHeight="1">
      <c r="A243" s="41"/>
      <c r="B243" s="42"/>
      <c r="C243" s="42"/>
      <c r="D243" s="42"/>
      <c r="E243" s="42"/>
      <c r="F243" s="42"/>
      <c r="G243" s="42"/>
      <c r="H243" s="45"/>
      <c r="I243" s="44"/>
      <c r="J243" s="43"/>
      <c r="K243" s="44"/>
      <c r="L243" s="14">
        <f t="shared" si="9"/>
        <v>0</v>
      </c>
      <c r="M243" s="14">
        <f>IF(OR(L243=0,T243&lt;&gt;"Sim"),0,INDEX(Processos!$X$10:$X$509,O243))</f>
        <v>0</v>
      </c>
      <c r="N243" s="40" t="str">
        <f t="shared" si="10"/>
        <v/>
      </c>
      <c r="O243" s="14">
        <f>IF(AND(A243&lt;&gt;"",ISTEXT(A243),COUNTIFS(Processos!$AS$10:$AS$509,"="&amp;SUBSTITUTE(SUBSTITUTE(SUBSTITUTE("P:"&amp;A243,"~","~~"),"*","~*"),"?","~?"))=1),(IF(ISNA(MATCH(SUBSTITUTE(SUBSTITUTE(SUBSTITUTE("P:"&amp;A243,"~","~~"),"*","~*"),"?","~?"),Processos!$AS$10:$AS$509,0)),9,INDEX(Processos!$AM$10:$AM$509,MATCH(SUBSTITUTE(SUBSTITUTE(SUBSTITUTE("P:"&amp;A243,"~","~~"),"*","~*"),"?","~?"),Processos!$AS$10:$AS$509,0)))-9),0)</f>
        <v>0</v>
      </c>
      <c r="P243" s="14" t="str">
        <f>IF(L243=0,"",INDEX(Processos!$D$10:$D$509,O243))</f>
        <v/>
      </c>
      <c r="Q243" s="14">
        <f>IF(OR(L243=0,T243&lt;&gt;"Sim"),0,INDEX(Processos!$AL$10:$AL$509,O243))</f>
        <v>0</v>
      </c>
      <c r="R243" s="14">
        <f>ROW()</f>
        <v>243</v>
      </c>
      <c r="S243" s="14" t="str">
        <f t="shared" si="11"/>
        <v/>
      </c>
      <c r="T243" s="27" t="s">
        <v>1113</v>
      </c>
      <c r="U243" s="28"/>
      <c r="V243" s="28"/>
      <c r="W243" s="28"/>
      <c r="X243" s="28"/>
      <c r="Y243" s="27"/>
      <c r="Z243" s="27"/>
      <c r="AA243" s="27"/>
      <c r="AB243" s="27"/>
    </row>
    <row r="244" spans="1:28" ht="42" customHeight="1">
      <c r="A244" s="41"/>
      <c r="B244" s="42"/>
      <c r="C244" s="42"/>
      <c r="D244" s="42"/>
      <c r="E244" s="42"/>
      <c r="F244" s="42"/>
      <c r="G244" s="42"/>
      <c r="H244" s="45"/>
      <c r="I244" s="44"/>
      <c r="J244" s="43"/>
      <c r="K244" s="44"/>
      <c r="L244" s="14">
        <f t="shared" si="9"/>
        <v>0</v>
      </c>
      <c r="M244" s="14">
        <f>IF(OR(L244=0,T244&lt;&gt;"Sim"),0,INDEX(Processos!$X$10:$X$509,O244))</f>
        <v>0</v>
      </c>
      <c r="N244" s="40" t="str">
        <f t="shared" si="10"/>
        <v/>
      </c>
      <c r="O244" s="14">
        <f>IF(AND(A244&lt;&gt;"",ISTEXT(A244),COUNTIFS(Processos!$AS$10:$AS$509,"="&amp;SUBSTITUTE(SUBSTITUTE(SUBSTITUTE("P:"&amp;A244,"~","~~"),"*","~*"),"?","~?"))=1),(IF(ISNA(MATCH(SUBSTITUTE(SUBSTITUTE(SUBSTITUTE("P:"&amp;A244,"~","~~"),"*","~*"),"?","~?"),Processos!$AS$10:$AS$509,0)),9,INDEX(Processos!$AM$10:$AM$509,MATCH(SUBSTITUTE(SUBSTITUTE(SUBSTITUTE("P:"&amp;A244,"~","~~"),"*","~*"),"?","~?"),Processos!$AS$10:$AS$509,0)))-9),0)</f>
        <v>0</v>
      </c>
      <c r="P244" s="14" t="str">
        <f>IF(L244=0,"",INDEX(Processos!$D$10:$D$509,O244))</f>
        <v/>
      </c>
      <c r="Q244" s="14">
        <f>IF(OR(L244=0,T244&lt;&gt;"Sim"),0,INDEX(Processos!$AL$10:$AL$509,O244))</f>
        <v>0</v>
      </c>
      <c r="R244" s="14">
        <f>ROW()</f>
        <v>244</v>
      </c>
      <c r="S244" s="14" t="str">
        <f t="shared" si="11"/>
        <v/>
      </c>
      <c r="T244" s="27" t="s">
        <v>1113</v>
      </c>
      <c r="U244" s="28"/>
      <c r="V244" s="28"/>
      <c r="W244" s="28"/>
      <c r="X244" s="28"/>
      <c r="Y244" s="27"/>
      <c r="Z244" s="27"/>
      <c r="AA244" s="27"/>
      <c r="AB244" s="27"/>
    </row>
    <row r="245" spans="1:28" ht="42" customHeight="1">
      <c r="A245" s="41"/>
      <c r="B245" s="42"/>
      <c r="C245" s="42"/>
      <c r="D245" s="42"/>
      <c r="E245" s="42"/>
      <c r="F245" s="42"/>
      <c r="G245" s="42"/>
      <c r="H245" s="45"/>
      <c r="I245" s="44"/>
      <c r="J245" s="43"/>
      <c r="K245" s="44"/>
      <c r="L245" s="14">
        <f t="shared" si="9"/>
        <v>0</v>
      </c>
      <c r="M245" s="14">
        <f>IF(OR(L245=0,T245&lt;&gt;"Sim"),0,INDEX(Processos!$X$10:$X$509,O245))</f>
        <v>0</v>
      </c>
      <c r="N245" s="40" t="str">
        <f t="shared" si="10"/>
        <v/>
      </c>
      <c r="O245" s="14">
        <f>IF(AND(A245&lt;&gt;"",ISTEXT(A245),COUNTIFS(Processos!$AS$10:$AS$509,"="&amp;SUBSTITUTE(SUBSTITUTE(SUBSTITUTE("P:"&amp;A245,"~","~~"),"*","~*"),"?","~?"))=1),(IF(ISNA(MATCH(SUBSTITUTE(SUBSTITUTE(SUBSTITUTE("P:"&amp;A245,"~","~~"),"*","~*"),"?","~?"),Processos!$AS$10:$AS$509,0)),9,INDEX(Processos!$AM$10:$AM$509,MATCH(SUBSTITUTE(SUBSTITUTE(SUBSTITUTE("P:"&amp;A245,"~","~~"),"*","~*"),"?","~?"),Processos!$AS$10:$AS$509,0)))-9),0)</f>
        <v>0</v>
      </c>
      <c r="P245" s="14" t="str">
        <f>IF(L245=0,"",INDEX(Processos!$D$10:$D$509,O245))</f>
        <v/>
      </c>
      <c r="Q245" s="14">
        <f>IF(OR(L245=0,T245&lt;&gt;"Sim"),0,INDEX(Processos!$AL$10:$AL$509,O245))</f>
        <v>0</v>
      </c>
      <c r="R245" s="14">
        <f>ROW()</f>
        <v>245</v>
      </c>
      <c r="S245" s="14" t="str">
        <f t="shared" si="11"/>
        <v/>
      </c>
      <c r="T245" s="27" t="s">
        <v>1113</v>
      </c>
      <c r="U245" s="28"/>
      <c r="V245" s="28"/>
      <c r="W245" s="28"/>
      <c r="X245" s="28"/>
      <c r="Y245" s="27"/>
      <c r="Z245" s="27"/>
      <c r="AA245" s="27"/>
      <c r="AB245" s="27"/>
    </row>
    <row r="246" spans="1:28" ht="42" customHeight="1">
      <c r="A246" s="41"/>
      <c r="B246" s="42"/>
      <c r="C246" s="42"/>
      <c r="D246" s="42"/>
      <c r="E246" s="42"/>
      <c r="F246" s="42"/>
      <c r="G246" s="42"/>
      <c r="H246" s="45"/>
      <c r="I246" s="44"/>
      <c r="J246" s="43"/>
      <c r="K246" s="44"/>
      <c r="L246" s="14">
        <f t="shared" si="9"/>
        <v>0</v>
      </c>
      <c r="M246" s="14">
        <f>IF(OR(L246=0,T246&lt;&gt;"Sim"),0,INDEX(Processos!$X$10:$X$509,O246))</f>
        <v>0</v>
      </c>
      <c r="N246" s="40" t="str">
        <f t="shared" si="10"/>
        <v/>
      </c>
      <c r="O246" s="14">
        <f>IF(AND(A246&lt;&gt;"",ISTEXT(A246),COUNTIFS(Processos!$AS$10:$AS$509,"="&amp;SUBSTITUTE(SUBSTITUTE(SUBSTITUTE("P:"&amp;A246,"~","~~"),"*","~*"),"?","~?"))=1),(IF(ISNA(MATCH(SUBSTITUTE(SUBSTITUTE(SUBSTITUTE("P:"&amp;A246,"~","~~"),"*","~*"),"?","~?"),Processos!$AS$10:$AS$509,0)),9,INDEX(Processos!$AM$10:$AM$509,MATCH(SUBSTITUTE(SUBSTITUTE(SUBSTITUTE("P:"&amp;A246,"~","~~"),"*","~*"),"?","~?"),Processos!$AS$10:$AS$509,0)))-9),0)</f>
        <v>0</v>
      </c>
      <c r="P246" s="14" t="str">
        <f>IF(L246=0,"",INDEX(Processos!$D$10:$D$509,O246))</f>
        <v/>
      </c>
      <c r="Q246" s="14">
        <f>IF(OR(L246=0,T246&lt;&gt;"Sim"),0,INDEX(Processos!$AL$10:$AL$509,O246))</f>
        <v>0</v>
      </c>
      <c r="R246" s="14">
        <f>ROW()</f>
        <v>246</v>
      </c>
      <c r="S246" s="14" t="str">
        <f t="shared" si="11"/>
        <v/>
      </c>
      <c r="T246" s="27" t="s">
        <v>1113</v>
      </c>
      <c r="U246" s="28"/>
      <c r="V246" s="28"/>
      <c r="W246" s="28"/>
      <c r="X246" s="28"/>
      <c r="Y246" s="27"/>
      <c r="Z246" s="27"/>
      <c r="AA246" s="27"/>
      <c r="AB246" s="27"/>
    </row>
    <row r="247" spans="1:28" ht="42" customHeight="1">
      <c r="A247" s="41"/>
      <c r="B247" s="42"/>
      <c r="C247" s="42"/>
      <c r="D247" s="42"/>
      <c r="E247" s="42"/>
      <c r="F247" s="42"/>
      <c r="G247" s="42"/>
      <c r="H247" s="45"/>
      <c r="I247" s="44"/>
      <c r="J247" s="43"/>
      <c r="K247" s="44"/>
      <c r="L247" s="14">
        <f t="shared" si="9"/>
        <v>0</v>
      </c>
      <c r="M247" s="14">
        <f>IF(OR(L247=0,T247&lt;&gt;"Sim"),0,INDEX(Processos!$X$10:$X$509,O247))</f>
        <v>0</v>
      </c>
      <c r="N247" s="40" t="str">
        <f t="shared" si="10"/>
        <v/>
      </c>
      <c r="O247" s="14">
        <f>IF(AND(A247&lt;&gt;"",ISTEXT(A247),COUNTIFS(Processos!$AS$10:$AS$509,"="&amp;SUBSTITUTE(SUBSTITUTE(SUBSTITUTE("P:"&amp;A247,"~","~~"),"*","~*"),"?","~?"))=1),(IF(ISNA(MATCH(SUBSTITUTE(SUBSTITUTE(SUBSTITUTE("P:"&amp;A247,"~","~~"),"*","~*"),"?","~?"),Processos!$AS$10:$AS$509,0)),9,INDEX(Processos!$AM$10:$AM$509,MATCH(SUBSTITUTE(SUBSTITUTE(SUBSTITUTE("P:"&amp;A247,"~","~~"),"*","~*"),"?","~?"),Processos!$AS$10:$AS$509,0)))-9),0)</f>
        <v>0</v>
      </c>
      <c r="P247" s="14" t="str">
        <f>IF(L247=0,"",INDEX(Processos!$D$10:$D$509,O247))</f>
        <v/>
      </c>
      <c r="Q247" s="14">
        <f>IF(OR(L247=0,T247&lt;&gt;"Sim"),0,INDEX(Processos!$AL$10:$AL$509,O247))</f>
        <v>0</v>
      </c>
      <c r="R247" s="14">
        <f>ROW()</f>
        <v>247</v>
      </c>
      <c r="S247" s="14" t="str">
        <f t="shared" si="11"/>
        <v/>
      </c>
      <c r="T247" s="27" t="s">
        <v>1113</v>
      </c>
      <c r="U247" s="28"/>
      <c r="V247" s="28"/>
      <c r="W247" s="28"/>
      <c r="X247" s="28"/>
      <c r="Y247" s="27"/>
      <c r="Z247" s="27"/>
      <c r="AA247" s="27"/>
      <c r="AB247" s="27"/>
    </row>
    <row r="248" spans="1:28" ht="42" customHeight="1">
      <c r="A248" s="41"/>
      <c r="B248" s="42"/>
      <c r="C248" s="42"/>
      <c r="D248" s="42"/>
      <c r="E248" s="42"/>
      <c r="F248" s="42"/>
      <c r="G248" s="42"/>
      <c r="H248" s="45"/>
      <c r="I248" s="44"/>
      <c r="J248" s="43"/>
      <c r="K248" s="44"/>
      <c r="L248" s="14">
        <f t="shared" si="9"/>
        <v>0</v>
      </c>
      <c r="M248" s="14">
        <f>IF(OR(L248=0,T248&lt;&gt;"Sim"),0,INDEX(Processos!$X$10:$X$509,O248))</f>
        <v>0</v>
      </c>
      <c r="N248" s="40" t="str">
        <f t="shared" si="10"/>
        <v/>
      </c>
      <c r="O248" s="14">
        <f>IF(AND(A248&lt;&gt;"",ISTEXT(A248),COUNTIFS(Processos!$AS$10:$AS$509,"="&amp;SUBSTITUTE(SUBSTITUTE(SUBSTITUTE("P:"&amp;A248,"~","~~"),"*","~*"),"?","~?"))=1),(IF(ISNA(MATCH(SUBSTITUTE(SUBSTITUTE(SUBSTITUTE("P:"&amp;A248,"~","~~"),"*","~*"),"?","~?"),Processos!$AS$10:$AS$509,0)),9,INDEX(Processos!$AM$10:$AM$509,MATCH(SUBSTITUTE(SUBSTITUTE(SUBSTITUTE("P:"&amp;A248,"~","~~"),"*","~*"),"?","~?"),Processos!$AS$10:$AS$509,0)))-9),0)</f>
        <v>0</v>
      </c>
      <c r="P248" s="14" t="str">
        <f>IF(L248=0,"",INDEX(Processos!$D$10:$D$509,O248))</f>
        <v/>
      </c>
      <c r="Q248" s="14">
        <f>IF(OR(L248=0,T248&lt;&gt;"Sim"),0,INDEX(Processos!$AL$10:$AL$509,O248))</f>
        <v>0</v>
      </c>
      <c r="R248" s="14">
        <f>ROW()</f>
        <v>248</v>
      </c>
      <c r="S248" s="14" t="str">
        <f t="shared" si="11"/>
        <v/>
      </c>
      <c r="T248" s="27" t="s">
        <v>1113</v>
      </c>
      <c r="U248" s="28"/>
      <c r="V248" s="28"/>
      <c r="W248" s="28"/>
      <c r="X248" s="28"/>
      <c r="Y248" s="27"/>
      <c r="Z248" s="27"/>
      <c r="AA248" s="27"/>
      <c r="AB248" s="27"/>
    </row>
    <row r="249" spans="1:28" ht="42" customHeight="1">
      <c r="A249" s="41"/>
      <c r="B249" s="42"/>
      <c r="C249" s="42"/>
      <c r="D249" s="42"/>
      <c r="E249" s="42"/>
      <c r="F249" s="42"/>
      <c r="G249" s="42"/>
      <c r="H249" s="45"/>
      <c r="I249" s="44"/>
      <c r="J249" s="43"/>
      <c r="K249" s="44"/>
      <c r="L249" s="14">
        <f t="shared" si="9"/>
        <v>0</v>
      </c>
      <c r="M249" s="14">
        <f>IF(OR(L249=0,T249&lt;&gt;"Sim"),0,INDEX(Processos!$X$10:$X$509,O249))</f>
        <v>0</v>
      </c>
      <c r="N249" s="40" t="str">
        <f t="shared" si="10"/>
        <v/>
      </c>
      <c r="O249" s="14">
        <f>IF(AND(A249&lt;&gt;"",ISTEXT(A249),COUNTIFS(Processos!$AS$10:$AS$509,"="&amp;SUBSTITUTE(SUBSTITUTE(SUBSTITUTE("P:"&amp;A249,"~","~~"),"*","~*"),"?","~?"))=1),(IF(ISNA(MATCH(SUBSTITUTE(SUBSTITUTE(SUBSTITUTE("P:"&amp;A249,"~","~~"),"*","~*"),"?","~?"),Processos!$AS$10:$AS$509,0)),9,INDEX(Processos!$AM$10:$AM$509,MATCH(SUBSTITUTE(SUBSTITUTE(SUBSTITUTE("P:"&amp;A249,"~","~~"),"*","~*"),"?","~?"),Processos!$AS$10:$AS$509,0)))-9),0)</f>
        <v>0</v>
      </c>
      <c r="P249" s="14" t="str">
        <f>IF(L249=0,"",INDEX(Processos!$D$10:$D$509,O249))</f>
        <v/>
      </c>
      <c r="Q249" s="14">
        <f>IF(OR(L249=0,T249&lt;&gt;"Sim"),0,INDEX(Processos!$AL$10:$AL$509,O249))</f>
        <v>0</v>
      </c>
      <c r="R249" s="14">
        <f>ROW()</f>
        <v>249</v>
      </c>
      <c r="S249" s="14" t="str">
        <f t="shared" si="11"/>
        <v/>
      </c>
      <c r="T249" s="27" t="s">
        <v>1113</v>
      </c>
      <c r="U249" s="28"/>
      <c r="V249" s="28"/>
      <c r="W249" s="28"/>
      <c r="X249" s="28"/>
      <c r="Y249" s="27"/>
      <c r="Z249" s="27"/>
      <c r="AA249" s="27"/>
      <c r="AB249" s="27"/>
    </row>
    <row r="250" spans="1:28" ht="42" customHeight="1">
      <c r="A250" s="41"/>
      <c r="B250" s="42"/>
      <c r="C250" s="42"/>
      <c r="D250" s="42"/>
      <c r="E250" s="42"/>
      <c r="F250" s="42"/>
      <c r="G250" s="42"/>
      <c r="H250" s="45"/>
      <c r="I250" s="44"/>
      <c r="J250" s="43"/>
      <c r="K250" s="44"/>
      <c r="L250" s="14">
        <f t="shared" si="9"/>
        <v>0</v>
      </c>
      <c r="M250" s="14">
        <f>IF(OR(L250=0,T250&lt;&gt;"Sim"),0,INDEX(Processos!$X$10:$X$509,O250))</f>
        <v>0</v>
      </c>
      <c r="N250" s="40" t="str">
        <f t="shared" si="10"/>
        <v/>
      </c>
      <c r="O250" s="14">
        <f>IF(AND(A250&lt;&gt;"",ISTEXT(A250),COUNTIFS(Processos!$AS$10:$AS$509,"="&amp;SUBSTITUTE(SUBSTITUTE(SUBSTITUTE("P:"&amp;A250,"~","~~"),"*","~*"),"?","~?"))=1),(IF(ISNA(MATCH(SUBSTITUTE(SUBSTITUTE(SUBSTITUTE("P:"&amp;A250,"~","~~"),"*","~*"),"?","~?"),Processos!$AS$10:$AS$509,0)),9,INDEX(Processos!$AM$10:$AM$509,MATCH(SUBSTITUTE(SUBSTITUTE(SUBSTITUTE("P:"&amp;A250,"~","~~"),"*","~*"),"?","~?"),Processos!$AS$10:$AS$509,0)))-9),0)</f>
        <v>0</v>
      </c>
      <c r="P250" s="14" t="str">
        <f>IF(L250=0,"",INDEX(Processos!$D$10:$D$509,O250))</f>
        <v/>
      </c>
      <c r="Q250" s="14">
        <f>IF(OR(L250=0,T250&lt;&gt;"Sim"),0,INDEX(Processos!$AL$10:$AL$509,O250))</f>
        <v>0</v>
      </c>
      <c r="R250" s="14">
        <f>ROW()</f>
        <v>250</v>
      </c>
      <c r="S250" s="14" t="str">
        <f t="shared" si="11"/>
        <v/>
      </c>
      <c r="T250" s="27" t="s">
        <v>1113</v>
      </c>
      <c r="U250" s="28"/>
      <c r="V250" s="28"/>
      <c r="W250" s="28"/>
      <c r="X250" s="28"/>
      <c r="Y250" s="27"/>
      <c r="Z250" s="27"/>
      <c r="AA250" s="27"/>
      <c r="AB250" s="27"/>
    </row>
    <row r="251" spans="1:28" ht="42" customHeight="1">
      <c r="A251" s="41"/>
      <c r="B251" s="42"/>
      <c r="C251" s="42"/>
      <c r="D251" s="42"/>
      <c r="E251" s="42"/>
      <c r="F251" s="42"/>
      <c r="G251" s="42"/>
      <c r="H251" s="45"/>
      <c r="I251" s="44"/>
      <c r="J251" s="43"/>
      <c r="K251" s="44"/>
      <c r="L251" s="14">
        <f t="shared" si="9"/>
        <v>0</v>
      </c>
      <c r="M251" s="14">
        <f>IF(OR(L251=0,T251&lt;&gt;"Sim"),0,INDEX(Processos!$X$10:$X$509,O251))</f>
        <v>0</v>
      </c>
      <c r="N251" s="40" t="str">
        <f t="shared" si="10"/>
        <v/>
      </c>
      <c r="O251" s="14">
        <f>IF(AND(A251&lt;&gt;"",ISTEXT(A251),COUNTIFS(Processos!$AS$10:$AS$509,"="&amp;SUBSTITUTE(SUBSTITUTE(SUBSTITUTE("P:"&amp;A251,"~","~~"),"*","~*"),"?","~?"))=1),(IF(ISNA(MATCH(SUBSTITUTE(SUBSTITUTE(SUBSTITUTE("P:"&amp;A251,"~","~~"),"*","~*"),"?","~?"),Processos!$AS$10:$AS$509,0)),9,INDEX(Processos!$AM$10:$AM$509,MATCH(SUBSTITUTE(SUBSTITUTE(SUBSTITUTE("P:"&amp;A251,"~","~~"),"*","~*"),"?","~?"),Processos!$AS$10:$AS$509,0)))-9),0)</f>
        <v>0</v>
      </c>
      <c r="P251" s="14" t="str">
        <f>IF(L251=0,"",INDEX(Processos!$D$10:$D$509,O251))</f>
        <v/>
      </c>
      <c r="Q251" s="14">
        <f>IF(OR(L251=0,T251&lt;&gt;"Sim"),0,INDEX(Processos!$AL$10:$AL$509,O251))</f>
        <v>0</v>
      </c>
      <c r="R251" s="14">
        <f>ROW()</f>
        <v>251</v>
      </c>
      <c r="S251" s="14" t="str">
        <f t="shared" si="11"/>
        <v/>
      </c>
      <c r="T251" s="27" t="s">
        <v>1113</v>
      </c>
      <c r="U251" s="28"/>
      <c r="V251" s="28"/>
      <c r="W251" s="28"/>
      <c r="X251" s="28"/>
      <c r="Y251" s="27"/>
      <c r="Z251" s="27"/>
      <c r="AA251" s="27"/>
      <c r="AB251" s="27"/>
    </row>
    <row r="252" spans="1:28" ht="42" customHeight="1">
      <c r="A252" s="41"/>
      <c r="B252" s="42"/>
      <c r="C252" s="42"/>
      <c r="D252" s="42"/>
      <c r="E252" s="42"/>
      <c r="F252" s="42"/>
      <c r="G252" s="42"/>
      <c r="H252" s="45"/>
      <c r="I252" s="44"/>
      <c r="J252" s="43"/>
      <c r="K252" s="44"/>
      <c r="L252" s="14">
        <f t="shared" si="9"/>
        <v>0</v>
      </c>
      <c r="M252" s="14">
        <f>IF(OR(L252=0,T252&lt;&gt;"Sim"),0,INDEX(Processos!$X$10:$X$509,O252))</f>
        <v>0</v>
      </c>
      <c r="N252" s="40" t="str">
        <f t="shared" si="10"/>
        <v/>
      </c>
      <c r="O252" s="14">
        <f>IF(AND(A252&lt;&gt;"",ISTEXT(A252),COUNTIFS(Processos!$AS$10:$AS$509,"="&amp;SUBSTITUTE(SUBSTITUTE(SUBSTITUTE("P:"&amp;A252,"~","~~"),"*","~*"),"?","~?"))=1),(IF(ISNA(MATCH(SUBSTITUTE(SUBSTITUTE(SUBSTITUTE("P:"&amp;A252,"~","~~"),"*","~*"),"?","~?"),Processos!$AS$10:$AS$509,0)),9,INDEX(Processos!$AM$10:$AM$509,MATCH(SUBSTITUTE(SUBSTITUTE(SUBSTITUTE("P:"&amp;A252,"~","~~"),"*","~*"),"?","~?"),Processos!$AS$10:$AS$509,0)))-9),0)</f>
        <v>0</v>
      </c>
      <c r="P252" s="14" t="str">
        <f>IF(L252=0,"",INDEX(Processos!$D$10:$D$509,O252))</f>
        <v/>
      </c>
      <c r="Q252" s="14">
        <f>IF(OR(L252=0,T252&lt;&gt;"Sim"),0,INDEX(Processos!$AL$10:$AL$509,O252))</f>
        <v>0</v>
      </c>
      <c r="R252" s="14">
        <f>ROW()</f>
        <v>252</v>
      </c>
      <c r="S252" s="14" t="str">
        <f t="shared" si="11"/>
        <v/>
      </c>
      <c r="T252" s="27" t="s">
        <v>1113</v>
      </c>
      <c r="U252" s="28"/>
      <c r="V252" s="28"/>
      <c r="W252" s="28"/>
      <c r="X252" s="28"/>
      <c r="Y252" s="27"/>
      <c r="Z252" s="27"/>
      <c r="AA252" s="27"/>
      <c r="AB252" s="27"/>
    </row>
    <row r="253" spans="1:28" ht="42" customHeight="1">
      <c r="A253" s="41"/>
      <c r="B253" s="42"/>
      <c r="C253" s="42"/>
      <c r="D253" s="42"/>
      <c r="E253" s="42"/>
      <c r="F253" s="42"/>
      <c r="G253" s="42"/>
      <c r="H253" s="45"/>
      <c r="I253" s="44"/>
      <c r="J253" s="43"/>
      <c r="K253" s="44"/>
      <c r="L253" s="14">
        <f t="shared" si="9"/>
        <v>0</v>
      </c>
      <c r="M253" s="14">
        <f>IF(OR(L253=0,T253&lt;&gt;"Sim"),0,INDEX(Processos!$X$10:$X$509,O253))</f>
        <v>0</v>
      </c>
      <c r="N253" s="40" t="str">
        <f t="shared" si="10"/>
        <v/>
      </c>
      <c r="O253" s="14">
        <f>IF(AND(A253&lt;&gt;"",ISTEXT(A253),COUNTIFS(Processos!$AS$10:$AS$509,"="&amp;SUBSTITUTE(SUBSTITUTE(SUBSTITUTE("P:"&amp;A253,"~","~~"),"*","~*"),"?","~?"))=1),(IF(ISNA(MATCH(SUBSTITUTE(SUBSTITUTE(SUBSTITUTE("P:"&amp;A253,"~","~~"),"*","~*"),"?","~?"),Processos!$AS$10:$AS$509,0)),9,INDEX(Processos!$AM$10:$AM$509,MATCH(SUBSTITUTE(SUBSTITUTE(SUBSTITUTE("P:"&amp;A253,"~","~~"),"*","~*"),"?","~?"),Processos!$AS$10:$AS$509,0)))-9),0)</f>
        <v>0</v>
      </c>
      <c r="P253" s="14" t="str">
        <f>IF(L253=0,"",INDEX(Processos!$D$10:$D$509,O253))</f>
        <v/>
      </c>
      <c r="Q253" s="14">
        <f>IF(OR(L253=0,T253&lt;&gt;"Sim"),0,INDEX(Processos!$AL$10:$AL$509,O253))</f>
        <v>0</v>
      </c>
      <c r="R253" s="14">
        <f>ROW()</f>
        <v>253</v>
      </c>
      <c r="S253" s="14" t="str">
        <f t="shared" si="11"/>
        <v/>
      </c>
      <c r="T253" s="27" t="s">
        <v>1113</v>
      </c>
      <c r="U253" s="28"/>
      <c r="V253" s="28"/>
      <c r="W253" s="28"/>
      <c r="X253" s="28"/>
      <c r="Y253" s="27"/>
      <c r="Z253" s="27"/>
      <c r="AA253" s="27"/>
      <c r="AB253" s="27"/>
    </row>
    <row r="254" spans="1:28" ht="42" customHeight="1">
      <c r="A254" s="41"/>
      <c r="B254" s="42"/>
      <c r="C254" s="42"/>
      <c r="D254" s="42"/>
      <c r="E254" s="42"/>
      <c r="F254" s="42"/>
      <c r="G254" s="42"/>
      <c r="H254" s="45"/>
      <c r="I254" s="44"/>
      <c r="J254" s="43"/>
      <c r="K254" s="44"/>
      <c r="L254" s="14">
        <f t="shared" si="9"/>
        <v>0</v>
      </c>
      <c r="M254" s="14">
        <f>IF(OR(L254=0,T254&lt;&gt;"Sim"),0,INDEX(Processos!$X$10:$X$509,O254))</f>
        <v>0</v>
      </c>
      <c r="N254" s="40" t="str">
        <f t="shared" si="10"/>
        <v/>
      </c>
      <c r="O254" s="14">
        <f>IF(AND(A254&lt;&gt;"",ISTEXT(A254),COUNTIFS(Processos!$AS$10:$AS$509,"="&amp;SUBSTITUTE(SUBSTITUTE(SUBSTITUTE("P:"&amp;A254,"~","~~"),"*","~*"),"?","~?"))=1),(IF(ISNA(MATCH(SUBSTITUTE(SUBSTITUTE(SUBSTITUTE("P:"&amp;A254,"~","~~"),"*","~*"),"?","~?"),Processos!$AS$10:$AS$509,0)),9,INDEX(Processos!$AM$10:$AM$509,MATCH(SUBSTITUTE(SUBSTITUTE(SUBSTITUTE("P:"&amp;A254,"~","~~"),"*","~*"),"?","~?"),Processos!$AS$10:$AS$509,0)))-9),0)</f>
        <v>0</v>
      </c>
      <c r="P254" s="14" t="str">
        <f>IF(L254=0,"",INDEX(Processos!$D$10:$D$509,O254))</f>
        <v/>
      </c>
      <c r="Q254" s="14">
        <f>IF(OR(L254=0,T254&lt;&gt;"Sim"),0,INDEX(Processos!$AL$10:$AL$509,O254))</f>
        <v>0</v>
      </c>
      <c r="R254" s="14">
        <f>ROW()</f>
        <v>254</v>
      </c>
      <c r="S254" s="14" t="str">
        <f t="shared" si="11"/>
        <v/>
      </c>
      <c r="T254" s="27" t="s">
        <v>1113</v>
      </c>
      <c r="U254" s="28"/>
      <c r="V254" s="28"/>
      <c r="W254" s="28"/>
      <c r="X254" s="28"/>
      <c r="Y254" s="27"/>
      <c r="Z254" s="27"/>
      <c r="AA254" s="27"/>
      <c r="AB254" s="27"/>
    </row>
    <row r="255" spans="1:28" ht="42" customHeight="1">
      <c r="A255" s="41"/>
      <c r="B255" s="42"/>
      <c r="C255" s="42"/>
      <c r="D255" s="42"/>
      <c r="E255" s="42"/>
      <c r="F255" s="42"/>
      <c r="G255" s="42"/>
      <c r="H255" s="45"/>
      <c r="I255" s="44"/>
      <c r="J255" s="43"/>
      <c r="K255" s="44"/>
      <c r="L255" s="14">
        <f t="shared" si="9"/>
        <v>0</v>
      </c>
      <c r="M255" s="14">
        <f>IF(OR(L255=0,T255&lt;&gt;"Sim"),0,INDEX(Processos!$X$10:$X$509,O255))</f>
        <v>0</v>
      </c>
      <c r="N255" s="40" t="str">
        <f t="shared" si="10"/>
        <v/>
      </c>
      <c r="O255" s="14">
        <f>IF(AND(A255&lt;&gt;"",ISTEXT(A255),COUNTIFS(Processos!$AS$10:$AS$509,"="&amp;SUBSTITUTE(SUBSTITUTE(SUBSTITUTE("P:"&amp;A255,"~","~~"),"*","~*"),"?","~?"))=1),(IF(ISNA(MATCH(SUBSTITUTE(SUBSTITUTE(SUBSTITUTE("P:"&amp;A255,"~","~~"),"*","~*"),"?","~?"),Processos!$AS$10:$AS$509,0)),9,INDEX(Processos!$AM$10:$AM$509,MATCH(SUBSTITUTE(SUBSTITUTE(SUBSTITUTE("P:"&amp;A255,"~","~~"),"*","~*"),"?","~?"),Processos!$AS$10:$AS$509,0)))-9),0)</f>
        <v>0</v>
      </c>
      <c r="P255" s="14" t="str">
        <f>IF(L255=0,"",INDEX(Processos!$D$10:$D$509,O255))</f>
        <v/>
      </c>
      <c r="Q255" s="14">
        <f>IF(OR(L255=0,T255&lt;&gt;"Sim"),0,INDEX(Processos!$AL$10:$AL$509,O255))</f>
        <v>0</v>
      </c>
      <c r="R255" s="14">
        <f>ROW()</f>
        <v>255</v>
      </c>
      <c r="S255" s="14" t="str">
        <f t="shared" si="11"/>
        <v/>
      </c>
      <c r="T255" s="27" t="s">
        <v>1113</v>
      </c>
      <c r="U255" s="28"/>
      <c r="V255" s="28"/>
      <c r="W255" s="28"/>
      <c r="X255" s="28"/>
      <c r="Y255" s="27"/>
      <c r="Z255" s="27"/>
      <c r="AA255" s="27"/>
      <c r="AB255" s="27"/>
    </row>
    <row r="256" spans="1:28" ht="42" customHeight="1">
      <c r="A256" s="41"/>
      <c r="B256" s="42"/>
      <c r="C256" s="42"/>
      <c r="D256" s="42"/>
      <c r="E256" s="42"/>
      <c r="F256" s="42"/>
      <c r="G256" s="42"/>
      <c r="H256" s="45"/>
      <c r="I256" s="44"/>
      <c r="J256" s="43"/>
      <c r="K256" s="44"/>
      <c r="L256" s="14">
        <f t="shared" si="9"/>
        <v>0</v>
      </c>
      <c r="M256" s="14">
        <f>IF(OR(L256=0,T256&lt;&gt;"Sim"),0,INDEX(Processos!$X$10:$X$509,O256))</f>
        <v>0</v>
      </c>
      <c r="N256" s="40" t="str">
        <f t="shared" si="10"/>
        <v/>
      </c>
      <c r="O256" s="14">
        <f>IF(AND(A256&lt;&gt;"",ISTEXT(A256),COUNTIFS(Processos!$AS$10:$AS$509,"="&amp;SUBSTITUTE(SUBSTITUTE(SUBSTITUTE("P:"&amp;A256,"~","~~"),"*","~*"),"?","~?"))=1),(IF(ISNA(MATCH(SUBSTITUTE(SUBSTITUTE(SUBSTITUTE("P:"&amp;A256,"~","~~"),"*","~*"),"?","~?"),Processos!$AS$10:$AS$509,0)),9,INDEX(Processos!$AM$10:$AM$509,MATCH(SUBSTITUTE(SUBSTITUTE(SUBSTITUTE("P:"&amp;A256,"~","~~"),"*","~*"),"?","~?"),Processos!$AS$10:$AS$509,0)))-9),0)</f>
        <v>0</v>
      </c>
      <c r="P256" s="14" t="str">
        <f>IF(L256=0,"",INDEX(Processos!$D$10:$D$509,O256))</f>
        <v/>
      </c>
      <c r="Q256" s="14">
        <f>IF(OR(L256=0,T256&lt;&gt;"Sim"),0,INDEX(Processos!$AL$10:$AL$509,O256))</f>
        <v>0</v>
      </c>
      <c r="R256" s="14">
        <f>ROW()</f>
        <v>256</v>
      </c>
      <c r="S256" s="14" t="str">
        <f t="shared" si="11"/>
        <v/>
      </c>
      <c r="T256" s="27" t="s">
        <v>1113</v>
      </c>
      <c r="U256" s="28"/>
      <c r="V256" s="28"/>
      <c r="W256" s="28"/>
      <c r="X256" s="28"/>
      <c r="Y256" s="27"/>
      <c r="Z256" s="27"/>
      <c r="AA256" s="27"/>
      <c r="AB256" s="27"/>
    </row>
    <row r="257" spans="1:28" ht="42" customHeight="1">
      <c r="A257" s="41"/>
      <c r="B257" s="42"/>
      <c r="C257" s="42"/>
      <c r="D257" s="42"/>
      <c r="E257" s="42"/>
      <c r="F257" s="42"/>
      <c r="G257" s="42"/>
      <c r="H257" s="45"/>
      <c r="I257" s="44"/>
      <c r="J257" s="43"/>
      <c r="K257" s="44"/>
      <c r="L257" s="14">
        <f t="shared" si="9"/>
        <v>0</v>
      </c>
      <c r="M257" s="14">
        <f>IF(OR(L257=0,T257&lt;&gt;"Sim"),0,INDEX(Processos!$X$10:$X$509,O257))</f>
        <v>0</v>
      </c>
      <c r="N257" s="40" t="str">
        <f t="shared" si="10"/>
        <v/>
      </c>
      <c r="O257" s="14">
        <f>IF(AND(A257&lt;&gt;"",ISTEXT(A257),COUNTIFS(Processos!$AS$10:$AS$509,"="&amp;SUBSTITUTE(SUBSTITUTE(SUBSTITUTE("P:"&amp;A257,"~","~~"),"*","~*"),"?","~?"))=1),(IF(ISNA(MATCH(SUBSTITUTE(SUBSTITUTE(SUBSTITUTE("P:"&amp;A257,"~","~~"),"*","~*"),"?","~?"),Processos!$AS$10:$AS$509,0)),9,INDEX(Processos!$AM$10:$AM$509,MATCH(SUBSTITUTE(SUBSTITUTE(SUBSTITUTE("P:"&amp;A257,"~","~~"),"*","~*"),"?","~?"),Processos!$AS$10:$AS$509,0)))-9),0)</f>
        <v>0</v>
      </c>
      <c r="P257" s="14" t="str">
        <f>IF(L257=0,"",INDEX(Processos!$D$10:$D$509,O257))</f>
        <v/>
      </c>
      <c r="Q257" s="14">
        <f>IF(OR(L257=0,T257&lt;&gt;"Sim"),0,INDEX(Processos!$AL$10:$AL$509,O257))</f>
        <v>0</v>
      </c>
      <c r="R257" s="14">
        <f>ROW()</f>
        <v>257</v>
      </c>
      <c r="S257" s="14" t="str">
        <f t="shared" si="11"/>
        <v/>
      </c>
      <c r="T257" s="27" t="s">
        <v>1113</v>
      </c>
      <c r="U257" s="28"/>
      <c r="V257" s="28"/>
      <c r="W257" s="28"/>
      <c r="X257" s="28"/>
      <c r="Y257" s="27"/>
      <c r="Z257" s="27"/>
      <c r="AA257" s="27"/>
      <c r="AB257" s="27"/>
    </row>
    <row r="258" spans="1:28" ht="42" customHeight="1">
      <c r="A258" s="41"/>
      <c r="B258" s="42"/>
      <c r="C258" s="42"/>
      <c r="D258" s="42"/>
      <c r="E258" s="42"/>
      <c r="F258" s="42"/>
      <c r="G258" s="42"/>
      <c r="H258" s="45"/>
      <c r="I258" s="44"/>
      <c r="J258" s="43"/>
      <c r="K258" s="44"/>
      <c r="L258" s="14">
        <f t="shared" si="9"/>
        <v>0</v>
      </c>
      <c r="M258" s="14">
        <f>IF(OR(L258=0,T258&lt;&gt;"Sim"),0,INDEX(Processos!$X$10:$X$509,O258))</f>
        <v>0</v>
      </c>
      <c r="N258" s="40" t="str">
        <f t="shared" si="10"/>
        <v/>
      </c>
      <c r="O258" s="14">
        <f>IF(AND(A258&lt;&gt;"",ISTEXT(A258),COUNTIFS(Processos!$AS$10:$AS$509,"="&amp;SUBSTITUTE(SUBSTITUTE(SUBSTITUTE("P:"&amp;A258,"~","~~"),"*","~*"),"?","~?"))=1),(IF(ISNA(MATCH(SUBSTITUTE(SUBSTITUTE(SUBSTITUTE("P:"&amp;A258,"~","~~"),"*","~*"),"?","~?"),Processos!$AS$10:$AS$509,0)),9,INDEX(Processos!$AM$10:$AM$509,MATCH(SUBSTITUTE(SUBSTITUTE(SUBSTITUTE("P:"&amp;A258,"~","~~"),"*","~*"),"?","~?"),Processos!$AS$10:$AS$509,0)))-9),0)</f>
        <v>0</v>
      </c>
      <c r="P258" s="14" t="str">
        <f>IF(L258=0,"",INDEX(Processos!$D$10:$D$509,O258))</f>
        <v/>
      </c>
      <c r="Q258" s="14">
        <f>IF(OR(L258=0,T258&lt;&gt;"Sim"),0,INDEX(Processos!$AL$10:$AL$509,O258))</f>
        <v>0</v>
      </c>
      <c r="R258" s="14">
        <f>ROW()</f>
        <v>258</v>
      </c>
      <c r="S258" s="14" t="str">
        <f t="shared" si="11"/>
        <v/>
      </c>
      <c r="T258" s="27" t="s">
        <v>1113</v>
      </c>
      <c r="U258" s="28"/>
      <c r="V258" s="28"/>
      <c r="W258" s="28"/>
      <c r="X258" s="28"/>
      <c r="Y258" s="27"/>
      <c r="Z258" s="27"/>
      <c r="AA258" s="27"/>
      <c r="AB258" s="27"/>
    </row>
    <row r="259" spans="1:28" ht="42" customHeight="1">
      <c r="A259" s="41"/>
      <c r="B259" s="42"/>
      <c r="C259" s="42"/>
      <c r="D259" s="42"/>
      <c r="E259" s="42"/>
      <c r="F259" s="42"/>
      <c r="G259" s="42"/>
      <c r="H259" s="45"/>
      <c r="I259" s="44"/>
      <c r="J259" s="43"/>
      <c r="K259" s="44"/>
      <c r="L259" s="14">
        <f t="shared" si="9"/>
        <v>0</v>
      </c>
      <c r="M259" s="14">
        <f>IF(OR(L259=0,T259&lt;&gt;"Sim"),0,INDEX(Processos!$X$10:$X$509,O259))</f>
        <v>0</v>
      </c>
      <c r="N259" s="40" t="str">
        <f t="shared" si="10"/>
        <v/>
      </c>
      <c r="O259" s="14">
        <f>IF(AND(A259&lt;&gt;"",ISTEXT(A259),COUNTIFS(Processos!$AS$10:$AS$509,"="&amp;SUBSTITUTE(SUBSTITUTE(SUBSTITUTE("P:"&amp;A259,"~","~~"),"*","~*"),"?","~?"))=1),(IF(ISNA(MATCH(SUBSTITUTE(SUBSTITUTE(SUBSTITUTE("P:"&amp;A259,"~","~~"),"*","~*"),"?","~?"),Processos!$AS$10:$AS$509,0)),9,INDEX(Processos!$AM$10:$AM$509,MATCH(SUBSTITUTE(SUBSTITUTE(SUBSTITUTE("P:"&amp;A259,"~","~~"),"*","~*"),"?","~?"),Processos!$AS$10:$AS$509,0)))-9),0)</f>
        <v>0</v>
      </c>
      <c r="P259" s="14" t="str">
        <f>IF(L259=0,"",INDEX(Processos!$D$10:$D$509,O259))</f>
        <v/>
      </c>
      <c r="Q259" s="14">
        <f>IF(OR(L259=0,T259&lt;&gt;"Sim"),0,INDEX(Processos!$AL$10:$AL$509,O259))</f>
        <v>0</v>
      </c>
      <c r="R259" s="14">
        <f>ROW()</f>
        <v>259</v>
      </c>
      <c r="S259" s="14" t="str">
        <f t="shared" si="11"/>
        <v/>
      </c>
      <c r="T259" s="27" t="s">
        <v>1113</v>
      </c>
      <c r="U259" s="28"/>
      <c r="V259" s="28"/>
      <c r="W259" s="28"/>
      <c r="X259" s="28"/>
      <c r="Y259" s="27"/>
      <c r="Z259" s="27"/>
      <c r="AA259" s="27"/>
      <c r="AB259" s="27"/>
    </row>
    <row r="260" spans="1:28" ht="42" customHeight="1">
      <c r="A260" s="41"/>
      <c r="B260" s="42"/>
      <c r="C260" s="42"/>
      <c r="D260" s="42"/>
      <c r="E260" s="42"/>
      <c r="F260" s="42"/>
      <c r="G260" s="42"/>
      <c r="H260" s="45"/>
      <c r="I260" s="44"/>
      <c r="J260" s="43"/>
      <c r="K260" s="44"/>
      <c r="L260" s="14">
        <f t="shared" si="9"/>
        <v>0</v>
      </c>
      <c r="M260" s="14">
        <f>IF(OR(L260=0,T260&lt;&gt;"Sim"),0,INDEX(Processos!$X$10:$X$509,O260))</f>
        <v>0</v>
      </c>
      <c r="N260" s="40" t="str">
        <f t="shared" si="10"/>
        <v/>
      </c>
      <c r="O260" s="14">
        <f>IF(AND(A260&lt;&gt;"",ISTEXT(A260),COUNTIFS(Processos!$AS$10:$AS$509,"="&amp;SUBSTITUTE(SUBSTITUTE(SUBSTITUTE("P:"&amp;A260,"~","~~"),"*","~*"),"?","~?"))=1),(IF(ISNA(MATCH(SUBSTITUTE(SUBSTITUTE(SUBSTITUTE("P:"&amp;A260,"~","~~"),"*","~*"),"?","~?"),Processos!$AS$10:$AS$509,0)),9,INDEX(Processos!$AM$10:$AM$509,MATCH(SUBSTITUTE(SUBSTITUTE(SUBSTITUTE("P:"&amp;A260,"~","~~"),"*","~*"),"?","~?"),Processos!$AS$10:$AS$509,0)))-9),0)</f>
        <v>0</v>
      </c>
      <c r="P260" s="14" t="str">
        <f>IF(L260=0,"",INDEX(Processos!$D$10:$D$509,O260))</f>
        <v/>
      </c>
      <c r="Q260" s="14">
        <f>IF(OR(L260=0,T260&lt;&gt;"Sim"),0,INDEX(Processos!$AL$10:$AL$509,O260))</f>
        <v>0</v>
      </c>
      <c r="R260" s="14">
        <f>ROW()</f>
        <v>260</v>
      </c>
      <c r="S260" s="14" t="str">
        <f t="shared" si="11"/>
        <v/>
      </c>
      <c r="T260" s="27" t="s">
        <v>1113</v>
      </c>
      <c r="U260" s="28"/>
      <c r="V260" s="28"/>
      <c r="W260" s="28"/>
      <c r="X260" s="28"/>
      <c r="Y260" s="27"/>
      <c r="Z260" s="27"/>
      <c r="AA260" s="27"/>
      <c r="AB260" s="27"/>
    </row>
    <row r="261" spans="1:28" ht="42" customHeight="1">
      <c r="A261" s="41"/>
      <c r="B261" s="42"/>
      <c r="C261" s="42"/>
      <c r="D261" s="42"/>
      <c r="E261" s="42"/>
      <c r="F261" s="42"/>
      <c r="G261" s="42"/>
      <c r="H261" s="45"/>
      <c r="I261" s="44"/>
      <c r="J261" s="43"/>
      <c r="K261" s="44"/>
      <c r="L261" s="14">
        <f t="shared" si="9"/>
        <v>0</v>
      </c>
      <c r="M261" s="14">
        <f>IF(OR(L261=0,T261&lt;&gt;"Sim"),0,INDEX(Processos!$X$10:$X$509,O261))</f>
        <v>0</v>
      </c>
      <c r="N261" s="40" t="str">
        <f t="shared" si="10"/>
        <v/>
      </c>
      <c r="O261" s="14">
        <f>IF(AND(A261&lt;&gt;"",ISTEXT(A261),COUNTIFS(Processos!$AS$10:$AS$509,"="&amp;SUBSTITUTE(SUBSTITUTE(SUBSTITUTE("P:"&amp;A261,"~","~~"),"*","~*"),"?","~?"))=1),(IF(ISNA(MATCH(SUBSTITUTE(SUBSTITUTE(SUBSTITUTE("P:"&amp;A261,"~","~~"),"*","~*"),"?","~?"),Processos!$AS$10:$AS$509,0)),9,INDEX(Processos!$AM$10:$AM$509,MATCH(SUBSTITUTE(SUBSTITUTE(SUBSTITUTE("P:"&amp;A261,"~","~~"),"*","~*"),"?","~?"),Processos!$AS$10:$AS$509,0)))-9),0)</f>
        <v>0</v>
      </c>
      <c r="P261" s="14" t="str">
        <f>IF(L261=0,"",INDEX(Processos!$D$10:$D$509,O261))</f>
        <v/>
      </c>
      <c r="Q261" s="14">
        <f>IF(OR(L261=0,T261&lt;&gt;"Sim"),0,INDEX(Processos!$AL$10:$AL$509,O261))</f>
        <v>0</v>
      </c>
      <c r="R261" s="14">
        <f>ROW()</f>
        <v>261</v>
      </c>
      <c r="S261" s="14" t="str">
        <f t="shared" si="11"/>
        <v/>
      </c>
      <c r="T261" s="27" t="s">
        <v>1113</v>
      </c>
      <c r="U261" s="28"/>
      <c r="V261" s="28"/>
      <c r="W261" s="28"/>
      <c r="X261" s="28"/>
      <c r="Y261" s="27"/>
      <c r="Z261" s="27"/>
      <c r="AA261" s="27"/>
      <c r="AB261" s="27"/>
    </row>
    <row r="262" spans="1:28" ht="42" customHeight="1">
      <c r="A262" s="41"/>
      <c r="B262" s="42"/>
      <c r="C262" s="42"/>
      <c r="D262" s="42"/>
      <c r="E262" s="42"/>
      <c r="F262" s="42"/>
      <c r="G262" s="42"/>
      <c r="H262" s="45"/>
      <c r="I262" s="44"/>
      <c r="J262" s="43"/>
      <c r="K262" s="44"/>
      <c r="L262" s="14">
        <f t="shared" si="9"/>
        <v>0</v>
      </c>
      <c r="M262" s="14">
        <f>IF(OR(L262=0,T262&lt;&gt;"Sim"),0,INDEX(Processos!$X$10:$X$509,O262))</f>
        <v>0</v>
      </c>
      <c r="N262" s="40" t="str">
        <f t="shared" si="10"/>
        <v/>
      </c>
      <c r="O262" s="14">
        <f>IF(AND(A262&lt;&gt;"",ISTEXT(A262),COUNTIFS(Processos!$AS$10:$AS$509,"="&amp;SUBSTITUTE(SUBSTITUTE(SUBSTITUTE("P:"&amp;A262,"~","~~"),"*","~*"),"?","~?"))=1),(IF(ISNA(MATCH(SUBSTITUTE(SUBSTITUTE(SUBSTITUTE("P:"&amp;A262,"~","~~"),"*","~*"),"?","~?"),Processos!$AS$10:$AS$509,0)),9,INDEX(Processos!$AM$10:$AM$509,MATCH(SUBSTITUTE(SUBSTITUTE(SUBSTITUTE("P:"&amp;A262,"~","~~"),"*","~*"),"?","~?"),Processos!$AS$10:$AS$509,0)))-9),0)</f>
        <v>0</v>
      </c>
      <c r="P262" s="14" t="str">
        <f>IF(L262=0,"",INDEX(Processos!$D$10:$D$509,O262))</f>
        <v/>
      </c>
      <c r="Q262" s="14">
        <f>IF(OR(L262=0,T262&lt;&gt;"Sim"),0,INDEX(Processos!$AL$10:$AL$509,O262))</f>
        <v>0</v>
      </c>
      <c r="R262" s="14">
        <f>ROW()</f>
        <v>262</v>
      </c>
      <c r="S262" s="14" t="str">
        <f t="shared" si="11"/>
        <v/>
      </c>
      <c r="T262" s="27" t="s">
        <v>1113</v>
      </c>
      <c r="U262" s="28"/>
      <c r="V262" s="28"/>
      <c r="W262" s="28"/>
      <c r="X262" s="28"/>
      <c r="Y262" s="27"/>
      <c r="Z262" s="27"/>
      <c r="AA262" s="27"/>
      <c r="AB262" s="27"/>
    </row>
    <row r="263" spans="1:28" ht="42" customHeight="1">
      <c r="A263" s="41"/>
      <c r="B263" s="42"/>
      <c r="C263" s="42"/>
      <c r="D263" s="42"/>
      <c r="E263" s="42"/>
      <c r="F263" s="42"/>
      <c r="G263" s="42"/>
      <c r="H263" s="45"/>
      <c r="I263" s="44"/>
      <c r="J263" s="43"/>
      <c r="K263" s="44"/>
      <c r="L263" s="14">
        <f t="shared" si="9"/>
        <v>0</v>
      </c>
      <c r="M263" s="14">
        <f>IF(OR(L263=0,T263&lt;&gt;"Sim"),0,INDEX(Processos!$X$10:$X$509,O263))</f>
        <v>0</v>
      </c>
      <c r="N263" s="40" t="str">
        <f t="shared" si="10"/>
        <v/>
      </c>
      <c r="O263" s="14">
        <f>IF(AND(A263&lt;&gt;"",ISTEXT(A263),COUNTIFS(Processos!$AS$10:$AS$509,"="&amp;SUBSTITUTE(SUBSTITUTE(SUBSTITUTE("P:"&amp;A263,"~","~~"),"*","~*"),"?","~?"))=1),(IF(ISNA(MATCH(SUBSTITUTE(SUBSTITUTE(SUBSTITUTE("P:"&amp;A263,"~","~~"),"*","~*"),"?","~?"),Processos!$AS$10:$AS$509,0)),9,INDEX(Processos!$AM$10:$AM$509,MATCH(SUBSTITUTE(SUBSTITUTE(SUBSTITUTE("P:"&amp;A263,"~","~~"),"*","~*"),"?","~?"),Processos!$AS$10:$AS$509,0)))-9),0)</f>
        <v>0</v>
      </c>
      <c r="P263" s="14" t="str">
        <f>IF(L263=0,"",INDEX(Processos!$D$10:$D$509,O263))</f>
        <v/>
      </c>
      <c r="Q263" s="14">
        <f>IF(OR(L263=0,T263&lt;&gt;"Sim"),0,INDEX(Processos!$AL$10:$AL$509,O263))</f>
        <v>0</v>
      </c>
      <c r="R263" s="14">
        <f>ROW()</f>
        <v>263</v>
      </c>
      <c r="S263" s="14" t="str">
        <f t="shared" si="11"/>
        <v/>
      </c>
      <c r="T263" s="27" t="s">
        <v>1113</v>
      </c>
      <c r="U263" s="28"/>
      <c r="V263" s="28"/>
      <c r="W263" s="28"/>
      <c r="X263" s="28"/>
      <c r="Y263" s="27"/>
      <c r="Z263" s="27"/>
      <c r="AA263" s="27"/>
      <c r="AB263" s="27"/>
    </row>
    <row r="264" spans="1:28" ht="42" customHeight="1">
      <c r="A264" s="41"/>
      <c r="B264" s="42"/>
      <c r="C264" s="42"/>
      <c r="D264" s="42"/>
      <c r="E264" s="42"/>
      <c r="F264" s="42"/>
      <c r="G264" s="42"/>
      <c r="H264" s="45"/>
      <c r="I264" s="44"/>
      <c r="J264" s="43"/>
      <c r="K264" s="44"/>
      <c r="L264" s="14">
        <f t="shared" si="9"/>
        <v>0</v>
      </c>
      <c r="M264" s="14">
        <f>IF(OR(L264=0,T264&lt;&gt;"Sim"),0,INDEX(Processos!$X$10:$X$509,O264))</f>
        <v>0</v>
      </c>
      <c r="N264" s="40" t="str">
        <f t="shared" si="10"/>
        <v/>
      </c>
      <c r="O264" s="14">
        <f>IF(AND(A264&lt;&gt;"",ISTEXT(A264),COUNTIFS(Processos!$AS$10:$AS$509,"="&amp;SUBSTITUTE(SUBSTITUTE(SUBSTITUTE("P:"&amp;A264,"~","~~"),"*","~*"),"?","~?"))=1),(IF(ISNA(MATCH(SUBSTITUTE(SUBSTITUTE(SUBSTITUTE("P:"&amp;A264,"~","~~"),"*","~*"),"?","~?"),Processos!$AS$10:$AS$509,0)),9,INDEX(Processos!$AM$10:$AM$509,MATCH(SUBSTITUTE(SUBSTITUTE(SUBSTITUTE("P:"&amp;A264,"~","~~"),"*","~*"),"?","~?"),Processos!$AS$10:$AS$509,0)))-9),0)</f>
        <v>0</v>
      </c>
      <c r="P264" s="14" t="str">
        <f>IF(L264=0,"",INDEX(Processos!$D$10:$D$509,O264))</f>
        <v/>
      </c>
      <c r="Q264" s="14">
        <f>IF(OR(L264=0,T264&lt;&gt;"Sim"),0,INDEX(Processos!$AL$10:$AL$509,O264))</f>
        <v>0</v>
      </c>
      <c r="R264" s="14">
        <f>ROW()</f>
        <v>264</v>
      </c>
      <c r="S264" s="14" t="str">
        <f t="shared" si="11"/>
        <v/>
      </c>
      <c r="T264" s="27" t="s">
        <v>1113</v>
      </c>
      <c r="U264" s="28"/>
      <c r="V264" s="28"/>
      <c r="W264" s="28"/>
      <c r="X264" s="28"/>
      <c r="Y264" s="27"/>
      <c r="Z264" s="27"/>
      <c r="AA264" s="27"/>
      <c r="AB264" s="27"/>
    </row>
    <row r="265" spans="1:28" ht="42" customHeight="1">
      <c r="A265" s="41"/>
      <c r="B265" s="42"/>
      <c r="C265" s="42"/>
      <c r="D265" s="42"/>
      <c r="E265" s="42"/>
      <c r="F265" s="42"/>
      <c r="G265" s="42"/>
      <c r="H265" s="45"/>
      <c r="I265" s="44"/>
      <c r="J265" s="43"/>
      <c r="K265" s="44"/>
      <c r="L265" s="14">
        <f t="shared" si="9"/>
        <v>0</v>
      </c>
      <c r="M265" s="14">
        <f>IF(OR(L265=0,T265&lt;&gt;"Sim"),0,INDEX(Processos!$X$10:$X$509,O265))</f>
        <v>0</v>
      </c>
      <c r="N265" s="40" t="str">
        <f t="shared" si="10"/>
        <v/>
      </c>
      <c r="O265" s="14">
        <f>IF(AND(A265&lt;&gt;"",ISTEXT(A265),COUNTIFS(Processos!$AS$10:$AS$509,"="&amp;SUBSTITUTE(SUBSTITUTE(SUBSTITUTE("P:"&amp;A265,"~","~~"),"*","~*"),"?","~?"))=1),(IF(ISNA(MATCH(SUBSTITUTE(SUBSTITUTE(SUBSTITUTE("P:"&amp;A265,"~","~~"),"*","~*"),"?","~?"),Processos!$AS$10:$AS$509,0)),9,INDEX(Processos!$AM$10:$AM$509,MATCH(SUBSTITUTE(SUBSTITUTE(SUBSTITUTE("P:"&amp;A265,"~","~~"),"*","~*"),"?","~?"),Processos!$AS$10:$AS$509,0)))-9),0)</f>
        <v>0</v>
      </c>
      <c r="P265" s="14" t="str">
        <f>IF(L265=0,"",INDEX(Processos!$D$10:$D$509,O265))</f>
        <v/>
      </c>
      <c r="Q265" s="14">
        <f>IF(OR(L265=0,T265&lt;&gt;"Sim"),0,INDEX(Processos!$AL$10:$AL$509,O265))</f>
        <v>0</v>
      </c>
      <c r="R265" s="14">
        <f>ROW()</f>
        <v>265</v>
      </c>
      <c r="S265" s="14" t="str">
        <f t="shared" si="11"/>
        <v/>
      </c>
      <c r="T265" s="27" t="s">
        <v>1113</v>
      </c>
      <c r="U265" s="28"/>
      <c r="V265" s="28"/>
      <c r="W265" s="28"/>
      <c r="X265" s="28"/>
      <c r="Y265" s="27"/>
      <c r="Z265" s="27"/>
      <c r="AA265" s="27"/>
      <c r="AB265" s="27"/>
    </row>
    <row r="266" spans="1:28" ht="42" customHeight="1">
      <c r="A266" s="41"/>
      <c r="B266" s="42"/>
      <c r="C266" s="42"/>
      <c r="D266" s="42"/>
      <c r="E266" s="42"/>
      <c r="F266" s="42"/>
      <c r="G266" s="42"/>
      <c r="H266" s="45"/>
      <c r="I266" s="44"/>
      <c r="J266" s="43"/>
      <c r="K266" s="44"/>
      <c r="L266" s="14">
        <f t="shared" ref="L266:L329" si="12">IF(AND(A266&lt;&gt;"",ISTEXT(A266),O266&gt;0,COUNTIFS($S$10:$S$509,"="&amp;SUBSTITUTE(SUBSTITUTE(SUBSTITUTE("P:"&amp;A266,"~","~~"),"*","~*"),"?","~?"))=1),1,0)</f>
        <v>0</v>
      </c>
      <c r="M266" s="14">
        <f>IF(OR(L266=0,T266&lt;&gt;"Sim"),0,INDEX(Processos!$X$10:$X$509,O266))</f>
        <v>0</v>
      </c>
      <c r="N266" s="40" t="str">
        <f t="shared" ref="N266:N329" si="13">IF(COUNTA(A266:K266)=0,"",IF(A266="","Selecione o processo",IF(O266=0,"Processo inexistente, duplicado ou número não textual",IF(COUNTIFS($S$10:$S$509,"="&amp;SUBSTITUTE(SUBSTITUTE(SUBSTITUTE("P:"&amp;A266,"~","~~"),"*","~*"),"?","~?"))&gt;1,"Mantenha apenas uma linha de valores por processo",IF(COUNT(B266:G266)&lt;&gt;COUNTA(B266:G266),"Use números nos campos financeiros",IF(MIN(B266:G266)&lt;0,"Revise os valores negativos",IF(AND(H266&lt;&gt;"",OR(NOT(ISNUMBER(H266)),H266&lt;0,H266&gt;1)),"Probabilidade deve estar entre 0% e 100%",IF(AND(J266&lt;&gt;"",OR(NOT(ISNUMBER(J266)),J266&lt;1,J266&gt;100000)),"Revise a data da avaliação",IF(AND(COUNTA(B266:I266)&gt;0,J266=""),"Informe a data da revisão financeira","")))))))))</f>
        <v/>
      </c>
      <c r="O266" s="14">
        <f>IF(AND(A266&lt;&gt;"",ISTEXT(A266),COUNTIFS(Processos!$AS$10:$AS$509,"="&amp;SUBSTITUTE(SUBSTITUTE(SUBSTITUTE("P:"&amp;A266,"~","~~"),"*","~*"),"?","~?"))=1),(IF(ISNA(MATCH(SUBSTITUTE(SUBSTITUTE(SUBSTITUTE("P:"&amp;A266,"~","~~"),"*","~*"),"?","~?"),Processos!$AS$10:$AS$509,0)),9,INDEX(Processos!$AM$10:$AM$509,MATCH(SUBSTITUTE(SUBSTITUTE(SUBSTITUTE("P:"&amp;A266,"~","~~"),"*","~*"),"?","~?"),Processos!$AS$10:$AS$509,0)))-9),0)</f>
        <v>0</v>
      </c>
      <c r="P266" s="14" t="str">
        <f>IF(L266=0,"",INDEX(Processos!$D$10:$D$509,O266))</f>
        <v/>
      </c>
      <c r="Q266" s="14">
        <f>IF(OR(L266=0,T266&lt;&gt;"Sim"),0,INDEX(Processos!$AL$10:$AL$509,O266))</f>
        <v>0</v>
      </c>
      <c r="R266" s="14">
        <f>ROW()</f>
        <v>266</v>
      </c>
      <c r="S266" s="14" t="str">
        <f t="shared" ref="S266:S329" si="14">IF(AND(A266&lt;&gt;"",ISTEXT(A266)),"P:"&amp;A266,"")</f>
        <v/>
      </c>
      <c r="T266" s="27" t="s">
        <v>1113</v>
      </c>
      <c r="U266" s="28"/>
      <c r="V266" s="28"/>
      <c r="W266" s="28"/>
      <c r="X266" s="28"/>
      <c r="Y266" s="27"/>
      <c r="Z266" s="27"/>
      <c r="AA266" s="27"/>
      <c r="AB266" s="27"/>
    </row>
    <row r="267" spans="1:28" ht="42" customHeight="1">
      <c r="A267" s="41"/>
      <c r="B267" s="42"/>
      <c r="C267" s="42"/>
      <c r="D267" s="42"/>
      <c r="E267" s="42"/>
      <c r="F267" s="42"/>
      <c r="G267" s="42"/>
      <c r="H267" s="45"/>
      <c r="I267" s="44"/>
      <c r="J267" s="43"/>
      <c r="K267" s="44"/>
      <c r="L267" s="14">
        <f t="shared" si="12"/>
        <v>0</v>
      </c>
      <c r="M267" s="14">
        <f>IF(OR(L267=0,T267&lt;&gt;"Sim"),0,INDEX(Processos!$X$10:$X$509,O267))</f>
        <v>0</v>
      </c>
      <c r="N267" s="40" t="str">
        <f t="shared" si="13"/>
        <v/>
      </c>
      <c r="O267" s="14">
        <f>IF(AND(A267&lt;&gt;"",ISTEXT(A267),COUNTIFS(Processos!$AS$10:$AS$509,"="&amp;SUBSTITUTE(SUBSTITUTE(SUBSTITUTE("P:"&amp;A267,"~","~~"),"*","~*"),"?","~?"))=1),(IF(ISNA(MATCH(SUBSTITUTE(SUBSTITUTE(SUBSTITUTE("P:"&amp;A267,"~","~~"),"*","~*"),"?","~?"),Processos!$AS$10:$AS$509,0)),9,INDEX(Processos!$AM$10:$AM$509,MATCH(SUBSTITUTE(SUBSTITUTE(SUBSTITUTE("P:"&amp;A267,"~","~~"),"*","~*"),"?","~?"),Processos!$AS$10:$AS$509,0)))-9),0)</f>
        <v>0</v>
      </c>
      <c r="P267" s="14" t="str">
        <f>IF(L267=0,"",INDEX(Processos!$D$10:$D$509,O267))</f>
        <v/>
      </c>
      <c r="Q267" s="14">
        <f>IF(OR(L267=0,T267&lt;&gt;"Sim"),0,INDEX(Processos!$AL$10:$AL$509,O267))</f>
        <v>0</v>
      </c>
      <c r="R267" s="14">
        <f>ROW()</f>
        <v>267</v>
      </c>
      <c r="S267" s="14" t="str">
        <f t="shared" si="14"/>
        <v/>
      </c>
      <c r="T267" s="27" t="s">
        <v>1113</v>
      </c>
      <c r="U267" s="28"/>
      <c r="V267" s="28"/>
      <c r="W267" s="28"/>
      <c r="X267" s="28"/>
      <c r="Y267" s="27"/>
      <c r="Z267" s="27"/>
      <c r="AA267" s="27"/>
      <c r="AB267" s="27"/>
    </row>
    <row r="268" spans="1:28" ht="42" customHeight="1">
      <c r="A268" s="41"/>
      <c r="B268" s="42"/>
      <c r="C268" s="42"/>
      <c r="D268" s="42"/>
      <c r="E268" s="42"/>
      <c r="F268" s="42"/>
      <c r="G268" s="42"/>
      <c r="H268" s="45"/>
      <c r="I268" s="44"/>
      <c r="J268" s="43"/>
      <c r="K268" s="44"/>
      <c r="L268" s="14">
        <f t="shared" si="12"/>
        <v>0</v>
      </c>
      <c r="M268" s="14">
        <f>IF(OR(L268=0,T268&lt;&gt;"Sim"),0,INDEX(Processos!$X$10:$X$509,O268))</f>
        <v>0</v>
      </c>
      <c r="N268" s="40" t="str">
        <f t="shared" si="13"/>
        <v/>
      </c>
      <c r="O268" s="14">
        <f>IF(AND(A268&lt;&gt;"",ISTEXT(A268),COUNTIFS(Processos!$AS$10:$AS$509,"="&amp;SUBSTITUTE(SUBSTITUTE(SUBSTITUTE("P:"&amp;A268,"~","~~"),"*","~*"),"?","~?"))=1),(IF(ISNA(MATCH(SUBSTITUTE(SUBSTITUTE(SUBSTITUTE("P:"&amp;A268,"~","~~"),"*","~*"),"?","~?"),Processos!$AS$10:$AS$509,0)),9,INDEX(Processos!$AM$10:$AM$509,MATCH(SUBSTITUTE(SUBSTITUTE(SUBSTITUTE("P:"&amp;A268,"~","~~"),"*","~*"),"?","~?"),Processos!$AS$10:$AS$509,0)))-9),0)</f>
        <v>0</v>
      </c>
      <c r="P268" s="14" t="str">
        <f>IF(L268=0,"",INDEX(Processos!$D$10:$D$509,O268))</f>
        <v/>
      </c>
      <c r="Q268" s="14">
        <f>IF(OR(L268=0,T268&lt;&gt;"Sim"),0,INDEX(Processos!$AL$10:$AL$509,O268))</f>
        <v>0</v>
      </c>
      <c r="R268" s="14">
        <f>ROW()</f>
        <v>268</v>
      </c>
      <c r="S268" s="14" t="str">
        <f t="shared" si="14"/>
        <v/>
      </c>
      <c r="T268" s="27" t="s">
        <v>1113</v>
      </c>
      <c r="U268" s="28"/>
      <c r="V268" s="28"/>
      <c r="W268" s="28"/>
      <c r="X268" s="28"/>
      <c r="Y268" s="27"/>
      <c r="Z268" s="27"/>
      <c r="AA268" s="27"/>
      <c r="AB268" s="27"/>
    </row>
    <row r="269" spans="1:28" ht="42" customHeight="1">
      <c r="A269" s="41"/>
      <c r="B269" s="42"/>
      <c r="C269" s="42"/>
      <c r="D269" s="42"/>
      <c r="E269" s="42"/>
      <c r="F269" s="42"/>
      <c r="G269" s="42"/>
      <c r="H269" s="45"/>
      <c r="I269" s="44"/>
      <c r="J269" s="43"/>
      <c r="K269" s="44"/>
      <c r="L269" s="14">
        <f t="shared" si="12"/>
        <v>0</v>
      </c>
      <c r="M269" s="14">
        <f>IF(OR(L269=0,T269&lt;&gt;"Sim"),0,INDEX(Processos!$X$10:$X$509,O269))</f>
        <v>0</v>
      </c>
      <c r="N269" s="40" t="str">
        <f t="shared" si="13"/>
        <v/>
      </c>
      <c r="O269" s="14">
        <f>IF(AND(A269&lt;&gt;"",ISTEXT(A269),COUNTIFS(Processos!$AS$10:$AS$509,"="&amp;SUBSTITUTE(SUBSTITUTE(SUBSTITUTE("P:"&amp;A269,"~","~~"),"*","~*"),"?","~?"))=1),(IF(ISNA(MATCH(SUBSTITUTE(SUBSTITUTE(SUBSTITUTE("P:"&amp;A269,"~","~~"),"*","~*"),"?","~?"),Processos!$AS$10:$AS$509,0)),9,INDEX(Processos!$AM$10:$AM$509,MATCH(SUBSTITUTE(SUBSTITUTE(SUBSTITUTE("P:"&amp;A269,"~","~~"),"*","~*"),"?","~?"),Processos!$AS$10:$AS$509,0)))-9),0)</f>
        <v>0</v>
      </c>
      <c r="P269" s="14" t="str">
        <f>IF(L269=0,"",INDEX(Processos!$D$10:$D$509,O269))</f>
        <v/>
      </c>
      <c r="Q269" s="14">
        <f>IF(OR(L269=0,T269&lt;&gt;"Sim"),0,INDEX(Processos!$AL$10:$AL$509,O269))</f>
        <v>0</v>
      </c>
      <c r="R269" s="14">
        <f>ROW()</f>
        <v>269</v>
      </c>
      <c r="S269" s="14" t="str">
        <f t="shared" si="14"/>
        <v/>
      </c>
      <c r="T269" s="27" t="s">
        <v>1113</v>
      </c>
      <c r="U269" s="28"/>
      <c r="V269" s="28"/>
      <c r="W269" s="28"/>
      <c r="X269" s="28"/>
      <c r="Y269" s="27"/>
      <c r="Z269" s="27"/>
      <c r="AA269" s="27"/>
      <c r="AB269" s="27"/>
    </row>
    <row r="270" spans="1:28" ht="42" customHeight="1">
      <c r="A270" s="41"/>
      <c r="B270" s="42"/>
      <c r="C270" s="42"/>
      <c r="D270" s="42"/>
      <c r="E270" s="42"/>
      <c r="F270" s="42"/>
      <c r="G270" s="42"/>
      <c r="H270" s="45"/>
      <c r="I270" s="44"/>
      <c r="J270" s="43"/>
      <c r="K270" s="44"/>
      <c r="L270" s="14">
        <f t="shared" si="12"/>
        <v>0</v>
      </c>
      <c r="M270" s="14">
        <f>IF(OR(L270=0,T270&lt;&gt;"Sim"),0,INDEX(Processos!$X$10:$X$509,O270))</f>
        <v>0</v>
      </c>
      <c r="N270" s="40" t="str">
        <f t="shared" si="13"/>
        <v/>
      </c>
      <c r="O270" s="14">
        <f>IF(AND(A270&lt;&gt;"",ISTEXT(A270),COUNTIFS(Processos!$AS$10:$AS$509,"="&amp;SUBSTITUTE(SUBSTITUTE(SUBSTITUTE("P:"&amp;A270,"~","~~"),"*","~*"),"?","~?"))=1),(IF(ISNA(MATCH(SUBSTITUTE(SUBSTITUTE(SUBSTITUTE("P:"&amp;A270,"~","~~"),"*","~*"),"?","~?"),Processos!$AS$10:$AS$509,0)),9,INDEX(Processos!$AM$10:$AM$509,MATCH(SUBSTITUTE(SUBSTITUTE(SUBSTITUTE("P:"&amp;A270,"~","~~"),"*","~*"),"?","~?"),Processos!$AS$10:$AS$509,0)))-9),0)</f>
        <v>0</v>
      </c>
      <c r="P270" s="14" t="str">
        <f>IF(L270=0,"",INDEX(Processos!$D$10:$D$509,O270))</f>
        <v/>
      </c>
      <c r="Q270" s="14">
        <f>IF(OR(L270=0,T270&lt;&gt;"Sim"),0,INDEX(Processos!$AL$10:$AL$509,O270))</f>
        <v>0</v>
      </c>
      <c r="R270" s="14">
        <f>ROW()</f>
        <v>270</v>
      </c>
      <c r="S270" s="14" t="str">
        <f t="shared" si="14"/>
        <v/>
      </c>
      <c r="T270" s="27" t="s">
        <v>1113</v>
      </c>
      <c r="U270" s="28"/>
      <c r="V270" s="28"/>
      <c r="W270" s="28"/>
      <c r="X270" s="28"/>
      <c r="Y270" s="27"/>
      <c r="Z270" s="27"/>
      <c r="AA270" s="27"/>
      <c r="AB270" s="27"/>
    </row>
    <row r="271" spans="1:28" ht="42" customHeight="1">
      <c r="A271" s="41"/>
      <c r="B271" s="42"/>
      <c r="C271" s="42"/>
      <c r="D271" s="42"/>
      <c r="E271" s="42"/>
      <c r="F271" s="42"/>
      <c r="G271" s="42"/>
      <c r="H271" s="45"/>
      <c r="I271" s="44"/>
      <c r="J271" s="43"/>
      <c r="K271" s="44"/>
      <c r="L271" s="14">
        <f t="shared" si="12"/>
        <v>0</v>
      </c>
      <c r="M271" s="14">
        <f>IF(OR(L271=0,T271&lt;&gt;"Sim"),0,INDEX(Processos!$X$10:$X$509,O271))</f>
        <v>0</v>
      </c>
      <c r="N271" s="40" t="str">
        <f t="shared" si="13"/>
        <v/>
      </c>
      <c r="O271" s="14">
        <f>IF(AND(A271&lt;&gt;"",ISTEXT(A271),COUNTIFS(Processos!$AS$10:$AS$509,"="&amp;SUBSTITUTE(SUBSTITUTE(SUBSTITUTE("P:"&amp;A271,"~","~~"),"*","~*"),"?","~?"))=1),(IF(ISNA(MATCH(SUBSTITUTE(SUBSTITUTE(SUBSTITUTE("P:"&amp;A271,"~","~~"),"*","~*"),"?","~?"),Processos!$AS$10:$AS$509,0)),9,INDEX(Processos!$AM$10:$AM$509,MATCH(SUBSTITUTE(SUBSTITUTE(SUBSTITUTE("P:"&amp;A271,"~","~~"),"*","~*"),"?","~?"),Processos!$AS$10:$AS$509,0)))-9),0)</f>
        <v>0</v>
      </c>
      <c r="P271" s="14" t="str">
        <f>IF(L271=0,"",INDEX(Processos!$D$10:$D$509,O271))</f>
        <v/>
      </c>
      <c r="Q271" s="14">
        <f>IF(OR(L271=0,T271&lt;&gt;"Sim"),0,INDEX(Processos!$AL$10:$AL$509,O271))</f>
        <v>0</v>
      </c>
      <c r="R271" s="14">
        <f>ROW()</f>
        <v>271</v>
      </c>
      <c r="S271" s="14" t="str">
        <f t="shared" si="14"/>
        <v/>
      </c>
      <c r="T271" s="27" t="s">
        <v>1113</v>
      </c>
      <c r="U271" s="28"/>
      <c r="V271" s="28"/>
      <c r="W271" s="28"/>
      <c r="X271" s="28"/>
      <c r="Y271" s="27"/>
      <c r="Z271" s="27"/>
      <c r="AA271" s="27"/>
      <c r="AB271" s="27"/>
    </row>
    <row r="272" spans="1:28" ht="42" customHeight="1">
      <c r="A272" s="41"/>
      <c r="B272" s="42"/>
      <c r="C272" s="42"/>
      <c r="D272" s="42"/>
      <c r="E272" s="42"/>
      <c r="F272" s="42"/>
      <c r="G272" s="42"/>
      <c r="H272" s="45"/>
      <c r="I272" s="44"/>
      <c r="J272" s="43"/>
      <c r="K272" s="44"/>
      <c r="L272" s="14">
        <f t="shared" si="12"/>
        <v>0</v>
      </c>
      <c r="M272" s="14">
        <f>IF(OR(L272=0,T272&lt;&gt;"Sim"),0,INDEX(Processos!$X$10:$X$509,O272))</f>
        <v>0</v>
      </c>
      <c r="N272" s="40" t="str">
        <f t="shared" si="13"/>
        <v/>
      </c>
      <c r="O272" s="14">
        <f>IF(AND(A272&lt;&gt;"",ISTEXT(A272),COUNTIFS(Processos!$AS$10:$AS$509,"="&amp;SUBSTITUTE(SUBSTITUTE(SUBSTITUTE("P:"&amp;A272,"~","~~"),"*","~*"),"?","~?"))=1),(IF(ISNA(MATCH(SUBSTITUTE(SUBSTITUTE(SUBSTITUTE("P:"&amp;A272,"~","~~"),"*","~*"),"?","~?"),Processos!$AS$10:$AS$509,0)),9,INDEX(Processos!$AM$10:$AM$509,MATCH(SUBSTITUTE(SUBSTITUTE(SUBSTITUTE("P:"&amp;A272,"~","~~"),"*","~*"),"?","~?"),Processos!$AS$10:$AS$509,0)))-9),0)</f>
        <v>0</v>
      </c>
      <c r="P272" s="14" t="str">
        <f>IF(L272=0,"",INDEX(Processos!$D$10:$D$509,O272))</f>
        <v/>
      </c>
      <c r="Q272" s="14">
        <f>IF(OR(L272=0,T272&lt;&gt;"Sim"),0,INDEX(Processos!$AL$10:$AL$509,O272))</f>
        <v>0</v>
      </c>
      <c r="R272" s="14">
        <f>ROW()</f>
        <v>272</v>
      </c>
      <c r="S272" s="14" t="str">
        <f t="shared" si="14"/>
        <v/>
      </c>
      <c r="T272" s="27" t="s">
        <v>1113</v>
      </c>
      <c r="U272" s="28"/>
      <c r="V272" s="28"/>
      <c r="W272" s="28"/>
      <c r="X272" s="28"/>
      <c r="Y272" s="27"/>
      <c r="Z272" s="27"/>
      <c r="AA272" s="27"/>
      <c r="AB272" s="27"/>
    </row>
    <row r="273" spans="1:28" ht="42" customHeight="1">
      <c r="A273" s="41"/>
      <c r="B273" s="42"/>
      <c r="C273" s="42"/>
      <c r="D273" s="42"/>
      <c r="E273" s="42"/>
      <c r="F273" s="42"/>
      <c r="G273" s="42"/>
      <c r="H273" s="45"/>
      <c r="I273" s="44"/>
      <c r="J273" s="43"/>
      <c r="K273" s="44"/>
      <c r="L273" s="14">
        <f t="shared" si="12"/>
        <v>0</v>
      </c>
      <c r="M273" s="14">
        <f>IF(OR(L273=0,T273&lt;&gt;"Sim"),0,INDEX(Processos!$X$10:$X$509,O273))</f>
        <v>0</v>
      </c>
      <c r="N273" s="40" t="str">
        <f t="shared" si="13"/>
        <v/>
      </c>
      <c r="O273" s="14">
        <f>IF(AND(A273&lt;&gt;"",ISTEXT(A273),COUNTIFS(Processos!$AS$10:$AS$509,"="&amp;SUBSTITUTE(SUBSTITUTE(SUBSTITUTE("P:"&amp;A273,"~","~~"),"*","~*"),"?","~?"))=1),(IF(ISNA(MATCH(SUBSTITUTE(SUBSTITUTE(SUBSTITUTE("P:"&amp;A273,"~","~~"),"*","~*"),"?","~?"),Processos!$AS$10:$AS$509,0)),9,INDEX(Processos!$AM$10:$AM$509,MATCH(SUBSTITUTE(SUBSTITUTE(SUBSTITUTE("P:"&amp;A273,"~","~~"),"*","~*"),"?","~?"),Processos!$AS$10:$AS$509,0)))-9),0)</f>
        <v>0</v>
      </c>
      <c r="P273" s="14" t="str">
        <f>IF(L273=0,"",INDEX(Processos!$D$10:$D$509,O273))</f>
        <v/>
      </c>
      <c r="Q273" s="14">
        <f>IF(OR(L273=0,T273&lt;&gt;"Sim"),0,INDEX(Processos!$AL$10:$AL$509,O273))</f>
        <v>0</v>
      </c>
      <c r="R273" s="14">
        <f>ROW()</f>
        <v>273</v>
      </c>
      <c r="S273" s="14" t="str">
        <f t="shared" si="14"/>
        <v/>
      </c>
      <c r="T273" s="27" t="s">
        <v>1113</v>
      </c>
      <c r="U273" s="28"/>
      <c r="V273" s="28"/>
      <c r="W273" s="28"/>
      <c r="X273" s="28"/>
      <c r="Y273" s="27"/>
      <c r="Z273" s="27"/>
      <c r="AA273" s="27"/>
      <c r="AB273" s="27"/>
    </row>
    <row r="274" spans="1:28" ht="42" customHeight="1">
      <c r="A274" s="41"/>
      <c r="B274" s="42"/>
      <c r="C274" s="42"/>
      <c r="D274" s="42"/>
      <c r="E274" s="42"/>
      <c r="F274" s="42"/>
      <c r="G274" s="42"/>
      <c r="H274" s="45"/>
      <c r="I274" s="44"/>
      <c r="J274" s="43"/>
      <c r="K274" s="44"/>
      <c r="L274" s="14">
        <f t="shared" si="12"/>
        <v>0</v>
      </c>
      <c r="M274" s="14">
        <f>IF(OR(L274=0,T274&lt;&gt;"Sim"),0,INDEX(Processos!$X$10:$X$509,O274))</f>
        <v>0</v>
      </c>
      <c r="N274" s="40" t="str">
        <f t="shared" si="13"/>
        <v/>
      </c>
      <c r="O274" s="14">
        <f>IF(AND(A274&lt;&gt;"",ISTEXT(A274),COUNTIFS(Processos!$AS$10:$AS$509,"="&amp;SUBSTITUTE(SUBSTITUTE(SUBSTITUTE("P:"&amp;A274,"~","~~"),"*","~*"),"?","~?"))=1),(IF(ISNA(MATCH(SUBSTITUTE(SUBSTITUTE(SUBSTITUTE("P:"&amp;A274,"~","~~"),"*","~*"),"?","~?"),Processos!$AS$10:$AS$509,0)),9,INDEX(Processos!$AM$10:$AM$509,MATCH(SUBSTITUTE(SUBSTITUTE(SUBSTITUTE("P:"&amp;A274,"~","~~"),"*","~*"),"?","~?"),Processos!$AS$10:$AS$509,0)))-9),0)</f>
        <v>0</v>
      </c>
      <c r="P274" s="14" t="str">
        <f>IF(L274=0,"",INDEX(Processos!$D$10:$D$509,O274))</f>
        <v/>
      </c>
      <c r="Q274" s="14">
        <f>IF(OR(L274=0,T274&lt;&gt;"Sim"),0,INDEX(Processos!$AL$10:$AL$509,O274))</f>
        <v>0</v>
      </c>
      <c r="R274" s="14">
        <f>ROW()</f>
        <v>274</v>
      </c>
      <c r="S274" s="14" t="str">
        <f t="shared" si="14"/>
        <v/>
      </c>
      <c r="T274" s="27" t="s">
        <v>1113</v>
      </c>
      <c r="U274" s="28"/>
      <c r="V274" s="28"/>
      <c r="W274" s="28"/>
      <c r="X274" s="28"/>
      <c r="Y274" s="27"/>
      <c r="Z274" s="27"/>
      <c r="AA274" s="27"/>
      <c r="AB274" s="27"/>
    </row>
    <row r="275" spans="1:28" ht="42" customHeight="1">
      <c r="A275" s="41"/>
      <c r="B275" s="42"/>
      <c r="C275" s="42"/>
      <c r="D275" s="42"/>
      <c r="E275" s="42"/>
      <c r="F275" s="42"/>
      <c r="G275" s="42"/>
      <c r="H275" s="45"/>
      <c r="I275" s="44"/>
      <c r="J275" s="43"/>
      <c r="K275" s="44"/>
      <c r="L275" s="14">
        <f t="shared" si="12"/>
        <v>0</v>
      </c>
      <c r="M275" s="14">
        <f>IF(OR(L275=0,T275&lt;&gt;"Sim"),0,INDEX(Processos!$X$10:$X$509,O275))</f>
        <v>0</v>
      </c>
      <c r="N275" s="40" t="str">
        <f t="shared" si="13"/>
        <v/>
      </c>
      <c r="O275" s="14">
        <f>IF(AND(A275&lt;&gt;"",ISTEXT(A275),COUNTIFS(Processos!$AS$10:$AS$509,"="&amp;SUBSTITUTE(SUBSTITUTE(SUBSTITUTE("P:"&amp;A275,"~","~~"),"*","~*"),"?","~?"))=1),(IF(ISNA(MATCH(SUBSTITUTE(SUBSTITUTE(SUBSTITUTE("P:"&amp;A275,"~","~~"),"*","~*"),"?","~?"),Processos!$AS$10:$AS$509,0)),9,INDEX(Processos!$AM$10:$AM$509,MATCH(SUBSTITUTE(SUBSTITUTE(SUBSTITUTE("P:"&amp;A275,"~","~~"),"*","~*"),"?","~?"),Processos!$AS$10:$AS$509,0)))-9),0)</f>
        <v>0</v>
      </c>
      <c r="P275" s="14" t="str">
        <f>IF(L275=0,"",INDEX(Processos!$D$10:$D$509,O275))</f>
        <v/>
      </c>
      <c r="Q275" s="14">
        <f>IF(OR(L275=0,T275&lt;&gt;"Sim"),0,INDEX(Processos!$AL$10:$AL$509,O275))</f>
        <v>0</v>
      </c>
      <c r="R275" s="14">
        <f>ROW()</f>
        <v>275</v>
      </c>
      <c r="S275" s="14" t="str">
        <f t="shared" si="14"/>
        <v/>
      </c>
      <c r="T275" s="27" t="s">
        <v>1113</v>
      </c>
      <c r="U275" s="28"/>
      <c r="V275" s="28"/>
      <c r="W275" s="28"/>
      <c r="X275" s="28"/>
      <c r="Y275" s="27"/>
      <c r="Z275" s="27"/>
      <c r="AA275" s="27"/>
      <c r="AB275" s="27"/>
    </row>
    <row r="276" spans="1:28" ht="42" customHeight="1">
      <c r="A276" s="41"/>
      <c r="B276" s="42"/>
      <c r="C276" s="42"/>
      <c r="D276" s="42"/>
      <c r="E276" s="42"/>
      <c r="F276" s="42"/>
      <c r="G276" s="42"/>
      <c r="H276" s="45"/>
      <c r="I276" s="44"/>
      <c r="J276" s="43"/>
      <c r="K276" s="44"/>
      <c r="L276" s="14">
        <f t="shared" si="12"/>
        <v>0</v>
      </c>
      <c r="M276" s="14">
        <f>IF(OR(L276=0,T276&lt;&gt;"Sim"),0,INDEX(Processos!$X$10:$X$509,O276))</f>
        <v>0</v>
      </c>
      <c r="N276" s="40" t="str">
        <f t="shared" si="13"/>
        <v/>
      </c>
      <c r="O276" s="14">
        <f>IF(AND(A276&lt;&gt;"",ISTEXT(A276),COUNTIFS(Processos!$AS$10:$AS$509,"="&amp;SUBSTITUTE(SUBSTITUTE(SUBSTITUTE("P:"&amp;A276,"~","~~"),"*","~*"),"?","~?"))=1),(IF(ISNA(MATCH(SUBSTITUTE(SUBSTITUTE(SUBSTITUTE("P:"&amp;A276,"~","~~"),"*","~*"),"?","~?"),Processos!$AS$10:$AS$509,0)),9,INDEX(Processos!$AM$10:$AM$509,MATCH(SUBSTITUTE(SUBSTITUTE(SUBSTITUTE("P:"&amp;A276,"~","~~"),"*","~*"),"?","~?"),Processos!$AS$10:$AS$509,0)))-9),0)</f>
        <v>0</v>
      </c>
      <c r="P276" s="14" t="str">
        <f>IF(L276=0,"",INDEX(Processos!$D$10:$D$509,O276))</f>
        <v/>
      </c>
      <c r="Q276" s="14">
        <f>IF(OR(L276=0,T276&lt;&gt;"Sim"),0,INDEX(Processos!$AL$10:$AL$509,O276))</f>
        <v>0</v>
      </c>
      <c r="R276" s="14">
        <f>ROW()</f>
        <v>276</v>
      </c>
      <c r="S276" s="14" t="str">
        <f t="shared" si="14"/>
        <v/>
      </c>
      <c r="T276" s="27" t="s">
        <v>1113</v>
      </c>
      <c r="U276" s="28"/>
      <c r="V276" s="28"/>
      <c r="W276" s="28"/>
      <c r="X276" s="28"/>
      <c r="Y276" s="27"/>
      <c r="Z276" s="27"/>
      <c r="AA276" s="27"/>
      <c r="AB276" s="27"/>
    </row>
    <row r="277" spans="1:28" ht="42" customHeight="1">
      <c r="A277" s="41"/>
      <c r="B277" s="42"/>
      <c r="C277" s="42"/>
      <c r="D277" s="42"/>
      <c r="E277" s="42"/>
      <c r="F277" s="42"/>
      <c r="G277" s="42"/>
      <c r="H277" s="45"/>
      <c r="I277" s="44"/>
      <c r="J277" s="43"/>
      <c r="K277" s="44"/>
      <c r="L277" s="14">
        <f t="shared" si="12"/>
        <v>0</v>
      </c>
      <c r="M277" s="14">
        <f>IF(OR(L277=0,T277&lt;&gt;"Sim"),0,INDEX(Processos!$X$10:$X$509,O277))</f>
        <v>0</v>
      </c>
      <c r="N277" s="40" t="str">
        <f t="shared" si="13"/>
        <v/>
      </c>
      <c r="O277" s="14">
        <f>IF(AND(A277&lt;&gt;"",ISTEXT(A277),COUNTIFS(Processos!$AS$10:$AS$509,"="&amp;SUBSTITUTE(SUBSTITUTE(SUBSTITUTE("P:"&amp;A277,"~","~~"),"*","~*"),"?","~?"))=1),(IF(ISNA(MATCH(SUBSTITUTE(SUBSTITUTE(SUBSTITUTE("P:"&amp;A277,"~","~~"),"*","~*"),"?","~?"),Processos!$AS$10:$AS$509,0)),9,INDEX(Processos!$AM$10:$AM$509,MATCH(SUBSTITUTE(SUBSTITUTE(SUBSTITUTE("P:"&amp;A277,"~","~~"),"*","~*"),"?","~?"),Processos!$AS$10:$AS$509,0)))-9),0)</f>
        <v>0</v>
      </c>
      <c r="P277" s="14" t="str">
        <f>IF(L277=0,"",INDEX(Processos!$D$10:$D$509,O277))</f>
        <v/>
      </c>
      <c r="Q277" s="14">
        <f>IF(OR(L277=0,T277&lt;&gt;"Sim"),0,INDEX(Processos!$AL$10:$AL$509,O277))</f>
        <v>0</v>
      </c>
      <c r="R277" s="14">
        <f>ROW()</f>
        <v>277</v>
      </c>
      <c r="S277" s="14" t="str">
        <f t="shared" si="14"/>
        <v/>
      </c>
      <c r="T277" s="27" t="s">
        <v>1113</v>
      </c>
      <c r="U277" s="28"/>
      <c r="V277" s="28"/>
      <c r="W277" s="28"/>
      <c r="X277" s="28"/>
      <c r="Y277" s="27"/>
      <c r="Z277" s="27"/>
      <c r="AA277" s="27"/>
      <c r="AB277" s="27"/>
    </row>
    <row r="278" spans="1:28" ht="42" customHeight="1">
      <c r="A278" s="41"/>
      <c r="B278" s="42"/>
      <c r="C278" s="42"/>
      <c r="D278" s="42"/>
      <c r="E278" s="42"/>
      <c r="F278" s="42"/>
      <c r="G278" s="42"/>
      <c r="H278" s="45"/>
      <c r="I278" s="44"/>
      <c r="J278" s="43"/>
      <c r="K278" s="44"/>
      <c r="L278" s="14">
        <f t="shared" si="12"/>
        <v>0</v>
      </c>
      <c r="M278" s="14">
        <f>IF(OR(L278=0,T278&lt;&gt;"Sim"),0,INDEX(Processos!$X$10:$X$509,O278))</f>
        <v>0</v>
      </c>
      <c r="N278" s="40" t="str">
        <f t="shared" si="13"/>
        <v/>
      </c>
      <c r="O278" s="14">
        <f>IF(AND(A278&lt;&gt;"",ISTEXT(A278),COUNTIFS(Processos!$AS$10:$AS$509,"="&amp;SUBSTITUTE(SUBSTITUTE(SUBSTITUTE("P:"&amp;A278,"~","~~"),"*","~*"),"?","~?"))=1),(IF(ISNA(MATCH(SUBSTITUTE(SUBSTITUTE(SUBSTITUTE("P:"&amp;A278,"~","~~"),"*","~*"),"?","~?"),Processos!$AS$10:$AS$509,0)),9,INDEX(Processos!$AM$10:$AM$509,MATCH(SUBSTITUTE(SUBSTITUTE(SUBSTITUTE("P:"&amp;A278,"~","~~"),"*","~*"),"?","~?"),Processos!$AS$10:$AS$509,0)))-9),0)</f>
        <v>0</v>
      </c>
      <c r="P278" s="14" t="str">
        <f>IF(L278=0,"",INDEX(Processos!$D$10:$D$509,O278))</f>
        <v/>
      </c>
      <c r="Q278" s="14">
        <f>IF(OR(L278=0,T278&lt;&gt;"Sim"),0,INDEX(Processos!$AL$10:$AL$509,O278))</f>
        <v>0</v>
      </c>
      <c r="R278" s="14">
        <f>ROW()</f>
        <v>278</v>
      </c>
      <c r="S278" s="14" t="str">
        <f t="shared" si="14"/>
        <v/>
      </c>
      <c r="T278" s="27" t="s">
        <v>1113</v>
      </c>
      <c r="U278" s="28"/>
      <c r="V278" s="28"/>
      <c r="W278" s="28"/>
      <c r="X278" s="28"/>
      <c r="Y278" s="27"/>
      <c r="Z278" s="27"/>
      <c r="AA278" s="27"/>
      <c r="AB278" s="27"/>
    </row>
    <row r="279" spans="1:28" ht="42" customHeight="1">
      <c r="A279" s="41"/>
      <c r="B279" s="42"/>
      <c r="C279" s="42"/>
      <c r="D279" s="42"/>
      <c r="E279" s="42"/>
      <c r="F279" s="42"/>
      <c r="G279" s="42"/>
      <c r="H279" s="45"/>
      <c r="I279" s="44"/>
      <c r="J279" s="43"/>
      <c r="K279" s="44"/>
      <c r="L279" s="14">
        <f t="shared" si="12"/>
        <v>0</v>
      </c>
      <c r="M279" s="14">
        <f>IF(OR(L279=0,T279&lt;&gt;"Sim"),0,INDEX(Processos!$X$10:$X$509,O279))</f>
        <v>0</v>
      </c>
      <c r="N279" s="40" t="str">
        <f t="shared" si="13"/>
        <v/>
      </c>
      <c r="O279" s="14">
        <f>IF(AND(A279&lt;&gt;"",ISTEXT(A279),COUNTIFS(Processos!$AS$10:$AS$509,"="&amp;SUBSTITUTE(SUBSTITUTE(SUBSTITUTE("P:"&amp;A279,"~","~~"),"*","~*"),"?","~?"))=1),(IF(ISNA(MATCH(SUBSTITUTE(SUBSTITUTE(SUBSTITUTE("P:"&amp;A279,"~","~~"),"*","~*"),"?","~?"),Processos!$AS$10:$AS$509,0)),9,INDEX(Processos!$AM$10:$AM$509,MATCH(SUBSTITUTE(SUBSTITUTE(SUBSTITUTE("P:"&amp;A279,"~","~~"),"*","~*"),"?","~?"),Processos!$AS$10:$AS$509,0)))-9),0)</f>
        <v>0</v>
      </c>
      <c r="P279" s="14" t="str">
        <f>IF(L279=0,"",INDEX(Processos!$D$10:$D$509,O279))</f>
        <v/>
      </c>
      <c r="Q279" s="14">
        <f>IF(OR(L279=0,T279&lt;&gt;"Sim"),0,INDEX(Processos!$AL$10:$AL$509,O279))</f>
        <v>0</v>
      </c>
      <c r="R279" s="14">
        <f>ROW()</f>
        <v>279</v>
      </c>
      <c r="S279" s="14" t="str">
        <f t="shared" si="14"/>
        <v/>
      </c>
      <c r="T279" s="27" t="s">
        <v>1113</v>
      </c>
      <c r="U279" s="28"/>
      <c r="V279" s="28"/>
      <c r="W279" s="28"/>
      <c r="X279" s="28"/>
      <c r="Y279" s="27"/>
      <c r="Z279" s="27"/>
      <c r="AA279" s="27"/>
      <c r="AB279" s="27"/>
    </row>
    <row r="280" spans="1:28" ht="42" customHeight="1">
      <c r="A280" s="41"/>
      <c r="B280" s="42"/>
      <c r="C280" s="42"/>
      <c r="D280" s="42"/>
      <c r="E280" s="42"/>
      <c r="F280" s="42"/>
      <c r="G280" s="42"/>
      <c r="H280" s="45"/>
      <c r="I280" s="44"/>
      <c r="J280" s="43"/>
      <c r="K280" s="44"/>
      <c r="L280" s="14">
        <f t="shared" si="12"/>
        <v>0</v>
      </c>
      <c r="M280" s="14">
        <f>IF(OR(L280=0,T280&lt;&gt;"Sim"),0,INDEX(Processos!$X$10:$X$509,O280))</f>
        <v>0</v>
      </c>
      <c r="N280" s="40" t="str">
        <f t="shared" si="13"/>
        <v/>
      </c>
      <c r="O280" s="14">
        <f>IF(AND(A280&lt;&gt;"",ISTEXT(A280),COUNTIFS(Processos!$AS$10:$AS$509,"="&amp;SUBSTITUTE(SUBSTITUTE(SUBSTITUTE("P:"&amp;A280,"~","~~"),"*","~*"),"?","~?"))=1),(IF(ISNA(MATCH(SUBSTITUTE(SUBSTITUTE(SUBSTITUTE("P:"&amp;A280,"~","~~"),"*","~*"),"?","~?"),Processos!$AS$10:$AS$509,0)),9,INDEX(Processos!$AM$10:$AM$509,MATCH(SUBSTITUTE(SUBSTITUTE(SUBSTITUTE("P:"&amp;A280,"~","~~"),"*","~*"),"?","~?"),Processos!$AS$10:$AS$509,0)))-9),0)</f>
        <v>0</v>
      </c>
      <c r="P280" s="14" t="str">
        <f>IF(L280=0,"",INDEX(Processos!$D$10:$D$509,O280))</f>
        <v/>
      </c>
      <c r="Q280" s="14">
        <f>IF(OR(L280=0,T280&lt;&gt;"Sim"),0,INDEX(Processos!$AL$10:$AL$509,O280))</f>
        <v>0</v>
      </c>
      <c r="R280" s="14">
        <f>ROW()</f>
        <v>280</v>
      </c>
      <c r="S280" s="14" t="str">
        <f t="shared" si="14"/>
        <v/>
      </c>
      <c r="T280" s="27" t="s">
        <v>1113</v>
      </c>
      <c r="U280" s="28"/>
      <c r="V280" s="28"/>
      <c r="W280" s="28"/>
      <c r="X280" s="28"/>
      <c r="Y280" s="27"/>
      <c r="Z280" s="27"/>
      <c r="AA280" s="27"/>
      <c r="AB280" s="27"/>
    </row>
    <row r="281" spans="1:28" ht="42" customHeight="1">
      <c r="A281" s="41"/>
      <c r="B281" s="42"/>
      <c r="C281" s="42"/>
      <c r="D281" s="42"/>
      <c r="E281" s="42"/>
      <c r="F281" s="42"/>
      <c r="G281" s="42"/>
      <c r="H281" s="45"/>
      <c r="I281" s="44"/>
      <c r="J281" s="43"/>
      <c r="K281" s="44"/>
      <c r="L281" s="14">
        <f t="shared" si="12"/>
        <v>0</v>
      </c>
      <c r="M281" s="14">
        <f>IF(OR(L281=0,T281&lt;&gt;"Sim"),0,INDEX(Processos!$X$10:$X$509,O281))</f>
        <v>0</v>
      </c>
      <c r="N281" s="40" t="str">
        <f t="shared" si="13"/>
        <v/>
      </c>
      <c r="O281" s="14">
        <f>IF(AND(A281&lt;&gt;"",ISTEXT(A281),COUNTIFS(Processos!$AS$10:$AS$509,"="&amp;SUBSTITUTE(SUBSTITUTE(SUBSTITUTE("P:"&amp;A281,"~","~~"),"*","~*"),"?","~?"))=1),(IF(ISNA(MATCH(SUBSTITUTE(SUBSTITUTE(SUBSTITUTE("P:"&amp;A281,"~","~~"),"*","~*"),"?","~?"),Processos!$AS$10:$AS$509,0)),9,INDEX(Processos!$AM$10:$AM$509,MATCH(SUBSTITUTE(SUBSTITUTE(SUBSTITUTE("P:"&amp;A281,"~","~~"),"*","~*"),"?","~?"),Processos!$AS$10:$AS$509,0)))-9),0)</f>
        <v>0</v>
      </c>
      <c r="P281" s="14" t="str">
        <f>IF(L281=0,"",INDEX(Processos!$D$10:$D$509,O281))</f>
        <v/>
      </c>
      <c r="Q281" s="14">
        <f>IF(OR(L281=0,T281&lt;&gt;"Sim"),0,INDEX(Processos!$AL$10:$AL$509,O281))</f>
        <v>0</v>
      </c>
      <c r="R281" s="14">
        <f>ROW()</f>
        <v>281</v>
      </c>
      <c r="S281" s="14" t="str">
        <f t="shared" si="14"/>
        <v/>
      </c>
      <c r="T281" s="27" t="s">
        <v>1113</v>
      </c>
      <c r="U281" s="28"/>
      <c r="V281" s="28"/>
      <c r="W281" s="28"/>
      <c r="X281" s="28"/>
      <c r="Y281" s="27"/>
      <c r="Z281" s="27"/>
      <c r="AA281" s="27"/>
      <c r="AB281" s="27"/>
    </row>
    <row r="282" spans="1:28" ht="42" customHeight="1">
      <c r="A282" s="41"/>
      <c r="B282" s="42"/>
      <c r="C282" s="42"/>
      <c r="D282" s="42"/>
      <c r="E282" s="42"/>
      <c r="F282" s="42"/>
      <c r="G282" s="42"/>
      <c r="H282" s="45"/>
      <c r="I282" s="44"/>
      <c r="J282" s="43"/>
      <c r="K282" s="44"/>
      <c r="L282" s="14">
        <f t="shared" si="12"/>
        <v>0</v>
      </c>
      <c r="M282" s="14">
        <f>IF(OR(L282=0,T282&lt;&gt;"Sim"),0,INDEX(Processos!$X$10:$X$509,O282))</f>
        <v>0</v>
      </c>
      <c r="N282" s="40" t="str">
        <f t="shared" si="13"/>
        <v/>
      </c>
      <c r="O282" s="14">
        <f>IF(AND(A282&lt;&gt;"",ISTEXT(A282),COUNTIFS(Processos!$AS$10:$AS$509,"="&amp;SUBSTITUTE(SUBSTITUTE(SUBSTITUTE("P:"&amp;A282,"~","~~"),"*","~*"),"?","~?"))=1),(IF(ISNA(MATCH(SUBSTITUTE(SUBSTITUTE(SUBSTITUTE("P:"&amp;A282,"~","~~"),"*","~*"),"?","~?"),Processos!$AS$10:$AS$509,0)),9,INDEX(Processos!$AM$10:$AM$509,MATCH(SUBSTITUTE(SUBSTITUTE(SUBSTITUTE("P:"&amp;A282,"~","~~"),"*","~*"),"?","~?"),Processos!$AS$10:$AS$509,0)))-9),0)</f>
        <v>0</v>
      </c>
      <c r="P282" s="14" t="str">
        <f>IF(L282=0,"",INDEX(Processos!$D$10:$D$509,O282))</f>
        <v/>
      </c>
      <c r="Q282" s="14">
        <f>IF(OR(L282=0,T282&lt;&gt;"Sim"),0,INDEX(Processos!$AL$10:$AL$509,O282))</f>
        <v>0</v>
      </c>
      <c r="R282" s="14">
        <f>ROW()</f>
        <v>282</v>
      </c>
      <c r="S282" s="14" t="str">
        <f t="shared" si="14"/>
        <v/>
      </c>
      <c r="T282" s="27" t="s">
        <v>1113</v>
      </c>
      <c r="U282" s="28"/>
      <c r="V282" s="28"/>
      <c r="W282" s="28"/>
      <c r="X282" s="28"/>
      <c r="Y282" s="27"/>
      <c r="Z282" s="27"/>
      <c r="AA282" s="27"/>
      <c r="AB282" s="27"/>
    </row>
    <row r="283" spans="1:28" ht="42" customHeight="1">
      <c r="A283" s="41"/>
      <c r="B283" s="42"/>
      <c r="C283" s="42"/>
      <c r="D283" s="42"/>
      <c r="E283" s="42"/>
      <c r="F283" s="42"/>
      <c r="G283" s="42"/>
      <c r="H283" s="45"/>
      <c r="I283" s="44"/>
      <c r="J283" s="43"/>
      <c r="K283" s="44"/>
      <c r="L283" s="14">
        <f t="shared" si="12"/>
        <v>0</v>
      </c>
      <c r="M283" s="14">
        <f>IF(OR(L283=0,T283&lt;&gt;"Sim"),0,INDEX(Processos!$X$10:$X$509,O283))</f>
        <v>0</v>
      </c>
      <c r="N283" s="40" t="str">
        <f t="shared" si="13"/>
        <v/>
      </c>
      <c r="O283" s="14">
        <f>IF(AND(A283&lt;&gt;"",ISTEXT(A283),COUNTIFS(Processos!$AS$10:$AS$509,"="&amp;SUBSTITUTE(SUBSTITUTE(SUBSTITUTE("P:"&amp;A283,"~","~~"),"*","~*"),"?","~?"))=1),(IF(ISNA(MATCH(SUBSTITUTE(SUBSTITUTE(SUBSTITUTE("P:"&amp;A283,"~","~~"),"*","~*"),"?","~?"),Processos!$AS$10:$AS$509,0)),9,INDEX(Processos!$AM$10:$AM$509,MATCH(SUBSTITUTE(SUBSTITUTE(SUBSTITUTE("P:"&amp;A283,"~","~~"),"*","~*"),"?","~?"),Processos!$AS$10:$AS$509,0)))-9),0)</f>
        <v>0</v>
      </c>
      <c r="P283" s="14" t="str">
        <f>IF(L283=0,"",INDEX(Processos!$D$10:$D$509,O283))</f>
        <v/>
      </c>
      <c r="Q283" s="14">
        <f>IF(OR(L283=0,T283&lt;&gt;"Sim"),0,INDEX(Processos!$AL$10:$AL$509,O283))</f>
        <v>0</v>
      </c>
      <c r="R283" s="14">
        <f>ROW()</f>
        <v>283</v>
      </c>
      <c r="S283" s="14" t="str">
        <f t="shared" si="14"/>
        <v/>
      </c>
      <c r="T283" s="27" t="s">
        <v>1113</v>
      </c>
      <c r="U283" s="28"/>
      <c r="V283" s="28"/>
      <c r="W283" s="28"/>
      <c r="X283" s="28"/>
      <c r="Y283" s="27"/>
      <c r="Z283" s="27"/>
      <c r="AA283" s="27"/>
      <c r="AB283" s="27"/>
    </row>
    <row r="284" spans="1:28" ht="42" customHeight="1">
      <c r="A284" s="41"/>
      <c r="B284" s="42"/>
      <c r="C284" s="42"/>
      <c r="D284" s="42"/>
      <c r="E284" s="42"/>
      <c r="F284" s="42"/>
      <c r="G284" s="42"/>
      <c r="H284" s="45"/>
      <c r="I284" s="44"/>
      <c r="J284" s="43"/>
      <c r="K284" s="44"/>
      <c r="L284" s="14">
        <f t="shared" si="12"/>
        <v>0</v>
      </c>
      <c r="M284" s="14">
        <f>IF(OR(L284=0,T284&lt;&gt;"Sim"),0,INDEX(Processos!$X$10:$X$509,O284))</f>
        <v>0</v>
      </c>
      <c r="N284" s="40" t="str">
        <f t="shared" si="13"/>
        <v/>
      </c>
      <c r="O284" s="14">
        <f>IF(AND(A284&lt;&gt;"",ISTEXT(A284),COUNTIFS(Processos!$AS$10:$AS$509,"="&amp;SUBSTITUTE(SUBSTITUTE(SUBSTITUTE("P:"&amp;A284,"~","~~"),"*","~*"),"?","~?"))=1),(IF(ISNA(MATCH(SUBSTITUTE(SUBSTITUTE(SUBSTITUTE("P:"&amp;A284,"~","~~"),"*","~*"),"?","~?"),Processos!$AS$10:$AS$509,0)),9,INDEX(Processos!$AM$10:$AM$509,MATCH(SUBSTITUTE(SUBSTITUTE(SUBSTITUTE("P:"&amp;A284,"~","~~"),"*","~*"),"?","~?"),Processos!$AS$10:$AS$509,0)))-9),0)</f>
        <v>0</v>
      </c>
      <c r="P284" s="14" t="str">
        <f>IF(L284=0,"",INDEX(Processos!$D$10:$D$509,O284))</f>
        <v/>
      </c>
      <c r="Q284" s="14">
        <f>IF(OR(L284=0,T284&lt;&gt;"Sim"),0,INDEX(Processos!$AL$10:$AL$509,O284))</f>
        <v>0</v>
      </c>
      <c r="R284" s="14">
        <f>ROW()</f>
        <v>284</v>
      </c>
      <c r="S284" s="14" t="str">
        <f t="shared" si="14"/>
        <v/>
      </c>
      <c r="T284" s="27" t="s">
        <v>1113</v>
      </c>
      <c r="U284" s="28"/>
      <c r="V284" s="28"/>
      <c r="W284" s="28"/>
      <c r="X284" s="28"/>
      <c r="Y284" s="27"/>
      <c r="Z284" s="27"/>
      <c r="AA284" s="27"/>
      <c r="AB284" s="27"/>
    </row>
    <row r="285" spans="1:28" ht="42" customHeight="1">
      <c r="A285" s="41"/>
      <c r="B285" s="42"/>
      <c r="C285" s="42"/>
      <c r="D285" s="42"/>
      <c r="E285" s="42"/>
      <c r="F285" s="42"/>
      <c r="G285" s="42"/>
      <c r="H285" s="45"/>
      <c r="I285" s="44"/>
      <c r="J285" s="43"/>
      <c r="K285" s="44"/>
      <c r="L285" s="14">
        <f t="shared" si="12"/>
        <v>0</v>
      </c>
      <c r="M285" s="14">
        <f>IF(OR(L285=0,T285&lt;&gt;"Sim"),0,INDEX(Processos!$X$10:$X$509,O285))</f>
        <v>0</v>
      </c>
      <c r="N285" s="40" t="str">
        <f t="shared" si="13"/>
        <v/>
      </c>
      <c r="O285" s="14">
        <f>IF(AND(A285&lt;&gt;"",ISTEXT(A285),COUNTIFS(Processos!$AS$10:$AS$509,"="&amp;SUBSTITUTE(SUBSTITUTE(SUBSTITUTE("P:"&amp;A285,"~","~~"),"*","~*"),"?","~?"))=1),(IF(ISNA(MATCH(SUBSTITUTE(SUBSTITUTE(SUBSTITUTE("P:"&amp;A285,"~","~~"),"*","~*"),"?","~?"),Processos!$AS$10:$AS$509,0)),9,INDEX(Processos!$AM$10:$AM$509,MATCH(SUBSTITUTE(SUBSTITUTE(SUBSTITUTE("P:"&amp;A285,"~","~~"),"*","~*"),"?","~?"),Processos!$AS$10:$AS$509,0)))-9),0)</f>
        <v>0</v>
      </c>
      <c r="P285" s="14" t="str">
        <f>IF(L285=0,"",INDEX(Processos!$D$10:$D$509,O285))</f>
        <v/>
      </c>
      <c r="Q285" s="14">
        <f>IF(OR(L285=0,T285&lt;&gt;"Sim"),0,INDEX(Processos!$AL$10:$AL$509,O285))</f>
        <v>0</v>
      </c>
      <c r="R285" s="14">
        <f>ROW()</f>
        <v>285</v>
      </c>
      <c r="S285" s="14" t="str">
        <f t="shared" si="14"/>
        <v/>
      </c>
      <c r="T285" s="27" t="s">
        <v>1113</v>
      </c>
      <c r="U285" s="28"/>
      <c r="V285" s="28"/>
      <c r="W285" s="28"/>
      <c r="X285" s="28"/>
      <c r="Y285" s="27"/>
      <c r="Z285" s="27"/>
      <c r="AA285" s="27"/>
      <c r="AB285" s="27"/>
    </row>
    <row r="286" spans="1:28" ht="42" customHeight="1">
      <c r="A286" s="41"/>
      <c r="B286" s="42"/>
      <c r="C286" s="42"/>
      <c r="D286" s="42"/>
      <c r="E286" s="42"/>
      <c r="F286" s="42"/>
      <c r="G286" s="42"/>
      <c r="H286" s="45"/>
      <c r="I286" s="44"/>
      <c r="J286" s="43"/>
      <c r="K286" s="44"/>
      <c r="L286" s="14">
        <f t="shared" si="12"/>
        <v>0</v>
      </c>
      <c r="M286" s="14">
        <f>IF(OR(L286=0,T286&lt;&gt;"Sim"),0,INDEX(Processos!$X$10:$X$509,O286))</f>
        <v>0</v>
      </c>
      <c r="N286" s="40" t="str">
        <f t="shared" si="13"/>
        <v/>
      </c>
      <c r="O286" s="14">
        <f>IF(AND(A286&lt;&gt;"",ISTEXT(A286),COUNTIFS(Processos!$AS$10:$AS$509,"="&amp;SUBSTITUTE(SUBSTITUTE(SUBSTITUTE("P:"&amp;A286,"~","~~"),"*","~*"),"?","~?"))=1),(IF(ISNA(MATCH(SUBSTITUTE(SUBSTITUTE(SUBSTITUTE("P:"&amp;A286,"~","~~"),"*","~*"),"?","~?"),Processos!$AS$10:$AS$509,0)),9,INDEX(Processos!$AM$10:$AM$509,MATCH(SUBSTITUTE(SUBSTITUTE(SUBSTITUTE("P:"&amp;A286,"~","~~"),"*","~*"),"?","~?"),Processos!$AS$10:$AS$509,0)))-9),0)</f>
        <v>0</v>
      </c>
      <c r="P286" s="14" t="str">
        <f>IF(L286=0,"",INDEX(Processos!$D$10:$D$509,O286))</f>
        <v/>
      </c>
      <c r="Q286" s="14">
        <f>IF(OR(L286=0,T286&lt;&gt;"Sim"),0,INDEX(Processos!$AL$10:$AL$509,O286))</f>
        <v>0</v>
      </c>
      <c r="R286" s="14">
        <f>ROW()</f>
        <v>286</v>
      </c>
      <c r="S286" s="14" t="str">
        <f t="shared" si="14"/>
        <v/>
      </c>
      <c r="T286" s="27" t="s">
        <v>1113</v>
      </c>
      <c r="U286" s="28"/>
      <c r="V286" s="28"/>
      <c r="W286" s="28"/>
      <c r="X286" s="28"/>
      <c r="Y286" s="27"/>
      <c r="Z286" s="27"/>
      <c r="AA286" s="27"/>
      <c r="AB286" s="27"/>
    </row>
    <row r="287" spans="1:28" ht="42" customHeight="1">
      <c r="A287" s="41"/>
      <c r="B287" s="42"/>
      <c r="C287" s="42"/>
      <c r="D287" s="42"/>
      <c r="E287" s="42"/>
      <c r="F287" s="42"/>
      <c r="G287" s="42"/>
      <c r="H287" s="45"/>
      <c r="I287" s="44"/>
      <c r="J287" s="43"/>
      <c r="K287" s="44"/>
      <c r="L287" s="14">
        <f t="shared" si="12"/>
        <v>0</v>
      </c>
      <c r="M287" s="14">
        <f>IF(OR(L287=0,T287&lt;&gt;"Sim"),0,INDEX(Processos!$X$10:$X$509,O287))</f>
        <v>0</v>
      </c>
      <c r="N287" s="40" t="str">
        <f t="shared" si="13"/>
        <v/>
      </c>
      <c r="O287" s="14">
        <f>IF(AND(A287&lt;&gt;"",ISTEXT(A287),COUNTIFS(Processos!$AS$10:$AS$509,"="&amp;SUBSTITUTE(SUBSTITUTE(SUBSTITUTE("P:"&amp;A287,"~","~~"),"*","~*"),"?","~?"))=1),(IF(ISNA(MATCH(SUBSTITUTE(SUBSTITUTE(SUBSTITUTE("P:"&amp;A287,"~","~~"),"*","~*"),"?","~?"),Processos!$AS$10:$AS$509,0)),9,INDEX(Processos!$AM$10:$AM$509,MATCH(SUBSTITUTE(SUBSTITUTE(SUBSTITUTE("P:"&amp;A287,"~","~~"),"*","~*"),"?","~?"),Processos!$AS$10:$AS$509,0)))-9),0)</f>
        <v>0</v>
      </c>
      <c r="P287" s="14" t="str">
        <f>IF(L287=0,"",INDEX(Processos!$D$10:$D$509,O287))</f>
        <v/>
      </c>
      <c r="Q287" s="14">
        <f>IF(OR(L287=0,T287&lt;&gt;"Sim"),0,INDEX(Processos!$AL$10:$AL$509,O287))</f>
        <v>0</v>
      </c>
      <c r="R287" s="14">
        <f>ROW()</f>
        <v>287</v>
      </c>
      <c r="S287" s="14" t="str">
        <f t="shared" si="14"/>
        <v/>
      </c>
      <c r="T287" s="27" t="s">
        <v>1113</v>
      </c>
      <c r="U287" s="28"/>
      <c r="V287" s="28"/>
      <c r="W287" s="28"/>
      <c r="X287" s="28"/>
      <c r="Y287" s="27"/>
      <c r="Z287" s="27"/>
      <c r="AA287" s="27"/>
      <c r="AB287" s="27"/>
    </row>
    <row r="288" spans="1:28" ht="42" customHeight="1">
      <c r="A288" s="41"/>
      <c r="B288" s="42"/>
      <c r="C288" s="42"/>
      <c r="D288" s="42"/>
      <c r="E288" s="42"/>
      <c r="F288" s="42"/>
      <c r="G288" s="42"/>
      <c r="H288" s="45"/>
      <c r="I288" s="44"/>
      <c r="J288" s="43"/>
      <c r="K288" s="44"/>
      <c r="L288" s="14">
        <f t="shared" si="12"/>
        <v>0</v>
      </c>
      <c r="M288" s="14">
        <f>IF(OR(L288=0,T288&lt;&gt;"Sim"),0,INDEX(Processos!$X$10:$X$509,O288))</f>
        <v>0</v>
      </c>
      <c r="N288" s="40" t="str">
        <f t="shared" si="13"/>
        <v/>
      </c>
      <c r="O288" s="14">
        <f>IF(AND(A288&lt;&gt;"",ISTEXT(A288),COUNTIFS(Processos!$AS$10:$AS$509,"="&amp;SUBSTITUTE(SUBSTITUTE(SUBSTITUTE("P:"&amp;A288,"~","~~"),"*","~*"),"?","~?"))=1),(IF(ISNA(MATCH(SUBSTITUTE(SUBSTITUTE(SUBSTITUTE("P:"&amp;A288,"~","~~"),"*","~*"),"?","~?"),Processos!$AS$10:$AS$509,0)),9,INDEX(Processos!$AM$10:$AM$509,MATCH(SUBSTITUTE(SUBSTITUTE(SUBSTITUTE("P:"&amp;A288,"~","~~"),"*","~*"),"?","~?"),Processos!$AS$10:$AS$509,0)))-9),0)</f>
        <v>0</v>
      </c>
      <c r="P288" s="14" t="str">
        <f>IF(L288=0,"",INDEX(Processos!$D$10:$D$509,O288))</f>
        <v/>
      </c>
      <c r="Q288" s="14">
        <f>IF(OR(L288=0,T288&lt;&gt;"Sim"),0,INDEX(Processos!$AL$10:$AL$509,O288))</f>
        <v>0</v>
      </c>
      <c r="R288" s="14">
        <f>ROW()</f>
        <v>288</v>
      </c>
      <c r="S288" s="14" t="str">
        <f t="shared" si="14"/>
        <v/>
      </c>
      <c r="T288" s="27" t="s">
        <v>1113</v>
      </c>
      <c r="U288" s="28"/>
      <c r="V288" s="28"/>
      <c r="W288" s="28"/>
      <c r="X288" s="28"/>
      <c r="Y288" s="27"/>
      <c r="Z288" s="27"/>
      <c r="AA288" s="27"/>
      <c r="AB288" s="27"/>
    </row>
    <row r="289" spans="1:28" ht="42" customHeight="1">
      <c r="A289" s="41"/>
      <c r="B289" s="42"/>
      <c r="C289" s="42"/>
      <c r="D289" s="42"/>
      <c r="E289" s="42"/>
      <c r="F289" s="42"/>
      <c r="G289" s="42"/>
      <c r="H289" s="45"/>
      <c r="I289" s="44"/>
      <c r="J289" s="43"/>
      <c r="K289" s="44"/>
      <c r="L289" s="14">
        <f t="shared" si="12"/>
        <v>0</v>
      </c>
      <c r="M289" s="14">
        <f>IF(OR(L289=0,T289&lt;&gt;"Sim"),0,INDEX(Processos!$X$10:$X$509,O289))</f>
        <v>0</v>
      </c>
      <c r="N289" s="40" t="str">
        <f t="shared" si="13"/>
        <v/>
      </c>
      <c r="O289" s="14">
        <f>IF(AND(A289&lt;&gt;"",ISTEXT(A289),COUNTIFS(Processos!$AS$10:$AS$509,"="&amp;SUBSTITUTE(SUBSTITUTE(SUBSTITUTE("P:"&amp;A289,"~","~~"),"*","~*"),"?","~?"))=1),(IF(ISNA(MATCH(SUBSTITUTE(SUBSTITUTE(SUBSTITUTE("P:"&amp;A289,"~","~~"),"*","~*"),"?","~?"),Processos!$AS$10:$AS$509,0)),9,INDEX(Processos!$AM$10:$AM$509,MATCH(SUBSTITUTE(SUBSTITUTE(SUBSTITUTE("P:"&amp;A289,"~","~~"),"*","~*"),"?","~?"),Processos!$AS$10:$AS$509,0)))-9),0)</f>
        <v>0</v>
      </c>
      <c r="P289" s="14" t="str">
        <f>IF(L289=0,"",INDEX(Processos!$D$10:$D$509,O289))</f>
        <v/>
      </c>
      <c r="Q289" s="14">
        <f>IF(OR(L289=0,T289&lt;&gt;"Sim"),0,INDEX(Processos!$AL$10:$AL$509,O289))</f>
        <v>0</v>
      </c>
      <c r="R289" s="14">
        <f>ROW()</f>
        <v>289</v>
      </c>
      <c r="S289" s="14" t="str">
        <f t="shared" si="14"/>
        <v/>
      </c>
      <c r="T289" s="27" t="s">
        <v>1113</v>
      </c>
      <c r="U289" s="28"/>
      <c r="V289" s="28"/>
      <c r="W289" s="28"/>
      <c r="X289" s="28"/>
      <c r="Y289" s="27"/>
      <c r="Z289" s="27"/>
      <c r="AA289" s="27"/>
      <c r="AB289" s="27"/>
    </row>
    <row r="290" spans="1:28" ht="42" customHeight="1">
      <c r="A290" s="41"/>
      <c r="B290" s="42"/>
      <c r="C290" s="42"/>
      <c r="D290" s="42"/>
      <c r="E290" s="42"/>
      <c r="F290" s="42"/>
      <c r="G290" s="42"/>
      <c r="H290" s="45"/>
      <c r="I290" s="44"/>
      <c r="J290" s="43"/>
      <c r="K290" s="44"/>
      <c r="L290" s="14">
        <f t="shared" si="12"/>
        <v>0</v>
      </c>
      <c r="M290" s="14">
        <f>IF(OR(L290=0,T290&lt;&gt;"Sim"),0,INDEX(Processos!$X$10:$X$509,O290))</f>
        <v>0</v>
      </c>
      <c r="N290" s="40" t="str">
        <f t="shared" si="13"/>
        <v/>
      </c>
      <c r="O290" s="14">
        <f>IF(AND(A290&lt;&gt;"",ISTEXT(A290),COUNTIFS(Processos!$AS$10:$AS$509,"="&amp;SUBSTITUTE(SUBSTITUTE(SUBSTITUTE("P:"&amp;A290,"~","~~"),"*","~*"),"?","~?"))=1),(IF(ISNA(MATCH(SUBSTITUTE(SUBSTITUTE(SUBSTITUTE("P:"&amp;A290,"~","~~"),"*","~*"),"?","~?"),Processos!$AS$10:$AS$509,0)),9,INDEX(Processos!$AM$10:$AM$509,MATCH(SUBSTITUTE(SUBSTITUTE(SUBSTITUTE("P:"&amp;A290,"~","~~"),"*","~*"),"?","~?"),Processos!$AS$10:$AS$509,0)))-9),0)</f>
        <v>0</v>
      </c>
      <c r="P290" s="14" t="str">
        <f>IF(L290=0,"",INDEX(Processos!$D$10:$D$509,O290))</f>
        <v/>
      </c>
      <c r="Q290" s="14">
        <f>IF(OR(L290=0,T290&lt;&gt;"Sim"),0,INDEX(Processos!$AL$10:$AL$509,O290))</f>
        <v>0</v>
      </c>
      <c r="R290" s="14">
        <f>ROW()</f>
        <v>290</v>
      </c>
      <c r="S290" s="14" t="str">
        <f t="shared" si="14"/>
        <v/>
      </c>
      <c r="T290" s="27" t="s">
        <v>1113</v>
      </c>
      <c r="U290" s="28"/>
      <c r="V290" s="28"/>
      <c r="W290" s="28"/>
      <c r="X290" s="28"/>
      <c r="Y290" s="27"/>
      <c r="Z290" s="27"/>
      <c r="AA290" s="27"/>
      <c r="AB290" s="27"/>
    </row>
    <row r="291" spans="1:28" ht="42" customHeight="1">
      <c r="A291" s="41"/>
      <c r="B291" s="42"/>
      <c r="C291" s="42"/>
      <c r="D291" s="42"/>
      <c r="E291" s="42"/>
      <c r="F291" s="42"/>
      <c r="G291" s="42"/>
      <c r="H291" s="45"/>
      <c r="I291" s="44"/>
      <c r="J291" s="43"/>
      <c r="K291" s="44"/>
      <c r="L291" s="14">
        <f t="shared" si="12"/>
        <v>0</v>
      </c>
      <c r="M291" s="14">
        <f>IF(OR(L291=0,T291&lt;&gt;"Sim"),0,INDEX(Processos!$X$10:$X$509,O291))</f>
        <v>0</v>
      </c>
      <c r="N291" s="40" t="str">
        <f t="shared" si="13"/>
        <v/>
      </c>
      <c r="O291" s="14">
        <f>IF(AND(A291&lt;&gt;"",ISTEXT(A291),COUNTIFS(Processos!$AS$10:$AS$509,"="&amp;SUBSTITUTE(SUBSTITUTE(SUBSTITUTE("P:"&amp;A291,"~","~~"),"*","~*"),"?","~?"))=1),(IF(ISNA(MATCH(SUBSTITUTE(SUBSTITUTE(SUBSTITUTE("P:"&amp;A291,"~","~~"),"*","~*"),"?","~?"),Processos!$AS$10:$AS$509,0)),9,INDEX(Processos!$AM$10:$AM$509,MATCH(SUBSTITUTE(SUBSTITUTE(SUBSTITUTE("P:"&amp;A291,"~","~~"),"*","~*"),"?","~?"),Processos!$AS$10:$AS$509,0)))-9),0)</f>
        <v>0</v>
      </c>
      <c r="P291" s="14" t="str">
        <f>IF(L291=0,"",INDEX(Processos!$D$10:$D$509,O291))</f>
        <v/>
      </c>
      <c r="Q291" s="14">
        <f>IF(OR(L291=0,T291&lt;&gt;"Sim"),0,INDEX(Processos!$AL$10:$AL$509,O291))</f>
        <v>0</v>
      </c>
      <c r="R291" s="14">
        <f>ROW()</f>
        <v>291</v>
      </c>
      <c r="S291" s="14" t="str">
        <f t="shared" si="14"/>
        <v/>
      </c>
      <c r="T291" s="27" t="s">
        <v>1113</v>
      </c>
      <c r="U291" s="28"/>
      <c r="V291" s="28"/>
      <c r="W291" s="28"/>
      <c r="X291" s="28"/>
      <c r="Y291" s="27"/>
      <c r="Z291" s="27"/>
      <c r="AA291" s="27"/>
      <c r="AB291" s="27"/>
    </row>
    <row r="292" spans="1:28" ht="42" customHeight="1">
      <c r="A292" s="41"/>
      <c r="B292" s="42"/>
      <c r="C292" s="42"/>
      <c r="D292" s="42"/>
      <c r="E292" s="42"/>
      <c r="F292" s="42"/>
      <c r="G292" s="42"/>
      <c r="H292" s="45"/>
      <c r="I292" s="44"/>
      <c r="J292" s="43"/>
      <c r="K292" s="44"/>
      <c r="L292" s="14">
        <f t="shared" si="12"/>
        <v>0</v>
      </c>
      <c r="M292" s="14">
        <f>IF(OR(L292=0,T292&lt;&gt;"Sim"),0,INDEX(Processos!$X$10:$X$509,O292))</f>
        <v>0</v>
      </c>
      <c r="N292" s="40" t="str">
        <f t="shared" si="13"/>
        <v/>
      </c>
      <c r="O292" s="14">
        <f>IF(AND(A292&lt;&gt;"",ISTEXT(A292),COUNTIFS(Processos!$AS$10:$AS$509,"="&amp;SUBSTITUTE(SUBSTITUTE(SUBSTITUTE("P:"&amp;A292,"~","~~"),"*","~*"),"?","~?"))=1),(IF(ISNA(MATCH(SUBSTITUTE(SUBSTITUTE(SUBSTITUTE("P:"&amp;A292,"~","~~"),"*","~*"),"?","~?"),Processos!$AS$10:$AS$509,0)),9,INDEX(Processos!$AM$10:$AM$509,MATCH(SUBSTITUTE(SUBSTITUTE(SUBSTITUTE("P:"&amp;A292,"~","~~"),"*","~*"),"?","~?"),Processos!$AS$10:$AS$509,0)))-9),0)</f>
        <v>0</v>
      </c>
      <c r="P292" s="14" t="str">
        <f>IF(L292=0,"",INDEX(Processos!$D$10:$D$509,O292))</f>
        <v/>
      </c>
      <c r="Q292" s="14">
        <f>IF(OR(L292=0,T292&lt;&gt;"Sim"),0,INDEX(Processos!$AL$10:$AL$509,O292))</f>
        <v>0</v>
      </c>
      <c r="R292" s="14">
        <f>ROW()</f>
        <v>292</v>
      </c>
      <c r="S292" s="14" t="str">
        <f t="shared" si="14"/>
        <v/>
      </c>
      <c r="T292" s="27" t="s">
        <v>1113</v>
      </c>
      <c r="U292" s="28"/>
      <c r="V292" s="28"/>
      <c r="W292" s="28"/>
      <c r="X292" s="28"/>
      <c r="Y292" s="27"/>
      <c r="Z292" s="27"/>
      <c r="AA292" s="27"/>
      <c r="AB292" s="27"/>
    </row>
    <row r="293" spans="1:28" ht="42" customHeight="1">
      <c r="A293" s="41"/>
      <c r="B293" s="42"/>
      <c r="C293" s="42"/>
      <c r="D293" s="42"/>
      <c r="E293" s="42"/>
      <c r="F293" s="42"/>
      <c r="G293" s="42"/>
      <c r="H293" s="45"/>
      <c r="I293" s="44"/>
      <c r="J293" s="43"/>
      <c r="K293" s="44"/>
      <c r="L293" s="14">
        <f t="shared" si="12"/>
        <v>0</v>
      </c>
      <c r="M293" s="14">
        <f>IF(OR(L293=0,T293&lt;&gt;"Sim"),0,INDEX(Processos!$X$10:$X$509,O293))</f>
        <v>0</v>
      </c>
      <c r="N293" s="40" t="str">
        <f t="shared" si="13"/>
        <v/>
      </c>
      <c r="O293" s="14">
        <f>IF(AND(A293&lt;&gt;"",ISTEXT(A293),COUNTIFS(Processos!$AS$10:$AS$509,"="&amp;SUBSTITUTE(SUBSTITUTE(SUBSTITUTE("P:"&amp;A293,"~","~~"),"*","~*"),"?","~?"))=1),(IF(ISNA(MATCH(SUBSTITUTE(SUBSTITUTE(SUBSTITUTE("P:"&amp;A293,"~","~~"),"*","~*"),"?","~?"),Processos!$AS$10:$AS$509,0)),9,INDEX(Processos!$AM$10:$AM$509,MATCH(SUBSTITUTE(SUBSTITUTE(SUBSTITUTE("P:"&amp;A293,"~","~~"),"*","~*"),"?","~?"),Processos!$AS$10:$AS$509,0)))-9),0)</f>
        <v>0</v>
      </c>
      <c r="P293" s="14" t="str">
        <f>IF(L293=0,"",INDEX(Processos!$D$10:$D$509,O293))</f>
        <v/>
      </c>
      <c r="Q293" s="14">
        <f>IF(OR(L293=0,T293&lt;&gt;"Sim"),0,INDEX(Processos!$AL$10:$AL$509,O293))</f>
        <v>0</v>
      </c>
      <c r="R293" s="14">
        <f>ROW()</f>
        <v>293</v>
      </c>
      <c r="S293" s="14" t="str">
        <f t="shared" si="14"/>
        <v/>
      </c>
      <c r="T293" s="27" t="s">
        <v>1113</v>
      </c>
      <c r="U293" s="28"/>
      <c r="V293" s="28"/>
      <c r="W293" s="28"/>
      <c r="X293" s="28"/>
      <c r="Y293" s="27"/>
      <c r="Z293" s="27"/>
      <c r="AA293" s="27"/>
      <c r="AB293" s="27"/>
    </row>
    <row r="294" spans="1:28" ht="42" customHeight="1">
      <c r="A294" s="41"/>
      <c r="B294" s="42"/>
      <c r="C294" s="42"/>
      <c r="D294" s="42"/>
      <c r="E294" s="42"/>
      <c r="F294" s="42"/>
      <c r="G294" s="42"/>
      <c r="H294" s="45"/>
      <c r="I294" s="44"/>
      <c r="J294" s="43"/>
      <c r="K294" s="44"/>
      <c r="L294" s="14">
        <f t="shared" si="12"/>
        <v>0</v>
      </c>
      <c r="M294" s="14">
        <f>IF(OR(L294=0,T294&lt;&gt;"Sim"),0,INDEX(Processos!$X$10:$X$509,O294))</f>
        <v>0</v>
      </c>
      <c r="N294" s="40" t="str">
        <f t="shared" si="13"/>
        <v/>
      </c>
      <c r="O294" s="14">
        <f>IF(AND(A294&lt;&gt;"",ISTEXT(A294),COUNTIFS(Processos!$AS$10:$AS$509,"="&amp;SUBSTITUTE(SUBSTITUTE(SUBSTITUTE("P:"&amp;A294,"~","~~"),"*","~*"),"?","~?"))=1),(IF(ISNA(MATCH(SUBSTITUTE(SUBSTITUTE(SUBSTITUTE("P:"&amp;A294,"~","~~"),"*","~*"),"?","~?"),Processos!$AS$10:$AS$509,0)),9,INDEX(Processos!$AM$10:$AM$509,MATCH(SUBSTITUTE(SUBSTITUTE(SUBSTITUTE("P:"&amp;A294,"~","~~"),"*","~*"),"?","~?"),Processos!$AS$10:$AS$509,0)))-9),0)</f>
        <v>0</v>
      </c>
      <c r="P294" s="14" t="str">
        <f>IF(L294=0,"",INDEX(Processos!$D$10:$D$509,O294))</f>
        <v/>
      </c>
      <c r="Q294" s="14">
        <f>IF(OR(L294=0,T294&lt;&gt;"Sim"),0,INDEX(Processos!$AL$10:$AL$509,O294))</f>
        <v>0</v>
      </c>
      <c r="R294" s="14">
        <f>ROW()</f>
        <v>294</v>
      </c>
      <c r="S294" s="14" t="str">
        <f t="shared" si="14"/>
        <v/>
      </c>
      <c r="T294" s="27" t="s">
        <v>1113</v>
      </c>
      <c r="U294" s="28"/>
      <c r="V294" s="28"/>
      <c r="W294" s="28"/>
      <c r="X294" s="28"/>
      <c r="Y294" s="27"/>
      <c r="Z294" s="27"/>
      <c r="AA294" s="27"/>
      <c r="AB294" s="27"/>
    </row>
    <row r="295" spans="1:28" ht="42" customHeight="1">
      <c r="A295" s="41"/>
      <c r="B295" s="42"/>
      <c r="C295" s="42"/>
      <c r="D295" s="42"/>
      <c r="E295" s="42"/>
      <c r="F295" s="42"/>
      <c r="G295" s="42"/>
      <c r="H295" s="45"/>
      <c r="I295" s="44"/>
      <c r="J295" s="43"/>
      <c r="K295" s="44"/>
      <c r="L295" s="14">
        <f t="shared" si="12"/>
        <v>0</v>
      </c>
      <c r="M295" s="14">
        <f>IF(OR(L295=0,T295&lt;&gt;"Sim"),0,INDEX(Processos!$X$10:$X$509,O295))</f>
        <v>0</v>
      </c>
      <c r="N295" s="40" t="str">
        <f t="shared" si="13"/>
        <v/>
      </c>
      <c r="O295" s="14">
        <f>IF(AND(A295&lt;&gt;"",ISTEXT(A295),COUNTIFS(Processos!$AS$10:$AS$509,"="&amp;SUBSTITUTE(SUBSTITUTE(SUBSTITUTE("P:"&amp;A295,"~","~~"),"*","~*"),"?","~?"))=1),(IF(ISNA(MATCH(SUBSTITUTE(SUBSTITUTE(SUBSTITUTE("P:"&amp;A295,"~","~~"),"*","~*"),"?","~?"),Processos!$AS$10:$AS$509,0)),9,INDEX(Processos!$AM$10:$AM$509,MATCH(SUBSTITUTE(SUBSTITUTE(SUBSTITUTE("P:"&amp;A295,"~","~~"),"*","~*"),"?","~?"),Processos!$AS$10:$AS$509,0)))-9),0)</f>
        <v>0</v>
      </c>
      <c r="P295" s="14" t="str">
        <f>IF(L295=0,"",INDEX(Processos!$D$10:$D$509,O295))</f>
        <v/>
      </c>
      <c r="Q295" s="14">
        <f>IF(OR(L295=0,T295&lt;&gt;"Sim"),0,INDEX(Processos!$AL$10:$AL$509,O295))</f>
        <v>0</v>
      </c>
      <c r="R295" s="14">
        <f>ROW()</f>
        <v>295</v>
      </c>
      <c r="S295" s="14" t="str">
        <f t="shared" si="14"/>
        <v/>
      </c>
      <c r="T295" s="27" t="s">
        <v>1113</v>
      </c>
      <c r="U295" s="28"/>
      <c r="V295" s="28"/>
      <c r="W295" s="28"/>
      <c r="X295" s="28"/>
      <c r="Y295" s="27"/>
      <c r="Z295" s="27"/>
      <c r="AA295" s="27"/>
      <c r="AB295" s="27"/>
    </row>
    <row r="296" spans="1:28" ht="42" customHeight="1">
      <c r="A296" s="41"/>
      <c r="B296" s="42"/>
      <c r="C296" s="42"/>
      <c r="D296" s="42"/>
      <c r="E296" s="42"/>
      <c r="F296" s="42"/>
      <c r="G296" s="42"/>
      <c r="H296" s="45"/>
      <c r="I296" s="44"/>
      <c r="J296" s="43"/>
      <c r="K296" s="44"/>
      <c r="L296" s="14">
        <f t="shared" si="12"/>
        <v>0</v>
      </c>
      <c r="M296" s="14">
        <f>IF(OR(L296=0,T296&lt;&gt;"Sim"),0,INDEX(Processos!$X$10:$X$509,O296))</f>
        <v>0</v>
      </c>
      <c r="N296" s="40" t="str">
        <f t="shared" si="13"/>
        <v/>
      </c>
      <c r="O296" s="14">
        <f>IF(AND(A296&lt;&gt;"",ISTEXT(A296),COUNTIFS(Processos!$AS$10:$AS$509,"="&amp;SUBSTITUTE(SUBSTITUTE(SUBSTITUTE("P:"&amp;A296,"~","~~"),"*","~*"),"?","~?"))=1),(IF(ISNA(MATCH(SUBSTITUTE(SUBSTITUTE(SUBSTITUTE("P:"&amp;A296,"~","~~"),"*","~*"),"?","~?"),Processos!$AS$10:$AS$509,0)),9,INDEX(Processos!$AM$10:$AM$509,MATCH(SUBSTITUTE(SUBSTITUTE(SUBSTITUTE("P:"&amp;A296,"~","~~"),"*","~*"),"?","~?"),Processos!$AS$10:$AS$509,0)))-9),0)</f>
        <v>0</v>
      </c>
      <c r="P296" s="14" t="str">
        <f>IF(L296=0,"",INDEX(Processos!$D$10:$D$509,O296))</f>
        <v/>
      </c>
      <c r="Q296" s="14">
        <f>IF(OR(L296=0,T296&lt;&gt;"Sim"),0,INDEX(Processos!$AL$10:$AL$509,O296))</f>
        <v>0</v>
      </c>
      <c r="R296" s="14">
        <f>ROW()</f>
        <v>296</v>
      </c>
      <c r="S296" s="14" t="str">
        <f t="shared" si="14"/>
        <v/>
      </c>
      <c r="T296" s="27" t="s">
        <v>1113</v>
      </c>
      <c r="U296" s="28"/>
      <c r="V296" s="28"/>
      <c r="W296" s="28"/>
      <c r="X296" s="28"/>
      <c r="Y296" s="27"/>
      <c r="Z296" s="27"/>
      <c r="AA296" s="27"/>
      <c r="AB296" s="27"/>
    </row>
    <row r="297" spans="1:28" ht="42" customHeight="1">
      <c r="A297" s="41"/>
      <c r="B297" s="42"/>
      <c r="C297" s="42"/>
      <c r="D297" s="42"/>
      <c r="E297" s="42"/>
      <c r="F297" s="42"/>
      <c r="G297" s="42"/>
      <c r="H297" s="45"/>
      <c r="I297" s="44"/>
      <c r="J297" s="43"/>
      <c r="K297" s="44"/>
      <c r="L297" s="14">
        <f t="shared" si="12"/>
        <v>0</v>
      </c>
      <c r="M297" s="14">
        <f>IF(OR(L297=0,T297&lt;&gt;"Sim"),0,INDEX(Processos!$X$10:$X$509,O297))</f>
        <v>0</v>
      </c>
      <c r="N297" s="40" t="str">
        <f t="shared" si="13"/>
        <v/>
      </c>
      <c r="O297" s="14">
        <f>IF(AND(A297&lt;&gt;"",ISTEXT(A297),COUNTIFS(Processos!$AS$10:$AS$509,"="&amp;SUBSTITUTE(SUBSTITUTE(SUBSTITUTE("P:"&amp;A297,"~","~~"),"*","~*"),"?","~?"))=1),(IF(ISNA(MATCH(SUBSTITUTE(SUBSTITUTE(SUBSTITUTE("P:"&amp;A297,"~","~~"),"*","~*"),"?","~?"),Processos!$AS$10:$AS$509,0)),9,INDEX(Processos!$AM$10:$AM$509,MATCH(SUBSTITUTE(SUBSTITUTE(SUBSTITUTE("P:"&amp;A297,"~","~~"),"*","~*"),"?","~?"),Processos!$AS$10:$AS$509,0)))-9),0)</f>
        <v>0</v>
      </c>
      <c r="P297" s="14" t="str">
        <f>IF(L297=0,"",INDEX(Processos!$D$10:$D$509,O297))</f>
        <v/>
      </c>
      <c r="Q297" s="14">
        <f>IF(OR(L297=0,T297&lt;&gt;"Sim"),0,INDEX(Processos!$AL$10:$AL$509,O297))</f>
        <v>0</v>
      </c>
      <c r="R297" s="14">
        <f>ROW()</f>
        <v>297</v>
      </c>
      <c r="S297" s="14" t="str">
        <f t="shared" si="14"/>
        <v/>
      </c>
      <c r="T297" s="27" t="s">
        <v>1113</v>
      </c>
      <c r="U297" s="28"/>
      <c r="V297" s="28"/>
      <c r="W297" s="28"/>
      <c r="X297" s="28"/>
      <c r="Y297" s="27"/>
      <c r="Z297" s="27"/>
      <c r="AA297" s="27"/>
      <c r="AB297" s="27"/>
    </row>
    <row r="298" spans="1:28" ht="42" customHeight="1">
      <c r="A298" s="41"/>
      <c r="B298" s="42"/>
      <c r="C298" s="42"/>
      <c r="D298" s="42"/>
      <c r="E298" s="42"/>
      <c r="F298" s="42"/>
      <c r="G298" s="42"/>
      <c r="H298" s="45"/>
      <c r="I298" s="44"/>
      <c r="J298" s="43"/>
      <c r="K298" s="44"/>
      <c r="L298" s="14">
        <f t="shared" si="12"/>
        <v>0</v>
      </c>
      <c r="M298" s="14">
        <f>IF(OR(L298=0,T298&lt;&gt;"Sim"),0,INDEX(Processos!$X$10:$X$509,O298))</f>
        <v>0</v>
      </c>
      <c r="N298" s="40" t="str">
        <f t="shared" si="13"/>
        <v/>
      </c>
      <c r="O298" s="14">
        <f>IF(AND(A298&lt;&gt;"",ISTEXT(A298),COUNTIFS(Processos!$AS$10:$AS$509,"="&amp;SUBSTITUTE(SUBSTITUTE(SUBSTITUTE("P:"&amp;A298,"~","~~"),"*","~*"),"?","~?"))=1),(IF(ISNA(MATCH(SUBSTITUTE(SUBSTITUTE(SUBSTITUTE("P:"&amp;A298,"~","~~"),"*","~*"),"?","~?"),Processos!$AS$10:$AS$509,0)),9,INDEX(Processos!$AM$10:$AM$509,MATCH(SUBSTITUTE(SUBSTITUTE(SUBSTITUTE("P:"&amp;A298,"~","~~"),"*","~*"),"?","~?"),Processos!$AS$10:$AS$509,0)))-9),0)</f>
        <v>0</v>
      </c>
      <c r="P298" s="14" t="str">
        <f>IF(L298=0,"",INDEX(Processos!$D$10:$D$509,O298))</f>
        <v/>
      </c>
      <c r="Q298" s="14">
        <f>IF(OR(L298=0,T298&lt;&gt;"Sim"),0,INDEX(Processos!$AL$10:$AL$509,O298))</f>
        <v>0</v>
      </c>
      <c r="R298" s="14">
        <f>ROW()</f>
        <v>298</v>
      </c>
      <c r="S298" s="14" t="str">
        <f t="shared" si="14"/>
        <v/>
      </c>
      <c r="T298" s="27" t="s">
        <v>1113</v>
      </c>
      <c r="U298" s="28"/>
      <c r="V298" s="28"/>
      <c r="W298" s="28"/>
      <c r="X298" s="28"/>
      <c r="Y298" s="27"/>
      <c r="Z298" s="27"/>
      <c r="AA298" s="27"/>
      <c r="AB298" s="27"/>
    </row>
    <row r="299" spans="1:28" ht="42" customHeight="1">
      <c r="A299" s="41"/>
      <c r="B299" s="42"/>
      <c r="C299" s="42"/>
      <c r="D299" s="42"/>
      <c r="E299" s="42"/>
      <c r="F299" s="42"/>
      <c r="G299" s="42"/>
      <c r="H299" s="45"/>
      <c r="I299" s="44"/>
      <c r="J299" s="43"/>
      <c r="K299" s="44"/>
      <c r="L299" s="14">
        <f t="shared" si="12"/>
        <v>0</v>
      </c>
      <c r="M299" s="14">
        <f>IF(OR(L299=0,T299&lt;&gt;"Sim"),0,INDEX(Processos!$X$10:$X$509,O299))</f>
        <v>0</v>
      </c>
      <c r="N299" s="40" t="str">
        <f t="shared" si="13"/>
        <v/>
      </c>
      <c r="O299" s="14">
        <f>IF(AND(A299&lt;&gt;"",ISTEXT(A299),COUNTIFS(Processos!$AS$10:$AS$509,"="&amp;SUBSTITUTE(SUBSTITUTE(SUBSTITUTE("P:"&amp;A299,"~","~~"),"*","~*"),"?","~?"))=1),(IF(ISNA(MATCH(SUBSTITUTE(SUBSTITUTE(SUBSTITUTE("P:"&amp;A299,"~","~~"),"*","~*"),"?","~?"),Processos!$AS$10:$AS$509,0)),9,INDEX(Processos!$AM$10:$AM$509,MATCH(SUBSTITUTE(SUBSTITUTE(SUBSTITUTE("P:"&amp;A299,"~","~~"),"*","~*"),"?","~?"),Processos!$AS$10:$AS$509,0)))-9),0)</f>
        <v>0</v>
      </c>
      <c r="P299" s="14" t="str">
        <f>IF(L299=0,"",INDEX(Processos!$D$10:$D$509,O299))</f>
        <v/>
      </c>
      <c r="Q299" s="14">
        <f>IF(OR(L299=0,T299&lt;&gt;"Sim"),0,INDEX(Processos!$AL$10:$AL$509,O299))</f>
        <v>0</v>
      </c>
      <c r="R299" s="14">
        <f>ROW()</f>
        <v>299</v>
      </c>
      <c r="S299" s="14" t="str">
        <f t="shared" si="14"/>
        <v/>
      </c>
      <c r="T299" s="27" t="s">
        <v>1113</v>
      </c>
      <c r="U299" s="28"/>
      <c r="V299" s="28"/>
      <c r="W299" s="28"/>
      <c r="X299" s="28"/>
      <c r="Y299" s="27"/>
      <c r="Z299" s="27"/>
      <c r="AA299" s="27"/>
      <c r="AB299" s="27"/>
    </row>
    <row r="300" spans="1:28" ht="42" customHeight="1">
      <c r="A300" s="41"/>
      <c r="B300" s="42"/>
      <c r="C300" s="42"/>
      <c r="D300" s="42"/>
      <c r="E300" s="42"/>
      <c r="F300" s="42"/>
      <c r="G300" s="42"/>
      <c r="H300" s="45"/>
      <c r="I300" s="44"/>
      <c r="J300" s="43"/>
      <c r="K300" s="44"/>
      <c r="L300" s="14">
        <f t="shared" si="12"/>
        <v>0</v>
      </c>
      <c r="M300" s="14">
        <f>IF(OR(L300=0,T300&lt;&gt;"Sim"),0,INDEX(Processos!$X$10:$X$509,O300))</f>
        <v>0</v>
      </c>
      <c r="N300" s="40" t="str">
        <f t="shared" si="13"/>
        <v/>
      </c>
      <c r="O300" s="14">
        <f>IF(AND(A300&lt;&gt;"",ISTEXT(A300),COUNTIFS(Processos!$AS$10:$AS$509,"="&amp;SUBSTITUTE(SUBSTITUTE(SUBSTITUTE("P:"&amp;A300,"~","~~"),"*","~*"),"?","~?"))=1),(IF(ISNA(MATCH(SUBSTITUTE(SUBSTITUTE(SUBSTITUTE("P:"&amp;A300,"~","~~"),"*","~*"),"?","~?"),Processos!$AS$10:$AS$509,0)),9,INDEX(Processos!$AM$10:$AM$509,MATCH(SUBSTITUTE(SUBSTITUTE(SUBSTITUTE("P:"&amp;A300,"~","~~"),"*","~*"),"?","~?"),Processos!$AS$10:$AS$509,0)))-9),0)</f>
        <v>0</v>
      </c>
      <c r="P300" s="14" t="str">
        <f>IF(L300=0,"",INDEX(Processos!$D$10:$D$509,O300))</f>
        <v/>
      </c>
      <c r="Q300" s="14">
        <f>IF(OR(L300=0,T300&lt;&gt;"Sim"),0,INDEX(Processos!$AL$10:$AL$509,O300))</f>
        <v>0</v>
      </c>
      <c r="R300" s="14">
        <f>ROW()</f>
        <v>300</v>
      </c>
      <c r="S300" s="14" t="str">
        <f t="shared" si="14"/>
        <v/>
      </c>
      <c r="T300" s="27" t="s">
        <v>1113</v>
      </c>
      <c r="U300" s="28"/>
      <c r="V300" s="28"/>
      <c r="W300" s="28"/>
      <c r="X300" s="28"/>
      <c r="Y300" s="27"/>
      <c r="Z300" s="27"/>
      <c r="AA300" s="27"/>
      <c r="AB300" s="27"/>
    </row>
    <row r="301" spans="1:28" ht="42" customHeight="1">
      <c r="A301" s="41"/>
      <c r="B301" s="42"/>
      <c r="C301" s="42"/>
      <c r="D301" s="42"/>
      <c r="E301" s="42"/>
      <c r="F301" s="42"/>
      <c r="G301" s="42"/>
      <c r="H301" s="45"/>
      <c r="I301" s="44"/>
      <c r="J301" s="43"/>
      <c r="K301" s="44"/>
      <c r="L301" s="14">
        <f t="shared" si="12"/>
        <v>0</v>
      </c>
      <c r="M301" s="14">
        <f>IF(OR(L301=0,T301&lt;&gt;"Sim"),0,INDEX(Processos!$X$10:$X$509,O301))</f>
        <v>0</v>
      </c>
      <c r="N301" s="40" t="str">
        <f t="shared" si="13"/>
        <v/>
      </c>
      <c r="O301" s="14">
        <f>IF(AND(A301&lt;&gt;"",ISTEXT(A301),COUNTIFS(Processos!$AS$10:$AS$509,"="&amp;SUBSTITUTE(SUBSTITUTE(SUBSTITUTE("P:"&amp;A301,"~","~~"),"*","~*"),"?","~?"))=1),(IF(ISNA(MATCH(SUBSTITUTE(SUBSTITUTE(SUBSTITUTE("P:"&amp;A301,"~","~~"),"*","~*"),"?","~?"),Processos!$AS$10:$AS$509,0)),9,INDEX(Processos!$AM$10:$AM$509,MATCH(SUBSTITUTE(SUBSTITUTE(SUBSTITUTE("P:"&amp;A301,"~","~~"),"*","~*"),"?","~?"),Processos!$AS$10:$AS$509,0)))-9),0)</f>
        <v>0</v>
      </c>
      <c r="P301" s="14" t="str">
        <f>IF(L301=0,"",INDEX(Processos!$D$10:$D$509,O301))</f>
        <v/>
      </c>
      <c r="Q301" s="14">
        <f>IF(OR(L301=0,T301&lt;&gt;"Sim"),0,INDEX(Processos!$AL$10:$AL$509,O301))</f>
        <v>0</v>
      </c>
      <c r="R301" s="14">
        <f>ROW()</f>
        <v>301</v>
      </c>
      <c r="S301" s="14" t="str">
        <f t="shared" si="14"/>
        <v/>
      </c>
      <c r="T301" s="27" t="s">
        <v>1113</v>
      </c>
      <c r="U301" s="28"/>
      <c r="V301" s="28"/>
      <c r="W301" s="28"/>
      <c r="X301" s="28"/>
      <c r="Y301" s="27"/>
      <c r="Z301" s="27"/>
      <c r="AA301" s="27"/>
      <c r="AB301" s="27"/>
    </row>
    <row r="302" spans="1:28" ht="42" customHeight="1">
      <c r="A302" s="41"/>
      <c r="B302" s="42"/>
      <c r="C302" s="42"/>
      <c r="D302" s="42"/>
      <c r="E302" s="42"/>
      <c r="F302" s="42"/>
      <c r="G302" s="42"/>
      <c r="H302" s="45"/>
      <c r="I302" s="44"/>
      <c r="J302" s="43"/>
      <c r="K302" s="44"/>
      <c r="L302" s="14">
        <f t="shared" si="12"/>
        <v>0</v>
      </c>
      <c r="M302" s="14">
        <f>IF(OR(L302=0,T302&lt;&gt;"Sim"),0,INDEX(Processos!$X$10:$X$509,O302))</f>
        <v>0</v>
      </c>
      <c r="N302" s="40" t="str">
        <f t="shared" si="13"/>
        <v/>
      </c>
      <c r="O302" s="14">
        <f>IF(AND(A302&lt;&gt;"",ISTEXT(A302),COUNTIFS(Processos!$AS$10:$AS$509,"="&amp;SUBSTITUTE(SUBSTITUTE(SUBSTITUTE("P:"&amp;A302,"~","~~"),"*","~*"),"?","~?"))=1),(IF(ISNA(MATCH(SUBSTITUTE(SUBSTITUTE(SUBSTITUTE("P:"&amp;A302,"~","~~"),"*","~*"),"?","~?"),Processos!$AS$10:$AS$509,0)),9,INDEX(Processos!$AM$10:$AM$509,MATCH(SUBSTITUTE(SUBSTITUTE(SUBSTITUTE("P:"&amp;A302,"~","~~"),"*","~*"),"?","~?"),Processos!$AS$10:$AS$509,0)))-9),0)</f>
        <v>0</v>
      </c>
      <c r="P302" s="14" t="str">
        <f>IF(L302=0,"",INDEX(Processos!$D$10:$D$509,O302))</f>
        <v/>
      </c>
      <c r="Q302" s="14">
        <f>IF(OR(L302=0,T302&lt;&gt;"Sim"),0,INDEX(Processos!$AL$10:$AL$509,O302))</f>
        <v>0</v>
      </c>
      <c r="R302" s="14">
        <f>ROW()</f>
        <v>302</v>
      </c>
      <c r="S302" s="14" t="str">
        <f t="shared" si="14"/>
        <v/>
      </c>
      <c r="T302" s="27" t="s">
        <v>1113</v>
      </c>
      <c r="U302" s="28"/>
      <c r="V302" s="28"/>
      <c r="W302" s="28"/>
      <c r="X302" s="28"/>
      <c r="Y302" s="27"/>
      <c r="Z302" s="27"/>
      <c r="AA302" s="27"/>
      <c r="AB302" s="27"/>
    </row>
    <row r="303" spans="1:28" ht="42" customHeight="1">
      <c r="A303" s="41"/>
      <c r="B303" s="42"/>
      <c r="C303" s="42"/>
      <c r="D303" s="42"/>
      <c r="E303" s="42"/>
      <c r="F303" s="42"/>
      <c r="G303" s="42"/>
      <c r="H303" s="45"/>
      <c r="I303" s="44"/>
      <c r="J303" s="43"/>
      <c r="K303" s="44"/>
      <c r="L303" s="14">
        <f t="shared" si="12"/>
        <v>0</v>
      </c>
      <c r="M303" s="14">
        <f>IF(OR(L303=0,T303&lt;&gt;"Sim"),0,INDEX(Processos!$X$10:$X$509,O303))</f>
        <v>0</v>
      </c>
      <c r="N303" s="40" t="str">
        <f t="shared" si="13"/>
        <v/>
      </c>
      <c r="O303" s="14">
        <f>IF(AND(A303&lt;&gt;"",ISTEXT(A303),COUNTIFS(Processos!$AS$10:$AS$509,"="&amp;SUBSTITUTE(SUBSTITUTE(SUBSTITUTE("P:"&amp;A303,"~","~~"),"*","~*"),"?","~?"))=1),(IF(ISNA(MATCH(SUBSTITUTE(SUBSTITUTE(SUBSTITUTE("P:"&amp;A303,"~","~~"),"*","~*"),"?","~?"),Processos!$AS$10:$AS$509,0)),9,INDEX(Processos!$AM$10:$AM$509,MATCH(SUBSTITUTE(SUBSTITUTE(SUBSTITUTE("P:"&amp;A303,"~","~~"),"*","~*"),"?","~?"),Processos!$AS$10:$AS$509,0)))-9),0)</f>
        <v>0</v>
      </c>
      <c r="P303" s="14" t="str">
        <f>IF(L303=0,"",INDEX(Processos!$D$10:$D$509,O303))</f>
        <v/>
      </c>
      <c r="Q303" s="14">
        <f>IF(OR(L303=0,T303&lt;&gt;"Sim"),0,INDEX(Processos!$AL$10:$AL$509,O303))</f>
        <v>0</v>
      </c>
      <c r="R303" s="14">
        <f>ROW()</f>
        <v>303</v>
      </c>
      <c r="S303" s="14" t="str">
        <f t="shared" si="14"/>
        <v/>
      </c>
      <c r="T303" s="27" t="s">
        <v>1113</v>
      </c>
      <c r="U303" s="28"/>
      <c r="V303" s="28"/>
      <c r="W303" s="28"/>
      <c r="X303" s="28"/>
      <c r="Y303" s="27"/>
      <c r="Z303" s="27"/>
      <c r="AA303" s="27"/>
      <c r="AB303" s="27"/>
    </row>
    <row r="304" spans="1:28" ht="42" customHeight="1">
      <c r="A304" s="41"/>
      <c r="B304" s="42"/>
      <c r="C304" s="42"/>
      <c r="D304" s="42"/>
      <c r="E304" s="42"/>
      <c r="F304" s="42"/>
      <c r="G304" s="42"/>
      <c r="H304" s="45"/>
      <c r="I304" s="44"/>
      <c r="J304" s="43"/>
      <c r="K304" s="44"/>
      <c r="L304" s="14">
        <f t="shared" si="12"/>
        <v>0</v>
      </c>
      <c r="M304" s="14">
        <f>IF(OR(L304=0,T304&lt;&gt;"Sim"),0,INDEX(Processos!$X$10:$X$509,O304))</f>
        <v>0</v>
      </c>
      <c r="N304" s="40" t="str">
        <f t="shared" si="13"/>
        <v/>
      </c>
      <c r="O304" s="14">
        <f>IF(AND(A304&lt;&gt;"",ISTEXT(A304),COUNTIFS(Processos!$AS$10:$AS$509,"="&amp;SUBSTITUTE(SUBSTITUTE(SUBSTITUTE("P:"&amp;A304,"~","~~"),"*","~*"),"?","~?"))=1),(IF(ISNA(MATCH(SUBSTITUTE(SUBSTITUTE(SUBSTITUTE("P:"&amp;A304,"~","~~"),"*","~*"),"?","~?"),Processos!$AS$10:$AS$509,0)),9,INDEX(Processos!$AM$10:$AM$509,MATCH(SUBSTITUTE(SUBSTITUTE(SUBSTITUTE("P:"&amp;A304,"~","~~"),"*","~*"),"?","~?"),Processos!$AS$10:$AS$509,0)))-9),0)</f>
        <v>0</v>
      </c>
      <c r="P304" s="14" t="str">
        <f>IF(L304=0,"",INDEX(Processos!$D$10:$D$509,O304))</f>
        <v/>
      </c>
      <c r="Q304" s="14">
        <f>IF(OR(L304=0,T304&lt;&gt;"Sim"),0,INDEX(Processos!$AL$10:$AL$509,O304))</f>
        <v>0</v>
      </c>
      <c r="R304" s="14">
        <f>ROW()</f>
        <v>304</v>
      </c>
      <c r="S304" s="14" t="str">
        <f t="shared" si="14"/>
        <v/>
      </c>
      <c r="T304" s="27" t="s">
        <v>1113</v>
      </c>
      <c r="U304" s="28"/>
      <c r="V304" s="28"/>
      <c r="W304" s="28"/>
      <c r="X304" s="28"/>
      <c r="Y304" s="27"/>
      <c r="Z304" s="27"/>
      <c r="AA304" s="27"/>
      <c r="AB304" s="27"/>
    </row>
    <row r="305" spans="1:28" ht="42" customHeight="1">
      <c r="A305" s="41"/>
      <c r="B305" s="42"/>
      <c r="C305" s="42"/>
      <c r="D305" s="42"/>
      <c r="E305" s="42"/>
      <c r="F305" s="42"/>
      <c r="G305" s="42"/>
      <c r="H305" s="45"/>
      <c r="I305" s="44"/>
      <c r="J305" s="43"/>
      <c r="K305" s="44"/>
      <c r="L305" s="14">
        <f t="shared" si="12"/>
        <v>0</v>
      </c>
      <c r="M305" s="14">
        <f>IF(OR(L305=0,T305&lt;&gt;"Sim"),0,INDEX(Processos!$X$10:$X$509,O305))</f>
        <v>0</v>
      </c>
      <c r="N305" s="40" t="str">
        <f t="shared" si="13"/>
        <v/>
      </c>
      <c r="O305" s="14">
        <f>IF(AND(A305&lt;&gt;"",ISTEXT(A305),COUNTIFS(Processos!$AS$10:$AS$509,"="&amp;SUBSTITUTE(SUBSTITUTE(SUBSTITUTE("P:"&amp;A305,"~","~~"),"*","~*"),"?","~?"))=1),(IF(ISNA(MATCH(SUBSTITUTE(SUBSTITUTE(SUBSTITUTE("P:"&amp;A305,"~","~~"),"*","~*"),"?","~?"),Processos!$AS$10:$AS$509,0)),9,INDEX(Processos!$AM$10:$AM$509,MATCH(SUBSTITUTE(SUBSTITUTE(SUBSTITUTE("P:"&amp;A305,"~","~~"),"*","~*"),"?","~?"),Processos!$AS$10:$AS$509,0)))-9),0)</f>
        <v>0</v>
      </c>
      <c r="P305" s="14" t="str">
        <f>IF(L305=0,"",INDEX(Processos!$D$10:$D$509,O305))</f>
        <v/>
      </c>
      <c r="Q305" s="14">
        <f>IF(OR(L305=0,T305&lt;&gt;"Sim"),0,INDEX(Processos!$AL$10:$AL$509,O305))</f>
        <v>0</v>
      </c>
      <c r="R305" s="14">
        <f>ROW()</f>
        <v>305</v>
      </c>
      <c r="S305" s="14" t="str">
        <f t="shared" si="14"/>
        <v/>
      </c>
      <c r="T305" s="27" t="s">
        <v>1113</v>
      </c>
      <c r="U305" s="28"/>
      <c r="V305" s="28"/>
      <c r="W305" s="28"/>
      <c r="X305" s="28"/>
      <c r="Y305" s="27"/>
      <c r="Z305" s="27"/>
      <c r="AA305" s="27"/>
      <c r="AB305" s="27"/>
    </row>
    <row r="306" spans="1:28" ht="42" customHeight="1">
      <c r="A306" s="41"/>
      <c r="B306" s="42"/>
      <c r="C306" s="42"/>
      <c r="D306" s="42"/>
      <c r="E306" s="42"/>
      <c r="F306" s="42"/>
      <c r="G306" s="42"/>
      <c r="H306" s="45"/>
      <c r="I306" s="44"/>
      <c r="J306" s="43"/>
      <c r="K306" s="44"/>
      <c r="L306" s="14">
        <f t="shared" si="12"/>
        <v>0</v>
      </c>
      <c r="M306" s="14">
        <f>IF(OR(L306=0,T306&lt;&gt;"Sim"),0,INDEX(Processos!$X$10:$X$509,O306))</f>
        <v>0</v>
      </c>
      <c r="N306" s="40" t="str">
        <f t="shared" si="13"/>
        <v/>
      </c>
      <c r="O306" s="14">
        <f>IF(AND(A306&lt;&gt;"",ISTEXT(A306),COUNTIFS(Processos!$AS$10:$AS$509,"="&amp;SUBSTITUTE(SUBSTITUTE(SUBSTITUTE("P:"&amp;A306,"~","~~"),"*","~*"),"?","~?"))=1),(IF(ISNA(MATCH(SUBSTITUTE(SUBSTITUTE(SUBSTITUTE("P:"&amp;A306,"~","~~"),"*","~*"),"?","~?"),Processos!$AS$10:$AS$509,0)),9,INDEX(Processos!$AM$10:$AM$509,MATCH(SUBSTITUTE(SUBSTITUTE(SUBSTITUTE("P:"&amp;A306,"~","~~"),"*","~*"),"?","~?"),Processos!$AS$10:$AS$509,0)))-9),0)</f>
        <v>0</v>
      </c>
      <c r="P306" s="14" t="str">
        <f>IF(L306=0,"",INDEX(Processos!$D$10:$D$509,O306))</f>
        <v/>
      </c>
      <c r="Q306" s="14">
        <f>IF(OR(L306=0,T306&lt;&gt;"Sim"),0,INDEX(Processos!$AL$10:$AL$509,O306))</f>
        <v>0</v>
      </c>
      <c r="R306" s="14">
        <f>ROW()</f>
        <v>306</v>
      </c>
      <c r="S306" s="14" t="str">
        <f t="shared" si="14"/>
        <v/>
      </c>
      <c r="T306" s="27" t="s">
        <v>1113</v>
      </c>
      <c r="U306" s="28"/>
      <c r="V306" s="28"/>
      <c r="W306" s="28"/>
      <c r="X306" s="28"/>
      <c r="Y306" s="27"/>
      <c r="Z306" s="27"/>
      <c r="AA306" s="27"/>
      <c r="AB306" s="27"/>
    </row>
    <row r="307" spans="1:28" ht="42" customHeight="1">
      <c r="A307" s="41"/>
      <c r="B307" s="42"/>
      <c r="C307" s="42"/>
      <c r="D307" s="42"/>
      <c r="E307" s="42"/>
      <c r="F307" s="42"/>
      <c r="G307" s="42"/>
      <c r="H307" s="45"/>
      <c r="I307" s="44"/>
      <c r="J307" s="43"/>
      <c r="K307" s="44"/>
      <c r="L307" s="14">
        <f t="shared" si="12"/>
        <v>0</v>
      </c>
      <c r="M307" s="14">
        <f>IF(OR(L307=0,T307&lt;&gt;"Sim"),0,INDEX(Processos!$X$10:$X$509,O307))</f>
        <v>0</v>
      </c>
      <c r="N307" s="40" t="str">
        <f t="shared" si="13"/>
        <v/>
      </c>
      <c r="O307" s="14">
        <f>IF(AND(A307&lt;&gt;"",ISTEXT(A307),COUNTIFS(Processos!$AS$10:$AS$509,"="&amp;SUBSTITUTE(SUBSTITUTE(SUBSTITUTE("P:"&amp;A307,"~","~~"),"*","~*"),"?","~?"))=1),(IF(ISNA(MATCH(SUBSTITUTE(SUBSTITUTE(SUBSTITUTE("P:"&amp;A307,"~","~~"),"*","~*"),"?","~?"),Processos!$AS$10:$AS$509,0)),9,INDEX(Processos!$AM$10:$AM$509,MATCH(SUBSTITUTE(SUBSTITUTE(SUBSTITUTE("P:"&amp;A307,"~","~~"),"*","~*"),"?","~?"),Processos!$AS$10:$AS$509,0)))-9),0)</f>
        <v>0</v>
      </c>
      <c r="P307" s="14" t="str">
        <f>IF(L307=0,"",INDEX(Processos!$D$10:$D$509,O307))</f>
        <v/>
      </c>
      <c r="Q307" s="14">
        <f>IF(OR(L307=0,T307&lt;&gt;"Sim"),0,INDEX(Processos!$AL$10:$AL$509,O307))</f>
        <v>0</v>
      </c>
      <c r="R307" s="14">
        <f>ROW()</f>
        <v>307</v>
      </c>
      <c r="S307" s="14" t="str">
        <f t="shared" si="14"/>
        <v/>
      </c>
      <c r="T307" s="27" t="s">
        <v>1113</v>
      </c>
      <c r="U307" s="28"/>
      <c r="V307" s="28"/>
      <c r="W307" s="28"/>
      <c r="X307" s="28"/>
      <c r="Y307" s="27"/>
      <c r="Z307" s="27"/>
      <c r="AA307" s="27"/>
      <c r="AB307" s="27"/>
    </row>
    <row r="308" spans="1:28" ht="42" customHeight="1">
      <c r="A308" s="41"/>
      <c r="B308" s="42"/>
      <c r="C308" s="42"/>
      <c r="D308" s="42"/>
      <c r="E308" s="42"/>
      <c r="F308" s="42"/>
      <c r="G308" s="42"/>
      <c r="H308" s="45"/>
      <c r="I308" s="44"/>
      <c r="J308" s="43"/>
      <c r="K308" s="44"/>
      <c r="L308" s="14">
        <f t="shared" si="12"/>
        <v>0</v>
      </c>
      <c r="M308" s="14">
        <f>IF(OR(L308=0,T308&lt;&gt;"Sim"),0,INDEX(Processos!$X$10:$X$509,O308))</f>
        <v>0</v>
      </c>
      <c r="N308" s="40" t="str">
        <f t="shared" si="13"/>
        <v/>
      </c>
      <c r="O308" s="14">
        <f>IF(AND(A308&lt;&gt;"",ISTEXT(A308),COUNTIFS(Processos!$AS$10:$AS$509,"="&amp;SUBSTITUTE(SUBSTITUTE(SUBSTITUTE("P:"&amp;A308,"~","~~"),"*","~*"),"?","~?"))=1),(IF(ISNA(MATCH(SUBSTITUTE(SUBSTITUTE(SUBSTITUTE("P:"&amp;A308,"~","~~"),"*","~*"),"?","~?"),Processos!$AS$10:$AS$509,0)),9,INDEX(Processos!$AM$10:$AM$509,MATCH(SUBSTITUTE(SUBSTITUTE(SUBSTITUTE("P:"&amp;A308,"~","~~"),"*","~*"),"?","~?"),Processos!$AS$10:$AS$509,0)))-9),0)</f>
        <v>0</v>
      </c>
      <c r="P308" s="14" t="str">
        <f>IF(L308=0,"",INDEX(Processos!$D$10:$D$509,O308))</f>
        <v/>
      </c>
      <c r="Q308" s="14">
        <f>IF(OR(L308=0,T308&lt;&gt;"Sim"),0,INDEX(Processos!$AL$10:$AL$509,O308))</f>
        <v>0</v>
      </c>
      <c r="R308" s="14">
        <f>ROW()</f>
        <v>308</v>
      </c>
      <c r="S308" s="14" t="str">
        <f t="shared" si="14"/>
        <v/>
      </c>
      <c r="T308" s="27" t="s">
        <v>1113</v>
      </c>
      <c r="U308" s="28"/>
      <c r="V308" s="28"/>
      <c r="W308" s="28"/>
      <c r="X308" s="28"/>
      <c r="Y308" s="27"/>
      <c r="Z308" s="27"/>
      <c r="AA308" s="27"/>
      <c r="AB308" s="27"/>
    </row>
    <row r="309" spans="1:28" ht="42" customHeight="1">
      <c r="A309" s="41"/>
      <c r="B309" s="42"/>
      <c r="C309" s="42"/>
      <c r="D309" s="42"/>
      <c r="E309" s="42"/>
      <c r="F309" s="42"/>
      <c r="G309" s="42"/>
      <c r="H309" s="45"/>
      <c r="I309" s="44"/>
      <c r="J309" s="43"/>
      <c r="K309" s="44"/>
      <c r="L309" s="14">
        <f t="shared" si="12"/>
        <v>0</v>
      </c>
      <c r="M309" s="14">
        <f>IF(OR(L309=0,T309&lt;&gt;"Sim"),0,INDEX(Processos!$X$10:$X$509,O309))</f>
        <v>0</v>
      </c>
      <c r="N309" s="40" t="str">
        <f t="shared" si="13"/>
        <v/>
      </c>
      <c r="O309" s="14">
        <f>IF(AND(A309&lt;&gt;"",ISTEXT(A309),COUNTIFS(Processos!$AS$10:$AS$509,"="&amp;SUBSTITUTE(SUBSTITUTE(SUBSTITUTE("P:"&amp;A309,"~","~~"),"*","~*"),"?","~?"))=1),(IF(ISNA(MATCH(SUBSTITUTE(SUBSTITUTE(SUBSTITUTE("P:"&amp;A309,"~","~~"),"*","~*"),"?","~?"),Processos!$AS$10:$AS$509,0)),9,INDEX(Processos!$AM$10:$AM$509,MATCH(SUBSTITUTE(SUBSTITUTE(SUBSTITUTE("P:"&amp;A309,"~","~~"),"*","~*"),"?","~?"),Processos!$AS$10:$AS$509,0)))-9),0)</f>
        <v>0</v>
      </c>
      <c r="P309" s="14" t="str">
        <f>IF(L309=0,"",INDEX(Processos!$D$10:$D$509,O309))</f>
        <v/>
      </c>
      <c r="Q309" s="14">
        <f>IF(OR(L309=0,T309&lt;&gt;"Sim"),0,INDEX(Processos!$AL$10:$AL$509,O309))</f>
        <v>0</v>
      </c>
      <c r="R309" s="14">
        <f>ROW()</f>
        <v>309</v>
      </c>
      <c r="S309" s="14" t="str">
        <f t="shared" si="14"/>
        <v/>
      </c>
      <c r="T309" s="27" t="s">
        <v>1113</v>
      </c>
      <c r="U309" s="28"/>
      <c r="V309" s="28"/>
      <c r="W309" s="28"/>
      <c r="X309" s="28"/>
      <c r="Y309" s="27"/>
      <c r="Z309" s="27"/>
      <c r="AA309" s="27"/>
      <c r="AB309" s="27"/>
    </row>
    <row r="310" spans="1:28" ht="42" customHeight="1">
      <c r="A310" s="41"/>
      <c r="B310" s="42"/>
      <c r="C310" s="42"/>
      <c r="D310" s="42"/>
      <c r="E310" s="42"/>
      <c r="F310" s="42"/>
      <c r="G310" s="42"/>
      <c r="H310" s="45"/>
      <c r="I310" s="44"/>
      <c r="J310" s="43"/>
      <c r="K310" s="44"/>
      <c r="L310" s="14">
        <f t="shared" si="12"/>
        <v>0</v>
      </c>
      <c r="M310" s="14">
        <f>IF(OR(L310=0,T310&lt;&gt;"Sim"),0,INDEX(Processos!$X$10:$X$509,O310))</f>
        <v>0</v>
      </c>
      <c r="N310" s="40" t="str">
        <f t="shared" si="13"/>
        <v/>
      </c>
      <c r="O310" s="14">
        <f>IF(AND(A310&lt;&gt;"",ISTEXT(A310),COUNTIFS(Processos!$AS$10:$AS$509,"="&amp;SUBSTITUTE(SUBSTITUTE(SUBSTITUTE("P:"&amp;A310,"~","~~"),"*","~*"),"?","~?"))=1),(IF(ISNA(MATCH(SUBSTITUTE(SUBSTITUTE(SUBSTITUTE("P:"&amp;A310,"~","~~"),"*","~*"),"?","~?"),Processos!$AS$10:$AS$509,0)),9,INDEX(Processos!$AM$10:$AM$509,MATCH(SUBSTITUTE(SUBSTITUTE(SUBSTITUTE("P:"&amp;A310,"~","~~"),"*","~*"),"?","~?"),Processos!$AS$10:$AS$509,0)))-9),0)</f>
        <v>0</v>
      </c>
      <c r="P310" s="14" t="str">
        <f>IF(L310=0,"",INDEX(Processos!$D$10:$D$509,O310))</f>
        <v/>
      </c>
      <c r="Q310" s="14">
        <f>IF(OR(L310=0,T310&lt;&gt;"Sim"),0,INDEX(Processos!$AL$10:$AL$509,O310))</f>
        <v>0</v>
      </c>
      <c r="R310" s="14">
        <f>ROW()</f>
        <v>310</v>
      </c>
      <c r="S310" s="14" t="str">
        <f t="shared" si="14"/>
        <v/>
      </c>
      <c r="T310" s="27" t="s">
        <v>1113</v>
      </c>
      <c r="U310" s="28"/>
      <c r="V310" s="28"/>
      <c r="W310" s="28"/>
      <c r="X310" s="28"/>
      <c r="Y310" s="27"/>
      <c r="Z310" s="27"/>
      <c r="AA310" s="27"/>
      <c r="AB310" s="27"/>
    </row>
    <row r="311" spans="1:28" ht="42" customHeight="1">
      <c r="A311" s="41"/>
      <c r="B311" s="42"/>
      <c r="C311" s="42"/>
      <c r="D311" s="42"/>
      <c r="E311" s="42"/>
      <c r="F311" s="42"/>
      <c r="G311" s="42"/>
      <c r="H311" s="45"/>
      <c r="I311" s="44"/>
      <c r="J311" s="43"/>
      <c r="K311" s="44"/>
      <c r="L311" s="14">
        <f t="shared" si="12"/>
        <v>0</v>
      </c>
      <c r="M311" s="14">
        <f>IF(OR(L311=0,T311&lt;&gt;"Sim"),0,INDEX(Processos!$X$10:$X$509,O311))</f>
        <v>0</v>
      </c>
      <c r="N311" s="40" t="str">
        <f t="shared" si="13"/>
        <v/>
      </c>
      <c r="O311" s="14">
        <f>IF(AND(A311&lt;&gt;"",ISTEXT(A311),COUNTIFS(Processos!$AS$10:$AS$509,"="&amp;SUBSTITUTE(SUBSTITUTE(SUBSTITUTE("P:"&amp;A311,"~","~~"),"*","~*"),"?","~?"))=1),(IF(ISNA(MATCH(SUBSTITUTE(SUBSTITUTE(SUBSTITUTE("P:"&amp;A311,"~","~~"),"*","~*"),"?","~?"),Processos!$AS$10:$AS$509,0)),9,INDEX(Processos!$AM$10:$AM$509,MATCH(SUBSTITUTE(SUBSTITUTE(SUBSTITUTE("P:"&amp;A311,"~","~~"),"*","~*"),"?","~?"),Processos!$AS$10:$AS$509,0)))-9),0)</f>
        <v>0</v>
      </c>
      <c r="P311" s="14" t="str">
        <f>IF(L311=0,"",INDEX(Processos!$D$10:$D$509,O311))</f>
        <v/>
      </c>
      <c r="Q311" s="14">
        <f>IF(OR(L311=0,T311&lt;&gt;"Sim"),0,INDEX(Processos!$AL$10:$AL$509,O311))</f>
        <v>0</v>
      </c>
      <c r="R311" s="14">
        <f>ROW()</f>
        <v>311</v>
      </c>
      <c r="S311" s="14" t="str">
        <f t="shared" si="14"/>
        <v/>
      </c>
      <c r="T311" s="27" t="s">
        <v>1113</v>
      </c>
      <c r="U311" s="28"/>
      <c r="V311" s="28"/>
      <c r="W311" s="28"/>
      <c r="X311" s="28"/>
      <c r="Y311" s="27"/>
      <c r="Z311" s="27"/>
      <c r="AA311" s="27"/>
      <c r="AB311" s="27"/>
    </row>
    <row r="312" spans="1:28" ht="42" customHeight="1">
      <c r="A312" s="41"/>
      <c r="B312" s="42"/>
      <c r="C312" s="42"/>
      <c r="D312" s="42"/>
      <c r="E312" s="42"/>
      <c r="F312" s="42"/>
      <c r="G312" s="42"/>
      <c r="H312" s="45"/>
      <c r="I312" s="44"/>
      <c r="J312" s="43"/>
      <c r="K312" s="44"/>
      <c r="L312" s="14">
        <f t="shared" si="12"/>
        <v>0</v>
      </c>
      <c r="M312" s="14">
        <f>IF(OR(L312=0,T312&lt;&gt;"Sim"),0,INDEX(Processos!$X$10:$X$509,O312))</f>
        <v>0</v>
      </c>
      <c r="N312" s="40" t="str">
        <f t="shared" si="13"/>
        <v/>
      </c>
      <c r="O312" s="14">
        <f>IF(AND(A312&lt;&gt;"",ISTEXT(A312),COUNTIFS(Processos!$AS$10:$AS$509,"="&amp;SUBSTITUTE(SUBSTITUTE(SUBSTITUTE("P:"&amp;A312,"~","~~"),"*","~*"),"?","~?"))=1),(IF(ISNA(MATCH(SUBSTITUTE(SUBSTITUTE(SUBSTITUTE("P:"&amp;A312,"~","~~"),"*","~*"),"?","~?"),Processos!$AS$10:$AS$509,0)),9,INDEX(Processos!$AM$10:$AM$509,MATCH(SUBSTITUTE(SUBSTITUTE(SUBSTITUTE("P:"&amp;A312,"~","~~"),"*","~*"),"?","~?"),Processos!$AS$10:$AS$509,0)))-9),0)</f>
        <v>0</v>
      </c>
      <c r="P312" s="14" t="str">
        <f>IF(L312=0,"",INDEX(Processos!$D$10:$D$509,O312))</f>
        <v/>
      </c>
      <c r="Q312" s="14">
        <f>IF(OR(L312=0,T312&lt;&gt;"Sim"),0,INDEX(Processos!$AL$10:$AL$509,O312))</f>
        <v>0</v>
      </c>
      <c r="R312" s="14">
        <f>ROW()</f>
        <v>312</v>
      </c>
      <c r="S312" s="14" t="str">
        <f t="shared" si="14"/>
        <v/>
      </c>
      <c r="T312" s="27" t="s">
        <v>1113</v>
      </c>
      <c r="U312" s="28"/>
      <c r="V312" s="28"/>
      <c r="W312" s="28"/>
      <c r="X312" s="28"/>
      <c r="Y312" s="27"/>
      <c r="Z312" s="27"/>
      <c r="AA312" s="27"/>
      <c r="AB312" s="27"/>
    </row>
    <row r="313" spans="1:28" ht="42" customHeight="1">
      <c r="A313" s="41"/>
      <c r="B313" s="42"/>
      <c r="C313" s="42"/>
      <c r="D313" s="42"/>
      <c r="E313" s="42"/>
      <c r="F313" s="42"/>
      <c r="G313" s="42"/>
      <c r="H313" s="45"/>
      <c r="I313" s="44"/>
      <c r="J313" s="43"/>
      <c r="K313" s="44"/>
      <c r="L313" s="14">
        <f t="shared" si="12"/>
        <v>0</v>
      </c>
      <c r="M313" s="14">
        <f>IF(OR(L313=0,T313&lt;&gt;"Sim"),0,INDEX(Processos!$X$10:$X$509,O313))</f>
        <v>0</v>
      </c>
      <c r="N313" s="40" t="str">
        <f t="shared" si="13"/>
        <v/>
      </c>
      <c r="O313" s="14">
        <f>IF(AND(A313&lt;&gt;"",ISTEXT(A313),COUNTIFS(Processos!$AS$10:$AS$509,"="&amp;SUBSTITUTE(SUBSTITUTE(SUBSTITUTE("P:"&amp;A313,"~","~~"),"*","~*"),"?","~?"))=1),(IF(ISNA(MATCH(SUBSTITUTE(SUBSTITUTE(SUBSTITUTE("P:"&amp;A313,"~","~~"),"*","~*"),"?","~?"),Processos!$AS$10:$AS$509,0)),9,INDEX(Processos!$AM$10:$AM$509,MATCH(SUBSTITUTE(SUBSTITUTE(SUBSTITUTE("P:"&amp;A313,"~","~~"),"*","~*"),"?","~?"),Processos!$AS$10:$AS$509,0)))-9),0)</f>
        <v>0</v>
      </c>
      <c r="P313" s="14" t="str">
        <f>IF(L313=0,"",INDEX(Processos!$D$10:$D$509,O313))</f>
        <v/>
      </c>
      <c r="Q313" s="14">
        <f>IF(OR(L313=0,T313&lt;&gt;"Sim"),0,INDEX(Processos!$AL$10:$AL$509,O313))</f>
        <v>0</v>
      </c>
      <c r="R313" s="14">
        <f>ROW()</f>
        <v>313</v>
      </c>
      <c r="S313" s="14" t="str">
        <f t="shared" si="14"/>
        <v/>
      </c>
      <c r="T313" s="27" t="s">
        <v>1113</v>
      </c>
      <c r="U313" s="28"/>
      <c r="V313" s="28"/>
      <c r="W313" s="28"/>
      <c r="X313" s="28"/>
      <c r="Y313" s="27"/>
      <c r="Z313" s="27"/>
      <c r="AA313" s="27"/>
      <c r="AB313" s="27"/>
    </row>
    <row r="314" spans="1:28" ht="42" customHeight="1">
      <c r="A314" s="41"/>
      <c r="B314" s="42"/>
      <c r="C314" s="42"/>
      <c r="D314" s="42"/>
      <c r="E314" s="42"/>
      <c r="F314" s="42"/>
      <c r="G314" s="42"/>
      <c r="H314" s="45"/>
      <c r="I314" s="44"/>
      <c r="J314" s="43"/>
      <c r="K314" s="44"/>
      <c r="L314" s="14">
        <f t="shared" si="12"/>
        <v>0</v>
      </c>
      <c r="M314" s="14">
        <f>IF(OR(L314=0,T314&lt;&gt;"Sim"),0,INDEX(Processos!$X$10:$X$509,O314))</f>
        <v>0</v>
      </c>
      <c r="N314" s="40" t="str">
        <f t="shared" si="13"/>
        <v/>
      </c>
      <c r="O314" s="14">
        <f>IF(AND(A314&lt;&gt;"",ISTEXT(A314),COUNTIFS(Processos!$AS$10:$AS$509,"="&amp;SUBSTITUTE(SUBSTITUTE(SUBSTITUTE("P:"&amp;A314,"~","~~"),"*","~*"),"?","~?"))=1),(IF(ISNA(MATCH(SUBSTITUTE(SUBSTITUTE(SUBSTITUTE("P:"&amp;A314,"~","~~"),"*","~*"),"?","~?"),Processos!$AS$10:$AS$509,0)),9,INDEX(Processos!$AM$10:$AM$509,MATCH(SUBSTITUTE(SUBSTITUTE(SUBSTITUTE("P:"&amp;A314,"~","~~"),"*","~*"),"?","~?"),Processos!$AS$10:$AS$509,0)))-9),0)</f>
        <v>0</v>
      </c>
      <c r="P314" s="14" t="str">
        <f>IF(L314=0,"",INDEX(Processos!$D$10:$D$509,O314))</f>
        <v/>
      </c>
      <c r="Q314" s="14">
        <f>IF(OR(L314=0,T314&lt;&gt;"Sim"),0,INDEX(Processos!$AL$10:$AL$509,O314))</f>
        <v>0</v>
      </c>
      <c r="R314" s="14">
        <f>ROW()</f>
        <v>314</v>
      </c>
      <c r="S314" s="14" t="str">
        <f t="shared" si="14"/>
        <v/>
      </c>
      <c r="T314" s="27" t="s">
        <v>1113</v>
      </c>
      <c r="U314" s="28"/>
      <c r="V314" s="28"/>
      <c r="W314" s="28"/>
      <c r="X314" s="28"/>
      <c r="Y314" s="27"/>
      <c r="Z314" s="27"/>
      <c r="AA314" s="27"/>
      <c r="AB314" s="27"/>
    </row>
    <row r="315" spans="1:28" ht="42" customHeight="1">
      <c r="A315" s="41"/>
      <c r="B315" s="42"/>
      <c r="C315" s="42"/>
      <c r="D315" s="42"/>
      <c r="E315" s="42"/>
      <c r="F315" s="42"/>
      <c r="G315" s="42"/>
      <c r="H315" s="45"/>
      <c r="I315" s="44"/>
      <c r="J315" s="43"/>
      <c r="K315" s="44"/>
      <c r="L315" s="14">
        <f t="shared" si="12"/>
        <v>0</v>
      </c>
      <c r="M315" s="14">
        <f>IF(OR(L315=0,T315&lt;&gt;"Sim"),0,INDEX(Processos!$X$10:$X$509,O315))</f>
        <v>0</v>
      </c>
      <c r="N315" s="40" t="str">
        <f t="shared" si="13"/>
        <v/>
      </c>
      <c r="O315" s="14">
        <f>IF(AND(A315&lt;&gt;"",ISTEXT(A315),COUNTIFS(Processos!$AS$10:$AS$509,"="&amp;SUBSTITUTE(SUBSTITUTE(SUBSTITUTE("P:"&amp;A315,"~","~~"),"*","~*"),"?","~?"))=1),(IF(ISNA(MATCH(SUBSTITUTE(SUBSTITUTE(SUBSTITUTE("P:"&amp;A315,"~","~~"),"*","~*"),"?","~?"),Processos!$AS$10:$AS$509,0)),9,INDEX(Processos!$AM$10:$AM$509,MATCH(SUBSTITUTE(SUBSTITUTE(SUBSTITUTE("P:"&amp;A315,"~","~~"),"*","~*"),"?","~?"),Processos!$AS$10:$AS$509,0)))-9),0)</f>
        <v>0</v>
      </c>
      <c r="P315" s="14" t="str">
        <f>IF(L315=0,"",INDEX(Processos!$D$10:$D$509,O315))</f>
        <v/>
      </c>
      <c r="Q315" s="14">
        <f>IF(OR(L315=0,T315&lt;&gt;"Sim"),0,INDEX(Processos!$AL$10:$AL$509,O315))</f>
        <v>0</v>
      </c>
      <c r="R315" s="14">
        <f>ROW()</f>
        <v>315</v>
      </c>
      <c r="S315" s="14" t="str">
        <f t="shared" si="14"/>
        <v/>
      </c>
      <c r="T315" s="27" t="s">
        <v>1113</v>
      </c>
      <c r="U315" s="28"/>
      <c r="V315" s="28"/>
      <c r="W315" s="28"/>
      <c r="X315" s="28"/>
      <c r="Y315" s="27"/>
      <c r="Z315" s="27"/>
      <c r="AA315" s="27"/>
      <c r="AB315" s="27"/>
    </row>
    <row r="316" spans="1:28" ht="42" customHeight="1">
      <c r="A316" s="41"/>
      <c r="B316" s="42"/>
      <c r="C316" s="42"/>
      <c r="D316" s="42"/>
      <c r="E316" s="42"/>
      <c r="F316" s="42"/>
      <c r="G316" s="42"/>
      <c r="H316" s="45"/>
      <c r="I316" s="44"/>
      <c r="J316" s="43"/>
      <c r="K316" s="44"/>
      <c r="L316" s="14">
        <f t="shared" si="12"/>
        <v>0</v>
      </c>
      <c r="M316" s="14">
        <f>IF(OR(L316=0,T316&lt;&gt;"Sim"),0,INDEX(Processos!$X$10:$X$509,O316))</f>
        <v>0</v>
      </c>
      <c r="N316" s="40" t="str">
        <f t="shared" si="13"/>
        <v/>
      </c>
      <c r="O316" s="14">
        <f>IF(AND(A316&lt;&gt;"",ISTEXT(A316),COUNTIFS(Processos!$AS$10:$AS$509,"="&amp;SUBSTITUTE(SUBSTITUTE(SUBSTITUTE("P:"&amp;A316,"~","~~"),"*","~*"),"?","~?"))=1),(IF(ISNA(MATCH(SUBSTITUTE(SUBSTITUTE(SUBSTITUTE("P:"&amp;A316,"~","~~"),"*","~*"),"?","~?"),Processos!$AS$10:$AS$509,0)),9,INDEX(Processos!$AM$10:$AM$509,MATCH(SUBSTITUTE(SUBSTITUTE(SUBSTITUTE("P:"&amp;A316,"~","~~"),"*","~*"),"?","~?"),Processos!$AS$10:$AS$509,0)))-9),0)</f>
        <v>0</v>
      </c>
      <c r="P316" s="14" t="str">
        <f>IF(L316=0,"",INDEX(Processos!$D$10:$D$509,O316))</f>
        <v/>
      </c>
      <c r="Q316" s="14">
        <f>IF(OR(L316=0,T316&lt;&gt;"Sim"),0,INDEX(Processos!$AL$10:$AL$509,O316))</f>
        <v>0</v>
      </c>
      <c r="R316" s="14">
        <f>ROW()</f>
        <v>316</v>
      </c>
      <c r="S316" s="14" t="str">
        <f t="shared" si="14"/>
        <v/>
      </c>
      <c r="T316" s="27" t="s">
        <v>1113</v>
      </c>
      <c r="U316" s="28"/>
      <c r="V316" s="28"/>
      <c r="W316" s="28"/>
      <c r="X316" s="28"/>
      <c r="Y316" s="27"/>
      <c r="Z316" s="27"/>
      <c r="AA316" s="27"/>
      <c r="AB316" s="27"/>
    </row>
    <row r="317" spans="1:28" ht="42" customHeight="1">
      <c r="A317" s="41"/>
      <c r="B317" s="42"/>
      <c r="C317" s="42"/>
      <c r="D317" s="42"/>
      <c r="E317" s="42"/>
      <c r="F317" s="42"/>
      <c r="G317" s="42"/>
      <c r="H317" s="45"/>
      <c r="I317" s="44"/>
      <c r="J317" s="43"/>
      <c r="K317" s="44"/>
      <c r="L317" s="14">
        <f t="shared" si="12"/>
        <v>0</v>
      </c>
      <c r="M317" s="14">
        <f>IF(OR(L317=0,T317&lt;&gt;"Sim"),0,INDEX(Processos!$X$10:$X$509,O317))</f>
        <v>0</v>
      </c>
      <c r="N317" s="40" t="str">
        <f t="shared" si="13"/>
        <v/>
      </c>
      <c r="O317" s="14">
        <f>IF(AND(A317&lt;&gt;"",ISTEXT(A317),COUNTIFS(Processos!$AS$10:$AS$509,"="&amp;SUBSTITUTE(SUBSTITUTE(SUBSTITUTE("P:"&amp;A317,"~","~~"),"*","~*"),"?","~?"))=1),(IF(ISNA(MATCH(SUBSTITUTE(SUBSTITUTE(SUBSTITUTE("P:"&amp;A317,"~","~~"),"*","~*"),"?","~?"),Processos!$AS$10:$AS$509,0)),9,INDEX(Processos!$AM$10:$AM$509,MATCH(SUBSTITUTE(SUBSTITUTE(SUBSTITUTE("P:"&amp;A317,"~","~~"),"*","~*"),"?","~?"),Processos!$AS$10:$AS$509,0)))-9),0)</f>
        <v>0</v>
      </c>
      <c r="P317" s="14" t="str">
        <f>IF(L317=0,"",INDEX(Processos!$D$10:$D$509,O317))</f>
        <v/>
      </c>
      <c r="Q317" s="14">
        <f>IF(OR(L317=0,T317&lt;&gt;"Sim"),0,INDEX(Processos!$AL$10:$AL$509,O317))</f>
        <v>0</v>
      </c>
      <c r="R317" s="14">
        <f>ROW()</f>
        <v>317</v>
      </c>
      <c r="S317" s="14" t="str">
        <f t="shared" si="14"/>
        <v/>
      </c>
      <c r="T317" s="27" t="s">
        <v>1113</v>
      </c>
      <c r="U317" s="28"/>
      <c r="V317" s="28"/>
      <c r="W317" s="28"/>
      <c r="X317" s="28"/>
      <c r="Y317" s="27"/>
      <c r="Z317" s="27"/>
      <c r="AA317" s="27"/>
      <c r="AB317" s="27"/>
    </row>
    <row r="318" spans="1:28" ht="42" customHeight="1">
      <c r="A318" s="41"/>
      <c r="B318" s="42"/>
      <c r="C318" s="42"/>
      <c r="D318" s="42"/>
      <c r="E318" s="42"/>
      <c r="F318" s="42"/>
      <c r="G318" s="42"/>
      <c r="H318" s="45"/>
      <c r="I318" s="44"/>
      <c r="J318" s="43"/>
      <c r="K318" s="44"/>
      <c r="L318" s="14">
        <f t="shared" si="12"/>
        <v>0</v>
      </c>
      <c r="M318" s="14">
        <f>IF(OR(L318=0,T318&lt;&gt;"Sim"),0,INDEX(Processos!$X$10:$X$509,O318))</f>
        <v>0</v>
      </c>
      <c r="N318" s="40" t="str">
        <f t="shared" si="13"/>
        <v/>
      </c>
      <c r="O318" s="14">
        <f>IF(AND(A318&lt;&gt;"",ISTEXT(A318),COUNTIFS(Processos!$AS$10:$AS$509,"="&amp;SUBSTITUTE(SUBSTITUTE(SUBSTITUTE("P:"&amp;A318,"~","~~"),"*","~*"),"?","~?"))=1),(IF(ISNA(MATCH(SUBSTITUTE(SUBSTITUTE(SUBSTITUTE("P:"&amp;A318,"~","~~"),"*","~*"),"?","~?"),Processos!$AS$10:$AS$509,0)),9,INDEX(Processos!$AM$10:$AM$509,MATCH(SUBSTITUTE(SUBSTITUTE(SUBSTITUTE("P:"&amp;A318,"~","~~"),"*","~*"),"?","~?"),Processos!$AS$10:$AS$509,0)))-9),0)</f>
        <v>0</v>
      </c>
      <c r="P318" s="14" t="str">
        <f>IF(L318=0,"",INDEX(Processos!$D$10:$D$509,O318))</f>
        <v/>
      </c>
      <c r="Q318" s="14">
        <f>IF(OR(L318=0,T318&lt;&gt;"Sim"),0,INDEX(Processos!$AL$10:$AL$509,O318))</f>
        <v>0</v>
      </c>
      <c r="R318" s="14">
        <f>ROW()</f>
        <v>318</v>
      </c>
      <c r="S318" s="14" t="str">
        <f t="shared" si="14"/>
        <v/>
      </c>
      <c r="T318" s="27" t="s">
        <v>1113</v>
      </c>
      <c r="U318" s="28"/>
      <c r="V318" s="28"/>
      <c r="W318" s="28"/>
      <c r="X318" s="28"/>
      <c r="Y318" s="27"/>
      <c r="Z318" s="27"/>
      <c r="AA318" s="27"/>
      <c r="AB318" s="27"/>
    </row>
    <row r="319" spans="1:28" ht="42" customHeight="1">
      <c r="A319" s="41"/>
      <c r="B319" s="42"/>
      <c r="C319" s="42"/>
      <c r="D319" s="42"/>
      <c r="E319" s="42"/>
      <c r="F319" s="42"/>
      <c r="G319" s="42"/>
      <c r="H319" s="45"/>
      <c r="I319" s="44"/>
      <c r="J319" s="43"/>
      <c r="K319" s="44"/>
      <c r="L319" s="14">
        <f t="shared" si="12"/>
        <v>0</v>
      </c>
      <c r="M319" s="14">
        <f>IF(OR(L319=0,T319&lt;&gt;"Sim"),0,INDEX(Processos!$X$10:$X$509,O319))</f>
        <v>0</v>
      </c>
      <c r="N319" s="40" t="str">
        <f t="shared" si="13"/>
        <v/>
      </c>
      <c r="O319" s="14">
        <f>IF(AND(A319&lt;&gt;"",ISTEXT(A319),COUNTIFS(Processos!$AS$10:$AS$509,"="&amp;SUBSTITUTE(SUBSTITUTE(SUBSTITUTE("P:"&amp;A319,"~","~~"),"*","~*"),"?","~?"))=1),(IF(ISNA(MATCH(SUBSTITUTE(SUBSTITUTE(SUBSTITUTE("P:"&amp;A319,"~","~~"),"*","~*"),"?","~?"),Processos!$AS$10:$AS$509,0)),9,INDEX(Processos!$AM$10:$AM$509,MATCH(SUBSTITUTE(SUBSTITUTE(SUBSTITUTE("P:"&amp;A319,"~","~~"),"*","~*"),"?","~?"),Processos!$AS$10:$AS$509,0)))-9),0)</f>
        <v>0</v>
      </c>
      <c r="P319" s="14" t="str">
        <f>IF(L319=0,"",INDEX(Processos!$D$10:$D$509,O319))</f>
        <v/>
      </c>
      <c r="Q319" s="14">
        <f>IF(OR(L319=0,T319&lt;&gt;"Sim"),0,INDEX(Processos!$AL$10:$AL$509,O319))</f>
        <v>0</v>
      </c>
      <c r="R319" s="14">
        <f>ROW()</f>
        <v>319</v>
      </c>
      <c r="S319" s="14" t="str">
        <f t="shared" si="14"/>
        <v/>
      </c>
      <c r="T319" s="27" t="s">
        <v>1113</v>
      </c>
      <c r="U319" s="28"/>
      <c r="V319" s="28"/>
      <c r="W319" s="28"/>
      <c r="X319" s="28"/>
      <c r="Y319" s="27"/>
      <c r="Z319" s="27"/>
      <c r="AA319" s="27"/>
      <c r="AB319" s="27"/>
    </row>
    <row r="320" spans="1:28" ht="42" customHeight="1">
      <c r="A320" s="41"/>
      <c r="B320" s="42"/>
      <c r="C320" s="42"/>
      <c r="D320" s="42"/>
      <c r="E320" s="42"/>
      <c r="F320" s="42"/>
      <c r="G320" s="42"/>
      <c r="H320" s="45"/>
      <c r="I320" s="44"/>
      <c r="J320" s="43"/>
      <c r="K320" s="44"/>
      <c r="L320" s="14">
        <f t="shared" si="12"/>
        <v>0</v>
      </c>
      <c r="M320" s="14">
        <f>IF(OR(L320=0,T320&lt;&gt;"Sim"),0,INDEX(Processos!$X$10:$X$509,O320))</f>
        <v>0</v>
      </c>
      <c r="N320" s="40" t="str">
        <f t="shared" si="13"/>
        <v/>
      </c>
      <c r="O320" s="14">
        <f>IF(AND(A320&lt;&gt;"",ISTEXT(A320),COUNTIFS(Processos!$AS$10:$AS$509,"="&amp;SUBSTITUTE(SUBSTITUTE(SUBSTITUTE("P:"&amp;A320,"~","~~"),"*","~*"),"?","~?"))=1),(IF(ISNA(MATCH(SUBSTITUTE(SUBSTITUTE(SUBSTITUTE("P:"&amp;A320,"~","~~"),"*","~*"),"?","~?"),Processos!$AS$10:$AS$509,0)),9,INDEX(Processos!$AM$10:$AM$509,MATCH(SUBSTITUTE(SUBSTITUTE(SUBSTITUTE("P:"&amp;A320,"~","~~"),"*","~*"),"?","~?"),Processos!$AS$10:$AS$509,0)))-9),0)</f>
        <v>0</v>
      </c>
      <c r="P320" s="14" t="str">
        <f>IF(L320=0,"",INDEX(Processos!$D$10:$D$509,O320))</f>
        <v/>
      </c>
      <c r="Q320" s="14">
        <f>IF(OR(L320=0,T320&lt;&gt;"Sim"),0,INDEX(Processos!$AL$10:$AL$509,O320))</f>
        <v>0</v>
      </c>
      <c r="R320" s="14">
        <f>ROW()</f>
        <v>320</v>
      </c>
      <c r="S320" s="14" t="str">
        <f t="shared" si="14"/>
        <v/>
      </c>
      <c r="T320" s="27" t="s">
        <v>1113</v>
      </c>
      <c r="U320" s="28"/>
      <c r="V320" s="28"/>
      <c r="W320" s="28"/>
      <c r="X320" s="28"/>
      <c r="Y320" s="27"/>
      <c r="Z320" s="27"/>
      <c r="AA320" s="27"/>
      <c r="AB320" s="27"/>
    </row>
    <row r="321" spans="1:28" ht="42" customHeight="1">
      <c r="A321" s="41"/>
      <c r="B321" s="42"/>
      <c r="C321" s="42"/>
      <c r="D321" s="42"/>
      <c r="E321" s="42"/>
      <c r="F321" s="42"/>
      <c r="G321" s="42"/>
      <c r="H321" s="45"/>
      <c r="I321" s="44"/>
      <c r="J321" s="43"/>
      <c r="K321" s="44"/>
      <c r="L321" s="14">
        <f t="shared" si="12"/>
        <v>0</v>
      </c>
      <c r="M321" s="14">
        <f>IF(OR(L321=0,T321&lt;&gt;"Sim"),0,INDEX(Processos!$X$10:$X$509,O321))</f>
        <v>0</v>
      </c>
      <c r="N321" s="40" t="str">
        <f t="shared" si="13"/>
        <v/>
      </c>
      <c r="O321" s="14">
        <f>IF(AND(A321&lt;&gt;"",ISTEXT(A321),COUNTIFS(Processos!$AS$10:$AS$509,"="&amp;SUBSTITUTE(SUBSTITUTE(SUBSTITUTE("P:"&amp;A321,"~","~~"),"*","~*"),"?","~?"))=1),(IF(ISNA(MATCH(SUBSTITUTE(SUBSTITUTE(SUBSTITUTE("P:"&amp;A321,"~","~~"),"*","~*"),"?","~?"),Processos!$AS$10:$AS$509,0)),9,INDEX(Processos!$AM$10:$AM$509,MATCH(SUBSTITUTE(SUBSTITUTE(SUBSTITUTE("P:"&amp;A321,"~","~~"),"*","~*"),"?","~?"),Processos!$AS$10:$AS$509,0)))-9),0)</f>
        <v>0</v>
      </c>
      <c r="P321" s="14" t="str">
        <f>IF(L321=0,"",INDEX(Processos!$D$10:$D$509,O321))</f>
        <v/>
      </c>
      <c r="Q321" s="14">
        <f>IF(OR(L321=0,T321&lt;&gt;"Sim"),0,INDEX(Processos!$AL$10:$AL$509,O321))</f>
        <v>0</v>
      </c>
      <c r="R321" s="14">
        <f>ROW()</f>
        <v>321</v>
      </c>
      <c r="S321" s="14" t="str">
        <f t="shared" si="14"/>
        <v/>
      </c>
      <c r="T321" s="27" t="s">
        <v>1113</v>
      </c>
      <c r="U321" s="28"/>
      <c r="V321" s="28"/>
      <c r="W321" s="28"/>
      <c r="X321" s="28"/>
      <c r="Y321" s="27"/>
      <c r="Z321" s="27"/>
      <c r="AA321" s="27"/>
      <c r="AB321" s="27"/>
    </row>
    <row r="322" spans="1:28" ht="42" customHeight="1">
      <c r="A322" s="41"/>
      <c r="B322" s="42"/>
      <c r="C322" s="42"/>
      <c r="D322" s="42"/>
      <c r="E322" s="42"/>
      <c r="F322" s="42"/>
      <c r="G322" s="42"/>
      <c r="H322" s="45"/>
      <c r="I322" s="44"/>
      <c r="J322" s="43"/>
      <c r="K322" s="44"/>
      <c r="L322" s="14">
        <f t="shared" si="12"/>
        <v>0</v>
      </c>
      <c r="M322" s="14">
        <f>IF(OR(L322=0,T322&lt;&gt;"Sim"),0,INDEX(Processos!$X$10:$X$509,O322))</f>
        <v>0</v>
      </c>
      <c r="N322" s="40" t="str">
        <f t="shared" si="13"/>
        <v/>
      </c>
      <c r="O322" s="14">
        <f>IF(AND(A322&lt;&gt;"",ISTEXT(A322),COUNTIFS(Processos!$AS$10:$AS$509,"="&amp;SUBSTITUTE(SUBSTITUTE(SUBSTITUTE("P:"&amp;A322,"~","~~"),"*","~*"),"?","~?"))=1),(IF(ISNA(MATCH(SUBSTITUTE(SUBSTITUTE(SUBSTITUTE("P:"&amp;A322,"~","~~"),"*","~*"),"?","~?"),Processos!$AS$10:$AS$509,0)),9,INDEX(Processos!$AM$10:$AM$509,MATCH(SUBSTITUTE(SUBSTITUTE(SUBSTITUTE("P:"&amp;A322,"~","~~"),"*","~*"),"?","~?"),Processos!$AS$10:$AS$509,0)))-9),0)</f>
        <v>0</v>
      </c>
      <c r="P322" s="14" t="str">
        <f>IF(L322=0,"",INDEX(Processos!$D$10:$D$509,O322))</f>
        <v/>
      </c>
      <c r="Q322" s="14">
        <f>IF(OR(L322=0,T322&lt;&gt;"Sim"),0,INDEX(Processos!$AL$10:$AL$509,O322))</f>
        <v>0</v>
      </c>
      <c r="R322" s="14">
        <f>ROW()</f>
        <v>322</v>
      </c>
      <c r="S322" s="14" t="str">
        <f t="shared" si="14"/>
        <v/>
      </c>
      <c r="T322" s="27" t="s">
        <v>1113</v>
      </c>
      <c r="U322" s="28"/>
      <c r="V322" s="28"/>
      <c r="W322" s="28"/>
      <c r="X322" s="28"/>
      <c r="Y322" s="27"/>
      <c r="Z322" s="27"/>
      <c r="AA322" s="27"/>
      <c r="AB322" s="27"/>
    </row>
    <row r="323" spans="1:28" ht="42" customHeight="1">
      <c r="A323" s="41"/>
      <c r="B323" s="42"/>
      <c r="C323" s="42"/>
      <c r="D323" s="42"/>
      <c r="E323" s="42"/>
      <c r="F323" s="42"/>
      <c r="G323" s="42"/>
      <c r="H323" s="45"/>
      <c r="I323" s="44"/>
      <c r="J323" s="43"/>
      <c r="K323" s="44"/>
      <c r="L323" s="14">
        <f t="shared" si="12"/>
        <v>0</v>
      </c>
      <c r="M323" s="14">
        <f>IF(OR(L323=0,T323&lt;&gt;"Sim"),0,INDEX(Processos!$X$10:$X$509,O323))</f>
        <v>0</v>
      </c>
      <c r="N323" s="40" t="str">
        <f t="shared" si="13"/>
        <v/>
      </c>
      <c r="O323" s="14">
        <f>IF(AND(A323&lt;&gt;"",ISTEXT(A323),COUNTIFS(Processos!$AS$10:$AS$509,"="&amp;SUBSTITUTE(SUBSTITUTE(SUBSTITUTE("P:"&amp;A323,"~","~~"),"*","~*"),"?","~?"))=1),(IF(ISNA(MATCH(SUBSTITUTE(SUBSTITUTE(SUBSTITUTE("P:"&amp;A323,"~","~~"),"*","~*"),"?","~?"),Processos!$AS$10:$AS$509,0)),9,INDEX(Processos!$AM$10:$AM$509,MATCH(SUBSTITUTE(SUBSTITUTE(SUBSTITUTE("P:"&amp;A323,"~","~~"),"*","~*"),"?","~?"),Processos!$AS$10:$AS$509,0)))-9),0)</f>
        <v>0</v>
      </c>
      <c r="P323" s="14" t="str">
        <f>IF(L323=0,"",INDEX(Processos!$D$10:$D$509,O323))</f>
        <v/>
      </c>
      <c r="Q323" s="14">
        <f>IF(OR(L323=0,T323&lt;&gt;"Sim"),0,INDEX(Processos!$AL$10:$AL$509,O323))</f>
        <v>0</v>
      </c>
      <c r="R323" s="14">
        <f>ROW()</f>
        <v>323</v>
      </c>
      <c r="S323" s="14" t="str">
        <f t="shared" si="14"/>
        <v/>
      </c>
      <c r="T323" s="27" t="s">
        <v>1113</v>
      </c>
      <c r="U323" s="28"/>
      <c r="V323" s="28"/>
      <c r="W323" s="28"/>
      <c r="X323" s="28"/>
      <c r="Y323" s="27"/>
      <c r="Z323" s="27"/>
      <c r="AA323" s="27"/>
      <c r="AB323" s="27"/>
    </row>
    <row r="324" spans="1:28" ht="42" customHeight="1">
      <c r="A324" s="41"/>
      <c r="B324" s="42"/>
      <c r="C324" s="42"/>
      <c r="D324" s="42"/>
      <c r="E324" s="42"/>
      <c r="F324" s="42"/>
      <c r="G324" s="42"/>
      <c r="H324" s="45"/>
      <c r="I324" s="44"/>
      <c r="J324" s="43"/>
      <c r="K324" s="44"/>
      <c r="L324" s="14">
        <f t="shared" si="12"/>
        <v>0</v>
      </c>
      <c r="M324" s="14">
        <f>IF(OR(L324=0,T324&lt;&gt;"Sim"),0,INDEX(Processos!$X$10:$X$509,O324))</f>
        <v>0</v>
      </c>
      <c r="N324" s="40" t="str">
        <f t="shared" si="13"/>
        <v/>
      </c>
      <c r="O324" s="14">
        <f>IF(AND(A324&lt;&gt;"",ISTEXT(A324),COUNTIFS(Processos!$AS$10:$AS$509,"="&amp;SUBSTITUTE(SUBSTITUTE(SUBSTITUTE("P:"&amp;A324,"~","~~"),"*","~*"),"?","~?"))=1),(IF(ISNA(MATCH(SUBSTITUTE(SUBSTITUTE(SUBSTITUTE("P:"&amp;A324,"~","~~"),"*","~*"),"?","~?"),Processos!$AS$10:$AS$509,0)),9,INDEX(Processos!$AM$10:$AM$509,MATCH(SUBSTITUTE(SUBSTITUTE(SUBSTITUTE("P:"&amp;A324,"~","~~"),"*","~*"),"?","~?"),Processos!$AS$10:$AS$509,0)))-9),0)</f>
        <v>0</v>
      </c>
      <c r="P324" s="14" t="str">
        <f>IF(L324=0,"",INDEX(Processos!$D$10:$D$509,O324))</f>
        <v/>
      </c>
      <c r="Q324" s="14">
        <f>IF(OR(L324=0,T324&lt;&gt;"Sim"),0,INDEX(Processos!$AL$10:$AL$509,O324))</f>
        <v>0</v>
      </c>
      <c r="R324" s="14">
        <f>ROW()</f>
        <v>324</v>
      </c>
      <c r="S324" s="14" t="str">
        <f t="shared" si="14"/>
        <v/>
      </c>
      <c r="T324" s="27" t="s">
        <v>1113</v>
      </c>
      <c r="U324" s="28"/>
      <c r="V324" s="28"/>
      <c r="W324" s="28"/>
      <c r="X324" s="28"/>
      <c r="Y324" s="27"/>
      <c r="Z324" s="27"/>
      <c r="AA324" s="27"/>
      <c r="AB324" s="27"/>
    </row>
    <row r="325" spans="1:28" ht="42" customHeight="1">
      <c r="A325" s="41"/>
      <c r="B325" s="42"/>
      <c r="C325" s="42"/>
      <c r="D325" s="42"/>
      <c r="E325" s="42"/>
      <c r="F325" s="42"/>
      <c r="G325" s="42"/>
      <c r="H325" s="45"/>
      <c r="I325" s="44"/>
      <c r="J325" s="43"/>
      <c r="K325" s="44"/>
      <c r="L325" s="14">
        <f t="shared" si="12"/>
        <v>0</v>
      </c>
      <c r="M325" s="14">
        <f>IF(OR(L325=0,T325&lt;&gt;"Sim"),0,INDEX(Processos!$X$10:$X$509,O325))</f>
        <v>0</v>
      </c>
      <c r="N325" s="40" t="str">
        <f t="shared" si="13"/>
        <v/>
      </c>
      <c r="O325" s="14">
        <f>IF(AND(A325&lt;&gt;"",ISTEXT(A325),COUNTIFS(Processos!$AS$10:$AS$509,"="&amp;SUBSTITUTE(SUBSTITUTE(SUBSTITUTE("P:"&amp;A325,"~","~~"),"*","~*"),"?","~?"))=1),(IF(ISNA(MATCH(SUBSTITUTE(SUBSTITUTE(SUBSTITUTE("P:"&amp;A325,"~","~~"),"*","~*"),"?","~?"),Processos!$AS$10:$AS$509,0)),9,INDEX(Processos!$AM$10:$AM$509,MATCH(SUBSTITUTE(SUBSTITUTE(SUBSTITUTE("P:"&amp;A325,"~","~~"),"*","~*"),"?","~?"),Processos!$AS$10:$AS$509,0)))-9),0)</f>
        <v>0</v>
      </c>
      <c r="P325" s="14" t="str">
        <f>IF(L325=0,"",INDEX(Processos!$D$10:$D$509,O325))</f>
        <v/>
      </c>
      <c r="Q325" s="14">
        <f>IF(OR(L325=0,T325&lt;&gt;"Sim"),0,INDEX(Processos!$AL$10:$AL$509,O325))</f>
        <v>0</v>
      </c>
      <c r="R325" s="14">
        <f>ROW()</f>
        <v>325</v>
      </c>
      <c r="S325" s="14" t="str">
        <f t="shared" si="14"/>
        <v/>
      </c>
      <c r="T325" s="27" t="s">
        <v>1113</v>
      </c>
      <c r="U325" s="28"/>
      <c r="V325" s="28"/>
      <c r="W325" s="28"/>
      <c r="X325" s="28"/>
      <c r="Y325" s="27"/>
      <c r="Z325" s="27"/>
      <c r="AA325" s="27"/>
      <c r="AB325" s="27"/>
    </row>
    <row r="326" spans="1:28" ht="42" customHeight="1">
      <c r="A326" s="41"/>
      <c r="B326" s="42"/>
      <c r="C326" s="42"/>
      <c r="D326" s="42"/>
      <c r="E326" s="42"/>
      <c r="F326" s="42"/>
      <c r="G326" s="42"/>
      <c r="H326" s="45"/>
      <c r="I326" s="44"/>
      <c r="J326" s="43"/>
      <c r="K326" s="44"/>
      <c r="L326" s="14">
        <f t="shared" si="12"/>
        <v>0</v>
      </c>
      <c r="M326" s="14">
        <f>IF(OR(L326=0,T326&lt;&gt;"Sim"),0,INDEX(Processos!$X$10:$X$509,O326))</f>
        <v>0</v>
      </c>
      <c r="N326" s="40" t="str">
        <f t="shared" si="13"/>
        <v/>
      </c>
      <c r="O326" s="14">
        <f>IF(AND(A326&lt;&gt;"",ISTEXT(A326),COUNTIFS(Processos!$AS$10:$AS$509,"="&amp;SUBSTITUTE(SUBSTITUTE(SUBSTITUTE("P:"&amp;A326,"~","~~"),"*","~*"),"?","~?"))=1),(IF(ISNA(MATCH(SUBSTITUTE(SUBSTITUTE(SUBSTITUTE("P:"&amp;A326,"~","~~"),"*","~*"),"?","~?"),Processos!$AS$10:$AS$509,0)),9,INDEX(Processos!$AM$10:$AM$509,MATCH(SUBSTITUTE(SUBSTITUTE(SUBSTITUTE("P:"&amp;A326,"~","~~"),"*","~*"),"?","~?"),Processos!$AS$10:$AS$509,0)))-9),0)</f>
        <v>0</v>
      </c>
      <c r="P326" s="14" t="str">
        <f>IF(L326=0,"",INDEX(Processos!$D$10:$D$509,O326))</f>
        <v/>
      </c>
      <c r="Q326" s="14">
        <f>IF(OR(L326=0,T326&lt;&gt;"Sim"),0,INDEX(Processos!$AL$10:$AL$509,O326))</f>
        <v>0</v>
      </c>
      <c r="R326" s="14">
        <f>ROW()</f>
        <v>326</v>
      </c>
      <c r="S326" s="14" t="str">
        <f t="shared" si="14"/>
        <v/>
      </c>
      <c r="T326" s="27" t="s">
        <v>1113</v>
      </c>
      <c r="U326" s="28"/>
      <c r="V326" s="28"/>
      <c r="W326" s="28"/>
      <c r="X326" s="28"/>
      <c r="Y326" s="27"/>
      <c r="Z326" s="27"/>
      <c r="AA326" s="27"/>
      <c r="AB326" s="27"/>
    </row>
    <row r="327" spans="1:28" ht="42" customHeight="1">
      <c r="A327" s="41"/>
      <c r="B327" s="42"/>
      <c r="C327" s="42"/>
      <c r="D327" s="42"/>
      <c r="E327" s="42"/>
      <c r="F327" s="42"/>
      <c r="G327" s="42"/>
      <c r="H327" s="45"/>
      <c r="I327" s="44"/>
      <c r="J327" s="43"/>
      <c r="K327" s="44"/>
      <c r="L327" s="14">
        <f t="shared" si="12"/>
        <v>0</v>
      </c>
      <c r="M327" s="14">
        <f>IF(OR(L327=0,T327&lt;&gt;"Sim"),0,INDEX(Processos!$X$10:$X$509,O327))</f>
        <v>0</v>
      </c>
      <c r="N327" s="40" t="str">
        <f t="shared" si="13"/>
        <v/>
      </c>
      <c r="O327" s="14">
        <f>IF(AND(A327&lt;&gt;"",ISTEXT(A327),COUNTIFS(Processos!$AS$10:$AS$509,"="&amp;SUBSTITUTE(SUBSTITUTE(SUBSTITUTE("P:"&amp;A327,"~","~~"),"*","~*"),"?","~?"))=1),(IF(ISNA(MATCH(SUBSTITUTE(SUBSTITUTE(SUBSTITUTE("P:"&amp;A327,"~","~~"),"*","~*"),"?","~?"),Processos!$AS$10:$AS$509,0)),9,INDEX(Processos!$AM$10:$AM$509,MATCH(SUBSTITUTE(SUBSTITUTE(SUBSTITUTE("P:"&amp;A327,"~","~~"),"*","~*"),"?","~?"),Processos!$AS$10:$AS$509,0)))-9),0)</f>
        <v>0</v>
      </c>
      <c r="P327" s="14" t="str">
        <f>IF(L327=0,"",INDEX(Processos!$D$10:$D$509,O327))</f>
        <v/>
      </c>
      <c r="Q327" s="14">
        <f>IF(OR(L327=0,T327&lt;&gt;"Sim"),0,INDEX(Processos!$AL$10:$AL$509,O327))</f>
        <v>0</v>
      </c>
      <c r="R327" s="14">
        <f>ROW()</f>
        <v>327</v>
      </c>
      <c r="S327" s="14" t="str">
        <f t="shared" si="14"/>
        <v/>
      </c>
      <c r="T327" s="27" t="s">
        <v>1113</v>
      </c>
      <c r="U327" s="28"/>
      <c r="V327" s="28"/>
      <c r="W327" s="28"/>
      <c r="X327" s="28"/>
      <c r="Y327" s="27"/>
      <c r="Z327" s="27"/>
      <c r="AA327" s="27"/>
      <c r="AB327" s="27"/>
    </row>
    <row r="328" spans="1:28" ht="42" customHeight="1">
      <c r="A328" s="41"/>
      <c r="B328" s="42"/>
      <c r="C328" s="42"/>
      <c r="D328" s="42"/>
      <c r="E328" s="42"/>
      <c r="F328" s="42"/>
      <c r="G328" s="42"/>
      <c r="H328" s="45"/>
      <c r="I328" s="44"/>
      <c r="J328" s="43"/>
      <c r="K328" s="44"/>
      <c r="L328" s="14">
        <f t="shared" si="12"/>
        <v>0</v>
      </c>
      <c r="M328" s="14">
        <f>IF(OR(L328=0,T328&lt;&gt;"Sim"),0,INDEX(Processos!$X$10:$X$509,O328))</f>
        <v>0</v>
      </c>
      <c r="N328" s="40" t="str">
        <f t="shared" si="13"/>
        <v/>
      </c>
      <c r="O328" s="14">
        <f>IF(AND(A328&lt;&gt;"",ISTEXT(A328),COUNTIFS(Processos!$AS$10:$AS$509,"="&amp;SUBSTITUTE(SUBSTITUTE(SUBSTITUTE("P:"&amp;A328,"~","~~"),"*","~*"),"?","~?"))=1),(IF(ISNA(MATCH(SUBSTITUTE(SUBSTITUTE(SUBSTITUTE("P:"&amp;A328,"~","~~"),"*","~*"),"?","~?"),Processos!$AS$10:$AS$509,0)),9,INDEX(Processos!$AM$10:$AM$509,MATCH(SUBSTITUTE(SUBSTITUTE(SUBSTITUTE("P:"&amp;A328,"~","~~"),"*","~*"),"?","~?"),Processos!$AS$10:$AS$509,0)))-9),0)</f>
        <v>0</v>
      </c>
      <c r="P328" s="14" t="str">
        <f>IF(L328=0,"",INDEX(Processos!$D$10:$D$509,O328))</f>
        <v/>
      </c>
      <c r="Q328" s="14">
        <f>IF(OR(L328=0,T328&lt;&gt;"Sim"),0,INDEX(Processos!$AL$10:$AL$509,O328))</f>
        <v>0</v>
      </c>
      <c r="R328" s="14">
        <f>ROW()</f>
        <v>328</v>
      </c>
      <c r="S328" s="14" t="str">
        <f t="shared" si="14"/>
        <v/>
      </c>
      <c r="T328" s="27" t="s">
        <v>1113</v>
      </c>
      <c r="U328" s="28"/>
      <c r="V328" s="28"/>
      <c r="W328" s="28"/>
      <c r="X328" s="28"/>
      <c r="Y328" s="27"/>
      <c r="Z328" s="27"/>
      <c r="AA328" s="27"/>
      <c r="AB328" s="27"/>
    </row>
    <row r="329" spans="1:28" ht="42" customHeight="1">
      <c r="A329" s="41"/>
      <c r="B329" s="42"/>
      <c r="C329" s="42"/>
      <c r="D329" s="42"/>
      <c r="E329" s="42"/>
      <c r="F329" s="42"/>
      <c r="G329" s="42"/>
      <c r="H329" s="45"/>
      <c r="I329" s="44"/>
      <c r="J329" s="43"/>
      <c r="K329" s="44"/>
      <c r="L329" s="14">
        <f t="shared" si="12"/>
        <v>0</v>
      </c>
      <c r="M329" s="14">
        <f>IF(OR(L329=0,T329&lt;&gt;"Sim"),0,INDEX(Processos!$X$10:$X$509,O329))</f>
        <v>0</v>
      </c>
      <c r="N329" s="40" t="str">
        <f t="shared" si="13"/>
        <v/>
      </c>
      <c r="O329" s="14">
        <f>IF(AND(A329&lt;&gt;"",ISTEXT(A329),COUNTIFS(Processos!$AS$10:$AS$509,"="&amp;SUBSTITUTE(SUBSTITUTE(SUBSTITUTE("P:"&amp;A329,"~","~~"),"*","~*"),"?","~?"))=1),(IF(ISNA(MATCH(SUBSTITUTE(SUBSTITUTE(SUBSTITUTE("P:"&amp;A329,"~","~~"),"*","~*"),"?","~?"),Processos!$AS$10:$AS$509,0)),9,INDEX(Processos!$AM$10:$AM$509,MATCH(SUBSTITUTE(SUBSTITUTE(SUBSTITUTE("P:"&amp;A329,"~","~~"),"*","~*"),"?","~?"),Processos!$AS$10:$AS$509,0)))-9),0)</f>
        <v>0</v>
      </c>
      <c r="P329" s="14" t="str">
        <f>IF(L329=0,"",INDEX(Processos!$D$10:$D$509,O329))</f>
        <v/>
      </c>
      <c r="Q329" s="14">
        <f>IF(OR(L329=0,T329&lt;&gt;"Sim"),0,INDEX(Processos!$AL$10:$AL$509,O329))</f>
        <v>0</v>
      </c>
      <c r="R329" s="14">
        <f>ROW()</f>
        <v>329</v>
      </c>
      <c r="S329" s="14" t="str">
        <f t="shared" si="14"/>
        <v/>
      </c>
      <c r="T329" s="27" t="s">
        <v>1113</v>
      </c>
      <c r="U329" s="28"/>
      <c r="V329" s="28"/>
      <c r="W329" s="28"/>
      <c r="X329" s="28"/>
      <c r="Y329" s="27"/>
      <c r="Z329" s="27"/>
      <c r="AA329" s="27"/>
      <c r="AB329" s="27"/>
    </row>
    <row r="330" spans="1:28" ht="42" customHeight="1">
      <c r="A330" s="41"/>
      <c r="B330" s="42"/>
      <c r="C330" s="42"/>
      <c r="D330" s="42"/>
      <c r="E330" s="42"/>
      <c r="F330" s="42"/>
      <c r="G330" s="42"/>
      <c r="H330" s="45"/>
      <c r="I330" s="44"/>
      <c r="J330" s="43"/>
      <c r="K330" s="44"/>
      <c r="L330" s="14">
        <f t="shared" ref="L330:L393" si="15">IF(AND(A330&lt;&gt;"",ISTEXT(A330),O330&gt;0,COUNTIFS($S$10:$S$509,"="&amp;SUBSTITUTE(SUBSTITUTE(SUBSTITUTE("P:"&amp;A330,"~","~~"),"*","~*"),"?","~?"))=1),1,0)</f>
        <v>0</v>
      </c>
      <c r="M330" s="14">
        <f>IF(OR(L330=0,T330&lt;&gt;"Sim"),0,INDEX(Processos!$X$10:$X$509,O330))</f>
        <v>0</v>
      </c>
      <c r="N330" s="40" t="str">
        <f t="shared" ref="N330:N393" si="16">IF(COUNTA(A330:K330)=0,"",IF(A330="","Selecione o processo",IF(O330=0,"Processo inexistente, duplicado ou número não textual",IF(COUNTIFS($S$10:$S$509,"="&amp;SUBSTITUTE(SUBSTITUTE(SUBSTITUTE("P:"&amp;A330,"~","~~"),"*","~*"),"?","~?"))&gt;1,"Mantenha apenas uma linha de valores por processo",IF(COUNT(B330:G330)&lt;&gt;COUNTA(B330:G330),"Use números nos campos financeiros",IF(MIN(B330:G330)&lt;0,"Revise os valores negativos",IF(AND(H330&lt;&gt;"",OR(NOT(ISNUMBER(H330)),H330&lt;0,H330&gt;1)),"Probabilidade deve estar entre 0% e 100%",IF(AND(J330&lt;&gt;"",OR(NOT(ISNUMBER(J330)),J330&lt;1,J330&gt;100000)),"Revise a data da avaliação",IF(AND(COUNTA(B330:I330)&gt;0,J330=""),"Informe a data da revisão financeira","")))))))))</f>
        <v/>
      </c>
      <c r="O330" s="14">
        <f>IF(AND(A330&lt;&gt;"",ISTEXT(A330),COUNTIFS(Processos!$AS$10:$AS$509,"="&amp;SUBSTITUTE(SUBSTITUTE(SUBSTITUTE("P:"&amp;A330,"~","~~"),"*","~*"),"?","~?"))=1),(IF(ISNA(MATCH(SUBSTITUTE(SUBSTITUTE(SUBSTITUTE("P:"&amp;A330,"~","~~"),"*","~*"),"?","~?"),Processos!$AS$10:$AS$509,0)),9,INDEX(Processos!$AM$10:$AM$509,MATCH(SUBSTITUTE(SUBSTITUTE(SUBSTITUTE("P:"&amp;A330,"~","~~"),"*","~*"),"?","~?"),Processos!$AS$10:$AS$509,0)))-9),0)</f>
        <v>0</v>
      </c>
      <c r="P330" s="14" t="str">
        <f>IF(L330=0,"",INDEX(Processos!$D$10:$D$509,O330))</f>
        <v/>
      </c>
      <c r="Q330" s="14">
        <f>IF(OR(L330=0,T330&lt;&gt;"Sim"),0,INDEX(Processos!$AL$10:$AL$509,O330))</f>
        <v>0</v>
      </c>
      <c r="R330" s="14">
        <f>ROW()</f>
        <v>330</v>
      </c>
      <c r="S330" s="14" t="str">
        <f t="shared" ref="S330:S393" si="17">IF(AND(A330&lt;&gt;"",ISTEXT(A330)),"P:"&amp;A330,"")</f>
        <v/>
      </c>
      <c r="T330" s="27" t="s">
        <v>1113</v>
      </c>
      <c r="U330" s="28"/>
      <c r="V330" s="28"/>
      <c r="W330" s="28"/>
      <c r="X330" s="28"/>
      <c r="Y330" s="27"/>
      <c r="Z330" s="27"/>
      <c r="AA330" s="27"/>
      <c r="AB330" s="27"/>
    </row>
    <row r="331" spans="1:28" ht="42" customHeight="1">
      <c r="A331" s="41"/>
      <c r="B331" s="42"/>
      <c r="C331" s="42"/>
      <c r="D331" s="42"/>
      <c r="E331" s="42"/>
      <c r="F331" s="42"/>
      <c r="G331" s="42"/>
      <c r="H331" s="45"/>
      <c r="I331" s="44"/>
      <c r="J331" s="43"/>
      <c r="K331" s="44"/>
      <c r="L331" s="14">
        <f t="shared" si="15"/>
        <v>0</v>
      </c>
      <c r="M331" s="14">
        <f>IF(OR(L331=0,T331&lt;&gt;"Sim"),0,INDEX(Processos!$X$10:$X$509,O331))</f>
        <v>0</v>
      </c>
      <c r="N331" s="40" t="str">
        <f t="shared" si="16"/>
        <v/>
      </c>
      <c r="O331" s="14">
        <f>IF(AND(A331&lt;&gt;"",ISTEXT(A331),COUNTIFS(Processos!$AS$10:$AS$509,"="&amp;SUBSTITUTE(SUBSTITUTE(SUBSTITUTE("P:"&amp;A331,"~","~~"),"*","~*"),"?","~?"))=1),(IF(ISNA(MATCH(SUBSTITUTE(SUBSTITUTE(SUBSTITUTE("P:"&amp;A331,"~","~~"),"*","~*"),"?","~?"),Processos!$AS$10:$AS$509,0)),9,INDEX(Processos!$AM$10:$AM$509,MATCH(SUBSTITUTE(SUBSTITUTE(SUBSTITUTE("P:"&amp;A331,"~","~~"),"*","~*"),"?","~?"),Processos!$AS$10:$AS$509,0)))-9),0)</f>
        <v>0</v>
      </c>
      <c r="P331" s="14" t="str">
        <f>IF(L331=0,"",INDEX(Processos!$D$10:$D$509,O331))</f>
        <v/>
      </c>
      <c r="Q331" s="14">
        <f>IF(OR(L331=0,T331&lt;&gt;"Sim"),0,INDEX(Processos!$AL$10:$AL$509,O331))</f>
        <v>0</v>
      </c>
      <c r="R331" s="14">
        <f>ROW()</f>
        <v>331</v>
      </c>
      <c r="S331" s="14" t="str">
        <f t="shared" si="17"/>
        <v/>
      </c>
      <c r="T331" s="27" t="s">
        <v>1113</v>
      </c>
      <c r="U331" s="28"/>
      <c r="V331" s="28"/>
      <c r="W331" s="28"/>
      <c r="X331" s="28"/>
      <c r="Y331" s="27"/>
      <c r="Z331" s="27"/>
      <c r="AA331" s="27"/>
      <c r="AB331" s="27"/>
    </row>
    <row r="332" spans="1:28" ht="42" customHeight="1">
      <c r="A332" s="41"/>
      <c r="B332" s="42"/>
      <c r="C332" s="42"/>
      <c r="D332" s="42"/>
      <c r="E332" s="42"/>
      <c r="F332" s="42"/>
      <c r="G332" s="42"/>
      <c r="H332" s="45"/>
      <c r="I332" s="44"/>
      <c r="J332" s="43"/>
      <c r="K332" s="44"/>
      <c r="L332" s="14">
        <f t="shared" si="15"/>
        <v>0</v>
      </c>
      <c r="M332" s="14">
        <f>IF(OR(L332=0,T332&lt;&gt;"Sim"),0,INDEX(Processos!$X$10:$X$509,O332))</f>
        <v>0</v>
      </c>
      <c r="N332" s="40" t="str">
        <f t="shared" si="16"/>
        <v/>
      </c>
      <c r="O332" s="14">
        <f>IF(AND(A332&lt;&gt;"",ISTEXT(A332),COUNTIFS(Processos!$AS$10:$AS$509,"="&amp;SUBSTITUTE(SUBSTITUTE(SUBSTITUTE("P:"&amp;A332,"~","~~"),"*","~*"),"?","~?"))=1),(IF(ISNA(MATCH(SUBSTITUTE(SUBSTITUTE(SUBSTITUTE("P:"&amp;A332,"~","~~"),"*","~*"),"?","~?"),Processos!$AS$10:$AS$509,0)),9,INDEX(Processos!$AM$10:$AM$509,MATCH(SUBSTITUTE(SUBSTITUTE(SUBSTITUTE("P:"&amp;A332,"~","~~"),"*","~*"),"?","~?"),Processos!$AS$10:$AS$509,0)))-9),0)</f>
        <v>0</v>
      </c>
      <c r="P332" s="14" t="str">
        <f>IF(L332=0,"",INDEX(Processos!$D$10:$D$509,O332))</f>
        <v/>
      </c>
      <c r="Q332" s="14">
        <f>IF(OR(L332=0,T332&lt;&gt;"Sim"),0,INDEX(Processos!$AL$10:$AL$509,O332))</f>
        <v>0</v>
      </c>
      <c r="R332" s="14">
        <f>ROW()</f>
        <v>332</v>
      </c>
      <c r="S332" s="14" t="str">
        <f t="shared" si="17"/>
        <v/>
      </c>
      <c r="T332" s="27" t="s">
        <v>1113</v>
      </c>
      <c r="U332" s="28"/>
      <c r="V332" s="28"/>
      <c r="W332" s="28"/>
      <c r="X332" s="28"/>
      <c r="Y332" s="27"/>
      <c r="Z332" s="27"/>
      <c r="AA332" s="27"/>
      <c r="AB332" s="27"/>
    </row>
    <row r="333" spans="1:28" ht="42" customHeight="1">
      <c r="A333" s="41"/>
      <c r="B333" s="42"/>
      <c r="C333" s="42"/>
      <c r="D333" s="42"/>
      <c r="E333" s="42"/>
      <c r="F333" s="42"/>
      <c r="G333" s="42"/>
      <c r="H333" s="45"/>
      <c r="I333" s="44"/>
      <c r="J333" s="43"/>
      <c r="K333" s="44"/>
      <c r="L333" s="14">
        <f t="shared" si="15"/>
        <v>0</v>
      </c>
      <c r="M333" s="14">
        <f>IF(OR(L333=0,T333&lt;&gt;"Sim"),0,INDEX(Processos!$X$10:$X$509,O333))</f>
        <v>0</v>
      </c>
      <c r="N333" s="40" t="str">
        <f t="shared" si="16"/>
        <v/>
      </c>
      <c r="O333" s="14">
        <f>IF(AND(A333&lt;&gt;"",ISTEXT(A333),COUNTIFS(Processos!$AS$10:$AS$509,"="&amp;SUBSTITUTE(SUBSTITUTE(SUBSTITUTE("P:"&amp;A333,"~","~~"),"*","~*"),"?","~?"))=1),(IF(ISNA(MATCH(SUBSTITUTE(SUBSTITUTE(SUBSTITUTE("P:"&amp;A333,"~","~~"),"*","~*"),"?","~?"),Processos!$AS$10:$AS$509,0)),9,INDEX(Processos!$AM$10:$AM$509,MATCH(SUBSTITUTE(SUBSTITUTE(SUBSTITUTE("P:"&amp;A333,"~","~~"),"*","~*"),"?","~?"),Processos!$AS$10:$AS$509,0)))-9),0)</f>
        <v>0</v>
      </c>
      <c r="P333" s="14" t="str">
        <f>IF(L333=0,"",INDEX(Processos!$D$10:$D$509,O333))</f>
        <v/>
      </c>
      <c r="Q333" s="14">
        <f>IF(OR(L333=0,T333&lt;&gt;"Sim"),0,INDEX(Processos!$AL$10:$AL$509,O333))</f>
        <v>0</v>
      </c>
      <c r="R333" s="14">
        <f>ROW()</f>
        <v>333</v>
      </c>
      <c r="S333" s="14" t="str">
        <f t="shared" si="17"/>
        <v/>
      </c>
      <c r="T333" s="27" t="s">
        <v>1113</v>
      </c>
      <c r="U333" s="28"/>
      <c r="V333" s="28"/>
      <c r="W333" s="28"/>
      <c r="X333" s="28"/>
      <c r="Y333" s="27"/>
      <c r="Z333" s="27"/>
      <c r="AA333" s="27"/>
      <c r="AB333" s="27"/>
    </row>
    <row r="334" spans="1:28" ht="42" customHeight="1">
      <c r="A334" s="41"/>
      <c r="B334" s="42"/>
      <c r="C334" s="42"/>
      <c r="D334" s="42"/>
      <c r="E334" s="42"/>
      <c r="F334" s="42"/>
      <c r="G334" s="42"/>
      <c r="H334" s="45"/>
      <c r="I334" s="44"/>
      <c r="J334" s="43"/>
      <c r="K334" s="44"/>
      <c r="L334" s="14">
        <f t="shared" si="15"/>
        <v>0</v>
      </c>
      <c r="M334" s="14">
        <f>IF(OR(L334=0,T334&lt;&gt;"Sim"),0,INDEX(Processos!$X$10:$X$509,O334))</f>
        <v>0</v>
      </c>
      <c r="N334" s="40" t="str">
        <f t="shared" si="16"/>
        <v/>
      </c>
      <c r="O334" s="14">
        <f>IF(AND(A334&lt;&gt;"",ISTEXT(A334),COUNTIFS(Processos!$AS$10:$AS$509,"="&amp;SUBSTITUTE(SUBSTITUTE(SUBSTITUTE("P:"&amp;A334,"~","~~"),"*","~*"),"?","~?"))=1),(IF(ISNA(MATCH(SUBSTITUTE(SUBSTITUTE(SUBSTITUTE("P:"&amp;A334,"~","~~"),"*","~*"),"?","~?"),Processos!$AS$10:$AS$509,0)),9,INDEX(Processos!$AM$10:$AM$509,MATCH(SUBSTITUTE(SUBSTITUTE(SUBSTITUTE("P:"&amp;A334,"~","~~"),"*","~*"),"?","~?"),Processos!$AS$10:$AS$509,0)))-9),0)</f>
        <v>0</v>
      </c>
      <c r="P334" s="14" t="str">
        <f>IF(L334=0,"",INDEX(Processos!$D$10:$D$509,O334))</f>
        <v/>
      </c>
      <c r="Q334" s="14">
        <f>IF(OR(L334=0,T334&lt;&gt;"Sim"),0,INDEX(Processos!$AL$10:$AL$509,O334))</f>
        <v>0</v>
      </c>
      <c r="R334" s="14">
        <f>ROW()</f>
        <v>334</v>
      </c>
      <c r="S334" s="14" t="str">
        <f t="shared" si="17"/>
        <v/>
      </c>
      <c r="T334" s="27" t="s">
        <v>1113</v>
      </c>
      <c r="U334" s="28"/>
      <c r="V334" s="28"/>
      <c r="W334" s="28"/>
      <c r="X334" s="28"/>
      <c r="Y334" s="27"/>
      <c r="Z334" s="27"/>
      <c r="AA334" s="27"/>
      <c r="AB334" s="27"/>
    </row>
    <row r="335" spans="1:28" ht="42" customHeight="1">
      <c r="A335" s="41"/>
      <c r="B335" s="42"/>
      <c r="C335" s="42"/>
      <c r="D335" s="42"/>
      <c r="E335" s="42"/>
      <c r="F335" s="42"/>
      <c r="G335" s="42"/>
      <c r="H335" s="45"/>
      <c r="I335" s="44"/>
      <c r="J335" s="43"/>
      <c r="K335" s="44"/>
      <c r="L335" s="14">
        <f t="shared" si="15"/>
        <v>0</v>
      </c>
      <c r="M335" s="14">
        <f>IF(OR(L335=0,T335&lt;&gt;"Sim"),0,INDEX(Processos!$X$10:$X$509,O335))</f>
        <v>0</v>
      </c>
      <c r="N335" s="40" t="str">
        <f t="shared" si="16"/>
        <v/>
      </c>
      <c r="O335" s="14">
        <f>IF(AND(A335&lt;&gt;"",ISTEXT(A335),COUNTIFS(Processos!$AS$10:$AS$509,"="&amp;SUBSTITUTE(SUBSTITUTE(SUBSTITUTE("P:"&amp;A335,"~","~~"),"*","~*"),"?","~?"))=1),(IF(ISNA(MATCH(SUBSTITUTE(SUBSTITUTE(SUBSTITUTE("P:"&amp;A335,"~","~~"),"*","~*"),"?","~?"),Processos!$AS$10:$AS$509,0)),9,INDEX(Processos!$AM$10:$AM$509,MATCH(SUBSTITUTE(SUBSTITUTE(SUBSTITUTE("P:"&amp;A335,"~","~~"),"*","~*"),"?","~?"),Processos!$AS$10:$AS$509,0)))-9),0)</f>
        <v>0</v>
      </c>
      <c r="P335" s="14" t="str">
        <f>IF(L335=0,"",INDEX(Processos!$D$10:$D$509,O335))</f>
        <v/>
      </c>
      <c r="Q335" s="14">
        <f>IF(OR(L335=0,T335&lt;&gt;"Sim"),0,INDEX(Processos!$AL$10:$AL$509,O335))</f>
        <v>0</v>
      </c>
      <c r="R335" s="14">
        <f>ROW()</f>
        <v>335</v>
      </c>
      <c r="S335" s="14" t="str">
        <f t="shared" si="17"/>
        <v/>
      </c>
      <c r="T335" s="27" t="s">
        <v>1113</v>
      </c>
      <c r="U335" s="28"/>
      <c r="V335" s="28"/>
      <c r="W335" s="28"/>
      <c r="X335" s="28"/>
      <c r="Y335" s="27"/>
      <c r="Z335" s="27"/>
      <c r="AA335" s="27"/>
      <c r="AB335" s="27"/>
    </row>
    <row r="336" spans="1:28" ht="42" customHeight="1">
      <c r="A336" s="41"/>
      <c r="B336" s="42"/>
      <c r="C336" s="42"/>
      <c r="D336" s="42"/>
      <c r="E336" s="42"/>
      <c r="F336" s="42"/>
      <c r="G336" s="42"/>
      <c r="H336" s="45"/>
      <c r="I336" s="44"/>
      <c r="J336" s="43"/>
      <c r="K336" s="44"/>
      <c r="L336" s="14">
        <f t="shared" si="15"/>
        <v>0</v>
      </c>
      <c r="M336" s="14">
        <f>IF(OR(L336=0,T336&lt;&gt;"Sim"),0,INDEX(Processos!$X$10:$X$509,O336))</f>
        <v>0</v>
      </c>
      <c r="N336" s="40" t="str">
        <f t="shared" si="16"/>
        <v/>
      </c>
      <c r="O336" s="14">
        <f>IF(AND(A336&lt;&gt;"",ISTEXT(A336),COUNTIFS(Processos!$AS$10:$AS$509,"="&amp;SUBSTITUTE(SUBSTITUTE(SUBSTITUTE("P:"&amp;A336,"~","~~"),"*","~*"),"?","~?"))=1),(IF(ISNA(MATCH(SUBSTITUTE(SUBSTITUTE(SUBSTITUTE("P:"&amp;A336,"~","~~"),"*","~*"),"?","~?"),Processos!$AS$10:$AS$509,0)),9,INDEX(Processos!$AM$10:$AM$509,MATCH(SUBSTITUTE(SUBSTITUTE(SUBSTITUTE("P:"&amp;A336,"~","~~"),"*","~*"),"?","~?"),Processos!$AS$10:$AS$509,0)))-9),0)</f>
        <v>0</v>
      </c>
      <c r="P336" s="14" t="str">
        <f>IF(L336=0,"",INDEX(Processos!$D$10:$D$509,O336))</f>
        <v/>
      </c>
      <c r="Q336" s="14">
        <f>IF(OR(L336=0,T336&lt;&gt;"Sim"),0,INDEX(Processos!$AL$10:$AL$509,O336))</f>
        <v>0</v>
      </c>
      <c r="R336" s="14">
        <f>ROW()</f>
        <v>336</v>
      </c>
      <c r="S336" s="14" t="str">
        <f t="shared" si="17"/>
        <v/>
      </c>
      <c r="T336" s="27" t="s">
        <v>1113</v>
      </c>
      <c r="U336" s="28"/>
      <c r="V336" s="28"/>
      <c r="W336" s="28"/>
      <c r="X336" s="28"/>
      <c r="Y336" s="27"/>
      <c r="Z336" s="27"/>
      <c r="AA336" s="27"/>
      <c r="AB336" s="27"/>
    </row>
    <row r="337" spans="1:28" ht="42" customHeight="1">
      <c r="A337" s="41"/>
      <c r="B337" s="42"/>
      <c r="C337" s="42"/>
      <c r="D337" s="42"/>
      <c r="E337" s="42"/>
      <c r="F337" s="42"/>
      <c r="G337" s="42"/>
      <c r="H337" s="45"/>
      <c r="I337" s="44"/>
      <c r="J337" s="43"/>
      <c r="K337" s="44"/>
      <c r="L337" s="14">
        <f t="shared" si="15"/>
        <v>0</v>
      </c>
      <c r="M337" s="14">
        <f>IF(OR(L337=0,T337&lt;&gt;"Sim"),0,INDEX(Processos!$X$10:$X$509,O337))</f>
        <v>0</v>
      </c>
      <c r="N337" s="40" t="str">
        <f t="shared" si="16"/>
        <v/>
      </c>
      <c r="O337" s="14">
        <f>IF(AND(A337&lt;&gt;"",ISTEXT(A337),COUNTIFS(Processos!$AS$10:$AS$509,"="&amp;SUBSTITUTE(SUBSTITUTE(SUBSTITUTE("P:"&amp;A337,"~","~~"),"*","~*"),"?","~?"))=1),(IF(ISNA(MATCH(SUBSTITUTE(SUBSTITUTE(SUBSTITUTE("P:"&amp;A337,"~","~~"),"*","~*"),"?","~?"),Processos!$AS$10:$AS$509,0)),9,INDEX(Processos!$AM$10:$AM$509,MATCH(SUBSTITUTE(SUBSTITUTE(SUBSTITUTE("P:"&amp;A337,"~","~~"),"*","~*"),"?","~?"),Processos!$AS$10:$AS$509,0)))-9),0)</f>
        <v>0</v>
      </c>
      <c r="P337" s="14" t="str">
        <f>IF(L337=0,"",INDEX(Processos!$D$10:$D$509,O337))</f>
        <v/>
      </c>
      <c r="Q337" s="14">
        <f>IF(OR(L337=0,T337&lt;&gt;"Sim"),0,INDEX(Processos!$AL$10:$AL$509,O337))</f>
        <v>0</v>
      </c>
      <c r="R337" s="14">
        <f>ROW()</f>
        <v>337</v>
      </c>
      <c r="S337" s="14" t="str">
        <f t="shared" si="17"/>
        <v/>
      </c>
      <c r="T337" s="27" t="s">
        <v>1113</v>
      </c>
      <c r="U337" s="28"/>
      <c r="V337" s="28"/>
      <c r="W337" s="28"/>
      <c r="X337" s="28"/>
      <c r="Y337" s="27"/>
      <c r="Z337" s="27"/>
      <c r="AA337" s="27"/>
      <c r="AB337" s="27"/>
    </row>
    <row r="338" spans="1:28" ht="42" customHeight="1">
      <c r="A338" s="41"/>
      <c r="B338" s="42"/>
      <c r="C338" s="42"/>
      <c r="D338" s="42"/>
      <c r="E338" s="42"/>
      <c r="F338" s="42"/>
      <c r="G338" s="42"/>
      <c r="H338" s="45"/>
      <c r="I338" s="44"/>
      <c r="J338" s="43"/>
      <c r="K338" s="44"/>
      <c r="L338" s="14">
        <f t="shared" si="15"/>
        <v>0</v>
      </c>
      <c r="M338" s="14">
        <f>IF(OR(L338=0,T338&lt;&gt;"Sim"),0,INDEX(Processos!$X$10:$X$509,O338))</f>
        <v>0</v>
      </c>
      <c r="N338" s="40" t="str">
        <f t="shared" si="16"/>
        <v/>
      </c>
      <c r="O338" s="14">
        <f>IF(AND(A338&lt;&gt;"",ISTEXT(A338),COUNTIFS(Processos!$AS$10:$AS$509,"="&amp;SUBSTITUTE(SUBSTITUTE(SUBSTITUTE("P:"&amp;A338,"~","~~"),"*","~*"),"?","~?"))=1),(IF(ISNA(MATCH(SUBSTITUTE(SUBSTITUTE(SUBSTITUTE("P:"&amp;A338,"~","~~"),"*","~*"),"?","~?"),Processos!$AS$10:$AS$509,0)),9,INDEX(Processos!$AM$10:$AM$509,MATCH(SUBSTITUTE(SUBSTITUTE(SUBSTITUTE("P:"&amp;A338,"~","~~"),"*","~*"),"?","~?"),Processos!$AS$10:$AS$509,0)))-9),0)</f>
        <v>0</v>
      </c>
      <c r="P338" s="14" t="str">
        <f>IF(L338=0,"",INDEX(Processos!$D$10:$D$509,O338))</f>
        <v/>
      </c>
      <c r="Q338" s="14">
        <f>IF(OR(L338=0,T338&lt;&gt;"Sim"),0,INDEX(Processos!$AL$10:$AL$509,O338))</f>
        <v>0</v>
      </c>
      <c r="R338" s="14">
        <f>ROW()</f>
        <v>338</v>
      </c>
      <c r="S338" s="14" t="str">
        <f t="shared" si="17"/>
        <v/>
      </c>
      <c r="T338" s="27" t="s">
        <v>1113</v>
      </c>
      <c r="U338" s="28"/>
      <c r="V338" s="28"/>
      <c r="W338" s="28"/>
      <c r="X338" s="28"/>
      <c r="Y338" s="27"/>
      <c r="Z338" s="27"/>
      <c r="AA338" s="27"/>
      <c r="AB338" s="27"/>
    </row>
    <row r="339" spans="1:28" ht="42" customHeight="1">
      <c r="A339" s="41"/>
      <c r="B339" s="42"/>
      <c r="C339" s="42"/>
      <c r="D339" s="42"/>
      <c r="E339" s="42"/>
      <c r="F339" s="42"/>
      <c r="G339" s="42"/>
      <c r="H339" s="45"/>
      <c r="I339" s="44"/>
      <c r="J339" s="43"/>
      <c r="K339" s="44"/>
      <c r="L339" s="14">
        <f t="shared" si="15"/>
        <v>0</v>
      </c>
      <c r="M339" s="14">
        <f>IF(OR(L339=0,T339&lt;&gt;"Sim"),0,INDEX(Processos!$X$10:$X$509,O339))</f>
        <v>0</v>
      </c>
      <c r="N339" s="40" t="str">
        <f t="shared" si="16"/>
        <v/>
      </c>
      <c r="O339" s="14">
        <f>IF(AND(A339&lt;&gt;"",ISTEXT(A339),COUNTIFS(Processos!$AS$10:$AS$509,"="&amp;SUBSTITUTE(SUBSTITUTE(SUBSTITUTE("P:"&amp;A339,"~","~~"),"*","~*"),"?","~?"))=1),(IF(ISNA(MATCH(SUBSTITUTE(SUBSTITUTE(SUBSTITUTE("P:"&amp;A339,"~","~~"),"*","~*"),"?","~?"),Processos!$AS$10:$AS$509,0)),9,INDEX(Processos!$AM$10:$AM$509,MATCH(SUBSTITUTE(SUBSTITUTE(SUBSTITUTE("P:"&amp;A339,"~","~~"),"*","~*"),"?","~?"),Processos!$AS$10:$AS$509,0)))-9),0)</f>
        <v>0</v>
      </c>
      <c r="P339" s="14" t="str">
        <f>IF(L339=0,"",INDEX(Processos!$D$10:$D$509,O339))</f>
        <v/>
      </c>
      <c r="Q339" s="14">
        <f>IF(OR(L339=0,T339&lt;&gt;"Sim"),0,INDEX(Processos!$AL$10:$AL$509,O339))</f>
        <v>0</v>
      </c>
      <c r="R339" s="14">
        <f>ROW()</f>
        <v>339</v>
      </c>
      <c r="S339" s="14" t="str">
        <f t="shared" si="17"/>
        <v/>
      </c>
      <c r="T339" s="27" t="s">
        <v>1113</v>
      </c>
      <c r="U339" s="28"/>
      <c r="V339" s="28"/>
      <c r="W339" s="28"/>
      <c r="X339" s="28"/>
      <c r="Y339" s="27"/>
      <c r="Z339" s="27"/>
      <c r="AA339" s="27"/>
      <c r="AB339" s="27"/>
    </row>
    <row r="340" spans="1:28" ht="42" customHeight="1">
      <c r="A340" s="41"/>
      <c r="B340" s="42"/>
      <c r="C340" s="42"/>
      <c r="D340" s="42"/>
      <c r="E340" s="42"/>
      <c r="F340" s="42"/>
      <c r="G340" s="42"/>
      <c r="H340" s="45"/>
      <c r="I340" s="44"/>
      <c r="J340" s="43"/>
      <c r="K340" s="44"/>
      <c r="L340" s="14">
        <f t="shared" si="15"/>
        <v>0</v>
      </c>
      <c r="M340" s="14">
        <f>IF(OR(L340=0,T340&lt;&gt;"Sim"),0,INDEX(Processos!$X$10:$X$509,O340))</f>
        <v>0</v>
      </c>
      <c r="N340" s="40" t="str">
        <f t="shared" si="16"/>
        <v/>
      </c>
      <c r="O340" s="14">
        <f>IF(AND(A340&lt;&gt;"",ISTEXT(A340),COUNTIFS(Processos!$AS$10:$AS$509,"="&amp;SUBSTITUTE(SUBSTITUTE(SUBSTITUTE("P:"&amp;A340,"~","~~"),"*","~*"),"?","~?"))=1),(IF(ISNA(MATCH(SUBSTITUTE(SUBSTITUTE(SUBSTITUTE("P:"&amp;A340,"~","~~"),"*","~*"),"?","~?"),Processos!$AS$10:$AS$509,0)),9,INDEX(Processos!$AM$10:$AM$509,MATCH(SUBSTITUTE(SUBSTITUTE(SUBSTITUTE("P:"&amp;A340,"~","~~"),"*","~*"),"?","~?"),Processos!$AS$10:$AS$509,0)))-9),0)</f>
        <v>0</v>
      </c>
      <c r="P340" s="14" t="str">
        <f>IF(L340=0,"",INDEX(Processos!$D$10:$D$509,O340))</f>
        <v/>
      </c>
      <c r="Q340" s="14">
        <f>IF(OR(L340=0,T340&lt;&gt;"Sim"),0,INDEX(Processos!$AL$10:$AL$509,O340))</f>
        <v>0</v>
      </c>
      <c r="R340" s="14">
        <f>ROW()</f>
        <v>340</v>
      </c>
      <c r="S340" s="14" t="str">
        <f t="shared" si="17"/>
        <v/>
      </c>
      <c r="T340" s="27" t="s">
        <v>1113</v>
      </c>
      <c r="U340" s="28"/>
      <c r="V340" s="28"/>
      <c r="W340" s="28"/>
      <c r="X340" s="28"/>
      <c r="Y340" s="27"/>
      <c r="Z340" s="27"/>
      <c r="AA340" s="27"/>
      <c r="AB340" s="27"/>
    </row>
    <row r="341" spans="1:28" ht="42" customHeight="1">
      <c r="A341" s="41"/>
      <c r="B341" s="42"/>
      <c r="C341" s="42"/>
      <c r="D341" s="42"/>
      <c r="E341" s="42"/>
      <c r="F341" s="42"/>
      <c r="G341" s="42"/>
      <c r="H341" s="45"/>
      <c r="I341" s="44"/>
      <c r="J341" s="43"/>
      <c r="K341" s="44"/>
      <c r="L341" s="14">
        <f t="shared" si="15"/>
        <v>0</v>
      </c>
      <c r="M341" s="14">
        <f>IF(OR(L341=0,T341&lt;&gt;"Sim"),0,INDEX(Processos!$X$10:$X$509,O341))</f>
        <v>0</v>
      </c>
      <c r="N341" s="40" t="str">
        <f t="shared" si="16"/>
        <v/>
      </c>
      <c r="O341" s="14">
        <f>IF(AND(A341&lt;&gt;"",ISTEXT(A341),COUNTIFS(Processos!$AS$10:$AS$509,"="&amp;SUBSTITUTE(SUBSTITUTE(SUBSTITUTE("P:"&amp;A341,"~","~~"),"*","~*"),"?","~?"))=1),(IF(ISNA(MATCH(SUBSTITUTE(SUBSTITUTE(SUBSTITUTE("P:"&amp;A341,"~","~~"),"*","~*"),"?","~?"),Processos!$AS$10:$AS$509,0)),9,INDEX(Processos!$AM$10:$AM$509,MATCH(SUBSTITUTE(SUBSTITUTE(SUBSTITUTE("P:"&amp;A341,"~","~~"),"*","~*"),"?","~?"),Processos!$AS$10:$AS$509,0)))-9),0)</f>
        <v>0</v>
      </c>
      <c r="P341" s="14" t="str">
        <f>IF(L341=0,"",INDEX(Processos!$D$10:$D$509,O341))</f>
        <v/>
      </c>
      <c r="Q341" s="14">
        <f>IF(OR(L341=0,T341&lt;&gt;"Sim"),0,INDEX(Processos!$AL$10:$AL$509,O341))</f>
        <v>0</v>
      </c>
      <c r="R341" s="14">
        <f>ROW()</f>
        <v>341</v>
      </c>
      <c r="S341" s="14" t="str">
        <f t="shared" si="17"/>
        <v/>
      </c>
      <c r="T341" s="27" t="s">
        <v>1113</v>
      </c>
      <c r="U341" s="28"/>
      <c r="V341" s="28"/>
      <c r="W341" s="28"/>
      <c r="X341" s="28"/>
      <c r="Y341" s="27"/>
      <c r="Z341" s="27"/>
      <c r="AA341" s="27"/>
      <c r="AB341" s="27"/>
    </row>
    <row r="342" spans="1:28" ht="42" customHeight="1">
      <c r="A342" s="41"/>
      <c r="B342" s="42"/>
      <c r="C342" s="42"/>
      <c r="D342" s="42"/>
      <c r="E342" s="42"/>
      <c r="F342" s="42"/>
      <c r="G342" s="42"/>
      <c r="H342" s="45"/>
      <c r="I342" s="44"/>
      <c r="J342" s="43"/>
      <c r="K342" s="44"/>
      <c r="L342" s="14">
        <f t="shared" si="15"/>
        <v>0</v>
      </c>
      <c r="M342" s="14">
        <f>IF(OR(L342=0,T342&lt;&gt;"Sim"),0,INDEX(Processos!$X$10:$X$509,O342))</f>
        <v>0</v>
      </c>
      <c r="N342" s="40" t="str">
        <f t="shared" si="16"/>
        <v/>
      </c>
      <c r="O342" s="14">
        <f>IF(AND(A342&lt;&gt;"",ISTEXT(A342),COUNTIFS(Processos!$AS$10:$AS$509,"="&amp;SUBSTITUTE(SUBSTITUTE(SUBSTITUTE("P:"&amp;A342,"~","~~"),"*","~*"),"?","~?"))=1),(IF(ISNA(MATCH(SUBSTITUTE(SUBSTITUTE(SUBSTITUTE("P:"&amp;A342,"~","~~"),"*","~*"),"?","~?"),Processos!$AS$10:$AS$509,0)),9,INDEX(Processos!$AM$10:$AM$509,MATCH(SUBSTITUTE(SUBSTITUTE(SUBSTITUTE("P:"&amp;A342,"~","~~"),"*","~*"),"?","~?"),Processos!$AS$10:$AS$509,0)))-9),0)</f>
        <v>0</v>
      </c>
      <c r="P342" s="14" t="str">
        <f>IF(L342=0,"",INDEX(Processos!$D$10:$D$509,O342))</f>
        <v/>
      </c>
      <c r="Q342" s="14">
        <f>IF(OR(L342=0,T342&lt;&gt;"Sim"),0,INDEX(Processos!$AL$10:$AL$509,O342))</f>
        <v>0</v>
      </c>
      <c r="R342" s="14">
        <f>ROW()</f>
        <v>342</v>
      </c>
      <c r="S342" s="14" t="str">
        <f t="shared" si="17"/>
        <v/>
      </c>
      <c r="T342" s="27" t="s">
        <v>1113</v>
      </c>
      <c r="U342" s="28"/>
      <c r="V342" s="28"/>
      <c r="W342" s="28"/>
      <c r="X342" s="28"/>
      <c r="Y342" s="27"/>
      <c r="Z342" s="27"/>
      <c r="AA342" s="27"/>
      <c r="AB342" s="27"/>
    </row>
    <row r="343" spans="1:28" ht="42" customHeight="1">
      <c r="A343" s="41"/>
      <c r="B343" s="42"/>
      <c r="C343" s="42"/>
      <c r="D343" s="42"/>
      <c r="E343" s="42"/>
      <c r="F343" s="42"/>
      <c r="G343" s="42"/>
      <c r="H343" s="45"/>
      <c r="I343" s="44"/>
      <c r="J343" s="43"/>
      <c r="K343" s="44"/>
      <c r="L343" s="14">
        <f t="shared" si="15"/>
        <v>0</v>
      </c>
      <c r="M343" s="14">
        <f>IF(OR(L343=0,T343&lt;&gt;"Sim"),0,INDEX(Processos!$X$10:$X$509,O343))</f>
        <v>0</v>
      </c>
      <c r="N343" s="40" t="str">
        <f t="shared" si="16"/>
        <v/>
      </c>
      <c r="O343" s="14">
        <f>IF(AND(A343&lt;&gt;"",ISTEXT(A343),COUNTIFS(Processos!$AS$10:$AS$509,"="&amp;SUBSTITUTE(SUBSTITUTE(SUBSTITUTE("P:"&amp;A343,"~","~~"),"*","~*"),"?","~?"))=1),(IF(ISNA(MATCH(SUBSTITUTE(SUBSTITUTE(SUBSTITUTE("P:"&amp;A343,"~","~~"),"*","~*"),"?","~?"),Processos!$AS$10:$AS$509,0)),9,INDEX(Processos!$AM$10:$AM$509,MATCH(SUBSTITUTE(SUBSTITUTE(SUBSTITUTE("P:"&amp;A343,"~","~~"),"*","~*"),"?","~?"),Processos!$AS$10:$AS$509,0)))-9),0)</f>
        <v>0</v>
      </c>
      <c r="P343" s="14" t="str">
        <f>IF(L343=0,"",INDEX(Processos!$D$10:$D$509,O343))</f>
        <v/>
      </c>
      <c r="Q343" s="14">
        <f>IF(OR(L343=0,T343&lt;&gt;"Sim"),0,INDEX(Processos!$AL$10:$AL$509,O343))</f>
        <v>0</v>
      </c>
      <c r="R343" s="14">
        <f>ROW()</f>
        <v>343</v>
      </c>
      <c r="S343" s="14" t="str">
        <f t="shared" si="17"/>
        <v/>
      </c>
      <c r="T343" s="27" t="s">
        <v>1113</v>
      </c>
      <c r="U343" s="28"/>
      <c r="V343" s="28"/>
      <c r="W343" s="28"/>
      <c r="X343" s="28"/>
      <c r="Y343" s="27"/>
      <c r="Z343" s="27"/>
      <c r="AA343" s="27"/>
      <c r="AB343" s="27"/>
    </row>
    <row r="344" spans="1:28" ht="42" customHeight="1">
      <c r="A344" s="41"/>
      <c r="B344" s="42"/>
      <c r="C344" s="42"/>
      <c r="D344" s="42"/>
      <c r="E344" s="42"/>
      <c r="F344" s="42"/>
      <c r="G344" s="42"/>
      <c r="H344" s="45"/>
      <c r="I344" s="44"/>
      <c r="J344" s="43"/>
      <c r="K344" s="44"/>
      <c r="L344" s="14">
        <f t="shared" si="15"/>
        <v>0</v>
      </c>
      <c r="M344" s="14">
        <f>IF(OR(L344=0,T344&lt;&gt;"Sim"),0,INDEX(Processos!$X$10:$X$509,O344))</f>
        <v>0</v>
      </c>
      <c r="N344" s="40" t="str">
        <f t="shared" si="16"/>
        <v/>
      </c>
      <c r="O344" s="14">
        <f>IF(AND(A344&lt;&gt;"",ISTEXT(A344),COUNTIFS(Processos!$AS$10:$AS$509,"="&amp;SUBSTITUTE(SUBSTITUTE(SUBSTITUTE("P:"&amp;A344,"~","~~"),"*","~*"),"?","~?"))=1),(IF(ISNA(MATCH(SUBSTITUTE(SUBSTITUTE(SUBSTITUTE("P:"&amp;A344,"~","~~"),"*","~*"),"?","~?"),Processos!$AS$10:$AS$509,0)),9,INDEX(Processos!$AM$10:$AM$509,MATCH(SUBSTITUTE(SUBSTITUTE(SUBSTITUTE("P:"&amp;A344,"~","~~"),"*","~*"),"?","~?"),Processos!$AS$10:$AS$509,0)))-9),0)</f>
        <v>0</v>
      </c>
      <c r="P344" s="14" t="str">
        <f>IF(L344=0,"",INDEX(Processos!$D$10:$D$509,O344))</f>
        <v/>
      </c>
      <c r="Q344" s="14">
        <f>IF(OR(L344=0,T344&lt;&gt;"Sim"),0,INDEX(Processos!$AL$10:$AL$509,O344))</f>
        <v>0</v>
      </c>
      <c r="R344" s="14">
        <f>ROW()</f>
        <v>344</v>
      </c>
      <c r="S344" s="14" t="str">
        <f t="shared" si="17"/>
        <v/>
      </c>
      <c r="T344" s="27" t="s">
        <v>1113</v>
      </c>
      <c r="U344" s="28"/>
      <c r="V344" s="28"/>
      <c r="W344" s="28"/>
      <c r="X344" s="28"/>
      <c r="Y344" s="27"/>
      <c r="Z344" s="27"/>
      <c r="AA344" s="27"/>
      <c r="AB344" s="27"/>
    </row>
    <row r="345" spans="1:28" ht="42" customHeight="1">
      <c r="A345" s="41"/>
      <c r="B345" s="42"/>
      <c r="C345" s="42"/>
      <c r="D345" s="42"/>
      <c r="E345" s="42"/>
      <c r="F345" s="42"/>
      <c r="G345" s="42"/>
      <c r="H345" s="45"/>
      <c r="I345" s="44"/>
      <c r="J345" s="43"/>
      <c r="K345" s="44"/>
      <c r="L345" s="14">
        <f t="shared" si="15"/>
        <v>0</v>
      </c>
      <c r="M345" s="14">
        <f>IF(OR(L345=0,T345&lt;&gt;"Sim"),0,INDEX(Processos!$X$10:$X$509,O345))</f>
        <v>0</v>
      </c>
      <c r="N345" s="40" t="str">
        <f t="shared" si="16"/>
        <v/>
      </c>
      <c r="O345" s="14">
        <f>IF(AND(A345&lt;&gt;"",ISTEXT(A345),COUNTIFS(Processos!$AS$10:$AS$509,"="&amp;SUBSTITUTE(SUBSTITUTE(SUBSTITUTE("P:"&amp;A345,"~","~~"),"*","~*"),"?","~?"))=1),(IF(ISNA(MATCH(SUBSTITUTE(SUBSTITUTE(SUBSTITUTE("P:"&amp;A345,"~","~~"),"*","~*"),"?","~?"),Processos!$AS$10:$AS$509,0)),9,INDEX(Processos!$AM$10:$AM$509,MATCH(SUBSTITUTE(SUBSTITUTE(SUBSTITUTE("P:"&amp;A345,"~","~~"),"*","~*"),"?","~?"),Processos!$AS$10:$AS$509,0)))-9),0)</f>
        <v>0</v>
      </c>
      <c r="P345" s="14" t="str">
        <f>IF(L345=0,"",INDEX(Processos!$D$10:$D$509,O345))</f>
        <v/>
      </c>
      <c r="Q345" s="14">
        <f>IF(OR(L345=0,T345&lt;&gt;"Sim"),0,INDEX(Processos!$AL$10:$AL$509,O345))</f>
        <v>0</v>
      </c>
      <c r="R345" s="14">
        <f>ROW()</f>
        <v>345</v>
      </c>
      <c r="S345" s="14" t="str">
        <f t="shared" si="17"/>
        <v/>
      </c>
      <c r="T345" s="27" t="s">
        <v>1113</v>
      </c>
      <c r="U345" s="28"/>
      <c r="V345" s="28"/>
      <c r="W345" s="28"/>
      <c r="X345" s="28"/>
      <c r="Y345" s="27"/>
      <c r="Z345" s="27"/>
      <c r="AA345" s="27"/>
      <c r="AB345" s="27"/>
    </row>
    <row r="346" spans="1:28" ht="42" customHeight="1">
      <c r="A346" s="41"/>
      <c r="B346" s="42"/>
      <c r="C346" s="42"/>
      <c r="D346" s="42"/>
      <c r="E346" s="42"/>
      <c r="F346" s="42"/>
      <c r="G346" s="42"/>
      <c r="H346" s="45"/>
      <c r="I346" s="44"/>
      <c r="J346" s="43"/>
      <c r="K346" s="44"/>
      <c r="L346" s="14">
        <f t="shared" si="15"/>
        <v>0</v>
      </c>
      <c r="M346" s="14">
        <f>IF(OR(L346=0,T346&lt;&gt;"Sim"),0,INDEX(Processos!$X$10:$X$509,O346))</f>
        <v>0</v>
      </c>
      <c r="N346" s="40" t="str">
        <f t="shared" si="16"/>
        <v/>
      </c>
      <c r="O346" s="14">
        <f>IF(AND(A346&lt;&gt;"",ISTEXT(A346),COUNTIFS(Processos!$AS$10:$AS$509,"="&amp;SUBSTITUTE(SUBSTITUTE(SUBSTITUTE("P:"&amp;A346,"~","~~"),"*","~*"),"?","~?"))=1),(IF(ISNA(MATCH(SUBSTITUTE(SUBSTITUTE(SUBSTITUTE("P:"&amp;A346,"~","~~"),"*","~*"),"?","~?"),Processos!$AS$10:$AS$509,0)),9,INDEX(Processos!$AM$10:$AM$509,MATCH(SUBSTITUTE(SUBSTITUTE(SUBSTITUTE("P:"&amp;A346,"~","~~"),"*","~*"),"?","~?"),Processos!$AS$10:$AS$509,0)))-9),0)</f>
        <v>0</v>
      </c>
      <c r="P346" s="14" t="str">
        <f>IF(L346=0,"",INDEX(Processos!$D$10:$D$509,O346))</f>
        <v/>
      </c>
      <c r="Q346" s="14">
        <f>IF(OR(L346=0,T346&lt;&gt;"Sim"),0,INDEX(Processos!$AL$10:$AL$509,O346))</f>
        <v>0</v>
      </c>
      <c r="R346" s="14">
        <f>ROW()</f>
        <v>346</v>
      </c>
      <c r="S346" s="14" t="str">
        <f t="shared" si="17"/>
        <v/>
      </c>
      <c r="T346" s="27" t="s">
        <v>1113</v>
      </c>
      <c r="U346" s="28"/>
      <c r="V346" s="28"/>
      <c r="W346" s="28"/>
      <c r="X346" s="28"/>
      <c r="Y346" s="27"/>
      <c r="Z346" s="27"/>
      <c r="AA346" s="27"/>
      <c r="AB346" s="27"/>
    </row>
    <row r="347" spans="1:28" ht="42" customHeight="1">
      <c r="A347" s="41"/>
      <c r="B347" s="42"/>
      <c r="C347" s="42"/>
      <c r="D347" s="42"/>
      <c r="E347" s="42"/>
      <c r="F347" s="42"/>
      <c r="G347" s="42"/>
      <c r="H347" s="45"/>
      <c r="I347" s="44"/>
      <c r="J347" s="43"/>
      <c r="K347" s="44"/>
      <c r="L347" s="14">
        <f t="shared" si="15"/>
        <v>0</v>
      </c>
      <c r="M347" s="14">
        <f>IF(OR(L347=0,T347&lt;&gt;"Sim"),0,INDEX(Processos!$X$10:$X$509,O347))</f>
        <v>0</v>
      </c>
      <c r="N347" s="40" t="str">
        <f t="shared" si="16"/>
        <v/>
      </c>
      <c r="O347" s="14">
        <f>IF(AND(A347&lt;&gt;"",ISTEXT(A347),COUNTIFS(Processos!$AS$10:$AS$509,"="&amp;SUBSTITUTE(SUBSTITUTE(SUBSTITUTE("P:"&amp;A347,"~","~~"),"*","~*"),"?","~?"))=1),(IF(ISNA(MATCH(SUBSTITUTE(SUBSTITUTE(SUBSTITUTE("P:"&amp;A347,"~","~~"),"*","~*"),"?","~?"),Processos!$AS$10:$AS$509,0)),9,INDEX(Processos!$AM$10:$AM$509,MATCH(SUBSTITUTE(SUBSTITUTE(SUBSTITUTE("P:"&amp;A347,"~","~~"),"*","~*"),"?","~?"),Processos!$AS$10:$AS$509,0)))-9),0)</f>
        <v>0</v>
      </c>
      <c r="P347" s="14" t="str">
        <f>IF(L347=0,"",INDEX(Processos!$D$10:$D$509,O347))</f>
        <v/>
      </c>
      <c r="Q347" s="14">
        <f>IF(OR(L347=0,T347&lt;&gt;"Sim"),0,INDEX(Processos!$AL$10:$AL$509,O347))</f>
        <v>0</v>
      </c>
      <c r="R347" s="14">
        <f>ROW()</f>
        <v>347</v>
      </c>
      <c r="S347" s="14" t="str">
        <f t="shared" si="17"/>
        <v/>
      </c>
      <c r="T347" s="27" t="s">
        <v>1113</v>
      </c>
      <c r="U347" s="28"/>
      <c r="V347" s="28"/>
      <c r="W347" s="28"/>
      <c r="X347" s="28"/>
      <c r="Y347" s="27"/>
      <c r="Z347" s="27"/>
      <c r="AA347" s="27"/>
      <c r="AB347" s="27"/>
    </row>
    <row r="348" spans="1:28" ht="42" customHeight="1">
      <c r="A348" s="41"/>
      <c r="B348" s="42"/>
      <c r="C348" s="42"/>
      <c r="D348" s="42"/>
      <c r="E348" s="42"/>
      <c r="F348" s="42"/>
      <c r="G348" s="42"/>
      <c r="H348" s="45"/>
      <c r="I348" s="44"/>
      <c r="J348" s="43"/>
      <c r="K348" s="44"/>
      <c r="L348" s="14">
        <f t="shared" si="15"/>
        <v>0</v>
      </c>
      <c r="M348" s="14">
        <f>IF(OR(L348=0,T348&lt;&gt;"Sim"),0,INDEX(Processos!$X$10:$X$509,O348))</f>
        <v>0</v>
      </c>
      <c r="N348" s="40" t="str">
        <f t="shared" si="16"/>
        <v/>
      </c>
      <c r="O348" s="14">
        <f>IF(AND(A348&lt;&gt;"",ISTEXT(A348),COUNTIFS(Processos!$AS$10:$AS$509,"="&amp;SUBSTITUTE(SUBSTITUTE(SUBSTITUTE("P:"&amp;A348,"~","~~"),"*","~*"),"?","~?"))=1),(IF(ISNA(MATCH(SUBSTITUTE(SUBSTITUTE(SUBSTITUTE("P:"&amp;A348,"~","~~"),"*","~*"),"?","~?"),Processos!$AS$10:$AS$509,0)),9,INDEX(Processos!$AM$10:$AM$509,MATCH(SUBSTITUTE(SUBSTITUTE(SUBSTITUTE("P:"&amp;A348,"~","~~"),"*","~*"),"?","~?"),Processos!$AS$10:$AS$509,0)))-9),0)</f>
        <v>0</v>
      </c>
      <c r="P348" s="14" t="str">
        <f>IF(L348=0,"",INDEX(Processos!$D$10:$D$509,O348))</f>
        <v/>
      </c>
      <c r="Q348" s="14">
        <f>IF(OR(L348=0,T348&lt;&gt;"Sim"),0,INDEX(Processos!$AL$10:$AL$509,O348))</f>
        <v>0</v>
      </c>
      <c r="R348" s="14">
        <f>ROW()</f>
        <v>348</v>
      </c>
      <c r="S348" s="14" t="str">
        <f t="shared" si="17"/>
        <v/>
      </c>
      <c r="T348" s="27" t="s">
        <v>1113</v>
      </c>
      <c r="U348" s="28"/>
      <c r="V348" s="28"/>
      <c r="W348" s="28"/>
      <c r="X348" s="28"/>
      <c r="Y348" s="27"/>
      <c r="Z348" s="27"/>
      <c r="AA348" s="27"/>
      <c r="AB348" s="27"/>
    </row>
    <row r="349" spans="1:28" ht="42" customHeight="1">
      <c r="A349" s="41"/>
      <c r="B349" s="42"/>
      <c r="C349" s="42"/>
      <c r="D349" s="42"/>
      <c r="E349" s="42"/>
      <c r="F349" s="42"/>
      <c r="G349" s="42"/>
      <c r="H349" s="45"/>
      <c r="I349" s="44"/>
      <c r="J349" s="43"/>
      <c r="K349" s="44"/>
      <c r="L349" s="14">
        <f t="shared" si="15"/>
        <v>0</v>
      </c>
      <c r="M349" s="14">
        <f>IF(OR(L349=0,T349&lt;&gt;"Sim"),0,INDEX(Processos!$X$10:$X$509,O349))</f>
        <v>0</v>
      </c>
      <c r="N349" s="40" t="str">
        <f t="shared" si="16"/>
        <v/>
      </c>
      <c r="O349" s="14">
        <f>IF(AND(A349&lt;&gt;"",ISTEXT(A349),COUNTIFS(Processos!$AS$10:$AS$509,"="&amp;SUBSTITUTE(SUBSTITUTE(SUBSTITUTE("P:"&amp;A349,"~","~~"),"*","~*"),"?","~?"))=1),(IF(ISNA(MATCH(SUBSTITUTE(SUBSTITUTE(SUBSTITUTE("P:"&amp;A349,"~","~~"),"*","~*"),"?","~?"),Processos!$AS$10:$AS$509,0)),9,INDEX(Processos!$AM$10:$AM$509,MATCH(SUBSTITUTE(SUBSTITUTE(SUBSTITUTE("P:"&amp;A349,"~","~~"),"*","~*"),"?","~?"),Processos!$AS$10:$AS$509,0)))-9),0)</f>
        <v>0</v>
      </c>
      <c r="P349" s="14" t="str">
        <f>IF(L349=0,"",INDEX(Processos!$D$10:$D$509,O349))</f>
        <v/>
      </c>
      <c r="Q349" s="14">
        <f>IF(OR(L349=0,T349&lt;&gt;"Sim"),0,INDEX(Processos!$AL$10:$AL$509,O349))</f>
        <v>0</v>
      </c>
      <c r="R349" s="14">
        <f>ROW()</f>
        <v>349</v>
      </c>
      <c r="S349" s="14" t="str">
        <f t="shared" si="17"/>
        <v/>
      </c>
      <c r="T349" s="27" t="s">
        <v>1113</v>
      </c>
      <c r="U349" s="28"/>
      <c r="V349" s="28"/>
      <c r="W349" s="28"/>
      <c r="X349" s="28"/>
      <c r="Y349" s="27"/>
      <c r="Z349" s="27"/>
      <c r="AA349" s="27"/>
      <c r="AB349" s="27"/>
    </row>
    <row r="350" spans="1:28" ht="42" customHeight="1">
      <c r="A350" s="41"/>
      <c r="B350" s="42"/>
      <c r="C350" s="42"/>
      <c r="D350" s="42"/>
      <c r="E350" s="42"/>
      <c r="F350" s="42"/>
      <c r="G350" s="42"/>
      <c r="H350" s="45"/>
      <c r="I350" s="44"/>
      <c r="J350" s="43"/>
      <c r="K350" s="44"/>
      <c r="L350" s="14">
        <f t="shared" si="15"/>
        <v>0</v>
      </c>
      <c r="M350" s="14">
        <f>IF(OR(L350=0,T350&lt;&gt;"Sim"),0,INDEX(Processos!$X$10:$X$509,O350))</f>
        <v>0</v>
      </c>
      <c r="N350" s="40" t="str">
        <f t="shared" si="16"/>
        <v/>
      </c>
      <c r="O350" s="14">
        <f>IF(AND(A350&lt;&gt;"",ISTEXT(A350),COUNTIFS(Processos!$AS$10:$AS$509,"="&amp;SUBSTITUTE(SUBSTITUTE(SUBSTITUTE("P:"&amp;A350,"~","~~"),"*","~*"),"?","~?"))=1),(IF(ISNA(MATCH(SUBSTITUTE(SUBSTITUTE(SUBSTITUTE("P:"&amp;A350,"~","~~"),"*","~*"),"?","~?"),Processos!$AS$10:$AS$509,0)),9,INDEX(Processos!$AM$10:$AM$509,MATCH(SUBSTITUTE(SUBSTITUTE(SUBSTITUTE("P:"&amp;A350,"~","~~"),"*","~*"),"?","~?"),Processos!$AS$10:$AS$509,0)))-9),0)</f>
        <v>0</v>
      </c>
      <c r="P350" s="14" t="str">
        <f>IF(L350=0,"",INDEX(Processos!$D$10:$D$509,O350))</f>
        <v/>
      </c>
      <c r="Q350" s="14">
        <f>IF(OR(L350=0,T350&lt;&gt;"Sim"),0,INDEX(Processos!$AL$10:$AL$509,O350))</f>
        <v>0</v>
      </c>
      <c r="R350" s="14">
        <f>ROW()</f>
        <v>350</v>
      </c>
      <c r="S350" s="14" t="str">
        <f t="shared" si="17"/>
        <v/>
      </c>
      <c r="T350" s="27" t="s">
        <v>1113</v>
      </c>
      <c r="U350" s="28"/>
      <c r="V350" s="28"/>
      <c r="W350" s="28"/>
      <c r="X350" s="28"/>
      <c r="Y350" s="27"/>
      <c r="Z350" s="27"/>
      <c r="AA350" s="27"/>
      <c r="AB350" s="27"/>
    </row>
    <row r="351" spans="1:28" ht="42" customHeight="1">
      <c r="A351" s="41"/>
      <c r="B351" s="42"/>
      <c r="C351" s="42"/>
      <c r="D351" s="42"/>
      <c r="E351" s="42"/>
      <c r="F351" s="42"/>
      <c r="G351" s="42"/>
      <c r="H351" s="45"/>
      <c r="I351" s="44"/>
      <c r="J351" s="43"/>
      <c r="K351" s="44"/>
      <c r="L351" s="14">
        <f t="shared" si="15"/>
        <v>0</v>
      </c>
      <c r="M351" s="14">
        <f>IF(OR(L351=0,T351&lt;&gt;"Sim"),0,INDEX(Processos!$X$10:$X$509,O351))</f>
        <v>0</v>
      </c>
      <c r="N351" s="40" t="str">
        <f t="shared" si="16"/>
        <v/>
      </c>
      <c r="O351" s="14">
        <f>IF(AND(A351&lt;&gt;"",ISTEXT(A351),COUNTIFS(Processos!$AS$10:$AS$509,"="&amp;SUBSTITUTE(SUBSTITUTE(SUBSTITUTE("P:"&amp;A351,"~","~~"),"*","~*"),"?","~?"))=1),(IF(ISNA(MATCH(SUBSTITUTE(SUBSTITUTE(SUBSTITUTE("P:"&amp;A351,"~","~~"),"*","~*"),"?","~?"),Processos!$AS$10:$AS$509,0)),9,INDEX(Processos!$AM$10:$AM$509,MATCH(SUBSTITUTE(SUBSTITUTE(SUBSTITUTE("P:"&amp;A351,"~","~~"),"*","~*"),"?","~?"),Processos!$AS$10:$AS$509,0)))-9),0)</f>
        <v>0</v>
      </c>
      <c r="P351" s="14" t="str">
        <f>IF(L351=0,"",INDEX(Processos!$D$10:$D$509,O351))</f>
        <v/>
      </c>
      <c r="Q351" s="14">
        <f>IF(OR(L351=0,T351&lt;&gt;"Sim"),0,INDEX(Processos!$AL$10:$AL$509,O351))</f>
        <v>0</v>
      </c>
      <c r="R351" s="14">
        <f>ROW()</f>
        <v>351</v>
      </c>
      <c r="S351" s="14" t="str">
        <f t="shared" si="17"/>
        <v/>
      </c>
      <c r="T351" s="27" t="s">
        <v>1113</v>
      </c>
      <c r="U351" s="28"/>
      <c r="V351" s="28"/>
      <c r="W351" s="28"/>
      <c r="X351" s="28"/>
      <c r="Y351" s="27"/>
      <c r="Z351" s="27"/>
      <c r="AA351" s="27"/>
      <c r="AB351" s="27"/>
    </row>
    <row r="352" spans="1:28" ht="42" customHeight="1">
      <c r="A352" s="41"/>
      <c r="B352" s="42"/>
      <c r="C352" s="42"/>
      <c r="D352" s="42"/>
      <c r="E352" s="42"/>
      <c r="F352" s="42"/>
      <c r="G352" s="42"/>
      <c r="H352" s="45"/>
      <c r="I352" s="44"/>
      <c r="J352" s="43"/>
      <c r="K352" s="44"/>
      <c r="L352" s="14">
        <f t="shared" si="15"/>
        <v>0</v>
      </c>
      <c r="M352" s="14">
        <f>IF(OR(L352=0,T352&lt;&gt;"Sim"),0,INDEX(Processos!$X$10:$X$509,O352))</f>
        <v>0</v>
      </c>
      <c r="N352" s="40" t="str">
        <f t="shared" si="16"/>
        <v/>
      </c>
      <c r="O352" s="14">
        <f>IF(AND(A352&lt;&gt;"",ISTEXT(A352),COUNTIFS(Processos!$AS$10:$AS$509,"="&amp;SUBSTITUTE(SUBSTITUTE(SUBSTITUTE("P:"&amp;A352,"~","~~"),"*","~*"),"?","~?"))=1),(IF(ISNA(MATCH(SUBSTITUTE(SUBSTITUTE(SUBSTITUTE("P:"&amp;A352,"~","~~"),"*","~*"),"?","~?"),Processos!$AS$10:$AS$509,0)),9,INDEX(Processos!$AM$10:$AM$509,MATCH(SUBSTITUTE(SUBSTITUTE(SUBSTITUTE("P:"&amp;A352,"~","~~"),"*","~*"),"?","~?"),Processos!$AS$10:$AS$509,0)))-9),0)</f>
        <v>0</v>
      </c>
      <c r="P352" s="14" t="str">
        <f>IF(L352=0,"",INDEX(Processos!$D$10:$D$509,O352))</f>
        <v/>
      </c>
      <c r="Q352" s="14">
        <f>IF(OR(L352=0,T352&lt;&gt;"Sim"),0,INDEX(Processos!$AL$10:$AL$509,O352))</f>
        <v>0</v>
      </c>
      <c r="R352" s="14">
        <f>ROW()</f>
        <v>352</v>
      </c>
      <c r="S352" s="14" t="str">
        <f t="shared" si="17"/>
        <v/>
      </c>
      <c r="T352" s="27" t="s">
        <v>1113</v>
      </c>
      <c r="U352" s="28"/>
      <c r="V352" s="28"/>
      <c r="W352" s="28"/>
      <c r="X352" s="28"/>
      <c r="Y352" s="27"/>
      <c r="Z352" s="27"/>
      <c r="AA352" s="27"/>
      <c r="AB352" s="27"/>
    </row>
    <row r="353" spans="1:28" ht="42" customHeight="1">
      <c r="A353" s="41"/>
      <c r="B353" s="42"/>
      <c r="C353" s="42"/>
      <c r="D353" s="42"/>
      <c r="E353" s="42"/>
      <c r="F353" s="42"/>
      <c r="G353" s="42"/>
      <c r="H353" s="45"/>
      <c r="I353" s="44"/>
      <c r="J353" s="43"/>
      <c r="K353" s="44"/>
      <c r="L353" s="14">
        <f t="shared" si="15"/>
        <v>0</v>
      </c>
      <c r="M353" s="14">
        <f>IF(OR(L353=0,T353&lt;&gt;"Sim"),0,INDEX(Processos!$X$10:$X$509,O353))</f>
        <v>0</v>
      </c>
      <c r="N353" s="40" t="str">
        <f t="shared" si="16"/>
        <v/>
      </c>
      <c r="O353" s="14">
        <f>IF(AND(A353&lt;&gt;"",ISTEXT(A353),COUNTIFS(Processos!$AS$10:$AS$509,"="&amp;SUBSTITUTE(SUBSTITUTE(SUBSTITUTE("P:"&amp;A353,"~","~~"),"*","~*"),"?","~?"))=1),(IF(ISNA(MATCH(SUBSTITUTE(SUBSTITUTE(SUBSTITUTE("P:"&amp;A353,"~","~~"),"*","~*"),"?","~?"),Processos!$AS$10:$AS$509,0)),9,INDEX(Processos!$AM$10:$AM$509,MATCH(SUBSTITUTE(SUBSTITUTE(SUBSTITUTE("P:"&amp;A353,"~","~~"),"*","~*"),"?","~?"),Processos!$AS$10:$AS$509,0)))-9),0)</f>
        <v>0</v>
      </c>
      <c r="P353" s="14" t="str">
        <f>IF(L353=0,"",INDEX(Processos!$D$10:$D$509,O353))</f>
        <v/>
      </c>
      <c r="Q353" s="14">
        <f>IF(OR(L353=0,T353&lt;&gt;"Sim"),0,INDEX(Processos!$AL$10:$AL$509,O353))</f>
        <v>0</v>
      </c>
      <c r="R353" s="14">
        <f>ROW()</f>
        <v>353</v>
      </c>
      <c r="S353" s="14" t="str">
        <f t="shared" si="17"/>
        <v/>
      </c>
      <c r="T353" s="27" t="s">
        <v>1113</v>
      </c>
      <c r="U353" s="28"/>
      <c r="V353" s="28"/>
      <c r="W353" s="28"/>
      <c r="X353" s="28"/>
      <c r="Y353" s="27"/>
      <c r="Z353" s="27"/>
      <c r="AA353" s="27"/>
      <c r="AB353" s="27"/>
    </row>
    <row r="354" spans="1:28" ht="42" customHeight="1">
      <c r="A354" s="41"/>
      <c r="B354" s="42"/>
      <c r="C354" s="42"/>
      <c r="D354" s="42"/>
      <c r="E354" s="42"/>
      <c r="F354" s="42"/>
      <c r="G354" s="42"/>
      <c r="H354" s="45"/>
      <c r="I354" s="44"/>
      <c r="J354" s="43"/>
      <c r="K354" s="44"/>
      <c r="L354" s="14">
        <f t="shared" si="15"/>
        <v>0</v>
      </c>
      <c r="M354" s="14">
        <f>IF(OR(L354=0,T354&lt;&gt;"Sim"),0,INDEX(Processos!$X$10:$X$509,O354))</f>
        <v>0</v>
      </c>
      <c r="N354" s="40" t="str">
        <f t="shared" si="16"/>
        <v/>
      </c>
      <c r="O354" s="14">
        <f>IF(AND(A354&lt;&gt;"",ISTEXT(A354),COUNTIFS(Processos!$AS$10:$AS$509,"="&amp;SUBSTITUTE(SUBSTITUTE(SUBSTITUTE("P:"&amp;A354,"~","~~"),"*","~*"),"?","~?"))=1),(IF(ISNA(MATCH(SUBSTITUTE(SUBSTITUTE(SUBSTITUTE("P:"&amp;A354,"~","~~"),"*","~*"),"?","~?"),Processos!$AS$10:$AS$509,0)),9,INDEX(Processos!$AM$10:$AM$509,MATCH(SUBSTITUTE(SUBSTITUTE(SUBSTITUTE("P:"&amp;A354,"~","~~"),"*","~*"),"?","~?"),Processos!$AS$10:$AS$509,0)))-9),0)</f>
        <v>0</v>
      </c>
      <c r="P354" s="14" t="str">
        <f>IF(L354=0,"",INDEX(Processos!$D$10:$D$509,O354))</f>
        <v/>
      </c>
      <c r="Q354" s="14">
        <f>IF(OR(L354=0,T354&lt;&gt;"Sim"),0,INDEX(Processos!$AL$10:$AL$509,O354))</f>
        <v>0</v>
      </c>
      <c r="R354" s="14">
        <f>ROW()</f>
        <v>354</v>
      </c>
      <c r="S354" s="14" t="str">
        <f t="shared" si="17"/>
        <v/>
      </c>
      <c r="T354" s="27" t="s">
        <v>1113</v>
      </c>
      <c r="U354" s="28"/>
      <c r="V354" s="28"/>
      <c r="W354" s="28"/>
      <c r="X354" s="28"/>
      <c r="Y354" s="27"/>
      <c r="Z354" s="27"/>
      <c r="AA354" s="27"/>
      <c r="AB354" s="27"/>
    </row>
    <row r="355" spans="1:28" ht="42" customHeight="1">
      <c r="A355" s="41"/>
      <c r="B355" s="42"/>
      <c r="C355" s="42"/>
      <c r="D355" s="42"/>
      <c r="E355" s="42"/>
      <c r="F355" s="42"/>
      <c r="G355" s="42"/>
      <c r="H355" s="45"/>
      <c r="I355" s="44"/>
      <c r="J355" s="43"/>
      <c r="K355" s="44"/>
      <c r="L355" s="14">
        <f t="shared" si="15"/>
        <v>0</v>
      </c>
      <c r="M355" s="14">
        <f>IF(OR(L355=0,T355&lt;&gt;"Sim"),0,INDEX(Processos!$X$10:$X$509,O355))</f>
        <v>0</v>
      </c>
      <c r="N355" s="40" t="str">
        <f t="shared" si="16"/>
        <v/>
      </c>
      <c r="O355" s="14">
        <f>IF(AND(A355&lt;&gt;"",ISTEXT(A355),COUNTIFS(Processos!$AS$10:$AS$509,"="&amp;SUBSTITUTE(SUBSTITUTE(SUBSTITUTE("P:"&amp;A355,"~","~~"),"*","~*"),"?","~?"))=1),(IF(ISNA(MATCH(SUBSTITUTE(SUBSTITUTE(SUBSTITUTE("P:"&amp;A355,"~","~~"),"*","~*"),"?","~?"),Processos!$AS$10:$AS$509,0)),9,INDEX(Processos!$AM$10:$AM$509,MATCH(SUBSTITUTE(SUBSTITUTE(SUBSTITUTE("P:"&amp;A355,"~","~~"),"*","~*"),"?","~?"),Processos!$AS$10:$AS$509,0)))-9),0)</f>
        <v>0</v>
      </c>
      <c r="P355" s="14" t="str">
        <f>IF(L355=0,"",INDEX(Processos!$D$10:$D$509,O355))</f>
        <v/>
      </c>
      <c r="Q355" s="14">
        <f>IF(OR(L355=0,T355&lt;&gt;"Sim"),0,INDEX(Processos!$AL$10:$AL$509,O355))</f>
        <v>0</v>
      </c>
      <c r="R355" s="14">
        <f>ROW()</f>
        <v>355</v>
      </c>
      <c r="S355" s="14" t="str">
        <f t="shared" si="17"/>
        <v/>
      </c>
      <c r="T355" s="27" t="s">
        <v>1113</v>
      </c>
      <c r="U355" s="28"/>
      <c r="V355" s="28"/>
      <c r="W355" s="28"/>
      <c r="X355" s="28"/>
      <c r="Y355" s="27"/>
      <c r="Z355" s="27"/>
      <c r="AA355" s="27"/>
      <c r="AB355" s="27"/>
    </row>
    <row r="356" spans="1:28" ht="42" customHeight="1">
      <c r="A356" s="41"/>
      <c r="B356" s="42"/>
      <c r="C356" s="42"/>
      <c r="D356" s="42"/>
      <c r="E356" s="42"/>
      <c r="F356" s="42"/>
      <c r="G356" s="42"/>
      <c r="H356" s="45"/>
      <c r="I356" s="44"/>
      <c r="J356" s="43"/>
      <c r="K356" s="44"/>
      <c r="L356" s="14">
        <f t="shared" si="15"/>
        <v>0</v>
      </c>
      <c r="M356" s="14">
        <f>IF(OR(L356=0,T356&lt;&gt;"Sim"),0,INDEX(Processos!$X$10:$X$509,O356))</f>
        <v>0</v>
      </c>
      <c r="N356" s="40" t="str">
        <f t="shared" si="16"/>
        <v/>
      </c>
      <c r="O356" s="14">
        <f>IF(AND(A356&lt;&gt;"",ISTEXT(A356),COUNTIFS(Processos!$AS$10:$AS$509,"="&amp;SUBSTITUTE(SUBSTITUTE(SUBSTITUTE("P:"&amp;A356,"~","~~"),"*","~*"),"?","~?"))=1),(IF(ISNA(MATCH(SUBSTITUTE(SUBSTITUTE(SUBSTITUTE("P:"&amp;A356,"~","~~"),"*","~*"),"?","~?"),Processos!$AS$10:$AS$509,0)),9,INDEX(Processos!$AM$10:$AM$509,MATCH(SUBSTITUTE(SUBSTITUTE(SUBSTITUTE("P:"&amp;A356,"~","~~"),"*","~*"),"?","~?"),Processos!$AS$10:$AS$509,0)))-9),0)</f>
        <v>0</v>
      </c>
      <c r="P356" s="14" t="str">
        <f>IF(L356=0,"",INDEX(Processos!$D$10:$D$509,O356))</f>
        <v/>
      </c>
      <c r="Q356" s="14">
        <f>IF(OR(L356=0,T356&lt;&gt;"Sim"),0,INDEX(Processos!$AL$10:$AL$509,O356))</f>
        <v>0</v>
      </c>
      <c r="R356" s="14">
        <f>ROW()</f>
        <v>356</v>
      </c>
      <c r="S356" s="14" t="str">
        <f t="shared" si="17"/>
        <v/>
      </c>
      <c r="T356" s="27" t="s">
        <v>1113</v>
      </c>
      <c r="U356" s="28"/>
      <c r="V356" s="28"/>
      <c r="W356" s="28"/>
      <c r="X356" s="28"/>
      <c r="Y356" s="27"/>
      <c r="Z356" s="27"/>
      <c r="AA356" s="27"/>
      <c r="AB356" s="27"/>
    </row>
    <row r="357" spans="1:28" ht="42" customHeight="1">
      <c r="A357" s="41"/>
      <c r="B357" s="42"/>
      <c r="C357" s="42"/>
      <c r="D357" s="42"/>
      <c r="E357" s="42"/>
      <c r="F357" s="42"/>
      <c r="G357" s="42"/>
      <c r="H357" s="45"/>
      <c r="I357" s="44"/>
      <c r="J357" s="43"/>
      <c r="K357" s="44"/>
      <c r="L357" s="14">
        <f t="shared" si="15"/>
        <v>0</v>
      </c>
      <c r="M357" s="14">
        <f>IF(OR(L357=0,T357&lt;&gt;"Sim"),0,INDEX(Processos!$X$10:$X$509,O357))</f>
        <v>0</v>
      </c>
      <c r="N357" s="40" t="str">
        <f t="shared" si="16"/>
        <v/>
      </c>
      <c r="O357" s="14">
        <f>IF(AND(A357&lt;&gt;"",ISTEXT(A357),COUNTIFS(Processos!$AS$10:$AS$509,"="&amp;SUBSTITUTE(SUBSTITUTE(SUBSTITUTE("P:"&amp;A357,"~","~~"),"*","~*"),"?","~?"))=1),(IF(ISNA(MATCH(SUBSTITUTE(SUBSTITUTE(SUBSTITUTE("P:"&amp;A357,"~","~~"),"*","~*"),"?","~?"),Processos!$AS$10:$AS$509,0)),9,INDEX(Processos!$AM$10:$AM$509,MATCH(SUBSTITUTE(SUBSTITUTE(SUBSTITUTE("P:"&amp;A357,"~","~~"),"*","~*"),"?","~?"),Processos!$AS$10:$AS$509,0)))-9),0)</f>
        <v>0</v>
      </c>
      <c r="P357" s="14" t="str">
        <f>IF(L357=0,"",INDEX(Processos!$D$10:$D$509,O357))</f>
        <v/>
      </c>
      <c r="Q357" s="14">
        <f>IF(OR(L357=0,T357&lt;&gt;"Sim"),0,INDEX(Processos!$AL$10:$AL$509,O357))</f>
        <v>0</v>
      </c>
      <c r="R357" s="14">
        <f>ROW()</f>
        <v>357</v>
      </c>
      <c r="S357" s="14" t="str">
        <f t="shared" si="17"/>
        <v/>
      </c>
      <c r="T357" s="27" t="s">
        <v>1113</v>
      </c>
      <c r="U357" s="28"/>
      <c r="V357" s="28"/>
      <c r="W357" s="28"/>
      <c r="X357" s="28"/>
      <c r="Y357" s="27"/>
      <c r="Z357" s="27"/>
      <c r="AA357" s="27"/>
      <c r="AB357" s="27"/>
    </row>
    <row r="358" spans="1:28" ht="42" customHeight="1">
      <c r="A358" s="41"/>
      <c r="B358" s="42"/>
      <c r="C358" s="42"/>
      <c r="D358" s="42"/>
      <c r="E358" s="42"/>
      <c r="F358" s="42"/>
      <c r="G358" s="42"/>
      <c r="H358" s="45"/>
      <c r="I358" s="44"/>
      <c r="J358" s="43"/>
      <c r="K358" s="44"/>
      <c r="L358" s="14">
        <f t="shared" si="15"/>
        <v>0</v>
      </c>
      <c r="M358" s="14">
        <f>IF(OR(L358=0,T358&lt;&gt;"Sim"),0,INDEX(Processos!$X$10:$X$509,O358))</f>
        <v>0</v>
      </c>
      <c r="N358" s="40" t="str">
        <f t="shared" si="16"/>
        <v/>
      </c>
      <c r="O358" s="14">
        <f>IF(AND(A358&lt;&gt;"",ISTEXT(A358),COUNTIFS(Processos!$AS$10:$AS$509,"="&amp;SUBSTITUTE(SUBSTITUTE(SUBSTITUTE("P:"&amp;A358,"~","~~"),"*","~*"),"?","~?"))=1),(IF(ISNA(MATCH(SUBSTITUTE(SUBSTITUTE(SUBSTITUTE("P:"&amp;A358,"~","~~"),"*","~*"),"?","~?"),Processos!$AS$10:$AS$509,0)),9,INDEX(Processos!$AM$10:$AM$509,MATCH(SUBSTITUTE(SUBSTITUTE(SUBSTITUTE("P:"&amp;A358,"~","~~"),"*","~*"),"?","~?"),Processos!$AS$10:$AS$509,0)))-9),0)</f>
        <v>0</v>
      </c>
      <c r="P358" s="14" t="str">
        <f>IF(L358=0,"",INDEX(Processos!$D$10:$D$509,O358))</f>
        <v/>
      </c>
      <c r="Q358" s="14">
        <f>IF(OR(L358=0,T358&lt;&gt;"Sim"),0,INDEX(Processos!$AL$10:$AL$509,O358))</f>
        <v>0</v>
      </c>
      <c r="R358" s="14">
        <f>ROW()</f>
        <v>358</v>
      </c>
      <c r="S358" s="14" t="str">
        <f t="shared" si="17"/>
        <v/>
      </c>
      <c r="T358" s="27" t="s">
        <v>1113</v>
      </c>
      <c r="U358" s="28"/>
      <c r="V358" s="28"/>
      <c r="W358" s="28"/>
      <c r="X358" s="28"/>
      <c r="Y358" s="27"/>
      <c r="Z358" s="27"/>
      <c r="AA358" s="27"/>
      <c r="AB358" s="27"/>
    </row>
    <row r="359" spans="1:28" ht="42" customHeight="1">
      <c r="A359" s="41"/>
      <c r="B359" s="42"/>
      <c r="C359" s="42"/>
      <c r="D359" s="42"/>
      <c r="E359" s="42"/>
      <c r="F359" s="42"/>
      <c r="G359" s="42"/>
      <c r="H359" s="45"/>
      <c r="I359" s="44"/>
      <c r="J359" s="43"/>
      <c r="K359" s="44"/>
      <c r="L359" s="14">
        <f t="shared" si="15"/>
        <v>0</v>
      </c>
      <c r="M359" s="14">
        <f>IF(OR(L359=0,T359&lt;&gt;"Sim"),0,INDEX(Processos!$X$10:$X$509,O359))</f>
        <v>0</v>
      </c>
      <c r="N359" s="40" t="str">
        <f t="shared" si="16"/>
        <v/>
      </c>
      <c r="O359" s="14">
        <f>IF(AND(A359&lt;&gt;"",ISTEXT(A359),COUNTIFS(Processos!$AS$10:$AS$509,"="&amp;SUBSTITUTE(SUBSTITUTE(SUBSTITUTE("P:"&amp;A359,"~","~~"),"*","~*"),"?","~?"))=1),(IF(ISNA(MATCH(SUBSTITUTE(SUBSTITUTE(SUBSTITUTE("P:"&amp;A359,"~","~~"),"*","~*"),"?","~?"),Processos!$AS$10:$AS$509,0)),9,INDEX(Processos!$AM$10:$AM$509,MATCH(SUBSTITUTE(SUBSTITUTE(SUBSTITUTE("P:"&amp;A359,"~","~~"),"*","~*"),"?","~?"),Processos!$AS$10:$AS$509,0)))-9),0)</f>
        <v>0</v>
      </c>
      <c r="P359" s="14" t="str">
        <f>IF(L359=0,"",INDEX(Processos!$D$10:$D$509,O359))</f>
        <v/>
      </c>
      <c r="Q359" s="14">
        <f>IF(OR(L359=0,T359&lt;&gt;"Sim"),0,INDEX(Processos!$AL$10:$AL$509,O359))</f>
        <v>0</v>
      </c>
      <c r="R359" s="14">
        <f>ROW()</f>
        <v>359</v>
      </c>
      <c r="S359" s="14" t="str">
        <f t="shared" si="17"/>
        <v/>
      </c>
      <c r="T359" s="27" t="s">
        <v>1113</v>
      </c>
      <c r="U359" s="28"/>
      <c r="V359" s="28"/>
      <c r="W359" s="28"/>
      <c r="X359" s="28"/>
      <c r="Y359" s="27"/>
      <c r="Z359" s="27"/>
      <c r="AA359" s="27"/>
      <c r="AB359" s="27"/>
    </row>
    <row r="360" spans="1:28" ht="42" customHeight="1">
      <c r="A360" s="41"/>
      <c r="B360" s="42"/>
      <c r="C360" s="42"/>
      <c r="D360" s="42"/>
      <c r="E360" s="42"/>
      <c r="F360" s="42"/>
      <c r="G360" s="42"/>
      <c r="H360" s="45"/>
      <c r="I360" s="44"/>
      <c r="J360" s="43"/>
      <c r="K360" s="44"/>
      <c r="L360" s="14">
        <f t="shared" si="15"/>
        <v>0</v>
      </c>
      <c r="M360" s="14">
        <f>IF(OR(L360=0,T360&lt;&gt;"Sim"),0,INDEX(Processos!$X$10:$X$509,O360))</f>
        <v>0</v>
      </c>
      <c r="N360" s="40" t="str">
        <f t="shared" si="16"/>
        <v/>
      </c>
      <c r="O360" s="14">
        <f>IF(AND(A360&lt;&gt;"",ISTEXT(A360),COUNTIFS(Processos!$AS$10:$AS$509,"="&amp;SUBSTITUTE(SUBSTITUTE(SUBSTITUTE("P:"&amp;A360,"~","~~"),"*","~*"),"?","~?"))=1),(IF(ISNA(MATCH(SUBSTITUTE(SUBSTITUTE(SUBSTITUTE("P:"&amp;A360,"~","~~"),"*","~*"),"?","~?"),Processos!$AS$10:$AS$509,0)),9,INDEX(Processos!$AM$10:$AM$509,MATCH(SUBSTITUTE(SUBSTITUTE(SUBSTITUTE("P:"&amp;A360,"~","~~"),"*","~*"),"?","~?"),Processos!$AS$10:$AS$509,0)))-9),0)</f>
        <v>0</v>
      </c>
      <c r="P360" s="14" t="str">
        <f>IF(L360=0,"",INDEX(Processos!$D$10:$D$509,O360))</f>
        <v/>
      </c>
      <c r="Q360" s="14">
        <f>IF(OR(L360=0,T360&lt;&gt;"Sim"),0,INDEX(Processos!$AL$10:$AL$509,O360))</f>
        <v>0</v>
      </c>
      <c r="R360" s="14">
        <f>ROW()</f>
        <v>360</v>
      </c>
      <c r="S360" s="14" t="str">
        <f t="shared" si="17"/>
        <v/>
      </c>
      <c r="T360" s="27" t="s">
        <v>1113</v>
      </c>
      <c r="U360" s="28"/>
      <c r="V360" s="28"/>
      <c r="W360" s="28"/>
      <c r="X360" s="28"/>
      <c r="Y360" s="27"/>
      <c r="Z360" s="27"/>
      <c r="AA360" s="27"/>
      <c r="AB360" s="27"/>
    </row>
    <row r="361" spans="1:28" ht="42" customHeight="1">
      <c r="A361" s="41"/>
      <c r="B361" s="42"/>
      <c r="C361" s="42"/>
      <c r="D361" s="42"/>
      <c r="E361" s="42"/>
      <c r="F361" s="42"/>
      <c r="G361" s="42"/>
      <c r="H361" s="45"/>
      <c r="I361" s="44"/>
      <c r="J361" s="43"/>
      <c r="K361" s="44"/>
      <c r="L361" s="14">
        <f t="shared" si="15"/>
        <v>0</v>
      </c>
      <c r="M361" s="14">
        <f>IF(OR(L361=0,T361&lt;&gt;"Sim"),0,INDEX(Processos!$X$10:$X$509,O361))</f>
        <v>0</v>
      </c>
      <c r="N361" s="40" t="str">
        <f t="shared" si="16"/>
        <v/>
      </c>
      <c r="O361" s="14">
        <f>IF(AND(A361&lt;&gt;"",ISTEXT(A361),COUNTIFS(Processos!$AS$10:$AS$509,"="&amp;SUBSTITUTE(SUBSTITUTE(SUBSTITUTE("P:"&amp;A361,"~","~~"),"*","~*"),"?","~?"))=1),(IF(ISNA(MATCH(SUBSTITUTE(SUBSTITUTE(SUBSTITUTE("P:"&amp;A361,"~","~~"),"*","~*"),"?","~?"),Processos!$AS$10:$AS$509,0)),9,INDEX(Processos!$AM$10:$AM$509,MATCH(SUBSTITUTE(SUBSTITUTE(SUBSTITUTE("P:"&amp;A361,"~","~~"),"*","~*"),"?","~?"),Processos!$AS$10:$AS$509,0)))-9),0)</f>
        <v>0</v>
      </c>
      <c r="P361" s="14" t="str">
        <f>IF(L361=0,"",INDEX(Processos!$D$10:$D$509,O361))</f>
        <v/>
      </c>
      <c r="Q361" s="14">
        <f>IF(OR(L361=0,T361&lt;&gt;"Sim"),0,INDEX(Processos!$AL$10:$AL$509,O361))</f>
        <v>0</v>
      </c>
      <c r="R361" s="14">
        <f>ROW()</f>
        <v>361</v>
      </c>
      <c r="S361" s="14" t="str">
        <f t="shared" si="17"/>
        <v/>
      </c>
      <c r="T361" s="27" t="s">
        <v>1113</v>
      </c>
      <c r="U361" s="28"/>
      <c r="V361" s="28"/>
      <c r="W361" s="28"/>
      <c r="X361" s="28"/>
      <c r="Y361" s="27"/>
      <c r="Z361" s="27"/>
      <c r="AA361" s="27"/>
      <c r="AB361" s="27"/>
    </row>
    <row r="362" spans="1:28" ht="42" customHeight="1">
      <c r="A362" s="41"/>
      <c r="B362" s="42"/>
      <c r="C362" s="42"/>
      <c r="D362" s="42"/>
      <c r="E362" s="42"/>
      <c r="F362" s="42"/>
      <c r="G362" s="42"/>
      <c r="H362" s="45"/>
      <c r="I362" s="44"/>
      <c r="J362" s="43"/>
      <c r="K362" s="44"/>
      <c r="L362" s="14">
        <f t="shared" si="15"/>
        <v>0</v>
      </c>
      <c r="M362" s="14">
        <f>IF(OR(L362=0,T362&lt;&gt;"Sim"),0,INDEX(Processos!$X$10:$X$509,O362))</f>
        <v>0</v>
      </c>
      <c r="N362" s="40" t="str">
        <f t="shared" si="16"/>
        <v/>
      </c>
      <c r="O362" s="14">
        <f>IF(AND(A362&lt;&gt;"",ISTEXT(A362),COUNTIFS(Processos!$AS$10:$AS$509,"="&amp;SUBSTITUTE(SUBSTITUTE(SUBSTITUTE("P:"&amp;A362,"~","~~"),"*","~*"),"?","~?"))=1),(IF(ISNA(MATCH(SUBSTITUTE(SUBSTITUTE(SUBSTITUTE("P:"&amp;A362,"~","~~"),"*","~*"),"?","~?"),Processos!$AS$10:$AS$509,0)),9,INDEX(Processos!$AM$10:$AM$509,MATCH(SUBSTITUTE(SUBSTITUTE(SUBSTITUTE("P:"&amp;A362,"~","~~"),"*","~*"),"?","~?"),Processos!$AS$10:$AS$509,0)))-9),0)</f>
        <v>0</v>
      </c>
      <c r="P362" s="14" t="str">
        <f>IF(L362=0,"",INDEX(Processos!$D$10:$D$509,O362))</f>
        <v/>
      </c>
      <c r="Q362" s="14">
        <f>IF(OR(L362=0,T362&lt;&gt;"Sim"),0,INDEX(Processos!$AL$10:$AL$509,O362))</f>
        <v>0</v>
      </c>
      <c r="R362" s="14">
        <f>ROW()</f>
        <v>362</v>
      </c>
      <c r="S362" s="14" t="str">
        <f t="shared" si="17"/>
        <v/>
      </c>
      <c r="T362" s="27" t="s">
        <v>1113</v>
      </c>
      <c r="U362" s="28"/>
      <c r="V362" s="28"/>
      <c r="W362" s="28"/>
      <c r="X362" s="28"/>
      <c r="Y362" s="27"/>
      <c r="Z362" s="27"/>
      <c r="AA362" s="27"/>
      <c r="AB362" s="27"/>
    </row>
    <row r="363" spans="1:28" ht="42" customHeight="1">
      <c r="A363" s="41"/>
      <c r="B363" s="42"/>
      <c r="C363" s="42"/>
      <c r="D363" s="42"/>
      <c r="E363" s="42"/>
      <c r="F363" s="42"/>
      <c r="G363" s="42"/>
      <c r="H363" s="45"/>
      <c r="I363" s="44"/>
      <c r="J363" s="43"/>
      <c r="K363" s="44"/>
      <c r="L363" s="14">
        <f t="shared" si="15"/>
        <v>0</v>
      </c>
      <c r="M363" s="14">
        <f>IF(OR(L363=0,T363&lt;&gt;"Sim"),0,INDEX(Processos!$X$10:$X$509,O363))</f>
        <v>0</v>
      </c>
      <c r="N363" s="40" t="str">
        <f t="shared" si="16"/>
        <v/>
      </c>
      <c r="O363" s="14">
        <f>IF(AND(A363&lt;&gt;"",ISTEXT(A363),COUNTIFS(Processos!$AS$10:$AS$509,"="&amp;SUBSTITUTE(SUBSTITUTE(SUBSTITUTE("P:"&amp;A363,"~","~~"),"*","~*"),"?","~?"))=1),(IF(ISNA(MATCH(SUBSTITUTE(SUBSTITUTE(SUBSTITUTE("P:"&amp;A363,"~","~~"),"*","~*"),"?","~?"),Processos!$AS$10:$AS$509,0)),9,INDEX(Processos!$AM$10:$AM$509,MATCH(SUBSTITUTE(SUBSTITUTE(SUBSTITUTE("P:"&amp;A363,"~","~~"),"*","~*"),"?","~?"),Processos!$AS$10:$AS$509,0)))-9),0)</f>
        <v>0</v>
      </c>
      <c r="P363" s="14" t="str">
        <f>IF(L363=0,"",INDEX(Processos!$D$10:$D$509,O363))</f>
        <v/>
      </c>
      <c r="Q363" s="14">
        <f>IF(OR(L363=0,T363&lt;&gt;"Sim"),0,INDEX(Processos!$AL$10:$AL$509,O363))</f>
        <v>0</v>
      </c>
      <c r="R363" s="14">
        <f>ROW()</f>
        <v>363</v>
      </c>
      <c r="S363" s="14" t="str">
        <f t="shared" si="17"/>
        <v/>
      </c>
      <c r="T363" s="27" t="s">
        <v>1113</v>
      </c>
      <c r="U363" s="28"/>
      <c r="V363" s="28"/>
      <c r="W363" s="28"/>
      <c r="X363" s="28"/>
      <c r="Y363" s="27"/>
      <c r="Z363" s="27"/>
      <c r="AA363" s="27"/>
      <c r="AB363" s="27"/>
    </row>
    <row r="364" spans="1:28" ht="42" customHeight="1">
      <c r="A364" s="41"/>
      <c r="B364" s="42"/>
      <c r="C364" s="42"/>
      <c r="D364" s="42"/>
      <c r="E364" s="42"/>
      <c r="F364" s="42"/>
      <c r="G364" s="42"/>
      <c r="H364" s="45"/>
      <c r="I364" s="44"/>
      <c r="J364" s="43"/>
      <c r="K364" s="44"/>
      <c r="L364" s="14">
        <f t="shared" si="15"/>
        <v>0</v>
      </c>
      <c r="M364" s="14">
        <f>IF(OR(L364=0,T364&lt;&gt;"Sim"),0,INDEX(Processos!$X$10:$X$509,O364))</f>
        <v>0</v>
      </c>
      <c r="N364" s="40" t="str">
        <f t="shared" si="16"/>
        <v/>
      </c>
      <c r="O364" s="14">
        <f>IF(AND(A364&lt;&gt;"",ISTEXT(A364),COUNTIFS(Processos!$AS$10:$AS$509,"="&amp;SUBSTITUTE(SUBSTITUTE(SUBSTITUTE("P:"&amp;A364,"~","~~"),"*","~*"),"?","~?"))=1),(IF(ISNA(MATCH(SUBSTITUTE(SUBSTITUTE(SUBSTITUTE("P:"&amp;A364,"~","~~"),"*","~*"),"?","~?"),Processos!$AS$10:$AS$509,0)),9,INDEX(Processos!$AM$10:$AM$509,MATCH(SUBSTITUTE(SUBSTITUTE(SUBSTITUTE("P:"&amp;A364,"~","~~"),"*","~*"),"?","~?"),Processos!$AS$10:$AS$509,0)))-9),0)</f>
        <v>0</v>
      </c>
      <c r="P364" s="14" t="str">
        <f>IF(L364=0,"",INDEX(Processos!$D$10:$D$509,O364))</f>
        <v/>
      </c>
      <c r="Q364" s="14">
        <f>IF(OR(L364=0,T364&lt;&gt;"Sim"),0,INDEX(Processos!$AL$10:$AL$509,O364))</f>
        <v>0</v>
      </c>
      <c r="R364" s="14">
        <f>ROW()</f>
        <v>364</v>
      </c>
      <c r="S364" s="14" t="str">
        <f t="shared" si="17"/>
        <v/>
      </c>
      <c r="T364" s="27" t="s">
        <v>1113</v>
      </c>
      <c r="U364" s="28"/>
      <c r="V364" s="28"/>
      <c r="W364" s="28"/>
      <c r="X364" s="28"/>
      <c r="Y364" s="27"/>
      <c r="Z364" s="27"/>
      <c r="AA364" s="27"/>
      <c r="AB364" s="27"/>
    </row>
    <row r="365" spans="1:28" ht="42" customHeight="1">
      <c r="A365" s="41"/>
      <c r="B365" s="42"/>
      <c r="C365" s="42"/>
      <c r="D365" s="42"/>
      <c r="E365" s="42"/>
      <c r="F365" s="42"/>
      <c r="G365" s="42"/>
      <c r="H365" s="45"/>
      <c r="I365" s="44"/>
      <c r="J365" s="43"/>
      <c r="K365" s="44"/>
      <c r="L365" s="14">
        <f t="shared" si="15"/>
        <v>0</v>
      </c>
      <c r="M365" s="14">
        <f>IF(OR(L365=0,T365&lt;&gt;"Sim"),0,INDEX(Processos!$X$10:$X$509,O365))</f>
        <v>0</v>
      </c>
      <c r="N365" s="40" t="str">
        <f t="shared" si="16"/>
        <v/>
      </c>
      <c r="O365" s="14">
        <f>IF(AND(A365&lt;&gt;"",ISTEXT(A365),COUNTIFS(Processos!$AS$10:$AS$509,"="&amp;SUBSTITUTE(SUBSTITUTE(SUBSTITUTE("P:"&amp;A365,"~","~~"),"*","~*"),"?","~?"))=1),(IF(ISNA(MATCH(SUBSTITUTE(SUBSTITUTE(SUBSTITUTE("P:"&amp;A365,"~","~~"),"*","~*"),"?","~?"),Processos!$AS$10:$AS$509,0)),9,INDEX(Processos!$AM$10:$AM$509,MATCH(SUBSTITUTE(SUBSTITUTE(SUBSTITUTE("P:"&amp;A365,"~","~~"),"*","~*"),"?","~?"),Processos!$AS$10:$AS$509,0)))-9),0)</f>
        <v>0</v>
      </c>
      <c r="P365" s="14" t="str">
        <f>IF(L365=0,"",INDEX(Processos!$D$10:$D$509,O365))</f>
        <v/>
      </c>
      <c r="Q365" s="14">
        <f>IF(OR(L365=0,T365&lt;&gt;"Sim"),0,INDEX(Processos!$AL$10:$AL$509,O365))</f>
        <v>0</v>
      </c>
      <c r="R365" s="14">
        <f>ROW()</f>
        <v>365</v>
      </c>
      <c r="S365" s="14" t="str">
        <f t="shared" si="17"/>
        <v/>
      </c>
      <c r="T365" s="27" t="s">
        <v>1113</v>
      </c>
      <c r="U365" s="28"/>
      <c r="V365" s="28"/>
      <c r="W365" s="28"/>
      <c r="X365" s="28"/>
      <c r="Y365" s="27"/>
      <c r="Z365" s="27"/>
      <c r="AA365" s="27"/>
      <c r="AB365" s="27"/>
    </row>
    <row r="366" spans="1:28" ht="42" customHeight="1">
      <c r="A366" s="41"/>
      <c r="B366" s="42"/>
      <c r="C366" s="42"/>
      <c r="D366" s="42"/>
      <c r="E366" s="42"/>
      <c r="F366" s="42"/>
      <c r="G366" s="42"/>
      <c r="H366" s="45"/>
      <c r="I366" s="44"/>
      <c r="J366" s="43"/>
      <c r="K366" s="44"/>
      <c r="L366" s="14">
        <f t="shared" si="15"/>
        <v>0</v>
      </c>
      <c r="M366" s="14">
        <f>IF(OR(L366=0,T366&lt;&gt;"Sim"),0,INDEX(Processos!$X$10:$X$509,O366))</f>
        <v>0</v>
      </c>
      <c r="N366" s="40" t="str">
        <f t="shared" si="16"/>
        <v/>
      </c>
      <c r="O366" s="14">
        <f>IF(AND(A366&lt;&gt;"",ISTEXT(A366),COUNTIFS(Processos!$AS$10:$AS$509,"="&amp;SUBSTITUTE(SUBSTITUTE(SUBSTITUTE("P:"&amp;A366,"~","~~"),"*","~*"),"?","~?"))=1),(IF(ISNA(MATCH(SUBSTITUTE(SUBSTITUTE(SUBSTITUTE("P:"&amp;A366,"~","~~"),"*","~*"),"?","~?"),Processos!$AS$10:$AS$509,0)),9,INDEX(Processos!$AM$10:$AM$509,MATCH(SUBSTITUTE(SUBSTITUTE(SUBSTITUTE("P:"&amp;A366,"~","~~"),"*","~*"),"?","~?"),Processos!$AS$10:$AS$509,0)))-9),0)</f>
        <v>0</v>
      </c>
      <c r="P366" s="14" t="str">
        <f>IF(L366=0,"",INDEX(Processos!$D$10:$D$509,O366))</f>
        <v/>
      </c>
      <c r="Q366" s="14">
        <f>IF(OR(L366=0,T366&lt;&gt;"Sim"),0,INDEX(Processos!$AL$10:$AL$509,O366))</f>
        <v>0</v>
      </c>
      <c r="R366" s="14">
        <f>ROW()</f>
        <v>366</v>
      </c>
      <c r="S366" s="14" t="str">
        <f t="shared" si="17"/>
        <v/>
      </c>
      <c r="T366" s="27" t="s">
        <v>1113</v>
      </c>
      <c r="U366" s="28"/>
      <c r="V366" s="28"/>
      <c r="W366" s="28"/>
      <c r="X366" s="28"/>
      <c r="Y366" s="27"/>
      <c r="Z366" s="27"/>
      <c r="AA366" s="27"/>
      <c r="AB366" s="27"/>
    </row>
    <row r="367" spans="1:28" ht="42" customHeight="1">
      <c r="A367" s="41"/>
      <c r="B367" s="42"/>
      <c r="C367" s="42"/>
      <c r="D367" s="42"/>
      <c r="E367" s="42"/>
      <c r="F367" s="42"/>
      <c r="G367" s="42"/>
      <c r="H367" s="45"/>
      <c r="I367" s="44"/>
      <c r="J367" s="43"/>
      <c r="K367" s="44"/>
      <c r="L367" s="14">
        <f t="shared" si="15"/>
        <v>0</v>
      </c>
      <c r="M367" s="14">
        <f>IF(OR(L367=0,T367&lt;&gt;"Sim"),0,INDEX(Processos!$X$10:$X$509,O367))</f>
        <v>0</v>
      </c>
      <c r="N367" s="40" t="str">
        <f t="shared" si="16"/>
        <v/>
      </c>
      <c r="O367" s="14">
        <f>IF(AND(A367&lt;&gt;"",ISTEXT(A367),COUNTIFS(Processos!$AS$10:$AS$509,"="&amp;SUBSTITUTE(SUBSTITUTE(SUBSTITUTE("P:"&amp;A367,"~","~~"),"*","~*"),"?","~?"))=1),(IF(ISNA(MATCH(SUBSTITUTE(SUBSTITUTE(SUBSTITUTE("P:"&amp;A367,"~","~~"),"*","~*"),"?","~?"),Processos!$AS$10:$AS$509,0)),9,INDEX(Processos!$AM$10:$AM$509,MATCH(SUBSTITUTE(SUBSTITUTE(SUBSTITUTE("P:"&amp;A367,"~","~~"),"*","~*"),"?","~?"),Processos!$AS$10:$AS$509,0)))-9),0)</f>
        <v>0</v>
      </c>
      <c r="P367" s="14" t="str">
        <f>IF(L367=0,"",INDEX(Processos!$D$10:$D$509,O367))</f>
        <v/>
      </c>
      <c r="Q367" s="14">
        <f>IF(OR(L367=0,T367&lt;&gt;"Sim"),0,INDEX(Processos!$AL$10:$AL$509,O367))</f>
        <v>0</v>
      </c>
      <c r="R367" s="14">
        <f>ROW()</f>
        <v>367</v>
      </c>
      <c r="S367" s="14" t="str">
        <f t="shared" si="17"/>
        <v/>
      </c>
      <c r="T367" s="27" t="s">
        <v>1113</v>
      </c>
      <c r="U367" s="28"/>
      <c r="V367" s="28"/>
      <c r="W367" s="28"/>
      <c r="X367" s="28"/>
      <c r="Y367" s="27"/>
      <c r="Z367" s="27"/>
      <c r="AA367" s="27"/>
      <c r="AB367" s="27"/>
    </row>
    <row r="368" spans="1:28" ht="42" customHeight="1">
      <c r="A368" s="41"/>
      <c r="B368" s="42"/>
      <c r="C368" s="42"/>
      <c r="D368" s="42"/>
      <c r="E368" s="42"/>
      <c r="F368" s="42"/>
      <c r="G368" s="42"/>
      <c r="H368" s="45"/>
      <c r="I368" s="44"/>
      <c r="J368" s="43"/>
      <c r="K368" s="44"/>
      <c r="L368" s="14">
        <f t="shared" si="15"/>
        <v>0</v>
      </c>
      <c r="M368" s="14">
        <f>IF(OR(L368=0,T368&lt;&gt;"Sim"),0,INDEX(Processos!$X$10:$X$509,O368))</f>
        <v>0</v>
      </c>
      <c r="N368" s="40" t="str">
        <f t="shared" si="16"/>
        <v/>
      </c>
      <c r="O368" s="14">
        <f>IF(AND(A368&lt;&gt;"",ISTEXT(A368),COUNTIFS(Processos!$AS$10:$AS$509,"="&amp;SUBSTITUTE(SUBSTITUTE(SUBSTITUTE("P:"&amp;A368,"~","~~"),"*","~*"),"?","~?"))=1),(IF(ISNA(MATCH(SUBSTITUTE(SUBSTITUTE(SUBSTITUTE("P:"&amp;A368,"~","~~"),"*","~*"),"?","~?"),Processos!$AS$10:$AS$509,0)),9,INDEX(Processos!$AM$10:$AM$509,MATCH(SUBSTITUTE(SUBSTITUTE(SUBSTITUTE("P:"&amp;A368,"~","~~"),"*","~*"),"?","~?"),Processos!$AS$10:$AS$509,0)))-9),0)</f>
        <v>0</v>
      </c>
      <c r="P368" s="14" t="str">
        <f>IF(L368=0,"",INDEX(Processos!$D$10:$D$509,O368))</f>
        <v/>
      </c>
      <c r="Q368" s="14">
        <f>IF(OR(L368=0,T368&lt;&gt;"Sim"),0,INDEX(Processos!$AL$10:$AL$509,O368))</f>
        <v>0</v>
      </c>
      <c r="R368" s="14">
        <f>ROW()</f>
        <v>368</v>
      </c>
      <c r="S368" s="14" t="str">
        <f t="shared" si="17"/>
        <v/>
      </c>
      <c r="T368" s="27" t="s">
        <v>1113</v>
      </c>
      <c r="U368" s="28"/>
      <c r="V368" s="28"/>
      <c r="W368" s="28"/>
      <c r="X368" s="28"/>
      <c r="Y368" s="27"/>
      <c r="Z368" s="27"/>
      <c r="AA368" s="27"/>
      <c r="AB368" s="27"/>
    </row>
    <row r="369" spans="1:28" ht="42" customHeight="1">
      <c r="A369" s="41"/>
      <c r="B369" s="42"/>
      <c r="C369" s="42"/>
      <c r="D369" s="42"/>
      <c r="E369" s="42"/>
      <c r="F369" s="42"/>
      <c r="G369" s="42"/>
      <c r="H369" s="45"/>
      <c r="I369" s="44"/>
      <c r="J369" s="43"/>
      <c r="K369" s="44"/>
      <c r="L369" s="14">
        <f t="shared" si="15"/>
        <v>0</v>
      </c>
      <c r="M369" s="14">
        <f>IF(OR(L369=0,T369&lt;&gt;"Sim"),0,INDEX(Processos!$X$10:$X$509,O369))</f>
        <v>0</v>
      </c>
      <c r="N369" s="40" t="str">
        <f t="shared" si="16"/>
        <v/>
      </c>
      <c r="O369" s="14">
        <f>IF(AND(A369&lt;&gt;"",ISTEXT(A369),COUNTIFS(Processos!$AS$10:$AS$509,"="&amp;SUBSTITUTE(SUBSTITUTE(SUBSTITUTE("P:"&amp;A369,"~","~~"),"*","~*"),"?","~?"))=1),(IF(ISNA(MATCH(SUBSTITUTE(SUBSTITUTE(SUBSTITUTE("P:"&amp;A369,"~","~~"),"*","~*"),"?","~?"),Processos!$AS$10:$AS$509,0)),9,INDEX(Processos!$AM$10:$AM$509,MATCH(SUBSTITUTE(SUBSTITUTE(SUBSTITUTE("P:"&amp;A369,"~","~~"),"*","~*"),"?","~?"),Processos!$AS$10:$AS$509,0)))-9),0)</f>
        <v>0</v>
      </c>
      <c r="P369" s="14" t="str">
        <f>IF(L369=0,"",INDEX(Processos!$D$10:$D$509,O369))</f>
        <v/>
      </c>
      <c r="Q369" s="14">
        <f>IF(OR(L369=0,T369&lt;&gt;"Sim"),0,INDEX(Processos!$AL$10:$AL$509,O369))</f>
        <v>0</v>
      </c>
      <c r="R369" s="14">
        <f>ROW()</f>
        <v>369</v>
      </c>
      <c r="S369" s="14" t="str">
        <f t="shared" si="17"/>
        <v/>
      </c>
      <c r="T369" s="27" t="s">
        <v>1113</v>
      </c>
      <c r="U369" s="28"/>
      <c r="V369" s="28"/>
      <c r="W369" s="28"/>
      <c r="X369" s="28"/>
      <c r="Y369" s="27"/>
      <c r="Z369" s="27"/>
      <c r="AA369" s="27"/>
      <c r="AB369" s="27"/>
    </row>
    <row r="370" spans="1:28" ht="42" customHeight="1">
      <c r="A370" s="41"/>
      <c r="B370" s="42"/>
      <c r="C370" s="42"/>
      <c r="D370" s="42"/>
      <c r="E370" s="42"/>
      <c r="F370" s="42"/>
      <c r="G370" s="42"/>
      <c r="H370" s="45"/>
      <c r="I370" s="44"/>
      <c r="J370" s="43"/>
      <c r="K370" s="44"/>
      <c r="L370" s="14">
        <f t="shared" si="15"/>
        <v>0</v>
      </c>
      <c r="M370" s="14">
        <f>IF(OR(L370=0,T370&lt;&gt;"Sim"),0,INDEX(Processos!$X$10:$X$509,O370))</f>
        <v>0</v>
      </c>
      <c r="N370" s="40" t="str">
        <f t="shared" si="16"/>
        <v/>
      </c>
      <c r="O370" s="14">
        <f>IF(AND(A370&lt;&gt;"",ISTEXT(A370),COUNTIFS(Processos!$AS$10:$AS$509,"="&amp;SUBSTITUTE(SUBSTITUTE(SUBSTITUTE("P:"&amp;A370,"~","~~"),"*","~*"),"?","~?"))=1),(IF(ISNA(MATCH(SUBSTITUTE(SUBSTITUTE(SUBSTITUTE("P:"&amp;A370,"~","~~"),"*","~*"),"?","~?"),Processos!$AS$10:$AS$509,0)),9,INDEX(Processos!$AM$10:$AM$509,MATCH(SUBSTITUTE(SUBSTITUTE(SUBSTITUTE("P:"&amp;A370,"~","~~"),"*","~*"),"?","~?"),Processos!$AS$10:$AS$509,0)))-9),0)</f>
        <v>0</v>
      </c>
      <c r="P370" s="14" t="str">
        <f>IF(L370=0,"",INDEX(Processos!$D$10:$D$509,O370))</f>
        <v/>
      </c>
      <c r="Q370" s="14">
        <f>IF(OR(L370=0,T370&lt;&gt;"Sim"),0,INDEX(Processos!$AL$10:$AL$509,O370))</f>
        <v>0</v>
      </c>
      <c r="R370" s="14">
        <f>ROW()</f>
        <v>370</v>
      </c>
      <c r="S370" s="14" t="str">
        <f t="shared" si="17"/>
        <v/>
      </c>
      <c r="T370" s="27" t="s">
        <v>1113</v>
      </c>
      <c r="U370" s="28"/>
      <c r="V370" s="28"/>
      <c r="W370" s="28"/>
      <c r="X370" s="28"/>
      <c r="Y370" s="27"/>
      <c r="Z370" s="27"/>
      <c r="AA370" s="27"/>
      <c r="AB370" s="27"/>
    </row>
    <row r="371" spans="1:28" ht="42" customHeight="1">
      <c r="A371" s="41"/>
      <c r="B371" s="42"/>
      <c r="C371" s="42"/>
      <c r="D371" s="42"/>
      <c r="E371" s="42"/>
      <c r="F371" s="42"/>
      <c r="G371" s="42"/>
      <c r="H371" s="45"/>
      <c r="I371" s="44"/>
      <c r="J371" s="43"/>
      <c r="K371" s="44"/>
      <c r="L371" s="14">
        <f t="shared" si="15"/>
        <v>0</v>
      </c>
      <c r="M371" s="14">
        <f>IF(OR(L371=0,T371&lt;&gt;"Sim"),0,INDEX(Processos!$X$10:$X$509,O371))</f>
        <v>0</v>
      </c>
      <c r="N371" s="40" t="str">
        <f t="shared" si="16"/>
        <v/>
      </c>
      <c r="O371" s="14">
        <f>IF(AND(A371&lt;&gt;"",ISTEXT(A371),COUNTIFS(Processos!$AS$10:$AS$509,"="&amp;SUBSTITUTE(SUBSTITUTE(SUBSTITUTE("P:"&amp;A371,"~","~~"),"*","~*"),"?","~?"))=1),(IF(ISNA(MATCH(SUBSTITUTE(SUBSTITUTE(SUBSTITUTE("P:"&amp;A371,"~","~~"),"*","~*"),"?","~?"),Processos!$AS$10:$AS$509,0)),9,INDEX(Processos!$AM$10:$AM$509,MATCH(SUBSTITUTE(SUBSTITUTE(SUBSTITUTE("P:"&amp;A371,"~","~~"),"*","~*"),"?","~?"),Processos!$AS$10:$AS$509,0)))-9),0)</f>
        <v>0</v>
      </c>
      <c r="P371" s="14" t="str">
        <f>IF(L371=0,"",INDEX(Processos!$D$10:$D$509,O371))</f>
        <v/>
      </c>
      <c r="Q371" s="14">
        <f>IF(OR(L371=0,T371&lt;&gt;"Sim"),0,INDEX(Processos!$AL$10:$AL$509,O371))</f>
        <v>0</v>
      </c>
      <c r="R371" s="14">
        <f>ROW()</f>
        <v>371</v>
      </c>
      <c r="S371" s="14" t="str">
        <f t="shared" si="17"/>
        <v/>
      </c>
      <c r="T371" s="27" t="s">
        <v>1113</v>
      </c>
      <c r="U371" s="28"/>
      <c r="V371" s="28"/>
      <c r="W371" s="28"/>
      <c r="X371" s="28"/>
      <c r="Y371" s="27"/>
      <c r="Z371" s="27"/>
      <c r="AA371" s="27"/>
      <c r="AB371" s="27"/>
    </row>
    <row r="372" spans="1:28" ht="42" customHeight="1">
      <c r="A372" s="41"/>
      <c r="B372" s="42"/>
      <c r="C372" s="42"/>
      <c r="D372" s="42"/>
      <c r="E372" s="42"/>
      <c r="F372" s="42"/>
      <c r="G372" s="42"/>
      <c r="H372" s="45"/>
      <c r="I372" s="44"/>
      <c r="J372" s="43"/>
      <c r="K372" s="44"/>
      <c r="L372" s="14">
        <f t="shared" si="15"/>
        <v>0</v>
      </c>
      <c r="M372" s="14">
        <f>IF(OR(L372=0,T372&lt;&gt;"Sim"),0,INDEX(Processos!$X$10:$X$509,O372))</f>
        <v>0</v>
      </c>
      <c r="N372" s="40" t="str">
        <f t="shared" si="16"/>
        <v/>
      </c>
      <c r="O372" s="14">
        <f>IF(AND(A372&lt;&gt;"",ISTEXT(A372),COUNTIFS(Processos!$AS$10:$AS$509,"="&amp;SUBSTITUTE(SUBSTITUTE(SUBSTITUTE("P:"&amp;A372,"~","~~"),"*","~*"),"?","~?"))=1),(IF(ISNA(MATCH(SUBSTITUTE(SUBSTITUTE(SUBSTITUTE("P:"&amp;A372,"~","~~"),"*","~*"),"?","~?"),Processos!$AS$10:$AS$509,0)),9,INDEX(Processos!$AM$10:$AM$509,MATCH(SUBSTITUTE(SUBSTITUTE(SUBSTITUTE("P:"&amp;A372,"~","~~"),"*","~*"),"?","~?"),Processos!$AS$10:$AS$509,0)))-9),0)</f>
        <v>0</v>
      </c>
      <c r="P372" s="14" t="str">
        <f>IF(L372=0,"",INDEX(Processos!$D$10:$D$509,O372))</f>
        <v/>
      </c>
      <c r="Q372" s="14">
        <f>IF(OR(L372=0,T372&lt;&gt;"Sim"),0,INDEX(Processos!$AL$10:$AL$509,O372))</f>
        <v>0</v>
      </c>
      <c r="R372" s="14">
        <f>ROW()</f>
        <v>372</v>
      </c>
      <c r="S372" s="14" t="str">
        <f t="shared" si="17"/>
        <v/>
      </c>
      <c r="T372" s="27" t="s">
        <v>1113</v>
      </c>
      <c r="U372" s="28"/>
      <c r="V372" s="28"/>
      <c r="W372" s="28"/>
      <c r="X372" s="28"/>
      <c r="Y372" s="27"/>
      <c r="Z372" s="27"/>
      <c r="AA372" s="27"/>
      <c r="AB372" s="27"/>
    </row>
    <row r="373" spans="1:28" ht="42" customHeight="1">
      <c r="A373" s="41"/>
      <c r="B373" s="42"/>
      <c r="C373" s="42"/>
      <c r="D373" s="42"/>
      <c r="E373" s="42"/>
      <c r="F373" s="42"/>
      <c r="G373" s="42"/>
      <c r="H373" s="45"/>
      <c r="I373" s="44"/>
      <c r="J373" s="43"/>
      <c r="K373" s="44"/>
      <c r="L373" s="14">
        <f t="shared" si="15"/>
        <v>0</v>
      </c>
      <c r="M373" s="14">
        <f>IF(OR(L373=0,T373&lt;&gt;"Sim"),0,INDEX(Processos!$X$10:$X$509,O373))</f>
        <v>0</v>
      </c>
      <c r="N373" s="40" t="str">
        <f t="shared" si="16"/>
        <v/>
      </c>
      <c r="O373" s="14">
        <f>IF(AND(A373&lt;&gt;"",ISTEXT(A373),COUNTIFS(Processos!$AS$10:$AS$509,"="&amp;SUBSTITUTE(SUBSTITUTE(SUBSTITUTE("P:"&amp;A373,"~","~~"),"*","~*"),"?","~?"))=1),(IF(ISNA(MATCH(SUBSTITUTE(SUBSTITUTE(SUBSTITUTE("P:"&amp;A373,"~","~~"),"*","~*"),"?","~?"),Processos!$AS$10:$AS$509,0)),9,INDEX(Processos!$AM$10:$AM$509,MATCH(SUBSTITUTE(SUBSTITUTE(SUBSTITUTE("P:"&amp;A373,"~","~~"),"*","~*"),"?","~?"),Processos!$AS$10:$AS$509,0)))-9),0)</f>
        <v>0</v>
      </c>
      <c r="P373" s="14" t="str">
        <f>IF(L373=0,"",INDEX(Processos!$D$10:$D$509,O373))</f>
        <v/>
      </c>
      <c r="Q373" s="14">
        <f>IF(OR(L373=0,T373&lt;&gt;"Sim"),0,INDEX(Processos!$AL$10:$AL$509,O373))</f>
        <v>0</v>
      </c>
      <c r="R373" s="14">
        <f>ROW()</f>
        <v>373</v>
      </c>
      <c r="S373" s="14" t="str">
        <f t="shared" si="17"/>
        <v/>
      </c>
      <c r="T373" s="27" t="s">
        <v>1113</v>
      </c>
      <c r="U373" s="28"/>
      <c r="V373" s="28"/>
      <c r="W373" s="28"/>
      <c r="X373" s="28"/>
      <c r="Y373" s="27"/>
      <c r="Z373" s="27"/>
      <c r="AA373" s="27"/>
      <c r="AB373" s="27"/>
    </row>
    <row r="374" spans="1:28" ht="42" customHeight="1">
      <c r="A374" s="41"/>
      <c r="B374" s="42"/>
      <c r="C374" s="42"/>
      <c r="D374" s="42"/>
      <c r="E374" s="42"/>
      <c r="F374" s="42"/>
      <c r="G374" s="42"/>
      <c r="H374" s="45"/>
      <c r="I374" s="44"/>
      <c r="J374" s="43"/>
      <c r="K374" s="44"/>
      <c r="L374" s="14">
        <f t="shared" si="15"/>
        <v>0</v>
      </c>
      <c r="M374" s="14">
        <f>IF(OR(L374=0,T374&lt;&gt;"Sim"),0,INDEX(Processos!$X$10:$X$509,O374))</f>
        <v>0</v>
      </c>
      <c r="N374" s="40" t="str">
        <f t="shared" si="16"/>
        <v/>
      </c>
      <c r="O374" s="14">
        <f>IF(AND(A374&lt;&gt;"",ISTEXT(A374),COUNTIFS(Processos!$AS$10:$AS$509,"="&amp;SUBSTITUTE(SUBSTITUTE(SUBSTITUTE("P:"&amp;A374,"~","~~"),"*","~*"),"?","~?"))=1),(IF(ISNA(MATCH(SUBSTITUTE(SUBSTITUTE(SUBSTITUTE("P:"&amp;A374,"~","~~"),"*","~*"),"?","~?"),Processos!$AS$10:$AS$509,0)),9,INDEX(Processos!$AM$10:$AM$509,MATCH(SUBSTITUTE(SUBSTITUTE(SUBSTITUTE("P:"&amp;A374,"~","~~"),"*","~*"),"?","~?"),Processos!$AS$10:$AS$509,0)))-9),0)</f>
        <v>0</v>
      </c>
      <c r="P374" s="14" t="str">
        <f>IF(L374=0,"",INDEX(Processos!$D$10:$D$509,O374))</f>
        <v/>
      </c>
      <c r="Q374" s="14">
        <f>IF(OR(L374=0,T374&lt;&gt;"Sim"),0,INDEX(Processos!$AL$10:$AL$509,O374))</f>
        <v>0</v>
      </c>
      <c r="R374" s="14">
        <f>ROW()</f>
        <v>374</v>
      </c>
      <c r="S374" s="14" t="str">
        <f t="shared" si="17"/>
        <v/>
      </c>
      <c r="T374" s="27" t="s">
        <v>1113</v>
      </c>
      <c r="U374" s="28"/>
      <c r="V374" s="28"/>
      <c r="W374" s="28"/>
      <c r="X374" s="28"/>
      <c r="Y374" s="27"/>
      <c r="Z374" s="27"/>
      <c r="AA374" s="27"/>
      <c r="AB374" s="27"/>
    </row>
    <row r="375" spans="1:28" ht="42" customHeight="1">
      <c r="A375" s="41"/>
      <c r="B375" s="42"/>
      <c r="C375" s="42"/>
      <c r="D375" s="42"/>
      <c r="E375" s="42"/>
      <c r="F375" s="42"/>
      <c r="G375" s="42"/>
      <c r="H375" s="45"/>
      <c r="I375" s="44"/>
      <c r="J375" s="43"/>
      <c r="K375" s="44"/>
      <c r="L375" s="14">
        <f t="shared" si="15"/>
        <v>0</v>
      </c>
      <c r="M375" s="14">
        <f>IF(OR(L375=0,T375&lt;&gt;"Sim"),0,INDEX(Processos!$X$10:$X$509,O375))</f>
        <v>0</v>
      </c>
      <c r="N375" s="40" t="str">
        <f t="shared" si="16"/>
        <v/>
      </c>
      <c r="O375" s="14">
        <f>IF(AND(A375&lt;&gt;"",ISTEXT(A375),COUNTIFS(Processos!$AS$10:$AS$509,"="&amp;SUBSTITUTE(SUBSTITUTE(SUBSTITUTE("P:"&amp;A375,"~","~~"),"*","~*"),"?","~?"))=1),(IF(ISNA(MATCH(SUBSTITUTE(SUBSTITUTE(SUBSTITUTE("P:"&amp;A375,"~","~~"),"*","~*"),"?","~?"),Processos!$AS$10:$AS$509,0)),9,INDEX(Processos!$AM$10:$AM$509,MATCH(SUBSTITUTE(SUBSTITUTE(SUBSTITUTE("P:"&amp;A375,"~","~~"),"*","~*"),"?","~?"),Processos!$AS$10:$AS$509,0)))-9),0)</f>
        <v>0</v>
      </c>
      <c r="P375" s="14" t="str">
        <f>IF(L375=0,"",INDEX(Processos!$D$10:$D$509,O375))</f>
        <v/>
      </c>
      <c r="Q375" s="14">
        <f>IF(OR(L375=0,T375&lt;&gt;"Sim"),0,INDEX(Processos!$AL$10:$AL$509,O375))</f>
        <v>0</v>
      </c>
      <c r="R375" s="14">
        <f>ROW()</f>
        <v>375</v>
      </c>
      <c r="S375" s="14" t="str">
        <f t="shared" si="17"/>
        <v/>
      </c>
      <c r="T375" s="27" t="s">
        <v>1113</v>
      </c>
      <c r="U375" s="28"/>
      <c r="V375" s="28"/>
      <c r="W375" s="28"/>
      <c r="X375" s="28"/>
      <c r="Y375" s="27"/>
      <c r="Z375" s="27"/>
      <c r="AA375" s="27"/>
      <c r="AB375" s="27"/>
    </row>
    <row r="376" spans="1:28" ht="42" customHeight="1">
      <c r="A376" s="41"/>
      <c r="B376" s="42"/>
      <c r="C376" s="42"/>
      <c r="D376" s="42"/>
      <c r="E376" s="42"/>
      <c r="F376" s="42"/>
      <c r="G376" s="42"/>
      <c r="H376" s="45"/>
      <c r="I376" s="44"/>
      <c r="J376" s="43"/>
      <c r="K376" s="44"/>
      <c r="L376" s="14">
        <f t="shared" si="15"/>
        <v>0</v>
      </c>
      <c r="M376" s="14">
        <f>IF(OR(L376=0,T376&lt;&gt;"Sim"),0,INDEX(Processos!$X$10:$X$509,O376))</f>
        <v>0</v>
      </c>
      <c r="N376" s="40" t="str">
        <f t="shared" si="16"/>
        <v/>
      </c>
      <c r="O376" s="14">
        <f>IF(AND(A376&lt;&gt;"",ISTEXT(A376),COUNTIFS(Processos!$AS$10:$AS$509,"="&amp;SUBSTITUTE(SUBSTITUTE(SUBSTITUTE("P:"&amp;A376,"~","~~"),"*","~*"),"?","~?"))=1),(IF(ISNA(MATCH(SUBSTITUTE(SUBSTITUTE(SUBSTITUTE("P:"&amp;A376,"~","~~"),"*","~*"),"?","~?"),Processos!$AS$10:$AS$509,0)),9,INDEX(Processos!$AM$10:$AM$509,MATCH(SUBSTITUTE(SUBSTITUTE(SUBSTITUTE("P:"&amp;A376,"~","~~"),"*","~*"),"?","~?"),Processos!$AS$10:$AS$509,0)))-9),0)</f>
        <v>0</v>
      </c>
      <c r="P376" s="14" t="str">
        <f>IF(L376=0,"",INDEX(Processos!$D$10:$D$509,O376))</f>
        <v/>
      </c>
      <c r="Q376" s="14">
        <f>IF(OR(L376=0,T376&lt;&gt;"Sim"),0,INDEX(Processos!$AL$10:$AL$509,O376))</f>
        <v>0</v>
      </c>
      <c r="R376" s="14">
        <f>ROW()</f>
        <v>376</v>
      </c>
      <c r="S376" s="14" t="str">
        <f t="shared" si="17"/>
        <v/>
      </c>
      <c r="T376" s="27" t="s">
        <v>1113</v>
      </c>
      <c r="U376" s="28"/>
      <c r="V376" s="28"/>
      <c r="W376" s="28"/>
      <c r="X376" s="28"/>
      <c r="Y376" s="27"/>
      <c r="Z376" s="27"/>
      <c r="AA376" s="27"/>
      <c r="AB376" s="27"/>
    </row>
    <row r="377" spans="1:28" ht="42" customHeight="1">
      <c r="A377" s="41"/>
      <c r="B377" s="42"/>
      <c r="C377" s="42"/>
      <c r="D377" s="42"/>
      <c r="E377" s="42"/>
      <c r="F377" s="42"/>
      <c r="G377" s="42"/>
      <c r="H377" s="45"/>
      <c r="I377" s="44"/>
      <c r="J377" s="43"/>
      <c r="K377" s="44"/>
      <c r="L377" s="14">
        <f t="shared" si="15"/>
        <v>0</v>
      </c>
      <c r="M377" s="14">
        <f>IF(OR(L377=0,T377&lt;&gt;"Sim"),0,INDEX(Processos!$X$10:$X$509,O377))</f>
        <v>0</v>
      </c>
      <c r="N377" s="40" t="str">
        <f t="shared" si="16"/>
        <v/>
      </c>
      <c r="O377" s="14">
        <f>IF(AND(A377&lt;&gt;"",ISTEXT(A377),COUNTIFS(Processos!$AS$10:$AS$509,"="&amp;SUBSTITUTE(SUBSTITUTE(SUBSTITUTE("P:"&amp;A377,"~","~~"),"*","~*"),"?","~?"))=1),(IF(ISNA(MATCH(SUBSTITUTE(SUBSTITUTE(SUBSTITUTE("P:"&amp;A377,"~","~~"),"*","~*"),"?","~?"),Processos!$AS$10:$AS$509,0)),9,INDEX(Processos!$AM$10:$AM$509,MATCH(SUBSTITUTE(SUBSTITUTE(SUBSTITUTE("P:"&amp;A377,"~","~~"),"*","~*"),"?","~?"),Processos!$AS$10:$AS$509,0)))-9),0)</f>
        <v>0</v>
      </c>
      <c r="P377" s="14" t="str">
        <f>IF(L377=0,"",INDEX(Processos!$D$10:$D$509,O377))</f>
        <v/>
      </c>
      <c r="Q377" s="14">
        <f>IF(OR(L377=0,T377&lt;&gt;"Sim"),0,INDEX(Processos!$AL$10:$AL$509,O377))</f>
        <v>0</v>
      </c>
      <c r="R377" s="14">
        <f>ROW()</f>
        <v>377</v>
      </c>
      <c r="S377" s="14" t="str">
        <f t="shared" si="17"/>
        <v/>
      </c>
      <c r="T377" s="27" t="s">
        <v>1113</v>
      </c>
      <c r="U377" s="28"/>
      <c r="V377" s="28"/>
      <c r="W377" s="28"/>
      <c r="X377" s="28"/>
      <c r="Y377" s="27"/>
      <c r="Z377" s="27"/>
      <c r="AA377" s="27"/>
      <c r="AB377" s="27"/>
    </row>
    <row r="378" spans="1:28" ht="42" customHeight="1">
      <c r="A378" s="41"/>
      <c r="B378" s="42"/>
      <c r="C378" s="42"/>
      <c r="D378" s="42"/>
      <c r="E378" s="42"/>
      <c r="F378" s="42"/>
      <c r="G378" s="42"/>
      <c r="H378" s="45"/>
      <c r="I378" s="44"/>
      <c r="J378" s="43"/>
      <c r="K378" s="44"/>
      <c r="L378" s="14">
        <f t="shared" si="15"/>
        <v>0</v>
      </c>
      <c r="M378" s="14">
        <f>IF(OR(L378=0,T378&lt;&gt;"Sim"),0,INDEX(Processos!$X$10:$X$509,O378))</f>
        <v>0</v>
      </c>
      <c r="N378" s="40" t="str">
        <f t="shared" si="16"/>
        <v/>
      </c>
      <c r="O378" s="14">
        <f>IF(AND(A378&lt;&gt;"",ISTEXT(A378),COUNTIFS(Processos!$AS$10:$AS$509,"="&amp;SUBSTITUTE(SUBSTITUTE(SUBSTITUTE("P:"&amp;A378,"~","~~"),"*","~*"),"?","~?"))=1),(IF(ISNA(MATCH(SUBSTITUTE(SUBSTITUTE(SUBSTITUTE("P:"&amp;A378,"~","~~"),"*","~*"),"?","~?"),Processos!$AS$10:$AS$509,0)),9,INDEX(Processos!$AM$10:$AM$509,MATCH(SUBSTITUTE(SUBSTITUTE(SUBSTITUTE("P:"&amp;A378,"~","~~"),"*","~*"),"?","~?"),Processos!$AS$10:$AS$509,0)))-9),0)</f>
        <v>0</v>
      </c>
      <c r="P378" s="14" t="str">
        <f>IF(L378=0,"",INDEX(Processos!$D$10:$D$509,O378))</f>
        <v/>
      </c>
      <c r="Q378" s="14">
        <f>IF(OR(L378=0,T378&lt;&gt;"Sim"),0,INDEX(Processos!$AL$10:$AL$509,O378))</f>
        <v>0</v>
      </c>
      <c r="R378" s="14">
        <f>ROW()</f>
        <v>378</v>
      </c>
      <c r="S378" s="14" t="str">
        <f t="shared" si="17"/>
        <v/>
      </c>
      <c r="T378" s="27" t="s">
        <v>1113</v>
      </c>
      <c r="U378" s="28"/>
      <c r="V378" s="28"/>
      <c r="W378" s="28"/>
      <c r="X378" s="28"/>
      <c r="Y378" s="27"/>
      <c r="Z378" s="27"/>
      <c r="AA378" s="27"/>
      <c r="AB378" s="27"/>
    </row>
    <row r="379" spans="1:28" ht="42" customHeight="1">
      <c r="A379" s="41"/>
      <c r="B379" s="42"/>
      <c r="C379" s="42"/>
      <c r="D379" s="42"/>
      <c r="E379" s="42"/>
      <c r="F379" s="42"/>
      <c r="G379" s="42"/>
      <c r="H379" s="45"/>
      <c r="I379" s="44"/>
      <c r="J379" s="43"/>
      <c r="K379" s="44"/>
      <c r="L379" s="14">
        <f t="shared" si="15"/>
        <v>0</v>
      </c>
      <c r="M379" s="14">
        <f>IF(OR(L379=0,T379&lt;&gt;"Sim"),0,INDEX(Processos!$X$10:$X$509,O379))</f>
        <v>0</v>
      </c>
      <c r="N379" s="40" t="str">
        <f t="shared" si="16"/>
        <v/>
      </c>
      <c r="O379" s="14">
        <f>IF(AND(A379&lt;&gt;"",ISTEXT(A379),COUNTIFS(Processos!$AS$10:$AS$509,"="&amp;SUBSTITUTE(SUBSTITUTE(SUBSTITUTE("P:"&amp;A379,"~","~~"),"*","~*"),"?","~?"))=1),(IF(ISNA(MATCH(SUBSTITUTE(SUBSTITUTE(SUBSTITUTE("P:"&amp;A379,"~","~~"),"*","~*"),"?","~?"),Processos!$AS$10:$AS$509,0)),9,INDEX(Processos!$AM$10:$AM$509,MATCH(SUBSTITUTE(SUBSTITUTE(SUBSTITUTE("P:"&amp;A379,"~","~~"),"*","~*"),"?","~?"),Processos!$AS$10:$AS$509,0)))-9),0)</f>
        <v>0</v>
      </c>
      <c r="P379" s="14" t="str">
        <f>IF(L379=0,"",INDEX(Processos!$D$10:$D$509,O379))</f>
        <v/>
      </c>
      <c r="Q379" s="14">
        <f>IF(OR(L379=0,T379&lt;&gt;"Sim"),0,INDEX(Processos!$AL$10:$AL$509,O379))</f>
        <v>0</v>
      </c>
      <c r="R379" s="14">
        <f>ROW()</f>
        <v>379</v>
      </c>
      <c r="S379" s="14" t="str">
        <f t="shared" si="17"/>
        <v/>
      </c>
      <c r="T379" s="27" t="s">
        <v>1113</v>
      </c>
      <c r="U379" s="28"/>
      <c r="V379" s="28"/>
      <c r="W379" s="28"/>
      <c r="X379" s="28"/>
      <c r="Y379" s="27"/>
      <c r="Z379" s="27"/>
      <c r="AA379" s="27"/>
      <c r="AB379" s="27"/>
    </row>
    <row r="380" spans="1:28" ht="42" customHeight="1">
      <c r="A380" s="41"/>
      <c r="B380" s="42"/>
      <c r="C380" s="42"/>
      <c r="D380" s="42"/>
      <c r="E380" s="42"/>
      <c r="F380" s="42"/>
      <c r="G380" s="42"/>
      <c r="H380" s="45"/>
      <c r="I380" s="44"/>
      <c r="J380" s="43"/>
      <c r="K380" s="44"/>
      <c r="L380" s="14">
        <f t="shared" si="15"/>
        <v>0</v>
      </c>
      <c r="M380" s="14">
        <f>IF(OR(L380=0,T380&lt;&gt;"Sim"),0,INDEX(Processos!$X$10:$X$509,O380))</f>
        <v>0</v>
      </c>
      <c r="N380" s="40" t="str">
        <f t="shared" si="16"/>
        <v/>
      </c>
      <c r="O380" s="14">
        <f>IF(AND(A380&lt;&gt;"",ISTEXT(A380),COUNTIFS(Processos!$AS$10:$AS$509,"="&amp;SUBSTITUTE(SUBSTITUTE(SUBSTITUTE("P:"&amp;A380,"~","~~"),"*","~*"),"?","~?"))=1),(IF(ISNA(MATCH(SUBSTITUTE(SUBSTITUTE(SUBSTITUTE("P:"&amp;A380,"~","~~"),"*","~*"),"?","~?"),Processos!$AS$10:$AS$509,0)),9,INDEX(Processos!$AM$10:$AM$509,MATCH(SUBSTITUTE(SUBSTITUTE(SUBSTITUTE("P:"&amp;A380,"~","~~"),"*","~*"),"?","~?"),Processos!$AS$10:$AS$509,0)))-9),0)</f>
        <v>0</v>
      </c>
      <c r="P380" s="14" t="str">
        <f>IF(L380=0,"",INDEX(Processos!$D$10:$D$509,O380))</f>
        <v/>
      </c>
      <c r="Q380" s="14">
        <f>IF(OR(L380=0,T380&lt;&gt;"Sim"),0,INDEX(Processos!$AL$10:$AL$509,O380))</f>
        <v>0</v>
      </c>
      <c r="R380" s="14">
        <f>ROW()</f>
        <v>380</v>
      </c>
      <c r="S380" s="14" t="str">
        <f t="shared" si="17"/>
        <v/>
      </c>
      <c r="T380" s="27" t="s">
        <v>1113</v>
      </c>
      <c r="U380" s="28"/>
      <c r="V380" s="28"/>
      <c r="W380" s="28"/>
      <c r="X380" s="28"/>
      <c r="Y380" s="27"/>
      <c r="Z380" s="27"/>
      <c r="AA380" s="27"/>
      <c r="AB380" s="27"/>
    </row>
    <row r="381" spans="1:28" ht="42" customHeight="1">
      <c r="A381" s="41"/>
      <c r="B381" s="42"/>
      <c r="C381" s="42"/>
      <c r="D381" s="42"/>
      <c r="E381" s="42"/>
      <c r="F381" s="42"/>
      <c r="G381" s="42"/>
      <c r="H381" s="45"/>
      <c r="I381" s="44"/>
      <c r="J381" s="43"/>
      <c r="K381" s="44"/>
      <c r="L381" s="14">
        <f t="shared" si="15"/>
        <v>0</v>
      </c>
      <c r="M381" s="14">
        <f>IF(OR(L381=0,T381&lt;&gt;"Sim"),0,INDEX(Processos!$X$10:$X$509,O381))</f>
        <v>0</v>
      </c>
      <c r="N381" s="40" t="str">
        <f t="shared" si="16"/>
        <v/>
      </c>
      <c r="O381" s="14">
        <f>IF(AND(A381&lt;&gt;"",ISTEXT(A381),COUNTIFS(Processos!$AS$10:$AS$509,"="&amp;SUBSTITUTE(SUBSTITUTE(SUBSTITUTE("P:"&amp;A381,"~","~~"),"*","~*"),"?","~?"))=1),(IF(ISNA(MATCH(SUBSTITUTE(SUBSTITUTE(SUBSTITUTE("P:"&amp;A381,"~","~~"),"*","~*"),"?","~?"),Processos!$AS$10:$AS$509,0)),9,INDEX(Processos!$AM$10:$AM$509,MATCH(SUBSTITUTE(SUBSTITUTE(SUBSTITUTE("P:"&amp;A381,"~","~~"),"*","~*"),"?","~?"),Processos!$AS$10:$AS$509,0)))-9),0)</f>
        <v>0</v>
      </c>
      <c r="P381" s="14" t="str">
        <f>IF(L381=0,"",INDEX(Processos!$D$10:$D$509,O381))</f>
        <v/>
      </c>
      <c r="Q381" s="14">
        <f>IF(OR(L381=0,T381&lt;&gt;"Sim"),0,INDEX(Processos!$AL$10:$AL$509,O381))</f>
        <v>0</v>
      </c>
      <c r="R381" s="14">
        <f>ROW()</f>
        <v>381</v>
      </c>
      <c r="S381" s="14" t="str">
        <f t="shared" si="17"/>
        <v/>
      </c>
      <c r="T381" s="27" t="s">
        <v>1113</v>
      </c>
      <c r="U381" s="28"/>
      <c r="V381" s="28"/>
      <c r="W381" s="28"/>
      <c r="X381" s="28"/>
      <c r="Y381" s="27"/>
      <c r="Z381" s="27"/>
      <c r="AA381" s="27"/>
      <c r="AB381" s="27"/>
    </row>
    <row r="382" spans="1:28" ht="42" customHeight="1">
      <c r="A382" s="41"/>
      <c r="B382" s="42"/>
      <c r="C382" s="42"/>
      <c r="D382" s="42"/>
      <c r="E382" s="42"/>
      <c r="F382" s="42"/>
      <c r="G382" s="42"/>
      <c r="H382" s="45"/>
      <c r="I382" s="44"/>
      <c r="J382" s="43"/>
      <c r="K382" s="44"/>
      <c r="L382" s="14">
        <f t="shared" si="15"/>
        <v>0</v>
      </c>
      <c r="M382" s="14">
        <f>IF(OR(L382=0,T382&lt;&gt;"Sim"),0,INDEX(Processos!$X$10:$X$509,O382))</f>
        <v>0</v>
      </c>
      <c r="N382" s="40" t="str">
        <f t="shared" si="16"/>
        <v/>
      </c>
      <c r="O382" s="14">
        <f>IF(AND(A382&lt;&gt;"",ISTEXT(A382),COUNTIFS(Processos!$AS$10:$AS$509,"="&amp;SUBSTITUTE(SUBSTITUTE(SUBSTITUTE("P:"&amp;A382,"~","~~"),"*","~*"),"?","~?"))=1),(IF(ISNA(MATCH(SUBSTITUTE(SUBSTITUTE(SUBSTITUTE("P:"&amp;A382,"~","~~"),"*","~*"),"?","~?"),Processos!$AS$10:$AS$509,0)),9,INDEX(Processos!$AM$10:$AM$509,MATCH(SUBSTITUTE(SUBSTITUTE(SUBSTITUTE("P:"&amp;A382,"~","~~"),"*","~*"),"?","~?"),Processos!$AS$10:$AS$509,0)))-9),0)</f>
        <v>0</v>
      </c>
      <c r="P382" s="14" t="str">
        <f>IF(L382=0,"",INDEX(Processos!$D$10:$D$509,O382))</f>
        <v/>
      </c>
      <c r="Q382" s="14">
        <f>IF(OR(L382=0,T382&lt;&gt;"Sim"),0,INDEX(Processos!$AL$10:$AL$509,O382))</f>
        <v>0</v>
      </c>
      <c r="R382" s="14">
        <f>ROW()</f>
        <v>382</v>
      </c>
      <c r="S382" s="14" t="str">
        <f t="shared" si="17"/>
        <v/>
      </c>
      <c r="T382" s="27" t="s">
        <v>1113</v>
      </c>
      <c r="U382" s="28"/>
      <c r="V382" s="28"/>
      <c r="W382" s="28"/>
      <c r="X382" s="28"/>
      <c r="Y382" s="27"/>
      <c r="Z382" s="27"/>
      <c r="AA382" s="27"/>
      <c r="AB382" s="27"/>
    </row>
    <row r="383" spans="1:28" ht="42" customHeight="1">
      <c r="A383" s="41"/>
      <c r="B383" s="42"/>
      <c r="C383" s="42"/>
      <c r="D383" s="42"/>
      <c r="E383" s="42"/>
      <c r="F383" s="42"/>
      <c r="G383" s="42"/>
      <c r="H383" s="45"/>
      <c r="I383" s="44"/>
      <c r="J383" s="43"/>
      <c r="K383" s="44"/>
      <c r="L383" s="14">
        <f t="shared" si="15"/>
        <v>0</v>
      </c>
      <c r="M383" s="14">
        <f>IF(OR(L383=0,T383&lt;&gt;"Sim"),0,INDEX(Processos!$X$10:$X$509,O383))</f>
        <v>0</v>
      </c>
      <c r="N383" s="40" t="str">
        <f t="shared" si="16"/>
        <v/>
      </c>
      <c r="O383" s="14">
        <f>IF(AND(A383&lt;&gt;"",ISTEXT(A383),COUNTIFS(Processos!$AS$10:$AS$509,"="&amp;SUBSTITUTE(SUBSTITUTE(SUBSTITUTE("P:"&amp;A383,"~","~~"),"*","~*"),"?","~?"))=1),(IF(ISNA(MATCH(SUBSTITUTE(SUBSTITUTE(SUBSTITUTE("P:"&amp;A383,"~","~~"),"*","~*"),"?","~?"),Processos!$AS$10:$AS$509,0)),9,INDEX(Processos!$AM$10:$AM$509,MATCH(SUBSTITUTE(SUBSTITUTE(SUBSTITUTE("P:"&amp;A383,"~","~~"),"*","~*"),"?","~?"),Processos!$AS$10:$AS$509,0)))-9),0)</f>
        <v>0</v>
      </c>
      <c r="P383" s="14" t="str">
        <f>IF(L383=0,"",INDEX(Processos!$D$10:$D$509,O383))</f>
        <v/>
      </c>
      <c r="Q383" s="14">
        <f>IF(OR(L383=0,T383&lt;&gt;"Sim"),0,INDEX(Processos!$AL$10:$AL$509,O383))</f>
        <v>0</v>
      </c>
      <c r="R383" s="14">
        <f>ROW()</f>
        <v>383</v>
      </c>
      <c r="S383" s="14" t="str">
        <f t="shared" si="17"/>
        <v/>
      </c>
      <c r="T383" s="27" t="s">
        <v>1113</v>
      </c>
      <c r="U383" s="28"/>
      <c r="V383" s="28"/>
      <c r="W383" s="28"/>
      <c r="X383" s="28"/>
      <c r="Y383" s="27"/>
      <c r="Z383" s="27"/>
      <c r="AA383" s="27"/>
      <c r="AB383" s="27"/>
    </row>
    <row r="384" spans="1:28" ht="42" customHeight="1">
      <c r="A384" s="41"/>
      <c r="B384" s="42"/>
      <c r="C384" s="42"/>
      <c r="D384" s="42"/>
      <c r="E384" s="42"/>
      <c r="F384" s="42"/>
      <c r="G384" s="42"/>
      <c r="H384" s="45"/>
      <c r="I384" s="44"/>
      <c r="J384" s="43"/>
      <c r="K384" s="44"/>
      <c r="L384" s="14">
        <f t="shared" si="15"/>
        <v>0</v>
      </c>
      <c r="M384" s="14">
        <f>IF(OR(L384=0,T384&lt;&gt;"Sim"),0,INDEX(Processos!$X$10:$X$509,O384))</f>
        <v>0</v>
      </c>
      <c r="N384" s="40" t="str">
        <f t="shared" si="16"/>
        <v/>
      </c>
      <c r="O384" s="14">
        <f>IF(AND(A384&lt;&gt;"",ISTEXT(A384),COUNTIFS(Processos!$AS$10:$AS$509,"="&amp;SUBSTITUTE(SUBSTITUTE(SUBSTITUTE("P:"&amp;A384,"~","~~"),"*","~*"),"?","~?"))=1),(IF(ISNA(MATCH(SUBSTITUTE(SUBSTITUTE(SUBSTITUTE("P:"&amp;A384,"~","~~"),"*","~*"),"?","~?"),Processos!$AS$10:$AS$509,0)),9,INDEX(Processos!$AM$10:$AM$509,MATCH(SUBSTITUTE(SUBSTITUTE(SUBSTITUTE("P:"&amp;A384,"~","~~"),"*","~*"),"?","~?"),Processos!$AS$10:$AS$509,0)))-9),0)</f>
        <v>0</v>
      </c>
      <c r="P384" s="14" t="str">
        <f>IF(L384=0,"",INDEX(Processos!$D$10:$D$509,O384))</f>
        <v/>
      </c>
      <c r="Q384" s="14">
        <f>IF(OR(L384=0,T384&lt;&gt;"Sim"),0,INDEX(Processos!$AL$10:$AL$509,O384))</f>
        <v>0</v>
      </c>
      <c r="R384" s="14">
        <f>ROW()</f>
        <v>384</v>
      </c>
      <c r="S384" s="14" t="str">
        <f t="shared" si="17"/>
        <v/>
      </c>
      <c r="T384" s="27" t="s">
        <v>1113</v>
      </c>
      <c r="U384" s="28"/>
      <c r="V384" s="28"/>
      <c r="W384" s="28"/>
      <c r="X384" s="28"/>
      <c r="Y384" s="27"/>
      <c r="Z384" s="27"/>
      <c r="AA384" s="27"/>
      <c r="AB384" s="27"/>
    </row>
    <row r="385" spans="1:28" ht="42" customHeight="1">
      <c r="A385" s="41"/>
      <c r="B385" s="42"/>
      <c r="C385" s="42"/>
      <c r="D385" s="42"/>
      <c r="E385" s="42"/>
      <c r="F385" s="42"/>
      <c r="G385" s="42"/>
      <c r="H385" s="45"/>
      <c r="I385" s="44"/>
      <c r="J385" s="43"/>
      <c r="K385" s="44"/>
      <c r="L385" s="14">
        <f t="shared" si="15"/>
        <v>0</v>
      </c>
      <c r="M385" s="14">
        <f>IF(OR(L385=0,T385&lt;&gt;"Sim"),0,INDEX(Processos!$X$10:$X$509,O385))</f>
        <v>0</v>
      </c>
      <c r="N385" s="40" t="str">
        <f t="shared" si="16"/>
        <v/>
      </c>
      <c r="O385" s="14">
        <f>IF(AND(A385&lt;&gt;"",ISTEXT(A385),COUNTIFS(Processos!$AS$10:$AS$509,"="&amp;SUBSTITUTE(SUBSTITUTE(SUBSTITUTE("P:"&amp;A385,"~","~~"),"*","~*"),"?","~?"))=1),(IF(ISNA(MATCH(SUBSTITUTE(SUBSTITUTE(SUBSTITUTE("P:"&amp;A385,"~","~~"),"*","~*"),"?","~?"),Processos!$AS$10:$AS$509,0)),9,INDEX(Processos!$AM$10:$AM$509,MATCH(SUBSTITUTE(SUBSTITUTE(SUBSTITUTE("P:"&amp;A385,"~","~~"),"*","~*"),"?","~?"),Processos!$AS$10:$AS$509,0)))-9),0)</f>
        <v>0</v>
      </c>
      <c r="P385" s="14" t="str">
        <f>IF(L385=0,"",INDEX(Processos!$D$10:$D$509,O385))</f>
        <v/>
      </c>
      <c r="Q385" s="14">
        <f>IF(OR(L385=0,T385&lt;&gt;"Sim"),0,INDEX(Processos!$AL$10:$AL$509,O385))</f>
        <v>0</v>
      </c>
      <c r="R385" s="14">
        <f>ROW()</f>
        <v>385</v>
      </c>
      <c r="S385" s="14" t="str">
        <f t="shared" si="17"/>
        <v/>
      </c>
      <c r="T385" s="27" t="s">
        <v>1113</v>
      </c>
      <c r="U385" s="28"/>
      <c r="V385" s="28"/>
      <c r="W385" s="28"/>
      <c r="X385" s="28"/>
      <c r="Y385" s="27"/>
      <c r="Z385" s="27"/>
      <c r="AA385" s="27"/>
      <c r="AB385" s="27"/>
    </row>
    <row r="386" spans="1:28" ht="42" customHeight="1">
      <c r="A386" s="41"/>
      <c r="B386" s="42"/>
      <c r="C386" s="42"/>
      <c r="D386" s="42"/>
      <c r="E386" s="42"/>
      <c r="F386" s="42"/>
      <c r="G386" s="42"/>
      <c r="H386" s="45"/>
      <c r="I386" s="44"/>
      <c r="J386" s="43"/>
      <c r="K386" s="44"/>
      <c r="L386" s="14">
        <f t="shared" si="15"/>
        <v>0</v>
      </c>
      <c r="M386" s="14">
        <f>IF(OR(L386=0,T386&lt;&gt;"Sim"),0,INDEX(Processos!$X$10:$X$509,O386))</f>
        <v>0</v>
      </c>
      <c r="N386" s="40" t="str">
        <f t="shared" si="16"/>
        <v/>
      </c>
      <c r="O386" s="14">
        <f>IF(AND(A386&lt;&gt;"",ISTEXT(A386),COUNTIFS(Processos!$AS$10:$AS$509,"="&amp;SUBSTITUTE(SUBSTITUTE(SUBSTITUTE("P:"&amp;A386,"~","~~"),"*","~*"),"?","~?"))=1),(IF(ISNA(MATCH(SUBSTITUTE(SUBSTITUTE(SUBSTITUTE("P:"&amp;A386,"~","~~"),"*","~*"),"?","~?"),Processos!$AS$10:$AS$509,0)),9,INDEX(Processos!$AM$10:$AM$509,MATCH(SUBSTITUTE(SUBSTITUTE(SUBSTITUTE("P:"&amp;A386,"~","~~"),"*","~*"),"?","~?"),Processos!$AS$10:$AS$509,0)))-9),0)</f>
        <v>0</v>
      </c>
      <c r="P386" s="14" t="str">
        <f>IF(L386=0,"",INDEX(Processos!$D$10:$D$509,O386))</f>
        <v/>
      </c>
      <c r="Q386" s="14">
        <f>IF(OR(L386=0,T386&lt;&gt;"Sim"),0,INDEX(Processos!$AL$10:$AL$509,O386))</f>
        <v>0</v>
      </c>
      <c r="R386" s="14">
        <f>ROW()</f>
        <v>386</v>
      </c>
      <c r="S386" s="14" t="str">
        <f t="shared" si="17"/>
        <v/>
      </c>
      <c r="T386" s="27" t="s">
        <v>1113</v>
      </c>
      <c r="U386" s="28"/>
      <c r="V386" s="28"/>
      <c r="W386" s="28"/>
      <c r="X386" s="28"/>
      <c r="Y386" s="27"/>
      <c r="Z386" s="27"/>
      <c r="AA386" s="27"/>
      <c r="AB386" s="27"/>
    </row>
    <row r="387" spans="1:28" ht="42" customHeight="1">
      <c r="A387" s="41"/>
      <c r="B387" s="42"/>
      <c r="C387" s="42"/>
      <c r="D387" s="42"/>
      <c r="E387" s="42"/>
      <c r="F387" s="42"/>
      <c r="G387" s="42"/>
      <c r="H387" s="45"/>
      <c r="I387" s="44"/>
      <c r="J387" s="43"/>
      <c r="K387" s="44"/>
      <c r="L387" s="14">
        <f t="shared" si="15"/>
        <v>0</v>
      </c>
      <c r="M387" s="14">
        <f>IF(OR(L387=0,T387&lt;&gt;"Sim"),0,INDEX(Processos!$X$10:$X$509,O387))</f>
        <v>0</v>
      </c>
      <c r="N387" s="40" t="str">
        <f t="shared" si="16"/>
        <v/>
      </c>
      <c r="O387" s="14">
        <f>IF(AND(A387&lt;&gt;"",ISTEXT(A387),COUNTIFS(Processos!$AS$10:$AS$509,"="&amp;SUBSTITUTE(SUBSTITUTE(SUBSTITUTE("P:"&amp;A387,"~","~~"),"*","~*"),"?","~?"))=1),(IF(ISNA(MATCH(SUBSTITUTE(SUBSTITUTE(SUBSTITUTE("P:"&amp;A387,"~","~~"),"*","~*"),"?","~?"),Processos!$AS$10:$AS$509,0)),9,INDEX(Processos!$AM$10:$AM$509,MATCH(SUBSTITUTE(SUBSTITUTE(SUBSTITUTE("P:"&amp;A387,"~","~~"),"*","~*"),"?","~?"),Processos!$AS$10:$AS$509,0)))-9),0)</f>
        <v>0</v>
      </c>
      <c r="P387" s="14" t="str">
        <f>IF(L387=0,"",INDEX(Processos!$D$10:$D$509,O387))</f>
        <v/>
      </c>
      <c r="Q387" s="14">
        <f>IF(OR(L387=0,T387&lt;&gt;"Sim"),0,INDEX(Processos!$AL$10:$AL$509,O387))</f>
        <v>0</v>
      </c>
      <c r="R387" s="14">
        <f>ROW()</f>
        <v>387</v>
      </c>
      <c r="S387" s="14" t="str">
        <f t="shared" si="17"/>
        <v/>
      </c>
      <c r="T387" s="27" t="s">
        <v>1113</v>
      </c>
      <c r="U387" s="28"/>
      <c r="V387" s="28"/>
      <c r="W387" s="28"/>
      <c r="X387" s="28"/>
      <c r="Y387" s="27"/>
      <c r="Z387" s="27"/>
      <c r="AA387" s="27"/>
      <c r="AB387" s="27"/>
    </row>
    <row r="388" spans="1:28" ht="42" customHeight="1">
      <c r="A388" s="41"/>
      <c r="B388" s="42"/>
      <c r="C388" s="42"/>
      <c r="D388" s="42"/>
      <c r="E388" s="42"/>
      <c r="F388" s="42"/>
      <c r="G388" s="42"/>
      <c r="H388" s="45"/>
      <c r="I388" s="44"/>
      <c r="J388" s="43"/>
      <c r="K388" s="44"/>
      <c r="L388" s="14">
        <f t="shared" si="15"/>
        <v>0</v>
      </c>
      <c r="M388" s="14">
        <f>IF(OR(L388=0,T388&lt;&gt;"Sim"),0,INDEX(Processos!$X$10:$X$509,O388))</f>
        <v>0</v>
      </c>
      <c r="N388" s="40" t="str">
        <f t="shared" si="16"/>
        <v/>
      </c>
      <c r="O388" s="14">
        <f>IF(AND(A388&lt;&gt;"",ISTEXT(A388),COUNTIFS(Processos!$AS$10:$AS$509,"="&amp;SUBSTITUTE(SUBSTITUTE(SUBSTITUTE("P:"&amp;A388,"~","~~"),"*","~*"),"?","~?"))=1),(IF(ISNA(MATCH(SUBSTITUTE(SUBSTITUTE(SUBSTITUTE("P:"&amp;A388,"~","~~"),"*","~*"),"?","~?"),Processos!$AS$10:$AS$509,0)),9,INDEX(Processos!$AM$10:$AM$509,MATCH(SUBSTITUTE(SUBSTITUTE(SUBSTITUTE("P:"&amp;A388,"~","~~"),"*","~*"),"?","~?"),Processos!$AS$10:$AS$509,0)))-9),0)</f>
        <v>0</v>
      </c>
      <c r="P388" s="14" t="str">
        <f>IF(L388=0,"",INDEX(Processos!$D$10:$D$509,O388))</f>
        <v/>
      </c>
      <c r="Q388" s="14">
        <f>IF(OR(L388=0,T388&lt;&gt;"Sim"),0,INDEX(Processos!$AL$10:$AL$509,O388))</f>
        <v>0</v>
      </c>
      <c r="R388" s="14">
        <f>ROW()</f>
        <v>388</v>
      </c>
      <c r="S388" s="14" t="str">
        <f t="shared" si="17"/>
        <v/>
      </c>
      <c r="T388" s="27" t="s">
        <v>1113</v>
      </c>
      <c r="U388" s="28"/>
      <c r="V388" s="28"/>
      <c r="W388" s="28"/>
      <c r="X388" s="28"/>
      <c r="Y388" s="27"/>
      <c r="Z388" s="27"/>
      <c r="AA388" s="27"/>
      <c r="AB388" s="27"/>
    </row>
    <row r="389" spans="1:28" ht="42" customHeight="1">
      <c r="A389" s="41"/>
      <c r="B389" s="42"/>
      <c r="C389" s="42"/>
      <c r="D389" s="42"/>
      <c r="E389" s="42"/>
      <c r="F389" s="42"/>
      <c r="G389" s="42"/>
      <c r="H389" s="45"/>
      <c r="I389" s="44"/>
      <c r="J389" s="43"/>
      <c r="K389" s="44"/>
      <c r="L389" s="14">
        <f t="shared" si="15"/>
        <v>0</v>
      </c>
      <c r="M389" s="14">
        <f>IF(OR(L389=0,T389&lt;&gt;"Sim"),0,INDEX(Processos!$X$10:$X$509,O389))</f>
        <v>0</v>
      </c>
      <c r="N389" s="40" t="str">
        <f t="shared" si="16"/>
        <v/>
      </c>
      <c r="O389" s="14">
        <f>IF(AND(A389&lt;&gt;"",ISTEXT(A389),COUNTIFS(Processos!$AS$10:$AS$509,"="&amp;SUBSTITUTE(SUBSTITUTE(SUBSTITUTE("P:"&amp;A389,"~","~~"),"*","~*"),"?","~?"))=1),(IF(ISNA(MATCH(SUBSTITUTE(SUBSTITUTE(SUBSTITUTE("P:"&amp;A389,"~","~~"),"*","~*"),"?","~?"),Processos!$AS$10:$AS$509,0)),9,INDEX(Processos!$AM$10:$AM$509,MATCH(SUBSTITUTE(SUBSTITUTE(SUBSTITUTE("P:"&amp;A389,"~","~~"),"*","~*"),"?","~?"),Processos!$AS$10:$AS$509,0)))-9),0)</f>
        <v>0</v>
      </c>
      <c r="P389" s="14" t="str">
        <f>IF(L389=0,"",INDEX(Processos!$D$10:$D$509,O389))</f>
        <v/>
      </c>
      <c r="Q389" s="14">
        <f>IF(OR(L389=0,T389&lt;&gt;"Sim"),0,INDEX(Processos!$AL$10:$AL$509,O389))</f>
        <v>0</v>
      </c>
      <c r="R389" s="14">
        <f>ROW()</f>
        <v>389</v>
      </c>
      <c r="S389" s="14" t="str">
        <f t="shared" si="17"/>
        <v/>
      </c>
      <c r="T389" s="27" t="s">
        <v>1113</v>
      </c>
      <c r="U389" s="28"/>
      <c r="V389" s="28"/>
      <c r="W389" s="28"/>
      <c r="X389" s="28"/>
      <c r="Y389" s="27"/>
      <c r="Z389" s="27"/>
      <c r="AA389" s="27"/>
      <c r="AB389" s="27"/>
    </row>
    <row r="390" spans="1:28" ht="42" customHeight="1">
      <c r="A390" s="41"/>
      <c r="B390" s="42"/>
      <c r="C390" s="42"/>
      <c r="D390" s="42"/>
      <c r="E390" s="42"/>
      <c r="F390" s="42"/>
      <c r="G390" s="42"/>
      <c r="H390" s="45"/>
      <c r="I390" s="44"/>
      <c r="J390" s="43"/>
      <c r="K390" s="44"/>
      <c r="L390" s="14">
        <f t="shared" si="15"/>
        <v>0</v>
      </c>
      <c r="M390" s="14">
        <f>IF(OR(L390=0,T390&lt;&gt;"Sim"),0,INDEX(Processos!$X$10:$X$509,O390))</f>
        <v>0</v>
      </c>
      <c r="N390" s="40" t="str">
        <f t="shared" si="16"/>
        <v/>
      </c>
      <c r="O390" s="14">
        <f>IF(AND(A390&lt;&gt;"",ISTEXT(A390),COUNTIFS(Processos!$AS$10:$AS$509,"="&amp;SUBSTITUTE(SUBSTITUTE(SUBSTITUTE("P:"&amp;A390,"~","~~"),"*","~*"),"?","~?"))=1),(IF(ISNA(MATCH(SUBSTITUTE(SUBSTITUTE(SUBSTITUTE("P:"&amp;A390,"~","~~"),"*","~*"),"?","~?"),Processos!$AS$10:$AS$509,0)),9,INDEX(Processos!$AM$10:$AM$509,MATCH(SUBSTITUTE(SUBSTITUTE(SUBSTITUTE("P:"&amp;A390,"~","~~"),"*","~*"),"?","~?"),Processos!$AS$10:$AS$509,0)))-9),0)</f>
        <v>0</v>
      </c>
      <c r="P390" s="14" t="str">
        <f>IF(L390=0,"",INDEX(Processos!$D$10:$D$509,O390))</f>
        <v/>
      </c>
      <c r="Q390" s="14">
        <f>IF(OR(L390=0,T390&lt;&gt;"Sim"),0,INDEX(Processos!$AL$10:$AL$509,O390))</f>
        <v>0</v>
      </c>
      <c r="R390" s="14">
        <f>ROW()</f>
        <v>390</v>
      </c>
      <c r="S390" s="14" t="str">
        <f t="shared" si="17"/>
        <v/>
      </c>
      <c r="T390" s="27" t="s">
        <v>1113</v>
      </c>
      <c r="U390" s="28"/>
      <c r="V390" s="28"/>
      <c r="W390" s="28"/>
      <c r="X390" s="28"/>
      <c r="Y390" s="27"/>
      <c r="Z390" s="27"/>
      <c r="AA390" s="27"/>
      <c r="AB390" s="27"/>
    </row>
    <row r="391" spans="1:28" ht="42" customHeight="1">
      <c r="A391" s="41"/>
      <c r="B391" s="42"/>
      <c r="C391" s="42"/>
      <c r="D391" s="42"/>
      <c r="E391" s="42"/>
      <c r="F391" s="42"/>
      <c r="G391" s="42"/>
      <c r="H391" s="45"/>
      <c r="I391" s="44"/>
      <c r="J391" s="43"/>
      <c r="K391" s="44"/>
      <c r="L391" s="14">
        <f t="shared" si="15"/>
        <v>0</v>
      </c>
      <c r="M391" s="14">
        <f>IF(OR(L391=0,T391&lt;&gt;"Sim"),0,INDEX(Processos!$X$10:$X$509,O391))</f>
        <v>0</v>
      </c>
      <c r="N391" s="40" t="str">
        <f t="shared" si="16"/>
        <v/>
      </c>
      <c r="O391" s="14">
        <f>IF(AND(A391&lt;&gt;"",ISTEXT(A391),COUNTIFS(Processos!$AS$10:$AS$509,"="&amp;SUBSTITUTE(SUBSTITUTE(SUBSTITUTE("P:"&amp;A391,"~","~~"),"*","~*"),"?","~?"))=1),(IF(ISNA(MATCH(SUBSTITUTE(SUBSTITUTE(SUBSTITUTE("P:"&amp;A391,"~","~~"),"*","~*"),"?","~?"),Processos!$AS$10:$AS$509,0)),9,INDEX(Processos!$AM$10:$AM$509,MATCH(SUBSTITUTE(SUBSTITUTE(SUBSTITUTE("P:"&amp;A391,"~","~~"),"*","~*"),"?","~?"),Processos!$AS$10:$AS$509,0)))-9),0)</f>
        <v>0</v>
      </c>
      <c r="P391" s="14" t="str">
        <f>IF(L391=0,"",INDEX(Processos!$D$10:$D$509,O391))</f>
        <v/>
      </c>
      <c r="Q391" s="14">
        <f>IF(OR(L391=0,T391&lt;&gt;"Sim"),0,INDEX(Processos!$AL$10:$AL$509,O391))</f>
        <v>0</v>
      </c>
      <c r="R391" s="14">
        <f>ROW()</f>
        <v>391</v>
      </c>
      <c r="S391" s="14" t="str">
        <f t="shared" si="17"/>
        <v/>
      </c>
      <c r="T391" s="27" t="s">
        <v>1113</v>
      </c>
      <c r="U391" s="28"/>
      <c r="V391" s="28"/>
      <c r="W391" s="28"/>
      <c r="X391" s="28"/>
      <c r="Y391" s="27"/>
      <c r="Z391" s="27"/>
      <c r="AA391" s="27"/>
      <c r="AB391" s="27"/>
    </row>
    <row r="392" spans="1:28" ht="42" customHeight="1">
      <c r="A392" s="41"/>
      <c r="B392" s="42"/>
      <c r="C392" s="42"/>
      <c r="D392" s="42"/>
      <c r="E392" s="42"/>
      <c r="F392" s="42"/>
      <c r="G392" s="42"/>
      <c r="H392" s="45"/>
      <c r="I392" s="44"/>
      <c r="J392" s="43"/>
      <c r="K392" s="44"/>
      <c r="L392" s="14">
        <f t="shared" si="15"/>
        <v>0</v>
      </c>
      <c r="M392" s="14">
        <f>IF(OR(L392=0,T392&lt;&gt;"Sim"),0,INDEX(Processos!$X$10:$X$509,O392))</f>
        <v>0</v>
      </c>
      <c r="N392" s="40" t="str">
        <f t="shared" si="16"/>
        <v/>
      </c>
      <c r="O392" s="14">
        <f>IF(AND(A392&lt;&gt;"",ISTEXT(A392),COUNTIFS(Processos!$AS$10:$AS$509,"="&amp;SUBSTITUTE(SUBSTITUTE(SUBSTITUTE("P:"&amp;A392,"~","~~"),"*","~*"),"?","~?"))=1),(IF(ISNA(MATCH(SUBSTITUTE(SUBSTITUTE(SUBSTITUTE("P:"&amp;A392,"~","~~"),"*","~*"),"?","~?"),Processos!$AS$10:$AS$509,0)),9,INDEX(Processos!$AM$10:$AM$509,MATCH(SUBSTITUTE(SUBSTITUTE(SUBSTITUTE("P:"&amp;A392,"~","~~"),"*","~*"),"?","~?"),Processos!$AS$10:$AS$509,0)))-9),0)</f>
        <v>0</v>
      </c>
      <c r="P392" s="14" t="str">
        <f>IF(L392=0,"",INDEX(Processos!$D$10:$D$509,O392))</f>
        <v/>
      </c>
      <c r="Q392" s="14">
        <f>IF(OR(L392=0,T392&lt;&gt;"Sim"),0,INDEX(Processos!$AL$10:$AL$509,O392))</f>
        <v>0</v>
      </c>
      <c r="R392" s="14">
        <f>ROW()</f>
        <v>392</v>
      </c>
      <c r="S392" s="14" t="str">
        <f t="shared" si="17"/>
        <v/>
      </c>
      <c r="T392" s="27" t="s">
        <v>1113</v>
      </c>
      <c r="U392" s="28"/>
      <c r="V392" s="28"/>
      <c r="W392" s="28"/>
      <c r="X392" s="28"/>
      <c r="Y392" s="27"/>
      <c r="Z392" s="27"/>
      <c r="AA392" s="27"/>
      <c r="AB392" s="27"/>
    </row>
    <row r="393" spans="1:28" ht="42" customHeight="1">
      <c r="A393" s="41"/>
      <c r="B393" s="42"/>
      <c r="C393" s="42"/>
      <c r="D393" s="42"/>
      <c r="E393" s="42"/>
      <c r="F393" s="42"/>
      <c r="G393" s="42"/>
      <c r="H393" s="45"/>
      <c r="I393" s="44"/>
      <c r="J393" s="43"/>
      <c r="K393" s="44"/>
      <c r="L393" s="14">
        <f t="shared" si="15"/>
        <v>0</v>
      </c>
      <c r="M393" s="14">
        <f>IF(OR(L393=0,T393&lt;&gt;"Sim"),0,INDEX(Processos!$X$10:$X$509,O393))</f>
        <v>0</v>
      </c>
      <c r="N393" s="40" t="str">
        <f t="shared" si="16"/>
        <v/>
      </c>
      <c r="O393" s="14">
        <f>IF(AND(A393&lt;&gt;"",ISTEXT(A393),COUNTIFS(Processos!$AS$10:$AS$509,"="&amp;SUBSTITUTE(SUBSTITUTE(SUBSTITUTE("P:"&amp;A393,"~","~~"),"*","~*"),"?","~?"))=1),(IF(ISNA(MATCH(SUBSTITUTE(SUBSTITUTE(SUBSTITUTE("P:"&amp;A393,"~","~~"),"*","~*"),"?","~?"),Processos!$AS$10:$AS$509,0)),9,INDEX(Processos!$AM$10:$AM$509,MATCH(SUBSTITUTE(SUBSTITUTE(SUBSTITUTE("P:"&amp;A393,"~","~~"),"*","~*"),"?","~?"),Processos!$AS$10:$AS$509,0)))-9),0)</f>
        <v>0</v>
      </c>
      <c r="P393" s="14" t="str">
        <f>IF(L393=0,"",INDEX(Processos!$D$10:$D$509,O393))</f>
        <v/>
      </c>
      <c r="Q393" s="14">
        <f>IF(OR(L393=0,T393&lt;&gt;"Sim"),0,INDEX(Processos!$AL$10:$AL$509,O393))</f>
        <v>0</v>
      </c>
      <c r="R393" s="14">
        <f>ROW()</f>
        <v>393</v>
      </c>
      <c r="S393" s="14" t="str">
        <f t="shared" si="17"/>
        <v/>
      </c>
      <c r="T393" s="27" t="s">
        <v>1113</v>
      </c>
      <c r="U393" s="28"/>
      <c r="V393" s="28"/>
      <c r="W393" s="28"/>
      <c r="X393" s="28"/>
      <c r="Y393" s="27"/>
      <c r="Z393" s="27"/>
      <c r="AA393" s="27"/>
      <c r="AB393" s="27"/>
    </row>
    <row r="394" spans="1:28" ht="42" customHeight="1">
      <c r="A394" s="41"/>
      <c r="B394" s="42"/>
      <c r="C394" s="42"/>
      <c r="D394" s="42"/>
      <c r="E394" s="42"/>
      <c r="F394" s="42"/>
      <c r="G394" s="42"/>
      <c r="H394" s="45"/>
      <c r="I394" s="44"/>
      <c r="J394" s="43"/>
      <c r="K394" s="44"/>
      <c r="L394" s="14">
        <f t="shared" ref="L394:L457" si="18">IF(AND(A394&lt;&gt;"",ISTEXT(A394),O394&gt;0,COUNTIFS($S$10:$S$509,"="&amp;SUBSTITUTE(SUBSTITUTE(SUBSTITUTE("P:"&amp;A394,"~","~~"),"*","~*"),"?","~?"))=1),1,0)</f>
        <v>0</v>
      </c>
      <c r="M394" s="14">
        <f>IF(OR(L394=0,T394&lt;&gt;"Sim"),0,INDEX(Processos!$X$10:$X$509,O394))</f>
        <v>0</v>
      </c>
      <c r="N394" s="40" t="str">
        <f t="shared" ref="N394:N457" si="19">IF(COUNTA(A394:K394)=0,"",IF(A394="","Selecione o processo",IF(O394=0,"Processo inexistente, duplicado ou número não textual",IF(COUNTIFS($S$10:$S$509,"="&amp;SUBSTITUTE(SUBSTITUTE(SUBSTITUTE("P:"&amp;A394,"~","~~"),"*","~*"),"?","~?"))&gt;1,"Mantenha apenas uma linha de valores por processo",IF(COUNT(B394:G394)&lt;&gt;COUNTA(B394:G394),"Use números nos campos financeiros",IF(MIN(B394:G394)&lt;0,"Revise os valores negativos",IF(AND(H394&lt;&gt;"",OR(NOT(ISNUMBER(H394)),H394&lt;0,H394&gt;1)),"Probabilidade deve estar entre 0% e 100%",IF(AND(J394&lt;&gt;"",OR(NOT(ISNUMBER(J394)),J394&lt;1,J394&gt;100000)),"Revise a data da avaliação",IF(AND(COUNTA(B394:I394)&gt;0,J394=""),"Informe a data da revisão financeira","")))))))))</f>
        <v/>
      </c>
      <c r="O394" s="14">
        <f>IF(AND(A394&lt;&gt;"",ISTEXT(A394),COUNTIFS(Processos!$AS$10:$AS$509,"="&amp;SUBSTITUTE(SUBSTITUTE(SUBSTITUTE("P:"&amp;A394,"~","~~"),"*","~*"),"?","~?"))=1),(IF(ISNA(MATCH(SUBSTITUTE(SUBSTITUTE(SUBSTITUTE("P:"&amp;A394,"~","~~"),"*","~*"),"?","~?"),Processos!$AS$10:$AS$509,0)),9,INDEX(Processos!$AM$10:$AM$509,MATCH(SUBSTITUTE(SUBSTITUTE(SUBSTITUTE("P:"&amp;A394,"~","~~"),"*","~*"),"?","~?"),Processos!$AS$10:$AS$509,0)))-9),0)</f>
        <v>0</v>
      </c>
      <c r="P394" s="14" t="str">
        <f>IF(L394=0,"",INDEX(Processos!$D$10:$D$509,O394))</f>
        <v/>
      </c>
      <c r="Q394" s="14">
        <f>IF(OR(L394=0,T394&lt;&gt;"Sim"),0,INDEX(Processos!$AL$10:$AL$509,O394))</f>
        <v>0</v>
      </c>
      <c r="R394" s="14">
        <f>ROW()</f>
        <v>394</v>
      </c>
      <c r="S394" s="14" t="str">
        <f t="shared" ref="S394:S457" si="20">IF(AND(A394&lt;&gt;"",ISTEXT(A394)),"P:"&amp;A394,"")</f>
        <v/>
      </c>
      <c r="T394" s="27" t="s">
        <v>1113</v>
      </c>
      <c r="U394" s="28"/>
      <c r="V394" s="28"/>
      <c r="W394" s="28"/>
      <c r="X394" s="28"/>
      <c r="Y394" s="27"/>
      <c r="Z394" s="27"/>
      <c r="AA394" s="27"/>
      <c r="AB394" s="27"/>
    </row>
    <row r="395" spans="1:28" ht="42" customHeight="1">
      <c r="A395" s="41"/>
      <c r="B395" s="42"/>
      <c r="C395" s="42"/>
      <c r="D395" s="42"/>
      <c r="E395" s="42"/>
      <c r="F395" s="42"/>
      <c r="G395" s="42"/>
      <c r="H395" s="45"/>
      <c r="I395" s="44"/>
      <c r="J395" s="43"/>
      <c r="K395" s="44"/>
      <c r="L395" s="14">
        <f t="shared" si="18"/>
        <v>0</v>
      </c>
      <c r="M395" s="14">
        <f>IF(OR(L395=0,T395&lt;&gt;"Sim"),0,INDEX(Processos!$X$10:$X$509,O395))</f>
        <v>0</v>
      </c>
      <c r="N395" s="40" t="str">
        <f t="shared" si="19"/>
        <v/>
      </c>
      <c r="O395" s="14">
        <f>IF(AND(A395&lt;&gt;"",ISTEXT(A395),COUNTIFS(Processos!$AS$10:$AS$509,"="&amp;SUBSTITUTE(SUBSTITUTE(SUBSTITUTE("P:"&amp;A395,"~","~~"),"*","~*"),"?","~?"))=1),(IF(ISNA(MATCH(SUBSTITUTE(SUBSTITUTE(SUBSTITUTE("P:"&amp;A395,"~","~~"),"*","~*"),"?","~?"),Processos!$AS$10:$AS$509,0)),9,INDEX(Processos!$AM$10:$AM$509,MATCH(SUBSTITUTE(SUBSTITUTE(SUBSTITUTE("P:"&amp;A395,"~","~~"),"*","~*"),"?","~?"),Processos!$AS$10:$AS$509,0)))-9),0)</f>
        <v>0</v>
      </c>
      <c r="P395" s="14" t="str">
        <f>IF(L395=0,"",INDEX(Processos!$D$10:$D$509,O395))</f>
        <v/>
      </c>
      <c r="Q395" s="14">
        <f>IF(OR(L395=0,T395&lt;&gt;"Sim"),0,INDEX(Processos!$AL$10:$AL$509,O395))</f>
        <v>0</v>
      </c>
      <c r="R395" s="14">
        <f>ROW()</f>
        <v>395</v>
      </c>
      <c r="S395" s="14" t="str">
        <f t="shared" si="20"/>
        <v/>
      </c>
      <c r="T395" s="27" t="s">
        <v>1113</v>
      </c>
      <c r="U395" s="28"/>
      <c r="V395" s="28"/>
      <c r="W395" s="28"/>
      <c r="X395" s="28"/>
      <c r="Y395" s="27"/>
      <c r="Z395" s="27"/>
      <c r="AA395" s="27"/>
      <c r="AB395" s="27"/>
    </row>
    <row r="396" spans="1:28" ht="42" customHeight="1">
      <c r="A396" s="41"/>
      <c r="B396" s="42"/>
      <c r="C396" s="42"/>
      <c r="D396" s="42"/>
      <c r="E396" s="42"/>
      <c r="F396" s="42"/>
      <c r="G396" s="42"/>
      <c r="H396" s="45"/>
      <c r="I396" s="44"/>
      <c r="J396" s="43"/>
      <c r="K396" s="44"/>
      <c r="L396" s="14">
        <f t="shared" si="18"/>
        <v>0</v>
      </c>
      <c r="M396" s="14">
        <f>IF(OR(L396=0,T396&lt;&gt;"Sim"),0,INDEX(Processos!$X$10:$X$509,O396))</f>
        <v>0</v>
      </c>
      <c r="N396" s="40" t="str">
        <f t="shared" si="19"/>
        <v/>
      </c>
      <c r="O396" s="14">
        <f>IF(AND(A396&lt;&gt;"",ISTEXT(A396),COUNTIFS(Processos!$AS$10:$AS$509,"="&amp;SUBSTITUTE(SUBSTITUTE(SUBSTITUTE("P:"&amp;A396,"~","~~"),"*","~*"),"?","~?"))=1),(IF(ISNA(MATCH(SUBSTITUTE(SUBSTITUTE(SUBSTITUTE("P:"&amp;A396,"~","~~"),"*","~*"),"?","~?"),Processos!$AS$10:$AS$509,0)),9,INDEX(Processos!$AM$10:$AM$509,MATCH(SUBSTITUTE(SUBSTITUTE(SUBSTITUTE("P:"&amp;A396,"~","~~"),"*","~*"),"?","~?"),Processos!$AS$10:$AS$509,0)))-9),0)</f>
        <v>0</v>
      </c>
      <c r="P396" s="14" t="str">
        <f>IF(L396=0,"",INDEX(Processos!$D$10:$D$509,O396))</f>
        <v/>
      </c>
      <c r="Q396" s="14">
        <f>IF(OR(L396=0,T396&lt;&gt;"Sim"),0,INDEX(Processos!$AL$10:$AL$509,O396))</f>
        <v>0</v>
      </c>
      <c r="R396" s="14">
        <f>ROW()</f>
        <v>396</v>
      </c>
      <c r="S396" s="14" t="str">
        <f t="shared" si="20"/>
        <v/>
      </c>
      <c r="T396" s="27" t="s">
        <v>1113</v>
      </c>
      <c r="U396" s="28"/>
      <c r="V396" s="28"/>
      <c r="W396" s="28"/>
      <c r="X396" s="28"/>
      <c r="Y396" s="27"/>
      <c r="Z396" s="27"/>
      <c r="AA396" s="27"/>
      <c r="AB396" s="27"/>
    </row>
    <row r="397" spans="1:28" ht="42" customHeight="1">
      <c r="A397" s="41"/>
      <c r="B397" s="42"/>
      <c r="C397" s="42"/>
      <c r="D397" s="42"/>
      <c r="E397" s="42"/>
      <c r="F397" s="42"/>
      <c r="G397" s="42"/>
      <c r="H397" s="45"/>
      <c r="I397" s="44"/>
      <c r="J397" s="43"/>
      <c r="K397" s="44"/>
      <c r="L397" s="14">
        <f t="shared" si="18"/>
        <v>0</v>
      </c>
      <c r="M397" s="14">
        <f>IF(OR(L397=0,T397&lt;&gt;"Sim"),0,INDEX(Processos!$X$10:$X$509,O397))</f>
        <v>0</v>
      </c>
      <c r="N397" s="40" t="str">
        <f t="shared" si="19"/>
        <v/>
      </c>
      <c r="O397" s="14">
        <f>IF(AND(A397&lt;&gt;"",ISTEXT(A397),COUNTIFS(Processos!$AS$10:$AS$509,"="&amp;SUBSTITUTE(SUBSTITUTE(SUBSTITUTE("P:"&amp;A397,"~","~~"),"*","~*"),"?","~?"))=1),(IF(ISNA(MATCH(SUBSTITUTE(SUBSTITUTE(SUBSTITUTE("P:"&amp;A397,"~","~~"),"*","~*"),"?","~?"),Processos!$AS$10:$AS$509,0)),9,INDEX(Processos!$AM$10:$AM$509,MATCH(SUBSTITUTE(SUBSTITUTE(SUBSTITUTE("P:"&amp;A397,"~","~~"),"*","~*"),"?","~?"),Processos!$AS$10:$AS$509,0)))-9),0)</f>
        <v>0</v>
      </c>
      <c r="P397" s="14" t="str">
        <f>IF(L397=0,"",INDEX(Processos!$D$10:$D$509,O397))</f>
        <v/>
      </c>
      <c r="Q397" s="14">
        <f>IF(OR(L397=0,T397&lt;&gt;"Sim"),0,INDEX(Processos!$AL$10:$AL$509,O397))</f>
        <v>0</v>
      </c>
      <c r="R397" s="14">
        <f>ROW()</f>
        <v>397</v>
      </c>
      <c r="S397" s="14" t="str">
        <f t="shared" si="20"/>
        <v/>
      </c>
      <c r="T397" s="27" t="s">
        <v>1113</v>
      </c>
      <c r="U397" s="28"/>
      <c r="V397" s="28"/>
      <c r="W397" s="28"/>
      <c r="X397" s="28"/>
      <c r="Y397" s="27"/>
      <c r="Z397" s="27"/>
      <c r="AA397" s="27"/>
      <c r="AB397" s="27"/>
    </row>
    <row r="398" spans="1:28" ht="42" customHeight="1">
      <c r="A398" s="41"/>
      <c r="B398" s="42"/>
      <c r="C398" s="42"/>
      <c r="D398" s="42"/>
      <c r="E398" s="42"/>
      <c r="F398" s="42"/>
      <c r="G398" s="42"/>
      <c r="H398" s="45"/>
      <c r="I398" s="44"/>
      <c r="J398" s="43"/>
      <c r="K398" s="44"/>
      <c r="L398" s="14">
        <f t="shared" si="18"/>
        <v>0</v>
      </c>
      <c r="M398" s="14">
        <f>IF(OR(L398=0,T398&lt;&gt;"Sim"),0,INDEX(Processos!$X$10:$X$509,O398))</f>
        <v>0</v>
      </c>
      <c r="N398" s="40" t="str">
        <f t="shared" si="19"/>
        <v/>
      </c>
      <c r="O398" s="14">
        <f>IF(AND(A398&lt;&gt;"",ISTEXT(A398),COUNTIFS(Processos!$AS$10:$AS$509,"="&amp;SUBSTITUTE(SUBSTITUTE(SUBSTITUTE("P:"&amp;A398,"~","~~"),"*","~*"),"?","~?"))=1),(IF(ISNA(MATCH(SUBSTITUTE(SUBSTITUTE(SUBSTITUTE("P:"&amp;A398,"~","~~"),"*","~*"),"?","~?"),Processos!$AS$10:$AS$509,0)),9,INDEX(Processos!$AM$10:$AM$509,MATCH(SUBSTITUTE(SUBSTITUTE(SUBSTITUTE("P:"&amp;A398,"~","~~"),"*","~*"),"?","~?"),Processos!$AS$10:$AS$509,0)))-9),0)</f>
        <v>0</v>
      </c>
      <c r="P398" s="14" t="str">
        <f>IF(L398=0,"",INDEX(Processos!$D$10:$D$509,O398))</f>
        <v/>
      </c>
      <c r="Q398" s="14">
        <f>IF(OR(L398=0,T398&lt;&gt;"Sim"),0,INDEX(Processos!$AL$10:$AL$509,O398))</f>
        <v>0</v>
      </c>
      <c r="R398" s="14">
        <f>ROW()</f>
        <v>398</v>
      </c>
      <c r="S398" s="14" t="str">
        <f t="shared" si="20"/>
        <v/>
      </c>
      <c r="T398" s="27" t="s">
        <v>1113</v>
      </c>
      <c r="U398" s="28"/>
      <c r="V398" s="28"/>
      <c r="W398" s="28"/>
      <c r="X398" s="28"/>
      <c r="Y398" s="27"/>
      <c r="Z398" s="27"/>
      <c r="AA398" s="27"/>
      <c r="AB398" s="27"/>
    </row>
    <row r="399" spans="1:28" ht="42" customHeight="1">
      <c r="A399" s="41"/>
      <c r="B399" s="42"/>
      <c r="C399" s="42"/>
      <c r="D399" s="42"/>
      <c r="E399" s="42"/>
      <c r="F399" s="42"/>
      <c r="G399" s="42"/>
      <c r="H399" s="45"/>
      <c r="I399" s="44"/>
      <c r="J399" s="43"/>
      <c r="K399" s="44"/>
      <c r="L399" s="14">
        <f t="shared" si="18"/>
        <v>0</v>
      </c>
      <c r="M399" s="14">
        <f>IF(OR(L399=0,T399&lt;&gt;"Sim"),0,INDEX(Processos!$X$10:$X$509,O399))</f>
        <v>0</v>
      </c>
      <c r="N399" s="40" t="str">
        <f t="shared" si="19"/>
        <v/>
      </c>
      <c r="O399" s="14">
        <f>IF(AND(A399&lt;&gt;"",ISTEXT(A399),COUNTIFS(Processos!$AS$10:$AS$509,"="&amp;SUBSTITUTE(SUBSTITUTE(SUBSTITUTE("P:"&amp;A399,"~","~~"),"*","~*"),"?","~?"))=1),(IF(ISNA(MATCH(SUBSTITUTE(SUBSTITUTE(SUBSTITUTE("P:"&amp;A399,"~","~~"),"*","~*"),"?","~?"),Processos!$AS$10:$AS$509,0)),9,INDEX(Processos!$AM$10:$AM$509,MATCH(SUBSTITUTE(SUBSTITUTE(SUBSTITUTE("P:"&amp;A399,"~","~~"),"*","~*"),"?","~?"),Processos!$AS$10:$AS$509,0)))-9),0)</f>
        <v>0</v>
      </c>
      <c r="P399" s="14" t="str">
        <f>IF(L399=0,"",INDEX(Processos!$D$10:$D$509,O399))</f>
        <v/>
      </c>
      <c r="Q399" s="14">
        <f>IF(OR(L399=0,T399&lt;&gt;"Sim"),0,INDEX(Processos!$AL$10:$AL$509,O399))</f>
        <v>0</v>
      </c>
      <c r="R399" s="14">
        <f>ROW()</f>
        <v>399</v>
      </c>
      <c r="S399" s="14" t="str">
        <f t="shared" si="20"/>
        <v/>
      </c>
      <c r="T399" s="27" t="s">
        <v>1113</v>
      </c>
      <c r="U399" s="28"/>
      <c r="V399" s="28"/>
      <c r="W399" s="28"/>
      <c r="X399" s="28"/>
      <c r="Y399" s="27"/>
      <c r="Z399" s="27"/>
      <c r="AA399" s="27"/>
      <c r="AB399" s="27"/>
    </row>
    <row r="400" spans="1:28" ht="42" customHeight="1">
      <c r="A400" s="41"/>
      <c r="B400" s="42"/>
      <c r="C400" s="42"/>
      <c r="D400" s="42"/>
      <c r="E400" s="42"/>
      <c r="F400" s="42"/>
      <c r="G400" s="42"/>
      <c r="H400" s="45"/>
      <c r="I400" s="44"/>
      <c r="J400" s="43"/>
      <c r="K400" s="44"/>
      <c r="L400" s="14">
        <f t="shared" si="18"/>
        <v>0</v>
      </c>
      <c r="M400" s="14">
        <f>IF(OR(L400=0,T400&lt;&gt;"Sim"),0,INDEX(Processos!$X$10:$X$509,O400))</f>
        <v>0</v>
      </c>
      <c r="N400" s="40" t="str">
        <f t="shared" si="19"/>
        <v/>
      </c>
      <c r="O400" s="14">
        <f>IF(AND(A400&lt;&gt;"",ISTEXT(A400),COUNTIFS(Processos!$AS$10:$AS$509,"="&amp;SUBSTITUTE(SUBSTITUTE(SUBSTITUTE("P:"&amp;A400,"~","~~"),"*","~*"),"?","~?"))=1),(IF(ISNA(MATCH(SUBSTITUTE(SUBSTITUTE(SUBSTITUTE("P:"&amp;A400,"~","~~"),"*","~*"),"?","~?"),Processos!$AS$10:$AS$509,0)),9,INDEX(Processos!$AM$10:$AM$509,MATCH(SUBSTITUTE(SUBSTITUTE(SUBSTITUTE("P:"&amp;A400,"~","~~"),"*","~*"),"?","~?"),Processos!$AS$10:$AS$509,0)))-9),0)</f>
        <v>0</v>
      </c>
      <c r="P400" s="14" t="str">
        <f>IF(L400=0,"",INDEX(Processos!$D$10:$D$509,O400))</f>
        <v/>
      </c>
      <c r="Q400" s="14">
        <f>IF(OR(L400=0,T400&lt;&gt;"Sim"),0,INDEX(Processos!$AL$10:$AL$509,O400))</f>
        <v>0</v>
      </c>
      <c r="R400" s="14">
        <f>ROW()</f>
        <v>400</v>
      </c>
      <c r="S400" s="14" t="str">
        <f t="shared" si="20"/>
        <v/>
      </c>
      <c r="T400" s="27" t="s">
        <v>1113</v>
      </c>
      <c r="U400" s="28"/>
      <c r="V400" s="28"/>
      <c r="W400" s="28"/>
      <c r="X400" s="28"/>
      <c r="Y400" s="27"/>
      <c r="Z400" s="27"/>
      <c r="AA400" s="27"/>
      <c r="AB400" s="27"/>
    </row>
    <row r="401" spans="1:28" ht="42" customHeight="1">
      <c r="A401" s="41"/>
      <c r="B401" s="42"/>
      <c r="C401" s="42"/>
      <c r="D401" s="42"/>
      <c r="E401" s="42"/>
      <c r="F401" s="42"/>
      <c r="G401" s="42"/>
      <c r="H401" s="45"/>
      <c r="I401" s="44"/>
      <c r="J401" s="43"/>
      <c r="K401" s="44"/>
      <c r="L401" s="14">
        <f t="shared" si="18"/>
        <v>0</v>
      </c>
      <c r="M401" s="14">
        <f>IF(OR(L401=0,T401&lt;&gt;"Sim"),0,INDEX(Processos!$X$10:$X$509,O401))</f>
        <v>0</v>
      </c>
      <c r="N401" s="40" t="str">
        <f t="shared" si="19"/>
        <v/>
      </c>
      <c r="O401" s="14">
        <f>IF(AND(A401&lt;&gt;"",ISTEXT(A401),COUNTIFS(Processos!$AS$10:$AS$509,"="&amp;SUBSTITUTE(SUBSTITUTE(SUBSTITUTE("P:"&amp;A401,"~","~~"),"*","~*"),"?","~?"))=1),(IF(ISNA(MATCH(SUBSTITUTE(SUBSTITUTE(SUBSTITUTE("P:"&amp;A401,"~","~~"),"*","~*"),"?","~?"),Processos!$AS$10:$AS$509,0)),9,INDEX(Processos!$AM$10:$AM$509,MATCH(SUBSTITUTE(SUBSTITUTE(SUBSTITUTE("P:"&amp;A401,"~","~~"),"*","~*"),"?","~?"),Processos!$AS$10:$AS$509,0)))-9),0)</f>
        <v>0</v>
      </c>
      <c r="P401" s="14" t="str">
        <f>IF(L401=0,"",INDEX(Processos!$D$10:$D$509,O401))</f>
        <v/>
      </c>
      <c r="Q401" s="14">
        <f>IF(OR(L401=0,T401&lt;&gt;"Sim"),0,INDEX(Processos!$AL$10:$AL$509,O401))</f>
        <v>0</v>
      </c>
      <c r="R401" s="14">
        <f>ROW()</f>
        <v>401</v>
      </c>
      <c r="S401" s="14" t="str">
        <f t="shared" si="20"/>
        <v/>
      </c>
      <c r="T401" s="27" t="s">
        <v>1113</v>
      </c>
      <c r="U401" s="28"/>
      <c r="V401" s="28"/>
      <c r="W401" s="28"/>
      <c r="X401" s="28"/>
      <c r="Y401" s="27"/>
      <c r="Z401" s="27"/>
      <c r="AA401" s="27"/>
      <c r="AB401" s="27"/>
    </row>
    <row r="402" spans="1:28" ht="42" customHeight="1">
      <c r="A402" s="41"/>
      <c r="B402" s="42"/>
      <c r="C402" s="42"/>
      <c r="D402" s="42"/>
      <c r="E402" s="42"/>
      <c r="F402" s="42"/>
      <c r="G402" s="42"/>
      <c r="H402" s="45"/>
      <c r="I402" s="44"/>
      <c r="J402" s="43"/>
      <c r="K402" s="44"/>
      <c r="L402" s="14">
        <f t="shared" si="18"/>
        <v>0</v>
      </c>
      <c r="M402" s="14">
        <f>IF(OR(L402=0,T402&lt;&gt;"Sim"),0,INDEX(Processos!$X$10:$X$509,O402))</f>
        <v>0</v>
      </c>
      <c r="N402" s="40" t="str">
        <f t="shared" si="19"/>
        <v/>
      </c>
      <c r="O402" s="14">
        <f>IF(AND(A402&lt;&gt;"",ISTEXT(A402),COUNTIFS(Processos!$AS$10:$AS$509,"="&amp;SUBSTITUTE(SUBSTITUTE(SUBSTITUTE("P:"&amp;A402,"~","~~"),"*","~*"),"?","~?"))=1),(IF(ISNA(MATCH(SUBSTITUTE(SUBSTITUTE(SUBSTITUTE("P:"&amp;A402,"~","~~"),"*","~*"),"?","~?"),Processos!$AS$10:$AS$509,0)),9,INDEX(Processos!$AM$10:$AM$509,MATCH(SUBSTITUTE(SUBSTITUTE(SUBSTITUTE("P:"&amp;A402,"~","~~"),"*","~*"),"?","~?"),Processos!$AS$10:$AS$509,0)))-9),0)</f>
        <v>0</v>
      </c>
      <c r="P402" s="14" t="str">
        <f>IF(L402=0,"",INDEX(Processos!$D$10:$D$509,O402))</f>
        <v/>
      </c>
      <c r="Q402" s="14">
        <f>IF(OR(L402=0,T402&lt;&gt;"Sim"),0,INDEX(Processos!$AL$10:$AL$509,O402))</f>
        <v>0</v>
      </c>
      <c r="R402" s="14">
        <f>ROW()</f>
        <v>402</v>
      </c>
      <c r="S402" s="14" t="str">
        <f t="shared" si="20"/>
        <v/>
      </c>
      <c r="T402" s="27" t="s">
        <v>1113</v>
      </c>
      <c r="U402" s="28"/>
      <c r="V402" s="28"/>
      <c r="W402" s="28"/>
      <c r="X402" s="28"/>
      <c r="Y402" s="27"/>
      <c r="Z402" s="27"/>
      <c r="AA402" s="27"/>
      <c r="AB402" s="27"/>
    </row>
    <row r="403" spans="1:28" ht="42" customHeight="1">
      <c r="A403" s="41"/>
      <c r="B403" s="42"/>
      <c r="C403" s="42"/>
      <c r="D403" s="42"/>
      <c r="E403" s="42"/>
      <c r="F403" s="42"/>
      <c r="G403" s="42"/>
      <c r="H403" s="45"/>
      <c r="I403" s="44"/>
      <c r="J403" s="43"/>
      <c r="K403" s="44"/>
      <c r="L403" s="14">
        <f t="shared" si="18"/>
        <v>0</v>
      </c>
      <c r="M403" s="14">
        <f>IF(OR(L403=0,T403&lt;&gt;"Sim"),0,INDEX(Processos!$X$10:$X$509,O403))</f>
        <v>0</v>
      </c>
      <c r="N403" s="40" t="str">
        <f t="shared" si="19"/>
        <v/>
      </c>
      <c r="O403" s="14">
        <f>IF(AND(A403&lt;&gt;"",ISTEXT(A403),COUNTIFS(Processos!$AS$10:$AS$509,"="&amp;SUBSTITUTE(SUBSTITUTE(SUBSTITUTE("P:"&amp;A403,"~","~~"),"*","~*"),"?","~?"))=1),(IF(ISNA(MATCH(SUBSTITUTE(SUBSTITUTE(SUBSTITUTE("P:"&amp;A403,"~","~~"),"*","~*"),"?","~?"),Processos!$AS$10:$AS$509,0)),9,INDEX(Processos!$AM$10:$AM$509,MATCH(SUBSTITUTE(SUBSTITUTE(SUBSTITUTE("P:"&amp;A403,"~","~~"),"*","~*"),"?","~?"),Processos!$AS$10:$AS$509,0)))-9),0)</f>
        <v>0</v>
      </c>
      <c r="P403" s="14" t="str">
        <f>IF(L403=0,"",INDEX(Processos!$D$10:$D$509,O403))</f>
        <v/>
      </c>
      <c r="Q403" s="14">
        <f>IF(OR(L403=0,T403&lt;&gt;"Sim"),0,INDEX(Processos!$AL$10:$AL$509,O403))</f>
        <v>0</v>
      </c>
      <c r="R403" s="14">
        <f>ROW()</f>
        <v>403</v>
      </c>
      <c r="S403" s="14" t="str">
        <f t="shared" si="20"/>
        <v/>
      </c>
      <c r="T403" s="27" t="s">
        <v>1113</v>
      </c>
      <c r="U403" s="28"/>
      <c r="V403" s="28"/>
      <c r="W403" s="28"/>
      <c r="X403" s="28"/>
      <c r="Y403" s="27"/>
      <c r="Z403" s="27"/>
      <c r="AA403" s="27"/>
      <c r="AB403" s="27"/>
    </row>
    <row r="404" spans="1:28" ht="42" customHeight="1">
      <c r="A404" s="41"/>
      <c r="B404" s="42"/>
      <c r="C404" s="42"/>
      <c r="D404" s="42"/>
      <c r="E404" s="42"/>
      <c r="F404" s="42"/>
      <c r="G404" s="42"/>
      <c r="H404" s="45"/>
      <c r="I404" s="44"/>
      <c r="J404" s="43"/>
      <c r="K404" s="44"/>
      <c r="L404" s="14">
        <f t="shared" si="18"/>
        <v>0</v>
      </c>
      <c r="M404" s="14">
        <f>IF(OR(L404=0,T404&lt;&gt;"Sim"),0,INDEX(Processos!$X$10:$X$509,O404))</f>
        <v>0</v>
      </c>
      <c r="N404" s="40" t="str">
        <f t="shared" si="19"/>
        <v/>
      </c>
      <c r="O404" s="14">
        <f>IF(AND(A404&lt;&gt;"",ISTEXT(A404),COUNTIFS(Processos!$AS$10:$AS$509,"="&amp;SUBSTITUTE(SUBSTITUTE(SUBSTITUTE("P:"&amp;A404,"~","~~"),"*","~*"),"?","~?"))=1),(IF(ISNA(MATCH(SUBSTITUTE(SUBSTITUTE(SUBSTITUTE("P:"&amp;A404,"~","~~"),"*","~*"),"?","~?"),Processos!$AS$10:$AS$509,0)),9,INDEX(Processos!$AM$10:$AM$509,MATCH(SUBSTITUTE(SUBSTITUTE(SUBSTITUTE("P:"&amp;A404,"~","~~"),"*","~*"),"?","~?"),Processos!$AS$10:$AS$509,0)))-9),0)</f>
        <v>0</v>
      </c>
      <c r="P404" s="14" t="str">
        <f>IF(L404=0,"",INDEX(Processos!$D$10:$D$509,O404))</f>
        <v/>
      </c>
      <c r="Q404" s="14">
        <f>IF(OR(L404=0,T404&lt;&gt;"Sim"),0,INDEX(Processos!$AL$10:$AL$509,O404))</f>
        <v>0</v>
      </c>
      <c r="R404" s="14">
        <f>ROW()</f>
        <v>404</v>
      </c>
      <c r="S404" s="14" t="str">
        <f t="shared" si="20"/>
        <v/>
      </c>
      <c r="T404" s="27" t="s">
        <v>1113</v>
      </c>
      <c r="U404" s="28"/>
      <c r="V404" s="28"/>
      <c r="W404" s="28"/>
      <c r="X404" s="28"/>
      <c r="Y404" s="27"/>
      <c r="Z404" s="27"/>
      <c r="AA404" s="27"/>
      <c r="AB404" s="27"/>
    </row>
    <row r="405" spans="1:28" ht="42" customHeight="1">
      <c r="A405" s="41"/>
      <c r="B405" s="42"/>
      <c r="C405" s="42"/>
      <c r="D405" s="42"/>
      <c r="E405" s="42"/>
      <c r="F405" s="42"/>
      <c r="G405" s="42"/>
      <c r="H405" s="45"/>
      <c r="I405" s="44"/>
      <c r="J405" s="43"/>
      <c r="K405" s="44"/>
      <c r="L405" s="14">
        <f t="shared" si="18"/>
        <v>0</v>
      </c>
      <c r="M405" s="14">
        <f>IF(OR(L405=0,T405&lt;&gt;"Sim"),0,INDEX(Processos!$X$10:$X$509,O405))</f>
        <v>0</v>
      </c>
      <c r="N405" s="40" t="str">
        <f t="shared" si="19"/>
        <v/>
      </c>
      <c r="O405" s="14">
        <f>IF(AND(A405&lt;&gt;"",ISTEXT(A405),COUNTIFS(Processos!$AS$10:$AS$509,"="&amp;SUBSTITUTE(SUBSTITUTE(SUBSTITUTE("P:"&amp;A405,"~","~~"),"*","~*"),"?","~?"))=1),(IF(ISNA(MATCH(SUBSTITUTE(SUBSTITUTE(SUBSTITUTE("P:"&amp;A405,"~","~~"),"*","~*"),"?","~?"),Processos!$AS$10:$AS$509,0)),9,INDEX(Processos!$AM$10:$AM$509,MATCH(SUBSTITUTE(SUBSTITUTE(SUBSTITUTE("P:"&amp;A405,"~","~~"),"*","~*"),"?","~?"),Processos!$AS$10:$AS$509,0)))-9),0)</f>
        <v>0</v>
      </c>
      <c r="P405" s="14" t="str">
        <f>IF(L405=0,"",INDEX(Processos!$D$10:$D$509,O405))</f>
        <v/>
      </c>
      <c r="Q405" s="14">
        <f>IF(OR(L405=0,T405&lt;&gt;"Sim"),0,INDEX(Processos!$AL$10:$AL$509,O405))</f>
        <v>0</v>
      </c>
      <c r="R405" s="14">
        <f>ROW()</f>
        <v>405</v>
      </c>
      <c r="S405" s="14" t="str">
        <f t="shared" si="20"/>
        <v/>
      </c>
      <c r="T405" s="27" t="s">
        <v>1113</v>
      </c>
      <c r="U405" s="28"/>
      <c r="V405" s="28"/>
      <c r="W405" s="28"/>
      <c r="X405" s="28"/>
      <c r="Y405" s="27"/>
      <c r="Z405" s="27"/>
      <c r="AA405" s="27"/>
      <c r="AB405" s="27"/>
    </row>
    <row r="406" spans="1:28" ht="42" customHeight="1">
      <c r="A406" s="41"/>
      <c r="B406" s="42"/>
      <c r="C406" s="42"/>
      <c r="D406" s="42"/>
      <c r="E406" s="42"/>
      <c r="F406" s="42"/>
      <c r="G406" s="42"/>
      <c r="H406" s="45"/>
      <c r="I406" s="44"/>
      <c r="J406" s="43"/>
      <c r="K406" s="44"/>
      <c r="L406" s="14">
        <f t="shared" si="18"/>
        <v>0</v>
      </c>
      <c r="M406" s="14">
        <f>IF(OR(L406=0,T406&lt;&gt;"Sim"),0,INDEX(Processos!$X$10:$X$509,O406))</f>
        <v>0</v>
      </c>
      <c r="N406" s="40" t="str">
        <f t="shared" si="19"/>
        <v/>
      </c>
      <c r="O406" s="14">
        <f>IF(AND(A406&lt;&gt;"",ISTEXT(A406),COUNTIFS(Processos!$AS$10:$AS$509,"="&amp;SUBSTITUTE(SUBSTITUTE(SUBSTITUTE("P:"&amp;A406,"~","~~"),"*","~*"),"?","~?"))=1),(IF(ISNA(MATCH(SUBSTITUTE(SUBSTITUTE(SUBSTITUTE("P:"&amp;A406,"~","~~"),"*","~*"),"?","~?"),Processos!$AS$10:$AS$509,0)),9,INDEX(Processos!$AM$10:$AM$509,MATCH(SUBSTITUTE(SUBSTITUTE(SUBSTITUTE("P:"&amp;A406,"~","~~"),"*","~*"),"?","~?"),Processos!$AS$10:$AS$509,0)))-9),0)</f>
        <v>0</v>
      </c>
      <c r="P406" s="14" t="str">
        <f>IF(L406=0,"",INDEX(Processos!$D$10:$D$509,O406))</f>
        <v/>
      </c>
      <c r="Q406" s="14">
        <f>IF(OR(L406=0,T406&lt;&gt;"Sim"),0,INDEX(Processos!$AL$10:$AL$509,O406))</f>
        <v>0</v>
      </c>
      <c r="R406" s="14">
        <f>ROW()</f>
        <v>406</v>
      </c>
      <c r="S406" s="14" t="str">
        <f t="shared" si="20"/>
        <v/>
      </c>
      <c r="T406" s="27" t="s">
        <v>1113</v>
      </c>
      <c r="U406" s="28"/>
      <c r="V406" s="28"/>
      <c r="W406" s="28"/>
      <c r="X406" s="28"/>
      <c r="Y406" s="27"/>
      <c r="Z406" s="27"/>
      <c r="AA406" s="27"/>
      <c r="AB406" s="27"/>
    </row>
    <row r="407" spans="1:28" ht="42" customHeight="1">
      <c r="A407" s="41"/>
      <c r="B407" s="42"/>
      <c r="C407" s="42"/>
      <c r="D407" s="42"/>
      <c r="E407" s="42"/>
      <c r="F407" s="42"/>
      <c r="G407" s="42"/>
      <c r="H407" s="45"/>
      <c r="I407" s="44"/>
      <c r="J407" s="43"/>
      <c r="K407" s="44"/>
      <c r="L407" s="14">
        <f t="shared" si="18"/>
        <v>0</v>
      </c>
      <c r="M407" s="14">
        <f>IF(OR(L407=0,T407&lt;&gt;"Sim"),0,INDEX(Processos!$X$10:$X$509,O407))</f>
        <v>0</v>
      </c>
      <c r="N407" s="40" t="str">
        <f t="shared" si="19"/>
        <v/>
      </c>
      <c r="O407" s="14">
        <f>IF(AND(A407&lt;&gt;"",ISTEXT(A407),COUNTIFS(Processos!$AS$10:$AS$509,"="&amp;SUBSTITUTE(SUBSTITUTE(SUBSTITUTE("P:"&amp;A407,"~","~~"),"*","~*"),"?","~?"))=1),(IF(ISNA(MATCH(SUBSTITUTE(SUBSTITUTE(SUBSTITUTE("P:"&amp;A407,"~","~~"),"*","~*"),"?","~?"),Processos!$AS$10:$AS$509,0)),9,INDEX(Processos!$AM$10:$AM$509,MATCH(SUBSTITUTE(SUBSTITUTE(SUBSTITUTE("P:"&amp;A407,"~","~~"),"*","~*"),"?","~?"),Processos!$AS$10:$AS$509,0)))-9),0)</f>
        <v>0</v>
      </c>
      <c r="P407" s="14" t="str">
        <f>IF(L407=0,"",INDEX(Processos!$D$10:$D$509,O407))</f>
        <v/>
      </c>
      <c r="Q407" s="14">
        <f>IF(OR(L407=0,T407&lt;&gt;"Sim"),0,INDEX(Processos!$AL$10:$AL$509,O407))</f>
        <v>0</v>
      </c>
      <c r="R407" s="14">
        <f>ROW()</f>
        <v>407</v>
      </c>
      <c r="S407" s="14" t="str">
        <f t="shared" si="20"/>
        <v/>
      </c>
      <c r="T407" s="27" t="s">
        <v>1113</v>
      </c>
      <c r="U407" s="28"/>
      <c r="V407" s="28"/>
      <c r="W407" s="28"/>
      <c r="X407" s="28"/>
      <c r="Y407" s="27"/>
      <c r="Z407" s="27"/>
      <c r="AA407" s="27"/>
      <c r="AB407" s="27"/>
    </row>
    <row r="408" spans="1:28" ht="42" customHeight="1">
      <c r="A408" s="41"/>
      <c r="B408" s="42"/>
      <c r="C408" s="42"/>
      <c r="D408" s="42"/>
      <c r="E408" s="42"/>
      <c r="F408" s="42"/>
      <c r="G408" s="42"/>
      <c r="H408" s="45"/>
      <c r="I408" s="44"/>
      <c r="J408" s="43"/>
      <c r="K408" s="44"/>
      <c r="L408" s="14">
        <f t="shared" si="18"/>
        <v>0</v>
      </c>
      <c r="M408" s="14">
        <f>IF(OR(L408=0,T408&lt;&gt;"Sim"),0,INDEX(Processos!$X$10:$X$509,O408))</f>
        <v>0</v>
      </c>
      <c r="N408" s="40" t="str">
        <f t="shared" si="19"/>
        <v/>
      </c>
      <c r="O408" s="14">
        <f>IF(AND(A408&lt;&gt;"",ISTEXT(A408),COUNTIFS(Processos!$AS$10:$AS$509,"="&amp;SUBSTITUTE(SUBSTITUTE(SUBSTITUTE("P:"&amp;A408,"~","~~"),"*","~*"),"?","~?"))=1),(IF(ISNA(MATCH(SUBSTITUTE(SUBSTITUTE(SUBSTITUTE("P:"&amp;A408,"~","~~"),"*","~*"),"?","~?"),Processos!$AS$10:$AS$509,0)),9,INDEX(Processos!$AM$10:$AM$509,MATCH(SUBSTITUTE(SUBSTITUTE(SUBSTITUTE("P:"&amp;A408,"~","~~"),"*","~*"),"?","~?"),Processos!$AS$10:$AS$509,0)))-9),0)</f>
        <v>0</v>
      </c>
      <c r="P408" s="14" t="str">
        <f>IF(L408=0,"",INDEX(Processos!$D$10:$D$509,O408))</f>
        <v/>
      </c>
      <c r="Q408" s="14">
        <f>IF(OR(L408=0,T408&lt;&gt;"Sim"),0,INDEX(Processos!$AL$10:$AL$509,O408))</f>
        <v>0</v>
      </c>
      <c r="R408" s="14">
        <f>ROW()</f>
        <v>408</v>
      </c>
      <c r="S408" s="14" t="str">
        <f t="shared" si="20"/>
        <v/>
      </c>
      <c r="T408" s="27" t="s">
        <v>1113</v>
      </c>
      <c r="U408" s="28"/>
      <c r="V408" s="28"/>
      <c r="W408" s="28"/>
      <c r="X408" s="28"/>
      <c r="Y408" s="27"/>
      <c r="Z408" s="27"/>
      <c r="AA408" s="27"/>
      <c r="AB408" s="27"/>
    </row>
    <row r="409" spans="1:28" ht="42" customHeight="1">
      <c r="A409" s="41"/>
      <c r="B409" s="42"/>
      <c r="C409" s="42"/>
      <c r="D409" s="42"/>
      <c r="E409" s="42"/>
      <c r="F409" s="42"/>
      <c r="G409" s="42"/>
      <c r="H409" s="45"/>
      <c r="I409" s="44"/>
      <c r="J409" s="43"/>
      <c r="K409" s="44"/>
      <c r="L409" s="14">
        <f t="shared" si="18"/>
        <v>0</v>
      </c>
      <c r="M409" s="14">
        <f>IF(OR(L409=0,T409&lt;&gt;"Sim"),0,INDEX(Processos!$X$10:$X$509,O409))</f>
        <v>0</v>
      </c>
      <c r="N409" s="40" t="str">
        <f t="shared" si="19"/>
        <v/>
      </c>
      <c r="O409" s="14">
        <f>IF(AND(A409&lt;&gt;"",ISTEXT(A409),COUNTIFS(Processos!$AS$10:$AS$509,"="&amp;SUBSTITUTE(SUBSTITUTE(SUBSTITUTE("P:"&amp;A409,"~","~~"),"*","~*"),"?","~?"))=1),(IF(ISNA(MATCH(SUBSTITUTE(SUBSTITUTE(SUBSTITUTE("P:"&amp;A409,"~","~~"),"*","~*"),"?","~?"),Processos!$AS$10:$AS$509,0)),9,INDEX(Processos!$AM$10:$AM$509,MATCH(SUBSTITUTE(SUBSTITUTE(SUBSTITUTE("P:"&amp;A409,"~","~~"),"*","~*"),"?","~?"),Processos!$AS$10:$AS$509,0)))-9),0)</f>
        <v>0</v>
      </c>
      <c r="P409" s="14" t="str">
        <f>IF(L409=0,"",INDEX(Processos!$D$10:$D$509,O409))</f>
        <v/>
      </c>
      <c r="Q409" s="14">
        <f>IF(OR(L409=0,T409&lt;&gt;"Sim"),0,INDEX(Processos!$AL$10:$AL$509,O409))</f>
        <v>0</v>
      </c>
      <c r="R409" s="14">
        <f>ROW()</f>
        <v>409</v>
      </c>
      <c r="S409" s="14" t="str">
        <f t="shared" si="20"/>
        <v/>
      </c>
      <c r="T409" s="27" t="s">
        <v>1113</v>
      </c>
      <c r="U409" s="28"/>
      <c r="V409" s="28"/>
      <c r="W409" s="28"/>
      <c r="X409" s="28"/>
      <c r="Y409" s="27"/>
      <c r="Z409" s="27"/>
      <c r="AA409" s="27"/>
      <c r="AB409" s="27"/>
    </row>
    <row r="410" spans="1:28" ht="42" customHeight="1">
      <c r="A410" s="41"/>
      <c r="B410" s="42"/>
      <c r="C410" s="42"/>
      <c r="D410" s="42"/>
      <c r="E410" s="42"/>
      <c r="F410" s="42"/>
      <c r="G410" s="42"/>
      <c r="H410" s="45"/>
      <c r="I410" s="44"/>
      <c r="J410" s="43"/>
      <c r="K410" s="44"/>
      <c r="L410" s="14">
        <f t="shared" si="18"/>
        <v>0</v>
      </c>
      <c r="M410" s="14">
        <f>IF(OR(L410=0,T410&lt;&gt;"Sim"),0,INDEX(Processos!$X$10:$X$509,O410))</f>
        <v>0</v>
      </c>
      <c r="N410" s="40" t="str">
        <f t="shared" si="19"/>
        <v/>
      </c>
      <c r="O410" s="14">
        <f>IF(AND(A410&lt;&gt;"",ISTEXT(A410),COUNTIFS(Processos!$AS$10:$AS$509,"="&amp;SUBSTITUTE(SUBSTITUTE(SUBSTITUTE("P:"&amp;A410,"~","~~"),"*","~*"),"?","~?"))=1),(IF(ISNA(MATCH(SUBSTITUTE(SUBSTITUTE(SUBSTITUTE("P:"&amp;A410,"~","~~"),"*","~*"),"?","~?"),Processos!$AS$10:$AS$509,0)),9,INDEX(Processos!$AM$10:$AM$509,MATCH(SUBSTITUTE(SUBSTITUTE(SUBSTITUTE("P:"&amp;A410,"~","~~"),"*","~*"),"?","~?"),Processos!$AS$10:$AS$509,0)))-9),0)</f>
        <v>0</v>
      </c>
      <c r="P410" s="14" t="str">
        <f>IF(L410=0,"",INDEX(Processos!$D$10:$D$509,O410))</f>
        <v/>
      </c>
      <c r="Q410" s="14">
        <f>IF(OR(L410=0,T410&lt;&gt;"Sim"),0,INDEX(Processos!$AL$10:$AL$509,O410))</f>
        <v>0</v>
      </c>
      <c r="R410" s="14">
        <f>ROW()</f>
        <v>410</v>
      </c>
      <c r="S410" s="14" t="str">
        <f t="shared" si="20"/>
        <v/>
      </c>
      <c r="T410" s="27" t="s">
        <v>1113</v>
      </c>
      <c r="U410" s="28"/>
      <c r="V410" s="28"/>
      <c r="W410" s="28"/>
      <c r="X410" s="28"/>
      <c r="Y410" s="27"/>
      <c r="Z410" s="27"/>
      <c r="AA410" s="27"/>
      <c r="AB410" s="27"/>
    </row>
    <row r="411" spans="1:28" ht="42" customHeight="1">
      <c r="A411" s="41"/>
      <c r="B411" s="42"/>
      <c r="C411" s="42"/>
      <c r="D411" s="42"/>
      <c r="E411" s="42"/>
      <c r="F411" s="42"/>
      <c r="G411" s="42"/>
      <c r="H411" s="45"/>
      <c r="I411" s="44"/>
      <c r="J411" s="43"/>
      <c r="K411" s="44"/>
      <c r="L411" s="14">
        <f t="shared" si="18"/>
        <v>0</v>
      </c>
      <c r="M411" s="14">
        <f>IF(OR(L411=0,T411&lt;&gt;"Sim"),0,INDEX(Processos!$X$10:$X$509,O411))</f>
        <v>0</v>
      </c>
      <c r="N411" s="40" t="str">
        <f t="shared" si="19"/>
        <v/>
      </c>
      <c r="O411" s="14">
        <f>IF(AND(A411&lt;&gt;"",ISTEXT(A411),COUNTIFS(Processos!$AS$10:$AS$509,"="&amp;SUBSTITUTE(SUBSTITUTE(SUBSTITUTE("P:"&amp;A411,"~","~~"),"*","~*"),"?","~?"))=1),(IF(ISNA(MATCH(SUBSTITUTE(SUBSTITUTE(SUBSTITUTE("P:"&amp;A411,"~","~~"),"*","~*"),"?","~?"),Processos!$AS$10:$AS$509,0)),9,INDEX(Processos!$AM$10:$AM$509,MATCH(SUBSTITUTE(SUBSTITUTE(SUBSTITUTE("P:"&amp;A411,"~","~~"),"*","~*"),"?","~?"),Processos!$AS$10:$AS$509,0)))-9),0)</f>
        <v>0</v>
      </c>
      <c r="P411" s="14" t="str">
        <f>IF(L411=0,"",INDEX(Processos!$D$10:$D$509,O411))</f>
        <v/>
      </c>
      <c r="Q411" s="14">
        <f>IF(OR(L411=0,T411&lt;&gt;"Sim"),0,INDEX(Processos!$AL$10:$AL$509,O411))</f>
        <v>0</v>
      </c>
      <c r="R411" s="14">
        <f>ROW()</f>
        <v>411</v>
      </c>
      <c r="S411" s="14" t="str">
        <f t="shared" si="20"/>
        <v/>
      </c>
      <c r="T411" s="27" t="s">
        <v>1113</v>
      </c>
      <c r="U411" s="28"/>
      <c r="V411" s="28"/>
      <c r="W411" s="28"/>
      <c r="X411" s="28"/>
      <c r="Y411" s="27"/>
      <c r="Z411" s="27"/>
      <c r="AA411" s="27"/>
      <c r="AB411" s="27"/>
    </row>
    <row r="412" spans="1:28" ht="42" customHeight="1">
      <c r="A412" s="41"/>
      <c r="B412" s="42"/>
      <c r="C412" s="42"/>
      <c r="D412" s="42"/>
      <c r="E412" s="42"/>
      <c r="F412" s="42"/>
      <c r="G412" s="42"/>
      <c r="H412" s="45"/>
      <c r="I412" s="44"/>
      <c r="J412" s="43"/>
      <c r="K412" s="44"/>
      <c r="L412" s="14">
        <f t="shared" si="18"/>
        <v>0</v>
      </c>
      <c r="M412" s="14">
        <f>IF(OR(L412=0,T412&lt;&gt;"Sim"),0,INDEX(Processos!$X$10:$X$509,O412))</f>
        <v>0</v>
      </c>
      <c r="N412" s="40" t="str">
        <f t="shared" si="19"/>
        <v/>
      </c>
      <c r="O412" s="14">
        <f>IF(AND(A412&lt;&gt;"",ISTEXT(A412),COUNTIFS(Processos!$AS$10:$AS$509,"="&amp;SUBSTITUTE(SUBSTITUTE(SUBSTITUTE("P:"&amp;A412,"~","~~"),"*","~*"),"?","~?"))=1),(IF(ISNA(MATCH(SUBSTITUTE(SUBSTITUTE(SUBSTITUTE("P:"&amp;A412,"~","~~"),"*","~*"),"?","~?"),Processos!$AS$10:$AS$509,0)),9,INDEX(Processos!$AM$10:$AM$509,MATCH(SUBSTITUTE(SUBSTITUTE(SUBSTITUTE("P:"&amp;A412,"~","~~"),"*","~*"),"?","~?"),Processos!$AS$10:$AS$509,0)))-9),0)</f>
        <v>0</v>
      </c>
      <c r="P412" s="14" t="str">
        <f>IF(L412=0,"",INDEX(Processos!$D$10:$D$509,O412))</f>
        <v/>
      </c>
      <c r="Q412" s="14">
        <f>IF(OR(L412=0,T412&lt;&gt;"Sim"),0,INDEX(Processos!$AL$10:$AL$509,O412))</f>
        <v>0</v>
      </c>
      <c r="R412" s="14">
        <f>ROW()</f>
        <v>412</v>
      </c>
      <c r="S412" s="14" t="str">
        <f t="shared" si="20"/>
        <v/>
      </c>
      <c r="T412" s="27" t="s">
        <v>1113</v>
      </c>
      <c r="U412" s="28"/>
      <c r="V412" s="28"/>
      <c r="W412" s="28"/>
      <c r="X412" s="28"/>
      <c r="Y412" s="27"/>
      <c r="Z412" s="27"/>
      <c r="AA412" s="27"/>
      <c r="AB412" s="27"/>
    </row>
    <row r="413" spans="1:28" ht="42" customHeight="1">
      <c r="A413" s="41"/>
      <c r="B413" s="42"/>
      <c r="C413" s="42"/>
      <c r="D413" s="42"/>
      <c r="E413" s="42"/>
      <c r="F413" s="42"/>
      <c r="G413" s="42"/>
      <c r="H413" s="45"/>
      <c r="I413" s="44"/>
      <c r="J413" s="43"/>
      <c r="K413" s="44"/>
      <c r="L413" s="14">
        <f t="shared" si="18"/>
        <v>0</v>
      </c>
      <c r="M413" s="14">
        <f>IF(OR(L413=0,T413&lt;&gt;"Sim"),0,INDEX(Processos!$X$10:$X$509,O413))</f>
        <v>0</v>
      </c>
      <c r="N413" s="40" t="str">
        <f t="shared" si="19"/>
        <v/>
      </c>
      <c r="O413" s="14">
        <f>IF(AND(A413&lt;&gt;"",ISTEXT(A413),COUNTIFS(Processos!$AS$10:$AS$509,"="&amp;SUBSTITUTE(SUBSTITUTE(SUBSTITUTE("P:"&amp;A413,"~","~~"),"*","~*"),"?","~?"))=1),(IF(ISNA(MATCH(SUBSTITUTE(SUBSTITUTE(SUBSTITUTE("P:"&amp;A413,"~","~~"),"*","~*"),"?","~?"),Processos!$AS$10:$AS$509,0)),9,INDEX(Processos!$AM$10:$AM$509,MATCH(SUBSTITUTE(SUBSTITUTE(SUBSTITUTE("P:"&amp;A413,"~","~~"),"*","~*"),"?","~?"),Processos!$AS$10:$AS$509,0)))-9),0)</f>
        <v>0</v>
      </c>
      <c r="P413" s="14" t="str">
        <f>IF(L413=0,"",INDEX(Processos!$D$10:$D$509,O413))</f>
        <v/>
      </c>
      <c r="Q413" s="14">
        <f>IF(OR(L413=0,T413&lt;&gt;"Sim"),0,INDEX(Processos!$AL$10:$AL$509,O413))</f>
        <v>0</v>
      </c>
      <c r="R413" s="14">
        <f>ROW()</f>
        <v>413</v>
      </c>
      <c r="S413" s="14" t="str">
        <f t="shared" si="20"/>
        <v/>
      </c>
      <c r="T413" s="27" t="s">
        <v>1113</v>
      </c>
      <c r="U413" s="28"/>
      <c r="V413" s="28"/>
      <c r="W413" s="28"/>
      <c r="X413" s="28"/>
      <c r="Y413" s="27"/>
      <c r="Z413" s="27"/>
      <c r="AA413" s="27"/>
      <c r="AB413" s="27"/>
    </row>
    <row r="414" spans="1:28" ht="42" customHeight="1">
      <c r="A414" s="41"/>
      <c r="B414" s="42"/>
      <c r="C414" s="42"/>
      <c r="D414" s="42"/>
      <c r="E414" s="42"/>
      <c r="F414" s="42"/>
      <c r="G414" s="42"/>
      <c r="H414" s="45"/>
      <c r="I414" s="44"/>
      <c r="J414" s="43"/>
      <c r="K414" s="44"/>
      <c r="L414" s="14">
        <f t="shared" si="18"/>
        <v>0</v>
      </c>
      <c r="M414" s="14">
        <f>IF(OR(L414=0,T414&lt;&gt;"Sim"),0,INDEX(Processos!$X$10:$X$509,O414))</f>
        <v>0</v>
      </c>
      <c r="N414" s="40" t="str">
        <f t="shared" si="19"/>
        <v/>
      </c>
      <c r="O414" s="14">
        <f>IF(AND(A414&lt;&gt;"",ISTEXT(A414),COUNTIFS(Processos!$AS$10:$AS$509,"="&amp;SUBSTITUTE(SUBSTITUTE(SUBSTITUTE("P:"&amp;A414,"~","~~"),"*","~*"),"?","~?"))=1),(IF(ISNA(MATCH(SUBSTITUTE(SUBSTITUTE(SUBSTITUTE("P:"&amp;A414,"~","~~"),"*","~*"),"?","~?"),Processos!$AS$10:$AS$509,0)),9,INDEX(Processos!$AM$10:$AM$509,MATCH(SUBSTITUTE(SUBSTITUTE(SUBSTITUTE("P:"&amp;A414,"~","~~"),"*","~*"),"?","~?"),Processos!$AS$10:$AS$509,0)))-9),0)</f>
        <v>0</v>
      </c>
      <c r="P414" s="14" t="str">
        <f>IF(L414=0,"",INDEX(Processos!$D$10:$D$509,O414))</f>
        <v/>
      </c>
      <c r="Q414" s="14">
        <f>IF(OR(L414=0,T414&lt;&gt;"Sim"),0,INDEX(Processos!$AL$10:$AL$509,O414))</f>
        <v>0</v>
      </c>
      <c r="R414" s="14">
        <f>ROW()</f>
        <v>414</v>
      </c>
      <c r="S414" s="14" t="str">
        <f t="shared" si="20"/>
        <v/>
      </c>
      <c r="T414" s="27" t="s">
        <v>1113</v>
      </c>
      <c r="U414" s="28"/>
      <c r="V414" s="28"/>
      <c r="W414" s="28"/>
      <c r="X414" s="28"/>
      <c r="Y414" s="27"/>
      <c r="Z414" s="27"/>
      <c r="AA414" s="27"/>
      <c r="AB414" s="27"/>
    </row>
    <row r="415" spans="1:28" ht="42" customHeight="1">
      <c r="A415" s="41"/>
      <c r="B415" s="42"/>
      <c r="C415" s="42"/>
      <c r="D415" s="42"/>
      <c r="E415" s="42"/>
      <c r="F415" s="42"/>
      <c r="G415" s="42"/>
      <c r="H415" s="45"/>
      <c r="I415" s="44"/>
      <c r="J415" s="43"/>
      <c r="K415" s="44"/>
      <c r="L415" s="14">
        <f t="shared" si="18"/>
        <v>0</v>
      </c>
      <c r="M415" s="14">
        <f>IF(OR(L415=0,T415&lt;&gt;"Sim"),0,INDEX(Processos!$X$10:$X$509,O415))</f>
        <v>0</v>
      </c>
      <c r="N415" s="40" t="str">
        <f t="shared" si="19"/>
        <v/>
      </c>
      <c r="O415" s="14">
        <f>IF(AND(A415&lt;&gt;"",ISTEXT(A415),COUNTIFS(Processos!$AS$10:$AS$509,"="&amp;SUBSTITUTE(SUBSTITUTE(SUBSTITUTE("P:"&amp;A415,"~","~~"),"*","~*"),"?","~?"))=1),(IF(ISNA(MATCH(SUBSTITUTE(SUBSTITUTE(SUBSTITUTE("P:"&amp;A415,"~","~~"),"*","~*"),"?","~?"),Processos!$AS$10:$AS$509,0)),9,INDEX(Processos!$AM$10:$AM$509,MATCH(SUBSTITUTE(SUBSTITUTE(SUBSTITUTE("P:"&amp;A415,"~","~~"),"*","~*"),"?","~?"),Processos!$AS$10:$AS$509,0)))-9),0)</f>
        <v>0</v>
      </c>
      <c r="P415" s="14" t="str">
        <f>IF(L415=0,"",INDEX(Processos!$D$10:$D$509,O415))</f>
        <v/>
      </c>
      <c r="Q415" s="14">
        <f>IF(OR(L415=0,T415&lt;&gt;"Sim"),0,INDEX(Processos!$AL$10:$AL$509,O415))</f>
        <v>0</v>
      </c>
      <c r="R415" s="14">
        <f>ROW()</f>
        <v>415</v>
      </c>
      <c r="S415" s="14" t="str">
        <f t="shared" si="20"/>
        <v/>
      </c>
      <c r="T415" s="27" t="s">
        <v>1113</v>
      </c>
      <c r="U415" s="28"/>
      <c r="V415" s="28"/>
      <c r="W415" s="28"/>
      <c r="X415" s="28"/>
      <c r="Y415" s="27"/>
      <c r="Z415" s="27"/>
      <c r="AA415" s="27"/>
      <c r="AB415" s="27"/>
    </row>
    <row r="416" spans="1:28" ht="42" customHeight="1">
      <c r="A416" s="41"/>
      <c r="B416" s="42"/>
      <c r="C416" s="42"/>
      <c r="D416" s="42"/>
      <c r="E416" s="42"/>
      <c r="F416" s="42"/>
      <c r="G416" s="42"/>
      <c r="H416" s="45"/>
      <c r="I416" s="44"/>
      <c r="J416" s="43"/>
      <c r="K416" s="44"/>
      <c r="L416" s="14">
        <f t="shared" si="18"/>
        <v>0</v>
      </c>
      <c r="M416" s="14">
        <f>IF(OR(L416=0,T416&lt;&gt;"Sim"),0,INDEX(Processos!$X$10:$X$509,O416))</f>
        <v>0</v>
      </c>
      <c r="N416" s="40" t="str">
        <f t="shared" si="19"/>
        <v/>
      </c>
      <c r="O416" s="14">
        <f>IF(AND(A416&lt;&gt;"",ISTEXT(A416),COUNTIFS(Processos!$AS$10:$AS$509,"="&amp;SUBSTITUTE(SUBSTITUTE(SUBSTITUTE("P:"&amp;A416,"~","~~"),"*","~*"),"?","~?"))=1),(IF(ISNA(MATCH(SUBSTITUTE(SUBSTITUTE(SUBSTITUTE("P:"&amp;A416,"~","~~"),"*","~*"),"?","~?"),Processos!$AS$10:$AS$509,0)),9,INDEX(Processos!$AM$10:$AM$509,MATCH(SUBSTITUTE(SUBSTITUTE(SUBSTITUTE("P:"&amp;A416,"~","~~"),"*","~*"),"?","~?"),Processos!$AS$10:$AS$509,0)))-9),0)</f>
        <v>0</v>
      </c>
      <c r="P416" s="14" t="str">
        <f>IF(L416=0,"",INDEX(Processos!$D$10:$D$509,O416))</f>
        <v/>
      </c>
      <c r="Q416" s="14">
        <f>IF(OR(L416=0,T416&lt;&gt;"Sim"),0,INDEX(Processos!$AL$10:$AL$509,O416))</f>
        <v>0</v>
      </c>
      <c r="R416" s="14">
        <f>ROW()</f>
        <v>416</v>
      </c>
      <c r="S416" s="14" t="str">
        <f t="shared" si="20"/>
        <v/>
      </c>
      <c r="T416" s="27" t="s">
        <v>1113</v>
      </c>
      <c r="U416" s="28"/>
      <c r="V416" s="28"/>
      <c r="W416" s="28"/>
      <c r="X416" s="28"/>
      <c r="Y416" s="27"/>
      <c r="Z416" s="27"/>
      <c r="AA416" s="27"/>
      <c r="AB416" s="27"/>
    </row>
    <row r="417" spans="1:28" ht="42" customHeight="1">
      <c r="A417" s="41"/>
      <c r="B417" s="42"/>
      <c r="C417" s="42"/>
      <c r="D417" s="42"/>
      <c r="E417" s="42"/>
      <c r="F417" s="42"/>
      <c r="G417" s="42"/>
      <c r="H417" s="45"/>
      <c r="I417" s="44"/>
      <c r="J417" s="43"/>
      <c r="K417" s="44"/>
      <c r="L417" s="14">
        <f t="shared" si="18"/>
        <v>0</v>
      </c>
      <c r="M417" s="14">
        <f>IF(OR(L417=0,T417&lt;&gt;"Sim"),0,INDEX(Processos!$X$10:$X$509,O417))</f>
        <v>0</v>
      </c>
      <c r="N417" s="40" t="str">
        <f t="shared" si="19"/>
        <v/>
      </c>
      <c r="O417" s="14">
        <f>IF(AND(A417&lt;&gt;"",ISTEXT(A417),COUNTIFS(Processos!$AS$10:$AS$509,"="&amp;SUBSTITUTE(SUBSTITUTE(SUBSTITUTE("P:"&amp;A417,"~","~~"),"*","~*"),"?","~?"))=1),(IF(ISNA(MATCH(SUBSTITUTE(SUBSTITUTE(SUBSTITUTE("P:"&amp;A417,"~","~~"),"*","~*"),"?","~?"),Processos!$AS$10:$AS$509,0)),9,INDEX(Processos!$AM$10:$AM$509,MATCH(SUBSTITUTE(SUBSTITUTE(SUBSTITUTE("P:"&amp;A417,"~","~~"),"*","~*"),"?","~?"),Processos!$AS$10:$AS$509,0)))-9),0)</f>
        <v>0</v>
      </c>
      <c r="P417" s="14" t="str">
        <f>IF(L417=0,"",INDEX(Processos!$D$10:$D$509,O417))</f>
        <v/>
      </c>
      <c r="Q417" s="14">
        <f>IF(OR(L417=0,T417&lt;&gt;"Sim"),0,INDEX(Processos!$AL$10:$AL$509,O417))</f>
        <v>0</v>
      </c>
      <c r="R417" s="14">
        <f>ROW()</f>
        <v>417</v>
      </c>
      <c r="S417" s="14" t="str">
        <f t="shared" si="20"/>
        <v/>
      </c>
      <c r="T417" s="27" t="s">
        <v>1113</v>
      </c>
      <c r="U417" s="28"/>
      <c r="V417" s="28"/>
      <c r="W417" s="28"/>
      <c r="X417" s="28"/>
      <c r="Y417" s="27"/>
      <c r="Z417" s="27"/>
      <c r="AA417" s="27"/>
      <c r="AB417" s="27"/>
    </row>
    <row r="418" spans="1:28" ht="42" customHeight="1">
      <c r="A418" s="41"/>
      <c r="B418" s="42"/>
      <c r="C418" s="42"/>
      <c r="D418" s="42"/>
      <c r="E418" s="42"/>
      <c r="F418" s="42"/>
      <c r="G418" s="42"/>
      <c r="H418" s="45"/>
      <c r="I418" s="44"/>
      <c r="J418" s="43"/>
      <c r="K418" s="44"/>
      <c r="L418" s="14">
        <f t="shared" si="18"/>
        <v>0</v>
      </c>
      <c r="M418" s="14">
        <f>IF(OR(L418=0,T418&lt;&gt;"Sim"),0,INDEX(Processos!$X$10:$X$509,O418))</f>
        <v>0</v>
      </c>
      <c r="N418" s="40" t="str">
        <f t="shared" si="19"/>
        <v/>
      </c>
      <c r="O418" s="14">
        <f>IF(AND(A418&lt;&gt;"",ISTEXT(A418),COUNTIFS(Processos!$AS$10:$AS$509,"="&amp;SUBSTITUTE(SUBSTITUTE(SUBSTITUTE("P:"&amp;A418,"~","~~"),"*","~*"),"?","~?"))=1),(IF(ISNA(MATCH(SUBSTITUTE(SUBSTITUTE(SUBSTITUTE("P:"&amp;A418,"~","~~"),"*","~*"),"?","~?"),Processos!$AS$10:$AS$509,0)),9,INDEX(Processos!$AM$10:$AM$509,MATCH(SUBSTITUTE(SUBSTITUTE(SUBSTITUTE("P:"&amp;A418,"~","~~"),"*","~*"),"?","~?"),Processos!$AS$10:$AS$509,0)))-9),0)</f>
        <v>0</v>
      </c>
      <c r="P418" s="14" t="str">
        <f>IF(L418=0,"",INDEX(Processos!$D$10:$D$509,O418))</f>
        <v/>
      </c>
      <c r="Q418" s="14">
        <f>IF(OR(L418=0,T418&lt;&gt;"Sim"),0,INDEX(Processos!$AL$10:$AL$509,O418))</f>
        <v>0</v>
      </c>
      <c r="R418" s="14">
        <f>ROW()</f>
        <v>418</v>
      </c>
      <c r="S418" s="14" t="str">
        <f t="shared" si="20"/>
        <v/>
      </c>
      <c r="T418" s="27" t="s">
        <v>1113</v>
      </c>
      <c r="U418" s="28"/>
      <c r="V418" s="28"/>
      <c r="W418" s="28"/>
      <c r="X418" s="28"/>
      <c r="Y418" s="27"/>
      <c r="Z418" s="27"/>
      <c r="AA418" s="27"/>
      <c r="AB418" s="27"/>
    </row>
    <row r="419" spans="1:28" ht="42" customHeight="1">
      <c r="A419" s="41"/>
      <c r="B419" s="42"/>
      <c r="C419" s="42"/>
      <c r="D419" s="42"/>
      <c r="E419" s="42"/>
      <c r="F419" s="42"/>
      <c r="G419" s="42"/>
      <c r="H419" s="45"/>
      <c r="I419" s="44"/>
      <c r="J419" s="43"/>
      <c r="K419" s="44"/>
      <c r="L419" s="14">
        <f t="shared" si="18"/>
        <v>0</v>
      </c>
      <c r="M419" s="14">
        <f>IF(OR(L419=0,T419&lt;&gt;"Sim"),0,INDEX(Processos!$X$10:$X$509,O419))</f>
        <v>0</v>
      </c>
      <c r="N419" s="40" t="str">
        <f t="shared" si="19"/>
        <v/>
      </c>
      <c r="O419" s="14">
        <f>IF(AND(A419&lt;&gt;"",ISTEXT(A419),COUNTIFS(Processos!$AS$10:$AS$509,"="&amp;SUBSTITUTE(SUBSTITUTE(SUBSTITUTE("P:"&amp;A419,"~","~~"),"*","~*"),"?","~?"))=1),(IF(ISNA(MATCH(SUBSTITUTE(SUBSTITUTE(SUBSTITUTE("P:"&amp;A419,"~","~~"),"*","~*"),"?","~?"),Processos!$AS$10:$AS$509,0)),9,INDEX(Processos!$AM$10:$AM$509,MATCH(SUBSTITUTE(SUBSTITUTE(SUBSTITUTE("P:"&amp;A419,"~","~~"),"*","~*"),"?","~?"),Processos!$AS$10:$AS$509,0)))-9),0)</f>
        <v>0</v>
      </c>
      <c r="P419" s="14" t="str">
        <f>IF(L419=0,"",INDEX(Processos!$D$10:$D$509,O419))</f>
        <v/>
      </c>
      <c r="Q419" s="14">
        <f>IF(OR(L419=0,T419&lt;&gt;"Sim"),0,INDEX(Processos!$AL$10:$AL$509,O419))</f>
        <v>0</v>
      </c>
      <c r="R419" s="14">
        <f>ROW()</f>
        <v>419</v>
      </c>
      <c r="S419" s="14" t="str">
        <f t="shared" si="20"/>
        <v/>
      </c>
      <c r="T419" s="27" t="s">
        <v>1113</v>
      </c>
      <c r="U419" s="28"/>
      <c r="V419" s="28"/>
      <c r="W419" s="28"/>
      <c r="X419" s="28"/>
      <c r="Y419" s="27"/>
      <c r="Z419" s="27"/>
      <c r="AA419" s="27"/>
      <c r="AB419" s="27"/>
    </row>
    <row r="420" spans="1:28" ht="42" customHeight="1">
      <c r="A420" s="41"/>
      <c r="B420" s="42"/>
      <c r="C420" s="42"/>
      <c r="D420" s="42"/>
      <c r="E420" s="42"/>
      <c r="F420" s="42"/>
      <c r="G420" s="42"/>
      <c r="H420" s="45"/>
      <c r="I420" s="44"/>
      <c r="J420" s="43"/>
      <c r="K420" s="44"/>
      <c r="L420" s="14">
        <f t="shared" si="18"/>
        <v>0</v>
      </c>
      <c r="M420" s="14">
        <f>IF(OR(L420=0,T420&lt;&gt;"Sim"),0,INDEX(Processos!$X$10:$X$509,O420))</f>
        <v>0</v>
      </c>
      <c r="N420" s="40" t="str">
        <f t="shared" si="19"/>
        <v/>
      </c>
      <c r="O420" s="14">
        <f>IF(AND(A420&lt;&gt;"",ISTEXT(A420),COUNTIFS(Processos!$AS$10:$AS$509,"="&amp;SUBSTITUTE(SUBSTITUTE(SUBSTITUTE("P:"&amp;A420,"~","~~"),"*","~*"),"?","~?"))=1),(IF(ISNA(MATCH(SUBSTITUTE(SUBSTITUTE(SUBSTITUTE("P:"&amp;A420,"~","~~"),"*","~*"),"?","~?"),Processos!$AS$10:$AS$509,0)),9,INDEX(Processos!$AM$10:$AM$509,MATCH(SUBSTITUTE(SUBSTITUTE(SUBSTITUTE("P:"&amp;A420,"~","~~"),"*","~*"),"?","~?"),Processos!$AS$10:$AS$509,0)))-9),0)</f>
        <v>0</v>
      </c>
      <c r="P420" s="14" t="str">
        <f>IF(L420=0,"",INDEX(Processos!$D$10:$D$509,O420))</f>
        <v/>
      </c>
      <c r="Q420" s="14">
        <f>IF(OR(L420=0,T420&lt;&gt;"Sim"),0,INDEX(Processos!$AL$10:$AL$509,O420))</f>
        <v>0</v>
      </c>
      <c r="R420" s="14">
        <f>ROW()</f>
        <v>420</v>
      </c>
      <c r="S420" s="14" t="str">
        <f t="shared" si="20"/>
        <v/>
      </c>
      <c r="T420" s="27" t="s">
        <v>1113</v>
      </c>
      <c r="U420" s="28"/>
      <c r="V420" s="28"/>
      <c r="W420" s="28"/>
      <c r="X420" s="28"/>
      <c r="Y420" s="27"/>
      <c r="Z420" s="27"/>
      <c r="AA420" s="27"/>
      <c r="AB420" s="27"/>
    </row>
    <row r="421" spans="1:28" ht="42" customHeight="1">
      <c r="A421" s="41"/>
      <c r="B421" s="42"/>
      <c r="C421" s="42"/>
      <c r="D421" s="42"/>
      <c r="E421" s="42"/>
      <c r="F421" s="42"/>
      <c r="G421" s="42"/>
      <c r="H421" s="45"/>
      <c r="I421" s="44"/>
      <c r="J421" s="43"/>
      <c r="K421" s="44"/>
      <c r="L421" s="14">
        <f t="shared" si="18"/>
        <v>0</v>
      </c>
      <c r="M421" s="14">
        <f>IF(OR(L421=0,T421&lt;&gt;"Sim"),0,INDEX(Processos!$X$10:$X$509,O421))</f>
        <v>0</v>
      </c>
      <c r="N421" s="40" t="str">
        <f t="shared" si="19"/>
        <v/>
      </c>
      <c r="O421" s="14">
        <f>IF(AND(A421&lt;&gt;"",ISTEXT(A421),COUNTIFS(Processos!$AS$10:$AS$509,"="&amp;SUBSTITUTE(SUBSTITUTE(SUBSTITUTE("P:"&amp;A421,"~","~~"),"*","~*"),"?","~?"))=1),(IF(ISNA(MATCH(SUBSTITUTE(SUBSTITUTE(SUBSTITUTE("P:"&amp;A421,"~","~~"),"*","~*"),"?","~?"),Processos!$AS$10:$AS$509,0)),9,INDEX(Processos!$AM$10:$AM$509,MATCH(SUBSTITUTE(SUBSTITUTE(SUBSTITUTE("P:"&amp;A421,"~","~~"),"*","~*"),"?","~?"),Processos!$AS$10:$AS$509,0)))-9),0)</f>
        <v>0</v>
      </c>
      <c r="P421" s="14" t="str">
        <f>IF(L421=0,"",INDEX(Processos!$D$10:$D$509,O421))</f>
        <v/>
      </c>
      <c r="Q421" s="14">
        <f>IF(OR(L421=0,T421&lt;&gt;"Sim"),0,INDEX(Processos!$AL$10:$AL$509,O421))</f>
        <v>0</v>
      </c>
      <c r="R421" s="14">
        <f>ROW()</f>
        <v>421</v>
      </c>
      <c r="S421" s="14" t="str">
        <f t="shared" si="20"/>
        <v/>
      </c>
      <c r="T421" s="27" t="s">
        <v>1113</v>
      </c>
      <c r="U421" s="28"/>
      <c r="V421" s="28"/>
      <c r="W421" s="28"/>
      <c r="X421" s="28"/>
      <c r="Y421" s="27"/>
      <c r="Z421" s="27"/>
      <c r="AA421" s="27"/>
      <c r="AB421" s="27"/>
    </row>
    <row r="422" spans="1:28" ht="42" customHeight="1">
      <c r="A422" s="41"/>
      <c r="B422" s="42"/>
      <c r="C422" s="42"/>
      <c r="D422" s="42"/>
      <c r="E422" s="42"/>
      <c r="F422" s="42"/>
      <c r="G422" s="42"/>
      <c r="H422" s="45"/>
      <c r="I422" s="44"/>
      <c r="J422" s="43"/>
      <c r="K422" s="44"/>
      <c r="L422" s="14">
        <f t="shared" si="18"/>
        <v>0</v>
      </c>
      <c r="M422" s="14">
        <f>IF(OR(L422=0,T422&lt;&gt;"Sim"),0,INDEX(Processos!$X$10:$X$509,O422))</f>
        <v>0</v>
      </c>
      <c r="N422" s="40" t="str">
        <f t="shared" si="19"/>
        <v/>
      </c>
      <c r="O422" s="14">
        <f>IF(AND(A422&lt;&gt;"",ISTEXT(A422),COUNTIFS(Processos!$AS$10:$AS$509,"="&amp;SUBSTITUTE(SUBSTITUTE(SUBSTITUTE("P:"&amp;A422,"~","~~"),"*","~*"),"?","~?"))=1),(IF(ISNA(MATCH(SUBSTITUTE(SUBSTITUTE(SUBSTITUTE("P:"&amp;A422,"~","~~"),"*","~*"),"?","~?"),Processos!$AS$10:$AS$509,0)),9,INDEX(Processos!$AM$10:$AM$509,MATCH(SUBSTITUTE(SUBSTITUTE(SUBSTITUTE("P:"&amp;A422,"~","~~"),"*","~*"),"?","~?"),Processos!$AS$10:$AS$509,0)))-9),0)</f>
        <v>0</v>
      </c>
      <c r="P422" s="14" t="str">
        <f>IF(L422=0,"",INDEX(Processos!$D$10:$D$509,O422))</f>
        <v/>
      </c>
      <c r="Q422" s="14">
        <f>IF(OR(L422=0,T422&lt;&gt;"Sim"),0,INDEX(Processos!$AL$10:$AL$509,O422))</f>
        <v>0</v>
      </c>
      <c r="R422" s="14">
        <f>ROW()</f>
        <v>422</v>
      </c>
      <c r="S422" s="14" t="str">
        <f t="shared" si="20"/>
        <v/>
      </c>
      <c r="T422" s="27" t="s">
        <v>1113</v>
      </c>
      <c r="U422" s="28"/>
      <c r="V422" s="28"/>
      <c r="W422" s="28"/>
      <c r="X422" s="28"/>
      <c r="Y422" s="27"/>
      <c r="Z422" s="27"/>
      <c r="AA422" s="27"/>
      <c r="AB422" s="27"/>
    </row>
    <row r="423" spans="1:28" ht="42" customHeight="1">
      <c r="A423" s="41"/>
      <c r="B423" s="42"/>
      <c r="C423" s="42"/>
      <c r="D423" s="42"/>
      <c r="E423" s="42"/>
      <c r="F423" s="42"/>
      <c r="G423" s="42"/>
      <c r="H423" s="45"/>
      <c r="I423" s="44"/>
      <c r="J423" s="43"/>
      <c r="K423" s="44"/>
      <c r="L423" s="14">
        <f t="shared" si="18"/>
        <v>0</v>
      </c>
      <c r="M423" s="14">
        <f>IF(OR(L423=0,T423&lt;&gt;"Sim"),0,INDEX(Processos!$X$10:$X$509,O423))</f>
        <v>0</v>
      </c>
      <c r="N423" s="40" t="str">
        <f t="shared" si="19"/>
        <v/>
      </c>
      <c r="O423" s="14">
        <f>IF(AND(A423&lt;&gt;"",ISTEXT(A423),COUNTIFS(Processos!$AS$10:$AS$509,"="&amp;SUBSTITUTE(SUBSTITUTE(SUBSTITUTE("P:"&amp;A423,"~","~~"),"*","~*"),"?","~?"))=1),(IF(ISNA(MATCH(SUBSTITUTE(SUBSTITUTE(SUBSTITUTE("P:"&amp;A423,"~","~~"),"*","~*"),"?","~?"),Processos!$AS$10:$AS$509,0)),9,INDEX(Processos!$AM$10:$AM$509,MATCH(SUBSTITUTE(SUBSTITUTE(SUBSTITUTE("P:"&amp;A423,"~","~~"),"*","~*"),"?","~?"),Processos!$AS$10:$AS$509,0)))-9),0)</f>
        <v>0</v>
      </c>
      <c r="P423" s="14" t="str">
        <f>IF(L423=0,"",INDEX(Processos!$D$10:$D$509,O423))</f>
        <v/>
      </c>
      <c r="Q423" s="14">
        <f>IF(OR(L423=0,T423&lt;&gt;"Sim"),0,INDEX(Processos!$AL$10:$AL$509,O423))</f>
        <v>0</v>
      </c>
      <c r="R423" s="14">
        <f>ROW()</f>
        <v>423</v>
      </c>
      <c r="S423" s="14" t="str">
        <f t="shared" si="20"/>
        <v/>
      </c>
      <c r="T423" s="27" t="s">
        <v>1113</v>
      </c>
      <c r="U423" s="28"/>
      <c r="V423" s="28"/>
      <c r="W423" s="28"/>
      <c r="X423" s="28"/>
      <c r="Y423" s="27"/>
      <c r="Z423" s="27"/>
      <c r="AA423" s="27"/>
      <c r="AB423" s="27"/>
    </row>
    <row r="424" spans="1:28" ht="42" customHeight="1">
      <c r="A424" s="41"/>
      <c r="B424" s="42"/>
      <c r="C424" s="42"/>
      <c r="D424" s="42"/>
      <c r="E424" s="42"/>
      <c r="F424" s="42"/>
      <c r="G424" s="42"/>
      <c r="H424" s="45"/>
      <c r="I424" s="44"/>
      <c r="J424" s="43"/>
      <c r="K424" s="44"/>
      <c r="L424" s="14">
        <f t="shared" si="18"/>
        <v>0</v>
      </c>
      <c r="M424" s="14">
        <f>IF(OR(L424=0,T424&lt;&gt;"Sim"),0,INDEX(Processos!$X$10:$X$509,O424))</f>
        <v>0</v>
      </c>
      <c r="N424" s="40" t="str">
        <f t="shared" si="19"/>
        <v/>
      </c>
      <c r="O424" s="14">
        <f>IF(AND(A424&lt;&gt;"",ISTEXT(A424),COUNTIFS(Processos!$AS$10:$AS$509,"="&amp;SUBSTITUTE(SUBSTITUTE(SUBSTITUTE("P:"&amp;A424,"~","~~"),"*","~*"),"?","~?"))=1),(IF(ISNA(MATCH(SUBSTITUTE(SUBSTITUTE(SUBSTITUTE("P:"&amp;A424,"~","~~"),"*","~*"),"?","~?"),Processos!$AS$10:$AS$509,0)),9,INDEX(Processos!$AM$10:$AM$509,MATCH(SUBSTITUTE(SUBSTITUTE(SUBSTITUTE("P:"&amp;A424,"~","~~"),"*","~*"),"?","~?"),Processos!$AS$10:$AS$509,0)))-9),0)</f>
        <v>0</v>
      </c>
      <c r="P424" s="14" t="str">
        <f>IF(L424=0,"",INDEX(Processos!$D$10:$D$509,O424))</f>
        <v/>
      </c>
      <c r="Q424" s="14">
        <f>IF(OR(L424=0,T424&lt;&gt;"Sim"),0,INDEX(Processos!$AL$10:$AL$509,O424))</f>
        <v>0</v>
      </c>
      <c r="R424" s="14">
        <f>ROW()</f>
        <v>424</v>
      </c>
      <c r="S424" s="14" t="str">
        <f t="shared" si="20"/>
        <v/>
      </c>
      <c r="T424" s="27" t="s">
        <v>1113</v>
      </c>
      <c r="U424" s="28"/>
      <c r="V424" s="28"/>
      <c r="W424" s="28"/>
      <c r="X424" s="28"/>
      <c r="Y424" s="27"/>
      <c r="Z424" s="27"/>
      <c r="AA424" s="27"/>
      <c r="AB424" s="27"/>
    </row>
    <row r="425" spans="1:28" ht="42" customHeight="1">
      <c r="A425" s="41"/>
      <c r="B425" s="42"/>
      <c r="C425" s="42"/>
      <c r="D425" s="42"/>
      <c r="E425" s="42"/>
      <c r="F425" s="42"/>
      <c r="G425" s="42"/>
      <c r="H425" s="45"/>
      <c r="I425" s="44"/>
      <c r="J425" s="43"/>
      <c r="K425" s="44"/>
      <c r="L425" s="14">
        <f t="shared" si="18"/>
        <v>0</v>
      </c>
      <c r="M425" s="14">
        <f>IF(OR(L425=0,T425&lt;&gt;"Sim"),0,INDEX(Processos!$X$10:$X$509,O425))</f>
        <v>0</v>
      </c>
      <c r="N425" s="40" t="str">
        <f t="shared" si="19"/>
        <v/>
      </c>
      <c r="O425" s="14">
        <f>IF(AND(A425&lt;&gt;"",ISTEXT(A425),COUNTIFS(Processos!$AS$10:$AS$509,"="&amp;SUBSTITUTE(SUBSTITUTE(SUBSTITUTE("P:"&amp;A425,"~","~~"),"*","~*"),"?","~?"))=1),(IF(ISNA(MATCH(SUBSTITUTE(SUBSTITUTE(SUBSTITUTE("P:"&amp;A425,"~","~~"),"*","~*"),"?","~?"),Processos!$AS$10:$AS$509,0)),9,INDEX(Processos!$AM$10:$AM$509,MATCH(SUBSTITUTE(SUBSTITUTE(SUBSTITUTE("P:"&amp;A425,"~","~~"),"*","~*"),"?","~?"),Processos!$AS$10:$AS$509,0)))-9),0)</f>
        <v>0</v>
      </c>
      <c r="P425" s="14" t="str">
        <f>IF(L425=0,"",INDEX(Processos!$D$10:$D$509,O425))</f>
        <v/>
      </c>
      <c r="Q425" s="14">
        <f>IF(OR(L425=0,T425&lt;&gt;"Sim"),0,INDEX(Processos!$AL$10:$AL$509,O425))</f>
        <v>0</v>
      </c>
      <c r="R425" s="14">
        <f>ROW()</f>
        <v>425</v>
      </c>
      <c r="S425" s="14" t="str">
        <f t="shared" si="20"/>
        <v/>
      </c>
      <c r="T425" s="27" t="s">
        <v>1113</v>
      </c>
      <c r="U425" s="28"/>
      <c r="V425" s="28"/>
      <c r="W425" s="28"/>
      <c r="X425" s="28"/>
      <c r="Y425" s="27"/>
      <c r="Z425" s="27"/>
      <c r="AA425" s="27"/>
      <c r="AB425" s="27"/>
    </row>
    <row r="426" spans="1:28" ht="42" customHeight="1">
      <c r="A426" s="41"/>
      <c r="B426" s="42"/>
      <c r="C426" s="42"/>
      <c r="D426" s="42"/>
      <c r="E426" s="42"/>
      <c r="F426" s="42"/>
      <c r="G426" s="42"/>
      <c r="H426" s="45"/>
      <c r="I426" s="44"/>
      <c r="J426" s="43"/>
      <c r="K426" s="44"/>
      <c r="L426" s="14">
        <f t="shared" si="18"/>
        <v>0</v>
      </c>
      <c r="M426" s="14">
        <f>IF(OR(L426=0,T426&lt;&gt;"Sim"),0,INDEX(Processos!$X$10:$X$509,O426))</f>
        <v>0</v>
      </c>
      <c r="N426" s="40" t="str">
        <f t="shared" si="19"/>
        <v/>
      </c>
      <c r="O426" s="14">
        <f>IF(AND(A426&lt;&gt;"",ISTEXT(A426),COUNTIFS(Processos!$AS$10:$AS$509,"="&amp;SUBSTITUTE(SUBSTITUTE(SUBSTITUTE("P:"&amp;A426,"~","~~"),"*","~*"),"?","~?"))=1),(IF(ISNA(MATCH(SUBSTITUTE(SUBSTITUTE(SUBSTITUTE("P:"&amp;A426,"~","~~"),"*","~*"),"?","~?"),Processos!$AS$10:$AS$509,0)),9,INDEX(Processos!$AM$10:$AM$509,MATCH(SUBSTITUTE(SUBSTITUTE(SUBSTITUTE("P:"&amp;A426,"~","~~"),"*","~*"),"?","~?"),Processos!$AS$10:$AS$509,0)))-9),0)</f>
        <v>0</v>
      </c>
      <c r="P426" s="14" t="str">
        <f>IF(L426=0,"",INDEX(Processos!$D$10:$D$509,O426))</f>
        <v/>
      </c>
      <c r="Q426" s="14">
        <f>IF(OR(L426=0,T426&lt;&gt;"Sim"),0,INDEX(Processos!$AL$10:$AL$509,O426))</f>
        <v>0</v>
      </c>
      <c r="R426" s="14">
        <f>ROW()</f>
        <v>426</v>
      </c>
      <c r="S426" s="14" t="str">
        <f t="shared" si="20"/>
        <v/>
      </c>
      <c r="T426" s="27" t="s">
        <v>1113</v>
      </c>
      <c r="U426" s="28"/>
      <c r="V426" s="28"/>
      <c r="W426" s="28"/>
      <c r="X426" s="28"/>
      <c r="Y426" s="27"/>
      <c r="Z426" s="27"/>
      <c r="AA426" s="27"/>
      <c r="AB426" s="27"/>
    </row>
    <row r="427" spans="1:28" ht="42" customHeight="1">
      <c r="A427" s="41"/>
      <c r="B427" s="42"/>
      <c r="C427" s="42"/>
      <c r="D427" s="42"/>
      <c r="E427" s="42"/>
      <c r="F427" s="42"/>
      <c r="G427" s="42"/>
      <c r="H427" s="45"/>
      <c r="I427" s="44"/>
      <c r="J427" s="43"/>
      <c r="K427" s="44"/>
      <c r="L427" s="14">
        <f t="shared" si="18"/>
        <v>0</v>
      </c>
      <c r="M427" s="14">
        <f>IF(OR(L427=0,T427&lt;&gt;"Sim"),0,INDEX(Processos!$X$10:$X$509,O427))</f>
        <v>0</v>
      </c>
      <c r="N427" s="40" t="str">
        <f t="shared" si="19"/>
        <v/>
      </c>
      <c r="O427" s="14">
        <f>IF(AND(A427&lt;&gt;"",ISTEXT(A427),COUNTIFS(Processos!$AS$10:$AS$509,"="&amp;SUBSTITUTE(SUBSTITUTE(SUBSTITUTE("P:"&amp;A427,"~","~~"),"*","~*"),"?","~?"))=1),(IF(ISNA(MATCH(SUBSTITUTE(SUBSTITUTE(SUBSTITUTE("P:"&amp;A427,"~","~~"),"*","~*"),"?","~?"),Processos!$AS$10:$AS$509,0)),9,INDEX(Processos!$AM$10:$AM$509,MATCH(SUBSTITUTE(SUBSTITUTE(SUBSTITUTE("P:"&amp;A427,"~","~~"),"*","~*"),"?","~?"),Processos!$AS$10:$AS$509,0)))-9),0)</f>
        <v>0</v>
      </c>
      <c r="P427" s="14" t="str">
        <f>IF(L427=0,"",INDEX(Processos!$D$10:$D$509,O427))</f>
        <v/>
      </c>
      <c r="Q427" s="14">
        <f>IF(OR(L427=0,T427&lt;&gt;"Sim"),0,INDEX(Processos!$AL$10:$AL$509,O427))</f>
        <v>0</v>
      </c>
      <c r="R427" s="14">
        <f>ROW()</f>
        <v>427</v>
      </c>
      <c r="S427" s="14" t="str">
        <f t="shared" si="20"/>
        <v/>
      </c>
      <c r="T427" s="27" t="s">
        <v>1113</v>
      </c>
      <c r="U427" s="28"/>
      <c r="V427" s="28"/>
      <c r="W427" s="28"/>
      <c r="X427" s="28"/>
      <c r="Y427" s="27"/>
      <c r="Z427" s="27"/>
      <c r="AA427" s="27"/>
      <c r="AB427" s="27"/>
    </row>
    <row r="428" spans="1:28" ht="42" customHeight="1">
      <c r="A428" s="41"/>
      <c r="B428" s="42"/>
      <c r="C428" s="42"/>
      <c r="D428" s="42"/>
      <c r="E428" s="42"/>
      <c r="F428" s="42"/>
      <c r="G428" s="42"/>
      <c r="H428" s="45"/>
      <c r="I428" s="44"/>
      <c r="J428" s="43"/>
      <c r="K428" s="44"/>
      <c r="L428" s="14">
        <f t="shared" si="18"/>
        <v>0</v>
      </c>
      <c r="M428" s="14">
        <f>IF(OR(L428=0,T428&lt;&gt;"Sim"),0,INDEX(Processos!$X$10:$X$509,O428))</f>
        <v>0</v>
      </c>
      <c r="N428" s="40" t="str">
        <f t="shared" si="19"/>
        <v/>
      </c>
      <c r="O428" s="14">
        <f>IF(AND(A428&lt;&gt;"",ISTEXT(A428),COUNTIFS(Processos!$AS$10:$AS$509,"="&amp;SUBSTITUTE(SUBSTITUTE(SUBSTITUTE("P:"&amp;A428,"~","~~"),"*","~*"),"?","~?"))=1),(IF(ISNA(MATCH(SUBSTITUTE(SUBSTITUTE(SUBSTITUTE("P:"&amp;A428,"~","~~"),"*","~*"),"?","~?"),Processos!$AS$10:$AS$509,0)),9,INDEX(Processos!$AM$10:$AM$509,MATCH(SUBSTITUTE(SUBSTITUTE(SUBSTITUTE("P:"&amp;A428,"~","~~"),"*","~*"),"?","~?"),Processos!$AS$10:$AS$509,0)))-9),0)</f>
        <v>0</v>
      </c>
      <c r="P428" s="14" t="str">
        <f>IF(L428=0,"",INDEX(Processos!$D$10:$D$509,O428))</f>
        <v/>
      </c>
      <c r="Q428" s="14">
        <f>IF(OR(L428=0,T428&lt;&gt;"Sim"),0,INDEX(Processos!$AL$10:$AL$509,O428))</f>
        <v>0</v>
      </c>
      <c r="R428" s="14">
        <f>ROW()</f>
        <v>428</v>
      </c>
      <c r="S428" s="14" t="str">
        <f t="shared" si="20"/>
        <v/>
      </c>
      <c r="T428" s="27" t="s">
        <v>1113</v>
      </c>
      <c r="U428" s="28"/>
      <c r="V428" s="28"/>
      <c r="W428" s="28"/>
      <c r="X428" s="28"/>
      <c r="Y428" s="27"/>
      <c r="Z428" s="27"/>
      <c r="AA428" s="27"/>
      <c r="AB428" s="27"/>
    </row>
    <row r="429" spans="1:28" ht="42" customHeight="1">
      <c r="A429" s="41"/>
      <c r="B429" s="42"/>
      <c r="C429" s="42"/>
      <c r="D429" s="42"/>
      <c r="E429" s="42"/>
      <c r="F429" s="42"/>
      <c r="G429" s="42"/>
      <c r="H429" s="45"/>
      <c r="I429" s="44"/>
      <c r="J429" s="43"/>
      <c r="K429" s="44"/>
      <c r="L429" s="14">
        <f t="shared" si="18"/>
        <v>0</v>
      </c>
      <c r="M429" s="14">
        <f>IF(OR(L429=0,T429&lt;&gt;"Sim"),0,INDEX(Processos!$X$10:$X$509,O429))</f>
        <v>0</v>
      </c>
      <c r="N429" s="40" t="str">
        <f t="shared" si="19"/>
        <v/>
      </c>
      <c r="O429" s="14">
        <f>IF(AND(A429&lt;&gt;"",ISTEXT(A429),COUNTIFS(Processos!$AS$10:$AS$509,"="&amp;SUBSTITUTE(SUBSTITUTE(SUBSTITUTE("P:"&amp;A429,"~","~~"),"*","~*"),"?","~?"))=1),(IF(ISNA(MATCH(SUBSTITUTE(SUBSTITUTE(SUBSTITUTE("P:"&amp;A429,"~","~~"),"*","~*"),"?","~?"),Processos!$AS$10:$AS$509,0)),9,INDEX(Processos!$AM$10:$AM$509,MATCH(SUBSTITUTE(SUBSTITUTE(SUBSTITUTE("P:"&amp;A429,"~","~~"),"*","~*"),"?","~?"),Processos!$AS$10:$AS$509,0)))-9),0)</f>
        <v>0</v>
      </c>
      <c r="P429" s="14" t="str">
        <f>IF(L429=0,"",INDEX(Processos!$D$10:$D$509,O429))</f>
        <v/>
      </c>
      <c r="Q429" s="14">
        <f>IF(OR(L429=0,T429&lt;&gt;"Sim"),0,INDEX(Processos!$AL$10:$AL$509,O429))</f>
        <v>0</v>
      </c>
      <c r="R429" s="14">
        <f>ROW()</f>
        <v>429</v>
      </c>
      <c r="S429" s="14" t="str">
        <f t="shared" si="20"/>
        <v/>
      </c>
      <c r="T429" s="27" t="s">
        <v>1113</v>
      </c>
      <c r="U429" s="28"/>
      <c r="V429" s="28"/>
      <c r="W429" s="28"/>
      <c r="X429" s="28"/>
      <c r="Y429" s="27"/>
      <c r="Z429" s="27"/>
      <c r="AA429" s="27"/>
      <c r="AB429" s="27"/>
    </row>
    <row r="430" spans="1:28" ht="42" customHeight="1">
      <c r="A430" s="41"/>
      <c r="B430" s="42"/>
      <c r="C430" s="42"/>
      <c r="D430" s="42"/>
      <c r="E430" s="42"/>
      <c r="F430" s="42"/>
      <c r="G430" s="42"/>
      <c r="H430" s="45"/>
      <c r="I430" s="44"/>
      <c r="J430" s="43"/>
      <c r="K430" s="44"/>
      <c r="L430" s="14">
        <f t="shared" si="18"/>
        <v>0</v>
      </c>
      <c r="M430" s="14">
        <f>IF(OR(L430=0,T430&lt;&gt;"Sim"),0,INDEX(Processos!$X$10:$X$509,O430))</f>
        <v>0</v>
      </c>
      <c r="N430" s="40" t="str">
        <f t="shared" si="19"/>
        <v/>
      </c>
      <c r="O430" s="14">
        <f>IF(AND(A430&lt;&gt;"",ISTEXT(A430),COUNTIFS(Processos!$AS$10:$AS$509,"="&amp;SUBSTITUTE(SUBSTITUTE(SUBSTITUTE("P:"&amp;A430,"~","~~"),"*","~*"),"?","~?"))=1),(IF(ISNA(MATCH(SUBSTITUTE(SUBSTITUTE(SUBSTITUTE("P:"&amp;A430,"~","~~"),"*","~*"),"?","~?"),Processos!$AS$10:$AS$509,0)),9,INDEX(Processos!$AM$10:$AM$509,MATCH(SUBSTITUTE(SUBSTITUTE(SUBSTITUTE("P:"&amp;A430,"~","~~"),"*","~*"),"?","~?"),Processos!$AS$10:$AS$509,0)))-9),0)</f>
        <v>0</v>
      </c>
      <c r="P430" s="14" t="str">
        <f>IF(L430=0,"",INDEX(Processos!$D$10:$D$509,O430))</f>
        <v/>
      </c>
      <c r="Q430" s="14">
        <f>IF(OR(L430=0,T430&lt;&gt;"Sim"),0,INDEX(Processos!$AL$10:$AL$509,O430))</f>
        <v>0</v>
      </c>
      <c r="R430" s="14">
        <f>ROW()</f>
        <v>430</v>
      </c>
      <c r="S430" s="14" t="str">
        <f t="shared" si="20"/>
        <v/>
      </c>
      <c r="T430" s="27" t="s">
        <v>1113</v>
      </c>
      <c r="U430" s="28"/>
      <c r="V430" s="28"/>
      <c r="W430" s="28"/>
      <c r="X430" s="28"/>
      <c r="Y430" s="27"/>
      <c r="Z430" s="27"/>
      <c r="AA430" s="27"/>
      <c r="AB430" s="27"/>
    </row>
    <row r="431" spans="1:28" ht="42" customHeight="1">
      <c r="A431" s="41"/>
      <c r="B431" s="42"/>
      <c r="C431" s="42"/>
      <c r="D431" s="42"/>
      <c r="E431" s="42"/>
      <c r="F431" s="42"/>
      <c r="G431" s="42"/>
      <c r="H431" s="45"/>
      <c r="I431" s="44"/>
      <c r="J431" s="43"/>
      <c r="K431" s="44"/>
      <c r="L431" s="14">
        <f t="shared" si="18"/>
        <v>0</v>
      </c>
      <c r="M431" s="14">
        <f>IF(OR(L431=0,T431&lt;&gt;"Sim"),0,INDEX(Processos!$X$10:$X$509,O431))</f>
        <v>0</v>
      </c>
      <c r="N431" s="40" t="str">
        <f t="shared" si="19"/>
        <v/>
      </c>
      <c r="O431" s="14">
        <f>IF(AND(A431&lt;&gt;"",ISTEXT(A431),COUNTIFS(Processos!$AS$10:$AS$509,"="&amp;SUBSTITUTE(SUBSTITUTE(SUBSTITUTE("P:"&amp;A431,"~","~~"),"*","~*"),"?","~?"))=1),(IF(ISNA(MATCH(SUBSTITUTE(SUBSTITUTE(SUBSTITUTE("P:"&amp;A431,"~","~~"),"*","~*"),"?","~?"),Processos!$AS$10:$AS$509,0)),9,INDEX(Processos!$AM$10:$AM$509,MATCH(SUBSTITUTE(SUBSTITUTE(SUBSTITUTE("P:"&amp;A431,"~","~~"),"*","~*"),"?","~?"),Processos!$AS$10:$AS$509,0)))-9),0)</f>
        <v>0</v>
      </c>
      <c r="P431" s="14" t="str">
        <f>IF(L431=0,"",INDEX(Processos!$D$10:$D$509,O431))</f>
        <v/>
      </c>
      <c r="Q431" s="14">
        <f>IF(OR(L431=0,T431&lt;&gt;"Sim"),0,INDEX(Processos!$AL$10:$AL$509,O431))</f>
        <v>0</v>
      </c>
      <c r="R431" s="14">
        <f>ROW()</f>
        <v>431</v>
      </c>
      <c r="S431" s="14" t="str">
        <f t="shared" si="20"/>
        <v/>
      </c>
      <c r="T431" s="27" t="s">
        <v>1113</v>
      </c>
      <c r="U431" s="28"/>
      <c r="V431" s="28"/>
      <c r="W431" s="28"/>
      <c r="X431" s="28"/>
      <c r="Y431" s="27"/>
      <c r="Z431" s="27"/>
      <c r="AA431" s="27"/>
      <c r="AB431" s="27"/>
    </row>
    <row r="432" spans="1:28" ht="42" customHeight="1">
      <c r="A432" s="41"/>
      <c r="B432" s="42"/>
      <c r="C432" s="42"/>
      <c r="D432" s="42"/>
      <c r="E432" s="42"/>
      <c r="F432" s="42"/>
      <c r="G432" s="42"/>
      <c r="H432" s="45"/>
      <c r="I432" s="44"/>
      <c r="J432" s="43"/>
      <c r="K432" s="44"/>
      <c r="L432" s="14">
        <f t="shared" si="18"/>
        <v>0</v>
      </c>
      <c r="M432" s="14">
        <f>IF(OR(L432=0,T432&lt;&gt;"Sim"),0,INDEX(Processos!$X$10:$X$509,O432))</f>
        <v>0</v>
      </c>
      <c r="N432" s="40" t="str">
        <f t="shared" si="19"/>
        <v/>
      </c>
      <c r="O432" s="14">
        <f>IF(AND(A432&lt;&gt;"",ISTEXT(A432),COUNTIFS(Processos!$AS$10:$AS$509,"="&amp;SUBSTITUTE(SUBSTITUTE(SUBSTITUTE("P:"&amp;A432,"~","~~"),"*","~*"),"?","~?"))=1),(IF(ISNA(MATCH(SUBSTITUTE(SUBSTITUTE(SUBSTITUTE("P:"&amp;A432,"~","~~"),"*","~*"),"?","~?"),Processos!$AS$10:$AS$509,0)),9,INDEX(Processos!$AM$10:$AM$509,MATCH(SUBSTITUTE(SUBSTITUTE(SUBSTITUTE("P:"&amp;A432,"~","~~"),"*","~*"),"?","~?"),Processos!$AS$10:$AS$509,0)))-9),0)</f>
        <v>0</v>
      </c>
      <c r="P432" s="14" t="str">
        <f>IF(L432=0,"",INDEX(Processos!$D$10:$D$509,O432))</f>
        <v/>
      </c>
      <c r="Q432" s="14">
        <f>IF(OR(L432=0,T432&lt;&gt;"Sim"),0,INDEX(Processos!$AL$10:$AL$509,O432))</f>
        <v>0</v>
      </c>
      <c r="R432" s="14">
        <f>ROW()</f>
        <v>432</v>
      </c>
      <c r="S432" s="14" t="str">
        <f t="shared" si="20"/>
        <v/>
      </c>
      <c r="T432" s="27" t="s">
        <v>1113</v>
      </c>
      <c r="U432" s="28"/>
      <c r="V432" s="28"/>
      <c r="W432" s="28"/>
      <c r="X432" s="28"/>
      <c r="Y432" s="27"/>
      <c r="Z432" s="27"/>
      <c r="AA432" s="27"/>
      <c r="AB432" s="27"/>
    </row>
    <row r="433" spans="1:28" ht="42" customHeight="1">
      <c r="A433" s="41"/>
      <c r="B433" s="42"/>
      <c r="C433" s="42"/>
      <c r="D433" s="42"/>
      <c r="E433" s="42"/>
      <c r="F433" s="42"/>
      <c r="G433" s="42"/>
      <c r="H433" s="45"/>
      <c r="I433" s="44"/>
      <c r="J433" s="43"/>
      <c r="K433" s="44"/>
      <c r="L433" s="14">
        <f t="shared" si="18"/>
        <v>0</v>
      </c>
      <c r="M433" s="14">
        <f>IF(OR(L433=0,T433&lt;&gt;"Sim"),0,INDEX(Processos!$X$10:$X$509,O433))</f>
        <v>0</v>
      </c>
      <c r="N433" s="40" t="str">
        <f t="shared" si="19"/>
        <v/>
      </c>
      <c r="O433" s="14">
        <f>IF(AND(A433&lt;&gt;"",ISTEXT(A433),COUNTIFS(Processos!$AS$10:$AS$509,"="&amp;SUBSTITUTE(SUBSTITUTE(SUBSTITUTE("P:"&amp;A433,"~","~~"),"*","~*"),"?","~?"))=1),(IF(ISNA(MATCH(SUBSTITUTE(SUBSTITUTE(SUBSTITUTE("P:"&amp;A433,"~","~~"),"*","~*"),"?","~?"),Processos!$AS$10:$AS$509,0)),9,INDEX(Processos!$AM$10:$AM$509,MATCH(SUBSTITUTE(SUBSTITUTE(SUBSTITUTE("P:"&amp;A433,"~","~~"),"*","~*"),"?","~?"),Processos!$AS$10:$AS$509,0)))-9),0)</f>
        <v>0</v>
      </c>
      <c r="P433" s="14" t="str">
        <f>IF(L433=0,"",INDEX(Processos!$D$10:$D$509,O433))</f>
        <v/>
      </c>
      <c r="Q433" s="14">
        <f>IF(OR(L433=0,T433&lt;&gt;"Sim"),0,INDEX(Processos!$AL$10:$AL$509,O433))</f>
        <v>0</v>
      </c>
      <c r="R433" s="14">
        <f>ROW()</f>
        <v>433</v>
      </c>
      <c r="S433" s="14" t="str">
        <f t="shared" si="20"/>
        <v/>
      </c>
      <c r="T433" s="27" t="s">
        <v>1113</v>
      </c>
      <c r="U433" s="28"/>
      <c r="V433" s="28"/>
      <c r="W433" s="28"/>
      <c r="X433" s="28"/>
      <c r="Y433" s="27"/>
      <c r="Z433" s="27"/>
      <c r="AA433" s="27"/>
      <c r="AB433" s="27"/>
    </row>
    <row r="434" spans="1:28" ht="42" customHeight="1">
      <c r="A434" s="41"/>
      <c r="B434" s="42"/>
      <c r="C434" s="42"/>
      <c r="D434" s="42"/>
      <c r="E434" s="42"/>
      <c r="F434" s="42"/>
      <c r="G434" s="42"/>
      <c r="H434" s="45"/>
      <c r="I434" s="44"/>
      <c r="J434" s="43"/>
      <c r="K434" s="44"/>
      <c r="L434" s="14">
        <f t="shared" si="18"/>
        <v>0</v>
      </c>
      <c r="M434" s="14">
        <f>IF(OR(L434=0,T434&lt;&gt;"Sim"),0,INDEX(Processos!$X$10:$X$509,O434))</f>
        <v>0</v>
      </c>
      <c r="N434" s="40" t="str">
        <f t="shared" si="19"/>
        <v/>
      </c>
      <c r="O434" s="14">
        <f>IF(AND(A434&lt;&gt;"",ISTEXT(A434),COUNTIFS(Processos!$AS$10:$AS$509,"="&amp;SUBSTITUTE(SUBSTITUTE(SUBSTITUTE("P:"&amp;A434,"~","~~"),"*","~*"),"?","~?"))=1),(IF(ISNA(MATCH(SUBSTITUTE(SUBSTITUTE(SUBSTITUTE("P:"&amp;A434,"~","~~"),"*","~*"),"?","~?"),Processos!$AS$10:$AS$509,0)),9,INDEX(Processos!$AM$10:$AM$509,MATCH(SUBSTITUTE(SUBSTITUTE(SUBSTITUTE("P:"&amp;A434,"~","~~"),"*","~*"),"?","~?"),Processos!$AS$10:$AS$509,0)))-9),0)</f>
        <v>0</v>
      </c>
      <c r="P434" s="14" t="str">
        <f>IF(L434=0,"",INDEX(Processos!$D$10:$D$509,O434))</f>
        <v/>
      </c>
      <c r="Q434" s="14">
        <f>IF(OR(L434=0,T434&lt;&gt;"Sim"),0,INDEX(Processos!$AL$10:$AL$509,O434))</f>
        <v>0</v>
      </c>
      <c r="R434" s="14">
        <f>ROW()</f>
        <v>434</v>
      </c>
      <c r="S434" s="14" t="str">
        <f t="shared" si="20"/>
        <v/>
      </c>
      <c r="T434" s="27" t="s">
        <v>1113</v>
      </c>
      <c r="U434" s="28"/>
      <c r="V434" s="28"/>
      <c r="W434" s="28"/>
      <c r="X434" s="28"/>
      <c r="Y434" s="27"/>
      <c r="Z434" s="27"/>
      <c r="AA434" s="27"/>
      <c r="AB434" s="27"/>
    </row>
    <row r="435" spans="1:28" ht="42" customHeight="1">
      <c r="A435" s="41"/>
      <c r="B435" s="42"/>
      <c r="C435" s="42"/>
      <c r="D435" s="42"/>
      <c r="E435" s="42"/>
      <c r="F435" s="42"/>
      <c r="G435" s="42"/>
      <c r="H435" s="45"/>
      <c r="I435" s="44"/>
      <c r="J435" s="43"/>
      <c r="K435" s="44"/>
      <c r="L435" s="14">
        <f t="shared" si="18"/>
        <v>0</v>
      </c>
      <c r="M435" s="14">
        <f>IF(OR(L435=0,T435&lt;&gt;"Sim"),0,INDEX(Processos!$X$10:$X$509,O435))</f>
        <v>0</v>
      </c>
      <c r="N435" s="40" t="str">
        <f t="shared" si="19"/>
        <v/>
      </c>
      <c r="O435" s="14">
        <f>IF(AND(A435&lt;&gt;"",ISTEXT(A435),COUNTIFS(Processos!$AS$10:$AS$509,"="&amp;SUBSTITUTE(SUBSTITUTE(SUBSTITUTE("P:"&amp;A435,"~","~~"),"*","~*"),"?","~?"))=1),(IF(ISNA(MATCH(SUBSTITUTE(SUBSTITUTE(SUBSTITUTE("P:"&amp;A435,"~","~~"),"*","~*"),"?","~?"),Processos!$AS$10:$AS$509,0)),9,INDEX(Processos!$AM$10:$AM$509,MATCH(SUBSTITUTE(SUBSTITUTE(SUBSTITUTE("P:"&amp;A435,"~","~~"),"*","~*"),"?","~?"),Processos!$AS$10:$AS$509,0)))-9),0)</f>
        <v>0</v>
      </c>
      <c r="P435" s="14" t="str">
        <f>IF(L435=0,"",INDEX(Processos!$D$10:$D$509,O435))</f>
        <v/>
      </c>
      <c r="Q435" s="14">
        <f>IF(OR(L435=0,T435&lt;&gt;"Sim"),0,INDEX(Processos!$AL$10:$AL$509,O435))</f>
        <v>0</v>
      </c>
      <c r="R435" s="14">
        <f>ROW()</f>
        <v>435</v>
      </c>
      <c r="S435" s="14" t="str">
        <f t="shared" si="20"/>
        <v/>
      </c>
      <c r="T435" s="27" t="s">
        <v>1113</v>
      </c>
      <c r="U435" s="28"/>
      <c r="V435" s="28"/>
      <c r="W435" s="28"/>
      <c r="X435" s="28"/>
      <c r="Y435" s="27"/>
      <c r="Z435" s="27"/>
      <c r="AA435" s="27"/>
      <c r="AB435" s="27"/>
    </row>
    <row r="436" spans="1:28" ht="42" customHeight="1">
      <c r="A436" s="41"/>
      <c r="B436" s="42"/>
      <c r="C436" s="42"/>
      <c r="D436" s="42"/>
      <c r="E436" s="42"/>
      <c r="F436" s="42"/>
      <c r="G436" s="42"/>
      <c r="H436" s="45"/>
      <c r="I436" s="44"/>
      <c r="J436" s="43"/>
      <c r="K436" s="44"/>
      <c r="L436" s="14">
        <f t="shared" si="18"/>
        <v>0</v>
      </c>
      <c r="M436" s="14">
        <f>IF(OR(L436=0,T436&lt;&gt;"Sim"),0,INDEX(Processos!$X$10:$X$509,O436))</f>
        <v>0</v>
      </c>
      <c r="N436" s="40" t="str">
        <f t="shared" si="19"/>
        <v/>
      </c>
      <c r="O436" s="14">
        <f>IF(AND(A436&lt;&gt;"",ISTEXT(A436),COUNTIFS(Processos!$AS$10:$AS$509,"="&amp;SUBSTITUTE(SUBSTITUTE(SUBSTITUTE("P:"&amp;A436,"~","~~"),"*","~*"),"?","~?"))=1),(IF(ISNA(MATCH(SUBSTITUTE(SUBSTITUTE(SUBSTITUTE("P:"&amp;A436,"~","~~"),"*","~*"),"?","~?"),Processos!$AS$10:$AS$509,0)),9,INDEX(Processos!$AM$10:$AM$509,MATCH(SUBSTITUTE(SUBSTITUTE(SUBSTITUTE("P:"&amp;A436,"~","~~"),"*","~*"),"?","~?"),Processos!$AS$10:$AS$509,0)))-9),0)</f>
        <v>0</v>
      </c>
      <c r="P436" s="14" t="str">
        <f>IF(L436=0,"",INDEX(Processos!$D$10:$D$509,O436))</f>
        <v/>
      </c>
      <c r="Q436" s="14">
        <f>IF(OR(L436=0,T436&lt;&gt;"Sim"),0,INDEX(Processos!$AL$10:$AL$509,O436))</f>
        <v>0</v>
      </c>
      <c r="R436" s="14">
        <f>ROW()</f>
        <v>436</v>
      </c>
      <c r="S436" s="14" t="str">
        <f t="shared" si="20"/>
        <v/>
      </c>
      <c r="T436" s="27" t="s">
        <v>1113</v>
      </c>
      <c r="U436" s="28"/>
      <c r="V436" s="28"/>
      <c r="W436" s="28"/>
      <c r="X436" s="28"/>
      <c r="Y436" s="27"/>
      <c r="Z436" s="27"/>
      <c r="AA436" s="27"/>
      <c r="AB436" s="27"/>
    </row>
    <row r="437" spans="1:28" ht="42" customHeight="1">
      <c r="A437" s="41"/>
      <c r="B437" s="42"/>
      <c r="C437" s="42"/>
      <c r="D437" s="42"/>
      <c r="E437" s="42"/>
      <c r="F437" s="42"/>
      <c r="G437" s="42"/>
      <c r="H437" s="45"/>
      <c r="I437" s="44"/>
      <c r="J437" s="43"/>
      <c r="K437" s="44"/>
      <c r="L437" s="14">
        <f t="shared" si="18"/>
        <v>0</v>
      </c>
      <c r="M437" s="14">
        <f>IF(OR(L437=0,T437&lt;&gt;"Sim"),0,INDEX(Processos!$X$10:$X$509,O437))</f>
        <v>0</v>
      </c>
      <c r="N437" s="40" t="str">
        <f t="shared" si="19"/>
        <v/>
      </c>
      <c r="O437" s="14">
        <f>IF(AND(A437&lt;&gt;"",ISTEXT(A437),COUNTIFS(Processos!$AS$10:$AS$509,"="&amp;SUBSTITUTE(SUBSTITUTE(SUBSTITUTE("P:"&amp;A437,"~","~~"),"*","~*"),"?","~?"))=1),(IF(ISNA(MATCH(SUBSTITUTE(SUBSTITUTE(SUBSTITUTE("P:"&amp;A437,"~","~~"),"*","~*"),"?","~?"),Processos!$AS$10:$AS$509,0)),9,INDEX(Processos!$AM$10:$AM$509,MATCH(SUBSTITUTE(SUBSTITUTE(SUBSTITUTE("P:"&amp;A437,"~","~~"),"*","~*"),"?","~?"),Processos!$AS$10:$AS$509,0)))-9),0)</f>
        <v>0</v>
      </c>
      <c r="P437" s="14" t="str">
        <f>IF(L437=0,"",INDEX(Processos!$D$10:$D$509,O437))</f>
        <v/>
      </c>
      <c r="Q437" s="14">
        <f>IF(OR(L437=0,T437&lt;&gt;"Sim"),0,INDEX(Processos!$AL$10:$AL$509,O437))</f>
        <v>0</v>
      </c>
      <c r="R437" s="14">
        <f>ROW()</f>
        <v>437</v>
      </c>
      <c r="S437" s="14" t="str">
        <f t="shared" si="20"/>
        <v/>
      </c>
      <c r="T437" s="27" t="s">
        <v>1113</v>
      </c>
      <c r="U437" s="28"/>
      <c r="V437" s="28"/>
      <c r="W437" s="28"/>
      <c r="X437" s="28"/>
      <c r="Y437" s="27"/>
      <c r="Z437" s="27"/>
      <c r="AA437" s="27"/>
      <c r="AB437" s="27"/>
    </row>
    <row r="438" spans="1:28" ht="42" customHeight="1">
      <c r="A438" s="41"/>
      <c r="B438" s="42"/>
      <c r="C438" s="42"/>
      <c r="D438" s="42"/>
      <c r="E438" s="42"/>
      <c r="F438" s="42"/>
      <c r="G438" s="42"/>
      <c r="H438" s="45"/>
      <c r="I438" s="44"/>
      <c r="J438" s="43"/>
      <c r="K438" s="44"/>
      <c r="L438" s="14">
        <f t="shared" si="18"/>
        <v>0</v>
      </c>
      <c r="M438" s="14">
        <f>IF(OR(L438=0,T438&lt;&gt;"Sim"),0,INDEX(Processos!$X$10:$X$509,O438))</f>
        <v>0</v>
      </c>
      <c r="N438" s="40" t="str">
        <f t="shared" si="19"/>
        <v/>
      </c>
      <c r="O438" s="14">
        <f>IF(AND(A438&lt;&gt;"",ISTEXT(A438),COUNTIFS(Processos!$AS$10:$AS$509,"="&amp;SUBSTITUTE(SUBSTITUTE(SUBSTITUTE("P:"&amp;A438,"~","~~"),"*","~*"),"?","~?"))=1),(IF(ISNA(MATCH(SUBSTITUTE(SUBSTITUTE(SUBSTITUTE("P:"&amp;A438,"~","~~"),"*","~*"),"?","~?"),Processos!$AS$10:$AS$509,0)),9,INDEX(Processos!$AM$10:$AM$509,MATCH(SUBSTITUTE(SUBSTITUTE(SUBSTITUTE("P:"&amp;A438,"~","~~"),"*","~*"),"?","~?"),Processos!$AS$10:$AS$509,0)))-9),0)</f>
        <v>0</v>
      </c>
      <c r="P438" s="14" t="str">
        <f>IF(L438=0,"",INDEX(Processos!$D$10:$D$509,O438))</f>
        <v/>
      </c>
      <c r="Q438" s="14">
        <f>IF(OR(L438=0,T438&lt;&gt;"Sim"),0,INDEX(Processos!$AL$10:$AL$509,O438))</f>
        <v>0</v>
      </c>
      <c r="R438" s="14">
        <f>ROW()</f>
        <v>438</v>
      </c>
      <c r="S438" s="14" t="str">
        <f t="shared" si="20"/>
        <v/>
      </c>
      <c r="T438" s="27" t="s">
        <v>1113</v>
      </c>
      <c r="U438" s="28"/>
      <c r="V438" s="28"/>
      <c r="W438" s="28"/>
      <c r="X438" s="28"/>
      <c r="Y438" s="27"/>
      <c r="Z438" s="27"/>
      <c r="AA438" s="27"/>
      <c r="AB438" s="27"/>
    </row>
    <row r="439" spans="1:28" ht="42" customHeight="1">
      <c r="A439" s="41"/>
      <c r="B439" s="42"/>
      <c r="C439" s="42"/>
      <c r="D439" s="42"/>
      <c r="E439" s="42"/>
      <c r="F439" s="42"/>
      <c r="G439" s="42"/>
      <c r="H439" s="45"/>
      <c r="I439" s="44"/>
      <c r="J439" s="43"/>
      <c r="K439" s="44"/>
      <c r="L439" s="14">
        <f t="shared" si="18"/>
        <v>0</v>
      </c>
      <c r="M439" s="14">
        <f>IF(OR(L439=0,T439&lt;&gt;"Sim"),0,INDEX(Processos!$X$10:$X$509,O439))</f>
        <v>0</v>
      </c>
      <c r="N439" s="40" t="str">
        <f t="shared" si="19"/>
        <v/>
      </c>
      <c r="O439" s="14">
        <f>IF(AND(A439&lt;&gt;"",ISTEXT(A439),COUNTIFS(Processos!$AS$10:$AS$509,"="&amp;SUBSTITUTE(SUBSTITUTE(SUBSTITUTE("P:"&amp;A439,"~","~~"),"*","~*"),"?","~?"))=1),(IF(ISNA(MATCH(SUBSTITUTE(SUBSTITUTE(SUBSTITUTE("P:"&amp;A439,"~","~~"),"*","~*"),"?","~?"),Processos!$AS$10:$AS$509,0)),9,INDEX(Processos!$AM$10:$AM$509,MATCH(SUBSTITUTE(SUBSTITUTE(SUBSTITUTE("P:"&amp;A439,"~","~~"),"*","~*"),"?","~?"),Processos!$AS$10:$AS$509,0)))-9),0)</f>
        <v>0</v>
      </c>
      <c r="P439" s="14" t="str">
        <f>IF(L439=0,"",INDEX(Processos!$D$10:$D$509,O439))</f>
        <v/>
      </c>
      <c r="Q439" s="14">
        <f>IF(OR(L439=0,T439&lt;&gt;"Sim"),0,INDEX(Processos!$AL$10:$AL$509,O439))</f>
        <v>0</v>
      </c>
      <c r="R439" s="14">
        <f>ROW()</f>
        <v>439</v>
      </c>
      <c r="S439" s="14" t="str">
        <f t="shared" si="20"/>
        <v/>
      </c>
      <c r="T439" s="27" t="s">
        <v>1113</v>
      </c>
      <c r="U439" s="28"/>
      <c r="V439" s="28"/>
      <c r="W439" s="28"/>
      <c r="X439" s="28"/>
      <c r="Y439" s="27"/>
      <c r="Z439" s="27"/>
      <c r="AA439" s="27"/>
      <c r="AB439" s="27"/>
    </row>
    <row r="440" spans="1:28" ht="42" customHeight="1">
      <c r="A440" s="41"/>
      <c r="B440" s="42"/>
      <c r="C440" s="42"/>
      <c r="D440" s="42"/>
      <c r="E440" s="42"/>
      <c r="F440" s="42"/>
      <c r="G440" s="42"/>
      <c r="H440" s="45"/>
      <c r="I440" s="44"/>
      <c r="J440" s="43"/>
      <c r="K440" s="44"/>
      <c r="L440" s="14">
        <f t="shared" si="18"/>
        <v>0</v>
      </c>
      <c r="M440" s="14">
        <f>IF(OR(L440=0,T440&lt;&gt;"Sim"),0,INDEX(Processos!$X$10:$X$509,O440))</f>
        <v>0</v>
      </c>
      <c r="N440" s="40" t="str">
        <f t="shared" si="19"/>
        <v/>
      </c>
      <c r="O440" s="14">
        <f>IF(AND(A440&lt;&gt;"",ISTEXT(A440),COUNTIFS(Processos!$AS$10:$AS$509,"="&amp;SUBSTITUTE(SUBSTITUTE(SUBSTITUTE("P:"&amp;A440,"~","~~"),"*","~*"),"?","~?"))=1),(IF(ISNA(MATCH(SUBSTITUTE(SUBSTITUTE(SUBSTITUTE("P:"&amp;A440,"~","~~"),"*","~*"),"?","~?"),Processos!$AS$10:$AS$509,0)),9,INDEX(Processos!$AM$10:$AM$509,MATCH(SUBSTITUTE(SUBSTITUTE(SUBSTITUTE("P:"&amp;A440,"~","~~"),"*","~*"),"?","~?"),Processos!$AS$10:$AS$509,0)))-9),0)</f>
        <v>0</v>
      </c>
      <c r="P440" s="14" t="str">
        <f>IF(L440=0,"",INDEX(Processos!$D$10:$D$509,O440))</f>
        <v/>
      </c>
      <c r="Q440" s="14">
        <f>IF(OR(L440=0,T440&lt;&gt;"Sim"),0,INDEX(Processos!$AL$10:$AL$509,O440))</f>
        <v>0</v>
      </c>
      <c r="R440" s="14">
        <f>ROW()</f>
        <v>440</v>
      </c>
      <c r="S440" s="14" t="str">
        <f t="shared" si="20"/>
        <v/>
      </c>
      <c r="T440" s="27" t="s">
        <v>1113</v>
      </c>
      <c r="U440" s="28"/>
      <c r="V440" s="28"/>
      <c r="W440" s="28"/>
      <c r="X440" s="28"/>
      <c r="Y440" s="27"/>
      <c r="Z440" s="27"/>
      <c r="AA440" s="27"/>
      <c r="AB440" s="27"/>
    </row>
    <row r="441" spans="1:28" ht="42" customHeight="1">
      <c r="A441" s="41"/>
      <c r="B441" s="42"/>
      <c r="C441" s="42"/>
      <c r="D441" s="42"/>
      <c r="E441" s="42"/>
      <c r="F441" s="42"/>
      <c r="G441" s="42"/>
      <c r="H441" s="45"/>
      <c r="I441" s="44"/>
      <c r="J441" s="43"/>
      <c r="K441" s="44"/>
      <c r="L441" s="14">
        <f t="shared" si="18"/>
        <v>0</v>
      </c>
      <c r="M441" s="14">
        <f>IF(OR(L441=0,T441&lt;&gt;"Sim"),0,INDEX(Processos!$X$10:$X$509,O441))</f>
        <v>0</v>
      </c>
      <c r="N441" s="40" t="str">
        <f t="shared" si="19"/>
        <v/>
      </c>
      <c r="O441" s="14">
        <f>IF(AND(A441&lt;&gt;"",ISTEXT(A441),COUNTIFS(Processos!$AS$10:$AS$509,"="&amp;SUBSTITUTE(SUBSTITUTE(SUBSTITUTE("P:"&amp;A441,"~","~~"),"*","~*"),"?","~?"))=1),(IF(ISNA(MATCH(SUBSTITUTE(SUBSTITUTE(SUBSTITUTE("P:"&amp;A441,"~","~~"),"*","~*"),"?","~?"),Processos!$AS$10:$AS$509,0)),9,INDEX(Processos!$AM$10:$AM$509,MATCH(SUBSTITUTE(SUBSTITUTE(SUBSTITUTE("P:"&amp;A441,"~","~~"),"*","~*"),"?","~?"),Processos!$AS$10:$AS$509,0)))-9),0)</f>
        <v>0</v>
      </c>
      <c r="P441" s="14" t="str">
        <f>IF(L441=0,"",INDEX(Processos!$D$10:$D$509,O441))</f>
        <v/>
      </c>
      <c r="Q441" s="14">
        <f>IF(OR(L441=0,T441&lt;&gt;"Sim"),0,INDEX(Processos!$AL$10:$AL$509,O441))</f>
        <v>0</v>
      </c>
      <c r="R441" s="14">
        <f>ROW()</f>
        <v>441</v>
      </c>
      <c r="S441" s="14" t="str">
        <f t="shared" si="20"/>
        <v/>
      </c>
      <c r="T441" s="27" t="s">
        <v>1113</v>
      </c>
      <c r="U441" s="28"/>
      <c r="V441" s="28"/>
      <c r="W441" s="28"/>
      <c r="X441" s="28"/>
      <c r="Y441" s="27"/>
      <c r="Z441" s="27"/>
      <c r="AA441" s="27"/>
      <c r="AB441" s="27"/>
    </row>
    <row r="442" spans="1:28" ht="42" customHeight="1">
      <c r="A442" s="41"/>
      <c r="B442" s="42"/>
      <c r="C442" s="42"/>
      <c r="D442" s="42"/>
      <c r="E442" s="42"/>
      <c r="F442" s="42"/>
      <c r="G442" s="42"/>
      <c r="H442" s="45"/>
      <c r="I442" s="44"/>
      <c r="J442" s="43"/>
      <c r="K442" s="44"/>
      <c r="L442" s="14">
        <f t="shared" si="18"/>
        <v>0</v>
      </c>
      <c r="M442" s="14">
        <f>IF(OR(L442=0,T442&lt;&gt;"Sim"),0,INDEX(Processos!$X$10:$X$509,O442))</f>
        <v>0</v>
      </c>
      <c r="N442" s="40" t="str">
        <f t="shared" si="19"/>
        <v/>
      </c>
      <c r="O442" s="14">
        <f>IF(AND(A442&lt;&gt;"",ISTEXT(A442),COUNTIFS(Processos!$AS$10:$AS$509,"="&amp;SUBSTITUTE(SUBSTITUTE(SUBSTITUTE("P:"&amp;A442,"~","~~"),"*","~*"),"?","~?"))=1),(IF(ISNA(MATCH(SUBSTITUTE(SUBSTITUTE(SUBSTITUTE("P:"&amp;A442,"~","~~"),"*","~*"),"?","~?"),Processos!$AS$10:$AS$509,0)),9,INDEX(Processos!$AM$10:$AM$509,MATCH(SUBSTITUTE(SUBSTITUTE(SUBSTITUTE("P:"&amp;A442,"~","~~"),"*","~*"),"?","~?"),Processos!$AS$10:$AS$509,0)))-9),0)</f>
        <v>0</v>
      </c>
      <c r="P442" s="14" t="str">
        <f>IF(L442=0,"",INDEX(Processos!$D$10:$D$509,O442))</f>
        <v/>
      </c>
      <c r="Q442" s="14">
        <f>IF(OR(L442=0,T442&lt;&gt;"Sim"),0,INDEX(Processos!$AL$10:$AL$509,O442))</f>
        <v>0</v>
      </c>
      <c r="R442" s="14">
        <f>ROW()</f>
        <v>442</v>
      </c>
      <c r="S442" s="14" t="str">
        <f t="shared" si="20"/>
        <v/>
      </c>
      <c r="T442" s="27" t="s">
        <v>1113</v>
      </c>
      <c r="U442" s="28"/>
      <c r="V442" s="28"/>
      <c r="W442" s="28"/>
      <c r="X442" s="28"/>
      <c r="Y442" s="27"/>
      <c r="Z442" s="27"/>
      <c r="AA442" s="27"/>
      <c r="AB442" s="27"/>
    </row>
    <row r="443" spans="1:28" ht="42" customHeight="1">
      <c r="A443" s="41"/>
      <c r="B443" s="42"/>
      <c r="C443" s="42"/>
      <c r="D443" s="42"/>
      <c r="E443" s="42"/>
      <c r="F443" s="42"/>
      <c r="G443" s="42"/>
      <c r="H443" s="45"/>
      <c r="I443" s="44"/>
      <c r="J443" s="43"/>
      <c r="K443" s="44"/>
      <c r="L443" s="14">
        <f t="shared" si="18"/>
        <v>0</v>
      </c>
      <c r="M443" s="14">
        <f>IF(OR(L443=0,T443&lt;&gt;"Sim"),0,INDEX(Processos!$X$10:$X$509,O443))</f>
        <v>0</v>
      </c>
      <c r="N443" s="40" t="str">
        <f t="shared" si="19"/>
        <v/>
      </c>
      <c r="O443" s="14">
        <f>IF(AND(A443&lt;&gt;"",ISTEXT(A443),COUNTIFS(Processos!$AS$10:$AS$509,"="&amp;SUBSTITUTE(SUBSTITUTE(SUBSTITUTE("P:"&amp;A443,"~","~~"),"*","~*"),"?","~?"))=1),(IF(ISNA(MATCH(SUBSTITUTE(SUBSTITUTE(SUBSTITUTE("P:"&amp;A443,"~","~~"),"*","~*"),"?","~?"),Processos!$AS$10:$AS$509,0)),9,INDEX(Processos!$AM$10:$AM$509,MATCH(SUBSTITUTE(SUBSTITUTE(SUBSTITUTE("P:"&amp;A443,"~","~~"),"*","~*"),"?","~?"),Processos!$AS$10:$AS$509,0)))-9),0)</f>
        <v>0</v>
      </c>
      <c r="P443" s="14" t="str">
        <f>IF(L443=0,"",INDEX(Processos!$D$10:$D$509,O443))</f>
        <v/>
      </c>
      <c r="Q443" s="14">
        <f>IF(OR(L443=0,T443&lt;&gt;"Sim"),0,INDEX(Processos!$AL$10:$AL$509,O443))</f>
        <v>0</v>
      </c>
      <c r="R443" s="14">
        <f>ROW()</f>
        <v>443</v>
      </c>
      <c r="S443" s="14" t="str">
        <f t="shared" si="20"/>
        <v/>
      </c>
      <c r="T443" s="27" t="s">
        <v>1113</v>
      </c>
      <c r="U443" s="28"/>
      <c r="V443" s="28"/>
      <c r="W443" s="28"/>
      <c r="X443" s="28"/>
      <c r="Y443" s="27"/>
      <c r="Z443" s="27"/>
      <c r="AA443" s="27"/>
      <c r="AB443" s="27"/>
    </row>
    <row r="444" spans="1:28" ht="42" customHeight="1">
      <c r="A444" s="41"/>
      <c r="B444" s="42"/>
      <c r="C444" s="42"/>
      <c r="D444" s="42"/>
      <c r="E444" s="42"/>
      <c r="F444" s="42"/>
      <c r="G444" s="42"/>
      <c r="H444" s="45"/>
      <c r="I444" s="44"/>
      <c r="J444" s="43"/>
      <c r="K444" s="44"/>
      <c r="L444" s="14">
        <f t="shared" si="18"/>
        <v>0</v>
      </c>
      <c r="M444" s="14">
        <f>IF(OR(L444=0,T444&lt;&gt;"Sim"),0,INDEX(Processos!$X$10:$X$509,O444))</f>
        <v>0</v>
      </c>
      <c r="N444" s="40" t="str">
        <f t="shared" si="19"/>
        <v/>
      </c>
      <c r="O444" s="14">
        <f>IF(AND(A444&lt;&gt;"",ISTEXT(A444),COUNTIFS(Processos!$AS$10:$AS$509,"="&amp;SUBSTITUTE(SUBSTITUTE(SUBSTITUTE("P:"&amp;A444,"~","~~"),"*","~*"),"?","~?"))=1),(IF(ISNA(MATCH(SUBSTITUTE(SUBSTITUTE(SUBSTITUTE("P:"&amp;A444,"~","~~"),"*","~*"),"?","~?"),Processos!$AS$10:$AS$509,0)),9,INDEX(Processos!$AM$10:$AM$509,MATCH(SUBSTITUTE(SUBSTITUTE(SUBSTITUTE("P:"&amp;A444,"~","~~"),"*","~*"),"?","~?"),Processos!$AS$10:$AS$509,0)))-9),0)</f>
        <v>0</v>
      </c>
      <c r="P444" s="14" t="str">
        <f>IF(L444=0,"",INDEX(Processos!$D$10:$D$509,O444))</f>
        <v/>
      </c>
      <c r="Q444" s="14">
        <f>IF(OR(L444=0,T444&lt;&gt;"Sim"),0,INDEX(Processos!$AL$10:$AL$509,O444))</f>
        <v>0</v>
      </c>
      <c r="R444" s="14">
        <f>ROW()</f>
        <v>444</v>
      </c>
      <c r="S444" s="14" t="str">
        <f t="shared" si="20"/>
        <v/>
      </c>
      <c r="T444" s="27" t="s">
        <v>1113</v>
      </c>
      <c r="U444" s="28"/>
      <c r="V444" s="28"/>
      <c r="W444" s="28"/>
      <c r="X444" s="28"/>
      <c r="Y444" s="27"/>
      <c r="Z444" s="27"/>
      <c r="AA444" s="27"/>
      <c r="AB444" s="27"/>
    </row>
    <row r="445" spans="1:28" ht="42" customHeight="1">
      <c r="A445" s="41"/>
      <c r="B445" s="42"/>
      <c r="C445" s="42"/>
      <c r="D445" s="42"/>
      <c r="E445" s="42"/>
      <c r="F445" s="42"/>
      <c r="G445" s="42"/>
      <c r="H445" s="45"/>
      <c r="I445" s="44"/>
      <c r="J445" s="43"/>
      <c r="K445" s="44"/>
      <c r="L445" s="14">
        <f t="shared" si="18"/>
        <v>0</v>
      </c>
      <c r="M445" s="14">
        <f>IF(OR(L445=0,T445&lt;&gt;"Sim"),0,INDEX(Processos!$X$10:$X$509,O445))</f>
        <v>0</v>
      </c>
      <c r="N445" s="40" t="str">
        <f t="shared" si="19"/>
        <v/>
      </c>
      <c r="O445" s="14">
        <f>IF(AND(A445&lt;&gt;"",ISTEXT(A445),COUNTIFS(Processos!$AS$10:$AS$509,"="&amp;SUBSTITUTE(SUBSTITUTE(SUBSTITUTE("P:"&amp;A445,"~","~~"),"*","~*"),"?","~?"))=1),(IF(ISNA(MATCH(SUBSTITUTE(SUBSTITUTE(SUBSTITUTE("P:"&amp;A445,"~","~~"),"*","~*"),"?","~?"),Processos!$AS$10:$AS$509,0)),9,INDEX(Processos!$AM$10:$AM$509,MATCH(SUBSTITUTE(SUBSTITUTE(SUBSTITUTE("P:"&amp;A445,"~","~~"),"*","~*"),"?","~?"),Processos!$AS$10:$AS$509,0)))-9),0)</f>
        <v>0</v>
      </c>
      <c r="P445" s="14" t="str">
        <f>IF(L445=0,"",INDEX(Processos!$D$10:$D$509,O445))</f>
        <v/>
      </c>
      <c r="Q445" s="14">
        <f>IF(OR(L445=0,T445&lt;&gt;"Sim"),0,INDEX(Processos!$AL$10:$AL$509,O445))</f>
        <v>0</v>
      </c>
      <c r="R445" s="14">
        <f>ROW()</f>
        <v>445</v>
      </c>
      <c r="S445" s="14" t="str">
        <f t="shared" si="20"/>
        <v/>
      </c>
      <c r="T445" s="27" t="s">
        <v>1113</v>
      </c>
      <c r="U445" s="28"/>
      <c r="V445" s="28"/>
      <c r="W445" s="28"/>
      <c r="X445" s="28"/>
      <c r="Y445" s="27"/>
      <c r="Z445" s="27"/>
      <c r="AA445" s="27"/>
      <c r="AB445" s="27"/>
    </row>
    <row r="446" spans="1:28" ht="42" customHeight="1">
      <c r="A446" s="41"/>
      <c r="B446" s="42"/>
      <c r="C446" s="42"/>
      <c r="D446" s="42"/>
      <c r="E446" s="42"/>
      <c r="F446" s="42"/>
      <c r="G446" s="42"/>
      <c r="H446" s="45"/>
      <c r="I446" s="44"/>
      <c r="J446" s="43"/>
      <c r="K446" s="44"/>
      <c r="L446" s="14">
        <f t="shared" si="18"/>
        <v>0</v>
      </c>
      <c r="M446" s="14">
        <f>IF(OR(L446=0,T446&lt;&gt;"Sim"),0,INDEX(Processos!$X$10:$X$509,O446))</f>
        <v>0</v>
      </c>
      <c r="N446" s="40" t="str">
        <f t="shared" si="19"/>
        <v/>
      </c>
      <c r="O446" s="14">
        <f>IF(AND(A446&lt;&gt;"",ISTEXT(A446),COUNTIFS(Processos!$AS$10:$AS$509,"="&amp;SUBSTITUTE(SUBSTITUTE(SUBSTITUTE("P:"&amp;A446,"~","~~"),"*","~*"),"?","~?"))=1),(IF(ISNA(MATCH(SUBSTITUTE(SUBSTITUTE(SUBSTITUTE("P:"&amp;A446,"~","~~"),"*","~*"),"?","~?"),Processos!$AS$10:$AS$509,0)),9,INDEX(Processos!$AM$10:$AM$509,MATCH(SUBSTITUTE(SUBSTITUTE(SUBSTITUTE("P:"&amp;A446,"~","~~"),"*","~*"),"?","~?"),Processos!$AS$10:$AS$509,0)))-9),0)</f>
        <v>0</v>
      </c>
      <c r="P446" s="14" t="str">
        <f>IF(L446=0,"",INDEX(Processos!$D$10:$D$509,O446))</f>
        <v/>
      </c>
      <c r="Q446" s="14">
        <f>IF(OR(L446=0,T446&lt;&gt;"Sim"),0,INDEX(Processos!$AL$10:$AL$509,O446))</f>
        <v>0</v>
      </c>
      <c r="R446" s="14">
        <f>ROW()</f>
        <v>446</v>
      </c>
      <c r="S446" s="14" t="str">
        <f t="shared" si="20"/>
        <v/>
      </c>
      <c r="T446" s="27" t="s">
        <v>1113</v>
      </c>
      <c r="U446" s="28"/>
      <c r="V446" s="28"/>
      <c r="W446" s="28"/>
      <c r="X446" s="28"/>
      <c r="Y446" s="27"/>
      <c r="Z446" s="27"/>
      <c r="AA446" s="27"/>
      <c r="AB446" s="27"/>
    </row>
    <row r="447" spans="1:28" ht="42" customHeight="1">
      <c r="A447" s="41"/>
      <c r="B447" s="42"/>
      <c r="C447" s="42"/>
      <c r="D447" s="42"/>
      <c r="E447" s="42"/>
      <c r="F447" s="42"/>
      <c r="G447" s="42"/>
      <c r="H447" s="45"/>
      <c r="I447" s="44"/>
      <c r="J447" s="43"/>
      <c r="K447" s="44"/>
      <c r="L447" s="14">
        <f t="shared" si="18"/>
        <v>0</v>
      </c>
      <c r="M447" s="14">
        <f>IF(OR(L447=0,T447&lt;&gt;"Sim"),0,INDEX(Processos!$X$10:$X$509,O447))</f>
        <v>0</v>
      </c>
      <c r="N447" s="40" t="str">
        <f t="shared" si="19"/>
        <v/>
      </c>
      <c r="O447" s="14">
        <f>IF(AND(A447&lt;&gt;"",ISTEXT(A447),COUNTIFS(Processos!$AS$10:$AS$509,"="&amp;SUBSTITUTE(SUBSTITUTE(SUBSTITUTE("P:"&amp;A447,"~","~~"),"*","~*"),"?","~?"))=1),(IF(ISNA(MATCH(SUBSTITUTE(SUBSTITUTE(SUBSTITUTE("P:"&amp;A447,"~","~~"),"*","~*"),"?","~?"),Processos!$AS$10:$AS$509,0)),9,INDEX(Processos!$AM$10:$AM$509,MATCH(SUBSTITUTE(SUBSTITUTE(SUBSTITUTE("P:"&amp;A447,"~","~~"),"*","~*"),"?","~?"),Processos!$AS$10:$AS$509,0)))-9),0)</f>
        <v>0</v>
      </c>
      <c r="P447" s="14" t="str">
        <f>IF(L447=0,"",INDEX(Processos!$D$10:$D$509,O447))</f>
        <v/>
      </c>
      <c r="Q447" s="14">
        <f>IF(OR(L447=0,T447&lt;&gt;"Sim"),0,INDEX(Processos!$AL$10:$AL$509,O447))</f>
        <v>0</v>
      </c>
      <c r="R447" s="14">
        <f>ROW()</f>
        <v>447</v>
      </c>
      <c r="S447" s="14" t="str">
        <f t="shared" si="20"/>
        <v/>
      </c>
      <c r="T447" s="27" t="s">
        <v>1113</v>
      </c>
      <c r="U447" s="28"/>
      <c r="V447" s="28"/>
      <c r="W447" s="28"/>
      <c r="X447" s="28"/>
      <c r="Y447" s="27"/>
      <c r="Z447" s="27"/>
      <c r="AA447" s="27"/>
      <c r="AB447" s="27"/>
    </row>
    <row r="448" spans="1:28" ht="42" customHeight="1">
      <c r="A448" s="41"/>
      <c r="B448" s="42"/>
      <c r="C448" s="42"/>
      <c r="D448" s="42"/>
      <c r="E448" s="42"/>
      <c r="F448" s="42"/>
      <c r="G448" s="42"/>
      <c r="H448" s="45"/>
      <c r="I448" s="44"/>
      <c r="J448" s="43"/>
      <c r="K448" s="44"/>
      <c r="L448" s="14">
        <f t="shared" si="18"/>
        <v>0</v>
      </c>
      <c r="M448" s="14">
        <f>IF(OR(L448=0,T448&lt;&gt;"Sim"),0,INDEX(Processos!$X$10:$X$509,O448))</f>
        <v>0</v>
      </c>
      <c r="N448" s="40" t="str">
        <f t="shared" si="19"/>
        <v/>
      </c>
      <c r="O448" s="14">
        <f>IF(AND(A448&lt;&gt;"",ISTEXT(A448),COUNTIFS(Processos!$AS$10:$AS$509,"="&amp;SUBSTITUTE(SUBSTITUTE(SUBSTITUTE("P:"&amp;A448,"~","~~"),"*","~*"),"?","~?"))=1),(IF(ISNA(MATCH(SUBSTITUTE(SUBSTITUTE(SUBSTITUTE("P:"&amp;A448,"~","~~"),"*","~*"),"?","~?"),Processos!$AS$10:$AS$509,0)),9,INDEX(Processos!$AM$10:$AM$509,MATCH(SUBSTITUTE(SUBSTITUTE(SUBSTITUTE("P:"&amp;A448,"~","~~"),"*","~*"),"?","~?"),Processos!$AS$10:$AS$509,0)))-9),0)</f>
        <v>0</v>
      </c>
      <c r="P448" s="14" t="str">
        <f>IF(L448=0,"",INDEX(Processos!$D$10:$D$509,O448))</f>
        <v/>
      </c>
      <c r="Q448" s="14">
        <f>IF(OR(L448=0,T448&lt;&gt;"Sim"),0,INDEX(Processos!$AL$10:$AL$509,O448))</f>
        <v>0</v>
      </c>
      <c r="R448" s="14">
        <f>ROW()</f>
        <v>448</v>
      </c>
      <c r="S448" s="14" t="str">
        <f t="shared" si="20"/>
        <v/>
      </c>
      <c r="T448" s="27" t="s">
        <v>1113</v>
      </c>
      <c r="U448" s="28"/>
      <c r="V448" s="28"/>
      <c r="W448" s="28"/>
      <c r="X448" s="28"/>
      <c r="Y448" s="27"/>
      <c r="Z448" s="27"/>
      <c r="AA448" s="27"/>
      <c r="AB448" s="27"/>
    </row>
    <row r="449" spans="1:28" ht="42" customHeight="1">
      <c r="A449" s="41"/>
      <c r="B449" s="42"/>
      <c r="C449" s="42"/>
      <c r="D449" s="42"/>
      <c r="E449" s="42"/>
      <c r="F449" s="42"/>
      <c r="G449" s="42"/>
      <c r="H449" s="45"/>
      <c r="I449" s="44"/>
      <c r="J449" s="43"/>
      <c r="K449" s="44"/>
      <c r="L449" s="14">
        <f t="shared" si="18"/>
        <v>0</v>
      </c>
      <c r="M449" s="14">
        <f>IF(OR(L449=0,T449&lt;&gt;"Sim"),0,INDEX(Processos!$X$10:$X$509,O449))</f>
        <v>0</v>
      </c>
      <c r="N449" s="40" t="str">
        <f t="shared" si="19"/>
        <v/>
      </c>
      <c r="O449" s="14">
        <f>IF(AND(A449&lt;&gt;"",ISTEXT(A449),COUNTIFS(Processos!$AS$10:$AS$509,"="&amp;SUBSTITUTE(SUBSTITUTE(SUBSTITUTE("P:"&amp;A449,"~","~~"),"*","~*"),"?","~?"))=1),(IF(ISNA(MATCH(SUBSTITUTE(SUBSTITUTE(SUBSTITUTE("P:"&amp;A449,"~","~~"),"*","~*"),"?","~?"),Processos!$AS$10:$AS$509,0)),9,INDEX(Processos!$AM$10:$AM$509,MATCH(SUBSTITUTE(SUBSTITUTE(SUBSTITUTE("P:"&amp;A449,"~","~~"),"*","~*"),"?","~?"),Processos!$AS$10:$AS$509,0)))-9),0)</f>
        <v>0</v>
      </c>
      <c r="P449" s="14" t="str">
        <f>IF(L449=0,"",INDEX(Processos!$D$10:$D$509,O449))</f>
        <v/>
      </c>
      <c r="Q449" s="14">
        <f>IF(OR(L449=0,T449&lt;&gt;"Sim"),0,INDEX(Processos!$AL$10:$AL$509,O449))</f>
        <v>0</v>
      </c>
      <c r="R449" s="14">
        <f>ROW()</f>
        <v>449</v>
      </c>
      <c r="S449" s="14" t="str">
        <f t="shared" si="20"/>
        <v/>
      </c>
      <c r="T449" s="27" t="s">
        <v>1113</v>
      </c>
      <c r="U449" s="28"/>
      <c r="V449" s="28"/>
      <c r="W449" s="28"/>
      <c r="X449" s="28"/>
      <c r="Y449" s="27"/>
      <c r="Z449" s="27"/>
      <c r="AA449" s="27"/>
      <c r="AB449" s="27"/>
    </row>
    <row r="450" spans="1:28" ht="42" customHeight="1">
      <c r="A450" s="41"/>
      <c r="B450" s="42"/>
      <c r="C450" s="42"/>
      <c r="D450" s="42"/>
      <c r="E450" s="42"/>
      <c r="F450" s="42"/>
      <c r="G450" s="42"/>
      <c r="H450" s="45"/>
      <c r="I450" s="44"/>
      <c r="J450" s="43"/>
      <c r="K450" s="44"/>
      <c r="L450" s="14">
        <f t="shared" si="18"/>
        <v>0</v>
      </c>
      <c r="M450" s="14">
        <f>IF(OR(L450=0,T450&lt;&gt;"Sim"),0,INDEX(Processos!$X$10:$X$509,O450))</f>
        <v>0</v>
      </c>
      <c r="N450" s="40" t="str">
        <f t="shared" si="19"/>
        <v/>
      </c>
      <c r="O450" s="14">
        <f>IF(AND(A450&lt;&gt;"",ISTEXT(A450),COUNTIFS(Processos!$AS$10:$AS$509,"="&amp;SUBSTITUTE(SUBSTITUTE(SUBSTITUTE("P:"&amp;A450,"~","~~"),"*","~*"),"?","~?"))=1),(IF(ISNA(MATCH(SUBSTITUTE(SUBSTITUTE(SUBSTITUTE("P:"&amp;A450,"~","~~"),"*","~*"),"?","~?"),Processos!$AS$10:$AS$509,0)),9,INDEX(Processos!$AM$10:$AM$509,MATCH(SUBSTITUTE(SUBSTITUTE(SUBSTITUTE("P:"&amp;A450,"~","~~"),"*","~*"),"?","~?"),Processos!$AS$10:$AS$509,0)))-9),0)</f>
        <v>0</v>
      </c>
      <c r="P450" s="14" t="str">
        <f>IF(L450=0,"",INDEX(Processos!$D$10:$D$509,O450))</f>
        <v/>
      </c>
      <c r="Q450" s="14">
        <f>IF(OR(L450=0,T450&lt;&gt;"Sim"),0,INDEX(Processos!$AL$10:$AL$509,O450))</f>
        <v>0</v>
      </c>
      <c r="R450" s="14">
        <f>ROW()</f>
        <v>450</v>
      </c>
      <c r="S450" s="14" t="str">
        <f t="shared" si="20"/>
        <v/>
      </c>
      <c r="T450" s="27" t="s">
        <v>1113</v>
      </c>
      <c r="U450" s="28"/>
      <c r="V450" s="28"/>
      <c r="W450" s="28"/>
      <c r="X450" s="28"/>
      <c r="Y450" s="27"/>
      <c r="Z450" s="27"/>
      <c r="AA450" s="27"/>
      <c r="AB450" s="27"/>
    </row>
    <row r="451" spans="1:28" ht="42" customHeight="1">
      <c r="A451" s="41"/>
      <c r="B451" s="42"/>
      <c r="C451" s="42"/>
      <c r="D451" s="42"/>
      <c r="E451" s="42"/>
      <c r="F451" s="42"/>
      <c r="G451" s="42"/>
      <c r="H451" s="45"/>
      <c r="I451" s="44"/>
      <c r="J451" s="43"/>
      <c r="K451" s="44"/>
      <c r="L451" s="14">
        <f t="shared" si="18"/>
        <v>0</v>
      </c>
      <c r="M451" s="14">
        <f>IF(OR(L451=0,T451&lt;&gt;"Sim"),0,INDEX(Processos!$X$10:$X$509,O451))</f>
        <v>0</v>
      </c>
      <c r="N451" s="40" t="str">
        <f t="shared" si="19"/>
        <v/>
      </c>
      <c r="O451" s="14">
        <f>IF(AND(A451&lt;&gt;"",ISTEXT(A451),COUNTIFS(Processos!$AS$10:$AS$509,"="&amp;SUBSTITUTE(SUBSTITUTE(SUBSTITUTE("P:"&amp;A451,"~","~~"),"*","~*"),"?","~?"))=1),(IF(ISNA(MATCH(SUBSTITUTE(SUBSTITUTE(SUBSTITUTE("P:"&amp;A451,"~","~~"),"*","~*"),"?","~?"),Processos!$AS$10:$AS$509,0)),9,INDEX(Processos!$AM$10:$AM$509,MATCH(SUBSTITUTE(SUBSTITUTE(SUBSTITUTE("P:"&amp;A451,"~","~~"),"*","~*"),"?","~?"),Processos!$AS$10:$AS$509,0)))-9),0)</f>
        <v>0</v>
      </c>
      <c r="P451" s="14" t="str">
        <f>IF(L451=0,"",INDEX(Processos!$D$10:$D$509,O451))</f>
        <v/>
      </c>
      <c r="Q451" s="14">
        <f>IF(OR(L451=0,T451&lt;&gt;"Sim"),0,INDEX(Processos!$AL$10:$AL$509,O451))</f>
        <v>0</v>
      </c>
      <c r="R451" s="14">
        <f>ROW()</f>
        <v>451</v>
      </c>
      <c r="S451" s="14" t="str">
        <f t="shared" si="20"/>
        <v/>
      </c>
      <c r="T451" s="27" t="s">
        <v>1113</v>
      </c>
      <c r="U451" s="28"/>
      <c r="V451" s="28"/>
      <c r="W451" s="28"/>
      <c r="X451" s="28"/>
      <c r="Y451" s="27"/>
      <c r="Z451" s="27"/>
      <c r="AA451" s="27"/>
      <c r="AB451" s="27"/>
    </row>
    <row r="452" spans="1:28" ht="42" customHeight="1">
      <c r="A452" s="41"/>
      <c r="B452" s="42"/>
      <c r="C452" s="42"/>
      <c r="D452" s="42"/>
      <c r="E452" s="42"/>
      <c r="F452" s="42"/>
      <c r="G452" s="42"/>
      <c r="H452" s="45"/>
      <c r="I452" s="44"/>
      <c r="J452" s="43"/>
      <c r="K452" s="44"/>
      <c r="L452" s="14">
        <f t="shared" si="18"/>
        <v>0</v>
      </c>
      <c r="M452" s="14">
        <f>IF(OR(L452=0,T452&lt;&gt;"Sim"),0,INDEX(Processos!$X$10:$X$509,O452))</f>
        <v>0</v>
      </c>
      <c r="N452" s="40" t="str">
        <f t="shared" si="19"/>
        <v/>
      </c>
      <c r="O452" s="14">
        <f>IF(AND(A452&lt;&gt;"",ISTEXT(A452),COUNTIFS(Processos!$AS$10:$AS$509,"="&amp;SUBSTITUTE(SUBSTITUTE(SUBSTITUTE("P:"&amp;A452,"~","~~"),"*","~*"),"?","~?"))=1),(IF(ISNA(MATCH(SUBSTITUTE(SUBSTITUTE(SUBSTITUTE("P:"&amp;A452,"~","~~"),"*","~*"),"?","~?"),Processos!$AS$10:$AS$509,0)),9,INDEX(Processos!$AM$10:$AM$509,MATCH(SUBSTITUTE(SUBSTITUTE(SUBSTITUTE("P:"&amp;A452,"~","~~"),"*","~*"),"?","~?"),Processos!$AS$10:$AS$509,0)))-9),0)</f>
        <v>0</v>
      </c>
      <c r="P452" s="14" t="str">
        <f>IF(L452=0,"",INDEX(Processos!$D$10:$D$509,O452))</f>
        <v/>
      </c>
      <c r="Q452" s="14">
        <f>IF(OR(L452=0,T452&lt;&gt;"Sim"),0,INDEX(Processos!$AL$10:$AL$509,O452))</f>
        <v>0</v>
      </c>
      <c r="R452" s="14">
        <f>ROW()</f>
        <v>452</v>
      </c>
      <c r="S452" s="14" t="str">
        <f t="shared" si="20"/>
        <v/>
      </c>
      <c r="T452" s="27" t="s">
        <v>1113</v>
      </c>
      <c r="U452" s="28"/>
      <c r="V452" s="28"/>
      <c r="W452" s="28"/>
      <c r="X452" s="28"/>
      <c r="Y452" s="27"/>
      <c r="Z452" s="27"/>
      <c r="AA452" s="27"/>
      <c r="AB452" s="27"/>
    </row>
    <row r="453" spans="1:28" ht="42" customHeight="1">
      <c r="A453" s="41"/>
      <c r="B453" s="42"/>
      <c r="C453" s="42"/>
      <c r="D453" s="42"/>
      <c r="E453" s="42"/>
      <c r="F453" s="42"/>
      <c r="G453" s="42"/>
      <c r="H453" s="45"/>
      <c r="I453" s="44"/>
      <c r="J453" s="43"/>
      <c r="K453" s="44"/>
      <c r="L453" s="14">
        <f t="shared" si="18"/>
        <v>0</v>
      </c>
      <c r="M453" s="14">
        <f>IF(OR(L453=0,T453&lt;&gt;"Sim"),0,INDEX(Processos!$X$10:$X$509,O453))</f>
        <v>0</v>
      </c>
      <c r="N453" s="40" t="str">
        <f t="shared" si="19"/>
        <v/>
      </c>
      <c r="O453" s="14">
        <f>IF(AND(A453&lt;&gt;"",ISTEXT(A453),COUNTIFS(Processos!$AS$10:$AS$509,"="&amp;SUBSTITUTE(SUBSTITUTE(SUBSTITUTE("P:"&amp;A453,"~","~~"),"*","~*"),"?","~?"))=1),(IF(ISNA(MATCH(SUBSTITUTE(SUBSTITUTE(SUBSTITUTE("P:"&amp;A453,"~","~~"),"*","~*"),"?","~?"),Processos!$AS$10:$AS$509,0)),9,INDEX(Processos!$AM$10:$AM$509,MATCH(SUBSTITUTE(SUBSTITUTE(SUBSTITUTE("P:"&amp;A453,"~","~~"),"*","~*"),"?","~?"),Processos!$AS$10:$AS$509,0)))-9),0)</f>
        <v>0</v>
      </c>
      <c r="P453" s="14" t="str">
        <f>IF(L453=0,"",INDEX(Processos!$D$10:$D$509,O453))</f>
        <v/>
      </c>
      <c r="Q453" s="14">
        <f>IF(OR(L453=0,T453&lt;&gt;"Sim"),0,INDEX(Processos!$AL$10:$AL$509,O453))</f>
        <v>0</v>
      </c>
      <c r="R453" s="14">
        <f>ROW()</f>
        <v>453</v>
      </c>
      <c r="S453" s="14" t="str">
        <f t="shared" si="20"/>
        <v/>
      </c>
      <c r="T453" s="27" t="s">
        <v>1113</v>
      </c>
      <c r="U453" s="28"/>
      <c r="V453" s="28"/>
      <c r="W453" s="28"/>
      <c r="X453" s="28"/>
      <c r="Y453" s="27"/>
      <c r="Z453" s="27"/>
      <c r="AA453" s="27"/>
      <c r="AB453" s="27"/>
    </row>
    <row r="454" spans="1:28" ht="42" customHeight="1">
      <c r="A454" s="41"/>
      <c r="B454" s="42"/>
      <c r="C454" s="42"/>
      <c r="D454" s="42"/>
      <c r="E454" s="42"/>
      <c r="F454" s="42"/>
      <c r="G454" s="42"/>
      <c r="H454" s="45"/>
      <c r="I454" s="44"/>
      <c r="J454" s="43"/>
      <c r="K454" s="44"/>
      <c r="L454" s="14">
        <f t="shared" si="18"/>
        <v>0</v>
      </c>
      <c r="M454" s="14">
        <f>IF(OR(L454=0,T454&lt;&gt;"Sim"),0,INDEX(Processos!$X$10:$X$509,O454))</f>
        <v>0</v>
      </c>
      <c r="N454" s="40" t="str">
        <f t="shared" si="19"/>
        <v/>
      </c>
      <c r="O454" s="14">
        <f>IF(AND(A454&lt;&gt;"",ISTEXT(A454),COUNTIFS(Processos!$AS$10:$AS$509,"="&amp;SUBSTITUTE(SUBSTITUTE(SUBSTITUTE("P:"&amp;A454,"~","~~"),"*","~*"),"?","~?"))=1),(IF(ISNA(MATCH(SUBSTITUTE(SUBSTITUTE(SUBSTITUTE("P:"&amp;A454,"~","~~"),"*","~*"),"?","~?"),Processos!$AS$10:$AS$509,0)),9,INDEX(Processos!$AM$10:$AM$509,MATCH(SUBSTITUTE(SUBSTITUTE(SUBSTITUTE("P:"&amp;A454,"~","~~"),"*","~*"),"?","~?"),Processos!$AS$10:$AS$509,0)))-9),0)</f>
        <v>0</v>
      </c>
      <c r="P454" s="14" t="str">
        <f>IF(L454=0,"",INDEX(Processos!$D$10:$D$509,O454))</f>
        <v/>
      </c>
      <c r="Q454" s="14">
        <f>IF(OR(L454=0,T454&lt;&gt;"Sim"),0,INDEX(Processos!$AL$10:$AL$509,O454))</f>
        <v>0</v>
      </c>
      <c r="R454" s="14">
        <f>ROW()</f>
        <v>454</v>
      </c>
      <c r="S454" s="14" t="str">
        <f t="shared" si="20"/>
        <v/>
      </c>
      <c r="T454" s="27" t="s">
        <v>1113</v>
      </c>
      <c r="U454" s="28"/>
      <c r="V454" s="28"/>
      <c r="W454" s="28"/>
      <c r="X454" s="28"/>
      <c r="Y454" s="27"/>
      <c r="Z454" s="27"/>
      <c r="AA454" s="27"/>
      <c r="AB454" s="27"/>
    </row>
    <row r="455" spans="1:28" ht="42" customHeight="1">
      <c r="A455" s="41"/>
      <c r="B455" s="42"/>
      <c r="C455" s="42"/>
      <c r="D455" s="42"/>
      <c r="E455" s="42"/>
      <c r="F455" s="42"/>
      <c r="G455" s="42"/>
      <c r="H455" s="45"/>
      <c r="I455" s="44"/>
      <c r="J455" s="43"/>
      <c r="K455" s="44"/>
      <c r="L455" s="14">
        <f t="shared" si="18"/>
        <v>0</v>
      </c>
      <c r="M455" s="14">
        <f>IF(OR(L455=0,T455&lt;&gt;"Sim"),0,INDEX(Processos!$X$10:$X$509,O455))</f>
        <v>0</v>
      </c>
      <c r="N455" s="40" t="str">
        <f t="shared" si="19"/>
        <v/>
      </c>
      <c r="O455" s="14">
        <f>IF(AND(A455&lt;&gt;"",ISTEXT(A455),COUNTIFS(Processos!$AS$10:$AS$509,"="&amp;SUBSTITUTE(SUBSTITUTE(SUBSTITUTE("P:"&amp;A455,"~","~~"),"*","~*"),"?","~?"))=1),(IF(ISNA(MATCH(SUBSTITUTE(SUBSTITUTE(SUBSTITUTE("P:"&amp;A455,"~","~~"),"*","~*"),"?","~?"),Processos!$AS$10:$AS$509,0)),9,INDEX(Processos!$AM$10:$AM$509,MATCH(SUBSTITUTE(SUBSTITUTE(SUBSTITUTE("P:"&amp;A455,"~","~~"),"*","~*"),"?","~?"),Processos!$AS$10:$AS$509,0)))-9),0)</f>
        <v>0</v>
      </c>
      <c r="P455" s="14" t="str">
        <f>IF(L455=0,"",INDEX(Processos!$D$10:$D$509,O455))</f>
        <v/>
      </c>
      <c r="Q455" s="14">
        <f>IF(OR(L455=0,T455&lt;&gt;"Sim"),0,INDEX(Processos!$AL$10:$AL$509,O455))</f>
        <v>0</v>
      </c>
      <c r="R455" s="14">
        <f>ROW()</f>
        <v>455</v>
      </c>
      <c r="S455" s="14" t="str">
        <f t="shared" si="20"/>
        <v/>
      </c>
      <c r="T455" s="27" t="s">
        <v>1113</v>
      </c>
      <c r="U455" s="28"/>
      <c r="V455" s="28"/>
      <c r="W455" s="28"/>
      <c r="X455" s="28"/>
      <c r="Y455" s="27"/>
      <c r="Z455" s="27"/>
      <c r="AA455" s="27"/>
      <c r="AB455" s="27"/>
    </row>
    <row r="456" spans="1:28" ht="42" customHeight="1">
      <c r="A456" s="41"/>
      <c r="B456" s="42"/>
      <c r="C456" s="42"/>
      <c r="D456" s="42"/>
      <c r="E456" s="42"/>
      <c r="F456" s="42"/>
      <c r="G456" s="42"/>
      <c r="H456" s="45"/>
      <c r="I456" s="44"/>
      <c r="J456" s="43"/>
      <c r="K456" s="44"/>
      <c r="L456" s="14">
        <f t="shared" si="18"/>
        <v>0</v>
      </c>
      <c r="M456" s="14">
        <f>IF(OR(L456=0,T456&lt;&gt;"Sim"),0,INDEX(Processos!$X$10:$X$509,O456))</f>
        <v>0</v>
      </c>
      <c r="N456" s="40" t="str">
        <f t="shared" si="19"/>
        <v/>
      </c>
      <c r="O456" s="14">
        <f>IF(AND(A456&lt;&gt;"",ISTEXT(A456),COUNTIFS(Processos!$AS$10:$AS$509,"="&amp;SUBSTITUTE(SUBSTITUTE(SUBSTITUTE("P:"&amp;A456,"~","~~"),"*","~*"),"?","~?"))=1),(IF(ISNA(MATCH(SUBSTITUTE(SUBSTITUTE(SUBSTITUTE("P:"&amp;A456,"~","~~"),"*","~*"),"?","~?"),Processos!$AS$10:$AS$509,0)),9,INDEX(Processos!$AM$10:$AM$509,MATCH(SUBSTITUTE(SUBSTITUTE(SUBSTITUTE("P:"&amp;A456,"~","~~"),"*","~*"),"?","~?"),Processos!$AS$10:$AS$509,0)))-9),0)</f>
        <v>0</v>
      </c>
      <c r="P456" s="14" t="str">
        <f>IF(L456=0,"",INDEX(Processos!$D$10:$D$509,O456))</f>
        <v/>
      </c>
      <c r="Q456" s="14">
        <f>IF(OR(L456=0,T456&lt;&gt;"Sim"),0,INDEX(Processos!$AL$10:$AL$509,O456))</f>
        <v>0</v>
      </c>
      <c r="R456" s="14">
        <f>ROW()</f>
        <v>456</v>
      </c>
      <c r="S456" s="14" t="str">
        <f t="shared" si="20"/>
        <v/>
      </c>
      <c r="T456" s="27" t="s">
        <v>1113</v>
      </c>
      <c r="U456" s="28"/>
      <c r="V456" s="28"/>
      <c r="W456" s="28"/>
      <c r="X456" s="28"/>
      <c r="Y456" s="27"/>
      <c r="Z456" s="27"/>
      <c r="AA456" s="27"/>
      <c r="AB456" s="27"/>
    </row>
    <row r="457" spans="1:28" ht="42" customHeight="1">
      <c r="A457" s="41"/>
      <c r="B457" s="42"/>
      <c r="C457" s="42"/>
      <c r="D457" s="42"/>
      <c r="E457" s="42"/>
      <c r="F457" s="42"/>
      <c r="G457" s="42"/>
      <c r="H457" s="45"/>
      <c r="I457" s="44"/>
      <c r="J457" s="43"/>
      <c r="K457" s="44"/>
      <c r="L457" s="14">
        <f t="shared" si="18"/>
        <v>0</v>
      </c>
      <c r="M457" s="14">
        <f>IF(OR(L457=0,T457&lt;&gt;"Sim"),0,INDEX(Processos!$X$10:$X$509,O457))</f>
        <v>0</v>
      </c>
      <c r="N457" s="40" t="str">
        <f t="shared" si="19"/>
        <v/>
      </c>
      <c r="O457" s="14">
        <f>IF(AND(A457&lt;&gt;"",ISTEXT(A457),COUNTIFS(Processos!$AS$10:$AS$509,"="&amp;SUBSTITUTE(SUBSTITUTE(SUBSTITUTE("P:"&amp;A457,"~","~~"),"*","~*"),"?","~?"))=1),(IF(ISNA(MATCH(SUBSTITUTE(SUBSTITUTE(SUBSTITUTE("P:"&amp;A457,"~","~~"),"*","~*"),"?","~?"),Processos!$AS$10:$AS$509,0)),9,INDEX(Processos!$AM$10:$AM$509,MATCH(SUBSTITUTE(SUBSTITUTE(SUBSTITUTE("P:"&amp;A457,"~","~~"),"*","~*"),"?","~?"),Processos!$AS$10:$AS$509,0)))-9),0)</f>
        <v>0</v>
      </c>
      <c r="P457" s="14" t="str">
        <f>IF(L457=0,"",INDEX(Processos!$D$10:$D$509,O457))</f>
        <v/>
      </c>
      <c r="Q457" s="14">
        <f>IF(OR(L457=0,T457&lt;&gt;"Sim"),0,INDEX(Processos!$AL$10:$AL$509,O457))</f>
        <v>0</v>
      </c>
      <c r="R457" s="14">
        <f>ROW()</f>
        <v>457</v>
      </c>
      <c r="S457" s="14" t="str">
        <f t="shared" si="20"/>
        <v/>
      </c>
      <c r="T457" s="27" t="s">
        <v>1113</v>
      </c>
      <c r="U457" s="28"/>
      <c r="V457" s="28"/>
      <c r="W457" s="28"/>
      <c r="X457" s="28"/>
      <c r="Y457" s="27"/>
      <c r="Z457" s="27"/>
      <c r="AA457" s="27"/>
      <c r="AB457" s="27"/>
    </row>
    <row r="458" spans="1:28" ht="42" customHeight="1">
      <c r="A458" s="41"/>
      <c r="B458" s="42"/>
      <c r="C458" s="42"/>
      <c r="D458" s="42"/>
      <c r="E458" s="42"/>
      <c r="F458" s="42"/>
      <c r="G458" s="42"/>
      <c r="H458" s="45"/>
      <c r="I458" s="44"/>
      <c r="J458" s="43"/>
      <c r="K458" s="44"/>
      <c r="L458" s="14">
        <f t="shared" ref="L458:L509" si="21">IF(AND(A458&lt;&gt;"",ISTEXT(A458),O458&gt;0,COUNTIFS($S$10:$S$509,"="&amp;SUBSTITUTE(SUBSTITUTE(SUBSTITUTE("P:"&amp;A458,"~","~~"),"*","~*"),"?","~?"))=1),1,0)</f>
        <v>0</v>
      </c>
      <c r="M458" s="14">
        <f>IF(OR(L458=0,T458&lt;&gt;"Sim"),0,INDEX(Processos!$X$10:$X$509,O458))</f>
        <v>0</v>
      </c>
      <c r="N458" s="40" t="str">
        <f t="shared" ref="N458:N521" si="22">IF(COUNTA(A458:K458)=0,"",IF(A458="","Selecione o processo",IF(O458=0,"Processo inexistente, duplicado ou número não textual",IF(COUNTIFS($S$10:$S$509,"="&amp;SUBSTITUTE(SUBSTITUTE(SUBSTITUTE("P:"&amp;A458,"~","~~"),"*","~*"),"?","~?"))&gt;1,"Mantenha apenas uma linha de valores por processo",IF(COUNT(B458:G458)&lt;&gt;COUNTA(B458:G458),"Use números nos campos financeiros",IF(MIN(B458:G458)&lt;0,"Revise os valores negativos",IF(AND(H458&lt;&gt;"",OR(NOT(ISNUMBER(H458)),H458&lt;0,H458&gt;1)),"Probabilidade deve estar entre 0% e 100%",IF(AND(J458&lt;&gt;"",OR(NOT(ISNUMBER(J458)),J458&lt;1,J458&gt;100000)),"Revise a data da avaliação",IF(AND(COUNTA(B458:I458)&gt;0,J458=""),"Informe a data da revisão financeira","")))))))))</f>
        <v/>
      </c>
      <c r="O458" s="14">
        <f>IF(AND(A458&lt;&gt;"",ISTEXT(A458),COUNTIFS(Processos!$AS$10:$AS$509,"="&amp;SUBSTITUTE(SUBSTITUTE(SUBSTITUTE("P:"&amp;A458,"~","~~"),"*","~*"),"?","~?"))=1),(IF(ISNA(MATCH(SUBSTITUTE(SUBSTITUTE(SUBSTITUTE("P:"&amp;A458,"~","~~"),"*","~*"),"?","~?"),Processos!$AS$10:$AS$509,0)),9,INDEX(Processos!$AM$10:$AM$509,MATCH(SUBSTITUTE(SUBSTITUTE(SUBSTITUTE("P:"&amp;A458,"~","~~"),"*","~*"),"?","~?"),Processos!$AS$10:$AS$509,0)))-9),0)</f>
        <v>0</v>
      </c>
      <c r="P458" s="14" t="str">
        <f>IF(L458=0,"",INDEX(Processos!$D$10:$D$509,O458))</f>
        <v/>
      </c>
      <c r="Q458" s="14">
        <f>IF(OR(L458=0,T458&lt;&gt;"Sim"),0,INDEX(Processos!$AL$10:$AL$509,O458))</f>
        <v>0</v>
      </c>
      <c r="R458" s="14">
        <f>ROW()</f>
        <v>458</v>
      </c>
      <c r="S458" s="14" t="str">
        <f t="shared" ref="S458:S509" si="23">IF(AND(A458&lt;&gt;"",ISTEXT(A458)),"P:"&amp;A458,"")</f>
        <v/>
      </c>
      <c r="T458" s="27" t="s">
        <v>1113</v>
      </c>
      <c r="U458" s="28"/>
      <c r="V458" s="28"/>
      <c r="W458" s="28"/>
      <c r="X458" s="28"/>
      <c r="Y458" s="27"/>
      <c r="Z458" s="27"/>
      <c r="AA458" s="27"/>
      <c r="AB458" s="27"/>
    </row>
    <row r="459" spans="1:28" ht="42" customHeight="1">
      <c r="A459" s="41"/>
      <c r="B459" s="42"/>
      <c r="C459" s="42"/>
      <c r="D459" s="42"/>
      <c r="E459" s="42"/>
      <c r="F459" s="42"/>
      <c r="G459" s="42"/>
      <c r="H459" s="45"/>
      <c r="I459" s="44"/>
      <c r="J459" s="43"/>
      <c r="K459" s="44"/>
      <c r="L459" s="14">
        <f t="shared" si="21"/>
        <v>0</v>
      </c>
      <c r="M459" s="14">
        <f>IF(OR(L459=0,T459&lt;&gt;"Sim"),0,INDEX(Processos!$X$10:$X$509,O459))</f>
        <v>0</v>
      </c>
      <c r="N459" s="40" t="str">
        <f t="shared" si="22"/>
        <v/>
      </c>
      <c r="O459" s="14">
        <f>IF(AND(A459&lt;&gt;"",ISTEXT(A459),COUNTIFS(Processos!$AS$10:$AS$509,"="&amp;SUBSTITUTE(SUBSTITUTE(SUBSTITUTE("P:"&amp;A459,"~","~~"),"*","~*"),"?","~?"))=1),(IF(ISNA(MATCH(SUBSTITUTE(SUBSTITUTE(SUBSTITUTE("P:"&amp;A459,"~","~~"),"*","~*"),"?","~?"),Processos!$AS$10:$AS$509,0)),9,INDEX(Processos!$AM$10:$AM$509,MATCH(SUBSTITUTE(SUBSTITUTE(SUBSTITUTE("P:"&amp;A459,"~","~~"),"*","~*"),"?","~?"),Processos!$AS$10:$AS$509,0)))-9),0)</f>
        <v>0</v>
      </c>
      <c r="P459" s="14" t="str">
        <f>IF(L459=0,"",INDEX(Processos!$D$10:$D$509,O459))</f>
        <v/>
      </c>
      <c r="Q459" s="14">
        <f>IF(OR(L459=0,T459&lt;&gt;"Sim"),0,INDEX(Processos!$AL$10:$AL$509,O459))</f>
        <v>0</v>
      </c>
      <c r="R459" s="14">
        <f>ROW()</f>
        <v>459</v>
      </c>
      <c r="S459" s="14" t="str">
        <f t="shared" si="23"/>
        <v/>
      </c>
      <c r="T459" s="27" t="s">
        <v>1113</v>
      </c>
      <c r="U459" s="28"/>
      <c r="V459" s="28"/>
      <c r="W459" s="28"/>
      <c r="X459" s="28"/>
      <c r="Y459" s="27"/>
      <c r="Z459" s="27"/>
      <c r="AA459" s="27"/>
      <c r="AB459" s="27"/>
    </row>
    <row r="460" spans="1:28" ht="42" customHeight="1">
      <c r="A460" s="41"/>
      <c r="B460" s="42"/>
      <c r="C460" s="42"/>
      <c r="D460" s="42"/>
      <c r="E460" s="42"/>
      <c r="F460" s="42"/>
      <c r="G460" s="42"/>
      <c r="H460" s="45"/>
      <c r="I460" s="44"/>
      <c r="J460" s="43"/>
      <c r="K460" s="44"/>
      <c r="L460" s="14">
        <f t="shared" si="21"/>
        <v>0</v>
      </c>
      <c r="M460" s="14">
        <f>IF(OR(L460=0,T460&lt;&gt;"Sim"),0,INDEX(Processos!$X$10:$X$509,O460))</f>
        <v>0</v>
      </c>
      <c r="N460" s="40" t="str">
        <f t="shared" si="22"/>
        <v/>
      </c>
      <c r="O460" s="14">
        <f>IF(AND(A460&lt;&gt;"",ISTEXT(A460),COUNTIFS(Processos!$AS$10:$AS$509,"="&amp;SUBSTITUTE(SUBSTITUTE(SUBSTITUTE("P:"&amp;A460,"~","~~"),"*","~*"),"?","~?"))=1),(IF(ISNA(MATCH(SUBSTITUTE(SUBSTITUTE(SUBSTITUTE("P:"&amp;A460,"~","~~"),"*","~*"),"?","~?"),Processos!$AS$10:$AS$509,0)),9,INDEX(Processos!$AM$10:$AM$509,MATCH(SUBSTITUTE(SUBSTITUTE(SUBSTITUTE("P:"&amp;A460,"~","~~"),"*","~*"),"?","~?"),Processos!$AS$10:$AS$509,0)))-9),0)</f>
        <v>0</v>
      </c>
      <c r="P460" s="14" t="str">
        <f>IF(L460=0,"",INDEX(Processos!$D$10:$D$509,O460))</f>
        <v/>
      </c>
      <c r="Q460" s="14">
        <f>IF(OR(L460=0,T460&lt;&gt;"Sim"),0,INDEX(Processos!$AL$10:$AL$509,O460))</f>
        <v>0</v>
      </c>
      <c r="R460" s="14">
        <f>ROW()</f>
        <v>460</v>
      </c>
      <c r="S460" s="14" t="str">
        <f t="shared" si="23"/>
        <v/>
      </c>
      <c r="T460" s="27" t="s">
        <v>1113</v>
      </c>
      <c r="U460" s="28"/>
      <c r="V460" s="28"/>
      <c r="W460" s="28"/>
      <c r="X460" s="28"/>
      <c r="Y460" s="27"/>
      <c r="Z460" s="27"/>
      <c r="AA460" s="27"/>
      <c r="AB460" s="27"/>
    </row>
    <row r="461" spans="1:28" ht="42" customHeight="1">
      <c r="A461" s="41"/>
      <c r="B461" s="42"/>
      <c r="C461" s="42"/>
      <c r="D461" s="42"/>
      <c r="E461" s="42"/>
      <c r="F461" s="42"/>
      <c r="G461" s="42"/>
      <c r="H461" s="45"/>
      <c r="I461" s="44"/>
      <c r="J461" s="43"/>
      <c r="K461" s="44"/>
      <c r="L461" s="14">
        <f t="shared" si="21"/>
        <v>0</v>
      </c>
      <c r="M461" s="14">
        <f>IF(OR(L461=0,T461&lt;&gt;"Sim"),0,INDEX(Processos!$X$10:$X$509,O461))</f>
        <v>0</v>
      </c>
      <c r="N461" s="40" t="str">
        <f t="shared" si="22"/>
        <v/>
      </c>
      <c r="O461" s="14">
        <f>IF(AND(A461&lt;&gt;"",ISTEXT(A461),COUNTIFS(Processos!$AS$10:$AS$509,"="&amp;SUBSTITUTE(SUBSTITUTE(SUBSTITUTE("P:"&amp;A461,"~","~~"),"*","~*"),"?","~?"))=1),(IF(ISNA(MATCH(SUBSTITUTE(SUBSTITUTE(SUBSTITUTE("P:"&amp;A461,"~","~~"),"*","~*"),"?","~?"),Processos!$AS$10:$AS$509,0)),9,INDEX(Processos!$AM$10:$AM$509,MATCH(SUBSTITUTE(SUBSTITUTE(SUBSTITUTE("P:"&amp;A461,"~","~~"),"*","~*"),"?","~?"),Processos!$AS$10:$AS$509,0)))-9),0)</f>
        <v>0</v>
      </c>
      <c r="P461" s="14" t="str">
        <f>IF(L461=0,"",INDEX(Processos!$D$10:$D$509,O461))</f>
        <v/>
      </c>
      <c r="Q461" s="14">
        <f>IF(OR(L461=0,T461&lt;&gt;"Sim"),0,INDEX(Processos!$AL$10:$AL$509,O461))</f>
        <v>0</v>
      </c>
      <c r="R461" s="14">
        <f>ROW()</f>
        <v>461</v>
      </c>
      <c r="S461" s="14" t="str">
        <f t="shared" si="23"/>
        <v/>
      </c>
      <c r="T461" s="27" t="s">
        <v>1113</v>
      </c>
      <c r="U461" s="28"/>
      <c r="V461" s="28"/>
      <c r="W461" s="28"/>
      <c r="X461" s="28"/>
      <c r="Y461" s="27"/>
      <c r="Z461" s="27"/>
      <c r="AA461" s="27"/>
      <c r="AB461" s="27"/>
    </row>
    <row r="462" spans="1:28" ht="42" customHeight="1">
      <c r="A462" s="41"/>
      <c r="B462" s="42"/>
      <c r="C462" s="42"/>
      <c r="D462" s="42"/>
      <c r="E462" s="42"/>
      <c r="F462" s="42"/>
      <c r="G462" s="42"/>
      <c r="H462" s="45"/>
      <c r="I462" s="44"/>
      <c r="J462" s="43"/>
      <c r="K462" s="44"/>
      <c r="L462" s="14">
        <f t="shared" si="21"/>
        <v>0</v>
      </c>
      <c r="M462" s="14">
        <f>IF(OR(L462=0,T462&lt;&gt;"Sim"),0,INDEX(Processos!$X$10:$X$509,O462))</f>
        <v>0</v>
      </c>
      <c r="N462" s="40" t="str">
        <f t="shared" si="22"/>
        <v/>
      </c>
      <c r="O462" s="14">
        <f>IF(AND(A462&lt;&gt;"",ISTEXT(A462),COUNTIFS(Processos!$AS$10:$AS$509,"="&amp;SUBSTITUTE(SUBSTITUTE(SUBSTITUTE("P:"&amp;A462,"~","~~"),"*","~*"),"?","~?"))=1),(IF(ISNA(MATCH(SUBSTITUTE(SUBSTITUTE(SUBSTITUTE("P:"&amp;A462,"~","~~"),"*","~*"),"?","~?"),Processos!$AS$10:$AS$509,0)),9,INDEX(Processos!$AM$10:$AM$509,MATCH(SUBSTITUTE(SUBSTITUTE(SUBSTITUTE("P:"&amp;A462,"~","~~"),"*","~*"),"?","~?"),Processos!$AS$10:$AS$509,0)))-9),0)</f>
        <v>0</v>
      </c>
      <c r="P462" s="14" t="str">
        <f>IF(L462=0,"",INDEX(Processos!$D$10:$D$509,O462))</f>
        <v/>
      </c>
      <c r="Q462" s="14">
        <f>IF(OR(L462=0,T462&lt;&gt;"Sim"),0,INDEX(Processos!$AL$10:$AL$509,O462))</f>
        <v>0</v>
      </c>
      <c r="R462" s="14">
        <f>ROW()</f>
        <v>462</v>
      </c>
      <c r="S462" s="14" t="str">
        <f t="shared" si="23"/>
        <v/>
      </c>
      <c r="T462" s="27" t="s">
        <v>1113</v>
      </c>
      <c r="U462" s="28"/>
      <c r="V462" s="28"/>
      <c r="W462" s="28"/>
      <c r="X462" s="28"/>
      <c r="Y462" s="27"/>
      <c r="Z462" s="27"/>
      <c r="AA462" s="27"/>
      <c r="AB462" s="27"/>
    </row>
    <row r="463" spans="1:28" ht="42" customHeight="1">
      <c r="A463" s="41"/>
      <c r="B463" s="42"/>
      <c r="C463" s="42"/>
      <c r="D463" s="42"/>
      <c r="E463" s="42"/>
      <c r="F463" s="42"/>
      <c r="G463" s="42"/>
      <c r="H463" s="45"/>
      <c r="I463" s="44"/>
      <c r="J463" s="43"/>
      <c r="K463" s="44"/>
      <c r="L463" s="14">
        <f t="shared" si="21"/>
        <v>0</v>
      </c>
      <c r="M463" s="14">
        <f>IF(OR(L463=0,T463&lt;&gt;"Sim"),0,INDEX(Processos!$X$10:$X$509,O463))</f>
        <v>0</v>
      </c>
      <c r="N463" s="40" t="str">
        <f t="shared" si="22"/>
        <v/>
      </c>
      <c r="O463" s="14">
        <f>IF(AND(A463&lt;&gt;"",ISTEXT(A463),COUNTIFS(Processos!$AS$10:$AS$509,"="&amp;SUBSTITUTE(SUBSTITUTE(SUBSTITUTE("P:"&amp;A463,"~","~~"),"*","~*"),"?","~?"))=1),(IF(ISNA(MATCH(SUBSTITUTE(SUBSTITUTE(SUBSTITUTE("P:"&amp;A463,"~","~~"),"*","~*"),"?","~?"),Processos!$AS$10:$AS$509,0)),9,INDEX(Processos!$AM$10:$AM$509,MATCH(SUBSTITUTE(SUBSTITUTE(SUBSTITUTE("P:"&amp;A463,"~","~~"),"*","~*"),"?","~?"),Processos!$AS$10:$AS$509,0)))-9),0)</f>
        <v>0</v>
      </c>
      <c r="P463" s="14" t="str">
        <f>IF(L463=0,"",INDEX(Processos!$D$10:$D$509,O463))</f>
        <v/>
      </c>
      <c r="Q463" s="14">
        <f>IF(OR(L463=0,T463&lt;&gt;"Sim"),0,INDEX(Processos!$AL$10:$AL$509,O463))</f>
        <v>0</v>
      </c>
      <c r="R463" s="14">
        <f>ROW()</f>
        <v>463</v>
      </c>
      <c r="S463" s="14" t="str">
        <f t="shared" si="23"/>
        <v/>
      </c>
      <c r="T463" s="27" t="s">
        <v>1113</v>
      </c>
      <c r="U463" s="28"/>
      <c r="V463" s="28"/>
      <c r="W463" s="28"/>
      <c r="X463" s="28"/>
      <c r="Y463" s="27"/>
      <c r="Z463" s="27"/>
      <c r="AA463" s="27"/>
      <c r="AB463" s="27"/>
    </row>
    <row r="464" spans="1:28" ht="42" customHeight="1">
      <c r="A464" s="41"/>
      <c r="B464" s="42"/>
      <c r="C464" s="42"/>
      <c r="D464" s="42"/>
      <c r="E464" s="42"/>
      <c r="F464" s="42"/>
      <c r="G464" s="42"/>
      <c r="H464" s="45"/>
      <c r="I464" s="44"/>
      <c r="J464" s="43"/>
      <c r="K464" s="44"/>
      <c r="L464" s="14">
        <f t="shared" si="21"/>
        <v>0</v>
      </c>
      <c r="M464" s="14">
        <f>IF(OR(L464=0,T464&lt;&gt;"Sim"),0,INDEX(Processos!$X$10:$X$509,O464))</f>
        <v>0</v>
      </c>
      <c r="N464" s="40" t="str">
        <f t="shared" si="22"/>
        <v/>
      </c>
      <c r="O464" s="14">
        <f>IF(AND(A464&lt;&gt;"",ISTEXT(A464),COUNTIFS(Processos!$AS$10:$AS$509,"="&amp;SUBSTITUTE(SUBSTITUTE(SUBSTITUTE("P:"&amp;A464,"~","~~"),"*","~*"),"?","~?"))=1),(IF(ISNA(MATCH(SUBSTITUTE(SUBSTITUTE(SUBSTITUTE("P:"&amp;A464,"~","~~"),"*","~*"),"?","~?"),Processos!$AS$10:$AS$509,0)),9,INDEX(Processos!$AM$10:$AM$509,MATCH(SUBSTITUTE(SUBSTITUTE(SUBSTITUTE("P:"&amp;A464,"~","~~"),"*","~*"),"?","~?"),Processos!$AS$10:$AS$509,0)))-9),0)</f>
        <v>0</v>
      </c>
      <c r="P464" s="14" t="str">
        <f>IF(L464=0,"",INDEX(Processos!$D$10:$D$509,O464))</f>
        <v/>
      </c>
      <c r="Q464" s="14">
        <f>IF(OR(L464=0,T464&lt;&gt;"Sim"),0,INDEX(Processos!$AL$10:$AL$509,O464))</f>
        <v>0</v>
      </c>
      <c r="R464" s="14">
        <f>ROW()</f>
        <v>464</v>
      </c>
      <c r="S464" s="14" t="str">
        <f t="shared" si="23"/>
        <v/>
      </c>
      <c r="T464" s="27" t="s">
        <v>1113</v>
      </c>
      <c r="U464" s="28"/>
      <c r="V464" s="28"/>
      <c r="W464" s="28"/>
      <c r="X464" s="28"/>
      <c r="Y464" s="27"/>
      <c r="Z464" s="27"/>
      <c r="AA464" s="27"/>
      <c r="AB464" s="27"/>
    </row>
    <row r="465" spans="1:28" ht="42" customHeight="1">
      <c r="A465" s="41"/>
      <c r="B465" s="42"/>
      <c r="C465" s="42"/>
      <c r="D465" s="42"/>
      <c r="E465" s="42"/>
      <c r="F465" s="42"/>
      <c r="G465" s="42"/>
      <c r="H465" s="45"/>
      <c r="I465" s="44"/>
      <c r="J465" s="43"/>
      <c r="K465" s="44"/>
      <c r="L465" s="14">
        <f t="shared" si="21"/>
        <v>0</v>
      </c>
      <c r="M465" s="14">
        <f>IF(OR(L465=0,T465&lt;&gt;"Sim"),0,INDEX(Processos!$X$10:$X$509,O465))</f>
        <v>0</v>
      </c>
      <c r="N465" s="40" t="str">
        <f t="shared" si="22"/>
        <v/>
      </c>
      <c r="O465" s="14">
        <f>IF(AND(A465&lt;&gt;"",ISTEXT(A465),COUNTIFS(Processos!$AS$10:$AS$509,"="&amp;SUBSTITUTE(SUBSTITUTE(SUBSTITUTE("P:"&amp;A465,"~","~~"),"*","~*"),"?","~?"))=1),(IF(ISNA(MATCH(SUBSTITUTE(SUBSTITUTE(SUBSTITUTE("P:"&amp;A465,"~","~~"),"*","~*"),"?","~?"),Processos!$AS$10:$AS$509,0)),9,INDEX(Processos!$AM$10:$AM$509,MATCH(SUBSTITUTE(SUBSTITUTE(SUBSTITUTE("P:"&amp;A465,"~","~~"),"*","~*"),"?","~?"),Processos!$AS$10:$AS$509,0)))-9),0)</f>
        <v>0</v>
      </c>
      <c r="P465" s="14" t="str">
        <f>IF(L465=0,"",INDEX(Processos!$D$10:$D$509,O465))</f>
        <v/>
      </c>
      <c r="Q465" s="14">
        <f>IF(OR(L465=0,T465&lt;&gt;"Sim"),0,INDEX(Processos!$AL$10:$AL$509,O465))</f>
        <v>0</v>
      </c>
      <c r="R465" s="14">
        <f>ROW()</f>
        <v>465</v>
      </c>
      <c r="S465" s="14" t="str">
        <f t="shared" si="23"/>
        <v/>
      </c>
      <c r="T465" s="27" t="s">
        <v>1113</v>
      </c>
      <c r="U465" s="28"/>
      <c r="V465" s="28"/>
      <c r="W465" s="28"/>
      <c r="X465" s="28"/>
      <c r="Y465" s="27"/>
      <c r="Z465" s="27"/>
      <c r="AA465" s="27"/>
      <c r="AB465" s="27"/>
    </row>
    <row r="466" spans="1:28" ht="42" customHeight="1">
      <c r="A466" s="41"/>
      <c r="B466" s="42"/>
      <c r="C466" s="42"/>
      <c r="D466" s="42"/>
      <c r="E466" s="42"/>
      <c r="F466" s="42"/>
      <c r="G466" s="42"/>
      <c r="H466" s="45"/>
      <c r="I466" s="44"/>
      <c r="J466" s="43"/>
      <c r="K466" s="44"/>
      <c r="L466" s="14">
        <f t="shared" si="21"/>
        <v>0</v>
      </c>
      <c r="M466" s="14">
        <f>IF(OR(L466=0,T466&lt;&gt;"Sim"),0,INDEX(Processos!$X$10:$X$509,O466))</f>
        <v>0</v>
      </c>
      <c r="N466" s="40" t="str">
        <f t="shared" si="22"/>
        <v/>
      </c>
      <c r="O466" s="14">
        <f>IF(AND(A466&lt;&gt;"",ISTEXT(A466),COUNTIFS(Processos!$AS$10:$AS$509,"="&amp;SUBSTITUTE(SUBSTITUTE(SUBSTITUTE("P:"&amp;A466,"~","~~"),"*","~*"),"?","~?"))=1),(IF(ISNA(MATCH(SUBSTITUTE(SUBSTITUTE(SUBSTITUTE("P:"&amp;A466,"~","~~"),"*","~*"),"?","~?"),Processos!$AS$10:$AS$509,0)),9,INDEX(Processos!$AM$10:$AM$509,MATCH(SUBSTITUTE(SUBSTITUTE(SUBSTITUTE("P:"&amp;A466,"~","~~"),"*","~*"),"?","~?"),Processos!$AS$10:$AS$509,0)))-9),0)</f>
        <v>0</v>
      </c>
      <c r="P466" s="14" t="str">
        <f>IF(L466=0,"",INDEX(Processos!$D$10:$D$509,O466))</f>
        <v/>
      </c>
      <c r="Q466" s="14">
        <f>IF(OR(L466=0,T466&lt;&gt;"Sim"),0,INDEX(Processos!$AL$10:$AL$509,O466))</f>
        <v>0</v>
      </c>
      <c r="R466" s="14">
        <f>ROW()</f>
        <v>466</v>
      </c>
      <c r="S466" s="14" t="str">
        <f t="shared" si="23"/>
        <v/>
      </c>
      <c r="T466" s="27" t="s">
        <v>1113</v>
      </c>
      <c r="U466" s="28"/>
      <c r="V466" s="28"/>
      <c r="W466" s="28"/>
      <c r="X466" s="28"/>
      <c r="Y466" s="27"/>
      <c r="Z466" s="27"/>
      <c r="AA466" s="27"/>
      <c r="AB466" s="27"/>
    </row>
    <row r="467" spans="1:28" ht="42" customHeight="1">
      <c r="A467" s="41"/>
      <c r="B467" s="42"/>
      <c r="C467" s="42"/>
      <c r="D467" s="42"/>
      <c r="E467" s="42"/>
      <c r="F467" s="42"/>
      <c r="G467" s="42"/>
      <c r="H467" s="45"/>
      <c r="I467" s="44"/>
      <c r="J467" s="43"/>
      <c r="K467" s="44"/>
      <c r="L467" s="14">
        <f t="shared" si="21"/>
        <v>0</v>
      </c>
      <c r="M467" s="14">
        <f>IF(OR(L467=0,T467&lt;&gt;"Sim"),0,INDEX(Processos!$X$10:$X$509,O467))</f>
        <v>0</v>
      </c>
      <c r="N467" s="40" t="str">
        <f t="shared" si="22"/>
        <v/>
      </c>
      <c r="O467" s="14">
        <f>IF(AND(A467&lt;&gt;"",ISTEXT(A467),COUNTIFS(Processos!$AS$10:$AS$509,"="&amp;SUBSTITUTE(SUBSTITUTE(SUBSTITUTE("P:"&amp;A467,"~","~~"),"*","~*"),"?","~?"))=1),(IF(ISNA(MATCH(SUBSTITUTE(SUBSTITUTE(SUBSTITUTE("P:"&amp;A467,"~","~~"),"*","~*"),"?","~?"),Processos!$AS$10:$AS$509,0)),9,INDEX(Processos!$AM$10:$AM$509,MATCH(SUBSTITUTE(SUBSTITUTE(SUBSTITUTE("P:"&amp;A467,"~","~~"),"*","~*"),"?","~?"),Processos!$AS$10:$AS$509,0)))-9),0)</f>
        <v>0</v>
      </c>
      <c r="P467" s="14" t="str">
        <f>IF(L467=0,"",INDEX(Processos!$D$10:$D$509,O467))</f>
        <v/>
      </c>
      <c r="Q467" s="14">
        <f>IF(OR(L467=0,T467&lt;&gt;"Sim"),0,INDEX(Processos!$AL$10:$AL$509,O467))</f>
        <v>0</v>
      </c>
      <c r="R467" s="14">
        <f>ROW()</f>
        <v>467</v>
      </c>
      <c r="S467" s="14" t="str">
        <f t="shared" si="23"/>
        <v/>
      </c>
      <c r="T467" s="27" t="s">
        <v>1113</v>
      </c>
      <c r="U467" s="28"/>
      <c r="V467" s="28"/>
      <c r="W467" s="28"/>
      <c r="X467" s="28"/>
      <c r="Y467" s="27"/>
      <c r="Z467" s="27"/>
      <c r="AA467" s="27"/>
      <c r="AB467" s="27"/>
    </row>
    <row r="468" spans="1:28" ht="42" customHeight="1">
      <c r="A468" s="41"/>
      <c r="B468" s="42"/>
      <c r="C468" s="42"/>
      <c r="D468" s="42"/>
      <c r="E468" s="42"/>
      <c r="F468" s="42"/>
      <c r="G468" s="42"/>
      <c r="H468" s="45"/>
      <c r="I468" s="44"/>
      <c r="J468" s="43"/>
      <c r="K468" s="44"/>
      <c r="L468" s="14">
        <f t="shared" si="21"/>
        <v>0</v>
      </c>
      <c r="M468" s="14">
        <f>IF(OR(L468=0,T468&lt;&gt;"Sim"),0,INDEX(Processos!$X$10:$X$509,O468))</f>
        <v>0</v>
      </c>
      <c r="N468" s="40" t="str">
        <f t="shared" si="22"/>
        <v/>
      </c>
      <c r="O468" s="14">
        <f>IF(AND(A468&lt;&gt;"",ISTEXT(A468),COUNTIFS(Processos!$AS$10:$AS$509,"="&amp;SUBSTITUTE(SUBSTITUTE(SUBSTITUTE("P:"&amp;A468,"~","~~"),"*","~*"),"?","~?"))=1),(IF(ISNA(MATCH(SUBSTITUTE(SUBSTITUTE(SUBSTITUTE("P:"&amp;A468,"~","~~"),"*","~*"),"?","~?"),Processos!$AS$10:$AS$509,0)),9,INDEX(Processos!$AM$10:$AM$509,MATCH(SUBSTITUTE(SUBSTITUTE(SUBSTITUTE("P:"&amp;A468,"~","~~"),"*","~*"),"?","~?"),Processos!$AS$10:$AS$509,0)))-9),0)</f>
        <v>0</v>
      </c>
      <c r="P468" s="14" t="str">
        <f>IF(L468=0,"",INDEX(Processos!$D$10:$D$509,O468))</f>
        <v/>
      </c>
      <c r="Q468" s="14">
        <f>IF(OR(L468=0,T468&lt;&gt;"Sim"),0,INDEX(Processos!$AL$10:$AL$509,O468))</f>
        <v>0</v>
      </c>
      <c r="R468" s="14">
        <f>ROW()</f>
        <v>468</v>
      </c>
      <c r="S468" s="14" t="str">
        <f t="shared" si="23"/>
        <v/>
      </c>
      <c r="T468" s="27" t="s">
        <v>1113</v>
      </c>
      <c r="U468" s="28"/>
      <c r="V468" s="28"/>
      <c r="W468" s="28"/>
      <c r="X468" s="28"/>
      <c r="Y468" s="27"/>
      <c r="Z468" s="27"/>
      <c r="AA468" s="27"/>
      <c r="AB468" s="27"/>
    </row>
    <row r="469" spans="1:28" ht="42" customHeight="1">
      <c r="A469" s="41"/>
      <c r="B469" s="42"/>
      <c r="C469" s="42"/>
      <c r="D469" s="42"/>
      <c r="E469" s="42"/>
      <c r="F469" s="42"/>
      <c r="G469" s="42"/>
      <c r="H469" s="45"/>
      <c r="I469" s="44"/>
      <c r="J469" s="43"/>
      <c r="K469" s="44"/>
      <c r="L469" s="14">
        <f t="shared" si="21"/>
        <v>0</v>
      </c>
      <c r="M469" s="14">
        <f>IF(OR(L469=0,T469&lt;&gt;"Sim"),0,INDEX(Processos!$X$10:$X$509,O469))</f>
        <v>0</v>
      </c>
      <c r="N469" s="40" t="str">
        <f t="shared" si="22"/>
        <v/>
      </c>
      <c r="O469" s="14">
        <f>IF(AND(A469&lt;&gt;"",ISTEXT(A469),COUNTIFS(Processos!$AS$10:$AS$509,"="&amp;SUBSTITUTE(SUBSTITUTE(SUBSTITUTE("P:"&amp;A469,"~","~~"),"*","~*"),"?","~?"))=1),(IF(ISNA(MATCH(SUBSTITUTE(SUBSTITUTE(SUBSTITUTE("P:"&amp;A469,"~","~~"),"*","~*"),"?","~?"),Processos!$AS$10:$AS$509,0)),9,INDEX(Processos!$AM$10:$AM$509,MATCH(SUBSTITUTE(SUBSTITUTE(SUBSTITUTE("P:"&amp;A469,"~","~~"),"*","~*"),"?","~?"),Processos!$AS$10:$AS$509,0)))-9),0)</f>
        <v>0</v>
      </c>
      <c r="P469" s="14" t="str">
        <f>IF(L469=0,"",INDEX(Processos!$D$10:$D$509,O469))</f>
        <v/>
      </c>
      <c r="Q469" s="14">
        <f>IF(OR(L469=0,T469&lt;&gt;"Sim"),0,INDEX(Processos!$AL$10:$AL$509,O469))</f>
        <v>0</v>
      </c>
      <c r="R469" s="14">
        <f>ROW()</f>
        <v>469</v>
      </c>
      <c r="S469" s="14" t="str">
        <f t="shared" si="23"/>
        <v/>
      </c>
      <c r="T469" s="27" t="s">
        <v>1113</v>
      </c>
      <c r="U469" s="28"/>
      <c r="V469" s="28"/>
      <c r="W469" s="28"/>
      <c r="X469" s="28"/>
      <c r="Y469" s="27"/>
      <c r="Z469" s="27"/>
      <c r="AA469" s="27"/>
      <c r="AB469" s="27"/>
    </row>
    <row r="470" spans="1:28" ht="42" customHeight="1">
      <c r="A470" s="41"/>
      <c r="B470" s="42"/>
      <c r="C470" s="42"/>
      <c r="D470" s="42"/>
      <c r="E470" s="42"/>
      <c r="F470" s="42"/>
      <c r="G470" s="42"/>
      <c r="H470" s="45"/>
      <c r="I470" s="44"/>
      <c r="J470" s="43"/>
      <c r="K470" s="44"/>
      <c r="L470" s="14">
        <f t="shared" si="21"/>
        <v>0</v>
      </c>
      <c r="M470" s="14">
        <f>IF(OR(L470=0,T470&lt;&gt;"Sim"),0,INDEX(Processos!$X$10:$X$509,O470))</f>
        <v>0</v>
      </c>
      <c r="N470" s="40" t="str">
        <f t="shared" si="22"/>
        <v/>
      </c>
      <c r="O470" s="14">
        <f>IF(AND(A470&lt;&gt;"",ISTEXT(A470),COUNTIFS(Processos!$AS$10:$AS$509,"="&amp;SUBSTITUTE(SUBSTITUTE(SUBSTITUTE("P:"&amp;A470,"~","~~"),"*","~*"),"?","~?"))=1),(IF(ISNA(MATCH(SUBSTITUTE(SUBSTITUTE(SUBSTITUTE("P:"&amp;A470,"~","~~"),"*","~*"),"?","~?"),Processos!$AS$10:$AS$509,0)),9,INDEX(Processos!$AM$10:$AM$509,MATCH(SUBSTITUTE(SUBSTITUTE(SUBSTITUTE("P:"&amp;A470,"~","~~"),"*","~*"),"?","~?"),Processos!$AS$10:$AS$509,0)))-9),0)</f>
        <v>0</v>
      </c>
      <c r="P470" s="14" t="str">
        <f>IF(L470=0,"",INDEX(Processos!$D$10:$D$509,O470))</f>
        <v/>
      </c>
      <c r="Q470" s="14">
        <f>IF(OR(L470=0,T470&lt;&gt;"Sim"),0,INDEX(Processos!$AL$10:$AL$509,O470))</f>
        <v>0</v>
      </c>
      <c r="R470" s="14">
        <f>ROW()</f>
        <v>470</v>
      </c>
      <c r="S470" s="14" t="str">
        <f t="shared" si="23"/>
        <v/>
      </c>
      <c r="T470" s="27" t="s">
        <v>1113</v>
      </c>
      <c r="U470" s="28"/>
      <c r="V470" s="28"/>
      <c r="W470" s="28"/>
      <c r="X470" s="28"/>
      <c r="Y470" s="27"/>
      <c r="Z470" s="27"/>
      <c r="AA470" s="27"/>
      <c r="AB470" s="27"/>
    </row>
    <row r="471" spans="1:28" ht="42" customHeight="1">
      <c r="A471" s="41"/>
      <c r="B471" s="42"/>
      <c r="C471" s="42"/>
      <c r="D471" s="42"/>
      <c r="E471" s="42"/>
      <c r="F471" s="42"/>
      <c r="G471" s="42"/>
      <c r="H471" s="45"/>
      <c r="I471" s="44"/>
      <c r="J471" s="43"/>
      <c r="K471" s="44"/>
      <c r="L471" s="14">
        <f t="shared" si="21"/>
        <v>0</v>
      </c>
      <c r="M471" s="14">
        <f>IF(OR(L471=0,T471&lt;&gt;"Sim"),0,INDEX(Processos!$X$10:$X$509,O471))</f>
        <v>0</v>
      </c>
      <c r="N471" s="40" t="str">
        <f t="shared" si="22"/>
        <v/>
      </c>
      <c r="O471" s="14">
        <f>IF(AND(A471&lt;&gt;"",ISTEXT(A471),COUNTIFS(Processos!$AS$10:$AS$509,"="&amp;SUBSTITUTE(SUBSTITUTE(SUBSTITUTE("P:"&amp;A471,"~","~~"),"*","~*"),"?","~?"))=1),(IF(ISNA(MATCH(SUBSTITUTE(SUBSTITUTE(SUBSTITUTE("P:"&amp;A471,"~","~~"),"*","~*"),"?","~?"),Processos!$AS$10:$AS$509,0)),9,INDEX(Processos!$AM$10:$AM$509,MATCH(SUBSTITUTE(SUBSTITUTE(SUBSTITUTE("P:"&amp;A471,"~","~~"),"*","~*"),"?","~?"),Processos!$AS$10:$AS$509,0)))-9),0)</f>
        <v>0</v>
      </c>
      <c r="P471" s="14" t="str">
        <f>IF(L471=0,"",INDEX(Processos!$D$10:$D$509,O471))</f>
        <v/>
      </c>
      <c r="Q471" s="14">
        <f>IF(OR(L471=0,T471&lt;&gt;"Sim"),0,INDEX(Processos!$AL$10:$AL$509,O471))</f>
        <v>0</v>
      </c>
      <c r="R471" s="14">
        <f>ROW()</f>
        <v>471</v>
      </c>
      <c r="S471" s="14" t="str">
        <f t="shared" si="23"/>
        <v/>
      </c>
      <c r="T471" s="27" t="s">
        <v>1113</v>
      </c>
      <c r="U471" s="28"/>
      <c r="V471" s="28"/>
      <c r="W471" s="28"/>
      <c r="X471" s="28"/>
      <c r="Y471" s="27"/>
      <c r="Z471" s="27"/>
      <c r="AA471" s="27"/>
      <c r="AB471" s="27"/>
    </row>
    <row r="472" spans="1:28" ht="42" customHeight="1">
      <c r="A472" s="41"/>
      <c r="B472" s="42"/>
      <c r="C472" s="42"/>
      <c r="D472" s="42"/>
      <c r="E472" s="42"/>
      <c r="F472" s="42"/>
      <c r="G472" s="42"/>
      <c r="H472" s="45"/>
      <c r="I472" s="44"/>
      <c r="J472" s="43"/>
      <c r="K472" s="44"/>
      <c r="L472" s="14">
        <f t="shared" si="21"/>
        <v>0</v>
      </c>
      <c r="M472" s="14">
        <f>IF(OR(L472=0,T472&lt;&gt;"Sim"),0,INDEX(Processos!$X$10:$X$509,O472))</f>
        <v>0</v>
      </c>
      <c r="N472" s="40" t="str">
        <f t="shared" si="22"/>
        <v/>
      </c>
      <c r="O472" s="14">
        <f>IF(AND(A472&lt;&gt;"",ISTEXT(A472),COUNTIFS(Processos!$AS$10:$AS$509,"="&amp;SUBSTITUTE(SUBSTITUTE(SUBSTITUTE("P:"&amp;A472,"~","~~"),"*","~*"),"?","~?"))=1),(IF(ISNA(MATCH(SUBSTITUTE(SUBSTITUTE(SUBSTITUTE("P:"&amp;A472,"~","~~"),"*","~*"),"?","~?"),Processos!$AS$10:$AS$509,0)),9,INDEX(Processos!$AM$10:$AM$509,MATCH(SUBSTITUTE(SUBSTITUTE(SUBSTITUTE("P:"&amp;A472,"~","~~"),"*","~*"),"?","~?"),Processos!$AS$10:$AS$509,0)))-9),0)</f>
        <v>0</v>
      </c>
      <c r="P472" s="14" t="str">
        <f>IF(L472=0,"",INDEX(Processos!$D$10:$D$509,O472))</f>
        <v/>
      </c>
      <c r="Q472" s="14">
        <f>IF(OR(L472=0,T472&lt;&gt;"Sim"),0,INDEX(Processos!$AL$10:$AL$509,O472))</f>
        <v>0</v>
      </c>
      <c r="R472" s="14">
        <f>ROW()</f>
        <v>472</v>
      </c>
      <c r="S472" s="14" t="str">
        <f t="shared" si="23"/>
        <v/>
      </c>
      <c r="T472" s="27" t="s">
        <v>1113</v>
      </c>
      <c r="U472" s="28"/>
      <c r="V472" s="28"/>
      <c r="W472" s="28"/>
      <c r="X472" s="28"/>
      <c r="Y472" s="27"/>
      <c r="Z472" s="27"/>
      <c r="AA472" s="27"/>
      <c r="AB472" s="27"/>
    </row>
    <row r="473" spans="1:28" ht="42" customHeight="1">
      <c r="A473" s="41"/>
      <c r="B473" s="42"/>
      <c r="C473" s="42"/>
      <c r="D473" s="42"/>
      <c r="E473" s="42"/>
      <c r="F473" s="42"/>
      <c r="G473" s="42"/>
      <c r="H473" s="45"/>
      <c r="I473" s="44"/>
      <c r="J473" s="43"/>
      <c r="K473" s="44"/>
      <c r="L473" s="14">
        <f t="shared" si="21"/>
        <v>0</v>
      </c>
      <c r="M473" s="14">
        <f>IF(OR(L473=0,T473&lt;&gt;"Sim"),0,INDEX(Processos!$X$10:$X$509,O473))</f>
        <v>0</v>
      </c>
      <c r="N473" s="40" t="str">
        <f t="shared" si="22"/>
        <v/>
      </c>
      <c r="O473" s="14">
        <f>IF(AND(A473&lt;&gt;"",ISTEXT(A473),COUNTIFS(Processos!$AS$10:$AS$509,"="&amp;SUBSTITUTE(SUBSTITUTE(SUBSTITUTE("P:"&amp;A473,"~","~~"),"*","~*"),"?","~?"))=1),(IF(ISNA(MATCH(SUBSTITUTE(SUBSTITUTE(SUBSTITUTE("P:"&amp;A473,"~","~~"),"*","~*"),"?","~?"),Processos!$AS$10:$AS$509,0)),9,INDEX(Processos!$AM$10:$AM$509,MATCH(SUBSTITUTE(SUBSTITUTE(SUBSTITUTE("P:"&amp;A473,"~","~~"),"*","~*"),"?","~?"),Processos!$AS$10:$AS$509,0)))-9),0)</f>
        <v>0</v>
      </c>
      <c r="P473" s="14" t="str">
        <f>IF(L473=0,"",INDEX(Processos!$D$10:$D$509,O473))</f>
        <v/>
      </c>
      <c r="Q473" s="14">
        <f>IF(OR(L473=0,T473&lt;&gt;"Sim"),0,INDEX(Processos!$AL$10:$AL$509,O473))</f>
        <v>0</v>
      </c>
      <c r="R473" s="14">
        <f>ROW()</f>
        <v>473</v>
      </c>
      <c r="S473" s="14" t="str">
        <f t="shared" si="23"/>
        <v/>
      </c>
      <c r="T473" s="27" t="s">
        <v>1113</v>
      </c>
      <c r="U473" s="28"/>
      <c r="V473" s="28"/>
      <c r="W473" s="28"/>
      <c r="X473" s="28"/>
      <c r="Y473" s="27"/>
      <c r="Z473" s="27"/>
      <c r="AA473" s="27"/>
      <c r="AB473" s="27"/>
    </row>
    <row r="474" spans="1:28" ht="42" customHeight="1">
      <c r="A474" s="41"/>
      <c r="B474" s="42"/>
      <c r="C474" s="42"/>
      <c r="D474" s="42"/>
      <c r="E474" s="42"/>
      <c r="F474" s="42"/>
      <c r="G474" s="42"/>
      <c r="H474" s="45"/>
      <c r="I474" s="44"/>
      <c r="J474" s="43"/>
      <c r="K474" s="44"/>
      <c r="L474" s="14">
        <f t="shared" si="21"/>
        <v>0</v>
      </c>
      <c r="M474" s="14">
        <f>IF(OR(L474=0,T474&lt;&gt;"Sim"),0,INDEX(Processos!$X$10:$X$509,O474))</f>
        <v>0</v>
      </c>
      <c r="N474" s="40" t="str">
        <f t="shared" si="22"/>
        <v/>
      </c>
      <c r="O474" s="14">
        <f>IF(AND(A474&lt;&gt;"",ISTEXT(A474),COUNTIFS(Processos!$AS$10:$AS$509,"="&amp;SUBSTITUTE(SUBSTITUTE(SUBSTITUTE("P:"&amp;A474,"~","~~"),"*","~*"),"?","~?"))=1),(IF(ISNA(MATCH(SUBSTITUTE(SUBSTITUTE(SUBSTITUTE("P:"&amp;A474,"~","~~"),"*","~*"),"?","~?"),Processos!$AS$10:$AS$509,0)),9,INDEX(Processos!$AM$10:$AM$509,MATCH(SUBSTITUTE(SUBSTITUTE(SUBSTITUTE("P:"&amp;A474,"~","~~"),"*","~*"),"?","~?"),Processos!$AS$10:$AS$509,0)))-9),0)</f>
        <v>0</v>
      </c>
      <c r="P474" s="14" t="str">
        <f>IF(L474=0,"",INDEX(Processos!$D$10:$D$509,O474))</f>
        <v/>
      </c>
      <c r="Q474" s="14">
        <f>IF(OR(L474=0,T474&lt;&gt;"Sim"),0,INDEX(Processos!$AL$10:$AL$509,O474))</f>
        <v>0</v>
      </c>
      <c r="R474" s="14">
        <f>ROW()</f>
        <v>474</v>
      </c>
      <c r="S474" s="14" t="str">
        <f t="shared" si="23"/>
        <v/>
      </c>
      <c r="T474" s="27" t="s">
        <v>1113</v>
      </c>
      <c r="U474" s="28"/>
      <c r="V474" s="28"/>
      <c r="W474" s="28"/>
      <c r="X474" s="28"/>
      <c r="Y474" s="27"/>
      <c r="Z474" s="27"/>
      <c r="AA474" s="27"/>
      <c r="AB474" s="27"/>
    </row>
    <row r="475" spans="1:28" ht="42" customHeight="1">
      <c r="A475" s="41"/>
      <c r="B475" s="42"/>
      <c r="C475" s="42"/>
      <c r="D475" s="42"/>
      <c r="E475" s="42"/>
      <c r="F475" s="42"/>
      <c r="G475" s="42"/>
      <c r="H475" s="45"/>
      <c r="I475" s="44"/>
      <c r="J475" s="43"/>
      <c r="K475" s="44"/>
      <c r="L475" s="14">
        <f t="shared" si="21"/>
        <v>0</v>
      </c>
      <c r="M475" s="14">
        <f>IF(OR(L475=0,T475&lt;&gt;"Sim"),0,INDEX(Processos!$X$10:$X$509,O475))</f>
        <v>0</v>
      </c>
      <c r="N475" s="40" t="str">
        <f t="shared" si="22"/>
        <v/>
      </c>
      <c r="O475" s="14">
        <f>IF(AND(A475&lt;&gt;"",ISTEXT(A475),COUNTIFS(Processos!$AS$10:$AS$509,"="&amp;SUBSTITUTE(SUBSTITUTE(SUBSTITUTE("P:"&amp;A475,"~","~~"),"*","~*"),"?","~?"))=1),(IF(ISNA(MATCH(SUBSTITUTE(SUBSTITUTE(SUBSTITUTE("P:"&amp;A475,"~","~~"),"*","~*"),"?","~?"),Processos!$AS$10:$AS$509,0)),9,INDEX(Processos!$AM$10:$AM$509,MATCH(SUBSTITUTE(SUBSTITUTE(SUBSTITUTE("P:"&amp;A475,"~","~~"),"*","~*"),"?","~?"),Processos!$AS$10:$AS$509,0)))-9),0)</f>
        <v>0</v>
      </c>
      <c r="P475" s="14" t="str">
        <f>IF(L475=0,"",INDEX(Processos!$D$10:$D$509,O475))</f>
        <v/>
      </c>
      <c r="Q475" s="14">
        <f>IF(OR(L475=0,T475&lt;&gt;"Sim"),0,INDEX(Processos!$AL$10:$AL$509,O475))</f>
        <v>0</v>
      </c>
      <c r="R475" s="14">
        <f>ROW()</f>
        <v>475</v>
      </c>
      <c r="S475" s="14" t="str">
        <f t="shared" si="23"/>
        <v/>
      </c>
      <c r="T475" s="27" t="s">
        <v>1113</v>
      </c>
      <c r="U475" s="28"/>
      <c r="V475" s="28"/>
      <c r="W475" s="28"/>
      <c r="X475" s="28"/>
      <c r="Y475" s="27"/>
      <c r="Z475" s="27"/>
      <c r="AA475" s="27"/>
      <c r="AB475" s="27"/>
    </row>
    <row r="476" spans="1:28" ht="42" customHeight="1">
      <c r="A476" s="41"/>
      <c r="B476" s="42"/>
      <c r="C476" s="42"/>
      <c r="D476" s="42"/>
      <c r="E476" s="42"/>
      <c r="F476" s="42"/>
      <c r="G476" s="42"/>
      <c r="H476" s="45"/>
      <c r="I476" s="44"/>
      <c r="J476" s="43"/>
      <c r="K476" s="44"/>
      <c r="L476" s="14">
        <f t="shared" si="21"/>
        <v>0</v>
      </c>
      <c r="M476" s="14">
        <f>IF(OR(L476=0,T476&lt;&gt;"Sim"),0,INDEX(Processos!$X$10:$X$509,O476))</f>
        <v>0</v>
      </c>
      <c r="N476" s="40" t="str">
        <f t="shared" si="22"/>
        <v/>
      </c>
      <c r="O476" s="14">
        <f>IF(AND(A476&lt;&gt;"",ISTEXT(A476),COUNTIFS(Processos!$AS$10:$AS$509,"="&amp;SUBSTITUTE(SUBSTITUTE(SUBSTITUTE("P:"&amp;A476,"~","~~"),"*","~*"),"?","~?"))=1),(IF(ISNA(MATCH(SUBSTITUTE(SUBSTITUTE(SUBSTITUTE("P:"&amp;A476,"~","~~"),"*","~*"),"?","~?"),Processos!$AS$10:$AS$509,0)),9,INDEX(Processos!$AM$10:$AM$509,MATCH(SUBSTITUTE(SUBSTITUTE(SUBSTITUTE("P:"&amp;A476,"~","~~"),"*","~*"),"?","~?"),Processos!$AS$10:$AS$509,0)))-9),0)</f>
        <v>0</v>
      </c>
      <c r="P476" s="14" t="str">
        <f>IF(L476=0,"",INDEX(Processos!$D$10:$D$509,O476))</f>
        <v/>
      </c>
      <c r="Q476" s="14">
        <f>IF(OR(L476=0,T476&lt;&gt;"Sim"),0,INDEX(Processos!$AL$10:$AL$509,O476))</f>
        <v>0</v>
      </c>
      <c r="R476" s="14">
        <f>ROW()</f>
        <v>476</v>
      </c>
      <c r="S476" s="14" t="str">
        <f t="shared" si="23"/>
        <v/>
      </c>
      <c r="T476" s="27" t="s">
        <v>1113</v>
      </c>
      <c r="U476" s="28"/>
      <c r="V476" s="28"/>
      <c r="W476" s="28"/>
      <c r="X476" s="28"/>
      <c r="Y476" s="27"/>
      <c r="Z476" s="27"/>
      <c r="AA476" s="27"/>
      <c r="AB476" s="27"/>
    </row>
    <row r="477" spans="1:28" ht="42" customHeight="1">
      <c r="A477" s="41"/>
      <c r="B477" s="42"/>
      <c r="C477" s="42"/>
      <c r="D477" s="42"/>
      <c r="E477" s="42"/>
      <c r="F477" s="42"/>
      <c r="G477" s="42"/>
      <c r="H477" s="45"/>
      <c r="I477" s="44"/>
      <c r="J477" s="43"/>
      <c r="K477" s="44"/>
      <c r="L477" s="14">
        <f t="shared" si="21"/>
        <v>0</v>
      </c>
      <c r="M477" s="14">
        <f>IF(OR(L477=0,T477&lt;&gt;"Sim"),0,INDEX(Processos!$X$10:$X$509,O477))</f>
        <v>0</v>
      </c>
      <c r="N477" s="40" t="str">
        <f t="shared" si="22"/>
        <v/>
      </c>
      <c r="O477" s="14">
        <f>IF(AND(A477&lt;&gt;"",ISTEXT(A477),COUNTIFS(Processos!$AS$10:$AS$509,"="&amp;SUBSTITUTE(SUBSTITUTE(SUBSTITUTE("P:"&amp;A477,"~","~~"),"*","~*"),"?","~?"))=1),(IF(ISNA(MATCH(SUBSTITUTE(SUBSTITUTE(SUBSTITUTE("P:"&amp;A477,"~","~~"),"*","~*"),"?","~?"),Processos!$AS$10:$AS$509,0)),9,INDEX(Processos!$AM$10:$AM$509,MATCH(SUBSTITUTE(SUBSTITUTE(SUBSTITUTE("P:"&amp;A477,"~","~~"),"*","~*"),"?","~?"),Processos!$AS$10:$AS$509,0)))-9),0)</f>
        <v>0</v>
      </c>
      <c r="P477" s="14" t="str">
        <f>IF(L477=0,"",INDEX(Processos!$D$10:$D$509,O477))</f>
        <v/>
      </c>
      <c r="Q477" s="14">
        <f>IF(OR(L477=0,T477&lt;&gt;"Sim"),0,INDEX(Processos!$AL$10:$AL$509,O477))</f>
        <v>0</v>
      </c>
      <c r="R477" s="14">
        <f>ROW()</f>
        <v>477</v>
      </c>
      <c r="S477" s="14" t="str">
        <f t="shared" si="23"/>
        <v/>
      </c>
      <c r="T477" s="27" t="s">
        <v>1113</v>
      </c>
      <c r="U477" s="28"/>
      <c r="V477" s="28"/>
      <c r="W477" s="28"/>
      <c r="X477" s="28"/>
      <c r="Y477" s="27"/>
      <c r="Z477" s="27"/>
      <c r="AA477" s="27"/>
      <c r="AB477" s="27"/>
    </row>
    <row r="478" spans="1:28" ht="42" customHeight="1">
      <c r="A478" s="41"/>
      <c r="B478" s="42"/>
      <c r="C478" s="42"/>
      <c r="D478" s="42"/>
      <c r="E478" s="42"/>
      <c r="F478" s="42"/>
      <c r="G478" s="42"/>
      <c r="H478" s="45"/>
      <c r="I478" s="44"/>
      <c r="J478" s="43"/>
      <c r="K478" s="44"/>
      <c r="L478" s="14">
        <f t="shared" si="21"/>
        <v>0</v>
      </c>
      <c r="M478" s="14">
        <f>IF(OR(L478=0,T478&lt;&gt;"Sim"),0,INDEX(Processos!$X$10:$X$509,O478))</f>
        <v>0</v>
      </c>
      <c r="N478" s="40" t="str">
        <f t="shared" si="22"/>
        <v/>
      </c>
      <c r="O478" s="14">
        <f>IF(AND(A478&lt;&gt;"",ISTEXT(A478),COUNTIFS(Processos!$AS$10:$AS$509,"="&amp;SUBSTITUTE(SUBSTITUTE(SUBSTITUTE("P:"&amp;A478,"~","~~"),"*","~*"),"?","~?"))=1),(IF(ISNA(MATCH(SUBSTITUTE(SUBSTITUTE(SUBSTITUTE("P:"&amp;A478,"~","~~"),"*","~*"),"?","~?"),Processos!$AS$10:$AS$509,0)),9,INDEX(Processos!$AM$10:$AM$509,MATCH(SUBSTITUTE(SUBSTITUTE(SUBSTITUTE("P:"&amp;A478,"~","~~"),"*","~*"),"?","~?"),Processos!$AS$10:$AS$509,0)))-9),0)</f>
        <v>0</v>
      </c>
      <c r="P478" s="14" t="str">
        <f>IF(L478=0,"",INDEX(Processos!$D$10:$D$509,O478))</f>
        <v/>
      </c>
      <c r="Q478" s="14">
        <f>IF(OR(L478=0,T478&lt;&gt;"Sim"),0,INDEX(Processos!$AL$10:$AL$509,O478))</f>
        <v>0</v>
      </c>
      <c r="R478" s="14">
        <f>ROW()</f>
        <v>478</v>
      </c>
      <c r="S478" s="14" t="str">
        <f t="shared" si="23"/>
        <v/>
      </c>
      <c r="T478" s="27" t="s">
        <v>1113</v>
      </c>
      <c r="U478" s="28"/>
      <c r="V478" s="28"/>
      <c r="W478" s="28"/>
      <c r="X478" s="28"/>
      <c r="Y478" s="27"/>
      <c r="Z478" s="27"/>
      <c r="AA478" s="27"/>
      <c r="AB478" s="27"/>
    </row>
    <row r="479" spans="1:28" ht="42" customHeight="1">
      <c r="A479" s="41"/>
      <c r="B479" s="42"/>
      <c r="C479" s="42"/>
      <c r="D479" s="42"/>
      <c r="E479" s="42"/>
      <c r="F479" s="42"/>
      <c r="G479" s="42"/>
      <c r="H479" s="45"/>
      <c r="I479" s="44"/>
      <c r="J479" s="43"/>
      <c r="K479" s="44"/>
      <c r="L479" s="14">
        <f t="shared" si="21"/>
        <v>0</v>
      </c>
      <c r="M479" s="14">
        <f>IF(OR(L479=0,T479&lt;&gt;"Sim"),0,INDEX(Processos!$X$10:$X$509,O479))</f>
        <v>0</v>
      </c>
      <c r="N479" s="40" t="str">
        <f t="shared" si="22"/>
        <v/>
      </c>
      <c r="O479" s="14">
        <f>IF(AND(A479&lt;&gt;"",ISTEXT(A479),COUNTIFS(Processos!$AS$10:$AS$509,"="&amp;SUBSTITUTE(SUBSTITUTE(SUBSTITUTE("P:"&amp;A479,"~","~~"),"*","~*"),"?","~?"))=1),(IF(ISNA(MATCH(SUBSTITUTE(SUBSTITUTE(SUBSTITUTE("P:"&amp;A479,"~","~~"),"*","~*"),"?","~?"),Processos!$AS$10:$AS$509,0)),9,INDEX(Processos!$AM$10:$AM$509,MATCH(SUBSTITUTE(SUBSTITUTE(SUBSTITUTE("P:"&amp;A479,"~","~~"),"*","~*"),"?","~?"),Processos!$AS$10:$AS$509,0)))-9),0)</f>
        <v>0</v>
      </c>
      <c r="P479" s="14" t="str">
        <f>IF(L479=0,"",INDEX(Processos!$D$10:$D$509,O479))</f>
        <v/>
      </c>
      <c r="Q479" s="14">
        <f>IF(OR(L479=0,T479&lt;&gt;"Sim"),0,INDEX(Processos!$AL$10:$AL$509,O479))</f>
        <v>0</v>
      </c>
      <c r="R479" s="14">
        <f>ROW()</f>
        <v>479</v>
      </c>
      <c r="S479" s="14" t="str">
        <f t="shared" si="23"/>
        <v/>
      </c>
      <c r="T479" s="27" t="s">
        <v>1113</v>
      </c>
      <c r="U479" s="28"/>
      <c r="V479" s="28"/>
      <c r="W479" s="28"/>
      <c r="X479" s="28"/>
      <c r="Y479" s="27"/>
      <c r="Z479" s="27"/>
      <c r="AA479" s="27"/>
      <c r="AB479" s="27"/>
    </row>
    <row r="480" spans="1:28" ht="42" customHeight="1">
      <c r="A480" s="41"/>
      <c r="B480" s="42"/>
      <c r="C480" s="42"/>
      <c r="D480" s="42"/>
      <c r="E480" s="42"/>
      <c r="F480" s="42"/>
      <c r="G480" s="42"/>
      <c r="H480" s="45"/>
      <c r="I480" s="44"/>
      <c r="J480" s="43"/>
      <c r="K480" s="44"/>
      <c r="L480" s="14">
        <f t="shared" si="21"/>
        <v>0</v>
      </c>
      <c r="M480" s="14">
        <f>IF(OR(L480=0,T480&lt;&gt;"Sim"),0,INDEX(Processos!$X$10:$X$509,O480))</f>
        <v>0</v>
      </c>
      <c r="N480" s="40" t="str">
        <f t="shared" si="22"/>
        <v/>
      </c>
      <c r="O480" s="14">
        <f>IF(AND(A480&lt;&gt;"",ISTEXT(A480),COUNTIFS(Processos!$AS$10:$AS$509,"="&amp;SUBSTITUTE(SUBSTITUTE(SUBSTITUTE("P:"&amp;A480,"~","~~"),"*","~*"),"?","~?"))=1),(IF(ISNA(MATCH(SUBSTITUTE(SUBSTITUTE(SUBSTITUTE("P:"&amp;A480,"~","~~"),"*","~*"),"?","~?"),Processos!$AS$10:$AS$509,0)),9,INDEX(Processos!$AM$10:$AM$509,MATCH(SUBSTITUTE(SUBSTITUTE(SUBSTITUTE("P:"&amp;A480,"~","~~"),"*","~*"),"?","~?"),Processos!$AS$10:$AS$509,0)))-9),0)</f>
        <v>0</v>
      </c>
      <c r="P480" s="14" t="str">
        <f>IF(L480=0,"",INDEX(Processos!$D$10:$D$509,O480))</f>
        <v/>
      </c>
      <c r="Q480" s="14">
        <f>IF(OR(L480=0,T480&lt;&gt;"Sim"),0,INDEX(Processos!$AL$10:$AL$509,O480))</f>
        <v>0</v>
      </c>
      <c r="R480" s="14">
        <f>ROW()</f>
        <v>480</v>
      </c>
      <c r="S480" s="14" t="str">
        <f t="shared" si="23"/>
        <v/>
      </c>
      <c r="T480" s="27" t="s">
        <v>1113</v>
      </c>
      <c r="U480" s="28"/>
      <c r="V480" s="28"/>
      <c r="W480" s="28"/>
      <c r="X480" s="28"/>
      <c r="Y480" s="27"/>
      <c r="Z480" s="27"/>
      <c r="AA480" s="27"/>
      <c r="AB480" s="27"/>
    </row>
    <row r="481" spans="1:28" ht="42" customHeight="1">
      <c r="A481" s="41"/>
      <c r="B481" s="42"/>
      <c r="C481" s="42"/>
      <c r="D481" s="42"/>
      <c r="E481" s="42"/>
      <c r="F481" s="42"/>
      <c r="G481" s="42"/>
      <c r="H481" s="45"/>
      <c r="I481" s="44"/>
      <c r="J481" s="43"/>
      <c r="K481" s="44"/>
      <c r="L481" s="14">
        <f t="shared" si="21"/>
        <v>0</v>
      </c>
      <c r="M481" s="14">
        <f>IF(OR(L481=0,T481&lt;&gt;"Sim"),0,INDEX(Processos!$X$10:$X$509,O481))</f>
        <v>0</v>
      </c>
      <c r="N481" s="40" t="str">
        <f t="shared" si="22"/>
        <v/>
      </c>
      <c r="O481" s="14">
        <f>IF(AND(A481&lt;&gt;"",ISTEXT(A481),COUNTIFS(Processos!$AS$10:$AS$509,"="&amp;SUBSTITUTE(SUBSTITUTE(SUBSTITUTE("P:"&amp;A481,"~","~~"),"*","~*"),"?","~?"))=1),(IF(ISNA(MATCH(SUBSTITUTE(SUBSTITUTE(SUBSTITUTE("P:"&amp;A481,"~","~~"),"*","~*"),"?","~?"),Processos!$AS$10:$AS$509,0)),9,INDEX(Processos!$AM$10:$AM$509,MATCH(SUBSTITUTE(SUBSTITUTE(SUBSTITUTE("P:"&amp;A481,"~","~~"),"*","~*"),"?","~?"),Processos!$AS$10:$AS$509,0)))-9),0)</f>
        <v>0</v>
      </c>
      <c r="P481" s="14" t="str">
        <f>IF(L481=0,"",INDEX(Processos!$D$10:$D$509,O481))</f>
        <v/>
      </c>
      <c r="Q481" s="14">
        <f>IF(OR(L481=0,T481&lt;&gt;"Sim"),0,INDEX(Processos!$AL$10:$AL$509,O481))</f>
        <v>0</v>
      </c>
      <c r="R481" s="14">
        <f>ROW()</f>
        <v>481</v>
      </c>
      <c r="S481" s="14" t="str">
        <f t="shared" si="23"/>
        <v/>
      </c>
      <c r="T481" s="27" t="s">
        <v>1113</v>
      </c>
      <c r="U481" s="28"/>
      <c r="V481" s="28"/>
      <c r="W481" s="28"/>
      <c r="X481" s="28"/>
      <c r="Y481" s="27"/>
      <c r="Z481" s="27"/>
      <c r="AA481" s="27"/>
      <c r="AB481" s="27"/>
    </row>
    <row r="482" spans="1:28" ht="42" customHeight="1">
      <c r="A482" s="41"/>
      <c r="B482" s="42"/>
      <c r="C482" s="42"/>
      <c r="D482" s="42"/>
      <c r="E482" s="42"/>
      <c r="F482" s="42"/>
      <c r="G482" s="42"/>
      <c r="H482" s="45"/>
      <c r="I482" s="44"/>
      <c r="J482" s="43"/>
      <c r="K482" s="44"/>
      <c r="L482" s="14">
        <f t="shared" si="21"/>
        <v>0</v>
      </c>
      <c r="M482" s="14">
        <f>IF(OR(L482=0,T482&lt;&gt;"Sim"),0,INDEX(Processos!$X$10:$X$509,O482))</f>
        <v>0</v>
      </c>
      <c r="N482" s="40" t="str">
        <f t="shared" si="22"/>
        <v/>
      </c>
      <c r="O482" s="14">
        <f>IF(AND(A482&lt;&gt;"",ISTEXT(A482),COUNTIFS(Processos!$AS$10:$AS$509,"="&amp;SUBSTITUTE(SUBSTITUTE(SUBSTITUTE("P:"&amp;A482,"~","~~"),"*","~*"),"?","~?"))=1),(IF(ISNA(MATCH(SUBSTITUTE(SUBSTITUTE(SUBSTITUTE("P:"&amp;A482,"~","~~"),"*","~*"),"?","~?"),Processos!$AS$10:$AS$509,0)),9,INDEX(Processos!$AM$10:$AM$509,MATCH(SUBSTITUTE(SUBSTITUTE(SUBSTITUTE("P:"&amp;A482,"~","~~"),"*","~*"),"?","~?"),Processos!$AS$10:$AS$509,0)))-9),0)</f>
        <v>0</v>
      </c>
      <c r="P482" s="14" t="str">
        <f>IF(L482=0,"",INDEX(Processos!$D$10:$D$509,O482))</f>
        <v/>
      </c>
      <c r="Q482" s="14">
        <f>IF(OR(L482=0,T482&lt;&gt;"Sim"),0,INDEX(Processos!$AL$10:$AL$509,O482))</f>
        <v>0</v>
      </c>
      <c r="R482" s="14">
        <f>ROW()</f>
        <v>482</v>
      </c>
      <c r="S482" s="14" t="str">
        <f t="shared" si="23"/>
        <v/>
      </c>
      <c r="T482" s="27" t="s">
        <v>1113</v>
      </c>
      <c r="U482" s="28"/>
      <c r="V482" s="28"/>
      <c r="W482" s="28"/>
      <c r="X482" s="28"/>
      <c r="Y482" s="27"/>
      <c r="Z482" s="27"/>
      <c r="AA482" s="27"/>
      <c r="AB482" s="27"/>
    </row>
    <row r="483" spans="1:28" ht="42" customHeight="1">
      <c r="A483" s="41"/>
      <c r="B483" s="42"/>
      <c r="C483" s="42"/>
      <c r="D483" s="42"/>
      <c r="E483" s="42"/>
      <c r="F483" s="42"/>
      <c r="G483" s="42"/>
      <c r="H483" s="45"/>
      <c r="I483" s="44"/>
      <c r="J483" s="43"/>
      <c r="K483" s="44"/>
      <c r="L483" s="14">
        <f t="shared" si="21"/>
        <v>0</v>
      </c>
      <c r="M483" s="14">
        <f>IF(OR(L483=0,T483&lt;&gt;"Sim"),0,INDEX(Processos!$X$10:$X$509,O483))</f>
        <v>0</v>
      </c>
      <c r="N483" s="40" t="str">
        <f t="shared" si="22"/>
        <v/>
      </c>
      <c r="O483" s="14">
        <f>IF(AND(A483&lt;&gt;"",ISTEXT(A483),COUNTIFS(Processos!$AS$10:$AS$509,"="&amp;SUBSTITUTE(SUBSTITUTE(SUBSTITUTE("P:"&amp;A483,"~","~~"),"*","~*"),"?","~?"))=1),(IF(ISNA(MATCH(SUBSTITUTE(SUBSTITUTE(SUBSTITUTE("P:"&amp;A483,"~","~~"),"*","~*"),"?","~?"),Processos!$AS$10:$AS$509,0)),9,INDEX(Processos!$AM$10:$AM$509,MATCH(SUBSTITUTE(SUBSTITUTE(SUBSTITUTE("P:"&amp;A483,"~","~~"),"*","~*"),"?","~?"),Processos!$AS$10:$AS$509,0)))-9),0)</f>
        <v>0</v>
      </c>
      <c r="P483" s="14" t="str">
        <f>IF(L483=0,"",INDEX(Processos!$D$10:$D$509,O483))</f>
        <v/>
      </c>
      <c r="Q483" s="14">
        <f>IF(OR(L483=0,T483&lt;&gt;"Sim"),0,INDEX(Processos!$AL$10:$AL$509,O483))</f>
        <v>0</v>
      </c>
      <c r="R483" s="14">
        <f>ROW()</f>
        <v>483</v>
      </c>
      <c r="S483" s="14" t="str">
        <f t="shared" si="23"/>
        <v/>
      </c>
      <c r="T483" s="27" t="s">
        <v>1113</v>
      </c>
      <c r="U483" s="28"/>
      <c r="V483" s="28"/>
      <c r="W483" s="28"/>
      <c r="X483" s="28"/>
      <c r="Y483" s="27"/>
      <c r="Z483" s="27"/>
      <c r="AA483" s="27"/>
      <c r="AB483" s="27"/>
    </row>
    <row r="484" spans="1:28" ht="42" customHeight="1">
      <c r="A484" s="41"/>
      <c r="B484" s="42"/>
      <c r="C484" s="42"/>
      <c r="D484" s="42"/>
      <c r="E484" s="42"/>
      <c r="F484" s="42"/>
      <c r="G484" s="42"/>
      <c r="H484" s="45"/>
      <c r="I484" s="44"/>
      <c r="J484" s="43"/>
      <c r="K484" s="44"/>
      <c r="L484" s="14">
        <f t="shared" si="21"/>
        <v>0</v>
      </c>
      <c r="M484" s="14">
        <f>IF(OR(L484=0,T484&lt;&gt;"Sim"),0,INDEX(Processos!$X$10:$X$509,O484))</f>
        <v>0</v>
      </c>
      <c r="N484" s="40" t="str">
        <f t="shared" si="22"/>
        <v/>
      </c>
      <c r="O484" s="14">
        <f>IF(AND(A484&lt;&gt;"",ISTEXT(A484),COUNTIFS(Processos!$AS$10:$AS$509,"="&amp;SUBSTITUTE(SUBSTITUTE(SUBSTITUTE("P:"&amp;A484,"~","~~"),"*","~*"),"?","~?"))=1),(IF(ISNA(MATCH(SUBSTITUTE(SUBSTITUTE(SUBSTITUTE("P:"&amp;A484,"~","~~"),"*","~*"),"?","~?"),Processos!$AS$10:$AS$509,0)),9,INDEX(Processos!$AM$10:$AM$509,MATCH(SUBSTITUTE(SUBSTITUTE(SUBSTITUTE("P:"&amp;A484,"~","~~"),"*","~*"),"?","~?"),Processos!$AS$10:$AS$509,0)))-9),0)</f>
        <v>0</v>
      </c>
      <c r="P484" s="14" t="str">
        <f>IF(L484=0,"",INDEX(Processos!$D$10:$D$509,O484))</f>
        <v/>
      </c>
      <c r="Q484" s="14">
        <f>IF(OR(L484=0,T484&lt;&gt;"Sim"),0,INDEX(Processos!$AL$10:$AL$509,O484))</f>
        <v>0</v>
      </c>
      <c r="R484" s="14">
        <f>ROW()</f>
        <v>484</v>
      </c>
      <c r="S484" s="14" t="str">
        <f t="shared" si="23"/>
        <v/>
      </c>
      <c r="T484" s="27" t="s">
        <v>1113</v>
      </c>
      <c r="U484" s="28"/>
      <c r="V484" s="28"/>
      <c r="W484" s="28"/>
      <c r="X484" s="28"/>
      <c r="Y484" s="27"/>
      <c r="Z484" s="27"/>
      <c r="AA484" s="27"/>
      <c r="AB484" s="27"/>
    </row>
    <row r="485" spans="1:28" ht="42" customHeight="1">
      <c r="A485" s="41"/>
      <c r="B485" s="42"/>
      <c r="C485" s="42"/>
      <c r="D485" s="42"/>
      <c r="E485" s="42"/>
      <c r="F485" s="42"/>
      <c r="G485" s="42"/>
      <c r="H485" s="45"/>
      <c r="I485" s="44"/>
      <c r="J485" s="43"/>
      <c r="K485" s="44"/>
      <c r="L485" s="14">
        <f t="shared" si="21"/>
        <v>0</v>
      </c>
      <c r="M485" s="14">
        <f>IF(OR(L485=0,T485&lt;&gt;"Sim"),0,INDEX(Processos!$X$10:$X$509,O485))</f>
        <v>0</v>
      </c>
      <c r="N485" s="40" t="str">
        <f t="shared" si="22"/>
        <v/>
      </c>
      <c r="O485" s="14">
        <f>IF(AND(A485&lt;&gt;"",ISTEXT(A485),COUNTIFS(Processos!$AS$10:$AS$509,"="&amp;SUBSTITUTE(SUBSTITUTE(SUBSTITUTE("P:"&amp;A485,"~","~~"),"*","~*"),"?","~?"))=1),(IF(ISNA(MATCH(SUBSTITUTE(SUBSTITUTE(SUBSTITUTE("P:"&amp;A485,"~","~~"),"*","~*"),"?","~?"),Processos!$AS$10:$AS$509,0)),9,INDEX(Processos!$AM$10:$AM$509,MATCH(SUBSTITUTE(SUBSTITUTE(SUBSTITUTE("P:"&amp;A485,"~","~~"),"*","~*"),"?","~?"),Processos!$AS$10:$AS$509,0)))-9),0)</f>
        <v>0</v>
      </c>
      <c r="P485" s="14" t="str">
        <f>IF(L485=0,"",INDEX(Processos!$D$10:$D$509,O485))</f>
        <v/>
      </c>
      <c r="Q485" s="14">
        <f>IF(OR(L485=0,T485&lt;&gt;"Sim"),0,INDEX(Processos!$AL$10:$AL$509,O485))</f>
        <v>0</v>
      </c>
      <c r="R485" s="14">
        <f>ROW()</f>
        <v>485</v>
      </c>
      <c r="S485" s="14" t="str">
        <f t="shared" si="23"/>
        <v/>
      </c>
      <c r="T485" s="27" t="s">
        <v>1113</v>
      </c>
      <c r="U485" s="28"/>
      <c r="V485" s="28"/>
      <c r="W485" s="28"/>
      <c r="X485" s="28"/>
      <c r="Y485" s="27"/>
      <c r="Z485" s="27"/>
      <c r="AA485" s="27"/>
      <c r="AB485" s="27"/>
    </row>
    <row r="486" spans="1:28" ht="42" customHeight="1">
      <c r="A486" s="41"/>
      <c r="B486" s="42"/>
      <c r="C486" s="42"/>
      <c r="D486" s="42"/>
      <c r="E486" s="42"/>
      <c r="F486" s="42"/>
      <c r="G486" s="42"/>
      <c r="H486" s="45"/>
      <c r="I486" s="44"/>
      <c r="J486" s="43"/>
      <c r="K486" s="44"/>
      <c r="L486" s="14">
        <f t="shared" si="21"/>
        <v>0</v>
      </c>
      <c r="M486" s="14">
        <f>IF(OR(L486=0,T486&lt;&gt;"Sim"),0,INDEX(Processos!$X$10:$X$509,O486))</f>
        <v>0</v>
      </c>
      <c r="N486" s="40" t="str">
        <f t="shared" si="22"/>
        <v/>
      </c>
      <c r="O486" s="14">
        <f>IF(AND(A486&lt;&gt;"",ISTEXT(A486),COUNTIFS(Processos!$AS$10:$AS$509,"="&amp;SUBSTITUTE(SUBSTITUTE(SUBSTITUTE("P:"&amp;A486,"~","~~"),"*","~*"),"?","~?"))=1),(IF(ISNA(MATCH(SUBSTITUTE(SUBSTITUTE(SUBSTITUTE("P:"&amp;A486,"~","~~"),"*","~*"),"?","~?"),Processos!$AS$10:$AS$509,0)),9,INDEX(Processos!$AM$10:$AM$509,MATCH(SUBSTITUTE(SUBSTITUTE(SUBSTITUTE("P:"&amp;A486,"~","~~"),"*","~*"),"?","~?"),Processos!$AS$10:$AS$509,0)))-9),0)</f>
        <v>0</v>
      </c>
      <c r="P486" s="14" t="str">
        <f>IF(L486=0,"",INDEX(Processos!$D$10:$D$509,O486))</f>
        <v/>
      </c>
      <c r="Q486" s="14">
        <f>IF(OR(L486=0,T486&lt;&gt;"Sim"),0,INDEX(Processos!$AL$10:$AL$509,O486))</f>
        <v>0</v>
      </c>
      <c r="R486" s="14">
        <f>ROW()</f>
        <v>486</v>
      </c>
      <c r="S486" s="14" t="str">
        <f t="shared" si="23"/>
        <v/>
      </c>
      <c r="T486" s="27" t="s">
        <v>1113</v>
      </c>
      <c r="U486" s="28"/>
      <c r="V486" s="28"/>
      <c r="W486" s="28"/>
      <c r="X486" s="28"/>
      <c r="Y486" s="27"/>
      <c r="Z486" s="27"/>
      <c r="AA486" s="27"/>
      <c r="AB486" s="27"/>
    </row>
    <row r="487" spans="1:28" ht="42" customHeight="1">
      <c r="A487" s="41"/>
      <c r="B487" s="42"/>
      <c r="C487" s="42"/>
      <c r="D487" s="42"/>
      <c r="E487" s="42"/>
      <c r="F487" s="42"/>
      <c r="G487" s="42"/>
      <c r="H487" s="45"/>
      <c r="I487" s="44"/>
      <c r="J487" s="43"/>
      <c r="K487" s="44"/>
      <c r="L487" s="14">
        <f t="shared" si="21"/>
        <v>0</v>
      </c>
      <c r="M487" s="14">
        <f>IF(OR(L487=0,T487&lt;&gt;"Sim"),0,INDEX(Processos!$X$10:$X$509,O487))</f>
        <v>0</v>
      </c>
      <c r="N487" s="40" t="str">
        <f t="shared" si="22"/>
        <v/>
      </c>
      <c r="O487" s="14">
        <f>IF(AND(A487&lt;&gt;"",ISTEXT(A487),COUNTIFS(Processos!$AS$10:$AS$509,"="&amp;SUBSTITUTE(SUBSTITUTE(SUBSTITUTE("P:"&amp;A487,"~","~~"),"*","~*"),"?","~?"))=1),(IF(ISNA(MATCH(SUBSTITUTE(SUBSTITUTE(SUBSTITUTE("P:"&amp;A487,"~","~~"),"*","~*"),"?","~?"),Processos!$AS$10:$AS$509,0)),9,INDEX(Processos!$AM$10:$AM$509,MATCH(SUBSTITUTE(SUBSTITUTE(SUBSTITUTE("P:"&amp;A487,"~","~~"),"*","~*"),"?","~?"),Processos!$AS$10:$AS$509,0)))-9),0)</f>
        <v>0</v>
      </c>
      <c r="P487" s="14" t="str">
        <f>IF(L487=0,"",INDEX(Processos!$D$10:$D$509,O487))</f>
        <v/>
      </c>
      <c r="Q487" s="14">
        <f>IF(OR(L487=0,T487&lt;&gt;"Sim"),0,INDEX(Processos!$AL$10:$AL$509,O487))</f>
        <v>0</v>
      </c>
      <c r="R487" s="14">
        <f>ROW()</f>
        <v>487</v>
      </c>
      <c r="S487" s="14" t="str">
        <f t="shared" si="23"/>
        <v/>
      </c>
      <c r="T487" s="27" t="s">
        <v>1113</v>
      </c>
      <c r="U487" s="28"/>
      <c r="V487" s="28"/>
      <c r="W487" s="28"/>
      <c r="X487" s="28"/>
      <c r="Y487" s="27"/>
      <c r="Z487" s="27"/>
      <c r="AA487" s="27"/>
      <c r="AB487" s="27"/>
    </row>
    <row r="488" spans="1:28" ht="42" customHeight="1">
      <c r="A488" s="41"/>
      <c r="B488" s="42"/>
      <c r="C488" s="42"/>
      <c r="D488" s="42"/>
      <c r="E488" s="42"/>
      <c r="F488" s="42"/>
      <c r="G488" s="42"/>
      <c r="H488" s="45"/>
      <c r="I488" s="44"/>
      <c r="J488" s="43"/>
      <c r="K488" s="44"/>
      <c r="L488" s="14">
        <f t="shared" si="21"/>
        <v>0</v>
      </c>
      <c r="M488" s="14">
        <f>IF(OR(L488=0,T488&lt;&gt;"Sim"),0,INDEX(Processos!$X$10:$X$509,O488))</f>
        <v>0</v>
      </c>
      <c r="N488" s="40" t="str">
        <f t="shared" si="22"/>
        <v/>
      </c>
      <c r="O488" s="14">
        <f>IF(AND(A488&lt;&gt;"",ISTEXT(A488),COUNTIFS(Processos!$AS$10:$AS$509,"="&amp;SUBSTITUTE(SUBSTITUTE(SUBSTITUTE("P:"&amp;A488,"~","~~"),"*","~*"),"?","~?"))=1),(IF(ISNA(MATCH(SUBSTITUTE(SUBSTITUTE(SUBSTITUTE("P:"&amp;A488,"~","~~"),"*","~*"),"?","~?"),Processos!$AS$10:$AS$509,0)),9,INDEX(Processos!$AM$10:$AM$509,MATCH(SUBSTITUTE(SUBSTITUTE(SUBSTITUTE("P:"&amp;A488,"~","~~"),"*","~*"),"?","~?"),Processos!$AS$10:$AS$509,0)))-9),0)</f>
        <v>0</v>
      </c>
      <c r="P488" s="14" t="str">
        <f>IF(L488=0,"",INDEX(Processos!$D$10:$D$509,O488))</f>
        <v/>
      </c>
      <c r="Q488" s="14">
        <f>IF(OR(L488=0,T488&lt;&gt;"Sim"),0,INDEX(Processos!$AL$10:$AL$509,O488))</f>
        <v>0</v>
      </c>
      <c r="R488" s="14">
        <f>ROW()</f>
        <v>488</v>
      </c>
      <c r="S488" s="14" t="str">
        <f t="shared" si="23"/>
        <v/>
      </c>
      <c r="T488" s="27" t="s">
        <v>1113</v>
      </c>
      <c r="U488" s="28"/>
      <c r="V488" s="28"/>
      <c r="W488" s="28"/>
      <c r="X488" s="28"/>
      <c r="Y488" s="27"/>
      <c r="Z488" s="27"/>
      <c r="AA488" s="27"/>
      <c r="AB488" s="27"/>
    </row>
    <row r="489" spans="1:28" ht="42" customHeight="1">
      <c r="A489" s="41"/>
      <c r="B489" s="42"/>
      <c r="C489" s="42"/>
      <c r="D489" s="42"/>
      <c r="E489" s="42"/>
      <c r="F489" s="42"/>
      <c r="G489" s="42"/>
      <c r="H489" s="45"/>
      <c r="I489" s="44"/>
      <c r="J489" s="43"/>
      <c r="K489" s="44"/>
      <c r="L489" s="14">
        <f t="shared" si="21"/>
        <v>0</v>
      </c>
      <c r="M489" s="14">
        <f>IF(OR(L489=0,T489&lt;&gt;"Sim"),0,INDEX(Processos!$X$10:$X$509,O489))</f>
        <v>0</v>
      </c>
      <c r="N489" s="40" t="str">
        <f t="shared" si="22"/>
        <v/>
      </c>
      <c r="O489" s="14">
        <f>IF(AND(A489&lt;&gt;"",ISTEXT(A489),COUNTIFS(Processos!$AS$10:$AS$509,"="&amp;SUBSTITUTE(SUBSTITUTE(SUBSTITUTE("P:"&amp;A489,"~","~~"),"*","~*"),"?","~?"))=1),(IF(ISNA(MATCH(SUBSTITUTE(SUBSTITUTE(SUBSTITUTE("P:"&amp;A489,"~","~~"),"*","~*"),"?","~?"),Processos!$AS$10:$AS$509,0)),9,INDEX(Processos!$AM$10:$AM$509,MATCH(SUBSTITUTE(SUBSTITUTE(SUBSTITUTE("P:"&amp;A489,"~","~~"),"*","~*"),"?","~?"),Processos!$AS$10:$AS$509,0)))-9),0)</f>
        <v>0</v>
      </c>
      <c r="P489" s="14" t="str">
        <f>IF(L489=0,"",INDEX(Processos!$D$10:$D$509,O489))</f>
        <v/>
      </c>
      <c r="Q489" s="14">
        <f>IF(OR(L489=0,T489&lt;&gt;"Sim"),0,INDEX(Processos!$AL$10:$AL$509,O489))</f>
        <v>0</v>
      </c>
      <c r="R489" s="14">
        <f>ROW()</f>
        <v>489</v>
      </c>
      <c r="S489" s="14" t="str">
        <f t="shared" si="23"/>
        <v/>
      </c>
      <c r="T489" s="27" t="s">
        <v>1113</v>
      </c>
      <c r="U489" s="28"/>
      <c r="V489" s="28"/>
      <c r="W489" s="28"/>
      <c r="X489" s="28"/>
      <c r="Y489" s="27"/>
      <c r="Z489" s="27"/>
      <c r="AA489" s="27"/>
      <c r="AB489" s="27"/>
    </row>
    <row r="490" spans="1:28" ht="42" customHeight="1">
      <c r="A490" s="41"/>
      <c r="B490" s="42"/>
      <c r="C490" s="42"/>
      <c r="D490" s="42"/>
      <c r="E490" s="42"/>
      <c r="F490" s="42"/>
      <c r="G490" s="42"/>
      <c r="H490" s="45"/>
      <c r="I490" s="44"/>
      <c r="J490" s="43"/>
      <c r="K490" s="44"/>
      <c r="L490" s="14">
        <f t="shared" si="21"/>
        <v>0</v>
      </c>
      <c r="M490" s="14">
        <f>IF(OR(L490=0,T490&lt;&gt;"Sim"),0,INDEX(Processos!$X$10:$X$509,O490))</f>
        <v>0</v>
      </c>
      <c r="N490" s="40" t="str">
        <f t="shared" si="22"/>
        <v/>
      </c>
      <c r="O490" s="14">
        <f>IF(AND(A490&lt;&gt;"",ISTEXT(A490),COUNTIFS(Processos!$AS$10:$AS$509,"="&amp;SUBSTITUTE(SUBSTITUTE(SUBSTITUTE("P:"&amp;A490,"~","~~"),"*","~*"),"?","~?"))=1),(IF(ISNA(MATCH(SUBSTITUTE(SUBSTITUTE(SUBSTITUTE("P:"&amp;A490,"~","~~"),"*","~*"),"?","~?"),Processos!$AS$10:$AS$509,0)),9,INDEX(Processos!$AM$10:$AM$509,MATCH(SUBSTITUTE(SUBSTITUTE(SUBSTITUTE("P:"&amp;A490,"~","~~"),"*","~*"),"?","~?"),Processos!$AS$10:$AS$509,0)))-9),0)</f>
        <v>0</v>
      </c>
      <c r="P490" s="14" t="str">
        <f>IF(L490=0,"",INDEX(Processos!$D$10:$D$509,O490))</f>
        <v/>
      </c>
      <c r="Q490" s="14">
        <f>IF(OR(L490=0,T490&lt;&gt;"Sim"),0,INDEX(Processos!$AL$10:$AL$509,O490))</f>
        <v>0</v>
      </c>
      <c r="R490" s="14">
        <f>ROW()</f>
        <v>490</v>
      </c>
      <c r="S490" s="14" t="str">
        <f t="shared" si="23"/>
        <v/>
      </c>
      <c r="T490" s="27" t="s">
        <v>1113</v>
      </c>
      <c r="U490" s="28"/>
      <c r="V490" s="28"/>
      <c r="W490" s="28"/>
      <c r="X490" s="28"/>
      <c r="Y490" s="27"/>
      <c r="Z490" s="27"/>
      <c r="AA490" s="27"/>
      <c r="AB490" s="27"/>
    </row>
    <row r="491" spans="1:28" ht="42" customHeight="1">
      <c r="A491" s="41"/>
      <c r="B491" s="42"/>
      <c r="C491" s="42"/>
      <c r="D491" s="42"/>
      <c r="E491" s="42"/>
      <c r="F491" s="42"/>
      <c r="G491" s="42"/>
      <c r="H491" s="45"/>
      <c r="I491" s="44"/>
      <c r="J491" s="43"/>
      <c r="K491" s="44"/>
      <c r="L491" s="14">
        <f t="shared" si="21"/>
        <v>0</v>
      </c>
      <c r="M491" s="14">
        <f>IF(OR(L491=0,T491&lt;&gt;"Sim"),0,INDEX(Processos!$X$10:$X$509,O491))</f>
        <v>0</v>
      </c>
      <c r="N491" s="40" t="str">
        <f t="shared" si="22"/>
        <v/>
      </c>
      <c r="O491" s="14">
        <f>IF(AND(A491&lt;&gt;"",ISTEXT(A491),COUNTIFS(Processos!$AS$10:$AS$509,"="&amp;SUBSTITUTE(SUBSTITUTE(SUBSTITUTE("P:"&amp;A491,"~","~~"),"*","~*"),"?","~?"))=1),(IF(ISNA(MATCH(SUBSTITUTE(SUBSTITUTE(SUBSTITUTE("P:"&amp;A491,"~","~~"),"*","~*"),"?","~?"),Processos!$AS$10:$AS$509,0)),9,INDEX(Processos!$AM$10:$AM$509,MATCH(SUBSTITUTE(SUBSTITUTE(SUBSTITUTE("P:"&amp;A491,"~","~~"),"*","~*"),"?","~?"),Processos!$AS$10:$AS$509,0)))-9),0)</f>
        <v>0</v>
      </c>
      <c r="P491" s="14" t="str">
        <f>IF(L491=0,"",INDEX(Processos!$D$10:$D$509,O491))</f>
        <v/>
      </c>
      <c r="Q491" s="14">
        <f>IF(OR(L491=0,T491&lt;&gt;"Sim"),0,INDEX(Processos!$AL$10:$AL$509,O491))</f>
        <v>0</v>
      </c>
      <c r="R491" s="14">
        <f>ROW()</f>
        <v>491</v>
      </c>
      <c r="S491" s="14" t="str">
        <f t="shared" si="23"/>
        <v/>
      </c>
      <c r="T491" s="27" t="s">
        <v>1113</v>
      </c>
      <c r="U491" s="28"/>
      <c r="V491" s="28"/>
      <c r="W491" s="28"/>
      <c r="X491" s="28"/>
      <c r="Y491" s="27"/>
      <c r="Z491" s="27"/>
      <c r="AA491" s="27"/>
      <c r="AB491" s="27"/>
    </row>
    <row r="492" spans="1:28" ht="42" customHeight="1">
      <c r="A492" s="41"/>
      <c r="B492" s="42"/>
      <c r="C492" s="42"/>
      <c r="D492" s="42"/>
      <c r="E492" s="42"/>
      <c r="F492" s="42"/>
      <c r="G492" s="42"/>
      <c r="H492" s="45"/>
      <c r="I492" s="44"/>
      <c r="J492" s="43"/>
      <c r="K492" s="44"/>
      <c r="L492" s="14">
        <f t="shared" si="21"/>
        <v>0</v>
      </c>
      <c r="M492" s="14">
        <f>IF(OR(L492=0,T492&lt;&gt;"Sim"),0,INDEX(Processos!$X$10:$X$509,O492))</f>
        <v>0</v>
      </c>
      <c r="N492" s="40" t="str">
        <f t="shared" si="22"/>
        <v/>
      </c>
      <c r="O492" s="14">
        <f>IF(AND(A492&lt;&gt;"",ISTEXT(A492),COUNTIFS(Processos!$AS$10:$AS$509,"="&amp;SUBSTITUTE(SUBSTITUTE(SUBSTITUTE("P:"&amp;A492,"~","~~"),"*","~*"),"?","~?"))=1),(IF(ISNA(MATCH(SUBSTITUTE(SUBSTITUTE(SUBSTITUTE("P:"&amp;A492,"~","~~"),"*","~*"),"?","~?"),Processos!$AS$10:$AS$509,0)),9,INDEX(Processos!$AM$10:$AM$509,MATCH(SUBSTITUTE(SUBSTITUTE(SUBSTITUTE("P:"&amp;A492,"~","~~"),"*","~*"),"?","~?"),Processos!$AS$10:$AS$509,0)))-9),0)</f>
        <v>0</v>
      </c>
      <c r="P492" s="14" t="str">
        <f>IF(L492=0,"",INDEX(Processos!$D$10:$D$509,O492))</f>
        <v/>
      </c>
      <c r="Q492" s="14">
        <f>IF(OR(L492=0,T492&lt;&gt;"Sim"),0,INDEX(Processos!$AL$10:$AL$509,O492))</f>
        <v>0</v>
      </c>
      <c r="R492" s="14">
        <f>ROW()</f>
        <v>492</v>
      </c>
      <c r="S492" s="14" t="str">
        <f t="shared" si="23"/>
        <v/>
      </c>
      <c r="T492" s="27" t="s">
        <v>1113</v>
      </c>
      <c r="U492" s="28"/>
      <c r="V492" s="28"/>
      <c r="W492" s="28"/>
      <c r="X492" s="28"/>
      <c r="Y492" s="27"/>
      <c r="Z492" s="27"/>
      <c r="AA492" s="27"/>
      <c r="AB492" s="27"/>
    </row>
    <row r="493" spans="1:28" ht="42" customHeight="1">
      <c r="A493" s="41"/>
      <c r="B493" s="42"/>
      <c r="C493" s="42"/>
      <c r="D493" s="42"/>
      <c r="E493" s="42"/>
      <c r="F493" s="42"/>
      <c r="G493" s="42"/>
      <c r="H493" s="45"/>
      <c r="I493" s="44"/>
      <c r="J493" s="43"/>
      <c r="K493" s="44"/>
      <c r="L493" s="14">
        <f t="shared" si="21"/>
        <v>0</v>
      </c>
      <c r="M493" s="14">
        <f>IF(OR(L493=0,T493&lt;&gt;"Sim"),0,INDEX(Processos!$X$10:$X$509,O493))</f>
        <v>0</v>
      </c>
      <c r="N493" s="40" t="str">
        <f t="shared" si="22"/>
        <v/>
      </c>
      <c r="O493" s="14">
        <f>IF(AND(A493&lt;&gt;"",ISTEXT(A493),COUNTIFS(Processos!$AS$10:$AS$509,"="&amp;SUBSTITUTE(SUBSTITUTE(SUBSTITUTE("P:"&amp;A493,"~","~~"),"*","~*"),"?","~?"))=1),(IF(ISNA(MATCH(SUBSTITUTE(SUBSTITUTE(SUBSTITUTE("P:"&amp;A493,"~","~~"),"*","~*"),"?","~?"),Processos!$AS$10:$AS$509,0)),9,INDEX(Processos!$AM$10:$AM$509,MATCH(SUBSTITUTE(SUBSTITUTE(SUBSTITUTE("P:"&amp;A493,"~","~~"),"*","~*"),"?","~?"),Processos!$AS$10:$AS$509,0)))-9),0)</f>
        <v>0</v>
      </c>
      <c r="P493" s="14" t="str">
        <f>IF(L493=0,"",INDEX(Processos!$D$10:$D$509,O493))</f>
        <v/>
      </c>
      <c r="Q493" s="14">
        <f>IF(OR(L493=0,T493&lt;&gt;"Sim"),0,INDEX(Processos!$AL$10:$AL$509,O493))</f>
        <v>0</v>
      </c>
      <c r="R493" s="14">
        <f>ROW()</f>
        <v>493</v>
      </c>
      <c r="S493" s="14" t="str">
        <f t="shared" si="23"/>
        <v/>
      </c>
      <c r="T493" s="27" t="s">
        <v>1113</v>
      </c>
      <c r="U493" s="28"/>
      <c r="V493" s="28"/>
      <c r="W493" s="28"/>
      <c r="X493" s="28"/>
      <c r="Y493" s="27"/>
      <c r="Z493" s="27"/>
      <c r="AA493" s="27"/>
      <c r="AB493" s="27"/>
    </row>
    <row r="494" spans="1:28" ht="42" customHeight="1">
      <c r="A494" s="41"/>
      <c r="B494" s="42"/>
      <c r="C494" s="42"/>
      <c r="D494" s="42"/>
      <c r="E494" s="42"/>
      <c r="F494" s="42"/>
      <c r="G494" s="42"/>
      <c r="H494" s="45"/>
      <c r="I494" s="44"/>
      <c r="J494" s="43"/>
      <c r="K494" s="44"/>
      <c r="L494" s="14">
        <f t="shared" si="21"/>
        <v>0</v>
      </c>
      <c r="M494" s="14">
        <f>IF(OR(L494=0,T494&lt;&gt;"Sim"),0,INDEX(Processos!$X$10:$X$509,O494))</f>
        <v>0</v>
      </c>
      <c r="N494" s="40" t="str">
        <f t="shared" si="22"/>
        <v/>
      </c>
      <c r="O494" s="14">
        <f>IF(AND(A494&lt;&gt;"",ISTEXT(A494),COUNTIFS(Processos!$AS$10:$AS$509,"="&amp;SUBSTITUTE(SUBSTITUTE(SUBSTITUTE("P:"&amp;A494,"~","~~"),"*","~*"),"?","~?"))=1),(IF(ISNA(MATCH(SUBSTITUTE(SUBSTITUTE(SUBSTITUTE("P:"&amp;A494,"~","~~"),"*","~*"),"?","~?"),Processos!$AS$10:$AS$509,0)),9,INDEX(Processos!$AM$10:$AM$509,MATCH(SUBSTITUTE(SUBSTITUTE(SUBSTITUTE("P:"&amp;A494,"~","~~"),"*","~*"),"?","~?"),Processos!$AS$10:$AS$509,0)))-9),0)</f>
        <v>0</v>
      </c>
      <c r="P494" s="14" t="str">
        <f>IF(L494=0,"",INDEX(Processos!$D$10:$D$509,O494))</f>
        <v/>
      </c>
      <c r="Q494" s="14">
        <f>IF(OR(L494=0,T494&lt;&gt;"Sim"),0,INDEX(Processos!$AL$10:$AL$509,O494))</f>
        <v>0</v>
      </c>
      <c r="R494" s="14">
        <f>ROW()</f>
        <v>494</v>
      </c>
      <c r="S494" s="14" t="str">
        <f t="shared" si="23"/>
        <v/>
      </c>
      <c r="T494" s="27" t="s">
        <v>1113</v>
      </c>
      <c r="U494" s="28"/>
      <c r="V494" s="28"/>
      <c r="W494" s="28"/>
      <c r="X494" s="28"/>
      <c r="Y494" s="27"/>
      <c r="Z494" s="27"/>
      <c r="AA494" s="27"/>
      <c r="AB494" s="27"/>
    </row>
    <row r="495" spans="1:28" ht="42" customHeight="1">
      <c r="A495" s="41"/>
      <c r="B495" s="42"/>
      <c r="C495" s="42"/>
      <c r="D495" s="42"/>
      <c r="E495" s="42"/>
      <c r="F495" s="42"/>
      <c r="G495" s="42"/>
      <c r="H495" s="45"/>
      <c r="I495" s="44"/>
      <c r="J495" s="43"/>
      <c r="K495" s="44"/>
      <c r="L495" s="14">
        <f t="shared" si="21"/>
        <v>0</v>
      </c>
      <c r="M495" s="14">
        <f>IF(OR(L495=0,T495&lt;&gt;"Sim"),0,INDEX(Processos!$X$10:$X$509,O495))</f>
        <v>0</v>
      </c>
      <c r="N495" s="40" t="str">
        <f t="shared" si="22"/>
        <v/>
      </c>
      <c r="O495" s="14">
        <f>IF(AND(A495&lt;&gt;"",ISTEXT(A495),COUNTIFS(Processos!$AS$10:$AS$509,"="&amp;SUBSTITUTE(SUBSTITUTE(SUBSTITUTE("P:"&amp;A495,"~","~~"),"*","~*"),"?","~?"))=1),(IF(ISNA(MATCH(SUBSTITUTE(SUBSTITUTE(SUBSTITUTE("P:"&amp;A495,"~","~~"),"*","~*"),"?","~?"),Processos!$AS$10:$AS$509,0)),9,INDEX(Processos!$AM$10:$AM$509,MATCH(SUBSTITUTE(SUBSTITUTE(SUBSTITUTE("P:"&amp;A495,"~","~~"),"*","~*"),"?","~?"),Processos!$AS$10:$AS$509,0)))-9),0)</f>
        <v>0</v>
      </c>
      <c r="P495" s="14" t="str">
        <f>IF(L495=0,"",INDEX(Processos!$D$10:$D$509,O495))</f>
        <v/>
      </c>
      <c r="Q495" s="14">
        <f>IF(OR(L495=0,T495&lt;&gt;"Sim"),0,INDEX(Processos!$AL$10:$AL$509,O495))</f>
        <v>0</v>
      </c>
      <c r="R495" s="14">
        <f>ROW()</f>
        <v>495</v>
      </c>
      <c r="S495" s="14" t="str">
        <f t="shared" si="23"/>
        <v/>
      </c>
      <c r="T495" s="27" t="s">
        <v>1113</v>
      </c>
      <c r="U495" s="28"/>
      <c r="V495" s="28"/>
      <c r="W495" s="28"/>
      <c r="X495" s="28"/>
      <c r="Y495" s="27"/>
      <c r="Z495" s="27"/>
      <c r="AA495" s="27"/>
      <c r="AB495" s="27"/>
    </row>
    <row r="496" spans="1:28" ht="42" customHeight="1">
      <c r="A496" s="41"/>
      <c r="B496" s="42"/>
      <c r="C496" s="42"/>
      <c r="D496" s="42"/>
      <c r="E496" s="42"/>
      <c r="F496" s="42"/>
      <c r="G496" s="42"/>
      <c r="H496" s="45"/>
      <c r="I496" s="44"/>
      <c r="J496" s="43"/>
      <c r="K496" s="44"/>
      <c r="L496" s="14">
        <f t="shared" si="21"/>
        <v>0</v>
      </c>
      <c r="M496" s="14">
        <f>IF(OR(L496=0,T496&lt;&gt;"Sim"),0,INDEX(Processos!$X$10:$X$509,O496))</f>
        <v>0</v>
      </c>
      <c r="N496" s="40" t="str">
        <f t="shared" si="22"/>
        <v/>
      </c>
      <c r="O496" s="14">
        <f>IF(AND(A496&lt;&gt;"",ISTEXT(A496),COUNTIFS(Processos!$AS$10:$AS$509,"="&amp;SUBSTITUTE(SUBSTITUTE(SUBSTITUTE("P:"&amp;A496,"~","~~"),"*","~*"),"?","~?"))=1),(IF(ISNA(MATCH(SUBSTITUTE(SUBSTITUTE(SUBSTITUTE("P:"&amp;A496,"~","~~"),"*","~*"),"?","~?"),Processos!$AS$10:$AS$509,0)),9,INDEX(Processos!$AM$10:$AM$509,MATCH(SUBSTITUTE(SUBSTITUTE(SUBSTITUTE("P:"&amp;A496,"~","~~"),"*","~*"),"?","~?"),Processos!$AS$10:$AS$509,0)))-9),0)</f>
        <v>0</v>
      </c>
      <c r="P496" s="14" t="str">
        <f>IF(L496=0,"",INDEX(Processos!$D$10:$D$509,O496))</f>
        <v/>
      </c>
      <c r="Q496" s="14">
        <f>IF(OR(L496=0,T496&lt;&gt;"Sim"),0,INDEX(Processos!$AL$10:$AL$509,O496))</f>
        <v>0</v>
      </c>
      <c r="R496" s="14">
        <f>ROW()</f>
        <v>496</v>
      </c>
      <c r="S496" s="14" t="str">
        <f t="shared" si="23"/>
        <v/>
      </c>
      <c r="T496" s="27" t="s">
        <v>1113</v>
      </c>
      <c r="U496" s="28"/>
      <c r="V496" s="28"/>
      <c r="W496" s="28"/>
      <c r="X496" s="28"/>
      <c r="Y496" s="27"/>
      <c r="Z496" s="27"/>
      <c r="AA496" s="27"/>
      <c r="AB496" s="27"/>
    </row>
    <row r="497" spans="1:28" ht="42" customHeight="1">
      <c r="A497" s="41"/>
      <c r="B497" s="42"/>
      <c r="C497" s="42"/>
      <c r="D497" s="42"/>
      <c r="E497" s="42"/>
      <c r="F497" s="42"/>
      <c r="G497" s="42"/>
      <c r="H497" s="45"/>
      <c r="I497" s="44"/>
      <c r="J497" s="43"/>
      <c r="K497" s="44"/>
      <c r="L497" s="14">
        <f t="shared" si="21"/>
        <v>0</v>
      </c>
      <c r="M497" s="14">
        <f>IF(OR(L497=0,T497&lt;&gt;"Sim"),0,INDEX(Processos!$X$10:$X$509,O497))</f>
        <v>0</v>
      </c>
      <c r="N497" s="40" t="str">
        <f t="shared" si="22"/>
        <v/>
      </c>
      <c r="O497" s="14">
        <f>IF(AND(A497&lt;&gt;"",ISTEXT(A497),COUNTIFS(Processos!$AS$10:$AS$509,"="&amp;SUBSTITUTE(SUBSTITUTE(SUBSTITUTE("P:"&amp;A497,"~","~~"),"*","~*"),"?","~?"))=1),(IF(ISNA(MATCH(SUBSTITUTE(SUBSTITUTE(SUBSTITUTE("P:"&amp;A497,"~","~~"),"*","~*"),"?","~?"),Processos!$AS$10:$AS$509,0)),9,INDEX(Processos!$AM$10:$AM$509,MATCH(SUBSTITUTE(SUBSTITUTE(SUBSTITUTE("P:"&amp;A497,"~","~~"),"*","~*"),"?","~?"),Processos!$AS$10:$AS$509,0)))-9),0)</f>
        <v>0</v>
      </c>
      <c r="P497" s="14" t="str">
        <f>IF(L497=0,"",INDEX(Processos!$D$10:$D$509,O497))</f>
        <v/>
      </c>
      <c r="Q497" s="14">
        <f>IF(OR(L497=0,T497&lt;&gt;"Sim"),0,INDEX(Processos!$AL$10:$AL$509,O497))</f>
        <v>0</v>
      </c>
      <c r="R497" s="14">
        <f>ROW()</f>
        <v>497</v>
      </c>
      <c r="S497" s="14" t="str">
        <f t="shared" si="23"/>
        <v/>
      </c>
      <c r="T497" s="27" t="s">
        <v>1113</v>
      </c>
      <c r="U497" s="28"/>
      <c r="V497" s="28"/>
      <c r="W497" s="28"/>
      <c r="X497" s="28"/>
      <c r="Y497" s="27"/>
      <c r="Z497" s="27"/>
      <c r="AA497" s="27"/>
      <c r="AB497" s="27"/>
    </row>
    <row r="498" spans="1:28" ht="42" customHeight="1">
      <c r="A498" s="41"/>
      <c r="B498" s="42"/>
      <c r="C498" s="42"/>
      <c r="D498" s="42"/>
      <c r="E498" s="42"/>
      <c r="F498" s="42"/>
      <c r="G498" s="42"/>
      <c r="H498" s="45"/>
      <c r="I498" s="44"/>
      <c r="J498" s="43"/>
      <c r="K498" s="44"/>
      <c r="L498" s="14">
        <f t="shared" si="21"/>
        <v>0</v>
      </c>
      <c r="M498" s="14">
        <f>IF(OR(L498=0,T498&lt;&gt;"Sim"),0,INDEX(Processos!$X$10:$X$509,O498))</f>
        <v>0</v>
      </c>
      <c r="N498" s="40" t="str">
        <f t="shared" si="22"/>
        <v/>
      </c>
      <c r="O498" s="14">
        <f>IF(AND(A498&lt;&gt;"",ISTEXT(A498),COUNTIFS(Processos!$AS$10:$AS$509,"="&amp;SUBSTITUTE(SUBSTITUTE(SUBSTITUTE("P:"&amp;A498,"~","~~"),"*","~*"),"?","~?"))=1),(IF(ISNA(MATCH(SUBSTITUTE(SUBSTITUTE(SUBSTITUTE("P:"&amp;A498,"~","~~"),"*","~*"),"?","~?"),Processos!$AS$10:$AS$509,0)),9,INDEX(Processos!$AM$10:$AM$509,MATCH(SUBSTITUTE(SUBSTITUTE(SUBSTITUTE("P:"&amp;A498,"~","~~"),"*","~*"),"?","~?"),Processos!$AS$10:$AS$509,0)))-9),0)</f>
        <v>0</v>
      </c>
      <c r="P498" s="14" t="str">
        <f>IF(L498=0,"",INDEX(Processos!$D$10:$D$509,O498))</f>
        <v/>
      </c>
      <c r="Q498" s="14">
        <f>IF(OR(L498=0,T498&lt;&gt;"Sim"),0,INDEX(Processos!$AL$10:$AL$509,O498))</f>
        <v>0</v>
      </c>
      <c r="R498" s="14">
        <f>ROW()</f>
        <v>498</v>
      </c>
      <c r="S498" s="14" t="str">
        <f t="shared" si="23"/>
        <v/>
      </c>
      <c r="T498" s="27" t="s">
        <v>1113</v>
      </c>
      <c r="U498" s="28"/>
      <c r="V498" s="28"/>
      <c r="W498" s="28"/>
      <c r="X498" s="28"/>
      <c r="Y498" s="27"/>
      <c r="Z498" s="27"/>
      <c r="AA498" s="27"/>
      <c r="AB498" s="27"/>
    </row>
    <row r="499" spans="1:28" ht="42" customHeight="1">
      <c r="A499" s="41"/>
      <c r="B499" s="42"/>
      <c r="C499" s="42"/>
      <c r="D499" s="42"/>
      <c r="E499" s="42"/>
      <c r="F499" s="42"/>
      <c r="G499" s="42"/>
      <c r="H499" s="45"/>
      <c r="I499" s="44"/>
      <c r="J499" s="43"/>
      <c r="K499" s="44"/>
      <c r="L499" s="14">
        <f t="shared" si="21"/>
        <v>0</v>
      </c>
      <c r="M499" s="14">
        <f>IF(OR(L499=0,T499&lt;&gt;"Sim"),0,INDEX(Processos!$X$10:$X$509,O499))</f>
        <v>0</v>
      </c>
      <c r="N499" s="40" t="str">
        <f t="shared" si="22"/>
        <v/>
      </c>
      <c r="O499" s="14">
        <f>IF(AND(A499&lt;&gt;"",ISTEXT(A499),COUNTIFS(Processos!$AS$10:$AS$509,"="&amp;SUBSTITUTE(SUBSTITUTE(SUBSTITUTE("P:"&amp;A499,"~","~~"),"*","~*"),"?","~?"))=1),(IF(ISNA(MATCH(SUBSTITUTE(SUBSTITUTE(SUBSTITUTE("P:"&amp;A499,"~","~~"),"*","~*"),"?","~?"),Processos!$AS$10:$AS$509,0)),9,INDEX(Processos!$AM$10:$AM$509,MATCH(SUBSTITUTE(SUBSTITUTE(SUBSTITUTE("P:"&amp;A499,"~","~~"),"*","~*"),"?","~?"),Processos!$AS$10:$AS$509,0)))-9),0)</f>
        <v>0</v>
      </c>
      <c r="P499" s="14" t="str">
        <f>IF(L499=0,"",INDEX(Processos!$D$10:$D$509,O499))</f>
        <v/>
      </c>
      <c r="Q499" s="14">
        <f>IF(OR(L499=0,T499&lt;&gt;"Sim"),0,INDEX(Processos!$AL$10:$AL$509,O499))</f>
        <v>0</v>
      </c>
      <c r="R499" s="14">
        <f>ROW()</f>
        <v>499</v>
      </c>
      <c r="S499" s="14" t="str">
        <f t="shared" si="23"/>
        <v/>
      </c>
      <c r="T499" s="27" t="s">
        <v>1113</v>
      </c>
      <c r="U499" s="28"/>
      <c r="V499" s="28"/>
      <c r="W499" s="28"/>
      <c r="X499" s="28"/>
      <c r="Y499" s="27"/>
      <c r="Z499" s="27"/>
      <c r="AA499" s="27"/>
      <c r="AB499" s="27"/>
    </row>
    <row r="500" spans="1:28" ht="42" customHeight="1">
      <c r="A500" s="41"/>
      <c r="B500" s="42"/>
      <c r="C500" s="42"/>
      <c r="D500" s="42"/>
      <c r="E500" s="42"/>
      <c r="F500" s="42"/>
      <c r="G500" s="42"/>
      <c r="H500" s="45"/>
      <c r="I500" s="44"/>
      <c r="J500" s="43"/>
      <c r="K500" s="44"/>
      <c r="L500" s="14">
        <f t="shared" si="21"/>
        <v>0</v>
      </c>
      <c r="M500" s="14">
        <f>IF(OR(L500=0,T500&lt;&gt;"Sim"),0,INDEX(Processos!$X$10:$X$509,O500))</f>
        <v>0</v>
      </c>
      <c r="N500" s="40" t="str">
        <f t="shared" si="22"/>
        <v/>
      </c>
      <c r="O500" s="14">
        <f>IF(AND(A500&lt;&gt;"",ISTEXT(A500),COUNTIFS(Processos!$AS$10:$AS$509,"="&amp;SUBSTITUTE(SUBSTITUTE(SUBSTITUTE("P:"&amp;A500,"~","~~"),"*","~*"),"?","~?"))=1),(IF(ISNA(MATCH(SUBSTITUTE(SUBSTITUTE(SUBSTITUTE("P:"&amp;A500,"~","~~"),"*","~*"),"?","~?"),Processos!$AS$10:$AS$509,0)),9,INDEX(Processos!$AM$10:$AM$509,MATCH(SUBSTITUTE(SUBSTITUTE(SUBSTITUTE("P:"&amp;A500,"~","~~"),"*","~*"),"?","~?"),Processos!$AS$10:$AS$509,0)))-9),0)</f>
        <v>0</v>
      </c>
      <c r="P500" s="14" t="str">
        <f>IF(L500=0,"",INDEX(Processos!$D$10:$D$509,O500))</f>
        <v/>
      </c>
      <c r="Q500" s="14">
        <f>IF(OR(L500=0,T500&lt;&gt;"Sim"),0,INDEX(Processos!$AL$10:$AL$509,O500))</f>
        <v>0</v>
      </c>
      <c r="R500" s="14">
        <f>ROW()</f>
        <v>500</v>
      </c>
      <c r="S500" s="14" t="str">
        <f t="shared" si="23"/>
        <v/>
      </c>
      <c r="T500" s="27" t="s">
        <v>1113</v>
      </c>
      <c r="U500" s="28"/>
      <c r="V500" s="28"/>
      <c r="W500" s="28"/>
      <c r="X500" s="28"/>
      <c r="Y500" s="27"/>
      <c r="Z500" s="27"/>
      <c r="AA500" s="27"/>
      <c r="AB500" s="27"/>
    </row>
    <row r="501" spans="1:28" ht="42" customHeight="1">
      <c r="A501" s="41"/>
      <c r="B501" s="42"/>
      <c r="C501" s="42"/>
      <c r="D501" s="42"/>
      <c r="E501" s="42"/>
      <c r="F501" s="42"/>
      <c r="G501" s="42"/>
      <c r="H501" s="45"/>
      <c r="I501" s="44"/>
      <c r="J501" s="43"/>
      <c r="K501" s="44"/>
      <c r="L501" s="14">
        <f t="shared" si="21"/>
        <v>0</v>
      </c>
      <c r="M501" s="14">
        <f>IF(OR(L501=0,T501&lt;&gt;"Sim"),0,INDEX(Processos!$X$10:$X$509,O501))</f>
        <v>0</v>
      </c>
      <c r="N501" s="40" t="str">
        <f t="shared" si="22"/>
        <v/>
      </c>
      <c r="O501" s="14">
        <f>IF(AND(A501&lt;&gt;"",ISTEXT(A501),COUNTIFS(Processos!$AS$10:$AS$509,"="&amp;SUBSTITUTE(SUBSTITUTE(SUBSTITUTE("P:"&amp;A501,"~","~~"),"*","~*"),"?","~?"))=1),(IF(ISNA(MATCH(SUBSTITUTE(SUBSTITUTE(SUBSTITUTE("P:"&amp;A501,"~","~~"),"*","~*"),"?","~?"),Processos!$AS$10:$AS$509,0)),9,INDEX(Processos!$AM$10:$AM$509,MATCH(SUBSTITUTE(SUBSTITUTE(SUBSTITUTE("P:"&amp;A501,"~","~~"),"*","~*"),"?","~?"),Processos!$AS$10:$AS$509,0)))-9),0)</f>
        <v>0</v>
      </c>
      <c r="P501" s="14" t="str">
        <f>IF(L501=0,"",INDEX(Processos!$D$10:$D$509,O501))</f>
        <v/>
      </c>
      <c r="Q501" s="14">
        <f>IF(OR(L501=0,T501&lt;&gt;"Sim"),0,INDEX(Processos!$AL$10:$AL$509,O501))</f>
        <v>0</v>
      </c>
      <c r="R501" s="14">
        <f>ROW()</f>
        <v>501</v>
      </c>
      <c r="S501" s="14" t="str">
        <f t="shared" si="23"/>
        <v/>
      </c>
      <c r="T501" s="27" t="s">
        <v>1113</v>
      </c>
      <c r="U501" s="28"/>
      <c r="V501" s="28"/>
      <c r="W501" s="28"/>
      <c r="X501" s="28"/>
      <c r="Y501" s="27"/>
      <c r="Z501" s="27"/>
      <c r="AA501" s="27"/>
      <c r="AB501" s="27"/>
    </row>
    <row r="502" spans="1:28" ht="42" customHeight="1">
      <c r="A502" s="41"/>
      <c r="B502" s="42"/>
      <c r="C502" s="42"/>
      <c r="D502" s="42"/>
      <c r="E502" s="42"/>
      <c r="F502" s="42"/>
      <c r="G502" s="42"/>
      <c r="H502" s="45"/>
      <c r="I502" s="44"/>
      <c r="J502" s="43"/>
      <c r="K502" s="44"/>
      <c r="L502" s="14">
        <f t="shared" si="21"/>
        <v>0</v>
      </c>
      <c r="M502" s="14">
        <f>IF(OR(L502=0,T502&lt;&gt;"Sim"),0,INDEX(Processos!$X$10:$X$509,O502))</f>
        <v>0</v>
      </c>
      <c r="N502" s="40" t="str">
        <f t="shared" si="22"/>
        <v/>
      </c>
      <c r="O502" s="14">
        <f>IF(AND(A502&lt;&gt;"",ISTEXT(A502),COUNTIFS(Processos!$AS$10:$AS$509,"="&amp;SUBSTITUTE(SUBSTITUTE(SUBSTITUTE("P:"&amp;A502,"~","~~"),"*","~*"),"?","~?"))=1),(IF(ISNA(MATCH(SUBSTITUTE(SUBSTITUTE(SUBSTITUTE("P:"&amp;A502,"~","~~"),"*","~*"),"?","~?"),Processos!$AS$10:$AS$509,0)),9,INDEX(Processos!$AM$10:$AM$509,MATCH(SUBSTITUTE(SUBSTITUTE(SUBSTITUTE("P:"&amp;A502,"~","~~"),"*","~*"),"?","~?"),Processos!$AS$10:$AS$509,0)))-9),0)</f>
        <v>0</v>
      </c>
      <c r="P502" s="14" t="str">
        <f>IF(L502=0,"",INDEX(Processos!$D$10:$D$509,O502))</f>
        <v/>
      </c>
      <c r="Q502" s="14">
        <f>IF(OR(L502=0,T502&lt;&gt;"Sim"),0,INDEX(Processos!$AL$10:$AL$509,O502))</f>
        <v>0</v>
      </c>
      <c r="R502" s="14">
        <f>ROW()</f>
        <v>502</v>
      </c>
      <c r="S502" s="14" t="str">
        <f t="shared" si="23"/>
        <v/>
      </c>
      <c r="T502" s="27" t="s">
        <v>1113</v>
      </c>
      <c r="U502" s="28"/>
      <c r="V502" s="28"/>
      <c r="W502" s="28"/>
      <c r="X502" s="28"/>
      <c r="Y502" s="27"/>
      <c r="Z502" s="27"/>
      <c r="AA502" s="27"/>
      <c r="AB502" s="27"/>
    </row>
    <row r="503" spans="1:28" ht="42" customHeight="1">
      <c r="A503" s="41"/>
      <c r="B503" s="42"/>
      <c r="C503" s="42"/>
      <c r="D503" s="42"/>
      <c r="E503" s="42"/>
      <c r="F503" s="42"/>
      <c r="G503" s="42"/>
      <c r="H503" s="45"/>
      <c r="I503" s="44"/>
      <c r="J503" s="43"/>
      <c r="K503" s="44"/>
      <c r="L503" s="14">
        <f t="shared" si="21"/>
        <v>0</v>
      </c>
      <c r="M503" s="14">
        <f>IF(OR(L503=0,T503&lt;&gt;"Sim"),0,INDEX(Processos!$X$10:$X$509,O503))</f>
        <v>0</v>
      </c>
      <c r="N503" s="40" t="str">
        <f t="shared" si="22"/>
        <v/>
      </c>
      <c r="O503" s="14">
        <f>IF(AND(A503&lt;&gt;"",ISTEXT(A503),COUNTIFS(Processos!$AS$10:$AS$509,"="&amp;SUBSTITUTE(SUBSTITUTE(SUBSTITUTE("P:"&amp;A503,"~","~~"),"*","~*"),"?","~?"))=1),(IF(ISNA(MATCH(SUBSTITUTE(SUBSTITUTE(SUBSTITUTE("P:"&amp;A503,"~","~~"),"*","~*"),"?","~?"),Processos!$AS$10:$AS$509,0)),9,INDEX(Processos!$AM$10:$AM$509,MATCH(SUBSTITUTE(SUBSTITUTE(SUBSTITUTE("P:"&amp;A503,"~","~~"),"*","~*"),"?","~?"),Processos!$AS$10:$AS$509,0)))-9),0)</f>
        <v>0</v>
      </c>
      <c r="P503" s="14" t="str">
        <f>IF(L503=0,"",INDEX(Processos!$D$10:$D$509,O503))</f>
        <v/>
      </c>
      <c r="Q503" s="14">
        <f>IF(OR(L503=0,T503&lt;&gt;"Sim"),0,INDEX(Processos!$AL$10:$AL$509,O503))</f>
        <v>0</v>
      </c>
      <c r="R503" s="14">
        <f>ROW()</f>
        <v>503</v>
      </c>
      <c r="S503" s="14" t="str">
        <f t="shared" si="23"/>
        <v/>
      </c>
      <c r="T503" s="27" t="s">
        <v>1113</v>
      </c>
      <c r="U503" s="28"/>
      <c r="V503" s="28"/>
      <c r="W503" s="28"/>
      <c r="X503" s="28"/>
      <c r="Y503" s="27"/>
      <c r="Z503" s="27"/>
      <c r="AA503" s="27"/>
      <c r="AB503" s="27"/>
    </row>
    <row r="504" spans="1:28" ht="42" customHeight="1">
      <c r="A504" s="41"/>
      <c r="B504" s="42"/>
      <c r="C504" s="42"/>
      <c r="D504" s="42"/>
      <c r="E504" s="42"/>
      <c r="F504" s="42"/>
      <c r="G504" s="42"/>
      <c r="H504" s="45"/>
      <c r="I504" s="44"/>
      <c r="J504" s="43"/>
      <c r="K504" s="44"/>
      <c r="L504" s="14">
        <f t="shared" si="21"/>
        <v>0</v>
      </c>
      <c r="M504" s="14">
        <f>IF(OR(L504=0,T504&lt;&gt;"Sim"),0,INDEX(Processos!$X$10:$X$509,O504))</f>
        <v>0</v>
      </c>
      <c r="N504" s="40" t="str">
        <f t="shared" si="22"/>
        <v/>
      </c>
      <c r="O504" s="14">
        <f>IF(AND(A504&lt;&gt;"",ISTEXT(A504),COUNTIFS(Processos!$AS$10:$AS$509,"="&amp;SUBSTITUTE(SUBSTITUTE(SUBSTITUTE("P:"&amp;A504,"~","~~"),"*","~*"),"?","~?"))=1),(IF(ISNA(MATCH(SUBSTITUTE(SUBSTITUTE(SUBSTITUTE("P:"&amp;A504,"~","~~"),"*","~*"),"?","~?"),Processos!$AS$10:$AS$509,0)),9,INDEX(Processos!$AM$10:$AM$509,MATCH(SUBSTITUTE(SUBSTITUTE(SUBSTITUTE("P:"&amp;A504,"~","~~"),"*","~*"),"?","~?"),Processos!$AS$10:$AS$509,0)))-9),0)</f>
        <v>0</v>
      </c>
      <c r="P504" s="14" t="str">
        <f>IF(L504=0,"",INDEX(Processos!$D$10:$D$509,O504))</f>
        <v/>
      </c>
      <c r="Q504" s="14">
        <f>IF(OR(L504=0,T504&lt;&gt;"Sim"),0,INDEX(Processos!$AL$10:$AL$509,O504))</f>
        <v>0</v>
      </c>
      <c r="R504" s="14">
        <f>ROW()</f>
        <v>504</v>
      </c>
      <c r="S504" s="14" t="str">
        <f t="shared" si="23"/>
        <v/>
      </c>
      <c r="T504" s="27" t="s">
        <v>1113</v>
      </c>
      <c r="U504" s="28"/>
      <c r="V504" s="28"/>
      <c r="W504" s="28"/>
      <c r="X504" s="28"/>
      <c r="Y504" s="27"/>
      <c r="Z504" s="27"/>
      <c r="AA504" s="27"/>
      <c r="AB504" s="27"/>
    </row>
    <row r="505" spans="1:28" ht="42" customHeight="1">
      <c r="A505" s="41"/>
      <c r="B505" s="42"/>
      <c r="C505" s="42"/>
      <c r="D505" s="42"/>
      <c r="E505" s="42"/>
      <c r="F505" s="42"/>
      <c r="G505" s="42"/>
      <c r="H505" s="45"/>
      <c r="I505" s="44"/>
      <c r="J505" s="43"/>
      <c r="K505" s="44"/>
      <c r="L505" s="14">
        <f t="shared" si="21"/>
        <v>0</v>
      </c>
      <c r="M505" s="14">
        <f>IF(OR(L505=0,T505&lt;&gt;"Sim"),0,INDEX(Processos!$X$10:$X$509,O505))</f>
        <v>0</v>
      </c>
      <c r="N505" s="40" t="str">
        <f t="shared" si="22"/>
        <v/>
      </c>
      <c r="O505" s="14">
        <f>IF(AND(A505&lt;&gt;"",ISTEXT(A505),COUNTIFS(Processos!$AS$10:$AS$509,"="&amp;SUBSTITUTE(SUBSTITUTE(SUBSTITUTE("P:"&amp;A505,"~","~~"),"*","~*"),"?","~?"))=1),(IF(ISNA(MATCH(SUBSTITUTE(SUBSTITUTE(SUBSTITUTE("P:"&amp;A505,"~","~~"),"*","~*"),"?","~?"),Processos!$AS$10:$AS$509,0)),9,INDEX(Processos!$AM$10:$AM$509,MATCH(SUBSTITUTE(SUBSTITUTE(SUBSTITUTE("P:"&amp;A505,"~","~~"),"*","~*"),"?","~?"),Processos!$AS$10:$AS$509,0)))-9),0)</f>
        <v>0</v>
      </c>
      <c r="P505" s="14" t="str">
        <f>IF(L505=0,"",INDEX(Processos!$D$10:$D$509,O505))</f>
        <v/>
      </c>
      <c r="Q505" s="14">
        <f>IF(OR(L505=0,T505&lt;&gt;"Sim"),0,INDEX(Processos!$AL$10:$AL$509,O505))</f>
        <v>0</v>
      </c>
      <c r="R505" s="14">
        <f>ROW()</f>
        <v>505</v>
      </c>
      <c r="S505" s="14" t="str">
        <f t="shared" si="23"/>
        <v/>
      </c>
      <c r="T505" s="27" t="s">
        <v>1113</v>
      </c>
      <c r="U505" s="28"/>
      <c r="V505" s="28"/>
      <c r="W505" s="28"/>
      <c r="X505" s="28"/>
      <c r="Y505" s="27"/>
      <c r="Z505" s="27"/>
      <c r="AA505" s="27"/>
      <c r="AB505" s="27"/>
    </row>
    <row r="506" spans="1:28" ht="42" customHeight="1">
      <c r="A506" s="41"/>
      <c r="B506" s="42"/>
      <c r="C506" s="42"/>
      <c r="D506" s="42"/>
      <c r="E506" s="42"/>
      <c r="F506" s="42"/>
      <c r="G506" s="42"/>
      <c r="H506" s="45"/>
      <c r="I506" s="44"/>
      <c r="J506" s="43"/>
      <c r="K506" s="44"/>
      <c r="L506" s="14">
        <f t="shared" si="21"/>
        <v>0</v>
      </c>
      <c r="M506" s="14">
        <f>IF(OR(L506=0,T506&lt;&gt;"Sim"),0,INDEX(Processos!$X$10:$X$509,O506))</f>
        <v>0</v>
      </c>
      <c r="N506" s="40" t="str">
        <f t="shared" si="22"/>
        <v/>
      </c>
      <c r="O506" s="14">
        <f>IF(AND(A506&lt;&gt;"",ISTEXT(A506),COUNTIFS(Processos!$AS$10:$AS$509,"="&amp;SUBSTITUTE(SUBSTITUTE(SUBSTITUTE("P:"&amp;A506,"~","~~"),"*","~*"),"?","~?"))=1),(IF(ISNA(MATCH(SUBSTITUTE(SUBSTITUTE(SUBSTITUTE("P:"&amp;A506,"~","~~"),"*","~*"),"?","~?"),Processos!$AS$10:$AS$509,0)),9,INDEX(Processos!$AM$10:$AM$509,MATCH(SUBSTITUTE(SUBSTITUTE(SUBSTITUTE("P:"&amp;A506,"~","~~"),"*","~*"),"?","~?"),Processos!$AS$10:$AS$509,0)))-9),0)</f>
        <v>0</v>
      </c>
      <c r="P506" s="14" t="str">
        <f>IF(L506=0,"",INDEX(Processos!$D$10:$D$509,O506))</f>
        <v/>
      </c>
      <c r="Q506" s="14">
        <f>IF(OR(L506=0,T506&lt;&gt;"Sim"),0,INDEX(Processos!$AL$10:$AL$509,O506))</f>
        <v>0</v>
      </c>
      <c r="R506" s="14">
        <f>ROW()</f>
        <v>506</v>
      </c>
      <c r="S506" s="14" t="str">
        <f t="shared" si="23"/>
        <v/>
      </c>
      <c r="T506" s="27" t="s">
        <v>1113</v>
      </c>
      <c r="U506" s="28"/>
      <c r="V506" s="28"/>
      <c r="W506" s="28"/>
      <c r="X506" s="28"/>
      <c r="Y506" s="27"/>
      <c r="Z506" s="27"/>
      <c r="AA506" s="27"/>
      <c r="AB506" s="27"/>
    </row>
    <row r="507" spans="1:28" ht="42" customHeight="1">
      <c r="A507" s="41"/>
      <c r="B507" s="42"/>
      <c r="C507" s="42"/>
      <c r="D507" s="42"/>
      <c r="E507" s="42"/>
      <c r="F507" s="42"/>
      <c r="G507" s="42"/>
      <c r="H507" s="45"/>
      <c r="I507" s="44"/>
      <c r="J507" s="43"/>
      <c r="K507" s="44"/>
      <c r="L507" s="14">
        <f t="shared" si="21"/>
        <v>0</v>
      </c>
      <c r="M507" s="14">
        <f>IF(OR(L507=0,T507&lt;&gt;"Sim"),0,INDEX(Processos!$X$10:$X$509,O507))</f>
        <v>0</v>
      </c>
      <c r="N507" s="40" t="str">
        <f t="shared" si="22"/>
        <v/>
      </c>
      <c r="O507" s="14">
        <f>IF(AND(A507&lt;&gt;"",ISTEXT(A507),COUNTIFS(Processos!$AS$10:$AS$509,"="&amp;SUBSTITUTE(SUBSTITUTE(SUBSTITUTE("P:"&amp;A507,"~","~~"),"*","~*"),"?","~?"))=1),(IF(ISNA(MATCH(SUBSTITUTE(SUBSTITUTE(SUBSTITUTE("P:"&amp;A507,"~","~~"),"*","~*"),"?","~?"),Processos!$AS$10:$AS$509,0)),9,INDEX(Processos!$AM$10:$AM$509,MATCH(SUBSTITUTE(SUBSTITUTE(SUBSTITUTE("P:"&amp;A507,"~","~~"),"*","~*"),"?","~?"),Processos!$AS$10:$AS$509,0)))-9),0)</f>
        <v>0</v>
      </c>
      <c r="P507" s="14" t="str">
        <f>IF(L507=0,"",INDEX(Processos!$D$10:$D$509,O507))</f>
        <v/>
      </c>
      <c r="Q507" s="14">
        <f>IF(OR(L507=0,T507&lt;&gt;"Sim"),0,INDEX(Processos!$AL$10:$AL$509,O507))</f>
        <v>0</v>
      </c>
      <c r="R507" s="14">
        <f>ROW()</f>
        <v>507</v>
      </c>
      <c r="S507" s="14" t="str">
        <f t="shared" si="23"/>
        <v/>
      </c>
      <c r="T507" s="27" t="s">
        <v>1113</v>
      </c>
      <c r="U507" s="28"/>
      <c r="V507" s="28"/>
      <c r="W507" s="28"/>
      <c r="X507" s="28"/>
      <c r="Y507" s="27"/>
      <c r="Z507" s="27"/>
      <c r="AA507" s="27"/>
      <c r="AB507" s="27"/>
    </row>
    <row r="508" spans="1:28" ht="42" customHeight="1">
      <c r="A508" s="41"/>
      <c r="B508" s="42"/>
      <c r="C508" s="42"/>
      <c r="D508" s="42"/>
      <c r="E508" s="42"/>
      <c r="F508" s="42"/>
      <c r="G508" s="42"/>
      <c r="H508" s="45"/>
      <c r="I508" s="44"/>
      <c r="J508" s="43"/>
      <c r="K508" s="44"/>
      <c r="L508" s="14">
        <f t="shared" si="21"/>
        <v>0</v>
      </c>
      <c r="M508" s="14">
        <f>IF(OR(L508=0,T508&lt;&gt;"Sim"),0,INDEX(Processos!$X$10:$X$509,O508))</f>
        <v>0</v>
      </c>
      <c r="N508" s="40" t="str">
        <f t="shared" si="22"/>
        <v/>
      </c>
      <c r="O508" s="14">
        <f>IF(AND(A508&lt;&gt;"",ISTEXT(A508),COUNTIFS(Processos!$AS$10:$AS$509,"="&amp;SUBSTITUTE(SUBSTITUTE(SUBSTITUTE("P:"&amp;A508,"~","~~"),"*","~*"),"?","~?"))=1),(IF(ISNA(MATCH(SUBSTITUTE(SUBSTITUTE(SUBSTITUTE("P:"&amp;A508,"~","~~"),"*","~*"),"?","~?"),Processos!$AS$10:$AS$509,0)),9,INDEX(Processos!$AM$10:$AM$509,MATCH(SUBSTITUTE(SUBSTITUTE(SUBSTITUTE("P:"&amp;A508,"~","~~"),"*","~*"),"?","~?"),Processos!$AS$10:$AS$509,0)))-9),0)</f>
        <v>0</v>
      </c>
      <c r="P508" s="14" t="str">
        <f>IF(L508=0,"",INDEX(Processos!$D$10:$D$509,O508))</f>
        <v/>
      </c>
      <c r="Q508" s="14">
        <f>IF(OR(L508=0,T508&lt;&gt;"Sim"),0,INDEX(Processos!$AL$10:$AL$509,O508))</f>
        <v>0</v>
      </c>
      <c r="R508" s="14">
        <f>ROW()</f>
        <v>508</v>
      </c>
      <c r="S508" s="14" t="str">
        <f t="shared" si="23"/>
        <v/>
      </c>
      <c r="T508" s="27" t="s">
        <v>1113</v>
      </c>
      <c r="U508" s="28"/>
      <c r="V508" s="28"/>
      <c r="W508" s="28"/>
      <c r="X508" s="28"/>
      <c r="Y508" s="27"/>
      <c r="Z508" s="27"/>
      <c r="AA508" s="27"/>
      <c r="AB508" s="27"/>
    </row>
    <row r="509" spans="1:28" ht="42" customHeight="1">
      <c r="A509" s="41"/>
      <c r="B509" s="42"/>
      <c r="C509" s="42"/>
      <c r="D509" s="42"/>
      <c r="E509" s="42"/>
      <c r="F509" s="42"/>
      <c r="G509" s="42"/>
      <c r="H509" s="45"/>
      <c r="I509" s="44"/>
      <c r="J509" s="43"/>
      <c r="K509" s="44"/>
      <c r="L509" s="14">
        <f t="shared" si="21"/>
        <v>0</v>
      </c>
      <c r="M509" s="14">
        <f>IF(OR(L509=0,T509&lt;&gt;"Sim"),0,INDEX(Processos!$X$10:$X$509,O509))</f>
        <v>0</v>
      </c>
      <c r="N509" s="40" t="str">
        <f t="shared" si="22"/>
        <v/>
      </c>
      <c r="O509" s="14">
        <f>IF(AND(A509&lt;&gt;"",ISTEXT(A509),COUNTIFS(Processos!$AS$10:$AS$509,"="&amp;SUBSTITUTE(SUBSTITUTE(SUBSTITUTE("P:"&amp;A509,"~","~~"),"*","~*"),"?","~?"))=1),(IF(ISNA(MATCH(SUBSTITUTE(SUBSTITUTE(SUBSTITUTE("P:"&amp;A509,"~","~~"),"*","~*"),"?","~?"),Processos!$AS$10:$AS$509,0)),9,INDEX(Processos!$AM$10:$AM$509,MATCH(SUBSTITUTE(SUBSTITUTE(SUBSTITUTE("P:"&amp;A509,"~","~~"),"*","~*"),"?","~?"),Processos!$AS$10:$AS$509,0)))-9),0)</f>
        <v>0</v>
      </c>
      <c r="P509" s="14" t="str">
        <f>IF(L509=0,"",INDEX(Processos!$D$10:$D$509,O509))</f>
        <v/>
      </c>
      <c r="Q509" s="14">
        <f>IF(OR(L509=0,T509&lt;&gt;"Sim"),0,INDEX(Processos!$AL$10:$AL$509,O509))</f>
        <v>0</v>
      </c>
      <c r="R509" s="14">
        <f>ROW()</f>
        <v>509</v>
      </c>
      <c r="S509" s="14" t="str">
        <f t="shared" si="23"/>
        <v/>
      </c>
      <c r="T509" s="27" t="s">
        <v>1113</v>
      </c>
      <c r="U509" s="28"/>
      <c r="V509" s="28"/>
      <c r="W509" s="28"/>
      <c r="X509" s="28"/>
      <c r="Y509" s="27"/>
      <c r="Z509" s="27"/>
      <c r="AA509" s="27"/>
      <c r="AB509" s="27"/>
    </row>
  </sheetData>
  <mergeCells count="7">
    <mergeCell ref="A6:F7"/>
    <mergeCell ref="A5:I5"/>
    <mergeCell ref="A2:I2"/>
    <mergeCell ref="A3:I3"/>
    <mergeCell ref="A4:C4"/>
    <mergeCell ref="D4:F4"/>
    <mergeCell ref="G4:I4"/>
  </mergeCells>
  <conditionalFormatting sqref="N10:N509">
    <cfRule type="expression" dxfId="8" priority="2">
      <formula>LEN($N10)&gt;0</formula>
    </cfRule>
  </conditionalFormatting>
  <conditionalFormatting sqref="T10:T509">
    <cfRule type="expression" dxfId="7" priority="3">
      <formula>ISNUMBER(SEARCH("Revisar",$T10))</formula>
    </cfRule>
  </conditionalFormatting>
  <dataValidations count="5">
    <dataValidation type="list" sqref="A10:A509" xr:uid="{00000000-0002-0000-0600-000000000000}">
      <formula1>INDIRECT("'Processos'!A10:A509")</formula1>
    </dataValidation>
    <dataValidation type="date" sqref="J10:J509" xr:uid="{00000000-0002-0000-0600-000001000000}">
      <formula1>1</formula1>
      <formula2>100000</formula2>
    </dataValidation>
    <dataValidation type="decimal" operator="greaterThanOrEqual" sqref="B10:G509" xr:uid="{00000000-0002-0000-0600-000002000000}">
      <formula1>0</formula1>
    </dataValidation>
    <dataValidation type="decimal" sqref="H10:H509" xr:uid="{00000000-0002-0000-0600-000003000000}">
      <formula1>0</formula1>
      <formula2>1</formula2>
    </dataValidation>
    <dataValidation type="list" sqref="T10:T509" xr:uid="{00000000-0002-0000-0600-000004000000}">
      <formula1>"Sim,Revisar,Não"</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19A42"/>
  </sheetPr>
  <dimension ref="A1:L2009"/>
  <sheetViews>
    <sheetView showGridLines="0" workbookViewId="0">
      <pane xSplit="1" ySplit="9" topLeftCell="B10" activePane="bottomRight" state="frozen"/>
      <selection pane="topRight"/>
      <selection pane="bottomLeft"/>
      <selection pane="bottomRight" activeCell="B10" sqref="B10"/>
    </sheetView>
  </sheetViews>
  <sheetFormatPr defaultRowHeight="14.25"/>
  <cols>
    <col min="1" max="1" width="32" customWidth="1"/>
    <col min="2" max="2" width="17" customWidth="1"/>
    <col min="3" max="3" width="48" customWidth="1"/>
    <col min="4" max="4" width="24" customWidth="1"/>
    <col min="5" max="5" width="25" customWidth="1"/>
    <col min="6" max="6" width="40" customWidth="1"/>
    <col min="7" max="7" width="20" hidden="1" customWidth="1"/>
    <col min="8" max="8" width="46" hidden="1" customWidth="1"/>
    <col min="9" max="9" width="36" customWidth="1"/>
    <col min="10" max="10" width="20" hidden="1" customWidth="1"/>
    <col min="11" max="11" width="36" hidden="1" customWidth="1"/>
    <col min="12" max="12" width="0" hidden="1"/>
  </cols>
  <sheetData>
    <row r="1" spans="1:12" ht="23.1" customHeight="1">
      <c r="A1" s="6"/>
      <c r="B1" s="6"/>
      <c r="C1" s="6"/>
      <c r="D1" s="6"/>
      <c r="E1" s="6"/>
      <c r="F1" s="6"/>
      <c r="G1" s="6"/>
      <c r="H1" s="6"/>
      <c r="I1" s="6"/>
      <c r="J1" s="6"/>
      <c r="K1" s="6"/>
      <c r="L1" s="6"/>
    </row>
    <row r="2" spans="1:12" ht="33.950000000000003" customHeight="1">
      <c r="A2" s="53" t="s">
        <v>1280</v>
      </c>
      <c r="B2" s="53"/>
      <c r="C2" s="53"/>
      <c r="D2" s="53"/>
      <c r="E2" s="53"/>
      <c r="F2" s="53"/>
      <c r="G2" s="53"/>
      <c r="H2" s="53"/>
      <c r="I2" s="53"/>
      <c r="J2" s="6"/>
      <c r="K2" s="6"/>
      <c r="L2" s="6"/>
    </row>
    <row r="3" spans="1:12" ht="30" customHeight="1">
      <c r="A3" s="54" t="s">
        <v>1281</v>
      </c>
      <c r="B3" s="54"/>
      <c r="C3" s="54"/>
      <c r="D3" s="54"/>
      <c r="E3" s="54"/>
      <c r="F3" s="54"/>
      <c r="G3" s="54"/>
      <c r="H3" s="54"/>
      <c r="I3" s="54"/>
      <c r="J3" s="6"/>
      <c r="K3" s="6"/>
      <c r="L3" s="6"/>
    </row>
    <row r="4" spans="1:12" ht="27.95" customHeight="1">
      <c r="A4" s="78" t="str">
        <f>IFERROR(HYPERLINK("#'Painel'!A1","Painel"),"Painel")</f>
        <v>Painel</v>
      </c>
      <c r="B4" s="78"/>
      <c r="C4" s="78"/>
      <c r="D4" s="78" t="str">
        <f>IFERROR(HYPERLINK("#'Ficha'!C6","Ficha do processo"),"Ficha do processo")</f>
        <v>Ficha do processo</v>
      </c>
      <c r="E4" s="78"/>
      <c r="F4" s="78"/>
      <c r="G4" s="77" t="str">
        <f>IFERROR(HYPERLINK("#'Central IA'!C6","Atualizar com IA"),"Atualizar com IA")</f>
        <v>Atualizar com IA</v>
      </c>
      <c r="H4" s="77"/>
      <c r="I4" s="77"/>
      <c r="J4" s="6"/>
      <c r="K4" s="6"/>
      <c r="L4" s="6"/>
    </row>
    <row r="5" spans="1:12" ht="27" customHeight="1">
      <c r="A5" s="122" t="s">
        <v>108</v>
      </c>
      <c r="B5" s="122"/>
      <c r="C5" s="122"/>
      <c r="D5" s="122"/>
      <c r="E5" s="122"/>
      <c r="F5" s="122"/>
      <c r="G5" s="122"/>
      <c r="H5" s="122"/>
      <c r="I5" s="122"/>
      <c r="J5" s="6"/>
      <c r="K5" s="6"/>
      <c r="L5" s="6"/>
    </row>
    <row r="6" spans="1:12" ht="23.1" customHeight="1">
      <c r="A6" s="125" t="s">
        <v>1282</v>
      </c>
      <c r="B6" s="125"/>
      <c r="C6" s="125"/>
      <c r="D6" s="125"/>
      <c r="E6" s="125"/>
      <c r="F6" s="125"/>
      <c r="G6" s="6"/>
      <c r="H6" s="6"/>
      <c r="I6" s="6"/>
      <c r="J6" s="6"/>
      <c r="K6" s="6"/>
      <c r="L6" s="6"/>
    </row>
    <row r="7" spans="1:12" ht="23.1" customHeight="1">
      <c r="A7" s="125"/>
      <c r="B7" s="125"/>
      <c r="C7" s="125"/>
      <c r="D7" s="125"/>
      <c r="E7" s="125"/>
      <c r="F7" s="125"/>
      <c r="G7" s="6"/>
      <c r="H7" s="6"/>
      <c r="I7" s="6"/>
      <c r="J7" s="6"/>
      <c r="K7" s="6"/>
      <c r="L7" s="6"/>
    </row>
    <row r="8" spans="1:12" ht="23.1" customHeight="1">
      <c r="A8" s="6"/>
      <c r="B8" s="6"/>
      <c r="C8" s="6"/>
      <c r="D8" s="6"/>
      <c r="E8" s="6"/>
      <c r="F8" s="6"/>
      <c r="G8" s="6"/>
      <c r="H8" s="6"/>
      <c r="I8" s="6"/>
      <c r="J8" s="6"/>
      <c r="K8" s="6"/>
      <c r="L8" s="6"/>
    </row>
    <row r="9" spans="1:12" ht="42" customHeight="1">
      <c r="A9" s="46" t="s">
        <v>110</v>
      </c>
      <c r="B9" s="46" t="s">
        <v>1283</v>
      </c>
      <c r="C9" s="46" t="s">
        <v>1284</v>
      </c>
      <c r="D9" s="46" t="s">
        <v>1285</v>
      </c>
      <c r="E9" s="46" t="s">
        <v>1286</v>
      </c>
      <c r="F9" s="46" t="s">
        <v>127</v>
      </c>
      <c r="G9" s="46" t="s">
        <v>1287</v>
      </c>
      <c r="H9" s="46" t="s">
        <v>1288</v>
      </c>
      <c r="I9" s="46" t="s">
        <v>1289</v>
      </c>
      <c r="J9" s="46" t="s">
        <v>1100</v>
      </c>
      <c r="K9" s="46" t="s">
        <v>148</v>
      </c>
      <c r="L9" s="46" t="s">
        <v>1102</v>
      </c>
    </row>
    <row r="10" spans="1:12" ht="60" customHeight="1">
      <c r="A10" s="41" t="s">
        <v>160</v>
      </c>
      <c r="B10" s="43">
        <v>45189</v>
      </c>
      <c r="C10" s="44" t="s">
        <v>1290</v>
      </c>
      <c r="D10" s="51">
        <v>46055</v>
      </c>
      <c r="E10" s="44" t="s">
        <v>1291</v>
      </c>
      <c r="F10" s="44" t="s">
        <v>1292</v>
      </c>
      <c r="G10" s="34">
        <f t="shared" ref="G10:G73" si="0">IF(AND(J10&gt;0,OR(B10="",AND(ISNUMBER(B10),B10&gt;=1,B10&lt;=100000)),ISNUMBER(D10),D10&gt;=1,D10&lt;=100000,C10&lt;&gt;""),1,0)</f>
        <v>1</v>
      </c>
      <c r="H10" s="34" t="str">
        <f t="shared" ref="H10:H73" si="1">IF(G10=1,K10&amp;"|"&amp;D10,"")</f>
        <v>P:0000365-30.2017.5.14.0071|46055</v>
      </c>
      <c r="I10" s="52" t="str">
        <f t="shared" ref="I10:I73" si="2">IF(COUNTA(A10:F10)=0,"",IF(A10="","Selecione o processo",IF(J10=0,"Processo inexistente, duplicado ou número não textual",IF(B10="","Informe a data do andamento",IF(C10="","Descreva o andamento",IF(D10="","Informe a data e hora do recebimento",IF(OR(NOT(ISNUMBER(B10)),B10&lt;1,B10&gt;100000),"Revise a data do andamento",IF(OR(NOT(ISNUMBER(D10)),D10&lt;1,D10&gt;100000),"Revise a data e hora do recebimento",IF(COUNTIFS($K$10:$K$2009,"="&amp;SUBSTITUTE(SUBSTITUTE(SUBSTITUTE("P:"&amp;A10,"~","~~"),"*","~*"),"?","~?"),$D$10:$D$2009,D10,$G$10:$G$2009,1)&gt;1,"Recebimentos empatados: revise a hora ou consolide o registro","")))))))))</f>
        <v/>
      </c>
      <c r="J10" s="34">
        <f>IF(AND(A10&lt;&gt;"",ISTEXT(A10),COUNTIFS(Processos!$AS$10:$AS$509,"="&amp;SUBSTITUTE(SUBSTITUTE(SUBSTITUTE("P:"&amp;A10,"~","~~"),"*","~*"),"?","~?"))=1),(IF(ISNA(MATCH(SUBSTITUTE(SUBSTITUTE(SUBSTITUTE("P:"&amp;A10,"~","~~"),"*","~*"),"?","~?"),Processos!$AS$10:$AS$509,0)),9,INDEX(Processos!$AM$10:$AM$509,MATCH(SUBSTITUTE(SUBSTITUTE(SUBSTITUTE("P:"&amp;A10,"~","~~"),"*","~*"),"?","~?"),Processos!$AS$10:$AS$509,0)))-9),0)</f>
        <v>1</v>
      </c>
      <c r="K10" s="34" t="str">
        <f t="shared" ref="K10:K73" si="3">IF(AND(A10&lt;&gt;"",ISTEXT(A10)),"P:"&amp;A10,"")</f>
        <v>P:0000365-30.2017.5.14.0071</v>
      </c>
      <c r="L10" s="14">
        <f>ROW()</f>
        <v>10</v>
      </c>
    </row>
    <row r="11" spans="1:12" ht="60" customHeight="1">
      <c r="A11" s="41" t="s">
        <v>173</v>
      </c>
      <c r="B11" s="43">
        <v>45348</v>
      </c>
      <c r="C11" s="44" t="s">
        <v>1293</v>
      </c>
      <c r="D11" s="51">
        <v>45512</v>
      </c>
      <c r="E11" s="44" t="s">
        <v>1294</v>
      </c>
      <c r="F11" s="44" t="s">
        <v>1295</v>
      </c>
      <c r="G11" s="34">
        <f t="shared" si="0"/>
        <v>1</v>
      </c>
      <c r="H11" s="34" t="str">
        <f t="shared" si="1"/>
        <v>P:0010045-55.2019.5.18.0201|45512</v>
      </c>
      <c r="I11" s="52" t="str">
        <f t="shared" si="2"/>
        <v/>
      </c>
      <c r="J11" s="34">
        <f>IF(AND(A11&lt;&gt;"",ISTEXT(A11),COUNTIFS(Processos!$AS$10:$AS$509,"="&amp;SUBSTITUTE(SUBSTITUTE(SUBSTITUTE("P:"&amp;A11,"~","~~"),"*","~*"),"?","~?"))=1),(IF(ISNA(MATCH(SUBSTITUTE(SUBSTITUTE(SUBSTITUTE("P:"&amp;A11,"~","~~"),"*","~*"),"?","~?"),Processos!$AS$10:$AS$509,0)),9,INDEX(Processos!$AM$10:$AM$509,MATCH(SUBSTITUTE(SUBSTITUTE(SUBSTITUTE("P:"&amp;A11,"~","~~"),"*","~*"),"?","~?"),Processos!$AS$10:$AS$509,0)))-9),0)</f>
        <v>2</v>
      </c>
      <c r="K11" s="34" t="str">
        <f t="shared" si="3"/>
        <v>P:0010045-55.2019.5.18.0201</v>
      </c>
      <c r="L11" s="14">
        <f>ROW()</f>
        <v>11</v>
      </c>
    </row>
    <row r="12" spans="1:12" ht="60" customHeight="1">
      <c r="A12" s="41" t="s">
        <v>181</v>
      </c>
      <c r="B12" s="43">
        <v>45427</v>
      </c>
      <c r="C12" s="44" t="s">
        <v>1296</v>
      </c>
      <c r="D12" s="51">
        <v>45512</v>
      </c>
      <c r="E12" s="44" t="s">
        <v>1297</v>
      </c>
      <c r="F12" s="44" t="s">
        <v>1298</v>
      </c>
      <c r="G12" s="34">
        <f t="shared" si="0"/>
        <v>1</v>
      </c>
      <c r="H12" s="34" t="str">
        <f t="shared" si="1"/>
        <v>P:0011340-98.2017.5.18.0104|45512</v>
      </c>
      <c r="I12" s="52" t="str">
        <f t="shared" si="2"/>
        <v/>
      </c>
      <c r="J12" s="34">
        <f>IF(AND(A12&lt;&gt;"",ISTEXT(A12),COUNTIFS(Processos!$AS$10:$AS$509,"="&amp;SUBSTITUTE(SUBSTITUTE(SUBSTITUTE("P:"&amp;A12,"~","~~"),"*","~*"),"?","~?"))=1),(IF(ISNA(MATCH(SUBSTITUTE(SUBSTITUTE(SUBSTITUTE("P:"&amp;A12,"~","~~"),"*","~*"),"?","~?"),Processos!$AS$10:$AS$509,0)),9,INDEX(Processos!$AM$10:$AM$509,MATCH(SUBSTITUTE(SUBSTITUTE(SUBSTITUTE("P:"&amp;A12,"~","~~"),"*","~*"),"?","~?"),Processos!$AS$10:$AS$509,0)))-9),0)</f>
        <v>3</v>
      </c>
      <c r="K12" s="34" t="str">
        <f t="shared" si="3"/>
        <v>P:0011340-98.2017.5.18.0104</v>
      </c>
      <c r="L12" s="14">
        <f>ROW()</f>
        <v>12</v>
      </c>
    </row>
    <row r="13" spans="1:12" ht="60" customHeight="1">
      <c r="A13" s="41" t="s">
        <v>188</v>
      </c>
      <c r="B13" s="43">
        <v>45317</v>
      </c>
      <c r="C13" s="44" t="s">
        <v>1299</v>
      </c>
      <c r="D13" s="51">
        <v>45512</v>
      </c>
      <c r="E13" s="44" t="s">
        <v>1300</v>
      </c>
      <c r="F13" s="44" t="s">
        <v>1301</v>
      </c>
      <c r="G13" s="34">
        <f t="shared" si="0"/>
        <v>1</v>
      </c>
      <c r="H13" s="34" t="str">
        <f t="shared" si="1"/>
        <v>P:0010110-19.2020.5.18.0103 [BMM-004]|45512</v>
      </c>
      <c r="I13" s="52" t="str">
        <f t="shared" si="2"/>
        <v/>
      </c>
      <c r="J13" s="34">
        <f>IF(AND(A13&lt;&gt;"",ISTEXT(A13),COUNTIFS(Processos!$AS$10:$AS$509,"="&amp;SUBSTITUTE(SUBSTITUTE(SUBSTITUTE("P:"&amp;A13,"~","~~"),"*","~*"),"?","~?"))=1),(IF(ISNA(MATCH(SUBSTITUTE(SUBSTITUTE(SUBSTITUTE("P:"&amp;A13,"~","~~"),"*","~*"),"?","~?"),Processos!$AS$10:$AS$509,0)),9,INDEX(Processos!$AM$10:$AM$509,MATCH(SUBSTITUTE(SUBSTITUTE(SUBSTITUTE("P:"&amp;A13,"~","~~"),"*","~*"),"?","~?"),Processos!$AS$10:$AS$509,0)))-9),0)</f>
        <v>4</v>
      </c>
      <c r="K13" s="34" t="str">
        <f t="shared" si="3"/>
        <v>P:0010110-19.2020.5.18.0103 [BMM-004]</v>
      </c>
      <c r="L13" s="14">
        <f>ROW()</f>
        <v>13</v>
      </c>
    </row>
    <row r="14" spans="1:12" ht="60" customHeight="1">
      <c r="A14" s="41" t="s">
        <v>195</v>
      </c>
      <c r="B14" s="43">
        <v>45085</v>
      </c>
      <c r="C14" s="44" t="s">
        <v>1302</v>
      </c>
      <c r="D14" s="51">
        <v>45512</v>
      </c>
      <c r="E14" s="44" t="s">
        <v>1303</v>
      </c>
      <c r="F14" s="44" t="s">
        <v>1304</v>
      </c>
      <c r="G14" s="34">
        <f t="shared" si="0"/>
        <v>1</v>
      </c>
      <c r="H14" s="34" t="str">
        <f t="shared" si="1"/>
        <v>P:0010752-95.2020.5.18.0101|45512</v>
      </c>
      <c r="I14" s="52" t="str">
        <f t="shared" si="2"/>
        <v/>
      </c>
      <c r="J14" s="34">
        <f>IF(AND(A14&lt;&gt;"",ISTEXT(A14),COUNTIFS(Processos!$AS$10:$AS$509,"="&amp;SUBSTITUTE(SUBSTITUTE(SUBSTITUTE("P:"&amp;A14,"~","~~"),"*","~*"),"?","~?"))=1),(IF(ISNA(MATCH(SUBSTITUTE(SUBSTITUTE(SUBSTITUTE("P:"&amp;A14,"~","~~"),"*","~*"),"?","~?"),Processos!$AS$10:$AS$509,0)),9,INDEX(Processos!$AM$10:$AM$509,MATCH(SUBSTITUTE(SUBSTITUTE(SUBSTITUTE("P:"&amp;A14,"~","~~"),"*","~*"),"?","~?"),Processos!$AS$10:$AS$509,0)))-9),0)</f>
        <v>5</v>
      </c>
      <c r="K14" s="34" t="str">
        <f t="shared" si="3"/>
        <v>P:0010752-95.2020.5.18.0101</v>
      </c>
      <c r="L14" s="14">
        <f>ROW()</f>
        <v>14</v>
      </c>
    </row>
    <row r="15" spans="1:12" ht="60" customHeight="1">
      <c r="A15" s="41" t="s">
        <v>200</v>
      </c>
      <c r="B15" s="43">
        <v>45390</v>
      </c>
      <c r="C15" s="44" t="s">
        <v>1305</v>
      </c>
      <c r="D15" s="51">
        <v>45512</v>
      </c>
      <c r="E15" s="44" t="s">
        <v>1306</v>
      </c>
      <c r="F15" s="44" t="s">
        <v>1307</v>
      </c>
      <c r="G15" s="34">
        <f t="shared" si="0"/>
        <v>1</v>
      </c>
      <c r="H15" s="34" t="str">
        <f t="shared" si="1"/>
        <v>P:0010065-46.2019.5.18.0104|45512</v>
      </c>
      <c r="I15" s="52" t="str">
        <f t="shared" si="2"/>
        <v/>
      </c>
      <c r="J15" s="34">
        <f>IF(AND(A15&lt;&gt;"",ISTEXT(A15),COUNTIFS(Processos!$AS$10:$AS$509,"="&amp;SUBSTITUTE(SUBSTITUTE(SUBSTITUTE("P:"&amp;A15,"~","~~"),"*","~*"),"?","~?"))=1),(IF(ISNA(MATCH(SUBSTITUTE(SUBSTITUTE(SUBSTITUTE("P:"&amp;A15,"~","~~"),"*","~*"),"?","~?"),Processos!$AS$10:$AS$509,0)),9,INDEX(Processos!$AM$10:$AM$509,MATCH(SUBSTITUTE(SUBSTITUTE(SUBSTITUTE("P:"&amp;A15,"~","~~"),"*","~*"),"?","~?"),Processos!$AS$10:$AS$509,0)))-9),0)</f>
        <v>6</v>
      </c>
      <c r="K15" s="34" t="str">
        <f t="shared" si="3"/>
        <v>P:0010065-46.2019.5.18.0104</v>
      </c>
      <c r="L15" s="14">
        <f>ROW()</f>
        <v>15</v>
      </c>
    </row>
    <row r="16" spans="1:12" ht="60" customHeight="1">
      <c r="A16" s="41" t="s">
        <v>205</v>
      </c>
      <c r="B16" s="43">
        <v>45378</v>
      </c>
      <c r="C16" s="44" t="s">
        <v>1308</v>
      </c>
      <c r="D16" s="51">
        <v>45512</v>
      </c>
      <c r="E16" s="44" t="s">
        <v>1309</v>
      </c>
      <c r="F16" s="44" t="s">
        <v>1310</v>
      </c>
      <c r="G16" s="34">
        <f t="shared" si="0"/>
        <v>1</v>
      </c>
      <c r="H16" s="34" t="str">
        <f t="shared" si="1"/>
        <v>P:0011079-71.2019.5.18.0102|45512</v>
      </c>
      <c r="I16" s="52" t="str">
        <f t="shared" si="2"/>
        <v/>
      </c>
      <c r="J16" s="34">
        <f>IF(AND(A16&lt;&gt;"",ISTEXT(A16),COUNTIFS(Processos!$AS$10:$AS$509,"="&amp;SUBSTITUTE(SUBSTITUTE(SUBSTITUTE("P:"&amp;A16,"~","~~"),"*","~*"),"?","~?"))=1),(IF(ISNA(MATCH(SUBSTITUTE(SUBSTITUTE(SUBSTITUTE("P:"&amp;A16,"~","~~"),"*","~*"),"?","~?"),Processos!$AS$10:$AS$509,0)),9,INDEX(Processos!$AM$10:$AM$509,MATCH(SUBSTITUTE(SUBSTITUTE(SUBSTITUTE("P:"&amp;A16,"~","~~"),"*","~*"),"?","~?"),Processos!$AS$10:$AS$509,0)))-9),0)</f>
        <v>7</v>
      </c>
      <c r="K16" s="34" t="str">
        <f t="shared" si="3"/>
        <v>P:0011079-71.2019.5.18.0102</v>
      </c>
      <c r="L16" s="14">
        <f>ROW()</f>
        <v>16</v>
      </c>
    </row>
    <row r="17" spans="1:12" ht="60" customHeight="1">
      <c r="A17" s="41" t="s">
        <v>212</v>
      </c>
      <c r="B17" s="43">
        <v>45324</v>
      </c>
      <c r="C17" s="44" t="s">
        <v>1311</v>
      </c>
      <c r="D17" s="51">
        <v>45512</v>
      </c>
      <c r="E17" s="44" t="s">
        <v>1312</v>
      </c>
      <c r="F17" s="44" t="s">
        <v>1313</v>
      </c>
      <c r="G17" s="34">
        <f t="shared" si="0"/>
        <v>1</v>
      </c>
      <c r="H17" s="34" t="str">
        <f t="shared" si="1"/>
        <v>P:0010968-84.2019.5.18.0103 [BMM-008]|45512</v>
      </c>
      <c r="I17" s="52" t="str">
        <f t="shared" si="2"/>
        <v/>
      </c>
      <c r="J17" s="34">
        <f>IF(AND(A17&lt;&gt;"",ISTEXT(A17),COUNTIFS(Processos!$AS$10:$AS$509,"="&amp;SUBSTITUTE(SUBSTITUTE(SUBSTITUTE("P:"&amp;A17,"~","~~"),"*","~*"),"?","~?"))=1),(IF(ISNA(MATCH(SUBSTITUTE(SUBSTITUTE(SUBSTITUTE("P:"&amp;A17,"~","~~"),"*","~*"),"?","~?"),Processos!$AS$10:$AS$509,0)),9,INDEX(Processos!$AM$10:$AM$509,MATCH(SUBSTITUTE(SUBSTITUTE(SUBSTITUTE("P:"&amp;A17,"~","~~"),"*","~*"),"?","~?"),Processos!$AS$10:$AS$509,0)))-9),0)</f>
        <v>8</v>
      </c>
      <c r="K17" s="34" t="str">
        <f t="shared" si="3"/>
        <v>P:0010968-84.2019.5.18.0103 [BMM-008]</v>
      </c>
      <c r="L17" s="14">
        <f>ROW()</f>
        <v>17</v>
      </c>
    </row>
    <row r="18" spans="1:12" ht="60" customHeight="1">
      <c r="A18" s="41" t="s">
        <v>218</v>
      </c>
      <c r="B18" s="43">
        <v>45391</v>
      </c>
      <c r="C18" s="44" t="s">
        <v>1314</v>
      </c>
      <c r="D18" s="51">
        <v>45512</v>
      </c>
      <c r="E18" s="44" t="s">
        <v>1315</v>
      </c>
      <c r="F18" s="44" t="s">
        <v>1316</v>
      </c>
      <c r="G18" s="34">
        <f t="shared" si="0"/>
        <v>1</v>
      </c>
      <c r="H18" s="34" t="str">
        <f t="shared" si="1"/>
        <v>P:0010160-08.2021.5.18.0201|45512</v>
      </c>
      <c r="I18" s="52" t="str">
        <f t="shared" si="2"/>
        <v/>
      </c>
      <c r="J18" s="34">
        <f>IF(AND(A18&lt;&gt;"",ISTEXT(A18),COUNTIFS(Processos!$AS$10:$AS$509,"="&amp;SUBSTITUTE(SUBSTITUTE(SUBSTITUTE("P:"&amp;A18,"~","~~"),"*","~*"),"?","~?"))=1),(IF(ISNA(MATCH(SUBSTITUTE(SUBSTITUTE(SUBSTITUTE("P:"&amp;A18,"~","~~"),"*","~*"),"?","~?"),Processos!$AS$10:$AS$509,0)),9,INDEX(Processos!$AM$10:$AM$509,MATCH(SUBSTITUTE(SUBSTITUTE(SUBSTITUTE("P:"&amp;A18,"~","~~"),"*","~*"),"?","~?"),Processos!$AS$10:$AS$509,0)))-9),0)</f>
        <v>9</v>
      </c>
      <c r="K18" s="34" t="str">
        <f t="shared" si="3"/>
        <v>P:0010160-08.2021.5.18.0201</v>
      </c>
      <c r="L18" s="14">
        <f>ROW()</f>
        <v>18</v>
      </c>
    </row>
    <row r="19" spans="1:12" ht="60" customHeight="1">
      <c r="A19" s="41" t="s">
        <v>223</v>
      </c>
      <c r="B19" s="43"/>
      <c r="C19" s="44" t="s">
        <v>1317</v>
      </c>
      <c r="D19" s="51">
        <v>45512</v>
      </c>
      <c r="E19" s="44" t="s">
        <v>1318</v>
      </c>
      <c r="F19" s="44" t="s">
        <v>1319</v>
      </c>
      <c r="G19" s="34">
        <f t="shared" si="0"/>
        <v>1</v>
      </c>
      <c r="H19" s="34" t="str">
        <f t="shared" si="1"/>
        <v>P:0000972-59.2016.5.08.0131|45512</v>
      </c>
      <c r="I19" s="52" t="str">
        <f t="shared" si="2"/>
        <v>Informe a data do andamento</v>
      </c>
      <c r="J19" s="34">
        <f>IF(AND(A19&lt;&gt;"",ISTEXT(A19),COUNTIFS(Processos!$AS$10:$AS$509,"="&amp;SUBSTITUTE(SUBSTITUTE(SUBSTITUTE("P:"&amp;A19,"~","~~"),"*","~*"),"?","~?"))=1),(IF(ISNA(MATCH(SUBSTITUTE(SUBSTITUTE(SUBSTITUTE("P:"&amp;A19,"~","~~"),"*","~*"),"?","~?"),Processos!$AS$10:$AS$509,0)),9,INDEX(Processos!$AM$10:$AM$509,MATCH(SUBSTITUTE(SUBSTITUTE(SUBSTITUTE("P:"&amp;A19,"~","~~"),"*","~*"),"?","~?"),Processos!$AS$10:$AS$509,0)))-9),0)</f>
        <v>10</v>
      </c>
      <c r="K19" s="34" t="str">
        <f t="shared" si="3"/>
        <v>P:0000972-59.2016.5.08.0131</v>
      </c>
      <c r="L19" s="14">
        <f>ROW()</f>
        <v>19</v>
      </c>
    </row>
    <row r="20" spans="1:12" ht="60" customHeight="1">
      <c r="A20" s="41" t="s">
        <v>230</v>
      </c>
      <c r="B20" s="43">
        <v>45251</v>
      </c>
      <c r="C20" s="44" t="s">
        <v>1320</v>
      </c>
      <c r="D20" s="51">
        <v>45512</v>
      </c>
      <c r="E20" s="44" t="s">
        <v>1321</v>
      </c>
      <c r="F20" s="44" t="s">
        <v>1322</v>
      </c>
      <c r="G20" s="34">
        <f t="shared" si="0"/>
        <v>1</v>
      </c>
      <c r="H20" s="34" t="str">
        <f t="shared" si="1"/>
        <v>P:0001354-49.2013.5.05.0581|45512</v>
      </c>
      <c r="I20" s="52" t="str">
        <f t="shared" si="2"/>
        <v/>
      </c>
      <c r="J20" s="34">
        <f>IF(AND(A20&lt;&gt;"",ISTEXT(A20),COUNTIFS(Processos!$AS$10:$AS$509,"="&amp;SUBSTITUTE(SUBSTITUTE(SUBSTITUTE("P:"&amp;A20,"~","~~"),"*","~*"),"?","~?"))=1),(IF(ISNA(MATCH(SUBSTITUTE(SUBSTITUTE(SUBSTITUTE("P:"&amp;A20,"~","~~"),"*","~*"),"?","~?"),Processos!$AS$10:$AS$509,0)),9,INDEX(Processos!$AM$10:$AM$509,MATCH(SUBSTITUTE(SUBSTITUTE(SUBSTITUTE("P:"&amp;A20,"~","~~"),"*","~*"),"?","~?"),Processos!$AS$10:$AS$509,0)))-9),0)</f>
        <v>11</v>
      </c>
      <c r="K20" s="34" t="str">
        <f t="shared" si="3"/>
        <v>P:0001354-49.2013.5.05.0581</v>
      </c>
      <c r="L20" s="14">
        <f>ROW()</f>
        <v>20</v>
      </c>
    </row>
    <row r="21" spans="1:12" ht="60" customHeight="1">
      <c r="A21" s="41" t="s">
        <v>237</v>
      </c>
      <c r="B21" s="43">
        <v>45814</v>
      </c>
      <c r="C21" s="44" t="s">
        <v>1323</v>
      </c>
      <c r="D21" s="51">
        <v>46093</v>
      </c>
      <c r="E21" s="44" t="s">
        <v>1324</v>
      </c>
      <c r="F21" s="44" t="s">
        <v>1325</v>
      </c>
      <c r="G21" s="34">
        <f t="shared" si="0"/>
        <v>1</v>
      </c>
      <c r="H21" s="34" t="str">
        <f t="shared" si="1"/>
        <v>P:5179003-70.2022.8.09.0149|46093</v>
      </c>
      <c r="I21" s="52" t="str">
        <f t="shared" si="2"/>
        <v/>
      </c>
      <c r="J21" s="34">
        <f>IF(AND(A21&lt;&gt;"",ISTEXT(A21),COUNTIFS(Processos!$AS$10:$AS$509,"="&amp;SUBSTITUTE(SUBSTITUTE(SUBSTITUTE("P:"&amp;A21,"~","~~"),"*","~*"),"?","~?"))=1),(IF(ISNA(MATCH(SUBSTITUTE(SUBSTITUTE(SUBSTITUTE("P:"&amp;A21,"~","~~"),"*","~*"),"?","~?"),Processos!$AS$10:$AS$509,0)),9,INDEX(Processos!$AM$10:$AM$509,MATCH(SUBSTITUTE(SUBSTITUTE(SUBSTITUTE("P:"&amp;A21,"~","~~"),"*","~*"),"?","~?"),Processos!$AS$10:$AS$509,0)))-9),0)</f>
        <v>12</v>
      </c>
      <c r="K21" s="34" t="str">
        <f t="shared" si="3"/>
        <v>P:5179003-70.2022.8.09.0149</v>
      </c>
      <c r="L21" s="14">
        <f>ROW()</f>
        <v>21</v>
      </c>
    </row>
    <row r="22" spans="1:12" ht="60" customHeight="1">
      <c r="A22" s="41" t="s">
        <v>247</v>
      </c>
      <c r="B22" s="43">
        <v>45856</v>
      </c>
      <c r="C22" s="44" t="s">
        <v>1326</v>
      </c>
      <c r="D22" s="51">
        <v>46093</v>
      </c>
      <c r="E22" s="44" t="s">
        <v>1327</v>
      </c>
      <c r="F22" s="44" t="s">
        <v>1328</v>
      </c>
      <c r="G22" s="34">
        <f t="shared" si="0"/>
        <v>1</v>
      </c>
      <c r="H22" s="34" t="str">
        <f t="shared" si="1"/>
        <v>P:5200111-92.2021.8.09.0149|46093</v>
      </c>
      <c r="I22" s="52" t="str">
        <f t="shared" si="2"/>
        <v/>
      </c>
      <c r="J22" s="34">
        <f>IF(AND(A22&lt;&gt;"",ISTEXT(A22),COUNTIFS(Processos!$AS$10:$AS$509,"="&amp;SUBSTITUTE(SUBSTITUTE(SUBSTITUTE("P:"&amp;A22,"~","~~"),"*","~*"),"?","~?"))=1),(IF(ISNA(MATCH(SUBSTITUTE(SUBSTITUTE(SUBSTITUTE("P:"&amp;A22,"~","~~"),"*","~*"),"?","~?"),Processos!$AS$10:$AS$509,0)),9,INDEX(Processos!$AM$10:$AM$509,MATCH(SUBSTITUTE(SUBSTITUTE(SUBSTITUTE("P:"&amp;A22,"~","~~"),"*","~*"),"?","~?"),Processos!$AS$10:$AS$509,0)))-9),0)</f>
        <v>13</v>
      </c>
      <c r="K22" s="34" t="str">
        <f t="shared" si="3"/>
        <v>P:5200111-92.2021.8.09.0149</v>
      </c>
      <c r="L22" s="14">
        <f>ROW()</f>
        <v>22</v>
      </c>
    </row>
    <row r="23" spans="1:12" ht="60" customHeight="1">
      <c r="A23" s="41" t="s">
        <v>251</v>
      </c>
      <c r="B23" s="43"/>
      <c r="C23" s="44" t="s">
        <v>1329</v>
      </c>
      <c r="D23" s="51">
        <v>45554</v>
      </c>
      <c r="E23" s="44" t="s">
        <v>1330</v>
      </c>
      <c r="F23" s="44" t="s">
        <v>1331</v>
      </c>
      <c r="G23" s="34">
        <f t="shared" si="0"/>
        <v>1</v>
      </c>
      <c r="H23" s="34" t="str">
        <f t="shared" si="1"/>
        <v>P:0766105-29.2022.8.07.0016|45554</v>
      </c>
      <c r="I23" s="52" t="str">
        <f t="shared" si="2"/>
        <v>Informe a data do andamento</v>
      </c>
      <c r="J23" s="34">
        <f>IF(AND(A23&lt;&gt;"",ISTEXT(A23),COUNTIFS(Processos!$AS$10:$AS$509,"="&amp;SUBSTITUTE(SUBSTITUTE(SUBSTITUTE("P:"&amp;A23,"~","~~"),"*","~*"),"?","~?"))=1),(IF(ISNA(MATCH(SUBSTITUTE(SUBSTITUTE(SUBSTITUTE("P:"&amp;A23,"~","~~"),"*","~*"),"?","~?"),Processos!$AS$10:$AS$509,0)),9,INDEX(Processos!$AM$10:$AM$509,MATCH(SUBSTITUTE(SUBSTITUTE(SUBSTITUTE("P:"&amp;A23,"~","~~"),"*","~*"),"?","~?"),Processos!$AS$10:$AS$509,0)))-9),0)</f>
        <v>14</v>
      </c>
      <c r="K23" s="34" t="str">
        <f t="shared" si="3"/>
        <v>P:0766105-29.2022.8.07.0016</v>
      </c>
      <c r="L23" s="14">
        <f>ROW()</f>
        <v>23</v>
      </c>
    </row>
    <row r="24" spans="1:12" ht="60" customHeight="1">
      <c r="A24" s="41" t="s">
        <v>263</v>
      </c>
      <c r="B24" s="43"/>
      <c r="C24" s="44" t="s">
        <v>1332</v>
      </c>
      <c r="D24" s="51">
        <v>46052</v>
      </c>
      <c r="E24" s="44" t="s">
        <v>1333</v>
      </c>
      <c r="F24" s="44" t="s">
        <v>1334</v>
      </c>
      <c r="G24" s="34">
        <f t="shared" si="0"/>
        <v>1</v>
      </c>
      <c r="H24" s="34" t="str">
        <f t="shared" si="1"/>
        <v>P:0766128-72.2022.8.07.0016|46052</v>
      </c>
      <c r="I24" s="52" t="str">
        <f t="shared" si="2"/>
        <v>Informe a data do andamento</v>
      </c>
      <c r="J24" s="34">
        <f>IF(AND(A24&lt;&gt;"",ISTEXT(A24),COUNTIFS(Processos!$AS$10:$AS$509,"="&amp;SUBSTITUTE(SUBSTITUTE(SUBSTITUTE("P:"&amp;A24,"~","~~"),"*","~*"),"?","~?"))=1),(IF(ISNA(MATCH(SUBSTITUTE(SUBSTITUTE(SUBSTITUTE("P:"&amp;A24,"~","~~"),"*","~*"),"?","~?"),Processos!$AS$10:$AS$509,0)),9,INDEX(Processos!$AM$10:$AM$509,MATCH(SUBSTITUTE(SUBSTITUTE(SUBSTITUTE("P:"&amp;A24,"~","~~"),"*","~*"),"?","~?"),Processos!$AS$10:$AS$509,0)))-9),0)</f>
        <v>15</v>
      </c>
      <c r="K24" s="34" t="str">
        <f t="shared" si="3"/>
        <v>P:0766128-72.2022.8.07.0016</v>
      </c>
      <c r="L24" s="14">
        <f>ROW()</f>
        <v>24</v>
      </c>
    </row>
    <row r="25" spans="1:12" ht="60" customHeight="1">
      <c r="A25" s="41" t="s">
        <v>268</v>
      </c>
      <c r="B25" s="43">
        <v>45317</v>
      </c>
      <c r="C25" s="44" t="s">
        <v>1299</v>
      </c>
      <c r="D25" s="51">
        <v>46093</v>
      </c>
      <c r="E25" s="44" t="s">
        <v>1335</v>
      </c>
      <c r="F25" s="44" t="s">
        <v>1336</v>
      </c>
      <c r="G25" s="34">
        <f t="shared" si="0"/>
        <v>1</v>
      </c>
      <c r="H25" s="34" t="str">
        <f t="shared" si="1"/>
        <v>P:0010110-19.2020.5.18.0103 [BMM-016]|46093</v>
      </c>
      <c r="I25" s="52" t="str">
        <f t="shared" si="2"/>
        <v/>
      </c>
      <c r="J25" s="34">
        <f>IF(AND(A25&lt;&gt;"",ISTEXT(A25),COUNTIFS(Processos!$AS$10:$AS$509,"="&amp;SUBSTITUTE(SUBSTITUTE(SUBSTITUTE("P:"&amp;A25,"~","~~"),"*","~*"),"?","~?"))=1),(IF(ISNA(MATCH(SUBSTITUTE(SUBSTITUTE(SUBSTITUTE("P:"&amp;A25,"~","~~"),"*","~*"),"?","~?"),Processos!$AS$10:$AS$509,0)),9,INDEX(Processos!$AM$10:$AM$509,MATCH(SUBSTITUTE(SUBSTITUTE(SUBSTITUTE("P:"&amp;A25,"~","~~"),"*","~*"),"?","~?"),Processos!$AS$10:$AS$509,0)))-9),0)</f>
        <v>16</v>
      </c>
      <c r="K25" s="34" t="str">
        <f t="shared" si="3"/>
        <v>P:0010110-19.2020.5.18.0103 [BMM-016]</v>
      </c>
      <c r="L25" s="14">
        <f>ROW()</f>
        <v>25</v>
      </c>
    </row>
    <row r="26" spans="1:12" ht="60" customHeight="1">
      <c r="A26" s="41" t="s">
        <v>273</v>
      </c>
      <c r="B26" s="43"/>
      <c r="C26" s="44" t="s">
        <v>1337</v>
      </c>
      <c r="D26" s="51">
        <v>46052</v>
      </c>
      <c r="E26" s="44" t="s">
        <v>1338</v>
      </c>
      <c r="F26" s="44" t="s">
        <v>1339</v>
      </c>
      <c r="G26" s="34">
        <f t="shared" si="0"/>
        <v>1</v>
      </c>
      <c r="H26" s="34" t="str">
        <f t="shared" si="1"/>
        <v>P:5116564-98.2018.8.09.0137 [BMM-017]|46052</v>
      </c>
      <c r="I26" s="52" t="str">
        <f t="shared" si="2"/>
        <v>Informe a data do andamento</v>
      </c>
      <c r="J26" s="34">
        <f>IF(AND(A26&lt;&gt;"",ISTEXT(A26),COUNTIFS(Processos!$AS$10:$AS$509,"="&amp;SUBSTITUTE(SUBSTITUTE(SUBSTITUTE("P:"&amp;A26,"~","~~"),"*","~*"),"?","~?"))=1),(IF(ISNA(MATCH(SUBSTITUTE(SUBSTITUTE(SUBSTITUTE("P:"&amp;A26,"~","~~"),"*","~*"),"?","~?"),Processos!$AS$10:$AS$509,0)),9,INDEX(Processos!$AM$10:$AM$509,MATCH(SUBSTITUTE(SUBSTITUTE(SUBSTITUTE("P:"&amp;A26,"~","~~"),"*","~*"),"?","~?"),Processos!$AS$10:$AS$509,0)))-9),0)</f>
        <v>17</v>
      </c>
      <c r="K26" s="34" t="str">
        <f t="shared" si="3"/>
        <v>P:5116564-98.2018.8.09.0137 [BMM-017]</v>
      </c>
      <c r="L26" s="14">
        <f>ROW()</f>
        <v>26</v>
      </c>
    </row>
    <row r="27" spans="1:12" ht="60" customHeight="1">
      <c r="A27" s="41" t="s">
        <v>281</v>
      </c>
      <c r="B27" s="43">
        <v>46037</v>
      </c>
      <c r="C27" s="44" t="s">
        <v>1340</v>
      </c>
      <c r="D27" s="51">
        <v>46055</v>
      </c>
      <c r="E27" s="44" t="s">
        <v>1341</v>
      </c>
      <c r="F27" s="44" t="s">
        <v>1342</v>
      </c>
      <c r="G27" s="34">
        <f t="shared" si="0"/>
        <v>1</v>
      </c>
      <c r="H27" s="34" t="str">
        <f t="shared" si="1"/>
        <v>P:0010551-59.2023.5.18.0211|46055</v>
      </c>
      <c r="I27" s="52" t="str">
        <f t="shared" si="2"/>
        <v/>
      </c>
      <c r="J27" s="34">
        <f>IF(AND(A27&lt;&gt;"",ISTEXT(A27),COUNTIFS(Processos!$AS$10:$AS$509,"="&amp;SUBSTITUTE(SUBSTITUTE(SUBSTITUTE("P:"&amp;A27,"~","~~"),"*","~*"),"?","~?"))=1),(IF(ISNA(MATCH(SUBSTITUTE(SUBSTITUTE(SUBSTITUTE("P:"&amp;A27,"~","~~"),"*","~*"),"?","~?"),Processos!$AS$10:$AS$509,0)),9,INDEX(Processos!$AM$10:$AM$509,MATCH(SUBSTITUTE(SUBSTITUTE(SUBSTITUTE("P:"&amp;A27,"~","~~"),"*","~*"),"?","~?"),Processos!$AS$10:$AS$509,0)))-9),0)</f>
        <v>18</v>
      </c>
      <c r="K27" s="34" t="str">
        <f t="shared" si="3"/>
        <v>P:0010551-59.2023.5.18.0211</v>
      </c>
      <c r="L27" s="14">
        <f>ROW()</f>
        <v>27</v>
      </c>
    </row>
    <row r="28" spans="1:12" ht="60" customHeight="1">
      <c r="A28" s="41" t="s">
        <v>288</v>
      </c>
      <c r="B28" s="43">
        <v>45988</v>
      </c>
      <c r="C28" s="44" t="s">
        <v>1343</v>
      </c>
      <c r="D28" s="51">
        <v>46055</v>
      </c>
      <c r="E28" s="44" t="s">
        <v>1344</v>
      </c>
      <c r="F28" s="44" t="s">
        <v>1345</v>
      </c>
      <c r="G28" s="34">
        <f t="shared" si="0"/>
        <v>1</v>
      </c>
      <c r="H28" s="34" t="str">
        <f t="shared" si="1"/>
        <v>P:0010458-96.2023.5.18.0211|46055</v>
      </c>
      <c r="I28" s="52" t="str">
        <f t="shared" si="2"/>
        <v/>
      </c>
      <c r="J28" s="34">
        <f>IF(AND(A28&lt;&gt;"",ISTEXT(A28),COUNTIFS(Processos!$AS$10:$AS$509,"="&amp;SUBSTITUTE(SUBSTITUTE(SUBSTITUTE("P:"&amp;A28,"~","~~"),"*","~*"),"?","~?"))=1),(IF(ISNA(MATCH(SUBSTITUTE(SUBSTITUTE(SUBSTITUTE("P:"&amp;A28,"~","~~"),"*","~*"),"?","~?"),Processos!$AS$10:$AS$509,0)),9,INDEX(Processos!$AM$10:$AM$509,MATCH(SUBSTITUTE(SUBSTITUTE(SUBSTITUTE("P:"&amp;A28,"~","~~"),"*","~*"),"?","~?"),Processos!$AS$10:$AS$509,0)))-9),0)</f>
        <v>19</v>
      </c>
      <c r="K28" s="34" t="str">
        <f t="shared" si="3"/>
        <v>P:0010458-96.2023.5.18.0211</v>
      </c>
      <c r="L28" s="14">
        <f>ROW()</f>
        <v>28</v>
      </c>
    </row>
    <row r="29" spans="1:12" ht="60" customHeight="1">
      <c r="A29" s="41" t="s">
        <v>292</v>
      </c>
      <c r="B29" s="43">
        <v>45951</v>
      </c>
      <c r="C29" s="44" t="s">
        <v>1346</v>
      </c>
      <c r="D29" s="51">
        <v>46055</v>
      </c>
      <c r="E29" s="44" t="s">
        <v>1347</v>
      </c>
      <c r="F29" s="44" t="s">
        <v>1348</v>
      </c>
      <c r="G29" s="34">
        <f t="shared" si="0"/>
        <v>1</v>
      </c>
      <c r="H29" s="34" t="str">
        <f t="shared" si="1"/>
        <v>P:0059400-23.2014.5.17.0141|46055</v>
      </c>
      <c r="I29" s="52" t="str">
        <f t="shared" si="2"/>
        <v/>
      </c>
      <c r="J29" s="34">
        <f>IF(AND(A29&lt;&gt;"",ISTEXT(A29),COUNTIFS(Processos!$AS$10:$AS$509,"="&amp;SUBSTITUTE(SUBSTITUTE(SUBSTITUTE("P:"&amp;A29,"~","~~"),"*","~*"),"?","~?"))=1),(IF(ISNA(MATCH(SUBSTITUTE(SUBSTITUTE(SUBSTITUTE("P:"&amp;A29,"~","~~"),"*","~*"),"?","~?"),Processos!$AS$10:$AS$509,0)),9,INDEX(Processos!$AM$10:$AM$509,MATCH(SUBSTITUTE(SUBSTITUTE(SUBSTITUTE("P:"&amp;A29,"~","~~"),"*","~*"),"?","~?"),Processos!$AS$10:$AS$509,0)))-9),0)</f>
        <v>20</v>
      </c>
      <c r="K29" s="34" t="str">
        <f t="shared" si="3"/>
        <v>P:0059400-23.2014.5.17.0141</v>
      </c>
      <c r="L29" s="14">
        <f>ROW()</f>
        <v>29</v>
      </c>
    </row>
    <row r="30" spans="1:12" ht="60" customHeight="1">
      <c r="A30" s="41" t="s">
        <v>299</v>
      </c>
      <c r="B30" s="43">
        <v>45964</v>
      </c>
      <c r="C30" s="44" t="s">
        <v>1349</v>
      </c>
      <c r="D30" s="51">
        <v>46052</v>
      </c>
      <c r="E30" s="44" t="s">
        <v>1350</v>
      </c>
      <c r="F30" s="44" t="s">
        <v>1351</v>
      </c>
      <c r="G30" s="34">
        <f t="shared" si="0"/>
        <v>1</v>
      </c>
      <c r="H30" s="34" t="str">
        <f t="shared" si="1"/>
        <v>P:5119575-46.2016.8.13.0024|46052</v>
      </c>
      <c r="I30" s="52" t="str">
        <f t="shared" si="2"/>
        <v/>
      </c>
      <c r="J30" s="34">
        <f>IF(AND(A30&lt;&gt;"",ISTEXT(A30),COUNTIFS(Processos!$AS$10:$AS$509,"="&amp;SUBSTITUTE(SUBSTITUTE(SUBSTITUTE("P:"&amp;A30,"~","~~"),"*","~*"),"?","~?"))=1),(IF(ISNA(MATCH(SUBSTITUTE(SUBSTITUTE(SUBSTITUTE("P:"&amp;A30,"~","~~"),"*","~*"),"?","~?"),Processos!$AS$10:$AS$509,0)),9,INDEX(Processos!$AM$10:$AM$509,MATCH(SUBSTITUTE(SUBSTITUTE(SUBSTITUTE("P:"&amp;A30,"~","~~"),"*","~*"),"?","~?"),Processos!$AS$10:$AS$509,0)))-9),0)</f>
        <v>21</v>
      </c>
      <c r="K30" s="34" t="str">
        <f t="shared" si="3"/>
        <v>P:5119575-46.2016.8.13.0024</v>
      </c>
      <c r="L30" s="14">
        <f>ROW()</f>
        <v>30</v>
      </c>
    </row>
    <row r="31" spans="1:12" ht="60" customHeight="1">
      <c r="A31" s="41" t="s">
        <v>307</v>
      </c>
      <c r="B31" s="43">
        <v>45950</v>
      </c>
      <c r="C31" s="44" t="s">
        <v>1352</v>
      </c>
      <c r="D31" s="51">
        <v>46052</v>
      </c>
      <c r="E31" s="44" t="s">
        <v>1353</v>
      </c>
      <c r="F31" s="44" t="s">
        <v>1354</v>
      </c>
      <c r="G31" s="34">
        <f t="shared" si="0"/>
        <v>1</v>
      </c>
      <c r="H31" s="34" t="str">
        <f t="shared" si="1"/>
        <v>P:0052185-74.2016.8.09.0051|46052</v>
      </c>
      <c r="I31" s="52" t="str">
        <f t="shared" si="2"/>
        <v/>
      </c>
      <c r="J31" s="34">
        <f>IF(AND(A31&lt;&gt;"",ISTEXT(A31),COUNTIFS(Processos!$AS$10:$AS$509,"="&amp;SUBSTITUTE(SUBSTITUTE(SUBSTITUTE("P:"&amp;A31,"~","~~"),"*","~*"),"?","~?"))=1),(IF(ISNA(MATCH(SUBSTITUTE(SUBSTITUTE(SUBSTITUTE("P:"&amp;A31,"~","~~"),"*","~*"),"?","~?"),Processos!$AS$10:$AS$509,0)),9,INDEX(Processos!$AM$10:$AM$509,MATCH(SUBSTITUTE(SUBSTITUTE(SUBSTITUTE("P:"&amp;A31,"~","~~"),"*","~*"),"?","~?"),Processos!$AS$10:$AS$509,0)))-9),0)</f>
        <v>22</v>
      </c>
      <c r="K31" s="34" t="str">
        <f t="shared" si="3"/>
        <v>P:0052185-74.2016.8.09.0051</v>
      </c>
      <c r="L31" s="14">
        <f>ROW()</f>
        <v>31</v>
      </c>
    </row>
    <row r="32" spans="1:12" ht="60" customHeight="1">
      <c r="A32" s="41" t="s">
        <v>315</v>
      </c>
      <c r="B32" s="43">
        <v>45938</v>
      </c>
      <c r="C32" s="44" t="s">
        <v>1355</v>
      </c>
      <c r="D32" s="51">
        <v>45840</v>
      </c>
      <c r="E32" s="44" t="s">
        <v>1356</v>
      </c>
      <c r="F32" s="44" t="s">
        <v>1357</v>
      </c>
      <c r="G32" s="34">
        <f t="shared" si="0"/>
        <v>1</v>
      </c>
      <c r="H32" s="34" t="str">
        <f t="shared" si="1"/>
        <v>P:5131188-29.2017.8.13.0024|45840</v>
      </c>
      <c r="I32" s="52" t="str">
        <f t="shared" si="2"/>
        <v/>
      </c>
      <c r="J32" s="34">
        <f>IF(AND(A32&lt;&gt;"",ISTEXT(A32),COUNTIFS(Processos!$AS$10:$AS$509,"="&amp;SUBSTITUTE(SUBSTITUTE(SUBSTITUTE("P:"&amp;A32,"~","~~"),"*","~*"),"?","~?"))=1),(IF(ISNA(MATCH(SUBSTITUTE(SUBSTITUTE(SUBSTITUTE("P:"&amp;A32,"~","~~"),"*","~*"),"?","~?"),Processos!$AS$10:$AS$509,0)),9,INDEX(Processos!$AM$10:$AM$509,MATCH(SUBSTITUTE(SUBSTITUTE(SUBSTITUTE("P:"&amp;A32,"~","~~"),"*","~*"),"?","~?"),Processos!$AS$10:$AS$509,0)))-9),0)</f>
        <v>23</v>
      </c>
      <c r="K32" s="34" t="str">
        <f t="shared" si="3"/>
        <v>P:5131188-29.2017.8.13.0024</v>
      </c>
      <c r="L32" s="14">
        <f>ROW()</f>
        <v>32</v>
      </c>
    </row>
    <row r="33" spans="1:12" ht="60" customHeight="1">
      <c r="A33" s="41" t="s">
        <v>321</v>
      </c>
      <c r="B33" s="43"/>
      <c r="C33" s="44" t="s">
        <v>1358</v>
      </c>
      <c r="D33" s="51">
        <v>45562</v>
      </c>
      <c r="E33" s="44" t="s">
        <v>1359</v>
      </c>
      <c r="F33" s="44" t="s">
        <v>1360</v>
      </c>
      <c r="G33" s="34">
        <f t="shared" si="0"/>
        <v>1</v>
      </c>
      <c r="H33" s="34" t="str">
        <f t="shared" si="1"/>
        <v>P:5071968-32.2019.8.13.0024|45562</v>
      </c>
      <c r="I33" s="52" t="str">
        <f t="shared" si="2"/>
        <v>Informe a data do andamento</v>
      </c>
      <c r="J33" s="34">
        <f>IF(AND(A33&lt;&gt;"",ISTEXT(A33),COUNTIFS(Processos!$AS$10:$AS$509,"="&amp;SUBSTITUTE(SUBSTITUTE(SUBSTITUTE("P:"&amp;A33,"~","~~"),"*","~*"),"?","~?"))=1),(IF(ISNA(MATCH(SUBSTITUTE(SUBSTITUTE(SUBSTITUTE("P:"&amp;A33,"~","~~"),"*","~*"),"?","~?"),Processos!$AS$10:$AS$509,0)),9,INDEX(Processos!$AM$10:$AM$509,MATCH(SUBSTITUTE(SUBSTITUTE(SUBSTITUTE("P:"&amp;A33,"~","~~"),"*","~*"),"?","~?"),Processos!$AS$10:$AS$509,0)))-9),0)</f>
        <v>24</v>
      </c>
      <c r="K33" s="34" t="str">
        <f t="shared" si="3"/>
        <v>P:5071968-32.2019.8.13.0024</v>
      </c>
      <c r="L33" s="14">
        <f>ROW()</f>
        <v>33</v>
      </c>
    </row>
    <row r="34" spans="1:12" ht="60" customHeight="1">
      <c r="A34" s="41" t="s">
        <v>327</v>
      </c>
      <c r="B34" s="43">
        <v>45090</v>
      </c>
      <c r="C34" s="44" t="s">
        <v>1361</v>
      </c>
      <c r="D34" s="51">
        <v>46052</v>
      </c>
      <c r="E34" s="44" t="s">
        <v>1362</v>
      </c>
      <c r="F34" s="44" t="s">
        <v>1363</v>
      </c>
      <c r="G34" s="34">
        <f t="shared" si="0"/>
        <v>1</v>
      </c>
      <c r="H34" s="34" t="str">
        <f t="shared" si="1"/>
        <v>P:5321924-94.2018.8.09.0051|46052</v>
      </c>
      <c r="I34" s="52" t="str">
        <f t="shared" si="2"/>
        <v/>
      </c>
      <c r="J34" s="34">
        <f>IF(AND(A34&lt;&gt;"",ISTEXT(A34),COUNTIFS(Processos!$AS$10:$AS$509,"="&amp;SUBSTITUTE(SUBSTITUTE(SUBSTITUTE("P:"&amp;A34,"~","~~"),"*","~*"),"?","~?"))=1),(IF(ISNA(MATCH(SUBSTITUTE(SUBSTITUTE(SUBSTITUTE("P:"&amp;A34,"~","~~"),"*","~*"),"?","~?"),Processos!$AS$10:$AS$509,0)),9,INDEX(Processos!$AM$10:$AM$509,MATCH(SUBSTITUTE(SUBSTITUTE(SUBSTITUTE("P:"&amp;A34,"~","~~"),"*","~*"),"?","~?"),Processos!$AS$10:$AS$509,0)))-9),0)</f>
        <v>25</v>
      </c>
      <c r="K34" s="34" t="str">
        <f t="shared" si="3"/>
        <v>P:5321924-94.2018.8.09.0051</v>
      </c>
      <c r="L34" s="14">
        <f>ROW()</f>
        <v>34</v>
      </c>
    </row>
    <row r="35" spans="1:12" ht="60" customHeight="1">
      <c r="A35" s="41" t="s">
        <v>334</v>
      </c>
      <c r="B35" s="43">
        <v>45261</v>
      </c>
      <c r="C35" s="44" t="s">
        <v>1364</v>
      </c>
      <c r="D35" s="51">
        <v>46073</v>
      </c>
      <c r="E35" s="44" t="s">
        <v>1365</v>
      </c>
      <c r="F35" s="44" t="s">
        <v>1366</v>
      </c>
      <c r="G35" s="34">
        <f t="shared" si="0"/>
        <v>1</v>
      </c>
      <c r="H35" s="34" t="str">
        <f t="shared" si="1"/>
        <v>P:5475775-26.2017.8.09.0137|46073</v>
      </c>
      <c r="I35" s="52" t="str">
        <f t="shared" si="2"/>
        <v/>
      </c>
      <c r="J35" s="34">
        <f>IF(AND(A35&lt;&gt;"",ISTEXT(A35),COUNTIFS(Processos!$AS$10:$AS$509,"="&amp;SUBSTITUTE(SUBSTITUTE(SUBSTITUTE("P:"&amp;A35,"~","~~"),"*","~*"),"?","~?"))=1),(IF(ISNA(MATCH(SUBSTITUTE(SUBSTITUTE(SUBSTITUTE("P:"&amp;A35,"~","~~"),"*","~*"),"?","~?"),Processos!$AS$10:$AS$509,0)),9,INDEX(Processos!$AM$10:$AM$509,MATCH(SUBSTITUTE(SUBSTITUTE(SUBSTITUTE("P:"&amp;A35,"~","~~"),"*","~*"),"?","~?"),Processos!$AS$10:$AS$509,0)))-9),0)</f>
        <v>26</v>
      </c>
      <c r="K35" s="34" t="str">
        <f t="shared" si="3"/>
        <v>P:5475775-26.2017.8.09.0137</v>
      </c>
      <c r="L35" s="14">
        <f>ROW()</f>
        <v>35</v>
      </c>
    </row>
    <row r="36" spans="1:12" ht="60" customHeight="1">
      <c r="A36" s="41" t="s">
        <v>340</v>
      </c>
      <c r="B36" s="43">
        <v>45152</v>
      </c>
      <c r="C36" s="44" t="s">
        <v>1367</v>
      </c>
      <c r="D36" s="51">
        <v>45548</v>
      </c>
      <c r="E36" s="44" t="s">
        <v>1368</v>
      </c>
      <c r="F36" s="44" t="s">
        <v>1369</v>
      </c>
      <c r="G36" s="34">
        <f t="shared" si="0"/>
        <v>1</v>
      </c>
      <c r="H36" s="34" t="str">
        <f t="shared" si="1"/>
        <v>P:5116564-98.2018.8.09.0137 [BMM-027]|45548</v>
      </c>
      <c r="I36" s="52" t="str">
        <f t="shared" si="2"/>
        <v/>
      </c>
      <c r="J36" s="34">
        <f>IF(AND(A36&lt;&gt;"",ISTEXT(A36),COUNTIFS(Processos!$AS$10:$AS$509,"="&amp;SUBSTITUTE(SUBSTITUTE(SUBSTITUTE("P:"&amp;A36,"~","~~"),"*","~*"),"?","~?"))=1),(IF(ISNA(MATCH(SUBSTITUTE(SUBSTITUTE(SUBSTITUTE("P:"&amp;A36,"~","~~"),"*","~*"),"?","~?"),Processos!$AS$10:$AS$509,0)),9,INDEX(Processos!$AM$10:$AM$509,MATCH(SUBSTITUTE(SUBSTITUTE(SUBSTITUTE("P:"&amp;A36,"~","~~"),"*","~*"),"?","~?"),Processos!$AS$10:$AS$509,0)))-9),0)</f>
        <v>27</v>
      </c>
      <c r="K36" s="34" t="str">
        <f t="shared" si="3"/>
        <v>P:5116564-98.2018.8.09.0137 [BMM-027]</v>
      </c>
      <c r="L36" s="14">
        <f>ROW()</f>
        <v>36</v>
      </c>
    </row>
    <row r="37" spans="1:12" ht="60" customHeight="1">
      <c r="A37" s="41" t="s">
        <v>345</v>
      </c>
      <c r="B37" s="43">
        <v>45898</v>
      </c>
      <c r="C37" s="44" t="s">
        <v>1370</v>
      </c>
      <c r="D37" s="51">
        <v>46093</v>
      </c>
      <c r="E37" s="44" t="s">
        <v>1371</v>
      </c>
      <c r="F37" s="44" t="s">
        <v>1372</v>
      </c>
      <c r="G37" s="34">
        <f t="shared" si="0"/>
        <v>1</v>
      </c>
      <c r="H37" s="34" t="str">
        <f t="shared" si="1"/>
        <v>P:5173200-24.2018.8.13.0024|46093</v>
      </c>
      <c r="I37" s="52" t="str">
        <f t="shared" si="2"/>
        <v/>
      </c>
      <c r="J37" s="34">
        <f>IF(AND(A37&lt;&gt;"",ISTEXT(A37),COUNTIFS(Processos!$AS$10:$AS$509,"="&amp;SUBSTITUTE(SUBSTITUTE(SUBSTITUTE("P:"&amp;A37,"~","~~"),"*","~*"),"?","~?"))=1),(IF(ISNA(MATCH(SUBSTITUTE(SUBSTITUTE(SUBSTITUTE("P:"&amp;A37,"~","~~"),"*","~*"),"?","~?"),Processos!$AS$10:$AS$509,0)),9,INDEX(Processos!$AM$10:$AM$509,MATCH(SUBSTITUTE(SUBSTITUTE(SUBSTITUTE("P:"&amp;A37,"~","~~"),"*","~*"),"?","~?"),Processos!$AS$10:$AS$509,0)))-9),0)</f>
        <v>28</v>
      </c>
      <c r="K37" s="34" t="str">
        <f t="shared" si="3"/>
        <v>P:5173200-24.2018.8.13.0024</v>
      </c>
      <c r="L37" s="14">
        <f>ROW()</f>
        <v>37</v>
      </c>
    </row>
    <row r="38" spans="1:12" ht="60" customHeight="1">
      <c r="A38" s="41" t="s">
        <v>352</v>
      </c>
      <c r="B38" s="43"/>
      <c r="C38" s="44" t="s">
        <v>1373</v>
      </c>
      <c r="D38" s="51">
        <v>45763</v>
      </c>
      <c r="E38" s="44" t="s">
        <v>1374</v>
      </c>
      <c r="F38" s="44" t="s">
        <v>1375</v>
      </c>
      <c r="G38" s="34">
        <f t="shared" si="0"/>
        <v>1</v>
      </c>
      <c r="H38" s="34" t="str">
        <f t="shared" si="1"/>
        <v>P:5028530-58.2016.8.13.0024|45763</v>
      </c>
      <c r="I38" s="52" t="str">
        <f t="shared" si="2"/>
        <v>Informe a data do andamento</v>
      </c>
      <c r="J38" s="34">
        <f>IF(AND(A38&lt;&gt;"",ISTEXT(A38),COUNTIFS(Processos!$AS$10:$AS$509,"="&amp;SUBSTITUTE(SUBSTITUTE(SUBSTITUTE("P:"&amp;A38,"~","~~"),"*","~*"),"?","~?"))=1),(IF(ISNA(MATCH(SUBSTITUTE(SUBSTITUTE(SUBSTITUTE("P:"&amp;A38,"~","~~"),"*","~*"),"?","~?"),Processos!$AS$10:$AS$509,0)),9,INDEX(Processos!$AM$10:$AM$509,MATCH(SUBSTITUTE(SUBSTITUTE(SUBSTITUTE("P:"&amp;A38,"~","~~"),"*","~*"),"?","~?"),Processos!$AS$10:$AS$509,0)))-9),0)</f>
        <v>29</v>
      </c>
      <c r="K38" s="34" t="str">
        <f t="shared" si="3"/>
        <v>P:5028530-58.2016.8.13.0024</v>
      </c>
      <c r="L38" s="14">
        <f>ROW()</f>
        <v>38</v>
      </c>
    </row>
    <row r="39" spans="1:12" ht="60" customHeight="1">
      <c r="A39" s="41" t="s">
        <v>358</v>
      </c>
      <c r="B39" s="43"/>
      <c r="C39" s="44" t="s">
        <v>1376</v>
      </c>
      <c r="D39" s="51">
        <v>45229</v>
      </c>
      <c r="E39" s="44" t="s">
        <v>1377</v>
      </c>
      <c r="F39" s="44" t="s">
        <v>1378</v>
      </c>
      <c r="G39" s="34">
        <f t="shared" si="0"/>
        <v>1</v>
      </c>
      <c r="H39" s="34" t="str">
        <f t="shared" si="1"/>
        <v>P:5144250-31.2019.8.09.0137|45229</v>
      </c>
      <c r="I39" s="52" t="str">
        <f t="shared" si="2"/>
        <v>Informe a data do andamento</v>
      </c>
      <c r="J39" s="34">
        <f>IF(AND(A39&lt;&gt;"",ISTEXT(A39),COUNTIFS(Processos!$AS$10:$AS$509,"="&amp;SUBSTITUTE(SUBSTITUTE(SUBSTITUTE("P:"&amp;A39,"~","~~"),"*","~*"),"?","~?"))=1),(IF(ISNA(MATCH(SUBSTITUTE(SUBSTITUTE(SUBSTITUTE("P:"&amp;A39,"~","~~"),"*","~*"),"?","~?"),Processos!$AS$10:$AS$509,0)),9,INDEX(Processos!$AM$10:$AM$509,MATCH(SUBSTITUTE(SUBSTITUTE(SUBSTITUTE("P:"&amp;A39,"~","~~"),"*","~*"),"?","~?"),Processos!$AS$10:$AS$509,0)))-9),0)</f>
        <v>30</v>
      </c>
      <c r="K39" s="34" t="str">
        <f t="shared" si="3"/>
        <v>P:5144250-31.2019.8.09.0137</v>
      </c>
      <c r="L39" s="14">
        <f>ROW()</f>
        <v>39</v>
      </c>
    </row>
    <row r="40" spans="1:12" ht="60" customHeight="1">
      <c r="A40" s="41" t="s">
        <v>363</v>
      </c>
      <c r="B40" s="43">
        <v>46029</v>
      </c>
      <c r="C40" s="44" t="s">
        <v>1379</v>
      </c>
      <c r="D40" s="51">
        <v>46029</v>
      </c>
      <c r="E40" s="44" t="s">
        <v>1380</v>
      </c>
      <c r="F40" s="44" t="s">
        <v>1381</v>
      </c>
      <c r="G40" s="34">
        <f t="shared" si="0"/>
        <v>1</v>
      </c>
      <c r="H40" s="34" t="str">
        <f t="shared" si="1"/>
        <v>P:5116378-75.2018.8.09.0137|46029</v>
      </c>
      <c r="I40" s="52" t="str">
        <f t="shared" si="2"/>
        <v/>
      </c>
      <c r="J40" s="34">
        <f>IF(AND(A40&lt;&gt;"",ISTEXT(A40),COUNTIFS(Processos!$AS$10:$AS$509,"="&amp;SUBSTITUTE(SUBSTITUTE(SUBSTITUTE("P:"&amp;A40,"~","~~"),"*","~*"),"?","~?"))=1),(IF(ISNA(MATCH(SUBSTITUTE(SUBSTITUTE(SUBSTITUTE("P:"&amp;A40,"~","~~"),"*","~*"),"?","~?"),Processos!$AS$10:$AS$509,0)),9,INDEX(Processos!$AM$10:$AM$509,MATCH(SUBSTITUTE(SUBSTITUTE(SUBSTITUTE("P:"&amp;A40,"~","~~"),"*","~*"),"?","~?"),Processos!$AS$10:$AS$509,0)))-9),0)</f>
        <v>31</v>
      </c>
      <c r="K40" s="34" t="str">
        <f t="shared" si="3"/>
        <v>P:5116378-75.2018.8.09.0137</v>
      </c>
      <c r="L40" s="14">
        <f>ROW()</f>
        <v>40</v>
      </c>
    </row>
    <row r="41" spans="1:12" ht="60" customHeight="1">
      <c r="A41" s="41" t="s">
        <v>369</v>
      </c>
      <c r="B41" s="43">
        <v>46055</v>
      </c>
      <c r="C41" s="44" t="s">
        <v>1382</v>
      </c>
      <c r="D41" s="51">
        <v>46052</v>
      </c>
      <c r="E41" s="44" t="s">
        <v>1383</v>
      </c>
      <c r="F41" s="44" t="s">
        <v>1384</v>
      </c>
      <c r="G41" s="34">
        <f t="shared" si="0"/>
        <v>1</v>
      </c>
      <c r="H41" s="34" t="str">
        <f t="shared" si="1"/>
        <v>P:0001353-64.2013.5.05.0581|46052</v>
      </c>
      <c r="I41" s="52" t="str">
        <f t="shared" si="2"/>
        <v/>
      </c>
      <c r="J41" s="34">
        <f>IF(AND(A41&lt;&gt;"",ISTEXT(A41),COUNTIFS(Processos!$AS$10:$AS$509,"="&amp;SUBSTITUTE(SUBSTITUTE(SUBSTITUTE("P:"&amp;A41,"~","~~"),"*","~*"),"?","~?"))=1),(IF(ISNA(MATCH(SUBSTITUTE(SUBSTITUTE(SUBSTITUTE("P:"&amp;A41,"~","~~"),"*","~*"),"?","~?"),Processos!$AS$10:$AS$509,0)),9,INDEX(Processos!$AM$10:$AM$509,MATCH(SUBSTITUTE(SUBSTITUTE(SUBSTITUTE("P:"&amp;A41,"~","~~"),"*","~*"),"?","~?"),Processos!$AS$10:$AS$509,0)))-9),0)</f>
        <v>32</v>
      </c>
      <c r="K41" s="34" t="str">
        <f t="shared" si="3"/>
        <v>P:0001353-64.2013.5.05.0581</v>
      </c>
      <c r="L41" s="14">
        <f>ROW()</f>
        <v>41</v>
      </c>
    </row>
    <row r="42" spans="1:12" ht="60" customHeight="1">
      <c r="A42" s="41" t="s">
        <v>373</v>
      </c>
      <c r="B42" s="43">
        <v>45316</v>
      </c>
      <c r="C42" s="44" t="s">
        <v>1385</v>
      </c>
      <c r="D42" s="51">
        <v>46052</v>
      </c>
      <c r="E42" s="44" t="s">
        <v>1386</v>
      </c>
      <c r="F42" s="44" t="s">
        <v>1387</v>
      </c>
      <c r="G42" s="34">
        <f t="shared" si="0"/>
        <v>1</v>
      </c>
      <c r="H42" s="34" t="str">
        <f t="shared" si="1"/>
        <v>P:0010565-52.2018.5.18.0103|46052</v>
      </c>
      <c r="I42" s="52" t="str">
        <f t="shared" si="2"/>
        <v/>
      </c>
      <c r="J42" s="34">
        <f>IF(AND(A42&lt;&gt;"",ISTEXT(A42),COUNTIFS(Processos!$AS$10:$AS$509,"="&amp;SUBSTITUTE(SUBSTITUTE(SUBSTITUTE("P:"&amp;A42,"~","~~"),"*","~*"),"?","~?"))=1),(IF(ISNA(MATCH(SUBSTITUTE(SUBSTITUTE(SUBSTITUTE("P:"&amp;A42,"~","~~"),"*","~*"),"?","~?"),Processos!$AS$10:$AS$509,0)),9,INDEX(Processos!$AM$10:$AM$509,MATCH(SUBSTITUTE(SUBSTITUTE(SUBSTITUTE("P:"&amp;A42,"~","~~"),"*","~*"),"?","~?"),Processos!$AS$10:$AS$509,0)))-9),0)</f>
        <v>33</v>
      </c>
      <c r="K42" s="34" t="str">
        <f t="shared" si="3"/>
        <v>P:0010565-52.2018.5.18.0103</v>
      </c>
      <c r="L42" s="14">
        <f>ROW()</f>
        <v>42</v>
      </c>
    </row>
    <row r="43" spans="1:12" ht="60" customHeight="1">
      <c r="A43" s="41" t="s">
        <v>381</v>
      </c>
      <c r="B43" s="43">
        <v>45322</v>
      </c>
      <c r="C43" s="44" t="s">
        <v>1388</v>
      </c>
      <c r="D43" s="51">
        <v>46052</v>
      </c>
      <c r="E43" s="44" t="s">
        <v>1389</v>
      </c>
      <c r="F43" s="44" t="s">
        <v>1390</v>
      </c>
      <c r="G43" s="34">
        <f t="shared" si="0"/>
        <v>1</v>
      </c>
      <c r="H43" s="34" t="str">
        <f t="shared" si="1"/>
        <v>P:0019397-14.2017.5.16.0023|46052</v>
      </c>
      <c r="I43" s="52" t="str">
        <f t="shared" si="2"/>
        <v/>
      </c>
      <c r="J43" s="34">
        <f>IF(AND(A43&lt;&gt;"",ISTEXT(A43),COUNTIFS(Processos!$AS$10:$AS$509,"="&amp;SUBSTITUTE(SUBSTITUTE(SUBSTITUTE("P:"&amp;A43,"~","~~"),"*","~*"),"?","~?"))=1),(IF(ISNA(MATCH(SUBSTITUTE(SUBSTITUTE(SUBSTITUTE("P:"&amp;A43,"~","~~"),"*","~*"),"?","~?"),Processos!$AS$10:$AS$509,0)),9,INDEX(Processos!$AM$10:$AM$509,MATCH(SUBSTITUTE(SUBSTITUTE(SUBSTITUTE("P:"&amp;A43,"~","~~"),"*","~*"),"?","~?"),Processos!$AS$10:$AS$509,0)))-9),0)</f>
        <v>34</v>
      </c>
      <c r="K43" s="34" t="str">
        <f t="shared" si="3"/>
        <v>P:0019397-14.2017.5.16.0023</v>
      </c>
      <c r="L43" s="14">
        <f>ROW()</f>
        <v>43</v>
      </c>
    </row>
    <row r="44" spans="1:12" ht="60" customHeight="1">
      <c r="A44" s="41" t="s">
        <v>387</v>
      </c>
      <c r="B44" s="43">
        <v>46077</v>
      </c>
      <c r="C44" s="44" t="s">
        <v>1391</v>
      </c>
      <c r="D44" s="51">
        <v>46094</v>
      </c>
      <c r="E44" s="44" t="s">
        <v>1392</v>
      </c>
      <c r="F44" s="44" t="s">
        <v>1393</v>
      </c>
      <c r="G44" s="34">
        <f t="shared" si="0"/>
        <v>1</v>
      </c>
      <c r="H44" s="34" t="str">
        <f t="shared" si="1"/>
        <v>P:0010754-56.2020.5.18.0104|46094</v>
      </c>
      <c r="I44" s="52" t="str">
        <f t="shared" si="2"/>
        <v/>
      </c>
      <c r="J44" s="34">
        <f>IF(AND(A44&lt;&gt;"",ISTEXT(A44),COUNTIFS(Processos!$AS$10:$AS$509,"="&amp;SUBSTITUTE(SUBSTITUTE(SUBSTITUTE("P:"&amp;A44,"~","~~"),"*","~*"),"?","~?"))=1),(IF(ISNA(MATCH(SUBSTITUTE(SUBSTITUTE(SUBSTITUTE("P:"&amp;A44,"~","~~"),"*","~*"),"?","~?"),Processos!$AS$10:$AS$509,0)),9,INDEX(Processos!$AM$10:$AM$509,MATCH(SUBSTITUTE(SUBSTITUTE(SUBSTITUTE("P:"&amp;A44,"~","~~"),"*","~*"),"?","~?"),Processos!$AS$10:$AS$509,0)))-9),0)</f>
        <v>35</v>
      </c>
      <c r="K44" s="34" t="str">
        <f t="shared" si="3"/>
        <v>P:0010754-56.2020.5.18.0104</v>
      </c>
      <c r="L44" s="14">
        <f>ROW()</f>
        <v>44</v>
      </c>
    </row>
    <row r="45" spans="1:12" ht="60" customHeight="1">
      <c r="A45" s="41" t="s">
        <v>393</v>
      </c>
      <c r="B45" s="43">
        <v>45482</v>
      </c>
      <c r="C45" s="44" t="s">
        <v>1394</v>
      </c>
      <c r="D45" s="51">
        <v>45512</v>
      </c>
      <c r="E45" s="44" t="s">
        <v>1395</v>
      </c>
      <c r="F45" s="44" t="s">
        <v>1396</v>
      </c>
      <c r="G45" s="34">
        <f t="shared" si="0"/>
        <v>1</v>
      </c>
      <c r="H45" s="34" t="str">
        <f t="shared" si="1"/>
        <v>P:0010481-51.2018.5.18.0103|45512</v>
      </c>
      <c r="I45" s="52" t="str">
        <f t="shared" si="2"/>
        <v/>
      </c>
      <c r="J45" s="34">
        <f>IF(AND(A45&lt;&gt;"",ISTEXT(A45),COUNTIFS(Processos!$AS$10:$AS$509,"="&amp;SUBSTITUTE(SUBSTITUTE(SUBSTITUTE("P:"&amp;A45,"~","~~"),"*","~*"),"?","~?"))=1),(IF(ISNA(MATCH(SUBSTITUTE(SUBSTITUTE(SUBSTITUTE("P:"&amp;A45,"~","~~"),"*","~*"),"?","~?"),Processos!$AS$10:$AS$509,0)),9,INDEX(Processos!$AM$10:$AM$509,MATCH(SUBSTITUTE(SUBSTITUTE(SUBSTITUTE("P:"&amp;A45,"~","~~"),"*","~*"),"?","~?"),Processos!$AS$10:$AS$509,0)))-9),0)</f>
        <v>36</v>
      </c>
      <c r="K45" s="34" t="str">
        <f t="shared" si="3"/>
        <v>P:0010481-51.2018.5.18.0103</v>
      </c>
      <c r="L45" s="14">
        <f>ROW()</f>
        <v>45</v>
      </c>
    </row>
    <row r="46" spans="1:12" ht="60" customHeight="1">
      <c r="A46" s="41" t="s">
        <v>398</v>
      </c>
      <c r="B46" s="43">
        <v>45643</v>
      </c>
      <c r="C46" s="44" t="s">
        <v>1397</v>
      </c>
      <c r="D46" s="51">
        <v>45653</v>
      </c>
      <c r="E46" s="44" t="s">
        <v>1398</v>
      </c>
      <c r="F46" s="44" t="s">
        <v>1399</v>
      </c>
      <c r="G46" s="34">
        <f t="shared" si="0"/>
        <v>1</v>
      </c>
      <c r="H46" s="34" t="str">
        <f t="shared" si="1"/>
        <v>P:0010795-91.2018.5.18.0104|45653</v>
      </c>
      <c r="I46" s="52" t="str">
        <f t="shared" si="2"/>
        <v/>
      </c>
      <c r="J46" s="34">
        <f>IF(AND(A46&lt;&gt;"",ISTEXT(A46),COUNTIFS(Processos!$AS$10:$AS$509,"="&amp;SUBSTITUTE(SUBSTITUTE(SUBSTITUTE("P:"&amp;A46,"~","~~"),"*","~*"),"?","~?"))=1),(IF(ISNA(MATCH(SUBSTITUTE(SUBSTITUTE(SUBSTITUTE("P:"&amp;A46,"~","~~"),"*","~*"),"?","~?"),Processos!$AS$10:$AS$509,0)),9,INDEX(Processos!$AM$10:$AM$509,MATCH(SUBSTITUTE(SUBSTITUTE(SUBSTITUTE("P:"&amp;A46,"~","~~"),"*","~*"),"?","~?"),Processos!$AS$10:$AS$509,0)))-9),0)</f>
        <v>37</v>
      </c>
      <c r="K46" s="34" t="str">
        <f t="shared" si="3"/>
        <v>P:0010795-91.2018.5.18.0104</v>
      </c>
      <c r="L46" s="14">
        <f>ROW()</f>
        <v>46</v>
      </c>
    </row>
    <row r="47" spans="1:12" ht="60" customHeight="1">
      <c r="A47" s="41" t="s">
        <v>404</v>
      </c>
      <c r="B47" s="43">
        <v>45958</v>
      </c>
      <c r="C47" s="44" t="s">
        <v>1400</v>
      </c>
      <c r="D47" s="51">
        <v>46055</v>
      </c>
      <c r="E47" s="44" t="s">
        <v>1401</v>
      </c>
      <c r="F47" s="44" t="s">
        <v>1402</v>
      </c>
      <c r="G47" s="34">
        <f t="shared" si="0"/>
        <v>1</v>
      </c>
      <c r="H47" s="34" t="str">
        <f t="shared" si="1"/>
        <v>P:0010860-95.2018.5.18.0101|46055</v>
      </c>
      <c r="I47" s="52" t="str">
        <f t="shared" si="2"/>
        <v/>
      </c>
      <c r="J47" s="34">
        <f>IF(AND(A47&lt;&gt;"",ISTEXT(A47),COUNTIFS(Processos!$AS$10:$AS$509,"="&amp;SUBSTITUTE(SUBSTITUTE(SUBSTITUTE("P:"&amp;A47,"~","~~"),"*","~*"),"?","~?"))=1),(IF(ISNA(MATCH(SUBSTITUTE(SUBSTITUTE(SUBSTITUTE("P:"&amp;A47,"~","~~"),"*","~*"),"?","~?"),Processos!$AS$10:$AS$509,0)),9,INDEX(Processos!$AM$10:$AM$509,MATCH(SUBSTITUTE(SUBSTITUTE(SUBSTITUTE("P:"&amp;A47,"~","~~"),"*","~*"),"?","~?"),Processos!$AS$10:$AS$509,0)))-9),0)</f>
        <v>38</v>
      </c>
      <c r="K47" s="34" t="str">
        <f t="shared" si="3"/>
        <v>P:0010860-95.2018.5.18.0101</v>
      </c>
      <c r="L47" s="14">
        <f>ROW()</f>
        <v>47</v>
      </c>
    </row>
    <row r="48" spans="1:12" ht="60" customHeight="1">
      <c r="A48" s="41" t="s">
        <v>411</v>
      </c>
      <c r="B48" s="43">
        <v>45154</v>
      </c>
      <c r="C48" s="44" t="s">
        <v>1403</v>
      </c>
      <c r="D48" s="51">
        <v>46055</v>
      </c>
      <c r="E48" s="44" t="s">
        <v>1404</v>
      </c>
      <c r="F48" s="44" t="s">
        <v>1405</v>
      </c>
      <c r="G48" s="34">
        <f t="shared" si="0"/>
        <v>1</v>
      </c>
      <c r="H48" s="34" t="str">
        <f t="shared" si="1"/>
        <v>P:0010941-35.2018.5.18.0104 [BMM-039]|46055</v>
      </c>
      <c r="I48" s="52" t="str">
        <f t="shared" si="2"/>
        <v/>
      </c>
      <c r="J48" s="34">
        <f>IF(AND(A48&lt;&gt;"",ISTEXT(A48),COUNTIFS(Processos!$AS$10:$AS$509,"="&amp;SUBSTITUTE(SUBSTITUTE(SUBSTITUTE("P:"&amp;A48,"~","~~"),"*","~*"),"?","~?"))=1),(IF(ISNA(MATCH(SUBSTITUTE(SUBSTITUTE(SUBSTITUTE("P:"&amp;A48,"~","~~"),"*","~*"),"?","~?"),Processos!$AS$10:$AS$509,0)),9,INDEX(Processos!$AM$10:$AM$509,MATCH(SUBSTITUTE(SUBSTITUTE(SUBSTITUTE("P:"&amp;A48,"~","~~"),"*","~*"),"?","~?"),Processos!$AS$10:$AS$509,0)))-9),0)</f>
        <v>39</v>
      </c>
      <c r="K48" s="34" t="str">
        <f t="shared" si="3"/>
        <v>P:0010941-35.2018.5.18.0104 [BMM-039]</v>
      </c>
      <c r="L48" s="14">
        <f>ROW()</f>
        <v>48</v>
      </c>
    </row>
    <row r="49" spans="1:12" ht="60" customHeight="1">
      <c r="A49" s="41" t="s">
        <v>418</v>
      </c>
      <c r="B49" s="43">
        <v>45476</v>
      </c>
      <c r="C49" s="44" t="s">
        <v>1406</v>
      </c>
      <c r="D49" s="51">
        <v>45653</v>
      </c>
      <c r="E49" s="44" t="s">
        <v>1407</v>
      </c>
      <c r="F49" s="44" t="s">
        <v>1408</v>
      </c>
      <c r="G49" s="34">
        <f t="shared" si="0"/>
        <v>1</v>
      </c>
      <c r="H49" s="34" t="str">
        <f t="shared" si="1"/>
        <v>P:0016188-50.2020.5.16.0017|45653</v>
      </c>
      <c r="I49" s="52" t="str">
        <f t="shared" si="2"/>
        <v/>
      </c>
      <c r="J49" s="34">
        <f>IF(AND(A49&lt;&gt;"",ISTEXT(A49),COUNTIFS(Processos!$AS$10:$AS$509,"="&amp;SUBSTITUTE(SUBSTITUTE(SUBSTITUTE("P:"&amp;A49,"~","~~"),"*","~*"),"?","~?"))=1),(IF(ISNA(MATCH(SUBSTITUTE(SUBSTITUTE(SUBSTITUTE("P:"&amp;A49,"~","~~"),"*","~*"),"?","~?"),Processos!$AS$10:$AS$509,0)),9,INDEX(Processos!$AM$10:$AM$509,MATCH(SUBSTITUTE(SUBSTITUTE(SUBSTITUTE("P:"&amp;A49,"~","~~"),"*","~*"),"?","~?"),Processos!$AS$10:$AS$509,0)))-9),0)</f>
        <v>40</v>
      </c>
      <c r="K49" s="34" t="str">
        <f t="shared" si="3"/>
        <v>P:0016188-50.2020.5.16.0017</v>
      </c>
      <c r="L49" s="14">
        <f>ROW()</f>
        <v>49</v>
      </c>
    </row>
    <row r="50" spans="1:12" ht="60" customHeight="1">
      <c r="A50" s="41" t="s">
        <v>424</v>
      </c>
      <c r="B50" s="43">
        <v>46073</v>
      </c>
      <c r="C50" s="44" t="s">
        <v>1409</v>
      </c>
      <c r="D50" s="51">
        <v>46073</v>
      </c>
      <c r="E50" s="44" t="s">
        <v>1410</v>
      </c>
      <c r="F50" s="44" t="s">
        <v>1411</v>
      </c>
      <c r="G50" s="34">
        <f t="shared" si="0"/>
        <v>1</v>
      </c>
      <c r="H50" s="34" t="str">
        <f t="shared" si="1"/>
        <v>P:0010704-04.2018.5.18.0103|46073</v>
      </c>
      <c r="I50" s="52" t="str">
        <f t="shared" si="2"/>
        <v/>
      </c>
      <c r="J50" s="34">
        <f>IF(AND(A50&lt;&gt;"",ISTEXT(A50),COUNTIFS(Processos!$AS$10:$AS$509,"="&amp;SUBSTITUTE(SUBSTITUTE(SUBSTITUTE("P:"&amp;A50,"~","~~"),"*","~*"),"?","~?"))=1),(IF(ISNA(MATCH(SUBSTITUTE(SUBSTITUTE(SUBSTITUTE("P:"&amp;A50,"~","~~"),"*","~*"),"?","~?"),Processos!$AS$10:$AS$509,0)),9,INDEX(Processos!$AM$10:$AM$509,MATCH(SUBSTITUTE(SUBSTITUTE(SUBSTITUTE("P:"&amp;A50,"~","~~"),"*","~*"),"?","~?"),Processos!$AS$10:$AS$509,0)))-9),0)</f>
        <v>41</v>
      </c>
      <c r="K50" s="34" t="str">
        <f t="shared" si="3"/>
        <v>P:0010704-04.2018.5.18.0103</v>
      </c>
      <c r="L50" s="14">
        <f>ROW()</f>
        <v>50</v>
      </c>
    </row>
    <row r="51" spans="1:12" ht="60" customHeight="1">
      <c r="A51" s="41" t="s">
        <v>431</v>
      </c>
      <c r="B51" s="43">
        <v>46031</v>
      </c>
      <c r="C51" s="44" t="s">
        <v>1412</v>
      </c>
      <c r="D51" s="51">
        <v>46094</v>
      </c>
      <c r="E51" s="44" t="s">
        <v>1413</v>
      </c>
      <c r="F51" s="44" t="s">
        <v>1414</v>
      </c>
      <c r="G51" s="34">
        <f t="shared" si="0"/>
        <v>1</v>
      </c>
      <c r="H51" s="34" t="str">
        <f t="shared" si="1"/>
        <v>P:0000696-15.2019.5.05.0581|46094</v>
      </c>
      <c r="I51" s="52" t="str">
        <f t="shared" si="2"/>
        <v/>
      </c>
      <c r="J51" s="34">
        <f>IF(AND(A51&lt;&gt;"",ISTEXT(A51),COUNTIFS(Processos!$AS$10:$AS$509,"="&amp;SUBSTITUTE(SUBSTITUTE(SUBSTITUTE("P:"&amp;A51,"~","~~"),"*","~*"),"?","~?"))=1),(IF(ISNA(MATCH(SUBSTITUTE(SUBSTITUTE(SUBSTITUTE("P:"&amp;A51,"~","~~"),"*","~*"),"?","~?"),Processos!$AS$10:$AS$509,0)),9,INDEX(Processos!$AM$10:$AM$509,MATCH(SUBSTITUTE(SUBSTITUTE(SUBSTITUTE("P:"&amp;A51,"~","~~"),"*","~*"),"?","~?"),Processos!$AS$10:$AS$509,0)))-9),0)</f>
        <v>42</v>
      </c>
      <c r="K51" s="34" t="str">
        <f t="shared" si="3"/>
        <v>P:0000696-15.2019.5.05.0581</v>
      </c>
      <c r="L51" s="14">
        <f>ROW()</f>
        <v>51</v>
      </c>
    </row>
    <row r="52" spans="1:12" ht="60" customHeight="1">
      <c r="A52" s="41" t="s">
        <v>438</v>
      </c>
      <c r="B52" s="43">
        <v>45504</v>
      </c>
      <c r="C52" s="44" t="s">
        <v>1415</v>
      </c>
      <c r="D52" s="51">
        <v>45706</v>
      </c>
      <c r="E52" s="44" t="s">
        <v>1416</v>
      </c>
      <c r="F52" s="44" t="s">
        <v>1417</v>
      </c>
      <c r="G52" s="34">
        <f t="shared" si="0"/>
        <v>1</v>
      </c>
      <c r="H52" s="34" t="str">
        <f t="shared" si="1"/>
        <v>P:0000045-57.2021.5.10.0812|45706</v>
      </c>
      <c r="I52" s="52" t="str">
        <f t="shared" si="2"/>
        <v/>
      </c>
      <c r="J52" s="34">
        <f>IF(AND(A52&lt;&gt;"",ISTEXT(A52),COUNTIFS(Processos!$AS$10:$AS$509,"="&amp;SUBSTITUTE(SUBSTITUTE(SUBSTITUTE("P:"&amp;A52,"~","~~"),"*","~*"),"?","~?"))=1),(IF(ISNA(MATCH(SUBSTITUTE(SUBSTITUTE(SUBSTITUTE("P:"&amp;A52,"~","~~"),"*","~*"),"?","~?"),Processos!$AS$10:$AS$509,0)),9,INDEX(Processos!$AM$10:$AM$509,MATCH(SUBSTITUTE(SUBSTITUTE(SUBSTITUTE("P:"&amp;A52,"~","~~"),"*","~*"),"?","~?"),Processos!$AS$10:$AS$509,0)))-9),0)</f>
        <v>43</v>
      </c>
      <c r="K52" s="34" t="str">
        <f t="shared" si="3"/>
        <v>P:0000045-57.2021.5.10.0812</v>
      </c>
      <c r="L52" s="14">
        <f>ROW()</f>
        <v>52</v>
      </c>
    </row>
    <row r="53" spans="1:12" ht="60" customHeight="1">
      <c r="A53" s="41" t="s">
        <v>445</v>
      </c>
      <c r="B53" s="43">
        <v>45462</v>
      </c>
      <c r="C53" s="44" t="s">
        <v>1418</v>
      </c>
      <c r="D53" s="51">
        <v>45653</v>
      </c>
      <c r="E53" s="44" t="s">
        <v>1419</v>
      </c>
      <c r="F53" s="44" t="s">
        <v>1420</v>
      </c>
      <c r="G53" s="34">
        <f t="shared" si="0"/>
        <v>1</v>
      </c>
      <c r="H53" s="34" t="str">
        <f t="shared" si="1"/>
        <v>P:0010574-51.2020.5.03.0009|45653</v>
      </c>
      <c r="I53" s="52" t="str">
        <f t="shared" si="2"/>
        <v/>
      </c>
      <c r="J53" s="34">
        <f>IF(AND(A53&lt;&gt;"",ISTEXT(A53),COUNTIFS(Processos!$AS$10:$AS$509,"="&amp;SUBSTITUTE(SUBSTITUTE(SUBSTITUTE("P:"&amp;A53,"~","~~"),"*","~*"),"?","~?"))=1),(IF(ISNA(MATCH(SUBSTITUTE(SUBSTITUTE(SUBSTITUTE("P:"&amp;A53,"~","~~"),"*","~*"),"?","~?"),Processos!$AS$10:$AS$509,0)),9,INDEX(Processos!$AM$10:$AM$509,MATCH(SUBSTITUTE(SUBSTITUTE(SUBSTITUTE("P:"&amp;A53,"~","~~"),"*","~*"),"?","~?"),Processos!$AS$10:$AS$509,0)))-9),0)</f>
        <v>44</v>
      </c>
      <c r="K53" s="34" t="str">
        <f t="shared" si="3"/>
        <v>P:0010574-51.2020.5.03.0009</v>
      </c>
      <c r="L53" s="14">
        <f>ROW()</f>
        <v>53</v>
      </c>
    </row>
    <row r="54" spans="1:12" ht="60" customHeight="1">
      <c r="A54" s="41" t="s">
        <v>453</v>
      </c>
      <c r="B54" s="43">
        <v>45147</v>
      </c>
      <c r="C54" s="44" t="s">
        <v>1421</v>
      </c>
      <c r="D54" s="51">
        <v>45653</v>
      </c>
      <c r="E54" s="44" t="s">
        <v>1422</v>
      </c>
      <c r="F54" s="44" t="s">
        <v>1423</v>
      </c>
      <c r="G54" s="34">
        <f t="shared" si="0"/>
        <v>1</v>
      </c>
      <c r="H54" s="34" t="str">
        <f t="shared" si="1"/>
        <v>P:0010566-06.2019.5.18.0102|45653</v>
      </c>
      <c r="I54" s="52" t="str">
        <f t="shared" si="2"/>
        <v/>
      </c>
      <c r="J54" s="34">
        <f>IF(AND(A54&lt;&gt;"",ISTEXT(A54),COUNTIFS(Processos!$AS$10:$AS$509,"="&amp;SUBSTITUTE(SUBSTITUTE(SUBSTITUTE("P:"&amp;A54,"~","~~"),"*","~*"),"?","~?"))=1),(IF(ISNA(MATCH(SUBSTITUTE(SUBSTITUTE(SUBSTITUTE("P:"&amp;A54,"~","~~"),"*","~*"),"?","~?"),Processos!$AS$10:$AS$509,0)),9,INDEX(Processos!$AM$10:$AM$509,MATCH(SUBSTITUTE(SUBSTITUTE(SUBSTITUTE("P:"&amp;A54,"~","~~"),"*","~*"),"?","~?"),Processos!$AS$10:$AS$509,0)))-9),0)</f>
        <v>45</v>
      </c>
      <c r="K54" s="34" t="str">
        <f t="shared" si="3"/>
        <v>P:0010566-06.2019.5.18.0102</v>
      </c>
      <c r="L54" s="14">
        <f>ROW()</f>
        <v>54</v>
      </c>
    </row>
    <row r="55" spans="1:12" ht="60" customHeight="1">
      <c r="A55" s="41" t="s">
        <v>459</v>
      </c>
      <c r="B55" s="43">
        <v>46297</v>
      </c>
      <c r="C55" s="44" t="s">
        <v>1424</v>
      </c>
      <c r="D55" s="51">
        <v>46297</v>
      </c>
      <c r="E55" s="44" t="s">
        <v>1425</v>
      </c>
      <c r="F55" s="44" t="s">
        <v>1426</v>
      </c>
      <c r="G55" s="34">
        <f t="shared" si="0"/>
        <v>1</v>
      </c>
      <c r="H55" s="34" t="str">
        <f t="shared" si="1"/>
        <v>P:0010519-26.2019.5.18.0104|46297</v>
      </c>
      <c r="I55" s="52" t="str">
        <f t="shared" si="2"/>
        <v/>
      </c>
      <c r="J55" s="34">
        <f>IF(AND(A55&lt;&gt;"",ISTEXT(A55),COUNTIFS(Processos!$AS$10:$AS$509,"="&amp;SUBSTITUTE(SUBSTITUTE(SUBSTITUTE("P:"&amp;A55,"~","~~"),"*","~*"),"?","~?"))=1),(IF(ISNA(MATCH(SUBSTITUTE(SUBSTITUTE(SUBSTITUTE("P:"&amp;A55,"~","~~"),"*","~*"),"?","~?"),Processos!$AS$10:$AS$509,0)),9,INDEX(Processos!$AM$10:$AM$509,MATCH(SUBSTITUTE(SUBSTITUTE(SUBSTITUTE("P:"&amp;A55,"~","~~"),"*","~*"),"?","~?"),Processos!$AS$10:$AS$509,0)))-9),0)</f>
        <v>46</v>
      </c>
      <c r="K55" s="34" t="str">
        <f t="shared" si="3"/>
        <v>P:0010519-26.2019.5.18.0104</v>
      </c>
      <c r="L55" s="14">
        <f>ROW()</f>
        <v>55</v>
      </c>
    </row>
    <row r="56" spans="1:12" ht="60" customHeight="1">
      <c r="A56" s="41" t="s">
        <v>465</v>
      </c>
      <c r="B56" s="43">
        <v>46196</v>
      </c>
      <c r="C56" s="44" t="s">
        <v>1427</v>
      </c>
      <c r="D56" s="51">
        <v>46196</v>
      </c>
      <c r="E56" s="44" t="s">
        <v>1428</v>
      </c>
      <c r="F56" s="44" t="s">
        <v>1429</v>
      </c>
      <c r="G56" s="34">
        <f t="shared" si="0"/>
        <v>1</v>
      </c>
      <c r="H56" s="34" t="str">
        <f t="shared" si="1"/>
        <v>P:0010266-75.2018.5.18.0103|46196</v>
      </c>
      <c r="I56" s="52" t="str">
        <f t="shared" si="2"/>
        <v/>
      </c>
      <c r="J56" s="34">
        <f>IF(AND(A56&lt;&gt;"",ISTEXT(A56),COUNTIFS(Processos!$AS$10:$AS$509,"="&amp;SUBSTITUTE(SUBSTITUTE(SUBSTITUTE("P:"&amp;A56,"~","~~"),"*","~*"),"?","~?"))=1),(IF(ISNA(MATCH(SUBSTITUTE(SUBSTITUTE(SUBSTITUTE("P:"&amp;A56,"~","~~"),"*","~*"),"?","~?"),Processos!$AS$10:$AS$509,0)),9,INDEX(Processos!$AM$10:$AM$509,MATCH(SUBSTITUTE(SUBSTITUTE(SUBSTITUTE("P:"&amp;A56,"~","~~"),"*","~*"),"?","~?"),Processos!$AS$10:$AS$509,0)))-9),0)</f>
        <v>47</v>
      </c>
      <c r="K56" s="34" t="str">
        <f t="shared" si="3"/>
        <v>P:0010266-75.2018.5.18.0103</v>
      </c>
      <c r="L56" s="14">
        <f>ROW()</f>
        <v>56</v>
      </c>
    </row>
    <row r="57" spans="1:12" ht="60" customHeight="1">
      <c r="A57" s="41" t="s">
        <v>470</v>
      </c>
      <c r="B57" s="43">
        <v>45629</v>
      </c>
      <c r="C57" s="44" t="s">
        <v>1430</v>
      </c>
      <c r="D57" s="51">
        <v>46055</v>
      </c>
      <c r="E57" s="44" t="s">
        <v>1431</v>
      </c>
      <c r="F57" s="44" t="s">
        <v>1432</v>
      </c>
      <c r="G57" s="34">
        <f t="shared" si="0"/>
        <v>1</v>
      </c>
      <c r="H57" s="34" t="str">
        <f t="shared" si="1"/>
        <v>P:0010607-67.2019.5.18.0103|46055</v>
      </c>
      <c r="I57" s="52" t="str">
        <f t="shared" si="2"/>
        <v/>
      </c>
      <c r="J57" s="34">
        <f>IF(AND(A57&lt;&gt;"",ISTEXT(A57),COUNTIFS(Processos!$AS$10:$AS$509,"="&amp;SUBSTITUTE(SUBSTITUTE(SUBSTITUTE("P:"&amp;A57,"~","~~"),"*","~*"),"?","~?"))=1),(IF(ISNA(MATCH(SUBSTITUTE(SUBSTITUTE(SUBSTITUTE("P:"&amp;A57,"~","~~"),"*","~*"),"?","~?"),Processos!$AS$10:$AS$509,0)),9,INDEX(Processos!$AM$10:$AM$509,MATCH(SUBSTITUTE(SUBSTITUTE(SUBSTITUTE("P:"&amp;A57,"~","~~"),"*","~*"),"?","~?"),Processos!$AS$10:$AS$509,0)))-9),0)</f>
        <v>48</v>
      </c>
      <c r="K57" s="34" t="str">
        <f t="shared" si="3"/>
        <v>P:0010607-67.2019.5.18.0103</v>
      </c>
      <c r="L57" s="14">
        <f>ROW()</f>
        <v>57</v>
      </c>
    </row>
    <row r="58" spans="1:12" ht="60" customHeight="1">
      <c r="A58" s="41" t="s">
        <v>476</v>
      </c>
      <c r="B58" s="43">
        <v>45238</v>
      </c>
      <c r="C58" s="44" t="s">
        <v>1433</v>
      </c>
      <c r="D58" s="51">
        <v>46055</v>
      </c>
      <c r="E58" s="44" t="s">
        <v>1434</v>
      </c>
      <c r="F58" s="44" t="s">
        <v>1435</v>
      </c>
      <c r="G58" s="34">
        <f t="shared" si="0"/>
        <v>1</v>
      </c>
      <c r="H58" s="34" t="str">
        <f t="shared" si="1"/>
        <v>P:0010719-67.2018.5.18.0104|46055</v>
      </c>
      <c r="I58" s="52" t="str">
        <f t="shared" si="2"/>
        <v/>
      </c>
      <c r="J58" s="34">
        <f>IF(AND(A58&lt;&gt;"",ISTEXT(A58),COUNTIFS(Processos!$AS$10:$AS$509,"="&amp;SUBSTITUTE(SUBSTITUTE(SUBSTITUTE("P:"&amp;A58,"~","~~"),"*","~*"),"?","~?"))=1),(IF(ISNA(MATCH(SUBSTITUTE(SUBSTITUTE(SUBSTITUTE("P:"&amp;A58,"~","~~"),"*","~*"),"?","~?"),Processos!$AS$10:$AS$509,0)),9,INDEX(Processos!$AM$10:$AM$509,MATCH(SUBSTITUTE(SUBSTITUTE(SUBSTITUTE("P:"&amp;A58,"~","~~"),"*","~*"),"?","~?"),Processos!$AS$10:$AS$509,0)))-9),0)</f>
        <v>49</v>
      </c>
      <c r="K58" s="34" t="str">
        <f t="shared" si="3"/>
        <v>P:0010719-67.2018.5.18.0104</v>
      </c>
      <c r="L58" s="14">
        <f>ROW()</f>
        <v>58</v>
      </c>
    </row>
    <row r="59" spans="1:12" ht="60" customHeight="1">
      <c r="A59" s="41" t="s">
        <v>27</v>
      </c>
      <c r="B59" s="43"/>
      <c r="C59" s="44" t="s">
        <v>1436</v>
      </c>
      <c r="D59" s="51">
        <v>46055</v>
      </c>
      <c r="E59" s="44" t="s">
        <v>1437</v>
      </c>
      <c r="F59" s="44" t="s">
        <v>1438</v>
      </c>
      <c r="G59" s="34">
        <f t="shared" si="0"/>
        <v>1</v>
      </c>
      <c r="H59" s="34" t="str">
        <f t="shared" si="1"/>
        <v>P:0016196-95.2018.5.16.0017|46055</v>
      </c>
      <c r="I59" s="52" t="str">
        <f t="shared" si="2"/>
        <v>Informe a data do andamento</v>
      </c>
      <c r="J59" s="34">
        <f>IF(AND(A59&lt;&gt;"",ISTEXT(A59),COUNTIFS(Processos!$AS$10:$AS$509,"="&amp;SUBSTITUTE(SUBSTITUTE(SUBSTITUTE("P:"&amp;A59,"~","~~"),"*","~*"),"?","~?"))=1),(IF(ISNA(MATCH(SUBSTITUTE(SUBSTITUTE(SUBSTITUTE("P:"&amp;A59,"~","~~"),"*","~*"),"?","~?"),Processos!$AS$10:$AS$509,0)),9,INDEX(Processos!$AM$10:$AM$509,MATCH(SUBSTITUTE(SUBSTITUTE(SUBSTITUTE("P:"&amp;A59,"~","~~"),"*","~*"),"?","~?"),Processos!$AS$10:$AS$509,0)))-9),0)</f>
        <v>50</v>
      </c>
      <c r="K59" s="34" t="str">
        <f t="shared" si="3"/>
        <v>P:0016196-95.2018.5.16.0017</v>
      </c>
      <c r="L59" s="14">
        <f>ROW()</f>
        <v>59</v>
      </c>
    </row>
    <row r="60" spans="1:12" ht="60" customHeight="1">
      <c r="A60" s="41" t="s">
        <v>487</v>
      </c>
      <c r="B60" s="43">
        <v>45939</v>
      </c>
      <c r="C60" s="44" t="s">
        <v>1439</v>
      </c>
      <c r="D60" s="51">
        <v>46052</v>
      </c>
      <c r="E60" s="44" t="s">
        <v>1440</v>
      </c>
      <c r="F60" s="44" t="s">
        <v>1441</v>
      </c>
      <c r="G60" s="34">
        <f t="shared" si="0"/>
        <v>1</v>
      </c>
      <c r="H60" s="34" t="str">
        <f t="shared" si="1"/>
        <v>P:0000273-60.2019.5.22.0103|46052</v>
      </c>
      <c r="I60" s="52" t="str">
        <f t="shared" si="2"/>
        <v/>
      </c>
      <c r="J60" s="34">
        <f>IF(AND(A60&lt;&gt;"",ISTEXT(A60),COUNTIFS(Processos!$AS$10:$AS$509,"="&amp;SUBSTITUTE(SUBSTITUTE(SUBSTITUTE("P:"&amp;A60,"~","~~"),"*","~*"),"?","~?"))=1),(IF(ISNA(MATCH(SUBSTITUTE(SUBSTITUTE(SUBSTITUTE("P:"&amp;A60,"~","~~"),"*","~*"),"?","~?"),Processos!$AS$10:$AS$509,0)),9,INDEX(Processos!$AM$10:$AM$509,MATCH(SUBSTITUTE(SUBSTITUTE(SUBSTITUTE("P:"&amp;A60,"~","~~"),"*","~*"),"?","~?"),Processos!$AS$10:$AS$509,0)))-9),0)</f>
        <v>51</v>
      </c>
      <c r="K60" s="34" t="str">
        <f t="shared" si="3"/>
        <v>P:0000273-60.2019.5.22.0103</v>
      </c>
      <c r="L60" s="14">
        <f>ROW()</f>
        <v>60</v>
      </c>
    </row>
    <row r="61" spans="1:12" ht="60" customHeight="1">
      <c r="A61" s="41" t="s">
        <v>495</v>
      </c>
      <c r="B61" s="43">
        <v>45903</v>
      </c>
      <c r="C61" s="44" t="s">
        <v>1442</v>
      </c>
      <c r="D61" s="51">
        <v>46031</v>
      </c>
      <c r="E61" s="44" t="s">
        <v>1443</v>
      </c>
      <c r="F61" s="44" t="s">
        <v>1444</v>
      </c>
      <c r="G61" s="34">
        <f t="shared" si="0"/>
        <v>1</v>
      </c>
      <c r="H61" s="34" t="str">
        <f t="shared" si="1"/>
        <v>P:0000743-86.2019.5.05.0581|46031</v>
      </c>
      <c r="I61" s="52" t="str">
        <f t="shared" si="2"/>
        <v/>
      </c>
      <c r="J61" s="34">
        <f>IF(AND(A61&lt;&gt;"",ISTEXT(A61),COUNTIFS(Processos!$AS$10:$AS$509,"="&amp;SUBSTITUTE(SUBSTITUTE(SUBSTITUTE("P:"&amp;A61,"~","~~"),"*","~*"),"?","~?"))=1),(IF(ISNA(MATCH(SUBSTITUTE(SUBSTITUTE(SUBSTITUTE("P:"&amp;A61,"~","~~"),"*","~*"),"?","~?"),Processos!$AS$10:$AS$509,0)),9,INDEX(Processos!$AM$10:$AM$509,MATCH(SUBSTITUTE(SUBSTITUTE(SUBSTITUTE("P:"&amp;A61,"~","~~"),"*","~*"),"?","~?"),Processos!$AS$10:$AS$509,0)))-9),0)</f>
        <v>52</v>
      </c>
      <c r="K61" s="34" t="str">
        <f t="shared" si="3"/>
        <v>P:0000743-86.2019.5.05.0581</v>
      </c>
      <c r="L61" s="14">
        <f>ROW()</f>
        <v>61</v>
      </c>
    </row>
    <row r="62" spans="1:12" ht="60" customHeight="1">
      <c r="A62" s="41" t="s">
        <v>500</v>
      </c>
      <c r="B62" s="43">
        <v>45686</v>
      </c>
      <c r="C62" s="44" t="s">
        <v>1445</v>
      </c>
      <c r="D62" s="51">
        <v>46075</v>
      </c>
      <c r="E62" s="44" t="s">
        <v>1446</v>
      </c>
      <c r="F62" s="44" t="s">
        <v>1447</v>
      </c>
      <c r="G62" s="34">
        <f t="shared" si="0"/>
        <v>1</v>
      </c>
      <c r="H62" s="34" t="str">
        <f t="shared" si="1"/>
        <v>P:0010451-80.2022.5.18.0101|46075</v>
      </c>
      <c r="I62" s="52" t="str">
        <f t="shared" si="2"/>
        <v/>
      </c>
      <c r="J62" s="34">
        <f>IF(AND(A62&lt;&gt;"",ISTEXT(A62),COUNTIFS(Processos!$AS$10:$AS$509,"="&amp;SUBSTITUTE(SUBSTITUTE(SUBSTITUTE("P:"&amp;A62,"~","~~"),"*","~*"),"?","~?"))=1),(IF(ISNA(MATCH(SUBSTITUTE(SUBSTITUTE(SUBSTITUTE("P:"&amp;A62,"~","~~"),"*","~*"),"?","~?"),Processos!$AS$10:$AS$509,0)),9,INDEX(Processos!$AM$10:$AM$509,MATCH(SUBSTITUTE(SUBSTITUTE(SUBSTITUTE("P:"&amp;A62,"~","~~"),"*","~*"),"?","~?"),Processos!$AS$10:$AS$509,0)))-9),0)</f>
        <v>53</v>
      </c>
      <c r="K62" s="34" t="str">
        <f t="shared" si="3"/>
        <v>P:0010451-80.2022.5.18.0101</v>
      </c>
      <c r="L62" s="14">
        <f>ROW()</f>
        <v>62</v>
      </c>
    </row>
    <row r="63" spans="1:12" ht="60" customHeight="1">
      <c r="A63" s="41" t="s">
        <v>507</v>
      </c>
      <c r="B63" s="43">
        <v>46073</v>
      </c>
      <c r="C63" s="44" t="s">
        <v>1448</v>
      </c>
      <c r="D63" s="51">
        <v>46094</v>
      </c>
      <c r="E63" s="44" t="s">
        <v>1449</v>
      </c>
      <c r="F63" s="44" t="s">
        <v>1450</v>
      </c>
      <c r="G63" s="34">
        <f t="shared" si="0"/>
        <v>1</v>
      </c>
      <c r="H63" s="34" t="str">
        <f t="shared" si="1"/>
        <v>P:0010450-95.2022.5.18.0101|46094</v>
      </c>
      <c r="I63" s="52" t="str">
        <f t="shared" si="2"/>
        <v/>
      </c>
      <c r="J63" s="34">
        <f>IF(AND(A63&lt;&gt;"",ISTEXT(A63),COUNTIFS(Processos!$AS$10:$AS$509,"="&amp;SUBSTITUTE(SUBSTITUTE(SUBSTITUTE("P:"&amp;A63,"~","~~"),"*","~*"),"?","~?"))=1),(IF(ISNA(MATCH(SUBSTITUTE(SUBSTITUTE(SUBSTITUTE("P:"&amp;A63,"~","~~"),"*","~*"),"?","~?"),Processos!$AS$10:$AS$509,0)),9,INDEX(Processos!$AM$10:$AM$509,MATCH(SUBSTITUTE(SUBSTITUTE(SUBSTITUTE("P:"&amp;A63,"~","~~"),"*","~*"),"?","~?"),Processos!$AS$10:$AS$509,0)))-9),0)</f>
        <v>54</v>
      </c>
      <c r="K63" s="34" t="str">
        <f t="shared" si="3"/>
        <v>P:0010450-95.2022.5.18.0101</v>
      </c>
      <c r="L63" s="14">
        <f>ROW()</f>
        <v>63</v>
      </c>
    </row>
    <row r="64" spans="1:12" ht="60" customHeight="1">
      <c r="A64" s="41" t="s">
        <v>513</v>
      </c>
      <c r="B64" s="43">
        <v>45532</v>
      </c>
      <c r="C64" s="44" t="s">
        <v>1451</v>
      </c>
      <c r="D64" s="51">
        <v>45653</v>
      </c>
      <c r="E64" s="44" t="s">
        <v>1452</v>
      </c>
      <c r="F64" s="44" t="s">
        <v>1453</v>
      </c>
      <c r="G64" s="34">
        <f t="shared" si="0"/>
        <v>1</v>
      </c>
      <c r="H64" s="34" t="str">
        <f t="shared" si="1"/>
        <v>P:0010076-73.2022.5.18.0103|45653</v>
      </c>
      <c r="I64" s="52" t="str">
        <f t="shared" si="2"/>
        <v/>
      </c>
      <c r="J64" s="34">
        <f>IF(AND(A64&lt;&gt;"",ISTEXT(A64),COUNTIFS(Processos!$AS$10:$AS$509,"="&amp;SUBSTITUTE(SUBSTITUTE(SUBSTITUTE("P:"&amp;A64,"~","~~"),"*","~*"),"?","~?"))=1),(IF(ISNA(MATCH(SUBSTITUTE(SUBSTITUTE(SUBSTITUTE("P:"&amp;A64,"~","~~"),"*","~*"),"?","~?"),Processos!$AS$10:$AS$509,0)),9,INDEX(Processos!$AM$10:$AM$509,MATCH(SUBSTITUTE(SUBSTITUTE(SUBSTITUTE("P:"&amp;A64,"~","~~"),"*","~*"),"?","~?"),Processos!$AS$10:$AS$509,0)))-9),0)</f>
        <v>55</v>
      </c>
      <c r="K64" s="34" t="str">
        <f t="shared" si="3"/>
        <v>P:0010076-73.2022.5.18.0103</v>
      </c>
      <c r="L64" s="14">
        <f>ROW()</f>
        <v>64</v>
      </c>
    </row>
    <row r="65" spans="1:12" ht="60" customHeight="1">
      <c r="A65" s="41" t="s">
        <v>520</v>
      </c>
      <c r="B65" s="43">
        <v>46084</v>
      </c>
      <c r="C65" s="44" t="s">
        <v>1454</v>
      </c>
      <c r="D65" s="51">
        <v>46084</v>
      </c>
      <c r="E65" s="44" t="s">
        <v>1455</v>
      </c>
      <c r="F65" s="44" t="s">
        <v>1456</v>
      </c>
      <c r="G65" s="34">
        <f t="shared" si="0"/>
        <v>1</v>
      </c>
      <c r="H65" s="34" t="str">
        <f t="shared" si="1"/>
        <v>P:0010751-67.2021.5.18.0104|46084</v>
      </c>
      <c r="I65" s="52" t="str">
        <f t="shared" si="2"/>
        <v/>
      </c>
      <c r="J65" s="34">
        <f>IF(AND(A65&lt;&gt;"",ISTEXT(A65),COUNTIFS(Processos!$AS$10:$AS$509,"="&amp;SUBSTITUTE(SUBSTITUTE(SUBSTITUTE("P:"&amp;A65,"~","~~"),"*","~*"),"?","~?"))=1),(IF(ISNA(MATCH(SUBSTITUTE(SUBSTITUTE(SUBSTITUTE("P:"&amp;A65,"~","~~"),"*","~*"),"?","~?"),Processos!$AS$10:$AS$509,0)),9,INDEX(Processos!$AM$10:$AM$509,MATCH(SUBSTITUTE(SUBSTITUTE(SUBSTITUTE("P:"&amp;A65,"~","~~"),"*","~*"),"?","~?"),Processos!$AS$10:$AS$509,0)))-9),0)</f>
        <v>56</v>
      </c>
      <c r="K65" s="34" t="str">
        <f t="shared" si="3"/>
        <v>P:0010751-67.2021.5.18.0104</v>
      </c>
      <c r="L65" s="14">
        <f>ROW()</f>
        <v>65</v>
      </c>
    </row>
    <row r="66" spans="1:12" ht="60" customHeight="1">
      <c r="A66" s="41" t="s">
        <v>526</v>
      </c>
      <c r="B66" s="43">
        <v>45152</v>
      </c>
      <c r="C66" s="44" t="s">
        <v>1457</v>
      </c>
      <c r="D66" s="51">
        <v>46049</v>
      </c>
      <c r="E66" s="44" t="s">
        <v>1458</v>
      </c>
      <c r="F66" s="44" t="s">
        <v>1459</v>
      </c>
      <c r="G66" s="34">
        <f t="shared" si="0"/>
        <v>1</v>
      </c>
      <c r="H66" s="34" t="str">
        <f t="shared" si="1"/>
        <v>P:0010733-31.2019.5.03.0105|46049</v>
      </c>
      <c r="I66" s="52" t="str">
        <f t="shared" si="2"/>
        <v/>
      </c>
      <c r="J66" s="34">
        <f>IF(AND(A66&lt;&gt;"",ISTEXT(A66),COUNTIFS(Processos!$AS$10:$AS$509,"="&amp;SUBSTITUTE(SUBSTITUTE(SUBSTITUTE("P:"&amp;A66,"~","~~"),"*","~*"),"?","~?"))=1),(IF(ISNA(MATCH(SUBSTITUTE(SUBSTITUTE(SUBSTITUTE("P:"&amp;A66,"~","~~"),"*","~*"),"?","~?"),Processos!$AS$10:$AS$509,0)),9,INDEX(Processos!$AM$10:$AM$509,MATCH(SUBSTITUTE(SUBSTITUTE(SUBSTITUTE("P:"&amp;A66,"~","~~"),"*","~*"),"?","~?"),Processos!$AS$10:$AS$509,0)))-9),0)</f>
        <v>57</v>
      </c>
      <c r="K66" s="34" t="str">
        <f t="shared" si="3"/>
        <v>P:0010733-31.2019.5.03.0105</v>
      </c>
      <c r="L66" s="14">
        <f>ROW()</f>
        <v>66</v>
      </c>
    </row>
    <row r="67" spans="1:12" ht="60" customHeight="1">
      <c r="A67" s="41" t="s">
        <v>532</v>
      </c>
      <c r="B67" s="43">
        <v>46267</v>
      </c>
      <c r="C67" s="44" t="s">
        <v>1460</v>
      </c>
      <c r="D67" s="51">
        <v>46267</v>
      </c>
      <c r="E67" s="44" t="s">
        <v>1461</v>
      </c>
      <c r="F67" s="44" t="s">
        <v>1462</v>
      </c>
      <c r="G67" s="34">
        <f t="shared" si="0"/>
        <v>1</v>
      </c>
      <c r="H67" s="34" t="str">
        <f t="shared" si="1"/>
        <v>P:0010751-72.2018.5.18.0104|46267</v>
      </c>
      <c r="I67" s="52" t="str">
        <f t="shared" si="2"/>
        <v/>
      </c>
      <c r="J67" s="34">
        <f>IF(AND(A67&lt;&gt;"",ISTEXT(A67),COUNTIFS(Processos!$AS$10:$AS$509,"="&amp;SUBSTITUTE(SUBSTITUTE(SUBSTITUTE("P:"&amp;A67,"~","~~"),"*","~*"),"?","~?"))=1),(IF(ISNA(MATCH(SUBSTITUTE(SUBSTITUTE(SUBSTITUTE("P:"&amp;A67,"~","~~"),"*","~*"),"?","~?"),Processos!$AS$10:$AS$509,0)),9,INDEX(Processos!$AM$10:$AM$509,MATCH(SUBSTITUTE(SUBSTITUTE(SUBSTITUTE("P:"&amp;A67,"~","~~"),"*","~*"),"?","~?"),Processos!$AS$10:$AS$509,0)))-9),0)</f>
        <v>58</v>
      </c>
      <c r="K67" s="34" t="str">
        <f t="shared" si="3"/>
        <v>P:0010751-72.2018.5.18.0104</v>
      </c>
      <c r="L67" s="14">
        <f>ROW()</f>
        <v>67</v>
      </c>
    </row>
    <row r="68" spans="1:12" ht="60" customHeight="1">
      <c r="A68" s="41" t="s">
        <v>538</v>
      </c>
      <c r="B68" s="43"/>
      <c r="C68" s="44" t="s">
        <v>1463</v>
      </c>
      <c r="D68" s="51">
        <v>45512</v>
      </c>
      <c r="E68" s="44" t="s">
        <v>1464</v>
      </c>
      <c r="F68" s="44" t="s">
        <v>1465</v>
      </c>
      <c r="G68" s="34">
        <f t="shared" si="0"/>
        <v>1</v>
      </c>
      <c r="H68" s="34" t="str">
        <f t="shared" si="1"/>
        <v>P:0010251-67.2022.5.18.0103 [BMM-059]|45512</v>
      </c>
      <c r="I68" s="52" t="str">
        <f t="shared" si="2"/>
        <v>Informe a data do andamento</v>
      </c>
      <c r="J68" s="34">
        <f>IF(AND(A68&lt;&gt;"",ISTEXT(A68),COUNTIFS(Processos!$AS$10:$AS$509,"="&amp;SUBSTITUTE(SUBSTITUTE(SUBSTITUTE("P:"&amp;A68,"~","~~"),"*","~*"),"?","~?"))=1),(IF(ISNA(MATCH(SUBSTITUTE(SUBSTITUTE(SUBSTITUTE("P:"&amp;A68,"~","~~"),"*","~*"),"?","~?"),Processos!$AS$10:$AS$509,0)),9,INDEX(Processos!$AM$10:$AM$509,MATCH(SUBSTITUTE(SUBSTITUTE(SUBSTITUTE("P:"&amp;A68,"~","~~"),"*","~*"),"?","~?"),Processos!$AS$10:$AS$509,0)))-9),0)</f>
        <v>59</v>
      </c>
      <c r="K68" s="34" t="str">
        <f t="shared" si="3"/>
        <v>P:0010251-67.2022.5.18.0103 [BMM-059]</v>
      </c>
      <c r="L68" s="14">
        <f>ROW()</f>
        <v>68</v>
      </c>
    </row>
    <row r="69" spans="1:12" ht="60" customHeight="1">
      <c r="A69" s="41" t="s">
        <v>545</v>
      </c>
      <c r="B69" s="43">
        <v>45854</v>
      </c>
      <c r="C69" s="44" t="s">
        <v>1466</v>
      </c>
      <c r="D69" s="51">
        <v>46052</v>
      </c>
      <c r="E69" s="44" t="s">
        <v>1467</v>
      </c>
      <c r="F69" s="44" t="s">
        <v>1468</v>
      </c>
      <c r="G69" s="34">
        <f t="shared" si="0"/>
        <v>1</v>
      </c>
      <c r="H69" s="34" t="str">
        <f t="shared" si="1"/>
        <v>P:5540289-89.2025.8.09.0045|46052</v>
      </c>
      <c r="I69" s="52" t="str">
        <f t="shared" si="2"/>
        <v/>
      </c>
      <c r="J69" s="34">
        <f>IF(AND(A69&lt;&gt;"",ISTEXT(A69),COUNTIFS(Processos!$AS$10:$AS$509,"="&amp;SUBSTITUTE(SUBSTITUTE(SUBSTITUTE("P:"&amp;A69,"~","~~"),"*","~*"),"?","~?"))=1),(IF(ISNA(MATCH(SUBSTITUTE(SUBSTITUTE(SUBSTITUTE("P:"&amp;A69,"~","~~"),"*","~*"),"?","~?"),Processos!$AS$10:$AS$509,0)),9,INDEX(Processos!$AM$10:$AM$509,MATCH(SUBSTITUTE(SUBSTITUTE(SUBSTITUTE("P:"&amp;A69,"~","~~"),"*","~*"),"?","~?"),Processos!$AS$10:$AS$509,0)))-9),0)</f>
        <v>60</v>
      </c>
      <c r="K69" s="34" t="str">
        <f t="shared" si="3"/>
        <v>P:5540289-89.2025.8.09.0045</v>
      </c>
      <c r="L69" s="14">
        <f>ROW()</f>
        <v>69</v>
      </c>
    </row>
    <row r="70" spans="1:12" ht="60" customHeight="1">
      <c r="A70" s="41" t="s">
        <v>551</v>
      </c>
      <c r="B70" s="43">
        <v>45210</v>
      </c>
      <c r="C70" s="44" t="s">
        <v>1469</v>
      </c>
      <c r="D70" s="51">
        <v>46055</v>
      </c>
      <c r="E70" s="44" t="s">
        <v>1470</v>
      </c>
      <c r="F70" s="44" t="s">
        <v>1471</v>
      </c>
      <c r="G70" s="34">
        <f t="shared" si="0"/>
        <v>1</v>
      </c>
      <c r="H70" s="34" t="str">
        <f t="shared" si="1"/>
        <v>P:0010552-28.2019.5.03.0138|46055</v>
      </c>
      <c r="I70" s="52" t="str">
        <f t="shared" si="2"/>
        <v/>
      </c>
      <c r="J70" s="34">
        <f>IF(AND(A70&lt;&gt;"",ISTEXT(A70),COUNTIFS(Processos!$AS$10:$AS$509,"="&amp;SUBSTITUTE(SUBSTITUTE(SUBSTITUTE("P:"&amp;A70,"~","~~"),"*","~*"),"?","~?"))=1),(IF(ISNA(MATCH(SUBSTITUTE(SUBSTITUTE(SUBSTITUTE("P:"&amp;A70,"~","~~"),"*","~*"),"?","~?"),Processos!$AS$10:$AS$509,0)),9,INDEX(Processos!$AM$10:$AM$509,MATCH(SUBSTITUTE(SUBSTITUTE(SUBSTITUTE("P:"&amp;A70,"~","~~"),"*","~*"),"?","~?"),Processos!$AS$10:$AS$509,0)))-9),0)</f>
        <v>61</v>
      </c>
      <c r="K70" s="34" t="str">
        <f t="shared" si="3"/>
        <v>P:0010552-28.2019.5.03.0138</v>
      </c>
      <c r="L70" s="14">
        <f>ROW()</f>
        <v>70</v>
      </c>
    </row>
    <row r="71" spans="1:12" ht="60" customHeight="1">
      <c r="A71" s="41" t="s">
        <v>558</v>
      </c>
      <c r="B71" s="43">
        <v>46029</v>
      </c>
      <c r="C71" s="44" t="s">
        <v>1472</v>
      </c>
      <c r="D71" s="51">
        <v>45548</v>
      </c>
      <c r="E71" s="44" t="s">
        <v>1473</v>
      </c>
      <c r="F71" s="44" t="s">
        <v>1474</v>
      </c>
      <c r="G71" s="34">
        <f t="shared" si="0"/>
        <v>1</v>
      </c>
      <c r="H71" s="34" t="str">
        <f t="shared" si="1"/>
        <v>P:5158368-83.2018.8.13.0024|45548</v>
      </c>
      <c r="I71" s="52" t="str">
        <f t="shared" si="2"/>
        <v/>
      </c>
      <c r="J71" s="34">
        <f>IF(AND(A71&lt;&gt;"",ISTEXT(A71),COUNTIFS(Processos!$AS$10:$AS$509,"="&amp;SUBSTITUTE(SUBSTITUTE(SUBSTITUTE("P:"&amp;A71,"~","~~"),"*","~*"),"?","~?"))=1),(IF(ISNA(MATCH(SUBSTITUTE(SUBSTITUTE(SUBSTITUTE("P:"&amp;A71,"~","~~"),"*","~*"),"?","~?"),Processos!$AS$10:$AS$509,0)),9,INDEX(Processos!$AM$10:$AM$509,MATCH(SUBSTITUTE(SUBSTITUTE(SUBSTITUTE("P:"&amp;A71,"~","~~"),"*","~*"),"?","~?"),Processos!$AS$10:$AS$509,0)))-9),0)</f>
        <v>62</v>
      </c>
      <c r="K71" s="34" t="str">
        <f t="shared" si="3"/>
        <v>P:5158368-83.2018.8.13.0024</v>
      </c>
      <c r="L71" s="14">
        <f>ROW()</f>
        <v>71</v>
      </c>
    </row>
    <row r="72" spans="1:12" ht="60" customHeight="1">
      <c r="A72" s="41" t="s">
        <v>564</v>
      </c>
      <c r="B72" s="43">
        <v>45385</v>
      </c>
      <c r="C72" s="44" t="s">
        <v>1475</v>
      </c>
      <c r="D72" s="51">
        <v>46079</v>
      </c>
      <c r="E72" s="44" t="s">
        <v>1476</v>
      </c>
      <c r="F72" s="44" t="s">
        <v>1477</v>
      </c>
      <c r="G72" s="34">
        <f t="shared" si="0"/>
        <v>1</v>
      </c>
      <c r="H72" s="34" t="str">
        <f t="shared" si="1"/>
        <v>P:0010471-11.2021.5.03.0138|46079</v>
      </c>
      <c r="I72" s="52" t="str">
        <f t="shared" si="2"/>
        <v/>
      </c>
      <c r="J72" s="34">
        <f>IF(AND(A72&lt;&gt;"",ISTEXT(A72),COUNTIFS(Processos!$AS$10:$AS$509,"="&amp;SUBSTITUTE(SUBSTITUTE(SUBSTITUTE("P:"&amp;A72,"~","~~"),"*","~*"),"?","~?"))=1),(IF(ISNA(MATCH(SUBSTITUTE(SUBSTITUTE(SUBSTITUTE("P:"&amp;A72,"~","~~"),"*","~*"),"?","~?"),Processos!$AS$10:$AS$509,0)),9,INDEX(Processos!$AM$10:$AM$509,MATCH(SUBSTITUTE(SUBSTITUTE(SUBSTITUTE("P:"&amp;A72,"~","~~"),"*","~*"),"?","~?"),Processos!$AS$10:$AS$509,0)))-9),0)</f>
        <v>63</v>
      </c>
      <c r="K72" s="34" t="str">
        <f t="shared" si="3"/>
        <v>P:0010471-11.2021.5.03.0138</v>
      </c>
      <c r="L72" s="14">
        <f>ROW()</f>
        <v>72</v>
      </c>
    </row>
    <row r="73" spans="1:12" ht="60" customHeight="1">
      <c r="A73" s="41" t="s">
        <v>569</v>
      </c>
      <c r="B73" s="43"/>
      <c r="C73" s="44" t="s">
        <v>1478</v>
      </c>
      <c r="D73" s="51">
        <v>45512</v>
      </c>
      <c r="E73" s="44" t="s">
        <v>1479</v>
      </c>
      <c r="F73" s="44" t="s">
        <v>1480</v>
      </c>
      <c r="G73" s="34">
        <f t="shared" si="0"/>
        <v>1</v>
      </c>
      <c r="H73" s="34" t="str">
        <f t="shared" si="1"/>
        <v>P:0010251-67.2022.5.18.0103 [BMM-064]|45512</v>
      </c>
      <c r="I73" s="52" t="str">
        <f t="shared" si="2"/>
        <v>Informe a data do andamento</v>
      </c>
      <c r="J73" s="34">
        <f>IF(AND(A73&lt;&gt;"",ISTEXT(A73),COUNTIFS(Processos!$AS$10:$AS$509,"="&amp;SUBSTITUTE(SUBSTITUTE(SUBSTITUTE("P:"&amp;A73,"~","~~"),"*","~*"),"?","~?"))=1),(IF(ISNA(MATCH(SUBSTITUTE(SUBSTITUTE(SUBSTITUTE("P:"&amp;A73,"~","~~"),"*","~*"),"?","~?"),Processos!$AS$10:$AS$509,0)),9,INDEX(Processos!$AM$10:$AM$509,MATCH(SUBSTITUTE(SUBSTITUTE(SUBSTITUTE("P:"&amp;A73,"~","~~"),"*","~*"),"?","~?"),Processos!$AS$10:$AS$509,0)))-9),0)</f>
        <v>64</v>
      </c>
      <c r="K73" s="34" t="str">
        <f t="shared" si="3"/>
        <v>P:0010251-67.2022.5.18.0103 [BMM-064]</v>
      </c>
      <c r="L73" s="14">
        <f>ROW()</f>
        <v>73</v>
      </c>
    </row>
    <row r="74" spans="1:12" ht="60" customHeight="1">
      <c r="A74" s="41" t="s">
        <v>574</v>
      </c>
      <c r="B74" s="43"/>
      <c r="C74" s="44" t="s">
        <v>1481</v>
      </c>
      <c r="D74" s="51">
        <v>46052</v>
      </c>
      <c r="E74" s="44" t="s">
        <v>1482</v>
      </c>
      <c r="F74" s="44" t="s">
        <v>1483</v>
      </c>
      <c r="G74" s="34">
        <f t="shared" ref="G74:G137" si="4">IF(AND(J74&gt;0,OR(B74="",AND(ISNUMBER(B74),B74&gt;=1,B74&lt;=100000)),ISNUMBER(D74),D74&gt;=1,D74&lt;=100000,C74&lt;&gt;""),1,0)</f>
        <v>1</v>
      </c>
      <c r="H74" s="34" t="str">
        <f t="shared" ref="H74:H137" si="5">IF(G74=1,K74&amp;"|"&amp;D74,"")</f>
        <v>P:1002777-19.2018.4.01.3500|46052</v>
      </c>
      <c r="I74" s="52" t="str">
        <f t="shared" ref="I74:I137" si="6">IF(COUNTA(A74:F74)=0,"",IF(A74="","Selecione o processo",IF(J74=0,"Processo inexistente, duplicado ou número não textual",IF(B74="","Informe a data do andamento",IF(C74="","Descreva o andamento",IF(D74="","Informe a data e hora do recebimento",IF(OR(NOT(ISNUMBER(B74)),B74&lt;1,B74&gt;100000),"Revise a data do andamento",IF(OR(NOT(ISNUMBER(D74)),D74&lt;1,D74&gt;100000),"Revise a data e hora do recebimento",IF(COUNTIFS($K$10:$K$2009,"="&amp;SUBSTITUTE(SUBSTITUTE(SUBSTITUTE("P:"&amp;A74,"~","~~"),"*","~*"),"?","~?"),$D$10:$D$2009,D74,$G$10:$G$2009,1)&gt;1,"Recebimentos empatados: revise a hora ou consolide o registro","")))))))))</f>
        <v>Informe a data do andamento</v>
      </c>
      <c r="J74" s="34">
        <f>IF(AND(A74&lt;&gt;"",ISTEXT(A74),COUNTIFS(Processos!$AS$10:$AS$509,"="&amp;SUBSTITUTE(SUBSTITUTE(SUBSTITUTE("P:"&amp;A74,"~","~~"),"*","~*"),"?","~?"))=1),(IF(ISNA(MATCH(SUBSTITUTE(SUBSTITUTE(SUBSTITUTE("P:"&amp;A74,"~","~~"),"*","~*"),"?","~?"),Processos!$AS$10:$AS$509,0)),9,INDEX(Processos!$AM$10:$AM$509,MATCH(SUBSTITUTE(SUBSTITUTE(SUBSTITUTE("P:"&amp;A74,"~","~~"),"*","~*"),"?","~?"),Processos!$AS$10:$AS$509,0)))-9),0)</f>
        <v>65</v>
      </c>
      <c r="K74" s="34" t="str">
        <f t="shared" ref="K74:K137" si="7">IF(AND(A74&lt;&gt;"",ISTEXT(A74)),"P:"&amp;A74,"")</f>
        <v>P:1002777-19.2018.4.01.3500</v>
      </c>
      <c r="L74" s="14">
        <f>ROW()</f>
        <v>74</v>
      </c>
    </row>
    <row r="75" spans="1:12" ht="60" customHeight="1">
      <c r="A75" s="41" t="s">
        <v>583</v>
      </c>
      <c r="B75" s="43"/>
      <c r="C75" s="44" t="s">
        <v>1484</v>
      </c>
      <c r="D75" s="51">
        <v>45512</v>
      </c>
      <c r="E75" s="44" t="s">
        <v>1485</v>
      </c>
      <c r="F75" s="44" t="s">
        <v>1486</v>
      </c>
      <c r="G75" s="34">
        <f t="shared" si="4"/>
        <v>1</v>
      </c>
      <c r="H75" s="34" t="str">
        <f t="shared" si="5"/>
        <v>P:0015510-80.2013.4.01.3800|45512</v>
      </c>
      <c r="I75" s="52" t="str">
        <f t="shared" si="6"/>
        <v>Informe a data do andamento</v>
      </c>
      <c r="J75" s="34">
        <f>IF(AND(A75&lt;&gt;"",ISTEXT(A75),COUNTIFS(Processos!$AS$10:$AS$509,"="&amp;SUBSTITUTE(SUBSTITUTE(SUBSTITUTE("P:"&amp;A75,"~","~~"),"*","~*"),"?","~?"))=1),(IF(ISNA(MATCH(SUBSTITUTE(SUBSTITUTE(SUBSTITUTE("P:"&amp;A75,"~","~~"),"*","~*"),"?","~?"),Processos!$AS$10:$AS$509,0)),9,INDEX(Processos!$AM$10:$AM$509,MATCH(SUBSTITUTE(SUBSTITUTE(SUBSTITUTE("P:"&amp;A75,"~","~~"),"*","~*"),"?","~?"),Processos!$AS$10:$AS$509,0)))-9),0)</f>
        <v>66</v>
      </c>
      <c r="K75" s="34" t="str">
        <f t="shared" si="7"/>
        <v>P:0015510-80.2013.4.01.3800</v>
      </c>
      <c r="L75" s="14">
        <f>ROW()</f>
        <v>75</v>
      </c>
    </row>
    <row r="76" spans="1:12" ht="60" customHeight="1">
      <c r="A76" s="41" t="s">
        <v>590</v>
      </c>
      <c r="B76" s="43">
        <v>44505</v>
      </c>
      <c r="C76" s="44" t="s">
        <v>1487</v>
      </c>
      <c r="D76" s="51">
        <v>46073</v>
      </c>
      <c r="E76" s="44" t="s">
        <v>1488</v>
      </c>
      <c r="F76" s="44" t="s">
        <v>1489</v>
      </c>
      <c r="G76" s="34">
        <f t="shared" si="4"/>
        <v>1</v>
      </c>
      <c r="H76" s="34" t="str">
        <f t="shared" si="5"/>
        <v>P:8002509-98.2021.8.05.0231|46073</v>
      </c>
      <c r="I76" s="52" t="str">
        <f t="shared" si="6"/>
        <v/>
      </c>
      <c r="J76" s="34">
        <f>IF(AND(A76&lt;&gt;"",ISTEXT(A76),COUNTIFS(Processos!$AS$10:$AS$509,"="&amp;SUBSTITUTE(SUBSTITUTE(SUBSTITUTE("P:"&amp;A76,"~","~~"),"*","~*"),"?","~?"))=1),(IF(ISNA(MATCH(SUBSTITUTE(SUBSTITUTE(SUBSTITUTE("P:"&amp;A76,"~","~~"),"*","~*"),"?","~?"),Processos!$AS$10:$AS$509,0)),9,INDEX(Processos!$AM$10:$AM$509,MATCH(SUBSTITUTE(SUBSTITUTE(SUBSTITUTE("P:"&amp;A76,"~","~~"),"*","~*"),"?","~?"),Processos!$AS$10:$AS$509,0)))-9),0)</f>
        <v>67</v>
      </c>
      <c r="K76" s="34" t="str">
        <f t="shared" si="7"/>
        <v>P:8002509-98.2021.8.05.0231</v>
      </c>
      <c r="L76" s="14">
        <f>ROW()</f>
        <v>76</v>
      </c>
    </row>
    <row r="77" spans="1:12" ht="60" customHeight="1">
      <c r="A77" s="41" t="s">
        <v>597</v>
      </c>
      <c r="B77" s="43"/>
      <c r="C77" s="44" t="s">
        <v>1490</v>
      </c>
      <c r="D77" s="51">
        <v>46055</v>
      </c>
      <c r="E77" s="44" t="s">
        <v>1491</v>
      </c>
      <c r="F77" s="44" t="s">
        <v>1492</v>
      </c>
      <c r="G77" s="34">
        <f t="shared" si="4"/>
        <v>1</v>
      </c>
      <c r="H77" s="34" t="str">
        <f t="shared" si="5"/>
        <v>P:AUTO DE INFRAÇÃO Nº 06.2019|46055</v>
      </c>
      <c r="I77" s="52" t="str">
        <f t="shared" si="6"/>
        <v>Informe a data do andamento</v>
      </c>
      <c r="J77" s="34">
        <f>IF(AND(A77&lt;&gt;"",ISTEXT(A77),COUNTIFS(Processos!$AS$10:$AS$509,"="&amp;SUBSTITUTE(SUBSTITUTE(SUBSTITUTE("P:"&amp;A77,"~","~~"),"*","~*"),"?","~?"))=1),(IF(ISNA(MATCH(SUBSTITUTE(SUBSTITUTE(SUBSTITUTE("P:"&amp;A77,"~","~~"),"*","~*"),"?","~?"),Processos!$AS$10:$AS$509,0)),9,INDEX(Processos!$AM$10:$AM$509,MATCH(SUBSTITUTE(SUBSTITUTE(SUBSTITUTE("P:"&amp;A77,"~","~~"),"*","~*"),"?","~?"),Processos!$AS$10:$AS$509,0)))-9),0)</f>
        <v>68</v>
      </c>
      <c r="K77" s="34" t="str">
        <f t="shared" si="7"/>
        <v>P:AUTO DE INFRAÇÃO Nº 06.2019</v>
      </c>
      <c r="L77" s="14">
        <f>ROW()</f>
        <v>77</v>
      </c>
    </row>
    <row r="78" spans="1:12" ht="60" customHeight="1">
      <c r="A78" s="41" t="s">
        <v>603</v>
      </c>
      <c r="B78" s="43"/>
      <c r="C78" s="44" t="s">
        <v>1493</v>
      </c>
      <c r="D78" s="51">
        <v>46044</v>
      </c>
      <c r="E78" s="44" t="s">
        <v>1494</v>
      </c>
      <c r="F78" s="44" t="s">
        <v>1495</v>
      </c>
      <c r="G78" s="34">
        <f t="shared" si="4"/>
        <v>1</v>
      </c>
      <c r="H78" s="34" t="str">
        <f t="shared" si="5"/>
        <v>P:AUTO DE INFRAÇÃO Nº 07.2019|46044</v>
      </c>
      <c r="I78" s="52" t="str">
        <f t="shared" si="6"/>
        <v>Informe a data do andamento</v>
      </c>
      <c r="J78" s="34">
        <f>IF(AND(A78&lt;&gt;"",ISTEXT(A78),COUNTIFS(Processos!$AS$10:$AS$509,"="&amp;SUBSTITUTE(SUBSTITUTE(SUBSTITUTE("P:"&amp;A78,"~","~~"),"*","~*"),"?","~?"))=1),(IF(ISNA(MATCH(SUBSTITUTE(SUBSTITUTE(SUBSTITUTE("P:"&amp;A78,"~","~~"),"*","~*"),"?","~?"),Processos!$AS$10:$AS$509,0)),9,INDEX(Processos!$AM$10:$AM$509,MATCH(SUBSTITUTE(SUBSTITUTE(SUBSTITUTE("P:"&amp;A78,"~","~~"),"*","~*"),"?","~?"),Processos!$AS$10:$AS$509,0)))-9),0)</f>
        <v>69</v>
      </c>
      <c r="K78" s="34" t="str">
        <f t="shared" si="7"/>
        <v>P:AUTO DE INFRAÇÃO Nº 07.2019</v>
      </c>
      <c r="L78" s="14">
        <f>ROW()</f>
        <v>78</v>
      </c>
    </row>
    <row r="79" spans="1:12" ht="60" customHeight="1">
      <c r="A79" s="41" t="s">
        <v>609</v>
      </c>
      <c r="B79" s="43">
        <v>45930</v>
      </c>
      <c r="C79" s="44" t="s">
        <v>1496</v>
      </c>
      <c r="D79" s="51">
        <v>45930</v>
      </c>
      <c r="E79" s="44" t="s">
        <v>1497</v>
      </c>
      <c r="F79" s="44" t="s">
        <v>1498</v>
      </c>
      <c r="G79" s="34">
        <f t="shared" si="4"/>
        <v>1</v>
      </c>
      <c r="H79" s="34" t="str">
        <f t="shared" si="5"/>
        <v>P:1012801-81.2019.4.01.3400|45930</v>
      </c>
      <c r="I79" s="52" t="str">
        <f t="shared" si="6"/>
        <v/>
      </c>
      <c r="J79" s="34">
        <f>IF(AND(A79&lt;&gt;"",ISTEXT(A79),COUNTIFS(Processos!$AS$10:$AS$509,"="&amp;SUBSTITUTE(SUBSTITUTE(SUBSTITUTE("P:"&amp;A79,"~","~~"),"*","~*"),"?","~?"))=1),(IF(ISNA(MATCH(SUBSTITUTE(SUBSTITUTE(SUBSTITUTE("P:"&amp;A79,"~","~~"),"*","~*"),"?","~?"),Processos!$AS$10:$AS$509,0)),9,INDEX(Processos!$AM$10:$AM$509,MATCH(SUBSTITUTE(SUBSTITUTE(SUBSTITUTE("P:"&amp;A79,"~","~~"),"*","~*"),"?","~?"),Processos!$AS$10:$AS$509,0)))-9),0)</f>
        <v>70</v>
      </c>
      <c r="K79" s="34" t="str">
        <f t="shared" si="7"/>
        <v>P:1012801-81.2019.4.01.3400</v>
      </c>
      <c r="L79" s="14">
        <f>ROW()</f>
        <v>79</v>
      </c>
    </row>
    <row r="80" spans="1:12" ht="60" customHeight="1">
      <c r="A80" s="41" t="s">
        <v>615</v>
      </c>
      <c r="B80" s="43">
        <v>45912</v>
      </c>
      <c r="C80" s="44" t="s">
        <v>1499</v>
      </c>
      <c r="D80" s="51">
        <v>46055</v>
      </c>
      <c r="E80" s="44" t="s">
        <v>1500</v>
      </c>
      <c r="F80" s="44" t="s">
        <v>1501</v>
      </c>
      <c r="G80" s="34">
        <f t="shared" si="4"/>
        <v>1</v>
      </c>
      <c r="H80" s="34" t="str">
        <f t="shared" si="5"/>
        <v>P:5074087-97.2018.8.13.0024|46055</v>
      </c>
      <c r="I80" s="52" t="str">
        <f t="shared" si="6"/>
        <v/>
      </c>
      <c r="J80" s="34">
        <f>IF(AND(A80&lt;&gt;"",ISTEXT(A80),COUNTIFS(Processos!$AS$10:$AS$509,"="&amp;SUBSTITUTE(SUBSTITUTE(SUBSTITUTE("P:"&amp;A80,"~","~~"),"*","~*"),"?","~?"))=1),(IF(ISNA(MATCH(SUBSTITUTE(SUBSTITUTE(SUBSTITUTE("P:"&amp;A80,"~","~~"),"*","~*"),"?","~?"),Processos!$AS$10:$AS$509,0)),9,INDEX(Processos!$AM$10:$AM$509,MATCH(SUBSTITUTE(SUBSTITUTE(SUBSTITUTE("P:"&amp;A80,"~","~~"),"*","~*"),"?","~?"),Processos!$AS$10:$AS$509,0)))-9),0)</f>
        <v>71</v>
      </c>
      <c r="K80" s="34" t="str">
        <f t="shared" si="7"/>
        <v>P:5074087-97.2018.8.13.0024</v>
      </c>
      <c r="L80" s="14">
        <f>ROW()</f>
        <v>80</v>
      </c>
    </row>
    <row r="81" spans="1:12" ht="60" customHeight="1">
      <c r="A81" s="41" t="s">
        <v>621</v>
      </c>
      <c r="B81" s="43">
        <v>45938</v>
      </c>
      <c r="C81" s="44" t="s">
        <v>1502</v>
      </c>
      <c r="D81" s="51">
        <v>46055</v>
      </c>
      <c r="E81" s="44" t="s">
        <v>1503</v>
      </c>
      <c r="F81" s="44" t="s">
        <v>1504</v>
      </c>
      <c r="G81" s="34">
        <f t="shared" si="4"/>
        <v>1</v>
      </c>
      <c r="H81" s="34" t="str">
        <f t="shared" si="5"/>
        <v>P:5096306-36.2020.8.13.0024|46055</v>
      </c>
      <c r="I81" s="52" t="str">
        <f t="shared" si="6"/>
        <v/>
      </c>
      <c r="J81" s="34">
        <f>IF(AND(A81&lt;&gt;"",ISTEXT(A81),COUNTIFS(Processos!$AS$10:$AS$509,"="&amp;SUBSTITUTE(SUBSTITUTE(SUBSTITUTE("P:"&amp;A81,"~","~~"),"*","~*"),"?","~?"))=1),(IF(ISNA(MATCH(SUBSTITUTE(SUBSTITUTE(SUBSTITUTE("P:"&amp;A81,"~","~~"),"*","~*"),"?","~?"),Processos!$AS$10:$AS$509,0)),9,INDEX(Processos!$AM$10:$AM$509,MATCH(SUBSTITUTE(SUBSTITUTE(SUBSTITUTE("P:"&amp;A81,"~","~~"),"*","~*"),"?","~?"),Processos!$AS$10:$AS$509,0)))-9),0)</f>
        <v>72</v>
      </c>
      <c r="K81" s="34" t="str">
        <f t="shared" si="7"/>
        <v>P:5096306-36.2020.8.13.0024</v>
      </c>
      <c r="L81" s="14">
        <f>ROW()</f>
        <v>81</v>
      </c>
    </row>
    <row r="82" spans="1:12" ht="60" customHeight="1">
      <c r="A82" s="41" t="s">
        <v>625</v>
      </c>
      <c r="B82" s="43">
        <v>46283</v>
      </c>
      <c r="C82" s="44" t="s">
        <v>1505</v>
      </c>
      <c r="D82" s="51">
        <v>46283</v>
      </c>
      <c r="E82" s="44" t="s">
        <v>1506</v>
      </c>
      <c r="F82" s="44" t="s">
        <v>1507</v>
      </c>
      <c r="G82" s="34">
        <f t="shared" si="4"/>
        <v>1</v>
      </c>
      <c r="H82" s="34" t="str">
        <f t="shared" si="5"/>
        <v>P:0001532-68.2015.5.10.0005|46283</v>
      </c>
      <c r="I82" s="52" t="str">
        <f t="shared" si="6"/>
        <v/>
      </c>
      <c r="J82" s="34">
        <f>IF(AND(A82&lt;&gt;"",ISTEXT(A82),COUNTIFS(Processos!$AS$10:$AS$509,"="&amp;SUBSTITUTE(SUBSTITUTE(SUBSTITUTE("P:"&amp;A82,"~","~~"),"*","~*"),"?","~?"))=1),(IF(ISNA(MATCH(SUBSTITUTE(SUBSTITUTE(SUBSTITUTE("P:"&amp;A82,"~","~~"),"*","~*"),"?","~?"),Processos!$AS$10:$AS$509,0)),9,INDEX(Processos!$AM$10:$AM$509,MATCH(SUBSTITUTE(SUBSTITUTE(SUBSTITUTE("P:"&amp;A82,"~","~~"),"*","~*"),"?","~?"),Processos!$AS$10:$AS$509,0)))-9),0)</f>
        <v>73</v>
      </c>
      <c r="K82" s="34" t="str">
        <f t="shared" si="7"/>
        <v>P:0001532-68.2015.5.10.0005</v>
      </c>
      <c r="L82" s="14">
        <f>ROW()</f>
        <v>82</v>
      </c>
    </row>
    <row r="83" spans="1:12" ht="60" customHeight="1">
      <c r="A83" s="41" t="s">
        <v>633</v>
      </c>
      <c r="B83" s="43"/>
      <c r="C83" s="44" t="s">
        <v>1508</v>
      </c>
      <c r="D83" s="51">
        <v>46073</v>
      </c>
      <c r="E83" s="44" t="s">
        <v>1509</v>
      </c>
      <c r="F83" s="44" t="s">
        <v>1510</v>
      </c>
      <c r="G83" s="34">
        <f t="shared" si="4"/>
        <v>1</v>
      </c>
      <c r="H83" s="34" t="str">
        <f t="shared" si="5"/>
        <v>P:0010968-84.2019.5.18.0103 [BMM-074]|46073</v>
      </c>
      <c r="I83" s="52" t="str">
        <f t="shared" si="6"/>
        <v>Informe a data do andamento</v>
      </c>
      <c r="J83" s="34">
        <f>IF(AND(A83&lt;&gt;"",ISTEXT(A83),COUNTIFS(Processos!$AS$10:$AS$509,"="&amp;SUBSTITUTE(SUBSTITUTE(SUBSTITUTE("P:"&amp;A83,"~","~~"),"*","~*"),"?","~?"))=1),(IF(ISNA(MATCH(SUBSTITUTE(SUBSTITUTE(SUBSTITUTE("P:"&amp;A83,"~","~~"),"*","~*"),"?","~?"),Processos!$AS$10:$AS$509,0)),9,INDEX(Processos!$AM$10:$AM$509,MATCH(SUBSTITUTE(SUBSTITUTE(SUBSTITUTE("P:"&amp;A83,"~","~~"),"*","~*"),"?","~?"),Processos!$AS$10:$AS$509,0)))-9),0)</f>
        <v>74</v>
      </c>
      <c r="K83" s="34" t="str">
        <f t="shared" si="7"/>
        <v>P:0010968-84.2019.5.18.0103 [BMM-074]</v>
      </c>
      <c r="L83" s="14">
        <f>ROW()</f>
        <v>83</v>
      </c>
    </row>
    <row r="84" spans="1:12" ht="60" customHeight="1">
      <c r="A84" s="41" t="s">
        <v>637</v>
      </c>
      <c r="B84" s="43"/>
      <c r="C84" s="44" t="s">
        <v>1511</v>
      </c>
      <c r="D84" s="51">
        <v>46052</v>
      </c>
      <c r="E84" s="44" t="s">
        <v>1512</v>
      </c>
      <c r="F84" s="44" t="s">
        <v>1513</v>
      </c>
      <c r="G84" s="34">
        <f t="shared" si="4"/>
        <v>1</v>
      </c>
      <c r="H84" s="34" t="str">
        <f t="shared" si="5"/>
        <v>P:0071379-91.2014.4.01.3800|46052</v>
      </c>
      <c r="I84" s="52" t="str">
        <f t="shared" si="6"/>
        <v>Informe a data do andamento</v>
      </c>
      <c r="J84" s="34">
        <f>IF(AND(A84&lt;&gt;"",ISTEXT(A84),COUNTIFS(Processos!$AS$10:$AS$509,"="&amp;SUBSTITUTE(SUBSTITUTE(SUBSTITUTE("P:"&amp;A84,"~","~~"),"*","~*"),"?","~?"))=1),(IF(ISNA(MATCH(SUBSTITUTE(SUBSTITUTE(SUBSTITUTE("P:"&amp;A84,"~","~~"),"*","~*"),"?","~?"),Processos!$AS$10:$AS$509,0)),9,INDEX(Processos!$AM$10:$AM$509,MATCH(SUBSTITUTE(SUBSTITUTE(SUBSTITUTE("P:"&amp;A84,"~","~~"),"*","~*"),"?","~?"),Processos!$AS$10:$AS$509,0)))-9),0)</f>
        <v>75</v>
      </c>
      <c r="K84" s="34" t="str">
        <f t="shared" si="7"/>
        <v>P:0071379-91.2014.4.01.3800</v>
      </c>
      <c r="L84" s="14">
        <f>ROW()</f>
        <v>84</v>
      </c>
    </row>
    <row r="85" spans="1:12" ht="60" customHeight="1">
      <c r="A85" s="41" t="s">
        <v>643</v>
      </c>
      <c r="B85" s="43">
        <v>46275</v>
      </c>
      <c r="C85" s="44" t="s">
        <v>1514</v>
      </c>
      <c r="D85" s="51">
        <v>46275</v>
      </c>
      <c r="E85" s="44" t="s">
        <v>1515</v>
      </c>
      <c r="F85" s="44" t="s">
        <v>1516</v>
      </c>
      <c r="G85" s="34">
        <f t="shared" si="4"/>
        <v>1</v>
      </c>
      <c r="H85" s="34" t="str">
        <f t="shared" si="5"/>
        <v>P:0049710-50.2012.4.01.3800|46275</v>
      </c>
      <c r="I85" s="52" t="str">
        <f t="shared" si="6"/>
        <v/>
      </c>
      <c r="J85" s="34">
        <f>IF(AND(A85&lt;&gt;"",ISTEXT(A85),COUNTIFS(Processos!$AS$10:$AS$509,"="&amp;SUBSTITUTE(SUBSTITUTE(SUBSTITUTE("P:"&amp;A85,"~","~~"),"*","~*"),"?","~?"))=1),(IF(ISNA(MATCH(SUBSTITUTE(SUBSTITUTE(SUBSTITUTE("P:"&amp;A85,"~","~~"),"*","~*"),"?","~?"),Processos!$AS$10:$AS$509,0)),9,INDEX(Processos!$AM$10:$AM$509,MATCH(SUBSTITUTE(SUBSTITUTE(SUBSTITUTE("P:"&amp;A85,"~","~~"),"*","~*"),"?","~?"),Processos!$AS$10:$AS$509,0)))-9),0)</f>
        <v>76</v>
      </c>
      <c r="K85" s="34" t="str">
        <f t="shared" si="7"/>
        <v>P:0049710-50.2012.4.01.3800</v>
      </c>
      <c r="L85" s="14">
        <f>ROW()</f>
        <v>85</v>
      </c>
    </row>
    <row r="86" spans="1:12" ht="60" customHeight="1">
      <c r="A86" s="41" t="s">
        <v>647</v>
      </c>
      <c r="B86" s="43">
        <v>44651</v>
      </c>
      <c r="C86" s="44" t="s">
        <v>1517</v>
      </c>
      <c r="D86" s="51">
        <v>46052</v>
      </c>
      <c r="E86" s="44" t="s">
        <v>1518</v>
      </c>
      <c r="F86" s="44" t="s">
        <v>1519</v>
      </c>
      <c r="G86" s="34">
        <f t="shared" si="4"/>
        <v>1</v>
      </c>
      <c r="H86" s="34" t="str">
        <f t="shared" si="5"/>
        <v>P:0032498-11.2015.4.01.3800|46052</v>
      </c>
      <c r="I86" s="52" t="str">
        <f t="shared" si="6"/>
        <v/>
      </c>
      <c r="J86" s="34">
        <f>IF(AND(A86&lt;&gt;"",ISTEXT(A86),COUNTIFS(Processos!$AS$10:$AS$509,"="&amp;SUBSTITUTE(SUBSTITUTE(SUBSTITUTE("P:"&amp;A86,"~","~~"),"*","~*"),"?","~?"))=1),(IF(ISNA(MATCH(SUBSTITUTE(SUBSTITUTE(SUBSTITUTE("P:"&amp;A86,"~","~~"),"*","~*"),"?","~?"),Processos!$AS$10:$AS$509,0)),9,INDEX(Processos!$AM$10:$AM$509,MATCH(SUBSTITUTE(SUBSTITUTE(SUBSTITUTE("P:"&amp;A86,"~","~~"),"*","~*"),"?","~?"),Processos!$AS$10:$AS$509,0)))-9),0)</f>
        <v>77</v>
      </c>
      <c r="K86" s="34" t="str">
        <f t="shared" si="7"/>
        <v>P:0032498-11.2015.4.01.3800</v>
      </c>
      <c r="L86" s="14">
        <f>ROW()</f>
        <v>86</v>
      </c>
    </row>
    <row r="87" spans="1:12" ht="60" customHeight="1">
      <c r="A87" s="41" t="s">
        <v>653</v>
      </c>
      <c r="B87" s="43"/>
      <c r="C87" s="44" t="s">
        <v>1520</v>
      </c>
      <c r="D87" s="51">
        <v>45978</v>
      </c>
      <c r="E87" s="44" t="s">
        <v>1521</v>
      </c>
      <c r="F87" s="44" t="s">
        <v>1522</v>
      </c>
      <c r="G87" s="34">
        <f t="shared" si="4"/>
        <v>1</v>
      </c>
      <c r="H87" s="34" t="str">
        <f t="shared" si="5"/>
        <v>P:5035486-22.2018.8.13.0024|45978</v>
      </c>
      <c r="I87" s="52" t="str">
        <f t="shared" si="6"/>
        <v>Informe a data do andamento</v>
      </c>
      <c r="J87" s="34">
        <f>IF(AND(A87&lt;&gt;"",ISTEXT(A87),COUNTIFS(Processos!$AS$10:$AS$509,"="&amp;SUBSTITUTE(SUBSTITUTE(SUBSTITUTE("P:"&amp;A87,"~","~~"),"*","~*"),"?","~?"))=1),(IF(ISNA(MATCH(SUBSTITUTE(SUBSTITUTE(SUBSTITUTE("P:"&amp;A87,"~","~~"),"*","~*"),"?","~?"),Processos!$AS$10:$AS$509,0)),9,INDEX(Processos!$AM$10:$AM$509,MATCH(SUBSTITUTE(SUBSTITUTE(SUBSTITUTE("P:"&amp;A87,"~","~~"),"*","~*"),"?","~?"),Processos!$AS$10:$AS$509,0)))-9),0)</f>
        <v>78</v>
      </c>
      <c r="K87" s="34" t="str">
        <f t="shared" si="7"/>
        <v>P:5035486-22.2018.8.13.0024</v>
      </c>
      <c r="L87" s="14">
        <f>ROW()</f>
        <v>87</v>
      </c>
    </row>
    <row r="88" spans="1:12" ht="60" customHeight="1">
      <c r="A88" s="41" t="s">
        <v>658</v>
      </c>
      <c r="B88" s="43">
        <v>46182</v>
      </c>
      <c r="C88" s="44" t="s">
        <v>1523</v>
      </c>
      <c r="D88" s="51">
        <v>46055</v>
      </c>
      <c r="E88" s="44" t="s">
        <v>1524</v>
      </c>
      <c r="F88" s="44" t="s">
        <v>1525</v>
      </c>
      <c r="G88" s="34">
        <f t="shared" si="4"/>
        <v>1</v>
      </c>
      <c r="H88" s="34" t="str">
        <f t="shared" si="5"/>
        <v>P:0010246-78.2024.5.18.0231|46055</v>
      </c>
      <c r="I88" s="52" t="str">
        <f t="shared" si="6"/>
        <v/>
      </c>
      <c r="J88" s="34">
        <f>IF(AND(A88&lt;&gt;"",ISTEXT(A88),COUNTIFS(Processos!$AS$10:$AS$509,"="&amp;SUBSTITUTE(SUBSTITUTE(SUBSTITUTE("P:"&amp;A88,"~","~~"),"*","~*"),"?","~?"))=1),(IF(ISNA(MATCH(SUBSTITUTE(SUBSTITUTE(SUBSTITUTE("P:"&amp;A88,"~","~~"),"*","~*"),"?","~?"),Processos!$AS$10:$AS$509,0)),9,INDEX(Processos!$AM$10:$AM$509,MATCH(SUBSTITUTE(SUBSTITUTE(SUBSTITUTE("P:"&amp;A88,"~","~~"),"*","~*"),"?","~?"),Processos!$AS$10:$AS$509,0)))-9),0)</f>
        <v>79</v>
      </c>
      <c r="K88" s="34" t="str">
        <f t="shared" si="7"/>
        <v>P:0010246-78.2024.5.18.0231</v>
      </c>
      <c r="L88" s="14">
        <f>ROW()</f>
        <v>88</v>
      </c>
    </row>
    <row r="89" spans="1:12" ht="60" customHeight="1">
      <c r="A89" s="41" t="s">
        <v>665</v>
      </c>
      <c r="B89" s="43">
        <v>46273</v>
      </c>
      <c r="C89" s="44" t="s">
        <v>1526</v>
      </c>
      <c r="D89" s="51">
        <v>46273</v>
      </c>
      <c r="E89" s="44" t="s">
        <v>1527</v>
      </c>
      <c r="F89" s="44" t="s">
        <v>1528</v>
      </c>
      <c r="G89" s="34">
        <f t="shared" si="4"/>
        <v>1</v>
      </c>
      <c r="H89" s="34" t="str">
        <f t="shared" si="5"/>
        <v>P:0010245-93.2024.5.18.0231|46273</v>
      </c>
      <c r="I89" s="52" t="str">
        <f t="shared" si="6"/>
        <v/>
      </c>
      <c r="J89" s="34">
        <f>IF(AND(A89&lt;&gt;"",ISTEXT(A89),COUNTIFS(Processos!$AS$10:$AS$509,"="&amp;SUBSTITUTE(SUBSTITUTE(SUBSTITUTE("P:"&amp;A89,"~","~~"),"*","~*"),"?","~?"))=1),(IF(ISNA(MATCH(SUBSTITUTE(SUBSTITUTE(SUBSTITUTE("P:"&amp;A89,"~","~~"),"*","~*"),"?","~?"),Processos!$AS$10:$AS$509,0)),9,INDEX(Processos!$AM$10:$AM$509,MATCH(SUBSTITUTE(SUBSTITUTE(SUBSTITUTE("P:"&amp;A89,"~","~~"),"*","~*"),"?","~?"),Processos!$AS$10:$AS$509,0)))-9),0)</f>
        <v>80</v>
      </c>
      <c r="K89" s="34" t="str">
        <f t="shared" si="7"/>
        <v>P:0010245-93.2024.5.18.0231</v>
      </c>
      <c r="L89" s="14">
        <f>ROW()</f>
        <v>89</v>
      </c>
    </row>
    <row r="90" spans="1:12" ht="60" customHeight="1">
      <c r="A90" s="41" t="s">
        <v>669</v>
      </c>
      <c r="B90" s="43">
        <v>46003</v>
      </c>
      <c r="C90" s="44" t="s">
        <v>1529</v>
      </c>
      <c r="D90" s="51">
        <v>46055</v>
      </c>
      <c r="E90" s="44" t="s">
        <v>1530</v>
      </c>
      <c r="F90" s="44" t="s">
        <v>1531</v>
      </c>
      <c r="G90" s="34">
        <f t="shared" si="4"/>
        <v>1</v>
      </c>
      <c r="H90" s="34" t="str">
        <f t="shared" si="5"/>
        <v>P:0010298-49.2024.5.18.0013|46055</v>
      </c>
      <c r="I90" s="52" t="str">
        <f t="shared" si="6"/>
        <v/>
      </c>
      <c r="J90" s="34">
        <f>IF(AND(A90&lt;&gt;"",ISTEXT(A90),COUNTIFS(Processos!$AS$10:$AS$509,"="&amp;SUBSTITUTE(SUBSTITUTE(SUBSTITUTE("P:"&amp;A90,"~","~~"),"*","~*"),"?","~?"))=1),(IF(ISNA(MATCH(SUBSTITUTE(SUBSTITUTE(SUBSTITUTE("P:"&amp;A90,"~","~~"),"*","~*"),"?","~?"),Processos!$AS$10:$AS$509,0)),9,INDEX(Processos!$AM$10:$AM$509,MATCH(SUBSTITUTE(SUBSTITUTE(SUBSTITUTE("P:"&amp;A90,"~","~~"),"*","~*"),"?","~?"),Processos!$AS$10:$AS$509,0)))-9),0)</f>
        <v>81</v>
      </c>
      <c r="K90" s="34" t="str">
        <f t="shared" si="7"/>
        <v>P:0010298-49.2024.5.18.0013</v>
      </c>
      <c r="L90" s="14">
        <f>ROW()</f>
        <v>90</v>
      </c>
    </row>
    <row r="91" spans="1:12" ht="60" customHeight="1">
      <c r="A91" s="41" t="s">
        <v>675</v>
      </c>
      <c r="B91" s="43"/>
      <c r="C91" s="44" t="s">
        <v>1532</v>
      </c>
      <c r="D91" s="51">
        <v>45653</v>
      </c>
      <c r="E91" s="44" t="s">
        <v>1533</v>
      </c>
      <c r="F91" s="44" t="s">
        <v>1534</v>
      </c>
      <c r="G91" s="34">
        <f t="shared" si="4"/>
        <v>1</v>
      </c>
      <c r="H91" s="34" t="str">
        <f t="shared" si="5"/>
        <v>P:0012596-61.2015.5.18.0261|45653</v>
      </c>
      <c r="I91" s="52" t="str">
        <f t="shared" si="6"/>
        <v>Informe a data do andamento</v>
      </c>
      <c r="J91" s="34">
        <f>IF(AND(A91&lt;&gt;"",ISTEXT(A91),COUNTIFS(Processos!$AS$10:$AS$509,"="&amp;SUBSTITUTE(SUBSTITUTE(SUBSTITUTE("P:"&amp;A91,"~","~~"),"*","~*"),"?","~?"))=1),(IF(ISNA(MATCH(SUBSTITUTE(SUBSTITUTE(SUBSTITUTE("P:"&amp;A91,"~","~~"),"*","~*"),"?","~?"),Processos!$AS$10:$AS$509,0)),9,INDEX(Processos!$AM$10:$AM$509,MATCH(SUBSTITUTE(SUBSTITUTE(SUBSTITUTE("P:"&amp;A91,"~","~~"),"*","~*"),"?","~?"),Processos!$AS$10:$AS$509,0)))-9),0)</f>
        <v>82</v>
      </c>
      <c r="K91" s="34" t="str">
        <f t="shared" si="7"/>
        <v>P:0012596-61.2015.5.18.0261</v>
      </c>
      <c r="L91" s="14">
        <f>ROW()</f>
        <v>91</v>
      </c>
    </row>
    <row r="92" spans="1:12" ht="60" customHeight="1">
      <c r="A92" s="41" t="s">
        <v>681</v>
      </c>
      <c r="B92" s="43">
        <v>46280</v>
      </c>
      <c r="C92" s="44" t="s">
        <v>1535</v>
      </c>
      <c r="D92" s="51">
        <v>46280</v>
      </c>
      <c r="E92" s="44" t="s">
        <v>1536</v>
      </c>
      <c r="F92" s="44" t="s">
        <v>1537</v>
      </c>
      <c r="G92" s="34">
        <f t="shared" si="4"/>
        <v>1</v>
      </c>
      <c r="H92" s="34" t="str">
        <f t="shared" si="5"/>
        <v>P:0010756-19.2018.5.18.0129|46280</v>
      </c>
      <c r="I92" s="52" t="str">
        <f t="shared" si="6"/>
        <v/>
      </c>
      <c r="J92" s="34">
        <f>IF(AND(A92&lt;&gt;"",ISTEXT(A92),COUNTIFS(Processos!$AS$10:$AS$509,"="&amp;SUBSTITUTE(SUBSTITUTE(SUBSTITUTE("P:"&amp;A92,"~","~~"),"*","~*"),"?","~?"))=1),(IF(ISNA(MATCH(SUBSTITUTE(SUBSTITUTE(SUBSTITUTE("P:"&amp;A92,"~","~~"),"*","~*"),"?","~?"),Processos!$AS$10:$AS$509,0)),9,INDEX(Processos!$AM$10:$AM$509,MATCH(SUBSTITUTE(SUBSTITUTE(SUBSTITUTE("P:"&amp;A92,"~","~~"),"*","~*"),"?","~?"),Processos!$AS$10:$AS$509,0)))-9),0)</f>
        <v>83</v>
      </c>
      <c r="K92" s="34" t="str">
        <f t="shared" si="7"/>
        <v>P:0010756-19.2018.5.18.0129</v>
      </c>
      <c r="L92" s="14">
        <f>ROW()</f>
        <v>92</v>
      </c>
    </row>
    <row r="93" spans="1:12" ht="60" customHeight="1">
      <c r="A93" s="41" t="s">
        <v>689</v>
      </c>
      <c r="B93" s="43">
        <v>46059</v>
      </c>
      <c r="C93" s="44" t="s">
        <v>1538</v>
      </c>
      <c r="D93" s="51">
        <v>46059</v>
      </c>
      <c r="E93" s="44" t="s">
        <v>1539</v>
      </c>
      <c r="F93" s="44" t="s">
        <v>1540</v>
      </c>
      <c r="G93" s="34">
        <f t="shared" si="4"/>
        <v>1</v>
      </c>
      <c r="H93" s="34" t="str">
        <f t="shared" si="5"/>
        <v>P:0010522-50.2020.5.18.0102|46059</v>
      </c>
      <c r="I93" s="52" t="str">
        <f t="shared" si="6"/>
        <v/>
      </c>
      <c r="J93" s="34">
        <f>IF(AND(A93&lt;&gt;"",ISTEXT(A93),COUNTIFS(Processos!$AS$10:$AS$509,"="&amp;SUBSTITUTE(SUBSTITUTE(SUBSTITUTE("P:"&amp;A93,"~","~~"),"*","~*"),"?","~?"))=1),(IF(ISNA(MATCH(SUBSTITUTE(SUBSTITUTE(SUBSTITUTE("P:"&amp;A93,"~","~~"),"*","~*"),"?","~?"),Processos!$AS$10:$AS$509,0)),9,INDEX(Processos!$AM$10:$AM$509,MATCH(SUBSTITUTE(SUBSTITUTE(SUBSTITUTE("P:"&amp;A93,"~","~~"),"*","~*"),"?","~?"),Processos!$AS$10:$AS$509,0)))-9),0)</f>
        <v>84</v>
      </c>
      <c r="K93" s="34" t="str">
        <f t="shared" si="7"/>
        <v>P:0010522-50.2020.5.18.0102</v>
      </c>
      <c r="L93" s="14">
        <f>ROW()</f>
        <v>93</v>
      </c>
    </row>
    <row r="94" spans="1:12" ht="60" customHeight="1">
      <c r="A94" s="41" t="s">
        <v>696</v>
      </c>
      <c r="B94" s="43">
        <v>44617</v>
      </c>
      <c r="C94" s="44" t="s">
        <v>1541</v>
      </c>
      <c r="D94" s="51">
        <v>46055</v>
      </c>
      <c r="E94" s="44" t="s">
        <v>1542</v>
      </c>
      <c r="F94" s="44" t="s">
        <v>1543</v>
      </c>
      <c r="G94" s="34">
        <f t="shared" si="4"/>
        <v>1</v>
      </c>
      <c r="H94" s="34" t="str">
        <f t="shared" si="5"/>
        <v>P:0010993-94.2019.5.18.0104|46055</v>
      </c>
      <c r="I94" s="52" t="str">
        <f t="shared" si="6"/>
        <v/>
      </c>
      <c r="J94" s="34">
        <f>IF(AND(A94&lt;&gt;"",ISTEXT(A94),COUNTIFS(Processos!$AS$10:$AS$509,"="&amp;SUBSTITUTE(SUBSTITUTE(SUBSTITUTE("P:"&amp;A94,"~","~~"),"*","~*"),"?","~?"))=1),(IF(ISNA(MATCH(SUBSTITUTE(SUBSTITUTE(SUBSTITUTE("P:"&amp;A94,"~","~~"),"*","~*"),"?","~?"),Processos!$AS$10:$AS$509,0)),9,INDEX(Processos!$AM$10:$AM$509,MATCH(SUBSTITUTE(SUBSTITUTE(SUBSTITUTE("P:"&amp;A94,"~","~~"),"*","~*"),"?","~?"),Processos!$AS$10:$AS$509,0)))-9),0)</f>
        <v>85</v>
      </c>
      <c r="K94" s="34" t="str">
        <f t="shared" si="7"/>
        <v>P:0010993-94.2019.5.18.0104</v>
      </c>
      <c r="L94" s="14">
        <f>ROW()</f>
        <v>94</v>
      </c>
    </row>
    <row r="95" spans="1:12" ht="60" customHeight="1">
      <c r="A95" s="41" t="s">
        <v>702</v>
      </c>
      <c r="B95" s="43">
        <v>46059</v>
      </c>
      <c r="C95" s="44" t="s">
        <v>1544</v>
      </c>
      <c r="D95" s="51">
        <v>46059</v>
      </c>
      <c r="E95" s="44" t="s">
        <v>1545</v>
      </c>
      <c r="F95" s="44" t="s">
        <v>1546</v>
      </c>
      <c r="G95" s="34">
        <f t="shared" si="4"/>
        <v>1</v>
      </c>
      <c r="H95" s="34" t="str">
        <f t="shared" si="5"/>
        <v>P:1000876-51.2020.5.02.0261|46059</v>
      </c>
      <c r="I95" s="52" t="str">
        <f t="shared" si="6"/>
        <v/>
      </c>
      <c r="J95" s="34">
        <f>IF(AND(A95&lt;&gt;"",ISTEXT(A95),COUNTIFS(Processos!$AS$10:$AS$509,"="&amp;SUBSTITUTE(SUBSTITUTE(SUBSTITUTE("P:"&amp;A95,"~","~~"),"*","~*"),"?","~?"))=1),(IF(ISNA(MATCH(SUBSTITUTE(SUBSTITUTE(SUBSTITUTE("P:"&amp;A95,"~","~~"),"*","~*"),"?","~?"),Processos!$AS$10:$AS$509,0)),9,INDEX(Processos!$AM$10:$AM$509,MATCH(SUBSTITUTE(SUBSTITUTE(SUBSTITUTE("P:"&amp;A95,"~","~~"),"*","~*"),"?","~?"),Processos!$AS$10:$AS$509,0)))-9),0)</f>
        <v>86</v>
      </c>
      <c r="K95" s="34" t="str">
        <f t="shared" si="7"/>
        <v>P:1000876-51.2020.5.02.0261</v>
      </c>
      <c r="L95" s="14">
        <f>ROW()</f>
        <v>95</v>
      </c>
    </row>
    <row r="96" spans="1:12" ht="60" customHeight="1">
      <c r="A96" s="41" t="s">
        <v>710</v>
      </c>
      <c r="B96" s="43">
        <v>46135</v>
      </c>
      <c r="C96" s="44" t="s">
        <v>1547</v>
      </c>
      <c r="D96" s="51">
        <v>46135</v>
      </c>
      <c r="E96" s="44" t="s">
        <v>1548</v>
      </c>
      <c r="F96" s="44" t="s">
        <v>1549</v>
      </c>
      <c r="G96" s="34">
        <f t="shared" si="4"/>
        <v>1</v>
      </c>
      <c r="H96" s="34" t="str">
        <f t="shared" si="5"/>
        <v>P:0010723-70.2019.5.18.0104|46135</v>
      </c>
      <c r="I96" s="52" t="str">
        <f t="shared" si="6"/>
        <v/>
      </c>
      <c r="J96" s="34">
        <f>IF(AND(A96&lt;&gt;"",ISTEXT(A96),COUNTIFS(Processos!$AS$10:$AS$509,"="&amp;SUBSTITUTE(SUBSTITUTE(SUBSTITUTE("P:"&amp;A96,"~","~~"),"*","~*"),"?","~?"))=1),(IF(ISNA(MATCH(SUBSTITUTE(SUBSTITUTE(SUBSTITUTE("P:"&amp;A96,"~","~~"),"*","~*"),"?","~?"),Processos!$AS$10:$AS$509,0)),9,INDEX(Processos!$AM$10:$AM$509,MATCH(SUBSTITUTE(SUBSTITUTE(SUBSTITUTE("P:"&amp;A96,"~","~~"),"*","~*"),"?","~?"),Processos!$AS$10:$AS$509,0)))-9),0)</f>
        <v>87</v>
      </c>
      <c r="K96" s="34" t="str">
        <f t="shared" si="7"/>
        <v>P:0010723-70.2019.5.18.0104</v>
      </c>
      <c r="L96" s="14">
        <f>ROW()</f>
        <v>96</v>
      </c>
    </row>
    <row r="97" spans="1:12" ht="60" customHeight="1">
      <c r="A97" s="41" t="s">
        <v>715</v>
      </c>
      <c r="B97" s="43"/>
      <c r="C97" s="44" t="s">
        <v>1550</v>
      </c>
      <c r="D97" s="51">
        <v>46055</v>
      </c>
      <c r="E97" s="44" t="s">
        <v>1551</v>
      </c>
      <c r="F97" s="44" t="s">
        <v>1552</v>
      </c>
      <c r="G97" s="34">
        <f t="shared" si="4"/>
        <v>1</v>
      </c>
      <c r="H97" s="34" t="str">
        <f t="shared" si="5"/>
        <v>P:0000159-22.2025.5.18.0201|46055</v>
      </c>
      <c r="I97" s="52" t="str">
        <f t="shared" si="6"/>
        <v>Informe a data do andamento</v>
      </c>
      <c r="J97" s="34">
        <f>IF(AND(A97&lt;&gt;"",ISTEXT(A97),COUNTIFS(Processos!$AS$10:$AS$509,"="&amp;SUBSTITUTE(SUBSTITUTE(SUBSTITUTE("P:"&amp;A97,"~","~~"),"*","~*"),"?","~?"))=1),(IF(ISNA(MATCH(SUBSTITUTE(SUBSTITUTE(SUBSTITUTE("P:"&amp;A97,"~","~~"),"*","~*"),"?","~?"),Processos!$AS$10:$AS$509,0)),9,INDEX(Processos!$AM$10:$AM$509,MATCH(SUBSTITUTE(SUBSTITUTE(SUBSTITUTE("P:"&amp;A97,"~","~~"),"*","~*"),"?","~?"),Processos!$AS$10:$AS$509,0)))-9),0)</f>
        <v>88</v>
      </c>
      <c r="K97" s="34" t="str">
        <f t="shared" si="7"/>
        <v>P:0000159-22.2025.5.18.0201</v>
      </c>
      <c r="L97" s="14">
        <f>ROW()</f>
        <v>97</v>
      </c>
    </row>
    <row r="98" spans="1:12" ht="60" customHeight="1">
      <c r="A98" s="41" t="s">
        <v>721</v>
      </c>
      <c r="B98" s="43">
        <v>46274</v>
      </c>
      <c r="C98" s="44" t="s">
        <v>1553</v>
      </c>
      <c r="D98" s="51">
        <v>46274</v>
      </c>
      <c r="E98" s="44" t="s">
        <v>1554</v>
      </c>
      <c r="F98" s="44" t="s">
        <v>1555</v>
      </c>
      <c r="G98" s="34">
        <f t="shared" si="4"/>
        <v>1</v>
      </c>
      <c r="H98" s="34" t="str">
        <f t="shared" si="5"/>
        <v>P:0820668-09.2024.8.12.0001|46274</v>
      </c>
      <c r="I98" s="52" t="str">
        <f t="shared" si="6"/>
        <v/>
      </c>
      <c r="J98" s="34">
        <f>IF(AND(A98&lt;&gt;"",ISTEXT(A98),COUNTIFS(Processos!$AS$10:$AS$509,"="&amp;SUBSTITUTE(SUBSTITUTE(SUBSTITUTE("P:"&amp;A98,"~","~~"),"*","~*"),"?","~?"))=1),(IF(ISNA(MATCH(SUBSTITUTE(SUBSTITUTE(SUBSTITUTE("P:"&amp;A98,"~","~~"),"*","~*"),"?","~?"),Processos!$AS$10:$AS$509,0)),9,INDEX(Processos!$AM$10:$AM$509,MATCH(SUBSTITUTE(SUBSTITUTE(SUBSTITUTE("P:"&amp;A98,"~","~~"),"*","~*"),"?","~?"),Processos!$AS$10:$AS$509,0)))-9),0)</f>
        <v>89</v>
      </c>
      <c r="K98" s="34" t="str">
        <f t="shared" si="7"/>
        <v>P:0820668-09.2024.8.12.0001</v>
      </c>
      <c r="L98" s="14">
        <f>ROW()</f>
        <v>98</v>
      </c>
    </row>
    <row r="99" spans="1:12" ht="60" customHeight="1">
      <c r="A99" s="41" t="s">
        <v>729</v>
      </c>
      <c r="B99" s="43"/>
      <c r="C99" s="44" t="s">
        <v>1556</v>
      </c>
      <c r="D99" s="51">
        <v>45512</v>
      </c>
      <c r="E99" s="44" t="s">
        <v>1557</v>
      </c>
      <c r="F99" s="44" t="s">
        <v>1558</v>
      </c>
      <c r="G99" s="34">
        <f t="shared" si="4"/>
        <v>1</v>
      </c>
      <c r="H99" s="34" t="str">
        <f t="shared" si="5"/>
        <v>P:0010941-35.2018.5.18.0104 [BMM-090]|45512</v>
      </c>
      <c r="I99" s="52" t="str">
        <f t="shared" si="6"/>
        <v>Informe a data do andamento</v>
      </c>
      <c r="J99" s="34">
        <f>IF(AND(A99&lt;&gt;"",ISTEXT(A99),COUNTIFS(Processos!$AS$10:$AS$509,"="&amp;SUBSTITUTE(SUBSTITUTE(SUBSTITUTE("P:"&amp;A99,"~","~~"),"*","~*"),"?","~?"))=1),(IF(ISNA(MATCH(SUBSTITUTE(SUBSTITUTE(SUBSTITUTE("P:"&amp;A99,"~","~~"),"*","~*"),"?","~?"),Processos!$AS$10:$AS$509,0)),9,INDEX(Processos!$AM$10:$AM$509,MATCH(SUBSTITUTE(SUBSTITUTE(SUBSTITUTE("P:"&amp;A99,"~","~~"),"*","~*"),"?","~?"),Processos!$AS$10:$AS$509,0)))-9),0)</f>
        <v>90</v>
      </c>
      <c r="K99" s="34" t="str">
        <f t="shared" si="7"/>
        <v>P:0010941-35.2018.5.18.0104 [BMM-090]</v>
      </c>
      <c r="L99" s="14">
        <f>ROW()</f>
        <v>99</v>
      </c>
    </row>
    <row r="100" spans="1:12" ht="60" customHeight="1">
      <c r="A100" s="41" t="s">
        <v>733</v>
      </c>
      <c r="B100" s="43"/>
      <c r="C100" s="44" t="s">
        <v>1559</v>
      </c>
      <c r="D100" s="51">
        <v>46052</v>
      </c>
      <c r="E100" s="44" t="s">
        <v>1560</v>
      </c>
      <c r="F100" s="44" t="s">
        <v>1561</v>
      </c>
      <c r="G100" s="34">
        <f t="shared" si="4"/>
        <v>1</v>
      </c>
      <c r="H100" s="34" t="str">
        <f t="shared" si="5"/>
        <v>P:5263294-40.2021.8.09.0051|46052</v>
      </c>
      <c r="I100" s="52" t="str">
        <f t="shared" si="6"/>
        <v>Informe a data do andamento</v>
      </c>
      <c r="J100" s="34">
        <f>IF(AND(A100&lt;&gt;"",ISTEXT(A100),COUNTIFS(Processos!$AS$10:$AS$509,"="&amp;SUBSTITUTE(SUBSTITUTE(SUBSTITUTE("P:"&amp;A100,"~","~~"),"*","~*"),"?","~?"))=1),(IF(ISNA(MATCH(SUBSTITUTE(SUBSTITUTE(SUBSTITUTE("P:"&amp;A100,"~","~~"),"*","~*"),"?","~?"),Processos!$AS$10:$AS$509,0)),9,INDEX(Processos!$AM$10:$AM$509,MATCH(SUBSTITUTE(SUBSTITUTE(SUBSTITUTE("P:"&amp;A100,"~","~~"),"*","~*"),"?","~?"),Processos!$AS$10:$AS$509,0)))-9),0)</f>
        <v>91</v>
      </c>
      <c r="K100" s="34" t="str">
        <f t="shared" si="7"/>
        <v>P:5263294-40.2021.8.09.0051</v>
      </c>
      <c r="L100" s="14">
        <f>ROW()</f>
        <v>100</v>
      </c>
    </row>
    <row r="101" spans="1:12" ht="60" customHeight="1">
      <c r="A101" s="41" t="s">
        <v>741</v>
      </c>
      <c r="B101" s="43">
        <v>45957</v>
      </c>
      <c r="C101" s="44" t="s">
        <v>1562</v>
      </c>
      <c r="D101" s="51">
        <v>46055</v>
      </c>
      <c r="E101" s="44" t="s">
        <v>1563</v>
      </c>
      <c r="F101" s="44" t="s">
        <v>1564</v>
      </c>
      <c r="G101" s="34">
        <f t="shared" si="4"/>
        <v>1</v>
      </c>
      <c r="H101" s="34" t="str">
        <f t="shared" si="5"/>
        <v>P:5542516-52.2025.8.09.0045|46055</v>
      </c>
      <c r="I101" s="52" t="str">
        <f t="shared" si="6"/>
        <v/>
      </c>
      <c r="J101" s="34">
        <f>IF(AND(A101&lt;&gt;"",ISTEXT(A101),COUNTIFS(Processos!$AS$10:$AS$509,"="&amp;SUBSTITUTE(SUBSTITUTE(SUBSTITUTE("P:"&amp;A101,"~","~~"),"*","~*"),"?","~?"))=1),(IF(ISNA(MATCH(SUBSTITUTE(SUBSTITUTE(SUBSTITUTE("P:"&amp;A101,"~","~~"),"*","~*"),"?","~?"),Processos!$AS$10:$AS$509,0)),9,INDEX(Processos!$AM$10:$AM$509,MATCH(SUBSTITUTE(SUBSTITUTE(SUBSTITUTE("P:"&amp;A101,"~","~~"),"*","~*"),"?","~?"),Processos!$AS$10:$AS$509,0)))-9),0)</f>
        <v>92</v>
      </c>
      <c r="K101" s="34" t="str">
        <f t="shared" si="7"/>
        <v>P:5542516-52.2025.8.09.0045</v>
      </c>
      <c r="L101" s="14">
        <f>ROW()</f>
        <v>101</v>
      </c>
    </row>
    <row r="102" spans="1:12" ht="60" customHeight="1">
      <c r="A102" s="41" t="s">
        <v>747</v>
      </c>
      <c r="B102" s="43">
        <v>46063</v>
      </c>
      <c r="C102" s="44" t="s">
        <v>1565</v>
      </c>
      <c r="D102" s="51">
        <v>46064</v>
      </c>
      <c r="E102" s="44" t="s">
        <v>1566</v>
      </c>
      <c r="F102" s="44" t="s">
        <v>1567</v>
      </c>
      <c r="G102" s="34">
        <f t="shared" si="4"/>
        <v>1</v>
      </c>
      <c r="H102" s="34" t="str">
        <f t="shared" si="5"/>
        <v>P:0011074-81.2024.5.03.0008 [BMM-093]|46064</v>
      </c>
      <c r="I102" s="52" t="str">
        <f t="shared" si="6"/>
        <v/>
      </c>
      <c r="J102" s="34">
        <f>IF(AND(A102&lt;&gt;"",ISTEXT(A102),COUNTIFS(Processos!$AS$10:$AS$509,"="&amp;SUBSTITUTE(SUBSTITUTE(SUBSTITUTE("P:"&amp;A102,"~","~~"),"*","~*"),"?","~?"))=1),(IF(ISNA(MATCH(SUBSTITUTE(SUBSTITUTE(SUBSTITUTE("P:"&amp;A102,"~","~~"),"*","~*"),"?","~?"),Processos!$AS$10:$AS$509,0)),9,INDEX(Processos!$AM$10:$AM$509,MATCH(SUBSTITUTE(SUBSTITUTE(SUBSTITUTE("P:"&amp;A102,"~","~~"),"*","~*"),"?","~?"),Processos!$AS$10:$AS$509,0)))-9),0)</f>
        <v>93</v>
      </c>
      <c r="K102" s="34" t="str">
        <f t="shared" si="7"/>
        <v>P:0011074-81.2024.5.03.0008 [BMM-093]</v>
      </c>
      <c r="L102" s="14">
        <f>ROW()</f>
        <v>102</v>
      </c>
    </row>
    <row r="103" spans="1:12" ht="60" customHeight="1">
      <c r="A103" s="41" t="s">
        <v>754</v>
      </c>
      <c r="B103" s="43">
        <v>45994</v>
      </c>
      <c r="C103" s="44" t="s">
        <v>1568</v>
      </c>
      <c r="D103" s="51">
        <v>46064</v>
      </c>
      <c r="E103" s="44" t="s">
        <v>1569</v>
      </c>
      <c r="F103" s="44" t="s">
        <v>1570</v>
      </c>
      <c r="G103" s="34">
        <f t="shared" si="4"/>
        <v>1</v>
      </c>
      <c r="H103" s="34" t="str">
        <f t="shared" si="5"/>
        <v>P:1095925-23.2025.8.13.0024|46064</v>
      </c>
      <c r="I103" s="52" t="str">
        <f t="shared" si="6"/>
        <v/>
      </c>
      <c r="J103" s="34">
        <f>IF(AND(A103&lt;&gt;"",ISTEXT(A103),COUNTIFS(Processos!$AS$10:$AS$509,"="&amp;SUBSTITUTE(SUBSTITUTE(SUBSTITUTE("P:"&amp;A103,"~","~~"),"*","~*"),"?","~?"))=1),(IF(ISNA(MATCH(SUBSTITUTE(SUBSTITUTE(SUBSTITUTE("P:"&amp;A103,"~","~~"),"*","~*"),"?","~?"),Processos!$AS$10:$AS$509,0)),9,INDEX(Processos!$AM$10:$AM$509,MATCH(SUBSTITUTE(SUBSTITUTE(SUBSTITUTE("P:"&amp;A103,"~","~~"),"*","~*"),"?","~?"),Processos!$AS$10:$AS$509,0)))-9),0)</f>
        <v>94</v>
      </c>
      <c r="K103" s="34" t="str">
        <f t="shared" si="7"/>
        <v>P:1095925-23.2025.8.13.0024</v>
      </c>
      <c r="L103" s="14">
        <f>ROW()</f>
        <v>103</v>
      </c>
    </row>
    <row r="104" spans="1:12" ht="60" customHeight="1">
      <c r="A104" s="41" t="s">
        <v>760</v>
      </c>
      <c r="B104" s="43">
        <v>46283</v>
      </c>
      <c r="C104" s="44" t="s">
        <v>1505</v>
      </c>
      <c r="D104" s="51">
        <v>46286</v>
      </c>
      <c r="E104" s="44" t="s">
        <v>1571</v>
      </c>
      <c r="F104" s="44" t="s">
        <v>1572</v>
      </c>
      <c r="G104" s="34">
        <f t="shared" si="4"/>
        <v>1</v>
      </c>
      <c r="H104" s="34" t="str">
        <f t="shared" si="5"/>
        <v>P:0000330-07.2025.5.10.0005|46286</v>
      </c>
      <c r="I104" s="52" t="str">
        <f t="shared" si="6"/>
        <v/>
      </c>
      <c r="J104" s="34">
        <f>IF(AND(A104&lt;&gt;"",ISTEXT(A104),COUNTIFS(Processos!$AS$10:$AS$509,"="&amp;SUBSTITUTE(SUBSTITUTE(SUBSTITUTE("P:"&amp;A104,"~","~~"),"*","~*"),"?","~?"))=1),(IF(ISNA(MATCH(SUBSTITUTE(SUBSTITUTE(SUBSTITUTE("P:"&amp;A104,"~","~~"),"*","~*"),"?","~?"),Processos!$AS$10:$AS$509,0)),9,INDEX(Processos!$AM$10:$AM$509,MATCH(SUBSTITUTE(SUBSTITUTE(SUBSTITUTE("P:"&amp;A104,"~","~~"),"*","~*"),"?","~?"),Processos!$AS$10:$AS$509,0)))-9),0)</f>
        <v>95</v>
      </c>
      <c r="K104" s="34" t="str">
        <f t="shared" si="7"/>
        <v>P:0000330-07.2025.5.10.0005</v>
      </c>
      <c r="L104" s="14">
        <f>ROW()</f>
        <v>104</v>
      </c>
    </row>
    <row r="105" spans="1:12" ht="60" customHeight="1">
      <c r="A105" s="41" t="s">
        <v>771</v>
      </c>
      <c r="B105" s="43">
        <v>45903</v>
      </c>
      <c r="C105" s="44" t="s">
        <v>1573</v>
      </c>
      <c r="D105" s="51">
        <v>46064</v>
      </c>
      <c r="E105" s="44" t="s">
        <v>1574</v>
      </c>
      <c r="F105" s="44" t="s">
        <v>1575</v>
      </c>
      <c r="G105" s="34">
        <f t="shared" si="4"/>
        <v>1</v>
      </c>
      <c r="H105" s="34" t="str">
        <f t="shared" si="5"/>
        <v>P:0001128-07.2025.5.18.0211|46064</v>
      </c>
      <c r="I105" s="52" t="str">
        <f t="shared" si="6"/>
        <v/>
      </c>
      <c r="J105" s="34">
        <f>IF(AND(A105&lt;&gt;"",ISTEXT(A105),COUNTIFS(Processos!$AS$10:$AS$509,"="&amp;SUBSTITUTE(SUBSTITUTE(SUBSTITUTE("P:"&amp;A105,"~","~~"),"*","~*"),"?","~?"))=1),(IF(ISNA(MATCH(SUBSTITUTE(SUBSTITUTE(SUBSTITUTE("P:"&amp;A105,"~","~~"),"*","~*"),"?","~?"),Processos!$AS$10:$AS$509,0)),9,INDEX(Processos!$AM$10:$AM$509,MATCH(SUBSTITUTE(SUBSTITUTE(SUBSTITUTE("P:"&amp;A105,"~","~~"),"*","~*"),"?","~?"),Processos!$AS$10:$AS$509,0)))-9),0)</f>
        <v>97</v>
      </c>
      <c r="K105" s="34" t="str">
        <f t="shared" si="7"/>
        <v>P:0001128-07.2025.5.18.0211</v>
      </c>
      <c r="L105" s="14">
        <f>ROW()</f>
        <v>105</v>
      </c>
    </row>
    <row r="106" spans="1:12" ht="60" customHeight="1">
      <c r="A106" s="41" t="s">
        <v>775</v>
      </c>
      <c r="B106" s="43">
        <v>46083</v>
      </c>
      <c r="C106" s="44" t="s">
        <v>1576</v>
      </c>
      <c r="D106" s="51">
        <v>46084</v>
      </c>
      <c r="E106" s="44" t="s">
        <v>1577</v>
      </c>
      <c r="F106" s="44" t="s">
        <v>1578</v>
      </c>
      <c r="G106" s="34">
        <f t="shared" si="4"/>
        <v>1</v>
      </c>
      <c r="H106" s="34" t="str">
        <f t="shared" si="5"/>
        <v>P:0010890-77.2018.5.18.0054|46084</v>
      </c>
      <c r="I106" s="52" t="str">
        <f t="shared" si="6"/>
        <v/>
      </c>
      <c r="J106" s="34">
        <f>IF(AND(A106&lt;&gt;"",ISTEXT(A106),COUNTIFS(Processos!$AS$10:$AS$509,"="&amp;SUBSTITUTE(SUBSTITUTE(SUBSTITUTE("P:"&amp;A106,"~","~~"),"*","~*"),"?","~?"))=1),(IF(ISNA(MATCH(SUBSTITUTE(SUBSTITUTE(SUBSTITUTE("P:"&amp;A106,"~","~~"),"*","~*"),"?","~?"),Processos!$AS$10:$AS$509,0)),9,INDEX(Processos!$AM$10:$AM$509,MATCH(SUBSTITUTE(SUBSTITUTE(SUBSTITUTE("P:"&amp;A106,"~","~~"),"*","~*"),"?","~?"),Processos!$AS$10:$AS$509,0)))-9),0)</f>
        <v>98</v>
      </c>
      <c r="K106" s="34" t="str">
        <f t="shared" si="7"/>
        <v>P:0010890-77.2018.5.18.0054</v>
      </c>
      <c r="L106" s="14">
        <f>ROW()</f>
        <v>106</v>
      </c>
    </row>
    <row r="107" spans="1:12" ht="60" customHeight="1">
      <c r="A107" s="41" t="s">
        <v>781</v>
      </c>
      <c r="B107" s="43">
        <v>46098</v>
      </c>
      <c r="C107" s="44" t="s">
        <v>1579</v>
      </c>
      <c r="D107" s="51">
        <v>46072</v>
      </c>
      <c r="E107" s="44" t="s">
        <v>1580</v>
      </c>
      <c r="F107" s="44" t="s">
        <v>1581</v>
      </c>
      <c r="G107" s="34">
        <f t="shared" si="4"/>
        <v>1</v>
      </c>
      <c r="H107" s="34" t="str">
        <f t="shared" si="5"/>
        <v>P:0010008-81.2019.5.18.0054|46072</v>
      </c>
      <c r="I107" s="52" t="str">
        <f t="shared" si="6"/>
        <v/>
      </c>
      <c r="J107" s="34">
        <f>IF(AND(A107&lt;&gt;"",ISTEXT(A107),COUNTIFS(Processos!$AS$10:$AS$509,"="&amp;SUBSTITUTE(SUBSTITUTE(SUBSTITUTE("P:"&amp;A107,"~","~~"),"*","~*"),"?","~?"))=1),(IF(ISNA(MATCH(SUBSTITUTE(SUBSTITUTE(SUBSTITUTE("P:"&amp;A107,"~","~~"),"*","~*"),"?","~?"),Processos!$AS$10:$AS$509,0)),9,INDEX(Processos!$AM$10:$AM$509,MATCH(SUBSTITUTE(SUBSTITUTE(SUBSTITUTE("P:"&amp;A107,"~","~~"),"*","~*"),"?","~?"),Processos!$AS$10:$AS$509,0)))-9),0)</f>
        <v>99</v>
      </c>
      <c r="K107" s="34" t="str">
        <f t="shared" si="7"/>
        <v>P:0010008-81.2019.5.18.0054</v>
      </c>
      <c r="L107" s="14">
        <f>ROW()</f>
        <v>107</v>
      </c>
    </row>
    <row r="108" spans="1:12" ht="60" customHeight="1">
      <c r="A108" s="41" t="s">
        <v>787</v>
      </c>
      <c r="B108" s="43">
        <v>46090</v>
      </c>
      <c r="C108" s="44" t="s">
        <v>1582</v>
      </c>
      <c r="D108" s="51">
        <v>46073</v>
      </c>
      <c r="E108" s="44" t="s">
        <v>1583</v>
      </c>
      <c r="F108" s="44" t="s">
        <v>1584</v>
      </c>
      <c r="G108" s="34">
        <f t="shared" si="4"/>
        <v>1</v>
      </c>
      <c r="H108" s="34" t="str">
        <f t="shared" si="5"/>
        <v>P:0010009-66.2019.5.18.0054|46073</v>
      </c>
      <c r="I108" s="52" t="str">
        <f t="shared" si="6"/>
        <v/>
      </c>
      <c r="J108" s="34">
        <f>IF(AND(A108&lt;&gt;"",ISTEXT(A108),COUNTIFS(Processos!$AS$10:$AS$509,"="&amp;SUBSTITUTE(SUBSTITUTE(SUBSTITUTE("P:"&amp;A108,"~","~~"),"*","~*"),"?","~?"))=1),(IF(ISNA(MATCH(SUBSTITUTE(SUBSTITUTE(SUBSTITUTE("P:"&amp;A108,"~","~~"),"*","~*"),"?","~?"),Processos!$AS$10:$AS$509,0)),9,INDEX(Processos!$AM$10:$AM$509,MATCH(SUBSTITUTE(SUBSTITUTE(SUBSTITUTE("P:"&amp;A108,"~","~~"),"*","~*"),"?","~?"),Processos!$AS$10:$AS$509,0)))-9),0)</f>
        <v>100</v>
      </c>
      <c r="K108" s="34" t="str">
        <f t="shared" si="7"/>
        <v>P:0010009-66.2019.5.18.0054</v>
      </c>
      <c r="L108" s="14">
        <f>ROW()</f>
        <v>108</v>
      </c>
    </row>
    <row r="109" spans="1:12" ht="60" customHeight="1">
      <c r="A109" s="41" t="s">
        <v>792</v>
      </c>
      <c r="B109" s="43">
        <v>46062</v>
      </c>
      <c r="C109" s="44" t="s">
        <v>1585</v>
      </c>
      <c r="D109" s="51">
        <v>46072</v>
      </c>
      <c r="E109" s="44" t="s">
        <v>1586</v>
      </c>
      <c r="F109" s="44" t="s">
        <v>1587</v>
      </c>
      <c r="G109" s="34">
        <f t="shared" si="4"/>
        <v>1</v>
      </c>
      <c r="H109" s="34" t="str">
        <f t="shared" si="5"/>
        <v>P:0002951-37.2019.8.27.2729|46072</v>
      </c>
      <c r="I109" s="52" t="str">
        <f t="shared" si="6"/>
        <v/>
      </c>
      <c r="J109" s="34">
        <f>IF(AND(A109&lt;&gt;"",ISTEXT(A109),COUNTIFS(Processos!$AS$10:$AS$509,"="&amp;SUBSTITUTE(SUBSTITUTE(SUBSTITUTE("P:"&amp;A109,"~","~~"),"*","~*"),"?","~?"))=1),(IF(ISNA(MATCH(SUBSTITUTE(SUBSTITUTE(SUBSTITUTE("P:"&amp;A109,"~","~~"),"*","~*"),"?","~?"),Processos!$AS$10:$AS$509,0)),9,INDEX(Processos!$AM$10:$AM$509,MATCH(SUBSTITUTE(SUBSTITUTE(SUBSTITUTE("P:"&amp;A109,"~","~~"),"*","~*"),"?","~?"),Processos!$AS$10:$AS$509,0)))-9),0)</f>
        <v>101</v>
      </c>
      <c r="K109" s="34" t="str">
        <f t="shared" si="7"/>
        <v>P:0002951-37.2019.8.27.2729</v>
      </c>
      <c r="L109" s="14">
        <f>ROW()</f>
        <v>109</v>
      </c>
    </row>
    <row r="110" spans="1:12" ht="60" customHeight="1">
      <c r="A110" s="41" t="s">
        <v>799</v>
      </c>
      <c r="B110" s="43">
        <v>46273</v>
      </c>
      <c r="C110" s="44" t="s">
        <v>1588</v>
      </c>
      <c r="D110" s="51">
        <v>46273</v>
      </c>
      <c r="E110" s="44" t="s">
        <v>1589</v>
      </c>
      <c r="F110" s="44" t="s">
        <v>1590</v>
      </c>
      <c r="G110" s="34">
        <f t="shared" si="4"/>
        <v>1</v>
      </c>
      <c r="H110" s="34" t="str">
        <f t="shared" si="5"/>
        <v>P:5239168-56.2026.8.09.0145 [BMM-102]|46273</v>
      </c>
      <c r="I110" s="52" t="str">
        <f t="shared" si="6"/>
        <v/>
      </c>
      <c r="J110" s="34">
        <f>IF(AND(A110&lt;&gt;"",ISTEXT(A110),COUNTIFS(Processos!$AS$10:$AS$509,"="&amp;SUBSTITUTE(SUBSTITUTE(SUBSTITUTE("P:"&amp;A110,"~","~~"),"*","~*"),"?","~?"))=1),(IF(ISNA(MATCH(SUBSTITUTE(SUBSTITUTE(SUBSTITUTE("P:"&amp;A110,"~","~~"),"*","~*"),"?","~?"),Processos!$AS$10:$AS$509,0)),9,INDEX(Processos!$AM$10:$AM$509,MATCH(SUBSTITUTE(SUBSTITUTE(SUBSTITUTE("P:"&amp;A110,"~","~~"),"*","~*"),"?","~?"),Processos!$AS$10:$AS$509,0)))-9),0)</f>
        <v>102</v>
      </c>
      <c r="K110" s="34" t="str">
        <f t="shared" si="7"/>
        <v>P:5239168-56.2026.8.09.0145 [BMM-102]</v>
      </c>
      <c r="L110" s="14">
        <f>ROW()</f>
        <v>110</v>
      </c>
    </row>
    <row r="111" spans="1:12" ht="60" customHeight="1">
      <c r="A111" s="41" t="s">
        <v>805</v>
      </c>
      <c r="B111" s="43">
        <v>46126</v>
      </c>
      <c r="C111" s="44" t="s">
        <v>1591</v>
      </c>
      <c r="D111" s="51">
        <v>46126</v>
      </c>
      <c r="E111" s="44" t="s">
        <v>1592</v>
      </c>
      <c r="F111" s="44" t="s">
        <v>1593</v>
      </c>
      <c r="G111" s="34">
        <f t="shared" si="4"/>
        <v>1</v>
      </c>
      <c r="H111" s="34" t="str">
        <f t="shared" si="5"/>
        <v>P:5049644-08.2019.8.09.0138|46126</v>
      </c>
      <c r="I111" s="52" t="str">
        <f t="shared" si="6"/>
        <v/>
      </c>
      <c r="J111" s="34">
        <f>IF(AND(A111&lt;&gt;"",ISTEXT(A111),COUNTIFS(Processos!$AS$10:$AS$509,"="&amp;SUBSTITUTE(SUBSTITUTE(SUBSTITUTE("P:"&amp;A111,"~","~~"),"*","~*"),"?","~?"))=1),(IF(ISNA(MATCH(SUBSTITUTE(SUBSTITUTE(SUBSTITUTE("P:"&amp;A111,"~","~~"),"*","~*"),"?","~?"),Processos!$AS$10:$AS$509,0)),9,INDEX(Processos!$AM$10:$AM$509,MATCH(SUBSTITUTE(SUBSTITUTE(SUBSTITUTE("P:"&amp;A111,"~","~~"),"*","~*"),"?","~?"),Processos!$AS$10:$AS$509,0)))-9),0)</f>
        <v>103</v>
      </c>
      <c r="K111" s="34" t="str">
        <f t="shared" si="7"/>
        <v>P:5049644-08.2019.8.09.0138</v>
      </c>
      <c r="L111" s="14">
        <f>ROW()</f>
        <v>111</v>
      </c>
    </row>
    <row r="112" spans="1:12" ht="60" customHeight="1">
      <c r="A112" s="41" t="s">
        <v>812</v>
      </c>
      <c r="B112" s="43">
        <v>46135</v>
      </c>
      <c r="C112" s="44" t="s">
        <v>1594</v>
      </c>
      <c r="D112" s="51">
        <v>46135</v>
      </c>
      <c r="E112" s="44" t="s">
        <v>1595</v>
      </c>
      <c r="F112" s="44" t="s">
        <v>1596</v>
      </c>
      <c r="G112" s="34">
        <f t="shared" si="4"/>
        <v>1</v>
      </c>
      <c r="H112" s="34" t="str">
        <f t="shared" si="5"/>
        <v>P:0011074-81.2024.5.03.0008 [BMM-104]|46135</v>
      </c>
      <c r="I112" s="52" t="str">
        <f t="shared" si="6"/>
        <v/>
      </c>
      <c r="J112" s="34">
        <f>IF(AND(A112&lt;&gt;"",ISTEXT(A112),COUNTIFS(Processos!$AS$10:$AS$509,"="&amp;SUBSTITUTE(SUBSTITUTE(SUBSTITUTE("P:"&amp;A112,"~","~~"),"*","~*"),"?","~?"))=1),(IF(ISNA(MATCH(SUBSTITUTE(SUBSTITUTE(SUBSTITUTE("P:"&amp;A112,"~","~~"),"*","~*"),"?","~?"),Processos!$AS$10:$AS$509,0)),9,INDEX(Processos!$AM$10:$AM$509,MATCH(SUBSTITUTE(SUBSTITUTE(SUBSTITUTE("P:"&amp;A112,"~","~~"),"*","~*"),"?","~?"),Processos!$AS$10:$AS$509,0)))-9),0)</f>
        <v>104</v>
      </c>
      <c r="K112" s="34" t="str">
        <f t="shared" si="7"/>
        <v>P:0011074-81.2024.5.03.0008 [BMM-104]</v>
      </c>
      <c r="L112" s="14">
        <f>ROW()</f>
        <v>112</v>
      </c>
    </row>
    <row r="113" spans="1:12" ht="60" customHeight="1">
      <c r="A113" s="41" t="s">
        <v>816</v>
      </c>
      <c r="B113" s="43">
        <v>46269</v>
      </c>
      <c r="C113" s="44" t="s">
        <v>1597</v>
      </c>
      <c r="D113" s="51">
        <v>46286</v>
      </c>
      <c r="E113" s="44" t="s">
        <v>1598</v>
      </c>
      <c r="F113" s="44" t="s">
        <v>1599</v>
      </c>
      <c r="G113" s="34">
        <f t="shared" si="4"/>
        <v>1</v>
      </c>
      <c r="H113" s="34" t="str">
        <f t="shared" si="5"/>
        <v>P:5239168-56.2026.8.09.0145 [BMM-105]|46286</v>
      </c>
      <c r="I113" s="52" t="str">
        <f t="shared" si="6"/>
        <v/>
      </c>
      <c r="J113" s="34">
        <f>IF(AND(A113&lt;&gt;"",ISTEXT(A113),COUNTIFS(Processos!$AS$10:$AS$509,"="&amp;SUBSTITUTE(SUBSTITUTE(SUBSTITUTE("P:"&amp;A113,"~","~~"),"*","~*"),"?","~?"))=1),(IF(ISNA(MATCH(SUBSTITUTE(SUBSTITUTE(SUBSTITUTE("P:"&amp;A113,"~","~~"),"*","~*"),"?","~?"),Processos!$AS$10:$AS$509,0)),9,INDEX(Processos!$AM$10:$AM$509,MATCH(SUBSTITUTE(SUBSTITUTE(SUBSTITUTE("P:"&amp;A113,"~","~~"),"*","~*"),"?","~?"),Processos!$AS$10:$AS$509,0)))-9),0)</f>
        <v>105</v>
      </c>
      <c r="K113" s="34" t="str">
        <f t="shared" si="7"/>
        <v>P:5239168-56.2026.8.09.0145 [BMM-105]</v>
      </c>
      <c r="L113" s="14">
        <f>ROW()</f>
        <v>113</v>
      </c>
    </row>
    <row r="114" spans="1:12" ht="60" customHeight="1">
      <c r="A114" s="41" t="s">
        <v>822</v>
      </c>
      <c r="B114" s="43"/>
      <c r="C114" s="44" t="s">
        <v>1600</v>
      </c>
      <c r="D114" s="51">
        <v>46090</v>
      </c>
      <c r="E114" s="44" t="s">
        <v>1601</v>
      </c>
      <c r="F114" s="44" t="s">
        <v>1602</v>
      </c>
      <c r="G114" s="34">
        <f t="shared" si="4"/>
        <v>1</v>
      </c>
      <c r="H114" s="34" t="str">
        <f t="shared" si="5"/>
        <v>P:50606.002121/2021-88|46090</v>
      </c>
      <c r="I114" s="52" t="str">
        <f t="shared" si="6"/>
        <v>Informe a data do andamento</v>
      </c>
      <c r="J114" s="34">
        <f>IF(AND(A114&lt;&gt;"",ISTEXT(A114),COUNTIFS(Processos!$AS$10:$AS$509,"="&amp;SUBSTITUTE(SUBSTITUTE(SUBSTITUTE("P:"&amp;A114,"~","~~"),"*","~*"),"?","~?"))=1),(IF(ISNA(MATCH(SUBSTITUTE(SUBSTITUTE(SUBSTITUTE("P:"&amp;A114,"~","~~"),"*","~*"),"?","~?"),Processos!$AS$10:$AS$509,0)),9,INDEX(Processos!$AM$10:$AM$509,MATCH(SUBSTITUTE(SUBSTITUTE(SUBSTITUTE("P:"&amp;A114,"~","~~"),"*","~*"),"?","~?"),Processos!$AS$10:$AS$509,0)))-9),0)</f>
        <v>106</v>
      </c>
      <c r="K114" s="34" t="str">
        <f t="shared" si="7"/>
        <v>P:50606.002121/2021-88</v>
      </c>
      <c r="L114" s="14">
        <f>ROW()</f>
        <v>114</v>
      </c>
    </row>
    <row r="115" spans="1:12" ht="60" customHeight="1">
      <c r="A115" s="41" t="s">
        <v>831</v>
      </c>
      <c r="B115" s="43"/>
      <c r="C115" s="44" t="s">
        <v>1603</v>
      </c>
      <c r="D115" s="51">
        <v>46120</v>
      </c>
      <c r="E115" s="44" t="s">
        <v>1604</v>
      </c>
      <c r="F115" s="44" t="s">
        <v>1605</v>
      </c>
      <c r="G115" s="34">
        <f t="shared" si="4"/>
        <v>1</v>
      </c>
      <c r="H115" s="34" t="str">
        <f t="shared" si="5"/>
        <v>P:0736630-73.2022.8.07.0001|46120</v>
      </c>
      <c r="I115" s="52" t="str">
        <f t="shared" si="6"/>
        <v>Informe a data do andamento</v>
      </c>
      <c r="J115" s="34">
        <f>IF(AND(A115&lt;&gt;"",ISTEXT(A115),COUNTIFS(Processos!$AS$10:$AS$509,"="&amp;SUBSTITUTE(SUBSTITUTE(SUBSTITUTE("P:"&amp;A115,"~","~~"),"*","~*"),"?","~?"))=1),(IF(ISNA(MATCH(SUBSTITUTE(SUBSTITUTE(SUBSTITUTE("P:"&amp;A115,"~","~~"),"*","~*"),"?","~?"),Processos!$AS$10:$AS$509,0)),9,INDEX(Processos!$AM$10:$AM$509,MATCH(SUBSTITUTE(SUBSTITUTE(SUBSTITUTE("P:"&amp;A115,"~","~~"),"*","~*"),"?","~?"),Processos!$AS$10:$AS$509,0)))-9),0)</f>
        <v>107</v>
      </c>
      <c r="K115" s="34" t="str">
        <f t="shared" si="7"/>
        <v>P:0736630-73.2022.8.07.0001</v>
      </c>
      <c r="L115" s="14">
        <f>ROW()</f>
        <v>115</v>
      </c>
    </row>
    <row r="116" spans="1:12" ht="60" customHeight="1">
      <c r="A116" s="41" t="s">
        <v>838</v>
      </c>
      <c r="B116" s="43"/>
      <c r="C116" s="44" t="s">
        <v>1606</v>
      </c>
      <c r="D116" s="51">
        <v>46049</v>
      </c>
      <c r="E116" s="44" t="s">
        <v>1607</v>
      </c>
      <c r="F116" s="44" t="s">
        <v>1608</v>
      </c>
      <c r="G116" s="34">
        <f t="shared" si="4"/>
        <v>1</v>
      </c>
      <c r="H116" s="34" t="str">
        <f t="shared" si="5"/>
        <v>P:1135509-42.2021.8.26.0100|46049</v>
      </c>
      <c r="I116" s="52" t="str">
        <f t="shared" si="6"/>
        <v>Informe a data do andamento</v>
      </c>
      <c r="J116" s="34">
        <f>IF(AND(A116&lt;&gt;"",ISTEXT(A116),COUNTIFS(Processos!$AS$10:$AS$509,"="&amp;SUBSTITUTE(SUBSTITUTE(SUBSTITUTE("P:"&amp;A116,"~","~~"),"*","~*"),"?","~?"))=1),(IF(ISNA(MATCH(SUBSTITUTE(SUBSTITUTE(SUBSTITUTE("P:"&amp;A116,"~","~~"),"*","~*"),"?","~?"),Processos!$AS$10:$AS$509,0)),9,INDEX(Processos!$AM$10:$AM$509,MATCH(SUBSTITUTE(SUBSTITUTE(SUBSTITUTE("P:"&amp;A116,"~","~~"),"*","~*"),"?","~?"),Processos!$AS$10:$AS$509,0)))-9),0)</f>
        <v>108</v>
      </c>
      <c r="K116" s="34" t="str">
        <f t="shared" si="7"/>
        <v>P:1135509-42.2021.8.26.0100</v>
      </c>
      <c r="L116" s="14">
        <f>ROW()</f>
        <v>116</v>
      </c>
    </row>
    <row r="117" spans="1:12" ht="60" customHeight="1">
      <c r="A117" s="41" t="s">
        <v>843</v>
      </c>
      <c r="B117" s="43">
        <v>44910</v>
      </c>
      <c r="C117" s="44" t="s">
        <v>1609</v>
      </c>
      <c r="D117" s="51">
        <v>46120</v>
      </c>
      <c r="E117" s="44" t="s">
        <v>1610</v>
      </c>
      <c r="F117" s="44" t="s">
        <v>1611</v>
      </c>
      <c r="G117" s="34">
        <f t="shared" si="4"/>
        <v>1</v>
      </c>
      <c r="H117" s="34" t="str">
        <f t="shared" si="5"/>
        <v>P:1017504-73.2022.4.06.3800|46120</v>
      </c>
      <c r="I117" s="52" t="str">
        <f t="shared" si="6"/>
        <v/>
      </c>
      <c r="J117" s="34">
        <f>IF(AND(A117&lt;&gt;"",ISTEXT(A117),COUNTIFS(Processos!$AS$10:$AS$509,"="&amp;SUBSTITUTE(SUBSTITUTE(SUBSTITUTE("P:"&amp;A117,"~","~~"),"*","~*"),"?","~?"))=1),(IF(ISNA(MATCH(SUBSTITUTE(SUBSTITUTE(SUBSTITUTE("P:"&amp;A117,"~","~~"),"*","~*"),"?","~?"),Processos!$AS$10:$AS$509,0)),9,INDEX(Processos!$AM$10:$AM$509,MATCH(SUBSTITUTE(SUBSTITUTE(SUBSTITUTE("P:"&amp;A117,"~","~~"),"*","~*"),"?","~?"),Processos!$AS$10:$AS$509,0)))-9),0)</f>
        <v>109</v>
      </c>
      <c r="K117" s="34" t="str">
        <f t="shared" si="7"/>
        <v>P:1017504-73.2022.4.06.3800</v>
      </c>
      <c r="L117" s="14">
        <f>ROW()</f>
        <v>117</v>
      </c>
    </row>
    <row r="118" spans="1:12" ht="60" customHeight="1">
      <c r="A118" s="41" t="s">
        <v>854</v>
      </c>
      <c r="B118" s="43"/>
      <c r="C118" s="44" t="s">
        <v>1612</v>
      </c>
      <c r="D118" s="51">
        <v>46120</v>
      </c>
      <c r="E118" s="44" t="s">
        <v>1613</v>
      </c>
      <c r="F118" s="44" t="s">
        <v>1614</v>
      </c>
      <c r="G118" s="34">
        <f t="shared" si="4"/>
        <v>1</v>
      </c>
      <c r="H118" s="34" t="str">
        <f t="shared" si="5"/>
        <v>P:1000658-95.2023.4.06.0000|46120</v>
      </c>
      <c r="I118" s="52" t="str">
        <f t="shared" si="6"/>
        <v>Informe a data do andamento</v>
      </c>
      <c r="J118" s="34">
        <f>IF(AND(A118&lt;&gt;"",ISTEXT(A118),COUNTIFS(Processos!$AS$10:$AS$509,"="&amp;SUBSTITUTE(SUBSTITUTE(SUBSTITUTE("P:"&amp;A118,"~","~~"),"*","~*"),"?","~?"))=1),(IF(ISNA(MATCH(SUBSTITUTE(SUBSTITUTE(SUBSTITUTE("P:"&amp;A118,"~","~~"),"*","~*"),"?","~?"),Processos!$AS$10:$AS$509,0)),9,INDEX(Processos!$AM$10:$AM$509,MATCH(SUBSTITUTE(SUBSTITUTE(SUBSTITUTE("P:"&amp;A118,"~","~~"),"*","~*"),"?","~?"),Processos!$AS$10:$AS$509,0)))-9),0)</f>
        <v>110</v>
      </c>
      <c r="K118" s="34" t="str">
        <f t="shared" si="7"/>
        <v>P:1000658-95.2023.4.06.0000</v>
      </c>
      <c r="L118" s="14">
        <f>ROW()</f>
        <v>118</v>
      </c>
    </row>
    <row r="119" spans="1:12" ht="60" customHeight="1">
      <c r="A119" s="41" t="s">
        <v>859</v>
      </c>
      <c r="B119" s="43"/>
      <c r="C119" s="44" t="s">
        <v>1615</v>
      </c>
      <c r="D119" s="51">
        <v>46120</v>
      </c>
      <c r="E119" s="44" t="s">
        <v>1616</v>
      </c>
      <c r="F119" s="44" t="s">
        <v>1617</v>
      </c>
      <c r="G119" s="34">
        <f t="shared" si="4"/>
        <v>1</v>
      </c>
      <c r="H119" s="34" t="str">
        <f t="shared" si="5"/>
        <v>P:1010455-53.2021.4.01.3800|46120</v>
      </c>
      <c r="I119" s="52" t="str">
        <f t="shared" si="6"/>
        <v>Informe a data do andamento</v>
      </c>
      <c r="J119" s="34">
        <f>IF(AND(A119&lt;&gt;"",ISTEXT(A119),COUNTIFS(Processos!$AS$10:$AS$509,"="&amp;SUBSTITUTE(SUBSTITUTE(SUBSTITUTE("P:"&amp;A119,"~","~~"),"*","~*"),"?","~?"))=1),(IF(ISNA(MATCH(SUBSTITUTE(SUBSTITUTE(SUBSTITUTE("P:"&amp;A119,"~","~~"),"*","~*"),"?","~?"),Processos!$AS$10:$AS$509,0)),9,INDEX(Processos!$AM$10:$AM$509,MATCH(SUBSTITUTE(SUBSTITUTE(SUBSTITUTE("P:"&amp;A119,"~","~~"),"*","~*"),"?","~?"),Processos!$AS$10:$AS$509,0)))-9),0)</f>
        <v>111</v>
      </c>
      <c r="K119" s="34" t="str">
        <f t="shared" si="7"/>
        <v>P:1010455-53.2021.4.01.3800</v>
      </c>
      <c r="L119" s="14">
        <f>ROW()</f>
        <v>119</v>
      </c>
    </row>
    <row r="120" spans="1:12" ht="60" customHeight="1">
      <c r="A120" s="41" t="s">
        <v>865</v>
      </c>
      <c r="B120" s="43"/>
      <c r="C120" s="44" t="s">
        <v>1618</v>
      </c>
      <c r="D120" s="51">
        <v>46120</v>
      </c>
      <c r="E120" s="44" t="s">
        <v>1619</v>
      </c>
      <c r="F120" s="44" t="s">
        <v>1620</v>
      </c>
      <c r="G120" s="34">
        <f t="shared" si="4"/>
        <v>1</v>
      </c>
      <c r="H120" s="34" t="str">
        <f t="shared" si="5"/>
        <v>P:1021095-81.2022.4.01.3800|46120</v>
      </c>
      <c r="I120" s="52" t="str">
        <f t="shared" si="6"/>
        <v>Informe a data do andamento</v>
      </c>
      <c r="J120" s="34">
        <f>IF(AND(A120&lt;&gt;"",ISTEXT(A120),COUNTIFS(Processos!$AS$10:$AS$509,"="&amp;SUBSTITUTE(SUBSTITUTE(SUBSTITUTE("P:"&amp;A120,"~","~~"),"*","~*"),"?","~?"))=1),(IF(ISNA(MATCH(SUBSTITUTE(SUBSTITUTE(SUBSTITUTE("P:"&amp;A120,"~","~~"),"*","~*"),"?","~?"),Processos!$AS$10:$AS$509,0)),9,INDEX(Processos!$AM$10:$AM$509,MATCH(SUBSTITUTE(SUBSTITUTE(SUBSTITUTE("P:"&amp;A120,"~","~~"),"*","~*"),"?","~?"),Processos!$AS$10:$AS$509,0)))-9),0)</f>
        <v>112</v>
      </c>
      <c r="K120" s="34" t="str">
        <f t="shared" si="7"/>
        <v>P:1021095-81.2022.4.01.3800</v>
      </c>
      <c r="L120" s="14">
        <f>ROW()</f>
        <v>120</v>
      </c>
    </row>
    <row r="121" spans="1:12" ht="60" customHeight="1">
      <c r="A121" s="41" t="s">
        <v>871</v>
      </c>
      <c r="B121" s="43"/>
      <c r="C121" s="44" t="s">
        <v>1621</v>
      </c>
      <c r="D121" s="51">
        <v>46120</v>
      </c>
      <c r="E121" s="44" t="s">
        <v>1622</v>
      </c>
      <c r="F121" s="44" t="s">
        <v>1623</v>
      </c>
      <c r="G121" s="34">
        <f t="shared" si="4"/>
        <v>1</v>
      </c>
      <c r="H121" s="34" t="str">
        <f t="shared" si="5"/>
        <v>P:1119107-46.2022.8.26.0100|46120</v>
      </c>
      <c r="I121" s="52" t="str">
        <f t="shared" si="6"/>
        <v>Informe a data do andamento</v>
      </c>
      <c r="J121" s="34">
        <f>IF(AND(A121&lt;&gt;"",ISTEXT(A121),COUNTIFS(Processos!$AS$10:$AS$509,"="&amp;SUBSTITUTE(SUBSTITUTE(SUBSTITUTE("P:"&amp;A121,"~","~~"),"*","~*"),"?","~?"))=1),(IF(ISNA(MATCH(SUBSTITUTE(SUBSTITUTE(SUBSTITUTE("P:"&amp;A121,"~","~~"),"*","~*"),"?","~?"),Processos!$AS$10:$AS$509,0)),9,INDEX(Processos!$AM$10:$AM$509,MATCH(SUBSTITUTE(SUBSTITUTE(SUBSTITUTE("P:"&amp;A121,"~","~~"),"*","~*"),"?","~?"),Processos!$AS$10:$AS$509,0)))-9),0)</f>
        <v>113</v>
      </c>
      <c r="K121" s="34" t="str">
        <f t="shared" si="7"/>
        <v>P:1119107-46.2022.8.26.0100</v>
      </c>
      <c r="L121" s="14">
        <f>ROW()</f>
        <v>121</v>
      </c>
    </row>
    <row r="122" spans="1:12" ht="60" customHeight="1">
      <c r="A122" s="41" t="s">
        <v>876</v>
      </c>
      <c r="B122" s="43"/>
      <c r="C122" s="44" t="s">
        <v>1624</v>
      </c>
      <c r="D122" s="51">
        <v>45901</v>
      </c>
      <c r="E122" s="44" t="s">
        <v>1625</v>
      </c>
      <c r="F122" s="44" t="s">
        <v>1626</v>
      </c>
      <c r="G122" s="34">
        <f t="shared" si="4"/>
        <v>1</v>
      </c>
      <c r="H122" s="34" t="str">
        <f t="shared" si="5"/>
        <v>P:1030389-28.2024.4.01.3400|45901</v>
      </c>
      <c r="I122" s="52" t="str">
        <f t="shared" si="6"/>
        <v>Informe a data do andamento</v>
      </c>
      <c r="J122" s="34">
        <f>IF(AND(A122&lt;&gt;"",ISTEXT(A122),COUNTIFS(Processos!$AS$10:$AS$509,"="&amp;SUBSTITUTE(SUBSTITUTE(SUBSTITUTE("P:"&amp;A122,"~","~~"),"*","~*"),"?","~?"))=1),(IF(ISNA(MATCH(SUBSTITUTE(SUBSTITUTE(SUBSTITUTE("P:"&amp;A122,"~","~~"),"*","~*"),"?","~?"),Processos!$AS$10:$AS$509,0)),9,INDEX(Processos!$AM$10:$AM$509,MATCH(SUBSTITUTE(SUBSTITUTE(SUBSTITUTE("P:"&amp;A122,"~","~~"),"*","~*"),"?","~?"),Processos!$AS$10:$AS$509,0)))-9),0)</f>
        <v>114</v>
      </c>
      <c r="K122" s="34" t="str">
        <f t="shared" si="7"/>
        <v>P:1030389-28.2024.4.01.3400</v>
      </c>
      <c r="L122" s="14">
        <f>ROW()</f>
        <v>122</v>
      </c>
    </row>
    <row r="123" spans="1:12" ht="60" customHeight="1">
      <c r="A123" s="41" t="s">
        <v>883</v>
      </c>
      <c r="B123" s="43"/>
      <c r="C123" s="44" t="s">
        <v>1627</v>
      </c>
      <c r="D123" s="51">
        <v>46049</v>
      </c>
      <c r="E123" s="44" t="s">
        <v>1628</v>
      </c>
      <c r="F123" s="44" t="s">
        <v>1629</v>
      </c>
      <c r="G123" s="34">
        <f t="shared" si="4"/>
        <v>1</v>
      </c>
      <c r="H123" s="34" t="str">
        <f t="shared" si="5"/>
        <v>P:1050120-10.2024.4.01.3400|46049</v>
      </c>
      <c r="I123" s="52" t="str">
        <f t="shared" si="6"/>
        <v>Informe a data do andamento</v>
      </c>
      <c r="J123" s="34">
        <f>IF(AND(A123&lt;&gt;"",ISTEXT(A123),COUNTIFS(Processos!$AS$10:$AS$509,"="&amp;SUBSTITUTE(SUBSTITUTE(SUBSTITUTE("P:"&amp;A123,"~","~~"),"*","~*"),"?","~?"))=1),(IF(ISNA(MATCH(SUBSTITUTE(SUBSTITUTE(SUBSTITUTE("P:"&amp;A123,"~","~~"),"*","~*"),"?","~?"),Processos!$AS$10:$AS$509,0)),9,INDEX(Processos!$AM$10:$AM$509,MATCH(SUBSTITUTE(SUBSTITUTE(SUBSTITUTE("P:"&amp;A123,"~","~~"),"*","~*"),"?","~?"),Processos!$AS$10:$AS$509,0)))-9),0)</f>
        <v>115</v>
      </c>
      <c r="K123" s="34" t="str">
        <f t="shared" si="7"/>
        <v>P:1050120-10.2024.4.01.3400</v>
      </c>
      <c r="L123" s="14">
        <f>ROW()</f>
        <v>123</v>
      </c>
    </row>
    <row r="124" spans="1:12" ht="60" customHeight="1">
      <c r="A124" s="41" t="s">
        <v>888</v>
      </c>
      <c r="B124" s="43"/>
      <c r="C124" s="44" t="s">
        <v>892</v>
      </c>
      <c r="D124" s="51">
        <v>46120</v>
      </c>
      <c r="E124" s="44" t="s">
        <v>1630</v>
      </c>
      <c r="F124" s="44" t="s">
        <v>1631</v>
      </c>
      <c r="G124" s="34">
        <f t="shared" si="4"/>
        <v>1</v>
      </c>
      <c r="H124" s="34" t="str">
        <f t="shared" si="5"/>
        <v>P:0023079-86.2004.4.01.3400|46120</v>
      </c>
      <c r="I124" s="52" t="str">
        <f t="shared" si="6"/>
        <v>Informe a data do andamento</v>
      </c>
      <c r="J124" s="34">
        <f>IF(AND(A124&lt;&gt;"",ISTEXT(A124),COUNTIFS(Processos!$AS$10:$AS$509,"="&amp;SUBSTITUTE(SUBSTITUTE(SUBSTITUTE("P:"&amp;A124,"~","~~"),"*","~*"),"?","~?"))=1),(IF(ISNA(MATCH(SUBSTITUTE(SUBSTITUTE(SUBSTITUTE("P:"&amp;A124,"~","~~"),"*","~*"),"?","~?"),Processos!$AS$10:$AS$509,0)),9,INDEX(Processos!$AM$10:$AM$509,MATCH(SUBSTITUTE(SUBSTITUTE(SUBSTITUTE("P:"&amp;A124,"~","~~"),"*","~*"),"?","~?"),Processos!$AS$10:$AS$509,0)))-9),0)</f>
        <v>116</v>
      </c>
      <c r="K124" s="34" t="str">
        <f t="shared" si="7"/>
        <v>P:0023079-86.2004.4.01.3400</v>
      </c>
      <c r="L124" s="14">
        <f>ROW()</f>
        <v>124</v>
      </c>
    </row>
    <row r="125" spans="1:12" ht="60" customHeight="1">
      <c r="A125" s="41" t="s">
        <v>895</v>
      </c>
      <c r="B125" s="43">
        <v>46190</v>
      </c>
      <c r="C125" s="44" t="s">
        <v>1632</v>
      </c>
      <c r="D125" s="51">
        <v>46190</v>
      </c>
      <c r="E125" s="44" t="s">
        <v>1633</v>
      </c>
      <c r="F125" s="44" t="s">
        <v>1634</v>
      </c>
      <c r="G125" s="34">
        <f t="shared" si="4"/>
        <v>1</v>
      </c>
      <c r="H125" s="34" t="str">
        <f t="shared" si="5"/>
        <v>P:50606.005625/2024-01|46190</v>
      </c>
      <c r="I125" s="52" t="str">
        <f t="shared" si="6"/>
        <v/>
      </c>
      <c r="J125" s="34">
        <f>IF(AND(A125&lt;&gt;"",ISTEXT(A125),COUNTIFS(Processos!$AS$10:$AS$509,"="&amp;SUBSTITUTE(SUBSTITUTE(SUBSTITUTE("P:"&amp;A125,"~","~~"),"*","~*"),"?","~?"))=1),(IF(ISNA(MATCH(SUBSTITUTE(SUBSTITUTE(SUBSTITUTE("P:"&amp;A125,"~","~~"),"*","~*"),"?","~?"),Processos!$AS$10:$AS$509,0)),9,INDEX(Processos!$AM$10:$AM$509,MATCH(SUBSTITUTE(SUBSTITUTE(SUBSTITUTE("P:"&amp;A125,"~","~~"),"*","~*"),"?","~?"),Processos!$AS$10:$AS$509,0)))-9),0)</f>
        <v>117</v>
      </c>
      <c r="K125" s="34" t="str">
        <f t="shared" si="7"/>
        <v>P:50606.005625/2024-01</v>
      </c>
      <c r="L125" s="14">
        <f>ROW()</f>
        <v>125</v>
      </c>
    </row>
    <row r="126" spans="1:12" ht="60" customHeight="1">
      <c r="A126" s="41" t="s">
        <v>901</v>
      </c>
      <c r="B126" s="43"/>
      <c r="C126" s="44" t="s">
        <v>1635</v>
      </c>
      <c r="D126" s="51">
        <v>46120</v>
      </c>
      <c r="E126" s="44" t="s">
        <v>1636</v>
      </c>
      <c r="F126" s="44" t="s">
        <v>1637</v>
      </c>
      <c r="G126" s="34">
        <f t="shared" si="4"/>
        <v>1</v>
      </c>
      <c r="H126" s="34" t="str">
        <f t="shared" si="5"/>
        <v>P:6355533-29.2025.4.06.3800 [SMP-013]|46120</v>
      </c>
      <c r="I126" s="52" t="str">
        <f t="shared" si="6"/>
        <v>Informe a data do andamento</v>
      </c>
      <c r="J126" s="34">
        <f>IF(AND(A126&lt;&gt;"",ISTEXT(A126),COUNTIFS(Processos!$AS$10:$AS$509,"="&amp;SUBSTITUTE(SUBSTITUTE(SUBSTITUTE("P:"&amp;A126,"~","~~"),"*","~*"),"?","~?"))=1),(IF(ISNA(MATCH(SUBSTITUTE(SUBSTITUTE(SUBSTITUTE("P:"&amp;A126,"~","~~"),"*","~*"),"?","~?"),Processos!$AS$10:$AS$509,0)),9,INDEX(Processos!$AM$10:$AM$509,MATCH(SUBSTITUTE(SUBSTITUTE(SUBSTITUTE("P:"&amp;A126,"~","~~"),"*","~*"),"?","~?"),Processos!$AS$10:$AS$509,0)))-9),0)</f>
        <v>118</v>
      </c>
      <c r="K126" s="34" t="str">
        <f t="shared" si="7"/>
        <v>P:6355533-29.2025.4.06.3800 [SMP-013]</v>
      </c>
      <c r="L126" s="14">
        <f>ROW()</f>
        <v>126</v>
      </c>
    </row>
    <row r="127" spans="1:12" ht="60" customHeight="1">
      <c r="A127" s="41" t="s">
        <v>908</v>
      </c>
      <c r="B127" s="43"/>
      <c r="C127" s="44" t="s">
        <v>1638</v>
      </c>
      <c r="D127" s="51">
        <v>46120</v>
      </c>
      <c r="E127" s="44" t="s">
        <v>1639</v>
      </c>
      <c r="F127" s="44" t="s">
        <v>1640</v>
      </c>
      <c r="G127" s="34">
        <f t="shared" si="4"/>
        <v>1</v>
      </c>
      <c r="H127" s="34" t="str">
        <f t="shared" si="5"/>
        <v>P:6355533-29.2025.4.06.3800 [SMP-014]|46120</v>
      </c>
      <c r="I127" s="52" t="str">
        <f t="shared" si="6"/>
        <v>Informe a data do andamento</v>
      </c>
      <c r="J127" s="34">
        <f>IF(AND(A127&lt;&gt;"",ISTEXT(A127),COUNTIFS(Processos!$AS$10:$AS$509,"="&amp;SUBSTITUTE(SUBSTITUTE(SUBSTITUTE("P:"&amp;A127,"~","~~"),"*","~*"),"?","~?"))=1),(IF(ISNA(MATCH(SUBSTITUTE(SUBSTITUTE(SUBSTITUTE("P:"&amp;A127,"~","~~"),"*","~*"),"?","~?"),Processos!$AS$10:$AS$509,0)),9,INDEX(Processos!$AM$10:$AM$509,MATCH(SUBSTITUTE(SUBSTITUTE(SUBSTITUTE("P:"&amp;A127,"~","~~"),"*","~*"),"?","~?"),Processos!$AS$10:$AS$509,0)))-9),0)</f>
        <v>119</v>
      </c>
      <c r="K127" s="34" t="str">
        <f t="shared" si="7"/>
        <v>P:6355533-29.2025.4.06.3800 [SMP-014]</v>
      </c>
      <c r="L127" s="14">
        <f>ROW()</f>
        <v>127</v>
      </c>
    </row>
    <row r="128" spans="1:12" ht="60" customHeight="1">
      <c r="A128" s="41" t="s">
        <v>912</v>
      </c>
      <c r="B128" s="43">
        <v>46196</v>
      </c>
      <c r="C128" s="44" t="s">
        <v>1641</v>
      </c>
      <c r="D128" s="51">
        <v>46122</v>
      </c>
      <c r="E128" s="44" t="s">
        <v>1642</v>
      </c>
      <c r="F128" s="44" t="s">
        <v>1643</v>
      </c>
      <c r="G128" s="34">
        <f t="shared" si="4"/>
        <v>1</v>
      </c>
      <c r="H128" s="34" t="str">
        <f t="shared" si="5"/>
        <v>P:50606.000326/2026-33|46122</v>
      </c>
      <c r="I128" s="52" t="str">
        <f t="shared" si="6"/>
        <v/>
      </c>
      <c r="J128" s="34">
        <f>IF(AND(A128&lt;&gt;"",ISTEXT(A128),COUNTIFS(Processos!$AS$10:$AS$509,"="&amp;SUBSTITUTE(SUBSTITUTE(SUBSTITUTE("P:"&amp;A128,"~","~~"),"*","~*"),"?","~?"))=1),(IF(ISNA(MATCH(SUBSTITUTE(SUBSTITUTE(SUBSTITUTE("P:"&amp;A128,"~","~~"),"*","~*"),"?","~?"),Processos!$AS$10:$AS$509,0)),9,INDEX(Processos!$AM$10:$AM$509,MATCH(SUBSTITUTE(SUBSTITUTE(SUBSTITUTE("P:"&amp;A128,"~","~~"),"*","~*"),"?","~?"),Processos!$AS$10:$AS$509,0)))-9),0)</f>
        <v>120</v>
      </c>
      <c r="K128" s="34" t="str">
        <f t="shared" si="7"/>
        <v>P:50606.000326/2026-33</v>
      </c>
      <c r="L128" s="14">
        <f>ROW()</f>
        <v>128</v>
      </c>
    </row>
    <row r="129" spans="1:12" ht="60" customHeight="1">
      <c r="A129" s="41" t="s">
        <v>917</v>
      </c>
      <c r="B129" s="43"/>
      <c r="C129" s="44" t="s">
        <v>1644</v>
      </c>
      <c r="D129" s="51">
        <v>45790</v>
      </c>
      <c r="E129" s="44" t="s">
        <v>1645</v>
      </c>
      <c r="F129" s="44" t="s">
        <v>1646</v>
      </c>
      <c r="G129" s="34">
        <f t="shared" si="4"/>
        <v>1</v>
      </c>
      <c r="H129" s="34" t="str">
        <f t="shared" si="5"/>
        <v>P:51402.108343/2015-14|45790</v>
      </c>
      <c r="I129" s="52" t="str">
        <f t="shared" si="6"/>
        <v>Informe a data do andamento</v>
      </c>
      <c r="J129" s="34">
        <f>IF(AND(A129&lt;&gt;"",ISTEXT(A129),COUNTIFS(Processos!$AS$10:$AS$509,"="&amp;SUBSTITUTE(SUBSTITUTE(SUBSTITUTE("P:"&amp;A129,"~","~~"),"*","~*"),"?","~?"))=1),(IF(ISNA(MATCH(SUBSTITUTE(SUBSTITUTE(SUBSTITUTE("P:"&amp;A129,"~","~~"),"*","~*"),"?","~?"),Processos!$AS$10:$AS$509,0)),9,INDEX(Processos!$AM$10:$AM$509,MATCH(SUBSTITUTE(SUBSTITUTE(SUBSTITUTE("P:"&amp;A129,"~","~~"),"*","~*"),"?","~?"),Processos!$AS$10:$AS$509,0)))-9),0)</f>
        <v>121</v>
      </c>
      <c r="K129" s="34" t="str">
        <f t="shared" si="7"/>
        <v>P:51402.108343/2015-14</v>
      </c>
      <c r="L129" s="14">
        <f>ROW()</f>
        <v>129</v>
      </c>
    </row>
    <row r="130" spans="1:12" ht="60" customHeight="1">
      <c r="A130" s="41" t="s">
        <v>924</v>
      </c>
      <c r="B130" s="43"/>
      <c r="C130" s="44" t="s">
        <v>1647</v>
      </c>
      <c r="D130" s="51">
        <v>45852</v>
      </c>
      <c r="E130" s="44" t="s">
        <v>1648</v>
      </c>
      <c r="F130" s="44" t="s">
        <v>1649</v>
      </c>
      <c r="G130" s="34">
        <f t="shared" si="4"/>
        <v>1</v>
      </c>
      <c r="H130" s="34" t="str">
        <f t="shared" si="5"/>
        <v>P:51402.108251/2015-34|45852</v>
      </c>
      <c r="I130" s="52" t="str">
        <f t="shared" si="6"/>
        <v>Informe a data do andamento</v>
      </c>
      <c r="J130" s="34">
        <f>IF(AND(A130&lt;&gt;"",ISTEXT(A130),COUNTIFS(Processos!$AS$10:$AS$509,"="&amp;SUBSTITUTE(SUBSTITUTE(SUBSTITUTE("P:"&amp;A130,"~","~~"),"*","~*"),"?","~?"))=1),(IF(ISNA(MATCH(SUBSTITUTE(SUBSTITUTE(SUBSTITUTE("P:"&amp;A130,"~","~~"),"*","~*"),"?","~?"),Processos!$AS$10:$AS$509,0)),9,INDEX(Processos!$AM$10:$AM$509,MATCH(SUBSTITUTE(SUBSTITUTE(SUBSTITUTE("P:"&amp;A130,"~","~~"),"*","~*"),"?","~?"),Processos!$AS$10:$AS$509,0)))-9),0)</f>
        <v>122</v>
      </c>
      <c r="K130" s="34" t="str">
        <f t="shared" si="7"/>
        <v>P:51402.108251/2015-34</v>
      </c>
      <c r="L130" s="14">
        <f>ROW()</f>
        <v>130</v>
      </c>
    </row>
    <row r="131" spans="1:12" ht="60" customHeight="1">
      <c r="A131" s="41" t="s">
        <v>928</v>
      </c>
      <c r="B131" s="43">
        <v>46108</v>
      </c>
      <c r="C131" s="44" t="s">
        <v>1650</v>
      </c>
      <c r="D131" s="51">
        <v>46112</v>
      </c>
      <c r="E131" s="44" t="s">
        <v>1651</v>
      </c>
      <c r="F131" s="44" t="s">
        <v>1652</v>
      </c>
      <c r="G131" s="34">
        <f t="shared" si="4"/>
        <v>1</v>
      </c>
      <c r="H131" s="34" t="str">
        <f t="shared" si="5"/>
        <v>P:51402.237467/2019-31|46112</v>
      </c>
      <c r="I131" s="52" t="str">
        <f t="shared" si="6"/>
        <v/>
      </c>
      <c r="J131" s="34">
        <f>IF(AND(A131&lt;&gt;"",ISTEXT(A131),COUNTIFS(Processos!$AS$10:$AS$509,"="&amp;SUBSTITUTE(SUBSTITUTE(SUBSTITUTE("P:"&amp;A131,"~","~~"),"*","~*"),"?","~?"))=1),(IF(ISNA(MATCH(SUBSTITUTE(SUBSTITUTE(SUBSTITUTE("P:"&amp;A131,"~","~~"),"*","~*"),"?","~?"),Processos!$AS$10:$AS$509,0)),9,INDEX(Processos!$AM$10:$AM$509,MATCH(SUBSTITUTE(SUBSTITUTE(SUBSTITUTE("P:"&amp;A131,"~","~~"),"*","~*"),"?","~?"),Processos!$AS$10:$AS$509,0)))-9),0)</f>
        <v>123</v>
      </c>
      <c r="K131" s="34" t="str">
        <f t="shared" si="7"/>
        <v>P:51402.237467/2019-31</v>
      </c>
      <c r="L131" s="14">
        <f>ROW()</f>
        <v>131</v>
      </c>
    </row>
    <row r="132" spans="1:12" ht="60" customHeight="1">
      <c r="A132" s="41" t="s">
        <v>933</v>
      </c>
      <c r="B132" s="43"/>
      <c r="C132" s="44" t="s">
        <v>1653</v>
      </c>
      <c r="D132" s="51">
        <v>46112</v>
      </c>
      <c r="E132" s="44" t="s">
        <v>1654</v>
      </c>
      <c r="F132" s="44" t="s">
        <v>1655</v>
      </c>
      <c r="G132" s="34">
        <f t="shared" si="4"/>
        <v>1</v>
      </c>
      <c r="H132" s="34" t="str">
        <f t="shared" si="5"/>
        <v>P:1027128-89.2023.4.01.3400|46112</v>
      </c>
      <c r="I132" s="52" t="str">
        <f t="shared" si="6"/>
        <v>Informe a data do andamento</v>
      </c>
      <c r="J132" s="34">
        <f>IF(AND(A132&lt;&gt;"",ISTEXT(A132),COUNTIFS(Processos!$AS$10:$AS$509,"="&amp;SUBSTITUTE(SUBSTITUTE(SUBSTITUTE("P:"&amp;A132,"~","~~"),"*","~*"),"?","~?"))=1),(IF(ISNA(MATCH(SUBSTITUTE(SUBSTITUTE(SUBSTITUTE("P:"&amp;A132,"~","~~"),"*","~*"),"?","~?"),Processos!$AS$10:$AS$509,0)),9,INDEX(Processos!$AM$10:$AM$509,MATCH(SUBSTITUTE(SUBSTITUTE(SUBSTITUTE("P:"&amp;A132,"~","~~"),"*","~*"),"?","~?"),Processos!$AS$10:$AS$509,0)))-9),0)</f>
        <v>124</v>
      </c>
      <c r="K132" s="34" t="str">
        <f t="shared" si="7"/>
        <v>P:1027128-89.2023.4.01.3400</v>
      </c>
      <c r="L132" s="14">
        <f>ROW()</f>
        <v>132</v>
      </c>
    </row>
    <row r="133" spans="1:12" ht="60" customHeight="1">
      <c r="A133" s="41" t="s">
        <v>941</v>
      </c>
      <c r="B133" s="43"/>
      <c r="C133" s="44" t="s">
        <v>1656</v>
      </c>
      <c r="D133" s="51">
        <v>45751</v>
      </c>
      <c r="E133" s="44" t="s">
        <v>1657</v>
      </c>
      <c r="F133" s="44" t="s">
        <v>1658</v>
      </c>
      <c r="G133" s="34">
        <f t="shared" si="4"/>
        <v>1</v>
      </c>
      <c r="H133" s="34" t="str">
        <f t="shared" si="5"/>
        <v>P:51402.100591/2021-65|45751</v>
      </c>
      <c r="I133" s="52" t="str">
        <f t="shared" si="6"/>
        <v>Informe a data do andamento</v>
      </c>
      <c r="J133" s="34">
        <f>IF(AND(A133&lt;&gt;"",ISTEXT(A133),COUNTIFS(Processos!$AS$10:$AS$509,"="&amp;SUBSTITUTE(SUBSTITUTE(SUBSTITUTE("P:"&amp;A133,"~","~~"),"*","~*"),"?","~?"))=1),(IF(ISNA(MATCH(SUBSTITUTE(SUBSTITUTE(SUBSTITUTE("P:"&amp;A133,"~","~~"),"*","~*"),"?","~?"),Processos!$AS$10:$AS$509,0)),9,INDEX(Processos!$AM$10:$AM$509,MATCH(SUBSTITUTE(SUBSTITUTE(SUBSTITUTE("P:"&amp;A133,"~","~~"),"*","~*"),"?","~?"),Processos!$AS$10:$AS$509,0)))-9),0)</f>
        <v>125</v>
      </c>
      <c r="K133" s="34" t="str">
        <f t="shared" si="7"/>
        <v>P:51402.100591/2021-65</v>
      </c>
      <c r="L133" s="14">
        <f>ROW()</f>
        <v>133</v>
      </c>
    </row>
    <row r="134" spans="1:12" ht="60" customHeight="1">
      <c r="A134" s="41" t="s">
        <v>945</v>
      </c>
      <c r="B134" s="43"/>
      <c r="C134" s="44" t="s">
        <v>1659</v>
      </c>
      <c r="D134" s="51">
        <v>46253</v>
      </c>
      <c r="E134" s="44" t="s">
        <v>1660</v>
      </c>
      <c r="F134" s="44" t="s">
        <v>1661</v>
      </c>
      <c r="G134" s="34">
        <f t="shared" si="4"/>
        <v>1</v>
      </c>
      <c r="H134" s="34" t="str">
        <f t="shared" si="5"/>
        <v>P:1030764-29.2024.4.01.3400|46253</v>
      </c>
      <c r="I134" s="52" t="str">
        <f t="shared" si="6"/>
        <v>Informe a data do andamento</v>
      </c>
      <c r="J134" s="34">
        <f>IF(AND(A134&lt;&gt;"",ISTEXT(A134),COUNTIFS(Processos!$AS$10:$AS$509,"="&amp;SUBSTITUTE(SUBSTITUTE(SUBSTITUTE("P:"&amp;A134,"~","~~"),"*","~*"),"?","~?"))=1),(IF(ISNA(MATCH(SUBSTITUTE(SUBSTITUTE(SUBSTITUTE("P:"&amp;A134,"~","~~"),"*","~*"),"?","~?"),Processos!$AS$10:$AS$509,0)),9,INDEX(Processos!$AM$10:$AM$509,MATCH(SUBSTITUTE(SUBSTITUTE(SUBSTITUTE("P:"&amp;A134,"~","~~"),"*","~*"),"?","~?"),Processos!$AS$10:$AS$509,0)))-9),0)</f>
        <v>126</v>
      </c>
      <c r="K134" s="34" t="str">
        <f t="shared" si="7"/>
        <v>P:1030764-29.2024.4.01.3400</v>
      </c>
      <c r="L134" s="14">
        <f>ROW()</f>
        <v>134</v>
      </c>
    </row>
    <row r="135" spans="1:12" ht="60" customHeight="1">
      <c r="A135" s="41" t="s">
        <v>951</v>
      </c>
      <c r="B135" s="43"/>
      <c r="C135" s="44" t="s">
        <v>1662</v>
      </c>
      <c r="D135" s="51">
        <v>46112</v>
      </c>
      <c r="E135" s="44" t="s">
        <v>1663</v>
      </c>
      <c r="F135" s="44" t="s">
        <v>1664</v>
      </c>
      <c r="G135" s="34">
        <f t="shared" si="4"/>
        <v>1</v>
      </c>
      <c r="H135" s="34" t="str">
        <f t="shared" si="5"/>
        <v>P:1029005-30.2024.4.01.3400|46112</v>
      </c>
      <c r="I135" s="52" t="str">
        <f t="shared" si="6"/>
        <v>Informe a data do andamento</v>
      </c>
      <c r="J135" s="34">
        <f>IF(AND(A135&lt;&gt;"",ISTEXT(A135),COUNTIFS(Processos!$AS$10:$AS$509,"="&amp;SUBSTITUTE(SUBSTITUTE(SUBSTITUTE("P:"&amp;A135,"~","~~"),"*","~*"),"?","~?"))=1),(IF(ISNA(MATCH(SUBSTITUTE(SUBSTITUTE(SUBSTITUTE("P:"&amp;A135,"~","~~"),"*","~*"),"?","~?"),Processos!$AS$10:$AS$509,0)),9,INDEX(Processos!$AM$10:$AM$509,MATCH(SUBSTITUTE(SUBSTITUTE(SUBSTITUTE("P:"&amp;A135,"~","~~"),"*","~*"),"?","~?"),Processos!$AS$10:$AS$509,0)))-9),0)</f>
        <v>127</v>
      </c>
      <c r="K135" s="34" t="str">
        <f t="shared" si="7"/>
        <v>P:1029005-30.2024.4.01.3400</v>
      </c>
      <c r="L135" s="14">
        <f>ROW()</f>
        <v>135</v>
      </c>
    </row>
    <row r="136" spans="1:12" ht="60" customHeight="1">
      <c r="A136" s="41" t="s">
        <v>956</v>
      </c>
      <c r="B136" s="43"/>
      <c r="C136" s="44" t="s">
        <v>1665</v>
      </c>
      <c r="D136" s="51">
        <v>45790</v>
      </c>
      <c r="E136" s="44" t="s">
        <v>1666</v>
      </c>
      <c r="F136" s="44" t="s">
        <v>1667</v>
      </c>
      <c r="G136" s="34">
        <f t="shared" si="4"/>
        <v>1</v>
      </c>
      <c r="H136" s="34" t="str">
        <f t="shared" si="5"/>
        <v>P:51402.102109/2020-41|45790</v>
      </c>
      <c r="I136" s="52" t="str">
        <f t="shared" si="6"/>
        <v>Informe a data do andamento</v>
      </c>
      <c r="J136" s="34">
        <f>IF(AND(A136&lt;&gt;"",ISTEXT(A136),COUNTIFS(Processos!$AS$10:$AS$509,"="&amp;SUBSTITUTE(SUBSTITUTE(SUBSTITUTE("P:"&amp;A136,"~","~~"),"*","~*"),"?","~?"))=1),(IF(ISNA(MATCH(SUBSTITUTE(SUBSTITUTE(SUBSTITUTE("P:"&amp;A136,"~","~~"),"*","~*"),"?","~?"),Processos!$AS$10:$AS$509,0)),9,INDEX(Processos!$AM$10:$AM$509,MATCH(SUBSTITUTE(SUBSTITUTE(SUBSTITUTE("P:"&amp;A136,"~","~~"),"*","~*"),"?","~?"),Processos!$AS$10:$AS$509,0)))-9),0)</f>
        <v>128</v>
      </c>
      <c r="K136" s="34" t="str">
        <f t="shared" si="7"/>
        <v>P:51402.102109/2020-41</v>
      </c>
      <c r="L136" s="14">
        <f>ROW()</f>
        <v>136</v>
      </c>
    </row>
    <row r="137" spans="1:12" ht="60" customHeight="1">
      <c r="A137" s="41" t="s">
        <v>960</v>
      </c>
      <c r="B137" s="43"/>
      <c r="C137" s="44" t="s">
        <v>1668</v>
      </c>
      <c r="D137" s="51">
        <v>46112</v>
      </c>
      <c r="E137" s="44" t="s">
        <v>1669</v>
      </c>
      <c r="F137" s="44" t="s">
        <v>1670</v>
      </c>
      <c r="G137" s="34">
        <f t="shared" si="4"/>
        <v>1</v>
      </c>
      <c r="H137" s="34" t="str">
        <f t="shared" si="5"/>
        <v>P:51402.201435/2018-15|46112</v>
      </c>
      <c r="I137" s="52" t="str">
        <f t="shared" si="6"/>
        <v>Informe a data do andamento</v>
      </c>
      <c r="J137" s="34">
        <f>IF(AND(A137&lt;&gt;"",ISTEXT(A137),COUNTIFS(Processos!$AS$10:$AS$509,"="&amp;SUBSTITUTE(SUBSTITUTE(SUBSTITUTE("P:"&amp;A137,"~","~~"),"*","~*"),"?","~?"))=1),(IF(ISNA(MATCH(SUBSTITUTE(SUBSTITUTE(SUBSTITUTE("P:"&amp;A137,"~","~~"),"*","~*"),"?","~?"),Processos!$AS$10:$AS$509,0)),9,INDEX(Processos!$AM$10:$AM$509,MATCH(SUBSTITUTE(SUBSTITUTE(SUBSTITUTE("P:"&amp;A137,"~","~~"),"*","~*"),"?","~?"),Processos!$AS$10:$AS$509,0)))-9),0)</f>
        <v>129</v>
      </c>
      <c r="K137" s="34" t="str">
        <f t="shared" si="7"/>
        <v>P:51402.201435/2018-15</v>
      </c>
      <c r="L137" s="14">
        <f>ROW()</f>
        <v>137</v>
      </c>
    </row>
    <row r="138" spans="1:12" ht="60" customHeight="1">
      <c r="A138" s="41" t="s">
        <v>964</v>
      </c>
      <c r="B138" s="43"/>
      <c r="C138" s="44" t="s">
        <v>1671</v>
      </c>
      <c r="D138" s="51">
        <v>46080</v>
      </c>
      <c r="E138" s="44" t="s">
        <v>1672</v>
      </c>
      <c r="F138" s="44" t="s">
        <v>1673</v>
      </c>
      <c r="G138" s="34">
        <f t="shared" ref="G138:G201" si="8">IF(AND(J138&gt;0,OR(B138="",AND(ISNUMBER(B138),B138&gt;=1,B138&lt;=100000)),ISNUMBER(D138),D138&gt;=1,D138&lt;=100000,C138&lt;&gt;""),1,0)</f>
        <v>1</v>
      </c>
      <c r="H138" s="34" t="str">
        <f t="shared" ref="H138:H201" si="9">IF(G138=1,K138&amp;"|"&amp;D138,"")</f>
        <v>P:1023138-93.2019.4.01.3800|46080</v>
      </c>
      <c r="I138" s="52" t="str">
        <f t="shared" ref="I138:I201" si="10">IF(COUNTA(A138:F138)=0,"",IF(A138="","Selecione o processo",IF(J138=0,"Processo inexistente, duplicado ou número não textual",IF(B138="","Informe a data do andamento",IF(C138="","Descreva o andamento",IF(D138="","Informe a data e hora do recebimento",IF(OR(NOT(ISNUMBER(B138)),B138&lt;1,B138&gt;100000),"Revise a data do andamento",IF(OR(NOT(ISNUMBER(D138)),D138&lt;1,D138&gt;100000),"Revise a data e hora do recebimento",IF(COUNTIFS($K$10:$K$2009,"="&amp;SUBSTITUTE(SUBSTITUTE(SUBSTITUTE("P:"&amp;A138,"~","~~"),"*","~*"),"?","~?"),$D$10:$D$2009,D138,$G$10:$G$2009,1)&gt;1,"Recebimentos empatados: revise a hora ou consolide o registro","")))))))))</f>
        <v>Informe a data do andamento</v>
      </c>
      <c r="J138" s="34">
        <f>IF(AND(A138&lt;&gt;"",ISTEXT(A138),COUNTIFS(Processos!$AS$10:$AS$509,"="&amp;SUBSTITUTE(SUBSTITUTE(SUBSTITUTE("P:"&amp;A138,"~","~~"),"*","~*"),"?","~?"))=1),(IF(ISNA(MATCH(SUBSTITUTE(SUBSTITUTE(SUBSTITUTE("P:"&amp;A138,"~","~~"),"*","~*"),"?","~?"),Processos!$AS$10:$AS$509,0)),9,INDEX(Processos!$AM$10:$AM$509,MATCH(SUBSTITUTE(SUBSTITUTE(SUBSTITUTE("P:"&amp;A138,"~","~~"),"*","~*"),"?","~?"),Processos!$AS$10:$AS$509,0)))-9),0)</f>
        <v>130</v>
      </c>
      <c r="K138" s="34" t="str">
        <f t="shared" ref="K138:K201" si="11">IF(AND(A138&lt;&gt;"",ISTEXT(A138)),"P:"&amp;A138,"")</f>
        <v>P:1023138-93.2019.4.01.3800</v>
      </c>
      <c r="L138" s="14">
        <f>ROW()</f>
        <v>138</v>
      </c>
    </row>
    <row r="139" spans="1:12" ht="60" customHeight="1">
      <c r="A139" s="41" t="s">
        <v>971</v>
      </c>
      <c r="B139" s="43"/>
      <c r="C139" s="44" t="s">
        <v>1674</v>
      </c>
      <c r="D139" s="51">
        <v>46080</v>
      </c>
      <c r="E139" s="44" t="s">
        <v>1675</v>
      </c>
      <c r="F139" s="44" t="s">
        <v>1676</v>
      </c>
      <c r="G139" s="34">
        <f t="shared" si="8"/>
        <v>1</v>
      </c>
      <c r="H139" s="34" t="str">
        <f t="shared" si="9"/>
        <v>P:0000935-94.2017.8.17.0810|46080</v>
      </c>
      <c r="I139" s="52" t="str">
        <f t="shared" si="10"/>
        <v>Informe a data do andamento</v>
      </c>
      <c r="J139" s="34">
        <f>IF(AND(A139&lt;&gt;"",ISTEXT(A139),COUNTIFS(Processos!$AS$10:$AS$509,"="&amp;SUBSTITUTE(SUBSTITUTE(SUBSTITUTE("P:"&amp;A139,"~","~~"),"*","~*"),"?","~?"))=1),(IF(ISNA(MATCH(SUBSTITUTE(SUBSTITUTE(SUBSTITUTE("P:"&amp;A139,"~","~~"),"*","~*"),"?","~?"),Processos!$AS$10:$AS$509,0)),9,INDEX(Processos!$AM$10:$AM$509,MATCH(SUBSTITUTE(SUBSTITUTE(SUBSTITUTE("P:"&amp;A139,"~","~~"),"*","~*"),"?","~?"),Processos!$AS$10:$AS$509,0)))-9),0)</f>
        <v>131</v>
      </c>
      <c r="K139" s="34" t="str">
        <f t="shared" si="11"/>
        <v>P:0000935-94.2017.8.17.0810</v>
      </c>
      <c r="L139" s="14">
        <f>ROW()</f>
        <v>139</v>
      </c>
    </row>
    <row r="140" spans="1:12" ht="60" customHeight="1">
      <c r="A140" s="41" t="s">
        <v>980</v>
      </c>
      <c r="B140" s="43"/>
      <c r="C140" s="44" t="s">
        <v>1677</v>
      </c>
      <c r="D140" s="51">
        <v>46077</v>
      </c>
      <c r="E140" s="44" t="s">
        <v>1678</v>
      </c>
      <c r="F140" s="44" t="s">
        <v>1679</v>
      </c>
      <c r="G140" s="34">
        <f t="shared" si="8"/>
        <v>1</v>
      </c>
      <c r="H140" s="34" t="str">
        <f t="shared" si="9"/>
        <v>P:1057475-42.2022.4.01.3400 [BRA-001]|46077</v>
      </c>
      <c r="I140" s="52" t="str">
        <f t="shared" si="10"/>
        <v>Informe a data do andamento</v>
      </c>
      <c r="J140" s="34">
        <f>IF(AND(A140&lt;&gt;"",ISTEXT(A140),COUNTIFS(Processos!$AS$10:$AS$509,"="&amp;SUBSTITUTE(SUBSTITUTE(SUBSTITUTE("P:"&amp;A140,"~","~~"),"*","~*"),"?","~?"))=1),(IF(ISNA(MATCH(SUBSTITUTE(SUBSTITUTE(SUBSTITUTE("P:"&amp;A140,"~","~~"),"*","~*"),"?","~?"),Processos!$AS$10:$AS$509,0)),9,INDEX(Processos!$AM$10:$AM$509,MATCH(SUBSTITUTE(SUBSTITUTE(SUBSTITUTE("P:"&amp;A140,"~","~~"),"*","~*"),"?","~?"),Processos!$AS$10:$AS$509,0)))-9),0)</f>
        <v>132</v>
      </c>
      <c r="K140" s="34" t="str">
        <f t="shared" si="11"/>
        <v>P:1057475-42.2022.4.01.3400 [BRA-001]</v>
      </c>
      <c r="L140" s="14">
        <f>ROW()</f>
        <v>140</v>
      </c>
    </row>
    <row r="141" spans="1:12" ht="60" customHeight="1">
      <c r="A141" s="41" t="s">
        <v>992</v>
      </c>
      <c r="B141" s="43">
        <v>45826</v>
      </c>
      <c r="C141" s="44" t="s">
        <v>1680</v>
      </c>
      <c r="D141" s="51">
        <v>46077</v>
      </c>
      <c r="E141" s="44" t="s">
        <v>1681</v>
      </c>
      <c r="F141" s="44" t="s">
        <v>1682</v>
      </c>
      <c r="G141" s="34">
        <f t="shared" si="8"/>
        <v>1</v>
      </c>
      <c r="H141" s="34" t="str">
        <f t="shared" si="9"/>
        <v>P:1005926-71.2023.4.01.0000 [BRA-002]|46077</v>
      </c>
      <c r="I141" s="52" t="str">
        <f t="shared" si="10"/>
        <v/>
      </c>
      <c r="J141" s="34">
        <f>IF(AND(A141&lt;&gt;"",ISTEXT(A141),COUNTIFS(Processos!$AS$10:$AS$509,"="&amp;SUBSTITUTE(SUBSTITUTE(SUBSTITUTE("P:"&amp;A141,"~","~~"),"*","~*"),"?","~?"))=1),(IF(ISNA(MATCH(SUBSTITUTE(SUBSTITUTE(SUBSTITUTE("P:"&amp;A141,"~","~~"),"*","~*"),"?","~?"),Processos!$AS$10:$AS$509,0)),9,INDEX(Processos!$AM$10:$AM$509,MATCH(SUBSTITUTE(SUBSTITUTE(SUBSTITUTE("P:"&amp;A141,"~","~~"),"*","~*"),"?","~?"),Processos!$AS$10:$AS$509,0)))-9),0)</f>
        <v>133</v>
      </c>
      <c r="K141" s="34" t="str">
        <f t="shared" si="11"/>
        <v>P:1005926-71.2023.4.01.0000 [BRA-002]</v>
      </c>
      <c r="L141" s="14">
        <f>ROW()</f>
        <v>141</v>
      </c>
    </row>
    <row r="142" spans="1:12" ht="60" customHeight="1">
      <c r="A142" s="41" t="s">
        <v>1000</v>
      </c>
      <c r="B142" s="43">
        <v>46287</v>
      </c>
      <c r="C142" s="44" t="s">
        <v>1683</v>
      </c>
      <c r="D142" s="51">
        <v>46287</v>
      </c>
      <c r="E142" s="44" t="s">
        <v>1684</v>
      </c>
      <c r="F142" s="44" t="s">
        <v>1685</v>
      </c>
      <c r="G142" s="34">
        <f t="shared" si="8"/>
        <v>1</v>
      </c>
      <c r="H142" s="34" t="str">
        <f t="shared" si="9"/>
        <v>P:1047703-21.2023.4.01.3400|46287</v>
      </c>
      <c r="I142" s="52" t="str">
        <f t="shared" si="10"/>
        <v/>
      </c>
      <c r="J142" s="34">
        <f>IF(AND(A142&lt;&gt;"",ISTEXT(A142),COUNTIFS(Processos!$AS$10:$AS$509,"="&amp;SUBSTITUTE(SUBSTITUTE(SUBSTITUTE("P:"&amp;A142,"~","~~"),"*","~*"),"?","~?"))=1),(IF(ISNA(MATCH(SUBSTITUTE(SUBSTITUTE(SUBSTITUTE("P:"&amp;A142,"~","~~"),"*","~*"),"?","~?"),Processos!$AS$10:$AS$509,0)),9,INDEX(Processos!$AM$10:$AM$509,MATCH(SUBSTITUTE(SUBSTITUTE(SUBSTITUTE("P:"&amp;A142,"~","~~"),"*","~*"),"?","~?"),Processos!$AS$10:$AS$509,0)))-9),0)</f>
        <v>134</v>
      </c>
      <c r="K142" s="34" t="str">
        <f t="shared" si="11"/>
        <v>P:1047703-21.2023.4.01.3400</v>
      </c>
      <c r="L142" s="14">
        <f>ROW()</f>
        <v>142</v>
      </c>
    </row>
    <row r="143" spans="1:12" ht="60" customHeight="1">
      <c r="A143" s="41" t="s">
        <v>1009</v>
      </c>
      <c r="B143" s="43"/>
      <c r="C143" s="44" t="s">
        <v>1677</v>
      </c>
      <c r="D143" s="51">
        <v>46077</v>
      </c>
      <c r="E143" s="44" t="s">
        <v>1686</v>
      </c>
      <c r="F143" s="44" t="s">
        <v>1687</v>
      </c>
      <c r="G143" s="34">
        <f t="shared" si="8"/>
        <v>1</v>
      </c>
      <c r="H143" s="34" t="str">
        <f t="shared" si="9"/>
        <v>P:1057475-42.2022.4.01.3400 [CAV-002]|46077</v>
      </c>
      <c r="I143" s="52" t="str">
        <f t="shared" si="10"/>
        <v>Informe a data do andamento</v>
      </c>
      <c r="J143" s="34">
        <f>IF(AND(A143&lt;&gt;"",ISTEXT(A143),COUNTIFS(Processos!$AS$10:$AS$509,"="&amp;SUBSTITUTE(SUBSTITUTE(SUBSTITUTE("P:"&amp;A143,"~","~~"),"*","~*"),"?","~?"))=1),(IF(ISNA(MATCH(SUBSTITUTE(SUBSTITUTE(SUBSTITUTE("P:"&amp;A143,"~","~~"),"*","~*"),"?","~?"),Processos!$AS$10:$AS$509,0)),9,INDEX(Processos!$AM$10:$AM$509,MATCH(SUBSTITUTE(SUBSTITUTE(SUBSTITUTE("P:"&amp;A143,"~","~~"),"*","~*"),"?","~?"),Processos!$AS$10:$AS$509,0)))-9),0)</f>
        <v>135</v>
      </c>
      <c r="K143" s="34" t="str">
        <f t="shared" si="11"/>
        <v>P:1057475-42.2022.4.01.3400 [CAV-002]</v>
      </c>
      <c r="L143" s="14">
        <f>ROW()</f>
        <v>143</v>
      </c>
    </row>
    <row r="144" spans="1:12" ht="60" customHeight="1">
      <c r="A144" s="41" t="s">
        <v>1012</v>
      </c>
      <c r="B144" s="43">
        <v>45826</v>
      </c>
      <c r="C144" s="44" t="s">
        <v>1680</v>
      </c>
      <c r="D144" s="51">
        <v>46077</v>
      </c>
      <c r="E144" s="44" t="s">
        <v>1688</v>
      </c>
      <c r="F144" s="44" t="s">
        <v>1689</v>
      </c>
      <c r="G144" s="34">
        <f t="shared" si="8"/>
        <v>1</v>
      </c>
      <c r="H144" s="34" t="str">
        <f t="shared" si="9"/>
        <v>P:1005926-71.2023.4.01.0000 [CAV-003]|46077</v>
      </c>
      <c r="I144" s="52" t="str">
        <f t="shared" si="10"/>
        <v/>
      </c>
      <c r="J144" s="34">
        <f>IF(AND(A144&lt;&gt;"",ISTEXT(A144),COUNTIFS(Processos!$AS$10:$AS$509,"="&amp;SUBSTITUTE(SUBSTITUTE(SUBSTITUTE("P:"&amp;A144,"~","~~"),"*","~*"),"?","~?"))=1),(IF(ISNA(MATCH(SUBSTITUTE(SUBSTITUTE(SUBSTITUTE("P:"&amp;A144,"~","~~"),"*","~*"),"?","~?"),Processos!$AS$10:$AS$509,0)),9,INDEX(Processos!$AM$10:$AM$509,MATCH(SUBSTITUTE(SUBSTITUTE(SUBSTITUTE("P:"&amp;A144,"~","~~"),"*","~*"),"?","~?"),Processos!$AS$10:$AS$509,0)))-9),0)</f>
        <v>136</v>
      </c>
      <c r="K144" s="34" t="str">
        <f t="shared" si="11"/>
        <v>P:1005926-71.2023.4.01.0000 [CAV-003]</v>
      </c>
      <c r="L144" s="14">
        <f>ROW()</f>
        <v>144</v>
      </c>
    </row>
    <row r="145" spans="1:12" ht="60" customHeight="1">
      <c r="A145" s="41" t="s">
        <v>1015</v>
      </c>
      <c r="B145" s="43"/>
      <c r="C145" s="44" t="s">
        <v>1690</v>
      </c>
      <c r="D145" s="51">
        <v>46084</v>
      </c>
      <c r="E145" s="44" t="s">
        <v>1691</v>
      </c>
      <c r="F145" s="44" t="s">
        <v>1692</v>
      </c>
      <c r="G145" s="34">
        <f t="shared" si="8"/>
        <v>1</v>
      </c>
      <c r="H145" s="34" t="str">
        <f t="shared" si="9"/>
        <v>P:1019783-32.2022.4.06.3800|46084</v>
      </c>
      <c r="I145" s="52" t="str">
        <f t="shared" si="10"/>
        <v>Informe a data do andamento</v>
      </c>
      <c r="J145" s="34">
        <f>IF(AND(A145&lt;&gt;"",ISTEXT(A145),COUNTIFS(Processos!$AS$10:$AS$509,"="&amp;SUBSTITUTE(SUBSTITUTE(SUBSTITUTE("P:"&amp;A145,"~","~~"),"*","~*"),"?","~?"))=1),(IF(ISNA(MATCH(SUBSTITUTE(SUBSTITUTE(SUBSTITUTE("P:"&amp;A145,"~","~~"),"*","~*"),"?","~?"),Processos!$AS$10:$AS$509,0)),9,INDEX(Processos!$AM$10:$AM$509,MATCH(SUBSTITUTE(SUBSTITUTE(SUBSTITUTE("P:"&amp;A145,"~","~~"),"*","~*"),"?","~?"),Processos!$AS$10:$AS$509,0)))-9),0)</f>
        <v>137</v>
      </c>
      <c r="K145" s="34" t="str">
        <f t="shared" si="11"/>
        <v>P:1019783-32.2022.4.06.3800</v>
      </c>
      <c r="L145" s="14">
        <f>ROW()</f>
        <v>145</v>
      </c>
    </row>
    <row r="146" spans="1:12" ht="60" customHeight="1">
      <c r="A146" s="41" t="s">
        <v>1022</v>
      </c>
      <c r="B146" s="43"/>
      <c r="C146" s="44" t="s">
        <v>1693</v>
      </c>
      <c r="D146" s="51">
        <v>46105</v>
      </c>
      <c r="E146" s="44" t="s">
        <v>1694</v>
      </c>
      <c r="F146" s="44" t="s">
        <v>1695</v>
      </c>
      <c r="G146" s="34">
        <f t="shared" si="8"/>
        <v>1</v>
      </c>
      <c r="H146" s="34" t="str">
        <f t="shared" si="9"/>
        <v>P:5287392-91.2023.8.13.0024|46105</v>
      </c>
      <c r="I146" s="52" t="str">
        <f t="shared" si="10"/>
        <v>Informe a data do andamento</v>
      </c>
      <c r="J146" s="34">
        <f>IF(AND(A146&lt;&gt;"",ISTEXT(A146),COUNTIFS(Processos!$AS$10:$AS$509,"="&amp;SUBSTITUTE(SUBSTITUTE(SUBSTITUTE("P:"&amp;A146,"~","~~"),"*","~*"),"?","~?"))=1),(IF(ISNA(MATCH(SUBSTITUTE(SUBSTITUTE(SUBSTITUTE("P:"&amp;A146,"~","~~"),"*","~*"),"?","~?"),Processos!$AS$10:$AS$509,0)),9,INDEX(Processos!$AM$10:$AM$509,MATCH(SUBSTITUTE(SUBSTITUTE(SUBSTITUTE("P:"&amp;A146,"~","~~"),"*","~*"),"?","~?"),Processos!$AS$10:$AS$509,0)))-9),0)</f>
        <v>138</v>
      </c>
      <c r="K146" s="34" t="str">
        <f t="shared" si="11"/>
        <v>P:5287392-91.2023.8.13.0024</v>
      </c>
      <c r="L146" s="14">
        <f>ROW()</f>
        <v>146</v>
      </c>
    </row>
    <row r="147" spans="1:12" ht="60" customHeight="1">
      <c r="A147" s="41" t="s">
        <v>1029</v>
      </c>
      <c r="B147" s="43"/>
      <c r="C147" s="44" t="s">
        <v>1696</v>
      </c>
      <c r="D147" s="51">
        <v>46105</v>
      </c>
      <c r="E147" s="44" t="s">
        <v>1697</v>
      </c>
      <c r="F147" s="44" t="s">
        <v>1698</v>
      </c>
      <c r="G147" s="34">
        <f t="shared" si="8"/>
        <v>1</v>
      </c>
      <c r="H147" s="34" t="str">
        <f t="shared" si="9"/>
        <v>P:5225553-65.2023.8.13.0024|46105</v>
      </c>
      <c r="I147" s="52" t="str">
        <f t="shared" si="10"/>
        <v>Informe a data do andamento</v>
      </c>
      <c r="J147" s="34">
        <f>IF(AND(A147&lt;&gt;"",ISTEXT(A147),COUNTIFS(Processos!$AS$10:$AS$509,"="&amp;SUBSTITUTE(SUBSTITUTE(SUBSTITUTE("P:"&amp;A147,"~","~~"),"*","~*"),"?","~?"))=1),(IF(ISNA(MATCH(SUBSTITUTE(SUBSTITUTE(SUBSTITUTE("P:"&amp;A147,"~","~~"),"*","~*"),"?","~?"),Processos!$AS$10:$AS$509,0)),9,INDEX(Processos!$AM$10:$AM$509,MATCH(SUBSTITUTE(SUBSTITUTE(SUBSTITUTE("P:"&amp;A147,"~","~~"),"*","~*"),"?","~?"),Processos!$AS$10:$AS$509,0)))-9),0)</f>
        <v>139</v>
      </c>
      <c r="K147" s="34" t="str">
        <f t="shared" si="11"/>
        <v>P:5225553-65.2023.8.13.0024</v>
      </c>
      <c r="L147" s="14">
        <f>ROW()</f>
        <v>147</v>
      </c>
    </row>
    <row r="148" spans="1:12" ht="60" customHeight="1">
      <c r="A148" s="41" t="s">
        <v>1033</v>
      </c>
      <c r="B148" s="43"/>
      <c r="C148" s="44" t="s">
        <v>1699</v>
      </c>
      <c r="D148" s="51">
        <v>44998</v>
      </c>
      <c r="E148" s="44" t="s">
        <v>1700</v>
      </c>
      <c r="F148" s="44" t="s">
        <v>1701</v>
      </c>
      <c r="G148" s="34">
        <f t="shared" si="8"/>
        <v>1</v>
      </c>
      <c r="H148" s="34" t="str">
        <f t="shared" si="9"/>
        <v>P:Inquérito Policial 2022.0009514-SR/PF/MG|44998</v>
      </c>
      <c r="I148" s="52" t="str">
        <f t="shared" si="10"/>
        <v>Informe a data do andamento</v>
      </c>
      <c r="J148" s="34">
        <f>IF(AND(A148&lt;&gt;"",ISTEXT(A148),COUNTIFS(Processos!$AS$10:$AS$509,"="&amp;SUBSTITUTE(SUBSTITUTE(SUBSTITUTE("P:"&amp;A148,"~","~~"),"*","~*"),"?","~?"))=1),(IF(ISNA(MATCH(SUBSTITUTE(SUBSTITUTE(SUBSTITUTE("P:"&amp;A148,"~","~~"),"*","~*"),"?","~?"),Processos!$AS$10:$AS$509,0)),9,INDEX(Processos!$AM$10:$AM$509,MATCH(SUBSTITUTE(SUBSTITUTE(SUBSTITUTE("P:"&amp;A148,"~","~~"),"*","~*"),"?","~?"),Processos!$AS$10:$AS$509,0)))-9),0)</f>
        <v>140</v>
      </c>
      <c r="K148" s="34" t="str">
        <f t="shared" si="11"/>
        <v>P:Inquérito Policial 2022.0009514-SR/PF/MG</v>
      </c>
      <c r="L148" s="14">
        <f>ROW()</f>
        <v>148</v>
      </c>
    </row>
    <row r="149" spans="1:12" ht="60" customHeight="1">
      <c r="A149" s="41" t="s">
        <v>1041</v>
      </c>
      <c r="B149" s="43"/>
      <c r="C149" s="44" t="s">
        <v>1702</v>
      </c>
      <c r="D149" s="51">
        <v>46042</v>
      </c>
      <c r="E149" s="44" t="s">
        <v>1703</v>
      </c>
      <c r="F149" s="44" t="s">
        <v>1704</v>
      </c>
      <c r="G149" s="34">
        <f t="shared" si="8"/>
        <v>1</v>
      </c>
      <c r="H149" s="34" t="str">
        <f t="shared" si="9"/>
        <v>P:1110200-94.2023.4.06.3800|46042</v>
      </c>
      <c r="I149" s="52" t="str">
        <f t="shared" si="10"/>
        <v>Informe a data do andamento</v>
      </c>
      <c r="J149" s="34">
        <f>IF(AND(A149&lt;&gt;"",ISTEXT(A149),COUNTIFS(Processos!$AS$10:$AS$509,"="&amp;SUBSTITUTE(SUBSTITUTE(SUBSTITUTE("P:"&amp;A149,"~","~~"),"*","~*"),"?","~?"))=1),(IF(ISNA(MATCH(SUBSTITUTE(SUBSTITUTE(SUBSTITUTE("P:"&amp;A149,"~","~~"),"*","~*"),"?","~?"),Processos!$AS$10:$AS$509,0)),9,INDEX(Processos!$AM$10:$AM$509,MATCH(SUBSTITUTE(SUBSTITUTE(SUBSTITUTE("P:"&amp;A149,"~","~~"),"*","~*"),"?","~?"),Processos!$AS$10:$AS$509,0)))-9),0)</f>
        <v>141</v>
      </c>
      <c r="K149" s="34" t="str">
        <f t="shared" si="11"/>
        <v>P:1110200-94.2023.4.06.3800</v>
      </c>
      <c r="L149" s="14">
        <f>ROW()</f>
        <v>149</v>
      </c>
    </row>
    <row r="150" spans="1:12" ht="60" customHeight="1">
      <c r="A150" s="41" t="s">
        <v>1046</v>
      </c>
      <c r="B150" s="43"/>
      <c r="C150" s="44" t="s">
        <v>1705</v>
      </c>
      <c r="D150" s="51">
        <v>46043</v>
      </c>
      <c r="E150" s="44" t="s">
        <v>1706</v>
      </c>
      <c r="F150" s="44" t="s">
        <v>1707</v>
      </c>
      <c r="G150" s="34">
        <f t="shared" si="8"/>
        <v>1</v>
      </c>
      <c r="H150" s="34" t="str">
        <f t="shared" si="9"/>
        <v>P:1020133-58.2022.4.01.3800|46043</v>
      </c>
      <c r="I150" s="52" t="str">
        <f t="shared" si="10"/>
        <v>Informe a data do andamento</v>
      </c>
      <c r="J150" s="34">
        <f>IF(AND(A150&lt;&gt;"",ISTEXT(A150),COUNTIFS(Processos!$AS$10:$AS$509,"="&amp;SUBSTITUTE(SUBSTITUTE(SUBSTITUTE("P:"&amp;A150,"~","~~"),"*","~*"),"?","~?"))=1),(IF(ISNA(MATCH(SUBSTITUTE(SUBSTITUTE(SUBSTITUTE("P:"&amp;A150,"~","~~"),"*","~*"),"?","~?"),Processos!$AS$10:$AS$509,0)),9,INDEX(Processos!$AM$10:$AM$509,MATCH(SUBSTITUTE(SUBSTITUTE(SUBSTITUTE("P:"&amp;A150,"~","~~"),"*","~*"),"?","~?"),Processos!$AS$10:$AS$509,0)))-9),0)</f>
        <v>142</v>
      </c>
      <c r="K150" s="34" t="str">
        <f t="shared" si="11"/>
        <v>P:1020133-58.2022.4.01.3800</v>
      </c>
      <c r="L150" s="14">
        <f>ROW()</f>
        <v>150</v>
      </c>
    </row>
    <row r="151" spans="1:12" ht="60" customHeight="1">
      <c r="A151" s="41" t="s">
        <v>1050</v>
      </c>
      <c r="B151" s="43"/>
      <c r="C151" s="44" t="s">
        <v>1708</v>
      </c>
      <c r="D151" s="51">
        <v>46044</v>
      </c>
      <c r="E151" s="44" t="s">
        <v>1709</v>
      </c>
      <c r="F151" s="44" t="s">
        <v>1710</v>
      </c>
      <c r="G151" s="34">
        <f t="shared" si="8"/>
        <v>1</v>
      </c>
      <c r="H151" s="34" t="str">
        <f t="shared" si="9"/>
        <v>P:Inquérito Policial Federal n. 2024.0003162|46044</v>
      </c>
      <c r="I151" s="52" t="str">
        <f t="shared" si="10"/>
        <v>Informe a data do andamento</v>
      </c>
      <c r="J151" s="34">
        <f>IF(AND(A151&lt;&gt;"",ISTEXT(A151),COUNTIFS(Processos!$AS$10:$AS$509,"="&amp;SUBSTITUTE(SUBSTITUTE(SUBSTITUTE("P:"&amp;A151,"~","~~"),"*","~*"),"?","~?"))=1),(IF(ISNA(MATCH(SUBSTITUTE(SUBSTITUTE(SUBSTITUTE("P:"&amp;A151,"~","~~"),"*","~*"),"?","~?"),Processos!$AS$10:$AS$509,0)),9,INDEX(Processos!$AM$10:$AM$509,MATCH(SUBSTITUTE(SUBSTITUTE(SUBSTITUTE("P:"&amp;A151,"~","~~"),"*","~*"),"?","~?"),Processos!$AS$10:$AS$509,0)))-9),0)</f>
        <v>143</v>
      </c>
      <c r="K151" s="34" t="str">
        <f t="shared" si="11"/>
        <v>P:Inquérito Policial Federal n. 2024.0003162</v>
      </c>
      <c r="L151" s="14">
        <f>ROW()</f>
        <v>151</v>
      </c>
    </row>
    <row r="152" spans="1:12" ht="60" customHeight="1">
      <c r="A152" s="41" t="s">
        <v>1054</v>
      </c>
      <c r="B152" s="43">
        <v>45994</v>
      </c>
      <c r="C152" s="44" t="s">
        <v>1711</v>
      </c>
      <c r="D152" s="51">
        <v>46042</v>
      </c>
      <c r="E152" s="44" t="s">
        <v>1712</v>
      </c>
      <c r="F152" s="44" t="s">
        <v>1713</v>
      </c>
      <c r="G152" s="34">
        <f t="shared" si="8"/>
        <v>1</v>
      </c>
      <c r="H152" s="34" t="str">
        <f t="shared" si="9"/>
        <v>P:50050.005489/2024- 74|46042</v>
      </c>
      <c r="I152" s="52" t="str">
        <f t="shared" si="10"/>
        <v/>
      </c>
      <c r="J152" s="34">
        <f>IF(AND(A152&lt;&gt;"",ISTEXT(A152),COUNTIFS(Processos!$AS$10:$AS$509,"="&amp;SUBSTITUTE(SUBSTITUTE(SUBSTITUTE("P:"&amp;A152,"~","~~"),"*","~*"),"?","~?"))=1),(IF(ISNA(MATCH(SUBSTITUTE(SUBSTITUTE(SUBSTITUTE("P:"&amp;A152,"~","~~"),"*","~*"),"?","~?"),Processos!$AS$10:$AS$509,0)),9,INDEX(Processos!$AM$10:$AM$509,MATCH(SUBSTITUTE(SUBSTITUTE(SUBSTITUTE("P:"&amp;A152,"~","~~"),"*","~*"),"?","~?"),Processos!$AS$10:$AS$509,0)))-9),0)</f>
        <v>144</v>
      </c>
      <c r="K152" s="34" t="str">
        <f t="shared" si="11"/>
        <v>P:50050.005489/2024- 74</v>
      </c>
      <c r="L152" s="14">
        <f>ROW()</f>
        <v>152</v>
      </c>
    </row>
    <row r="153" spans="1:12" ht="60" customHeight="1">
      <c r="A153" s="41" t="s">
        <v>1060</v>
      </c>
      <c r="B153" s="43">
        <v>46140</v>
      </c>
      <c r="C153" s="44" t="s">
        <v>1714</v>
      </c>
      <c r="D153" s="51">
        <v>46084</v>
      </c>
      <c r="E153" s="44" t="s">
        <v>1715</v>
      </c>
      <c r="F153" s="44" t="s">
        <v>1716</v>
      </c>
      <c r="G153" s="34">
        <f t="shared" si="8"/>
        <v>1</v>
      </c>
      <c r="H153" s="34" t="str">
        <f t="shared" si="9"/>
        <v>P:004.551/2022-2|46084</v>
      </c>
      <c r="I153" s="52" t="str">
        <f t="shared" si="10"/>
        <v/>
      </c>
      <c r="J153" s="34">
        <f>IF(AND(A153&lt;&gt;"",ISTEXT(A153),COUNTIFS(Processos!$AS$10:$AS$509,"="&amp;SUBSTITUTE(SUBSTITUTE(SUBSTITUTE("P:"&amp;A153,"~","~~"),"*","~*"),"?","~?"))=1),(IF(ISNA(MATCH(SUBSTITUTE(SUBSTITUTE(SUBSTITUTE("P:"&amp;A153,"~","~~"),"*","~*"),"?","~?"),Processos!$AS$10:$AS$509,0)),9,INDEX(Processos!$AM$10:$AM$509,MATCH(SUBSTITUTE(SUBSTITUTE(SUBSTITUTE("P:"&amp;A153,"~","~~"),"*","~*"),"?","~?"),Processos!$AS$10:$AS$509,0)))-9),0)</f>
        <v>145</v>
      </c>
      <c r="K153" s="34" t="str">
        <f t="shared" si="11"/>
        <v>P:004.551/2022-2</v>
      </c>
      <c r="L153" s="14">
        <f>ROW()</f>
        <v>153</v>
      </c>
    </row>
    <row r="154" spans="1:12" ht="60" customHeight="1">
      <c r="A154" s="41" t="s">
        <v>1069</v>
      </c>
      <c r="B154" s="43"/>
      <c r="C154" s="44" t="s">
        <v>1717</v>
      </c>
      <c r="D154" s="51">
        <v>45709</v>
      </c>
      <c r="E154" s="44" t="s">
        <v>1718</v>
      </c>
      <c r="F154" s="44" t="s">
        <v>1719</v>
      </c>
      <c r="G154" s="34">
        <f t="shared" si="8"/>
        <v>1</v>
      </c>
      <c r="H154" s="34" t="str">
        <f t="shared" si="9"/>
        <v>P:50612.000400/2018-22|45709</v>
      </c>
      <c r="I154" s="52" t="str">
        <f t="shared" si="10"/>
        <v>Informe a data do andamento</v>
      </c>
      <c r="J154" s="34">
        <f>IF(AND(A154&lt;&gt;"",ISTEXT(A154),COUNTIFS(Processos!$AS$10:$AS$509,"="&amp;SUBSTITUTE(SUBSTITUTE(SUBSTITUTE("P:"&amp;A154,"~","~~"),"*","~*"),"?","~?"))=1),(IF(ISNA(MATCH(SUBSTITUTE(SUBSTITUTE(SUBSTITUTE("P:"&amp;A154,"~","~~"),"*","~*"),"?","~?"),Processos!$AS$10:$AS$509,0)),9,INDEX(Processos!$AM$10:$AM$509,MATCH(SUBSTITUTE(SUBSTITUTE(SUBSTITUTE("P:"&amp;A154,"~","~~"),"*","~*"),"?","~?"),Processos!$AS$10:$AS$509,0)))-9),0)</f>
        <v>146</v>
      </c>
      <c r="K154" s="34" t="str">
        <f t="shared" si="11"/>
        <v>P:50612.000400/2018-22</v>
      </c>
      <c r="L154" s="14">
        <f>ROW()</f>
        <v>154</v>
      </c>
    </row>
    <row r="155" spans="1:12" ht="60" customHeight="1">
      <c r="A155" s="41" t="s">
        <v>1076</v>
      </c>
      <c r="B155" s="43"/>
      <c r="C155" s="44" t="s">
        <v>1720</v>
      </c>
      <c r="D155" s="51">
        <v>46259</v>
      </c>
      <c r="E155" s="44" t="s">
        <v>1721</v>
      </c>
      <c r="F155" s="44" t="s">
        <v>1722</v>
      </c>
      <c r="G155" s="34">
        <f t="shared" si="8"/>
        <v>1</v>
      </c>
      <c r="H155" s="34" t="str">
        <f t="shared" si="9"/>
        <v>P:Concorrência Eletrônica nº 90157/2025 – DNIT/PB.|46259</v>
      </c>
      <c r="I155" s="52" t="str">
        <f t="shared" si="10"/>
        <v>Informe a data do andamento</v>
      </c>
      <c r="J155" s="34">
        <f>IF(AND(A155&lt;&gt;"",ISTEXT(A155),COUNTIFS(Processos!$AS$10:$AS$509,"="&amp;SUBSTITUTE(SUBSTITUTE(SUBSTITUTE("P:"&amp;A155,"~","~~"),"*","~*"),"?","~?"))=1),(IF(ISNA(MATCH(SUBSTITUTE(SUBSTITUTE(SUBSTITUTE("P:"&amp;A155,"~","~~"),"*","~*"),"?","~?"),Processos!$AS$10:$AS$509,0)),9,INDEX(Processos!$AM$10:$AM$509,MATCH(SUBSTITUTE(SUBSTITUTE(SUBSTITUTE("P:"&amp;A155,"~","~~"),"*","~*"),"?","~?"),Processos!$AS$10:$AS$509,0)))-9),0)</f>
        <v>147</v>
      </c>
      <c r="K155" s="34" t="str">
        <f t="shared" si="11"/>
        <v>P:Concorrência Eletrônica nº 90157/2025 – DNIT/PB.</v>
      </c>
      <c r="L155" s="14">
        <f>ROW()</f>
        <v>155</v>
      </c>
    </row>
    <row r="156" spans="1:12" ht="60" customHeight="1">
      <c r="A156" s="41" t="s">
        <v>1081</v>
      </c>
      <c r="B156" s="43"/>
      <c r="C156" s="44" t="s">
        <v>1723</v>
      </c>
      <c r="D156" s="51">
        <v>46259</v>
      </c>
      <c r="E156" s="44" t="s">
        <v>1724</v>
      </c>
      <c r="F156" s="44" t="s">
        <v>1725</v>
      </c>
      <c r="G156" s="34">
        <f t="shared" si="8"/>
        <v>1</v>
      </c>
      <c r="H156" s="34" t="str">
        <f t="shared" si="9"/>
        <v>P:51402.100197/2022-16|46259</v>
      </c>
      <c r="I156" s="52" t="str">
        <f t="shared" si="10"/>
        <v>Informe a data do andamento</v>
      </c>
      <c r="J156" s="34">
        <f>IF(AND(A156&lt;&gt;"",ISTEXT(A156),COUNTIFS(Processos!$AS$10:$AS$509,"="&amp;SUBSTITUTE(SUBSTITUTE(SUBSTITUTE("P:"&amp;A156,"~","~~"),"*","~*"),"?","~?"))=1),(IF(ISNA(MATCH(SUBSTITUTE(SUBSTITUTE(SUBSTITUTE("P:"&amp;A156,"~","~~"),"*","~*"),"?","~?"),Processos!$AS$10:$AS$509,0)),9,INDEX(Processos!$AM$10:$AM$509,MATCH(SUBSTITUTE(SUBSTITUTE(SUBSTITUTE("P:"&amp;A156,"~","~~"),"*","~*"),"?","~?"),Processos!$AS$10:$AS$509,0)))-9),0)</f>
        <v>148</v>
      </c>
      <c r="K156" s="34" t="str">
        <f t="shared" si="11"/>
        <v>P:51402.100197/2022-16</v>
      </c>
      <c r="L156" s="14">
        <f>ROW()</f>
        <v>156</v>
      </c>
    </row>
    <row r="157" spans="1:12" ht="60" customHeight="1">
      <c r="A157" s="41"/>
      <c r="B157" s="43"/>
      <c r="C157" s="44"/>
      <c r="D157" s="51"/>
      <c r="E157" s="44"/>
      <c r="F157" s="44"/>
      <c r="G157" s="34">
        <f t="shared" si="8"/>
        <v>0</v>
      </c>
      <c r="H157" s="34" t="str">
        <f t="shared" si="9"/>
        <v/>
      </c>
      <c r="I157" s="52" t="str">
        <f t="shared" si="10"/>
        <v/>
      </c>
      <c r="J157" s="34">
        <f>IF(AND(A157&lt;&gt;"",ISTEXT(A157),COUNTIFS(Processos!$AS$10:$AS$509,"="&amp;SUBSTITUTE(SUBSTITUTE(SUBSTITUTE("P:"&amp;A157,"~","~~"),"*","~*"),"?","~?"))=1),(IF(ISNA(MATCH(SUBSTITUTE(SUBSTITUTE(SUBSTITUTE("P:"&amp;A157,"~","~~"),"*","~*"),"?","~?"),Processos!$AS$10:$AS$509,0)),9,INDEX(Processos!$AM$10:$AM$509,MATCH(SUBSTITUTE(SUBSTITUTE(SUBSTITUTE("P:"&amp;A157,"~","~~"),"*","~*"),"?","~?"),Processos!$AS$10:$AS$509,0)))-9),0)</f>
        <v>0</v>
      </c>
      <c r="K157" s="34" t="str">
        <f t="shared" si="11"/>
        <v/>
      </c>
      <c r="L157" s="14">
        <f>ROW()</f>
        <v>157</v>
      </c>
    </row>
    <row r="158" spans="1:12" ht="60" customHeight="1">
      <c r="A158" s="41"/>
      <c r="B158" s="43"/>
      <c r="C158" s="44"/>
      <c r="D158" s="51"/>
      <c r="E158" s="44"/>
      <c r="F158" s="44"/>
      <c r="G158" s="34">
        <f t="shared" si="8"/>
        <v>0</v>
      </c>
      <c r="H158" s="34" t="str">
        <f t="shared" si="9"/>
        <v/>
      </c>
      <c r="I158" s="52" t="str">
        <f t="shared" si="10"/>
        <v/>
      </c>
      <c r="J158" s="34">
        <f>IF(AND(A158&lt;&gt;"",ISTEXT(A158),COUNTIFS(Processos!$AS$10:$AS$509,"="&amp;SUBSTITUTE(SUBSTITUTE(SUBSTITUTE("P:"&amp;A158,"~","~~"),"*","~*"),"?","~?"))=1),(IF(ISNA(MATCH(SUBSTITUTE(SUBSTITUTE(SUBSTITUTE("P:"&amp;A158,"~","~~"),"*","~*"),"?","~?"),Processos!$AS$10:$AS$509,0)),9,INDEX(Processos!$AM$10:$AM$509,MATCH(SUBSTITUTE(SUBSTITUTE(SUBSTITUTE("P:"&amp;A158,"~","~~"),"*","~*"),"?","~?"),Processos!$AS$10:$AS$509,0)))-9),0)</f>
        <v>0</v>
      </c>
      <c r="K158" s="34" t="str">
        <f t="shared" si="11"/>
        <v/>
      </c>
      <c r="L158" s="14">
        <f>ROW()</f>
        <v>158</v>
      </c>
    </row>
    <row r="159" spans="1:12" ht="60" customHeight="1">
      <c r="A159" s="41"/>
      <c r="B159" s="43"/>
      <c r="C159" s="44"/>
      <c r="D159" s="51"/>
      <c r="E159" s="44"/>
      <c r="F159" s="44"/>
      <c r="G159" s="34">
        <f t="shared" si="8"/>
        <v>0</v>
      </c>
      <c r="H159" s="34" t="str">
        <f t="shared" si="9"/>
        <v/>
      </c>
      <c r="I159" s="52" t="str">
        <f t="shared" si="10"/>
        <v/>
      </c>
      <c r="J159" s="34">
        <f>IF(AND(A159&lt;&gt;"",ISTEXT(A159),COUNTIFS(Processos!$AS$10:$AS$509,"="&amp;SUBSTITUTE(SUBSTITUTE(SUBSTITUTE("P:"&amp;A159,"~","~~"),"*","~*"),"?","~?"))=1),(IF(ISNA(MATCH(SUBSTITUTE(SUBSTITUTE(SUBSTITUTE("P:"&amp;A159,"~","~~"),"*","~*"),"?","~?"),Processos!$AS$10:$AS$509,0)),9,INDEX(Processos!$AM$10:$AM$509,MATCH(SUBSTITUTE(SUBSTITUTE(SUBSTITUTE("P:"&amp;A159,"~","~~"),"*","~*"),"?","~?"),Processos!$AS$10:$AS$509,0)))-9),0)</f>
        <v>0</v>
      </c>
      <c r="K159" s="34" t="str">
        <f t="shared" si="11"/>
        <v/>
      </c>
      <c r="L159" s="14">
        <f>ROW()</f>
        <v>159</v>
      </c>
    </row>
    <row r="160" spans="1:12" ht="60" customHeight="1">
      <c r="A160" s="41"/>
      <c r="B160" s="43"/>
      <c r="C160" s="44"/>
      <c r="D160" s="51"/>
      <c r="E160" s="44"/>
      <c r="F160" s="44"/>
      <c r="G160" s="34">
        <f t="shared" si="8"/>
        <v>0</v>
      </c>
      <c r="H160" s="34" t="str">
        <f t="shared" si="9"/>
        <v/>
      </c>
      <c r="I160" s="52" t="str">
        <f t="shared" si="10"/>
        <v/>
      </c>
      <c r="J160" s="34">
        <f>IF(AND(A160&lt;&gt;"",ISTEXT(A160),COUNTIFS(Processos!$AS$10:$AS$509,"="&amp;SUBSTITUTE(SUBSTITUTE(SUBSTITUTE("P:"&amp;A160,"~","~~"),"*","~*"),"?","~?"))=1),(IF(ISNA(MATCH(SUBSTITUTE(SUBSTITUTE(SUBSTITUTE("P:"&amp;A160,"~","~~"),"*","~*"),"?","~?"),Processos!$AS$10:$AS$509,0)),9,INDEX(Processos!$AM$10:$AM$509,MATCH(SUBSTITUTE(SUBSTITUTE(SUBSTITUTE("P:"&amp;A160,"~","~~"),"*","~*"),"?","~?"),Processos!$AS$10:$AS$509,0)))-9),0)</f>
        <v>0</v>
      </c>
      <c r="K160" s="34" t="str">
        <f t="shared" si="11"/>
        <v/>
      </c>
      <c r="L160" s="14">
        <f>ROW()</f>
        <v>160</v>
      </c>
    </row>
    <row r="161" spans="1:12" ht="60" customHeight="1">
      <c r="A161" s="41"/>
      <c r="B161" s="43"/>
      <c r="C161" s="44"/>
      <c r="D161" s="51"/>
      <c r="E161" s="44"/>
      <c r="F161" s="44"/>
      <c r="G161" s="34">
        <f t="shared" si="8"/>
        <v>0</v>
      </c>
      <c r="H161" s="34" t="str">
        <f t="shared" si="9"/>
        <v/>
      </c>
      <c r="I161" s="52" t="str">
        <f t="shared" si="10"/>
        <v/>
      </c>
      <c r="J161" s="34">
        <f>IF(AND(A161&lt;&gt;"",ISTEXT(A161),COUNTIFS(Processos!$AS$10:$AS$509,"="&amp;SUBSTITUTE(SUBSTITUTE(SUBSTITUTE("P:"&amp;A161,"~","~~"),"*","~*"),"?","~?"))=1),(IF(ISNA(MATCH(SUBSTITUTE(SUBSTITUTE(SUBSTITUTE("P:"&amp;A161,"~","~~"),"*","~*"),"?","~?"),Processos!$AS$10:$AS$509,0)),9,INDEX(Processos!$AM$10:$AM$509,MATCH(SUBSTITUTE(SUBSTITUTE(SUBSTITUTE("P:"&amp;A161,"~","~~"),"*","~*"),"?","~?"),Processos!$AS$10:$AS$509,0)))-9),0)</f>
        <v>0</v>
      </c>
      <c r="K161" s="34" t="str">
        <f t="shared" si="11"/>
        <v/>
      </c>
      <c r="L161" s="14">
        <f>ROW()</f>
        <v>161</v>
      </c>
    </row>
    <row r="162" spans="1:12" ht="60" customHeight="1">
      <c r="A162" s="41"/>
      <c r="B162" s="43"/>
      <c r="C162" s="44"/>
      <c r="D162" s="51"/>
      <c r="E162" s="44"/>
      <c r="F162" s="44"/>
      <c r="G162" s="34">
        <f t="shared" si="8"/>
        <v>0</v>
      </c>
      <c r="H162" s="34" t="str">
        <f t="shared" si="9"/>
        <v/>
      </c>
      <c r="I162" s="52" t="str">
        <f t="shared" si="10"/>
        <v/>
      </c>
      <c r="J162" s="34">
        <f>IF(AND(A162&lt;&gt;"",ISTEXT(A162),COUNTIFS(Processos!$AS$10:$AS$509,"="&amp;SUBSTITUTE(SUBSTITUTE(SUBSTITUTE("P:"&amp;A162,"~","~~"),"*","~*"),"?","~?"))=1),(IF(ISNA(MATCH(SUBSTITUTE(SUBSTITUTE(SUBSTITUTE("P:"&amp;A162,"~","~~"),"*","~*"),"?","~?"),Processos!$AS$10:$AS$509,0)),9,INDEX(Processos!$AM$10:$AM$509,MATCH(SUBSTITUTE(SUBSTITUTE(SUBSTITUTE("P:"&amp;A162,"~","~~"),"*","~*"),"?","~?"),Processos!$AS$10:$AS$509,0)))-9),0)</f>
        <v>0</v>
      </c>
      <c r="K162" s="34" t="str">
        <f t="shared" si="11"/>
        <v/>
      </c>
      <c r="L162" s="14">
        <f>ROW()</f>
        <v>162</v>
      </c>
    </row>
    <row r="163" spans="1:12" ht="60" customHeight="1">
      <c r="A163" s="41"/>
      <c r="B163" s="43"/>
      <c r="C163" s="44"/>
      <c r="D163" s="51"/>
      <c r="E163" s="44"/>
      <c r="F163" s="44"/>
      <c r="G163" s="34">
        <f t="shared" si="8"/>
        <v>0</v>
      </c>
      <c r="H163" s="34" t="str">
        <f t="shared" si="9"/>
        <v/>
      </c>
      <c r="I163" s="52" t="str">
        <f t="shared" si="10"/>
        <v/>
      </c>
      <c r="J163" s="34">
        <f>IF(AND(A163&lt;&gt;"",ISTEXT(A163),COUNTIFS(Processos!$AS$10:$AS$509,"="&amp;SUBSTITUTE(SUBSTITUTE(SUBSTITUTE("P:"&amp;A163,"~","~~"),"*","~*"),"?","~?"))=1),(IF(ISNA(MATCH(SUBSTITUTE(SUBSTITUTE(SUBSTITUTE("P:"&amp;A163,"~","~~"),"*","~*"),"?","~?"),Processos!$AS$10:$AS$509,0)),9,INDEX(Processos!$AM$10:$AM$509,MATCH(SUBSTITUTE(SUBSTITUTE(SUBSTITUTE("P:"&amp;A163,"~","~~"),"*","~*"),"?","~?"),Processos!$AS$10:$AS$509,0)))-9),0)</f>
        <v>0</v>
      </c>
      <c r="K163" s="34" t="str">
        <f t="shared" si="11"/>
        <v/>
      </c>
      <c r="L163" s="14">
        <f>ROW()</f>
        <v>163</v>
      </c>
    </row>
    <row r="164" spans="1:12" ht="60" customHeight="1">
      <c r="A164" s="41"/>
      <c r="B164" s="43"/>
      <c r="C164" s="44"/>
      <c r="D164" s="51"/>
      <c r="E164" s="44"/>
      <c r="F164" s="44"/>
      <c r="G164" s="34">
        <f t="shared" si="8"/>
        <v>0</v>
      </c>
      <c r="H164" s="34" t="str">
        <f t="shared" si="9"/>
        <v/>
      </c>
      <c r="I164" s="52" t="str">
        <f t="shared" si="10"/>
        <v/>
      </c>
      <c r="J164" s="34">
        <f>IF(AND(A164&lt;&gt;"",ISTEXT(A164),COUNTIFS(Processos!$AS$10:$AS$509,"="&amp;SUBSTITUTE(SUBSTITUTE(SUBSTITUTE("P:"&amp;A164,"~","~~"),"*","~*"),"?","~?"))=1),(IF(ISNA(MATCH(SUBSTITUTE(SUBSTITUTE(SUBSTITUTE("P:"&amp;A164,"~","~~"),"*","~*"),"?","~?"),Processos!$AS$10:$AS$509,0)),9,INDEX(Processos!$AM$10:$AM$509,MATCH(SUBSTITUTE(SUBSTITUTE(SUBSTITUTE("P:"&amp;A164,"~","~~"),"*","~*"),"?","~?"),Processos!$AS$10:$AS$509,0)))-9),0)</f>
        <v>0</v>
      </c>
      <c r="K164" s="34" t="str">
        <f t="shared" si="11"/>
        <v/>
      </c>
      <c r="L164" s="14">
        <f>ROW()</f>
        <v>164</v>
      </c>
    </row>
    <row r="165" spans="1:12" ht="60" customHeight="1">
      <c r="A165" s="41"/>
      <c r="B165" s="43"/>
      <c r="C165" s="44"/>
      <c r="D165" s="51"/>
      <c r="E165" s="44"/>
      <c r="F165" s="44"/>
      <c r="G165" s="34">
        <f t="shared" si="8"/>
        <v>0</v>
      </c>
      <c r="H165" s="34" t="str">
        <f t="shared" si="9"/>
        <v/>
      </c>
      <c r="I165" s="52" t="str">
        <f t="shared" si="10"/>
        <v/>
      </c>
      <c r="J165" s="34">
        <f>IF(AND(A165&lt;&gt;"",ISTEXT(A165),COUNTIFS(Processos!$AS$10:$AS$509,"="&amp;SUBSTITUTE(SUBSTITUTE(SUBSTITUTE("P:"&amp;A165,"~","~~"),"*","~*"),"?","~?"))=1),(IF(ISNA(MATCH(SUBSTITUTE(SUBSTITUTE(SUBSTITUTE("P:"&amp;A165,"~","~~"),"*","~*"),"?","~?"),Processos!$AS$10:$AS$509,0)),9,INDEX(Processos!$AM$10:$AM$509,MATCH(SUBSTITUTE(SUBSTITUTE(SUBSTITUTE("P:"&amp;A165,"~","~~"),"*","~*"),"?","~?"),Processos!$AS$10:$AS$509,0)))-9),0)</f>
        <v>0</v>
      </c>
      <c r="K165" s="34" t="str">
        <f t="shared" si="11"/>
        <v/>
      </c>
      <c r="L165" s="14">
        <f>ROW()</f>
        <v>165</v>
      </c>
    </row>
    <row r="166" spans="1:12" ht="60" customHeight="1">
      <c r="A166" s="41"/>
      <c r="B166" s="43"/>
      <c r="C166" s="44"/>
      <c r="D166" s="51"/>
      <c r="E166" s="44"/>
      <c r="F166" s="44"/>
      <c r="G166" s="34">
        <f t="shared" si="8"/>
        <v>0</v>
      </c>
      <c r="H166" s="34" t="str">
        <f t="shared" si="9"/>
        <v/>
      </c>
      <c r="I166" s="52" t="str">
        <f t="shared" si="10"/>
        <v/>
      </c>
      <c r="J166" s="34">
        <f>IF(AND(A166&lt;&gt;"",ISTEXT(A166),COUNTIFS(Processos!$AS$10:$AS$509,"="&amp;SUBSTITUTE(SUBSTITUTE(SUBSTITUTE("P:"&amp;A166,"~","~~"),"*","~*"),"?","~?"))=1),(IF(ISNA(MATCH(SUBSTITUTE(SUBSTITUTE(SUBSTITUTE("P:"&amp;A166,"~","~~"),"*","~*"),"?","~?"),Processos!$AS$10:$AS$509,0)),9,INDEX(Processos!$AM$10:$AM$509,MATCH(SUBSTITUTE(SUBSTITUTE(SUBSTITUTE("P:"&amp;A166,"~","~~"),"*","~*"),"?","~?"),Processos!$AS$10:$AS$509,0)))-9),0)</f>
        <v>0</v>
      </c>
      <c r="K166" s="34" t="str">
        <f t="shared" si="11"/>
        <v/>
      </c>
      <c r="L166" s="14">
        <f>ROW()</f>
        <v>166</v>
      </c>
    </row>
    <row r="167" spans="1:12" ht="60" customHeight="1">
      <c r="A167" s="41"/>
      <c r="B167" s="43"/>
      <c r="C167" s="44"/>
      <c r="D167" s="51"/>
      <c r="E167" s="44"/>
      <c r="F167" s="44"/>
      <c r="G167" s="34">
        <f t="shared" si="8"/>
        <v>0</v>
      </c>
      <c r="H167" s="34" t="str">
        <f t="shared" si="9"/>
        <v/>
      </c>
      <c r="I167" s="52" t="str">
        <f t="shared" si="10"/>
        <v/>
      </c>
      <c r="J167" s="34">
        <f>IF(AND(A167&lt;&gt;"",ISTEXT(A167),COUNTIFS(Processos!$AS$10:$AS$509,"="&amp;SUBSTITUTE(SUBSTITUTE(SUBSTITUTE("P:"&amp;A167,"~","~~"),"*","~*"),"?","~?"))=1),(IF(ISNA(MATCH(SUBSTITUTE(SUBSTITUTE(SUBSTITUTE("P:"&amp;A167,"~","~~"),"*","~*"),"?","~?"),Processos!$AS$10:$AS$509,0)),9,INDEX(Processos!$AM$10:$AM$509,MATCH(SUBSTITUTE(SUBSTITUTE(SUBSTITUTE("P:"&amp;A167,"~","~~"),"*","~*"),"?","~?"),Processos!$AS$10:$AS$509,0)))-9),0)</f>
        <v>0</v>
      </c>
      <c r="K167" s="34" t="str">
        <f t="shared" si="11"/>
        <v/>
      </c>
      <c r="L167" s="14">
        <f>ROW()</f>
        <v>167</v>
      </c>
    </row>
    <row r="168" spans="1:12" ht="60" customHeight="1">
      <c r="A168" s="41"/>
      <c r="B168" s="43"/>
      <c r="C168" s="44"/>
      <c r="D168" s="51"/>
      <c r="E168" s="44"/>
      <c r="F168" s="44"/>
      <c r="G168" s="34">
        <f t="shared" si="8"/>
        <v>0</v>
      </c>
      <c r="H168" s="34" t="str">
        <f t="shared" si="9"/>
        <v/>
      </c>
      <c r="I168" s="52" t="str">
        <f t="shared" si="10"/>
        <v/>
      </c>
      <c r="J168" s="34">
        <f>IF(AND(A168&lt;&gt;"",ISTEXT(A168),COUNTIFS(Processos!$AS$10:$AS$509,"="&amp;SUBSTITUTE(SUBSTITUTE(SUBSTITUTE("P:"&amp;A168,"~","~~"),"*","~*"),"?","~?"))=1),(IF(ISNA(MATCH(SUBSTITUTE(SUBSTITUTE(SUBSTITUTE("P:"&amp;A168,"~","~~"),"*","~*"),"?","~?"),Processos!$AS$10:$AS$509,0)),9,INDEX(Processos!$AM$10:$AM$509,MATCH(SUBSTITUTE(SUBSTITUTE(SUBSTITUTE("P:"&amp;A168,"~","~~"),"*","~*"),"?","~?"),Processos!$AS$10:$AS$509,0)))-9),0)</f>
        <v>0</v>
      </c>
      <c r="K168" s="34" t="str">
        <f t="shared" si="11"/>
        <v/>
      </c>
      <c r="L168" s="14">
        <f>ROW()</f>
        <v>168</v>
      </c>
    </row>
    <row r="169" spans="1:12" ht="60" customHeight="1">
      <c r="A169" s="41"/>
      <c r="B169" s="43"/>
      <c r="C169" s="44"/>
      <c r="D169" s="51"/>
      <c r="E169" s="44"/>
      <c r="F169" s="44"/>
      <c r="G169" s="34">
        <f t="shared" si="8"/>
        <v>0</v>
      </c>
      <c r="H169" s="34" t="str">
        <f t="shared" si="9"/>
        <v/>
      </c>
      <c r="I169" s="52" t="str">
        <f t="shared" si="10"/>
        <v/>
      </c>
      <c r="J169" s="34">
        <f>IF(AND(A169&lt;&gt;"",ISTEXT(A169),COUNTIFS(Processos!$AS$10:$AS$509,"="&amp;SUBSTITUTE(SUBSTITUTE(SUBSTITUTE("P:"&amp;A169,"~","~~"),"*","~*"),"?","~?"))=1),(IF(ISNA(MATCH(SUBSTITUTE(SUBSTITUTE(SUBSTITUTE("P:"&amp;A169,"~","~~"),"*","~*"),"?","~?"),Processos!$AS$10:$AS$509,0)),9,INDEX(Processos!$AM$10:$AM$509,MATCH(SUBSTITUTE(SUBSTITUTE(SUBSTITUTE("P:"&amp;A169,"~","~~"),"*","~*"),"?","~?"),Processos!$AS$10:$AS$509,0)))-9),0)</f>
        <v>0</v>
      </c>
      <c r="K169" s="34" t="str">
        <f t="shared" si="11"/>
        <v/>
      </c>
      <c r="L169" s="14">
        <f>ROW()</f>
        <v>169</v>
      </c>
    </row>
    <row r="170" spans="1:12" ht="60" customHeight="1">
      <c r="A170" s="41"/>
      <c r="B170" s="43"/>
      <c r="C170" s="44"/>
      <c r="D170" s="51"/>
      <c r="E170" s="44"/>
      <c r="F170" s="44"/>
      <c r="G170" s="34">
        <f t="shared" si="8"/>
        <v>0</v>
      </c>
      <c r="H170" s="34" t="str">
        <f t="shared" si="9"/>
        <v/>
      </c>
      <c r="I170" s="52" t="str">
        <f t="shared" si="10"/>
        <v/>
      </c>
      <c r="J170" s="34">
        <f>IF(AND(A170&lt;&gt;"",ISTEXT(A170),COUNTIFS(Processos!$AS$10:$AS$509,"="&amp;SUBSTITUTE(SUBSTITUTE(SUBSTITUTE("P:"&amp;A170,"~","~~"),"*","~*"),"?","~?"))=1),(IF(ISNA(MATCH(SUBSTITUTE(SUBSTITUTE(SUBSTITUTE("P:"&amp;A170,"~","~~"),"*","~*"),"?","~?"),Processos!$AS$10:$AS$509,0)),9,INDEX(Processos!$AM$10:$AM$509,MATCH(SUBSTITUTE(SUBSTITUTE(SUBSTITUTE("P:"&amp;A170,"~","~~"),"*","~*"),"?","~?"),Processos!$AS$10:$AS$509,0)))-9),0)</f>
        <v>0</v>
      </c>
      <c r="K170" s="34" t="str">
        <f t="shared" si="11"/>
        <v/>
      </c>
      <c r="L170" s="14">
        <f>ROW()</f>
        <v>170</v>
      </c>
    </row>
    <row r="171" spans="1:12" ht="60" customHeight="1">
      <c r="A171" s="41"/>
      <c r="B171" s="43"/>
      <c r="C171" s="44"/>
      <c r="D171" s="51"/>
      <c r="E171" s="44"/>
      <c r="F171" s="44"/>
      <c r="G171" s="34">
        <f t="shared" si="8"/>
        <v>0</v>
      </c>
      <c r="H171" s="34" t="str">
        <f t="shared" si="9"/>
        <v/>
      </c>
      <c r="I171" s="52" t="str">
        <f t="shared" si="10"/>
        <v/>
      </c>
      <c r="J171" s="34">
        <f>IF(AND(A171&lt;&gt;"",ISTEXT(A171),COUNTIFS(Processos!$AS$10:$AS$509,"="&amp;SUBSTITUTE(SUBSTITUTE(SUBSTITUTE("P:"&amp;A171,"~","~~"),"*","~*"),"?","~?"))=1),(IF(ISNA(MATCH(SUBSTITUTE(SUBSTITUTE(SUBSTITUTE("P:"&amp;A171,"~","~~"),"*","~*"),"?","~?"),Processos!$AS$10:$AS$509,0)),9,INDEX(Processos!$AM$10:$AM$509,MATCH(SUBSTITUTE(SUBSTITUTE(SUBSTITUTE("P:"&amp;A171,"~","~~"),"*","~*"),"?","~?"),Processos!$AS$10:$AS$509,0)))-9),0)</f>
        <v>0</v>
      </c>
      <c r="K171" s="34" t="str">
        <f t="shared" si="11"/>
        <v/>
      </c>
      <c r="L171" s="14">
        <f>ROW()</f>
        <v>171</v>
      </c>
    </row>
    <row r="172" spans="1:12" ht="60" customHeight="1">
      <c r="A172" s="41"/>
      <c r="B172" s="43"/>
      <c r="C172" s="44"/>
      <c r="D172" s="51"/>
      <c r="E172" s="44"/>
      <c r="F172" s="44"/>
      <c r="G172" s="34">
        <f t="shared" si="8"/>
        <v>0</v>
      </c>
      <c r="H172" s="34" t="str">
        <f t="shared" si="9"/>
        <v/>
      </c>
      <c r="I172" s="52" t="str">
        <f t="shared" si="10"/>
        <v/>
      </c>
      <c r="J172" s="34">
        <f>IF(AND(A172&lt;&gt;"",ISTEXT(A172),COUNTIFS(Processos!$AS$10:$AS$509,"="&amp;SUBSTITUTE(SUBSTITUTE(SUBSTITUTE("P:"&amp;A172,"~","~~"),"*","~*"),"?","~?"))=1),(IF(ISNA(MATCH(SUBSTITUTE(SUBSTITUTE(SUBSTITUTE("P:"&amp;A172,"~","~~"),"*","~*"),"?","~?"),Processos!$AS$10:$AS$509,0)),9,INDEX(Processos!$AM$10:$AM$509,MATCH(SUBSTITUTE(SUBSTITUTE(SUBSTITUTE("P:"&amp;A172,"~","~~"),"*","~*"),"?","~?"),Processos!$AS$10:$AS$509,0)))-9),0)</f>
        <v>0</v>
      </c>
      <c r="K172" s="34" t="str">
        <f t="shared" si="11"/>
        <v/>
      </c>
      <c r="L172" s="14">
        <f>ROW()</f>
        <v>172</v>
      </c>
    </row>
    <row r="173" spans="1:12" ht="60" customHeight="1">
      <c r="A173" s="41"/>
      <c r="B173" s="43"/>
      <c r="C173" s="44"/>
      <c r="D173" s="51"/>
      <c r="E173" s="44"/>
      <c r="F173" s="44"/>
      <c r="G173" s="34">
        <f t="shared" si="8"/>
        <v>0</v>
      </c>
      <c r="H173" s="34" t="str">
        <f t="shared" si="9"/>
        <v/>
      </c>
      <c r="I173" s="52" t="str">
        <f t="shared" si="10"/>
        <v/>
      </c>
      <c r="J173" s="34">
        <f>IF(AND(A173&lt;&gt;"",ISTEXT(A173),COUNTIFS(Processos!$AS$10:$AS$509,"="&amp;SUBSTITUTE(SUBSTITUTE(SUBSTITUTE("P:"&amp;A173,"~","~~"),"*","~*"),"?","~?"))=1),(IF(ISNA(MATCH(SUBSTITUTE(SUBSTITUTE(SUBSTITUTE("P:"&amp;A173,"~","~~"),"*","~*"),"?","~?"),Processos!$AS$10:$AS$509,0)),9,INDEX(Processos!$AM$10:$AM$509,MATCH(SUBSTITUTE(SUBSTITUTE(SUBSTITUTE("P:"&amp;A173,"~","~~"),"*","~*"),"?","~?"),Processos!$AS$10:$AS$509,0)))-9),0)</f>
        <v>0</v>
      </c>
      <c r="K173" s="34" t="str">
        <f t="shared" si="11"/>
        <v/>
      </c>
      <c r="L173" s="14">
        <f>ROW()</f>
        <v>173</v>
      </c>
    </row>
    <row r="174" spans="1:12" ht="60" customHeight="1">
      <c r="A174" s="41"/>
      <c r="B174" s="43"/>
      <c r="C174" s="44"/>
      <c r="D174" s="51"/>
      <c r="E174" s="44"/>
      <c r="F174" s="44"/>
      <c r="G174" s="34">
        <f t="shared" si="8"/>
        <v>0</v>
      </c>
      <c r="H174" s="34" t="str">
        <f t="shared" si="9"/>
        <v/>
      </c>
      <c r="I174" s="52" t="str">
        <f t="shared" si="10"/>
        <v/>
      </c>
      <c r="J174" s="34">
        <f>IF(AND(A174&lt;&gt;"",ISTEXT(A174),COUNTIFS(Processos!$AS$10:$AS$509,"="&amp;SUBSTITUTE(SUBSTITUTE(SUBSTITUTE("P:"&amp;A174,"~","~~"),"*","~*"),"?","~?"))=1),(IF(ISNA(MATCH(SUBSTITUTE(SUBSTITUTE(SUBSTITUTE("P:"&amp;A174,"~","~~"),"*","~*"),"?","~?"),Processos!$AS$10:$AS$509,0)),9,INDEX(Processos!$AM$10:$AM$509,MATCH(SUBSTITUTE(SUBSTITUTE(SUBSTITUTE("P:"&amp;A174,"~","~~"),"*","~*"),"?","~?"),Processos!$AS$10:$AS$509,0)))-9),0)</f>
        <v>0</v>
      </c>
      <c r="K174" s="34" t="str">
        <f t="shared" si="11"/>
        <v/>
      </c>
      <c r="L174" s="14">
        <f>ROW()</f>
        <v>174</v>
      </c>
    </row>
    <row r="175" spans="1:12" ht="60" customHeight="1">
      <c r="A175" s="41"/>
      <c r="B175" s="43"/>
      <c r="C175" s="44"/>
      <c r="D175" s="51"/>
      <c r="E175" s="44"/>
      <c r="F175" s="44"/>
      <c r="G175" s="34">
        <f t="shared" si="8"/>
        <v>0</v>
      </c>
      <c r="H175" s="34" t="str">
        <f t="shared" si="9"/>
        <v/>
      </c>
      <c r="I175" s="52" t="str">
        <f t="shared" si="10"/>
        <v/>
      </c>
      <c r="J175" s="34">
        <f>IF(AND(A175&lt;&gt;"",ISTEXT(A175),COUNTIFS(Processos!$AS$10:$AS$509,"="&amp;SUBSTITUTE(SUBSTITUTE(SUBSTITUTE("P:"&amp;A175,"~","~~"),"*","~*"),"?","~?"))=1),(IF(ISNA(MATCH(SUBSTITUTE(SUBSTITUTE(SUBSTITUTE("P:"&amp;A175,"~","~~"),"*","~*"),"?","~?"),Processos!$AS$10:$AS$509,0)),9,INDEX(Processos!$AM$10:$AM$509,MATCH(SUBSTITUTE(SUBSTITUTE(SUBSTITUTE("P:"&amp;A175,"~","~~"),"*","~*"),"?","~?"),Processos!$AS$10:$AS$509,0)))-9),0)</f>
        <v>0</v>
      </c>
      <c r="K175" s="34" t="str">
        <f t="shared" si="11"/>
        <v/>
      </c>
      <c r="L175" s="14">
        <f>ROW()</f>
        <v>175</v>
      </c>
    </row>
    <row r="176" spans="1:12" ht="60" customHeight="1">
      <c r="A176" s="41"/>
      <c r="B176" s="43"/>
      <c r="C176" s="44"/>
      <c r="D176" s="51"/>
      <c r="E176" s="44"/>
      <c r="F176" s="44"/>
      <c r="G176" s="34">
        <f t="shared" si="8"/>
        <v>0</v>
      </c>
      <c r="H176" s="34" t="str">
        <f t="shared" si="9"/>
        <v/>
      </c>
      <c r="I176" s="52" t="str">
        <f t="shared" si="10"/>
        <v/>
      </c>
      <c r="J176" s="34">
        <f>IF(AND(A176&lt;&gt;"",ISTEXT(A176),COUNTIFS(Processos!$AS$10:$AS$509,"="&amp;SUBSTITUTE(SUBSTITUTE(SUBSTITUTE("P:"&amp;A176,"~","~~"),"*","~*"),"?","~?"))=1),(IF(ISNA(MATCH(SUBSTITUTE(SUBSTITUTE(SUBSTITUTE("P:"&amp;A176,"~","~~"),"*","~*"),"?","~?"),Processos!$AS$10:$AS$509,0)),9,INDEX(Processos!$AM$10:$AM$509,MATCH(SUBSTITUTE(SUBSTITUTE(SUBSTITUTE("P:"&amp;A176,"~","~~"),"*","~*"),"?","~?"),Processos!$AS$10:$AS$509,0)))-9),0)</f>
        <v>0</v>
      </c>
      <c r="K176" s="34" t="str">
        <f t="shared" si="11"/>
        <v/>
      </c>
      <c r="L176" s="14">
        <f>ROW()</f>
        <v>176</v>
      </c>
    </row>
    <row r="177" spans="1:12" ht="60" customHeight="1">
      <c r="A177" s="41"/>
      <c r="B177" s="43"/>
      <c r="C177" s="44"/>
      <c r="D177" s="51"/>
      <c r="E177" s="44"/>
      <c r="F177" s="44"/>
      <c r="G177" s="34">
        <f t="shared" si="8"/>
        <v>0</v>
      </c>
      <c r="H177" s="34" t="str">
        <f t="shared" si="9"/>
        <v/>
      </c>
      <c r="I177" s="52" t="str">
        <f t="shared" si="10"/>
        <v/>
      </c>
      <c r="J177" s="34">
        <f>IF(AND(A177&lt;&gt;"",ISTEXT(A177),COUNTIFS(Processos!$AS$10:$AS$509,"="&amp;SUBSTITUTE(SUBSTITUTE(SUBSTITUTE("P:"&amp;A177,"~","~~"),"*","~*"),"?","~?"))=1),(IF(ISNA(MATCH(SUBSTITUTE(SUBSTITUTE(SUBSTITUTE("P:"&amp;A177,"~","~~"),"*","~*"),"?","~?"),Processos!$AS$10:$AS$509,0)),9,INDEX(Processos!$AM$10:$AM$509,MATCH(SUBSTITUTE(SUBSTITUTE(SUBSTITUTE("P:"&amp;A177,"~","~~"),"*","~*"),"?","~?"),Processos!$AS$10:$AS$509,0)))-9),0)</f>
        <v>0</v>
      </c>
      <c r="K177" s="34" t="str">
        <f t="shared" si="11"/>
        <v/>
      </c>
      <c r="L177" s="14">
        <f>ROW()</f>
        <v>177</v>
      </c>
    </row>
    <row r="178" spans="1:12" ht="60" customHeight="1">
      <c r="A178" s="41"/>
      <c r="B178" s="43"/>
      <c r="C178" s="44"/>
      <c r="D178" s="51"/>
      <c r="E178" s="44"/>
      <c r="F178" s="44"/>
      <c r="G178" s="34">
        <f t="shared" si="8"/>
        <v>0</v>
      </c>
      <c r="H178" s="34" t="str">
        <f t="shared" si="9"/>
        <v/>
      </c>
      <c r="I178" s="52" t="str">
        <f t="shared" si="10"/>
        <v/>
      </c>
      <c r="J178" s="34">
        <f>IF(AND(A178&lt;&gt;"",ISTEXT(A178),COUNTIFS(Processos!$AS$10:$AS$509,"="&amp;SUBSTITUTE(SUBSTITUTE(SUBSTITUTE("P:"&amp;A178,"~","~~"),"*","~*"),"?","~?"))=1),(IF(ISNA(MATCH(SUBSTITUTE(SUBSTITUTE(SUBSTITUTE("P:"&amp;A178,"~","~~"),"*","~*"),"?","~?"),Processos!$AS$10:$AS$509,0)),9,INDEX(Processos!$AM$10:$AM$509,MATCH(SUBSTITUTE(SUBSTITUTE(SUBSTITUTE("P:"&amp;A178,"~","~~"),"*","~*"),"?","~?"),Processos!$AS$10:$AS$509,0)))-9),0)</f>
        <v>0</v>
      </c>
      <c r="K178" s="34" t="str">
        <f t="shared" si="11"/>
        <v/>
      </c>
      <c r="L178" s="14">
        <f>ROW()</f>
        <v>178</v>
      </c>
    </row>
    <row r="179" spans="1:12" ht="60" customHeight="1">
      <c r="A179" s="41"/>
      <c r="B179" s="43"/>
      <c r="C179" s="44"/>
      <c r="D179" s="51"/>
      <c r="E179" s="44"/>
      <c r="F179" s="44"/>
      <c r="G179" s="34">
        <f t="shared" si="8"/>
        <v>0</v>
      </c>
      <c r="H179" s="34" t="str">
        <f t="shared" si="9"/>
        <v/>
      </c>
      <c r="I179" s="52" t="str">
        <f t="shared" si="10"/>
        <v/>
      </c>
      <c r="J179" s="34">
        <f>IF(AND(A179&lt;&gt;"",ISTEXT(A179),COUNTIFS(Processos!$AS$10:$AS$509,"="&amp;SUBSTITUTE(SUBSTITUTE(SUBSTITUTE("P:"&amp;A179,"~","~~"),"*","~*"),"?","~?"))=1),(IF(ISNA(MATCH(SUBSTITUTE(SUBSTITUTE(SUBSTITUTE("P:"&amp;A179,"~","~~"),"*","~*"),"?","~?"),Processos!$AS$10:$AS$509,0)),9,INDEX(Processos!$AM$10:$AM$509,MATCH(SUBSTITUTE(SUBSTITUTE(SUBSTITUTE("P:"&amp;A179,"~","~~"),"*","~*"),"?","~?"),Processos!$AS$10:$AS$509,0)))-9),0)</f>
        <v>0</v>
      </c>
      <c r="K179" s="34" t="str">
        <f t="shared" si="11"/>
        <v/>
      </c>
      <c r="L179" s="14">
        <f>ROW()</f>
        <v>179</v>
      </c>
    </row>
    <row r="180" spans="1:12" ht="60" customHeight="1">
      <c r="A180" s="41"/>
      <c r="B180" s="43"/>
      <c r="C180" s="44"/>
      <c r="D180" s="51"/>
      <c r="E180" s="44"/>
      <c r="F180" s="44"/>
      <c r="G180" s="34">
        <f t="shared" si="8"/>
        <v>0</v>
      </c>
      <c r="H180" s="34" t="str">
        <f t="shared" si="9"/>
        <v/>
      </c>
      <c r="I180" s="52" t="str">
        <f t="shared" si="10"/>
        <v/>
      </c>
      <c r="J180" s="34">
        <f>IF(AND(A180&lt;&gt;"",ISTEXT(A180),COUNTIFS(Processos!$AS$10:$AS$509,"="&amp;SUBSTITUTE(SUBSTITUTE(SUBSTITUTE("P:"&amp;A180,"~","~~"),"*","~*"),"?","~?"))=1),(IF(ISNA(MATCH(SUBSTITUTE(SUBSTITUTE(SUBSTITUTE("P:"&amp;A180,"~","~~"),"*","~*"),"?","~?"),Processos!$AS$10:$AS$509,0)),9,INDEX(Processos!$AM$10:$AM$509,MATCH(SUBSTITUTE(SUBSTITUTE(SUBSTITUTE("P:"&amp;A180,"~","~~"),"*","~*"),"?","~?"),Processos!$AS$10:$AS$509,0)))-9),0)</f>
        <v>0</v>
      </c>
      <c r="K180" s="34" t="str">
        <f t="shared" si="11"/>
        <v/>
      </c>
      <c r="L180" s="14">
        <f>ROW()</f>
        <v>180</v>
      </c>
    </row>
    <row r="181" spans="1:12" ht="60" customHeight="1">
      <c r="A181" s="41"/>
      <c r="B181" s="43"/>
      <c r="C181" s="44"/>
      <c r="D181" s="51"/>
      <c r="E181" s="44"/>
      <c r="F181" s="44"/>
      <c r="G181" s="34">
        <f t="shared" si="8"/>
        <v>0</v>
      </c>
      <c r="H181" s="34" t="str">
        <f t="shared" si="9"/>
        <v/>
      </c>
      <c r="I181" s="52" t="str">
        <f t="shared" si="10"/>
        <v/>
      </c>
      <c r="J181" s="34">
        <f>IF(AND(A181&lt;&gt;"",ISTEXT(A181),COUNTIFS(Processos!$AS$10:$AS$509,"="&amp;SUBSTITUTE(SUBSTITUTE(SUBSTITUTE("P:"&amp;A181,"~","~~"),"*","~*"),"?","~?"))=1),(IF(ISNA(MATCH(SUBSTITUTE(SUBSTITUTE(SUBSTITUTE("P:"&amp;A181,"~","~~"),"*","~*"),"?","~?"),Processos!$AS$10:$AS$509,0)),9,INDEX(Processos!$AM$10:$AM$509,MATCH(SUBSTITUTE(SUBSTITUTE(SUBSTITUTE("P:"&amp;A181,"~","~~"),"*","~*"),"?","~?"),Processos!$AS$10:$AS$509,0)))-9),0)</f>
        <v>0</v>
      </c>
      <c r="K181" s="34" t="str">
        <f t="shared" si="11"/>
        <v/>
      </c>
      <c r="L181" s="14">
        <f>ROW()</f>
        <v>181</v>
      </c>
    </row>
    <row r="182" spans="1:12" ht="60" customHeight="1">
      <c r="A182" s="41"/>
      <c r="B182" s="43"/>
      <c r="C182" s="44"/>
      <c r="D182" s="51"/>
      <c r="E182" s="44"/>
      <c r="F182" s="44"/>
      <c r="G182" s="34">
        <f t="shared" si="8"/>
        <v>0</v>
      </c>
      <c r="H182" s="34" t="str">
        <f t="shared" si="9"/>
        <v/>
      </c>
      <c r="I182" s="52" t="str">
        <f t="shared" si="10"/>
        <v/>
      </c>
      <c r="J182" s="34">
        <f>IF(AND(A182&lt;&gt;"",ISTEXT(A182),COUNTIFS(Processos!$AS$10:$AS$509,"="&amp;SUBSTITUTE(SUBSTITUTE(SUBSTITUTE("P:"&amp;A182,"~","~~"),"*","~*"),"?","~?"))=1),(IF(ISNA(MATCH(SUBSTITUTE(SUBSTITUTE(SUBSTITUTE("P:"&amp;A182,"~","~~"),"*","~*"),"?","~?"),Processos!$AS$10:$AS$509,0)),9,INDEX(Processos!$AM$10:$AM$509,MATCH(SUBSTITUTE(SUBSTITUTE(SUBSTITUTE("P:"&amp;A182,"~","~~"),"*","~*"),"?","~?"),Processos!$AS$10:$AS$509,0)))-9),0)</f>
        <v>0</v>
      </c>
      <c r="K182" s="34" t="str">
        <f t="shared" si="11"/>
        <v/>
      </c>
      <c r="L182" s="14">
        <f>ROW()</f>
        <v>182</v>
      </c>
    </row>
    <row r="183" spans="1:12" ht="60" customHeight="1">
      <c r="A183" s="41"/>
      <c r="B183" s="43"/>
      <c r="C183" s="44"/>
      <c r="D183" s="51"/>
      <c r="E183" s="44"/>
      <c r="F183" s="44"/>
      <c r="G183" s="34">
        <f t="shared" si="8"/>
        <v>0</v>
      </c>
      <c r="H183" s="34" t="str">
        <f t="shared" si="9"/>
        <v/>
      </c>
      <c r="I183" s="52" t="str">
        <f t="shared" si="10"/>
        <v/>
      </c>
      <c r="J183" s="34">
        <f>IF(AND(A183&lt;&gt;"",ISTEXT(A183),COUNTIFS(Processos!$AS$10:$AS$509,"="&amp;SUBSTITUTE(SUBSTITUTE(SUBSTITUTE("P:"&amp;A183,"~","~~"),"*","~*"),"?","~?"))=1),(IF(ISNA(MATCH(SUBSTITUTE(SUBSTITUTE(SUBSTITUTE("P:"&amp;A183,"~","~~"),"*","~*"),"?","~?"),Processos!$AS$10:$AS$509,0)),9,INDEX(Processos!$AM$10:$AM$509,MATCH(SUBSTITUTE(SUBSTITUTE(SUBSTITUTE("P:"&amp;A183,"~","~~"),"*","~*"),"?","~?"),Processos!$AS$10:$AS$509,0)))-9),0)</f>
        <v>0</v>
      </c>
      <c r="K183" s="34" t="str">
        <f t="shared" si="11"/>
        <v/>
      </c>
      <c r="L183" s="14">
        <f>ROW()</f>
        <v>183</v>
      </c>
    </row>
    <row r="184" spans="1:12" ht="60" customHeight="1">
      <c r="A184" s="41"/>
      <c r="B184" s="43"/>
      <c r="C184" s="44"/>
      <c r="D184" s="51"/>
      <c r="E184" s="44"/>
      <c r="F184" s="44"/>
      <c r="G184" s="34">
        <f t="shared" si="8"/>
        <v>0</v>
      </c>
      <c r="H184" s="34" t="str">
        <f t="shared" si="9"/>
        <v/>
      </c>
      <c r="I184" s="52" t="str">
        <f t="shared" si="10"/>
        <v/>
      </c>
      <c r="J184" s="34">
        <f>IF(AND(A184&lt;&gt;"",ISTEXT(A184),COUNTIFS(Processos!$AS$10:$AS$509,"="&amp;SUBSTITUTE(SUBSTITUTE(SUBSTITUTE("P:"&amp;A184,"~","~~"),"*","~*"),"?","~?"))=1),(IF(ISNA(MATCH(SUBSTITUTE(SUBSTITUTE(SUBSTITUTE("P:"&amp;A184,"~","~~"),"*","~*"),"?","~?"),Processos!$AS$10:$AS$509,0)),9,INDEX(Processos!$AM$10:$AM$509,MATCH(SUBSTITUTE(SUBSTITUTE(SUBSTITUTE("P:"&amp;A184,"~","~~"),"*","~*"),"?","~?"),Processos!$AS$10:$AS$509,0)))-9),0)</f>
        <v>0</v>
      </c>
      <c r="K184" s="34" t="str">
        <f t="shared" si="11"/>
        <v/>
      </c>
      <c r="L184" s="14">
        <f>ROW()</f>
        <v>184</v>
      </c>
    </row>
    <row r="185" spans="1:12" ht="60" customHeight="1">
      <c r="A185" s="41"/>
      <c r="B185" s="43"/>
      <c r="C185" s="44"/>
      <c r="D185" s="51"/>
      <c r="E185" s="44"/>
      <c r="F185" s="44"/>
      <c r="G185" s="34">
        <f t="shared" si="8"/>
        <v>0</v>
      </c>
      <c r="H185" s="34" t="str">
        <f t="shared" si="9"/>
        <v/>
      </c>
      <c r="I185" s="52" t="str">
        <f t="shared" si="10"/>
        <v/>
      </c>
      <c r="J185" s="34">
        <f>IF(AND(A185&lt;&gt;"",ISTEXT(A185),COUNTIFS(Processos!$AS$10:$AS$509,"="&amp;SUBSTITUTE(SUBSTITUTE(SUBSTITUTE("P:"&amp;A185,"~","~~"),"*","~*"),"?","~?"))=1),(IF(ISNA(MATCH(SUBSTITUTE(SUBSTITUTE(SUBSTITUTE("P:"&amp;A185,"~","~~"),"*","~*"),"?","~?"),Processos!$AS$10:$AS$509,0)),9,INDEX(Processos!$AM$10:$AM$509,MATCH(SUBSTITUTE(SUBSTITUTE(SUBSTITUTE("P:"&amp;A185,"~","~~"),"*","~*"),"?","~?"),Processos!$AS$10:$AS$509,0)))-9),0)</f>
        <v>0</v>
      </c>
      <c r="K185" s="34" t="str">
        <f t="shared" si="11"/>
        <v/>
      </c>
      <c r="L185" s="14">
        <f>ROW()</f>
        <v>185</v>
      </c>
    </row>
    <row r="186" spans="1:12" ht="60" customHeight="1">
      <c r="A186" s="41"/>
      <c r="B186" s="43"/>
      <c r="C186" s="44"/>
      <c r="D186" s="51"/>
      <c r="E186" s="44"/>
      <c r="F186" s="44"/>
      <c r="G186" s="34">
        <f t="shared" si="8"/>
        <v>0</v>
      </c>
      <c r="H186" s="34" t="str">
        <f t="shared" si="9"/>
        <v/>
      </c>
      <c r="I186" s="52" t="str">
        <f t="shared" si="10"/>
        <v/>
      </c>
      <c r="J186" s="34">
        <f>IF(AND(A186&lt;&gt;"",ISTEXT(A186),COUNTIFS(Processos!$AS$10:$AS$509,"="&amp;SUBSTITUTE(SUBSTITUTE(SUBSTITUTE("P:"&amp;A186,"~","~~"),"*","~*"),"?","~?"))=1),(IF(ISNA(MATCH(SUBSTITUTE(SUBSTITUTE(SUBSTITUTE("P:"&amp;A186,"~","~~"),"*","~*"),"?","~?"),Processos!$AS$10:$AS$509,0)),9,INDEX(Processos!$AM$10:$AM$509,MATCH(SUBSTITUTE(SUBSTITUTE(SUBSTITUTE("P:"&amp;A186,"~","~~"),"*","~*"),"?","~?"),Processos!$AS$10:$AS$509,0)))-9),0)</f>
        <v>0</v>
      </c>
      <c r="K186" s="34" t="str">
        <f t="shared" si="11"/>
        <v/>
      </c>
      <c r="L186" s="14">
        <f>ROW()</f>
        <v>186</v>
      </c>
    </row>
    <row r="187" spans="1:12" ht="60" customHeight="1">
      <c r="A187" s="41"/>
      <c r="B187" s="43"/>
      <c r="C187" s="44"/>
      <c r="D187" s="51"/>
      <c r="E187" s="44"/>
      <c r="F187" s="44"/>
      <c r="G187" s="34">
        <f t="shared" si="8"/>
        <v>0</v>
      </c>
      <c r="H187" s="34" t="str">
        <f t="shared" si="9"/>
        <v/>
      </c>
      <c r="I187" s="52" t="str">
        <f t="shared" si="10"/>
        <v/>
      </c>
      <c r="J187" s="34">
        <f>IF(AND(A187&lt;&gt;"",ISTEXT(A187),COUNTIFS(Processos!$AS$10:$AS$509,"="&amp;SUBSTITUTE(SUBSTITUTE(SUBSTITUTE("P:"&amp;A187,"~","~~"),"*","~*"),"?","~?"))=1),(IF(ISNA(MATCH(SUBSTITUTE(SUBSTITUTE(SUBSTITUTE("P:"&amp;A187,"~","~~"),"*","~*"),"?","~?"),Processos!$AS$10:$AS$509,0)),9,INDEX(Processos!$AM$10:$AM$509,MATCH(SUBSTITUTE(SUBSTITUTE(SUBSTITUTE("P:"&amp;A187,"~","~~"),"*","~*"),"?","~?"),Processos!$AS$10:$AS$509,0)))-9),0)</f>
        <v>0</v>
      </c>
      <c r="K187" s="34" t="str">
        <f t="shared" si="11"/>
        <v/>
      </c>
      <c r="L187" s="14">
        <f>ROW()</f>
        <v>187</v>
      </c>
    </row>
    <row r="188" spans="1:12" ht="60" customHeight="1">
      <c r="A188" s="41"/>
      <c r="B188" s="43"/>
      <c r="C188" s="44"/>
      <c r="D188" s="51"/>
      <c r="E188" s="44"/>
      <c r="F188" s="44"/>
      <c r="G188" s="34">
        <f t="shared" si="8"/>
        <v>0</v>
      </c>
      <c r="H188" s="34" t="str">
        <f t="shared" si="9"/>
        <v/>
      </c>
      <c r="I188" s="52" t="str">
        <f t="shared" si="10"/>
        <v/>
      </c>
      <c r="J188" s="34">
        <f>IF(AND(A188&lt;&gt;"",ISTEXT(A188),COUNTIFS(Processos!$AS$10:$AS$509,"="&amp;SUBSTITUTE(SUBSTITUTE(SUBSTITUTE("P:"&amp;A188,"~","~~"),"*","~*"),"?","~?"))=1),(IF(ISNA(MATCH(SUBSTITUTE(SUBSTITUTE(SUBSTITUTE("P:"&amp;A188,"~","~~"),"*","~*"),"?","~?"),Processos!$AS$10:$AS$509,0)),9,INDEX(Processos!$AM$10:$AM$509,MATCH(SUBSTITUTE(SUBSTITUTE(SUBSTITUTE("P:"&amp;A188,"~","~~"),"*","~*"),"?","~?"),Processos!$AS$10:$AS$509,0)))-9),0)</f>
        <v>0</v>
      </c>
      <c r="K188" s="34" t="str">
        <f t="shared" si="11"/>
        <v/>
      </c>
      <c r="L188" s="14">
        <f>ROW()</f>
        <v>188</v>
      </c>
    </row>
    <row r="189" spans="1:12" ht="60" customHeight="1">
      <c r="A189" s="41"/>
      <c r="B189" s="43"/>
      <c r="C189" s="44"/>
      <c r="D189" s="51"/>
      <c r="E189" s="44"/>
      <c r="F189" s="44"/>
      <c r="G189" s="34">
        <f t="shared" si="8"/>
        <v>0</v>
      </c>
      <c r="H189" s="34" t="str">
        <f t="shared" si="9"/>
        <v/>
      </c>
      <c r="I189" s="52" t="str">
        <f t="shared" si="10"/>
        <v/>
      </c>
      <c r="J189" s="34">
        <f>IF(AND(A189&lt;&gt;"",ISTEXT(A189),COUNTIFS(Processos!$AS$10:$AS$509,"="&amp;SUBSTITUTE(SUBSTITUTE(SUBSTITUTE("P:"&amp;A189,"~","~~"),"*","~*"),"?","~?"))=1),(IF(ISNA(MATCH(SUBSTITUTE(SUBSTITUTE(SUBSTITUTE("P:"&amp;A189,"~","~~"),"*","~*"),"?","~?"),Processos!$AS$10:$AS$509,0)),9,INDEX(Processos!$AM$10:$AM$509,MATCH(SUBSTITUTE(SUBSTITUTE(SUBSTITUTE("P:"&amp;A189,"~","~~"),"*","~*"),"?","~?"),Processos!$AS$10:$AS$509,0)))-9),0)</f>
        <v>0</v>
      </c>
      <c r="K189" s="34" t="str">
        <f t="shared" si="11"/>
        <v/>
      </c>
      <c r="L189" s="14">
        <f>ROW()</f>
        <v>189</v>
      </c>
    </row>
    <row r="190" spans="1:12" ht="60" customHeight="1">
      <c r="A190" s="41"/>
      <c r="B190" s="43"/>
      <c r="C190" s="44"/>
      <c r="D190" s="51"/>
      <c r="E190" s="44"/>
      <c r="F190" s="44"/>
      <c r="G190" s="34">
        <f t="shared" si="8"/>
        <v>0</v>
      </c>
      <c r="H190" s="34" t="str">
        <f t="shared" si="9"/>
        <v/>
      </c>
      <c r="I190" s="52" t="str">
        <f t="shared" si="10"/>
        <v/>
      </c>
      <c r="J190" s="34">
        <f>IF(AND(A190&lt;&gt;"",ISTEXT(A190),COUNTIFS(Processos!$AS$10:$AS$509,"="&amp;SUBSTITUTE(SUBSTITUTE(SUBSTITUTE("P:"&amp;A190,"~","~~"),"*","~*"),"?","~?"))=1),(IF(ISNA(MATCH(SUBSTITUTE(SUBSTITUTE(SUBSTITUTE("P:"&amp;A190,"~","~~"),"*","~*"),"?","~?"),Processos!$AS$10:$AS$509,0)),9,INDEX(Processos!$AM$10:$AM$509,MATCH(SUBSTITUTE(SUBSTITUTE(SUBSTITUTE("P:"&amp;A190,"~","~~"),"*","~*"),"?","~?"),Processos!$AS$10:$AS$509,0)))-9),0)</f>
        <v>0</v>
      </c>
      <c r="K190" s="34" t="str">
        <f t="shared" si="11"/>
        <v/>
      </c>
      <c r="L190" s="14">
        <f>ROW()</f>
        <v>190</v>
      </c>
    </row>
    <row r="191" spans="1:12" ht="60" customHeight="1">
      <c r="A191" s="41"/>
      <c r="B191" s="43"/>
      <c r="C191" s="44"/>
      <c r="D191" s="51"/>
      <c r="E191" s="44"/>
      <c r="F191" s="44"/>
      <c r="G191" s="34">
        <f t="shared" si="8"/>
        <v>0</v>
      </c>
      <c r="H191" s="34" t="str">
        <f t="shared" si="9"/>
        <v/>
      </c>
      <c r="I191" s="52" t="str">
        <f t="shared" si="10"/>
        <v/>
      </c>
      <c r="J191" s="34">
        <f>IF(AND(A191&lt;&gt;"",ISTEXT(A191),COUNTIFS(Processos!$AS$10:$AS$509,"="&amp;SUBSTITUTE(SUBSTITUTE(SUBSTITUTE("P:"&amp;A191,"~","~~"),"*","~*"),"?","~?"))=1),(IF(ISNA(MATCH(SUBSTITUTE(SUBSTITUTE(SUBSTITUTE("P:"&amp;A191,"~","~~"),"*","~*"),"?","~?"),Processos!$AS$10:$AS$509,0)),9,INDEX(Processos!$AM$10:$AM$509,MATCH(SUBSTITUTE(SUBSTITUTE(SUBSTITUTE("P:"&amp;A191,"~","~~"),"*","~*"),"?","~?"),Processos!$AS$10:$AS$509,0)))-9),0)</f>
        <v>0</v>
      </c>
      <c r="K191" s="34" t="str">
        <f t="shared" si="11"/>
        <v/>
      </c>
      <c r="L191" s="14">
        <f>ROW()</f>
        <v>191</v>
      </c>
    </row>
    <row r="192" spans="1:12" ht="60" customHeight="1">
      <c r="A192" s="41"/>
      <c r="B192" s="43"/>
      <c r="C192" s="44"/>
      <c r="D192" s="51"/>
      <c r="E192" s="44"/>
      <c r="F192" s="44"/>
      <c r="G192" s="34">
        <f t="shared" si="8"/>
        <v>0</v>
      </c>
      <c r="H192" s="34" t="str">
        <f t="shared" si="9"/>
        <v/>
      </c>
      <c r="I192" s="52" t="str">
        <f t="shared" si="10"/>
        <v/>
      </c>
      <c r="J192" s="34">
        <f>IF(AND(A192&lt;&gt;"",ISTEXT(A192),COUNTIFS(Processos!$AS$10:$AS$509,"="&amp;SUBSTITUTE(SUBSTITUTE(SUBSTITUTE("P:"&amp;A192,"~","~~"),"*","~*"),"?","~?"))=1),(IF(ISNA(MATCH(SUBSTITUTE(SUBSTITUTE(SUBSTITUTE("P:"&amp;A192,"~","~~"),"*","~*"),"?","~?"),Processos!$AS$10:$AS$509,0)),9,INDEX(Processos!$AM$10:$AM$509,MATCH(SUBSTITUTE(SUBSTITUTE(SUBSTITUTE("P:"&amp;A192,"~","~~"),"*","~*"),"?","~?"),Processos!$AS$10:$AS$509,0)))-9),0)</f>
        <v>0</v>
      </c>
      <c r="K192" s="34" t="str">
        <f t="shared" si="11"/>
        <v/>
      </c>
      <c r="L192" s="14">
        <f>ROW()</f>
        <v>192</v>
      </c>
    </row>
    <row r="193" spans="1:12" ht="60" customHeight="1">
      <c r="A193" s="41"/>
      <c r="B193" s="43"/>
      <c r="C193" s="44"/>
      <c r="D193" s="51"/>
      <c r="E193" s="44"/>
      <c r="F193" s="44"/>
      <c r="G193" s="34">
        <f t="shared" si="8"/>
        <v>0</v>
      </c>
      <c r="H193" s="34" t="str">
        <f t="shared" si="9"/>
        <v/>
      </c>
      <c r="I193" s="52" t="str">
        <f t="shared" si="10"/>
        <v/>
      </c>
      <c r="J193" s="34">
        <f>IF(AND(A193&lt;&gt;"",ISTEXT(A193),COUNTIFS(Processos!$AS$10:$AS$509,"="&amp;SUBSTITUTE(SUBSTITUTE(SUBSTITUTE("P:"&amp;A193,"~","~~"),"*","~*"),"?","~?"))=1),(IF(ISNA(MATCH(SUBSTITUTE(SUBSTITUTE(SUBSTITUTE("P:"&amp;A193,"~","~~"),"*","~*"),"?","~?"),Processos!$AS$10:$AS$509,0)),9,INDEX(Processos!$AM$10:$AM$509,MATCH(SUBSTITUTE(SUBSTITUTE(SUBSTITUTE("P:"&amp;A193,"~","~~"),"*","~*"),"?","~?"),Processos!$AS$10:$AS$509,0)))-9),0)</f>
        <v>0</v>
      </c>
      <c r="K193" s="34" t="str">
        <f t="shared" si="11"/>
        <v/>
      </c>
      <c r="L193" s="14">
        <f>ROW()</f>
        <v>193</v>
      </c>
    </row>
    <row r="194" spans="1:12" ht="60" customHeight="1">
      <c r="A194" s="41"/>
      <c r="B194" s="43"/>
      <c r="C194" s="44"/>
      <c r="D194" s="51"/>
      <c r="E194" s="44"/>
      <c r="F194" s="44"/>
      <c r="G194" s="34">
        <f t="shared" si="8"/>
        <v>0</v>
      </c>
      <c r="H194" s="34" t="str">
        <f t="shared" si="9"/>
        <v/>
      </c>
      <c r="I194" s="52" t="str">
        <f t="shared" si="10"/>
        <v/>
      </c>
      <c r="J194" s="34">
        <f>IF(AND(A194&lt;&gt;"",ISTEXT(A194),COUNTIFS(Processos!$AS$10:$AS$509,"="&amp;SUBSTITUTE(SUBSTITUTE(SUBSTITUTE("P:"&amp;A194,"~","~~"),"*","~*"),"?","~?"))=1),(IF(ISNA(MATCH(SUBSTITUTE(SUBSTITUTE(SUBSTITUTE("P:"&amp;A194,"~","~~"),"*","~*"),"?","~?"),Processos!$AS$10:$AS$509,0)),9,INDEX(Processos!$AM$10:$AM$509,MATCH(SUBSTITUTE(SUBSTITUTE(SUBSTITUTE("P:"&amp;A194,"~","~~"),"*","~*"),"?","~?"),Processos!$AS$10:$AS$509,0)))-9),0)</f>
        <v>0</v>
      </c>
      <c r="K194" s="34" t="str">
        <f t="shared" si="11"/>
        <v/>
      </c>
      <c r="L194" s="14">
        <f>ROW()</f>
        <v>194</v>
      </c>
    </row>
    <row r="195" spans="1:12" ht="60" customHeight="1">
      <c r="A195" s="41"/>
      <c r="B195" s="43"/>
      <c r="C195" s="44"/>
      <c r="D195" s="51"/>
      <c r="E195" s="44"/>
      <c r="F195" s="44"/>
      <c r="G195" s="34">
        <f t="shared" si="8"/>
        <v>0</v>
      </c>
      <c r="H195" s="34" t="str">
        <f t="shared" si="9"/>
        <v/>
      </c>
      <c r="I195" s="52" t="str">
        <f t="shared" si="10"/>
        <v/>
      </c>
      <c r="J195" s="34">
        <f>IF(AND(A195&lt;&gt;"",ISTEXT(A195),COUNTIFS(Processos!$AS$10:$AS$509,"="&amp;SUBSTITUTE(SUBSTITUTE(SUBSTITUTE("P:"&amp;A195,"~","~~"),"*","~*"),"?","~?"))=1),(IF(ISNA(MATCH(SUBSTITUTE(SUBSTITUTE(SUBSTITUTE("P:"&amp;A195,"~","~~"),"*","~*"),"?","~?"),Processos!$AS$10:$AS$509,0)),9,INDEX(Processos!$AM$10:$AM$509,MATCH(SUBSTITUTE(SUBSTITUTE(SUBSTITUTE("P:"&amp;A195,"~","~~"),"*","~*"),"?","~?"),Processos!$AS$10:$AS$509,0)))-9),0)</f>
        <v>0</v>
      </c>
      <c r="K195" s="34" t="str">
        <f t="shared" si="11"/>
        <v/>
      </c>
      <c r="L195" s="14">
        <f>ROW()</f>
        <v>195</v>
      </c>
    </row>
    <row r="196" spans="1:12" ht="60" customHeight="1">
      <c r="A196" s="41"/>
      <c r="B196" s="43"/>
      <c r="C196" s="44"/>
      <c r="D196" s="51"/>
      <c r="E196" s="44"/>
      <c r="F196" s="44"/>
      <c r="G196" s="34">
        <f t="shared" si="8"/>
        <v>0</v>
      </c>
      <c r="H196" s="34" t="str">
        <f t="shared" si="9"/>
        <v/>
      </c>
      <c r="I196" s="52" t="str">
        <f t="shared" si="10"/>
        <v/>
      </c>
      <c r="J196" s="34">
        <f>IF(AND(A196&lt;&gt;"",ISTEXT(A196),COUNTIFS(Processos!$AS$10:$AS$509,"="&amp;SUBSTITUTE(SUBSTITUTE(SUBSTITUTE("P:"&amp;A196,"~","~~"),"*","~*"),"?","~?"))=1),(IF(ISNA(MATCH(SUBSTITUTE(SUBSTITUTE(SUBSTITUTE("P:"&amp;A196,"~","~~"),"*","~*"),"?","~?"),Processos!$AS$10:$AS$509,0)),9,INDEX(Processos!$AM$10:$AM$509,MATCH(SUBSTITUTE(SUBSTITUTE(SUBSTITUTE("P:"&amp;A196,"~","~~"),"*","~*"),"?","~?"),Processos!$AS$10:$AS$509,0)))-9),0)</f>
        <v>0</v>
      </c>
      <c r="K196" s="34" t="str">
        <f t="shared" si="11"/>
        <v/>
      </c>
      <c r="L196" s="14">
        <f>ROW()</f>
        <v>196</v>
      </c>
    </row>
    <row r="197" spans="1:12" ht="60" customHeight="1">
      <c r="A197" s="41"/>
      <c r="B197" s="43"/>
      <c r="C197" s="44"/>
      <c r="D197" s="51"/>
      <c r="E197" s="44"/>
      <c r="F197" s="44"/>
      <c r="G197" s="34">
        <f t="shared" si="8"/>
        <v>0</v>
      </c>
      <c r="H197" s="34" t="str">
        <f t="shared" si="9"/>
        <v/>
      </c>
      <c r="I197" s="52" t="str">
        <f t="shared" si="10"/>
        <v/>
      </c>
      <c r="J197" s="34">
        <f>IF(AND(A197&lt;&gt;"",ISTEXT(A197),COUNTIFS(Processos!$AS$10:$AS$509,"="&amp;SUBSTITUTE(SUBSTITUTE(SUBSTITUTE("P:"&amp;A197,"~","~~"),"*","~*"),"?","~?"))=1),(IF(ISNA(MATCH(SUBSTITUTE(SUBSTITUTE(SUBSTITUTE("P:"&amp;A197,"~","~~"),"*","~*"),"?","~?"),Processos!$AS$10:$AS$509,0)),9,INDEX(Processos!$AM$10:$AM$509,MATCH(SUBSTITUTE(SUBSTITUTE(SUBSTITUTE("P:"&amp;A197,"~","~~"),"*","~*"),"?","~?"),Processos!$AS$10:$AS$509,0)))-9),0)</f>
        <v>0</v>
      </c>
      <c r="K197" s="34" t="str">
        <f t="shared" si="11"/>
        <v/>
      </c>
      <c r="L197" s="14">
        <f>ROW()</f>
        <v>197</v>
      </c>
    </row>
    <row r="198" spans="1:12" ht="60" customHeight="1">
      <c r="A198" s="41"/>
      <c r="B198" s="43"/>
      <c r="C198" s="44"/>
      <c r="D198" s="51"/>
      <c r="E198" s="44"/>
      <c r="F198" s="44"/>
      <c r="G198" s="34">
        <f t="shared" si="8"/>
        <v>0</v>
      </c>
      <c r="H198" s="34" t="str">
        <f t="shared" si="9"/>
        <v/>
      </c>
      <c r="I198" s="52" t="str">
        <f t="shared" si="10"/>
        <v/>
      </c>
      <c r="J198" s="34">
        <f>IF(AND(A198&lt;&gt;"",ISTEXT(A198),COUNTIFS(Processos!$AS$10:$AS$509,"="&amp;SUBSTITUTE(SUBSTITUTE(SUBSTITUTE("P:"&amp;A198,"~","~~"),"*","~*"),"?","~?"))=1),(IF(ISNA(MATCH(SUBSTITUTE(SUBSTITUTE(SUBSTITUTE("P:"&amp;A198,"~","~~"),"*","~*"),"?","~?"),Processos!$AS$10:$AS$509,0)),9,INDEX(Processos!$AM$10:$AM$509,MATCH(SUBSTITUTE(SUBSTITUTE(SUBSTITUTE("P:"&amp;A198,"~","~~"),"*","~*"),"?","~?"),Processos!$AS$10:$AS$509,0)))-9),0)</f>
        <v>0</v>
      </c>
      <c r="K198" s="34" t="str">
        <f t="shared" si="11"/>
        <v/>
      </c>
      <c r="L198" s="14">
        <f>ROW()</f>
        <v>198</v>
      </c>
    </row>
    <row r="199" spans="1:12" ht="60" customHeight="1">
      <c r="A199" s="41"/>
      <c r="B199" s="43"/>
      <c r="C199" s="44"/>
      <c r="D199" s="51"/>
      <c r="E199" s="44"/>
      <c r="F199" s="44"/>
      <c r="G199" s="34">
        <f t="shared" si="8"/>
        <v>0</v>
      </c>
      <c r="H199" s="34" t="str">
        <f t="shared" si="9"/>
        <v/>
      </c>
      <c r="I199" s="52" t="str">
        <f t="shared" si="10"/>
        <v/>
      </c>
      <c r="J199" s="34">
        <f>IF(AND(A199&lt;&gt;"",ISTEXT(A199),COUNTIFS(Processos!$AS$10:$AS$509,"="&amp;SUBSTITUTE(SUBSTITUTE(SUBSTITUTE("P:"&amp;A199,"~","~~"),"*","~*"),"?","~?"))=1),(IF(ISNA(MATCH(SUBSTITUTE(SUBSTITUTE(SUBSTITUTE("P:"&amp;A199,"~","~~"),"*","~*"),"?","~?"),Processos!$AS$10:$AS$509,0)),9,INDEX(Processos!$AM$10:$AM$509,MATCH(SUBSTITUTE(SUBSTITUTE(SUBSTITUTE("P:"&amp;A199,"~","~~"),"*","~*"),"?","~?"),Processos!$AS$10:$AS$509,0)))-9),0)</f>
        <v>0</v>
      </c>
      <c r="K199" s="34" t="str">
        <f t="shared" si="11"/>
        <v/>
      </c>
      <c r="L199" s="14">
        <f>ROW()</f>
        <v>199</v>
      </c>
    </row>
    <row r="200" spans="1:12" ht="60" customHeight="1">
      <c r="A200" s="41"/>
      <c r="B200" s="43"/>
      <c r="C200" s="44"/>
      <c r="D200" s="51"/>
      <c r="E200" s="44"/>
      <c r="F200" s="44"/>
      <c r="G200" s="34">
        <f t="shared" si="8"/>
        <v>0</v>
      </c>
      <c r="H200" s="34" t="str">
        <f t="shared" si="9"/>
        <v/>
      </c>
      <c r="I200" s="52" t="str">
        <f t="shared" si="10"/>
        <v/>
      </c>
      <c r="J200" s="34">
        <f>IF(AND(A200&lt;&gt;"",ISTEXT(A200),COUNTIFS(Processos!$AS$10:$AS$509,"="&amp;SUBSTITUTE(SUBSTITUTE(SUBSTITUTE("P:"&amp;A200,"~","~~"),"*","~*"),"?","~?"))=1),(IF(ISNA(MATCH(SUBSTITUTE(SUBSTITUTE(SUBSTITUTE("P:"&amp;A200,"~","~~"),"*","~*"),"?","~?"),Processos!$AS$10:$AS$509,0)),9,INDEX(Processos!$AM$10:$AM$509,MATCH(SUBSTITUTE(SUBSTITUTE(SUBSTITUTE("P:"&amp;A200,"~","~~"),"*","~*"),"?","~?"),Processos!$AS$10:$AS$509,0)))-9),0)</f>
        <v>0</v>
      </c>
      <c r="K200" s="34" t="str">
        <f t="shared" si="11"/>
        <v/>
      </c>
      <c r="L200" s="14">
        <f>ROW()</f>
        <v>200</v>
      </c>
    </row>
    <row r="201" spans="1:12" ht="60" customHeight="1">
      <c r="A201" s="41"/>
      <c r="B201" s="43"/>
      <c r="C201" s="44"/>
      <c r="D201" s="51"/>
      <c r="E201" s="44"/>
      <c r="F201" s="44"/>
      <c r="G201" s="34">
        <f t="shared" si="8"/>
        <v>0</v>
      </c>
      <c r="H201" s="34" t="str">
        <f t="shared" si="9"/>
        <v/>
      </c>
      <c r="I201" s="52" t="str">
        <f t="shared" si="10"/>
        <v/>
      </c>
      <c r="J201" s="34">
        <f>IF(AND(A201&lt;&gt;"",ISTEXT(A201),COUNTIFS(Processos!$AS$10:$AS$509,"="&amp;SUBSTITUTE(SUBSTITUTE(SUBSTITUTE("P:"&amp;A201,"~","~~"),"*","~*"),"?","~?"))=1),(IF(ISNA(MATCH(SUBSTITUTE(SUBSTITUTE(SUBSTITUTE("P:"&amp;A201,"~","~~"),"*","~*"),"?","~?"),Processos!$AS$10:$AS$509,0)),9,INDEX(Processos!$AM$10:$AM$509,MATCH(SUBSTITUTE(SUBSTITUTE(SUBSTITUTE("P:"&amp;A201,"~","~~"),"*","~*"),"?","~?"),Processos!$AS$10:$AS$509,0)))-9),0)</f>
        <v>0</v>
      </c>
      <c r="K201" s="34" t="str">
        <f t="shared" si="11"/>
        <v/>
      </c>
      <c r="L201" s="14">
        <f>ROW()</f>
        <v>201</v>
      </c>
    </row>
    <row r="202" spans="1:12" ht="60" customHeight="1">
      <c r="A202" s="41"/>
      <c r="B202" s="43"/>
      <c r="C202" s="44"/>
      <c r="D202" s="51"/>
      <c r="E202" s="44"/>
      <c r="F202" s="44"/>
      <c r="G202" s="34">
        <f t="shared" ref="G202:G265" si="12">IF(AND(J202&gt;0,OR(B202="",AND(ISNUMBER(B202),B202&gt;=1,B202&lt;=100000)),ISNUMBER(D202),D202&gt;=1,D202&lt;=100000,C202&lt;&gt;""),1,0)</f>
        <v>0</v>
      </c>
      <c r="H202" s="34" t="str">
        <f t="shared" ref="H202:H265" si="13">IF(G202=1,K202&amp;"|"&amp;D202,"")</f>
        <v/>
      </c>
      <c r="I202" s="52" t="str">
        <f t="shared" ref="I202:I265" si="14">IF(COUNTA(A202:F202)=0,"",IF(A202="","Selecione o processo",IF(J202=0,"Processo inexistente, duplicado ou número não textual",IF(B202="","Informe a data do andamento",IF(C202="","Descreva o andamento",IF(D202="","Informe a data e hora do recebimento",IF(OR(NOT(ISNUMBER(B202)),B202&lt;1,B202&gt;100000),"Revise a data do andamento",IF(OR(NOT(ISNUMBER(D202)),D202&lt;1,D202&gt;100000),"Revise a data e hora do recebimento",IF(COUNTIFS($K$10:$K$2009,"="&amp;SUBSTITUTE(SUBSTITUTE(SUBSTITUTE("P:"&amp;A202,"~","~~"),"*","~*"),"?","~?"),$D$10:$D$2009,D202,$G$10:$G$2009,1)&gt;1,"Recebimentos empatados: revise a hora ou consolide o registro","")))))))))</f>
        <v/>
      </c>
      <c r="J202" s="34">
        <f>IF(AND(A202&lt;&gt;"",ISTEXT(A202),COUNTIFS(Processos!$AS$10:$AS$509,"="&amp;SUBSTITUTE(SUBSTITUTE(SUBSTITUTE("P:"&amp;A202,"~","~~"),"*","~*"),"?","~?"))=1),(IF(ISNA(MATCH(SUBSTITUTE(SUBSTITUTE(SUBSTITUTE("P:"&amp;A202,"~","~~"),"*","~*"),"?","~?"),Processos!$AS$10:$AS$509,0)),9,INDEX(Processos!$AM$10:$AM$509,MATCH(SUBSTITUTE(SUBSTITUTE(SUBSTITUTE("P:"&amp;A202,"~","~~"),"*","~*"),"?","~?"),Processos!$AS$10:$AS$509,0)))-9),0)</f>
        <v>0</v>
      </c>
      <c r="K202" s="34" t="str">
        <f t="shared" ref="K202:K265" si="15">IF(AND(A202&lt;&gt;"",ISTEXT(A202)),"P:"&amp;A202,"")</f>
        <v/>
      </c>
      <c r="L202" s="14">
        <f>ROW()</f>
        <v>202</v>
      </c>
    </row>
    <row r="203" spans="1:12" ht="60" customHeight="1">
      <c r="A203" s="41"/>
      <c r="B203" s="43"/>
      <c r="C203" s="44"/>
      <c r="D203" s="51"/>
      <c r="E203" s="44"/>
      <c r="F203" s="44"/>
      <c r="G203" s="34">
        <f t="shared" si="12"/>
        <v>0</v>
      </c>
      <c r="H203" s="34" t="str">
        <f t="shared" si="13"/>
        <v/>
      </c>
      <c r="I203" s="52" t="str">
        <f t="shared" si="14"/>
        <v/>
      </c>
      <c r="J203" s="34">
        <f>IF(AND(A203&lt;&gt;"",ISTEXT(A203),COUNTIFS(Processos!$AS$10:$AS$509,"="&amp;SUBSTITUTE(SUBSTITUTE(SUBSTITUTE("P:"&amp;A203,"~","~~"),"*","~*"),"?","~?"))=1),(IF(ISNA(MATCH(SUBSTITUTE(SUBSTITUTE(SUBSTITUTE("P:"&amp;A203,"~","~~"),"*","~*"),"?","~?"),Processos!$AS$10:$AS$509,0)),9,INDEX(Processos!$AM$10:$AM$509,MATCH(SUBSTITUTE(SUBSTITUTE(SUBSTITUTE("P:"&amp;A203,"~","~~"),"*","~*"),"?","~?"),Processos!$AS$10:$AS$509,0)))-9),0)</f>
        <v>0</v>
      </c>
      <c r="K203" s="34" t="str">
        <f t="shared" si="15"/>
        <v/>
      </c>
      <c r="L203" s="14">
        <f>ROW()</f>
        <v>203</v>
      </c>
    </row>
    <row r="204" spans="1:12" ht="60" customHeight="1">
      <c r="A204" s="41"/>
      <c r="B204" s="43"/>
      <c r="C204" s="44"/>
      <c r="D204" s="51"/>
      <c r="E204" s="44"/>
      <c r="F204" s="44"/>
      <c r="G204" s="34">
        <f t="shared" si="12"/>
        <v>0</v>
      </c>
      <c r="H204" s="34" t="str">
        <f t="shared" si="13"/>
        <v/>
      </c>
      <c r="I204" s="52" t="str">
        <f t="shared" si="14"/>
        <v/>
      </c>
      <c r="J204" s="34">
        <f>IF(AND(A204&lt;&gt;"",ISTEXT(A204),COUNTIFS(Processos!$AS$10:$AS$509,"="&amp;SUBSTITUTE(SUBSTITUTE(SUBSTITUTE("P:"&amp;A204,"~","~~"),"*","~*"),"?","~?"))=1),(IF(ISNA(MATCH(SUBSTITUTE(SUBSTITUTE(SUBSTITUTE("P:"&amp;A204,"~","~~"),"*","~*"),"?","~?"),Processos!$AS$10:$AS$509,0)),9,INDEX(Processos!$AM$10:$AM$509,MATCH(SUBSTITUTE(SUBSTITUTE(SUBSTITUTE("P:"&amp;A204,"~","~~"),"*","~*"),"?","~?"),Processos!$AS$10:$AS$509,0)))-9),0)</f>
        <v>0</v>
      </c>
      <c r="K204" s="34" t="str">
        <f t="shared" si="15"/>
        <v/>
      </c>
      <c r="L204" s="14">
        <f>ROW()</f>
        <v>204</v>
      </c>
    </row>
    <row r="205" spans="1:12" ht="60" customHeight="1">
      <c r="A205" s="41"/>
      <c r="B205" s="43"/>
      <c r="C205" s="44"/>
      <c r="D205" s="51"/>
      <c r="E205" s="44"/>
      <c r="F205" s="44"/>
      <c r="G205" s="34">
        <f t="shared" si="12"/>
        <v>0</v>
      </c>
      <c r="H205" s="34" t="str">
        <f t="shared" si="13"/>
        <v/>
      </c>
      <c r="I205" s="52" t="str">
        <f t="shared" si="14"/>
        <v/>
      </c>
      <c r="J205" s="34">
        <f>IF(AND(A205&lt;&gt;"",ISTEXT(A205),COUNTIFS(Processos!$AS$10:$AS$509,"="&amp;SUBSTITUTE(SUBSTITUTE(SUBSTITUTE("P:"&amp;A205,"~","~~"),"*","~*"),"?","~?"))=1),(IF(ISNA(MATCH(SUBSTITUTE(SUBSTITUTE(SUBSTITUTE("P:"&amp;A205,"~","~~"),"*","~*"),"?","~?"),Processos!$AS$10:$AS$509,0)),9,INDEX(Processos!$AM$10:$AM$509,MATCH(SUBSTITUTE(SUBSTITUTE(SUBSTITUTE("P:"&amp;A205,"~","~~"),"*","~*"),"?","~?"),Processos!$AS$10:$AS$509,0)))-9),0)</f>
        <v>0</v>
      </c>
      <c r="K205" s="34" t="str">
        <f t="shared" si="15"/>
        <v/>
      </c>
      <c r="L205" s="14">
        <f>ROW()</f>
        <v>205</v>
      </c>
    </row>
    <row r="206" spans="1:12" ht="60" customHeight="1">
      <c r="A206" s="41"/>
      <c r="B206" s="43"/>
      <c r="C206" s="44"/>
      <c r="D206" s="51"/>
      <c r="E206" s="44"/>
      <c r="F206" s="44"/>
      <c r="G206" s="34">
        <f t="shared" si="12"/>
        <v>0</v>
      </c>
      <c r="H206" s="34" t="str">
        <f t="shared" si="13"/>
        <v/>
      </c>
      <c r="I206" s="52" t="str">
        <f t="shared" si="14"/>
        <v/>
      </c>
      <c r="J206" s="34">
        <f>IF(AND(A206&lt;&gt;"",ISTEXT(A206),COUNTIFS(Processos!$AS$10:$AS$509,"="&amp;SUBSTITUTE(SUBSTITUTE(SUBSTITUTE("P:"&amp;A206,"~","~~"),"*","~*"),"?","~?"))=1),(IF(ISNA(MATCH(SUBSTITUTE(SUBSTITUTE(SUBSTITUTE("P:"&amp;A206,"~","~~"),"*","~*"),"?","~?"),Processos!$AS$10:$AS$509,0)),9,INDEX(Processos!$AM$10:$AM$509,MATCH(SUBSTITUTE(SUBSTITUTE(SUBSTITUTE("P:"&amp;A206,"~","~~"),"*","~*"),"?","~?"),Processos!$AS$10:$AS$509,0)))-9),0)</f>
        <v>0</v>
      </c>
      <c r="K206" s="34" t="str">
        <f t="shared" si="15"/>
        <v/>
      </c>
      <c r="L206" s="14">
        <f>ROW()</f>
        <v>206</v>
      </c>
    </row>
    <row r="207" spans="1:12" ht="60" customHeight="1">
      <c r="A207" s="41"/>
      <c r="B207" s="43"/>
      <c r="C207" s="44"/>
      <c r="D207" s="51"/>
      <c r="E207" s="44"/>
      <c r="F207" s="44"/>
      <c r="G207" s="34">
        <f t="shared" si="12"/>
        <v>0</v>
      </c>
      <c r="H207" s="34" t="str">
        <f t="shared" si="13"/>
        <v/>
      </c>
      <c r="I207" s="52" t="str">
        <f t="shared" si="14"/>
        <v/>
      </c>
      <c r="J207" s="34">
        <f>IF(AND(A207&lt;&gt;"",ISTEXT(A207),COUNTIFS(Processos!$AS$10:$AS$509,"="&amp;SUBSTITUTE(SUBSTITUTE(SUBSTITUTE("P:"&amp;A207,"~","~~"),"*","~*"),"?","~?"))=1),(IF(ISNA(MATCH(SUBSTITUTE(SUBSTITUTE(SUBSTITUTE("P:"&amp;A207,"~","~~"),"*","~*"),"?","~?"),Processos!$AS$10:$AS$509,0)),9,INDEX(Processos!$AM$10:$AM$509,MATCH(SUBSTITUTE(SUBSTITUTE(SUBSTITUTE("P:"&amp;A207,"~","~~"),"*","~*"),"?","~?"),Processos!$AS$10:$AS$509,0)))-9),0)</f>
        <v>0</v>
      </c>
      <c r="K207" s="34" t="str">
        <f t="shared" si="15"/>
        <v/>
      </c>
      <c r="L207" s="14">
        <f>ROW()</f>
        <v>207</v>
      </c>
    </row>
    <row r="208" spans="1:12" ht="60" customHeight="1">
      <c r="A208" s="41"/>
      <c r="B208" s="43"/>
      <c r="C208" s="44"/>
      <c r="D208" s="51"/>
      <c r="E208" s="44"/>
      <c r="F208" s="44"/>
      <c r="G208" s="34">
        <f t="shared" si="12"/>
        <v>0</v>
      </c>
      <c r="H208" s="34" t="str">
        <f t="shared" si="13"/>
        <v/>
      </c>
      <c r="I208" s="52" t="str">
        <f t="shared" si="14"/>
        <v/>
      </c>
      <c r="J208" s="34">
        <f>IF(AND(A208&lt;&gt;"",ISTEXT(A208),COUNTIFS(Processos!$AS$10:$AS$509,"="&amp;SUBSTITUTE(SUBSTITUTE(SUBSTITUTE("P:"&amp;A208,"~","~~"),"*","~*"),"?","~?"))=1),(IF(ISNA(MATCH(SUBSTITUTE(SUBSTITUTE(SUBSTITUTE("P:"&amp;A208,"~","~~"),"*","~*"),"?","~?"),Processos!$AS$10:$AS$509,0)),9,INDEX(Processos!$AM$10:$AM$509,MATCH(SUBSTITUTE(SUBSTITUTE(SUBSTITUTE("P:"&amp;A208,"~","~~"),"*","~*"),"?","~?"),Processos!$AS$10:$AS$509,0)))-9),0)</f>
        <v>0</v>
      </c>
      <c r="K208" s="34" t="str">
        <f t="shared" si="15"/>
        <v/>
      </c>
      <c r="L208" s="14">
        <f>ROW()</f>
        <v>208</v>
      </c>
    </row>
    <row r="209" spans="1:12" ht="60" customHeight="1">
      <c r="A209" s="41"/>
      <c r="B209" s="43"/>
      <c r="C209" s="44"/>
      <c r="D209" s="51"/>
      <c r="E209" s="44"/>
      <c r="F209" s="44"/>
      <c r="G209" s="34">
        <f t="shared" si="12"/>
        <v>0</v>
      </c>
      <c r="H209" s="34" t="str">
        <f t="shared" si="13"/>
        <v/>
      </c>
      <c r="I209" s="52" t="str">
        <f t="shared" si="14"/>
        <v/>
      </c>
      <c r="J209" s="34">
        <f>IF(AND(A209&lt;&gt;"",ISTEXT(A209),COUNTIFS(Processos!$AS$10:$AS$509,"="&amp;SUBSTITUTE(SUBSTITUTE(SUBSTITUTE("P:"&amp;A209,"~","~~"),"*","~*"),"?","~?"))=1),(IF(ISNA(MATCH(SUBSTITUTE(SUBSTITUTE(SUBSTITUTE("P:"&amp;A209,"~","~~"),"*","~*"),"?","~?"),Processos!$AS$10:$AS$509,0)),9,INDEX(Processos!$AM$10:$AM$509,MATCH(SUBSTITUTE(SUBSTITUTE(SUBSTITUTE("P:"&amp;A209,"~","~~"),"*","~*"),"?","~?"),Processos!$AS$10:$AS$509,0)))-9),0)</f>
        <v>0</v>
      </c>
      <c r="K209" s="34" t="str">
        <f t="shared" si="15"/>
        <v/>
      </c>
      <c r="L209" s="14">
        <f>ROW()</f>
        <v>209</v>
      </c>
    </row>
    <row r="210" spans="1:12" ht="60" customHeight="1">
      <c r="A210" s="41"/>
      <c r="B210" s="43"/>
      <c r="C210" s="44"/>
      <c r="D210" s="51"/>
      <c r="E210" s="44"/>
      <c r="F210" s="44"/>
      <c r="G210" s="34">
        <f t="shared" si="12"/>
        <v>0</v>
      </c>
      <c r="H210" s="34" t="str">
        <f t="shared" si="13"/>
        <v/>
      </c>
      <c r="I210" s="52" t="str">
        <f t="shared" si="14"/>
        <v/>
      </c>
      <c r="J210" s="34">
        <f>IF(AND(A210&lt;&gt;"",ISTEXT(A210),COUNTIFS(Processos!$AS$10:$AS$509,"="&amp;SUBSTITUTE(SUBSTITUTE(SUBSTITUTE("P:"&amp;A210,"~","~~"),"*","~*"),"?","~?"))=1),(IF(ISNA(MATCH(SUBSTITUTE(SUBSTITUTE(SUBSTITUTE("P:"&amp;A210,"~","~~"),"*","~*"),"?","~?"),Processos!$AS$10:$AS$509,0)),9,INDEX(Processos!$AM$10:$AM$509,MATCH(SUBSTITUTE(SUBSTITUTE(SUBSTITUTE("P:"&amp;A210,"~","~~"),"*","~*"),"?","~?"),Processos!$AS$10:$AS$509,0)))-9),0)</f>
        <v>0</v>
      </c>
      <c r="K210" s="34" t="str">
        <f t="shared" si="15"/>
        <v/>
      </c>
      <c r="L210" s="14">
        <f>ROW()</f>
        <v>210</v>
      </c>
    </row>
    <row r="211" spans="1:12" ht="60" customHeight="1">
      <c r="A211" s="41"/>
      <c r="B211" s="43"/>
      <c r="C211" s="44"/>
      <c r="D211" s="51"/>
      <c r="E211" s="44"/>
      <c r="F211" s="44"/>
      <c r="G211" s="34">
        <f t="shared" si="12"/>
        <v>0</v>
      </c>
      <c r="H211" s="34" t="str">
        <f t="shared" si="13"/>
        <v/>
      </c>
      <c r="I211" s="52" t="str">
        <f t="shared" si="14"/>
        <v/>
      </c>
      <c r="J211" s="34">
        <f>IF(AND(A211&lt;&gt;"",ISTEXT(A211),COUNTIFS(Processos!$AS$10:$AS$509,"="&amp;SUBSTITUTE(SUBSTITUTE(SUBSTITUTE("P:"&amp;A211,"~","~~"),"*","~*"),"?","~?"))=1),(IF(ISNA(MATCH(SUBSTITUTE(SUBSTITUTE(SUBSTITUTE("P:"&amp;A211,"~","~~"),"*","~*"),"?","~?"),Processos!$AS$10:$AS$509,0)),9,INDEX(Processos!$AM$10:$AM$509,MATCH(SUBSTITUTE(SUBSTITUTE(SUBSTITUTE("P:"&amp;A211,"~","~~"),"*","~*"),"?","~?"),Processos!$AS$10:$AS$509,0)))-9),0)</f>
        <v>0</v>
      </c>
      <c r="K211" s="34" t="str">
        <f t="shared" si="15"/>
        <v/>
      </c>
      <c r="L211" s="14">
        <f>ROW()</f>
        <v>211</v>
      </c>
    </row>
    <row r="212" spans="1:12" ht="60" customHeight="1">
      <c r="A212" s="41"/>
      <c r="B212" s="43"/>
      <c r="C212" s="44"/>
      <c r="D212" s="51"/>
      <c r="E212" s="44"/>
      <c r="F212" s="44"/>
      <c r="G212" s="34">
        <f t="shared" si="12"/>
        <v>0</v>
      </c>
      <c r="H212" s="34" t="str">
        <f t="shared" si="13"/>
        <v/>
      </c>
      <c r="I212" s="52" t="str">
        <f t="shared" si="14"/>
        <v/>
      </c>
      <c r="J212" s="34">
        <f>IF(AND(A212&lt;&gt;"",ISTEXT(A212),COUNTIFS(Processos!$AS$10:$AS$509,"="&amp;SUBSTITUTE(SUBSTITUTE(SUBSTITUTE("P:"&amp;A212,"~","~~"),"*","~*"),"?","~?"))=1),(IF(ISNA(MATCH(SUBSTITUTE(SUBSTITUTE(SUBSTITUTE("P:"&amp;A212,"~","~~"),"*","~*"),"?","~?"),Processos!$AS$10:$AS$509,0)),9,INDEX(Processos!$AM$10:$AM$509,MATCH(SUBSTITUTE(SUBSTITUTE(SUBSTITUTE("P:"&amp;A212,"~","~~"),"*","~*"),"?","~?"),Processos!$AS$10:$AS$509,0)))-9),0)</f>
        <v>0</v>
      </c>
      <c r="K212" s="34" t="str">
        <f t="shared" si="15"/>
        <v/>
      </c>
      <c r="L212" s="14">
        <f>ROW()</f>
        <v>212</v>
      </c>
    </row>
    <row r="213" spans="1:12" ht="60" customHeight="1">
      <c r="A213" s="41"/>
      <c r="B213" s="43"/>
      <c r="C213" s="44"/>
      <c r="D213" s="51"/>
      <c r="E213" s="44"/>
      <c r="F213" s="44"/>
      <c r="G213" s="34">
        <f t="shared" si="12"/>
        <v>0</v>
      </c>
      <c r="H213" s="34" t="str">
        <f t="shared" si="13"/>
        <v/>
      </c>
      <c r="I213" s="52" t="str">
        <f t="shared" si="14"/>
        <v/>
      </c>
      <c r="J213" s="34">
        <f>IF(AND(A213&lt;&gt;"",ISTEXT(A213),COUNTIFS(Processos!$AS$10:$AS$509,"="&amp;SUBSTITUTE(SUBSTITUTE(SUBSTITUTE("P:"&amp;A213,"~","~~"),"*","~*"),"?","~?"))=1),(IF(ISNA(MATCH(SUBSTITUTE(SUBSTITUTE(SUBSTITUTE("P:"&amp;A213,"~","~~"),"*","~*"),"?","~?"),Processos!$AS$10:$AS$509,0)),9,INDEX(Processos!$AM$10:$AM$509,MATCH(SUBSTITUTE(SUBSTITUTE(SUBSTITUTE("P:"&amp;A213,"~","~~"),"*","~*"),"?","~?"),Processos!$AS$10:$AS$509,0)))-9),0)</f>
        <v>0</v>
      </c>
      <c r="K213" s="34" t="str">
        <f t="shared" si="15"/>
        <v/>
      </c>
      <c r="L213" s="14">
        <f>ROW()</f>
        <v>213</v>
      </c>
    </row>
    <row r="214" spans="1:12" ht="60" customHeight="1">
      <c r="A214" s="41"/>
      <c r="B214" s="43"/>
      <c r="C214" s="44"/>
      <c r="D214" s="51"/>
      <c r="E214" s="44"/>
      <c r="F214" s="44"/>
      <c r="G214" s="34">
        <f t="shared" si="12"/>
        <v>0</v>
      </c>
      <c r="H214" s="34" t="str">
        <f t="shared" si="13"/>
        <v/>
      </c>
      <c r="I214" s="52" t="str">
        <f t="shared" si="14"/>
        <v/>
      </c>
      <c r="J214" s="34">
        <f>IF(AND(A214&lt;&gt;"",ISTEXT(A214),COUNTIFS(Processos!$AS$10:$AS$509,"="&amp;SUBSTITUTE(SUBSTITUTE(SUBSTITUTE("P:"&amp;A214,"~","~~"),"*","~*"),"?","~?"))=1),(IF(ISNA(MATCH(SUBSTITUTE(SUBSTITUTE(SUBSTITUTE("P:"&amp;A214,"~","~~"),"*","~*"),"?","~?"),Processos!$AS$10:$AS$509,0)),9,INDEX(Processos!$AM$10:$AM$509,MATCH(SUBSTITUTE(SUBSTITUTE(SUBSTITUTE("P:"&amp;A214,"~","~~"),"*","~*"),"?","~?"),Processos!$AS$10:$AS$509,0)))-9),0)</f>
        <v>0</v>
      </c>
      <c r="K214" s="34" t="str">
        <f t="shared" si="15"/>
        <v/>
      </c>
      <c r="L214" s="14">
        <f>ROW()</f>
        <v>214</v>
      </c>
    </row>
    <row r="215" spans="1:12" ht="60" customHeight="1">
      <c r="A215" s="41"/>
      <c r="B215" s="43"/>
      <c r="C215" s="44"/>
      <c r="D215" s="51"/>
      <c r="E215" s="44"/>
      <c r="F215" s="44"/>
      <c r="G215" s="34">
        <f t="shared" si="12"/>
        <v>0</v>
      </c>
      <c r="H215" s="34" t="str">
        <f t="shared" si="13"/>
        <v/>
      </c>
      <c r="I215" s="52" t="str">
        <f t="shared" si="14"/>
        <v/>
      </c>
      <c r="J215" s="34">
        <f>IF(AND(A215&lt;&gt;"",ISTEXT(A215),COUNTIFS(Processos!$AS$10:$AS$509,"="&amp;SUBSTITUTE(SUBSTITUTE(SUBSTITUTE("P:"&amp;A215,"~","~~"),"*","~*"),"?","~?"))=1),(IF(ISNA(MATCH(SUBSTITUTE(SUBSTITUTE(SUBSTITUTE("P:"&amp;A215,"~","~~"),"*","~*"),"?","~?"),Processos!$AS$10:$AS$509,0)),9,INDEX(Processos!$AM$10:$AM$509,MATCH(SUBSTITUTE(SUBSTITUTE(SUBSTITUTE("P:"&amp;A215,"~","~~"),"*","~*"),"?","~?"),Processos!$AS$10:$AS$509,0)))-9),0)</f>
        <v>0</v>
      </c>
      <c r="K215" s="34" t="str">
        <f t="shared" si="15"/>
        <v/>
      </c>
      <c r="L215" s="14">
        <f>ROW()</f>
        <v>215</v>
      </c>
    </row>
    <row r="216" spans="1:12" ht="60" customHeight="1">
      <c r="A216" s="41"/>
      <c r="B216" s="43"/>
      <c r="C216" s="44"/>
      <c r="D216" s="51"/>
      <c r="E216" s="44"/>
      <c r="F216" s="44"/>
      <c r="G216" s="34">
        <f t="shared" si="12"/>
        <v>0</v>
      </c>
      <c r="H216" s="34" t="str">
        <f t="shared" si="13"/>
        <v/>
      </c>
      <c r="I216" s="52" t="str">
        <f t="shared" si="14"/>
        <v/>
      </c>
      <c r="J216" s="34">
        <f>IF(AND(A216&lt;&gt;"",ISTEXT(A216),COUNTIFS(Processos!$AS$10:$AS$509,"="&amp;SUBSTITUTE(SUBSTITUTE(SUBSTITUTE("P:"&amp;A216,"~","~~"),"*","~*"),"?","~?"))=1),(IF(ISNA(MATCH(SUBSTITUTE(SUBSTITUTE(SUBSTITUTE("P:"&amp;A216,"~","~~"),"*","~*"),"?","~?"),Processos!$AS$10:$AS$509,0)),9,INDEX(Processos!$AM$10:$AM$509,MATCH(SUBSTITUTE(SUBSTITUTE(SUBSTITUTE("P:"&amp;A216,"~","~~"),"*","~*"),"?","~?"),Processos!$AS$10:$AS$509,0)))-9),0)</f>
        <v>0</v>
      </c>
      <c r="K216" s="34" t="str">
        <f t="shared" si="15"/>
        <v/>
      </c>
      <c r="L216" s="14">
        <f>ROW()</f>
        <v>216</v>
      </c>
    </row>
    <row r="217" spans="1:12" ht="60" customHeight="1">
      <c r="A217" s="41"/>
      <c r="B217" s="43"/>
      <c r="C217" s="44"/>
      <c r="D217" s="51"/>
      <c r="E217" s="44"/>
      <c r="F217" s="44"/>
      <c r="G217" s="34">
        <f t="shared" si="12"/>
        <v>0</v>
      </c>
      <c r="H217" s="34" t="str">
        <f t="shared" si="13"/>
        <v/>
      </c>
      <c r="I217" s="52" t="str">
        <f t="shared" si="14"/>
        <v/>
      </c>
      <c r="J217" s="34">
        <f>IF(AND(A217&lt;&gt;"",ISTEXT(A217),COUNTIFS(Processos!$AS$10:$AS$509,"="&amp;SUBSTITUTE(SUBSTITUTE(SUBSTITUTE("P:"&amp;A217,"~","~~"),"*","~*"),"?","~?"))=1),(IF(ISNA(MATCH(SUBSTITUTE(SUBSTITUTE(SUBSTITUTE("P:"&amp;A217,"~","~~"),"*","~*"),"?","~?"),Processos!$AS$10:$AS$509,0)),9,INDEX(Processos!$AM$10:$AM$509,MATCH(SUBSTITUTE(SUBSTITUTE(SUBSTITUTE("P:"&amp;A217,"~","~~"),"*","~*"),"?","~?"),Processos!$AS$10:$AS$509,0)))-9),0)</f>
        <v>0</v>
      </c>
      <c r="K217" s="34" t="str">
        <f t="shared" si="15"/>
        <v/>
      </c>
      <c r="L217" s="14">
        <f>ROW()</f>
        <v>217</v>
      </c>
    </row>
    <row r="218" spans="1:12" ht="60" customHeight="1">
      <c r="A218" s="41"/>
      <c r="B218" s="43"/>
      <c r="C218" s="44"/>
      <c r="D218" s="51"/>
      <c r="E218" s="44"/>
      <c r="F218" s="44"/>
      <c r="G218" s="34">
        <f t="shared" si="12"/>
        <v>0</v>
      </c>
      <c r="H218" s="34" t="str">
        <f t="shared" si="13"/>
        <v/>
      </c>
      <c r="I218" s="52" t="str">
        <f t="shared" si="14"/>
        <v/>
      </c>
      <c r="J218" s="34">
        <f>IF(AND(A218&lt;&gt;"",ISTEXT(A218),COUNTIFS(Processos!$AS$10:$AS$509,"="&amp;SUBSTITUTE(SUBSTITUTE(SUBSTITUTE("P:"&amp;A218,"~","~~"),"*","~*"),"?","~?"))=1),(IF(ISNA(MATCH(SUBSTITUTE(SUBSTITUTE(SUBSTITUTE("P:"&amp;A218,"~","~~"),"*","~*"),"?","~?"),Processos!$AS$10:$AS$509,0)),9,INDEX(Processos!$AM$10:$AM$509,MATCH(SUBSTITUTE(SUBSTITUTE(SUBSTITUTE("P:"&amp;A218,"~","~~"),"*","~*"),"?","~?"),Processos!$AS$10:$AS$509,0)))-9),0)</f>
        <v>0</v>
      </c>
      <c r="K218" s="34" t="str">
        <f t="shared" si="15"/>
        <v/>
      </c>
      <c r="L218" s="14">
        <f>ROW()</f>
        <v>218</v>
      </c>
    </row>
    <row r="219" spans="1:12" ht="60" customHeight="1">
      <c r="A219" s="41"/>
      <c r="B219" s="43"/>
      <c r="C219" s="44"/>
      <c r="D219" s="51"/>
      <c r="E219" s="44"/>
      <c r="F219" s="44"/>
      <c r="G219" s="34">
        <f t="shared" si="12"/>
        <v>0</v>
      </c>
      <c r="H219" s="34" t="str">
        <f t="shared" si="13"/>
        <v/>
      </c>
      <c r="I219" s="52" t="str">
        <f t="shared" si="14"/>
        <v/>
      </c>
      <c r="J219" s="34">
        <f>IF(AND(A219&lt;&gt;"",ISTEXT(A219),COUNTIFS(Processos!$AS$10:$AS$509,"="&amp;SUBSTITUTE(SUBSTITUTE(SUBSTITUTE("P:"&amp;A219,"~","~~"),"*","~*"),"?","~?"))=1),(IF(ISNA(MATCH(SUBSTITUTE(SUBSTITUTE(SUBSTITUTE("P:"&amp;A219,"~","~~"),"*","~*"),"?","~?"),Processos!$AS$10:$AS$509,0)),9,INDEX(Processos!$AM$10:$AM$509,MATCH(SUBSTITUTE(SUBSTITUTE(SUBSTITUTE("P:"&amp;A219,"~","~~"),"*","~*"),"?","~?"),Processos!$AS$10:$AS$509,0)))-9),0)</f>
        <v>0</v>
      </c>
      <c r="K219" s="34" t="str">
        <f t="shared" si="15"/>
        <v/>
      </c>
      <c r="L219" s="14">
        <f>ROW()</f>
        <v>219</v>
      </c>
    </row>
    <row r="220" spans="1:12" ht="60" customHeight="1">
      <c r="A220" s="41"/>
      <c r="B220" s="43"/>
      <c r="C220" s="44"/>
      <c r="D220" s="51"/>
      <c r="E220" s="44"/>
      <c r="F220" s="44"/>
      <c r="G220" s="34">
        <f t="shared" si="12"/>
        <v>0</v>
      </c>
      <c r="H220" s="34" t="str">
        <f t="shared" si="13"/>
        <v/>
      </c>
      <c r="I220" s="52" t="str">
        <f t="shared" si="14"/>
        <v/>
      </c>
      <c r="J220" s="34">
        <f>IF(AND(A220&lt;&gt;"",ISTEXT(A220),COUNTIFS(Processos!$AS$10:$AS$509,"="&amp;SUBSTITUTE(SUBSTITUTE(SUBSTITUTE("P:"&amp;A220,"~","~~"),"*","~*"),"?","~?"))=1),(IF(ISNA(MATCH(SUBSTITUTE(SUBSTITUTE(SUBSTITUTE("P:"&amp;A220,"~","~~"),"*","~*"),"?","~?"),Processos!$AS$10:$AS$509,0)),9,INDEX(Processos!$AM$10:$AM$509,MATCH(SUBSTITUTE(SUBSTITUTE(SUBSTITUTE("P:"&amp;A220,"~","~~"),"*","~*"),"?","~?"),Processos!$AS$10:$AS$509,0)))-9),0)</f>
        <v>0</v>
      </c>
      <c r="K220" s="34" t="str">
        <f t="shared" si="15"/>
        <v/>
      </c>
      <c r="L220" s="14">
        <f>ROW()</f>
        <v>220</v>
      </c>
    </row>
    <row r="221" spans="1:12" ht="60" customHeight="1">
      <c r="A221" s="41"/>
      <c r="B221" s="43"/>
      <c r="C221" s="44"/>
      <c r="D221" s="51"/>
      <c r="E221" s="44"/>
      <c r="F221" s="44"/>
      <c r="G221" s="34">
        <f t="shared" si="12"/>
        <v>0</v>
      </c>
      <c r="H221" s="34" t="str">
        <f t="shared" si="13"/>
        <v/>
      </c>
      <c r="I221" s="52" t="str">
        <f t="shared" si="14"/>
        <v/>
      </c>
      <c r="J221" s="34">
        <f>IF(AND(A221&lt;&gt;"",ISTEXT(A221),COUNTIFS(Processos!$AS$10:$AS$509,"="&amp;SUBSTITUTE(SUBSTITUTE(SUBSTITUTE("P:"&amp;A221,"~","~~"),"*","~*"),"?","~?"))=1),(IF(ISNA(MATCH(SUBSTITUTE(SUBSTITUTE(SUBSTITUTE("P:"&amp;A221,"~","~~"),"*","~*"),"?","~?"),Processos!$AS$10:$AS$509,0)),9,INDEX(Processos!$AM$10:$AM$509,MATCH(SUBSTITUTE(SUBSTITUTE(SUBSTITUTE("P:"&amp;A221,"~","~~"),"*","~*"),"?","~?"),Processos!$AS$10:$AS$509,0)))-9),0)</f>
        <v>0</v>
      </c>
      <c r="K221" s="34" t="str">
        <f t="shared" si="15"/>
        <v/>
      </c>
      <c r="L221" s="14">
        <f>ROW()</f>
        <v>221</v>
      </c>
    </row>
    <row r="222" spans="1:12" ht="60" customHeight="1">
      <c r="A222" s="41"/>
      <c r="B222" s="43"/>
      <c r="C222" s="44"/>
      <c r="D222" s="51"/>
      <c r="E222" s="44"/>
      <c r="F222" s="44"/>
      <c r="G222" s="34">
        <f t="shared" si="12"/>
        <v>0</v>
      </c>
      <c r="H222" s="34" t="str">
        <f t="shared" si="13"/>
        <v/>
      </c>
      <c r="I222" s="52" t="str">
        <f t="shared" si="14"/>
        <v/>
      </c>
      <c r="J222" s="34">
        <f>IF(AND(A222&lt;&gt;"",ISTEXT(A222),COUNTIFS(Processos!$AS$10:$AS$509,"="&amp;SUBSTITUTE(SUBSTITUTE(SUBSTITUTE("P:"&amp;A222,"~","~~"),"*","~*"),"?","~?"))=1),(IF(ISNA(MATCH(SUBSTITUTE(SUBSTITUTE(SUBSTITUTE("P:"&amp;A222,"~","~~"),"*","~*"),"?","~?"),Processos!$AS$10:$AS$509,0)),9,INDEX(Processos!$AM$10:$AM$509,MATCH(SUBSTITUTE(SUBSTITUTE(SUBSTITUTE("P:"&amp;A222,"~","~~"),"*","~*"),"?","~?"),Processos!$AS$10:$AS$509,0)))-9),0)</f>
        <v>0</v>
      </c>
      <c r="K222" s="34" t="str">
        <f t="shared" si="15"/>
        <v/>
      </c>
      <c r="L222" s="14">
        <f>ROW()</f>
        <v>222</v>
      </c>
    </row>
    <row r="223" spans="1:12" ht="60" customHeight="1">
      <c r="A223" s="41"/>
      <c r="B223" s="43"/>
      <c r="C223" s="44"/>
      <c r="D223" s="51"/>
      <c r="E223" s="44"/>
      <c r="F223" s="44"/>
      <c r="G223" s="34">
        <f t="shared" si="12"/>
        <v>0</v>
      </c>
      <c r="H223" s="34" t="str">
        <f t="shared" si="13"/>
        <v/>
      </c>
      <c r="I223" s="52" t="str">
        <f t="shared" si="14"/>
        <v/>
      </c>
      <c r="J223" s="34">
        <f>IF(AND(A223&lt;&gt;"",ISTEXT(A223),COUNTIFS(Processos!$AS$10:$AS$509,"="&amp;SUBSTITUTE(SUBSTITUTE(SUBSTITUTE("P:"&amp;A223,"~","~~"),"*","~*"),"?","~?"))=1),(IF(ISNA(MATCH(SUBSTITUTE(SUBSTITUTE(SUBSTITUTE("P:"&amp;A223,"~","~~"),"*","~*"),"?","~?"),Processos!$AS$10:$AS$509,0)),9,INDEX(Processos!$AM$10:$AM$509,MATCH(SUBSTITUTE(SUBSTITUTE(SUBSTITUTE("P:"&amp;A223,"~","~~"),"*","~*"),"?","~?"),Processos!$AS$10:$AS$509,0)))-9),0)</f>
        <v>0</v>
      </c>
      <c r="K223" s="34" t="str">
        <f t="shared" si="15"/>
        <v/>
      </c>
      <c r="L223" s="14">
        <f>ROW()</f>
        <v>223</v>
      </c>
    </row>
    <row r="224" spans="1:12" ht="60" customHeight="1">
      <c r="A224" s="41"/>
      <c r="B224" s="43"/>
      <c r="C224" s="44"/>
      <c r="D224" s="51"/>
      <c r="E224" s="44"/>
      <c r="F224" s="44"/>
      <c r="G224" s="34">
        <f t="shared" si="12"/>
        <v>0</v>
      </c>
      <c r="H224" s="34" t="str">
        <f t="shared" si="13"/>
        <v/>
      </c>
      <c r="I224" s="52" t="str">
        <f t="shared" si="14"/>
        <v/>
      </c>
      <c r="J224" s="34">
        <f>IF(AND(A224&lt;&gt;"",ISTEXT(A224),COUNTIFS(Processos!$AS$10:$AS$509,"="&amp;SUBSTITUTE(SUBSTITUTE(SUBSTITUTE("P:"&amp;A224,"~","~~"),"*","~*"),"?","~?"))=1),(IF(ISNA(MATCH(SUBSTITUTE(SUBSTITUTE(SUBSTITUTE("P:"&amp;A224,"~","~~"),"*","~*"),"?","~?"),Processos!$AS$10:$AS$509,0)),9,INDEX(Processos!$AM$10:$AM$509,MATCH(SUBSTITUTE(SUBSTITUTE(SUBSTITUTE("P:"&amp;A224,"~","~~"),"*","~*"),"?","~?"),Processos!$AS$10:$AS$509,0)))-9),0)</f>
        <v>0</v>
      </c>
      <c r="K224" s="34" t="str">
        <f t="shared" si="15"/>
        <v/>
      </c>
      <c r="L224" s="14">
        <f>ROW()</f>
        <v>224</v>
      </c>
    </row>
    <row r="225" spans="1:12" ht="60" customHeight="1">
      <c r="A225" s="41"/>
      <c r="B225" s="43"/>
      <c r="C225" s="44"/>
      <c r="D225" s="51"/>
      <c r="E225" s="44"/>
      <c r="F225" s="44"/>
      <c r="G225" s="34">
        <f t="shared" si="12"/>
        <v>0</v>
      </c>
      <c r="H225" s="34" t="str">
        <f t="shared" si="13"/>
        <v/>
      </c>
      <c r="I225" s="52" t="str">
        <f t="shared" si="14"/>
        <v/>
      </c>
      <c r="J225" s="34">
        <f>IF(AND(A225&lt;&gt;"",ISTEXT(A225),COUNTIFS(Processos!$AS$10:$AS$509,"="&amp;SUBSTITUTE(SUBSTITUTE(SUBSTITUTE("P:"&amp;A225,"~","~~"),"*","~*"),"?","~?"))=1),(IF(ISNA(MATCH(SUBSTITUTE(SUBSTITUTE(SUBSTITUTE("P:"&amp;A225,"~","~~"),"*","~*"),"?","~?"),Processos!$AS$10:$AS$509,0)),9,INDEX(Processos!$AM$10:$AM$509,MATCH(SUBSTITUTE(SUBSTITUTE(SUBSTITUTE("P:"&amp;A225,"~","~~"),"*","~*"),"?","~?"),Processos!$AS$10:$AS$509,0)))-9),0)</f>
        <v>0</v>
      </c>
      <c r="K225" s="34" t="str">
        <f t="shared" si="15"/>
        <v/>
      </c>
      <c r="L225" s="14">
        <f>ROW()</f>
        <v>225</v>
      </c>
    </row>
    <row r="226" spans="1:12" ht="60" customHeight="1">
      <c r="A226" s="41"/>
      <c r="B226" s="43"/>
      <c r="C226" s="44"/>
      <c r="D226" s="51"/>
      <c r="E226" s="44"/>
      <c r="F226" s="44"/>
      <c r="G226" s="34">
        <f t="shared" si="12"/>
        <v>0</v>
      </c>
      <c r="H226" s="34" t="str">
        <f t="shared" si="13"/>
        <v/>
      </c>
      <c r="I226" s="52" t="str">
        <f t="shared" si="14"/>
        <v/>
      </c>
      <c r="J226" s="34">
        <f>IF(AND(A226&lt;&gt;"",ISTEXT(A226),COUNTIFS(Processos!$AS$10:$AS$509,"="&amp;SUBSTITUTE(SUBSTITUTE(SUBSTITUTE("P:"&amp;A226,"~","~~"),"*","~*"),"?","~?"))=1),(IF(ISNA(MATCH(SUBSTITUTE(SUBSTITUTE(SUBSTITUTE("P:"&amp;A226,"~","~~"),"*","~*"),"?","~?"),Processos!$AS$10:$AS$509,0)),9,INDEX(Processos!$AM$10:$AM$509,MATCH(SUBSTITUTE(SUBSTITUTE(SUBSTITUTE("P:"&amp;A226,"~","~~"),"*","~*"),"?","~?"),Processos!$AS$10:$AS$509,0)))-9),0)</f>
        <v>0</v>
      </c>
      <c r="K226" s="34" t="str">
        <f t="shared" si="15"/>
        <v/>
      </c>
      <c r="L226" s="14">
        <f>ROW()</f>
        <v>226</v>
      </c>
    </row>
    <row r="227" spans="1:12" ht="60" customHeight="1">
      <c r="A227" s="41"/>
      <c r="B227" s="43"/>
      <c r="C227" s="44"/>
      <c r="D227" s="51"/>
      <c r="E227" s="44"/>
      <c r="F227" s="44"/>
      <c r="G227" s="34">
        <f t="shared" si="12"/>
        <v>0</v>
      </c>
      <c r="H227" s="34" t="str">
        <f t="shared" si="13"/>
        <v/>
      </c>
      <c r="I227" s="52" t="str">
        <f t="shared" si="14"/>
        <v/>
      </c>
      <c r="J227" s="34">
        <f>IF(AND(A227&lt;&gt;"",ISTEXT(A227),COUNTIFS(Processos!$AS$10:$AS$509,"="&amp;SUBSTITUTE(SUBSTITUTE(SUBSTITUTE("P:"&amp;A227,"~","~~"),"*","~*"),"?","~?"))=1),(IF(ISNA(MATCH(SUBSTITUTE(SUBSTITUTE(SUBSTITUTE("P:"&amp;A227,"~","~~"),"*","~*"),"?","~?"),Processos!$AS$10:$AS$509,0)),9,INDEX(Processos!$AM$10:$AM$509,MATCH(SUBSTITUTE(SUBSTITUTE(SUBSTITUTE("P:"&amp;A227,"~","~~"),"*","~*"),"?","~?"),Processos!$AS$10:$AS$509,0)))-9),0)</f>
        <v>0</v>
      </c>
      <c r="K227" s="34" t="str">
        <f t="shared" si="15"/>
        <v/>
      </c>
      <c r="L227" s="14">
        <f>ROW()</f>
        <v>227</v>
      </c>
    </row>
    <row r="228" spans="1:12" ht="60" customHeight="1">
      <c r="A228" s="41"/>
      <c r="B228" s="43"/>
      <c r="C228" s="44"/>
      <c r="D228" s="51"/>
      <c r="E228" s="44"/>
      <c r="F228" s="44"/>
      <c r="G228" s="34">
        <f t="shared" si="12"/>
        <v>0</v>
      </c>
      <c r="H228" s="34" t="str">
        <f t="shared" si="13"/>
        <v/>
      </c>
      <c r="I228" s="52" t="str">
        <f t="shared" si="14"/>
        <v/>
      </c>
      <c r="J228" s="34">
        <f>IF(AND(A228&lt;&gt;"",ISTEXT(A228),COUNTIFS(Processos!$AS$10:$AS$509,"="&amp;SUBSTITUTE(SUBSTITUTE(SUBSTITUTE("P:"&amp;A228,"~","~~"),"*","~*"),"?","~?"))=1),(IF(ISNA(MATCH(SUBSTITUTE(SUBSTITUTE(SUBSTITUTE("P:"&amp;A228,"~","~~"),"*","~*"),"?","~?"),Processos!$AS$10:$AS$509,0)),9,INDEX(Processos!$AM$10:$AM$509,MATCH(SUBSTITUTE(SUBSTITUTE(SUBSTITUTE("P:"&amp;A228,"~","~~"),"*","~*"),"?","~?"),Processos!$AS$10:$AS$509,0)))-9),0)</f>
        <v>0</v>
      </c>
      <c r="K228" s="34" t="str">
        <f t="shared" si="15"/>
        <v/>
      </c>
      <c r="L228" s="14">
        <f>ROW()</f>
        <v>228</v>
      </c>
    </row>
    <row r="229" spans="1:12" ht="60" customHeight="1">
      <c r="A229" s="41"/>
      <c r="B229" s="43"/>
      <c r="C229" s="44"/>
      <c r="D229" s="51"/>
      <c r="E229" s="44"/>
      <c r="F229" s="44"/>
      <c r="G229" s="34">
        <f t="shared" si="12"/>
        <v>0</v>
      </c>
      <c r="H229" s="34" t="str">
        <f t="shared" si="13"/>
        <v/>
      </c>
      <c r="I229" s="52" t="str">
        <f t="shared" si="14"/>
        <v/>
      </c>
      <c r="J229" s="34">
        <f>IF(AND(A229&lt;&gt;"",ISTEXT(A229),COUNTIFS(Processos!$AS$10:$AS$509,"="&amp;SUBSTITUTE(SUBSTITUTE(SUBSTITUTE("P:"&amp;A229,"~","~~"),"*","~*"),"?","~?"))=1),(IF(ISNA(MATCH(SUBSTITUTE(SUBSTITUTE(SUBSTITUTE("P:"&amp;A229,"~","~~"),"*","~*"),"?","~?"),Processos!$AS$10:$AS$509,0)),9,INDEX(Processos!$AM$10:$AM$509,MATCH(SUBSTITUTE(SUBSTITUTE(SUBSTITUTE("P:"&amp;A229,"~","~~"),"*","~*"),"?","~?"),Processos!$AS$10:$AS$509,0)))-9),0)</f>
        <v>0</v>
      </c>
      <c r="K229" s="34" t="str">
        <f t="shared" si="15"/>
        <v/>
      </c>
      <c r="L229" s="14">
        <f>ROW()</f>
        <v>229</v>
      </c>
    </row>
    <row r="230" spans="1:12" ht="60" customHeight="1">
      <c r="A230" s="41"/>
      <c r="B230" s="43"/>
      <c r="C230" s="44"/>
      <c r="D230" s="51"/>
      <c r="E230" s="44"/>
      <c r="F230" s="44"/>
      <c r="G230" s="34">
        <f t="shared" si="12"/>
        <v>0</v>
      </c>
      <c r="H230" s="34" t="str">
        <f t="shared" si="13"/>
        <v/>
      </c>
      <c r="I230" s="52" t="str">
        <f t="shared" si="14"/>
        <v/>
      </c>
      <c r="J230" s="34">
        <f>IF(AND(A230&lt;&gt;"",ISTEXT(A230),COUNTIFS(Processos!$AS$10:$AS$509,"="&amp;SUBSTITUTE(SUBSTITUTE(SUBSTITUTE("P:"&amp;A230,"~","~~"),"*","~*"),"?","~?"))=1),(IF(ISNA(MATCH(SUBSTITUTE(SUBSTITUTE(SUBSTITUTE("P:"&amp;A230,"~","~~"),"*","~*"),"?","~?"),Processos!$AS$10:$AS$509,0)),9,INDEX(Processos!$AM$10:$AM$509,MATCH(SUBSTITUTE(SUBSTITUTE(SUBSTITUTE("P:"&amp;A230,"~","~~"),"*","~*"),"?","~?"),Processos!$AS$10:$AS$509,0)))-9),0)</f>
        <v>0</v>
      </c>
      <c r="K230" s="34" t="str">
        <f t="shared" si="15"/>
        <v/>
      </c>
      <c r="L230" s="14">
        <f>ROW()</f>
        <v>230</v>
      </c>
    </row>
    <row r="231" spans="1:12" ht="60" customHeight="1">
      <c r="A231" s="41"/>
      <c r="B231" s="43"/>
      <c r="C231" s="44"/>
      <c r="D231" s="51"/>
      <c r="E231" s="44"/>
      <c r="F231" s="44"/>
      <c r="G231" s="34">
        <f t="shared" si="12"/>
        <v>0</v>
      </c>
      <c r="H231" s="34" t="str">
        <f t="shared" si="13"/>
        <v/>
      </c>
      <c r="I231" s="52" t="str">
        <f t="shared" si="14"/>
        <v/>
      </c>
      <c r="J231" s="34">
        <f>IF(AND(A231&lt;&gt;"",ISTEXT(A231),COUNTIFS(Processos!$AS$10:$AS$509,"="&amp;SUBSTITUTE(SUBSTITUTE(SUBSTITUTE("P:"&amp;A231,"~","~~"),"*","~*"),"?","~?"))=1),(IF(ISNA(MATCH(SUBSTITUTE(SUBSTITUTE(SUBSTITUTE("P:"&amp;A231,"~","~~"),"*","~*"),"?","~?"),Processos!$AS$10:$AS$509,0)),9,INDEX(Processos!$AM$10:$AM$509,MATCH(SUBSTITUTE(SUBSTITUTE(SUBSTITUTE("P:"&amp;A231,"~","~~"),"*","~*"),"?","~?"),Processos!$AS$10:$AS$509,0)))-9),0)</f>
        <v>0</v>
      </c>
      <c r="K231" s="34" t="str">
        <f t="shared" si="15"/>
        <v/>
      </c>
      <c r="L231" s="14">
        <f>ROW()</f>
        <v>231</v>
      </c>
    </row>
    <row r="232" spans="1:12" ht="60" customHeight="1">
      <c r="A232" s="41"/>
      <c r="B232" s="43"/>
      <c r="C232" s="44"/>
      <c r="D232" s="51"/>
      <c r="E232" s="44"/>
      <c r="F232" s="44"/>
      <c r="G232" s="34">
        <f t="shared" si="12"/>
        <v>0</v>
      </c>
      <c r="H232" s="34" t="str">
        <f t="shared" si="13"/>
        <v/>
      </c>
      <c r="I232" s="52" t="str">
        <f t="shared" si="14"/>
        <v/>
      </c>
      <c r="J232" s="34">
        <f>IF(AND(A232&lt;&gt;"",ISTEXT(A232),COUNTIFS(Processos!$AS$10:$AS$509,"="&amp;SUBSTITUTE(SUBSTITUTE(SUBSTITUTE("P:"&amp;A232,"~","~~"),"*","~*"),"?","~?"))=1),(IF(ISNA(MATCH(SUBSTITUTE(SUBSTITUTE(SUBSTITUTE("P:"&amp;A232,"~","~~"),"*","~*"),"?","~?"),Processos!$AS$10:$AS$509,0)),9,INDEX(Processos!$AM$10:$AM$509,MATCH(SUBSTITUTE(SUBSTITUTE(SUBSTITUTE("P:"&amp;A232,"~","~~"),"*","~*"),"?","~?"),Processos!$AS$10:$AS$509,0)))-9),0)</f>
        <v>0</v>
      </c>
      <c r="K232" s="34" t="str">
        <f t="shared" si="15"/>
        <v/>
      </c>
      <c r="L232" s="14">
        <f>ROW()</f>
        <v>232</v>
      </c>
    </row>
    <row r="233" spans="1:12" ht="60" customHeight="1">
      <c r="A233" s="41"/>
      <c r="B233" s="43"/>
      <c r="C233" s="44"/>
      <c r="D233" s="51"/>
      <c r="E233" s="44"/>
      <c r="F233" s="44"/>
      <c r="G233" s="34">
        <f t="shared" si="12"/>
        <v>0</v>
      </c>
      <c r="H233" s="34" t="str">
        <f t="shared" si="13"/>
        <v/>
      </c>
      <c r="I233" s="52" t="str">
        <f t="shared" si="14"/>
        <v/>
      </c>
      <c r="J233" s="34">
        <f>IF(AND(A233&lt;&gt;"",ISTEXT(A233),COUNTIFS(Processos!$AS$10:$AS$509,"="&amp;SUBSTITUTE(SUBSTITUTE(SUBSTITUTE("P:"&amp;A233,"~","~~"),"*","~*"),"?","~?"))=1),(IF(ISNA(MATCH(SUBSTITUTE(SUBSTITUTE(SUBSTITUTE("P:"&amp;A233,"~","~~"),"*","~*"),"?","~?"),Processos!$AS$10:$AS$509,0)),9,INDEX(Processos!$AM$10:$AM$509,MATCH(SUBSTITUTE(SUBSTITUTE(SUBSTITUTE("P:"&amp;A233,"~","~~"),"*","~*"),"?","~?"),Processos!$AS$10:$AS$509,0)))-9),0)</f>
        <v>0</v>
      </c>
      <c r="K233" s="34" t="str">
        <f t="shared" si="15"/>
        <v/>
      </c>
      <c r="L233" s="14">
        <f>ROW()</f>
        <v>233</v>
      </c>
    </row>
    <row r="234" spans="1:12" ht="60" customHeight="1">
      <c r="A234" s="41"/>
      <c r="B234" s="43"/>
      <c r="C234" s="44"/>
      <c r="D234" s="51"/>
      <c r="E234" s="44"/>
      <c r="F234" s="44"/>
      <c r="G234" s="34">
        <f t="shared" si="12"/>
        <v>0</v>
      </c>
      <c r="H234" s="34" t="str">
        <f t="shared" si="13"/>
        <v/>
      </c>
      <c r="I234" s="52" t="str">
        <f t="shared" si="14"/>
        <v/>
      </c>
      <c r="J234" s="34">
        <f>IF(AND(A234&lt;&gt;"",ISTEXT(A234),COUNTIFS(Processos!$AS$10:$AS$509,"="&amp;SUBSTITUTE(SUBSTITUTE(SUBSTITUTE("P:"&amp;A234,"~","~~"),"*","~*"),"?","~?"))=1),(IF(ISNA(MATCH(SUBSTITUTE(SUBSTITUTE(SUBSTITUTE("P:"&amp;A234,"~","~~"),"*","~*"),"?","~?"),Processos!$AS$10:$AS$509,0)),9,INDEX(Processos!$AM$10:$AM$509,MATCH(SUBSTITUTE(SUBSTITUTE(SUBSTITUTE("P:"&amp;A234,"~","~~"),"*","~*"),"?","~?"),Processos!$AS$10:$AS$509,0)))-9),0)</f>
        <v>0</v>
      </c>
      <c r="K234" s="34" t="str">
        <f t="shared" si="15"/>
        <v/>
      </c>
      <c r="L234" s="14">
        <f>ROW()</f>
        <v>234</v>
      </c>
    </row>
    <row r="235" spans="1:12" ht="60" customHeight="1">
      <c r="A235" s="41"/>
      <c r="B235" s="43"/>
      <c r="C235" s="44"/>
      <c r="D235" s="51"/>
      <c r="E235" s="44"/>
      <c r="F235" s="44"/>
      <c r="G235" s="34">
        <f t="shared" si="12"/>
        <v>0</v>
      </c>
      <c r="H235" s="34" t="str">
        <f t="shared" si="13"/>
        <v/>
      </c>
      <c r="I235" s="52" t="str">
        <f t="shared" si="14"/>
        <v/>
      </c>
      <c r="J235" s="34">
        <f>IF(AND(A235&lt;&gt;"",ISTEXT(A235),COUNTIFS(Processos!$AS$10:$AS$509,"="&amp;SUBSTITUTE(SUBSTITUTE(SUBSTITUTE("P:"&amp;A235,"~","~~"),"*","~*"),"?","~?"))=1),(IF(ISNA(MATCH(SUBSTITUTE(SUBSTITUTE(SUBSTITUTE("P:"&amp;A235,"~","~~"),"*","~*"),"?","~?"),Processos!$AS$10:$AS$509,0)),9,INDEX(Processos!$AM$10:$AM$509,MATCH(SUBSTITUTE(SUBSTITUTE(SUBSTITUTE("P:"&amp;A235,"~","~~"),"*","~*"),"?","~?"),Processos!$AS$10:$AS$509,0)))-9),0)</f>
        <v>0</v>
      </c>
      <c r="K235" s="34" t="str">
        <f t="shared" si="15"/>
        <v/>
      </c>
      <c r="L235" s="14">
        <f>ROW()</f>
        <v>235</v>
      </c>
    </row>
    <row r="236" spans="1:12" ht="60" customHeight="1">
      <c r="A236" s="41"/>
      <c r="B236" s="43"/>
      <c r="C236" s="44"/>
      <c r="D236" s="51"/>
      <c r="E236" s="44"/>
      <c r="F236" s="44"/>
      <c r="G236" s="34">
        <f t="shared" si="12"/>
        <v>0</v>
      </c>
      <c r="H236" s="34" t="str">
        <f t="shared" si="13"/>
        <v/>
      </c>
      <c r="I236" s="52" t="str">
        <f t="shared" si="14"/>
        <v/>
      </c>
      <c r="J236" s="34">
        <f>IF(AND(A236&lt;&gt;"",ISTEXT(A236),COUNTIFS(Processos!$AS$10:$AS$509,"="&amp;SUBSTITUTE(SUBSTITUTE(SUBSTITUTE("P:"&amp;A236,"~","~~"),"*","~*"),"?","~?"))=1),(IF(ISNA(MATCH(SUBSTITUTE(SUBSTITUTE(SUBSTITUTE("P:"&amp;A236,"~","~~"),"*","~*"),"?","~?"),Processos!$AS$10:$AS$509,0)),9,INDEX(Processos!$AM$10:$AM$509,MATCH(SUBSTITUTE(SUBSTITUTE(SUBSTITUTE("P:"&amp;A236,"~","~~"),"*","~*"),"?","~?"),Processos!$AS$10:$AS$509,0)))-9),0)</f>
        <v>0</v>
      </c>
      <c r="K236" s="34" t="str">
        <f t="shared" si="15"/>
        <v/>
      </c>
      <c r="L236" s="14">
        <f>ROW()</f>
        <v>236</v>
      </c>
    </row>
    <row r="237" spans="1:12" ht="60" customHeight="1">
      <c r="A237" s="41"/>
      <c r="B237" s="43"/>
      <c r="C237" s="44"/>
      <c r="D237" s="51"/>
      <c r="E237" s="44"/>
      <c r="F237" s="44"/>
      <c r="G237" s="34">
        <f t="shared" si="12"/>
        <v>0</v>
      </c>
      <c r="H237" s="34" t="str">
        <f t="shared" si="13"/>
        <v/>
      </c>
      <c r="I237" s="52" t="str">
        <f t="shared" si="14"/>
        <v/>
      </c>
      <c r="J237" s="34">
        <f>IF(AND(A237&lt;&gt;"",ISTEXT(A237),COUNTIFS(Processos!$AS$10:$AS$509,"="&amp;SUBSTITUTE(SUBSTITUTE(SUBSTITUTE("P:"&amp;A237,"~","~~"),"*","~*"),"?","~?"))=1),(IF(ISNA(MATCH(SUBSTITUTE(SUBSTITUTE(SUBSTITUTE("P:"&amp;A237,"~","~~"),"*","~*"),"?","~?"),Processos!$AS$10:$AS$509,0)),9,INDEX(Processos!$AM$10:$AM$509,MATCH(SUBSTITUTE(SUBSTITUTE(SUBSTITUTE("P:"&amp;A237,"~","~~"),"*","~*"),"?","~?"),Processos!$AS$10:$AS$509,0)))-9),0)</f>
        <v>0</v>
      </c>
      <c r="K237" s="34" t="str">
        <f t="shared" si="15"/>
        <v/>
      </c>
      <c r="L237" s="14">
        <f>ROW()</f>
        <v>237</v>
      </c>
    </row>
    <row r="238" spans="1:12" ht="60" customHeight="1">
      <c r="A238" s="41"/>
      <c r="B238" s="43"/>
      <c r="C238" s="44"/>
      <c r="D238" s="51"/>
      <c r="E238" s="44"/>
      <c r="F238" s="44"/>
      <c r="G238" s="34">
        <f t="shared" si="12"/>
        <v>0</v>
      </c>
      <c r="H238" s="34" t="str">
        <f t="shared" si="13"/>
        <v/>
      </c>
      <c r="I238" s="52" t="str">
        <f t="shared" si="14"/>
        <v/>
      </c>
      <c r="J238" s="34">
        <f>IF(AND(A238&lt;&gt;"",ISTEXT(A238),COUNTIFS(Processos!$AS$10:$AS$509,"="&amp;SUBSTITUTE(SUBSTITUTE(SUBSTITUTE("P:"&amp;A238,"~","~~"),"*","~*"),"?","~?"))=1),(IF(ISNA(MATCH(SUBSTITUTE(SUBSTITUTE(SUBSTITUTE("P:"&amp;A238,"~","~~"),"*","~*"),"?","~?"),Processos!$AS$10:$AS$509,0)),9,INDEX(Processos!$AM$10:$AM$509,MATCH(SUBSTITUTE(SUBSTITUTE(SUBSTITUTE("P:"&amp;A238,"~","~~"),"*","~*"),"?","~?"),Processos!$AS$10:$AS$509,0)))-9),0)</f>
        <v>0</v>
      </c>
      <c r="K238" s="34" t="str">
        <f t="shared" si="15"/>
        <v/>
      </c>
      <c r="L238" s="14">
        <f>ROW()</f>
        <v>238</v>
      </c>
    </row>
    <row r="239" spans="1:12" ht="60" customHeight="1">
      <c r="A239" s="41"/>
      <c r="B239" s="43"/>
      <c r="C239" s="44"/>
      <c r="D239" s="51"/>
      <c r="E239" s="44"/>
      <c r="F239" s="44"/>
      <c r="G239" s="34">
        <f t="shared" si="12"/>
        <v>0</v>
      </c>
      <c r="H239" s="34" t="str">
        <f t="shared" si="13"/>
        <v/>
      </c>
      <c r="I239" s="52" t="str">
        <f t="shared" si="14"/>
        <v/>
      </c>
      <c r="J239" s="34">
        <f>IF(AND(A239&lt;&gt;"",ISTEXT(A239),COUNTIFS(Processos!$AS$10:$AS$509,"="&amp;SUBSTITUTE(SUBSTITUTE(SUBSTITUTE("P:"&amp;A239,"~","~~"),"*","~*"),"?","~?"))=1),(IF(ISNA(MATCH(SUBSTITUTE(SUBSTITUTE(SUBSTITUTE("P:"&amp;A239,"~","~~"),"*","~*"),"?","~?"),Processos!$AS$10:$AS$509,0)),9,INDEX(Processos!$AM$10:$AM$509,MATCH(SUBSTITUTE(SUBSTITUTE(SUBSTITUTE("P:"&amp;A239,"~","~~"),"*","~*"),"?","~?"),Processos!$AS$10:$AS$509,0)))-9),0)</f>
        <v>0</v>
      </c>
      <c r="K239" s="34" t="str">
        <f t="shared" si="15"/>
        <v/>
      </c>
      <c r="L239" s="14">
        <f>ROW()</f>
        <v>239</v>
      </c>
    </row>
    <row r="240" spans="1:12" ht="60" customHeight="1">
      <c r="A240" s="41"/>
      <c r="B240" s="43"/>
      <c r="C240" s="44"/>
      <c r="D240" s="51"/>
      <c r="E240" s="44"/>
      <c r="F240" s="44"/>
      <c r="G240" s="34">
        <f t="shared" si="12"/>
        <v>0</v>
      </c>
      <c r="H240" s="34" t="str">
        <f t="shared" si="13"/>
        <v/>
      </c>
      <c r="I240" s="52" t="str">
        <f t="shared" si="14"/>
        <v/>
      </c>
      <c r="J240" s="34">
        <f>IF(AND(A240&lt;&gt;"",ISTEXT(A240),COUNTIFS(Processos!$AS$10:$AS$509,"="&amp;SUBSTITUTE(SUBSTITUTE(SUBSTITUTE("P:"&amp;A240,"~","~~"),"*","~*"),"?","~?"))=1),(IF(ISNA(MATCH(SUBSTITUTE(SUBSTITUTE(SUBSTITUTE("P:"&amp;A240,"~","~~"),"*","~*"),"?","~?"),Processos!$AS$10:$AS$509,0)),9,INDEX(Processos!$AM$10:$AM$509,MATCH(SUBSTITUTE(SUBSTITUTE(SUBSTITUTE("P:"&amp;A240,"~","~~"),"*","~*"),"?","~?"),Processos!$AS$10:$AS$509,0)))-9),0)</f>
        <v>0</v>
      </c>
      <c r="K240" s="34" t="str">
        <f t="shared" si="15"/>
        <v/>
      </c>
      <c r="L240" s="14">
        <f>ROW()</f>
        <v>240</v>
      </c>
    </row>
    <row r="241" spans="1:12" ht="60" customHeight="1">
      <c r="A241" s="41"/>
      <c r="B241" s="43"/>
      <c r="C241" s="44"/>
      <c r="D241" s="51"/>
      <c r="E241" s="44"/>
      <c r="F241" s="44"/>
      <c r="G241" s="34">
        <f t="shared" si="12"/>
        <v>0</v>
      </c>
      <c r="H241" s="34" t="str">
        <f t="shared" si="13"/>
        <v/>
      </c>
      <c r="I241" s="52" t="str">
        <f t="shared" si="14"/>
        <v/>
      </c>
      <c r="J241" s="34">
        <f>IF(AND(A241&lt;&gt;"",ISTEXT(A241),COUNTIFS(Processos!$AS$10:$AS$509,"="&amp;SUBSTITUTE(SUBSTITUTE(SUBSTITUTE("P:"&amp;A241,"~","~~"),"*","~*"),"?","~?"))=1),(IF(ISNA(MATCH(SUBSTITUTE(SUBSTITUTE(SUBSTITUTE("P:"&amp;A241,"~","~~"),"*","~*"),"?","~?"),Processos!$AS$10:$AS$509,0)),9,INDEX(Processos!$AM$10:$AM$509,MATCH(SUBSTITUTE(SUBSTITUTE(SUBSTITUTE("P:"&amp;A241,"~","~~"),"*","~*"),"?","~?"),Processos!$AS$10:$AS$509,0)))-9),0)</f>
        <v>0</v>
      </c>
      <c r="K241" s="34" t="str">
        <f t="shared" si="15"/>
        <v/>
      </c>
      <c r="L241" s="14">
        <f>ROW()</f>
        <v>241</v>
      </c>
    </row>
    <row r="242" spans="1:12" ht="60" customHeight="1">
      <c r="A242" s="41"/>
      <c r="B242" s="43"/>
      <c r="C242" s="44"/>
      <c r="D242" s="51"/>
      <c r="E242" s="44"/>
      <c r="F242" s="44"/>
      <c r="G242" s="34">
        <f t="shared" si="12"/>
        <v>0</v>
      </c>
      <c r="H242" s="34" t="str">
        <f t="shared" si="13"/>
        <v/>
      </c>
      <c r="I242" s="52" t="str">
        <f t="shared" si="14"/>
        <v/>
      </c>
      <c r="J242" s="34">
        <f>IF(AND(A242&lt;&gt;"",ISTEXT(A242),COUNTIFS(Processos!$AS$10:$AS$509,"="&amp;SUBSTITUTE(SUBSTITUTE(SUBSTITUTE("P:"&amp;A242,"~","~~"),"*","~*"),"?","~?"))=1),(IF(ISNA(MATCH(SUBSTITUTE(SUBSTITUTE(SUBSTITUTE("P:"&amp;A242,"~","~~"),"*","~*"),"?","~?"),Processos!$AS$10:$AS$509,0)),9,INDEX(Processos!$AM$10:$AM$509,MATCH(SUBSTITUTE(SUBSTITUTE(SUBSTITUTE("P:"&amp;A242,"~","~~"),"*","~*"),"?","~?"),Processos!$AS$10:$AS$509,0)))-9),0)</f>
        <v>0</v>
      </c>
      <c r="K242" s="34" t="str">
        <f t="shared" si="15"/>
        <v/>
      </c>
      <c r="L242" s="14">
        <f>ROW()</f>
        <v>242</v>
      </c>
    </row>
    <row r="243" spans="1:12" ht="60" customHeight="1">
      <c r="A243" s="41"/>
      <c r="B243" s="43"/>
      <c r="C243" s="44"/>
      <c r="D243" s="51"/>
      <c r="E243" s="44"/>
      <c r="F243" s="44"/>
      <c r="G243" s="34">
        <f t="shared" si="12"/>
        <v>0</v>
      </c>
      <c r="H243" s="34" t="str">
        <f t="shared" si="13"/>
        <v/>
      </c>
      <c r="I243" s="52" t="str">
        <f t="shared" si="14"/>
        <v/>
      </c>
      <c r="J243" s="34">
        <f>IF(AND(A243&lt;&gt;"",ISTEXT(A243),COUNTIFS(Processos!$AS$10:$AS$509,"="&amp;SUBSTITUTE(SUBSTITUTE(SUBSTITUTE("P:"&amp;A243,"~","~~"),"*","~*"),"?","~?"))=1),(IF(ISNA(MATCH(SUBSTITUTE(SUBSTITUTE(SUBSTITUTE("P:"&amp;A243,"~","~~"),"*","~*"),"?","~?"),Processos!$AS$10:$AS$509,0)),9,INDEX(Processos!$AM$10:$AM$509,MATCH(SUBSTITUTE(SUBSTITUTE(SUBSTITUTE("P:"&amp;A243,"~","~~"),"*","~*"),"?","~?"),Processos!$AS$10:$AS$509,0)))-9),0)</f>
        <v>0</v>
      </c>
      <c r="K243" s="34" t="str">
        <f t="shared" si="15"/>
        <v/>
      </c>
      <c r="L243" s="14">
        <f>ROW()</f>
        <v>243</v>
      </c>
    </row>
    <row r="244" spans="1:12" ht="60" customHeight="1">
      <c r="A244" s="41"/>
      <c r="B244" s="43"/>
      <c r="C244" s="44"/>
      <c r="D244" s="51"/>
      <c r="E244" s="44"/>
      <c r="F244" s="44"/>
      <c r="G244" s="34">
        <f t="shared" si="12"/>
        <v>0</v>
      </c>
      <c r="H244" s="34" t="str">
        <f t="shared" si="13"/>
        <v/>
      </c>
      <c r="I244" s="52" t="str">
        <f t="shared" si="14"/>
        <v/>
      </c>
      <c r="J244" s="34">
        <f>IF(AND(A244&lt;&gt;"",ISTEXT(A244),COUNTIFS(Processos!$AS$10:$AS$509,"="&amp;SUBSTITUTE(SUBSTITUTE(SUBSTITUTE("P:"&amp;A244,"~","~~"),"*","~*"),"?","~?"))=1),(IF(ISNA(MATCH(SUBSTITUTE(SUBSTITUTE(SUBSTITUTE("P:"&amp;A244,"~","~~"),"*","~*"),"?","~?"),Processos!$AS$10:$AS$509,0)),9,INDEX(Processos!$AM$10:$AM$509,MATCH(SUBSTITUTE(SUBSTITUTE(SUBSTITUTE("P:"&amp;A244,"~","~~"),"*","~*"),"?","~?"),Processos!$AS$10:$AS$509,0)))-9),0)</f>
        <v>0</v>
      </c>
      <c r="K244" s="34" t="str">
        <f t="shared" si="15"/>
        <v/>
      </c>
      <c r="L244" s="14">
        <f>ROW()</f>
        <v>244</v>
      </c>
    </row>
    <row r="245" spans="1:12" ht="60" customHeight="1">
      <c r="A245" s="41"/>
      <c r="B245" s="43"/>
      <c r="C245" s="44"/>
      <c r="D245" s="51"/>
      <c r="E245" s="44"/>
      <c r="F245" s="44"/>
      <c r="G245" s="34">
        <f t="shared" si="12"/>
        <v>0</v>
      </c>
      <c r="H245" s="34" t="str">
        <f t="shared" si="13"/>
        <v/>
      </c>
      <c r="I245" s="52" t="str">
        <f t="shared" si="14"/>
        <v/>
      </c>
      <c r="J245" s="34">
        <f>IF(AND(A245&lt;&gt;"",ISTEXT(A245),COUNTIFS(Processos!$AS$10:$AS$509,"="&amp;SUBSTITUTE(SUBSTITUTE(SUBSTITUTE("P:"&amp;A245,"~","~~"),"*","~*"),"?","~?"))=1),(IF(ISNA(MATCH(SUBSTITUTE(SUBSTITUTE(SUBSTITUTE("P:"&amp;A245,"~","~~"),"*","~*"),"?","~?"),Processos!$AS$10:$AS$509,0)),9,INDEX(Processos!$AM$10:$AM$509,MATCH(SUBSTITUTE(SUBSTITUTE(SUBSTITUTE("P:"&amp;A245,"~","~~"),"*","~*"),"?","~?"),Processos!$AS$10:$AS$509,0)))-9),0)</f>
        <v>0</v>
      </c>
      <c r="K245" s="34" t="str">
        <f t="shared" si="15"/>
        <v/>
      </c>
      <c r="L245" s="14">
        <f>ROW()</f>
        <v>245</v>
      </c>
    </row>
    <row r="246" spans="1:12" ht="60" customHeight="1">
      <c r="A246" s="41"/>
      <c r="B246" s="43"/>
      <c r="C246" s="44"/>
      <c r="D246" s="51"/>
      <c r="E246" s="44"/>
      <c r="F246" s="44"/>
      <c r="G246" s="34">
        <f t="shared" si="12"/>
        <v>0</v>
      </c>
      <c r="H246" s="34" t="str">
        <f t="shared" si="13"/>
        <v/>
      </c>
      <c r="I246" s="52" t="str">
        <f t="shared" si="14"/>
        <v/>
      </c>
      <c r="J246" s="34">
        <f>IF(AND(A246&lt;&gt;"",ISTEXT(A246),COUNTIFS(Processos!$AS$10:$AS$509,"="&amp;SUBSTITUTE(SUBSTITUTE(SUBSTITUTE("P:"&amp;A246,"~","~~"),"*","~*"),"?","~?"))=1),(IF(ISNA(MATCH(SUBSTITUTE(SUBSTITUTE(SUBSTITUTE("P:"&amp;A246,"~","~~"),"*","~*"),"?","~?"),Processos!$AS$10:$AS$509,0)),9,INDEX(Processos!$AM$10:$AM$509,MATCH(SUBSTITUTE(SUBSTITUTE(SUBSTITUTE("P:"&amp;A246,"~","~~"),"*","~*"),"?","~?"),Processos!$AS$10:$AS$509,0)))-9),0)</f>
        <v>0</v>
      </c>
      <c r="K246" s="34" t="str">
        <f t="shared" si="15"/>
        <v/>
      </c>
      <c r="L246" s="14">
        <f>ROW()</f>
        <v>246</v>
      </c>
    </row>
    <row r="247" spans="1:12" ht="60" customHeight="1">
      <c r="A247" s="41"/>
      <c r="B247" s="43"/>
      <c r="C247" s="44"/>
      <c r="D247" s="51"/>
      <c r="E247" s="44"/>
      <c r="F247" s="44"/>
      <c r="G247" s="34">
        <f t="shared" si="12"/>
        <v>0</v>
      </c>
      <c r="H247" s="34" t="str">
        <f t="shared" si="13"/>
        <v/>
      </c>
      <c r="I247" s="52" t="str">
        <f t="shared" si="14"/>
        <v/>
      </c>
      <c r="J247" s="34">
        <f>IF(AND(A247&lt;&gt;"",ISTEXT(A247),COUNTIFS(Processos!$AS$10:$AS$509,"="&amp;SUBSTITUTE(SUBSTITUTE(SUBSTITUTE("P:"&amp;A247,"~","~~"),"*","~*"),"?","~?"))=1),(IF(ISNA(MATCH(SUBSTITUTE(SUBSTITUTE(SUBSTITUTE("P:"&amp;A247,"~","~~"),"*","~*"),"?","~?"),Processos!$AS$10:$AS$509,0)),9,INDEX(Processos!$AM$10:$AM$509,MATCH(SUBSTITUTE(SUBSTITUTE(SUBSTITUTE("P:"&amp;A247,"~","~~"),"*","~*"),"?","~?"),Processos!$AS$10:$AS$509,0)))-9),0)</f>
        <v>0</v>
      </c>
      <c r="K247" s="34" t="str">
        <f t="shared" si="15"/>
        <v/>
      </c>
      <c r="L247" s="14">
        <f>ROW()</f>
        <v>247</v>
      </c>
    </row>
    <row r="248" spans="1:12" ht="60" customHeight="1">
      <c r="A248" s="41"/>
      <c r="B248" s="43"/>
      <c r="C248" s="44"/>
      <c r="D248" s="51"/>
      <c r="E248" s="44"/>
      <c r="F248" s="44"/>
      <c r="G248" s="34">
        <f t="shared" si="12"/>
        <v>0</v>
      </c>
      <c r="H248" s="34" t="str">
        <f t="shared" si="13"/>
        <v/>
      </c>
      <c r="I248" s="52" t="str">
        <f t="shared" si="14"/>
        <v/>
      </c>
      <c r="J248" s="34">
        <f>IF(AND(A248&lt;&gt;"",ISTEXT(A248),COUNTIFS(Processos!$AS$10:$AS$509,"="&amp;SUBSTITUTE(SUBSTITUTE(SUBSTITUTE("P:"&amp;A248,"~","~~"),"*","~*"),"?","~?"))=1),(IF(ISNA(MATCH(SUBSTITUTE(SUBSTITUTE(SUBSTITUTE("P:"&amp;A248,"~","~~"),"*","~*"),"?","~?"),Processos!$AS$10:$AS$509,0)),9,INDEX(Processos!$AM$10:$AM$509,MATCH(SUBSTITUTE(SUBSTITUTE(SUBSTITUTE("P:"&amp;A248,"~","~~"),"*","~*"),"?","~?"),Processos!$AS$10:$AS$509,0)))-9),0)</f>
        <v>0</v>
      </c>
      <c r="K248" s="34" t="str">
        <f t="shared" si="15"/>
        <v/>
      </c>
      <c r="L248" s="14">
        <f>ROW()</f>
        <v>248</v>
      </c>
    </row>
    <row r="249" spans="1:12" ht="60" customHeight="1">
      <c r="A249" s="41"/>
      <c r="B249" s="43"/>
      <c r="C249" s="44"/>
      <c r="D249" s="51"/>
      <c r="E249" s="44"/>
      <c r="F249" s="44"/>
      <c r="G249" s="34">
        <f t="shared" si="12"/>
        <v>0</v>
      </c>
      <c r="H249" s="34" t="str">
        <f t="shared" si="13"/>
        <v/>
      </c>
      <c r="I249" s="52" t="str">
        <f t="shared" si="14"/>
        <v/>
      </c>
      <c r="J249" s="34">
        <f>IF(AND(A249&lt;&gt;"",ISTEXT(A249),COUNTIFS(Processos!$AS$10:$AS$509,"="&amp;SUBSTITUTE(SUBSTITUTE(SUBSTITUTE("P:"&amp;A249,"~","~~"),"*","~*"),"?","~?"))=1),(IF(ISNA(MATCH(SUBSTITUTE(SUBSTITUTE(SUBSTITUTE("P:"&amp;A249,"~","~~"),"*","~*"),"?","~?"),Processos!$AS$10:$AS$509,0)),9,INDEX(Processos!$AM$10:$AM$509,MATCH(SUBSTITUTE(SUBSTITUTE(SUBSTITUTE("P:"&amp;A249,"~","~~"),"*","~*"),"?","~?"),Processos!$AS$10:$AS$509,0)))-9),0)</f>
        <v>0</v>
      </c>
      <c r="K249" s="34" t="str">
        <f t="shared" si="15"/>
        <v/>
      </c>
      <c r="L249" s="14">
        <f>ROW()</f>
        <v>249</v>
      </c>
    </row>
    <row r="250" spans="1:12" ht="60" customHeight="1">
      <c r="A250" s="41"/>
      <c r="B250" s="43"/>
      <c r="C250" s="44"/>
      <c r="D250" s="51"/>
      <c r="E250" s="44"/>
      <c r="F250" s="44"/>
      <c r="G250" s="34">
        <f t="shared" si="12"/>
        <v>0</v>
      </c>
      <c r="H250" s="34" t="str">
        <f t="shared" si="13"/>
        <v/>
      </c>
      <c r="I250" s="52" t="str">
        <f t="shared" si="14"/>
        <v/>
      </c>
      <c r="J250" s="34">
        <f>IF(AND(A250&lt;&gt;"",ISTEXT(A250),COUNTIFS(Processos!$AS$10:$AS$509,"="&amp;SUBSTITUTE(SUBSTITUTE(SUBSTITUTE("P:"&amp;A250,"~","~~"),"*","~*"),"?","~?"))=1),(IF(ISNA(MATCH(SUBSTITUTE(SUBSTITUTE(SUBSTITUTE("P:"&amp;A250,"~","~~"),"*","~*"),"?","~?"),Processos!$AS$10:$AS$509,0)),9,INDEX(Processos!$AM$10:$AM$509,MATCH(SUBSTITUTE(SUBSTITUTE(SUBSTITUTE("P:"&amp;A250,"~","~~"),"*","~*"),"?","~?"),Processos!$AS$10:$AS$509,0)))-9),0)</f>
        <v>0</v>
      </c>
      <c r="K250" s="34" t="str">
        <f t="shared" si="15"/>
        <v/>
      </c>
      <c r="L250" s="14">
        <f>ROW()</f>
        <v>250</v>
      </c>
    </row>
    <row r="251" spans="1:12" ht="60" customHeight="1">
      <c r="A251" s="41"/>
      <c r="B251" s="43"/>
      <c r="C251" s="44"/>
      <c r="D251" s="51"/>
      <c r="E251" s="44"/>
      <c r="F251" s="44"/>
      <c r="G251" s="34">
        <f t="shared" si="12"/>
        <v>0</v>
      </c>
      <c r="H251" s="34" t="str">
        <f t="shared" si="13"/>
        <v/>
      </c>
      <c r="I251" s="52" t="str">
        <f t="shared" si="14"/>
        <v/>
      </c>
      <c r="J251" s="34">
        <f>IF(AND(A251&lt;&gt;"",ISTEXT(A251),COUNTIFS(Processos!$AS$10:$AS$509,"="&amp;SUBSTITUTE(SUBSTITUTE(SUBSTITUTE("P:"&amp;A251,"~","~~"),"*","~*"),"?","~?"))=1),(IF(ISNA(MATCH(SUBSTITUTE(SUBSTITUTE(SUBSTITUTE("P:"&amp;A251,"~","~~"),"*","~*"),"?","~?"),Processos!$AS$10:$AS$509,0)),9,INDEX(Processos!$AM$10:$AM$509,MATCH(SUBSTITUTE(SUBSTITUTE(SUBSTITUTE("P:"&amp;A251,"~","~~"),"*","~*"),"?","~?"),Processos!$AS$10:$AS$509,0)))-9),0)</f>
        <v>0</v>
      </c>
      <c r="K251" s="34" t="str">
        <f t="shared" si="15"/>
        <v/>
      </c>
      <c r="L251" s="14">
        <f>ROW()</f>
        <v>251</v>
      </c>
    </row>
    <row r="252" spans="1:12" ht="60" customHeight="1">
      <c r="A252" s="41"/>
      <c r="B252" s="43"/>
      <c r="C252" s="44"/>
      <c r="D252" s="51"/>
      <c r="E252" s="44"/>
      <c r="F252" s="44"/>
      <c r="G252" s="34">
        <f t="shared" si="12"/>
        <v>0</v>
      </c>
      <c r="H252" s="34" t="str">
        <f t="shared" si="13"/>
        <v/>
      </c>
      <c r="I252" s="52" t="str">
        <f t="shared" si="14"/>
        <v/>
      </c>
      <c r="J252" s="34">
        <f>IF(AND(A252&lt;&gt;"",ISTEXT(A252),COUNTIFS(Processos!$AS$10:$AS$509,"="&amp;SUBSTITUTE(SUBSTITUTE(SUBSTITUTE("P:"&amp;A252,"~","~~"),"*","~*"),"?","~?"))=1),(IF(ISNA(MATCH(SUBSTITUTE(SUBSTITUTE(SUBSTITUTE("P:"&amp;A252,"~","~~"),"*","~*"),"?","~?"),Processos!$AS$10:$AS$509,0)),9,INDEX(Processos!$AM$10:$AM$509,MATCH(SUBSTITUTE(SUBSTITUTE(SUBSTITUTE("P:"&amp;A252,"~","~~"),"*","~*"),"?","~?"),Processos!$AS$10:$AS$509,0)))-9),0)</f>
        <v>0</v>
      </c>
      <c r="K252" s="34" t="str">
        <f t="shared" si="15"/>
        <v/>
      </c>
      <c r="L252" s="14">
        <f>ROW()</f>
        <v>252</v>
      </c>
    </row>
    <row r="253" spans="1:12" ht="60" customHeight="1">
      <c r="A253" s="41"/>
      <c r="B253" s="43"/>
      <c r="C253" s="44"/>
      <c r="D253" s="51"/>
      <c r="E253" s="44"/>
      <c r="F253" s="44"/>
      <c r="G253" s="34">
        <f t="shared" si="12"/>
        <v>0</v>
      </c>
      <c r="H253" s="34" t="str">
        <f t="shared" si="13"/>
        <v/>
      </c>
      <c r="I253" s="52" t="str">
        <f t="shared" si="14"/>
        <v/>
      </c>
      <c r="J253" s="34">
        <f>IF(AND(A253&lt;&gt;"",ISTEXT(A253),COUNTIFS(Processos!$AS$10:$AS$509,"="&amp;SUBSTITUTE(SUBSTITUTE(SUBSTITUTE("P:"&amp;A253,"~","~~"),"*","~*"),"?","~?"))=1),(IF(ISNA(MATCH(SUBSTITUTE(SUBSTITUTE(SUBSTITUTE("P:"&amp;A253,"~","~~"),"*","~*"),"?","~?"),Processos!$AS$10:$AS$509,0)),9,INDEX(Processos!$AM$10:$AM$509,MATCH(SUBSTITUTE(SUBSTITUTE(SUBSTITUTE("P:"&amp;A253,"~","~~"),"*","~*"),"?","~?"),Processos!$AS$10:$AS$509,0)))-9),0)</f>
        <v>0</v>
      </c>
      <c r="K253" s="34" t="str">
        <f t="shared" si="15"/>
        <v/>
      </c>
      <c r="L253" s="14">
        <f>ROW()</f>
        <v>253</v>
      </c>
    </row>
    <row r="254" spans="1:12" ht="60" customHeight="1">
      <c r="A254" s="41"/>
      <c r="B254" s="43"/>
      <c r="C254" s="44"/>
      <c r="D254" s="51"/>
      <c r="E254" s="44"/>
      <c r="F254" s="44"/>
      <c r="G254" s="34">
        <f t="shared" si="12"/>
        <v>0</v>
      </c>
      <c r="H254" s="34" t="str">
        <f t="shared" si="13"/>
        <v/>
      </c>
      <c r="I254" s="52" t="str">
        <f t="shared" si="14"/>
        <v/>
      </c>
      <c r="J254" s="34">
        <f>IF(AND(A254&lt;&gt;"",ISTEXT(A254),COUNTIFS(Processos!$AS$10:$AS$509,"="&amp;SUBSTITUTE(SUBSTITUTE(SUBSTITUTE("P:"&amp;A254,"~","~~"),"*","~*"),"?","~?"))=1),(IF(ISNA(MATCH(SUBSTITUTE(SUBSTITUTE(SUBSTITUTE("P:"&amp;A254,"~","~~"),"*","~*"),"?","~?"),Processos!$AS$10:$AS$509,0)),9,INDEX(Processos!$AM$10:$AM$509,MATCH(SUBSTITUTE(SUBSTITUTE(SUBSTITUTE("P:"&amp;A254,"~","~~"),"*","~*"),"?","~?"),Processos!$AS$10:$AS$509,0)))-9),0)</f>
        <v>0</v>
      </c>
      <c r="K254" s="34" t="str">
        <f t="shared" si="15"/>
        <v/>
      </c>
      <c r="L254" s="14">
        <f>ROW()</f>
        <v>254</v>
      </c>
    </row>
    <row r="255" spans="1:12" ht="60" customHeight="1">
      <c r="A255" s="41"/>
      <c r="B255" s="43"/>
      <c r="C255" s="44"/>
      <c r="D255" s="51"/>
      <c r="E255" s="44"/>
      <c r="F255" s="44"/>
      <c r="G255" s="34">
        <f t="shared" si="12"/>
        <v>0</v>
      </c>
      <c r="H255" s="34" t="str">
        <f t="shared" si="13"/>
        <v/>
      </c>
      <c r="I255" s="52" t="str">
        <f t="shared" si="14"/>
        <v/>
      </c>
      <c r="J255" s="34">
        <f>IF(AND(A255&lt;&gt;"",ISTEXT(A255),COUNTIFS(Processos!$AS$10:$AS$509,"="&amp;SUBSTITUTE(SUBSTITUTE(SUBSTITUTE("P:"&amp;A255,"~","~~"),"*","~*"),"?","~?"))=1),(IF(ISNA(MATCH(SUBSTITUTE(SUBSTITUTE(SUBSTITUTE("P:"&amp;A255,"~","~~"),"*","~*"),"?","~?"),Processos!$AS$10:$AS$509,0)),9,INDEX(Processos!$AM$10:$AM$509,MATCH(SUBSTITUTE(SUBSTITUTE(SUBSTITUTE("P:"&amp;A255,"~","~~"),"*","~*"),"?","~?"),Processos!$AS$10:$AS$509,0)))-9),0)</f>
        <v>0</v>
      </c>
      <c r="K255" s="34" t="str">
        <f t="shared" si="15"/>
        <v/>
      </c>
      <c r="L255" s="14">
        <f>ROW()</f>
        <v>255</v>
      </c>
    </row>
    <row r="256" spans="1:12" ht="60" customHeight="1">
      <c r="A256" s="41"/>
      <c r="B256" s="43"/>
      <c r="C256" s="44"/>
      <c r="D256" s="51"/>
      <c r="E256" s="44"/>
      <c r="F256" s="44"/>
      <c r="G256" s="34">
        <f t="shared" si="12"/>
        <v>0</v>
      </c>
      <c r="H256" s="34" t="str">
        <f t="shared" si="13"/>
        <v/>
      </c>
      <c r="I256" s="52" t="str">
        <f t="shared" si="14"/>
        <v/>
      </c>
      <c r="J256" s="34">
        <f>IF(AND(A256&lt;&gt;"",ISTEXT(A256),COUNTIFS(Processos!$AS$10:$AS$509,"="&amp;SUBSTITUTE(SUBSTITUTE(SUBSTITUTE("P:"&amp;A256,"~","~~"),"*","~*"),"?","~?"))=1),(IF(ISNA(MATCH(SUBSTITUTE(SUBSTITUTE(SUBSTITUTE("P:"&amp;A256,"~","~~"),"*","~*"),"?","~?"),Processos!$AS$10:$AS$509,0)),9,INDEX(Processos!$AM$10:$AM$509,MATCH(SUBSTITUTE(SUBSTITUTE(SUBSTITUTE("P:"&amp;A256,"~","~~"),"*","~*"),"?","~?"),Processos!$AS$10:$AS$509,0)))-9),0)</f>
        <v>0</v>
      </c>
      <c r="K256" s="34" t="str">
        <f t="shared" si="15"/>
        <v/>
      </c>
      <c r="L256" s="14">
        <f>ROW()</f>
        <v>256</v>
      </c>
    </row>
    <row r="257" spans="1:12" ht="60" customHeight="1">
      <c r="A257" s="41"/>
      <c r="B257" s="43"/>
      <c r="C257" s="44"/>
      <c r="D257" s="51"/>
      <c r="E257" s="44"/>
      <c r="F257" s="44"/>
      <c r="G257" s="34">
        <f t="shared" si="12"/>
        <v>0</v>
      </c>
      <c r="H257" s="34" t="str">
        <f t="shared" si="13"/>
        <v/>
      </c>
      <c r="I257" s="52" t="str">
        <f t="shared" si="14"/>
        <v/>
      </c>
      <c r="J257" s="34">
        <f>IF(AND(A257&lt;&gt;"",ISTEXT(A257),COUNTIFS(Processos!$AS$10:$AS$509,"="&amp;SUBSTITUTE(SUBSTITUTE(SUBSTITUTE("P:"&amp;A257,"~","~~"),"*","~*"),"?","~?"))=1),(IF(ISNA(MATCH(SUBSTITUTE(SUBSTITUTE(SUBSTITUTE("P:"&amp;A257,"~","~~"),"*","~*"),"?","~?"),Processos!$AS$10:$AS$509,0)),9,INDEX(Processos!$AM$10:$AM$509,MATCH(SUBSTITUTE(SUBSTITUTE(SUBSTITUTE("P:"&amp;A257,"~","~~"),"*","~*"),"?","~?"),Processos!$AS$10:$AS$509,0)))-9),0)</f>
        <v>0</v>
      </c>
      <c r="K257" s="34" t="str">
        <f t="shared" si="15"/>
        <v/>
      </c>
      <c r="L257" s="14">
        <f>ROW()</f>
        <v>257</v>
      </c>
    </row>
    <row r="258" spans="1:12" ht="60" customHeight="1">
      <c r="A258" s="41"/>
      <c r="B258" s="43"/>
      <c r="C258" s="44"/>
      <c r="D258" s="51"/>
      <c r="E258" s="44"/>
      <c r="F258" s="44"/>
      <c r="G258" s="34">
        <f t="shared" si="12"/>
        <v>0</v>
      </c>
      <c r="H258" s="34" t="str">
        <f t="shared" si="13"/>
        <v/>
      </c>
      <c r="I258" s="52" t="str">
        <f t="shared" si="14"/>
        <v/>
      </c>
      <c r="J258" s="34">
        <f>IF(AND(A258&lt;&gt;"",ISTEXT(A258),COUNTIFS(Processos!$AS$10:$AS$509,"="&amp;SUBSTITUTE(SUBSTITUTE(SUBSTITUTE("P:"&amp;A258,"~","~~"),"*","~*"),"?","~?"))=1),(IF(ISNA(MATCH(SUBSTITUTE(SUBSTITUTE(SUBSTITUTE("P:"&amp;A258,"~","~~"),"*","~*"),"?","~?"),Processos!$AS$10:$AS$509,0)),9,INDEX(Processos!$AM$10:$AM$509,MATCH(SUBSTITUTE(SUBSTITUTE(SUBSTITUTE("P:"&amp;A258,"~","~~"),"*","~*"),"?","~?"),Processos!$AS$10:$AS$509,0)))-9),0)</f>
        <v>0</v>
      </c>
      <c r="K258" s="34" t="str">
        <f t="shared" si="15"/>
        <v/>
      </c>
      <c r="L258" s="14">
        <f>ROW()</f>
        <v>258</v>
      </c>
    </row>
    <row r="259" spans="1:12" ht="60" customHeight="1">
      <c r="A259" s="41"/>
      <c r="B259" s="43"/>
      <c r="C259" s="44"/>
      <c r="D259" s="51"/>
      <c r="E259" s="44"/>
      <c r="F259" s="44"/>
      <c r="G259" s="34">
        <f t="shared" si="12"/>
        <v>0</v>
      </c>
      <c r="H259" s="34" t="str">
        <f t="shared" si="13"/>
        <v/>
      </c>
      <c r="I259" s="52" t="str">
        <f t="shared" si="14"/>
        <v/>
      </c>
      <c r="J259" s="34">
        <f>IF(AND(A259&lt;&gt;"",ISTEXT(A259),COUNTIFS(Processos!$AS$10:$AS$509,"="&amp;SUBSTITUTE(SUBSTITUTE(SUBSTITUTE("P:"&amp;A259,"~","~~"),"*","~*"),"?","~?"))=1),(IF(ISNA(MATCH(SUBSTITUTE(SUBSTITUTE(SUBSTITUTE("P:"&amp;A259,"~","~~"),"*","~*"),"?","~?"),Processos!$AS$10:$AS$509,0)),9,INDEX(Processos!$AM$10:$AM$509,MATCH(SUBSTITUTE(SUBSTITUTE(SUBSTITUTE("P:"&amp;A259,"~","~~"),"*","~*"),"?","~?"),Processos!$AS$10:$AS$509,0)))-9),0)</f>
        <v>0</v>
      </c>
      <c r="K259" s="34" t="str">
        <f t="shared" si="15"/>
        <v/>
      </c>
      <c r="L259" s="14">
        <f>ROW()</f>
        <v>259</v>
      </c>
    </row>
    <row r="260" spans="1:12" ht="60" customHeight="1">
      <c r="A260" s="41"/>
      <c r="B260" s="43"/>
      <c r="C260" s="44"/>
      <c r="D260" s="51"/>
      <c r="E260" s="44"/>
      <c r="F260" s="44"/>
      <c r="G260" s="34">
        <f t="shared" si="12"/>
        <v>0</v>
      </c>
      <c r="H260" s="34" t="str">
        <f t="shared" si="13"/>
        <v/>
      </c>
      <c r="I260" s="52" t="str">
        <f t="shared" si="14"/>
        <v/>
      </c>
      <c r="J260" s="34">
        <f>IF(AND(A260&lt;&gt;"",ISTEXT(A260),COUNTIFS(Processos!$AS$10:$AS$509,"="&amp;SUBSTITUTE(SUBSTITUTE(SUBSTITUTE("P:"&amp;A260,"~","~~"),"*","~*"),"?","~?"))=1),(IF(ISNA(MATCH(SUBSTITUTE(SUBSTITUTE(SUBSTITUTE("P:"&amp;A260,"~","~~"),"*","~*"),"?","~?"),Processos!$AS$10:$AS$509,0)),9,INDEX(Processos!$AM$10:$AM$509,MATCH(SUBSTITUTE(SUBSTITUTE(SUBSTITUTE("P:"&amp;A260,"~","~~"),"*","~*"),"?","~?"),Processos!$AS$10:$AS$509,0)))-9),0)</f>
        <v>0</v>
      </c>
      <c r="K260" s="34" t="str">
        <f t="shared" si="15"/>
        <v/>
      </c>
      <c r="L260" s="14">
        <f>ROW()</f>
        <v>260</v>
      </c>
    </row>
    <row r="261" spans="1:12" ht="60" customHeight="1">
      <c r="A261" s="41"/>
      <c r="B261" s="43"/>
      <c r="C261" s="44"/>
      <c r="D261" s="51"/>
      <c r="E261" s="44"/>
      <c r="F261" s="44"/>
      <c r="G261" s="34">
        <f t="shared" si="12"/>
        <v>0</v>
      </c>
      <c r="H261" s="34" t="str">
        <f t="shared" si="13"/>
        <v/>
      </c>
      <c r="I261" s="52" t="str">
        <f t="shared" si="14"/>
        <v/>
      </c>
      <c r="J261" s="34">
        <f>IF(AND(A261&lt;&gt;"",ISTEXT(A261),COUNTIFS(Processos!$AS$10:$AS$509,"="&amp;SUBSTITUTE(SUBSTITUTE(SUBSTITUTE("P:"&amp;A261,"~","~~"),"*","~*"),"?","~?"))=1),(IF(ISNA(MATCH(SUBSTITUTE(SUBSTITUTE(SUBSTITUTE("P:"&amp;A261,"~","~~"),"*","~*"),"?","~?"),Processos!$AS$10:$AS$509,0)),9,INDEX(Processos!$AM$10:$AM$509,MATCH(SUBSTITUTE(SUBSTITUTE(SUBSTITUTE("P:"&amp;A261,"~","~~"),"*","~*"),"?","~?"),Processos!$AS$10:$AS$509,0)))-9),0)</f>
        <v>0</v>
      </c>
      <c r="K261" s="34" t="str">
        <f t="shared" si="15"/>
        <v/>
      </c>
      <c r="L261" s="14">
        <f>ROW()</f>
        <v>261</v>
      </c>
    </row>
    <row r="262" spans="1:12" ht="60" customHeight="1">
      <c r="A262" s="41"/>
      <c r="B262" s="43"/>
      <c r="C262" s="44"/>
      <c r="D262" s="51"/>
      <c r="E262" s="44"/>
      <c r="F262" s="44"/>
      <c r="G262" s="34">
        <f t="shared" si="12"/>
        <v>0</v>
      </c>
      <c r="H262" s="34" t="str">
        <f t="shared" si="13"/>
        <v/>
      </c>
      <c r="I262" s="52" t="str">
        <f t="shared" si="14"/>
        <v/>
      </c>
      <c r="J262" s="34">
        <f>IF(AND(A262&lt;&gt;"",ISTEXT(A262),COUNTIFS(Processos!$AS$10:$AS$509,"="&amp;SUBSTITUTE(SUBSTITUTE(SUBSTITUTE("P:"&amp;A262,"~","~~"),"*","~*"),"?","~?"))=1),(IF(ISNA(MATCH(SUBSTITUTE(SUBSTITUTE(SUBSTITUTE("P:"&amp;A262,"~","~~"),"*","~*"),"?","~?"),Processos!$AS$10:$AS$509,0)),9,INDEX(Processos!$AM$10:$AM$509,MATCH(SUBSTITUTE(SUBSTITUTE(SUBSTITUTE("P:"&amp;A262,"~","~~"),"*","~*"),"?","~?"),Processos!$AS$10:$AS$509,0)))-9),0)</f>
        <v>0</v>
      </c>
      <c r="K262" s="34" t="str">
        <f t="shared" si="15"/>
        <v/>
      </c>
      <c r="L262" s="14">
        <f>ROW()</f>
        <v>262</v>
      </c>
    </row>
    <row r="263" spans="1:12" ht="60" customHeight="1">
      <c r="A263" s="41"/>
      <c r="B263" s="43"/>
      <c r="C263" s="44"/>
      <c r="D263" s="51"/>
      <c r="E263" s="44"/>
      <c r="F263" s="44"/>
      <c r="G263" s="34">
        <f t="shared" si="12"/>
        <v>0</v>
      </c>
      <c r="H263" s="34" t="str">
        <f t="shared" si="13"/>
        <v/>
      </c>
      <c r="I263" s="52" t="str">
        <f t="shared" si="14"/>
        <v/>
      </c>
      <c r="J263" s="34">
        <f>IF(AND(A263&lt;&gt;"",ISTEXT(A263),COUNTIFS(Processos!$AS$10:$AS$509,"="&amp;SUBSTITUTE(SUBSTITUTE(SUBSTITUTE("P:"&amp;A263,"~","~~"),"*","~*"),"?","~?"))=1),(IF(ISNA(MATCH(SUBSTITUTE(SUBSTITUTE(SUBSTITUTE("P:"&amp;A263,"~","~~"),"*","~*"),"?","~?"),Processos!$AS$10:$AS$509,0)),9,INDEX(Processos!$AM$10:$AM$509,MATCH(SUBSTITUTE(SUBSTITUTE(SUBSTITUTE("P:"&amp;A263,"~","~~"),"*","~*"),"?","~?"),Processos!$AS$10:$AS$509,0)))-9),0)</f>
        <v>0</v>
      </c>
      <c r="K263" s="34" t="str">
        <f t="shared" si="15"/>
        <v/>
      </c>
      <c r="L263" s="14">
        <f>ROW()</f>
        <v>263</v>
      </c>
    </row>
    <row r="264" spans="1:12" ht="60" customHeight="1">
      <c r="A264" s="41"/>
      <c r="B264" s="43"/>
      <c r="C264" s="44"/>
      <c r="D264" s="51"/>
      <c r="E264" s="44"/>
      <c r="F264" s="44"/>
      <c r="G264" s="34">
        <f t="shared" si="12"/>
        <v>0</v>
      </c>
      <c r="H264" s="34" t="str">
        <f t="shared" si="13"/>
        <v/>
      </c>
      <c r="I264" s="52" t="str">
        <f t="shared" si="14"/>
        <v/>
      </c>
      <c r="J264" s="34">
        <f>IF(AND(A264&lt;&gt;"",ISTEXT(A264),COUNTIFS(Processos!$AS$10:$AS$509,"="&amp;SUBSTITUTE(SUBSTITUTE(SUBSTITUTE("P:"&amp;A264,"~","~~"),"*","~*"),"?","~?"))=1),(IF(ISNA(MATCH(SUBSTITUTE(SUBSTITUTE(SUBSTITUTE("P:"&amp;A264,"~","~~"),"*","~*"),"?","~?"),Processos!$AS$10:$AS$509,0)),9,INDEX(Processos!$AM$10:$AM$509,MATCH(SUBSTITUTE(SUBSTITUTE(SUBSTITUTE("P:"&amp;A264,"~","~~"),"*","~*"),"?","~?"),Processos!$AS$10:$AS$509,0)))-9),0)</f>
        <v>0</v>
      </c>
      <c r="K264" s="34" t="str">
        <f t="shared" si="15"/>
        <v/>
      </c>
      <c r="L264" s="14">
        <f>ROW()</f>
        <v>264</v>
      </c>
    </row>
    <row r="265" spans="1:12" ht="60" customHeight="1">
      <c r="A265" s="41"/>
      <c r="B265" s="43"/>
      <c r="C265" s="44"/>
      <c r="D265" s="51"/>
      <c r="E265" s="44"/>
      <c r="F265" s="44"/>
      <c r="G265" s="34">
        <f t="shared" si="12"/>
        <v>0</v>
      </c>
      <c r="H265" s="34" t="str">
        <f t="shared" si="13"/>
        <v/>
      </c>
      <c r="I265" s="52" t="str">
        <f t="shared" si="14"/>
        <v/>
      </c>
      <c r="J265" s="34">
        <f>IF(AND(A265&lt;&gt;"",ISTEXT(A265),COUNTIFS(Processos!$AS$10:$AS$509,"="&amp;SUBSTITUTE(SUBSTITUTE(SUBSTITUTE("P:"&amp;A265,"~","~~"),"*","~*"),"?","~?"))=1),(IF(ISNA(MATCH(SUBSTITUTE(SUBSTITUTE(SUBSTITUTE("P:"&amp;A265,"~","~~"),"*","~*"),"?","~?"),Processos!$AS$10:$AS$509,0)),9,INDEX(Processos!$AM$10:$AM$509,MATCH(SUBSTITUTE(SUBSTITUTE(SUBSTITUTE("P:"&amp;A265,"~","~~"),"*","~*"),"?","~?"),Processos!$AS$10:$AS$509,0)))-9),0)</f>
        <v>0</v>
      </c>
      <c r="K265" s="34" t="str">
        <f t="shared" si="15"/>
        <v/>
      </c>
      <c r="L265" s="14">
        <f>ROW()</f>
        <v>265</v>
      </c>
    </row>
    <row r="266" spans="1:12" ht="60" customHeight="1">
      <c r="A266" s="41"/>
      <c r="B266" s="43"/>
      <c r="C266" s="44"/>
      <c r="D266" s="51"/>
      <c r="E266" s="44"/>
      <c r="F266" s="44"/>
      <c r="G266" s="34">
        <f t="shared" ref="G266:G329" si="16">IF(AND(J266&gt;0,OR(B266="",AND(ISNUMBER(B266),B266&gt;=1,B266&lt;=100000)),ISNUMBER(D266),D266&gt;=1,D266&lt;=100000,C266&lt;&gt;""),1,0)</f>
        <v>0</v>
      </c>
      <c r="H266" s="34" t="str">
        <f t="shared" ref="H266:H329" si="17">IF(G266=1,K266&amp;"|"&amp;D266,"")</f>
        <v/>
      </c>
      <c r="I266" s="52" t="str">
        <f t="shared" ref="I266:I329" si="18">IF(COUNTA(A266:F266)=0,"",IF(A266="","Selecione o processo",IF(J266=0,"Processo inexistente, duplicado ou número não textual",IF(B266="","Informe a data do andamento",IF(C266="","Descreva o andamento",IF(D266="","Informe a data e hora do recebimento",IF(OR(NOT(ISNUMBER(B266)),B266&lt;1,B266&gt;100000),"Revise a data do andamento",IF(OR(NOT(ISNUMBER(D266)),D266&lt;1,D266&gt;100000),"Revise a data e hora do recebimento",IF(COUNTIFS($K$10:$K$2009,"="&amp;SUBSTITUTE(SUBSTITUTE(SUBSTITUTE("P:"&amp;A266,"~","~~"),"*","~*"),"?","~?"),$D$10:$D$2009,D266,$G$10:$G$2009,1)&gt;1,"Recebimentos empatados: revise a hora ou consolide o registro","")))))))))</f>
        <v/>
      </c>
      <c r="J266" s="34">
        <f>IF(AND(A266&lt;&gt;"",ISTEXT(A266),COUNTIFS(Processos!$AS$10:$AS$509,"="&amp;SUBSTITUTE(SUBSTITUTE(SUBSTITUTE("P:"&amp;A266,"~","~~"),"*","~*"),"?","~?"))=1),(IF(ISNA(MATCH(SUBSTITUTE(SUBSTITUTE(SUBSTITUTE("P:"&amp;A266,"~","~~"),"*","~*"),"?","~?"),Processos!$AS$10:$AS$509,0)),9,INDEX(Processos!$AM$10:$AM$509,MATCH(SUBSTITUTE(SUBSTITUTE(SUBSTITUTE("P:"&amp;A266,"~","~~"),"*","~*"),"?","~?"),Processos!$AS$10:$AS$509,0)))-9),0)</f>
        <v>0</v>
      </c>
      <c r="K266" s="34" t="str">
        <f t="shared" ref="K266:K329" si="19">IF(AND(A266&lt;&gt;"",ISTEXT(A266)),"P:"&amp;A266,"")</f>
        <v/>
      </c>
      <c r="L266" s="14">
        <f>ROW()</f>
        <v>266</v>
      </c>
    </row>
    <row r="267" spans="1:12" ht="60" customHeight="1">
      <c r="A267" s="41"/>
      <c r="B267" s="43"/>
      <c r="C267" s="44"/>
      <c r="D267" s="51"/>
      <c r="E267" s="44"/>
      <c r="F267" s="44"/>
      <c r="G267" s="34">
        <f t="shared" si="16"/>
        <v>0</v>
      </c>
      <c r="H267" s="34" t="str">
        <f t="shared" si="17"/>
        <v/>
      </c>
      <c r="I267" s="52" t="str">
        <f t="shared" si="18"/>
        <v/>
      </c>
      <c r="J267" s="34">
        <f>IF(AND(A267&lt;&gt;"",ISTEXT(A267),COUNTIFS(Processos!$AS$10:$AS$509,"="&amp;SUBSTITUTE(SUBSTITUTE(SUBSTITUTE("P:"&amp;A267,"~","~~"),"*","~*"),"?","~?"))=1),(IF(ISNA(MATCH(SUBSTITUTE(SUBSTITUTE(SUBSTITUTE("P:"&amp;A267,"~","~~"),"*","~*"),"?","~?"),Processos!$AS$10:$AS$509,0)),9,INDEX(Processos!$AM$10:$AM$509,MATCH(SUBSTITUTE(SUBSTITUTE(SUBSTITUTE("P:"&amp;A267,"~","~~"),"*","~*"),"?","~?"),Processos!$AS$10:$AS$509,0)))-9),0)</f>
        <v>0</v>
      </c>
      <c r="K267" s="34" t="str">
        <f t="shared" si="19"/>
        <v/>
      </c>
      <c r="L267" s="14">
        <f>ROW()</f>
        <v>267</v>
      </c>
    </row>
    <row r="268" spans="1:12" ht="60" customHeight="1">
      <c r="A268" s="41"/>
      <c r="B268" s="43"/>
      <c r="C268" s="44"/>
      <c r="D268" s="51"/>
      <c r="E268" s="44"/>
      <c r="F268" s="44"/>
      <c r="G268" s="34">
        <f t="shared" si="16"/>
        <v>0</v>
      </c>
      <c r="H268" s="34" t="str">
        <f t="shared" si="17"/>
        <v/>
      </c>
      <c r="I268" s="52" t="str">
        <f t="shared" si="18"/>
        <v/>
      </c>
      <c r="J268" s="34">
        <f>IF(AND(A268&lt;&gt;"",ISTEXT(A268),COUNTIFS(Processos!$AS$10:$AS$509,"="&amp;SUBSTITUTE(SUBSTITUTE(SUBSTITUTE("P:"&amp;A268,"~","~~"),"*","~*"),"?","~?"))=1),(IF(ISNA(MATCH(SUBSTITUTE(SUBSTITUTE(SUBSTITUTE("P:"&amp;A268,"~","~~"),"*","~*"),"?","~?"),Processos!$AS$10:$AS$509,0)),9,INDEX(Processos!$AM$10:$AM$509,MATCH(SUBSTITUTE(SUBSTITUTE(SUBSTITUTE("P:"&amp;A268,"~","~~"),"*","~*"),"?","~?"),Processos!$AS$10:$AS$509,0)))-9),0)</f>
        <v>0</v>
      </c>
      <c r="K268" s="34" t="str">
        <f t="shared" si="19"/>
        <v/>
      </c>
      <c r="L268" s="14">
        <f>ROW()</f>
        <v>268</v>
      </c>
    </row>
    <row r="269" spans="1:12" ht="60" customHeight="1">
      <c r="A269" s="41"/>
      <c r="B269" s="43"/>
      <c r="C269" s="44"/>
      <c r="D269" s="51"/>
      <c r="E269" s="44"/>
      <c r="F269" s="44"/>
      <c r="G269" s="34">
        <f t="shared" si="16"/>
        <v>0</v>
      </c>
      <c r="H269" s="34" t="str">
        <f t="shared" si="17"/>
        <v/>
      </c>
      <c r="I269" s="52" t="str">
        <f t="shared" si="18"/>
        <v/>
      </c>
      <c r="J269" s="34">
        <f>IF(AND(A269&lt;&gt;"",ISTEXT(A269),COUNTIFS(Processos!$AS$10:$AS$509,"="&amp;SUBSTITUTE(SUBSTITUTE(SUBSTITUTE("P:"&amp;A269,"~","~~"),"*","~*"),"?","~?"))=1),(IF(ISNA(MATCH(SUBSTITUTE(SUBSTITUTE(SUBSTITUTE("P:"&amp;A269,"~","~~"),"*","~*"),"?","~?"),Processos!$AS$10:$AS$509,0)),9,INDEX(Processos!$AM$10:$AM$509,MATCH(SUBSTITUTE(SUBSTITUTE(SUBSTITUTE("P:"&amp;A269,"~","~~"),"*","~*"),"?","~?"),Processos!$AS$10:$AS$509,0)))-9),0)</f>
        <v>0</v>
      </c>
      <c r="K269" s="34" t="str">
        <f t="shared" si="19"/>
        <v/>
      </c>
      <c r="L269" s="14">
        <f>ROW()</f>
        <v>269</v>
      </c>
    </row>
    <row r="270" spans="1:12" ht="60" customHeight="1">
      <c r="A270" s="41"/>
      <c r="B270" s="43"/>
      <c r="C270" s="44"/>
      <c r="D270" s="51"/>
      <c r="E270" s="44"/>
      <c r="F270" s="44"/>
      <c r="G270" s="34">
        <f t="shared" si="16"/>
        <v>0</v>
      </c>
      <c r="H270" s="34" t="str">
        <f t="shared" si="17"/>
        <v/>
      </c>
      <c r="I270" s="52" t="str">
        <f t="shared" si="18"/>
        <v/>
      </c>
      <c r="J270" s="34">
        <f>IF(AND(A270&lt;&gt;"",ISTEXT(A270),COUNTIFS(Processos!$AS$10:$AS$509,"="&amp;SUBSTITUTE(SUBSTITUTE(SUBSTITUTE("P:"&amp;A270,"~","~~"),"*","~*"),"?","~?"))=1),(IF(ISNA(MATCH(SUBSTITUTE(SUBSTITUTE(SUBSTITUTE("P:"&amp;A270,"~","~~"),"*","~*"),"?","~?"),Processos!$AS$10:$AS$509,0)),9,INDEX(Processos!$AM$10:$AM$509,MATCH(SUBSTITUTE(SUBSTITUTE(SUBSTITUTE("P:"&amp;A270,"~","~~"),"*","~*"),"?","~?"),Processos!$AS$10:$AS$509,0)))-9),0)</f>
        <v>0</v>
      </c>
      <c r="K270" s="34" t="str">
        <f t="shared" si="19"/>
        <v/>
      </c>
      <c r="L270" s="14">
        <f>ROW()</f>
        <v>270</v>
      </c>
    </row>
    <row r="271" spans="1:12" ht="60" customHeight="1">
      <c r="A271" s="41"/>
      <c r="B271" s="43"/>
      <c r="C271" s="44"/>
      <c r="D271" s="51"/>
      <c r="E271" s="44"/>
      <c r="F271" s="44"/>
      <c r="G271" s="34">
        <f t="shared" si="16"/>
        <v>0</v>
      </c>
      <c r="H271" s="34" t="str">
        <f t="shared" si="17"/>
        <v/>
      </c>
      <c r="I271" s="52" t="str">
        <f t="shared" si="18"/>
        <v/>
      </c>
      <c r="J271" s="34">
        <f>IF(AND(A271&lt;&gt;"",ISTEXT(A271),COUNTIFS(Processos!$AS$10:$AS$509,"="&amp;SUBSTITUTE(SUBSTITUTE(SUBSTITUTE("P:"&amp;A271,"~","~~"),"*","~*"),"?","~?"))=1),(IF(ISNA(MATCH(SUBSTITUTE(SUBSTITUTE(SUBSTITUTE("P:"&amp;A271,"~","~~"),"*","~*"),"?","~?"),Processos!$AS$10:$AS$509,0)),9,INDEX(Processos!$AM$10:$AM$509,MATCH(SUBSTITUTE(SUBSTITUTE(SUBSTITUTE("P:"&amp;A271,"~","~~"),"*","~*"),"?","~?"),Processos!$AS$10:$AS$509,0)))-9),0)</f>
        <v>0</v>
      </c>
      <c r="K271" s="34" t="str">
        <f t="shared" si="19"/>
        <v/>
      </c>
      <c r="L271" s="14">
        <f>ROW()</f>
        <v>271</v>
      </c>
    </row>
    <row r="272" spans="1:12" ht="60" customHeight="1">
      <c r="A272" s="41"/>
      <c r="B272" s="43"/>
      <c r="C272" s="44"/>
      <c r="D272" s="51"/>
      <c r="E272" s="44"/>
      <c r="F272" s="44"/>
      <c r="G272" s="34">
        <f t="shared" si="16"/>
        <v>0</v>
      </c>
      <c r="H272" s="34" t="str">
        <f t="shared" si="17"/>
        <v/>
      </c>
      <c r="I272" s="52" t="str">
        <f t="shared" si="18"/>
        <v/>
      </c>
      <c r="J272" s="34">
        <f>IF(AND(A272&lt;&gt;"",ISTEXT(A272),COUNTIFS(Processos!$AS$10:$AS$509,"="&amp;SUBSTITUTE(SUBSTITUTE(SUBSTITUTE("P:"&amp;A272,"~","~~"),"*","~*"),"?","~?"))=1),(IF(ISNA(MATCH(SUBSTITUTE(SUBSTITUTE(SUBSTITUTE("P:"&amp;A272,"~","~~"),"*","~*"),"?","~?"),Processos!$AS$10:$AS$509,0)),9,INDEX(Processos!$AM$10:$AM$509,MATCH(SUBSTITUTE(SUBSTITUTE(SUBSTITUTE("P:"&amp;A272,"~","~~"),"*","~*"),"?","~?"),Processos!$AS$10:$AS$509,0)))-9),0)</f>
        <v>0</v>
      </c>
      <c r="K272" s="34" t="str">
        <f t="shared" si="19"/>
        <v/>
      </c>
      <c r="L272" s="14">
        <f>ROW()</f>
        <v>272</v>
      </c>
    </row>
    <row r="273" spans="1:12" ht="60" customHeight="1">
      <c r="A273" s="41"/>
      <c r="B273" s="43"/>
      <c r="C273" s="44"/>
      <c r="D273" s="51"/>
      <c r="E273" s="44"/>
      <c r="F273" s="44"/>
      <c r="G273" s="34">
        <f t="shared" si="16"/>
        <v>0</v>
      </c>
      <c r="H273" s="34" t="str">
        <f t="shared" si="17"/>
        <v/>
      </c>
      <c r="I273" s="52" t="str">
        <f t="shared" si="18"/>
        <v/>
      </c>
      <c r="J273" s="34">
        <f>IF(AND(A273&lt;&gt;"",ISTEXT(A273),COUNTIFS(Processos!$AS$10:$AS$509,"="&amp;SUBSTITUTE(SUBSTITUTE(SUBSTITUTE("P:"&amp;A273,"~","~~"),"*","~*"),"?","~?"))=1),(IF(ISNA(MATCH(SUBSTITUTE(SUBSTITUTE(SUBSTITUTE("P:"&amp;A273,"~","~~"),"*","~*"),"?","~?"),Processos!$AS$10:$AS$509,0)),9,INDEX(Processos!$AM$10:$AM$509,MATCH(SUBSTITUTE(SUBSTITUTE(SUBSTITUTE("P:"&amp;A273,"~","~~"),"*","~*"),"?","~?"),Processos!$AS$10:$AS$509,0)))-9),0)</f>
        <v>0</v>
      </c>
      <c r="K273" s="34" t="str">
        <f t="shared" si="19"/>
        <v/>
      </c>
      <c r="L273" s="14">
        <f>ROW()</f>
        <v>273</v>
      </c>
    </row>
    <row r="274" spans="1:12" ht="60" customHeight="1">
      <c r="A274" s="41"/>
      <c r="B274" s="43"/>
      <c r="C274" s="44"/>
      <c r="D274" s="51"/>
      <c r="E274" s="44"/>
      <c r="F274" s="44"/>
      <c r="G274" s="34">
        <f t="shared" si="16"/>
        <v>0</v>
      </c>
      <c r="H274" s="34" t="str">
        <f t="shared" si="17"/>
        <v/>
      </c>
      <c r="I274" s="52" t="str">
        <f t="shared" si="18"/>
        <v/>
      </c>
      <c r="J274" s="34">
        <f>IF(AND(A274&lt;&gt;"",ISTEXT(A274),COUNTIFS(Processos!$AS$10:$AS$509,"="&amp;SUBSTITUTE(SUBSTITUTE(SUBSTITUTE("P:"&amp;A274,"~","~~"),"*","~*"),"?","~?"))=1),(IF(ISNA(MATCH(SUBSTITUTE(SUBSTITUTE(SUBSTITUTE("P:"&amp;A274,"~","~~"),"*","~*"),"?","~?"),Processos!$AS$10:$AS$509,0)),9,INDEX(Processos!$AM$10:$AM$509,MATCH(SUBSTITUTE(SUBSTITUTE(SUBSTITUTE("P:"&amp;A274,"~","~~"),"*","~*"),"?","~?"),Processos!$AS$10:$AS$509,0)))-9),0)</f>
        <v>0</v>
      </c>
      <c r="K274" s="34" t="str">
        <f t="shared" si="19"/>
        <v/>
      </c>
      <c r="L274" s="14">
        <f>ROW()</f>
        <v>274</v>
      </c>
    </row>
    <row r="275" spans="1:12" ht="60" customHeight="1">
      <c r="A275" s="41"/>
      <c r="B275" s="43"/>
      <c r="C275" s="44"/>
      <c r="D275" s="51"/>
      <c r="E275" s="44"/>
      <c r="F275" s="44"/>
      <c r="G275" s="34">
        <f t="shared" si="16"/>
        <v>0</v>
      </c>
      <c r="H275" s="34" t="str">
        <f t="shared" si="17"/>
        <v/>
      </c>
      <c r="I275" s="52" t="str">
        <f t="shared" si="18"/>
        <v/>
      </c>
      <c r="J275" s="34">
        <f>IF(AND(A275&lt;&gt;"",ISTEXT(A275),COUNTIFS(Processos!$AS$10:$AS$509,"="&amp;SUBSTITUTE(SUBSTITUTE(SUBSTITUTE("P:"&amp;A275,"~","~~"),"*","~*"),"?","~?"))=1),(IF(ISNA(MATCH(SUBSTITUTE(SUBSTITUTE(SUBSTITUTE("P:"&amp;A275,"~","~~"),"*","~*"),"?","~?"),Processos!$AS$10:$AS$509,0)),9,INDEX(Processos!$AM$10:$AM$509,MATCH(SUBSTITUTE(SUBSTITUTE(SUBSTITUTE("P:"&amp;A275,"~","~~"),"*","~*"),"?","~?"),Processos!$AS$10:$AS$509,0)))-9),0)</f>
        <v>0</v>
      </c>
      <c r="K275" s="34" t="str">
        <f t="shared" si="19"/>
        <v/>
      </c>
      <c r="L275" s="14">
        <f>ROW()</f>
        <v>275</v>
      </c>
    </row>
    <row r="276" spans="1:12" ht="60" customHeight="1">
      <c r="A276" s="41"/>
      <c r="B276" s="43"/>
      <c r="C276" s="44"/>
      <c r="D276" s="51"/>
      <c r="E276" s="44"/>
      <c r="F276" s="44"/>
      <c r="G276" s="34">
        <f t="shared" si="16"/>
        <v>0</v>
      </c>
      <c r="H276" s="34" t="str">
        <f t="shared" si="17"/>
        <v/>
      </c>
      <c r="I276" s="52" t="str">
        <f t="shared" si="18"/>
        <v/>
      </c>
      <c r="J276" s="34">
        <f>IF(AND(A276&lt;&gt;"",ISTEXT(A276),COUNTIFS(Processos!$AS$10:$AS$509,"="&amp;SUBSTITUTE(SUBSTITUTE(SUBSTITUTE("P:"&amp;A276,"~","~~"),"*","~*"),"?","~?"))=1),(IF(ISNA(MATCH(SUBSTITUTE(SUBSTITUTE(SUBSTITUTE("P:"&amp;A276,"~","~~"),"*","~*"),"?","~?"),Processos!$AS$10:$AS$509,0)),9,INDEX(Processos!$AM$10:$AM$509,MATCH(SUBSTITUTE(SUBSTITUTE(SUBSTITUTE("P:"&amp;A276,"~","~~"),"*","~*"),"?","~?"),Processos!$AS$10:$AS$509,0)))-9),0)</f>
        <v>0</v>
      </c>
      <c r="K276" s="34" t="str">
        <f t="shared" si="19"/>
        <v/>
      </c>
      <c r="L276" s="14">
        <f>ROW()</f>
        <v>276</v>
      </c>
    </row>
    <row r="277" spans="1:12" ht="60" customHeight="1">
      <c r="A277" s="41"/>
      <c r="B277" s="43"/>
      <c r="C277" s="44"/>
      <c r="D277" s="51"/>
      <c r="E277" s="44"/>
      <c r="F277" s="44"/>
      <c r="G277" s="34">
        <f t="shared" si="16"/>
        <v>0</v>
      </c>
      <c r="H277" s="34" t="str">
        <f t="shared" si="17"/>
        <v/>
      </c>
      <c r="I277" s="52" t="str">
        <f t="shared" si="18"/>
        <v/>
      </c>
      <c r="J277" s="34">
        <f>IF(AND(A277&lt;&gt;"",ISTEXT(A277),COUNTIFS(Processos!$AS$10:$AS$509,"="&amp;SUBSTITUTE(SUBSTITUTE(SUBSTITUTE("P:"&amp;A277,"~","~~"),"*","~*"),"?","~?"))=1),(IF(ISNA(MATCH(SUBSTITUTE(SUBSTITUTE(SUBSTITUTE("P:"&amp;A277,"~","~~"),"*","~*"),"?","~?"),Processos!$AS$10:$AS$509,0)),9,INDEX(Processos!$AM$10:$AM$509,MATCH(SUBSTITUTE(SUBSTITUTE(SUBSTITUTE("P:"&amp;A277,"~","~~"),"*","~*"),"?","~?"),Processos!$AS$10:$AS$509,0)))-9),0)</f>
        <v>0</v>
      </c>
      <c r="K277" s="34" t="str">
        <f t="shared" si="19"/>
        <v/>
      </c>
      <c r="L277" s="14">
        <f>ROW()</f>
        <v>277</v>
      </c>
    </row>
    <row r="278" spans="1:12" ht="60" customHeight="1">
      <c r="A278" s="41"/>
      <c r="B278" s="43"/>
      <c r="C278" s="44"/>
      <c r="D278" s="51"/>
      <c r="E278" s="44"/>
      <c r="F278" s="44"/>
      <c r="G278" s="34">
        <f t="shared" si="16"/>
        <v>0</v>
      </c>
      <c r="H278" s="34" t="str">
        <f t="shared" si="17"/>
        <v/>
      </c>
      <c r="I278" s="52" t="str">
        <f t="shared" si="18"/>
        <v/>
      </c>
      <c r="J278" s="34">
        <f>IF(AND(A278&lt;&gt;"",ISTEXT(A278),COUNTIFS(Processos!$AS$10:$AS$509,"="&amp;SUBSTITUTE(SUBSTITUTE(SUBSTITUTE("P:"&amp;A278,"~","~~"),"*","~*"),"?","~?"))=1),(IF(ISNA(MATCH(SUBSTITUTE(SUBSTITUTE(SUBSTITUTE("P:"&amp;A278,"~","~~"),"*","~*"),"?","~?"),Processos!$AS$10:$AS$509,0)),9,INDEX(Processos!$AM$10:$AM$509,MATCH(SUBSTITUTE(SUBSTITUTE(SUBSTITUTE("P:"&amp;A278,"~","~~"),"*","~*"),"?","~?"),Processos!$AS$10:$AS$509,0)))-9),0)</f>
        <v>0</v>
      </c>
      <c r="K278" s="34" t="str">
        <f t="shared" si="19"/>
        <v/>
      </c>
      <c r="L278" s="14">
        <f>ROW()</f>
        <v>278</v>
      </c>
    </row>
    <row r="279" spans="1:12" ht="60" customHeight="1">
      <c r="A279" s="41"/>
      <c r="B279" s="43"/>
      <c r="C279" s="44"/>
      <c r="D279" s="51"/>
      <c r="E279" s="44"/>
      <c r="F279" s="44"/>
      <c r="G279" s="34">
        <f t="shared" si="16"/>
        <v>0</v>
      </c>
      <c r="H279" s="34" t="str">
        <f t="shared" si="17"/>
        <v/>
      </c>
      <c r="I279" s="52" t="str">
        <f t="shared" si="18"/>
        <v/>
      </c>
      <c r="J279" s="34">
        <f>IF(AND(A279&lt;&gt;"",ISTEXT(A279),COUNTIFS(Processos!$AS$10:$AS$509,"="&amp;SUBSTITUTE(SUBSTITUTE(SUBSTITUTE("P:"&amp;A279,"~","~~"),"*","~*"),"?","~?"))=1),(IF(ISNA(MATCH(SUBSTITUTE(SUBSTITUTE(SUBSTITUTE("P:"&amp;A279,"~","~~"),"*","~*"),"?","~?"),Processos!$AS$10:$AS$509,0)),9,INDEX(Processos!$AM$10:$AM$509,MATCH(SUBSTITUTE(SUBSTITUTE(SUBSTITUTE("P:"&amp;A279,"~","~~"),"*","~*"),"?","~?"),Processos!$AS$10:$AS$509,0)))-9),0)</f>
        <v>0</v>
      </c>
      <c r="K279" s="34" t="str">
        <f t="shared" si="19"/>
        <v/>
      </c>
      <c r="L279" s="14">
        <f>ROW()</f>
        <v>279</v>
      </c>
    </row>
    <row r="280" spans="1:12" ht="60" customHeight="1">
      <c r="A280" s="41"/>
      <c r="B280" s="43"/>
      <c r="C280" s="44"/>
      <c r="D280" s="51"/>
      <c r="E280" s="44"/>
      <c r="F280" s="44"/>
      <c r="G280" s="34">
        <f t="shared" si="16"/>
        <v>0</v>
      </c>
      <c r="H280" s="34" t="str">
        <f t="shared" si="17"/>
        <v/>
      </c>
      <c r="I280" s="52" t="str">
        <f t="shared" si="18"/>
        <v/>
      </c>
      <c r="J280" s="34">
        <f>IF(AND(A280&lt;&gt;"",ISTEXT(A280),COUNTIFS(Processos!$AS$10:$AS$509,"="&amp;SUBSTITUTE(SUBSTITUTE(SUBSTITUTE("P:"&amp;A280,"~","~~"),"*","~*"),"?","~?"))=1),(IF(ISNA(MATCH(SUBSTITUTE(SUBSTITUTE(SUBSTITUTE("P:"&amp;A280,"~","~~"),"*","~*"),"?","~?"),Processos!$AS$10:$AS$509,0)),9,INDEX(Processos!$AM$10:$AM$509,MATCH(SUBSTITUTE(SUBSTITUTE(SUBSTITUTE("P:"&amp;A280,"~","~~"),"*","~*"),"?","~?"),Processos!$AS$10:$AS$509,0)))-9),0)</f>
        <v>0</v>
      </c>
      <c r="K280" s="34" t="str">
        <f t="shared" si="19"/>
        <v/>
      </c>
      <c r="L280" s="14">
        <f>ROW()</f>
        <v>280</v>
      </c>
    </row>
    <row r="281" spans="1:12" ht="60" customHeight="1">
      <c r="A281" s="41"/>
      <c r="B281" s="43"/>
      <c r="C281" s="44"/>
      <c r="D281" s="51"/>
      <c r="E281" s="44"/>
      <c r="F281" s="44"/>
      <c r="G281" s="34">
        <f t="shared" si="16"/>
        <v>0</v>
      </c>
      <c r="H281" s="34" t="str">
        <f t="shared" si="17"/>
        <v/>
      </c>
      <c r="I281" s="52" t="str">
        <f t="shared" si="18"/>
        <v/>
      </c>
      <c r="J281" s="34">
        <f>IF(AND(A281&lt;&gt;"",ISTEXT(A281),COUNTIFS(Processos!$AS$10:$AS$509,"="&amp;SUBSTITUTE(SUBSTITUTE(SUBSTITUTE("P:"&amp;A281,"~","~~"),"*","~*"),"?","~?"))=1),(IF(ISNA(MATCH(SUBSTITUTE(SUBSTITUTE(SUBSTITUTE("P:"&amp;A281,"~","~~"),"*","~*"),"?","~?"),Processos!$AS$10:$AS$509,0)),9,INDEX(Processos!$AM$10:$AM$509,MATCH(SUBSTITUTE(SUBSTITUTE(SUBSTITUTE("P:"&amp;A281,"~","~~"),"*","~*"),"?","~?"),Processos!$AS$10:$AS$509,0)))-9),0)</f>
        <v>0</v>
      </c>
      <c r="K281" s="34" t="str">
        <f t="shared" si="19"/>
        <v/>
      </c>
      <c r="L281" s="14">
        <f>ROW()</f>
        <v>281</v>
      </c>
    </row>
    <row r="282" spans="1:12" ht="60" customHeight="1">
      <c r="A282" s="41"/>
      <c r="B282" s="43"/>
      <c r="C282" s="44"/>
      <c r="D282" s="51"/>
      <c r="E282" s="44"/>
      <c r="F282" s="44"/>
      <c r="G282" s="34">
        <f t="shared" si="16"/>
        <v>0</v>
      </c>
      <c r="H282" s="34" t="str">
        <f t="shared" si="17"/>
        <v/>
      </c>
      <c r="I282" s="52" t="str">
        <f t="shared" si="18"/>
        <v/>
      </c>
      <c r="J282" s="34">
        <f>IF(AND(A282&lt;&gt;"",ISTEXT(A282),COUNTIFS(Processos!$AS$10:$AS$509,"="&amp;SUBSTITUTE(SUBSTITUTE(SUBSTITUTE("P:"&amp;A282,"~","~~"),"*","~*"),"?","~?"))=1),(IF(ISNA(MATCH(SUBSTITUTE(SUBSTITUTE(SUBSTITUTE("P:"&amp;A282,"~","~~"),"*","~*"),"?","~?"),Processos!$AS$10:$AS$509,0)),9,INDEX(Processos!$AM$10:$AM$509,MATCH(SUBSTITUTE(SUBSTITUTE(SUBSTITUTE("P:"&amp;A282,"~","~~"),"*","~*"),"?","~?"),Processos!$AS$10:$AS$509,0)))-9),0)</f>
        <v>0</v>
      </c>
      <c r="K282" s="34" t="str">
        <f t="shared" si="19"/>
        <v/>
      </c>
      <c r="L282" s="14">
        <f>ROW()</f>
        <v>282</v>
      </c>
    </row>
    <row r="283" spans="1:12" ht="60" customHeight="1">
      <c r="A283" s="41"/>
      <c r="B283" s="43"/>
      <c r="C283" s="44"/>
      <c r="D283" s="51"/>
      <c r="E283" s="44"/>
      <c r="F283" s="44"/>
      <c r="G283" s="34">
        <f t="shared" si="16"/>
        <v>0</v>
      </c>
      <c r="H283" s="34" t="str">
        <f t="shared" si="17"/>
        <v/>
      </c>
      <c r="I283" s="52" t="str">
        <f t="shared" si="18"/>
        <v/>
      </c>
      <c r="J283" s="34">
        <f>IF(AND(A283&lt;&gt;"",ISTEXT(A283),COUNTIFS(Processos!$AS$10:$AS$509,"="&amp;SUBSTITUTE(SUBSTITUTE(SUBSTITUTE("P:"&amp;A283,"~","~~"),"*","~*"),"?","~?"))=1),(IF(ISNA(MATCH(SUBSTITUTE(SUBSTITUTE(SUBSTITUTE("P:"&amp;A283,"~","~~"),"*","~*"),"?","~?"),Processos!$AS$10:$AS$509,0)),9,INDEX(Processos!$AM$10:$AM$509,MATCH(SUBSTITUTE(SUBSTITUTE(SUBSTITUTE("P:"&amp;A283,"~","~~"),"*","~*"),"?","~?"),Processos!$AS$10:$AS$509,0)))-9),0)</f>
        <v>0</v>
      </c>
      <c r="K283" s="34" t="str">
        <f t="shared" si="19"/>
        <v/>
      </c>
      <c r="L283" s="14">
        <f>ROW()</f>
        <v>283</v>
      </c>
    </row>
    <row r="284" spans="1:12" ht="60" customHeight="1">
      <c r="A284" s="41"/>
      <c r="B284" s="43"/>
      <c r="C284" s="44"/>
      <c r="D284" s="51"/>
      <c r="E284" s="44"/>
      <c r="F284" s="44"/>
      <c r="G284" s="34">
        <f t="shared" si="16"/>
        <v>0</v>
      </c>
      <c r="H284" s="34" t="str">
        <f t="shared" si="17"/>
        <v/>
      </c>
      <c r="I284" s="52" t="str">
        <f t="shared" si="18"/>
        <v/>
      </c>
      <c r="J284" s="34">
        <f>IF(AND(A284&lt;&gt;"",ISTEXT(A284),COUNTIFS(Processos!$AS$10:$AS$509,"="&amp;SUBSTITUTE(SUBSTITUTE(SUBSTITUTE("P:"&amp;A284,"~","~~"),"*","~*"),"?","~?"))=1),(IF(ISNA(MATCH(SUBSTITUTE(SUBSTITUTE(SUBSTITUTE("P:"&amp;A284,"~","~~"),"*","~*"),"?","~?"),Processos!$AS$10:$AS$509,0)),9,INDEX(Processos!$AM$10:$AM$509,MATCH(SUBSTITUTE(SUBSTITUTE(SUBSTITUTE("P:"&amp;A284,"~","~~"),"*","~*"),"?","~?"),Processos!$AS$10:$AS$509,0)))-9),0)</f>
        <v>0</v>
      </c>
      <c r="K284" s="34" t="str">
        <f t="shared" si="19"/>
        <v/>
      </c>
      <c r="L284" s="14">
        <f>ROW()</f>
        <v>284</v>
      </c>
    </row>
    <row r="285" spans="1:12" ht="60" customHeight="1">
      <c r="A285" s="41"/>
      <c r="B285" s="43"/>
      <c r="C285" s="44"/>
      <c r="D285" s="51"/>
      <c r="E285" s="44"/>
      <c r="F285" s="44"/>
      <c r="G285" s="34">
        <f t="shared" si="16"/>
        <v>0</v>
      </c>
      <c r="H285" s="34" t="str">
        <f t="shared" si="17"/>
        <v/>
      </c>
      <c r="I285" s="52" t="str">
        <f t="shared" si="18"/>
        <v/>
      </c>
      <c r="J285" s="34">
        <f>IF(AND(A285&lt;&gt;"",ISTEXT(A285),COUNTIFS(Processos!$AS$10:$AS$509,"="&amp;SUBSTITUTE(SUBSTITUTE(SUBSTITUTE("P:"&amp;A285,"~","~~"),"*","~*"),"?","~?"))=1),(IF(ISNA(MATCH(SUBSTITUTE(SUBSTITUTE(SUBSTITUTE("P:"&amp;A285,"~","~~"),"*","~*"),"?","~?"),Processos!$AS$10:$AS$509,0)),9,INDEX(Processos!$AM$10:$AM$509,MATCH(SUBSTITUTE(SUBSTITUTE(SUBSTITUTE("P:"&amp;A285,"~","~~"),"*","~*"),"?","~?"),Processos!$AS$10:$AS$509,0)))-9),0)</f>
        <v>0</v>
      </c>
      <c r="K285" s="34" t="str">
        <f t="shared" si="19"/>
        <v/>
      </c>
      <c r="L285" s="14">
        <f>ROW()</f>
        <v>285</v>
      </c>
    </row>
    <row r="286" spans="1:12" ht="60" customHeight="1">
      <c r="A286" s="41"/>
      <c r="B286" s="43"/>
      <c r="C286" s="44"/>
      <c r="D286" s="51"/>
      <c r="E286" s="44"/>
      <c r="F286" s="44"/>
      <c r="G286" s="34">
        <f t="shared" si="16"/>
        <v>0</v>
      </c>
      <c r="H286" s="34" t="str">
        <f t="shared" si="17"/>
        <v/>
      </c>
      <c r="I286" s="52" t="str">
        <f t="shared" si="18"/>
        <v/>
      </c>
      <c r="J286" s="34">
        <f>IF(AND(A286&lt;&gt;"",ISTEXT(A286),COUNTIFS(Processos!$AS$10:$AS$509,"="&amp;SUBSTITUTE(SUBSTITUTE(SUBSTITUTE("P:"&amp;A286,"~","~~"),"*","~*"),"?","~?"))=1),(IF(ISNA(MATCH(SUBSTITUTE(SUBSTITUTE(SUBSTITUTE("P:"&amp;A286,"~","~~"),"*","~*"),"?","~?"),Processos!$AS$10:$AS$509,0)),9,INDEX(Processos!$AM$10:$AM$509,MATCH(SUBSTITUTE(SUBSTITUTE(SUBSTITUTE("P:"&amp;A286,"~","~~"),"*","~*"),"?","~?"),Processos!$AS$10:$AS$509,0)))-9),0)</f>
        <v>0</v>
      </c>
      <c r="K286" s="34" t="str">
        <f t="shared" si="19"/>
        <v/>
      </c>
      <c r="L286" s="14">
        <f>ROW()</f>
        <v>286</v>
      </c>
    </row>
    <row r="287" spans="1:12" ht="60" customHeight="1">
      <c r="A287" s="41"/>
      <c r="B287" s="43"/>
      <c r="C287" s="44"/>
      <c r="D287" s="51"/>
      <c r="E287" s="44"/>
      <c r="F287" s="44"/>
      <c r="G287" s="34">
        <f t="shared" si="16"/>
        <v>0</v>
      </c>
      <c r="H287" s="34" t="str">
        <f t="shared" si="17"/>
        <v/>
      </c>
      <c r="I287" s="52" t="str">
        <f t="shared" si="18"/>
        <v/>
      </c>
      <c r="J287" s="34">
        <f>IF(AND(A287&lt;&gt;"",ISTEXT(A287),COUNTIFS(Processos!$AS$10:$AS$509,"="&amp;SUBSTITUTE(SUBSTITUTE(SUBSTITUTE("P:"&amp;A287,"~","~~"),"*","~*"),"?","~?"))=1),(IF(ISNA(MATCH(SUBSTITUTE(SUBSTITUTE(SUBSTITUTE("P:"&amp;A287,"~","~~"),"*","~*"),"?","~?"),Processos!$AS$10:$AS$509,0)),9,INDEX(Processos!$AM$10:$AM$509,MATCH(SUBSTITUTE(SUBSTITUTE(SUBSTITUTE("P:"&amp;A287,"~","~~"),"*","~*"),"?","~?"),Processos!$AS$10:$AS$509,0)))-9),0)</f>
        <v>0</v>
      </c>
      <c r="K287" s="34" t="str">
        <f t="shared" si="19"/>
        <v/>
      </c>
      <c r="L287" s="14">
        <f>ROW()</f>
        <v>287</v>
      </c>
    </row>
    <row r="288" spans="1:12" ht="60" customHeight="1">
      <c r="A288" s="41"/>
      <c r="B288" s="43"/>
      <c r="C288" s="44"/>
      <c r="D288" s="51"/>
      <c r="E288" s="44"/>
      <c r="F288" s="44"/>
      <c r="G288" s="34">
        <f t="shared" si="16"/>
        <v>0</v>
      </c>
      <c r="H288" s="34" t="str">
        <f t="shared" si="17"/>
        <v/>
      </c>
      <c r="I288" s="52" t="str">
        <f t="shared" si="18"/>
        <v/>
      </c>
      <c r="J288" s="34">
        <f>IF(AND(A288&lt;&gt;"",ISTEXT(A288),COUNTIFS(Processos!$AS$10:$AS$509,"="&amp;SUBSTITUTE(SUBSTITUTE(SUBSTITUTE("P:"&amp;A288,"~","~~"),"*","~*"),"?","~?"))=1),(IF(ISNA(MATCH(SUBSTITUTE(SUBSTITUTE(SUBSTITUTE("P:"&amp;A288,"~","~~"),"*","~*"),"?","~?"),Processos!$AS$10:$AS$509,0)),9,INDEX(Processos!$AM$10:$AM$509,MATCH(SUBSTITUTE(SUBSTITUTE(SUBSTITUTE("P:"&amp;A288,"~","~~"),"*","~*"),"?","~?"),Processos!$AS$10:$AS$509,0)))-9),0)</f>
        <v>0</v>
      </c>
      <c r="K288" s="34" t="str">
        <f t="shared" si="19"/>
        <v/>
      </c>
      <c r="L288" s="14">
        <f>ROW()</f>
        <v>288</v>
      </c>
    </row>
    <row r="289" spans="1:12" ht="60" customHeight="1">
      <c r="A289" s="41"/>
      <c r="B289" s="43"/>
      <c r="C289" s="44"/>
      <c r="D289" s="51"/>
      <c r="E289" s="44"/>
      <c r="F289" s="44"/>
      <c r="G289" s="34">
        <f t="shared" si="16"/>
        <v>0</v>
      </c>
      <c r="H289" s="34" t="str">
        <f t="shared" si="17"/>
        <v/>
      </c>
      <c r="I289" s="52" t="str">
        <f t="shared" si="18"/>
        <v/>
      </c>
      <c r="J289" s="34">
        <f>IF(AND(A289&lt;&gt;"",ISTEXT(A289),COUNTIFS(Processos!$AS$10:$AS$509,"="&amp;SUBSTITUTE(SUBSTITUTE(SUBSTITUTE("P:"&amp;A289,"~","~~"),"*","~*"),"?","~?"))=1),(IF(ISNA(MATCH(SUBSTITUTE(SUBSTITUTE(SUBSTITUTE("P:"&amp;A289,"~","~~"),"*","~*"),"?","~?"),Processos!$AS$10:$AS$509,0)),9,INDEX(Processos!$AM$10:$AM$509,MATCH(SUBSTITUTE(SUBSTITUTE(SUBSTITUTE("P:"&amp;A289,"~","~~"),"*","~*"),"?","~?"),Processos!$AS$10:$AS$509,0)))-9),0)</f>
        <v>0</v>
      </c>
      <c r="K289" s="34" t="str">
        <f t="shared" si="19"/>
        <v/>
      </c>
      <c r="L289" s="14">
        <f>ROW()</f>
        <v>289</v>
      </c>
    </row>
    <row r="290" spans="1:12" ht="60" customHeight="1">
      <c r="A290" s="41"/>
      <c r="B290" s="43"/>
      <c r="C290" s="44"/>
      <c r="D290" s="51"/>
      <c r="E290" s="44"/>
      <c r="F290" s="44"/>
      <c r="G290" s="34">
        <f t="shared" si="16"/>
        <v>0</v>
      </c>
      <c r="H290" s="34" t="str">
        <f t="shared" si="17"/>
        <v/>
      </c>
      <c r="I290" s="52" t="str">
        <f t="shared" si="18"/>
        <v/>
      </c>
      <c r="J290" s="34">
        <f>IF(AND(A290&lt;&gt;"",ISTEXT(A290),COUNTIFS(Processos!$AS$10:$AS$509,"="&amp;SUBSTITUTE(SUBSTITUTE(SUBSTITUTE("P:"&amp;A290,"~","~~"),"*","~*"),"?","~?"))=1),(IF(ISNA(MATCH(SUBSTITUTE(SUBSTITUTE(SUBSTITUTE("P:"&amp;A290,"~","~~"),"*","~*"),"?","~?"),Processos!$AS$10:$AS$509,0)),9,INDEX(Processos!$AM$10:$AM$509,MATCH(SUBSTITUTE(SUBSTITUTE(SUBSTITUTE("P:"&amp;A290,"~","~~"),"*","~*"),"?","~?"),Processos!$AS$10:$AS$509,0)))-9),0)</f>
        <v>0</v>
      </c>
      <c r="K290" s="34" t="str">
        <f t="shared" si="19"/>
        <v/>
      </c>
      <c r="L290" s="14">
        <f>ROW()</f>
        <v>290</v>
      </c>
    </row>
    <row r="291" spans="1:12" ht="60" customHeight="1">
      <c r="A291" s="41"/>
      <c r="B291" s="43"/>
      <c r="C291" s="44"/>
      <c r="D291" s="51"/>
      <c r="E291" s="44"/>
      <c r="F291" s="44"/>
      <c r="G291" s="34">
        <f t="shared" si="16"/>
        <v>0</v>
      </c>
      <c r="H291" s="34" t="str">
        <f t="shared" si="17"/>
        <v/>
      </c>
      <c r="I291" s="52" t="str">
        <f t="shared" si="18"/>
        <v/>
      </c>
      <c r="J291" s="34">
        <f>IF(AND(A291&lt;&gt;"",ISTEXT(A291),COUNTIFS(Processos!$AS$10:$AS$509,"="&amp;SUBSTITUTE(SUBSTITUTE(SUBSTITUTE("P:"&amp;A291,"~","~~"),"*","~*"),"?","~?"))=1),(IF(ISNA(MATCH(SUBSTITUTE(SUBSTITUTE(SUBSTITUTE("P:"&amp;A291,"~","~~"),"*","~*"),"?","~?"),Processos!$AS$10:$AS$509,0)),9,INDEX(Processos!$AM$10:$AM$509,MATCH(SUBSTITUTE(SUBSTITUTE(SUBSTITUTE("P:"&amp;A291,"~","~~"),"*","~*"),"?","~?"),Processos!$AS$10:$AS$509,0)))-9),0)</f>
        <v>0</v>
      </c>
      <c r="K291" s="34" t="str">
        <f t="shared" si="19"/>
        <v/>
      </c>
      <c r="L291" s="14">
        <f>ROW()</f>
        <v>291</v>
      </c>
    </row>
    <row r="292" spans="1:12" ht="60" customHeight="1">
      <c r="A292" s="41"/>
      <c r="B292" s="43"/>
      <c r="C292" s="44"/>
      <c r="D292" s="51"/>
      <c r="E292" s="44"/>
      <c r="F292" s="44"/>
      <c r="G292" s="34">
        <f t="shared" si="16"/>
        <v>0</v>
      </c>
      <c r="H292" s="34" t="str">
        <f t="shared" si="17"/>
        <v/>
      </c>
      <c r="I292" s="52" t="str">
        <f t="shared" si="18"/>
        <v/>
      </c>
      <c r="J292" s="34">
        <f>IF(AND(A292&lt;&gt;"",ISTEXT(A292),COUNTIFS(Processos!$AS$10:$AS$509,"="&amp;SUBSTITUTE(SUBSTITUTE(SUBSTITUTE("P:"&amp;A292,"~","~~"),"*","~*"),"?","~?"))=1),(IF(ISNA(MATCH(SUBSTITUTE(SUBSTITUTE(SUBSTITUTE("P:"&amp;A292,"~","~~"),"*","~*"),"?","~?"),Processos!$AS$10:$AS$509,0)),9,INDEX(Processos!$AM$10:$AM$509,MATCH(SUBSTITUTE(SUBSTITUTE(SUBSTITUTE("P:"&amp;A292,"~","~~"),"*","~*"),"?","~?"),Processos!$AS$10:$AS$509,0)))-9),0)</f>
        <v>0</v>
      </c>
      <c r="K292" s="34" t="str">
        <f t="shared" si="19"/>
        <v/>
      </c>
      <c r="L292" s="14">
        <f>ROW()</f>
        <v>292</v>
      </c>
    </row>
    <row r="293" spans="1:12" ht="60" customHeight="1">
      <c r="A293" s="41"/>
      <c r="B293" s="43"/>
      <c r="C293" s="44"/>
      <c r="D293" s="51"/>
      <c r="E293" s="44"/>
      <c r="F293" s="44"/>
      <c r="G293" s="34">
        <f t="shared" si="16"/>
        <v>0</v>
      </c>
      <c r="H293" s="34" t="str">
        <f t="shared" si="17"/>
        <v/>
      </c>
      <c r="I293" s="52" t="str">
        <f t="shared" si="18"/>
        <v/>
      </c>
      <c r="J293" s="34">
        <f>IF(AND(A293&lt;&gt;"",ISTEXT(A293),COUNTIFS(Processos!$AS$10:$AS$509,"="&amp;SUBSTITUTE(SUBSTITUTE(SUBSTITUTE("P:"&amp;A293,"~","~~"),"*","~*"),"?","~?"))=1),(IF(ISNA(MATCH(SUBSTITUTE(SUBSTITUTE(SUBSTITUTE("P:"&amp;A293,"~","~~"),"*","~*"),"?","~?"),Processos!$AS$10:$AS$509,0)),9,INDEX(Processos!$AM$10:$AM$509,MATCH(SUBSTITUTE(SUBSTITUTE(SUBSTITUTE("P:"&amp;A293,"~","~~"),"*","~*"),"?","~?"),Processos!$AS$10:$AS$509,0)))-9),0)</f>
        <v>0</v>
      </c>
      <c r="K293" s="34" t="str">
        <f t="shared" si="19"/>
        <v/>
      </c>
      <c r="L293" s="14">
        <f>ROW()</f>
        <v>293</v>
      </c>
    </row>
    <row r="294" spans="1:12" ht="60" customHeight="1">
      <c r="A294" s="41"/>
      <c r="B294" s="43"/>
      <c r="C294" s="44"/>
      <c r="D294" s="51"/>
      <c r="E294" s="44"/>
      <c r="F294" s="44"/>
      <c r="G294" s="34">
        <f t="shared" si="16"/>
        <v>0</v>
      </c>
      <c r="H294" s="34" t="str">
        <f t="shared" si="17"/>
        <v/>
      </c>
      <c r="I294" s="52" t="str">
        <f t="shared" si="18"/>
        <v/>
      </c>
      <c r="J294" s="34">
        <f>IF(AND(A294&lt;&gt;"",ISTEXT(A294),COUNTIFS(Processos!$AS$10:$AS$509,"="&amp;SUBSTITUTE(SUBSTITUTE(SUBSTITUTE("P:"&amp;A294,"~","~~"),"*","~*"),"?","~?"))=1),(IF(ISNA(MATCH(SUBSTITUTE(SUBSTITUTE(SUBSTITUTE("P:"&amp;A294,"~","~~"),"*","~*"),"?","~?"),Processos!$AS$10:$AS$509,0)),9,INDEX(Processos!$AM$10:$AM$509,MATCH(SUBSTITUTE(SUBSTITUTE(SUBSTITUTE("P:"&amp;A294,"~","~~"),"*","~*"),"?","~?"),Processos!$AS$10:$AS$509,0)))-9),0)</f>
        <v>0</v>
      </c>
      <c r="K294" s="34" t="str">
        <f t="shared" si="19"/>
        <v/>
      </c>
      <c r="L294" s="14">
        <f>ROW()</f>
        <v>294</v>
      </c>
    </row>
    <row r="295" spans="1:12" ht="60" customHeight="1">
      <c r="A295" s="41"/>
      <c r="B295" s="43"/>
      <c r="C295" s="44"/>
      <c r="D295" s="51"/>
      <c r="E295" s="44"/>
      <c r="F295" s="44"/>
      <c r="G295" s="34">
        <f t="shared" si="16"/>
        <v>0</v>
      </c>
      <c r="H295" s="34" t="str">
        <f t="shared" si="17"/>
        <v/>
      </c>
      <c r="I295" s="52" t="str">
        <f t="shared" si="18"/>
        <v/>
      </c>
      <c r="J295" s="34">
        <f>IF(AND(A295&lt;&gt;"",ISTEXT(A295),COUNTIFS(Processos!$AS$10:$AS$509,"="&amp;SUBSTITUTE(SUBSTITUTE(SUBSTITUTE("P:"&amp;A295,"~","~~"),"*","~*"),"?","~?"))=1),(IF(ISNA(MATCH(SUBSTITUTE(SUBSTITUTE(SUBSTITUTE("P:"&amp;A295,"~","~~"),"*","~*"),"?","~?"),Processos!$AS$10:$AS$509,0)),9,INDEX(Processos!$AM$10:$AM$509,MATCH(SUBSTITUTE(SUBSTITUTE(SUBSTITUTE("P:"&amp;A295,"~","~~"),"*","~*"),"?","~?"),Processos!$AS$10:$AS$509,0)))-9),0)</f>
        <v>0</v>
      </c>
      <c r="K295" s="34" t="str">
        <f t="shared" si="19"/>
        <v/>
      </c>
      <c r="L295" s="14">
        <f>ROW()</f>
        <v>295</v>
      </c>
    </row>
    <row r="296" spans="1:12" ht="60" customHeight="1">
      <c r="A296" s="41"/>
      <c r="B296" s="43"/>
      <c r="C296" s="44"/>
      <c r="D296" s="51"/>
      <c r="E296" s="44"/>
      <c r="F296" s="44"/>
      <c r="G296" s="34">
        <f t="shared" si="16"/>
        <v>0</v>
      </c>
      <c r="H296" s="34" t="str">
        <f t="shared" si="17"/>
        <v/>
      </c>
      <c r="I296" s="52" t="str">
        <f t="shared" si="18"/>
        <v/>
      </c>
      <c r="J296" s="34">
        <f>IF(AND(A296&lt;&gt;"",ISTEXT(A296),COUNTIFS(Processos!$AS$10:$AS$509,"="&amp;SUBSTITUTE(SUBSTITUTE(SUBSTITUTE("P:"&amp;A296,"~","~~"),"*","~*"),"?","~?"))=1),(IF(ISNA(MATCH(SUBSTITUTE(SUBSTITUTE(SUBSTITUTE("P:"&amp;A296,"~","~~"),"*","~*"),"?","~?"),Processos!$AS$10:$AS$509,0)),9,INDEX(Processos!$AM$10:$AM$509,MATCH(SUBSTITUTE(SUBSTITUTE(SUBSTITUTE("P:"&amp;A296,"~","~~"),"*","~*"),"?","~?"),Processos!$AS$10:$AS$509,0)))-9),0)</f>
        <v>0</v>
      </c>
      <c r="K296" s="34" t="str">
        <f t="shared" si="19"/>
        <v/>
      </c>
      <c r="L296" s="14">
        <f>ROW()</f>
        <v>296</v>
      </c>
    </row>
    <row r="297" spans="1:12" ht="60" customHeight="1">
      <c r="A297" s="41"/>
      <c r="B297" s="43"/>
      <c r="C297" s="44"/>
      <c r="D297" s="51"/>
      <c r="E297" s="44"/>
      <c r="F297" s="44"/>
      <c r="G297" s="34">
        <f t="shared" si="16"/>
        <v>0</v>
      </c>
      <c r="H297" s="34" t="str">
        <f t="shared" si="17"/>
        <v/>
      </c>
      <c r="I297" s="52" t="str">
        <f t="shared" si="18"/>
        <v/>
      </c>
      <c r="J297" s="34">
        <f>IF(AND(A297&lt;&gt;"",ISTEXT(A297),COUNTIFS(Processos!$AS$10:$AS$509,"="&amp;SUBSTITUTE(SUBSTITUTE(SUBSTITUTE("P:"&amp;A297,"~","~~"),"*","~*"),"?","~?"))=1),(IF(ISNA(MATCH(SUBSTITUTE(SUBSTITUTE(SUBSTITUTE("P:"&amp;A297,"~","~~"),"*","~*"),"?","~?"),Processos!$AS$10:$AS$509,0)),9,INDEX(Processos!$AM$10:$AM$509,MATCH(SUBSTITUTE(SUBSTITUTE(SUBSTITUTE("P:"&amp;A297,"~","~~"),"*","~*"),"?","~?"),Processos!$AS$10:$AS$509,0)))-9),0)</f>
        <v>0</v>
      </c>
      <c r="K297" s="34" t="str">
        <f t="shared" si="19"/>
        <v/>
      </c>
      <c r="L297" s="14">
        <f>ROW()</f>
        <v>297</v>
      </c>
    </row>
    <row r="298" spans="1:12" ht="60" customHeight="1">
      <c r="A298" s="41"/>
      <c r="B298" s="43"/>
      <c r="C298" s="44"/>
      <c r="D298" s="51"/>
      <c r="E298" s="44"/>
      <c r="F298" s="44"/>
      <c r="G298" s="34">
        <f t="shared" si="16"/>
        <v>0</v>
      </c>
      <c r="H298" s="34" t="str">
        <f t="shared" si="17"/>
        <v/>
      </c>
      <c r="I298" s="52" t="str">
        <f t="shared" si="18"/>
        <v/>
      </c>
      <c r="J298" s="34">
        <f>IF(AND(A298&lt;&gt;"",ISTEXT(A298),COUNTIFS(Processos!$AS$10:$AS$509,"="&amp;SUBSTITUTE(SUBSTITUTE(SUBSTITUTE("P:"&amp;A298,"~","~~"),"*","~*"),"?","~?"))=1),(IF(ISNA(MATCH(SUBSTITUTE(SUBSTITUTE(SUBSTITUTE("P:"&amp;A298,"~","~~"),"*","~*"),"?","~?"),Processos!$AS$10:$AS$509,0)),9,INDEX(Processos!$AM$10:$AM$509,MATCH(SUBSTITUTE(SUBSTITUTE(SUBSTITUTE("P:"&amp;A298,"~","~~"),"*","~*"),"?","~?"),Processos!$AS$10:$AS$509,0)))-9),0)</f>
        <v>0</v>
      </c>
      <c r="K298" s="34" t="str">
        <f t="shared" si="19"/>
        <v/>
      </c>
      <c r="L298" s="14">
        <f>ROW()</f>
        <v>298</v>
      </c>
    </row>
    <row r="299" spans="1:12" ht="60" customHeight="1">
      <c r="A299" s="41"/>
      <c r="B299" s="43"/>
      <c r="C299" s="44"/>
      <c r="D299" s="51"/>
      <c r="E299" s="44"/>
      <c r="F299" s="44"/>
      <c r="G299" s="34">
        <f t="shared" si="16"/>
        <v>0</v>
      </c>
      <c r="H299" s="34" t="str">
        <f t="shared" si="17"/>
        <v/>
      </c>
      <c r="I299" s="52" t="str">
        <f t="shared" si="18"/>
        <v/>
      </c>
      <c r="J299" s="34">
        <f>IF(AND(A299&lt;&gt;"",ISTEXT(A299),COUNTIFS(Processos!$AS$10:$AS$509,"="&amp;SUBSTITUTE(SUBSTITUTE(SUBSTITUTE("P:"&amp;A299,"~","~~"),"*","~*"),"?","~?"))=1),(IF(ISNA(MATCH(SUBSTITUTE(SUBSTITUTE(SUBSTITUTE("P:"&amp;A299,"~","~~"),"*","~*"),"?","~?"),Processos!$AS$10:$AS$509,0)),9,INDEX(Processos!$AM$10:$AM$509,MATCH(SUBSTITUTE(SUBSTITUTE(SUBSTITUTE("P:"&amp;A299,"~","~~"),"*","~*"),"?","~?"),Processos!$AS$10:$AS$509,0)))-9),0)</f>
        <v>0</v>
      </c>
      <c r="K299" s="34" t="str">
        <f t="shared" si="19"/>
        <v/>
      </c>
      <c r="L299" s="14">
        <f>ROW()</f>
        <v>299</v>
      </c>
    </row>
    <row r="300" spans="1:12" ht="60" customHeight="1">
      <c r="A300" s="41"/>
      <c r="B300" s="43"/>
      <c r="C300" s="44"/>
      <c r="D300" s="51"/>
      <c r="E300" s="44"/>
      <c r="F300" s="44"/>
      <c r="G300" s="34">
        <f t="shared" si="16"/>
        <v>0</v>
      </c>
      <c r="H300" s="34" t="str">
        <f t="shared" si="17"/>
        <v/>
      </c>
      <c r="I300" s="52" t="str">
        <f t="shared" si="18"/>
        <v/>
      </c>
      <c r="J300" s="34">
        <f>IF(AND(A300&lt;&gt;"",ISTEXT(A300),COUNTIFS(Processos!$AS$10:$AS$509,"="&amp;SUBSTITUTE(SUBSTITUTE(SUBSTITUTE("P:"&amp;A300,"~","~~"),"*","~*"),"?","~?"))=1),(IF(ISNA(MATCH(SUBSTITUTE(SUBSTITUTE(SUBSTITUTE("P:"&amp;A300,"~","~~"),"*","~*"),"?","~?"),Processos!$AS$10:$AS$509,0)),9,INDEX(Processos!$AM$10:$AM$509,MATCH(SUBSTITUTE(SUBSTITUTE(SUBSTITUTE("P:"&amp;A300,"~","~~"),"*","~*"),"?","~?"),Processos!$AS$10:$AS$509,0)))-9),0)</f>
        <v>0</v>
      </c>
      <c r="K300" s="34" t="str">
        <f t="shared" si="19"/>
        <v/>
      </c>
      <c r="L300" s="14">
        <f>ROW()</f>
        <v>300</v>
      </c>
    </row>
    <row r="301" spans="1:12" ht="60" customHeight="1">
      <c r="A301" s="41"/>
      <c r="B301" s="43"/>
      <c r="C301" s="44"/>
      <c r="D301" s="51"/>
      <c r="E301" s="44"/>
      <c r="F301" s="44"/>
      <c r="G301" s="34">
        <f t="shared" si="16"/>
        <v>0</v>
      </c>
      <c r="H301" s="34" t="str">
        <f t="shared" si="17"/>
        <v/>
      </c>
      <c r="I301" s="52" t="str">
        <f t="shared" si="18"/>
        <v/>
      </c>
      <c r="J301" s="34">
        <f>IF(AND(A301&lt;&gt;"",ISTEXT(A301),COUNTIFS(Processos!$AS$10:$AS$509,"="&amp;SUBSTITUTE(SUBSTITUTE(SUBSTITUTE("P:"&amp;A301,"~","~~"),"*","~*"),"?","~?"))=1),(IF(ISNA(MATCH(SUBSTITUTE(SUBSTITUTE(SUBSTITUTE("P:"&amp;A301,"~","~~"),"*","~*"),"?","~?"),Processos!$AS$10:$AS$509,0)),9,INDEX(Processos!$AM$10:$AM$509,MATCH(SUBSTITUTE(SUBSTITUTE(SUBSTITUTE("P:"&amp;A301,"~","~~"),"*","~*"),"?","~?"),Processos!$AS$10:$AS$509,0)))-9),0)</f>
        <v>0</v>
      </c>
      <c r="K301" s="34" t="str">
        <f t="shared" si="19"/>
        <v/>
      </c>
      <c r="L301" s="14">
        <f>ROW()</f>
        <v>301</v>
      </c>
    </row>
    <row r="302" spans="1:12" ht="60" customHeight="1">
      <c r="A302" s="41"/>
      <c r="B302" s="43"/>
      <c r="C302" s="44"/>
      <c r="D302" s="51"/>
      <c r="E302" s="44"/>
      <c r="F302" s="44"/>
      <c r="G302" s="34">
        <f t="shared" si="16"/>
        <v>0</v>
      </c>
      <c r="H302" s="34" t="str">
        <f t="shared" si="17"/>
        <v/>
      </c>
      <c r="I302" s="52" t="str">
        <f t="shared" si="18"/>
        <v/>
      </c>
      <c r="J302" s="34">
        <f>IF(AND(A302&lt;&gt;"",ISTEXT(A302),COUNTIFS(Processos!$AS$10:$AS$509,"="&amp;SUBSTITUTE(SUBSTITUTE(SUBSTITUTE("P:"&amp;A302,"~","~~"),"*","~*"),"?","~?"))=1),(IF(ISNA(MATCH(SUBSTITUTE(SUBSTITUTE(SUBSTITUTE("P:"&amp;A302,"~","~~"),"*","~*"),"?","~?"),Processos!$AS$10:$AS$509,0)),9,INDEX(Processos!$AM$10:$AM$509,MATCH(SUBSTITUTE(SUBSTITUTE(SUBSTITUTE("P:"&amp;A302,"~","~~"),"*","~*"),"?","~?"),Processos!$AS$10:$AS$509,0)))-9),0)</f>
        <v>0</v>
      </c>
      <c r="K302" s="34" t="str">
        <f t="shared" si="19"/>
        <v/>
      </c>
      <c r="L302" s="14">
        <f>ROW()</f>
        <v>302</v>
      </c>
    </row>
    <row r="303" spans="1:12" ht="60" customHeight="1">
      <c r="A303" s="41"/>
      <c r="B303" s="43"/>
      <c r="C303" s="44"/>
      <c r="D303" s="51"/>
      <c r="E303" s="44"/>
      <c r="F303" s="44"/>
      <c r="G303" s="34">
        <f t="shared" si="16"/>
        <v>0</v>
      </c>
      <c r="H303" s="34" t="str">
        <f t="shared" si="17"/>
        <v/>
      </c>
      <c r="I303" s="52" t="str">
        <f t="shared" si="18"/>
        <v/>
      </c>
      <c r="J303" s="34">
        <f>IF(AND(A303&lt;&gt;"",ISTEXT(A303),COUNTIFS(Processos!$AS$10:$AS$509,"="&amp;SUBSTITUTE(SUBSTITUTE(SUBSTITUTE("P:"&amp;A303,"~","~~"),"*","~*"),"?","~?"))=1),(IF(ISNA(MATCH(SUBSTITUTE(SUBSTITUTE(SUBSTITUTE("P:"&amp;A303,"~","~~"),"*","~*"),"?","~?"),Processos!$AS$10:$AS$509,0)),9,INDEX(Processos!$AM$10:$AM$509,MATCH(SUBSTITUTE(SUBSTITUTE(SUBSTITUTE("P:"&amp;A303,"~","~~"),"*","~*"),"?","~?"),Processos!$AS$10:$AS$509,0)))-9),0)</f>
        <v>0</v>
      </c>
      <c r="K303" s="34" t="str">
        <f t="shared" si="19"/>
        <v/>
      </c>
      <c r="L303" s="14">
        <f>ROW()</f>
        <v>303</v>
      </c>
    </row>
    <row r="304" spans="1:12" ht="60" customHeight="1">
      <c r="A304" s="41"/>
      <c r="B304" s="43"/>
      <c r="C304" s="44"/>
      <c r="D304" s="51"/>
      <c r="E304" s="44"/>
      <c r="F304" s="44"/>
      <c r="G304" s="34">
        <f t="shared" si="16"/>
        <v>0</v>
      </c>
      <c r="H304" s="34" t="str">
        <f t="shared" si="17"/>
        <v/>
      </c>
      <c r="I304" s="52" t="str">
        <f t="shared" si="18"/>
        <v/>
      </c>
      <c r="J304" s="34">
        <f>IF(AND(A304&lt;&gt;"",ISTEXT(A304),COUNTIFS(Processos!$AS$10:$AS$509,"="&amp;SUBSTITUTE(SUBSTITUTE(SUBSTITUTE("P:"&amp;A304,"~","~~"),"*","~*"),"?","~?"))=1),(IF(ISNA(MATCH(SUBSTITUTE(SUBSTITUTE(SUBSTITUTE("P:"&amp;A304,"~","~~"),"*","~*"),"?","~?"),Processos!$AS$10:$AS$509,0)),9,INDEX(Processos!$AM$10:$AM$509,MATCH(SUBSTITUTE(SUBSTITUTE(SUBSTITUTE("P:"&amp;A304,"~","~~"),"*","~*"),"?","~?"),Processos!$AS$10:$AS$509,0)))-9),0)</f>
        <v>0</v>
      </c>
      <c r="K304" s="34" t="str">
        <f t="shared" si="19"/>
        <v/>
      </c>
      <c r="L304" s="14">
        <f>ROW()</f>
        <v>304</v>
      </c>
    </row>
    <row r="305" spans="1:12" ht="60" customHeight="1">
      <c r="A305" s="41"/>
      <c r="B305" s="43"/>
      <c r="C305" s="44"/>
      <c r="D305" s="51"/>
      <c r="E305" s="44"/>
      <c r="F305" s="44"/>
      <c r="G305" s="34">
        <f t="shared" si="16"/>
        <v>0</v>
      </c>
      <c r="H305" s="34" t="str">
        <f t="shared" si="17"/>
        <v/>
      </c>
      <c r="I305" s="52" t="str">
        <f t="shared" si="18"/>
        <v/>
      </c>
      <c r="J305" s="34">
        <f>IF(AND(A305&lt;&gt;"",ISTEXT(A305),COUNTIFS(Processos!$AS$10:$AS$509,"="&amp;SUBSTITUTE(SUBSTITUTE(SUBSTITUTE("P:"&amp;A305,"~","~~"),"*","~*"),"?","~?"))=1),(IF(ISNA(MATCH(SUBSTITUTE(SUBSTITUTE(SUBSTITUTE("P:"&amp;A305,"~","~~"),"*","~*"),"?","~?"),Processos!$AS$10:$AS$509,0)),9,INDEX(Processos!$AM$10:$AM$509,MATCH(SUBSTITUTE(SUBSTITUTE(SUBSTITUTE("P:"&amp;A305,"~","~~"),"*","~*"),"?","~?"),Processos!$AS$10:$AS$509,0)))-9),0)</f>
        <v>0</v>
      </c>
      <c r="K305" s="34" t="str">
        <f t="shared" si="19"/>
        <v/>
      </c>
      <c r="L305" s="14">
        <f>ROW()</f>
        <v>305</v>
      </c>
    </row>
    <row r="306" spans="1:12" ht="60" customHeight="1">
      <c r="A306" s="41"/>
      <c r="B306" s="43"/>
      <c r="C306" s="44"/>
      <c r="D306" s="51"/>
      <c r="E306" s="44"/>
      <c r="F306" s="44"/>
      <c r="G306" s="34">
        <f t="shared" si="16"/>
        <v>0</v>
      </c>
      <c r="H306" s="34" t="str">
        <f t="shared" si="17"/>
        <v/>
      </c>
      <c r="I306" s="52" t="str">
        <f t="shared" si="18"/>
        <v/>
      </c>
      <c r="J306" s="34">
        <f>IF(AND(A306&lt;&gt;"",ISTEXT(A306),COUNTIFS(Processos!$AS$10:$AS$509,"="&amp;SUBSTITUTE(SUBSTITUTE(SUBSTITUTE("P:"&amp;A306,"~","~~"),"*","~*"),"?","~?"))=1),(IF(ISNA(MATCH(SUBSTITUTE(SUBSTITUTE(SUBSTITUTE("P:"&amp;A306,"~","~~"),"*","~*"),"?","~?"),Processos!$AS$10:$AS$509,0)),9,INDEX(Processos!$AM$10:$AM$509,MATCH(SUBSTITUTE(SUBSTITUTE(SUBSTITUTE("P:"&amp;A306,"~","~~"),"*","~*"),"?","~?"),Processos!$AS$10:$AS$509,0)))-9),0)</f>
        <v>0</v>
      </c>
      <c r="K306" s="34" t="str">
        <f t="shared" si="19"/>
        <v/>
      </c>
      <c r="L306" s="14">
        <f>ROW()</f>
        <v>306</v>
      </c>
    </row>
    <row r="307" spans="1:12" ht="60" customHeight="1">
      <c r="A307" s="41"/>
      <c r="B307" s="43"/>
      <c r="C307" s="44"/>
      <c r="D307" s="51"/>
      <c r="E307" s="44"/>
      <c r="F307" s="44"/>
      <c r="G307" s="34">
        <f t="shared" si="16"/>
        <v>0</v>
      </c>
      <c r="H307" s="34" t="str">
        <f t="shared" si="17"/>
        <v/>
      </c>
      <c r="I307" s="52" t="str">
        <f t="shared" si="18"/>
        <v/>
      </c>
      <c r="J307" s="34">
        <f>IF(AND(A307&lt;&gt;"",ISTEXT(A307),COUNTIFS(Processos!$AS$10:$AS$509,"="&amp;SUBSTITUTE(SUBSTITUTE(SUBSTITUTE("P:"&amp;A307,"~","~~"),"*","~*"),"?","~?"))=1),(IF(ISNA(MATCH(SUBSTITUTE(SUBSTITUTE(SUBSTITUTE("P:"&amp;A307,"~","~~"),"*","~*"),"?","~?"),Processos!$AS$10:$AS$509,0)),9,INDEX(Processos!$AM$10:$AM$509,MATCH(SUBSTITUTE(SUBSTITUTE(SUBSTITUTE("P:"&amp;A307,"~","~~"),"*","~*"),"?","~?"),Processos!$AS$10:$AS$509,0)))-9),0)</f>
        <v>0</v>
      </c>
      <c r="K307" s="34" t="str">
        <f t="shared" si="19"/>
        <v/>
      </c>
      <c r="L307" s="14">
        <f>ROW()</f>
        <v>307</v>
      </c>
    </row>
    <row r="308" spans="1:12" ht="60" customHeight="1">
      <c r="A308" s="41"/>
      <c r="B308" s="43"/>
      <c r="C308" s="44"/>
      <c r="D308" s="51"/>
      <c r="E308" s="44"/>
      <c r="F308" s="44"/>
      <c r="G308" s="34">
        <f t="shared" si="16"/>
        <v>0</v>
      </c>
      <c r="H308" s="34" t="str">
        <f t="shared" si="17"/>
        <v/>
      </c>
      <c r="I308" s="52" t="str">
        <f t="shared" si="18"/>
        <v/>
      </c>
      <c r="J308" s="34">
        <f>IF(AND(A308&lt;&gt;"",ISTEXT(A308),COUNTIFS(Processos!$AS$10:$AS$509,"="&amp;SUBSTITUTE(SUBSTITUTE(SUBSTITUTE("P:"&amp;A308,"~","~~"),"*","~*"),"?","~?"))=1),(IF(ISNA(MATCH(SUBSTITUTE(SUBSTITUTE(SUBSTITUTE("P:"&amp;A308,"~","~~"),"*","~*"),"?","~?"),Processos!$AS$10:$AS$509,0)),9,INDEX(Processos!$AM$10:$AM$509,MATCH(SUBSTITUTE(SUBSTITUTE(SUBSTITUTE("P:"&amp;A308,"~","~~"),"*","~*"),"?","~?"),Processos!$AS$10:$AS$509,0)))-9),0)</f>
        <v>0</v>
      </c>
      <c r="K308" s="34" t="str">
        <f t="shared" si="19"/>
        <v/>
      </c>
      <c r="L308" s="14">
        <f>ROW()</f>
        <v>308</v>
      </c>
    </row>
    <row r="309" spans="1:12" ht="60" customHeight="1">
      <c r="A309" s="41"/>
      <c r="B309" s="43"/>
      <c r="C309" s="44"/>
      <c r="D309" s="51"/>
      <c r="E309" s="44"/>
      <c r="F309" s="44"/>
      <c r="G309" s="34">
        <f t="shared" si="16"/>
        <v>0</v>
      </c>
      <c r="H309" s="34" t="str">
        <f t="shared" si="17"/>
        <v/>
      </c>
      <c r="I309" s="52" t="str">
        <f t="shared" si="18"/>
        <v/>
      </c>
      <c r="J309" s="34">
        <f>IF(AND(A309&lt;&gt;"",ISTEXT(A309),COUNTIFS(Processos!$AS$10:$AS$509,"="&amp;SUBSTITUTE(SUBSTITUTE(SUBSTITUTE("P:"&amp;A309,"~","~~"),"*","~*"),"?","~?"))=1),(IF(ISNA(MATCH(SUBSTITUTE(SUBSTITUTE(SUBSTITUTE("P:"&amp;A309,"~","~~"),"*","~*"),"?","~?"),Processos!$AS$10:$AS$509,0)),9,INDEX(Processos!$AM$10:$AM$509,MATCH(SUBSTITUTE(SUBSTITUTE(SUBSTITUTE("P:"&amp;A309,"~","~~"),"*","~*"),"?","~?"),Processos!$AS$10:$AS$509,0)))-9),0)</f>
        <v>0</v>
      </c>
      <c r="K309" s="34" t="str">
        <f t="shared" si="19"/>
        <v/>
      </c>
      <c r="L309" s="14">
        <f>ROW()</f>
        <v>309</v>
      </c>
    </row>
    <row r="310" spans="1:12" ht="60" customHeight="1">
      <c r="A310" s="41"/>
      <c r="B310" s="43"/>
      <c r="C310" s="44"/>
      <c r="D310" s="51"/>
      <c r="E310" s="44"/>
      <c r="F310" s="44"/>
      <c r="G310" s="34">
        <f t="shared" si="16"/>
        <v>0</v>
      </c>
      <c r="H310" s="34" t="str">
        <f t="shared" si="17"/>
        <v/>
      </c>
      <c r="I310" s="52" t="str">
        <f t="shared" si="18"/>
        <v/>
      </c>
      <c r="J310" s="34">
        <f>IF(AND(A310&lt;&gt;"",ISTEXT(A310),COUNTIFS(Processos!$AS$10:$AS$509,"="&amp;SUBSTITUTE(SUBSTITUTE(SUBSTITUTE("P:"&amp;A310,"~","~~"),"*","~*"),"?","~?"))=1),(IF(ISNA(MATCH(SUBSTITUTE(SUBSTITUTE(SUBSTITUTE("P:"&amp;A310,"~","~~"),"*","~*"),"?","~?"),Processos!$AS$10:$AS$509,0)),9,INDEX(Processos!$AM$10:$AM$509,MATCH(SUBSTITUTE(SUBSTITUTE(SUBSTITUTE("P:"&amp;A310,"~","~~"),"*","~*"),"?","~?"),Processos!$AS$10:$AS$509,0)))-9),0)</f>
        <v>0</v>
      </c>
      <c r="K310" s="34" t="str">
        <f t="shared" si="19"/>
        <v/>
      </c>
      <c r="L310" s="14">
        <f>ROW()</f>
        <v>310</v>
      </c>
    </row>
    <row r="311" spans="1:12" ht="60" customHeight="1">
      <c r="A311" s="41"/>
      <c r="B311" s="43"/>
      <c r="C311" s="44"/>
      <c r="D311" s="51"/>
      <c r="E311" s="44"/>
      <c r="F311" s="44"/>
      <c r="G311" s="34">
        <f t="shared" si="16"/>
        <v>0</v>
      </c>
      <c r="H311" s="34" t="str">
        <f t="shared" si="17"/>
        <v/>
      </c>
      <c r="I311" s="52" t="str">
        <f t="shared" si="18"/>
        <v/>
      </c>
      <c r="J311" s="34">
        <f>IF(AND(A311&lt;&gt;"",ISTEXT(A311),COUNTIFS(Processos!$AS$10:$AS$509,"="&amp;SUBSTITUTE(SUBSTITUTE(SUBSTITUTE("P:"&amp;A311,"~","~~"),"*","~*"),"?","~?"))=1),(IF(ISNA(MATCH(SUBSTITUTE(SUBSTITUTE(SUBSTITUTE("P:"&amp;A311,"~","~~"),"*","~*"),"?","~?"),Processos!$AS$10:$AS$509,0)),9,INDEX(Processos!$AM$10:$AM$509,MATCH(SUBSTITUTE(SUBSTITUTE(SUBSTITUTE("P:"&amp;A311,"~","~~"),"*","~*"),"?","~?"),Processos!$AS$10:$AS$509,0)))-9),0)</f>
        <v>0</v>
      </c>
      <c r="K311" s="34" t="str">
        <f t="shared" si="19"/>
        <v/>
      </c>
      <c r="L311" s="14">
        <f>ROW()</f>
        <v>311</v>
      </c>
    </row>
    <row r="312" spans="1:12" ht="60" customHeight="1">
      <c r="A312" s="41"/>
      <c r="B312" s="43"/>
      <c r="C312" s="44"/>
      <c r="D312" s="51"/>
      <c r="E312" s="44"/>
      <c r="F312" s="44"/>
      <c r="G312" s="34">
        <f t="shared" si="16"/>
        <v>0</v>
      </c>
      <c r="H312" s="34" t="str">
        <f t="shared" si="17"/>
        <v/>
      </c>
      <c r="I312" s="52" t="str">
        <f t="shared" si="18"/>
        <v/>
      </c>
      <c r="J312" s="34">
        <f>IF(AND(A312&lt;&gt;"",ISTEXT(A312),COUNTIFS(Processos!$AS$10:$AS$509,"="&amp;SUBSTITUTE(SUBSTITUTE(SUBSTITUTE("P:"&amp;A312,"~","~~"),"*","~*"),"?","~?"))=1),(IF(ISNA(MATCH(SUBSTITUTE(SUBSTITUTE(SUBSTITUTE("P:"&amp;A312,"~","~~"),"*","~*"),"?","~?"),Processos!$AS$10:$AS$509,0)),9,INDEX(Processos!$AM$10:$AM$509,MATCH(SUBSTITUTE(SUBSTITUTE(SUBSTITUTE("P:"&amp;A312,"~","~~"),"*","~*"),"?","~?"),Processos!$AS$10:$AS$509,0)))-9),0)</f>
        <v>0</v>
      </c>
      <c r="K312" s="34" t="str">
        <f t="shared" si="19"/>
        <v/>
      </c>
      <c r="L312" s="14">
        <f>ROW()</f>
        <v>312</v>
      </c>
    </row>
    <row r="313" spans="1:12" ht="60" customHeight="1">
      <c r="A313" s="41"/>
      <c r="B313" s="43"/>
      <c r="C313" s="44"/>
      <c r="D313" s="51"/>
      <c r="E313" s="44"/>
      <c r="F313" s="44"/>
      <c r="G313" s="34">
        <f t="shared" si="16"/>
        <v>0</v>
      </c>
      <c r="H313" s="34" t="str">
        <f t="shared" si="17"/>
        <v/>
      </c>
      <c r="I313" s="52" t="str">
        <f t="shared" si="18"/>
        <v/>
      </c>
      <c r="J313" s="34">
        <f>IF(AND(A313&lt;&gt;"",ISTEXT(A313),COUNTIFS(Processos!$AS$10:$AS$509,"="&amp;SUBSTITUTE(SUBSTITUTE(SUBSTITUTE("P:"&amp;A313,"~","~~"),"*","~*"),"?","~?"))=1),(IF(ISNA(MATCH(SUBSTITUTE(SUBSTITUTE(SUBSTITUTE("P:"&amp;A313,"~","~~"),"*","~*"),"?","~?"),Processos!$AS$10:$AS$509,0)),9,INDEX(Processos!$AM$10:$AM$509,MATCH(SUBSTITUTE(SUBSTITUTE(SUBSTITUTE("P:"&amp;A313,"~","~~"),"*","~*"),"?","~?"),Processos!$AS$10:$AS$509,0)))-9),0)</f>
        <v>0</v>
      </c>
      <c r="K313" s="34" t="str">
        <f t="shared" si="19"/>
        <v/>
      </c>
      <c r="L313" s="14">
        <f>ROW()</f>
        <v>313</v>
      </c>
    </row>
    <row r="314" spans="1:12" ht="60" customHeight="1">
      <c r="A314" s="41"/>
      <c r="B314" s="43"/>
      <c r="C314" s="44"/>
      <c r="D314" s="51"/>
      <c r="E314" s="44"/>
      <c r="F314" s="44"/>
      <c r="G314" s="34">
        <f t="shared" si="16"/>
        <v>0</v>
      </c>
      <c r="H314" s="34" t="str">
        <f t="shared" si="17"/>
        <v/>
      </c>
      <c r="I314" s="52" t="str">
        <f t="shared" si="18"/>
        <v/>
      </c>
      <c r="J314" s="34">
        <f>IF(AND(A314&lt;&gt;"",ISTEXT(A314),COUNTIFS(Processos!$AS$10:$AS$509,"="&amp;SUBSTITUTE(SUBSTITUTE(SUBSTITUTE("P:"&amp;A314,"~","~~"),"*","~*"),"?","~?"))=1),(IF(ISNA(MATCH(SUBSTITUTE(SUBSTITUTE(SUBSTITUTE("P:"&amp;A314,"~","~~"),"*","~*"),"?","~?"),Processos!$AS$10:$AS$509,0)),9,INDEX(Processos!$AM$10:$AM$509,MATCH(SUBSTITUTE(SUBSTITUTE(SUBSTITUTE("P:"&amp;A314,"~","~~"),"*","~*"),"?","~?"),Processos!$AS$10:$AS$509,0)))-9),0)</f>
        <v>0</v>
      </c>
      <c r="K314" s="34" t="str">
        <f t="shared" si="19"/>
        <v/>
      </c>
      <c r="L314" s="14">
        <f>ROW()</f>
        <v>314</v>
      </c>
    </row>
    <row r="315" spans="1:12" ht="60" customHeight="1">
      <c r="A315" s="41"/>
      <c r="B315" s="43"/>
      <c r="C315" s="44"/>
      <c r="D315" s="51"/>
      <c r="E315" s="44"/>
      <c r="F315" s="44"/>
      <c r="G315" s="34">
        <f t="shared" si="16"/>
        <v>0</v>
      </c>
      <c r="H315" s="34" t="str">
        <f t="shared" si="17"/>
        <v/>
      </c>
      <c r="I315" s="52" t="str">
        <f t="shared" si="18"/>
        <v/>
      </c>
      <c r="J315" s="34">
        <f>IF(AND(A315&lt;&gt;"",ISTEXT(A315),COUNTIFS(Processos!$AS$10:$AS$509,"="&amp;SUBSTITUTE(SUBSTITUTE(SUBSTITUTE("P:"&amp;A315,"~","~~"),"*","~*"),"?","~?"))=1),(IF(ISNA(MATCH(SUBSTITUTE(SUBSTITUTE(SUBSTITUTE("P:"&amp;A315,"~","~~"),"*","~*"),"?","~?"),Processos!$AS$10:$AS$509,0)),9,INDEX(Processos!$AM$10:$AM$509,MATCH(SUBSTITUTE(SUBSTITUTE(SUBSTITUTE("P:"&amp;A315,"~","~~"),"*","~*"),"?","~?"),Processos!$AS$10:$AS$509,0)))-9),0)</f>
        <v>0</v>
      </c>
      <c r="K315" s="34" t="str">
        <f t="shared" si="19"/>
        <v/>
      </c>
      <c r="L315" s="14">
        <f>ROW()</f>
        <v>315</v>
      </c>
    </row>
    <row r="316" spans="1:12" ht="60" customHeight="1">
      <c r="A316" s="41"/>
      <c r="B316" s="43"/>
      <c r="C316" s="44"/>
      <c r="D316" s="51"/>
      <c r="E316" s="44"/>
      <c r="F316" s="44"/>
      <c r="G316" s="34">
        <f t="shared" si="16"/>
        <v>0</v>
      </c>
      <c r="H316" s="34" t="str">
        <f t="shared" si="17"/>
        <v/>
      </c>
      <c r="I316" s="52" t="str">
        <f t="shared" si="18"/>
        <v/>
      </c>
      <c r="J316" s="34">
        <f>IF(AND(A316&lt;&gt;"",ISTEXT(A316),COUNTIFS(Processos!$AS$10:$AS$509,"="&amp;SUBSTITUTE(SUBSTITUTE(SUBSTITUTE("P:"&amp;A316,"~","~~"),"*","~*"),"?","~?"))=1),(IF(ISNA(MATCH(SUBSTITUTE(SUBSTITUTE(SUBSTITUTE("P:"&amp;A316,"~","~~"),"*","~*"),"?","~?"),Processos!$AS$10:$AS$509,0)),9,INDEX(Processos!$AM$10:$AM$509,MATCH(SUBSTITUTE(SUBSTITUTE(SUBSTITUTE("P:"&amp;A316,"~","~~"),"*","~*"),"?","~?"),Processos!$AS$10:$AS$509,0)))-9),0)</f>
        <v>0</v>
      </c>
      <c r="K316" s="34" t="str">
        <f t="shared" si="19"/>
        <v/>
      </c>
      <c r="L316" s="14">
        <f>ROW()</f>
        <v>316</v>
      </c>
    </row>
    <row r="317" spans="1:12" ht="60" customHeight="1">
      <c r="A317" s="41"/>
      <c r="B317" s="43"/>
      <c r="C317" s="44"/>
      <c r="D317" s="51"/>
      <c r="E317" s="44"/>
      <c r="F317" s="44"/>
      <c r="G317" s="34">
        <f t="shared" si="16"/>
        <v>0</v>
      </c>
      <c r="H317" s="34" t="str">
        <f t="shared" si="17"/>
        <v/>
      </c>
      <c r="I317" s="52" t="str">
        <f t="shared" si="18"/>
        <v/>
      </c>
      <c r="J317" s="34">
        <f>IF(AND(A317&lt;&gt;"",ISTEXT(A317),COUNTIFS(Processos!$AS$10:$AS$509,"="&amp;SUBSTITUTE(SUBSTITUTE(SUBSTITUTE("P:"&amp;A317,"~","~~"),"*","~*"),"?","~?"))=1),(IF(ISNA(MATCH(SUBSTITUTE(SUBSTITUTE(SUBSTITUTE("P:"&amp;A317,"~","~~"),"*","~*"),"?","~?"),Processos!$AS$10:$AS$509,0)),9,INDEX(Processos!$AM$10:$AM$509,MATCH(SUBSTITUTE(SUBSTITUTE(SUBSTITUTE("P:"&amp;A317,"~","~~"),"*","~*"),"?","~?"),Processos!$AS$10:$AS$509,0)))-9),0)</f>
        <v>0</v>
      </c>
      <c r="K317" s="34" t="str">
        <f t="shared" si="19"/>
        <v/>
      </c>
      <c r="L317" s="14">
        <f>ROW()</f>
        <v>317</v>
      </c>
    </row>
    <row r="318" spans="1:12" ht="60" customHeight="1">
      <c r="A318" s="41"/>
      <c r="B318" s="43"/>
      <c r="C318" s="44"/>
      <c r="D318" s="51"/>
      <c r="E318" s="44"/>
      <c r="F318" s="44"/>
      <c r="G318" s="34">
        <f t="shared" si="16"/>
        <v>0</v>
      </c>
      <c r="H318" s="34" t="str">
        <f t="shared" si="17"/>
        <v/>
      </c>
      <c r="I318" s="52" t="str">
        <f t="shared" si="18"/>
        <v/>
      </c>
      <c r="J318" s="34">
        <f>IF(AND(A318&lt;&gt;"",ISTEXT(A318),COUNTIFS(Processos!$AS$10:$AS$509,"="&amp;SUBSTITUTE(SUBSTITUTE(SUBSTITUTE("P:"&amp;A318,"~","~~"),"*","~*"),"?","~?"))=1),(IF(ISNA(MATCH(SUBSTITUTE(SUBSTITUTE(SUBSTITUTE("P:"&amp;A318,"~","~~"),"*","~*"),"?","~?"),Processos!$AS$10:$AS$509,0)),9,INDEX(Processos!$AM$10:$AM$509,MATCH(SUBSTITUTE(SUBSTITUTE(SUBSTITUTE("P:"&amp;A318,"~","~~"),"*","~*"),"?","~?"),Processos!$AS$10:$AS$509,0)))-9),0)</f>
        <v>0</v>
      </c>
      <c r="K318" s="34" t="str">
        <f t="shared" si="19"/>
        <v/>
      </c>
      <c r="L318" s="14">
        <f>ROW()</f>
        <v>318</v>
      </c>
    </row>
    <row r="319" spans="1:12" ht="60" customHeight="1">
      <c r="A319" s="41"/>
      <c r="B319" s="43"/>
      <c r="C319" s="44"/>
      <c r="D319" s="51"/>
      <c r="E319" s="44"/>
      <c r="F319" s="44"/>
      <c r="G319" s="34">
        <f t="shared" si="16"/>
        <v>0</v>
      </c>
      <c r="H319" s="34" t="str">
        <f t="shared" si="17"/>
        <v/>
      </c>
      <c r="I319" s="52" t="str">
        <f t="shared" si="18"/>
        <v/>
      </c>
      <c r="J319" s="34">
        <f>IF(AND(A319&lt;&gt;"",ISTEXT(A319),COUNTIFS(Processos!$AS$10:$AS$509,"="&amp;SUBSTITUTE(SUBSTITUTE(SUBSTITUTE("P:"&amp;A319,"~","~~"),"*","~*"),"?","~?"))=1),(IF(ISNA(MATCH(SUBSTITUTE(SUBSTITUTE(SUBSTITUTE("P:"&amp;A319,"~","~~"),"*","~*"),"?","~?"),Processos!$AS$10:$AS$509,0)),9,INDEX(Processos!$AM$10:$AM$509,MATCH(SUBSTITUTE(SUBSTITUTE(SUBSTITUTE("P:"&amp;A319,"~","~~"),"*","~*"),"?","~?"),Processos!$AS$10:$AS$509,0)))-9),0)</f>
        <v>0</v>
      </c>
      <c r="K319" s="34" t="str">
        <f t="shared" si="19"/>
        <v/>
      </c>
      <c r="L319" s="14">
        <f>ROW()</f>
        <v>319</v>
      </c>
    </row>
    <row r="320" spans="1:12" ht="60" customHeight="1">
      <c r="A320" s="41"/>
      <c r="B320" s="43"/>
      <c r="C320" s="44"/>
      <c r="D320" s="51"/>
      <c r="E320" s="44"/>
      <c r="F320" s="44"/>
      <c r="G320" s="34">
        <f t="shared" si="16"/>
        <v>0</v>
      </c>
      <c r="H320" s="34" t="str">
        <f t="shared" si="17"/>
        <v/>
      </c>
      <c r="I320" s="52" t="str">
        <f t="shared" si="18"/>
        <v/>
      </c>
      <c r="J320" s="34">
        <f>IF(AND(A320&lt;&gt;"",ISTEXT(A320),COUNTIFS(Processos!$AS$10:$AS$509,"="&amp;SUBSTITUTE(SUBSTITUTE(SUBSTITUTE("P:"&amp;A320,"~","~~"),"*","~*"),"?","~?"))=1),(IF(ISNA(MATCH(SUBSTITUTE(SUBSTITUTE(SUBSTITUTE("P:"&amp;A320,"~","~~"),"*","~*"),"?","~?"),Processos!$AS$10:$AS$509,0)),9,INDEX(Processos!$AM$10:$AM$509,MATCH(SUBSTITUTE(SUBSTITUTE(SUBSTITUTE("P:"&amp;A320,"~","~~"),"*","~*"),"?","~?"),Processos!$AS$10:$AS$509,0)))-9),0)</f>
        <v>0</v>
      </c>
      <c r="K320" s="34" t="str">
        <f t="shared" si="19"/>
        <v/>
      </c>
      <c r="L320" s="14">
        <f>ROW()</f>
        <v>320</v>
      </c>
    </row>
    <row r="321" spans="1:12" ht="60" customHeight="1">
      <c r="A321" s="41"/>
      <c r="B321" s="43"/>
      <c r="C321" s="44"/>
      <c r="D321" s="51"/>
      <c r="E321" s="44"/>
      <c r="F321" s="44"/>
      <c r="G321" s="34">
        <f t="shared" si="16"/>
        <v>0</v>
      </c>
      <c r="H321" s="34" t="str">
        <f t="shared" si="17"/>
        <v/>
      </c>
      <c r="I321" s="52" t="str">
        <f t="shared" si="18"/>
        <v/>
      </c>
      <c r="J321" s="34">
        <f>IF(AND(A321&lt;&gt;"",ISTEXT(A321),COUNTIFS(Processos!$AS$10:$AS$509,"="&amp;SUBSTITUTE(SUBSTITUTE(SUBSTITUTE("P:"&amp;A321,"~","~~"),"*","~*"),"?","~?"))=1),(IF(ISNA(MATCH(SUBSTITUTE(SUBSTITUTE(SUBSTITUTE("P:"&amp;A321,"~","~~"),"*","~*"),"?","~?"),Processos!$AS$10:$AS$509,0)),9,INDEX(Processos!$AM$10:$AM$509,MATCH(SUBSTITUTE(SUBSTITUTE(SUBSTITUTE("P:"&amp;A321,"~","~~"),"*","~*"),"?","~?"),Processos!$AS$10:$AS$509,0)))-9),0)</f>
        <v>0</v>
      </c>
      <c r="K321" s="34" t="str">
        <f t="shared" si="19"/>
        <v/>
      </c>
      <c r="L321" s="14">
        <f>ROW()</f>
        <v>321</v>
      </c>
    </row>
    <row r="322" spans="1:12" ht="60" customHeight="1">
      <c r="A322" s="41"/>
      <c r="B322" s="43"/>
      <c r="C322" s="44"/>
      <c r="D322" s="51"/>
      <c r="E322" s="44"/>
      <c r="F322" s="44"/>
      <c r="G322" s="34">
        <f t="shared" si="16"/>
        <v>0</v>
      </c>
      <c r="H322" s="34" t="str">
        <f t="shared" si="17"/>
        <v/>
      </c>
      <c r="I322" s="52" t="str">
        <f t="shared" si="18"/>
        <v/>
      </c>
      <c r="J322" s="34">
        <f>IF(AND(A322&lt;&gt;"",ISTEXT(A322),COUNTIFS(Processos!$AS$10:$AS$509,"="&amp;SUBSTITUTE(SUBSTITUTE(SUBSTITUTE("P:"&amp;A322,"~","~~"),"*","~*"),"?","~?"))=1),(IF(ISNA(MATCH(SUBSTITUTE(SUBSTITUTE(SUBSTITUTE("P:"&amp;A322,"~","~~"),"*","~*"),"?","~?"),Processos!$AS$10:$AS$509,0)),9,INDEX(Processos!$AM$10:$AM$509,MATCH(SUBSTITUTE(SUBSTITUTE(SUBSTITUTE("P:"&amp;A322,"~","~~"),"*","~*"),"?","~?"),Processos!$AS$10:$AS$509,0)))-9),0)</f>
        <v>0</v>
      </c>
      <c r="K322" s="34" t="str">
        <f t="shared" si="19"/>
        <v/>
      </c>
      <c r="L322" s="14">
        <f>ROW()</f>
        <v>322</v>
      </c>
    </row>
    <row r="323" spans="1:12" ht="60" customHeight="1">
      <c r="A323" s="41"/>
      <c r="B323" s="43"/>
      <c r="C323" s="44"/>
      <c r="D323" s="51"/>
      <c r="E323" s="44"/>
      <c r="F323" s="44"/>
      <c r="G323" s="34">
        <f t="shared" si="16"/>
        <v>0</v>
      </c>
      <c r="H323" s="34" t="str">
        <f t="shared" si="17"/>
        <v/>
      </c>
      <c r="I323" s="52" t="str">
        <f t="shared" si="18"/>
        <v/>
      </c>
      <c r="J323" s="34">
        <f>IF(AND(A323&lt;&gt;"",ISTEXT(A323),COUNTIFS(Processos!$AS$10:$AS$509,"="&amp;SUBSTITUTE(SUBSTITUTE(SUBSTITUTE("P:"&amp;A323,"~","~~"),"*","~*"),"?","~?"))=1),(IF(ISNA(MATCH(SUBSTITUTE(SUBSTITUTE(SUBSTITUTE("P:"&amp;A323,"~","~~"),"*","~*"),"?","~?"),Processos!$AS$10:$AS$509,0)),9,INDEX(Processos!$AM$10:$AM$509,MATCH(SUBSTITUTE(SUBSTITUTE(SUBSTITUTE("P:"&amp;A323,"~","~~"),"*","~*"),"?","~?"),Processos!$AS$10:$AS$509,0)))-9),0)</f>
        <v>0</v>
      </c>
      <c r="K323" s="34" t="str">
        <f t="shared" si="19"/>
        <v/>
      </c>
      <c r="L323" s="14">
        <f>ROW()</f>
        <v>323</v>
      </c>
    </row>
    <row r="324" spans="1:12" ht="60" customHeight="1">
      <c r="A324" s="41"/>
      <c r="B324" s="43"/>
      <c r="C324" s="44"/>
      <c r="D324" s="51"/>
      <c r="E324" s="44"/>
      <c r="F324" s="44"/>
      <c r="G324" s="34">
        <f t="shared" si="16"/>
        <v>0</v>
      </c>
      <c r="H324" s="34" t="str">
        <f t="shared" si="17"/>
        <v/>
      </c>
      <c r="I324" s="52" t="str">
        <f t="shared" si="18"/>
        <v/>
      </c>
      <c r="J324" s="34">
        <f>IF(AND(A324&lt;&gt;"",ISTEXT(A324),COUNTIFS(Processos!$AS$10:$AS$509,"="&amp;SUBSTITUTE(SUBSTITUTE(SUBSTITUTE("P:"&amp;A324,"~","~~"),"*","~*"),"?","~?"))=1),(IF(ISNA(MATCH(SUBSTITUTE(SUBSTITUTE(SUBSTITUTE("P:"&amp;A324,"~","~~"),"*","~*"),"?","~?"),Processos!$AS$10:$AS$509,0)),9,INDEX(Processos!$AM$10:$AM$509,MATCH(SUBSTITUTE(SUBSTITUTE(SUBSTITUTE("P:"&amp;A324,"~","~~"),"*","~*"),"?","~?"),Processos!$AS$10:$AS$509,0)))-9),0)</f>
        <v>0</v>
      </c>
      <c r="K324" s="34" t="str">
        <f t="shared" si="19"/>
        <v/>
      </c>
      <c r="L324" s="14">
        <f>ROW()</f>
        <v>324</v>
      </c>
    </row>
    <row r="325" spans="1:12" ht="60" customHeight="1">
      <c r="A325" s="41"/>
      <c r="B325" s="43"/>
      <c r="C325" s="44"/>
      <c r="D325" s="51"/>
      <c r="E325" s="44"/>
      <c r="F325" s="44"/>
      <c r="G325" s="34">
        <f t="shared" si="16"/>
        <v>0</v>
      </c>
      <c r="H325" s="34" t="str">
        <f t="shared" si="17"/>
        <v/>
      </c>
      <c r="I325" s="52" t="str">
        <f t="shared" si="18"/>
        <v/>
      </c>
      <c r="J325" s="34">
        <f>IF(AND(A325&lt;&gt;"",ISTEXT(A325),COUNTIFS(Processos!$AS$10:$AS$509,"="&amp;SUBSTITUTE(SUBSTITUTE(SUBSTITUTE("P:"&amp;A325,"~","~~"),"*","~*"),"?","~?"))=1),(IF(ISNA(MATCH(SUBSTITUTE(SUBSTITUTE(SUBSTITUTE("P:"&amp;A325,"~","~~"),"*","~*"),"?","~?"),Processos!$AS$10:$AS$509,0)),9,INDEX(Processos!$AM$10:$AM$509,MATCH(SUBSTITUTE(SUBSTITUTE(SUBSTITUTE("P:"&amp;A325,"~","~~"),"*","~*"),"?","~?"),Processos!$AS$10:$AS$509,0)))-9),0)</f>
        <v>0</v>
      </c>
      <c r="K325" s="34" t="str">
        <f t="shared" si="19"/>
        <v/>
      </c>
      <c r="L325" s="14">
        <f>ROW()</f>
        <v>325</v>
      </c>
    </row>
    <row r="326" spans="1:12" ht="60" customHeight="1">
      <c r="A326" s="41"/>
      <c r="B326" s="43"/>
      <c r="C326" s="44"/>
      <c r="D326" s="51"/>
      <c r="E326" s="44"/>
      <c r="F326" s="44"/>
      <c r="G326" s="34">
        <f t="shared" si="16"/>
        <v>0</v>
      </c>
      <c r="H326" s="34" t="str">
        <f t="shared" si="17"/>
        <v/>
      </c>
      <c r="I326" s="52" t="str">
        <f t="shared" si="18"/>
        <v/>
      </c>
      <c r="J326" s="34">
        <f>IF(AND(A326&lt;&gt;"",ISTEXT(A326),COUNTIFS(Processos!$AS$10:$AS$509,"="&amp;SUBSTITUTE(SUBSTITUTE(SUBSTITUTE("P:"&amp;A326,"~","~~"),"*","~*"),"?","~?"))=1),(IF(ISNA(MATCH(SUBSTITUTE(SUBSTITUTE(SUBSTITUTE("P:"&amp;A326,"~","~~"),"*","~*"),"?","~?"),Processos!$AS$10:$AS$509,0)),9,INDEX(Processos!$AM$10:$AM$509,MATCH(SUBSTITUTE(SUBSTITUTE(SUBSTITUTE("P:"&amp;A326,"~","~~"),"*","~*"),"?","~?"),Processos!$AS$10:$AS$509,0)))-9),0)</f>
        <v>0</v>
      </c>
      <c r="K326" s="34" t="str">
        <f t="shared" si="19"/>
        <v/>
      </c>
      <c r="L326" s="14">
        <f>ROW()</f>
        <v>326</v>
      </c>
    </row>
    <row r="327" spans="1:12" ht="60" customHeight="1">
      <c r="A327" s="41"/>
      <c r="B327" s="43"/>
      <c r="C327" s="44"/>
      <c r="D327" s="51"/>
      <c r="E327" s="44"/>
      <c r="F327" s="44"/>
      <c r="G327" s="34">
        <f t="shared" si="16"/>
        <v>0</v>
      </c>
      <c r="H327" s="34" t="str">
        <f t="shared" si="17"/>
        <v/>
      </c>
      <c r="I327" s="52" t="str">
        <f t="shared" si="18"/>
        <v/>
      </c>
      <c r="J327" s="34">
        <f>IF(AND(A327&lt;&gt;"",ISTEXT(A327),COUNTIFS(Processos!$AS$10:$AS$509,"="&amp;SUBSTITUTE(SUBSTITUTE(SUBSTITUTE("P:"&amp;A327,"~","~~"),"*","~*"),"?","~?"))=1),(IF(ISNA(MATCH(SUBSTITUTE(SUBSTITUTE(SUBSTITUTE("P:"&amp;A327,"~","~~"),"*","~*"),"?","~?"),Processos!$AS$10:$AS$509,0)),9,INDEX(Processos!$AM$10:$AM$509,MATCH(SUBSTITUTE(SUBSTITUTE(SUBSTITUTE("P:"&amp;A327,"~","~~"),"*","~*"),"?","~?"),Processos!$AS$10:$AS$509,0)))-9),0)</f>
        <v>0</v>
      </c>
      <c r="K327" s="34" t="str">
        <f t="shared" si="19"/>
        <v/>
      </c>
      <c r="L327" s="14">
        <f>ROW()</f>
        <v>327</v>
      </c>
    </row>
    <row r="328" spans="1:12" ht="60" customHeight="1">
      <c r="A328" s="41"/>
      <c r="B328" s="43"/>
      <c r="C328" s="44"/>
      <c r="D328" s="51"/>
      <c r="E328" s="44"/>
      <c r="F328" s="44"/>
      <c r="G328" s="34">
        <f t="shared" si="16"/>
        <v>0</v>
      </c>
      <c r="H328" s="34" t="str">
        <f t="shared" si="17"/>
        <v/>
      </c>
      <c r="I328" s="52" t="str">
        <f t="shared" si="18"/>
        <v/>
      </c>
      <c r="J328" s="34">
        <f>IF(AND(A328&lt;&gt;"",ISTEXT(A328),COUNTIFS(Processos!$AS$10:$AS$509,"="&amp;SUBSTITUTE(SUBSTITUTE(SUBSTITUTE("P:"&amp;A328,"~","~~"),"*","~*"),"?","~?"))=1),(IF(ISNA(MATCH(SUBSTITUTE(SUBSTITUTE(SUBSTITUTE("P:"&amp;A328,"~","~~"),"*","~*"),"?","~?"),Processos!$AS$10:$AS$509,0)),9,INDEX(Processos!$AM$10:$AM$509,MATCH(SUBSTITUTE(SUBSTITUTE(SUBSTITUTE("P:"&amp;A328,"~","~~"),"*","~*"),"?","~?"),Processos!$AS$10:$AS$509,0)))-9),0)</f>
        <v>0</v>
      </c>
      <c r="K328" s="34" t="str">
        <f t="shared" si="19"/>
        <v/>
      </c>
      <c r="L328" s="14">
        <f>ROW()</f>
        <v>328</v>
      </c>
    </row>
    <row r="329" spans="1:12" ht="60" customHeight="1">
      <c r="A329" s="41"/>
      <c r="B329" s="43"/>
      <c r="C329" s="44"/>
      <c r="D329" s="51"/>
      <c r="E329" s="44"/>
      <c r="F329" s="44"/>
      <c r="G329" s="34">
        <f t="shared" si="16"/>
        <v>0</v>
      </c>
      <c r="H329" s="34" t="str">
        <f t="shared" si="17"/>
        <v/>
      </c>
      <c r="I329" s="52" t="str">
        <f t="shared" si="18"/>
        <v/>
      </c>
      <c r="J329" s="34">
        <f>IF(AND(A329&lt;&gt;"",ISTEXT(A329),COUNTIFS(Processos!$AS$10:$AS$509,"="&amp;SUBSTITUTE(SUBSTITUTE(SUBSTITUTE("P:"&amp;A329,"~","~~"),"*","~*"),"?","~?"))=1),(IF(ISNA(MATCH(SUBSTITUTE(SUBSTITUTE(SUBSTITUTE("P:"&amp;A329,"~","~~"),"*","~*"),"?","~?"),Processos!$AS$10:$AS$509,0)),9,INDEX(Processos!$AM$10:$AM$509,MATCH(SUBSTITUTE(SUBSTITUTE(SUBSTITUTE("P:"&amp;A329,"~","~~"),"*","~*"),"?","~?"),Processos!$AS$10:$AS$509,0)))-9),0)</f>
        <v>0</v>
      </c>
      <c r="K329" s="34" t="str">
        <f t="shared" si="19"/>
        <v/>
      </c>
      <c r="L329" s="14">
        <f>ROW()</f>
        <v>329</v>
      </c>
    </row>
    <row r="330" spans="1:12" ht="60" customHeight="1">
      <c r="A330" s="41"/>
      <c r="B330" s="43"/>
      <c r="C330" s="44"/>
      <c r="D330" s="51"/>
      <c r="E330" s="44"/>
      <c r="F330" s="44"/>
      <c r="G330" s="34">
        <f t="shared" ref="G330:G393" si="20">IF(AND(J330&gt;0,OR(B330="",AND(ISNUMBER(B330),B330&gt;=1,B330&lt;=100000)),ISNUMBER(D330),D330&gt;=1,D330&lt;=100000,C330&lt;&gt;""),1,0)</f>
        <v>0</v>
      </c>
      <c r="H330" s="34" t="str">
        <f t="shared" ref="H330:H393" si="21">IF(G330=1,K330&amp;"|"&amp;D330,"")</f>
        <v/>
      </c>
      <c r="I330" s="52" t="str">
        <f t="shared" ref="I330:I393" si="22">IF(COUNTA(A330:F330)=0,"",IF(A330="","Selecione o processo",IF(J330=0,"Processo inexistente, duplicado ou número não textual",IF(B330="","Informe a data do andamento",IF(C330="","Descreva o andamento",IF(D330="","Informe a data e hora do recebimento",IF(OR(NOT(ISNUMBER(B330)),B330&lt;1,B330&gt;100000),"Revise a data do andamento",IF(OR(NOT(ISNUMBER(D330)),D330&lt;1,D330&gt;100000),"Revise a data e hora do recebimento",IF(COUNTIFS($K$10:$K$2009,"="&amp;SUBSTITUTE(SUBSTITUTE(SUBSTITUTE("P:"&amp;A330,"~","~~"),"*","~*"),"?","~?"),$D$10:$D$2009,D330,$G$10:$G$2009,1)&gt;1,"Recebimentos empatados: revise a hora ou consolide o registro","")))))))))</f>
        <v/>
      </c>
      <c r="J330" s="34">
        <f>IF(AND(A330&lt;&gt;"",ISTEXT(A330),COUNTIFS(Processos!$AS$10:$AS$509,"="&amp;SUBSTITUTE(SUBSTITUTE(SUBSTITUTE("P:"&amp;A330,"~","~~"),"*","~*"),"?","~?"))=1),(IF(ISNA(MATCH(SUBSTITUTE(SUBSTITUTE(SUBSTITUTE("P:"&amp;A330,"~","~~"),"*","~*"),"?","~?"),Processos!$AS$10:$AS$509,0)),9,INDEX(Processos!$AM$10:$AM$509,MATCH(SUBSTITUTE(SUBSTITUTE(SUBSTITUTE("P:"&amp;A330,"~","~~"),"*","~*"),"?","~?"),Processos!$AS$10:$AS$509,0)))-9),0)</f>
        <v>0</v>
      </c>
      <c r="K330" s="34" t="str">
        <f t="shared" ref="K330:K393" si="23">IF(AND(A330&lt;&gt;"",ISTEXT(A330)),"P:"&amp;A330,"")</f>
        <v/>
      </c>
      <c r="L330" s="14">
        <f>ROW()</f>
        <v>330</v>
      </c>
    </row>
    <row r="331" spans="1:12" ht="60" customHeight="1">
      <c r="A331" s="41"/>
      <c r="B331" s="43"/>
      <c r="C331" s="44"/>
      <c r="D331" s="51"/>
      <c r="E331" s="44"/>
      <c r="F331" s="44"/>
      <c r="G331" s="34">
        <f t="shared" si="20"/>
        <v>0</v>
      </c>
      <c r="H331" s="34" t="str">
        <f t="shared" si="21"/>
        <v/>
      </c>
      <c r="I331" s="52" t="str">
        <f t="shared" si="22"/>
        <v/>
      </c>
      <c r="J331" s="34">
        <f>IF(AND(A331&lt;&gt;"",ISTEXT(A331),COUNTIFS(Processos!$AS$10:$AS$509,"="&amp;SUBSTITUTE(SUBSTITUTE(SUBSTITUTE("P:"&amp;A331,"~","~~"),"*","~*"),"?","~?"))=1),(IF(ISNA(MATCH(SUBSTITUTE(SUBSTITUTE(SUBSTITUTE("P:"&amp;A331,"~","~~"),"*","~*"),"?","~?"),Processos!$AS$10:$AS$509,0)),9,INDEX(Processos!$AM$10:$AM$509,MATCH(SUBSTITUTE(SUBSTITUTE(SUBSTITUTE("P:"&amp;A331,"~","~~"),"*","~*"),"?","~?"),Processos!$AS$10:$AS$509,0)))-9),0)</f>
        <v>0</v>
      </c>
      <c r="K331" s="34" t="str">
        <f t="shared" si="23"/>
        <v/>
      </c>
      <c r="L331" s="14">
        <f>ROW()</f>
        <v>331</v>
      </c>
    </row>
    <row r="332" spans="1:12" ht="60" customHeight="1">
      <c r="A332" s="41"/>
      <c r="B332" s="43"/>
      <c r="C332" s="44"/>
      <c r="D332" s="51"/>
      <c r="E332" s="44"/>
      <c r="F332" s="44"/>
      <c r="G332" s="34">
        <f t="shared" si="20"/>
        <v>0</v>
      </c>
      <c r="H332" s="34" t="str">
        <f t="shared" si="21"/>
        <v/>
      </c>
      <c r="I332" s="52" t="str">
        <f t="shared" si="22"/>
        <v/>
      </c>
      <c r="J332" s="34">
        <f>IF(AND(A332&lt;&gt;"",ISTEXT(A332),COUNTIFS(Processos!$AS$10:$AS$509,"="&amp;SUBSTITUTE(SUBSTITUTE(SUBSTITUTE("P:"&amp;A332,"~","~~"),"*","~*"),"?","~?"))=1),(IF(ISNA(MATCH(SUBSTITUTE(SUBSTITUTE(SUBSTITUTE("P:"&amp;A332,"~","~~"),"*","~*"),"?","~?"),Processos!$AS$10:$AS$509,0)),9,INDEX(Processos!$AM$10:$AM$509,MATCH(SUBSTITUTE(SUBSTITUTE(SUBSTITUTE("P:"&amp;A332,"~","~~"),"*","~*"),"?","~?"),Processos!$AS$10:$AS$509,0)))-9),0)</f>
        <v>0</v>
      </c>
      <c r="K332" s="34" t="str">
        <f t="shared" si="23"/>
        <v/>
      </c>
      <c r="L332" s="14">
        <f>ROW()</f>
        <v>332</v>
      </c>
    </row>
    <row r="333" spans="1:12" ht="60" customHeight="1">
      <c r="A333" s="41"/>
      <c r="B333" s="43"/>
      <c r="C333" s="44"/>
      <c r="D333" s="51"/>
      <c r="E333" s="44"/>
      <c r="F333" s="44"/>
      <c r="G333" s="34">
        <f t="shared" si="20"/>
        <v>0</v>
      </c>
      <c r="H333" s="34" t="str">
        <f t="shared" si="21"/>
        <v/>
      </c>
      <c r="I333" s="52" t="str">
        <f t="shared" si="22"/>
        <v/>
      </c>
      <c r="J333" s="34">
        <f>IF(AND(A333&lt;&gt;"",ISTEXT(A333),COUNTIFS(Processos!$AS$10:$AS$509,"="&amp;SUBSTITUTE(SUBSTITUTE(SUBSTITUTE("P:"&amp;A333,"~","~~"),"*","~*"),"?","~?"))=1),(IF(ISNA(MATCH(SUBSTITUTE(SUBSTITUTE(SUBSTITUTE("P:"&amp;A333,"~","~~"),"*","~*"),"?","~?"),Processos!$AS$10:$AS$509,0)),9,INDEX(Processos!$AM$10:$AM$509,MATCH(SUBSTITUTE(SUBSTITUTE(SUBSTITUTE("P:"&amp;A333,"~","~~"),"*","~*"),"?","~?"),Processos!$AS$10:$AS$509,0)))-9),0)</f>
        <v>0</v>
      </c>
      <c r="K333" s="34" t="str">
        <f t="shared" si="23"/>
        <v/>
      </c>
      <c r="L333" s="14">
        <f>ROW()</f>
        <v>333</v>
      </c>
    </row>
    <row r="334" spans="1:12" ht="60" customHeight="1">
      <c r="A334" s="41"/>
      <c r="B334" s="43"/>
      <c r="C334" s="44"/>
      <c r="D334" s="51"/>
      <c r="E334" s="44"/>
      <c r="F334" s="44"/>
      <c r="G334" s="34">
        <f t="shared" si="20"/>
        <v>0</v>
      </c>
      <c r="H334" s="34" t="str">
        <f t="shared" si="21"/>
        <v/>
      </c>
      <c r="I334" s="52" t="str">
        <f t="shared" si="22"/>
        <v/>
      </c>
      <c r="J334" s="34">
        <f>IF(AND(A334&lt;&gt;"",ISTEXT(A334),COUNTIFS(Processos!$AS$10:$AS$509,"="&amp;SUBSTITUTE(SUBSTITUTE(SUBSTITUTE("P:"&amp;A334,"~","~~"),"*","~*"),"?","~?"))=1),(IF(ISNA(MATCH(SUBSTITUTE(SUBSTITUTE(SUBSTITUTE("P:"&amp;A334,"~","~~"),"*","~*"),"?","~?"),Processos!$AS$10:$AS$509,0)),9,INDEX(Processos!$AM$10:$AM$509,MATCH(SUBSTITUTE(SUBSTITUTE(SUBSTITUTE("P:"&amp;A334,"~","~~"),"*","~*"),"?","~?"),Processos!$AS$10:$AS$509,0)))-9),0)</f>
        <v>0</v>
      </c>
      <c r="K334" s="34" t="str">
        <f t="shared" si="23"/>
        <v/>
      </c>
      <c r="L334" s="14">
        <f>ROW()</f>
        <v>334</v>
      </c>
    </row>
    <row r="335" spans="1:12" ht="60" customHeight="1">
      <c r="A335" s="41"/>
      <c r="B335" s="43"/>
      <c r="C335" s="44"/>
      <c r="D335" s="51"/>
      <c r="E335" s="44"/>
      <c r="F335" s="44"/>
      <c r="G335" s="34">
        <f t="shared" si="20"/>
        <v>0</v>
      </c>
      <c r="H335" s="34" t="str">
        <f t="shared" si="21"/>
        <v/>
      </c>
      <c r="I335" s="52" t="str">
        <f t="shared" si="22"/>
        <v/>
      </c>
      <c r="J335" s="34">
        <f>IF(AND(A335&lt;&gt;"",ISTEXT(A335),COUNTIFS(Processos!$AS$10:$AS$509,"="&amp;SUBSTITUTE(SUBSTITUTE(SUBSTITUTE("P:"&amp;A335,"~","~~"),"*","~*"),"?","~?"))=1),(IF(ISNA(MATCH(SUBSTITUTE(SUBSTITUTE(SUBSTITUTE("P:"&amp;A335,"~","~~"),"*","~*"),"?","~?"),Processos!$AS$10:$AS$509,0)),9,INDEX(Processos!$AM$10:$AM$509,MATCH(SUBSTITUTE(SUBSTITUTE(SUBSTITUTE("P:"&amp;A335,"~","~~"),"*","~*"),"?","~?"),Processos!$AS$10:$AS$509,0)))-9),0)</f>
        <v>0</v>
      </c>
      <c r="K335" s="34" t="str">
        <f t="shared" si="23"/>
        <v/>
      </c>
      <c r="L335" s="14">
        <f>ROW()</f>
        <v>335</v>
      </c>
    </row>
    <row r="336" spans="1:12" ht="60" customHeight="1">
      <c r="A336" s="41"/>
      <c r="B336" s="43"/>
      <c r="C336" s="44"/>
      <c r="D336" s="51"/>
      <c r="E336" s="44"/>
      <c r="F336" s="44"/>
      <c r="G336" s="34">
        <f t="shared" si="20"/>
        <v>0</v>
      </c>
      <c r="H336" s="34" t="str">
        <f t="shared" si="21"/>
        <v/>
      </c>
      <c r="I336" s="52" t="str">
        <f t="shared" si="22"/>
        <v/>
      </c>
      <c r="J336" s="34">
        <f>IF(AND(A336&lt;&gt;"",ISTEXT(A336),COUNTIFS(Processos!$AS$10:$AS$509,"="&amp;SUBSTITUTE(SUBSTITUTE(SUBSTITUTE("P:"&amp;A336,"~","~~"),"*","~*"),"?","~?"))=1),(IF(ISNA(MATCH(SUBSTITUTE(SUBSTITUTE(SUBSTITUTE("P:"&amp;A336,"~","~~"),"*","~*"),"?","~?"),Processos!$AS$10:$AS$509,0)),9,INDEX(Processos!$AM$10:$AM$509,MATCH(SUBSTITUTE(SUBSTITUTE(SUBSTITUTE("P:"&amp;A336,"~","~~"),"*","~*"),"?","~?"),Processos!$AS$10:$AS$509,0)))-9),0)</f>
        <v>0</v>
      </c>
      <c r="K336" s="34" t="str">
        <f t="shared" si="23"/>
        <v/>
      </c>
      <c r="L336" s="14">
        <f>ROW()</f>
        <v>336</v>
      </c>
    </row>
    <row r="337" spans="1:12" ht="60" customHeight="1">
      <c r="A337" s="41"/>
      <c r="B337" s="43"/>
      <c r="C337" s="44"/>
      <c r="D337" s="51"/>
      <c r="E337" s="44"/>
      <c r="F337" s="44"/>
      <c r="G337" s="34">
        <f t="shared" si="20"/>
        <v>0</v>
      </c>
      <c r="H337" s="34" t="str">
        <f t="shared" si="21"/>
        <v/>
      </c>
      <c r="I337" s="52" t="str">
        <f t="shared" si="22"/>
        <v/>
      </c>
      <c r="J337" s="34">
        <f>IF(AND(A337&lt;&gt;"",ISTEXT(A337),COUNTIFS(Processos!$AS$10:$AS$509,"="&amp;SUBSTITUTE(SUBSTITUTE(SUBSTITUTE("P:"&amp;A337,"~","~~"),"*","~*"),"?","~?"))=1),(IF(ISNA(MATCH(SUBSTITUTE(SUBSTITUTE(SUBSTITUTE("P:"&amp;A337,"~","~~"),"*","~*"),"?","~?"),Processos!$AS$10:$AS$509,0)),9,INDEX(Processos!$AM$10:$AM$509,MATCH(SUBSTITUTE(SUBSTITUTE(SUBSTITUTE("P:"&amp;A337,"~","~~"),"*","~*"),"?","~?"),Processos!$AS$10:$AS$509,0)))-9),0)</f>
        <v>0</v>
      </c>
      <c r="K337" s="34" t="str">
        <f t="shared" si="23"/>
        <v/>
      </c>
      <c r="L337" s="14">
        <f>ROW()</f>
        <v>337</v>
      </c>
    </row>
    <row r="338" spans="1:12" ht="60" customHeight="1">
      <c r="A338" s="41"/>
      <c r="B338" s="43"/>
      <c r="C338" s="44"/>
      <c r="D338" s="51"/>
      <c r="E338" s="44"/>
      <c r="F338" s="44"/>
      <c r="G338" s="34">
        <f t="shared" si="20"/>
        <v>0</v>
      </c>
      <c r="H338" s="34" t="str">
        <f t="shared" si="21"/>
        <v/>
      </c>
      <c r="I338" s="52" t="str">
        <f t="shared" si="22"/>
        <v/>
      </c>
      <c r="J338" s="34">
        <f>IF(AND(A338&lt;&gt;"",ISTEXT(A338),COUNTIFS(Processos!$AS$10:$AS$509,"="&amp;SUBSTITUTE(SUBSTITUTE(SUBSTITUTE("P:"&amp;A338,"~","~~"),"*","~*"),"?","~?"))=1),(IF(ISNA(MATCH(SUBSTITUTE(SUBSTITUTE(SUBSTITUTE("P:"&amp;A338,"~","~~"),"*","~*"),"?","~?"),Processos!$AS$10:$AS$509,0)),9,INDEX(Processos!$AM$10:$AM$509,MATCH(SUBSTITUTE(SUBSTITUTE(SUBSTITUTE("P:"&amp;A338,"~","~~"),"*","~*"),"?","~?"),Processos!$AS$10:$AS$509,0)))-9),0)</f>
        <v>0</v>
      </c>
      <c r="K338" s="34" t="str">
        <f t="shared" si="23"/>
        <v/>
      </c>
      <c r="L338" s="14">
        <f>ROW()</f>
        <v>338</v>
      </c>
    </row>
    <row r="339" spans="1:12" ht="60" customHeight="1">
      <c r="A339" s="41"/>
      <c r="B339" s="43"/>
      <c r="C339" s="44"/>
      <c r="D339" s="51"/>
      <c r="E339" s="44"/>
      <c r="F339" s="44"/>
      <c r="G339" s="34">
        <f t="shared" si="20"/>
        <v>0</v>
      </c>
      <c r="H339" s="34" t="str">
        <f t="shared" si="21"/>
        <v/>
      </c>
      <c r="I339" s="52" t="str">
        <f t="shared" si="22"/>
        <v/>
      </c>
      <c r="J339" s="34">
        <f>IF(AND(A339&lt;&gt;"",ISTEXT(A339),COUNTIFS(Processos!$AS$10:$AS$509,"="&amp;SUBSTITUTE(SUBSTITUTE(SUBSTITUTE("P:"&amp;A339,"~","~~"),"*","~*"),"?","~?"))=1),(IF(ISNA(MATCH(SUBSTITUTE(SUBSTITUTE(SUBSTITUTE("P:"&amp;A339,"~","~~"),"*","~*"),"?","~?"),Processos!$AS$10:$AS$509,0)),9,INDEX(Processos!$AM$10:$AM$509,MATCH(SUBSTITUTE(SUBSTITUTE(SUBSTITUTE("P:"&amp;A339,"~","~~"),"*","~*"),"?","~?"),Processos!$AS$10:$AS$509,0)))-9),0)</f>
        <v>0</v>
      </c>
      <c r="K339" s="34" t="str">
        <f t="shared" si="23"/>
        <v/>
      </c>
      <c r="L339" s="14">
        <f>ROW()</f>
        <v>339</v>
      </c>
    </row>
    <row r="340" spans="1:12" ht="60" customHeight="1">
      <c r="A340" s="41"/>
      <c r="B340" s="43"/>
      <c r="C340" s="44"/>
      <c r="D340" s="51"/>
      <c r="E340" s="44"/>
      <c r="F340" s="44"/>
      <c r="G340" s="34">
        <f t="shared" si="20"/>
        <v>0</v>
      </c>
      <c r="H340" s="34" t="str">
        <f t="shared" si="21"/>
        <v/>
      </c>
      <c r="I340" s="52" t="str">
        <f t="shared" si="22"/>
        <v/>
      </c>
      <c r="J340" s="34">
        <f>IF(AND(A340&lt;&gt;"",ISTEXT(A340),COUNTIFS(Processos!$AS$10:$AS$509,"="&amp;SUBSTITUTE(SUBSTITUTE(SUBSTITUTE("P:"&amp;A340,"~","~~"),"*","~*"),"?","~?"))=1),(IF(ISNA(MATCH(SUBSTITUTE(SUBSTITUTE(SUBSTITUTE("P:"&amp;A340,"~","~~"),"*","~*"),"?","~?"),Processos!$AS$10:$AS$509,0)),9,INDEX(Processos!$AM$10:$AM$509,MATCH(SUBSTITUTE(SUBSTITUTE(SUBSTITUTE("P:"&amp;A340,"~","~~"),"*","~*"),"?","~?"),Processos!$AS$10:$AS$509,0)))-9),0)</f>
        <v>0</v>
      </c>
      <c r="K340" s="34" t="str">
        <f t="shared" si="23"/>
        <v/>
      </c>
      <c r="L340" s="14">
        <f>ROW()</f>
        <v>340</v>
      </c>
    </row>
    <row r="341" spans="1:12" ht="60" customHeight="1">
      <c r="A341" s="41"/>
      <c r="B341" s="43"/>
      <c r="C341" s="44"/>
      <c r="D341" s="51"/>
      <c r="E341" s="44"/>
      <c r="F341" s="44"/>
      <c r="G341" s="34">
        <f t="shared" si="20"/>
        <v>0</v>
      </c>
      <c r="H341" s="34" t="str">
        <f t="shared" si="21"/>
        <v/>
      </c>
      <c r="I341" s="52" t="str">
        <f t="shared" si="22"/>
        <v/>
      </c>
      <c r="J341" s="34">
        <f>IF(AND(A341&lt;&gt;"",ISTEXT(A341),COUNTIFS(Processos!$AS$10:$AS$509,"="&amp;SUBSTITUTE(SUBSTITUTE(SUBSTITUTE("P:"&amp;A341,"~","~~"),"*","~*"),"?","~?"))=1),(IF(ISNA(MATCH(SUBSTITUTE(SUBSTITUTE(SUBSTITUTE("P:"&amp;A341,"~","~~"),"*","~*"),"?","~?"),Processos!$AS$10:$AS$509,0)),9,INDEX(Processos!$AM$10:$AM$509,MATCH(SUBSTITUTE(SUBSTITUTE(SUBSTITUTE("P:"&amp;A341,"~","~~"),"*","~*"),"?","~?"),Processos!$AS$10:$AS$509,0)))-9),0)</f>
        <v>0</v>
      </c>
      <c r="K341" s="34" t="str">
        <f t="shared" si="23"/>
        <v/>
      </c>
      <c r="L341" s="14">
        <f>ROW()</f>
        <v>341</v>
      </c>
    </row>
    <row r="342" spans="1:12" ht="60" customHeight="1">
      <c r="A342" s="41"/>
      <c r="B342" s="43"/>
      <c r="C342" s="44"/>
      <c r="D342" s="51"/>
      <c r="E342" s="44"/>
      <c r="F342" s="44"/>
      <c r="G342" s="34">
        <f t="shared" si="20"/>
        <v>0</v>
      </c>
      <c r="H342" s="34" t="str">
        <f t="shared" si="21"/>
        <v/>
      </c>
      <c r="I342" s="52" t="str">
        <f t="shared" si="22"/>
        <v/>
      </c>
      <c r="J342" s="34">
        <f>IF(AND(A342&lt;&gt;"",ISTEXT(A342),COUNTIFS(Processos!$AS$10:$AS$509,"="&amp;SUBSTITUTE(SUBSTITUTE(SUBSTITUTE("P:"&amp;A342,"~","~~"),"*","~*"),"?","~?"))=1),(IF(ISNA(MATCH(SUBSTITUTE(SUBSTITUTE(SUBSTITUTE("P:"&amp;A342,"~","~~"),"*","~*"),"?","~?"),Processos!$AS$10:$AS$509,0)),9,INDEX(Processos!$AM$10:$AM$509,MATCH(SUBSTITUTE(SUBSTITUTE(SUBSTITUTE("P:"&amp;A342,"~","~~"),"*","~*"),"?","~?"),Processos!$AS$10:$AS$509,0)))-9),0)</f>
        <v>0</v>
      </c>
      <c r="K342" s="34" t="str">
        <f t="shared" si="23"/>
        <v/>
      </c>
      <c r="L342" s="14">
        <f>ROW()</f>
        <v>342</v>
      </c>
    </row>
    <row r="343" spans="1:12" ht="60" customHeight="1">
      <c r="A343" s="41"/>
      <c r="B343" s="43"/>
      <c r="C343" s="44"/>
      <c r="D343" s="51"/>
      <c r="E343" s="44"/>
      <c r="F343" s="44"/>
      <c r="G343" s="34">
        <f t="shared" si="20"/>
        <v>0</v>
      </c>
      <c r="H343" s="34" t="str">
        <f t="shared" si="21"/>
        <v/>
      </c>
      <c r="I343" s="52" t="str">
        <f t="shared" si="22"/>
        <v/>
      </c>
      <c r="J343" s="34">
        <f>IF(AND(A343&lt;&gt;"",ISTEXT(A343),COUNTIFS(Processos!$AS$10:$AS$509,"="&amp;SUBSTITUTE(SUBSTITUTE(SUBSTITUTE("P:"&amp;A343,"~","~~"),"*","~*"),"?","~?"))=1),(IF(ISNA(MATCH(SUBSTITUTE(SUBSTITUTE(SUBSTITUTE("P:"&amp;A343,"~","~~"),"*","~*"),"?","~?"),Processos!$AS$10:$AS$509,0)),9,INDEX(Processos!$AM$10:$AM$509,MATCH(SUBSTITUTE(SUBSTITUTE(SUBSTITUTE("P:"&amp;A343,"~","~~"),"*","~*"),"?","~?"),Processos!$AS$10:$AS$509,0)))-9),0)</f>
        <v>0</v>
      </c>
      <c r="K343" s="34" t="str">
        <f t="shared" si="23"/>
        <v/>
      </c>
      <c r="L343" s="14">
        <f>ROW()</f>
        <v>343</v>
      </c>
    </row>
    <row r="344" spans="1:12" ht="60" customHeight="1">
      <c r="A344" s="41"/>
      <c r="B344" s="43"/>
      <c r="C344" s="44"/>
      <c r="D344" s="51"/>
      <c r="E344" s="44"/>
      <c r="F344" s="44"/>
      <c r="G344" s="34">
        <f t="shared" si="20"/>
        <v>0</v>
      </c>
      <c r="H344" s="34" t="str">
        <f t="shared" si="21"/>
        <v/>
      </c>
      <c r="I344" s="52" t="str">
        <f t="shared" si="22"/>
        <v/>
      </c>
      <c r="J344" s="34">
        <f>IF(AND(A344&lt;&gt;"",ISTEXT(A344),COUNTIFS(Processos!$AS$10:$AS$509,"="&amp;SUBSTITUTE(SUBSTITUTE(SUBSTITUTE("P:"&amp;A344,"~","~~"),"*","~*"),"?","~?"))=1),(IF(ISNA(MATCH(SUBSTITUTE(SUBSTITUTE(SUBSTITUTE("P:"&amp;A344,"~","~~"),"*","~*"),"?","~?"),Processos!$AS$10:$AS$509,0)),9,INDEX(Processos!$AM$10:$AM$509,MATCH(SUBSTITUTE(SUBSTITUTE(SUBSTITUTE("P:"&amp;A344,"~","~~"),"*","~*"),"?","~?"),Processos!$AS$10:$AS$509,0)))-9),0)</f>
        <v>0</v>
      </c>
      <c r="K344" s="34" t="str">
        <f t="shared" si="23"/>
        <v/>
      </c>
      <c r="L344" s="14">
        <f>ROW()</f>
        <v>344</v>
      </c>
    </row>
    <row r="345" spans="1:12" ht="60" customHeight="1">
      <c r="A345" s="41"/>
      <c r="B345" s="43"/>
      <c r="C345" s="44"/>
      <c r="D345" s="51"/>
      <c r="E345" s="44"/>
      <c r="F345" s="44"/>
      <c r="G345" s="34">
        <f t="shared" si="20"/>
        <v>0</v>
      </c>
      <c r="H345" s="34" t="str">
        <f t="shared" si="21"/>
        <v/>
      </c>
      <c r="I345" s="52" t="str">
        <f t="shared" si="22"/>
        <v/>
      </c>
      <c r="J345" s="34">
        <f>IF(AND(A345&lt;&gt;"",ISTEXT(A345),COUNTIFS(Processos!$AS$10:$AS$509,"="&amp;SUBSTITUTE(SUBSTITUTE(SUBSTITUTE("P:"&amp;A345,"~","~~"),"*","~*"),"?","~?"))=1),(IF(ISNA(MATCH(SUBSTITUTE(SUBSTITUTE(SUBSTITUTE("P:"&amp;A345,"~","~~"),"*","~*"),"?","~?"),Processos!$AS$10:$AS$509,0)),9,INDEX(Processos!$AM$10:$AM$509,MATCH(SUBSTITUTE(SUBSTITUTE(SUBSTITUTE("P:"&amp;A345,"~","~~"),"*","~*"),"?","~?"),Processos!$AS$10:$AS$509,0)))-9),0)</f>
        <v>0</v>
      </c>
      <c r="K345" s="34" t="str">
        <f t="shared" si="23"/>
        <v/>
      </c>
      <c r="L345" s="14">
        <f>ROW()</f>
        <v>345</v>
      </c>
    </row>
    <row r="346" spans="1:12" ht="60" customHeight="1">
      <c r="A346" s="41"/>
      <c r="B346" s="43"/>
      <c r="C346" s="44"/>
      <c r="D346" s="51"/>
      <c r="E346" s="44"/>
      <c r="F346" s="44"/>
      <c r="G346" s="34">
        <f t="shared" si="20"/>
        <v>0</v>
      </c>
      <c r="H346" s="34" t="str">
        <f t="shared" si="21"/>
        <v/>
      </c>
      <c r="I346" s="52" t="str">
        <f t="shared" si="22"/>
        <v/>
      </c>
      <c r="J346" s="34">
        <f>IF(AND(A346&lt;&gt;"",ISTEXT(A346),COUNTIFS(Processos!$AS$10:$AS$509,"="&amp;SUBSTITUTE(SUBSTITUTE(SUBSTITUTE("P:"&amp;A346,"~","~~"),"*","~*"),"?","~?"))=1),(IF(ISNA(MATCH(SUBSTITUTE(SUBSTITUTE(SUBSTITUTE("P:"&amp;A346,"~","~~"),"*","~*"),"?","~?"),Processos!$AS$10:$AS$509,0)),9,INDEX(Processos!$AM$10:$AM$509,MATCH(SUBSTITUTE(SUBSTITUTE(SUBSTITUTE("P:"&amp;A346,"~","~~"),"*","~*"),"?","~?"),Processos!$AS$10:$AS$509,0)))-9),0)</f>
        <v>0</v>
      </c>
      <c r="K346" s="34" t="str">
        <f t="shared" si="23"/>
        <v/>
      </c>
      <c r="L346" s="14">
        <f>ROW()</f>
        <v>346</v>
      </c>
    </row>
    <row r="347" spans="1:12" ht="60" customHeight="1">
      <c r="A347" s="41"/>
      <c r="B347" s="43"/>
      <c r="C347" s="44"/>
      <c r="D347" s="51"/>
      <c r="E347" s="44"/>
      <c r="F347" s="44"/>
      <c r="G347" s="34">
        <f t="shared" si="20"/>
        <v>0</v>
      </c>
      <c r="H347" s="34" t="str">
        <f t="shared" si="21"/>
        <v/>
      </c>
      <c r="I347" s="52" t="str">
        <f t="shared" si="22"/>
        <v/>
      </c>
      <c r="J347" s="34">
        <f>IF(AND(A347&lt;&gt;"",ISTEXT(A347),COUNTIFS(Processos!$AS$10:$AS$509,"="&amp;SUBSTITUTE(SUBSTITUTE(SUBSTITUTE("P:"&amp;A347,"~","~~"),"*","~*"),"?","~?"))=1),(IF(ISNA(MATCH(SUBSTITUTE(SUBSTITUTE(SUBSTITUTE("P:"&amp;A347,"~","~~"),"*","~*"),"?","~?"),Processos!$AS$10:$AS$509,0)),9,INDEX(Processos!$AM$10:$AM$509,MATCH(SUBSTITUTE(SUBSTITUTE(SUBSTITUTE("P:"&amp;A347,"~","~~"),"*","~*"),"?","~?"),Processos!$AS$10:$AS$509,0)))-9),0)</f>
        <v>0</v>
      </c>
      <c r="K347" s="34" t="str">
        <f t="shared" si="23"/>
        <v/>
      </c>
      <c r="L347" s="14">
        <f>ROW()</f>
        <v>347</v>
      </c>
    </row>
    <row r="348" spans="1:12" ht="60" customHeight="1">
      <c r="A348" s="41"/>
      <c r="B348" s="43"/>
      <c r="C348" s="44"/>
      <c r="D348" s="51"/>
      <c r="E348" s="44"/>
      <c r="F348" s="44"/>
      <c r="G348" s="34">
        <f t="shared" si="20"/>
        <v>0</v>
      </c>
      <c r="H348" s="34" t="str">
        <f t="shared" si="21"/>
        <v/>
      </c>
      <c r="I348" s="52" t="str">
        <f t="shared" si="22"/>
        <v/>
      </c>
      <c r="J348" s="34">
        <f>IF(AND(A348&lt;&gt;"",ISTEXT(A348),COUNTIFS(Processos!$AS$10:$AS$509,"="&amp;SUBSTITUTE(SUBSTITUTE(SUBSTITUTE("P:"&amp;A348,"~","~~"),"*","~*"),"?","~?"))=1),(IF(ISNA(MATCH(SUBSTITUTE(SUBSTITUTE(SUBSTITUTE("P:"&amp;A348,"~","~~"),"*","~*"),"?","~?"),Processos!$AS$10:$AS$509,0)),9,INDEX(Processos!$AM$10:$AM$509,MATCH(SUBSTITUTE(SUBSTITUTE(SUBSTITUTE("P:"&amp;A348,"~","~~"),"*","~*"),"?","~?"),Processos!$AS$10:$AS$509,0)))-9),0)</f>
        <v>0</v>
      </c>
      <c r="K348" s="34" t="str">
        <f t="shared" si="23"/>
        <v/>
      </c>
      <c r="L348" s="14">
        <f>ROW()</f>
        <v>348</v>
      </c>
    </row>
    <row r="349" spans="1:12" ht="60" customHeight="1">
      <c r="A349" s="41"/>
      <c r="B349" s="43"/>
      <c r="C349" s="44"/>
      <c r="D349" s="51"/>
      <c r="E349" s="44"/>
      <c r="F349" s="44"/>
      <c r="G349" s="34">
        <f t="shared" si="20"/>
        <v>0</v>
      </c>
      <c r="H349" s="34" t="str">
        <f t="shared" si="21"/>
        <v/>
      </c>
      <c r="I349" s="52" t="str">
        <f t="shared" si="22"/>
        <v/>
      </c>
      <c r="J349" s="34">
        <f>IF(AND(A349&lt;&gt;"",ISTEXT(A349),COUNTIFS(Processos!$AS$10:$AS$509,"="&amp;SUBSTITUTE(SUBSTITUTE(SUBSTITUTE("P:"&amp;A349,"~","~~"),"*","~*"),"?","~?"))=1),(IF(ISNA(MATCH(SUBSTITUTE(SUBSTITUTE(SUBSTITUTE("P:"&amp;A349,"~","~~"),"*","~*"),"?","~?"),Processos!$AS$10:$AS$509,0)),9,INDEX(Processos!$AM$10:$AM$509,MATCH(SUBSTITUTE(SUBSTITUTE(SUBSTITUTE("P:"&amp;A349,"~","~~"),"*","~*"),"?","~?"),Processos!$AS$10:$AS$509,0)))-9),0)</f>
        <v>0</v>
      </c>
      <c r="K349" s="34" t="str">
        <f t="shared" si="23"/>
        <v/>
      </c>
      <c r="L349" s="14">
        <f>ROW()</f>
        <v>349</v>
      </c>
    </row>
    <row r="350" spans="1:12" ht="60" customHeight="1">
      <c r="A350" s="41"/>
      <c r="B350" s="43"/>
      <c r="C350" s="44"/>
      <c r="D350" s="51"/>
      <c r="E350" s="44"/>
      <c r="F350" s="44"/>
      <c r="G350" s="34">
        <f t="shared" si="20"/>
        <v>0</v>
      </c>
      <c r="H350" s="34" t="str">
        <f t="shared" si="21"/>
        <v/>
      </c>
      <c r="I350" s="52" t="str">
        <f t="shared" si="22"/>
        <v/>
      </c>
      <c r="J350" s="34">
        <f>IF(AND(A350&lt;&gt;"",ISTEXT(A350),COUNTIFS(Processos!$AS$10:$AS$509,"="&amp;SUBSTITUTE(SUBSTITUTE(SUBSTITUTE("P:"&amp;A350,"~","~~"),"*","~*"),"?","~?"))=1),(IF(ISNA(MATCH(SUBSTITUTE(SUBSTITUTE(SUBSTITUTE("P:"&amp;A350,"~","~~"),"*","~*"),"?","~?"),Processos!$AS$10:$AS$509,0)),9,INDEX(Processos!$AM$10:$AM$509,MATCH(SUBSTITUTE(SUBSTITUTE(SUBSTITUTE("P:"&amp;A350,"~","~~"),"*","~*"),"?","~?"),Processos!$AS$10:$AS$509,0)))-9),0)</f>
        <v>0</v>
      </c>
      <c r="K350" s="34" t="str">
        <f t="shared" si="23"/>
        <v/>
      </c>
      <c r="L350" s="14">
        <f>ROW()</f>
        <v>350</v>
      </c>
    </row>
    <row r="351" spans="1:12" ht="60" customHeight="1">
      <c r="A351" s="41"/>
      <c r="B351" s="43"/>
      <c r="C351" s="44"/>
      <c r="D351" s="51"/>
      <c r="E351" s="44"/>
      <c r="F351" s="44"/>
      <c r="G351" s="34">
        <f t="shared" si="20"/>
        <v>0</v>
      </c>
      <c r="H351" s="34" t="str">
        <f t="shared" si="21"/>
        <v/>
      </c>
      <c r="I351" s="52" t="str">
        <f t="shared" si="22"/>
        <v/>
      </c>
      <c r="J351" s="34">
        <f>IF(AND(A351&lt;&gt;"",ISTEXT(A351),COUNTIFS(Processos!$AS$10:$AS$509,"="&amp;SUBSTITUTE(SUBSTITUTE(SUBSTITUTE("P:"&amp;A351,"~","~~"),"*","~*"),"?","~?"))=1),(IF(ISNA(MATCH(SUBSTITUTE(SUBSTITUTE(SUBSTITUTE("P:"&amp;A351,"~","~~"),"*","~*"),"?","~?"),Processos!$AS$10:$AS$509,0)),9,INDEX(Processos!$AM$10:$AM$509,MATCH(SUBSTITUTE(SUBSTITUTE(SUBSTITUTE("P:"&amp;A351,"~","~~"),"*","~*"),"?","~?"),Processos!$AS$10:$AS$509,0)))-9),0)</f>
        <v>0</v>
      </c>
      <c r="K351" s="34" t="str">
        <f t="shared" si="23"/>
        <v/>
      </c>
      <c r="L351" s="14">
        <f>ROW()</f>
        <v>351</v>
      </c>
    </row>
    <row r="352" spans="1:12" ht="60" customHeight="1">
      <c r="A352" s="41"/>
      <c r="B352" s="43"/>
      <c r="C352" s="44"/>
      <c r="D352" s="51"/>
      <c r="E352" s="44"/>
      <c r="F352" s="44"/>
      <c r="G352" s="34">
        <f t="shared" si="20"/>
        <v>0</v>
      </c>
      <c r="H352" s="34" t="str">
        <f t="shared" si="21"/>
        <v/>
      </c>
      <c r="I352" s="52" t="str">
        <f t="shared" si="22"/>
        <v/>
      </c>
      <c r="J352" s="34">
        <f>IF(AND(A352&lt;&gt;"",ISTEXT(A352),COUNTIFS(Processos!$AS$10:$AS$509,"="&amp;SUBSTITUTE(SUBSTITUTE(SUBSTITUTE("P:"&amp;A352,"~","~~"),"*","~*"),"?","~?"))=1),(IF(ISNA(MATCH(SUBSTITUTE(SUBSTITUTE(SUBSTITUTE("P:"&amp;A352,"~","~~"),"*","~*"),"?","~?"),Processos!$AS$10:$AS$509,0)),9,INDEX(Processos!$AM$10:$AM$509,MATCH(SUBSTITUTE(SUBSTITUTE(SUBSTITUTE("P:"&amp;A352,"~","~~"),"*","~*"),"?","~?"),Processos!$AS$10:$AS$509,0)))-9),0)</f>
        <v>0</v>
      </c>
      <c r="K352" s="34" t="str">
        <f t="shared" si="23"/>
        <v/>
      </c>
      <c r="L352" s="14">
        <f>ROW()</f>
        <v>352</v>
      </c>
    </row>
    <row r="353" spans="1:12" ht="60" customHeight="1">
      <c r="A353" s="41"/>
      <c r="B353" s="43"/>
      <c r="C353" s="44"/>
      <c r="D353" s="51"/>
      <c r="E353" s="44"/>
      <c r="F353" s="44"/>
      <c r="G353" s="34">
        <f t="shared" si="20"/>
        <v>0</v>
      </c>
      <c r="H353" s="34" t="str">
        <f t="shared" si="21"/>
        <v/>
      </c>
      <c r="I353" s="52" t="str">
        <f t="shared" si="22"/>
        <v/>
      </c>
      <c r="J353" s="34">
        <f>IF(AND(A353&lt;&gt;"",ISTEXT(A353),COUNTIFS(Processos!$AS$10:$AS$509,"="&amp;SUBSTITUTE(SUBSTITUTE(SUBSTITUTE("P:"&amp;A353,"~","~~"),"*","~*"),"?","~?"))=1),(IF(ISNA(MATCH(SUBSTITUTE(SUBSTITUTE(SUBSTITUTE("P:"&amp;A353,"~","~~"),"*","~*"),"?","~?"),Processos!$AS$10:$AS$509,0)),9,INDEX(Processos!$AM$10:$AM$509,MATCH(SUBSTITUTE(SUBSTITUTE(SUBSTITUTE("P:"&amp;A353,"~","~~"),"*","~*"),"?","~?"),Processos!$AS$10:$AS$509,0)))-9),0)</f>
        <v>0</v>
      </c>
      <c r="K353" s="34" t="str">
        <f t="shared" si="23"/>
        <v/>
      </c>
      <c r="L353" s="14">
        <f>ROW()</f>
        <v>353</v>
      </c>
    </row>
    <row r="354" spans="1:12" ht="60" customHeight="1">
      <c r="A354" s="41"/>
      <c r="B354" s="43"/>
      <c r="C354" s="44"/>
      <c r="D354" s="51"/>
      <c r="E354" s="44"/>
      <c r="F354" s="44"/>
      <c r="G354" s="34">
        <f t="shared" si="20"/>
        <v>0</v>
      </c>
      <c r="H354" s="34" t="str">
        <f t="shared" si="21"/>
        <v/>
      </c>
      <c r="I354" s="52" t="str">
        <f t="shared" si="22"/>
        <v/>
      </c>
      <c r="J354" s="34">
        <f>IF(AND(A354&lt;&gt;"",ISTEXT(A354),COUNTIFS(Processos!$AS$10:$AS$509,"="&amp;SUBSTITUTE(SUBSTITUTE(SUBSTITUTE("P:"&amp;A354,"~","~~"),"*","~*"),"?","~?"))=1),(IF(ISNA(MATCH(SUBSTITUTE(SUBSTITUTE(SUBSTITUTE("P:"&amp;A354,"~","~~"),"*","~*"),"?","~?"),Processos!$AS$10:$AS$509,0)),9,INDEX(Processos!$AM$10:$AM$509,MATCH(SUBSTITUTE(SUBSTITUTE(SUBSTITUTE("P:"&amp;A354,"~","~~"),"*","~*"),"?","~?"),Processos!$AS$10:$AS$509,0)))-9),0)</f>
        <v>0</v>
      </c>
      <c r="K354" s="34" t="str">
        <f t="shared" si="23"/>
        <v/>
      </c>
      <c r="L354" s="14">
        <f>ROW()</f>
        <v>354</v>
      </c>
    </row>
    <row r="355" spans="1:12" ht="60" customHeight="1">
      <c r="A355" s="41"/>
      <c r="B355" s="43"/>
      <c r="C355" s="44"/>
      <c r="D355" s="51"/>
      <c r="E355" s="44"/>
      <c r="F355" s="44"/>
      <c r="G355" s="34">
        <f t="shared" si="20"/>
        <v>0</v>
      </c>
      <c r="H355" s="34" t="str">
        <f t="shared" si="21"/>
        <v/>
      </c>
      <c r="I355" s="52" t="str">
        <f t="shared" si="22"/>
        <v/>
      </c>
      <c r="J355" s="34">
        <f>IF(AND(A355&lt;&gt;"",ISTEXT(A355),COUNTIFS(Processos!$AS$10:$AS$509,"="&amp;SUBSTITUTE(SUBSTITUTE(SUBSTITUTE("P:"&amp;A355,"~","~~"),"*","~*"),"?","~?"))=1),(IF(ISNA(MATCH(SUBSTITUTE(SUBSTITUTE(SUBSTITUTE("P:"&amp;A355,"~","~~"),"*","~*"),"?","~?"),Processos!$AS$10:$AS$509,0)),9,INDEX(Processos!$AM$10:$AM$509,MATCH(SUBSTITUTE(SUBSTITUTE(SUBSTITUTE("P:"&amp;A355,"~","~~"),"*","~*"),"?","~?"),Processos!$AS$10:$AS$509,0)))-9),0)</f>
        <v>0</v>
      </c>
      <c r="K355" s="34" t="str">
        <f t="shared" si="23"/>
        <v/>
      </c>
      <c r="L355" s="14">
        <f>ROW()</f>
        <v>355</v>
      </c>
    </row>
    <row r="356" spans="1:12" ht="60" customHeight="1">
      <c r="A356" s="41"/>
      <c r="B356" s="43"/>
      <c r="C356" s="44"/>
      <c r="D356" s="51"/>
      <c r="E356" s="44"/>
      <c r="F356" s="44"/>
      <c r="G356" s="34">
        <f t="shared" si="20"/>
        <v>0</v>
      </c>
      <c r="H356" s="34" t="str">
        <f t="shared" si="21"/>
        <v/>
      </c>
      <c r="I356" s="52" t="str">
        <f t="shared" si="22"/>
        <v/>
      </c>
      <c r="J356" s="34">
        <f>IF(AND(A356&lt;&gt;"",ISTEXT(A356),COUNTIFS(Processos!$AS$10:$AS$509,"="&amp;SUBSTITUTE(SUBSTITUTE(SUBSTITUTE("P:"&amp;A356,"~","~~"),"*","~*"),"?","~?"))=1),(IF(ISNA(MATCH(SUBSTITUTE(SUBSTITUTE(SUBSTITUTE("P:"&amp;A356,"~","~~"),"*","~*"),"?","~?"),Processos!$AS$10:$AS$509,0)),9,INDEX(Processos!$AM$10:$AM$509,MATCH(SUBSTITUTE(SUBSTITUTE(SUBSTITUTE("P:"&amp;A356,"~","~~"),"*","~*"),"?","~?"),Processos!$AS$10:$AS$509,0)))-9),0)</f>
        <v>0</v>
      </c>
      <c r="K356" s="34" t="str">
        <f t="shared" si="23"/>
        <v/>
      </c>
      <c r="L356" s="14">
        <f>ROW()</f>
        <v>356</v>
      </c>
    </row>
    <row r="357" spans="1:12" ht="60" customHeight="1">
      <c r="A357" s="41"/>
      <c r="B357" s="43"/>
      <c r="C357" s="44"/>
      <c r="D357" s="51"/>
      <c r="E357" s="44"/>
      <c r="F357" s="44"/>
      <c r="G357" s="34">
        <f t="shared" si="20"/>
        <v>0</v>
      </c>
      <c r="H357" s="34" t="str">
        <f t="shared" si="21"/>
        <v/>
      </c>
      <c r="I357" s="52" t="str">
        <f t="shared" si="22"/>
        <v/>
      </c>
      <c r="J357" s="34">
        <f>IF(AND(A357&lt;&gt;"",ISTEXT(A357),COUNTIFS(Processos!$AS$10:$AS$509,"="&amp;SUBSTITUTE(SUBSTITUTE(SUBSTITUTE("P:"&amp;A357,"~","~~"),"*","~*"),"?","~?"))=1),(IF(ISNA(MATCH(SUBSTITUTE(SUBSTITUTE(SUBSTITUTE("P:"&amp;A357,"~","~~"),"*","~*"),"?","~?"),Processos!$AS$10:$AS$509,0)),9,INDEX(Processos!$AM$10:$AM$509,MATCH(SUBSTITUTE(SUBSTITUTE(SUBSTITUTE("P:"&amp;A357,"~","~~"),"*","~*"),"?","~?"),Processos!$AS$10:$AS$509,0)))-9),0)</f>
        <v>0</v>
      </c>
      <c r="K357" s="34" t="str">
        <f t="shared" si="23"/>
        <v/>
      </c>
      <c r="L357" s="14">
        <f>ROW()</f>
        <v>357</v>
      </c>
    </row>
    <row r="358" spans="1:12" ht="60" customHeight="1">
      <c r="A358" s="41"/>
      <c r="B358" s="43"/>
      <c r="C358" s="44"/>
      <c r="D358" s="51"/>
      <c r="E358" s="44"/>
      <c r="F358" s="44"/>
      <c r="G358" s="34">
        <f t="shared" si="20"/>
        <v>0</v>
      </c>
      <c r="H358" s="34" t="str">
        <f t="shared" si="21"/>
        <v/>
      </c>
      <c r="I358" s="52" t="str">
        <f t="shared" si="22"/>
        <v/>
      </c>
      <c r="J358" s="34">
        <f>IF(AND(A358&lt;&gt;"",ISTEXT(A358),COUNTIFS(Processos!$AS$10:$AS$509,"="&amp;SUBSTITUTE(SUBSTITUTE(SUBSTITUTE("P:"&amp;A358,"~","~~"),"*","~*"),"?","~?"))=1),(IF(ISNA(MATCH(SUBSTITUTE(SUBSTITUTE(SUBSTITUTE("P:"&amp;A358,"~","~~"),"*","~*"),"?","~?"),Processos!$AS$10:$AS$509,0)),9,INDEX(Processos!$AM$10:$AM$509,MATCH(SUBSTITUTE(SUBSTITUTE(SUBSTITUTE("P:"&amp;A358,"~","~~"),"*","~*"),"?","~?"),Processos!$AS$10:$AS$509,0)))-9),0)</f>
        <v>0</v>
      </c>
      <c r="K358" s="34" t="str">
        <f t="shared" si="23"/>
        <v/>
      </c>
      <c r="L358" s="14">
        <f>ROW()</f>
        <v>358</v>
      </c>
    </row>
    <row r="359" spans="1:12" ht="60" customHeight="1">
      <c r="A359" s="41"/>
      <c r="B359" s="43"/>
      <c r="C359" s="44"/>
      <c r="D359" s="51"/>
      <c r="E359" s="44"/>
      <c r="F359" s="44"/>
      <c r="G359" s="34">
        <f t="shared" si="20"/>
        <v>0</v>
      </c>
      <c r="H359" s="34" t="str">
        <f t="shared" si="21"/>
        <v/>
      </c>
      <c r="I359" s="52" t="str">
        <f t="shared" si="22"/>
        <v/>
      </c>
      <c r="J359" s="34">
        <f>IF(AND(A359&lt;&gt;"",ISTEXT(A359),COUNTIFS(Processos!$AS$10:$AS$509,"="&amp;SUBSTITUTE(SUBSTITUTE(SUBSTITUTE("P:"&amp;A359,"~","~~"),"*","~*"),"?","~?"))=1),(IF(ISNA(MATCH(SUBSTITUTE(SUBSTITUTE(SUBSTITUTE("P:"&amp;A359,"~","~~"),"*","~*"),"?","~?"),Processos!$AS$10:$AS$509,0)),9,INDEX(Processos!$AM$10:$AM$509,MATCH(SUBSTITUTE(SUBSTITUTE(SUBSTITUTE("P:"&amp;A359,"~","~~"),"*","~*"),"?","~?"),Processos!$AS$10:$AS$509,0)))-9),0)</f>
        <v>0</v>
      </c>
      <c r="K359" s="34" t="str">
        <f t="shared" si="23"/>
        <v/>
      </c>
      <c r="L359" s="14">
        <f>ROW()</f>
        <v>359</v>
      </c>
    </row>
    <row r="360" spans="1:12" ht="60" customHeight="1">
      <c r="A360" s="41"/>
      <c r="B360" s="43"/>
      <c r="C360" s="44"/>
      <c r="D360" s="51"/>
      <c r="E360" s="44"/>
      <c r="F360" s="44"/>
      <c r="G360" s="34">
        <f t="shared" si="20"/>
        <v>0</v>
      </c>
      <c r="H360" s="34" t="str">
        <f t="shared" si="21"/>
        <v/>
      </c>
      <c r="I360" s="52" t="str">
        <f t="shared" si="22"/>
        <v/>
      </c>
      <c r="J360" s="34">
        <f>IF(AND(A360&lt;&gt;"",ISTEXT(A360),COUNTIFS(Processos!$AS$10:$AS$509,"="&amp;SUBSTITUTE(SUBSTITUTE(SUBSTITUTE("P:"&amp;A360,"~","~~"),"*","~*"),"?","~?"))=1),(IF(ISNA(MATCH(SUBSTITUTE(SUBSTITUTE(SUBSTITUTE("P:"&amp;A360,"~","~~"),"*","~*"),"?","~?"),Processos!$AS$10:$AS$509,0)),9,INDEX(Processos!$AM$10:$AM$509,MATCH(SUBSTITUTE(SUBSTITUTE(SUBSTITUTE("P:"&amp;A360,"~","~~"),"*","~*"),"?","~?"),Processos!$AS$10:$AS$509,0)))-9),0)</f>
        <v>0</v>
      </c>
      <c r="K360" s="34" t="str">
        <f t="shared" si="23"/>
        <v/>
      </c>
      <c r="L360" s="14">
        <f>ROW()</f>
        <v>360</v>
      </c>
    </row>
    <row r="361" spans="1:12" ht="60" customHeight="1">
      <c r="A361" s="41"/>
      <c r="B361" s="43"/>
      <c r="C361" s="44"/>
      <c r="D361" s="51"/>
      <c r="E361" s="44"/>
      <c r="F361" s="44"/>
      <c r="G361" s="34">
        <f t="shared" si="20"/>
        <v>0</v>
      </c>
      <c r="H361" s="34" t="str">
        <f t="shared" si="21"/>
        <v/>
      </c>
      <c r="I361" s="52" t="str">
        <f t="shared" si="22"/>
        <v/>
      </c>
      <c r="J361" s="34">
        <f>IF(AND(A361&lt;&gt;"",ISTEXT(A361),COUNTIFS(Processos!$AS$10:$AS$509,"="&amp;SUBSTITUTE(SUBSTITUTE(SUBSTITUTE("P:"&amp;A361,"~","~~"),"*","~*"),"?","~?"))=1),(IF(ISNA(MATCH(SUBSTITUTE(SUBSTITUTE(SUBSTITUTE("P:"&amp;A361,"~","~~"),"*","~*"),"?","~?"),Processos!$AS$10:$AS$509,0)),9,INDEX(Processos!$AM$10:$AM$509,MATCH(SUBSTITUTE(SUBSTITUTE(SUBSTITUTE("P:"&amp;A361,"~","~~"),"*","~*"),"?","~?"),Processos!$AS$10:$AS$509,0)))-9),0)</f>
        <v>0</v>
      </c>
      <c r="K361" s="34" t="str">
        <f t="shared" si="23"/>
        <v/>
      </c>
      <c r="L361" s="14">
        <f>ROW()</f>
        <v>361</v>
      </c>
    </row>
    <row r="362" spans="1:12" ht="60" customHeight="1">
      <c r="A362" s="41"/>
      <c r="B362" s="43"/>
      <c r="C362" s="44"/>
      <c r="D362" s="51"/>
      <c r="E362" s="44"/>
      <c r="F362" s="44"/>
      <c r="G362" s="34">
        <f t="shared" si="20"/>
        <v>0</v>
      </c>
      <c r="H362" s="34" t="str">
        <f t="shared" si="21"/>
        <v/>
      </c>
      <c r="I362" s="52" t="str">
        <f t="shared" si="22"/>
        <v/>
      </c>
      <c r="J362" s="34">
        <f>IF(AND(A362&lt;&gt;"",ISTEXT(A362),COUNTIFS(Processos!$AS$10:$AS$509,"="&amp;SUBSTITUTE(SUBSTITUTE(SUBSTITUTE("P:"&amp;A362,"~","~~"),"*","~*"),"?","~?"))=1),(IF(ISNA(MATCH(SUBSTITUTE(SUBSTITUTE(SUBSTITUTE("P:"&amp;A362,"~","~~"),"*","~*"),"?","~?"),Processos!$AS$10:$AS$509,0)),9,INDEX(Processos!$AM$10:$AM$509,MATCH(SUBSTITUTE(SUBSTITUTE(SUBSTITUTE("P:"&amp;A362,"~","~~"),"*","~*"),"?","~?"),Processos!$AS$10:$AS$509,0)))-9),0)</f>
        <v>0</v>
      </c>
      <c r="K362" s="34" t="str">
        <f t="shared" si="23"/>
        <v/>
      </c>
      <c r="L362" s="14">
        <f>ROW()</f>
        <v>362</v>
      </c>
    </row>
    <row r="363" spans="1:12" ht="60" customHeight="1">
      <c r="A363" s="41"/>
      <c r="B363" s="43"/>
      <c r="C363" s="44"/>
      <c r="D363" s="51"/>
      <c r="E363" s="44"/>
      <c r="F363" s="44"/>
      <c r="G363" s="34">
        <f t="shared" si="20"/>
        <v>0</v>
      </c>
      <c r="H363" s="34" t="str">
        <f t="shared" si="21"/>
        <v/>
      </c>
      <c r="I363" s="52" t="str">
        <f t="shared" si="22"/>
        <v/>
      </c>
      <c r="J363" s="34">
        <f>IF(AND(A363&lt;&gt;"",ISTEXT(A363),COUNTIFS(Processos!$AS$10:$AS$509,"="&amp;SUBSTITUTE(SUBSTITUTE(SUBSTITUTE("P:"&amp;A363,"~","~~"),"*","~*"),"?","~?"))=1),(IF(ISNA(MATCH(SUBSTITUTE(SUBSTITUTE(SUBSTITUTE("P:"&amp;A363,"~","~~"),"*","~*"),"?","~?"),Processos!$AS$10:$AS$509,0)),9,INDEX(Processos!$AM$10:$AM$509,MATCH(SUBSTITUTE(SUBSTITUTE(SUBSTITUTE("P:"&amp;A363,"~","~~"),"*","~*"),"?","~?"),Processos!$AS$10:$AS$509,0)))-9),0)</f>
        <v>0</v>
      </c>
      <c r="K363" s="34" t="str">
        <f t="shared" si="23"/>
        <v/>
      </c>
      <c r="L363" s="14">
        <f>ROW()</f>
        <v>363</v>
      </c>
    </row>
    <row r="364" spans="1:12" ht="60" customHeight="1">
      <c r="A364" s="41"/>
      <c r="B364" s="43"/>
      <c r="C364" s="44"/>
      <c r="D364" s="51"/>
      <c r="E364" s="44"/>
      <c r="F364" s="44"/>
      <c r="G364" s="34">
        <f t="shared" si="20"/>
        <v>0</v>
      </c>
      <c r="H364" s="34" t="str">
        <f t="shared" si="21"/>
        <v/>
      </c>
      <c r="I364" s="52" t="str">
        <f t="shared" si="22"/>
        <v/>
      </c>
      <c r="J364" s="34">
        <f>IF(AND(A364&lt;&gt;"",ISTEXT(A364),COUNTIFS(Processos!$AS$10:$AS$509,"="&amp;SUBSTITUTE(SUBSTITUTE(SUBSTITUTE("P:"&amp;A364,"~","~~"),"*","~*"),"?","~?"))=1),(IF(ISNA(MATCH(SUBSTITUTE(SUBSTITUTE(SUBSTITUTE("P:"&amp;A364,"~","~~"),"*","~*"),"?","~?"),Processos!$AS$10:$AS$509,0)),9,INDEX(Processos!$AM$10:$AM$509,MATCH(SUBSTITUTE(SUBSTITUTE(SUBSTITUTE("P:"&amp;A364,"~","~~"),"*","~*"),"?","~?"),Processos!$AS$10:$AS$509,0)))-9),0)</f>
        <v>0</v>
      </c>
      <c r="K364" s="34" t="str">
        <f t="shared" si="23"/>
        <v/>
      </c>
      <c r="L364" s="14">
        <f>ROW()</f>
        <v>364</v>
      </c>
    </row>
    <row r="365" spans="1:12" ht="60" customHeight="1">
      <c r="A365" s="41"/>
      <c r="B365" s="43"/>
      <c r="C365" s="44"/>
      <c r="D365" s="51"/>
      <c r="E365" s="44"/>
      <c r="F365" s="44"/>
      <c r="G365" s="34">
        <f t="shared" si="20"/>
        <v>0</v>
      </c>
      <c r="H365" s="34" t="str">
        <f t="shared" si="21"/>
        <v/>
      </c>
      <c r="I365" s="52" t="str">
        <f t="shared" si="22"/>
        <v/>
      </c>
      <c r="J365" s="34">
        <f>IF(AND(A365&lt;&gt;"",ISTEXT(A365),COUNTIFS(Processos!$AS$10:$AS$509,"="&amp;SUBSTITUTE(SUBSTITUTE(SUBSTITUTE("P:"&amp;A365,"~","~~"),"*","~*"),"?","~?"))=1),(IF(ISNA(MATCH(SUBSTITUTE(SUBSTITUTE(SUBSTITUTE("P:"&amp;A365,"~","~~"),"*","~*"),"?","~?"),Processos!$AS$10:$AS$509,0)),9,INDEX(Processos!$AM$10:$AM$509,MATCH(SUBSTITUTE(SUBSTITUTE(SUBSTITUTE("P:"&amp;A365,"~","~~"),"*","~*"),"?","~?"),Processos!$AS$10:$AS$509,0)))-9),0)</f>
        <v>0</v>
      </c>
      <c r="K365" s="34" t="str">
        <f t="shared" si="23"/>
        <v/>
      </c>
      <c r="L365" s="14">
        <f>ROW()</f>
        <v>365</v>
      </c>
    </row>
    <row r="366" spans="1:12" ht="60" customHeight="1">
      <c r="A366" s="41"/>
      <c r="B366" s="43"/>
      <c r="C366" s="44"/>
      <c r="D366" s="51"/>
      <c r="E366" s="44"/>
      <c r="F366" s="44"/>
      <c r="G366" s="34">
        <f t="shared" si="20"/>
        <v>0</v>
      </c>
      <c r="H366" s="34" t="str">
        <f t="shared" si="21"/>
        <v/>
      </c>
      <c r="I366" s="52" t="str">
        <f t="shared" si="22"/>
        <v/>
      </c>
      <c r="J366" s="34">
        <f>IF(AND(A366&lt;&gt;"",ISTEXT(A366),COUNTIFS(Processos!$AS$10:$AS$509,"="&amp;SUBSTITUTE(SUBSTITUTE(SUBSTITUTE("P:"&amp;A366,"~","~~"),"*","~*"),"?","~?"))=1),(IF(ISNA(MATCH(SUBSTITUTE(SUBSTITUTE(SUBSTITUTE("P:"&amp;A366,"~","~~"),"*","~*"),"?","~?"),Processos!$AS$10:$AS$509,0)),9,INDEX(Processos!$AM$10:$AM$509,MATCH(SUBSTITUTE(SUBSTITUTE(SUBSTITUTE("P:"&amp;A366,"~","~~"),"*","~*"),"?","~?"),Processos!$AS$10:$AS$509,0)))-9),0)</f>
        <v>0</v>
      </c>
      <c r="K366" s="34" t="str">
        <f t="shared" si="23"/>
        <v/>
      </c>
      <c r="L366" s="14">
        <f>ROW()</f>
        <v>366</v>
      </c>
    </row>
    <row r="367" spans="1:12" ht="60" customHeight="1">
      <c r="A367" s="41"/>
      <c r="B367" s="43"/>
      <c r="C367" s="44"/>
      <c r="D367" s="51"/>
      <c r="E367" s="44"/>
      <c r="F367" s="44"/>
      <c r="G367" s="34">
        <f t="shared" si="20"/>
        <v>0</v>
      </c>
      <c r="H367" s="34" t="str">
        <f t="shared" si="21"/>
        <v/>
      </c>
      <c r="I367" s="52" t="str">
        <f t="shared" si="22"/>
        <v/>
      </c>
      <c r="J367" s="34">
        <f>IF(AND(A367&lt;&gt;"",ISTEXT(A367),COUNTIFS(Processos!$AS$10:$AS$509,"="&amp;SUBSTITUTE(SUBSTITUTE(SUBSTITUTE("P:"&amp;A367,"~","~~"),"*","~*"),"?","~?"))=1),(IF(ISNA(MATCH(SUBSTITUTE(SUBSTITUTE(SUBSTITUTE("P:"&amp;A367,"~","~~"),"*","~*"),"?","~?"),Processos!$AS$10:$AS$509,0)),9,INDEX(Processos!$AM$10:$AM$509,MATCH(SUBSTITUTE(SUBSTITUTE(SUBSTITUTE("P:"&amp;A367,"~","~~"),"*","~*"),"?","~?"),Processos!$AS$10:$AS$509,0)))-9),0)</f>
        <v>0</v>
      </c>
      <c r="K367" s="34" t="str">
        <f t="shared" si="23"/>
        <v/>
      </c>
      <c r="L367" s="14">
        <f>ROW()</f>
        <v>367</v>
      </c>
    </row>
    <row r="368" spans="1:12" ht="60" customHeight="1">
      <c r="A368" s="41"/>
      <c r="B368" s="43"/>
      <c r="C368" s="44"/>
      <c r="D368" s="51"/>
      <c r="E368" s="44"/>
      <c r="F368" s="44"/>
      <c r="G368" s="34">
        <f t="shared" si="20"/>
        <v>0</v>
      </c>
      <c r="H368" s="34" t="str">
        <f t="shared" si="21"/>
        <v/>
      </c>
      <c r="I368" s="52" t="str">
        <f t="shared" si="22"/>
        <v/>
      </c>
      <c r="J368" s="34">
        <f>IF(AND(A368&lt;&gt;"",ISTEXT(A368),COUNTIFS(Processos!$AS$10:$AS$509,"="&amp;SUBSTITUTE(SUBSTITUTE(SUBSTITUTE("P:"&amp;A368,"~","~~"),"*","~*"),"?","~?"))=1),(IF(ISNA(MATCH(SUBSTITUTE(SUBSTITUTE(SUBSTITUTE("P:"&amp;A368,"~","~~"),"*","~*"),"?","~?"),Processos!$AS$10:$AS$509,0)),9,INDEX(Processos!$AM$10:$AM$509,MATCH(SUBSTITUTE(SUBSTITUTE(SUBSTITUTE("P:"&amp;A368,"~","~~"),"*","~*"),"?","~?"),Processos!$AS$10:$AS$509,0)))-9),0)</f>
        <v>0</v>
      </c>
      <c r="K368" s="34" t="str">
        <f t="shared" si="23"/>
        <v/>
      </c>
      <c r="L368" s="14">
        <f>ROW()</f>
        <v>368</v>
      </c>
    </row>
    <row r="369" spans="1:12" ht="60" customHeight="1">
      <c r="A369" s="41"/>
      <c r="B369" s="43"/>
      <c r="C369" s="44"/>
      <c r="D369" s="51"/>
      <c r="E369" s="44"/>
      <c r="F369" s="44"/>
      <c r="G369" s="34">
        <f t="shared" si="20"/>
        <v>0</v>
      </c>
      <c r="H369" s="34" t="str">
        <f t="shared" si="21"/>
        <v/>
      </c>
      <c r="I369" s="52" t="str">
        <f t="shared" si="22"/>
        <v/>
      </c>
      <c r="J369" s="34">
        <f>IF(AND(A369&lt;&gt;"",ISTEXT(A369),COUNTIFS(Processos!$AS$10:$AS$509,"="&amp;SUBSTITUTE(SUBSTITUTE(SUBSTITUTE("P:"&amp;A369,"~","~~"),"*","~*"),"?","~?"))=1),(IF(ISNA(MATCH(SUBSTITUTE(SUBSTITUTE(SUBSTITUTE("P:"&amp;A369,"~","~~"),"*","~*"),"?","~?"),Processos!$AS$10:$AS$509,0)),9,INDEX(Processos!$AM$10:$AM$509,MATCH(SUBSTITUTE(SUBSTITUTE(SUBSTITUTE("P:"&amp;A369,"~","~~"),"*","~*"),"?","~?"),Processos!$AS$10:$AS$509,0)))-9),0)</f>
        <v>0</v>
      </c>
      <c r="K369" s="34" t="str">
        <f t="shared" si="23"/>
        <v/>
      </c>
      <c r="L369" s="14">
        <f>ROW()</f>
        <v>369</v>
      </c>
    </row>
    <row r="370" spans="1:12" ht="60" customHeight="1">
      <c r="A370" s="41"/>
      <c r="B370" s="43"/>
      <c r="C370" s="44"/>
      <c r="D370" s="51"/>
      <c r="E370" s="44"/>
      <c r="F370" s="44"/>
      <c r="G370" s="34">
        <f t="shared" si="20"/>
        <v>0</v>
      </c>
      <c r="H370" s="34" t="str">
        <f t="shared" si="21"/>
        <v/>
      </c>
      <c r="I370" s="52" t="str">
        <f t="shared" si="22"/>
        <v/>
      </c>
      <c r="J370" s="34">
        <f>IF(AND(A370&lt;&gt;"",ISTEXT(A370),COUNTIFS(Processos!$AS$10:$AS$509,"="&amp;SUBSTITUTE(SUBSTITUTE(SUBSTITUTE("P:"&amp;A370,"~","~~"),"*","~*"),"?","~?"))=1),(IF(ISNA(MATCH(SUBSTITUTE(SUBSTITUTE(SUBSTITUTE("P:"&amp;A370,"~","~~"),"*","~*"),"?","~?"),Processos!$AS$10:$AS$509,0)),9,INDEX(Processos!$AM$10:$AM$509,MATCH(SUBSTITUTE(SUBSTITUTE(SUBSTITUTE("P:"&amp;A370,"~","~~"),"*","~*"),"?","~?"),Processos!$AS$10:$AS$509,0)))-9),0)</f>
        <v>0</v>
      </c>
      <c r="K370" s="34" t="str">
        <f t="shared" si="23"/>
        <v/>
      </c>
      <c r="L370" s="14">
        <f>ROW()</f>
        <v>370</v>
      </c>
    </row>
    <row r="371" spans="1:12" ht="60" customHeight="1">
      <c r="A371" s="41"/>
      <c r="B371" s="43"/>
      <c r="C371" s="44"/>
      <c r="D371" s="51"/>
      <c r="E371" s="44"/>
      <c r="F371" s="44"/>
      <c r="G371" s="34">
        <f t="shared" si="20"/>
        <v>0</v>
      </c>
      <c r="H371" s="34" t="str">
        <f t="shared" si="21"/>
        <v/>
      </c>
      <c r="I371" s="52" t="str">
        <f t="shared" si="22"/>
        <v/>
      </c>
      <c r="J371" s="34">
        <f>IF(AND(A371&lt;&gt;"",ISTEXT(A371),COUNTIFS(Processos!$AS$10:$AS$509,"="&amp;SUBSTITUTE(SUBSTITUTE(SUBSTITUTE("P:"&amp;A371,"~","~~"),"*","~*"),"?","~?"))=1),(IF(ISNA(MATCH(SUBSTITUTE(SUBSTITUTE(SUBSTITUTE("P:"&amp;A371,"~","~~"),"*","~*"),"?","~?"),Processos!$AS$10:$AS$509,0)),9,INDEX(Processos!$AM$10:$AM$509,MATCH(SUBSTITUTE(SUBSTITUTE(SUBSTITUTE("P:"&amp;A371,"~","~~"),"*","~*"),"?","~?"),Processos!$AS$10:$AS$509,0)))-9),0)</f>
        <v>0</v>
      </c>
      <c r="K371" s="34" t="str">
        <f t="shared" si="23"/>
        <v/>
      </c>
      <c r="L371" s="14">
        <f>ROW()</f>
        <v>371</v>
      </c>
    </row>
    <row r="372" spans="1:12" ht="60" customHeight="1">
      <c r="A372" s="41"/>
      <c r="B372" s="43"/>
      <c r="C372" s="44"/>
      <c r="D372" s="51"/>
      <c r="E372" s="44"/>
      <c r="F372" s="44"/>
      <c r="G372" s="34">
        <f t="shared" si="20"/>
        <v>0</v>
      </c>
      <c r="H372" s="34" t="str">
        <f t="shared" si="21"/>
        <v/>
      </c>
      <c r="I372" s="52" t="str">
        <f t="shared" si="22"/>
        <v/>
      </c>
      <c r="J372" s="34">
        <f>IF(AND(A372&lt;&gt;"",ISTEXT(A372),COUNTIFS(Processos!$AS$10:$AS$509,"="&amp;SUBSTITUTE(SUBSTITUTE(SUBSTITUTE("P:"&amp;A372,"~","~~"),"*","~*"),"?","~?"))=1),(IF(ISNA(MATCH(SUBSTITUTE(SUBSTITUTE(SUBSTITUTE("P:"&amp;A372,"~","~~"),"*","~*"),"?","~?"),Processos!$AS$10:$AS$509,0)),9,INDEX(Processos!$AM$10:$AM$509,MATCH(SUBSTITUTE(SUBSTITUTE(SUBSTITUTE("P:"&amp;A372,"~","~~"),"*","~*"),"?","~?"),Processos!$AS$10:$AS$509,0)))-9),0)</f>
        <v>0</v>
      </c>
      <c r="K372" s="34" t="str">
        <f t="shared" si="23"/>
        <v/>
      </c>
      <c r="L372" s="14">
        <f>ROW()</f>
        <v>372</v>
      </c>
    </row>
    <row r="373" spans="1:12" ht="60" customHeight="1">
      <c r="A373" s="41"/>
      <c r="B373" s="43"/>
      <c r="C373" s="44"/>
      <c r="D373" s="51"/>
      <c r="E373" s="44"/>
      <c r="F373" s="44"/>
      <c r="G373" s="34">
        <f t="shared" si="20"/>
        <v>0</v>
      </c>
      <c r="H373" s="34" t="str">
        <f t="shared" si="21"/>
        <v/>
      </c>
      <c r="I373" s="52" t="str">
        <f t="shared" si="22"/>
        <v/>
      </c>
      <c r="J373" s="34">
        <f>IF(AND(A373&lt;&gt;"",ISTEXT(A373),COUNTIFS(Processos!$AS$10:$AS$509,"="&amp;SUBSTITUTE(SUBSTITUTE(SUBSTITUTE("P:"&amp;A373,"~","~~"),"*","~*"),"?","~?"))=1),(IF(ISNA(MATCH(SUBSTITUTE(SUBSTITUTE(SUBSTITUTE("P:"&amp;A373,"~","~~"),"*","~*"),"?","~?"),Processos!$AS$10:$AS$509,0)),9,INDEX(Processos!$AM$10:$AM$509,MATCH(SUBSTITUTE(SUBSTITUTE(SUBSTITUTE("P:"&amp;A373,"~","~~"),"*","~*"),"?","~?"),Processos!$AS$10:$AS$509,0)))-9),0)</f>
        <v>0</v>
      </c>
      <c r="K373" s="34" t="str">
        <f t="shared" si="23"/>
        <v/>
      </c>
      <c r="L373" s="14">
        <f>ROW()</f>
        <v>373</v>
      </c>
    </row>
    <row r="374" spans="1:12" ht="60" customHeight="1">
      <c r="A374" s="41"/>
      <c r="B374" s="43"/>
      <c r="C374" s="44"/>
      <c r="D374" s="51"/>
      <c r="E374" s="44"/>
      <c r="F374" s="44"/>
      <c r="G374" s="34">
        <f t="shared" si="20"/>
        <v>0</v>
      </c>
      <c r="H374" s="34" t="str">
        <f t="shared" si="21"/>
        <v/>
      </c>
      <c r="I374" s="52" t="str">
        <f t="shared" si="22"/>
        <v/>
      </c>
      <c r="J374" s="34">
        <f>IF(AND(A374&lt;&gt;"",ISTEXT(A374),COUNTIFS(Processos!$AS$10:$AS$509,"="&amp;SUBSTITUTE(SUBSTITUTE(SUBSTITUTE("P:"&amp;A374,"~","~~"),"*","~*"),"?","~?"))=1),(IF(ISNA(MATCH(SUBSTITUTE(SUBSTITUTE(SUBSTITUTE("P:"&amp;A374,"~","~~"),"*","~*"),"?","~?"),Processos!$AS$10:$AS$509,0)),9,INDEX(Processos!$AM$10:$AM$509,MATCH(SUBSTITUTE(SUBSTITUTE(SUBSTITUTE("P:"&amp;A374,"~","~~"),"*","~*"),"?","~?"),Processos!$AS$10:$AS$509,0)))-9),0)</f>
        <v>0</v>
      </c>
      <c r="K374" s="34" t="str">
        <f t="shared" si="23"/>
        <v/>
      </c>
      <c r="L374" s="14">
        <f>ROW()</f>
        <v>374</v>
      </c>
    </row>
    <row r="375" spans="1:12" ht="60" customHeight="1">
      <c r="A375" s="41"/>
      <c r="B375" s="43"/>
      <c r="C375" s="44"/>
      <c r="D375" s="51"/>
      <c r="E375" s="44"/>
      <c r="F375" s="44"/>
      <c r="G375" s="34">
        <f t="shared" si="20"/>
        <v>0</v>
      </c>
      <c r="H375" s="34" t="str">
        <f t="shared" si="21"/>
        <v/>
      </c>
      <c r="I375" s="52" t="str">
        <f t="shared" si="22"/>
        <v/>
      </c>
      <c r="J375" s="34">
        <f>IF(AND(A375&lt;&gt;"",ISTEXT(A375),COUNTIFS(Processos!$AS$10:$AS$509,"="&amp;SUBSTITUTE(SUBSTITUTE(SUBSTITUTE("P:"&amp;A375,"~","~~"),"*","~*"),"?","~?"))=1),(IF(ISNA(MATCH(SUBSTITUTE(SUBSTITUTE(SUBSTITUTE("P:"&amp;A375,"~","~~"),"*","~*"),"?","~?"),Processos!$AS$10:$AS$509,0)),9,INDEX(Processos!$AM$10:$AM$509,MATCH(SUBSTITUTE(SUBSTITUTE(SUBSTITUTE("P:"&amp;A375,"~","~~"),"*","~*"),"?","~?"),Processos!$AS$10:$AS$509,0)))-9),0)</f>
        <v>0</v>
      </c>
      <c r="K375" s="34" t="str">
        <f t="shared" si="23"/>
        <v/>
      </c>
      <c r="L375" s="14">
        <f>ROW()</f>
        <v>375</v>
      </c>
    </row>
    <row r="376" spans="1:12" ht="60" customHeight="1">
      <c r="A376" s="41"/>
      <c r="B376" s="43"/>
      <c r="C376" s="44"/>
      <c r="D376" s="51"/>
      <c r="E376" s="44"/>
      <c r="F376" s="44"/>
      <c r="G376" s="34">
        <f t="shared" si="20"/>
        <v>0</v>
      </c>
      <c r="H376" s="34" t="str">
        <f t="shared" si="21"/>
        <v/>
      </c>
      <c r="I376" s="52" t="str">
        <f t="shared" si="22"/>
        <v/>
      </c>
      <c r="J376" s="34">
        <f>IF(AND(A376&lt;&gt;"",ISTEXT(A376),COUNTIFS(Processos!$AS$10:$AS$509,"="&amp;SUBSTITUTE(SUBSTITUTE(SUBSTITUTE("P:"&amp;A376,"~","~~"),"*","~*"),"?","~?"))=1),(IF(ISNA(MATCH(SUBSTITUTE(SUBSTITUTE(SUBSTITUTE("P:"&amp;A376,"~","~~"),"*","~*"),"?","~?"),Processos!$AS$10:$AS$509,0)),9,INDEX(Processos!$AM$10:$AM$509,MATCH(SUBSTITUTE(SUBSTITUTE(SUBSTITUTE("P:"&amp;A376,"~","~~"),"*","~*"),"?","~?"),Processos!$AS$10:$AS$509,0)))-9),0)</f>
        <v>0</v>
      </c>
      <c r="K376" s="34" t="str">
        <f t="shared" si="23"/>
        <v/>
      </c>
      <c r="L376" s="14">
        <f>ROW()</f>
        <v>376</v>
      </c>
    </row>
    <row r="377" spans="1:12" ht="60" customHeight="1">
      <c r="A377" s="41"/>
      <c r="B377" s="43"/>
      <c r="C377" s="44"/>
      <c r="D377" s="51"/>
      <c r="E377" s="44"/>
      <c r="F377" s="44"/>
      <c r="G377" s="34">
        <f t="shared" si="20"/>
        <v>0</v>
      </c>
      <c r="H377" s="34" t="str">
        <f t="shared" si="21"/>
        <v/>
      </c>
      <c r="I377" s="52" t="str">
        <f t="shared" si="22"/>
        <v/>
      </c>
      <c r="J377" s="34">
        <f>IF(AND(A377&lt;&gt;"",ISTEXT(A377),COUNTIFS(Processos!$AS$10:$AS$509,"="&amp;SUBSTITUTE(SUBSTITUTE(SUBSTITUTE("P:"&amp;A377,"~","~~"),"*","~*"),"?","~?"))=1),(IF(ISNA(MATCH(SUBSTITUTE(SUBSTITUTE(SUBSTITUTE("P:"&amp;A377,"~","~~"),"*","~*"),"?","~?"),Processos!$AS$10:$AS$509,0)),9,INDEX(Processos!$AM$10:$AM$509,MATCH(SUBSTITUTE(SUBSTITUTE(SUBSTITUTE("P:"&amp;A377,"~","~~"),"*","~*"),"?","~?"),Processos!$AS$10:$AS$509,0)))-9),0)</f>
        <v>0</v>
      </c>
      <c r="K377" s="34" t="str">
        <f t="shared" si="23"/>
        <v/>
      </c>
      <c r="L377" s="14">
        <f>ROW()</f>
        <v>377</v>
      </c>
    </row>
    <row r="378" spans="1:12" ht="60" customHeight="1">
      <c r="A378" s="41"/>
      <c r="B378" s="43"/>
      <c r="C378" s="44"/>
      <c r="D378" s="51"/>
      <c r="E378" s="44"/>
      <c r="F378" s="44"/>
      <c r="G378" s="34">
        <f t="shared" si="20"/>
        <v>0</v>
      </c>
      <c r="H378" s="34" t="str">
        <f t="shared" si="21"/>
        <v/>
      </c>
      <c r="I378" s="52" t="str">
        <f t="shared" si="22"/>
        <v/>
      </c>
      <c r="J378" s="34">
        <f>IF(AND(A378&lt;&gt;"",ISTEXT(A378),COUNTIFS(Processos!$AS$10:$AS$509,"="&amp;SUBSTITUTE(SUBSTITUTE(SUBSTITUTE("P:"&amp;A378,"~","~~"),"*","~*"),"?","~?"))=1),(IF(ISNA(MATCH(SUBSTITUTE(SUBSTITUTE(SUBSTITUTE("P:"&amp;A378,"~","~~"),"*","~*"),"?","~?"),Processos!$AS$10:$AS$509,0)),9,INDEX(Processos!$AM$10:$AM$509,MATCH(SUBSTITUTE(SUBSTITUTE(SUBSTITUTE("P:"&amp;A378,"~","~~"),"*","~*"),"?","~?"),Processos!$AS$10:$AS$509,0)))-9),0)</f>
        <v>0</v>
      </c>
      <c r="K378" s="34" t="str">
        <f t="shared" si="23"/>
        <v/>
      </c>
      <c r="L378" s="14">
        <f>ROW()</f>
        <v>378</v>
      </c>
    </row>
    <row r="379" spans="1:12" ht="60" customHeight="1">
      <c r="A379" s="41"/>
      <c r="B379" s="43"/>
      <c r="C379" s="44"/>
      <c r="D379" s="51"/>
      <c r="E379" s="44"/>
      <c r="F379" s="44"/>
      <c r="G379" s="34">
        <f t="shared" si="20"/>
        <v>0</v>
      </c>
      <c r="H379" s="34" t="str">
        <f t="shared" si="21"/>
        <v/>
      </c>
      <c r="I379" s="52" t="str">
        <f t="shared" si="22"/>
        <v/>
      </c>
      <c r="J379" s="34">
        <f>IF(AND(A379&lt;&gt;"",ISTEXT(A379),COUNTIFS(Processos!$AS$10:$AS$509,"="&amp;SUBSTITUTE(SUBSTITUTE(SUBSTITUTE("P:"&amp;A379,"~","~~"),"*","~*"),"?","~?"))=1),(IF(ISNA(MATCH(SUBSTITUTE(SUBSTITUTE(SUBSTITUTE("P:"&amp;A379,"~","~~"),"*","~*"),"?","~?"),Processos!$AS$10:$AS$509,0)),9,INDEX(Processos!$AM$10:$AM$509,MATCH(SUBSTITUTE(SUBSTITUTE(SUBSTITUTE("P:"&amp;A379,"~","~~"),"*","~*"),"?","~?"),Processos!$AS$10:$AS$509,0)))-9),0)</f>
        <v>0</v>
      </c>
      <c r="K379" s="34" t="str">
        <f t="shared" si="23"/>
        <v/>
      </c>
      <c r="L379" s="14">
        <f>ROW()</f>
        <v>379</v>
      </c>
    </row>
    <row r="380" spans="1:12" ht="60" customHeight="1">
      <c r="A380" s="41"/>
      <c r="B380" s="43"/>
      <c r="C380" s="44"/>
      <c r="D380" s="51"/>
      <c r="E380" s="44"/>
      <c r="F380" s="44"/>
      <c r="G380" s="34">
        <f t="shared" si="20"/>
        <v>0</v>
      </c>
      <c r="H380" s="34" t="str">
        <f t="shared" si="21"/>
        <v/>
      </c>
      <c r="I380" s="52" t="str">
        <f t="shared" si="22"/>
        <v/>
      </c>
      <c r="J380" s="34">
        <f>IF(AND(A380&lt;&gt;"",ISTEXT(A380),COUNTIFS(Processos!$AS$10:$AS$509,"="&amp;SUBSTITUTE(SUBSTITUTE(SUBSTITUTE("P:"&amp;A380,"~","~~"),"*","~*"),"?","~?"))=1),(IF(ISNA(MATCH(SUBSTITUTE(SUBSTITUTE(SUBSTITUTE("P:"&amp;A380,"~","~~"),"*","~*"),"?","~?"),Processos!$AS$10:$AS$509,0)),9,INDEX(Processos!$AM$10:$AM$509,MATCH(SUBSTITUTE(SUBSTITUTE(SUBSTITUTE("P:"&amp;A380,"~","~~"),"*","~*"),"?","~?"),Processos!$AS$10:$AS$509,0)))-9),0)</f>
        <v>0</v>
      </c>
      <c r="K380" s="34" t="str">
        <f t="shared" si="23"/>
        <v/>
      </c>
      <c r="L380" s="14">
        <f>ROW()</f>
        <v>380</v>
      </c>
    </row>
    <row r="381" spans="1:12" ht="60" customHeight="1">
      <c r="A381" s="41"/>
      <c r="B381" s="43"/>
      <c r="C381" s="44"/>
      <c r="D381" s="51"/>
      <c r="E381" s="44"/>
      <c r="F381" s="44"/>
      <c r="G381" s="34">
        <f t="shared" si="20"/>
        <v>0</v>
      </c>
      <c r="H381" s="34" t="str">
        <f t="shared" si="21"/>
        <v/>
      </c>
      <c r="I381" s="52" t="str">
        <f t="shared" si="22"/>
        <v/>
      </c>
      <c r="J381" s="34">
        <f>IF(AND(A381&lt;&gt;"",ISTEXT(A381),COUNTIFS(Processos!$AS$10:$AS$509,"="&amp;SUBSTITUTE(SUBSTITUTE(SUBSTITUTE("P:"&amp;A381,"~","~~"),"*","~*"),"?","~?"))=1),(IF(ISNA(MATCH(SUBSTITUTE(SUBSTITUTE(SUBSTITUTE("P:"&amp;A381,"~","~~"),"*","~*"),"?","~?"),Processos!$AS$10:$AS$509,0)),9,INDEX(Processos!$AM$10:$AM$509,MATCH(SUBSTITUTE(SUBSTITUTE(SUBSTITUTE("P:"&amp;A381,"~","~~"),"*","~*"),"?","~?"),Processos!$AS$10:$AS$509,0)))-9),0)</f>
        <v>0</v>
      </c>
      <c r="K381" s="34" t="str">
        <f t="shared" si="23"/>
        <v/>
      </c>
      <c r="L381" s="14">
        <f>ROW()</f>
        <v>381</v>
      </c>
    </row>
    <row r="382" spans="1:12" ht="60" customHeight="1">
      <c r="A382" s="41"/>
      <c r="B382" s="43"/>
      <c r="C382" s="44"/>
      <c r="D382" s="51"/>
      <c r="E382" s="44"/>
      <c r="F382" s="44"/>
      <c r="G382" s="34">
        <f t="shared" si="20"/>
        <v>0</v>
      </c>
      <c r="H382" s="34" t="str">
        <f t="shared" si="21"/>
        <v/>
      </c>
      <c r="I382" s="52" t="str">
        <f t="shared" si="22"/>
        <v/>
      </c>
      <c r="J382" s="34">
        <f>IF(AND(A382&lt;&gt;"",ISTEXT(A382),COUNTIFS(Processos!$AS$10:$AS$509,"="&amp;SUBSTITUTE(SUBSTITUTE(SUBSTITUTE("P:"&amp;A382,"~","~~"),"*","~*"),"?","~?"))=1),(IF(ISNA(MATCH(SUBSTITUTE(SUBSTITUTE(SUBSTITUTE("P:"&amp;A382,"~","~~"),"*","~*"),"?","~?"),Processos!$AS$10:$AS$509,0)),9,INDEX(Processos!$AM$10:$AM$509,MATCH(SUBSTITUTE(SUBSTITUTE(SUBSTITUTE("P:"&amp;A382,"~","~~"),"*","~*"),"?","~?"),Processos!$AS$10:$AS$509,0)))-9),0)</f>
        <v>0</v>
      </c>
      <c r="K382" s="34" t="str">
        <f t="shared" si="23"/>
        <v/>
      </c>
      <c r="L382" s="14">
        <f>ROW()</f>
        <v>382</v>
      </c>
    </row>
    <row r="383" spans="1:12" ht="60" customHeight="1">
      <c r="A383" s="41"/>
      <c r="B383" s="43"/>
      <c r="C383" s="44"/>
      <c r="D383" s="51"/>
      <c r="E383" s="44"/>
      <c r="F383" s="44"/>
      <c r="G383" s="34">
        <f t="shared" si="20"/>
        <v>0</v>
      </c>
      <c r="H383" s="34" t="str">
        <f t="shared" si="21"/>
        <v/>
      </c>
      <c r="I383" s="52" t="str">
        <f t="shared" si="22"/>
        <v/>
      </c>
      <c r="J383" s="34">
        <f>IF(AND(A383&lt;&gt;"",ISTEXT(A383),COUNTIFS(Processos!$AS$10:$AS$509,"="&amp;SUBSTITUTE(SUBSTITUTE(SUBSTITUTE("P:"&amp;A383,"~","~~"),"*","~*"),"?","~?"))=1),(IF(ISNA(MATCH(SUBSTITUTE(SUBSTITUTE(SUBSTITUTE("P:"&amp;A383,"~","~~"),"*","~*"),"?","~?"),Processos!$AS$10:$AS$509,0)),9,INDEX(Processos!$AM$10:$AM$509,MATCH(SUBSTITUTE(SUBSTITUTE(SUBSTITUTE("P:"&amp;A383,"~","~~"),"*","~*"),"?","~?"),Processos!$AS$10:$AS$509,0)))-9),0)</f>
        <v>0</v>
      </c>
      <c r="K383" s="34" t="str">
        <f t="shared" si="23"/>
        <v/>
      </c>
      <c r="L383" s="14">
        <f>ROW()</f>
        <v>383</v>
      </c>
    </row>
    <row r="384" spans="1:12" ht="60" customHeight="1">
      <c r="A384" s="41"/>
      <c r="B384" s="43"/>
      <c r="C384" s="44"/>
      <c r="D384" s="51"/>
      <c r="E384" s="44"/>
      <c r="F384" s="44"/>
      <c r="G384" s="34">
        <f t="shared" si="20"/>
        <v>0</v>
      </c>
      <c r="H384" s="34" t="str">
        <f t="shared" si="21"/>
        <v/>
      </c>
      <c r="I384" s="52" t="str">
        <f t="shared" si="22"/>
        <v/>
      </c>
      <c r="J384" s="34">
        <f>IF(AND(A384&lt;&gt;"",ISTEXT(A384),COUNTIFS(Processos!$AS$10:$AS$509,"="&amp;SUBSTITUTE(SUBSTITUTE(SUBSTITUTE("P:"&amp;A384,"~","~~"),"*","~*"),"?","~?"))=1),(IF(ISNA(MATCH(SUBSTITUTE(SUBSTITUTE(SUBSTITUTE("P:"&amp;A384,"~","~~"),"*","~*"),"?","~?"),Processos!$AS$10:$AS$509,0)),9,INDEX(Processos!$AM$10:$AM$509,MATCH(SUBSTITUTE(SUBSTITUTE(SUBSTITUTE("P:"&amp;A384,"~","~~"),"*","~*"),"?","~?"),Processos!$AS$10:$AS$509,0)))-9),0)</f>
        <v>0</v>
      </c>
      <c r="K384" s="34" t="str">
        <f t="shared" si="23"/>
        <v/>
      </c>
      <c r="L384" s="14">
        <f>ROW()</f>
        <v>384</v>
      </c>
    </row>
    <row r="385" spans="1:12" ht="60" customHeight="1">
      <c r="A385" s="41"/>
      <c r="B385" s="43"/>
      <c r="C385" s="44"/>
      <c r="D385" s="51"/>
      <c r="E385" s="44"/>
      <c r="F385" s="44"/>
      <c r="G385" s="34">
        <f t="shared" si="20"/>
        <v>0</v>
      </c>
      <c r="H385" s="34" t="str">
        <f t="shared" si="21"/>
        <v/>
      </c>
      <c r="I385" s="52" t="str">
        <f t="shared" si="22"/>
        <v/>
      </c>
      <c r="J385" s="34">
        <f>IF(AND(A385&lt;&gt;"",ISTEXT(A385),COUNTIFS(Processos!$AS$10:$AS$509,"="&amp;SUBSTITUTE(SUBSTITUTE(SUBSTITUTE("P:"&amp;A385,"~","~~"),"*","~*"),"?","~?"))=1),(IF(ISNA(MATCH(SUBSTITUTE(SUBSTITUTE(SUBSTITUTE("P:"&amp;A385,"~","~~"),"*","~*"),"?","~?"),Processos!$AS$10:$AS$509,0)),9,INDEX(Processos!$AM$10:$AM$509,MATCH(SUBSTITUTE(SUBSTITUTE(SUBSTITUTE("P:"&amp;A385,"~","~~"),"*","~*"),"?","~?"),Processos!$AS$10:$AS$509,0)))-9),0)</f>
        <v>0</v>
      </c>
      <c r="K385" s="34" t="str">
        <f t="shared" si="23"/>
        <v/>
      </c>
      <c r="L385" s="14">
        <f>ROW()</f>
        <v>385</v>
      </c>
    </row>
    <row r="386" spans="1:12" ht="60" customHeight="1">
      <c r="A386" s="41"/>
      <c r="B386" s="43"/>
      <c r="C386" s="44"/>
      <c r="D386" s="51"/>
      <c r="E386" s="44"/>
      <c r="F386" s="44"/>
      <c r="G386" s="34">
        <f t="shared" si="20"/>
        <v>0</v>
      </c>
      <c r="H386" s="34" t="str">
        <f t="shared" si="21"/>
        <v/>
      </c>
      <c r="I386" s="52" t="str">
        <f t="shared" si="22"/>
        <v/>
      </c>
      <c r="J386" s="34">
        <f>IF(AND(A386&lt;&gt;"",ISTEXT(A386),COUNTIFS(Processos!$AS$10:$AS$509,"="&amp;SUBSTITUTE(SUBSTITUTE(SUBSTITUTE("P:"&amp;A386,"~","~~"),"*","~*"),"?","~?"))=1),(IF(ISNA(MATCH(SUBSTITUTE(SUBSTITUTE(SUBSTITUTE("P:"&amp;A386,"~","~~"),"*","~*"),"?","~?"),Processos!$AS$10:$AS$509,0)),9,INDEX(Processos!$AM$10:$AM$509,MATCH(SUBSTITUTE(SUBSTITUTE(SUBSTITUTE("P:"&amp;A386,"~","~~"),"*","~*"),"?","~?"),Processos!$AS$10:$AS$509,0)))-9),0)</f>
        <v>0</v>
      </c>
      <c r="K386" s="34" t="str">
        <f t="shared" si="23"/>
        <v/>
      </c>
      <c r="L386" s="14">
        <f>ROW()</f>
        <v>386</v>
      </c>
    </row>
    <row r="387" spans="1:12" ht="60" customHeight="1">
      <c r="A387" s="41"/>
      <c r="B387" s="43"/>
      <c r="C387" s="44"/>
      <c r="D387" s="51"/>
      <c r="E387" s="44"/>
      <c r="F387" s="44"/>
      <c r="G387" s="34">
        <f t="shared" si="20"/>
        <v>0</v>
      </c>
      <c r="H387" s="34" t="str">
        <f t="shared" si="21"/>
        <v/>
      </c>
      <c r="I387" s="52" t="str">
        <f t="shared" si="22"/>
        <v/>
      </c>
      <c r="J387" s="34">
        <f>IF(AND(A387&lt;&gt;"",ISTEXT(A387),COUNTIFS(Processos!$AS$10:$AS$509,"="&amp;SUBSTITUTE(SUBSTITUTE(SUBSTITUTE("P:"&amp;A387,"~","~~"),"*","~*"),"?","~?"))=1),(IF(ISNA(MATCH(SUBSTITUTE(SUBSTITUTE(SUBSTITUTE("P:"&amp;A387,"~","~~"),"*","~*"),"?","~?"),Processos!$AS$10:$AS$509,0)),9,INDEX(Processos!$AM$10:$AM$509,MATCH(SUBSTITUTE(SUBSTITUTE(SUBSTITUTE("P:"&amp;A387,"~","~~"),"*","~*"),"?","~?"),Processos!$AS$10:$AS$509,0)))-9),0)</f>
        <v>0</v>
      </c>
      <c r="K387" s="34" t="str">
        <f t="shared" si="23"/>
        <v/>
      </c>
      <c r="L387" s="14">
        <f>ROW()</f>
        <v>387</v>
      </c>
    </row>
    <row r="388" spans="1:12" ht="60" customHeight="1">
      <c r="A388" s="41"/>
      <c r="B388" s="43"/>
      <c r="C388" s="44"/>
      <c r="D388" s="51"/>
      <c r="E388" s="44"/>
      <c r="F388" s="44"/>
      <c r="G388" s="34">
        <f t="shared" si="20"/>
        <v>0</v>
      </c>
      <c r="H388" s="34" t="str">
        <f t="shared" si="21"/>
        <v/>
      </c>
      <c r="I388" s="52" t="str">
        <f t="shared" si="22"/>
        <v/>
      </c>
      <c r="J388" s="34">
        <f>IF(AND(A388&lt;&gt;"",ISTEXT(A388),COUNTIFS(Processos!$AS$10:$AS$509,"="&amp;SUBSTITUTE(SUBSTITUTE(SUBSTITUTE("P:"&amp;A388,"~","~~"),"*","~*"),"?","~?"))=1),(IF(ISNA(MATCH(SUBSTITUTE(SUBSTITUTE(SUBSTITUTE("P:"&amp;A388,"~","~~"),"*","~*"),"?","~?"),Processos!$AS$10:$AS$509,0)),9,INDEX(Processos!$AM$10:$AM$509,MATCH(SUBSTITUTE(SUBSTITUTE(SUBSTITUTE("P:"&amp;A388,"~","~~"),"*","~*"),"?","~?"),Processos!$AS$10:$AS$509,0)))-9),0)</f>
        <v>0</v>
      </c>
      <c r="K388" s="34" t="str">
        <f t="shared" si="23"/>
        <v/>
      </c>
      <c r="L388" s="14">
        <f>ROW()</f>
        <v>388</v>
      </c>
    </row>
    <row r="389" spans="1:12" ht="60" customHeight="1">
      <c r="A389" s="41"/>
      <c r="B389" s="43"/>
      <c r="C389" s="44"/>
      <c r="D389" s="51"/>
      <c r="E389" s="44"/>
      <c r="F389" s="44"/>
      <c r="G389" s="34">
        <f t="shared" si="20"/>
        <v>0</v>
      </c>
      <c r="H389" s="34" t="str">
        <f t="shared" si="21"/>
        <v/>
      </c>
      <c r="I389" s="52" t="str">
        <f t="shared" si="22"/>
        <v/>
      </c>
      <c r="J389" s="34">
        <f>IF(AND(A389&lt;&gt;"",ISTEXT(A389),COUNTIFS(Processos!$AS$10:$AS$509,"="&amp;SUBSTITUTE(SUBSTITUTE(SUBSTITUTE("P:"&amp;A389,"~","~~"),"*","~*"),"?","~?"))=1),(IF(ISNA(MATCH(SUBSTITUTE(SUBSTITUTE(SUBSTITUTE("P:"&amp;A389,"~","~~"),"*","~*"),"?","~?"),Processos!$AS$10:$AS$509,0)),9,INDEX(Processos!$AM$10:$AM$509,MATCH(SUBSTITUTE(SUBSTITUTE(SUBSTITUTE("P:"&amp;A389,"~","~~"),"*","~*"),"?","~?"),Processos!$AS$10:$AS$509,0)))-9),0)</f>
        <v>0</v>
      </c>
      <c r="K389" s="34" t="str">
        <f t="shared" si="23"/>
        <v/>
      </c>
      <c r="L389" s="14">
        <f>ROW()</f>
        <v>389</v>
      </c>
    </row>
    <row r="390" spans="1:12" ht="60" customHeight="1">
      <c r="A390" s="41"/>
      <c r="B390" s="43"/>
      <c r="C390" s="44"/>
      <c r="D390" s="51"/>
      <c r="E390" s="44"/>
      <c r="F390" s="44"/>
      <c r="G390" s="34">
        <f t="shared" si="20"/>
        <v>0</v>
      </c>
      <c r="H390" s="34" t="str">
        <f t="shared" si="21"/>
        <v/>
      </c>
      <c r="I390" s="52" t="str">
        <f t="shared" si="22"/>
        <v/>
      </c>
      <c r="J390" s="34">
        <f>IF(AND(A390&lt;&gt;"",ISTEXT(A390),COUNTIFS(Processos!$AS$10:$AS$509,"="&amp;SUBSTITUTE(SUBSTITUTE(SUBSTITUTE("P:"&amp;A390,"~","~~"),"*","~*"),"?","~?"))=1),(IF(ISNA(MATCH(SUBSTITUTE(SUBSTITUTE(SUBSTITUTE("P:"&amp;A390,"~","~~"),"*","~*"),"?","~?"),Processos!$AS$10:$AS$509,0)),9,INDEX(Processos!$AM$10:$AM$509,MATCH(SUBSTITUTE(SUBSTITUTE(SUBSTITUTE("P:"&amp;A390,"~","~~"),"*","~*"),"?","~?"),Processos!$AS$10:$AS$509,0)))-9),0)</f>
        <v>0</v>
      </c>
      <c r="K390" s="34" t="str">
        <f t="shared" si="23"/>
        <v/>
      </c>
      <c r="L390" s="14">
        <f>ROW()</f>
        <v>390</v>
      </c>
    </row>
    <row r="391" spans="1:12" ht="60" customHeight="1">
      <c r="A391" s="41"/>
      <c r="B391" s="43"/>
      <c r="C391" s="44"/>
      <c r="D391" s="51"/>
      <c r="E391" s="44"/>
      <c r="F391" s="44"/>
      <c r="G391" s="34">
        <f t="shared" si="20"/>
        <v>0</v>
      </c>
      <c r="H391" s="34" t="str">
        <f t="shared" si="21"/>
        <v/>
      </c>
      <c r="I391" s="52" t="str">
        <f t="shared" si="22"/>
        <v/>
      </c>
      <c r="J391" s="34">
        <f>IF(AND(A391&lt;&gt;"",ISTEXT(A391),COUNTIFS(Processos!$AS$10:$AS$509,"="&amp;SUBSTITUTE(SUBSTITUTE(SUBSTITUTE("P:"&amp;A391,"~","~~"),"*","~*"),"?","~?"))=1),(IF(ISNA(MATCH(SUBSTITUTE(SUBSTITUTE(SUBSTITUTE("P:"&amp;A391,"~","~~"),"*","~*"),"?","~?"),Processos!$AS$10:$AS$509,0)),9,INDEX(Processos!$AM$10:$AM$509,MATCH(SUBSTITUTE(SUBSTITUTE(SUBSTITUTE("P:"&amp;A391,"~","~~"),"*","~*"),"?","~?"),Processos!$AS$10:$AS$509,0)))-9),0)</f>
        <v>0</v>
      </c>
      <c r="K391" s="34" t="str">
        <f t="shared" si="23"/>
        <v/>
      </c>
      <c r="L391" s="14">
        <f>ROW()</f>
        <v>391</v>
      </c>
    </row>
    <row r="392" spans="1:12" ht="60" customHeight="1">
      <c r="A392" s="41"/>
      <c r="B392" s="43"/>
      <c r="C392" s="44"/>
      <c r="D392" s="51"/>
      <c r="E392" s="44"/>
      <c r="F392" s="44"/>
      <c r="G392" s="34">
        <f t="shared" si="20"/>
        <v>0</v>
      </c>
      <c r="H392" s="34" t="str">
        <f t="shared" si="21"/>
        <v/>
      </c>
      <c r="I392" s="52" t="str">
        <f t="shared" si="22"/>
        <v/>
      </c>
      <c r="J392" s="34">
        <f>IF(AND(A392&lt;&gt;"",ISTEXT(A392),COUNTIFS(Processos!$AS$10:$AS$509,"="&amp;SUBSTITUTE(SUBSTITUTE(SUBSTITUTE("P:"&amp;A392,"~","~~"),"*","~*"),"?","~?"))=1),(IF(ISNA(MATCH(SUBSTITUTE(SUBSTITUTE(SUBSTITUTE("P:"&amp;A392,"~","~~"),"*","~*"),"?","~?"),Processos!$AS$10:$AS$509,0)),9,INDEX(Processos!$AM$10:$AM$509,MATCH(SUBSTITUTE(SUBSTITUTE(SUBSTITUTE("P:"&amp;A392,"~","~~"),"*","~*"),"?","~?"),Processos!$AS$10:$AS$509,0)))-9),0)</f>
        <v>0</v>
      </c>
      <c r="K392" s="34" t="str">
        <f t="shared" si="23"/>
        <v/>
      </c>
      <c r="L392" s="14">
        <f>ROW()</f>
        <v>392</v>
      </c>
    </row>
    <row r="393" spans="1:12" ht="60" customHeight="1">
      <c r="A393" s="41"/>
      <c r="B393" s="43"/>
      <c r="C393" s="44"/>
      <c r="D393" s="51"/>
      <c r="E393" s="44"/>
      <c r="F393" s="44"/>
      <c r="G393" s="34">
        <f t="shared" si="20"/>
        <v>0</v>
      </c>
      <c r="H393" s="34" t="str">
        <f t="shared" si="21"/>
        <v/>
      </c>
      <c r="I393" s="52" t="str">
        <f t="shared" si="22"/>
        <v/>
      </c>
      <c r="J393" s="34">
        <f>IF(AND(A393&lt;&gt;"",ISTEXT(A393),COUNTIFS(Processos!$AS$10:$AS$509,"="&amp;SUBSTITUTE(SUBSTITUTE(SUBSTITUTE("P:"&amp;A393,"~","~~"),"*","~*"),"?","~?"))=1),(IF(ISNA(MATCH(SUBSTITUTE(SUBSTITUTE(SUBSTITUTE("P:"&amp;A393,"~","~~"),"*","~*"),"?","~?"),Processos!$AS$10:$AS$509,0)),9,INDEX(Processos!$AM$10:$AM$509,MATCH(SUBSTITUTE(SUBSTITUTE(SUBSTITUTE("P:"&amp;A393,"~","~~"),"*","~*"),"?","~?"),Processos!$AS$10:$AS$509,0)))-9),0)</f>
        <v>0</v>
      </c>
      <c r="K393" s="34" t="str">
        <f t="shared" si="23"/>
        <v/>
      </c>
      <c r="L393" s="14">
        <f>ROW()</f>
        <v>393</v>
      </c>
    </row>
    <row r="394" spans="1:12" ht="60" customHeight="1">
      <c r="A394" s="41"/>
      <c r="B394" s="43"/>
      <c r="C394" s="44"/>
      <c r="D394" s="51"/>
      <c r="E394" s="44"/>
      <c r="F394" s="44"/>
      <c r="G394" s="34">
        <f t="shared" ref="G394:G457" si="24">IF(AND(J394&gt;0,OR(B394="",AND(ISNUMBER(B394),B394&gt;=1,B394&lt;=100000)),ISNUMBER(D394),D394&gt;=1,D394&lt;=100000,C394&lt;&gt;""),1,0)</f>
        <v>0</v>
      </c>
      <c r="H394" s="34" t="str">
        <f t="shared" ref="H394:H457" si="25">IF(G394=1,K394&amp;"|"&amp;D394,"")</f>
        <v/>
      </c>
      <c r="I394" s="52" t="str">
        <f t="shared" ref="I394:I457" si="26">IF(COUNTA(A394:F394)=0,"",IF(A394="","Selecione o processo",IF(J394=0,"Processo inexistente, duplicado ou número não textual",IF(B394="","Informe a data do andamento",IF(C394="","Descreva o andamento",IF(D394="","Informe a data e hora do recebimento",IF(OR(NOT(ISNUMBER(B394)),B394&lt;1,B394&gt;100000),"Revise a data do andamento",IF(OR(NOT(ISNUMBER(D394)),D394&lt;1,D394&gt;100000),"Revise a data e hora do recebimento",IF(COUNTIFS($K$10:$K$2009,"="&amp;SUBSTITUTE(SUBSTITUTE(SUBSTITUTE("P:"&amp;A394,"~","~~"),"*","~*"),"?","~?"),$D$10:$D$2009,D394,$G$10:$G$2009,1)&gt;1,"Recebimentos empatados: revise a hora ou consolide o registro","")))))))))</f>
        <v/>
      </c>
      <c r="J394" s="34">
        <f>IF(AND(A394&lt;&gt;"",ISTEXT(A394),COUNTIFS(Processos!$AS$10:$AS$509,"="&amp;SUBSTITUTE(SUBSTITUTE(SUBSTITUTE("P:"&amp;A394,"~","~~"),"*","~*"),"?","~?"))=1),(IF(ISNA(MATCH(SUBSTITUTE(SUBSTITUTE(SUBSTITUTE("P:"&amp;A394,"~","~~"),"*","~*"),"?","~?"),Processos!$AS$10:$AS$509,0)),9,INDEX(Processos!$AM$10:$AM$509,MATCH(SUBSTITUTE(SUBSTITUTE(SUBSTITUTE("P:"&amp;A394,"~","~~"),"*","~*"),"?","~?"),Processos!$AS$10:$AS$509,0)))-9),0)</f>
        <v>0</v>
      </c>
      <c r="K394" s="34" t="str">
        <f t="shared" ref="K394:K457" si="27">IF(AND(A394&lt;&gt;"",ISTEXT(A394)),"P:"&amp;A394,"")</f>
        <v/>
      </c>
      <c r="L394" s="14">
        <f>ROW()</f>
        <v>394</v>
      </c>
    </row>
    <row r="395" spans="1:12" ht="60" customHeight="1">
      <c r="A395" s="41"/>
      <c r="B395" s="43"/>
      <c r="C395" s="44"/>
      <c r="D395" s="51"/>
      <c r="E395" s="44"/>
      <c r="F395" s="44"/>
      <c r="G395" s="34">
        <f t="shared" si="24"/>
        <v>0</v>
      </c>
      <c r="H395" s="34" t="str">
        <f t="shared" si="25"/>
        <v/>
      </c>
      <c r="I395" s="52" t="str">
        <f t="shared" si="26"/>
        <v/>
      </c>
      <c r="J395" s="34">
        <f>IF(AND(A395&lt;&gt;"",ISTEXT(A395),COUNTIFS(Processos!$AS$10:$AS$509,"="&amp;SUBSTITUTE(SUBSTITUTE(SUBSTITUTE("P:"&amp;A395,"~","~~"),"*","~*"),"?","~?"))=1),(IF(ISNA(MATCH(SUBSTITUTE(SUBSTITUTE(SUBSTITUTE("P:"&amp;A395,"~","~~"),"*","~*"),"?","~?"),Processos!$AS$10:$AS$509,0)),9,INDEX(Processos!$AM$10:$AM$509,MATCH(SUBSTITUTE(SUBSTITUTE(SUBSTITUTE("P:"&amp;A395,"~","~~"),"*","~*"),"?","~?"),Processos!$AS$10:$AS$509,0)))-9),0)</f>
        <v>0</v>
      </c>
      <c r="K395" s="34" t="str">
        <f t="shared" si="27"/>
        <v/>
      </c>
      <c r="L395" s="14">
        <f>ROW()</f>
        <v>395</v>
      </c>
    </row>
    <row r="396" spans="1:12" ht="60" customHeight="1">
      <c r="A396" s="41"/>
      <c r="B396" s="43"/>
      <c r="C396" s="44"/>
      <c r="D396" s="51"/>
      <c r="E396" s="44"/>
      <c r="F396" s="44"/>
      <c r="G396" s="34">
        <f t="shared" si="24"/>
        <v>0</v>
      </c>
      <c r="H396" s="34" t="str">
        <f t="shared" si="25"/>
        <v/>
      </c>
      <c r="I396" s="52" t="str">
        <f t="shared" si="26"/>
        <v/>
      </c>
      <c r="J396" s="34">
        <f>IF(AND(A396&lt;&gt;"",ISTEXT(A396),COUNTIFS(Processos!$AS$10:$AS$509,"="&amp;SUBSTITUTE(SUBSTITUTE(SUBSTITUTE("P:"&amp;A396,"~","~~"),"*","~*"),"?","~?"))=1),(IF(ISNA(MATCH(SUBSTITUTE(SUBSTITUTE(SUBSTITUTE("P:"&amp;A396,"~","~~"),"*","~*"),"?","~?"),Processos!$AS$10:$AS$509,0)),9,INDEX(Processos!$AM$10:$AM$509,MATCH(SUBSTITUTE(SUBSTITUTE(SUBSTITUTE("P:"&amp;A396,"~","~~"),"*","~*"),"?","~?"),Processos!$AS$10:$AS$509,0)))-9),0)</f>
        <v>0</v>
      </c>
      <c r="K396" s="34" t="str">
        <f t="shared" si="27"/>
        <v/>
      </c>
      <c r="L396" s="14">
        <f>ROW()</f>
        <v>396</v>
      </c>
    </row>
    <row r="397" spans="1:12" ht="60" customHeight="1">
      <c r="A397" s="41"/>
      <c r="B397" s="43"/>
      <c r="C397" s="44"/>
      <c r="D397" s="51"/>
      <c r="E397" s="44"/>
      <c r="F397" s="44"/>
      <c r="G397" s="34">
        <f t="shared" si="24"/>
        <v>0</v>
      </c>
      <c r="H397" s="34" t="str">
        <f t="shared" si="25"/>
        <v/>
      </c>
      <c r="I397" s="52" t="str">
        <f t="shared" si="26"/>
        <v/>
      </c>
      <c r="J397" s="34">
        <f>IF(AND(A397&lt;&gt;"",ISTEXT(A397),COUNTIFS(Processos!$AS$10:$AS$509,"="&amp;SUBSTITUTE(SUBSTITUTE(SUBSTITUTE("P:"&amp;A397,"~","~~"),"*","~*"),"?","~?"))=1),(IF(ISNA(MATCH(SUBSTITUTE(SUBSTITUTE(SUBSTITUTE("P:"&amp;A397,"~","~~"),"*","~*"),"?","~?"),Processos!$AS$10:$AS$509,0)),9,INDEX(Processos!$AM$10:$AM$509,MATCH(SUBSTITUTE(SUBSTITUTE(SUBSTITUTE("P:"&amp;A397,"~","~~"),"*","~*"),"?","~?"),Processos!$AS$10:$AS$509,0)))-9),0)</f>
        <v>0</v>
      </c>
      <c r="K397" s="34" t="str">
        <f t="shared" si="27"/>
        <v/>
      </c>
      <c r="L397" s="14">
        <f>ROW()</f>
        <v>397</v>
      </c>
    </row>
    <row r="398" spans="1:12" ht="60" customHeight="1">
      <c r="A398" s="41"/>
      <c r="B398" s="43"/>
      <c r="C398" s="44"/>
      <c r="D398" s="51"/>
      <c r="E398" s="44"/>
      <c r="F398" s="44"/>
      <c r="G398" s="34">
        <f t="shared" si="24"/>
        <v>0</v>
      </c>
      <c r="H398" s="34" t="str">
        <f t="shared" si="25"/>
        <v/>
      </c>
      <c r="I398" s="52" t="str">
        <f t="shared" si="26"/>
        <v/>
      </c>
      <c r="J398" s="34">
        <f>IF(AND(A398&lt;&gt;"",ISTEXT(A398),COUNTIFS(Processos!$AS$10:$AS$509,"="&amp;SUBSTITUTE(SUBSTITUTE(SUBSTITUTE("P:"&amp;A398,"~","~~"),"*","~*"),"?","~?"))=1),(IF(ISNA(MATCH(SUBSTITUTE(SUBSTITUTE(SUBSTITUTE("P:"&amp;A398,"~","~~"),"*","~*"),"?","~?"),Processos!$AS$10:$AS$509,0)),9,INDEX(Processos!$AM$10:$AM$509,MATCH(SUBSTITUTE(SUBSTITUTE(SUBSTITUTE("P:"&amp;A398,"~","~~"),"*","~*"),"?","~?"),Processos!$AS$10:$AS$509,0)))-9),0)</f>
        <v>0</v>
      </c>
      <c r="K398" s="34" t="str">
        <f t="shared" si="27"/>
        <v/>
      </c>
      <c r="L398" s="14">
        <f>ROW()</f>
        <v>398</v>
      </c>
    </row>
    <row r="399" spans="1:12" ht="60" customHeight="1">
      <c r="A399" s="41"/>
      <c r="B399" s="43"/>
      <c r="C399" s="44"/>
      <c r="D399" s="51"/>
      <c r="E399" s="44"/>
      <c r="F399" s="44"/>
      <c r="G399" s="34">
        <f t="shared" si="24"/>
        <v>0</v>
      </c>
      <c r="H399" s="34" t="str">
        <f t="shared" si="25"/>
        <v/>
      </c>
      <c r="I399" s="52" t="str">
        <f t="shared" si="26"/>
        <v/>
      </c>
      <c r="J399" s="34">
        <f>IF(AND(A399&lt;&gt;"",ISTEXT(A399),COUNTIFS(Processos!$AS$10:$AS$509,"="&amp;SUBSTITUTE(SUBSTITUTE(SUBSTITUTE("P:"&amp;A399,"~","~~"),"*","~*"),"?","~?"))=1),(IF(ISNA(MATCH(SUBSTITUTE(SUBSTITUTE(SUBSTITUTE("P:"&amp;A399,"~","~~"),"*","~*"),"?","~?"),Processos!$AS$10:$AS$509,0)),9,INDEX(Processos!$AM$10:$AM$509,MATCH(SUBSTITUTE(SUBSTITUTE(SUBSTITUTE("P:"&amp;A399,"~","~~"),"*","~*"),"?","~?"),Processos!$AS$10:$AS$509,0)))-9),0)</f>
        <v>0</v>
      </c>
      <c r="K399" s="34" t="str">
        <f t="shared" si="27"/>
        <v/>
      </c>
      <c r="L399" s="14">
        <f>ROW()</f>
        <v>399</v>
      </c>
    </row>
    <row r="400" spans="1:12" ht="60" customHeight="1">
      <c r="A400" s="41"/>
      <c r="B400" s="43"/>
      <c r="C400" s="44"/>
      <c r="D400" s="51"/>
      <c r="E400" s="44"/>
      <c r="F400" s="44"/>
      <c r="G400" s="34">
        <f t="shared" si="24"/>
        <v>0</v>
      </c>
      <c r="H400" s="34" t="str">
        <f t="shared" si="25"/>
        <v/>
      </c>
      <c r="I400" s="52" t="str">
        <f t="shared" si="26"/>
        <v/>
      </c>
      <c r="J400" s="34">
        <f>IF(AND(A400&lt;&gt;"",ISTEXT(A400),COUNTIFS(Processos!$AS$10:$AS$509,"="&amp;SUBSTITUTE(SUBSTITUTE(SUBSTITUTE("P:"&amp;A400,"~","~~"),"*","~*"),"?","~?"))=1),(IF(ISNA(MATCH(SUBSTITUTE(SUBSTITUTE(SUBSTITUTE("P:"&amp;A400,"~","~~"),"*","~*"),"?","~?"),Processos!$AS$10:$AS$509,0)),9,INDEX(Processos!$AM$10:$AM$509,MATCH(SUBSTITUTE(SUBSTITUTE(SUBSTITUTE("P:"&amp;A400,"~","~~"),"*","~*"),"?","~?"),Processos!$AS$10:$AS$509,0)))-9),0)</f>
        <v>0</v>
      </c>
      <c r="K400" s="34" t="str">
        <f t="shared" si="27"/>
        <v/>
      </c>
      <c r="L400" s="14">
        <f>ROW()</f>
        <v>400</v>
      </c>
    </row>
    <row r="401" spans="1:12" ht="60" customHeight="1">
      <c r="A401" s="41"/>
      <c r="B401" s="43"/>
      <c r="C401" s="44"/>
      <c r="D401" s="51"/>
      <c r="E401" s="44"/>
      <c r="F401" s="44"/>
      <c r="G401" s="34">
        <f t="shared" si="24"/>
        <v>0</v>
      </c>
      <c r="H401" s="34" t="str">
        <f t="shared" si="25"/>
        <v/>
      </c>
      <c r="I401" s="52" t="str">
        <f t="shared" si="26"/>
        <v/>
      </c>
      <c r="J401" s="34">
        <f>IF(AND(A401&lt;&gt;"",ISTEXT(A401),COUNTIFS(Processos!$AS$10:$AS$509,"="&amp;SUBSTITUTE(SUBSTITUTE(SUBSTITUTE("P:"&amp;A401,"~","~~"),"*","~*"),"?","~?"))=1),(IF(ISNA(MATCH(SUBSTITUTE(SUBSTITUTE(SUBSTITUTE("P:"&amp;A401,"~","~~"),"*","~*"),"?","~?"),Processos!$AS$10:$AS$509,0)),9,INDEX(Processos!$AM$10:$AM$509,MATCH(SUBSTITUTE(SUBSTITUTE(SUBSTITUTE("P:"&amp;A401,"~","~~"),"*","~*"),"?","~?"),Processos!$AS$10:$AS$509,0)))-9),0)</f>
        <v>0</v>
      </c>
      <c r="K401" s="34" t="str">
        <f t="shared" si="27"/>
        <v/>
      </c>
      <c r="L401" s="14">
        <f>ROW()</f>
        <v>401</v>
      </c>
    </row>
    <row r="402" spans="1:12" ht="60" customHeight="1">
      <c r="A402" s="41"/>
      <c r="B402" s="43"/>
      <c r="C402" s="44"/>
      <c r="D402" s="51"/>
      <c r="E402" s="44"/>
      <c r="F402" s="44"/>
      <c r="G402" s="34">
        <f t="shared" si="24"/>
        <v>0</v>
      </c>
      <c r="H402" s="34" t="str">
        <f t="shared" si="25"/>
        <v/>
      </c>
      <c r="I402" s="52" t="str">
        <f t="shared" si="26"/>
        <v/>
      </c>
      <c r="J402" s="34">
        <f>IF(AND(A402&lt;&gt;"",ISTEXT(A402),COUNTIFS(Processos!$AS$10:$AS$509,"="&amp;SUBSTITUTE(SUBSTITUTE(SUBSTITUTE("P:"&amp;A402,"~","~~"),"*","~*"),"?","~?"))=1),(IF(ISNA(MATCH(SUBSTITUTE(SUBSTITUTE(SUBSTITUTE("P:"&amp;A402,"~","~~"),"*","~*"),"?","~?"),Processos!$AS$10:$AS$509,0)),9,INDEX(Processos!$AM$10:$AM$509,MATCH(SUBSTITUTE(SUBSTITUTE(SUBSTITUTE("P:"&amp;A402,"~","~~"),"*","~*"),"?","~?"),Processos!$AS$10:$AS$509,0)))-9),0)</f>
        <v>0</v>
      </c>
      <c r="K402" s="34" t="str">
        <f t="shared" si="27"/>
        <v/>
      </c>
      <c r="L402" s="14">
        <f>ROW()</f>
        <v>402</v>
      </c>
    </row>
    <row r="403" spans="1:12" ht="60" customHeight="1">
      <c r="A403" s="41"/>
      <c r="B403" s="43"/>
      <c r="C403" s="44"/>
      <c r="D403" s="51"/>
      <c r="E403" s="44"/>
      <c r="F403" s="44"/>
      <c r="G403" s="34">
        <f t="shared" si="24"/>
        <v>0</v>
      </c>
      <c r="H403" s="34" t="str">
        <f t="shared" si="25"/>
        <v/>
      </c>
      <c r="I403" s="52" t="str">
        <f t="shared" si="26"/>
        <v/>
      </c>
      <c r="J403" s="34">
        <f>IF(AND(A403&lt;&gt;"",ISTEXT(A403),COUNTIFS(Processos!$AS$10:$AS$509,"="&amp;SUBSTITUTE(SUBSTITUTE(SUBSTITUTE("P:"&amp;A403,"~","~~"),"*","~*"),"?","~?"))=1),(IF(ISNA(MATCH(SUBSTITUTE(SUBSTITUTE(SUBSTITUTE("P:"&amp;A403,"~","~~"),"*","~*"),"?","~?"),Processos!$AS$10:$AS$509,0)),9,INDEX(Processos!$AM$10:$AM$509,MATCH(SUBSTITUTE(SUBSTITUTE(SUBSTITUTE("P:"&amp;A403,"~","~~"),"*","~*"),"?","~?"),Processos!$AS$10:$AS$509,0)))-9),0)</f>
        <v>0</v>
      </c>
      <c r="K403" s="34" t="str">
        <f t="shared" si="27"/>
        <v/>
      </c>
      <c r="L403" s="14">
        <f>ROW()</f>
        <v>403</v>
      </c>
    </row>
    <row r="404" spans="1:12" ht="60" customHeight="1">
      <c r="A404" s="41"/>
      <c r="B404" s="43"/>
      <c r="C404" s="44"/>
      <c r="D404" s="51"/>
      <c r="E404" s="44"/>
      <c r="F404" s="44"/>
      <c r="G404" s="34">
        <f t="shared" si="24"/>
        <v>0</v>
      </c>
      <c r="H404" s="34" t="str">
        <f t="shared" si="25"/>
        <v/>
      </c>
      <c r="I404" s="52" t="str">
        <f t="shared" si="26"/>
        <v/>
      </c>
      <c r="J404" s="34">
        <f>IF(AND(A404&lt;&gt;"",ISTEXT(A404),COUNTIFS(Processos!$AS$10:$AS$509,"="&amp;SUBSTITUTE(SUBSTITUTE(SUBSTITUTE("P:"&amp;A404,"~","~~"),"*","~*"),"?","~?"))=1),(IF(ISNA(MATCH(SUBSTITUTE(SUBSTITUTE(SUBSTITUTE("P:"&amp;A404,"~","~~"),"*","~*"),"?","~?"),Processos!$AS$10:$AS$509,0)),9,INDEX(Processos!$AM$10:$AM$509,MATCH(SUBSTITUTE(SUBSTITUTE(SUBSTITUTE("P:"&amp;A404,"~","~~"),"*","~*"),"?","~?"),Processos!$AS$10:$AS$509,0)))-9),0)</f>
        <v>0</v>
      </c>
      <c r="K404" s="34" t="str">
        <f t="shared" si="27"/>
        <v/>
      </c>
      <c r="L404" s="14">
        <f>ROW()</f>
        <v>404</v>
      </c>
    </row>
    <row r="405" spans="1:12" ht="60" customHeight="1">
      <c r="A405" s="41"/>
      <c r="B405" s="43"/>
      <c r="C405" s="44"/>
      <c r="D405" s="51"/>
      <c r="E405" s="44"/>
      <c r="F405" s="44"/>
      <c r="G405" s="34">
        <f t="shared" si="24"/>
        <v>0</v>
      </c>
      <c r="H405" s="34" t="str">
        <f t="shared" si="25"/>
        <v/>
      </c>
      <c r="I405" s="52" t="str">
        <f t="shared" si="26"/>
        <v/>
      </c>
      <c r="J405" s="34">
        <f>IF(AND(A405&lt;&gt;"",ISTEXT(A405),COUNTIFS(Processos!$AS$10:$AS$509,"="&amp;SUBSTITUTE(SUBSTITUTE(SUBSTITUTE("P:"&amp;A405,"~","~~"),"*","~*"),"?","~?"))=1),(IF(ISNA(MATCH(SUBSTITUTE(SUBSTITUTE(SUBSTITUTE("P:"&amp;A405,"~","~~"),"*","~*"),"?","~?"),Processos!$AS$10:$AS$509,0)),9,INDEX(Processos!$AM$10:$AM$509,MATCH(SUBSTITUTE(SUBSTITUTE(SUBSTITUTE("P:"&amp;A405,"~","~~"),"*","~*"),"?","~?"),Processos!$AS$10:$AS$509,0)))-9),0)</f>
        <v>0</v>
      </c>
      <c r="K405" s="34" t="str">
        <f t="shared" si="27"/>
        <v/>
      </c>
      <c r="L405" s="14">
        <f>ROW()</f>
        <v>405</v>
      </c>
    </row>
    <row r="406" spans="1:12" ht="60" customHeight="1">
      <c r="A406" s="41"/>
      <c r="B406" s="43"/>
      <c r="C406" s="44"/>
      <c r="D406" s="51"/>
      <c r="E406" s="44"/>
      <c r="F406" s="44"/>
      <c r="G406" s="34">
        <f t="shared" si="24"/>
        <v>0</v>
      </c>
      <c r="H406" s="34" t="str">
        <f t="shared" si="25"/>
        <v/>
      </c>
      <c r="I406" s="52" t="str">
        <f t="shared" si="26"/>
        <v/>
      </c>
      <c r="J406" s="34">
        <f>IF(AND(A406&lt;&gt;"",ISTEXT(A406),COUNTIFS(Processos!$AS$10:$AS$509,"="&amp;SUBSTITUTE(SUBSTITUTE(SUBSTITUTE("P:"&amp;A406,"~","~~"),"*","~*"),"?","~?"))=1),(IF(ISNA(MATCH(SUBSTITUTE(SUBSTITUTE(SUBSTITUTE("P:"&amp;A406,"~","~~"),"*","~*"),"?","~?"),Processos!$AS$10:$AS$509,0)),9,INDEX(Processos!$AM$10:$AM$509,MATCH(SUBSTITUTE(SUBSTITUTE(SUBSTITUTE("P:"&amp;A406,"~","~~"),"*","~*"),"?","~?"),Processos!$AS$10:$AS$509,0)))-9),0)</f>
        <v>0</v>
      </c>
      <c r="K406" s="34" t="str">
        <f t="shared" si="27"/>
        <v/>
      </c>
      <c r="L406" s="14">
        <f>ROW()</f>
        <v>406</v>
      </c>
    </row>
    <row r="407" spans="1:12" ht="60" customHeight="1">
      <c r="A407" s="41"/>
      <c r="B407" s="43"/>
      <c r="C407" s="44"/>
      <c r="D407" s="51"/>
      <c r="E407" s="44"/>
      <c r="F407" s="44"/>
      <c r="G407" s="34">
        <f t="shared" si="24"/>
        <v>0</v>
      </c>
      <c r="H407" s="34" t="str">
        <f t="shared" si="25"/>
        <v/>
      </c>
      <c r="I407" s="52" t="str">
        <f t="shared" si="26"/>
        <v/>
      </c>
      <c r="J407" s="34">
        <f>IF(AND(A407&lt;&gt;"",ISTEXT(A407),COUNTIFS(Processos!$AS$10:$AS$509,"="&amp;SUBSTITUTE(SUBSTITUTE(SUBSTITUTE("P:"&amp;A407,"~","~~"),"*","~*"),"?","~?"))=1),(IF(ISNA(MATCH(SUBSTITUTE(SUBSTITUTE(SUBSTITUTE("P:"&amp;A407,"~","~~"),"*","~*"),"?","~?"),Processos!$AS$10:$AS$509,0)),9,INDEX(Processos!$AM$10:$AM$509,MATCH(SUBSTITUTE(SUBSTITUTE(SUBSTITUTE("P:"&amp;A407,"~","~~"),"*","~*"),"?","~?"),Processos!$AS$10:$AS$509,0)))-9),0)</f>
        <v>0</v>
      </c>
      <c r="K407" s="34" t="str">
        <f t="shared" si="27"/>
        <v/>
      </c>
      <c r="L407" s="14">
        <f>ROW()</f>
        <v>407</v>
      </c>
    </row>
    <row r="408" spans="1:12" ht="60" customHeight="1">
      <c r="A408" s="41"/>
      <c r="B408" s="43"/>
      <c r="C408" s="44"/>
      <c r="D408" s="51"/>
      <c r="E408" s="44"/>
      <c r="F408" s="44"/>
      <c r="G408" s="34">
        <f t="shared" si="24"/>
        <v>0</v>
      </c>
      <c r="H408" s="34" t="str">
        <f t="shared" si="25"/>
        <v/>
      </c>
      <c r="I408" s="52" t="str">
        <f t="shared" si="26"/>
        <v/>
      </c>
      <c r="J408" s="34">
        <f>IF(AND(A408&lt;&gt;"",ISTEXT(A408),COUNTIFS(Processos!$AS$10:$AS$509,"="&amp;SUBSTITUTE(SUBSTITUTE(SUBSTITUTE("P:"&amp;A408,"~","~~"),"*","~*"),"?","~?"))=1),(IF(ISNA(MATCH(SUBSTITUTE(SUBSTITUTE(SUBSTITUTE("P:"&amp;A408,"~","~~"),"*","~*"),"?","~?"),Processos!$AS$10:$AS$509,0)),9,INDEX(Processos!$AM$10:$AM$509,MATCH(SUBSTITUTE(SUBSTITUTE(SUBSTITUTE("P:"&amp;A408,"~","~~"),"*","~*"),"?","~?"),Processos!$AS$10:$AS$509,0)))-9),0)</f>
        <v>0</v>
      </c>
      <c r="K408" s="34" t="str">
        <f t="shared" si="27"/>
        <v/>
      </c>
      <c r="L408" s="14">
        <f>ROW()</f>
        <v>408</v>
      </c>
    </row>
    <row r="409" spans="1:12" ht="60" customHeight="1">
      <c r="A409" s="41"/>
      <c r="B409" s="43"/>
      <c r="C409" s="44"/>
      <c r="D409" s="51"/>
      <c r="E409" s="44"/>
      <c r="F409" s="44"/>
      <c r="G409" s="34">
        <f t="shared" si="24"/>
        <v>0</v>
      </c>
      <c r="H409" s="34" t="str">
        <f t="shared" si="25"/>
        <v/>
      </c>
      <c r="I409" s="52" t="str">
        <f t="shared" si="26"/>
        <v/>
      </c>
      <c r="J409" s="34">
        <f>IF(AND(A409&lt;&gt;"",ISTEXT(A409),COUNTIFS(Processos!$AS$10:$AS$509,"="&amp;SUBSTITUTE(SUBSTITUTE(SUBSTITUTE("P:"&amp;A409,"~","~~"),"*","~*"),"?","~?"))=1),(IF(ISNA(MATCH(SUBSTITUTE(SUBSTITUTE(SUBSTITUTE("P:"&amp;A409,"~","~~"),"*","~*"),"?","~?"),Processos!$AS$10:$AS$509,0)),9,INDEX(Processos!$AM$10:$AM$509,MATCH(SUBSTITUTE(SUBSTITUTE(SUBSTITUTE("P:"&amp;A409,"~","~~"),"*","~*"),"?","~?"),Processos!$AS$10:$AS$509,0)))-9),0)</f>
        <v>0</v>
      </c>
      <c r="K409" s="34" t="str">
        <f t="shared" si="27"/>
        <v/>
      </c>
      <c r="L409" s="14">
        <f>ROW()</f>
        <v>409</v>
      </c>
    </row>
    <row r="410" spans="1:12" ht="60" customHeight="1">
      <c r="A410" s="41"/>
      <c r="B410" s="43"/>
      <c r="C410" s="44"/>
      <c r="D410" s="51"/>
      <c r="E410" s="44"/>
      <c r="F410" s="44"/>
      <c r="G410" s="34">
        <f t="shared" si="24"/>
        <v>0</v>
      </c>
      <c r="H410" s="34" t="str">
        <f t="shared" si="25"/>
        <v/>
      </c>
      <c r="I410" s="52" t="str">
        <f t="shared" si="26"/>
        <v/>
      </c>
      <c r="J410" s="34">
        <f>IF(AND(A410&lt;&gt;"",ISTEXT(A410),COUNTIFS(Processos!$AS$10:$AS$509,"="&amp;SUBSTITUTE(SUBSTITUTE(SUBSTITUTE("P:"&amp;A410,"~","~~"),"*","~*"),"?","~?"))=1),(IF(ISNA(MATCH(SUBSTITUTE(SUBSTITUTE(SUBSTITUTE("P:"&amp;A410,"~","~~"),"*","~*"),"?","~?"),Processos!$AS$10:$AS$509,0)),9,INDEX(Processos!$AM$10:$AM$509,MATCH(SUBSTITUTE(SUBSTITUTE(SUBSTITUTE("P:"&amp;A410,"~","~~"),"*","~*"),"?","~?"),Processos!$AS$10:$AS$509,0)))-9),0)</f>
        <v>0</v>
      </c>
      <c r="K410" s="34" t="str">
        <f t="shared" si="27"/>
        <v/>
      </c>
      <c r="L410" s="14">
        <f>ROW()</f>
        <v>410</v>
      </c>
    </row>
    <row r="411" spans="1:12" ht="60" customHeight="1">
      <c r="A411" s="41"/>
      <c r="B411" s="43"/>
      <c r="C411" s="44"/>
      <c r="D411" s="51"/>
      <c r="E411" s="44"/>
      <c r="F411" s="44"/>
      <c r="G411" s="34">
        <f t="shared" si="24"/>
        <v>0</v>
      </c>
      <c r="H411" s="34" t="str">
        <f t="shared" si="25"/>
        <v/>
      </c>
      <c r="I411" s="52" t="str">
        <f t="shared" si="26"/>
        <v/>
      </c>
      <c r="J411" s="34">
        <f>IF(AND(A411&lt;&gt;"",ISTEXT(A411),COUNTIFS(Processos!$AS$10:$AS$509,"="&amp;SUBSTITUTE(SUBSTITUTE(SUBSTITUTE("P:"&amp;A411,"~","~~"),"*","~*"),"?","~?"))=1),(IF(ISNA(MATCH(SUBSTITUTE(SUBSTITUTE(SUBSTITUTE("P:"&amp;A411,"~","~~"),"*","~*"),"?","~?"),Processos!$AS$10:$AS$509,0)),9,INDEX(Processos!$AM$10:$AM$509,MATCH(SUBSTITUTE(SUBSTITUTE(SUBSTITUTE("P:"&amp;A411,"~","~~"),"*","~*"),"?","~?"),Processos!$AS$10:$AS$509,0)))-9),0)</f>
        <v>0</v>
      </c>
      <c r="K411" s="34" t="str">
        <f t="shared" si="27"/>
        <v/>
      </c>
      <c r="L411" s="14">
        <f>ROW()</f>
        <v>411</v>
      </c>
    </row>
    <row r="412" spans="1:12" ht="60" customHeight="1">
      <c r="A412" s="41"/>
      <c r="B412" s="43"/>
      <c r="C412" s="44"/>
      <c r="D412" s="51"/>
      <c r="E412" s="44"/>
      <c r="F412" s="44"/>
      <c r="G412" s="34">
        <f t="shared" si="24"/>
        <v>0</v>
      </c>
      <c r="H412" s="34" t="str">
        <f t="shared" si="25"/>
        <v/>
      </c>
      <c r="I412" s="52" t="str">
        <f t="shared" si="26"/>
        <v/>
      </c>
      <c r="J412" s="34">
        <f>IF(AND(A412&lt;&gt;"",ISTEXT(A412),COUNTIFS(Processos!$AS$10:$AS$509,"="&amp;SUBSTITUTE(SUBSTITUTE(SUBSTITUTE("P:"&amp;A412,"~","~~"),"*","~*"),"?","~?"))=1),(IF(ISNA(MATCH(SUBSTITUTE(SUBSTITUTE(SUBSTITUTE("P:"&amp;A412,"~","~~"),"*","~*"),"?","~?"),Processos!$AS$10:$AS$509,0)),9,INDEX(Processos!$AM$10:$AM$509,MATCH(SUBSTITUTE(SUBSTITUTE(SUBSTITUTE("P:"&amp;A412,"~","~~"),"*","~*"),"?","~?"),Processos!$AS$10:$AS$509,0)))-9),0)</f>
        <v>0</v>
      </c>
      <c r="K412" s="34" t="str">
        <f t="shared" si="27"/>
        <v/>
      </c>
      <c r="L412" s="14">
        <f>ROW()</f>
        <v>412</v>
      </c>
    </row>
    <row r="413" spans="1:12" ht="60" customHeight="1">
      <c r="A413" s="41"/>
      <c r="B413" s="43"/>
      <c r="C413" s="44"/>
      <c r="D413" s="51"/>
      <c r="E413" s="44"/>
      <c r="F413" s="44"/>
      <c r="G413" s="34">
        <f t="shared" si="24"/>
        <v>0</v>
      </c>
      <c r="H413" s="34" t="str">
        <f t="shared" si="25"/>
        <v/>
      </c>
      <c r="I413" s="52" t="str">
        <f t="shared" si="26"/>
        <v/>
      </c>
      <c r="J413" s="34">
        <f>IF(AND(A413&lt;&gt;"",ISTEXT(A413),COUNTIFS(Processos!$AS$10:$AS$509,"="&amp;SUBSTITUTE(SUBSTITUTE(SUBSTITUTE("P:"&amp;A413,"~","~~"),"*","~*"),"?","~?"))=1),(IF(ISNA(MATCH(SUBSTITUTE(SUBSTITUTE(SUBSTITUTE("P:"&amp;A413,"~","~~"),"*","~*"),"?","~?"),Processos!$AS$10:$AS$509,0)),9,INDEX(Processos!$AM$10:$AM$509,MATCH(SUBSTITUTE(SUBSTITUTE(SUBSTITUTE("P:"&amp;A413,"~","~~"),"*","~*"),"?","~?"),Processos!$AS$10:$AS$509,0)))-9),0)</f>
        <v>0</v>
      </c>
      <c r="K413" s="34" t="str">
        <f t="shared" si="27"/>
        <v/>
      </c>
      <c r="L413" s="14">
        <f>ROW()</f>
        <v>413</v>
      </c>
    </row>
    <row r="414" spans="1:12" ht="60" customHeight="1">
      <c r="A414" s="41"/>
      <c r="B414" s="43"/>
      <c r="C414" s="44"/>
      <c r="D414" s="51"/>
      <c r="E414" s="44"/>
      <c r="F414" s="44"/>
      <c r="G414" s="34">
        <f t="shared" si="24"/>
        <v>0</v>
      </c>
      <c r="H414" s="34" t="str">
        <f t="shared" si="25"/>
        <v/>
      </c>
      <c r="I414" s="52" t="str">
        <f t="shared" si="26"/>
        <v/>
      </c>
      <c r="J414" s="34">
        <f>IF(AND(A414&lt;&gt;"",ISTEXT(A414),COUNTIFS(Processos!$AS$10:$AS$509,"="&amp;SUBSTITUTE(SUBSTITUTE(SUBSTITUTE("P:"&amp;A414,"~","~~"),"*","~*"),"?","~?"))=1),(IF(ISNA(MATCH(SUBSTITUTE(SUBSTITUTE(SUBSTITUTE("P:"&amp;A414,"~","~~"),"*","~*"),"?","~?"),Processos!$AS$10:$AS$509,0)),9,INDEX(Processos!$AM$10:$AM$509,MATCH(SUBSTITUTE(SUBSTITUTE(SUBSTITUTE("P:"&amp;A414,"~","~~"),"*","~*"),"?","~?"),Processos!$AS$10:$AS$509,0)))-9),0)</f>
        <v>0</v>
      </c>
      <c r="K414" s="34" t="str">
        <f t="shared" si="27"/>
        <v/>
      </c>
      <c r="L414" s="14">
        <f>ROW()</f>
        <v>414</v>
      </c>
    </row>
    <row r="415" spans="1:12" ht="60" customHeight="1">
      <c r="A415" s="41"/>
      <c r="B415" s="43"/>
      <c r="C415" s="44"/>
      <c r="D415" s="51"/>
      <c r="E415" s="44"/>
      <c r="F415" s="44"/>
      <c r="G415" s="34">
        <f t="shared" si="24"/>
        <v>0</v>
      </c>
      <c r="H415" s="34" t="str">
        <f t="shared" si="25"/>
        <v/>
      </c>
      <c r="I415" s="52" t="str">
        <f t="shared" si="26"/>
        <v/>
      </c>
      <c r="J415" s="34">
        <f>IF(AND(A415&lt;&gt;"",ISTEXT(A415),COUNTIFS(Processos!$AS$10:$AS$509,"="&amp;SUBSTITUTE(SUBSTITUTE(SUBSTITUTE("P:"&amp;A415,"~","~~"),"*","~*"),"?","~?"))=1),(IF(ISNA(MATCH(SUBSTITUTE(SUBSTITUTE(SUBSTITUTE("P:"&amp;A415,"~","~~"),"*","~*"),"?","~?"),Processos!$AS$10:$AS$509,0)),9,INDEX(Processos!$AM$10:$AM$509,MATCH(SUBSTITUTE(SUBSTITUTE(SUBSTITUTE("P:"&amp;A415,"~","~~"),"*","~*"),"?","~?"),Processos!$AS$10:$AS$509,0)))-9),0)</f>
        <v>0</v>
      </c>
      <c r="K415" s="34" t="str">
        <f t="shared" si="27"/>
        <v/>
      </c>
      <c r="L415" s="14">
        <f>ROW()</f>
        <v>415</v>
      </c>
    </row>
    <row r="416" spans="1:12" ht="60" customHeight="1">
      <c r="A416" s="41"/>
      <c r="B416" s="43"/>
      <c r="C416" s="44"/>
      <c r="D416" s="51"/>
      <c r="E416" s="44"/>
      <c r="F416" s="44"/>
      <c r="G416" s="34">
        <f t="shared" si="24"/>
        <v>0</v>
      </c>
      <c r="H416" s="34" t="str">
        <f t="shared" si="25"/>
        <v/>
      </c>
      <c r="I416" s="52" t="str">
        <f t="shared" si="26"/>
        <v/>
      </c>
      <c r="J416" s="34">
        <f>IF(AND(A416&lt;&gt;"",ISTEXT(A416),COUNTIFS(Processos!$AS$10:$AS$509,"="&amp;SUBSTITUTE(SUBSTITUTE(SUBSTITUTE("P:"&amp;A416,"~","~~"),"*","~*"),"?","~?"))=1),(IF(ISNA(MATCH(SUBSTITUTE(SUBSTITUTE(SUBSTITUTE("P:"&amp;A416,"~","~~"),"*","~*"),"?","~?"),Processos!$AS$10:$AS$509,0)),9,INDEX(Processos!$AM$10:$AM$509,MATCH(SUBSTITUTE(SUBSTITUTE(SUBSTITUTE("P:"&amp;A416,"~","~~"),"*","~*"),"?","~?"),Processos!$AS$10:$AS$509,0)))-9),0)</f>
        <v>0</v>
      </c>
      <c r="K416" s="34" t="str">
        <f t="shared" si="27"/>
        <v/>
      </c>
      <c r="L416" s="14">
        <f>ROW()</f>
        <v>416</v>
      </c>
    </row>
    <row r="417" spans="1:12" ht="60" customHeight="1">
      <c r="A417" s="41"/>
      <c r="B417" s="43"/>
      <c r="C417" s="44"/>
      <c r="D417" s="51"/>
      <c r="E417" s="44"/>
      <c r="F417" s="44"/>
      <c r="G417" s="34">
        <f t="shared" si="24"/>
        <v>0</v>
      </c>
      <c r="H417" s="34" t="str">
        <f t="shared" si="25"/>
        <v/>
      </c>
      <c r="I417" s="52" t="str">
        <f t="shared" si="26"/>
        <v/>
      </c>
      <c r="J417" s="34">
        <f>IF(AND(A417&lt;&gt;"",ISTEXT(A417),COUNTIFS(Processos!$AS$10:$AS$509,"="&amp;SUBSTITUTE(SUBSTITUTE(SUBSTITUTE("P:"&amp;A417,"~","~~"),"*","~*"),"?","~?"))=1),(IF(ISNA(MATCH(SUBSTITUTE(SUBSTITUTE(SUBSTITUTE("P:"&amp;A417,"~","~~"),"*","~*"),"?","~?"),Processos!$AS$10:$AS$509,0)),9,INDEX(Processos!$AM$10:$AM$509,MATCH(SUBSTITUTE(SUBSTITUTE(SUBSTITUTE("P:"&amp;A417,"~","~~"),"*","~*"),"?","~?"),Processos!$AS$10:$AS$509,0)))-9),0)</f>
        <v>0</v>
      </c>
      <c r="K417" s="34" t="str">
        <f t="shared" si="27"/>
        <v/>
      </c>
      <c r="L417" s="14">
        <f>ROW()</f>
        <v>417</v>
      </c>
    </row>
    <row r="418" spans="1:12" ht="60" customHeight="1">
      <c r="A418" s="41"/>
      <c r="B418" s="43"/>
      <c r="C418" s="44"/>
      <c r="D418" s="51"/>
      <c r="E418" s="44"/>
      <c r="F418" s="44"/>
      <c r="G418" s="34">
        <f t="shared" si="24"/>
        <v>0</v>
      </c>
      <c r="H418" s="34" t="str">
        <f t="shared" si="25"/>
        <v/>
      </c>
      <c r="I418" s="52" t="str">
        <f t="shared" si="26"/>
        <v/>
      </c>
      <c r="J418" s="34">
        <f>IF(AND(A418&lt;&gt;"",ISTEXT(A418),COUNTIFS(Processos!$AS$10:$AS$509,"="&amp;SUBSTITUTE(SUBSTITUTE(SUBSTITUTE("P:"&amp;A418,"~","~~"),"*","~*"),"?","~?"))=1),(IF(ISNA(MATCH(SUBSTITUTE(SUBSTITUTE(SUBSTITUTE("P:"&amp;A418,"~","~~"),"*","~*"),"?","~?"),Processos!$AS$10:$AS$509,0)),9,INDEX(Processos!$AM$10:$AM$509,MATCH(SUBSTITUTE(SUBSTITUTE(SUBSTITUTE("P:"&amp;A418,"~","~~"),"*","~*"),"?","~?"),Processos!$AS$10:$AS$509,0)))-9),0)</f>
        <v>0</v>
      </c>
      <c r="K418" s="34" t="str">
        <f t="shared" si="27"/>
        <v/>
      </c>
      <c r="L418" s="14">
        <f>ROW()</f>
        <v>418</v>
      </c>
    </row>
    <row r="419" spans="1:12" ht="60" customHeight="1">
      <c r="A419" s="41"/>
      <c r="B419" s="43"/>
      <c r="C419" s="44"/>
      <c r="D419" s="51"/>
      <c r="E419" s="44"/>
      <c r="F419" s="44"/>
      <c r="G419" s="34">
        <f t="shared" si="24"/>
        <v>0</v>
      </c>
      <c r="H419" s="34" t="str">
        <f t="shared" si="25"/>
        <v/>
      </c>
      <c r="I419" s="52" t="str">
        <f t="shared" si="26"/>
        <v/>
      </c>
      <c r="J419" s="34">
        <f>IF(AND(A419&lt;&gt;"",ISTEXT(A419),COUNTIFS(Processos!$AS$10:$AS$509,"="&amp;SUBSTITUTE(SUBSTITUTE(SUBSTITUTE("P:"&amp;A419,"~","~~"),"*","~*"),"?","~?"))=1),(IF(ISNA(MATCH(SUBSTITUTE(SUBSTITUTE(SUBSTITUTE("P:"&amp;A419,"~","~~"),"*","~*"),"?","~?"),Processos!$AS$10:$AS$509,0)),9,INDEX(Processos!$AM$10:$AM$509,MATCH(SUBSTITUTE(SUBSTITUTE(SUBSTITUTE("P:"&amp;A419,"~","~~"),"*","~*"),"?","~?"),Processos!$AS$10:$AS$509,0)))-9),0)</f>
        <v>0</v>
      </c>
      <c r="K419" s="34" t="str">
        <f t="shared" si="27"/>
        <v/>
      </c>
      <c r="L419" s="14">
        <f>ROW()</f>
        <v>419</v>
      </c>
    </row>
    <row r="420" spans="1:12" ht="60" customHeight="1">
      <c r="A420" s="41"/>
      <c r="B420" s="43"/>
      <c r="C420" s="44"/>
      <c r="D420" s="51"/>
      <c r="E420" s="44"/>
      <c r="F420" s="44"/>
      <c r="G420" s="34">
        <f t="shared" si="24"/>
        <v>0</v>
      </c>
      <c r="H420" s="34" t="str">
        <f t="shared" si="25"/>
        <v/>
      </c>
      <c r="I420" s="52" t="str">
        <f t="shared" si="26"/>
        <v/>
      </c>
      <c r="J420" s="34">
        <f>IF(AND(A420&lt;&gt;"",ISTEXT(A420),COUNTIFS(Processos!$AS$10:$AS$509,"="&amp;SUBSTITUTE(SUBSTITUTE(SUBSTITUTE("P:"&amp;A420,"~","~~"),"*","~*"),"?","~?"))=1),(IF(ISNA(MATCH(SUBSTITUTE(SUBSTITUTE(SUBSTITUTE("P:"&amp;A420,"~","~~"),"*","~*"),"?","~?"),Processos!$AS$10:$AS$509,0)),9,INDEX(Processos!$AM$10:$AM$509,MATCH(SUBSTITUTE(SUBSTITUTE(SUBSTITUTE("P:"&amp;A420,"~","~~"),"*","~*"),"?","~?"),Processos!$AS$10:$AS$509,0)))-9),0)</f>
        <v>0</v>
      </c>
      <c r="K420" s="34" t="str">
        <f t="shared" si="27"/>
        <v/>
      </c>
      <c r="L420" s="14">
        <f>ROW()</f>
        <v>420</v>
      </c>
    </row>
    <row r="421" spans="1:12" ht="60" customHeight="1">
      <c r="A421" s="41"/>
      <c r="B421" s="43"/>
      <c r="C421" s="44"/>
      <c r="D421" s="51"/>
      <c r="E421" s="44"/>
      <c r="F421" s="44"/>
      <c r="G421" s="34">
        <f t="shared" si="24"/>
        <v>0</v>
      </c>
      <c r="H421" s="34" t="str">
        <f t="shared" si="25"/>
        <v/>
      </c>
      <c r="I421" s="52" t="str">
        <f t="shared" si="26"/>
        <v/>
      </c>
      <c r="J421" s="34">
        <f>IF(AND(A421&lt;&gt;"",ISTEXT(A421),COUNTIFS(Processos!$AS$10:$AS$509,"="&amp;SUBSTITUTE(SUBSTITUTE(SUBSTITUTE("P:"&amp;A421,"~","~~"),"*","~*"),"?","~?"))=1),(IF(ISNA(MATCH(SUBSTITUTE(SUBSTITUTE(SUBSTITUTE("P:"&amp;A421,"~","~~"),"*","~*"),"?","~?"),Processos!$AS$10:$AS$509,0)),9,INDEX(Processos!$AM$10:$AM$509,MATCH(SUBSTITUTE(SUBSTITUTE(SUBSTITUTE("P:"&amp;A421,"~","~~"),"*","~*"),"?","~?"),Processos!$AS$10:$AS$509,0)))-9),0)</f>
        <v>0</v>
      </c>
      <c r="K421" s="34" t="str">
        <f t="shared" si="27"/>
        <v/>
      </c>
      <c r="L421" s="14">
        <f>ROW()</f>
        <v>421</v>
      </c>
    </row>
    <row r="422" spans="1:12" ht="60" customHeight="1">
      <c r="A422" s="41"/>
      <c r="B422" s="43"/>
      <c r="C422" s="44"/>
      <c r="D422" s="51"/>
      <c r="E422" s="44"/>
      <c r="F422" s="44"/>
      <c r="G422" s="34">
        <f t="shared" si="24"/>
        <v>0</v>
      </c>
      <c r="H422" s="34" t="str">
        <f t="shared" si="25"/>
        <v/>
      </c>
      <c r="I422" s="52" t="str">
        <f t="shared" si="26"/>
        <v/>
      </c>
      <c r="J422" s="34">
        <f>IF(AND(A422&lt;&gt;"",ISTEXT(A422),COUNTIFS(Processos!$AS$10:$AS$509,"="&amp;SUBSTITUTE(SUBSTITUTE(SUBSTITUTE("P:"&amp;A422,"~","~~"),"*","~*"),"?","~?"))=1),(IF(ISNA(MATCH(SUBSTITUTE(SUBSTITUTE(SUBSTITUTE("P:"&amp;A422,"~","~~"),"*","~*"),"?","~?"),Processos!$AS$10:$AS$509,0)),9,INDEX(Processos!$AM$10:$AM$509,MATCH(SUBSTITUTE(SUBSTITUTE(SUBSTITUTE("P:"&amp;A422,"~","~~"),"*","~*"),"?","~?"),Processos!$AS$10:$AS$509,0)))-9),0)</f>
        <v>0</v>
      </c>
      <c r="K422" s="34" t="str">
        <f t="shared" si="27"/>
        <v/>
      </c>
      <c r="L422" s="14">
        <f>ROW()</f>
        <v>422</v>
      </c>
    </row>
    <row r="423" spans="1:12" ht="60" customHeight="1">
      <c r="A423" s="41"/>
      <c r="B423" s="43"/>
      <c r="C423" s="44"/>
      <c r="D423" s="51"/>
      <c r="E423" s="44"/>
      <c r="F423" s="44"/>
      <c r="G423" s="34">
        <f t="shared" si="24"/>
        <v>0</v>
      </c>
      <c r="H423" s="34" t="str">
        <f t="shared" si="25"/>
        <v/>
      </c>
      <c r="I423" s="52" t="str">
        <f t="shared" si="26"/>
        <v/>
      </c>
      <c r="J423" s="34">
        <f>IF(AND(A423&lt;&gt;"",ISTEXT(A423),COUNTIFS(Processos!$AS$10:$AS$509,"="&amp;SUBSTITUTE(SUBSTITUTE(SUBSTITUTE("P:"&amp;A423,"~","~~"),"*","~*"),"?","~?"))=1),(IF(ISNA(MATCH(SUBSTITUTE(SUBSTITUTE(SUBSTITUTE("P:"&amp;A423,"~","~~"),"*","~*"),"?","~?"),Processos!$AS$10:$AS$509,0)),9,INDEX(Processos!$AM$10:$AM$509,MATCH(SUBSTITUTE(SUBSTITUTE(SUBSTITUTE("P:"&amp;A423,"~","~~"),"*","~*"),"?","~?"),Processos!$AS$10:$AS$509,0)))-9),0)</f>
        <v>0</v>
      </c>
      <c r="K423" s="34" t="str">
        <f t="shared" si="27"/>
        <v/>
      </c>
      <c r="L423" s="14">
        <f>ROW()</f>
        <v>423</v>
      </c>
    </row>
    <row r="424" spans="1:12" ht="60" customHeight="1">
      <c r="A424" s="41"/>
      <c r="B424" s="43"/>
      <c r="C424" s="44"/>
      <c r="D424" s="51"/>
      <c r="E424" s="44"/>
      <c r="F424" s="44"/>
      <c r="G424" s="34">
        <f t="shared" si="24"/>
        <v>0</v>
      </c>
      <c r="H424" s="34" t="str">
        <f t="shared" si="25"/>
        <v/>
      </c>
      <c r="I424" s="52" t="str">
        <f t="shared" si="26"/>
        <v/>
      </c>
      <c r="J424" s="34">
        <f>IF(AND(A424&lt;&gt;"",ISTEXT(A424),COUNTIFS(Processos!$AS$10:$AS$509,"="&amp;SUBSTITUTE(SUBSTITUTE(SUBSTITUTE("P:"&amp;A424,"~","~~"),"*","~*"),"?","~?"))=1),(IF(ISNA(MATCH(SUBSTITUTE(SUBSTITUTE(SUBSTITUTE("P:"&amp;A424,"~","~~"),"*","~*"),"?","~?"),Processos!$AS$10:$AS$509,0)),9,INDEX(Processos!$AM$10:$AM$509,MATCH(SUBSTITUTE(SUBSTITUTE(SUBSTITUTE("P:"&amp;A424,"~","~~"),"*","~*"),"?","~?"),Processos!$AS$10:$AS$509,0)))-9),0)</f>
        <v>0</v>
      </c>
      <c r="K424" s="34" t="str">
        <f t="shared" si="27"/>
        <v/>
      </c>
      <c r="L424" s="14">
        <f>ROW()</f>
        <v>424</v>
      </c>
    </row>
    <row r="425" spans="1:12" ht="60" customHeight="1">
      <c r="A425" s="41"/>
      <c r="B425" s="43"/>
      <c r="C425" s="44"/>
      <c r="D425" s="51"/>
      <c r="E425" s="44"/>
      <c r="F425" s="44"/>
      <c r="G425" s="34">
        <f t="shared" si="24"/>
        <v>0</v>
      </c>
      <c r="H425" s="34" t="str">
        <f t="shared" si="25"/>
        <v/>
      </c>
      <c r="I425" s="52" t="str">
        <f t="shared" si="26"/>
        <v/>
      </c>
      <c r="J425" s="34">
        <f>IF(AND(A425&lt;&gt;"",ISTEXT(A425),COUNTIFS(Processos!$AS$10:$AS$509,"="&amp;SUBSTITUTE(SUBSTITUTE(SUBSTITUTE("P:"&amp;A425,"~","~~"),"*","~*"),"?","~?"))=1),(IF(ISNA(MATCH(SUBSTITUTE(SUBSTITUTE(SUBSTITUTE("P:"&amp;A425,"~","~~"),"*","~*"),"?","~?"),Processos!$AS$10:$AS$509,0)),9,INDEX(Processos!$AM$10:$AM$509,MATCH(SUBSTITUTE(SUBSTITUTE(SUBSTITUTE("P:"&amp;A425,"~","~~"),"*","~*"),"?","~?"),Processos!$AS$10:$AS$509,0)))-9),0)</f>
        <v>0</v>
      </c>
      <c r="K425" s="34" t="str">
        <f t="shared" si="27"/>
        <v/>
      </c>
      <c r="L425" s="14">
        <f>ROW()</f>
        <v>425</v>
      </c>
    </row>
    <row r="426" spans="1:12" ht="60" customHeight="1">
      <c r="A426" s="41"/>
      <c r="B426" s="43"/>
      <c r="C426" s="44"/>
      <c r="D426" s="51"/>
      <c r="E426" s="44"/>
      <c r="F426" s="44"/>
      <c r="G426" s="34">
        <f t="shared" si="24"/>
        <v>0</v>
      </c>
      <c r="H426" s="34" t="str">
        <f t="shared" si="25"/>
        <v/>
      </c>
      <c r="I426" s="52" t="str">
        <f t="shared" si="26"/>
        <v/>
      </c>
      <c r="J426" s="34">
        <f>IF(AND(A426&lt;&gt;"",ISTEXT(A426),COUNTIFS(Processos!$AS$10:$AS$509,"="&amp;SUBSTITUTE(SUBSTITUTE(SUBSTITUTE("P:"&amp;A426,"~","~~"),"*","~*"),"?","~?"))=1),(IF(ISNA(MATCH(SUBSTITUTE(SUBSTITUTE(SUBSTITUTE("P:"&amp;A426,"~","~~"),"*","~*"),"?","~?"),Processos!$AS$10:$AS$509,0)),9,INDEX(Processos!$AM$10:$AM$509,MATCH(SUBSTITUTE(SUBSTITUTE(SUBSTITUTE("P:"&amp;A426,"~","~~"),"*","~*"),"?","~?"),Processos!$AS$10:$AS$509,0)))-9),0)</f>
        <v>0</v>
      </c>
      <c r="K426" s="34" t="str">
        <f t="shared" si="27"/>
        <v/>
      </c>
      <c r="L426" s="14">
        <f>ROW()</f>
        <v>426</v>
      </c>
    </row>
    <row r="427" spans="1:12" ht="60" customHeight="1">
      <c r="A427" s="41"/>
      <c r="B427" s="43"/>
      <c r="C427" s="44"/>
      <c r="D427" s="51"/>
      <c r="E427" s="44"/>
      <c r="F427" s="44"/>
      <c r="G427" s="34">
        <f t="shared" si="24"/>
        <v>0</v>
      </c>
      <c r="H427" s="34" t="str">
        <f t="shared" si="25"/>
        <v/>
      </c>
      <c r="I427" s="52" t="str">
        <f t="shared" si="26"/>
        <v/>
      </c>
      <c r="J427" s="34">
        <f>IF(AND(A427&lt;&gt;"",ISTEXT(A427),COUNTIFS(Processos!$AS$10:$AS$509,"="&amp;SUBSTITUTE(SUBSTITUTE(SUBSTITUTE("P:"&amp;A427,"~","~~"),"*","~*"),"?","~?"))=1),(IF(ISNA(MATCH(SUBSTITUTE(SUBSTITUTE(SUBSTITUTE("P:"&amp;A427,"~","~~"),"*","~*"),"?","~?"),Processos!$AS$10:$AS$509,0)),9,INDEX(Processos!$AM$10:$AM$509,MATCH(SUBSTITUTE(SUBSTITUTE(SUBSTITUTE("P:"&amp;A427,"~","~~"),"*","~*"),"?","~?"),Processos!$AS$10:$AS$509,0)))-9),0)</f>
        <v>0</v>
      </c>
      <c r="K427" s="34" t="str">
        <f t="shared" si="27"/>
        <v/>
      </c>
      <c r="L427" s="14">
        <f>ROW()</f>
        <v>427</v>
      </c>
    </row>
    <row r="428" spans="1:12" ht="60" customHeight="1">
      <c r="A428" s="41"/>
      <c r="B428" s="43"/>
      <c r="C428" s="44"/>
      <c r="D428" s="51"/>
      <c r="E428" s="44"/>
      <c r="F428" s="44"/>
      <c r="G428" s="34">
        <f t="shared" si="24"/>
        <v>0</v>
      </c>
      <c r="H428" s="34" t="str">
        <f t="shared" si="25"/>
        <v/>
      </c>
      <c r="I428" s="52" t="str">
        <f t="shared" si="26"/>
        <v/>
      </c>
      <c r="J428" s="34">
        <f>IF(AND(A428&lt;&gt;"",ISTEXT(A428),COUNTIFS(Processos!$AS$10:$AS$509,"="&amp;SUBSTITUTE(SUBSTITUTE(SUBSTITUTE("P:"&amp;A428,"~","~~"),"*","~*"),"?","~?"))=1),(IF(ISNA(MATCH(SUBSTITUTE(SUBSTITUTE(SUBSTITUTE("P:"&amp;A428,"~","~~"),"*","~*"),"?","~?"),Processos!$AS$10:$AS$509,0)),9,INDEX(Processos!$AM$10:$AM$509,MATCH(SUBSTITUTE(SUBSTITUTE(SUBSTITUTE("P:"&amp;A428,"~","~~"),"*","~*"),"?","~?"),Processos!$AS$10:$AS$509,0)))-9),0)</f>
        <v>0</v>
      </c>
      <c r="K428" s="34" t="str">
        <f t="shared" si="27"/>
        <v/>
      </c>
      <c r="L428" s="14">
        <f>ROW()</f>
        <v>428</v>
      </c>
    </row>
    <row r="429" spans="1:12" ht="60" customHeight="1">
      <c r="A429" s="41"/>
      <c r="B429" s="43"/>
      <c r="C429" s="44"/>
      <c r="D429" s="51"/>
      <c r="E429" s="44"/>
      <c r="F429" s="44"/>
      <c r="G429" s="34">
        <f t="shared" si="24"/>
        <v>0</v>
      </c>
      <c r="H429" s="34" t="str">
        <f t="shared" si="25"/>
        <v/>
      </c>
      <c r="I429" s="52" t="str">
        <f t="shared" si="26"/>
        <v/>
      </c>
      <c r="J429" s="34">
        <f>IF(AND(A429&lt;&gt;"",ISTEXT(A429),COUNTIFS(Processos!$AS$10:$AS$509,"="&amp;SUBSTITUTE(SUBSTITUTE(SUBSTITUTE("P:"&amp;A429,"~","~~"),"*","~*"),"?","~?"))=1),(IF(ISNA(MATCH(SUBSTITUTE(SUBSTITUTE(SUBSTITUTE("P:"&amp;A429,"~","~~"),"*","~*"),"?","~?"),Processos!$AS$10:$AS$509,0)),9,INDEX(Processos!$AM$10:$AM$509,MATCH(SUBSTITUTE(SUBSTITUTE(SUBSTITUTE("P:"&amp;A429,"~","~~"),"*","~*"),"?","~?"),Processos!$AS$10:$AS$509,0)))-9),0)</f>
        <v>0</v>
      </c>
      <c r="K429" s="34" t="str">
        <f t="shared" si="27"/>
        <v/>
      </c>
      <c r="L429" s="14">
        <f>ROW()</f>
        <v>429</v>
      </c>
    </row>
    <row r="430" spans="1:12" ht="60" customHeight="1">
      <c r="A430" s="41"/>
      <c r="B430" s="43"/>
      <c r="C430" s="44"/>
      <c r="D430" s="51"/>
      <c r="E430" s="44"/>
      <c r="F430" s="44"/>
      <c r="G430" s="34">
        <f t="shared" si="24"/>
        <v>0</v>
      </c>
      <c r="H430" s="34" t="str">
        <f t="shared" si="25"/>
        <v/>
      </c>
      <c r="I430" s="52" t="str">
        <f t="shared" si="26"/>
        <v/>
      </c>
      <c r="J430" s="34">
        <f>IF(AND(A430&lt;&gt;"",ISTEXT(A430),COUNTIFS(Processos!$AS$10:$AS$509,"="&amp;SUBSTITUTE(SUBSTITUTE(SUBSTITUTE("P:"&amp;A430,"~","~~"),"*","~*"),"?","~?"))=1),(IF(ISNA(MATCH(SUBSTITUTE(SUBSTITUTE(SUBSTITUTE("P:"&amp;A430,"~","~~"),"*","~*"),"?","~?"),Processos!$AS$10:$AS$509,0)),9,INDEX(Processos!$AM$10:$AM$509,MATCH(SUBSTITUTE(SUBSTITUTE(SUBSTITUTE("P:"&amp;A430,"~","~~"),"*","~*"),"?","~?"),Processos!$AS$10:$AS$509,0)))-9),0)</f>
        <v>0</v>
      </c>
      <c r="K430" s="34" t="str">
        <f t="shared" si="27"/>
        <v/>
      </c>
      <c r="L430" s="14">
        <f>ROW()</f>
        <v>430</v>
      </c>
    </row>
    <row r="431" spans="1:12" ht="60" customHeight="1">
      <c r="A431" s="41"/>
      <c r="B431" s="43"/>
      <c r="C431" s="44"/>
      <c r="D431" s="51"/>
      <c r="E431" s="44"/>
      <c r="F431" s="44"/>
      <c r="G431" s="34">
        <f t="shared" si="24"/>
        <v>0</v>
      </c>
      <c r="H431" s="34" t="str">
        <f t="shared" si="25"/>
        <v/>
      </c>
      <c r="I431" s="52" t="str">
        <f t="shared" si="26"/>
        <v/>
      </c>
      <c r="J431" s="34">
        <f>IF(AND(A431&lt;&gt;"",ISTEXT(A431),COUNTIFS(Processos!$AS$10:$AS$509,"="&amp;SUBSTITUTE(SUBSTITUTE(SUBSTITUTE("P:"&amp;A431,"~","~~"),"*","~*"),"?","~?"))=1),(IF(ISNA(MATCH(SUBSTITUTE(SUBSTITUTE(SUBSTITUTE("P:"&amp;A431,"~","~~"),"*","~*"),"?","~?"),Processos!$AS$10:$AS$509,0)),9,INDEX(Processos!$AM$10:$AM$509,MATCH(SUBSTITUTE(SUBSTITUTE(SUBSTITUTE("P:"&amp;A431,"~","~~"),"*","~*"),"?","~?"),Processos!$AS$10:$AS$509,0)))-9),0)</f>
        <v>0</v>
      </c>
      <c r="K431" s="34" t="str">
        <f t="shared" si="27"/>
        <v/>
      </c>
      <c r="L431" s="14">
        <f>ROW()</f>
        <v>431</v>
      </c>
    </row>
    <row r="432" spans="1:12" ht="60" customHeight="1">
      <c r="A432" s="41"/>
      <c r="B432" s="43"/>
      <c r="C432" s="44"/>
      <c r="D432" s="51"/>
      <c r="E432" s="44"/>
      <c r="F432" s="44"/>
      <c r="G432" s="34">
        <f t="shared" si="24"/>
        <v>0</v>
      </c>
      <c r="H432" s="34" t="str">
        <f t="shared" si="25"/>
        <v/>
      </c>
      <c r="I432" s="52" t="str">
        <f t="shared" si="26"/>
        <v/>
      </c>
      <c r="J432" s="34">
        <f>IF(AND(A432&lt;&gt;"",ISTEXT(A432),COUNTIFS(Processos!$AS$10:$AS$509,"="&amp;SUBSTITUTE(SUBSTITUTE(SUBSTITUTE("P:"&amp;A432,"~","~~"),"*","~*"),"?","~?"))=1),(IF(ISNA(MATCH(SUBSTITUTE(SUBSTITUTE(SUBSTITUTE("P:"&amp;A432,"~","~~"),"*","~*"),"?","~?"),Processos!$AS$10:$AS$509,0)),9,INDEX(Processos!$AM$10:$AM$509,MATCH(SUBSTITUTE(SUBSTITUTE(SUBSTITUTE("P:"&amp;A432,"~","~~"),"*","~*"),"?","~?"),Processos!$AS$10:$AS$509,0)))-9),0)</f>
        <v>0</v>
      </c>
      <c r="K432" s="34" t="str">
        <f t="shared" si="27"/>
        <v/>
      </c>
      <c r="L432" s="14">
        <f>ROW()</f>
        <v>432</v>
      </c>
    </row>
    <row r="433" spans="1:12" ht="60" customHeight="1">
      <c r="A433" s="41"/>
      <c r="B433" s="43"/>
      <c r="C433" s="44"/>
      <c r="D433" s="51"/>
      <c r="E433" s="44"/>
      <c r="F433" s="44"/>
      <c r="G433" s="34">
        <f t="shared" si="24"/>
        <v>0</v>
      </c>
      <c r="H433" s="34" t="str">
        <f t="shared" si="25"/>
        <v/>
      </c>
      <c r="I433" s="52" t="str">
        <f t="shared" si="26"/>
        <v/>
      </c>
      <c r="J433" s="34">
        <f>IF(AND(A433&lt;&gt;"",ISTEXT(A433),COUNTIFS(Processos!$AS$10:$AS$509,"="&amp;SUBSTITUTE(SUBSTITUTE(SUBSTITUTE("P:"&amp;A433,"~","~~"),"*","~*"),"?","~?"))=1),(IF(ISNA(MATCH(SUBSTITUTE(SUBSTITUTE(SUBSTITUTE("P:"&amp;A433,"~","~~"),"*","~*"),"?","~?"),Processos!$AS$10:$AS$509,0)),9,INDEX(Processos!$AM$10:$AM$509,MATCH(SUBSTITUTE(SUBSTITUTE(SUBSTITUTE("P:"&amp;A433,"~","~~"),"*","~*"),"?","~?"),Processos!$AS$10:$AS$509,0)))-9),0)</f>
        <v>0</v>
      </c>
      <c r="K433" s="34" t="str">
        <f t="shared" si="27"/>
        <v/>
      </c>
      <c r="L433" s="14">
        <f>ROW()</f>
        <v>433</v>
      </c>
    </row>
    <row r="434" spans="1:12" ht="60" customHeight="1">
      <c r="A434" s="41"/>
      <c r="B434" s="43"/>
      <c r="C434" s="44"/>
      <c r="D434" s="51"/>
      <c r="E434" s="44"/>
      <c r="F434" s="44"/>
      <c r="G434" s="34">
        <f t="shared" si="24"/>
        <v>0</v>
      </c>
      <c r="H434" s="34" t="str">
        <f t="shared" si="25"/>
        <v/>
      </c>
      <c r="I434" s="52" t="str">
        <f t="shared" si="26"/>
        <v/>
      </c>
      <c r="J434" s="34">
        <f>IF(AND(A434&lt;&gt;"",ISTEXT(A434),COUNTIFS(Processos!$AS$10:$AS$509,"="&amp;SUBSTITUTE(SUBSTITUTE(SUBSTITUTE("P:"&amp;A434,"~","~~"),"*","~*"),"?","~?"))=1),(IF(ISNA(MATCH(SUBSTITUTE(SUBSTITUTE(SUBSTITUTE("P:"&amp;A434,"~","~~"),"*","~*"),"?","~?"),Processos!$AS$10:$AS$509,0)),9,INDEX(Processos!$AM$10:$AM$509,MATCH(SUBSTITUTE(SUBSTITUTE(SUBSTITUTE("P:"&amp;A434,"~","~~"),"*","~*"),"?","~?"),Processos!$AS$10:$AS$509,0)))-9),0)</f>
        <v>0</v>
      </c>
      <c r="K434" s="34" t="str">
        <f t="shared" si="27"/>
        <v/>
      </c>
      <c r="L434" s="14">
        <f>ROW()</f>
        <v>434</v>
      </c>
    </row>
    <row r="435" spans="1:12" ht="60" customHeight="1">
      <c r="A435" s="41"/>
      <c r="B435" s="43"/>
      <c r="C435" s="44"/>
      <c r="D435" s="51"/>
      <c r="E435" s="44"/>
      <c r="F435" s="44"/>
      <c r="G435" s="34">
        <f t="shared" si="24"/>
        <v>0</v>
      </c>
      <c r="H435" s="34" t="str">
        <f t="shared" si="25"/>
        <v/>
      </c>
      <c r="I435" s="52" t="str">
        <f t="shared" si="26"/>
        <v/>
      </c>
      <c r="J435" s="34">
        <f>IF(AND(A435&lt;&gt;"",ISTEXT(A435),COUNTIFS(Processos!$AS$10:$AS$509,"="&amp;SUBSTITUTE(SUBSTITUTE(SUBSTITUTE("P:"&amp;A435,"~","~~"),"*","~*"),"?","~?"))=1),(IF(ISNA(MATCH(SUBSTITUTE(SUBSTITUTE(SUBSTITUTE("P:"&amp;A435,"~","~~"),"*","~*"),"?","~?"),Processos!$AS$10:$AS$509,0)),9,INDEX(Processos!$AM$10:$AM$509,MATCH(SUBSTITUTE(SUBSTITUTE(SUBSTITUTE("P:"&amp;A435,"~","~~"),"*","~*"),"?","~?"),Processos!$AS$10:$AS$509,0)))-9),0)</f>
        <v>0</v>
      </c>
      <c r="K435" s="34" t="str">
        <f t="shared" si="27"/>
        <v/>
      </c>
      <c r="L435" s="14">
        <f>ROW()</f>
        <v>435</v>
      </c>
    </row>
    <row r="436" spans="1:12" ht="60" customHeight="1">
      <c r="A436" s="41"/>
      <c r="B436" s="43"/>
      <c r="C436" s="44"/>
      <c r="D436" s="51"/>
      <c r="E436" s="44"/>
      <c r="F436" s="44"/>
      <c r="G436" s="34">
        <f t="shared" si="24"/>
        <v>0</v>
      </c>
      <c r="H436" s="34" t="str">
        <f t="shared" si="25"/>
        <v/>
      </c>
      <c r="I436" s="52" t="str">
        <f t="shared" si="26"/>
        <v/>
      </c>
      <c r="J436" s="34">
        <f>IF(AND(A436&lt;&gt;"",ISTEXT(A436),COUNTIFS(Processos!$AS$10:$AS$509,"="&amp;SUBSTITUTE(SUBSTITUTE(SUBSTITUTE("P:"&amp;A436,"~","~~"),"*","~*"),"?","~?"))=1),(IF(ISNA(MATCH(SUBSTITUTE(SUBSTITUTE(SUBSTITUTE("P:"&amp;A436,"~","~~"),"*","~*"),"?","~?"),Processos!$AS$10:$AS$509,0)),9,INDEX(Processos!$AM$10:$AM$509,MATCH(SUBSTITUTE(SUBSTITUTE(SUBSTITUTE("P:"&amp;A436,"~","~~"),"*","~*"),"?","~?"),Processos!$AS$10:$AS$509,0)))-9),0)</f>
        <v>0</v>
      </c>
      <c r="K436" s="34" t="str">
        <f t="shared" si="27"/>
        <v/>
      </c>
      <c r="L436" s="14">
        <f>ROW()</f>
        <v>436</v>
      </c>
    </row>
    <row r="437" spans="1:12" ht="60" customHeight="1">
      <c r="A437" s="41"/>
      <c r="B437" s="43"/>
      <c r="C437" s="44"/>
      <c r="D437" s="51"/>
      <c r="E437" s="44"/>
      <c r="F437" s="44"/>
      <c r="G437" s="34">
        <f t="shared" si="24"/>
        <v>0</v>
      </c>
      <c r="H437" s="34" t="str">
        <f t="shared" si="25"/>
        <v/>
      </c>
      <c r="I437" s="52" t="str">
        <f t="shared" si="26"/>
        <v/>
      </c>
      <c r="J437" s="34">
        <f>IF(AND(A437&lt;&gt;"",ISTEXT(A437),COUNTIFS(Processos!$AS$10:$AS$509,"="&amp;SUBSTITUTE(SUBSTITUTE(SUBSTITUTE("P:"&amp;A437,"~","~~"),"*","~*"),"?","~?"))=1),(IF(ISNA(MATCH(SUBSTITUTE(SUBSTITUTE(SUBSTITUTE("P:"&amp;A437,"~","~~"),"*","~*"),"?","~?"),Processos!$AS$10:$AS$509,0)),9,INDEX(Processos!$AM$10:$AM$509,MATCH(SUBSTITUTE(SUBSTITUTE(SUBSTITUTE("P:"&amp;A437,"~","~~"),"*","~*"),"?","~?"),Processos!$AS$10:$AS$509,0)))-9),0)</f>
        <v>0</v>
      </c>
      <c r="K437" s="34" t="str">
        <f t="shared" si="27"/>
        <v/>
      </c>
      <c r="L437" s="14">
        <f>ROW()</f>
        <v>437</v>
      </c>
    </row>
    <row r="438" spans="1:12" ht="60" customHeight="1">
      <c r="A438" s="41"/>
      <c r="B438" s="43"/>
      <c r="C438" s="44"/>
      <c r="D438" s="51"/>
      <c r="E438" s="44"/>
      <c r="F438" s="44"/>
      <c r="G438" s="34">
        <f t="shared" si="24"/>
        <v>0</v>
      </c>
      <c r="H438" s="34" t="str">
        <f t="shared" si="25"/>
        <v/>
      </c>
      <c r="I438" s="52" t="str">
        <f t="shared" si="26"/>
        <v/>
      </c>
      <c r="J438" s="34">
        <f>IF(AND(A438&lt;&gt;"",ISTEXT(A438),COUNTIFS(Processos!$AS$10:$AS$509,"="&amp;SUBSTITUTE(SUBSTITUTE(SUBSTITUTE("P:"&amp;A438,"~","~~"),"*","~*"),"?","~?"))=1),(IF(ISNA(MATCH(SUBSTITUTE(SUBSTITUTE(SUBSTITUTE("P:"&amp;A438,"~","~~"),"*","~*"),"?","~?"),Processos!$AS$10:$AS$509,0)),9,INDEX(Processos!$AM$10:$AM$509,MATCH(SUBSTITUTE(SUBSTITUTE(SUBSTITUTE("P:"&amp;A438,"~","~~"),"*","~*"),"?","~?"),Processos!$AS$10:$AS$509,0)))-9),0)</f>
        <v>0</v>
      </c>
      <c r="K438" s="34" t="str">
        <f t="shared" si="27"/>
        <v/>
      </c>
      <c r="L438" s="14">
        <f>ROW()</f>
        <v>438</v>
      </c>
    </row>
    <row r="439" spans="1:12" ht="60" customHeight="1">
      <c r="A439" s="41"/>
      <c r="B439" s="43"/>
      <c r="C439" s="44"/>
      <c r="D439" s="51"/>
      <c r="E439" s="44"/>
      <c r="F439" s="44"/>
      <c r="G439" s="34">
        <f t="shared" si="24"/>
        <v>0</v>
      </c>
      <c r="H439" s="34" t="str">
        <f t="shared" si="25"/>
        <v/>
      </c>
      <c r="I439" s="52" t="str">
        <f t="shared" si="26"/>
        <v/>
      </c>
      <c r="J439" s="34">
        <f>IF(AND(A439&lt;&gt;"",ISTEXT(A439),COUNTIFS(Processos!$AS$10:$AS$509,"="&amp;SUBSTITUTE(SUBSTITUTE(SUBSTITUTE("P:"&amp;A439,"~","~~"),"*","~*"),"?","~?"))=1),(IF(ISNA(MATCH(SUBSTITUTE(SUBSTITUTE(SUBSTITUTE("P:"&amp;A439,"~","~~"),"*","~*"),"?","~?"),Processos!$AS$10:$AS$509,0)),9,INDEX(Processos!$AM$10:$AM$509,MATCH(SUBSTITUTE(SUBSTITUTE(SUBSTITUTE("P:"&amp;A439,"~","~~"),"*","~*"),"?","~?"),Processos!$AS$10:$AS$509,0)))-9),0)</f>
        <v>0</v>
      </c>
      <c r="K439" s="34" t="str">
        <f t="shared" si="27"/>
        <v/>
      </c>
      <c r="L439" s="14">
        <f>ROW()</f>
        <v>439</v>
      </c>
    </row>
    <row r="440" spans="1:12" ht="60" customHeight="1">
      <c r="A440" s="41"/>
      <c r="B440" s="43"/>
      <c r="C440" s="44"/>
      <c r="D440" s="51"/>
      <c r="E440" s="44"/>
      <c r="F440" s="44"/>
      <c r="G440" s="34">
        <f t="shared" si="24"/>
        <v>0</v>
      </c>
      <c r="H440" s="34" t="str">
        <f t="shared" si="25"/>
        <v/>
      </c>
      <c r="I440" s="52" t="str">
        <f t="shared" si="26"/>
        <v/>
      </c>
      <c r="J440" s="34">
        <f>IF(AND(A440&lt;&gt;"",ISTEXT(A440),COUNTIFS(Processos!$AS$10:$AS$509,"="&amp;SUBSTITUTE(SUBSTITUTE(SUBSTITUTE("P:"&amp;A440,"~","~~"),"*","~*"),"?","~?"))=1),(IF(ISNA(MATCH(SUBSTITUTE(SUBSTITUTE(SUBSTITUTE("P:"&amp;A440,"~","~~"),"*","~*"),"?","~?"),Processos!$AS$10:$AS$509,0)),9,INDEX(Processos!$AM$10:$AM$509,MATCH(SUBSTITUTE(SUBSTITUTE(SUBSTITUTE("P:"&amp;A440,"~","~~"),"*","~*"),"?","~?"),Processos!$AS$10:$AS$509,0)))-9),0)</f>
        <v>0</v>
      </c>
      <c r="K440" s="34" t="str">
        <f t="shared" si="27"/>
        <v/>
      </c>
      <c r="L440" s="14">
        <f>ROW()</f>
        <v>440</v>
      </c>
    </row>
    <row r="441" spans="1:12" ht="60" customHeight="1">
      <c r="A441" s="41"/>
      <c r="B441" s="43"/>
      <c r="C441" s="44"/>
      <c r="D441" s="51"/>
      <c r="E441" s="44"/>
      <c r="F441" s="44"/>
      <c r="G441" s="34">
        <f t="shared" si="24"/>
        <v>0</v>
      </c>
      <c r="H441" s="34" t="str">
        <f t="shared" si="25"/>
        <v/>
      </c>
      <c r="I441" s="52" t="str">
        <f t="shared" si="26"/>
        <v/>
      </c>
      <c r="J441" s="34">
        <f>IF(AND(A441&lt;&gt;"",ISTEXT(A441),COUNTIFS(Processos!$AS$10:$AS$509,"="&amp;SUBSTITUTE(SUBSTITUTE(SUBSTITUTE("P:"&amp;A441,"~","~~"),"*","~*"),"?","~?"))=1),(IF(ISNA(MATCH(SUBSTITUTE(SUBSTITUTE(SUBSTITUTE("P:"&amp;A441,"~","~~"),"*","~*"),"?","~?"),Processos!$AS$10:$AS$509,0)),9,INDEX(Processos!$AM$10:$AM$509,MATCH(SUBSTITUTE(SUBSTITUTE(SUBSTITUTE("P:"&amp;A441,"~","~~"),"*","~*"),"?","~?"),Processos!$AS$10:$AS$509,0)))-9),0)</f>
        <v>0</v>
      </c>
      <c r="K441" s="34" t="str">
        <f t="shared" si="27"/>
        <v/>
      </c>
      <c r="L441" s="14">
        <f>ROW()</f>
        <v>441</v>
      </c>
    </row>
    <row r="442" spans="1:12" ht="60" customHeight="1">
      <c r="A442" s="41"/>
      <c r="B442" s="43"/>
      <c r="C442" s="44"/>
      <c r="D442" s="51"/>
      <c r="E442" s="44"/>
      <c r="F442" s="44"/>
      <c r="G442" s="34">
        <f t="shared" si="24"/>
        <v>0</v>
      </c>
      <c r="H442" s="34" t="str">
        <f t="shared" si="25"/>
        <v/>
      </c>
      <c r="I442" s="52" t="str">
        <f t="shared" si="26"/>
        <v/>
      </c>
      <c r="J442" s="34">
        <f>IF(AND(A442&lt;&gt;"",ISTEXT(A442),COUNTIFS(Processos!$AS$10:$AS$509,"="&amp;SUBSTITUTE(SUBSTITUTE(SUBSTITUTE("P:"&amp;A442,"~","~~"),"*","~*"),"?","~?"))=1),(IF(ISNA(MATCH(SUBSTITUTE(SUBSTITUTE(SUBSTITUTE("P:"&amp;A442,"~","~~"),"*","~*"),"?","~?"),Processos!$AS$10:$AS$509,0)),9,INDEX(Processos!$AM$10:$AM$509,MATCH(SUBSTITUTE(SUBSTITUTE(SUBSTITUTE("P:"&amp;A442,"~","~~"),"*","~*"),"?","~?"),Processos!$AS$10:$AS$509,0)))-9),0)</f>
        <v>0</v>
      </c>
      <c r="K442" s="34" t="str">
        <f t="shared" si="27"/>
        <v/>
      </c>
      <c r="L442" s="14">
        <f>ROW()</f>
        <v>442</v>
      </c>
    </row>
    <row r="443" spans="1:12" ht="60" customHeight="1">
      <c r="A443" s="41"/>
      <c r="B443" s="43"/>
      <c r="C443" s="44"/>
      <c r="D443" s="51"/>
      <c r="E443" s="44"/>
      <c r="F443" s="44"/>
      <c r="G443" s="34">
        <f t="shared" si="24"/>
        <v>0</v>
      </c>
      <c r="H443" s="34" t="str">
        <f t="shared" si="25"/>
        <v/>
      </c>
      <c r="I443" s="52" t="str">
        <f t="shared" si="26"/>
        <v/>
      </c>
      <c r="J443" s="34">
        <f>IF(AND(A443&lt;&gt;"",ISTEXT(A443),COUNTIFS(Processos!$AS$10:$AS$509,"="&amp;SUBSTITUTE(SUBSTITUTE(SUBSTITUTE("P:"&amp;A443,"~","~~"),"*","~*"),"?","~?"))=1),(IF(ISNA(MATCH(SUBSTITUTE(SUBSTITUTE(SUBSTITUTE("P:"&amp;A443,"~","~~"),"*","~*"),"?","~?"),Processos!$AS$10:$AS$509,0)),9,INDEX(Processos!$AM$10:$AM$509,MATCH(SUBSTITUTE(SUBSTITUTE(SUBSTITUTE("P:"&amp;A443,"~","~~"),"*","~*"),"?","~?"),Processos!$AS$10:$AS$509,0)))-9),0)</f>
        <v>0</v>
      </c>
      <c r="K443" s="34" t="str">
        <f t="shared" si="27"/>
        <v/>
      </c>
      <c r="L443" s="14">
        <f>ROW()</f>
        <v>443</v>
      </c>
    </row>
    <row r="444" spans="1:12" ht="60" customHeight="1">
      <c r="A444" s="41"/>
      <c r="B444" s="43"/>
      <c r="C444" s="44"/>
      <c r="D444" s="51"/>
      <c r="E444" s="44"/>
      <c r="F444" s="44"/>
      <c r="G444" s="34">
        <f t="shared" si="24"/>
        <v>0</v>
      </c>
      <c r="H444" s="34" t="str">
        <f t="shared" si="25"/>
        <v/>
      </c>
      <c r="I444" s="52" t="str">
        <f t="shared" si="26"/>
        <v/>
      </c>
      <c r="J444" s="34">
        <f>IF(AND(A444&lt;&gt;"",ISTEXT(A444),COUNTIFS(Processos!$AS$10:$AS$509,"="&amp;SUBSTITUTE(SUBSTITUTE(SUBSTITUTE("P:"&amp;A444,"~","~~"),"*","~*"),"?","~?"))=1),(IF(ISNA(MATCH(SUBSTITUTE(SUBSTITUTE(SUBSTITUTE("P:"&amp;A444,"~","~~"),"*","~*"),"?","~?"),Processos!$AS$10:$AS$509,0)),9,INDEX(Processos!$AM$10:$AM$509,MATCH(SUBSTITUTE(SUBSTITUTE(SUBSTITUTE("P:"&amp;A444,"~","~~"),"*","~*"),"?","~?"),Processos!$AS$10:$AS$509,0)))-9),0)</f>
        <v>0</v>
      </c>
      <c r="K444" s="34" t="str">
        <f t="shared" si="27"/>
        <v/>
      </c>
      <c r="L444" s="14">
        <f>ROW()</f>
        <v>444</v>
      </c>
    </row>
    <row r="445" spans="1:12" ht="60" customHeight="1">
      <c r="A445" s="41"/>
      <c r="B445" s="43"/>
      <c r="C445" s="44"/>
      <c r="D445" s="51"/>
      <c r="E445" s="44"/>
      <c r="F445" s="44"/>
      <c r="G445" s="34">
        <f t="shared" si="24"/>
        <v>0</v>
      </c>
      <c r="H445" s="34" t="str">
        <f t="shared" si="25"/>
        <v/>
      </c>
      <c r="I445" s="52" t="str">
        <f t="shared" si="26"/>
        <v/>
      </c>
      <c r="J445" s="34">
        <f>IF(AND(A445&lt;&gt;"",ISTEXT(A445),COUNTIFS(Processos!$AS$10:$AS$509,"="&amp;SUBSTITUTE(SUBSTITUTE(SUBSTITUTE("P:"&amp;A445,"~","~~"),"*","~*"),"?","~?"))=1),(IF(ISNA(MATCH(SUBSTITUTE(SUBSTITUTE(SUBSTITUTE("P:"&amp;A445,"~","~~"),"*","~*"),"?","~?"),Processos!$AS$10:$AS$509,0)),9,INDEX(Processos!$AM$10:$AM$509,MATCH(SUBSTITUTE(SUBSTITUTE(SUBSTITUTE("P:"&amp;A445,"~","~~"),"*","~*"),"?","~?"),Processos!$AS$10:$AS$509,0)))-9),0)</f>
        <v>0</v>
      </c>
      <c r="K445" s="34" t="str">
        <f t="shared" si="27"/>
        <v/>
      </c>
      <c r="L445" s="14">
        <f>ROW()</f>
        <v>445</v>
      </c>
    </row>
    <row r="446" spans="1:12" ht="60" customHeight="1">
      <c r="A446" s="41"/>
      <c r="B446" s="43"/>
      <c r="C446" s="44"/>
      <c r="D446" s="51"/>
      <c r="E446" s="44"/>
      <c r="F446" s="44"/>
      <c r="G446" s="34">
        <f t="shared" si="24"/>
        <v>0</v>
      </c>
      <c r="H446" s="34" t="str">
        <f t="shared" si="25"/>
        <v/>
      </c>
      <c r="I446" s="52" t="str">
        <f t="shared" si="26"/>
        <v/>
      </c>
      <c r="J446" s="34">
        <f>IF(AND(A446&lt;&gt;"",ISTEXT(A446),COUNTIFS(Processos!$AS$10:$AS$509,"="&amp;SUBSTITUTE(SUBSTITUTE(SUBSTITUTE("P:"&amp;A446,"~","~~"),"*","~*"),"?","~?"))=1),(IF(ISNA(MATCH(SUBSTITUTE(SUBSTITUTE(SUBSTITUTE("P:"&amp;A446,"~","~~"),"*","~*"),"?","~?"),Processos!$AS$10:$AS$509,0)),9,INDEX(Processos!$AM$10:$AM$509,MATCH(SUBSTITUTE(SUBSTITUTE(SUBSTITUTE("P:"&amp;A446,"~","~~"),"*","~*"),"?","~?"),Processos!$AS$10:$AS$509,0)))-9),0)</f>
        <v>0</v>
      </c>
      <c r="K446" s="34" t="str">
        <f t="shared" si="27"/>
        <v/>
      </c>
      <c r="L446" s="14">
        <f>ROW()</f>
        <v>446</v>
      </c>
    </row>
    <row r="447" spans="1:12" ht="60" customHeight="1">
      <c r="A447" s="41"/>
      <c r="B447" s="43"/>
      <c r="C447" s="44"/>
      <c r="D447" s="51"/>
      <c r="E447" s="44"/>
      <c r="F447" s="44"/>
      <c r="G447" s="34">
        <f t="shared" si="24"/>
        <v>0</v>
      </c>
      <c r="H447" s="34" t="str">
        <f t="shared" si="25"/>
        <v/>
      </c>
      <c r="I447" s="52" t="str">
        <f t="shared" si="26"/>
        <v/>
      </c>
      <c r="J447" s="34">
        <f>IF(AND(A447&lt;&gt;"",ISTEXT(A447),COUNTIFS(Processos!$AS$10:$AS$509,"="&amp;SUBSTITUTE(SUBSTITUTE(SUBSTITUTE("P:"&amp;A447,"~","~~"),"*","~*"),"?","~?"))=1),(IF(ISNA(MATCH(SUBSTITUTE(SUBSTITUTE(SUBSTITUTE("P:"&amp;A447,"~","~~"),"*","~*"),"?","~?"),Processos!$AS$10:$AS$509,0)),9,INDEX(Processos!$AM$10:$AM$509,MATCH(SUBSTITUTE(SUBSTITUTE(SUBSTITUTE("P:"&amp;A447,"~","~~"),"*","~*"),"?","~?"),Processos!$AS$10:$AS$509,0)))-9),0)</f>
        <v>0</v>
      </c>
      <c r="K447" s="34" t="str">
        <f t="shared" si="27"/>
        <v/>
      </c>
      <c r="L447" s="14">
        <f>ROW()</f>
        <v>447</v>
      </c>
    </row>
    <row r="448" spans="1:12" ht="60" customHeight="1">
      <c r="A448" s="41"/>
      <c r="B448" s="43"/>
      <c r="C448" s="44"/>
      <c r="D448" s="51"/>
      <c r="E448" s="44"/>
      <c r="F448" s="44"/>
      <c r="G448" s="34">
        <f t="shared" si="24"/>
        <v>0</v>
      </c>
      <c r="H448" s="34" t="str">
        <f t="shared" si="25"/>
        <v/>
      </c>
      <c r="I448" s="52" t="str">
        <f t="shared" si="26"/>
        <v/>
      </c>
      <c r="J448" s="34">
        <f>IF(AND(A448&lt;&gt;"",ISTEXT(A448),COUNTIFS(Processos!$AS$10:$AS$509,"="&amp;SUBSTITUTE(SUBSTITUTE(SUBSTITUTE("P:"&amp;A448,"~","~~"),"*","~*"),"?","~?"))=1),(IF(ISNA(MATCH(SUBSTITUTE(SUBSTITUTE(SUBSTITUTE("P:"&amp;A448,"~","~~"),"*","~*"),"?","~?"),Processos!$AS$10:$AS$509,0)),9,INDEX(Processos!$AM$10:$AM$509,MATCH(SUBSTITUTE(SUBSTITUTE(SUBSTITUTE("P:"&amp;A448,"~","~~"),"*","~*"),"?","~?"),Processos!$AS$10:$AS$509,0)))-9),0)</f>
        <v>0</v>
      </c>
      <c r="K448" s="34" t="str">
        <f t="shared" si="27"/>
        <v/>
      </c>
      <c r="L448" s="14">
        <f>ROW()</f>
        <v>448</v>
      </c>
    </row>
    <row r="449" spans="1:12" ht="60" customHeight="1">
      <c r="A449" s="41"/>
      <c r="B449" s="43"/>
      <c r="C449" s="44"/>
      <c r="D449" s="51"/>
      <c r="E449" s="44"/>
      <c r="F449" s="44"/>
      <c r="G449" s="34">
        <f t="shared" si="24"/>
        <v>0</v>
      </c>
      <c r="H449" s="34" t="str">
        <f t="shared" si="25"/>
        <v/>
      </c>
      <c r="I449" s="52" t="str">
        <f t="shared" si="26"/>
        <v/>
      </c>
      <c r="J449" s="34">
        <f>IF(AND(A449&lt;&gt;"",ISTEXT(A449),COUNTIFS(Processos!$AS$10:$AS$509,"="&amp;SUBSTITUTE(SUBSTITUTE(SUBSTITUTE("P:"&amp;A449,"~","~~"),"*","~*"),"?","~?"))=1),(IF(ISNA(MATCH(SUBSTITUTE(SUBSTITUTE(SUBSTITUTE("P:"&amp;A449,"~","~~"),"*","~*"),"?","~?"),Processos!$AS$10:$AS$509,0)),9,INDEX(Processos!$AM$10:$AM$509,MATCH(SUBSTITUTE(SUBSTITUTE(SUBSTITUTE("P:"&amp;A449,"~","~~"),"*","~*"),"?","~?"),Processos!$AS$10:$AS$509,0)))-9),0)</f>
        <v>0</v>
      </c>
      <c r="K449" s="34" t="str">
        <f t="shared" si="27"/>
        <v/>
      </c>
      <c r="L449" s="14">
        <f>ROW()</f>
        <v>449</v>
      </c>
    </row>
    <row r="450" spans="1:12" ht="60" customHeight="1">
      <c r="A450" s="41"/>
      <c r="B450" s="43"/>
      <c r="C450" s="44"/>
      <c r="D450" s="51"/>
      <c r="E450" s="44"/>
      <c r="F450" s="44"/>
      <c r="G450" s="34">
        <f t="shared" si="24"/>
        <v>0</v>
      </c>
      <c r="H450" s="34" t="str">
        <f t="shared" si="25"/>
        <v/>
      </c>
      <c r="I450" s="52" t="str">
        <f t="shared" si="26"/>
        <v/>
      </c>
      <c r="J450" s="34">
        <f>IF(AND(A450&lt;&gt;"",ISTEXT(A450),COUNTIFS(Processos!$AS$10:$AS$509,"="&amp;SUBSTITUTE(SUBSTITUTE(SUBSTITUTE("P:"&amp;A450,"~","~~"),"*","~*"),"?","~?"))=1),(IF(ISNA(MATCH(SUBSTITUTE(SUBSTITUTE(SUBSTITUTE("P:"&amp;A450,"~","~~"),"*","~*"),"?","~?"),Processos!$AS$10:$AS$509,0)),9,INDEX(Processos!$AM$10:$AM$509,MATCH(SUBSTITUTE(SUBSTITUTE(SUBSTITUTE("P:"&amp;A450,"~","~~"),"*","~*"),"?","~?"),Processos!$AS$10:$AS$509,0)))-9),0)</f>
        <v>0</v>
      </c>
      <c r="K450" s="34" t="str">
        <f t="shared" si="27"/>
        <v/>
      </c>
      <c r="L450" s="14">
        <f>ROW()</f>
        <v>450</v>
      </c>
    </row>
    <row r="451" spans="1:12" ht="60" customHeight="1">
      <c r="A451" s="41"/>
      <c r="B451" s="43"/>
      <c r="C451" s="44"/>
      <c r="D451" s="51"/>
      <c r="E451" s="44"/>
      <c r="F451" s="44"/>
      <c r="G451" s="34">
        <f t="shared" si="24"/>
        <v>0</v>
      </c>
      <c r="H451" s="34" t="str">
        <f t="shared" si="25"/>
        <v/>
      </c>
      <c r="I451" s="52" t="str">
        <f t="shared" si="26"/>
        <v/>
      </c>
      <c r="J451" s="34">
        <f>IF(AND(A451&lt;&gt;"",ISTEXT(A451),COUNTIFS(Processos!$AS$10:$AS$509,"="&amp;SUBSTITUTE(SUBSTITUTE(SUBSTITUTE("P:"&amp;A451,"~","~~"),"*","~*"),"?","~?"))=1),(IF(ISNA(MATCH(SUBSTITUTE(SUBSTITUTE(SUBSTITUTE("P:"&amp;A451,"~","~~"),"*","~*"),"?","~?"),Processos!$AS$10:$AS$509,0)),9,INDEX(Processos!$AM$10:$AM$509,MATCH(SUBSTITUTE(SUBSTITUTE(SUBSTITUTE("P:"&amp;A451,"~","~~"),"*","~*"),"?","~?"),Processos!$AS$10:$AS$509,0)))-9),0)</f>
        <v>0</v>
      </c>
      <c r="K451" s="34" t="str">
        <f t="shared" si="27"/>
        <v/>
      </c>
      <c r="L451" s="14">
        <f>ROW()</f>
        <v>451</v>
      </c>
    </row>
    <row r="452" spans="1:12" ht="60" customHeight="1">
      <c r="A452" s="41"/>
      <c r="B452" s="43"/>
      <c r="C452" s="44"/>
      <c r="D452" s="51"/>
      <c r="E452" s="44"/>
      <c r="F452" s="44"/>
      <c r="G452" s="34">
        <f t="shared" si="24"/>
        <v>0</v>
      </c>
      <c r="H452" s="34" t="str">
        <f t="shared" si="25"/>
        <v/>
      </c>
      <c r="I452" s="52" t="str">
        <f t="shared" si="26"/>
        <v/>
      </c>
      <c r="J452" s="34">
        <f>IF(AND(A452&lt;&gt;"",ISTEXT(A452),COUNTIFS(Processos!$AS$10:$AS$509,"="&amp;SUBSTITUTE(SUBSTITUTE(SUBSTITUTE("P:"&amp;A452,"~","~~"),"*","~*"),"?","~?"))=1),(IF(ISNA(MATCH(SUBSTITUTE(SUBSTITUTE(SUBSTITUTE("P:"&amp;A452,"~","~~"),"*","~*"),"?","~?"),Processos!$AS$10:$AS$509,0)),9,INDEX(Processos!$AM$10:$AM$509,MATCH(SUBSTITUTE(SUBSTITUTE(SUBSTITUTE("P:"&amp;A452,"~","~~"),"*","~*"),"?","~?"),Processos!$AS$10:$AS$509,0)))-9),0)</f>
        <v>0</v>
      </c>
      <c r="K452" s="34" t="str">
        <f t="shared" si="27"/>
        <v/>
      </c>
      <c r="L452" s="14">
        <f>ROW()</f>
        <v>452</v>
      </c>
    </row>
    <row r="453" spans="1:12" ht="60" customHeight="1">
      <c r="A453" s="41"/>
      <c r="B453" s="43"/>
      <c r="C453" s="44"/>
      <c r="D453" s="51"/>
      <c r="E453" s="44"/>
      <c r="F453" s="44"/>
      <c r="G453" s="34">
        <f t="shared" si="24"/>
        <v>0</v>
      </c>
      <c r="H453" s="34" t="str">
        <f t="shared" si="25"/>
        <v/>
      </c>
      <c r="I453" s="52" t="str">
        <f t="shared" si="26"/>
        <v/>
      </c>
      <c r="J453" s="34">
        <f>IF(AND(A453&lt;&gt;"",ISTEXT(A453),COUNTIFS(Processos!$AS$10:$AS$509,"="&amp;SUBSTITUTE(SUBSTITUTE(SUBSTITUTE("P:"&amp;A453,"~","~~"),"*","~*"),"?","~?"))=1),(IF(ISNA(MATCH(SUBSTITUTE(SUBSTITUTE(SUBSTITUTE("P:"&amp;A453,"~","~~"),"*","~*"),"?","~?"),Processos!$AS$10:$AS$509,0)),9,INDEX(Processos!$AM$10:$AM$509,MATCH(SUBSTITUTE(SUBSTITUTE(SUBSTITUTE("P:"&amp;A453,"~","~~"),"*","~*"),"?","~?"),Processos!$AS$10:$AS$509,0)))-9),0)</f>
        <v>0</v>
      </c>
      <c r="K453" s="34" t="str">
        <f t="shared" si="27"/>
        <v/>
      </c>
      <c r="L453" s="14">
        <f>ROW()</f>
        <v>453</v>
      </c>
    </row>
    <row r="454" spans="1:12" ht="60" customHeight="1">
      <c r="A454" s="41"/>
      <c r="B454" s="43"/>
      <c r="C454" s="44"/>
      <c r="D454" s="51"/>
      <c r="E454" s="44"/>
      <c r="F454" s="44"/>
      <c r="G454" s="34">
        <f t="shared" si="24"/>
        <v>0</v>
      </c>
      <c r="H454" s="34" t="str">
        <f t="shared" si="25"/>
        <v/>
      </c>
      <c r="I454" s="52" t="str">
        <f t="shared" si="26"/>
        <v/>
      </c>
      <c r="J454" s="34">
        <f>IF(AND(A454&lt;&gt;"",ISTEXT(A454),COUNTIFS(Processos!$AS$10:$AS$509,"="&amp;SUBSTITUTE(SUBSTITUTE(SUBSTITUTE("P:"&amp;A454,"~","~~"),"*","~*"),"?","~?"))=1),(IF(ISNA(MATCH(SUBSTITUTE(SUBSTITUTE(SUBSTITUTE("P:"&amp;A454,"~","~~"),"*","~*"),"?","~?"),Processos!$AS$10:$AS$509,0)),9,INDEX(Processos!$AM$10:$AM$509,MATCH(SUBSTITUTE(SUBSTITUTE(SUBSTITUTE("P:"&amp;A454,"~","~~"),"*","~*"),"?","~?"),Processos!$AS$10:$AS$509,0)))-9),0)</f>
        <v>0</v>
      </c>
      <c r="K454" s="34" t="str">
        <f t="shared" si="27"/>
        <v/>
      </c>
      <c r="L454" s="14">
        <f>ROW()</f>
        <v>454</v>
      </c>
    </row>
    <row r="455" spans="1:12" ht="60" customHeight="1">
      <c r="A455" s="41"/>
      <c r="B455" s="43"/>
      <c r="C455" s="44"/>
      <c r="D455" s="51"/>
      <c r="E455" s="44"/>
      <c r="F455" s="44"/>
      <c r="G455" s="34">
        <f t="shared" si="24"/>
        <v>0</v>
      </c>
      <c r="H455" s="34" t="str">
        <f t="shared" si="25"/>
        <v/>
      </c>
      <c r="I455" s="52" t="str">
        <f t="shared" si="26"/>
        <v/>
      </c>
      <c r="J455" s="34">
        <f>IF(AND(A455&lt;&gt;"",ISTEXT(A455),COUNTIFS(Processos!$AS$10:$AS$509,"="&amp;SUBSTITUTE(SUBSTITUTE(SUBSTITUTE("P:"&amp;A455,"~","~~"),"*","~*"),"?","~?"))=1),(IF(ISNA(MATCH(SUBSTITUTE(SUBSTITUTE(SUBSTITUTE("P:"&amp;A455,"~","~~"),"*","~*"),"?","~?"),Processos!$AS$10:$AS$509,0)),9,INDEX(Processos!$AM$10:$AM$509,MATCH(SUBSTITUTE(SUBSTITUTE(SUBSTITUTE("P:"&amp;A455,"~","~~"),"*","~*"),"?","~?"),Processos!$AS$10:$AS$509,0)))-9),0)</f>
        <v>0</v>
      </c>
      <c r="K455" s="34" t="str">
        <f t="shared" si="27"/>
        <v/>
      </c>
      <c r="L455" s="14">
        <f>ROW()</f>
        <v>455</v>
      </c>
    </row>
    <row r="456" spans="1:12" ht="60" customHeight="1">
      <c r="A456" s="41"/>
      <c r="B456" s="43"/>
      <c r="C456" s="44"/>
      <c r="D456" s="51"/>
      <c r="E456" s="44"/>
      <c r="F456" s="44"/>
      <c r="G456" s="34">
        <f t="shared" si="24"/>
        <v>0</v>
      </c>
      <c r="H456" s="34" t="str">
        <f t="shared" si="25"/>
        <v/>
      </c>
      <c r="I456" s="52" t="str">
        <f t="shared" si="26"/>
        <v/>
      </c>
      <c r="J456" s="34">
        <f>IF(AND(A456&lt;&gt;"",ISTEXT(A456),COUNTIFS(Processos!$AS$10:$AS$509,"="&amp;SUBSTITUTE(SUBSTITUTE(SUBSTITUTE("P:"&amp;A456,"~","~~"),"*","~*"),"?","~?"))=1),(IF(ISNA(MATCH(SUBSTITUTE(SUBSTITUTE(SUBSTITUTE("P:"&amp;A456,"~","~~"),"*","~*"),"?","~?"),Processos!$AS$10:$AS$509,0)),9,INDEX(Processos!$AM$10:$AM$509,MATCH(SUBSTITUTE(SUBSTITUTE(SUBSTITUTE("P:"&amp;A456,"~","~~"),"*","~*"),"?","~?"),Processos!$AS$10:$AS$509,0)))-9),0)</f>
        <v>0</v>
      </c>
      <c r="K456" s="34" t="str">
        <f t="shared" si="27"/>
        <v/>
      </c>
      <c r="L456" s="14">
        <f>ROW()</f>
        <v>456</v>
      </c>
    </row>
    <row r="457" spans="1:12" ht="60" customHeight="1">
      <c r="A457" s="41"/>
      <c r="B457" s="43"/>
      <c r="C457" s="44"/>
      <c r="D457" s="51"/>
      <c r="E457" s="44"/>
      <c r="F457" s="44"/>
      <c r="G457" s="34">
        <f t="shared" si="24"/>
        <v>0</v>
      </c>
      <c r="H457" s="34" t="str">
        <f t="shared" si="25"/>
        <v/>
      </c>
      <c r="I457" s="52" t="str">
        <f t="shared" si="26"/>
        <v/>
      </c>
      <c r="J457" s="34">
        <f>IF(AND(A457&lt;&gt;"",ISTEXT(A457),COUNTIFS(Processos!$AS$10:$AS$509,"="&amp;SUBSTITUTE(SUBSTITUTE(SUBSTITUTE("P:"&amp;A457,"~","~~"),"*","~*"),"?","~?"))=1),(IF(ISNA(MATCH(SUBSTITUTE(SUBSTITUTE(SUBSTITUTE("P:"&amp;A457,"~","~~"),"*","~*"),"?","~?"),Processos!$AS$10:$AS$509,0)),9,INDEX(Processos!$AM$10:$AM$509,MATCH(SUBSTITUTE(SUBSTITUTE(SUBSTITUTE("P:"&amp;A457,"~","~~"),"*","~*"),"?","~?"),Processos!$AS$10:$AS$509,0)))-9),0)</f>
        <v>0</v>
      </c>
      <c r="K457" s="34" t="str">
        <f t="shared" si="27"/>
        <v/>
      </c>
      <c r="L457" s="14">
        <f>ROW()</f>
        <v>457</v>
      </c>
    </row>
    <row r="458" spans="1:12" ht="60" customHeight="1">
      <c r="A458" s="41"/>
      <c r="B458" s="43"/>
      <c r="C458" s="44"/>
      <c r="D458" s="51"/>
      <c r="E458" s="44"/>
      <c r="F458" s="44"/>
      <c r="G458" s="34">
        <f t="shared" ref="G458:G521" si="28">IF(AND(J458&gt;0,OR(B458="",AND(ISNUMBER(B458),B458&gt;=1,B458&lt;=100000)),ISNUMBER(D458),D458&gt;=1,D458&lt;=100000,C458&lt;&gt;""),1,0)</f>
        <v>0</v>
      </c>
      <c r="H458" s="34" t="str">
        <f t="shared" ref="H458:H521" si="29">IF(G458=1,K458&amp;"|"&amp;D458,"")</f>
        <v/>
      </c>
      <c r="I458" s="52" t="str">
        <f t="shared" ref="I458:I521" si="30">IF(COUNTA(A458:F458)=0,"",IF(A458="","Selecione o processo",IF(J458=0,"Processo inexistente, duplicado ou número não textual",IF(B458="","Informe a data do andamento",IF(C458="","Descreva o andamento",IF(D458="","Informe a data e hora do recebimento",IF(OR(NOT(ISNUMBER(B458)),B458&lt;1,B458&gt;100000),"Revise a data do andamento",IF(OR(NOT(ISNUMBER(D458)),D458&lt;1,D458&gt;100000),"Revise a data e hora do recebimento",IF(COUNTIFS($K$10:$K$2009,"="&amp;SUBSTITUTE(SUBSTITUTE(SUBSTITUTE("P:"&amp;A458,"~","~~"),"*","~*"),"?","~?"),$D$10:$D$2009,D458,$G$10:$G$2009,1)&gt;1,"Recebimentos empatados: revise a hora ou consolide o registro","")))))))))</f>
        <v/>
      </c>
      <c r="J458" s="34">
        <f>IF(AND(A458&lt;&gt;"",ISTEXT(A458),COUNTIFS(Processos!$AS$10:$AS$509,"="&amp;SUBSTITUTE(SUBSTITUTE(SUBSTITUTE("P:"&amp;A458,"~","~~"),"*","~*"),"?","~?"))=1),(IF(ISNA(MATCH(SUBSTITUTE(SUBSTITUTE(SUBSTITUTE("P:"&amp;A458,"~","~~"),"*","~*"),"?","~?"),Processos!$AS$10:$AS$509,0)),9,INDEX(Processos!$AM$10:$AM$509,MATCH(SUBSTITUTE(SUBSTITUTE(SUBSTITUTE("P:"&amp;A458,"~","~~"),"*","~*"),"?","~?"),Processos!$AS$10:$AS$509,0)))-9),0)</f>
        <v>0</v>
      </c>
      <c r="K458" s="34" t="str">
        <f t="shared" ref="K458:K521" si="31">IF(AND(A458&lt;&gt;"",ISTEXT(A458)),"P:"&amp;A458,"")</f>
        <v/>
      </c>
      <c r="L458" s="14">
        <f>ROW()</f>
        <v>458</v>
      </c>
    </row>
    <row r="459" spans="1:12" ht="60" customHeight="1">
      <c r="A459" s="41"/>
      <c r="B459" s="43"/>
      <c r="C459" s="44"/>
      <c r="D459" s="51"/>
      <c r="E459" s="44"/>
      <c r="F459" s="44"/>
      <c r="G459" s="34">
        <f t="shared" si="28"/>
        <v>0</v>
      </c>
      <c r="H459" s="34" t="str">
        <f t="shared" si="29"/>
        <v/>
      </c>
      <c r="I459" s="52" t="str">
        <f t="shared" si="30"/>
        <v/>
      </c>
      <c r="J459" s="34">
        <f>IF(AND(A459&lt;&gt;"",ISTEXT(A459),COUNTIFS(Processos!$AS$10:$AS$509,"="&amp;SUBSTITUTE(SUBSTITUTE(SUBSTITUTE("P:"&amp;A459,"~","~~"),"*","~*"),"?","~?"))=1),(IF(ISNA(MATCH(SUBSTITUTE(SUBSTITUTE(SUBSTITUTE("P:"&amp;A459,"~","~~"),"*","~*"),"?","~?"),Processos!$AS$10:$AS$509,0)),9,INDEX(Processos!$AM$10:$AM$509,MATCH(SUBSTITUTE(SUBSTITUTE(SUBSTITUTE("P:"&amp;A459,"~","~~"),"*","~*"),"?","~?"),Processos!$AS$10:$AS$509,0)))-9),0)</f>
        <v>0</v>
      </c>
      <c r="K459" s="34" t="str">
        <f t="shared" si="31"/>
        <v/>
      </c>
      <c r="L459" s="14">
        <f>ROW()</f>
        <v>459</v>
      </c>
    </row>
    <row r="460" spans="1:12" ht="60" customHeight="1">
      <c r="A460" s="41"/>
      <c r="B460" s="43"/>
      <c r="C460" s="44"/>
      <c r="D460" s="51"/>
      <c r="E460" s="44"/>
      <c r="F460" s="44"/>
      <c r="G460" s="34">
        <f t="shared" si="28"/>
        <v>0</v>
      </c>
      <c r="H460" s="34" t="str">
        <f t="shared" si="29"/>
        <v/>
      </c>
      <c r="I460" s="52" t="str">
        <f t="shared" si="30"/>
        <v/>
      </c>
      <c r="J460" s="34">
        <f>IF(AND(A460&lt;&gt;"",ISTEXT(A460),COUNTIFS(Processos!$AS$10:$AS$509,"="&amp;SUBSTITUTE(SUBSTITUTE(SUBSTITUTE("P:"&amp;A460,"~","~~"),"*","~*"),"?","~?"))=1),(IF(ISNA(MATCH(SUBSTITUTE(SUBSTITUTE(SUBSTITUTE("P:"&amp;A460,"~","~~"),"*","~*"),"?","~?"),Processos!$AS$10:$AS$509,0)),9,INDEX(Processos!$AM$10:$AM$509,MATCH(SUBSTITUTE(SUBSTITUTE(SUBSTITUTE("P:"&amp;A460,"~","~~"),"*","~*"),"?","~?"),Processos!$AS$10:$AS$509,0)))-9),0)</f>
        <v>0</v>
      </c>
      <c r="K460" s="34" t="str">
        <f t="shared" si="31"/>
        <v/>
      </c>
      <c r="L460" s="14">
        <f>ROW()</f>
        <v>460</v>
      </c>
    </row>
    <row r="461" spans="1:12" ht="60" customHeight="1">
      <c r="A461" s="41"/>
      <c r="B461" s="43"/>
      <c r="C461" s="44"/>
      <c r="D461" s="51"/>
      <c r="E461" s="44"/>
      <c r="F461" s="44"/>
      <c r="G461" s="34">
        <f t="shared" si="28"/>
        <v>0</v>
      </c>
      <c r="H461" s="34" t="str">
        <f t="shared" si="29"/>
        <v/>
      </c>
      <c r="I461" s="52" t="str">
        <f t="shared" si="30"/>
        <v/>
      </c>
      <c r="J461" s="34">
        <f>IF(AND(A461&lt;&gt;"",ISTEXT(A461),COUNTIFS(Processos!$AS$10:$AS$509,"="&amp;SUBSTITUTE(SUBSTITUTE(SUBSTITUTE("P:"&amp;A461,"~","~~"),"*","~*"),"?","~?"))=1),(IF(ISNA(MATCH(SUBSTITUTE(SUBSTITUTE(SUBSTITUTE("P:"&amp;A461,"~","~~"),"*","~*"),"?","~?"),Processos!$AS$10:$AS$509,0)),9,INDEX(Processos!$AM$10:$AM$509,MATCH(SUBSTITUTE(SUBSTITUTE(SUBSTITUTE("P:"&amp;A461,"~","~~"),"*","~*"),"?","~?"),Processos!$AS$10:$AS$509,0)))-9),0)</f>
        <v>0</v>
      </c>
      <c r="K461" s="34" t="str">
        <f t="shared" si="31"/>
        <v/>
      </c>
      <c r="L461" s="14">
        <f>ROW()</f>
        <v>461</v>
      </c>
    </row>
    <row r="462" spans="1:12" ht="60" customHeight="1">
      <c r="A462" s="41"/>
      <c r="B462" s="43"/>
      <c r="C462" s="44"/>
      <c r="D462" s="51"/>
      <c r="E462" s="44"/>
      <c r="F462" s="44"/>
      <c r="G462" s="34">
        <f t="shared" si="28"/>
        <v>0</v>
      </c>
      <c r="H462" s="34" t="str">
        <f t="shared" si="29"/>
        <v/>
      </c>
      <c r="I462" s="52" t="str">
        <f t="shared" si="30"/>
        <v/>
      </c>
      <c r="J462" s="34">
        <f>IF(AND(A462&lt;&gt;"",ISTEXT(A462),COUNTIFS(Processos!$AS$10:$AS$509,"="&amp;SUBSTITUTE(SUBSTITUTE(SUBSTITUTE("P:"&amp;A462,"~","~~"),"*","~*"),"?","~?"))=1),(IF(ISNA(MATCH(SUBSTITUTE(SUBSTITUTE(SUBSTITUTE("P:"&amp;A462,"~","~~"),"*","~*"),"?","~?"),Processos!$AS$10:$AS$509,0)),9,INDEX(Processos!$AM$10:$AM$509,MATCH(SUBSTITUTE(SUBSTITUTE(SUBSTITUTE("P:"&amp;A462,"~","~~"),"*","~*"),"?","~?"),Processos!$AS$10:$AS$509,0)))-9),0)</f>
        <v>0</v>
      </c>
      <c r="K462" s="34" t="str">
        <f t="shared" si="31"/>
        <v/>
      </c>
      <c r="L462" s="14">
        <f>ROW()</f>
        <v>462</v>
      </c>
    </row>
    <row r="463" spans="1:12" ht="60" customHeight="1">
      <c r="A463" s="41"/>
      <c r="B463" s="43"/>
      <c r="C463" s="44"/>
      <c r="D463" s="51"/>
      <c r="E463" s="44"/>
      <c r="F463" s="44"/>
      <c r="G463" s="34">
        <f t="shared" si="28"/>
        <v>0</v>
      </c>
      <c r="H463" s="34" t="str">
        <f t="shared" si="29"/>
        <v/>
      </c>
      <c r="I463" s="52" t="str">
        <f t="shared" si="30"/>
        <v/>
      </c>
      <c r="J463" s="34">
        <f>IF(AND(A463&lt;&gt;"",ISTEXT(A463),COUNTIFS(Processos!$AS$10:$AS$509,"="&amp;SUBSTITUTE(SUBSTITUTE(SUBSTITUTE("P:"&amp;A463,"~","~~"),"*","~*"),"?","~?"))=1),(IF(ISNA(MATCH(SUBSTITUTE(SUBSTITUTE(SUBSTITUTE("P:"&amp;A463,"~","~~"),"*","~*"),"?","~?"),Processos!$AS$10:$AS$509,0)),9,INDEX(Processos!$AM$10:$AM$509,MATCH(SUBSTITUTE(SUBSTITUTE(SUBSTITUTE("P:"&amp;A463,"~","~~"),"*","~*"),"?","~?"),Processos!$AS$10:$AS$509,0)))-9),0)</f>
        <v>0</v>
      </c>
      <c r="K463" s="34" t="str">
        <f t="shared" si="31"/>
        <v/>
      </c>
      <c r="L463" s="14">
        <f>ROW()</f>
        <v>463</v>
      </c>
    </row>
    <row r="464" spans="1:12" ht="60" customHeight="1">
      <c r="A464" s="41"/>
      <c r="B464" s="43"/>
      <c r="C464" s="44"/>
      <c r="D464" s="51"/>
      <c r="E464" s="44"/>
      <c r="F464" s="44"/>
      <c r="G464" s="34">
        <f t="shared" si="28"/>
        <v>0</v>
      </c>
      <c r="H464" s="34" t="str">
        <f t="shared" si="29"/>
        <v/>
      </c>
      <c r="I464" s="52" t="str">
        <f t="shared" si="30"/>
        <v/>
      </c>
      <c r="J464" s="34">
        <f>IF(AND(A464&lt;&gt;"",ISTEXT(A464),COUNTIFS(Processos!$AS$10:$AS$509,"="&amp;SUBSTITUTE(SUBSTITUTE(SUBSTITUTE("P:"&amp;A464,"~","~~"),"*","~*"),"?","~?"))=1),(IF(ISNA(MATCH(SUBSTITUTE(SUBSTITUTE(SUBSTITUTE("P:"&amp;A464,"~","~~"),"*","~*"),"?","~?"),Processos!$AS$10:$AS$509,0)),9,INDEX(Processos!$AM$10:$AM$509,MATCH(SUBSTITUTE(SUBSTITUTE(SUBSTITUTE("P:"&amp;A464,"~","~~"),"*","~*"),"?","~?"),Processos!$AS$10:$AS$509,0)))-9),0)</f>
        <v>0</v>
      </c>
      <c r="K464" s="34" t="str">
        <f t="shared" si="31"/>
        <v/>
      </c>
      <c r="L464" s="14">
        <f>ROW()</f>
        <v>464</v>
      </c>
    </row>
    <row r="465" spans="1:12" ht="60" customHeight="1">
      <c r="A465" s="41"/>
      <c r="B465" s="43"/>
      <c r="C465" s="44"/>
      <c r="D465" s="51"/>
      <c r="E465" s="44"/>
      <c r="F465" s="44"/>
      <c r="G465" s="34">
        <f t="shared" si="28"/>
        <v>0</v>
      </c>
      <c r="H465" s="34" t="str">
        <f t="shared" si="29"/>
        <v/>
      </c>
      <c r="I465" s="52" t="str">
        <f t="shared" si="30"/>
        <v/>
      </c>
      <c r="J465" s="34">
        <f>IF(AND(A465&lt;&gt;"",ISTEXT(A465),COUNTIFS(Processos!$AS$10:$AS$509,"="&amp;SUBSTITUTE(SUBSTITUTE(SUBSTITUTE("P:"&amp;A465,"~","~~"),"*","~*"),"?","~?"))=1),(IF(ISNA(MATCH(SUBSTITUTE(SUBSTITUTE(SUBSTITUTE("P:"&amp;A465,"~","~~"),"*","~*"),"?","~?"),Processos!$AS$10:$AS$509,0)),9,INDEX(Processos!$AM$10:$AM$509,MATCH(SUBSTITUTE(SUBSTITUTE(SUBSTITUTE("P:"&amp;A465,"~","~~"),"*","~*"),"?","~?"),Processos!$AS$10:$AS$509,0)))-9),0)</f>
        <v>0</v>
      </c>
      <c r="K465" s="34" t="str">
        <f t="shared" si="31"/>
        <v/>
      </c>
      <c r="L465" s="14">
        <f>ROW()</f>
        <v>465</v>
      </c>
    </row>
    <row r="466" spans="1:12" ht="60" customHeight="1">
      <c r="A466" s="41"/>
      <c r="B466" s="43"/>
      <c r="C466" s="44"/>
      <c r="D466" s="51"/>
      <c r="E466" s="44"/>
      <c r="F466" s="44"/>
      <c r="G466" s="34">
        <f t="shared" si="28"/>
        <v>0</v>
      </c>
      <c r="H466" s="34" t="str">
        <f t="shared" si="29"/>
        <v/>
      </c>
      <c r="I466" s="52" t="str">
        <f t="shared" si="30"/>
        <v/>
      </c>
      <c r="J466" s="34">
        <f>IF(AND(A466&lt;&gt;"",ISTEXT(A466),COUNTIFS(Processos!$AS$10:$AS$509,"="&amp;SUBSTITUTE(SUBSTITUTE(SUBSTITUTE("P:"&amp;A466,"~","~~"),"*","~*"),"?","~?"))=1),(IF(ISNA(MATCH(SUBSTITUTE(SUBSTITUTE(SUBSTITUTE("P:"&amp;A466,"~","~~"),"*","~*"),"?","~?"),Processos!$AS$10:$AS$509,0)),9,INDEX(Processos!$AM$10:$AM$509,MATCH(SUBSTITUTE(SUBSTITUTE(SUBSTITUTE("P:"&amp;A466,"~","~~"),"*","~*"),"?","~?"),Processos!$AS$10:$AS$509,0)))-9),0)</f>
        <v>0</v>
      </c>
      <c r="K466" s="34" t="str">
        <f t="shared" si="31"/>
        <v/>
      </c>
      <c r="L466" s="14">
        <f>ROW()</f>
        <v>466</v>
      </c>
    </row>
    <row r="467" spans="1:12" ht="60" customHeight="1">
      <c r="A467" s="41"/>
      <c r="B467" s="43"/>
      <c r="C467" s="44"/>
      <c r="D467" s="51"/>
      <c r="E467" s="44"/>
      <c r="F467" s="44"/>
      <c r="G467" s="34">
        <f t="shared" si="28"/>
        <v>0</v>
      </c>
      <c r="H467" s="34" t="str">
        <f t="shared" si="29"/>
        <v/>
      </c>
      <c r="I467" s="52" t="str">
        <f t="shared" si="30"/>
        <v/>
      </c>
      <c r="J467" s="34">
        <f>IF(AND(A467&lt;&gt;"",ISTEXT(A467),COUNTIFS(Processos!$AS$10:$AS$509,"="&amp;SUBSTITUTE(SUBSTITUTE(SUBSTITUTE("P:"&amp;A467,"~","~~"),"*","~*"),"?","~?"))=1),(IF(ISNA(MATCH(SUBSTITUTE(SUBSTITUTE(SUBSTITUTE("P:"&amp;A467,"~","~~"),"*","~*"),"?","~?"),Processos!$AS$10:$AS$509,0)),9,INDEX(Processos!$AM$10:$AM$509,MATCH(SUBSTITUTE(SUBSTITUTE(SUBSTITUTE("P:"&amp;A467,"~","~~"),"*","~*"),"?","~?"),Processos!$AS$10:$AS$509,0)))-9),0)</f>
        <v>0</v>
      </c>
      <c r="K467" s="34" t="str">
        <f t="shared" si="31"/>
        <v/>
      </c>
      <c r="L467" s="14">
        <f>ROW()</f>
        <v>467</v>
      </c>
    </row>
    <row r="468" spans="1:12" ht="60" customHeight="1">
      <c r="A468" s="41"/>
      <c r="B468" s="43"/>
      <c r="C468" s="44"/>
      <c r="D468" s="51"/>
      <c r="E468" s="44"/>
      <c r="F468" s="44"/>
      <c r="G468" s="34">
        <f t="shared" si="28"/>
        <v>0</v>
      </c>
      <c r="H468" s="34" t="str">
        <f t="shared" si="29"/>
        <v/>
      </c>
      <c r="I468" s="52" t="str">
        <f t="shared" si="30"/>
        <v/>
      </c>
      <c r="J468" s="34">
        <f>IF(AND(A468&lt;&gt;"",ISTEXT(A468),COUNTIFS(Processos!$AS$10:$AS$509,"="&amp;SUBSTITUTE(SUBSTITUTE(SUBSTITUTE("P:"&amp;A468,"~","~~"),"*","~*"),"?","~?"))=1),(IF(ISNA(MATCH(SUBSTITUTE(SUBSTITUTE(SUBSTITUTE("P:"&amp;A468,"~","~~"),"*","~*"),"?","~?"),Processos!$AS$10:$AS$509,0)),9,INDEX(Processos!$AM$10:$AM$509,MATCH(SUBSTITUTE(SUBSTITUTE(SUBSTITUTE("P:"&amp;A468,"~","~~"),"*","~*"),"?","~?"),Processos!$AS$10:$AS$509,0)))-9),0)</f>
        <v>0</v>
      </c>
      <c r="K468" s="34" t="str">
        <f t="shared" si="31"/>
        <v/>
      </c>
      <c r="L468" s="14">
        <f>ROW()</f>
        <v>468</v>
      </c>
    </row>
    <row r="469" spans="1:12" ht="60" customHeight="1">
      <c r="A469" s="41"/>
      <c r="B469" s="43"/>
      <c r="C469" s="44"/>
      <c r="D469" s="51"/>
      <c r="E469" s="44"/>
      <c r="F469" s="44"/>
      <c r="G469" s="34">
        <f t="shared" si="28"/>
        <v>0</v>
      </c>
      <c r="H469" s="34" t="str">
        <f t="shared" si="29"/>
        <v/>
      </c>
      <c r="I469" s="52" t="str">
        <f t="shared" si="30"/>
        <v/>
      </c>
      <c r="J469" s="34">
        <f>IF(AND(A469&lt;&gt;"",ISTEXT(A469),COUNTIFS(Processos!$AS$10:$AS$509,"="&amp;SUBSTITUTE(SUBSTITUTE(SUBSTITUTE("P:"&amp;A469,"~","~~"),"*","~*"),"?","~?"))=1),(IF(ISNA(MATCH(SUBSTITUTE(SUBSTITUTE(SUBSTITUTE("P:"&amp;A469,"~","~~"),"*","~*"),"?","~?"),Processos!$AS$10:$AS$509,0)),9,INDEX(Processos!$AM$10:$AM$509,MATCH(SUBSTITUTE(SUBSTITUTE(SUBSTITUTE("P:"&amp;A469,"~","~~"),"*","~*"),"?","~?"),Processos!$AS$10:$AS$509,0)))-9),0)</f>
        <v>0</v>
      </c>
      <c r="K469" s="34" t="str">
        <f t="shared" si="31"/>
        <v/>
      </c>
      <c r="L469" s="14">
        <f>ROW()</f>
        <v>469</v>
      </c>
    </row>
    <row r="470" spans="1:12" ht="60" customHeight="1">
      <c r="A470" s="41"/>
      <c r="B470" s="43"/>
      <c r="C470" s="44"/>
      <c r="D470" s="51"/>
      <c r="E470" s="44"/>
      <c r="F470" s="44"/>
      <c r="G470" s="34">
        <f t="shared" si="28"/>
        <v>0</v>
      </c>
      <c r="H470" s="34" t="str">
        <f t="shared" si="29"/>
        <v/>
      </c>
      <c r="I470" s="52" t="str">
        <f t="shared" si="30"/>
        <v/>
      </c>
      <c r="J470" s="34">
        <f>IF(AND(A470&lt;&gt;"",ISTEXT(A470),COUNTIFS(Processos!$AS$10:$AS$509,"="&amp;SUBSTITUTE(SUBSTITUTE(SUBSTITUTE("P:"&amp;A470,"~","~~"),"*","~*"),"?","~?"))=1),(IF(ISNA(MATCH(SUBSTITUTE(SUBSTITUTE(SUBSTITUTE("P:"&amp;A470,"~","~~"),"*","~*"),"?","~?"),Processos!$AS$10:$AS$509,0)),9,INDEX(Processos!$AM$10:$AM$509,MATCH(SUBSTITUTE(SUBSTITUTE(SUBSTITUTE("P:"&amp;A470,"~","~~"),"*","~*"),"?","~?"),Processos!$AS$10:$AS$509,0)))-9),0)</f>
        <v>0</v>
      </c>
      <c r="K470" s="34" t="str">
        <f t="shared" si="31"/>
        <v/>
      </c>
      <c r="L470" s="14">
        <f>ROW()</f>
        <v>470</v>
      </c>
    </row>
    <row r="471" spans="1:12" ht="60" customHeight="1">
      <c r="A471" s="41"/>
      <c r="B471" s="43"/>
      <c r="C471" s="44"/>
      <c r="D471" s="51"/>
      <c r="E471" s="44"/>
      <c r="F471" s="44"/>
      <c r="G471" s="34">
        <f t="shared" si="28"/>
        <v>0</v>
      </c>
      <c r="H471" s="34" t="str">
        <f t="shared" si="29"/>
        <v/>
      </c>
      <c r="I471" s="52" t="str">
        <f t="shared" si="30"/>
        <v/>
      </c>
      <c r="J471" s="34">
        <f>IF(AND(A471&lt;&gt;"",ISTEXT(A471),COUNTIFS(Processos!$AS$10:$AS$509,"="&amp;SUBSTITUTE(SUBSTITUTE(SUBSTITUTE("P:"&amp;A471,"~","~~"),"*","~*"),"?","~?"))=1),(IF(ISNA(MATCH(SUBSTITUTE(SUBSTITUTE(SUBSTITUTE("P:"&amp;A471,"~","~~"),"*","~*"),"?","~?"),Processos!$AS$10:$AS$509,0)),9,INDEX(Processos!$AM$10:$AM$509,MATCH(SUBSTITUTE(SUBSTITUTE(SUBSTITUTE("P:"&amp;A471,"~","~~"),"*","~*"),"?","~?"),Processos!$AS$10:$AS$509,0)))-9),0)</f>
        <v>0</v>
      </c>
      <c r="K471" s="34" t="str">
        <f t="shared" si="31"/>
        <v/>
      </c>
      <c r="L471" s="14">
        <f>ROW()</f>
        <v>471</v>
      </c>
    </row>
    <row r="472" spans="1:12" ht="60" customHeight="1">
      <c r="A472" s="41"/>
      <c r="B472" s="43"/>
      <c r="C472" s="44"/>
      <c r="D472" s="51"/>
      <c r="E472" s="44"/>
      <c r="F472" s="44"/>
      <c r="G472" s="34">
        <f t="shared" si="28"/>
        <v>0</v>
      </c>
      <c r="H472" s="34" t="str">
        <f t="shared" si="29"/>
        <v/>
      </c>
      <c r="I472" s="52" t="str">
        <f t="shared" si="30"/>
        <v/>
      </c>
      <c r="J472" s="34">
        <f>IF(AND(A472&lt;&gt;"",ISTEXT(A472),COUNTIFS(Processos!$AS$10:$AS$509,"="&amp;SUBSTITUTE(SUBSTITUTE(SUBSTITUTE("P:"&amp;A472,"~","~~"),"*","~*"),"?","~?"))=1),(IF(ISNA(MATCH(SUBSTITUTE(SUBSTITUTE(SUBSTITUTE("P:"&amp;A472,"~","~~"),"*","~*"),"?","~?"),Processos!$AS$10:$AS$509,0)),9,INDEX(Processos!$AM$10:$AM$509,MATCH(SUBSTITUTE(SUBSTITUTE(SUBSTITUTE("P:"&amp;A472,"~","~~"),"*","~*"),"?","~?"),Processos!$AS$10:$AS$509,0)))-9),0)</f>
        <v>0</v>
      </c>
      <c r="K472" s="34" t="str">
        <f t="shared" si="31"/>
        <v/>
      </c>
      <c r="L472" s="14">
        <f>ROW()</f>
        <v>472</v>
      </c>
    </row>
    <row r="473" spans="1:12" ht="60" customHeight="1">
      <c r="A473" s="41"/>
      <c r="B473" s="43"/>
      <c r="C473" s="44"/>
      <c r="D473" s="51"/>
      <c r="E473" s="44"/>
      <c r="F473" s="44"/>
      <c r="G473" s="34">
        <f t="shared" si="28"/>
        <v>0</v>
      </c>
      <c r="H473" s="34" t="str">
        <f t="shared" si="29"/>
        <v/>
      </c>
      <c r="I473" s="52" t="str">
        <f t="shared" si="30"/>
        <v/>
      </c>
      <c r="J473" s="34">
        <f>IF(AND(A473&lt;&gt;"",ISTEXT(A473),COUNTIFS(Processos!$AS$10:$AS$509,"="&amp;SUBSTITUTE(SUBSTITUTE(SUBSTITUTE("P:"&amp;A473,"~","~~"),"*","~*"),"?","~?"))=1),(IF(ISNA(MATCH(SUBSTITUTE(SUBSTITUTE(SUBSTITUTE("P:"&amp;A473,"~","~~"),"*","~*"),"?","~?"),Processos!$AS$10:$AS$509,0)),9,INDEX(Processos!$AM$10:$AM$509,MATCH(SUBSTITUTE(SUBSTITUTE(SUBSTITUTE("P:"&amp;A473,"~","~~"),"*","~*"),"?","~?"),Processos!$AS$10:$AS$509,0)))-9),0)</f>
        <v>0</v>
      </c>
      <c r="K473" s="34" t="str">
        <f t="shared" si="31"/>
        <v/>
      </c>
      <c r="L473" s="14">
        <f>ROW()</f>
        <v>473</v>
      </c>
    </row>
    <row r="474" spans="1:12" ht="60" customHeight="1">
      <c r="A474" s="41"/>
      <c r="B474" s="43"/>
      <c r="C474" s="44"/>
      <c r="D474" s="51"/>
      <c r="E474" s="44"/>
      <c r="F474" s="44"/>
      <c r="G474" s="34">
        <f t="shared" si="28"/>
        <v>0</v>
      </c>
      <c r="H474" s="34" t="str">
        <f t="shared" si="29"/>
        <v/>
      </c>
      <c r="I474" s="52" t="str">
        <f t="shared" si="30"/>
        <v/>
      </c>
      <c r="J474" s="34">
        <f>IF(AND(A474&lt;&gt;"",ISTEXT(A474),COUNTIFS(Processos!$AS$10:$AS$509,"="&amp;SUBSTITUTE(SUBSTITUTE(SUBSTITUTE("P:"&amp;A474,"~","~~"),"*","~*"),"?","~?"))=1),(IF(ISNA(MATCH(SUBSTITUTE(SUBSTITUTE(SUBSTITUTE("P:"&amp;A474,"~","~~"),"*","~*"),"?","~?"),Processos!$AS$10:$AS$509,0)),9,INDEX(Processos!$AM$10:$AM$509,MATCH(SUBSTITUTE(SUBSTITUTE(SUBSTITUTE("P:"&amp;A474,"~","~~"),"*","~*"),"?","~?"),Processos!$AS$10:$AS$509,0)))-9),0)</f>
        <v>0</v>
      </c>
      <c r="K474" s="34" t="str">
        <f t="shared" si="31"/>
        <v/>
      </c>
      <c r="L474" s="14">
        <f>ROW()</f>
        <v>474</v>
      </c>
    </row>
    <row r="475" spans="1:12" ht="60" customHeight="1">
      <c r="A475" s="41"/>
      <c r="B475" s="43"/>
      <c r="C475" s="44"/>
      <c r="D475" s="51"/>
      <c r="E475" s="44"/>
      <c r="F475" s="44"/>
      <c r="G475" s="34">
        <f t="shared" si="28"/>
        <v>0</v>
      </c>
      <c r="H475" s="34" t="str">
        <f t="shared" si="29"/>
        <v/>
      </c>
      <c r="I475" s="52" t="str">
        <f t="shared" si="30"/>
        <v/>
      </c>
      <c r="J475" s="34">
        <f>IF(AND(A475&lt;&gt;"",ISTEXT(A475),COUNTIFS(Processos!$AS$10:$AS$509,"="&amp;SUBSTITUTE(SUBSTITUTE(SUBSTITUTE("P:"&amp;A475,"~","~~"),"*","~*"),"?","~?"))=1),(IF(ISNA(MATCH(SUBSTITUTE(SUBSTITUTE(SUBSTITUTE("P:"&amp;A475,"~","~~"),"*","~*"),"?","~?"),Processos!$AS$10:$AS$509,0)),9,INDEX(Processos!$AM$10:$AM$509,MATCH(SUBSTITUTE(SUBSTITUTE(SUBSTITUTE("P:"&amp;A475,"~","~~"),"*","~*"),"?","~?"),Processos!$AS$10:$AS$509,0)))-9),0)</f>
        <v>0</v>
      </c>
      <c r="K475" s="34" t="str">
        <f t="shared" si="31"/>
        <v/>
      </c>
      <c r="L475" s="14">
        <f>ROW()</f>
        <v>475</v>
      </c>
    </row>
    <row r="476" spans="1:12" ht="60" customHeight="1">
      <c r="A476" s="41"/>
      <c r="B476" s="43"/>
      <c r="C476" s="44"/>
      <c r="D476" s="51"/>
      <c r="E476" s="44"/>
      <c r="F476" s="44"/>
      <c r="G476" s="34">
        <f t="shared" si="28"/>
        <v>0</v>
      </c>
      <c r="H476" s="34" t="str">
        <f t="shared" si="29"/>
        <v/>
      </c>
      <c r="I476" s="52" t="str">
        <f t="shared" si="30"/>
        <v/>
      </c>
      <c r="J476" s="34">
        <f>IF(AND(A476&lt;&gt;"",ISTEXT(A476),COUNTIFS(Processos!$AS$10:$AS$509,"="&amp;SUBSTITUTE(SUBSTITUTE(SUBSTITUTE("P:"&amp;A476,"~","~~"),"*","~*"),"?","~?"))=1),(IF(ISNA(MATCH(SUBSTITUTE(SUBSTITUTE(SUBSTITUTE("P:"&amp;A476,"~","~~"),"*","~*"),"?","~?"),Processos!$AS$10:$AS$509,0)),9,INDEX(Processos!$AM$10:$AM$509,MATCH(SUBSTITUTE(SUBSTITUTE(SUBSTITUTE("P:"&amp;A476,"~","~~"),"*","~*"),"?","~?"),Processos!$AS$10:$AS$509,0)))-9),0)</f>
        <v>0</v>
      </c>
      <c r="K476" s="34" t="str">
        <f t="shared" si="31"/>
        <v/>
      </c>
      <c r="L476" s="14">
        <f>ROW()</f>
        <v>476</v>
      </c>
    </row>
    <row r="477" spans="1:12" ht="60" customHeight="1">
      <c r="A477" s="41"/>
      <c r="B477" s="43"/>
      <c r="C477" s="44"/>
      <c r="D477" s="51"/>
      <c r="E477" s="44"/>
      <c r="F477" s="44"/>
      <c r="G477" s="34">
        <f t="shared" si="28"/>
        <v>0</v>
      </c>
      <c r="H477" s="34" t="str">
        <f t="shared" si="29"/>
        <v/>
      </c>
      <c r="I477" s="52" t="str">
        <f t="shared" si="30"/>
        <v/>
      </c>
      <c r="J477" s="34">
        <f>IF(AND(A477&lt;&gt;"",ISTEXT(A477),COUNTIFS(Processos!$AS$10:$AS$509,"="&amp;SUBSTITUTE(SUBSTITUTE(SUBSTITUTE("P:"&amp;A477,"~","~~"),"*","~*"),"?","~?"))=1),(IF(ISNA(MATCH(SUBSTITUTE(SUBSTITUTE(SUBSTITUTE("P:"&amp;A477,"~","~~"),"*","~*"),"?","~?"),Processos!$AS$10:$AS$509,0)),9,INDEX(Processos!$AM$10:$AM$509,MATCH(SUBSTITUTE(SUBSTITUTE(SUBSTITUTE("P:"&amp;A477,"~","~~"),"*","~*"),"?","~?"),Processos!$AS$10:$AS$509,0)))-9),0)</f>
        <v>0</v>
      </c>
      <c r="K477" s="34" t="str">
        <f t="shared" si="31"/>
        <v/>
      </c>
      <c r="L477" s="14">
        <f>ROW()</f>
        <v>477</v>
      </c>
    </row>
    <row r="478" spans="1:12" ht="60" customHeight="1">
      <c r="A478" s="41"/>
      <c r="B478" s="43"/>
      <c r="C478" s="44"/>
      <c r="D478" s="51"/>
      <c r="E478" s="44"/>
      <c r="F478" s="44"/>
      <c r="G478" s="34">
        <f t="shared" si="28"/>
        <v>0</v>
      </c>
      <c r="H478" s="34" t="str">
        <f t="shared" si="29"/>
        <v/>
      </c>
      <c r="I478" s="52" t="str">
        <f t="shared" si="30"/>
        <v/>
      </c>
      <c r="J478" s="34">
        <f>IF(AND(A478&lt;&gt;"",ISTEXT(A478),COUNTIFS(Processos!$AS$10:$AS$509,"="&amp;SUBSTITUTE(SUBSTITUTE(SUBSTITUTE("P:"&amp;A478,"~","~~"),"*","~*"),"?","~?"))=1),(IF(ISNA(MATCH(SUBSTITUTE(SUBSTITUTE(SUBSTITUTE("P:"&amp;A478,"~","~~"),"*","~*"),"?","~?"),Processos!$AS$10:$AS$509,0)),9,INDEX(Processos!$AM$10:$AM$509,MATCH(SUBSTITUTE(SUBSTITUTE(SUBSTITUTE("P:"&amp;A478,"~","~~"),"*","~*"),"?","~?"),Processos!$AS$10:$AS$509,0)))-9),0)</f>
        <v>0</v>
      </c>
      <c r="K478" s="34" t="str">
        <f t="shared" si="31"/>
        <v/>
      </c>
      <c r="L478" s="14">
        <f>ROW()</f>
        <v>478</v>
      </c>
    </row>
    <row r="479" spans="1:12" ht="60" customHeight="1">
      <c r="A479" s="41"/>
      <c r="B479" s="43"/>
      <c r="C479" s="44"/>
      <c r="D479" s="51"/>
      <c r="E479" s="44"/>
      <c r="F479" s="44"/>
      <c r="G479" s="34">
        <f t="shared" si="28"/>
        <v>0</v>
      </c>
      <c r="H479" s="34" t="str">
        <f t="shared" si="29"/>
        <v/>
      </c>
      <c r="I479" s="52" t="str">
        <f t="shared" si="30"/>
        <v/>
      </c>
      <c r="J479" s="34">
        <f>IF(AND(A479&lt;&gt;"",ISTEXT(A479),COUNTIFS(Processos!$AS$10:$AS$509,"="&amp;SUBSTITUTE(SUBSTITUTE(SUBSTITUTE("P:"&amp;A479,"~","~~"),"*","~*"),"?","~?"))=1),(IF(ISNA(MATCH(SUBSTITUTE(SUBSTITUTE(SUBSTITUTE("P:"&amp;A479,"~","~~"),"*","~*"),"?","~?"),Processos!$AS$10:$AS$509,0)),9,INDEX(Processos!$AM$10:$AM$509,MATCH(SUBSTITUTE(SUBSTITUTE(SUBSTITUTE("P:"&amp;A479,"~","~~"),"*","~*"),"?","~?"),Processos!$AS$10:$AS$509,0)))-9),0)</f>
        <v>0</v>
      </c>
      <c r="K479" s="34" t="str">
        <f t="shared" si="31"/>
        <v/>
      </c>
      <c r="L479" s="14">
        <f>ROW()</f>
        <v>479</v>
      </c>
    </row>
    <row r="480" spans="1:12" ht="60" customHeight="1">
      <c r="A480" s="41"/>
      <c r="B480" s="43"/>
      <c r="C480" s="44"/>
      <c r="D480" s="51"/>
      <c r="E480" s="44"/>
      <c r="F480" s="44"/>
      <c r="G480" s="34">
        <f t="shared" si="28"/>
        <v>0</v>
      </c>
      <c r="H480" s="34" t="str">
        <f t="shared" si="29"/>
        <v/>
      </c>
      <c r="I480" s="52" t="str">
        <f t="shared" si="30"/>
        <v/>
      </c>
      <c r="J480" s="34">
        <f>IF(AND(A480&lt;&gt;"",ISTEXT(A480),COUNTIFS(Processos!$AS$10:$AS$509,"="&amp;SUBSTITUTE(SUBSTITUTE(SUBSTITUTE("P:"&amp;A480,"~","~~"),"*","~*"),"?","~?"))=1),(IF(ISNA(MATCH(SUBSTITUTE(SUBSTITUTE(SUBSTITUTE("P:"&amp;A480,"~","~~"),"*","~*"),"?","~?"),Processos!$AS$10:$AS$509,0)),9,INDEX(Processos!$AM$10:$AM$509,MATCH(SUBSTITUTE(SUBSTITUTE(SUBSTITUTE("P:"&amp;A480,"~","~~"),"*","~*"),"?","~?"),Processos!$AS$10:$AS$509,0)))-9),0)</f>
        <v>0</v>
      </c>
      <c r="K480" s="34" t="str">
        <f t="shared" si="31"/>
        <v/>
      </c>
      <c r="L480" s="14">
        <f>ROW()</f>
        <v>480</v>
      </c>
    </row>
    <row r="481" spans="1:12" ht="60" customHeight="1">
      <c r="A481" s="41"/>
      <c r="B481" s="43"/>
      <c r="C481" s="44"/>
      <c r="D481" s="51"/>
      <c r="E481" s="44"/>
      <c r="F481" s="44"/>
      <c r="G481" s="34">
        <f t="shared" si="28"/>
        <v>0</v>
      </c>
      <c r="H481" s="34" t="str">
        <f t="shared" si="29"/>
        <v/>
      </c>
      <c r="I481" s="52" t="str">
        <f t="shared" si="30"/>
        <v/>
      </c>
      <c r="J481" s="34">
        <f>IF(AND(A481&lt;&gt;"",ISTEXT(A481),COUNTIFS(Processos!$AS$10:$AS$509,"="&amp;SUBSTITUTE(SUBSTITUTE(SUBSTITUTE("P:"&amp;A481,"~","~~"),"*","~*"),"?","~?"))=1),(IF(ISNA(MATCH(SUBSTITUTE(SUBSTITUTE(SUBSTITUTE("P:"&amp;A481,"~","~~"),"*","~*"),"?","~?"),Processos!$AS$10:$AS$509,0)),9,INDEX(Processos!$AM$10:$AM$509,MATCH(SUBSTITUTE(SUBSTITUTE(SUBSTITUTE("P:"&amp;A481,"~","~~"),"*","~*"),"?","~?"),Processos!$AS$10:$AS$509,0)))-9),0)</f>
        <v>0</v>
      </c>
      <c r="K481" s="34" t="str">
        <f t="shared" si="31"/>
        <v/>
      </c>
      <c r="L481" s="14">
        <f>ROW()</f>
        <v>481</v>
      </c>
    </row>
    <row r="482" spans="1:12" ht="60" customHeight="1">
      <c r="A482" s="41"/>
      <c r="B482" s="43"/>
      <c r="C482" s="44"/>
      <c r="D482" s="51"/>
      <c r="E482" s="44"/>
      <c r="F482" s="44"/>
      <c r="G482" s="34">
        <f t="shared" si="28"/>
        <v>0</v>
      </c>
      <c r="H482" s="34" t="str">
        <f t="shared" si="29"/>
        <v/>
      </c>
      <c r="I482" s="52" t="str">
        <f t="shared" si="30"/>
        <v/>
      </c>
      <c r="J482" s="34">
        <f>IF(AND(A482&lt;&gt;"",ISTEXT(A482),COUNTIFS(Processos!$AS$10:$AS$509,"="&amp;SUBSTITUTE(SUBSTITUTE(SUBSTITUTE("P:"&amp;A482,"~","~~"),"*","~*"),"?","~?"))=1),(IF(ISNA(MATCH(SUBSTITUTE(SUBSTITUTE(SUBSTITUTE("P:"&amp;A482,"~","~~"),"*","~*"),"?","~?"),Processos!$AS$10:$AS$509,0)),9,INDEX(Processos!$AM$10:$AM$509,MATCH(SUBSTITUTE(SUBSTITUTE(SUBSTITUTE("P:"&amp;A482,"~","~~"),"*","~*"),"?","~?"),Processos!$AS$10:$AS$509,0)))-9),0)</f>
        <v>0</v>
      </c>
      <c r="K482" s="34" t="str">
        <f t="shared" si="31"/>
        <v/>
      </c>
      <c r="L482" s="14">
        <f>ROW()</f>
        <v>482</v>
      </c>
    </row>
    <row r="483" spans="1:12" ht="60" customHeight="1">
      <c r="A483" s="41"/>
      <c r="B483" s="43"/>
      <c r="C483" s="44"/>
      <c r="D483" s="51"/>
      <c r="E483" s="44"/>
      <c r="F483" s="44"/>
      <c r="G483" s="34">
        <f t="shared" si="28"/>
        <v>0</v>
      </c>
      <c r="H483" s="34" t="str">
        <f t="shared" si="29"/>
        <v/>
      </c>
      <c r="I483" s="52" t="str">
        <f t="shared" si="30"/>
        <v/>
      </c>
      <c r="J483" s="34">
        <f>IF(AND(A483&lt;&gt;"",ISTEXT(A483),COUNTIFS(Processos!$AS$10:$AS$509,"="&amp;SUBSTITUTE(SUBSTITUTE(SUBSTITUTE("P:"&amp;A483,"~","~~"),"*","~*"),"?","~?"))=1),(IF(ISNA(MATCH(SUBSTITUTE(SUBSTITUTE(SUBSTITUTE("P:"&amp;A483,"~","~~"),"*","~*"),"?","~?"),Processos!$AS$10:$AS$509,0)),9,INDEX(Processos!$AM$10:$AM$509,MATCH(SUBSTITUTE(SUBSTITUTE(SUBSTITUTE("P:"&amp;A483,"~","~~"),"*","~*"),"?","~?"),Processos!$AS$10:$AS$509,0)))-9),0)</f>
        <v>0</v>
      </c>
      <c r="K483" s="34" t="str">
        <f t="shared" si="31"/>
        <v/>
      </c>
      <c r="L483" s="14">
        <f>ROW()</f>
        <v>483</v>
      </c>
    </row>
    <row r="484" spans="1:12" ht="60" customHeight="1">
      <c r="A484" s="41"/>
      <c r="B484" s="43"/>
      <c r="C484" s="44"/>
      <c r="D484" s="51"/>
      <c r="E484" s="44"/>
      <c r="F484" s="44"/>
      <c r="G484" s="34">
        <f t="shared" si="28"/>
        <v>0</v>
      </c>
      <c r="H484" s="34" t="str">
        <f t="shared" si="29"/>
        <v/>
      </c>
      <c r="I484" s="52" t="str">
        <f t="shared" si="30"/>
        <v/>
      </c>
      <c r="J484" s="34">
        <f>IF(AND(A484&lt;&gt;"",ISTEXT(A484),COUNTIFS(Processos!$AS$10:$AS$509,"="&amp;SUBSTITUTE(SUBSTITUTE(SUBSTITUTE("P:"&amp;A484,"~","~~"),"*","~*"),"?","~?"))=1),(IF(ISNA(MATCH(SUBSTITUTE(SUBSTITUTE(SUBSTITUTE("P:"&amp;A484,"~","~~"),"*","~*"),"?","~?"),Processos!$AS$10:$AS$509,0)),9,INDEX(Processos!$AM$10:$AM$509,MATCH(SUBSTITUTE(SUBSTITUTE(SUBSTITUTE("P:"&amp;A484,"~","~~"),"*","~*"),"?","~?"),Processos!$AS$10:$AS$509,0)))-9),0)</f>
        <v>0</v>
      </c>
      <c r="K484" s="34" t="str">
        <f t="shared" si="31"/>
        <v/>
      </c>
      <c r="L484" s="14">
        <f>ROW()</f>
        <v>484</v>
      </c>
    </row>
    <row r="485" spans="1:12" ht="60" customHeight="1">
      <c r="A485" s="41"/>
      <c r="B485" s="43"/>
      <c r="C485" s="44"/>
      <c r="D485" s="51"/>
      <c r="E485" s="44"/>
      <c r="F485" s="44"/>
      <c r="G485" s="34">
        <f t="shared" si="28"/>
        <v>0</v>
      </c>
      <c r="H485" s="34" t="str">
        <f t="shared" si="29"/>
        <v/>
      </c>
      <c r="I485" s="52" t="str">
        <f t="shared" si="30"/>
        <v/>
      </c>
      <c r="J485" s="34">
        <f>IF(AND(A485&lt;&gt;"",ISTEXT(A485),COUNTIFS(Processos!$AS$10:$AS$509,"="&amp;SUBSTITUTE(SUBSTITUTE(SUBSTITUTE("P:"&amp;A485,"~","~~"),"*","~*"),"?","~?"))=1),(IF(ISNA(MATCH(SUBSTITUTE(SUBSTITUTE(SUBSTITUTE("P:"&amp;A485,"~","~~"),"*","~*"),"?","~?"),Processos!$AS$10:$AS$509,0)),9,INDEX(Processos!$AM$10:$AM$509,MATCH(SUBSTITUTE(SUBSTITUTE(SUBSTITUTE("P:"&amp;A485,"~","~~"),"*","~*"),"?","~?"),Processos!$AS$10:$AS$509,0)))-9),0)</f>
        <v>0</v>
      </c>
      <c r="K485" s="34" t="str">
        <f t="shared" si="31"/>
        <v/>
      </c>
      <c r="L485" s="14">
        <f>ROW()</f>
        <v>485</v>
      </c>
    </row>
    <row r="486" spans="1:12" ht="60" customHeight="1">
      <c r="A486" s="41"/>
      <c r="B486" s="43"/>
      <c r="C486" s="44"/>
      <c r="D486" s="51"/>
      <c r="E486" s="44"/>
      <c r="F486" s="44"/>
      <c r="G486" s="34">
        <f t="shared" si="28"/>
        <v>0</v>
      </c>
      <c r="H486" s="34" t="str">
        <f t="shared" si="29"/>
        <v/>
      </c>
      <c r="I486" s="52" t="str">
        <f t="shared" si="30"/>
        <v/>
      </c>
      <c r="J486" s="34">
        <f>IF(AND(A486&lt;&gt;"",ISTEXT(A486),COUNTIFS(Processos!$AS$10:$AS$509,"="&amp;SUBSTITUTE(SUBSTITUTE(SUBSTITUTE("P:"&amp;A486,"~","~~"),"*","~*"),"?","~?"))=1),(IF(ISNA(MATCH(SUBSTITUTE(SUBSTITUTE(SUBSTITUTE("P:"&amp;A486,"~","~~"),"*","~*"),"?","~?"),Processos!$AS$10:$AS$509,0)),9,INDEX(Processos!$AM$10:$AM$509,MATCH(SUBSTITUTE(SUBSTITUTE(SUBSTITUTE("P:"&amp;A486,"~","~~"),"*","~*"),"?","~?"),Processos!$AS$10:$AS$509,0)))-9),0)</f>
        <v>0</v>
      </c>
      <c r="K486" s="34" t="str">
        <f t="shared" si="31"/>
        <v/>
      </c>
      <c r="L486" s="14">
        <f>ROW()</f>
        <v>486</v>
      </c>
    </row>
    <row r="487" spans="1:12" ht="60" customHeight="1">
      <c r="A487" s="41"/>
      <c r="B487" s="43"/>
      <c r="C487" s="44"/>
      <c r="D487" s="51"/>
      <c r="E487" s="44"/>
      <c r="F487" s="44"/>
      <c r="G487" s="34">
        <f t="shared" si="28"/>
        <v>0</v>
      </c>
      <c r="H487" s="34" t="str">
        <f t="shared" si="29"/>
        <v/>
      </c>
      <c r="I487" s="52" t="str">
        <f t="shared" si="30"/>
        <v/>
      </c>
      <c r="J487" s="34">
        <f>IF(AND(A487&lt;&gt;"",ISTEXT(A487),COUNTIFS(Processos!$AS$10:$AS$509,"="&amp;SUBSTITUTE(SUBSTITUTE(SUBSTITUTE("P:"&amp;A487,"~","~~"),"*","~*"),"?","~?"))=1),(IF(ISNA(MATCH(SUBSTITUTE(SUBSTITUTE(SUBSTITUTE("P:"&amp;A487,"~","~~"),"*","~*"),"?","~?"),Processos!$AS$10:$AS$509,0)),9,INDEX(Processos!$AM$10:$AM$509,MATCH(SUBSTITUTE(SUBSTITUTE(SUBSTITUTE("P:"&amp;A487,"~","~~"),"*","~*"),"?","~?"),Processos!$AS$10:$AS$509,0)))-9),0)</f>
        <v>0</v>
      </c>
      <c r="K487" s="34" t="str">
        <f t="shared" si="31"/>
        <v/>
      </c>
      <c r="L487" s="14">
        <f>ROW()</f>
        <v>487</v>
      </c>
    </row>
    <row r="488" spans="1:12" ht="60" customHeight="1">
      <c r="A488" s="41"/>
      <c r="B488" s="43"/>
      <c r="C488" s="44"/>
      <c r="D488" s="51"/>
      <c r="E488" s="44"/>
      <c r="F488" s="44"/>
      <c r="G488" s="34">
        <f t="shared" si="28"/>
        <v>0</v>
      </c>
      <c r="H488" s="34" t="str">
        <f t="shared" si="29"/>
        <v/>
      </c>
      <c r="I488" s="52" t="str">
        <f t="shared" si="30"/>
        <v/>
      </c>
      <c r="J488" s="34">
        <f>IF(AND(A488&lt;&gt;"",ISTEXT(A488),COUNTIFS(Processos!$AS$10:$AS$509,"="&amp;SUBSTITUTE(SUBSTITUTE(SUBSTITUTE("P:"&amp;A488,"~","~~"),"*","~*"),"?","~?"))=1),(IF(ISNA(MATCH(SUBSTITUTE(SUBSTITUTE(SUBSTITUTE("P:"&amp;A488,"~","~~"),"*","~*"),"?","~?"),Processos!$AS$10:$AS$509,0)),9,INDEX(Processos!$AM$10:$AM$509,MATCH(SUBSTITUTE(SUBSTITUTE(SUBSTITUTE("P:"&amp;A488,"~","~~"),"*","~*"),"?","~?"),Processos!$AS$10:$AS$509,0)))-9),0)</f>
        <v>0</v>
      </c>
      <c r="K488" s="34" t="str">
        <f t="shared" si="31"/>
        <v/>
      </c>
      <c r="L488" s="14">
        <f>ROW()</f>
        <v>488</v>
      </c>
    </row>
    <row r="489" spans="1:12" ht="60" customHeight="1">
      <c r="A489" s="41"/>
      <c r="B489" s="43"/>
      <c r="C489" s="44"/>
      <c r="D489" s="51"/>
      <c r="E489" s="44"/>
      <c r="F489" s="44"/>
      <c r="G489" s="34">
        <f t="shared" si="28"/>
        <v>0</v>
      </c>
      <c r="H489" s="34" t="str">
        <f t="shared" si="29"/>
        <v/>
      </c>
      <c r="I489" s="52" t="str">
        <f t="shared" si="30"/>
        <v/>
      </c>
      <c r="J489" s="34">
        <f>IF(AND(A489&lt;&gt;"",ISTEXT(A489),COUNTIFS(Processos!$AS$10:$AS$509,"="&amp;SUBSTITUTE(SUBSTITUTE(SUBSTITUTE("P:"&amp;A489,"~","~~"),"*","~*"),"?","~?"))=1),(IF(ISNA(MATCH(SUBSTITUTE(SUBSTITUTE(SUBSTITUTE("P:"&amp;A489,"~","~~"),"*","~*"),"?","~?"),Processos!$AS$10:$AS$509,0)),9,INDEX(Processos!$AM$10:$AM$509,MATCH(SUBSTITUTE(SUBSTITUTE(SUBSTITUTE("P:"&amp;A489,"~","~~"),"*","~*"),"?","~?"),Processos!$AS$10:$AS$509,0)))-9),0)</f>
        <v>0</v>
      </c>
      <c r="K489" s="34" t="str">
        <f t="shared" si="31"/>
        <v/>
      </c>
      <c r="L489" s="14">
        <f>ROW()</f>
        <v>489</v>
      </c>
    </row>
    <row r="490" spans="1:12" ht="60" customHeight="1">
      <c r="A490" s="41"/>
      <c r="B490" s="43"/>
      <c r="C490" s="44"/>
      <c r="D490" s="51"/>
      <c r="E490" s="44"/>
      <c r="F490" s="44"/>
      <c r="G490" s="34">
        <f t="shared" si="28"/>
        <v>0</v>
      </c>
      <c r="H490" s="34" t="str">
        <f t="shared" si="29"/>
        <v/>
      </c>
      <c r="I490" s="52" t="str">
        <f t="shared" si="30"/>
        <v/>
      </c>
      <c r="J490" s="34">
        <f>IF(AND(A490&lt;&gt;"",ISTEXT(A490),COUNTIFS(Processos!$AS$10:$AS$509,"="&amp;SUBSTITUTE(SUBSTITUTE(SUBSTITUTE("P:"&amp;A490,"~","~~"),"*","~*"),"?","~?"))=1),(IF(ISNA(MATCH(SUBSTITUTE(SUBSTITUTE(SUBSTITUTE("P:"&amp;A490,"~","~~"),"*","~*"),"?","~?"),Processos!$AS$10:$AS$509,0)),9,INDEX(Processos!$AM$10:$AM$509,MATCH(SUBSTITUTE(SUBSTITUTE(SUBSTITUTE("P:"&amp;A490,"~","~~"),"*","~*"),"?","~?"),Processos!$AS$10:$AS$509,0)))-9),0)</f>
        <v>0</v>
      </c>
      <c r="K490" s="34" t="str">
        <f t="shared" si="31"/>
        <v/>
      </c>
      <c r="L490" s="14">
        <f>ROW()</f>
        <v>490</v>
      </c>
    </row>
    <row r="491" spans="1:12" ht="60" customHeight="1">
      <c r="A491" s="41"/>
      <c r="B491" s="43"/>
      <c r="C491" s="44"/>
      <c r="D491" s="51"/>
      <c r="E491" s="44"/>
      <c r="F491" s="44"/>
      <c r="G491" s="34">
        <f t="shared" si="28"/>
        <v>0</v>
      </c>
      <c r="H491" s="34" t="str">
        <f t="shared" si="29"/>
        <v/>
      </c>
      <c r="I491" s="52" t="str">
        <f t="shared" si="30"/>
        <v/>
      </c>
      <c r="J491" s="34">
        <f>IF(AND(A491&lt;&gt;"",ISTEXT(A491),COUNTIFS(Processos!$AS$10:$AS$509,"="&amp;SUBSTITUTE(SUBSTITUTE(SUBSTITUTE("P:"&amp;A491,"~","~~"),"*","~*"),"?","~?"))=1),(IF(ISNA(MATCH(SUBSTITUTE(SUBSTITUTE(SUBSTITUTE("P:"&amp;A491,"~","~~"),"*","~*"),"?","~?"),Processos!$AS$10:$AS$509,0)),9,INDEX(Processos!$AM$10:$AM$509,MATCH(SUBSTITUTE(SUBSTITUTE(SUBSTITUTE("P:"&amp;A491,"~","~~"),"*","~*"),"?","~?"),Processos!$AS$10:$AS$509,0)))-9),0)</f>
        <v>0</v>
      </c>
      <c r="K491" s="34" t="str">
        <f t="shared" si="31"/>
        <v/>
      </c>
      <c r="L491" s="14">
        <f>ROW()</f>
        <v>491</v>
      </c>
    </row>
    <row r="492" spans="1:12" ht="60" customHeight="1">
      <c r="A492" s="41"/>
      <c r="B492" s="43"/>
      <c r="C492" s="44"/>
      <c r="D492" s="51"/>
      <c r="E492" s="44"/>
      <c r="F492" s="44"/>
      <c r="G492" s="34">
        <f t="shared" si="28"/>
        <v>0</v>
      </c>
      <c r="H492" s="34" t="str">
        <f t="shared" si="29"/>
        <v/>
      </c>
      <c r="I492" s="52" t="str">
        <f t="shared" si="30"/>
        <v/>
      </c>
      <c r="J492" s="34">
        <f>IF(AND(A492&lt;&gt;"",ISTEXT(A492),COUNTIFS(Processos!$AS$10:$AS$509,"="&amp;SUBSTITUTE(SUBSTITUTE(SUBSTITUTE("P:"&amp;A492,"~","~~"),"*","~*"),"?","~?"))=1),(IF(ISNA(MATCH(SUBSTITUTE(SUBSTITUTE(SUBSTITUTE("P:"&amp;A492,"~","~~"),"*","~*"),"?","~?"),Processos!$AS$10:$AS$509,0)),9,INDEX(Processos!$AM$10:$AM$509,MATCH(SUBSTITUTE(SUBSTITUTE(SUBSTITUTE("P:"&amp;A492,"~","~~"),"*","~*"),"?","~?"),Processos!$AS$10:$AS$509,0)))-9),0)</f>
        <v>0</v>
      </c>
      <c r="K492" s="34" t="str">
        <f t="shared" si="31"/>
        <v/>
      </c>
      <c r="L492" s="14">
        <f>ROW()</f>
        <v>492</v>
      </c>
    </row>
    <row r="493" spans="1:12" ht="60" customHeight="1">
      <c r="A493" s="41"/>
      <c r="B493" s="43"/>
      <c r="C493" s="44"/>
      <c r="D493" s="51"/>
      <c r="E493" s="44"/>
      <c r="F493" s="44"/>
      <c r="G493" s="34">
        <f t="shared" si="28"/>
        <v>0</v>
      </c>
      <c r="H493" s="34" t="str">
        <f t="shared" si="29"/>
        <v/>
      </c>
      <c r="I493" s="52" t="str">
        <f t="shared" si="30"/>
        <v/>
      </c>
      <c r="J493" s="34">
        <f>IF(AND(A493&lt;&gt;"",ISTEXT(A493),COUNTIFS(Processos!$AS$10:$AS$509,"="&amp;SUBSTITUTE(SUBSTITUTE(SUBSTITUTE("P:"&amp;A493,"~","~~"),"*","~*"),"?","~?"))=1),(IF(ISNA(MATCH(SUBSTITUTE(SUBSTITUTE(SUBSTITUTE("P:"&amp;A493,"~","~~"),"*","~*"),"?","~?"),Processos!$AS$10:$AS$509,0)),9,INDEX(Processos!$AM$10:$AM$509,MATCH(SUBSTITUTE(SUBSTITUTE(SUBSTITUTE("P:"&amp;A493,"~","~~"),"*","~*"),"?","~?"),Processos!$AS$10:$AS$509,0)))-9),0)</f>
        <v>0</v>
      </c>
      <c r="K493" s="34" t="str">
        <f t="shared" si="31"/>
        <v/>
      </c>
      <c r="L493" s="14">
        <f>ROW()</f>
        <v>493</v>
      </c>
    </row>
    <row r="494" spans="1:12" ht="60" customHeight="1">
      <c r="A494" s="41"/>
      <c r="B494" s="43"/>
      <c r="C494" s="44"/>
      <c r="D494" s="51"/>
      <c r="E494" s="44"/>
      <c r="F494" s="44"/>
      <c r="G494" s="34">
        <f t="shared" si="28"/>
        <v>0</v>
      </c>
      <c r="H494" s="34" t="str">
        <f t="shared" si="29"/>
        <v/>
      </c>
      <c r="I494" s="52" t="str">
        <f t="shared" si="30"/>
        <v/>
      </c>
      <c r="J494" s="34">
        <f>IF(AND(A494&lt;&gt;"",ISTEXT(A494),COUNTIFS(Processos!$AS$10:$AS$509,"="&amp;SUBSTITUTE(SUBSTITUTE(SUBSTITUTE("P:"&amp;A494,"~","~~"),"*","~*"),"?","~?"))=1),(IF(ISNA(MATCH(SUBSTITUTE(SUBSTITUTE(SUBSTITUTE("P:"&amp;A494,"~","~~"),"*","~*"),"?","~?"),Processos!$AS$10:$AS$509,0)),9,INDEX(Processos!$AM$10:$AM$509,MATCH(SUBSTITUTE(SUBSTITUTE(SUBSTITUTE("P:"&amp;A494,"~","~~"),"*","~*"),"?","~?"),Processos!$AS$10:$AS$509,0)))-9),0)</f>
        <v>0</v>
      </c>
      <c r="K494" s="34" t="str">
        <f t="shared" si="31"/>
        <v/>
      </c>
      <c r="L494" s="14">
        <f>ROW()</f>
        <v>494</v>
      </c>
    </row>
    <row r="495" spans="1:12" ht="60" customHeight="1">
      <c r="A495" s="41"/>
      <c r="B495" s="43"/>
      <c r="C495" s="44"/>
      <c r="D495" s="51"/>
      <c r="E495" s="44"/>
      <c r="F495" s="44"/>
      <c r="G495" s="34">
        <f t="shared" si="28"/>
        <v>0</v>
      </c>
      <c r="H495" s="34" t="str">
        <f t="shared" si="29"/>
        <v/>
      </c>
      <c r="I495" s="52" t="str">
        <f t="shared" si="30"/>
        <v/>
      </c>
      <c r="J495" s="34">
        <f>IF(AND(A495&lt;&gt;"",ISTEXT(A495),COUNTIFS(Processos!$AS$10:$AS$509,"="&amp;SUBSTITUTE(SUBSTITUTE(SUBSTITUTE("P:"&amp;A495,"~","~~"),"*","~*"),"?","~?"))=1),(IF(ISNA(MATCH(SUBSTITUTE(SUBSTITUTE(SUBSTITUTE("P:"&amp;A495,"~","~~"),"*","~*"),"?","~?"),Processos!$AS$10:$AS$509,0)),9,INDEX(Processos!$AM$10:$AM$509,MATCH(SUBSTITUTE(SUBSTITUTE(SUBSTITUTE("P:"&amp;A495,"~","~~"),"*","~*"),"?","~?"),Processos!$AS$10:$AS$509,0)))-9),0)</f>
        <v>0</v>
      </c>
      <c r="K495" s="34" t="str">
        <f t="shared" si="31"/>
        <v/>
      </c>
      <c r="L495" s="14">
        <f>ROW()</f>
        <v>495</v>
      </c>
    </row>
    <row r="496" spans="1:12" ht="60" customHeight="1">
      <c r="A496" s="41"/>
      <c r="B496" s="43"/>
      <c r="C496" s="44"/>
      <c r="D496" s="51"/>
      <c r="E496" s="44"/>
      <c r="F496" s="44"/>
      <c r="G496" s="34">
        <f t="shared" si="28"/>
        <v>0</v>
      </c>
      <c r="H496" s="34" t="str">
        <f t="shared" si="29"/>
        <v/>
      </c>
      <c r="I496" s="52" t="str">
        <f t="shared" si="30"/>
        <v/>
      </c>
      <c r="J496" s="34">
        <f>IF(AND(A496&lt;&gt;"",ISTEXT(A496),COUNTIFS(Processos!$AS$10:$AS$509,"="&amp;SUBSTITUTE(SUBSTITUTE(SUBSTITUTE("P:"&amp;A496,"~","~~"),"*","~*"),"?","~?"))=1),(IF(ISNA(MATCH(SUBSTITUTE(SUBSTITUTE(SUBSTITUTE("P:"&amp;A496,"~","~~"),"*","~*"),"?","~?"),Processos!$AS$10:$AS$509,0)),9,INDEX(Processos!$AM$10:$AM$509,MATCH(SUBSTITUTE(SUBSTITUTE(SUBSTITUTE("P:"&amp;A496,"~","~~"),"*","~*"),"?","~?"),Processos!$AS$10:$AS$509,0)))-9),0)</f>
        <v>0</v>
      </c>
      <c r="K496" s="34" t="str">
        <f t="shared" si="31"/>
        <v/>
      </c>
      <c r="L496" s="14">
        <f>ROW()</f>
        <v>496</v>
      </c>
    </row>
    <row r="497" spans="1:12" ht="60" customHeight="1">
      <c r="A497" s="41"/>
      <c r="B497" s="43"/>
      <c r="C497" s="44"/>
      <c r="D497" s="51"/>
      <c r="E497" s="44"/>
      <c r="F497" s="44"/>
      <c r="G497" s="34">
        <f t="shared" si="28"/>
        <v>0</v>
      </c>
      <c r="H497" s="34" t="str">
        <f t="shared" si="29"/>
        <v/>
      </c>
      <c r="I497" s="52" t="str">
        <f t="shared" si="30"/>
        <v/>
      </c>
      <c r="J497" s="34">
        <f>IF(AND(A497&lt;&gt;"",ISTEXT(A497),COUNTIFS(Processos!$AS$10:$AS$509,"="&amp;SUBSTITUTE(SUBSTITUTE(SUBSTITUTE("P:"&amp;A497,"~","~~"),"*","~*"),"?","~?"))=1),(IF(ISNA(MATCH(SUBSTITUTE(SUBSTITUTE(SUBSTITUTE("P:"&amp;A497,"~","~~"),"*","~*"),"?","~?"),Processos!$AS$10:$AS$509,0)),9,INDEX(Processos!$AM$10:$AM$509,MATCH(SUBSTITUTE(SUBSTITUTE(SUBSTITUTE("P:"&amp;A497,"~","~~"),"*","~*"),"?","~?"),Processos!$AS$10:$AS$509,0)))-9),0)</f>
        <v>0</v>
      </c>
      <c r="K497" s="34" t="str">
        <f t="shared" si="31"/>
        <v/>
      </c>
      <c r="L497" s="14">
        <f>ROW()</f>
        <v>497</v>
      </c>
    </row>
    <row r="498" spans="1:12" ht="60" customHeight="1">
      <c r="A498" s="41"/>
      <c r="B498" s="43"/>
      <c r="C498" s="44"/>
      <c r="D498" s="51"/>
      <c r="E498" s="44"/>
      <c r="F498" s="44"/>
      <c r="G498" s="34">
        <f t="shared" si="28"/>
        <v>0</v>
      </c>
      <c r="H498" s="34" t="str">
        <f t="shared" si="29"/>
        <v/>
      </c>
      <c r="I498" s="52" t="str">
        <f t="shared" si="30"/>
        <v/>
      </c>
      <c r="J498" s="34">
        <f>IF(AND(A498&lt;&gt;"",ISTEXT(A498),COUNTIFS(Processos!$AS$10:$AS$509,"="&amp;SUBSTITUTE(SUBSTITUTE(SUBSTITUTE("P:"&amp;A498,"~","~~"),"*","~*"),"?","~?"))=1),(IF(ISNA(MATCH(SUBSTITUTE(SUBSTITUTE(SUBSTITUTE("P:"&amp;A498,"~","~~"),"*","~*"),"?","~?"),Processos!$AS$10:$AS$509,0)),9,INDEX(Processos!$AM$10:$AM$509,MATCH(SUBSTITUTE(SUBSTITUTE(SUBSTITUTE("P:"&amp;A498,"~","~~"),"*","~*"),"?","~?"),Processos!$AS$10:$AS$509,0)))-9),0)</f>
        <v>0</v>
      </c>
      <c r="K498" s="34" t="str">
        <f t="shared" si="31"/>
        <v/>
      </c>
      <c r="L498" s="14">
        <f>ROW()</f>
        <v>498</v>
      </c>
    </row>
    <row r="499" spans="1:12" ht="60" customHeight="1">
      <c r="A499" s="41"/>
      <c r="B499" s="43"/>
      <c r="C499" s="44"/>
      <c r="D499" s="51"/>
      <c r="E499" s="44"/>
      <c r="F499" s="44"/>
      <c r="G499" s="34">
        <f t="shared" si="28"/>
        <v>0</v>
      </c>
      <c r="H499" s="34" t="str">
        <f t="shared" si="29"/>
        <v/>
      </c>
      <c r="I499" s="52" t="str">
        <f t="shared" si="30"/>
        <v/>
      </c>
      <c r="J499" s="34">
        <f>IF(AND(A499&lt;&gt;"",ISTEXT(A499),COUNTIFS(Processos!$AS$10:$AS$509,"="&amp;SUBSTITUTE(SUBSTITUTE(SUBSTITUTE("P:"&amp;A499,"~","~~"),"*","~*"),"?","~?"))=1),(IF(ISNA(MATCH(SUBSTITUTE(SUBSTITUTE(SUBSTITUTE("P:"&amp;A499,"~","~~"),"*","~*"),"?","~?"),Processos!$AS$10:$AS$509,0)),9,INDEX(Processos!$AM$10:$AM$509,MATCH(SUBSTITUTE(SUBSTITUTE(SUBSTITUTE("P:"&amp;A499,"~","~~"),"*","~*"),"?","~?"),Processos!$AS$10:$AS$509,0)))-9),0)</f>
        <v>0</v>
      </c>
      <c r="K499" s="34" t="str">
        <f t="shared" si="31"/>
        <v/>
      </c>
      <c r="L499" s="14">
        <f>ROW()</f>
        <v>499</v>
      </c>
    </row>
    <row r="500" spans="1:12" ht="60" customHeight="1">
      <c r="A500" s="41"/>
      <c r="B500" s="43"/>
      <c r="C500" s="44"/>
      <c r="D500" s="51"/>
      <c r="E500" s="44"/>
      <c r="F500" s="44"/>
      <c r="G500" s="34">
        <f t="shared" si="28"/>
        <v>0</v>
      </c>
      <c r="H500" s="34" t="str">
        <f t="shared" si="29"/>
        <v/>
      </c>
      <c r="I500" s="52" t="str">
        <f t="shared" si="30"/>
        <v/>
      </c>
      <c r="J500" s="34">
        <f>IF(AND(A500&lt;&gt;"",ISTEXT(A500),COUNTIFS(Processos!$AS$10:$AS$509,"="&amp;SUBSTITUTE(SUBSTITUTE(SUBSTITUTE("P:"&amp;A500,"~","~~"),"*","~*"),"?","~?"))=1),(IF(ISNA(MATCH(SUBSTITUTE(SUBSTITUTE(SUBSTITUTE("P:"&amp;A500,"~","~~"),"*","~*"),"?","~?"),Processos!$AS$10:$AS$509,0)),9,INDEX(Processos!$AM$10:$AM$509,MATCH(SUBSTITUTE(SUBSTITUTE(SUBSTITUTE("P:"&amp;A500,"~","~~"),"*","~*"),"?","~?"),Processos!$AS$10:$AS$509,0)))-9),0)</f>
        <v>0</v>
      </c>
      <c r="K500" s="34" t="str">
        <f t="shared" si="31"/>
        <v/>
      </c>
      <c r="L500" s="14">
        <f>ROW()</f>
        <v>500</v>
      </c>
    </row>
    <row r="501" spans="1:12" ht="60" customHeight="1">
      <c r="A501" s="41"/>
      <c r="B501" s="43"/>
      <c r="C501" s="44"/>
      <c r="D501" s="51"/>
      <c r="E501" s="44"/>
      <c r="F501" s="44"/>
      <c r="G501" s="34">
        <f t="shared" si="28"/>
        <v>0</v>
      </c>
      <c r="H501" s="34" t="str">
        <f t="shared" si="29"/>
        <v/>
      </c>
      <c r="I501" s="52" t="str">
        <f t="shared" si="30"/>
        <v/>
      </c>
      <c r="J501" s="34">
        <f>IF(AND(A501&lt;&gt;"",ISTEXT(A501),COUNTIFS(Processos!$AS$10:$AS$509,"="&amp;SUBSTITUTE(SUBSTITUTE(SUBSTITUTE("P:"&amp;A501,"~","~~"),"*","~*"),"?","~?"))=1),(IF(ISNA(MATCH(SUBSTITUTE(SUBSTITUTE(SUBSTITUTE("P:"&amp;A501,"~","~~"),"*","~*"),"?","~?"),Processos!$AS$10:$AS$509,0)),9,INDEX(Processos!$AM$10:$AM$509,MATCH(SUBSTITUTE(SUBSTITUTE(SUBSTITUTE("P:"&amp;A501,"~","~~"),"*","~*"),"?","~?"),Processos!$AS$10:$AS$509,0)))-9),0)</f>
        <v>0</v>
      </c>
      <c r="K501" s="34" t="str">
        <f t="shared" si="31"/>
        <v/>
      </c>
      <c r="L501" s="14">
        <f>ROW()</f>
        <v>501</v>
      </c>
    </row>
    <row r="502" spans="1:12" ht="60" customHeight="1">
      <c r="A502" s="41"/>
      <c r="B502" s="43"/>
      <c r="C502" s="44"/>
      <c r="D502" s="51"/>
      <c r="E502" s="44"/>
      <c r="F502" s="44"/>
      <c r="G502" s="34">
        <f t="shared" si="28"/>
        <v>0</v>
      </c>
      <c r="H502" s="34" t="str">
        <f t="shared" si="29"/>
        <v/>
      </c>
      <c r="I502" s="52" t="str">
        <f t="shared" si="30"/>
        <v/>
      </c>
      <c r="J502" s="34">
        <f>IF(AND(A502&lt;&gt;"",ISTEXT(A502),COUNTIFS(Processos!$AS$10:$AS$509,"="&amp;SUBSTITUTE(SUBSTITUTE(SUBSTITUTE("P:"&amp;A502,"~","~~"),"*","~*"),"?","~?"))=1),(IF(ISNA(MATCH(SUBSTITUTE(SUBSTITUTE(SUBSTITUTE("P:"&amp;A502,"~","~~"),"*","~*"),"?","~?"),Processos!$AS$10:$AS$509,0)),9,INDEX(Processos!$AM$10:$AM$509,MATCH(SUBSTITUTE(SUBSTITUTE(SUBSTITUTE("P:"&amp;A502,"~","~~"),"*","~*"),"?","~?"),Processos!$AS$10:$AS$509,0)))-9),0)</f>
        <v>0</v>
      </c>
      <c r="K502" s="34" t="str">
        <f t="shared" si="31"/>
        <v/>
      </c>
      <c r="L502" s="14">
        <f>ROW()</f>
        <v>502</v>
      </c>
    </row>
    <row r="503" spans="1:12" ht="60" customHeight="1">
      <c r="A503" s="41"/>
      <c r="B503" s="43"/>
      <c r="C503" s="44"/>
      <c r="D503" s="51"/>
      <c r="E503" s="44"/>
      <c r="F503" s="44"/>
      <c r="G503" s="34">
        <f t="shared" si="28"/>
        <v>0</v>
      </c>
      <c r="H503" s="34" t="str">
        <f t="shared" si="29"/>
        <v/>
      </c>
      <c r="I503" s="52" t="str">
        <f t="shared" si="30"/>
        <v/>
      </c>
      <c r="J503" s="34">
        <f>IF(AND(A503&lt;&gt;"",ISTEXT(A503),COUNTIFS(Processos!$AS$10:$AS$509,"="&amp;SUBSTITUTE(SUBSTITUTE(SUBSTITUTE("P:"&amp;A503,"~","~~"),"*","~*"),"?","~?"))=1),(IF(ISNA(MATCH(SUBSTITUTE(SUBSTITUTE(SUBSTITUTE("P:"&amp;A503,"~","~~"),"*","~*"),"?","~?"),Processos!$AS$10:$AS$509,0)),9,INDEX(Processos!$AM$10:$AM$509,MATCH(SUBSTITUTE(SUBSTITUTE(SUBSTITUTE("P:"&amp;A503,"~","~~"),"*","~*"),"?","~?"),Processos!$AS$10:$AS$509,0)))-9),0)</f>
        <v>0</v>
      </c>
      <c r="K503" s="34" t="str">
        <f t="shared" si="31"/>
        <v/>
      </c>
      <c r="L503" s="14">
        <f>ROW()</f>
        <v>503</v>
      </c>
    </row>
    <row r="504" spans="1:12" ht="60" customHeight="1">
      <c r="A504" s="41"/>
      <c r="B504" s="43"/>
      <c r="C504" s="44"/>
      <c r="D504" s="51"/>
      <c r="E504" s="44"/>
      <c r="F504" s="44"/>
      <c r="G504" s="34">
        <f t="shared" si="28"/>
        <v>0</v>
      </c>
      <c r="H504" s="34" t="str">
        <f t="shared" si="29"/>
        <v/>
      </c>
      <c r="I504" s="52" t="str">
        <f t="shared" si="30"/>
        <v/>
      </c>
      <c r="J504" s="34">
        <f>IF(AND(A504&lt;&gt;"",ISTEXT(A504),COUNTIFS(Processos!$AS$10:$AS$509,"="&amp;SUBSTITUTE(SUBSTITUTE(SUBSTITUTE("P:"&amp;A504,"~","~~"),"*","~*"),"?","~?"))=1),(IF(ISNA(MATCH(SUBSTITUTE(SUBSTITUTE(SUBSTITUTE("P:"&amp;A504,"~","~~"),"*","~*"),"?","~?"),Processos!$AS$10:$AS$509,0)),9,INDEX(Processos!$AM$10:$AM$509,MATCH(SUBSTITUTE(SUBSTITUTE(SUBSTITUTE("P:"&amp;A504,"~","~~"),"*","~*"),"?","~?"),Processos!$AS$10:$AS$509,0)))-9),0)</f>
        <v>0</v>
      </c>
      <c r="K504" s="34" t="str">
        <f t="shared" si="31"/>
        <v/>
      </c>
      <c r="L504" s="14">
        <f>ROW()</f>
        <v>504</v>
      </c>
    </row>
    <row r="505" spans="1:12" ht="60" customHeight="1">
      <c r="A505" s="41"/>
      <c r="B505" s="43"/>
      <c r="C505" s="44"/>
      <c r="D505" s="51"/>
      <c r="E505" s="44"/>
      <c r="F505" s="44"/>
      <c r="G505" s="34">
        <f t="shared" si="28"/>
        <v>0</v>
      </c>
      <c r="H505" s="34" t="str">
        <f t="shared" si="29"/>
        <v/>
      </c>
      <c r="I505" s="52" t="str">
        <f t="shared" si="30"/>
        <v/>
      </c>
      <c r="J505" s="34">
        <f>IF(AND(A505&lt;&gt;"",ISTEXT(A505),COUNTIFS(Processos!$AS$10:$AS$509,"="&amp;SUBSTITUTE(SUBSTITUTE(SUBSTITUTE("P:"&amp;A505,"~","~~"),"*","~*"),"?","~?"))=1),(IF(ISNA(MATCH(SUBSTITUTE(SUBSTITUTE(SUBSTITUTE("P:"&amp;A505,"~","~~"),"*","~*"),"?","~?"),Processos!$AS$10:$AS$509,0)),9,INDEX(Processos!$AM$10:$AM$509,MATCH(SUBSTITUTE(SUBSTITUTE(SUBSTITUTE("P:"&amp;A505,"~","~~"),"*","~*"),"?","~?"),Processos!$AS$10:$AS$509,0)))-9),0)</f>
        <v>0</v>
      </c>
      <c r="K505" s="34" t="str">
        <f t="shared" si="31"/>
        <v/>
      </c>
      <c r="L505" s="14">
        <f>ROW()</f>
        <v>505</v>
      </c>
    </row>
    <row r="506" spans="1:12" ht="60" customHeight="1">
      <c r="A506" s="41"/>
      <c r="B506" s="43"/>
      <c r="C506" s="44"/>
      <c r="D506" s="51"/>
      <c r="E506" s="44"/>
      <c r="F506" s="44"/>
      <c r="G506" s="34">
        <f t="shared" si="28"/>
        <v>0</v>
      </c>
      <c r="H506" s="34" t="str">
        <f t="shared" si="29"/>
        <v/>
      </c>
      <c r="I506" s="52" t="str">
        <f t="shared" si="30"/>
        <v/>
      </c>
      <c r="J506" s="34">
        <f>IF(AND(A506&lt;&gt;"",ISTEXT(A506),COUNTIFS(Processos!$AS$10:$AS$509,"="&amp;SUBSTITUTE(SUBSTITUTE(SUBSTITUTE("P:"&amp;A506,"~","~~"),"*","~*"),"?","~?"))=1),(IF(ISNA(MATCH(SUBSTITUTE(SUBSTITUTE(SUBSTITUTE("P:"&amp;A506,"~","~~"),"*","~*"),"?","~?"),Processos!$AS$10:$AS$509,0)),9,INDEX(Processos!$AM$10:$AM$509,MATCH(SUBSTITUTE(SUBSTITUTE(SUBSTITUTE("P:"&amp;A506,"~","~~"),"*","~*"),"?","~?"),Processos!$AS$10:$AS$509,0)))-9),0)</f>
        <v>0</v>
      </c>
      <c r="K506" s="34" t="str">
        <f t="shared" si="31"/>
        <v/>
      </c>
      <c r="L506" s="14">
        <f>ROW()</f>
        <v>506</v>
      </c>
    </row>
    <row r="507" spans="1:12" ht="60" customHeight="1">
      <c r="A507" s="41"/>
      <c r="B507" s="43"/>
      <c r="C507" s="44"/>
      <c r="D507" s="51"/>
      <c r="E507" s="44"/>
      <c r="F507" s="44"/>
      <c r="G507" s="34">
        <f t="shared" si="28"/>
        <v>0</v>
      </c>
      <c r="H507" s="34" t="str">
        <f t="shared" si="29"/>
        <v/>
      </c>
      <c r="I507" s="52" t="str">
        <f t="shared" si="30"/>
        <v/>
      </c>
      <c r="J507" s="34">
        <f>IF(AND(A507&lt;&gt;"",ISTEXT(A507),COUNTIFS(Processos!$AS$10:$AS$509,"="&amp;SUBSTITUTE(SUBSTITUTE(SUBSTITUTE("P:"&amp;A507,"~","~~"),"*","~*"),"?","~?"))=1),(IF(ISNA(MATCH(SUBSTITUTE(SUBSTITUTE(SUBSTITUTE("P:"&amp;A507,"~","~~"),"*","~*"),"?","~?"),Processos!$AS$10:$AS$509,0)),9,INDEX(Processos!$AM$10:$AM$509,MATCH(SUBSTITUTE(SUBSTITUTE(SUBSTITUTE("P:"&amp;A507,"~","~~"),"*","~*"),"?","~?"),Processos!$AS$10:$AS$509,0)))-9),0)</f>
        <v>0</v>
      </c>
      <c r="K507" s="34" t="str">
        <f t="shared" si="31"/>
        <v/>
      </c>
      <c r="L507" s="14">
        <f>ROW()</f>
        <v>507</v>
      </c>
    </row>
    <row r="508" spans="1:12" ht="60" customHeight="1">
      <c r="A508" s="41"/>
      <c r="B508" s="43"/>
      <c r="C508" s="44"/>
      <c r="D508" s="51"/>
      <c r="E508" s="44"/>
      <c r="F508" s="44"/>
      <c r="G508" s="34">
        <f t="shared" si="28"/>
        <v>0</v>
      </c>
      <c r="H508" s="34" t="str">
        <f t="shared" si="29"/>
        <v/>
      </c>
      <c r="I508" s="52" t="str">
        <f t="shared" si="30"/>
        <v/>
      </c>
      <c r="J508" s="34">
        <f>IF(AND(A508&lt;&gt;"",ISTEXT(A508),COUNTIFS(Processos!$AS$10:$AS$509,"="&amp;SUBSTITUTE(SUBSTITUTE(SUBSTITUTE("P:"&amp;A508,"~","~~"),"*","~*"),"?","~?"))=1),(IF(ISNA(MATCH(SUBSTITUTE(SUBSTITUTE(SUBSTITUTE("P:"&amp;A508,"~","~~"),"*","~*"),"?","~?"),Processos!$AS$10:$AS$509,0)),9,INDEX(Processos!$AM$10:$AM$509,MATCH(SUBSTITUTE(SUBSTITUTE(SUBSTITUTE("P:"&amp;A508,"~","~~"),"*","~*"),"?","~?"),Processos!$AS$10:$AS$509,0)))-9),0)</f>
        <v>0</v>
      </c>
      <c r="K508" s="34" t="str">
        <f t="shared" si="31"/>
        <v/>
      </c>
      <c r="L508" s="14">
        <f>ROW()</f>
        <v>508</v>
      </c>
    </row>
    <row r="509" spans="1:12" ht="60" customHeight="1">
      <c r="A509" s="41"/>
      <c r="B509" s="43"/>
      <c r="C509" s="44"/>
      <c r="D509" s="51"/>
      <c r="E509" s="44"/>
      <c r="F509" s="44"/>
      <c r="G509" s="34">
        <f t="shared" si="28"/>
        <v>0</v>
      </c>
      <c r="H509" s="34" t="str">
        <f t="shared" si="29"/>
        <v/>
      </c>
      <c r="I509" s="52" t="str">
        <f t="shared" si="30"/>
        <v/>
      </c>
      <c r="J509" s="34">
        <f>IF(AND(A509&lt;&gt;"",ISTEXT(A509),COUNTIFS(Processos!$AS$10:$AS$509,"="&amp;SUBSTITUTE(SUBSTITUTE(SUBSTITUTE("P:"&amp;A509,"~","~~"),"*","~*"),"?","~?"))=1),(IF(ISNA(MATCH(SUBSTITUTE(SUBSTITUTE(SUBSTITUTE("P:"&amp;A509,"~","~~"),"*","~*"),"?","~?"),Processos!$AS$10:$AS$509,0)),9,INDEX(Processos!$AM$10:$AM$509,MATCH(SUBSTITUTE(SUBSTITUTE(SUBSTITUTE("P:"&amp;A509,"~","~~"),"*","~*"),"?","~?"),Processos!$AS$10:$AS$509,0)))-9),0)</f>
        <v>0</v>
      </c>
      <c r="K509" s="34" t="str">
        <f t="shared" si="31"/>
        <v/>
      </c>
      <c r="L509" s="14">
        <f>ROW()</f>
        <v>509</v>
      </c>
    </row>
    <row r="510" spans="1:12" ht="60" customHeight="1">
      <c r="A510" s="41"/>
      <c r="B510" s="43"/>
      <c r="C510" s="44"/>
      <c r="D510" s="51"/>
      <c r="E510" s="44"/>
      <c r="F510" s="44"/>
      <c r="G510" s="34">
        <f t="shared" si="28"/>
        <v>0</v>
      </c>
      <c r="H510" s="34" t="str">
        <f t="shared" si="29"/>
        <v/>
      </c>
      <c r="I510" s="52" t="str">
        <f t="shared" si="30"/>
        <v/>
      </c>
      <c r="J510" s="34">
        <f>IF(AND(A510&lt;&gt;"",ISTEXT(A510),COUNTIFS(Processos!$AS$10:$AS$509,"="&amp;SUBSTITUTE(SUBSTITUTE(SUBSTITUTE("P:"&amp;A510,"~","~~"),"*","~*"),"?","~?"))=1),(IF(ISNA(MATCH(SUBSTITUTE(SUBSTITUTE(SUBSTITUTE("P:"&amp;A510,"~","~~"),"*","~*"),"?","~?"),Processos!$AS$10:$AS$509,0)),9,INDEX(Processos!$AM$10:$AM$509,MATCH(SUBSTITUTE(SUBSTITUTE(SUBSTITUTE("P:"&amp;A510,"~","~~"),"*","~*"),"?","~?"),Processos!$AS$10:$AS$509,0)))-9),0)</f>
        <v>0</v>
      </c>
      <c r="K510" s="34" t="str">
        <f t="shared" si="31"/>
        <v/>
      </c>
      <c r="L510" s="14">
        <f>ROW()</f>
        <v>510</v>
      </c>
    </row>
    <row r="511" spans="1:12" ht="60" customHeight="1">
      <c r="A511" s="41"/>
      <c r="B511" s="43"/>
      <c r="C511" s="44"/>
      <c r="D511" s="51"/>
      <c r="E511" s="44"/>
      <c r="F511" s="44"/>
      <c r="G511" s="34">
        <f t="shared" si="28"/>
        <v>0</v>
      </c>
      <c r="H511" s="34" t="str">
        <f t="shared" si="29"/>
        <v/>
      </c>
      <c r="I511" s="52" t="str">
        <f t="shared" si="30"/>
        <v/>
      </c>
      <c r="J511" s="34">
        <f>IF(AND(A511&lt;&gt;"",ISTEXT(A511),COUNTIFS(Processos!$AS$10:$AS$509,"="&amp;SUBSTITUTE(SUBSTITUTE(SUBSTITUTE("P:"&amp;A511,"~","~~"),"*","~*"),"?","~?"))=1),(IF(ISNA(MATCH(SUBSTITUTE(SUBSTITUTE(SUBSTITUTE("P:"&amp;A511,"~","~~"),"*","~*"),"?","~?"),Processos!$AS$10:$AS$509,0)),9,INDEX(Processos!$AM$10:$AM$509,MATCH(SUBSTITUTE(SUBSTITUTE(SUBSTITUTE("P:"&amp;A511,"~","~~"),"*","~*"),"?","~?"),Processos!$AS$10:$AS$509,0)))-9),0)</f>
        <v>0</v>
      </c>
      <c r="K511" s="34" t="str">
        <f t="shared" si="31"/>
        <v/>
      </c>
      <c r="L511" s="14">
        <f>ROW()</f>
        <v>511</v>
      </c>
    </row>
    <row r="512" spans="1:12" ht="60" customHeight="1">
      <c r="A512" s="41"/>
      <c r="B512" s="43"/>
      <c r="C512" s="44"/>
      <c r="D512" s="51"/>
      <c r="E512" s="44"/>
      <c r="F512" s="44"/>
      <c r="G512" s="34">
        <f t="shared" si="28"/>
        <v>0</v>
      </c>
      <c r="H512" s="34" t="str">
        <f t="shared" si="29"/>
        <v/>
      </c>
      <c r="I512" s="52" t="str">
        <f t="shared" si="30"/>
        <v/>
      </c>
      <c r="J512" s="34">
        <f>IF(AND(A512&lt;&gt;"",ISTEXT(A512),COUNTIFS(Processos!$AS$10:$AS$509,"="&amp;SUBSTITUTE(SUBSTITUTE(SUBSTITUTE("P:"&amp;A512,"~","~~"),"*","~*"),"?","~?"))=1),(IF(ISNA(MATCH(SUBSTITUTE(SUBSTITUTE(SUBSTITUTE("P:"&amp;A512,"~","~~"),"*","~*"),"?","~?"),Processos!$AS$10:$AS$509,0)),9,INDEX(Processos!$AM$10:$AM$509,MATCH(SUBSTITUTE(SUBSTITUTE(SUBSTITUTE("P:"&amp;A512,"~","~~"),"*","~*"),"?","~?"),Processos!$AS$10:$AS$509,0)))-9),0)</f>
        <v>0</v>
      </c>
      <c r="K512" s="34" t="str">
        <f t="shared" si="31"/>
        <v/>
      </c>
      <c r="L512" s="14">
        <f>ROW()</f>
        <v>512</v>
      </c>
    </row>
    <row r="513" spans="1:12" ht="60" customHeight="1">
      <c r="A513" s="41"/>
      <c r="B513" s="43"/>
      <c r="C513" s="44"/>
      <c r="D513" s="51"/>
      <c r="E513" s="44"/>
      <c r="F513" s="44"/>
      <c r="G513" s="34">
        <f t="shared" si="28"/>
        <v>0</v>
      </c>
      <c r="H513" s="34" t="str">
        <f t="shared" si="29"/>
        <v/>
      </c>
      <c r="I513" s="52" t="str">
        <f t="shared" si="30"/>
        <v/>
      </c>
      <c r="J513" s="34">
        <f>IF(AND(A513&lt;&gt;"",ISTEXT(A513),COUNTIFS(Processos!$AS$10:$AS$509,"="&amp;SUBSTITUTE(SUBSTITUTE(SUBSTITUTE("P:"&amp;A513,"~","~~"),"*","~*"),"?","~?"))=1),(IF(ISNA(MATCH(SUBSTITUTE(SUBSTITUTE(SUBSTITUTE("P:"&amp;A513,"~","~~"),"*","~*"),"?","~?"),Processos!$AS$10:$AS$509,0)),9,INDEX(Processos!$AM$10:$AM$509,MATCH(SUBSTITUTE(SUBSTITUTE(SUBSTITUTE("P:"&amp;A513,"~","~~"),"*","~*"),"?","~?"),Processos!$AS$10:$AS$509,0)))-9),0)</f>
        <v>0</v>
      </c>
      <c r="K513" s="34" t="str">
        <f t="shared" si="31"/>
        <v/>
      </c>
      <c r="L513" s="14">
        <f>ROW()</f>
        <v>513</v>
      </c>
    </row>
    <row r="514" spans="1:12" ht="60" customHeight="1">
      <c r="A514" s="41"/>
      <c r="B514" s="43"/>
      <c r="C514" s="44"/>
      <c r="D514" s="51"/>
      <c r="E514" s="44"/>
      <c r="F514" s="44"/>
      <c r="G514" s="34">
        <f t="shared" si="28"/>
        <v>0</v>
      </c>
      <c r="H514" s="34" t="str">
        <f t="shared" si="29"/>
        <v/>
      </c>
      <c r="I514" s="52" t="str">
        <f t="shared" si="30"/>
        <v/>
      </c>
      <c r="J514" s="34">
        <f>IF(AND(A514&lt;&gt;"",ISTEXT(A514),COUNTIFS(Processos!$AS$10:$AS$509,"="&amp;SUBSTITUTE(SUBSTITUTE(SUBSTITUTE("P:"&amp;A514,"~","~~"),"*","~*"),"?","~?"))=1),(IF(ISNA(MATCH(SUBSTITUTE(SUBSTITUTE(SUBSTITUTE("P:"&amp;A514,"~","~~"),"*","~*"),"?","~?"),Processos!$AS$10:$AS$509,0)),9,INDEX(Processos!$AM$10:$AM$509,MATCH(SUBSTITUTE(SUBSTITUTE(SUBSTITUTE("P:"&amp;A514,"~","~~"),"*","~*"),"?","~?"),Processos!$AS$10:$AS$509,0)))-9),0)</f>
        <v>0</v>
      </c>
      <c r="K514" s="34" t="str">
        <f t="shared" si="31"/>
        <v/>
      </c>
      <c r="L514" s="14">
        <f>ROW()</f>
        <v>514</v>
      </c>
    </row>
    <row r="515" spans="1:12" ht="60" customHeight="1">
      <c r="A515" s="41"/>
      <c r="B515" s="43"/>
      <c r="C515" s="44"/>
      <c r="D515" s="51"/>
      <c r="E515" s="44"/>
      <c r="F515" s="44"/>
      <c r="G515" s="34">
        <f t="shared" si="28"/>
        <v>0</v>
      </c>
      <c r="H515" s="34" t="str">
        <f t="shared" si="29"/>
        <v/>
      </c>
      <c r="I515" s="52" t="str">
        <f t="shared" si="30"/>
        <v/>
      </c>
      <c r="J515" s="34">
        <f>IF(AND(A515&lt;&gt;"",ISTEXT(A515),COUNTIFS(Processos!$AS$10:$AS$509,"="&amp;SUBSTITUTE(SUBSTITUTE(SUBSTITUTE("P:"&amp;A515,"~","~~"),"*","~*"),"?","~?"))=1),(IF(ISNA(MATCH(SUBSTITUTE(SUBSTITUTE(SUBSTITUTE("P:"&amp;A515,"~","~~"),"*","~*"),"?","~?"),Processos!$AS$10:$AS$509,0)),9,INDEX(Processos!$AM$10:$AM$509,MATCH(SUBSTITUTE(SUBSTITUTE(SUBSTITUTE("P:"&amp;A515,"~","~~"),"*","~*"),"?","~?"),Processos!$AS$10:$AS$509,0)))-9),0)</f>
        <v>0</v>
      </c>
      <c r="K515" s="34" t="str">
        <f t="shared" si="31"/>
        <v/>
      </c>
      <c r="L515" s="14">
        <f>ROW()</f>
        <v>515</v>
      </c>
    </row>
    <row r="516" spans="1:12" ht="60" customHeight="1">
      <c r="A516" s="41"/>
      <c r="B516" s="43"/>
      <c r="C516" s="44"/>
      <c r="D516" s="51"/>
      <c r="E516" s="44"/>
      <c r="F516" s="44"/>
      <c r="G516" s="34">
        <f t="shared" si="28"/>
        <v>0</v>
      </c>
      <c r="H516" s="34" t="str">
        <f t="shared" si="29"/>
        <v/>
      </c>
      <c r="I516" s="52" t="str">
        <f t="shared" si="30"/>
        <v/>
      </c>
      <c r="J516" s="34">
        <f>IF(AND(A516&lt;&gt;"",ISTEXT(A516),COUNTIFS(Processos!$AS$10:$AS$509,"="&amp;SUBSTITUTE(SUBSTITUTE(SUBSTITUTE("P:"&amp;A516,"~","~~"),"*","~*"),"?","~?"))=1),(IF(ISNA(MATCH(SUBSTITUTE(SUBSTITUTE(SUBSTITUTE("P:"&amp;A516,"~","~~"),"*","~*"),"?","~?"),Processos!$AS$10:$AS$509,0)),9,INDEX(Processos!$AM$10:$AM$509,MATCH(SUBSTITUTE(SUBSTITUTE(SUBSTITUTE("P:"&amp;A516,"~","~~"),"*","~*"),"?","~?"),Processos!$AS$10:$AS$509,0)))-9),0)</f>
        <v>0</v>
      </c>
      <c r="K516" s="34" t="str">
        <f t="shared" si="31"/>
        <v/>
      </c>
      <c r="L516" s="14">
        <f>ROW()</f>
        <v>516</v>
      </c>
    </row>
    <row r="517" spans="1:12" ht="60" customHeight="1">
      <c r="A517" s="41"/>
      <c r="B517" s="43"/>
      <c r="C517" s="44"/>
      <c r="D517" s="51"/>
      <c r="E517" s="44"/>
      <c r="F517" s="44"/>
      <c r="G517" s="34">
        <f t="shared" si="28"/>
        <v>0</v>
      </c>
      <c r="H517" s="34" t="str">
        <f t="shared" si="29"/>
        <v/>
      </c>
      <c r="I517" s="52" t="str">
        <f t="shared" si="30"/>
        <v/>
      </c>
      <c r="J517" s="34">
        <f>IF(AND(A517&lt;&gt;"",ISTEXT(A517),COUNTIFS(Processos!$AS$10:$AS$509,"="&amp;SUBSTITUTE(SUBSTITUTE(SUBSTITUTE("P:"&amp;A517,"~","~~"),"*","~*"),"?","~?"))=1),(IF(ISNA(MATCH(SUBSTITUTE(SUBSTITUTE(SUBSTITUTE("P:"&amp;A517,"~","~~"),"*","~*"),"?","~?"),Processos!$AS$10:$AS$509,0)),9,INDEX(Processos!$AM$10:$AM$509,MATCH(SUBSTITUTE(SUBSTITUTE(SUBSTITUTE("P:"&amp;A517,"~","~~"),"*","~*"),"?","~?"),Processos!$AS$10:$AS$509,0)))-9),0)</f>
        <v>0</v>
      </c>
      <c r="K517" s="34" t="str">
        <f t="shared" si="31"/>
        <v/>
      </c>
      <c r="L517" s="14">
        <f>ROW()</f>
        <v>517</v>
      </c>
    </row>
    <row r="518" spans="1:12" ht="60" customHeight="1">
      <c r="A518" s="41"/>
      <c r="B518" s="43"/>
      <c r="C518" s="44"/>
      <c r="D518" s="51"/>
      <c r="E518" s="44"/>
      <c r="F518" s="44"/>
      <c r="G518" s="34">
        <f t="shared" si="28"/>
        <v>0</v>
      </c>
      <c r="H518" s="34" t="str">
        <f t="shared" si="29"/>
        <v/>
      </c>
      <c r="I518" s="52" t="str">
        <f t="shared" si="30"/>
        <v/>
      </c>
      <c r="J518" s="34">
        <f>IF(AND(A518&lt;&gt;"",ISTEXT(A518),COUNTIFS(Processos!$AS$10:$AS$509,"="&amp;SUBSTITUTE(SUBSTITUTE(SUBSTITUTE("P:"&amp;A518,"~","~~"),"*","~*"),"?","~?"))=1),(IF(ISNA(MATCH(SUBSTITUTE(SUBSTITUTE(SUBSTITUTE("P:"&amp;A518,"~","~~"),"*","~*"),"?","~?"),Processos!$AS$10:$AS$509,0)),9,INDEX(Processos!$AM$10:$AM$509,MATCH(SUBSTITUTE(SUBSTITUTE(SUBSTITUTE("P:"&amp;A518,"~","~~"),"*","~*"),"?","~?"),Processos!$AS$10:$AS$509,0)))-9),0)</f>
        <v>0</v>
      </c>
      <c r="K518" s="34" t="str">
        <f t="shared" si="31"/>
        <v/>
      </c>
      <c r="L518" s="14">
        <f>ROW()</f>
        <v>518</v>
      </c>
    </row>
    <row r="519" spans="1:12" ht="60" customHeight="1">
      <c r="A519" s="41"/>
      <c r="B519" s="43"/>
      <c r="C519" s="44"/>
      <c r="D519" s="51"/>
      <c r="E519" s="44"/>
      <c r="F519" s="44"/>
      <c r="G519" s="34">
        <f t="shared" si="28"/>
        <v>0</v>
      </c>
      <c r="H519" s="34" t="str">
        <f t="shared" si="29"/>
        <v/>
      </c>
      <c r="I519" s="52" t="str">
        <f t="shared" si="30"/>
        <v/>
      </c>
      <c r="J519" s="34">
        <f>IF(AND(A519&lt;&gt;"",ISTEXT(A519),COUNTIFS(Processos!$AS$10:$AS$509,"="&amp;SUBSTITUTE(SUBSTITUTE(SUBSTITUTE("P:"&amp;A519,"~","~~"),"*","~*"),"?","~?"))=1),(IF(ISNA(MATCH(SUBSTITUTE(SUBSTITUTE(SUBSTITUTE("P:"&amp;A519,"~","~~"),"*","~*"),"?","~?"),Processos!$AS$10:$AS$509,0)),9,INDEX(Processos!$AM$10:$AM$509,MATCH(SUBSTITUTE(SUBSTITUTE(SUBSTITUTE("P:"&amp;A519,"~","~~"),"*","~*"),"?","~?"),Processos!$AS$10:$AS$509,0)))-9),0)</f>
        <v>0</v>
      </c>
      <c r="K519" s="34" t="str">
        <f t="shared" si="31"/>
        <v/>
      </c>
      <c r="L519" s="14">
        <f>ROW()</f>
        <v>519</v>
      </c>
    </row>
    <row r="520" spans="1:12" ht="60" customHeight="1">
      <c r="A520" s="41"/>
      <c r="B520" s="43"/>
      <c r="C520" s="44"/>
      <c r="D520" s="51"/>
      <c r="E520" s="44"/>
      <c r="F520" s="44"/>
      <c r="G520" s="34">
        <f t="shared" si="28"/>
        <v>0</v>
      </c>
      <c r="H520" s="34" t="str">
        <f t="shared" si="29"/>
        <v/>
      </c>
      <c r="I520" s="52" t="str">
        <f t="shared" si="30"/>
        <v/>
      </c>
      <c r="J520" s="34">
        <f>IF(AND(A520&lt;&gt;"",ISTEXT(A520),COUNTIFS(Processos!$AS$10:$AS$509,"="&amp;SUBSTITUTE(SUBSTITUTE(SUBSTITUTE("P:"&amp;A520,"~","~~"),"*","~*"),"?","~?"))=1),(IF(ISNA(MATCH(SUBSTITUTE(SUBSTITUTE(SUBSTITUTE("P:"&amp;A520,"~","~~"),"*","~*"),"?","~?"),Processos!$AS$10:$AS$509,0)),9,INDEX(Processos!$AM$10:$AM$509,MATCH(SUBSTITUTE(SUBSTITUTE(SUBSTITUTE("P:"&amp;A520,"~","~~"),"*","~*"),"?","~?"),Processos!$AS$10:$AS$509,0)))-9),0)</f>
        <v>0</v>
      </c>
      <c r="K520" s="34" t="str">
        <f t="shared" si="31"/>
        <v/>
      </c>
      <c r="L520" s="14">
        <f>ROW()</f>
        <v>520</v>
      </c>
    </row>
    <row r="521" spans="1:12" ht="60" customHeight="1">
      <c r="A521" s="41"/>
      <c r="B521" s="43"/>
      <c r="C521" s="44"/>
      <c r="D521" s="51"/>
      <c r="E521" s="44"/>
      <c r="F521" s="44"/>
      <c r="G521" s="34">
        <f t="shared" si="28"/>
        <v>0</v>
      </c>
      <c r="H521" s="34" t="str">
        <f t="shared" si="29"/>
        <v/>
      </c>
      <c r="I521" s="52" t="str">
        <f t="shared" si="30"/>
        <v/>
      </c>
      <c r="J521" s="34">
        <f>IF(AND(A521&lt;&gt;"",ISTEXT(A521),COUNTIFS(Processos!$AS$10:$AS$509,"="&amp;SUBSTITUTE(SUBSTITUTE(SUBSTITUTE("P:"&amp;A521,"~","~~"),"*","~*"),"?","~?"))=1),(IF(ISNA(MATCH(SUBSTITUTE(SUBSTITUTE(SUBSTITUTE("P:"&amp;A521,"~","~~"),"*","~*"),"?","~?"),Processos!$AS$10:$AS$509,0)),9,INDEX(Processos!$AM$10:$AM$509,MATCH(SUBSTITUTE(SUBSTITUTE(SUBSTITUTE("P:"&amp;A521,"~","~~"),"*","~*"),"?","~?"),Processos!$AS$10:$AS$509,0)))-9),0)</f>
        <v>0</v>
      </c>
      <c r="K521" s="34" t="str">
        <f t="shared" si="31"/>
        <v/>
      </c>
      <c r="L521" s="14">
        <f>ROW()</f>
        <v>521</v>
      </c>
    </row>
    <row r="522" spans="1:12" ht="60" customHeight="1">
      <c r="A522" s="41"/>
      <c r="B522" s="43"/>
      <c r="C522" s="44"/>
      <c r="D522" s="51"/>
      <c r="E522" s="44"/>
      <c r="F522" s="44"/>
      <c r="G522" s="34">
        <f t="shared" ref="G522:G585" si="32">IF(AND(J522&gt;0,OR(B522="",AND(ISNUMBER(B522),B522&gt;=1,B522&lt;=100000)),ISNUMBER(D522),D522&gt;=1,D522&lt;=100000,C522&lt;&gt;""),1,0)</f>
        <v>0</v>
      </c>
      <c r="H522" s="34" t="str">
        <f t="shared" ref="H522:H585" si="33">IF(G522=1,K522&amp;"|"&amp;D522,"")</f>
        <v/>
      </c>
      <c r="I522" s="52" t="str">
        <f t="shared" ref="I522:I585" si="34">IF(COUNTA(A522:F522)=0,"",IF(A522="","Selecione o processo",IF(J522=0,"Processo inexistente, duplicado ou número não textual",IF(B522="","Informe a data do andamento",IF(C522="","Descreva o andamento",IF(D522="","Informe a data e hora do recebimento",IF(OR(NOT(ISNUMBER(B522)),B522&lt;1,B522&gt;100000),"Revise a data do andamento",IF(OR(NOT(ISNUMBER(D522)),D522&lt;1,D522&gt;100000),"Revise a data e hora do recebimento",IF(COUNTIFS($K$10:$K$2009,"="&amp;SUBSTITUTE(SUBSTITUTE(SUBSTITUTE("P:"&amp;A522,"~","~~"),"*","~*"),"?","~?"),$D$10:$D$2009,D522,$G$10:$G$2009,1)&gt;1,"Recebimentos empatados: revise a hora ou consolide o registro","")))))))))</f>
        <v/>
      </c>
      <c r="J522" s="34">
        <f>IF(AND(A522&lt;&gt;"",ISTEXT(A522),COUNTIFS(Processos!$AS$10:$AS$509,"="&amp;SUBSTITUTE(SUBSTITUTE(SUBSTITUTE("P:"&amp;A522,"~","~~"),"*","~*"),"?","~?"))=1),(IF(ISNA(MATCH(SUBSTITUTE(SUBSTITUTE(SUBSTITUTE("P:"&amp;A522,"~","~~"),"*","~*"),"?","~?"),Processos!$AS$10:$AS$509,0)),9,INDEX(Processos!$AM$10:$AM$509,MATCH(SUBSTITUTE(SUBSTITUTE(SUBSTITUTE("P:"&amp;A522,"~","~~"),"*","~*"),"?","~?"),Processos!$AS$10:$AS$509,0)))-9),0)</f>
        <v>0</v>
      </c>
      <c r="K522" s="34" t="str">
        <f t="shared" ref="K522:K585" si="35">IF(AND(A522&lt;&gt;"",ISTEXT(A522)),"P:"&amp;A522,"")</f>
        <v/>
      </c>
      <c r="L522" s="14">
        <f>ROW()</f>
        <v>522</v>
      </c>
    </row>
    <row r="523" spans="1:12" ht="60" customHeight="1">
      <c r="A523" s="41"/>
      <c r="B523" s="43"/>
      <c r="C523" s="44"/>
      <c r="D523" s="51"/>
      <c r="E523" s="44"/>
      <c r="F523" s="44"/>
      <c r="G523" s="34">
        <f t="shared" si="32"/>
        <v>0</v>
      </c>
      <c r="H523" s="34" t="str">
        <f t="shared" si="33"/>
        <v/>
      </c>
      <c r="I523" s="52" t="str">
        <f t="shared" si="34"/>
        <v/>
      </c>
      <c r="J523" s="34">
        <f>IF(AND(A523&lt;&gt;"",ISTEXT(A523),COUNTIFS(Processos!$AS$10:$AS$509,"="&amp;SUBSTITUTE(SUBSTITUTE(SUBSTITUTE("P:"&amp;A523,"~","~~"),"*","~*"),"?","~?"))=1),(IF(ISNA(MATCH(SUBSTITUTE(SUBSTITUTE(SUBSTITUTE("P:"&amp;A523,"~","~~"),"*","~*"),"?","~?"),Processos!$AS$10:$AS$509,0)),9,INDEX(Processos!$AM$10:$AM$509,MATCH(SUBSTITUTE(SUBSTITUTE(SUBSTITUTE("P:"&amp;A523,"~","~~"),"*","~*"),"?","~?"),Processos!$AS$10:$AS$509,0)))-9),0)</f>
        <v>0</v>
      </c>
      <c r="K523" s="34" t="str">
        <f t="shared" si="35"/>
        <v/>
      </c>
      <c r="L523" s="14">
        <f>ROW()</f>
        <v>523</v>
      </c>
    </row>
    <row r="524" spans="1:12" ht="60" customHeight="1">
      <c r="A524" s="41"/>
      <c r="B524" s="43"/>
      <c r="C524" s="44"/>
      <c r="D524" s="51"/>
      <c r="E524" s="44"/>
      <c r="F524" s="44"/>
      <c r="G524" s="34">
        <f t="shared" si="32"/>
        <v>0</v>
      </c>
      <c r="H524" s="34" t="str">
        <f t="shared" si="33"/>
        <v/>
      </c>
      <c r="I524" s="52" t="str">
        <f t="shared" si="34"/>
        <v/>
      </c>
      <c r="J524" s="34">
        <f>IF(AND(A524&lt;&gt;"",ISTEXT(A524),COUNTIFS(Processos!$AS$10:$AS$509,"="&amp;SUBSTITUTE(SUBSTITUTE(SUBSTITUTE("P:"&amp;A524,"~","~~"),"*","~*"),"?","~?"))=1),(IF(ISNA(MATCH(SUBSTITUTE(SUBSTITUTE(SUBSTITUTE("P:"&amp;A524,"~","~~"),"*","~*"),"?","~?"),Processos!$AS$10:$AS$509,0)),9,INDEX(Processos!$AM$10:$AM$509,MATCH(SUBSTITUTE(SUBSTITUTE(SUBSTITUTE("P:"&amp;A524,"~","~~"),"*","~*"),"?","~?"),Processos!$AS$10:$AS$509,0)))-9),0)</f>
        <v>0</v>
      </c>
      <c r="K524" s="34" t="str">
        <f t="shared" si="35"/>
        <v/>
      </c>
      <c r="L524" s="14">
        <f>ROW()</f>
        <v>524</v>
      </c>
    </row>
    <row r="525" spans="1:12" ht="60" customHeight="1">
      <c r="A525" s="41"/>
      <c r="B525" s="43"/>
      <c r="C525" s="44"/>
      <c r="D525" s="51"/>
      <c r="E525" s="44"/>
      <c r="F525" s="44"/>
      <c r="G525" s="34">
        <f t="shared" si="32"/>
        <v>0</v>
      </c>
      <c r="H525" s="34" t="str">
        <f t="shared" si="33"/>
        <v/>
      </c>
      <c r="I525" s="52" t="str">
        <f t="shared" si="34"/>
        <v/>
      </c>
      <c r="J525" s="34">
        <f>IF(AND(A525&lt;&gt;"",ISTEXT(A525),COUNTIFS(Processos!$AS$10:$AS$509,"="&amp;SUBSTITUTE(SUBSTITUTE(SUBSTITUTE("P:"&amp;A525,"~","~~"),"*","~*"),"?","~?"))=1),(IF(ISNA(MATCH(SUBSTITUTE(SUBSTITUTE(SUBSTITUTE("P:"&amp;A525,"~","~~"),"*","~*"),"?","~?"),Processos!$AS$10:$AS$509,0)),9,INDEX(Processos!$AM$10:$AM$509,MATCH(SUBSTITUTE(SUBSTITUTE(SUBSTITUTE("P:"&amp;A525,"~","~~"),"*","~*"),"?","~?"),Processos!$AS$10:$AS$509,0)))-9),0)</f>
        <v>0</v>
      </c>
      <c r="K525" s="34" t="str">
        <f t="shared" si="35"/>
        <v/>
      </c>
      <c r="L525" s="14">
        <f>ROW()</f>
        <v>525</v>
      </c>
    </row>
    <row r="526" spans="1:12" ht="60" customHeight="1">
      <c r="A526" s="41"/>
      <c r="B526" s="43"/>
      <c r="C526" s="44"/>
      <c r="D526" s="51"/>
      <c r="E526" s="44"/>
      <c r="F526" s="44"/>
      <c r="G526" s="34">
        <f t="shared" si="32"/>
        <v>0</v>
      </c>
      <c r="H526" s="34" t="str">
        <f t="shared" si="33"/>
        <v/>
      </c>
      <c r="I526" s="52" t="str">
        <f t="shared" si="34"/>
        <v/>
      </c>
      <c r="J526" s="34">
        <f>IF(AND(A526&lt;&gt;"",ISTEXT(A526),COUNTIFS(Processos!$AS$10:$AS$509,"="&amp;SUBSTITUTE(SUBSTITUTE(SUBSTITUTE("P:"&amp;A526,"~","~~"),"*","~*"),"?","~?"))=1),(IF(ISNA(MATCH(SUBSTITUTE(SUBSTITUTE(SUBSTITUTE("P:"&amp;A526,"~","~~"),"*","~*"),"?","~?"),Processos!$AS$10:$AS$509,0)),9,INDEX(Processos!$AM$10:$AM$509,MATCH(SUBSTITUTE(SUBSTITUTE(SUBSTITUTE("P:"&amp;A526,"~","~~"),"*","~*"),"?","~?"),Processos!$AS$10:$AS$509,0)))-9),0)</f>
        <v>0</v>
      </c>
      <c r="K526" s="34" t="str">
        <f t="shared" si="35"/>
        <v/>
      </c>
      <c r="L526" s="14">
        <f>ROW()</f>
        <v>526</v>
      </c>
    </row>
    <row r="527" spans="1:12" ht="60" customHeight="1">
      <c r="A527" s="41"/>
      <c r="B527" s="43"/>
      <c r="C527" s="44"/>
      <c r="D527" s="51"/>
      <c r="E527" s="44"/>
      <c r="F527" s="44"/>
      <c r="G527" s="34">
        <f t="shared" si="32"/>
        <v>0</v>
      </c>
      <c r="H527" s="34" t="str">
        <f t="shared" si="33"/>
        <v/>
      </c>
      <c r="I527" s="52" t="str">
        <f t="shared" si="34"/>
        <v/>
      </c>
      <c r="J527" s="34">
        <f>IF(AND(A527&lt;&gt;"",ISTEXT(A527),COUNTIFS(Processos!$AS$10:$AS$509,"="&amp;SUBSTITUTE(SUBSTITUTE(SUBSTITUTE("P:"&amp;A527,"~","~~"),"*","~*"),"?","~?"))=1),(IF(ISNA(MATCH(SUBSTITUTE(SUBSTITUTE(SUBSTITUTE("P:"&amp;A527,"~","~~"),"*","~*"),"?","~?"),Processos!$AS$10:$AS$509,0)),9,INDEX(Processos!$AM$10:$AM$509,MATCH(SUBSTITUTE(SUBSTITUTE(SUBSTITUTE("P:"&amp;A527,"~","~~"),"*","~*"),"?","~?"),Processos!$AS$10:$AS$509,0)))-9),0)</f>
        <v>0</v>
      </c>
      <c r="K527" s="34" t="str">
        <f t="shared" si="35"/>
        <v/>
      </c>
      <c r="L527" s="14">
        <f>ROW()</f>
        <v>527</v>
      </c>
    </row>
    <row r="528" spans="1:12" ht="60" customHeight="1">
      <c r="A528" s="41"/>
      <c r="B528" s="43"/>
      <c r="C528" s="44"/>
      <c r="D528" s="51"/>
      <c r="E528" s="44"/>
      <c r="F528" s="44"/>
      <c r="G528" s="34">
        <f t="shared" si="32"/>
        <v>0</v>
      </c>
      <c r="H528" s="34" t="str">
        <f t="shared" si="33"/>
        <v/>
      </c>
      <c r="I528" s="52" t="str">
        <f t="shared" si="34"/>
        <v/>
      </c>
      <c r="J528" s="34">
        <f>IF(AND(A528&lt;&gt;"",ISTEXT(A528),COUNTIFS(Processos!$AS$10:$AS$509,"="&amp;SUBSTITUTE(SUBSTITUTE(SUBSTITUTE("P:"&amp;A528,"~","~~"),"*","~*"),"?","~?"))=1),(IF(ISNA(MATCH(SUBSTITUTE(SUBSTITUTE(SUBSTITUTE("P:"&amp;A528,"~","~~"),"*","~*"),"?","~?"),Processos!$AS$10:$AS$509,0)),9,INDEX(Processos!$AM$10:$AM$509,MATCH(SUBSTITUTE(SUBSTITUTE(SUBSTITUTE("P:"&amp;A528,"~","~~"),"*","~*"),"?","~?"),Processos!$AS$10:$AS$509,0)))-9),0)</f>
        <v>0</v>
      </c>
      <c r="K528" s="34" t="str">
        <f t="shared" si="35"/>
        <v/>
      </c>
      <c r="L528" s="14">
        <f>ROW()</f>
        <v>528</v>
      </c>
    </row>
    <row r="529" spans="1:12" ht="60" customHeight="1">
      <c r="A529" s="41"/>
      <c r="B529" s="43"/>
      <c r="C529" s="44"/>
      <c r="D529" s="51"/>
      <c r="E529" s="44"/>
      <c r="F529" s="44"/>
      <c r="G529" s="34">
        <f t="shared" si="32"/>
        <v>0</v>
      </c>
      <c r="H529" s="34" t="str">
        <f t="shared" si="33"/>
        <v/>
      </c>
      <c r="I529" s="52" t="str">
        <f t="shared" si="34"/>
        <v/>
      </c>
      <c r="J529" s="34">
        <f>IF(AND(A529&lt;&gt;"",ISTEXT(A529),COUNTIFS(Processos!$AS$10:$AS$509,"="&amp;SUBSTITUTE(SUBSTITUTE(SUBSTITUTE("P:"&amp;A529,"~","~~"),"*","~*"),"?","~?"))=1),(IF(ISNA(MATCH(SUBSTITUTE(SUBSTITUTE(SUBSTITUTE("P:"&amp;A529,"~","~~"),"*","~*"),"?","~?"),Processos!$AS$10:$AS$509,0)),9,INDEX(Processos!$AM$10:$AM$509,MATCH(SUBSTITUTE(SUBSTITUTE(SUBSTITUTE("P:"&amp;A529,"~","~~"),"*","~*"),"?","~?"),Processos!$AS$10:$AS$509,0)))-9),0)</f>
        <v>0</v>
      </c>
      <c r="K529" s="34" t="str">
        <f t="shared" si="35"/>
        <v/>
      </c>
      <c r="L529" s="14">
        <f>ROW()</f>
        <v>529</v>
      </c>
    </row>
    <row r="530" spans="1:12" ht="60" customHeight="1">
      <c r="A530" s="41"/>
      <c r="B530" s="43"/>
      <c r="C530" s="44"/>
      <c r="D530" s="51"/>
      <c r="E530" s="44"/>
      <c r="F530" s="44"/>
      <c r="G530" s="34">
        <f t="shared" si="32"/>
        <v>0</v>
      </c>
      <c r="H530" s="34" t="str">
        <f t="shared" si="33"/>
        <v/>
      </c>
      <c r="I530" s="52" t="str">
        <f t="shared" si="34"/>
        <v/>
      </c>
      <c r="J530" s="34">
        <f>IF(AND(A530&lt;&gt;"",ISTEXT(A530),COUNTIFS(Processos!$AS$10:$AS$509,"="&amp;SUBSTITUTE(SUBSTITUTE(SUBSTITUTE("P:"&amp;A530,"~","~~"),"*","~*"),"?","~?"))=1),(IF(ISNA(MATCH(SUBSTITUTE(SUBSTITUTE(SUBSTITUTE("P:"&amp;A530,"~","~~"),"*","~*"),"?","~?"),Processos!$AS$10:$AS$509,0)),9,INDEX(Processos!$AM$10:$AM$509,MATCH(SUBSTITUTE(SUBSTITUTE(SUBSTITUTE("P:"&amp;A530,"~","~~"),"*","~*"),"?","~?"),Processos!$AS$10:$AS$509,0)))-9),0)</f>
        <v>0</v>
      </c>
      <c r="K530" s="34" t="str">
        <f t="shared" si="35"/>
        <v/>
      </c>
      <c r="L530" s="14">
        <f>ROW()</f>
        <v>530</v>
      </c>
    </row>
    <row r="531" spans="1:12" ht="60" customHeight="1">
      <c r="A531" s="41"/>
      <c r="B531" s="43"/>
      <c r="C531" s="44"/>
      <c r="D531" s="51"/>
      <c r="E531" s="44"/>
      <c r="F531" s="44"/>
      <c r="G531" s="34">
        <f t="shared" si="32"/>
        <v>0</v>
      </c>
      <c r="H531" s="34" t="str">
        <f t="shared" si="33"/>
        <v/>
      </c>
      <c r="I531" s="52" t="str">
        <f t="shared" si="34"/>
        <v/>
      </c>
      <c r="J531" s="34">
        <f>IF(AND(A531&lt;&gt;"",ISTEXT(A531),COUNTIFS(Processos!$AS$10:$AS$509,"="&amp;SUBSTITUTE(SUBSTITUTE(SUBSTITUTE("P:"&amp;A531,"~","~~"),"*","~*"),"?","~?"))=1),(IF(ISNA(MATCH(SUBSTITUTE(SUBSTITUTE(SUBSTITUTE("P:"&amp;A531,"~","~~"),"*","~*"),"?","~?"),Processos!$AS$10:$AS$509,0)),9,INDEX(Processos!$AM$10:$AM$509,MATCH(SUBSTITUTE(SUBSTITUTE(SUBSTITUTE("P:"&amp;A531,"~","~~"),"*","~*"),"?","~?"),Processos!$AS$10:$AS$509,0)))-9),0)</f>
        <v>0</v>
      </c>
      <c r="K531" s="34" t="str">
        <f t="shared" si="35"/>
        <v/>
      </c>
      <c r="L531" s="14">
        <f>ROW()</f>
        <v>531</v>
      </c>
    </row>
    <row r="532" spans="1:12" ht="60" customHeight="1">
      <c r="A532" s="41"/>
      <c r="B532" s="43"/>
      <c r="C532" s="44"/>
      <c r="D532" s="51"/>
      <c r="E532" s="44"/>
      <c r="F532" s="44"/>
      <c r="G532" s="34">
        <f t="shared" si="32"/>
        <v>0</v>
      </c>
      <c r="H532" s="34" t="str">
        <f t="shared" si="33"/>
        <v/>
      </c>
      <c r="I532" s="52" t="str">
        <f t="shared" si="34"/>
        <v/>
      </c>
      <c r="J532" s="34">
        <f>IF(AND(A532&lt;&gt;"",ISTEXT(A532),COUNTIFS(Processos!$AS$10:$AS$509,"="&amp;SUBSTITUTE(SUBSTITUTE(SUBSTITUTE("P:"&amp;A532,"~","~~"),"*","~*"),"?","~?"))=1),(IF(ISNA(MATCH(SUBSTITUTE(SUBSTITUTE(SUBSTITUTE("P:"&amp;A532,"~","~~"),"*","~*"),"?","~?"),Processos!$AS$10:$AS$509,0)),9,INDEX(Processos!$AM$10:$AM$509,MATCH(SUBSTITUTE(SUBSTITUTE(SUBSTITUTE("P:"&amp;A532,"~","~~"),"*","~*"),"?","~?"),Processos!$AS$10:$AS$509,0)))-9),0)</f>
        <v>0</v>
      </c>
      <c r="K532" s="34" t="str">
        <f t="shared" si="35"/>
        <v/>
      </c>
      <c r="L532" s="14">
        <f>ROW()</f>
        <v>532</v>
      </c>
    </row>
    <row r="533" spans="1:12" ht="60" customHeight="1">
      <c r="A533" s="41"/>
      <c r="B533" s="43"/>
      <c r="C533" s="44"/>
      <c r="D533" s="51"/>
      <c r="E533" s="44"/>
      <c r="F533" s="44"/>
      <c r="G533" s="34">
        <f t="shared" si="32"/>
        <v>0</v>
      </c>
      <c r="H533" s="34" t="str">
        <f t="shared" si="33"/>
        <v/>
      </c>
      <c r="I533" s="52" t="str">
        <f t="shared" si="34"/>
        <v/>
      </c>
      <c r="J533" s="34">
        <f>IF(AND(A533&lt;&gt;"",ISTEXT(A533),COUNTIFS(Processos!$AS$10:$AS$509,"="&amp;SUBSTITUTE(SUBSTITUTE(SUBSTITUTE("P:"&amp;A533,"~","~~"),"*","~*"),"?","~?"))=1),(IF(ISNA(MATCH(SUBSTITUTE(SUBSTITUTE(SUBSTITUTE("P:"&amp;A533,"~","~~"),"*","~*"),"?","~?"),Processos!$AS$10:$AS$509,0)),9,INDEX(Processos!$AM$10:$AM$509,MATCH(SUBSTITUTE(SUBSTITUTE(SUBSTITUTE("P:"&amp;A533,"~","~~"),"*","~*"),"?","~?"),Processos!$AS$10:$AS$509,0)))-9),0)</f>
        <v>0</v>
      </c>
      <c r="K533" s="34" t="str">
        <f t="shared" si="35"/>
        <v/>
      </c>
      <c r="L533" s="14">
        <f>ROW()</f>
        <v>533</v>
      </c>
    </row>
    <row r="534" spans="1:12" ht="60" customHeight="1">
      <c r="A534" s="41"/>
      <c r="B534" s="43"/>
      <c r="C534" s="44"/>
      <c r="D534" s="51"/>
      <c r="E534" s="44"/>
      <c r="F534" s="44"/>
      <c r="G534" s="34">
        <f t="shared" si="32"/>
        <v>0</v>
      </c>
      <c r="H534" s="34" t="str">
        <f t="shared" si="33"/>
        <v/>
      </c>
      <c r="I534" s="52" t="str">
        <f t="shared" si="34"/>
        <v/>
      </c>
      <c r="J534" s="34">
        <f>IF(AND(A534&lt;&gt;"",ISTEXT(A534),COUNTIFS(Processos!$AS$10:$AS$509,"="&amp;SUBSTITUTE(SUBSTITUTE(SUBSTITUTE("P:"&amp;A534,"~","~~"),"*","~*"),"?","~?"))=1),(IF(ISNA(MATCH(SUBSTITUTE(SUBSTITUTE(SUBSTITUTE("P:"&amp;A534,"~","~~"),"*","~*"),"?","~?"),Processos!$AS$10:$AS$509,0)),9,INDEX(Processos!$AM$10:$AM$509,MATCH(SUBSTITUTE(SUBSTITUTE(SUBSTITUTE("P:"&amp;A534,"~","~~"),"*","~*"),"?","~?"),Processos!$AS$10:$AS$509,0)))-9),0)</f>
        <v>0</v>
      </c>
      <c r="K534" s="34" t="str">
        <f t="shared" si="35"/>
        <v/>
      </c>
      <c r="L534" s="14">
        <f>ROW()</f>
        <v>534</v>
      </c>
    </row>
    <row r="535" spans="1:12" ht="60" customHeight="1">
      <c r="A535" s="41"/>
      <c r="B535" s="43"/>
      <c r="C535" s="44"/>
      <c r="D535" s="51"/>
      <c r="E535" s="44"/>
      <c r="F535" s="44"/>
      <c r="G535" s="34">
        <f t="shared" si="32"/>
        <v>0</v>
      </c>
      <c r="H535" s="34" t="str">
        <f t="shared" si="33"/>
        <v/>
      </c>
      <c r="I535" s="52" t="str">
        <f t="shared" si="34"/>
        <v/>
      </c>
      <c r="J535" s="34">
        <f>IF(AND(A535&lt;&gt;"",ISTEXT(A535),COUNTIFS(Processos!$AS$10:$AS$509,"="&amp;SUBSTITUTE(SUBSTITUTE(SUBSTITUTE("P:"&amp;A535,"~","~~"),"*","~*"),"?","~?"))=1),(IF(ISNA(MATCH(SUBSTITUTE(SUBSTITUTE(SUBSTITUTE("P:"&amp;A535,"~","~~"),"*","~*"),"?","~?"),Processos!$AS$10:$AS$509,0)),9,INDEX(Processos!$AM$10:$AM$509,MATCH(SUBSTITUTE(SUBSTITUTE(SUBSTITUTE("P:"&amp;A535,"~","~~"),"*","~*"),"?","~?"),Processos!$AS$10:$AS$509,0)))-9),0)</f>
        <v>0</v>
      </c>
      <c r="K535" s="34" t="str">
        <f t="shared" si="35"/>
        <v/>
      </c>
      <c r="L535" s="14">
        <f>ROW()</f>
        <v>535</v>
      </c>
    </row>
    <row r="536" spans="1:12" ht="60" customHeight="1">
      <c r="A536" s="41"/>
      <c r="B536" s="43"/>
      <c r="C536" s="44"/>
      <c r="D536" s="51"/>
      <c r="E536" s="44"/>
      <c r="F536" s="44"/>
      <c r="G536" s="34">
        <f t="shared" si="32"/>
        <v>0</v>
      </c>
      <c r="H536" s="34" t="str">
        <f t="shared" si="33"/>
        <v/>
      </c>
      <c r="I536" s="52" t="str">
        <f t="shared" si="34"/>
        <v/>
      </c>
      <c r="J536" s="34">
        <f>IF(AND(A536&lt;&gt;"",ISTEXT(A536),COUNTIFS(Processos!$AS$10:$AS$509,"="&amp;SUBSTITUTE(SUBSTITUTE(SUBSTITUTE("P:"&amp;A536,"~","~~"),"*","~*"),"?","~?"))=1),(IF(ISNA(MATCH(SUBSTITUTE(SUBSTITUTE(SUBSTITUTE("P:"&amp;A536,"~","~~"),"*","~*"),"?","~?"),Processos!$AS$10:$AS$509,0)),9,INDEX(Processos!$AM$10:$AM$509,MATCH(SUBSTITUTE(SUBSTITUTE(SUBSTITUTE("P:"&amp;A536,"~","~~"),"*","~*"),"?","~?"),Processos!$AS$10:$AS$509,0)))-9),0)</f>
        <v>0</v>
      </c>
      <c r="K536" s="34" t="str">
        <f t="shared" si="35"/>
        <v/>
      </c>
      <c r="L536" s="14">
        <f>ROW()</f>
        <v>536</v>
      </c>
    </row>
    <row r="537" spans="1:12" ht="60" customHeight="1">
      <c r="A537" s="41"/>
      <c r="B537" s="43"/>
      <c r="C537" s="44"/>
      <c r="D537" s="51"/>
      <c r="E537" s="44"/>
      <c r="F537" s="44"/>
      <c r="G537" s="34">
        <f t="shared" si="32"/>
        <v>0</v>
      </c>
      <c r="H537" s="34" t="str">
        <f t="shared" si="33"/>
        <v/>
      </c>
      <c r="I537" s="52" t="str">
        <f t="shared" si="34"/>
        <v/>
      </c>
      <c r="J537" s="34">
        <f>IF(AND(A537&lt;&gt;"",ISTEXT(A537),COUNTIFS(Processos!$AS$10:$AS$509,"="&amp;SUBSTITUTE(SUBSTITUTE(SUBSTITUTE("P:"&amp;A537,"~","~~"),"*","~*"),"?","~?"))=1),(IF(ISNA(MATCH(SUBSTITUTE(SUBSTITUTE(SUBSTITUTE("P:"&amp;A537,"~","~~"),"*","~*"),"?","~?"),Processos!$AS$10:$AS$509,0)),9,INDEX(Processos!$AM$10:$AM$509,MATCH(SUBSTITUTE(SUBSTITUTE(SUBSTITUTE("P:"&amp;A537,"~","~~"),"*","~*"),"?","~?"),Processos!$AS$10:$AS$509,0)))-9),0)</f>
        <v>0</v>
      </c>
      <c r="K537" s="34" t="str">
        <f t="shared" si="35"/>
        <v/>
      </c>
      <c r="L537" s="14">
        <f>ROW()</f>
        <v>537</v>
      </c>
    </row>
    <row r="538" spans="1:12" ht="60" customHeight="1">
      <c r="A538" s="41"/>
      <c r="B538" s="43"/>
      <c r="C538" s="44"/>
      <c r="D538" s="51"/>
      <c r="E538" s="44"/>
      <c r="F538" s="44"/>
      <c r="G538" s="34">
        <f t="shared" si="32"/>
        <v>0</v>
      </c>
      <c r="H538" s="34" t="str">
        <f t="shared" si="33"/>
        <v/>
      </c>
      <c r="I538" s="52" t="str">
        <f t="shared" si="34"/>
        <v/>
      </c>
      <c r="J538" s="34">
        <f>IF(AND(A538&lt;&gt;"",ISTEXT(A538),COUNTIFS(Processos!$AS$10:$AS$509,"="&amp;SUBSTITUTE(SUBSTITUTE(SUBSTITUTE("P:"&amp;A538,"~","~~"),"*","~*"),"?","~?"))=1),(IF(ISNA(MATCH(SUBSTITUTE(SUBSTITUTE(SUBSTITUTE("P:"&amp;A538,"~","~~"),"*","~*"),"?","~?"),Processos!$AS$10:$AS$509,0)),9,INDEX(Processos!$AM$10:$AM$509,MATCH(SUBSTITUTE(SUBSTITUTE(SUBSTITUTE("P:"&amp;A538,"~","~~"),"*","~*"),"?","~?"),Processos!$AS$10:$AS$509,0)))-9),0)</f>
        <v>0</v>
      </c>
      <c r="K538" s="34" t="str">
        <f t="shared" si="35"/>
        <v/>
      </c>
      <c r="L538" s="14">
        <f>ROW()</f>
        <v>538</v>
      </c>
    </row>
    <row r="539" spans="1:12" ht="60" customHeight="1">
      <c r="A539" s="41"/>
      <c r="B539" s="43"/>
      <c r="C539" s="44"/>
      <c r="D539" s="51"/>
      <c r="E539" s="44"/>
      <c r="F539" s="44"/>
      <c r="G539" s="34">
        <f t="shared" si="32"/>
        <v>0</v>
      </c>
      <c r="H539" s="34" t="str">
        <f t="shared" si="33"/>
        <v/>
      </c>
      <c r="I539" s="52" t="str">
        <f t="shared" si="34"/>
        <v/>
      </c>
      <c r="J539" s="34">
        <f>IF(AND(A539&lt;&gt;"",ISTEXT(A539),COUNTIFS(Processos!$AS$10:$AS$509,"="&amp;SUBSTITUTE(SUBSTITUTE(SUBSTITUTE("P:"&amp;A539,"~","~~"),"*","~*"),"?","~?"))=1),(IF(ISNA(MATCH(SUBSTITUTE(SUBSTITUTE(SUBSTITUTE("P:"&amp;A539,"~","~~"),"*","~*"),"?","~?"),Processos!$AS$10:$AS$509,0)),9,INDEX(Processos!$AM$10:$AM$509,MATCH(SUBSTITUTE(SUBSTITUTE(SUBSTITUTE("P:"&amp;A539,"~","~~"),"*","~*"),"?","~?"),Processos!$AS$10:$AS$509,0)))-9),0)</f>
        <v>0</v>
      </c>
      <c r="K539" s="34" t="str">
        <f t="shared" si="35"/>
        <v/>
      </c>
      <c r="L539" s="14">
        <f>ROW()</f>
        <v>539</v>
      </c>
    </row>
    <row r="540" spans="1:12" ht="60" customHeight="1">
      <c r="A540" s="41"/>
      <c r="B540" s="43"/>
      <c r="C540" s="44"/>
      <c r="D540" s="51"/>
      <c r="E540" s="44"/>
      <c r="F540" s="44"/>
      <c r="G540" s="34">
        <f t="shared" si="32"/>
        <v>0</v>
      </c>
      <c r="H540" s="34" t="str">
        <f t="shared" si="33"/>
        <v/>
      </c>
      <c r="I540" s="52" t="str">
        <f t="shared" si="34"/>
        <v/>
      </c>
      <c r="J540" s="34">
        <f>IF(AND(A540&lt;&gt;"",ISTEXT(A540),COUNTIFS(Processos!$AS$10:$AS$509,"="&amp;SUBSTITUTE(SUBSTITUTE(SUBSTITUTE("P:"&amp;A540,"~","~~"),"*","~*"),"?","~?"))=1),(IF(ISNA(MATCH(SUBSTITUTE(SUBSTITUTE(SUBSTITUTE("P:"&amp;A540,"~","~~"),"*","~*"),"?","~?"),Processos!$AS$10:$AS$509,0)),9,INDEX(Processos!$AM$10:$AM$509,MATCH(SUBSTITUTE(SUBSTITUTE(SUBSTITUTE("P:"&amp;A540,"~","~~"),"*","~*"),"?","~?"),Processos!$AS$10:$AS$509,0)))-9),0)</f>
        <v>0</v>
      </c>
      <c r="K540" s="34" t="str">
        <f t="shared" si="35"/>
        <v/>
      </c>
      <c r="L540" s="14">
        <f>ROW()</f>
        <v>540</v>
      </c>
    </row>
    <row r="541" spans="1:12" ht="60" customHeight="1">
      <c r="A541" s="41"/>
      <c r="B541" s="43"/>
      <c r="C541" s="44"/>
      <c r="D541" s="51"/>
      <c r="E541" s="44"/>
      <c r="F541" s="44"/>
      <c r="G541" s="34">
        <f t="shared" si="32"/>
        <v>0</v>
      </c>
      <c r="H541" s="34" t="str">
        <f t="shared" si="33"/>
        <v/>
      </c>
      <c r="I541" s="52" t="str">
        <f t="shared" si="34"/>
        <v/>
      </c>
      <c r="J541" s="34">
        <f>IF(AND(A541&lt;&gt;"",ISTEXT(A541),COUNTIFS(Processos!$AS$10:$AS$509,"="&amp;SUBSTITUTE(SUBSTITUTE(SUBSTITUTE("P:"&amp;A541,"~","~~"),"*","~*"),"?","~?"))=1),(IF(ISNA(MATCH(SUBSTITUTE(SUBSTITUTE(SUBSTITUTE("P:"&amp;A541,"~","~~"),"*","~*"),"?","~?"),Processos!$AS$10:$AS$509,0)),9,INDEX(Processos!$AM$10:$AM$509,MATCH(SUBSTITUTE(SUBSTITUTE(SUBSTITUTE("P:"&amp;A541,"~","~~"),"*","~*"),"?","~?"),Processos!$AS$10:$AS$509,0)))-9),0)</f>
        <v>0</v>
      </c>
      <c r="K541" s="34" t="str">
        <f t="shared" si="35"/>
        <v/>
      </c>
      <c r="L541" s="14">
        <f>ROW()</f>
        <v>541</v>
      </c>
    </row>
    <row r="542" spans="1:12" ht="60" customHeight="1">
      <c r="A542" s="41"/>
      <c r="B542" s="43"/>
      <c r="C542" s="44"/>
      <c r="D542" s="51"/>
      <c r="E542" s="44"/>
      <c r="F542" s="44"/>
      <c r="G542" s="34">
        <f t="shared" si="32"/>
        <v>0</v>
      </c>
      <c r="H542" s="34" t="str">
        <f t="shared" si="33"/>
        <v/>
      </c>
      <c r="I542" s="52" t="str">
        <f t="shared" si="34"/>
        <v/>
      </c>
      <c r="J542" s="34">
        <f>IF(AND(A542&lt;&gt;"",ISTEXT(A542),COUNTIFS(Processos!$AS$10:$AS$509,"="&amp;SUBSTITUTE(SUBSTITUTE(SUBSTITUTE("P:"&amp;A542,"~","~~"),"*","~*"),"?","~?"))=1),(IF(ISNA(MATCH(SUBSTITUTE(SUBSTITUTE(SUBSTITUTE("P:"&amp;A542,"~","~~"),"*","~*"),"?","~?"),Processos!$AS$10:$AS$509,0)),9,INDEX(Processos!$AM$10:$AM$509,MATCH(SUBSTITUTE(SUBSTITUTE(SUBSTITUTE("P:"&amp;A542,"~","~~"),"*","~*"),"?","~?"),Processos!$AS$10:$AS$509,0)))-9),0)</f>
        <v>0</v>
      </c>
      <c r="K542" s="34" t="str">
        <f t="shared" si="35"/>
        <v/>
      </c>
      <c r="L542" s="14">
        <f>ROW()</f>
        <v>542</v>
      </c>
    </row>
    <row r="543" spans="1:12" ht="60" customHeight="1">
      <c r="A543" s="41"/>
      <c r="B543" s="43"/>
      <c r="C543" s="44"/>
      <c r="D543" s="51"/>
      <c r="E543" s="44"/>
      <c r="F543" s="44"/>
      <c r="G543" s="34">
        <f t="shared" si="32"/>
        <v>0</v>
      </c>
      <c r="H543" s="34" t="str">
        <f t="shared" si="33"/>
        <v/>
      </c>
      <c r="I543" s="52" t="str">
        <f t="shared" si="34"/>
        <v/>
      </c>
      <c r="J543" s="34">
        <f>IF(AND(A543&lt;&gt;"",ISTEXT(A543),COUNTIFS(Processos!$AS$10:$AS$509,"="&amp;SUBSTITUTE(SUBSTITUTE(SUBSTITUTE("P:"&amp;A543,"~","~~"),"*","~*"),"?","~?"))=1),(IF(ISNA(MATCH(SUBSTITUTE(SUBSTITUTE(SUBSTITUTE("P:"&amp;A543,"~","~~"),"*","~*"),"?","~?"),Processos!$AS$10:$AS$509,0)),9,INDEX(Processos!$AM$10:$AM$509,MATCH(SUBSTITUTE(SUBSTITUTE(SUBSTITUTE("P:"&amp;A543,"~","~~"),"*","~*"),"?","~?"),Processos!$AS$10:$AS$509,0)))-9),0)</f>
        <v>0</v>
      </c>
      <c r="K543" s="34" t="str">
        <f t="shared" si="35"/>
        <v/>
      </c>
      <c r="L543" s="14">
        <f>ROW()</f>
        <v>543</v>
      </c>
    </row>
    <row r="544" spans="1:12" ht="60" customHeight="1">
      <c r="A544" s="41"/>
      <c r="B544" s="43"/>
      <c r="C544" s="44"/>
      <c r="D544" s="51"/>
      <c r="E544" s="44"/>
      <c r="F544" s="44"/>
      <c r="G544" s="34">
        <f t="shared" si="32"/>
        <v>0</v>
      </c>
      <c r="H544" s="34" t="str">
        <f t="shared" si="33"/>
        <v/>
      </c>
      <c r="I544" s="52" t="str">
        <f t="shared" si="34"/>
        <v/>
      </c>
      <c r="J544" s="34">
        <f>IF(AND(A544&lt;&gt;"",ISTEXT(A544),COUNTIFS(Processos!$AS$10:$AS$509,"="&amp;SUBSTITUTE(SUBSTITUTE(SUBSTITUTE("P:"&amp;A544,"~","~~"),"*","~*"),"?","~?"))=1),(IF(ISNA(MATCH(SUBSTITUTE(SUBSTITUTE(SUBSTITUTE("P:"&amp;A544,"~","~~"),"*","~*"),"?","~?"),Processos!$AS$10:$AS$509,0)),9,INDEX(Processos!$AM$10:$AM$509,MATCH(SUBSTITUTE(SUBSTITUTE(SUBSTITUTE("P:"&amp;A544,"~","~~"),"*","~*"),"?","~?"),Processos!$AS$10:$AS$509,0)))-9),0)</f>
        <v>0</v>
      </c>
      <c r="K544" s="34" t="str">
        <f t="shared" si="35"/>
        <v/>
      </c>
      <c r="L544" s="14">
        <f>ROW()</f>
        <v>544</v>
      </c>
    </row>
    <row r="545" spans="1:12" ht="60" customHeight="1">
      <c r="A545" s="41"/>
      <c r="B545" s="43"/>
      <c r="C545" s="44"/>
      <c r="D545" s="51"/>
      <c r="E545" s="44"/>
      <c r="F545" s="44"/>
      <c r="G545" s="34">
        <f t="shared" si="32"/>
        <v>0</v>
      </c>
      <c r="H545" s="34" t="str">
        <f t="shared" si="33"/>
        <v/>
      </c>
      <c r="I545" s="52" t="str">
        <f t="shared" si="34"/>
        <v/>
      </c>
      <c r="J545" s="34">
        <f>IF(AND(A545&lt;&gt;"",ISTEXT(A545),COUNTIFS(Processos!$AS$10:$AS$509,"="&amp;SUBSTITUTE(SUBSTITUTE(SUBSTITUTE("P:"&amp;A545,"~","~~"),"*","~*"),"?","~?"))=1),(IF(ISNA(MATCH(SUBSTITUTE(SUBSTITUTE(SUBSTITUTE("P:"&amp;A545,"~","~~"),"*","~*"),"?","~?"),Processos!$AS$10:$AS$509,0)),9,INDEX(Processos!$AM$10:$AM$509,MATCH(SUBSTITUTE(SUBSTITUTE(SUBSTITUTE("P:"&amp;A545,"~","~~"),"*","~*"),"?","~?"),Processos!$AS$10:$AS$509,0)))-9),0)</f>
        <v>0</v>
      </c>
      <c r="K545" s="34" t="str">
        <f t="shared" si="35"/>
        <v/>
      </c>
      <c r="L545" s="14">
        <f>ROW()</f>
        <v>545</v>
      </c>
    </row>
    <row r="546" spans="1:12" ht="60" customHeight="1">
      <c r="A546" s="41"/>
      <c r="B546" s="43"/>
      <c r="C546" s="44"/>
      <c r="D546" s="51"/>
      <c r="E546" s="44"/>
      <c r="F546" s="44"/>
      <c r="G546" s="34">
        <f t="shared" si="32"/>
        <v>0</v>
      </c>
      <c r="H546" s="34" t="str">
        <f t="shared" si="33"/>
        <v/>
      </c>
      <c r="I546" s="52" t="str">
        <f t="shared" si="34"/>
        <v/>
      </c>
      <c r="J546" s="34">
        <f>IF(AND(A546&lt;&gt;"",ISTEXT(A546),COUNTIFS(Processos!$AS$10:$AS$509,"="&amp;SUBSTITUTE(SUBSTITUTE(SUBSTITUTE("P:"&amp;A546,"~","~~"),"*","~*"),"?","~?"))=1),(IF(ISNA(MATCH(SUBSTITUTE(SUBSTITUTE(SUBSTITUTE("P:"&amp;A546,"~","~~"),"*","~*"),"?","~?"),Processos!$AS$10:$AS$509,0)),9,INDEX(Processos!$AM$10:$AM$509,MATCH(SUBSTITUTE(SUBSTITUTE(SUBSTITUTE("P:"&amp;A546,"~","~~"),"*","~*"),"?","~?"),Processos!$AS$10:$AS$509,0)))-9),0)</f>
        <v>0</v>
      </c>
      <c r="K546" s="34" t="str">
        <f t="shared" si="35"/>
        <v/>
      </c>
      <c r="L546" s="14">
        <f>ROW()</f>
        <v>546</v>
      </c>
    </row>
    <row r="547" spans="1:12" ht="60" customHeight="1">
      <c r="A547" s="41"/>
      <c r="B547" s="43"/>
      <c r="C547" s="44"/>
      <c r="D547" s="51"/>
      <c r="E547" s="44"/>
      <c r="F547" s="44"/>
      <c r="G547" s="34">
        <f t="shared" si="32"/>
        <v>0</v>
      </c>
      <c r="H547" s="34" t="str">
        <f t="shared" si="33"/>
        <v/>
      </c>
      <c r="I547" s="52" t="str">
        <f t="shared" si="34"/>
        <v/>
      </c>
      <c r="J547" s="34">
        <f>IF(AND(A547&lt;&gt;"",ISTEXT(A547),COUNTIFS(Processos!$AS$10:$AS$509,"="&amp;SUBSTITUTE(SUBSTITUTE(SUBSTITUTE("P:"&amp;A547,"~","~~"),"*","~*"),"?","~?"))=1),(IF(ISNA(MATCH(SUBSTITUTE(SUBSTITUTE(SUBSTITUTE("P:"&amp;A547,"~","~~"),"*","~*"),"?","~?"),Processos!$AS$10:$AS$509,0)),9,INDEX(Processos!$AM$10:$AM$509,MATCH(SUBSTITUTE(SUBSTITUTE(SUBSTITUTE("P:"&amp;A547,"~","~~"),"*","~*"),"?","~?"),Processos!$AS$10:$AS$509,0)))-9),0)</f>
        <v>0</v>
      </c>
      <c r="K547" s="34" t="str">
        <f t="shared" si="35"/>
        <v/>
      </c>
      <c r="L547" s="14">
        <f>ROW()</f>
        <v>547</v>
      </c>
    </row>
    <row r="548" spans="1:12" ht="60" customHeight="1">
      <c r="A548" s="41"/>
      <c r="B548" s="43"/>
      <c r="C548" s="44"/>
      <c r="D548" s="51"/>
      <c r="E548" s="44"/>
      <c r="F548" s="44"/>
      <c r="G548" s="34">
        <f t="shared" si="32"/>
        <v>0</v>
      </c>
      <c r="H548" s="34" t="str">
        <f t="shared" si="33"/>
        <v/>
      </c>
      <c r="I548" s="52" t="str">
        <f t="shared" si="34"/>
        <v/>
      </c>
      <c r="J548" s="34">
        <f>IF(AND(A548&lt;&gt;"",ISTEXT(A548),COUNTIFS(Processos!$AS$10:$AS$509,"="&amp;SUBSTITUTE(SUBSTITUTE(SUBSTITUTE("P:"&amp;A548,"~","~~"),"*","~*"),"?","~?"))=1),(IF(ISNA(MATCH(SUBSTITUTE(SUBSTITUTE(SUBSTITUTE("P:"&amp;A548,"~","~~"),"*","~*"),"?","~?"),Processos!$AS$10:$AS$509,0)),9,INDEX(Processos!$AM$10:$AM$509,MATCH(SUBSTITUTE(SUBSTITUTE(SUBSTITUTE("P:"&amp;A548,"~","~~"),"*","~*"),"?","~?"),Processos!$AS$10:$AS$509,0)))-9),0)</f>
        <v>0</v>
      </c>
      <c r="K548" s="34" t="str">
        <f t="shared" si="35"/>
        <v/>
      </c>
      <c r="L548" s="14">
        <f>ROW()</f>
        <v>548</v>
      </c>
    </row>
    <row r="549" spans="1:12" ht="60" customHeight="1">
      <c r="A549" s="41"/>
      <c r="B549" s="43"/>
      <c r="C549" s="44"/>
      <c r="D549" s="51"/>
      <c r="E549" s="44"/>
      <c r="F549" s="44"/>
      <c r="G549" s="34">
        <f t="shared" si="32"/>
        <v>0</v>
      </c>
      <c r="H549" s="34" t="str">
        <f t="shared" si="33"/>
        <v/>
      </c>
      <c r="I549" s="52" t="str">
        <f t="shared" si="34"/>
        <v/>
      </c>
      <c r="J549" s="34">
        <f>IF(AND(A549&lt;&gt;"",ISTEXT(A549),COUNTIFS(Processos!$AS$10:$AS$509,"="&amp;SUBSTITUTE(SUBSTITUTE(SUBSTITUTE("P:"&amp;A549,"~","~~"),"*","~*"),"?","~?"))=1),(IF(ISNA(MATCH(SUBSTITUTE(SUBSTITUTE(SUBSTITUTE("P:"&amp;A549,"~","~~"),"*","~*"),"?","~?"),Processos!$AS$10:$AS$509,0)),9,INDEX(Processos!$AM$10:$AM$509,MATCH(SUBSTITUTE(SUBSTITUTE(SUBSTITUTE("P:"&amp;A549,"~","~~"),"*","~*"),"?","~?"),Processos!$AS$10:$AS$509,0)))-9),0)</f>
        <v>0</v>
      </c>
      <c r="K549" s="34" t="str">
        <f t="shared" si="35"/>
        <v/>
      </c>
      <c r="L549" s="14">
        <f>ROW()</f>
        <v>549</v>
      </c>
    </row>
    <row r="550" spans="1:12" ht="60" customHeight="1">
      <c r="A550" s="41"/>
      <c r="B550" s="43"/>
      <c r="C550" s="44"/>
      <c r="D550" s="51"/>
      <c r="E550" s="44"/>
      <c r="F550" s="44"/>
      <c r="G550" s="34">
        <f t="shared" si="32"/>
        <v>0</v>
      </c>
      <c r="H550" s="34" t="str">
        <f t="shared" si="33"/>
        <v/>
      </c>
      <c r="I550" s="52" t="str">
        <f t="shared" si="34"/>
        <v/>
      </c>
      <c r="J550" s="34">
        <f>IF(AND(A550&lt;&gt;"",ISTEXT(A550),COUNTIFS(Processos!$AS$10:$AS$509,"="&amp;SUBSTITUTE(SUBSTITUTE(SUBSTITUTE("P:"&amp;A550,"~","~~"),"*","~*"),"?","~?"))=1),(IF(ISNA(MATCH(SUBSTITUTE(SUBSTITUTE(SUBSTITUTE("P:"&amp;A550,"~","~~"),"*","~*"),"?","~?"),Processos!$AS$10:$AS$509,0)),9,INDEX(Processos!$AM$10:$AM$509,MATCH(SUBSTITUTE(SUBSTITUTE(SUBSTITUTE("P:"&amp;A550,"~","~~"),"*","~*"),"?","~?"),Processos!$AS$10:$AS$509,0)))-9),0)</f>
        <v>0</v>
      </c>
      <c r="K550" s="34" t="str">
        <f t="shared" si="35"/>
        <v/>
      </c>
      <c r="L550" s="14">
        <f>ROW()</f>
        <v>550</v>
      </c>
    </row>
    <row r="551" spans="1:12" ht="60" customHeight="1">
      <c r="A551" s="41"/>
      <c r="B551" s="43"/>
      <c r="C551" s="44"/>
      <c r="D551" s="51"/>
      <c r="E551" s="44"/>
      <c r="F551" s="44"/>
      <c r="G551" s="34">
        <f t="shared" si="32"/>
        <v>0</v>
      </c>
      <c r="H551" s="34" t="str">
        <f t="shared" si="33"/>
        <v/>
      </c>
      <c r="I551" s="52" t="str">
        <f t="shared" si="34"/>
        <v/>
      </c>
      <c r="J551" s="34">
        <f>IF(AND(A551&lt;&gt;"",ISTEXT(A551),COUNTIFS(Processos!$AS$10:$AS$509,"="&amp;SUBSTITUTE(SUBSTITUTE(SUBSTITUTE("P:"&amp;A551,"~","~~"),"*","~*"),"?","~?"))=1),(IF(ISNA(MATCH(SUBSTITUTE(SUBSTITUTE(SUBSTITUTE("P:"&amp;A551,"~","~~"),"*","~*"),"?","~?"),Processos!$AS$10:$AS$509,0)),9,INDEX(Processos!$AM$10:$AM$509,MATCH(SUBSTITUTE(SUBSTITUTE(SUBSTITUTE("P:"&amp;A551,"~","~~"),"*","~*"),"?","~?"),Processos!$AS$10:$AS$509,0)))-9),0)</f>
        <v>0</v>
      </c>
      <c r="K551" s="34" t="str">
        <f t="shared" si="35"/>
        <v/>
      </c>
      <c r="L551" s="14">
        <f>ROW()</f>
        <v>551</v>
      </c>
    </row>
    <row r="552" spans="1:12" ht="60" customHeight="1">
      <c r="A552" s="41"/>
      <c r="B552" s="43"/>
      <c r="C552" s="44"/>
      <c r="D552" s="51"/>
      <c r="E552" s="44"/>
      <c r="F552" s="44"/>
      <c r="G552" s="34">
        <f t="shared" si="32"/>
        <v>0</v>
      </c>
      <c r="H552" s="34" t="str">
        <f t="shared" si="33"/>
        <v/>
      </c>
      <c r="I552" s="52" t="str">
        <f t="shared" si="34"/>
        <v/>
      </c>
      <c r="J552" s="34">
        <f>IF(AND(A552&lt;&gt;"",ISTEXT(A552),COUNTIFS(Processos!$AS$10:$AS$509,"="&amp;SUBSTITUTE(SUBSTITUTE(SUBSTITUTE("P:"&amp;A552,"~","~~"),"*","~*"),"?","~?"))=1),(IF(ISNA(MATCH(SUBSTITUTE(SUBSTITUTE(SUBSTITUTE("P:"&amp;A552,"~","~~"),"*","~*"),"?","~?"),Processos!$AS$10:$AS$509,0)),9,INDEX(Processos!$AM$10:$AM$509,MATCH(SUBSTITUTE(SUBSTITUTE(SUBSTITUTE("P:"&amp;A552,"~","~~"),"*","~*"),"?","~?"),Processos!$AS$10:$AS$509,0)))-9),0)</f>
        <v>0</v>
      </c>
      <c r="K552" s="34" t="str">
        <f t="shared" si="35"/>
        <v/>
      </c>
      <c r="L552" s="14">
        <f>ROW()</f>
        <v>552</v>
      </c>
    </row>
    <row r="553" spans="1:12" ht="60" customHeight="1">
      <c r="A553" s="41"/>
      <c r="B553" s="43"/>
      <c r="C553" s="44"/>
      <c r="D553" s="51"/>
      <c r="E553" s="44"/>
      <c r="F553" s="44"/>
      <c r="G553" s="34">
        <f t="shared" si="32"/>
        <v>0</v>
      </c>
      <c r="H553" s="34" t="str">
        <f t="shared" si="33"/>
        <v/>
      </c>
      <c r="I553" s="52" t="str">
        <f t="shared" si="34"/>
        <v/>
      </c>
      <c r="J553" s="34">
        <f>IF(AND(A553&lt;&gt;"",ISTEXT(A553),COUNTIFS(Processos!$AS$10:$AS$509,"="&amp;SUBSTITUTE(SUBSTITUTE(SUBSTITUTE("P:"&amp;A553,"~","~~"),"*","~*"),"?","~?"))=1),(IF(ISNA(MATCH(SUBSTITUTE(SUBSTITUTE(SUBSTITUTE("P:"&amp;A553,"~","~~"),"*","~*"),"?","~?"),Processos!$AS$10:$AS$509,0)),9,INDEX(Processos!$AM$10:$AM$509,MATCH(SUBSTITUTE(SUBSTITUTE(SUBSTITUTE("P:"&amp;A553,"~","~~"),"*","~*"),"?","~?"),Processos!$AS$10:$AS$509,0)))-9),0)</f>
        <v>0</v>
      </c>
      <c r="K553" s="34" t="str">
        <f t="shared" si="35"/>
        <v/>
      </c>
      <c r="L553" s="14">
        <f>ROW()</f>
        <v>553</v>
      </c>
    </row>
    <row r="554" spans="1:12" ht="60" customHeight="1">
      <c r="A554" s="41"/>
      <c r="B554" s="43"/>
      <c r="C554" s="44"/>
      <c r="D554" s="51"/>
      <c r="E554" s="44"/>
      <c r="F554" s="44"/>
      <c r="G554" s="34">
        <f t="shared" si="32"/>
        <v>0</v>
      </c>
      <c r="H554" s="34" t="str">
        <f t="shared" si="33"/>
        <v/>
      </c>
      <c r="I554" s="52" t="str">
        <f t="shared" si="34"/>
        <v/>
      </c>
      <c r="J554" s="34">
        <f>IF(AND(A554&lt;&gt;"",ISTEXT(A554),COUNTIFS(Processos!$AS$10:$AS$509,"="&amp;SUBSTITUTE(SUBSTITUTE(SUBSTITUTE("P:"&amp;A554,"~","~~"),"*","~*"),"?","~?"))=1),(IF(ISNA(MATCH(SUBSTITUTE(SUBSTITUTE(SUBSTITUTE("P:"&amp;A554,"~","~~"),"*","~*"),"?","~?"),Processos!$AS$10:$AS$509,0)),9,INDEX(Processos!$AM$10:$AM$509,MATCH(SUBSTITUTE(SUBSTITUTE(SUBSTITUTE("P:"&amp;A554,"~","~~"),"*","~*"),"?","~?"),Processos!$AS$10:$AS$509,0)))-9),0)</f>
        <v>0</v>
      </c>
      <c r="K554" s="34" t="str">
        <f t="shared" si="35"/>
        <v/>
      </c>
      <c r="L554" s="14">
        <f>ROW()</f>
        <v>554</v>
      </c>
    </row>
    <row r="555" spans="1:12" ht="60" customHeight="1">
      <c r="A555" s="41"/>
      <c r="B555" s="43"/>
      <c r="C555" s="44"/>
      <c r="D555" s="51"/>
      <c r="E555" s="44"/>
      <c r="F555" s="44"/>
      <c r="G555" s="34">
        <f t="shared" si="32"/>
        <v>0</v>
      </c>
      <c r="H555" s="34" t="str">
        <f t="shared" si="33"/>
        <v/>
      </c>
      <c r="I555" s="52" t="str">
        <f t="shared" si="34"/>
        <v/>
      </c>
      <c r="J555" s="34">
        <f>IF(AND(A555&lt;&gt;"",ISTEXT(A555),COUNTIFS(Processos!$AS$10:$AS$509,"="&amp;SUBSTITUTE(SUBSTITUTE(SUBSTITUTE("P:"&amp;A555,"~","~~"),"*","~*"),"?","~?"))=1),(IF(ISNA(MATCH(SUBSTITUTE(SUBSTITUTE(SUBSTITUTE("P:"&amp;A555,"~","~~"),"*","~*"),"?","~?"),Processos!$AS$10:$AS$509,0)),9,INDEX(Processos!$AM$10:$AM$509,MATCH(SUBSTITUTE(SUBSTITUTE(SUBSTITUTE("P:"&amp;A555,"~","~~"),"*","~*"),"?","~?"),Processos!$AS$10:$AS$509,0)))-9),0)</f>
        <v>0</v>
      </c>
      <c r="K555" s="34" t="str">
        <f t="shared" si="35"/>
        <v/>
      </c>
      <c r="L555" s="14">
        <f>ROW()</f>
        <v>555</v>
      </c>
    </row>
    <row r="556" spans="1:12" ht="60" customHeight="1">
      <c r="A556" s="41"/>
      <c r="B556" s="43"/>
      <c r="C556" s="44"/>
      <c r="D556" s="51"/>
      <c r="E556" s="44"/>
      <c r="F556" s="44"/>
      <c r="G556" s="34">
        <f t="shared" si="32"/>
        <v>0</v>
      </c>
      <c r="H556" s="34" t="str">
        <f t="shared" si="33"/>
        <v/>
      </c>
      <c r="I556" s="52" t="str">
        <f t="shared" si="34"/>
        <v/>
      </c>
      <c r="J556" s="34">
        <f>IF(AND(A556&lt;&gt;"",ISTEXT(A556),COUNTIFS(Processos!$AS$10:$AS$509,"="&amp;SUBSTITUTE(SUBSTITUTE(SUBSTITUTE("P:"&amp;A556,"~","~~"),"*","~*"),"?","~?"))=1),(IF(ISNA(MATCH(SUBSTITUTE(SUBSTITUTE(SUBSTITUTE("P:"&amp;A556,"~","~~"),"*","~*"),"?","~?"),Processos!$AS$10:$AS$509,0)),9,INDEX(Processos!$AM$10:$AM$509,MATCH(SUBSTITUTE(SUBSTITUTE(SUBSTITUTE("P:"&amp;A556,"~","~~"),"*","~*"),"?","~?"),Processos!$AS$10:$AS$509,0)))-9),0)</f>
        <v>0</v>
      </c>
      <c r="K556" s="34" t="str">
        <f t="shared" si="35"/>
        <v/>
      </c>
      <c r="L556" s="14">
        <f>ROW()</f>
        <v>556</v>
      </c>
    </row>
    <row r="557" spans="1:12" ht="60" customHeight="1">
      <c r="A557" s="41"/>
      <c r="B557" s="43"/>
      <c r="C557" s="44"/>
      <c r="D557" s="51"/>
      <c r="E557" s="44"/>
      <c r="F557" s="44"/>
      <c r="G557" s="34">
        <f t="shared" si="32"/>
        <v>0</v>
      </c>
      <c r="H557" s="34" t="str">
        <f t="shared" si="33"/>
        <v/>
      </c>
      <c r="I557" s="52" t="str">
        <f t="shared" si="34"/>
        <v/>
      </c>
      <c r="J557" s="34">
        <f>IF(AND(A557&lt;&gt;"",ISTEXT(A557),COUNTIFS(Processos!$AS$10:$AS$509,"="&amp;SUBSTITUTE(SUBSTITUTE(SUBSTITUTE("P:"&amp;A557,"~","~~"),"*","~*"),"?","~?"))=1),(IF(ISNA(MATCH(SUBSTITUTE(SUBSTITUTE(SUBSTITUTE("P:"&amp;A557,"~","~~"),"*","~*"),"?","~?"),Processos!$AS$10:$AS$509,0)),9,INDEX(Processos!$AM$10:$AM$509,MATCH(SUBSTITUTE(SUBSTITUTE(SUBSTITUTE("P:"&amp;A557,"~","~~"),"*","~*"),"?","~?"),Processos!$AS$10:$AS$509,0)))-9),0)</f>
        <v>0</v>
      </c>
      <c r="K557" s="34" t="str">
        <f t="shared" si="35"/>
        <v/>
      </c>
      <c r="L557" s="14">
        <f>ROW()</f>
        <v>557</v>
      </c>
    </row>
    <row r="558" spans="1:12" ht="60" customHeight="1">
      <c r="A558" s="41"/>
      <c r="B558" s="43"/>
      <c r="C558" s="44"/>
      <c r="D558" s="51"/>
      <c r="E558" s="44"/>
      <c r="F558" s="44"/>
      <c r="G558" s="34">
        <f t="shared" si="32"/>
        <v>0</v>
      </c>
      <c r="H558" s="34" t="str">
        <f t="shared" si="33"/>
        <v/>
      </c>
      <c r="I558" s="52" t="str">
        <f t="shared" si="34"/>
        <v/>
      </c>
      <c r="J558" s="34">
        <f>IF(AND(A558&lt;&gt;"",ISTEXT(A558),COUNTIFS(Processos!$AS$10:$AS$509,"="&amp;SUBSTITUTE(SUBSTITUTE(SUBSTITUTE("P:"&amp;A558,"~","~~"),"*","~*"),"?","~?"))=1),(IF(ISNA(MATCH(SUBSTITUTE(SUBSTITUTE(SUBSTITUTE("P:"&amp;A558,"~","~~"),"*","~*"),"?","~?"),Processos!$AS$10:$AS$509,0)),9,INDEX(Processos!$AM$10:$AM$509,MATCH(SUBSTITUTE(SUBSTITUTE(SUBSTITUTE("P:"&amp;A558,"~","~~"),"*","~*"),"?","~?"),Processos!$AS$10:$AS$509,0)))-9),0)</f>
        <v>0</v>
      </c>
      <c r="K558" s="34" t="str">
        <f t="shared" si="35"/>
        <v/>
      </c>
      <c r="L558" s="14">
        <f>ROW()</f>
        <v>558</v>
      </c>
    </row>
    <row r="559" spans="1:12" ht="60" customHeight="1">
      <c r="A559" s="41"/>
      <c r="B559" s="43"/>
      <c r="C559" s="44"/>
      <c r="D559" s="51"/>
      <c r="E559" s="44"/>
      <c r="F559" s="44"/>
      <c r="G559" s="34">
        <f t="shared" si="32"/>
        <v>0</v>
      </c>
      <c r="H559" s="34" t="str">
        <f t="shared" si="33"/>
        <v/>
      </c>
      <c r="I559" s="52" t="str">
        <f t="shared" si="34"/>
        <v/>
      </c>
      <c r="J559" s="34">
        <f>IF(AND(A559&lt;&gt;"",ISTEXT(A559),COUNTIFS(Processos!$AS$10:$AS$509,"="&amp;SUBSTITUTE(SUBSTITUTE(SUBSTITUTE("P:"&amp;A559,"~","~~"),"*","~*"),"?","~?"))=1),(IF(ISNA(MATCH(SUBSTITUTE(SUBSTITUTE(SUBSTITUTE("P:"&amp;A559,"~","~~"),"*","~*"),"?","~?"),Processos!$AS$10:$AS$509,0)),9,INDEX(Processos!$AM$10:$AM$509,MATCH(SUBSTITUTE(SUBSTITUTE(SUBSTITUTE("P:"&amp;A559,"~","~~"),"*","~*"),"?","~?"),Processos!$AS$10:$AS$509,0)))-9),0)</f>
        <v>0</v>
      </c>
      <c r="K559" s="34" t="str">
        <f t="shared" si="35"/>
        <v/>
      </c>
      <c r="L559" s="14">
        <f>ROW()</f>
        <v>559</v>
      </c>
    </row>
    <row r="560" spans="1:12" ht="60" customHeight="1">
      <c r="A560" s="41"/>
      <c r="B560" s="43"/>
      <c r="C560" s="44"/>
      <c r="D560" s="51"/>
      <c r="E560" s="44"/>
      <c r="F560" s="44"/>
      <c r="G560" s="34">
        <f t="shared" si="32"/>
        <v>0</v>
      </c>
      <c r="H560" s="34" t="str">
        <f t="shared" si="33"/>
        <v/>
      </c>
      <c r="I560" s="52" t="str">
        <f t="shared" si="34"/>
        <v/>
      </c>
      <c r="J560" s="34">
        <f>IF(AND(A560&lt;&gt;"",ISTEXT(A560),COUNTIFS(Processos!$AS$10:$AS$509,"="&amp;SUBSTITUTE(SUBSTITUTE(SUBSTITUTE("P:"&amp;A560,"~","~~"),"*","~*"),"?","~?"))=1),(IF(ISNA(MATCH(SUBSTITUTE(SUBSTITUTE(SUBSTITUTE("P:"&amp;A560,"~","~~"),"*","~*"),"?","~?"),Processos!$AS$10:$AS$509,0)),9,INDEX(Processos!$AM$10:$AM$509,MATCH(SUBSTITUTE(SUBSTITUTE(SUBSTITUTE("P:"&amp;A560,"~","~~"),"*","~*"),"?","~?"),Processos!$AS$10:$AS$509,0)))-9),0)</f>
        <v>0</v>
      </c>
      <c r="K560" s="34" t="str">
        <f t="shared" si="35"/>
        <v/>
      </c>
      <c r="L560" s="14">
        <f>ROW()</f>
        <v>560</v>
      </c>
    </row>
    <row r="561" spans="1:12" ht="60" customHeight="1">
      <c r="A561" s="41"/>
      <c r="B561" s="43"/>
      <c r="C561" s="44"/>
      <c r="D561" s="51"/>
      <c r="E561" s="44"/>
      <c r="F561" s="44"/>
      <c r="G561" s="34">
        <f t="shared" si="32"/>
        <v>0</v>
      </c>
      <c r="H561" s="34" t="str">
        <f t="shared" si="33"/>
        <v/>
      </c>
      <c r="I561" s="52" t="str">
        <f t="shared" si="34"/>
        <v/>
      </c>
      <c r="J561" s="34">
        <f>IF(AND(A561&lt;&gt;"",ISTEXT(A561),COUNTIFS(Processos!$AS$10:$AS$509,"="&amp;SUBSTITUTE(SUBSTITUTE(SUBSTITUTE("P:"&amp;A561,"~","~~"),"*","~*"),"?","~?"))=1),(IF(ISNA(MATCH(SUBSTITUTE(SUBSTITUTE(SUBSTITUTE("P:"&amp;A561,"~","~~"),"*","~*"),"?","~?"),Processos!$AS$10:$AS$509,0)),9,INDEX(Processos!$AM$10:$AM$509,MATCH(SUBSTITUTE(SUBSTITUTE(SUBSTITUTE("P:"&amp;A561,"~","~~"),"*","~*"),"?","~?"),Processos!$AS$10:$AS$509,0)))-9),0)</f>
        <v>0</v>
      </c>
      <c r="K561" s="34" t="str">
        <f t="shared" si="35"/>
        <v/>
      </c>
      <c r="L561" s="14">
        <f>ROW()</f>
        <v>561</v>
      </c>
    </row>
    <row r="562" spans="1:12" ht="60" customHeight="1">
      <c r="A562" s="41"/>
      <c r="B562" s="43"/>
      <c r="C562" s="44"/>
      <c r="D562" s="51"/>
      <c r="E562" s="44"/>
      <c r="F562" s="44"/>
      <c r="G562" s="34">
        <f t="shared" si="32"/>
        <v>0</v>
      </c>
      <c r="H562" s="34" t="str">
        <f t="shared" si="33"/>
        <v/>
      </c>
      <c r="I562" s="52" t="str">
        <f t="shared" si="34"/>
        <v/>
      </c>
      <c r="J562" s="34">
        <f>IF(AND(A562&lt;&gt;"",ISTEXT(A562),COUNTIFS(Processos!$AS$10:$AS$509,"="&amp;SUBSTITUTE(SUBSTITUTE(SUBSTITUTE("P:"&amp;A562,"~","~~"),"*","~*"),"?","~?"))=1),(IF(ISNA(MATCH(SUBSTITUTE(SUBSTITUTE(SUBSTITUTE("P:"&amp;A562,"~","~~"),"*","~*"),"?","~?"),Processos!$AS$10:$AS$509,0)),9,INDEX(Processos!$AM$10:$AM$509,MATCH(SUBSTITUTE(SUBSTITUTE(SUBSTITUTE("P:"&amp;A562,"~","~~"),"*","~*"),"?","~?"),Processos!$AS$10:$AS$509,0)))-9),0)</f>
        <v>0</v>
      </c>
      <c r="K562" s="34" t="str">
        <f t="shared" si="35"/>
        <v/>
      </c>
      <c r="L562" s="14">
        <f>ROW()</f>
        <v>562</v>
      </c>
    </row>
    <row r="563" spans="1:12" ht="60" customHeight="1">
      <c r="A563" s="41"/>
      <c r="B563" s="43"/>
      <c r="C563" s="44"/>
      <c r="D563" s="51"/>
      <c r="E563" s="44"/>
      <c r="F563" s="44"/>
      <c r="G563" s="34">
        <f t="shared" si="32"/>
        <v>0</v>
      </c>
      <c r="H563" s="34" t="str">
        <f t="shared" si="33"/>
        <v/>
      </c>
      <c r="I563" s="52" t="str">
        <f t="shared" si="34"/>
        <v/>
      </c>
      <c r="J563" s="34">
        <f>IF(AND(A563&lt;&gt;"",ISTEXT(A563),COUNTIFS(Processos!$AS$10:$AS$509,"="&amp;SUBSTITUTE(SUBSTITUTE(SUBSTITUTE("P:"&amp;A563,"~","~~"),"*","~*"),"?","~?"))=1),(IF(ISNA(MATCH(SUBSTITUTE(SUBSTITUTE(SUBSTITUTE("P:"&amp;A563,"~","~~"),"*","~*"),"?","~?"),Processos!$AS$10:$AS$509,0)),9,INDEX(Processos!$AM$10:$AM$509,MATCH(SUBSTITUTE(SUBSTITUTE(SUBSTITUTE("P:"&amp;A563,"~","~~"),"*","~*"),"?","~?"),Processos!$AS$10:$AS$509,0)))-9),0)</f>
        <v>0</v>
      </c>
      <c r="K563" s="34" t="str">
        <f t="shared" si="35"/>
        <v/>
      </c>
      <c r="L563" s="14">
        <f>ROW()</f>
        <v>563</v>
      </c>
    </row>
    <row r="564" spans="1:12" ht="60" customHeight="1">
      <c r="A564" s="41"/>
      <c r="B564" s="43"/>
      <c r="C564" s="44"/>
      <c r="D564" s="51"/>
      <c r="E564" s="44"/>
      <c r="F564" s="44"/>
      <c r="G564" s="34">
        <f t="shared" si="32"/>
        <v>0</v>
      </c>
      <c r="H564" s="34" t="str">
        <f t="shared" si="33"/>
        <v/>
      </c>
      <c r="I564" s="52" t="str">
        <f t="shared" si="34"/>
        <v/>
      </c>
      <c r="J564" s="34">
        <f>IF(AND(A564&lt;&gt;"",ISTEXT(A564),COUNTIFS(Processos!$AS$10:$AS$509,"="&amp;SUBSTITUTE(SUBSTITUTE(SUBSTITUTE("P:"&amp;A564,"~","~~"),"*","~*"),"?","~?"))=1),(IF(ISNA(MATCH(SUBSTITUTE(SUBSTITUTE(SUBSTITUTE("P:"&amp;A564,"~","~~"),"*","~*"),"?","~?"),Processos!$AS$10:$AS$509,0)),9,INDEX(Processos!$AM$10:$AM$509,MATCH(SUBSTITUTE(SUBSTITUTE(SUBSTITUTE("P:"&amp;A564,"~","~~"),"*","~*"),"?","~?"),Processos!$AS$10:$AS$509,0)))-9),0)</f>
        <v>0</v>
      </c>
      <c r="K564" s="34" t="str">
        <f t="shared" si="35"/>
        <v/>
      </c>
      <c r="L564" s="14">
        <f>ROW()</f>
        <v>564</v>
      </c>
    </row>
    <row r="565" spans="1:12" ht="60" customHeight="1">
      <c r="A565" s="41"/>
      <c r="B565" s="43"/>
      <c r="C565" s="44"/>
      <c r="D565" s="51"/>
      <c r="E565" s="44"/>
      <c r="F565" s="44"/>
      <c r="G565" s="34">
        <f t="shared" si="32"/>
        <v>0</v>
      </c>
      <c r="H565" s="34" t="str">
        <f t="shared" si="33"/>
        <v/>
      </c>
      <c r="I565" s="52" t="str">
        <f t="shared" si="34"/>
        <v/>
      </c>
      <c r="J565" s="34">
        <f>IF(AND(A565&lt;&gt;"",ISTEXT(A565),COUNTIFS(Processos!$AS$10:$AS$509,"="&amp;SUBSTITUTE(SUBSTITUTE(SUBSTITUTE("P:"&amp;A565,"~","~~"),"*","~*"),"?","~?"))=1),(IF(ISNA(MATCH(SUBSTITUTE(SUBSTITUTE(SUBSTITUTE("P:"&amp;A565,"~","~~"),"*","~*"),"?","~?"),Processos!$AS$10:$AS$509,0)),9,INDEX(Processos!$AM$10:$AM$509,MATCH(SUBSTITUTE(SUBSTITUTE(SUBSTITUTE("P:"&amp;A565,"~","~~"),"*","~*"),"?","~?"),Processos!$AS$10:$AS$509,0)))-9),0)</f>
        <v>0</v>
      </c>
      <c r="K565" s="34" t="str">
        <f t="shared" si="35"/>
        <v/>
      </c>
      <c r="L565" s="14">
        <f>ROW()</f>
        <v>565</v>
      </c>
    </row>
    <row r="566" spans="1:12" ht="60" customHeight="1">
      <c r="A566" s="41"/>
      <c r="B566" s="43"/>
      <c r="C566" s="44"/>
      <c r="D566" s="51"/>
      <c r="E566" s="44"/>
      <c r="F566" s="44"/>
      <c r="G566" s="34">
        <f t="shared" si="32"/>
        <v>0</v>
      </c>
      <c r="H566" s="34" t="str">
        <f t="shared" si="33"/>
        <v/>
      </c>
      <c r="I566" s="52" t="str">
        <f t="shared" si="34"/>
        <v/>
      </c>
      <c r="J566" s="34">
        <f>IF(AND(A566&lt;&gt;"",ISTEXT(A566),COUNTIFS(Processos!$AS$10:$AS$509,"="&amp;SUBSTITUTE(SUBSTITUTE(SUBSTITUTE("P:"&amp;A566,"~","~~"),"*","~*"),"?","~?"))=1),(IF(ISNA(MATCH(SUBSTITUTE(SUBSTITUTE(SUBSTITUTE("P:"&amp;A566,"~","~~"),"*","~*"),"?","~?"),Processos!$AS$10:$AS$509,0)),9,INDEX(Processos!$AM$10:$AM$509,MATCH(SUBSTITUTE(SUBSTITUTE(SUBSTITUTE("P:"&amp;A566,"~","~~"),"*","~*"),"?","~?"),Processos!$AS$10:$AS$509,0)))-9),0)</f>
        <v>0</v>
      </c>
      <c r="K566" s="34" t="str">
        <f t="shared" si="35"/>
        <v/>
      </c>
      <c r="L566" s="14">
        <f>ROW()</f>
        <v>566</v>
      </c>
    </row>
    <row r="567" spans="1:12" ht="60" customHeight="1">
      <c r="A567" s="41"/>
      <c r="B567" s="43"/>
      <c r="C567" s="44"/>
      <c r="D567" s="51"/>
      <c r="E567" s="44"/>
      <c r="F567" s="44"/>
      <c r="G567" s="34">
        <f t="shared" si="32"/>
        <v>0</v>
      </c>
      <c r="H567" s="34" t="str">
        <f t="shared" si="33"/>
        <v/>
      </c>
      <c r="I567" s="52" t="str">
        <f t="shared" si="34"/>
        <v/>
      </c>
      <c r="J567" s="34">
        <f>IF(AND(A567&lt;&gt;"",ISTEXT(A567),COUNTIFS(Processos!$AS$10:$AS$509,"="&amp;SUBSTITUTE(SUBSTITUTE(SUBSTITUTE("P:"&amp;A567,"~","~~"),"*","~*"),"?","~?"))=1),(IF(ISNA(MATCH(SUBSTITUTE(SUBSTITUTE(SUBSTITUTE("P:"&amp;A567,"~","~~"),"*","~*"),"?","~?"),Processos!$AS$10:$AS$509,0)),9,INDEX(Processos!$AM$10:$AM$509,MATCH(SUBSTITUTE(SUBSTITUTE(SUBSTITUTE("P:"&amp;A567,"~","~~"),"*","~*"),"?","~?"),Processos!$AS$10:$AS$509,0)))-9),0)</f>
        <v>0</v>
      </c>
      <c r="K567" s="34" t="str">
        <f t="shared" si="35"/>
        <v/>
      </c>
      <c r="L567" s="14">
        <f>ROW()</f>
        <v>567</v>
      </c>
    </row>
    <row r="568" spans="1:12" ht="60" customHeight="1">
      <c r="A568" s="41"/>
      <c r="B568" s="43"/>
      <c r="C568" s="44"/>
      <c r="D568" s="51"/>
      <c r="E568" s="44"/>
      <c r="F568" s="44"/>
      <c r="G568" s="34">
        <f t="shared" si="32"/>
        <v>0</v>
      </c>
      <c r="H568" s="34" t="str">
        <f t="shared" si="33"/>
        <v/>
      </c>
      <c r="I568" s="52" t="str">
        <f t="shared" si="34"/>
        <v/>
      </c>
      <c r="J568" s="34">
        <f>IF(AND(A568&lt;&gt;"",ISTEXT(A568),COUNTIFS(Processos!$AS$10:$AS$509,"="&amp;SUBSTITUTE(SUBSTITUTE(SUBSTITUTE("P:"&amp;A568,"~","~~"),"*","~*"),"?","~?"))=1),(IF(ISNA(MATCH(SUBSTITUTE(SUBSTITUTE(SUBSTITUTE("P:"&amp;A568,"~","~~"),"*","~*"),"?","~?"),Processos!$AS$10:$AS$509,0)),9,INDEX(Processos!$AM$10:$AM$509,MATCH(SUBSTITUTE(SUBSTITUTE(SUBSTITUTE("P:"&amp;A568,"~","~~"),"*","~*"),"?","~?"),Processos!$AS$10:$AS$509,0)))-9),0)</f>
        <v>0</v>
      </c>
      <c r="K568" s="34" t="str">
        <f t="shared" si="35"/>
        <v/>
      </c>
      <c r="L568" s="14">
        <f>ROW()</f>
        <v>568</v>
      </c>
    </row>
    <row r="569" spans="1:12" ht="60" customHeight="1">
      <c r="A569" s="41"/>
      <c r="B569" s="43"/>
      <c r="C569" s="44"/>
      <c r="D569" s="51"/>
      <c r="E569" s="44"/>
      <c r="F569" s="44"/>
      <c r="G569" s="34">
        <f t="shared" si="32"/>
        <v>0</v>
      </c>
      <c r="H569" s="34" t="str">
        <f t="shared" si="33"/>
        <v/>
      </c>
      <c r="I569" s="52" t="str">
        <f t="shared" si="34"/>
        <v/>
      </c>
      <c r="J569" s="34">
        <f>IF(AND(A569&lt;&gt;"",ISTEXT(A569),COUNTIFS(Processos!$AS$10:$AS$509,"="&amp;SUBSTITUTE(SUBSTITUTE(SUBSTITUTE("P:"&amp;A569,"~","~~"),"*","~*"),"?","~?"))=1),(IF(ISNA(MATCH(SUBSTITUTE(SUBSTITUTE(SUBSTITUTE("P:"&amp;A569,"~","~~"),"*","~*"),"?","~?"),Processos!$AS$10:$AS$509,0)),9,INDEX(Processos!$AM$10:$AM$509,MATCH(SUBSTITUTE(SUBSTITUTE(SUBSTITUTE("P:"&amp;A569,"~","~~"),"*","~*"),"?","~?"),Processos!$AS$10:$AS$509,0)))-9),0)</f>
        <v>0</v>
      </c>
      <c r="K569" s="34" t="str">
        <f t="shared" si="35"/>
        <v/>
      </c>
      <c r="L569" s="14">
        <f>ROW()</f>
        <v>569</v>
      </c>
    </row>
    <row r="570" spans="1:12" ht="60" customHeight="1">
      <c r="A570" s="41"/>
      <c r="B570" s="43"/>
      <c r="C570" s="44"/>
      <c r="D570" s="51"/>
      <c r="E570" s="44"/>
      <c r="F570" s="44"/>
      <c r="G570" s="34">
        <f t="shared" si="32"/>
        <v>0</v>
      </c>
      <c r="H570" s="34" t="str">
        <f t="shared" si="33"/>
        <v/>
      </c>
      <c r="I570" s="52" t="str">
        <f t="shared" si="34"/>
        <v/>
      </c>
      <c r="J570" s="34">
        <f>IF(AND(A570&lt;&gt;"",ISTEXT(A570),COUNTIFS(Processos!$AS$10:$AS$509,"="&amp;SUBSTITUTE(SUBSTITUTE(SUBSTITUTE("P:"&amp;A570,"~","~~"),"*","~*"),"?","~?"))=1),(IF(ISNA(MATCH(SUBSTITUTE(SUBSTITUTE(SUBSTITUTE("P:"&amp;A570,"~","~~"),"*","~*"),"?","~?"),Processos!$AS$10:$AS$509,0)),9,INDEX(Processos!$AM$10:$AM$509,MATCH(SUBSTITUTE(SUBSTITUTE(SUBSTITUTE("P:"&amp;A570,"~","~~"),"*","~*"),"?","~?"),Processos!$AS$10:$AS$509,0)))-9),0)</f>
        <v>0</v>
      </c>
      <c r="K570" s="34" t="str">
        <f t="shared" si="35"/>
        <v/>
      </c>
      <c r="L570" s="14">
        <f>ROW()</f>
        <v>570</v>
      </c>
    </row>
    <row r="571" spans="1:12" ht="60" customHeight="1">
      <c r="A571" s="41"/>
      <c r="B571" s="43"/>
      <c r="C571" s="44"/>
      <c r="D571" s="51"/>
      <c r="E571" s="44"/>
      <c r="F571" s="44"/>
      <c r="G571" s="34">
        <f t="shared" si="32"/>
        <v>0</v>
      </c>
      <c r="H571" s="34" t="str">
        <f t="shared" si="33"/>
        <v/>
      </c>
      <c r="I571" s="52" t="str">
        <f t="shared" si="34"/>
        <v/>
      </c>
      <c r="J571" s="34">
        <f>IF(AND(A571&lt;&gt;"",ISTEXT(A571),COUNTIFS(Processos!$AS$10:$AS$509,"="&amp;SUBSTITUTE(SUBSTITUTE(SUBSTITUTE("P:"&amp;A571,"~","~~"),"*","~*"),"?","~?"))=1),(IF(ISNA(MATCH(SUBSTITUTE(SUBSTITUTE(SUBSTITUTE("P:"&amp;A571,"~","~~"),"*","~*"),"?","~?"),Processos!$AS$10:$AS$509,0)),9,INDEX(Processos!$AM$10:$AM$509,MATCH(SUBSTITUTE(SUBSTITUTE(SUBSTITUTE("P:"&amp;A571,"~","~~"),"*","~*"),"?","~?"),Processos!$AS$10:$AS$509,0)))-9),0)</f>
        <v>0</v>
      </c>
      <c r="K571" s="34" t="str">
        <f t="shared" si="35"/>
        <v/>
      </c>
      <c r="L571" s="14">
        <f>ROW()</f>
        <v>571</v>
      </c>
    </row>
    <row r="572" spans="1:12" ht="60" customHeight="1">
      <c r="A572" s="41"/>
      <c r="B572" s="43"/>
      <c r="C572" s="44"/>
      <c r="D572" s="51"/>
      <c r="E572" s="44"/>
      <c r="F572" s="44"/>
      <c r="G572" s="34">
        <f t="shared" si="32"/>
        <v>0</v>
      </c>
      <c r="H572" s="34" t="str">
        <f t="shared" si="33"/>
        <v/>
      </c>
      <c r="I572" s="52" t="str">
        <f t="shared" si="34"/>
        <v/>
      </c>
      <c r="J572" s="34">
        <f>IF(AND(A572&lt;&gt;"",ISTEXT(A572),COUNTIFS(Processos!$AS$10:$AS$509,"="&amp;SUBSTITUTE(SUBSTITUTE(SUBSTITUTE("P:"&amp;A572,"~","~~"),"*","~*"),"?","~?"))=1),(IF(ISNA(MATCH(SUBSTITUTE(SUBSTITUTE(SUBSTITUTE("P:"&amp;A572,"~","~~"),"*","~*"),"?","~?"),Processos!$AS$10:$AS$509,0)),9,INDEX(Processos!$AM$10:$AM$509,MATCH(SUBSTITUTE(SUBSTITUTE(SUBSTITUTE("P:"&amp;A572,"~","~~"),"*","~*"),"?","~?"),Processos!$AS$10:$AS$509,0)))-9),0)</f>
        <v>0</v>
      </c>
      <c r="K572" s="34" t="str">
        <f t="shared" si="35"/>
        <v/>
      </c>
      <c r="L572" s="14">
        <f>ROW()</f>
        <v>572</v>
      </c>
    </row>
    <row r="573" spans="1:12" ht="60" customHeight="1">
      <c r="A573" s="41"/>
      <c r="B573" s="43"/>
      <c r="C573" s="44"/>
      <c r="D573" s="51"/>
      <c r="E573" s="44"/>
      <c r="F573" s="44"/>
      <c r="G573" s="34">
        <f t="shared" si="32"/>
        <v>0</v>
      </c>
      <c r="H573" s="34" t="str">
        <f t="shared" si="33"/>
        <v/>
      </c>
      <c r="I573" s="52" t="str">
        <f t="shared" si="34"/>
        <v/>
      </c>
      <c r="J573" s="34">
        <f>IF(AND(A573&lt;&gt;"",ISTEXT(A573),COUNTIFS(Processos!$AS$10:$AS$509,"="&amp;SUBSTITUTE(SUBSTITUTE(SUBSTITUTE("P:"&amp;A573,"~","~~"),"*","~*"),"?","~?"))=1),(IF(ISNA(MATCH(SUBSTITUTE(SUBSTITUTE(SUBSTITUTE("P:"&amp;A573,"~","~~"),"*","~*"),"?","~?"),Processos!$AS$10:$AS$509,0)),9,INDEX(Processos!$AM$10:$AM$509,MATCH(SUBSTITUTE(SUBSTITUTE(SUBSTITUTE("P:"&amp;A573,"~","~~"),"*","~*"),"?","~?"),Processos!$AS$10:$AS$509,0)))-9),0)</f>
        <v>0</v>
      </c>
      <c r="K573" s="34" t="str">
        <f t="shared" si="35"/>
        <v/>
      </c>
      <c r="L573" s="14">
        <f>ROW()</f>
        <v>573</v>
      </c>
    </row>
    <row r="574" spans="1:12" ht="60" customHeight="1">
      <c r="A574" s="41"/>
      <c r="B574" s="43"/>
      <c r="C574" s="44"/>
      <c r="D574" s="51"/>
      <c r="E574" s="44"/>
      <c r="F574" s="44"/>
      <c r="G574" s="34">
        <f t="shared" si="32"/>
        <v>0</v>
      </c>
      <c r="H574" s="34" t="str">
        <f t="shared" si="33"/>
        <v/>
      </c>
      <c r="I574" s="52" t="str">
        <f t="shared" si="34"/>
        <v/>
      </c>
      <c r="J574" s="34">
        <f>IF(AND(A574&lt;&gt;"",ISTEXT(A574),COUNTIFS(Processos!$AS$10:$AS$509,"="&amp;SUBSTITUTE(SUBSTITUTE(SUBSTITUTE("P:"&amp;A574,"~","~~"),"*","~*"),"?","~?"))=1),(IF(ISNA(MATCH(SUBSTITUTE(SUBSTITUTE(SUBSTITUTE("P:"&amp;A574,"~","~~"),"*","~*"),"?","~?"),Processos!$AS$10:$AS$509,0)),9,INDEX(Processos!$AM$10:$AM$509,MATCH(SUBSTITUTE(SUBSTITUTE(SUBSTITUTE("P:"&amp;A574,"~","~~"),"*","~*"),"?","~?"),Processos!$AS$10:$AS$509,0)))-9),0)</f>
        <v>0</v>
      </c>
      <c r="K574" s="34" t="str">
        <f t="shared" si="35"/>
        <v/>
      </c>
      <c r="L574" s="14">
        <f>ROW()</f>
        <v>574</v>
      </c>
    </row>
    <row r="575" spans="1:12" ht="60" customHeight="1">
      <c r="A575" s="41"/>
      <c r="B575" s="43"/>
      <c r="C575" s="44"/>
      <c r="D575" s="51"/>
      <c r="E575" s="44"/>
      <c r="F575" s="44"/>
      <c r="G575" s="34">
        <f t="shared" si="32"/>
        <v>0</v>
      </c>
      <c r="H575" s="34" t="str">
        <f t="shared" si="33"/>
        <v/>
      </c>
      <c r="I575" s="52" t="str">
        <f t="shared" si="34"/>
        <v/>
      </c>
      <c r="J575" s="34">
        <f>IF(AND(A575&lt;&gt;"",ISTEXT(A575),COUNTIFS(Processos!$AS$10:$AS$509,"="&amp;SUBSTITUTE(SUBSTITUTE(SUBSTITUTE("P:"&amp;A575,"~","~~"),"*","~*"),"?","~?"))=1),(IF(ISNA(MATCH(SUBSTITUTE(SUBSTITUTE(SUBSTITUTE("P:"&amp;A575,"~","~~"),"*","~*"),"?","~?"),Processos!$AS$10:$AS$509,0)),9,INDEX(Processos!$AM$10:$AM$509,MATCH(SUBSTITUTE(SUBSTITUTE(SUBSTITUTE("P:"&amp;A575,"~","~~"),"*","~*"),"?","~?"),Processos!$AS$10:$AS$509,0)))-9),0)</f>
        <v>0</v>
      </c>
      <c r="K575" s="34" t="str">
        <f t="shared" si="35"/>
        <v/>
      </c>
      <c r="L575" s="14">
        <f>ROW()</f>
        <v>575</v>
      </c>
    </row>
    <row r="576" spans="1:12" ht="60" customHeight="1">
      <c r="A576" s="41"/>
      <c r="B576" s="43"/>
      <c r="C576" s="44"/>
      <c r="D576" s="51"/>
      <c r="E576" s="44"/>
      <c r="F576" s="44"/>
      <c r="G576" s="34">
        <f t="shared" si="32"/>
        <v>0</v>
      </c>
      <c r="H576" s="34" t="str">
        <f t="shared" si="33"/>
        <v/>
      </c>
      <c r="I576" s="52" t="str">
        <f t="shared" si="34"/>
        <v/>
      </c>
      <c r="J576" s="34">
        <f>IF(AND(A576&lt;&gt;"",ISTEXT(A576),COUNTIFS(Processos!$AS$10:$AS$509,"="&amp;SUBSTITUTE(SUBSTITUTE(SUBSTITUTE("P:"&amp;A576,"~","~~"),"*","~*"),"?","~?"))=1),(IF(ISNA(MATCH(SUBSTITUTE(SUBSTITUTE(SUBSTITUTE("P:"&amp;A576,"~","~~"),"*","~*"),"?","~?"),Processos!$AS$10:$AS$509,0)),9,INDEX(Processos!$AM$10:$AM$509,MATCH(SUBSTITUTE(SUBSTITUTE(SUBSTITUTE("P:"&amp;A576,"~","~~"),"*","~*"),"?","~?"),Processos!$AS$10:$AS$509,0)))-9),0)</f>
        <v>0</v>
      </c>
      <c r="K576" s="34" t="str">
        <f t="shared" si="35"/>
        <v/>
      </c>
      <c r="L576" s="14">
        <f>ROW()</f>
        <v>576</v>
      </c>
    </row>
    <row r="577" spans="1:12" ht="60" customHeight="1">
      <c r="A577" s="41"/>
      <c r="B577" s="43"/>
      <c r="C577" s="44"/>
      <c r="D577" s="51"/>
      <c r="E577" s="44"/>
      <c r="F577" s="44"/>
      <c r="G577" s="34">
        <f t="shared" si="32"/>
        <v>0</v>
      </c>
      <c r="H577" s="34" t="str">
        <f t="shared" si="33"/>
        <v/>
      </c>
      <c r="I577" s="52" t="str">
        <f t="shared" si="34"/>
        <v/>
      </c>
      <c r="J577" s="34">
        <f>IF(AND(A577&lt;&gt;"",ISTEXT(A577),COUNTIFS(Processos!$AS$10:$AS$509,"="&amp;SUBSTITUTE(SUBSTITUTE(SUBSTITUTE("P:"&amp;A577,"~","~~"),"*","~*"),"?","~?"))=1),(IF(ISNA(MATCH(SUBSTITUTE(SUBSTITUTE(SUBSTITUTE("P:"&amp;A577,"~","~~"),"*","~*"),"?","~?"),Processos!$AS$10:$AS$509,0)),9,INDEX(Processos!$AM$10:$AM$509,MATCH(SUBSTITUTE(SUBSTITUTE(SUBSTITUTE("P:"&amp;A577,"~","~~"),"*","~*"),"?","~?"),Processos!$AS$10:$AS$509,0)))-9),0)</f>
        <v>0</v>
      </c>
      <c r="K577" s="34" t="str">
        <f t="shared" si="35"/>
        <v/>
      </c>
      <c r="L577" s="14">
        <f>ROW()</f>
        <v>577</v>
      </c>
    </row>
    <row r="578" spans="1:12" ht="60" customHeight="1">
      <c r="A578" s="41"/>
      <c r="B578" s="43"/>
      <c r="C578" s="44"/>
      <c r="D578" s="51"/>
      <c r="E578" s="44"/>
      <c r="F578" s="44"/>
      <c r="G578" s="34">
        <f t="shared" si="32"/>
        <v>0</v>
      </c>
      <c r="H578" s="34" t="str">
        <f t="shared" si="33"/>
        <v/>
      </c>
      <c r="I578" s="52" t="str">
        <f t="shared" si="34"/>
        <v/>
      </c>
      <c r="J578" s="34">
        <f>IF(AND(A578&lt;&gt;"",ISTEXT(A578),COUNTIFS(Processos!$AS$10:$AS$509,"="&amp;SUBSTITUTE(SUBSTITUTE(SUBSTITUTE("P:"&amp;A578,"~","~~"),"*","~*"),"?","~?"))=1),(IF(ISNA(MATCH(SUBSTITUTE(SUBSTITUTE(SUBSTITUTE("P:"&amp;A578,"~","~~"),"*","~*"),"?","~?"),Processos!$AS$10:$AS$509,0)),9,INDEX(Processos!$AM$10:$AM$509,MATCH(SUBSTITUTE(SUBSTITUTE(SUBSTITUTE("P:"&amp;A578,"~","~~"),"*","~*"),"?","~?"),Processos!$AS$10:$AS$509,0)))-9),0)</f>
        <v>0</v>
      </c>
      <c r="K578" s="34" t="str">
        <f t="shared" si="35"/>
        <v/>
      </c>
      <c r="L578" s="14">
        <f>ROW()</f>
        <v>578</v>
      </c>
    </row>
    <row r="579" spans="1:12" ht="60" customHeight="1">
      <c r="A579" s="41"/>
      <c r="B579" s="43"/>
      <c r="C579" s="44"/>
      <c r="D579" s="51"/>
      <c r="E579" s="44"/>
      <c r="F579" s="44"/>
      <c r="G579" s="34">
        <f t="shared" si="32"/>
        <v>0</v>
      </c>
      <c r="H579" s="34" t="str">
        <f t="shared" si="33"/>
        <v/>
      </c>
      <c r="I579" s="52" t="str">
        <f t="shared" si="34"/>
        <v/>
      </c>
      <c r="J579" s="34">
        <f>IF(AND(A579&lt;&gt;"",ISTEXT(A579),COUNTIFS(Processos!$AS$10:$AS$509,"="&amp;SUBSTITUTE(SUBSTITUTE(SUBSTITUTE("P:"&amp;A579,"~","~~"),"*","~*"),"?","~?"))=1),(IF(ISNA(MATCH(SUBSTITUTE(SUBSTITUTE(SUBSTITUTE("P:"&amp;A579,"~","~~"),"*","~*"),"?","~?"),Processos!$AS$10:$AS$509,0)),9,INDEX(Processos!$AM$10:$AM$509,MATCH(SUBSTITUTE(SUBSTITUTE(SUBSTITUTE("P:"&amp;A579,"~","~~"),"*","~*"),"?","~?"),Processos!$AS$10:$AS$509,0)))-9),0)</f>
        <v>0</v>
      </c>
      <c r="K579" s="34" t="str">
        <f t="shared" si="35"/>
        <v/>
      </c>
      <c r="L579" s="14">
        <f>ROW()</f>
        <v>579</v>
      </c>
    </row>
    <row r="580" spans="1:12" ht="60" customHeight="1">
      <c r="A580" s="41"/>
      <c r="B580" s="43"/>
      <c r="C580" s="44"/>
      <c r="D580" s="51"/>
      <c r="E580" s="44"/>
      <c r="F580" s="44"/>
      <c r="G580" s="34">
        <f t="shared" si="32"/>
        <v>0</v>
      </c>
      <c r="H580" s="34" t="str">
        <f t="shared" si="33"/>
        <v/>
      </c>
      <c r="I580" s="52" t="str">
        <f t="shared" si="34"/>
        <v/>
      </c>
      <c r="J580" s="34">
        <f>IF(AND(A580&lt;&gt;"",ISTEXT(A580),COUNTIFS(Processos!$AS$10:$AS$509,"="&amp;SUBSTITUTE(SUBSTITUTE(SUBSTITUTE("P:"&amp;A580,"~","~~"),"*","~*"),"?","~?"))=1),(IF(ISNA(MATCH(SUBSTITUTE(SUBSTITUTE(SUBSTITUTE("P:"&amp;A580,"~","~~"),"*","~*"),"?","~?"),Processos!$AS$10:$AS$509,0)),9,INDEX(Processos!$AM$10:$AM$509,MATCH(SUBSTITUTE(SUBSTITUTE(SUBSTITUTE("P:"&amp;A580,"~","~~"),"*","~*"),"?","~?"),Processos!$AS$10:$AS$509,0)))-9),0)</f>
        <v>0</v>
      </c>
      <c r="K580" s="34" t="str">
        <f t="shared" si="35"/>
        <v/>
      </c>
      <c r="L580" s="14">
        <f>ROW()</f>
        <v>580</v>
      </c>
    </row>
    <row r="581" spans="1:12" ht="60" customHeight="1">
      <c r="A581" s="41"/>
      <c r="B581" s="43"/>
      <c r="C581" s="44"/>
      <c r="D581" s="51"/>
      <c r="E581" s="44"/>
      <c r="F581" s="44"/>
      <c r="G581" s="34">
        <f t="shared" si="32"/>
        <v>0</v>
      </c>
      <c r="H581" s="34" t="str">
        <f t="shared" si="33"/>
        <v/>
      </c>
      <c r="I581" s="52" t="str">
        <f t="shared" si="34"/>
        <v/>
      </c>
      <c r="J581" s="34">
        <f>IF(AND(A581&lt;&gt;"",ISTEXT(A581),COUNTIFS(Processos!$AS$10:$AS$509,"="&amp;SUBSTITUTE(SUBSTITUTE(SUBSTITUTE("P:"&amp;A581,"~","~~"),"*","~*"),"?","~?"))=1),(IF(ISNA(MATCH(SUBSTITUTE(SUBSTITUTE(SUBSTITUTE("P:"&amp;A581,"~","~~"),"*","~*"),"?","~?"),Processos!$AS$10:$AS$509,0)),9,INDEX(Processos!$AM$10:$AM$509,MATCH(SUBSTITUTE(SUBSTITUTE(SUBSTITUTE("P:"&amp;A581,"~","~~"),"*","~*"),"?","~?"),Processos!$AS$10:$AS$509,0)))-9),0)</f>
        <v>0</v>
      </c>
      <c r="K581" s="34" t="str">
        <f t="shared" si="35"/>
        <v/>
      </c>
      <c r="L581" s="14">
        <f>ROW()</f>
        <v>581</v>
      </c>
    </row>
    <row r="582" spans="1:12" ht="60" customHeight="1">
      <c r="A582" s="41"/>
      <c r="B582" s="43"/>
      <c r="C582" s="44"/>
      <c r="D582" s="51"/>
      <c r="E582" s="44"/>
      <c r="F582" s="44"/>
      <c r="G582" s="34">
        <f t="shared" si="32"/>
        <v>0</v>
      </c>
      <c r="H582" s="34" t="str">
        <f t="shared" si="33"/>
        <v/>
      </c>
      <c r="I582" s="52" t="str">
        <f t="shared" si="34"/>
        <v/>
      </c>
      <c r="J582" s="34">
        <f>IF(AND(A582&lt;&gt;"",ISTEXT(A582),COUNTIFS(Processos!$AS$10:$AS$509,"="&amp;SUBSTITUTE(SUBSTITUTE(SUBSTITUTE("P:"&amp;A582,"~","~~"),"*","~*"),"?","~?"))=1),(IF(ISNA(MATCH(SUBSTITUTE(SUBSTITUTE(SUBSTITUTE("P:"&amp;A582,"~","~~"),"*","~*"),"?","~?"),Processos!$AS$10:$AS$509,0)),9,INDEX(Processos!$AM$10:$AM$509,MATCH(SUBSTITUTE(SUBSTITUTE(SUBSTITUTE("P:"&amp;A582,"~","~~"),"*","~*"),"?","~?"),Processos!$AS$10:$AS$509,0)))-9),0)</f>
        <v>0</v>
      </c>
      <c r="K582" s="34" t="str">
        <f t="shared" si="35"/>
        <v/>
      </c>
      <c r="L582" s="14">
        <f>ROW()</f>
        <v>582</v>
      </c>
    </row>
    <row r="583" spans="1:12" ht="60" customHeight="1">
      <c r="A583" s="41"/>
      <c r="B583" s="43"/>
      <c r="C583" s="44"/>
      <c r="D583" s="51"/>
      <c r="E583" s="44"/>
      <c r="F583" s="44"/>
      <c r="G583" s="34">
        <f t="shared" si="32"/>
        <v>0</v>
      </c>
      <c r="H583" s="34" t="str">
        <f t="shared" si="33"/>
        <v/>
      </c>
      <c r="I583" s="52" t="str">
        <f t="shared" si="34"/>
        <v/>
      </c>
      <c r="J583" s="34">
        <f>IF(AND(A583&lt;&gt;"",ISTEXT(A583),COUNTIFS(Processos!$AS$10:$AS$509,"="&amp;SUBSTITUTE(SUBSTITUTE(SUBSTITUTE("P:"&amp;A583,"~","~~"),"*","~*"),"?","~?"))=1),(IF(ISNA(MATCH(SUBSTITUTE(SUBSTITUTE(SUBSTITUTE("P:"&amp;A583,"~","~~"),"*","~*"),"?","~?"),Processos!$AS$10:$AS$509,0)),9,INDEX(Processos!$AM$10:$AM$509,MATCH(SUBSTITUTE(SUBSTITUTE(SUBSTITUTE("P:"&amp;A583,"~","~~"),"*","~*"),"?","~?"),Processos!$AS$10:$AS$509,0)))-9),0)</f>
        <v>0</v>
      </c>
      <c r="K583" s="34" t="str">
        <f t="shared" si="35"/>
        <v/>
      </c>
      <c r="L583" s="14">
        <f>ROW()</f>
        <v>583</v>
      </c>
    </row>
    <row r="584" spans="1:12" ht="60" customHeight="1">
      <c r="A584" s="41"/>
      <c r="B584" s="43"/>
      <c r="C584" s="44"/>
      <c r="D584" s="51"/>
      <c r="E584" s="44"/>
      <c r="F584" s="44"/>
      <c r="G584" s="34">
        <f t="shared" si="32"/>
        <v>0</v>
      </c>
      <c r="H584" s="34" t="str">
        <f t="shared" si="33"/>
        <v/>
      </c>
      <c r="I584" s="52" t="str">
        <f t="shared" si="34"/>
        <v/>
      </c>
      <c r="J584" s="34">
        <f>IF(AND(A584&lt;&gt;"",ISTEXT(A584),COUNTIFS(Processos!$AS$10:$AS$509,"="&amp;SUBSTITUTE(SUBSTITUTE(SUBSTITUTE("P:"&amp;A584,"~","~~"),"*","~*"),"?","~?"))=1),(IF(ISNA(MATCH(SUBSTITUTE(SUBSTITUTE(SUBSTITUTE("P:"&amp;A584,"~","~~"),"*","~*"),"?","~?"),Processos!$AS$10:$AS$509,0)),9,INDEX(Processos!$AM$10:$AM$509,MATCH(SUBSTITUTE(SUBSTITUTE(SUBSTITUTE("P:"&amp;A584,"~","~~"),"*","~*"),"?","~?"),Processos!$AS$10:$AS$509,0)))-9),0)</f>
        <v>0</v>
      </c>
      <c r="K584" s="34" t="str">
        <f t="shared" si="35"/>
        <v/>
      </c>
      <c r="L584" s="14">
        <f>ROW()</f>
        <v>584</v>
      </c>
    </row>
    <row r="585" spans="1:12" ht="60" customHeight="1">
      <c r="A585" s="41"/>
      <c r="B585" s="43"/>
      <c r="C585" s="44"/>
      <c r="D585" s="51"/>
      <c r="E585" s="44"/>
      <c r="F585" s="44"/>
      <c r="G585" s="34">
        <f t="shared" si="32"/>
        <v>0</v>
      </c>
      <c r="H585" s="34" t="str">
        <f t="shared" si="33"/>
        <v/>
      </c>
      <c r="I585" s="52" t="str">
        <f t="shared" si="34"/>
        <v/>
      </c>
      <c r="J585" s="34">
        <f>IF(AND(A585&lt;&gt;"",ISTEXT(A585),COUNTIFS(Processos!$AS$10:$AS$509,"="&amp;SUBSTITUTE(SUBSTITUTE(SUBSTITUTE("P:"&amp;A585,"~","~~"),"*","~*"),"?","~?"))=1),(IF(ISNA(MATCH(SUBSTITUTE(SUBSTITUTE(SUBSTITUTE("P:"&amp;A585,"~","~~"),"*","~*"),"?","~?"),Processos!$AS$10:$AS$509,0)),9,INDEX(Processos!$AM$10:$AM$509,MATCH(SUBSTITUTE(SUBSTITUTE(SUBSTITUTE("P:"&amp;A585,"~","~~"),"*","~*"),"?","~?"),Processos!$AS$10:$AS$509,0)))-9),0)</f>
        <v>0</v>
      </c>
      <c r="K585" s="34" t="str">
        <f t="shared" si="35"/>
        <v/>
      </c>
      <c r="L585" s="14">
        <f>ROW()</f>
        <v>585</v>
      </c>
    </row>
    <row r="586" spans="1:12" ht="60" customHeight="1">
      <c r="A586" s="41"/>
      <c r="B586" s="43"/>
      <c r="C586" s="44"/>
      <c r="D586" s="51"/>
      <c r="E586" s="44"/>
      <c r="F586" s="44"/>
      <c r="G586" s="34">
        <f t="shared" ref="G586:G649" si="36">IF(AND(J586&gt;0,OR(B586="",AND(ISNUMBER(B586),B586&gt;=1,B586&lt;=100000)),ISNUMBER(D586),D586&gt;=1,D586&lt;=100000,C586&lt;&gt;""),1,0)</f>
        <v>0</v>
      </c>
      <c r="H586" s="34" t="str">
        <f t="shared" ref="H586:H649" si="37">IF(G586=1,K586&amp;"|"&amp;D586,"")</f>
        <v/>
      </c>
      <c r="I586" s="52" t="str">
        <f t="shared" ref="I586:I649" si="38">IF(COUNTA(A586:F586)=0,"",IF(A586="","Selecione o processo",IF(J586=0,"Processo inexistente, duplicado ou número não textual",IF(B586="","Informe a data do andamento",IF(C586="","Descreva o andamento",IF(D586="","Informe a data e hora do recebimento",IF(OR(NOT(ISNUMBER(B586)),B586&lt;1,B586&gt;100000),"Revise a data do andamento",IF(OR(NOT(ISNUMBER(D586)),D586&lt;1,D586&gt;100000),"Revise a data e hora do recebimento",IF(COUNTIFS($K$10:$K$2009,"="&amp;SUBSTITUTE(SUBSTITUTE(SUBSTITUTE("P:"&amp;A586,"~","~~"),"*","~*"),"?","~?"),$D$10:$D$2009,D586,$G$10:$G$2009,1)&gt;1,"Recebimentos empatados: revise a hora ou consolide o registro","")))))))))</f>
        <v/>
      </c>
      <c r="J586" s="34">
        <f>IF(AND(A586&lt;&gt;"",ISTEXT(A586),COUNTIFS(Processos!$AS$10:$AS$509,"="&amp;SUBSTITUTE(SUBSTITUTE(SUBSTITUTE("P:"&amp;A586,"~","~~"),"*","~*"),"?","~?"))=1),(IF(ISNA(MATCH(SUBSTITUTE(SUBSTITUTE(SUBSTITUTE("P:"&amp;A586,"~","~~"),"*","~*"),"?","~?"),Processos!$AS$10:$AS$509,0)),9,INDEX(Processos!$AM$10:$AM$509,MATCH(SUBSTITUTE(SUBSTITUTE(SUBSTITUTE("P:"&amp;A586,"~","~~"),"*","~*"),"?","~?"),Processos!$AS$10:$AS$509,0)))-9),0)</f>
        <v>0</v>
      </c>
      <c r="K586" s="34" t="str">
        <f t="shared" ref="K586:K649" si="39">IF(AND(A586&lt;&gt;"",ISTEXT(A586)),"P:"&amp;A586,"")</f>
        <v/>
      </c>
      <c r="L586" s="14">
        <f>ROW()</f>
        <v>586</v>
      </c>
    </row>
    <row r="587" spans="1:12" ht="60" customHeight="1">
      <c r="A587" s="41"/>
      <c r="B587" s="43"/>
      <c r="C587" s="44"/>
      <c r="D587" s="51"/>
      <c r="E587" s="44"/>
      <c r="F587" s="44"/>
      <c r="G587" s="34">
        <f t="shared" si="36"/>
        <v>0</v>
      </c>
      <c r="H587" s="34" t="str">
        <f t="shared" si="37"/>
        <v/>
      </c>
      <c r="I587" s="52" t="str">
        <f t="shared" si="38"/>
        <v/>
      </c>
      <c r="J587" s="34">
        <f>IF(AND(A587&lt;&gt;"",ISTEXT(A587),COUNTIFS(Processos!$AS$10:$AS$509,"="&amp;SUBSTITUTE(SUBSTITUTE(SUBSTITUTE("P:"&amp;A587,"~","~~"),"*","~*"),"?","~?"))=1),(IF(ISNA(MATCH(SUBSTITUTE(SUBSTITUTE(SUBSTITUTE("P:"&amp;A587,"~","~~"),"*","~*"),"?","~?"),Processos!$AS$10:$AS$509,0)),9,INDEX(Processos!$AM$10:$AM$509,MATCH(SUBSTITUTE(SUBSTITUTE(SUBSTITUTE("P:"&amp;A587,"~","~~"),"*","~*"),"?","~?"),Processos!$AS$10:$AS$509,0)))-9),0)</f>
        <v>0</v>
      </c>
      <c r="K587" s="34" t="str">
        <f t="shared" si="39"/>
        <v/>
      </c>
      <c r="L587" s="14">
        <f>ROW()</f>
        <v>587</v>
      </c>
    </row>
    <row r="588" spans="1:12" ht="60" customHeight="1">
      <c r="A588" s="41"/>
      <c r="B588" s="43"/>
      <c r="C588" s="44"/>
      <c r="D588" s="51"/>
      <c r="E588" s="44"/>
      <c r="F588" s="44"/>
      <c r="G588" s="34">
        <f t="shared" si="36"/>
        <v>0</v>
      </c>
      <c r="H588" s="34" t="str">
        <f t="shared" si="37"/>
        <v/>
      </c>
      <c r="I588" s="52" t="str">
        <f t="shared" si="38"/>
        <v/>
      </c>
      <c r="J588" s="34">
        <f>IF(AND(A588&lt;&gt;"",ISTEXT(A588),COUNTIFS(Processos!$AS$10:$AS$509,"="&amp;SUBSTITUTE(SUBSTITUTE(SUBSTITUTE("P:"&amp;A588,"~","~~"),"*","~*"),"?","~?"))=1),(IF(ISNA(MATCH(SUBSTITUTE(SUBSTITUTE(SUBSTITUTE("P:"&amp;A588,"~","~~"),"*","~*"),"?","~?"),Processos!$AS$10:$AS$509,0)),9,INDEX(Processos!$AM$10:$AM$509,MATCH(SUBSTITUTE(SUBSTITUTE(SUBSTITUTE("P:"&amp;A588,"~","~~"),"*","~*"),"?","~?"),Processos!$AS$10:$AS$509,0)))-9),0)</f>
        <v>0</v>
      </c>
      <c r="K588" s="34" t="str">
        <f t="shared" si="39"/>
        <v/>
      </c>
      <c r="L588" s="14">
        <f>ROW()</f>
        <v>588</v>
      </c>
    </row>
    <row r="589" spans="1:12" ht="60" customHeight="1">
      <c r="A589" s="41"/>
      <c r="B589" s="43"/>
      <c r="C589" s="44"/>
      <c r="D589" s="51"/>
      <c r="E589" s="44"/>
      <c r="F589" s="44"/>
      <c r="G589" s="34">
        <f t="shared" si="36"/>
        <v>0</v>
      </c>
      <c r="H589" s="34" t="str">
        <f t="shared" si="37"/>
        <v/>
      </c>
      <c r="I589" s="52" t="str">
        <f t="shared" si="38"/>
        <v/>
      </c>
      <c r="J589" s="34">
        <f>IF(AND(A589&lt;&gt;"",ISTEXT(A589),COUNTIFS(Processos!$AS$10:$AS$509,"="&amp;SUBSTITUTE(SUBSTITUTE(SUBSTITUTE("P:"&amp;A589,"~","~~"),"*","~*"),"?","~?"))=1),(IF(ISNA(MATCH(SUBSTITUTE(SUBSTITUTE(SUBSTITUTE("P:"&amp;A589,"~","~~"),"*","~*"),"?","~?"),Processos!$AS$10:$AS$509,0)),9,INDEX(Processos!$AM$10:$AM$509,MATCH(SUBSTITUTE(SUBSTITUTE(SUBSTITUTE("P:"&amp;A589,"~","~~"),"*","~*"),"?","~?"),Processos!$AS$10:$AS$509,0)))-9),0)</f>
        <v>0</v>
      </c>
      <c r="K589" s="34" t="str">
        <f t="shared" si="39"/>
        <v/>
      </c>
      <c r="L589" s="14">
        <f>ROW()</f>
        <v>589</v>
      </c>
    </row>
    <row r="590" spans="1:12" ht="60" customHeight="1">
      <c r="A590" s="41"/>
      <c r="B590" s="43"/>
      <c r="C590" s="44"/>
      <c r="D590" s="51"/>
      <c r="E590" s="44"/>
      <c r="F590" s="44"/>
      <c r="G590" s="34">
        <f t="shared" si="36"/>
        <v>0</v>
      </c>
      <c r="H590" s="34" t="str">
        <f t="shared" si="37"/>
        <v/>
      </c>
      <c r="I590" s="52" t="str">
        <f t="shared" si="38"/>
        <v/>
      </c>
      <c r="J590" s="34">
        <f>IF(AND(A590&lt;&gt;"",ISTEXT(A590),COUNTIFS(Processos!$AS$10:$AS$509,"="&amp;SUBSTITUTE(SUBSTITUTE(SUBSTITUTE("P:"&amp;A590,"~","~~"),"*","~*"),"?","~?"))=1),(IF(ISNA(MATCH(SUBSTITUTE(SUBSTITUTE(SUBSTITUTE("P:"&amp;A590,"~","~~"),"*","~*"),"?","~?"),Processos!$AS$10:$AS$509,0)),9,INDEX(Processos!$AM$10:$AM$509,MATCH(SUBSTITUTE(SUBSTITUTE(SUBSTITUTE("P:"&amp;A590,"~","~~"),"*","~*"),"?","~?"),Processos!$AS$10:$AS$509,0)))-9),0)</f>
        <v>0</v>
      </c>
      <c r="K590" s="34" t="str">
        <f t="shared" si="39"/>
        <v/>
      </c>
      <c r="L590" s="14">
        <f>ROW()</f>
        <v>590</v>
      </c>
    </row>
    <row r="591" spans="1:12" ht="60" customHeight="1">
      <c r="A591" s="41"/>
      <c r="B591" s="43"/>
      <c r="C591" s="44"/>
      <c r="D591" s="51"/>
      <c r="E591" s="44"/>
      <c r="F591" s="44"/>
      <c r="G591" s="34">
        <f t="shared" si="36"/>
        <v>0</v>
      </c>
      <c r="H591" s="34" t="str">
        <f t="shared" si="37"/>
        <v/>
      </c>
      <c r="I591" s="52" t="str">
        <f t="shared" si="38"/>
        <v/>
      </c>
      <c r="J591" s="34">
        <f>IF(AND(A591&lt;&gt;"",ISTEXT(A591),COUNTIFS(Processos!$AS$10:$AS$509,"="&amp;SUBSTITUTE(SUBSTITUTE(SUBSTITUTE("P:"&amp;A591,"~","~~"),"*","~*"),"?","~?"))=1),(IF(ISNA(MATCH(SUBSTITUTE(SUBSTITUTE(SUBSTITUTE("P:"&amp;A591,"~","~~"),"*","~*"),"?","~?"),Processos!$AS$10:$AS$509,0)),9,INDEX(Processos!$AM$10:$AM$509,MATCH(SUBSTITUTE(SUBSTITUTE(SUBSTITUTE("P:"&amp;A591,"~","~~"),"*","~*"),"?","~?"),Processos!$AS$10:$AS$509,0)))-9),0)</f>
        <v>0</v>
      </c>
      <c r="K591" s="34" t="str">
        <f t="shared" si="39"/>
        <v/>
      </c>
      <c r="L591" s="14">
        <f>ROW()</f>
        <v>591</v>
      </c>
    </row>
    <row r="592" spans="1:12" ht="60" customHeight="1">
      <c r="A592" s="41"/>
      <c r="B592" s="43"/>
      <c r="C592" s="44"/>
      <c r="D592" s="51"/>
      <c r="E592" s="44"/>
      <c r="F592" s="44"/>
      <c r="G592" s="34">
        <f t="shared" si="36"/>
        <v>0</v>
      </c>
      <c r="H592" s="34" t="str">
        <f t="shared" si="37"/>
        <v/>
      </c>
      <c r="I592" s="52" t="str">
        <f t="shared" si="38"/>
        <v/>
      </c>
      <c r="J592" s="34">
        <f>IF(AND(A592&lt;&gt;"",ISTEXT(A592),COUNTIFS(Processos!$AS$10:$AS$509,"="&amp;SUBSTITUTE(SUBSTITUTE(SUBSTITUTE("P:"&amp;A592,"~","~~"),"*","~*"),"?","~?"))=1),(IF(ISNA(MATCH(SUBSTITUTE(SUBSTITUTE(SUBSTITUTE("P:"&amp;A592,"~","~~"),"*","~*"),"?","~?"),Processos!$AS$10:$AS$509,0)),9,INDEX(Processos!$AM$10:$AM$509,MATCH(SUBSTITUTE(SUBSTITUTE(SUBSTITUTE("P:"&amp;A592,"~","~~"),"*","~*"),"?","~?"),Processos!$AS$10:$AS$509,0)))-9),0)</f>
        <v>0</v>
      </c>
      <c r="K592" s="34" t="str">
        <f t="shared" si="39"/>
        <v/>
      </c>
      <c r="L592" s="14">
        <f>ROW()</f>
        <v>592</v>
      </c>
    </row>
    <row r="593" spans="1:12" ht="60" customHeight="1">
      <c r="A593" s="41"/>
      <c r="B593" s="43"/>
      <c r="C593" s="44"/>
      <c r="D593" s="51"/>
      <c r="E593" s="44"/>
      <c r="F593" s="44"/>
      <c r="G593" s="34">
        <f t="shared" si="36"/>
        <v>0</v>
      </c>
      <c r="H593" s="34" t="str">
        <f t="shared" si="37"/>
        <v/>
      </c>
      <c r="I593" s="52" t="str">
        <f t="shared" si="38"/>
        <v/>
      </c>
      <c r="J593" s="34">
        <f>IF(AND(A593&lt;&gt;"",ISTEXT(A593),COUNTIFS(Processos!$AS$10:$AS$509,"="&amp;SUBSTITUTE(SUBSTITUTE(SUBSTITUTE("P:"&amp;A593,"~","~~"),"*","~*"),"?","~?"))=1),(IF(ISNA(MATCH(SUBSTITUTE(SUBSTITUTE(SUBSTITUTE("P:"&amp;A593,"~","~~"),"*","~*"),"?","~?"),Processos!$AS$10:$AS$509,0)),9,INDEX(Processos!$AM$10:$AM$509,MATCH(SUBSTITUTE(SUBSTITUTE(SUBSTITUTE("P:"&amp;A593,"~","~~"),"*","~*"),"?","~?"),Processos!$AS$10:$AS$509,0)))-9),0)</f>
        <v>0</v>
      </c>
      <c r="K593" s="34" t="str">
        <f t="shared" si="39"/>
        <v/>
      </c>
      <c r="L593" s="14">
        <f>ROW()</f>
        <v>593</v>
      </c>
    </row>
    <row r="594" spans="1:12" ht="60" customHeight="1">
      <c r="A594" s="41"/>
      <c r="B594" s="43"/>
      <c r="C594" s="44"/>
      <c r="D594" s="51"/>
      <c r="E594" s="44"/>
      <c r="F594" s="44"/>
      <c r="G594" s="34">
        <f t="shared" si="36"/>
        <v>0</v>
      </c>
      <c r="H594" s="34" t="str">
        <f t="shared" si="37"/>
        <v/>
      </c>
      <c r="I594" s="52" t="str">
        <f t="shared" si="38"/>
        <v/>
      </c>
      <c r="J594" s="34">
        <f>IF(AND(A594&lt;&gt;"",ISTEXT(A594),COUNTIFS(Processos!$AS$10:$AS$509,"="&amp;SUBSTITUTE(SUBSTITUTE(SUBSTITUTE("P:"&amp;A594,"~","~~"),"*","~*"),"?","~?"))=1),(IF(ISNA(MATCH(SUBSTITUTE(SUBSTITUTE(SUBSTITUTE("P:"&amp;A594,"~","~~"),"*","~*"),"?","~?"),Processos!$AS$10:$AS$509,0)),9,INDEX(Processos!$AM$10:$AM$509,MATCH(SUBSTITUTE(SUBSTITUTE(SUBSTITUTE("P:"&amp;A594,"~","~~"),"*","~*"),"?","~?"),Processos!$AS$10:$AS$509,0)))-9),0)</f>
        <v>0</v>
      </c>
      <c r="K594" s="34" t="str">
        <f t="shared" si="39"/>
        <v/>
      </c>
      <c r="L594" s="14">
        <f>ROW()</f>
        <v>594</v>
      </c>
    </row>
    <row r="595" spans="1:12" ht="60" customHeight="1">
      <c r="A595" s="41"/>
      <c r="B595" s="43"/>
      <c r="C595" s="44"/>
      <c r="D595" s="51"/>
      <c r="E595" s="44"/>
      <c r="F595" s="44"/>
      <c r="G595" s="34">
        <f t="shared" si="36"/>
        <v>0</v>
      </c>
      <c r="H595" s="34" t="str">
        <f t="shared" si="37"/>
        <v/>
      </c>
      <c r="I595" s="52" t="str">
        <f t="shared" si="38"/>
        <v/>
      </c>
      <c r="J595" s="34">
        <f>IF(AND(A595&lt;&gt;"",ISTEXT(A595),COUNTIFS(Processos!$AS$10:$AS$509,"="&amp;SUBSTITUTE(SUBSTITUTE(SUBSTITUTE("P:"&amp;A595,"~","~~"),"*","~*"),"?","~?"))=1),(IF(ISNA(MATCH(SUBSTITUTE(SUBSTITUTE(SUBSTITUTE("P:"&amp;A595,"~","~~"),"*","~*"),"?","~?"),Processos!$AS$10:$AS$509,0)),9,INDEX(Processos!$AM$10:$AM$509,MATCH(SUBSTITUTE(SUBSTITUTE(SUBSTITUTE("P:"&amp;A595,"~","~~"),"*","~*"),"?","~?"),Processos!$AS$10:$AS$509,0)))-9),0)</f>
        <v>0</v>
      </c>
      <c r="K595" s="34" t="str">
        <f t="shared" si="39"/>
        <v/>
      </c>
      <c r="L595" s="14">
        <f>ROW()</f>
        <v>595</v>
      </c>
    </row>
    <row r="596" spans="1:12" ht="60" customHeight="1">
      <c r="A596" s="41"/>
      <c r="B596" s="43"/>
      <c r="C596" s="44"/>
      <c r="D596" s="51"/>
      <c r="E596" s="44"/>
      <c r="F596" s="44"/>
      <c r="G596" s="34">
        <f t="shared" si="36"/>
        <v>0</v>
      </c>
      <c r="H596" s="34" t="str">
        <f t="shared" si="37"/>
        <v/>
      </c>
      <c r="I596" s="52" t="str">
        <f t="shared" si="38"/>
        <v/>
      </c>
      <c r="J596" s="34">
        <f>IF(AND(A596&lt;&gt;"",ISTEXT(A596),COUNTIFS(Processos!$AS$10:$AS$509,"="&amp;SUBSTITUTE(SUBSTITUTE(SUBSTITUTE("P:"&amp;A596,"~","~~"),"*","~*"),"?","~?"))=1),(IF(ISNA(MATCH(SUBSTITUTE(SUBSTITUTE(SUBSTITUTE("P:"&amp;A596,"~","~~"),"*","~*"),"?","~?"),Processos!$AS$10:$AS$509,0)),9,INDEX(Processos!$AM$10:$AM$509,MATCH(SUBSTITUTE(SUBSTITUTE(SUBSTITUTE("P:"&amp;A596,"~","~~"),"*","~*"),"?","~?"),Processos!$AS$10:$AS$509,0)))-9),0)</f>
        <v>0</v>
      </c>
      <c r="K596" s="34" t="str">
        <f t="shared" si="39"/>
        <v/>
      </c>
      <c r="L596" s="14">
        <f>ROW()</f>
        <v>596</v>
      </c>
    </row>
    <row r="597" spans="1:12" ht="60" customHeight="1">
      <c r="A597" s="41"/>
      <c r="B597" s="43"/>
      <c r="C597" s="44"/>
      <c r="D597" s="51"/>
      <c r="E597" s="44"/>
      <c r="F597" s="44"/>
      <c r="G597" s="34">
        <f t="shared" si="36"/>
        <v>0</v>
      </c>
      <c r="H597" s="34" t="str">
        <f t="shared" si="37"/>
        <v/>
      </c>
      <c r="I597" s="52" t="str">
        <f t="shared" si="38"/>
        <v/>
      </c>
      <c r="J597" s="34">
        <f>IF(AND(A597&lt;&gt;"",ISTEXT(A597),COUNTIFS(Processos!$AS$10:$AS$509,"="&amp;SUBSTITUTE(SUBSTITUTE(SUBSTITUTE("P:"&amp;A597,"~","~~"),"*","~*"),"?","~?"))=1),(IF(ISNA(MATCH(SUBSTITUTE(SUBSTITUTE(SUBSTITUTE("P:"&amp;A597,"~","~~"),"*","~*"),"?","~?"),Processos!$AS$10:$AS$509,0)),9,INDEX(Processos!$AM$10:$AM$509,MATCH(SUBSTITUTE(SUBSTITUTE(SUBSTITUTE("P:"&amp;A597,"~","~~"),"*","~*"),"?","~?"),Processos!$AS$10:$AS$509,0)))-9),0)</f>
        <v>0</v>
      </c>
      <c r="K597" s="34" t="str">
        <f t="shared" si="39"/>
        <v/>
      </c>
      <c r="L597" s="14">
        <f>ROW()</f>
        <v>597</v>
      </c>
    </row>
    <row r="598" spans="1:12" ht="60" customHeight="1">
      <c r="A598" s="41"/>
      <c r="B598" s="43"/>
      <c r="C598" s="44"/>
      <c r="D598" s="51"/>
      <c r="E598" s="44"/>
      <c r="F598" s="44"/>
      <c r="G598" s="34">
        <f t="shared" si="36"/>
        <v>0</v>
      </c>
      <c r="H598" s="34" t="str">
        <f t="shared" si="37"/>
        <v/>
      </c>
      <c r="I598" s="52" t="str">
        <f t="shared" si="38"/>
        <v/>
      </c>
      <c r="J598" s="34">
        <f>IF(AND(A598&lt;&gt;"",ISTEXT(A598),COUNTIFS(Processos!$AS$10:$AS$509,"="&amp;SUBSTITUTE(SUBSTITUTE(SUBSTITUTE("P:"&amp;A598,"~","~~"),"*","~*"),"?","~?"))=1),(IF(ISNA(MATCH(SUBSTITUTE(SUBSTITUTE(SUBSTITUTE("P:"&amp;A598,"~","~~"),"*","~*"),"?","~?"),Processos!$AS$10:$AS$509,0)),9,INDEX(Processos!$AM$10:$AM$509,MATCH(SUBSTITUTE(SUBSTITUTE(SUBSTITUTE("P:"&amp;A598,"~","~~"),"*","~*"),"?","~?"),Processos!$AS$10:$AS$509,0)))-9),0)</f>
        <v>0</v>
      </c>
      <c r="K598" s="34" t="str">
        <f t="shared" si="39"/>
        <v/>
      </c>
      <c r="L598" s="14">
        <f>ROW()</f>
        <v>598</v>
      </c>
    </row>
    <row r="599" spans="1:12" ht="60" customHeight="1">
      <c r="A599" s="41"/>
      <c r="B599" s="43"/>
      <c r="C599" s="44"/>
      <c r="D599" s="51"/>
      <c r="E599" s="44"/>
      <c r="F599" s="44"/>
      <c r="G599" s="34">
        <f t="shared" si="36"/>
        <v>0</v>
      </c>
      <c r="H599" s="34" t="str">
        <f t="shared" si="37"/>
        <v/>
      </c>
      <c r="I599" s="52" t="str">
        <f t="shared" si="38"/>
        <v/>
      </c>
      <c r="J599" s="34">
        <f>IF(AND(A599&lt;&gt;"",ISTEXT(A599),COUNTIFS(Processos!$AS$10:$AS$509,"="&amp;SUBSTITUTE(SUBSTITUTE(SUBSTITUTE("P:"&amp;A599,"~","~~"),"*","~*"),"?","~?"))=1),(IF(ISNA(MATCH(SUBSTITUTE(SUBSTITUTE(SUBSTITUTE("P:"&amp;A599,"~","~~"),"*","~*"),"?","~?"),Processos!$AS$10:$AS$509,0)),9,INDEX(Processos!$AM$10:$AM$509,MATCH(SUBSTITUTE(SUBSTITUTE(SUBSTITUTE("P:"&amp;A599,"~","~~"),"*","~*"),"?","~?"),Processos!$AS$10:$AS$509,0)))-9),0)</f>
        <v>0</v>
      </c>
      <c r="K599" s="34" t="str">
        <f t="shared" si="39"/>
        <v/>
      </c>
      <c r="L599" s="14">
        <f>ROW()</f>
        <v>599</v>
      </c>
    </row>
    <row r="600" spans="1:12" ht="60" customHeight="1">
      <c r="A600" s="41"/>
      <c r="B600" s="43"/>
      <c r="C600" s="44"/>
      <c r="D600" s="51"/>
      <c r="E600" s="44"/>
      <c r="F600" s="44"/>
      <c r="G600" s="34">
        <f t="shared" si="36"/>
        <v>0</v>
      </c>
      <c r="H600" s="34" t="str">
        <f t="shared" si="37"/>
        <v/>
      </c>
      <c r="I600" s="52" t="str">
        <f t="shared" si="38"/>
        <v/>
      </c>
      <c r="J600" s="34">
        <f>IF(AND(A600&lt;&gt;"",ISTEXT(A600),COUNTIFS(Processos!$AS$10:$AS$509,"="&amp;SUBSTITUTE(SUBSTITUTE(SUBSTITUTE("P:"&amp;A600,"~","~~"),"*","~*"),"?","~?"))=1),(IF(ISNA(MATCH(SUBSTITUTE(SUBSTITUTE(SUBSTITUTE("P:"&amp;A600,"~","~~"),"*","~*"),"?","~?"),Processos!$AS$10:$AS$509,0)),9,INDEX(Processos!$AM$10:$AM$509,MATCH(SUBSTITUTE(SUBSTITUTE(SUBSTITUTE("P:"&amp;A600,"~","~~"),"*","~*"),"?","~?"),Processos!$AS$10:$AS$509,0)))-9),0)</f>
        <v>0</v>
      </c>
      <c r="K600" s="34" t="str">
        <f t="shared" si="39"/>
        <v/>
      </c>
      <c r="L600" s="14">
        <f>ROW()</f>
        <v>600</v>
      </c>
    </row>
    <row r="601" spans="1:12" ht="60" customHeight="1">
      <c r="A601" s="41"/>
      <c r="B601" s="43"/>
      <c r="C601" s="44"/>
      <c r="D601" s="51"/>
      <c r="E601" s="44"/>
      <c r="F601" s="44"/>
      <c r="G601" s="34">
        <f t="shared" si="36"/>
        <v>0</v>
      </c>
      <c r="H601" s="34" t="str">
        <f t="shared" si="37"/>
        <v/>
      </c>
      <c r="I601" s="52" t="str">
        <f t="shared" si="38"/>
        <v/>
      </c>
      <c r="J601" s="34">
        <f>IF(AND(A601&lt;&gt;"",ISTEXT(A601),COUNTIFS(Processos!$AS$10:$AS$509,"="&amp;SUBSTITUTE(SUBSTITUTE(SUBSTITUTE("P:"&amp;A601,"~","~~"),"*","~*"),"?","~?"))=1),(IF(ISNA(MATCH(SUBSTITUTE(SUBSTITUTE(SUBSTITUTE("P:"&amp;A601,"~","~~"),"*","~*"),"?","~?"),Processos!$AS$10:$AS$509,0)),9,INDEX(Processos!$AM$10:$AM$509,MATCH(SUBSTITUTE(SUBSTITUTE(SUBSTITUTE("P:"&amp;A601,"~","~~"),"*","~*"),"?","~?"),Processos!$AS$10:$AS$509,0)))-9),0)</f>
        <v>0</v>
      </c>
      <c r="K601" s="34" t="str">
        <f t="shared" si="39"/>
        <v/>
      </c>
      <c r="L601" s="14">
        <f>ROW()</f>
        <v>601</v>
      </c>
    </row>
    <row r="602" spans="1:12" ht="60" customHeight="1">
      <c r="A602" s="41"/>
      <c r="B602" s="43"/>
      <c r="C602" s="44"/>
      <c r="D602" s="51"/>
      <c r="E602" s="44"/>
      <c r="F602" s="44"/>
      <c r="G602" s="34">
        <f t="shared" si="36"/>
        <v>0</v>
      </c>
      <c r="H602" s="34" t="str">
        <f t="shared" si="37"/>
        <v/>
      </c>
      <c r="I602" s="52" t="str">
        <f t="shared" si="38"/>
        <v/>
      </c>
      <c r="J602" s="34">
        <f>IF(AND(A602&lt;&gt;"",ISTEXT(A602),COUNTIFS(Processos!$AS$10:$AS$509,"="&amp;SUBSTITUTE(SUBSTITUTE(SUBSTITUTE("P:"&amp;A602,"~","~~"),"*","~*"),"?","~?"))=1),(IF(ISNA(MATCH(SUBSTITUTE(SUBSTITUTE(SUBSTITUTE("P:"&amp;A602,"~","~~"),"*","~*"),"?","~?"),Processos!$AS$10:$AS$509,0)),9,INDEX(Processos!$AM$10:$AM$509,MATCH(SUBSTITUTE(SUBSTITUTE(SUBSTITUTE("P:"&amp;A602,"~","~~"),"*","~*"),"?","~?"),Processos!$AS$10:$AS$509,0)))-9),0)</f>
        <v>0</v>
      </c>
      <c r="K602" s="34" t="str">
        <f t="shared" si="39"/>
        <v/>
      </c>
      <c r="L602" s="14">
        <f>ROW()</f>
        <v>602</v>
      </c>
    </row>
    <row r="603" spans="1:12" ht="60" customHeight="1">
      <c r="A603" s="41"/>
      <c r="B603" s="43"/>
      <c r="C603" s="44"/>
      <c r="D603" s="51"/>
      <c r="E603" s="44"/>
      <c r="F603" s="44"/>
      <c r="G603" s="34">
        <f t="shared" si="36"/>
        <v>0</v>
      </c>
      <c r="H603" s="34" t="str">
        <f t="shared" si="37"/>
        <v/>
      </c>
      <c r="I603" s="52" t="str">
        <f t="shared" si="38"/>
        <v/>
      </c>
      <c r="J603" s="34">
        <f>IF(AND(A603&lt;&gt;"",ISTEXT(A603),COUNTIFS(Processos!$AS$10:$AS$509,"="&amp;SUBSTITUTE(SUBSTITUTE(SUBSTITUTE("P:"&amp;A603,"~","~~"),"*","~*"),"?","~?"))=1),(IF(ISNA(MATCH(SUBSTITUTE(SUBSTITUTE(SUBSTITUTE("P:"&amp;A603,"~","~~"),"*","~*"),"?","~?"),Processos!$AS$10:$AS$509,0)),9,INDEX(Processos!$AM$10:$AM$509,MATCH(SUBSTITUTE(SUBSTITUTE(SUBSTITUTE("P:"&amp;A603,"~","~~"),"*","~*"),"?","~?"),Processos!$AS$10:$AS$509,0)))-9),0)</f>
        <v>0</v>
      </c>
      <c r="K603" s="34" t="str">
        <f t="shared" si="39"/>
        <v/>
      </c>
      <c r="L603" s="14">
        <f>ROW()</f>
        <v>603</v>
      </c>
    </row>
    <row r="604" spans="1:12" ht="60" customHeight="1">
      <c r="A604" s="41"/>
      <c r="B604" s="43"/>
      <c r="C604" s="44"/>
      <c r="D604" s="51"/>
      <c r="E604" s="44"/>
      <c r="F604" s="44"/>
      <c r="G604" s="34">
        <f t="shared" si="36"/>
        <v>0</v>
      </c>
      <c r="H604" s="34" t="str">
        <f t="shared" si="37"/>
        <v/>
      </c>
      <c r="I604" s="52" t="str">
        <f t="shared" si="38"/>
        <v/>
      </c>
      <c r="J604" s="34">
        <f>IF(AND(A604&lt;&gt;"",ISTEXT(A604),COUNTIFS(Processos!$AS$10:$AS$509,"="&amp;SUBSTITUTE(SUBSTITUTE(SUBSTITUTE("P:"&amp;A604,"~","~~"),"*","~*"),"?","~?"))=1),(IF(ISNA(MATCH(SUBSTITUTE(SUBSTITUTE(SUBSTITUTE("P:"&amp;A604,"~","~~"),"*","~*"),"?","~?"),Processos!$AS$10:$AS$509,0)),9,INDEX(Processos!$AM$10:$AM$509,MATCH(SUBSTITUTE(SUBSTITUTE(SUBSTITUTE("P:"&amp;A604,"~","~~"),"*","~*"),"?","~?"),Processos!$AS$10:$AS$509,0)))-9),0)</f>
        <v>0</v>
      </c>
      <c r="K604" s="34" t="str">
        <f t="shared" si="39"/>
        <v/>
      </c>
      <c r="L604" s="14">
        <f>ROW()</f>
        <v>604</v>
      </c>
    </row>
    <row r="605" spans="1:12" ht="60" customHeight="1">
      <c r="A605" s="41"/>
      <c r="B605" s="43"/>
      <c r="C605" s="44"/>
      <c r="D605" s="51"/>
      <c r="E605" s="44"/>
      <c r="F605" s="44"/>
      <c r="G605" s="34">
        <f t="shared" si="36"/>
        <v>0</v>
      </c>
      <c r="H605" s="34" t="str">
        <f t="shared" si="37"/>
        <v/>
      </c>
      <c r="I605" s="52" t="str">
        <f t="shared" si="38"/>
        <v/>
      </c>
      <c r="J605" s="34">
        <f>IF(AND(A605&lt;&gt;"",ISTEXT(A605),COUNTIFS(Processos!$AS$10:$AS$509,"="&amp;SUBSTITUTE(SUBSTITUTE(SUBSTITUTE("P:"&amp;A605,"~","~~"),"*","~*"),"?","~?"))=1),(IF(ISNA(MATCH(SUBSTITUTE(SUBSTITUTE(SUBSTITUTE("P:"&amp;A605,"~","~~"),"*","~*"),"?","~?"),Processos!$AS$10:$AS$509,0)),9,INDEX(Processos!$AM$10:$AM$509,MATCH(SUBSTITUTE(SUBSTITUTE(SUBSTITUTE("P:"&amp;A605,"~","~~"),"*","~*"),"?","~?"),Processos!$AS$10:$AS$509,0)))-9),0)</f>
        <v>0</v>
      </c>
      <c r="K605" s="34" t="str">
        <f t="shared" si="39"/>
        <v/>
      </c>
      <c r="L605" s="14">
        <f>ROW()</f>
        <v>605</v>
      </c>
    </row>
    <row r="606" spans="1:12" ht="60" customHeight="1">
      <c r="A606" s="41"/>
      <c r="B606" s="43"/>
      <c r="C606" s="44"/>
      <c r="D606" s="51"/>
      <c r="E606" s="44"/>
      <c r="F606" s="44"/>
      <c r="G606" s="34">
        <f t="shared" si="36"/>
        <v>0</v>
      </c>
      <c r="H606" s="34" t="str">
        <f t="shared" si="37"/>
        <v/>
      </c>
      <c r="I606" s="52" t="str">
        <f t="shared" si="38"/>
        <v/>
      </c>
      <c r="J606" s="34">
        <f>IF(AND(A606&lt;&gt;"",ISTEXT(A606),COUNTIFS(Processos!$AS$10:$AS$509,"="&amp;SUBSTITUTE(SUBSTITUTE(SUBSTITUTE("P:"&amp;A606,"~","~~"),"*","~*"),"?","~?"))=1),(IF(ISNA(MATCH(SUBSTITUTE(SUBSTITUTE(SUBSTITUTE("P:"&amp;A606,"~","~~"),"*","~*"),"?","~?"),Processos!$AS$10:$AS$509,0)),9,INDEX(Processos!$AM$10:$AM$509,MATCH(SUBSTITUTE(SUBSTITUTE(SUBSTITUTE("P:"&amp;A606,"~","~~"),"*","~*"),"?","~?"),Processos!$AS$10:$AS$509,0)))-9),0)</f>
        <v>0</v>
      </c>
      <c r="K606" s="34" t="str">
        <f t="shared" si="39"/>
        <v/>
      </c>
      <c r="L606" s="14">
        <f>ROW()</f>
        <v>606</v>
      </c>
    </row>
    <row r="607" spans="1:12" ht="60" customHeight="1">
      <c r="A607" s="41"/>
      <c r="B607" s="43"/>
      <c r="C607" s="44"/>
      <c r="D607" s="51"/>
      <c r="E607" s="44"/>
      <c r="F607" s="44"/>
      <c r="G607" s="34">
        <f t="shared" si="36"/>
        <v>0</v>
      </c>
      <c r="H607" s="34" t="str">
        <f t="shared" si="37"/>
        <v/>
      </c>
      <c r="I607" s="52" t="str">
        <f t="shared" si="38"/>
        <v/>
      </c>
      <c r="J607" s="34">
        <f>IF(AND(A607&lt;&gt;"",ISTEXT(A607),COUNTIFS(Processos!$AS$10:$AS$509,"="&amp;SUBSTITUTE(SUBSTITUTE(SUBSTITUTE("P:"&amp;A607,"~","~~"),"*","~*"),"?","~?"))=1),(IF(ISNA(MATCH(SUBSTITUTE(SUBSTITUTE(SUBSTITUTE("P:"&amp;A607,"~","~~"),"*","~*"),"?","~?"),Processos!$AS$10:$AS$509,0)),9,INDEX(Processos!$AM$10:$AM$509,MATCH(SUBSTITUTE(SUBSTITUTE(SUBSTITUTE("P:"&amp;A607,"~","~~"),"*","~*"),"?","~?"),Processos!$AS$10:$AS$509,0)))-9),0)</f>
        <v>0</v>
      </c>
      <c r="K607" s="34" t="str">
        <f t="shared" si="39"/>
        <v/>
      </c>
      <c r="L607" s="14">
        <f>ROW()</f>
        <v>607</v>
      </c>
    </row>
    <row r="608" spans="1:12" ht="60" customHeight="1">
      <c r="A608" s="41"/>
      <c r="B608" s="43"/>
      <c r="C608" s="44"/>
      <c r="D608" s="51"/>
      <c r="E608" s="44"/>
      <c r="F608" s="44"/>
      <c r="G608" s="34">
        <f t="shared" si="36"/>
        <v>0</v>
      </c>
      <c r="H608" s="34" t="str">
        <f t="shared" si="37"/>
        <v/>
      </c>
      <c r="I608" s="52" t="str">
        <f t="shared" si="38"/>
        <v/>
      </c>
      <c r="J608" s="34">
        <f>IF(AND(A608&lt;&gt;"",ISTEXT(A608),COUNTIFS(Processos!$AS$10:$AS$509,"="&amp;SUBSTITUTE(SUBSTITUTE(SUBSTITUTE("P:"&amp;A608,"~","~~"),"*","~*"),"?","~?"))=1),(IF(ISNA(MATCH(SUBSTITUTE(SUBSTITUTE(SUBSTITUTE("P:"&amp;A608,"~","~~"),"*","~*"),"?","~?"),Processos!$AS$10:$AS$509,0)),9,INDEX(Processos!$AM$10:$AM$509,MATCH(SUBSTITUTE(SUBSTITUTE(SUBSTITUTE("P:"&amp;A608,"~","~~"),"*","~*"),"?","~?"),Processos!$AS$10:$AS$509,0)))-9),0)</f>
        <v>0</v>
      </c>
      <c r="K608" s="34" t="str">
        <f t="shared" si="39"/>
        <v/>
      </c>
      <c r="L608" s="14">
        <f>ROW()</f>
        <v>608</v>
      </c>
    </row>
    <row r="609" spans="1:12" ht="60" customHeight="1">
      <c r="A609" s="41"/>
      <c r="B609" s="43"/>
      <c r="C609" s="44"/>
      <c r="D609" s="51"/>
      <c r="E609" s="44"/>
      <c r="F609" s="44"/>
      <c r="G609" s="34">
        <f t="shared" si="36"/>
        <v>0</v>
      </c>
      <c r="H609" s="34" t="str">
        <f t="shared" si="37"/>
        <v/>
      </c>
      <c r="I609" s="52" t="str">
        <f t="shared" si="38"/>
        <v/>
      </c>
      <c r="J609" s="34">
        <f>IF(AND(A609&lt;&gt;"",ISTEXT(A609),COUNTIFS(Processos!$AS$10:$AS$509,"="&amp;SUBSTITUTE(SUBSTITUTE(SUBSTITUTE("P:"&amp;A609,"~","~~"),"*","~*"),"?","~?"))=1),(IF(ISNA(MATCH(SUBSTITUTE(SUBSTITUTE(SUBSTITUTE("P:"&amp;A609,"~","~~"),"*","~*"),"?","~?"),Processos!$AS$10:$AS$509,0)),9,INDEX(Processos!$AM$10:$AM$509,MATCH(SUBSTITUTE(SUBSTITUTE(SUBSTITUTE("P:"&amp;A609,"~","~~"),"*","~*"),"?","~?"),Processos!$AS$10:$AS$509,0)))-9),0)</f>
        <v>0</v>
      </c>
      <c r="K609" s="34" t="str">
        <f t="shared" si="39"/>
        <v/>
      </c>
      <c r="L609" s="14">
        <f>ROW()</f>
        <v>609</v>
      </c>
    </row>
    <row r="610" spans="1:12" ht="60" customHeight="1">
      <c r="A610" s="41"/>
      <c r="B610" s="43"/>
      <c r="C610" s="44"/>
      <c r="D610" s="51"/>
      <c r="E610" s="44"/>
      <c r="F610" s="44"/>
      <c r="G610" s="34">
        <f t="shared" si="36"/>
        <v>0</v>
      </c>
      <c r="H610" s="34" t="str">
        <f t="shared" si="37"/>
        <v/>
      </c>
      <c r="I610" s="52" t="str">
        <f t="shared" si="38"/>
        <v/>
      </c>
      <c r="J610" s="34">
        <f>IF(AND(A610&lt;&gt;"",ISTEXT(A610),COUNTIFS(Processos!$AS$10:$AS$509,"="&amp;SUBSTITUTE(SUBSTITUTE(SUBSTITUTE("P:"&amp;A610,"~","~~"),"*","~*"),"?","~?"))=1),(IF(ISNA(MATCH(SUBSTITUTE(SUBSTITUTE(SUBSTITUTE("P:"&amp;A610,"~","~~"),"*","~*"),"?","~?"),Processos!$AS$10:$AS$509,0)),9,INDEX(Processos!$AM$10:$AM$509,MATCH(SUBSTITUTE(SUBSTITUTE(SUBSTITUTE("P:"&amp;A610,"~","~~"),"*","~*"),"?","~?"),Processos!$AS$10:$AS$509,0)))-9),0)</f>
        <v>0</v>
      </c>
      <c r="K610" s="34" t="str">
        <f t="shared" si="39"/>
        <v/>
      </c>
      <c r="L610" s="14">
        <f>ROW()</f>
        <v>610</v>
      </c>
    </row>
    <row r="611" spans="1:12" ht="60" customHeight="1">
      <c r="A611" s="41"/>
      <c r="B611" s="43"/>
      <c r="C611" s="44"/>
      <c r="D611" s="51"/>
      <c r="E611" s="44"/>
      <c r="F611" s="44"/>
      <c r="G611" s="34">
        <f t="shared" si="36"/>
        <v>0</v>
      </c>
      <c r="H611" s="34" t="str">
        <f t="shared" si="37"/>
        <v/>
      </c>
      <c r="I611" s="52" t="str">
        <f t="shared" si="38"/>
        <v/>
      </c>
      <c r="J611" s="34">
        <f>IF(AND(A611&lt;&gt;"",ISTEXT(A611),COUNTIFS(Processos!$AS$10:$AS$509,"="&amp;SUBSTITUTE(SUBSTITUTE(SUBSTITUTE("P:"&amp;A611,"~","~~"),"*","~*"),"?","~?"))=1),(IF(ISNA(MATCH(SUBSTITUTE(SUBSTITUTE(SUBSTITUTE("P:"&amp;A611,"~","~~"),"*","~*"),"?","~?"),Processos!$AS$10:$AS$509,0)),9,INDEX(Processos!$AM$10:$AM$509,MATCH(SUBSTITUTE(SUBSTITUTE(SUBSTITUTE("P:"&amp;A611,"~","~~"),"*","~*"),"?","~?"),Processos!$AS$10:$AS$509,0)))-9),0)</f>
        <v>0</v>
      </c>
      <c r="K611" s="34" t="str">
        <f t="shared" si="39"/>
        <v/>
      </c>
      <c r="L611" s="14">
        <f>ROW()</f>
        <v>611</v>
      </c>
    </row>
    <row r="612" spans="1:12" ht="60" customHeight="1">
      <c r="A612" s="41"/>
      <c r="B612" s="43"/>
      <c r="C612" s="44"/>
      <c r="D612" s="51"/>
      <c r="E612" s="44"/>
      <c r="F612" s="44"/>
      <c r="G612" s="34">
        <f t="shared" si="36"/>
        <v>0</v>
      </c>
      <c r="H612" s="34" t="str">
        <f t="shared" si="37"/>
        <v/>
      </c>
      <c r="I612" s="52" t="str">
        <f t="shared" si="38"/>
        <v/>
      </c>
      <c r="J612" s="34">
        <f>IF(AND(A612&lt;&gt;"",ISTEXT(A612),COUNTIFS(Processos!$AS$10:$AS$509,"="&amp;SUBSTITUTE(SUBSTITUTE(SUBSTITUTE("P:"&amp;A612,"~","~~"),"*","~*"),"?","~?"))=1),(IF(ISNA(MATCH(SUBSTITUTE(SUBSTITUTE(SUBSTITUTE("P:"&amp;A612,"~","~~"),"*","~*"),"?","~?"),Processos!$AS$10:$AS$509,0)),9,INDEX(Processos!$AM$10:$AM$509,MATCH(SUBSTITUTE(SUBSTITUTE(SUBSTITUTE("P:"&amp;A612,"~","~~"),"*","~*"),"?","~?"),Processos!$AS$10:$AS$509,0)))-9),0)</f>
        <v>0</v>
      </c>
      <c r="K612" s="34" t="str">
        <f t="shared" si="39"/>
        <v/>
      </c>
      <c r="L612" s="14">
        <f>ROW()</f>
        <v>612</v>
      </c>
    </row>
    <row r="613" spans="1:12" ht="60" customHeight="1">
      <c r="A613" s="41"/>
      <c r="B613" s="43"/>
      <c r="C613" s="44"/>
      <c r="D613" s="51"/>
      <c r="E613" s="44"/>
      <c r="F613" s="44"/>
      <c r="G613" s="34">
        <f t="shared" si="36"/>
        <v>0</v>
      </c>
      <c r="H613" s="34" t="str">
        <f t="shared" si="37"/>
        <v/>
      </c>
      <c r="I613" s="52" t="str">
        <f t="shared" si="38"/>
        <v/>
      </c>
      <c r="J613" s="34">
        <f>IF(AND(A613&lt;&gt;"",ISTEXT(A613),COUNTIFS(Processos!$AS$10:$AS$509,"="&amp;SUBSTITUTE(SUBSTITUTE(SUBSTITUTE("P:"&amp;A613,"~","~~"),"*","~*"),"?","~?"))=1),(IF(ISNA(MATCH(SUBSTITUTE(SUBSTITUTE(SUBSTITUTE("P:"&amp;A613,"~","~~"),"*","~*"),"?","~?"),Processos!$AS$10:$AS$509,0)),9,INDEX(Processos!$AM$10:$AM$509,MATCH(SUBSTITUTE(SUBSTITUTE(SUBSTITUTE("P:"&amp;A613,"~","~~"),"*","~*"),"?","~?"),Processos!$AS$10:$AS$509,0)))-9),0)</f>
        <v>0</v>
      </c>
      <c r="K613" s="34" t="str">
        <f t="shared" si="39"/>
        <v/>
      </c>
      <c r="L613" s="14">
        <f>ROW()</f>
        <v>613</v>
      </c>
    </row>
    <row r="614" spans="1:12" ht="60" customHeight="1">
      <c r="A614" s="41"/>
      <c r="B614" s="43"/>
      <c r="C614" s="44"/>
      <c r="D614" s="51"/>
      <c r="E614" s="44"/>
      <c r="F614" s="44"/>
      <c r="G614" s="34">
        <f t="shared" si="36"/>
        <v>0</v>
      </c>
      <c r="H614" s="34" t="str">
        <f t="shared" si="37"/>
        <v/>
      </c>
      <c r="I614" s="52" t="str">
        <f t="shared" si="38"/>
        <v/>
      </c>
      <c r="J614" s="34">
        <f>IF(AND(A614&lt;&gt;"",ISTEXT(A614),COUNTIFS(Processos!$AS$10:$AS$509,"="&amp;SUBSTITUTE(SUBSTITUTE(SUBSTITUTE("P:"&amp;A614,"~","~~"),"*","~*"),"?","~?"))=1),(IF(ISNA(MATCH(SUBSTITUTE(SUBSTITUTE(SUBSTITUTE("P:"&amp;A614,"~","~~"),"*","~*"),"?","~?"),Processos!$AS$10:$AS$509,0)),9,INDEX(Processos!$AM$10:$AM$509,MATCH(SUBSTITUTE(SUBSTITUTE(SUBSTITUTE("P:"&amp;A614,"~","~~"),"*","~*"),"?","~?"),Processos!$AS$10:$AS$509,0)))-9),0)</f>
        <v>0</v>
      </c>
      <c r="K614" s="34" t="str">
        <f t="shared" si="39"/>
        <v/>
      </c>
      <c r="L614" s="14">
        <f>ROW()</f>
        <v>614</v>
      </c>
    </row>
    <row r="615" spans="1:12" ht="60" customHeight="1">
      <c r="A615" s="41"/>
      <c r="B615" s="43"/>
      <c r="C615" s="44"/>
      <c r="D615" s="51"/>
      <c r="E615" s="44"/>
      <c r="F615" s="44"/>
      <c r="G615" s="34">
        <f t="shared" si="36"/>
        <v>0</v>
      </c>
      <c r="H615" s="34" t="str">
        <f t="shared" si="37"/>
        <v/>
      </c>
      <c r="I615" s="52" t="str">
        <f t="shared" si="38"/>
        <v/>
      </c>
      <c r="J615" s="34">
        <f>IF(AND(A615&lt;&gt;"",ISTEXT(A615),COUNTIFS(Processos!$AS$10:$AS$509,"="&amp;SUBSTITUTE(SUBSTITUTE(SUBSTITUTE("P:"&amp;A615,"~","~~"),"*","~*"),"?","~?"))=1),(IF(ISNA(MATCH(SUBSTITUTE(SUBSTITUTE(SUBSTITUTE("P:"&amp;A615,"~","~~"),"*","~*"),"?","~?"),Processos!$AS$10:$AS$509,0)),9,INDEX(Processos!$AM$10:$AM$509,MATCH(SUBSTITUTE(SUBSTITUTE(SUBSTITUTE("P:"&amp;A615,"~","~~"),"*","~*"),"?","~?"),Processos!$AS$10:$AS$509,0)))-9),0)</f>
        <v>0</v>
      </c>
      <c r="K615" s="34" t="str">
        <f t="shared" si="39"/>
        <v/>
      </c>
      <c r="L615" s="14">
        <f>ROW()</f>
        <v>615</v>
      </c>
    </row>
    <row r="616" spans="1:12" ht="60" customHeight="1">
      <c r="A616" s="41"/>
      <c r="B616" s="43"/>
      <c r="C616" s="44"/>
      <c r="D616" s="51"/>
      <c r="E616" s="44"/>
      <c r="F616" s="44"/>
      <c r="G616" s="34">
        <f t="shared" si="36"/>
        <v>0</v>
      </c>
      <c r="H616" s="34" t="str">
        <f t="shared" si="37"/>
        <v/>
      </c>
      <c r="I616" s="52" t="str">
        <f t="shared" si="38"/>
        <v/>
      </c>
      <c r="J616" s="34">
        <f>IF(AND(A616&lt;&gt;"",ISTEXT(A616),COUNTIFS(Processos!$AS$10:$AS$509,"="&amp;SUBSTITUTE(SUBSTITUTE(SUBSTITUTE("P:"&amp;A616,"~","~~"),"*","~*"),"?","~?"))=1),(IF(ISNA(MATCH(SUBSTITUTE(SUBSTITUTE(SUBSTITUTE("P:"&amp;A616,"~","~~"),"*","~*"),"?","~?"),Processos!$AS$10:$AS$509,0)),9,INDEX(Processos!$AM$10:$AM$509,MATCH(SUBSTITUTE(SUBSTITUTE(SUBSTITUTE("P:"&amp;A616,"~","~~"),"*","~*"),"?","~?"),Processos!$AS$10:$AS$509,0)))-9),0)</f>
        <v>0</v>
      </c>
      <c r="K616" s="34" t="str">
        <f t="shared" si="39"/>
        <v/>
      </c>
      <c r="L616" s="14">
        <f>ROW()</f>
        <v>616</v>
      </c>
    </row>
    <row r="617" spans="1:12" ht="60" customHeight="1">
      <c r="A617" s="41"/>
      <c r="B617" s="43"/>
      <c r="C617" s="44"/>
      <c r="D617" s="51"/>
      <c r="E617" s="44"/>
      <c r="F617" s="44"/>
      <c r="G617" s="34">
        <f t="shared" si="36"/>
        <v>0</v>
      </c>
      <c r="H617" s="34" t="str">
        <f t="shared" si="37"/>
        <v/>
      </c>
      <c r="I617" s="52" t="str">
        <f t="shared" si="38"/>
        <v/>
      </c>
      <c r="J617" s="34">
        <f>IF(AND(A617&lt;&gt;"",ISTEXT(A617),COUNTIFS(Processos!$AS$10:$AS$509,"="&amp;SUBSTITUTE(SUBSTITUTE(SUBSTITUTE("P:"&amp;A617,"~","~~"),"*","~*"),"?","~?"))=1),(IF(ISNA(MATCH(SUBSTITUTE(SUBSTITUTE(SUBSTITUTE("P:"&amp;A617,"~","~~"),"*","~*"),"?","~?"),Processos!$AS$10:$AS$509,0)),9,INDEX(Processos!$AM$10:$AM$509,MATCH(SUBSTITUTE(SUBSTITUTE(SUBSTITUTE("P:"&amp;A617,"~","~~"),"*","~*"),"?","~?"),Processos!$AS$10:$AS$509,0)))-9),0)</f>
        <v>0</v>
      </c>
      <c r="K617" s="34" t="str">
        <f t="shared" si="39"/>
        <v/>
      </c>
      <c r="L617" s="14">
        <f>ROW()</f>
        <v>617</v>
      </c>
    </row>
    <row r="618" spans="1:12" ht="60" customHeight="1">
      <c r="A618" s="41"/>
      <c r="B618" s="43"/>
      <c r="C618" s="44"/>
      <c r="D618" s="51"/>
      <c r="E618" s="44"/>
      <c r="F618" s="44"/>
      <c r="G618" s="34">
        <f t="shared" si="36"/>
        <v>0</v>
      </c>
      <c r="H618" s="34" t="str">
        <f t="shared" si="37"/>
        <v/>
      </c>
      <c r="I618" s="52" t="str">
        <f t="shared" si="38"/>
        <v/>
      </c>
      <c r="J618" s="34">
        <f>IF(AND(A618&lt;&gt;"",ISTEXT(A618),COUNTIFS(Processos!$AS$10:$AS$509,"="&amp;SUBSTITUTE(SUBSTITUTE(SUBSTITUTE("P:"&amp;A618,"~","~~"),"*","~*"),"?","~?"))=1),(IF(ISNA(MATCH(SUBSTITUTE(SUBSTITUTE(SUBSTITUTE("P:"&amp;A618,"~","~~"),"*","~*"),"?","~?"),Processos!$AS$10:$AS$509,0)),9,INDEX(Processos!$AM$10:$AM$509,MATCH(SUBSTITUTE(SUBSTITUTE(SUBSTITUTE("P:"&amp;A618,"~","~~"),"*","~*"),"?","~?"),Processos!$AS$10:$AS$509,0)))-9),0)</f>
        <v>0</v>
      </c>
      <c r="K618" s="34" t="str">
        <f t="shared" si="39"/>
        <v/>
      </c>
      <c r="L618" s="14">
        <f>ROW()</f>
        <v>618</v>
      </c>
    </row>
    <row r="619" spans="1:12" ht="60" customHeight="1">
      <c r="A619" s="41"/>
      <c r="B619" s="43"/>
      <c r="C619" s="44"/>
      <c r="D619" s="51"/>
      <c r="E619" s="44"/>
      <c r="F619" s="44"/>
      <c r="G619" s="34">
        <f t="shared" si="36"/>
        <v>0</v>
      </c>
      <c r="H619" s="34" t="str">
        <f t="shared" si="37"/>
        <v/>
      </c>
      <c r="I619" s="52" t="str">
        <f t="shared" si="38"/>
        <v/>
      </c>
      <c r="J619" s="34">
        <f>IF(AND(A619&lt;&gt;"",ISTEXT(A619),COUNTIFS(Processos!$AS$10:$AS$509,"="&amp;SUBSTITUTE(SUBSTITUTE(SUBSTITUTE("P:"&amp;A619,"~","~~"),"*","~*"),"?","~?"))=1),(IF(ISNA(MATCH(SUBSTITUTE(SUBSTITUTE(SUBSTITUTE("P:"&amp;A619,"~","~~"),"*","~*"),"?","~?"),Processos!$AS$10:$AS$509,0)),9,INDEX(Processos!$AM$10:$AM$509,MATCH(SUBSTITUTE(SUBSTITUTE(SUBSTITUTE("P:"&amp;A619,"~","~~"),"*","~*"),"?","~?"),Processos!$AS$10:$AS$509,0)))-9),0)</f>
        <v>0</v>
      </c>
      <c r="K619" s="34" t="str">
        <f t="shared" si="39"/>
        <v/>
      </c>
      <c r="L619" s="14">
        <f>ROW()</f>
        <v>619</v>
      </c>
    </row>
    <row r="620" spans="1:12" ht="60" customHeight="1">
      <c r="A620" s="41"/>
      <c r="B620" s="43"/>
      <c r="C620" s="44"/>
      <c r="D620" s="51"/>
      <c r="E620" s="44"/>
      <c r="F620" s="44"/>
      <c r="G620" s="34">
        <f t="shared" si="36"/>
        <v>0</v>
      </c>
      <c r="H620" s="34" t="str">
        <f t="shared" si="37"/>
        <v/>
      </c>
      <c r="I620" s="52" t="str">
        <f t="shared" si="38"/>
        <v/>
      </c>
      <c r="J620" s="34">
        <f>IF(AND(A620&lt;&gt;"",ISTEXT(A620),COUNTIFS(Processos!$AS$10:$AS$509,"="&amp;SUBSTITUTE(SUBSTITUTE(SUBSTITUTE("P:"&amp;A620,"~","~~"),"*","~*"),"?","~?"))=1),(IF(ISNA(MATCH(SUBSTITUTE(SUBSTITUTE(SUBSTITUTE("P:"&amp;A620,"~","~~"),"*","~*"),"?","~?"),Processos!$AS$10:$AS$509,0)),9,INDEX(Processos!$AM$10:$AM$509,MATCH(SUBSTITUTE(SUBSTITUTE(SUBSTITUTE("P:"&amp;A620,"~","~~"),"*","~*"),"?","~?"),Processos!$AS$10:$AS$509,0)))-9),0)</f>
        <v>0</v>
      </c>
      <c r="K620" s="34" t="str">
        <f t="shared" si="39"/>
        <v/>
      </c>
      <c r="L620" s="14">
        <f>ROW()</f>
        <v>620</v>
      </c>
    </row>
    <row r="621" spans="1:12" ht="60" customHeight="1">
      <c r="A621" s="41"/>
      <c r="B621" s="43"/>
      <c r="C621" s="44"/>
      <c r="D621" s="51"/>
      <c r="E621" s="44"/>
      <c r="F621" s="44"/>
      <c r="G621" s="34">
        <f t="shared" si="36"/>
        <v>0</v>
      </c>
      <c r="H621" s="34" t="str">
        <f t="shared" si="37"/>
        <v/>
      </c>
      <c r="I621" s="52" t="str">
        <f t="shared" si="38"/>
        <v/>
      </c>
      <c r="J621" s="34">
        <f>IF(AND(A621&lt;&gt;"",ISTEXT(A621),COUNTIFS(Processos!$AS$10:$AS$509,"="&amp;SUBSTITUTE(SUBSTITUTE(SUBSTITUTE("P:"&amp;A621,"~","~~"),"*","~*"),"?","~?"))=1),(IF(ISNA(MATCH(SUBSTITUTE(SUBSTITUTE(SUBSTITUTE("P:"&amp;A621,"~","~~"),"*","~*"),"?","~?"),Processos!$AS$10:$AS$509,0)),9,INDEX(Processos!$AM$10:$AM$509,MATCH(SUBSTITUTE(SUBSTITUTE(SUBSTITUTE("P:"&amp;A621,"~","~~"),"*","~*"),"?","~?"),Processos!$AS$10:$AS$509,0)))-9),0)</f>
        <v>0</v>
      </c>
      <c r="K621" s="34" t="str">
        <f t="shared" si="39"/>
        <v/>
      </c>
      <c r="L621" s="14">
        <f>ROW()</f>
        <v>621</v>
      </c>
    </row>
    <row r="622" spans="1:12" ht="60" customHeight="1">
      <c r="A622" s="41"/>
      <c r="B622" s="43"/>
      <c r="C622" s="44"/>
      <c r="D622" s="51"/>
      <c r="E622" s="44"/>
      <c r="F622" s="44"/>
      <c r="G622" s="34">
        <f t="shared" si="36"/>
        <v>0</v>
      </c>
      <c r="H622" s="34" t="str">
        <f t="shared" si="37"/>
        <v/>
      </c>
      <c r="I622" s="52" t="str">
        <f t="shared" si="38"/>
        <v/>
      </c>
      <c r="J622" s="34">
        <f>IF(AND(A622&lt;&gt;"",ISTEXT(A622),COUNTIFS(Processos!$AS$10:$AS$509,"="&amp;SUBSTITUTE(SUBSTITUTE(SUBSTITUTE("P:"&amp;A622,"~","~~"),"*","~*"),"?","~?"))=1),(IF(ISNA(MATCH(SUBSTITUTE(SUBSTITUTE(SUBSTITUTE("P:"&amp;A622,"~","~~"),"*","~*"),"?","~?"),Processos!$AS$10:$AS$509,0)),9,INDEX(Processos!$AM$10:$AM$509,MATCH(SUBSTITUTE(SUBSTITUTE(SUBSTITUTE("P:"&amp;A622,"~","~~"),"*","~*"),"?","~?"),Processos!$AS$10:$AS$509,0)))-9),0)</f>
        <v>0</v>
      </c>
      <c r="K622" s="34" t="str">
        <f t="shared" si="39"/>
        <v/>
      </c>
      <c r="L622" s="14">
        <f>ROW()</f>
        <v>622</v>
      </c>
    </row>
    <row r="623" spans="1:12" ht="60" customHeight="1">
      <c r="A623" s="41"/>
      <c r="B623" s="43"/>
      <c r="C623" s="44"/>
      <c r="D623" s="51"/>
      <c r="E623" s="44"/>
      <c r="F623" s="44"/>
      <c r="G623" s="34">
        <f t="shared" si="36"/>
        <v>0</v>
      </c>
      <c r="H623" s="34" t="str">
        <f t="shared" si="37"/>
        <v/>
      </c>
      <c r="I623" s="52" t="str">
        <f t="shared" si="38"/>
        <v/>
      </c>
      <c r="J623" s="34">
        <f>IF(AND(A623&lt;&gt;"",ISTEXT(A623),COUNTIFS(Processos!$AS$10:$AS$509,"="&amp;SUBSTITUTE(SUBSTITUTE(SUBSTITUTE("P:"&amp;A623,"~","~~"),"*","~*"),"?","~?"))=1),(IF(ISNA(MATCH(SUBSTITUTE(SUBSTITUTE(SUBSTITUTE("P:"&amp;A623,"~","~~"),"*","~*"),"?","~?"),Processos!$AS$10:$AS$509,0)),9,INDEX(Processos!$AM$10:$AM$509,MATCH(SUBSTITUTE(SUBSTITUTE(SUBSTITUTE("P:"&amp;A623,"~","~~"),"*","~*"),"?","~?"),Processos!$AS$10:$AS$509,0)))-9),0)</f>
        <v>0</v>
      </c>
      <c r="K623" s="34" t="str">
        <f t="shared" si="39"/>
        <v/>
      </c>
      <c r="L623" s="14">
        <f>ROW()</f>
        <v>623</v>
      </c>
    </row>
    <row r="624" spans="1:12" ht="60" customHeight="1">
      <c r="A624" s="41"/>
      <c r="B624" s="43"/>
      <c r="C624" s="44"/>
      <c r="D624" s="51"/>
      <c r="E624" s="44"/>
      <c r="F624" s="44"/>
      <c r="G624" s="34">
        <f t="shared" si="36"/>
        <v>0</v>
      </c>
      <c r="H624" s="34" t="str">
        <f t="shared" si="37"/>
        <v/>
      </c>
      <c r="I624" s="52" t="str">
        <f t="shared" si="38"/>
        <v/>
      </c>
      <c r="J624" s="34">
        <f>IF(AND(A624&lt;&gt;"",ISTEXT(A624),COUNTIFS(Processos!$AS$10:$AS$509,"="&amp;SUBSTITUTE(SUBSTITUTE(SUBSTITUTE("P:"&amp;A624,"~","~~"),"*","~*"),"?","~?"))=1),(IF(ISNA(MATCH(SUBSTITUTE(SUBSTITUTE(SUBSTITUTE("P:"&amp;A624,"~","~~"),"*","~*"),"?","~?"),Processos!$AS$10:$AS$509,0)),9,INDEX(Processos!$AM$10:$AM$509,MATCH(SUBSTITUTE(SUBSTITUTE(SUBSTITUTE("P:"&amp;A624,"~","~~"),"*","~*"),"?","~?"),Processos!$AS$10:$AS$509,0)))-9),0)</f>
        <v>0</v>
      </c>
      <c r="K624" s="34" t="str">
        <f t="shared" si="39"/>
        <v/>
      </c>
      <c r="L624" s="14">
        <f>ROW()</f>
        <v>624</v>
      </c>
    </row>
    <row r="625" spans="1:12" ht="60" customHeight="1">
      <c r="A625" s="41"/>
      <c r="B625" s="43"/>
      <c r="C625" s="44"/>
      <c r="D625" s="51"/>
      <c r="E625" s="44"/>
      <c r="F625" s="44"/>
      <c r="G625" s="34">
        <f t="shared" si="36"/>
        <v>0</v>
      </c>
      <c r="H625" s="34" t="str">
        <f t="shared" si="37"/>
        <v/>
      </c>
      <c r="I625" s="52" t="str">
        <f t="shared" si="38"/>
        <v/>
      </c>
      <c r="J625" s="34">
        <f>IF(AND(A625&lt;&gt;"",ISTEXT(A625),COUNTIFS(Processos!$AS$10:$AS$509,"="&amp;SUBSTITUTE(SUBSTITUTE(SUBSTITUTE("P:"&amp;A625,"~","~~"),"*","~*"),"?","~?"))=1),(IF(ISNA(MATCH(SUBSTITUTE(SUBSTITUTE(SUBSTITUTE("P:"&amp;A625,"~","~~"),"*","~*"),"?","~?"),Processos!$AS$10:$AS$509,0)),9,INDEX(Processos!$AM$10:$AM$509,MATCH(SUBSTITUTE(SUBSTITUTE(SUBSTITUTE("P:"&amp;A625,"~","~~"),"*","~*"),"?","~?"),Processos!$AS$10:$AS$509,0)))-9),0)</f>
        <v>0</v>
      </c>
      <c r="K625" s="34" t="str">
        <f t="shared" si="39"/>
        <v/>
      </c>
      <c r="L625" s="14">
        <f>ROW()</f>
        <v>625</v>
      </c>
    </row>
    <row r="626" spans="1:12" ht="60" customHeight="1">
      <c r="A626" s="41"/>
      <c r="B626" s="43"/>
      <c r="C626" s="44"/>
      <c r="D626" s="51"/>
      <c r="E626" s="44"/>
      <c r="F626" s="44"/>
      <c r="G626" s="34">
        <f t="shared" si="36"/>
        <v>0</v>
      </c>
      <c r="H626" s="34" t="str">
        <f t="shared" si="37"/>
        <v/>
      </c>
      <c r="I626" s="52" t="str">
        <f t="shared" si="38"/>
        <v/>
      </c>
      <c r="J626" s="34">
        <f>IF(AND(A626&lt;&gt;"",ISTEXT(A626),COUNTIFS(Processos!$AS$10:$AS$509,"="&amp;SUBSTITUTE(SUBSTITUTE(SUBSTITUTE("P:"&amp;A626,"~","~~"),"*","~*"),"?","~?"))=1),(IF(ISNA(MATCH(SUBSTITUTE(SUBSTITUTE(SUBSTITUTE("P:"&amp;A626,"~","~~"),"*","~*"),"?","~?"),Processos!$AS$10:$AS$509,0)),9,INDEX(Processos!$AM$10:$AM$509,MATCH(SUBSTITUTE(SUBSTITUTE(SUBSTITUTE("P:"&amp;A626,"~","~~"),"*","~*"),"?","~?"),Processos!$AS$10:$AS$509,0)))-9),0)</f>
        <v>0</v>
      </c>
      <c r="K626" s="34" t="str">
        <f t="shared" si="39"/>
        <v/>
      </c>
      <c r="L626" s="14">
        <f>ROW()</f>
        <v>626</v>
      </c>
    </row>
    <row r="627" spans="1:12" ht="60" customHeight="1">
      <c r="A627" s="41"/>
      <c r="B627" s="43"/>
      <c r="C627" s="44"/>
      <c r="D627" s="51"/>
      <c r="E627" s="44"/>
      <c r="F627" s="44"/>
      <c r="G627" s="34">
        <f t="shared" si="36"/>
        <v>0</v>
      </c>
      <c r="H627" s="34" t="str">
        <f t="shared" si="37"/>
        <v/>
      </c>
      <c r="I627" s="52" t="str">
        <f t="shared" si="38"/>
        <v/>
      </c>
      <c r="J627" s="34">
        <f>IF(AND(A627&lt;&gt;"",ISTEXT(A627),COUNTIFS(Processos!$AS$10:$AS$509,"="&amp;SUBSTITUTE(SUBSTITUTE(SUBSTITUTE("P:"&amp;A627,"~","~~"),"*","~*"),"?","~?"))=1),(IF(ISNA(MATCH(SUBSTITUTE(SUBSTITUTE(SUBSTITUTE("P:"&amp;A627,"~","~~"),"*","~*"),"?","~?"),Processos!$AS$10:$AS$509,0)),9,INDEX(Processos!$AM$10:$AM$509,MATCH(SUBSTITUTE(SUBSTITUTE(SUBSTITUTE("P:"&amp;A627,"~","~~"),"*","~*"),"?","~?"),Processos!$AS$10:$AS$509,0)))-9),0)</f>
        <v>0</v>
      </c>
      <c r="K627" s="34" t="str">
        <f t="shared" si="39"/>
        <v/>
      </c>
      <c r="L627" s="14">
        <f>ROW()</f>
        <v>627</v>
      </c>
    </row>
    <row r="628" spans="1:12" ht="60" customHeight="1">
      <c r="A628" s="41"/>
      <c r="B628" s="43"/>
      <c r="C628" s="44"/>
      <c r="D628" s="51"/>
      <c r="E628" s="44"/>
      <c r="F628" s="44"/>
      <c r="G628" s="34">
        <f t="shared" si="36"/>
        <v>0</v>
      </c>
      <c r="H628" s="34" t="str">
        <f t="shared" si="37"/>
        <v/>
      </c>
      <c r="I628" s="52" t="str">
        <f t="shared" si="38"/>
        <v/>
      </c>
      <c r="J628" s="34">
        <f>IF(AND(A628&lt;&gt;"",ISTEXT(A628),COUNTIFS(Processos!$AS$10:$AS$509,"="&amp;SUBSTITUTE(SUBSTITUTE(SUBSTITUTE("P:"&amp;A628,"~","~~"),"*","~*"),"?","~?"))=1),(IF(ISNA(MATCH(SUBSTITUTE(SUBSTITUTE(SUBSTITUTE("P:"&amp;A628,"~","~~"),"*","~*"),"?","~?"),Processos!$AS$10:$AS$509,0)),9,INDEX(Processos!$AM$10:$AM$509,MATCH(SUBSTITUTE(SUBSTITUTE(SUBSTITUTE("P:"&amp;A628,"~","~~"),"*","~*"),"?","~?"),Processos!$AS$10:$AS$509,0)))-9),0)</f>
        <v>0</v>
      </c>
      <c r="K628" s="34" t="str">
        <f t="shared" si="39"/>
        <v/>
      </c>
      <c r="L628" s="14">
        <f>ROW()</f>
        <v>628</v>
      </c>
    </row>
    <row r="629" spans="1:12" ht="60" customHeight="1">
      <c r="A629" s="41"/>
      <c r="B629" s="43"/>
      <c r="C629" s="44"/>
      <c r="D629" s="51"/>
      <c r="E629" s="44"/>
      <c r="F629" s="44"/>
      <c r="G629" s="34">
        <f t="shared" si="36"/>
        <v>0</v>
      </c>
      <c r="H629" s="34" t="str">
        <f t="shared" si="37"/>
        <v/>
      </c>
      <c r="I629" s="52" t="str">
        <f t="shared" si="38"/>
        <v/>
      </c>
      <c r="J629" s="34">
        <f>IF(AND(A629&lt;&gt;"",ISTEXT(A629),COUNTIFS(Processos!$AS$10:$AS$509,"="&amp;SUBSTITUTE(SUBSTITUTE(SUBSTITUTE("P:"&amp;A629,"~","~~"),"*","~*"),"?","~?"))=1),(IF(ISNA(MATCH(SUBSTITUTE(SUBSTITUTE(SUBSTITUTE("P:"&amp;A629,"~","~~"),"*","~*"),"?","~?"),Processos!$AS$10:$AS$509,0)),9,INDEX(Processos!$AM$10:$AM$509,MATCH(SUBSTITUTE(SUBSTITUTE(SUBSTITUTE("P:"&amp;A629,"~","~~"),"*","~*"),"?","~?"),Processos!$AS$10:$AS$509,0)))-9),0)</f>
        <v>0</v>
      </c>
      <c r="K629" s="34" t="str">
        <f t="shared" si="39"/>
        <v/>
      </c>
      <c r="L629" s="14">
        <f>ROW()</f>
        <v>629</v>
      </c>
    </row>
    <row r="630" spans="1:12" ht="60" customHeight="1">
      <c r="A630" s="41"/>
      <c r="B630" s="43"/>
      <c r="C630" s="44"/>
      <c r="D630" s="51"/>
      <c r="E630" s="44"/>
      <c r="F630" s="44"/>
      <c r="G630" s="34">
        <f t="shared" si="36"/>
        <v>0</v>
      </c>
      <c r="H630" s="34" t="str">
        <f t="shared" si="37"/>
        <v/>
      </c>
      <c r="I630" s="52" t="str">
        <f t="shared" si="38"/>
        <v/>
      </c>
      <c r="J630" s="34">
        <f>IF(AND(A630&lt;&gt;"",ISTEXT(A630),COUNTIFS(Processos!$AS$10:$AS$509,"="&amp;SUBSTITUTE(SUBSTITUTE(SUBSTITUTE("P:"&amp;A630,"~","~~"),"*","~*"),"?","~?"))=1),(IF(ISNA(MATCH(SUBSTITUTE(SUBSTITUTE(SUBSTITUTE("P:"&amp;A630,"~","~~"),"*","~*"),"?","~?"),Processos!$AS$10:$AS$509,0)),9,INDEX(Processos!$AM$10:$AM$509,MATCH(SUBSTITUTE(SUBSTITUTE(SUBSTITUTE("P:"&amp;A630,"~","~~"),"*","~*"),"?","~?"),Processos!$AS$10:$AS$509,0)))-9),0)</f>
        <v>0</v>
      </c>
      <c r="K630" s="34" t="str">
        <f t="shared" si="39"/>
        <v/>
      </c>
      <c r="L630" s="14">
        <f>ROW()</f>
        <v>630</v>
      </c>
    </row>
    <row r="631" spans="1:12" ht="60" customHeight="1">
      <c r="A631" s="41"/>
      <c r="B631" s="43"/>
      <c r="C631" s="44"/>
      <c r="D631" s="51"/>
      <c r="E631" s="44"/>
      <c r="F631" s="44"/>
      <c r="G631" s="34">
        <f t="shared" si="36"/>
        <v>0</v>
      </c>
      <c r="H631" s="34" t="str">
        <f t="shared" si="37"/>
        <v/>
      </c>
      <c r="I631" s="52" t="str">
        <f t="shared" si="38"/>
        <v/>
      </c>
      <c r="J631" s="34">
        <f>IF(AND(A631&lt;&gt;"",ISTEXT(A631),COUNTIFS(Processos!$AS$10:$AS$509,"="&amp;SUBSTITUTE(SUBSTITUTE(SUBSTITUTE("P:"&amp;A631,"~","~~"),"*","~*"),"?","~?"))=1),(IF(ISNA(MATCH(SUBSTITUTE(SUBSTITUTE(SUBSTITUTE("P:"&amp;A631,"~","~~"),"*","~*"),"?","~?"),Processos!$AS$10:$AS$509,0)),9,INDEX(Processos!$AM$10:$AM$509,MATCH(SUBSTITUTE(SUBSTITUTE(SUBSTITUTE("P:"&amp;A631,"~","~~"),"*","~*"),"?","~?"),Processos!$AS$10:$AS$509,0)))-9),0)</f>
        <v>0</v>
      </c>
      <c r="K631" s="34" t="str">
        <f t="shared" si="39"/>
        <v/>
      </c>
      <c r="L631" s="14">
        <f>ROW()</f>
        <v>631</v>
      </c>
    </row>
    <row r="632" spans="1:12" ht="60" customHeight="1">
      <c r="A632" s="41"/>
      <c r="B632" s="43"/>
      <c r="C632" s="44"/>
      <c r="D632" s="51"/>
      <c r="E632" s="44"/>
      <c r="F632" s="44"/>
      <c r="G632" s="34">
        <f t="shared" si="36"/>
        <v>0</v>
      </c>
      <c r="H632" s="34" t="str">
        <f t="shared" si="37"/>
        <v/>
      </c>
      <c r="I632" s="52" t="str">
        <f t="shared" si="38"/>
        <v/>
      </c>
      <c r="J632" s="34">
        <f>IF(AND(A632&lt;&gt;"",ISTEXT(A632),COUNTIFS(Processos!$AS$10:$AS$509,"="&amp;SUBSTITUTE(SUBSTITUTE(SUBSTITUTE("P:"&amp;A632,"~","~~"),"*","~*"),"?","~?"))=1),(IF(ISNA(MATCH(SUBSTITUTE(SUBSTITUTE(SUBSTITUTE("P:"&amp;A632,"~","~~"),"*","~*"),"?","~?"),Processos!$AS$10:$AS$509,0)),9,INDEX(Processos!$AM$10:$AM$509,MATCH(SUBSTITUTE(SUBSTITUTE(SUBSTITUTE("P:"&amp;A632,"~","~~"),"*","~*"),"?","~?"),Processos!$AS$10:$AS$509,0)))-9),0)</f>
        <v>0</v>
      </c>
      <c r="K632" s="34" t="str">
        <f t="shared" si="39"/>
        <v/>
      </c>
      <c r="L632" s="14">
        <f>ROW()</f>
        <v>632</v>
      </c>
    </row>
    <row r="633" spans="1:12" ht="60" customHeight="1">
      <c r="A633" s="41"/>
      <c r="B633" s="43"/>
      <c r="C633" s="44"/>
      <c r="D633" s="51"/>
      <c r="E633" s="44"/>
      <c r="F633" s="44"/>
      <c r="G633" s="34">
        <f t="shared" si="36"/>
        <v>0</v>
      </c>
      <c r="H633" s="34" t="str">
        <f t="shared" si="37"/>
        <v/>
      </c>
      <c r="I633" s="52" t="str">
        <f t="shared" si="38"/>
        <v/>
      </c>
      <c r="J633" s="34">
        <f>IF(AND(A633&lt;&gt;"",ISTEXT(A633),COUNTIFS(Processos!$AS$10:$AS$509,"="&amp;SUBSTITUTE(SUBSTITUTE(SUBSTITUTE("P:"&amp;A633,"~","~~"),"*","~*"),"?","~?"))=1),(IF(ISNA(MATCH(SUBSTITUTE(SUBSTITUTE(SUBSTITUTE("P:"&amp;A633,"~","~~"),"*","~*"),"?","~?"),Processos!$AS$10:$AS$509,0)),9,INDEX(Processos!$AM$10:$AM$509,MATCH(SUBSTITUTE(SUBSTITUTE(SUBSTITUTE("P:"&amp;A633,"~","~~"),"*","~*"),"?","~?"),Processos!$AS$10:$AS$509,0)))-9),0)</f>
        <v>0</v>
      </c>
      <c r="K633" s="34" t="str">
        <f t="shared" si="39"/>
        <v/>
      </c>
      <c r="L633" s="14">
        <f>ROW()</f>
        <v>633</v>
      </c>
    </row>
    <row r="634" spans="1:12" ht="60" customHeight="1">
      <c r="A634" s="41"/>
      <c r="B634" s="43"/>
      <c r="C634" s="44"/>
      <c r="D634" s="51"/>
      <c r="E634" s="44"/>
      <c r="F634" s="44"/>
      <c r="G634" s="34">
        <f t="shared" si="36"/>
        <v>0</v>
      </c>
      <c r="H634" s="34" t="str">
        <f t="shared" si="37"/>
        <v/>
      </c>
      <c r="I634" s="52" t="str">
        <f t="shared" si="38"/>
        <v/>
      </c>
      <c r="J634" s="34">
        <f>IF(AND(A634&lt;&gt;"",ISTEXT(A634),COUNTIFS(Processos!$AS$10:$AS$509,"="&amp;SUBSTITUTE(SUBSTITUTE(SUBSTITUTE("P:"&amp;A634,"~","~~"),"*","~*"),"?","~?"))=1),(IF(ISNA(MATCH(SUBSTITUTE(SUBSTITUTE(SUBSTITUTE("P:"&amp;A634,"~","~~"),"*","~*"),"?","~?"),Processos!$AS$10:$AS$509,0)),9,INDEX(Processos!$AM$10:$AM$509,MATCH(SUBSTITUTE(SUBSTITUTE(SUBSTITUTE("P:"&amp;A634,"~","~~"),"*","~*"),"?","~?"),Processos!$AS$10:$AS$509,0)))-9),0)</f>
        <v>0</v>
      </c>
      <c r="K634" s="34" t="str">
        <f t="shared" si="39"/>
        <v/>
      </c>
      <c r="L634" s="14">
        <f>ROW()</f>
        <v>634</v>
      </c>
    </row>
    <row r="635" spans="1:12" ht="60" customHeight="1">
      <c r="A635" s="41"/>
      <c r="B635" s="43"/>
      <c r="C635" s="44"/>
      <c r="D635" s="51"/>
      <c r="E635" s="44"/>
      <c r="F635" s="44"/>
      <c r="G635" s="34">
        <f t="shared" si="36"/>
        <v>0</v>
      </c>
      <c r="H635" s="34" t="str">
        <f t="shared" si="37"/>
        <v/>
      </c>
      <c r="I635" s="52" t="str">
        <f t="shared" si="38"/>
        <v/>
      </c>
      <c r="J635" s="34">
        <f>IF(AND(A635&lt;&gt;"",ISTEXT(A635),COUNTIFS(Processos!$AS$10:$AS$509,"="&amp;SUBSTITUTE(SUBSTITUTE(SUBSTITUTE("P:"&amp;A635,"~","~~"),"*","~*"),"?","~?"))=1),(IF(ISNA(MATCH(SUBSTITUTE(SUBSTITUTE(SUBSTITUTE("P:"&amp;A635,"~","~~"),"*","~*"),"?","~?"),Processos!$AS$10:$AS$509,0)),9,INDEX(Processos!$AM$10:$AM$509,MATCH(SUBSTITUTE(SUBSTITUTE(SUBSTITUTE("P:"&amp;A635,"~","~~"),"*","~*"),"?","~?"),Processos!$AS$10:$AS$509,0)))-9),0)</f>
        <v>0</v>
      </c>
      <c r="K635" s="34" t="str">
        <f t="shared" si="39"/>
        <v/>
      </c>
      <c r="L635" s="14">
        <f>ROW()</f>
        <v>635</v>
      </c>
    </row>
    <row r="636" spans="1:12" ht="60" customHeight="1">
      <c r="A636" s="41"/>
      <c r="B636" s="43"/>
      <c r="C636" s="44"/>
      <c r="D636" s="51"/>
      <c r="E636" s="44"/>
      <c r="F636" s="44"/>
      <c r="G636" s="34">
        <f t="shared" si="36"/>
        <v>0</v>
      </c>
      <c r="H636" s="34" t="str">
        <f t="shared" si="37"/>
        <v/>
      </c>
      <c r="I636" s="52" t="str">
        <f t="shared" si="38"/>
        <v/>
      </c>
      <c r="J636" s="34">
        <f>IF(AND(A636&lt;&gt;"",ISTEXT(A636),COUNTIFS(Processos!$AS$10:$AS$509,"="&amp;SUBSTITUTE(SUBSTITUTE(SUBSTITUTE("P:"&amp;A636,"~","~~"),"*","~*"),"?","~?"))=1),(IF(ISNA(MATCH(SUBSTITUTE(SUBSTITUTE(SUBSTITUTE("P:"&amp;A636,"~","~~"),"*","~*"),"?","~?"),Processos!$AS$10:$AS$509,0)),9,INDEX(Processos!$AM$10:$AM$509,MATCH(SUBSTITUTE(SUBSTITUTE(SUBSTITUTE("P:"&amp;A636,"~","~~"),"*","~*"),"?","~?"),Processos!$AS$10:$AS$509,0)))-9),0)</f>
        <v>0</v>
      </c>
      <c r="K636" s="34" t="str">
        <f t="shared" si="39"/>
        <v/>
      </c>
      <c r="L636" s="14">
        <f>ROW()</f>
        <v>636</v>
      </c>
    </row>
    <row r="637" spans="1:12" ht="60" customHeight="1">
      <c r="A637" s="41"/>
      <c r="B637" s="43"/>
      <c r="C637" s="44"/>
      <c r="D637" s="51"/>
      <c r="E637" s="44"/>
      <c r="F637" s="44"/>
      <c r="G637" s="34">
        <f t="shared" si="36"/>
        <v>0</v>
      </c>
      <c r="H637" s="34" t="str">
        <f t="shared" si="37"/>
        <v/>
      </c>
      <c r="I637" s="52" t="str">
        <f t="shared" si="38"/>
        <v/>
      </c>
      <c r="J637" s="34">
        <f>IF(AND(A637&lt;&gt;"",ISTEXT(A637),COUNTIFS(Processos!$AS$10:$AS$509,"="&amp;SUBSTITUTE(SUBSTITUTE(SUBSTITUTE("P:"&amp;A637,"~","~~"),"*","~*"),"?","~?"))=1),(IF(ISNA(MATCH(SUBSTITUTE(SUBSTITUTE(SUBSTITUTE("P:"&amp;A637,"~","~~"),"*","~*"),"?","~?"),Processos!$AS$10:$AS$509,0)),9,INDEX(Processos!$AM$10:$AM$509,MATCH(SUBSTITUTE(SUBSTITUTE(SUBSTITUTE("P:"&amp;A637,"~","~~"),"*","~*"),"?","~?"),Processos!$AS$10:$AS$509,0)))-9),0)</f>
        <v>0</v>
      </c>
      <c r="K637" s="34" t="str">
        <f t="shared" si="39"/>
        <v/>
      </c>
      <c r="L637" s="14">
        <f>ROW()</f>
        <v>637</v>
      </c>
    </row>
    <row r="638" spans="1:12" ht="60" customHeight="1">
      <c r="A638" s="41"/>
      <c r="B638" s="43"/>
      <c r="C638" s="44"/>
      <c r="D638" s="51"/>
      <c r="E638" s="44"/>
      <c r="F638" s="44"/>
      <c r="G638" s="34">
        <f t="shared" si="36"/>
        <v>0</v>
      </c>
      <c r="H638" s="34" t="str">
        <f t="shared" si="37"/>
        <v/>
      </c>
      <c r="I638" s="52" t="str">
        <f t="shared" si="38"/>
        <v/>
      </c>
      <c r="J638" s="34">
        <f>IF(AND(A638&lt;&gt;"",ISTEXT(A638),COUNTIFS(Processos!$AS$10:$AS$509,"="&amp;SUBSTITUTE(SUBSTITUTE(SUBSTITUTE("P:"&amp;A638,"~","~~"),"*","~*"),"?","~?"))=1),(IF(ISNA(MATCH(SUBSTITUTE(SUBSTITUTE(SUBSTITUTE("P:"&amp;A638,"~","~~"),"*","~*"),"?","~?"),Processos!$AS$10:$AS$509,0)),9,INDEX(Processos!$AM$10:$AM$509,MATCH(SUBSTITUTE(SUBSTITUTE(SUBSTITUTE("P:"&amp;A638,"~","~~"),"*","~*"),"?","~?"),Processos!$AS$10:$AS$509,0)))-9),0)</f>
        <v>0</v>
      </c>
      <c r="K638" s="34" t="str">
        <f t="shared" si="39"/>
        <v/>
      </c>
      <c r="L638" s="14">
        <f>ROW()</f>
        <v>638</v>
      </c>
    </row>
    <row r="639" spans="1:12" ht="60" customHeight="1">
      <c r="A639" s="41"/>
      <c r="B639" s="43"/>
      <c r="C639" s="44"/>
      <c r="D639" s="51"/>
      <c r="E639" s="44"/>
      <c r="F639" s="44"/>
      <c r="G639" s="34">
        <f t="shared" si="36"/>
        <v>0</v>
      </c>
      <c r="H639" s="34" t="str">
        <f t="shared" si="37"/>
        <v/>
      </c>
      <c r="I639" s="52" t="str">
        <f t="shared" si="38"/>
        <v/>
      </c>
      <c r="J639" s="34">
        <f>IF(AND(A639&lt;&gt;"",ISTEXT(A639),COUNTIFS(Processos!$AS$10:$AS$509,"="&amp;SUBSTITUTE(SUBSTITUTE(SUBSTITUTE("P:"&amp;A639,"~","~~"),"*","~*"),"?","~?"))=1),(IF(ISNA(MATCH(SUBSTITUTE(SUBSTITUTE(SUBSTITUTE("P:"&amp;A639,"~","~~"),"*","~*"),"?","~?"),Processos!$AS$10:$AS$509,0)),9,INDEX(Processos!$AM$10:$AM$509,MATCH(SUBSTITUTE(SUBSTITUTE(SUBSTITUTE("P:"&amp;A639,"~","~~"),"*","~*"),"?","~?"),Processos!$AS$10:$AS$509,0)))-9),0)</f>
        <v>0</v>
      </c>
      <c r="K639" s="34" t="str">
        <f t="shared" si="39"/>
        <v/>
      </c>
      <c r="L639" s="14">
        <f>ROW()</f>
        <v>639</v>
      </c>
    </row>
    <row r="640" spans="1:12" ht="60" customHeight="1">
      <c r="A640" s="41"/>
      <c r="B640" s="43"/>
      <c r="C640" s="44"/>
      <c r="D640" s="51"/>
      <c r="E640" s="44"/>
      <c r="F640" s="44"/>
      <c r="G640" s="34">
        <f t="shared" si="36"/>
        <v>0</v>
      </c>
      <c r="H640" s="34" t="str">
        <f t="shared" si="37"/>
        <v/>
      </c>
      <c r="I640" s="52" t="str">
        <f t="shared" si="38"/>
        <v/>
      </c>
      <c r="J640" s="34">
        <f>IF(AND(A640&lt;&gt;"",ISTEXT(A640),COUNTIFS(Processos!$AS$10:$AS$509,"="&amp;SUBSTITUTE(SUBSTITUTE(SUBSTITUTE("P:"&amp;A640,"~","~~"),"*","~*"),"?","~?"))=1),(IF(ISNA(MATCH(SUBSTITUTE(SUBSTITUTE(SUBSTITUTE("P:"&amp;A640,"~","~~"),"*","~*"),"?","~?"),Processos!$AS$10:$AS$509,0)),9,INDEX(Processos!$AM$10:$AM$509,MATCH(SUBSTITUTE(SUBSTITUTE(SUBSTITUTE("P:"&amp;A640,"~","~~"),"*","~*"),"?","~?"),Processos!$AS$10:$AS$509,0)))-9),0)</f>
        <v>0</v>
      </c>
      <c r="K640" s="34" t="str">
        <f t="shared" si="39"/>
        <v/>
      </c>
      <c r="L640" s="14">
        <f>ROW()</f>
        <v>640</v>
      </c>
    </row>
    <row r="641" spans="1:12" ht="60" customHeight="1">
      <c r="A641" s="41"/>
      <c r="B641" s="43"/>
      <c r="C641" s="44"/>
      <c r="D641" s="51"/>
      <c r="E641" s="44"/>
      <c r="F641" s="44"/>
      <c r="G641" s="34">
        <f t="shared" si="36"/>
        <v>0</v>
      </c>
      <c r="H641" s="34" t="str">
        <f t="shared" si="37"/>
        <v/>
      </c>
      <c r="I641" s="52" t="str">
        <f t="shared" si="38"/>
        <v/>
      </c>
      <c r="J641" s="34">
        <f>IF(AND(A641&lt;&gt;"",ISTEXT(A641),COUNTIFS(Processos!$AS$10:$AS$509,"="&amp;SUBSTITUTE(SUBSTITUTE(SUBSTITUTE("P:"&amp;A641,"~","~~"),"*","~*"),"?","~?"))=1),(IF(ISNA(MATCH(SUBSTITUTE(SUBSTITUTE(SUBSTITUTE("P:"&amp;A641,"~","~~"),"*","~*"),"?","~?"),Processos!$AS$10:$AS$509,0)),9,INDEX(Processos!$AM$10:$AM$509,MATCH(SUBSTITUTE(SUBSTITUTE(SUBSTITUTE("P:"&amp;A641,"~","~~"),"*","~*"),"?","~?"),Processos!$AS$10:$AS$509,0)))-9),0)</f>
        <v>0</v>
      </c>
      <c r="K641" s="34" t="str">
        <f t="shared" si="39"/>
        <v/>
      </c>
      <c r="L641" s="14">
        <f>ROW()</f>
        <v>641</v>
      </c>
    </row>
    <row r="642" spans="1:12" ht="60" customHeight="1">
      <c r="A642" s="41"/>
      <c r="B642" s="43"/>
      <c r="C642" s="44"/>
      <c r="D642" s="51"/>
      <c r="E642" s="44"/>
      <c r="F642" s="44"/>
      <c r="G642" s="34">
        <f t="shared" si="36"/>
        <v>0</v>
      </c>
      <c r="H642" s="34" t="str">
        <f t="shared" si="37"/>
        <v/>
      </c>
      <c r="I642" s="52" t="str">
        <f t="shared" si="38"/>
        <v/>
      </c>
      <c r="J642" s="34">
        <f>IF(AND(A642&lt;&gt;"",ISTEXT(A642),COUNTIFS(Processos!$AS$10:$AS$509,"="&amp;SUBSTITUTE(SUBSTITUTE(SUBSTITUTE("P:"&amp;A642,"~","~~"),"*","~*"),"?","~?"))=1),(IF(ISNA(MATCH(SUBSTITUTE(SUBSTITUTE(SUBSTITUTE("P:"&amp;A642,"~","~~"),"*","~*"),"?","~?"),Processos!$AS$10:$AS$509,0)),9,INDEX(Processos!$AM$10:$AM$509,MATCH(SUBSTITUTE(SUBSTITUTE(SUBSTITUTE("P:"&amp;A642,"~","~~"),"*","~*"),"?","~?"),Processos!$AS$10:$AS$509,0)))-9),0)</f>
        <v>0</v>
      </c>
      <c r="K642" s="34" t="str">
        <f t="shared" si="39"/>
        <v/>
      </c>
      <c r="L642" s="14">
        <f>ROW()</f>
        <v>642</v>
      </c>
    </row>
    <row r="643" spans="1:12" ht="60" customHeight="1">
      <c r="A643" s="41"/>
      <c r="B643" s="43"/>
      <c r="C643" s="44"/>
      <c r="D643" s="51"/>
      <c r="E643" s="44"/>
      <c r="F643" s="44"/>
      <c r="G643" s="34">
        <f t="shared" si="36"/>
        <v>0</v>
      </c>
      <c r="H643" s="34" t="str">
        <f t="shared" si="37"/>
        <v/>
      </c>
      <c r="I643" s="52" t="str">
        <f t="shared" si="38"/>
        <v/>
      </c>
      <c r="J643" s="34">
        <f>IF(AND(A643&lt;&gt;"",ISTEXT(A643),COUNTIFS(Processos!$AS$10:$AS$509,"="&amp;SUBSTITUTE(SUBSTITUTE(SUBSTITUTE("P:"&amp;A643,"~","~~"),"*","~*"),"?","~?"))=1),(IF(ISNA(MATCH(SUBSTITUTE(SUBSTITUTE(SUBSTITUTE("P:"&amp;A643,"~","~~"),"*","~*"),"?","~?"),Processos!$AS$10:$AS$509,0)),9,INDEX(Processos!$AM$10:$AM$509,MATCH(SUBSTITUTE(SUBSTITUTE(SUBSTITUTE("P:"&amp;A643,"~","~~"),"*","~*"),"?","~?"),Processos!$AS$10:$AS$509,0)))-9),0)</f>
        <v>0</v>
      </c>
      <c r="K643" s="34" t="str">
        <f t="shared" si="39"/>
        <v/>
      </c>
      <c r="L643" s="14">
        <f>ROW()</f>
        <v>643</v>
      </c>
    </row>
    <row r="644" spans="1:12" ht="60" customHeight="1">
      <c r="A644" s="41"/>
      <c r="B644" s="43"/>
      <c r="C644" s="44"/>
      <c r="D644" s="51"/>
      <c r="E644" s="44"/>
      <c r="F644" s="44"/>
      <c r="G644" s="34">
        <f t="shared" si="36"/>
        <v>0</v>
      </c>
      <c r="H644" s="34" t="str">
        <f t="shared" si="37"/>
        <v/>
      </c>
      <c r="I644" s="52" t="str">
        <f t="shared" si="38"/>
        <v/>
      </c>
      <c r="J644" s="34">
        <f>IF(AND(A644&lt;&gt;"",ISTEXT(A644),COUNTIFS(Processos!$AS$10:$AS$509,"="&amp;SUBSTITUTE(SUBSTITUTE(SUBSTITUTE("P:"&amp;A644,"~","~~"),"*","~*"),"?","~?"))=1),(IF(ISNA(MATCH(SUBSTITUTE(SUBSTITUTE(SUBSTITUTE("P:"&amp;A644,"~","~~"),"*","~*"),"?","~?"),Processos!$AS$10:$AS$509,0)),9,INDEX(Processos!$AM$10:$AM$509,MATCH(SUBSTITUTE(SUBSTITUTE(SUBSTITUTE("P:"&amp;A644,"~","~~"),"*","~*"),"?","~?"),Processos!$AS$10:$AS$509,0)))-9),0)</f>
        <v>0</v>
      </c>
      <c r="K644" s="34" t="str">
        <f t="shared" si="39"/>
        <v/>
      </c>
      <c r="L644" s="14">
        <f>ROW()</f>
        <v>644</v>
      </c>
    </row>
    <row r="645" spans="1:12" ht="60" customHeight="1">
      <c r="A645" s="41"/>
      <c r="B645" s="43"/>
      <c r="C645" s="44"/>
      <c r="D645" s="51"/>
      <c r="E645" s="44"/>
      <c r="F645" s="44"/>
      <c r="G645" s="34">
        <f t="shared" si="36"/>
        <v>0</v>
      </c>
      <c r="H645" s="34" t="str">
        <f t="shared" si="37"/>
        <v/>
      </c>
      <c r="I645" s="52" t="str">
        <f t="shared" si="38"/>
        <v/>
      </c>
      <c r="J645" s="34">
        <f>IF(AND(A645&lt;&gt;"",ISTEXT(A645),COUNTIFS(Processos!$AS$10:$AS$509,"="&amp;SUBSTITUTE(SUBSTITUTE(SUBSTITUTE("P:"&amp;A645,"~","~~"),"*","~*"),"?","~?"))=1),(IF(ISNA(MATCH(SUBSTITUTE(SUBSTITUTE(SUBSTITUTE("P:"&amp;A645,"~","~~"),"*","~*"),"?","~?"),Processos!$AS$10:$AS$509,0)),9,INDEX(Processos!$AM$10:$AM$509,MATCH(SUBSTITUTE(SUBSTITUTE(SUBSTITUTE("P:"&amp;A645,"~","~~"),"*","~*"),"?","~?"),Processos!$AS$10:$AS$509,0)))-9),0)</f>
        <v>0</v>
      </c>
      <c r="K645" s="34" t="str">
        <f t="shared" si="39"/>
        <v/>
      </c>
      <c r="L645" s="14">
        <f>ROW()</f>
        <v>645</v>
      </c>
    </row>
    <row r="646" spans="1:12" ht="60" customHeight="1">
      <c r="A646" s="41"/>
      <c r="B646" s="43"/>
      <c r="C646" s="44"/>
      <c r="D646" s="51"/>
      <c r="E646" s="44"/>
      <c r="F646" s="44"/>
      <c r="G646" s="34">
        <f t="shared" si="36"/>
        <v>0</v>
      </c>
      <c r="H646" s="34" t="str">
        <f t="shared" si="37"/>
        <v/>
      </c>
      <c r="I646" s="52" t="str">
        <f t="shared" si="38"/>
        <v/>
      </c>
      <c r="J646" s="34">
        <f>IF(AND(A646&lt;&gt;"",ISTEXT(A646),COUNTIFS(Processos!$AS$10:$AS$509,"="&amp;SUBSTITUTE(SUBSTITUTE(SUBSTITUTE("P:"&amp;A646,"~","~~"),"*","~*"),"?","~?"))=1),(IF(ISNA(MATCH(SUBSTITUTE(SUBSTITUTE(SUBSTITUTE("P:"&amp;A646,"~","~~"),"*","~*"),"?","~?"),Processos!$AS$10:$AS$509,0)),9,INDEX(Processos!$AM$10:$AM$509,MATCH(SUBSTITUTE(SUBSTITUTE(SUBSTITUTE("P:"&amp;A646,"~","~~"),"*","~*"),"?","~?"),Processos!$AS$10:$AS$509,0)))-9),0)</f>
        <v>0</v>
      </c>
      <c r="K646" s="34" t="str">
        <f t="shared" si="39"/>
        <v/>
      </c>
      <c r="L646" s="14">
        <f>ROW()</f>
        <v>646</v>
      </c>
    </row>
    <row r="647" spans="1:12" ht="60" customHeight="1">
      <c r="A647" s="41"/>
      <c r="B647" s="43"/>
      <c r="C647" s="44"/>
      <c r="D647" s="51"/>
      <c r="E647" s="44"/>
      <c r="F647" s="44"/>
      <c r="G647" s="34">
        <f t="shared" si="36"/>
        <v>0</v>
      </c>
      <c r="H647" s="34" t="str">
        <f t="shared" si="37"/>
        <v/>
      </c>
      <c r="I647" s="52" t="str">
        <f t="shared" si="38"/>
        <v/>
      </c>
      <c r="J647" s="34">
        <f>IF(AND(A647&lt;&gt;"",ISTEXT(A647),COUNTIFS(Processos!$AS$10:$AS$509,"="&amp;SUBSTITUTE(SUBSTITUTE(SUBSTITUTE("P:"&amp;A647,"~","~~"),"*","~*"),"?","~?"))=1),(IF(ISNA(MATCH(SUBSTITUTE(SUBSTITUTE(SUBSTITUTE("P:"&amp;A647,"~","~~"),"*","~*"),"?","~?"),Processos!$AS$10:$AS$509,0)),9,INDEX(Processos!$AM$10:$AM$509,MATCH(SUBSTITUTE(SUBSTITUTE(SUBSTITUTE("P:"&amp;A647,"~","~~"),"*","~*"),"?","~?"),Processos!$AS$10:$AS$509,0)))-9),0)</f>
        <v>0</v>
      </c>
      <c r="K647" s="34" t="str">
        <f t="shared" si="39"/>
        <v/>
      </c>
      <c r="L647" s="14">
        <f>ROW()</f>
        <v>647</v>
      </c>
    </row>
    <row r="648" spans="1:12" ht="60" customHeight="1">
      <c r="A648" s="41"/>
      <c r="B648" s="43"/>
      <c r="C648" s="44"/>
      <c r="D648" s="51"/>
      <c r="E648" s="44"/>
      <c r="F648" s="44"/>
      <c r="G648" s="34">
        <f t="shared" si="36"/>
        <v>0</v>
      </c>
      <c r="H648" s="34" t="str">
        <f t="shared" si="37"/>
        <v/>
      </c>
      <c r="I648" s="52" t="str">
        <f t="shared" si="38"/>
        <v/>
      </c>
      <c r="J648" s="34">
        <f>IF(AND(A648&lt;&gt;"",ISTEXT(A648),COUNTIFS(Processos!$AS$10:$AS$509,"="&amp;SUBSTITUTE(SUBSTITUTE(SUBSTITUTE("P:"&amp;A648,"~","~~"),"*","~*"),"?","~?"))=1),(IF(ISNA(MATCH(SUBSTITUTE(SUBSTITUTE(SUBSTITUTE("P:"&amp;A648,"~","~~"),"*","~*"),"?","~?"),Processos!$AS$10:$AS$509,0)),9,INDEX(Processos!$AM$10:$AM$509,MATCH(SUBSTITUTE(SUBSTITUTE(SUBSTITUTE("P:"&amp;A648,"~","~~"),"*","~*"),"?","~?"),Processos!$AS$10:$AS$509,0)))-9),0)</f>
        <v>0</v>
      </c>
      <c r="K648" s="34" t="str">
        <f t="shared" si="39"/>
        <v/>
      </c>
      <c r="L648" s="14">
        <f>ROW()</f>
        <v>648</v>
      </c>
    </row>
    <row r="649" spans="1:12" ht="60" customHeight="1">
      <c r="A649" s="41"/>
      <c r="B649" s="43"/>
      <c r="C649" s="44"/>
      <c r="D649" s="51"/>
      <c r="E649" s="44"/>
      <c r="F649" s="44"/>
      <c r="G649" s="34">
        <f t="shared" si="36"/>
        <v>0</v>
      </c>
      <c r="H649" s="34" t="str">
        <f t="shared" si="37"/>
        <v/>
      </c>
      <c r="I649" s="52" t="str">
        <f t="shared" si="38"/>
        <v/>
      </c>
      <c r="J649" s="34">
        <f>IF(AND(A649&lt;&gt;"",ISTEXT(A649),COUNTIFS(Processos!$AS$10:$AS$509,"="&amp;SUBSTITUTE(SUBSTITUTE(SUBSTITUTE("P:"&amp;A649,"~","~~"),"*","~*"),"?","~?"))=1),(IF(ISNA(MATCH(SUBSTITUTE(SUBSTITUTE(SUBSTITUTE("P:"&amp;A649,"~","~~"),"*","~*"),"?","~?"),Processos!$AS$10:$AS$509,0)),9,INDEX(Processos!$AM$10:$AM$509,MATCH(SUBSTITUTE(SUBSTITUTE(SUBSTITUTE("P:"&amp;A649,"~","~~"),"*","~*"),"?","~?"),Processos!$AS$10:$AS$509,0)))-9),0)</f>
        <v>0</v>
      </c>
      <c r="K649" s="34" t="str">
        <f t="shared" si="39"/>
        <v/>
      </c>
      <c r="L649" s="14">
        <f>ROW()</f>
        <v>649</v>
      </c>
    </row>
    <row r="650" spans="1:12" ht="60" customHeight="1">
      <c r="A650" s="41"/>
      <c r="B650" s="43"/>
      <c r="C650" s="44"/>
      <c r="D650" s="51"/>
      <c r="E650" s="44"/>
      <c r="F650" s="44"/>
      <c r="G650" s="34">
        <f t="shared" ref="G650:G713" si="40">IF(AND(J650&gt;0,OR(B650="",AND(ISNUMBER(B650),B650&gt;=1,B650&lt;=100000)),ISNUMBER(D650),D650&gt;=1,D650&lt;=100000,C650&lt;&gt;""),1,0)</f>
        <v>0</v>
      </c>
      <c r="H650" s="34" t="str">
        <f t="shared" ref="H650:H713" si="41">IF(G650=1,K650&amp;"|"&amp;D650,"")</f>
        <v/>
      </c>
      <c r="I650" s="52" t="str">
        <f t="shared" ref="I650:I713" si="42">IF(COUNTA(A650:F650)=0,"",IF(A650="","Selecione o processo",IF(J650=0,"Processo inexistente, duplicado ou número não textual",IF(B650="","Informe a data do andamento",IF(C650="","Descreva o andamento",IF(D650="","Informe a data e hora do recebimento",IF(OR(NOT(ISNUMBER(B650)),B650&lt;1,B650&gt;100000),"Revise a data do andamento",IF(OR(NOT(ISNUMBER(D650)),D650&lt;1,D650&gt;100000),"Revise a data e hora do recebimento",IF(COUNTIFS($K$10:$K$2009,"="&amp;SUBSTITUTE(SUBSTITUTE(SUBSTITUTE("P:"&amp;A650,"~","~~"),"*","~*"),"?","~?"),$D$10:$D$2009,D650,$G$10:$G$2009,1)&gt;1,"Recebimentos empatados: revise a hora ou consolide o registro","")))))))))</f>
        <v/>
      </c>
      <c r="J650" s="34">
        <f>IF(AND(A650&lt;&gt;"",ISTEXT(A650),COUNTIFS(Processos!$AS$10:$AS$509,"="&amp;SUBSTITUTE(SUBSTITUTE(SUBSTITUTE("P:"&amp;A650,"~","~~"),"*","~*"),"?","~?"))=1),(IF(ISNA(MATCH(SUBSTITUTE(SUBSTITUTE(SUBSTITUTE("P:"&amp;A650,"~","~~"),"*","~*"),"?","~?"),Processos!$AS$10:$AS$509,0)),9,INDEX(Processos!$AM$10:$AM$509,MATCH(SUBSTITUTE(SUBSTITUTE(SUBSTITUTE("P:"&amp;A650,"~","~~"),"*","~*"),"?","~?"),Processos!$AS$10:$AS$509,0)))-9),0)</f>
        <v>0</v>
      </c>
      <c r="K650" s="34" t="str">
        <f t="shared" ref="K650:K713" si="43">IF(AND(A650&lt;&gt;"",ISTEXT(A650)),"P:"&amp;A650,"")</f>
        <v/>
      </c>
      <c r="L650" s="14">
        <f>ROW()</f>
        <v>650</v>
      </c>
    </row>
    <row r="651" spans="1:12" ht="60" customHeight="1">
      <c r="A651" s="41"/>
      <c r="B651" s="43"/>
      <c r="C651" s="44"/>
      <c r="D651" s="51"/>
      <c r="E651" s="44"/>
      <c r="F651" s="44"/>
      <c r="G651" s="34">
        <f t="shared" si="40"/>
        <v>0</v>
      </c>
      <c r="H651" s="34" t="str">
        <f t="shared" si="41"/>
        <v/>
      </c>
      <c r="I651" s="52" t="str">
        <f t="shared" si="42"/>
        <v/>
      </c>
      <c r="J651" s="34">
        <f>IF(AND(A651&lt;&gt;"",ISTEXT(A651),COUNTIFS(Processos!$AS$10:$AS$509,"="&amp;SUBSTITUTE(SUBSTITUTE(SUBSTITUTE("P:"&amp;A651,"~","~~"),"*","~*"),"?","~?"))=1),(IF(ISNA(MATCH(SUBSTITUTE(SUBSTITUTE(SUBSTITUTE("P:"&amp;A651,"~","~~"),"*","~*"),"?","~?"),Processos!$AS$10:$AS$509,0)),9,INDEX(Processos!$AM$10:$AM$509,MATCH(SUBSTITUTE(SUBSTITUTE(SUBSTITUTE("P:"&amp;A651,"~","~~"),"*","~*"),"?","~?"),Processos!$AS$10:$AS$509,0)))-9),0)</f>
        <v>0</v>
      </c>
      <c r="K651" s="34" t="str">
        <f t="shared" si="43"/>
        <v/>
      </c>
      <c r="L651" s="14">
        <f>ROW()</f>
        <v>651</v>
      </c>
    </row>
    <row r="652" spans="1:12" ht="60" customHeight="1">
      <c r="A652" s="41"/>
      <c r="B652" s="43"/>
      <c r="C652" s="44"/>
      <c r="D652" s="51"/>
      <c r="E652" s="44"/>
      <c r="F652" s="44"/>
      <c r="G652" s="34">
        <f t="shared" si="40"/>
        <v>0</v>
      </c>
      <c r="H652" s="34" t="str">
        <f t="shared" si="41"/>
        <v/>
      </c>
      <c r="I652" s="52" t="str">
        <f t="shared" si="42"/>
        <v/>
      </c>
      <c r="J652" s="34">
        <f>IF(AND(A652&lt;&gt;"",ISTEXT(A652),COUNTIFS(Processos!$AS$10:$AS$509,"="&amp;SUBSTITUTE(SUBSTITUTE(SUBSTITUTE("P:"&amp;A652,"~","~~"),"*","~*"),"?","~?"))=1),(IF(ISNA(MATCH(SUBSTITUTE(SUBSTITUTE(SUBSTITUTE("P:"&amp;A652,"~","~~"),"*","~*"),"?","~?"),Processos!$AS$10:$AS$509,0)),9,INDEX(Processos!$AM$10:$AM$509,MATCH(SUBSTITUTE(SUBSTITUTE(SUBSTITUTE("P:"&amp;A652,"~","~~"),"*","~*"),"?","~?"),Processos!$AS$10:$AS$509,0)))-9),0)</f>
        <v>0</v>
      </c>
      <c r="K652" s="34" t="str">
        <f t="shared" si="43"/>
        <v/>
      </c>
      <c r="L652" s="14">
        <f>ROW()</f>
        <v>652</v>
      </c>
    </row>
    <row r="653" spans="1:12" ht="60" customHeight="1">
      <c r="A653" s="41"/>
      <c r="B653" s="43"/>
      <c r="C653" s="44"/>
      <c r="D653" s="51"/>
      <c r="E653" s="44"/>
      <c r="F653" s="44"/>
      <c r="G653" s="34">
        <f t="shared" si="40"/>
        <v>0</v>
      </c>
      <c r="H653" s="34" t="str">
        <f t="shared" si="41"/>
        <v/>
      </c>
      <c r="I653" s="52" t="str">
        <f t="shared" si="42"/>
        <v/>
      </c>
      <c r="J653" s="34">
        <f>IF(AND(A653&lt;&gt;"",ISTEXT(A653),COUNTIFS(Processos!$AS$10:$AS$509,"="&amp;SUBSTITUTE(SUBSTITUTE(SUBSTITUTE("P:"&amp;A653,"~","~~"),"*","~*"),"?","~?"))=1),(IF(ISNA(MATCH(SUBSTITUTE(SUBSTITUTE(SUBSTITUTE("P:"&amp;A653,"~","~~"),"*","~*"),"?","~?"),Processos!$AS$10:$AS$509,0)),9,INDEX(Processos!$AM$10:$AM$509,MATCH(SUBSTITUTE(SUBSTITUTE(SUBSTITUTE("P:"&amp;A653,"~","~~"),"*","~*"),"?","~?"),Processos!$AS$10:$AS$509,0)))-9),0)</f>
        <v>0</v>
      </c>
      <c r="K653" s="34" t="str">
        <f t="shared" si="43"/>
        <v/>
      </c>
      <c r="L653" s="14">
        <f>ROW()</f>
        <v>653</v>
      </c>
    </row>
    <row r="654" spans="1:12" ht="60" customHeight="1">
      <c r="A654" s="41"/>
      <c r="B654" s="43"/>
      <c r="C654" s="44"/>
      <c r="D654" s="51"/>
      <c r="E654" s="44"/>
      <c r="F654" s="44"/>
      <c r="G654" s="34">
        <f t="shared" si="40"/>
        <v>0</v>
      </c>
      <c r="H654" s="34" t="str">
        <f t="shared" si="41"/>
        <v/>
      </c>
      <c r="I654" s="52" t="str">
        <f t="shared" si="42"/>
        <v/>
      </c>
      <c r="J654" s="34">
        <f>IF(AND(A654&lt;&gt;"",ISTEXT(A654),COUNTIFS(Processos!$AS$10:$AS$509,"="&amp;SUBSTITUTE(SUBSTITUTE(SUBSTITUTE("P:"&amp;A654,"~","~~"),"*","~*"),"?","~?"))=1),(IF(ISNA(MATCH(SUBSTITUTE(SUBSTITUTE(SUBSTITUTE("P:"&amp;A654,"~","~~"),"*","~*"),"?","~?"),Processos!$AS$10:$AS$509,0)),9,INDEX(Processos!$AM$10:$AM$509,MATCH(SUBSTITUTE(SUBSTITUTE(SUBSTITUTE("P:"&amp;A654,"~","~~"),"*","~*"),"?","~?"),Processos!$AS$10:$AS$509,0)))-9),0)</f>
        <v>0</v>
      </c>
      <c r="K654" s="34" t="str">
        <f t="shared" si="43"/>
        <v/>
      </c>
      <c r="L654" s="14">
        <f>ROW()</f>
        <v>654</v>
      </c>
    </row>
    <row r="655" spans="1:12" ht="60" customHeight="1">
      <c r="A655" s="41"/>
      <c r="B655" s="43"/>
      <c r="C655" s="44"/>
      <c r="D655" s="51"/>
      <c r="E655" s="44"/>
      <c r="F655" s="44"/>
      <c r="G655" s="34">
        <f t="shared" si="40"/>
        <v>0</v>
      </c>
      <c r="H655" s="34" t="str">
        <f t="shared" si="41"/>
        <v/>
      </c>
      <c r="I655" s="52" t="str">
        <f t="shared" si="42"/>
        <v/>
      </c>
      <c r="J655" s="34">
        <f>IF(AND(A655&lt;&gt;"",ISTEXT(A655),COUNTIFS(Processos!$AS$10:$AS$509,"="&amp;SUBSTITUTE(SUBSTITUTE(SUBSTITUTE("P:"&amp;A655,"~","~~"),"*","~*"),"?","~?"))=1),(IF(ISNA(MATCH(SUBSTITUTE(SUBSTITUTE(SUBSTITUTE("P:"&amp;A655,"~","~~"),"*","~*"),"?","~?"),Processos!$AS$10:$AS$509,0)),9,INDEX(Processos!$AM$10:$AM$509,MATCH(SUBSTITUTE(SUBSTITUTE(SUBSTITUTE("P:"&amp;A655,"~","~~"),"*","~*"),"?","~?"),Processos!$AS$10:$AS$509,0)))-9),0)</f>
        <v>0</v>
      </c>
      <c r="K655" s="34" t="str">
        <f t="shared" si="43"/>
        <v/>
      </c>
      <c r="L655" s="14">
        <f>ROW()</f>
        <v>655</v>
      </c>
    </row>
    <row r="656" spans="1:12" ht="60" customHeight="1">
      <c r="A656" s="41"/>
      <c r="B656" s="43"/>
      <c r="C656" s="44"/>
      <c r="D656" s="51"/>
      <c r="E656" s="44"/>
      <c r="F656" s="44"/>
      <c r="G656" s="34">
        <f t="shared" si="40"/>
        <v>0</v>
      </c>
      <c r="H656" s="34" t="str">
        <f t="shared" si="41"/>
        <v/>
      </c>
      <c r="I656" s="52" t="str">
        <f t="shared" si="42"/>
        <v/>
      </c>
      <c r="J656" s="34">
        <f>IF(AND(A656&lt;&gt;"",ISTEXT(A656),COUNTIFS(Processos!$AS$10:$AS$509,"="&amp;SUBSTITUTE(SUBSTITUTE(SUBSTITUTE("P:"&amp;A656,"~","~~"),"*","~*"),"?","~?"))=1),(IF(ISNA(MATCH(SUBSTITUTE(SUBSTITUTE(SUBSTITUTE("P:"&amp;A656,"~","~~"),"*","~*"),"?","~?"),Processos!$AS$10:$AS$509,0)),9,INDEX(Processos!$AM$10:$AM$509,MATCH(SUBSTITUTE(SUBSTITUTE(SUBSTITUTE("P:"&amp;A656,"~","~~"),"*","~*"),"?","~?"),Processos!$AS$10:$AS$509,0)))-9),0)</f>
        <v>0</v>
      </c>
      <c r="K656" s="34" t="str">
        <f t="shared" si="43"/>
        <v/>
      </c>
      <c r="L656" s="14">
        <f>ROW()</f>
        <v>656</v>
      </c>
    </row>
    <row r="657" spans="1:12" ht="60" customHeight="1">
      <c r="A657" s="41"/>
      <c r="B657" s="43"/>
      <c r="C657" s="44"/>
      <c r="D657" s="51"/>
      <c r="E657" s="44"/>
      <c r="F657" s="44"/>
      <c r="G657" s="34">
        <f t="shared" si="40"/>
        <v>0</v>
      </c>
      <c r="H657" s="34" t="str">
        <f t="shared" si="41"/>
        <v/>
      </c>
      <c r="I657" s="52" t="str">
        <f t="shared" si="42"/>
        <v/>
      </c>
      <c r="J657" s="34">
        <f>IF(AND(A657&lt;&gt;"",ISTEXT(A657),COUNTIFS(Processos!$AS$10:$AS$509,"="&amp;SUBSTITUTE(SUBSTITUTE(SUBSTITUTE("P:"&amp;A657,"~","~~"),"*","~*"),"?","~?"))=1),(IF(ISNA(MATCH(SUBSTITUTE(SUBSTITUTE(SUBSTITUTE("P:"&amp;A657,"~","~~"),"*","~*"),"?","~?"),Processos!$AS$10:$AS$509,0)),9,INDEX(Processos!$AM$10:$AM$509,MATCH(SUBSTITUTE(SUBSTITUTE(SUBSTITUTE("P:"&amp;A657,"~","~~"),"*","~*"),"?","~?"),Processos!$AS$10:$AS$509,0)))-9),0)</f>
        <v>0</v>
      </c>
      <c r="K657" s="34" t="str">
        <f t="shared" si="43"/>
        <v/>
      </c>
      <c r="L657" s="14">
        <f>ROW()</f>
        <v>657</v>
      </c>
    </row>
    <row r="658" spans="1:12" ht="60" customHeight="1">
      <c r="A658" s="41"/>
      <c r="B658" s="43"/>
      <c r="C658" s="44"/>
      <c r="D658" s="51"/>
      <c r="E658" s="44"/>
      <c r="F658" s="44"/>
      <c r="G658" s="34">
        <f t="shared" si="40"/>
        <v>0</v>
      </c>
      <c r="H658" s="34" t="str">
        <f t="shared" si="41"/>
        <v/>
      </c>
      <c r="I658" s="52" t="str">
        <f t="shared" si="42"/>
        <v/>
      </c>
      <c r="J658" s="34">
        <f>IF(AND(A658&lt;&gt;"",ISTEXT(A658),COUNTIFS(Processos!$AS$10:$AS$509,"="&amp;SUBSTITUTE(SUBSTITUTE(SUBSTITUTE("P:"&amp;A658,"~","~~"),"*","~*"),"?","~?"))=1),(IF(ISNA(MATCH(SUBSTITUTE(SUBSTITUTE(SUBSTITUTE("P:"&amp;A658,"~","~~"),"*","~*"),"?","~?"),Processos!$AS$10:$AS$509,0)),9,INDEX(Processos!$AM$10:$AM$509,MATCH(SUBSTITUTE(SUBSTITUTE(SUBSTITUTE("P:"&amp;A658,"~","~~"),"*","~*"),"?","~?"),Processos!$AS$10:$AS$509,0)))-9),0)</f>
        <v>0</v>
      </c>
      <c r="K658" s="34" t="str">
        <f t="shared" si="43"/>
        <v/>
      </c>
      <c r="L658" s="14">
        <f>ROW()</f>
        <v>658</v>
      </c>
    </row>
    <row r="659" spans="1:12" ht="60" customHeight="1">
      <c r="A659" s="41"/>
      <c r="B659" s="43"/>
      <c r="C659" s="44"/>
      <c r="D659" s="51"/>
      <c r="E659" s="44"/>
      <c r="F659" s="44"/>
      <c r="G659" s="34">
        <f t="shared" si="40"/>
        <v>0</v>
      </c>
      <c r="H659" s="34" t="str">
        <f t="shared" si="41"/>
        <v/>
      </c>
      <c r="I659" s="52" t="str">
        <f t="shared" si="42"/>
        <v/>
      </c>
      <c r="J659" s="34">
        <f>IF(AND(A659&lt;&gt;"",ISTEXT(A659),COUNTIFS(Processos!$AS$10:$AS$509,"="&amp;SUBSTITUTE(SUBSTITUTE(SUBSTITUTE("P:"&amp;A659,"~","~~"),"*","~*"),"?","~?"))=1),(IF(ISNA(MATCH(SUBSTITUTE(SUBSTITUTE(SUBSTITUTE("P:"&amp;A659,"~","~~"),"*","~*"),"?","~?"),Processos!$AS$10:$AS$509,0)),9,INDEX(Processos!$AM$10:$AM$509,MATCH(SUBSTITUTE(SUBSTITUTE(SUBSTITUTE("P:"&amp;A659,"~","~~"),"*","~*"),"?","~?"),Processos!$AS$10:$AS$509,0)))-9),0)</f>
        <v>0</v>
      </c>
      <c r="K659" s="34" t="str">
        <f t="shared" si="43"/>
        <v/>
      </c>
      <c r="L659" s="14">
        <f>ROW()</f>
        <v>659</v>
      </c>
    </row>
    <row r="660" spans="1:12" ht="60" customHeight="1">
      <c r="A660" s="41"/>
      <c r="B660" s="43"/>
      <c r="C660" s="44"/>
      <c r="D660" s="51"/>
      <c r="E660" s="44"/>
      <c r="F660" s="44"/>
      <c r="G660" s="34">
        <f t="shared" si="40"/>
        <v>0</v>
      </c>
      <c r="H660" s="34" t="str">
        <f t="shared" si="41"/>
        <v/>
      </c>
      <c r="I660" s="52" t="str">
        <f t="shared" si="42"/>
        <v/>
      </c>
      <c r="J660" s="34">
        <f>IF(AND(A660&lt;&gt;"",ISTEXT(A660),COUNTIFS(Processos!$AS$10:$AS$509,"="&amp;SUBSTITUTE(SUBSTITUTE(SUBSTITUTE("P:"&amp;A660,"~","~~"),"*","~*"),"?","~?"))=1),(IF(ISNA(MATCH(SUBSTITUTE(SUBSTITUTE(SUBSTITUTE("P:"&amp;A660,"~","~~"),"*","~*"),"?","~?"),Processos!$AS$10:$AS$509,0)),9,INDEX(Processos!$AM$10:$AM$509,MATCH(SUBSTITUTE(SUBSTITUTE(SUBSTITUTE("P:"&amp;A660,"~","~~"),"*","~*"),"?","~?"),Processos!$AS$10:$AS$509,0)))-9),0)</f>
        <v>0</v>
      </c>
      <c r="K660" s="34" t="str">
        <f t="shared" si="43"/>
        <v/>
      </c>
      <c r="L660" s="14">
        <f>ROW()</f>
        <v>660</v>
      </c>
    </row>
    <row r="661" spans="1:12" ht="60" customHeight="1">
      <c r="A661" s="41"/>
      <c r="B661" s="43"/>
      <c r="C661" s="44"/>
      <c r="D661" s="51"/>
      <c r="E661" s="44"/>
      <c r="F661" s="44"/>
      <c r="G661" s="34">
        <f t="shared" si="40"/>
        <v>0</v>
      </c>
      <c r="H661" s="34" t="str">
        <f t="shared" si="41"/>
        <v/>
      </c>
      <c r="I661" s="52" t="str">
        <f t="shared" si="42"/>
        <v/>
      </c>
      <c r="J661" s="34">
        <f>IF(AND(A661&lt;&gt;"",ISTEXT(A661),COUNTIFS(Processos!$AS$10:$AS$509,"="&amp;SUBSTITUTE(SUBSTITUTE(SUBSTITUTE("P:"&amp;A661,"~","~~"),"*","~*"),"?","~?"))=1),(IF(ISNA(MATCH(SUBSTITUTE(SUBSTITUTE(SUBSTITUTE("P:"&amp;A661,"~","~~"),"*","~*"),"?","~?"),Processos!$AS$10:$AS$509,0)),9,INDEX(Processos!$AM$10:$AM$509,MATCH(SUBSTITUTE(SUBSTITUTE(SUBSTITUTE("P:"&amp;A661,"~","~~"),"*","~*"),"?","~?"),Processos!$AS$10:$AS$509,0)))-9),0)</f>
        <v>0</v>
      </c>
      <c r="K661" s="34" t="str">
        <f t="shared" si="43"/>
        <v/>
      </c>
      <c r="L661" s="14">
        <f>ROW()</f>
        <v>661</v>
      </c>
    </row>
    <row r="662" spans="1:12" ht="60" customHeight="1">
      <c r="A662" s="41"/>
      <c r="B662" s="43"/>
      <c r="C662" s="44"/>
      <c r="D662" s="51"/>
      <c r="E662" s="44"/>
      <c r="F662" s="44"/>
      <c r="G662" s="34">
        <f t="shared" si="40"/>
        <v>0</v>
      </c>
      <c r="H662" s="34" t="str">
        <f t="shared" si="41"/>
        <v/>
      </c>
      <c r="I662" s="52" t="str">
        <f t="shared" si="42"/>
        <v/>
      </c>
      <c r="J662" s="34">
        <f>IF(AND(A662&lt;&gt;"",ISTEXT(A662),COUNTIFS(Processos!$AS$10:$AS$509,"="&amp;SUBSTITUTE(SUBSTITUTE(SUBSTITUTE("P:"&amp;A662,"~","~~"),"*","~*"),"?","~?"))=1),(IF(ISNA(MATCH(SUBSTITUTE(SUBSTITUTE(SUBSTITUTE("P:"&amp;A662,"~","~~"),"*","~*"),"?","~?"),Processos!$AS$10:$AS$509,0)),9,INDEX(Processos!$AM$10:$AM$509,MATCH(SUBSTITUTE(SUBSTITUTE(SUBSTITUTE("P:"&amp;A662,"~","~~"),"*","~*"),"?","~?"),Processos!$AS$10:$AS$509,0)))-9),0)</f>
        <v>0</v>
      </c>
      <c r="K662" s="34" t="str">
        <f t="shared" si="43"/>
        <v/>
      </c>
      <c r="L662" s="14">
        <f>ROW()</f>
        <v>662</v>
      </c>
    </row>
    <row r="663" spans="1:12" ht="60" customHeight="1">
      <c r="A663" s="41"/>
      <c r="B663" s="43"/>
      <c r="C663" s="44"/>
      <c r="D663" s="51"/>
      <c r="E663" s="44"/>
      <c r="F663" s="44"/>
      <c r="G663" s="34">
        <f t="shared" si="40"/>
        <v>0</v>
      </c>
      <c r="H663" s="34" t="str">
        <f t="shared" si="41"/>
        <v/>
      </c>
      <c r="I663" s="52" t="str">
        <f t="shared" si="42"/>
        <v/>
      </c>
      <c r="J663" s="34">
        <f>IF(AND(A663&lt;&gt;"",ISTEXT(A663),COUNTIFS(Processos!$AS$10:$AS$509,"="&amp;SUBSTITUTE(SUBSTITUTE(SUBSTITUTE("P:"&amp;A663,"~","~~"),"*","~*"),"?","~?"))=1),(IF(ISNA(MATCH(SUBSTITUTE(SUBSTITUTE(SUBSTITUTE("P:"&amp;A663,"~","~~"),"*","~*"),"?","~?"),Processos!$AS$10:$AS$509,0)),9,INDEX(Processos!$AM$10:$AM$509,MATCH(SUBSTITUTE(SUBSTITUTE(SUBSTITUTE("P:"&amp;A663,"~","~~"),"*","~*"),"?","~?"),Processos!$AS$10:$AS$509,0)))-9),0)</f>
        <v>0</v>
      </c>
      <c r="K663" s="34" t="str">
        <f t="shared" si="43"/>
        <v/>
      </c>
      <c r="L663" s="14">
        <f>ROW()</f>
        <v>663</v>
      </c>
    </row>
    <row r="664" spans="1:12" ht="60" customHeight="1">
      <c r="A664" s="41"/>
      <c r="B664" s="43"/>
      <c r="C664" s="44"/>
      <c r="D664" s="51"/>
      <c r="E664" s="44"/>
      <c r="F664" s="44"/>
      <c r="G664" s="34">
        <f t="shared" si="40"/>
        <v>0</v>
      </c>
      <c r="H664" s="34" t="str">
        <f t="shared" si="41"/>
        <v/>
      </c>
      <c r="I664" s="52" t="str">
        <f t="shared" si="42"/>
        <v/>
      </c>
      <c r="J664" s="34">
        <f>IF(AND(A664&lt;&gt;"",ISTEXT(A664),COUNTIFS(Processos!$AS$10:$AS$509,"="&amp;SUBSTITUTE(SUBSTITUTE(SUBSTITUTE("P:"&amp;A664,"~","~~"),"*","~*"),"?","~?"))=1),(IF(ISNA(MATCH(SUBSTITUTE(SUBSTITUTE(SUBSTITUTE("P:"&amp;A664,"~","~~"),"*","~*"),"?","~?"),Processos!$AS$10:$AS$509,0)),9,INDEX(Processos!$AM$10:$AM$509,MATCH(SUBSTITUTE(SUBSTITUTE(SUBSTITUTE("P:"&amp;A664,"~","~~"),"*","~*"),"?","~?"),Processos!$AS$10:$AS$509,0)))-9),0)</f>
        <v>0</v>
      </c>
      <c r="K664" s="34" t="str">
        <f t="shared" si="43"/>
        <v/>
      </c>
      <c r="L664" s="14">
        <f>ROW()</f>
        <v>664</v>
      </c>
    </row>
    <row r="665" spans="1:12" ht="60" customHeight="1">
      <c r="A665" s="41"/>
      <c r="B665" s="43"/>
      <c r="C665" s="44"/>
      <c r="D665" s="51"/>
      <c r="E665" s="44"/>
      <c r="F665" s="44"/>
      <c r="G665" s="34">
        <f t="shared" si="40"/>
        <v>0</v>
      </c>
      <c r="H665" s="34" t="str">
        <f t="shared" si="41"/>
        <v/>
      </c>
      <c r="I665" s="52" t="str">
        <f t="shared" si="42"/>
        <v/>
      </c>
      <c r="J665" s="34">
        <f>IF(AND(A665&lt;&gt;"",ISTEXT(A665),COUNTIFS(Processos!$AS$10:$AS$509,"="&amp;SUBSTITUTE(SUBSTITUTE(SUBSTITUTE("P:"&amp;A665,"~","~~"),"*","~*"),"?","~?"))=1),(IF(ISNA(MATCH(SUBSTITUTE(SUBSTITUTE(SUBSTITUTE("P:"&amp;A665,"~","~~"),"*","~*"),"?","~?"),Processos!$AS$10:$AS$509,0)),9,INDEX(Processos!$AM$10:$AM$509,MATCH(SUBSTITUTE(SUBSTITUTE(SUBSTITUTE("P:"&amp;A665,"~","~~"),"*","~*"),"?","~?"),Processos!$AS$10:$AS$509,0)))-9),0)</f>
        <v>0</v>
      </c>
      <c r="K665" s="34" t="str">
        <f t="shared" si="43"/>
        <v/>
      </c>
      <c r="L665" s="14">
        <f>ROW()</f>
        <v>665</v>
      </c>
    </row>
    <row r="666" spans="1:12" ht="60" customHeight="1">
      <c r="A666" s="41"/>
      <c r="B666" s="43"/>
      <c r="C666" s="44"/>
      <c r="D666" s="51"/>
      <c r="E666" s="44"/>
      <c r="F666" s="44"/>
      <c r="G666" s="34">
        <f t="shared" si="40"/>
        <v>0</v>
      </c>
      <c r="H666" s="34" t="str">
        <f t="shared" si="41"/>
        <v/>
      </c>
      <c r="I666" s="52" t="str">
        <f t="shared" si="42"/>
        <v/>
      </c>
      <c r="J666" s="34">
        <f>IF(AND(A666&lt;&gt;"",ISTEXT(A666),COUNTIFS(Processos!$AS$10:$AS$509,"="&amp;SUBSTITUTE(SUBSTITUTE(SUBSTITUTE("P:"&amp;A666,"~","~~"),"*","~*"),"?","~?"))=1),(IF(ISNA(MATCH(SUBSTITUTE(SUBSTITUTE(SUBSTITUTE("P:"&amp;A666,"~","~~"),"*","~*"),"?","~?"),Processos!$AS$10:$AS$509,0)),9,INDEX(Processos!$AM$10:$AM$509,MATCH(SUBSTITUTE(SUBSTITUTE(SUBSTITUTE("P:"&amp;A666,"~","~~"),"*","~*"),"?","~?"),Processos!$AS$10:$AS$509,0)))-9),0)</f>
        <v>0</v>
      </c>
      <c r="K666" s="34" t="str">
        <f t="shared" si="43"/>
        <v/>
      </c>
      <c r="L666" s="14">
        <f>ROW()</f>
        <v>666</v>
      </c>
    </row>
    <row r="667" spans="1:12" ht="60" customHeight="1">
      <c r="A667" s="41"/>
      <c r="B667" s="43"/>
      <c r="C667" s="44"/>
      <c r="D667" s="51"/>
      <c r="E667" s="44"/>
      <c r="F667" s="44"/>
      <c r="G667" s="34">
        <f t="shared" si="40"/>
        <v>0</v>
      </c>
      <c r="H667" s="34" t="str">
        <f t="shared" si="41"/>
        <v/>
      </c>
      <c r="I667" s="52" t="str">
        <f t="shared" si="42"/>
        <v/>
      </c>
      <c r="J667" s="34">
        <f>IF(AND(A667&lt;&gt;"",ISTEXT(A667),COUNTIFS(Processos!$AS$10:$AS$509,"="&amp;SUBSTITUTE(SUBSTITUTE(SUBSTITUTE("P:"&amp;A667,"~","~~"),"*","~*"),"?","~?"))=1),(IF(ISNA(MATCH(SUBSTITUTE(SUBSTITUTE(SUBSTITUTE("P:"&amp;A667,"~","~~"),"*","~*"),"?","~?"),Processos!$AS$10:$AS$509,0)),9,INDEX(Processos!$AM$10:$AM$509,MATCH(SUBSTITUTE(SUBSTITUTE(SUBSTITUTE("P:"&amp;A667,"~","~~"),"*","~*"),"?","~?"),Processos!$AS$10:$AS$509,0)))-9),0)</f>
        <v>0</v>
      </c>
      <c r="K667" s="34" t="str">
        <f t="shared" si="43"/>
        <v/>
      </c>
      <c r="L667" s="14">
        <f>ROW()</f>
        <v>667</v>
      </c>
    </row>
    <row r="668" spans="1:12" ht="60" customHeight="1">
      <c r="A668" s="41"/>
      <c r="B668" s="43"/>
      <c r="C668" s="44"/>
      <c r="D668" s="51"/>
      <c r="E668" s="44"/>
      <c r="F668" s="44"/>
      <c r="G668" s="34">
        <f t="shared" si="40"/>
        <v>0</v>
      </c>
      <c r="H668" s="34" t="str">
        <f t="shared" si="41"/>
        <v/>
      </c>
      <c r="I668" s="52" t="str">
        <f t="shared" si="42"/>
        <v/>
      </c>
      <c r="J668" s="34">
        <f>IF(AND(A668&lt;&gt;"",ISTEXT(A668),COUNTIFS(Processos!$AS$10:$AS$509,"="&amp;SUBSTITUTE(SUBSTITUTE(SUBSTITUTE("P:"&amp;A668,"~","~~"),"*","~*"),"?","~?"))=1),(IF(ISNA(MATCH(SUBSTITUTE(SUBSTITUTE(SUBSTITUTE("P:"&amp;A668,"~","~~"),"*","~*"),"?","~?"),Processos!$AS$10:$AS$509,0)),9,INDEX(Processos!$AM$10:$AM$509,MATCH(SUBSTITUTE(SUBSTITUTE(SUBSTITUTE("P:"&amp;A668,"~","~~"),"*","~*"),"?","~?"),Processos!$AS$10:$AS$509,0)))-9),0)</f>
        <v>0</v>
      </c>
      <c r="K668" s="34" t="str">
        <f t="shared" si="43"/>
        <v/>
      </c>
      <c r="L668" s="14">
        <f>ROW()</f>
        <v>668</v>
      </c>
    </row>
    <row r="669" spans="1:12" ht="60" customHeight="1">
      <c r="A669" s="41"/>
      <c r="B669" s="43"/>
      <c r="C669" s="44"/>
      <c r="D669" s="51"/>
      <c r="E669" s="44"/>
      <c r="F669" s="44"/>
      <c r="G669" s="34">
        <f t="shared" si="40"/>
        <v>0</v>
      </c>
      <c r="H669" s="34" t="str">
        <f t="shared" si="41"/>
        <v/>
      </c>
      <c r="I669" s="52" t="str">
        <f t="shared" si="42"/>
        <v/>
      </c>
      <c r="J669" s="34">
        <f>IF(AND(A669&lt;&gt;"",ISTEXT(A669),COUNTIFS(Processos!$AS$10:$AS$509,"="&amp;SUBSTITUTE(SUBSTITUTE(SUBSTITUTE("P:"&amp;A669,"~","~~"),"*","~*"),"?","~?"))=1),(IF(ISNA(MATCH(SUBSTITUTE(SUBSTITUTE(SUBSTITUTE("P:"&amp;A669,"~","~~"),"*","~*"),"?","~?"),Processos!$AS$10:$AS$509,0)),9,INDEX(Processos!$AM$10:$AM$509,MATCH(SUBSTITUTE(SUBSTITUTE(SUBSTITUTE("P:"&amp;A669,"~","~~"),"*","~*"),"?","~?"),Processos!$AS$10:$AS$509,0)))-9),0)</f>
        <v>0</v>
      </c>
      <c r="K669" s="34" t="str">
        <f t="shared" si="43"/>
        <v/>
      </c>
      <c r="L669" s="14">
        <f>ROW()</f>
        <v>669</v>
      </c>
    </row>
    <row r="670" spans="1:12" ht="60" customHeight="1">
      <c r="A670" s="41"/>
      <c r="B670" s="43"/>
      <c r="C670" s="44"/>
      <c r="D670" s="51"/>
      <c r="E670" s="44"/>
      <c r="F670" s="44"/>
      <c r="G670" s="34">
        <f t="shared" si="40"/>
        <v>0</v>
      </c>
      <c r="H670" s="34" t="str">
        <f t="shared" si="41"/>
        <v/>
      </c>
      <c r="I670" s="52" t="str">
        <f t="shared" si="42"/>
        <v/>
      </c>
      <c r="J670" s="34">
        <f>IF(AND(A670&lt;&gt;"",ISTEXT(A670),COUNTIFS(Processos!$AS$10:$AS$509,"="&amp;SUBSTITUTE(SUBSTITUTE(SUBSTITUTE("P:"&amp;A670,"~","~~"),"*","~*"),"?","~?"))=1),(IF(ISNA(MATCH(SUBSTITUTE(SUBSTITUTE(SUBSTITUTE("P:"&amp;A670,"~","~~"),"*","~*"),"?","~?"),Processos!$AS$10:$AS$509,0)),9,INDEX(Processos!$AM$10:$AM$509,MATCH(SUBSTITUTE(SUBSTITUTE(SUBSTITUTE("P:"&amp;A670,"~","~~"),"*","~*"),"?","~?"),Processos!$AS$10:$AS$509,0)))-9),0)</f>
        <v>0</v>
      </c>
      <c r="K670" s="34" t="str">
        <f t="shared" si="43"/>
        <v/>
      </c>
      <c r="L670" s="14">
        <f>ROW()</f>
        <v>670</v>
      </c>
    </row>
    <row r="671" spans="1:12" ht="60" customHeight="1">
      <c r="A671" s="41"/>
      <c r="B671" s="43"/>
      <c r="C671" s="44"/>
      <c r="D671" s="51"/>
      <c r="E671" s="44"/>
      <c r="F671" s="44"/>
      <c r="G671" s="34">
        <f t="shared" si="40"/>
        <v>0</v>
      </c>
      <c r="H671" s="34" t="str">
        <f t="shared" si="41"/>
        <v/>
      </c>
      <c r="I671" s="52" t="str">
        <f t="shared" si="42"/>
        <v/>
      </c>
      <c r="J671" s="34">
        <f>IF(AND(A671&lt;&gt;"",ISTEXT(A671),COUNTIFS(Processos!$AS$10:$AS$509,"="&amp;SUBSTITUTE(SUBSTITUTE(SUBSTITUTE("P:"&amp;A671,"~","~~"),"*","~*"),"?","~?"))=1),(IF(ISNA(MATCH(SUBSTITUTE(SUBSTITUTE(SUBSTITUTE("P:"&amp;A671,"~","~~"),"*","~*"),"?","~?"),Processos!$AS$10:$AS$509,0)),9,INDEX(Processos!$AM$10:$AM$509,MATCH(SUBSTITUTE(SUBSTITUTE(SUBSTITUTE("P:"&amp;A671,"~","~~"),"*","~*"),"?","~?"),Processos!$AS$10:$AS$509,0)))-9),0)</f>
        <v>0</v>
      </c>
      <c r="K671" s="34" t="str">
        <f t="shared" si="43"/>
        <v/>
      </c>
      <c r="L671" s="14">
        <f>ROW()</f>
        <v>671</v>
      </c>
    </row>
    <row r="672" spans="1:12" ht="60" customHeight="1">
      <c r="A672" s="41"/>
      <c r="B672" s="43"/>
      <c r="C672" s="44"/>
      <c r="D672" s="51"/>
      <c r="E672" s="44"/>
      <c r="F672" s="44"/>
      <c r="G672" s="34">
        <f t="shared" si="40"/>
        <v>0</v>
      </c>
      <c r="H672" s="34" t="str">
        <f t="shared" si="41"/>
        <v/>
      </c>
      <c r="I672" s="52" t="str">
        <f t="shared" si="42"/>
        <v/>
      </c>
      <c r="J672" s="34">
        <f>IF(AND(A672&lt;&gt;"",ISTEXT(A672),COUNTIFS(Processos!$AS$10:$AS$509,"="&amp;SUBSTITUTE(SUBSTITUTE(SUBSTITUTE("P:"&amp;A672,"~","~~"),"*","~*"),"?","~?"))=1),(IF(ISNA(MATCH(SUBSTITUTE(SUBSTITUTE(SUBSTITUTE("P:"&amp;A672,"~","~~"),"*","~*"),"?","~?"),Processos!$AS$10:$AS$509,0)),9,INDEX(Processos!$AM$10:$AM$509,MATCH(SUBSTITUTE(SUBSTITUTE(SUBSTITUTE("P:"&amp;A672,"~","~~"),"*","~*"),"?","~?"),Processos!$AS$10:$AS$509,0)))-9),0)</f>
        <v>0</v>
      </c>
      <c r="K672" s="34" t="str">
        <f t="shared" si="43"/>
        <v/>
      </c>
      <c r="L672" s="14">
        <f>ROW()</f>
        <v>672</v>
      </c>
    </row>
    <row r="673" spans="1:12" ht="60" customHeight="1">
      <c r="A673" s="41"/>
      <c r="B673" s="43"/>
      <c r="C673" s="44"/>
      <c r="D673" s="51"/>
      <c r="E673" s="44"/>
      <c r="F673" s="44"/>
      <c r="G673" s="34">
        <f t="shared" si="40"/>
        <v>0</v>
      </c>
      <c r="H673" s="34" t="str">
        <f t="shared" si="41"/>
        <v/>
      </c>
      <c r="I673" s="52" t="str">
        <f t="shared" si="42"/>
        <v/>
      </c>
      <c r="J673" s="34">
        <f>IF(AND(A673&lt;&gt;"",ISTEXT(A673),COUNTIFS(Processos!$AS$10:$AS$509,"="&amp;SUBSTITUTE(SUBSTITUTE(SUBSTITUTE("P:"&amp;A673,"~","~~"),"*","~*"),"?","~?"))=1),(IF(ISNA(MATCH(SUBSTITUTE(SUBSTITUTE(SUBSTITUTE("P:"&amp;A673,"~","~~"),"*","~*"),"?","~?"),Processos!$AS$10:$AS$509,0)),9,INDEX(Processos!$AM$10:$AM$509,MATCH(SUBSTITUTE(SUBSTITUTE(SUBSTITUTE("P:"&amp;A673,"~","~~"),"*","~*"),"?","~?"),Processos!$AS$10:$AS$509,0)))-9),0)</f>
        <v>0</v>
      </c>
      <c r="K673" s="34" t="str">
        <f t="shared" si="43"/>
        <v/>
      </c>
      <c r="L673" s="14">
        <f>ROW()</f>
        <v>673</v>
      </c>
    </row>
    <row r="674" spans="1:12" ht="60" customHeight="1">
      <c r="A674" s="41"/>
      <c r="B674" s="43"/>
      <c r="C674" s="44"/>
      <c r="D674" s="51"/>
      <c r="E674" s="44"/>
      <c r="F674" s="44"/>
      <c r="G674" s="34">
        <f t="shared" si="40"/>
        <v>0</v>
      </c>
      <c r="H674" s="34" t="str">
        <f t="shared" si="41"/>
        <v/>
      </c>
      <c r="I674" s="52" t="str">
        <f t="shared" si="42"/>
        <v/>
      </c>
      <c r="J674" s="34">
        <f>IF(AND(A674&lt;&gt;"",ISTEXT(A674),COUNTIFS(Processos!$AS$10:$AS$509,"="&amp;SUBSTITUTE(SUBSTITUTE(SUBSTITUTE("P:"&amp;A674,"~","~~"),"*","~*"),"?","~?"))=1),(IF(ISNA(MATCH(SUBSTITUTE(SUBSTITUTE(SUBSTITUTE("P:"&amp;A674,"~","~~"),"*","~*"),"?","~?"),Processos!$AS$10:$AS$509,0)),9,INDEX(Processos!$AM$10:$AM$509,MATCH(SUBSTITUTE(SUBSTITUTE(SUBSTITUTE("P:"&amp;A674,"~","~~"),"*","~*"),"?","~?"),Processos!$AS$10:$AS$509,0)))-9),0)</f>
        <v>0</v>
      </c>
      <c r="K674" s="34" t="str">
        <f t="shared" si="43"/>
        <v/>
      </c>
      <c r="L674" s="14">
        <f>ROW()</f>
        <v>674</v>
      </c>
    </row>
    <row r="675" spans="1:12" ht="60" customHeight="1">
      <c r="A675" s="41"/>
      <c r="B675" s="43"/>
      <c r="C675" s="44"/>
      <c r="D675" s="51"/>
      <c r="E675" s="44"/>
      <c r="F675" s="44"/>
      <c r="G675" s="34">
        <f t="shared" si="40"/>
        <v>0</v>
      </c>
      <c r="H675" s="34" t="str">
        <f t="shared" si="41"/>
        <v/>
      </c>
      <c r="I675" s="52" t="str">
        <f t="shared" si="42"/>
        <v/>
      </c>
      <c r="J675" s="34">
        <f>IF(AND(A675&lt;&gt;"",ISTEXT(A675),COUNTIFS(Processos!$AS$10:$AS$509,"="&amp;SUBSTITUTE(SUBSTITUTE(SUBSTITUTE("P:"&amp;A675,"~","~~"),"*","~*"),"?","~?"))=1),(IF(ISNA(MATCH(SUBSTITUTE(SUBSTITUTE(SUBSTITUTE("P:"&amp;A675,"~","~~"),"*","~*"),"?","~?"),Processos!$AS$10:$AS$509,0)),9,INDEX(Processos!$AM$10:$AM$509,MATCH(SUBSTITUTE(SUBSTITUTE(SUBSTITUTE("P:"&amp;A675,"~","~~"),"*","~*"),"?","~?"),Processos!$AS$10:$AS$509,0)))-9),0)</f>
        <v>0</v>
      </c>
      <c r="K675" s="34" t="str">
        <f t="shared" si="43"/>
        <v/>
      </c>
      <c r="L675" s="14">
        <f>ROW()</f>
        <v>675</v>
      </c>
    </row>
    <row r="676" spans="1:12" ht="60" customHeight="1">
      <c r="A676" s="41"/>
      <c r="B676" s="43"/>
      <c r="C676" s="44"/>
      <c r="D676" s="51"/>
      <c r="E676" s="44"/>
      <c r="F676" s="44"/>
      <c r="G676" s="34">
        <f t="shared" si="40"/>
        <v>0</v>
      </c>
      <c r="H676" s="34" t="str">
        <f t="shared" si="41"/>
        <v/>
      </c>
      <c r="I676" s="52" t="str">
        <f t="shared" si="42"/>
        <v/>
      </c>
      <c r="J676" s="34">
        <f>IF(AND(A676&lt;&gt;"",ISTEXT(A676),COUNTIFS(Processos!$AS$10:$AS$509,"="&amp;SUBSTITUTE(SUBSTITUTE(SUBSTITUTE("P:"&amp;A676,"~","~~"),"*","~*"),"?","~?"))=1),(IF(ISNA(MATCH(SUBSTITUTE(SUBSTITUTE(SUBSTITUTE("P:"&amp;A676,"~","~~"),"*","~*"),"?","~?"),Processos!$AS$10:$AS$509,0)),9,INDEX(Processos!$AM$10:$AM$509,MATCH(SUBSTITUTE(SUBSTITUTE(SUBSTITUTE("P:"&amp;A676,"~","~~"),"*","~*"),"?","~?"),Processos!$AS$10:$AS$509,0)))-9),0)</f>
        <v>0</v>
      </c>
      <c r="K676" s="34" t="str">
        <f t="shared" si="43"/>
        <v/>
      </c>
      <c r="L676" s="14">
        <f>ROW()</f>
        <v>676</v>
      </c>
    </row>
    <row r="677" spans="1:12" ht="60" customHeight="1">
      <c r="A677" s="41"/>
      <c r="B677" s="43"/>
      <c r="C677" s="44"/>
      <c r="D677" s="51"/>
      <c r="E677" s="44"/>
      <c r="F677" s="44"/>
      <c r="G677" s="34">
        <f t="shared" si="40"/>
        <v>0</v>
      </c>
      <c r="H677" s="34" t="str">
        <f t="shared" si="41"/>
        <v/>
      </c>
      <c r="I677" s="52" t="str">
        <f t="shared" si="42"/>
        <v/>
      </c>
      <c r="J677" s="34">
        <f>IF(AND(A677&lt;&gt;"",ISTEXT(A677),COUNTIFS(Processos!$AS$10:$AS$509,"="&amp;SUBSTITUTE(SUBSTITUTE(SUBSTITUTE("P:"&amp;A677,"~","~~"),"*","~*"),"?","~?"))=1),(IF(ISNA(MATCH(SUBSTITUTE(SUBSTITUTE(SUBSTITUTE("P:"&amp;A677,"~","~~"),"*","~*"),"?","~?"),Processos!$AS$10:$AS$509,0)),9,INDEX(Processos!$AM$10:$AM$509,MATCH(SUBSTITUTE(SUBSTITUTE(SUBSTITUTE("P:"&amp;A677,"~","~~"),"*","~*"),"?","~?"),Processos!$AS$10:$AS$509,0)))-9),0)</f>
        <v>0</v>
      </c>
      <c r="K677" s="34" t="str">
        <f t="shared" si="43"/>
        <v/>
      </c>
      <c r="L677" s="14">
        <f>ROW()</f>
        <v>677</v>
      </c>
    </row>
    <row r="678" spans="1:12" ht="60" customHeight="1">
      <c r="A678" s="41"/>
      <c r="B678" s="43"/>
      <c r="C678" s="44"/>
      <c r="D678" s="51"/>
      <c r="E678" s="44"/>
      <c r="F678" s="44"/>
      <c r="G678" s="34">
        <f t="shared" si="40"/>
        <v>0</v>
      </c>
      <c r="H678" s="34" t="str">
        <f t="shared" si="41"/>
        <v/>
      </c>
      <c r="I678" s="52" t="str">
        <f t="shared" si="42"/>
        <v/>
      </c>
      <c r="J678" s="34">
        <f>IF(AND(A678&lt;&gt;"",ISTEXT(A678),COUNTIFS(Processos!$AS$10:$AS$509,"="&amp;SUBSTITUTE(SUBSTITUTE(SUBSTITUTE("P:"&amp;A678,"~","~~"),"*","~*"),"?","~?"))=1),(IF(ISNA(MATCH(SUBSTITUTE(SUBSTITUTE(SUBSTITUTE("P:"&amp;A678,"~","~~"),"*","~*"),"?","~?"),Processos!$AS$10:$AS$509,0)),9,INDEX(Processos!$AM$10:$AM$509,MATCH(SUBSTITUTE(SUBSTITUTE(SUBSTITUTE("P:"&amp;A678,"~","~~"),"*","~*"),"?","~?"),Processos!$AS$10:$AS$509,0)))-9),0)</f>
        <v>0</v>
      </c>
      <c r="K678" s="34" t="str">
        <f t="shared" si="43"/>
        <v/>
      </c>
      <c r="L678" s="14">
        <f>ROW()</f>
        <v>678</v>
      </c>
    </row>
    <row r="679" spans="1:12" ht="60" customHeight="1">
      <c r="A679" s="41"/>
      <c r="B679" s="43"/>
      <c r="C679" s="44"/>
      <c r="D679" s="51"/>
      <c r="E679" s="44"/>
      <c r="F679" s="44"/>
      <c r="G679" s="34">
        <f t="shared" si="40"/>
        <v>0</v>
      </c>
      <c r="H679" s="34" t="str">
        <f t="shared" si="41"/>
        <v/>
      </c>
      <c r="I679" s="52" t="str">
        <f t="shared" si="42"/>
        <v/>
      </c>
      <c r="J679" s="34">
        <f>IF(AND(A679&lt;&gt;"",ISTEXT(A679),COUNTIFS(Processos!$AS$10:$AS$509,"="&amp;SUBSTITUTE(SUBSTITUTE(SUBSTITUTE("P:"&amp;A679,"~","~~"),"*","~*"),"?","~?"))=1),(IF(ISNA(MATCH(SUBSTITUTE(SUBSTITUTE(SUBSTITUTE("P:"&amp;A679,"~","~~"),"*","~*"),"?","~?"),Processos!$AS$10:$AS$509,0)),9,INDEX(Processos!$AM$10:$AM$509,MATCH(SUBSTITUTE(SUBSTITUTE(SUBSTITUTE("P:"&amp;A679,"~","~~"),"*","~*"),"?","~?"),Processos!$AS$10:$AS$509,0)))-9),0)</f>
        <v>0</v>
      </c>
      <c r="K679" s="34" t="str">
        <f t="shared" si="43"/>
        <v/>
      </c>
      <c r="L679" s="14">
        <f>ROW()</f>
        <v>679</v>
      </c>
    </row>
    <row r="680" spans="1:12" ht="60" customHeight="1">
      <c r="A680" s="41"/>
      <c r="B680" s="43"/>
      <c r="C680" s="44"/>
      <c r="D680" s="51"/>
      <c r="E680" s="44"/>
      <c r="F680" s="44"/>
      <c r="G680" s="34">
        <f t="shared" si="40"/>
        <v>0</v>
      </c>
      <c r="H680" s="34" t="str">
        <f t="shared" si="41"/>
        <v/>
      </c>
      <c r="I680" s="52" t="str">
        <f t="shared" si="42"/>
        <v/>
      </c>
      <c r="J680" s="34">
        <f>IF(AND(A680&lt;&gt;"",ISTEXT(A680),COUNTIFS(Processos!$AS$10:$AS$509,"="&amp;SUBSTITUTE(SUBSTITUTE(SUBSTITUTE("P:"&amp;A680,"~","~~"),"*","~*"),"?","~?"))=1),(IF(ISNA(MATCH(SUBSTITUTE(SUBSTITUTE(SUBSTITUTE("P:"&amp;A680,"~","~~"),"*","~*"),"?","~?"),Processos!$AS$10:$AS$509,0)),9,INDEX(Processos!$AM$10:$AM$509,MATCH(SUBSTITUTE(SUBSTITUTE(SUBSTITUTE("P:"&amp;A680,"~","~~"),"*","~*"),"?","~?"),Processos!$AS$10:$AS$509,0)))-9),0)</f>
        <v>0</v>
      </c>
      <c r="K680" s="34" t="str">
        <f t="shared" si="43"/>
        <v/>
      </c>
      <c r="L680" s="14">
        <f>ROW()</f>
        <v>680</v>
      </c>
    </row>
    <row r="681" spans="1:12" ht="60" customHeight="1">
      <c r="A681" s="41"/>
      <c r="B681" s="43"/>
      <c r="C681" s="44"/>
      <c r="D681" s="51"/>
      <c r="E681" s="44"/>
      <c r="F681" s="44"/>
      <c r="G681" s="34">
        <f t="shared" si="40"/>
        <v>0</v>
      </c>
      <c r="H681" s="34" t="str">
        <f t="shared" si="41"/>
        <v/>
      </c>
      <c r="I681" s="52" t="str">
        <f t="shared" si="42"/>
        <v/>
      </c>
      <c r="J681" s="34">
        <f>IF(AND(A681&lt;&gt;"",ISTEXT(A681),COUNTIFS(Processos!$AS$10:$AS$509,"="&amp;SUBSTITUTE(SUBSTITUTE(SUBSTITUTE("P:"&amp;A681,"~","~~"),"*","~*"),"?","~?"))=1),(IF(ISNA(MATCH(SUBSTITUTE(SUBSTITUTE(SUBSTITUTE("P:"&amp;A681,"~","~~"),"*","~*"),"?","~?"),Processos!$AS$10:$AS$509,0)),9,INDEX(Processos!$AM$10:$AM$509,MATCH(SUBSTITUTE(SUBSTITUTE(SUBSTITUTE("P:"&amp;A681,"~","~~"),"*","~*"),"?","~?"),Processos!$AS$10:$AS$509,0)))-9),0)</f>
        <v>0</v>
      </c>
      <c r="K681" s="34" t="str">
        <f t="shared" si="43"/>
        <v/>
      </c>
      <c r="L681" s="14">
        <f>ROW()</f>
        <v>681</v>
      </c>
    </row>
    <row r="682" spans="1:12" ht="60" customHeight="1">
      <c r="A682" s="41"/>
      <c r="B682" s="43"/>
      <c r="C682" s="44"/>
      <c r="D682" s="51"/>
      <c r="E682" s="44"/>
      <c r="F682" s="44"/>
      <c r="G682" s="34">
        <f t="shared" si="40"/>
        <v>0</v>
      </c>
      <c r="H682" s="34" t="str">
        <f t="shared" si="41"/>
        <v/>
      </c>
      <c r="I682" s="52" t="str">
        <f t="shared" si="42"/>
        <v/>
      </c>
      <c r="J682" s="34">
        <f>IF(AND(A682&lt;&gt;"",ISTEXT(A682),COUNTIFS(Processos!$AS$10:$AS$509,"="&amp;SUBSTITUTE(SUBSTITUTE(SUBSTITUTE("P:"&amp;A682,"~","~~"),"*","~*"),"?","~?"))=1),(IF(ISNA(MATCH(SUBSTITUTE(SUBSTITUTE(SUBSTITUTE("P:"&amp;A682,"~","~~"),"*","~*"),"?","~?"),Processos!$AS$10:$AS$509,0)),9,INDEX(Processos!$AM$10:$AM$509,MATCH(SUBSTITUTE(SUBSTITUTE(SUBSTITUTE("P:"&amp;A682,"~","~~"),"*","~*"),"?","~?"),Processos!$AS$10:$AS$509,0)))-9),0)</f>
        <v>0</v>
      </c>
      <c r="K682" s="34" t="str">
        <f t="shared" si="43"/>
        <v/>
      </c>
      <c r="L682" s="14">
        <f>ROW()</f>
        <v>682</v>
      </c>
    </row>
    <row r="683" spans="1:12" ht="60" customHeight="1">
      <c r="A683" s="41"/>
      <c r="B683" s="43"/>
      <c r="C683" s="44"/>
      <c r="D683" s="51"/>
      <c r="E683" s="44"/>
      <c r="F683" s="44"/>
      <c r="G683" s="34">
        <f t="shared" si="40"/>
        <v>0</v>
      </c>
      <c r="H683" s="34" t="str">
        <f t="shared" si="41"/>
        <v/>
      </c>
      <c r="I683" s="52" t="str">
        <f t="shared" si="42"/>
        <v/>
      </c>
      <c r="J683" s="34">
        <f>IF(AND(A683&lt;&gt;"",ISTEXT(A683),COUNTIFS(Processos!$AS$10:$AS$509,"="&amp;SUBSTITUTE(SUBSTITUTE(SUBSTITUTE("P:"&amp;A683,"~","~~"),"*","~*"),"?","~?"))=1),(IF(ISNA(MATCH(SUBSTITUTE(SUBSTITUTE(SUBSTITUTE("P:"&amp;A683,"~","~~"),"*","~*"),"?","~?"),Processos!$AS$10:$AS$509,0)),9,INDEX(Processos!$AM$10:$AM$509,MATCH(SUBSTITUTE(SUBSTITUTE(SUBSTITUTE("P:"&amp;A683,"~","~~"),"*","~*"),"?","~?"),Processos!$AS$10:$AS$509,0)))-9),0)</f>
        <v>0</v>
      </c>
      <c r="K683" s="34" t="str">
        <f t="shared" si="43"/>
        <v/>
      </c>
      <c r="L683" s="14">
        <f>ROW()</f>
        <v>683</v>
      </c>
    </row>
    <row r="684" spans="1:12" ht="60" customHeight="1">
      <c r="A684" s="41"/>
      <c r="B684" s="43"/>
      <c r="C684" s="44"/>
      <c r="D684" s="51"/>
      <c r="E684" s="44"/>
      <c r="F684" s="44"/>
      <c r="G684" s="34">
        <f t="shared" si="40"/>
        <v>0</v>
      </c>
      <c r="H684" s="34" t="str">
        <f t="shared" si="41"/>
        <v/>
      </c>
      <c r="I684" s="52" t="str">
        <f t="shared" si="42"/>
        <v/>
      </c>
      <c r="J684" s="34">
        <f>IF(AND(A684&lt;&gt;"",ISTEXT(A684),COUNTIFS(Processos!$AS$10:$AS$509,"="&amp;SUBSTITUTE(SUBSTITUTE(SUBSTITUTE("P:"&amp;A684,"~","~~"),"*","~*"),"?","~?"))=1),(IF(ISNA(MATCH(SUBSTITUTE(SUBSTITUTE(SUBSTITUTE("P:"&amp;A684,"~","~~"),"*","~*"),"?","~?"),Processos!$AS$10:$AS$509,0)),9,INDEX(Processos!$AM$10:$AM$509,MATCH(SUBSTITUTE(SUBSTITUTE(SUBSTITUTE("P:"&amp;A684,"~","~~"),"*","~*"),"?","~?"),Processos!$AS$10:$AS$509,0)))-9),0)</f>
        <v>0</v>
      </c>
      <c r="K684" s="34" t="str">
        <f t="shared" si="43"/>
        <v/>
      </c>
      <c r="L684" s="14">
        <f>ROW()</f>
        <v>684</v>
      </c>
    </row>
    <row r="685" spans="1:12" ht="60" customHeight="1">
      <c r="A685" s="41"/>
      <c r="B685" s="43"/>
      <c r="C685" s="44"/>
      <c r="D685" s="51"/>
      <c r="E685" s="44"/>
      <c r="F685" s="44"/>
      <c r="G685" s="34">
        <f t="shared" si="40"/>
        <v>0</v>
      </c>
      <c r="H685" s="34" t="str">
        <f t="shared" si="41"/>
        <v/>
      </c>
      <c r="I685" s="52" t="str">
        <f t="shared" si="42"/>
        <v/>
      </c>
      <c r="J685" s="34">
        <f>IF(AND(A685&lt;&gt;"",ISTEXT(A685),COUNTIFS(Processos!$AS$10:$AS$509,"="&amp;SUBSTITUTE(SUBSTITUTE(SUBSTITUTE("P:"&amp;A685,"~","~~"),"*","~*"),"?","~?"))=1),(IF(ISNA(MATCH(SUBSTITUTE(SUBSTITUTE(SUBSTITUTE("P:"&amp;A685,"~","~~"),"*","~*"),"?","~?"),Processos!$AS$10:$AS$509,0)),9,INDEX(Processos!$AM$10:$AM$509,MATCH(SUBSTITUTE(SUBSTITUTE(SUBSTITUTE("P:"&amp;A685,"~","~~"),"*","~*"),"?","~?"),Processos!$AS$10:$AS$509,0)))-9),0)</f>
        <v>0</v>
      </c>
      <c r="K685" s="34" t="str">
        <f t="shared" si="43"/>
        <v/>
      </c>
      <c r="L685" s="14">
        <f>ROW()</f>
        <v>685</v>
      </c>
    </row>
    <row r="686" spans="1:12" ht="60" customHeight="1">
      <c r="A686" s="41"/>
      <c r="B686" s="43"/>
      <c r="C686" s="44"/>
      <c r="D686" s="51"/>
      <c r="E686" s="44"/>
      <c r="F686" s="44"/>
      <c r="G686" s="34">
        <f t="shared" si="40"/>
        <v>0</v>
      </c>
      <c r="H686" s="34" t="str">
        <f t="shared" si="41"/>
        <v/>
      </c>
      <c r="I686" s="52" t="str">
        <f t="shared" si="42"/>
        <v/>
      </c>
      <c r="J686" s="34">
        <f>IF(AND(A686&lt;&gt;"",ISTEXT(A686),COUNTIFS(Processos!$AS$10:$AS$509,"="&amp;SUBSTITUTE(SUBSTITUTE(SUBSTITUTE("P:"&amp;A686,"~","~~"),"*","~*"),"?","~?"))=1),(IF(ISNA(MATCH(SUBSTITUTE(SUBSTITUTE(SUBSTITUTE("P:"&amp;A686,"~","~~"),"*","~*"),"?","~?"),Processos!$AS$10:$AS$509,0)),9,INDEX(Processos!$AM$10:$AM$509,MATCH(SUBSTITUTE(SUBSTITUTE(SUBSTITUTE("P:"&amp;A686,"~","~~"),"*","~*"),"?","~?"),Processos!$AS$10:$AS$509,0)))-9),0)</f>
        <v>0</v>
      </c>
      <c r="K686" s="34" t="str">
        <f t="shared" si="43"/>
        <v/>
      </c>
      <c r="L686" s="14">
        <f>ROW()</f>
        <v>686</v>
      </c>
    </row>
    <row r="687" spans="1:12" ht="60" customHeight="1">
      <c r="A687" s="41"/>
      <c r="B687" s="43"/>
      <c r="C687" s="44"/>
      <c r="D687" s="51"/>
      <c r="E687" s="44"/>
      <c r="F687" s="44"/>
      <c r="G687" s="34">
        <f t="shared" si="40"/>
        <v>0</v>
      </c>
      <c r="H687" s="34" t="str">
        <f t="shared" si="41"/>
        <v/>
      </c>
      <c r="I687" s="52" t="str">
        <f t="shared" si="42"/>
        <v/>
      </c>
      <c r="J687" s="34">
        <f>IF(AND(A687&lt;&gt;"",ISTEXT(A687),COUNTIFS(Processos!$AS$10:$AS$509,"="&amp;SUBSTITUTE(SUBSTITUTE(SUBSTITUTE("P:"&amp;A687,"~","~~"),"*","~*"),"?","~?"))=1),(IF(ISNA(MATCH(SUBSTITUTE(SUBSTITUTE(SUBSTITUTE("P:"&amp;A687,"~","~~"),"*","~*"),"?","~?"),Processos!$AS$10:$AS$509,0)),9,INDEX(Processos!$AM$10:$AM$509,MATCH(SUBSTITUTE(SUBSTITUTE(SUBSTITUTE("P:"&amp;A687,"~","~~"),"*","~*"),"?","~?"),Processos!$AS$10:$AS$509,0)))-9),0)</f>
        <v>0</v>
      </c>
      <c r="K687" s="34" t="str">
        <f t="shared" si="43"/>
        <v/>
      </c>
      <c r="L687" s="14">
        <f>ROW()</f>
        <v>687</v>
      </c>
    </row>
    <row r="688" spans="1:12" ht="60" customHeight="1">
      <c r="A688" s="41"/>
      <c r="B688" s="43"/>
      <c r="C688" s="44"/>
      <c r="D688" s="51"/>
      <c r="E688" s="44"/>
      <c r="F688" s="44"/>
      <c r="G688" s="34">
        <f t="shared" si="40"/>
        <v>0</v>
      </c>
      <c r="H688" s="34" t="str">
        <f t="shared" si="41"/>
        <v/>
      </c>
      <c r="I688" s="52" t="str">
        <f t="shared" si="42"/>
        <v/>
      </c>
      <c r="J688" s="34">
        <f>IF(AND(A688&lt;&gt;"",ISTEXT(A688),COUNTIFS(Processos!$AS$10:$AS$509,"="&amp;SUBSTITUTE(SUBSTITUTE(SUBSTITUTE("P:"&amp;A688,"~","~~"),"*","~*"),"?","~?"))=1),(IF(ISNA(MATCH(SUBSTITUTE(SUBSTITUTE(SUBSTITUTE("P:"&amp;A688,"~","~~"),"*","~*"),"?","~?"),Processos!$AS$10:$AS$509,0)),9,INDEX(Processos!$AM$10:$AM$509,MATCH(SUBSTITUTE(SUBSTITUTE(SUBSTITUTE("P:"&amp;A688,"~","~~"),"*","~*"),"?","~?"),Processos!$AS$10:$AS$509,0)))-9),0)</f>
        <v>0</v>
      </c>
      <c r="K688" s="34" t="str">
        <f t="shared" si="43"/>
        <v/>
      </c>
      <c r="L688" s="14">
        <f>ROW()</f>
        <v>688</v>
      </c>
    </row>
    <row r="689" spans="1:12" ht="60" customHeight="1">
      <c r="A689" s="41"/>
      <c r="B689" s="43"/>
      <c r="C689" s="44"/>
      <c r="D689" s="51"/>
      <c r="E689" s="44"/>
      <c r="F689" s="44"/>
      <c r="G689" s="34">
        <f t="shared" si="40"/>
        <v>0</v>
      </c>
      <c r="H689" s="34" t="str">
        <f t="shared" si="41"/>
        <v/>
      </c>
      <c r="I689" s="52" t="str">
        <f t="shared" si="42"/>
        <v/>
      </c>
      <c r="J689" s="34">
        <f>IF(AND(A689&lt;&gt;"",ISTEXT(A689),COUNTIFS(Processos!$AS$10:$AS$509,"="&amp;SUBSTITUTE(SUBSTITUTE(SUBSTITUTE("P:"&amp;A689,"~","~~"),"*","~*"),"?","~?"))=1),(IF(ISNA(MATCH(SUBSTITUTE(SUBSTITUTE(SUBSTITUTE("P:"&amp;A689,"~","~~"),"*","~*"),"?","~?"),Processos!$AS$10:$AS$509,0)),9,INDEX(Processos!$AM$10:$AM$509,MATCH(SUBSTITUTE(SUBSTITUTE(SUBSTITUTE("P:"&amp;A689,"~","~~"),"*","~*"),"?","~?"),Processos!$AS$10:$AS$509,0)))-9),0)</f>
        <v>0</v>
      </c>
      <c r="K689" s="34" t="str">
        <f t="shared" si="43"/>
        <v/>
      </c>
      <c r="L689" s="14">
        <f>ROW()</f>
        <v>689</v>
      </c>
    </row>
    <row r="690" spans="1:12" ht="60" customHeight="1">
      <c r="A690" s="41"/>
      <c r="B690" s="43"/>
      <c r="C690" s="44"/>
      <c r="D690" s="51"/>
      <c r="E690" s="44"/>
      <c r="F690" s="44"/>
      <c r="G690" s="34">
        <f t="shared" si="40"/>
        <v>0</v>
      </c>
      <c r="H690" s="34" t="str">
        <f t="shared" si="41"/>
        <v/>
      </c>
      <c r="I690" s="52" t="str">
        <f t="shared" si="42"/>
        <v/>
      </c>
      <c r="J690" s="34">
        <f>IF(AND(A690&lt;&gt;"",ISTEXT(A690),COUNTIFS(Processos!$AS$10:$AS$509,"="&amp;SUBSTITUTE(SUBSTITUTE(SUBSTITUTE("P:"&amp;A690,"~","~~"),"*","~*"),"?","~?"))=1),(IF(ISNA(MATCH(SUBSTITUTE(SUBSTITUTE(SUBSTITUTE("P:"&amp;A690,"~","~~"),"*","~*"),"?","~?"),Processos!$AS$10:$AS$509,0)),9,INDEX(Processos!$AM$10:$AM$509,MATCH(SUBSTITUTE(SUBSTITUTE(SUBSTITUTE("P:"&amp;A690,"~","~~"),"*","~*"),"?","~?"),Processos!$AS$10:$AS$509,0)))-9),0)</f>
        <v>0</v>
      </c>
      <c r="K690" s="34" t="str">
        <f t="shared" si="43"/>
        <v/>
      </c>
      <c r="L690" s="14">
        <f>ROW()</f>
        <v>690</v>
      </c>
    </row>
    <row r="691" spans="1:12" ht="60" customHeight="1">
      <c r="A691" s="41"/>
      <c r="B691" s="43"/>
      <c r="C691" s="44"/>
      <c r="D691" s="51"/>
      <c r="E691" s="44"/>
      <c r="F691" s="44"/>
      <c r="G691" s="34">
        <f t="shared" si="40"/>
        <v>0</v>
      </c>
      <c r="H691" s="34" t="str">
        <f t="shared" si="41"/>
        <v/>
      </c>
      <c r="I691" s="52" t="str">
        <f t="shared" si="42"/>
        <v/>
      </c>
      <c r="J691" s="34">
        <f>IF(AND(A691&lt;&gt;"",ISTEXT(A691),COUNTIFS(Processos!$AS$10:$AS$509,"="&amp;SUBSTITUTE(SUBSTITUTE(SUBSTITUTE("P:"&amp;A691,"~","~~"),"*","~*"),"?","~?"))=1),(IF(ISNA(MATCH(SUBSTITUTE(SUBSTITUTE(SUBSTITUTE("P:"&amp;A691,"~","~~"),"*","~*"),"?","~?"),Processos!$AS$10:$AS$509,0)),9,INDEX(Processos!$AM$10:$AM$509,MATCH(SUBSTITUTE(SUBSTITUTE(SUBSTITUTE("P:"&amp;A691,"~","~~"),"*","~*"),"?","~?"),Processos!$AS$10:$AS$509,0)))-9),0)</f>
        <v>0</v>
      </c>
      <c r="K691" s="34" t="str">
        <f t="shared" si="43"/>
        <v/>
      </c>
      <c r="L691" s="14">
        <f>ROW()</f>
        <v>691</v>
      </c>
    </row>
    <row r="692" spans="1:12" ht="60" customHeight="1">
      <c r="A692" s="41"/>
      <c r="B692" s="43"/>
      <c r="C692" s="44"/>
      <c r="D692" s="51"/>
      <c r="E692" s="44"/>
      <c r="F692" s="44"/>
      <c r="G692" s="34">
        <f t="shared" si="40"/>
        <v>0</v>
      </c>
      <c r="H692" s="34" t="str">
        <f t="shared" si="41"/>
        <v/>
      </c>
      <c r="I692" s="52" t="str">
        <f t="shared" si="42"/>
        <v/>
      </c>
      <c r="J692" s="34">
        <f>IF(AND(A692&lt;&gt;"",ISTEXT(A692),COUNTIFS(Processos!$AS$10:$AS$509,"="&amp;SUBSTITUTE(SUBSTITUTE(SUBSTITUTE("P:"&amp;A692,"~","~~"),"*","~*"),"?","~?"))=1),(IF(ISNA(MATCH(SUBSTITUTE(SUBSTITUTE(SUBSTITUTE("P:"&amp;A692,"~","~~"),"*","~*"),"?","~?"),Processos!$AS$10:$AS$509,0)),9,INDEX(Processos!$AM$10:$AM$509,MATCH(SUBSTITUTE(SUBSTITUTE(SUBSTITUTE("P:"&amp;A692,"~","~~"),"*","~*"),"?","~?"),Processos!$AS$10:$AS$509,0)))-9),0)</f>
        <v>0</v>
      </c>
      <c r="K692" s="34" t="str">
        <f t="shared" si="43"/>
        <v/>
      </c>
      <c r="L692" s="14">
        <f>ROW()</f>
        <v>692</v>
      </c>
    </row>
    <row r="693" spans="1:12" ht="60" customHeight="1">
      <c r="A693" s="41"/>
      <c r="B693" s="43"/>
      <c r="C693" s="44"/>
      <c r="D693" s="51"/>
      <c r="E693" s="44"/>
      <c r="F693" s="44"/>
      <c r="G693" s="34">
        <f t="shared" si="40"/>
        <v>0</v>
      </c>
      <c r="H693" s="34" t="str">
        <f t="shared" si="41"/>
        <v/>
      </c>
      <c r="I693" s="52" t="str">
        <f t="shared" si="42"/>
        <v/>
      </c>
      <c r="J693" s="34">
        <f>IF(AND(A693&lt;&gt;"",ISTEXT(A693),COUNTIFS(Processos!$AS$10:$AS$509,"="&amp;SUBSTITUTE(SUBSTITUTE(SUBSTITUTE("P:"&amp;A693,"~","~~"),"*","~*"),"?","~?"))=1),(IF(ISNA(MATCH(SUBSTITUTE(SUBSTITUTE(SUBSTITUTE("P:"&amp;A693,"~","~~"),"*","~*"),"?","~?"),Processos!$AS$10:$AS$509,0)),9,INDEX(Processos!$AM$10:$AM$509,MATCH(SUBSTITUTE(SUBSTITUTE(SUBSTITUTE("P:"&amp;A693,"~","~~"),"*","~*"),"?","~?"),Processos!$AS$10:$AS$509,0)))-9),0)</f>
        <v>0</v>
      </c>
      <c r="K693" s="34" t="str">
        <f t="shared" si="43"/>
        <v/>
      </c>
      <c r="L693" s="14">
        <f>ROW()</f>
        <v>693</v>
      </c>
    </row>
    <row r="694" spans="1:12" ht="60" customHeight="1">
      <c r="A694" s="41"/>
      <c r="B694" s="43"/>
      <c r="C694" s="44"/>
      <c r="D694" s="51"/>
      <c r="E694" s="44"/>
      <c r="F694" s="44"/>
      <c r="G694" s="34">
        <f t="shared" si="40"/>
        <v>0</v>
      </c>
      <c r="H694" s="34" t="str">
        <f t="shared" si="41"/>
        <v/>
      </c>
      <c r="I694" s="52" t="str">
        <f t="shared" si="42"/>
        <v/>
      </c>
      <c r="J694" s="34">
        <f>IF(AND(A694&lt;&gt;"",ISTEXT(A694),COUNTIFS(Processos!$AS$10:$AS$509,"="&amp;SUBSTITUTE(SUBSTITUTE(SUBSTITUTE("P:"&amp;A694,"~","~~"),"*","~*"),"?","~?"))=1),(IF(ISNA(MATCH(SUBSTITUTE(SUBSTITUTE(SUBSTITUTE("P:"&amp;A694,"~","~~"),"*","~*"),"?","~?"),Processos!$AS$10:$AS$509,0)),9,INDEX(Processos!$AM$10:$AM$509,MATCH(SUBSTITUTE(SUBSTITUTE(SUBSTITUTE("P:"&amp;A694,"~","~~"),"*","~*"),"?","~?"),Processos!$AS$10:$AS$509,0)))-9),0)</f>
        <v>0</v>
      </c>
      <c r="K694" s="34" t="str">
        <f t="shared" si="43"/>
        <v/>
      </c>
      <c r="L694" s="14">
        <f>ROW()</f>
        <v>694</v>
      </c>
    </row>
    <row r="695" spans="1:12" ht="60" customHeight="1">
      <c r="A695" s="41"/>
      <c r="B695" s="43"/>
      <c r="C695" s="44"/>
      <c r="D695" s="51"/>
      <c r="E695" s="44"/>
      <c r="F695" s="44"/>
      <c r="G695" s="34">
        <f t="shared" si="40"/>
        <v>0</v>
      </c>
      <c r="H695" s="34" t="str">
        <f t="shared" si="41"/>
        <v/>
      </c>
      <c r="I695" s="52" t="str">
        <f t="shared" si="42"/>
        <v/>
      </c>
      <c r="J695" s="34">
        <f>IF(AND(A695&lt;&gt;"",ISTEXT(A695),COUNTIFS(Processos!$AS$10:$AS$509,"="&amp;SUBSTITUTE(SUBSTITUTE(SUBSTITUTE("P:"&amp;A695,"~","~~"),"*","~*"),"?","~?"))=1),(IF(ISNA(MATCH(SUBSTITUTE(SUBSTITUTE(SUBSTITUTE("P:"&amp;A695,"~","~~"),"*","~*"),"?","~?"),Processos!$AS$10:$AS$509,0)),9,INDEX(Processos!$AM$10:$AM$509,MATCH(SUBSTITUTE(SUBSTITUTE(SUBSTITUTE("P:"&amp;A695,"~","~~"),"*","~*"),"?","~?"),Processos!$AS$10:$AS$509,0)))-9),0)</f>
        <v>0</v>
      </c>
      <c r="K695" s="34" t="str">
        <f t="shared" si="43"/>
        <v/>
      </c>
      <c r="L695" s="14">
        <f>ROW()</f>
        <v>695</v>
      </c>
    </row>
    <row r="696" spans="1:12" ht="60" customHeight="1">
      <c r="A696" s="41"/>
      <c r="B696" s="43"/>
      <c r="C696" s="44"/>
      <c r="D696" s="51"/>
      <c r="E696" s="44"/>
      <c r="F696" s="44"/>
      <c r="G696" s="34">
        <f t="shared" si="40"/>
        <v>0</v>
      </c>
      <c r="H696" s="34" t="str">
        <f t="shared" si="41"/>
        <v/>
      </c>
      <c r="I696" s="52" t="str">
        <f t="shared" si="42"/>
        <v/>
      </c>
      <c r="J696" s="34">
        <f>IF(AND(A696&lt;&gt;"",ISTEXT(A696),COUNTIFS(Processos!$AS$10:$AS$509,"="&amp;SUBSTITUTE(SUBSTITUTE(SUBSTITUTE("P:"&amp;A696,"~","~~"),"*","~*"),"?","~?"))=1),(IF(ISNA(MATCH(SUBSTITUTE(SUBSTITUTE(SUBSTITUTE("P:"&amp;A696,"~","~~"),"*","~*"),"?","~?"),Processos!$AS$10:$AS$509,0)),9,INDEX(Processos!$AM$10:$AM$509,MATCH(SUBSTITUTE(SUBSTITUTE(SUBSTITUTE("P:"&amp;A696,"~","~~"),"*","~*"),"?","~?"),Processos!$AS$10:$AS$509,0)))-9),0)</f>
        <v>0</v>
      </c>
      <c r="K696" s="34" t="str">
        <f t="shared" si="43"/>
        <v/>
      </c>
      <c r="L696" s="14">
        <f>ROW()</f>
        <v>696</v>
      </c>
    </row>
    <row r="697" spans="1:12" ht="60" customHeight="1">
      <c r="A697" s="41"/>
      <c r="B697" s="43"/>
      <c r="C697" s="44"/>
      <c r="D697" s="51"/>
      <c r="E697" s="44"/>
      <c r="F697" s="44"/>
      <c r="G697" s="34">
        <f t="shared" si="40"/>
        <v>0</v>
      </c>
      <c r="H697" s="34" t="str">
        <f t="shared" si="41"/>
        <v/>
      </c>
      <c r="I697" s="52" t="str">
        <f t="shared" si="42"/>
        <v/>
      </c>
      <c r="J697" s="34">
        <f>IF(AND(A697&lt;&gt;"",ISTEXT(A697),COUNTIFS(Processos!$AS$10:$AS$509,"="&amp;SUBSTITUTE(SUBSTITUTE(SUBSTITUTE("P:"&amp;A697,"~","~~"),"*","~*"),"?","~?"))=1),(IF(ISNA(MATCH(SUBSTITUTE(SUBSTITUTE(SUBSTITUTE("P:"&amp;A697,"~","~~"),"*","~*"),"?","~?"),Processos!$AS$10:$AS$509,0)),9,INDEX(Processos!$AM$10:$AM$509,MATCH(SUBSTITUTE(SUBSTITUTE(SUBSTITUTE("P:"&amp;A697,"~","~~"),"*","~*"),"?","~?"),Processos!$AS$10:$AS$509,0)))-9),0)</f>
        <v>0</v>
      </c>
      <c r="K697" s="34" t="str">
        <f t="shared" si="43"/>
        <v/>
      </c>
      <c r="L697" s="14">
        <f>ROW()</f>
        <v>697</v>
      </c>
    </row>
    <row r="698" spans="1:12" ht="60" customHeight="1">
      <c r="A698" s="41"/>
      <c r="B698" s="43"/>
      <c r="C698" s="44"/>
      <c r="D698" s="51"/>
      <c r="E698" s="44"/>
      <c r="F698" s="44"/>
      <c r="G698" s="34">
        <f t="shared" si="40"/>
        <v>0</v>
      </c>
      <c r="H698" s="34" t="str">
        <f t="shared" si="41"/>
        <v/>
      </c>
      <c r="I698" s="52" t="str">
        <f t="shared" si="42"/>
        <v/>
      </c>
      <c r="J698" s="34">
        <f>IF(AND(A698&lt;&gt;"",ISTEXT(A698),COUNTIFS(Processos!$AS$10:$AS$509,"="&amp;SUBSTITUTE(SUBSTITUTE(SUBSTITUTE("P:"&amp;A698,"~","~~"),"*","~*"),"?","~?"))=1),(IF(ISNA(MATCH(SUBSTITUTE(SUBSTITUTE(SUBSTITUTE("P:"&amp;A698,"~","~~"),"*","~*"),"?","~?"),Processos!$AS$10:$AS$509,0)),9,INDEX(Processos!$AM$10:$AM$509,MATCH(SUBSTITUTE(SUBSTITUTE(SUBSTITUTE("P:"&amp;A698,"~","~~"),"*","~*"),"?","~?"),Processos!$AS$10:$AS$509,0)))-9),0)</f>
        <v>0</v>
      </c>
      <c r="K698" s="34" t="str">
        <f t="shared" si="43"/>
        <v/>
      </c>
      <c r="L698" s="14">
        <f>ROW()</f>
        <v>698</v>
      </c>
    </row>
    <row r="699" spans="1:12" ht="60" customHeight="1">
      <c r="A699" s="41"/>
      <c r="B699" s="43"/>
      <c r="C699" s="44"/>
      <c r="D699" s="51"/>
      <c r="E699" s="44"/>
      <c r="F699" s="44"/>
      <c r="G699" s="34">
        <f t="shared" si="40"/>
        <v>0</v>
      </c>
      <c r="H699" s="34" t="str">
        <f t="shared" si="41"/>
        <v/>
      </c>
      <c r="I699" s="52" t="str">
        <f t="shared" si="42"/>
        <v/>
      </c>
      <c r="J699" s="34">
        <f>IF(AND(A699&lt;&gt;"",ISTEXT(A699),COUNTIFS(Processos!$AS$10:$AS$509,"="&amp;SUBSTITUTE(SUBSTITUTE(SUBSTITUTE("P:"&amp;A699,"~","~~"),"*","~*"),"?","~?"))=1),(IF(ISNA(MATCH(SUBSTITUTE(SUBSTITUTE(SUBSTITUTE("P:"&amp;A699,"~","~~"),"*","~*"),"?","~?"),Processos!$AS$10:$AS$509,0)),9,INDEX(Processos!$AM$10:$AM$509,MATCH(SUBSTITUTE(SUBSTITUTE(SUBSTITUTE("P:"&amp;A699,"~","~~"),"*","~*"),"?","~?"),Processos!$AS$10:$AS$509,0)))-9),0)</f>
        <v>0</v>
      </c>
      <c r="K699" s="34" t="str">
        <f t="shared" si="43"/>
        <v/>
      </c>
      <c r="L699" s="14">
        <f>ROW()</f>
        <v>699</v>
      </c>
    </row>
    <row r="700" spans="1:12" ht="60" customHeight="1">
      <c r="A700" s="41"/>
      <c r="B700" s="43"/>
      <c r="C700" s="44"/>
      <c r="D700" s="51"/>
      <c r="E700" s="44"/>
      <c r="F700" s="44"/>
      <c r="G700" s="34">
        <f t="shared" si="40"/>
        <v>0</v>
      </c>
      <c r="H700" s="34" t="str">
        <f t="shared" si="41"/>
        <v/>
      </c>
      <c r="I700" s="52" t="str">
        <f t="shared" si="42"/>
        <v/>
      </c>
      <c r="J700" s="34">
        <f>IF(AND(A700&lt;&gt;"",ISTEXT(A700),COUNTIFS(Processos!$AS$10:$AS$509,"="&amp;SUBSTITUTE(SUBSTITUTE(SUBSTITUTE("P:"&amp;A700,"~","~~"),"*","~*"),"?","~?"))=1),(IF(ISNA(MATCH(SUBSTITUTE(SUBSTITUTE(SUBSTITUTE("P:"&amp;A700,"~","~~"),"*","~*"),"?","~?"),Processos!$AS$10:$AS$509,0)),9,INDEX(Processos!$AM$10:$AM$509,MATCH(SUBSTITUTE(SUBSTITUTE(SUBSTITUTE("P:"&amp;A700,"~","~~"),"*","~*"),"?","~?"),Processos!$AS$10:$AS$509,0)))-9),0)</f>
        <v>0</v>
      </c>
      <c r="K700" s="34" t="str">
        <f t="shared" si="43"/>
        <v/>
      </c>
      <c r="L700" s="14">
        <f>ROW()</f>
        <v>700</v>
      </c>
    </row>
    <row r="701" spans="1:12" ht="60" customHeight="1">
      <c r="A701" s="41"/>
      <c r="B701" s="43"/>
      <c r="C701" s="44"/>
      <c r="D701" s="51"/>
      <c r="E701" s="44"/>
      <c r="F701" s="44"/>
      <c r="G701" s="34">
        <f t="shared" si="40"/>
        <v>0</v>
      </c>
      <c r="H701" s="34" t="str">
        <f t="shared" si="41"/>
        <v/>
      </c>
      <c r="I701" s="52" t="str">
        <f t="shared" si="42"/>
        <v/>
      </c>
      <c r="J701" s="34">
        <f>IF(AND(A701&lt;&gt;"",ISTEXT(A701),COUNTIFS(Processos!$AS$10:$AS$509,"="&amp;SUBSTITUTE(SUBSTITUTE(SUBSTITUTE("P:"&amp;A701,"~","~~"),"*","~*"),"?","~?"))=1),(IF(ISNA(MATCH(SUBSTITUTE(SUBSTITUTE(SUBSTITUTE("P:"&amp;A701,"~","~~"),"*","~*"),"?","~?"),Processos!$AS$10:$AS$509,0)),9,INDEX(Processos!$AM$10:$AM$509,MATCH(SUBSTITUTE(SUBSTITUTE(SUBSTITUTE("P:"&amp;A701,"~","~~"),"*","~*"),"?","~?"),Processos!$AS$10:$AS$509,0)))-9),0)</f>
        <v>0</v>
      </c>
      <c r="K701" s="34" t="str">
        <f t="shared" si="43"/>
        <v/>
      </c>
      <c r="L701" s="14">
        <f>ROW()</f>
        <v>701</v>
      </c>
    </row>
    <row r="702" spans="1:12" ht="60" customHeight="1">
      <c r="A702" s="41"/>
      <c r="B702" s="43"/>
      <c r="C702" s="44"/>
      <c r="D702" s="51"/>
      <c r="E702" s="44"/>
      <c r="F702" s="44"/>
      <c r="G702" s="34">
        <f t="shared" si="40"/>
        <v>0</v>
      </c>
      <c r="H702" s="34" t="str">
        <f t="shared" si="41"/>
        <v/>
      </c>
      <c r="I702" s="52" t="str">
        <f t="shared" si="42"/>
        <v/>
      </c>
      <c r="J702" s="34">
        <f>IF(AND(A702&lt;&gt;"",ISTEXT(A702),COUNTIFS(Processos!$AS$10:$AS$509,"="&amp;SUBSTITUTE(SUBSTITUTE(SUBSTITUTE("P:"&amp;A702,"~","~~"),"*","~*"),"?","~?"))=1),(IF(ISNA(MATCH(SUBSTITUTE(SUBSTITUTE(SUBSTITUTE("P:"&amp;A702,"~","~~"),"*","~*"),"?","~?"),Processos!$AS$10:$AS$509,0)),9,INDEX(Processos!$AM$10:$AM$509,MATCH(SUBSTITUTE(SUBSTITUTE(SUBSTITUTE("P:"&amp;A702,"~","~~"),"*","~*"),"?","~?"),Processos!$AS$10:$AS$509,0)))-9),0)</f>
        <v>0</v>
      </c>
      <c r="K702" s="34" t="str">
        <f t="shared" si="43"/>
        <v/>
      </c>
      <c r="L702" s="14">
        <f>ROW()</f>
        <v>702</v>
      </c>
    </row>
    <row r="703" spans="1:12" ht="60" customHeight="1">
      <c r="A703" s="41"/>
      <c r="B703" s="43"/>
      <c r="C703" s="44"/>
      <c r="D703" s="51"/>
      <c r="E703" s="44"/>
      <c r="F703" s="44"/>
      <c r="G703" s="34">
        <f t="shared" si="40"/>
        <v>0</v>
      </c>
      <c r="H703" s="34" t="str">
        <f t="shared" si="41"/>
        <v/>
      </c>
      <c r="I703" s="52" t="str">
        <f t="shared" si="42"/>
        <v/>
      </c>
      <c r="J703" s="34">
        <f>IF(AND(A703&lt;&gt;"",ISTEXT(A703),COUNTIFS(Processos!$AS$10:$AS$509,"="&amp;SUBSTITUTE(SUBSTITUTE(SUBSTITUTE("P:"&amp;A703,"~","~~"),"*","~*"),"?","~?"))=1),(IF(ISNA(MATCH(SUBSTITUTE(SUBSTITUTE(SUBSTITUTE("P:"&amp;A703,"~","~~"),"*","~*"),"?","~?"),Processos!$AS$10:$AS$509,0)),9,INDEX(Processos!$AM$10:$AM$509,MATCH(SUBSTITUTE(SUBSTITUTE(SUBSTITUTE("P:"&amp;A703,"~","~~"),"*","~*"),"?","~?"),Processos!$AS$10:$AS$509,0)))-9),0)</f>
        <v>0</v>
      </c>
      <c r="K703" s="34" t="str">
        <f t="shared" si="43"/>
        <v/>
      </c>
      <c r="L703" s="14">
        <f>ROW()</f>
        <v>703</v>
      </c>
    </row>
    <row r="704" spans="1:12" ht="60" customHeight="1">
      <c r="A704" s="41"/>
      <c r="B704" s="43"/>
      <c r="C704" s="44"/>
      <c r="D704" s="51"/>
      <c r="E704" s="44"/>
      <c r="F704" s="44"/>
      <c r="G704" s="34">
        <f t="shared" si="40"/>
        <v>0</v>
      </c>
      <c r="H704" s="34" t="str">
        <f t="shared" si="41"/>
        <v/>
      </c>
      <c r="I704" s="52" t="str">
        <f t="shared" si="42"/>
        <v/>
      </c>
      <c r="J704" s="34">
        <f>IF(AND(A704&lt;&gt;"",ISTEXT(A704),COUNTIFS(Processos!$AS$10:$AS$509,"="&amp;SUBSTITUTE(SUBSTITUTE(SUBSTITUTE("P:"&amp;A704,"~","~~"),"*","~*"),"?","~?"))=1),(IF(ISNA(MATCH(SUBSTITUTE(SUBSTITUTE(SUBSTITUTE("P:"&amp;A704,"~","~~"),"*","~*"),"?","~?"),Processos!$AS$10:$AS$509,0)),9,INDEX(Processos!$AM$10:$AM$509,MATCH(SUBSTITUTE(SUBSTITUTE(SUBSTITUTE("P:"&amp;A704,"~","~~"),"*","~*"),"?","~?"),Processos!$AS$10:$AS$509,0)))-9),0)</f>
        <v>0</v>
      </c>
      <c r="K704" s="34" t="str">
        <f t="shared" si="43"/>
        <v/>
      </c>
      <c r="L704" s="14">
        <f>ROW()</f>
        <v>704</v>
      </c>
    </row>
    <row r="705" spans="1:12" ht="60" customHeight="1">
      <c r="A705" s="41"/>
      <c r="B705" s="43"/>
      <c r="C705" s="44"/>
      <c r="D705" s="51"/>
      <c r="E705" s="44"/>
      <c r="F705" s="44"/>
      <c r="G705" s="34">
        <f t="shared" si="40"/>
        <v>0</v>
      </c>
      <c r="H705" s="34" t="str">
        <f t="shared" si="41"/>
        <v/>
      </c>
      <c r="I705" s="52" t="str">
        <f t="shared" si="42"/>
        <v/>
      </c>
      <c r="J705" s="34">
        <f>IF(AND(A705&lt;&gt;"",ISTEXT(A705),COUNTIFS(Processos!$AS$10:$AS$509,"="&amp;SUBSTITUTE(SUBSTITUTE(SUBSTITUTE("P:"&amp;A705,"~","~~"),"*","~*"),"?","~?"))=1),(IF(ISNA(MATCH(SUBSTITUTE(SUBSTITUTE(SUBSTITUTE("P:"&amp;A705,"~","~~"),"*","~*"),"?","~?"),Processos!$AS$10:$AS$509,0)),9,INDEX(Processos!$AM$10:$AM$509,MATCH(SUBSTITUTE(SUBSTITUTE(SUBSTITUTE("P:"&amp;A705,"~","~~"),"*","~*"),"?","~?"),Processos!$AS$10:$AS$509,0)))-9),0)</f>
        <v>0</v>
      </c>
      <c r="K705" s="34" t="str">
        <f t="shared" si="43"/>
        <v/>
      </c>
      <c r="L705" s="14">
        <f>ROW()</f>
        <v>705</v>
      </c>
    </row>
    <row r="706" spans="1:12" ht="60" customHeight="1">
      <c r="A706" s="41"/>
      <c r="B706" s="43"/>
      <c r="C706" s="44"/>
      <c r="D706" s="51"/>
      <c r="E706" s="44"/>
      <c r="F706" s="44"/>
      <c r="G706" s="34">
        <f t="shared" si="40"/>
        <v>0</v>
      </c>
      <c r="H706" s="34" t="str">
        <f t="shared" si="41"/>
        <v/>
      </c>
      <c r="I706" s="52" t="str">
        <f t="shared" si="42"/>
        <v/>
      </c>
      <c r="J706" s="34">
        <f>IF(AND(A706&lt;&gt;"",ISTEXT(A706),COUNTIFS(Processos!$AS$10:$AS$509,"="&amp;SUBSTITUTE(SUBSTITUTE(SUBSTITUTE("P:"&amp;A706,"~","~~"),"*","~*"),"?","~?"))=1),(IF(ISNA(MATCH(SUBSTITUTE(SUBSTITUTE(SUBSTITUTE("P:"&amp;A706,"~","~~"),"*","~*"),"?","~?"),Processos!$AS$10:$AS$509,0)),9,INDEX(Processos!$AM$10:$AM$509,MATCH(SUBSTITUTE(SUBSTITUTE(SUBSTITUTE("P:"&amp;A706,"~","~~"),"*","~*"),"?","~?"),Processos!$AS$10:$AS$509,0)))-9),0)</f>
        <v>0</v>
      </c>
      <c r="K706" s="34" t="str">
        <f t="shared" si="43"/>
        <v/>
      </c>
      <c r="L706" s="14">
        <f>ROW()</f>
        <v>706</v>
      </c>
    </row>
    <row r="707" spans="1:12" ht="60" customHeight="1">
      <c r="A707" s="41"/>
      <c r="B707" s="43"/>
      <c r="C707" s="44"/>
      <c r="D707" s="51"/>
      <c r="E707" s="44"/>
      <c r="F707" s="44"/>
      <c r="G707" s="34">
        <f t="shared" si="40"/>
        <v>0</v>
      </c>
      <c r="H707" s="34" t="str">
        <f t="shared" si="41"/>
        <v/>
      </c>
      <c r="I707" s="52" t="str">
        <f t="shared" si="42"/>
        <v/>
      </c>
      <c r="J707" s="34">
        <f>IF(AND(A707&lt;&gt;"",ISTEXT(A707),COUNTIFS(Processos!$AS$10:$AS$509,"="&amp;SUBSTITUTE(SUBSTITUTE(SUBSTITUTE("P:"&amp;A707,"~","~~"),"*","~*"),"?","~?"))=1),(IF(ISNA(MATCH(SUBSTITUTE(SUBSTITUTE(SUBSTITUTE("P:"&amp;A707,"~","~~"),"*","~*"),"?","~?"),Processos!$AS$10:$AS$509,0)),9,INDEX(Processos!$AM$10:$AM$509,MATCH(SUBSTITUTE(SUBSTITUTE(SUBSTITUTE("P:"&amp;A707,"~","~~"),"*","~*"),"?","~?"),Processos!$AS$10:$AS$509,0)))-9),0)</f>
        <v>0</v>
      </c>
      <c r="K707" s="34" t="str">
        <f t="shared" si="43"/>
        <v/>
      </c>
      <c r="L707" s="14">
        <f>ROW()</f>
        <v>707</v>
      </c>
    </row>
    <row r="708" spans="1:12" ht="60" customHeight="1">
      <c r="A708" s="41"/>
      <c r="B708" s="43"/>
      <c r="C708" s="44"/>
      <c r="D708" s="51"/>
      <c r="E708" s="44"/>
      <c r="F708" s="44"/>
      <c r="G708" s="34">
        <f t="shared" si="40"/>
        <v>0</v>
      </c>
      <c r="H708" s="34" t="str">
        <f t="shared" si="41"/>
        <v/>
      </c>
      <c r="I708" s="52" t="str">
        <f t="shared" si="42"/>
        <v/>
      </c>
      <c r="J708" s="34">
        <f>IF(AND(A708&lt;&gt;"",ISTEXT(A708),COUNTIFS(Processos!$AS$10:$AS$509,"="&amp;SUBSTITUTE(SUBSTITUTE(SUBSTITUTE("P:"&amp;A708,"~","~~"),"*","~*"),"?","~?"))=1),(IF(ISNA(MATCH(SUBSTITUTE(SUBSTITUTE(SUBSTITUTE("P:"&amp;A708,"~","~~"),"*","~*"),"?","~?"),Processos!$AS$10:$AS$509,0)),9,INDEX(Processos!$AM$10:$AM$509,MATCH(SUBSTITUTE(SUBSTITUTE(SUBSTITUTE("P:"&amp;A708,"~","~~"),"*","~*"),"?","~?"),Processos!$AS$10:$AS$509,0)))-9),0)</f>
        <v>0</v>
      </c>
      <c r="K708" s="34" t="str">
        <f t="shared" si="43"/>
        <v/>
      </c>
      <c r="L708" s="14">
        <f>ROW()</f>
        <v>708</v>
      </c>
    </row>
    <row r="709" spans="1:12" ht="60" customHeight="1">
      <c r="A709" s="41"/>
      <c r="B709" s="43"/>
      <c r="C709" s="44"/>
      <c r="D709" s="51"/>
      <c r="E709" s="44"/>
      <c r="F709" s="44"/>
      <c r="G709" s="34">
        <f t="shared" si="40"/>
        <v>0</v>
      </c>
      <c r="H709" s="34" t="str">
        <f t="shared" si="41"/>
        <v/>
      </c>
      <c r="I709" s="52" t="str">
        <f t="shared" si="42"/>
        <v/>
      </c>
      <c r="J709" s="34">
        <f>IF(AND(A709&lt;&gt;"",ISTEXT(A709),COUNTIFS(Processos!$AS$10:$AS$509,"="&amp;SUBSTITUTE(SUBSTITUTE(SUBSTITUTE("P:"&amp;A709,"~","~~"),"*","~*"),"?","~?"))=1),(IF(ISNA(MATCH(SUBSTITUTE(SUBSTITUTE(SUBSTITUTE("P:"&amp;A709,"~","~~"),"*","~*"),"?","~?"),Processos!$AS$10:$AS$509,0)),9,INDEX(Processos!$AM$10:$AM$509,MATCH(SUBSTITUTE(SUBSTITUTE(SUBSTITUTE("P:"&amp;A709,"~","~~"),"*","~*"),"?","~?"),Processos!$AS$10:$AS$509,0)))-9),0)</f>
        <v>0</v>
      </c>
      <c r="K709" s="34" t="str">
        <f t="shared" si="43"/>
        <v/>
      </c>
      <c r="L709" s="14">
        <f>ROW()</f>
        <v>709</v>
      </c>
    </row>
    <row r="710" spans="1:12" ht="60" customHeight="1">
      <c r="A710" s="41"/>
      <c r="B710" s="43"/>
      <c r="C710" s="44"/>
      <c r="D710" s="51"/>
      <c r="E710" s="44"/>
      <c r="F710" s="44"/>
      <c r="G710" s="34">
        <f t="shared" si="40"/>
        <v>0</v>
      </c>
      <c r="H710" s="34" t="str">
        <f t="shared" si="41"/>
        <v/>
      </c>
      <c r="I710" s="52" t="str">
        <f t="shared" si="42"/>
        <v/>
      </c>
      <c r="J710" s="34">
        <f>IF(AND(A710&lt;&gt;"",ISTEXT(A710),COUNTIFS(Processos!$AS$10:$AS$509,"="&amp;SUBSTITUTE(SUBSTITUTE(SUBSTITUTE("P:"&amp;A710,"~","~~"),"*","~*"),"?","~?"))=1),(IF(ISNA(MATCH(SUBSTITUTE(SUBSTITUTE(SUBSTITUTE("P:"&amp;A710,"~","~~"),"*","~*"),"?","~?"),Processos!$AS$10:$AS$509,0)),9,INDEX(Processos!$AM$10:$AM$509,MATCH(SUBSTITUTE(SUBSTITUTE(SUBSTITUTE("P:"&amp;A710,"~","~~"),"*","~*"),"?","~?"),Processos!$AS$10:$AS$509,0)))-9),0)</f>
        <v>0</v>
      </c>
      <c r="K710" s="34" t="str">
        <f t="shared" si="43"/>
        <v/>
      </c>
      <c r="L710" s="14">
        <f>ROW()</f>
        <v>710</v>
      </c>
    </row>
    <row r="711" spans="1:12" ht="60" customHeight="1">
      <c r="A711" s="41"/>
      <c r="B711" s="43"/>
      <c r="C711" s="44"/>
      <c r="D711" s="51"/>
      <c r="E711" s="44"/>
      <c r="F711" s="44"/>
      <c r="G711" s="34">
        <f t="shared" si="40"/>
        <v>0</v>
      </c>
      <c r="H711" s="34" t="str">
        <f t="shared" si="41"/>
        <v/>
      </c>
      <c r="I711" s="52" t="str">
        <f t="shared" si="42"/>
        <v/>
      </c>
      <c r="J711" s="34">
        <f>IF(AND(A711&lt;&gt;"",ISTEXT(A711),COUNTIFS(Processos!$AS$10:$AS$509,"="&amp;SUBSTITUTE(SUBSTITUTE(SUBSTITUTE("P:"&amp;A711,"~","~~"),"*","~*"),"?","~?"))=1),(IF(ISNA(MATCH(SUBSTITUTE(SUBSTITUTE(SUBSTITUTE("P:"&amp;A711,"~","~~"),"*","~*"),"?","~?"),Processos!$AS$10:$AS$509,0)),9,INDEX(Processos!$AM$10:$AM$509,MATCH(SUBSTITUTE(SUBSTITUTE(SUBSTITUTE("P:"&amp;A711,"~","~~"),"*","~*"),"?","~?"),Processos!$AS$10:$AS$509,0)))-9),0)</f>
        <v>0</v>
      </c>
      <c r="K711" s="34" t="str">
        <f t="shared" si="43"/>
        <v/>
      </c>
      <c r="L711" s="14">
        <f>ROW()</f>
        <v>711</v>
      </c>
    </row>
    <row r="712" spans="1:12" ht="60" customHeight="1">
      <c r="A712" s="41"/>
      <c r="B712" s="43"/>
      <c r="C712" s="44"/>
      <c r="D712" s="51"/>
      <c r="E712" s="44"/>
      <c r="F712" s="44"/>
      <c r="G712" s="34">
        <f t="shared" si="40"/>
        <v>0</v>
      </c>
      <c r="H712" s="34" t="str">
        <f t="shared" si="41"/>
        <v/>
      </c>
      <c r="I712" s="52" t="str">
        <f t="shared" si="42"/>
        <v/>
      </c>
      <c r="J712" s="34">
        <f>IF(AND(A712&lt;&gt;"",ISTEXT(A712),COUNTIFS(Processos!$AS$10:$AS$509,"="&amp;SUBSTITUTE(SUBSTITUTE(SUBSTITUTE("P:"&amp;A712,"~","~~"),"*","~*"),"?","~?"))=1),(IF(ISNA(MATCH(SUBSTITUTE(SUBSTITUTE(SUBSTITUTE("P:"&amp;A712,"~","~~"),"*","~*"),"?","~?"),Processos!$AS$10:$AS$509,0)),9,INDEX(Processos!$AM$10:$AM$509,MATCH(SUBSTITUTE(SUBSTITUTE(SUBSTITUTE("P:"&amp;A712,"~","~~"),"*","~*"),"?","~?"),Processos!$AS$10:$AS$509,0)))-9),0)</f>
        <v>0</v>
      </c>
      <c r="K712" s="34" t="str">
        <f t="shared" si="43"/>
        <v/>
      </c>
      <c r="L712" s="14">
        <f>ROW()</f>
        <v>712</v>
      </c>
    </row>
    <row r="713" spans="1:12" ht="60" customHeight="1">
      <c r="A713" s="41"/>
      <c r="B713" s="43"/>
      <c r="C713" s="44"/>
      <c r="D713" s="51"/>
      <c r="E713" s="44"/>
      <c r="F713" s="44"/>
      <c r="G713" s="34">
        <f t="shared" si="40"/>
        <v>0</v>
      </c>
      <c r="H713" s="34" t="str">
        <f t="shared" si="41"/>
        <v/>
      </c>
      <c r="I713" s="52" t="str">
        <f t="shared" si="42"/>
        <v/>
      </c>
      <c r="J713" s="34">
        <f>IF(AND(A713&lt;&gt;"",ISTEXT(A713),COUNTIFS(Processos!$AS$10:$AS$509,"="&amp;SUBSTITUTE(SUBSTITUTE(SUBSTITUTE("P:"&amp;A713,"~","~~"),"*","~*"),"?","~?"))=1),(IF(ISNA(MATCH(SUBSTITUTE(SUBSTITUTE(SUBSTITUTE("P:"&amp;A713,"~","~~"),"*","~*"),"?","~?"),Processos!$AS$10:$AS$509,0)),9,INDEX(Processos!$AM$10:$AM$509,MATCH(SUBSTITUTE(SUBSTITUTE(SUBSTITUTE("P:"&amp;A713,"~","~~"),"*","~*"),"?","~?"),Processos!$AS$10:$AS$509,0)))-9),0)</f>
        <v>0</v>
      </c>
      <c r="K713" s="34" t="str">
        <f t="shared" si="43"/>
        <v/>
      </c>
      <c r="L713" s="14">
        <f>ROW()</f>
        <v>713</v>
      </c>
    </row>
    <row r="714" spans="1:12" ht="60" customHeight="1">
      <c r="A714" s="41"/>
      <c r="B714" s="43"/>
      <c r="C714" s="44"/>
      <c r="D714" s="51"/>
      <c r="E714" s="44"/>
      <c r="F714" s="44"/>
      <c r="G714" s="34">
        <f t="shared" ref="G714:G777" si="44">IF(AND(J714&gt;0,OR(B714="",AND(ISNUMBER(B714),B714&gt;=1,B714&lt;=100000)),ISNUMBER(D714),D714&gt;=1,D714&lt;=100000,C714&lt;&gt;""),1,0)</f>
        <v>0</v>
      </c>
      <c r="H714" s="34" t="str">
        <f t="shared" ref="H714:H777" si="45">IF(G714=1,K714&amp;"|"&amp;D714,"")</f>
        <v/>
      </c>
      <c r="I714" s="52" t="str">
        <f t="shared" ref="I714:I777" si="46">IF(COUNTA(A714:F714)=0,"",IF(A714="","Selecione o processo",IF(J714=0,"Processo inexistente, duplicado ou número não textual",IF(B714="","Informe a data do andamento",IF(C714="","Descreva o andamento",IF(D714="","Informe a data e hora do recebimento",IF(OR(NOT(ISNUMBER(B714)),B714&lt;1,B714&gt;100000),"Revise a data do andamento",IF(OR(NOT(ISNUMBER(D714)),D714&lt;1,D714&gt;100000),"Revise a data e hora do recebimento",IF(COUNTIFS($K$10:$K$2009,"="&amp;SUBSTITUTE(SUBSTITUTE(SUBSTITUTE("P:"&amp;A714,"~","~~"),"*","~*"),"?","~?"),$D$10:$D$2009,D714,$G$10:$G$2009,1)&gt;1,"Recebimentos empatados: revise a hora ou consolide o registro","")))))))))</f>
        <v/>
      </c>
      <c r="J714" s="34">
        <f>IF(AND(A714&lt;&gt;"",ISTEXT(A714),COUNTIFS(Processos!$AS$10:$AS$509,"="&amp;SUBSTITUTE(SUBSTITUTE(SUBSTITUTE("P:"&amp;A714,"~","~~"),"*","~*"),"?","~?"))=1),(IF(ISNA(MATCH(SUBSTITUTE(SUBSTITUTE(SUBSTITUTE("P:"&amp;A714,"~","~~"),"*","~*"),"?","~?"),Processos!$AS$10:$AS$509,0)),9,INDEX(Processos!$AM$10:$AM$509,MATCH(SUBSTITUTE(SUBSTITUTE(SUBSTITUTE("P:"&amp;A714,"~","~~"),"*","~*"),"?","~?"),Processos!$AS$10:$AS$509,0)))-9),0)</f>
        <v>0</v>
      </c>
      <c r="K714" s="34" t="str">
        <f t="shared" ref="K714:K777" si="47">IF(AND(A714&lt;&gt;"",ISTEXT(A714)),"P:"&amp;A714,"")</f>
        <v/>
      </c>
      <c r="L714" s="14">
        <f>ROW()</f>
        <v>714</v>
      </c>
    </row>
    <row r="715" spans="1:12" ht="60" customHeight="1">
      <c r="A715" s="41"/>
      <c r="B715" s="43"/>
      <c r="C715" s="44"/>
      <c r="D715" s="51"/>
      <c r="E715" s="44"/>
      <c r="F715" s="44"/>
      <c r="G715" s="34">
        <f t="shared" si="44"/>
        <v>0</v>
      </c>
      <c r="H715" s="34" t="str">
        <f t="shared" si="45"/>
        <v/>
      </c>
      <c r="I715" s="52" t="str">
        <f t="shared" si="46"/>
        <v/>
      </c>
      <c r="J715" s="34">
        <f>IF(AND(A715&lt;&gt;"",ISTEXT(A715),COUNTIFS(Processos!$AS$10:$AS$509,"="&amp;SUBSTITUTE(SUBSTITUTE(SUBSTITUTE("P:"&amp;A715,"~","~~"),"*","~*"),"?","~?"))=1),(IF(ISNA(MATCH(SUBSTITUTE(SUBSTITUTE(SUBSTITUTE("P:"&amp;A715,"~","~~"),"*","~*"),"?","~?"),Processos!$AS$10:$AS$509,0)),9,INDEX(Processos!$AM$10:$AM$509,MATCH(SUBSTITUTE(SUBSTITUTE(SUBSTITUTE("P:"&amp;A715,"~","~~"),"*","~*"),"?","~?"),Processos!$AS$10:$AS$509,0)))-9),0)</f>
        <v>0</v>
      </c>
      <c r="K715" s="34" t="str">
        <f t="shared" si="47"/>
        <v/>
      </c>
      <c r="L715" s="14">
        <f>ROW()</f>
        <v>715</v>
      </c>
    </row>
    <row r="716" spans="1:12" ht="60" customHeight="1">
      <c r="A716" s="41"/>
      <c r="B716" s="43"/>
      <c r="C716" s="44"/>
      <c r="D716" s="51"/>
      <c r="E716" s="44"/>
      <c r="F716" s="44"/>
      <c r="G716" s="34">
        <f t="shared" si="44"/>
        <v>0</v>
      </c>
      <c r="H716" s="34" t="str">
        <f t="shared" si="45"/>
        <v/>
      </c>
      <c r="I716" s="52" t="str">
        <f t="shared" si="46"/>
        <v/>
      </c>
      <c r="J716" s="34">
        <f>IF(AND(A716&lt;&gt;"",ISTEXT(A716),COUNTIFS(Processos!$AS$10:$AS$509,"="&amp;SUBSTITUTE(SUBSTITUTE(SUBSTITUTE("P:"&amp;A716,"~","~~"),"*","~*"),"?","~?"))=1),(IF(ISNA(MATCH(SUBSTITUTE(SUBSTITUTE(SUBSTITUTE("P:"&amp;A716,"~","~~"),"*","~*"),"?","~?"),Processos!$AS$10:$AS$509,0)),9,INDEX(Processos!$AM$10:$AM$509,MATCH(SUBSTITUTE(SUBSTITUTE(SUBSTITUTE("P:"&amp;A716,"~","~~"),"*","~*"),"?","~?"),Processos!$AS$10:$AS$509,0)))-9),0)</f>
        <v>0</v>
      </c>
      <c r="K716" s="34" t="str">
        <f t="shared" si="47"/>
        <v/>
      </c>
      <c r="L716" s="14">
        <f>ROW()</f>
        <v>716</v>
      </c>
    </row>
    <row r="717" spans="1:12" ht="60" customHeight="1">
      <c r="A717" s="41"/>
      <c r="B717" s="43"/>
      <c r="C717" s="44"/>
      <c r="D717" s="51"/>
      <c r="E717" s="44"/>
      <c r="F717" s="44"/>
      <c r="G717" s="34">
        <f t="shared" si="44"/>
        <v>0</v>
      </c>
      <c r="H717" s="34" t="str">
        <f t="shared" si="45"/>
        <v/>
      </c>
      <c r="I717" s="52" t="str">
        <f t="shared" si="46"/>
        <v/>
      </c>
      <c r="J717" s="34">
        <f>IF(AND(A717&lt;&gt;"",ISTEXT(A717),COUNTIFS(Processos!$AS$10:$AS$509,"="&amp;SUBSTITUTE(SUBSTITUTE(SUBSTITUTE("P:"&amp;A717,"~","~~"),"*","~*"),"?","~?"))=1),(IF(ISNA(MATCH(SUBSTITUTE(SUBSTITUTE(SUBSTITUTE("P:"&amp;A717,"~","~~"),"*","~*"),"?","~?"),Processos!$AS$10:$AS$509,0)),9,INDEX(Processos!$AM$10:$AM$509,MATCH(SUBSTITUTE(SUBSTITUTE(SUBSTITUTE("P:"&amp;A717,"~","~~"),"*","~*"),"?","~?"),Processos!$AS$10:$AS$509,0)))-9),0)</f>
        <v>0</v>
      </c>
      <c r="K717" s="34" t="str">
        <f t="shared" si="47"/>
        <v/>
      </c>
      <c r="L717" s="14">
        <f>ROW()</f>
        <v>717</v>
      </c>
    </row>
    <row r="718" spans="1:12" ht="60" customHeight="1">
      <c r="A718" s="41"/>
      <c r="B718" s="43"/>
      <c r="C718" s="44"/>
      <c r="D718" s="51"/>
      <c r="E718" s="44"/>
      <c r="F718" s="44"/>
      <c r="G718" s="34">
        <f t="shared" si="44"/>
        <v>0</v>
      </c>
      <c r="H718" s="34" t="str">
        <f t="shared" si="45"/>
        <v/>
      </c>
      <c r="I718" s="52" t="str">
        <f t="shared" si="46"/>
        <v/>
      </c>
      <c r="J718" s="34">
        <f>IF(AND(A718&lt;&gt;"",ISTEXT(A718),COUNTIFS(Processos!$AS$10:$AS$509,"="&amp;SUBSTITUTE(SUBSTITUTE(SUBSTITUTE("P:"&amp;A718,"~","~~"),"*","~*"),"?","~?"))=1),(IF(ISNA(MATCH(SUBSTITUTE(SUBSTITUTE(SUBSTITUTE("P:"&amp;A718,"~","~~"),"*","~*"),"?","~?"),Processos!$AS$10:$AS$509,0)),9,INDEX(Processos!$AM$10:$AM$509,MATCH(SUBSTITUTE(SUBSTITUTE(SUBSTITUTE("P:"&amp;A718,"~","~~"),"*","~*"),"?","~?"),Processos!$AS$10:$AS$509,0)))-9),0)</f>
        <v>0</v>
      </c>
      <c r="K718" s="34" t="str">
        <f t="shared" si="47"/>
        <v/>
      </c>
      <c r="L718" s="14">
        <f>ROW()</f>
        <v>718</v>
      </c>
    </row>
    <row r="719" spans="1:12" ht="60" customHeight="1">
      <c r="A719" s="41"/>
      <c r="B719" s="43"/>
      <c r="C719" s="44"/>
      <c r="D719" s="51"/>
      <c r="E719" s="44"/>
      <c r="F719" s="44"/>
      <c r="G719" s="34">
        <f t="shared" si="44"/>
        <v>0</v>
      </c>
      <c r="H719" s="34" t="str">
        <f t="shared" si="45"/>
        <v/>
      </c>
      <c r="I719" s="52" t="str">
        <f t="shared" si="46"/>
        <v/>
      </c>
      <c r="J719" s="34">
        <f>IF(AND(A719&lt;&gt;"",ISTEXT(A719),COUNTIFS(Processos!$AS$10:$AS$509,"="&amp;SUBSTITUTE(SUBSTITUTE(SUBSTITUTE("P:"&amp;A719,"~","~~"),"*","~*"),"?","~?"))=1),(IF(ISNA(MATCH(SUBSTITUTE(SUBSTITUTE(SUBSTITUTE("P:"&amp;A719,"~","~~"),"*","~*"),"?","~?"),Processos!$AS$10:$AS$509,0)),9,INDEX(Processos!$AM$10:$AM$509,MATCH(SUBSTITUTE(SUBSTITUTE(SUBSTITUTE("P:"&amp;A719,"~","~~"),"*","~*"),"?","~?"),Processos!$AS$10:$AS$509,0)))-9),0)</f>
        <v>0</v>
      </c>
      <c r="K719" s="34" t="str">
        <f t="shared" si="47"/>
        <v/>
      </c>
      <c r="L719" s="14">
        <f>ROW()</f>
        <v>719</v>
      </c>
    </row>
    <row r="720" spans="1:12" ht="60" customHeight="1">
      <c r="A720" s="41"/>
      <c r="B720" s="43"/>
      <c r="C720" s="44"/>
      <c r="D720" s="51"/>
      <c r="E720" s="44"/>
      <c r="F720" s="44"/>
      <c r="G720" s="34">
        <f t="shared" si="44"/>
        <v>0</v>
      </c>
      <c r="H720" s="34" t="str">
        <f t="shared" si="45"/>
        <v/>
      </c>
      <c r="I720" s="52" t="str">
        <f t="shared" si="46"/>
        <v/>
      </c>
      <c r="J720" s="34">
        <f>IF(AND(A720&lt;&gt;"",ISTEXT(A720),COUNTIFS(Processos!$AS$10:$AS$509,"="&amp;SUBSTITUTE(SUBSTITUTE(SUBSTITUTE("P:"&amp;A720,"~","~~"),"*","~*"),"?","~?"))=1),(IF(ISNA(MATCH(SUBSTITUTE(SUBSTITUTE(SUBSTITUTE("P:"&amp;A720,"~","~~"),"*","~*"),"?","~?"),Processos!$AS$10:$AS$509,0)),9,INDEX(Processos!$AM$10:$AM$509,MATCH(SUBSTITUTE(SUBSTITUTE(SUBSTITUTE("P:"&amp;A720,"~","~~"),"*","~*"),"?","~?"),Processos!$AS$10:$AS$509,0)))-9),0)</f>
        <v>0</v>
      </c>
      <c r="K720" s="34" t="str">
        <f t="shared" si="47"/>
        <v/>
      </c>
      <c r="L720" s="14">
        <f>ROW()</f>
        <v>720</v>
      </c>
    </row>
    <row r="721" spans="1:12" ht="60" customHeight="1">
      <c r="A721" s="41"/>
      <c r="B721" s="43"/>
      <c r="C721" s="44"/>
      <c r="D721" s="51"/>
      <c r="E721" s="44"/>
      <c r="F721" s="44"/>
      <c r="G721" s="34">
        <f t="shared" si="44"/>
        <v>0</v>
      </c>
      <c r="H721" s="34" t="str">
        <f t="shared" si="45"/>
        <v/>
      </c>
      <c r="I721" s="52" t="str">
        <f t="shared" si="46"/>
        <v/>
      </c>
      <c r="J721" s="34">
        <f>IF(AND(A721&lt;&gt;"",ISTEXT(A721),COUNTIFS(Processos!$AS$10:$AS$509,"="&amp;SUBSTITUTE(SUBSTITUTE(SUBSTITUTE("P:"&amp;A721,"~","~~"),"*","~*"),"?","~?"))=1),(IF(ISNA(MATCH(SUBSTITUTE(SUBSTITUTE(SUBSTITUTE("P:"&amp;A721,"~","~~"),"*","~*"),"?","~?"),Processos!$AS$10:$AS$509,0)),9,INDEX(Processos!$AM$10:$AM$509,MATCH(SUBSTITUTE(SUBSTITUTE(SUBSTITUTE("P:"&amp;A721,"~","~~"),"*","~*"),"?","~?"),Processos!$AS$10:$AS$509,0)))-9),0)</f>
        <v>0</v>
      </c>
      <c r="K721" s="34" t="str">
        <f t="shared" si="47"/>
        <v/>
      </c>
      <c r="L721" s="14">
        <f>ROW()</f>
        <v>721</v>
      </c>
    </row>
    <row r="722" spans="1:12" ht="60" customHeight="1">
      <c r="A722" s="41"/>
      <c r="B722" s="43"/>
      <c r="C722" s="44"/>
      <c r="D722" s="51"/>
      <c r="E722" s="44"/>
      <c r="F722" s="44"/>
      <c r="G722" s="34">
        <f t="shared" si="44"/>
        <v>0</v>
      </c>
      <c r="H722" s="34" t="str">
        <f t="shared" si="45"/>
        <v/>
      </c>
      <c r="I722" s="52" t="str">
        <f t="shared" si="46"/>
        <v/>
      </c>
      <c r="J722" s="34">
        <f>IF(AND(A722&lt;&gt;"",ISTEXT(A722),COUNTIFS(Processos!$AS$10:$AS$509,"="&amp;SUBSTITUTE(SUBSTITUTE(SUBSTITUTE("P:"&amp;A722,"~","~~"),"*","~*"),"?","~?"))=1),(IF(ISNA(MATCH(SUBSTITUTE(SUBSTITUTE(SUBSTITUTE("P:"&amp;A722,"~","~~"),"*","~*"),"?","~?"),Processos!$AS$10:$AS$509,0)),9,INDEX(Processos!$AM$10:$AM$509,MATCH(SUBSTITUTE(SUBSTITUTE(SUBSTITUTE("P:"&amp;A722,"~","~~"),"*","~*"),"?","~?"),Processos!$AS$10:$AS$509,0)))-9),0)</f>
        <v>0</v>
      </c>
      <c r="K722" s="34" t="str">
        <f t="shared" si="47"/>
        <v/>
      </c>
      <c r="L722" s="14">
        <f>ROW()</f>
        <v>722</v>
      </c>
    </row>
    <row r="723" spans="1:12" ht="60" customHeight="1">
      <c r="A723" s="41"/>
      <c r="B723" s="43"/>
      <c r="C723" s="44"/>
      <c r="D723" s="51"/>
      <c r="E723" s="44"/>
      <c r="F723" s="44"/>
      <c r="G723" s="34">
        <f t="shared" si="44"/>
        <v>0</v>
      </c>
      <c r="H723" s="34" t="str">
        <f t="shared" si="45"/>
        <v/>
      </c>
      <c r="I723" s="52" t="str">
        <f t="shared" si="46"/>
        <v/>
      </c>
      <c r="J723" s="34">
        <f>IF(AND(A723&lt;&gt;"",ISTEXT(A723),COUNTIFS(Processos!$AS$10:$AS$509,"="&amp;SUBSTITUTE(SUBSTITUTE(SUBSTITUTE("P:"&amp;A723,"~","~~"),"*","~*"),"?","~?"))=1),(IF(ISNA(MATCH(SUBSTITUTE(SUBSTITUTE(SUBSTITUTE("P:"&amp;A723,"~","~~"),"*","~*"),"?","~?"),Processos!$AS$10:$AS$509,0)),9,INDEX(Processos!$AM$10:$AM$509,MATCH(SUBSTITUTE(SUBSTITUTE(SUBSTITUTE("P:"&amp;A723,"~","~~"),"*","~*"),"?","~?"),Processos!$AS$10:$AS$509,0)))-9),0)</f>
        <v>0</v>
      </c>
      <c r="K723" s="34" t="str">
        <f t="shared" si="47"/>
        <v/>
      </c>
      <c r="L723" s="14">
        <f>ROW()</f>
        <v>723</v>
      </c>
    </row>
    <row r="724" spans="1:12" ht="60" customHeight="1">
      <c r="A724" s="41"/>
      <c r="B724" s="43"/>
      <c r="C724" s="44"/>
      <c r="D724" s="51"/>
      <c r="E724" s="44"/>
      <c r="F724" s="44"/>
      <c r="G724" s="34">
        <f t="shared" si="44"/>
        <v>0</v>
      </c>
      <c r="H724" s="34" t="str">
        <f t="shared" si="45"/>
        <v/>
      </c>
      <c r="I724" s="52" t="str">
        <f t="shared" si="46"/>
        <v/>
      </c>
      <c r="J724" s="34">
        <f>IF(AND(A724&lt;&gt;"",ISTEXT(A724),COUNTIFS(Processos!$AS$10:$AS$509,"="&amp;SUBSTITUTE(SUBSTITUTE(SUBSTITUTE("P:"&amp;A724,"~","~~"),"*","~*"),"?","~?"))=1),(IF(ISNA(MATCH(SUBSTITUTE(SUBSTITUTE(SUBSTITUTE("P:"&amp;A724,"~","~~"),"*","~*"),"?","~?"),Processos!$AS$10:$AS$509,0)),9,INDEX(Processos!$AM$10:$AM$509,MATCH(SUBSTITUTE(SUBSTITUTE(SUBSTITUTE("P:"&amp;A724,"~","~~"),"*","~*"),"?","~?"),Processos!$AS$10:$AS$509,0)))-9),0)</f>
        <v>0</v>
      </c>
      <c r="K724" s="34" t="str">
        <f t="shared" si="47"/>
        <v/>
      </c>
      <c r="L724" s="14">
        <f>ROW()</f>
        <v>724</v>
      </c>
    </row>
    <row r="725" spans="1:12" ht="60" customHeight="1">
      <c r="A725" s="41"/>
      <c r="B725" s="43"/>
      <c r="C725" s="44"/>
      <c r="D725" s="51"/>
      <c r="E725" s="44"/>
      <c r="F725" s="44"/>
      <c r="G725" s="34">
        <f t="shared" si="44"/>
        <v>0</v>
      </c>
      <c r="H725" s="34" t="str">
        <f t="shared" si="45"/>
        <v/>
      </c>
      <c r="I725" s="52" t="str">
        <f t="shared" si="46"/>
        <v/>
      </c>
      <c r="J725" s="34">
        <f>IF(AND(A725&lt;&gt;"",ISTEXT(A725),COUNTIFS(Processos!$AS$10:$AS$509,"="&amp;SUBSTITUTE(SUBSTITUTE(SUBSTITUTE("P:"&amp;A725,"~","~~"),"*","~*"),"?","~?"))=1),(IF(ISNA(MATCH(SUBSTITUTE(SUBSTITUTE(SUBSTITUTE("P:"&amp;A725,"~","~~"),"*","~*"),"?","~?"),Processos!$AS$10:$AS$509,0)),9,INDEX(Processos!$AM$10:$AM$509,MATCH(SUBSTITUTE(SUBSTITUTE(SUBSTITUTE("P:"&amp;A725,"~","~~"),"*","~*"),"?","~?"),Processos!$AS$10:$AS$509,0)))-9),0)</f>
        <v>0</v>
      </c>
      <c r="K725" s="34" t="str">
        <f t="shared" si="47"/>
        <v/>
      </c>
      <c r="L725" s="14">
        <f>ROW()</f>
        <v>725</v>
      </c>
    </row>
    <row r="726" spans="1:12" ht="60" customHeight="1">
      <c r="A726" s="41"/>
      <c r="B726" s="43"/>
      <c r="C726" s="44"/>
      <c r="D726" s="51"/>
      <c r="E726" s="44"/>
      <c r="F726" s="44"/>
      <c r="G726" s="34">
        <f t="shared" si="44"/>
        <v>0</v>
      </c>
      <c r="H726" s="34" t="str">
        <f t="shared" si="45"/>
        <v/>
      </c>
      <c r="I726" s="52" t="str">
        <f t="shared" si="46"/>
        <v/>
      </c>
      <c r="J726" s="34">
        <f>IF(AND(A726&lt;&gt;"",ISTEXT(A726),COUNTIFS(Processos!$AS$10:$AS$509,"="&amp;SUBSTITUTE(SUBSTITUTE(SUBSTITUTE("P:"&amp;A726,"~","~~"),"*","~*"),"?","~?"))=1),(IF(ISNA(MATCH(SUBSTITUTE(SUBSTITUTE(SUBSTITUTE("P:"&amp;A726,"~","~~"),"*","~*"),"?","~?"),Processos!$AS$10:$AS$509,0)),9,INDEX(Processos!$AM$10:$AM$509,MATCH(SUBSTITUTE(SUBSTITUTE(SUBSTITUTE("P:"&amp;A726,"~","~~"),"*","~*"),"?","~?"),Processos!$AS$10:$AS$509,0)))-9),0)</f>
        <v>0</v>
      </c>
      <c r="K726" s="34" t="str">
        <f t="shared" si="47"/>
        <v/>
      </c>
      <c r="L726" s="14">
        <f>ROW()</f>
        <v>726</v>
      </c>
    </row>
    <row r="727" spans="1:12" ht="60" customHeight="1">
      <c r="A727" s="41"/>
      <c r="B727" s="43"/>
      <c r="C727" s="44"/>
      <c r="D727" s="51"/>
      <c r="E727" s="44"/>
      <c r="F727" s="44"/>
      <c r="G727" s="34">
        <f t="shared" si="44"/>
        <v>0</v>
      </c>
      <c r="H727" s="34" t="str">
        <f t="shared" si="45"/>
        <v/>
      </c>
      <c r="I727" s="52" t="str">
        <f t="shared" si="46"/>
        <v/>
      </c>
      <c r="J727" s="34">
        <f>IF(AND(A727&lt;&gt;"",ISTEXT(A727),COUNTIFS(Processos!$AS$10:$AS$509,"="&amp;SUBSTITUTE(SUBSTITUTE(SUBSTITUTE("P:"&amp;A727,"~","~~"),"*","~*"),"?","~?"))=1),(IF(ISNA(MATCH(SUBSTITUTE(SUBSTITUTE(SUBSTITUTE("P:"&amp;A727,"~","~~"),"*","~*"),"?","~?"),Processos!$AS$10:$AS$509,0)),9,INDEX(Processos!$AM$10:$AM$509,MATCH(SUBSTITUTE(SUBSTITUTE(SUBSTITUTE("P:"&amp;A727,"~","~~"),"*","~*"),"?","~?"),Processos!$AS$10:$AS$509,0)))-9),0)</f>
        <v>0</v>
      </c>
      <c r="K727" s="34" t="str">
        <f t="shared" si="47"/>
        <v/>
      </c>
      <c r="L727" s="14">
        <f>ROW()</f>
        <v>727</v>
      </c>
    </row>
    <row r="728" spans="1:12" ht="60" customHeight="1">
      <c r="A728" s="41"/>
      <c r="B728" s="43"/>
      <c r="C728" s="44"/>
      <c r="D728" s="51"/>
      <c r="E728" s="44"/>
      <c r="F728" s="44"/>
      <c r="G728" s="34">
        <f t="shared" si="44"/>
        <v>0</v>
      </c>
      <c r="H728" s="34" t="str">
        <f t="shared" si="45"/>
        <v/>
      </c>
      <c r="I728" s="52" t="str">
        <f t="shared" si="46"/>
        <v/>
      </c>
      <c r="J728" s="34">
        <f>IF(AND(A728&lt;&gt;"",ISTEXT(A728),COUNTIFS(Processos!$AS$10:$AS$509,"="&amp;SUBSTITUTE(SUBSTITUTE(SUBSTITUTE("P:"&amp;A728,"~","~~"),"*","~*"),"?","~?"))=1),(IF(ISNA(MATCH(SUBSTITUTE(SUBSTITUTE(SUBSTITUTE("P:"&amp;A728,"~","~~"),"*","~*"),"?","~?"),Processos!$AS$10:$AS$509,0)),9,INDEX(Processos!$AM$10:$AM$509,MATCH(SUBSTITUTE(SUBSTITUTE(SUBSTITUTE("P:"&amp;A728,"~","~~"),"*","~*"),"?","~?"),Processos!$AS$10:$AS$509,0)))-9),0)</f>
        <v>0</v>
      </c>
      <c r="K728" s="34" t="str">
        <f t="shared" si="47"/>
        <v/>
      </c>
      <c r="L728" s="14">
        <f>ROW()</f>
        <v>728</v>
      </c>
    </row>
    <row r="729" spans="1:12" ht="60" customHeight="1">
      <c r="A729" s="41"/>
      <c r="B729" s="43"/>
      <c r="C729" s="44"/>
      <c r="D729" s="51"/>
      <c r="E729" s="44"/>
      <c r="F729" s="44"/>
      <c r="G729" s="34">
        <f t="shared" si="44"/>
        <v>0</v>
      </c>
      <c r="H729" s="34" t="str">
        <f t="shared" si="45"/>
        <v/>
      </c>
      <c r="I729" s="52" t="str">
        <f t="shared" si="46"/>
        <v/>
      </c>
      <c r="J729" s="34">
        <f>IF(AND(A729&lt;&gt;"",ISTEXT(A729),COUNTIFS(Processos!$AS$10:$AS$509,"="&amp;SUBSTITUTE(SUBSTITUTE(SUBSTITUTE("P:"&amp;A729,"~","~~"),"*","~*"),"?","~?"))=1),(IF(ISNA(MATCH(SUBSTITUTE(SUBSTITUTE(SUBSTITUTE("P:"&amp;A729,"~","~~"),"*","~*"),"?","~?"),Processos!$AS$10:$AS$509,0)),9,INDEX(Processos!$AM$10:$AM$509,MATCH(SUBSTITUTE(SUBSTITUTE(SUBSTITUTE("P:"&amp;A729,"~","~~"),"*","~*"),"?","~?"),Processos!$AS$10:$AS$509,0)))-9),0)</f>
        <v>0</v>
      </c>
      <c r="K729" s="34" t="str">
        <f t="shared" si="47"/>
        <v/>
      </c>
      <c r="L729" s="14">
        <f>ROW()</f>
        <v>729</v>
      </c>
    </row>
    <row r="730" spans="1:12" ht="60" customHeight="1">
      <c r="A730" s="41"/>
      <c r="B730" s="43"/>
      <c r="C730" s="44"/>
      <c r="D730" s="51"/>
      <c r="E730" s="44"/>
      <c r="F730" s="44"/>
      <c r="G730" s="34">
        <f t="shared" si="44"/>
        <v>0</v>
      </c>
      <c r="H730" s="34" t="str">
        <f t="shared" si="45"/>
        <v/>
      </c>
      <c r="I730" s="52" t="str">
        <f t="shared" si="46"/>
        <v/>
      </c>
      <c r="J730" s="34">
        <f>IF(AND(A730&lt;&gt;"",ISTEXT(A730),COUNTIFS(Processos!$AS$10:$AS$509,"="&amp;SUBSTITUTE(SUBSTITUTE(SUBSTITUTE("P:"&amp;A730,"~","~~"),"*","~*"),"?","~?"))=1),(IF(ISNA(MATCH(SUBSTITUTE(SUBSTITUTE(SUBSTITUTE("P:"&amp;A730,"~","~~"),"*","~*"),"?","~?"),Processos!$AS$10:$AS$509,0)),9,INDEX(Processos!$AM$10:$AM$509,MATCH(SUBSTITUTE(SUBSTITUTE(SUBSTITUTE("P:"&amp;A730,"~","~~"),"*","~*"),"?","~?"),Processos!$AS$10:$AS$509,0)))-9),0)</f>
        <v>0</v>
      </c>
      <c r="K730" s="34" t="str">
        <f t="shared" si="47"/>
        <v/>
      </c>
      <c r="L730" s="14">
        <f>ROW()</f>
        <v>730</v>
      </c>
    </row>
    <row r="731" spans="1:12" ht="60" customHeight="1">
      <c r="A731" s="41"/>
      <c r="B731" s="43"/>
      <c r="C731" s="44"/>
      <c r="D731" s="51"/>
      <c r="E731" s="44"/>
      <c r="F731" s="44"/>
      <c r="G731" s="34">
        <f t="shared" si="44"/>
        <v>0</v>
      </c>
      <c r="H731" s="34" t="str">
        <f t="shared" si="45"/>
        <v/>
      </c>
      <c r="I731" s="52" t="str">
        <f t="shared" si="46"/>
        <v/>
      </c>
      <c r="J731" s="34">
        <f>IF(AND(A731&lt;&gt;"",ISTEXT(A731),COUNTIFS(Processos!$AS$10:$AS$509,"="&amp;SUBSTITUTE(SUBSTITUTE(SUBSTITUTE("P:"&amp;A731,"~","~~"),"*","~*"),"?","~?"))=1),(IF(ISNA(MATCH(SUBSTITUTE(SUBSTITUTE(SUBSTITUTE("P:"&amp;A731,"~","~~"),"*","~*"),"?","~?"),Processos!$AS$10:$AS$509,0)),9,INDEX(Processos!$AM$10:$AM$509,MATCH(SUBSTITUTE(SUBSTITUTE(SUBSTITUTE("P:"&amp;A731,"~","~~"),"*","~*"),"?","~?"),Processos!$AS$10:$AS$509,0)))-9),0)</f>
        <v>0</v>
      </c>
      <c r="K731" s="34" t="str">
        <f t="shared" si="47"/>
        <v/>
      </c>
      <c r="L731" s="14">
        <f>ROW()</f>
        <v>731</v>
      </c>
    </row>
    <row r="732" spans="1:12" ht="60" customHeight="1">
      <c r="A732" s="41"/>
      <c r="B732" s="43"/>
      <c r="C732" s="44"/>
      <c r="D732" s="51"/>
      <c r="E732" s="44"/>
      <c r="F732" s="44"/>
      <c r="G732" s="34">
        <f t="shared" si="44"/>
        <v>0</v>
      </c>
      <c r="H732" s="34" t="str">
        <f t="shared" si="45"/>
        <v/>
      </c>
      <c r="I732" s="52" t="str">
        <f t="shared" si="46"/>
        <v/>
      </c>
      <c r="J732" s="34">
        <f>IF(AND(A732&lt;&gt;"",ISTEXT(A732),COUNTIFS(Processos!$AS$10:$AS$509,"="&amp;SUBSTITUTE(SUBSTITUTE(SUBSTITUTE("P:"&amp;A732,"~","~~"),"*","~*"),"?","~?"))=1),(IF(ISNA(MATCH(SUBSTITUTE(SUBSTITUTE(SUBSTITUTE("P:"&amp;A732,"~","~~"),"*","~*"),"?","~?"),Processos!$AS$10:$AS$509,0)),9,INDEX(Processos!$AM$10:$AM$509,MATCH(SUBSTITUTE(SUBSTITUTE(SUBSTITUTE("P:"&amp;A732,"~","~~"),"*","~*"),"?","~?"),Processos!$AS$10:$AS$509,0)))-9),0)</f>
        <v>0</v>
      </c>
      <c r="K732" s="34" t="str">
        <f t="shared" si="47"/>
        <v/>
      </c>
      <c r="L732" s="14">
        <f>ROW()</f>
        <v>732</v>
      </c>
    </row>
    <row r="733" spans="1:12" ht="60" customHeight="1">
      <c r="A733" s="41"/>
      <c r="B733" s="43"/>
      <c r="C733" s="44"/>
      <c r="D733" s="51"/>
      <c r="E733" s="44"/>
      <c r="F733" s="44"/>
      <c r="G733" s="34">
        <f t="shared" si="44"/>
        <v>0</v>
      </c>
      <c r="H733" s="34" t="str">
        <f t="shared" si="45"/>
        <v/>
      </c>
      <c r="I733" s="52" t="str">
        <f t="shared" si="46"/>
        <v/>
      </c>
      <c r="J733" s="34">
        <f>IF(AND(A733&lt;&gt;"",ISTEXT(A733),COUNTIFS(Processos!$AS$10:$AS$509,"="&amp;SUBSTITUTE(SUBSTITUTE(SUBSTITUTE("P:"&amp;A733,"~","~~"),"*","~*"),"?","~?"))=1),(IF(ISNA(MATCH(SUBSTITUTE(SUBSTITUTE(SUBSTITUTE("P:"&amp;A733,"~","~~"),"*","~*"),"?","~?"),Processos!$AS$10:$AS$509,0)),9,INDEX(Processos!$AM$10:$AM$509,MATCH(SUBSTITUTE(SUBSTITUTE(SUBSTITUTE("P:"&amp;A733,"~","~~"),"*","~*"),"?","~?"),Processos!$AS$10:$AS$509,0)))-9),0)</f>
        <v>0</v>
      </c>
      <c r="K733" s="34" t="str">
        <f t="shared" si="47"/>
        <v/>
      </c>
      <c r="L733" s="14">
        <f>ROW()</f>
        <v>733</v>
      </c>
    </row>
    <row r="734" spans="1:12" ht="60" customHeight="1">
      <c r="A734" s="41"/>
      <c r="B734" s="43"/>
      <c r="C734" s="44"/>
      <c r="D734" s="51"/>
      <c r="E734" s="44"/>
      <c r="F734" s="44"/>
      <c r="G734" s="34">
        <f t="shared" si="44"/>
        <v>0</v>
      </c>
      <c r="H734" s="34" t="str">
        <f t="shared" si="45"/>
        <v/>
      </c>
      <c r="I734" s="52" t="str">
        <f t="shared" si="46"/>
        <v/>
      </c>
      <c r="J734" s="34">
        <f>IF(AND(A734&lt;&gt;"",ISTEXT(A734),COUNTIFS(Processos!$AS$10:$AS$509,"="&amp;SUBSTITUTE(SUBSTITUTE(SUBSTITUTE("P:"&amp;A734,"~","~~"),"*","~*"),"?","~?"))=1),(IF(ISNA(MATCH(SUBSTITUTE(SUBSTITUTE(SUBSTITUTE("P:"&amp;A734,"~","~~"),"*","~*"),"?","~?"),Processos!$AS$10:$AS$509,0)),9,INDEX(Processos!$AM$10:$AM$509,MATCH(SUBSTITUTE(SUBSTITUTE(SUBSTITUTE("P:"&amp;A734,"~","~~"),"*","~*"),"?","~?"),Processos!$AS$10:$AS$509,0)))-9),0)</f>
        <v>0</v>
      </c>
      <c r="K734" s="34" t="str">
        <f t="shared" si="47"/>
        <v/>
      </c>
      <c r="L734" s="14">
        <f>ROW()</f>
        <v>734</v>
      </c>
    </row>
    <row r="735" spans="1:12" ht="60" customHeight="1">
      <c r="A735" s="41"/>
      <c r="B735" s="43"/>
      <c r="C735" s="44"/>
      <c r="D735" s="51"/>
      <c r="E735" s="44"/>
      <c r="F735" s="44"/>
      <c r="G735" s="34">
        <f t="shared" si="44"/>
        <v>0</v>
      </c>
      <c r="H735" s="34" t="str">
        <f t="shared" si="45"/>
        <v/>
      </c>
      <c r="I735" s="52" t="str">
        <f t="shared" si="46"/>
        <v/>
      </c>
      <c r="J735" s="34">
        <f>IF(AND(A735&lt;&gt;"",ISTEXT(A735),COUNTIFS(Processos!$AS$10:$AS$509,"="&amp;SUBSTITUTE(SUBSTITUTE(SUBSTITUTE("P:"&amp;A735,"~","~~"),"*","~*"),"?","~?"))=1),(IF(ISNA(MATCH(SUBSTITUTE(SUBSTITUTE(SUBSTITUTE("P:"&amp;A735,"~","~~"),"*","~*"),"?","~?"),Processos!$AS$10:$AS$509,0)),9,INDEX(Processos!$AM$10:$AM$509,MATCH(SUBSTITUTE(SUBSTITUTE(SUBSTITUTE("P:"&amp;A735,"~","~~"),"*","~*"),"?","~?"),Processos!$AS$10:$AS$509,0)))-9),0)</f>
        <v>0</v>
      </c>
      <c r="K735" s="34" t="str">
        <f t="shared" si="47"/>
        <v/>
      </c>
      <c r="L735" s="14">
        <f>ROW()</f>
        <v>735</v>
      </c>
    </row>
    <row r="736" spans="1:12" ht="60" customHeight="1">
      <c r="A736" s="41"/>
      <c r="B736" s="43"/>
      <c r="C736" s="44"/>
      <c r="D736" s="51"/>
      <c r="E736" s="44"/>
      <c r="F736" s="44"/>
      <c r="G736" s="34">
        <f t="shared" si="44"/>
        <v>0</v>
      </c>
      <c r="H736" s="34" t="str">
        <f t="shared" si="45"/>
        <v/>
      </c>
      <c r="I736" s="52" t="str">
        <f t="shared" si="46"/>
        <v/>
      </c>
      <c r="J736" s="34">
        <f>IF(AND(A736&lt;&gt;"",ISTEXT(A736),COUNTIFS(Processos!$AS$10:$AS$509,"="&amp;SUBSTITUTE(SUBSTITUTE(SUBSTITUTE("P:"&amp;A736,"~","~~"),"*","~*"),"?","~?"))=1),(IF(ISNA(MATCH(SUBSTITUTE(SUBSTITUTE(SUBSTITUTE("P:"&amp;A736,"~","~~"),"*","~*"),"?","~?"),Processos!$AS$10:$AS$509,0)),9,INDEX(Processos!$AM$10:$AM$509,MATCH(SUBSTITUTE(SUBSTITUTE(SUBSTITUTE("P:"&amp;A736,"~","~~"),"*","~*"),"?","~?"),Processos!$AS$10:$AS$509,0)))-9),0)</f>
        <v>0</v>
      </c>
      <c r="K736" s="34" t="str">
        <f t="shared" si="47"/>
        <v/>
      </c>
      <c r="L736" s="14">
        <f>ROW()</f>
        <v>736</v>
      </c>
    </row>
    <row r="737" spans="1:12" ht="60" customHeight="1">
      <c r="A737" s="41"/>
      <c r="B737" s="43"/>
      <c r="C737" s="44"/>
      <c r="D737" s="51"/>
      <c r="E737" s="44"/>
      <c r="F737" s="44"/>
      <c r="G737" s="34">
        <f t="shared" si="44"/>
        <v>0</v>
      </c>
      <c r="H737" s="34" t="str">
        <f t="shared" si="45"/>
        <v/>
      </c>
      <c r="I737" s="52" t="str">
        <f t="shared" si="46"/>
        <v/>
      </c>
      <c r="J737" s="34">
        <f>IF(AND(A737&lt;&gt;"",ISTEXT(A737),COUNTIFS(Processos!$AS$10:$AS$509,"="&amp;SUBSTITUTE(SUBSTITUTE(SUBSTITUTE("P:"&amp;A737,"~","~~"),"*","~*"),"?","~?"))=1),(IF(ISNA(MATCH(SUBSTITUTE(SUBSTITUTE(SUBSTITUTE("P:"&amp;A737,"~","~~"),"*","~*"),"?","~?"),Processos!$AS$10:$AS$509,0)),9,INDEX(Processos!$AM$10:$AM$509,MATCH(SUBSTITUTE(SUBSTITUTE(SUBSTITUTE("P:"&amp;A737,"~","~~"),"*","~*"),"?","~?"),Processos!$AS$10:$AS$509,0)))-9),0)</f>
        <v>0</v>
      </c>
      <c r="K737" s="34" t="str">
        <f t="shared" si="47"/>
        <v/>
      </c>
      <c r="L737" s="14">
        <f>ROW()</f>
        <v>737</v>
      </c>
    </row>
    <row r="738" spans="1:12" ht="60" customHeight="1">
      <c r="A738" s="41"/>
      <c r="B738" s="43"/>
      <c r="C738" s="44"/>
      <c r="D738" s="51"/>
      <c r="E738" s="44"/>
      <c r="F738" s="44"/>
      <c r="G738" s="34">
        <f t="shared" si="44"/>
        <v>0</v>
      </c>
      <c r="H738" s="34" t="str">
        <f t="shared" si="45"/>
        <v/>
      </c>
      <c r="I738" s="52" t="str">
        <f t="shared" si="46"/>
        <v/>
      </c>
      <c r="J738" s="34">
        <f>IF(AND(A738&lt;&gt;"",ISTEXT(A738),COUNTIFS(Processos!$AS$10:$AS$509,"="&amp;SUBSTITUTE(SUBSTITUTE(SUBSTITUTE("P:"&amp;A738,"~","~~"),"*","~*"),"?","~?"))=1),(IF(ISNA(MATCH(SUBSTITUTE(SUBSTITUTE(SUBSTITUTE("P:"&amp;A738,"~","~~"),"*","~*"),"?","~?"),Processos!$AS$10:$AS$509,0)),9,INDEX(Processos!$AM$10:$AM$509,MATCH(SUBSTITUTE(SUBSTITUTE(SUBSTITUTE("P:"&amp;A738,"~","~~"),"*","~*"),"?","~?"),Processos!$AS$10:$AS$509,0)))-9),0)</f>
        <v>0</v>
      </c>
      <c r="K738" s="34" t="str">
        <f t="shared" si="47"/>
        <v/>
      </c>
      <c r="L738" s="14">
        <f>ROW()</f>
        <v>738</v>
      </c>
    </row>
    <row r="739" spans="1:12" ht="60" customHeight="1">
      <c r="A739" s="41"/>
      <c r="B739" s="43"/>
      <c r="C739" s="44"/>
      <c r="D739" s="51"/>
      <c r="E739" s="44"/>
      <c r="F739" s="44"/>
      <c r="G739" s="34">
        <f t="shared" si="44"/>
        <v>0</v>
      </c>
      <c r="H739" s="34" t="str">
        <f t="shared" si="45"/>
        <v/>
      </c>
      <c r="I739" s="52" t="str">
        <f t="shared" si="46"/>
        <v/>
      </c>
      <c r="J739" s="34">
        <f>IF(AND(A739&lt;&gt;"",ISTEXT(A739),COUNTIFS(Processos!$AS$10:$AS$509,"="&amp;SUBSTITUTE(SUBSTITUTE(SUBSTITUTE("P:"&amp;A739,"~","~~"),"*","~*"),"?","~?"))=1),(IF(ISNA(MATCH(SUBSTITUTE(SUBSTITUTE(SUBSTITUTE("P:"&amp;A739,"~","~~"),"*","~*"),"?","~?"),Processos!$AS$10:$AS$509,0)),9,INDEX(Processos!$AM$10:$AM$509,MATCH(SUBSTITUTE(SUBSTITUTE(SUBSTITUTE("P:"&amp;A739,"~","~~"),"*","~*"),"?","~?"),Processos!$AS$10:$AS$509,0)))-9),0)</f>
        <v>0</v>
      </c>
      <c r="K739" s="34" t="str">
        <f t="shared" si="47"/>
        <v/>
      </c>
      <c r="L739" s="14">
        <f>ROW()</f>
        <v>739</v>
      </c>
    </row>
    <row r="740" spans="1:12" ht="60" customHeight="1">
      <c r="A740" s="41"/>
      <c r="B740" s="43"/>
      <c r="C740" s="44"/>
      <c r="D740" s="51"/>
      <c r="E740" s="44"/>
      <c r="F740" s="44"/>
      <c r="G740" s="34">
        <f t="shared" si="44"/>
        <v>0</v>
      </c>
      <c r="H740" s="34" t="str">
        <f t="shared" si="45"/>
        <v/>
      </c>
      <c r="I740" s="52" t="str">
        <f t="shared" si="46"/>
        <v/>
      </c>
      <c r="J740" s="34">
        <f>IF(AND(A740&lt;&gt;"",ISTEXT(A740),COUNTIFS(Processos!$AS$10:$AS$509,"="&amp;SUBSTITUTE(SUBSTITUTE(SUBSTITUTE("P:"&amp;A740,"~","~~"),"*","~*"),"?","~?"))=1),(IF(ISNA(MATCH(SUBSTITUTE(SUBSTITUTE(SUBSTITUTE("P:"&amp;A740,"~","~~"),"*","~*"),"?","~?"),Processos!$AS$10:$AS$509,0)),9,INDEX(Processos!$AM$10:$AM$509,MATCH(SUBSTITUTE(SUBSTITUTE(SUBSTITUTE("P:"&amp;A740,"~","~~"),"*","~*"),"?","~?"),Processos!$AS$10:$AS$509,0)))-9),0)</f>
        <v>0</v>
      </c>
      <c r="K740" s="34" t="str">
        <f t="shared" si="47"/>
        <v/>
      </c>
      <c r="L740" s="14">
        <f>ROW()</f>
        <v>740</v>
      </c>
    </row>
    <row r="741" spans="1:12" ht="60" customHeight="1">
      <c r="A741" s="41"/>
      <c r="B741" s="43"/>
      <c r="C741" s="44"/>
      <c r="D741" s="51"/>
      <c r="E741" s="44"/>
      <c r="F741" s="44"/>
      <c r="G741" s="34">
        <f t="shared" si="44"/>
        <v>0</v>
      </c>
      <c r="H741" s="34" t="str">
        <f t="shared" si="45"/>
        <v/>
      </c>
      <c r="I741" s="52" t="str">
        <f t="shared" si="46"/>
        <v/>
      </c>
      <c r="J741" s="34">
        <f>IF(AND(A741&lt;&gt;"",ISTEXT(A741),COUNTIFS(Processos!$AS$10:$AS$509,"="&amp;SUBSTITUTE(SUBSTITUTE(SUBSTITUTE("P:"&amp;A741,"~","~~"),"*","~*"),"?","~?"))=1),(IF(ISNA(MATCH(SUBSTITUTE(SUBSTITUTE(SUBSTITUTE("P:"&amp;A741,"~","~~"),"*","~*"),"?","~?"),Processos!$AS$10:$AS$509,0)),9,INDEX(Processos!$AM$10:$AM$509,MATCH(SUBSTITUTE(SUBSTITUTE(SUBSTITUTE("P:"&amp;A741,"~","~~"),"*","~*"),"?","~?"),Processos!$AS$10:$AS$509,0)))-9),0)</f>
        <v>0</v>
      </c>
      <c r="K741" s="34" t="str">
        <f t="shared" si="47"/>
        <v/>
      </c>
      <c r="L741" s="14">
        <f>ROW()</f>
        <v>741</v>
      </c>
    </row>
    <row r="742" spans="1:12" ht="60" customHeight="1">
      <c r="A742" s="41"/>
      <c r="B742" s="43"/>
      <c r="C742" s="44"/>
      <c r="D742" s="51"/>
      <c r="E742" s="44"/>
      <c r="F742" s="44"/>
      <c r="G742" s="34">
        <f t="shared" si="44"/>
        <v>0</v>
      </c>
      <c r="H742" s="34" t="str">
        <f t="shared" si="45"/>
        <v/>
      </c>
      <c r="I742" s="52" t="str">
        <f t="shared" si="46"/>
        <v/>
      </c>
      <c r="J742" s="34">
        <f>IF(AND(A742&lt;&gt;"",ISTEXT(A742),COUNTIFS(Processos!$AS$10:$AS$509,"="&amp;SUBSTITUTE(SUBSTITUTE(SUBSTITUTE("P:"&amp;A742,"~","~~"),"*","~*"),"?","~?"))=1),(IF(ISNA(MATCH(SUBSTITUTE(SUBSTITUTE(SUBSTITUTE("P:"&amp;A742,"~","~~"),"*","~*"),"?","~?"),Processos!$AS$10:$AS$509,0)),9,INDEX(Processos!$AM$10:$AM$509,MATCH(SUBSTITUTE(SUBSTITUTE(SUBSTITUTE("P:"&amp;A742,"~","~~"),"*","~*"),"?","~?"),Processos!$AS$10:$AS$509,0)))-9),0)</f>
        <v>0</v>
      </c>
      <c r="K742" s="34" t="str">
        <f t="shared" si="47"/>
        <v/>
      </c>
      <c r="L742" s="14">
        <f>ROW()</f>
        <v>742</v>
      </c>
    </row>
    <row r="743" spans="1:12" ht="60" customHeight="1">
      <c r="A743" s="41"/>
      <c r="B743" s="43"/>
      <c r="C743" s="44"/>
      <c r="D743" s="51"/>
      <c r="E743" s="44"/>
      <c r="F743" s="44"/>
      <c r="G743" s="34">
        <f t="shared" si="44"/>
        <v>0</v>
      </c>
      <c r="H743" s="34" t="str">
        <f t="shared" si="45"/>
        <v/>
      </c>
      <c r="I743" s="52" t="str">
        <f t="shared" si="46"/>
        <v/>
      </c>
      <c r="J743" s="34">
        <f>IF(AND(A743&lt;&gt;"",ISTEXT(A743),COUNTIFS(Processos!$AS$10:$AS$509,"="&amp;SUBSTITUTE(SUBSTITUTE(SUBSTITUTE("P:"&amp;A743,"~","~~"),"*","~*"),"?","~?"))=1),(IF(ISNA(MATCH(SUBSTITUTE(SUBSTITUTE(SUBSTITUTE("P:"&amp;A743,"~","~~"),"*","~*"),"?","~?"),Processos!$AS$10:$AS$509,0)),9,INDEX(Processos!$AM$10:$AM$509,MATCH(SUBSTITUTE(SUBSTITUTE(SUBSTITUTE("P:"&amp;A743,"~","~~"),"*","~*"),"?","~?"),Processos!$AS$10:$AS$509,0)))-9),0)</f>
        <v>0</v>
      </c>
      <c r="K743" s="34" t="str">
        <f t="shared" si="47"/>
        <v/>
      </c>
      <c r="L743" s="14">
        <f>ROW()</f>
        <v>743</v>
      </c>
    </row>
    <row r="744" spans="1:12" ht="60" customHeight="1">
      <c r="A744" s="41"/>
      <c r="B744" s="43"/>
      <c r="C744" s="44"/>
      <c r="D744" s="51"/>
      <c r="E744" s="44"/>
      <c r="F744" s="44"/>
      <c r="G744" s="34">
        <f t="shared" si="44"/>
        <v>0</v>
      </c>
      <c r="H744" s="34" t="str">
        <f t="shared" si="45"/>
        <v/>
      </c>
      <c r="I744" s="52" t="str">
        <f t="shared" si="46"/>
        <v/>
      </c>
      <c r="J744" s="34">
        <f>IF(AND(A744&lt;&gt;"",ISTEXT(A744),COUNTIFS(Processos!$AS$10:$AS$509,"="&amp;SUBSTITUTE(SUBSTITUTE(SUBSTITUTE("P:"&amp;A744,"~","~~"),"*","~*"),"?","~?"))=1),(IF(ISNA(MATCH(SUBSTITUTE(SUBSTITUTE(SUBSTITUTE("P:"&amp;A744,"~","~~"),"*","~*"),"?","~?"),Processos!$AS$10:$AS$509,0)),9,INDEX(Processos!$AM$10:$AM$509,MATCH(SUBSTITUTE(SUBSTITUTE(SUBSTITUTE("P:"&amp;A744,"~","~~"),"*","~*"),"?","~?"),Processos!$AS$10:$AS$509,0)))-9),0)</f>
        <v>0</v>
      </c>
      <c r="K744" s="34" t="str">
        <f t="shared" si="47"/>
        <v/>
      </c>
      <c r="L744" s="14">
        <f>ROW()</f>
        <v>744</v>
      </c>
    </row>
    <row r="745" spans="1:12" ht="60" customHeight="1">
      <c r="A745" s="41"/>
      <c r="B745" s="43"/>
      <c r="C745" s="44"/>
      <c r="D745" s="51"/>
      <c r="E745" s="44"/>
      <c r="F745" s="44"/>
      <c r="G745" s="34">
        <f t="shared" si="44"/>
        <v>0</v>
      </c>
      <c r="H745" s="34" t="str">
        <f t="shared" si="45"/>
        <v/>
      </c>
      <c r="I745" s="52" t="str">
        <f t="shared" si="46"/>
        <v/>
      </c>
      <c r="J745" s="34">
        <f>IF(AND(A745&lt;&gt;"",ISTEXT(A745),COUNTIFS(Processos!$AS$10:$AS$509,"="&amp;SUBSTITUTE(SUBSTITUTE(SUBSTITUTE("P:"&amp;A745,"~","~~"),"*","~*"),"?","~?"))=1),(IF(ISNA(MATCH(SUBSTITUTE(SUBSTITUTE(SUBSTITUTE("P:"&amp;A745,"~","~~"),"*","~*"),"?","~?"),Processos!$AS$10:$AS$509,0)),9,INDEX(Processos!$AM$10:$AM$509,MATCH(SUBSTITUTE(SUBSTITUTE(SUBSTITUTE("P:"&amp;A745,"~","~~"),"*","~*"),"?","~?"),Processos!$AS$10:$AS$509,0)))-9),0)</f>
        <v>0</v>
      </c>
      <c r="K745" s="34" t="str">
        <f t="shared" si="47"/>
        <v/>
      </c>
      <c r="L745" s="14">
        <f>ROW()</f>
        <v>745</v>
      </c>
    </row>
    <row r="746" spans="1:12" ht="60" customHeight="1">
      <c r="A746" s="41"/>
      <c r="B746" s="43"/>
      <c r="C746" s="44"/>
      <c r="D746" s="51"/>
      <c r="E746" s="44"/>
      <c r="F746" s="44"/>
      <c r="G746" s="34">
        <f t="shared" si="44"/>
        <v>0</v>
      </c>
      <c r="H746" s="34" t="str">
        <f t="shared" si="45"/>
        <v/>
      </c>
      <c r="I746" s="52" t="str">
        <f t="shared" si="46"/>
        <v/>
      </c>
      <c r="J746" s="34">
        <f>IF(AND(A746&lt;&gt;"",ISTEXT(A746),COUNTIFS(Processos!$AS$10:$AS$509,"="&amp;SUBSTITUTE(SUBSTITUTE(SUBSTITUTE("P:"&amp;A746,"~","~~"),"*","~*"),"?","~?"))=1),(IF(ISNA(MATCH(SUBSTITUTE(SUBSTITUTE(SUBSTITUTE("P:"&amp;A746,"~","~~"),"*","~*"),"?","~?"),Processos!$AS$10:$AS$509,0)),9,INDEX(Processos!$AM$10:$AM$509,MATCH(SUBSTITUTE(SUBSTITUTE(SUBSTITUTE("P:"&amp;A746,"~","~~"),"*","~*"),"?","~?"),Processos!$AS$10:$AS$509,0)))-9),0)</f>
        <v>0</v>
      </c>
      <c r="K746" s="34" t="str">
        <f t="shared" si="47"/>
        <v/>
      </c>
      <c r="L746" s="14">
        <f>ROW()</f>
        <v>746</v>
      </c>
    </row>
    <row r="747" spans="1:12" ht="60" customHeight="1">
      <c r="A747" s="41"/>
      <c r="B747" s="43"/>
      <c r="C747" s="44"/>
      <c r="D747" s="51"/>
      <c r="E747" s="44"/>
      <c r="F747" s="44"/>
      <c r="G747" s="34">
        <f t="shared" si="44"/>
        <v>0</v>
      </c>
      <c r="H747" s="34" t="str">
        <f t="shared" si="45"/>
        <v/>
      </c>
      <c r="I747" s="52" t="str">
        <f t="shared" si="46"/>
        <v/>
      </c>
      <c r="J747" s="34">
        <f>IF(AND(A747&lt;&gt;"",ISTEXT(A747),COUNTIFS(Processos!$AS$10:$AS$509,"="&amp;SUBSTITUTE(SUBSTITUTE(SUBSTITUTE("P:"&amp;A747,"~","~~"),"*","~*"),"?","~?"))=1),(IF(ISNA(MATCH(SUBSTITUTE(SUBSTITUTE(SUBSTITUTE("P:"&amp;A747,"~","~~"),"*","~*"),"?","~?"),Processos!$AS$10:$AS$509,0)),9,INDEX(Processos!$AM$10:$AM$509,MATCH(SUBSTITUTE(SUBSTITUTE(SUBSTITUTE("P:"&amp;A747,"~","~~"),"*","~*"),"?","~?"),Processos!$AS$10:$AS$509,0)))-9),0)</f>
        <v>0</v>
      </c>
      <c r="K747" s="34" t="str">
        <f t="shared" si="47"/>
        <v/>
      </c>
      <c r="L747" s="14">
        <f>ROW()</f>
        <v>747</v>
      </c>
    </row>
    <row r="748" spans="1:12" ht="60" customHeight="1">
      <c r="A748" s="41"/>
      <c r="B748" s="43"/>
      <c r="C748" s="44"/>
      <c r="D748" s="51"/>
      <c r="E748" s="44"/>
      <c r="F748" s="44"/>
      <c r="G748" s="34">
        <f t="shared" si="44"/>
        <v>0</v>
      </c>
      <c r="H748" s="34" t="str">
        <f t="shared" si="45"/>
        <v/>
      </c>
      <c r="I748" s="52" t="str">
        <f t="shared" si="46"/>
        <v/>
      </c>
      <c r="J748" s="34">
        <f>IF(AND(A748&lt;&gt;"",ISTEXT(A748),COUNTIFS(Processos!$AS$10:$AS$509,"="&amp;SUBSTITUTE(SUBSTITUTE(SUBSTITUTE("P:"&amp;A748,"~","~~"),"*","~*"),"?","~?"))=1),(IF(ISNA(MATCH(SUBSTITUTE(SUBSTITUTE(SUBSTITUTE("P:"&amp;A748,"~","~~"),"*","~*"),"?","~?"),Processos!$AS$10:$AS$509,0)),9,INDEX(Processos!$AM$10:$AM$509,MATCH(SUBSTITUTE(SUBSTITUTE(SUBSTITUTE("P:"&amp;A748,"~","~~"),"*","~*"),"?","~?"),Processos!$AS$10:$AS$509,0)))-9),0)</f>
        <v>0</v>
      </c>
      <c r="K748" s="34" t="str">
        <f t="shared" si="47"/>
        <v/>
      </c>
      <c r="L748" s="14">
        <f>ROW()</f>
        <v>748</v>
      </c>
    </row>
    <row r="749" spans="1:12" ht="60" customHeight="1">
      <c r="A749" s="41"/>
      <c r="B749" s="43"/>
      <c r="C749" s="44"/>
      <c r="D749" s="51"/>
      <c r="E749" s="44"/>
      <c r="F749" s="44"/>
      <c r="G749" s="34">
        <f t="shared" si="44"/>
        <v>0</v>
      </c>
      <c r="H749" s="34" t="str">
        <f t="shared" si="45"/>
        <v/>
      </c>
      <c r="I749" s="52" t="str">
        <f t="shared" si="46"/>
        <v/>
      </c>
      <c r="J749" s="34">
        <f>IF(AND(A749&lt;&gt;"",ISTEXT(A749),COUNTIFS(Processos!$AS$10:$AS$509,"="&amp;SUBSTITUTE(SUBSTITUTE(SUBSTITUTE("P:"&amp;A749,"~","~~"),"*","~*"),"?","~?"))=1),(IF(ISNA(MATCH(SUBSTITUTE(SUBSTITUTE(SUBSTITUTE("P:"&amp;A749,"~","~~"),"*","~*"),"?","~?"),Processos!$AS$10:$AS$509,0)),9,INDEX(Processos!$AM$10:$AM$509,MATCH(SUBSTITUTE(SUBSTITUTE(SUBSTITUTE("P:"&amp;A749,"~","~~"),"*","~*"),"?","~?"),Processos!$AS$10:$AS$509,0)))-9),0)</f>
        <v>0</v>
      </c>
      <c r="K749" s="34" t="str">
        <f t="shared" si="47"/>
        <v/>
      </c>
      <c r="L749" s="14">
        <f>ROW()</f>
        <v>749</v>
      </c>
    </row>
    <row r="750" spans="1:12" ht="60" customHeight="1">
      <c r="A750" s="41"/>
      <c r="B750" s="43"/>
      <c r="C750" s="44"/>
      <c r="D750" s="51"/>
      <c r="E750" s="44"/>
      <c r="F750" s="44"/>
      <c r="G750" s="34">
        <f t="shared" si="44"/>
        <v>0</v>
      </c>
      <c r="H750" s="34" t="str">
        <f t="shared" si="45"/>
        <v/>
      </c>
      <c r="I750" s="52" t="str">
        <f t="shared" si="46"/>
        <v/>
      </c>
      <c r="J750" s="34">
        <f>IF(AND(A750&lt;&gt;"",ISTEXT(A750),COUNTIFS(Processos!$AS$10:$AS$509,"="&amp;SUBSTITUTE(SUBSTITUTE(SUBSTITUTE("P:"&amp;A750,"~","~~"),"*","~*"),"?","~?"))=1),(IF(ISNA(MATCH(SUBSTITUTE(SUBSTITUTE(SUBSTITUTE("P:"&amp;A750,"~","~~"),"*","~*"),"?","~?"),Processos!$AS$10:$AS$509,0)),9,INDEX(Processos!$AM$10:$AM$509,MATCH(SUBSTITUTE(SUBSTITUTE(SUBSTITUTE("P:"&amp;A750,"~","~~"),"*","~*"),"?","~?"),Processos!$AS$10:$AS$509,0)))-9),0)</f>
        <v>0</v>
      </c>
      <c r="K750" s="34" t="str">
        <f t="shared" si="47"/>
        <v/>
      </c>
      <c r="L750" s="14">
        <f>ROW()</f>
        <v>750</v>
      </c>
    </row>
    <row r="751" spans="1:12" ht="60" customHeight="1">
      <c r="A751" s="41"/>
      <c r="B751" s="43"/>
      <c r="C751" s="44"/>
      <c r="D751" s="51"/>
      <c r="E751" s="44"/>
      <c r="F751" s="44"/>
      <c r="G751" s="34">
        <f t="shared" si="44"/>
        <v>0</v>
      </c>
      <c r="H751" s="34" t="str">
        <f t="shared" si="45"/>
        <v/>
      </c>
      <c r="I751" s="52" t="str">
        <f t="shared" si="46"/>
        <v/>
      </c>
      <c r="J751" s="34">
        <f>IF(AND(A751&lt;&gt;"",ISTEXT(A751),COUNTIFS(Processos!$AS$10:$AS$509,"="&amp;SUBSTITUTE(SUBSTITUTE(SUBSTITUTE("P:"&amp;A751,"~","~~"),"*","~*"),"?","~?"))=1),(IF(ISNA(MATCH(SUBSTITUTE(SUBSTITUTE(SUBSTITUTE("P:"&amp;A751,"~","~~"),"*","~*"),"?","~?"),Processos!$AS$10:$AS$509,0)),9,INDEX(Processos!$AM$10:$AM$509,MATCH(SUBSTITUTE(SUBSTITUTE(SUBSTITUTE("P:"&amp;A751,"~","~~"),"*","~*"),"?","~?"),Processos!$AS$10:$AS$509,0)))-9),0)</f>
        <v>0</v>
      </c>
      <c r="K751" s="34" t="str">
        <f t="shared" si="47"/>
        <v/>
      </c>
      <c r="L751" s="14">
        <f>ROW()</f>
        <v>751</v>
      </c>
    </row>
    <row r="752" spans="1:12" ht="60" customHeight="1">
      <c r="A752" s="41"/>
      <c r="B752" s="43"/>
      <c r="C752" s="44"/>
      <c r="D752" s="51"/>
      <c r="E752" s="44"/>
      <c r="F752" s="44"/>
      <c r="G752" s="34">
        <f t="shared" si="44"/>
        <v>0</v>
      </c>
      <c r="H752" s="34" t="str">
        <f t="shared" si="45"/>
        <v/>
      </c>
      <c r="I752" s="52" t="str">
        <f t="shared" si="46"/>
        <v/>
      </c>
      <c r="J752" s="34">
        <f>IF(AND(A752&lt;&gt;"",ISTEXT(A752),COUNTIFS(Processos!$AS$10:$AS$509,"="&amp;SUBSTITUTE(SUBSTITUTE(SUBSTITUTE("P:"&amp;A752,"~","~~"),"*","~*"),"?","~?"))=1),(IF(ISNA(MATCH(SUBSTITUTE(SUBSTITUTE(SUBSTITUTE("P:"&amp;A752,"~","~~"),"*","~*"),"?","~?"),Processos!$AS$10:$AS$509,0)),9,INDEX(Processos!$AM$10:$AM$509,MATCH(SUBSTITUTE(SUBSTITUTE(SUBSTITUTE("P:"&amp;A752,"~","~~"),"*","~*"),"?","~?"),Processos!$AS$10:$AS$509,0)))-9),0)</f>
        <v>0</v>
      </c>
      <c r="K752" s="34" t="str">
        <f t="shared" si="47"/>
        <v/>
      </c>
      <c r="L752" s="14">
        <f>ROW()</f>
        <v>752</v>
      </c>
    </row>
    <row r="753" spans="1:12" ht="60" customHeight="1">
      <c r="A753" s="41"/>
      <c r="B753" s="43"/>
      <c r="C753" s="44"/>
      <c r="D753" s="51"/>
      <c r="E753" s="44"/>
      <c r="F753" s="44"/>
      <c r="G753" s="34">
        <f t="shared" si="44"/>
        <v>0</v>
      </c>
      <c r="H753" s="34" t="str">
        <f t="shared" si="45"/>
        <v/>
      </c>
      <c r="I753" s="52" t="str">
        <f t="shared" si="46"/>
        <v/>
      </c>
      <c r="J753" s="34">
        <f>IF(AND(A753&lt;&gt;"",ISTEXT(A753),COUNTIFS(Processos!$AS$10:$AS$509,"="&amp;SUBSTITUTE(SUBSTITUTE(SUBSTITUTE("P:"&amp;A753,"~","~~"),"*","~*"),"?","~?"))=1),(IF(ISNA(MATCH(SUBSTITUTE(SUBSTITUTE(SUBSTITUTE("P:"&amp;A753,"~","~~"),"*","~*"),"?","~?"),Processos!$AS$10:$AS$509,0)),9,INDEX(Processos!$AM$10:$AM$509,MATCH(SUBSTITUTE(SUBSTITUTE(SUBSTITUTE("P:"&amp;A753,"~","~~"),"*","~*"),"?","~?"),Processos!$AS$10:$AS$509,0)))-9),0)</f>
        <v>0</v>
      </c>
      <c r="K753" s="34" t="str">
        <f t="shared" si="47"/>
        <v/>
      </c>
      <c r="L753" s="14">
        <f>ROW()</f>
        <v>753</v>
      </c>
    </row>
    <row r="754" spans="1:12" ht="60" customHeight="1">
      <c r="A754" s="41"/>
      <c r="B754" s="43"/>
      <c r="C754" s="44"/>
      <c r="D754" s="51"/>
      <c r="E754" s="44"/>
      <c r="F754" s="44"/>
      <c r="G754" s="34">
        <f t="shared" si="44"/>
        <v>0</v>
      </c>
      <c r="H754" s="34" t="str">
        <f t="shared" si="45"/>
        <v/>
      </c>
      <c r="I754" s="52" t="str">
        <f t="shared" si="46"/>
        <v/>
      </c>
      <c r="J754" s="34">
        <f>IF(AND(A754&lt;&gt;"",ISTEXT(A754),COUNTIFS(Processos!$AS$10:$AS$509,"="&amp;SUBSTITUTE(SUBSTITUTE(SUBSTITUTE("P:"&amp;A754,"~","~~"),"*","~*"),"?","~?"))=1),(IF(ISNA(MATCH(SUBSTITUTE(SUBSTITUTE(SUBSTITUTE("P:"&amp;A754,"~","~~"),"*","~*"),"?","~?"),Processos!$AS$10:$AS$509,0)),9,INDEX(Processos!$AM$10:$AM$509,MATCH(SUBSTITUTE(SUBSTITUTE(SUBSTITUTE("P:"&amp;A754,"~","~~"),"*","~*"),"?","~?"),Processos!$AS$10:$AS$509,0)))-9),0)</f>
        <v>0</v>
      </c>
      <c r="K754" s="34" t="str">
        <f t="shared" si="47"/>
        <v/>
      </c>
      <c r="L754" s="14">
        <f>ROW()</f>
        <v>754</v>
      </c>
    </row>
    <row r="755" spans="1:12" ht="60" customHeight="1">
      <c r="A755" s="41"/>
      <c r="B755" s="43"/>
      <c r="C755" s="44"/>
      <c r="D755" s="51"/>
      <c r="E755" s="44"/>
      <c r="F755" s="44"/>
      <c r="G755" s="34">
        <f t="shared" si="44"/>
        <v>0</v>
      </c>
      <c r="H755" s="34" t="str">
        <f t="shared" si="45"/>
        <v/>
      </c>
      <c r="I755" s="52" t="str">
        <f t="shared" si="46"/>
        <v/>
      </c>
      <c r="J755" s="34">
        <f>IF(AND(A755&lt;&gt;"",ISTEXT(A755),COUNTIFS(Processos!$AS$10:$AS$509,"="&amp;SUBSTITUTE(SUBSTITUTE(SUBSTITUTE("P:"&amp;A755,"~","~~"),"*","~*"),"?","~?"))=1),(IF(ISNA(MATCH(SUBSTITUTE(SUBSTITUTE(SUBSTITUTE("P:"&amp;A755,"~","~~"),"*","~*"),"?","~?"),Processos!$AS$10:$AS$509,0)),9,INDEX(Processos!$AM$10:$AM$509,MATCH(SUBSTITUTE(SUBSTITUTE(SUBSTITUTE("P:"&amp;A755,"~","~~"),"*","~*"),"?","~?"),Processos!$AS$10:$AS$509,0)))-9),0)</f>
        <v>0</v>
      </c>
      <c r="K755" s="34" t="str">
        <f t="shared" si="47"/>
        <v/>
      </c>
      <c r="L755" s="14">
        <f>ROW()</f>
        <v>755</v>
      </c>
    </row>
    <row r="756" spans="1:12" ht="60" customHeight="1">
      <c r="A756" s="41"/>
      <c r="B756" s="43"/>
      <c r="C756" s="44"/>
      <c r="D756" s="51"/>
      <c r="E756" s="44"/>
      <c r="F756" s="44"/>
      <c r="G756" s="34">
        <f t="shared" si="44"/>
        <v>0</v>
      </c>
      <c r="H756" s="34" t="str">
        <f t="shared" si="45"/>
        <v/>
      </c>
      <c r="I756" s="52" t="str">
        <f t="shared" si="46"/>
        <v/>
      </c>
      <c r="J756" s="34">
        <f>IF(AND(A756&lt;&gt;"",ISTEXT(A756),COUNTIFS(Processos!$AS$10:$AS$509,"="&amp;SUBSTITUTE(SUBSTITUTE(SUBSTITUTE("P:"&amp;A756,"~","~~"),"*","~*"),"?","~?"))=1),(IF(ISNA(MATCH(SUBSTITUTE(SUBSTITUTE(SUBSTITUTE("P:"&amp;A756,"~","~~"),"*","~*"),"?","~?"),Processos!$AS$10:$AS$509,0)),9,INDEX(Processos!$AM$10:$AM$509,MATCH(SUBSTITUTE(SUBSTITUTE(SUBSTITUTE("P:"&amp;A756,"~","~~"),"*","~*"),"?","~?"),Processos!$AS$10:$AS$509,0)))-9),0)</f>
        <v>0</v>
      </c>
      <c r="K756" s="34" t="str">
        <f t="shared" si="47"/>
        <v/>
      </c>
      <c r="L756" s="14">
        <f>ROW()</f>
        <v>756</v>
      </c>
    </row>
    <row r="757" spans="1:12" ht="60" customHeight="1">
      <c r="A757" s="41"/>
      <c r="B757" s="43"/>
      <c r="C757" s="44"/>
      <c r="D757" s="51"/>
      <c r="E757" s="44"/>
      <c r="F757" s="44"/>
      <c r="G757" s="34">
        <f t="shared" si="44"/>
        <v>0</v>
      </c>
      <c r="H757" s="34" t="str">
        <f t="shared" si="45"/>
        <v/>
      </c>
      <c r="I757" s="52" t="str">
        <f t="shared" si="46"/>
        <v/>
      </c>
      <c r="J757" s="34">
        <f>IF(AND(A757&lt;&gt;"",ISTEXT(A757),COUNTIFS(Processos!$AS$10:$AS$509,"="&amp;SUBSTITUTE(SUBSTITUTE(SUBSTITUTE("P:"&amp;A757,"~","~~"),"*","~*"),"?","~?"))=1),(IF(ISNA(MATCH(SUBSTITUTE(SUBSTITUTE(SUBSTITUTE("P:"&amp;A757,"~","~~"),"*","~*"),"?","~?"),Processos!$AS$10:$AS$509,0)),9,INDEX(Processos!$AM$10:$AM$509,MATCH(SUBSTITUTE(SUBSTITUTE(SUBSTITUTE("P:"&amp;A757,"~","~~"),"*","~*"),"?","~?"),Processos!$AS$10:$AS$509,0)))-9),0)</f>
        <v>0</v>
      </c>
      <c r="K757" s="34" t="str">
        <f t="shared" si="47"/>
        <v/>
      </c>
      <c r="L757" s="14">
        <f>ROW()</f>
        <v>757</v>
      </c>
    </row>
    <row r="758" spans="1:12" ht="60" customHeight="1">
      <c r="A758" s="41"/>
      <c r="B758" s="43"/>
      <c r="C758" s="44"/>
      <c r="D758" s="51"/>
      <c r="E758" s="44"/>
      <c r="F758" s="44"/>
      <c r="G758" s="34">
        <f t="shared" si="44"/>
        <v>0</v>
      </c>
      <c r="H758" s="34" t="str">
        <f t="shared" si="45"/>
        <v/>
      </c>
      <c r="I758" s="52" t="str">
        <f t="shared" si="46"/>
        <v/>
      </c>
      <c r="J758" s="34">
        <f>IF(AND(A758&lt;&gt;"",ISTEXT(A758),COUNTIFS(Processos!$AS$10:$AS$509,"="&amp;SUBSTITUTE(SUBSTITUTE(SUBSTITUTE("P:"&amp;A758,"~","~~"),"*","~*"),"?","~?"))=1),(IF(ISNA(MATCH(SUBSTITUTE(SUBSTITUTE(SUBSTITUTE("P:"&amp;A758,"~","~~"),"*","~*"),"?","~?"),Processos!$AS$10:$AS$509,0)),9,INDEX(Processos!$AM$10:$AM$509,MATCH(SUBSTITUTE(SUBSTITUTE(SUBSTITUTE("P:"&amp;A758,"~","~~"),"*","~*"),"?","~?"),Processos!$AS$10:$AS$509,0)))-9),0)</f>
        <v>0</v>
      </c>
      <c r="K758" s="34" t="str">
        <f t="shared" si="47"/>
        <v/>
      </c>
      <c r="L758" s="14">
        <f>ROW()</f>
        <v>758</v>
      </c>
    </row>
    <row r="759" spans="1:12" ht="60" customHeight="1">
      <c r="A759" s="41"/>
      <c r="B759" s="43"/>
      <c r="C759" s="44"/>
      <c r="D759" s="51"/>
      <c r="E759" s="44"/>
      <c r="F759" s="44"/>
      <c r="G759" s="34">
        <f t="shared" si="44"/>
        <v>0</v>
      </c>
      <c r="H759" s="34" t="str">
        <f t="shared" si="45"/>
        <v/>
      </c>
      <c r="I759" s="52" t="str">
        <f t="shared" si="46"/>
        <v/>
      </c>
      <c r="J759" s="34">
        <f>IF(AND(A759&lt;&gt;"",ISTEXT(A759),COUNTIFS(Processos!$AS$10:$AS$509,"="&amp;SUBSTITUTE(SUBSTITUTE(SUBSTITUTE("P:"&amp;A759,"~","~~"),"*","~*"),"?","~?"))=1),(IF(ISNA(MATCH(SUBSTITUTE(SUBSTITUTE(SUBSTITUTE("P:"&amp;A759,"~","~~"),"*","~*"),"?","~?"),Processos!$AS$10:$AS$509,0)),9,INDEX(Processos!$AM$10:$AM$509,MATCH(SUBSTITUTE(SUBSTITUTE(SUBSTITUTE("P:"&amp;A759,"~","~~"),"*","~*"),"?","~?"),Processos!$AS$10:$AS$509,0)))-9),0)</f>
        <v>0</v>
      </c>
      <c r="K759" s="34" t="str">
        <f t="shared" si="47"/>
        <v/>
      </c>
      <c r="L759" s="14">
        <f>ROW()</f>
        <v>759</v>
      </c>
    </row>
    <row r="760" spans="1:12" ht="60" customHeight="1">
      <c r="A760" s="41"/>
      <c r="B760" s="43"/>
      <c r="C760" s="44"/>
      <c r="D760" s="51"/>
      <c r="E760" s="44"/>
      <c r="F760" s="44"/>
      <c r="G760" s="34">
        <f t="shared" si="44"/>
        <v>0</v>
      </c>
      <c r="H760" s="34" t="str">
        <f t="shared" si="45"/>
        <v/>
      </c>
      <c r="I760" s="52" t="str">
        <f t="shared" si="46"/>
        <v/>
      </c>
      <c r="J760" s="34">
        <f>IF(AND(A760&lt;&gt;"",ISTEXT(A760),COUNTIFS(Processos!$AS$10:$AS$509,"="&amp;SUBSTITUTE(SUBSTITUTE(SUBSTITUTE("P:"&amp;A760,"~","~~"),"*","~*"),"?","~?"))=1),(IF(ISNA(MATCH(SUBSTITUTE(SUBSTITUTE(SUBSTITUTE("P:"&amp;A760,"~","~~"),"*","~*"),"?","~?"),Processos!$AS$10:$AS$509,0)),9,INDEX(Processos!$AM$10:$AM$509,MATCH(SUBSTITUTE(SUBSTITUTE(SUBSTITUTE("P:"&amp;A760,"~","~~"),"*","~*"),"?","~?"),Processos!$AS$10:$AS$509,0)))-9),0)</f>
        <v>0</v>
      </c>
      <c r="K760" s="34" t="str">
        <f t="shared" si="47"/>
        <v/>
      </c>
      <c r="L760" s="14">
        <f>ROW()</f>
        <v>760</v>
      </c>
    </row>
    <row r="761" spans="1:12" ht="60" customHeight="1">
      <c r="A761" s="41"/>
      <c r="B761" s="43"/>
      <c r="C761" s="44"/>
      <c r="D761" s="51"/>
      <c r="E761" s="44"/>
      <c r="F761" s="44"/>
      <c r="G761" s="34">
        <f t="shared" si="44"/>
        <v>0</v>
      </c>
      <c r="H761" s="34" t="str">
        <f t="shared" si="45"/>
        <v/>
      </c>
      <c r="I761" s="52" t="str">
        <f t="shared" si="46"/>
        <v/>
      </c>
      <c r="J761" s="34">
        <f>IF(AND(A761&lt;&gt;"",ISTEXT(A761),COUNTIFS(Processos!$AS$10:$AS$509,"="&amp;SUBSTITUTE(SUBSTITUTE(SUBSTITUTE("P:"&amp;A761,"~","~~"),"*","~*"),"?","~?"))=1),(IF(ISNA(MATCH(SUBSTITUTE(SUBSTITUTE(SUBSTITUTE("P:"&amp;A761,"~","~~"),"*","~*"),"?","~?"),Processos!$AS$10:$AS$509,0)),9,INDEX(Processos!$AM$10:$AM$509,MATCH(SUBSTITUTE(SUBSTITUTE(SUBSTITUTE("P:"&amp;A761,"~","~~"),"*","~*"),"?","~?"),Processos!$AS$10:$AS$509,0)))-9),0)</f>
        <v>0</v>
      </c>
      <c r="K761" s="34" t="str">
        <f t="shared" si="47"/>
        <v/>
      </c>
      <c r="L761" s="14">
        <f>ROW()</f>
        <v>761</v>
      </c>
    </row>
    <row r="762" spans="1:12" ht="60" customHeight="1">
      <c r="A762" s="41"/>
      <c r="B762" s="43"/>
      <c r="C762" s="44"/>
      <c r="D762" s="51"/>
      <c r="E762" s="44"/>
      <c r="F762" s="44"/>
      <c r="G762" s="34">
        <f t="shared" si="44"/>
        <v>0</v>
      </c>
      <c r="H762" s="34" t="str">
        <f t="shared" si="45"/>
        <v/>
      </c>
      <c r="I762" s="52" t="str">
        <f t="shared" si="46"/>
        <v/>
      </c>
      <c r="J762" s="34">
        <f>IF(AND(A762&lt;&gt;"",ISTEXT(A762),COUNTIFS(Processos!$AS$10:$AS$509,"="&amp;SUBSTITUTE(SUBSTITUTE(SUBSTITUTE("P:"&amp;A762,"~","~~"),"*","~*"),"?","~?"))=1),(IF(ISNA(MATCH(SUBSTITUTE(SUBSTITUTE(SUBSTITUTE("P:"&amp;A762,"~","~~"),"*","~*"),"?","~?"),Processos!$AS$10:$AS$509,0)),9,INDEX(Processos!$AM$10:$AM$509,MATCH(SUBSTITUTE(SUBSTITUTE(SUBSTITUTE("P:"&amp;A762,"~","~~"),"*","~*"),"?","~?"),Processos!$AS$10:$AS$509,0)))-9),0)</f>
        <v>0</v>
      </c>
      <c r="K762" s="34" t="str">
        <f t="shared" si="47"/>
        <v/>
      </c>
      <c r="L762" s="14">
        <f>ROW()</f>
        <v>762</v>
      </c>
    </row>
    <row r="763" spans="1:12" ht="60" customHeight="1">
      <c r="A763" s="41"/>
      <c r="B763" s="43"/>
      <c r="C763" s="44"/>
      <c r="D763" s="51"/>
      <c r="E763" s="44"/>
      <c r="F763" s="44"/>
      <c r="G763" s="34">
        <f t="shared" si="44"/>
        <v>0</v>
      </c>
      <c r="H763" s="34" t="str">
        <f t="shared" si="45"/>
        <v/>
      </c>
      <c r="I763" s="52" t="str">
        <f t="shared" si="46"/>
        <v/>
      </c>
      <c r="J763" s="34">
        <f>IF(AND(A763&lt;&gt;"",ISTEXT(A763),COUNTIFS(Processos!$AS$10:$AS$509,"="&amp;SUBSTITUTE(SUBSTITUTE(SUBSTITUTE("P:"&amp;A763,"~","~~"),"*","~*"),"?","~?"))=1),(IF(ISNA(MATCH(SUBSTITUTE(SUBSTITUTE(SUBSTITUTE("P:"&amp;A763,"~","~~"),"*","~*"),"?","~?"),Processos!$AS$10:$AS$509,0)),9,INDEX(Processos!$AM$10:$AM$509,MATCH(SUBSTITUTE(SUBSTITUTE(SUBSTITUTE("P:"&amp;A763,"~","~~"),"*","~*"),"?","~?"),Processos!$AS$10:$AS$509,0)))-9),0)</f>
        <v>0</v>
      </c>
      <c r="K763" s="34" t="str">
        <f t="shared" si="47"/>
        <v/>
      </c>
      <c r="L763" s="14">
        <f>ROW()</f>
        <v>763</v>
      </c>
    </row>
    <row r="764" spans="1:12" ht="60" customHeight="1">
      <c r="A764" s="41"/>
      <c r="B764" s="43"/>
      <c r="C764" s="44"/>
      <c r="D764" s="51"/>
      <c r="E764" s="44"/>
      <c r="F764" s="44"/>
      <c r="G764" s="34">
        <f t="shared" si="44"/>
        <v>0</v>
      </c>
      <c r="H764" s="34" t="str">
        <f t="shared" si="45"/>
        <v/>
      </c>
      <c r="I764" s="52" t="str">
        <f t="shared" si="46"/>
        <v/>
      </c>
      <c r="J764" s="34">
        <f>IF(AND(A764&lt;&gt;"",ISTEXT(A764),COUNTIFS(Processos!$AS$10:$AS$509,"="&amp;SUBSTITUTE(SUBSTITUTE(SUBSTITUTE("P:"&amp;A764,"~","~~"),"*","~*"),"?","~?"))=1),(IF(ISNA(MATCH(SUBSTITUTE(SUBSTITUTE(SUBSTITUTE("P:"&amp;A764,"~","~~"),"*","~*"),"?","~?"),Processos!$AS$10:$AS$509,0)),9,INDEX(Processos!$AM$10:$AM$509,MATCH(SUBSTITUTE(SUBSTITUTE(SUBSTITUTE("P:"&amp;A764,"~","~~"),"*","~*"),"?","~?"),Processos!$AS$10:$AS$509,0)))-9),0)</f>
        <v>0</v>
      </c>
      <c r="K764" s="34" t="str">
        <f t="shared" si="47"/>
        <v/>
      </c>
      <c r="L764" s="14">
        <f>ROW()</f>
        <v>764</v>
      </c>
    </row>
    <row r="765" spans="1:12" ht="60" customHeight="1">
      <c r="A765" s="41"/>
      <c r="B765" s="43"/>
      <c r="C765" s="44"/>
      <c r="D765" s="51"/>
      <c r="E765" s="44"/>
      <c r="F765" s="44"/>
      <c r="G765" s="34">
        <f t="shared" si="44"/>
        <v>0</v>
      </c>
      <c r="H765" s="34" t="str">
        <f t="shared" si="45"/>
        <v/>
      </c>
      <c r="I765" s="52" t="str">
        <f t="shared" si="46"/>
        <v/>
      </c>
      <c r="J765" s="34">
        <f>IF(AND(A765&lt;&gt;"",ISTEXT(A765),COUNTIFS(Processos!$AS$10:$AS$509,"="&amp;SUBSTITUTE(SUBSTITUTE(SUBSTITUTE("P:"&amp;A765,"~","~~"),"*","~*"),"?","~?"))=1),(IF(ISNA(MATCH(SUBSTITUTE(SUBSTITUTE(SUBSTITUTE("P:"&amp;A765,"~","~~"),"*","~*"),"?","~?"),Processos!$AS$10:$AS$509,0)),9,INDEX(Processos!$AM$10:$AM$509,MATCH(SUBSTITUTE(SUBSTITUTE(SUBSTITUTE("P:"&amp;A765,"~","~~"),"*","~*"),"?","~?"),Processos!$AS$10:$AS$509,0)))-9),0)</f>
        <v>0</v>
      </c>
      <c r="K765" s="34" t="str">
        <f t="shared" si="47"/>
        <v/>
      </c>
      <c r="L765" s="14">
        <f>ROW()</f>
        <v>765</v>
      </c>
    </row>
    <row r="766" spans="1:12" ht="60" customHeight="1">
      <c r="A766" s="41"/>
      <c r="B766" s="43"/>
      <c r="C766" s="44"/>
      <c r="D766" s="51"/>
      <c r="E766" s="44"/>
      <c r="F766" s="44"/>
      <c r="G766" s="34">
        <f t="shared" si="44"/>
        <v>0</v>
      </c>
      <c r="H766" s="34" t="str">
        <f t="shared" si="45"/>
        <v/>
      </c>
      <c r="I766" s="52" t="str">
        <f t="shared" si="46"/>
        <v/>
      </c>
      <c r="J766" s="34">
        <f>IF(AND(A766&lt;&gt;"",ISTEXT(A766),COUNTIFS(Processos!$AS$10:$AS$509,"="&amp;SUBSTITUTE(SUBSTITUTE(SUBSTITUTE("P:"&amp;A766,"~","~~"),"*","~*"),"?","~?"))=1),(IF(ISNA(MATCH(SUBSTITUTE(SUBSTITUTE(SUBSTITUTE("P:"&amp;A766,"~","~~"),"*","~*"),"?","~?"),Processos!$AS$10:$AS$509,0)),9,INDEX(Processos!$AM$10:$AM$509,MATCH(SUBSTITUTE(SUBSTITUTE(SUBSTITUTE("P:"&amp;A766,"~","~~"),"*","~*"),"?","~?"),Processos!$AS$10:$AS$509,0)))-9),0)</f>
        <v>0</v>
      </c>
      <c r="K766" s="34" t="str">
        <f t="shared" si="47"/>
        <v/>
      </c>
      <c r="L766" s="14">
        <f>ROW()</f>
        <v>766</v>
      </c>
    </row>
    <row r="767" spans="1:12" ht="60" customHeight="1">
      <c r="A767" s="41"/>
      <c r="B767" s="43"/>
      <c r="C767" s="44"/>
      <c r="D767" s="51"/>
      <c r="E767" s="44"/>
      <c r="F767" s="44"/>
      <c r="G767" s="34">
        <f t="shared" si="44"/>
        <v>0</v>
      </c>
      <c r="H767" s="34" t="str">
        <f t="shared" si="45"/>
        <v/>
      </c>
      <c r="I767" s="52" t="str">
        <f t="shared" si="46"/>
        <v/>
      </c>
      <c r="J767" s="34">
        <f>IF(AND(A767&lt;&gt;"",ISTEXT(A767),COUNTIFS(Processos!$AS$10:$AS$509,"="&amp;SUBSTITUTE(SUBSTITUTE(SUBSTITUTE("P:"&amp;A767,"~","~~"),"*","~*"),"?","~?"))=1),(IF(ISNA(MATCH(SUBSTITUTE(SUBSTITUTE(SUBSTITUTE("P:"&amp;A767,"~","~~"),"*","~*"),"?","~?"),Processos!$AS$10:$AS$509,0)),9,INDEX(Processos!$AM$10:$AM$509,MATCH(SUBSTITUTE(SUBSTITUTE(SUBSTITUTE("P:"&amp;A767,"~","~~"),"*","~*"),"?","~?"),Processos!$AS$10:$AS$509,0)))-9),0)</f>
        <v>0</v>
      </c>
      <c r="K767" s="34" t="str">
        <f t="shared" si="47"/>
        <v/>
      </c>
      <c r="L767" s="14">
        <f>ROW()</f>
        <v>767</v>
      </c>
    </row>
    <row r="768" spans="1:12" ht="60" customHeight="1">
      <c r="A768" s="41"/>
      <c r="B768" s="43"/>
      <c r="C768" s="44"/>
      <c r="D768" s="51"/>
      <c r="E768" s="44"/>
      <c r="F768" s="44"/>
      <c r="G768" s="34">
        <f t="shared" si="44"/>
        <v>0</v>
      </c>
      <c r="H768" s="34" t="str">
        <f t="shared" si="45"/>
        <v/>
      </c>
      <c r="I768" s="52" t="str">
        <f t="shared" si="46"/>
        <v/>
      </c>
      <c r="J768" s="34">
        <f>IF(AND(A768&lt;&gt;"",ISTEXT(A768),COUNTIFS(Processos!$AS$10:$AS$509,"="&amp;SUBSTITUTE(SUBSTITUTE(SUBSTITUTE("P:"&amp;A768,"~","~~"),"*","~*"),"?","~?"))=1),(IF(ISNA(MATCH(SUBSTITUTE(SUBSTITUTE(SUBSTITUTE("P:"&amp;A768,"~","~~"),"*","~*"),"?","~?"),Processos!$AS$10:$AS$509,0)),9,INDEX(Processos!$AM$10:$AM$509,MATCH(SUBSTITUTE(SUBSTITUTE(SUBSTITUTE("P:"&amp;A768,"~","~~"),"*","~*"),"?","~?"),Processos!$AS$10:$AS$509,0)))-9),0)</f>
        <v>0</v>
      </c>
      <c r="K768" s="34" t="str">
        <f t="shared" si="47"/>
        <v/>
      </c>
      <c r="L768" s="14">
        <f>ROW()</f>
        <v>768</v>
      </c>
    </row>
    <row r="769" spans="1:12" ht="60" customHeight="1">
      <c r="A769" s="41"/>
      <c r="B769" s="43"/>
      <c r="C769" s="44"/>
      <c r="D769" s="51"/>
      <c r="E769" s="44"/>
      <c r="F769" s="44"/>
      <c r="G769" s="34">
        <f t="shared" si="44"/>
        <v>0</v>
      </c>
      <c r="H769" s="34" t="str">
        <f t="shared" si="45"/>
        <v/>
      </c>
      <c r="I769" s="52" t="str">
        <f t="shared" si="46"/>
        <v/>
      </c>
      <c r="J769" s="34">
        <f>IF(AND(A769&lt;&gt;"",ISTEXT(A769),COUNTIFS(Processos!$AS$10:$AS$509,"="&amp;SUBSTITUTE(SUBSTITUTE(SUBSTITUTE("P:"&amp;A769,"~","~~"),"*","~*"),"?","~?"))=1),(IF(ISNA(MATCH(SUBSTITUTE(SUBSTITUTE(SUBSTITUTE("P:"&amp;A769,"~","~~"),"*","~*"),"?","~?"),Processos!$AS$10:$AS$509,0)),9,INDEX(Processos!$AM$10:$AM$509,MATCH(SUBSTITUTE(SUBSTITUTE(SUBSTITUTE("P:"&amp;A769,"~","~~"),"*","~*"),"?","~?"),Processos!$AS$10:$AS$509,0)))-9),0)</f>
        <v>0</v>
      </c>
      <c r="K769" s="34" t="str">
        <f t="shared" si="47"/>
        <v/>
      </c>
      <c r="L769" s="14">
        <f>ROW()</f>
        <v>769</v>
      </c>
    </row>
    <row r="770" spans="1:12" ht="60" customHeight="1">
      <c r="A770" s="41"/>
      <c r="B770" s="43"/>
      <c r="C770" s="44"/>
      <c r="D770" s="51"/>
      <c r="E770" s="44"/>
      <c r="F770" s="44"/>
      <c r="G770" s="34">
        <f t="shared" si="44"/>
        <v>0</v>
      </c>
      <c r="H770" s="34" t="str">
        <f t="shared" si="45"/>
        <v/>
      </c>
      <c r="I770" s="52" t="str">
        <f t="shared" si="46"/>
        <v/>
      </c>
      <c r="J770" s="34">
        <f>IF(AND(A770&lt;&gt;"",ISTEXT(A770),COUNTIFS(Processos!$AS$10:$AS$509,"="&amp;SUBSTITUTE(SUBSTITUTE(SUBSTITUTE("P:"&amp;A770,"~","~~"),"*","~*"),"?","~?"))=1),(IF(ISNA(MATCH(SUBSTITUTE(SUBSTITUTE(SUBSTITUTE("P:"&amp;A770,"~","~~"),"*","~*"),"?","~?"),Processos!$AS$10:$AS$509,0)),9,INDEX(Processos!$AM$10:$AM$509,MATCH(SUBSTITUTE(SUBSTITUTE(SUBSTITUTE("P:"&amp;A770,"~","~~"),"*","~*"),"?","~?"),Processos!$AS$10:$AS$509,0)))-9),0)</f>
        <v>0</v>
      </c>
      <c r="K770" s="34" t="str">
        <f t="shared" si="47"/>
        <v/>
      </c>
      <c r="L770" s="14">
        <f>ROW()</f>
        <v>770</v>
      </c>
    </row>
    <row r="771" spans="1:12" ht="60" customHeight="1">
      <c r="A771" s="41"/>
      <c r="B771" s="43"/>
      <c r="C771" s="44"/>
      <c r="D771" s="51"/>
      <c r="E771" s="44"/>
      <c r="F771" s="44"/>
      <c r="G771" s="34">
        <f t="shared" si="44"/>
        <v>0</v>
      </c>
      <c r="H771" s="34" t="str">
        <f t="shared" si="45"/>
        <v/>
      </c>
      <c r="I771" s="52" t="str">
        <f t="shared" si="46"/>
        <v/>
      </c>
      <c r="J771" s="34">
        <f>IF(AND(A771&lt;&gt;"",ISTEXT(A771),COUNTIFS(Processos!$AS$10:$AS$509,"="&amp;SUBSTITUTE(SUBSTITUTE(SUBSTITUTE("P:"&amp;A771,"~","~~"),"*","~*"),"?","~?"))=1),(IF(ISNA(MATCH(SUBSTITUTE(SUBSTITUTE(SUBSTITUTE("P:"&amp;A771,"~","~~"),"*","~*"),"?","~?"),Processos!$AS$10:$AS$509,0)),9,INDEX(Processos!$AM$10:$AM$509,MATCH(SUBSTITUTE(SUBSTITUTE(SUBSTITUTE("P:"&amp;A771,"~","~~"),"*","~*"),"?","~?"),Processos!$AS$10:$AS$509,0)))-9),0)</f>
        <v>0</v>
      </c>
      <c r="K771" s="34" t="str">
        <f t="shared" si="47"/>
        <v/>
      </c>
      <c r="L771" s="14">
        <f>ROW()</f>
        <v>771</v>
      </c>
    </row>
    <row r="772" spans="1:12" ht="60" customHeight="1">
      <c r="A772" s="41"/>
      <c r="B772" s="43"/>
      <c r="C772" s="44"/>
      <c r="D772" s="51"/>
      <c r="E772" s="44"/>
      <c r="F772" s="44"/>
      <c r="G772" s="34">
        <f t="shared" si="44"/>
        <v>0</v>
      </c>
      <c r="H772" s="34" t="str">
        <f t="shared" si="45"/>
        <v/>
      </c>
      <c r="I772" s="52" t="str">
        <f t="shared" si="46"/>
        <v/>
      </c>
      <c r="J772" s="34">
        <f>IF(AND(A772&lt;&gt;"",ISTEXT(A772),COUNTIFS(Processos!$AS$10:$AS$509,"="&amp;SUBSTITUTE(SUBSTITUTE(SUBSTITUTE("P:"&amp;A772,"~","~~"),"*","~*"),"?","~?"))=1),(IF(ISNA(MATCH(SUBSTITUTE(SUBSTITUTE(SUBSTITUTE("P:"&amp;A772,"~","~~"),"*","~*"),"?","~?"),Processos!$AS$10:$AS$509,0)),9,INDEX(Processos!$AM$10:$AM$509,MATCH(SUBSTITUTE(SUBSTITUTE(SUBSTITUTE("P:"&amp;A772,"~","~~"),"*","~*"),"?","~?"),Processos!$AS$10:$AS$509,0)))-9),0)</f>
        <v>0</v>
      </c>
      <c r="K772" s="34" t="str">
        <f t="shared" si="47"/>
        <v/>
      </c>
      <c r="L772" s="14">
        <f>ROW()</f>
        <v>772</v>
      </c>
    </row>
    <row r="773" spans="1:12" ht="60" customHeight="1">
      <c r="A773" s="41"/>
      <c r="B773" s="43"/>
      <c r="C773" s="44"/>
      <c r="D773" s="51"/>
      <c r="E773" s="44"/>
      <c r="F773" s="44"/>
      <c r="G773" s="34">
        <f t="shared" si="44"/>
        <v>0</v>
      </c>
      <c r="H773" s="34" t="str">
        <f t="shared" si="45"/>
        <v/>
      </c>
      <c r="I773" s="52" t="str">
        <f t="shared" si="46"/>
        <v/>
      </c>
      <c r="J773" s="34">
        <f>IF(AND(A773&lt;&gt;"",ISTEXT(A773),COUNTIFS(Processos!$AS$10:$AS$509,"="&amp;SUBSTITUTE(SUBSTITUTE(SUBSTITUTE("P:"&amp;A773,"~","~~"),"*","~*"),"?","~?"))=1),(IF(ISNA(MATCH(SUBSTITUTE(SUBSTITUTE(SUBSTITUTE("P:"&amp;A773,"~","~~"),"*","~*"),"?","~?"),Processos!$AS$10:$AS$509,0)),9,INDEX(Processos!$AM$10:$AM$509,MATCH(SUBSTITUTE(SUBSTITUTE(SUBSTITUTE("P:"&amp;A773,"~","~~"),"*","~*"),"?","~?"),Processos!$AS$10:$AS$509,0)))-9),0)</f>
        <v>0</v>
      </c>
      <c r="K773" s="34" t="str">
        <f t="shared" si="47"/>
        <v/>
      </c>
      <c r="L773" s="14">
        <f>ROW()</f>
        <v>773</v>
      </c>
    </row>
    <row r="774" spans="1:12" ht="60" customHeight="1">
      <c r="A774" s="41"/>
      <c r="B774" s="43"/>
      <c r="C774" s="44"/>
      <c r="D774" s="51"/>
      <c r="E774" s="44"/>
      <c r="F774" s="44"/>
      <c r="G774" s="34">
        <f t="shared" si="44"/>
        <v>0</v>
      </c>
      <c r="H774" s="34" t="str">
        <f t="shared" si="45"/>
        <v/>
      </c>
      <c r="I774" s="52" t="str">
        <f t="shared" si="46"/>
        <v/>
      </c>
      <c r="J774" s="34">
        <f>IF(AND(A774&lt;&gt;"",ISTEXT(A774),COUNTIFS(Processos!$AS$10:$AS$509,"="&amp;SUBSTITUTE(SUBSTITUTE(SUBSTITUTE("P:"&amp;A774,"~","~~"),"*","~*"),"?","~?"))=1),(IF(ISNA(MATCH(SUBSTITUTE(SUBSTITUTE(SUBSTITUTE("P:"&amp;A774,"~","~~"),"*","~*"),"?","~?"),Processos!$AS$10:$AS$509,0)),9,INDEX(Processos!$AM$10:$AM$509,MATCH(SUBSTITUTE(SUBSTITUTE(SUBSTITUTE("P:"&amp;A774,"~","~~"),"*","~*"),"?","~?"),Processos!$AS$10:$AS$509,0)))-9),0)</f>
        <v>0</v>
      </c>
      <c r="K774" s="34" t="str">
        <f t="shared" si="47"/>
        <v/>
      </c>
      <c r="L774" s="14">
        <f>ROW()</f>
        <v>774</v>
      </c>
    </row>
    <row r="775" spans="1:12" ht="60" customHeight="1">
      <c r="A775" s="41"/>
      <c r="B775" s="43"/>
      <c r="C775" s="44"/>
      <c r="D775" s="51"/>
      <c r="E775" s="44"/>
      <c r="F775" s="44"/>
      <c r="G775" s="34">
        <f t="shared" si="44"/>
        <v>0</v>
      </c>
      <c r="H775" s="34" t="str">
        <f t="shared" si="45"/>
        <v/>
      </c>
      <c r="I775" s="52" t="str">
        <f t="shared" si="46"/>
        <v/>
      </c>
      <c r="J775" s="34">
        <f>IF(AND(A775&lt;&gt;"",ISTEXT(A775),COUNTIFS(Processos!$AS$10:$AS$509,"="&amp;SUBSTITUTE(SUBSTITUTE(SUBSTITUTE("P:"&amp;A775,"~","~~"),"*","~*"),"?","~?"))=1),(IF(ISNA(MATCH(SUBSTITUTE(SUBSTITUTE(SUBSTITUTE("P:"&amp;A775,"~","~~"),"*","~*"),"?","~?"),Processos!$AS$10:$AS$509,0)),9,INDEX(Processos!$AM$10:$AM$509,MATCH(SUBSTITUTE(SUBSTITUTE(SUBSTITUTE("P:"&amp;A775,"~","~~"),"*","~*"),"?","~?"),Processos!$AS$10:$AS$509,0)))-9),0)</f>
        <v>0</v>
      </c>
      <c r="K775" s="34" t="str">
        <f t="shared" si="47"/>
        <v/>
      </c>
      <c r="L775" s="14">
        <f>ROW()</f>
        <v>775</v>
      </c>
    </row>
    <row r="776" spans="1:12" ht="60" customHeight="1">
      <c r="A776" s="41"/>
      <c r="B776" s="43"/>
      <c r="C776" s="44"/>
      <c r="D776" s="51"/>
      <c r="E776" s="44"/>
      <c r="F776" s="44"/>
      <c r="G776" s="34">
        <f t="shared" si="44"/>
        <v>0</v>
      </c>
      <c r="H776" s="34" t="str">
        <f t="shared" si="45"/>
        <v/>
      </c>
      <c r="I776" s="52" t="str">
        <f t="shared" si="46"/>
        <v/>
      </c>
      <c r="J776" s="34">
        <f>IF(AND(A776&lt;&gt;"",ISTEXT(A776),COUNTIFS(Processos!$AS$10:$AS$509,"="&amp;SUBSTITUTE(SUBSTITUTE(SUBSTITUTE("P:"&amp;A776,"~","~~"),"*","~*"),"?","~?"))=1),(IF(ISNA(MATCH(SUBSTITUTE(SUBSTITUTE(SUBSTITUTE("P:"&amp;A776,"~","~~"),"*","~*"),"?","~?"),Processos!$AS$10:$AS$509,0)),9,INDEX(Processos!$AM$10:$AM$509,MATCH(SUBSTITUTE(SUBSTITUTE(SUBSTITUTE("P:"&amp;A776,"~","~~"),"*","~*"),"?","~?"),Processos!$AS$10:$AS$509,0)))-9),0)</f>
        <v>0</v>
      </c>
      <c r="K776" s="34" t="str">
        <f t="shared" si="47"/>
        <v/>
      </c>
      <c r="L776" s="14">
        <f>ROW()</f>
        <v>776</v>
      </c>
    </row>
    <row r="777" spans="1:12" ht="60" customHeight="1">
      <c r="A777" s="41"/>
      <c r="B777" s="43"/>
      <c r="C777" s="44"/>
      <c r="D777" s="51"/>
      <c r="E777" s="44"/>
      <c r="F777" s="44"/>
      <c r="G777" s="34">
        <f t="shared" si="44"/>
        <v>0</v>
      </c>
      <c r="H777" s="34" t="str">
        <f t="shared" si="45"/>
        <v/>
      </c>
      <c r="I777" s="52" t="str">
        <f t="shared" si="46"/>
        <v/>
      </c>
      <c r="J777" s="34">
        <f>IF(AND(A777&lt;&gt;"",ISTEXT(A777),COUNTIFS(Processos!$AS$10:$AS$509,"="&amp;SUBSTITUTE(SUBSTITUTE(SUBSTITUTE("P:"&amp;A777,"~","~~"),"*","~*"),"?","~?"))=1),(IF(ISNA(MATCH(SUBSTITUTE(SUBSTITUTE(SUBSTITUTE("P:"&amp;A777,"~","~~"),"*","~*"),"?","~?"),Processos!$AS$10:$AS$509,0)),9,INDEX(Processos!$AM$10:$AM$509,MATCH(SUBSTITUTE(SUBSTITUTE(SUBSTITUTE("P:"&amp;A777,"~","~~"),"*","~*"),"?","~?"),Processos!$AS$10:$AS$509,0)))-9),0)</f>
        <v>0</v>
      </c>
      <c r="K777" s="34" t="str">
        <f t="shared" si="47"/>
        <v/>
      </c>
      <c r="L777" s="14">
        <f>ROW()</f>
        <v>777</v>
      </c>
    </row>
    <row r="778" spans="1:12" ht="60" customHeight="1">
      <c r="A778" s="41"/>
      <c r="B778" s="43"/>
      <c r="C778" s="44"/>
      <c r="D778" s="51"/>
      <c r="E778" s="44"/>
      <c r="F778" s="44"/>
      <c r="G778" s="34">
        <f t="shared" ref="G778:G841" si="48">IF(AND(J778&gt;0,OR(B778="",AND(ISNUMBER(B778),B778&gt;=1,B778&lt;=100000)),ISNUMBER(D778),D778&gt;=1,D778&lt;=100000,C778&lt;&gt;""),1,0)</f>
        <v>0</v>
      </c>
      <c r="H778" s="34" t="str">
        <f t="shared" ref="H778:H841" si="49">IF(G778=1,K778&amp;"|"&amp;D778,"")</f>
        <v/>
      </c>
      <c r="I778" s="52" t="str">
        <f t="shared" ref="I778:I841" si="50">IF(COUNTA(A778:F778)=0,"",IF(A778="","Selecione o processo",IF(J778=0,"Processo inexistente, duplicado ou número não textual",IF(B778="","Informe a data do andamento",IF(C778="","Descreva o andamento",IF(D778="","Informe a data e hora do recebimento",IF(OR(NOT(ISNUMBER(B778)),B778&lt;1,B778&gt;100000),"Revise a data do andamento",IF(OR(NOT(ISNUMBER(D778)),D778&lt;1,D778&gt;100000),"Revise a data e hora do recebimento",IF(COUNTIFS($K$10:$K$2009,"="&amp;SUBSTITUTE(SUBSTITUTE(SUBSTITUTE("P:"&amp;A778,"~","~~"),"*","~*"),"?","~?"),$D$10:$D$2009,D778,$G$10:$G$2009,1)&gt;1,"Recebimentos empatados: revise a hora ou consolide o registro","")))))))))</f>
        <v/>
      </c>
      <c r="J778" s="34">
        <f>IF(AND(A778&lt;&gt;"",ISTEXT(A778),COUNTIFS(Processos!$AS$10:$AS$509,"="&amp;SUBSTITUTE(SUBSTITUTE(SUBSTITUTE("P:"&amp;A778,"~","~~"),"*","~*"),"?","~?"))=1),(IF(ISNA(MATCH(SUBSTITUTE(SUBSTITUTE(SUBSTITUTE("P:"&amp;A778,"~","~~"),"*","~*"),"?","~?"),Processos!$AS$10:$AS$509,0)),9,INDEX(Processos!$AM$10:$AM$509,MATCH(SUBSTITUTE(SUBSTITUTE(SUBSTITUTE("P:"&amp;A778,"~","~~"),"*","~*"),"?","~?"),Processos!$AS$10:$AS$509,0)))-9),0)</f>
        <v>0</v>
      </c>
      <c r="K778" s="34" t="str">
        <f t="shared" ref="K778:K841" si="51">IF(AND(A778&lt;&gt;"",ISTEXT(A778)),"P:"&amp;A778,"")</f>
        <v/>
      </c>
      <c r="L778" s="14">
        <f>ROW()</f>
        <v>778</v>
      </c>
    </row>
    <row r="779" spans="1:12" ht="60" customHeight="1">
      <c r="A779" s="41"/>
      <c r="B779" s="43"/>
      <c r="C779" s="44"/>
      <c r="D779" s="51"/>
      <c r="E779" s="44"/>
      <c r="F779" s="44"/>
      <c r="G779" s="34">
        <f t="shared" si="48"/>
        <v>0</v>
      </c>
      <c r="H779" s="34" t="str">
        <f t="shared" si="49"/>
        <v/>
      </c>
      <c r="I779" s="52" t="str">
        <f t="shared" si="50"/>
        <v/>
      </c>
      <c r="J779" s="34">
        <f>IF(AND(A779&lt;&gt;"",ISTEXT(A779),COUNTIFS(Processos!$AS$10:$AS$509,"="&amp;SUBSTITUTE(SUBSTITUTE(SUBSTITUTE("P:"&amp;A779,"~","~~"),"*","~*"),"?","~?"))=1),(IF(ISNA(MATCH(SUBSTITUTE(SUBSTITUTE(SUBSTITUTE("P:"&amp;A779,"~","~~"),"*","~*"),"?","~?"),Processos!$AS$10:$AS$509,0)),9,INDEX(Processos!$AM$10:$AM$509,MATCH(SUBSTITUTE(SUBSTITUTE(SUBSTITUTE("P:"&amp;A779,"~","~~"),"*","~*"),"?","~?"),Processos!$AS$10:$AS$509,0)))-9),0)</f>
        <v>0</v>
      </c>
      <c r="K779" s="34" t="str">
        <f t="shared" si="51"/>
        <v/>
      </c>
      <c r="L779" s="14">
        <f>ROW()</f>
        <v>779</v>
      </c>
    </row>
    <row r="780" spans="1:12" ht="60" customHeight="1">
      <c r="A780" s="41"/>
      <c r="B780" s="43"/>
      <c r="C780" s="44"/>
      <c r="D780" s="51"/>
      <c r="E780" s="44"/>
      <c r="F780" s="44"/>
      <c r="G780" s="34">
        <f t="shared" si="48"/>
        <v>0</v>
      </c>
      <c r="H780" s="34" t="str">
        <f t="shared" si="49"/>
        <v/>
      </c>
      <c r="I780" s="52" t="str">
        <f t="shared" si="50"/>
        <v/>
      </c>
      <c r="J780" s="34">
        <f>IF(AND(A780&lt;&gt;"",ISTEXT(A780),COUNTIFS(Processos!$AS$10:$AS$509,"="&amp;SUBSTITUTE(SUBSTITUTE(SUBSTITUTE("P:"&amp;A780,"~","~~"),"*","~*"),"?","~?"))=1),(IF(ISNA(MATCH(SUBSTITUTE(SUBSTITUTE(SUBSTITUTE("P:"&amp;A780,"~","~~"),"*","~*"),"?","~?"),Processos!$AS$10:$AS$509,0)),9,INDEX(Processos!$AM$10:$AM$509,MATCH(SUBSTITUTE(SUBSTITUTE(SUBSTITUTE("P:"&amp;A780,"~","~~"),"*","~*"),"?","~?"),Processos!$AS$10:$AS$509,0)))-9),0)</f>
        <v>0</v>
      </c>
      <c r="K780" s="34" t="str">
        <f t="shared" si="51"/>
        <v/>
      </c>
      <c r="L780" s="14">
        <f>ROW()</f>
        <v>780</v>
      </c>
    </row>
    <row r="781" spans="1:12" ht="60" customHeight="1">
      <c r="A781" s="41"/>
      <c r="B781" s="43"/>
      <c r="C781" s="44"/>
      <c r="D781" s="51"/>
      <c r="E781" s="44"/>
      <c r="F781" s="44"/>
      <c r="G781" s="34">
        <f t="shared" si="48"/>
        <v>0</v>
      </c>
      <c r="H781" s="34" t="str">
        <f t="shared" si="49"/>
        <v/>
      </c>
      <c r="I781" s="52" t="str">
        <f t="shared" si="50"/>
        <v/>
      </c>
      <c r="J781" s="34">
        <f>IF(AND(A781&lt;&gt;"",ISTEXT(A781),COUNTIFS(Processos!$AS$10:$AS$509,"="&amp;SUBSTITUTE(SUBSTITUTE(SUBSTITUTE("P:"&amp;A781,"~","~~"),"*","~*"),"?","~?"))=1),(IF(ISNA(MATCH(SUBSTITUTE(SUBSTITUTE(SUBSTITUTE("P:"&amp;A781,"~","~~"),"*","~*"),"?","~?"),Processos!$AS$10:$AS$509,0)),9,INDEX(Processos!$AM$10:$AM$509,MATCH(SUBSTITUTE(SUBSTITUTE(SUBSTITUTE("P:"&amp;A781,"~","~~"),"*","~*"),"?","~?"),Processos!$AS$10:$AS$509,0)))-9),0)</f>
        <v>0</v>
      </c>
      <c r="K781" s="34" t="str">
        <f t="shared" si="51"/>
        <v/>
      </c>
      <c r="L781" s="14">
        <f>ROW()</f>
        <v>781</v>
      </c>
    </row>
    <row r="782" spans="1:12" ht="60" customHeight="1">
      <c r="A782" s="41"/>
      <c r="B782" s="43"/>
      <c r="C782" s="44"/>
      <c r="D782" s="51"/>
      <c r="E782" s="44"/>
      <c r="F782" s="44"/>
      <c r="G782" s="34">
        <f t="shared" si="48"/>
        <v>0</v>
      </c>
      <c r="H782" s="34" t="str">
        <f t="shared" si="49"/>
        <v/>
      </c>
      <c r="I782" s="52" t="str">
        <f t="shared" si="50"/>
        <v/>
      </c>
      <c r="J782" s="34">
        <f>IF(AND(A782&lt;&gt;"",ISTEXT(A782),COUNTIFS(Processos!$AS$10:$AS$509,"="&amp;SUBSTITUTE(SUBSTITUTE(SUBSTITUTE("P:"&amp;A782,"~","~~"),"*","~*"),"?","~?"))=1),(IF(ISNA(MATCH(SUBSTITUTE(SUBSTITUTE(SUBSTITUTE("P:"&amp;A782,"~","~~"),"*","~*"),"?","~?"),Processos!$AS$10:$AS$509,0)),9,INDEX(Processos!$AM$10:$AM$509,MATCH(SUBSTITUTE(SUBSTITUTE(SUBSTITUTE("P:"&amp;A782,"~","~~"),"*","~*"),"?","~?"),Processos!$AS$10:$AS$509,0)))-9),0)</f>
        <v>0</v>
      </c>
      <c r="K782" s="34" t="str">
        <f t="shared" si="51"/>
        <v/>
      </c>
      <c r="L782" s="14">
        <f>ROW()</f>
        <v>782</v>
      </c>
    </row>
    <row r="783" spans="1:12" ht="60" customHeight="1">
      <c r="A783" s="41"/>
      <c r="B783" s="43"/>
      <c r="C783" s="44"/>
      <c r="D783" s="51"/>
      <c r="E783" s="44"/>
      <c r="F783" s="44"/>
      <c r="G783" s="34">
        <f t="shared" si="48"/>
        <v>0</v>
      </c>
      <c r="H783" s="34" t="str">
        <f t="shared" si="49"/>
        <v/>
      </c>
      <c r="I783" s="52" t="str">
        <f t="shared" si="50"/>
        <v/>
      </c>
      <c r="J783" s="34">
        <f>IF(AND(A783&lt;&gt;"",ISTEXT(A783),COUNTIFS(Processos!$AS$10:$AS$509,"="&amp;SUBSTITUTE(SUBSTITUTE(SUBSTITUTE("P:"&amp;A783,"~","~~"),"*","~*"),"?","~?"))=1),(IF(ISNA(MATCH(SUBSTITUTE(SUBSTITUTE(SUBSTITUTE("P:"&amp;A783,"~","~~"),"*","~*"),"?","~?"),Processos!$AS$10:$AS$509,0)),9,INDEX(Processos!$AM$10:$AM$509,MATCH(SUBSTITUTE(SUBSTITUTE(SUBSTITUTE("P:"&amp;A783,"~","~~"),"*","~*"),"?","~?"),Processos!$AS$10:$AS$509,0)))-9),0)</f>
        <v>0</v>
      </c>
      <c r="K783" s="34" t="str">
        <f t="shared" si="51"/>
        <v/>
      </c>
      <c r="L783" s="14">
        <f>ROW()</f>
        <v>783</v>
      </c>
    </row>
    <row r="784" spans="1:12" ht="60" customHeight="1">
      <c r="A784" s="41"/>
      <c r="B784" s="43"/>
      <c r="C784" s="44"/>
      <c r="D784" s="51"/>
      <c r="E784" s="44"/>
      <c r="F784" s="44"/>
      <c r="G784" s="34">
        <f t="shared" si="48"/>
        <v>0</v>
      </c>
      <c r="H784" s="34" t="str">
        <f t="shared" si="49"/>
        <v/>
      </c>
      <c r="I784" s="52" t="str">
        <f t="shared" si="50"/>
        <v/>
      </c>
      <c r="J784" s="34">
        <f>IF(AND(A784&lt;&gt;"",ISTEXT(A784),COUNTIFS(Processos!$AS$10:$AS$509,"="&amp;SUBSTITUTE(SUBSTITUTE(SUBSTITUTE("P:"&amp;A784,"~","~~"),"*","~*"),"?","~?"))=1),(IF(ISNA(MATCH(SUBSTITUTE(SUBSTITUTE(SUBSTITUTE("P:"&amp;A784,"~","~~"),"*","~*"),"?","~?"),Processos!$AS$10:$AS$509,0)),9,INDEX(Processos!$AM$10:$AM$509,MATCH(SUBSTITUTE(SUBSTITUTE(SUBSTITUTE("P:"&amp;A784,"~","~~"),"*","~*"),"?","~?"),Processos!$AS$10:$AS$509,0)))-9),0)</f>
        <v>0</v>
      </c>
      <c r="K784" s="34" t="str">
        <f t="shared" si="51"/>
        <v/>
      </c>
      <c r="L784" s="14">
        <f>ROW()</f>
        <v>784</v>
      </c>
    </row>
    <row r="785" spans="1:12" ht="60" customHeight="1">
      <c r="A785" s="41"/>
      <c r="B785" s="43"/>
      <c r="C785" s="44"/>
      <c r="D785" s="51"/>
      <c r="E785" s="44"/>
      <c r="F785" s="44"/>
      <c r="G785" s="34">
        <f t="shared" si="48"/>
        <v>0</v>
      </c>
      <c r="H785" s="34" t="str">
        <f t="shared" si="49"/>
        <v/>
      </c>
      <c r="I785" s="52" t="str">
        <f t="shared" si="50"/>
        <v/>
      </c>
      <c r="J785" s="34">
        <f>IF(AND(A785&lt;&gt;"",ISTEXT(A785),COUNTIFS(Processos!$AS$10:$AS$509,"="&amp;SUBSTITUTE(SUBSTITUTE(SUBSTITUTE("P:"&amp;A785,"~","~~"),"*","~*"),"?","~?"))=1),(IF(ISNA(MATCH(SUBSTITUTE(SUBSTITUTE(SUBSTITUTE("P:"&amp;A785,"~","~~"),"*","~*"),"?","~?"),Processos!$AS$10:$AS$509,0)),9,INDEX(Processos!$AM$10:$AM$509,MATCH(SUBSTITUTE(SUBSTITUTE(SUBSTITUTE("P:"&amp;A785,"~","~~"),"*","~*"),"?","~?"),Processos!$AS$10:$AS$509,0)))-9),0)</f>
        <v>0</v>
      </c>
      <c r="K785" s="34" t="str">
        <f t="shared" si="51"/>
        <v/>
      </c>
      <c r="L785" s="14">
        <f>ROW()</f>
        <v>785</v>
      </c>
    </row>
    <row r="786" spans="1:12" ht="60" customHeight="1">
      <c r="A786" s="41"/>
      <c r="B786" s="43"/>
      <c r="C786" s="44"/>
      <c r="D786" s="51"/>
      <c r="E786" s="44"/>
      <c r="F786" s="44"/>
      <c r="G786" s="34">
        <f t="shared" si="48"/>
        <v>0</v>
      </c>
      <c r="H786" s="34" t="str">
        <f t="shared" si="49"/>
        <v/>
      </c>
      <c r="I786" s="52" t="str">
        <f t="shared" si="50"/>
        <v/>
      </c>
      <c r="J786" s="34">
        <f>IF(AND(A786&lt;&gt;"",ISTEXT(A786),COUNTIFS(Processos!$AS$10:$AS$509,"="&amp;SUBSTITUTE(SUBSTITUTE(SUBSTITUTE("P:"&amp;A786,"~","~~"),"*","~*"),"?","~?"))=1),(IF(ISNA(MATCH(SUBSTITUTE(SUBSTITUTE(SUBSTITUTE("P:"&amp;A786,"~","~~"),"*","~*"),"?","~?"),Processos!$AS$10:$AS$509,0)),9,INDEX(Processos!$AM$10:$AM$509,MATCH(SUBSTITUTE(SUBSTITUTE(SUBSTITUTE("P:"&amp;A786,"~","~~"),"*","~*"),"?","~?"),Processos!$AS$10:$AS$509,0)))-9),0)</f>
        <v>0</v>
      </c>
      <c r="K786" s="34" t="str">
        <f t="shared" si="51"/>
        <v/>
      </c>
      <c r="L786" s="14">
        <f>ROW()</f>
        <v>786</v>
      </c>
    </row>
    <row r="787" spans="1:12" ht="60" customHeight="1">
      <c r="A787" s="41"/>
      <c r="B787" s="43"/>
      <c r="C787" s="44"/>
      <c r="D787" s="51"/>
      <c r="E787" s="44"/>
      <c r="F787" s="44"/>
      <c r="G787" s="34">
        <f t="shared" si="48"/>
        <v>0</v>
      </c>
      <c r="H787" s="34" t="str">
        <f t="shared" si="49"/>
        <v/>
      </c>
      <c r="I787" s="52" t="str">
        <f t="shared" si="50"/>
        <v/>
      </c>
      <c r="J787" s="34">
        <f>IF(AND(A787&lt;&gt;"",ISTEXT(A787),COUNTIFS(Processos!$AS$10:$AS$509,"="&amp;SUBSTITUTE(SUBSTITUTE(SUBSTITUTE("P:"&amp;A787,"~","~~"),"*","~*"),"?","~?"))=1),(IF(ISNA(MATCH(SUBSTITUTE(SUBSTITUTE(SUBSTITUTE("P:"&amp;A787,"~","~~"),"*","~*"),"?","~?"),Processos!$AS$10:$AS$509,0)),9,INDEX(Processos!$AM$10:$AM$509,MATCH(SUBSTITUTE(SUBSTITUTE(SUBSTITUTE("P:"&amp;A787,"~","~~"),"*","~*"),"?","~?"),Processos!$AS$10:$AS$509,0)))-9),0)</f>
        <v>0</v>
      </c>
      <c r="K787" s="34" t="str">
        <f t="shared" si="51"/>
        <v/>
      </c>
      <c r="L787" s="14">
        <f>ROW()</f>
        <v>787</v>
      </c>
    </row>
    <row r="788" spans="1:12" ht="60" customHeight="1">
      <c r="A788" s="41"/>
      <c r="B788" s="43"/>
      <c r="C788" s="44"/>
      <c r="D788" s="51"/>
      <c r="E788" s="44"/>
      <c r="F788" s="44"/>
      <c r="G788" s="34">
        <f t="shared" si="48"/>
        <v>0</v>
      </c>
      <c r="H788" s="34" t="str">
        <f t="shared" si="49"/>
        <v/>
      </c>
      <c r="I788" s="52" t="str">
        <f t="shared" si="50"/>
        <v/>
      </c>
      <c r="J788" s="34">
        <f>IF(AND(A788&lt;&gt;"",ISTEXT(A788),COUNTIFS(Processos!$AS$10:$AS$509,"="&amp;SUBSTITUTE(SUBSTITUTE(SUBSTITUTE("P:"&amp;A788,"~","~~"),"*","~*"),"?","~?"))=1),(IF(ISNA(MATCH(SUBSTITUTE(SUBSTITUTE(SUBSTITUTE("P:"&amp;A788,"~","~~"),"*","~*"),"?","~?"),Processos!$AS$10:$AS$509,0)),9,INDEX(Processos!$AM$10:$AM$509,MATCH(SUBSTITUTE(SUBSTITUTE(SUBSTITUTE("P:"&amp;A788,"~","~~"),"*","~*"),"?","~?"),Processos!$AS$10:$AS$509,0)))-9),0)</f>
        <v>0</v>
      </c>
      <c r="K788" s="34" t="str">
        <f t="shared" si="51"/>
        <v/>
      </c>
      <c r="L788" s="14">
        <f>ROW()</f>
        <v>788</v>
      </c>
    </row>
    <row r="789" spans="1:12" ht="60" customHeight="1">
      <c r="A789" s="41"/>
      <c r="B789" s="43"/>
      <c r="C789" s="44"/>
      <c r="D789" s="51"/>
      <c r="E789" s="44"/>
      <c r="F789" s="44"/>
      <c r="G789" s="34">
        <f t="shared" si="48"/>
        <v>0</v>
      </c>
      <c r="H789" s="34" t="str">
        <f t="shared" si="49"/>
        <v/>
      </c>
      <c r="I789" s="52" t="str">
        <f t="shared" si="50"/>
        <v/>
      </c>
      <c r="J789" s="34">
        <f>IF(AND(A789&lt;&gt;"",ISTEXT(A789),COUNTIFS(Processos!$AS$10:$AS$509,"="&amp;SUBSTITUTE(SUBSTITUTE(SUBSTITUTE("P:"&amp;A789,"~","~~"),"*","~*"),"?","~?"))=1),(IF(ISNA(MATCH(SUBSTITUTE(SUBSTITUTE(SUBSTITUTE("P:"&amp;A789,"~","~~"),"*","~*"),"?","~?"),Processos!$AS$10:$AS$509,0)),9,INDEX(Processos!$AM$10:$AM$509,MATCH(SUBSTITUTE(SUBSTITUTE(SUBSTITUTE("P:"&amp;A789,"~","~~"),"*","~*"),"?","~?"),Processos!$AS$10:$AS$509,0)))-9),0)</f>
        <v>0</v>
      </c>
      <c r="K789" s="34" t="str">
        <f t="shared" si="51"/>
        <v/>
      </c>
      <c r="L789" s="14">
        <f>ROW()</f>
        <v>789</v>
      </c>
    </row>
    <row r="790" spans="1:12" ht="60" customHeight="1">
      <c r="A790" s="41"/>
      <c r="B790" s="43"/>
      <c r="C790" s="44"/>
      <c r="D790" s="51"/>
      <c r="E790" s="44"/>
      <c r="F790" s="44"/>
      <c r="G790" s="34">
        <f t="shared" si="48"/>
        <v>0</v>
      </c>
      <c r="H790" s="34" t="str">
        <f t="shared" si="49"/>
        <v/>
      </c>
      <c r="I790" s="52" t="str">
        <f t="shared" si="50"/>
        <v/>
      </c>
      <c r="J790" s="34">
        <f>IF(AND(A790&lt;&gt;"",ISTEXT(A790),COUNTIFS(Processos!$AS$10:$AS$509,"="&amp;SUBSTITUTE(SUBSTITUTE(SUBSTITUTE("P:"&amp;A790,"~","~~"),"*","~*"),"?","~?"))=1),(IF(ISNA(MATCH(SUBSTITUTE(SUBSTITUTE(SUBSTITUTE("P:"&amp;A790,"~","~~"),"*","~*"),"?","~?"),Processos!$AS$10:$AS$509,0)),9,INDEX(Processos!$AM$10:$AM$509,MATCH(SUBSTITUTE(SUBSTITUTE(SUBSTITUTE("P:"&amp;A790,"~","~~"),"*","~*"),"?","~?"),Processos!$AS$10:$AS$509,0)))-9),0)</f>
        <v>0</v>
      </c>
      <c r="K790" s="34" t="str">
        <f t="shared" si="51"/>
        <v/>
      </c>
      <c r="L790" s="14">
        <f>ROW()</f>
        <v>790</v>
      </c>
    </row>
    <row r="791" spans="1:12" ht="60" customHeight="1">
      <c r="A791" s="41"/>
      <c r="B791" s="43"/>
      <c r="C791" s="44"/>
      <c r="D791" s="51"/>
      <c r="E791" s="44"/>
      <c r="F791" s="44"/>
      <c r="G791" s="34">
        <f t="shared" si="48"/>
        <v>0</v>
      </c>
      <c r="H791" s="34" t="str">
        <f t="shared" si="49"/>
        <v/>
      </c>
      <c r="I791" s="52" t="str">
        <f t="shared" si="50"/>
        <v/>
      </c>
      <c r="J791" s="34">
        <f>IF(AND(A791&lt;&gt;"",ISTEXT(A791),COUNTIFS(Processos!$AS$10:$AS$509,"="&amp;SUBSTITUTE(SUBSTITUTE(SUBSTITUTE("P:"&amp;A791,"~","~~"),"*","~*"),"?","~?"))=1),(IF(ISNA(MATCH(SUBSTITUTE(SUBSTITUTE(SUBSTITUTE("P:"&amp;A791,"~","~~"),"*","~*"),"?","~?"),Processos!$AS$10:$AS$509,0)),9,INDEX(Processos!$AM$10:$AM$509,MATCH(SUBSTITUTE(SUBSTITUTE(SUBSTITUTE("P:"&amp;A791,"~","~~"),"*","~*"),"?","~?"),Processos!$AS$10:$AS$509,0)))-9),0)</f>
        <v>0</v>
      </c>
      <c r="K791" s="34" t="str">
        <f t="shared" si="51"/>
        <v/>
      </c>
      <c r="L791" s="14">
        <f>ROW()</f>
        <v>791</v>
      </c>
    </row>
    <row r="792" spans="1:12" ht="60" customHeight="1">
      <c r="A792" s="41"/>
      <c r="B792" s="43"/>
      <c r="C792" s="44"/>
      <c r="D792" s="51"/>
      <c r="E792" s="44"/>
      <c r="F792" s="44"/>
      <c r="G792" s="34">
        <f t="shared" si="48"/>
        <v>0</v>
      </c>
      <c r="H792" s="34" t="str">
        <f t="shared" si="49"/>
        <v/>
      </c>
      <c r="I792" s="52" t="str">
        <f t="shared" si="50"/>
        <v/>
      </c>
      <c r="J792" s="34">
        <f>IF(AND(A792&lt;&gt;"",ISTEXT(A792),COUNTIFS(Processos!$AS$10:$AS$509,"="&amp;SUBSTITUTE(SUBSTITUTE(SUBSTITUTE("P:"&amp;A792,"~","~~"),"*","~*"),"?","~?"))=1),(IF(ISNA(MATCH(SUBSTITUTE(SUBSTITUTE(SUBSTITUTE("P:"&amp;A792,"~","~~"),"*","~*"),"?","~?"),Processos!$AS$10:$AS$509,0)),9,INDEX(Processos!$AM$10:$AM$509,MATCH(SUBSTITUTE(SUBSTITUTE(SUBSTITUTE("P:"&amp;A792,"~","~~"),"*","~*"),"?","~?"),Processos!$AS$10:$AS$509,0)))-9),0)</f>
        <v>0</v>
      </c>
      <c r="K792" s="34" t="str">
        <f t="shared" si="51"/>
        <v/>
      </c>
      <c r="L792" s="14">
        <f>ROW()</f>
        <v>792</v>
      </c>
    </row>
    <row r="793" spans="1:12" ht="60" customHeight="1">
      <c r="A793" s="41"/>
      <c r="B793" s="43"/>
      <c r="C793" s="44"/>
      <c r="D793" s="51"/>
      <c r="E793" s="44"/>
      <c r="F793" s="44"/>
      <c r="G793" s="34">
        <f t="shared" si="48"/>
        <v>0</v>
      </c>
      <c r="H793" s="34" t="str">
        <f t="shared" si="49"/>
        <v/>
      </c>
      <c r="I793" s="52" t="str">
        <f t="shared" si="50"/>
        <v/>
      </c>
      <c r="J793" s="34">
        <f>IF(AND(A793&lt;&gt;"",ISTEXT(A793),COUNTIFS(Processos!$AS$10:$AS$509,"="&amp;SUBSTITUTE(SUBSTITUTE(SUBSTITUTE("P:"&amp;A793,"~","~~"),"*","~*"),"?","~?"))=1),(IF(ISNA(MATCH(SUBSTITUTE(SUBSTITUTE(SUBSTITUTE("P:"&amp;A793,"~","~~"),"*","~*"),"?","~?"),Processos!$AS$10:$AS$509,0)),9,INDEX(Processos!$AM$10:$AM$509,MATCH(SUBSTITUTE(SUBSTITUTE(SUBSTITUTE("P:"&amp;A793,"~","~~"),"*","~*"),"?","~?"),Processos!$AS$10:$AS$509,0)))-9),0)</f>
        <v>0</v>
      </c>
      <c r="K793" s="34" t="str">
        <f t="shared" si="51"/>
        <v/>
      </c>
      <c r="L793" s="14">
        <f>ROW()</f>
        <v>793</v>
      </c>
    </row>
    <row r="794" spans="1:12" ht="60" customHeight="1">
      <c r="A794" s="41"/>
      <c r="B794" s="43"/>
      <c r="C794" s="44"/>
      <c r="D794" s="51"/>
      <c r="E794" s="44"/>
      <c r="F794" s="44"/>
      <c r="G794" s="34">
        <f t="shared" si="48"/>
        <v>0</v>
      </c>
      <c r="H794" s="34" t="str">
        <f t="shared" si="49"/>
        <v/>
      </c>
      <c r="I794" s="52" t="str">
        <f t="shared" si="50"/>
        <v/>
      </c>
      <c r="J794" s="34">
        <f>IF(AND(A794&lt;&gt;"",ISTEXT(A794),COUNTIFS(Processos!$AS$10:$AS$509,"="&amp;SUBSTITUTE(SUBSTITUTE(SUBSTITUTE("P:"&amp;A794,"~","~~"),"*","~*"),"?","~?"))=1),(IF(ISNA(MATCH(SUBSTITUTE(SUBSTITUTE(SUBSTITUTE("P:"&amp;A794,"~","~~"),"*","~*"),"?","~?"),Processos!$AS$10:$AS$509,0)),9,INDEX(Processos!$AM$10:$AM$509,MATCH(SUBSTITUTE(SUBSTITUTE(SUBSTITUTE("P:"&amp;A794,"~","~~"),"*","~*"),"?","~?"),Processos!$AS$10:$AS$509,0)))-9),0)</f>
        <v>0</v>
      </c>
      <c r="K794" s="34" t="str">
        <f t="shared" si="51"/>
        <v/>
      </c>
      <c r="L794" s="14">
        <f>ROW()</f>
        <v>794</v>
      </c>
    </row>
    <row r="795" spans="1:12" ht="60" customHeight="1">
      <c r="A795" s="41"/>
      <c r="B795" s="43"/>
      <c r="C795" s="44"/>
      <c r="D795" s="51"/>
      <c r="E795" s="44"/>
      <c r="F795" s="44"/>
      <c r="G795" s="34">
        <f t="shared" si="48"/>
        <v>0</v>
      </c>
      <c r="H795" s="34" t="str">
        <f t="shared" si="49"/>
        <v/>
      </c>
      <c r="I795" s="52" t="str">
        <f t="shared" si="50"/>
        <v/>
      </c>
      <c r="J795" s="34">
        <f>IF(AND(A795&lt;&gt;"",ISTEXT(A795),COUNTIFS(Processos!$AS$10:$AS$509,"="&amp;SUBSTITUTE(SUBSTITUTE(SUBSTITUTE("P:"&amp;A795,"~","~~"),"*","~*"),"?","~?"))=1),(IF(ISNA(MATCH(SUBSTITUTE(SUBSTITUTE(SUBSTITUTE("P:"&amp;A795,"~","~~"),"*","~*"),"?","~?"),Processos!$AS$10:$AS$509,0)),9,INDEX(Processos!$AM$10:$AM$509,MATCH(SUBSTITUTE(SUBSTITUTE(SUBSTITUTE("P:"&amp;A795,"~","~~"),"*","~*"),"?","~?"),Processos!$AS$10:$AS$509,0)))-9),0)</f>
        <v>0</v>
      </c>
      <c r="K795" s="34" t="str">
        <f t="shared" si="51"/>
        <v/>
      </c>
      <c r="L795" s="14">
        <f>ROW()</f>
        <v>795</v>
      </c>
    </row>
    <row r="796" spans="1:12" ht="60" customHeight="1">
      <c r="A796" s="41"/>
      <c r="B796" s="43"/>
      <c r="C796" s="44"/>
      <c r="D796" s="51"/>
      <c r="E796" s="44"/>
      <c r="F796" s="44"/>
      <c r="G796" s="34">
        <f t="shared" si="48"/>
        <v>0</v>
      </c>
      <c r="H796" s="34" t="str">
        <f t="shared" si="49"/>
        <v/>
      </c>
      <c r="I796" s="52" t="str">
        <f t="shared" si="50"/>
        <v/>
      </c>
      <c r="J796" s="34">
        <f>IF(AND(A796&lt;&gt;"",ISTEXT(A796),COUNTIFS(Processos!$AS$10:$AS$509,"="&amp;SUBSTITUTE(SUBSTITUTE(SUBSTITUTE("P:"&amp;A796,"~","~~"),"*","~*"),"?","~?"))=1),(IF(ISNA(MATCH(SUBSTITUTE(SUBSTITUTE(SUBSTITUTE("P:"&amp;A796,"~","~~"),"*","~*"),"?","~?"),Processos!$AS$10:$AS$509,0)),9,INDEX(Processos!$AM$10:$AM$509,MATCH(SUBSTITUTE(SUBSTITUTE(SUBSTITUTE("P:"&amp;A796,"~","~~"),"*","~*"),"?","~?"),Processos!$AS$10:$AS$509,0)))-9),0)</f>
        <v>0</v>
      </c>
      <c r="K796" s="34" t="str">
        <f t="shared" si="51"/>
        <v/>
      </c>
      <c r="L796" s="14">
        <f>ROW()</f>
        <v>796</v>
      </c>
    </row>
    <row r="797" spans="1:12" ht="60" customHeight="1">
      <c r="A797" s="41"/>
      <c r="B797" s="43"/>
      <c r="C797" s="44"/>
      <c r="D797" s="51"/>
      <c r="E797" s="44"/>
      <c r="F797" s="44"/>
      <c r="G797" s="34">
        <f t="shared" si="48"/>
        <v>0</v>
      </c>
      <c r="H797" s="34" t="str">
        <f t="shared" si="49"/>
        <v/>
      </c>
      <c r="I797" s="52" t="str">
        <f t="shared" si="50"/>
        <v/>
      </c>
      <c r="J797" s="34">
        <f>IF(AND(A797&lt;&gt;"",ISTEXT(A797),COUNTIFS(Processos!$AS$10:$AS$509,"="&amp;SUBSTITUTE(SUBSTITUTE(SUBSTITUTE("P:"&amp;A797,"~","~~"),"*","~*"),"?","~?"))=1),(IF(ISNA(MATCH(SUBSTITUTE(SUBSTITUTE(SUBSTITUTE("P:"&amp;A797,"~","~~"),"*","~*"),"?","~?"),Processos!$AS$10:$AS$509,0)),9,INDEX(Processos!$AM$10:$AM$509,MATCH(SUBSTITUTE(SUBSTITUTE(SUBSTITUTE("P:"&amp;A797,"~","~~"),"*","~*"),"?","~?"),Processos!$AS$10:$AS$509,0)))-9),0)</f>
        <v>0</v>
      </c>
      <c r="K797" s="34" t="str">
        <f t="shared" si="51"/>
        <v/>
      </c>
      <c r="L797" s="14">
        <f>ROW()</f>
        <v>797</v>
      </c>
    </row>
    <row r="798" spans="1:12" ht="60" customHeight="1">
      <c r="A798" s="41"/>
      <c r="B798" s="43"/>
      <c r="C798" s="44"/>
      <c r="D798" s="51"/>
      <c r="E798" s="44"/>
      <c r="F798" s="44"/>
      <c r="G798" s="34">
        <f t="shared" si="48"/>
        <v>0</v>
      </c>
      <c r="H798" s="34" t="str">
        <f t="shared" si="49"/>
        <v/>
      </c>
      <c r="I798" s="52" t="str">
        <f t="shared" si="50"/>
        <v/>
      </c>
      <c r="J798" s="34">
        <f>IF(AND(A798&lt;&gt;"",ISTEXT(A798),COUNTIFS(Processos!$AS$10:$AS$509,"="&amp;SUBSTITUTE(SUBSTITUTE(SUBSTITUTE("P:"&amp;A798,"~","~~"),"*","~*"),"?","~?"))=1),(IF(ISNA(MATCH(SUBSTITUTE(SUBSTITUTE(SUBSTITUTE("P:"&amp;A798,"~","~~"),"*","~*"),"?","~?"),Processos!$AS$10:$AS$509,0)),9,INDEX(Processos!$AM$10:$AM$509,MATCH(SUBSTITUTE(SUBSTITUTE(SUBSTITUTE("P:"&amp;A798,"~","~~"),"*","~*"),"?","~?"),Processos!$AS$10:$AS$509,0)))-9),0)</f>
        <v>0</v>
      </c>
      <c r="K798" s="34" t="str">
        <f t="shared" si="51"/>
        <v/>
      </c>
      <c r="L798" s="14">
        <f>ROW()</f>
        <v>798</v>
      </c>
    </row>
    <row r="799" spans="1:12" ht="60" customHeight="1">
      <c r="A799" s="41"/>
      <c r="B799" s="43"/>
      <c r="C799" s="44"/>
      <c r="D799" s="51"/>
      <c r="E799" s="44"/>
      <c r="F799" s="44"/>
      <c r="G799" s="34">
        <f t="shared" si="48"/>
        <v>0</v>
      </c>
      <c r="H799" s="34" t="str">
        <f t="shared" si="49"/>
        <v/>
      </c>
      <c r="I799" s="52" t="str">
        <f t="shared" si="50"/>
        <v/>
      </c>
      <c r="J799" s="34">
        <f>IF(AND(A799&lt;&gt;"",ISTEXT(A799),COUNTIFS(Processos!$AS$10:$AS$509,"="&amp;SUBSTITUTE(SUBSTITUTE(SUBSTITUTE("P:"&amp;A799,"~","~~"),"*","~*"),"?","~?"))=1),(IF(ISNA(MATCH(SUBSTITUTE(SUBSTITUTE(SUBSTITUTE("P:"&amp;A799,"~","~~"),"*","~*"),"?","~?"),Processos!$AS$10:$AS$509,0)),9,INDEX(Processos!$AM$10:$AM$509,MATCH(SUBSTITUTE(SUBSTITUTE(SUBSTITUTE("P:"&amp;A799,"~","~~"),"*","~*"),"?","~?"),Processos!$AS$10:$AS$509,0)))-9),0)</f>
        <v>0</v>
      </c>
      <c r="K799" s="34" t="str">
        <f t="shared" si="51"/>
        <v/>
      </c>
      <c r="L799" s="14">
        <f>ROW()</f>
        <v>799</v>
      </c>
    </row>
    <row r="800" spans="1:12" ht="60" customHeight="1">
      <c r="A800" s="41"/>
      <c r="B800" s="43"/>
      <c r="C800" s="44"/>
      <c r="D800" s="51"/>
      <c r="E800" s="44"/>
      <c r="F800" s="44"/>
      <c r="G800" s="34">
        <f t="shared" si="48"/>
        <v>0</v>
      </c>
      <c r="H800" s="34" t="str">
        <f t="shared" si="49"/>
        <v/>
      </c>
      <c r="I800" s="52" t="str">
        <f t="shared" si="50"/>
        <v/>
      </c>
      <c r="J800" s="34">
        <f>IF(AND(A800&lt;&gt;"",ISTEXT(A800),COUNTIFS(Processos!$AS$10:$AS$509,"="&amp;SUBSTITUTE(SUBSTITUTE(SUBSTITUTE("P:"&amp;A800,"~","~~"),"*","~*"),"?","~?"))=1),(IF(ISNA(MATCH(SUBSTITUTE(SUBSTITUTE(SUBSTITUTE("P:"&amp;A800,"~","~~"),"*","~*"),"?","~?"),Processos!$AS$10:$AS$509,0)),9,INDEX(Processos!$AM$10:$AM$509,MATCH(SUBSTITUTE(SUBSTITUTE(SUBSTITUTE("P:"&amp;A800,"~","~~"),"*","~*"),"?","~?"),Processos!$AS$10:$AS$509,0)))-9),0)</f>
        <v>0</v>
      </c>
      <c r="K800" s="34" t="str">
        <f t="shared" si="51"/>
        <v/>
      </c>
      <c r="L800" s="14">
        <f>ROW()</f>
        <v>800</v>
      </c>
    </row>
    <row r="801" spans="1:12" ht="60" customHeight="1">
      <c r="A801" s="41"/>
      <c r="B801" s="43"/>
      <c r="C801" s="44"/>
      <c r="D801" s="51"/>
      <c r="E801" s="44"/>
      <c r="F801" s="44"/>
      <c r="G801" s="34">
        <f t="shared" si="48"/>
        <v>0</v>
      </c>
      <c r="H801" s="34" t="str">
        <f t="shared" si="49"/>
        <v/>
      </c>
      <c r="I801" s="52" t="str">
        <f t="shared" si="50"/>
        <v/>
      </c>
      <c r="J801" s="34">
        <f>IF(AND(A801&lt;&gt;"",ISTEXT(A801),COUNTIFS(Processos!$AS$10:$AS$509,"="&amp;SUBSTITUTE(SUBSTITUTE(SUBSTITUTE("P:"&amp;A801,"~","~~"),"*","~*"),"?","~?"))=1),(IF(ISNA(MATCH(SUBSTITUTE(SUBSTITUTE(SUBSTITUTE("P:"&amp;A801,"~","~~"),"*","~*"),"?","~?"),Processos!$AS$10:$AS$509,0)),9,INDEX(Processos!$AM$10:$AM$509,MATCH(SUBSTITUTE(SUBSTITUTE(SUBSTITUTE("P:"&amp;A801,"~","~~"),"*","~*"),"?","~?"),Processos!$AS$10:$AS$509,0)))-9),0)</f>
        <v>0</v>
      </c>
      <c r="K801" s="34" t="str">
        <f t="shared" si="51"/>
        <v/>
      </c>
      <c r="L801" s="14">
        <f>ROW()</f>
        <v>801</v>
      </c>
    </row>
    <row r="802" spans="1:12" ht="60" customHeight="1">
      <c r="A802" s="41"/>
      <c r="B802" s="43"/>
      <c r="C802" s="44"/>
      <c r="D802" s="51"/>
      <c r="E802" s="44"/>
      <c r="F802" s="44"/>
      <c r="G802" s="34">
        <f t="shared" si="48"/>
        <v>0</v>
      </c>
      <c r="H802" s="34" t="str">
        <f t="shared" si="49"/>
        <v/>
      </c>
      <c r="I802" s="52" t="str">
        <f t="shared" si="50"/>
        <v/>
      </c>
      <c r="J802" s="34">
        <f>IF(AND(A802&lt;&gt;"",ISTEXT(A802),COUNTIFS(Processos!$AS$10:$AS$509,"="&amp;SUBSTITUTE(SUBSTITUTE(SUBSTITUTE("P:"&amp;A802,"~","~~"),"*","~*"),"?","~?"))=1),(IF(ISNA(MATCH(SUBSTITUTE(SUBSTITUTE(SUBSTITUTE("P:"&amp;A802,"~","~~"),"*","~*"),"?","~?"),Processos!$AS$10:$AS$509,0)),9,INDEX(Processos!$AM$10:$AM$509,MATCH(SUBSTITUTE(SUBSTITUTE(SUBSTITUTE("P:"&amp;A802,"~","~~"),"*","~*"),"?","~?"),Processos!$AS$10:$AS$509,0)))-9),0)</f>
        <v>0</v>
      </c>
      <c r="K802" s="34" t="str">
        <f t="shared" si="51"/>
        <v/>
      </c>
      <c r="L802" s="14">
        <f>ROW()</f>
        <v>802</v>
      </c>
    </row>
    <row r="803" spans="1:12" ht="60" customHeight="1">
      <c r="A803" s="41"/>
      <c r="B803" s="43"/>
      <c r="C803" s="44"/>
      <c r="D803" s="51"/>
      <c r="E803" s="44"/>
      <c r="F803" s="44"/>
      <c r="G803" s="34">
        <f t="shared" si="48"/>
        <v>0</v>
      </c>
      <c r="H803" s="34" t="str">
        <f t="shared" si="49"/>
        <v/>
      </c>
      <c r="I803" s="52" t="str">
        <f t="shared" si="50"/>
        <v/>
      </c>
      <c r="J803" s="34">
        <f>IF(AND(A803&lt;&gt;"",ISTEXT(A803),COUNTIFS(Processos!$AS$10:$AS$509,"="&amp;SUBSTITUTE(SUBSTITUTE(SUBSTITUTE("P:"&amp;A803,"~","~~"),"*","~*"),"?","~?"))=1),(IF(ISNA(MATCH(SUBSTITUTE(SUBSTITUTE(SUBSTITUTE("P:"&amp;A803,"~","~~"),"*","~*"),"?","~?"),Processos!$AS$10:$AS$509,0)),9,INDEX(Processos!$AM$10:$AM$509,MATCH(SUBSTITUTE(SUBSTITUTE(SUBSTITUTE("P:"&amp;A803,"~","~~"),"*","~*"),"?","~?"),Processos!$AS$10:$AS$509,0)))-9),0)</f>
        <v>0</v>
      </c>
      <c r="K803" s="34" t="str">
        <f t="shared" si="51"/>
        <v/>
      </c>
      <c r="L803" s="14">
        <f>ROW()</f>
        <v>803</v>
      </c>
    </row>
    <row r="804" spans="1:12" ht="60" customHeight="1">
      <c r="A804" s="41"/>
      <c r="B804" s="43"/>
      <c r="C804" s="44"/>
      <c r="D804" s="51"/>
      <c r="E804" s="44"/>
      <c r="F804" s="44"/>
      <c r="G804" s="34">
        <f t="shared" si="48"/>
        <v>0</v>
      </c>
      <c r="H804" s="34" t="str">
        <f t="shared" si="49"/>
        <v/>
      </c>
      <c r="I804" s="52" t="str">
        <f t="shared" si="50"/>
        <v/>
      </c>
      <c r="J804" s="34">
        <f>IF(AND(A804&lt;&gt;"",ISTEXT(A804),COUNTIFS(Processos!$AS$10:$AS$509,"="&amp;SUBSTITUTE(SUBSTITUTE(SUBSTITUTE("P:"&amp;A804,"~","~~"),"*","~*"),"?","~?"))=1),(IF(ISNA(MATCH(SUBSTITUTE(SUBSTITUTE(SUBSTITUTE("P:"&amp;A804,"~","~~"),"*","~*"),"?","~?"),Processos!$AS$10:$AS$509,0)),9,INDEX(Processos!$AM$10:$AM$509,MATCH(SUBSTITUTE(SUBSTITUTE(SUBSTITUTE("P:"&amp;A804,"~","~~"),"*","~*"),"?","~?"),Processos!$AS$10:$AS$509,0)))-9),0)</f>
        <v>0</v>
      </c>
      <c r="K804" s="34" t="str">
        <f t="shared" si="51"/>
        <v/>
      </c>
      <c r="L804" s="14">
        <f>ROW()</f>
        <v>804</v>
      </c>
    </row>
    <row r="805" spans="1:12" ht="60" customHeight="1">
      <c r="A805" s="41"/>
      <c r="B805" s="43"/>
      <c r="C805" s="44"/>
      <c r="D805" s="51"/>
      <c r="E805" s="44"/>
      <c r="F805" s="44"/>
      <c r="G805" s="34">
        <f t="shared" si="48"/>
        <v>0</v>
      </c>
      <c r="H805" s="34" t="str">
        <f t="shared" si="49"/>
        <v/>
      </c>
      <c r="I805" s="52" t="str">
        <f t="shared" si="50"/>
        <v/>
      </c>
      <c r="J805" s="34">
        <f>IF(AND(A805&lt;&gt;"",ISTEXT(A805),COUNTIFS(Processos!$AS$10:$AS$509,"="&amp;SUBSTITUTE(SUBSTITUTE(SUBSTITUTE("P:"&amp;A805,"~","~~"),"*","~*"),"?","~?"))=1),(IF(ISNA(MATCH(SUBSTITUTE(SUBSTITUTE(SUBSTITUTE("P:"&amp;A805,"~","~~"),"*","~*"),"?","~?"),Processos!$AS$10:$AS$509,0)),9,INDEX(Processos!$AM$10:$AM$509,MATCH(SUBSTITUTE(SUBSTITUTE(SUBSTITUTE("P:"&amp;A805,"~","~~"),"*","~*"),"?","~?"),Processos!$AS$10:$AS$509,0)))-9),0)</f>
        <v>0</v>
      </c>
      <c r="K805" s="34" t="str">
        <f t="shared" si="51"/>
        <v/>
      </c>
      <c r="L805" s="14">
        <f>ROW()</f>
        <v>805</v>
      </c>
    </row>
    <row r="806" spans="1:12" ht="60" customHeight="1">
      <c r="A806" s="41"/>
      <c r="B806" s="43"/>
      <c r="C806" s="44"/>
      <c r="D806" s="51"/>
      <c r="E806" s="44"/>
      <c r="F806" s="44"/>
      <c r="G806" s="34">
        <f t="shared" si="48"/>
        <v>0</v>
      </c>
      <c r="H806" s="34" t="str">
        <f t="shared" si="49"/>
        <v/>
      </c>
      <c r="I806" s="52" t="str">
        <f t="shared" si="50"/>
        <v/>
      </c>
      <c r="J806" s="34">
        <f>IF(AND(A806&lt;&gt;"",ISTEXT(A806),COUNTIFS(Processos!$AS$10:$AS$509,"="&amp;SUBSTITUTE(SUBSTITUTE(SUBSTITUTE("P:"&amp;A806,"~","~~"),"*","~*"),"?","~?"))=1),(IF(ISNA(MATCH(SUBSTITUTE(SUBSTITUTE(SUBSTITUTE("P:"&amp;A806,"~","~~"),"*","~*"),"?","~?"),Processos!$AS$10:$AS$509,0)),9,INDEX(Processos!$AM$10:$AM$509,MATCH(SUBSTITUTE(SUBSTITUTE(SUBSTITUTE("P:"&amp;A806,"~","~~"),"*","~*"),"?","~?"),Processos!$AS$10:$AS$509,0)))-9),0)</f>
        <v>0</v>
      </c>
      <c r="K806" s="34" t="str">
        <f t="shared" si="51"/>
        <v/>
      </c>
      <c r="L806" s="14">
        <f>ROW()</f>
        <v>806</v>
      </c>
    </row>
    <row r="807" spans="1:12" ht="60" customHeight="1">
      <c r="A807" s="41"/>
      <c r="B807" s="43"/>
      <c r="C807" s="44"/>
      <c r="D807" s="51"/>
      <c r="E807" s="44"/>
      <c r="F807" s="44"/>
      <c r="G807" s="34">
        <f t="shared" si="48"/>
        <v>0</v>
      </c>
      <c r="H807" s="34" t="str">
        <f t="shared" si="49"/>
        <v/>
      </c>
      <c r="I807" s="52" t="str">
        <f t="shared" si="50"/>
        <v/>
      </c>
      <c r="J807" s="34">
        <f>IF(AND(A807&lt;&gt;"",ISTEXT(A807),COUNTIFS(Processos!$AS$10:$AS$509,"="&amp;SUBSTITUTE(SUBSTITUTE(SUBSTITUTE("P:"&amp;A807,"~","~~"),"*","~*"),"?","~?"))=1),(IF(ISNA(MATCH(SUBSTITUTE(SUBSTITUTE(SUBSTITUTE("P:"&amp;A807,"~","~~"),"*","~*"),"?","~?"),Processos!$AS$10:$AS$509,0)),9,INDEX(Processos!$AM$10:$AM$509,MATCH(SUBSTITUTE(SUBSTITUTE(SUBSTITUTE("P:"&amp;A807,"~","~~"),"*","~*"),"?","~?"),Processos!$AS$10:$AS$509,0)))-9),0)</f>
        <v>0</v>
      </c>
      <c r="K807" s="34" t="str">
        <f t="shared" si="51"/>
        <v/>
      </c>
      <c r="L807" s="14">
        <f>ROW()</f>
        <v>807</v>
      </c>
    </row>
    <row r="808" spans="1:12" ht="60" customHeight="1">
      <c r="A808" s="41"/>
      <c r="B808" s="43"/>
      <c r="C808" s="44"/>
      <c r="D808" s="51"/>
      <c r="E808" s="44"/>
      <c r="F808" s="44"/>
      <c r="G808" s="34">
        <f t="shared" si="48"/>
        <v>0</v>
      </c>
      <c r="H808" s="34" t="str">
        <f t="shared" si="49"/>
        <v/>
      </c>
      <c r="I808" s="52" t="str">
        <f t="shared" si="50"/>
        <v/>
      </c>
      <c r="J808" s="34">
        <f>IF(AND(A808&lt;&gt;"",ISTEXT(A808),COUNTIFS(Processos!$AS$10:$AS$509,"="&amp;SUBSTITUTE(SUBSTITUTE(SUBSTITUTE("P:"&amp;A808,"~","~~"),"*","~*"),"?","~?"))=1),(IF(ISNA(MATCH(SUBSTITUTE(SUBSTITUTE(SUBSTITUTE("P:"&amp;A808,"~","~~"),"*","~*"),"?","~?"),Processos!$AS$10:$AS$509,0)),9,INDEX(Processos!$AM$10:$AM$509,MATCH(SUBSTITUTE(SUBSTITUTE(SUBSTITUTE("P:"&amp;A808,"~","~~"),"*","~*"),"?","~?"),Processos!$AS$10:$AS$509,0)))-9),0)</f>
        <v>0</v>
      </c>
      <c r="K808" s="34" t="str">
        <f t="shared" si="51"/>
        <v/>
      </c>
      <c r="L808" s="14">
        <f>ROW()</f>
        <v>808</v>
      </c>
    </row>
    <row r="809" spans="1:12" ht="60" customHeight="1">
      <c r="A809" s="41"/>
      <c r="B809" s="43"/>
      <c r="C809" s="44"/>
      <c r="D809" s="51"/>
      <c r="E809" s="44"/>
      <c r="F809" s="44"/>
      <c r="G809" s="34">
        <f t="shared" si="48"/>
        <v>0</v>
      </c>
      <c r="H809" s="34" t="str">
        <f t="shared" si="49"/>
        <v/>
      </c>
      <c r="I809" s="52" t="str">
        <f t="shared" si="50"/>
        <v/>
      </c>
      <c r="J809" s="34">
        <f>IF(AND(A809&lt;&gt;"",ISTEXT(A809),COUNTIFS(Processos!$AS$10:$AS$509,"="&amp;SUBSTITUTE(SUBSTITUTE(SUBSTITUTE("P:"&amp;A809,"~","~~"),"*","~*"),"?","~?"))=1),(IF(ISNA(MATCH(SUBSTITUTE(SUBSTITUTE(SUBSTITUTE("P:"&amp;A809,"~","~~"),"*","~*"),"?","~?"),Processos!$AS$10:$AS$509,0)),9,INDEX(Processos!$AM$10:$AM$509,MATCH(SUBSTITUTE(SUBSTITUTE(SUBSTITUTE("P:"&amp;A809,"~","~~"),"*","~*"),"?","~?"),Processos!$AS$10:$AS$509,0)))-9),0)</f>
        <v>0</v>
      </c>
      <c r="K809" s="34" t="str">
        <f t="shared" si="51"/>
        <v/>
      </c>
      <c r="L809" s="14">
        <f>ROW()</f>
        <v>809</v>
      </c>
    </row>
    <row r="810" spans="1:12" ht="60" customHeight="1">
      <c r="A810" s="41"/>
      <c r="B810" s="43"/>
      <c r="C810" s="44"/>
      <c r="D810" s="51"/>
      <c r="E810" s="44"/>
      <c r="F810" s="44"/>
      <c r="G810" s="34">
        <f t="shared" si="48"/>
        <v>0</v>
      </c>
      <c r="H810" s="34" t="str">
        <f t="shared" si="49"/>
        <v/>
      </c>
      <c r="I810" s="52" t="str">
        <f t="shared" si="50"/>
        <v/>
      </c>
      <c r="J810" s="34">
        <f>IF(AND(A810&lt;&gt;"",ISTEXT(A810),COUNTIFS(Processos!$AS$10:$AS$509,"="&amp;SUBSTITUTE(SUBSTITUTE(SUBSTITUTE("P:"&amp;A810,"~","~~"),"*","~*"),"?","~?"))=1),(IF(ISNA(MATCH(SUBSTITUTE(SUBSTITUTE(SUBSTITUTE("P:"&amp;A810,"~","~~"),"*","~*"),"?","~?"),Processos!$AS$10:$AS$509,0)),9,INDEX(Processos!$AM$10:$AM$509,MATCH(SUBSTITUTE(SUBSTITUTE(SUBSTITUTE("P:"&amp;A810,"~","~~"),"*","~*"),"?","~?"),Processos!$AS$10:$AS$509,0)))-9),0)</f>
        <v>0</v>
      </c>
      <c r="K810" s="34" t="str">
        <f t="shared" si="51"/>
        <v/>
      </c>
      <c r="L810" s="14">
        <f>ROW()</f>
        <v>810</v>
      </c>
    </row>
    <row r="811" spans="1:12" ht="60" customHeight="1">
      <c r="A811" s="41"/>
      <c r="B811" s="43"/>
      <c r="C811" s="44"/>
      <c r="D811" s="51"/>
      <c r="E811" s="44"/>
      <c r="F811" s="44"/>
      <c r="G811" s="34">
        <f t="shared" si="48"/>
        <v>0</v>
      </c>
      <c r="H811" s="34" t="str">
        <f t="shared" si="49"/>
        <v/>
      </c>
      <c r="I811" s="52" t="str">
        <f t="shared" si="50"/>
        <v/>
      </c>
      <c r="J811" s="34">
        <f>IF(AND(A811&lt;&gt;"",ISTEXT(A811),COUNTIFS(Processos!$AS$10:$AS$509,"="&amp;SUBSTITUTE(SUBSTITUTE(SUBSTITUTE("P:"&amp;A811,"~","~~"),"*","~*"),"?","~?"))=1),(IF(ISNA(MATCH(SUBSTITUTE(SUBSTITUTE(SUBSTITUTE("P:"&amp;A811,"~","~~"),"*","~*"),"?","~?"),Processos!$AS$10:$AS$509,0)),9,INDEX(Processos!$AM$10:$AM$509,MATCH(SUBSTITUTE(SUBSTITUTE(SUBSTITUTE("P:"&amp;A811,"~","~~"),"*","~*"),"?","~?"),Processos!$AS$10:$AS$509,0)))-9),0)</f>
        <v>0</v>
      </c>
      <c r="K811" s="34" t="str">
        <f t="shared" si="51"/>
        <v/>
      </c>
      <c r="L811" s="14">
        <f>ROW()</f>
        <v>811</v>
      </c>
    </row>
    <row r="812" spans="1:12" ht="60" customHeight="1">
      <c r="A812" s="41"/>
      <c r="B812" s="43"/>
      <c r="C812" s="44"/>
      <c r="D812" s="51"/>
      <c r="E812" s="44"/>
      <c r="F812" s="44"/>
      <c r="G812" s="34">
        <f t="shared" si="48"/>
        <v>0</v>
      </c>
      <c r="H812" s="34" t="str">
        <f t="shared" si="49"/>
        <v/>
      </c>
      <c r="I812" s="52" t="str">
        <f t="shared" si="50"/>
        <v/>
      </c>
      <c r="J812" s="34">
        <f>IF(AND(A812&lt;&gt;"",ISTEXT(A812),COUNTIFS(Processos!$AS$10:$AS$509,"="&amp;SUBSTITUTE(SUBSTITUTE(SUBSTITUTE("P:"&amp;A812,"~","~~"),"*","~*"),"?","~?"))=1),(IF(ISNA(MATCH(SUBSTITUTE(SUBSTITUTE(SUBSTITUTE("P:"&amp;A812,"~","~~"),"*","~*"),"?","~?"),Processos!$AS$10:$AS$509,0)),9,INDEX(Processos!$AM$10:$AM$509,MATCH(SUBSTITUTE(SUBSTITUTE(SUBSTITUTE("P:"&amp;A812,"~","~~"),"*","~*"),"?","~?"),Processos!$AS$10:$AS$509,0)))-9),0)</f>
        <v>0</v>
      </c>
      <c r="K812" s="34" t="str">
        <f t="shared" si="51"/>
        <v/>
      </c>
      <c r="L812" s="14">
        <f>ROW()</f>
        <v>812</v>
      </c>
    </row>
    <row r="813" spans="1:12" ht="60" customHeight="1">
      <c r="A813" s="41"/>
      <c r="B813" s="43"/>
      <c r="C813" s="44"/>
      <c r="D813" s="51"/>
      <c r="E813" s="44"/>
      <c r="F813" s="44"/>
      <c r="G813" s="34">
        <f t="shared" si="48"/>
        <v>0</v>
      </c>
      <c r="H813" s="34" t="str">
        <f t="shared" si="49"/>
        <v/>
      </c>
      <c r="I813" s="52" t="str">
        <f t="shared" si="50"/>
        <v/>
      </c>
      <c r="J813" s="34">
        <f>IF(AND(A813&lt;&gt;"",ISTEXT(A813),COUNTIFS(Processos!$AS$10:$AS$509,"="&amp;SUBSTITUTE(SUBSTITUTE(SUBSTITUTE("P:"&amp;A813,"~","~~"),"*","~*"),"?","~?"))=1),(IF(ISNA(MATCH(SUBSTITUTE(SUBSTITUTE(SUBSTITUTE("P:"&amp;A813,"~","~~"),"*","~*"),"?","~?"),Processos!$AS$10:$AS$509,0)),9,INDEX(Processos!$AM$10:$AM$509,MATCH(SUBSTITUTE(SUBSTITUTE(SUBSTITUTE("P:"&amp;A813,"~","~~"),"*","~*"),"?","~?"),Processos!$AS$10:$AS$509,0)))-9),0)</f>
        <v>0</v>
      </c>
      <c r="K813" s="34" t="str">
        <f t="shared" si="51"/>
        <v/>
      </c>
      <c r="L813" s="14">
        <f>ROW()</f>
        <v>813</v>
      </c>
    </row>
    <row r="814" spans="1:12" ht="60" customHeight="1">
      <c r="A814" s="41"/>
      <c r="B814" s="43"/>
      <c r="C814" s="44"/>
      <c r="D814" s="51"/>
      <c r="E814" s="44"/>
      <c r="F814" s="44"/>
      <c r="G814" s="34">
        <f t="shared" si="48"/>
        <v>0</v>
      </c>
      <c r="H814" s="34" t="str">
        <f t="shared" si="49"/>
        <v/>
      </c>
      <c r="I814" s="52" t="str">
        <f t="shared" si="50"/>
        <v/>
      </c>
      <c r="J814" s="34">
        <f>IF(AND(A814&lt;&gt;"",ISTEXT(A814),COUNTIFS(Processos!$AS$10:$AS$509,"="&amp;SUBSTITUTE(SUBSTITUTE(SUBSTITUTE("P:"&amp;A814,"~","~~"),"*","~*"),"?","~?"))=1),(IF(ISNA(MATCH(SUBSTITUTE(SUBSTITUTE(SUBSTITUTE("P:"&amp;A814,"~","~~"),"*","~*"),"?","~?"),Processos!$AS$10:$AS$509,0)),9,INDEX(Processos!$AM$10:$AM$509,MATCH(SUBSTITUTE(SUBSTITUTE(SUBSTITUTE("P:"&amp;A814,"~","~~"),"*","~*"),"?","~?"),Processos!$AS$10:$AS$509,0)))-9),0)</f>
        <v>0</v>
      </c>
      <c r="K814" s="34" t="str">
        <f t="shared" si="51"/>
        <v/>
      </c>
      <c r="L814" s="14">
        <f>ROW()</f>
        <v>814</v>
      </c>
    </row>
    <row r="815" spans="1:12" ht="60" customHeight="1">
      <c r="A815" s="41"/>
      <c r="B815" s="43"/>
      <c r="C815" s="44"/>
      <c r="D815" s="51"/>
      <c r="E815" s="44"/>
      <c r="F815" s="44"/>
      <c r="G815" s="34">
        <f t="shared" si="48"/>
        <v>0</v>
      </c>
      <c r="H815" s="34" t="str">
        <f t="shared" si="49"/>
        <v/>
      </c>
      <c r="I815" s="52" t="str">
        <f t="shared" si="50"/>
        <v/>
      </c>
      <c r="J815" s="34">
        <f>IF(AND(A815&lt;&gt;"",ISTEXT(A815),COUNTIFS(Processos!$AS$10:$AS$509,"="&amp;SUBSTITUTE(SUBSTITUTE(SUBSTITUTE("P:"&amp;A815,"~","~~"),"*","~*"),"?","~?"))=1),(IF(ISNA(MATCH(SUBSTITUTE(SUBSTITUTE(SUBSTITUTE("P:"&amp;A815,"~","~~"),"*","~*"),"?","~?"),Processos!$AS$10:$AS$509,0)),9,INDEX(Processos!$AM$10:$AM$509,MATCH(SUBSTITUTE(SUBSTITUTE(SUBSTITUTE("P:"&amp;A815,"~","~~"),"*","~*"),"?","~?"),Processos!$AS$10:$AS$509,0)))-9),0)</f>
        <v>0</v>
      </c>
      <c r="K815" s="34" t="str">
        <f t="shared" si="51"/>
        <v/>
      </c>
      <c r="L815" s="14">
        <f>ROW()</f>
        <v>815</v>
      </c>
    </row>
    <row r="816" spans="1:12" ht="60" customHeight="1">
      <c r="A816" s="41"/>
      <c r="B816" s="43"/>
      <c r="C816" s="44"/>
      <c r="D816" s="51"/>
      <c r="E816" s="44"/>
      <c r="F816" s="44"/>
      <c r="G816" s="34">
        <f t="shared" si="48"/>
        <v>0</v>
      </c>
      <c r="H816" s="34" t="str">
        <f t="shared" si="49"/>
        <v/>
      </c>
      <c r="I816" s="52" t="str">
        <f t="shared" si="50"/>
        <v/>
      </c>
      <c r="J816" s="34">
        <f>IF(AND(A816&lt;&gt;"",ISTEXT(A816),COUNTIFS(Processos!$AS$10:$AS$509,"="&amp;SUBSTITUTE(SUBSTITUTE(SUBSTITUTE("P:"&amp;A816,"~","~~"),"*","~*"),"?","~?"))=1),(IF(ISNA(MATCH(SUBSTITUTE(SUBSTITUTE(SUBSTITUTE("P:"&amp;A816,"~","~~"),"*","~*"),"?","~?"),Processos!$AS$10:$AS$509,0)),9,INDEX(Processos!$AM$10:$AM$509,MATCH(SUBSTITUTE(SUBSTITUTE(SUBSTITUTE("P:"&amp;A816,"~","~~"),"*","~*"),"?","~?"),Processos!$AS$10:$AS$509,0)))-9),0)</f>
        <v>0</v>
      </c>
      <c r="K816" s="34" t="str">
        <f t="shared" si="51"/>
        <v/>
      </c>
      <c r="L816" s="14">
        <f>ROW()</f>
        <v>816</v>
      </c>
    </row>
    <row r="817" spans="1:12" ht="60" customHeight="1">
      <c r="A817" s="41"/>
      <c r="B817" s="43"/>
      <c r="C817" s="44"/>
      <c r="D817" s="51"/>
      <c r="E817" s="44"/>
      <c r="F817" s="44"/>
      <c r="G817" s="34">
        <f t="shared" si="48"/>
        <v>0</v>
      </c>
      <c r="H817" s="34" t="str">
        <f t="shared" si="49"/>
        <v/>
      </c>
      <c r="I817" s="52" t="str">
        <f t="shared" si="50"/>
        <v/>
      </c>
      <c r="J817" s="34">
        <f>IF(AND(A817&lt;&gt;"",ISTEXT(A817),COUNTIFS(Processos!$AS$10:$AS$509,"="&amp;SUBSTITUTE(SUBSTITUTE(SUBSTITUTE("P:"&amp;A817,"~","~~"),"*","~*"),"?","~?"))=1),(IF(ISNA(MATCH(SUBSTITUTE(SUBSTITUTE(SUBSTITUTE("P:"&amp;A817,"~","~~"),"*","~*"),"?","~?"),Processos!$AS$10:$AS$509,0)),9,INDEX(Processos!$AM$10:$AM$509,MATCH(SUBSTITUTE(SUBSTITUTE(SUBSTITUTE("P:"&amp;A817,"~","~~"),"*","~*"),"?","~?"),Processos!$AS$10:$AS$509,0)))-9),0)</f>
        <v>0</v>
      </c>
      <c r="K817" s="34" t="str">
        <f t="shared" si="51"/>
        <v/>
      </c>
      <c r="L817" s="14">
        <f>ROW()</f>
        <v>817</v>
      </c>
    </row>
    <row r="818" spans="1:12" ht="60" customHeight="1">
      <c r="A818" s="41"/>
      <c r="B818" s="43"/>
      <c r="C818" s="44"/>
      <c r="D818" s="51"/>
      <c r="E818" s="44"/>
      <c r="F818" s="44"/>
      <c r="G818" s="34">
        <f t="shared" si="48"/>
        <v>0</v>
      </c>
      <c r="H818" s="34" t="str">
        <f t="shared" si="49"/>
        <v/>
      </c>
      <c r="I818" s="52" t="str">
        <f t="shared" si="50"/>
        <v/>
      </c>
      <c r="J818" s="34">
        <f>IF(AND(A818&lt;&gt;"",ISTEXT(A818),COUNTIFS(Processos!$AS$10:$AS$509,"="&amp;SUBSTITUTE(SUBSTITUTE(SUBSTITUTE("P:"&amp;A818,"~","~~"),"*","~*"),"?","~?"))=1),(IF(ISNA(MATCH(SUBSTITUTE(SUBSTITUTE(SUBSTITUTE("P:"&amp;A818,"~","~~"),"*","~*"),"?","~?"),Processos!$AS$10:$AS$509,0)),9,INDEX(Processos!$AM$10:$AM$509,MATCH(SUBSTITUTE(SUBSTITUTE(SUBSTITUTE("P:"&amp;A818,"~","~~"),"*","~*"),"?","~?"),Processos!$AS$10:$AS$509,0)))-9),0)</f>
        <v>0</v>
      </c>
      <c r="K818" s="34" t="str">
        <f t="shared" si="51"/>
        <v/>
      </c>
      <c r="L818" s="14">
        <f>ROW()</f>
        <v>818</v>
      </c>
    </row>
    <row r="819" spans="1:12" ht="60" customHeight="1">
      <c r="A819" s="41"/>
      <c r="B819" s="43"/>
      <c r="C819" s="44"/>
      <c r="D819" s="51"/>
      <c r="E819" s="44"/>
      <c r="F819" s="44"/>
      <c r="G819" s="34">
        <f t="shared" si="48"/>
        <v>0</v>
      </c>
      <c r="H819" s="34" t="str">
        <f t="shared" si="49"/>
        <v/>
      </c>
      <c r="I819" s="52" t="str">
        <f t="shared" si="50"/>
        <v/>
      </c>
      <c r="J819" s="34">
        <f>IF(AND(A819&lt;&gt;"",ISTEXT(A819),COUNTIFS(Processos!$AS$10:$AS$509,"="&amp;SUBSTITUTE(SUBSTITUTE(SUBSTITUTE("P:"&amp;A819,"~","~~"),"*","~*"),"?","~?"))=1),(IF(ISNA(MATCH(SUBSTITUTE(SUBSTITUTE(SUBSTITUTE("P:"&amp;A819,"~","~~"),"*","~*"),"?","~?"),Processos!$AS$10:$AS$509,0)),9,INDEX(Processos!$AM$10:$AM$509,MATCH(SUBSTITUTE(SUBSTITUTE(SUBSTITUTE("P:"&amp;A819,"~","~~"),"*","~*"),"?","~?"),Processos!$AS$10:$AS$509,0)))-9),0)</f>
        <v>0</v>
      </c>
      <c r="K819" s="34" t="str">
        <f t="shared" si="51"/>
        <v/>
      </c>
      <c r="L819" s="14">
        <f>ROW()</f>
        <v>819</v>
      </c>
    </row>
    <row r="820" spans="1:12" ht="60" customHeight="1">
      <c r="A820" s="41"/>
      <c r="B820" s="43"/>
      <c r="C820" s="44"/>
      <c r="D820" s="51"/>
      <c r="E820" s="44"/>
      <c r="F820" s="44"/>
      <c r="G820" s="34">
        <f t="shared" si="48"/>
        <v>0</v>
      </c>
      <c r="H820" s="34" t="str">
        <f t="shared" si="49"/>
        <v/>
      </c>
      <c r="I820" s="52" t="str">
        <f t="shared" si="50"/>
        <v/>
      </c>
      <c r="J820" s="34">
        <f>IF(AND(A820&lt;&gt;"",ISTEXT(A820),COUNTIFS(Processos!$AS$10:$AS$509,"="&amp;SUBSTITUTE(SUBSTITUTE(SUBSTITUTE("P:"&amp;A820,"~","~~"),"*","~*"),"?","~?"))=1),(IF(ISNA(MATCH(SUBSTITUTE(SUBSTITUTE(SUBSTITUTE("P:"&amp;A820,"~","~~"),"*","~*"),"?","~?"),Processos!$AS$10:$AS$509,0)),9,INDEX(Processos!$AM$10:$AM$509,MATCH(SUBSTITUTE(SUBSTITUTE(SUBSTITUTE("P:"&amp;A820,"~","~~"),"*","~*"),"?","~?"),Processos!$AS$10:$AS$509,0)))-9),0)</f>
        <v>0</v>
      </c>
      <c r="K820" s="34" t="str">
        <f t="shared" si="51"/>
        <v/>
      </c>
      <c r="L820" s="14">
        <f>ROW()</f>
        <v>820</v>
      </c>
    </row>
    <row r="821" spans="1:12" ht="60" customHeight="1">
      <c r="A821" s="41"/>
      <c r="B821" s="43"/>
      <c r="C821" s="44"/>
      <c r="D821" s="51"/>
      <c r="E821" s="44"/>
      <c r="F821" s="44"/>
      <c r="G821" s="34">
        <f t="shared" si="48"/>
        <v>0</v>
      </c>
      <c r="H821" s="34" t="str">
        <f t="shared" si="49"/>
        <v/>
      </c>
      <c r="I821" s="52" t="str">
        <f t="shared" si="50"/>
        <v/>
      </c>
      <c r="J821" s="34">
        <f>IF(AND(A821&lt;&gt;"",ISTEXT(A821),COUNTIFS(Processos!$AS$10:$AS$509,"="&amp;SUBSTITUTE(SUBSTITUTE(SUBSTITUTE("P:"&amp;A821,"~","~~"),"*","~*"),"?","~?"))=1),(IF(ISNA(MATCH(SUBSTITUTE(SUBSTITUTE(SUBSTITUTE("P:"&amp;A821,"~","~~"),"*","~*"),"?","~?"),Processos!$AS$10:$AS$509,0)),9,INDEX(Processos!$AM$10:$AM$509,MATCH(SUBSTITUTE(SUBSTITUTE(SUBSTITUTE("P:"&amp;A821,"~","~~"),"*","~*"),"?","~?"),Processos!$AS$10:$AS$509,0)))-9),0)</f>
        <v>0</v>
      </c>
      <c r="K821" s="34" t="str">
        <f t="shared" si="51"/>
        <v/>
      </c>
      <c r="L821" s="14">
        <f>ROW()</f>
        <v>821</v>
      </c>
    </row>
    <row r="822" spans="1:12" ht="60" customHeight="1">
      <c r="A822" s="41"/>
      <c r="B822" s="43"/>
      <c r="C822" s="44"/>
      <c r="D822" s="51"/>
      <c r="E822" s="44"/>
      <c r="F822" s="44"/>
      <c r="G822" s="34">
        <f t="shared" si="48"/>
        <v>0</v>
      </c>
      <c r="H822" s="34" t="str">
        <f t="shared" si="49"/>
        <v/>
      </c>
      <c r="I822" s="52" t="str">
        <f t="shared" si="50"/>
        <v/>
      </c>
      <c r="J822" s="34">
        <f>IF(AND(A822&lt;&gt;"",ISTEXT(A822),COUNTIFS(Processos!$AS$10:$AS$509,"="&amp;SUBSTITUTE(SUBSTITUTE(SUBSTITUTE("P:"&amp;A822,"~","~~"),"*","~*"),"?","~?"))=1),(IF(ISNA(MATCH(SUBSTITUTE(SUBSTITUTE(SUBSTITUTE("P:"&amp;A822,"~","~~"),"*","~*"),"?","~?"),Processos!$AS$10:$AS$509,0)),9,INDEX(Processos!$AM$10:$AM$509,MATCH(SUBSTITUTE(SUBSTITUTE(SUBSTITUTE("P:"&amp;A822,"~","~~"),"*","~*"),"?","~?"),Processos!$AS$10:$AS$509,0)))-9),0)</f>
        <v>0</v>
      </c>
      <c r="K822" s="34" t="str">
        <f t="shared" si="51"/>
        <v/>
      </c>
      <c r="L822" s="14">
        <f>ROW()</f>
        <v>822</v>
      </c>
    </row>
    <row r="823" spans="1:12" ht="60" customHeight="1">
      <c r="A823" s="41"/>
      <c r="B823" s="43"/>
      <c r="C823" s="44"/>
      <c r="D823" s="51"/>
      <c r="E823" s="44"/>
      <c r="F823" s="44"/>
      <c r="G823" s="34">
        <f t="shared" si="48"/>
        <v>0</v>
      </c>
      <c r="H823" s="34" t="str">
        <f t="shared" si="49"/>
        <v/>
      </c>
      <c r="I823" s="52" t="str">
        <f t="shared" si="50"/>
        <v/>
      </c>
      <c r="J823" s="34">
        <f>IF(AND(A823&lt;&gt;"",ISTEXT(A823),COUNTIFS(Processos!$AS$10:$AS$509,"="&amp;SUBSTITUTE(SUBSTITUTE(SUBSTITUTE("P:"&amp;A823,"~","~~"),"*","~*"),"?","~?"))=1),(IF(ISNA(MATCH(SUBSTITUTE(SUBSTITUTE(SUBSTITUTE("P:"&amp;A823,"~","~~"),"*","~*"),"?","~?"),Processos!$AS$10:$AS$509,0)),9,INDEX(Processos!$AM$10:$AM$509,MATCH(SUBSTITUTE(SUBSTITUTE(SUBSTITUTE("P:"&amp;A823,"~","~~"),"*","~*"),"?","~?"),Processos!$AS$10:$AS$509,0)))-9),0)</f>
        <v>0</v>
      </c>
      <c r="K823" s="34" t="str">
        <f t="shared" si="51"/>
        <v/>
      </c>
      <c r="L823" s="14">
        <f>ROW()</f>
        <v>823</v>
      </c>
    </row>
    <row r="824" spans="1:12" ht="60" customHeight="1">
      <c r="A824" s="41"/>
      <c r="B824" s="43"/>
      <c r="C824" s="44"/>
      <c r="D824" s="51"/>
      <c r="E824" s="44"/>
      <c r="F824" s="44"/>
      <c r="G824" s="34">
        <f t="shared" si="48"/>
        <v>0</v>
      </c>
      <c r="H824" s="34" t="str">
        <f t="shared" si="49"/>
        <v/>
      </c>
      <c r="I824" s="52" t="str">
        <f t="shared" si="50"/>
        <v/>
      </c>
      <c r="J824" s="34">
        <f>IF(AND(A824&lt;&gt;"",ISTEXT(A824),COUNTIFS(Processos!$AS$10:$AS$509,"="&amp;SUBSTITUTE(SUBSTITUTE(SUBSTITUTE("P:"&amp;A824,"~","~~"),"*","~*"),"?","~?"))=1),(IF(ISNA(MATCH(SUBSTITUTE(SUBSTITUTE(SUBSTITUTE("P:"&amp;A824,"~","~~"),"*","~*"),"?","~?"),Processos!$AS$10:$AS$509,0)),9,INDEX(Processos!$AM$10:$AM$509,MATCH(SUBSTITUTE(SUBSTITUTE(SUBSTITUTE("P:"&amp;A824,"~","~~"),"*","~*"),"?","~?"),Processos!$AS$10:$AS$509,0)))-9),0)</f>
        <v>0</v>
      </c>
      <c r="K824" s="34" t="str">
        <f t="shared" si="51"/>
        <v/>
      </c>
      <c r="L824" s="14">
        <f>ROW()</f>
        <v>824</v>
      </c>
    </row>
    <row r="825" spans="1:12" ht="60" customHeight="1">
      <c r="A825" s="41"/>
      <c r="B825" s="43"/>
      <c r="C825" s="44"/>
      <c r="D825" s="51"/>
      <c r="E825" s="44"/>
      <c r="F825" s="44"/>
      <c r="G825" s="34">
        <f t="shared" si="48"/>
        <v>0</v>
      </c>
      <c r="H825" s="34" t="str">
        <f t="shared" si="49"/>
        <v/>
      </c>
      <c r="I825" s="52" t="str">
        <f t="shared" si="50"/>
        <v/>
      </c>
      <c r="J825" s="34">
        <f>IF(AND(A825&lt;&gt;"",ISTEXT(A825),COUNTIFS(Processos!$AS$10:$AS$509,"="&amp;SUBSTITUTE(SUBSTITUTE(SUBSTITUTE("P:"&amp;A825,"~","~~"),"*","~*"),"?","~?"))=1),(IF(ISNA(MATCH(SUBSTITUTE(SUBSTITUTE(SUBSTITUTE("P:"&amp;A825,"~","~~"),"*","~*"),"?","~?"),Processos!$AS$10:$AS$509,0)),9,INDEX(Processos!$AM$10:$AM$509,MATCH(SUBSTITUTE(SUBSTITUTE(SUBSTITUTE("P:"&amp;A825,"~","~~"),"*","~*"),"?","~?"),Processos!$AS$10:$AS$509,0)))-9),0)</f>
        <v>0</v>
      </c>
      <c r="K825" s="34" t="str">
        <f t="shared" si="51"/>
        <v/>
      </c>
      <c r="L825" s="14">
        <f>ROW()</f>
        <v>825</v>
      </c>
    </row>
    <row r="826" spans="1:12" ht="60" customHeight="1">
      <c r="A826" s="41"/>
      <c r="B826" s="43"/>
      <c r="C826" s="44"/>
      <c r="D826" s="51"/>
      <c r="E826" s="44"/>
      <c r="F826" s="44"/>
      <c r="G826" s="34">
        <f t="shared" si="48"/>
        <v>0</v>
      </c>
      <c r="H826" s="34" t="str">
        <f t="shared" si="49"/>
        <v/>
      </c>
      <c r="I826" s="52" t="str">
        <f t="shared" si="50"/>
        <v/>
      </c>
      <c r="J826" s="34">
        <f>IF(AND(A826&lt;&gt;"",ISTEXT(A826),COUNTIFS(Processos!$AS$10:$AS$509,"="&amp;SUBSTITUTE(SUBSTITUTE(SUBSTITUTE("P:"&amp;A826,"~","~~"),"*","~*"),"?","~?"))=1),(IF(ISNA(MATCH(SUBSTITUTE(SUBSTITUTE(SUBSTITUTE("P:"&amp;A826,"~","~~"),"*","~*"),"?","~?"),Processos!$AS$10:$AS$509,0)),9,INDEX(Processos!$AM$10:$AM$509,MATCH(SUBSTITUTE(SUBSTITUTE(SUBSTITUTE("P:"&amp;A826,"~","~~"),"*","~*"),"?","~?"),Processos!$AS$10:$AS$509,0)))-9),0)</f>
        <v>0</v>
      </c>
      <c r="K826" s="34" t="str">
        <f t="shared" si="51"/>
        <v/>
      </c>
      <c r="L826" s="14">
        <f>ROW()</f>
        <v>826</v>
      </c>
    </row>
    <row r="827" spans="1:12" ht="60" customHeight="1">
      <c r="A827" s="41"/>
      <c r="B827" s="43"/>
      <c r="C827" s="44"/>
      <c r="D827" s="51"/>
      <c r="E827" s="44"/>
      <c r="F827" s="44"/>
      <c r="G827" s="34">
        <f t="shared" si="48"/>
        <v>0</v>
      </c>
      <c r="H827" s="34" t="str">
        <f t="shared" si="49"/>
        <v/>
      </c>
      <c r="I827" s="52" t="str">
        <f t="shared" si="50"/>
        <v/>
      </c>
      <c r="J827" s="34">
        <f>IF(AND(A827&lt;&gt;"",ISTEXT(A827),COUNTIFS(Processos!$AS$10:$AS$509,"="&amp;SUBSTITUTE(SUBSTITUTE(SUBSTITUTE("P:"&amp;A827,"~","~~"),"*","~*"),"?","~?"))=1),(IF(ISNA(MATCH(SUBSTITUTE(SUBSTITUTE(SUBSTITUTE("P:"&amp;A827,"~","~~"),"*","~*"),"?","~?"),Processos!$AS$10:$AS$509,0)),9,INDEX(Processos!$AM$10:$AM$509,MATCH(SUBSTITUTE(SUBSTITUTE(SUBSTITUTE("P:"&amp;A827,"~","~~"),"*","~*"),"?","~?"),Processos!$AS$10:$AS$509,0)))-9),0)</f>
        <v>0</v>
      </c>
      <c r="K827" s="34" t="str">
        <f t="shared" si="51"/>
        <v/>
      </c>
      <c r="L827" s="14">
        <f>ROW()</f>
        <v>827</v>
      </c>
    </row>
    <row r="828" spans="1:12" ht="60" customHeight="1">
      <c r="A828" s="41"/>
      <c r="B828" s="43"/>
      <c r="C828" s="44"/>
      <c r="D828" s="51"/>
      <c r="E828" s="44"/>
      <c r="F828" s="44"/>
      <c r="G828" s="34">
        <f t="shared" si="48"/>
        <v>0</v>
      </c>
      <c r="H828" s="34" t="str">
        <f t="shared" si="49"/>
        <v/>
      </c>
      <c r="I828" s="52" t="str">
        <f t="shared" si="50"/>
        <v/>
      </c>
      <c r="J828" s="34">
        <f>IF(AND(A828&lt;&gt;"",ISTEXT(A828),COUNTIFS(Processos!$AS$10:$AS$509,"="&amp;SUBSTITUTE(SUBSTITUTE(SUBSTITUTE("P:"&amp;A828,"~","~~"),"*","~*"),"?","~?"))=1),(IF(ISNA(MATCH(SUBSTITUTE(SUBSTITUTE(SUBSTITUTE("P:"&amp;A828,"~","~~"),"*","~*"),"?","~?"),Processos!$AS$10:$AS$509,0)),9,INDEX(Processos!$AM$10:$AM$509,MATCH(SUBSTITUTE(SUBSTITUTE(SUBSTITUTE("P:"&amp;A828,"~","~~"),"*","~*"),"?","~?"),Processos!$AS$10:$AS$509,0)))-9),0)</f>
        <v>0</v>
      </c>
      <c r="K828" s="34" t="str">
        <f t="shared" si="51"/>
        <v/>
      </c>
      <c r="L828" s="14">
        <f>ROW()</f>
        <v>828</v>
      </c>
    </row>
    <row r="829" spans="1:12" ht="60" customHeight="1">
      <c r="A829" s="41"/>
      <c r="B829" s="43"/>
      <c r="C829" s="44"/>
      <c r="D829" s="51"/>
      <c r="E829" s="44"/>
      <c r="F829" s="44"/>
      <c r="G829" s="34">
        <f t="shared" si="48"/>
        <v>0</v>
      </c>
      <c r="H829" s="34" t="str">
        <f t="shared" si="49"/>
        <v/>
      </c>
      <c r="I829" s="52" t="str">
        <f t="shared" si="50"/>
        <v/>
      </c>
      <c r="J829" s="34">
        <f>IF(AND(A829&lt;&gt;"",ISTEXT(A829),COUNTIFS(Processos!$AS$10:$AS$509,"="&amp;SUBSTITUTE(SUBSTITUTE(SUBSTITUTE("P:"&amp;A829,"~","~~"),"*","~*"),"?","~?"))=1),(IF(ISNA(MATCH(SUBSTITUTE(SUBSTITUTE(SUBSTITUTE("P:"&amp;A829,"~","~~"),"*","~*"),"?","~?"),Processos!$AS$10:$AS$509,0)),9,INDEX(Processos!$AM$10:$AM$509,MATCH(SUBSTITUTE(SUBSTITUTE(SUBSTITUTE("P:"&amp;A829,"~","~~"),"*","~*"),"?","~?"),Processos!$AS$10:$AS$509,0)))-9),0)</f>
        <v>0</v>
      </c>
      <c r="K829" s="34" t="str">
        <f t="shared" si="51"/>
        <v/>
      </c>
      <c r="L829" s="14">
        <f>ROW()</f>
        <v>829</v>
      </c>
    </row>
    <row r="830" spans="1:12" ht="60" customHeight="1">
      <c r="A830" s="41"/>
      <c r="B830" s="43"/>
      <c r="C830" s="44"/>
      <c r="D830" s="51"/>
      <c r="E830" s="44"/>
      <c r="F830" s="44"/>
      <c r="G830" s="34">
        <f t="shared" si="48"/>
        <v>0</v>
      </c>
      <c r="H830" s="34" t="str">
        <f t="shared" si="49"/>
        <v/>
      </c>
      <c r="I830" s="52" t="str">
        <f t="shared" si="50"/>
        <v/>
      </c>
      <c r="J830" s="34">
        <f>IF(AND(A830&lt;&gt;"",ISTEXT(A830),COUNTIFS(Processos!$AS$10:$AS$509,"="&amp;SUBSTITUTE(SUBSTITUTE(SUBSTITUTE("P:"&amp;A830,"~","~~"),"*","~*"),"?","~?"))=1),(IF(ISNA(MATCH(SUBSTITUTE(SUBSTITUTE(SUBSTITUTE("P:"&amp;A830,"~","~~"),"*","~*"),"?","~?"),Processos!$AS$10:$AS$509,0)),9,INDEX(Processos!$AM$10:$AM$509,MATCH(SUBSTITUTE(SUBSTITUTE(SUBSTITUTE("P:"&amp;A830,"~","~~"),"*","~*"),"?","~?"),Processos!$AS$10:$AS$509,0)))-9),0)</f>
        <v>0</v>
      </c>
      <c r="K830" s="34" t="str">
        <f t="shared" si="51"/>
        <v/>
      </c>
      <c r="L830" s="14">
        <f>ROW()</f>
        <v>830</v>
      </c>
    </row>
    <row r="831" spans="1:12" ht="60" customHeight="1">
      <c r="A831" s="41"/>
      <c r="B831" s="43"/>
      <c r="C831" s="44"/>
      <c r="D831" s="51"/>
      <c r="E831" s="44"/>
      <c r="F831" s="44"/>
      <c r="G831" s="34">
        <f t="shared" si="48"/>
        <v>0</v>
      </c>
      <c r="H831" s="34" t="str">
        <f t="shared" si="49"/>
        <v/>
      </c>
      <c r="I831" s="52" t="str">
        <f t="shared" si="50"/>
        <v/>
      </c>
      <c r="J831" s="34">
        <f>IF(AND(A831&lt;&gt;"",ISTEXT(A831),COUNTIFS(Processos!$AS$10:$AS$509,"="&amp;SUBSTITUTE(SUBSTITUTE(SUBSTITUTE("P:"&amp;A831,"~","~~"),"*","~*"),"?","~?"))=1),(IF(ISNA(MATCH(SUBSTITUTE(SUBSTITUTE(SUBSTITUTE("P:"&amp;A831,"~","~~"),"*","~*"),"?","~?"),Processos!$AS$10:$AS$509,0)),9,INDEX(Processos!$AM$10:$AM$509,MATCH(SUBSTITUTE(SUBSTITUTE(SUBSTITUTE("P:"&amp;A831,"~","~~"),"*","~*"),"?","~?"),Processos!$AS$10:$AS$509,0)))-9),0)</f>
        <v>0</v>
      </c>
      <c r="K831" s="34" t="str">
        <f t="shared" si="51"/>
        <v/>
      </c>
      <c r="L831" s="14">
        <f>ROW()</f>
        <v>831</v>
      </c>
    </row>
    <row r="832" spans="1:12" ht="60" customHeight="1">
      <c r="A832" s="41"/>
      <c r="B832" s="43"/>
      <c r="C832" s="44"/>
      <c r="D832" s="51"/>
      <c r="E832" s="44"/>
      <c r="F832" s="44"/>
      <c r="G832" s="34">
        <f t="shared" si="48"/>
        <v>0</v>
      </c>
      <c r="H832" s="34" t="str">
        <f t="shared" si="49"/>
        <v/>
      </c>
      <c r="I832" s="52" t="str">
        <f t="shared" si="50"/>
        <v/>
      </c>
      <c r="J832" s="34">
        <f>IF(AND(A832&lt;&gt;"",ISTEXT(A832),COUNTIFS(Processos!$AS$10:$AS$509,"="&amp;SUBSTITUTE(SUBSTITUTE(SUBSTITUTE("P:"&amp;A832,"~","~~"),"*","~*"),"?","~?"))=1),(IF(ISNA(MATCH(SUBSTITUTE(SUBSTITUTE(SUBSTITUTE("P:"&amp;A832,"~","~~"),"*","~*"),"?","~?"),Processos!$AS$10:$AS$509,0)),9,INDEX(Processos!$AM$10:$AM$509,MATCH(SUBSTITUTE(SUBSTITUTE(SUBSTITUTE("P:"&amp;A832,"~","~~"),"*","~*"),"?","~?"),Processos!$AS$10:$AS$509,0)))-9),0)</f>
        <v>0</v>
      </c>
      <c r="K832" s="34" t="str">
        <f t="shared" si="51"/>
        <v/>
      </c>
      <c r="L832" s="14">
        <f>ROW()</f>
        <v>832</v>
      </c>
    </row>
    <row r="833" spans="1:12" ht="60" customHeight="1">
      <c r="A833" s="41"/>
      <c r="B833" s="43"/>
      <c r="C833" s="44"/>
      <c r="D833" s="51"/>
      <c r="E833" s="44"/>
      <c r="F833" s="44"/>
      <c r="G833" s="34">
        <f t="shared" si="48"/>
        <v>0</v>
      </c>
      <c r="H833" s="34" t="str">
        <f t="shared" si="49"/>
        <v/>
      </c>
      <c r="I833" s="52" t="str">
        <f t="shared" si="50"/>
        <v/>
      </c>
      <c r="J833" s="34">
        <f>IF(AND(A833&lt;&gt;"",ISTEXT(A833),COUNTIFS(Processos!$AS$10:$AS$509,"="&amp;SUBSTITUTE(SUBSTITUTE(SUBSTITUTE("P:"&amp;A833,"~","~~"),"*","~*"),"?","~?"))=1),(IF(ISNA(MATCH(SUBSTITUTE(SUBSTITUTE(SUBSTITUTE("P:"&amp;A833,"~","~~"),"*","~*"),"?","~?"),Processos!$AS$10:$AS$509,0)),9,INDEX(Processos!$AM$10:$AM$509,MATCH(SUBSTITUTE(SUBSTITUTE(SUBSTITUTE("P:"&amp;A833,"~","~~"),"*","~*"),"?","~?"),Processos!$AS$10:$AS$509,0)))-9),0)</f>
        <v>0</v>
      </c>
      <c r="K833" s="34" t="str">
        <f t="shared" si="51"/>
        <v/>
      </c>
      <c r="L833" s="14">
        <f>ROW()</f>
        <v>833</v>
      </c>
    </row>
    <row r="834" spans="1:12" ht="60" customHeight="1">
      <c r="A834" s="41"/>
      <c r="B834" s="43"/>
      <c r="C834" s="44"/>
      <c r="D834" s="51"/>
      <c r="E834" s="44"/>
      <c r="F834" s="44"/>
      <c r="G834" s="34">
        <f t="shared" si="48"/>
        <v>0</v>
      </c>
      <c r="H834" s="34" t="str">
        <f t="shared" si="49"/>
        <v/>
      </c>
      <c r="I834" s="52" t="str">
        <f t="shared" si="50"/>
        <v/>
      </c>
      <c r="J834" s="34">
        <f>IF(AND(A834&lt;&gt;"",ISTEXT(A834),COUNTIFS(Processos!$AS$10:$AS$509,"="&amp;SUBSTITUTE(SUBSTITUTE(SUBSTITUTE("P:"&amp;A834,"~","~~"),"*","~*"),"?","~?"))=1),(IF(ISNA(MATCH(SUBSTITUTE(SUBSTITUTE(SUBSTITUTE("P:"&amp;A834,"~","~~"),"*","~*"),"?","~?"),Processos!$AS$10:$AS$509,0)),9,INDEX(Processos!$AM$10:$AM$509,MATCH(SUBSTITUTE(SUBSTITUTE(SUBSTITUTE("P:"&amp;A834,"~","~~"),"*","~*"),"?","~?"),Processos!$AS$10:$AS$509,0)))-9),0)</f>
        <v>0</v>
      </c>
      <c r="K834" s="34" t="str">
        <f t="shared" si="51"/>
        <v/>
      </c>
      <c r="L834" s="14">
        <f>ROW()</f>
        <v>834</v>
      </c>
    </row>
    <row r="835" spans="1:12" ht="60" customHeight="1">
      <c r="A835" s="41"/>
      <c r="B835" s="43"/>
      <c r="C835" s="44"/>
      <c r="D835" s="51"/>
      <c r="E835" s="44"/>
      <c r="F835" s="44"/>
      <c r="G835" s="34">
        <f t="shared" si="48"/>
        <v>0</v>
      </c>
      <c r="H835" s="34" t="str">
        <f t="shared" si="49"/>
        <v/>
      </c>
      <c r="I835" s="52" t="str">
        <f t="shared" si="50"/>
        <v/>
      </c>
      <c r="J835" s="34">
        <f>IF(AND(A835&lt;&gt;"",ISTEXT(A835),COUNTIFS(Processos!$AS$10:$AS$509,"="&amp;SUBSTITUTE(SUBSTITUTE(SUBSTITUTE("P:"&amp;A835,"~","~~"),"*","~*"),"?","~?"))=1),(IF(ISNA(MATCH(SUBSTITUTE(SUBSTITUTE(SUBSTITUTE("P:"&amp;A835,"~","~~"),"*","~*"),"?","~?"),Processos!$AS$10:$AS$509,0)),9,INDEX(Processos!$AM$10:$AM$509,MATCH(SUBSTITUTE(SUBSTITUTE(SUBSTITUTE("P:"&amp;A835,"~","~~"),"*","~*"),"?","~?"),Processos!$AS$10:$AS$509,0)))-9),0)</f>
        <v>0</v>
      </c>
      <c r="K835" s="34" t="str">
        <f t="shared" si="51"/>
        <v/>
      </c>
      <c r="L835" s="14">
        <f>ROW()</f>
        <v>835</v>
      </c>
    </row>
    <row r="836" spans="1:12" ht="60" customHeight="1">
      <c r="A836" s="41"/>
      <c r="B836" s="43"/>
      <c r="C836" s="44"/>
      <c r="D836" s="51"/>
      <c r="E836" s="44"/>
      <c r="F836" s="44"/>
      <c r="G836" s="34">
        <f t="shared" si="48"/>
        <v>0</v>
      </c>
      <c r="H836" s="34" t="str">
        <f t="shared" si="49"/>
        <v/>
      </c>
      <c r="I836" s="52" t="str">
        <f t="shared" si="50"/>
        <v/>
      </c>
      <c r="J836" s="34">
        <f>IF(AND(A836&lt;&gt;"",ISTEXT(A836),COUNTIFS(Processos!$AS$10:$AS$509,"="&amp;SUBSTITUTE(SUBSTITUTE(SUBSTITUTE("P:"&amp;A836,"~","~~"),"*","~*"),"?","~?"))=1),(IF(ISNA(MATCH(SUBSTITUTE(SUBSTITUTE(SUBSTITUTE("P:"&amp;A836,"~","~~"),"*","~*"),"?","~?"),Processos!$AS$10:$AS$509,0)),9,INDEX(Processos!$AM$10:$AM$509,MATCH(SUBSTITUTE(SUBSTITUTE(SUBSTITUTE("P:"&amp;A836,"~","~~"),"*","~*"),"?","~?"),Processos!$AS$10:$AS$509,0)))-9),0)</f>
        <v>0</v>
      </c>
      <c r="K836" s="34" t="str">
        <f t="shared" si="51"/>
        <v/>
      </c>
      <c r="L836" s="14">
        <f>ROW()</f>
        <v>836</v>
      </c>
    </row>
    <row r="837" spans="1:12" ht="60" customHeight="1">
      <c r="A837" s="41"/>
      <c r="B837" s="43"/>
      <c r="C837" s="44"/>
      <c r="D837" s="51"/>
      <c r="E837" s="44"/>
      <c r="F837" s="44"/>
      <c r="G837" s="34">
        <f t="shared" si="48"/>
        <v>0</v>
      </c>
      <c r="H837" s="34" t="str">
        <f t="shared" si="49"/>
        <v/>
      </c>
      <c r="I837" s="52" t="str">
        <f t="shared" si="50"/>
        <v/>
      </c>
      <c r="J837" s="34">
        <f>IF(AND(A837&lt;&gt;"",ISTEXT(A837),COUNTIFS(Processos!$AS$10:$AS$509,"="&amp;SUBSTITUTE(SUBSTITUTE(SUBSTITUTE("P:"&amp;A837,"~","~~"),"*","~*"),"?","~?"))=1),(IF(ISNA(MATCH(SUBSTITUTE(SUBSTITUTE(SUBSTITUTE("P:"&amp;A837,"~","~~"),"*","~*"),"?","~?"),Processos!$AS$10:$AS$509,0)),9,INDEX(Processos!$AM$10:$AM$509,MATCH(SUBSTITUTE(SUBSTITUTE(SUBSTITUTE("P:"&amp;A837,"~","~~"),"*","~*"),"?","~?"),Processos!$AS$10:$AS$509,0)))-9),0)</f>
        <v>0</v>
      </c>
      <c r="K837" s="34" t="str">
        <f t="shared" si="51"/>
        <v/>
      </c>
      <c r="L837" s="14">
        <f>ROW()</f>
        <v>837</v>
      </c>
    </row>
    <row r="838" spans="1:12" ht="60" customHeight="1">
      <c r="A838" s="41"/>
      <c r="B838" s="43"/>
      <c r="C838" s="44"/>
      <c r="D838" s="51"/>
      <c r="E838" s="44"/>
      <c r="F838" s="44"/>
      <c r="G838" s="34">
        <f t="shared" si="48"/>
        <v>0</v>
      </c>
      <c r="H838" s="34" t="str">
        <f t="shared" si="49"/>
        <v/>
      </c>
      <c r="I838" s="52" t="str">
        <f t="shared" si="50"/>
        <v/>
      </c>
      <c r="J838" s="34">
        <f>IF(AND(A838&lt;&gt;"",ISTEXT(A838),COUNTIFS(Processos!$AS$10:$AS$509,"="&amp;SUBSTITUTE(SUBSTITUTE(SUBSTITUTE("P:"&amp;A838,"~","~~"),"*","~*"),"?","~?"))=1),(IF(ISNA(MATCH(SUBSTITUTE(SUBSTITUTE(SUBSTITUTE("P:"&amp;A838,"~","~~"),"*","~*"),"?","~?"),Processos!$AS$10:$AS$509,0)),9,INDEX(Processos!$AM$10:$AM$509,MATCH(SUBSTITUTE(SUBSTITUTE(SUBSTITUTE("P:"&amp;A838,"~","~~"),"*","~*"),"?","~?"),Processos!$AS$10:$AS$509,0)))-9),0)</f>
        <v>0</v>
      </c>
      <c r="K838" s="34" t="str">
        <f t="shared" si="51"/>
        <v/>
      </c>
      <c r="L838" s="14">
        <f>ROW()</f>
        <v>838</v>
      </c>
    </row>
    <row r="839" spans="1:12" ht="60" customHeight="1">
      <c r="A839" s="41"/>
      <c r="B839" s="43"/>
      <c r="C839" s="44"/>
      <c r="D839" s="51"/>
      <c r="E839" s="44"/>
      <c r="F839" s="44"/>
      <c r="G839" s="34">
        <f t="shared" si="48"/>
        <v>0</v>
      </c>
      <c r="H839" s="34" t="str">
        <f t="shared" si="49"/>
        <v/>
      </c>
      <c r="I839" s="52" t="str">
        <f t="shared" si="50"/>
        <v/>
      </c>
      <c r="J839" s="34">
        <f>IF(AND(A839&lt;&gt;"",ISTEXT(A839),COUNTIFS(Processos!$AS$10:$AS$509,"="&amp;SUBSTITUTE(SUBSTITUTE(SUBSTITUTE("P:"&amp;A839,"~","~~"),"*","~*"),"?","~?"))=1),(IF(ISNA(MATCH(SUBSTITUTE(SUBSTITUTE(SUBSTITUTE("P:"&amp;A839,"~","~~"),"*","~*"),"?","~?"),Processos!$AS$10:$AS$509,0)),9,INDEX(Processos!$AM$10:$AM$509,MATCH(SUBSTITUTE(SUBSTITUTE(SUBSTITUTE("P:"&amp;A839,"~","~~"),"*","~*"),"?","~?"),Processos!$AS$10:$AS$509,0)))-9),0)</f>
        <v>0</v>
      </c>
      <c r="K839" s="34" t="str">
        <f t="shared" si="51"/>
        <v/>
      </c>
      <c r="L839" s="14">
        <f>ROW()</f>
        <v>839</v>
      </c>
    </row>
    <row r="840" spans="1:12" ht="60" customHeight="1">
      <c r="A840" s="41"/>
      <c r="B840" s="43"/>
      <c r="C840" s="44"/>
      <c r="D840" s="51"/>
      <c r="E840" s="44"/>
      <c r="F840" s="44"/>
      <c r="G840" s="34">
        <f t="shared" si="48"/>
        <v>0</v>
      </c>
      <c r="H840" s="34" t="str">
        <f t="shared" si="49"/>
        <v/>
      </c>
      <c r="I840" s="52" t="str">
        <f t="shared" si="50"/>
        <v/>
      </c>
      <c r="J840" s="34">
        <f>IF(AND(A840&lt;&gt;"",ISTEXT(A840),COUNTIFS(Processos!$AS$10:$AS$509,"="&amp;SUBSTITUTE(SUBSTITUTE(SUBSTITUTE("P:"&amp;A840,"~","~~"),"*","~*"),"?","~?"))=1),(IF(ISNA(MATCH(SUBSTITUTE(SUBSTITUTE(SUBSTITUTE("P:"&amp;A840,"~","~~"),"*","~*"),"?","~?"),Processos!$AS$10:$AS$509,0)),9,INDEX(Processos!$AM$10:$AM$509,MATCH(SUBSTITUTE(SUBSTITUTE(SUBSTITUTE("P:"&amp;A840,"~","~~"),"*","~*"),"?","~?"),Processos!$AS$10:$AS$509,0)))-9),0)</f>
        <v>0</v>
      </c>
      <c r="K840" s="34" t="str">
        <f t="shared" si="51"/>
        <v/>
      </c>
      <c r="L840" s="14">
        <f>ROW()</f>
        <v>840</v>
      </c>
    </row>
    <row r="841" spans="1:12" ht="60" customHeight="1">
      <c r="A841" s="41"/>
      <c r="B841" s="43"/>
      <c r="C841" s="44"/>
      <c r="D841" s="51"/>
      <c r="E841" s="44"/>
      <c r="F841" s="44"/>
      <c r="G841" s="34">
        <f t="shared" si="48"/>
        <v>0</v>
      </c>
      <c r="H841" s="34" t="str">
        <f t="shared" si="49"/>
        <v/>
      </c>
      <c r="I841" s="52" t="str">
        <f t="shared" si="50"/>
        <v/>
      </c>
      <c r="J841" s="34">
        <f>IF(AND(A841&lt;&gt;"",ISTEXT(A841),COUNTIFS(Processos!$AS$10:$AS$509,"="&amp;SUBSTITUTE(SUBSTITUTE(SUBSTITUTE("P:"&amp;A841,"~","~~"),"*","~*"),"?","~?"))=1),(IF(ISNA(MATCH(SUBSTITUTE(SUBSTITUTE(SUBSTITUTE("P:"&amp;A841,"~","~~"),"*","~*"),"?","~?"),Processos!$AS$10:$AS$509,0)),9,INDEX(Processos!$AM$10:$AM$509,MATCH(SUBSTITUTE(SUBSTITUTE(SUBSTITUTE("P:"&amp;A841,"~","~~"),"*","~*"),"?","~?"),Processos!$AS$10:$AS$509,0)))-9),0)</f>
        <v>0</v>
      </c>
      <c r="K841" s="34" t="str">
        <f t="shared" si="51"/>
        <v/>
      </c>
      <c r="L841" s="14">
        <f>ROW()</f>
        <v>841</v>
      </c>
    </row>
    <row r="842" spans="1:12" ht="60" customHeight="1">
      <c r="A842" s="41"/>
      <c r="B842" s="43"/>
      <c r="C842" s="44"/>
      <c r="D842" s="51"/>
      <c r="E842" s="44"/>
      <c r="F842" s="44"/>
      <c r="G842" s="34">
        <f t="shared" ref="G842:G905" si="52">IF(AND(J842&gt;0,OR(B842="",AND(ISNUMBER(B842),B842&gt;=1,B842&lt;=100000)),ISNUMBER(D842),D842&gt;=1,D842&lt;=100000,C842&lt;&gt;""),1,0)</f>
        <v>0</v>
      </c>
      <c r="H842" s="34" t="str">
        <f t="shared" ref="H842:H905" si="53">IF(G842=1,K842&amp;"|"&amp;D842,"")</f>
        <v/>
      </c>
      <c r="I842" s="52" t="str">
        <f t="shared" ref="I842:I905" si="54">IF(COUNTA(A842:F842)=0,"",IF(A842="","Selecione o processo",IF(J842=0,"Processo inexistente, duplicado ou número não textual",IF(B842="","Informe a data do andamento",IF(C842="","Descreva o andamento",IF(D842="","Informe a data e hora do recebimento",IF(OR(NOT(ISNUMBER(B842)),B842&lt;1,B842&gt;100000),"Revise a data do andamento",IF(OR(NOT(ISNUMBER(D842)),D842&lt;1,D842&gt;100000),"Revise a data e hora do recebimento",IF(COUNTIFS($K$10:$K$2009,"="&amp;SUBSTITUTE(SUBSTITUTE(SUBSTITUTE("P:"&amp;A842,"~","~~"),"*","~*"),"?","~?"),$D$10:$D$2009,D842,$G$10:$G$2009,1)&gt;1,"Recebimentos empatados: revise a hora ou consolide o registro","")))))))))</f>
        <v/>
      </c>
      <c r="J842" s="34">
        <f>IF(AND(A842&lt;&gt;"",ISTEXT(A842),COUNTIFS(Processos!$AS$10:$AS$509,"="&amp;SUBSTITUTE(SUBSTITUTE(SUBSTITUTE("P:"&amp;A842,"~","~~"),"*","~*"),"?","~?"))=1),(IF(ISNA(MATCH(SUBSTITUTE(SUBSTITUTE(SUBSTITUTE("P:"&amp;A842,"~","~~"),"*","~*"),"?","~?"),Processos!$AS$10:$AS$509,0)),9,INDEX(Processos!$AM$10:$AM$509,MATCH(SUBSTITUTE(SUBSTITUTE(SUBSTITUTE("P:"&amp;A842,"~","~~"),"*","~*"),"?","~?"),Processos!$AS$10:$AS$509,0)))-9),0)</f>
        <v>0</v>
      </c>
      <c r="K842" s="34" t="str">
        <f t="shared" ref="K842:K905" si="55">IF(AND(A842&lt;&gt;"",ISTEXT(A842)),"P:"&amp;A842,"")</f>
        <v/>
      </c>
      <c r="L842" s="14">
        <f>ROW()</f>
        <v>842</v>
      </c>
    </row>
    <row r="843" spans="1:12" ht="60" customHeight="1">
      <c r="A843" s="41"/>
      <c r="B843" s="43"/>
      <c r="C843" s="44"/>
      <c r="D843" s="51"/>
      <c r="E843" s="44"/>
      <c r="F843" s="44"/>
      <c r="G843" s="34">
        <f t="shared" si="52"/>
        <v>0</v>
      </c>
      <c r="H843" s="34" t="str">
        <f t="shared" si="53"/>
        <v/>
      </c>
      <c r="I843" s="52" t="str">
        <f t="shared" si="54"/>
        <v/>
      </c>
      <c r="J843" s="34">
        <f>IF(AND(A843&lt;&gt;"",ISTEXT(A843),COUNTIFS(Processos!$AS$10:$AS$509,"="&amp;SUBSTITUTE(SUBSTITUTE(SUBSTITUTE("P:"&amp;A843,"~","~~"),"*","~*"),"?","~?"))=1),(IF(ISNA(MATCH(SUBSTITUTE(SUBSTITUTE(SUBSTITUTE("P:"&amp;A843,"~","~~"),"*","~*"),"?","~?"),Processos!$AS$10:$AS$509,0)),9,INDEX(Processos!$AM$10:$AM$509,MATCH(SUBSTITUTE(SUBSTITUTE(SUBSTITUTE("P:"&amp;A843,"~","~~"),"*","~*"),"?","~?"),Processos!$AS$10:$AS$509,0)))-9),0)</f>
        <v>0</v>
      </c>
      <c r="K843" s="34" t="str">
        <f t="shared" si="55"/>
        <v/>
      </c>
      <c r="L843" s="14">
        <f>ROW()</f>
        <v>843</v>
      </c>
    </row>
    <row r="844" spans="1:12" ht="60" customHeight="1">
      <c r="A844" s="41"/>
      <c r="B844" s="43"/>
      <c r="C844" s="44"/>
      <c r="D844" s="51"/>
      <c r="E844" s="44"/>
      <c r="F844" s="44"/>
      <c r="G844" s="34">
        <f t="shared" si="52"/>
        <v>0</v>
      </c>
      <c r="H844" s="34" t="str">
        <f t="shared" si="53"/>
        <v/>
      </c>
      <c r="I844" s="52" t="str">
        <f t="shared" si="54"/>
        <v/>
      </c>
      <c r="J844" s="34">
        <f>IF(AND(A844&lt;&gt;"",ISTEXT(A844),COUNTIFS(Processos!$AS$10:$AS$509,"="&amp;SUBSTITUTE(SUBSTITUTE(SUBSTITUTE("P:"&amp;A844,"~","~~"),"*","~*"),"?","~?"))=1),(IF(ISNA(MATCH(SUBSTITUTE(SUBSTITUTE(SUBSTITUTE("P:"&amp;A844,"~","~~"),"*","~*"),"?","~?"),Processos!$AS$10:$AS$509,0)),9,INDEX(Processos!$AM$10:$AM$509,MATCH(SUBSTITUTE(SUBSTITUTE(SUBSTITUTE("P:"&amp;A844,"~","~~"),"*","~*"),"?","~?"),Processos!$AS$10:$AS$509,0)))-9),0)</f>
        <v>0</v>
      </c>
      <c r="K844" s="34" t="str">
        <f t="shared" si="55"/>
        <v/>
      </c>
      <c r="L844" s="14">
        <f>ROW()</f>
        <v>844</v>
      </c>
    </row>
    <row r="845" spans="1:12" ht="60" customHeight="1">
      <c r="A845" s="41"/>
      <c r="B845" s="43"/>
      <c r="C845" s="44"/>
      <c r="D845" s="51"/>
      <c r="E845" s="44"/>
      <c r="F845" s="44"/>
      <c r="G845" s="34">
        <f t="shared" si="52"/>
        <v>0</v>
      </c>
      <c r="H845" s="34" t="str">
        <f t="shared" si="53"/>
        <v/>
      </c>
      <c r="I845" s="52" t="str">
        <f t="shared" si="54"/>
        <v/>
      </c>
      <c r="J845" s="34">
        <f>IF(AND(A845&lt;&gt;"",ISTEXT(A845),COUNTIFS(Processos!$AS$10:$AS$509,"="&amp;SUBSTITUTE(SUBSTITUTE(SUBSTITUTE("P:"&amp;A845,"~","~~"),"*","~*"),"?","~?"))=1),(IF(ISNA(MATCH(SUBSTITUTE(SUBSTITUTE(SUBSTITUTE("P:"&amp;A845,"~","~~"),"*","~*"),"?","~?"),Processos!$AS$10:$AS$509,0)),9,INDEX(Processos!$AM$10:$AM$509,MATCH(SUBSTITUTE(SUBSTITUTE(SUBSTITUTE("P:"&amp;A845,"~","~~"),"*","~*"),"?","~?"),Processos!$AS$10:$AS$509,0)))-9),0)</f>
        <v>0</v>
      </c>
      <c r="K845" s="34" t="str">
        <f t="shared" si="55"/>
        <v/>
      </c>
      <c r="L845" s="14">
        <f>ROW()</f>
        <v>845</v>
      </c>
    </row>
    <row r="846" spans="1:12" ht="60" customHeight="1">
      <c r="A846" s="41"/>
      <c r="B846" s="43"/>
      <c r="C846" s="44"/>
      <c r="D846" s="51"/>
      <c r="E846" s="44"/>
      <c r="F846" s="44"/>
      <c r="G846" s="34">
        <f t="shared" si="52"/>
        <v>0</v>
      </c>
      <c r="H846" s="34" t="str">
        <f t="shared" si="53"/>
        <v/>
      </c>
      <c r="I846" s="52" t="str">
        <f t="shared" si="54"/>
        <v/>
      </c>
      <c r="J846" s="34">
        <f>IF(AND(A846&lt;&gt;"",ISTEXT(A846),COUNTIFS(Processos!$AS$10:$AS$509,"="&amp;SUBSTITUTE(SUBSTITUTE(SUBSTITUTE("P:"&amp;A846,"~","~~"),"*","~*"),"?","~?"))=1),(IF(ISNA(MATCH(SUBSTITUTE(SUBSTITUTE(SUBSTITUTE("P:"&amp;A846,"~","~~"),"*","~*"),"?","~?"),Processos!$AS$10:$AS$509,0)),9,INDEX(Processos!$AM$10:$AM$509,MATCH(SUBSTITUTE(SUBSTITUTE(SUBSTITUTE("P:"&amp;A846,"~","~~"),"*","~*"),"?","~?"),Processos!$AS$10:$AS$509,0)))-9),0)</f>
        <v>0</v>
      </c>
      <c r="K846" s="34" t="str">
        <f t="shared" si="55"/>
        <v/>
      </c>
      <c r="L846" s="14">
        <f>ROW()</f>
        <v>846</v>
      </c>
    </row>
    <row r="847" spans="1:12" ht="60" customHeight="1">
      <c r="A847" s="41"/>
      <c r="B847" s="43"/>
      <c r="C847" s="44"/>
      <c r="D847" s="51"/>
      <c r="E847" s="44"/>
      <c r="F847" s="44"/>
      <c r="G847" s="34">
        <f t="shared" si="52"/>
        <v>0</v>
      </c>
      <c r="H847" s="34" t="str">
        <f t="shared" si="53"/>
        <v/>
      </c>
      <c r="I847" s="52" t="str">
        <f t="shared" si="54"/>
        <v/>
      </c>
      <c r="J847" s="34">
        <f>IF(AND(A847&lt;&gt;"",ISTEXT(A847),COUNTIFS(Processos!$AS$10:$AS$509,"="&amp;SUBSTITUTE(SUBSTITUTE(SUBSTITUTE("P:"&amp;A847,"~","~~"),"*","~*"),"?","~?"))=1),(IF(ISNA(MATCH(SUBSTITUTE(SUBSTITUTE(SUBSTITUTE("P:"&amp;A847,"~","~~"),"*","~*"),"?","~?"),Processos!$AS$10:$AS$509,0)),9,INDEX(Processos!$AM$10:$AM$509,MATCH(SUBSTITUTE(SUBSTITUTE(SUBSTITUTE("P:"&amp;A847,"~","~~"),"*","~*"),"?","~?"),Processos!$AS$10:$AS$509,0)))-9),0)</f>
        <v>0</v>
      </c>
      <c r="K847" s="34" t="str">
        <f t="shared" si="55"/>
        <v/>
      </c>
      <c r="L847" s="14">
        <f>ROW()</f>
        <v>847</v>
      </c>
    </row>
    <row r="848" spans="1:12" ht="60" customHeight="1">
      <c r="A848" s="41"/>
      <c r="B848" s="43"/>
      <c r="C848" s="44"/>
      <c r="D848" s="51"/>
      <c r="E848" s="44"/>
      <c r="F848" s="44"/>
      <c r="G848" s="34">
        <f t="shared" si="52"/>
        <v>0</v>
      </c>
      <c r="H848" s="34" t="str">
        <f t="shared" si="53"/>
        <v/>
      </c>
      <c r="I848" s="52" t="str">
        <f t="shared" si="54"/>
        <v/>
      </c>
      <c r="J848" s="34">
        <f>IF(AND(A848&lt;&gt;"",ISTEXT(A848),COUNTIFS(Processos!$AS$10:$AS$509,"="&amp;SUBSTITUTE(SUBSTITUTE(SUBSTITUTE("P:"&amp;A848,"~","~~"),"*","~*"),"?","~?"))=1),(IF(ISNA(MATCH(SUBSTITUTE(SUBSTITUTE(SUBSTITUTE("P:"&amp;A848,"~","~~"),"*","~*"),"?","~?"),Processos!$AS$10:$AS$509,0)),9,INDEX(Processos!$AM$10:$AM$509,MATCH(SUBSTITUTE(SUBSTITUTE(SUBSTITUTE("P:"&amp;A848,"~","~~"),"*","~*"),"?","~?"),Processos!$AS$10:$AS$509,0)))-9),0)</f>
        <v>0</v>
      </c>
      <c r="K848" s="34" t="str">
        <f t="shared" si="55"/>
        <v/>
      </c>
      <c r="L848" s="14">
        <f>ROW()</f>
        <v>848</v>
      </c>
    </row>
    <row r="849" spans="1:12" ht="60" customHeight="1">
      <c r="A849" s="41"/>
      <c r="B849" s="43"/>
      <c r="C849" s="44"/>
      <c r="D849" s="51"/>
      <c r="E849" s="44"/>
      <c r="F849" s="44"/>
      <c r="G849" s="34">
        <f t="shared" si="52"/>
        <v>0</v>
      </c>
      <c r="H849" s="34" t="str">
        <f t="shared" si="53"/>
        <v/>
      </c>
      <c r="I849" s="52" t="str">
        <f t="shared" si="54"/>
        <v/>
      </c>
      <c r="J849" s="34">
        <f>IF(AND(A849&lt;&gt;"",ISTEXT(A849),COUNTIFS(Processos!$AS$10:$AS$509,"="&amp;SUBSTITUTE(SUBSTITUTE(SUBSTITUTE("P:"&amp;A849,"~","~~"),"*","~*"),"?","~?"))=1),(IF(ISNA(MATCH(SUBSTITUTE(SUBSTITUTE(SUBSTITUTE("P:"&amp;A849,"~","~~"),"*","~*"),"?","~?"),Processos!$AS$10:$AS$509,0)),9,INDEX(Processos!$AM$10:$AM$509,MATCH(SUBSTITUTE(SUBSTITUTE(SUBSTITUTE("P:"&amp;A849,"~","~~"),"*","~*"),"?","~?"),Processos!$AS$10:$AS$509,0)))-9),0)</f>
        <v>0</v>
      </c>
      <c r="K849" s="34" t="str">
        <f t="shared" si="55"/>
        <v/>
      </c>
      <c r="L849" s="14">
        <f>ROW()</f>
        <v>849</v>
      </c>
    </row>
    <row r="850" spans="1:12" ht="60" customHeight="1">
      <c r="A850" s="41"/>
      <c r="B850" s="43"/>
      <c r="C850" s="44"/>
      <c r="D850" s="51"/>
      <c r="E850" s="44"/>
      <c r="F850" s="44"/>
      <c r="G850" s="34">
        <f t="shared" si="52"/>
        <v>0</v>
      </c>
      <c r="H850" s="34" t="str">
        <f t="shared" si="53"/>
        <v/>
      </c>
      <c r="I850" s="52" t="str">
        <f t="shared" si="54"/>
        <v/>
      </c>
      <c r="J850" s="34">
        <f>IF(AND(A850&lt;&gt;"",ISTEXT(A850),COUNTIFS(Processos!$AS$10:$AS$509,"="&amp;SUBSTITUTE(SUBSTITUTE(SUBSTITUTE("P:"&amp;A850,"~","~~"),"*","~*"),"?","~?"))=1),(IF(ISNA(MATCH(SUBSTITUTE(SUBSTITUTE(SUBSTITUTE("P:"&amp;A850,"~","~~"),"*","~*"),"?","~?"),Processos!$AS$10:$AS$509,0)),9,INDEX(Processos!$AM$10:$AM$509,MATCH(SUBSTITUTE(SUBSTITUTE(SUBSTITUTE("P:"&amp;A850,"~","~~"),"*","~*"),"?","~?"),Processos!$AS$10:$AS$509,0)))-9),0)</f>
        <v>0</v>
      </c>
      <c r="K850" s="34" t="str">
        <f t="shared" si="55"/>
        <v/>
      </c>
      <c r="L850" s="14">
        <f>ROW()</f>
        <v>850</v>
      </c>
    </row>
    <row r="851" spans="1:12" ht="60" customHeight="1">
      <c r="A851" s="41"/>
      <c r="B851" s="43"/>
      <c r="C851" s="44"/>
      <c r="D851" s="51"/>
      <c r="E851" s="44"/>
      <c r="F851" s="44"/>
      <c r="G851" s="34">
        <f t="shared" si="52"/>
        <v>0</v>
      </c>
      <c r="H851" s="34" t="str">
        <f t="shared" si="53"/>
        <v/>
      </c>
      <c r="I851" s="52" t="str">
        <f t="shared" si="54"/>
        <v/>
      </c>
      <c r="J851" s="34">
        <f>IF(AND(A851&lt;&gt;"",ISTEXT(A851),COUNTIFS(Processos!$AS$10:$AS$509,"="&amp;SUBSTITUTE(SUBSTITUTE(SUBSTITUTE("P:"&amp;A851,"~","~~"),"*","~*"),"?","~?"))=1),(IF(ISNA(MATCH(SUBSTITUTE(SUBSTITUTE(SUBSTITUTE("P:"&amp;A851,"~","~~"),"*","~*"),"?","~?"),Processos!$AS$10:$AS$509,0)),9,INDEX(Processos!$AM$10:$AM$509,MATCH(SUBSTITUTE(SUBSTITUTE(SUBSTITUTE("P:"&amp;A851,"~","~~"),"*","~*"),"?","~?"),Processos!$AS$10:$AS$509,0)))-9),0)</f>
        <v>0</v>
      </c>
      <c r="K851" s="34" t="str">
        <f t="shared" si="55"/>
        <v/>
      </c>
      <c r="L851" s="14">
        <f>ROW()</f>
        <v>851</v>
      </c>
    </row>
    <row r="852" spans="1:12" ht="60" customHeight="1">
      <c r="A852" s="41"/>
      <c r="B852" s="43"/>
      <c r="C852" s="44"/>
      <c r="D852" s="51"/>
      <c r="E852" s="44"/>
      <c r="F852" s="44"/>
      <c r="G852" s="34">
        <f t="shared" si="52"/>
        <v>0</v>
      </c>
      <c r="H852" s="34" t="str">
        <f t="shared" si="53"/>
        <v/>
      </c>
      <c r="I852" s="52" t="str">
        <f t="shared" si="54"/>
        <v/>
      </c>
      <c r="J852" s="34">
        <f>IF(AND(A852&lt;&gt;"",ISTEXT(A852),COUNTIFS(Processos!$AS$10:$AS$509,"="&amp;SUBSTITUTE(SUBSTITUTE(SUBSTITUTE("P:"&amp;A852,"~","~~"),"*","~*"),"?","~?"))=1),(IF(ISNA(MATCH(SUBSTITUTE(SUBSTITUTE(SUBSTITUTE("P:"&amp;A852,"~","~~"),"*","~*"),"?","~?"),Processos!$AS$10:$AS$509,0)),9,INDEX(Processos!$AM$10:$AM$509,MATCH(SUBSTITUTE(SUBSTITUTE(SUBSTITUTE("P:"&amp;A852,"~","~~"),"*","~*"),"?","~?"),Processos!$AS$10:$AS$509,0)))-9),0)</f>
        <v>0</v>
      </c>
      <c r="K852" s="34" t="str">
        <f t="shared" si="55"/>
        <v/>
      </c>
      <c r="L852" s="14">
        <f>ROW()</f>
        <v>852</v>
      </c>
    </row>
    <row r="853" spans="1:12" ht="60" customHeight="1">
      <c r="A853" s="41"/>
      <c r="B853" s="43"/>
      <c r="C853" s="44"/>
      <c r="D853" s="51"/>
      <c r="E853" s="44"/>
      <c r="F853" s="44"/>
      <c r="G853" s="34">
        <f t="shared" si="52"/>
        <v>0</v>
      </c>
      <c r="H853" s="34" t="str">
        <f t="shared" si="53"/>
        <v/>
      </c>
      <c r="I853" s="52" t="str">
        <f t="shared" si="54"/>
        <v/>
      </c>
      <c r="J853" s="34">
        <f>IF(AND(A853&lt;&gt;"",ISTEXT(A853),COUNTIFS(Processos!$AS$10:$AS$509,"="&amp;SUBSTITUTE(SUBSTITUTE(SUBSTITUTE("P:"&amp;A853,"~","~~"),"*","~*"),"?","~?"))=1),(IF(ISNA(MATCH(SUBSTITUTE(SUBSTITUTE(SUBSTITUTE("P:"&amp;A853,"~","~~"),"*","~*"),"?","~?"),Processos!$AS$10:$AS$509,0)),9,INDEX(Processos!$AM$10:$AM$509,MATCH(SUBSTITUTE(SUBSTITUTE(SUBSTITUTE("P:"&amp;A853,"~","~~"),"*","~*"),"?","~?"),Processos!$AS$10:$AS$509,0)))-9),0)</f>
        <v>0</v>
      </c>
      <c r="K853" s="34" t="str">
        <f t="shared" si="55"/>
        <v/>
      </c>
      <c r="L853" s="14">
        <f>ROW()</f>
        <v>853</v>
      </c>
    </row>
    <row r="854" spans="1:12" ht="60" customHeight="1">
      <c r="A854" s="41"/>
      <c r="B854" s="43"/>
      <c r="C854" s="44"/>
      <c r="D854" s="51"/>
      <c r="E854" s="44"/>
      <c r="F854" s="44"/>
      <c r="G854" s="34">
        <f t="shared" si="52"/>
        <v>0</v>
      </c>
      <c r="H854" s="34" t="str">
        <f t="shared" si="53"/>
        <v/>
      </c>
      <c r="I854" s="52" t="str">
        <f t="shared" si="54"/>
        <v/>
      </c>
      <c r="J854" s="34">
        <f>IF(AND(A854&lt;&gt;"",ISTEXT(A854),COUNTIFS(Processos!$AS$10:$AS$509,"="&amp;SUBSTITUTE(SUBSTITUTE(SUBSTITUTE("P:"&amp;A854,"~","~~"),"*","~*"),"?","~?"))=1),(IF(ISNA(MATCH(SUBSTITUTE(SUBSTITUTE(SUBSTITUTE("P:"&amp;A854,"~","~~"),"*","~*"),"?","~?"),Processos!$AS$10:$AS$509,0)),9,INDEX(Processos!$AM$10:$AM$509,MATCH(SUBSTITUTE(SUBSTITUTE(SUBSTITUTE("P:"&amp;A854,"~","~~"),"*","~*"),"?","~?"),Processos!$AS$10:$AS$509,0)))-9),0)</f>
        <v>0</v>
      </c>
      <c r="K854" s="34" t="str">
        <f t="shared" si="55"/>
        <v/>
      </c>
      <c r="L854" s="14">
        <f>ROW()</f>
        <v>854</v>
      </c>
    </row>
    <row r="855" spans="1:12" ht="60" customHeight="1">
      <c r="A855" s="41"/>
      <c r="B855" s="43"/>
      <c r="C855" s="44"/>
      <c r="D855" s="51"/>
      <c r="E855" s="44"/>
      <c r="F855" s="44"/>
      <c r="G855" s="34">
        <f t="shared" si="52"/>
        <v>0</v>
      </c>
      <c r="H855" s="34" t="str">
        <f t="shared" si="53"/>
        <v/>
      </c>
      <c r="I855" s="52" t="str">
        <f t="shared" si="54"/>
        <v/>
      </c>
      <c r="J855" s="34">
        <f>IF(AND(A855&lt;&gt;"",ISTEXT(A855),COUNTIFS(Processos!$AS$10:$AS$509,"="&amp;SUBSTITUTE(SUBSTITUTE(SUBSTITUTE("P:"&amp;A855,"~","~~"),"*","~*"),"?","~?"))=1),(IF(ISNA(MATCH(SUBSTITUTE(SUBSTITUTE(SUBSTITUTE("P:"&amp;A855,"~","~~"),"*","~*"),"?","~?"),Processos!$AS$10:$AS$509,0)),9,INDEX(Processos!$AM$10:$AM$509,MATCH(SUBSTITUTE(SUBSTITUTE(SUBSTITUTE("P:"&amp;A855,"~","~~"),"*","~*"),"?","~?"),Processos!$AS$10:$AS$509,0)))-9),0)</f>
        <v>0</v>
      </c>
      <c r="K855" s="34" t="str">
        <f t="shared" si="55"/>
        <v/>
      </c>
      <c r="L855" s="14">
        <f>ROW()</f>
        <v>855</v>
      </c>
    </row>
    <row r="856" spans="1:12" ht="60" customHeight="1">
      <c r="A856" s="41"/>
      <c r="B856" s="43"/>
      <c r="C856" s="44"/>
      <c r="D856" s="51"/>
      <c r="E856" s="44"/>
      <c r="F856" s="44"/>
      <c r="G856" s="34">
        <f t="shared" si="52"/>
        <v>0</v>
      </c>
      <c r="H856" s="34" t="str">
        <f t="shared" si="53"/>
        <v/>
      </c>
      <c r="I856" s="52" t="str">
        <f t="shared" si="54"/>
        <v/>
      </c>
      <c r="J856" s="34">
        <f>IF(AND(A856&lt;&gt;"",ISTEXT(A856),COUNTIFS(Processos!$AS$10:$AS$509,"="&amp;SUBSTITUTE(SUBSTITUTE(SUBSTITUTE("P:"&amp;A856,"~","~~"),"*","~*"),"?","~?"))=1),(IF(ISNA(MATCH(SUBSTITUTE(SUBSTITUTE(SUBSTITUTE("P:"&amp;A856,"~","~~"),"*","~*"),"?","~?"),Processos!$AS$10:$AS$509,0)),9,INDEX(Processos!$AM$10:$AM$509,MATCH(SUBSTITUTE(SUBSTITUTE(SUBSTITUTE("P:"&amp;A856,"~","~~"),"*","~*"),"?","~?"),Processos!$AS$10:$AS$509,0)))-9),0)</f>
        <v>0</v>
      </c>
      <c r="K856" s="34" t="str">
        <f t="shared" si="55"/>
        <v/>
      </c>
      <c r="L856" s="14">
        <f>ROW()</f>
        <v>856</v>
      </c>
    </row>
    <row r="857" spans="1:12" ht="60" customHeight="1">
      <c r="A857" s="41"/>
      <c r="B857" s="43"/>
      <c r="C857" s="44"/>
      <c r="D857" s="51"/>
      <c r="E857" s="44"/>
      <c r="F857" s="44"/>
      <c r="G857" s="34">
        <f t="shared" si="52"/>
        <v>0</v>
      </c>
      <c r="H857" s="34" t="str">
        <f t="shared" si="53"/>
        <v/>
      </c>
      <c r="I857" s="52" t="str">
        <f t="shared" si="54"/>
        <v/>
      </c>
      <c r="J857" s="34">
        <f>IF(AND(A857&lt;&gt;"",ISTEXT(A857),COUNTIFS(Processos!$AS$10:$AS$509,"="&amp;SUBSTITUTE(SUBSTITUTE(SUBSTITUTE("P:"&amp;A857,"~","~~"),"*","~*"),"?","~?"))=1),(IF(ISNA(MATCH(SUBSTITUTE(SUBSTITUTE(SUBSTITUTE("P:"&amp;A857,"~","~~"),"*","~*"),"?","~?"),Processos!$AS$10:$AS$509,0)),9,INDEX(Processos!$AM$10:$AM$509,MATCH(SUBSTITUTE(SUBSTITUTE(SUBSTITUTE("P:"&amp;A857,"~","~~"),"*","~*"),"?","~?"),Processos!$AS$10:$AS$509,0)))-9),0)</f>
        <v>0</v>
      </c>
      <c r="K857" s="34" t="str">
        <f t="shared" si="55"/>
        <v/>
      </c>
      <c r="L857" s="14">
        <f>ROW()</f>
        <v>857</v>
      </c>
    </row>
    <row r="858" spans="1:12" ht="60" customHeight="1">
      <c r="A858" s="41"/>
      <c r="B858" s="43"/>
      <c r="C858" s="44"/>
      <c r="D858" s="51"/>
      <c r="E858" s="44"/>
      <c r="F858" s="44"/>
      <c r="G858" s="34">
        <f t="shared" si="52"/>
        <v>0</v>
      </c>
      <c r="H858" s="34" t="str">
        <f t="shared" si="53"/>
        <v/>
      </c>
      <c r="I858" s="52" t="str">
        <f t="shared" si="54"/>
        <v/>
      </c>
      <c r="J858" s="34">
        <f>IF(AND(A858&lt;&gt;"",ISTEXT(A858),COUNTIFS(Processos!$AS$10:$AS$509,"="&amp;SUBSTITUTE(SUBSTITUTE(SUBSTITUTE("P:"&amp;A858,"~","~~"),"*","~*"),"?","~?"))=1),(IF(ISNA(MATCH(SUBSTITUTE(SUBSTITUTE(SUBSTITUTE("P:"&amp;A858,"~","~~"),"*","~*"),"?","~?"),Processos!$AS$10:$AS$509,0)),9,INDEX(Processos!$AM$10:$AM$509,MATCH(SUBSTITUTE(SUBSTITUTE(SUBSTITUTE("P:"&amp;A858,"~","~~"),"*","~*"),"?","~?"),Processos!$AS$10:$AS$509,0)))-9),0)</f>
        <v>0</v>
      </c>
      <c r="K858" s="34" t="str">
        <f t="shared" si="55"/>
        <v/>
      </c>
      <c r="L858" s="14">
        <f>ROW()</f>
        <v>858</v>
      </c>
    </row>
    <row r="859" spans="1:12" ht="60" customHeight="1">
      <c r="A859" s="41"/>
      <c r="B859" s="43"/>
      <c r="C859" s="44"/>
      <c r="D859" s="51"/>
      <c r="E859" s="44"/>
      <c r="F859" s="44"/>
      <c r="G859" s="34">
        <f t="shared" si="52"/>
        <v>0</v>
      </c>
      <c r="H859" s="34" t="str">
        <f t="shared" si="53"/>
        <v/>
      </c>
      <c r="I859" s="52" t="str">
        <f t="shared" si="54"/>
        <v/>
      </c>
      <c r="J859" s="34">
        <f>IF(AND(A859&lt;&gt;"",ISTEXT(A859),COUNTIFS(Processos!$AS$10:$AS$509,"="&amp;SUBSTITUTE(SUBSTITUTE(SUBSTITUTE("P:"&amp;A859,"~","~~"),"*","~*"),"?","~?"))=1),(IF(ISNA(MATCH(SUBSTITUTE(SUBSTITUTE(SUBSTITUTE("P:"&amp;A859,"~","~~"),"*","~*"),"?","~?"),Processos!$AS$10:$AS$509,0)),9,INDEX(Processos!$AM$10:$AM$509,MATCH(SUBSTITUTE(SUBSTITUTE(SUBSTITUTE("P:"&amp;A859,"~","~~"),"*","~*"),"?","~?"),Processos!$AS$10:$AS$509,0)))-9),0)</f>
        <v>0</v>
      </c>
      <c r="K859" s="34" t="str">
        <f t="shared" si="55"/>
        <v/>
      </c>
      <c r="L859" s="14">
        <f>ROW()</f>
        <v>859</v>
      </c>
    </row>
    <row r="860" spans="1:12" ht="60" customHeight="1">
      <c r="A860" s="41"/>
      <c r="B860" s="43"/>
      <c r="C860" s="44"/>
      <c r="D860" s="51"/>
      <c r="E860" s="44"/>
      <c r="F860" s="44"/>
      <c r="G860" s="34">
        <f t="shared" si="52"/>
        <v>0</v>
      </c>
      <c r="H860" s="34" t="str">
        <f t="shared" si="53"/>
        <v/>
      </c>
      <c r="I860" s="52" t="str">
        <f t="shared" si="54"/>
        <v/>
      </c>
      <c r="J860" s="34">
        <f>IF(AND(A860&lt;&gt;"",ISTEXT(A860),COUNTIFS(Processos!$AS$10:$AS$509,"="&amp;SUBSTITUTE(SUBSTITUTE(SUBSTITUTE("P:"&amp;A860,"~","~~"),"*","~*"),"?","~?"))=1),(IF(ISNA(MATCH(SUBSTITUTE(SUBSTITUTE(SUBSTITUTE("P:"&amp;A860,"~","~~"),"*","~*"),"?","~?"),Processos!$AS$10:$AS$509,0)),9,INDEX(Processos!$AM$10:$AM$509,MATCH(SUBSTITUTE(SUBSTITUTE(SUBSTITUTE("P:"&amp;A860,"~","~~"),"*","~*"),"?","~?"),Processos!$AS$10:$AS$509,0)))-9),0)</f>
        <v>0</v>
      </c>
      <c r="K860" s="34" t="str">
        <f t="shared" si="55"/>
        <v/>
      </c>
      <c r="L860" s="14">
        <f>ROW()</f>
        <v>860</v>
      </c>
    </row>
    <row r="861" spans="1:12" ht="60" customHeight="1">
      <c r="A861" s="41"/>
      <c r="B861" s="43"/>
      <c r="C861" s="44"/>
      <c r="D861" s="51"/>
      <c r="E861" s="44"/>
      <c r="F861" s="44"/>
      <c r="G861" s="34">
        <f t="shared" si="52"/>
        <v>0</v>
      </c>
      <c r="H861" s="34" t="str">
        <f t="shared" si="53"/>
        <v/>
      </c>
      <c r="I861" s="52" t="str">
        <f t="shared" si="54"/>
        <v/>
      </c>
      <c r="J861" s="34">
        <f>IF(AND(A861&lt;&gt;"",ISTEXT(A861),COUNTIFS(Processos!$AS$10:$AS$509,"="&amp;SUBSTITUTE(SUBSTITUTE(SUBSTITUTE("P:"&amp;A861,"~","~~"),"*","~*"),"?","~?"))=1),(IF(ISNA(MATCH(SUBSTITUTE(SUBSTITUTE(SUBSTITUTE("P:"&amp;A861,"~","~~"),"*","~*"),"?","~?"),Processos!$AS$10:$AS$509,0)),9,INDEX(Processos!$AM$10:$AM$509,MATCH(SUBSTITUTE(SUBSTITUTE(SUBSTITUTE("P:"&amp;A861,"~","~~"),"*","~*"),"?","~?"),Processos!$AS$10:$AS$509,0)))-9),0)</f>
        <v>0</v>
      </c>
      <c r="K861" s="34" t="str">
        <f t="shared" si="55"/>
        <v/>
      </c>
      <c r="L861" s="14">
        <f>ROW()</f>
        <v>861</v>
      </c>
    </row>
    <row r="862" spans="1:12" ht="60" customHeight="1">
      <c r="A862" s="41"/>
      <c r="B862" s="43"/>
      <c r="C862" s="44"/>
      <c r="D862" s="51"/>
      <c r="E862" s="44"/>
      <c r="F862" s="44"/>
      <c r="G862" s="34">
        <f t="shared" si="52"/>
        <v>0</v>
      </c>
      <c r="H862" s="34" t="str">
        <f t="shared" si="53"/>
        <v/>
      </c>
      <c r="I862" s="52" t="str">
        <f t="shared" si="54"/>
        <v/>
      </c>
      <c r="J862" s="34">
        <f>IF(AND(A862&lt;&gt;"",ISTEXT(A862),COUNTIFS(Processos!$AS$10:$AS$509,"="&amp;SUBSTITUTE(SUBSTITUTE(SUBSTITUTE("P:"&amp;A862,"~","~~"),"*","~*"),"?","~?"))=1),(IF(ISNA(MATCH(SUBSTITUTE(SUBSTITUTE(SUBSTITUTE("P:"&amp;A862,"~","~~"),"*","~*"),"?","~?"),Processos!$AS$10:$AS$509,0)),9,INDEX(Processos!$AM$10:$AM$509,MATCH(SUBSTITUTE(SUBSTITUTE(SUBSTITUTE("P:"&amp;A862,"~","~~"),"*","~*"),"?","~?"),Processos!$AS$10:$AS$509,0)))-9),0)</f>
        <v>0</v>
      </c>
      <c r="K862" s="34" t="str">
        <f t="shared" si="55"/>
        <v/>
      </c>
      <c r="L862" s="14">
        <f>ROW()</f>
        <v>862</v>
      </c>
    </row>
    <row r="863" spans="1:12" ht="60" customHeight="1">
      <c r="A863" s="41"/>
      <c r="B863" s="43"/>
      <c r="C863" s="44"/>
      <c r="D863" s="51"/>
      <c r="E863" s="44"/>
      <c r="F863" s="44"/>
      <c r="G863" s="34">
        <f t="shared" si="52"/>
        <v>0</v>
      </c>
      <c r="H863" s="34" t="str">
        <f t="shared" si="53"/>
        <v/>
      </c>
      <c r="I863" s="52" t="str">
        <f t="shared" si="54"/>
        <v/>
      </c>
      <c r="J863" s="34">
        <f>IF(AND(A863&lt;&gt;"",ISTEXT(A863),COUNTIFS(Processos!$AS$10:$AS$509,"="&amp;SUBSTITUTE(SUBSTITUTE(SUBSTITUTE("P:"&amp;A863,"~","~~"),"*","~*"),"?","~?"))=1),(IF(ISNA(MATCH(SUBSTITUTE(SUBSTITUTE(SUBSTITUTE("P:"&amp;A863,"~","~~"),"*","~*"),"?","~?"),Processos!$AS$10:$AS$509,0)),9,INDEX(Processos!$AM$10:$AM$509,MATCH(SUBSTITUTE(SUBSTITUTE(SUBSTITUTE("P:"&amp;A863,"~","~~"),"*","~*"),"?","~?"),Processos!$AS$10:$AS$509,0)))-9),0)</f>
        <v>0</v>
      </c>
      <c r="K863" s="34" t="str">
        <f t="shared" si="55"/>
        <v/>
      </c>
      <c r="L863" s="14">
        <f>ROW()</f>
        <v>863</v>
      </c>
    </row>
    <row r="864" spans="1:12" ht="60" customHeight="1">
      <c r="A864" s="41"/>
      <c r="B864" s="43"/>
      <c r="C864" s="44"/>
      <c r="D864" s="51"/>
      <c r="E864" s="44"/>
      <c r="F864" s="44"/>
      <c r="G864" s="34">
        <f t="shared" si="52"/>
        <v>0</v>
      </c>
      <c r="H864" s="34" t="str">
        <f t="shared" si="53"/>
        <v/>
      </c>
      <c r="I864" s="52" t="str">
        <f t="shared" si="54"/>
        <v/>
      </c>
      <c r="J864" s="34">
        <f>IF(AND(A864&lt;&gt;"",ISTEXT(A864),COUNTIFS(Processos!$AS$10:$AS$509,"="&amp;SUBSTITUTE(SUBSTITUTE(SUBSTITUTE("P:"&amp;A864,"~","~~"),"*","~*"),"?","~?"))=1),(IF(ISNA(MATCH(SUBSTITUTE(SUBSTITUTE(SUBSTITUTE("P:"&amp;A864,"~","~~"),"*","~*"),"?","~?"),Processos!$AS$10:$AS$509,0)),9,INDEX(Processos!$AM$10:$AM$509,MATCH(SUBSTITUTE(SUBSTITUTE(SUBSTITUTE("P:"&amp;A864,"~","~~"),"*","~*"),"?","~?"),Processos!$AS$10:$AS$509,0)))-9),0)</f>
        <v>0</v>
      </c>
      <c r="K864" s="34" t="str">
        <f t="shared" si="55"/>
        <v/>
      </c>
      <c r="L864" s="14">
        <f>ROW()</f>
        <v>864</v>
      </c>
    </row>
    <row r="865" spans="1:12" ht="60" customHeight="1">
      <c r="A865" s="41"/>
      <c r="B865" s="43"/>
      <c r="C865" s="44"/>
      <c r="D865" s="51"/>
      <c r="E865" s="44"/>
      <c r="F865" s="44"/>
      <c r="G865" s="34">
        <f t="shared" si="52"/>
        <v>0</v>
      </c>
      <c r="H865" s="34" t="str">
        <f t="shared" si="53"/>
        <v/>
      </c>
      <c r="I865" s="52" t="str">
        <f t="shared" si="54"/>
        <v/>
      </c>
      <c r="J865" s="34">
        <f>IF(AND(A865&lt;&gt;"",ISTEXT(A865),COUNTIFS(Processos!$AS$10:$AS$509,"="&amp;SUBSTITUTE(SUBSTITUTE(SUBSTITUTE("P:"&amp;A865,"~","~~"),"*","~*"),"?","~?"))=1),(IF(ISNA(MATCH(SUBSTITUTE(SUBSTITUTE(SUBSTITUTE("P:"&amp;A865,"~","~~"),"*","~*"),"?","~?"),Processos!$AS$10:$AS$509,0)),9,INDEX(Processos!$AM$10:$AM$509,MATCH(SUBSTITUTE(SUBSTITUTE(SUBSTITUTE("P:"&amp;A865,"~","~~"),"*","~*"),"?","~?"),Processos!$AS$10:$AS$509,0)))-9),0)</f>
        <v>0</v>
      </c>
      <c r="K865" s="34" t="str">
        <f t="shared" si="55"/>
        <v/>
      </c>
      <c r="L865" s="14">
        <f>ROW()</f>
        <v>865</v>
      </c>
    </row>
    <row r="866" spans="1:12" ht="60" customHeight="1">
      <c r="A866" s="41"/>
      <c r="B866" s="43"/>
      <c r="C866" s="44"/>
      <c r="D866" s="51"/>
      <c r="E866" s="44"/>
      <c r="F866" s="44"/>
      <c r="G866" s="34">
        <f t="shared" si="52"/>
        <v>0</v>
      </c>
      <c r="H866" s="34" t="str">
        <f t="shared" si="53"/>
        <v/>
      </c>
      <c r="I866" s="52" t="str">
        <f t="shared" si="54"/>
        <v/>
      </c>
      <c r="J866" s="34">
        <f>IF(AND(A866&lt;&gt;"",ISTEXT(A866),COUNTIFS(Processos!$AS$10:$AS$509,"="&amp;SUBSTITUTE(SUBSTITUTE(SUBSTITUTE("P:"&amp;A866,"~","~~"),"*","~*"),"?","~?"))=1),(IF(ISNA(MATCH(SUBSTITUTE(SUBSTITUTE(SUBSTITUTE("P:"&amp;A866,"~","~~"),"*","~*"),"?","~?"),Processos!$AS$10:$AS$509,0)),9,INDEX(Processos!$AM$10:$AM$509,MATCH(SUBSTITUTE(SUBSTITUTE(SUBSTITUTE("P:"&amp;A866,"~","~~"),"*","~*"),"?","~?"),Processos!$AS$10:$AS$509,0)))-9),0)</f>
        <v>0</v>
      </c>
      <c r="K866" s="34" t="str">
        <f t="shared" si="55"/>
        <v/>
      </c>
      <c r="L866" s="14">
        <f>ROW()</f>
        <v>866</v>
      </c>
    </row>
    <row r="867" spans="1:12" ht="60" customHeight="1">
      <c r="A867" s="41"/>
      <c r="B867" s="43"/>
      <c r="C867" s="44"/>
      <c r="D867" s="51"/>
      <c r="E867" s="44"/>
      <c r="F867" s="44"/>
      <c r="G867" s="34">
        <f t="shared" si="52"/>
        <v>0</v>
      </c>
      <c r="H867" s="34" t="str">
        <f t="shared" si="53"/>
        <v/>
      </c>
      <c r="I867" s="52" t="str">
        <f t="shared" si="54"/>
        <v/>
      </c>
      <c r="J867" s="34">
        <f>IF(AND(A867&lt;&gt;"",ISTEXT(A867),COUNTIFS(Processos!$AS$10:$AS$509,"="&amp;SUBSTITUTE(SUBSTITUTE(SUBSTITUTE("P:"&amp;A867,"~","~~"),"*","~*"),"?","~?"))=1),(IF(ISNA(MATCH(SUBSTITUTE(SUBSTITUTE(SUBSTITUTE("P:"&amp;A867,"~","~~"),"*","~*"),"?","~?"),Processos!$AS$10:$AS$509,0)),9,INDEX(Processos!$AM$10:$AM$509,MATCH(SUBSTITUTE(SUBSTITUTE(SUBSTITUTE("P:"&amp;A867,"~","~~"),"*","~*"),"?","~?"),Processos!$AS$10:$AS$509,0)))-9),0)</f>
        <v>0</v>
      </c>
      <c r="K867" s="34" t="str">
        <f t="shared" si="55"/>
        <v/>
      </c>
      <c r="L867" s="14">
        <f>ROW()</f>
        <v>867</v>
      </c>
    </row>
    <row r="868" spans="1:12" ht="60" customHeight="1">
      <c r="A868" s="41"/>
      <c r="B868" s="43"/>
      <c r="C868" s="44"/>
      <c r="D868" s="51"/>
      <c r="E868" s="44"/>
      <c r="F868" s="44"/>
      <c r="G868" s="34">
        <f t="shared" si="52"/>
        <v>0</v>
      </c>
      <c r="H868" s="34" t="str">
        <f t="shared" si="53"/>
        <v/>
      </c>
      <c r="I868" s="52" t="str">
        <f t="shared" si="54"/>
        <v/>
      </c>
      <c r="J868" s="34">
        <f>IF(AND(A868&lt;&gt;"",ISTEXT(A868),COUNTIFS(Processos!$AS$10:$AS$509,"="&amp;SUBSTITUTE(SUBSTITUTE(SUBSTITUTE("P:"&amp;A868,"~","~~"),"*","~*"),"?","~?"))=1),(IF(ISNA(MATCH(SUBSTITUTE(SUBSTITUTE(SUBSTITUTE("P:"&amp;A868,"~","~~"),"*","~*"),"?","~?"),Processos!$AS$10:$AS$509,0)),9,INDEX(Processos!$AM$10:$AM$509,MATCH(SUBSTITUTE(SUBSTITUTE(SUBSTITUTE("P:"&amp;A868,"~","~~"),"*","~*"),"?","~?"),Processos!$AS$10:$AS$509,0)))-9),0)</f>
        <v>0</v>
      </c>
      <c r="K868" s="34" t="str">
        <f t="shared" si="55"/>
        <v/>
      </c>
      <c r="L868" s="14">
        <f>ROW()</f>
        <v>868</v>
      </c>
    </row>
    <row r="869" spans="1:12" ht="60" customHeight="1">
      <c r="A869" s="41"/>
      <c r="B869" s="43"/>
      <c r="C869" s="44"/>
      <c r="D869" s="51"/>
      <c r="E869" s="44"/>
      <c r="F869" s="44"/>
      <c r="G869" s="34">
        <f t="shared" si="52"/>
        <v>0</v>
      </c>
      <c r="H869" s="34" t="str">
        <f t="shared" si="53"/>
        <v/>
      </c>
      <c r="I869" s="52" t="str">
        <f t="shared" si="54"/>
        <v/>
      </c>
      <c r="J869" s="34">
        <f>IF(AND(A869&lt;&gt;"",ISTEXT(A869),COUNTIFS(Processos!$AS$10:$AS$509,"="&amp;SUBSTITUTE(SUBSTITUTE(SUBSTITUTE("P:"&amp;A869,"~","~~"),"*","~*"),"?","~?"))=1),(IF(ISNA(MATCH(SUBSTITUTE(SUBSTITUTE(SUBSTITUTE("P:"&amp;A869,"~","~~"),"*","~*"),"?","~?"),Processos!$AS$10:$AS$509,0)),9,INDEX(Processos!$AM$10:$AM$509,MATCH(SUBSTITUTE(SUBSTITUTE(SUBSTITUTE("P:"&amp;A869,"~","~~"),"*","~*"),"?","~?"),Processos!$AS$10:$AS$509,0)))-9),0)</f>
        <v>0</v>
      </c>
      <c r="K869" s="34" t="str">
        <f t="shared" si="55"/>
        <v/>
      </c>
      <c r="L869" s="14">
        <f>ROW()</f>
        <v>869</v>
      </c>
    </row>
    <row r="870" spans="1:12" ht="60" customHeight="1">
      <c r="A870" s="41"/>
      <c r="B870" s="43"/>
      <c r="C870" s="44"/>
      <c r="D870" s="51"/>
      <c r="E870" s="44"/>
      <c r="F870" s="44"/>
      <c r="G870" s="34">
        <f t="shared" si="52"/>
        <v>0</v>
      </c>
      <c r="H870" s="34" t="str">
        <f t="shared" si="53"/>
        <v/>
      </c>
      <c r="I870" s="52" t="str">
        <f t="shared" si="54"/>
        <v/>
      </c>
      <c r="J870" s="34">
        <f>IF(AND(A870&lt;&gt;"",ISTEXT(A870),COUNTIFS(Processos!$AS$10:$AS$509,"="&amp;SUBSTITUTE(SUBSTITUTE(SUBSTITUTE("P:"&amp;A870,"~","~~"),"*","~*"),"?","~?"))=1),(IF(ISNA(MATCH(SUBSTITUTE(SUBSTITUTE(SUBSTITUTE("P:"&amp;A870,"~","~~"),"*","~*"),"?","~?"),Processos!$AS$10:$AS$509,0)),9,INDEX(Processos!$AM$10:$AM$509,MATCH(SUBSTITUTE(SUBSTITUTE(SUBSTITUTE("P:"&amp;A870,"~","~~"),"*","~*"),"?","~?"),Processos!$AS$10:$AS$509,0)))-9),0)</f>
        <v>0</v>
      </c>
      <c r="K870" s="34" t="str">
        <f t="shared" si="55"/>
        <v/>
      </c>
      <c r="L870" s="14">
        <f>ROW()</f>
        <v>870</v>
      </c>
    </row>
    <row r="871" spans="1:12" ht="60" customHeight="1">
      <c r="A871" s="41"/>
      <c r="B871" s="43"/>
      <c r="C871" s="44"/>
      <c r="D871" s="51"/>
      <c r="E871" s="44"/>
      <c r="F871" s="44"/>
      <c r="G871" s="34">
        <f t="shared" si="52"/>
        <v>0</v>
      </c>
      <c r="H871" s="34" t="str">
        <f t="shared" si="53"/>
        <v/>
      </c>
      <c r="I871" s="52" t="str">
        <f t="shared" si="54"/>
        <v/>
      </c>
      <c r="J871" s="34">
        <f>IF(AND(A871&lt;&gt;"",ISTEXT(A871),COUNTIFS(Processos!$AS$10:$AS$509,"="&amp;SUBSTITUTE(SUBSTITUTE(SUBSTITUTE("P:"&amp;A871,"~","~~"),"*","~*"),"?","~?"))=1),(IF(ISNA(MATCH(SUBSTITUTE(SUBSTITUTE(SUBSTITUTE("P:"&amp;A871,"~","~~"),"*","~*"),"?","~?"),Processos!$AS$10:$AS$509,0)),9,INDEX(Processos!$AM$10:$AM$509,MATCH(SUBSTITUTE(SUBSTITUTE(SUBSTITUTE("P:"&amp;A871,"~","~~"),"*","~*"),"?","~?"),Processos!$AS$10:$AS$509,0)))-9),0)</f>
        <v>0</v>
      </c>
      <c r="K871" s="34" t="str">
        <f t="shared" si="55"/>
        <v/>
      </c>
      <c r="L871" s="14">
        <f>ROW()</f>
        <v>871</v>
      </c>
    </row>
    <row r="872" spans="1:12" ht="60" customHeight="1">
      <c r="A872" s="41"/>
      <c r="B872" s="43"/>
      <c r="C872" s="44"/>
      <c r="D872" s="51"/>
      <c r="E872" s="44"/>
      <c r="F872" s="44"/>
      <c r="G872" s="34">
        <f t="shared" si="52"/>
        <v>0</v>
      </c>
      <c r="H872" s="34" t="str">
        <f t="shared" si="53"/>
        <v/>
      </c>
      <c r="I872" s="52" t="str">
        <f t="shared" si="54"/>
        <v/>
      </c>
      <c r="J872" s="34">
        <f>IF(AND(A872&lt;&gt;"",ISTEXT(A872),COUNTIFS(Processos!$AS$10:$AS$509,"="&amp;SUBSTITUTE(SUBSTITUTE(SUBSTITUTE("P:"&amp;A872,"~","~~"),"*","~*"),"?","~?"))=1),(IF(ISNA(MATCH(SUBSTITUTE(SUBSTITUTE(SUBSTITUTE("P:"&amp;A872,"~","~~"),"*","~*"),"?","~?"),Processos!$AS$10:$AS$509,0)),9,INDEX(Processos!$AM$10:$AM$509,MATCH(SUBSTITUTE(SUBSTITUTE(SUBSTITUTE("P:"&amp;A872,"~","~~"),"*","~*"),"?","~?"),Processos!$AS$10:$AS$509,0)))-9),0)</f>
        <v>0</v>
      </c>
      <c r="K872" s="34" t="str">
        <f t="shared" si="55"/>
        <v/>
      </c>
      <c r="L872" s="14">
        <f>ROW()</f>
        <v>872</v>
      </c>
    </row>
    <row r="873" spans="1:12" ht="60" customHeight="1">
      <c r="A873" s="41"/>
      <c r="B873" s="43"/>
      <c r="C873" s="44"/>
      <c r="D873" s="51"/>
      <c r="E873" s="44"/>
      <c r="F873" s="44"/>
      <c r="G873" s="34">
        <f t="shared" si="52"/>
        <v>0</v>
      </c>
      <c r="H873" s="34" t="str">
        <f t="shared" si="53"/>
        <v/>
      </c>
      <c r="I873" s="52" t="str">
        <f t="shared" si="54"/>
        <v/>
      </c>
      <c r="J873" s="34">
        <f>IF(AND(A873&lt;&gt;"",ISTEXT(A873),COUNTIFS(Processos!$AS$10:$AS$509,"="&amp;SUBSTITUTE(SUBSTITUTE(SUBSTITUTE("P:"&amp;A873,"~","~~"),"*","~*"),"?","~?"))=1),(IF(ISNA(MATCH(SUBSTITUTE(SUBSTITUTE(SUBSTITUTE("P:"&amp;A873,"~","~~"),"*","~*"),"?","~?"),Processos!$AS$10:$AS$509,0)),9,INDEX(Processos!$AM$10:$AM$509,MATCH(SUBSTITUTE(SUBSTITUTE(SUBSTITUTE("P:"&amp;A873,"~","~~"),"*","~*"),"?","~?"),Processos!$AS$10:$AS$509,0)))-9),0)</f>
        <v>0</v>
      </c>
      <c r="K873" s="34" t="str">
        <f t="shared" si="55"/>
        <v/>
      </c>
      <c r="L873" s="14">
        <f>ROW()</f>
        <v>873</v>
      </c>
    </row>
    <row r="874" spans="1:12" ht="60" customHeight="1">
      <c r="A874" s="41"/>
      <c r="B874" s="43"/>
      <c r="C874" s="44"/>
      <c r="D874" s="51"/>
      <c r="E874" s="44"/>
      <c r="F874" s="44"/>
      <c r="G874" s="34">
        <f t="shared" si="52"/>
        <v>0</v>
      </c>
      <c r="H874" s="34" t="str">
        <f t="shared" si="53"/>
        <v/>
      </c>
      <c r="I874" s="52" t="str">
        <f t="shared" si="54"/>
        <v/>
      </c>
      <c r="J874" s="34">
        <f>IF(AND(A874&lt;&gt;"",ISTEXT(A874),COUNTIFS(Processos!$AS$10:$AS$509,"="&amp;SUBSTITUTE(SUBSTITUTE(SUBSTITUTE("P:"&amp;A874,"~","~~"),"*","~*"),"?","~?"))=1),(IF(ISNA(MATCH(SUBSTITUTE(SUBSTITUTE(SUBSTITUTE("P:"&amp;A874,"~","~~"),"*","~*"),"?","~?"),Processos!$AS$10:$AS$509,0)),9,INDEX(Processos!$AM$10:$AM$509,MATCH(SUBSTITUTE(SUBSTITUTE(SUBSTITUTE("P:"&amp;A874,"~","~~"),"*","~*"),"?","~?"),Processos!$AS$10:$AS$509,0)))-9),0)</f>
        <v>0</v>
      </c>
      <c r="K874" s="34" t="str">
        <f t="shared" si="55"/>
        <v/>
      </c>
      <c r="L874" s="14">
        <f>ROW()</f>
        <v>874</v>
      </c>
    </row>
    <row r="875" spans="1:12" ht="60" customHeight="1">
      <c r="A875" s="41"/>
      <c r="B875" s="43"/>
      <c r="C875" s="44"/>
      <c r="D875" s="51"/>
      <c r="E875" s="44"/>
      <c r="F875" s="44"/>
      <c r="G875" s="34">
        <f t="shared" si="52"/>
        <v>0</v>
      </c>
      <c r="H875" s="34" t="str">
        <f t="shared" si="53"/>
        <v/>
      </c>
      <c r="I875" s="52" t="str">
        <f t="shared" si="54"/>
        <v/>
      </c>
      <c r="J875" s="34">
        <f>IF(AND(A875&lt;&gt;"",ISTEXT(A875),COUNTIFS(Processos!$AS$10:$AS$509,"="&amp;SUBSTITUTE(SUBSTITUTE(SUBSTITUTE("P:"&amp;A875,"~","~~"),"*","~*"),"?","~?"))=1),(IF(ISNA(MATCH(SUBSTITUTE(SUBSTITUTE(SUBSTITUTE("P:"&amp;A875,"~","~~"),"*","~*"),"?","~?"),Processos!$AS$10:$AS$509,0)),9,INDEX(Processos!$AM$10:$AM$509,MATCH(SUBSTITUTE(SUBSTITUTE(SUBSTITUTE("P:"&amp;A875,"~","~~"),"*","~*"),"?","~?"),Processos!$AS$10:$AS$509,0)))-9),0)</f>
        <v>0</v>
      </c>
      <c r="K875" s="34" t="str">
        <f t="shared" si="55"/>
        <v/>
      </c>
      <c r="L875" s="14">
        <f>ROW()</f>
        <v>875</v>
      </c>
    </row>
    <row r="876" spans="1:12" ht="60" customHeight="1">
      <c r="A876" s="41"/>
      <c r="B876" s="43"/>
      <c r="C876" s="44"/>
      <c r="D876" s="51"/>
      <c r="E876" s="44"/>
      <c r="F876" s="44"/>
      <c r="G876" s="34">
        <f t="shared" si="52"/>
        <v>0</v>
      </c>
      <c r="H876" s="34" t="str">
        <f t="shared" si="53"/>
        <v/>
      </c>
      <c r="I876" s="52" t="str">
        <f t="shared" si="54"/>
        <v/>
      </c>
      <c r="J876" s="34">
        <f>IF(AND(A876&lt;&gt;"",ISTEXT(A876),COUNTIFS(Processos!$AS$10:$AS$509,"="&amp;SUBSTITUTE(SUBSTITUTE(SUBSTITUTE("P:"&amp;A876,"~","~~"),"*","~*"),"?","~?"))=1),(IF(ISNA(MATCH(SUBSTITUTE(SUBSTITUTE(SUBSTITUTE("P:"&amp;A876,"~","~~"),"*","~*"),"?","~?"),Processos!$AS$10:$AS$509,0)),9,INDEX(Processos!$AM$10:$AM$509,MATCH(SUBSTITUTE(SUBSTITUTE(SUBSTITUTE("P:"&amp;A876,"~","~~"),"*","~*"),"?","~?"),Processos!$AS$10:$AS$509,0)))-9),0)</f>
        <v>0</v>
      </c>
      <c r="K876" s="34" t="str">
        <f t="shared" si="55"/>
        <v/>
      </c>
      <c r="L876" s="14">
        <f>ROW()</f>
        <v>876</v>
      </c>
    </row>
    <row r="877" spans="1:12" ht="60" customHeight="1">
      <c r="A877" s="41"/>
      <c r="B877" s="43"/>
      <c r="C877" s="44"/>
      <c r="D877" s="51"/>
      <c r="E877" s="44"/>
      <c r="F877" s="44"/>
      <c r="G877" s="34">
        <f t="shared" si="52"/>
        <v>0</v>
      </c>
      <c r="H877" s="34" t="str">
        <f t="shared" si="53"/>
        <v/>
      </c>
      <c r="I877" s="52" t="str">
        <f t="shared" si="54"/>
        <v/>
      </c>
      <c r="J877" s="34">
        <f>IF(AND(A877&lt;&gt;"",ISTEXT(A877),COUNTIFS(Processos!$AS$10:$AS$509,"="&amp;SUBSTITUTE(SUBSTITUTE(SUBSTITUTE("P:"&amp;A877,"~","~~"),"*","~*"),"?","~?"))=1),(IF(ISNA(MATCH(SUBSTITUTE(SUBSTITUTE(SUBSTITUTE("P:"&amp;A877,"~","~~"),"*","~*"),"?","~?"),Processos!$AS$10:$AS$509,0)),9,INDEX(Processos!$AM$10:$AM$509,MATCH(SUBSTITUTE(SUBSTITUTE(SUBSTITUTE("P:"&amp;A877,"~","~~"),"*","~*"),"?","~?"),Processos!$AS$10:$AS$509,0)))-9),0)</f>
        <v>0</v>
      </c>
      <c r="K877" s="34" t="str">
        <f t="shared" si="55"/>
        <v/>
      </c>
      <c r="L877" s="14">
        <f>ROW()</f>
        <v>877</v>
      </c>
    </row>
    <row r="878" spans="1:12" ht="60" customHeight="1">
      <c r="A878" s="41"/>
      <c r="B878" s="43"/>
      <c r="C878" s="44"/>
      <c r="D878" s="51"/>
      <c r="E878" s="44"/>
      <c r="F878" s="44"/>
      <c r="G878" s="34">
        <f t="shared" si="52"/>
        <v>0</v>
      </c>
      <c r="H878" s="34" t="str">
        <f t="shared" si="53"/>
        <v/>
      </c>
      <c r="I878" s="52" t="str">
        <f t="shared" si="54"/>
        <v/>
      </c>
      <c r="J878" s="34">
        <f>IF(AND(A878&lt;&gt;"",ISTEXT(A878),COUNTIFS(Processos!$AS$10:$AS$509,"="&amp;SUBSTITUTE(SUBSTITUTE(SUBSTITUTE("P:"&amp;A878,"~","~~"),"*","~*"),"?","~?"))=1),(IF(ISNA(MATCH(SUBSTITUTE(SUBSTITUTE(SUBSTITUTE("P:"&amp;A878,"~","~~"),"*","~*"),"?","~?"),Processos!$AS$10:$AS$509,0)),9,INDEX(Processos!$AM$10:$AM$509,MATCH(SUBSTITUTE(SUBSTITUTE(SUBSTITUTE("P:"&amp;A878,"~","~~"),"*","~*"),"?","~?"),Processos!$AS$10:$AS$509,0)))-9),0)</f>
        <v>0</v>
      </c>
      <c r="K878" s="34" t="str">
        <f t="shared" si="55"/>
        <v/>
      </c>
      <c r="L878" s="14">
        <f>ROW()</f>
        <v>878</v>
      </c>
    </row>
    <row r="879" spans="1:12" ht="60" customHeight="1">
      <c r="A879" s="41"/>
      <c r="B879" s="43"/>
      <c r="C879" s="44"/>
      <c r="D879" s="51"/>
      <c r="E879" s="44"/>
      <c r="F879" s="44"/>
      <c r="G879" s="34">
        <f t="shared" si="52"/>
        <v>0</v>
      </c>
      <c r="H879" s="34" t="str">
        <f t="shared" si="53"/>
        <v/>
      </c>
      <c r="I879" s="52" t="str">
        <f t="shared" si="54"/>
        <v/>
      </c>
      <c r="J879" s="34">
        <f>IF(AND(A879&lt;&gt;"",ISTEXT(A879),COUNTIFS(Processos!$AS$10:$AS$509,"="&amp;SUBSTITUTE(SUBSTITUTE(SUBSTITUTE("P:"&amp;A879,"~","~~"),"*","~*"),"?","~?"))=1),(IF(ISNA(MATCH(SUBSTITUTE(SUBSTITUTE(SUBSTITUTE("P:"&amp;A879,"~","~~"),"*","~*"),"?","~?"),Processos!$AS$10:$AS$509,0)),9,INDEX(Processos!$AM$10:$AM$509,MATCH(SUBSTITUTE(SUBSTITUTE(SUBSTITUTE("P:"&amp;A879,"~","~~"),"*","~*"),"?","~?"),Processos!$AS$10:$AS$509,0)))-9),0)</f>
        <v>0</v>
      </c>
      <c r="K879" s="34" t="str">
        <f t="shared" si="55"/>
        <v/>
      </c>
      <c r="L879" s="14">
        <f>ROW()</f>
        <v>879</v>
      </c>
    </row>
    <row r="880" spans="1:12" ht="60" customHeight="1">
      <c r="A880" s="41"/>
      <c r="B880" s="43"/>
      <c r="C880" s="44"/>
      <c r="D880" s="51"/>
      <c r="E880" s="44"/>
      <c r="F880" s="44"/>
      <c r="G880" s="34">
        <f t="shared" si="52"/>
        <v>0</v>
      </c>
      <c r="H880" s="34" t="str">
        <f t="shared" si="53"/>
        <v/>
      </c>
      <c r="I880" s="52" t="str">
        <f t="shared" si="54"/>
        <v/>
      </c>
      <c r="J880" s="34">
        <f>IF(AND(A880&lt;&gt;"",ISTEXT(A880),COUNTIFS(Processos!$AS$10:$AS$509,"="&amp;SUBSTITUTE(SUBSTITUTE(SUBSTITUTE("P:"&amp;A880,"~","~~"),"*","~*"),"?","~?"))=1),(IF(ISNA(MATCH(SUBSTITUTE(SUBSTITUTE(SUBSTITUTE("P:"&amp;A880,"~","~~"),"*","~*"),"?","~?"),Processos!$AS$10:$AS$509,0)),9,INDEX(Processos!$AM$10:$AM$509,MATCH(SUBSTITUTE(SUBSTITUTE(SUBSTITUTE("P:"&amp;A880,"~","~~"),"*","~*"),"?","~?"),Processos!$AS$10:$AS$509,0)))-9),0)</f>
        <v>0</v>
      </c>
      <c r="K880" s="34" t="str">
        <f t="shared" si="55"/>
        <v/>
      </c>
      <c r="L880" s="14">
        <f>ROW()</f>
        <v>880</v>
      </c>
    </row>
    <row r="881" spans="1:12" ht="60" customHeight="1">
      <c r="A881" s="41"/>
      <c r="B881" s="43"/>
      <c r="C881" s="44"/>
      <c r="D881" s="51"/>
      <c r="E881" s="44"/>
      <c r="F881" s="44"/>
      <c r="G881" s="34">
        <f t="shared" si="52"/>
        <v>0</v>
      </c>
      <c r="H881" s="34" t="str">
        <f t="shared" si="53"/>
        <v/>
      </c>
      <c r="I881" s="52" t="str">
        <f t="shared" si="54"/>
        <v/>
      </c>
      <c r="J881" s="34">
        <f>IF(AND(A881&lt;&gt;"",ISTEXT(A881),COUNTIFS(Processos!$AS$10:$AS$509,"="&amp;SUBSTITUTE(SUBSTITUTE(SUBSTITUTE("P:"&amp;A881,"~","~~"),"*","~*"),"?","~?"))=1),(IF(ISNA(MATCH(SUBSTITUTE(SUBSTITUTE(SUBSTITUTE("P:"&amp;A881,"~","~~"),"*","~*"),"?","~?"),Processos!$AS$10:$AS$509,0)),9,INDEX(Processos!$AM$10:$AM$509,MATCH(SUBSTITUTE(SUBSTITUTE(SUBSTITUTE("P:"&amp;A881,"~","~~"),"*","~*"),"?","~?"),Processos!$AS$10:$AS$509,0)))-9),0)</f>
        <v>0</v>
      </c>
      <c r="K881" s="34" t="str">
        <f t="shared" si="55"/>
        <v/>
      </c>
      <c r="L881" s="14">
        <f>ROW()</f>
        <v>881</v>
      </c>
    </row>
    <row r="882" spans="1:12" ht="60" customHeight="1">
      <c r="A882" s="41"/>
      <c r="B882" s="43"/>
      <c r="C882" s="44"/>
      <c r="D882" s="51"/>
      <c r="E882" s="44"/>
      <c r="F882" s="44"/>
      <c r="G882" s="34">
        <f t="shared" si="52"/>
        <v>0</v>
      </c>
      <c r="H882" s="34" t="str">
        <f t="shared" si="53"/>
        <v/>
      </c>
      <c r="I882" s="52" t="str">
        <f t="shared" si="54"/>
        <v/>
      </c>
      <c r="J882" s="34">
        <f>IF(AND(A882&lt;&gt;"",ISTEXT(A882),COUNTIFS(Processos!$AS$10:$AS$509,"="&amp;SUBSTITUTE(SUBSTITUTE(SUBSTITUTE("P:"&amp;A882,"~","~~"),"*","~*"),"?","~?"))=1),(IF(ISNA(MATCH(SUBSTITUTE(SUBSTITUTE(SUBSTITUTE("P:"&amp;A882,"~","~~"),"*","~*"),"?","~?"),Processos!$AS$10:$AS$509,0)),9,INDEX(Processos!$AM$10:$AM$509,MATCH(SUBSTITUTE(SUBSTITUTE(SUBSTITUTE("P:"&amp;A882,"~","~~"),"*","~*"),"?","~?"),Processos!$AS$10:$AS$509,0)))-9),0)</f>
        <v>0</v>
      </c>
      <c r="K882" s="34" t="str">
        <f t="shared" si="55"/>
        <v/>
      </c>
      <c r="L882" s="14">
        <f>ROW()</f>
        <v>882</v>
      </c>
    </row>
    <row r="883" spans="1:12" ht="60" customHeight="1">
      <c r="A883" s="41"/>
      <c r="B883" s="43"/>
      <c r="C883" s="44"/>
      <c r="D883" s="51"/>
      <c r="E883" s="44"/>
      <c r="F883" s="44"/>
      <c r="G883" s="34">
        <f t="shared" si="52"/>
        <v>0</v>
      </c>
      <c r="H883" s="34" t="str">
        <f t="shared" si="53"/>
        <v/>
      </c>
      <c r="I883" s="52" t="str">
        <f t="shared" si="54"/>
        <v/>
      </c>
      <c r="J883" s="34">
        <f>IF(AND(A883&lt;&gt;"",ISTEXT(A883),COUNTIFS(Processos!$AS$10:$AS$509,"="&amp;SUBSTITUTE(SUBSTITUTE(SUBSTITUTE("P:"&amp;A883,"~","~~"),"*","~*"),"?","~?"))=1),(IF(ISNA(MATCH(SUBSTITUTE(SUBSTITUTE(SUBSTITUTE("P:"&amp;A883,"~","~~"),"*","~*"),"?","~?"),Processos!$AS$10:$AS$509,0)),9,INDEX(Processos!$AM$10:$AM$509,MATCH(SUBSTITUTE(SUBSTITUTE(SUBSTITUTE("P:"&amp;A883,"~","~~"),"*","~*"),"?","~?"),Processos!$AS$10:$AS$509,0)))-9),0)</f>
        <v>0</v>
      </c>
      <c r="K883" s="34" t="str">
        <f t="shared" si="55"/>
        <v/>
      </c>
      <c r="L883" s="14">
        <f>ROW()</f>
        <v>883</v>
      </c>
    </row>
    <row r="884" spans="1:12" ht="60" customHeight="1">
      <c r="A884" s="41"/>
      <c r="B884" s="43"/>
      <c r="C884" s="44"/>
      <c r="D884" s="51"/>
      <c r="E884" s="44"/>
      <c r="F884" s="44"/>
      <c r="G884" s="34">
        <f t="shared" si="52"/>
        <v>0</v>
      </c>
      <c r="H884" s="34" t="str">
        <f t="shared" si="53"/>
        <v/>
      </c>
      <c r="I884" s="52" t="str">
        <f t="shared" si="54"/>
        <v/>
      </c>
      <c r="J884" s="34">
        <f>IF(AND(A884&lt;&gt;"",ISTEXT(A884),COUNTIFS(Processos!$AS$10:$AS$509,"="&amp;SUBSTITUTE(SUBSTITUTE(SUBSTITUTE("P:"&amp;A884,"~","~~"),"*","~*"),"?","~?"))=1),(IF(ISNA(MATCH(SUBSTITUTE(SUBSTITUTE(SUBSTITUTE("P:"&amp;A884,"~","~~"),"*","~*"),"?","~?"),Processos!$AS$10:$AS$509,0)),9,INDEX(Processos!$AM$10:$AM$509,MATCH(SUBSTITUTE(SUBSTITUTE(SUBSTITUTE("P:"&amp;A884,"~","~~"),"*","~*"),"?","~?"),Processos!$AS$10:$AS$509,0)))-9),0)</f>
        <v>0</v>
      </c>
      <c r="K884" s="34" t="str">
        <f t="shared" si="55"/>
        <v/>
      </c>
      <c r="L884" s="14">
        <f>ROW()</f>
        <v>884</v>
      </c>
    </row>
    <row r="885" spans="1:12" ht="60" customHeight="1">
      <c r="A885" s="41"/>
      <c r="B885" s="43"/>
      <c r="C885" s="44"/>
      <c r="D885" s="51"/>
      <c r="E885" s="44"/>
      <c r="F885" s="44"/>
      <c r="G885" s="34">
        <f t="shared" si="52"/>
        <v>0</v>
      </c>
      <c r="H885" s="34" t="str">
        <f t="shared" si="53"/>
        <v/>
      </c>
      <c r="I885" s="52" t="str">
        <f t="shared" si="54"/>
        <v/>
      </c>
      <c r="J885" s="34">
        <f>IF(AND(A885&lt;&gt;"",ISTEXT(A885),COUNTIFS(Processos!$AS$10:$AS$509,"="&amp;SUBSTITUTE(SUBSTITUTE(SUBSTITUTE("P:"&amp;A885,"~","~~"),"*","~*"),"?","~?"))=1),(IF(ISNA(MATCH(SUBSTITUTE(SUBSTITUTE(SUBSTITUTE("P:"&amp;A885,"~","~~"),"*","~*"),"?","~?"),Processos!$AS$10:$AS$509,0)),9,INDEX(Processos!$AM$10:$AM$509,MATCH(SUBSTITUTE(SUBSTITUTE(SUBSTITUTE("P:"&amp;A885,"~","~~"),"*","~*"),"?","~?"),Processos!$AS$10:$AS$509,0)))-9),0)</f>
        <v>0</v>
      </c>
      <c r="K885" s="34" t="str">
        <f t="shared" si="55"/>
        <v/>
      </c>
      <c r="L885" s="14">
        <f>ROW()</f>
        <v>885</v>
      </c>
    </row>
    <row r="886" spans="1:12" ht="60" customHeight="1">
      <c r="A886" s="41"/>
      <c r="B886" s="43"/>
      <c r="C886" s="44"/>
      <c r="D886" s="51"/>
      <c r="E886" s="44"/>
      <c r="F886" s="44"/>
      <c r="G886" s="34">
        <f t="shared" si="52"/>
        <v>0</v>
      </c>
      <c r="H886" s="34" t="str">
        <f t="shared" si="53"/>
        <v/>
      </c>
      <c r="I886" s="52" t="str">
        <f t="shared" si="54"/>
        <v/>
      </c>
      <c r="J886" s="34">
        <f>IF(AND(A886&lt;&gt;"",ISTEXT(A886),COUNTIFS(Processos!$AS$10:$AS$509,"="&amp;SUBSTITUTE(SUBSTITUTE(SUBSTITUTE("P:"&amp;A886,"~","~~"),"*","~*"),"?","~?"))=1),(IF(ISNA(MATCH(SUBSTITUTE(SUBSTITUTE(SUBSTITUTE("P:"&amp;A886,"~","~~"),"*","~*"),"?","~?"),Processos!$AS$10:$AS$509,0)),9,INDEX(Processos!$AM$10:$AM$509,MATCH(SUBSTITUTE(SUBSTITUTE(SUBSTITUTE("P:"&amp;A886,"~","~~"),"*","~*"),"?","~?"),Processos!$AS$10:$AS$509,0)))-9),0)</f>
        <v>0</v>
      </c>
      <c r="K886" s="34" t="str">
        <f t="shared" si="55"/>
        <v/>
      </c>
      <c r="L886" s="14">
        <f>ROW()</f>
        <v>886</v>
      </c>
    </row>
    <row r="887" spans="1:12" ht="60" customHeight="1">
      <c r="A887" s="41"/>
      <c r="B887" s="43"/>
      <c r="C887" s="44"/>
      <c r="D887" s="51"/>
      <c r="E887" s="44"/>
      <c r="F887" s="44"/>
      <c r="G887" s="34">
        <f t="shared" si="52"/>
        <v>0</v>
      </c>
      <c r="H887" s="34" t="str">
        <f t="shared" si="53"/>
        <v/>
      </c>
      <c r="I887" s="52" t="str">
        <f t="shared" si="54"/>
        <v/>
      </c>
      <c r="J887" s="34">
        <f>IF(AND(A887&lt;&gt;"",ISTEXT(A887),COUNTIFS(Processos!$AS$10:$AS$509,"="&amp;SUBSTITUTE(SUBSTITUTE(SUBSTITUTE("P:"&amp;A887,"~","~~"),"*","~*"),"?","~?"))=1),(IF(ISNA(MATCH(SUBSTITUTE(SUBSTITUTE(SUBSTITUTE("P:"&amp;A887,"~","~~"),"*","~*"),"?","~?"),Processos!$AS$10:$AS$509,0)),9,INDEX(Processos!$AM$10:$AM$509,MATCH(SUBSTITUTE(SUBSTITUTE(SUBSTITUTE("P:"&amp;A887,"~","~~"),"*","~*"),"?","~?"),Processos!$AS$10:$AS$509,0)))-9),0)</f>
        <v>0</v>
      </c>
      <c r="K887" s="34" t="str">
        <f t="shared" si="55"/>
        <v/>
      </c>
      <c r="L887" s="14">
        <f>ROW()</f>
        <v>887</v>
      </c>
    </row>
    <row r="888" spans="1:12" ht="60" customHeight="1">
      <c r="A888" s="41"/>
      <c r="B888" s="43"/>
      <c r="C888" s="44"/>
      <c r="D888" s="51"/>
      <c r="E888" s="44"/>
      <c r="F888" s="44"/>
      <c r="G888" s="34">
        <f t="shared" si="52"/>
        <v>0</v>
      </c>
      <c r="H888" s="34" t="str">
        <f t="shared" si="53"/>
        <v/>
      </c>
      <c r="I888" s="52" t="str">
        <f t="shared" si="54"/>
        <v/>
      </c>
      <c r="J888" s="34">
        <f>IF(AND(A888&lt;&gt;"",ISTEXT(A888),COUNTIFS(Processos!$AS$10:$AS$509,"="&amp;SUBSTITUTE(SUBSTITUTE(SUBSTITUTE("P:"&amp;A888,"~","~~"),"*","~*"),"?","~?"))=1),(IF(ISNA(MATCH(SUBSTITUTE(SUBSTITUTE(SUBSTITUTE("P:"&amp;A888,"~","~~"),"*","~*"),"?","~?"),Processos!$AS$10:$AS$509,0)),9,INDEX(Processos!$AM$10:$AM$509,MATCH(SUBSTITUTE(SUBSTITUTE(SUBSTITUTE("P:"&amp;A888,"~","~~"),"*","~*"),"?","~?"),Processos!$AS$10:$AS$509,0)))-9),0)</f>
        <v>0</v>
      </c>
      <c r="K888" s="34" t="str">
        <f t="shared" si="55"/>
        <v/>
      </c>
      <c r="L888" s="14">
        <f>ROW()</f>
        <v>888</v>
      </c>
    </row>
    <row r="889" spans="1:12" ht="60" customHeight="1">
      <c r="A889" s="41"/>
      <c r="B889" s="43"/>
      <c r="C889" s="44"/>
      <c r="D889" s="51"/>
      <c r="E889" s="44"/>
      <c r="F889" s="44"/>
      <c r="G889" s="34">
        <f t="shared" si="52"/>
        <v>0</v>
      </c>
      <c r="H889" s="34" t="str">
        <f t="shared" si="53"/>
        <v/>
      </c>
      <c r="I889" s="52" t="str">
        <f t="shared" si="54"/>
        <v/>
      </c>
      <c r="J889" s="34">
        <f>IF(AND(A889&lt;&gt;"",ISTEXT(A889),COUNTIFS(Processos!$AS$10:$AS$509,"="&amp;SUBSTITUTE(SUBSTITUTE(SUBSTITUTE("P:"&amp;A889,"~","~~"),"*","~*"),"?","~?"))=1),(IF(ISNA(MATCH(SUBSTITUTE(SUBSTITUTE(SUBSTITUTE("P:"&amp;A889,"~","~~"),"*","~*"),"?","~?"),Processos!$AS$10:$AS$509,0)),9,INDEX(Processos!$AM$10:$AM$509,MATCH(SUBSTITUTE(SUBSTITUTE(SUBSTITUTE("P:"&amp;A889,"~","~~"),"*","~*"),"?","~?"),Processos!$AS$10:$AS$509,0)))-9),0)</f>
        <v>0</v>
      </c>
      <c r="K889" s="34" t="str">
        <f t="shared" si="55"/>
        <v/>
      </c>
      <c r="L889" s="14">
        <f>ROW()</f>
        <v>889</v>
      </c>
    </row>
    <row r="890" spans="1:12" ht="60" customHeight="1">
      <c r="A890" s="41"/>
      <c r="B890" s="43"/>
      <c r="C890" s="44"/>
      <c r="D890" s="51"/>
      <c r="E890" s="44"/>
      <c r="F890" s="44"/>
      <c r="G890" s="34">
        <f t="shared" si="52"/>
        <v>0</v>
      </c>
      <c r="H890" s="34" t="str">
        <f t="shared" si="53"/>
        <v/>
      </c>
      <c r="I890" s="52" t="str">
        <f t="shared" si="54"/>
        <v/>
      </c>
      <c r="J890" s="34">
        <f>IF(AND(A890&lt;&gt;"",ISTEXT(A890),COUNTIFS(Processos!$AS$10:$AS$509,"="&amp;SUBSTITUTE(SUBSTITUTE(SUBSTITUTE("P:"&amp;A890,"~","~~"),"*","~*"),"?","~?"))=1),(IF(ISNA(MATCH(SUBSTITUTE(SUBSTITUTE(SUBSTITUTE("P:"&amp;A890,"~","~~"),"*","~*"),"?","~?"),Processos!$AS$10:$AS$509,0)),9,INDEX(Processos!$AM$10:$AM$509,MATCH(SUBSTITUTE(SUBSTITUTE(SUBSTITUTE("P:"&amp;A890,"~","~~"),"*","~*"),"?","~?"),Processos!$AS$10:$AS$509,0)))-9),0)</f>
        <v>0</v>
      </c>
      <c r="K890" s="34" t="str">
        <f t="shared" si="55"/>
        <v/>
      </c>
      <c r="L890" s="14">
        <f>ROW()</f>
        <v>890</v>
      </c>
    </row>
    <row r="891" spans="1:12" ht="60" customHeight="1">
      <c r="A891" s="41"/>
      <c r="B891" s="43"/>
      <c r="C891" s="44"/>
      <c r="D891" s="51"/>
      <c r="E891" s="44"/>
      <c r="F891" s="44"/>
      <c r="G891" s="34">
        <f t="shared" si="52"/>
        <v>0</v>
      </c>
      <c r="H891" s="34" t="str">
        <f t="shared" si="53"/>
        <v/>
      </c>
      <c r="I891" s="52" t="str">
        <f t="shared" si="54"/>
        <v/>
      </c>
      <c r="J891" s="34">
        <f>IF(AND(A891&lt;&gt;"",ISTEXT(A891),COUNTIFS(Processos!$AS$10:$AS$509,"="&amp;SUBSTITUTE(SUBSTITUTE(SUBSTITUTE("P:"&amp;A891,"~","~~"),"*","~*"),"?","~?"))=1),(IF(ISNA(MATCH(SUBSTITUTE(SUBSTITUTE(SUBSTITUTE("P:"&amp;A891,"~","~~"),"*","~*"),"?","~?"),Processos!$AS$10:$AS$509,0)),9,INDEX(Processos!$AM$10:$AM$509,MATCH(SUBSTITUTE(SUBSTITUTE(SUBSTITUTE("P:"&amp;A891,"~","~~"),"*","~*"),"?","~?"),Processos!$AS$10:$AS$509,0)))-9),0)</f>
        <v>0</v>
      </c>
      <c r="K891" s="34" t="str">
        <f t="shared" si="55"/>
        <v/>
      </c>
      <c r="L891" s="14">
        <f>ROW()</f>
        <v>891</v>
      </c>
    </row>
    <row r="892" spans="1:12" ht="60" customHeight="1">
      <c r="A892" s="41"/>
      <c r="B892" s="43"/>
      <c r="C892" s="44"/>
      <c r="D892" s="51"/>
      <c r="E892" s="44"/>
      <c r="F892" s="44"/>
      <c r="G892" s="34">
        <f t="shared" si="52"/>
        <v>0</v>
      </c>
      <c r="H892" s="34" t="str">
        <f t="shared" si="53"/>
        <v/>
      </c>
      <c r="I892" s="52" t="str">
        <f t="shared" si="54"/>
        <v/>
      </c>
      <c r="J892" s="34">
        <f>IF(AND(A892&lt;&gt;"",ISTEXT(A892),COUNTIFS(Processos!$AS$10:$AS$509,"="&amp;SUBSTITUTE(SUBSTITUTE(SUBSTITUTE("P:"&amp;A892,"~","~~"),"*","~*"),"?","~?"))=1),(IF(ISNA(MATCH(SUBSTITUTE(SUBSTITUTE(SUBSTITUTE("P:"&amp;A892,"~","~~"),"*","~*"),"?","~?"),Processos!$AS$10:$AS$509,0)),9,INDEX(Processos!$AM$10:$AM$509,MATCH(SUBSTITUTE(SUBSTITUTE(SUBSTITUTE("P:"&amp;A892,"~","~~"),"*","~*"),"?","~?"),Processos!$AS$10:$AS$509,0)))-9),0)</f>
        <v>0</v>
      </c>
      <c r="K892" s="34" t="str">
        <f t="shared" si="55"/>
        <v/>
      </c>
      <c r="L892" s="14">
        <f>ROW()</f>
        <v>892</v>
      </c>
    </row>
    <row r="893" spans="1:12" ht="60" customHeight="1">
      <c r="A893" s="41"/>
      <c r="B893" s="43"/>
      <c r="C893" s="44"/>
      <c r="D893" s="51"/>
      <c r="E893" s="44"/>
      <c r="F893" s="44"/>
      <c r="G893" s="34">
        <f t="shared" si="52"/>
        <v>0</v>
      </c>
      <c r="H893" s="34" t="str">
        <f t="shared" si="53"/>
        <v/>
      </c>
      <c r="I893" s="52" t="str">
        <f t="shared" si="54"/>
        <v/>
      </c>
      <c r="J893" s="34">
        <f>IF(AND(A893&lt;&gt;"",ISTEXT(A893),COUNTIFS(Processos!$AS$10:$AS$509,"="&amp;SUBSTITUTE(SUBSTITUTE(SUBSTITUTE("P:"&amp;A893,"~","~~"),"*","~*"),"?","~?"))=1),(IF(ISNA(MATCH(SUBSTITUTE(SUBSTITUTE(SUBSTITUTE("P:"&amp;A893,"~","~~"),"*","~*"),"?","~?"),Processos!$AS$10:$AS$509,0)),9,INDEX(Processos!$AM$10:$AM$509,MATCH(SUBSTITUTE(SUBSTITUTE(SUBSTITUTE("P:"&amp;A893,"~","~~"),"*","~*"),"?","~?"),Processos!$AS$10:$AS$509,0)))-9),0)</f>
        <v>0</v>
      </c>
      <c r="K893" s="34" t="str">
        <f t="shared" si="55"/>
        <v/>
      </c>
      <c r="L893" s="14">
        <f>ROW()</f>
        <v>893</v>
      </c>
    </row>
    <row r="894" spans="1:12" ht="60" customHeight="1">
      <c r="A894" s="41"/>
      <c r="B894" s="43"/>
      <c r="C894" s="44"/>
      <c r="D894" s="51"/>
      <c r="E894" s="44"/>
      <c r="F894" s="44"/>
      <c r="G894" s="34">
        <f t="shared" si="52"/>
        <v>0</v>
      </c>
      <c r="H894" s="34" t="str">
        <f t="shared" si="53"/>
        <v/>
      </c>
      <c r="I894" s="52" t="str">
        <f t="shared" si="54"/>
        <v/>
      </c>
      <c r="J894" s="34">
        <f>IF(AND(A894&lt;&gt;"",ISTEXT(A894),COUNTIFS(Processos!$AS$10:$AS$509,"="&amp;SUBSTITUTE(SUBSTITUTE(SUBSTITUTE("P:"&amp;A894,"~","~~"),"*","~*"),"?","~?"))=1),(IF(ISNA(MATCH(SUBSTITUTE(SUBSTITUTE(SUBSTITUTE("P:"&amp;A894,"~","~~"),"*","~*"),"?","~?"),Processos!$AS$10:$AS$509,0)),9,INDEX(Processos!$AM$10:$AM$509,MATCH(SUBSTITUTE(SUBSTITUTE(SUBSTITUTE("P:"&amp;A894,"~","~~"),"*","~*"),"?","~?"),Processos!$AS$10:$AS$509,0)))-9),0)</f>
        <v>0</v>
      </c>
      <c r="K894" s="34" t="str">
        <f t="shared" si="55"/>
        <v/>
      </c>
      <c r="L894" s="14">
        <f>ROW()</f>
        <v>894</v>
      </c>
    </row>
    <row r="895" spans="1:12" ht="60" customHeight="1">
      <c r="A895" s="41"/>
      <c r="B895" s="43"/>
      <c r="C895" s="44"/>
      <c r="D895" s="51"/>
      <c r="E895" s="44"/>
      <c r="F895" s="44"/>
      <c r="G895" s="34">
        <f t="shared" si="52"/>
        <v>0</v>
      </c>
      <c r="H895" s="34" t="str">
        <f t="shared" si="53"/>
        <v/>
      </c>
      <c r="I895" s="52" t="str">
        <f t="shared" si="54"/>
        <v/>
      </c>
      <c r="J895" s="34">
        <f>IF(AND(A895&lt;&gt;"",ISTEXT(A895),COUNTIFS(Processos!$AS$10:$AS$509,"="&amp;SUBSTITUTE(SUBSTITUTE(SUBSTITUTE("P:"&amp;A895,"~","~~"),"*","~*"),"?","~?"))=1),(IF(ISNA(MATCH(SUBSTITUTE(SUBSTITUTE(SUBSTITUTE("P:"&amp;A895,"~","~~"),"*","~*"),"?","~?"),Processos!$AS$10:$AS$509,0)),9,INDEX(Processos!$AM$10:$AM$509,MATCH(SUBSTITUTE(SUBSTITUTE(SUBSTITUTE("P:"&amp;A895,"~","~~"),"*","~*"),"?","~?"),Processos!$AS$10:$AS$509,0)))-9),0)</f>
        <v>0</v>
      </c>
      <c r="K895" s="34" t="str">
        <f t="shared" si="55"/>
        <v/>
      </c>
      <c r="L895" s="14">
        <f>ROW()</f>
        <v>895</v>
      </c>
    </row>
    <row r="896" spans="1:12" ht="60" customHeight="1">
      <c r="A896" s="41"/>
      <c r="B896" s="43"/>
      <c r="C896" s="44"/>
      <c r="D896" s="51"/>
      <c r="E896" s="44"/>
      <c r="F896" s="44"/>
      <c r="G896" s="34">
        <f t="shared" si="52"/>
        <v>0</v>
      </c>
      <c r="H896" s="34" t="str">
        <f t="shared" si="53"/>
        <v/>
      </c>
      <c r="I896" s="52" t="str">
        <f t="shared" si="54"/>
        <v/>
      </c>
      <c r="J896" s="34">
        <f>IF(AND(A896&lt;&gt;"",ISTEXT(A896),COUNTIFS(Processos!$AS$10:$AS$509,"="&amp;SUBSTITUTE(SUBSTITUTE(SUBSTITUTE("P:"&amp;A896,"~","~~"),"*","~*"),"?","~?"))=1),(IF(ISNA(MATCH(SUBSTITUTE(SUBSTITUTE(SUBSTITUTE("P:"&amp;A896,"~","~~"),"*","~*"),"?","~?"),Processos!$AS$10:$AS$509,0)),9,INDEX(Processos!$AM$10:$AM$509,MATCH(SUBSTITUTE(SUBSTITUTE(SUBSTITUTE("P:"&amp;A896,"~","~~"),"*","~*"),"?","~?"),Processos!$AS$10:$AS$509,0)))-9),0)</f>
        <v>0</v>
      </c>
      <c r="K896" s="34" t="str">
        <f t="shared" si="55"/>
        <v/>
      </c>
      <c r="L896" s="14">
        <f>ROW()</f>
        <v>896</v>
      </c>
    </row>
    <row r="897" spans="1:12" ht="60" customHeight="1">
      <c r="A897" s="41"/>
      <c r="B897" s="43"/>
      <c r="C897" s="44"/>
      <c r="D897" s="51"/>
      <c r="E897" s="44"/>
      <c r="F897" s="44"/>
      <c r="G897" s="34">
        <f t="shared" si="52"/>
        <v>0</v>
      </c>
      <c r="H897" s="34" t="str">
        <f t="shared" si="53"/>
        <v/>
      </c>
      <c r="I897" s="52" t="str">
        <f t="shared" si="54"/>
        <v/>
      </c>
      <c r="J897" s="34">
        <f>IF(AND(A897&lt;&gt;"",ISTEXT(A897),COUNTIFS(Processos!$AS$10:$AS$509,"="&amp;SUBSTITUTE(SUBSTITUTE(SUBSTITUTE("P:"&amp;A897,"~","~~"),"*","~*"),"?","~?"))=1),(IF(ISNA(MATCH(SUBSTITUTE(SUBSTITUTE(SUBSTITUTE("P:"&amp;A897,"~","~~"),"*","~*"),"?","~?"),Processos!$AS$10:$AS$509,0)),9,INDEX(Processos!$AM$10:$AM$509,MATCH(SUBSTITUTE(SUBSTITUTE(SUBSTITUTE("P:"&amp;A897,"~","~~"),"*","~*"),"?","~?"),Processos!$AS$10:$AS$509,0)))-9),0)</f>
        <v>0</v>
      </c>
      <c r="K897" s="34" t="str">
        <f t="shared" si="55"/>
        <v/>
      </c>
      <c r="L897" s="14">
        <f>ROW()</f>
        <v>897</v>
      </c>
    </row>
    <row r="898" spans="1:12" ht="60" customHeight="1">
      <c r="A898" s="41"/>
      <c r="B898" s="43"/>
      <c r="C898" s="44"/>
      <c r="D898" s="51"/>
      <c r="E898" s="44"/>
      <c r="F898" s="44"/>
      <c r="G898" s="34">
        <f t="shared" si="52"/>
        <v>0</v>
      </c>
      <c r="H898" s="34" t="str">
        <f t="shared" si="53"/>
        <v/>
      </c>
      <c r="I898" s="52" t="str">
        <f t="shared" si="54"/>
        <v/>
      </c>
      <c r="J898" s="34">
        <f>IF(AND(A898&lt;&gt;"",ISTEXT(A898),COUNTIFS(Processos!$AS$10:$AS$509,"="&amp;SUBSTITUTE(SUBSTITUTE(SUBSTITUTE("P:"&amp;A898,"~","~~"),"*","~*"),"?","~?"))=1),(IF(ISNA(MATCH(SUBSTITUTE(SUBSTITUTE(SUBSTITUTE("P:"&amp;A898,"~","~~"),"*","~*"),"?","~?"),Processos!$AS$10:$AS$509,0)),9,INDEX(Processos!$AM$10:$AM$509,MATCH(SUBSTITUTE(SUBSTITUTE(SUBSTITUTE("P:"&amp;A898,"~","~~"),"*","~*"),"?","~?"),Processos!$AS$10:$AS$509,0)))-9),0)</f>
        <v>0</v>
      </c>
      <c r="K898" s="34" t="str">
        <f t="shared" si="55"/>
        <v/>
      </c>
      <c r="L898" s="14">
        <f>ROW()</f>
        <v>898</v>
      </c>
    </row>
    <row r="899" spans="1:12" ht="60" customHeight="1">
      <c r="A899" s="41"/>
      <c r="B899" s="43"/>
      <c r="C899" s="44"/>
      <c r="D899" s="51"/>
      <c r="E899" s="44"/>
      <c r="F899" s="44"/>
      <c r="G899" s="34">
        <f t="shared" si="52"/>
        <v>0</v>
      </c>
      <c r="H899" s="34" t="str">
        <f t="shared" si="53"/>
        <v/>
      </c>
      <c r="I899" s="52" t="str">
        <f t="shared" si="54"/>
        <v/>
      </c>
      <c r="J899" s="34">
        <f>IF(AND(A899&lt;&gt;"",ISTEXT(A899),COUNTIFS(Processos!$AS$10:$AS$509,"="&amp;SUBSTITUTE(SUBSTITUTE(SUBSTITUTE("P:"&amp;A899,"~","~~"),"*","~*"),"?","~?"))=1),(IF(ISNA(MATCH(SUBSTITUTE(SUBSTITUTE(SUBSTITUTE("P:"&amp;A899,"~","~~"),"*","~*"),"?","~?"),Processos!$AS$10:$AS$509,0)),9,INDEX(Processos!$AM$10:$AM$509,MATCH(SUBSTITUTE(SUBSTITUTE(SUBSTITUTE("P:"&amp;A899,"~","~~"),"*","~*"),"?","~?"),Processos!$AS$10:$AS$509,0)))-9),0)</f>
        <v>0</v>
      </c>
      <c r="K899" s="34" t="str">
        <f t="shared" si="55"/>
        <v/>
      </c>
      <c r="L899" s="14">
        <f>ROW()</f>
        <v>899</v>
      </c>
    </row>
    <row r="900" spans="1:12" ht="60" customHeight="1">
      <c r="A900" s="41"/>
      <c r="B900" s="43"/>
      <c r="C900" s="44"/>
      <c r="D900" s="51"/>
      <c r="E900" s="44"/>
      <c r="F900" s="44"/>
      <c r="G900" s="34">
        <f t="shared" si="52"/>
        <v>0</v>
      </c>
      <c r="H900" s="34" t="str">
        <f t="shared" si="53"/>
        <v/>
      </c>
      <c r="I900" s="52" t="str">
        <f t="shared" si="54"/>
        <v/>
      </c>
      <c r="J900" s="34">
        <f>IF(AND(A900&lt;&gt;"",ISTEXT(A900),COUNTIFS(Processos!$AS$10:$AS$509,"="&amp;SUBSTITUTE(SUBSTITUTE(SUBSTITUTE("P:"&amp;A900,"~","~~"),"*","~*"),"?","~?"))=1),(IF(ISNA(MATCH(SUBSTITUTE(SUBSTITUTE(SUBSTITUTE("P:"&amp;A900,"~","~~"),"*","~*"),"?","~?"),Processos!$AS$10:$AS$509,0)),9,INDEX(Processos!$AM$10:$AM$509,MATCH(SUBSTITUTE(SUBSTITUTE(SUBSTITUTE("P:"&amp;A900,"~","~~"),"*","~*"),"?","~?"),Processos!$AS$10:$AS$509,0)))-9),0)</f>
        <v>0</v>
      </c>
      <c r="K900" s="34" t="str">
        <f t="shared" si="55"/>
        <v/>
      </c>
      <c r="L900" s="14">
        <f>ROW()</f>
        <v>900</v>
      </c>
    </row>
    <row r="901" spans="1:12" ht="60" customHeight="1">
      <c r="A901" s="41"/>
      <c r="B901" s="43"/>
      <c r="C901" s="44"/>
      <c r="D901" s="51"/>
      <c r="E901" s="44"/>
      <c r="F901" s="44"/>
      <c r="G901" s="34">
        <f t="shared" si="52"/>
        <v>0</v>
      </c>
      <c r="H901" s="34" t="str">
        <f t="shared" si="53"/>
        <v/>
      </c>
      <c r="I901" s="52" t="str">
        <f t="shared" si="54"/>
        <v/>
      </c>
      <c r="J901" s="34">
        <f>IF(AND(A901&lt;&gt;"",ISTEXT(A901),COUNTIFS(Processos!$AS$10:$AS$509,"="&amp;SUBSTITUTE(SUBSTITUTE(SUBSTITUTE("P:"&amp;A901,"~","~~"),"*","~*"),"?","~?"))=1),(IF(ISNA(MATCH(SUBSTITUTE(SUBSTITUTE(SUBSTITUTE("P:"&amp;A901,"~","~~"),"*","~*"),"?","~?"),Processos!$AS$10:$AS$509,0)),9,INDEX(Processos!$AM$10:$AM$509,MATCH(SUBSTITUTE(SUBSTITUTE(SUBSTITUTE("P:"&amp;A901,"~","~~"),"*","~*"),"?","~?"),Processos!$AS$10:$AS$509,0)))-9),0)</f>
        <v>0</v>
      </c>
      <c r="K901" s="34" t="str">
        <f t="shared" si="55"/>
        <v/>
      </c>
      <c r="L901" s="14">
        <f>ROW()</f>
        <v>901</v>
      </c>
    </row>
    <row r="902" spans="1:12" ht="60" customHeight="1">
      <c r="A902" s="41"/>
      <c r="B902" s="43"/>
      <c r="C902" s="44"/>
      <c r="D902" s="51"/>
      <c r="E902" s="44"/>
      <c r="F902" s="44"/>
      <c r="G902" s="34">
        <f t="shared" si="52"/>
        <v>0</v>
      </c>
      <c r="H902" s="34" t="str">
        <f t="shared" si="53"/>
        <v/>
      </c>
      <c r="I902" s="52" t="str">
        <f t="shared" si="54"/>
        <v/>
      </c>
      <c r="J902" s="34">
        <f>IF(AND(A902&lt;&gt;"",ISTEXT(A902),COUNTIFS(Processos!$AS$10:$AS$509,"="&amp;SUBSTITUTE(SUBSTITUTE(SUBSTITUTE("P:"&amp;A902,"~","~~"),"*","~*"),"?","~?"))=1),(IF(ISNA(MATCH(SUBSTITUTE(SUBSTITUTE(SUBSTITUTE("P:"&amp;A902,"~","~~"),"*","~*"),"?","~?"),Processos!$AS$10:$AS$509,0)),9,INDEX(Processos!$AM$10:$AM$509,MATCH(SUBSTITUTE(SUBSTITUTE(SUBSTITUTE("P:"&amp;A902,"~","~~"),"*","~*"),"?","~?"),Processos!$AS$10:$AS$509,0)))-9),0)</f>
        <v>0</v>
      </c>
      <c r="K902" s="34" t="str">
        <f t="shared" si="55"/>
        <v/>
      </c>
      <c r="L902" s="14">
        <f>ROW()</f>
        <v>902</v>
      </c>
    </row>
    <row r="903" spans="1:12" ht="60" customHeight="1">
      <c r="A903" s="41"/>
      <c r="B903" s="43"/>
      <c r="C903" s="44"/>
      <c r="D903" s="51"/>
      <c r="E903" s="44"/>
      <c r="F903" s="44"/>
      <c r="G903" s="34">
        <f t="shared" si="52"/>
        <v>0</v>
      </c>
      <c r="H903" s="34" t="str">
        <f t="shared" si="53"/>
        <v/>
      </c>
      <c r="I903" s="52" t="str">
        <f t="shared" si="54"/>
        <v/>
      </c>
      <c r="J903" s="34">
        <f>IF(AND(A903&lt;&gt;"",ISTEXT(A903),COUNTIFS(Processos!$AS$10:$AS$509,"="&amp;SUBSTITUTE(SUBSTITUTE(SUBSTITUTE("P:"&amp;A903,"~","~~"),"*","~*"),"?","~?"))=1),(IF(ISNA(MATCH(SUBSTITUTE(SUBSTITUTE(SUBSTITUTE("P:"&amp;A903,"~","~~"),"*","~*"),"?","~?"),Processos!$AS$10:$AS$509,0)),9,INDEX(Processos!$AM$10:$AM$509,MATCH(SUBSTITUTE(SUBSTITUTE(SUBSTITUTE("P:"&amp;A903,"~","~~"),"*","~*"),"?","~?"),Processos!$AS$10:$AS$509,0)))-9),0)</f>
        <v>0</v>
      </c>
      <c r="K903" s="34" t="str">
        <f t="shared" si="55"/>
        <v/>
      </c>
      <c r="L903" s="14">
        <f>ROW()</f>
        <v>903</v>
      </c>
    </row>
    <row r="904" spans="1:12" ht="60" customHeight="1">
      <c r="A904" s="41"/>
      <c r="B904" s="43"/>
      <c r="C904" s="44"/>
      <c r="D904" s="51"/>
      <c r="E904" s="44"/>
      <c r="F904" s="44"/>
      <c r="G904" s="34">
        <f t="shared" si="52"/>
        <v>0</v>
      </c>
      <c r="H904" s="34" t="str">
        <f t="shared" si="53"/>
        <v/>
      </c>
      <c r="I904" s="52" t="str">
        <f t="shared" si="54"/>
        <v/>
      </c>
      <c r="J904" s="34">
        <f>IF(AND(A904&lt;&gt;"",ISTEXT(A904),COUNTIFS(Processos!$AS$10:$AS$509,"="&amp;SUBSTITUTE(SUBSTITUTE(SUBSTITUTE("P:"&amp;A904,"~","~~"),"*","~*"),"?","~?"))=1),(IF(ISNA(MATCH(SUBSTITUTE(SUBSTITUTE(SUBSTITUTE("P:"&amp;A904,"~","~~"),"*","~*"),"?","~?"),Processos!$AS$10:$AS$509,0)),9,INDEX(Processos!$AM$10:$AM$509,MATCH(SUBSTITUTE(SUBSTITUTE(SUBSTITUTE("P:"&amp;A904,"~","~~"),"*","~*"),"?","~?"),Processos!$AS$10:$AS$509,0)))-9),0)</f>
        <v>0</v>
      </c>
      <c r="K904" s="34" t="str">
        <f t="shared" si="55"/>
        <v/>
      </c>
      <c r="L904" s="14">
        <f>ROW()</f>
        <v>904</v>
      </c>
    </row>
    <row r="905" spans="1:12" ht="60" customHeight="1">
      <c r="A905" s="41"/>
      <c r="B905" s="43"/>
      <c r="C905" s="44"/>
      <c r="D905" s="51"/>
      <c r="E905" s="44"/>
      <c r="F905" s="44"/>
      <c r="G905" s="34">
        <f t="shared" si="52"/>
        <v>0</v>
      </c>
      <c r="H905" s="34" t="str">
        <f t="shared" si="53"/>
        <v/>
      </c>
      <c r="I905" s="52" t="str">
        <f t="shared" si="54"/>
        <v/>
      </c>
      <c r="J905" s="34">
        <f>IF(AND(A905&lt;&gt;"",ISTEXT(A905),COUNTIFS(Processos!$AS$10:$AS$509,"="&amp;SUBSTITUTE(SUBSTITUTE(SUBSTITUTE("P:"&amp;A905,"~","~~"),"*","~*"),"?","~?"))=1),(IF(ISNA(MATCH(SUBSTITUTE(SUBSTITUTE(SUBSTITUTE("P:"&amp;A905,"~","~~"),"*","~*"),"?","~?"),Processos!$AS$10:$AS$509,0)),9,INDEX(Processos!$AM$10:$AM$509,MATCH(SUBSTITUTE(SUBSTITUTE(SUBSTITUTE("P:"&amp;A905,"~","~~"),"*","~*"),"?","~?"),Processos!$AS$10:$AS$509,0)))-9),0)</f>
        <v>0</v>
      </c>
      <c r="K905" s="34" t="str">
        <f t="shared" si="55"/>
        <v/>
      </c>
      <c r="L905" s="14">
        <f>ROW()</f>
        <v>905</v>
      </c>
    </row>
    <row r="906" spans="1:12" ht="60" customHeight="1">
      <c r="A906" s="41"/>
      <c r="B906" s="43"/>
      <c r="C906" s="44"/>
      <c r="D906" s="51"/>
      <c r="E906" s="44"/>
      <c r="F906" s="44"/>
      <c r="G906" s="34">
        <f t="shared" ref="G906:G969" si="56">IF(AND(J906&gt;0,OR(B906="",AND(ISNUMBER(B906),B906&gt;=1,B906&lt;=100000)),ISNUMBER(D906),D906&gt;=1,D906&lt;=100000,C906&lt;&gt;""),1,0)</f>
        <v>0</v>
      </c>
      <c r="H906" s="34" t="str">
        <f t="shared" ref="H906:H969" si="57">IF(G906=1,K906&amp;"|"&amp;D906,"")</f>
        <v/>
      </c>
      <c r="I906" s="52" t="str">
        <f t="shared" ref="I906:I969" si="58">IF(COUNTA(A906:F906)=0,"",IF(A906="","Selecione o processo",IF(J906=0,"Processo inexistente, duplicado ou número não textual",IF(B906="","Informe a data do andamento",IF(C906="","Descreva o andamento",IF(D906="","Informe a data e hora do recebimento",IF(OR(NOT(ISNUMBER(B906)),B906&lt;1,B906&gt;100000),"Revise a data do andamento",IF(OR(NOT(ISNUMBER(D906)),D906&lt;1,D906&gt;100000),"Revise a data e hora do recebimento",IF(COUNTIFS($K$10:$K$2009,"="&amp;SUBSTITUTE(SUBSTITUTE(SUBSTITUTE("P:"&amp;A906,"~","~~"),"*","~*"),"?","~?"),$D$10:$D$2009,D906,$G$10:$G$2009,1)&gt;1,"Recebimentos empatados: revise a hora ou consolide o registro","")))))))))</f>
        <v/>
      </c>
      <c r="J906" s="34">
        <f>IF(AND(A906&lt;&gt;"",ISTEXT(A906),COUNTIFS(Processos!$AS$10:$AS$509,"="&amp;SUBSTITUTE(SUBSTITUTE(SUBSTITUTE("P:"&amp;A906,"~","~~"),"*","~*"),"?","~?"))=1),(IF(ISNA(MATCH(SUBSTITUTE(SUBSTITUTE(SUBSTITUTE("P:"&amp;A906,"~","~~"),"*","~*"),"?","~?"),Processos!$AS$10:$AS$509,0)),9,INDEX(Processos!$AM$10:$AM$509,MATCH(SUBSTITUTE(SUBSTITUTE(SUBSTITUTE("P:"&amp;A906,"~","~~"),"*","~*"),"?","~?"),Processos!$AS$10:$AS$509,0)))-9),0)</f>
        <v>0</v>
      </c>
      <c r="K906" s="34" t="str">
        <f t="shared" ref="K906:K969" si="59">IF(AND(A906&lt;&gt;"",ISTEXT(A906)),"P:"&amp;A906,"")</f>
        <v/>
      </c>
      <c r="L906" s="14">
        <f>ROW()</f>
        <v>906</v>
      </c>
    </row>
    <row r="907" spans="1:12" ht="60" customHeight="1">
      <c r="A907" s="41"/>
      <c r="B907" s="43"/>
      <c r="C907" s="44"/>
      <c r="D907" s="51"/>
      <c r="E907" s="44"/>
      <c r="F907" s="44"/>
      <c r="G907" s="34">
        <f t="shared" si="56"/>
        <v>0</v>
      </c>
      <c r="H907" s="34" t="str">
        <f t="shared" si="57"/>
        <v/>
      </c>
      <c r="I907" s="52" t="str">
        <f t="shared" si="58"/>
        <v/>
      </c>
      <c r="J907" s="34">
        <f>IF(AND(A907&lt;&gt;"",ISTEXT(A907),COUNTIFS(Processos!$AS$10:$AS$509,"="&amp;SUBSTITUTE(SUBSTITUTE(SUBSTITUTE("P:"&amp;A907,"~","~~"),"*","~*"),"?","~?"))=1),(IF(ISNA(MATCH(SUBSTITUTE(SUBSTITUTE(SUBSTITUTE("P:"&amp;A907,"~","~~"),"*","~*"),"?","~?"),Processos!$AS$10:$AS$509,0)),9,INDEX(Processos!$AM$10:$AM$509,MATCH(SUBSTITUTE(SUBSTITUTE(SUBSTITUTE("P:"&amp;A907,"~","~~"),"*","~*"),"?","~?"),Processos!$AS$10:$AS$509,0)))-9),0)</f>
        <v>0</v>
      </c>
      <c r="K907" s="34" t="str">
        <f t="shared" si="59"/>
        <v/>
      </c>
      <c r="L907" s="14">
        <f>ROW()</f>
        <v>907</v>
      </c>
    </row>
    <row r="908" spans="1:12" ht="60" customHeight="1">
      <c r="A908" s="41"/>
      <c r="B908" s="43"/>
      <c r="C908" s="44"/>
      <c r="D908" s="51"/>
      <c r="E908" s="44"/>
      <c r="F908" s="44"/>
      <c r="G908" s="34">
        <f t="shared" si="56"/>
        <v>0</v>
      </c>
      <c r="H908" s="34" t="str">
        <f t="shared" si="57"/>
        <v/>
      </c>
      <c r="I908" s="52" t="str">
        <f t="shared" si="58"/>
        <v/>
      </c>
      <c r="J908" s="34">
        <f>IF(AND(A908&lt;&gt;"",ISTEXT(A908),COUNTIFS(Processos!$AS$10:$AS$509,"="&amp;SUBSTITUTE(SUBSTITUTE(SUBSTITUTE("P:"&amp;A908,"~","~~"),"*","~*"),"?","~?"))=1),(IF(ISNA(MATCH(SUBSTITUTE(SUBSTITUTE(SUBSTITUTE("P:"&amp;A908,"~","~~"),"*","~*"),"?","~?"),Processos!$AS$10:$AS$509,0)),9,INDEX(Processos!$AM$10:$AM$509,MATCH(SUBSTITUTE(SUBSTITUTE(SUBSTITUTE("P:"&amp;A908,"~","~~"),"*","~*"),"?","~?"),Processos!$AS$10:$AS$509,0)))-9),0)</f>
        <v>0</v>
      </c>
      <c r="K908" s="34" t="str">
        <f t="shared" si="59"/>
        <v/>
      </c>
      <c r="L908" s="14">
        <f>ROW()</f>
        <v>908</v>
      </c>
    </row>
    <row r="909" spans="1:12" ht="60" customHeight="1">
      <c r="A909" s="41"/>
      <c r="B909" s="43"/>
      <c r="C909" s="44"/>
      <c r="D909" s="51"/>
      <c r="E909" s="44"/>
      <c r="F909" s="44"/>
      <c r="G909" s="34">
        <f t="shared" si="56"/>
        <v>0</v>
      </c>
      <c r="H909" s="34" t="str">
        <f t="shared" si="57"/>
        <v/>
      </c>
      <c r="I909" s="52" t="str">
        <f t="shared" si="58"/>
        <v/>
      </c>
      <c r="J909" s="34">
        <f>IF(AND(A909&lt;&gt;"",ISTEXT(A909),COUNTIFS(Processos!$AS$10:$AS$509,"="&amp;SUBSTITUTE(SUBSTITUTE(SUBSTITUTE("P:"&amp;A909,"~","~~"),"*","~*"),"?","~?"))=1),(IF(ISNA(MATCH(SUBSTITUTE(SUBSTITUTE(SUBSTITUTE("P:"&amp;A909,"~","~~"),"*","~*"),"?","~?"),Processos!$AS$10:$AS$509,0)),9,INDEX(Processos!$AM$10:$AM$509,MATCH(SUBSTITUTE(SUBSTITUTE(SUBSTITUTE("P:"&amp;A909,"~","~~"),"*","~*"),"?","~?"),Processos!$AS$10:$AS$509,0)))-9),0)</f>
        <v>0</v>
      </c>
      <c r="K909" s="34" t="str">
        <f t="shared" si="59"/>
        <v/>
      </c>
      <c r="L909" s="14">
        <f>ROW()</f>
        <v>909</v>
      </c>
    </row>
    <row r="910" spans="1:12" ht="60" customHeight="1">
      <c r="A910" s="41"/>
      <c r="B910" s="43"/>
      <c r="C910" s="44"/>
      <c r="D910" s="51"/>
      <c r="E910" s="44"/>
      <c r="F910" s="44"/>
      <c r="G910" s="34">
        <f t="shared" si="56"/>
        <v>0</v>
      </c>
      <c r="H910" s="34" t="str">
        <f t="shared" si="57"/>
        <v/>
      </c>
      <c r="I910" s="52" t="str">
        <f t="shared" si="58"/>
        <v/>
      </c>
      <c r="J910" s="34">
        <f>IF(AND(A910&lt;&gt;"",ISTEXT(A910),COUNTIFS(Processos!$AS$10:$AS$509,"="&amp;SUBSTITUTE(SUBSTITUTE(SUBSTITUTE("P:"&amp;A910,"~","~~"),"*","~*"),"?","~?"))=1),(IF(ISNA(MATCH(SUBSTITUTE(SUBSTITUTE(SUBSTITUTE("P:"&amp;A910,"~","~~"),"*","~*"),"?","~?"),Processos!$AS$10:$AS$509,0)),9,INDEX(Processos!$AM$10:$AM$509,MATCH(SUBSTITUTE(SUBSTITUTE(SUBSTITUTE("P:"&amp;A910,"~","~~"),"*","~*"),"?","~?"),Processos!$AS$10:$AS$509,0)))-9),0)</f>
        <v>0</v>
      </c>
      <c r="K910" s="34" t="str">
        <f t="shared" si="59"/>
        <v/>
      </c>
      <c r="L910" s="14">
        <f>ROW()</f>
        <v>910</v>
      </c>
    </row>
    <row r="911" spans="1:12" ht="60" customHeight="1">
      <c r="A911" s="41"/>
      <c r="B911" s="43"/>
      <c r="C911" s="44"/>
      <c r="D911" s="51"/>
      <c r="E911" s="44"/>
      <c r="F911" s="44"/>
      <c r="G911" s="34">
        <f t="shared" si="56"/>
        <v>0</v>
      </c>
      <c r="H911" s="34" t="str">
        <f t="shared" si="57"/>
        <v/>
      </c>
      <c r="I911" s="52" t="str">
        <f t="shared" si="58"/>
        <v/>
      </c>
      <c r="J911" s="34">
        <f>IF(AND(A911&lt;&gt;"",ISTEXT(A911),COUNTIFS(Processos!$AS$10:$AS$509,"="&amp;SUBSTITUTE(SUBSTITUTE(SUBSTITUTE("P:"&amp;A911,"~","~~"),"*","~*"),"?","~?"))=1),(IF(ISNA(MATCH(SUBSTITUTE(SUBSTITUTE(SUBSTITUTE("P:"&amp;A911,"~","~~"),"*","~*"),"?","~?"),Processos!$AS$10:$AS$509,0)),9,INDEX(Processos!$AM$10:$AM$509,MATCH(SUBSTITUTE(SUBSTITUTE(SUBSTITUTE("P:"&amp;A911,"~","~~"),"*","~*"),"?","~?"),Processos!$AS$10:$AS$509,0)))-9),0)</f>
        <v>0</v>
      </c>
      <c r="K911" s="34" t="str">
        <f t="shared" si="59"/>
        <v/>
      </c>
      <c r="L911" s="14">
        <f>ROW()</f>
        <v>911</v>
      </c>
    </row>
    <row r="912" spans="1:12" ht="60" customHeight="1">
      <c r="A912" s="41"/>
      <c r="B912" s="43"/>
      <c r="C912" s="44"/>
      <c r="D912" s="51"/>
      <c r="E912" s="44"/>
      <c r="F912" s="44"/>
      <c r="G912" s="34">
        <f t="shared" si="56"/>
        <v>0</v>
      </c>
      <c r="H912" s="34" t="str">
        <f t="shared" si="57"/>
        <v/>
      </c>
      <c r="I912" s="52" t="str">
        <f t="shared" si="58"/>
        <v/>
      </c>
      <c r="J912" s="34">
        <f>IF(AND(A912&lt;&gt;"",ISTEXT(A912),COUNTIFS(Processos!$AS$10:$AS$509,"="&amp;SUBSTITUTE(SUBSTITUTE(SUBSTITUTE("P:"&amp;A912,"~","~~"),"*","~*"),"?","~?"))=1),(IF(ISNA(MATCH(SUBSTITUTE(SUBSTITUTE(SUBSTITUTE("P:"&amp;A912,"~","~~"),"*","~*"),"?","~?"),Processos!$AS$10:$AS$509,0)),9,INDEX(Processos!$AM$10:$AM$509,MATCH(SUBSTITUTE(SUBSTITUTE(SUBSTITUTE("P:"&amp;A912,"~","~~"),"*","~*"),"?","~?"),Processos!$AS$10:$AS$509,0)))-9),0)</f>
        <v>0</v>
      </c>
      <c r="K912" s="34" t="str">
        <f t="shared" si="59"/>
        <v/>
      </c>
      <c r="L912" s="14">
        <f>ROW()</f>
        <v>912</v>
      </c>
    </row>
    <row r="913" spans="1:12" ht="60" customHeight="1">
      <c r="A913" s="41"/>
      <c r="B913" s="43"/>
      <c r="C913" s="44"/>
      <c r="D913" s="51"/>
      <c r="E913" s="44"/>
      <c r="F913" s="44"/>
      <c r="G913" s="34">
        <f t="shared" si="56"/>
        <v>0</v>
      </c>
      <c r="H913" s="34" t="str">
        <f t="shared" si="57"/>
        <v/>
      </c>
      <c r="I913" s="52" t="str">
        <f t="shared" si="58"/>
        <v/>
      </c>
      <c r="J913" s="34">
        <f>IF(AND(A913&lt;&gt;"",ISTEXT(A913),COUNTIFS(Processos!$AS$10:$AS$509,"="&amp;SUBSTITUTE(SUBSTITUTE(SUBSTITUTE("P:"&amp;A913,"~","~~"),"*","~*"),"?","~?"))=1),(IF(ISNA(MATCH(SUBSTITUTE(SUBSTITUTE(SUBSTITUTE("P:"&amp;A913,"~","~~"),"*","~*"),"?","~?"),Processos!$AS$10:$AS$509,0)),9,INDEX(Processos!$AM$10:$AM$509,MATCH(SUBSTITUTE(SUBSTITUTE(SUBSTITUTE("P:"&amp;A913,"~","~~"),"*","~*"),"?","~?"),Processos!$AS$10:$AS$509,0)))-9),0)</f>
        <v>0</v>
      </c>
      <c r="K913" s="34" t="str">
        <f t="shared" si="59"/>
        <v/>
      </c>
      <c r="L913" s="14">
        <f>ROW()</f>
        <v>913</v>
      </c>
    </row>
    <row r="914" spans="1:12" ht="60" customHeight="1">
      <c r="A914" s="41"/>
      <c r="B914" s="43"/>
      <c r="C914" s="44"/>
      <c r="D914" s="51"/>
      <c r="E914" s="44"/>
      <c r="F914" s="44"/>
      <c r="G914" s="34">
        <f t="shared" si="56"/>
        <v>0</v>
      </c>
      <c r="H914" s="34" t="str">
        <f t="shared" si="57"/>
        <v/>
      </c>
      <c r="I914" s="52" t="str">
        <f t="shared" si="58"/>
        <v/>
      </c>
      <c r="J914" s="34">
        <f>IF(AND(A914&lt;&gt;"",ISTEXT(A914),COUNTIFS(Processos!$AS$10:$AS$509,"="&amp;SUBSTITUTE(SUBSTITUTE(SUBSTITUTE("P:"&amp;A914,"~","~~"),"*","~*"),"?","~?"))=1),(IF(ISNA(MATCH(SUBSTITUTE(SUBSTITUTE(SUBSTITUTE("P:"&amp;A914,"~","~~"),"*","~*"),"?","~?"),Processos!$AS$10:$AS$509,0)),9,INDEX(Processos!$AM$10:$AM$509,MATCH(SUBSTITUTE(SUBSTITUTE(SUBSTITUTE("P:"&amp;A914,"~","~~"),"*","~*"),"?","~?"),Processos!$AS$10:$AS$509,0)))-9),0)</f>
        <v>0</v>
      </c>
      <c r="K914" s="34" t="str">
        <f t="shared" si="59"/>
        <v/>
      </c>
      <c r="L914" s="14">
        <f>ROW()</f>
        <v>914</v>
      </c>
    </row>
    <row r="915" spans="1:12" ht="60" customHeight="1">
      <c r="A915" s="41"/>
      <c r="B915" s="43"/>
      <c r="C915" s="44"/>
      <c r="D915" s="51"/>
      <c r="E915" s="44"/>
      <c r="F915" s="44"/>
      <c r="G915" s="34">
        <f t="shared" si="56"/>
        <v>0</v>
      </c>
      <c r="H915" s="34" t="str">
        <f t="shared" si="57"/>
        <v/>
      </c>
      <c r="I915" s="52" t="str">
        <f t="shared" si="58"/>
        <v/>
      </c>
      <c r="J915" s="34">
        <f>IF(AND(A915&lt;&gt;"",ISTEXT(A915),COUNTIFS(Processos!$AS$10:$AS$509,"="&amp;SUBSTITUTE(SUBSTITUTE(SUBSTITUTE("P:"&amp;A915,"~","~~"),"*","~*"),"?","~?"))=1),(IF(ISNA(MATCH(SUBSTITUTE(SUBSTITUTE(SUBSTITUTE("P:"&amp;A915,"~","~~"),"*","~*"),"?","~?"),Processos!$AS$10:$AS$509,0)),9,INDEX(Processos!$AM$10:$AM$509,MATCH(SUBSTITUTE(SUBSTITUTE(SUBSTITUTE("P:"&amp;A915,"~","~~"),"*","~*"),"?","~?"),Processos!$AS$10:$AS$509,0)))-9),0)</f>
        <v>0</v>
      </c>
      <c r="K915" s="34" t="str">
        <f t="shared" si="59"/>
        <v/>
      </c>
      <c r="L915" s="14">
        <f>ROW()</f>
        <v>915</v>
      </c>
    </row>
    <row r="916" spans="1:12" ht="60" customHeight="1">
      <c r="A916" s="41"/>
      <c r="B916" s="43"/>
      <c r="C916" s="44"/>
      <c r="D916" s="51"/>
      <c r="E916" s="44"/>
      <c r="F916" s="44"/>
      <c r="G916" s="34">
        <f t="shared" si="56"/>
        <v>0</v>
      </c>
      <c r="H916" s="34" t="str">
        <f t="shared" si="57"/>
        <v/>
      </c>
      <c r="I916" s="52" t="str">
        <f t="shared" si="58"/>
        <v/>
      </c>
      <c r="J916" s="34">
        <f>IF(AND(A916&lt;&gt;"",ISTEXT(A916),COUNTIFS(Processos!$AS$10:$AS$509,"="&amp;SUBSTITUTE(SUBSTITUTE(SUBSTITUTE("P:"&amp;A916,"~","~~"),"*","~*"),"?","~?"))=1),(IF(ISNA(MATCH(SUBSTITUTE(SUBSTITUTE(SUBSTITUTE("P:"&amp;A916,"~","~~"),"*","~*"),"?","~?"),Processos!$AS$10:$AS$509,0)),9,INDEX(Processos!$AM$10:$AM$509,MATCH(SUBSTITUTE(SUBSTITUTE(SUBSTITUTE("P:"&amp;A916,"~","~~"),"*","~*"),"?","~?"),Processos!$AS$10:$AS$509,0)))-9),0)</f>
        <v>0</v>
      </c>
      <c r="K916" s="34" t="str">
        <f t="shared" si="59"/>
        <v/>
      </c>
      <c r="L916" s="14">
        <f>ROW()</f>
        <v>916</v>
      </c>
    </row>
    <row r="917" spans="1:12" ht="60" customHeight="1">
      <c r="A917" s="41"/>
      <c r="B917" s="43"/>
      <c r="C917" s="44"/>
      <c r="D917" s="51"/>
      <c r="E917" s="44"/>
      <c r="F917" s="44"/>
      <c r="G917" s="34">
        <f t="shared" si="56"/>
        <v>0</v>
      </c>
      <c r="H917" s="34" t="str">
        <f t="shared" si="57"/>
        <v/>
      </c>
      <c r="I917" s="52" t="str">
        <f t="shared" si="58"/>
        <v/>
      </c>
      <c r="J917" s="34">
        <f>IF(AND(A917&lt;&gt;"",ISTEXT(A917),COUNTIFS(Processos!$AS$10:$AS$509,"="&amp;SUBSTITUTE(SUBSTITUTE(SUBSTITUTE("P:"&amp;A917,"~","~~"),"*","~*"),"?","~?"))=1),(IF(ISNA(MATCH(SUBSTITUTE(SUBSTITUTE(SUBSTITUTE("P:"&amp;A917,"~","~~"),"*","~*"),"?","~?"),Processos!$AS$10:$AS$509,0)),9,INDEX(Processos!$AM$10:$AM$509,MATCH(SUBSTITUTE(SUBSTITUTE(SUBSTITUTE("P:"&amp;A917,"~","~~"),"*","~*"),"?","~?"),Processos!$AS$10:$AS$509,0)))-9),0)</f>
        <v>0</v>
      </c>
      <c r="K917" s="34" t="str">
        <f t="shared" si="59"/>
        <v/>
      </c>
      <c r="L917" s="14">
        <f>ROW()</f>
        <v>917</v>
      </c>
    </row>
    <row r="918" spans="1:12" ht="60" customHeight="1">
      <c r="A918" s="41"/>
      <c r="B918" s="43"/>
      <c r="C918" s="44"/>
      <c r="D918" s="51"/>
      <c r="E918" s="44"/>
      <c r="F918" s="44"/>
      <c r="G918" s="34">
        <f t="shared" si="56"/>
        <v>0</v>
      </c>
      <c r="H918" s="34" t="str">
        <f t="shared" si="57"/>
        <v/>
      </c>
      <c r="I918" s="52" t="str">
        <f t="shared" si="58"/>
        <v/>
      </c>
      <c r="J918" s="34">
        <f>IF(AND(A918&lt;&gt;"",ISTEXT(A918),COUNTIFS(Processos!$AS$10:$AS$509,"="&amp;SUBSTITUTE(SUBSTITUTE(SUBSTITUTE("P:"&amp;A918,"~","~~"),"*","~*"),"?","~?"))=1),(IF(ISNA(MATCH(SUBSTITUTE(SUBSTITUTE(SUBSTITUTE("P:"&amp;A918,"~","~~"),"*","~*"),"?","~?"),Processos!$AS$10:$AS$509,0)),9,INDEX(Processos!$AM$10:$AM$509,MATCH(SUBSTITUTE(SUBSTITUTE(SUBSTITUTE("P:"&amp;A918,"~","~~"),"*","~*"),"?","~?"),Processos!$AS$10:$AS$509,0)))-9),0)</f>
        <v>0</v>
      </c>
      <c r="K918" s="34" t="str">
        <f t="shared" si="59"/>
        <v/>
      </c>
      <c r="L918" s="14">
        <f>ROW()</f>
        <v>918</v>
      </c>
    </row>
    <row r="919" spans="1:12" ht="60" customHeight="1">
      <c r="A919" s="41"/>
      <c r="B919" s="43"/>
      <c r="C919" s="44"/>
      <c r="D919" s="51"/>
      <c r="E919" s="44"/>
      <c r="F919" s="44"/>
      <c r="G919" s="34">
        <f t="shared" si="56"/>
        <v>0</v>
      </c>
      <c r="H919" s="34" t="str">
        <f t="shared" si="57"/>
        <v/>
      </c>
      <c r="I919" s="52" t="str">
        <f t="shared" si="58"/>
        <v/>
      </c>
      <c r="J919" s="34">
        <f>IF(AND(A919&lt;&gt;"",ISTEXT(A919),COUNTIFS(Processos!$AS$10:$AS$509,"="&amp;SUBSTITUTE(SUBSTITUTE(SUBSTITUTE("P:"&amp;A919,"~","~~"),"*","~*"),"?","~?"))=1),(IF(ISNA(MATCH(SUBSTITUTE(SUBSTITUTE(SUBSTITUTE("P:"&amp;A919,"~","~~"),"*","~*"),"?","~?"),Processos!$AS$10:$AS$509,0)),9,INDEX(Processos!$AM$10:$AM$509,MATCH(SUBSTITUTE(SUBSTITUTE(SUBSTITUTE("P:"&amp;A919,"~","~~"),"*","~*"),"?","~?"),Processos!$AS$10:$AS$509,0)))-9),0)</f>
        <v>0</v>
      </c>
      <c r="K919" s="34" t="str">
        <f t="shared" si="59"/>
        <v/>
      </c>
      <c r="L919" s="14">
        <f>ROW()</f>
        <v>919</v>
      </c>
    </row>
    <row r="920" spans="1:12" ht="60" customHeight="1">
      <c r="A920" s="41"/>
      <c r="B920" s="43"/>
      <c r="C920" s="44"/>
      <c r="D920" s="51"/>
      <c r="E920" s="44"/>
      <c r="F920" s="44"/>
      <c r="G920" s="34">
        <f t="shared" si="56"/>
        <v>0</v>
      </c>
      <c r="H920" s="34" t="str">
        <f t="shared" si="57"/>
        <v/>
      </c>
      <c r="I920" s="52" t="str">
        <f t="shared" si="58"/>
        <v/>
      </c>
      <c r="J920" s="34">
        <f>IF(AND(A920&lt;&gt;"",ISTEXT(A920),COUNTIFS(Processos!$AS$10:$AS$509,"="&amp;SUBSTITUTE(SUBSTITUTE(SUBSTITUTE("P:"&amp;A920,"~","~~"),"*","~*"),"?","~?"))=1),(IF(ISNA(MATCH(SUBSTITUTE(SUBSTITUTE(SUBSTITUTE("P:"&amp;A920,"~","~~"),"*","~*"),"?","~?"),Processos!$AS$10:$AS$509,0)),9,INDEX(Processos!$AM$10:$AM$509,MATCH(SUBSTITUTE(SUBSTITUTE(SUBSTITUTE("P:"&amp;A920,"~","~~"),"*","~*"),"?","~?"),Processos!$AS$10:$AS$509,0)))-9),0)</f>
        <v>0</v>
      </c>
      <c r="K920" s="34" t="str">
        <f t="shared" si="59"/>
        <v/>
      </c>
      <c r="L920" s="14">
        <f>ROW()</f>
        <v>920</v>
      </c>
    </row>
    <row r="921" spans="1:12" ht="60" customHeight="1">
      <c r="A921" s="41"/>
      <c r="B921" s="43"/>
      <c r="C921" s="44"/>
      <c r="D921" s="51"/>
      <c r="E921" s="44"/>
      <c r="F921" s="44"/>
      <c r="G921" s="34">
        <f t="shared" si="56"/>
        <v>0</v>
      </c>
      <c r="H921" s="34" t="str">
        <f t="shared" si="57"/>
        <v/>
      </c>
      <c r="I921" s="52" t="str">
        <f t="shared" si="58"/>
        <v/>
      </c>
      <c r="J921" s="34">
        <f>IF(AND(A921&lt;&gt;"",ISTEXT(A921),COUNTIFS(Processos!$AS$10:$AS$509,"="&amp;SUBSTITUTE(SUBSTITUTE(SUBSTITUTE("P:"&amp;A921,"~","~~"),"*","~*"),"?","~?"))=1),(IF(ISNA(MATCH(SUBSTITUTE(SUBSTITUTE(SUBSTITUTE("P:"&amp;A921,"~","~~"),"*","~*"),"?","~?"),Processos!$AS$10:$AS$509,0)),9,INDEX(Processos!$AM$10:$AM$509,MATCH(SUBSTITUTE(SUBSTITUTE(SUBSTITUTE("P:"&amp;A921,"~","~~"),"*","~*"),"?","~?"),Processos!$AS$10:$AS$509,0)))-9),0)</f>
        <v>0</v>
      </c>
      <c r="K921" s="34" t="str">
        <f t="shared" si="59"/>
        <v/>
      </c>
      <c r="L921" s="14">
        <f>ROW()</f>
        <v>921</v>
      </c>
    </row>
    <row r="922" spans="1:12" ht="60" customHeight="1">
      <c r="A922" s="41"/>
      <c r="B922" s="43"/>
      <c r="C922" s="44"/>
      <c r="D922" s="51"/>
      <c r="E922" s="44"/>
      <c r="F922" s="44"/>
      <c r="G922" s="34">
        <f t="shared" si="56"/>
        <v>0</v>
      </c>
      <c r="H922" s="34" t="str">
        <f t="shared" si="57"/>
        <v/>
      </c>
      <c r="I922" s="52" t="str">
        <f t="shared" si="58"/>
        <v/>
      </c>
      <c r="J922" s="34">
        <f>IF(AND(A922&lt;&gt;"",ISTEXT(A922),COUNTIFS(Processos!$AS$10:$AS$509,"="&amp;SUBSTITUTE(SUBSTITUTE(SUBSTITUTE("P:"&amp;A922,"~","~~"),"*","~*"),"?","~?"))=1),(IF(ISNA(MATCH(SUBSTITUTE(SUBSTITUTE(SUBSTITUTE("P:"&amp;A922,"~","~~"),"*","~*"),"?","~?"),Processos!$AS$10:$AS$509,0)),9,INDEX(Processos!$AM$10:$AM$509,MATCH(SUBSTITUTE(SUBSTITUTE(SUBSTITUTE("P:"&amp;A922,"~","~~"),"*","~*"),"?","~?"),Processos!$AS$10:$AS$509,0)))-9),0)</f>
        <v>0</v>
      </c>
      <c r="K922" s="34" t="str">
        <f t="shared" si="59"/>
        <v/>
      </c>
      <c r="L922" s="14">
        <f>ROW()</f>
        <v>922</v>
      </c>
    </row>
    <row r="923" spans="1:12" ht="60" customHeight="1">
      <c r="A923" s="41"/>
      <c r="B923" s="43"/>
      <c r="C923" s="44"/>
      <c r="D923" s="51"/>
      <c r="E923" s="44"/>
      <c r="F923" s="44"/>
      <c r="G923" s="34">
        <f t="shared" si="56"/>
        <v>0</v>
      </c>
      <c r="H923" s="34" t="str">
        <f t="shared" si="57"/>
        <v/>
      </c>
      <c r="I923" s="52" t="str">
        <f t="shared" si="58"/>
        <v/>
      </c>
      <c r="J923" s="34">
        <f>IF(AND(A923&lt;&gt;"",ISTEXT(A923),COUNTIFS(Processos!$AS$10:$AS$509,"="&amp;SUBSTITUTE(SUBSTITUTE(SUBSTITUTE("P:"&amp;A923,"~","~~"),"*","~*"),"?","~?"))=1),(IF(ISNA(MATCH(SUBSTITUTE(SUBSTITUTE(SUBSTITUTE("P:"&amp;A923,"~","~~"),"*","~*"),"?","~?"),Processos!$AS$10:$AS$509,0)),9,INDEX(Processos!$AM$10:$AM$509,MATCH(SUBSTITUTE(SUBSTITUTE(SUBSTITUTE("P:"&amp;A923,"~","~~"),"*","~*"),"?","~?"),Processos!$AS$10:$AS$509,0)))-9),0)</f>
        <v>0</v>
      </c>
      <c r="K923" s="34" t="str">
        <f t="shared" si="59"/>
        <v/>
      </c>
      <c r="L923" s="14">
        <f>ROW()</f>
        <v>923</v>
      </c>
    </row>
    <row r="924" spans="1:12" ht="60" customHeight="1">
      <c r="A924" s="41"/>
      <c r="B924" s="43"/>
      <c r="C924" s="44"/>
      <c r="D924" s="51"/>
      <c r="E924" s="44"/>
      <c r="F924" s="44"/>
      <c r="G924" s="34">
        <f t="shared" si="56"/>
        <v>0</v>
      </c>
      <c r="H924" s="34" t="str">
        <f t="shared" si="57"/>
        <v/>
      </c>
      <c r="I924" s="52" t="str">
        <f t="shared" si="58"/>
        <v/>
      </c>
      <c r="J924" s="34">
        <f>IF(AND(A924&lt;&gt;"",ISTEXT(A924),COUNTIFS(Processos!$AS$10:$AS$509,"="&amp;SUBSTITUTE(SUBSTITUTE(SUBSTITUTE("P:"&amp;A924,"~","~~"),"*","~*"),"?","~?"))=1),(IF(ISNA(MATCH(SUBSTITUTE(SUBSTITUTE(SUBSTITUTE("P:"&amp;A924,"~","~~"),"*","~*"),"?","~?"),Processos!$AS$10:$AS$509,0)),9,INDEX(Processos!$AM$10:$AM$509,MATCH(SUBSTITUTE(SUBSTITUTE(SUBSTITUTE("P:"&amp;A924,"~","~~"),"*","~*"),"?","~?"),Processos!$AS$10:$AS$509,0)))-9),0)</f>
        <v>0</v>
      </c>
      <c r="K924" s="34" t="str">
        <f t="shared" si="59"/>
        <v/>
      </c>
      <c r="L924" s="14">
        <f>ROW()</f>
        <v>924</v>
      </c>
    </row>
    <row r="925" spans="1:12" ht="60" customHeight="1">
      <c r="A925" s="41"/>
      <c r="B925" s="43"/>
      <c r="C925" s="44"/>
      <c r="D925" s="51"/>
      <c r="E925" s="44"/>
      <c r="F925" s="44"/>
      <c r="G925" s="34">
        <f t="shared" si="56"/>
        <v>0</v>
      </c>
      <c r="H925" s="34" t="str">
        <f t="shared" si="57"/>
        <v/>
      </c>
      <c r="I925" s="52" t="str">
        <f t="shared" si="58"/>
        <v/>
      </c>
      <c r="J925" s="34">
        <f>IF(AND(A925&lt;&gt;"",ISTEXT(A925),COUNTIFS(Processos!$AS$10:$AS$509,"="&amp;SUBSTITUTE(SUBSTITUTE(SUBSTITUTE("P:"&amp;A925,"~","~~"),"*","~*"),"?","~?"))=1),(IF(ISNA(MATCH(SUBSTITUTE(SUBSTITUTE(SUBSTITUTE("P:"&amp;A925,"~","~~"),"*","~*"),"?","~?"),Processos!$AS$10:$AS$509,0)),9,INDEX(Processos!$AM$10:$AM$509,MATCH(SUBSTITUTE(SUBSTITUTE(SUBSTITUTE("P:"&amp;A925,"~","~~"),"*","~*"),"?","~?"),Processos!$AS$10:$AS$509,0)))-9),0)</f>
        <v>0</v>
      </c>
      <c r="K925" s="34" t="str">
        <f t="shared" si="59"/>
        <v/>
      </c>
      <c r="L925" s="14">
        <f>ROW()</f>
        <v>925</v>
      </c>
    </row>
    <row r="926" spans="1:12" ht="60" customHeight="1">
      <c r="A926" s="41"/>
      <c r="B926" s="43"/>
      <c r="C926" s="44"/>
      <c r="D926" s="51"/>
      <c r="E926" s="44"/>
      <c r="F926" s="44"/>
      <c r="G926" s="34">
        <f t="shared" si="56"/>
        <v>0</v>
      </c>
      <c r="H926" s="34" t="str">
        <f t="shared" si="57"/>
        <v/>
      </c>
      <c r="I926" s="52" t="str">
        <f t="shared" si="58"/>
        <v/>
      </c>
      <c r="J926" s="34">
        <f>IF(AND(A926&lt;&gt;"",ISTEXT(A926),COUNTIFS(Processos!$AS$10:$AS$509,"="&amp;SUBSTITUTE(SUBSTITUTE(SUBSTITUTE("P:"&amp;A926,"~","~~"),"*","~*"),"?","~?"))=1),(IF(ISNA(MATCH(SUBSTITUTE(SUBSTITUTE(SUBSTITUTE("P:"&amp;A926,"~","~~"),"*","~*"),"?","~?"),Processos!$AS$10:$AS$509,0)),9,INDEX(Processos!$AM$10:$AM$509,MATCH(SUBSTITUTE(SUBSTITUTE(SUBSTITUTE("P:"&amp;A926,"~","~~"),"*","~*"),"?","~?"),Processos!$AS$10:$AS$509,0)))-9),0)</f>
        <v>0</v>
      </c>
      <c r="K926" s="34" t="str">
        <f t="shared" si="59"/>
        <v/>
      </c>
      <c r="L926" s="14">
        <f>ROW()</f>
        <v>926</v>
      </c>
    </row>
    <row r="927" spans="1:12" ht="60" customHeight="1">
      <c r="A927" s="41"/>
      <c r="B927" s="43"/>
      <c r="C927" s="44"/>
      <c r="D927" s="51"/>
      <c r="E927" s="44"/>
      <c r="F927" s="44"/>
      <c r="G927" s="34">
        <f t="shared" si="56"/>
        <v>0</v>
      </c>
      <c r="H927" s="34" t="str">
        <f t="shared" si="57"/>
        <v/>
      </c>
      <c r="I927" s="52" t="str">
        <f t="shared" si="58"/>
        <v/>
      </c>
      <c r="J927" s="34">
        <f>IF(AND(A927&lt;&gt;"",ISTEXT(A927),COUNTIFS(Processos!$AS$10:$AS$509,"="&amp;SUBSTITUTE(SUBSTITUTE(SUBSTITUTE("P:"&amp;A927,"~","~~"),"*","~*"),"?","~?"))=1),(IF(ISNA(MATCH(SUBSTITUTE(SUBSTITUTE(SUBSTITUTE("P:"&amp;A927,"~","~~"),"*","~*"),"?","~?"),Processos!$AS$10:$AS$509,0)),9,INDEX(Processos!$AM$10:$AM$509,MATCH(SUBSTITUTE(SUBSTITUTE(SUBSTITUTE("P:"&amp;A927,"~","~~"),"*","~*"),"?","~?"),Processos!$AS$10:$AS$509,0)))-9),0)</f>
        <v>0</v>
      </c>
      <c r="K927" s="34" t="str">
        <f t="shared" si="59"/>
        <v/>
      </c>
      <c r="L927" s="14">
        <f>ROW()</f>
        <v>927</v>
      </c>
    </row>
    <row r="928" spans="1:12" ht="60" customHeight="1">
      <c r="A928" s="41"/>
      <c r="B928" s="43"/>
      <c r="C928" s="44"/>
      <c r="D928" s="51"/>
      <c r="E928" s="44"/>
      <c r="F928" s="44"/>
      <c r="G928" s="34">
        <f t="shared" si="56"/>
        <v>0</v>
      </c>
      <c r="H928" s="34" t="str">
        <f t="shared" si="57"/>
        <v/>
      </c>
      <c r="I928" s="52" t="str">
        <f t="shared" si="58"/>
        <v/>
      </c>
      <c r="J928" s="34">
        <f>IF(AND(A928&lt;&gt;"",ISTEXT(A928),COUNTIFS(Processos!$AS$10:$AS$509,"="&amp;SUBSTITUTE(SUBSTITUTE(SUBSTITUTE("P:"&amp;A928,"~","~~"),"*","~*"),"?","~?"))=1),(IF(ISNA(MATCH(SUBSTITUTE(SUBSTITUTE(SUBSTITUTE("P:"&amp;A928,"~","~~"),"*","~*"),"?","~?"),Processos!$AS$10:$AS$509,0)),9,INDEX(Processos!$AM$10:$AM$509,MATCH(SUBSTITUTE(SUBSTITUTE(SUBSTITUTE("P:"&amp;A928,"~","~~"),"*","~*"),"?","~?"),Processos!$AS$10:$AS$509,0)))-9),0)</f>
        <v>0</v>
      </c>
      <c r="K928" s="34" t="str">
        <f t="shared" si="59"/>
        <v/>
      </c>
      <c r="L928" s="14">
        <f>ROW()</f>
        <v>928</v>
      </c>
    </row>
    <row r="929" spans="1:12" ht="60" customHeight="1">
      <c r="A929" s="41"/>
      <c r="B929" s="43"/>
      <c r="C929" s="44"/>
      <c r="D929" s="51"/>
      <c r="E929" s="44"/>
      <c r="F929" s="44"/>
      <c r="G929" s="34">
        <f t="shared" si="56"/>
        <v>0</v>
      </c>
      <c r="H929" s="34" t="str">
        <f t="shared" si="57"/>
        <v/>
      </c>
      <c r="I929" s="52" t="str">
        <f t="shared" si="58"/>
        <v/>
      </c>
      <c r="J929" s="34">
        <f>IF(AND(A929&lt;&gt;"",ISTEXT(A929),COUNTIFS(Processos!$AS$10:$AS$509,"="&amp;SUBSTITUTE(SUBSTITUTE(SUBSTITUTE("P:"&amp;A929,"~","~~"),"*","~*"),"?","~?"))=1),(IF(ISNA(MATCH(SUBSTITUTE(SUBSTITUTE(SUBSTITUTE("P:"&amp;A929,"~","~~"),"*","~*"),"?","~?"),Processos!$AS$10:$AS$509,0)),9,INDEX(Processos!$AM$10:$AM$509,MATCH(SUBSTITUTE(SUBSTITUTE(SUBSTITUTE("P:"&amp;A929,"~","~~"),"*","~*"),"?","~?"),Processos!$AS$10:$AS$509,0)))-9),0)</f>
        <v>0</v>
      </c>
      <c r="K929" s="34" t="str">
        <f t="shared" si="59"/>
        <v/>
      </c>
      <c r="L929" s="14">
        <f>ROW()</f>
        <v>929</v>
      </c>
    </row>
    <row r="930" spans="1:12" ht="60" customHeight="1">
      <c r="A930" s="41"/>
      <c r="B930" s="43"/>
      <c r="C930" s="44"/>
      <c r="D930" s="51"/>
      <c r="E930" s="44"/>
      <c r="F930" s="44"/>
      <c r="G930" s="34">
        <f t="shared" si="56"/>
        <v>0</v>
      </c>
      <c r="H930" s="34" t="str">
        <f t="shared" si="57"/>
        <v/>
      </c>
      <c r="I930" s="52" t="str">
        <f t="shared" si="58"/>
        <v/>
      </c>
      <c r="J930" s="34">
        <f>IF(AND(A930&lt;&gt;"",ISTEXT(A930),COUNTIFS(Processos!$AS$10:$AS$509,"="&amp;SUBSTITUTE(SUBSTITUTE(SUBSTITUTE("P:"&amp;A930,"~","~~"),"*","~*"),"?","~?"))=1),(IF(ISNA(MATCH(SUBSTITUTE(SUBSTITUTE(SUBSTITUTE("P:"&amp;A930,"~","~~"),"*","~*"),"?","~?"),Processos!$AS$10:$AS$509,0)),9,INDEX(Processos!$AM$10:$AM$509,MATCH(SUBSTITUTE(SUBSTITUTE(SUBSTITUTE("P:"&amp;A930,"~","~~"),"*","~*"),"?","~?"),Processos!$AS$10:$AS$509,0)))-9),0)</f>
        <v>0</v>
      </c>
      <c r="K930" s="34" t="str">
        <f t="shared" si="59"/>
        <v/>
      </c>
      <c r="L930" s="14">
        <f>ROW()</f>
        <v>930</v>
      </c>
    </row>
    <row r="931" spans="1:12" ht="60" customHeight="1">
      <c r="A931" s="41"/>
      <c r="B931" s="43"/>
      <c r="C931" s="44"/>
      <c r="D931" s="51"/>
      <c r="E931" s="44"/>
      <c r="F931" s="44"/>
      <c r="G931" s="34">
        <f t="shared" si="56"/>
        <v>0</v>
      </c>
      <c r="H931" s="34" t="str">
        <f t="shared" si="57"/>
        <v/>
      </c>
      <c r="I931" s="52" t="str">
        <f t="shared" si="58"/>
        <v/>
      </c>
      <c r="J931" s="34">
        <f>IF(AND(A931&lt;&gt;"",ISTEXT(A931),COUNTIFS(Processos!$AS$10:$AS$509,"="&amp;SUBSTITUTE(SUBSTITUTE(SUBSTITUTE("P:"&amp;A931,"~","~~"),"*","~*"),"?","~?"))=1),(IF(ISNA(MATCH(SUBSTITUTE(SUBSTITUTE(SUBSTITUTE("P:"&amp;A931,"~","~~"),"*","~*"),"?","~?"),Processos!$AS$10:$AS$509,0)),9,INDEX(Processos!$AM$10:$AM$509,MATCH(SUBSTITUTE(SUBSTITUTE(SUBSTITUTE("P:"&amp;A931,"~","~~"),"*","~*"),"?","~?"),Processos!$AS$10:$AS$509,0)))-9),0)</f>
        <v>0</v>
      </c>
      <c r="K931" s="34" t="str">
        <f t="shared" si="59"/>
        <v/>
      </c>
      <c r="L931" s="14">
        <f>ROW()</f>
        <v>931</v>
      </c>
    </row>
    <row r="932" spans="1:12" ht="60" customHeight="1">
      <c r="A932" s="41"/>
      <c r="B932" s="43"/>
      <c r="C932" s="44"/>
      <c r="D932" s="51"/>
      <c r="E932" s="44"/>
      <c r="F932" s="44"/>
      <c r="G932" s="34">
        <f t="shared" si="56"/>
        <v>0</v>
      </c>
      <c r="H932" s="34" t="str">
        <f t="shared" si="57"/>
        <v/>
      </c>
      <c r="I932" s="52" t="str">
        <f t="shared" si="58"/>
        <v/>
      </c>
      <c r="J932" s="34">
        <f>IF(AND(A932&lt;&gt;"",ISTEXT(A932),COUNTIFS(Processos!$AS$10:$AS$509,"="&amp;SUBSTITUTE(SUBSTITUTE(SUBSTITUTE("P:"&amp;A932,"~","~~"),"*","~*"),"?","~?"))=1),(IF(ISNA(MATCH(SUBSTITUTE(SUBSTITUTE(SUBSTITUTE("P:"&amp;A932,"~","~~"),"*","~*"),"?","~?"),Processos!$AS$10:$AS$509,0)),9,INDEX(Processos!$AM$10:$AM$509,MATCH(SUBSTITUTE(SUBSTITUTE(SUBSTITUTE("P:"&amp;A932,"~","~~"),"*","~*"),"?","~?"),Processos!$AS$10:$AS$509,0)))-9),0)</f>
        <v>0</v>
      </c>
      <c r="K932" s="34" t="str">
        <f t="shared" si="59"/>
        <v/>
      </c>
      <c r="L932" s="14">
        <f>ROW()</f>
        <v>932</v>
      </c>
    </row>
    <row r="933" spans="1:12" ht="60" customHeight="1">
      <c r="A933" s="41"/>
      <c r="B933" s="43"/>
      <c r="C933" s="44"/>
      <c r="D933" s="51"/>
      <c r="E933" s="44"/>
      <c r="F933" s="44"/>
      <c r="G933" s="34">
        <f t="shared" si="56"/>
        <v>0</v>
      </c>
      <c r="H933" s="34" t="str">
        <f t="shared" si="57"/>
        <v/>
      </c>
      <c r="I933" s="52" t="str">
        <f t="shared" si="58"/>
        <v/>
      </c>
      <c r="J933" s="34">
        <f>IF(AND(A933&lt;&gt;"",ISTEXT(A933),COUNTIFS(Processos!$AS$10:$AS$509,"="&amp;SUBSTITUTE(SUBSTITUTE(SUBSTITUTE("P:"&amp;A933,"~","~~"),"*","~*"),"?","~?"))=1),(IF(ISNA(MATCH(SUBSTITUTE(SUBSTITUTE(SUBSTITUTE("P:"&amp;A933,"~","~~"),"*","~*"),"?","~?"),Processos!$AS$10:$AS$509,0)),9,INDEX(Processos!$AM$10:$AM$509,MATCH(SUBSTITUTE(SUBSTITUTE(SUBSTITUTE("P:"&amp;A933,"~","~~"),"*","~*"),"?","~?"),Processos!$AS$10:$AS$509,0)))-9),0)</f>
        <v>0</v>
      </c>
      <c r="K933" s="34" t="str">
        <f t="shared" si="59"/>
        <v/>
      </c>
      <c r="L933" s="14">
        <f>ROW()</f>
        <v>933</v>
      </c>
    </row>
    <row r="934" spans="1:12" ht="60" customHeight="1">
      <c r="A934" s="41"/>
      <c r="B934" s="43"/>
      <c r="C934" s="44"/>
      <c r="D934" s="51"/>
      <c r="E934" s="44"/>
      <c r="F934" s="44"/>
      <c r="G934" s="34">
        <f t="shared" si="56"/>
        <v>0</v>
      </c>
      <c r="H934" s="34" t="str">
        <f t="shared" si="57"/>
        <v/>
      </c>
      <c r="I934" s="52" t="str">
        <f t="shared" si="58"/>
        <v/>
      </c>
      <c r="J934" s="34">
        <f>IF(AND(A934&lt;&gt;"",ISTEXT(A934),COUNTIFS(Processos!$AS$10:$AS$509,"="&amp;SUBSTITUTE(SUBSTITUTE(SUBSTITUTE("P:"&amp;A934,"~","~~"),"*","~*"),"?","~?"))=1),(IF(ISNA(MATCH(SUBSTITUTE(SUBSTITUTE(SUBSTITUTE("P:"&amp;A934,"~","~~"),"*","~*"),"?","~?"),Processos!$AS$10:$AS$509,0)),9,INDEX(Processos!$AM$10:$AM$509,MATCH(SUBSTITUTE(SUBSTITUTE(SUBSTITUTE("P:"&amp;A934,"~","~~"),"*","~*"),"?","~?"),Processos!$AS$10:$AS$509,0)))-9),0)</f>
        <v>0</v>
      </c>
      <c r="K934" s="34" t="str">
        <f t="shared" si="59"/>
        <v/>
      </c>
      <c r="L934" s="14">
        <f>ROW()</f>
        <v>934</v>
      </c>
    </row>
    <row r="935" spans="1:12" ht="60" customHeight="1">
      <c r="A935" s="41"/>
      <c r="B935" s="43"/>
      <c r="C935" s="44"/>
      <c r="D935" s="51"/>
      <c r="E935" s="44"/>
      <c r="F935" s="44"/>
      <c r="G935" s="34">
        <f t="shared" si="56"/>
        <v>0</v>
      </c>
      <c r="H935" s="34" t="str">
        <f t="shared" si="57"/>
        <v/>
      </c>
      <c r="I935" s="52" t="str">
        <f t="shared" si="58"/>
        <v/>
      </c>
      <c r="J935" s="34">
        <f>IF(AND(A935&lt;&gt;"",ISTEXT(A935),COUNTIFS(Processos!$AS$10:$AS$509,"="&amp;SUBSTITUTE(SUBSTITUTE(SUBSTITUTE("P:"&amp;A935,"~","~~"),"*","~*"),"?","~?"))=1),(IF(ISNA(MATCH(SUBSTITUTE(SUBSTITUTE(SUBSTITUTE("P:"&amp;A935,"~","~~"),"*","~*"),"?","~?"),Processos!$AS$10:$AS$509,0)),9,INDEX(Processos!$AM$10:$AM$509,MATCH(SUBSTITUTE(SUBSTITUTE(SUBSTITUTE("P:"&amp;A935,"~","~~"),"*","~*"),"?","~?"),Processos!$AS$10:$AS$509,0)))-9),0)</f>
        <v>0</v>
      </c>
      <c r="K935" s="34" t="str">
        <f t="shared" si="59"/>
        <v/>
      </c>
      <c r="L935" s="14">
        <f>ROW()</f>
        <v>935</v>
      </c>
    </row>
    <row r="936" spans="1:12" ht="60" customHeight="1">
      <c r="A936" s="41"/>
      <c r="B936" s="43"/>
      <c r="C936" s="44"/>
      <c r="D936" s="51"/>
      <c r="E936" s="44"/>
      <c r="F936" s="44"/>
      <c r="G936" s="34">
        <f t="shared" si="56"/>
        <v>0</v>
      </c>
      <c r="H936" s="34" t="str">
        <f t="shared" si="57"/>
        <v/>
      </c>
      <c r="I936" s="52" t="str">
        <f t="shared" si="58"/>
        <v/>
      </c>
      <c r="J936" s="34">
        <f>IF(AND(A936&lt;&gt;"",ISTEXT(A936),COUNTIFS(Processos!$AS$10:$AS$509,"="&amp;SUBSTITUTE(SUBSTITUTE(SUBSTITUTE("P:"&amp;A936,"~","~~"),"*","~*"),"?","~?"))=1),(IF(ISNA(MATCH(SUBSTITUTE(SUBSTITUTE(SUBSTITUTE("P:"&amp;A936,"~","~~"),"*","~*"),"?","~?"),Processos!$AS$10:$AS$509,0)),9,INDEX(Processos!$AM$10:$AM$509,MATCH(SUBSTITUTE(SUBSTITUTE(SUBSTITUTE("P:"&amp;A936,"~","~~"),"*","~*"),"?","~?"),Processos!$AS$10:$AS$509,0)))-9),0)</f>
        <v>0</v>
      </c>
      <c r="K936" s="34" t="str">
        <f t="shared" si="59"/>
        <v/>
      </c>
      <c r="L936" s="14">
        <f>ROW()</f>
        <v>936</v>
      </c>
    </row>
    <row r="937" spans="1:12" ht="60" customHeight="1">
      <c r="A937" s="41"/>
      <c r="B937" s="43"/>
      <c r="C937" s="44"/>
      <c r="D937" s="51"/>
      <c r="E937" s="44"/>
      <c r="F937" s="44"/>
      <c r="G937" s="34">
        <f t="shared" si="56"/>
        <v>0</v>
      </c>
      <c r="H937" s="34" t="str">
        <f t="shared" si="57"/>
        <v/>
      </c>
      <c r="I937" s="52" t="str">
        <f t="shared" si="58"/>
        <v/>
      </c>
      <c r="J937" s="34">
        <f>IF(AND(A937&lt;&gt;"",ISTEXT(A937),COUNTIFS(Processos!$AS$10:$AS$509,"="&amp;SUBSTITUTE(SUBSTITUTE(SUBSTITUTE("P:"&amp;A937,"~","~~"),"*","~*"),"?","~?"))=1),(IF(ISNA(MATCH(SUBSTITUTE(SUBSTITUTE(SUBSTITUTE("P:"&amp;A937,"~","~~"),"*","~*"),"?","~?"),Processos!$AS$10:$AS$509,0)),9,INDEX(Processos!$AM$10:$AM$509,MATCH(SUBSTITUTE(SUBSTITUTE(SUBSTITUTE("P:"&amp;A937,"~","~~"),"*","~*"),"?","~?"),Processos!$AS$10:$AS$509,0)))-9),0)</f>
        <v>0</v>
      </c>
      <c r="K937" s="34" t="str">
        <f t="shared" si="59"/>
        <v/>
      </c>
      <c r="L937" s="14">
        <f>ROW()</f>
        <v>937</v>
      </c>
    </row>
    <row r="938" spans="1:12" ht="60" customHeight="1">
      <c r="A938" s="41"/>
      <c r="B938" s="43"/>
      <c r="C938" s="44"/>
      <c r="D938" s="51"/>
      <c r="E938" s="44"/>
      <c r="F938" s="44"/>
      <c r="G938" s="34">
        <f t="shared" si="56"/>
        <v>0</v>
      </c>
      <c r="H938" s="34" t="str">
        <f t="shared" si="57"/>
        <v/>
      </c>
      <c r="I938" s="52" t="str">
        <f t="shared" si="58"/>
        <v/>
      </c>
      <c r="J938" s="34">
        <f>IF(AND(A938&lt;&gt;"",ISTEXT(A938),COUNTIFS(Processos!$AS$10:$AS$509,"="&amp;SUBSTITUTE(SUBSTITUTE(SUBSTITUTE("P:"&amp;A938,"~","~~"),"*","~*"),"?","~?"))=1),(IF(ISNA(MATCH(SUBSTITUTE(SUBSTITUTE(SUBSTITUTE("P:"&amp;A938,"~","~~"),"*","~*"),"?","~?"),Processos!$AS$10:$AS$509,0)),9,INDEX(Processos!$AM$10:$AM$509,MATCH(SUBSTITUTE(SUBSTITUTE(SUBSTITUTE("P:"&amp;A938,"~","~~"),"*","~*"),"?","~?"),Processos!$AS$10:$AS$509,0)))-9),0)</f>
        <v>0</v>
      </c>
      <c r="K938" s="34" t="str">
        <f t="shared" si="59"/>
        <v/>
      </c>
      <c r="L938" s="14">
        <f>ROW()</f>
        <v>938</v>
      </c>
    </row>
    <row r="939" spans="1:12" ht="60" customHeight="1">
      <c r="A939" s="41"/>
      <c r="B939" s="43"/>
      <c r="C939" s="44"/>
      <c r="D939" s="51"/>
      <c r="E939" s="44"/>
      <c r="F939" s="44"/>
      <c r="G939" s="34">
        <f t="shared" si="56"/>
        <v>0</v>
      </c>
      <c r="H939" s="34" t="str">
        <f t="shared" si="57"/>
        <v/>
      </c>
      <c r="I939" s="52" t="str">
        <f t="shared" si="58"/>
        <v/>
      </c>
      <c r="J939" s="34">
        <f>IF(AND(A939&lt;&gt;"",ISTEXT(A939),COUNTIFS(Processos!$AS$10:$AS$509,"="&amp;SUBSTITUTE(SUBSTITUTE(SUBSTITUTE("P:"&amp;A939,"~","~~"),"*","~*"),"?","~?"))=1),(IF(ISNA(MATCH(SUBSTITUTE(SUBSTITUTE(SUBSTITUTE("P:"&amp;A939,"~","~~"),"*","~*"),"?","~?"),Processos!$AS$10:$AS$509,0)),9,INDEX(Processos!$AM$10:$AM$509,MATCH(SUBSTITUTE(SUBSTITUTE(SUBSTITUTE("P:"&amp;A939,"~","~~"),"*","~*"),"?","~?"),Processos!$AS$10:$AS$509,0)))-9),0)</f>
        <v>0</v>
      </c>
      <c r="K939" s="34" t="str">
        <f t="shared" si="59"/>
        <v/>
      </c>
      <c r="L939" s="14">
        <f>ROW()</f>
        <v>939</v>
      </c>
    </row>
    <row r="940" spans="1:12" ht="60" customHeight="1">
      <c r="A940" s="41"/>
      <c r="B940" s="43"/>
      <c r="C940" s="44"/>
      <c r="D940" s="51"/>
      <c r="E940" s="44"/>
      <c r="F940" s="44"/>
      <c r="G940" s="34">
        <f t="shared" si="56"/>
        <v>0</v>
      </c>
      <c r="H940" s="34" t="str">
        <f t="shared" si="57"/>
        <v/>
      </c>
      <c r="I940" s="52" t="str">
        <f t="shared" si="58"/>
        <v/>
      </c>
      <c r="J940" s="34">
        <f>IF(AND(A940&lt;&gt;"",ISTEXT(A940),COUNTIFS(Processos!$AS$10:$AS$509,"="&amp;SUBSTITUTE(SUBSTITUTE(SUBSTITUTE("P:"&amp;A940,"~","~~"),"*","~*"),"?","~?"))=1),(IF(ISNA(MATCH(SUBSTITUTE(SUBSTITUTE(SUBSTITUTE("P:"&amp;A940,"~","~~"),"*","~*"),"?","~?"),Processos!$AS$10:$AS$509,0)),9,INDEX(Processos!$AM$10:$AM$509,MATCH(SUBSTITUTE(SUBSTITUTE(SUBSTITUTE("P:"&amp;A940,"~","~~"),"*","~*"),"?","~?"),Processos!$AS$10:$AS$509,0)))-9),0)</f>
        <v>0</v>
      </c>
      <c r="K940" s="34" t="str">
        <f t="shared" si="59"/>
        <v/>
      </c>
      <c r="L940" s="14">
        <f>ROW()</f>
        <v>940</v>
      </c>
    </row>
    <row r="941" spans="1:12" ht="60" customHeight="1">
      <c r="A941" s="41"/>
      <c r="B941" s="43"/>
      <c r="C941" s="44"/>
      <c r="D941" s="51"/>
      <c r="E941" s="44"/>
      <c r="F941" s="44"/>
      <c r="G941" s="34">
        <f t="shared" si="56"/>
        <v>0</v>
      </c>
      <c r="H941" s="34" t="str">
        <f t="shared" si="57"/>
        <v/>
      </c>
      <c r="I941" s="52" t="str">
        <f t="shared" si="58"/>
        <v/>
      </c>
      <c r="J941" s="34">
        <f>IF(AND(A941&lt;&gt;"",ISTEXT(A941),COUNTIFS(Processos!$AS$10:$AS$509,"="&amp;SUBSTITUTE(SUBSTITUTE(SUBSTITUTE("P:"&amp;A941,"~","~~"),"*","~*"),"?","~?"))=1),(IF(ISNA(MATCH(SUBSTITUTE(SUBSTITUTE(SUBSTITUTE("P:"&amp;A941,"~","~~"),"*","~*"),"?","~?"),Processos!$AS$10:$AS$509,0)),9,INDEX(Processos!$AM$10:$AM$509,MATCH(SUBSTITUTE(SUBSTITUTE(SUBSTITUTE("P:"&amp;A941,"~","~~"),"*","~*"),"?","~?"),Processos!$AS$10:$AS$509,0)))-9),0)</f>
        <v>0</v>
      </c>
      <c r="K941" s="34" t="str">
        <f t="shared" si="59"/>
        <v/>
      </c>
      <c r="L941" s="14">
        <f>ROW()</f>
        <v>941</v>
      </c>
    </row>
    <row r="942" spans="1:12" ht="60" customHeight="1">
      <c r="A942" s="41"/>
      <c r="B942" s="43"/>
      <c r="C942" s="44"/>
      <c r="D942" s="51"/>
      <c r="E942" s="44"/>
      <c r="F942" s="44"/>
      <c r="G942" s="34">
        <f t="shared" si="56"/>
        <v>0</v>
      </c>
      <c r="H942" s="34" t="str">
        <f t="shared" si="57"/>
        <v/>
      </c>
      <c r="I942" s="52" t="str">
        <f t="shared" si="58"/>
        <v/>
      </c>
      <c r="J942" s="34">
        <f>IF(AND(A942&lt;&gt;"",ISTEXT(A942),COUNTIFS(Processos!$AS$10:$AS$509,"="&amp;SUBSTITUTE(SUBSTITUTE(SUBSTITUTE("P:"&amp;A942,"~","~~"),"*","~*"),"?","~?"))=1),(IF(ISNA(MATCH(SUBSTITUTE(SUBSTITUTE(SUBSTITUTE("P:"&amp;A942,"~","~~"),"*","~*"),"?","~?"),Processos!$AS$10:$AS$509,0)),9,INDEX(Processos!$AM$10:$AM$509,MATCH(SUBSTITUTE(SUBSTITUTE(SUBSTITUTE("P:"&amp;A942,"~","~~"),"*","~*"),"?","~?"),Processos!$AS$10:$AS$509,0)))-9),0)</f>
        <v>0</v>
      </c>
      <c r="K942" s="34" t="str">
        <f t="shared" si="59"/>
        <v/>
      </c>
      <c r="L942" s="14">
        <f>ROW()</f>
        <v>942</v>
      </c>
    </row>
    <row r="943" spans="1:12" ht="60" customHeight="1">
      <c r="A943" s="41"/>
      <c r="B943" s="43"/>
      <c r="C943" s="44"/>
      <c r="D943" s="51"/>
      <c r="E943" s="44"/>
      <c r="F943" s="44"/>
      <c r="G943" s="34">
        <f t="shared" si="56"/>
        <v>0</v>
      </c>
      <c r="H943" s="34" t="str">
        <f t="shared" si="57"/>
        <v/>
      </c>
      <c r="I943" s="52" t="str">
        <f t="shared" si="58"/>
        <v/>
      </c>
      <c r="J943" s="34">
        <f>IF(AND(A943&lt;&gt;"",ISTEXT(A943),COUNTIFS(Processos!$AS$10:$AS$509,"="&amp;SUBSTITUTE(SUBSTITUTE(SUBSTITUTE("P:"&amp;A943,"~","~~"),"*","~*"),"?","~?"))=1),(IF(ISNA(MATCH(SUBSTITUTE(SUBSTITUTE(SUBSTITUTE("P:"&amp;A943,"~","~~"),"*","~*"),"?","~?"),Processos!$AS$10:$AS$509,0)),9,INDEX(Processos!$AM$10:$AM$509,MATCH(SUBSTITUTE(SUBSTITUTE(SUBSTITUTE("P:"&amp;A943,"~","~~"),"*","~*"),"?","~?"),Processos!$AS$10:$AS$509,0)))-9),0)</f>
        <v>0</v>
      </c>
      <c r="K943" s="34" t="str">
        <f t="shared" si="59"/>
        <v/>
      </c>
      <c r="L943" s="14">
        <f>ROW()</f>
        <v>943</v>
      </c>
    </row>
    <row r="944" spans="1:12" ht="60" customHeight="1">
      <c r="A944" s="41"/>
      <c r="B944" s="43"/>
      <c r="C944" s="44"/>
      <c r="D944" s="51"/>
      <c r="E944" s="44"/>
      <c r="F944" s="44"/>
      <c r="G944" s="34">
        <f t="shared" si="56"/>
        <v>0</v>
      </c>
      <c r="H944" s="34" t="str">
        <f t="shared" si="57"/>
        <v/>
      </c>
      <c r="I944" s="52" t="str">
        <f t="shared" si="58"/>
        <v/>
      </c>
      <c r="J944" s="34">
        <f>IF(AND(A944&lt;&gt;"",ISTEXT(A944),COUNTIFS(Processos!$AS$10:$AS$509,"="&amp;SUBSTITUTE(SUBSTITUTE(SUBSTITUTE("P:"&amp;A944,"~","~~"),"*","~*"),"?","~?"))=1),(IF(ISNA(MATCH(SUBSTITUTE(SUBSTITUTE(SUBSTITUTE("P:"&amp;A944,"~","~~"),"*","~*"),"?","~?"),Processos!$AS$10:$AS$509,0)),9,INDEX(Processos!$AM$10:$AM$509,MATCH(SUBSTITUTE(SUBSTITUTE(SUBSTITUTE("P:"&amp;A944,"~","~~"),"*","~*"),"?","~?"),Processos!$AS$10:$AS$509,0)))-9),0)</f>
        <v>0</v>
      </c>
      <c r="K944" s="34" t="str">
        <f t="shared" si="59"/>
        <v/>
      </c>
      <c r="L944" s="14">
        <f>ROW()</f>
        <v>944</v>
      </c>
    </row>
    <row r="945" spans="1:12" ht="60" customHeight="1">
      <c r="A945" s="41"/>
      <c r="B945" s="43"/>
      <c r="C945" s="44"/>
      <c r="D945" s="51"/>
      <c r="E945" s="44"/>
      <c r="F945" s="44"/>
      <c r="G945" s="34">
        <f t="shared" si="56"/>
        <v>0</v>
      </c>
      <c r="H945" s="34" t="str">
        <f t="shared" si="57"/>
        <v/>
      </c>
      <c r="I945" s="52" t="str">
        <f t="shared" si="58"/>
        <v/>
      </c>
      <c r="J945" s="34">
        <f>IF(AND(A945&lt;&gt;"",ISTEXT(A945),COUNTIFS(Processos!$AS$10:$AS$509,"="&amp;SUBSTITUTE(SUBSTITUTE(SUBSTITUTE("P:"&amp;A945,"~","~~"),"*","~*"),"?","~?"))=1),(IF(ISNA(MATCH(SUBSTITUTE(SUBSTITUTE(SUBSTITUTE("P:"&amp;A945,"~","~~"),"*","~*"),"?","~?"),Processos!$AS$10:$AS$509,0)),9,INDEX(Processos!$AM$10:$AM$509,MATCH(SUBSTITUTE(SUBSTITUTE(SUBSTITUTE("P:"&amp;A945,"~","~~"),"*","~*"),"?","~?"),Processos!$AS$10:$AS$509,0)))-9),0)</f>
        <v>0</v>
      </c>
      <c r="K945" s="34" t="str">
        <f t="shared" si="59"/>
        <v/>
      </c>
      <c r="L945" s="14">
        <f>ROW()</f>
        <v>945</v>
      </c>
    </row>
    <row r="946" spans="1:12" ht="60" customHeight="1">
      <c r="A946" s="41"/>
      <c r="B946" s="43"/>
      <c r="C946" s="44"/>
      <c r="D946" s="51"/>
      <c r="E946" s="44"/>
      <c r="F946" s="44"/>
      <c r="G946" s="34">
        <f t="shared" si="56"/>
        <v>0</v>
      </c>
      <c r="H946" s="34" t="str">
        <f t="shared" si="57"/>
        <v/>
      </c>
      <c r="I946" s="52" t="str">
        <f t="shared" si="58"/>
        <v/>
      </c>
      <c r="J946" s="34">
        <f>IF(AND(A946&lt;&gt;"",ISTEXT(A946),COUNTIFS(Processos!$AS$10:$AS$509,"="&amp;SUBSTITUTE(SUBSTITUTE(SUBSTITUTE("P:"&amp;A946,"~","~~"),"*","~*"),"?","~?"))=1),(IF(ISNA(MATCH(SUBSTITUTE(SUBSTITUTE(SUBSTITUTE("P:"&amp;A946,"~","~~"),"*","~*"),"?","~?"),Processos!$AS$10:$AS$509,0)),9,INDEX(Processos!$AM$10:$AM$509,MATCH(SUBSTITUTE(SUBSTITUTE(SUBSTITUTE("P:"&amp;A946,"~","~~"),"*","~*"),"?","~?"),Processos!$AS$10:$AS$509,0)))-9),0)</f>
        <v>0</v>
      </c>
      <c r="K946" s="34" t="str">
        <f t="shared" si="59"/>
        <v/>
      </c>
      <c r="L946" s="14">
        <f>ROW()</f>
        <v>946</v>
      </c>
    </row>
    <row r="947" spans="1:12" ht="60" customHeight="1">
      <c r="A947" s="41"/>
      <c r="B947" s="43"/>
      <c r="C947" s="44"/>
      <c r="D947" s="51"/>
      <c r="E947" s="44"/>
      <c r="F947" s="44"/>
      <c r="G947" s="34">
        <f t="shared" si="56"/>
        <v>0</v>
      </c>
      <c r="H947" s="34" t="str">
        <f t="shared" si="57"/>
        <v/>
      </c>
      <c r="I947" s="52" t="str">
        <f t="shared" si="58"/>
        <v/>
      </c>
      <c r="J947" s="34">
        <f>IF(AND(A947&lt;&gt;"",ISTEXT(A947),COUNTIFS(Processos!$AS$10:$AS$509,"="&amp;SUBSTITUTE(SUBSTITUTE(SUBSTITUTE("P:"&amp;A947,"~","~~"),"*","~*"),"?","~?"))=1),(IF(ISNA(MATCH(SUBSTITUTE(SUBSTITUTE(SUBSTITUTE("P:"&amp;A947,"~","~~"),"*","~*"),"?","~?"),Processos!$AS$10:$AS$509,0)),9,INDEX(Processos!$AM$10:$AM$509,MATCH(SUBSTITUTE(SUBSTITUTE(SUBSTITUTE("P:"&amp;A947,"~","~~"),"*","~*"),"?","~?"),Processos!$AS$10:$AS$509,0)))-9),0)</f>
        <v>0</v>
      </c>
      <c r="K947" s="34" t="str">
        <f t="shared" si="59"/>
        <v/>
      </c>
      <c r="L947" s="14">
        <f>ROW()</f>
        <v>947</v>
      </c>
    </row>
    <row r="948" spans="1:12" ht="60" customHeight="1">
      <c r="A948" s="41"/>
      <c r="B948" s="43"/>
      <c r="C948" s="44"/>
      <c r="D948" s="51"/>
      <c r="E948" s="44"/>
      <c r="F948" s="44"/>
      <c r="G948" s="34">
        <f t="shared" si="56"/>
        <v>0</v>
      </c>
      <c r="H948" s="34" t="str">
        <f t="shared" si="57"/>
        <v/>
      </c>
      <c r="I948" s="52" t="str">
        <f t="shared" si="58"/>
        <v/>
      </c>
      <c r="J948" s="34">
        <f>IF(AND(A948&lt;&gt;"",ISTEXT(A948),COUNTIFS(Processos!$AS$10:$AS$509,"="&amp;SUBSTITUTE(SUBSTITUTE(SUBSTITUTE("P:"&amp;A948,"~","~~"),"*","~*"),"?","~?"))=1),(IF(ISNA(MATCH(SUBSTITUTE(SUBSTITUTE(SUBSTITUTE("P:"&amp;A948,"~","~~"),"*","~*"),"?","~?"),Processos!$AS$10:$AS$509,0)),9,INDEX(Processos!$AM$10:$AM$509,MATCH(SUBSTITUTE(SUBSTITUTE(SUBSTITUTE("P:"&amp;A948,"~","~~"),"*","~*"),"?","~?"),Processos!$AS$10:$AS$509,0)))-9),0)</f>
        <v>0</v>
      </c>
      <c r="K948" s="34" t="str">
        <f t="shared" si="59"/>
        <v/>
      </c>
      <c r="L948" s="14">
        <f>ROW()</f>
        <v>948</v>
      </c>
    </row>
    <row r="949" spans="1:12" ht="60" customHeight="1">
      <c r="A949" s="41"/>
      <c r="B949" s="43"/>
      <c r="C949" s="44"/>
      <c r="D949" s="51"/>
      <c r="E949" s="44"/>
      <c r="F949" s="44"/>
      <c r="G949" s="34">
        <f t="shared" si="56"/>
        <v>0</v>
      </c>
      <c r="H949" s="34" t="str">
        <f t="shared" si="57"/>
        <v/>
      </c>
      <c r="I949" s="52" t="str">
        <f t="shared" si="58"/>
        <v/>
      </c>
      <c r="J949" s="34">
        <f>IF(AND(A949&lt;&gt;"",ISTEXT(A949),COUNTIFS(Processos!$AS$10:$AS$509,"="&amp;SUBSTITUTE(SUBSTITUTE(SUBSTITUTE("P:"&amp;A949,"~","~~"),"*","~*"),"?","~?"))=1),(IF(ISNA(MATCH(SUBSTITUTE(SUBSTITUTE(SUBSTITUTE("P:"&amp;A949,"~","~~"),"*","~*"),"?","~?"),Processos!$AS$10:$AS$509,0)),9,INDEX(Processos!$AM$10:$AM$509,MATCH(SUBSTITUTE(SUBSTITUTE(SUBSTITUTE("P:"&amp;A949,"~","~~"),"*","~*"),"?","~?"),Processos!$AS$10:$AS$509,0)))-9),0)</f>
        <v>0</v>
      </c>
      <c r="K949" s="34" t="str">
        <f t="shared" si="59"/>
        <v/>
      </c>
      <c r="L949" s="14">
        <f>ROW()</f>
        <v>949</v>
      </c>
    </row>
    <row r="950" spans="1:12" ht="60" customHeight="1">
      <c r="A950" s="41"/>
      <c r="B950" s="43"/>
      <c r="C950" s="44"/>
      <c r="D950" s="51"/>
      <c r="E950" s="44"/>
      <c r="F950" s="44"/>
      <c r="G950" s="34">
        <f t="shared" si="56"/>
        <v>0</v>
      </c>
      <c r="H950" s="34" t="str">
        <f t="shared" si="57"/>
        <v/>
      </c>
      <c r="I950" s="52" t="str">
        <f t="shared" si="58"/>
        <v/>
      </c>
      <c r="J950" s="34">
        <f>IF(AND(A950&lt;&gt;"",ISTEXT(A950),COUNTIFS(Processos!$AS$10:$AS$509,"="&amp;SUBSTITUTE(SUBSTITUTE(SUBSTITUTE("P:"&amp;A950,"~","~~"),"*","~*"),"?","~?"))=1),(IF(ISNA(MATCH(SUBSTITUTE(SUBSTITUTE(SUBSTITUTE("P:"&amp;A950,"~","~~"),"*","~*"),"?","~?"),Processos!$AS$10:$AS$509,0)),9,INDEX(Processos!$AM$10:$AM$509,MATCH(SUBSTITUTE(SUBSTITUTE(SUBSTITUTE("P:"&amp;A950,"~","~~"),"*","~*"),"?","~?"),Processos!$AS$10:$AS$509,0)))-9),0)</f>
        <v>0</v>
      </c>
      <c r="K950" s="34" t="str">
        <f t="shared" si="59"/>
        <v/>
      </c>
      <c r="L950" s="14">
        <f>ROW()</f>
        <v>950</v>
      </c>
    </row>
    <row r="951" spans="1:12" ht="60" customHeight="1">
      <c r="A951" s="41"/>
      <c r="B951" s="43"/>
      <c r="C951" s="44"/>
      <c r="D951" s="51"/>
      <c r="E951" s="44"/>
      <c r="F951" s="44"/>
      <c r="G951" s="34">
        <f t="shared" si="56"/>
        <v>0</v>
      </c>
      <c r="H951" s="34" t="str">
        <f t="shared" si="57"/>
        <v/>
      </c>
      <c r="I951" s="52" t="str">
        <f t="shared" si="58"/>
        <v/>
      </c>
      <c r="J951" s="34">
        <f>IF(AND(A951&lt;&gt;"",ISTEXT(A951),COUNTIFS(Processos!$AS$10:$AS$509,"="&amp;SUBSTITUTE(SUBSTITUTE(SUBSTITUTE("P:"&amp;A951,"~","~~"),"*","~*"),"?","~?"))=1),(IF(ISNA(MATCH(SUBSTITUTE(SUBSTITUTE(SUBSTITUTE("P:"&amp;A951,"~","~~"),"*","~*"),"?","~?"),Processos!$AS$10:$AS$509,0)),9,INDEX(Processos!$AM$10:$AM$509,MATCH(SUBSTITUTE(SUBSTITUTE(SUBSTITUTE("P:"&amp;A951,"~","~~"),"*","~*"),"?","~?"),Processos!$AS$10:$AS$509,0)))-9),0)</f>
        <v>0</v>
      </c>
      <c r="K951" s="34" t="str">
        <f t="shared" si="59"/>
        <v/>
      </c>
      <c r="L951" s="14">
        <f>ROW()</f>
        <v>951</v>
      </c>
    </row>
    <row r="952" spans="1:12" ht="60" customHeight="1">
      <c r="A952" s="41"/>
      <c r="B952" s="43"/>
      <c r="C952" s="44"/>
      <c r="D952" s="51"/>
      <c r="E952" s="44"/>
      <c r="F952" s="44"/>
      <c r="G952" s="34">
        <f t="shared" si="56"/>
        <v>0</v>
      </c>
      <c r="H952" s="34" t="str">
        <f t="shared" si="57"/>
        <v/>
      </c>
      <c r="I952" s="52" t="str">
        <f t="shared" si="58"/>
        <v/>
      </c>
      <c r="J952" s="34">
        <f>IF(AND(A952&lt;&gt;"",ISTEXT(A952),COUNTIFS(Processos!$AS$10:$AS$509,"="&amp;SUBSTITUTE(SUBSTITUTE(SUBSTITUTE("P:"&amp;A952,"~","~~"),"*","~*"),"?","~?"))=1),(IF(ISNA(MATCH(SUBSTITUTE(SUBSTITUTE(SUBSTITUTE("P:"&amp;A952,"~","~~"),"*","~*"),"?","~?"),Processos!$AS$10:$AS$509,0)),9,INDEX(Processos!$AM$10:$AM$509,MATCH(SUBSTITUTE(SUBSTITUTE(SUBSTITUTE("P:"&amp;A952,"~","~~"),"*","~*"),"?","~?"),Processos!$AS$10:$AS$509,0)))-9),0)</f>
        <v>0</v>
      </c>
      <c r="K952" s="34" t="str">
        <f t="shared" si="59"/>
        <v/>
      </c>
      <c r="L952" s="14">
        <f>ROW()</f>
        <v>952</v>
      </c>
    </row>
    <row r="953" spans="1:12" ht="60" customHeight="1">
      <c r="A953" s="41"/>
      <c r="B953" s="43"/>
      <c r="C953" s="44"/>
      <c r="D953" s="51"/>
      <c r="E953" s="44"/>
      <c r="F953" s="44"/>
      <c r="G953" s="34">
        <f t="shared" si="56"/>
        <v>0</v>
      </c>
      <c r="H953" s="34" t="str">
        <f t="shared" si="57"/>
        <v/>
      </c>
      <c r="I953" s="52" t="str">
        <f t="shared" si="58"/>
        <v/>
      </c>
      <c r="J953" s="34">
        <f>IF(AND(A953&lt;&gt;"",ISTEXT(A953),COUNTIFS(Processos!$AS$10:$AS$509,"="&amp;SUBSTITUTE(SUBSTITUTE(SUBSTITUTE("P:"&amp;A953,"~","~~"),"*","~*"),"?","~?"))=1),(IF(ISNA(MATCH(SUBSTITUTE(SUBSTITUTE(SUBSTITUTE("P:"&amp;A953,"~","~~"),"*","~*"),"?","~?"),Processos!$AS$10:$AS$509,0)),9,INDEX(Processos!$AM$10:$AM$509,MATCH(SUBSTITUTE(SUBSTITUTE(SUBSTITUTE("P:"&amp;A953,"~","~~"),"*","~*"),"?","~?"),Processos!$AS$10:$AS$509,0)))-9),0)</f>
        <v>0</v>
      </c>
      <c r="K953" s="34" t="str">
        <f t="shared" si="59"/>
        <v/>
      </c>
      <c r="L953" s="14">
        <f>ROW()</f>
        <v>953</v>
      </c>
    </row>
    <row r="954" spans="1:12" ht="60" customHeight="1">
      <c r="A954" s="41"/>
      <c r="B954" s="43"/>
      <c r="C954" s="44"/>
      <c r="D954" s="51"/>
      <c r="E954" s="44"/>
      <c r="F954" s="44"/>
      <c r="G954" s="34">
        <f t="shared" si="56"/>
        <v>0</v>
      </c>
      <c r="H954" s="34" t="str">
        <f t="shared" si="57"/>
        <v/>
      </c>
      <c r="I954" s="52" t="str">
        <f t="shared" si="58"/>
        <v/>
      </c>
      <c r="J954" s="34">
        <f>IF(AND(A954&lt;&gt;"",ISTEXT(A954),COUNTIFS(Processos!$AS$10:$AS$509,"="&amp;SUBSTITUTE(SUBSTITUTE(SUBSTITUTE("P:"&amp;A954,"~","~~"),"*","~*"),"?","~?"))=1),(IF(ISNA(MATCH(SUBSTITUTE(SUBSTITUTE(SUBSTITUTE("P:"&amp;A954,"~","~~"),"*","~*"),"?","~?"),Processos!$AS$10:$AS$509,0)),9,INDEX(Processos!$AM$10:$AM$509,MATCH(SUBSTITUTE(SUBSTITUTE(SUBSTITUTE("P:"&amp;A954,"~","~~"),"*","~*"),"?","~?"),Processos!$AS$10:$AS$509,0)))-9),0)</f>
        <v>0</v>
      </c>
      <c r="K954" s="34" t="str">
        <f t="shared" si="59"/>
        <v/>
      </c>
      <c r="L954" s="14">
        <f>ROW()</f>
        <v>954</v>
      </c>
    </row>
    <row r="955" spans="1:12" ht="60" customHeight="1">
      <c r="A955" s="41"/>
      <c r="B955" s="43"/>
      <c r="C955" s="44"/>
      <c r="D955" s="51"/>
      <c r="E955" s="44"/>
      <c r="F955" s="44"/>
      <c r="G955" s="34">
        <f t="shared" si="56"/>
        <v>0</v>
      </c>
      <c r="H955" s="34" t="str">
        <f t="shared" si="57"/>
        <v/>
      </c>
      <c r="I955" s="52" t="str">
        <f t="shared" si="58"/>
        <v/>
      </c>
      <c r="J955" s="34">
        <f>IF(AND(A955&lt;&gt;"",ISTEXT(A955),COUNTIFS(Processos!$AS$10:$AS$509,"="&amp;SUBSTITUTE(SUBSTITUTE(SUBSTITUTE("P:"&amp;A955,"~","~~"),"*","~*"),"?","~?"))=1),(IF(ISNA(MATCH(SUBSTITUTE(SUBSTITUTE(SUBSTITUTE("P:"&amp;A955,"~","~~"),"*","~*"),"?","~?"),Processos!$AS$10:$AS$509,0)),9,INDEX(Processos!$AM$10:$AM$509,MATCH(SUBSTITUTE(SUBSTITUTE(SUBSTITUTE("P:"&amp;A955,"~","~~"),"*","~*"),"?","~?"),Processos!$AS$10:$AS$509,0)))-9),0)</f>
        <v>0</v>
      </c>
      <c r="K955" s="34" t="str">
        <f t="shared" si="59"/>
        <v/>
      </c>
      <c r="L955" s="14">
        <f>ROW()</f>
        <v>955</v>
      </c>
    </row>
    <row r="956" spans="1:12" ht="60" customHeight="1">
      <c r="A956" s="41"/>
      <c r="B956" s="43"/>
      <c r="C956" s="44"/>
      <c r="D956" s="51"/>
      <c r="E956" s="44"/>
      <c r="F956" s="44"/>
      <c r="G956" s="34">
        <f t="shared" si="56"/>
        <v>0</v>
      </c>
      <c r="H956" s="34" t="str">
        <f t="shared" si="57"/>
        <v/>
      </c>
      <c r="I956" s="52" t="str">
        <f t="shared" si="58"/>
        <v/>
      </c>
      <c r="J956" s="34">
        <f>IF(AND(A956&lt;&gt;"",ISTEXT(A956),COUNTIFS(Processos!$AS$10:$AS$509,"="&amp;SUBSTITUTE(SUBSTITUTE(SUBSTITUTE("P:"&amp;A956,"~","~~"),"*","~*"),"?","~?"))=1),(IF(ISNA(MATCH(SUBSTITUTE(SUBSTITUTE(SUBSTITUTE("P:"&amp;A956,"~","~~"),"*","~*"),"?","~?"),Processos!$AS$10:$AS$509,0)),9,INDEX(Processos!$AM$10:$AM$509,MATCH(SUBSTITUTE(SUBSTITUTE(SUBSTITUTE("P:"&amp;A956,"~","~~"),"*","~*"),"?","~?"),Processos!$AS$10:$AS$509,0)))-9),0)</f>
        <v>0</v>
      </c>
      <c r="K956" s="34" t="str">
        <f t="shared" si="59"/>
        <v/>
      </c>
      <c r="L956" s="14">
        <f>ROW()</f>
        <v>956</v>
      </c>
    </row>
    <row r="957" spans="1:12" ht="60" customHeight="1">
      <c r="A957" s="41"/>
      <c r="B957" s="43"/>
      <c r="C957" s="44"/>
      <c r="D957" s="51"/>
      <c r="E957" s="44"/>
      <c r="F957" s="44"/>
      <c r="G957" s="34">
        <f t="shared" si="56"/>
        <v>0</v>
      </c>
      <c r="H957" s="34" t="str">
        <f t="shared" si="57"/>
        <v/>
      </c>
      <c r="I957" s="52" t="str">
        <f t="shared" si="58"/>
        <v/>
      </c>
      <c r="J957" s="34">
        <f>IF(AND(A957&lt;&gt;"",ISTEXT(A957),COUNTIFS(Processos!$AS$10:$AS$509,"="&amp;SUBSTITUTE(SUBSTITUTE(SUBSTITUTE("P:"&amp;A957,"~","~~"),"*","~*"),"?","~?"))=1),(IF(ISNA(MATCH(SUBSTITUTE(SUBSTITUTE(SUBSTITUTE("P:"&amp;A957,"~","~~"),"*","~*"),"?","~?"),Processos!$AS$10:$AS$509,0)),9,INDEX(Processos!$AM$10:$AM$509,MATCH(SUBSTITUTE(SUBSTITUTE(SUBSTITUTE("P:"&amp;A957,"~","~~"),"*","~*"),"?","~?"),Processos!$AS$10:$AS$509,0)))-9),0)</f>
        <v>0</v>
      </c>
      <c r="K957" s="34" t="str">
        <f t="shared" si="59"/>
        <v/>
      </c>
      <c r="L957" s="14">
        <f>ROW()</f>
        <v>957</v>
      </c>
    </row>
    <row r="958" spans="1:12" ht="60" customHeight="1">
      <c r="A958" s="41"/>
      <c r="B958" s="43"/>
      <c r="C958" s="44"/>
      <c r="D958" s="51"/>
      <c r="E958" s="44"/>
      <c r="F958" s="44"/>
      <c r="G958" s="34">
        <f t="shared" si="56"/>
        <v>0</v>
      </c>
      <c r="H958" s="34" t="str">
        <f t="shared" si="57"/>
        <v/>
      </c>
      <c r="I958" s="52" t="str">
        <f t="shared" si="58"/>
        <v/>
      </c>
      <c r="J958" s="34">
        <f>IF(AND(A958&lt;&gt;"",ISTEXT(A958),COUNTIFS(Processos!$AS$10:$AS$509,"="&amp;SUBSTITUTE(SUBSTITUTE(SUBSTITUTE("P:"&amp;A958,"~","~~"),"*","~*"),"?","~?"))=1),(IF(ISNA(MATCH(SUBSTITUTE(SUBSTITUTE(SUBSTITUTE("P:"&amp;A958,"~","~~"),"*","~*"),"?","~?"),Processos!$AS$10:$AS$509,0)),9,INDEX(Processos!$AM$10:$AM$509,MATCH(SUBSTITUTE(SUBSTITUTE(SUBSTITUTE("P:"&amp;A958,"~","~~"),"*","~*"),"?","~?"),Processos!$AS$10:$AS$509,0)))-9),0)</f>
        <v>0</v>
      </c>
      <c r="K958" s="34" t="str">
        <f t="shared" si="59"/>
        <v/>
      </c>
      <c r="L958" s="14">
        <f>ROW()</f>
        <v>958</v>
      </c>
    </row>
    <row r="959" spans="1:12" ht="60" customHeight="1">
      <c r="A959" s="41"/>
      <c r="B959" s="43"/>
      <c r="C959" s="44"/>
      <c r="D959" s="51"/>
      <c r="E959" s="44"/>
      <c r="F959" s="44"/>
      <c r="G959" s="34">
        <f t="shared" si="56"/>
        <v>0</v>
      </c>
      <c r="H959" s="34" t="str">
        <f t="shared" si="57"/>
        <v/>
      </c>
      <c r="I959" s="52" t="str">
        <f t="shared" si="58"/>
        <v/>
      </c>
      <c r="J959" s="34">
        <f>IF(AND(A959&lt;&gt;"",ISTEXT(A959),COUNTIFS(Processos!$AS$10:$AS$509,"="&amp;SUBSTITUTE(SUBSTITUTE(SUBSTITUTE("P:"&amp;A959,"~","~~"),"*","~*"),"?","~?"))=1),(IF(ISNA(MATCH(SUBSTITUTE(SUBSTITUTE(SUBSTITUTE("P:"&amp;A959,"~","~~"),"*","~*"),"?","~?"),Processos!$AS$10:$AS$509,0)),9,INDEX(Processos!$AM$10:$AM$509,MATCH(SUBSTITUTE(SUBSTITUTE(SUBSTITUTE("P:"&amp;A959,"~","~~"),"*","~*"),"?","~?"),Processos!$AS$10:$AS$509,0)))-9),0)</f>
        <v>0</v>
      </c>
      <c r="K959" s="34" t="str">
        <f t="shared" si="59"/>
        <v/>
      </c>
      <c r="L959" s="14">
        <f>ROW()</f>
        <v>959</v>
      </c>
    </row>
    <row r="960" spans="1:12" ht="60" customHeight="1">
      <c r="A960" s="41"/>
      <c r="B960" s="43"/>
      <c r="C960" s="44"/>
      <c r="D960" s="51"/>
      <c r="E960" s="44"/>
      <c r="F960" s="44"/>
      <c r="G960" s="34">
        <f t="shared" si="56"/>
        <v>0</v>
      </c>
      <c r="H960" s="34" t="str">
        <f t="shared" si="57"/>
        <v/>
      </c>
      <c r="I960" s="52" t="str">
        <f t="shared" si="58"/>
        <v/>
      </c>
      <c r="J960" s="34">
        <f>IF(AND(A960&lt;&gt;"",ISTEXT(A960),COUNTIFS(Processos!$AS$10:$AS$509,"="&amp;SUBSTITUTE(SUBSTITUTE(SUBSTITUTE("P:"&amp;A960,"~","~~"),"*","~*"),"?","~?"))=1),(IF(ISNA(MATCH(SUBSTITUTE(SUBSTITUTE(SUBSTITUTE("P:"&amp;A960,"~","~~"),"*","~*"),"?","~?"),Processos!$AS$10:$AS$509,0)),9,INDEX(Processos!$AM$10:$AM$509,MATCH(SUBSTITUTE(SUBSTITUTE(SUBSTITUTE("P:"&amp;A960,"~","~~"),"*","~*"),"?","~?"),Processos!$AS$10:$AS$509,0)))-9),0)</f>
        <v>0</v>
      </c>
      <c r="K960" s="34" t="str">
        <f t="shared" si="59"/>
        <v/>
      </c>
      <c r="L960" s="14">
        <f>ROW()</f>
        <v>960</v>
      </c>
    </row>
    <row r="961" spans="1:12" ht="60" customHeight="1">
      <c r="A961" s="41"/>
      <c r="B961" s="43"/>
      <c r="C961" s="44"/>
      <c r="D961" s="51"/>
      <c r="E961" s="44"/>
      <c r="F961" s="44"/>
      <c r="G961" s="34">
        <f t="shared" si="56"/>
        <v>0</v>
      </c>
      <c r="H961" s="34" t="str">
        <f t="shared" si="57"/>
        <v/>
      </c>
      <c r="I961" s="52" t="str">
        <f t="shared" si="58"/>
        <v/>
      </c>
      <c r="J961" s="34">
        <f>IF(AND(A961&lt;&gt;"",ISTEXT(A961),COUNTIFS(Processos!$AS$10:$AS$509,"="&amp;SUBSTITUTE(SUBSTITUTE(SUBSTITUTE("P:"&amp;A961,"~","~~"),"*","~*"),"?","~?"))=1),(IF(ISNA(MATCH(SUBSTITUTE(SUBSTITUTE(SUBSTITUTE("P:"&amp;A961,"~","~~"),"*","~*"),"?","~?"),Processos!$AS$10:$AS$509,0)),9,INDEX(Processos!$AM$10:$AM$509,MATCH(SUBSTITUTE(SUBSTITUTE(SUBSTITUTE("P:"&amp;A961,"~","~~"),"*","~*"),"?","~?"),Processos!$AS$10:$AS$509,0)))-9),0)</f>
        <v>0</v>
      </c>
      <c r="K961" s="34" t="str">
        <f t="shared" si="59"/>
        <v/>
      </c>
      <c r="L961" s="14">
        <f>ROW()</f>
        <v>961</v>
      </c>
    </row>
    <row r="962" spans="1:12" ht="60" customHeight="1">
      <c r="A962" s="41"/>
      <c r="B962" s="43"/>
      <c r="C962" s="44"/>
      <c r="D962" s="51"/>
      <c r="E962" s="44"/>
      <c r="F962" s="44"/>
      <c r="G962" s="34">
        <f t="shared" si="56"/>
        <v>0</v>
      </c>
      <c r="H962" s="34" t="str">
        <f t="shared" si="57"/>
        <v/>
      </c>
      <c r="I962" s="52" t="str">
        <f t="shared" si="58"/>
        <v/>
      </c>
      <c r="J962" s="34">
        <f>IF(AND(A962&lt;&gt;"",ISTEXT(A962),COUNTIFS(Processos!$AS$10:$AS$509,"="&amp;SUBSTITUTE(SUBSTITUTE(SUBSTITUTE("P:"&amp;A962,"~","~~"),"*","~*"),"?","~?"))=1),(IF(ISNA(MATCH(SUBSTITUTE(SUBSTITUTE(SUBSTITUTE("P:"&amp;A962,"~","~~"),"*","~*"),"?","~?"),Processos!$AS$10:$AS$509,0)),9,INDEX(Processos!$AM$10:$AM$509,MATCH(SUBSTITUTE(SUBSTITUTE(SUBSTITUTE("P:"&amp;A962,"~","~~"),"*","~*"),"?","~?"),Processos!$AS$10:$AS$509,0)))-9),0)</f>
        <v>0</v>
      </c>
      <c r="K962" s="34" t="str">
        <f t="shared" si="59"/>
        <v/>
      </c>
      <c r="L962" s="14">
        <f>ROW()</f>
        <v>962</v>
      </c>
    </row>
    <row r="963" spans="1:12" ht="60" customHeight="1">
      <c r="A963" s="41"/>
      <c r="B963" s="43"/>
      <c r="C963" s="44"/>
      <c r="D963" s="51"/>
      <c r="E963" s="44"/>
      <c r="F963" s="44"/>
      <c r="G963" s="34">
        <f t="shared" si="56"/>
        <v>0</v>
      </c>
      <c r="H963" s="34" t="str">
        <f t="shared" si="57"/>
        <v/>
      </c>
      <c r="I963" s="52" t="str">
        <f t="shared" si="58"/>
        <v/>
      </c>
      <c r="J963" s="34">
        <f>IF(AND(A963&lt;&gt;"",ISTEXT(A963),COUNTIFS(Processos!$AS$10:$AS$509,"="&amp;SUBSTITUTE(SUBSTITUTE(SUBSTITUTE("P:"&amp;A963,"~","~~"),"*","~*"),"?","~?"))=1),(IF(ISNA(MATCH(SUBSTITUTE(SUBSTITUTE(SUBSTITUTE("P:"&amp;A963,"~","~~"),"*","~*"),"?","~?"),Processos!$AS$10:$AS$509,0)),9,INDEX(Processos!$AM$10:$AM$509,MATCH(SUBSTITUTE(SUBSTITUTE(SUBSTITUTE("P:"&amp;A963,"~","~~"),"*","~*"),"?","~?"),Processos!$AS$10:$AS$509,0)))-9),0)</f>
        <v>0</v>
      </c>
      <c r="K963" s="34" t="str">
        <f t="shared" si="59"/>
        <v/>
      </c>
      <c r="L963" s="14">
        <f>ROW()</f>
        <v>963</v>
      </c>
    </row>
    <row r="964" spans="1:12" ht="60" customHeight="1">
      <c r="A964" s="41"/>
      <c r="B964" s="43"/>
      <c r="C964" s="44"/>
      <c r="D964" s="51"/>
      <c r="E964" s="44"/>
      <c r="F964" s="44"/>
      <c r="G964" s="34">
        <f t="shared" si="56"/>
        <v>0</v>
      </c>
      <c r="H964" s="34" t="str">
        <f t="shared" si="57"/>
        <v/>
      </c>
      <c r="I964" s="52" t="str">
        <f t="shared" si="58"/>
        <v/>
      </c>
      <c r="J964" s="34">
        <f>IF(AND(A964&lt;&gt;"",ISTEXT(A964),COUNTIFS(Processos!$AS$10:$AS$509,"="&amp;SUBSTITUTE(SUBSTITUTE(SUBSTITUTE("P:"&amp;A964,"~","~~"),"*","~*"),"?","~?"))=1),(IF(ISNA(MATCH(SUBSTITUTE(SUBSTITUTE(SUBSTITUTE("P:"&amp;A964,"~","~~"),"*","~*"),"?","~?"),Processos!$AS$10:$AS$509,0)),9,INDEX(Processos!$AM$10:$AM$509,MATCH(SUBSTITUTE(SUBSTITUTE(SUBSTITUTE("P:"&amp;A964,"~","~~"),"*","~*"),"?","~?"),Processos!$AS$10:$AS$509,0)))-9),0)</f>
        <v>0</v>
      </c>
      <c r="K964" s="34" t="str">
        <f t="shared" si="59"/>
        <v/>
      </c>
      <c r="L964" s="14">
        <f>ROW()</f>
        <v>964</v>
      </c>
    </row>
    <row r="965" spans="1:12" ht="60" customHeight="1">
      <c r="A965" s="41"/>
      <c r="B965" s="43"/>
      <c r="C965" s="44"/>
      <c r="D965" s="51"/>
      <c r="E965" s="44"/>
      <c r="F965" s="44"/>
      <c r="G965" s="34">
        <f t="shared" si="56"/>
        <v>0</v>
      </c>
      <c r="H965" s="34" t="str">
        <f t="shared" si="57"/>
        <v/>
      </c>
      <c r="I965" s="52" t="str">
        <f t="shared" si="58"/>
        <v/>
      </c>
      <c r="J965" s="34">
        <f>IF(AND(A965&lt;&gt;"",ISTEXT(A965),COUNTIFS(Processos!$AS$10:$AS$509,"="&amp;SUBSTITUTE(SUBSTITUTE(SUBSTITUTE("P:"&amp;A965,"~","~~"),"*","~*"),"?","~?"))=1),(IF(ISNA(MATCH(SUBSTITUTE(SUBSTITUTE(SUBSTITUTE("P:"&amp;A965,"~","~~"),"*","~*"),"?","~?"),Processos!$AS$10:$AS$509,0)),9,INDEX(Processos!$AM$10:$AM$509,MATCH(SUBSTITUTE(SUBSTITUTE(SUBSTITUTE("P:"&amp;A965,"~","~~"),"*","~*"),"?","~?"),Processos!$AS$10:$AS$509,0)))-9),0)</f>
        <v>0</v>
      </c>
      <c r="K965" s="34" t="str">
        <f t="shared" si="59"/>
        <v/>
      </c>
      <c r="L965" s="14">
        <f>ROW()</f>
        <v>965</v>
      </c>
    </row>
    <row r="966" spans="1:12" ht="60" customHeight="1">
      <c r="A966" s="41"/>
      <c r="B966" s="43"/>
      <c r="C966" s="44"/>
      <c r="D966" s="51"/>
      <c r="E966" s="44"/>
      <c r="F966" s="44"/>
      <c r="G966" s="34">
        <f t="shared" si="56"/>
        <v>0</v>
      </c>
      <c r="H966" s="34" t="str">
        <f t="shared" si="57"/>
        <v/>
      </c>
      <c r="I966" s="52" t="str">
        <f t="shared" si="58"/>
        <v/>
      </c>
      <c r="J966" s="34">
        <f>IF(AND(A966&lt;&gt;"",ISTEXT(A966),COUNTIFS(Processos!$AS$10:$AS$509,"="&amp;SUBSTITUTE(SUBSTITUTE(SUBSTITUTE("P:"&amp;A966,"~","~~"),"*","~*"),"?","~?"))=1),(IF(ISNA(MATCH(SUBSTITUTE(SUBSTITUTE(SUBSTITUTE("P:"&amp;A966,"~","~~"),"*","~*"),"?","~?"),Processos!$AS$10:$AS$509,0)),9,INDEX(Processos!$AM$10:$AM$509,MATCH(SUBSTITUTE(SUBSTITUTE(SUBSTITUTE("P:"&amp;A966,"~","~~"),"*","~*"),"?","~?"),Processos!$AS$10:$AS$509,0)))-9),0)</f>
        <v>0</v>
      </c>
      <c r="K966" s="34" t="str">
        <f t="shared" si="59"/>
        <v/>
      </c>
      <c r="L966" s="14">
        <f>ROW()</f>
        <v>966</v>
      </c>
    </row>
    <row r="967" spans="1:12" ht="60" customHeight="1">
      <c r="A967" s="41"/>
      <c r="B967" s="43"/>
      <c r="C967" s="44"/>
      <c r="D967" s="51"/>
      <c r="E967" s="44"/>
      <c r="F967" s="44"/>
      <c r="G967" s="34">
        <f t="shared" si="56"/>
        <v>0</v>
      </c>
      <c r="H967" s="34" t="str">
        <f t="shared" si="57"/>
        <v/>
      </c>
      <c r="I967" s="52" t="str">
        <f t="shared" si="58"/>
        <v/>
      </c>
      <c r="J967" s="34">
        <f>IF(AND(A967&lt;&gt;"",ISTEXT(A967),COUNTIFS(Processos!$AS$10:$AS$509,"="&amp;SUBSTITUTE(SUBSTITUTE(SUBSTITUTE("P:"&amp;A967,"~","~~"),"*","~*"),"?","~?"))=1),(IF(ISNA(MATCH(SUBSTITUTE(SUBSTITUTE(SUBSTITUTE("P:"&amp;A967,"~","~~"),"*","~*"),"?","~?"),Processos!$AS$10:$AS$509,0)),9,INDEX(Processos!$AM$10:$AM$509,MATCH(SUBSTITUTE(SUBSTITUTE(SUBSTITUTE("P:"&amp;A967,"~","~~"),"*","~*"),"?","~?"),Processos!$AS$10:$AS$509,0)))-9),0)</f>
        <v>0</v>
      </c>
      <c r="K967" s="34" t="str">
        <f t="shared" si="59"/>
        <v/>
      </c>
      <c r="L967" s="14">
        <f>ROW()</f>
        <v>967</v>
      </c>
    </row>
    <row r="968" spans="1:12" ht="60" customHeight="1">
      <c r="A968" s="41"/>
      <c r="B968" s="43"/>
      <c r="C968" s="44"/>
      <c r="D968" s="51"/>
      <c r="E968" s="44"/>
      <c r="F968" s="44"/>
      <c r="G968" s="34">
        <f t="shared" si="56"/>
        <v>0</v>
      </c>
      <c r="H968" s="34" t="str">
        <f t="shared" si="57"/>
        <v/>
      </c>
      <c r="I968" s="52" t="str">
        <f t="shared" si="58"/>
        <v/>
      </c>
      <c r="J968" s="34">
        <f>IF(AND(A968&lt;&gt;"",ISTEXT(A968),COUNTIFS(Processos!$AS$10:$AS$509,"="&amp;SUBSTITUTE(SUBSTITUTE(SUBSTITUTE("P:"&amp;A968,"~","~~"),"*","~*"),"?","~?"))=1),(IF(ISNA(MATCH(SUBSTITUTE(SUBSTITUTE(SUBSTITUTE("P:"&amp;A968,"~","~~"),"*","~*"),"?","~?"),Processos!$AS$10:$AS$509,0)),9,INDEX(Processos!$AM$10:$AM$509,MATCH(SUBSTITUTE(SUBSTITUTE(SUBSTITUTE("P:"&amp;A968,"~","~~"),"*","~*"),"?","~?"),Processos!$AS$10:$AS$509,0)))-9),0)</f>
        <v>0</v>
      </c>
      <c r="K968" s="34" t="str">
        <f t="shared" si="59"/>
        <v/>
      </c>
      <c r="L968" s="14">
        <f>ROW()</f>
        <v>968</v>
      </c>
    </row>
    <row r="969" spans="1:12" ht="60" customHeight="1">
      <c r="A969" s="41"/>
      <c r="B969" s="43"/>
      <c r="C969" s="44"/>
      <c r="D969" s="51"/>
      <c r="E969" s="44"/>
      <c r="F969" s="44"/>
      <c r="G969" s="34">
        <f t="shared" si="56"/>
        <v>0</v>
      </c>
      <c r="H969" s="34" t="str">
        <f t="shared" si="57"/>
        <v/>
      </c>
      <c r="I969" s="52" t="str">
        <f t="shared" si="58"/>
        <v/>
      </c>
      <c r="J969" s="34">
        <f>IF(AND(A969&lt;&gt;"",ISTEXT(A969),COUNTIFS(Processos!$AS$10:$AS$509,"="&amp;SUBSTITUTE(SUBSTITUTE(SUBSTITUTE("P:"&amp;A969,"~","~~"),"*","~*"),"?","~?"))=1),(IF(ISNA(MATCH(SUBSTITUTE(SUBSTITUTE(SUBSTITUTE("P:"&amp;A969,"~","~~"),"*","~*"),"?","~?"),Processos!$AS$10:$AS$509,0)),9,INDEX(Processos!$AM$10:$AM$509,MATCH(SUBSTITUTE(SUBSTITUTE(SUBSTITUTE("P:"&amp;A969,"~","~~"),"*","~*"),"?","~?"),Processos!$AS$10:$AS$509,0)))-9),0)</f>
        <v>0</v>
      </c>
      <c r="K969" s="34" t="str">
        <f t="shared" si="59"/>
        <v/>
      </c>
      <c r="L969" s="14">
        <f>ROW()</f>
        <v>969</v>
      </c>
    </row>
    <row r="970" spans="1:12" ht="60" customHeight="1">
      <c r="A970" s="41"/>
      <c r="B970" s="43"/>
      <c r="C970" s="44"/>
      <c r="D970" s="51"/>
      <c r="E970" s="44"/>
      <c r="F970" s="44"/>
      <c r="G970" s="34">
        <f t="shared" ref="G970:G1033" si="60">IF(AND(J970&gt;0,OR(B970="",AND(ISNUMBER(B970),B970&gt;=1,B970&lt;=100000)),ISNUMBER(D970),D970&gt;=1,D970&lt;=100000,C970&lt;&gt;""),1,0)</f>
        <v>0</v>
      </c>
      <c r="H970" s="34" t="str">
        <f t="shared" ref="H970:H1033" si="61">IF(G970=1,K970&amp;"|"&amp;D970,"")</f>
        <v/>
      </c>
      <c r="I970" s="52" t="str">
        <f t="shared" ref="I970:I1033" si="62">IF(COUNTA(A970:F970)=0,"",IF(A970="","Selecione o processo",IF(J970=0,"Processo inexistente, duplicado ou número não textual",IF(B970="","Informe a data do andamento",IF(C970="","Descreva o andamento",IF(D970="","Informe a data e hora do recebimento",IF(OR(NOT(ISNUMBER(B970)),B970&lt;1,B970&gt;100000),"Revise a data do andamento",IF(OR(NOT(ISNUMBER(D970)),D970&lt;1,D970&gt;100000),"Revise a data e hora do recebimento",IF(COUNTIFS($K$10:$K$2009,"="&amp;SUBSTITUTE(SUBSTITUTE(SUBSTITUTE("P:"&amp;A970,"~","~~"),"*","~*"),"?","~?"),$D$10:$D$2009,D970,$G$10:$G$2009,1)&gt;1,"Recebimentos empatados: revise a hora ou consolide o registro","")))))))))</f>
        <v/>
      </c>
      <c r="J970" s="34">
        <f>IF(AND(A970&lt;&gt;"",ISTEXT(A970),COUNTIFS(Processos!$AS$10:$AS$509,"="&amp;SUBSTITUTE(SUBSTITUTE(SUBSTITUTE("P:"&amp;A970,"~","~~"),"*","~*"),"?","~?"))=1),(IF(ISNA(MATCH(SUBSTITUTE(SUBSTITUTE(SUBSTITUTE("P:"&amp;A970,"~","~~"),"*","~*"),"?","~?"),Processos!$AS$10:$AS$509,0)),9,INDEX(Processos!$AM$10:$AM$509,MATCH(SUBSTITUTE(SUBSTITUTE(SUBSTITUTE("P:"&amp;A970,"~","~~"),"*","~*"),"?","~?"),Processos!$AS$10:$AS$509,0)))-9),0)</f>
        <v>0</v>
      </c>
      <c r="K970" s="34" t="str">
        <f t="shared" ref="K970:K1033" si="63">IF(AND(A970&lt;&gt;"",ISTEXT(A970)),"P:"&amp;A970,"")</f>
        <v/>
      </c>
      <c r="L970" s="14">
        <f>ROW()</f>
        <v>970</v>
      </c>
    </row>
    <row r="971" spans="1:12" ht="60" customHeight="1">
      <c r="A971" s="41"/>
      <c r="B971" s="43"/>
      <c r="C971" s="44"/>
      <c r="D971" s="51"/>
      <c r="E971" s="44"/>
      <c r="F971" s="44"/>
      <c r="G971" s="34">
        <f t="shared" si="60"/>
        <v>0</v>
      </c>
      <c r="H971" s="34" t="str">
        <f t="shared" si="61"/>
        <v/>
      </c>
      <c r="I971" s="52" t="str">
        <f t="shared" si="62"/>
        <v/>
      </c>
      <c r="J971" s="34">
        <f>IF(AND(A971&lt;&gt;"",ISTEXT(A971),COUNTIFS(Processos!$AS$10:$AS$509,"="&amp;SUBSTITUTE(SUBSTITUTE(SUBSTITUTE("P:"&amp;A971,"~","~~"),"*","~*"),"?","~?"))=1),(IF(ISNA(MATCH(SUBSTITUTE(SUBSTITUTE(SUBSTITUTE("P:"&amp;A971,"~","~~"),"*","~*"),"?","~?"),Processos!$AS$10:$AS$509,0)),9,INDEX(Processos!$AM$10:$AM$509,MATCH(SUBSTITUTE(SUBSTITUTE(SUBSTITUTE("P:"&amp;A971,"~","~~"),"*","~*"),"?","~?"),Processos!$AS$10:$AS$509,0)))-9),0)</f>
        <v>0</v>
      </c>
      <c r="K971" s="34" t="str">
        <f t="shared" si="63"/>
        <v/>
      </c>
      <c r="L971" s="14">
        <f>ROW()</f>
        <v>971</v>
      </c>
    </row>
    <row r="972" spans="1:12" ht="60" customHeight="1">
      <c r="A972" s="41"/>
      <c r="B972" s="43"/>
      <c r="C972" s="44"/>
      <c r="D972" s="51"/>
      <c r="E972" s="44"/>
      <c r="F972" s="44"/>
      <c r="G972" s="34">
        <f t="shared" si="60"/>
        <v>0</v>
      </c>
      <c r="H972" s="34" t="str">
        <f t="shared" si="61"/>
        <v/>
      </c>
      <c r="I972" s="52" t="str">
        <f t="shared" si="62"/>
        <v/>
      </c>
      <c r="J972" s="34">
        <f>IF(AND(A972&lt;&gt;"",ISTEXT(A972),COUNTIFS(Processos!$AS$10:$AS$509,"="&amp;SUBSTITUTE(SUBSTITUTE(SUBSTITUTE("P:"&amp;A972,"~","~~"),"*","~*"),"?","~?"))=1),(IF(ISNA(MATCH(SUBSTITUTE(SUBSTITUTE(SUBSTITUTE("P:"&amp;A972,"~","~~"),"*","~*"),"?","~?"),Processos!$AS$10:$AS$509,0)),9,INDEX(Processos!$AM$10:$AM$509,MATCH(SUBSTITUTE(SUBSTITUTE(SUBSTITUTE("P:"&amp;A972,"~","~~"),"*","~*"),"?","~?"),Processos!$AS$10:$AS$509,0)))-9),0)</f>
        <v>0</v>
      </c>
      <c r="K972" s="34" t="str">
        <f t="shared" si="63"/>
        <v/>
      </c>
      <c r="L972" s="14">
        <f>ROW()</f>
        <v>972</v>
      </c>
    </row>
    <row r="973" spans="1:12" ht="60" customHeight="1">
      <c r="A973" s="41"/>
      <c r="B973" s="43"/>
      <c r="C973" s="44"/>
      <c r="D973" s="51"/>
      <c r="E973" s="44"/>
      <c r="F973" s="44"/>
      <c r="G973" s="34">
        <f t="shared" si="60"/>
        <v>0</v>
      </c>
      <c r="H973" s="34" t="str">
        <f t="shared" si="61"/>
        <v/>
      </c>
      <c r="I973" s="52" t="str">
        <f t="shared" si="62"/>
        <v/>
      </c>
      <c r="J973" s="34">
        <f>IF(AND(A973&lt;&gt;"",ISTEXT(A973),COUNTIFS(Processos!$AS$10:$AS$509,"="&amp;SUBSTITUTE(SUBSTITUTE(SUBSTITUTE("P:"&amp;A973,"~","~~"),"*","~*"),"?","~?"))=1),(IF(ISNA(MATCH(SUBSTITUTE(SUBSTITUTE(SUBSTITUTE("P:"&amp;A973,"~","~~"),"*","~*"),"?","~?"),Processos!$AS$10:$AS$509,0)),9,INDEX(Processos!$AM$10:$AM$509,MATCH(SUBSTITUTE(SUBSTITUTE(SUBSTITUTE("P:"&amp;A973,"~","~~"),"*","~*"),"?","~?"),Processos!$AS$10:$AS$509,0)))-9),0)</f>
        <v>0</v>
      </c>
      <c r="K973" s="34" t="str">
        <f t="shared" si="63"/>
        <v/>
      </c>
      <c r="L973" s="14">
        <f>ROW()</f>
        <v>973</v>
      </c>
    </row>
    <row r="974" spans="1:12" ht="60" customHeight="1">
      <c r="A974" s="41"/>
      <c r="B974" s="43"/>
      <c r="C974" s="44"/>
      <c r="D974" s="51"/>
      <c r="E974" s="44"/>
      <c r="F974" s="44"/>
      <c r="G974" s="34">
        <f t="shared" si="60"/>
        <v>0</v>
      </c>
      <c r="H974" s="34" t="str">
        <f t="shared" si="61"/>
        <v/>
      </c>
      <c r="I974" s="52" t="str">
        <f t="shared" si="62"/>
        <v/>
      </c>
      <c r="J974" s="34">
        <f>IF(AND(A974&lt;&gt;"",ISTEXT(A974),COUNTIFS(Processos!$AS$10:$AS$509,"="&amp;SUBSTITUTE(SUBSTITUTE(SUBSTITUTE("P:"&amp;A974,"~","~~"),"*","~*"),"?","~?"))=1),(IF(ISNA(MATCH(SUBSTITUTE(SUBSTITUTE(SUBSTITUTE("P:"&amp;A974,"~","~~"),"*","~*"),"?","~?"),Processos!$AS$10:$AS$509,0)),9,INDEX(Processos!$AM$10:$AM$509,MATCH(SUBSTITUTE(SUBSTITUTE(SUBSTITUTE("P:"&amp;A974,"~","~~"),"*","~*"),"?","~?"),Processos!$AS$10:$AS$509,0)))-9),0)</f>
        <v>0</v>
      </c>
      <c r="K974" s="34" t="str">
        <f t="shared" si="63"/>
        <v/>
      </c>
      <c r="L974" s="14">
        <f>ROW()</f>
        <v>974</v>
      </c>
    </row>
    <row r="975" spans="1:12" ht="60" customHeight="1">
      <c r="A975" s="41"/>
      <c r="B975" s="43"/>
      <c r="C975" s="44"/>
      <c r="D975" s="51"/>
      <c r="E975" s="44"/>
      <c r="F975" s="44"/>
      <c r="G975" s="34">
        <f t="shared" si="60"/>
        <v>0</v>
      </c>
      <c r="H975" s="34" t="str">
        <f t="shared" si="61"/>
        <v/>
      </c>
      <c r="I975" s="52" t="str">
        <f t="shared" si="62"/>
        <v/>
      </c>
      <c r="J975" s="34">
        <f>IF(AND(A975&lt;&gt;"",ISTEXT(A975),COUNTIFS(Processos!$AS$10:$AS$509,"="&amp;SUBSTITUTE(SUBSTITUTE(SUBSTITUTE("P:"&amp;A975,"~","~~"),"*","~*"),"?","~?"))=1),(IF(ISNA(MATCH(SUBSTITUTE(SUBSTITUTE(SUBSTITUTE("P:"&amp;A975,"~","~~"),"*","~*"),"?","~?"),Processos!$AS$10:$AS$509,0)),9,INDEX(Processos!$AM$10:$AM$509,MATCH(SUBSTITUTE(SUBSTITUTE(SUBSTITUTE("P:"&amp;A975,"~","~~"),"*","~*"),"?","~?"),Processos!$AS$10:$AS$509,0)))-9),0)</f>
        <v>0</v>
      </c>
      <c r="K975" s="34" t="str">
        <f t="shared" si="63"/>
        <v/>
      </c>
      <c r="L975" s="14">
        <f>ROW()</f>
        <v>975</v>
      </c>
    </row>
    <row r="976" spans="1:12" ht="60" customHeight="1">
      <c r="A976" s="41"/>
      <c r="B976" s="43"/>
      <c r="C976" s="44"/>
      <c r="D976" s="51"/>
      <c r="E976" s="44"/>
      <c r="F976" s="44"/>
      <c r="G976" s="34">
        <f t="shared" si="60"/>
        <v>0</v>
      </c>
      <c r="H976" s="34" t="str">
        <f t="shared" si="61"/>
        <v/>
      </c>
      <c r="I976" s="52" t="str">
        <f t="shared" si="62"/>
        <v/>
      </c>
      <c r="J976" s="34">
        <f>IF(AND(A976&lt;&gt;"",ISTEXT(A976),COUNTIFS(Processos!$AS$10:$AS$509,"="&amp;SUBSTITUTE(SUBSTITUTE(SUBSTITUTE("P:"&amp;A976,"~","~~"),"*","~*"),"?","~?"))=1),(IF(ISNA(MATCH(SUBSTITUTE(SUBSTITUTE(SUBSTITUTE("P:"&amp;A976,"~","~~"),"*","~*"),"?","~?"),Processos!$AS$10:$AS$509,0)),9,INDEX(Processos!$AM$10:$AM$509,MATCH(SUBSTITUTE(SUBSTITUTE(SUBSTITUTE("P:"&amp;A976,"~","~~"),"*","~*"),"?","~?"),Processos!$AS$10:$AS$509,0)))-9),0)</f>
        <v>0</v>
      </c>
      <c r="K976" s="34" t="str">
        <f t="shared" si="63"/>
        <v/>
      </c>
      <c r="L976" s="14">
        <f>ROW()</f>
        <v>976</v>
      </c>
    </row>
    <row r="977" spans="1:12" ht="60" customHeight="1">
      <c r="A977" s="41"/>
      <c r="B977" s="43"/>
      <c r="C977" s="44"/>
      <c r="D977" s="51"/>
      <c r="E977" s="44"/>
      <c r="F977" s="44"/>
      <c r="G977" s="34">
        <f t="shared" si="60"/>
        <v>0</v>
      </c>
      <c r="H977" s="34" t="str">
        <f t="shared" si="61"/>
        <v/>
      </c>
      <c r="I977" s="52" t="str">
        <f t="shared" si="62"/>
        <v/>
      </c>
      <c r="J977" s="34">
        <f>IF(AND(A977&lt;&gt;"",ISTEXT(A977),COUNTIFS(Processos!$AS$10:$AS$509,"="&amp;SUBSTITUTE(SUBSTITUTE(SUBSTITUTE("P:"&amp;A977,"~","~~"),"*","~*"),"?","~?"))=1),(IF(ISNA(MATCH(SUBSTITUTE(SUBSTITUTE(SUBSTITUTE("P:"&amp;A977,"~","~~"),"*","~*"),"?","~?"),Processos!$AS$10:$AS$509,0)),9,INDEX(Processos!$AM$10:$AM$509,MATCH(SUBSTITUTE(SUBSTITUTE(SUBSTITUTE("P:"&amp;A977,"~","~~"),"*","~*"),"?","~?"),Processos!$AS$10:$AS$509,0)))-9),0)</f>
        <v>0</v>
      </c>
      <c r="K977" s="34" t="str">
        <f t="shared" si="63"/>
        <v/>
      </c>
      <c r="L977" s="14">
        <f>ROW()</f>
        <v>977</v>
      </c>
    </row>
    <row r="978" spans="1:12" ht="60" customHeight="1">
      <c r="A978" s="41"/>
      <c r="B978" s="43"/>
      <c r="C978" s="44"/>
      <c r="D978" s="51"/>
      <c r="E978" s="44"/>
      <c r="F978" s="44"/>
      <c r="G978" s="34">
        <f t="shared" si="60"/>
        <v>0</v>
      </c>
      <c r="H978" s="34" t="str">
        <f t="shared" si="61"/>
        <v/>
      </c>
      <c r="I978" s="52" t="str">
        <f t="shared" si="62"/>
        <v/>
      </c>
      <c r="J978" s="34">
        <f>IF(AND(A978&lt;&gt;"",ISTEXT(A978),COUNTIFS(Processos!$AS$10:$AS$509,"="&amp;SUBSTITUTE(SUBSTITUTE(SUBSTITUTE("P:"&amp;A978,"~","~~"),"*","~*"),"?","~?"))=1),(IF(ISNA(MATCH(SUBSTITUTE(SUBSTITUTE(SUBSTITUTE("P:"&amp;A978,"~","~~"),"*","~*"),"?","~?"),Processos!$AS$10:$AS$509,0)),9,INDEX(Processos!$AM$10:$AM$509,MATCH(SUBSTITUTE(SUBSTITUTE(SUBSTITUTE("P:"&amp;A978,"~","~~"),"*","~*"),"?","~?"),Processos!$AS$10:$AS$509,0)))-9),0)</f>
        <v>0</v>
      </c>
      <c r="K978" s="34" t="str">
        <f t="shared" si="63"/>
        <v/>
      </c>
      <c r="L978" s="14">
        <f>ROW()</f>
        <v>978</v>
      </c>
    </row>
    <row r="979" spans="1:12" ht="60" customHeight="1">
      <c r="A979" s="41"/>
      <c r="B979" s="43"/>
      <c r="C979" s="44"/>
      <c r="D979" s="51"/>
      <c r="E979" s="44"/>
      <c r="F979" s="44"/>
      <c r="G979" s="34">
        <f t="shared" si="60"/>
        <v>0</v>
      </c>
      <c r="H979" s="34" t="str">
        <f t="shared" si="61"/>
        <v/>
      </c>
      <c r="I979" s="52" t="str">
        <f t="shared" si="62"/>
        <v/>
      </c>
      <c r="J979" s="34">
        <f>IF(AND(A979&lt;&gt;"",ISTEXT(A979),COUNTIFS(Processos!$AS$10:$AS$509,"="&amp;SUBSTITUTE(SUBSTITUTE(SUBSTITUTE("P:"&amp;A979,"~","~~"),"*","~*"),"?","~?"))=1),(IF(ISNA(MATCH(SUBSTITUTE(SUBSTITUTE(SUBSTITUTE("P:"&amp;A979,"~","~~"),"*","~*"),"?","~?"),Processos!$AS$10:$AS$509,0)),9,INDEX(Processos!$AM$10:$AM$509,MATCH(SUBSTITUTE(SUBSTITUTE(SUBSTITUTE("P:"&amp;A979,"~","~~"),"*","~*"),"?","~?"),Processos!$AS$10:$AS$509,0)))-9),0)</f>
        <v>0</v>
      </c>
      <c r="K979" s="34" t="str">
        <f t="shared" si="63"/>
        <v/>
      </c>
      <c r="L979" s="14">
        <f>ROW()</f>
        <v>979</v>
      </c>
    </row>
    <row r="980" spans="1:12" ht="60" customHeight="1">
      <c r="A980" s="41"/>
      <c r="B980" s="43"/>
      <c r="C980" s="44"/>
      <c r="D980" s="51"/>
      <c r="E980" s="44"/>
      <c r="F980" s="44"/>
      <c r="G980" s="34">
        <f t="shared" si="60"/>
        <v>0</v>
      </c>
      <c r="H980" s="34" t="str">
        <f t="shared" si="61"/>
        <v/>
      </c>
      <c r="I980" s="52" t="str">
        <f t="shared" si="62"/>
        <v/>
      </c>
      <c r="J980" s="34">
        <f>IF(AND(A980&lt;&gt;"",ISTEXT(A980),COUNTIFS(Processos!$AS$10:$AS$509,"="&amp;SUBSTITUTE(SUBSTITUTE(SUBSTITUTE("P:"&amp;A980,"~","~~"),"*","~*"),"?","~?"))=1),(IF(ISNA(MATCH(SUBSTITUTE(SUBSTITUTE(SUBSTITUTE("P:"&amp;A980,"~","~~"),"*","~*"),"?","~?"),Processos!$AS$10:$AS$509,0)),9,INDEX(Processos!$AM$10:$AM$509,MATCH(SUBSTITUTE(SUBSTITUTE(SUBSTITUTE("P:"&amp;A980,"~","~~"),"*","~*"),"?","~?"),Processos!$AS$10:$AS$509,0)))-9),0)</f>
        <v>0</v>
      </c>
      <c r="K980" s="34" t="str">
        <f t="shared" si="63"/>
        <v/>
      </c>
      <c r="L980" s="14">
        <f>ROW()</f>
        <v>980</v>
      </c>
    </row>
    <row r="981" spans="1:12" ht="60" customHeight="1">
      <c r="A981" s="41"/>
      <c r="B981" s="43"/>
      <c r="C981" s="44"/>
      <c r="D981" s="51"/>
      <c r="E981" s="44"/>
      <c r="F981" s="44"/>
      <c r="G981" s="34">
        <f t="shared" si="60"/>
        <v>0</v>
      </c>
      <c r="H981" s="34" t="str">
        <f t="shared" si="61"/>
        <v/>
      </c>
      <c r="I981" s="52" t="str">
        <f t="shared" si="62"/>
        <v/>
      </c>
      <c r="J981" s="34">
        <f>IF(AND(A981&lt;&gt;"",ISTEXT(A981),COUNTIFS(Processos!$AS$10:$AS$509,"="&amp;SUBSTITUTE(SUBSTITUTE(SUBSTITUTE("P:"&amp;A981,"~","~~"),"*","~*"),"?","~?"))=1),(IF(ISNA(MATCH(SUBSTITUTE(SUBSTITUTE(SUBSTITUTE("P:"&amp;A981,"~","~~"),"*","~*"),"?","~?"),Processos!$AS$10:$AS$509,0)),9,INDEX(Processos!$AM$10:$AM$509,MATCH(SUBSTITUTE(SUBSTITUTE(SUBSTITUTE("P:"&amp;A981,"~","~~"),"*","~*"),"?","~?"),Processos!$AS$10:$AS$509,0)))-9),0)</f>
        <v>0</v>
      </c>
      <c r="K981" s="34" t="str">
        <f t="shared" si="63"/>
        <v/>
      </c>
      <c r="L981" s="14">
        <f>ROW()</f>
        <v>981</v>
      </c>
    </row>
    <row r="982" spans="1:12" ht="60" customHeight="1">
      <c r="A982" s="41"/>
      <c r="B982" s="43"/>
      <c r="C982" s="44"/>
      <c r="D982" s="51"/>
      <c r="E982" s="44"/>
      <c r="F982" s="44"/>
      <c r="G982" s="34">
        <f t="shared" si="60"/>
        <v>0</v>
      </c>
      <c r="H982" s="34" t="str">
        <f t="shared" si="61"/>
        <v/>
      </c>
      <c r="I982" s="52" t="str">
        <f t="shared" si="62"/>
        <v/>
      </c>
      <c r="J982" s="34">
        <f>IF(AND(A982&lt;&gt;"",ISTEXT(A982),COUNTIFS(Processos!$AS$10:$AS$509,"="&amp;SUBSTITUTE(SUBSTITUTE(SUBSTITUTE("P:"&amp;A982,"~","~~"),"*","~*"),"?","~?"))=1),(IF(ISNA(MATCH(SUBSTITUTE(SUBSTITUTE(SUBSTITUTE("P:"&amp;A982,"~","~~"),"*","~*"),"?","~?"),Processos!$AS$10:$AS$509,0)),9,INDEX(Processos!$AM$10:$AM$509,MATCH(SUBSTITUTE(SUBSTITUTE(SUBSTITUTE("P:"&amp;A982,"~","~~"),"*","~*"),"?","~?"),Processos!$AS$10:$AS$509,0)))-9),0)</f>
        <v>0</v>
      </c>
      <c r="K982" s="34" t="str">
        <f t="shared" si="63"/>
        <v/>
      </c>
      <c r="L982" s="14">
        <f>ROW()</f>
        <v>982</v>
      </c>
    </row>
    <row r="983" spans="1:12" ht="60" customHeight="1">
      <c r="A983" s="41"/>
      <c r="B983" s="43"/>
      <c r="C983" s="44"/>
      <c r="D983" s="51"/>
      <c r="E983" s="44"/>
      <c r="F983" s="44"/>
      <c r="G983" s="34">
        <f t="shared" si="60"/>
        <v>0</v>
      </c>
      <c r="H983" s="34" t="str">
        <f t="shared" si="61"/>
        <v/>
      </c>
      <c r="I983" s="52" t="str">
        <f t="shared" si="62"/>
        <v/>
      </c>
      <c r="J983" s="34">
        <f>IF(AND(A983&lt;&gt;"",ISTEXT(A983),COUNTIFS(Processos!$AS$10:$AS$509,"="&amp;SUBSTITUTE(SUBSTITUTE(SUBSTITUTE("P:"&amp;A983,"~","~~"),"*","~*"),"?","~?"))=1),(IF(ISNA(MATCH(SUBSTITUTE(SUBSTITUTE(SUBSTITUTE("P:"&amp;A983,"~","~~"),"*","~*"),"?","~?"),Processos!$AS$10:$AS$509,0)),9,INDEX(Processos!$AM$10:$AM$509,MATCH(SUBSTITUTE(SUBSTITUTE(SUBSTITUTE("P:"&amp;A983,"~","~~"),"*","~*"),"?","~?"),Processos!$AS$10:$AS$509,0)))-9),0)</f>
        <v>0</v>
      </c>
      <c r="K983" s="34" t="str">
        <f t="shared" si="63"/>
        <v/>
      </c>
      <c r="L983" s="14">
        <f>ROW()</f>
        <v>983</v>
      </c>
    </row>
    <row r="984" spans="1:12" ht="60" customHeight="1">
      <c r="A984" s="41"/>
      <c r="B984" s="43"/>
      <c r="C984" s="44"/>
      <c r="D984" s="51"/>
      <c r="E984" s="44"/>
      <c r="F984" s="44"/>
      <c r="G984" s="34">
        <f t="shared" si="60"/>
        <v>0</v>
      </c>
      <c r="H984" s="34" t="str">
        <f t="shared" si="61"/>
        <v/>
      </c>
      <c r="I984" s="52" t="str">
        <f t="shared" si="62"/>
        <v/>
      </c>
      <c r="J984" s="34">
        <f>IF(AND(A984&lt;&gt;"",ISTEXT(A984),COUNTIFS(Processos!$AS$10:$AS$509,"="&amp;SUBSTITUTE(SUBSTITUTE(SUBSTITUTE("P:"&amp;A984,"~","~~"),"*","~*"),"?","~?"))=1),(IF(ISNA(MATCH(SUBSTITUTE(SUBSTITUTE(SUBSTITUTE("P:"&amp;A984,"~","~~"),"*","~*"),"?","~?"),Processos!$AS$10:$AS$509,0)),9,INDEX(Processos!$AM$10:$AM$509,MATCH(SUBSTITUTE(SUBSTITUTE(SUBSTITUTE("P:"&amp;A984,"~","~~"),"*","~*"),"?","~?"),Processos!$AS$10:$AS$509,0)))-9),0)</f>
        <v>0</v>
      </c>
      <c r="K984" s="34" t="str">
        <f t="shared" si="63"/>
        <v/>
      </c>
      <c r="L984" s="14">
        <f>ROW()</f>
        <v>984</v>
      </c>
    </row>
    <row r="985" spans="1:12" ht="60" customHeight="1">
      <c r="A985" s="41"/>
      <c r="B985" s="43"/>
      <c r="C985" s="44"/>
      <c r="D985" s="51"/>
      <c r="E985" s="44"/>
      <c r="F985" s="44"/>
      <c r="G985" s="34">
        <f t="shared" si="60"/>
        <v>0</v>
      </c>
      <c r="H985" s="34" t="str">
        <f t="shared" si="61"/>
        <v/>
      </c>
      <c r="I985" s="52" t="str">
        <f t="shared" si="62"/>
        <v/>
      </c>
      <c r="J985" s="34">
        <f>IF(AND(A985&lt;&gt;"",ISTEXT(A985),COUNTIFS(Processos!$AS$10:$AS$509,"="&amp;SUBSTITUTE(SUBSTITUTE(SUBSTITUTE("P:"&amp;A985,"~","~~"),"*","~*"),"?","~?"))=1),(IF(ISNA(MATCH(SUBSTITUTE(SUBSTITUTE(SUBSTITUTE("P:"&amp;A985,"~","~~"),"*","~*"),"?","~?"),Processos!$AS$10:$AS$509,0)),9,INDEX(Processos!$AM$10:$AM$509,MATCH(SUBSTITUTE(SUBSTITUTE(SUBSTITUTE("P:"&amp;A985,"~","~~"),"*","~*"),"?","~?"),Processos!$AS$10:$AS$509,0)))-9),0)</f>
        <v>0</v>
      </c>
      <c r="K985" s="34" t="str">
        <f t="shared" si="63"/>
        <v/>
      </c>
      <c r="L985" s="14">
        <f>ROW()</f>
        <v>985</v>
      </c>
    </row>
    <row r="986" spans="1:12" ht="60" customHeight="1">
      <c r="A986" s="41"/>
      <c r="B986" s="43"/>
      <c r="C986" s="44"/>
      <c r="D986" s="51"/>
      <c r="E986" s="44"/>
      <c r="F986" s="44"/>
      <c r="G986" s="34">
        <f t="shared" si="60"/>
        <v>0</v>
      </c>
      <c r="H986" s="34" t="str">
        <f t="shared" si="61"/>
        <v/>
      </c>
      <c r="I986" s="52" t="str">
        <f t="shared" si="62"/>
        <v/>
      </c>
      <c r="J986" s="34">
        <f>IF(AND(A986&lt;&gt;"",ISTEXT(A986),COUNTIFS(Processos!$AS$10:$AS$509,"="&amp;SUBSTITUTE(SUBSTITUTE(SUBSTITUTE("P:"&amp;A986,"~","~~"),"*","~*"),"?","~?"))=1),(IF(ISNA(MATCH(SUBSTITUTE(SUBSTITUTE(SUBSTITUTE("P:"&amp;A986,"~","~~"),"*","~*"),"?","~?"),Processos!$AS$10:$AS$509,0)),9,INDEX(Processos!$AM$10:$AM$509,MATCH(SUBSTITUTE(SUBSTITUTE(SUBSTITUTE("P:"&amp;A986,"~","~~"),"*","~*"),"?","~?"),Processos!$AS$10:$AS$509,0)))-9),0)</f>
        <v>0</v>
      </c>
      <c r="K986" s="34" t="str">
        <f t="shared" si="63"/>
        <v/>
      </c>
      <c r="L986" s="14">
        <f>ROW()</f>
        <v>986</v>
      </c>
    </row>
    <row r="987" spans="1:12" ht="60" customHeight="1">
      <c r="A987" s="41"/>
      <c r="B987" s="43"/>
      <c r="C987" s="44"/>
      <c r="D987" s="51"/>
      <c r="E987" s="44"/>
      <c r="F987" s="44"/>
      <c r="G987" s="34">
        <f t="shared" si="60"/>
        <v>0</v>
      </c>
      <c r="H987" s="34" t="str">
        <f t="shared" si="61"/>
        <v/>
      </c>
      <c r="I987" s="52" t="str">
        <f t="shared" si="62"/>
        <v/>
      </c>
      <c r="J987" s="34">
        <f>IF(AND(A987&lt;&gt;"",ISTEXT(A987),COUNTIFS(Processos!$AS$10:$AS$509,"="&amp;SUBSTITUTE(SUBSTITUTE(SUBSTITUTE("P:"&amp;A987,"~","~~"),"*","~*"),"?","~?"))=1),(IF(ISNA(MATCH(SUBSTITUTE(SUBSTITUTE(SUBSTITUTE("P:"&amp;A987,"~","~~"),"*","~*"),"?","~?"),Processos!$AS$10:$AS$509,0)),9,INDEX(Processos!$AM$10:$AM$509,MATCH(SUBSTITUTE(SUBSTITUTE(SUBSTITUTE("P:"&amp;A987,"~","~~"),"*","~*"),"?","~?"),Processos!$AS$10:$AS$509,0)))-9),0)</f>
        <v>0</v>
      </c>
      <c r="K987" s="34" t="str">
        <f t="shared" si="63"/>
        <v/>
      </c>
      <c r="L987" s="14">
        <f>ROW()</f>
        <v>987</v>
      </c>
    </row>
    <row r="988" spans="1:12" ht="60" customHeight="1">
      <c r="A988" s="41"/>
      <c r="B988" s="43"/>
      <c r="C988" s="44"/>
      <c r="D988" s="51"/>
      <c r="E988" s="44"/>
      <c r="F988" s="44"/>
      <c r="G988" s="34">
        <f t="shared" si="60"/>
        <v>0</v>
      </c>
      <c r="H988" s="34" t="str">
        <f t="shared" si="61"/>
        <v/>
      </c>
      <c r="I988" s="52" t="str">
        <f t="shared" si="62"/>
        <v/>
      </c>
      <c r="J988" s="34">
        <f>IF(AND(A988&lt;&gt;"",ISTEXT(A988),COUNTIFS(Processos!$AS$10:$AS$509,"="&amp;SUBSTITUTE(SUBSTITUTE(SUBSTITUTE("P:"&amp;A988,"~","~~"),"*","~*"),"?","~?"))=1),(IF(ISNA(MATCH(SUBSTITUTE(SUBSTITUTE(SUBSTITUTE("P:"&amp;A988,"~","~~"),"*","~*"),"?","~?"),Processos!$AS$10:$AS$509,0)),9,INDEX(Processos!$AM$10:$AM$509,MATCH(SUBSTITUTE(SUBSTITUTE(SUBSTITUTE("P:"&amp;A988,"~","~~"),"*","~*"),"?","~?"),Processos!$AS$10:$AS$509,0)))-9),0)</f>
        <v>0</v>
      </c>
      <c r="K988" s="34" t="str">
        <f t="shared" si="63"/>
        <v/>
      </c>
      <c r="L988" s="14">
        <f>ROW()</f>
        <v>988</v>
      </c>
    </row>
    <row r="989" spans="1:12" ht="60" customHeight="1">
      <c r="A989" s="41"/>
      <c r="B989" s="43"/>
      <c r="C989" s="44"/>
      <c r="D989" s="51"/>
      <c r="E989" s="44"/>
      <c r="F989" s="44"/>
      <c r="G989" s="34">
        <f t="shared" si="60"/>
        <v>0</v>
      </c>
      <c r="H989" s="34" t="str">
        <f t="shared" si="61"/>
        <v/>
      </c>
      <c r="I989" s="52" t="str">
        <f t="shared" si="62"/>
        <v/>
      </c>
      <c r="J989" s="34">
        <f>IF(AND(A989&lt;&gt;"",ISTEXT(A989),COUNTIFS(Processos!$AS$10:$AS$509,"="&amp;SUBSTITUTE(SUBSTITUTE(SUBSTITUTE("P:"&amp;A989,"~","~~"),"*","~*"),"?","~?"))=1),(IF(ISNA(MATCH(SUBSTITUTE(SUBSTITUTE(SUBSTITUTE("P:"&amp;A989,"~","~~"),"*","~*"),"?","~?"),Processos!$AS$10:$AS$509,0)),9,INDEX(Processos!$AM$10:$AM$509,MATCH(SUBSTITUTE(SUBSTITUTE(SUBSTITUTE("P:"&amp;A989,"~","~~"),"*","~*"),"?","~?"),Processos!$AS$10:$AS$509,0)))-9),0)</f>
        <v>0</v>
      </c>
      <c r="K989" s="34" t="str">
        <f t="shared" si="63"/>
        <v/>
      </c>
      <c r="L989" s="14">
        <f>ROW()</f>
        <v>989</v>
      </c>
    </row>
    <row r="990" spans="1:12" ht="60" customHeight="1">
      <c r="A990" s="41"/>
      <c r="B990" s="43"/>
      <c r="C990" s="44"/>
      <c r="D990" s="51"/>
      <c r="E990" s="44"/>
      <c r="F990" s="44"/>
      <c r="G990" s="34">
        <f t="shared" si="60"/>
        <v>0</v>
      </c>
      <c r="H990" s="34" t="str">
        <f t="shared" si="61"/>
        <v/>
      </c>
      <c r="I990" s="52" t="str">
        <f t="shared" si="62"/>
        <v/>
      </c>
      <c r="J990" s="34">
        <f>IF(AND(A990&lt;&gt;"",ISTEXT(A990),COUNTIFS(Processos!$AS$10:$AS$509,"="&amp;SUBSTITUTE(SUBSTITUTE(SUBSTITUTE("P:"&amp;A990,"~","~~"),"*","~*"),"?","~?"))=1),(IF(ISNA(MATCH(SUBSTITUTE(SUBSTITUTE(SUBSTITUTE("P:"&amp;A990,"~","~~"),"*","~*"),"?","~?"),Processos!$AS$10:$AS$509,0)),9,INDEX(Processos!$AM$10:$AM$509,MATCH(SUBSTITUTE(SUBSTITUTE(SUBSTITUTE("P:"&amp;A990,"~","~~"),"*","~*"),"?","~?"),Processos!$AS$10:$AS$509,0)))-9),0)</f>
        <v>0</v>
      </c>
      <c r="K990" s="34" t="str">
        <f t="shared" si="63"/>
        <v/>
      </c>
      <c r="L990" s="14">
        <f>ROW()</f>
        <v>990</v>
      </c>
    </row>
    <row r="991" spans="1:12" ht="60" customHeight="1">
      <c r="A991" s="41"/>
      <c r="B991" s="43"/>
      <c r="C991" s="44"/>
      <c r="D991" s="51"/>
      <c r="E991" s="44"/>
      <c r="F991" s="44"/>
      <c r="G991" s="34">
        <f t="shared" si="60"/>
        <v>0</v>
      </c>
      <c r="H991" s="34" t="str">
        <f t="shared" si="61"/>
        <v/>
      </c>
      <c r="I991" s="52" t="str">
        <f t="shared" si="62"/>
        <v/>
      </c>
      <c r="J991" s="34">
        <f>IF(AND(A991&lt;&gt;"",ISTEXT(A991),COUNTIFS(Processos!$AS$10:$AS$509,"="&amp;SUBSTITUTE(SUBSTITUTE(SUBSTITUTE("P:"&amp;A991,"~","~~"),"*","~*"),"?","~?"))=1),(IF(ISNA(MATCH(SUBSTITUTE(SUBSTITUTE(SUBSTITUTE("P:"&amp;A991,"~","~~"),"*","~*"),"?","~?"),Processos!$AS$10:$AS$509,0)),9,INDEX(Processos!$AM$10:$AM$509,MATCH(SUBSTITUTE(SUBSTITUTE(SUBSTITUTE("P:"&amp;A991,"~","~~"),"*","~*"),"?","~?"),Processos!$AS$10:$AS$509,0)))-9),0)</f>
        <v>0</v>
      </c>
      <c r="K991" s="34" t="str">
        <f t="shared" si="63"/>
        <v/>
      </c>
      <c r="L991" s="14">
        <f>ROW()</f>
        <v>991</v>
      </c>
    </row>
    <row r="992" spans="1:12" ht="60" customHeight="1">
      <c r="A992" s="41"/>
      <c r="B992" s="43"/>
      <c r="C992" s="44"/>
      <c r="D992" s="51"/>
      <c r="E992" s="44"/>
      <c r="F992" s="44"/>
      <c r="G992" s="34">
        <f t="shared" si="60"/>
        <v>0</v>
      </c>
      <c r="H992" s="34" t="str">
        <f t="shared" si="61"/>
        <v/>
      </c>
      <c r="I992" s="52" t="str">
        <f t="shared" si="62"/>
        <v/>
      </c>
      <c r="J992" s="34">
        <f>IF(AND(A992&lt;&gt;"",ISTEXT(A992),COUNTIFS(Processos!$AS$10:$AS$509,"="&amp;SUBSTITUTE(SUBSTITUTE(SUBSTITUTE("P:"&amp;A992,"~","~~"),"*","~*"),"?","~?"))=1),(IF(ISNA(MATCH(SUBSTITUTE(SUBSTITUTE(SUBSTITUTE("P:"&amp;A992,"~","~~"),"*","~*"),"?","~?"),Processos!$AS$10:$AS$509,0)),9,INDEX(Processos!$AM$10:$AM$509,MATCH(SUBSTITUTE(SUBSTITUTE(SUBSTITUTE("P:"&amp;A992,"~","~~"),"*","~*"),"?","~?"),Processos!$AS$10:$AS$509,0)))-9),0)</f>
        <v>0</v>
      </c>
      <c r="K992" s="34" t="str">
        <f t="shared" si="63"/>
        <v/>
      </c>
      <c r="L992" s="14">
        <f>ROW()</f>
        <v>992</v>
      </c>
    </row>
    <row r="993" spans="1:12" ht="60" customHeight="1">
      <c r="A993" s="41"/>
      <c r="B993" s="43"/>
      <c r="C993" s="44"/>
      <c r="D993" s="51"/>
      <c r="E993" s="44"/>
      <c r="F993" s="44"/>
      <c r="G993" s="34">
        <f t="shared" si="60"/>
        <v>0</v>
      </c>
      <c r="H993" s="34" t="str">
        <f t="shared" si="61"/>
        <v/>
      </c>
      <c r="I993" s="52" t="str">
        <f t="shared" si="62"/>
        <v/>
      </c>
      <c r="J993" s="34">
        <f>IF(AND(A993&lt;&gt;"",ISTEXT(A993),COUNTIFS(Processos!$AS$10:$AS$509,"="&amp;SUBSTITUTE(SUBSTITUTE(SUBSTITUTE("P:"&amp;A993,"~","~~"),"*","~*"),"?","~?"))=1),(IF(ISNA(MATCH(SUBSTITUTE(SUBSTITUTE(SUBSTITUTE("P:"&amp;A993,"~","~~"),"*","~*"),"?","~?"),Processos!$AS$10:$AS$509,0)),9,INDEX(Processos!$AM$10:$AM$509,MATCH(SUBSTITUTE(SUBSTITUTE(SUBSTITUTE("P:"&amp;A993,"~","~~"),"*","~*"),"?","~?"),Processos!$AS$10:$AS$509,0)))-9),0)</f>
        <v>0</v>
      </c>
      <c r="K993" s="34" t="str">
        <f t="shared" si="63"/>
        <v/>
      </c>
      <c r="L993" s="14">
        <f>ROW()</f>
        <v>993</v>
      </c>
    </row>
    <row r="994" spans="1:12" ht="60" customHeight="1">
      <c r="A994" s="41"/>
      <c r="B994" s="43"/>
      <c r="C994" s="44"/>
      <c r="D994" s="51"/>
      <c r="E994" s="44"/>
      <c r="F994" s="44"/>
      <c r="G994" s="34">
        <f t="shared" si="60"/>
        <v>0</v>
      </c>
      <c r="H994" s="34" t="str">
        <f t="shared" si="61"/>
        <v/>
      </c>
      <c r="I994" s="52" t="str">
        <f t="shared" si="62"/>
        <v/>
      </c>
      <c r="J994" s="34">
        <f>IF(AND(A994&lt;&gt;"",ISTEXT(A994),COUNTIFS(Processos!$AS$10:$AS$509,"="&amp;SUBSTITUTE(SUBSTITUTE(SUBSTITUTE("P:"&amp;A994,"~","~~"),"*","~*"),"?","~?"))=1),(IF(ISNA(MATCH(SUBSTITUTE(SUBSTITUTE(SUBSTITUTE("P:"&amp;A994,"~","~~"),"*","~*"),"?","~?"),Processos!$AS$10:$AS$509,0)),9,INDEX(Processos!$AM$10:$AM$509,MATCH(SUBSTITUTE(SUBSTITUTE(SUBSTITUTE("P:"&amp;A994,"~","~~"),"*","~*"),"?","~?"),Processos!$AS$10:$AS$509,0)))-9),0)</f>
        <v>0</v>
      </c>
      <c r="K994" s="34" t="str">
        <f t="shared" si="63"/>
        <v/>
      </c>
      <c r="L994" s="14">
        <f>ROW()</f>
        <v>994</v>
      </c>
    </row>
    <row r="995" spans="1:12" ht="60" customHeight="1">
      <c r="A995" s="41"/>
      <c r="B995" s="43"/>
      <c r="C995" s="44"/>
      <c r="D995" s="51"/>
      <c r="E995" s="44"/>
      <c r="F995" s="44"/>
      <c r="G995" s="34">
        <f t="shared" si="60"/>
        <v>0</v>
      </c>
      <c r="H995" s="34" t="str">
        <f t="shared" si="61"/>
        <v/>
      </c>
      <c r="I995" s="52" t="str">
        <f t="shared" si="62"/>
        <v/>
      </c>
      <c r="J995" s="34">
        <f>IF(AND(A995&lt;&gt;"",ISTEXT(A995),COUNTIFS(Processos!$AS$10:$AS$509,"="&amp;SUBSTITUTE(SUBSTITUTE(SUBSTITUTE("P:"&amp;A995,"~","~~"),"*","~*"),"?","~?"))=1),(IF(ISNA(MATCH(SUBSTITUTE(SUBSTITUTE(SUBSTITUTE("P:"&amp;A995,"~","~~"),"*","~*"),"?","~?"),Processos!$AS$10:$AS$509,0)),9,INDEX(Processos!$AM$10:$AM$509,MATCH(SUBSTITUTE(SUBSTITUTE(SUBSTITUTE("P:"&amp;A995,"~","~~"),"*","~*"),"?","~?"),Processos!$AS$10:$AS$509,0)))-9),0)</f>
        <v>0</v>
      </c>
      <c r="K995" s="34" t="str">
        <f t="shared" si="63"/>
        <v/>
      </c>
      <c r="L995" s="14">
        <f>ROW()</f>
        <v>995</v>
      </c>
    </row>
    <row r="996" spans="1:12" ht="60" customHeight="1">
      <c r="A996" s="41"/>
      <c r="B996" s="43"/>
      <c r="C996" s="44"/>
      <c r="D996" s="51"/>
      <c r="E996" s="44"/>
      <c r="F996" s="44"/>
      <c r="G996" s="34">
        <f t="shared" si="60"/>
        <v>0</v>
      </c>
      <c r="H996" s="34" t="str">
        <f t="shared" si="61"/>
        <v/>
      </c>
      <c r="I996" s="52" t="str">
        <f t="shared" si="62"/>
        <v/>
      </c>
      <c r="J996" s="34">
        <f>IF(AND(A996&lt;&gt;"",ISTEXT(A996),COUNTIFS(Processos!$AS$10:$AS$509,"="&amp;SUBSTITUTE(SUBSTITUTE(SUBSTITUTE("P:"&amp;A996,"~","~~"),"*","~*"),"?","~?"))=1),(IF(ISNA(MATCH(SUBSTITUTE(SUBSTITUTE(SUBSTITUTE("P:"&amp;A996,"~","~~"),"*","~*"),"?","~?"),Processos!$AS$10:$AS$509,0)),9,INDEX(Processos!$AM$10:$AM$509,MATCH(SUBSTITUTE(SUBSTITUTE(SUBSTITUTE("P:"&amp;A996,"~","~~"),"*","~*"),"?","~?"),Processos!$AS$10:$AS$509,0)))-9),0)</f>
        <v>0</v>
      </c>
      <c r="K996" s="34" t="str">
        <f t="shared" si="63"/>
        <v/>
      </c>
      <c r="L996" s="14">
        <f>ROW()</f>
        <v>996</v>
      </c>
    </row>
    <row r="997" spans="1:12" ht="60" customHeight="1">
      <c r="A997" s="41"/>
      <c r="B997" s="43"/>
      <c r="C997" s="44"/>
      <c r="D997" s="51"/>
      <c r="E997" s="44"/>
      <c r="F997" s="44"/>
      <c r="G997" s="34">
        <f t="shared" si="60"/>
        <v>0</v>
      </c>
      <c r="H997" s="34" t="str">
        <f t="shared" si="61"/>
        <v/>
      </c>
      <c r="I997" s="52" t="str">
        <f t="shared" si="62"/>
        <v/>
      </c>
      <c r="J997" s="34">
        <f>IF(AND(A997&lt;&gt;"",ISTEXT(A997),COUNTIFS(Processos!$AS$10:$AS$509,"="&amp;SUBSTITUTE(SUBSTITUTE(SUBSTITUTE("P:"&amp;A997,"~","~~"),"*","~*"),"?","~?"))=1),(IF(ISNA(MATCH(SUBSTITUTE(SUBSTITUTE(SUBSTITUTE("P:"&amp;A997,"~","~~"),"*","~*"),"?","~?"),Processos!$AS$10:$AS$509,0)),9,INDEX(Processos!$AM$10:$AM$509,MATCH(SUBSTITUTE(SUBSTITUTE(SUBSTITUTE("P:"&amp;A997,"~","~~"),"*","~*"),"?","~?"),Processos!$AS$10:$AS$509,0)))-9),0)</f>
        <v>0</v>
      </c>
      <c r="K997" s="34" t="str">
        <f t="shared" si="63"/>
        <v/>
      </c>
      <c r="L997" s="14">
        <f>ROW()</f>
        <v>997</v>
      </c>
    </row>
    <row r="998" spans="1:12" ht="60" customHeight="1">
      <c r="A998" s="41"/>
      <c r="B998" s="43"/>
      <c r="C998" s="44"/>
      <c r="D998" s="51"/>
      <c r="E998" s="44"/>
      <c r="F998" s="44"/>
      <c r="G998" s="34">
        <f t="shared" si="60"/>
        <v>0</v>
      </c>
      <c r="H998" s="34" t="str">
        <f t="shared" si="61"/>
        <v/>
      </c>
      <c r="I998" s="52" t="str">
        <f t="shared" si="62"/>
        <v/>
      </c>
      <c r="J998" s="34">
        <f>IF(AND(A998&lt;&gt;"",ISTEXT(A998),COUNTIFS(Processos!$AS$10:$AS$509,"="&amp;SUBSTITUTE(SUBSTITUTE(SUBSTITUTE("P:"&amp;A998,"~","~~"),"*","~*"),"?","~?"))=1),(IF(ISNA(MATCH(SUBSTITUTE(SUBSTITUTE(SUBSTITUTE("P:"&amp;A998,"~","~~"),"*","~*"),"?","~?"),Processos!$AS$10:$AS$509,0)),9,INDEX(Processos!$AM$10:$AM$509,MATCH(SUBSTITUTE(SUBSTITUTE(SUBSTITUTE("P:"&amp;A998,"~","~~"),"*","~*"),"?","~?"),Processos!$AS$10:$AS$509,0)))-9),0)</f>
        <v>0</v>
      </c>
      <c r="K998" s="34" t="str">
        <f t="shared" si="63"/>
        <v/>
      </c>
      <c r="L998" s="14">
        <f>ROW()</f>
        <v>998</v>
      </c>
    </row>
    <row r="999" spans="1:12" ht="60" customHeight="1">
      <c r="A999" s="41"/>
      <c r="B999" s="43"/>
      <c r="C999" s="44"/>
      <c r="D999" s="51"/>
      <c r="E999" s="44"/>
      <c r="F999" s="44"/>
      <c r="G999" s="34">
        <f t="shared" si="60"/>
        <v>0</v>
      </c>
      <c r="H999" s="34" t="str">
        <f t="shared" si="61"/>
        <v/>
      </c>
      <c r="I999" s="52" t="str">
        <f t="shared" si="62"/>
        <v/>
      </c>
      <c r="J999" s="34">
        <f>IF(AND(A999&lt;&gt;"",ISTEXT(A999),COUNTIFS(Processos!$AS$10:$AS$509,"="&amp;SUBSTITUTE(SUBSTITUTE(SUBSTITUTE("P:"&amp;A999,"~","~~"),"*","~*"),"?","~?"))=1),(IF(ISNA(MATCH(SUBSTITUTE(SUBSTITUTE(SUBSTITUTE("P:"&amp;A999,"~","~~"),"*","~*"),"?","~?"),Processos!$AS$10:$AS$509,0)),9,INDEX(Processos!$AM$10:$AM$509,MATCH(SUBSTITUTE(SUBSTITUTE(SUBSTITUTE("P:"&amp;A999,"~","~~"),"*","~*"),"?","~?"),Processos!$AS$10:$AS$509,0)))-9),0)</f>
        <v>0</v>
      </c>
      <c r="K999" s="34" t="str">
        <f t="shared" si="63"/>
        <v/>
      </c>
      <c r="L999" s="14">
        <f>ROW()</f>
        <v>999</v>
      </c>
    </row>
    <row r="1000" spans="1:12" ht="60" customHeight="1">
      <c r="A1000" s="41"/>
      <c r="B1000" s="43"/>
      <c r="C1000" s="44"/>
      <c r="D1000" s="51"/>
      <c r="E1000" s="44"/>
      <c r="F1000" s="44"/>
      <c r="G1000" s="34">
        <f t="shared" si="60"/>
        <v>0</v>
      </c>
      <c r="H1000" s="34" t="str">
        <f t="shared" si="61"/>
        <v/>
      </c>
      <c r="I1000" s="52" t="str">
        <f t="shared" si="62"/>
        <v/>
      </c>
      <c r="J1000" s="34">
        <f>IF(AND(A1000&lt;&gt;"",ISTEXT(A1000),COUNTIFS(Processos!$AS$10:$AS$509,"="&amp;SUBSTITUTE(SUBSTITUTE(SUBSTITUTE("P:"&amp;A1000,"~","~~"),"*","~*"),"?","~?"))=1),(IF(ISNA(MATCH(SUBSTITUTE(SUBSTITUTE(SUBSTITUTE("P:"&amp;A1000,"~","~~"),"*","~*"),"?","~?"),Processos!$AS$10:$AS$509,0)),9,INDEX(Processos!$AM$10:$AM$509,MATCH(SUBSTITUTE(SUBSTITUTE(SUBSTITUTE("P:"&amp;A1000,"~","~~"),"*","~*"),"?","~?"),Processos!$AS$10:$AS$509,0)))-9),0)</f>
        <v>0</v>
      </c>
      <c r="K1000" s="34" t="str">
        <f t="shared" si="63"/>
        <v/>
      </c>
      <c r="L1000" s="14">
        <f>ROW()</f>
        <v>1000</v>
      </c>
    </row>
    <row r="1001" spans="1:12" ht="60" customHeight="1">
      <c r="A1001" s="41"/>
      <c r="B1001" s="43"/>
      <c r="C1001" s="44"/>
      <c r="D1001" s="51"/>
      <c r="E1001" s="44"/>
      <c r="F1001" s="44"/>
      <c r="G1001" s="34">
        <f t="shared" si="60"/>
        <v>0</v>
      </c>
      <c r="H1001" s="34" t="str">
        <f t="shared" si="61"/>
        <v/>
      </c>
      <c r="I1001" s="52" t="str">
        <f t="shared" si="62"/>
        <v/>
      </c>
      <c r="J1001" s="34">
        <f>IF(AND(A1001&lt;&gt;"",ISTEXT(A1001),COUNTIFS(Processos!$AS$10:$AS$509,"="&amp;SUBSTITUTE(SUBSTITUTE(SUBSTITUTE("P:"&amp;A1001,"~","~~"),"*","~*"),"?","~?"))=1),(IF(ISNA(MATCH(SUBSTITUTE(SUBSTITUTE(SUBSTITUTE("P:"&amp;A1001,"~","~~"),"*","~*"),"?","~?"),Processos!$AS$10:$AS$509,0)),9,INDEX(Processos!$AM$10:$AM$509,MATCH(SUBSTITUTE(SUBSTITUTE(SUBSTITUTE("P:"&amp;A1001,"~","~~"),"*","~*"),"?","~?"),Processos!$AS$10:$AS$509,0)))-9),0)</f>
        <v>0</v>
      </c>
      <c r="K1001" s="34" t="str">
        <f t="shared" si="63"/>
        <v/>
      </c>
      <c r="L1001" s="14">
        <f>ROW()</f>
        <v>1001</v>
      </c>
    </row>
    <row r="1002" spans="1:12" ht="60" customHeight="1">
      <c r="A1002" s="41"/>
      <c r="B1002" s="43"/>
      <c r="C1002" s="44"/>
      <c r="D1002" s="51"/>
      <c r="E1002" s="44"/>
      <c r="F1002" s="44"/>
      <c r="G1002" s="34">
        <f t="shared" si="60"/>
        <v>0</v>
      </c>
      <c r="H1002" s="34" t="str">
        <f t="shared" si="61"/>
        <v/>
      </c>
      <c r="I1002" s="52" t="str">
        <f t="shared" si="62"/>
        <v/>
      </c>
      <c r="J1002" s="34">
        <f>IF(AND(A1002&lt;&gt;"",ISTEXT(A1002),COUNTIFS(Processos!$AS$10:$AS$509,"="&amp;SUBSTITUTE(SUBSTITUTE(SUBSTITUTE("P:"&amp;A1002,"~","~~"),"*","~*"),"?","~?"))=1),(IF(ISNA(MATCH(SUBSTITUTE(SUBSTITUTE(SUBSTITUTE("P:"&amp;A1002,"~","~~"),"*","~*"),"?","~?"),Processos!$AS$10:$AS$509,0)),9,INDEX(Processos!$AM$10:$AM$509,MATCH(SUBSTITUTE(SUBSTITUTE(SUBSTITUTE("P:"&amp;A1002,"~","~~"),"*","~*"),"?","~?"),Processos!$AS$10:$AS$509,0)))-9),0)</f>
        <v>0</v>
      </c>
      <c r="K1002" s="34" t="str">
        <f t="shared" si="63"/>
        <v/>
      </c>
      <c r="L1002" s="14">
        <f>ROW()</f>
        <v>1002</v>
      </c>
    </row>
    <row r="1003" spans="1:12" ht="60" customHeight="1">
      <c r="A1003" s="41"/>
      <c r="B1003" s="43"/>
      <c r="C1003" s="44"/>
      <c r="D1003" s="51"/>
      <c r="E1003" s="44"/>
      <c r="F1003" s="44"/>
      <c r="G1003" s="34">
        <f t="shared" si="60"/>
        <v>0</v>
      </c>
      <c r="H1003" s="34" t="str">
        <f t="shared" si="61"/>
        <v/>
      </c>
      <c r="I1003" s="52" t="str">
        <f t="shared" si="62"/>
        <v/>
      </c>
      <c r="J1003" s="34">
        <f>IF(AND(A1003&lt;&gt;"",ISTEXT(A1003),COUNTIFS(Processos!$AS$10:$AS$509,"="&amp;SUBSTITUTE(SUBSTITUTE(SUBSTITUTE("P:"&amp;A1003,"~","~~"),"*","~*"),"?","~?"))=1),(IF(ISNA(MATCH(SUBSTITUTE(SUBSTITUTE(SUBSTITUTE("P:"&amp;A1003,"~","~~"),"*","~*"),"?","~?"),Processos!$AS$10:$AS$509,0)),9,INDEX(Processos!$AM$10:$AM$509,MATCH(SUBSTITUTE(SUBSTITUTE(SUBSTITUTE("P:"&amp;A1003,"~","~~"),"*","~*"),"?","~?"),Processos!$AS$10:$AS$509,0)))-9),0)</f>
        <v>0</v>
      </c>
      <c r="K1003" s="34" t="str">
        <f t="shared" si="63"/>
        <v/>
      </c>
      <c r="L1003" s="14">
        <f>ROW()</f>
        <v>1003</v>
      </c>
    </row>
    <row r="1004" spans="1:12" ht="60" customHeight="1">
      <c r="A1004" s="41"/>
      <c r="B1004" s="43"/>
      <c r="C1004" s="44"/>
      <c r="D1004" s="51"/>
      <c r="E1004" s="44"/>
      <c r="F1004" s="44"/>
      <c r="G1004" s="34">
        <f t="shared" si="60"/>
        <v>0</v>
      </c>
      <c r="H1004" s="34" t="str">
        <f t="shared" si="61"/>
        <v/>
      </c>
      <c r="I1004" s="52" t="str">
        <f t="shared" si="62"/>
        <v/>
      </c>
      <c r="J1004" s="34">
        <f>IF(AND(A1004&lt;&gt;"",ISTEXT(A1004),COUNTIFS(Processos!$AS$10:$AS$509,"="&amp;SUBSTITUTE(SUBSTITUTE(SUBSTITUTE("P:"&amp;A1004,"~","~~"),"*","~*"),"?","~?"))=1),(IF(ISNA(MATCH(SUBSTITUTE(SUBSTITUTE(SUBSTITUTE("P:"&amp;A1004,"~","~~"),"*","~*"),"?","~?"),Processos!$AS$10:$AS$509,0)),9,INDEX(Processos!$AM$10:$AM$509,MATCH(SUBSTITUTE(SUBSTITUTE(SUBSTITUTE("P:"&amp;A1004,"~","~~"),"*","~*"),"?","~?"),Processos!$AS$10:$AS$509,0)))-9),0)</f>
        <v>0</v>
      </c>
      <c r="K1004" s="34" t="str">
        <f t="shared" si="63"/>
        <v/>
      </c>
      <c r="L1004" s="14">
        <f>ROW()</f>
        <v>1004</v>
      </c>
    </row>
    <row r="1005" spans="1:12" ht="60" customHeight="1">
      <c r="A1005" s="41"/>
      <c r="B1005" s="43"/>
      <c r="C1005" s="44"/>
      <c r="D1005" s="51"/>
      <c r="E1005" s="44"/>
      <c r="F1005" s="44"/>
      <c r="G1005" s="34">
        <f t="shared" si="60"/>
        <v>0</v>
      </c>
      <c r="H1005" s="34" t="str">
        <f t="shared" si="61"/>
        <v/>
      </c>
      <c r="I1005" s="52" t="str">
        <f t="shared" si="62"/>
        <v/>
      </c>
      <c r="J1005" s="34">
        <f>IF(AND(A1005&lt;&gt;"",ISTEXT(A1005),COUNTIFS(Processos!$AS$10:$AS$509,"="&amp;SUBSTITUTE(SUBSTITUTE(SUBSTITUTE("P:"&amp;A1005,"~","~~"),"*","~*"),"?","~?"))=1),(IF(ISNA(MATCH(SUBSTITUTE(SUBSTITUTE(SUBSTITUTE("P:"&amp;A1005,"~","~~"),"*","~*"),"?","~?"),Processos!$AS$10:$AS$509,0)),9,INDEX(Processos!$AM$10:$AM$509,MATCH(SUBSTITUTE(SUBSTITUTE(SUBSTITUTE("P:"&amp;A1005,"~","~~"),"*","~*"),"?","~?"),Processos!$AS$10:$AS$509,0)))-9),0)</f>
        <v>0</v>
      </c>
      <c r="K1005" s="34" t="str">
        <f t="shared" si="63"/>
        <v/>
      </c>
      <c r="L1005" s="14">
        <f>ROW()</f>
        <v>1005</v>
      </c>
    </row>
    <row r="1006" spans="1:12" ht="60" customHeight="1">
      <c r="A1006" s="41"/>
      <c r="B1006" s="43"/>
      <c r="C1006" s="44"/>
      <c r="D1006" s="51"/>
      <c r="E1006" s="44"/>
      <c r="F1006" s="44"/>
      <c r="G1006" s="34">
        <f t="shared" si="60"/>
        <v>0</v>
      </c>
      <c r="H1006" s="34" t="str">
        <f t="shared" si="61"/>
        <v/>
      </c>
      <c r="I1006" s="52" t="str">
        <f t="shared" si="62"/>
        <v/>
      </c>
      <c r="J1006" s="34">
        <f>IF(AND(A1006&lt;&gt;"",ISTEXT(A1006),COUNTIFS(Processos!$AS$10:$AS$509,"="&amp;SUBSTITUTE(SUBSTITUTE(SUBSTITUTE("P:"&amp;A1006,"~","~~"),"*","~*"),"?","~?"))=1),(IF(ISNA(MATCH(SUBSTITUTE(SUBSTITUTE(SUBSTITUTE("P:"&amp;A1006,"~","~~"),"*","~*"),"?","~?"),Processos!$AS$10:$AS$509,0)),9,INDEX(Processos!$AM$10:$AM$509,MATCH(SUBSTITUTE(SUBSTITUTE(SUBSTITUTE("P:"&amp;A1006,"~","~~"),"*","~*"),"?","~?"),Processos!$AS$10:$AS$509,0)))-9),0)</f>
        <v>0</v>
      </c>
      <c r="K1006" s="34" t="str">
        <f t="shared" si="63"/>
        <v/>
      </c>
      <c r="L1006" s="14">
        <f>ROW()</f>
        <v>1006</v>
      </c>
    </row>
    <row r="1007" spans="1:12" ht="60" customHeight="1">
      <c r="A1007" s="41"/>
      <c r="B1007" s="43"/>
      <c r="C1007" s="44"/>
      <c r="D1007" s="51"/>
      <c r="E1007" s="44"/>
      <c r="F1007" s="44"/>
      <c r="G1007" s="34">
        <f t="shared" si="60"/>
        <v>0</v>
      </c>
      <c r="H1007" s="34" t="str">
        <f t="shared" si="61"/>
        <v/>
      </c>
      <c r="I1007" s="52" t="str">
        <f t="shared" si="62"/>
        <v/>
      </c>
      <c r="J1007" s="34">
        <f>IF(AND(A1007&lt;&gt;"",ISTEXT(A1007),COUNTIFS(Processos!$AS$10:$AS$509,"="&amp;SUBSTITUTE(SUBSTITUTE(SUBSTITUTE("P:"&amp;A1007,"~","~~"),"*","~*"),"?","~?"))=1),(IF(ISNA(MATCH(SUBSTITUTE(SUBSTITUTE(SUBSTITUTE("P:"&amp;A1007,"~","~~"),"*","~*"),"?","~?"),Processos!$AS$10:$AS$509,0)),9,INDEX(Processos!$AM$10:$AM$509,MATCH(SUBSTITUTE(SUBSTITUTE(SUBSTITUTE("P:"&amp;A1007,"~","~~"),"*","~*"),"?","~?"),Processos!$AS$10:$AS$509,0)))-9),0)</f>
        <v>0</v>
      </c>
      <c r="K1007" s="34" t="str">
        <f t="shared" si="63"/>
        <v/>
      </c>
      <c r="L1007" s="14">
        <f>ROW()</f>
        <v>1007</v>
      </c>
    </row>
    <row r="1008" spans="1:12" ht="60" customHeight="1">
      <c r="A1008" s="41"/>
      <c r="B1008" s="43"/>
      <c r="C1008" s="44"/>
      <c r="D1008" s="51"/>
      <c r="E1008" s="44"/>
      <c r="F1008" s="44"/>
      <c r="G1008" s="34">
        <f t="shared" si="60"/>
        <v>0</v>
      </c>
      <c r="H1008" s="34" t="str">
        <f t="shared" si="61"/>
        <v/>
      </c>
      <c r="I1008" s="52" t="str">
        <f t="shared" si="62"/>
        <v/>
      </c>
      <c r="J1008" s="34">
        <f>IF(AND(A1008&lt;&gt;"",ISTEXT(A1008),COUNTIFS(Processos!$AS$10:$AS$509,"="&amp;SUBSTITUTE(SUBSTITUTE(SUBSTITUTE("P:"&amp;A1008,"~","~~"),"*","~*"),"?","~?"))=1),(IF(ISNA(MATCH(SUBSTITUTE(SUBSTITUTE(SUBSTITUTE("P:"&amp;A1008,"~","~~"),"*","~*"),"?","~?"),Processos!$AS$10:$AS$509,0)),9,INDEX(Processos!$AM$10:$AM$509,MATCH(SUBSTITUTE(SUBSTITUTE(SUBSTITUTE("P:"&amp;A1008,"~","~~"),"*","~*"),"?","~?"),Processos!$AS$10:$AS$509,0)))-9),0)</f>
        <v>0</v>
      </c>
      <c r="K1008" s="34" t="str">
        <f t="shared" si="63"/>
        <v/>
      </c>
      <c r="L1008" s="14">
        <f>ROW()</f>
        <v>1008</v>
      </c>
    </row>
    <row r="1009" spans="1:12" ht="60" customHeight="1">
      <c r="A1009" s="41"/>
      <c r="B1009" s="43"/>
      <c r="C1009" s="44"/>
      <c r="D1009" s="51"/>
      <c r="E1009" s="44"/>
      <c r="F1009" s="44"/>
      <c r="G1009" s="34">
        <f t="shared" si="60"/>
        <v>0</v>
      </c>
      <c r="H1009" s="34" t="str">
        <f t="shared" si="61"/>
        <v/>
      </c>
      <c r="I1009" s="52" t="str">
        <f t="shared" si="62"/>
        <v/>
      </c>
      <c r="J1009" s="34">
        <f>IF(AND(A1009&lt;&gt;"",ISTEXT(A1009),COUNTIFS(Processos!$AS$10:$AS$509,"="&amp;SUBSTITUTE(SUBSTITUTE(SUBSTITUTE("P:"&amp;A1009,"~","~~"),"*","~*"),"?","~?"))=1),(IF(ISNA(MATCH(SUBSTITUTE(SUBSTITUTE(SUBSTITUTE("P:"&amp;A1009,"~","~~"),"*","~*"),"?","~?"),Processos!$AS$10:$AS$509,0)),9,INDEX(Processos!$AM$10:$AM$509,MATCH(SUBSTITUTE(SUBSTITUTE(SUBSTITUTE("P:"&amp;A1009,"~","~~"),"*","~*"),"?","~?"),Processos!$AS$10:$AS$509,0)))-9),0)</f>
        <v>0</v>
      </c>
      <c r="K1009" s="34" t="str">
        <f t="shared" si="63"/>
        <v/>
      </c>
      <c r="L1009" s="14">
        <f>ROW()</f>
        <v>1009</v>
      </c>
    </row>
    <row r="1010" spans="1:12" ht="60" customHeight="1">
      <c r="A1010" s="41"/>
      <c r="B1010" s="43"/>
      <c r="C1010" s="44"/>
      <c r="D1010" s="51"/>
      <c r="E1010" s="44"/>
      <c r="F1010" s="44"/>
      <c r="G1010" s="34">
        <f t="shared" si="60"/>
        <v>0</v>
      </c>
      <c r="H1010" s="34" t="str">
        <f t="shared" si="61"/>
        <v/>
      </c>
      <c r="I1010" s="52" t="str">
        <f t="shared" si="62"/>
        <v/>
      </c>
      <c r="J1010" s="34">
        <f>IF(AND(A1010&lt;&gt;"",ISTEXT(A1010),COUNTIFS(Processos!$AS$10:$AS$509,"="&amp;SUBSTITUTE(SUBSTITUTE(SUBSTITUTE("P:"&amp;A1010,"~","~~"),"*","~*"),"?","~?"))=1),(IF(ISNA(MATCH(SUBSTITUTE(SUBSTITUTE(SUBSTITUTE("P:"&amp;A1010,"~","~~"),"*","~*"),"?","~?"),Processos!$AS$10:$AS$509,0)),9,INDEX(Processos!$AM$10:$AM$509,MATCH(SUBSTITUTE(SUBSTITUTE(SUBSTITUTE("P:"&amp;A1010,"~","~~"),"*","~*"),"?","~?"),Processos!$AS$10:$AS$509,0)))-9),0)</f>
        <v>0</v>
      </c>
      <c r="K1010" s="34" t="str">
        <f t="shared" si="63"/>
        <v/>
      </c>
      <c r="L1010" s="14">
        <f>ROW()</f>
        <v>1010</v>
      </c>
    </row>
    <row r="1011" spans="1:12" ht="60" customHeight="1">
      <c r="A1011" s="41"/>
      <c r="B1011" s="43"/>
      <c r="C1011" s="44"/>
      <c r="D1011" s="51"/>
      <c r="E1011" s="44"/>
      <c r="F1011" s="44"/>
      <c r="G1011" s="34">
        <f t="shared" si="60"/>
        <v>0</v>
      </c>
      <c r="H1011" s="34" t="str">
        <f t="shared" si="61"/>
        <v/>
      </c>
      <c r="I1011" s="52" t="str">
        <f t="shared" si="62"/>
        <v/>
      </c>
      <c r="J1011" s="34">
        <f>IF(AND(A1011&lt;&gt;"",ISTEXT(A1011),COUNTIFS(Processos!$AS$10:$AS$509,"="&amp;SUBSTITUTE(SUBSTITUTE(SUBSTITUTE("P:"&amp;A1011,"~","~~"),"*","~*"),"?","~?"))=1),(IF(ISNA(MATCH(SUBSTITUTE(SUBSTITUTE(SUBSTITUTE("P:"&amp;A1011,"~","~~"),"*","~*"),"?","~?"),Processos!$AS$10:$AS$509,0)),9,INDEX(Processos!$AM$10:$AM$509,MATCH(SUBSTITUTE(SUBSTITUTE(SUBSTITUTE("P:"&amp;A1011,"~","~~"),"*","~*"),"?","~?"),Processos!$AS$10:$AS$509,0)))-9),0)</f>
        <v>0</v>
      </c>
      <c r="K1011" s="34" t="str">
        <f t="shared" si="63"/>
        <v/>
      </c>
      <c r="L1011" s="14">
        <f>ROW()</f>
        <v>1011</v>
      </c>
    </row>
    <row r="1012" spans="1:12" ht="60" customHeight="1">
      <c r="A1012" s="41"/>
      <c r="B1012" s="43"/>
      <c r="C1012" s="44"/>
      <c r="D1012" s="51"/>
      <c r="E1012" s="44"/>
      <c r="F1012" s="44"/>
      <c r="G1012" s="34">
        <f t="shared" si="60"/>
        <v>0</v>
      </c>
      <c r="H1012" s="34" t="str">
        <f t="shared" si="61"/>
        <v/>
      </c>
      <c r="I1012" s="52" t="str">
        <f t="shared" si="62"/>
        <v/>
      </c>
      <c r="J1012" s="34">
        <f>IF(AND(A1012&lt;&gt;"",ISTEXT(A1012),COUNTIFS(Processos!$AS$10:$AS$509,"="&amp;SUBSTITUTE(SUBSTITUTE(SUBSTITUTE("P:"&amp;A1012,"~","~~"),"*","~*"),"?","~?"))=1),(IF(ISNA(MATCH(SUBSTITUTE(SUBSTITUTE(SUBSTITUTE("P:"&amp;A1012,"~","~~"),"*","~*"),"?","~?"),Processos!$AS$10:$AS$509,0)),9,INDEX(Processos!$AM$10:$AM$509,MATCH(SUBSTITUTE(SUBSTITUTE(SUBSTITUTE("P:"&amp;A1012,"~","~~"),"*","~*"),"?","~?"),Processos!$AS$10:$AS$509,0)))-9),0)</f>
        <v>0</v>
      </c>
      <c r="K1012" s="34" t="str">
        <f t="shared" si="63"/>
        <v/>
      </c>
      <c r="L1012" s="14">
        <f>ROW()</f>
        <v>1012</v>
      </c>
    </row>
    <row r="1013" spans="1:12" ht="60" customHeight="1">
      <c r="A1013" s="41"/>
      <c r="B1013" s="43"/>
      <c r="C1013" s="44"/>
      <c r="D1013" s="51"/>
      <c r="E1013" s="44"/>
      <c r="F1013" s="44"/>
      <c r="G1013" s="34">
        <f t="shared" si="60"/>
        <v>0</v>
      </c>
      <c r="H1013" s="34" t="str">
        <f t="shared" si="61"/>
        <v/>
      </c>
      <c r="I1013" s="52" t="str">
        <f t="shared" si="62"/>
        <v/>
      </c>
      <c r="J1013" s="34">
        <f>IF(AND(A1013&lt;&gt;"",ISTEXT(A1013),COUNTIFS(Processos!$AS$10:$AS$509,"="&amp;SUBSTITUTE(SUBSTITUTE(SUBSTITUTE("P:"&amp;A1013,"~","~~"),"*","~*"),"?","~?"))=1),(IF(ISNA(MATCH(SUBSTITUTE(SUBSTITUTE(SUBSTITUTE("P:"&amp;A1013,"~","~~"),"*","~*"),"?","~?"),Processos!$AS$10:$AS$509,0)),9,INDEX(Processos!$AM$10:$AM$509,MATCH(SUBSTITUTE(SUBSTITUTE(SUBSTITUTE("P:"&amp;A1013,"~","~~"),"*","~*"),"?","~?"),Processos!$AS$10:$AS$509,0)))-9),0)</f>
        <v>0</v>
      </c>
      <c r="K1013" s="34" t="str">
        <f t="shared" si="63"/>
        <v/>
      </c>
      <c r="L1013" s="14">
        <f>ROW()</f>
        <v>1013</v>
      </c>
    </row>
    <row r="1014" spans="1:12" ht="60" customHeight="1">
      <c r="A1014" s="41"/>
      <c r="B1014" s="43"/>
      <c r="C1014" s="44"/>
      <c r="D1014" s="51"/>
      <c r="E1014" s="44"/>
      <c r="F1014" s="44"/>
      <c r="G1014" s="34">
        <f t="shared" si="60"/>
        <v>0</v>
      </c>
      <c r="H1014" s="34" t="str">
        <f t="shared" si="61"/>
        <v/>
      </c>
      <c r="I1014" s="52" t="str">
        <f t="shared" si="62"/>
        <v/>
      </c>
      <c r="J1014" s="34">
        <f>IF(AND(A1014&lt;&gt;"",ISTEXT(A1014),COUNTIFS(Processos!$AS$10:$AS$509,"="&amp;SUBSTITUTE(SUBSTITUTE(SUBSTITUTE("P:"&amp;A1014,"~","~~"),"*","~*"),"?","~?"))=1),(IF(ISNA(MATCH(SUBSTITUTE(SUBSTITUTE(SUBSTITUTE("P:"&amp;A1014,"~","~~"),"*","~*"),"?","~?"),Processos!$AS$10:$AS$509,0)),9,INDEX(Processos!$AM$10:$AM$509,MATCH(SUBSTITUTE(SUBSTITUTE(SUBSTITUTE("P:"&amp;A1014,"~","~~"),"*","~*"),"?","~?"),Processos!$AS$10:$AS$509,0)))-9),0)</f>
        <v>0</v>
      </c>
      <c r="K1014" s="34" t="str">
        <f t="shared" si="63"/>
        <v/>
      </c>
      <c r="L1014" s="14">
        <f>ROW()</f>
        <v>1014</v>
      </c>
    </row>
    <row r="1015" spans="1:12" ht="60" customHeight="1">
      <c r="A1015" s="41"/>
      <c r="B1015" s="43"/>
      <c r="C1015" s="44"/>
      <c r="D1015" s="51"/>
      <c r="E1015" s="44"/>
      <c r="F1015" s="44"/>
      <c r="G1015" s="34">
        <f t="shared" si="60"/>
        <v>0</v>
      </c>
      <c r="H1015" s="34" t="str">
        <f t="shared" si="61"/>
        <v/>
      </c>
      <c r="I1015" s="52" t="str">
        <f t="shared" si="62"/>
        <v/>
      </c>
      <c r="J1015" s="34">
        <f>IF(AND(A1015&lt;&gt;"",ISTEXT(A1015),COUNTIFS(Processos!$AS$10:$AS$509,"="&amp;SUBSTITUTE(SUBSTITUTE(SUBSTITUTE("P:"&amp;A1015,"~","~~"),"*","~*"),"?","~?"))=1),(IF(ISNA(MATCH(SUBSTITUTE(SUBSTITUTE(SUBSTITUTE("P:"&amp;A1015,"~","~~"),"*","~*"),"?","~?"),Processos!$AS$10:$AS$509,0)),9,INDEX(Processos!$AM$10:$AM$509,MATCH(SUBSTITUTE(SUBSTITUTE(SUBSTITUTE("P:"&amp;A1015,"~","~~"),"*","~*"),"?","~?"),Processos!$AS$10:$AS$509,0)))-9),0)</f>
        <v>0</v>
      </c>
      <c r="K1015" s="34" t="str">
        <f t="shared" si="63"/>
        <v/>
      </c>
      <c r="L1015" s="14">
        <f>ROW()</f>
        <v>1015</v>
      </c>
    </row>
    <row r="1016" spans="1:12" ht="60" customHeight="1">
      <c r="A1016" s="41"/>
      <c r="B1016" s="43"/>
      <c r="C1016" s="44"/>
      <c r="D1016" s="51"/>
      <c r="E1016" s="44"/>
      <c r="F1016" s="44"/>
      <c r="G1016" s="34">
        <f t="shared" si="60"/>
        <v>0</v>
      </c>
      <c r="H1016" s="34" t="str">
        <f t="shared" si="61"/>
        <v/>
      </c>
      <c r="I1016" s="52" t="str">
        <f t="shared" si="62"/>
        <v/>
      </c>
      <c r="J1016" s="34">
        <f>IF(AND(A1016&lt;&gt;"",ISTEXT(A1016),COUNTIFS(Processos!$AS$10:$AS$509,"="&amp;SUBSTITUTE(SUBSTITUTE(SUBSTITUTE("P:"&amp;A1016,"~","~~"),"*","~*"),"?","~?"))=1),(IF(ISNA(MATCH(SUBSTITUTE(SUBSTITUTE(SUBSTITUTE("P:"&amp;A1016,"~","~~"),"*","~*"),"?","~?"),Processos!$AS$10:$AS$509,0)),9,INDEX(Processos!$AM$10:$AM$509,MATCH(SUBSTITUTE(SUBSTITUTE(SUBSTITUTE("P:"&amp;A1016,"~","~~"),"*","~*"),"?","~?"),Processos!$AS$10:$AS$509,0)))-9),0)</f>
        <v>0</v>
      </c>
      <c r="K1016" s="34" t="str">
        <f t="shared" si="63"/>
        <v/>
      </c>
      <c r="L1016" s="14">
        <f>ROW()</f>
        <v>1016</v>
      </c>
    </row>
    <row r="1017" spans="1:12" ht="60" customHeight="1">
      <c r="A1017" s="41"/>
      <c r="B1017" s="43"/>
      <c r="C1017" s="44"/>
      <c r="D1017" s="51"/>
      <c r="E1017" s="44"/>
      <c r="F1017" s="44"/>
      <c r="G1017" s="34">
        <f t="shared" si="60"/>
        <v>0</v>
      </c>
      <c r="H1017" s="34" t="str">
        <f t="shared" si="61"/>
        <v/>
      </c>
      <c r="I1017" s="52" t="str">
        <f t="shared" si="62"/>
        <v/>
      </c>
      <c r="J1017" s="34">
        <f>IF(AND(A1017&lt;&gt;"",ISTEXT(A1017),COUNTIFS(Processos!$AS$10:$AS$509,"="&amp;SUBSTITUTE(SUBSTITUTE(SUBSTITUTE("P:"&amp;A1017,"~","~~"),"*","~*"),"?","~?"))=1),(IF(ISNA(MATCH(SUBSTITUTE(SUBSTITUTE(SUBSTITUTE("P:"&amp;A1017,"~","~~"),"*","~*"),"?","~?"),Processos!$AS$10:$AS$509,0)),9,INDEX(Processos!$AM$10:$AM$509,MATCH(SUBSTITUTE(SUBSTITUTE(SUBSTITUTE("P:"&amp;A1017,"~","~~"),"*","~*"),"?","~?"),Processos!$AS$10:$AS$509,0)))-9),0)</f>
        <v>0</v>
      </c>
      <c r="K1017" s="34" t="str">
        <f t="shared" si="63"/>
        <v/>
      </c>
      <c r="L1017" s="14">
        <f>ROW()</f>
        <v>1017</v>
      </c>
    </row>
    <row r="1018" spans="1:12" ht="60" customHeight="1">
      <c r="A1018" s="41"/>
      <c r="B1018" s="43"/>
      <c r="C1018" s="44"/>
      <c r="D1018" s="51"/>
      <c r="E1018" s="44"/>
      <c r="F1018" s="44"/>
      <c r="G1018" s="34">
        <f t="shared" si="60"/>
        <v>0</v>
      </c>
      <c r="H1018" s="34" t="str">
        <f t="shared" si="61"/>
        <v/>
      </c>
      <c r="I1018" s="52" t="str">
        <f t="shared" si="62"/>
        <v/>
      </c>
      <c r="J1018" s="34">
        <f>IF(AND(A1018&lt;&gt;"",ISTEXT(A1018),COUNTIFS(Processos!$AS$10:$AS$509,"="&amp;SUBSTITUTE(SUBSTITUTE(SUBSTITUTE("P:"&amp;A1018,"~","~~"),"*","~*"),"?","~?"))=1),(IF(ISNA(MATCH(SUBSTITUTE(SUBSTITUTE(SUBSTITUTE("P:"&amp;A1018,"~","~~"),"*","~*"),"?","~?"),Processos!$AS$10:$AS$509,0)),9,INDEX(Processos!$AM$10:$AM$509,MATCH(SUBSTITUTE(SUBSTITUTE(SUBSTITUTE("P:"&amp;A1018,"~","~~"),"*","~*"),"?","~?"),Processos!$AS$10:$AS$509,0)))-9),0)</f>
        <v>0</v>
      </c>
      <c r="K1018" s="34" t="str">
        <f t="shared" si="63"/>
        <v/>
      </c>
      <c r="L1018" s="14">
        <f>ROW()</f>
        <v>1018</v>
      </c>
    </row>
    <row r="1019" spans="1:12" ht="60" customHeight="1">
      <c r="A1019" s="41"/>
      <c r="B1019" s="43"/>
      <c r="C1019" s="44"/>
      <c r="D1019" s="51"/>
      <c r="E1019" s="44"/>
      <c r="F1019" s="44"/>
      <c r="G1019" s="34">
        <f t="shared" si="60"/>
        <v>0</v>
      </c>
      <c r="H1019" s="34" t="str">
        <f t="shared" si="61"/>
        <v/>
      </c>
      <c r="I1019" s="52" t="str">
        <f t="shared" si="62"/>
        <v/>
      </c>
      <c r="J1019" s="34">
        <f>IF(AND(A1019&lt;&gt;"",ISTEXT(A1019),COUNTIFS(Processos!$AS$10:$AS$509,"="&amp;SUBSTITUTE(SUBSTITUTE(SUBSTITUTE("P:"&amp;A1019,"~","~~"),"*","~*"),"?","~?"))=1),(IF(ISNA(MATCH(SUBSTITUTE(SUBSTITUTE(SUBSTITUTE("P:"&amp;A1019,"~","~~"),"*","~*"),"?","~?"),Processos!$AS$10:$AS$509,0)),9,INDEX(Processos!$AM$10:$AM$509,MATCH(SUBSTITUTE(SUBSTITUTE(SUBSTITUTE("P:"&amp;A1019,"~","~~"),"*","~*"),"?","~?"),Processos!$AS$10:$AS$509,0)))-9),0)</f>
        <v>0</v>
      </c>
      <c r="K1019" s="34" t="str">
        <f t="shared" si="63"/>
        <v/>
      </c>
      <c r="L1019" s="14">
        <f>ROW()</f>
        <v>1019</v>
      </c>
    </row>
    <row r="1020" spans="1:12" ht="60" customHeight="1">
      <c r="A1020" s="41"/>
      <c r="B1020" s="43"/>
      <c r="C1020" s="44"/>
      <c r="D1020" s="51"/>
      <c r="E1020" s="44"/>
      <c r="F1020" s="44"/>
      <c r="G1020" s="34">
        <f t="shared" si="60"/>
        <v>0</v>
      </c>
      <c r="H1020" s="34" t="str">
        <f t="shared" si="61"/>
        <v/>
      </c>
      <c r="I1020" s="52" t="str">
        <f t="shared" si="62"/>
        <v/>
      </c>
      <c r="J1020" s="34">
        <f>IF(AND(A1020&lt;&gt;"",ISTEXT(A1020),COUNTIFS(Processos!$AS$10:$AS$509,"="&amp;SUBSTITUTE(SUBSTITUTE(SUBSTITUTE("P:"&amp;A1020,"~","~~"),"*","~*"),"?","~?"))=1),(IF(ISNA(MATCH(SUBSTITUTE(SUBSTITUTE(SUBSTITUTE("P:"&amp;A1020,"~","~~"),"*","~*"),"?","~?"),Processos!$AS$10:$AS$509,0)),9,INDEX(Processos!$AM$10:$AM$509,MATCH(SUBSTITUTE(SUBSTITUTE(SUBSTITUTE("P:"&amp;A1020,"~","~~"),"*","~*"),"?","~?"),Processos!$AS$10:$AS$509,0)))-9),0)</f>
        <v>0</v>
      </c>
      <c r="K1020" s="34" t="str">
        <f t="shared" si="63"/>
        <v/>
      </c>
      <c r="L1020" s="14">
        <f>ROW()</f>
        <v>1020</v>
      </c>
    </row>
    <row r="1021" spans="1:12" ht="60" customHeight="1">
      <c r="A1021" s="41"/>
      <c r="B1021" s="43"/>
      <c r="C1021" s="44"/>
      <c r="D1021" s="51"/>
      <c r="E1021" s="44"/>
      <c r="F1021" s="44"/>
      <c r="G1021" s="34">
        <f t="shared" si="60"/>
        <v>0</v>
      </c>
      <c r="H1021" s="34" t="str">
        <f t="shared" si="61"/>
        <v/>
      </c>
      <c r="I1021" s="52" t="str">
        <f t="shared" si="62"/>
        <v/>
      </c>
      <c r="J1021" s="34">
        <f>IF(AND(A1021&lt;&gt;"",ISTEXT(A1021),COUNTIFS(Processos!$AS$10:$AS$509,"="&amp;SUBSTITUTE(SUBSTITUTE(SUBSTITUTE("P:"&amp;A1021,"~","~~"),"*","~*"),"?","~?"))=1),(IF(ISNA(MATCH(SUBSTITUTE(SUBSTITUTE(SUBSTITUTE("P:"&amp;A1021,"~","~~"),"*","~*"),"?","~?"),Processos!$AS$10:$AS$509,0)),9,INDEX(Processos!$AM$10:$AM$509,MATCH(SUBSTITUTE(SUBSTITUTE(SUBSTITUTE("P:"&amp;A1021,"~","~~"),"*","~*"),"?","~?"),Processos!$AS$10:$AS$509,0)))-9),0)</f>
        <v>0</v>
      </c>
      <c r="K1021" s="34" t="str">
        <f t="shared" si="63"/>
        <v/>
      </c>
      <c r="L1021" s="14">
        <f>ROW()</f>
        <v>1021</v>
      </c>
    </row>
    <row r="1022" spans="1:12" ht="60" customHeight="1">
      <c r="A1022" s="41"/>
      <c r="B1022" s="43"/>
      <c r="C1022" s="44"/>
      <c r="D1022" s="51"/>
      <c r="E1022" s="44"/>
      <c r="F1022" s="44"/>
      <c r="G1022" s="34">
        <f t="shared" si="60"/>
        <v>0</v>
      </c>
      <c r="H1022" s="34" t="str">
        <f t="shared" si="61"/>
        <v/>
      </c>
      <c r="I1022" s="52" t="str">
        <f t="shared" si="62"/>
        <v/>
      </c>
      <c r="J1022" s="34">
        <f>IF(AND(A1022&lt;&gt;"",ISTEXT(A1022),COUNTIFS(Processos!$AS$10:$AS$509,"="&amp;SUBSTITUTE(SUBSTITUTE(SUBSTITUTE("P:"&amp;A1022,"~","~~"),"*","~*"),"?","~?"))=1),(IF(ISNA(MATCH(SUBSTITUTE(SUBSTITUTE(SUBSTITUTE("P:"&amp;A1022,"~","~~"),"*","~*"),"?","~?"),Processos!$AS$10:$AS$509,0)),9,INDEX(Processos!$AM$10:$AM$509,MATCH(SUBSTITUTE(SUBSTITUTE(SUBSTITUTE("P:"&amp;A1022,"~","~~"),"*","~*"),"?","~?"),Processos!$AS$10:$AS$509,0)))-9),0)</f>
        <v>0</v>
      </c>
      <c r="K1022" s="34" t="str">
        <f t="shared" si="63"/>
        <v/>
      </c>
      <c r="L1022" s="14">
        <f>ROW()</f>
        <v>1022</v>
      </c>
    </row>
    <row r="1023" spans="1:12" ht="60" customHeight="1">
      <c r="A1023" s="41"/>
      <c r="B1023" s="43"/>
      <c r="C1023" s="44"/>
      <c r="D1023" s="51"/>
      <c r="E1023" s="44"/>
      <c r="F1023" s="44"/>
      <c r="G1023" s="34">
        <f t="shared" si="60"/>
        <v>0</v>
      </c>
      <c r="H1023" s="34" t="str">
        <f t="shared" si="61"/>
        <v/>
      </c>
      <c r="I1023" s="52" t="str">
        <f t="shared" si="62"/>
        <v/>
      </c>
      <c r="J1023" s="34">
        <f>IF(AND(A1023&lt;&gt;"",ISTEXT(A1023),COUNTIFS(Processos!$AS$10:$AS$509,"="&amp;SUBSTITUTE(SUBSTITUTE(SUBSTITUTE("P:"&amp;A1023,"~","~~"),"*","~*"),"?","~?"))=1),(IF(ISNA(MATCH(SUBSTITUTE(SUBSTITUTE(SUBSTITUTE("P:"&amp;A1023,"~","~~"),"*","~*"),"?","~?"),Processos!$AS$10:$AS$509,0)),9,INDEX(Processos!$AM$10:$AM$509,MATCH(SUBSTITUTE(SUBSTITUTE(SUBSTITUTE("P:"&amp;A1023,"~","~~"),"*","~*"),"?","~?"),Processos!$AS$10:$AS$509,0)))-9),0)</f>
        <v>0</v>
      </c>
      <c r="K1023" s="34" t="str">
        <f t="shared" si="63"/>
        <v/>
      </c>
      <c r="L1023" s="14">
        <f>ROW()</f>
        <v>1023</v>
      </c>
    </row>
    <row r="1024" spans="1:12" ht="60" customHeight="1">
      <c r="A1024" s="41"/>
      <c r="B1024" s="43"/>
      <c r="C1024" s="44"/>
      <c r="D1024" s="51"/>
      <c r="E1024" s="44"/>
      <c r="F1024" s="44"/>
      <c r="G1024" s="34">
        <f t="shared" si="60"/>
        <v>0</v>
      </c>
      <c r="H1024" s="34" t="str">
        <f t="shared" si="61"/>
        <v/>
      </c>
      <c r="I1024" s="52" t="str">
        <f t="shared" si="62"/>
        <v/>
      </c>
      <c r="J1024" s="34">
        <f>IF(AND(A1024&lt;&gt;"",ISTEXT(A1024),COUNTIFS(Processos!$AS$10:$AS$509,"="&amp;SUBSTITUTE(SUBSTITUTE(SUBSTITUTE("P:"&amp;A1024,"~","~~"),"*","~*"),"?","~?"))=1),(IF(ISNA(MATCH(SUBSTITUTE(SUBSTITUTE(SUBSTITUTE("P:"&amp;A1024,"~","~~"),"*","~*"),"?","~?"),Processos!$AS$10:$AS$509,0)),9,INDEX(Processos!$AM$10:$AM$509,MATCH(SUBSTITUTE(SUBSTITUTE(SUBSTITUTE("P:"&amp;A1024,"~","~~"),"*","~*"),"?","~?"),Processos!$AS$10:$AS$509,0)))-9),0)</f>
        <v>0</v>
      </c>
      <c r="K1024" s="34" t="str">
        <f t="shared" si="63"/>
        <v/>
      </c>
      <c r="L1024" s="14">
        <f>ROW()</f>
        <v>1024</v>
      </c>
    </row>
    <row r="1025" spans="1:12" ht="60" customHeight="1">
      <c r="A1025" s="41"/>
      <c r="B1025" s="43"/>
      <c r="C1025" s="44"/>
      <c r="D1025" s="51"/>
      <c r="E1025" s="44"/>
      <c r="F1025" s="44"/>
      <c r="G1025" s="34">
        <f t="shared" si="60"/>
        <v>0</v>
      </c>
      <c r="H1025" s="34" t="str">
        <f t="shared" si="61"/>
        <v/>
      </c>
      <c r="I1025" s="52" t="str">
        <f t="shared" si="62"/>
        <v/>
      </c>
      <c r="J1025" s="34">
        <f>IF(AND(A1025&lt;&gt;"",ISTEXT(A1025),COUNTIFS(Processos!$AS$10:$AS$509,"="&amp;SUBSTITUTE(SUBSTITUTE(SUBSTITUTE("P:"&amp;A1025,"~","~~"),"*","~*"),"?","~?"))=1),(IF(ISNA(MATCH(SUBSTITUTE(SUBSTITUTE(SUBSTITUTE("P:"&amp;A1025,"~","~~"),"*","~*"),"?","~?"),Processos!$AS$10:$AS$509,0)),9,INDEX(Processos!$AM$10:$AM$509,MATCH(SUBSTITUTE(SUBSTITUTE(SUBSTITUTE("P:"&amp;A1025,"~","~~"),"*","~*"),"?","~?"),Processos!$AS$10:$AS$509,0)))-9),0)</f>
        <v>0</v>
      </c>
      <c r="K1025" s="34" t="str">
        <f t="shared" si="63"/>
        <v/>
      </c>
      <c r="L1025" s="14">
        <f>ROW()</f>
        <v>1025</v>
      </c>
    </row>
    <row r="1026" spans="1:12" ht="60" customHeight="1">
      <c r="A1026" s="41"/>
      <c r="B1026" s="43"/>
      <c r="C1026" s="44"/>
      <c r="D1026" s="51"/>
      <c r="E1026" s="44"/>
      <c r="F1026" s="44"/>
      <c r="G1026" s="34">
        <f t="shared" si="60"/>
        <v>0</v>
      </c>
      <c r="H1026" s="34" t="str">
        <f t="shared" si="61"/>
        <v/>
      </c>
      <c r="I1026" s="52" t="str">
        <f t="shared" si="62"/>
        <v/>
      </c>
      <c r="J1026" s="34">
        <f>IF(AND(A1026&lt;&gt;"",ISTEXT(A1026),COUNTIFS(Processos!$AS$10:$AS$509,"="&amp;SUBSTITUTE(SUBSTITUTE(SUBSTITUTE("P:"&amp;A1026,"~","~~"),"*","~*"),"?","~?"))=1),(IF(ISNA(MATCH(SUBSTITUTE(SUBSTITUTE(SUBSTITUTE("P:"&amp;A1026,"~","~~"),"*","~*"),"?","~?"),Processos!$AS$10:$AS$509,0)),9,INDEX(Processos!$AM$10:$AM$509,MATCH(SUBSTITUTE(SUBSTITUTE(SUBSTITUTE("P:"&amp;A1026,"~","~~"),"*","~*"),"?","~?"),Processos!$AS$10:$AS$509,0)))-9),0)</f>
        <v>0</v>
      </c>
      <c r="K1026" s="34" t="str">
        <f t="shared" si="63"/>
        <v/>
      </c>
      <c r="L1026" s="14">
        <f>ROW()</f>
        <v>1026</v>
      </c>
    </row>
    <row r="1027" spans="1:12" ht="60" customHeight="1">
      <c r="A1027" s="41"/>
      <c r="B1027" s="43"/>
      <c r="C1027" s="44"/>
      <c r="D1027" s="51"/>
      <c r="E1027" s="44"/>
      <c r="F1027" s="44"/>
      <c r="G1027" s="34">
        <f t="shared" si="60"/>
        <v>0</v>
      </c>
      <c r="H1027" s="34" t="str">
        <f t="shared" si="61"/>
        <v/>
      </c>
      <c r="I1027" s="52" t="str">
        <f t="shared" si="62"/>
        <v/>
      </c>
      <c r="J1027" s="34">
        <f>IF(AND(A1027&lt;&gt;"",ISTEXT(A1027),COUNTIFS(Processos!$AS$10:$AS$509,"="&amp;SUBSTITUTE(SUBSTITUTE(SUBSTITUTE("P:"&amp;A1027,"~","~~"),"*","~*"),"?","~?"))=1),(IF(ISNA(MATCH(SUBSTITUTE(SUBSTITUTE(SUBSTITUTE("P:"&amp;A1027,"~","~~"),"*","~*"),"?","~?"),Processos!$AS$10:$AS$509,0)),9,INDEX(Processos!$AM$10:$AM$509,MATCH(SUBSTITUTE(SUBSTITUTE(SUBSTITUTE("P:"&amp;A1027,"~","~~"),"*","~*"),"?","~?"),Processos!$AS$10:$AS$509,0)))-9),0)</f>
        <v>0</v>
      </c>
      <c r="K1027" s="34" t="str">
        <f t="shared" si="63"/>
        <v/>
      </c>
      <c r="L1027" s="14">
        <f>ROW()</f>
        <v>1027</v>
      </c>
    </row>
    <row r="1028" spans="1:12" ht="60" customHeight="1">
      <c r="A1028" s="41"/>
      <c r="B1028" s="43"/>
      <c r="C1028" s="44"/>
      <c r="D1028" s="51"/>
      <c r="E1028" s="44"/>
      <c r="F1028" s="44"/>
      <c r="G1028" s="34">
        <f t="shared" si="60"/>
        <v>0</v>
      </c>
      <c r="H1028" s="34" t="str">
        <f t="shared" si="61"/>
        <v/>
      </c>
      <c r="I1028" s="52" t="str">
        <f t="shared" si="62"/>
        <v/>
      </c>
      <c r="J1028" s="34">
        <f>IF(AND(A1028&lt;&gt;"",ISTEXT(A1028),COUNTIFS(Processos!$AS$10:$AS$509,"="&amp;SUBSTITUTE(SUBSTITUTE(SUBSTITUTE("P:"&amp;A1028,"~","~~"),"*","~*"),"?","~?"))=1),(IF(ISNA(MATCH(SUBSTITUTE(SUBSTITUTE(SUBSTITUTE("P:"&amp;A1028,"~","~~"),"*","~*"),"?","~?"),Processos!$AS$10:$AS$509,0)),9,INDEX(Processos!$AM$10:$AM$509,MATCH(SUBSTITUTE(SUBSTITUTE(SUBSTITUTE("P:"&amp;A1028,"~","~~"),"*","~*"),"?","~?"),Processos!$AS$10:$AS$509,0)))-9),0)</f>
        <v>0</v>
      </c>
      <c r="K1028" s="34" t="str">
        <f t="shared" si="63"/>
        <v/>
      </c>
      <c r="L1028" s="14">
        <f>ROW()</f>
        <v>1028</v>
      </c>
    </row>
    <row r="1029" spans="1:12" ht="60" customHeight="1">
      <c r="A1029" s="41"/>
      <c r="B1029" s="43"/>
      <c r="C1029" s="44"/>
      <c r="D1029" s="51"/>
      <c r="E1029" s="44"/>
      <c r="F1029" s="44"/>
      <c r="G1029" s="34">
        <f t="shared" si="60"/>
        <v>0</v>
      </c>
      <c r="H1029" s="34" t="str">
        <f t="shared" si="61"/>
        <v/>
      </c>
      <c r="I1029" s="52" t="str">
        <f t="shared" si="62"/>
        <v/>
      </c>
      <c r="J1029" s="34">
        <f>IF(AND(A1029&lt;&gt;"",ISTEXT(A1029),COUNTIFS(Processos!$AS$10:$AS$509,"="&amp;SUBSTITUTE(SUBSTITUTE(SUBSTITUTE("P:"&amp;A1029,"~","~~"),"*","~*"),"?","~?"))=1),(IF(ISNA(MATCH(SUBSTITUTE(SUBSTITUTE(SUBSTITUTE("P:"&amp;A1029,"~","~~"),"*","~*"),"?","~?"),Processos!$AS$10:$AS$509,0)),9,INDEX(Processos!$AM$10:$AM$509,MATCH(SUBSTITUTE(SUBSTITUTE(SUBSTITUTE("P:"&amp;A1029,"~","~~"),"*","~*"),"?","~?"),Processos!$AS$10:$AS$509,0)))-9),0)</f>
        <v>0</v>
      </c>
      <c r="K1029" s="34" t="str">
        <f t="shared" si="63"/>
        <v/>
      </c>
      <c r="L1029" s="14">
        <f>ROW()</f>
        <v>1029</v>
      </c>
    </row>
    <row r="1030" spans="1:12" ht="60" customHeight="1">
      <c r="A1030" s="41"/>
      <c r="B1030" s="43"/>
      <c r="C1030" s="44"/>
      <c r="D1030" s="51"/>
      <c r="E1030" s="44"/>
      <c r="F1030" s="44"/>
      <c r="G1030" s="34">
        <f t="shared" si="60"/>
        <v>0</v>
      </c>
      <c r="H1030" s="34" t="str">
        <f t="shared" si="61"/>
        <v/>
      </c>
      <c r="I1030" s="52" t="str">
        <f t="shared" si="62"/>
        <v/>
      </c>
      <c r="J1030" s="34">
        <f>IF(AND(A1030&lt;&gt;"",ISTEXT(A1030),COUNTIFS(Processos!$AS$10:$AS$509,"="&amp;SUBSTITUTE(SUBSTITUTE(SUBSTITUTE("P:"&amp;A1030,"~","~~"),"*","~*"),"?","~?"))=1),(IF(ISNA(MATCH(SUBSTITUTE(SUBSTITUTE(SUBSTITUTE("P:"&amp;A1030,"~","~~"),"*","~*"),"?","~?"),Processos!$AS$10:$AS$509,0)),9,INDEX(Processos!$AM$10:$AM$509,MATCH(SUBSTITUTE(SUBSTITUTE(SUBSTITUTE("P:"&amp;A1030,"~","~~"),"*","~*"),"?","~?"),Processos!$AS$10:$AS$509,0)))-9),0)</f>
        <v>0</v>
      </c>
      <c r="K1030" s="34" t="str">
        <f t="shared" si="63"/>
        <v/>
      </c>
      <c r="L1030" s="14">
        <f>ROW()</f>
        <v>1030</v>
      </c>
    </row>
    <row r="1031" spans="1:12" ht="60" customHeight="1">
      <c r="A1031" s="41"/>
      <c r="B1031" s="43"/>
      <c r="C1031" s="44"/>
      <c r="D1031" s="51"/>
      <c r="E1031" s="44"/>
      <c r="F1031" s="44"/>
      <c r="G1031" s="34">
        <f t="shared" si="60"/>
        <v>0</v>
      </c>
      <c r="H1031" s="34" t="str">
        <f t="shared" si="61"/>
        <v/>
      </c>
      <c r="I1031" s="52" t="str">
        <f t="shared" si="62"/>
        <v/>
      </c>
      <c r="J1031" s="34">
        <f>IF(AND(A1031&lt;&gt;"",ISTEXT(A1031),COUNTIFS(Processos!$AS$10:$AS$509,"="&amp;SUBSTITUTE(SUBSTITUTE(SUBSTITUTE("P:"&amp;A1031,"~","~~"),"*","~*"),"?","~?"))=1),(IF(ISNA(MATCH(SUBSTITUTE(SUBSTITUTE(SUBSTITUTE("P:"&amp;A1031,"~","~~"),"*","~*"),"?","~?"),Processos!$AS$10:$AS$509,0)),9,INDEX(Processos!$AM$10:$AM$509,MATCH(SUBSTITUTE(SUBSTITUTE(SUBSTITUTE("P:"&amp;A1031,"~","~~"),"*","~*"),"?","~?"),Processos!$AS$10:$AS$509,0)))-9),0)</f>
        <v>0</v>
      </c>
      <c r="K1031" s="34" t="str">
        <f t="shared" si="63"/>
        <v/>
      </c>
      <c r="L1031" s="14">
        <f>ROW()</f>
        <v>1031</v>
      </c>
    </row>
    <row r="1032" spans="1:12" ht="60" customHeight="1">
      <c r="A1032" s="41"/>
      <c r="B1032" s="43"/>
      <c r="C1032" s="44"/>
      <c r="D1032" s="51"/>
      <c r="E1032" s="44"/>
      <c r="F1032" s="44"/>
      <c r="G1032" s="34">
        <f t="shared" si="60"/>
        <v>0</v>
      </c>
      <c r="H1032" s="34" t="str">
        <f t="shared" si="61"/>
        <v/>
      </c>
      <c r="I1032" s="52" t="str">
        <f t="shared" si="62"/>
        <v/>
      </c>
      <c r="J1032" s="34">
        <f>IF(AND(A1032&lt;&gt;"",ISTEXT(A1032),COUNTIFS(Processos!$AS$10:$AS$509,"="&amp;SUBSTITUTE(SUBSTITUTE(SUBSTITUTE("P:"&amp;A1032,"~","~~"),"*","~*"),"?","~?"))=1),(IF(ISNA(MATCH(SUBSTITUTE(SUBSTITUTE(SUBSTITUTE("P:"&amp;A1032,"~","~~"),"*","~*"),"?","~?"),Processos!$AS$10:$AS$509,0)),9,INDEX(Processos!$AM$10:$AM$509,MATCH(SUBSTITUTE(SUBSTITUTE(SUBSTITUTE("P:"&amp;A1032,"~","~~"),"*","~*"),"?","~?"),Processos!$AS$10:$AS$509,0)))-9),0)</f>
        <v>0</v>
      </c>
      <c r="K1032" s="34" t="str">
        <f t="shared" si="63"/>
        <v/>
      </c>
      <c r="L1032" s="14">
        <f>ROW()</f>
        <v>1032</v>
      </c>
    </row>
    <row r="1033" spans="1:12" ht="60" customHeight="1">
      <c r="A1033" s="41"/>
      <c r="B1033" s="43"/>
      <c r="C1033" s="44"/>
      <c r="D1033" s="51"/>
      <c r="E1033" s="44"/>
      <c r="F1033" s="44"/>
      <c r="G1033" s="34">
        <f t="shared" si="60"/>
        <v>0</v>
      </c>
      <c r="H1033" s="34" t="str">
        <f t="shared" si="61"/>
        <v/>
      </c>
      <c r="I1033" s="52" t="str">
        <f t="shared" si="62"/>
        <v/>
      </c>
      <c r="J1033" s="34">
        <f>IF(AND(A1033&lt;&gt;"",ISTEXT(A1033),COUNTIFS(Processos!$AS$10:$AS$509,"="&amp;SUBSTITUTE(SUBSTITUTE(SUBSTITUTE("P:"&amp;A1033,"~","~~"),"*","~*"),"?","~?"))=1),(IF(ISNA(MATCH(SUBSTITUTE(SUBSTITUTE(SUBSTITUTE("P:"&amp;A1033,"~","~~"),"*","~*"),"?","~?"),Processos!$AS$10:$AS$509,0)),9,INDEX(Processos!$AM$10:$AM$509,MATCH(SUBSTITUTE(SUBSTITUTE(SUBSTITUTE("P:"&amp;A1033,"~","~~"),"*","~*"),"?","~?"),Processos!$AS$10:$AS$509,0)))-9),0)</f>
        <v>0</v>
      </c>
      <c r="K1033" s="34" t="str">
        <f t="shared" si="63"/>
        <v/>
      </c>
      <c r="L1033" s="14">
        <f>ROW()</f>
        <v>1033</v>
      </c>
    </row>
    <row r="1034" spans="1:12" ht="60" customHeight="1">
      <c r="A1034" s="41"/>
      <c r="B1034" s="43"/>
      <c r="C1034" s="44"/>
      <c r="D1034" s="51"/>
      <c r="E1034" s="44"/>
      <c r="F1034" s="44"/>
      <c r="G1034" s="34">
        <f t="shared" ref="G1034:G1097" si="64">IF(AND(J1034&gt;0,OR(B1034="",AND(ISNUMBER(B1034),B1034&gt;=1,B1034&lt;=100000)),ISNUMBER(D1034),D1034&gt;=1,D1034&lt;=100000,C1034&lt;&gt;""),1,0)</f>
        <v>0</v>
      </c>
      <c r="H1034" s="34" t="str">
        <f t="shared" ref="H1034:H1097" si="65">IF(G1034=1,K1034&amp;"|"&amp;D1034,"")</f>
        <v/>
      </c>
      <c r="I1034" s="52" t="str">
        <f t="shared" ref="I1034:I1097" si="66">IF(COUNTA(A1034:F1034)=0,"",IF(A1034="","Selecione o processo",IF(J1034=0,"Processo inexistente, duplicado ou número não textual",IF(B1034="","Informe a data do andamento",IF(C1034="","Descreva o andamento",IF(D1034="","Informe a data e hora do recebimento",IF(OR(NOT(ISNUMBER(B1034)),B1034&lt;1,B1034&gt;100000),"Revise a data do andamento",IF(OR(NOT(ISNUMBER(D1034)),D1034&lt;1,D1034&gt;100000),"Revise a data e hora do recebimento",IF(COUNTIFS($K$10:$K$2009,"="&amp;SUBSTITUTE(SUBSTITUTE(SUBSTITUTE("P:"&amp;A1034,"~","~~"),"*","~*"),"?","~?"),$D$10:$D$2009,D1034,$G$10:$G$2009,1)&gt;1,"Recebimentos empatados: revise a hora ou consolide o registro","")))))))))</f>
        <v/>
      </c>
      <c r="J1034" s="34">
        <f>IF(AND(A1034&lt;&gt;"",ISTEXT(A1034),COUNTIFS(Processos!$AS$10:$AS$509,"="&amp;SUBSTITUTE(SUBSTITUTE(SUBSTITUTE("P:"&amp;A1034,"~","~~"),"*","~*"),"?","~?"))=1),(IF(ISNA(MATCH(SUBSTITUTE(SUBSTITUTE(SUBSTITUTE("P:"&amp;A1034,"~","~~"),"*","~*"),"?","~?"),Processos!$AS$10:$AS$509,0)),9,INDEX(Processos!$AM$10:$AM$509,MATCH(SUBSTITUTE(SUBSTITUTE(SUBSTITUTE("P:"&amp;A1034,"~","~~"),"*","~*"),"?","~?"),Processos!$AS$10:$AS$509,0)))-9),0)</f>
        <v>0</v>
      </c>
      <c r="K1034" s="34" t="str">
        <f t="shared" ref="K1034:K1097" si="67">IF(AND(A1034&lt;&gt;"",ISTEXT(A1034)),"P:"&amp;A1034,"")</f>
        <v/>
      </c>
      <c r="L1034" s="14">
        <f>ROW()</f>
        <v>1034</v>
      </c>
    </row>
    <row r="1035" spans="1:12" ht="60" customHeight="1">
      <c r="A1035" s="41"/>
      <c r="B1035" s="43"/>
      <c r="C1035" s="44"/>
      <c r="D1035" s="51"/>
      <c r="E1035" s="44"/>
      <c r="F1035" s="44"/>
      <c r="G1035" s="34">
        <f t="shared" si="64"/>
        <v>0</v>
      </c>
      <c r="H1035" s="34" t="str">
        <f t="shared" si="65"/>
        <v/>
      </c>
      <c r="I1035" s="52" t="str">
        <f t="shared" si="66"/>
        <v/>
      </c>
      <c r="J1035" s="34">
        <f>IF(AND(A1035&lt;&gt;"",ISTEXT(A1035),COUNTIFS(Processos!$AS$10:$AS$509,"="&amp;SUBSTITUTE(SUBSTITUTE(SUBSTITUTE("P:"&amp;A1035,"~","~~"),"*","~*"),"?","~?"))=1),(IF(ISNA(MATCH(SUBSTITUTE(SUBSTITUTE(SUBSTITUTE("P:"&amp;A1035,"~","~~"),"*","~*"),"?","~?"),Processos!$AS$10:$AS$509,0)),9,INDEX(Processos!$AM$10:$AM$509,MATCH(SUBSTITUTE(SUBSTITUTE(SUBSTITUTE("P:"&amp;A1035,"~","~~"),"*","~*"),"?","~?"),Processos!$AS$10:$AS$509,0)))-9),0)</f>
        <v>0</v>
      </c>
      <c r="K1035" s="34" t="str">
        <f t="shared" si="67"/>
        <v/>
      </c>
      <c r="L1035" s="14">
        <f>ROW()</f>
        <v>1035</v>
      </c>
    </row>
    <row r="1036" spans="1:12" ht="60" customHeight="1">
      <c r="A1036" s="41"/>
      <c r="B1036" s="43"/>
      <c r="C1036" s="44"/>
      <c r="D1036" s="51"/>
      <c r="E1036" s="44"/>
      <c r="F1036" s="44"/>
      <c r="G1036" s="34">
        <f t="shared" si="64"/>
        <v>0</v>
      </c>
      <c r="H1036" s="34" t="str">
        <f t="shared" si="65"/>
        <v/>
      </c>
      <c r="I1036" s="52" t="str">
        <f t="shared" si="66"/>
        <v/>
      </c>
      <c r="J1036" s="34">
        <f>IF(AND(A1036&lt;&gt;"",ISTEXT(A1036),COUNTIFS(Processos!$AS$10:$AS$509,"="&amp;SUBSTITUTE(SUBSTITUTE(SUBSTITUTE("P:"&amp;A1036,"~","~~"),"*","~*"),"?","~?"))=1),(IF(ISNA(MATCH(SUBSTITUTE(SUBSTITUTE(SUBSTITUTE("P:"&amp;A1036,"~","~~"),"*","~*"),"?","~?"),Processos!$AS$10:$AS$509,0)),9,INDEX(Processos!$AM$10:$AM$509,MATCH(SUBSTITUTE(SUBSTITUTE(SUBSTITUTE("P:"&amp;A1036,"~","~~"),"*","~*"),"?","~?"),Processos!$AS$10:$AS$509,0)))-9),0)</f>
        <v>0</v>
      </c>
      <c r="K1036" s="34" t="str">
        <f t="shared" si="67"/>
        <v/>
      </c>
      <c r="L1036" s="14">
        <f>ROW()</f>
        <v>1036</v>
      </c>
    </row>
    <row r="1037" spans="1:12" ht="60" customHeight="1">
      <c r="A1037" s="41"/>
      <c r="B1037" s="43"/>
      <c r="C1037" s="44"/>
      <c r="D1037" s="51"/>
      <c r="E1037" s="44"/>
      <c r="F1037" s="44"/>
      <c r="G1037" s="34">
        <f t="shared" si="64"/>
        <v>0</v>
      </c>
      <c r="H1037" s="34" t="str">
        <f t="shared" si="65"/>
        <v/>
      </c>
      <c r="I1037" s="52" t="str">
        <f t="shared" si="66"/>
        <v/>
      </c>
      <c r="J1037" s="34">
        <f>IF(AND(A1037&lt;&gt;"",ISTEXT(A1037),COUNTIFS(Processos!$AS$10:$AS$509,"="&amp;SUBSTITUTE(SUBSTITUTE(SUBSTITUTE("P:"&amp;A1037,"~","~~"),"*","~*"),"?","~?"))=1),(IF(ISNA(MATCH(SUBSTITUTE(SUBSTITUTE(SUBSTITUTE("P:"&amp;A1037,"~","~~"),"*","~*"),"?","~?"),Processos!$AS$10:$AS$509,0)),9,INDEX(Processos!$AM$10:$AM$509,MATCH(SUBSTITUTE(SUBSTITUTE(SUBSTITUTE("P:"&amp;A1037,"~","~~"),"*","~*"),"?","~?"),Processos!$AS$10:$AS$509,0)))-9),0)</f>
        <v>0</v>
      </c>
      <c r="K1037" s="34" t="str">
        <f t="shared" si="67"/>
        <v/>
      </c>
      <c r="L1037" s="14">
        <f>ROW()</f>
        <v>1037</v>
      </c>
    </row>
    <row r="1038" spans="1:12" ht="60" customHeight="1">
      <c r="A1038" s="41"/>
      <c r="B1038" s="43"/>
      <c r="C1038" s="44"/>
      <c r="D1038" s="51"/>
      <c r="E1038" s="44"/>
      <c r="F1038" s="44"/>
      <c r="G1038" s="34">
        <f t="shared" si="64"/>
        <v>0</v>
      </c>
      <c r="H1038" s="34" t="str">
        <f t="shared" si="65"/>
        <v/>
      </c>
      <c r="I1038" s="52" t="str">
        <f t="shared" si="66"/>
        <v/>
      </c>
      <c r="J1038" s="34">
        <f>IF(AND(A1038&lt;&gt;"",ISTEXT(A1038),COUNTIFS(Processos!$AS$10:$AS$509,"="&amp;SUBSTITUTE(SUBSTITUTE(SUBSTITUTE("P:"&amp;A1038,"~","~~"),"*","~*"),"?","~?"))=1),(IF(ISNA(MATCH(SUBSTITUTE(SUBSTITUTE(SUBSTITUTE("P:"&amp;A1038,"~","~~"),"*","~*"),"?","~?"),Processos!$AS$10:$AS$509,0)),9,INDEX(Processos!$AM$10:$AM$509,MATCH(SUBSTITUTE(SUBSTITUTE(SUBSTITUTE("P:"&amp;A1038,"~","~~"),"*","~*"),"?","~?"),Processos!$AS$10:$AS$509,0)))-9),0)</f>
        <v>0</v>
      </c>
      <c r="K1038" s="34" t="str">
        <f t="shared" si="67"/>
        <v/>
      </c>
      <c r="L1038" s="14">
        <f>ROW()</f>
        <v>1038</v>
      </c>
    </row>
    <row r="1039" spans="1:12" ht="60" customHeight="1">
      <c r="A1039" s="41"/>
      <c r="B1039" s="43"/>
      <c r="C1039" s="44"/>
      <c r="D1039" s="51"/>
      <c r="E1039" s="44"/>
      <c r="F1039" s="44"/>
      <c r="G1039" s="34">
        <f t="shared" si="64"/>
        <v>0</v>
      </c>
      <c r="H1039" s="34" t="str">
        <f t="shared" si="65"/>
        <v/>
      </c>
      <c r="I1039" s="52" t="str">
        <f t="shared" si="66"/>
        <v/>
      </c>
      <c r="J1039" s="34">
        <f>IF(AND(A1039&lt;&gt;"",ISTEXT(A1039),COUNTIFS(Processos!$AS$10:$AS$509,"="&amp;SUBSTITUTE(SUBSTITUTE(SUBSTITUTE("P:"&amp;A1039,"~","~~"),"*","~*"),"?","~?"))=1),(IF(ISNA(MATCH(SUBSTITUTE(SUBSTITUTE(SUBSTITUTE("P:"&amp;A1039,"~","~~"),"*","~*"),"?","~?"),Processos!$AS$10:$AS$509,0)),9,INDEX(Processos!$AM$10:$AM$509,MATCH(SUBSTITUTE(SUBSTITUTE(SUBSTITUTE("P:"&amp;A1039,"~","~~"),"*","~*"),"?","~?"),Processos!$AS$10:$AS$509,0)))-9),0)</f>
        <v>0</v>
      </c>
      <c r="K1039" s="34" t="str">
        <f t="shared" si="67"/>
        <v/>
      </c>
      <c r="L1039" s="14">
        <f>ROW()</f>
        <v>1039</v>
      </c>
    </row>
    <row r="1040" spans="1:12" ht="60" customHeight="1">
      <c r="A1040" s="41"/>
      <c r="B1040" s="43"/>
      <c r="C1040" s="44"/>
      <c r="D1040" s="51"/>
      <c r="E1040" s="44"/>
      <c r="F1040" s="44"/>
      <c r="G1040" s="34">
        <f t="shared" si="64"/>
        <v>0</v>
      </c>
      <c r="H1040" s="34" t="str">
        <f t="shared" si="65"/>
        <v/>
      </c>
      <c r="I1040" s="52" t="str">
        <f t="shared" si="66"/>
        <v/>
      </c>
      <c r="J1040" s="34">
        <f>IF(AND(A1040&lt;&gt;"",ISTEXT(A1040),COUNTIFS(Processos!$AS$10:$AS$509,"="&amp;SUBSTITUTE(SUBSTITUTE(SUBSTITUTE("P:"&amp;A1040,"~","~~"),"*","~*"),"?","~?"))=1),(IF(ISNA(MATCH(SUBSTITUTE(SUBSTITUTE(SUBSTITUTE("P:"&amp;A1040,"~","~~"),"*","~*"),"?","~?"),Processos!$AS$10:$AS$509,0)),9,INDEX(Processos!$AM$10:$AM$509,MATCH(SUBSTITUTE(SUBSTITUTE(SUBSTITUTE("P:"&amp;A1040,"~","~~"),"*","~*"),"?","~?"),Processos!$AS$10:$AS$509,0)))-9),0)</f>
        <v>0</v>
      </c>
      <c r="K1040" s="34" t="str">
        <f t="shared" si="67"/>
        <v/>
      </c>
      <c r="L1040" s="14">
        <f>ROW()</f>
        <v>1040</v>
      </c>
    </row>
    <row r="1041" spans="1:12" ht="60" customHeight="1">
      <c r="A1041" s="41"/>
      <c r="B1041" s="43"/>
      <c r="C1041" s="44"/>
      <c r="D1041" s="51"/>
      <c r="E1041" s="44"/>
      <c r="F1041" s="44"/>
      <c r="G1041" s="34">
        <f t="shared" si="64"/>
        <v>0</v>
      </c>
      <c r="H1041" s="34" t="str">
        <f t="shared" si="65"/>
        <v/>
      </c>
      <c r="I1041" s="52" t="str">
        <f t="shared" si="66"/>
        <v/>
      </c>
      <c r="J1041" s="34">
        <f>IF(AND(A1041&lt;&gt;"",ISTEXT(A1041),COUNTIFS(Processos!$AS$10:$AS$509,"="&amp;SUBSTITUTE(SUBSTITUTE(SUBSTITUTE("P:"&amp;A1041,"~","~~"),"*","~*"),"?","~?"))=1),(IF(ISNA(MATCH(SUBSTITUTE(SUBSTITUTE(SUBSTITUTE("P:"&amp;A1041,"~","~~"),"*","~*"),"?","~?"),Processos!$AS$10:$AS$509,0)),9,INDEX(Processos!$AM$10:$AM$509,MATCH(SUBSTITUTE(SUBSTITUTE(SUBSTITUTE("P:"&amp;A1041,"~","~~"),"*","~*"),"?","~?"),Processos!$AS$10:$AS$509,0)))-9),0)</f>
        <v>0</v>
      </c>
      <c r="K1041" s="34" t="str">
        <f t="shared" si="67"/>
        <v/>
      </c>
      <c r="L1041" s="14">
        <f>ROW()</f>
        <v>1041</v>
      </c>
    </row>
    <row r="1042" spans="1:12" ht="60" customHeight="1">
      <c r="A1042" s="41"/>
      <c r="B1042" s="43"/>
      <c r="C1042" s="44"/>
      <c r="D1042" s="51"/>
      <c r="E1042" s="44"/>
      <c r="F1042" s="44"/>
      <c r="G1042" s="34">
        <f t="shared" si="64"/>
        <v>0</v>
      </c>
      <c r="H1042" s="34" t="str">
        <f t="shared" si="65"/>
        <v/>
      </c>
      <c r="I1042" s="52" t="str">
        <f t="shared" si="66"/>
        <v/>
      </c>
      <c r="J1042" s="34">
        <f>IF(AND(A1042&lt;&gt;"",ISTEXT(A1042),COUNTIFS(Processos!$AS$10:$AS$509,"="&amp;SUBSTITUTE(SUBSTITUTE(SUBSTITUTE("P:"&amp;A1042,"~","~~"),"*","~*"),"?","~?"))=1),(IF(ISNA(MATCH(SUBSTITUTE(SUBSTITUTE(SUBSTITUTE("P:"&amp;A1042,"~","~~"),"*","~*"),"?","~?"),Processos!$AS$10:$AS$509,0)),9,INDEX(Processos!$AM$10:$AM$509,MATCH(SUBSTITUTE(SUBSTITUTE(SUBSTITUTE("P:"&amp;A1042,"~","~~"),"*","~*"),"?","~?"),Processos!$AS$10:$AS$509,0)))-9),0)</f>
        <v>0</v>
      </c>
      <c r="K1042" s="34" t="str">
        <f t="shared" si="67"/>
        <v/>
      </c>
      <c r="L1042" s="14">
        <f>ROW()</f>
        <v>1042</v>
      </c>
    </row>
    <row r="1043" spans="1:12" ht="60" customHeight="1">
      <c r="A1043" s="41"/>
      <c r="B1043" s="43"/>
      <c r="C1043" s="44"/>
      <c r="D1043" s="51"/>
      <c r="E1043" s="44"/>
      <c r="F1043" s="44"/>
      <c r="G1043" s="34">
        <f t="shared" si="64"/>
        <v>0</v>
      </c>
      <c r="H1043" s="34" t="str">
        <f t="shared" si="65"/>
        <v/>
      </c>
      <c r="I1043" s="52" t="str">
        <f t="shared" si="66"/>
        <v/>
      </c>
      <c r="J1043" s="34">
        <f>IF(AND(A1043&lt;&gt;"",ISTEXT(A1043),COUNTIFS(Processos!$AS$10:$AS$509,"="&amp;SUBSTITUTE(SUBSTITUTE(SUBSTITUTE("P:"&amp;A1043,"~","~~"),"*","~*"),"?","~?"))=1),(IF(ISNA(MATCH(SUBSTITUTE(SUBSTITUTE(SUBSTITUTE("P:"&amp;A1043,"~","~~"),"*","~*"),"?","~?"),Processos!$AS$10:$AS$509,0)),9,INDEX(Processos!$AM$10:$AM$509,MATCH(SUBSTITUTE(SUBSTITUTE(SUBSTITUTE("P:"&amp;A1043,"~","~~"),"*","~*"),"?","~?"),Processos!$AS$10:$AS$509,0)))-9),0)</f>
        <v>0</v>
      </c>
      <c r="K1043" s="34" t="str">
        <f t="shared" si="67"/>
        <v/>
      </c>
      <c r="L1043" s="14">
        <f>ROW()</f>
        <v>1043</v>
      </c>
    </row>
    <row r="1044" spans="1:12" ht="60" customHeight="1">
      <c r="A1044" s="41"/>
      <c r="B1044" s="43"/>
      <c r="C1044" s="44"/>
      <c r="D1044" s="51"/>
      <c r="E1044" s="44"/>
      <c r="F1044" s="44"/>
      <c r="G1044" s="34">
        <f t="shared" si="64"/>
        <v>0</v>
      </c>
      <c r="H1044" s="34" t="str">
        <f t="shared" si="65"/>
        <v/>
      </c>
      <c r="I1044" s="52" t="str">
        <f t="shared" si="66"/>
        <v/>
      </c>
      <c r="J1044" s="34">
        <f>IF(AND(A1044&lt;&gt;"",ISTEXT(A1044),COUNTIFS(Processos!$AS$10:$AS$509,"="&amp;SUBSTITUTE(SUBSTITUTE(SUBSTITUTE("P:"&amp;A1044,"~","~~"),"*","~*"),"?","~?"))=1),(IF(ISNA(MATCH(SUBSTITUTE(SUBSTITUTE(SUBSTITUTE("P:"&amp;A1044,"~","~~"),"*","~*"),"?","~?"),Processos!$AS$10:$AS$509,0)),9,INDEX(Processos!$AM$10:$AM$509,MATCH(SUBSTITUTE(SUBSTITUTE(SUBSTITUTE("P:"&amp;A1044,"~","~~"),"*","~*"),"?","~?"),Processos!$AS$10:$AS$509,0)))-9),0)</f>
        <v>0</v>
      </c>
      <c r="K1044" s="34" t="str">
        <f t="shared" si="67"/>
        <v/>
      </c>
      <c r="L1044" s="14">
        <f>ROW()</f>
        <v>1044</v>
      </c>
    </row>
    <row r="1045" spans="1:12" ht="60" customHeight="1">
      <c r="A1045" s="41"/>
      <c r="B1045" s="43"/>
      <c r="C1045" s="44"/>
      <c r="D1045" s="51"/>
      <c r="E1045" s="44"/>
      <c r="F1045" s="44"/>
      <c r="G1045" s="34">
        <f t="shared" si="64"/>
        <v>0</v>
      </c>
      <c r="H1045" s="34" t="str">
        <f t="shared" si="65"/>
        <v/>
      </c>
      <c r="I1045" s="52" t="str">
        <f t="shared" si="66"/>
        <v/>
      </c>
      <c r="J1045" s="34">
        <f>IF(AND(A1045&lt;&gt;"",ISTEXT(A1045),COUNTIFS(Processos!$AS$10:$AS$509,"="&amp;SUBSTITUTE(SUBSTITUTE(SUBSTITUTE("P:"&amp;A1045,"~","~~"),"*","~*"),"?","~?"))=1),(IF(ISNA(MATCH(SUBSTITUTE(SUBSTITUTE(SUBSTITUTE("P:"&amp;A1045,"~","~~"),"*","~*"),"?","~?"),Processos!$AS$10:$AS$509,0)),9,INDEX(Processos!$AM$10:$AM$509,MATCH(SUBSTITUTE(SUBSTITUTE(SUBSTITUTE("P:"&amp;A1045,"~","~~"),"*","~*"),"?","~?"),Processos!$AS$10:$AS$509,0)))-9),0)</f>
        <v>0</v>
      </c>
      <c r="K1045" s="34" t="str">
        <f t="shared" si="67"/>
        <v/>
      </c>
      <c r="L1045" s="14">
        <f>ROW()</f>
        <v>1045</v>
      </c>
    </row>
    <row r="1046" spans="1:12" ht="60" customHeight="1">
      <c r="A1046" s="41"/>
      <c r="B1046" s="43"/>
      <c r="C1046" s="44"/>
      <c r="D1046" s="51"/>
      <c r="E1046" s="44"/>
      <c r="F1046" s="44"/>
      <c r="G1046" s="34">
        <f t="shared" si="64"/>
        <v>0</v>
      </c>
      <c r="H1046" s="34" t="str">
        <f t="shared" si="65"/>
        <v/>
      </c>
      <c r="I1046" s="52" t="str">
        <f t="shared" si="66"/>
        <v/>
      </c>
      <c r="J1046" s="34">
        <f>IF(AND(A1046&lt;&gt;"",ISTEXT(A1046),COUNTIFS(Processos!$AS$10:$AS$509,"="&amp;SUBSTITUTE(SUBSTITUTE(SUBSTITUTE("P:"&amp;A1046,"~","~~"),"*","~*"),"?","~?"))=1),(IF(ISNA(MATCH(SUBSTITUTE(SUBSTITUTE(SUBSTITUTE("P:"&amp;A1046,"~","~~"),"*","~*"),"?","~?"),Processos!$AS$10:$AS$509,0)),9,INDEX(Processos!$AM$10:$AM$509,MATCH(SUBSTITUTE(SUBSTITUTE(SUBSTITUTE("P:"&amp;A1046,"~","~~"),"*","~*"),"?","~?"),Processos!$AS$10:$AS$509,0)))-9),0)</f>
        <v>0</v>
      </c>
      <c r="K1046" s="34" t="str">
        <f t="shared" si="67"/>
        <v/>
      </c>
      <c r="L1046" s="14">
        <f>ROW()</f>
        <v>1046</v>
      </c>
    </row>
    <row r="1047" spans="1:12" ht="60" customHeight="1">
      <c r="A1047" s="41"/>
      <c r="B1047" s="43"/>
      <c r="C1047" s="44"/>
      <c r="D1047" s="51"/>
      <c r="E1047" s="44"/>
      <c r="F1047" s="44"/>
      <c r="G1047" s="34">
        <f t="shared" si="64"/>
        <v>0</v>
      </c>
      <c r="H1047" s="34" t="str">
        <f t="shared" si="65"/>
        <v/>
      </c>
      <c r="I1047" s="52" t="str">
        <f t="shared" si="66"/>
        <v/>
      </c>
      <c r="J1047" s="34">
        <f>IF(AND(A1047&lt;&gt;"",ISTEXT(A1047),COUNTIFS(Processos!$AS$10:$AS$509,"="&amp;SUBSTITUTE(SUBSTITUTE(SUBSTITUTE("P:"&amp;A1047,"~","~~"),"*","~*"),"?","~?"))=1),(IF(ISNA(MATCH(SUBSTITUTE(SUBSTITUTE(SUBSTITUTE("P:"&amp;A1047,"~","~~"),"*","~*"),"?","~?"),Processos!$AS$10:$AS$509,0)),9,INDEX(Processos!$AM$10:$AM$509,MATCH(SUBSTITUTE(SUBSTITUTE(SUBSTITUTE("P:"&amp;A1047,"~","~~"),"*","~*"),"?","~?"),Processos!$AS$10:$AS$509,0)))-9),0)</f>
        <v>0</v>
      </c>
      <c r="K1047" s="34" t="str">
        <f t="shared" si="67"/>
        <v/>
      </c>
      <c r="L1047" s="14">
        <f>ROW()</f>
        <v>1047</v>
      </c>
    </row>
    <row r="1048" spans="1:12" ht="60" customHeight="1">
      <c r="A1048" s="41"/>
      <c r="B1048" s="43"/>
      <c r="C1048" s="44"/>
      <c r="D1048" s="51"/>
      <c r="E1048" s="44"/>
      <c r="F1048" s="44"/>
      <c r="G1048" s="34">
        <f t="shared" si="64"/>
        <v>0</v>
      </c>
      <c r="H1048" s="34" t="str">
        <f t="shared" si="65"/>
        <v/>
      </c>
      <c r="I1048" s="52" t="str">
        <f t="shared" si="66"/>
        <v/>
      </c>
      <c r="J1048" s="34">
        <f>IF(AND(A1048&lt;&gt;"",ISTEXT(A1048),COUNTIFS(Processos!$AS$10:$AS$509,"="&amp;SUBSTITUTE(SUBSTITUTE(SUBSTITUTE("P:"&amp;A1048,"~","~~"),"*","~*"),"?","~?"))=1),(IF(ISNA(MATCH(SUBSTITUTE(SUBSTITUTE(SUBSTITUTE("P:"&amp;A1048,"~","~~"),"*","~*"),"?","~?"),Processos!$AS$10:$AS$509,0)),9,INDEX(Processos!$AM$10:$AM$509,MATCH(SUBSTITUTE(SUBSTITUTE(SUBSTITUTE("P:"&amp;A1048,"~","~~"),"*","~*"),"?","~?"),Processos!$AS$10:$AS$509,0)))-9),0)</f>
        <v>0</v>
      </c>
      <c r="K1048" s="34" t="str">
        <f t="shared" si="67"/>
        <v/>
      </c>
      <c r="L1048" s="14">
        <f>ROW()</f>
        <v>1048</v>
      </c>
    </row>
    <row r="1049" spans="1:12" ht="60" customHeight="1">
      <c r="A1049" s="41"/>
      <c r="B1049" s="43"/>
      <c r="C1049" s="44"/>
      <c r="D1049" s="51"/>
      <c r="E1049" s="44"/>
      <c r="F1049" s="44"/>
      <c r="G1049" s="34">
        <f t="shared" si="64"/>
        <v>0</v>
      </c>
      <c r="H1049" s="34" t="str">
        <f t="shared" si="65"/>
        <v/>
      </c>
      <c r="I1049" s="52" t="str">
        <f t="shared" si="66"/>
        <v/>
      </c>
      <c r="J1049" s="34">
        <f>IF(AND(A1049&lt;&gt;"",ISTEXT(A1049),COUNTIFS(Processos!$AS$10:$AS$509,"="&amp;SUBSTITUTE(SUBSTITUTE(SUBSTITUTE("P:"&amp;A1049,"~","~~"),"*","~*"),"?","~?"))=1),(IF(ISNA(MATCH(SUBSTITUTE(SUBSTITUTE(SUBSTITUTE("P:"&amp;A1049,"~","~~"),"*","~*"),"?","~?"),Processos!$AS$10:$AS$509,0)),9,INDEX(Processos!$AM$10:$AM$509,MATCH(SUBSTITUTE(SUBSTITUTE(SUBSTITUTE("P:"&amp;A1049,"~","~~"),"*","~*"),"?","~?"),Processos!$AS$10:$AS$509,0)))-9),0)</f>
        <v>0</v>
      </c>
      <c r="K1049" s="34" t="str">
        <f t="shared" si="67"/>
        <v/>
      </c>
      <c r="L1049" s="14">
        <f>ROW()</f>
        <v>1049</v>
      </c>
    </row>
    <row r="1050" spans="1:12" ht="60" customHeight="1">
      <c r="A1050" s="41"/>
      <c r="B1050" s="43"/>
      <c r="C1050" s="44"/>
      <c r="D1050" s="51"/>
      <c r="E1050" s="44"/>
      <c r="F1050" s="44"/>
      <c r="G1050" s="34">
        <f t="shared" si="64"/>
        <v>0</v>
      </c>
      <c r="H1050" s="34" t="str">
        <f t="shared" si="65"/>
        <v/>
      </c>
      <c r="I1050" s="52" t="str">
        <f t="shared" si="66"/>
        <v/>
      </c>
      <c r="J1050" s="34">
        <f>IF(AND(A1050&lt;&gt;"",ISTEXT(A1050),COUNTIFS(Processos!$AS$10:$AS$509,"="&amp;SUBSTITUTE(SUBSTITUTE(SUBSTITUTE("P:"&amp;A1050,"~","~~"),"*","~*"),"?","~?"))=1),(IF(ISNA(MATCH(SUBSTITUTE(SUBSTITUTE(SUBSTITUTE("P:"&amp;A1050,"~","~~"),"*","~*"),"?","~?"),Processos!$AS$10:$AS$509,0)),9,INDEX(Processos!$AM$10:$AM$509,MATCH(SUBSTITUTE(SUBSTITUTE(SUBSTITUTE("P:"&amp;A1050,"~","~~"),"*","~*"),"?","~?"),Processos!$AS$10:$AS$509,0)))-9),0)</f>
        <v>0</v>
      </c>
      <c r="K1050" s="34" t="str">
        <f t="shared" si="67"/>
        <v/>
      </c>
      <c r="L1050" s="14">
        <f>ROW()</f>
        <v>1050</v>
      </c>
    </row>
    <row r="1051" spans="1:12" ht="60" customHeight="1">
      <c r="A1051" s="41"/>
      <c r="B1051" s="43"/>
      <c r="C1051" s="44"/>
      <c r="D1051" s="51"/>
      <c r="E1051" s="44"/>
      <c r="F1051" s="44"/>
      <c r="G1051" s="34">
        <f t="shared" si="64"/>
        <v>0</v>
      </c>
      <c r="H1051" s="34" t="str">
        <f t="shared" si="65"/>
        <v/>
      </c>
      <c r="I1051" s="52" t="str">
        <f t="shared" si="66"/>
        <v/>
      </c>
      <c r="J1051" s="34">
        <f>IF(AND(A1051&lt;&gt;"",ISTEXT(A1051),COUNTIFS(Processos!$AS$10:$AS$509,"="&amp;SUBSTITUTE(SUBSTITUTE(SUBSTITUTE("P:"&amp;A1051,"~","~~"),"*","~*"),"?","~?"))=1),(IF(ISNA(MATCH(SUBSTITUTE(SUBSTITUTE(SUBSTITUTE("P:"&amp;A1051,"~","~~"),"*","~*"),"?","~?"),Processos!$AS$10:$AS$509,0)),9,INDEX(Processos!$AM$10:$AM$509,MATCH(SUBSTITUTE(SUBSTITUTE(SUBSTITUTE("P:"&amp;A1051,"~","~~"),"*","~*"),"?","~?"),Processos!$AS$10:$AS$509,0)))-9),0)</f>
        <v>0</v>
      </c>
      <c r="K1051" s="34" t="str">
        <f t="shared" si="67"/>
        <v/>
      </c>
      <c r="L1051" s="14">
        <f>ROW()</f>
        <v>1051</v>
      </c>
    </row>
    <row r="1052" spans="1:12" ht="60" customHeight="1">
      <c r="A1052" s="41"/>
      <c r="B1052" s="43"/>
      <c r="C1052" s="44"/>
      <c r="D1052" s="51"/>
      <c r="E1052" s="44"/>
      <c r="F1052" s="44"/>
      <c r="G1052" s="34">
        <f t="shared" si="64"/>
        <v>0</v>
      </c>
      <c r="H1052" s="34" t="str">
        <f t="shared" si="65"/>
        <v/>
      </c>
      <c r="I1052" s="52" t="str">
        <f t="shared" si="66"/>
        <v/>
      </c>
      <c r="J1052" s="34">
        <f>IF(AND(A1052&lt;&gt;"",ISTEXT(A1052),COUNTIFS(Processos!$AS$10:$AS$509,"="&amp;SUBSTITUTE(SUBSTITUTE(SUBSTITUTE("P:"&amp;A1052,"~","~~"),"*","~*"),"?","~?"))=1),(IF(ISNA(MATCH(SUBSTITUTE(SUBSTITUTE(SUBSTITUTE("P:"&amp;A1052,"~","~~"),"*","~*"),"?","~?"),Processos!$AS$10:$AS$509,0)),9,INDEX(Processos!$AM$10:$AM$509,MATCH(SUBSTITUTE(SUBSTITUTE(SUBSTITUTE("P:"&amp;A1052,"~","~~"),"*","~*"),"?","~?"),Processos!$AS$10:$AS$509,0)))-9),0)</f>
        <v>0</v>
      </c>
      <c r="K1052" s="34" t="str">
        <f t="shared" si="67"/>
        <v/>
      </c>
      <c r="L1052" s="14">
        <f>ROW()</f>
        <v>1052</v>
      </c>
    </row>
    <row r="1053" spans="1:12" ht="60" customHeight="1">
      <c r="A1053" s="41"/>
      <c r="B1053" s="43"/>
      <c r="C1053" s="44"/>
      <c r="D1053" s="51"/>
      <c r="E1053" s="44"/>
      <c r="F1053" s="44"/>
      <c r="G1053" s="34">
        <f t="shared" si="64"/>
        <v>0</v>
      </c>
      <c r="H1053" s="34" t="str">
        <f t="shared" si="65"/>
        <v/>
      </c>
      <c r="I1053" s="52" t="str">
        <f t="shared" si="66"/>
        <v/>
      </c>
      <c r="J1053" s="34">
        <f>IF(AND(A1053&lt;&gt;"",ISTEXT(A1053),COUNTIFS(Processos!$AS$10:$AS$509,"="&amp;SUBSTITUTE(SUBSTITUTE(SUBSTITUTE("P:"&amp;A1053,"~","~~"),"*","~*"),"?","~?"))=1),(IF(ISNA(MATCH(SUBSTITUTE(SUBSTITUTE(SUBSTITUTE("P:"&amp;A1053,"~","~~"),"*","~*"),"?","~?"),Processos!$AS$10:$AS$509,0)),9,INDEX(Processos!$AM$10:$AM$509,MATCH(SUBSTITUTE(SUBSTITUTE(SUBSTITUTE("P:"&amp;A1053,"~","~~"),"*","~*"),"?","~?"),Processos!$AS$10:$AS$509,0)))-9),0)</f>
        <v>0</v>
      </c>
      <c r="K1053" s="34" t="str">
        <f t="shared" si="67"/>
        <v/>
      </c>
      <c r="L1053" s="14">
        <f>ROW()</f>
        <v>1053</v>
      </c>
    </row>
    <row r="1054" spans="1:12" ht="60" customHeight="1">
      <c r="A1054" s="41"/>
      <c r="B1054" s="43"/>
      <c r="C1054" s="44"/>
      <c r="D1054" s="51"/>
      <c r="E1054" s="44"/>
      <c r="F1054" s="44"/>
      <c r="G1054" s="34">
        <f t="shared" si="64"/>
        <v>0</v>
      </c>
      <c r="H1054" s="34" t="str">
        <f t="shared" si="65"/>
        <v/>
      </c>
      <c r="I1054" s="52" t="str">
        <f t="shared" si="66"/>
        <v/>
      </c>
      <c r="J1054" s="34">
        <f>IF(AND(A1054&lt;&gt;"",ISTEXT(A1054),COUNTIFS(Processos!$AS$10:$AS$509,"="&amp;SUBSTITUTE(SUBSTITUTE(SUBSTITUTE("P:"&amp;A1054,"~","~~"),"*","~*"),"?","~?"))=1),(IF(ISNA(MATCH(SUBSTITUTE(SUBSTITUTE(SUBSTITUTE("P:"&amp;A1054,"~","~~"),"*","~*"),"?","~?"),Processos!$AS$10:$AS$509,0)),9,INDEX(Processos!$AM$10:$AM$509,MATCH(SUBSTITUTE(SUBSTITUTE(SUBSTITUTE("P:"&amp;A1054,"~","~~"),"*","~*"),"?","~?"),Processos!$AS$10:$AS$509,0)))-9),0)</f>
        <v>0</v>
      </c>
      <c r="K1054" s="34" t="str">
        <f t="shared" si="67"/>
        <v/>
      </c>
      <c r="L1054" s="14">
        <f>ROW()</f>
        <v>1054</v>
      </c>
    </row>
    <row r="1055" spans="1:12" ht="60" customHeight="1">
      <c r="A1055" s="41"/>
      <c r="B1055" s="43"/>
      <c r="C1055" s="44"/>
      <c r="D1055" s="51"/>
      <c r="E1055" s="44"/>
      <c r="F1055" s="44"/>
      <c r="G1055" s="34">
        <f t="shared" si="64"/>
        <v>0</v>
      </c>
      <c r="H1055" s="34" t="str">
        <f t="shared" si="65"/>
        <v/>
      </c>
      <c r="I1055" s="52" t="str">
        <f t="shared" si="66"/>
        <v/>
      </c>
      <c r="J1055" s="34">
        <f>IF(AND(A1055&lt;&gt;"",ISTEXT(A1055),COUNTIFS(Processos!$AS$10:$AS$509,"="&amp;SUBSTITUTE(SUBSTITUTE(SUBSTITUTE("P:"&amp;A1055,"~","~~"),"*","~*"),"?","~?"))=1),(IF(ISNA(MATCH(SUBSTITUTE(SUBSTITUTE(SUBSTITUTE("P:"&amp;A1055,"~","~~"),"*","~*"),"?","~?"),Processos!$AS$10:$AS$509,0)),9,INDEX(Processos!$AM$10:$AM$509,MATCH(SUBSTITUTE(SUBSTITUTE(SUBSTITUTE("P:"&amp;A1055,"~","~~"),"*","~*"),"?","~?"),Processos!$AS$10:$AS$509,0)))-9),0)</f>
        <v>0</v>
      </c>
      <c r="K1055" s="34" t="str">
        <f t="shared" si="67"/>
        <v/>
      </c>
      <c r="L1055" s="14">
        <f>ROW()</f>
        <v>1055</v>
      </c>
    </row>
    <row r="1056" spans="1:12" ht="60" customHeight="1">
      <c r="A1056" s="41"/>
      <c r="B1056" s="43"/>
      <c r="C1056" s="44"/>
      <c r="D1056" s="51"/>
      <c r="E1056" s="44"/>
      <c r="F1056" s="44"/>
      <c r="G1056" s="34">
        <f t="shared" si="64"/>
        <v>0</v>
      </c>
      <c r="H1056" s="34" t="str">
        <f t="shared" si="65"/>
        <v/>
      </c>
      <c r="I1056" s="52" t="str">
        <f t="shared" si="66"/>
        <v/>
      </c>
      <c r="J1056" s="34">
        <f>IF(AND(A1056&lt;&gt;"",ISTEXT(A1056),COUNTIFS(Processos!$AS$10:$AS$509,"="&amp;SUBSTITUTE(SUBSTITUTE(SUBSTITUTE("P:"&amp;A1056,"~","~~"),"*","~*"),"?","~?"))=1),(IF(ISNA(MATCH(SUBSTITUTE(SUBSTITUTE(SUBSTITUTE("P:"&amp;A1056,"~","~~"),"*","~*"),"?","~?"),Processos!$AS$10:$AS$509,0)),9,INDEX(Processos!$AM$10:$AM$509,MATCH(SUBSTITUTE(SUBSTITUTE(SUBSTITUTE("P:"&amp;A1056,"~","~~"),"*","~*"),"?","~?"),Processos!$AS$10:$AS$509,0)))-9),0)</f>
        <v>0</v>
      </c>
      <c r="K1056" s="34" t="str">
        <f t="shared" si="67"/>
        <v/>
      </c>
      <c r="L1056" s="14">
        <f>ROW()</f>
        <v>1056</v>
      </c>
    </row>
    <row r="1057" spans="1:12" ht="60" customHeight="1">
      <c r="A1057" s="41"/>
      <c r="B1057" s="43"/>
      <c r="C1057" s="44"/>
      <c r="D1057" s="51"/>
      <c r="E1057" s="44"/>
      <c r="F1057" s="44"/>
      <c r="G1057" s="34">
        <f t="shared" si="64"/>
        <v>0</v>
      </c>
      <c r="H1057" s="34" t="str">
        <f t="shared" si="65"/>
        <v/>
      </c>
      <c r="I1057" s="52" t="str">
        <f t="shared" si="66"/>
        <v/>
      </c>
      <c r="J1057" s="34">
        <f>IF(AND(A1057&lt;&gt;"",ISTEXT(A1057),COUNTIFS(Processos!$AS$10:$AS$509,"="&amp;SUBSTITUTE(SUBSTITUTE(SUBSTITUTE("P:"&amp;A1057,"~","~~"),"*","~*"),"?","~?"))=1),(IF(ISNA(MATCH(SUBSTITUTE(SUBSTITUTE(SUBSTITUTE("P:"&amp;A1057,"~","~~"),"*","~*"),"?","~?"),Processos!$AS$10:$AS$509,0)),9,INDEX(Processos!$AM$10:$AM$509,MATCH(SUBSTITUTE(SUBSTITUTE(SUBSTITUTE("P:"&amp;A1057,"~","~~"),"*","~*"),"?","~?"),Processos!$AS$10:$AS$509,0)))-9),0)</f>
        <v>0</v>
      </c>
      <c r="K1057" s="34" t="str">
        <f t="shared" si="67"/>
        <v/>
      </c>
      <c r="L1057" s="14">
        <f>ROW()</f>
        <v>1057</v>
      </c>
    </row>
    <row r="1058" spans="1:12" ht="60" customHeight="1">
      <c r="A1058" s="41"/>
      <c r="B1058" s="43"/>
      <c r="C1058" s="44"/>
      <c r="D1058" s="51"/>
      <c r="E1058" s="44"/>
      <c r="F1058" s="44"/>
      <c r="G1058" s="34">
        <f t="shared" si="64"/>
        <v>0</v>
      </c>
      <c r="H1058" s="34" t="str">
        <f t="shared" si="65"/>
        <v/>
      </c>
      <c r="I1058" s="52" t="str">
        <f t="shared" si="66"/>
        <v/>
      </c>
      <c r="J1058" s="34">
        <f>IF(AND(A1058&lt;&gt;"",ISTEXT(A1058),COUNTIFS(Processos!$AS$10:$AS$509,"="&amp;SUBSTITUTE(SUBSTITUTE(SUBSTITUTE("P:"&amp;A1058,"~","~~"),"*","~*"),"?","~?"))=1),(IF(ISNA(MATCH(SUBSTITUTE(SUBSTITUTE(SUBSTITUTE("P:"&amp;A1058,"~","~~"),"*","~*"),"?","~?"),Processos!$AS$10:$AS$509,0)),9,INDEX(Processos!$AM$10:$AM$509,MATCH(SUBSTITUTE(SUBSTITUTE(SUBSTITUTE("P:"&amp;A1058,"~","~~"),"*","~*"),"?","~?"),Processos!$AS$10:$AS$509,0)))-9),0)</f>
        <v>0</v>
      </c>
      <c r="K1058" s="34" t="str">
        <f t="shared" si="67"/>
        <v/>
      </c>
      <c r="L1058" s="14">
        <f>ROW()</f>
        <v>1058</v>
      </c>
    </row>
    <row r="1059" spans="1:12" ht="60" customHeight="1">
      <c r="A1059" s="41"/>
      <c r="B1059" s="43"/>
      <c r="C1059" s="44"/>
      <c r="D1059" s="51"/>
      <c r="E1059" s="44"/>
      <c r="F1059" s="44"/>
      <c r="G1059" s="34">
        <f t="shared" si="64"/>
        <v>0</v>
      </c>
      <c r="H1059" s="34" t="str">
        <f t="shared" si="65"/>
        <v/>
      </c>
      <c r="I1059" s="52" t="str">
        <f t="shared" si="66"/>
        <v/>
      </c>
      <c r="J1059" s="34">
        <f>IF(AND(A1059&lt;&gt;"",ISTEXT(A1059),COUNTIFS(Processos!$AS$10:$AS$509,"="&amp;SUBSTITUTE(SUBSTITUTE(SUBSTITUTE("P:"&amp;A1059,"~","~~"),"*","~*"),"?","~?"))=1),(IF(ISNA(MATCH(SUBSTITUTE(SUBSTITUTE(SUBSTITUTE("P:"&amp;A1059,"~","~~"),"*","~*"),"?","~?"),Processos!$AS$10:$AS$509,0)),9,INDEX(Processos!$AM$10:$AM$509,MATCH(SUBSTITUTE(SUBSTITUTE(SUBSTITUTE("P:"&amp;A1059,"~","~~"),"*","~*"),"?","~?"),Processos!$AS$10:$AS$509,0)))-9),0)</f>
        <v>0</v>
      </c>
      <c r="K1059" s="34" t="str">
        <f t="shared" si="67"/>
        <v/>
      </c>
      <c r="L1059" s="14">
        <f>ROW()</f>
        <v>1059</v>
      </c>
    </row>
    <row r="1060" spans="1:12" ht="60" customHeight="1">
      <c r="A1060" s="41"/>
      <c r="B1060" s="43"/>
      <c r="C1060" s="44"/>
      <c r="D1060" s="51"/>
      <c r="E1060" s="44"/>
      <c r="F1060" s="44"/>
      <c r="G1060" s="34">
        <f t="shared" si="64"/>
        <v>0</v>
      </c>
      <c r="H1060" s="34" t="str">
        <f t="shared" si="65"/>
        <v/>
      </c>
      <c r="I1060" s="52" t="str">
        <f t="shared" si="66"/>
        <v/>
      </c>
      <c r="J1060" s="34">
        <f>IF(AND(A1060&lt;&gt;"",ISTEXT(A1060),COUNTIFS(Processos!$AS$10:$AS$509,"="&amp;SUBSTITUTE(SUBSTITUTE(SUBSTITUTE("P:"&amp;A1060,"~","~~"),"*","~*"),"?","~?"))=1),(IF(ISNA(MATCH(SUBSTITUTE(SUBSTITUTE(SUBSTITUTE("P:"&amp;A1060,"~","~~"),"*","~*"),"?","~?"),Processos!$AS$10:$AS$509,0)),9,INDEX(Processos!$AM$10:$AM$509,MATCH(SUBSTITUTE(SUBSTITUTE(SUBSTITUTE("P:"&amp;A1060,"~","~~"),"*","~*"),"?","~?"),Processos!$AS$10:$AS$509,0)))-9),0)</f>
        <v>0</v>
      </c>
      <c r="K1060" s="34" t="str">
        <f t="shared" si="67"/>
        <v/>
      </c>
      <c r="L1060" s="14">
        <f>ROW()</f>
        <v>1060</v>
      </c>
    </row>
    <row r="1061" spans="1:12" ht="60" customHeight="1">
      <c r="A1061" s="41"/>
      <c r="B1061" s="43"/>
      <c r="C1061" s="44"/>
      <c r="D1061" s="51"/>
      <c r="E1061" s="44"/>
      <c r="F1061" s="44"/>
      <c r="G1061" s="34">
        <f t="shared" si="64"/>
        <v>0</v>
      </c>
      <c r="H1061" s="34" t="str">
        <f t="shared" si="65"/>
        <v/>
      </c>
      <c r="I1061" s="52" t="str">
        <f t="shared" si="66"/>
        <v/>
      </c>
      <c r="J1061" s="34">
        <f>IF(AND(A1061&lt;&gt;"",ISTEXT(A1061),COUNTIFS(Processos!$AS$10:$AS$509,"="&amp;SUBSTITUTE(SUBSTITUTE(SUBSTITUTE("P:"&amp;A1061,"~","~~"),"*","~*"),"?","~?"))=1),(IF(ISNA(MATCH(SUBSTITUTE(SUBSTITUTE(SUBSTITUTE("P:"&amp;A1061,"~","~~"),"*","~*"),"?","~?"),Processos!$AS$10:$AS$509,0)),9,INDEX(Processos!$AM$10:$AM$509,MATCH(SUBSTITUTE(SUBSTITUTE(SUBSTITUTE("P:"&amp;A1061,"~","~~"),"*","~*"),"?","~?"),Processos!$AS$10:$AS$509,0)))-9),0)</f>
        <v>0</v>
      </c>
      <c r="K1061" s="34" t="str">
        <f t="shared" si="67"/>
        <v/>
      </c>
      <c r="L1061" s="14">
        <f>ROW()</f>
        <v>1061</v>
      </c>
    </row>
    <row r="1062" spans="1:12" ht="60" customHeight="1">
      <c r="A1062" s="41"/>
      <c r="B1062" s="43"/>
      <c r="C1062" s="44"/>
      <c r="D1062" s="51"/>
      <c r="E1062" s="44"/>
      <c r="F1062" s="44"/>
      <c r="G1062" s="34">
        <f t="shared" si="64"/>
        <v>0</v>
      </c>
      <c r="H1062" s="34" t="str">
        <f t="shared" si="65"/>
        <v/>
      </c>
      <c r="I1062" s="52" t="str">
        <f t="shared" si="66"/>
        <v/>
      </c>
      <c r="J1062" s="34">
        <f>IF(AND(A1062&lt;&gt;"",ISTEXT(A1062),COUNTIFS(Processos!$AS$10:$AS$509,"="&amp;SUBSTITUTE(SUBSTITUTE(SUBSTITUTE("P:"&amp;A1062,"~","~~"),"*","~*"),"?","~?"))=1),(IF(ISNA(MATCH(SUBSTITUTE(SUBSTITUTE(SUBSTITUTE("P:"&amp;A1062,"~","~~"),"*","~*"),"?","~?"),Processos!$AS$10:$AS$509,0)),9,INDEX(Processos!$AM$10:$AM$509,MATCH(SUBSTITUTE(SUBSTITUTE(SUBSTITUTE("P:"&amp;A1062,"~","~~"),"*","~*"),"?","~?"),Processos!$AS$10:$AS$509,0)))-9),0)</f>
        <v>0</v>
      </c>
      <c r="K1062" s="34" t="str">
        <f t="shared" si="67"/>
        <v/>
      </c>
      <c r="L1062" s="14">
        <f>ROW()</f>
        <v>1062</v>
      </c>
    </row>
    <row r="1063" spans="1:12" ht="60" customHeight="1">
      <c r="A1063" s="41"/>
      <c r="B1063" s="43"/>
      <c r="C1063" s="44"/>
      <c r="D1063" s="51"/>
      <c r="E1063" s="44"/>
      <c r="F1063" s="44"/>
      <c r="G1063" s="34">
        <f t="shared" si="64"/>
        <v>0</v>
      </c>
      <c r="H1063" s="34" t="str">
        <f t="shared" si="65"/>
        <v/>
      </c>
      <c r="I1063" s="52" t="str">
        <f t="shared" si="66"/>
        <v/>
      </c>
      <c r="J1063" s="34">
        <f>IF(AND(A1063&lt;&gt;"",ISTEXT(A1063),COUNTIFS(Processos!$AS$10:$AS$509,"="&amp;SUBSTITUTE(SUBSTITUTE(SUBSTITUTE("P:"&amp;A1063,"~","~~"),"*","~*"),"?","~?"))=1),(IF(ISNA(MATCH(SUBSTITUTE(SUBSTITUTE(SUBSTITUTE("P:"&amp;A1063,"~","~~"),"*","~*"),"?","~?"),Processos!$AS$10:$AS$509,0)),9,INDEX(Processos!$AM$10:$AM$509,MATCH(SUBSTITUTE(SUBSTITUTE(SUBSTITUTE("P:"&amp;A1063,"~","~~"),"*","~*"),"?","~?"),Processos!$AS$10:$AS$509,0)))-9),0)</f>
        <v>0</v>
      </c>
      <c r="K1063" s="34" t="str">
        <f t="shared" si="67"/>
        <v/>
      </c>
      <c r="L1063" s="14">
        <f>ROW()</f>
        <v>1063</v>
      </c>
    </row>
    <row r="1064" spans="1:12" ht="60" customHeight="1">
      <c r="A1064" s="41"/>
      <c r="B1064" s="43"/>
      <c r="C1064" s="44"/>
      <c r="D1064" s="51"/>
      <c r="E1064" s="44"/>
      <c r="F1064" s="44"/>
      <c r="G1064" s="34">
        <f t="shared" si="64"/>
        <v>0</v>
      </c>
      <c r="H1064" s="34" t="str">
        <f t="shared" si="65"/>
        <v/>
      </c>
      <c r="I1064" s="52" t="str">
        <f t="shared" si="66"/>
        <v/>
      </c>
      <c r="J1064" s="34">
        <f>IF(AND(A1064&lt;&gt;"",ISTEXT(A1064),COUNTIFS(Processos!$AS$10:$AS$509,"="&amp;SUBSTITUTE(SUBSTITUTE(SUBSTITUTE("P:"&amp;A1064,"~","~~"),"*","~*"),"?","~?"))=1),(IF(ISNA(MATCH(SUBSTITUTE(SUBSTITUTE(SUBSTITUTE("P:"&amp;A1064,"~","~~"),"*","~*"),"?","~?"),Processos!$AS$10:$AS$509,0)),9,INDEX(Processos!$AM$10:$AM$509,MATCH(SUBSTITUTE(SUBSTITUTE(SUBSTITUTE("P:"&amp;A1064,"~","~~"),"*","~*"),"?","~?"),Processos!$AS$10:$AS$509,0)))-9),0)</f>
        <v>0</v>
      </c>
      <c r="K1064" s="34" t="str">
        <f t="shared" si="67"/>
        <v/>
      </c>
      <c r="L1064" s="14">
        <f>ROW()</f>
        <v>1064</v>
      </c>
    </row>
    <row r="1065" spans="1:12" ht="60" customHeight="1">
      <c r="A1065" s="41"/>
      <c r="B1065" s="43"/>
      <c r="C1065" s="44"/>
      <c r="D1065" s="51"/>
      <c r="E1065" s="44"/>
      <c r="F1065" s="44"/>
      <c r="G1065" s="34">
        <f t="shared" si="64"/>
        <v>0</v>
      </c>
      <c r="H1065" s="34" t="str">
        <f t="shared" si="65"/>
        <v/>
      </c>
      <c r="I1065" s="52" t="str">
        <f t="shared" si="66"/>
        <v/>
      </c>
      <c r="J1065" s="34">
        <f>IF(AND(A1065&lt;&gt;"",ISTEXT(A1065),COUNTIFS(Processos!$AS$10:$AS$509,"="&amp;SUBSTITUTE(SUBSTITUTE(SUBSTITUTE("P:"&amp;A1065,"~","~~"),"*","~*"),"?","~?"))=1),(IF(ISNA(MATCH(SUBSTITUTE(SUBSTITUTE(SUBSTITUTE("P:"&amp;A1065,"~","~~"),"*","~*"),"?","~?"),Processos!$AS$10:$AS$509,0)),9,INDEX(Processos!$AM$10:$AM$509,MATCH(SUBSTITUTE(SUBSTITUTE(SUBSTITUTE("P:"&amp;A1065,"~","~~"),"*","~*"),"?","~?"),Processos!$AS$10:$AS$509,0)))-9),0)</f>
        <v>0</v>
      </c>
      <c r="K1065" s="34" t="str">
        <f t="shared" si="67"/>
        <v/>
      </c>
      <c r="L1065" s="14">
        <f>ROW()</f>
        <v>1065</v>
      </c>
    </row>
    <row r="1066" spans="1:12" ht="60" customHeight="1">
      <c r="A1066" s="41"/>
      <c r="B1066" s="43"/>
      <c r="C1066" s="44"/>
      <c r="D1066" s="51"/>
      <c r="E1066" s="44"/>
      <c r="F1066" s="44"/>
      <c r="G1066" s="34">
        <f t="shared" si="64"/>
        <v>0</v>
      </c>
      <c r="H1066" s="34" t="str">
        <f t="shared" si="65"/>
        <v/>
      </c>
      <c r="I1066" s="52" t="str">
        <f t="shared" si="66"/>
        <v/>
      </c>
      <c r="J1066" s="34">
        <f>IF(AND(A1066&lt;&gt;"",ISTEXT(A1066),COUNTIFS(Processos!$AS$10:$AS$509,"="&amp;SUBSTITUTE(SUBSTITUTE(SUBSTITUTE("P:"&amp;A1066,"~","~~"),"*","~*"),"?","~?"))=1),(IF(ISNA(MATCH(SUBSTITUTE(SUBSTITUTE(SUBSTITUTE("P:"&amp;A1066,"~","~~"),"*","~*"),"?","~?"),Processos!$AS$10:$AS$509,0)),9,INDEX(Processos!$AM$10:$AM$509,MATCH(SUBSTITUTE(SUBSTITUTE(SUBSTITUTE("P:"&amp;A1066,"~","~~"),"*","~*"),"?","~?"),Processos!$AS$10:$AS$509,0)))-9),0)</f>
        <v>0</v>
      </c>
      <c r="K1066" s="34" t="str">
        <f t="shared" si="67"/>
        <v/>
      </c>
      <c r="L1066" s="14">
        <f>ROW()</f>
        <v>1066</v>
      </c>
    </row>
    <row r="1067" spans="1:12" ht="60" customHeight="1">
      <c r="A1067" s="41"/>
      <c r="B1067" s="43"/>
      <c r="C1067" s="44"/>
      <c r="D1067" s="51"/>
      <c r="E1067" s="44"/>
      <c r="F1067" s="44"/>
      <c r="G1067" s="34">
        <f t="shared" si="64"/>
        <v>0</v>
      </c>
      <c r="H1067" s="34" t="str">
        <f t="shared" si="65"/>
        <v/>
      </c>
      <c r="I1067" s="52" t="str">
        <f t="shared" si="66"/>
        <v/>
      </c>
      <c r="J1067" s="34">
        <f>IF(AND(A1067&lt;&gt;"",ISTEXT(A1067),COUNTIFS(Processos!$AS$10:$AS$509,"="&amp;SUBSTITUTE(SUBSTITUTE(SUBSTITUTE("P:"&amp;A1067,"~","~~"),"*","~*"),"?","~?"))=1),(IF(ISNA(MATCH(SUBSTITUTE(SUBSTITUTE(SUBSTITUTE("P:"&amp;A1067,"~","~~"),"*","~*"),"?","~?"),Processos!$AS$10:$AS$509,0)),9,INDEX(Processos!$AM$10:$AM$509,MATCH(SUBSTITUTE(SUBSTITUTE(SUBSTITUTE("P:"&amp;A1067,"~","~~"),"*","~*"),"?","~?"),Processos!$AS$10:$AS$509,0)))-9),0)</f>
        <v>0</v>
      </c>
      <c r="K1067" s="34" t="str">
        <f t="shared" si="67"/>
        <v/>
      </c>
      <c r="L1067" s="14">
        <f>ROW()</f>
        <v>1067</v>
      </c>
    </row>
    <row r="1068" spans="1:12" ht="60" customHeight="1">
      <c r="A1068" s="41"/>
      <c r="B1068" s="43"/>
      <c r="C1068" s="44"/>
      <c r="D1068" s="51"/>
      <c r="E1068" s="44"/>
      <c r="F1068" s="44"/>
      <c r="G1068" s="34">
        <f t="shared" si="64"/>
        <v>0</v>
      </c>
      <c r="H1068" s="34" t="str">
        <f t="shared" si="65"/>
        <v/>
      </c>
      <c r="I1068" s="52" t="str">
        <f t="shared" si="66"/>
        <v/>
      </c>
      <c r="J1068" s="34">
        <f>IF(AND(A1068&lt;&gt;"",ISTEXT(A1068),COUNTIFS(Processos!$AS$10:$AS$509,"="&amp;SUBSTITUTE(SUBSTITUTE(SUBSTITUTE("P:"&amp;A1068,"~","~~"),"*","~*"),"?","~?"))=1),(IF(ISNA(MATCH(SUBSTITUTE(SUBSTITUTE(SUBSTITUTE("P:"&amp;A1068,"~","~~"),"*","~*"),"?","~?"),Processos!$AS$10:$AS$509,0)),9,INDEX(Processos!$AM$10:$AM$509,MATCH(SUBSTITUTE(SUBSTITUTE(SUBSTITUTE("P:"&amp;A1068,"~","~~"),"*","~*"),"?","~?"),Processos!$AS$10:$AS$509,0)))-9),0)</f>
        <v>0</v>
      </c>
      <c r="K1068" s="34" t="str">
        <f t="shared" si="67"/>
        <v/>
      </c>
      <c r="L1068" s="14">
        <f>ROW()</f>
        <v>1068</v>
      </c>
    </row>
    <row r="1069" spans="1:12" ht="60" customHeight="1">
      <c r="A1069" s="41"/>
      <c r="B1069" s="43"/>
      <c r="C1069" s="44"/>
      <c r="D1069" s="51"/>
      <c r="E1069" s="44"/>
      <c r="F1069" s="44"/>
      <c r="G1069" s="34">
        <f t="shared" si="64"/>
        <v>0</v>
      </c>
      <c r="H1069" s="34" t="str">
        <f t="shared" si="65"/>
        <v/>
      </c>
      <c r="I1069" s="52" t="str">
        <f t="shared" si="66"/>
        <v/>
      </c>
      <c r="J1069" s="34">
        <f>IF(AND(A1069&lt;&gt;"",ISTEXT(A1069),COUNTIFS(Processos!$AS$10:$AS$509,"="&amp;SUBSTITUTE(SUBSTITUTE(SUBSTITUTE("P:"&amp;A1069,"~","~~"),"*","~*"),"?","~?"))=1),(IF(ISNA(MATCH(SUBSTITUTE(SUBSTITUTE(SUBSTITUTE("P:"&amp;A1069,"~","~~"),"*","~*"),"?","~?"),Processos!$AS$10:$AS$509,0)),9,INDEX(Processos!$AM$10:$AM$509,MATCH(SUBSTITUTE(SUBSTITUTE(SUBSTITUTE("P:"&amp;A1069,"~","~~"),"*","~*"),"?","~?"),Processos!$AS$10:$AS$509,0)))-9),0)</f>
        <v>0</v>
      </c>
      <c r="K1069" s="34" t="str">
        <f t="shared" si="67"/>
        <v/>
      </c>
      <c r="L1069" s="14">
        <f>ROW()</f>
        <v>1069</v>
      </c>
    </row>
    <row r="1070" spans="1:12" ht="60" customHeight="1">
      <c r="A1070" s="41"/>
      <c r="B1070" s="43"/>
      <c r="C1070" s="44"/>
      <c r="D1070" s="51"/>
      <c r="E1070" s="44"/>
      <c r="F1070" s="44"/>
      <c r="G1070" s="34">
        <f t="shared" si="64"/>
        <v>0</v>
      </c>
      <c r="H1070" s="34" t="str">
        <f t="shared" si="65"/>
        <v/>
      </c>
      <c r="I1070" s="52" t="str">
        <f t="shared" si="66"/>
        <v/>
      </c>
      <c r="J1070" s="34">
        <f>IF(AND(A1070&lt;&gt;"",ISTEXT(A1070),COUNTIFS(Processos!$AS$10:$AS$509,"="&amp;SUBSTITUTE(SUBSTITUTE(SUBSTITUTE("P:"&amp;A1070,"~","~~"),"*","~*"),"?","~?"))=1),(IF(ISNA(MATCH(SUBSTITUTE(SUBSTITUTE(SUBSTITUTE("P:"&amp;A1070,"~","~~"),"*","~*"),"?","~?"),Processos!$AS$10:$AS$509,0)),9,INDEX(Processos!$AM$10:$AM$509,MATCH(SUBSTITUTE(SUBSTITUTE(SUBSTITUTE("P:"&amp;A1070,"~","~~"),"*","~*"),"?","~?"),Processos!$AS$10:$AS$509,0)))-9),0)</f>
        <v>0</v>
      </c>
      <c r="K1070" s="34" t="str">
        <f t="shared" si="67"/>
        <v/>
      </c>
      <c r="L1070" s="14">
        <f>ROW()</f>
        <v>1070</v>
      </c>
    </row>
    <row r="1071" spans="1:12" ht="60" customHeight="1">
      <c r="A1071" s="41"/>
      <c r="B1071" s="43"/>
      <c r="C1071" s="44"/>
      <c r="D1071" s="51"/>
      <c r="E1071" s="44"/>
      <c r="F1071" s="44"/>
      <c r="G1071" s="34">
        <f t="shared" si="64"/>
        <v>0</v>
      </c>
      <c r="H1071" s="34" t="str">
        <f t="shared" si="65"/>
        <v/>
      </c>
      <c r="I1071" s="52" t="str">
        <f t="shared" si="66"/>
        <v/>
      </c>
      <c r="J1071" s="34">
        <f>IF(AND(A1071&lt;&gt;"",ISTEXT(A1071),COUNTIFS(Processos!$AS$10:$AS$509,"="&amp;SUBSTITUTE(SUBSTITUTE(SUBSTITUTE("P:"&amp;A1071,"~","~~"),"*","~*"),"?","~?"))=1),(IF(ISNA(MATCH(SUBSTITUTE(SUBSTITUTE(SUBSTITUTE("P:"&amp;A1071,"~","~~"),"*","~*"),"?","~?"),Processos!$AS$10:$AS$509,0)),9,INDEX(Processos!$AM$10:$AM$509,MATCH(SUBSTITUTE(SUBSTITUTE(SUBSTITUTE("P:"&amp;A1071,"~","~~"),"*","~*"),"?","~?"),Processos!$AS$10:$AS$509,0)))-9),0)</f>
        <v>0</v>
      </c>
      <c r="K1071" s="34" t="str">
        <f t="shared" si="67"/>
        <v/>
      </c>
      <c r="L1071" s="14">
        <f>ROW()</f>
        <v>1071</v>
      </c>
    </row>
    <row r="1072" spans="1:12" ht="60" customHeight="1">
      <c r="A1072" s="41"/>
      <c r="B1072" s="43"/>
      <c r="C1072" s="44"/>
      <c r="D1072" s="51"/>
      <c r="E1072" s="44"/>
      <c r="F1072" s="44"/>
      <c r="G1072" s="34">
        <f t="shared" si="64"/>
        <v>0</v>
      </c>
      <c r="H1072" s="34" t="str">
        <f t="shared" si="65"/>
        <v/>
      </c>
      <c r="I1072" s="52" t="str">
        <f t="shared" si="66"/>
        <v/>
      </c>
      <c r="J1072" s="34">
        <f>IF(AND(A1072&lt;&gt;"",ISTEXT(A1072),COUNTIFS(Processos!$AS$10:$AS$509,"="&amp;SUBSTITUTE(SUBSTITUTE(SUBSTITUTE("P:"&amp;A1072,"~","~~"),"*","~*"),"?","~?"))=1),(IF(ISNA(MATCH(SUBSTITUTE(SUBSTITUTE(SUBSTITUTE("P:"&amp;A1072,"~","~~"),"*","~*"),"?","~?"),Processos!$AS$10:$AS$509,0)),9,INDEX(Processos!$AM$10:$AM$509,MATCH(SUBSTITUTE(SUBSTITUTE(SUBSTITUTE("P:"&amp;A1072,"~","~~"),"*","~*"),"?","~?"),Processos!$AS$10:$AS$509,0)))-9),0)</f>
        <v>0</v>
      </c>
      <c r="K1072" s="34" t="str">
        <f t="shared" si="67"/>
        <v/>
      </c>
      <c r="L1072" s="14">
        <f>ROW()</f>
        <v>1072</v>
      </c>
    </row>
    <row r="1073" spans="1:12" ht="60" customHeight="1">
      <c r="A1073" s="41"/>
      <c r="B1073" s="43"/>
      <c r="C1073" s="44"/>
      <c r="D1073" s="51"/>
      <c r="E1073" s="44"/>
      <c r="F1073" s="44"/>
      <c r="G1073" s="34">
        <f t="shared" si="64"/>
        <v>0</v>
      </c>
      <c r="H1073" s="34" t="str">
        <f t="shared" si="65"/>
        <v/>
      </c>
      <c r="I1073" s="52" t="str">
        <f t="shared" si="66"/>
        <v/>
      </c>
      <c r="J1073" s="34">
        <f>IF(AND(A1073&lt;&gt;"",ISTEXT(A1073),COUNTIFS(Processos!$AS$10:$AS$509,"="&amp;SUBSTITUTE(SUBSTITUTE(SUBSTITUTE("P:"&amp;A1073,"~","~~"),"*","~*"),"?","~?"))=1),(IF(ISNA(MATCH(SUBSTITUTE(SUBSTITUTE(SUBSTITUTE("P:"&amp;A1073,"~","~~"),"*","~*"),"?","~?"),Processos!$AS$10:$AS$509,0)),9,INDEX(Processos!$AM$10:$AM$509,MATCH(SUBSTITUTE(SUBSTITUTE(SUBSTITUTE("P:"&amp;A1073,"~","~~"),"*","~*"),"?","~?"),Processos!$AS$10:$AS$509,0)))-9),0)</f>
        <v>0</v>
      </c>
      <c r="K1073" s="34" t="str">
        <f t="shared" si="67"/>
        <v/>
      </c>
      <c r="L1073" s="14">
        <f>ROW()</f>
        <v>1073</v>
      </c>
    </row>
    <row r="1074" spans="1:12" ht="60" customHeight="1">
      <c r="A1074" s="41"/>
      <c r="B1074" s="43"/>
      <c r="C1074" s="44"/>
      <c r="D1074" s="51"/>
      <c r="E1074" s="44"/>
      <c r="F1074" s="44"/>
      <c r="G1074" s="34">
        <f t="shared" si="64"/>
        <v>0</v>
      </c>
      <c r="H1074" s="34" t="str">
        <f t="shared" si="65"/>
        <v/>
      </c>
      <c r="I1074" s="52" t="str">
        <f t="shared" si="66"/>
        <v/>
      </c>
      <c r="J1074" s="34">
        <f>IF(AND(A1074&lt;&gt;"",ISTEXT(A1074),COUNTIFS(Processos!$AS$10:$AS$509,"="&amp;SUBSTITUTE(SUBSTITUTE(SUBSTITUTE("P:"&amp;A1074,"~","~~"),"*","~*"),"?","~?"))=1),(IF(ISNA(MATCH(SUBSTITUTE(SUBSTITUTE(SUBSTITUTE("P:"&amp;A1074,"~","~~"),"*","~*"),"?","~?"),Processos!$AS$10:$AS$509,0)),9,INDEX(Processos!$AM$10:$AM$509,MATCH(SUBSTITUTE(SUBSTITUTE(SUBSTITUTE("P:"&amp;A1074,"~","~~"),"*","~*"),"?","~?"),Processos!$AS$10:$AS$509,0)))-9),0)</f>
        <v>0</v>
      </c>
      <c r="K1074" s="34" t="str">
        <f t="shared" si="67"/>
        <v/>
      </c>
      <c r="L1074" s="14">
        <f>ROW()</f>
        <v>1074</v>
      </c>
    </row>
    <row r="1075" spans="1:12" ht="60" customHeight="1">
      <c r="A1075" s="41"/>
      <c r="B1075" s="43"/>
      <c r="C1075" s="44"/>
      <c r="D1075" s="51"/>
      <c r="E1075" s="44"/>
      <c r="F1075" s="44"/>
      <c r="G1075" s="34">
        <f t="shared" si="64"/>
        <v>0</v>
      </c>
      <c r="H1075" s="34" t="str">
        <f t="shared" si="65"/>
        <v/>
      </c>
      <c r="I1075" s="52" t="str">
        <f t="shared" si="66"/>
        <v/>
      </c>
      <c r="J1075" s="34">
        <f>IF(AND(A1075&lt;&gt;"",ISTEXT(A1075),COUNTIFS(Processos!$AS$10:$AS$509,"="&amp;SUBSTITUTE(SUBSTITUTE(SUBSTITUTE("P:"&amp;A1075,"~","~~"),"*","~*"),"?","~?"))=1),(IF(ISNA(MATCH(SUBSTITUTE(SUBSTITUTE(SUBSTITUTE("P:"&amp;A1075,"~","~~"),"*","~*"),"?","~?"),Processos!$AS$10:$AS$509,0)),9,INDEX(Processos!$AM$10:$AM$509,MATCH(SUBSTITUTE(SUBSTITUTE(SUBSTITUTE("P:"&amp;A1075,"~","~~"),"*","~*"),"?","~?"),Processos!$AS$10:$AS$509,0)))-9),0)</f>
        <v>0</v>
      </c>
      <c r="K1075" s="34" t="str">
        <f t="shared" si="67"/>
        <v/>
      </c>
      <c r="L1075" s="14">
        <f>ROW()</f>
        <v>1075</v>
      </c>
    </row>
    <row r="1076" spans="1:12" ht="60" customHeight="1">
      <c r="A1076" s="41"/>
      <c r="B1076" s="43"/>
      <c r="C1076" s="44"/>
      <c r="D1076" s="51"/>
      <c r="E1076" s="44"/>
      <c r="F1076" s="44"/>
      <c r="G1076" s="34">
        <f t="shared" si="64"/>
        <v>0</v>
      </c>
      <c r="H1076" s="34" t="str">
        <f t="shared" si="65"/>
        <v/>
      </c>
      <c r="I1076" s="52" t="str">
        <f t="shared" si="66"/>
        <v/>
      </c>
      <c r="J1076" s="34">
        <f>IF(AND(A1076&lt;&gt;"",ISTEXT(A1076),COUNTIFS(Processos!$AS$10:$AS$509,"="&amp;SUBSTITUTE(SUBSTITUTE(SUBSTITUTE("P:"&amp;A1076,"~","~~"),"*","~*"),"?","~?"))=1),(IF(ISNA(MATCH(SUBSTITUTE(SUBSTITUTE(SUBSTITUTE("P:"&amp;A1076,"~","~~"),"*","~*"),"?","~?"),Processos!$AS$10:$AS$509,0)),9,INDEX(Processos!$AM$10:$AM$509,MATCH(SUBSTITUTE(SUBSTITUTE(SUBSTITUTE("P:"&amp;A1076,"~","~~"),"*","~*"),"?","~?"),Processos!$AS$10:$AS$509,0)))-9),0)</f>
        <v>0</v>
      </c>
      <c r="K1076" s="34" t="str">
        <f t="shared" si="67"/>
        <v/>
      </c>
      <c r="L1076" s="14">
        <f>ROW()</f>
        <v>1076</v>
      </c>
    </row>
    <row r="1077" spans="1:12" ht="60" customHeight="1">
      <c r="A1077" s="41"/>
      <c r="B1077" s="43"/>
      <c r="C1077" s="44"/>
      <c r="D1077" s="51"/>
      <c r="E1077" s="44"/>
      <c r="F1077" s="44"/>
      <c r="G1077" s="34">
        <f t="shared" si="64"/>
        <v>0</v>
      </c>
      <c r="H1077" s="34" t="str">
        <f t="shared" si="65"/>
        <v/>
      </c>
      <c r="I1077" s="52" t="str">
        <f t="shared" si="66"/>
        <v/>
      </c>
      <c r="J1077" s="34">
        <f>IF(AND(A1077&lt;&gt;"",ISTEXT(A1077),COUNTIFS(Processos!$AS$10:$AS$509,"="&amp;SUBSTITUTE(SUBSTITUTE(SUBSTITUTE("P:"&amp;A1077,"~","~~"),"*","~*"),"?","~?"))=1),(IF(ISNA(MATCH(SUBSTITUTE(SUBSTITUTE(SUBSTITUTE("P:"&amp;A1077,"~","~~"),"*","~*"),"?","~?"),Processos!$AS$10:$AS$509,0)),9,INDEX(Processos!$AM$10:$AM$509,MATCH(SUBSTITUTE(SUBSTITUTE(SUBSTITUTE("P:"&amp;A1077,"~","~~"),"*","~*"),"?","~?"),Processos!$AS$10:$AS$509,0)))-9),0)</f>
        <v>0</v>
      </c>
      <c r="K1077" s="34" t="str">
        <f t="shared" si="67"/>
        <v/>
      </c>
      <c r="L1077" s="14">
        <f>ROW()</f>
        <v>1077</v>
      </c>
    </row>
    <row r="1078" spans="1:12" ht="60" customHeight="1">
      <c r="A1078" s="41"/>
      <c r="B1078" s="43"/>
      <c r="C1078" s="44"/>
      <c r="D1078" s="51"/>
      <c r="E1078" s="44"/>
      <c r="F1078" s="44"/>
      <c r="G1078" s="34">
        <f t="shared" si="64"/>
        <v>0</v>
      </c>
      <c r="H1078" s="34" t="str">
        <f t="shared" si="65"/>
        <v/>
      </c>
      <c r="I1078" s="52" t="str">
        <f t="shared" si="66"/>
        <v/>
      </c>
      <c r="J1078" s="34">
        <f>IF(AND(A1078&lt;&gt;"",ISTEXT(A1078),COUNTIFS(Processos!$AS$10:$AS$509,"="&amp;SUBSTITUTE(SUBSTITUTE(SUBSTITUTE("P:"&amp;A1078,"~","~~"),"*","~*"),"?","~?"))=1),(IF(ISNA(MATCH(SUBSTITUTE(SUBSTITUTE(SUBSTITUTE("P:"&amp;A1078,"~","~~"),"*","~*"),"?","~?"),Processos!$AS$10:$AS$509,0)),9,INDEX(Processos!$AM$10:$AM$509,MATCH(SUBSTITUTE(SUBSTITUTE(SUBSTITUTE("P:"&amp;A1078,"~","~~"),"*","~*"),"?","~?"),Processos!$AS$10:$AS$509,0)))-9),0)</f>
        <v>0</v>
      </c>
      <c r="K1078" s="34" t="str">
        <f t="shared" si="67"/>
        <v/>
      </c>
      <c r="L1078" s="14">
        <f>ROW()</f>
        <v>1078</v>
      </c>
    </row>
    <row r="1079" spans="1:12" ht="60" customHeight="1">
      <c r="A1079" s="41"/>
      <c r="B1079" s="43"/>
      <c r="C1079" s="44"/>
      <c r="D1079" s="51"/>
      <c r="E1079" s="44"/>
      <c r="F1079" s="44"/>
      <c r="G1079" s="34">
        <f t="shared" si="64"/>
        <v>0</v>
      </c>
      <c r="H1079" s="34" t="str">
        <f t="shared" si="65"/>
        <v/>
      </c>
      <c r="I1079" s="52" t="str">
        <f t="shared" si="66"/>
        <v/>
      </c>
      <c r="J1079" s="34">
        <f>IF(AND(A1079&lt;&gt;"",ISTEXT(A1079),COUNTIFS(Processos!$AS$10:$AS$509,"="&amp;SUBSTITUTE(SUBSTITUTE(SUBSTITUTE("P:"&amp;A1079,"~","~~"),"*","~*"),"?","~?"))=1),(IF(ISNA(MATCH(SUBSTITUTE(SUBSTITUTE(SUBSTITUTE("P:"&amp;A1079,"~","~~"),"*","~*"),"?","~?"),Processos!$AS$10:$AS$509,0)),9,INDEX(Processos!$AM$10:$AM$509,MATCH(SUBSTITUTE(SUBSTITUTE(SUBSTITUTE("P:"&amp;A1079,"~","~~"),"*","~*"),"?","~?"),Processos!$AS$10:$AS$509,0)))-9),0)</f>
        <v>0</v>
      </c>
      <c r="K1079" s="34" t="str">
        <f t="shared" si="67"/>
        <v/>
      </c>
      <c r="L1079" s="14">
        <f>ROW()</f>
        <v>1079</v>
      </c>
    </row>
    <row r="1080" spans="1:12" ht="60" customHeight="1">
      <c r="A1080" s="41"/>
      <c r="B1080" s="43"/>
      <c r="C1080" s="44"/>
      <c r="D1080" s="51"/>
      <c r="E1080" s="44"/>
      <c r="F1080" s="44"/>
      <c r="G1080" s="34">
        <f t="shared" si="64"/>
        <v>0</v>
      </c>
      <c r="H1080" s="34" t="str">
        <f t="shared" si="65"/>
        <v/>
      </c>
      <c r="I1080" s="52" t="str">
        <f t="shared" si="66"/>
        <v/>
      </c>
      <c r="J1080" s="34">
        <f>IF(AND(A1080&lt;&gt;"",ISTEXT(A1080),COUNTIFS(Processos!$AS$10:$AS$509,"="&amp;SUBSTITUTE(SUBSTITUTE(SUBSTITUTE("P:"&amp;A1080,"~","~~"),"*","~*"),"?","~?"))=1),(IF(ISNA(MATCH(SUBSTITUTE(SUBSTITUTE(SUBSTITUTE("P:"&amp;A1080,"~","~~"),"*","~*"),"?","~?"),Processos!$AS$10:$AS$509,0)),9,INDEX(Processos!$AM$10:$AM$509,MATCH(SUBSTITUTE(SUBSTITUTE(SUBSTITUTE("P:"&amp;A1080,"~","~~"),"*","~*"),"?","~?"),Processos!$AS$10:$AS$509,0)))-9),0)</f>
        <v>0</v>
      </c>
      <c r="K1080" s="34" t="str">
        <f t="shared" si="67"/>
        <v/>
      </c>
      <c r="L1080" s="14">
        <f>ROW()</f>
        <v>1080</v>
      </c>
    </row>
    <row r="1081" spans="1:12" ht="60" customHeight="1">
      <c r="A1081" s="41"/>
      <c r="B1081" s="43"/>
      <c r="C1081" s="44"/>
      <c r="D1081" s="51"/>
      <c r="E1081" s="44"/>
      <c r="F1081" s="44"/>
      <c r="G1081" s="34">
        <f t="shared" si="64"/>
        <v>0</v>
      </c>
      <c r="H1081" s="34" t="str">
        <f t="shared" si="65"/>
        <v/>
      </c>
      <c r="I1081" s="52" t="str">
        <f t="shared" si="66"/>
        <v/>
      </c>
      <c r="J1081" s="34">
        <f>IF(AND(A1081&lt;&gt;"",ISTEXT(A1081),COUNTIFS(Processos!$AS$10:$AS$509,"="&amp;SUBSTITUTE(SUBSTITUTE(SUBSTITUTE("P:"&amp;A1081,"~","~~"),"*","~*"),"?","~?"))=1),(IF(ISNA(MATCH(SUBSTITUTE(SUBSTITUTE(SUBSTITUTE("P:"&amp;A1081,"~","~~"),"*","~*"),"?","~?"),Processos!$AS$10:$AS$509,0)),9,INDEX(Processos!$AM$10:$AM$509,MATCH(SUBSTITUTE(SUBSTITUTE(SUBSTITUTE("P:"&amp;A1081,"~","~~"),"*","~*"),"?","~?"),Processos!$AS$10:$AS$509,0)))-9),0)</f>
        <v>0</v>
      </c>
      <c r="K1081" s="34" t="str">
        <f t="shared" si="67"/>
        <v/>
      </c>
      <c r="L1081" s="14">
        <f>ROW()</f>
        <v>1081</v>
      </c>
    </row>
    <row r="1082" spans="1:12" ht="60" customHeight="1">
      <c r="A1082" s="41"/>
      <c r="B1082" s="43"/>
      <c r="C1082" s="44"/>
      <c r="D1082" s="51"/>
      <c r="E1082" s="44"/>
      <c r="F1082" s="44"/>
      <c r="G1082" s="34">
        <f t="shared" si="64"/>
        <v>0</v>
      </c>
      <c r="H1082" s="34" t="str">
        <f t="shared" si="65"/>
        <v/>
      </c>
      <c r="I1082" s="52" t="str">
        <f t="shared" si="66"/>
        <v/>
      </c>
      <c r="J1082" s="34">
        <f>IF(AND(A1082&lt;&gt;"",ISTEXT(A1082),COUNTIFS(Processos!$AS$10:$AS$509,"="&amp;SUBSTITUTE(SUBSTITUTE(SUBSTITUTE("P:"&amp;A1082,"~","~~"),"*","~*"),"?","~?"))=1),(IF(ISNA(MATCH(SUBSTITUTE(SUBSTITUTE(SUBSTITUTE("P:"&amp;A1082,"~","~~"),"*","~*"),"?","~?"),Processos!$AS$10:$AS$509,0)),9,INDEX(Processos!$AM$10:$AM$509,MATCH(SUBSTITUTE(SUBSTITUTE(SUBSTITUTE("P:"&amp;A1082,"~","~~"),"*","~*"),"?","~?"),Processos!$AS$10:$AS$509,0)))-9),0)</f>
        <v>0</v>
      </c>
      <c r="K1082" s="34" t="str">
        <f t="shared" si="67"/>
        <v/>
      </c>
      <c r="L1082" s="14">
        <f>ROW()</f>
        <v>1082</v>
      </c>
    </row>
    <row r="1083" spans="1:12" ht="60" customHeight="1">
      <c r="A1083" s="41"/>
      <c r="B1083" s="43"/>
      <c r="C1083" s="44"/>
      <c r="D1083" s="51"/>
      <c r="E1083" s="44"/>
      <c r="F1083" s="44"/>
      <c r="G1083" s="34">
        <f t="shared" si="64"/>
        <v>0</v>
      </c>
      <c r="H1083" s="34" t="str">
        <f t="shared" si="65"/>
        <v/>
      </c>
      <c r="I1083" s="52" t="str">
        <f t="shared" si="66"/>
        <v/>
      </c>
      <c r="J1083" s="34">
        <f>IF(AND(A1083&lt;&gt;"",ISTEXT(A1083),COUNTIFS(Processos!$AS$10:$AS$509,"="&amp;SUBSTITUTE(SUBSTITUTE(SUBSTITUTE("P:"&amp;A1083,"~","~~"),"*","~*"),"?","~?"))=1),(IF(ISNA(MATCH(SUBSTITUTE(SUBSTITUTE(SUBSTITUTE("P:"&amp;A1083,"~","~~"),"*","~*"),"?","~?"),Processos!$AS$10:$AS$509,0)),9,INDEX(Processos!$AM$10:$AM$509,MATCH(SUBSTITUTE(SUBSTITUTE(SUBSTITUTE("P:"&amp;A1083,"~","~~"),"*","~*"),"?","~?"),Processos!$AS$10:$AS$509,0)))-9),0)</f>
        <v>0</v>
      </c>
      <c r="K1083" s="34" t="str">
        <f t="shared" si="67"/>
        <v/>
      </c>
      <c r="L1083" s="14">
        <f>ROW()</f>
        <v>1083</v>
      </c>
    </row>
    <row r="1084" spans="1:12" ht="60" customHeight="1">
      <c r="A1084" s="41"/>
      <c r="B1084" s="43"/>
      <c r="C1084" s="44"/>
      <c r="D1084" s="51"/>
      <c r="E1084" s="44"/>
      <c r="F1084" s="44"/>
      <c r="G1084" s="34">
        <f t="shared" si="64"/>
        <v>0</v>
      </c>
      <c r="H1084" s="34" t="str">
        <f t="shared" si="65"/>
        <v/>
      </c>
      <c r="I1084" s="52" t="str">
        <f t="shared" si="66"/>
        <v/>
      </c>
      <c r="J1084" s="34">
        <f>IF(AND(A1084&lt;&gt;"",ISTEXT(A1084),COUNTIFS(Processos!$AS$10:$AS$509,"="&amp;SUBSTITUTE(SUBSTITUTE(SUBSTITUTE("P:"&amp;A1084,"~","~~"),"*","~*"),"?","~?"))=1),(IF(ISNA(MATCH(SUBSTITUTE(SUBSTITUTE(SUBSTITUTE("P:"&amp;A1084,"~","~~"),"*","~*"),"?","~?"),Processos!$AS$10:$AS$509,0)),9,INDEX(Processos!$AM$10:$AM$509,MATCH(SUBSTITUTE(SUBSTITUTE(SUBSTITUTE("P:"&amp;A1084,"~","~~"),"*","~*"),"?","~?"),Processos!$AS$10:$AS$509,0)))-9),0)</f>
        <v>0</v>
      </c>
      <c r="K1084" s="34" t="str">
        <f t="shared" si="67"/>
        <v/>
      </c>
      <c r="L1084" s="14">
        <f>ROW()</f>
        <v>1084</v>
      </c>
    </row>
    <row r="1085" spans="1:12" ht="60" customHeight="1">
      <c r="A1085" s="41"/>
      <c r="B1085" s="43"/>
      <c r="C1085" s="44"/>
      <c r="D1085" s="51"/>
      <c r="E1085" s="44"/>
      <c r="F1085" s="44"/>
      <c r="G1085" s="34">
        <f t="shared" si="64"/>
        <v>0</v>
      </c>
      <c r="H1085" s="34" t="str">
        <f t="shared" si="65"/>
        <v/>
      </c>
      <c r="I1085" s="52" t="str">
        <f t="shared" si="66"/>
        <v/>
      </c>
      <c r="J1085" s="34">
        <f>IF(AND(A1085&lt;&gt;"",ISTEXT(A1085),COUNTIFS(Processos!$AS$10:$AS$509,"="&amp;SUBSTITUTE(SUBSTITUTE(SUBSTITUTE("P:"&amp;A1085,"~","~~"),"*","~*"),"?","~?"))=1),(IF(ISNA(MATCH(SUBSTITUTE(SUBSTITUTE(SUBSTITUTE("P:"&amp;A1085,"~","~~"),"*","~*"),"?","~?"),Processos!$AS$10:$AS$509,0)),9,INDEX(Processos!$AM$10:$AM$509,MATCH(SUBSTITUTE(SUBSTITUTE(SUBSTITUTE("P:"&amp;A1085,"~","~~"),"*","~*"),"?","~?"),Processos!$AS$10:$AS$509,0)))-9),0)</f>
        <v>0</v>
      </c>
      <c r="K1085" s="34" t="str">
        <f t="shared" si="67"/>
        <v/>
      </c>
      <c r="L1085" s="14">
        <f>ROW()</f>
        <v>1085</v>
      </c>
    </row>
    <row r="1086" spans="1:12" ht="60" customHeight="1">
      <c r="A1086" s="41"/>
      <c r="B1086" s="43"/>
      <c r="C1086" s="44"/>
      <c r="D1086" s="51"/>
      <c r="E1086" s="44"/>
      <c r="F1086" s="44"/>
      <c r="G1086" s="34">
        <f t="shared" si="64"/>
        <v>0</v>
      </c>
      <c r="H1086" s="34" t="str">
        <f t="shared" si="65"/>
        <v/>
      </c>
      <c r="I1086" s="52" t="str">
        <f t="shared" si="66"/>
        <v/>
      </c>
      <c r="J1086" s="34">
        <f>IF(AND(A1086&lt;&gt;"",ISTEXT(A1086),COUNTIFS(Processos!$AS$10:$AS$509,"="&amp;SUBSTITUTE(SUBSTITUTE(SUBSTITUTE("P:"&amp;A1086,"~","~~"),"*","~*"),"?","~?"))=1),(IF(ISNA(MATCH(SUBSTITUTE(SUBSTITUTE(SUBSTITUTE("P:"&amp;A1086,"~","~~"),"*","~*"),"?","~?"),Processos!$AS$10:$AS$509,0)),9,INDEX(Processos!$AM$10:$AM$509,MATCH(SUBSTITUTE(SUBSTITUTE(SUBSTITUTE("P:"&amp;A1086,"~","~~"),"*","~*"),"?","~?"),Processos!$AS$10:$AS$509,0)))-9),0)</f>
        <v>0</v>
      </c>
      <c r="K1086" s="34" t="str">
        <f t="shared" si="67"/>
        <v/>
      </c>
      <c r="L1086" s="14">
        <f>ROW()</f>
        <v>1086</v>
      </c>
    </row>
    <row r="1087" spans="1:12" ht="60" customHeight="1">
      <c r="A1087" s="41"/>
      <c r="B1087" s="43"/>
      <c r="C1087" s="44"/>
      <c r="D1087" s="51"/>
      <c r="E1087" s="44"/>
      <c r="F1087" s="44"/>
      <c r="G1087" s="34">
        <f t="shared" si="64"/>
        <v>0</v>
      </c>
      <c r="H1087" s="34" t="str">
        <f t="shared" si="65"/>
        <v/>
      </c>
      <c r="I1087" s="52" t="str">
        <f t="shared" si="66"/>
        <v/>
      </c>
      <c r="J1087" s="34">
        <f>IF(AND(A1087&lt;&gt;"",ISTEXT(A1087),COUNTIFS(Processos!$AS$10:$AS$509,"="&amp;SUBSTITUTE(SUBSTITUTE(SUBSTITUTE("P:"&amp;A1087,"~","~~"),"*","~*"),"?","~?"))=1),(IF(ISNA(MATCH(SUBSTITUTE(SUBSTITUTE(SUBSTITUTE("P:"&amp;A1087,"~","~~"),"*","~*"),"?","~?"),Processos!$AS$10:$AS$509,0)),9,INDEX(Processos!$AM$10:$AM$509,MATCH(SUBSTITUTE(SUBSTITUTE(SUBSTITUTE("P:"&amp;A1087,"~","~~"),"*","~*"),"?","~?"),Processos!$AS$10:$AS$509,0)))-9),0)</f>
        <v>0</v>
      </c>
      <c r="K1087" s="34" t="str">
        <f t="shared" si="67"/>
        <v/>
      </c>
      <c r="L1087" s="14">
        <f>ROW()</f>
        <v>1087</v>
      </c>
    </row>
    <row r="1088" spans="1:12" ht="60" customHeight="1">
      <c r="A1088" s="41"/>
      <c r="B1088" s="43"/>
      <c r="C1088" s="44"/>
      <c r="D1088" s="51"/>
      <c r="E1088" s="44"/>
      <c r="F1088" s="44"/>
      <c r="G1088" s="34">
        <f t="shared" si="64"/>
        <v>0</v>
      </c>
      <c r="H1088" s="34" t="str">
        <f t="shared" si="65"/>
        <v/>
      </c>
      <c r="I1088" s="52" t="str">
        <f t="shared" si="66"/>
        <v/>
      </c>
      <c r="J1088" s="34">
        <f>IF(AND(A1088&lt;&gt;"",ISTEXT(A1088),COUNTIFS(Processos!$AS$10:$AS$509,"="&amp;SUBSTITUTE(SUBSTITUTE(SUBSTITUTE("P:"&amp;A1088,"~","~~"),"*","~*"),"?","~?"))=1),(IF(ISNA(MATCH(SUBSTITUTE(SUBSTITUTE(SUBSTITUTE("P:"&amp;A1088,"~","~~"),"*","~*"),"?","~?"),Processos!$AS$10:$AS$509,0)),9,INDEX(Processos!$AM$10:$AM$509,MATCH(SUBSTITUTE(SUBSTITUTE(SUBSTITUTE("P:"&amp;A1088,"~","~~"),"*","~*"),"?","~?"),Processos!$AS$10:$AS$509,0)))-9),0)</f>
        <v>0</v>
      </c>
      <c r="K1088" s="34" t="str">
        <f t="shared" si="67"/>
        <v/>
      </c>
      <c r="L1088" s="14">
        <f>ROW()</f>
        <v>1088</v>
      </c>
    </row>
    <row r="1089" spans="1:12" ht="60" customHeight="1">
      <c r="A1089" s="41"/>
      <c r="B1089" s="43"/>
      <c r="C1089" s="44"/>
      <c r="D1089" s="51"/>
      <c r="E1089" s="44"/>
      <c r="F1089" s="44"/>
      <c r="G1089" s="34">
        <f t="shared" si="64"/>
        <v>0</v>
      </c>
      <c r="H1089" s="34" t="str">
        <f t="shared" si="65"/>
        <v/>
      </c>
      <c r="I1089" s="52" t="str">
        <f t="shared" si="66"/>
        <v/>
      </c>
      <c r="J1089" s="34">
        <f>IF(AND(A1089&lt;&gt;"",ISTEXT(A1089),COUNTIFS(Processos!$AS$10:$AS$509,"="&amp;SUBSTITUTE(SUBSTITUTE(SUBSTITUTE("P:"&amp;A1089,"~","~~"),"*","~*"),"?","~?"))=1),(IF(ISNA(MATCH(SUBSTITUTE(SUBSTITUTE(SUBSTITUTE("P:"&amp;A1089,"~","~~"),"*","~*"),"?","~?"),Processos!$AS$10:$AS$509,0)),9,INDEX(Processos!$AM$10:$AM$509,MATCH(SUBSTITUTE(SUBSTITUTE(SUBSTITUTE("P:"&amp;A1089,"~","~~"),"*","~*"),"?","~?"),Processos!$AS$10:$AS$509,0)))-9),0)</f>
        <v>0</v>
      </c>
      <c r="K1089" s="34" t="str">
        <f t="shared" si="67"/>
        <v/>
      </c>
      <c r="L1089" s="14">
        <f>ROW()</f>
        <v>1089</v>
      </c>
    </row>
    <row r="1090" spans="1:12" ht="60" customHeight="1">
      <c r="A1090" s="41"/>
      <c r="B1090" s="43"/>
      <c r="C1090" s="44"/>
      <c r="D1090" s="51"/>
      <c r="E1090" s="44"/>
      <c r="F1090" s="44"/>
      <c r="G1090" s="34">
        <f t="shared" si="64"/>
        <v>0</v>
      </c>
      <c r="H1090" s="34" t="str">
        <f t="shared" si="65"/>
        <v/>
      </c>
      <c r="I1090" s="52" t="str">
        <f t="shared" si="66"/>
        <v/>
      </c>
      <c r="J1090" s="34">
        <f>IF(AND(A1090&lt;&gt;"",ISTEXT(A1090),COUNTIFS(Processos!$AS$10:$AS$509,"="&amp;SUBSTITUTE(SUBSTITUTE(SUBSTITUTE("P:"&amp;A1090,"~","~~"),"*","~*"),"?","~?"))=1),(IF(ISNA(MATCH(SUBSTITUTE(SUBSTITUTE(SUBSTITUTE("P:"&amp;A1090,"~","~~"),"*","~*"),"?","~?"),Processos!$AS$10:$AS$509,0)),9,INDEX(Processos!$AM$10:$AM$509,MATCH(SUBSTITUTE(SUBSTITUTE(SUBSTITUTE("P:"&amp;A1090,"~","~~"),"*","~*"),"?","~?"),Processos!$AS$10:$AS$509,0)))-9),0)</f>
        <v>0</v>
      </c>
      <c r="K1090" s="34" t="str">
        <f t="shared" si="67"/>
        <v/>
      </c>
      <c r="L1090" s="14">
        <f>ROW()</f>
        <v>1090</v>
      </c>
    </row>
    <row r="1091" spans="1:12" ht="60" customHeight="1">
      <c r="A1091" s="41"/>
      <c r="B1091" s="43"/>
      <c r="C1091" s="44"/>
      <c r="D1091" s="51"/>
      <c r="E1091" s="44"/>
      <c r="F1091" s="44"/>
      <c r="G1091" s="34">
        <f t="shared" si="64"/>
        <v>0</v>
      </c>
      <c r="H1091" s="34" t="str">
        <f t="shared" si="65"/>
        <v/>
      </c>
      <c r="I1091" s="52" t="str">
        <f t="shared" si="66"/>
        <v/>
      </c>
      <c r="J1091" s="34">
        <f>IF(AND(A1091&lt;&gt;"",ISTEXT(A1091),COUNTIFS(Processos!$AS$10:$AS$509,"="&amp;SUBSTITUTE(SUBSTITUTE(SUBSTITUTE("P:"&amp;A1091,"~","~~"),"*","~*"),"?","~?"))=1),(IF(ISNA(MATCH(SUBSTITUTE(SUBSTITUTE(SUBSTITUTE("P:"&amp;A1091,"~","~~"),"*","~*"),"?","~?"),Processos!$AS$10:$AS$509,0)),9,INDEX(Processos!$AM$10:$AM$509,MATCH(SUBSTITUTE(SUBSTITUTE(SUBSTITUTE("P:"&amp;A1091,"~","~~"),"*","~*"),"?","~?"),Processos!$AS$10:$AS$509,0)))-9),0)</f>
        <v>0</v>
      </c>
      <c r="K1091" s="34" t="str">
        <f t="shared" si="67"/>
        <v/>
      </c>
      <c r="L1091" s="14">
        <f>ROW()</f>
        <v>1091</v>
      </c>
    </row>
    <row r="1092" spans="1:12" ht="60" customHeight="1">
      <c r="A1092" s="41"/>
      <c r="B1092" s="43"/>
      <c r="C1092" s="44"/>
      <c r="D1092" s="51"/>
      <c r="E1092" s="44"/>
      <c r="F1092" s="44"/>
      <c r="G1092" s="34">
        <f t="shared" si="64"/>
        <v>0</v>
      </c>
      <c r="H1092" s="34" t="str">
        <f t="shared" si="65"/>
        <v/>
      </c>
      <c r="I1092" s="52" t="str">
        <f t="shared" si="66"/>
        <v/>
      </c>
      <c r="J1092" s="34">
        <f>IF(AND(A1092&lt;&gt;"",ISTEXT(A1092),COUNTIFS(Processos!$AS$10:$AS$509,"="&amp;SUBSTITUTE(SUBSTITUTE(SUBSTITUTE("P:"&amp;A1092,"~","~~"),"*","~*"),"?","~?"))=1),(IF(ISNA(MATCH(SUBSTITUTE(SUBSTITUTE(SUBSTITUTE("P:"&amp;A1092,"~","~~"),"*","~*"),"?","~?"),Processos!$AS$10:$AS$509,0)),9,INDEX(Processos!$AM$10:$AM$509,MATCH(SUBSTITUTE(SUBSTITUTE(SUBSTITUTE("P:"&amp;A1092,"~","~~"),"*","~*"),"?","~?"),Processos!$AS$10:$AS$509,0)))-9),0)</f>
        <v>0</v>
      </c>
      <c r="K1092" s="34" t="str">
        <f t="shared" si="67"/>
        <v/>
      </c>
      <c r="L1092" s="14">
        <f>ROW()</f>
        <v>1092</v>
      </c>
    </row>
    <row r="1093" spans="1:12" ht="60" customHeight="1">
      <c r="A1093" s="41"/>
      <c r="B1093" s="43"/>
      <c r="C1093" s="44"/>
      <c r="D1093" s="51"/>
      <c r="E1093" s="44"/>
      <c r="F1093" s="44"/>
      <c r="G1093" s="34">
        <f t="shared" si="64"/>
        <v>0</v>
      </c>
      <c r="H1093" s="34" t="str">
        <f t="shared" si="65"/>
        <v/>
      </c>
      <c r="I1093" s="52" t="str">
        <f t="shared" si="66"/>
        <v/>
      </c>
      <c r="J1093" s="34">
        <f>IF(AND(A1093&lt;&gt;"",ISTEXT(A1093),COUNTIFS(Processos!$AS$10:$AS$509,"="&amp;SUBSTITUTE(SUBSTITUTE(SUBSTITUTE("P:"&amp;A1093,"~","~~"),"*","~*"),"?","~?"))=1),(IF(ISNA(MATCH(SUBSTITUTE(SUBSTITUTE(SUBSTITUTE("P:"&amp;A1093,"~","~~"),"*","~*"),"?","~?"),Processos!$AS$10:$AS$509,0)),9,INDEX(Processos!$AM$10:$AM$509,MATCH(SUBSTITUTE(SUBSTITUTE(SUBSTITUTE("P:"&amp;A1093,"~","~~"),"*","~*"),"?","~?"),Processos!$AS$10:$AS$509,0)))-9),0)</f>
        <v>0</v>
      </c>
      <c r="K1093" s="34" t="str">
        <f t="shared" si="67"/>
        <v/>
      </c>
      <c r="L1093" s="14">
        <f>ROW()</f>
        <v>1093</v>
      </c>
    </row>
    <row r="1094" spans="1:12" ht="60" customHeight="1">
      <c r="A1094" s="41"/>
      <c r="B1094" s="43"/>
      <c r="C1094" s="44"/>
      <c r="D1094" s="51"/>
      <c r="E1094" s="44"/>
      <c r="F1094" s="44"/>
      <c r="G1094" s="34">
        <f t="shared" si="64"/>
        <v>0</v>
      </c>
      <c r="H1094" s="34" t="str">
        <f t="shared" si="65"/>
        <v/>
      </c>
      <c r="I1094" s="52" t="str">
        <f t="shared" si="66"/>
        <v/>
      </c>
      <c r="J1094" s="34">
        <f>IF(AND(A1094&lt;&gt;"",ISTEXT(A1094),COUNTIFS(Processos!$AS$10:$AS$509,"="&amp;SUBSTITUTE(SUBSTITUTE(SUBSTITUTE("P:"&amp;A1094,"~","~~"),"*","~*"),"?","~?"))=1),(IF(ISNA(MATCH(SUBSTITUTE(SUBSTITUTE(SUBSTITUTE("P:"&amp;A1094,"~","~~"),"*","~*"),"?","~?"),Processos!$AS$10:$AS$509,0)),9,INDEX(Processos!$AM$10:$AM$509,MATCH(SUBSTITUTE(SUBSTITUTE(SUBSTITUTE("P:"&amp;A1094,"~","~~"),"*","~*"),"?","~?"),Processos!$AS$10:$AS$509,0)))-9),0)</f>
        <v>0</v>
      </c>
      <c r="K1094" s="34" t="str">
        <f t="shared" si="67"/>
        <v/>
      </c>
      <c r="L1094" s="14">
        <f>ROW()</f>
        <v>1094</v>
      </c>
    </row>
    <row r="1095" spans="1:12" ht="60" customHeight="1">
      <c r="A1095" s="41"/>
      <c r="B1095" s="43"/>
      <c r="C1095" s="44"/>
      <c r="D1095" s="51"/>
      <c r="E1095" s="44"/>
      <c r="F1095" s="44"/>
      <c r="G1095" s="34">
        <f t="shared" si="64"/>
        <v>0</v>
      </c>
      <c r="H1095" s="34" t="str">
        <f t="shared" si="65"/>
        <v/>
      </c>
      <c r="I1095" s="52" t="str">
        <f t="shared" si="66"/>
        <v/>
      </c>
      <c r="J1095" s="34">
        <f>IF(AND(A1095&lt;&gt;"",ISTEXT(A1095),COUNTIFS(Processos!$AS$10:$AS$509,"="&amp;SUBSTITUTE(SUBSTITUTE(SUBSTITUTE("P:"&amp;A1095,"~","~~"),"*","~*"),"?","~?"))=1),(IF(ISNA(MATCH(SUBSTITUTE(SUBSTITUTE(SUBSTITUTE("P:"&amp;A1095,"~","~~"),"*","~*"),"?","~?"),Processos!$AS$10:$AS$509,0)),9,INDEX(Processos!$AM$10:$AM$509,MATCH(SUBSTITUTE(SUBSTITUTE(SUBSTITUTE("P:"&amp;A1095,"~","~~"),"*","~*"),"?","~?"),Processos!$AS$10:$AS$509,0)))-9),0)</f>
        <v>0</v>
      </c>
      <c r="K1095" s="34" t="str">
        <f t="shared" si="67"/>
        <v/>
      </c>
      <c r="L1095" s="14">
        <f>ROW()</f>
        <v>1095</v>
      </c>
    </row>
    <row r="1096" spans="1:12" ht="60" customHeight="1">
      <c r="A1096" s="41"/>
      <c r="B1096" s="43"/>
      <c r="C1096" s="44"/>
      <c r="D1096" s="51"/>
      <c r="E1096" s="44"/>
      <c r="F1096" s="44"/>
      <c r="G1096" s="34">
        <f t="shared" si="64"/>
        <v>0</v>
      </c>
      <c r="H1096" s="34" t="str">
        <f t="shared" si="65"/>
        <v/>
      </c>
      <c r="I1096" s="52" t="str">
        <f t="shared" si="66"/>
        <v/>
      </c>
      <c r="J1096" s="34">
        <f>IF(AND(A1096&lt;&gt;"",ISTEXT(A1096),COUNTIFS(Processos!$AS$10:$AS$509,"="&amp;SUBSTITUTE(SUBSTITUTE(SUBSTITUTE("P:"&amp;A1096,"~","~~"),"*","~*"),"?","~?"))=1),(IF(ISNA(MATCH(SUBSTITUTE(SUBSTITUTE(SUBSTITUTE("P:"&amp;A1096,"~","~~"),"*","~*"),"?","~?"),Processos!$AS$10:$AS$509,0)),9,INDEX(Processos!$AM$10:$AM$509,MATCH(SUBSTITUTE(SUBSTITUTE(SUBSTITUTE("P:"&amp;A1096,"~","~~"),"*","~*"),"?","~?"),Processos!$AS$10:$AS$509,0)))-9),0)</f>
        <v>0</v>
      </c>
      <c r="K1096" s="34" t="str">
        <f t="shared" si="67"/>
        <v/>
      </c>
      <c r="L1096" s="14">
        <f>ROW()</f>
        <v>1096</v>
      </c>
    </row>
    <row r="1097" spans="1:12" ht="60" customHeight="1">
      <c r="A1097" s="41"/>
      <c r="B1097" s="43"/>
      <c r="C1097" s="44"/>
      <c r="D1097" s="51"/>
      <c r="E1097" s="44"/>
      <c r="F1097" s="44"/>
      <c r="G1097" s="34">
        <f t="shared" si="64"/>
        <v>0</v>
      </c>
      <c r="H1097" s="34" t="str">
        <f t="shared" si="65"/>
        <v/>
      </c>
      <c r="I1097" s="52" t="str">
        <f t="shared" si="66"/>
        <v/>
      </c>
      <c r="J1097" s="34">
        <f>IF(AND(A1097&lt;&gt;"",ISTEXT(A1097),COUNTIFS(Processos!$AS$10:$AS$509,"="&amp;SUBSTITUTE(SUBSTITUTE(SUBSTITUTE("P:"&amp;A1097,"~","~~"),"*","~*"),"?","~?"))=1),(IF(ISNA(MATCH(SUBSTITUTE(SUBSTITUTE(SUBSTITUTE("P:"&amp;A1097,"~","~~"),"*","~*"),"?","~?"),Processos!$AS$10:$AS$509,0)),9,INDEX(Processos!$AM$10:$AM$509,MATCH(SUBSTITUTE(SUBSTITUTE(SUBSTITUTE("P:"&amp;A1097,"~","~~"),"*","~*"),"?","~?"),Processos!$AS$10:$AS$509,0)))-9),0)</f>
        <v>0</v>
      </c>
      <c r="K1097" s="34" t="str">
        <f t="shared" si="67"/>
        <v/>
      </c>
      <c r="L1097" s="14">
        <f>ROW()</f>
        <v>1097</v>
      </c>
    </row>
    <row r="1098" spans="1:12" ht="60" customHeight="1">
      <c r="A1098" s="41"/>
      <c r="B1098" s="43"/>
      <c r="C1098" s="44"/>
      <c r="D1098" s="51"/>
      <c r="E1098" s="44"/>
      <c r="F1098" s="44"/>
      <c r="G1098" s="34">
        <f t="shared" ref="G1098:G1161" si="68">IF(AND(J1098&gt;0,OR(B1098="",AND(ISNUMBER(B1098),B1098&gt;=1,B1098&lt;=100000)),ISNUMBER(D1098),D1098&gt;=1,D1098&lt;=100000,C1098&lt;&gt;""),1,0)</f>
        <v>0</v>
      </c>
      <c r="H1098" s="34" t="str">
        <f t="shared" ref="H1098:H1161" si="69">IF(G1098=1,K1098&amp;"|"&amp;D1098,"")</f>
        <v/>
      </c>
      <c r="I1098" s="52" t="str">
        <f t="shared" ref="I1098:I1161" si="70">IF(COUNTA(A1098:F1098)=0,"",IF(A1098="","Selecione o processo",IF(J1098=0,"Processo inexistente, duplicado ou número não textual",IF(B1098="","Informe a data do andamento",IF(C1098="","Descreva o andamento",IF(D1098="","Informe a data e hora do recebimento",IF(OR(NOT(ISNUMBER(B1098)),B1098&lt;1,B1098&gt;100000),"Revise a data do andamento",IF(OR(NOT(ISNUMBER(D1098)),D1098&lt;1,D1098&gt;100000),"Revise a data e hora do recebimento",IF(COUNTIFS($K$10:$K$2009,"="&amp;SUBSTITUTE(SUBSTITUTE(SUBSTITUTE("P:"&amp;A1098,"~","~~"),"*","~*"),"?","~?"),$D$10:$D$2009,D1098,$G$10:$G$2009,1)&gt;1,"Recebimentos empatados: revise a hora ou consolide o registro","")))))))))</f>
        <v/>
      </c>
      <c r="J1098" s="34">
        <f>IF(AND(A1098&lt;&gt;"",ISTEXT(A1098),COUNTIFS(Processos!$AS$10:$AS$509,"="&amp;SUBSTITUTE(SUBSTITUTE(SUBSTITUTE("P:"&amp;A1098,"~","~~"),"*","~*"),"?","~?"))=1),(IF(ISNA(MATCH(SUBSTITUTE(SUBSTITUTE(SUBSTITUTE("P:"&amp;A1098,"~","~~"),"*","~*"),"?","~?"),Processos!$AS$10:$AS$509,0)),9,INDEX(Processos!$AM$10:$AM$509,MATCH(SUBSTITUTE(SUBSTITUTE(SUBSTITUTE("P:"&amp;A1098,"~","~~"),"*","~*"),"?","~?"),Processos!$AS$10:$AS$509,0)))-9),0)</f>
        <v>0</v>
      </c>
      <c r="K1098" s="34" t="str">
        <f t="shared" ref="K1098:K1161" si="71">IF(AND(A1098&lt;&gt;"",ISTEXT(A1098)),"P:"&amp;A1098,"")</f>
        <v/>
      </c>
      <c r="L1098" s="14">
        <f>ROW()</f>
        <v>1098</v>
      </c>
    </row>
    <row r="1099" spans="1:12" ht="60" customHeight="1">
      <c r="A1099" s="41"/>
      <c r="B1099" s="43"/>
      <c r="C1099" s="44"/>
      <c r="D1099" s="51"/>
      <c r="E1099" s="44"/>
      <c r="F1099" s="44"/>
      <c r="G1099" s="34">
        <f t="shared" si="68"/>
        <v>0</v>
      </c>
      <c r="H1099" s="34" t="str">
        <f t="shared" si="69"/>
        <v/>
      </c>
      <c r="I1099" s="52" t="str">
        <f t="shared" si="70"/>
        <v/>
      </c>
      <c r="J1099" s="34">
        <f>IF(AND(A1099&lt;&gt;"",ISTEXT(A1099),COUNTIFS(Processos!$AS$10:$AS$509,"="&amp;SUBSTITUTE(SUBSTITUTE(SUBSTITUTE("P:"&amp;A1099,"~","~~"),"*","~*"),"?","~?"))=1),(IF(ISNA(MATCH(SUBSTITUTE(SUBSTITUTE(SUBSTITUTE("P:"&amp;A1099,"~","~~"),"*","~*"),"?","~?"),Processos!$AS$10:$AS$509,0)),9,INDEX(Processos!$AM$10:$AM$509,MATCH(SUBSTITUTE(SUBSTITUTE(SUBSTITUTE("P:"&amp;A1099,"~","~~"),"*","~*"),"?","~?"),Processos!$AS$10:$AS$509,0)))-9),0)</f>
        <v>0</v>
      </c>
      <c r="K1099" s="34" t="str">
        <f t="shared" si="71"/>
        <v/>
      </c>
      <c r="L1099" s="14">
        <f>ROW()</f>
        <v>1099</v>
      </c>
    </row>
    <row r="1100" spans="1:12" ht="60" customHeight="1">
      <c r="A1100" s="41"/>
      <c r="B1100" s="43"/>
      <c r="C1100" s="44"/>
      <c r="D1100" s="51"/>
      <c r="E1100" s="44"/>
      <c r="F1100" s="44"/>
      <c r="G1100" s="34">
        <f t="shared" si="68"/>
        <v>0</v>
      </c>
      <c r="H1100" s="34" t="str">
        <f t="shared" si="69"/>
        <v/>
      </c>
      <c r="I1100" s="52" t="str">
        <f t="shared" si="70"/>
        <v/>
      </c>
      <c r="J1100" s="34">
        <f>IF(AND(A1100&lt;&gt;"",ISTEXT(A1100),COUNTIFS(Processos!$AS$10:$AS$509,"="&amp;SUBSTITUTE(SUBSTITUTE(SUBSTITUTE("P:"&amp;A1100,"~","~~"),"*","~*"),"?","~?"))=1),(IF(ISNA(MATCH(SUBSTITUTE(SUBSTITUTE(SUBSTITUTE("P:"&amp;A1100,"~","~~"),"*","~*"),"?","~?"),Processos!$AS$10:$AS$509,0)),9,INDEX(Processos!$AM$10:$AM$509,MATCH(SUBSTITUTE(SUBSTITUTE(SUBSTITUTE("P:"&amp;A1100,"~","~~"),"*","~*"),"?","~?"),Processos!$AS$10:$AS$509,0)))-9),0)</f>
        <v>0</v>
      </c>
      <c r="K1100" s="34" t="str">
        <f t="shared" si="71"/>
        <v/>
      </c>
      <c r="L1100" s="14">
        <f>ROW()</f>
        <v>1100</v>
      </c>
    </row>
    <row r="1101" spans="1:12" ht="60" customHeight="1">
      <c r="A1101" s="41"/>
      <c r="B1101" s="43"/>
      <c r="C1101" s="44"/>
      <c r="D1101" s="51"/>
      <c r="E1101" s="44"/>
      <c r="F1101" s="44"/>
      <c r="G1101" s="34">
        <f t="shared" si="68"/>
        <v>0</v>
      </c>
      <c r="H1101" s="34" t="str">
        <f t="shared" si="69"/>
        <v/>
      </c>
      <c r="I1101" s="52" t="str">
        <f t="shared" si="70"/>
        <v/>
      </c>
      <c r="J1101" s="34">
        <f>IF(AND(A1101&lt;&gt;"",ISTEXT(A1101),COUNTIFS(Processos!$AS$10:$AS$509,"="&amp;SUBSTITUTE(SUBSTITUTE(SUBSTITUTE("P:"&amp;A1101,"~","~~"),"*","~*"),"?","~?"))=1),(IF(ISNA(MATCH(SUBSTITUTE(SUBSTITUTE(SUBSTITUTE("P:"&amp;A1101,"~","~~"),"*","~*"),"?","~?"),Processos!$AS$10:$AS$509,0)),9,INDEX(Processos!$AM$10:$AM$509,MATCH(SUBSTITUTE(SUBSTITUTE(SUBSTITUTE("P:"&amp;A1101,"~","~~"),"*","~*"),"?","~?"),Processos!$AS$10:$AS$509,0)))-9),0)</f>
        <v>0</v>
      </c>
      <c r="K1101" s="34" t="str">
        <f t="shared" si="71"/>
        <v/>
      </c>
      <c r="L1101" s="14">
        <f>ROW()</f>
        <v>1101</v>
      </c>
    </row>
    <row r="1102" spans="1:12" ht="60" customHeight="1">
      <c r="A1102" s="41"/>
      <c r="B1102" s="43"/>
      <c r="C1102" s="44"/>
      <c r="D1102" s="51"/>
      <c r="E1102" s="44"/>
      <c r="F1102" s="44"/>
      <c r="G1102" s="34">
        <f t="shared" si="68"/>
        <v>0</v>
      </c>
      <c r="H1102" s="34" t="str">
        <f t="shared" si="69"/>
        <v/>
      </c>
      <c r="I1102" s="52" t="str">
        <f t="shared" si="70"/>
        <v/>
      </c>
      <c r="J1102" s="34">
        <f>IF(AND(A1102&lt;&gt;"",ISTEXT(A1102),COUNTIFS(Processos!$AS$10:$AS$509,"="&amp;SUBSTITUTE(SUBSTITUTE(SUBSTITUTE("P:"&amp;A1102,"~","~~"),"*","~*"),"?","~?"))=1),(IF(ISNA(MATCH(SUBSTITUTE(SUBSTITUTE(SUBSTITUTE("P:"&amp;A1102,"~","~~"),"*","~*"),"?","~?"),Processos!$AS$10:$AS$509,0)),9,INDEX(Processos!$AM$10:$AM$509,MATCH(SUBSTITUTE(SUBSTITUTE(SUBSTITUTE("P:"&amp;A1102,"~","~~"),"*","~*"),"?","~?"),Processos!$AS$10:$AS$509,0)))-9),0)</f>
        <v>0</v>
      </c>
      <c r="K1102" s="34" t="str">
        <f t="shared" si="71"/>
        <v/>
      </c>
      <c r="L1102" s="14">
        <f>ROW()</f>
        <v>1102</v>
      </c>
    </row>
    <row r="1103" spans="1:12" ht="60" customHeight="1">
      <c r="A1103" s="41"/>
      <c r="B1103" s="43"/>
      <c r="C1103" s="44"/>
      <c r="D1103" s="51"/>
      <c r="E1103" s="44"/>
      <c r="F1103" s="44"/>
      <c r="G1103" s="34">
        <f t="shared" si="68"/>
        <v>0</v>
      </c>
      <c r="H1103" s="34" t="str">
        <f t="shared" si="69"/>
        <v/>
      </c>
      <c r="I1103" s="52" t="str">
        <f t="shared" si="70"/>
        <v/>
      </c>
      <c r="J1103" s="34">
        <f>IF(AND(A1103&lt;&gt;"",ISTEXT(A1103),COUNTIFS(Processos!$AS$10:$AS$509,"="&amp;SUBSTITUTE(SUBSTITUTE(SUBSTITUTE("P:"&amp;A1103,"~","~~"),"*","~*"),"?","~?"))=1),(IF(ISNA(MATCH(SUBSTITUTE(SUBSTITUTE(SUBSTITUTE("P:"&amp;A1103,"~","~~"),"*","~*"),"?","~?"),Processos!$AS$10:$AS$509,0)),9,INDEX(Processos!$AM$10:$AM$509,MATCH(SUBSTITUTE(SUBSTITUTE(SUBSTITUTE("P:"&amp;A1103,"~","~~"),"*","~*"),"?","~?"),Processos!$AS$10:$AS$509,0)))-9),0)</f>
        <v>0</v>
      </c>
      <c r="K1103" s="34" t="str">
        <f t="shared" si="71"/>
        <v/>
      </c>
      <c r="L1103" s="14">
        <f>ROW()</f>
        <v>1103</v>
      </c>
    </row>
    <row r="1104" spans="1:12" ht="60" customHeight="1">
      <c r="A1104" s="41"/>
      <c r="B1104" s="43"/>
      <c r="C1104" s="44"/>
      <c r="D1104" s="51"/>
      <c r="E1104" s="44"/>
      <c r="F1104" s="44"/>
      <c r="G1104" s="34">
        <f t="shared" si="68"/>
        <v>0</v>
      </c>
      <c r="H1104" s="34" t="str">
        <f t="shared" si="69"/>
        <v/>
      </c>
      <c r="I1104" s="52" t="str">
        <f t="shared" si="70"/>
        <v/>
      </c>
      <c r="J1104" s="34">
        <f>IF(AND(A1104&lt;&gt;"",ISTEXT(A1104),COUNTIFS(Processos!$AS$10:$AS$509,"="&amp;SUBSTITUTE(SUBSTITUTE(SUBSTITUTE("P:"&amp;A1104,"~","~~"),"*","~*"),"?","~?"))=1),(IF(ISNA(MATCH(SUBSTITUTE(SUBSTITUTE(SUBSTITUTE("P:"&amp;A1104,"~","~~"),"*","~*"),"?","~?"),Processos!$AS$10:$AS$509,0)),9,INDEX(Processos!$AM$10:$AM$509,MATCH(SUBSTITUTE(SUBSTITUTE(SUBSTITUTE("P:"&amp;A1104,"~","~~"),"*","~*"),"?","~?"),Processos!$AS$10:$AS$509,0)))-9),0)</f>
        <v>0</v>
      </c>
      <c r="K1104" s="34" t="str">
        <f t="shared" si="71"/>
        <v/>
      </c>
      <c r="L1104" s="14">
        <f>ROW()</f>
        <v>1104</v>
      </c>
    </row>
    <row r="1105" spans="1:12" ht="60" customHeight="1">
      <c r="A1105" s="41"/>
      <c r="B1105" s="43"/>
      <c r="C1105" s="44"/>
      <c r="D1105" s="51"/>
      <c r="E1105" s="44"/>
      <c r="F1105" s="44"/>
      <c r="G1105" s="34">
        <f t="shared" si="68"/>
        <v>0</v>
      </c>
      <c r="H1105" s="34" t="str">
        <f t="shared" si="69"/>
        <v/>
      </c>
      <c r="I1105" s="52" t="str">
        <f t="shared" si="70"/>
        <v/>
      </c>
      <c r="J1105" s="34">
        <f>IF(AND(A1105&lt;&gt;"",ISTEXT(A1105),COUNTIFS(Processos!$AS$10:$AS$509,"="&amp;SUBSTITUTE(SUBSTITUTE(SUBSTITUTE("P:"&amp;A1105,"~","~~"),"*","~*"),"?","~?"))=1),(IF(ISNA(MATCH(SUBSTITUTE(SUBSTITUTE(SUBSTITUTE("P:"&amp;A1105,"~","~~"),"*","~*"),"?","~?"),Processos!$AS$10:$AS$509,0)),9,INDEX(Processos!$AM$10:$AM$509,MATCH(SUBSTITUTE(SUBSTITUTE(SUBSTITUTE("P:"&amp;A1105,"~","~~"),"*","~*"),"?","~?"),Processos!$AS$10:$AS$509,0)))-9),0)</f>
        <v>0</v>
      </c>
      <c r="K1105" s="34" t="str">
        <f t="shared" si="71"/>
        <v/>
      </c>
      <c r="L1105" s="14">
        <f>ROW()</f>
        <v>1105</v>
      </c>
    </row>
    <row r="1106" spans="1:12" ht="60" customHeight="1">
      <c r="A1106" s="41"/>
      <c r="B1106" s="43"/>
      <c r="C1106" s="44"/>
      <c r="D1106" s="51"/>
      <c r="E1106" s="44"/>
      <c r="F1106" s="44"/>
      <c r="G1106" s="34">
        <f t="shared" si="68"/>
        <v>0</v>
      </c>
      <c r="H1106" s="34" t="str">
        <f t="shared" si="69"/>
        <v/>
      </c>
      <c r="I1106" s="52" t="str">
        <f t="shared" si="70"/>
        <v/>
      </c>
      <c r="J1106" s="34">
        <f>IF(AND(A1106&lt;&gt;"",ISTEXT(A1106),COUNTIFS(Processos!$AS$10:$AS$509,"="&amp;SUBSTITUTE(SUBSTITUTE(SUBSTITUTE("P:"&amp;A1106,"~","~~"),"*","~*"),"?","~?"))=1),(IF(ISNA(MATCH(SUBSTITUTE(SUBSTITUTE(SUBSTITUTE("P:"&amp;A1106,"~","~~"),"*","~*"),"?","~?"),Processos!$AS$10:$AS$509,0)),9,INDEX(Processos!$AM$10:$AM$509,MATCH(SUBSTITUTE(SUBSTITUTE(SUBSTITUTE("P:"&amp;A1106,"~","~~"),"*","~*"),"?","~?"),Processos!$AS$10:$AS$509,0)))-9),0)</f>
        <v>0</v>
      </c>
      <c r="K1106" s="34" t="str">
        <f t="shared" si="71"/>
        <v/>
      </c>
      <c r="L1106" s="14">
        <f>ROW()</f>
        <v>1106</v>
      </c>
    </row>
    <row r="1107" spans="1:12" ht="60" customHeight="1">
      <c r="A1107" s="41"/>
      <c r="B1107" s="43"/>
      <c r="C1107" s="44"/>
      <c r="D1107" s="51"/>
      <c r="E1107" s="44"/>
      <c r="F1107" s="44"/>
      <c r="G1107" s="34">
        <f t="shared" si="68"/>
        <v>0</v>
      </c>
      <c r="H1107" s="34" t="str">
        <f t="shared" si="69"/>
        <v/>
      </c>
      <c r="I1107" s="52" t="str">
        <f t="shared" si="70"/>
        <v/>
      </c>
      <c r="J1107" s="34">
        <f>IF(AND(A1107&lt;&gt;"",ISTEXT(A1107),COUNTIFS(Processos!$AS$10:$AS$509,"="&amp;SUBSTITUTE(SUBSTITUTE(SUBSTITUTE("P:"&amp;A1107,"~","~~"),"*","~*"),"?","~?"))=1),(IF(ISNA(MATCH(SUBSTITUTE(SUBSTITUTE(SUBSTITUTE("P:"&amp;A1107,"~","~~"),"*","~*"),"?","~?"),Processos!$AS$10:$AS$509,0)),9,INDEX(Processos!$AM$10:$AM$509,MATCH(SUBSTITUTE(SUBSTITUTE(SUBSTITUTE("P:"&amp;A1107,"~","~~"),"*","~*"),"?","~?"),Processos!$AS$10:$AS$509,0)))-9),0)</f>
        <v>0</v>
      </c>
      <c r="K1107" s="34" t="str">
        <f t="shared" si="71"/>
        <v/>
      </c>
      <c r="L1107" s="14">
        <f>ROW()</f>
        <v>1107</v>
      </c>
    </row>
    <row r="1108" spans="1:12" ht="60" customHeight="1">
      <c r="A1108" s="41"/>
      <c r="B1108" s="43"/>
      <c r="C1108" s="44"/>
      <c r="D1108" s="51"/>
      <c r="E1108" s="44"/>
      <c r="F1108" s="44"/>
      <c r="G1108" s="34">
        <f t="shared" si="68"/>
        <v>0</v>
      </c>
      <c r="H1108" s="34" t="str">
        <f t="shared" si="69"/>
        <v/>
      </c>
      <c r="I1108" s="52" t="str">
        <f t="shared" si="70"/>
        <v/>
      </c>
      <c r="J1108" s="34">
        <f>IF(AND(A1108&lt;&gt;"",ISTEXT(A1108),COUNTIFS(Processos!$AS$10:$AS$509,"="&amp;SUBSTITUTE(SUBSTITUTE(SUBSTITUTE("P:"&amp;A1108,"~","~~"),"*","~*"),"?","~?"))=1),(IF(ISNA(MATCH(SUBSTITUTE(SUBSTITUTE(SUBSTITUTE("P:"&amp;A1108,"~","~~"),"*","~*"),"?","~?"),Processos!$AS$10:$AS$509,0)),9,INDEX(Processos!$AM$10:$AM$509,MATCH(SUBSTITUTE(SUBSTITUTE(SUBSTITUTE("P:"&amp;A1108,"~","~~"),"*","~*"),"?","~?"),Processos!$AS$10:$AS$509,0)))-9),0)</f>
        <v>0</v>
      </c>
      <c r="K1108" s="34" t="str">
        <f t="shared" si="71"/>
        <v/>
      </c>
      <c r="L1108" s="14">
        <f>ROW()</f>
        <v>1108</v>
      </c>
    </row>
    <row r="1109" spans="1:12" ht="60" customHeight="1">
      <c r="A1109" s="41"/>
      <c r="B1109" s="43"/>
      <c r="C1109" s="44"/>
      <c r="D1109" s="51"/>
      <c r="E1109" s="44"/>
      <c r="F1109" s="44"/>
      <c r="G1109" s="34">
        <f t="shared" si="68"/>
        <v>0</v>
      </c>
      <c r="H1109" s="34" t="str">
        <f t="shared" si="69"/>
        <v/>
      </c>
      <c r="I1109" s="52" t="str">
        <f t="shared" si="70"/>
        <v/>
      </c>
      <c r="J1109" s="34">
        <f>IF(AND(A1109&lt;&gt;"",ISTEXT(A1109),COUNTIFS(Processos!$AS$10:$AS$509,"="&amp;SUBSTITUTE(SUBSTITUTE(SUBSTITUTE("P:"&amp;A1109,"~","~~"),"*","~*"),"?","~?"))=1),(IF(ISNA(MATCH(SUBSTITUTE(SUBSTITUTE(SUBSTITUTE("P:"&amp;A1109,"~","~~"),"*","~*"),"?","~?"),Processos!$AS$10:$AS$509,0)),9,INDEX(Processos!$AM$10:$AM$509,MATCH(SUBSTITUTE(SUBSTITUTE(SUBSTITUTE("P:"&amp;A1109,"~","~~"),"*","~*"),"?","~?"),Processos!$AS$10:$AS$509,0)))-9),0)</f>
        <v>0</v>
      </c>
      <c r="K1109" s="34" t="str">
        <f t="shared" si="71"/>
        <v/>
      </c>
      <c r="L1109" s="14">
        <f>ROW()</f>
        <v>1109</v>
      </c>
    </row>
    <row r="1110" spans="1:12" ht="60" customHeight="1">
      <c r="A1110" s="41"/>
      <c r="B1110" s="43"/>
      <c r="C1110" s="44"/>
      <c r="D1110" s="51"/>
      <c r="E1110" s="44"/>
      <c r="F1110" s="44"/>
      <c r="G1110" s="34">
        <f t="shared" si="68"/>
        <v>0</v>
      </c>
      <c r="H1110" s="34" t="str">
        <f t="shared" si="69"/>
        <v/>
      </c>
      <c r="I1110" s="52" t="str">
        <f t="shared" si="70"/>
        <v/>
      </c>
      <c r="J1110" s="34">
        <f>IF(AND(A1110&lt;&gt;"",ISTEXT(A1110),COUNTIFS(Processos!$AS$10:$AS$509,"="&amp;SUBSTITUTE(SUBSTITUTE(SUBSTITUTE("P:"&amp;A1110,"~","~~"),"*","~*"),"?","~?"))=1),(IF(ISNA(MATCH(SUBSTITUTE(SUBSTITUTE(SUBSTITUTE("P:"&amp;A1110,"~","~~"),"*","~*"),"?","~?"),Processos!$AS$10:$AS$509,0)),9,INDEX(Processos!$AM$10:$AM$509,MATCH(SUBSTITUTE(SUBSTITUTE(SUBSTITUTE("P:"&amp;A1110,"~","~~"),"*","~*"),"?","~?"),Processos!$AS$10:$AS$509,0)))-9),0)</f>
        <v>0</v>
      </c>
      <c r="K1110" s="34" t="str">
        <f t="shared" si="71"/>
        <v/>
      </c>
      <c r="L1110" s="14">
        <f>ROW()</f>
        <v>1110</v>
      </c>
    </row>
    <row r="1111" spans="1:12" ht="60" customHeight="1">
      <c r="A1111" s="41"/>
      <c r="B1111" s="43"/>
      <c r="C1111" s="44"/>
      <c r="D1111" s="51"/>
      <c r="E1111" s="44"/>
      <c r="F1111" s="44"/>
      <c r="G1111" s="34">
        <f t="shared" si="68"/>
        <v>0</v>
      </c>
      <c r="H1111" s="34" t="str">
        <f t="shared" si="69"/>
        <v/>
      </c>
      <c r="I1111" s="52" t="str">
        <f t="shared" si="70"/>
        <v/>
      </c>
      <c r="J1111" s="34">
        <f>IF(AND(A1111&lt;&gt;"",ISTEXT(A1111),COUNTIFS(Processos!$AS$10:$AS$509,"="&amp;SUBSTITUTE(SUBSTITUTE(SUBSTITUTE("P:"&amp;A1111,"~","~~"),"*","~*"),"?","~?"))=1),(IF(ISNA(MATCH(SUBSTITUTE(SUBSTITUTE(SUBSTITUTE("P:"&amp;A1111,"~","~~"),"*","~*"),"?","~?"),Processos!$AS$10:$AS$509,0)),9,INDEX(Processos!$AM$10:$AM$509,MATCH(SUBSTITUTE(SUBSTITUTE(SUBSTITUTE("P:"&amp;A1111,"~","~~"),"*","~*"),"?","~?"),Processos!$AS$10:$AS$509,0)))-9),0)</f>
        <v>0</v>
      </c>
      <c r="K1111" s="34" t="str">
        <f t="shared" si="71"/>
        <v/>
      </c>
      <c r="L1111" s="14">
        <f>ROW()</f>
        <v>1111</v>
      </c>
    </row>
    <row r="1112" spans="1:12" ht="60" customHeight="1">
      <c r="A1112" s="41"/>
      <c r="B1112" s="43"/>
      <c r="C1112" s="44"/>
      <c r="D1112" s="51"/>
      <c r="E1112" s="44"/>
      <c r="F1112" s="44"/>
      <c r="G1112" s="34">
        <f t="shared" si="68"/>
        <v>0</v>
      </c>
      <c r="H1112" s="34" t="str">
        <f t="shared" si="69"/>
        <v/>
      </c>
      <c r="I1112" s="52" t="str">
        <f t="shared" si="70"/>
        <v/>
      </c>
      <c r="J1112" s="34">
        <f>IF(AND(A1112&lt;&gt;"",ISTEXT(A1112),COUNTIFS(Processos!$AS$10:$AS$509,"="&amp;SUBSTITUTE(SUBSTITUTE(SUBSTITUTE("P:"&amp;A1112,"~","~~"),"*","~*"),"?","~?"))=1),(IF(ISNA(MATCH(SUBSTITUTE(SUBSTITUTE(SUBSTITUTE("P:"&amp;A1112,"~","~~"),"*","~*"),"?","~?"),Processos!$AS$10:$AS$509,0)),9,INDEX(Processos!$AM$10:$AM$509,MATCH(SUBSTITUTE(SUBSTITUTE(SUBSTITUTE("P:"&amp;A1112,"~","~~"),"*","~*"),"?","~?"),Processos!$AS$10:$AS$509,0)))-9),0)</f>
        <v>0</v>
      </c>
      <c r="K1112" s="34" t="str">
        <f t="shared" si="71"/>
        <v/>
      </c>
      <c r="L1112" s="14">
        <f>ROW()</f>
        <v>1112</v>
      </c>
    </row>
    <row r="1113" spans="1:12" ht="60" customHeight="1">
      <c r="A1113" s="41"/>
      <c r="B1113" s="43"/>
      <c r="C1113" s="44"/>
      <c r="D1113" s="51"/>
      <c r="E1113" s="44"/>
      <c r="F1113" s="44"/>
      <c r="G1113" s="34">
        <f t="shared" si="68"/>
        <v>0</v>
      </c>
      <c r="H1113" s="34" t="str">
        <f t="shared" si="69"/>
        <v/>
      </c>
      <c r="I1113" s="52" t="str">
        <f t="shared" si="70"/>
        <v/>
      </c>
      <c r="J1113" s="34">
        <f>IF(AND(A1113&lt;&gt;"",ISTEXT(A1113),COUNTIFS(Processos!$AS$10:$AS$509,"="&amp;SUBSTITUTE(SUBSTITUTE(SUBSTITUTE("P:"&amp;A1113,"~","~~"),"*","~*"),"?","~?"))=1),(IF(ISNA(MATCH(SUBSTITUTE(SUBSTITUTE(SUBSTITUTE("P:"&amp;A1113,"~","~~"),"*","~*"),"?","~?"),Processos!$AS$10:$AS$509,0)),9,INDEX(Processos!$AM$10:$AM$509,MATCH(SUBSTITUTE(SUBSTITUTE(SUBSTITUTE("P:"&amp;A1113,"~","~~"),"*","~*"),"?","~?"),Processos!$AS$10:$AS$509,0)))-9),0)</f>
        <v>0</v>
      </c>
      <c r="K1113" s="34" t="str">
        <f t="shared" si="71"/>
        <v/>
      </c>
      <c r="L1113" s="14">
        <f>ROW()</f>
        <v>1113</v>
      </c>
    </row>
    <row r="1114" spans="1:12" ht="60" customHeight="1">
      <c r="A1114" s="41"/>
      <c r="B1114" s="43"/>
      <c r="C1114" s="44"/>
      <c r="D1114" s="51"/>
      <c r="E1114" s="44"/>
      <c r="F1114" s="44"/>
      <c r="G1114" s="34">
        <f t="shared" si="68"/>
        <v>0</v>
      </c>
      <c r="H1114" s="34" t="str">
        <f t="shared" si="69"/>
        <v/>
      </c>
      <c r="I1114" s="52" t="str">
        <f t="shared" si="70"/>
        <v/>
      </c>
      <c r="J1114" s="34">
        <f>IF(AND(A1114&lt;&gt;"",ISTEXT(A1114),COUNTIFS(Processos!$AS$10:$AS$509,"="&amp;SUBSTITUTE(SUBSTITUTE(SUBSTITUTE("P:"&amp;A1114,"~","~~"),"*","~*"),"?","~?"))=1),(IF(ISNA(MATCH(SUBSTITUTE(SUBSTITUTE(SUBSTITUTE("P:"&amp;A1114,"~","~~"),"*","~*"),"?","~?"),Processos!$AS$10:$AS$509,0)),9,INDEX(Processos!$AM$10:$AM$509,MATCH(SUBSTITUTE(SUBSTITUTE(SUBSTITUTE("P:"&amp;A1114,"~","~~"),"*","~*"),"?","~?"),Processos!$AS$10:$AS$509,0)))-9),0)</f>
        <v>0</v>
      </c>
      <c r="K1114" s="34" t="str">
        <f t="shared" si="71"/>
        <v/>
      </c>
      <c r="L1114" s="14">
        <f>ROW()</f>
        <v>1114</v>
      </c>
    </row>
    <row r="1115" spans="1:12" ht="60" customHeight="1">
      <c r="A1115" s="41"/>
      <c r="B1115" s="43"/>
      <c r="C1115" s="44"/>
      <c r="D1115" s="51"/>
      <c r="E1115" s="44"/>
      <c r="F1115" s="44"/>
      <c r="G1115" s="34">
        <f t="shared" si="68"/>
        <v>0</v>
      </c>
      <c r="H1115" s="34" t="str">
        <f t="shared" si="69"/>
        <v/>
      </c>
      <c r="I1115" s="52" t="str">
        <f t="shared" si="70"/>
        <v/>
      </c>
      <c r="J1115" s="34">
        <f>IF(AND(A1115&lt;&gt;"",ISTEXT(A1115),COUNTIFS(Processos!$AS$10:$AS$509,"="&amp;SUBSTITUTE(SUBSTITUTE(SUBSTITUTE("P:"&amp;A1115,"~","~~"),"*","~*"),"?","~?"))=1),(IF(ISNA(MATCH(SUBSTITUTE(SUBSTITUTE(SUBSTITUTE("P:"&amp;A1115,"~","~~"),"*","~*"),"?","~?"),Processos!$AS$10:$AS$509,0)),9,INDEX(Processos!$AM$10:$AM$509,MATCH(SUBSTITUTE(SUBSTITUTE(SUBSTITUTE("P:"&amp;A1115,"~","~~"),"*","~*"),"?","~?"),Processos!$AS$10:$AS$509,0)))-9),0)</f>
        <v>0</v>
      </c>
      <c r="K1115" s="34" t="str">
        <f t="shared" si="71"/>
        <v/>
      </c>
      <c r="L1115" s="14">
        <f>ROW()</f>
        <v>1115</v>
      </c>
    </row>
    <row r="1116" spans="1:12" ht="60" customHeight="1">
      <c r="A1116" s="41"/>
      <c r="B1116" s="43"/>
      <c r="C1116" s="44"/>
      <c r="D1116" s="51"/>
      <c r="E1116" s="44"/>
      <c r="F1116" s="44"/>
      <c r="G1116" s="34">
        <f t="shared" si="68"/>
        <v>0</v>
      </c>
      <c r="H1116" s="34" t="str">
        <f t="shared" si="69"/>
        <v/>
      </c>
      <c r="I1116" s="52" t="str">
        <f t="shared" si="70"/>
        <v/>
      </c>
      <c r="J1116" s="34">
        <f>IF(AND(A1116&lt;&gt;"",ISTEXT(A1116),COUNTIFS(Processos!$AS$10:$AS$509,"="&amp;SUBSTITUTE(SUBSTITUTE(SUBSTITUTE("P:"&amp;A1116,"~","~~"),"*","~*"),"?","~?"))=1),(IF(ISNA(MATCH(SUBSTITUTE(SUBSTITUTE(SUBSTITUTE("P:"&amp;A1116,"~","~~"),"*","~*"),"?","~?"),Processos!$AS$10:$AS$509,0)),9,INDEX(Processos!$AM$10:$AM$509,MATCH(SUBSTITUTE(SUBSTITUTE(SUBSTITUTE("P:"&amp;A1116,"~","~~"),"*","~*"),"?","~?"),Processos!$AS$10:$AS$509,0)))-9),0)</f>
        <v>0</v>
      </c>
      <c r="K1116" s="34" t="str">
        <f t="shared" si="71"/>
        <v/>
      </c>
      <c r="L1116" s="14">
        <f>ROW()</f>
        <v>1116</v>
      </c>
    </row>
    <row r="1117" spans="1:12" ht="60" customHeight="1">
      <c r="A1117" s="41"/>
      <c r="B1117" s="43"/>
      <c r="C1117" s="44"/>
      <c r="D1117" s="51"/>
      <c r="E1117" s="44"/>
      <c r="F1117" s="44"/>
      <c r="G1117" s="34">
        <f t="shared" si="68"/>
        <v>0</v>
      </c>
      <c r="H1117" s="34" t="str">
        <f t="shared" si="69"/>
        <v/>
      </c>
      <c r="I1117" s="52" t="str">
        <f t="shared" si="70"/>
        <v/>
      </c>
      <c r="J1117" s="34">
        <f>IF(AND(A1117&lt;&gt;"",ISTEXT(A1117),COUNTIFS(Processos!$AS$10:$AS$509,"="&amp;SUBSTITUTE(SUBSTITUTE(SUBSTITUTE("P:"&amp;A1117,"~","~~"),"*","~*"),"?","~?"))=1),(IF(ISNA(MATCH(SUBSTITUTE(SUBSTITUTE(SUBSTITUTE("P:"&amp;A1117,"~","~~"),"*","~*"),"?","~?"),Processos!$AS$10:$AS$509,0)),9,INDEX(Processos!$AM$10:$AM$509,MATCH(SUBSTITUTE(SUBSTITUTE(SUBSTITUTE("P:"&amp;A1117,"~","~~"),"*","~*"),"?","~?"),Processos!$AS$10:$AS$509,0)))-9),0)</f>
        <v>0</v>
      </c>
      <c r="K1117" s="34" t="str">
        <f t="shared" si="71"/>
        <v/>
      </c>
      <c r="L1117" s="14">
        <f>ROW()</f>
        <v>1117</v>
      </c>
    </row>
    <row r="1118" spans="1:12" ht="60" customHeight="1">
      <c r="A1118" s="41"/>
      <c r="B1118" s="43"/>
      <c r="C1118" s="44"/>
      <c r="D1118" s="51"/>
      <c r="E1118" s="44"/>
      <c r="F1118" s="44"/>
      <c r="G1118" s="34">
        <f t="shared" si="68"/>
        <v>0</v>
      </c>
      <c r="H1118" s="34" t="str">
        <f t="shared" si="69"/>
        <v/>
      </c>
      <c r="I1118" s="52" t="str">
        <f t="shared" si="70"/>
        <v/>
      </c>
      <c r="J1118" s="34">
        <f>IF(AND(A1118&lt;&gt;"",ISTEXT(A1118),COUNTIFS(Processos!$AS$10:$AS$509,"="&amp;SUBSTITUTE(SUBSTITUTE(SUBSTITUTE("P:"&amp;A1118,"~","~~"),"*","~*"),"?","~?"))=1),(IF(ISNA(MATCH(SUBSTITUTE(SUBSTITUTE(SUBSTITUTE("P:"&amp;A1118,"~","~~"),"*","~*"),"?","~?"),Processos!$AS$10:$AS$509,0)),9,INDEX(Processos!$AM$10:$AM$509,MATCH(SUBSTITUTE(SUBSTITUTE(SUBSTITUTE("P:"&amp;A1118,"~","~~"),"*","~*"),"?","~?"),Processos!$AS$10:$AS$509,0)))-9),0)</f>
        <v>0</v>
      </c>
      <c r="K1118" s="34" t="str">
        <f t="shared" si="71"/>
        <v/>
      </c>
      <c r="L1118" s="14">
        <f>ROW()</f>
        <v>1118</v>
      </c>
    </row>
    <row r="1119" spans="1:12" ht="60" customHeight="1">
      <c r="A1119" s="41"/>
      <c r="B1119" s="43"/>
      <c r="C1119" s="44"/>
      <c r="D1119" s="51"/>
      <c r="E1119" s="44"/>
      <c r="F1119" s="44"/>
      <c r="G1119" s="34">
        <f t="shared" si="68"/>
        <v>0</v>
      </c>
      <c r="H1119" s="34" t="str">
        <f t="shared" si="69"/>
        <v/>
      </c>
      <c r="I1119" s="52" t="str">
        <f t="shared" si="70"/>
        <v/>
      </c>
      <c r="J1119" s="34">
        <f>IF(AND(A1119&lt;&gt;"",ISTEXT(A1119),COUNTIFS(Processos!$AS$10:$AS$509,"="&amp;SUBSTITUTE(SUBSTITUTE(SUBSTITUTE("P:"&amp;A1119,"~","~~"),"*","~*"),"?","~?"))=1),(IF(ISNA(MATCH(SUBSTITUTE(SUBSTITUTE(SUBSTITUTE("P:"&amp;A1119,"~","~~"),"*","~*"),"?","~?"),Processos!$AS$10:$AS$509,0)),9,INDEX(Processos!$AM$10:$AM$509,MATCH(SUBSTITUTE(SUBSTITUTE(SUBSTITUTE("P:"&amp;A1119,"~","~~"),"*","~*"),"?","~?"),Processos!$AS$10:$AS$509,0)))-9),0)</f>
        <v>0</v>
      </c>
      <c r="K1119" s="34" t="str">
        <f t="shared" si="71"/>
        <v/>
      </c>
      <c r="L1119" s="14">
        <f>ROW()</f>
        <v>1119</v>
      </c>
    </row>
    <row r="1120" spans="1:12" ht="60" customHeight="1">
      <c r="A1120" s="41"/>
      <c r="B1120" s="43"/>
      <c r="C1120" s="44"/>
      <c r="D1120" s="51"/>
      <c r="E1120" s="44"/>
      <c r="F1120" s="44"/>
      <c r="G1120" s="34">
        <f t="shared" si="68"/>
        <v>0</v>
      </c>
      <c r="H1120" s="34" t="str">
        <f t="shared" si="69"/>
        <v/>
      </c>
      <c r="I1120" s="52" t="str">
        <f t="shared" si="70"/>
        <v/>
      </c>
      <c r="J1120" s="34">
        <f>IF(AND(A1120&lt;&gt;"",ISTEXT(A1120),COUNTIFS(Processos!$AS$10:$AS$509,"="&amp;SUBSTITUTE(SUBSTITUTE(SUBSTITUTE("P:"&amp;A1120,"~","~~"),"*","~*"),"?","~?"))=1),(IF(ISNA(MATCH(SUBSTITUTE(SUBSTITUTE(SUBSTITUTE("P:"&amp;A1120,"~","~~"),"*","~*"),"?","~?"),Processos!$AS$10:$AS$509,0)),9,INDEX(Processos!$AM$10:$AM$509,MATCH(SUBSTITUTE(SUBSTITUTE(SUBSTITUTE("P:"&amp;A1120,"~","~~"),"*","~*"),"?","~?"),Processos!$AS$10:$AS$509,0)))-9),0)</f>
        <v>0</v>
      </c>
      <c r="K1120" s="34" t="str">
        <f t="shared" si="71"/>
        <v/>
      </c>
      <c r="L1120" s="14">
        <f>ROW()</f>
        <v>1120</v>
      </c>
    </row>
    <row r="1121" spans="1:12" ht="60" customHeight="1">
      <c r="A1121" s="41"/>
      <c r="B1121" s="43"/>
      <c r="C1121" s="44"/>
      <c r="D1121" s="51"/>
      <c r="E1121" s="44"/>
      <c r="F1121" s="44"/>
      <c r="G1121" s="34">
        <f t="shared" si="68"/>
        <v>0</v>
      </c>
      <c r="H1121" s="34" t="str">
        <f t="shared" si="69"/>
        <v/>
      </c>
      <c r="I1121" s="52" t="str">
        <f t="shared" si="70"/>
        <v/>
      </c>
      <c r="J1121" s="34">
        <f>IF(AND(A1121&lt;&gt;"",ISTEXT(A1121),COUNTIFS(Processos!$AS$10:$AS$509,"="&amp;SUBSTITUTE(SUBSTITUTE(SUBSTITUTE("P:"&amp;A1121,"~","~~"),"*","~*"),"?","~?"))=1),(IF(ISNA(MATCH(SUBSTITUTE(SUBSTITUTE(SUBSTITUTE("P:"&amp;A1121,"~","~~"),"*","~*"),"?","~?"),Processos!$AS$10:$AS$509,0)),9,INDEX(Processos!$AM$10:$AM$509,MATCH(SUBSTITUTE(SUBSTITUTE(SUBSTITUTE("P:"&amp;A1121,"~","~~"),"*","~*"),"?","~?"),Processos!$AS$10:$AS$509,0)))-9),0)</f>
        <v>0</v>
      </c>
      <c r="K1121" s="34" t="str">
        <f t="shared" si="71"/>
        <v/>
      </c>
      <c r="L1121" s="14">
        <f>ROW()</f>
        <v>1121</v>
      </c>
    </row>
    <row r="1122" spans="1:12" ht="60" customHeight="1">
      <c r="A1122" s="41"/>
      <c r="B1122" s="43"/>
      <c r="C1122" s="44"/>
      <c r="D1122" s="51"/>
      <c r="E1122" s="44"/>
      <c r="F1122" s="44"/>
      <c r="G1122" s="34">
        <f t="shared" si="68"/>
        <v>0</v>
      </c>
      <c r="H1122" s="34" t="str">
        <f t="shared" si="69"/>
        <v/>
      </c>
      <c r="I1122" s="52" t="str">
        <f t="shared" si="70"/>
        <v/>
      </c>
      <c r="J1122" s="34">
        <f>IF(AND(A1122&lt;&gt;"",ISTEXT(A1122),COUNTIFS(Processos!$AS$10:$AS$509,"="&amp;SUBSTITUTE(SUBSTITUTE(SUBSTITUTE("P:"&amp;A1122,"~","~~"),"*","~*"),"?","~?"))=1),(IF(ISNA(MATCH(SUBSTITUTE(SUBSTITUTE(SUBSTITUTE("P:"&amp;A1122,"~","~~"),"*","~*"),"?","~?"),Processos!$AS$10:$AS$509,0)),9,INDEX(Processos!$AM$10:$AM$509,MATCH(SUBSTITUTE(SUBSTITUTE(SUBSTITUTE("P:"&amp;A1122,"~","~~"),"*","~*"),"?","~?"),Processos!$AS$10:$AS$509,0)))-9),0)</f>
        <v>0</v>
      </c>
      <c r="K1122" s="34" t="str">
        <f t="shared" si="71"/>
        <v/>
      </c>
      <c r="L1122" s="14">
        <f>ROW()</f>
        <v>1122</v>
      </c>
    </row>
    <row r="1123" spans="1:12" ht="60" customHeight="1">
      <c r="A1123" s="41"/>
      <c r="B1123" s="43"/>
      <c r="C1123" s="44"/>
      <c r="D1123" s="51"/>
      <c r="E1123" s="44"/>
      <c r="F1123" s="44"/>
      <c r="G1123" s="34">
        <f t="shared" si="68"/>
        <v>0</v>
      </c>
      <c r="H1123" s="34" t="str">
        <f t="shared" si="69"/>
        <v/>
      </c>
      <c r="I1123" s="52" t="str">
        <f t="shared" si="70"/>
        <v/>
      </c>
      <c r="J1123" s="34">
        <f>IF(AND(A1123&lt;&gt;"",ISTEXT(A1123),COUNTIFS(Processos!$AS$10:$AS$509,"="&amp;SUBSTITUTE(SUBSTITUTE(SUBSTITUTE("P:"&amp;A1123,"~","~~"),"*","~*"),"?","~?"))=1),(IF(ISNA(MATCH(SUBSTITUTE(SUBSTITUTE(SUBSTITUTE("P:"&amp;A1123,"~","~~"),"*","~*"),"?","~?"),Processos!$AS$10:$AS$509,0)),9,INDEX(Processos!$AM$10:$AM$509,MATCH(SUBSTITUTE(SUBSTITUTE(SUBSTITUTE("P:"&amp;A1123,"~","~~"),"*","~*"),"?","~?"),Processos!$AS$10:$AS$509,0)))-9),0)</f>
        <v>0</v>
      </c>
      <c r="K1123" s="34" t="str">
        <f t="shared" si="71"/>
        <v/>
      </c>
      <c r="L1123" s="14">
        <f>ROW()</f>
        <v>1123</v>
      </c>
    </row>
    <row r="1124" spans="1:12" ht="60" customHeight="1">
      <c r="A1124" s="41"/>
      <c r="B1124" s="43"/>
      <c r="C1124" s="44"/>
      <c r="D1124" s="51"/>
      <c r="E1124" s="44"/>
      <c r="F1124" s="44"/>
      <c r="G1124" s="34">
        <f t="shared" si="68"/>
        <v>0</v>
      </c>
      <c r="H1124" s="34" t="str">
        <f t="shared" si="69"/>
        <v/>
      </c>
      <c r="I1124" s="52" t="str">
        <f t="shared" si="70"/>
        <v/>
      </c>
      <c r="J1124" s="34">
        <f>IF(AND(A1124&lt;&gt;"",ISTEXT(A1124),COUNTIFS(Processos!$AS$10:$AS$509,"="&amp;SUBSTITUTE(SUBSTITUTE(SUBSTITUTE("P:"&amp;A1124,"~","~~"),"*","~*"),"?","~?"))=1),(IF(ISNA(MATCH(SUBSTITUTE(SUBSTITUTE(SUBSTITUTE("P:"&amp;A1124,"~","~~"),"*","~*"),"?","~?"),Processos!$AS$10:$AS$509,0)),9,INDEX(Processos!$AM$10:$AM$509,MATCH(SUBSTITUTE(SUBSTITUTE(SUBSTITUTE("P:"&amp;A1124,"~","~~"),"*","~*"),"?","~?"),Processos!$AS$10:$AS$509,0)))-9),0)</f>
        <v>0</v>
      </c>
      <c r="K1124" s="34" t="str">
        <f t="shared" si="71"/>
        <v/>
      </c>
      <c r="L1124" s="14">
        <f>ROW()</f>
        <v>1124</v>
      </c>
    </row>
    <row r="1125" spans="1:12" ht="60" customHeight="1">
      <c r="A1125" s="41"/>
      <c r="B1125" s="43"/>
      <c r="C1125" s="44"/>
      <c r="D1125" s="51"/>
      <c r="E1125" s="44"/>
      <c r="F1125" s="44"/>
      <c r="G1125" s="34">
        <f t="shared" si="68"/>
        <v>0</v>
      </c>
      <c r="H1125" s="34" t="str">
        <f t="shared" si="69"/>
        <v/>
      </c>
      <c r="I1125" s="52" t="str">
        <f t="shared" si="70"/>
        <v/>
      </c>
      <c r="J1125" s="34">
        <f>IF(AND(A1125&lt;&gt;"",ISTEXT(A1125),COUNTIFS(Processos!$AS$10:$AS$509,"="&amp;SUBSTITUTE(SUBSTITUTE(SUBSTITUTE("P:"&amp;A1125,"~","~~"),"*","~*"),"?","~?"))=1),(IF(ISNA(MATCH(SUBSTITUTE(SUBSTITUTE(SUBSTITUTE("P:"&amp;A1125,"~","~~"),"*","~*"),"?","~?"),Processos!$AS$10:$AS$509,0)),9,INDEX(Processos!$AM$10:$AM$509,MATCH(SUBSTITUTE(SUBSTITUTE(SUBSTITUTE("P:"&amp;A1125,"~","~~"),"*","~*"),"?","~?"),Processos!$AS$10:$AS$509,0)))-9),0)</f>
        <v>0</v>
      </c>
      <c r="K1125" s="34" t="str">
        <f t="shared" si="71"/>
        <v/>
      </c>
      <c r="L1125" s="14">
        <f>ROW()</f>
        <v>1125</v>
      </c>
    </row>
    <row r="1126" spans="1:12" ht="60" customHeight="1">
      <c r="A1126" s="41"/>
      <c r="B1126" s="43"/>
      <c r="C1126" s="44"/>
      <c r="D1126" s="51"/>
      <c r="E1126" s="44"/>
      <c r="F1126" s="44"/>
      <c r="G1126" s="34">
        <f t="shared" si="68"/>
        <v>0</v>
      </c>
      <c r="H1126" s="34" t="str">
        <f t="shared" si="69"/>
        <v/>
      </c>
      <c r="I1126" s="52" t="str">
        <f t="shared" si="70"/>
        <v/>
      </c>
      <c r="J1126" s="34">
        <f>IF(AND(A1126&lt;&gt;"",ISTEXT(A1126),COUNTIFS(Processos!$AS$10:$AS$509,"="&amp;SUBSTITUTE(SUBSTITUTE(SUBSTITUTE("P:"&amp;A1126,"~","~~"),"*","~*"),"?","~?"))=1),(IF(ISNA(MATCH(SUBSTITUTE(SUBSTITUTE(SUBSTITUTE("P:"&amp;A1126,"~","~~"),"*","~*"),"?","~?"),Processos!$AS$10:$AS$509,0)),9,INDEX(Processos!$AM$10:$AM$509,MATCH(SUBSTITUTE(SUBSTITUTE(SUBSTITUTE("P:"&amp;A1126,"~","~~"),"*","~*"),"?","~?"),Processos!$AS$10:$AS$509,0)))-9),0)</f>
        <v>0</v>
      </c>
      <c r="K1126" s="34" t="str">
        <f t="shared" si="71"/>
        <v/>
      </c>
      <c r="L1126" s="14">
        <f>ROW()</f>
        <v>1126</v>
      </c>
    </row>
    <row r="1127" spans="1:12" ht="60" customHeight="1">
      <c r="A1127" s="41"/>
      <c r="B1127" s="43"/>
      <c r="C1127" s="44"/>
      <c r="D1127" s="51"/>
      <c r="E1127" s="44"/>
      <c r="F1127" s="44"/>
      <c r="G1127" s="34">
        <f t="shared" si="68"/>
        <v>0</v>
      </c>
      <c r="H1127" s="34" t="str">
        <f t="shared" si="69"/>
        <v/>
      </c>
      <c r="I1127" s="52" t="str">
        <f t="shared" si="70"/>
        <v/>
      </c>
      <c r="J1127" s="34">
        <f>IF(AND(A1127&lt;&gt;"",ISTEXT(A1127),COUNTIFS(Processos!$AS$10:$AS$509,"="&amp;SUBSTITUTE(SUBSTITUTE(SUBSTITUTE("P:"&amp;A1127,"~","~~"),"*","~*"),"?","~?"))=1),(IF(ISNA(MATCH(SUBSTITUTE(SUBSTITUTE(SUBSTITUTE("P:"&amp;A1127,"~","~~"),"*","~*"),"?","~?"),Processos!$AS$10:$AS$509,0)),9,INDEX(Processos!$AM$10:$AM$509,MATCH(SUBSTITUTE(SUBSTITUTE(SUBSTITUTE("P:"&amp;A1127,"~","~~"),"*","~*"),"?","~?"),Processos!$AS$10:$AS$509,0)))-9),0)</f>
        <v>0</v>
      </c>
      <c r="K1127" s="34" t="str">
        <f t="shared" si="71"/>
        <v/>
      </c>
      <c r="L1127" s="14">
        <f>ROW()</f>
        <v>1127</v>
      </c>
    </row>
    <row r="1128" spans="1:12" ht="60" customHeight="1">
      <c r="A1128" s="41"/>
      <c r="B1128" s="43"/>
      <c r="C1128" s="44"/>
      <c r="D1128" s="51"/>
      <c r="E1128" s="44"/>
      <c r="F1128" s="44"/>
      <c r="G1128" s="34">
        <f t="shared" si="68"/>
        <v>0</v>
      </c>
      <c r="H1128" s="34" t="str">
        <f t="shared" si="69"/>
        <v/>
      </c>
      <c r="I1128" s="52" t="str">
        <f t="shared" si="70"/>
        <v/>
      </c>
      <c r="J1128" s="34">
        <f>IF(AND(A1128&lt;&gt;"",ISTEXT(A1128),COUNTIFS(Processos!$AS$10:$AS$509,"="&amp;SUBSTITUTE(SUBSTITUTE(SUBSTITUTE("P:"&amp;A1128,"~","~~"),"*","~*"),"?","~?"))=1),(IF(ISNA(MATCH(SUBSTITUTE(SUBSTITUTE(SUBSTITUTE("P:"&amp;A1128,"~","~~"),"*","~*"),"?","~?"),Processos!$AS$10:$AS$509,0)),9,INDEX(Processos!$AM$10:$AM$509,MATCH(SUBSTITUTE(SUBSTITUTE(SUBSTITUTE("P:"&amp;A1128,"~","~~"),"*","~*"),"?","~?"),Processos!$AS$10:$AS$509,0)))-9),0)</f>
        <v>0</v>
      </c>
      <c r="K1128" s="34" t="str">
        <f t="shared" si="71"/>
        <v/>
      </c>
      <c r="L1128" s="14">
        <f>ROW()</f>
        <v>1128</v>
      </c>
    </row>
    <row r="1129" spans="1:12" ht="60" customHeight="1">
      <c r="A1129" s="41"/>
      <c r="B1129" s="43"/>
      <c r="C1129" s="44"/>
      <c r="D1129" s="51"/>
      <c r="E1129" s="44"/>
      <c r="F1129" s="44"/>
      <c r="G1129" s="34">
        <f t="shared" si="68"/>
        <v>0</v>
      </c>
      <c r="H1129" s="34" t="str">
        <f t="shared" si="69"/>
        <v/>
      </c>
      <c r="I1129" s="52" t="str">
        <f t="shared" si="70"/>
        <v/>
      </c>
      <c r="J1129" s="34">
        <f>IF(AND(A1129&lt;&gt;"",ISTEXT(A1129),COUNTIFS(Processos!$AS$10:$AS$509,"="&amp;SUBSTITUTE(SUBSTITUTE(SUBSTITUTE("P:"&amp;A1129,"~","~~"),"*","~*"),"?","~?"))=1),(IF(ISNA(MATCH(SUBSTITUTE(SUBSTITUTE(SUBSTITUTE("P:"&amp;A1129,"~","~~"),"*","~*"),"?","~?"),Processos!$AS$10:$AS$509,0)),9,INDEX(Processos!$AM$10:$AM$509,MATCH(SUBSTITUTE(SUBSTITUTE(SUBSTITUTE("P:"&amp;A1129,"~","~~"),"*","~*"),"?","~?"),Processos!$AS$10:$AS$509,0)))-9),0)</f>
        <v>0</v>
      </c>
      <c r="K1129" s="34" t="str">
        <f t="shared" si="71"/>
        <v/>
      </c>
      <c r="L1129" s="14">
        <f>ROW()</f>
        <v>1129</v>
      </c>
    </row>
    <row r="1130" spans="1:12" ht="60" customHeight="1">
      <c r="A1130" s="41"/>
      <c r="B1130" s="43"/>
      <c r="C1130" s="44"/>
      <c r="D1130" s="51"/>
      <c r="E1130" s="44"/>
      <c r="F1130" s="44"/>
      <c r="G1130" s="34">
        <f t="shared" si="68"/>
        <v>0</v>
      </c>
      <c r="H1130" s="34" t="str">
        <f t="shared" si="69"/>
        <v/>
      </c>
      <c r="I1130" s="52" t="str">
        <f t="shared" si="70"/>
        <v/>
      </c>
      <c r="J1130" s="34">
        <f>IF(AND(A1130&lt;&gt;"",ISTEXT(A1130),COUNTIFS(Processos!$AS$10:$AS$509,"="&amp;SUBSTITUTE(SUBSTITUTE(SUBSTITUTE("P:"&amp;A1130,"~","~~"),"*","~*"),"?","~?"))=1),(IF(ISNA(MATCH(SUBSTITUTE(SUBSTITUTE(SUBSTITUTE("P:"&amp;A1130,"~","~~"),"*","~*"),"?","~?"),Processos!$AS$10:$AS$509,0)),9,INDEX(Processos!$AM$10:$AM$509,MATCH(SUBSTITUTE(SUBSTITUTE(SUBSTITUTE("P:"&amp;A1130,"~","~~"),"*","~*"),"?","~?"),Processos!$AS$10:$AS$509,0)))-9),0)</f>
        <v>0</v>
      </c>
      <c r="K1130" s="34" t="str">
        <f t="shared" si="71"/>
        <v/>
      </c>
      <c r="L1130" s="14">
        <f>ROW()</f>
        <v>1130</v>
      </c>
    </row>
    <row r="1131" spans="1:12" ht="60" customHeight="1">
      <c r="A1131" s="41"/>
      <c r="B1131" s="43"/>
      <c r="C1131" s="44"/>
      <c r="D1131" s="51"/>
      <c r="E1131" s="44"/>
      <c r="F1131" s="44"/>
      <c r="G1131" s="34">
        <f t="shared" si="68"/>
        <v>0</v>
      </c>
      <c r="H1131" s="34" t="str">
        <f t="shared" si="69"/>
        <v/>
      </c>
      <c r="I1131" s="52" t="str">
        <f t="shared" si="70"/>
        <v/>
      </c>
      <c r="J1131" s="34">
        <f>IF(AND(A1131&lt;&gt;"",ISTEXT(A1131),COUNTIFS(Processos!$AS$10:$AS$509,"="&amp;SUBSTITUTE(SUBSTITUTE(SUBSTITUTE("P:"&amp;A1131,"~","~~"),"*","~*"),"?","~?"))=1),(IF(ISNA(MATCH(SUBSTITUTE(SUBSTITUTE(SUBSTITUTE("P:"&amp;A1131,"~","~~"),"*","~*"),"?","~?"),Processos!$AS$10:$AS$509,0)),9,INDEX(Processos!$AM$10:$AM$509,MATCH(SUBSTITUTE(SUBSTITUTE(SUBSTITUTE("P:"&amp;A1131,"~","~~"),"*","~*"),"?","~?"),Processos!$AS$10:$AS$509,0)))-9),0)</f>
        <v>0</v>
      </c>
      <c r="K1131" s="34" t="str">
        <f t="shared" si="71"/>
        <v/>
      </c>
      <c r="L1131" s="14">
        <f>ROW()</f>
        <v>1131</v>
      </c>
    </row>
    <row r="1132" spans="1:12" ht="60" customHeight="1">
      <c r="A1132" s="41"/>
      <c r="B1132" s="43"/>
      <c r="C1132" s="44"/>
      <c r="D1132" s="51"/>
      <c r="E1132" s="44"/>
      <c r="F1132" s="44"/>
      <c r="G1132" s="34">
        <f t="shared" si="68"/>
        <v>0</v>
      </c>
      <c r="H1132" s="34" t="str">
        <f t="shared" si="69"/>
        <v/>
      </c>
      <c r="I1132" s="52" t="str">
        <f t="shared" si="70"/>
        <v/>
      </c>
      <c r="J1132" s="34">
        <f>IF(AND(A1132&lt;&gt;"",ISTEXT(A1132),COUNTIFS(Processos!$AS$10:$AS$509,"="&amp;SUBSTITUTE(SUBSTITUTE(SUBSTITUTE("P:"&amp;A1132,"~","~~"),"*","~*"),"?","~?"))=1),(IF(ISNA(MATCH(SUBSTITUTE(SUBSTITUTE(SUBSTITUTE("P:"&amp;A1132,"~","~~"),"*","~*"),"?","~?"),Processos!$AS$10:$AS$509,0)),9,INDEX(Processos!$AM$10:$AM$509,MATCH(SUBSTITUTE(SUBSTITUTE(SUBSTITUTE("P:"&amp;A1132,"~","~~"),"*","~*"),"?","~?"),Processos!$AS$10:$AS$509,0)))-9),0)</f>
        <v>0</v>
      </c>
      <c r="K1132" s="34" t="str">
        <f t="shared" si="71"/>
        <v/>
      </c>
      <c r="L1132" s="14">
        <f>ROW()</f>
        <v>1132</v>
      </c>
    </row>
    <row r="1133" spans="1:12" ht="60" customHeight="1">
      <c r="A1133" s="41"/>
      <c r="B1133" s="43"/>
      <c r="C1133" s="44"/>
      <c r="D1133" s="51"/>
      <c r="E1133" s="44"/>
      <c r="F1133" s="44"/>
      <c r="G1133" s="34">
        <f t="shared" si="68"/>
        <v>0</v>
      </c>
      <c r="H1133" s="34" t="str">
        <f t="shared" si="69"/>
        <v/>
      </c>
      <c r="I1133" s="52" t="str">
        <f t="shared" si="70"/>
        <v/>
      </c>
      <c r="J1133" s="34">
        <f>IF(AND(A1133&lt;&gt;"",ISTEXT(A1133),COUNTIFS(Processos!$AS$10:$AS$509,"="&amp;SUBSTITUTE(SUBSTITUTE(SUBSTITUTE("P:"&amp;A1133,"~","~~"),"*","~*"),"?","~?"))=1),(IF(ISNA(MATCH(SUBSTITUTE(SUBSTITUTE(SUBSTITUTE("P:"&amp;A1133,"~","~~"),"*","~*"),"?","~?"),Processos!$AS$10:$AS$509,0)),9,INDEX(Processos!$AM$10:$AM$509,MATCH(SUBSTITUTE(SUBSTITUTE(SUBSTITUTE("P:"&amp;A1133,"~","~~"),"*","~*"),"?","~?"),Processos!$AS$10:$AS$509,0)))-9),0)</f>
        <v>0</v>
      </c>
      <c r="K1133" s="34" t="str">
        <f t="shared" si="71"/>
        <v/>
      </c>
      <c r="L1133" s="14">
        <f>ROW()</f>
        <v>1133</v>
      </c>
    </row>
    <row r="1134" spans="1:12" ht="60" customHeight="1">
      <c r="A1134" s="41"/>
      <c r="B1134" s="43"/>
      <c r="C1134" s="44"/>
      <c r="D1134" s="51"/>
      <c r="E1134" s="44"/>
      <c r="F1134" s="44"/>
      <c r="G1134" s="34">
        <f t="shared" si="68"/>
        <v>0</v>
      </c>
      <c r="H1134" s="34" t="str">
        <f t="shared" si="69"/>
        <v/>
      </c>
      <c r="I1134" s="52" t="str">
        <f t="shared" si="70"/>
        <v/>
      </c>
      <c r="J1134" s="34">
        <f>IF(AND(A1134&lt;&gt;"",ISTEXT(A1134),COUNTIFS(Processos!$AS$10:$AS$509,"="&amp;SUBSTITUTE(SUBSTITUTE(SUBSTITUTE("P:"&amp;A1134,"~","~~"),"*","~*"),"?","~?"))=1),(IF(ISNA(MATCH(SUBSTITUTE(SUBSTITUTE(SUBSTITUTE("P:"&amp;A1134,"~","~~"),"*","~*"),"?","~?"),Processos!$AS$10:$AS$509,0)),9,INDEX(Processos!$AM$10:$AM$509,MATCH(SUBSTITUTE(SUBSTITUTE(SUBSTITUTE("P:"&amp;A1134,"~","~~"),"*","~*"),"?","~?"),Processos!$AS$10:$AS$509,0)))-9),0)</f>
        <v>0</v>
      </c>
      <c r="K1134" s="34" t="str">
        <f t="shared" si="71"/>
        <v/>
      </c>
      <c r="L1134" s="14">
        <f>ROW()</f>
        <v>1134</v>
      </c>
    </row>
    <row r="1135" spans="1:12" ht="60" customHeight="1">
      <c r="A1135" s="41"/>
      <c r="B1135" s="43"/>
      <c r="C1135" s="44"/>
      <c r="D1135" s="51"/>
      <c r="E1135" s="44"/>
      <c r="F1135" s="44"/>
      <c r="G1135" s="34">
        <f t="shared" si="68"/>
        <v>0</v>
      </c>
      <c r="H1135" s="34" t="str">
        <f t="shared" si="69"/>
        <v/>
      </c>
      <c r="I1135" s="52" t="str">
        <f t="shared" si="70"/>
        <v/>
      </c>
      <c r="J1135" s="34">
        <f>IF(AND(A1135&lt;&gt;"",ISTEXT(A1135),COUNTIFS(Processos!$AS$10:$AS$509,"="&amp;SUBSTITUTE(SUBSTITUTE(SUBSTITUTE("P:"&amp;A1135,"~","~~"),"*","~*"),"?","~?"))=1),(IF(ISNA(MATCH(SUBSTITUTE(SUBSTITUTE(SUBSTITUTE("P:"&amp;A1135,"~","~~"),"*","~*"),"?","~?"),Processos!$AS$10:$AS$509,0)),9,INDEX(Processos!$AM$10:$AM$509,MATCH(SUBSTITUTE(SUBSTITUTE(SUBSTITUTE("P:"&amp;A1135,"~","~~"),"*","~*"),"?","~?"),Processos!$AS$10:$AS$509,0)))-9),0)</f>
        <v>0</v>
      </c>
      <c r="K1135" s="34" t="str">
        <f t="shared" si="71"/>
        <v/>
      </c>
      <c r="L1135" s="14">
        <f>ROW()</f>
        <v>1135</v>
      </c>
    </row>
    <row r="1136" spans="1:12" ht="60" customHeight="1">
      <c r="A1136" s="41"/>
      <c r="B1136" s="43"/>
      <c r="C1136" s="44"/>
      <c r="D1136" s="51"/>
      <c r="E1136" s="44"/>
      <c r="F1136" s="44"/>
      <c r="G1136" s="34">
        <f t="shared" si="68"/>
        <v>0</v>
      </c>
      <c r="H1136" s="34" t="str">
        <f t="shared" si="69"/>
        <v/>
      </c>
      <c r="I1136" s="52" t="str">
        <f t="shared" si="70"/>
        <v/>
      </c>
      <c r="J1136" s="34">
        <f>IF(AND(A1136&lt;&gt;"",ISTEXT(A1136),COUNTIFS(Processos!$AS$10:$AS$509,"="&amp;SUBSTITUTE(SUBSTITUTE(SUBSTITUTE("P:"&amp;A1136,"~","~~"),"*","~*"),"?","~?"))=1),(IF(ISNA(MATCH(SUBSTITUTE(SUBSTITUTE(SUBSTITUTE("P:"&amp;A1136,"~","~~"),"*","~*"),"?","~?"),Processos!$AS$10:$AS$509,0)),9,INDEX(Processos!$AM$10:$AM$509,MATCH(SUBSTITUTE(SUBSTITUTE(SUBSTITUTE("P:"&amp;A1136,"~","~~"),"*","~*"),"?","~?"),Processos!$AS$10:$AS$509,0)))-9),0)</f>
        <v>0</v>
      </c>
      <c r="K1136" s="34" t="str">
        <f t="shared" si="71"/>
        <v/>
      </c>
      <c r="L1136" s="14">
        <f>ROW()</f>
        <v>1136</v>
      </c>
    </row>
    <row r="1137" spans="1:12" ht="60" customHeight="1">
      <c r="A1137" s="41"/>
      <c r="B1137" s="43"/>
      <c r="C1137" s="44"/>
      <c r="D1137" s="51"/>
      <c r="E1137" s="44"/>
      <c r="F1137" s="44"/>
      <c r="G1137" s="34">
        <f t="shared" si="68"/>
        <v>0</v>
      </c>
      <c r="H1137" s="34" t="str">
        <f t="shared" si="69"/>
        <v/>
      </c>
      <c r="I1137" s="52" t="str">
        <f t="shared" si="70"/>
        <v/>
      </c>
      <c r="J1137" s="34">
        <f>IF(AND(A1137&lt;&gt;"",ISTEXT(A1137),COUNTIFS(Processos!$AS$10:$AS$509,"="&amp;SUBSTITUTE(SUBSTITUTE(SUBSTITUTE("P:"&amp;A1137,"~","~~"),"*","~*"),"?","~?"))=1),(IF(ISNA(MATCH(SUBSTITUTE(SUBSTITUTE(SUBSTITUTE("P:"&amp;A1137,"~","~~"),"*","~*"),"?","~?"),Processos!$AS$10:$AS$509,0)),9,INDEX(Processos!$AM$10:$AM$509,MATCH(SUBSTITUTE(SUBSTITUTE(SUBSTITUTE("P:"&amp;A1137,"~","~~"),"*","~*"),"?","~?"),Processos!$AS$10:$AS$509,0)))-9),0)</f>
        <v>0</v>
      </c>
      <c r="K1137" s="34" t="str">
        <f t="shared" si="71"/>
        <v/>
      </c>
      <c r="L1137" s="14">
        <f>ROW()</f>
        <v>1137</v>
      </c>
    </row>
    <row r="1138" spans="1:12" ht="60" customHeight="1">
      <c r="A1138" s="41"/>
      <c r="B1138" s="43"/>
      <c r="C1138" s="44"/>
      <c r="D1138" s="51"/>
      <c r="E1138" s="44"/>
      <c r="F1138" s="44"/>
      <c r="G1138" s="34">
        <f t="shared" si="68"/>
        <v>0</v>
      </c>
      <c r="H1138" s="34" t="str">
        <f t="shared" si="69"/>
        <v/>
      </c>
      <c r="I1138" s="52" t="str">
        <f t="shared" si="70"/>
        <v/>
      </c>
      <c r="J1138" s="34">
        <f>IF(AND(A1138&lt;&gt;"",ISTEXT(A1138),COUNTIFS(Processos!$AS$10:$AS$509,"="&amp;SUBSTITUTE(SUBSTITUTE(SUBSTITUTE("P:"&amp;A1138,"~","~~"),"*","~*"),"?","~?"))=1),(IF(ISNA(MATCH(SUBSTITUTE(SUBSTITUTE(SUBSTITUTE("P:"&amp;A1138,"~","~~"),"*","~*"),"?","~?"),Processos!$AS$10:$AS$509,0)),9,INDEX(Processos!$AM$10:$AM$509,MATCH(SUBSTITUTE(SUBSTITUTE(SUBSTITUTE("P:"&amp;A1138,"~","~~"),"*","~*"),"?","~?"),Processos!$AS$10:$AS$509,0)))-9),0)</f>
        <v>0</v>
      </c>
      <c r="K1138" s="34" t="str">
        <f t="shared" si="71"/>
        <v/>
      </c>
      <c r="L1138" s="14">
        <f>ROW()</f>
        <v>1138</v>
      </c>
    </row>
    <row r="1139" spans="1:12" ht="60" customHeight="1">
      <c r="A1139" s="41"/>
      <c r="B1139" s="43"/>
      <c r="C1139" s="44"/>
      <c r="D1139" s="51"/>
      <c r="E1139" s="44"/>
      <c r="F1139" s="44"/>
      <c r="G1139" s="34">
        <f t="shared" si="68"/>
        <v>0</v>
      </c>
      <c r="H1139" s="34" t="str">
        <f t="shared" si="69"/>
        <v/>
      </c>
      <c r="I1139" s="52" t="str">
        <f t="shared" si="70"/>
        <v/>
      </c>
      <c r="J1139" s="34">
        <f>IF(AND(A1139&lt;&gt;"",ISTEXT(A1139),COUNTIFS(Processos!$AS$10:$AS$509,"="&amp;SUBSTITUTE(SUBSTITUTE(SUBSTITUTE("P:"&amp;A1139,"~","~~"),"*","~*"),"?","~?"))=1),(IF(ISNA(MATCH(SUBSTITUTE(SUBSTITUTE(SUBSTITUTE("P:"&amp;A1139,"~","~~"),"*","~*"),"?","~?"),Processos!$AS$10:$AS$509,0)),9,INDEX(Processos!$AM$10:$AM$509,MATCH(SUBSTITUTE(SUBSTITUTE(SUBSTITUTE("P:"&amp;A1139,"~","~~"),"*","~*"),"?","~?"),Processos!$AS$10:$AS$509,0)))-9),0)</f>
        <v>0</v>
      </c>
      <c r="K1139" s="34" t="str">
        <f t="shared" si="71"/>
        <v/>
      </c>
      <c r="L1139" s="14">
        <f>ROW()</f>
        <v>1139</v>
      </c>
    </row>
    <row r="1140" spans="1:12" ht="60" customHeight="1">
      <c r="A1140" s="41"/>
      <c r="B1140" s="43"/>
      <c r="C1140" s="44"/>
      <c r="D1140" s="51"/>
      <c r="E1140" s="44"/>
      <c r="F1140" s="44"/>
      <c r="G1140" s="34">
        <f t="shared" si="68"/>
        <v>0</v>
      </c>
      <c r="H1140" s="34" t="str">
        <f t="shared" si="69"/>
        <v/>
      </c>
      <c r="I1140" s="52" t="str">
        <f t="shared" si="70"/>
        <v/>
      </c>
      <c r="J1140" s="34">
        <f>IF(AND(A1140&lt;&gt;"",ISTEXT(A1140),COUNTIFS(Processos!$AS$10:$AS$509,"="&amp;SUBSTITUTE(SUBSTITUTE(SUBSTITUTE("P:"&amp;A1140,"~","~~"),"*","~*"),"?","~?"))=1),(IF(ISNA(MATCH(SUBSTITUTE(SUBSTITUTE(SUBSTITUTE("P:"&amp;A1140,"~","~~"),"*","~*"),"?","~?"),Processos!$AS$10:$AS$509,0)),9,INDEX(Processos!$AM$10:$AM$509,MATCH(SUBSTITUTE(SUBSTITUTE(SUBSTITUTE("P:"&amp;A1140,"~","~~"),"*","~*"),"?","~?"),Processos!$AS$10:$AS$509,0)))-9),0)</f>
        <v>0</v>
      </c>
      <c r="K1140" s="34" t="str">
        <f t="shared" si="71"/>
        <v/>
      </c>
      <c r="L1140" s="14">
        <f>ROW()</f>
        <v>1140</v>
      </c>
    </row>
    <row r="1141" spans="1:12" ht="60" customHeight="1">
      <c r="A1141" s="41"/>
      <c r="B1141" s="43"/>
      <c r="C1141" s="44"/>
      <c r="D1141" s="51"/>
      <c r="E1141" s="44"/>
      <c r="F1141" s="44"/>
      <c r="G1141" s="34">
        <f t="shared" si="68"/>
        <v>0</v>
      </c>
      <c r="H1141" s="34" t="str">
        <f t="shared" si="69"/>
        <v/>
      </c>
      <c r="I1141" s="52" t="str">
        <f t="shared" si="70"/>
        <v/>
      </c>
      <c r="J1141" s="34">
        <f>IF(AND(A1141&lt;&gt;"",ISTEXT(A1141),COUNTIFS(Processos!$AS$10:$AS$509,"="&amp;SUBSTITUTE(SUBSTITUTE(SUBSTITUTE("P:"&amp;A1141,"~","~~"),"*","~*"),"?","~?"))=1),(IF(ISNA(MATCH(SUBSTITUTE(SUBSTITUTE(SUBSTITUTE("P:"&amp;A1141,"~","~~"),"*","~*"),"?","~?"),Processos!$AS$10:$AS$509,0)),9,INDEX(Processos!$AM$10:$AM$509,MATCH(SUBSTITUTE(SUBSTITUTE(SUBSTITUTE("P:"&amp;A1141,"~","~~"),"*","~*"),"?","~?"),Processos!$AS$10:$AS$509,0)))-9),0)</f>
        <v>0</v>
      </c>
      <c r="K1141" s="34" t="str">
        <f t="shared" si="71"/>
        <v/>
      </c>
      <c r="L1141" s="14">
        <f>ROW()</f>
        <v>1141</v>
      </c>
    </row>
    <row r="1142" spans="1:12" ht="60" customHeight="1">
      <c r="A1142" s="41"/>
      <c r="B1142" s="43"/>
      <c r="C1142" s="44"/>
      <c r="D1142" s="51"/>
      <c r="E1142" s="44"/>
      <c r="F1142" s="44"/>
      <c r="G1142" s="34">
        <f t="shared" si="68"/>
        <v>0</v>
      </c>
      <c r="H1142" s="34" t="str">
        <f t="shared" si="69"/>
        <v/>
      </c>
      <c r="I1142" s="52" t="str">
        <f t="shared" si="70"/>
        <v/>
      </c>
      <c r="J1142" s="34">
        <f>IF(AND(A1142&lt;&gt;"",ISTEXT(A1142),COUNTIFS(Processos!$AS$10:$AS$509,"="&amp;SUBSTITUTE(SUBSTITUTE(SUBSTITUTE("P:"&amp;A1142,"~","~~"),"*","~*"),"?","~?"))=1),(IF(ISNA(MATCH(SUBSTITUTE(SUBSTITUTE(SUBSTITUTE("P:"&amp;A1142,"~","~~"),"*","~*"),"?","~?"),Processos!$AS$10:$AS$509,0)),9,INDEX(Processos!$AM$10:$AM$509,MATCH(SUBSTITUTE(SUBSTITUTE(SUBSTITUTE("P:"&amp;A1142,"~","~~"),"*","~*"),"?","~?"),Processos!$AS$10:$AS$509,0)))-9),0)</f>
        <v>0</v>
      </c>
      <c r="K1142" s="34" t="str">
        <f t="shared" si="71"/>
        <v/>
      </c>
      <c r="L1142" s="14">
        <f>ROW()</f>
        <v>1142</v>
      </c>
    </row>
    <row r="1143" spans="1:12" ht="60" customHeight="1">
      <c r="A1143" s="41"/>
      <c r="B1143" s="43"/>
      <c r="C1143" s="44"/>
      <c r="D1143" s="51"/>
      <c r="E1143" s="44"/>
      <c r="F1143" s="44"/>
      <c r="G1143" s="34">
        <f t="shared" si="68"/>
        <v>0</v>
      </c>
      <c r="H1143" s="34" t="str">
        <f t="shared" si="69"/>
        <v/>
      </c>
      <c r="I1143" s="52" t="str">
        <f t="shared" si="70"/>
        <v/>
      </c>
      <c r="J1143" s="34">
        <f>IF(AND(A1143&lt;&gt;"",ISTEXT(A1143),COUNTIFS(Processos!$AS$10:$AS$509,"="&amp;SUBSTITUTE(SUBSTITUTE(SUBSTITUTE("P:"&amp;A1143,"~","~~"),"*","~*"),"?","~?"))=1),(IF(ISNA(MATCH(SUBSTITUTE(SUBSTITUTE(SUBSTITUTE("P:"&amp;A1143,"~","~~"),"*","~*"),"?","~?"),Processos!$AS$10:$AS$509,0)),9,INDEX(Processos!$AM$10:$AM$509,MATCH(SUBSTITUTE(SUBSTITUTE(SUBSTITUTE("P:"&amp;A1143,"~","~~"),"*","~*"),"?","~?"),Processos!$AS$10:$AS$509,0)))-9),0)</f>
        <v>0</v>
      </c>
      <c r="K1143" s="34" t="str">
        <f t="shared" si="71"/>
        <v/>
      </c>
      <c r="L1143" s="14">
        <f>ROW()</f>
        <v>1143</v>
      </c>
    </row>
    <row r="1144" spans="1:12" ht="60" customHeight="1">
      <c r="A1144" s="41"/>
      <c r="B1144" s="43"/>
      <c r="C1144" s="44"/>
      <c r="D1144" s="51"/>
      <c r="E1144" s="44"/>
      <c r="F1144" s="44"/>
      <c r="G1144" s="34">
        <f t="shared" si="68"/>
        <v>0</v>
      </c>
      <c r="H1144" s="34" t="str">
        <f t="shared" si="69"/>
        <v/>
      </c>
      <c r="I1144" s="52" t="str">
        <f t="shared" si="70"/>
        <v/>
      </c>
      <c r="J1144" s="34">
        <f>IF(AND(A1144&lt;&gt;"",ISTEXT(A1144),COUNTIFS(Processos!$AS$10:$AS$509,"="&amp;SUBSTITUTE(SUBSTITUTE(SUBSTITUTE("P:"&amp;A1144,"~","~~"),"*","~*"),"?","~?"))=1),(IF(ISNA(MATCH(SUBSTITUTE(SUBSTITUTE(SUBSTITUTE("P:"&amp;A1144,"~","~~"),"*","~*"),"?","~?"),Processos!$AS$10:$AS$509,0)),9,INDEX(Processos!$AM$10:$AM$509,MATCH(SUBSTITUTE(SUBSTITUTE(SUBSTITUTE("P:"&amp;A1144,"~","~~"),"*","~*"),"?","~?"),Processos!$AS$10:$AS$509,0)))-9),0)</f>
        <v>0</v>
      </c>
      <c r="K1144" s="34" t="str">
        <f t="shared" si="71"/>
        <v/>
      </c>
      <c r="L1144" s="14">
        <f>ROW()</f>
        <v>1144</v>
      </c>
    </row>
    <row r="1145" spans="1:12" ht="60" customHeight="1">
      <c r="A1145" s="41"/>
      <c r="B1145" s="43"/>
      <c r="C1145" s="44"/>
      <c r="D1145" s="51"/>
      <c r="E1145" s="44"/>
      <c r="F1145" s="44"/>
      <c r="G1145" s="34">
        <f t="shared" si="68"/>
        <v>0</v>
      </c>
      <c r="H1145" s="34" t="str">
        <f t="shared" si="69"/>
        <v/>
      </c>
      <c r="I1145" s="52" t="str">
        <f t="shared" si="70"/>
        <v/>
      </c>
      <c r="J1145" s="34">
        <f>IF(AND(A1145&lt;&gt;"",ISTEXT(A1145),COUNTIFS(Processos!$AS$10:$AS$509,"="&amp;SUBSTITUTE(SUBSTITUTE(SUBSTITUTE("P:"&amp;A1145,"~","~~"),"*","~*"),"?","~?"))=1),(IF(ISNA(MATCH(SUBSTITUTE(SUBSTITUTE(SUBSTITUTE("P:"&amp;A1145,"~","~~"),"*","~*"),"?","~?"),Processos!$AS$10:$AS$509,0)),9,INDEX(Processos!$AM$10:$AM$509,MATCH(SUBSTITUTE(SUBSTITUTE(SUBSTITUTE("P:"&amp;A1145,"~","~~"),"*","~*"),"?","~?"),Processos!$AS$10:$AS$509,0)))-9),0)</f>
        <v>0</v>
      </c>
      <c r="K1145" s="34" t="str">
        <f t="shared" si="71"/>
        <v/>
      </c>
      <c r="L1145" s="14">
        <f>ROW()</f>
        <v>1145</v>
      </c>
    </row>
    <row r="1146" spans="1:12" ht="60" customHeight="1">
      <c r="A1146" s="41"/>
      <c r="B1146" s="43"/>
      <c r="C1146" s="44"/>
      <c r="D1146" s="51"/>
      <c r="E1146" s="44"/>
      <c r="F1146" s="44"/>
      <c r="G1146" s="34">
        <f t="shared" si="68"/>
        <v>0</v>
      </c>
      <c r="H1146" s="34" t="str">
        <f t="shared" si="69"/>
        <v/>
      </c>
      <c r="I1146" s="52" t="str">
        <f t="shared" si="70"/>
        <v/>
      </c>
      <c r="J1146" s="34">
        <f>IF(AND(A1146&lt;&gt;"",ISTEXT(A1146),COUNTIFS(Processos!$AS$10:$AS$509,"="&amp;SUBSTITUTE(SUBSTITUTE(SUBSTITUTE("P:"&amp;A1146,"~","~~"),"*","~*"),"?","~?"))=1),(IF(ISNA(MATCH(SUBSTITUTE(SUBSTITUTE(SUBSTITUTE("P:"&amp;A1146,"~","~~"),"*","~*"),"?","~?"),Processos!$AS$10:$AS$509,0)),9,INDEX(Processos!$AM$10:$AM$509,MATCH(SUBSTITUTE(SUBSTITUTE(SUBSTITUTE("P:"&amp;A1146,"~","~~"),"*","~*"),"?","~?"),Processos!$AS$10:$AS$509,0)))-9),0)</f>
        <v>0</v>
      </c>
      <c r="K1146" s="34" t="str">
        <f t="shared" si="71"/>
        <v/>
      </c>
      <c r="L1146" s="14">
        <f>ROW()</f>
        <v>1146</v>
      </c>
    </row>
    <row r="1147" spans="1:12" ht="60" customHeight="1">
      <c r="A1147" s="41"/>
      <c r="B1147" s="43"/>
      <c r="C1147" s="44"/>
      <c r="D1147" s="51"/>
      <c r="E1147" s="44"/>
      <c r="F1147" s="44"/>
      <c r="G1147" s="34">
        <f t="shared" si="68"/>
        <v>0</v>
      </c>
      <c r="H1147" s="34" t="str">
        <f t="shared" si="69"/>
        <v/>
      </c>
      <c r="I1147" s="52" t="str">
        <f t="shared" si="70"/>
        <v/>
      </c>
      <c r="J1147" s="34">
        <f>IF(AND(A1147&lt;&gt;"",ISTEXT(A1147),COUNTIFS(Processos!$AS$10:$AS$509,"="&amp;SUBSTITUTE(SUBSTITUTE(SUBSTITUTE("P:"&amp;A1147,"~","~~"),"*","~*"),"?","~?"))=1),(IF(ISNA(MATCH(SUBSTITUTE(SUBSTITUTE(SUBSTITUTE("P:"&amp;A1147,"~","~~"),"*","~*"),"?","~?"),Processos!$AS$10:$AS$509,0)),9,INDEX(Processos!$AM$10:$AM$509,MATCH(SUBSTITUTE(SUBSTITUTE(SUBSTITUTE("P:"&amp;A1147,"~","~~"),"*","~*"),"?","~?"),Processos!$AS$10:$AS$509,0)))-9),0)</f>
        <v>0</v>
      </c>
      <c r="K1147" s="34" t="str">
        <f t="shared" si="71"/>
        <v/>
      </c>
      <c r="L1147" s="14">
        <f>ROW()</f>
        <v>1147</v>
      </c>
    </row>
    <row r="1148" spans="1:12" ht="60" customHeight="1">
      <c r="A1148" s="41"/>
      <c r="B1148" s="43"/>
      <c r="C1148" s="44"/>
      <c r="D1148" s="51"/>
      <c r="E1148" s="44"/>
      <c r="F1148" s="44"/>
      <c r="G1148" s="34">
        <f t="shared" si="68"/>
        <v>0</v>
      </c>
      <c r="H1148" s="34" t="str">
        <f t="shared" si="69"/>
        <v/>
      </c>
      <c r="I1148" s="52" t="str">
        <f t="shared" si="70"/>
        <v/>
      </c>
      <c r="J1148" s="34">
        <f>IF(AND(A1148&lt;&gt;"",ISTEXT(A1148),COUNTIFS(Processos!$AS$10:$AS$509,"="&amp;SUBSTITUTE(SUBSTITUTE(SUBSTITUTE("P:"&amp;A1148,"~","~~"),"*","~*"),"?","~?"))=1),(IF(ISNA(MATCH(SUBSTITUTE(SUBSTITUTE(SUBSTITUTE("P:"&amp;A1148,"~","~~"),"*","~*"),"?","~?"),Processos!$AS$10:$AS$509,0)),9,INDEX(Processos!$AM$10:$AM$509,MATCH(SUBSTITUTE(SUBSTITUTE(SUBSTITUTE("P:"&amp;A1148,"~","~~"),"*","~*"),"?","~?"),Processos!$AS$10:$AS$509,0)))-9),0)</f>
        <v>0</v>
      </c>
      <c r="K1148" s="34" t="str">
        <f t="shared" si="71"/>
        <v/>
      </c>
      <c r="L1148" s="14">
        <f>ROW()</f>
        <v>1148</v>
      </c>
    </row>
    <row r="1149" spans="1:12" ht="60" customHeight="1">
      <c r="A1149" s="41"/>
      <c r="B1149" s="43"/>
      <c r="C1149" s="44"/>
      <c r="D1149" s="51"/>
      <c r="E1149" s="44"/>
      <c r="F1149" s="44"/>
      <c r="G1149" s="34">
        <f t="shared" si="68"/>
        <v>0</v>
      </c>
      <c r="H1149" s="34" t="str">
        <f t="shared" si="69"/>
        <v/>
      </c>
      <c r="I1149" s="52" t="str">
        <f t="shared" si="70"/>
        <v/>
      </c>
      <c r="J1149" s="34">
        <f>IF(AND(A1149&lt;&gt;"",ISTEXT(A1149),COUNTIFS(Processos!$AS$10:$AS$509,"="&amp;SUBSTITUTE(SUBSTITUTE(SUBSTITUTE("P:"&amp;A1149,"~","~~"),"*","~*"),"?","~?"))=1),(IF(ISNA(MATCH(SUBSTITUTE(SUBSTITUTE(SUBSTITUTE("P:"&amp;A1149,"~","~~"),"*","~*"),"?","~?"),Processos!$AS$10:$AS$509,0)),9,INDEX(Processos!$AM$10:$AM$509,MATCH(SUBSTITUTE(SUBSTITUTE(SUBSTITUTE("P:"&amp;A1149,"~","~~"),"*","~*"),"?","~?"),Processos!$AS$10:$AS$509,0)))-9),0)</f>
        <v>0</v>
      </c>
      <c r="K1149" s="34" t="str">
        <f t="shared" si="71"/>
        <v/>
      </c>
      <c r="L1149" s="14">
        <f>ROW()</f>
        <v>1149</v>
      </c>
    </row>
    <row r="1150" spans="1:12" ht="60" customHeight="1">
      <c r="A1150" s="41"/>
      <c r="B1150" s="43"/>
      <c r="C1150" s="44"/>
      <c r="D1150" s="51"/>
      <c r="E1150" s="44"/>
      <c r="F1150" s="44"/>
      <c r="G1150" s="34">
        <f t="shared" si="68"/>
        <v>0</v>
      </c>
      <c r="H1150" s="34" t="str">
        <f t="shared" si="69"/>
        <v/>
      </c>
      <c r="I1150" s="52" t="str">
        <f t="shared" si="70"/>
        <v/>
      </c>
      <c r="J1150" s="34">
        <f>IF(AND(A1150&lt;&gt;"",ISTEXT(A1150),COUNTIFS(Processos!$AS$10:$AS$509,"="&amp;SUBSTITUTE(SUBSTITUTE(SUBSTITUTE("P:"&amp;A1150,"~","~~"),"*","~*"),"?","~?"))=1),(IF(ISNA(MATCH(SUBSTITUTE(SUBSTITUTE(SUBSTITUTE("P:"&amp;A1150,"~","~~"),"*","~*"),"?","~?"),Processos!$AS$10:$AS$509,0)),9,INDEX(Processos!$AM$10:$AM$509,MATCH(SUBSTITUTE(SUBSTITUTE(SUBSTITUTE("P:"&amp;A1150,"~","~~"),"*","~*"),"?","~?"),Processos!$AS$10:$AS$509,0)))-9),0)</f>
        <v>0</v>
      </c>
      <c r="K1150" s="34" t="str">
        <f t="shared" si="71"/>
        <v/>
      </c>
      <c r="L1150" s="14">
        <f>ROW()</f>
        <v>1150</v>
      </c>
    </row>
    <row r="1151" spans="1:12" ht="60" customHeight="1">
      <c r="A1151" s="41"/>
      <c r="B1151" s="43"/>
      <c r="C1151" s="44"/>
      <c r="D1151" s="51"/>
      <c r="E1151" s="44"/>
      <c r="F1151" s="44"/>
      <c r="G1151" s="34">
        <f t="shared" si="68"/>
        <v>0</v>
      </c>
      <c r="H1151" s="34" t="str">
        <f t="shared" si="69"/>
        <v/>
      </c>
      <c r="I1151" s="52" t="str">
        <f t="shared" si="70"/>
        <v/>
      </c>
      <c r="J1151" s="34">
        <f>IF(AND(A1151&lt;&gt;"",ISTEXT(A1151),COUNTIFS(Processos!$AS$10:$AS$509,"="&amp;SUBSTITUTE(SUBSTITUTE(SUBSTITUTE("P:"&amp;A1151,"~","~~"),"*","~*"),"?","~?"))=1),(IF(ISNA(MATCH(SUBSTITUTE(SUBSTITUTE(SUBSTITUTE("P:"&amp;A1151,"~","~~"),"*","~*"),"?","~?"),Processos!$AS$10:$AS$509,0)),9,INDEX(Processos!$AM$10:$AM$509,MATCH(SUBSTITUTE(SUBSTITUTE(SUBSTITUTE("P:"&amp;A1151,"~","~~"),"*","~*"),"?","~?"),Processos!$AS$10:$AS$509,0)))-9),0)</f>
        <v>0</v>
      </c>
      <c r="K1151" s="34" t="str">
        <f t="shared" si="71"/>
        <v/>
      </c>
      <c r="L1151" s="14">
        <f>ROW()</f>
        <v>1151</v>
      </c>
    </row>
    <row r="1152" spans="1:12" ht="60" customHeight="1">
      <c r="A1152" s="41"/>
      <c r="B1152" s="43"/>
      <c r="C1152" s="44"/>
      <c r="D1152" s="51"/>
      <c r="E1152" s="44"/>
      <c r="F1152" s="44"/>
      <c r="G1152" s="34">
        <f t="shared" si="68"/>
        <v>0</v>
      </c>
      <c r="H1152" s="34" t="str">
        <f t="shared" si="69"/>
        <v/>
      </c>
      <c r="I1152" s="52" t="str">
        <f t="shared" si="70"/>
        <v/>
      </c>
      <c r="J1152" s="34">
        <f>IF(AND(A1152&lt;&gt;"",ISTEXT(A1152),COUNTIFS(Processos!$AS$10:$AS$509,"="&amp;SUBSTITUTE(SUBSTITUTE(SUBSTITUTE("P:"&amp;A1152,"~","~~"),"*","~*"),"?","~?"))=1),(IF(ISNA(MATCH(SUBSTITUTE(SUBSTITUTE(SUBSTITUTE("P:"&amp;A1152,"~","~~"),"*","~*"),"?","~?"),Processos!$AS$10:$AS$509,0)),9,INDEX(Processos!$AM$10:$AM$509,MATCH(SUBSTITUTE(SUBSTITUTE(SUBSTITUTE("P:"&amp;A1152,"~","~~"),"*","~*"),"?","~?"),Processos!$AS$10:$AS$509,0)))-9),0)</f>
        <v>0</v>
      </c>
      <c r="K1152" s="34" t="str">
        <f t="shared" si="71"/>
        <v/>
      </c>
      <c r="L1152" s="14">
        <f>ROW()</f>
        <v>1152</v>
      </c>
    </row>
    <row r="1153" spans="1:12" ht="60" customHeight="1">
      <c r="A1153" s="41"/>
      <c r="B1153" s="43"/>
      <c r="C1153" s="44"/>
      <c r="D1153" s="51"/>
      <c r="E1153" s="44"/>
      <c r="F1153" s="44"/>
      <c r="G1153" s="34">
        <f t="shared" si="68"/>
        <v>0</v>
      </c>
      <c r="H1153" s="34" t="str">
        <f t="shared" si="69"/>
        <v/>
      </c>
      <c r="I1153" s="52" t="str">
        <f t="shared" si="70"/>
        <v/>
      </c>
      <c r="J1153" s="34">
        <f>IF(AND(A1153&lt;&gt;"",ISTEXT(A1153),COUNTIFS(Processos!$AS$10:$AS$509,"="&amp;SUBSTITUTE(SUBSTITUTE(SUBSTITUTE("P:"&amp;A1153,"~","~~"),"*","~*"),"?","~?"))=1),(IF(ISNA(MATCH(SUBSTITUTE(SUBSTITUTE(SUBSTITUTE("P:"&amp;A1153,"~","~~"),"*","~*"),"?","~?"),Processos!$AS$10:$AS$509,0)),9,INDEX(Processos!$AM$10:$AM$509,MATCH(SUBSTITUTE(SUBSTITUTE(SUBSTITUTE("P:"&amp;A1153,"~","~~"),"*","~*"),"?","~?"),Processos!$AS$10:$AS$509,0)))-9),0)</f>
        <v>0</v>
      </c>
      <c r="K1153" s="34" t="str">
        <f t="shared" si="71"/>
        <v/>
      </c>
      <c r="L1153" s="14">
        <f>ROW()</f>
        <v>1153</v>
      </c>
    </row>
    <row r="1154" spans="1:12" ht="60" customHeight="1">
      <c r="A1154" s="41"/>
      <c r="B1154" s="43"/>
      <c r="C1154" s="44"/>
      <c r="D1154" s="51"/>
      <c r="E1154" s="44"/>
      <c r="F1154" s="44"/>
      <c r="G1154" s="34">
        <f t="shared" si="68"/>
        <v>0</v>
      </c>
      <c r="H1154" s="34" t="str">
        <f t="shared" si="69"/>
        <v/>
      </c>
      <c r="I1154" s="52" t="str">
        <f t="shared" si="70"/>
        <v/>
      </c>
      <c r="J1154" s="34">
        <f>IF(AND(A1154&lt;&gt;"",ISTEXT(A1154),COUNTIFS(Processos!$AS$10:$AS$509,"="&amp;SUBSTITUTE(SUBSTITUTE(SUBSTITUTE("P:"&amp;A1154,"~","~~"),"*","~*"),"?","~?"))=1),(IF(ISNA(MATCH(SUBSTITUTE(SUBSTITUTE(SUBSTITUTE("P:"&amp;A1154,"~","~~"),"*","~*"),"?","~?"),Processos!$AS$10:$AS$509,0)),9,INDEX(Processos!$AM$10:$AM$509,MATCH(SUBSTITUTE(SUBSTITUTE(SUBSTITUTE("P:"&amp;A1154,"~","~~"),"*","~*"),"?","~?"),Processos!$AS$10:$AS$509,0)))-9),0)</f>
        <v>0</v>
      </c>
      <c r="K1154" s="34" t="str">
        <f t="shared" si="71"/>
        <v/>
      </c>
      <c r="L1154" s="14">
        <f>ROW()</f>
        <v>1154</v>
      </c>
    </row>
    <row r="1155" spans="1:12" ht="60" customHeight="1">
      <c r="A1155" s="41"/>
      <c r="B1155" s="43"/>
      <c r="C1155" s="44"/>
      <c r="D1155" s="51"/>
      <c r="E1155" s="44"/>
      <c r="F1155" s="44"/>
      <c r="G1155" s="34">
        <f t="shared" si="68"/>
        <v>0</v>
      </c>
      <c r="H1155" s="34" t="str">
        <f t="shared" si="69"/>
        <v/>
      </c>
      <c r="I1155" s="52" t="str">
        <f t="shared" si="70"/>
        <v/>
      </c>
      <c r="J1155" s="34">
        <f>IF(AND(A1155&lt;&gt;"",ISTEXT(A1155),COUNTIFS(Processos!$AS$10:$AS$509,"="&amp;SUBSTITUTE(SUBSTITUTE(SUBSTITUTE("P:"&amp;A1155,"~","~~"),"*","~*"),"?","~?"))=1),(IF(ISNA(MATCH(SUBSTITUTE(SUBSTITUTE(SUBSTITUTE("P:"&amp;A1155,"~","~~"),"*","~*"),"?","~?"),Processos!$AS$10:$AS$509,0)),9,INDEX(Processos!$AM$10:$AM$509,MATCH(SUBSTITUTE(SUBSTITUTE(SUBSTITUTE("P:"&amp;A1155,"~","~~"),"*","~*"),"?","~?"),Processos!$AS$10:$AS$509,0)))-9),0)</f>
        <v>0</v>
      </c>
      <c r="K1155" s="34" t="str">
        <f t="shared" si="71"/>
        <v/>
      </c>
      <c r="L1155" s="14">
        <f>ROW()</f>
        <v>1155</v>
      </c>
    </row>
    <row r="1156" spans="1:12" ht="60" customHeight="1">
      <c r="A1156" s="41"/>
      <c r="B1156" s="43"/>
      <c r="C1156" s="44"/>
      <c r="D1156" s="51"/>
      <c r="E1156" s="44"/>
      <c r="F1156" s="44"/>
      <c r="G1156" s="34">
        <f t="shared" si="68"/>
        <v>0</v>
      </c>
      <c r="H1156" s="34" t="str">
        <f t="shared" si="69"/>
        <v/>
      </c>
      <c r="I1156" s="52" t="str">
        <f t="shared" si="70"/>
        <v/>
      </c>
      <c r="J1156" s="34">
        <f>IF(AND(A1156&lt;&gt;"",ISTEXT(A1156),COUNTIFS(Processos!$AS$10:$AS$509,"="&amp;SUBSTITUTE(SUBSTITUTE(SUBSTITUTE("P:"&amp;A1156,"~","~~"),"*","~*"),"?","~?"))=1),(IF(ISNA(MATCH(SUBSTITUTE(SUBSTITUTE(SUBSTITUTE("P:"&amp;A1156,"~","~~"),"*","~*"),"?","~?"),Processos!$AS$10:$AS$509,0)),9,INDEX(Processos!$AM$10:$AM$509,MATCH(SUBSTITUTE(SUBSTITUTE(SUBSTITUTE("P:"&amp;A1156,"~","~~"),"*","~*"),"?","~?"),Processos!$AS$10:$AS$509,0)))-9),0)</f>
        <v>0</v>
      </c>
      <c r="K1156" s="34" t="str">
        <f t="shared" si="71"/>
        <v/>
      </c>
      <c r="L1156" s="14">
        <f>ROW()</f>
        <v>1156</v>
      </c>
    </row>
    <row r="1157" spans="1:12" ht="60" customHeight="1">
      <c r="A1157" s="41"/>
      <c r="B1157" s="43"/>
      <c r="C1157" s="44"/>
      <c r="D1157" s="51"/>
      <c r="E1157" s="44"/>
      <c r="F1157" s="44"/>
      <c r="G1157" s="34">
        <f t="shared" si="68"/>
        <v>0</v>
      </c>
      <c r="H1157" s="34" t="str">
        <f t="shared" si="69"/>
        <v/>
      </c>
      <c r="I1157" s="52" t="str">
        <f t="shared" si="70"/>
        <v/>
      </c>
      <c r="J1157" s="34">
        <f>IF(AND(A1157&lt;&gt;"",ISTEXT(A1157),COUNTIFS(Processos!$AS$10:$AS$509,"="&amp;SUBSTITUTE(SUBSTITUTE(SUBSTITUTE("P:"&amp;A1157,"~","~~"),"*","~*"),"?","~?"))=1),(IF(ISNA(MATCH(SUBSTITUTE(SUBSTITUTE(SUBSTITUTE("P:"&amp;A1157,"~","~~"),"*","~*"),"?","~?"),Processos!$AS$10:$AS$509,0)),9,INDEX(Processos!$AM$10:$AM$509,MATCH(SUBSTITUTE(SUBSTITUTE(SUBSTITUTE("P:"&amp;A1157,"~","~~"),"*","~*"),"?","~?"),Processos!$AS$10:$AS$509,0)))-9),0)</f>
        <v>0</v>
      </c>
      <c r="K1157" s="34" t="str">
        <f t="shared" si="71"/>
        <v/>
      </c>
      <c r="L1157" s="14">
        <f>ROW()</f>
        <v>1157</v>
      </c>
    </row>
    <row r="1158" spans="1:12" ht="60" customHeight="1">
      <c r="A1158" s="41"/>
      <c r="B1158" s="43"/>
      <c r="C1158" s="44"/>
      <c r="D1158" s="51"/>
      <c r="E1158" s="44"/>
      <c r="F1158" s="44"/>
      <c r="G1158" s="34">
        <f t="shared" si="68"/>
        <v>0</v>
      </c>
      <c r="H1158" s="34" t="str">
        <f t="shared" si="69"/>
        <v/>
      </c>
      <c r="I1158" s="52" t="str">
        <f t="shared" si="70"/>
        <v/>
      </c>
      <c r="J1158" s="34">
        <f>IF(AND(A1158&lt;&gt;"",ISTEXT(A1158),COUNTIFS(Processos!$AS$10:$AS$509,"="&amp;SUBSTITUTE(SUBSTITUTE(SUBSTITUTE("P:"&amp;A1158,"~","~~"),"*","~*"),"?","~?"))=1),(IF(ISNA(MATCH(SUBSTITUTE(SUBSTITUTE(SUBSTITUTE("P:"&amp;A1158,"~","~~"),"*","~*"),"?","~?"),Processos!$AS$10:$AS$509,0)),9,INDEX(Processos!$AM$10:$AM$509,MATCH(SUBSTITUTE(SUBSTITUTE(SUBSTITUTE("P:"&amp;A1158,"~","~~"),"*","~*"),"?","~?"),Processos!$AS$10:$AS$509,0)))-9),0)</f>
        <v>0</v>
      </c>
      <c r="K1158" s="34" t="str">
        <f t="shared" si="71"/>
        <v/>
      </c>
      <c r="L1158" s="14">
        <f>ROW()</f>
        <v>1158</v>
      </c>
    </row>
    <row r="1159" spans="1:12" ht="60" customHeight="1">
      <c r="A1159" s="41"/>
      <c r="B1159" s="43"/>
      <c r="C1159" s="44"/>
      <c r="D1159" s="51"/>
      <c r="E1159" s="44"/>
      <c r="F1159" s="44"/>
      <c r="G1159" s="34">
        <f t="shared" si="68"/>
        <v>0</v>
      </c>
      <c r="H1159" s="34" t="str">
        <f t="shared" si="69"/>
        <v/>
      </c>
      <c r="I1159" s="52" t="str">
        <f t="shared" si="70"/>
        <v/>
      </c>
      <c r="J1159" s="34">
        <f>IF(AND(A1159&lt;&gt;"",ISTEXT(A1159),COUNTIFS(Processos!$AS$10:$AS$509,"="&amp;SUBSTITUTE(SUBSTITUTE(SUBSTITUTE("P:"&amp;A1159,"~","~~"),"*","~*"),"?","~?"))=1),(IF(ISNA(MATCH(SUBSTITUTE(SUBSTITUTE(SUBSTITUTE("P:"&amp;A1159,"~","~~"),"*","~*"),"?","~?"),Processos!$AS$10:$AS$509,0)),9,INDEX(Processos!$AM$10:$AM$509,MATCH(SUBSTITUTE(SUBSTITUTE(SUBSTITUTE("P:"&amp;A1159,"~","~~"),"*","~*"),"?","~?"),Processos!$AS$10:$AS$509,0)))-9),0)</f>
        <v>0</v>
      </c>
      <c r="K1159" s="34" t="str">
        <f t="shared" si="71"/>
        <v/>
      </c>
      <c r="L1159" s="14">
        <f>ROW()</f>
        <v>1159</v>
      </c>
    </row>
    <row r="1160" spans="1:12" ht="60" customHeight="1">
      <c r="A1160" s="41"/>
      <c r="B1160" s="43"/>
      <c r="C1160" s="44"/>
      <c r="D1160" s="51"/>
      <c r="E1160" s="44"/>
      <c r="F1160" s="44"/>
      <c r="G1160" s="34">
        <f t="shared" si="68"/>
        <v>0</v>
      </c>
      <c r="H1160" s="34" t="str">
        <f t="shared" si="69"/>
        <v/>
      </c>
      <c r="I1160" s="52" t="str">
        <f t="shared" si="70"/>
        <v/>
      </c>
      <c r="J1160" s="34">
        <f>IF(AND(A1160&lt;&gt;"",ISTEXT(A1160),COUNTIFS(Processos!$AS$10:$AS$509,"="&amp;SUBSTITUTE(SUBSTITUTE(SUBSTITUTE("P:"&amp;A1160,"~","~~"),"*","~*"),"?","~?"))=1),(IF(ISNA(MATCH(SUBSTITUTE(SUBSTITUTE(SUBSTITUTE("P:"&amp;A1160,"~","~~"),"*","~*"),"?","~?"),Processos!$AS$10:$AS$509,0)),9,INDEX(Processos!$AM$10:$AM$509,MATCH(SUBSTITUTE(SUBSTITUTE(SUBSTITUTE("P:"&amp;A1160,"~","~~"),"*","~*"),"?","~?"),Processos!$AS$10:$AS$509,0)))-9),0)</f>
        <v>0</v>
      </c>
      <c r="K1160" s="34" t="str">
        <f t="shared" si="71"/>
        <v/>
      </c>
      <c r="L1160" s="14">
        <f>ROW()</f>
        <v>1160</v>
      </c>
    </row>
    <row r="1161" spans="1:12" ht="60" customHeight="1">
      <c r="A1161" s="41"/>
      <c r="B1161" s="43"/>
      <c r="C1161" s="44"/>
      <c r="D1161" s="51"/>
      <c r="E1161" s="44"/>
      <c r="F1161" s="44"/>
      <c r="G1161" s="34">
        <f t="shared" si="68"/>
        <v>0</v>
      </c>
      <c r="H1161" s="34" t="str">
        <f t="shared" si="69"/>
        <v/>
      </c>
      <c r="I1161" s="52" t="str">
        <f t="shared" si="70"/>
        <v/>
      </c>
      <c r="J1161" s="34">
        <f>IF(AND(A1161&lt;&gt;"",ISTEXT(A1161),COUNTIFS(Processos!$AS$10:$AS$509,"="&amp;SUBSTITUTE(SUBSTITUTE(SUBSTITUTE("P:"&amp;A1161,"~","~~"),"*","~*"),"?","~?"))=1),(IF(ISNA(MATCH(SUBSTITUTE(SUBSTITUTE(SUBSTITUTE("P:"&amp;A1161,"~","~~"),"*","~*"),"?","~?"),Processos!$AS$10:$AS$509,0)),9,INDEX(Processos!$AM$10:$AM$509,MATCH(SUBSTITUTE(SUBSTITUTE(SUBSTITUTE("P:"&amp;A1161,"~","~~"),"*","~*"),"?","~?"),Processos!$AS$10:$AS$509,0)))-9),0)</f>
        <v>0</v>
      </c>
      <c r="K1161" s="34" t="str">
        <f t="shared" si="71"/>
        <v/>
      </c>
      <c r="L1161" s="14">
        <f>ROW()</f>
        <v>1161</v>
      </c>
    </row>
    <row r="1162" spans="1:12" ht="60" customHeight="1">
      <c r="A1162" s="41"/>
      <c r="B1162" s="43"/>
      <c r="C1162" s="44"/>
      <c r="D1162" s="51"/>
      <c r="E1162" s="44"/>
      <c r="F1162" s="44"/>
      <c r="G1162" s="34">
        <f t="shared" ref="G1162:G1225" si="72">IF(AND(J1162&gt;0,OR(B1162="",AND(ISNUMBER(B1162),B1162&gt;=1,B1162&lt;=100000)),ISNUMBER(D1162),D1162&gt;=1,D1162&lt;=100000,C1162&lt;&gt;""),1,0)</f>
        <v>0</v>
      </c>
      <c r="H1162" s="34" t="str">
        <f t="shared" ref="H1162:H1225" si="73">IF(G1162=1,K1162&amp;"|"&amp;D1162,"")</f>
        <v/>
      </c>
      <c r="I1162" s="52" t="str">
        <f t="shared" ref="I1162:I1225" si="74">IF(COUNTA(A1162:F1162)=0,"",IF(A1162="","Selecione o processo",IF(J1162=0,"Processo inexistente, duplicado ou número não textual",IF(B1162="","Informe a data do andamento",IF(C1162="","Descreva o andamento",IF(D1162="","Informe a data e hora do recebimento",IF(OR(NOT(ISNUMBER(B1162)),B1162&lt;1,B1162&gt;100000),"Revise a data do andamento",IF(OR(NOT(ISNUMBER(D1162)),D1162&lt;1,D1162&gt;100000),"Revise a data e hora do recebimento",IF(COUNTIFS($K$10:$K$2009,"="&amp;SUBSTITUTE(SUBSTITUTE(SUBSTITUTE("P:"&amp;A1162,"~","~~"),"*","~*"),"?","~?"),$D$10:$D$2009,D1162,$G$10:$G$2009,1)&gt;1,"Recebimentos empatados: revise a hora ou consolide o registro","")))))))))</f>
        <v/>
      </c>
      <c r="J1162" s="34">
        <f>IF(AND(A1162&lt;&gt;"",ISTEXT(A1162),COUNTIFS(Processos!$AS$10:$AS$509,"="&amp;SUBSTITUTE(SUBSTITUTE(SUBSTITUTE("P:"&amp;A1162,"~","~~"),"*","~*"),"?","~?"))=1),(IF(ISNA(MATCH(SUBSTITUTE(SUBSTITUTE(SUBSTITUTE("P:"&amp;A1162,"~","~~"),"*","~*"),"?","~?"),Processos!$AS$10:$AS$509,0)),9,INDEX(Processos!$AM$10:$AM$509,MATCH(SUBSTITUTE(SUBSTITUTE(SUBSTITUTE("P:"&amp;A1162,"~","~~"),"*","~*"),"?","~?"),Processos!$AS$10:$AS$509,0)))-9),0)</f>
        <v>0</v>
      </c>
      <c r="K1162" s="34" t="str">
        <f t="shared" ref="K1162:K1225" si="75">IF(AND(A1162&lt;&gt;"",ISTEXT(A1162)),"P:"&amp;A1162,"")</f>
        <v/>
      </c>
      <c r="L1162" s="14">
        <f>ROW()</f>
        <v>1162</v>
      </c>
    </row>
    <row r="1163" spans="1:12" ht="60" customHeight="1">
      <c r="A1163" s="41"/>
      <c r="B1163" s="43"/>
      <c r="C1163" s="44"/>
      <c r="D1163" s="51"/>
      <c r="E1163" s="44"/>
      <c r="F1163" s="44"/>
      <c r="G1163" s="34">
        <f t="shared" si="72"/>
        <v>0</v>
      </c>
      <c r="H1163" s="34" t="str">
        <f t="shared" si="73"/>
        <v/>
      </c>
      <c r="I1163" s="52" t="str">
        <f t="shared" si="74"/>
        <v/>
      </c>
      <c r="J1163" s="34">
        <f>IF(AND(A1163&lt;&gt;"",ISTEXT(A1163),COUNTIFS(Processos!$AS$10:$AS$509,"="&amp;SUBSTITUTE(SUBSTITUTE(SUBSTITUTE("P:"&amp;A1163,"~","~~"),"*","~*"),"?","~?"))=1),(IF(ISNA(MATCH(SUBSTITUTE(SUBSTITUTE(SUBSTITUTE("P:"&amp;A1163,"~","~~"),"*","~*"),"?","~?"),Processos!$AS$10:$AS$509,0)),9,INDEX(Processos!$AM$10:$AM$509,MATCH(SUBSTITUTE(SUBSTITUTE(SUBSTITUTE("P:"&amp;A1163,"~","~~"),"*","~*"),"?","~?"),Processos!$AS$10:$AS$509,0)))-9),0)</f>
        <v>0</v>
      </c>
      <c r="K1163" s="34" t="str">
        <f t="shared" si="75"/>
        <v/>
      </c>
      <c r="L1163" s="14">
        <f>ROW()</f>
        <v>1163</v>
      </c>
    </row>
    <row r="1164" spans="1:12" ht="60" customHeight="1">
      <c r="A1164" s="41"/>
      <c r="B1164" s="43"/>
      <c r="C1164" s="44"/>
      <c r="D1164" s="51"/>
      <c r="E1164" s="44"/>
      <c r="F1164" s="44"/>
      <c r="G1164" s="34">
        <f t="shared" si="72"/>
        <v>0</v>
      </c>
      <c r="H1164" s="34" t="str">
        <f t="shared" si="73"/>
        <v/>
      </c>
      <c r="I1164" s="52" t="str">
        <f t="shared" si="74"/>
        <v/>
      </c>
      <c r="J1164" s="34">
        <f>IF(AND(A1164&lt;&gt;"",ISTEXT(A1164),COUNTIFS(Processos!$AS$10:$AS$509,"="&amp;SUBSTITUTE(SUBSTITUTE(SUBSTITUTE("P:"&amp;A1164,"~","~~"),"*","~*"),"?","~?"))=1),(IF(ISNA(MATCH(SUBSTITUTE(SUBSTITUTE(SUBSTITUTE("P:"&amp;A1164,"~","~~"),"*","~*"),"?","~?"),Processos!$AS$10:$AS$509,0)),9,INDEX(Processos!$AM$10:$AM$509,MATCH(SUBSTITUTE(SUBSTITUTE(SUBSTITUTE("P:"&amp;A1164,"~","~~"),"*","~*"),"?","~?"),Processos!$AS$10:$AS$509,0)))-9),0)</f>
        <v>0</v>
      </c>
      <c r="K1164" s="34" t="str">
        <f t="shared" si="75"/>
        <v/>
      </c>
      <c r="L1164" s="14">
        <f>ROW()</f>
        <v>1164</v>
      </c>
    </row>
    <row r="1165" spans="1:12" ht="60" customHeight="1">
      <c r="A1165" s="41"/>
      <c r="B1165" s="43"/>
      <c r="C1165" s="44"/>
      <c r="D1165" s="51"/>
      <c r="E1165" s="44"/>
      <c r="F1165" s="44"/>
      <c r="G1165" s="34">
        <f t="shared" si="72"/>
        <v>0</v>
      </c>
      <c r="H1165" s="34" t="str">
        <f t="shared" si="73"/>
        <v/>
      </c>
      <c r="I1165" s="52" t="str">
        <f t="shared" si="74"/>
        <v/>
      </c>
      <c r="J1165" s="34">
        <f>IF(AND(A1165&lt;&gt;"",ISTEXT(A1165),COUNTIFS(Processos!$AS$10:$AS$509,"="&amp;SUBSTITUTE(SUBSTITUTE(SUBSTITUTE("P:"&amp;A1165,"~","~~"),"*","~*"),"?","~?"))=1),(IF(ISNA(MATCH(SUBSTITUTE(SUBSTITUTE(SUBSTITUTE("P:"&amp;A1165,"~","~~"),"*","~*"),"?","~?"),Processos!$AS$10:$AS$509,0)),9,INDEX(Processos!$AM$10:$AM$509,MATCH(SUBSTITUTE(SUBSTITUTE(SUBSTITUTE("P:"&amp;A1165,"~","~~"),"*","~*"),"?","~?"),Processos!$AS$10:$AS$509,0)))-9),0)</f>
        <v>0</v>
      </c>
      <c r="K1165" s="34" t="str">
        <f t="shared" si="75"/>
        <v/>
      </c>
      <c r="L1165" s="14">
        <f>ROW()</f>
        <v>1165</v>
      </c>
    </row>
    <row r="1166" spans="1:12" ht="60" customHeight="1">
      <c r="A1166" s="41"/>
      <c r="B1166" s="43"/>
      <c r="C1166" s="44"/>
      <c r="D1166" s="51"/>
      <c r="E1166" s="44"/>
      <c r="F1166" s="44"/>
      <c r="G1166" s="34">
        <f t="shared" si="72"/>
        <v>0</v>
      </c>
      <c r="H1166" s="34" t="str">
        <f t="shared" si="73"/>
        <v/>
      </c>
      <c r="I1166" s="52" t="str">
        <f t="shared" si="74"/>
        <v/>
      </c>
      <c r="J1166" s="34">
        <f>IF(AND(A1166&lt;&gt;"",ISTEXT(A1166),COUNTIFS(Processos!$AS$10:$AS$509,"="&amp;SUBSTITUTE(SUBSTITUTE(SUBSTITUTE("P:"&amp;A1166,"~","~~"),"*","~*"),"?","~?"))=1),(IF(ISNA(MATCH(SUBSTITUTE(SUBSTITUTE(SUBSTITUTE("P:"&amp;A1166,"~","~~"),"*","~*"),"?","~?"),Processos!$AS$10:$AS$509,0)),9,INDEX(Processos!$AM$10:$AM$509,MATCH(SUBSTITUTE(SUBSTITUTE(SUBSTITUTE("P:"&amp;A1166,"~","~~"),"*","~*"),"?","~?"),Processos!$AS$10:$AS$509,0)))-9),0)</f>
        <v>0</v>
      </c>
      <c r="K1166" s="34" t="str">
        <f t="shared" si="75"/>
        <v/>
      </c>
      <c r="L1166" s="14">
        <f>ROW()</f>
        <v>1166</v>
      </c>
    </row>
    <row r="1167" spans="1:12" ht="60" customHeight="1">
      <c r="A1167" s="41"/>
      <c r="B1167" s="43"/>
      <c r="C1167" s="44"/>
      <c r="D1167" s="51"/>
      <c r="E1167" s="44"/>
      <c r="F1167" s="44"/>
      <c r="G1167" s="34">
        <f t="shared" si="72"/>
        <v>0</v>
      </c>
      <c r="H1167" s="34" t="str">
        <f t="shared" si="73"/>
        <v/>
      </c>
      <c r="I1167" s="52" t="str">
        <f t="shared" si="74"/>
        <v/>
      </c>
      <c r="J1167" s="34">
        <f>IF(AND(A1167&lt;&gt;"",ISTEXT(A1167),COUNTIFS(Processos!$AS$10:$AS$509,"="&amp;SUBSTITUTE(SUBSTITUTE(SUBSTITUTE("P:"&amp;A1167,"~","~~"),"*","~*"),"?","~?"))=1),(IF(ISNA(MATCH(SUBSTITUTE(SUBSTITUTE(SUBSTITUTE("P:"&amp;A1167,"~","~~"),"*","~*"),"?","~?"),Processos!$AS$10:$AS$509,0)),9,INDEX(Processos!$AM$10:$AM$509,MATCH(SUBSTITUTE(SUBSTITUTE(SUBSTITUTE("P:"&amp;A1167,"~","~~"),"*","~*"),"?","~?"),Processos!$AS$10:$AS$509,0)))-9),0)</f>
        <v>0</v>
      </c>
      <c r="K1167" s="34" t="str">
        <f t="shared" si="75"/>
        <v/>
      </c>
      <c r="L1167" s="14">
        <f>ROW()</f>
        <v>1167</v>
      </c>
    </row>
    <row r="1168" spans="1:12" ht="60" customHeight="1">
      <c r="A1168" s="41"/>
      <c r="B1168" s="43"/>
      <c r="C1168" s="44"/>
      <c r="D1168" s="51"/>
      <c r="E1168" s="44"/>
      <c r="F1168" s="44"/>
      <c r="G1168" s="34">
        <f t="shared" si="72"/>
        <v>0</v>
      </c>
      <c r="H1168" s="34" t="str">
        <f t="shared" si="73"/>
        <v/>
      </c>
      <c r="I1168" s="52" t="str">
        <f t="shared" si="74"/>
        <v/>
      </c>
      <c r="J1168" s="34">
        <f>IF(AND(A1168&lt;&gt;"",ISTEXT(A1168),COUNTIFS(Processos!$AS$10:$AS$509,"="&amp;SUBSTITUTE(SUBSTITUTE(SUBSTITUTE("P:"&amp;A1168,"~","~~"),"*","~*"),"?","~?"))=1),(IF(ISNA(MATCH(SUBSTITUTE(SUBSTITUTE(SUBSTITUTE("P:"&amp;A1168,"~","~~"),"*","~*"),"?","~?"),Processos!$AS$10:$AS$509,0)),9,INDEX(Processos!$AM$10:$AM$509,MATCH(SUBSTITUTE(SUBSTITUTE(SUBSTITUTE("P:"&amp;A1168,"~","~~"),"*","~*"),"?","~?"),Processos!$AS$10:$AS$509,0)))-9),0)</f>
        <v>0</v>
      </c>
      <c r="K1168" s="34" t="str">
        <f t="shared" si="75"/>
        <v/>
      </c>
      <c r="L1168" s="14">
        <f>ROW()</f>
        <v>1168</v>
      </c>
    </row>
    <row r="1169" spans="1:12" ht="60" customHeight="1">
      <c r="A1169" s="41"/>
      <c r="B1169" s="43"/>
      <c r="C1169" s="44"/>
      <c r="D1169" s="51"/>
      <c r="E1169" s="44"/>
      <c r="F1169" s="44"/>
      <c r="G1169" s="34">
        <f t="shared" si="72"/>
        <v>0</v>
      </c>
      <c r="H1169" s="34" t="str">
        <f t="shared" si="73"/>
        <v/>
      </c>
      <c r="I1169" s="52" t="str">
        <f t="shared" si="74"/>
        <v/>
      </c>
      <c r="J1169" s="34">
        <f>IF(AND(A1169&lt;&gt;"",ISTEXT(A1169),COUNTIFS(Processos!$AS$10:$AS$509,"="&amp;SUBSTITUTE(SUBSTITUTE(SUBSTITUTE("P:"&amp;A1169,"~","~~"),"*","~*"),"?","~?"))=1),(IF(ISNA(MATCH(SUBSTITUTE(SUBSTITUTE(SUBSTITUTE("P:"&amp;A1169,"~","~~"),"*","~*"),"?","~?"),Processos!$AS$10:$AS$509,0)),9,INDEX(Processos!$AM$10:$AM$509,MATCH(SUBSTITUTE(SUBSTITUTE(SUBSTITUTE("P:"&amp;A1169,"~","~~"),"*","~*"),"?","~?"),Processos!$AS$10:$AS$509,0)))-9),0)</f>
        <v>0</v>
      </c>
      <c r="K1169" s="34" t="str">
        <f t="shared" si="75"/>
        <v/>
      </c>
      <c r="L1169" s="14">
        <f>ROW()</f>
        <v>1169</v>
      </c>
    </row>
    <row r="1170" spans="1:12" ht="60" customHeight="1">
      <c r="A1170" s="41"/>
      <c r="B1170" s="43"/>
      <c r="C1170" s="44"/>
      <c r="D1170" s="51"/>
      <c r="E1170" s="44"/>
      <c r="F1170" s="44"/>
      <c r="G1170" s="34">
        <f t="shared" si="72"/>
        <v>0</v>
      </c>
      <c r="H1170" s="34" t="str">
        <f t="shared" si="73"/>
        <v/>
      </c>
      <c r="I1170" s="52" t="str">
        <f t="shared" si="74"/>
        <v/>
      </c>
      <c r="J1170" s="34">
        <f>IF(AND(A1170&lt;&gt;"",ISTEXT(A1170),COUNTIFS(Processos!$AS$10:$AS$509,"="&amp;SUBSTITUTE(SUBSTITUTE(SUBSTITUTE("P:"&amp;A1170,"~","~~"),"*","~*"),"?","~?"))=1),(IF(ISNA(MATCH(SUBSTITUTE(SUBSTITUTE(SUBSTITUTE("P:"&amp;A1170,"~","~~"),"*","~*"),"?","~?"),Processos!$AS$10:$AS$509,0)),9,INDEX(Processos!$AM$10:$AM$509,MATCH(SUBSTITUTE(SUBSTITUTE(SUBSTITUTE("P:"&amp;A1170,"~","~~"),"*","~*"),"?","~?"),Processos!$AS$10:$AS$509,0)))-9),0)</f>
        <v>0</v>
      </c>
      <c r="K1170" s="34" t="str">
        <f t="shared" si="75"/>
        <v/>
      </c>
      <c r="L1170" s="14">
        <f>ROW()</f>
        <v>1170</v>
      </c>
    </row>
    <row r="1171" spans="1:12" ht="60" customHeight="1">
      <c r="A1171" s="41"/>
      <c r="B1171" s="43"/>
      <c r="C1171" s="44"/>
      <c r="D1171" s="51"/>
      <c r="E1171" s="44"/>
      <c r="F1171" s="44"/>
      <c r="G1171" s="34">
        <f t="shared" si="72"/>
        <v>0</v>
      </c>
      <c r="H1171" s="34" t="str">
        <f t="shared" si="73"/>
        <v/>
      </c>
      <c r="I1171" s="52" t="str">
        <f t="shared" si="74"/>
        <v/>
      </c>
      <c r="J1171" s="34">
        <f>IF(AND(A1171&lt;&gt;"",ISTEXT(A1171),COUNTIFS(Processos!$AS$10:$AS$509,"="&amp;SUBSTITUTE(SUBSTITUTE(SUBSTITUTE("P:"&amp;A1171,"~","~~"),"*","~*"),"?","~?"))=1),(IF(ISNA(MATCH(SUBSTITUTE(SUBSTITUTE(SUBSTITUTE("P:"&amp;A1171,"~","~~"),"*","~*"),"?","~?"),Processos!$AS$10:$AS$509,0)),9,INDEX(Processos!$AM$10:$AM$509,MATCH(SUBSTITUTE(SUBSTITUTE(SUBSTITUTE("P:"&amp;A1171,"~","~~"),"*","~*"),"?","~?"),Processos!$AS$10:$AS$509,0)))-9),0)</f>
        <v>0</v>
      </c>
      <c r="K1171" s="34" t="str">
        <f t="shared" si="75"/>
        <v/>
      </c>
      <c r="L1171" s="14">
        <f>ROW()</f>
        <v>1171</v>
      </c>
    </row>
    <row r="1172" spans="1:12" ht="60" customHeight="1">
      <c r="A1172" s="41"/>
      <c r="B1172" s="43"/>
      <c r="C1172" s="44"/>
      <c r="D1172" s="51"/>
      <c r="E1172" s="44"/>
      <c r="F1172" s="44"/>
      <c r="G1172" s="34">
        <f t="shared" si="72"/>
        <v>0</v>
      </c>
      <c r="H1172" s="34" t="str">
        <f t="shared" si="73"/>
        <v/>
      </c>
      <c r="I1172" s="52" t="str">
        <f t="shared" si="74"/>
        <v/>
      </c>
      <c r="J1172" s="34">
        <f>IF(AND(A1172&lt;&gt;"",ISTEXT(A1172),COUNTIFS(Processos!$AS$10:$AS$509,"="&amp;SUBSTITUTE(SUBSTITUTE(SUBSTITUTE("P:"&amp;A1172,"~","~~"),"*","~*"),"?","~?"))=1),(IF(ISNA(MATCH(SUBSTITUTE(SUBSTITUTE(SUBSTITUTE("P:"&amp;A1172,"~","~~"),"*","~*"),"?","~?"),Processos!$AS$10:$AS$509,0)),9,INDEX(Processos!$AM$10:$AM$509,MATCH(SUBSTITUTE(SUBSTITUTE(SUBSTITUTE("P:"&amp;A1172,"~","~~"),"*","~*"),"?","~?"),Processos!$AS$10:$AS$509,0)))-9),0)</f>
        <v>0</v>
      </c>
      <c r="K1172" s="34" t="str">
        <f t="shared" si="75"/>
        <v/>
      </c>
      <c r="L1172" s="14">
        <f>ROW()</f>
        <v>1172</v>
      </c>
    </row>
    <row r="1173" spans="1:12" ht="60" customHeight="1">
      <c r="A1173" s="41"/>
      <c r="B1173" s="43"/>
      <c r="C1173" s="44"/>
      <c r="D1173" s="51"/>
      <c r="E1173" s="44"/>
      <c r="F1173" s="44"/>
      <c r="G1173" s="34">
        <f t="shared" si="72"/>
        <v>0</v>
      </c>
      <c r="H1173" s="34" t="str">
        <f t="shared" si="73"/>
        <v/>
      </c>
      <c r="I1173" s="52" t="str">
        <f t="shared" si="74"/>
        <v/>
      </c>
      <c r="J1173" s="34">
        <f>IF(AND(A1173&lt;&gt;"",ISTEXT(A1173),COUNTIFS(Processos!$AS$10:$AS$509,"="&amp;SUBSTITUTE(SUBSTITUTE(SUBSTITUTE("P:"&amp;A1173,"~","~~"),"*","~*"),"?","~?"))=1),(IF(ISNA(MATCH(SUBSTITUTE(SUBSTITUTE(SUBSTITUTE("P:"&amp;A1173,"~","~~"),"*","~*"),"?","~?"),Processos!$AS$10:$AS$509,0)),9,INDEX(Processos!$AM$10:$AM$509,MATCH(SUBSTITUTE(SUBSTITUTE(SUBSTITUTE("P:"&amp;A1173,"~","~~"),"*","~*"),"?","~?"),Processos!$AS$10:$AS$509,0)))-9),0)</f>
        <v>0</v>
      </c>
      <c r="K1173" s="34" t="str">
        <f t="shared" si="75"/>
        <v/>
      </c>
      <c r="L1173" s="14">
        <f>ROW()</f>
        <v>1173</v>
      </c>
    </row>
    <row r="1174" spans="1:12" ht="60" customHeight="1">
      <c r="A1174" s="41"/>
      <c r="B1174" s="43"/>
      <c r="C1174" s="44"/>
      <c r="D1174" s="51"/>
      <c r="E1174" s="44"/>
      <c r="F1174" s="44"/>
      <c r="G1174" s="34">
        <f t="shared" si="72"/>
        <v>0</v>
      </c>
      <c r="H1174" s="34" t="str">
        <f t="shared" si="73"/>
        <v/>
      </c>
      <c r="I1174" s="52" t="str">
        <f t="shared" si="74"/>
        <v/>
      </c>
      <c r="J1174" s="34">
        <f>IF(AND(A1174&lt;&gt;"",ISTEXT(A1174),COUNTIFS(Processos!$AS$10:$AS$509,"="&amp;SUBSTITUTE(SUBSTITUTE(SUBSTITUTE("P:"&amp;A1174,"~","~~"),"*","~*"),"?","~?"))=1),(IF(ISNA(MATCH(SUBSTITUTE(SUBSTITUTE(SUBSTITUTE("P:"&amp;A1174,"~","~~"),"*","~*"),"?","~?"),Processos!$AS$10:$AS$509,0)),9,INDEX(Processos!$AM$10:$AM$509,MATCH(SUBSTITUTE(SUBSTITUTE(SUBSTITUTE("P:"&amp;A1174,"~","~~"),"*","~*"),"?","~?"),Processos!$AS$10:$AS$509,0)))-9),0)</f>
        <v>0</v>
      </c>
      <c r="K1174" s="34" t="str">
        <f t="shared" si="75"/>
        <v/>
      </c>
      <c r="L1174" s="14">
        <f>ROW()</f>
        <v>1174</v>
      </c>
    </row>
    <row r="1175" spans="1:12" ht="60" customHeight="1">
      <c r="A1175" s="41"/>
      <c r="B1175" s="43"/>
      <c r="C1175" s="44"/>
      <c r="D1175" s="51"/>
      <c r="E1175" s="44"/>
      <c r="F1175" s="44"/>
      <c r="G1175" s="34">
        <f t="shared" si="72"/>
        <v>0</v>
      </c>
      <c r="H1175" s="34" t="str">
        <f t="shared" si="73"/>
        <v/>
      </c>
      <c r="I1175" s="52" t="str">
        <f t="shared" si="74"/>
        <v/>
      </c>
      <c r="J1175" s="34">
        <f>IF(AND(A1175&lt;&gt;"",ISTEXT(A1175),COUNTIFS(Processos!$AS$10:$AS$509,"="&amp;SUBSTITUTE(SUBSTITUTE(SUBSTITUTE("P:"&amp;A1175,"~","~~"),"*","~*"),"?","~?"))=1),(IF(ISNA(MATCH(SUBSTITUTE(SUBSTITUTE(SUBSTITUTE("P:"&amp;A1175,"~","~~"),"*","~*"),"?","~?"),Processos!$AS$10:$AS$509,0)),9,INDEX(Processos!$AM$10:$AM$509,MATCH(SUBSTITUTE(SUBSTITUTE(SUBSTITUTE("P:"&amp;A1175,"~","~~"),"*","~*"),"?","~?"),Processos!$AS$10:$AS$509,0)))-9),0)</f>
        <v>0</v>
      </c>
      <c r="K1175" s="34" t="str">
        <f t="shared" si="75"/>
        <v/>
      </c>
      <c r="L1175" s="14">
        <f>ROW()</f>
        <v>1175</v>
      </c>
    </row>
    <row r="1176" spans="1:12" ht="60" customHeight="1">
      <c r="A1176" s="41"/>
      <c r="B1176" s="43"/>
      <c r="C1176" s="44"/>
      <c r="D1176" s="51"/>
      <c r="E1176" s="44"/>
      <c r="F1176" s="44"/>
      <c r="G1176" s="34">
        <f t="shared" si="72"/>
        <v>0</v>
      </c>
      <c r="H1176" s="34" t="str">
        <f t="shared" si="73"/>
        <v/>
      </c>
      <c r="I1176" s="52" t="str">
        <f t="shared" si="74"/>
        <v/>
      </c>
      <c r="J1176" s="34">
        <f>IF(AND(A1176&lt;&gt;"",ISTEXT(A1176),COUNTIFS(Processos!$AS$10:$AS$509,"="&amp;SUBSTITUTE(SUBSTITUTE(SUBSTITUTE("P:"&amp;A1176,"~","~~"),"*","~*"),"?","~?"))=1),(IF(ISNA(MATCH(SUBSTITUTE(SUBSTITUTE(SUBSTITUTE("P:"&amp;A1176,"~","~~"),"*","~*"),"?","~?"),Processos!$AS$10:$AS$509,0)),9,INDEX(Processos!$AM$10:$AM$509,MATCH(SUBSTITUTE(SUBSTITUTE(SUBSTITUTE("P:"&amp;A1176,"~","~~"),"*","~*"),"?","~?"),Processos!$AS$10:$AS$509,0)))-9),0)</f>
        <v>0</v>
      </c>
      <c r="K1176" s="34" t="str">
        <f t="shared" si="75"/>
        <v/>
      </c>
      <c r="L1176" s="14">
        <f>ROW()</f>
        <v>1176</v>
      </c>
    </row>
    <row r="1177" spans="1:12" ht="60" customHeight="1">
      <c r="A1177" s="41"/>
      <c r="B1177" s="43"/>
      <c r="C1177" s="44"/>
      <c r="D1177" s="51"/>
      <c r="E1177" s="44"/>
      <c r="F1177" s="44"/>
      <c r="G1177" s="34">
        <f t="shared" si="72"/>
        <v>0</v>
      </c>
      <c r="H1177" s="34" t="str">
        <f t="shared" si="73"/>
        <v/>
      </c>
      <c r="I1177" s="52" t="str">
        <f t="shared" si="74"/>
        <v/>
      </c>
      <c r="J1177" s="34">
        <f>IF(AND(A1177&lt;&gt;"",ISTEXT(A1177),COUNTIFS(Processos!$AS$10:$AS$509,"="&amp;SUBSTITUTE(SUBSTITUTE(SUBSTITUTE("P:"&amp;A1177,"~","~~"),"*","~*"),"?","~?"))=1),(IF(ISNA(MATCH(SUBSTITUTE(SUBSTITUTE(SUBSTITUTE("P:"&amp;A1177,"~","~~"),"*","~*"),"?","~?"),Processos!$AS$10:$AS$509,0)),9,INDEX(Processos!$AM$10:$AM$509,MATCH(SUBSTITUTE(SUBSTITUTE(SUBSTITUTE("P:"&amp;A1177,"~","~~"),"*","~*"),"?","~?"),Processos!$AS$10:$AS$509,0)))-9),0)</f>
        <v>0</v>
      </c>
      <c r="K1177" s="34" t="str">
        <f t="shared" si="75"/>
        <v/>
      </c>
      <c r="L1177" s="14">
        <f>ROW()</f>
        <v>1177</v>
      </c>
    </row>
    <row r="1178" spans="1:12" ht="60" customHeight="1">
      <c r="A1178" s="41"/>
      <c r="B1178" s="43"/>
      <c r="C1178" s="44"/>
      <c r="D1178" s="51"/>
      <c r="E1178" s="44"/>
      <c r="F1178" s="44"/>
      <c r="G1178" s="34">
        <f t="shared" si="72"/>
        <v>0</v>
      </c>
      <c r="H1178" s="34" t="str">
        <f t="shared" si="73"/>
        <v/>
      </c>
      <c r="I1178" s="52" t="str">
        <f t="shared" si="74"/>
        <v/>
      </c>
      <c r="J1178" s="34">
        <f>IF(AND(A1178&lt;&gt;"",ISTEXT(A1178),COUNTIFS(Processos!$AS$10:$AS$509,"="&amp;SUBSTITUTE(SUBSTITUTE(SUBSTITUTE("P:"&amp;A1178,"~","~~"),"*","~*"),"?","~?"))=1),(IF(ISNA(MATCH(SUBSTITUTE(SUBSTITUTE(SUBSTITUTE("P:"&amp;A1178,"~","~~"),"*","~*"),"?","~?"),Processos!$AS$10:$AS$509,0)),9,INDEX(Processos!$AM$10:$AM$509,MATCH(SUBSTITUTE(SUBSTITUTE(SUBSTITUTE("P:"&amp;A1178,"~","~~"),"*","~*"),"?","~?"),Processos!$AS$10:$AS$509,0)))-9),0)</f>
        <v>0</v>
      </c>
      <c r="K1178" s="34" t="str">
        <f t="shared" si="75"/>
        <v/>
      </c>
      <c r="L1178" s="14">
        <f>ROW()</f>
        <v>1178</v>
      </c>
    </row>
    <row r="1179" spans="1:12" ht="60" customHeight="1">
      <c r="A1179" s="41"/>
      <c r="B1179" s="43"/>
      <c r="C1179" s="44"/>
      <c r="D1179" s="51"/>
      <c r="E1179" s="44"/>
      <c r="F1179" s="44"/>
      <c r="G1179" s="34">
        <f t="shared" si="72"/>
        <v>0</v>
      </c>
      <c r="H1179" s="34" t="str">
        <f t="shared" si="73"/>
        <v/>
      </c>
      <c r="I1179" s="52" t="str">
        <f t="shared" si="74"/>
        <v/>
      </c>
      <c r="J1179" s="34">
        <f>IF(AND(A1179&lt;&gt;"",ISTEXT(A1179),COUNTIFS(Processos!$AS$10:$AS$509,"="&amp;SUBSTITUTE(SUBSTITUTE(SUBSTITUTE("P:"&amp;A1179,"~","~~"),"*","~*"),"?","~?"))=1),(IF(ISNA(MATCH(SUBSTITUTE(SUBSTITUTE(SUBSTITUTE("P:"&amp;A1179,"~","~~"),"*","~*"),"?","~?"),Processos!$AS$10:$AS$509,0)),9,INDEX(Processos!$AM$10:$AM$509,MATCH(SUBSTITUTE(SUBSTITUTE(SUBSTITUTE("P:"&amp;A1179,"~","~~"),"*","~*"),"?","~?"),Processos!$AS$10:$AS$509,0)))-9),0)</f>
        <v>0</v>
      </c>
      <c r="K1179" s="34" t="str">
        <f t="shared" si="75"/>
        <v/>
      </c>
      <c r="L1179" s="14">
        <f>ROW()</f>
        <v>1179</v>
      </c>
    </row>
    <row r="1180" spans="1:12" ht="60" customHeight="1">
      <c r="A1180" s="41"/>
      <c r="B1180" s="43"/>
      <c r="C1180" s="44"/>
      <c r="D1180" s="51"/>
      <c r="E1180" s="44"/>
      <c r="F1180" s="44"/>
      <c r="G1180" s="34">
        <f t="shared" si="72"/>
        <v>0</v>
      </c>
      <c r="H1180" s="34" t="str">
        <f t="shared" si="73"/>
        <v/>
      </c>
      <c r="I1180" s="52" t="str">
        <f t="shared" si="74"/>
        <v/>
      </c>
      <c r="J1180" s="34">
        <f>IF(AND(A1180&lt;&gt;"",ISTEXT(A1180),COUNTIFS(Processos!$AS$10:$AS$509,"="&amp;SUBSTITUTE(SUBSTITUTE(SUBSTITUTE("P:"&amp;A1180,"~","~~"),"*","~*"),"?","~?"))=1),(IF(ISNA(MATCH(SUBSTITUTE(SUBSTITUTE(SUBSTITUTE("P:"&amp;A1180,"~","~~"),"*","~*"),"?","~?"),Processos!$AS$10:$AS$509,0)),9,INDEX(Processos!$AM$10:$AM$509,MATCH(SUBSTITUTE(SUBSTITUTE(SUBSTITUTE("P:"&amp;A1180,"~","~~"),"*","~*"),"?","~?"),Processos!$AS$10:$AS$509,0)))-9),0)</f>
        <v>0</v>
      </c>
      <c r="K1180" s="34" t="str">
        <f t="shared" si="75"/>
        <v/>
      </c>
      <c r="L1180" s="14">
        <f>ROW()</f>
        <v>1180</v>
      </c>
    </row>
    <row r="1181" spans="1:12" ht="60" customHeight="1">
      <c r="A1181" s="41"/>
      <c r="B1181" s="43"/>
      <c r="C1181" s="44"/>
      <c r="D1181" s="51"/>
      <c r="E1181" s="44"/>
      <c r="F1181" s="44"/>
      <c r="G1181" s="34">
        <f t="shared" si="72"/>
        <v>0</v>
      </c>
      <c r="H1181" s="34" t="str">
        <f t="shared" si="73"/>
        <v/>
      </c>
      <c r="I1181" s="52" t="str">
        <f t="shared" si="74"/>
        <v/>
      </c>
      <c r="J1181" s="34">
        <f>IF(AND(A1181&lt;&gt;"",ISTEXT(A1181),COUNTIFS(Processos!$AS$10:$AS$509,"="&amp;SUBSTITUTE(SUBSTITUTE(SUBSTITUTE("P:"&amp;A1181,"~","~~"),"*","~*"),"?","~?"))=1),(IF(ISNA(MATCH(SUBSTITUTE(SUBSTITUTE(SUBSTITUTE("P:"&amp;A1181,"~","~~"),"*","~*"),"?","~?"),Processos!$AS$10:$AS$509,0)),9,INDEX(Processos!$AM$10:$AM$509,MATCH(SUBSTITUTE(SUBSTITUTE(SUBSTITUTE("P:"&amp;A1181,"~","~~"),"*","~*"),"?","~?"),Processos!$AS$10:$AS$509,0)))-9),0)</f>
        <v>0</v>
      </c>
      <c r="K1181" s="34" t="str">
        <f t="shared" si="75"/>
        <v/>
      </c>
      <c r="L1181" s="14">
        <f>ROW()</f>
        <v>1181</v>
      </c>
    </row>
    <row r="1182" spans="1:12" ht="60" customHeight="1">
      <c r="A1182" s="41"/>
      <c r="B1182" s="43"/>
      <c r="C1182" s="44"/>
      <c r="D1182" s="51"/>
      <c r="E1182" s="44"/>
      <c r="F1182" s="44"/>
      <c r="G1182" s="34">
        <f t="shared" si="72"/>
        <v>0</v>
      </c>
      <c r="H1182" s="34" t="str">
        <f t="shared" si="73"/>
        <v/>
      </c>
      <c r="I1182" s="52" t="str">
        <f t="shared" si="74"/>
        <v/>
      </c>
      <c r="J1182" s="34">
        <f>IF(AND(A1182&lt;&gt;"",ISTEXT(A1182),COUNTIFS(Processos!$AS$10:$AS$509,"="&amp;SUBSTITUTE(SUBSTITUTE(SUBSTITUTE("P:"&amp;A1182,"~","~~"),"*","~*"),"?","~?"))=1),(IF(ISNA(MATCH(SUBSTITUTE(SUBSTITUTE(SUBSTITUTE("P:"&amp;A1182,"~","~~"),"*","~*"),"?","~?"),Processos!$AS$10:$AS$509,0)),9,INDEX(Processos!$AM$10:$AM$509,MATCH(SUBSTITUTE(SUBSTITUTE(SUBSTITUTE("P:"&amp;A1182,"~","~~"),"*","~*"),"?","~?"),Processos!$AS$10:$AS$509,0)))-9),0)</f>
        <v>0</v>
      </c>
      <c r="K1182" s="34" t="str">
        <f t="shared" si="75"/>
        <v/>
      </c>
      <c r="L1182" s="14">
        <f>ROW()</f>
        <v>1182</v>
      </c>
    </row>
    <row r="1183" spans="1:12" ht="60" customHeight="1">
      <c r="A1183" s="41"/>
      <c r="B1183" s="43"/>
      <c r="C1183" s="44"/>
      <c r="D1183" s="51"/>
      <c r="E1183" s="44"/>
      <c r="F1183" s="44"/>
      <c r="G1183" s="34">
        <f t="shared" si="72"/>
        <v>0</v>
      </c>
      <c r="H1183" s="34" t="str">
        <f t="shared" si="73"/>
        <v/>
      </c>
      <c r="I1183" s="52" t="str">
        <f t="shared" si="74"/>
        <v/>
      </c>
      <c r="J1183" s="34">
        <f>IF(AND(A1183&lt;&gt;"",ISTEXT(A1183),COUNTIFS(Processos!$AS$10:$AS$509,"="&amp;SUBSTITUTE(SUBSTITUTE(SUBSTITUTE("P:"&amp;A1183,"~","~~"),"*","~*"),"?","~?"))=1),(IF(ISNA(MATCH(SUBSTITUTE(SUBSTITUTE(SUBSTITUTE("P:"&amp;A1183,"~","~~"),"*","~*"),"?","~?"),Processos!$AS$10:$AS$509,0)),9,INDEX(Processos!$AM$10:$AM$509,MATCH(SUBSTITUTE(SUBSTITUTE(SUBSTITUTE("P:"&amp;A1183,"~","~~"),"*","~*"),"?","~?"),Processos!$AS$10:$AS$509,0)))-9),0)</f>
        <v>0</v>
      </c>
      <c r="K1183" s="34" t="str">
        <f t="shared" si="75"/>
        <v/>
      </c>
      <c r="L1183" s="14">
        <f>ROW()</f>
        <v>1183</v>
      </c>
    </row>
    <row r="1184" spans="1:12" ht="60" customHeight="1">
      <c r="A1184" s="41"/>
      <c r="B1184" s="43"/>
      <c r="C1184" s="44"/>
      <c r="D1184" s="51"/>
      <c r="E1184" s="44"/>
      <c r="F1184" s="44"/>
      <c r="G1184" s="34">
        <f t="shared" si="72"/>
        <v>0</v>
      </c>
      <c r="H1184" s="34" t="str">
        <f t="shared" si="73"/>
        <v/>
      </c>
      <c r="I1184" s="52" t="str">
        <f t="shared" si="74"/>
        <v/>
      </c>
      <c r="J1184" s="34">
        <f>IF(AND(A1184&lt;&gt;"",ISTEXT(A1184),COUNTIFS(Processos!$AS$10:$AS$509,"="&amp;SUBSTITUTE(SUBSTITUTE(SUBSTITUTE("P:"&amp;A1184,"~","~~"),"*","~*"),"?","~?"))=1),(IF(ISNA(MATCH(SUBSTITUTE(SUBSTITUTE(SUBSTITUTE("P:"&amp;A1184,"~","~~"),"*","~*"),"?","~?"),Processos!$AS$10:$AS$509,0)),9,INDEX(Processos!$AM$10:$AM$509,MATCH(SUBSTITUTE(SUBSTITUTE(SUBSTITUTE("P:"&amp;A1184,"~","~~"),"*","~*"),"?","~?"),Processos!$AS$10:$AS$509,0)))-9),0)</f>
        <v>0</v>
      </c>
      <c r="K1184" s="34" t="str">
        <f t="shared" si="75"/>
        <v/>
      </c>
      <c r="L1184" s="14">
        <f>ROW()</f>
        <v>1184</v>
      </c>
    </row>
    <row r="1185" spans="1:12" ht="60" customHeight="1">
      <c r="A1185" s="41"/>
      <c r="B1185" s="43"/>
      <c r="C1185" s="44"/>
      <c r="D1185" s="51"/>
      <c r="E1185" s="44"/>
      <c r="F1185" s="44"/>
      <c r="G1185" s="34">
        <f t="shared" si="72"/>
        <v>0</v>
      </c>
      <c r="H1185" s="34" t="str">
        <f t="shared" si="73"/>
        <v/>
      </c>
      <c r="I1185" s="52" t="str">
        <f t="shared" si="74"/>
        <v/>
      </c>
      <c r="J1185" s="34">
        <f>IF(AND(A1185&lt;&gt;"",ISTEXT(A1185),COUNTIFS(Processos!$AS$10:$AS$509,"="&amp;SUBSTITUTE(SUBSTITUTE(SUBSTITUTE("P:"&amp;A1185,"~","~~"),"*","~*"),"?","~?"))=1),(IF(ISNA(MATCH(SUBSTITUTE(SUBSTITUTE(SUBSTITUTE("P:"&amp;A1185,"~","~~"),"*","~*"),"?","~?"),Processos!$AS$10:$AS$509,0)),9,INDEX(Processos!$AM$10:$AM$509,MATCH(SUBSTITUTE(SUBSTITUTE(SUBSTITUTE("P:"&amp;A1185,"~","~~"),"*","~*"),"?","~?"),Processos!$AS$10:$AS$509,0)))-9),0)</f>
        <v>0</v>
      </c>
      <c r="K1185" s="34" t="str">
        <f t="shared" si="75"/>
        <v/>
      </c>
      <c r="L1185" s="14">
        <f>ROW()</f>
        <v>1185</v>
      </c>
    </row>
    <row r="1186" spans="1:12" ht="60" customHeight="1">
      <c r="A1186" s="41"/>
      <c r="B1186" s="43"/>
      <c r="C1186" s="44"/>
      <c r="D1186" s="51"/>
      <c r="E1186" s="44"/>
      <c r="F1186" s="44"/>
      <c r="G1186" s="34">
        <f t="shared" si="72"/>
        <v>0</v>
      </c>
      <c r="H1186" s="34" t="str">
        <f t="shared" si="73"/>
        <v/>
      </c>
      <c r="I1186" s="52" t="str">
        <f t="shared" si="74"/>
        <v/>
      </c>
      <c r="J1186" s="34">
        <f>IF(AND(A1186&lt;&gt;"",ISTEXT(A1186),COUNTIFS(Processos!$AS$10:$AS$509,"="&amp;SUBSTITUTE(SUBSTITUTE(SUBSTITUTE("P:"&amp;A1186,"~","~~"),"*","~*"),"?","~?"))=1),(IF(ISNA(MATCH(SUBSTITUTE(SUBSTITUTE(SUBSTITUTE("P:"&amp;A1186,"~","~~"),"*","~*"),"?","~?"),Processos!$AS$10:$AS$509,0)),9,INDEX(Processos!$AM$10:$AM$509,MATCH(SUBSTITUTE(SUBSTITUTE(SUBSTITUTE("P:"&amp;A1186,"~","~~"),"*","~*"),"?","~?"),Processos!$AS$10:$AS$509,0)))-9),0)</f>
        <v>0</v>
      </c>
      <c r="K1186" s="34" t="str">
        <f t="shared" si="75"/>
        <v/>
      </c>
      <c r="L1186" s="14">
        <f>ROW()</f>
        <v>1186</v>
      </c>
    </row>
    <row r="1187" spans="1:12" ht="60" customHeight="1">
      <c r="A1187" s="41"/>
      <c r="B1187" s="43"/>
      <c r="C1187" s="44"/>
      <c r="D1187" s="51"/>
      <c r="E1187" s="44"/>
      <c r="F1187" s="44"/>
      <c r="G1187" s="34">
        <f t="shared" si="72"/>
        <v>0</v>
      </c>
      <c r="H1187" s="34" t="str">
        <f t="shared" si="73"/>
        <v/>
      </c>
      <c r="I1187" s="52" t="str">
        <f t="shared" si="74"/>
        <v/>
      </c>
      <c r="J1187" s="34">
        <f>IF(AND(A1187&lt;&gt;"",ISTEXT(A1187),COUNTIFS(Processos!$AS$10:$AS$509,"="&amp;SUBSTITUTE(SUBSTITUTE(SUBSTITUTE("P:"&amp;A1187,"~","~~"),"*","~*"),"?","~?"))=1),(IF(ISNA(MATCH(SUBSTITUTE(SUBSTITUTE(SUBSTITUTE("P:"&amp;A1187,"~","~~"),"*","~*"),"?","~?"),Processos!$AS$10:$AS$509,0)),9,INDEX(Processos!$AM$10:$AM$509,MATCH(SUBSTITUTE(SUBSTITUTE(SUBSTITUTE("P:"&amp;A1187,"~","~~"),"*","~*"),"?","~?"),Processos!$AS$10:$AS$509,0)))-9),0)</f>
        <v>0</v>
      </c>
      <c r="K1187" s="34" t="str">
        <f t="shared" si="75"/>
        <v/>
      </c>
      <c r="L1187" s="14">
        <f>ROW()</f>
        <v>1187</v>
      </c>
    </row>
    <row r="1188" spans="1:12" ht="60" customHeight="1">
      <c r="A1188" s="41"/>
      <c r="B1188" s="43"/>
      <c r="C1188" s="44"/>
      <c r="D1188" s="51"/>
      <c r="E1188" s="44"/>
      <c r="F1188" s="44"/>
      <c r="G1188" s="34">
        <f t="shared" si="72"/>
        <v>0</v>
      </c>
      <c r="H1188" s="34" t="str">
        <f t="shared" si="73"/>
        <v/>
      </c>
      <c r="I1188" s="52" t="str">
        <f t="shared" si="74"/>
        <v/>
      </c>
      <c r="J1188" s="34">
        <f>IF(AND(A1188&lt;&gt;"",ISTEXT(A1188),COUNTIFS(Processos!$AS$10:$AS$509,"="&amp;SUBSTITUTE(SUBSTITUTE(SUBSTITUTE("P:"&amp;A1188,"~","~~"),"*","~*"),"?","~?"))=1),(IF(ISNA(MATCH(SUBSTITUTE(SUBSTITUTE(SUBSTITUTE("P:"&amp;A1188,"~","~~"),"*","~*"),"?","~?"),Processos!$AS$10:$AS$509,0)),9,INDEX(Processos!$AM$10:$AM$509,MATCH(SUBSTITUTE(SUBSTITUTE(SUBSTITUTE("P:"&amp;A1188,"~","~~"),"*","~*"),"?","~?"),Processos!$AS$10:$AS$509,0)))-9),0)</f>
        <v>0</v>
      </c>
      <c r="K1188" s="34" t="str">
        <f t="shared" si="75"/>
        <v/>
      </c>
      <c r="L1188" s="14">
        <f>ROW()</f>
        <v>1188</v>
      </c>
    </row>
    <row r="1189" spans="1:12" ht="60" customHeight="1">
      <c r="A1189" s="41"/>
      <c r="B1189" s="43"/>
      <c r="C1189" s="44"/>
      <c r="D1189" s="51"/>
      <c r="E1189" s="44"/>
      <c r="F1189" s="44"/>
      <c r="G1189" s="34">
        <f t="shared" si="72"/>
        <v>0</v>
      </c>
      <c r="H1189" s="34" t="str">
        <f t="shared" si="73"/>
        <v/>
      </c>
      <c r="I1189" s="52" t="str">
        <f t="shared" si="74"/>
        <v/>
      </c>
      <c r="J1189" s="34">
        <f>IF(AND(A1189&lt;&gt;"",ISTEXT(A1189),COUNTIFS(Processos!$AS$10:$AS$509,"="&amp;SUBSTITUTE(SUBSTITUTE(SUBSTITUTE("P:"&amp;A1189,"~","~~"),"*","~*"),"?","~?"))=1),(IF(ISNA(MATCH(SUBSTITUTE(SUBSTITUTE(SUBSTITUTE("P:"&amp;A1189,"~","~~"),"*","~*"),"?","~?"),Processos!$AS$10:$AS$509,0)),9,INDEX(Processos!$AM$10:$AM$509,MATCH(SUBSTITUTE(SUBSTITUTE(SUBSTITUTE("P:"&amp;A1189,"~","~~"),"*","~*"),"?","~?"),Processos!$AS$10:$AS$509,0)))-9),0)</f>
        <v>0</v>
      </c>
      <c r="K1189" s="34" t="str">
        <f t="shared" si="75"/>
        <v/>
      </c>
      <c r="L1189" s="14">
        <f>ROW()</f>
        <v>1189</v>
      </c>
    </row>
    <row r="1190" spans="1:12" ht="60" customHeight="1">
      <c r="A1190" s="41"/>
      <c r="B1190" s="43"/>
      <c r="C1190" s="44"/>
      <c r="D1190" s="51"/>
      <c r="E1190" s="44"/>
      <c r="F1190" s="44"/>
      <c r="G1190" s="34">
        <f t="shared" si="72"/>
        <v>0</v>
      </c>
      <c r="H1190" s="34" t="str">
        <f t="shared" si="73"/>
        <v/>
      </c>
      <c r="I1190" s="52" t="str">
        <f t="shared" si="74"/>
        <v/>
      </c>
      <c r="J1190" s="34">
        <f>IF(AND(A1190&lt;&gt;"",ISTEXT(A1190),COUNTIFS(Processos!$AS$10:$AS$509,"="&amp;SUBSTITUTE(SUBSTITUTE(SUBSTITUTE("P:"&amp;A1190,"~","~~"),"*","~*"),"?","~?"))=1),(IF(ISNA(MATCH(SUBSTITUTE(SUBSTITUTE(SUBSTITUTE("P:"&amp;A1190,"~","~~"),"*","~*"),"?","~?"),Processos!$AS$10:$AS$509,0)),9,INDEX(Processos!$AM$10:$AM$509,MATCH(SUBSTITUTE(SUBSTITUTE(SUBSTITUTE("P:"&amp;A1190,"~","~~"),"*","~*"),"?","~?"),Processos!$AS$10:$AS$509,0)))-9),0)</f>
        <v>0</v>
      </c>
      <c r="K1190" s="34" t="str">
        <f t="shared" si="75"/>
        <v/>
      </c>
      <c r="L1190" s="14">
        <f>ROW()</f>
        <v>1190</v>
      </c>
    </row>
    <row r="1191" spans="1:12" ht="60" customHeight="1">
      <c r="A1191" s="41"/>
      <c r="B1191" s="43"/>
      <c r="C1191" s="44"/>
      <c r="D1191" s="51"/>
      <c r="E1191" s="44"/>
      <c r="F1191" s="44"/>
      <c r="G1191" s="34">
        <f t="shared" si="72"/>
        <v>0</v>
      </c>
      <c r="H1191" s="34" t="str">
        <f t="shared" si="73"/>
        <v/>
      </c>
      <c r="I1191" s="52" t="str">
        <f t="shared" si="74"/>
        <v/>
      </c>
      <c r="J1191" s="34">
        <f>IF(AND(A1191&lt;&gt;"",ISTEXT(A1191),COUNTIFS(Processos!$AS$10:$AS$509,"="&amp;SUBSTITUTE(SUBSTITUTE(SUBSTITUTE("P:"&amp;A1191,"~","~~"),"*","~*"),"?","~?"))=1),(IF(ISNA(MATCH(SUBSTITUTE(SUBSTITUTE(SUBSTITUTE("P:"&amp;A1191,"~","~~"),"*","~*"),"?","~?"),Processos!$AS$10:$AS$509,0)),9,INDEX(Processos!$AM$10:$AM$509,MATCH(SUBSTITUTE(SUBSTITUTE(SUBSTITUTE("P:"&amp;A1191,"~","~~"),"*","~*"),"?","~?"),Processos!$AS$10:$AS$509,0)))-9),0)</f>
        <v>0</v>
      </c>
      <c r="K1191" s="34" t="str">
        <f t="shared" si="75"/>
        <v/>
      </c>
      <c r="L1191" s="14">
        <f>ROW()</f>
        <v>1191</v>
      </c>
    </row>
    <row r="1192" spans="1:12" ht="60" customHeight="1">
      <c r="A1192" s="41"/>
      <c r="B1192" s="43"/>
      <c r="C1192" s="44"/>
      <c r="D1192" s="51"/>
      <c r="E1192" s="44"/>
      <c r="F1192" s="44"/>
      <c r="G1192" s="34">
        <f t="shared" si="72"/>
        <v>0</v>
      </c>
      <c r="H1192" s="34" t="str">
        <f t="shared" si="73"/>
        <v/>
      </c>
      <c r="I1192" s="52" t="str">
        <f t="shared" si="74"/>
        <v/>
      </c>
      <c r="J1192" s="34">
        <f>IF(AND(A1192&lt;&gt;"",ISTEXT(A1192),COUNTIFS(Processos!$AS$10:$AS$509,"="&amp;SUBSTITUTE(SUBSTITUTE(SUBSTITUTE("P:"&amp;A1192,"~","~~"),"*","~*"),"?","~?"))=1),(IF(ISNA(MATCH(SUBSTITUTE(SUBSTITUTE(SUBSTITUTE("P:"&amp;A1192,"~","~~"),"*","~*"),"?","~?"),Processos!$AS$10:$AS$509,0)),9,INDEX(Processos!$AM$10:$AM$509,MATCH(SUBSTITUTE(SUBSTITUTE(SUBSTITUTE("P:"&amp;A1192,"~","~~"),"*","~*"),"?","~?"),Processos!$AS$10:$AS$509,0)))-9),0)</f>
        <v>0</v>
      </c>
      <c r="K1192" s="34" t="str">
        <f t="shared" si="75"/>
        <v/>
      </c>
      <c r="L1192" s="14">
        <f>ROW()</f>
        <v>1192</v>
      </c>
    </row>
    <row r="1193" spans="1:12" ht="60" customHeight="1">
      <c r="A1193" s="41"/>
      <c r="B1193" s="43"/>
      <c r="C1193" s="44"/>
      <c r="D1193" s="51"/>
      <c r="E1193" s="44"/>
      <c r="F1193" s="44"/>
      <c r="G1193" s="34">
        <f t="shared" si="72"/>
        <v>0</v>
      </c>
      <c r="H1193" s="34" t="str">
        <f t="shared" si="73"/>
        <v/>
      </c>
      <c r="I1193" s="52" t="str">
        <f t="shared" si="74"/>
        <v/>
      </c>
      <c r="J1193" s="34">
        <f>IF(AND(A1193&lt;&gt;"",ISTEXT(A1193),COUNTIFS(Processos!$AS$10:$AS$509,"="&amp;SUBSTITUTE(SUBSTITUTE(SUBSTITUTE("P:"&amp;A1193,"~","~~"),"*","~*"),"?","~?"))=1),(IF(ISNA(MATCH(SUBSTITUTE(SUBSTITUTE(SUBSTITUTE("P:"&amp;A1193,"~","~~"),"*","~*"),"?","~?"),Processos!$AS$10:$AS$509,0)),9,INDEX(Processos!$AM$10:$AM$509,MATCH(SUBSTITUTE(SUBSTITUTE(SUBSTITUTE("P:"&amp;A1193,"~","~~"),"*","~*"),"?","~?"),Processos!$AS$10:$AS$509,0)))-9),0)</f>
        <v>0</v>
      </c>
      <c r="K1193" s="34" t="str">
        <f t="shared" si="75"/>
        <v/>
      </c>
      <c r="L1193" s="14">
        <f>ROW()</f>
        <v>1193</v>
      </c>
    </row>
    <row r="1194" spans="1:12" ht="60" customHeight="1">
      <c r="A1194" s="41"/>
      <c r="B1194" s="43"/>
      <c r="C1194" s="44"/>
      <c r="D1194" s="51"/>
      <c r="E1194" s="44"/>
      <c r="F1194" s="44"/>
      <c r="G1194" s="34">
        <f t="shared" si="72"/>
        <v>0</v>
      </c>
      <c r="H1194" s="34" t="str">
        <f t="shared" si="73"/>
        <v/>
      </c>
      <c r="I1194" s="52" t="str">
        <f t="shared" si="74"/>
        <v/>
      </c>
      <c r="J1194" s="34">
        <f>IF(AND(A1194&lt;&gt;"",ISTEXT(A1194),COUNTIFS(Processos!$AS$10:$AS$509,"="&amp;SUBSTITUTE(SUBSTITUTE(SUBSTITUTE("P:"&amp;A1194,"~","~~"),"*","~*"),"?","~?"))=1),(IF(ISNA(MATCH(SUBSTITUTE(SUBSTITUTE(SUBSTITUTE("P:"&amp;A1194,"~","~~"),"*","~*"),"?","~?"),Processos!$AS$10:$AS$509,0)),9,INDEX(Processos!$AM$10:$AM$509,MATCH(SUBSTITUTE(SUBSTITUTE(SUBSTITUTE("P:"&amp;A1194,"~","~~"),"*","~*"),"?","~?"),Processos!$AS$10:$AS$509,0)))-9),0)</f>
        <v>0</v>
      </c>
      <c r="K1194" s="34" t="str">
        <f t="shared" si="75"/>
        <v/>
      </c>
      <c r="L1194" s="14">
        <f>ROW()</f>
        <v>1194</v>
      </c>
    </row>
    <row r="1195" spans="1:12" ht="60" customHeight="1">
      <c r="A1195" s="41"/>
      <c r="B1195" s="43"/>
      <c r="C1195" s="44"/>
      <c r="D1195" s="51"/>
      <c r="E1195" s="44"/>
      <c r="F1195" s="44"/>
      <c r="G1195" s="34">
        <f t="shared" si="72"/>
        <v>0</v>
      </c>
      <c r="H1195" s="34" t="str">
        <f t="shared" si="73"/>
        <v/>
      </c>
      <c r="I1195" s="52" t="str">
        <f t="shared" si="74"/>
        <v/>
      </c>
      <c r="J1195" s="34">
        <f>IF(AND(A1195&lt;&gt;"",ISTEXT(A1195),COUNTIFS(Processos!$AS$10:$AS$509,"="&amp;SUBSTITUTE(SUBSTITUTE(SUBSTITUTE("P:"&amp;A1195,"~","~~"),"*","~*"),"?","~?"))=1),(IF(ISNA(MATCH(SUBSTITUTE(SUBSTITUTE(SUBSTITUTE("P:"&amp;A1195,"~","~~"),"*","~*"),"?","~?"),Processos!$AS$10:$AS$509,0)),9,INDEX(Processos!$AM$10:$AM$509,MATCH(SUBSTITUTE(SUBSTITUTE(SUBSTITUTE("P:"&amp;A1195,"~","~~"),"*","~*"),"?","~?"),Processos!$AS$10:$AS$509,0)))-9),0)</f>
        <v>0</v>
      </c>
      <c r="K1195" s="34" t="str">
        <f t="shared" si="75"/>
        <v/>
      </c>
      <c r="L1195" s="14">
        <f>ROW()</f>
        <v>1195</v>
      </c>
    </row>
    <row r="1196" spans="1:12" ht="60" customHeight="1">
      <c r="A1196" s="41"/>
      <c r="B1196" s="43"/>
      <c r="C1196" s="44"/>
      <c r="D1196" s="51"/>
      <c r="E1196" s="44"/>
      <c r="F1196" s="44"/>
      <c r="G1196" s="34">
        <f t="shared" si="72"/>
        <v>0</v>
      </c>
      <c r="H1196" s="34" t="str">
        <f t="shared" si="73"/>
        <v/>
      </c>
      <c r="I1196" s="52" t="str">
        <f t="shared" si="74"/>
        <v/>
      </c>
      <c r="J1196" s="34">
        <f>IF(AND(A1196&lt;&gt;"",ISTEXT(A1196),COUNTIFS(Processos!$AS$10:$AS$509,"="&amp;SUBSTITUTE(SUBSTITUTE(SUBSTITUTE("P:"&amp;A1196,"~","~~"),"*","~*"),"?","~?"))=1),(IF(ISNA(MATCH(SUBSTITUTE(SUBSTITUTE(SUBSTITUTE("P:"&amp;A1196,"~","~~"),"*","~*"),"?","~?"),Processos!$AS$10:$AS$509,0)),9,INDEX(Processos!$AM$10:$AM$509,MATCH(SUBSTITUTE(SUBSTITUTE(SUBSTITUTE("P:"&amp;A1196,"~","~~"),"*","~*"),"?","~?"),Processos!$AS$10:$AS$509,0)))-9),0)</f>
        <v>0</v>
      </c>
      <c r="K1196" s="34" t="str">
        <f t="shared" si="75"/>
        <v/>
      </c>
      <c r="L1196" s="14">
        <f>ROW()</f>
        <v>1196</v>
      </c>
    </row>
    <row r="1197" spans="1:12" ht="60" customHeight="1">
      <c r="A1197" s="41"/>
      <c r="B1197" s="43"/>
      <c r="C1197" s="44"/>
      <c r="D1197" s="51"/>
      <c r="E1197" s="44"/>
      <c r="F1197" s="44"/>
      <c r="G1197" s="34">
        <f t="shared" si="72"/>
        <v>0</v>
      </c>
      <c r="H1197" s="34" t="str">
        <f t="shared" si="73"/>
        <v/>
      </c>
      <c r="I1197" s="52" t="str">
        <f t="shared" si="74"/>
        <v/>
      </c>
      <c r="J1197" s="34">
        <f>IF(AND(A1197&lt;&gt;"",ISTEXT(A1197),COUNTIFS(Processos!$AS$10:$AS$509,"="&amp;SUBSTITUTE(SUBSTITUTE(SUBSTITUTE("P:"&amp;A1197,"~","~~"),"*","~*"),"?","~?"))=1),(IF(ISNA(MATCH(SUBSTITUTE(SUBSTITUTE(SUBSTITUTE("P:"&amp;A1197,"~","~~"),"*","~*"),"?","~?"),Processos!$AS$10:$AS$509,0)),9,INDEX(Processos!$AM$10:$AM$509,MATCH(SUBSTITUTE(SUBSTITUTE(SUBSTITUTE("P:"&amp;A1197,"~","~~"),"*","~*"),"?","~?"),Processos!$AS$10:$AS$509,0)))-9),0)</f>
        <v>0</v>
      </c>
      <c r="K1197" s="34" t="str">
        <f t="shared" si="75"/>
        <v/>
      </c>
      <c r="L1197" s="14">
        <f>ROW()</f>
        <v>1197</v>
      </c>
    </row>
    <row r="1198" spans="1:12" ht="60" customHeight="1">
      <c r="A1198" s="41"/>
      <c r="B1198" s="43"/>
      <c r="C1198" s="44"/>
      <c r="D1198" s="51"/>
      <c r="E1198" s="44"/>
      <c r="F1198" s="44"/>
      <c r="G1198" s="34">
        <f t="shared" si="72"/>
        <v>0</v>
      </c>
      <c r="H1198" s="34" t="str">
        <f t="shared" si="73"/>
        <v/>
      </c>
      <c r="I1198" s="52" t="str">
        <f t="shared" si="74"/>
        <v/>
      </c>
      <c r="J1198" s="34">
        <f>IF(AND(A1198&lt;&gt;"",ISTEXT(A1198),COUNTIFS(Processos!$AS$10:$AS$509,"="&amp;SUBSTITUTE(SUBSTITUTE(SUBSTITUTE("P:"&amp;A1198,"~","~~"),"*","~*"),"?","~?"))=1),(IF(ISNA(MATCH(SUBSTITUTE(SUBSTITUTE(SUBSTITUTE("P:"&amp;A1198,"~","~~"),"*","~*"),"?","~?"),Processos!$AS$10:$AS$509,0)),9,INDEX(Processos!$AM$10:$AM$509,MATCH(SUBSTITUTE(SUBSTITUTE(SUBSTITUTE("P:"&amp;A1198,"~","~~"),"*","~*"),"?","~?"),Processos!$AS$10:$AS$509,0)))-9),0)</f>
        <v>0</v>
      </c>
      <c r="K1198" s="34" t="str">
        <f t="shared" si="75"/>
        <v/>
      </c>
      <c r="L1198" s="14">
        <f>ROW()</f>
        <v>1198</v>
      </c>
    </row>
    <row r="1199" spans="1:12" ht="60" customHeight="1">
      <c r="A1199" s="41"/>
      <c r="B1199" s="43"/>
      <c r="C1199" s="44"/>
      <c r="D1199" s="51"/>
      <c r="E1199" s="44"/>
      <c r="F1199" s="44"/>
      <c r="G1199" s="34">
        <f t="shared" si="72"/>
        <v>0</v>
      </c>
      <c r="H1199" s="34" t="str">
        <f t="shared" si="73"/>
        <v/>
      </c>
      <c r="I1199" s="52" t="str">
        <f t="shared" si="74"/>
        <v/>
      </c>
      <c r="J1199" s="34">
        <f>IF(AND(A1199&lt;&gt;"",ISTEXT(A1199),COUNTIFS(Processos!$AS$10:$AS$509,"="&amp;SUBSTITUTE(SUBSTITUTE(SUBSTITUTE("P:"&amp;A1199,"~","~~"),"*","~*"),"?","~?"))=1),(IF(ISNA(MATCH(SUBSTITUTE(SUBSTITUTE(SUBSTITUTE("P:"&amp;A1199,"~","~~"),"*","~*"),"?","~?"),Processos!$AS$10:$AS$509,0)),9,INDEX(Processos!$AM$10:$AM$509,MATCH(SUBSTITUTE(SUBSTITUTE(SUBSTITUTE("P:"&amp;A1199,"~","~~"),"*","~*"),"?","~?"),Processos!$AS$10:$AS$509,0)))-9),0)</f>
        <v>0</v>
      </c>
      <c r="K1199" s="34" t="str">
        <f t="shared" si="75"/>
        <v/>
      </c>
      <c r="L1199" s="14">
        <f>ROW()</f>
        <v>1199</v>
      </c>
    </row>
    <row r="1200" spans="1:12" ht="60" customHeight="1">
      <c r="A1200" s="41"/>
      <c r="B1200" s="43"/>
      <c r="C1200" s="44"/>
      <c r="D1200" s="51"/>
      <c r="E1200" s="44"/>
      <c r="F1200" s="44"/>
      <c r="G1200" s="34">
        <f t="shared" si="72"/>
        <v>0</v>
      </c>
      <c r="H1200" s="34" t="str">
        <f t="shared" si="73"/>
        <v/>
      </c>
      <c r="I1200" s="52" t="str">
        <f t="shared" si="74"/>
        <v/>
      </c>
      <c r="J1200" s="34">
        <f>IF(AND(A1200&lt;&gt;"",ISTEXT(A1200),COUNTIFS(Processos!$AS$10:$AS$509,"="&amp;SUBSTITUTE(SUBSTITUTE(SUBSTITUTE("P:"&amp;A1200,"~","~~"),"*","~*"),"?","~?"))=1),(IF(ISNA(MATCH(SUBSTITUTE(SUBSTITUTE(SUBSTITUTE("P:"&amp;A1200,"~","~~"),"*","~*"),"?","~?"),Processos!$AS$10:$AS$509,0)),9,INDEX(Processos!$AM$10:$AM$509,MATCH(SUBSTITUTE(SUBSTITUTE(SUBSTITUTE("P:"&amp;A1200,"~","~~"),"*","~*"),"?","~?"),Processos!$AS$10:$AS$509,0)))-9),0)</f>
        <v>0</v>
      </c>
      <c r="K1200" s="34" t="str">
        <f t="shared" si="75"/>
        <v/>
      </c>
      <c r="L1200" s="14">
        <f>ROW()</f>
        <v>1200</v>
      </c>
    </row>
    <row r="1201" spans="1:12" ht="60" customHeight="1">
      <c r="A1201" s="41"/>
      <c r="B1201" s="43"/>
      <c r="C1201" s="44"/>
      <c r="D1201" s="51"/>
      <c r="E1201" s="44"/>
      <c r="F1201" s="44"/>
      <c r="G1201" s="34">
        <f t="shared" si="72"/>
        <v>0</v>
      </c>
      <c r="H1201" s="34" t="str">
        <f t="shared" si="73"/>
        <v/>
      </c>
      <c r="I1201" s="52" t="str">
        <f t="shared" si="74"/>
        <v/>
      </c>
      <c r="J1201" s="34">
        <f>IF(AND(A1201&lt;&gt;"",ISTEXT(A1201),COUNTIFS(Processos!$AS$10:$AS$509,"="&amp;SUBSTITUTE(SUBSTITUTE(SUBSTITUTE("P:"&amp;A1201,"~","~~"),"*","~*"),"?","~?"))=1),(IF(ISNA(MATCH(SUBSTITUTE(SUBSTITUTE(SUBSTITUTE("P:"&amp;A1201,"~","~~"),"*","~*"),"?","~?"),Processos!$AS$10:$AS$509,0)),9,INDEX(Processos!$AM$10:$AM$509,MATCH(SUBSTITUTE(SUBSTITUTE(SUBSTITUTE("P:"&amp;A1201,"~","~~"),"*","~*"),"?","~?"),Processos!$AS$10:$AS$509,0)))-9),0)</f>
        <v>0</v>
      </c>
      <c r="K1201" s="34" t="str">
        <f t="shared" si="75"/>
        <v/>
      </c>
      <c r="L1201" s="14">
        <f>ROW()</f>
        <v>1201</v>
      </c>
    </row>
    <row r="1202" spans="1:12" ht="60" customHeight="1">
      <c r="A1202" s="41"/>
      <c r="B1202" s="43"/>
      <c r="C1202" s="44"/>
      <c r="D1202" s="51"/>
      <c r="E1202" s="44"/>
      <c r="F1202" s="44"/>
      <c r="G1202" s="34">
        <f t="shared" si="72"/>
        <v>0</v>
      </c>
      <c r="H1202" s="34" t="str">
        <f t="shared" si="73"/>
        <v/>
      </c>
      <c r="I1202" s="52" t="str">
        <f t="shared" si="74"/>
        <v/>
      </c>
      <c r="J1202" s="34">
        <f>IF(AND(A1202&lt;&gt;"",ISTEXT(A1202),COUNTIFS(Processos!$AS$10:$AS$509,"="&amp;SUBSTITUTE(SUBSTITUTE(SUBSTITUTE("P:"&amp;A1202,"~","~~"),"*","~*"),"?","~?"))=1),(IF(ISNA(MATCH(SUBSTITUTE(SUBSTITUTE(SUBSTITUTE("P:"&amp;A1202,"~","~~"),"*","~*"),"?","~?"),Processos!$AS$10:$AS$509,0)),9,INDEX(Processos!$AM$10:$AM$509,MATCH(SUBSTITUTE(SUBSTITUTE(SUBSTITUTE("P:"&amp;A1202,"~","~~"),"*","~*"),"?","~?"),Processos!$AS$10:$AS$509,0)))-9),0)</f>
        <v>0</v>
      </c>
      <c r="K1202" s="34" t="str">
        <f t="shared" si="75"/>
        <v/>
      </c>
      <c r="L1202" s="14">
        <f>ROW()</f>
        <v>1202</v>
      </c>
    </row>
    <row r="1203" spans="1:12" ht="60" customHeight="1">
      <c r="A1203" s="41"/>
      <c r="B1203" s="43"/>
      <c r="C1203" s="44"/>
      <c r="D1203" s="51"/>
      <c r="E1203" s="44"/>
      <c r="F1203" s="44"/>
      <c r="G1203" s="34">
        <f t="shared" si="72"/>
        <v>0</v>
      </c>
      <c r="H1203" s="34" t="str">
        <f t="shared" si="73"/>
        <v/>
      </c>
      <c r="I1203" s="52" t="str">
        <f t="shared" si="74"/>
        <v/>
      </c>
      <c r="J1203" s="34">
        <f>IF(AND(A1203&lt;&gt;"",ISTEXT(A1203),COUNTIFS(Processos!$AS$10:$AS$509,"="&amp;SUBSTITUTE(SUBSTITUTE(SUBSTITUTE("P:"&amp;A1203,"~","~~"),"*","~*"),"?","~?"))=1),(IF(ISNA(MATCH(SUBSTITUTE(SUBSTITUTE(SUBSTITUTE("P:"&amp;A1203,"~","~~"),"*","~*"),"?","~?"),Processos!$AS$10:$AS$509,0)),9,INDEX(Processos!$AM$10:$AM$509,MATCH(SUBSTITUTE(SUBSTITUTE(SUBSTITUTE("P:"&amp;A1203,"~","~~"),"*","~*"),"?","~?"),Processos!$AS$10:$AS$509,0)))-9),0)</f>
        <v>0</v>
      </c>
      <c r="K1203" s="34" t="str">
        <f t="shared" si="75"/>
        <v/>
      </c>
      <c r="L1203" s="14">
        <f>ROW()</f>
        <v>1203</v>
      </c>
    </row>
    <row r="1204" spans="1:12" ht="60" customHeight="1">
      <c r="A1204" s="41"/>
      <c r="B1204" s="43"/>
      <c r="C1204" s="44"/>
      <c r="D1204" s="51"/>
      <c r="E1204" s="44"/>
      <c r="F1204" s="44"/>
      <c r="G1204" s="34">
        <f t="shared" si="72"/>
        <v>0</v>
      </c>
      <c r="H1204" s="34" t="str">
        <f t="shared" si="73"/>
        <v/>
      </c>
      <c r="I1204" s="52" t="str">
        <f t="shared" si="74"/>
        <v/>
      </c>
      <c r="J1204" s="34">
        <f>IF(AND(A1204&lt;&gt;"",ISTEXT(A1204),COUNTIFS(Processos!$AS$10:$AS$509,"="&amp;SUBSTITUTE(SUBSTITUTE(SUBSTITUTE("P:"&amp;A1204,"~","~~"),"*","~*"),"?","~?"))=1),(IF(ISNA(MATCH(SUBSTITUTE(SUBSTITUTE(SUBSTITUTE("P:"&amp;A1204,"~","~~"),"*","~*"),"?","~?"),Processos!$AS$10:$AS$509,0)),9,INDEX(Processos!$AM$10:$AM$509,MATCH(SUBSTITUTE(SUBSTITUTE(SUBSTITUTE("P:"&amp;A1204,"~","~~"),"*","~*"),"?","~?"),Processos!$AS$10:$AS$509,0)))-9),0)</f>
        <v>0</v>
      </c>
      <c r="K1204" s="34" t="str">
        <f t="shared" si="75"/>
        <v/>
      </c>
      <c r="L1204" s="14">
        <f>ROW()</f>
        <v>1204</v>
      </c>
    </row>
    <row r="1205" spans="1:12" ht="60" customHeight="1">
      <c r="A1205" s="41"/>
      <c r="B1205" s="43"/>
      <c r="C1205" s="44"/>
      <c r="D1205" s="51"/>
      <c r="E1205" s="44"/>
      <c r="F1205" s="44"/>
      <c r="G1205" s="34">
        <f t="shared" si="72"/>
        <v>0</v>
      </c>
      <c r="H1205" s="34" t="str">
        <f t="shared" si="73"/>
        <v/>
      </c>
      <c r="I1205" s="52" t="str">
        <f t="shared" si="74"/>
        <v/>
      </c>
      <c r="J1205" s="34">
        <f>IF(AND(A1205&lt;&gt;"",ISTEXT(A1205),COUNTIFS(Processos!$AS$10:$AS$509,"="&amp;SUBSTITUTE(SUBSTITUTE(SUBSTITUTE("P:"&amp;A1205,"~","~~"),"*","~*"),"?","~?"))=1),(IF(ISNA(MATCH(SUBSTITUTE(SUBSTITUTE(SUBSTITUTE("P:"&amp;A1205,"~","~~"),"*","~*"),"?","~?"),Processos!$AS$10:$AS$509,0)),9,INDEX(Processos!$AM$10:$AM$509,MATCH(SUBSTITUTE(SUBSTITUTE(SUBSTITUTE("P:"&amp;A1205,"~","~~"),"*","~*"),"?","~?"),Processos!$AS$10:$AS$509,0)))-9),0)</f>
        <v>0</v>
      </c>
      <c r="K1205" s="34" t="str">
        <f t="shared" si="75"/>
        <v/>
      </c>
      <c r="L1205" s="14">
        <f>ROW()</f>
        <v>1205</v>
      </c>
    </row>
    <row r="1206" spans="1:12" ht="60" customHeight="1">
      <c r="A1206" s="41"/>
      <c r="B1206" s="43"/>
      <c r="C1206" s="44"/>
      <c r="D1206" s="51"/>
      <c r="E1206" s="44"/>
      <c r="F1206" s="44"/>
      <c r="G1206" s="34">
        <f t="shared" si="72"/>
        <v>0</v>
      </c>
      <c r="H1206" s="34" t="str">
        <f t="shared" si="73"/>
        <v/>
      </c>
      <c r="I1206" s="52" t="str">
        <f t="shared" si="74"/>
        <v/>
      </c>
      <c r="J1206" s="34">
        <f>IF(AND(A1206&lt;&gt;"",ISTEXT(A1206),COUNTIFS(Processos!$AS$10:$AS$509,"="&amp;SUBSTITUTE(SUBSTITUTE(SUBSTITUTE("P:"&amp;A1206,"~","~~"),"*","~*"),"?","~?"))=1),(IF(ISNA(MATCH(SUBSTITUTE(SUBSTITUTE(SUBSTITUTE("P:"&amp;A1206,"~","~~"),"*","~*"),"?","~?"),Processos!$AS$10:$AS$509,0)),9,INDEX(Processos!$AM$10:$AM$509,MATCH(SUBSTITUTE(SUBSTITUTE(SUBSTITUTE("P:"&amp;A1206,"~","~~"),"*","~*"),"?","~?"),Processos!$AS$10:$AS$509,0)))-9),0)</f>
        <v>0</v>
      </c>
      <c r="K1206" s="34" t="str">
        <f t="shared" si="75"/>
        <v/>
      </c>
      <c r="L1206" s="14">
        <f>ROW()</f>
        <v>1206</v>
      </c>
    </row>
    <row r="1207" spans="1:12" ht="60" customHeight="1">
      <c r="A1207" s="41"/>
      <c r="B1207" s="43"/>
      <c r="C1207" s="44"/>
      <c r="D1207" s="51"/>
      <c r="E1207" s="44"/>
      <c r="F1207" s="44"/>
      <c r="G1207" s="34">
        <f t="shared" si="72"/>
        <v>0</v>
      </c>
      <c r="H1207" s="34" t="str">
        <f t="shared" si="73"/>
        <v/>
      </c>
      <c r="I1207" s="52" t="str">
        <f t="shared" si="74"/>
        <v/>
      </c>
      <c r="J1207" s="34">
        <f>IF(AND(A1207&lt;&gt;"",ISTEXT(A1207),COUNTIFS(Processos!$AS$10:$AS$509,"="&amp;SUBSTITUTE(SUBSTITUTE(SUBSTITUTE("P:"&amp;A1207,"~","~~"),"*","~*"),"?","~?"))=1),(IF(ISNA(MATCH(SUBSTITUTE(SUBSTITUTE(SUBSTITUTE("P:"&amp;A1207,"~","~~"),"*","~*"),"?","~?"),Processos!$AS$10:$AS$509,0)),9,INDEX(Processos!$AM$10:$AM$509,MATCH(SUBSTITUTE(SUBSTITUTE(SUBSTITUTE("P:"&amp;A1207,"~","~~"),"*","~*"),"?","~?"),Processos!$AS$10:$AS$509,0)))-9),0)</f>
        <v>0</v>
      </c>
      <c r="K1207" s="34" t="str">
        <f t="shared" si="75"/>
        <v/>
      </c>
      <c r="L1207" s="14">
        <f>ROW()</f>
        <v>1207</v>
      </c>
    </row>
    <row r="1208" spans="1:12" ht="60" customHeight="1">
      <c r="A1208" s="41"/>
      <c r="B1208" s="43"/>
      <c r="C1208" s="44"/>
      <c r="D1208" s="51"/>
      <c r="E1208" s="44"/>
      <c r="F1208" s="44"/>
      <c r="G1208" s="34">
        <f t="shared" si="72"/>
        <v>0</v>
      </c>
      <c r="H1208" s="34" t="str">
        <f t="shared" si="73"/>
        <v/>
      </c>
      <c r="I1208" s="52" t="str">
        <f t="shared" si="74"/>
        <v/>
      </c>
      <c r="J1208" s="34">
        <f>IF(AND(A1208&lt;&gt;"",ISTEXT(A1208),COUNTIFS(Processos!$AS$10:$AS$509,"="&amp;SUBSTITUTE(SUBSTITUTE(SUBSTITUTE("P:"&amp;A1208,"~","~~"),"*","~*"),"?","~?"))=1),(IF(ISNA(MATCH(SUBSTITUTE(SUBSTITUTE(SUBSTITUTE("P:"&amp;A1208,"~","~~"),"*","~*"),"?","~?"),Processos!$AS$10:$AS$509,0)),9,INDEX(Processos!$AM$10:$AM$509,MATCH(SUBSTITUTE(SUBSTITUTE(SUBSTITUTE("P:"&amp;A1208,"~","~~"),"*","~*"),"?","~?"),Processos!$AS$10:$AS$509,0)))-9),0)</f>
        <v>0</v>
      </c>
      <c r="K1208" s="34" t="str">
        <f t="shared" si="75"/>
        <v/>
      </c>
      <c r="L1208" s="14">
        <f>ROW()</f>
        <v>1208</v>
      </c>
    </row>
    <row r="1209" spans="1:12" ht="60" customHeight="1">
      <c r="A1209" s="41"/>
      <c r="B1209" s="43"/>
      <c r="C1209" s="44"/>
      <c r="D1209" s="51"/>
      <c r="E1209" s="44"/>
      <c r="F1209" s="44"/>
      <c r="G1209" s="34">
        <f t="shared" si="72"/>
        <v>0</v>
      </c>
      <c r="H1209" s="34" t="str">
        <f t="shared" si="73"/>
        <v/>
      </c>
      <c r="I1209" s="52" t="str">
        <f t="shared" si="74"/>
        <v/>
      </c>
      <c r="J1209" s="34">
        <f>IF(AND(A1209&lt;&gt;"",ISTEXT(A1209),COUNTIFS(Processos!$AS$10:$AS$509,"="&amp;SUBSTITUTE(SUBSTITUTE(SUBSTITUTE("P:"&amp;A1209,"~","~~"),"*","~*"),"?","~?"))=1),(IF(ISNA(MATCH(SUBSTITUTE(SUBSTITUTE(SUBSTITUTE("P:"&amp;A1209,"~","~~"),"*","~*"),"?","~?"),Processos!$AS$10:$AS$509,0)),9,INDEX(Processos!$AM$10:$AM$509,MATCH(SUBSTITUTE(SUBSTITUTE(SUBSTITUTE("P:"&amp;A1209,"~","~~"),"*","~*"),"?","~?"),Processos!$AS$10:$AS$509,0)))-9),0)</f>
        <v>0</v>
      </c>
      <c r="K1209" s="34" t="str">
        <f t="shared" si="75"/>
        <v/>
      </c>
      <c r="L1209" s="14">
        <f>ROW()</f>
        <v>1209</v>
      </c>
    </row>
    <row r="1210" spans="1:12" ht="60" customHeight="1">
      <c r="A1210" s="41"/>
      <c r="B1210" s="43"/>
      <c r="C1210" s="44"/>
      <c r="D1210" s="51"/>
      <c r="E1210" s="44"/>
      <c r="F1210" s="44"/>
      <c r="G1210" s="34">
        <f t="shared" si="72"/>
        <v>0</v>
      </c>
      <c r="H1210" s="34" t="str">
        <f t="shared" si="73"/>
        <v/>
      </c>
      <c r="I1210" s="52" t="str">
        <f t="shared" si="74"/>
        <v/>
      </c>
      <c r="J1210" s="34">
        <f>IF(AND(A1210&lt;&gt;"",ISTEXT(A1210),COUNTIFS(Processos!$AS$10:$AS$509,"="&amp;SUBSTITUTE(SUBSTITUTE(SUBSTITUTE("P:"&amp;A1210,"~","~~"),"*","~*"),"?","~?"))=1),(IF(ISNA(MATCH(SUBSTITUTE(SUBSTITUTE(SUBSTITUTE("P:"&amp;A1210,"~","~~"),"*","~*"),"?","~?"),Processos!$AS$10:$AS$509,0)),9,INDEX(Processos!$AM$10:$AM$509,MATCH(SUBSTITUTE(SUBSTITUTE(SUBSTITUTE("P:"&amp;A1210,"~","~~"),"*","~*"),"?","~?"),Processos!$AS$10:$AS$509,0)))-9),0)</f>
        <v>0</v>
      </c>
      <c r="K1210" s="34" t="str">
        <f t="shared" si="75"/>
        <v/>
      </c>
      <c r="L1210" s="14">
        <f>ROW()</f>
        <v>1210</v>
      </c>
    </row>
    <row r="1211" spans="1:12" ht="60" customHeight="1">
      <c r="A1211" s="41"/>
      <c r="B1211" s="43"/>
      <c r="C1211" s="44"/>
      <c r="D1211" s="51"/>
      <c r="E1211" s="44"/>
      <c r="F1211" s="44"/>
      <c r="G1211" s="34">
        <f t="shared" si="72"/>
        <v>0</v>
      </c>
      <c r="H1211" s="34" t="str">
        <f t="shared" si="73"/>
        <v/>
      </c>
      <c r="I1211" s="52" t="str">
        <f t="shared" si="74"/>
        <v/>
      </c>
      <c r="J1211" s="34">
        <f>IF(AND(A1211&lt;&gt;"",ISTEXT(A1211),COUNTIFS(Processos!$AS$10:$AS$509,"="&amp;SUBSTITUTE(SUBSTITUTE(SUBSTITUTE("P:"&amp;A1211,"~","~~"),"*","~*"),"?","~?"))=1),(IF(ISNA(MATCH(SUBSTITUTE(SUBSTITUTE(SUBSTITUTE("P:"&amp;A1211,"~","~~"),"*","~*"),"?","~?"),Processos!$AS$10:$AS$509,0)),9,INDEX(Processos!$AM$10:$AM$509,MATCH(SUBSTITUTE(SUBSTITUTE(SUBSTITUTE("P:"&amp;A1211,"~","~~"),"*","~*"),"?","~?"),Processos!$AS$10:$AS$509,0)))-9),0)</f>
        <v>0</v>
      </c>
      <c r="K1211" s="34" t="str">
        <f t="shared" si="75"/>
        <v/>
      </c>
      <c r="L1211" s="14">
        <f>ROW()</f>
        <v>1211</v>
      </c>
    </row>
    <row r="1212" spans="1:12" ht="60" customHeight="1">
      <c r="A1212" s="41"/>
      <c r="B1212" s="43"/>
      <c r="C1212" s="44"/>
      <c r="D1212" s="51"/>
      <c r="E1212" s="44"/>
      <c r="F1212" s="44"/>
      <c r="G1212" s="34">
        <f t="shared" si="72"/>
        <v>0</v>
      </c>
      <c r="H1212" s="34" t="str">
        <f t="shared" si="73"/>
        <v/>
      </c>
      <c r="I1212" s="52" t="str">
        <f t="shared" si="74"/>
        <v/>
      </c>
      <c r="J1212" s="34">
        <f>IF(AND(A1212&lt;&gt;"",ISTEXT(A1212),COUNTIFS(Processos!$AS$10:$AS$509,"="&amp;SUBSTITUTE(SUBSTITUTE(SUBSTITUTE("P:"&amp;A1212,"~","~~"),"*","~*"),"?","~?"))=1),(IF(ISNA(MATCH(SUBSTITUTE(SUBSTITUTE(SUBSTITUTE("P:"&amp;A1212,"~","~~"),"*","~*"),"?","~?"),Processos!$AS$10:$AS$509,0)),9,INDEX(Processos!$AM$10:$AM$509,MATCH(SUBSTITUTE(SUBSTITUTE(SUBSTITUTE("P:"&amp;A1212,"~","~~"),"*","~*"),"?","~?"),Processos!$AS$10:$AS$509,0)))-9),0)</f>
        <v>0</v>
      </c>
      <c r="K1212" s="34" t="str">
        <f t="shared" si="75"/>
        <v/>
      </c>
      <c r="L1212" s="14">
        <f>ROW()</f>
        <v>1212</v>
      </c>
    </row>
    <row r="1213" spans="1:12" ht="60" customHeight="1">
      <c r="A1213" s="41"/>
      <c r="B1213" s="43"/>
      <c r="C1213" s="44"/>
      <c r="D1213" s="51"/>
      <c r="E1213" s="44"/>
      <c r="F1213" s="44"/>
      <c r="G1213" s="34">
        <f t="shared" si="72"/>
        <v>0</v>
      </c>
      <c r="H1213" s="34" t="str">
        <f t="shared" si="73"/>
        <v/>
      </c>
      <c r="I1213" s="52" t="str">
        <f t="shared" si="74"/>
        <v/>
      </c>
      <c r="J1213" s="34">
        <f>IF(AND(A1213&lt;&gt;"",ISTEXT(A1213),COUNTIFS(Processos!$AS$10:$AS$509,"="&amp;SUBSTITUTE(SUBSTITUTE(SUBSTITUTE("P:"&amp;A1213,"~","~~"),"*","~*"),"?","~?"))=1),(IF(ISNA(MATCH(SUBSTITUTE(SUBSTITUTE(SUBSTITUTE("P:"&amp;A1213,"~","~~"),"*","~*"),"?","~?"),Processos!$AS$10:$AS$509,0)),9,INDEX(Processos!$AM$10:$AM$509,MATCH(SUBSTITUTE(SUBSTITUTE(SUBSTITUTE("P:"&amp;A1213,"~","~~"),"*","~*"),"?","~?"),Processos!$AS$10:$AS$509,0)))-9),0)</f>
        <v>0</v>
      </c>
      <c r="K1213" s="34" t="str">
        <f t="shared" si="75"/>
        <v/>
      </c>
      <c r="L1213" s="14">
        <f>ROW()</f>
        <v>1213</v>
      </c>
    </row>
    <row r="1214" spans="1:12" ht="60" customHeight="1">
      <c r="A1214" s="41"/>
      <c r="B1214" s="43"/>
      <c r="C1214" s="44"/>
      <c r="D1214" s="51"/>
      <c r="E1214" s="44"/>
      <c r="F1214" s="44"/>
      <c r="G1214" s="34">
        <f t="shared" si="72"/>
        <v>0</v>
      </c>
      <c r="H1214" s="34" t="str">
        <f t="shared" si="73"/>
        <v/>
      </c>
      <c r="I1214" s="52" t="str">
        <f t="shared" si="74"/>
        <v/>
      </c>
      <c r="J1214" s="34">
        <f>IF(AND(A1214&lt;&gt;"",ISTEXT(A1214),COUNTIFS(Processos!$AS$10:$AS$509,"="&amp;SUBSTITUTE(SUBSTITUTE(SUBSTITUTE("P:"&amp;A1214,"~","~~"),"*","~*"),"?","~?"))=1),(IF(ISNA(MATCH(SUBSTITUTE(SUBSTITUTE(SUBSTITUTE("P:"&amp;A1214,"~","~~"),"*","~*"),"?","~?"),Processos!$AS$10:$AS$509,0)),9,INDEX(Processos!$AM$10:$AM$509,MATCH(SUBSTITUTE(SUBSTITUTE(SUBSTITUTE("P:"&amp;A1214,"~","~~"),"*","~*"),"?","~?"),Processos!$AS$10:$AS$509,0)))-9),0)</f>
        <v>0</v>
      </c>
      <c r="K1214" s="34" t="str">
        <f t="shared" si="75"/>
        <v/>
      </c>
      <c r="L1214" s="14">
        <f>ROW()</f>
        <v>1214</v>
      </c>
    </row>
    <row r="1215" spans="1:12" ht="60" customHeight="1">
      <c r="A1215" s="41"/>
      <c r="B1215" s="43"/>
      <c r="C1215" s="44"/>
      <c r="D1215" s="51"/>
      <c r="E1215" s="44"/>
      <c r="F1215" s="44"/>
      <c r="G1215" s="34">
        <f t="shared" si="72"/>
        <v>0</v>
      </c>
      <c r="H1215" s="34" t="str">
        <f t="shared" si="73"/>
        <v/>
      </c>
      <c r="I1215" s="52" t="str">
        <f t="shared" si="74"/>
        <v/>
      </c>
      <c r="J1215" s="34">
        <f>IF(AND(A1215&lt;&gt;"",ISTEXT(A1215),COUNTIFS(Processos!$AS$10:$AS$509,"="&amp;SUBSTITUTE(SUBSTITUTE(SUBSTITUTE("P:"&amp;A1215,"~","~~"),"*","~*"),"?","~?"))=1),(IF(ISNA(MATCH(SUBSTITUTE(SUBSTITUTE(SUBSTITUTE("P:"&amp;A1215,"~","~~"),"*","~*"),"?","~?"),Processos!$AS$10:$AS$509,0)),9,INDEX(Processos!$AM$10:$AM$509,MATCH(SUBSTITUTE(SUBSTITUTE(SUBSTITUTE("P:"&amp;A1215,"~","~~"),"*","~*"),"?","~?"),Processos!$AS$10:$AS$509,0)))-9),0)</f>
        <v>0</v>
      </c>
      <c r="K1215" s="34" t="str">
        <f t="shared" si="75"/>
        <v/>
      </c>
      <c r="L1215" s="14">
        <f>ROW()</f>
        <v>1215</v>
      </c>
    </row>
    <row r="1216" spans="1:12" ht="60" customHeight="1">
      <c r="A1216" s="41"/>
      <c r="B1216" s="43"/>
      <c r="C1216" s="44"/>
      <c r="D1216" s="51"/>
      <c r="E1216" s="44"/>
      <c r="F1216" s="44"/>
      <c r="G1216" s="34">
        <f t="shared" si="72"/>
        <v>0</v>
      </c>
      <c r="H1216" s="34" t="str">
        <f t="shared" si="73"/>
        <v/>
      </c>
      <c r="I1216" s="52" t="str">
        <f t="shared" si="74"/>
        <v/>
      </c>
      <c r="J1216" s="34">
        <f>IF(AND(A1216&lt;&gt;"",ISTEXT(A1216),COUNTIFS(Processos!$AS$10:$AS$509,"="&amp;SUBSTITUTE(SUBSTITUTE(SUBSTITUTE("P:"&amp;A1216,"~","~~"),"*","~*"),"?","~?"))=1),(IF(ISNA(MATCH(SUBSTITUTE(SUBSTITUTE(SUBSTITUTE("P:"&amp;A1216,"~","~~"),"*","~*"),"?","~?"),Processos!$AS$10:$AS$509,0)),9,INDEX(Processos!$AM$10:$AM$509,MATCH(SUBSTITUTE(SUBSTITUTE(SUBSTITUTE("P:"&amp;A1216,"~","~~"),"*","~*"),"?","~?"),Processos!$AS$10:$AS$509,0)))-9),0)</f>
        <v>0</v>
      </c>
      <c r="K1216" s="34" t="str">
        <f t="shared" si="75"/>
        <v/>
      </c>
      <c r="L1216" s="14">
        <f>ROW()</f>
        <v>1216</v>
      </c>
    </row>
    <row r="1217" spans="1:12" ht="60" customHeight="1">
      <c r="A1217" s="41"/>
      <c r="B1217" s="43"/>
      <c r="C1217" s="44"/>
      <c r="D1217" s="51"/>
      <c r="E1217" s="44"/>
      <c r="F1217" s="44"/>
      <c r="G1217" s="34">
        <f t="shared" si="72"/>
        <v>0</v>
      </c>
      <c r="H1217" s="34" t="str">
        <f t="shared" si="73"/>
        <v/>
      </c>
      <c r="I1217" s="52" t="str">
        <f t="shared" si="74"/>
        <v/>
      </c>
      <c r="J1217" s="34">
        <f>IF(AND(A1217&lt;&gt;"",ISTEXT(A1217),COUNTIFS(Processos!$AS$10:$AS$509,"="&amp;SUBSTITUTE(SUBSTITUTE(SUBSTITUTE("P:"&amp;A1217,"~","~~"),"*","~*"),"?","~?"))=1),(IF(ISNA(MATCH(SUBSTITUTE(SUBSTITUTE(SUBSTITUTE("P:"&amp;A1217,"~","~~"),"*","~*"),"?","~?"),Processos!$AS$10:$AS$509,0)),9,INDEX(Processos!$AM$10:$AM$509,MATCH(SUBSTITUTE(SUBSTITUTE(SUBSTITUTE("P:"&amp;A1217,"~","~~"),"*","~*"),"?","~?"),Processos!$AS$10:$AS$509,0)))-9),0)</f>
        <v>0</v>
      </c>
      <c r="K1217" s="34" t="str">
        <f t="shared" si="75"/>
        <v/>
      </c>
      <c r="L1217" s="14">
        <f>ROW()</f>
        <v>1217</v>
      </c>
    </row>
    <row r="1218" spans="1:12" ht="60" customHeight="1">
      <c r="A1218" s="41"/>
      <c r="B1218" s="43"/>
      <c r="C1218" s="44"/>
      <c r="D1218" s="51"/>
      <c r="E1218" s="44"/>
      <c r="F1218" s="44"/>
      <c r="G1218" s="34">
        <f t="shared" si="72"/>
        <v>0</v>
      </c>
      <c r="H1218" s="34" t="str">
        <f t="shared" si="73"/>
        <v/>
      </c>
      <c r="I1218" s="52" t="str">
        <f t="shared" si="74"/>
        <v/>
      </c>
      <c r="J1218" s="34">
        <f>IF(AND(A1218&lt;&gt;"",ISTEXT(A1218),COUNTIFS(Processos!$AS$10:$AS$509,"="&amp;SUBSTITUTE(SUBSTITUTE(SUBSTITUTE("P:"&amp;A1218,"~","~~"),"*","~*"),"?","~?"))=1),(IF(ISNA(MATCH(SUBSTITUTE(SUBSTITUTE(SUBSTITUTE("P:"&amp;A1218,"~","~~"),"*","~*"),"?","~?"),Processos!$AS$10:$AS$509,0)),9,INDEX(Processos!$AM$10:$AM$509,MATCH(SUBSTITUTE(SUBSTITUTE(SUBSTITUTE("P:"&amp;A1218,"~","~~"),"*","~*"),"?","~?"),Processos!$AS$10:$AS$509,0)))-9),0)</f>
        <v>0</v>
      </c>
      <c r="K1218" s="34" t="str">
        <f t="shared" si="75"/>
        <v/>
      </c>
      <c r="L1218" s="14">
        <f>ROW()</f>
        <v>1218</v>
      </c>
    </row>
    <row r="1219" spans="1:12" ht="60" customHeight="1">
      <c r="A1219" s="41"/>
      <c r="B1219" s="43"/>
      <c r="C1219" s="44"/>
      <c r="D1219" s="51"/>
      <c r="E1219" s="44"/>
      <c r="F1219" s="44"/>
      <c r="G1219" s="34">
        <f t="shared" si="72"/>
        <v>0</v>
      </c>
      <c r="H1219" s="34" t="str">
        <f t="shared" si="73"/>
        <v/>
      </c>
      <c r="I1219" s="52" t="str">
        <f t="shared" si="74"/>
        <v/>
      </c>
      <c r="J1219" s="34">
        <f>IF(AND(A1219&lt;&gt;"",ISTEXT(A1219),COUNTIFS(Processos!$AS$10:$AS$509,"="&amp;SUBSTITUTE(SUBSTITUTE(SUBSTITUTE("P:"&amp;A1219,"~","~~"),"*","~*"),"?","~?"))=1),(IF(ISNA(MATCH(SUBSTITUTE(SUBSTITUTE(SUBSTITUTE("P:"&amp;A1219,"~","~~"),"*","~*"),"?","~?"),Processos!$AS$10:$AS$509,0)),9,INDEX(Processos!$AM$10:$AM$509,MATCH(SUBSTITUTE(SUBSTITUTE(SUBSTITUTE("P:"&amp;A1219,"~","~~"),"*","~*"),"?","~?"),Processos!$AS$10:$AS$509,0)))-9),0)</f>
        <v>0</v>
      </c>
      <c r="K1219" s="34" t="str">
        <f t="shared" si="75"/>
        <v/>
      </c>
      <c r="L1219" s="14">
        <f>ROW()</f>
        <v>1219</v>
      </c>
    </row>
    <row r="1220" spans="1:12" ht="60" customHeight="1">
      <c r="A1220" s="41"/>
      <c r="B1220" s="43"/>
      <c r="C1220" s="44"/>
      <c r="D1220" s="51"/>
      <c r="E1220" s="44"/>
      <c r="F1220" s="44"/>
      <c r="G1220" s="34">
        <f t="shared" si="72"/>
        <v>0</v>
      </c>
      <c r="H1220" s="34" t="str">
        <f t="shared" si="73"/>
        <v/>
      </c>
      <c r="I1220" s="52" t="str">
        <f t="shared" si="74"/>
        <v/>
      </c>
      <c r="J1220" s="34">
        <f>IF(AND(A1220&lt;&gt;"",ISTEXT(A1220),COUNTIFS(Processos!$AS$10:$AS$509,"="&amp;SUBSTITUTE(SUBSTITUTE(SUBSTITUTE("P:"&amp;A1220,"~","~~"),"*","~*"),"?","~?"))=1),(IF(ISNA(MATCH(SUBSTITUTE(SUBSTITUTE(SUBSTITUTE("P:"&amp;A1220,"~","~~"),"*","~*"),"?","~?"),Processos!$AS$10:$AS$509,0)),9,INDEX(Processos!$AM$10:$AM$509,MATCH(SUBSTITUTE(SUBSTITUTE(SUBSTITUTE("P:"&amp;A1220,"~","~~"),"*","~*"),"?","~?"),Processos!$AS$10:$AS$509,0)))-9),0)</f>
        <v>0</v>
      </c>
      <c r="K1220" s="34" t="str">
        <f t="shared" si="75"/>
        <v/>
      </c>
      <c r="L1220" s="14">
        <f>ROW()</f>
        <v>1220</v>
      </c>
    </row>
    <row r="1221" spans="1:12" ht="60" customHeight="1">
      <c r="A1221" s="41"/>
      <c r="B1221" s="43"/>
      <c r="C1221" s="44"/>
      <c r="D1221" s="51"/>
      <c r="E1221" s="44"/>
      <c r="F1221" s="44"/>
      <c r="G1221" s="34">
        <f t="shared" si="72"/>
        <v>0</v>
      </c>
      <c r="H1221" s="34" t="str">
        <f t="shared" si="73"/>
        <v/>
      </c>
      <c r="I1221" s="52" t="str">
        <f t="shared" si="74"/>
        <v/>
      </c>
      <c r="J1221" s="34">
        <f>IF(AND(A1221&lt;&gt;"",ISTEXT(A1221),COUNTIFS(Processos!$AS$10:$AS$509,"="&amp;SUBSTITUTE(SUBSTITUTE(SUBSTITUTE("P:"&amp;A1221,"~","~~"),"*","~*"),"?","~?"))=1),(IF(ISNA(MATCH(SUBSTITUTE(SUBSTITUTE(SUBSTITUTE("P:"&amp;A1221,"~","~~"),"*","~*"),"?","~?"),Processos!$AS$10:$AS$509,0)),9,INDEX(Processos!$AM$10:$AM$509,MATCH(SUBSTITUTE(SUBSTITUTE(SUBSTITUTE("P:"&amp;A1221,"~","~~"),"*","~*"),"?","~?"),Processos!$AS$10:$AS$509,0)))-9),0)</f>
        <v>0</v>
      </c>
      <c r="K1221" s="34" t="str">
        <f t="shared" si="75"/>
        <v/>
      </c>
      <c r="L1221" s="14">
        <f>ROW()</f>
        <v>1221</v>
      </c>
    </row>
    <row r="1222" spans="1:12" ht="60" customHeight="1">
      <c r="A1222" s="41"/>
      <c r="B1222" s="43"/>
      <c r="C1222" s="44"/>
      <c r="D1222" s="51"/>
      <c r="E1222" s="44"/>
      <c r="F1222" s="44"/>
      <c r="G1222" s="34">
        <f t="shared" si="72"/>
        <v>0</v>
      </c>
      <c r="H1222" s="34" t="str">
        <f t="shared" si="73"/>
        <v/>
      </c>
      <c r="I1222" s="52" t="str">
        <f t="shared" si="74"/>
        <v/>
      </c>
      <c r="J1222" s="34">
        <f>IF(AND(A1222&lt;&gt;"",ISTEXT(A1222),COUNTIFS(Processos!$AS$10:$AS$509,"="&amp;SUBSTITUTE(SUBSTITUTE(SUBSTITUTE("P:"&amp;A1222,"~","~~"),"*","~*"),"?","~?"))=1),(IF(ISNA(MATCH(SUBSTITUTE(SUBSTITUTE(SUBSTITUTE("P:"&amp;A1222,"~","~~"),"*","~*"),"?","~?"),Processos!$AS$10:$AS$509,0)),9,INDEX(Processos!$AM$10:$AM$509,MATCH(SUBSTITUTE(SUBSTITUTE(SUBSTITUTE("P:"&amp;A1222,"~","~~"),"*","~*"),"?","~?"),Processos!$AS$10:$AS$509,0)))-9),0)</f>
        <v>0</v>
      </c>
      <c r="K1222" s="34" t="str">
        <f t="shared" si="75"/>
        <v/>
      </c>
      <c r="L1222" s="14">
        <f>ROW()</f>
        <v>1222</v>
      </c>
    </row>
    <row r="1223" spans="1:12" ht="60" customHeight="1">
      <c r="A1223" s="41"/>
      <c r="B1223" s="43"/>
      <c r="C1223" s="44"/>
      <c r="D1223" s="51"/>
      <c r="E1223" s="44"/>
      <c r="F1223" s="44"/>
      <c r="G1223" s="34">
        <f t="shared" si="72"/>
        <v>0</v>
      </c>
      <c r="H1223" s="34" t="str">
        <f t="shared" si="73"/>
        <v/>
      </c>
      <c r="I1223" s="52" t="str">
        <f t="shared" si="74"/>
        <v/>
      </c>
      <c r="J1223" s="34">
        <f>IF(AND(A1223&lt;&gt;"",ISTEXT(A1223),COUNTIFS(Processos!$AS$10:$AS$509,"="&amp;SUBSTITUTE(SUBSTITUTE(SUBSTITUTE("P:"&amp;A1223,"~","~~"),"*","~*"),"?","~?"))=1),(IF(ISNA(MATCH(SUBSTITUTE(SUBSTITUTE(SUBSTITUTE("P:"&amp;A1223,"~","~~"),"*","~*"),"?","~?"),Processos!$AS$10:$AS$509,0)),9,INDEX(Processos!$AM$10:$AM$509,MATCH(SUBSTITUTE(SUBSTITUTE(SUBSTITUTE("P:"&amp;A1223,"~","~~"),"*","~*"),"?","~?"),Processos!$AS$10:$AS$509,0)))-9),0)</f>
        <v>0</v>
      </c>
      <c r="K1223" s="34" t="str">
        <f t="shared" si="75"/>
        <v/>
      </c>
      <c r="L1223" s="14">
        <f>ROW()</f>
        <v>1223</v>
      </c>
    </row>
    <row r="1224" spans="1:12" ht="60" customHeight="1">
      <c r="A1224" s="41"/>
      <c r="B1224" s="43"/>
      <c r="C1224" s="44"/>
      <c r="D1224" s="51"/>
      <c r="E1224" s="44"/>
      <c r="F1224" s="44"/>
      <c r="G1224" s="34">
        <f t="shared" si="72"/>
        <v>0</v>
      </c>
      <c r="H1224" s="34" t="str">
        <f t="shared" si="73"/>
        <v/>
      </c>
      <c r="I1224" s="52" t="str">
        <f t="shared" si="74"/>
        <v/>
      </c>
      <c r="J1224" s="34">
        <f>IF(AND(A1224&lt;&gt;"",ISTEXT(A1224),COUNTIFS(Processos!$AS$10:$AS$509,"="&amp;SUBSTITUTE(SUBSTITUTE(SUBSTITUTE("P:"&amp;A1224,"~","~~"),"*","~*"),"?","~?"))=1),(IF(ISNA(MATCH(SUBSTITUTE(SUBSTITUTE(SUBSTITUTE("P:"&amp;A1224,"~","~~"),"*","~*"),"?","~?"),Processos!$AS$10:$AS$509,0)),9,INDEX(Processos!$AM$10:$AM$509,MATCH(SUBSTITUTE(SUBSTITUTE(SUBSTITUTE("P:"&amp;A1224,"~","~~"),"*","~*"),"?","~?"),Processos!$AS$10:$AS$509,0)))-9),0)</f>
        <v>0</v>
      </c>
      <c r="K1224" s="34" t="str">
        <f t="shared" si="75"/>
        <v/>
      </c>
      <c r="L1224" s="14">
        <f>ROW()</f>
        <v>1224</v>
      </c>
    </row>
    <row r="1225" spans="1:12" ht="60" customHeight="1">
      <c r="A1225" s="41"/>
      <c r="B1225" s="43"/>
      <c r="C1225" s="44"/>
      <c r="D1225" s="51"/>
      <c r="E1225" s="44"/>
      <c r="F1225" s="44"/>
      <c r="G1225" s="34">
        <f t="shared" si="72"/>
        <v>0</v>
      </c>
      <c r="H1225" s="34" t="str">
        <f t="shared" si="73"/>
        <v/>
      </c>
      <c r="I1225" s="52" t="str">
        <f t="shared" si="74"/>
        <v/>
      </c>
      <c r="J1225" s="34">
        <f>IF(AND(A1225&lt;&gt;"",ISTEXT(A1225),COUNTIFS(Processos!$AS$10:$AS$509,"="&amp;SUBSTITUTE(SUBSTITUTE(SUBSTITUTE("P:"&amp;A1225,"~","~~"),"*","~*"),"?","~?"))=1),(IF(ISNA(MATCH(SUBSTITUTE(SUBSTITUTE(SUBSTITUTE("P:"&amp;A1225,"~","~~"),"*","~*"),"?","~?"),Processos!$AS$10:$AS$509,0)),9,INDEX(Processos!$AM$10:$AM$509,MATCH(SUBSTITUTE(SUBSTITUTE(SUBSTITUTE("P:"&amp;A1225,"~","~~"),"*","~*"),"?","~?"),Processos!$AS$10:$AS$509,0)))-9),0)</f>
        <v>0</v>
      </c>
      <c r="K1225" s="34" t="str">
        <f t="shared" si="75"/>
        <v/>
      </c>
      <c r="L1225" s="14">
        <f>ROW()</f>
        <v>1225</v>
      </c>
    </row>
    <row r="1226" spans="1:12" ht="60" customHeight="1">
      <c r="A1226" s="41"/>
      <c r="B1226" s="43"/>
      <c r="C1226" s="44"/>
      <c r="D1226" s="51"/>
      <c r="E1226" s="44"/>
      <c r="F1226" s="44"/>
      <c r="G1226" s="34">
        <f t="shared" ref="G1226:G1289" si="76">IF(AND(J1226&gt;0,OR(B1226="",AND(ISNUMBER(B1226),B1226&gt;=1,B1226&lt;=100000)),ISNUMBER(D1226),D1226&gt;=1,D1226&lt;=100000,C1226&lt;&gt;""),1,0)</f>
        <v>0</v>
      </c>
      <c r="H1226" s="34" t="str">
        <f t="shared" ref="H1226:H1289" si="77">IF(G1226=1,K1226&amp;"|"&amp;D1226,"")</f>
        <v/>
      </c>
      <c r="I1226" s="52" t="str">
        <f t="shared" ref="I1226:I1289" si="78">IF(COUNTA(A1226:F1226)=0,"",IF(A1226="","Selecione o processo",IF(J1226=0,"Processo inexistente, duplicado ou número não textual",IF(B1226="","Informe a data do andamento",IF(C1226="","Descreva o andamento",IF(D1226="","Informe a data e hora do recebimento",IF(OR(NOT(ISNUMBER(B1226)),B1226&lt;1,B1226&gt;100000),"Revise a data do andamento",IF(OR(NOT(ISNUMBER(D1226)),D1226&lt;1,D1226&gt;100000),"Revise a data e hora do recebimento",IF(COUNTIFS($K$10:$K$2009,"="&amp;SUBSTITUTE(SUBSTITUTE(SUBSTITUTE("P:"&amp;A1226,"~","~~"),"*","~*"),"?","~?"),$D$10:$D$2009,D1226,$G$10:$G$2009,1)&gt;1,"Recebimentos empatados: revise a hora ou consolide o registro","")))))))))</f>
        <v/>
      </c>
      <c r="J1226" s="34">
        <f>IF(AND(A1226&lt;&gt;"",ISTEXT(A1226),COUNTIFS(Processos!$AS$10:$AS$509,"="&amp;SUBSTITUTE(SUBSTITUTE(SUBSTITUTE("P:"&amp;A1226,"~","~~"),"*","~*"),"?","~?"))=1),(IF(ISNA(MATCH(SUBSTITUTE(SUBSTITUTE(SUBSTITUTE("P:"&amp;A1226,"~","~~"),"*","~*"),"?","~?"),Processos!$AS$10:$AS$509,0)),9,INDEX(Processos!$AM$10:$AM$509,MATCH(SUBSTITUTE(SUBSTITUTE(SUBSTITUTE("P:"&amp;A1226,"~","~~"),"*","~*"),"?","~?"),Processos!$AS$10:$AS$509,0)))-9),0)</f>
        <v>0</v>
      </c>
      <c r="K1226" s="34" t="str">
        <f t="shared" ref="K1226:K1289" si="79">IF(AND(A1226&lt;&gt;"",ISTEXT(A1226)),"P:"&amp;A1226,"")</f>
        <v/>
      </c>
      <c r="L1226" s="14">
        <f>ROW()</f>
        <v>1226</v>
      </c>
    </row>
    <row r="1227" spans="1:12" ht="60" customHeight="1">
      <c r="A1227" s="41"/>
      <c r="B1227" s="43"/>
      <c r="C1227" s="44"/>
      <c r="D1227" s="51"/>
      <c r="E1227" s="44"/>
      <c r="F1227" s="44"/>
      <c r="G1227" s="34">
        <f t="shared" si="76"/>
        <v>0</v>
      </c>
      <c r="H1227" s="34" t="str">
        <f t="shared" si="77"/>
        <v/>
      </c>
      <c r="I1227" s="52" t="str">
        <f t="shared" si="78"/>
        <v/>
      </c>
      <c r="J1227" s="34">
        <f>IF(AND(A1227&lt;&gt;"",ISTEXT(A1227),COUNTIFS(Processos!$AS$10:$AS$509,"="&amp;SUBSTITUTE(SUBSTITUTE(SUBSTITUTE("P:"&amp;A1227,"~","~~"),"*","~*"),"?","~?"))=1),(IF(ISNA(MATCH(SUBSTITUTE(SUBSTITUTE(SUBSTITUTE("P:"&amp;A1227,"~","~~"),"*","~*"),"?","~?"),Processos!$AS$10:$AS$509,0)),9,INDEX(Processos!$AM$10:$AM$509,MATCH(SUBSTITUTE(SUBSTITUTE(SUBSTITUTE("P:"&amp;A1227,"~","~~"),"*","~*"),"?","~?"),Processos!$AS$10:$AS$509,0)))-9),0)</f>
        <v>0</v>
      </c>
      <c r="K1227" s="34" t="str">
        <f t="shared" si="79"/>
        <v/>
      </c>
      <c r="L1227" s="14">
        <f>ROW()</f>
        <v>1227</v>
      </c>
    </row>
    <row r="1228" spans="1:12" ht="60" customHeight="1">
      <c r="A1228" s="41"/>
      <c r="B1228" s="43"/>
      <c r="C1228" s="44"/>
      <c r="D1228" s="51"/>
      <c r="E1228" s="44"/>
      <c r="F1228" s="44"/>
      <c r="G1228" s="34">
        <f t="shared" si="76"/>
        <v>0</v>
      </c>
      <c r="H1228" s="34" t="str">
        <f t="shared" si="77"/>
        <v/>
      </c>
      <c r="I1228" s="52" t="str">
        <f t="shared" si="78"/>
        <v/>
      </c>
      <c r="J1228" s="34">
        <f>IF(AND(A1228&lt;&gt;"",ISTEXT(A1228),COUNTIFS(Processos!$AS$10:$AS$509,"="&amp;SUBSTITUTE(SUBSTITUTE(SUBSTITUTE("P:"&amp;A1228,"~","~~"),"*","~*"),"?","~?"))=1),(IF(ISNA(MATCH(SUBSTITUTE(SUBSTITUTE(SUBSTITUTE("P:"&amp;A1228,"~","~~"),"*","~*"),"?","~?"),Processos!$AS$10:$AS$509,0)),9,INDEX(Processos!$AM$10:$AM$509,MATCH(SUBSTITUTE(SUBSTITUTE(SUBSTITUTE("P:"&amp;A1228,"~","~~"),"*","~*"),"?","~?"),Processos!$AS$10:$AS$509,0)))-9),0)</f>
        <v>0</v>
      </c>
      <c r="K1228" s="34" t="str">
        <f t="shared" si="79"/>
        <v/>
      </c>
      <c r="L1228" s="14">
        <f>ROW()</f>
        <v>1228</v>
      </c>
    </row>
    <row r="1229" spans="1:12" ht="60" customHeight="1">
      <c r="A1229" s="41"/>
      <c r="B1229" s="43"/>
      <c r="C1229" s="44"/>
      <c r="D1229" s="51"/>
      <c r="E1229" s="44"/>
      <c r="F1229" s="44"/>
      <c r="G1229" s="34">
        <f t="shared" si="76"/>
        <v>0</v>
      </c>
      <c r="H1229" s="34" t="str">
        <f t="shared" si="77"/>
        <v/>
      </c>
      <c r="I1229" s="52" t="str">
        <f t="shared" si="78"/>
        <v/>
      </c>
      <c r="J1229" s="34">
        <f>IF(AND(A1229&lt;&gt;"",ISTEXT(A1229),COUNTIFS(Processos!$AS$10:$AS$509,"="&amp;SUBSTITUTE(SUBSTITUTE(SUBSTITUTE("P:"&amp;A1229,"~","~~"),"*","~*"),"?","~?"))=1),(IF(ISNA(MATCH(SUBSTITUTE(SUBSTITUTE(SUBSTITUTE("P:"&amp;A1229,"~","~~"),"*","~*"),"?","~?"),Processos!$AS$10:$AS$509,0)),9,INDEX(Processos!$AM$10:$AM$509,MATCH(SUBSTITUTE(SUBSTITUTE(SUBSTITUTE("P:"&amp;A1229,"~","~~"),"*","~*"),"?","~?"),Processos!$AS$10:$AS$509,0)))-9),0)</f>
        <v>0</v>
      </c>
      <c r="K1229" s="34" t="str">
        <f t="shared" si="79"/>
        <v/>
      </c>
      <c r="L1229" s="14">
        <f>ROW()</f>
        <v>1229</v>
      </c>
    </row>
    <row r="1230" spans="1:12" ht="60" customHeight="1">
      <c r="A1230" s="41"/>
      <c r="B1230" s="43"/>
      <c r="C1230" s="44"/>
      <c r="D1230" s="51"/>
      <c r="E1230" s="44"/>
      <c r="F1230" s="44"/>
      <c r="G1230" s="34">
        <f t="shared" si="76"/>
        <v>0</v>
      </c>
      <c r="H1230" s="34" t="str">
        <f t="shared" si="77"/>
        <v/>
      </c>
      <c r="I1230" s="52" t="str">
        <f t="shared" si="78"/>
        <v/>
      </c>
      <c r="J1230" s="34">
        <f>IF(AND(A1230&lt;&gt;"",ISTEXT(A1230),COUNTIFS(Processos!$AS$10:$AS$509,"="&amp;SUBSTITUTE(SUBSTITUTE(SUBSTITUTE("P:"&amp;A1230,"~","~~"),"*","~*"),"?","~?"))=1),(IF(ISNA(MATCH(SUBSTITUTE(SUBSTITUTE(SUBSTITUTE("P:"&amp;A1230,"~","~~"),"*","~*"),"?","~?"),Processos!$AS$10:$AS$509,0)),9,INDEX(Processos!$AM$10:$AM$509,MATCH(SUBSTITUTE(SUBSTITUTE(SUBSTITUTE("P:"&amp;A1230,"~","~~"),"*","~*"),"?","~?"),Processos!$AS$10:$AS$509,0)))-9),0)</f>
        <v>0</v>
      </c>
      <c r="K1230" s="34" t="str">
        <f t="shared" si="79"/>
        <v/>
      </c>
      <c r="L1230" s="14">
        <f>ROW()</f>
        <v>1230</v>
      </c>
    </row>
    <row r="1231" spans="1:12" ht="60" customHeight="1">
      <c r="A1231" s="41"/>
      <c r="B1231" s="43"/>
      <c r="C1231" s="44"/>
      <c r="D1231" s="51"/>
      <c r="E1231" s="44"/>
      <c r="F1231" s="44"/>
      <c r="G1231" s="34">
        <f t="shared" si="76"/>
        <v>0</v>
      </c>
      <c r="H1231" s="34" t="str">
        <f t="shared" si="77"/>
        <v/>
      </c>
      <c r="I1231" s="52" t="str">
        <f t="shared" si="78"/>
        <v/>
      </c>
      <c r="J1231" s="34">
        <f>IF(AND(A1231&lt;&gt;"",ISTEXT(A1231),COUNTIFS(Processos!$AS$10:$AS$509,"="&amp;SUBSTITUTE(SUBSTITUTE(SUBSTITUTE("P:"&amp;A1231,"~","~~"),"*","~*"),"?","~?"))=1),(IF(ISNA(MATCH(SUBSTITUTE(SUBSTITUTE(SUBSTITUTE("P:"&amp;A1231,"~","~~"),"*","~*"),"?","~?"),Processos!$AS$10:$AS$509,0)),9,INDEX(Processos!$AM$10:$AM$509,MATCH(SUBSTITUTE(SUBSTITUTE(SUBSTITUTE("P:"&amp;A1231,"~","~~"),"*","~*"),"?","~?"),Processos!$AS$10:$AS$509,0)))-9),0)</f>
        <v>0</v>
      </c>
      <c r="K1231" s="34" t="str">
        <f t="shared" si="79"/>
        <v/>
      </c>
      <c r="L1231" s="14">
        <f>ROW()</f>
        <v>1231</v>
      </c>
    </row>
    <row r="1232" spans="1:12" ht="60" customHeight="1">
      <c r="A1232" s="41"/>
      <c r="B1232" s="43"/>
      <c r="C1232" s="44"/>
      <c r="D1232" s="51"/>
      <c r="E1232" s="44"/>
      <c r="F1232" s="44"/>
      <c r="G1232" s="34">
        <f t="shared" si="76"/>
        <v>0</v>
      </c>
      <c r="H1232" s="34" t="str">
        <f t="shared" si="77"/>
        <v/>
      </c>
      <c r="I1232" s="52" t="str">
        <f t="shared" si="78"/>
        <v/>
      </c>
      <c r="J1232" s="34">
        <f>IF(AND(A1232&lt;&gt;"",ISTEXT(A1232),COUNTIFS(Processos!$AS$10:$AS$509,"="&amp;SUBSTITUTE(SUBSTITUTE(SUBSTITUTE("P:"&amp;A1232,"~","~~"),"*","~*"),"?","~?"))=1),(IF(ISNA(MATCH(SUBSTITUTE(SUBSTITUTE(SUBSTITUTE("P:"&amp;A1232,"~","~~"),"*","~*"),"?","~?"),Processos!$AS$10:$AS$509,0)),9,INDEX(Processos!$AM$10:$AM$509,MATCH(SUBSTITUTE(SUBSTITUTE(SUBSTITUTE("P:"&amp;A1232,"~","~~"),"*","~*"),"?","~?"),Processos!$AS$10:$AS$509,0)))-9),0)</f>
        <v>0</v>
      </c>
      <c r="K1232" s="34" t="str">
        <f t="shared" si="79"/>
        <v/>
      </c>
      <c r="L1232" s="14">
        <f>ROW()</f>
        <v>1232</v>
      </c>
    </row>
    <row r="1233" spans="1:12" ht="60" customHeight="1">
      <c r="A1233" s="41"/>
      <c r="B1233" s="43"/>
      <c r="C1233" s="44"/>
      <c r="D1233" s="51"/>
      <c r="E1233" s="44"/>
      <c r="F1233" s="44"/>
      <c r="G1233" s="34">
        <f t="shared" si="76"/>
        <v>0</v>
      </c>
      <c r="H1233" s="34" t="str">
        <f t="shared" si="77"/>
        <v/>
      </c>
      <c r="I1233" s="52" t="str">
        <f t="shared" si="78"/>
        <v/>
      </c>
      <c r="J1233" s="34">
        <f>IF(AND(A1233&lt;&gt;"",ISTEXT(A1233),COUNTIFS(Processos!$AS$10:$AS$509,"="&amp;SUBSTITUTE(SUBSTITUTE(SUBSTITUTE("P:"&amp;A1233,"~","~~"),"*","~*"),"?","~?"))=1),(IF(ISNA(MATCH(SUBSTITUTE(SUBSTITUTE(SUBSTITUTE("P:"&amp;A1233,"~","~~"),"*","~*"),"?","~?"),Processos!$AS$10:$AS$509,0)),9,INDEX(Processos!$AM$10:$AM$509,MATCH(SUBSTITUTE(SUBSTITUTE(SUBSTITUTE("P:"&amp;A1233,"~","~~"),"*","~*"),"?","~?"),Processos!$AS$10:$AS$509,0)))-9),0)</f>
        <v>0</v>
      </c>
      <c r="K1233" s="34" t="str">
        <f t="shared" si="79"/>
        <v/>
      </c>
      <c r="L1233" s="14">
        <f>ROW()</f>
        <v>1233</v>
      </c>
    </row>
    <row r="1234" spans="1:12" ht="60" customHeight="1">
      <c r="A1234" s="41"/>
      <c r="B1234" s="43"/>
      <c r="C1234" s="44"/>
      <c r="D1234" s="51"/>
      <c r="E1234" s="44"/>
      <c r="F1234" s="44"/>
      <c r="G1234" s="34">
        <f t="shared" si="76"/>
        <v>0</v>
      </c>
      <c r="H1234" s="34" t="str">
        <f t="shared" si="77"/>
        <v/>
      </c>
      <c r="I1234" s="52" t="str">
        <f t="shared" si="78"/>
        <v/>
      </c>
      <c r="J1234" s="34">
        <f>IF(AND(A1234&lt;&gt;"",ISTEXT(A1234),COUNTIFS(Processos!$AS$10:$AS$509,"="&amp;SUBSTITUTE(SUBSTITUTE(SUBSTITUTE("P:"&amp;A1234,"~","~~"),"*","~*"),"?","~?"))=1),(IF(ISNA(MATCH(SUBSTITUTE(SUBSTITUTE(SUBSTITUTE("P:"&amp;A1234,"~","~~"),"*","~*"),"?","~?"),Processos!$AS$10:$AS$509,0)),9,INDEX(Processos!$AM$10:$AM$509,MATCH(SUBSTITUTE(SUBSTITUTE(SUBSTITUTE("P:"&amp;A1234,"~","~~"),"*","~*"),"?","~?"),Processos!$AS$10:$AS$509,0)))-9),0)</f>
        <v>0</v>
      </c>
      <c r="K1234" s="34" t="str">
        <f t="shared" si="79"/>
        <v/>
      </c>
      <c r="L1234" s="14">
        <f>ROW()</f>
        <v>1234</v>
      </c>
    </row>
    <row r="1235" spans="1:12" ht="60" customHeight="1">
      <c r="A1235" s="41"/>
      <c r="B1235" s="43"/>
      <c r="C1235" s="44"/>
      <c r="D1235" s="51"/>
      <c r="E1235" s="44"/>
      <c r="F1235" s="44"/>
      <c r="G1235" s="34">
        <f t="shared" si="76"/>
        <v>0</v>
      </c>
      <c r="H1235" s="34" t="str">
        <f t="shared" si="77"/>
        <v/>
      </c>
      <c r="I1235" s="52" t="str">
        <f t="shared" si="78"/>
        <v/>
      </c>
      <c r="J1235" s="34">
        <f>IF(AND(A1235&lt;&gt;"",ISTEXT(A1235),COUNTIFS(Processos!$AS$10:$AS$509,"="&amp;SUBSTITUTE(SUBSTITUTE(SUBSTITUTE("P:"&amp;A1235,"~","~~"),"*","~*"),"?","~?"))=1),(IF(ISNA(MATCH(SUBSTITUTE(SUBSTITUTE(SUBSTITUTE("P:"&amp;A1235,"~","~~"),"*","~*"),"?","~?"),Processos!$AS$10:$AS$509,0)),9,INDEX(Processos!$AM$10:$AM$509,MATCH(SUBSTITUTE(SUBSTITUTE(SUBSTITUTE("P:"&amp;A1235,"~","~~"),"*","~*"),"?","~?"),Processos!$AS$10:$AS$509,0)))-9),0)</f>
        <v>0</v>
      </c>
      <c r="K1235" s="34" t="str">
        <f t="shared" si="79"/>
        <v/>
      </c>
      <c r="L1235" s="14">
        <f>ROW()</f>
        <v>1235</v>
      </c>
    </row>
    <row r="1236" spans="1:12" ht="60" customHeight="1">
      <c r="A1236" s="41"/>
      <c r="B1236" s="43"/>
      <c r="C1236" s="44"/>
      <c r="D1236" s="51"/>
      <c r="E1236" s="44"/>
      <c r="F1236" s="44"/>
      <c r="G1236" s="34">
        <f t="shared" si="76"/>
        <v>0</v>
      </c>
      <c r="H1236" s="34" t="str">
        <f t="shared" si="77"/>
        <v/>
      </c>
      <c r="I1236" s="52" t="str">
        <f t="shared" si="78"/>
        <v/>
      </c>
      <c r="J1236" s="34">
        <f>IF(AND(A1236&lt;&gt;"",ISTEXT(A1236),COUNTIFS(Processos!$AS$10:$AS$509,"="&amp;SUBSTITUTE(SUBSTITUTE(SUBSTITUTE("P:"&amp;A1236,"~","~~"),"*","~*"),"?","~?"))=1),(IF(ISNA(MATCH(SUBSTITUTE(SUBSTITUTE(SUBSTITUTE("P:"&amp;A1236,"~","~~"),"*","~*"),"?","~?"),Processos!$AS$10:$AS$509,0)),9,INDEX(Processos!$AM$10:$AM$509,MATCH(SUBSTITUTE(SUBSTITUTE(SUBSTITUTE("P:"&amp;A1236,"~","~~"),"*","~*"),"?","~?"),Processos!$AS$10:$AS$509,0)))-9),0)</f>
        <v>0</v>
      </c>
      <c r="K1236" s="34" t="str">
        <f t="shared" si="79"/>
        <v/>
      </c>
      <c r="L1236" s="14">
        <f>ROW()</f>
        <v>1236</v>
      </c>
    </row>
    <row r="1237" spans="1:12" ht="60" customHeight="1">
      <c r="A1237" s="41"/>
      <c r="B1237" s="43"/>
      <c r="C1237" s="44"/>
      <c r="D1237" s="51"/>
      <c r="E1237" s="44"/>
      <c r="F1237" s="44"/>
      <c r="G1237" s="34">
        <f t="shared" si="76"/>
        <v>0</v>
      </c>
      <c r="H1237" s="34" t="str">
        <f t="shared" si="77"/>
        <v/>
      </c>
      <c r="I1237" s="52" t="str">
        <f t="shared" si="78"/>
        <v/>
      </c>
      <c r="J1237" s="34">
        <f>IF(AND(A1237&lt;&gt;"",ISTEXT(A1237),COUNTIFS(Processos!$AS$10:$AS$509,"="&amp;SUBSTITUTE(SUBSTITUTE(SUBSTITUTE("P:"&amp;A1237,"~","~~"),"*","~*"),"?","~?"))=1),(IF(ISNA(MATCH(SUBSTITUTE(SUBSTITUTE(SUBSTITUTE("P:"&amp;A1237,"~","~~"),"*","~*"),"?","~?"),Processos!$AS$10:$AS$509,0)),9,INDEX(Processos!$AM$10:$AM$509,MATCH(SUBSTITUTE(SUBSTITUTE(SUBSTITUTE("P:"&amp;A1237,"~","~~"),"*","~*"),"?","~?"),Processos!$AS$10:$AS$509,0)))-9),0)</f>
        <v>0</v>
      </c>
      <c r="K1237" s="34" t="str">
        <f t="shared" si="79"/>
        <v/>
      </c>
      <c r="L1237" s="14">
        <f>ROW()</f>
        <v>1237</v>
      </c>
    </row>
    <row r="1238" spans="1:12" ht="60" customHeight="1">
      <c r="A1238" s="41"/>
      <c r="B1238" s="43"/>
      <c r="C1238" s="44"/>
      <c r="D1238" s="51"/>
      <c r="E1238" s="44"/>
      <c r="F1238" s="44"/>
      <c r="G1238" s="34">
        <f t="shared" si="76"/>
        <v>0</v>
      </c>
      <c r="H1238" s="34" t="str">
        <f t="shared" si="77"/>
        <v/>
      </c>
      <c r="I1238" s="52" t="str">
        <f t="shared" si="78"/>
        <v/>
      </c>
      <c r="J1238" s="34">
        <f>IF(AND(A1238&lt;&gt;"",ISTEXT(A1238),COUNTIFS(Processos!$AS$10:$AS$509,"="&amp;SUBSTITUTE(SUBSTITUTE(SUBSTITUTE("P:"&amp;A1238,"~","~~"),"*","~*"),"?","~?"))=1),(IF(ISNA(MATCH(SUBSTITUTE(SUBSTITUTE(SUBSTITUTE("P:"&amp;A1238,"~","~~"),"*","~*"),"?","~?"),Processos!$AS$10:$AS$509,0)),9,INDEX(Processos!$AM$10:$AM$509,MATCH(SUBSTITUTE(SUBSTITUTE(SUBSTITUTE("P:"&amp;A1238,"~","~~"),"*","~*"),"?","~?"),Processos!$AS$10:$AS$509,0)))-9),0)</f>
        <v>0</v>
      </c>
      <c r="K1238" s="34" t="str">
        <f t="shared" si="79"/>
        <v/>
      </c>
      <c r="L1238" s="14">
        <f>ROW()</f>
        <v>1238</v>
      </c>
    </row>
    <row r="1239" spans="1:12" ht="60" customHeight="1">
      <c r="A1239" s="41"/>
      <c r="B1239" s="43"/>
      <c r="C1239" s="44"/>
      <c r="D1239" s="51"/>
      <c r="E1239" s="44"/>
      <c r="F1239" s="44"/>
      <c r="G1239" s="34">
        <f t="shared" si="76"/>
        <v>0</v>
      </c>
      <c r="H1239" s="34" t="str">
        <f t="shared" si="77"/>
        <v/>
      </c>
      <c r="I1239" s="52" t="str">
        <f t="shared" si="78"/>
        <v/>
      </c>
      <c r="J1239" s="34">
        <f>IF(AND(A1239&lt;&gt;"",ISTEXT(A1239),COUNTIFS(Processos!$AS$10:$AS$509,"="&amp;SUBSTITUTE(SUBSTITUTE(SUBSTITUTE("P:"&amp;A1239,"~","~~"),"*","~*"),"?","~?"))=1),(IF(ISNA(MATCH(SUBSTITUTE(SUBSTITUTE(SUBSTITUTE("P:"&amp;A1239,"~","~~"),"*","~*"),"?","~?"),Processos!$AS$10:$AS$509,0)),9,INDEX(Processos!$AM$10:$AM$509,MATCH(SUBSTITUTE(SUBSTITUTE(SUBSTITUTE("P:"&amp;A1239,"~","~~"),"*","~*"),"?","~?"),Processos!$AS$10:$AS$509,0)))-9),0)</f>
        <v>0</v>
      </c>
      <c r="K1239" s="34" t="str">
        <f t="shared" si="79"/>
        <v/>
      </c>
      <c r="L1239" s="14">
        <f>ROW()</f>
        <v>1239</v>
      </c>
    </row>
    <row r="1240" spans="1:12" ht="60" customHeight="1">
      <c r="A1240" s="41"/>
      <c r="B1240" s="43"/>
      <c r="C1240" s="44"/>
      <c r="D1240" s="51"/>
      <c r="E1240" s="44"/>
      <c r="F1240" s="44"/>
      <c r="G1240" s="34">
        <f t="shared" si="76"/>
        <v>0</v>
      </c>
      <c r="H1240" s="34" t="str">
        <f t="shared" si="77"/>
        <v/>
      </c>
      <c r="I1240" s="52" t="str">
        <f t="shared" si="78"/>
        <v/>
      </c>
      <c r="J1240" s="34">
        <f>IF(AND(A1240&lt;&gt;"",ISTEXT(A1240),COUNTIFS(Processos!$AS$10:$AS$509,"="&amp;SUBSTITUTE(SUBSTITUTE(SUBSTITUTE("P:"&amp;A1240,"~","~~"),"*","~*"),"?","~?"))=1),(IF(ISNA(MATCH(SUBSTITUTE(SUBSTITUTE(SUBSTITUTE("P:"&amp;A1240,"~","~~"),"*","~*"),"?","~?"),Processos!$AS$10:$AS$509,0)),9,INDEX(Processos!$AM$10:$AM$509,MATCH(SUBSTITUTE(SUBSTITUTE(SUBSTITUTE("P:"&amp;A1240,"~","~~"),"*","~*"),"?","~?"),Processos!$AS$10:$AS$509,0)))-9),0)</f>
        <v>0</v>
      </c>
      <c r="K1240" s="34" t="str">
        <f t="shared" si="79"/>
        <v/>
      </c>
      <c r="L1240" s="14">
        <f>ROW()</f>
        <v>1240</v>
      </c>
    </row>
    <row r="1241" spans="1:12" ht="60" customHeight="1">
      <c r="A1241" s="41"/>
      <c r="B1241" s="43"/>
      <c r="C1241" s="44"/>
      <c r="D1241" s="51"/>
      <c r="E1241" s="44"/>
      <c r="F1241" s="44"/>
      <c r="G1241" s="34">
        <f t="shared" si="76"/>
        <v>0</v>
      </c>
      <c r="H1241" s="34" t="str">
        <f t="shared" si="77"/>
        <v/>
      </c>
      <c r="I1241" s="52" t="str">
        <f t="shared" si="78"/>
        <v/>
      </c>
      <c r="J1241" s="34">
        <f>IF(AND(A1241&lt;&gt;"",ISTEXT(A1241),COUNTIFS(Processos!$AS$10:$AS$509,"="&amp;SUBSTITUTE(SUBSTITUTE(SUBSTITUTE("P:"&amp;A1241,"~","~~"),"*","~*"),"?","~?"))=1),(IF(ISNA(MATCH(SUBSTITUTE(SUBSTITUTE(SUBSTITUTE("P:"&amp;A1241,"~","~~"),"*","~*"),"?","~?"),Processos!$AS$10:$AS$509,0)),9,INDEX(Processos!$AM$10:$AM$509,MATCH(SUBSTITUTE(SUBSTITUTE(SUBSTITUTE("P:"&amp;A1241,"~","~~"),"*","~*"),"?","~?"),Processos!$AS$10:$AS$509,0)))-9),0)</f>
        <v>0</v>
      </c>
      <c r="K1241" s="34" t="str">
        <f t="shared" si="79"/>
        <v/>
      </c>
      <c r="L1241" s="14">
        <f>ROW()</f>
        <v>1241</v>
      </c>
    </row>
    <row r="1242" spans="1:12" ht="60" customHeight="1">
      <c r="A1242" s="41"/>
      <c r="B1242" s="43"/>
      <c r="C1242" s="44"/>
      <c r="D1242" s="51"/>
      <c r="E1242" s="44"/>
      <c r="F1242" s="44"/>
      <c r="G1242" s="34">
        <f t="shared" si="76"/>
        <v>0</v>
      </c>
      <c r="H1242" s="34" t="str">
        <f t="shared" si="77"/>
        <v/>
      </c>
      <c r="I1242" s="52" t="str">
        <f t="shared" si="78"/>
        <v/>
      </c>
      <c r="J1242" s="34">
        <f>IF(AND(A1242&lt;&gt;"",ISTEXT(A1242),COUNTIFS(Processos!$AS$10:$AS$509,"="&amp;SUBSTITUTE(SUBSTITUTE(SUBSTITUTE("P:"&amp;A1242,"~","~~"),"*","~*"),"?","~?"))=1),(IF(ISNA(MATCH(SUBSTITUTE(SUBSTITUTE(SUBSTITUTE("P:"&amp;A1242,"~","~~"),"*","~*"),"?","~?"),Processos!$AS$10:$AS$509,0)),9,INDEX(Processos!$AM$10:$AM$509,MATCH(SUBSTITUTE(SUBSTITUTE(SUBSTITUTE("P:"&amp;A1242,"~","~~"),"*","~*"),"?","~?"),Processos!$AS$10:$AS$509,0)))-9),0)</f>
        <v>0</v>
      </c>
      <c r="K1242" s="34" t="str">
        <f t="shared" si="79"/>
        <v/>
      </c>
      <c r="L1242" s="14">
        <f>ROW()</f>
        <v>1242</v>
      </c>
    </row>
    <row r="1243" spans="1:12" ht="60" customHeight="1">
      <c r="A1243" s="41"/>
      <c r="B1243" s="43"/>
      <c r="C1243" s="44"/>
      <c r="D1243" s="51"/>
      <c r="E1243" s="44"/>
      <c r="F1243" s="44"/>
      <c r="G1243" s="34">
        <f t="shared" si="76"/>
        <v>0</v>
      </c>
      <c r="H1243" s="34" t="str">
        <f t="shared" si="77"/>
        <v/>
      </c>
      <c r="I1243" s="52" t="str">
        <f t="shared" si="78"/>
        <v/>
      </c>
      <c r="J1243" s="34">
        <f>IF(AND(A1243&lt;&gt;"",ISTEXT(A1243),COUNTIFS(Processos!$AS$10:$AS$509,"="&amp;SUBSTITUTE(SUBSTITUTE(SUBSTITUTE("P:"&amp;A1243,"~","~~"),"*","~*"),"?","~?"))=1),(IF(ISNA(MATCH(SUBSTITUTE(SUBSTITUTE(SUBSTITUTE("P:"&amp;A1243,"~","~~"),"*","~*"),"?","~?"),Processos!$AS$10:$AS$509,0)),9,INDEX(Processos!$AM$10:$AM$509,MATCH(SUBSTITUTE(SUBSTITUTE(SUBSTITUTE("P:"&amp;A1243,"~","~~"),"*","~*"),"?","~?"),Processos!$AS$10:$AS$509,0)))-9),0)</f>
        <v>0</v>
      </c>
      <c r="K1243" s="34" t="str">
        <f t="shared" si="79"/>
        <v/>
      </c>
      <c r="L1243" s="14">
        <f>ROW()</f>
        <v>1243</v>
      </c>
    </row>
    <row r="1244" spans="1:12" ht="60" customHeight="1">
      <c r="A1244" s="41"/>
      <c r="B1244" s="43"/>
      <c r="C1244" s="44"/>
      <c r="D1244" s="51"/>
      <c r="E1244" s="44"/>
      <c r="F1244" s="44"/>
      <c r="G1244" s="34">
        <f t="shared" si="76"/>
        <v>0</v>
      </c>
      <c r="H1244" s="34" t="str">
        <f t="shared" si="77"/>
        <v/>
      </c>
      <c r="I1244" s="52" t="str">
        <f t="shared" si="78"/>
        <v/>
      </c>
      <c r="J1244" s="34">
        <f>IF(AND(A1244&lt;&gt;"",ISTEXT(A1244),COUNTIFS(Processos!$AS$10:$AS$509,"="&amp;SUBSTITUTE(SUBSTITUTE(SUBSTITUTE("P:"&amp;A1244,"~","~~"),"*","~*"),"?","~?"))=1),(IF(ISNA(MATCH(SUBSTITUTE(SUBSTITUTE(SUBSTITUTE("P:"&amp;A1244,"~","~~"),"*","~*"),"?","~?"),Processos!$AS$10:$AS$509,0)),9,INDEX(Processos!$AM$10:$AM$509,MATCH(SUBSTITUTE(SUBSTITUTE(SUBSTITUTE("P:"&amp;A1244,"~","~~"),"*","~*"),"?","~?"),Processos!$AS$10:$AS$509,0)))-9),0)</f>
        <v>0</v>
      </c>
      <c r="K1244" s="34" t="str">
        <f t="shared" si="79"/>
        <v/>
      </c>
      <c r="L1244" s="14">
        <f>ROW()</f>
        <v>1244</v>
      </c>
    </row>
    <row r="1245" spans="1:12" ht="60" customHeight="1">
      <c r="A1245" s="41"/>
      <c r="B1245" s="43"/>
      <c r="C1245" s="44"/>
      <c r="D1245" s="51"/>
      <c r="E1245" s="44"/>
      <c r="F1245" s="44"/>
      <c r="G1245" s="34">
        <f t="shared" si="76"/>
        <v>0</v>
      </c>
      <c r="H1245" s="34" t="str">
        <f t="shared" si="77"/>
        <v/>
      </c>
      <c r="I1245" s="52" t="str">
        <f t="shared" si="78"/>
        <v/>
      </c>
      <c r="J1245" s="34">
        <f>IF(AND(A1245&lt;&gt;"",ISTEXT(A1245),COUNTIFS(Processos!$AS$10:$AS$509,"="&amp;SUBSTITUTE(SUBSTITUTE(SUBSTITUTE("P:"&amp;A1245,"~","~~"),"*","~*"),"?","~?"))=1),(IF(ISNA(MATCH(SUBSTITUTE(SUBSTITUTE(SUBSTITUTE("P:"&amp;A1245,"~","~~"),"*","~*"),"?","~?"),Processos!$AS$10:$AS$509,0)),9,INDEX(Processos!$AM$10:$AM$509,MATCH(SUBSTITUTE(SUBSTITUTE(SUBSTITUTE("P:"&amp;A1245,"~","~~"),"*","~*"),"?","~?"),Processos!$AS$10:$AS$509,0)))-9),0)</f>
        <v>0</v>
      </c>
      <c r="K1245" s="34" t="str">
        <f t="shared" si="79"/>
        <v/>
      </c>
      <c r="L1245" s="14">
        <f>ROW()</f>
        <v>1245</v>
      </c>
    </row>
    <row r="1246" spans="1:12" ht="60" customHeight="1">
      <c r="A1246" s="41"/>
      <c r="B1246" s="43"/>
      <c r="C1246" s="44"/>
      <c r="D1246" s="51"/>
      <c r="E1246" s="44"/>
      <c r="F1246" s="44"/>
      <c r="G1246" s="34">
        <f t="shared" si="76"/>
        <v>0</v>
      </c>
      <c r="H1246" s="34" t="str">
        <f t="shared" si="77"/>
        <v/>
      </c>
      <c r="I1246" s="52" t="str">
        <f t="shared" si="78"/>
        <v/>
      </c>
      <c r="J1246" s="34">
        <f>IF(AND(A1246&lt;&gt;"",ISTEXT(A1246),COUNTIFS(Processos!$AS$10:$AS$509,"="&amp;SUBSTITUTE(SUBSTITUTE(SUBSTITUTE("P:"&amp;A1246,"~","~~"),"*","~*"),"?","~?"))=1),(IF(ISNA(MATCH(SUBSTITUTE(SUBSTITUTE(SUBSTITUTE("P:"&amp;A1246,"~","~~"),"*","~*"),"?","~?"),Processos!$AS$10:$AS$509,0)),9,INDEX(Processos!$AM$10:$AM$509,MATCH(SUBSTITUTE(SUBSTITUTE(SUBSTITUTE("P:"&amp;A1246,"~","~~"),"*","~*"),"?","~?"),Processos!$AS$10:$AS$509,0)))-9),0)</f>
        <v>0</v>
      </c>
      <c r="K1246" s="34" t="str">
        <f t="shared" si="79"/>
        <v/>
      </c>
      <c r="L1246" s="14">
        <f>ROW()</f>
        <v>1246</v>
      </c>
    </row>
    <row r="1247" spans="1:12" ht="60" customHeight="1">
      <c r="A1247" s="41"/>
      <c r="B1247" s="43"/>
      <c r="C1247" s="44"/>
      <c r="D1247" s="51"/>
      <c r="E1247" s="44"/>
      <c r="F1247" s="44"/>
      <c r="G1247" s="34">
        <f t="shared" si="76"/>
        <v>0</v>
      </c>
      <c r="H1247" s="34" t="str">
        <f t="shared" si="77"/>
        <v/>
      </c>
      <c r="I1247" s="52" t="str">
        <f t="shared" si="78"/>
        <v/>
      </c>
      <c r="J1247" s="34">
        <f>IF(AND(A1247&lt;&gt;"",ISTEXT(A1247),COUNTIFS(Processos!$AS$10:$AS$509,"="&amp;SUBSTITUTE(SUBSTITUTE(SUBSTITUTE("P:"&amp;A1247,"~","~~"),"*","~*"),"?","~?"))=1),(IF(ISNA(MATCH(SUBSTITUTE(SUBSTITUTE(SUBSTITUTE("P:"&amp;A1247,"~","~~"),"*","~*"),"?","~?"),Processos!$AS$10:$AS$509,0)),9,INDEX(Processos!$AM$10:$AM$509,MATCH(SUBSTITUTE(SUBSTITUTE(SUBSTITUTE("P:"&amp;A1247,"~","~~"),"*","~*"),"?","~?"),Processos!$AS$10:$AS$509,0)))-9),0)</f>
        <v>0</v>
      </c>
      <c r="K1247" s="34" t="str">
        <f t="shared" si="79"/>
        <v/>
      </c>
      <c r="L1247" s="14">
        <f>ROW()</f>
        <v>1247</v>
      </c>
    </row>
    <row r="1248" spans="1:12" ht="60" customHeight="1">
      <c r="A1248" s="41"/>
      <c r="B1248" s="43"/>
      <c r="C1248" s="44"/>
      <c r="D1248" s="51"/>
      <c r="E1248" s="44"/>
      <c r="F1248" s="44"/>
      <c r="G1248" s="34">
        <f t="shared" si="76"/>
        <v>0</v>
      </c>
      <c r="H1248" s="34" t="str">
        <f t="shared" si="77"/>
        <v/>
      </c>
      <c r="I1248" s="52" t="str">
        <f t="shared" si="78"/>
        <v/>
      </c>
      <c r="J1248" s="34">
        <f>IF(AND(A1248&lt;&gt;"",ISTEXT(A1248),COUNTIFS(Processos!$AS$10:$AS$509,"="&amp;SUBSTITUTE(SUBSTITUTE(SUBSTITUTE("P:"&amp;A1248,"~","~~"),"*","~*"),"?","~?"))=1),(IF(ISNA(MATCH(SUBSTITUTE(SUBSTITUTE(SUBSTITUTE("P:"&amp;A1248,"~","~~"),"*","~*"),"?","~?"),Processos!$AS$10:$AS$509,0)),9,INDEX(Processos!$AM$10:$AM$509,MATCH(SUBSTITUTE(SUBSTITUTE(SUBSTITUTE("P:"&amp;A1248,"~","~~"),"*","~*"),"?","~?"),Processos!$AS$10:$AS$509,0)))-9),0)</f>
        <v>0</v>
      </c>
      <c r="K1248" s="34" t="str">
        <f t="shared" si="79"/>
        <v/>
      </c>
      <c r="L1248" s="14">
        <f>ROW()</f>
        <v>1248</v>
      </c>
    </row>
    <row r="1249" spans="1:12" ht="60" customHeight="1">
      <c r="A1249" s="41"/>
      <c r="B1249" s="43"/>
      <c r="C1249" s="44"/>
      <c r="D1249" s="51"/>
      <c r="E1249" s="44"/>
      <c r="F1249" s="44"/>
      <c r="G1249" s="34">
        <f t="shared" si="76"/>
        <v>0</v>
      </c>
      <c r="H1249" s="34" t="str">
        <f t="shared" si="77"/>
        <v/>
      </c>
      <c r="I1249" s="52" t="str">
        <f t="shared" si="78"/>
        <v/>
      </c>
      <c r="J1249" s="34">
        <f>IF(AND(A1249&lt;&gt;"",ISTEXT(A1249),COUNTIFS(Processos!$AS$10:$AS$509,"="&amp;SUBSTITUTE(SUBSTITUTE(SUBSTITUTE("P:"&amp;A1249,"~","~~"),"*","~*"),"?","~?"))=1),(IF(ISNA(MATCH(SUBSTITUTE(SUBSTITUTE(SUBSTITUTE("P:"&amp;A1249,"~","~~"),"*","~*"),"?","~?"),Processos!$AS$10:$AS$509,0)),9,INDEX(Processos!$AM$10:$AM$509,MATCH(SUBSTITUTE(SUBSTITUTE(SUBSTITUTE("P:"&amp;A1249,"~","~~"),"*","~*"),"?","~?"),Processos!$AS$10:$AS$509,0)))-9),0)</f>
        <v>0</v>
      </c>
      <c r="K1249" s="34" t="str">
        <f t="shared" si="79"/>
        <v/>
      </c>
      <c r="L1249" s="14">
        <f>ROW()</f>
        <v>1249</v>
      </c>
    </row>
    <row r="1250" spans="1:12" ht="60" customHeight="1">
      <c r="A1250" s="41"/>
      <c r="B1250" s="43"/>
      <c r="C1250" s="44"/>
      <c r="D1250" s="51"/>
      <c r="E1250" s="44"/>
      <c r="F1250" s="44"/>
      <c r="G1250" s="34">
        <f t="shared" si="76"/>
        <v>0</v>
      </c>
      <c r="H1250" s="34" t="str">
        <f t="shared" si="77"/>
        <v/>
      </c>
      <c r="I1250" s="52" t="str">
        <f t="shared" si="78"/>
        <v/>
      </c>
      <c r="J1250" s="34">
        <f>IF(AND(A1250&lt;&gt;"",ISTEXT(A1250),COUNTIFS(Processos!$AS$10:$AS$509,"="&amp;SUBSTITUTE(SUBSTITUTE(SUBSTITUTE("P:"&amp;A1250,"~","~~"),"*","~*"),"?","~?"))=1),(IF(ISNA(MATCH(SUBSTITUTE(SUBSTITUTE(SUBSTITUTE("P:"&amp;A1250,"~","~~"),"*","~*"),"?","~?"),Processos!$AS$10:$AS$509,0)),9,INDEX(Processos!$AM$10:$AM$509,MATCH(SUBSTITUTE(SUBSTITUTE(SUBSTITUTE("P:"&amp;A1250,"~","~~"),"*","~*"),"?","~?"),Processos!$AS$10:$AS$509,0)))-9),0)</f>
        <v>0</v>
      </c>
      <c r="K1250" s="34" t="str">
        <f t="shared" si="79"/>
        <v/>
      </c>
      <c r="L1250" s="14">
        <f>ROW()</f>
        <v>1250</v>
      </c>
    </row>
    <row r="1251" spans="1:12" ht="60" customHeight="1">
      <c r="A1251" s="41"/>
      <c r="B1251" s="43"/>
      <c r="C1251" s="44"/>
      <c r="D1251" s="51"/>
      <c r="E1251" s="44"/>
      <c r="F1251" s="44"/>
      <c r="G1251" s="34">
        <f t="shared" si="76"/>
        <v>0</v>
      </c>
      <c r="H1251" s="34" t="str">
        <f t="shared" si="77"/>
        <v/>
      </c>
      <c r="I1251" s="52" t="str">
        <f t="shared" si="78"/>
        <v/>
      </c>
      <c r="J1251" s="34">
        <f>IF(AND(A1251&lt;&gt;"",ISTEXT(A1251),COUNTIFS(Processos!$AS$10:$AS$509,"="&amp;SUBSTITUTE(SUBSTITUTE(SUBSTITUTE("P:"&amp;A1251,"~","~~"),"*","~*"),"?","~?"))=1),(IF(ISNA(MATCH(SUBSTITUTE(SUBSTITUTE(SUBSTITUTE("P:"&amp;A1251,"~","~~"),"*","~*"),"?","~?"),Processos!$AS$10:$AS$509,0)),9,INDEX(Processos!$AM$10:$AM$509,MATCH(SUBSTITUTE(SUBSTITUTE(SUBSTITUTE("P:"&amp;A1251,"~","~~"),"*","~*"),"?","~?"),Processos!$AS$10:$AS$509,0)))-9),0)</f>
        <v>0</v>
      </c>
      <c r="K1251" s="34" t="str">
        <f t="shared" si="79"/>
        <v/>
      </c>
      <c r="L1251" s="14">
        <f>ROW()</f>
        <v>1251</v>
      </c>
    </row>
    <row r="1252" spans="1:12" ht="60" customHeight="1">
      <c r="A1252" s="41"/>
      <c r="B1252" s="43"/>
      <c r="C1252" s="44"/>
      <c r="D1252" s="51"/>
      <c r="E1252" s="44"/>
      <c r="F1252" s="44"/>
      <c r="G1252" s="34">
        <f t="shared" si="76"/>
        <v>0</v>
      </c>
      <c r="H1252" s="34" t="str">
        <f t="shared" si="77"/>
        <v/>
      </c>
      <c r="I1252" s="52" t="str">
        <f t="shared" si="78"/>
        <v/>
      </c>
      <c r="J1252" s="34">
        <f>IF(AND(A1252&lt;&gt;"",ISTEXT(A1252),COUNTIFS(Processos!$AS$10:$AS$509,"="&amp;SUBSTITUTE(SUBSTITUTE(SUBSTITUTE("P:"&amp;A1252,"~","~~"),"*","~*"),"?","~?"))=1),(IF(ISNA(MATCH(SUBSTITUTE(SUBSTITUTE(SUBSTITUTE("P:"&amp;A1252,"~","~~"),"*","~*"),"?","~?"),Processos!$AS$10:$AS$509,0)),9,INDEX(Processos!$AM$10:$AM$509,MATCH(SUBSTITUTE(SUBSTITUTE(SUBSTITUTE("P:"&amp;A1252,"~","~~"),"*","~*"),"?","~?"),Processos!$AS$10:$AS$509,0)))-9),0)</f>
        <v>0</v>
      </c>
      <c r="K1252" s="34" t="str">
        <f t="shared" si="79"/>
        <v/>
      </c>
      <c r="L1252" s="14">
        <f>ROW()</f>
        <v>1252</v>
      </c>
    </row>
    <row r="1253" spans="1:12" ht="60" customHeight="1">
      <c r="A1253" s="41"/>
      <c r="B1253" s="43"/>
      <c r="C1253" s="44"/>
      <c r="D1253" s="51"/>
      <c r="E1253" s="44"/>
      <c r="F1253" s="44"/>
      <c r="G1253" s="34">
        <f t="shared" si="76"/>
        <v>0</v>
      </c>
      <c r="H1253" s="34" t="str">
        <f t="shared" si="77"/>
        <v/>
      </c>
      <c r="I1253" s="52" t="str">
        <f t="shared" si="78"/>
        <v/>
      </c>
      <c r="J1253" s="34">
        <f>IF(AND(A1253&lt;&gt;"",ISTEXT(A1253),COUNTIFS(Processos!$AS$10:$AS$509,"="&amp;SUBSTITUTE(SUBSTITUTE(SUBSTITUTE("P:"&amp;A1253,"~","~~"),"*","~*"),"?","~?"))=1),(IF(ISNA(MATCH(SUBSTITUTE(SUBSTITUTE(SUBSTITUTE("P:"&amp;A1253,"~","~~"),"*","~*"),"?","~?"),Processos!$AS$10:$AS$509,0)),9,INDEX(Processos!$AM$10:$AM$509,MATCH(SUBSTITUTE(SUBSTITUTE(SUBSTITUTE("P:"&amp;A1253,"~","~~"),"*","~*"),"?","~?"),Processos!$AS$10:$AS$509,0)))-9),0)</f>
        <v>0</v>
      </c>
      <c r="K1253" s="34" t="str">
        <f t="shared" si="79"/>
        <v/>
      </c>
      <c r="L1253" s="14">
        <f>ROW()</f>
        <v>1253</v>
      </c>
    </row>
    <row r="1254" spans="1:12" ht="60" customHeight="1">
      <c r="A1254" s="41"/>
      <c r="B1254" s="43"/>
      <c r="C1254" s="44"/>
      <c r="D1254" s="51"/>
      <c r="E1254" s="44"/>
      <c r="F1254" s="44"/>
      <c r="G1254" s="34">
        <f t="shared" si="76"/>
        <v>0</v>
      </c>
      <c r="H1254" s="34" t="str">
        <f t="shared" si="77"/>
        <v/>
      </c>
      <c r="I1254" s="52" t="str">
        <f t="shared" si="78"/>
        <v/>
      </c>
      <c r="J1254" s="34">
        <f>IF(AND(A1254&lt;&gt;"",ISTEXT(A1254),COUNTIFS(Processos!$AS$10:$AS$509,"="&amp;SUBSTITUTE(SUBSTITUTE(SUBSTITUTE("P:"&amp;A1254,"~","~~"),"*","~*"),"?","~?"))=1),(IF(ISNA(MATCH(SUBSTITUTE(SUBSTITUTE(SUBSTITUTE("P:"&amp;A1254,"~","~~"),"*","~*"),"?","~?"),Processos!$AS$10:$AS$509,0)),9,INDEX(Processos!$AM$10:$AM$509,MATCH(SUBSTITUTE(SUBSTITUTE(SUBSTITUTE("P:"&amp;A1254,"~","~~"),"*","~*"),"?","~?"),Processos!$AS$10:$AS$509,0)))-9),0)</f>
        <v>0</v>
      </c>
      <c r="K1254" s="34" t="str">
        <f t="shared" si="79"/>
        <v/>
      </c>
      <c r="L1254" s="14">
        <f>ROW()</f>
        <v>1254</v>
      </c>
    </row>
    <row r="1255" spans="1:12" ht="60" customHeight="1">
      <c r="A1255" s="41"/>
      <c r="B1255" s="43"/>
      <c r="C1255" s="44"/>
      <c r="D1255" s="51"/>
      <c r="E1255" s="44"/>
      <c r="F1255" s="44"/>
      <c r="G1255" s="34">
        <f t="shared" si="76"/>
        <v>0</v>
      </c>
      <c r="H1255" s="34" t="str">
        <f t="shared" si="77"/>
        <v/>
      </c>
      <c r="I1255" s="52" t="str">
        <f t="shared" si="78"/>
        <v/>
      </c>
      <c r="J1255" s="34">
        <f>IF(AND(A1255&lt;&gt;"",ISTEXT(A1255),COUNTIFS(Processos!$AS$10:$AS$509,"="&amp;SUBSTITUTE(SUBSTITUTE(SUBSTITUTE("P:"&amp;A1255,"~","~~"),"*","~*"),"?","~?"))=1),(IF(ISNA(MATCH(SUBSTITUTE(SUBSTITUTE(SUBSTITUTE("P:"&amp;A1255,"~","~~"),"*","~*"),"?","~?"),Processos!$AS$10:$AS$509,0)),9,INDEX(Processos!$AM$10:$AM$509,MATCH(SUBSTITUTE(SUBSTITUTE(SUBSTITUTE("P:"&amp;A1255,"~","~~"),"*","~*"),"?","~?"),Processos!$AS$10:$AS$509,0)))-9),0)</f>
        <v>0</v>
      </c>
      <c r="K1255" s="34" t="str">
        <f t="shared" si="79"/>
        <v/>
      </c>
      <c r="L1255" s="14">
        <f>ROW()</f>
        <v>1255</v>
      </c>
    </row>
    <row r="1256" spans="1:12" ht="60" customHeight="1">
      <c r="A1256" s="41"/>
      <c r="B1256" s="43"/>
      <c r="C1256" s="44"/>
      <c r="D1256" s="51"/>
      <c r="E1256" s="44"/>
      <c r="F1256" s="44"/>
      <c r="G1256" s="34">
        <f t="shared" si="76"/>
        <v>0</v>
      </c>
      <c r="H1256" s="34" t="str">
        <f t="shared" si="77"/>
        <v/>
      </c>
      <c r="I1256" s="52" t="str">
        <f t="shared" si="78"/>
        <v/>
      </c>
      <c r="J1256" s="34">
        <f>IF(AND(A1256&lt;&gt;"",ISTEXT(A1256),COUNTIFS(Processos!$AS$10:$AS$509,"="&amp;SUBSTITUTE(SUBSTITUTE(SUBSTITUTE("P:"&amp;A1256,"~","~~"),"*","~*"),"?","~?"))=1),(IF(ISNA(MATCH(SUBSTITUTE(SUBSTITUTE(SUBSTITUTE("P:"&amp;A1256,"~","~~"),"*","~*"),"?","~?"),Processos!$AS$10:$AS$509,0)),9,INDEX(Processos!$AM$10:$AM$509,MATCH(SUBSTITUTE(SUBSTITUTE(SUBSTITUTE("P:"&amp;A1256,"~","~~"),"*","~*"),"?","~?"),Processos!$AS$10:$AS$509,0)))-9),0)</f>
        <v>0</v>
      </c>
      <c r="K1256" s="34" t="str">
        <f t="shared" si="79"/>
        <v/>
      </c>
      <c r="L1256" s="14">
        <f>ROW()</f>
        <v>1256</v>
      </c>
    </row>
    <row r="1257" spans="1:12" ht="60" customHeight="1">
      <c r="A1257" s="41"/>
      <c r="B1257" s="43"/>
      <c r="C1257" s="44"/>
      <c r="D1257" s="51"/>
      <c r="E1257" s="44"/>
      <c r="F1257" s="44"/>
      <c r="G1257" s="34">
        <f t="shared" si="76"/>
        <v>0</v>
      </c>
      <c r="H1257" s="34" t="str">
        <f t="shared" si="77"/>
        <v/>
      </c>
      <c r="I1257" s="52" t="str">
        <f t="shared" si="78"/>
        <v/>
      </c>
      <c r="J1257" s="34">
        <f>IF(AND(A1257&lt;&gt;"",ISTEXT(A1257),COUNTIFS(Processos!$AS$10:$AS$509,"="&amp;SUBSTITUTE(SUBSTITUTE(SUBSTITUTE("P:"&amp;A1257,"~","~~"),"*","~*"),"?","~?"))=1),(IF(ISNA(MATCH(SUBSTITUTE(SUBSTITUTE(SUBSTITUTE("P:"&amp;A1257,"~","~~"),"*","~*"),"?","~?"),Processos!$AS$10:$AS$509,0)),9,INDEX(Processos!$AM$10:$AM$509,MATCH(SUBSTITUTE(SUBSTITUTE(SUBSTITUTE("P:"&amp;A1257,"~","~~"),"*","~*"),"?","~?"),Processos!$AS$10:$AS$509,0)))-9),0)</f>
        <v>0</v>
      </c>
      <c r="K1257" s="34" t="str">
        <f t="shared" si="79"/>
        <v/>
      </c>
      <c r="L1257" s="14">
        <f>ROW()</f>
        <v>1257</v>
      </c>
    </row>
    <row r="1258" spans="1:12" ht="60" customHeight="1">
      <c r="A1258" s="41"/>
      <c r="B1258" s="43"/>
      <c r="C1258" s="44"/>
      <c r="D1258" s="51"/>
      <c r="E1258" s="44"/>
      <c r="F1258" s="44"/>
      <c r="G1258" s="34">
        <f t="shared" si="76"/>
        <v>0</v>
      </c>
      <c r="H1258" s="34" t="str">
        <f t="shared" si="77"/>
        <v/>
      </c>
      <c r="I1258" s="52" t="str">
        <f t="shared" si="78"/>
        <v/>
      </c>
      <c r="J1258" s="34">
        <f>IF(AND(A1258&lt;&gt;"",ISTEXT(A1258),COUNTIFS(Processos!$AS$10:$AS$509,"="&amp;SUBSTITUTE(SUBSTITUTE(SUBSTITUTE("P:"&amp;A1258,"~","~~"),"*","~*"),"?","~?"))=1),(IF(ISNA(MATCH(SUBSTITUTE(SUBSTITUTE(SUBSTITUTE("P:"&amp;A1258,"~","~~"),"*","~*"),"?","~?"),Processos!$AS$10:$AS$509,0)),9,INDEX(Processos!$AM$10:$AM$509,MATCH(SUBSTITUTE(SUBSTITUTE(SUBSTITUTE("P:"&amp;A1258,"~","~~"),"*","~*"),"?","~?"),Processos!$AS$10:$AS$509,0)))-9),0)</f>
        <v>0</v>
      </c>
      <c r="K1258" s="34" t="str">
        <f t="shared" si="79"/>
        <v/>
      </c>
      <c r="L1258" s="14">
        <f>ROW()</f>
        <v>1258</v>
      </c>
    </row>
    <row r="1259" spans="1:12" ht="60" customHeight="1">
      <c r="A1259" s="41"/>
      <c r="B1259" s="43"/>
      <c r="C1259" s="44"/>
      <c r="D1259" s="51"/>
      <c r="E1259" s="44"/>
      <c r="F1259" s="44"/>
      <c r="G1259" s="34">
        <f t="shared" si="76"/>
        <v>0</v>
      </c>
      <c r="H1259" s="34" t="str">
        <f t="shared" si="77"/>
        <v/>
      </c>
      <c r="I1259" s="52" t="str">
        <f t="shared" si="78"/>
        <v/>
      </c>
      <c r="J1259" s="34">
        <f>IF(AND(A1259&lt;&gt;"",ISTEXT(A1259),COUNTIFS(Processos!$AS$10:$AS$509,"="&amp;SUBSTITUTE(SUBSTITUTE(SUBSTITUTE("P:"&amp;A1259,"~","~~"),"*","~*"),"?","~?"))=1),(IF(ISNA(MATCH(SUBSTITUTE(SUBSTITUTE(SUBSTITUTE("P:"&amp;A1259,"~","~~"),"*","~*"),"?","~?"),Processos!$AS$10:$AS$509,0)),9,INDEX(Processos!$AM$10:$AM$509,MATCH(SUBSTITUTE(SUBSTITUTE(SUBSTITUTE("P:"&amp;A1259,"~","~~"),"*","~*"),"?","~?"),Processos!$AS$10:$AS$509,0)))-9),0)</f>
        <v>0</v>
      </c>
      <c r="K1259" s="34" t="str">
        <f t="shared" si="79"/>
        <v/>
      </c>
      <c r="L1259" s="14">
        <f>ROW()</f>
        <v>1259</v>
      </c>
    </row>
    <row r="1260" spans="1:12" ht="60" customHeight="1">
      <c r="A1260" s="41"/>
      <c r="B1260" s="43"/>
      <c r="C1260" s="44"/>
      <c r="D1260" s="51"/>
      <c r="E1260" s="44"/>
      <c r="F1260" s="44"/>
      <c r="G1260" s="34">
        <f t="shared" si="76"/>
        <v>0</v>
      </c>
      <c r="H1260" s="34" t="str">
        <f t="shared" si="77"/>
        <v/>
      </c>
      <c r="I1260" s="52" t="str">
        <f t="shared" si="78"/>
        <v/>
      </c>
      <c r="J1260" s="34">
        <f>IF(AND(A1260&lt;&gt;"",ISTEXT(A1260),COUNTIFS(Processos!$AS$10:$AS$509,"="&amp;SUBSTITUTE(SUBSTITUTE(SUBSTITUTE("P:"&amp;A1260,"~","~~"),"*","~*"),"?","~?"))=1),(IF(ISNA(MATCH(SUBSTITUTE(SUBSTITUTE(SUBSTITUTE("P:"&amp;A1260,"~","~~"),"*","~*"),"?","~?"),Processos!$AS$10:$AS$509,0)),9,INDEX(Processos!$AM$10:$AM$509,MATCH(SUBSTITUTE(SUBSTITUTE(SUBSTITUTE("P:"&amp;A1260,"~","~~"),"*","~*"),"?","~?"),Processos!$AS$10:$AS$509,0)))-9),0)</f>
        <v>0</v>
      </c>
      <c r="K1260" s="34" t="str">
        <f t="shared" si="79"/>
        <v/>
      </c>
      <c r="L1260" s="14">
        <f>ROW()</f>
        <v>1260</v>
      </c>
    </row>
    <row r="1261" spans="1:12" ht="60" customHeight="1">
      <c r="A1261" s="41"/>
      <c r="B1261" s="43"/>
      <c r="C1261" s="44"/>
      <c r="D1261" s="51"/>
      <c r="E1261" s="44"/>
      <c r="F1261" s="44"/>
      <c r="G1261" s="34">
        <f t="shared" si="76"/>
        <v>0</v>
      </c>
      <c r="H1261" s="34" t="str">
        <f t="shared" si="77"/>
        <v/>
      </c>
      <c r="I1261" s="52" t="str">
        <f t="shared" si="78"/>
        <v/>
      </c>
      <c r="J1261" s="34">
        <f>IF(AND(A1261&lt;&gt;"",ISTEXT(A1261),COUNTIFS(Processos!$AS$10:$AS$509,"="&amp;SUBSTITUTE(SUBSTITUTE(SUBSTITUTE("P:"&amp;A1261,"~","~~"),"*","~*"),"?","~?"))=1),(IF(ISNA(MATCH(SUBSTITUTE(SUBSTITUTE(SUBSTITUTE("P:"&amp;A1261,"~","~~"),"*","~*"),"?","~?"),Processos!$AS$10:$AS$509,0)),9,INDEX(Processos!$AM$10:$AM$509,MATCH(SUBSTITUTE(SUBSTITUTE(SUBSTITUTE("P:"&amp;A1261,"~","~~"),"*","~*"),"?","~?"),Processos!$AS$10:$AS$509,0)))-9),0)</f>
        <v>0</v>
      </c>
      <c r="K1261" s="34" t="str">
        <f t="shared" si="79"/>
        <v/>
      </c>
      <c r="L1261" s="14">
        <f>ROW()</f>
        <v>1261</v>
      </c>
    </row>
    <row r="1262" spans="1:12" ht="60" customHeight="1">
      <c r="A1262" s="41"/>
      <c r="B1262" s="43"/>
      <c r="C1262" s="44"/>
      <c r="D1262" s="51"/>
      <c r="E1262" s="44"/>
      <c r="F1262" s="44"/>
      <c r="G1262" s="34">
        <f t="shared" si="76"/>
        <v>0</v>
      </c>
      <c r="H1262" s="34" t="str">
        <f t="shared" si="77"/>
        <v/>
      </c>
      <c r="I1262" s="52" t="str">
        <f t="shared" si="78"/>
        <v/>
      </c>
      <c r="J1262" s="34">
        <f>IF(AND(A1262&lt;&gt;"",ISTEXT(A1262),COUNTIFS(Processos!$AS$10:$AS$509,"="&amp;SUBSTITUTE(SUBSTITUTE(SUBSTITUTE("P:"&amp;A1262,"~","~~"),"*","~*"),"?","~?"))=1),(IF(ISNA(MATCH(SUBSTITUTE(SUBSTITUTE(SUBSTITUTE("P:"&amp;A1262,"~","~~"),"*","~*"),"?","~?"),Processos!$AS$10:$AS$509,0)),9,INDEX(Processos!$AM$10:$AM$509,MATCH(SUBSTITUTE(SUBSTITUTE(SUBSTITUTE("P:"&amp;A1262,"~","~~"),"*","~*"),"?","~?"),Processos!$AS$10:$AS$509,0)))-9),0)</f>
        <v>0</v>
      </c>
      <c r="K1262" s="34" t="str">
        <f t="shared" si="79"/>
        <v/>
      </c>
      <c r="L1262" s="14">
        <f>ROW()</f>
        <v>1262</v>
      </c>
    </row>
    <row r="1263" spans="1:12" ht="60" customHeight="1">
      <c r="A1263" s="41"/>
      <c r="B1263" s="43"/>
      <c r="C1263" s="44"/>
      <c r="D1263" s="51"/>
      <c r="E1263" s="44"/>
      <c r="F1263" s="44"/>
      <c r="G1263" s="34">
        <f t="shared" si="76"/>
        <v>0</v>
      </c>
      <c r="H1263" s="34" t="str">
        <f t="shared" si="77"/>
        <v/>
      </c>
      <c r="I1263" s="52" t="str">
        <f t="shared" si="78"/>
        <v/>
      </c>
      <c r="J1263" s="34">
        <f>IF(AND(A1263&lt;&gt;"",ISTEXT(A1263),COUNTIFS(Processos!$AS$10:$AS$509,"="&amp;SUBSTITUTE(SUBSTITUTE(SUBSTITUTE("P:"&amp;A1263,"~","~~"),"*","~*"),"?","~?"))=1),(IF(ISNA(MATCH(SUBSTITUTE(SUBSTITUTE(SUBSTITUTE("P:"&amp;A1263,"~","~~"),"*","~*"),"?","~?"),Processos!$AS$10:$AS$509,0)),9,INDEX(Processos!$AM$10:$AM$509,MATCH(SUBSTITUTE(SUBSTITUTE(SUBSTITUTE("P:"&amp;A1263,"~","~~"),"*","~*"),"?","~?"),Processos!$AS$10:$AS$509,0)))-9),0)</f>
        <v>0</v>
      </c>
      <c r="K1263" s="34" t="str">
        <f t="shared" si="79"/>
        <v/>
      </c>
      <c r="L1263" s="14">
        <f>ROW()</f>
        <v>1263</v>
      </c>
    </row>
    <row r="1264" spans="1:12" ht="60" customHeight="1">
      <c r="A1264" s="41"/>
      <c r="B1264" s="43"/>
      <c r="C1264" s="44"/>
      <c r="D1264" s="51"/>
      <c r="E1264" s="44"/>
      <c r="F1264" s="44"/>
      <c r="G1264" s="34">
        <f t="shared" si="76"/>
        <v>0</v>
      </c>
      <c r="H1264" s="34" t="str">
        <f t="shared" si="77"/>
        <v/>
      </c>
      <c r="I1264" s="52" t="str">
        <f t="shared" si="78"/>
        <v/>
      </c>
      <c r="J1264" s="34">
        <f>IF(AND(A1264&lt;&gt;"",ISTEXT(A1264),COUNTIFS(Processos!$AS$10:$AS$509,"="&amp;SUBSTITUTE(SUBSTITUTE(SUBSTITUTE("P:"&amp;A1264,"~","~~"),"*","~*"),"?","~?"))=1),(IF(ISNA(MATCH(SUBSTITUTE(SUBSTITUTE(SUBSTITUTE("P:"&amp;A1264,"~","~~"),"*","~*"),"?","~?"),Processos!$AS$10:$AS$509,0)),9,INDEX(Processos!$AM$10:$AM$509,MATCH(SUBSTITUTE(SUBSTITUTE(SUBSTITUTE("P:"&amp;A1264,"~","~~"),"*","~*"),"?","~?"),Processos!$AS$10:$AS$509,0)))-9),0)</f>
        <v>0</v>
      </c>
      <c r="K1264" s="34" t="str">
        <f t="shared" si="79"/>
        <v/>
      </c>
      <c r="L1264" s="14">
        <f>ROW()</f>
        <v>1264</v>
      </c>
    </row>
    <row r="1265" spans="1:12" ht="60" customHeight="1">
      <c r="A1265" s="41"/>
      <c r="B1265" s="43"/>
      <c r="C1265" s="44"/>
      <c r="D1265" s="51"/>
      <c r="E1265" s="44"/>
      <c r="F1265" s="44"/>
      <c r="G1265" s="34">
        <f t="shared" si="76"/>
        <v>0</v>
      </c>
      <c r="H1265" s="34" t="str">
        <f t="shared" si="77"/>
        <v/>
      </c>
      <c r="I1265" s="52" t="str">
        <f t="shared" si="78"/>
        <v/>
      </c>
      <c r="J1265" s="34">
        <f>IF(AND(A1265&lt;&gt;"",ISTEXT(A1265),COUNTIFS(Processos!$AS$10:$AS$509,"="&amp;SUBSTITUTE(SUBSTITUTE(SUBSTITUTE("P:"&amp;A1265,"~","~~"),"*","~*"),"?","~?"))=1),(IF(ISNA(MATCH(SUBSTITUTE(SUBSTITUTE(SUBSTITUTE("P:"&amp;A1265,"~","~~"),"*","~*"),"?","~?"),Processos!$AS$10:$AS$509,0)),9,INDEX(Processos!$AM$10:$AM$509,MATCH(SUBSTITUTE(SUBSTITUTE(SUBSTITUTE("P:"&amp;A1265,"~","~~"),"*","~*"),"?","~?"),Processos!$AS$10:$AS$509,0)))-9),0)</f>
        <v>0</v>
      </c>
      <c r="K1265" s="34" t="str">
        <f t="shared" si="79"/>
        <v/>
      </c>
      <c r="L1265" s="14">
        <f>ROW()</f>
        <v>1265</v>
      </c>
    </row>
    <row r="1266" spans="1:12" ht="60" customHeight="1">
      <c r="A1266" s="41"/>
      <c r="B1266" s="43"/>
      <c r="C1266" s="44"/>
      <c r="D1266" s="51"/>
      <c r="E1266" s="44"/>
      <c r="F1266" s="44"/>
      <c r="G1266" s="34">
        <f t="shared" si="76"/>
        <v>0</v>
      </c>
      <c r="H1266" s="34" t="str">
        <f t="shared" si="77"/>
        <v/>
      </c>
      <c r="I1266" s="52" t="str">
        <f t="shared" si="78"/>
        <v/>
      </c>
      <c r="J1266" s="34">
        <f>IF(AND(A1266&lt;&gt;"",ISTEXT(A1266),COUNTIFS(Processos!$AS$10:$AS$509,"="&amp;SUBSTITUTE(SUBSTITUTE(SUBSTITUTE("P:"&amp;A1266,"~","~~"),"*","~*"),"?","~?"))=1),(IF(ISNA(MATCH(SUBSTITUTE(SUBSTITUTE(SUBSTITUTE("P:"&amp;A1266,"~","~~"),"*","~*"),"?","~?"),Processos!$AS$10:$AS$509,0)),9,INDEX(Processos!$AM$10:$AM$509,MATCH(SUBSTITUTE(SUBSTITUTE(SUBSTITUTE("P:"&amp;A1266,"~","~~"),"*","~*"),"?","~?"),Processos!$AS$10:$AS$509,0)))-9),0)</f>
        <v>0</v>
      </c>
      <c r="K1266" s="34" t="str">
        <f t="shared" si="79"/>
        <v/>
      </c>
      <c r="L1266" s="14">
        <f>ROW()</f>
        <v>1266</v>
      </c>
    </row>
    <row r="1267" spans="1:12" ht="60" customHeight="1">
      <c r="A1267" s="41"/>
      <c r="B1267" s="43"/>
      <c r="C1267" s="44"/>
      <c r="D1267" s="51"/>
      <c r="E1267" s="44"/>
      <c r="F1267" s="44"/>
      <c r="G1267" s="34">
        <f t="shared" si="76"/>
        <v>0</v>
      </c>
      <c r="H1267" s="34" t="str">
        <f t="shared" si="77"/>
        <v/>
      </c>
      <c r="I1267" s="52" t="str">
        <f t="shared" si="78"/>
        <v/>
      </c>
      <c r="J1267" s="34">
        <f>IF(AND(A1267&lt;&gt;"",ISTEXT(A1267),COUNTIFS(Processos!$AS$10:$AS$509,"="&amp;SUBSTITUTE(SUBSTITUTE(SUBSTITUTE("P:"&amp;A1267,"~","~~"),"*","~*"),"?","~?"))=1),(IF(ISNA(MATCH(SUBSTITUTE(SUBSTITUTE(SUBSTITUTE("P:"&amp;A1267,"~","~~"),"*","~*"),"?","~?"),Processos!$AS$10:$AS$509,0)),9,INDEX(Processos!$AM$10:$AM$509,MATCH(SUBSTITUTE(SUBSTITUTE(SUBSTITUTE("P:"&amp;A1267,"~","~~"),"*","~*"),"?","~?"),Processos!$AS$10:$AS$509,0)))-9),0)</f>
        <v>0</v>
      </c>
      <c r="K1267" s="34" t="str">
        <f t="shared" si="79"/>
        <v/>
      </c>
      <c r="L1267" s="14">
        <f>ROW()</f>
        <v>1267</v>
      </c>
    </row>
    <row r="1268" spans="1:12" ht="60" customHeight="1">
      <c r="A1268" s="41"/>
      <c r="B1268" s="43"/>
      <c r="C1268" s="44"/>
      <c r="D1268" s="51"/>
      <c r="E1268" s="44"/>
      <c r="F1268" s="44"/>
      <c r="G1268" s="34">
        <f t="shared" si="76"/>
        <v>0</v>
      </c>
      <c r="H1268" s="34" t="str">
        <f t="shared" si="77"/>
        <v/>
      </c>
      <c r="I1268" s="52" t="str">
        <f t="shared" si="78"/>
        <v/>
      </c>
      <c r="J1268" s="34">
        <f>IF(AND(A1268&lt;&gt;"",ISTEXT(A1268),COUNTIFS(Processos!$AS$10:$AS$509,"="&amp;SUBSTITUTE(SUBSTITUTE(SUBSTITUTE("P:"&amp;A1268,"~","~~"),"*","~*"),"?","~?"))=1),(IF(ISNA(MATCH(SUBSTITUTE(SUBSTITUTE(SUBSTITUTE("P:"&amp;A1268,"~","~~"),"*","~*"),"?","~?"),Processos!$AS$10:$AS$509,0)),9,INDEX(Processos!$AM$10:$AM$509,MATCH(SUBSTITUTE(SUBSTITUTE(SUBSTITUTE("P:"&amp;A1268,"~","~~"),"*","~*"),"?","~?"),Processos!$AS$10:$AS$509,0)))-9),0)</f>
        <v>0</v>
      </c>
      <c r="K1268" s="34" t="str">
        <f t="shared" si="79"/>
        <v/>
      </c>
      <c r="L1268" s="14">
        <f>ROW()</f>
        <v>1268</v>
      </c>
    </row>
    <row r="1269" spans="1:12" ht="60" customHeight="1">
      <c r="A1269" s="41"/>
      <c r="B1269" s="43"/>
      <c r="C1269" s="44"/>
      <c r="D1269" s="51"/>
      <c r="E1269" s="44"/>
      <c r="F1269" s="44"/>
      <c r="G1269" s="34">
        <f t="shared" si="76"/>
        <v>0</v>
      </c>
      <c r="H1269" s="34" t="str">
        <f t="shared" si="77"/>
        <v/>
      </c>
      <c r="I1269" s="52" t="str">
        <f t="shared" si="78"/>
        <v/>
      </c>
      <c r="J1269" s="34">
        <f>IF(AND(A1269&lt;&gt;"",ISTEXT(A1269),COUNTIFS(Processos!$AS$10:$AS$509,"="&amp;SUBSTITUTE(SUBSTITUTE(SUBSTITUTE("P:"&amp;A1269,"~","~~"),"*","~*"),"?","~?"))=1),(IF(ISNA(MATCH(SUBSTITUTE(SUBSTITUTE(SUBSTITUTE("P:"&amp;A1269,"~","~~"),"*","~*"),"?","~?"),Processos!$AS$10:$AS$509,0)),9,INDEX(Processos!$AM$10:$AM$509,MATCH(SUBSTITUTE(SUBSTITUTE(SUBSTITUTE("P:"&amp;A1269,"~","~~"),"*","~*"),"?","~?"),Processos!$AS$10:$AS$509,0)))-9),0)</f>
        <v>0</v>
      </c>
      <c r="K1269" s="34" t="str">
        <f t="shared" si="79"/>
        <v/>
      </c>
      <c r="L1269" s="14">
        <f>ROW()</f>
        <v>1269</v>
      </c>
    </row>
    <row r="1270" spans="1:12" ht="60" customHeight="1">
      <c r="A1270" s="41"/>
      <c r="B1270" s="43"/>
      <c r="C1270" s="44"/>
      <c r="D1270" s="51"/>
      <c r="E1270" s="44"/>
      <c r="F1270" s="44"/>
      <c r="G1270" s="34">
        <f t="shared" si="76"/>
        <v>0</v>
      </c>
      <c r="H1270" s="34" t="str">
        <f t="shared" si="77"/>
        <v/>
      </c>
      <c r="I1270" s="52" t="str">
        <f t="shared" si="78"/>
        <v/>
      </c>
      <c r="J1270" s="34">
        <f>IF(AND(A1270&lt;&gt;"",ISTEXT(A1270),COUNTIFS(Processos!$AS$10:$AS$509,"="&amp;SUBSTITUTE(SUBSTITUTE(SUBSTITUTE("P:"&amp;A1270,"~","~~"),"*","~*"),"?","~?"))=1),(IF(ISNA(MATCH(SUBSTITUTE(SUBSTITUTE(SUBSTITUTE("P:"&amp;A1270,"~","~~"),"*","~*"),"?","~?"),Processos!$AS$10:$AS$509,0)),9,INDEX(Processos!$AM$10:$AM$509,MATCH(SUBSTITUTE(SUBSTITUTE(SUBSTITUTE("P:"&amp;A1270,"~","~~"),"*","~*"),"?","~?"),Processos!$AS$10:$AS$509,0)))-9),0)</f>
        <v>0</v>
      </c>
      <c r="K1270" s="34" t="str">
        <f t="shared" si="79"/>
        <v/>
      </c>
      <c r="L1270" s="14">
        <f>ROW()</f>
        <v>1270</v>
      </c>
    </row>
    <row r="1271" spans="1:12" ht="60" customHeight="1">
      <c r="A1271" s="41"/>
      <c r="B1271" s="43"/>
      <c r="C1271" s="44"/>
      <c r="D1271" s="51"/>
      <c r="E1271" s="44"/>
      <c r="F1271" s="44"/>
      <c r="G1271" s="34">
        <f t="shared" si="76"/>
        <v>0</v>
      </c>
      <c r="H1271" s="34" t="str">
        <f t="shared" si="77"/>
        <v/>
      </c>
      <c r="I1271" s="52" t="str">
        <f t="shared" si="78"/>
        <v/>
      </c>
      <c r="J1271" s="34">
        <f>IF(AND(A1271&lt;&gt;"",ISTEXT(A1271),COUNTIFS(Processos!$AS$10:$AS$509,"="&amp;SUBSTITUTE(SUBSTITUTE(SUBSTITUTE("P:"&amp;A1271,"~","~~"),"*","~*"),"?","~?"))=1),(IF(ISNA(MATCH(SUBSTITUTE(SUBSTITUTE(SUBSTITUTE("P:"&amp;A1271,"~","~~"),"*","~*"),"?","~?"),Processos!$AS$10:$AS$509,0)),9,INDEX(Processos!$AM$10:$AM$509,MATCH(SUBSTITUTE(SUBSTITUTE(SUBSTITUTE("P:"&amp;A1271,"~","~~"),"*","~*"),"?","~?"),Processos!$AS$10:$AS$509,0)))-9),0)</f>
        <v>0</v>
      </c>
      <c r="K1271" s="34" t="str">
        <f t="shared" si="79"/>
        <v/>
      </c>
      <c r="L1271" s="14">
        <f>ROW()</f>
        <v>1271</v>
      </c>
    </row>
    <row r="1272" spans="1:12" ht="60" customHeight="1">
      <c r="A1272" s="41"/>
      <c r="B1272" s="43"/>
      <c r="C1272" s="44"/>
      <c r="D1272" s="51"/>
      <c r="E1272" s="44"/>
      <c r="F1272" s="44"/>
      <c r="G1272" s="34">
        <f t="shared" si="76"/>
        <v>0</v>
      </c>
      <c r="H1272" s="34" t="str">
        <f t="shared" si="77"/>
        <v/>
      </c>
      <c r="I1272" s="52" t="str">
        <f t="shared" si="78"/>
        <v/>
      </c>
      <c r="J1272" s="34">
        <f>IF(AND(A1272&lt;&gt;"",ISTEXT(A1272),COUNTIFS(Processos!$AS$10:$AS$509,"="&amp;SUBSTITUTE(SUBSTITUTE(SUBSTITUTE("P:"&amp;A1272,"~","~~"),"*","~*"),"?","~?"))=1),(IF(ISNA(MATCH(SUBSTITUTE(SUBSTITUTE(SUBSTITUTE("P:"&amp;A1272,"~","~~"),"*","~*"),"?","~?"),Processos!$AS$10:$AS$509,0)),9,INDEX(Processos!$AM$10:$AM$509,MATCH(SUBSTITUTE(SUBSTITUTE(SUBSTITUTE("P:"&amp;A1272,"~","~~"),"*","~*"),"?","~?"),Processos!$AS$10:$AS$509,0)))-9),0)</f>
        <v>0</v>
      </c>
      <c r="K1272" s="34" t="str">
        <f t="shared" si="79"/>
        <v/>
      </c>
      <c r="L1272" s="14">
        <f>ROW()</f>
        <v>1272</v>
      </c>
    </row>
    <row r="1273" spans="1:12" ht="60" customHeight="1">
      <c r="A1273" s="41"/>
      <c r="B1273" s="43"/>
      <c r="C1273" s="44"/>
      <c r="D1273" s="51"/>
      <c r="E1273" s="44"/>
      <c r="F1273" s="44"/>
      <c r="G1273" s="34">
        <f t="shared" si="76"/>
        <v>0</v>
      </c>
      <c r="H1273" s="34" t="str">
        <f t="shared" si="77"/>
        <v/>
      </c>
      <c r="I1273" s="52" t="str">
        <f t="shared" si="78"/>
        <v/>
      </c>
      <c r="J1273" s="34">
        <f>IF(AND(A1273&lt;&gt;"",ISTEXT(A1273),COUNTIFS(Processos!$AS$10:$AS$509,"="&amp;SUBSTITUTE(SUBSTITUTE(SUBSTITUTE("P:"&amp;A1273,"~","~~"),"*","~*"),"?","~?"))=1),(IF(ISNA(MATCH(SUBSTITUTE(SUBSTITUTE(SUBSTITUTE("P:"&amp;A1273,"~","~~"),"*","~*"),"?","~?"),Processos!$AS$10:$AS$509,0)),9,INDEX(Processos!$AM$10:$AM$509,MATCH(SUBSTITUTE(SUBSTITUTE(SUBSTITUTE("P:"&amp;A1273,"~","~~"),"*","~*"),"?","~?"),Processos!$AS$10:$AS$509,0)))-9),0)</f>
        <v>0</v>
      </c>
      <c r="K1273" s="34" t="str">
        <f t="shared" si="79"/>
        <v/>
      </c>
      <c r="L1273" s="14">
        <f>ROW()</f>
        <v>1273</v>
      </c>
    </row>
    <row r="1274" spans="1:12" ht="60" customHeight="1">
      <c r="A1274" s="41"/>
      <c r="B1274" s="43"/>
      <c r="C1274" s="44"/>
      <c r="D1274" s="51"/>
      <c r="E1274" s="44"/>
      <c r="F1274" s="44"/>
      <c r="G1274" s="34">
        <f t="shared" si="76"/>
        <v>0</v>
      </c>
      <c r="H1274" s="34" t="str">
        <f t="shared" si="77"/>
        <v/>
      </c>
      <c r="I1274" s="52" t="str">
        <f t="shared" si="78"/>
        <v/>
      </c>
      <c r="J1274" s="34">
        <f>IF(AND(A1274&lt;&gt;"",ISTEXT(A1274),COUNTIFS(Processos!$AS$10:$AS$509,"="&amp;SUBSTITUTE(SUBSTITUTE(SUBSTITUTE("P:"&amp;A1274,"~","~~"),"*","~*"),"?","~?"))=1),(IF(ISNA(MATCH(SUBSTITUTE(SUBSTITUTE(SUBSTITUTE("P:"&amp;A1274,"~","~~"),"*","~*"),"?","~?"),Processos!$AS$10:$AS$509,0)),9,INDEX(Processos!$AM$10:$AM$509,MATCH(SUBSTITUTE(SUBSTITUTE(SUBSTITUTE("P:"&amp;A1274,"~","~~"),"*","~*"),"?","~?"),Processos!$AS$10:$AS$509,0)))-9),0)</f>
        <v>0</v>
      </c>
      <c r="K1274" s="34" t="str">
        <f t="shared" si="79"/>
        <v/>
      </c>
      <c r="L1274" s="14">
        <f>ROW()</f>
        <v>1274</v>
      </c>
    </row>
    <row r="1275" spans="1:12" ht="60" customHeight="1">
      <c r="A1275" s="41"/>
      <c r="B1275" s="43"/>
      <c r="C1275" s="44"/>
      <c r="D1275" s="51"/>
      <c r="E1275" s="44"/>
      <c r="F1275" s="44"/>
      <c r="G1275" s="34">
        <f t="shared" si="76"/>
        <v>0</v>
      </c>
      <c r="H1275" s="34" t="str">
        <f t="shared" si="77"/>
        <v/>
      </c>
      <c r="I1275" s="52" t="str">
        <f t="shared" si="78"/>
        <v/>
      </c>
      <c r="J1275" s="34">
        <f>IF(AND(A1275&lt;&gt;"",ISTEXT(A1275),COUNTIFS(Processos!$AS$10:$AS$509,"="&amp;SUBSTITUTE(SUBSTITUTE(SUBSTITUTE("P:"&amp;A1275,"~","~~"),"*","~*"),"?","~?"))=1),(IF(ISNA(MATCH(SUBSTITUTE(SUBSTITUTE(SUBSTITUTE("P:"&amp;A1275,"~","~~"),"*","~*"),"?","~?"),Processos!$AS$10:$AS$509,0)),9,INDEX(Processos!$AM$10:$AM$509,MATCH(SUBSTITUTE(SUBSTITUTE(SUBSTITUTE("P:"&amp;A1275,"~","~~"),"*","~*"),"?","~?"),Processos!$AS$10:$AS$509,0)))-9),0)</f>
        <v>0</v>
      </c>
      <c r="K1275" s="34" t="str">
        <f t="shared" si="79"/>
        <v/>
      </c>
      <c r="L1275" s="14">
        <f>ROW()</f>
        <v>1275</v>
      </c>
    </row>
    <row r="1276" spans="1:12" ht="60" customHeight="1">
      <c r="A1276" s="41"/>
      <c r="B1276" s="43"/>
      <c r="C1276" s="44"/>
      <c r="D1276" s="51"/>
      <c r="E1276" s="44"/>
      <c r="F1276" s="44"/>
      <c r="G1276" s="34">
        <f t="shared" si="76"/>
        <v>0</v>
      </c>
      <c r="H1276" s="34" t="str">
        <f t="shared" si="77"/>
        <v/>
      </c>
      <c r="I1276" s="52" t="str">
        <f t="shared" si="78"/>
        <v/>
      </c>
      <c r="J1276" s="34">
        <f>IF(AND(A1276&lt;&gt;"",ISTEXT(A1276),COUNTIFS(Processos!$AS$10:$AS$509,"="&amp;SUBSTITUTE(SUBSTITUTE(SUBSTITUTE("P:"&amp;A1276,"~","~~"),"*","~*"),"?","~?"))=1),(IF(ISNA(MATCH(SUBSTITUTE(SUBSTITUTE(SUBSTITUTE("P:"&amp;A1276,"~","~~"),"*","~*"),"?","~?"),Processos!$AS$10:$AS$509,0)),9,INDEX(Processos!$AM$10:$AM$509,MATCH(SUBSTITUTE(SUBSTITUTE(SUBSTITUTE("P:"&amp;A1276,"~","~~"),"*","~*"),"?","~?"),Processos!$AS$10:$AS$509,0)))-9),0)</f>
        <v>0</v>
      </c>
      <c r="K1276" s="34" t="str">
        <f t="shared" si="79"/>
        <v/>
      </c>
      <c r="L1276" s="14">
        <f>ROW()</f>
        <v>1276</v>
      </c>
    </row>
    <row r="1277" spans="1:12" ht="60" customHeight="1">
      <c r="A1277" s="41"/>
      <c r="B1277" s="43"/>
      <c r="C1277" s="44"/>
      <c r="D1277" s="51"/>
      <c r="E1277" s="44"/>
      <c r="F1277" s="44"/>
      <c r="G1277" s="34">
        <f t="shared" si="76"/>
        <v>0</v>
      </c>
      <c r="H1277" s="34" t="str">
        <f t="shared" si="77"/>
        <v/>
      </c>
      <c r="I1277" s="52" t="str">
        <f t="shared" si="78"/>
        <v/>
      </c>
      <c r="J1277" s="34">
        <f>IF(AND(A1277&lt;&gt;"",ISTEXT(A1277),COUNTIFS(Processos!$AS$10:$AS$509,"="&amp;SUBSTITUTE(SUBSTITUTE(SUBSTITUTE("P:"&amp;A1277,"~","~~"),"*","~*"),"?","~?"))=1),(IF(ISNA(MATCH(SUBSTITUTE(SUBSTITUTE(SUBSTITUTE("P:"&amp;A1277,"~","~~"),"*","~*"),"?","~?"),Processos!$AS$10:$AS$509,0)),9,INDEX(Processos!$AM$10:$AM$509,MATCH(SUBSTITUTE(SUBSTITUTE(SUBSTITUTE("P:"&amp;A1277,"~","~~"),"*","~*"),"?","~?"),Processos!$AS$10:$AS$509,0)))-9),0)</f>
        <v>0</v>
      </c>
      <c r="K1277" s="34" t="str">
        <f t="shared" si="79"/>
        <v/>
      </c>
      <c r="L1277" s="14">
        <f>ROW()</f>
        <v>1277</v>
      </c>
    </row>
    <row r="1278" spans="1:12" ht="60" customHeight="1">
      <c r="A1278" s="41"/>
      <c r="B1278" s="43"/>
      <c r="C1278" s="44"/>
      <c r="D1278" s="51"/>
      <c r="E1278" s="44"/>
      <c r="F1278" s="44"/>
      <c r="G1278" s="34">
        <f t="shared" si="76"/>
        <v>0</v>
      </c>
      <c r="H1278" s="34" t="str">
        <f t="shared" si="77"/>
        <v/>
      </c>
      <c r="I1278" s="52" t="str">
        <f t="shared" si="78"/>
        <v/>
      </c>
      <c r="J1278" s="34">
        <f>IF(AND(A1278&lt;&gt;"",ISTEXT(A1278),COUNTIFS(Processos!$AS$10:$AS$509,"="&amp;SUBSTITUTE(SUBSTITUTE(SUBSTITUTE("P:"&amp;A1278,"~","~~"),"*","~*"),"?","~?"))=1),(IF(ISNA(MATCH(SUBSTITUTE(SUBSTITUTE(SUBSTITUTE("P:"&amp;A1278,"~","~~"),"*","~*"),"?","~?"),Processos!$AS$10:$AS$509,0)),9,INDEX(Processos!$AM$10:$AM$509,MATCH(SUBSTITUTE(SUBSTITUTE(SUBSTITUTE("P:"&amp;A1278,"~","~~"),"*","~*"),"?","~?"),Processos!$AS$10:$AS$509,0)))-9),0)</f>
        <v>0</v>
      </c>
      <c r="K1278" s="34" t="str">
        <f t="shared" si="79"/>
        <v/>
      </c>
      <c r="L1278" s="14">
        <f>ROW()</f>
        <v>1278</v>
      </c>
    </row>
    <row r="1279" spans="1:12" ht="60" customHeight="1">
      <c r="A1279" s="41"/>
      <c r="B1279" s="43"/>
      <c r="C1279" s="44"/>
      <c r="D1279" s="51"/>
      <c r="E1279" s="44"/>
      <c r="F1279" s="44"/>
      <c r="G1279" s="34">
        <f t="shared" si="76"/>
        <v>0</v>
      </c>
      <c r="H1279" s="34" t="str">
        <f t="shared" si="77"/>
        <v/>
      </c>
      <c r="I1279" s="52" t="str">
        <f t="shared" si="78"/>
        <v/>
      </c>
      <c r="J1279" s="34">
        <f>IF(AND(A1279&lt;&gt;"",ISTEXT(A1279),COUNTIFS(Processos!$AS$10:$AS$509,"="&amp;SUBSTITUTE(SUBSTITUTE(SUBSTITUTE("P:"&amp;A1279,"~","~~"),"*","~*"),"?","~?"))=1),(IF(ISNA(MATCH(SUBSTITUTE(SUBSTITUTE(SUBSTITUTE("P:"&amp;A1279,"~","~~"),"*","~*"),"?","~?"),Processos!$AS$10:$AS$509,0)),9,INDEX(Processos!$AM$10:$AM$509,MATCH(SUBSTITUTE(SUBSTITUTE(SUBSTITUTE("P:"&amp;A1279,"~","~~"),"*","~*"),"?","~?"),Processos!$AS$10:$AS$509,0)))-9),0)</f>
        <v>0</v>
      </c>
      <c r="K1279" s="34" t="str">
        <f t="shared" si="79"/>
        <v/>
      </c>
      <c r="L1279" s="14">
        <f>ROW()</f>
        <v>1279</v>
      </c>
    </row>
    <row r="1280" spans="1:12" ht="60" customHeight="1">
      <c r="A1280" s="41"/>
      <c r="B1280" s="43"/>
      <c r="C1280" s="44"/>
      <c r="D1280" s="51"/>
      <c r="E1280" s="44"/>
      <c r="F1280" s="44"/>
      <c r="G1280" s="34">
        <f t="shared" si="76"/>
        <v>0</v>
      </c>
      <c r="H1280" s="34" t="str">
        <f t="shared" si="77"/>
        <v/>
      </c>
      <c r="I1280" s="52" t="str">
        <f t="shared" si="78"/>
        <v/>
      </c>
      <c r="J1280" s="34">
        <f>IF(AND(A1280&lt;&gt;"",ISTEXT(A1280),COUNTIFS(Processos!$AS$10:$AS$509,"="&amp;SUBSTITUTE(SUBSTITUTE(SUBSTITUTE("P:"&amp;A1280,"~","~~"),"*","~*"),"?","~?"))=1),(IF(ISNA(MATCH(SUBSTITUTE(SUBSTITUTE(SUBSTITUTE("P:"&amp;A1280,"~","~~"),"*","~*"),"?","~?"),Processos!$AS$10:$AS$509,0)),9,INDEX(Processos!$AM$10:$AM$509,MATCH(SUBSTITUTE(SUBSTITUTE(SUBSTITUTE("P:"&amp;A1280,"~","~~"),"*","~*"),"?","~?"),Processos!$AS$10:$AS$509,0)))-9),0)</f>
        <v>0</v>
      </c>
      <c r="K1280" s="34" t="str">
        <f t="shared" si="79"/>
        <v/>
      </c>
      <c r="L1280" s="14">
        <f>ROW()</f>
        <v>1280</v>
      </c>
    </row>
    <row r="1281" spans="1:12" ht="60" customHeight="1">
      <c r="A1281" s="41"/>
      <c r="B1281" s="43"/>
      <c r="C1281" s="44"/>
      <c r="D1281" s="51"/>
      <c r="E1281" s="44"/>
      <c r="F1281" s="44"/>
      <c r="G1281" s="34">
        <f t="shared" si="76"/>
        <v>0</v>
      </c>
      <c r="H1281" s="34" t="str">
        <f t="shared" si="77"/>
        <v/>
      </c>
      <c r="I1281" s="52" t="str">
        <f t="shared" si="78"/>
        <v/>
      </c>
      <c r="J1281" s="34">
        <f>IF(AND(A1281&lt;&gt;"",ISTEXT(A1281),COUNTIFS(Processos!$AS$10:$AS$509,"="&amp;SUBSTITUTE(SUBSTITUTE(SUBSTITUTE("P:"&amp;A1281,"~","~~"),"*","~*"),"?","~?"))=1),(IF(ISNA(MATCH(SUBSTITUTE(SUBSTITUTE(SUBSTITUTE("P:"&amp;A1281,"~","~~"),"*","~*"),"?","~?"),Processos!$AS$10:$AS$509,0)),9,INDEX(Processos!$AM$10:$AM$509,MATCH(SUBSTITUTE(SUBSTITUTE(SUBSTITUTE("P:"&amp;A1281,"~","~~"),"*","~*"),"?","~?"),Processos!$AS$10:$AS$509,0)))-9),0)</f>
        <v>0</v>
      </c>
      <c r="K1281" s="34" t="str">
        <f t="shared" si="79"/>
        <v/>
      </c>
      <c r="L1281" s="14">
        <f>ROW()</f>
        <v>1281</v>
      </c>
    </row>
    <row r="1282" spans="1:12" ht="60" customHeight="1">
      <c r="A1282" s="41"/>
      <c r="B1282" s="43"/>
      <c r="C1282" s="44"/>
      <c r="D1282" s="51"/>
      <c r="E1282" s="44"/>
      <c r="F1282" s="44"/>
      <c r="G1282" s="34">
        <f t="shared" si="76"/>
        <v>0</v>
      </c>
      <c r="H1282" s="34" t="str">
        <f t="shared" si="77"/>
        <v/>
      </c>
      <c r="I1282" s="52" t="str">
        <f t="shared" si="78"/>
        <v/>
      </c>
      <c r="J1282" s="34">
        <f>IF(AND(A1282&lt;&gt;"",ISTEXT(A1282),COUNTIFS(Processos!$AS$10:$AS$509,"="&amp;SUBSTITUTE(SUBSTITUTE(SUBSTITUTE("P:"&amp;A1282,"~","~~"),"*","~*"),"?","~?"))=1),(IF(ISNA(MATCH(SUBSTITUTE(SUBSTITUTE(SUBSTITUTE("P:"&amp;A1282,"~","~~"),"*","~*"),"?","~?"),Processos!$AS$10:$AS$509,0)),9,INDEX(Processos!$AM$10:$AM$509,MATCH(SUBSTITUTE(SUBSTITUTE(SUBSTITUTE("P:"&amp;A1282,"~","~~"),"*","~*"),"?","~?"),Processos!$AS$10:$AS$509,0)))-9),0)</f>
        <v>0</v>
      </c>
      <c r="K1282" s="34" t="str">
        <f t="shared" si="79"/>
        <v/>
      </c>
      <c r="L1282" s="14">
        <f>ROW()</f>
        <v>1282</v>
      </c>
    </row>
    <row r="1283" spans="1:12" ht="60" customHeight="1">
      <c r="A1283" s="41"/>
      <c r="B1283" s="43"/>
      <c r="C1283" s="44"/>
      <c r="D1283" s="51"/>
      <c r="E1283" s="44"/>
      <c r="F1283" s="44"/>
      <c r="G1283" s="34">
        <f t="shared" si="76"/>
        <v>0</v>
      </c>
      <c r="H1283" s="34" t="str">
        <f t="shared" si="77"/>
        <v/>
      </c>
      <c r="I1283" s="52" t="str">
        <f t="shared" si="78"/>
        <v/>
      </c>
      <c r="J1283" s="34">
        <f>IF(AND(A1283&lt;&gt;"",ISTEXT(A1283),COUNTIFS(Processos!$AS$10:$AS$509,"="&amp;SUBSTITUTE(SUBSTITUTE(SUBSTITUTE("P:"&amp;A1283,"~","~~"),"*","~*"),"?","~?"))=1),(IF(ISNA(MATCH(SUBSTITUTE(SUBSTITUTE(SUBSTITUTE("P:"&amp;A1283,"~","~~"),"*","~*"),"?","~?"),Processos!$AS$10:$AS$509,0)),9,INDEX(Processos!$AM$10:$AM$509,MATCH(SUBSTITUTE(SUBSTITUTE(SUBSTITUTE("P:"&amp;A1283,"~","~~"),"*","~*"),"?","~?"),Processos!$AS$10:$AS$509,0)))-9),0)</f>
        <v>0</v>
      </c>
      <c r="K1283" s="34" t="str">
        <f t="shared" si="79"/>
        <v/>
      </c>
      <c r="L1283" s="14">
        <f>ROW()</f>
        <v>1283</v>
      </c>
    </row>
    <row r="1284" spans="1:12" ht="60" customHeight="1">
      <c r="A1284" s="41"/>
      <c r="B1284" s="43"/>
      <c r="C1284" s="44"/>
      <c r="D1284" s="51"/>
      <c r="E1284" s="44"/>
      <c r="F1284" s="44"/>
      <c r="G1284" s="34">
        <f t="shared" si="76"/>
        <v>0</v>
      </c>
      <c r="H1284" s="34" t="str">
        <f t="shared" si="77"/>
        <v/>
      </c>
      <c r="I1284" s="52" t="str">
        <f t="shared" si="78"/>
        <v/>
      </c>
      <c r="J1284" s="34">
        <f>IF(AND(A1284&lt;&gt;"",ISTEXT(A1284),COUNTIFS(Processos!$AS$10:$AS$509,"="&amp;SUBSTITUTE(SUBSTITUTE(SUBSTITUTE("P:"&amp;A1284,"~","~~"),"*","~*"),"?","~?"))=1),(IF(ISNA(MATCH(SUBSTITUTE(SUBSTITUTE(SUBSTITUTE("P:"&amp;A1284,"~","~~"),"*","~*"),"?","~?"),Processos!$AS$10:$AS$509,0)),9,INDEX(Processos!$AM$10:$AM$509,MATCH(SUBSTITUTE(SUBSTITUTE(SUBSTITUTE("P:"&amp;A1284,"~","~~"),"*","~*"),"?","~?"),Processos!$AS$10:$AS$509,0)))-9),0)</f>
        <v>0</v>
      </c>
      <c r="K1284" s="34" t="str">
        <f t="shared" si="79"/>
        <v/>
      </c>
      <c r="L1284" s="14">
        <f>ROW()</f>
        <v>1284</v>
      </c>
    </row>
    <row r="1285" spans="1:12" ht="60" customHeight="1">
      <c r="A1285" s="41"/>
      <c r="B1285" s="43"/>
      <c r="C1285" s="44"/>
      <c r="D1285" s="51"/>
      <c r="E1285" s="44"/>
      <c r="F1285" s="44"/>
      <c r="G1285" s="34">
        <f t="shared" si="76"/>
        <v>0</v>
      </c>
      <c r="H1285" s="34" t="str">
        <f t="shared" si="77"/>
        <v/>
      </c>
      <c r="I1285" s="52" t="str">
        <f t="shared" si="78"/>
        <v/>
      </c>
      <c r="J1285" s="34">
        <f>IF(AND(A1285&lt;&gt;"",ISTEXT(A1285),COUNTIFS(Processos!$AS$10:$AS$509,"="&amp;SUBSTITUTE(SUBSTITUTE(SUBSTITUTE("P:"&amp;A1285,"~","~~"),"*","~*"),"?","~?"))=1),(IF(ISNA(MATCH(SUBSTITUTE(SUBSTITUTE(SUBSTITUTE("P:"&amp;A1285,"~","~~"),"*","~*"),"?","~?"),Processos!$AS$10:$AS$509,0)),9,INDEX(Processos!$AM$10:$AM$509,MATCH(SUBSTITUTE(SUBSTITUTE(SUBSTITUTE("P:"&amp;A1285,"~","~~"),"*","~*"),"?","~?"),Processos!$AS$10:$AS$509,0)))-9),0)</f>
        <v>0</v>
      </c>
      <c r="K1285" s="34" t="str">
        <f t="shared" si="79"/>
        <v/>
      </c>
      <c r="L1285" s="14">
        <f>ROW()</f>
        <v>1285</v>
      </c>
    </row>
    <row r="1286" spans="1:12" ht="60" customHeight="1">
      <c r="A1286" s="41"/>
      <c r="B1286" s="43"/>
      <c r="C1286" s="44"/>
      <c r="D1286" s="51"/>
      <c r="E1286" s="44"/>
      <c r="F1286" s="44"/>
      <c r="G1286" s="34">
        <f t="shared" si="76"/>
        <v>0</v>
      </c>
      <c r="H1286" s="34" t="str">
        <f t="shared" si="77"/>
        <v/>
      </c>
      <c r="I1286" s="52" t="str">
        <f t="shared" si="78"/>
        <v/>
      </c>
      <c r="J1286" s="34">
        <f>IF(AND(A1286&lt;&gt;"",ISTEXT(A1286),COUNTIFS(Processos!$AS$10:$AS$509,"="&amp;SUBSTITUTE(SUBSTITUTE(SUBSTITUTE("P:"&amp;A1286,"~","~~"),"*","~*"),"?","~?"))=1),(IF(ISNA(MATCH(SUBSTITUTE(SUBSTITUTE(SUBSTITUTE("P:"&amp;A1286,"~","~~"),"*","~*"),"?","~?"),Processos!$AS$10:$AS$509,0)),9,INDEX(Processos!$AM$10:$AM$509,MATCH(SUBSTITUTE(SUBSTITUTE(SUBSTITUTE("P:"&amp;A1286,"~","~~"),"*","~*"),"?","~?"),Processos!$AS$10:$AS$509,0)))-9),0)</f>
        <v>0</v>
      </c>
      <c r="K1286" s="34" t="str">
        <f t="shared" si="79"/>
        <v/>
      </c>
      <c r="L1286" s="14">
        <f>ROW()</f>
        <v>1286</v>
      </c>
    </row>
    <row r="1287" spans="1:12" ht="60" customHeight="1">
      <c r="A1287" s="41"/>
      <c r="B1287" s="43"/>
      <c r="C1287" s="44"/>
      <c r="D1287" s="51"/>
      <c r="E1287" s="44"/>
      <c r="F1287" s="44"/>
      <c r="G1287" s="34">
        <f t="shared" si="76"/>
        <v>0</v>
      </c>
      <c r="H1287" s="34" t="str">
        <f t="shared" si="77"/>
        <v/>
      </c>
      <c r="I1287" s="52" t="str">
        <f t="shared" si="78"/>
        <v/>
      </c>
      <c r="J1287" s="34">
        <f>IF(AND(A1287&lt;&gt;"",ISTEXT(A1287),COUNTIFS(Processos!$AS$10:$AS$509,"="&amp;SUBSTITUTE(SUBSTITUTE(SUBSTITUTE("P:"&amp;A1287,"~","~~"),"*","~*"),"?","~?"))=1),(IF(ISNA(MATCH(SUBSTITUTE(SUBSTITUTE(SUBSTITUTE("P:"&amp;A1287,"~","~~"),"*","~*"),"?","~?"),Processos!$AS$10:$AS$509,0)),9,INDEX(Processos!$AM$10:$AM$509,MATCH(SUBSTITUTE(SUBSTITUTE(SUBSTITUTE("P:"&amp;A1287,"~","~~"),"*","~*"),"?","~?"),Processos!$AS$10:$AS$509,0)))-9),0)</f>
        <v>0</v>
      </c>
      <c r="K1287" s="34" t="str">
        <f t="shared" si="79"/>
        <v/>
      </c>
      <c r="L1287" s="14">
        <f>ROW()</f>
        <v>1287</v>
      </c>
    </row>
    <row r="1288" spans="1:12" ht="60" customHeight="1">
      <c r="A1288" s="41"/>
      <c r="B1288" s="43"/>
      <c r="C1288" s="44"/>
      <c r="D1288" s="51"/>
      <c r="E1288" s="44"/>
      <c r="F1288" s="44"/>
      <c r="G1288" s="34">
        <f t="shared" si="76"/>
        <v>0</v>
      </c>
      <c r="H1288" s="34" t="str">
        <f t="shared" si="77"/>
        <v/>
      </c>
      <c r="I1288" s="52" t="str">
        <f t="shared" si="78"/>
        <v/>
      </c>
      <c r="J1288" s="34">
        <f>IF(AND(A1288&lt;&gt;"",ISTEXT(A1288),COUNTIFS(Processos!$AS$10:$AS$509,"="&amp;SUBSTITUTE(SUBSTITUTE(SUBSTITUTE("P:"&amp;A1288,"~","~~"),"*","~*"),"?","~?"))=1),(IF(ISNA(MATCH(SUBSTITUTE(SUBSTITUTE(SUBSTITUTE("P:"&amp;A1288,"~","~~"),"*","~*"),"?","~?"),Processos!$AS$10:$AS$509,0)),9,INDEX(Processos!$AM$10:$AM$509,MATCH(SUBSTITUTE(SUBSTITUTE(SUBSTITUTE("P:"&amp;A1288,"~","~~"),"*","~*"),"?","~?"),Processos!$AS$10:$AS$509,0)))-9),0)</f>
        <v>0</v>
      </c>
      <c r="K1288" s="34" t="str">
        <f t="shared" si="79"/>
        <v/>
      </c>
      <c r="L1288" s="14">
        <f>ROW()</f>
        <v>1288</v>
      </c>
    </row>
    <row r="1289" spans="1:12" ht="60" customHeight="1">
      <c r="A1289" s="41"/>
      <c r="B1289" s="43"/>
      <c r="C1289" s="44"/>
      <c r="D1289" s="51"/>
      <c r="E1289" s="44"/>
      <c r="F1289" s="44"/>
      <c r="G1289" s="34">
        <f t="shared" si="76"/>
        <v>0</v>
      </c>
      <c r="H1289" s="34" t="str">
        <f t="shared" si="77"/>
        <v/>
      </c>
      <c r="I1289" s="52" t="str">
        <f t="shared" si="78"/>
        <v/>
      </c>
      <c r="J1289" s="34">
        <f>IF(AND(A1289&lt;&gt;"",ISTEXT(A1289),COUNTIFS(Processos!$AS$10:$AS$509,"="&amp;SUBSTITUTE(SUBSTITUTE(SUBSTITUTE("P:"&amp;A1289,"~","~~"),"*","~*"),"?","~?"))=1),(IF(ISNA(MATCH(SUBSTITUTE(SUBSTITUTE(SUBSTITUTE("P:"&amp;A1289,"~","~~"),"*","~*"),"?","~?"),Processos!$AS$10:$AS$509,0)),9,INDEX(Processos!$AM$10:$AM$509,MATCH(SUBSTITUTE(SUBSTITUTE(SUBSTITUTE("P:"&amp;A1289,"~","~~"),"*","~*"),"?","~?"),Processos!$AS$10:$AS$509,0)))-9),0)</f>
        <v>0</v>
      </c>
      <c r="K1289" s="34" t="str">
        <f t="shared" si="79"/>
        <v/>
      </c>
      <c r="L1289" s="14">
        <f>ROW()</f>
        <v>1289</v>
      </c>
    </row>
    <row r="1290" spans="1:12" ht="60" customHeight="1">
      <c r="A1290" s="41"/>
      <c r="B1290" s="43"/>
      <c r="C1290" s="44"/>
      <c r="D1290" s="51"/>
      <c r="E1290" s="44"/>
      <c r="F1290" s="44"/>
      <c r="G1290" s="34">
        <f t="shared" ref="G1290:G1353" si="80">IF(AND(J1290&gt;0,OR(B1290="",AND(ISNUMBER(B1290),B1290&gt;=1,B1290&lt;=100000)),ISNUMBER(D1290),D1290&gt;=1,D1290&lt;=100000,C1290&lt;&gt;""),1,0)</f>
        <v>0</v>
      </c>
      <c r="H1290" s="34" t="str">
        <f t="shared" ref="H1290:H1353" si="81">IF(G1290=1,K1290&amp;"|"&amp;D1290,"")</f>
        <v/>
      </c>
      <c r="I1290" s="52" t="str">
        <f t="shared" ref="I1290:I1353" si="82">IF(COUNTA(A1290:F1290)=0,"",IF(A1290="","Selecione o processo",IF(J1290=0,"Processo inexistente, duplicado ou número não textual",IF(B1290="","Informe a data do andamento",IF(C1290="","Descreva o andamento",IF(D1290="","Informe a data e hora do recebimento",IF(OR(NOT(ISNUMBER(B1290)),B1290&lt;1,B1290&gt;100000),"Revise a data do andamento",IF(OR(NOT(ISNUMBER(D1290)),D1290&lt;1,D1290&gt;100000),"Revise a data e hora do recebimento",IF(COUNTIFS($K$10:$K$2009,"="&amp;SUBSTITUTE(SUBSTITUTE(SUBSTITUTE("P:"&amp;A1290,"~","~~"),"*","~*"),"?","~?"),$D$10:$D$2009,D1290,$G$10:$G$2009,1)&gt;1,"Recebimentos empatados: revise a hora ou consolide o registro","")))))))))</f>
        <v/>
      </c>
      <c r="J1290" s="34">
        <f>IF(AND(A1290&lt;&gt;"",ISTEXT(A1290),COUNTIFS(Processos!$AS$10:$AS$509,"="&amp;SUBSTITUTE(SUBSTITUTE(SUBSTITUTE("P:"&amp;A1290,"~","~~"),"*","~*"),"?","~?"))=1),(IF(ISNA(MATCH(SUBSTITUTE(SUBSTITUTE(SUBSTITUTE("P:"&amp;A1290,"~","~~"),"*","~*"),"?","~?"),Processos!$AS$10:$AS$509,0)),9,INDEX(Processos!$AM$10:$AM$509,MATCH(SUBSTITUTE(SUBSTITUTE(SUBSTITUTE("P:"&amp;A1290,"~","~~"),"*","~*"),"?","~?"),Processos!$AS$10:$AS$509,0)))-9),0)</f>
        <v>0</v>
      </c>
      <c r="K1290" s="34" t="str">
        <f t="shared" ref="K1290:K1353" si="83">IF(AND(A1290&lt;&gt;"",ISTEXT(A1290)),"P:"&amp;A1290,"")</f>
        <v/>
      </c>
      <c r="L1290" s="14">
        <f>ROW()</f>
        <v>1290</v>
      </c>
    </row>
    <row r="1291" spans="1:12" ht="60" customHeight="1">
      <c r="A1291" s="41"/>
      <c r="B1291" s="43"/>
      <c r="C1291" s="44"/>
      <c r="D1291" s="51"/>
      <c r="E1291" s="44"/>
      <c r="F1291" s="44"/>
      <c r="G1291" s="34">
        <f t="shared" si="80"/>
        <v>0</v>
      </c>
      <c r="H1291" s="34" t="str">
        <f t="shared" si="81"/>
        <v/>
      </c>
      <c r="I1291" s="52" t="str">
        <f t="shared" si="82"/>
        <v/>
      </c>
      <c r="J1291" s="34">
        <f>IF(AND(A1291&lt;&gt;"",ISTEXT(A1291),COUNTIFS(Processos!$AS$10:$AS$509,"="&amp;SUBSTITUTE(SUBSTITUTE(SUBSTITUTE("P:"&amp;A1291,"~","~~"),"*","~*"),"?","~?"))=1),(IF(ISNA(MATCH(SUBSTITUTE(SUBSTITUTE(SUBSTITUTE("P:"&amp;A1291,"~","~~"),"*","~*"),"?","~?"),Processos!$AS$10:$AS$509,0)),9,INDEX(Processos!$AM$10:$AM$509,MATCH(SUBSTITUTE(SUBSTITUTE(SUBSTITUTE("P:"&amp;A1291,"~","~~"),"*","~*"),"?","~?"),Processos!$AS$10:$AS$509,0)))-9),0)</f>
        <v>0</v>
      </c>
      <c r="K1291" s="34" t="str">
        <f t="shared" si="83"/>
        <v/>
      </c>
      <c r="L1291" s="14">
        <f>ROW()</f>
        <v>1291</v>
      </c>
    </row>
    <row r="1292" spans="1:12" ht="60" customHeight="1">
      <c r="A1292" s="41"/>
      <c r="B1292" s="43"/>
      <c r="C1292" s="44"/>
      <c r="D1292" s="51"/>
      <c r="E1292" s="44"/>
      <c r="F1292" s="44"/>
      <c r="G1292" s="34">
        <f t="shared" si="80"/>
        <v>0</v>
      </c>
      <c r="H1292" s="34" t="str">
        <f t="shared" si="81"/>
        <v/>
      </c>
      <c r="I1292" s="52" t="str">
        <f t="shared" si="82"/>
        <v/>
      </c>
      <c r="J1292" s="34">
        <f>IF(AND(A1292&lt;&gt;"",ISTEXT(A1292),COUNTIFS(Processos!$AS$10:$AS$509,"="&amp;SUBSTITUTE(SUBSTITUTE(SUBSTITUTE("P:"&amp;A1292,"~","~~"),"*","~*"),"?","~?"))=1),(IF(ISNA(MATCH(SUBSTITUTE(SUBSTITUTE(SUBSTITUTE("P:"&amp;A1292,"~","~~"),"*","~*"),"?","~?"),Processos!$AS$10:$AS$509,0)),9,INDEX(Processos!$AM$10:$AM$509,MATCH(SUBSTITUTE(SUBSTITUTE(SUBSTITUTE("P:"&amp;A1292,"~","~~"),"*","~*"),"?","~?"),Processos!$AS$10:$AS$509,0)))-9),0)</f>
        <v>0</v>
      </c>
      <c r="K1292" s="34" t="str">
        <f t="shared" si="83"/>
        <v/>
      </c>
      <c r="L1292" s="14">
        <f>ROW()</f>
        <v>1292</v>
      </c>
    </row>
    <row r="1293" spans="1:12" ht="60" customHeight="1">
      <c r="A1293" s="41"/>
      <c r="B1293" s="43"/>
      <c r="C1293" s="44"/>
      <c r="D1293" s="51"/>
      <c r="E1293" s="44"/>
      <c r="F1293" s="44"/>
      <c r="G1293" s="34">
        <f t="shared" si="80"/>
        <v>0</v>
      </c>
      <c r="H1293" s="34" t="str">
        <f t="shared" si="81"/>
        <v/>
      </c>
      <c r="I1293" s="52" t="str">
        <f t="shared" si="82"/>
        <v/>
      </c>
      <c r="J1293" s="34">
        <f>IF(AND(A1293&lt;&gt;"",ISTEXT(A1293),COUNTIFS(Processos!$AS$10:$AS$509,"="&amp;SUBSTITUTE(SUBSTITUTE(SUBSTITUTE("P:"&amp;A1293,"~","~~"),"*","~*"),"?","~?"))=1),(IF(ISNA(MATCH(SUBSTITUTE(SUBSTITUTE(SUBSTITUTE("P:"&amp;A1293,"~","~~"),"*","~*"),"?","~?"),Processos!$AS$10:$AS$509,0)),9,INDEX(Processos!$AM$10:$AM$509,MATCH(SUBSTITUTE(SUBSTITUTE(SUBSTITUTE("P:"&amp;A1293,"~","~~"),"*","~*"),"?","~?"),Processos!$AS$10:$AS$509,0)))-9),0)</f>
        <v>0</v>
      </c>
      <c r="K1293" s="34" t="str">
        <f t="shared" si="83"/>
        <v/>
      </c>
      <c r="L1293" s="14">
        <f>ROW()</f>
        <v>1293</v>
      </c>
    </row>
    <row r="1294" spans="1:12" ht="60" customHeight="1">
      <c r="A1294" s="41"/>
      <c r="B1294" s="43"/>
      <c r="C1294" s="44"/>
      <c r="D1294" s="51"/>
      <c r="E1294" s="44"/>
      <c r="F1294" s="44"/>
      <c r="G1294" s="34">
        <f t="shared" si="80"/>
        <v>0</v>
      </c>
      <c r="H1294" s="34" t="str">
        <f t="shared" si="81"/>
        <v/>
      </c>
      <c r="I1294" s="52" t="str">
        <f t="shared" si="82"/>
        <v/>
      </c>
      <c r="J1294" s="34">
        <f>IF(AND(A1294&lt;&gt;"",ISTEXT(A1294),COUNTIFS(Processos!$AS$10:$AS$509,"="&amp;SUBSTITUTE(SUBSTITUTE(SUBSTITUTE("P:"&amp;A1294,"~","~~"),"*","~*"),"?","~?"))=1),(IF(ISNA(MATCH(SUBSTITUTE(SUBSTITUTE(SUBSTITUTE("P:"&amp;A1294,"~","~~"),"*","~*"),"?","~?"),Processos!$AS$10:$AS$509,0)),9,INDEX(Processos!$AM$10:$AM$509,MATCH(SUBSTITUTE(SUBSTITUTE(SUBSTITUTE("P:"&amp;A1294,"~","~~"),"*","~*"),"?","~?"),Processos!$AS$10:$AS$509,0)))-9),0)</f>
        <v>0</v>
      </c>
      <c r="K1294" s="34" t="str">
        <f t="shared" si="83"/>
        <v/>
      </c>
      <c r="L1294" s="14">
        <f>ROW()</f>
        <v>1294</v>
      </c>
    </row>
    <row r="1295" spans="1:12" ht="60" customHeight="1">
      <c r="A1295" s="41"/>
      <c r="B1295" s="43"/>
      <c r="C1295" s="44"/>
      <c r="D1295" s="51"/>
      <c r="E1295" s="44"/>
      <c r="F1295" s="44"/>
      <c r="G1295" s="34">
        <f t="shared" si="80"/>
        <v>0</v>
      </c>
      <c r="H1295" s="34" t="str">
        <f t="shared" si="81"/>
        <v/>
      </c>
      <c r="I1295" s="52" t="str">
        <f t="shared" si="82"/>
        <v/>
      </c>
      <c r="J1295" s="34">
        <f>IF(AND(A1295&lt;&gt;"",ISTEXT(A1295),COUNTIFS(Processos!$AS$10:$AS$509,"="&amp;SUBSTITUTE(SUBSTITUTE(SUBSTITUTE("P:"&amp;A1295,"~","~~"),"*","~*"),"?","~?"))=1),(IF(ISNA(MATCH(SUBSTITUTE(SUBSTITUTE(SUBSTITUTE("P:"&amp;A1295,"~","~~"),"*","~*"),"?","~?"),Processos!$AS$10:$AS$509,0)),9,INDEX(Processos!$AM$10:$AM$509,MATCH(SUBSTITUTE(SUBSTITUTE(SUBSTITUTE("P:"&amp;A1295,"~","~~"),"*","~*"),"?","~?"),Processos!$AS$10:$AS$509,0)))-9),0)</f>
        <v>0</v>
      </c>
      <c r="K1295" s="34" t="str">
        <f t="shared" si="83"/>
        <v/>
      </c>
      <c r="L1295" s="14">
        <f>ROW()</f>
        <v>1295</v>
      </c>
    </row>
    <row r="1296" spans="1:12" ht="60" customHeight="1">
      <c r="A1296" s="41"/>
      <c r="B1296" s="43"/>
      <c r="C1296" s="44"/>
      <c r="D1296" s="51"/>
      <c r="E1296" s="44"/>
      <c r="F1296" s="44"/>
      <c r="G1296" s="34">
        <f t="shared" si="80"/>
        <v>0</v>
      </c>
      <c r="H1296" s="34" t="str">
        <f t="shared" si="81"/>
        <v/>
      </c>
      <c r="I1296" s="52" t="str">
        <f t="shared" si="82"/>
        <v/>
      </c>
      <c r="J1296" s="34">
        <f>IF(AND(A1296&lt;&gt;"",ISTEXT(A1296),COUNTIFS(Processos!$AS$10:$AS$509,"="&amp;SUBSTITUTE(SUBSTITUTE(SUBSTITUTE("P:"&amp;A1296,"~","~~"),"*","~*"),"?","~?"))=1),(IF(ISNA(MATCH(SUBSTITUTE(SUBSTITUTE(SUBSTITUTE("P:"&amp;A1296,"~","~~"),"*","~*"),"?","~?"),Processos!$AS$10:$AS$509,0)),9,INDEX(Processos!$AM$10:$AM$509,MATCH(SUBSTITUTE(SUBSTITUTE(SUBSTITUTE("P:"&amp;A1296,"~","~~"),"*","~*"),"?","~?"),Processos!$AS$10:$AS$509,0)))-9),0)</f>
        <v>0</v>
      </c>
      <c r="K1296" s="34" t="str">
        <f t="shared" si="83"/>
        <v/>
      </c>
      <c r="L1296" s="14">
        <f>ROW()</f>
        <v>1296</v>
      </c>
    </row>
    <row r="1297" spans="1:12" ht="60" customHeight="1">
      <c r="A1297" s="41"/>
      <c r="B1297" s="43"/>
      <c r="C1297" s="44"/>
      <c r="D1297" s="51"/>
      <c r="E1297" s="44"/>
      <c r="F1297" s="44"/>
      <c r="G1297" s="34">
        <f t="shared" si="80"/>
        <v>0</v>
      </c>
      <c r="H1297" s="34" t="str">
        <f t="shared" si="81"/>
        <v/>
      </c>
      <c r="I1297" s="52" t="str">
        <f t="shared" si="82"/>
        <v/>
      </c>
      <c r="J1297" s="34">
        <f>IF(AND(A1297&lt;&gt;"",ISTEXT(A1297),COUNTIFS(Processos!$AS$10:$AS$509,"="&amp;SUBSTITUTE(SUBSTITUTE(SUBSTITUTE("P:"&amp;A1297,"~","~~"),"*","~*"),"?","~?"))=1),(IF(ISNA(MATCH(SUBSTITUTE(SUBSTITUTE(SUBSTITUTE("P:"&amp;A1297,"~","~~"),"*","~*"),"?","~?"),Processos!$AS$10:$AS$509,0)),9,INDEX(Processos!$AM$10:$AM$509,MATCH(SUBSTITUTE(SUBSTITUTE(SUBSTITUTE("P:"&amp;A1297,"~","~~"),"*","~*"),"?","~?"),Processos!$AS$10:$AS$509,0)))-9),0)</f>
        <v>0</v>
      </c>
      <c r="K1297" s="34" t="str">
        <f t="shared" si="83"/>
        <v/>
      </c>
      <c r="L1297" s="14">
        <f>ROW()</f>
        <v>1297</v>
      </c>
    </row>
    <row r="1298" spans="1:12" ht="60" customHeight="1">
      <c r="A1298" s="41"/>
      <c r="B1298" s="43"/>
      <c r="C1298" s="44"/>
      <c r="D1298" s="51"/>
      <c r="E1298" s="44"/>
      <c r="F1298" s="44"/>
      <c r="G1298" s="34">
        <f t="shared" si="80"/>
        <v>0</v>
      </c>
      <c r="H1298" s="34" t="str">
        <f t="shared" si="81"/>
        <v/>
      </c>
      <c r="I1298" s="52" t="str">
        <f t="shared" si="82"/>
        <v/>
      </c>
      <c r="J1298" s="34">
        <f>IF(AND(A1298&lt;&gt;"",ISTEXT(A1298),COUNTIFS(Processos!$AS$10:$AS$509,"="&amp;SUBSTITUTE(SUBSTITUTE(SUBSTITUTE("P:"&amp;A1298,"~","~~"),"*","~*"),"?","~?"))=1),(IF(ISNA(MATCH(SUBSTITUTE(SUBSTITUTE(SUBSTITUTE("P:"&amp;A1298,"~","~~"),"*","~*"),"?","~?"),Processos!$AS$10:$AS$509,0)),9,INDEX(Processos!$AM$10:$AM$509,MATCH(SUBSTITUTE(SUBSTITUTE(SUBSTITUTE("P:"&amp;A1298,"~","~~"),"*","~*"),"?","~?"),Processos!$AS$10:$AS$509,0)))-9),0)</f>
        <v>0</v>
      </c>
      <c r="K1298" s="34" t="str">
        <f t="shared" si="83"/>
        <v/>
      </c>
      <c r="L1298" s="14">
        <f>ROW()</f>
        <v>1298</v>
      </c>
    </row>
    <row r="1299" spans="1:12" ht="60" customHeight="1">
      <c r="A1299" s="41"/>
      <c r="B1299" s="43"/>
      <c r="C1299" s="44"/>
      <c r="D1299" s="51"/>
      <c r="E1299" s="44"/>
      <c r="F1299" s="44"/>
      <c r="G1299" s="34">
        <f t="shared" si="80"/>
        <v>0</v>
      </c>
      <c r="H1299" s="34" t="str">
        <f t="shared" si="81"/>
        <v/>
      </c>
      <c r="I1299" s="52" t="str">
        <f t="shared" si="82"/>
        <v/>
      </c>
      <c r="J1299" s="34">
        <f>IF(AND(A1299&lt;&gt;"",ISTEXT(A1299),COUNTIFS(Processos!$AS$10:$AS$509,"="&amp;SUBSTITUTE(SUBSTITUTE(SUBSTITUTE("P:"&amp;A1299,"~","~~"),"*","~*"),"?","~?"))=1),(IF(ISNA(MATCH(SUBSTITUTE(SUBSTITUTE(SUBSTITUTE("P:"&amp;A1299,"~","~~"),"*","~*"),"?","~?"),Processos!$AS$10:$AS$509,0)),9,INDEX(Processos!$AM$10:$AM$509,MATCH(SUBSTITUTE(SUBSTITUTE(SUBSTITUTE("P:"&amp;A1299,"~","~~"),"*","~*"),"?","~?"),Processos!$AS$10:$AS$509,0)))-9),0)</f>
        <v>0</v>
      </c>
      <c r="K1299" s="34" t="str">
        <f t="shared" si="83"/>
        <v/>
      </c>
      <c r="L1299" s="14">
        <f>ROW()</f>
        <v>1299</v>
      </c>
    </row>
    <row r="1300" spans="1:12" ht="60" customHeight="1">
      <c r="A1300" s="41"/>
      <c r="B1300" s="43"/>
      <c r="C1300" s="44"/>
      <c r="D1300" s="51"/>
      <c r="E1300" s="44"/>
      <c r="F1300" s="44"/>
      <c r="G1300" s="34">
        <f t="shared" si="80"/>
        <v>0</v>
      </c>
      <c r="H1300" s="34" t="str">
        <f t="shared" si="81"/>
        <v/>
      </c>
      <c r="I1300" s="52" t="str">
        <f t="shared" si="82"/>
        <v/>
      </c>
      <c r="J1300" s="34">
        <f>IF(AND(A1300&lt;&gt;"",ISTEXT(A1300),COUNTIFS(Processos!$AS$10:$AS$509,"="&amp;SUBSTITUTE(SUBSTITUTE(SUBSTITUTE("P:"&amp;A1300,"~","~~"),"*","~*"),"?","~?"))=1),(IF(ISNA(MATCH(SUBSTITUTE(SUBSTITUTE(SUBSTITUTE("P:"&amp;A1300,"~","~~"),"*","~*"),"?","~?"),Processos!$AS$10:$AS$509,0)),9,INDEX(Processos!$AM$10:$AM$509,MATCH(SUBSTITUTE(SUBSTITUTE(SUBSTITUTE("P:"&amp;A1300,"~","~~"),"*","~*"),"?","~?"),Processos!$AS$10:$AS$509,0)))-9),0)</f>
        <v>0</v>
      </c>
      <c r="K1300" s="34" t="str">
        <f t="shared" si="83"/>
        <v/>
      </c>
      <c r="L1300" s="14">
        <f>ROW()</f>
        <v>1300</v>
      </c>
    </row>
    <row r="1301" spans="1:12" ht="60" customHeight="1">
      <c r="A1301" s="41"/>
      <c r="B1301" s="43"/>
      <c r="C1301" s="44"/>
      <c r="D1301" s="51"/>
      <c r="E1301" s="44"/>
      <c r="F1301" s="44"/>
      <c r="G1301" s="34">
        <f t="shared" si="80"/>
        <v>0</v>
      </c>
      <c r="H1301" s="34" t="str">
        <f t="shared" si="81"/>
        <v/>
      </c>
      <c r="I1301" s="52" t="str">
        <f t="shared" si="82"/>
        <v/>
      </c>
      <c r="J1301" s="34">
        <f>IF(AND(A1301&lt;&gt;"",ISTEXT(A1301),COUNTIFS(Processos!$AS$10:$AS$509,"="&amp;SUBSTITUTE(SUBSTITUTE(SUBSTITUTE("P:"&amp;A1301,"~","~~"),"*","~*"),"?","~?"))=1),(IF(ISNA(MATCH(SUBSTITUTE(SUBSTITUTE(SUBSTITUTE("P:"&amp;A1301,"~","~~"),"*","~*"),"?","~?"),Processos!$AS$10:$AS$509,0)),9,INDEX(Processos!$AM$10:$AM$509,MATCH(SUBSTITUTE(SUBSTITUTE(SUBSTITUTE("P:"&amp;A1301,"~","~~"),"*","~*"),"?","~?"),Processos!$AS$10:$AS$509,0)))-9),0)</f>
        <v>0</v>
      </c>
      <c r="K1301" s="34" t="str">
        <f t="shared" si="83"/>
        <v/>
      </c>
      <c r="L1301" s="14">
        <f>ROW()</f>
        <v>1301</v>
      </c>
    </row>
    <row r="1302" spans="1:12" ht="60" customHeight="1">
      <c r="A1302" s="41"/>
      <c r="B1302" s="43"/>
      <c r="C1302" s="44"/>
      <c r="D1302" s="51"/>
      <c r="E1302" s="44"/>
      <c r="F1302" s="44"/>
      <c r="G1302" s="34">
        <f t="shared" si="80"/>
        <v>0</v>
      </c>
      <c r="H1302" s="34" t="str">
        <f t="shared" si="81"/>
        <v/>
      </c>
      <c r="I1302" s="52" t="str">
        <f t="shared" si="82"/>
        <v/>
      </c>
      <c r="J1302" s="34">
        <f>IF(AND(A1302&lt;&gt;"",ISTEXT(A1302),COUNTIFS(Processos!$AS$10:$AS$509,"="&amp;SUBSTITUTE(SUBSTITUTE(SUBSTITUTE("P:"&amp;A1302,"~","~~"),"*","~*"),"?","~?"))=1),(IF(ISNA(MATCH(SUBSTITUTE(SUBSTITUTE(SUBSTITUTE("P:"&amp;A1302,"~","~~"),"*","~*"),"?","~?"),Processos!$AS$10:$AS$509,0)),9,INDEX(Processos!$AM$10:$AM$509,MATCH(SUBSTITUTE(SUBSTITUTE(SUBSTITUTE("P:"&amp;A1302,"~","~~"),"*","~*"),"?","~?"),Processos!$AS$10:$AS$509,0)))-9),0)</f>
        <v>0</v>
      </c>
      <c r="K1302" s="34" t="str">
        <f t="shared" si="83"/>
        <v/>
      </c>
      <c r="L1302" s="14">
        <f>ROW()</f>
        <v>1302</v>
      </c>
    </row>
    <row r="1303" spans="1:12" ht="60" customHeight="1">
      <c r="A1303" s="41"/>
      <c r="B1303" s="43"/>
      <c r="C1303" s="44"/>
      <c r="D1303" s="51"/>
      <c r="E1303" s="44"/>
      <c r="F1303" s="44"/>
      <c r="G1303" s="34">
        <f t="shared" si="80"/>
        <v>0</v>
      </c>
      <c r="H1303" s="34" t="str">
        <f t="shared" si="81"/>
        <v/>
      </c>
      <c r="I1303" s="52" t="str">
        <f t="shared" si="82"/>
        <v/>
      </c>
      <c r="J1303" s="34">
        <f>IF(AND(A1303&lt;&gt;"",ISTEXT(A1303),COUNTIFS(Processos!$AS$10:$AS$509,"="&amp;SUBSTITUTE(SUBSTITUTE(SUBSTITUTE("P:"&amp;A1303,"~","~~"),"*","~*"),"?","~?"))=1),(IF(ISNA(MATCH(SUBSTITUTE(SUBSTITUTE(SUBSTITUTE("P:"&amp;A1303,"~","~~"),"*","~*"),"?","~?"),Processos!$AS$10:$AS$509,0)),9,INDEX(Processos!$AM$10:$AM$509,MATCH(SUBSTITUTE(SUBSTITUTE(SUBSTITUTE("P:"&amp;A1303,"~","~~"),"*","~*"),"?","~?"),Processos!$AS$10:$AS$509,0)))-9),0)</f>
        <v>0</v>
      </c>
      <c r="K1303" s="34" t="str">
        <f t="shared" si="83"/>
        <v/>
      </c>
      <c r="L1303" s="14">
        <f>ROW()</f>
        <v>1303</v>
      </c>
    </row>
    <row r="1304" spans="1:12" ht="60" customHeight="1">
      <c r="A1304" s="41"/>
      <c r="B1304" s="43"/>
      <c r="C1304" s="44"/>
      <c r="D1304" s="51"/>
      <c r="E1304" s="44"/>
      <c r="F1304" s="44"/>
      <c r="G1304" s="34">
        <f t="shared" si="80"/>
        <v>0</v>
      </c>
      <c r="H1304" s="34" t="str">
        <f t="shared" si="81"/>
        <v/>
      </c>
      <c r="I1304" s="52" t="str">
        <f t="shared" si="82"/>
        <v/>
      </c>
      <c r="J1304" s="34">
        <f>IF(AND(A1304&lt;&gt;"",ISTEXT(A1304),COUNTIFS(Processos!$AS$10:$AS$509,"="&amp;SUBSTITUTE(SUBSTITUTE(SUBSTITUTE("P:"&amp;A1304,"~","~~"),"*","~*"),"?","~?"))=1),(IF(ISNA(MATCH(SUBSTITUTE(SUBSTITUTE(SUBSTITUTE("P:"&amp;A1304,"~","~~"),"*","~*"),"?","~?"),Processos!$AS$10:$AS$509,0)),9,INDEX(Processos!$AM$10:$AM$509,MATCH(SUBSTITUTE(SUBSTITUTE(SUBSTITUTE("P:"&amp;A1304,"~","~~"),"*","~*"),"?","~?"),Processos!$AS$10:$AS$509,0)))-9),0)</f>
        <v>0</v>
      </c>
      <c r="K1304" s="34" t="str">
        <f t="shared" si="83"/>
        <v/>
      </c>
      <c r="L1304" s="14">
        <f>ROW()</f>
        <v>1304</v>
      </c>
    </row>
    <row r="1305" spans="1:12" ht="60" customHeight="1">
      <c r="A1305" s="41"/>
      <c r="B1305" s="43"/>
      <c r="C1305" s="44"/>
      <c r="D1305" s="51"/>
      <c r="E1305" s="44"/>
      <c r="F1305" s="44"/>
      <c r="G1305" s="34">
        <f t="shared" si="80"/>
        <v>0</v>
      </c>
      <c r="H1305" s="34" t="str">
        <f t="shared" si="81"/>
        <v/>
      </c>
      <c r="I1305" s="52" t="str">
        <f t="shared" si="82"/>
        <v/>
      </c>
      <c r="J1305" s="34">
        <f>IF(AND(A1305&lt;&gt;"",ISTEXT(A1305),COUNTIFS(Processos!$AS$10:$AS$509,"="&amp;SUBSTITUTE(SUBSTITUTE(SUBSTITUTE("P:"&amp;A1305,"~","~~"),"*","~*"),"?","~?"))=1),(IF(ISNA(MATCH(SUBSTITUTE(SUBSTITUTE(SUBSTITUTE("P:"&amp;A1305,"~","~~"),"*","~*"),"?","~?"),Processos!$AS$10:$AS$509,0)),9,INDEX(Processos!$AM$10:$AM$509,MATCH(SUBSTITUTE(SUBSTITUTE(SUBSTITUTE("P:"&amp;A1305,"~","~~"),"*","~*"),"?","~?"),Processos!$AS$10:$AS$509,0)))-9),0)</f>
        <v>0</v>
      </c>
      <c r="K1305" s="34" t="str">
        <f t="shared" si="83"/>
        <v/>
      </c>
      <c r="L1305" s="14">
        <f>ROW()</f>
        <v>1305</v>
      </c>
    </row>
    <row r="1306" spans="1:12" ht="60" customHeight="1">
      <c r="A1306" s="41"/>
      <c r="B1306" s="43"/>
      <c r="C1306" s="44"/>
      <c r="D1306" s="51"/>
      <c r="E1306" s="44"/>
      <c r="F1306" s="44"/>
      <c r="G1306" s="34">
        <f t="shared" si="80"/>
        <v>0</v>
      </c>
      <c r="H1306" s="34" t="str">
        <f t="shared" si="81"/>
        <v/>
      </c>
      <c r="I1306" s="52" t="str">
        <f t="shared" si="82"/>
        <v/>
      </c>
      <c r="J1306" s="34">
        <f>IF(AND(A1306&lt;&gt;"",ISTEXT(A1306),COUNTIFS(Processos!$AS$10:$AS$509,"="&amp;SUBSTITUTE(SUBSTITUTE(SUBSTITUTE("P:"&amp;A1306,"~","~~"),"*","~*"),"?","~?"))=1),(IF(ISNA(MATCH(SUBSTITUTE(SUBSTITUTE(SUBSTITUTE("P:"&amp;A1306,"~","~~"),"*","~*"),"?","~?"),Processos!$AS$10:$AS$509,0)),9,INDEX(Processos!$AM$10:$AM$509,MATCH(SUBSTITUTE(SUBSTITUTE(SUBSTITUTE("P:"&amp;A1306,"~","~~"),"*","~*"),"?","~?"),Processos!$AS$10:$AS$509,0)))-9),0)</f>
        <v>0</v>
      </c>
      <c r="K1306" s="34" t="str">
        <f t="shared" si="83"/>
        <v/>
      </c>
      <c r="L1306" s="14">
        <f>ROW()</f>
        <v>1306</v>
      </c>
    </row>
    <row r="1307" spans="1:12" ht="60" customHeight="1">
      <c r="A1307" s="41"/>
      <c r="B1307" s="43"/>
      <c r="C1307" s="44"/>
      <c r="D1307" s="51"/>
      <c r="E1307" s="44"/>
      <c r="F1307" s="44"/>
      <c r="G1307" s="34">
        <f t="shared" si="80"/>
        <v>0</v>
      </c>
      <c r="H1307" s="34" t="str">
        <f t="shared" si="81"/>
        <v/>
      </c>
      <c r="I1307" s="52" t="str">
        <f t="shared" si="82"/>
        <v/>
      </c>
      <c r="J1307" s="34">
        <f>IF(AND(A1307&lt;&gt;"",ISTEXT(A1307),COUNTIFS(Processos!$AS$10:$AS$509,"="&amp;SUBSTITUTE(SUBSTITUTE(SUBSTITUTE("P:"&amp;A1307,"~","~~"),"*","~*"),"?","~?"))=1),(IF(ISNA(MATCH(SUBSTITUTE(SUBSTITUTE(SUBSTITUTE("P:"&amp;A1307,"~","~~"),"*","~*"),"?","~?"),Processos!$AS$10:$AS$509,0)),9,INDEX(Processos!$AM$10:$AM$509,MATCH(SUBSTITUTE(SUBSTITUTE(SUBSTITUTE("P:"&amp;A1307,"~","~~"),"*","~*"),"?","~?"),Processos!$AS$10:$AS$509,0)))-9),0)</f>
        <v>0</v>
      </c>
      <c r="K1307" s="34" t="str">
        <f t="shared" si="83"/>
        <v/>
      </c>
      <c r="L1307" s="14">
        <f>ROW()</f>
        <v>1307</v>
      </c>
    </row>
    <row r="1308" spans="1:12" ht="60" customHeight="1">
      <c r="A1308" s="41"/>
      <c r="B1308" s="43"/>
      <c r="C1308" s="44"/>
      <c r="D1308" s="51"/>
      <c r="E1308" s="44"/>
      <c r="F1308" s="44"/>
      <c r="G1308" s="34">
        <f t="shared" si="80"/>
        <v>0</v>
      </c>
      <c r="H1308" s="34" t="str">
        <f t="shared" si="81"/>
        <v/>
      </c>
      <c r="I1308" s="52" t="str">
        <f t="shared" si="82"/>
        <v/>
      </c>
      <c r="J1308" s="34">
        <f>IF(AND(A1308&lt;&gt;"",ISTEXT(A1308),COUNTIFS(Processos!$AS$10:$AS$509,"="&amp;SUBSTITUTE(SUBSTITUTE(SUBSTITUTE("P:"&amp;A1308,"~","~~"),"*","~*"),"?","~?"))=1),(IF(ISNA(MATCH(SUBSTITUTE(SUBSTITUTE(SUBSTITUTE("P:"&amp;A1308,"~","~~"),"*","~*"),"?","~?"),Processos!$AS$10:$AS$509,0)),9,INDEX(Processos!$AM$10:$AM$509,MATCH(SUBSTITUTE(SUBSTITUTE(SUBSTITUTE("P:"&amp;A1308,"~","~~"),"*","~*"),"?","~?"),Processos!$AS$10:$AS$509,0)))-9),0)</f>
        <v>0</v>
      </c>
      <c r="K1308" s="34" t="str">
        <f t="shared" si="83"/>
        <v/>
      </c>
      <c r="L1308" s="14">
        <f>ROW()</f>
        <v>1308</v>
      </c>
    </row>
    <row r="1309" spans="1:12" ht="60" customHeight="1">
      <c r="A1309" s="41"/>
      <c r="B1309" s="43"/>
      <c r="C1309" s="44"/>
      <c r="D1309" s="51"/>
      <c r="E1309" s="44"/>
      <c r="F1309" s="44"/>
      <c r="G1309" s="34">
        <f t="shared" si="80"/>
        <v>0</v>
      </c>
      <c r="H1309" s="34" t="str">
        <f t="shared" si="81"/>
        <v/>
      </c>
      <c r="I1309" s="52" t="str">
        <f t="shared" si="82"/>
        <v/>
      </c>
      <c r="J1309" s="34">
        <f>IF(AND(A1309&lt;&gt;"",ISTEXT(A1309),COUNTIFS(Processos!$AS$10:$AS$509,"="&amp;SUBSTITUTE(SUBSTITUTE(SUBSTITUTE("P:"&amp;A1309,"~","~~"),"*","~*"),"?","~?"))=1),(IF(ISNA(MATCH(SUBSTITUTE(SUBSTITUTE(SUBSTITUTE("P:"&amp;A1309,"~","~~"),"*","~*"),"?","~?"),Processos!$AS$10:$AS$509,0)),9,INDEX(Processos!$AM$10:$AM$509,MATCH(SUBSTITUTE(SUBSTITUTE(SUBSTITUTE("P:"&amp;A1309,"~","~~"),"*","~*"),"?","~?"),Processos!$AS$10:$AS$509,0)))-9),0)</f>
        <v>0</v>
      </c>
      <c r="K1309" s="34" t="str">
        <f t="shared" si="83"/>
        <v/>
      </c>
      <c r="L1309" s="14">
        <f>ROW()</f>
        <v>1309</v>
      </c>
    </row>
    <row r="1310" spans="1:12" ht="60" customHeight="1">
      <c r="A1310" s="41"/>
      <c r="B1310" s="43"/>
      <c r="C1310" s="44"/>
      <c r="D1310" s="51"/>
      <c r="E1310" s="44"/>
      <c r="F1310" s="44"/>
      <c r="G1310" s="34">
        <f t="shared" si="80"/>
        <v>0</v>
      </c>
      <c r="H1310" s="34" t="str">
        <f t="shared" si="81"/>
        <v/>
      </c>
      <c r="I1310" s="52" t="str">
        <f t="shared" si="82"/>
        <v/>
      </c>
      <c r="J1310" s="34">
        <f>IF(AND(A1310&lt;&gt;"",ISTEXT(A1310),COUNTIFS(Processos!$AS$10:$AS$509,"="&amp;SUBSTITUTE(SUBSTITUTE(SUBSTITUTE("P:"&amp;A1310,"~","~~"),"*","~*"),"?","~?"))=1),(IF(ISNA(MATCH(SUBSTITUTE(SUBSTITUTE(SUBSTITUTE("P:"&amp;A1310,"~","~~"),"*","~*"),"?","~?"),Processos!$AS$10:$AS$509,0)),9,INDEX(Processos!$AM$10:$AM$509,MATCH(SUBSTITUTE(SUBSTITUTE(SUBSTITUTE("P:"&amp;A1310,"~","~~"),"*","~*"),"?","~?"),Processos!$AS$10:$AS$509,0)))-9),0)</f>
        <v>0</v>
      </c>
      <c r="K1310" s="34" t="str">
        <f t="shared" si="83"/>
        <v/>
      </c>
      <c r="L1310" s="14">
        <f>ROW()</f>
        <v>1310</v>
      </c>
    </row>
    <row r="1311" spans="1:12" ht="60" customHeight="1">
      <c r="A1311" s="41"/>
      <c r="B1311" s="43"/>
      <c r="C1311" s="44"/>
      <c r="D1311" s="51"/>
      <c r="E1311" s="44"/>
      <c r="F1311" s="44"/>
      <c r="G1311" s="34">
        <f t="shared" si="80"/>
        <v>0</v>
      </c>
      <c r="H1311" s="34" t="str">
        <f t="shared" si="81"/>
        <v/>
      </c>
      <c r="I1311" s="52" t="str">
        <f t="shared" si="82"/>
        <v/>
      </c>
      <c r="J1311" s="34">
        <f>IF(AND(A1311&lt;&gt;"",ISTEXT(A1311),COUNTIFS(Processos!$AS$10:$AS$509,"="&amp;SUBSTITUTE(SUBSTITUTE(SUBSTITUTE("P:"&amp;A1311,"~","~~"),"*","~*"),"?","~?"))=1),(IF(ISNA(MATCH(SUBSTITUTE(SUBSTITUTE(SUBSTITUTE("P:"&amp;A1311,"~","~~"),"*","~*"),"?","~?"),Processos!$AS$10:$AS$509,0)),9,INDEX(Processos!$AM$10:$AM$509,MATCH(SUBSTITUTE(SUBSTITUTE(SUBSTITUTE("P:"&amp;A1311,"~","~~"),"*","~*"),"?","~?"),Processos!$AS$10:$AS$509,0)))-9),0)</f>
        <v>0</v>
      </c>
      <c r="K1311" s="34" t="str">
        <f t="shared" si="83"/>
        <v/>
      </c>
      <c r="L1311" s="14">
        <f>ROW()</f>
        <v>1311</v>
      </c>
    </row>
    <row r="1312" spans="1:12" ht="60" customHeight="1">
      <c r="A1312" s="41"/>
      <c r="B1312" s="43"/>
      <c r="C1312" s="44"/>
      <c r="D1312" s="51"/>
      <c r="E1312" s="44"/>
      <c r="F1312" s="44"/>
      <c r="G1312" s="34">
        <f t="shared" si="80"/>
        <v>0</v>
      </c>
      <c r="H1312" s="34" t="str">
        <f t="shared" si="81"/>
        <v/>
      </c>
      <c r="I1312" s="52" t="str">
        <f t="shared" si="82"/>
        <v/>
      </c>
      <c r="J1312" s="34">
        <f>IF(AND(A1312&lt;&gt;"",ISTEXT(A1312),COUNTIFS(Processos!$AS$10:$AS$509,"="&amp;SUBSTITUTE(SUBSTITUTE(SUBSTITUTE("P:"&amp;A1312,"~","~~"),"*","~*"),"?","~?"))=1),(IF(ISNA(MATCH(SUBSTITUTE(SUBSTITUTE(SUBSTITUTE("P:"&amp;A1312,"~","~~"),"*","~*"),"?","~?"),Processos!$AS$10:$AS$509,0)),9,INDEX(Processos!$AM$10:$AM$509,MATCH(SUBSTITUTE(SUBSTITUTE(SUBSTITUTE("P:"&amp;A1312,"~","~~"),"*","~*"),"?","~?"),Processos!$AS$10:$AS$509,0)))-9),0)</f>
        <v>0</v>
      </c>
      <c r="K1312" s="34" t="str">
        <f t="shared" si="83"/>
        <v/>
      </c>
      <c r="L1312" s="14">
        <f>ROW()</f>
        <v>1312</v>
      </c>
    </row>
    <row r="1313" spans="1:12" ht="60" customHeight="1">
      <c r="A1313" s="41"/>
      <c r="B1313" s="43"/>
      <c r="C1313" s="44"/>
      <c r="D1313" s="51"/>
      <c r="E1313" s="44"/>
      <c r="F1313" s="44"/>
      <c r="G1313" s="34">
        <f t="shared" si="80"/>
        <v>0</v>
      </c>
      <c r="H1313" s="34" t="str">
        <f t="shared" si="81"/>
        <v/>
      </c>
      <c r="I1313" s="52" t="str">
        <f t="shared" si="82"/>
        <v/>
      </c>
      <c r="J1313" s="34">
        <f>IF(AND(A1313&lt;&gt;"",ISTEXT(A1313),COUNTIFS(Processos!$AS$10:$AS$509,"="&amp;SUBSTITUTE(SUBSTITUTE(SUBSTITUTE("P:"&amp;A1313,"~","~~"),"*","~*"),"?","~?"))=1),(IF(ISNA(MATCH(SUBSTITUTE(SUBSTITUTE(SUBSTITUTE("P:"&amp;A1313,"~","~~"),"*","~*"),"?","~?"),Processos!$AS$10:$AS$509,0)),9,INDEX(Processos!$AM$10:$AM$509,MATCH(SUBSTITUTE(SUBSTITUTE(SUBSTITUTE("P:"&amp;A1313,"~","~~"),"*","~*"),"?","~?"),Processos!$AS$10:$AS$509,0)))-9),0)</f>
        <v>0</v>
      </c>
      <c r="K1313" s="34" t="str">
        <f t="shared" si="83"/>
        <v/>
      </c>
      <c r="L1313" s="14">
        <f>ROW()</f>
        <v>1313</v>
      </c>
    </row>
    <row r="1314" spans="1:12" ht="60" customHeight="1">
      <c r="A1314" s="41"/>
      <c r="B1314" s="43"/>
      <c r="C1314" s="44"/>
      <c r="D1314" s="51"/>
      <c r="E1314" s="44"/>
      <c r="F1314" s="44"/>
      <c r="G1314" s="34">
        <f t="shared" si="80"/>
        <v>0</v>
      </c>
      <c r="H1314" s="34" t="str">
        <f t="shared" si="81"/>
        <v/>
      </c>
      <c r="I1314" s="52" t="str">
        <f t="shared" si="82"/>
        <v/>
      </c>
      <c r="J1314" s="34">
        <f>IF(AND(A1314&lt;&gt;"",ISTEXT(A1314),COUNTIFS(Processos!$AS$10:$AS$509,"="&amp;SUBSTITUTE(SUBSTITUTE(SUBSTITUTE("P:"&amp;A1314,"~","~~"),"*","~*"),"?","~?"))=1),(IF(ISNA(MATCH(SUBSTITUTE(SUBSTITUTE(SUBSTITUTE("P:"&amp;A1314,"~","~~"),"*","~*"),"?","~?"),Processos!$AS$10:$AS$509,0)),9,INDEX(Processos!$AM$10:$AM$509,MATCH(SUBSTITUTE(SUBSTITUTE(SUBSTITUTE("P:"&amp;A1314,"~","~~"),"*","~*"),"?","~?"),Processos!$AS$10:$AS$509,0)))-9),0)</f>
        <v>0</v>
      </c>
      <c r="K1314" s="34" t="str">
        <f t="shared" si="83"/>
        <v/>
      </c>
      <c r="L1314" s="14">
        <f>ROW()</f>
        <v>1314</v>
      </c>
    </row>
    <row r="1315" spans="1:12" ht="60" customHeight="1">
      <c r="A1315" s="41"/>
      <c r="B1315" s="43"/>
      <c r="C1315" s="44"/>
      <c r="D1315" s="51"/>
      <c r="E1315" s="44"/>
      <c r="F1315" s="44"/>
      <c r="G1315" s="34">
        <f t="shared" si="80"/>
        <v>0</v>
      </c>
      <c r="H1315" s="34" t="str">
        <f t="shared" si="81"/>
        <v/>
      </c>
      <c r="I1315" s="52" t="str">
        <f t="shared" si="82"/>
        <v/>
      </c>
      <c r="J1315" s="34">
        <f>IF(AND(A1315&lt;&gt;"",ISTEXT(A1315),COUNTIFS(Processos!$AS$10:$AS$509,"="&amp;SUBSTITUTE(SUBSTITUTE(SUBSTITUTE("P:"&amp;A1315,"~","~~"),"*","~*"),"?","~?"))=1),(IF(ISNA(MATCH(SUBSTITUTE(SUBSTITUTE(SUBSTITUTE("P:"&amp;A1315,"~","~~"),"*","~*"),"?","~?"),Processos!$AS$10:$AS$509,0)),9,INDEX(Processos!$AM$10:$AM$509,MATCH(SUBSTITUTE(SUBSTITUTE(SUBSTITUTE("P:"&amp;A1315,"~","~~"),"*","~*"),"?","~?"),Processos!$AS$10:$AS$509,0)))-9),0)</f>
        <v>0</v>
      </c>
      <c r="K1315" s="34" t="str">
        <f t="shared" si="83"/>
        <v/>
      </c>
      <c r="L1315" s="14">
        <f>ROW()</f>
        <v>1315</v>
      </c>
    </row>
    <row r="1316" spans="1:12" ht="60" customHeight="1">
      <c r="A1316" s="41"/>
      <c r="B1316" s="43"/>
      <c r="C1316" s="44"/>
      <c r="D1316" s="51"/>
      <c r="E1316" s="44"/>
      <c r="F1316" s="44"/>
      <c r="G1316" s="34">
        <f t="shared" si="80"/>
        <v>0</v>
      </c>
      <c r="H1316" s="34" t="str">
        <f t="shared" si="81"/>
        <v/>
      </c>
      <c r="I1316" s="52" t="str">
        <f t="shared" si="82"/>
        <v/>
      </c>
      <c r="J1316" s="34">
        <f>IF(AND(A1316&lt;&gt;"",ISTEXT(A1316),COUNTIFS(Processos!$AS$10:$AS$509,"="&amp;SUBSTITUTE(SUBSTITUTE(SUBSTITUTE("P:"&amp;A1316,"~","~~"),"*","~*"),"?","~?"))=1),(IF(ISNA(MATCH(SUBSTITUTE(SUBSTITUTE(SUBSTITUTE("P:"&amp;A1316,"~","~~"),"*","~*"),"?","~?"),Processos!$AS$10:$AS$509,0)),9,INDEX(Processos!$AM$10:$AM$509,MATCH(SUBSTITUTE(SUBSTITUTE(SUBSTITUTE("P:"&amp;A1316,"~","~~"),"*","~*"),"?","~?"),Processos!$AS$10:$AS$509,0)))-9),0)</f>
        <v>0</v>
      </c>
      <c r="K1316" s="34" t="str">
        <f t="shared" si="83"/>
        <v/>
      </c>
      <c r="L1316" s="14">
        <f>ROW()</f>
        <v>1316</v>
      </c>
    </row>
    <row r="1317" spans="1:12" ht="60" customHeight="1">
      <c r="A1317" s="41"/>
      <c r="B1317" s="43"/>
      <c r="C1317" s="44"/>
      <c r="D1317" s="51"/>
      <c r="E1317" s="44"/>
      <c r="F1317" s="44"/>
      <c r="G1317" s="34">
        <f t="shared" si="80"/>
        <v>0</v>
      </c>
      <c r="H1317" s="34" t="str">
        <f t="shared" si="81"/>
        <v/>
      </c>
      <c r="I1317" s="52" t="str">
        <f t="shared" si="82"/>
        <v/>
      </c>
      <c r="J1317" s="34">
        <f>IF(AND(A1317&lt;&gt;"",ISTEXT(A1317),COUNTIFS(Processos!$AS$10:$AS$509,"="&amp;SUBSTITUTE(SUBSTITUTE(SUBSTITUTE("P:"&amp;A1317,"~","~~"),"*","~*"),"?","~?"))=1),(IF(ISNA(MATCH(SUBSTITUTE(SUBSTITUTE(SUBSTITUTE("P:"&amp;A1317,"~","~~"),"*","~*"),"?","~?"),Processos!$AS$10:$AS$509,0)),9,INDEX(Processos!$AM$10:$AM$509,MATCH(SUBSTITUTE(SUBSTITUTE(SUBSTITUTE("P:"&amp;A1317,"~","~~"),"*","~*"),"?","~?"),Processos!$AS$10:$AS$509,0)))-9),0)</f>
        <v>0</v>
      </c>
      <c r="K1317" s="34" t="str">
        <f t="shared" si="83"/>
        <v/>
      </c>
      <c r="L1317" s="14">
        <f>ROW()</f>
        <v>1317</v>
      </c>
    </row>
    <row r="1318" spans="1:12" ht="60" customHeight="1">
      <c r="A1318" s="41"/>
      <c r="B1318" s="43"/>
      <c r="C1318" s="44"/>
      <c r="D1318" s="51"/>
      <c r="E1318" s="44"/>
      <c r="F1318" s="44"/>
      <c r="G1318" s="34">
        <f t="shared" si="80"/>
        <v>0</v>
      </c>
      <c r="H1318" s="34" t="str">
        <f t="shared" si="81"/>
        <v/>
      </c>
      <c r="I1318" s="52" t="str">
        <f t="shared" si="82"/>
        <v/>
      </c>
      <c r="J1318" s="34">
        <f>IF(AND(A1318&lt;&gt;"",ISTEXT(A1318),COUNTIFS(Processos!$AS$10:$AS$509,"="&amp;SUBSTITUTE(SUBSTITUTE(SUBSTITUTE("P:"&amp;A1318,"~","~~"),"*","~*"),"?","~?"))=1),(IF(ISNA(MATCH(SUBSTITUTE(SUBSTITUTE(SUBSTITUTE("P:"&amp;A1318,"~","~~"),"*","~*"),"?","~?"),Processos!$AS$10:$AS$509,0)),9,INDEX(Processos!$AM$10:$AM$509,MATCH(SUBSTITUTE(SUBSTITUTE(SUBSTITUTE("P:"&amp;A1318,"~","~~"),"*","~*"),"?","~?"),Processos!$AS$10:$AS$509,0)))-9),0)</f>
        <v>0</v>
      </c>
      <c r="K1318" s="34" t="str">
        <f t="shared" si="83"/>
        <v/>
      </c>
      <c r="L1318" s="14">
        <f>ROW()</f>
        <v>1318</v>
      </c>
    </row>
    <row r="1319" spans="1:12" ht="60" customHeight="1">
      <c r="A1319" s="41"/>
      <c r="B1319" s="43"/>
      <c r="C1319" s="44"/>
      <c r="D1319" s="51"/>
      <c r="E1319" s="44"/>
      <c r="F1319" s="44"/>
      <c r="G1319" s="34">
        <f t="shared" si="80"/>
        <v>0</v>
      </c>
      <c r="H1319" s="34" t="str">
        <f t="shared" si="81"/>
        <v/>
      </c>
      <c r="I1319" s="52" t="str">
        <f t="shared" si="82"/>
        <v/>
      </c>
      <c r="J1319" s="34">
        <f>IF(AND(A1319&lt;&gt;"",ISTEXT(A1319),COUNTIFS(Processos!$AS$10:$AS$509,"="&amp;SUBSTITUTE(SUBSTITUTE(SUBSTITUTE("P:"&amp;A1319,"~","~~"),"*","~*"),"?","~?"))=1),(IF(ISNA(MATCH(SUBSTITUTE(SUBSTITUTE(SUBSTITUTE("P:"&amp;A1319,"~","~~"),"*","~*"),"?","~?"),Processos!$AS$10:$AS$509,0)),9,INDEX(Processos!$AM$10:$AM$509,MATCH(SUBSTITUTE(SUBSTITUTE(SUBSTITUTE("P:"&amp;A1319,"~","~~"),"*","~*"),"?","~?"),Processos!$AS$10:$AS$509,0)))-9),0)</f>
        <v>0</v>
      </c>
      <c r="K1319" s="34" t="str">
        <f t="shared" si="83"/>
        <v/>
      </c>
      <c r="L1319" s="14">
        <f>ROW()</f>
        <v>1319</v>
      </c>
    </row>
    <row r="1320" spans="1:12" ht="60" customHeight="1">
      <c r="A1320" s="41"/>
      <c r="B1320" s="43"/>
      <c r="C1320" s="44"/>
      <c r="D1320" s="51"/>
      <c r="E1320" s="44"/>
      <c r="F1320" s="44"/>
      <c r="G1320" s="34">
        <f t="shared" si="80"/>
        <v>0</v>
      </c>
      <c r="H1320" s="34" t="str">
        <f t="shared" si="81"/>
        <v/>
      </c>
      <c r="I1320" s="52" t="str">
        <f t="shared" si="82"/>
        <v/>
      </c>
      <c r="J1320" s="34">
        <f>IF(AND(A1320&lt;&gt;"",ISTEXT(A1320),COUNTIFS(Processos!$AS$10:$AS$509,"="&amp;SUBSTITUTE(SUBSTITUTE(SUBSTITUTE("P:"&amp;A1320,"~","~~"),"*","~*"),"?","~?"))=1),(IF(ISNA(MATCH(SUBSTITUTE(SUBSTITUTE(SUBSTITUTE("P:"&amp;A1320,"~","~~"),"*","~*"),"?","~?"),Processos!$AS$10:$AS$509,0)),9,INDEX(Processos!$AM$10:$AM$509,MATCH(SUBSTITUTE(SUBSTITUTE(SUBSTITUTE("P:"&amp;A1320,"~","~~"),"*","~*"),"?","~?"),Processos!$AS$10:$AS$509,0)))-9),0)</f>
        <v>0</v>
      </c>
      <c r="K1320" s="34" t="str">
        <f t="shared" si="83"/>
        <v/>
      </c>
      <c r="L1320" s="14">
        <f>ROW()</f>
        <v>1320</v>
      </c>
    </row>
    <row r="1321" spans="1:12" ht="60" customHeight="1">
      <c r="A1321" s="41"/>
      <c r="B1321" s="43"/>
      <c r="C1321" s="44"/>
      <c r="D1321" s="51"/>
      <c r="E1321" s="44"/>
      <c r="F1321" s="44"/>
      <c r="G1321" s="34">
        <f t="shared" si="80"/>
        <v>0</v>
      </c>
      <c r="H1321" s="34" t="str">
        <f t="shared" si="81"/>
        <v/>
      </c>
      <c r="I1321" s="52" t="str">
        <f t="shared" si="82"/>
        <v/>
      </c>
      <c r="J1321" s="34">
        <f>IF(AND(A1321&lt;&gt;"",ISTEXT(A1321),COUNTIFS(Processos!$AS$10:$AS$509,"="&amp;SUBSTITUTE(SUBSTITUTE(SUBSTITUTE("P:"&amp;A1321,"~","~~"),"*","~*"),"?","~?"))=1),(IF(ISNA(MATCH(SUBSTITUTE(SUBSTITUTE(SUBSTITUTE("P:"&amp;A1321,"~","~~"),"*","~*"),"?","~?"),Processos!$AS$10:$AS$509,0)),9,INDEX(Processos!$AM$10:$AM$509,MATCH(SUBSTITUTE(SUBSTITUTE(SUBSTITUTE("P:"&amp;A1321,"~","~~"),"*","~*"),"?","~?"),Processos!$AS$10:$AS$509,0)))-9),0)</f>
        <v>0</v>
      </c>
      <c r="K1321" s="34" t="str">
        <f t="shared" si="83"/>
        <v/>
      </c>
      <c r="L1321" s="14">
        <f>ROW()</f>
        <v>1321</v>
      </c>
    </row>
    <row r="1322" spans="1:12" ht="60" customHeight="1">
      <c r="A1322" s="41"/>
      <c r="B1322" s="43"/>
      <c r="C1322" s="44"/>
      <c r="D1322" s="51"/>
      <c r="E1322" s="44"/>
      <c r="F1322" s="44"/>
      <c r="G1322" s="34">
        <f t="shared" si="80"/>
        <v>0</v>
      </c>
      <c r="H1322" s="34" t="str">
        <f t="shared" si="81"/>
        <v/>
      </c>
      <c r="I1322" s="52" t="str">
        <f t="shared" si="82"/>
        <v/>
      </c>
      <c r="J1322" s="34">
        <f>IF(AND(A1322&lt;&gt;"",ISTEXT(A1322),COUNTIFS(Processos!$AS$10:$AS$509,"="&amp;SUBSTITUTE(SUBSTITUTE(SUBSTITUTE("P:"&amp;A1322,"~","~~"),"*","~*"),"?","~?"))=1),(IF(ISNA(MATCH(SUBSTITUTE(SUBSTITUTE(SUBSTITUTE("P:"&amp;A1322,"~","~~"),"*","~*"),"?","~?"),Processos!$AS$10:$AS$509,0)),9,INDEX(Processos!$AM$10:$AM$509,MATCH(SUBSTITUTE(SUBSTITUTE(SUBSTITUTE("P:"&amp;A1322,"~","~~"),"*","~*"),"?","~?"),Processos!$AS$10:$AS$509,0)))-9),0)</f>
        <v>0</v>
      </c>
      <c r="K1322" s="34" t="str">
        <f t="shared" si="83"/>
        <v/>
      </c>
      <c r="L1322" s="14">
        <f>ROW()</f>
        <v>1322</v>
      </c>
    </row>
    <row r="1323" spans="1:12" ht="60" customHeight="1">
      <c r="A1323" s="41"/>
      <c r="B1323" s="43"/>
      <c r="C1323" s="44"/>
      <c r="D1323" s="51"/>
      <c r="E1323" s="44"/>
      <c r="F1323" s="44"/>
      <c r="G1323" s="34">
        <f t="shared" si="80"/>
        <v>0</v>
      </c>
      <c r="H1323" s="34" t="str">
        <f t="shared" si="81"/>
        <v/>
      </c>
      <c r="I1323" s="52" t="str">
        <f t="shared" si="82"/>
        <v/>
      </c>
      <c r="J1323" s="34">
        <f>IF(AND(A1323&lt;&gt;"",ISTEXT(A1323),COUNTIFS(Processos!$AS$10:$AS$509,"="&amp;SUBSTITUTE(SUBSTITUTE(SUBSTITUTE("P:"&amp;A1323,"~","~~"),"*","~*"),"?","~?"))=1),(IF(ISNA(MATCH(SUBSTITUTE(SUBSTITUTE(SUBSTITUTE("P:"&amp;A1323,"~","~~"),"*","~*"),"?","~?"),Processos!$AS$10:$AS$509,0)),9,INDEX(Processos!$AM$10:$AM$509,MATCH(SUBSTITUTE(SUBSTITUTE(SUBSTITUTE("P:"&amp;A1323,"~","~~"),"*","~*"),"?","~?"),Processos!$AS$10:$AS$509,0)))-9),0)</f>
        <v>0</v>
      </c>
      <c r="K1323" s="34" t="str">
        <f t="shared" si="83"/>
        <v/>
      </c>
      <c r="L1323" s="14">
        <f>ROW()</f>
        <v>1323</v>
      </c>
    </row>
    <row r="1324" spans="1:12" ht="60" customHeight="1">
      <c r="A1324" s="41"/>
      <c r="B1324" s="43"/>
      <c r="C1324" s="44"/>
      <c r="D1324" s="51"/>
      <c r="E1324" s="44"/>
      <c r="F1324" s="44"/>
      <c r="G1324" s="34">
        <f t="shared" si="80"/>
        <v>0</v>
      </c>
      <c r="H1324" s="34" t="str">
        <f t="shared" si="81"/>
        <v/>
      </c>
      <c r="I1324" s="52" t="str">
        <f t="shared" si="82"/>
        <v/>
      </c>
      <c r="J1324" s="34">
        <f>IF(AND(A1324&lt;&gt;"",ISTEXT(A1324),COUNTIFS(Processos!$AS$10:$AS$509,"="&amp;SUBSTITUTE(SUBSTITUTE(SUBSTITUTE("P:"&amp;A1324,"~","~~"),"*","~*"),"?","~?"))=1),(IF(ISNA(MATCH(SUBSTITUTE(SUBSTITUTE(SUBSTITUTE("P:"&amp;A1324,"~","~~"),"*","~*"),"?","~?"),Processos!$AS$10:$AS$509,0)),9,INDEX(Processos!$AM$10:$AM$509,MATCH(SUBSTITUTE(SUBSTITUTE(SUBSTITUTE("P:"&amp;A1324,"~","~~"),"*","~*"),"?","~?"),Processos!$AS$10:$AS$509,0)))-9),0)</f>
        <v>0</v>
      </c>
      <c r="K1324" s="34" t="str">
        <f t="shared" si="83"/>
        <v/>
      </c>
      <c r="L1324" s="14">
        <f>ROW()</f>
        <v>1324</v>
      </c>
    </row>
    <row r="1325" spans="1:12" ht="60" customHeight="1">
      <c r="A1325" s="41"/>
      <c r="B1325" s="43"/>
      <c r="C1325" s="44"/>
      <c r="D1325" s="51"/>
      <c r="E1325" s="44"/>
      <c r="F1325" s="44"/>
      <c r="G1325" s="34">
        <f t="shared" si="80"/>
        <v>0</v>
      </c>
      <c r="H1325" s="34" t="str">
        <f t="shared" si="81"/>
        <v/>
      </c>
      <c r="I1325" s="52" t="str">
        <f t="shared" si="82"/>
        <v/>
      </c>
      <c r="J1325" s="34">
        <f>IF(AND(A1325&lt;&gt;"",ISTEXT(A1325),COUNTIFS(Processos!$AS$10:$AS$509,"="&amp;SUBSTITUTE(SUBSTITUTE(SUBSTITUTE("P:"&amp;A1325,"~","~~"),"*","~*"),"?","~?"))=1),(IF(ISNA(MATCH(SUBSTITUTE(SUBSTITUTE(SUBSTITUTE("P:"&amp;A1325,"~","~~"),"*","~*"),"?","~?"),Processos!$AS$10:$AS$509,0)),9,INDEX(Processos!$AM$10:$AM$509,MATCH(SUBSTITUTE(SUBSTITUTE(SUBSTITUTE("P:"&amp;A1325,"~","~~"),"*","~*"),"?","~?"),Processos!$AS$10:$AS$509,0)))-9),0)</f>
        <v>0</v>
      </c>
      <c r="K1325" s="34" t="str">
        <f t="shared" si="83"/>
        <v/>
      </c>
      <c r="L1325" s="14">
        <f>ROW()</f>
        <v>1325</v>
      </c>
    </row>
    <row r="1326" spans="1:12" ht="60" customHeight="1">
      <c r="A1326" s="41"/>
      <c r="B1326" s="43"/>
      <c r="C1326" s="44"/>
      <c r="D1326" s="51"/>
      <c r="E1326" s="44"/>
      <c r="F1326" s="44"/>
      <c r="G1326" s="34">
        <f t="shared" si="80"/>
        <v>0</v>
      </c>
      <c r="H1326" s="34" t="str">
        <f t="shared" si="81"/>
        <v/>
      </c>
      <c r="I1326" s="52" t="str">
        <f t="shared" si="82"/>
        <v/>
      </c>
      <c r="J1326" s="34">
        <f>IF(AND(A1326&lt;&gt;"",ISTEXT(A1326),COUNTIFS(Processos!$AS$10:$AS$509,"="&amp;SUBSTITUTE(SUBSTITUTE(SUBSTITUTE("P:"&amp;A1326,"~","~~"),"*","~*"),"?","~?"))=1),(IF(ISNA(MATCH(SUBSTITUTE(SUBSTITUTE(SUBSTITUTE("P:"&amp;A1326,"~","~~"),"*","~*"),"?","~?"),Processos!$AS$10:$AS$509,0)),9,INDEX(Processos!$AM$10:$AM$509,MATCH(SUBSTITUTE(SUBSTITUTE(SUBSTITUTE("P:"&amp;A1326,"~","~~"),"*","~*"),"?","~?"),Processos!$AS$10:$AS$509,0)))-9),0)</f>
        <v>0</v>
      </c>
      <c r="K1326" s="34" t="str">
        <f t="shared" si="83"/>
        <v/>
      </c>
      <c r="L1326" s="14">
        <f>ROW()</f>
        <v>1326</v>
      </c>
    </row>
    <row r="1327" spans="1:12" ht="60" customHeight="1">
      <c r="A1327" s="41"/>
      <c r="B1327" s="43"/>
      <c r="C1327" s="44"/>
      <c r="D1327" s="51"/>
      <c r="E1327" s="44"/>
      <c r="F1327" s="44"/>
      <c r="G1327" s="34">
        <f t="shared" si="80"/>
        <v>0</v>
      </c>
      <c r="H1327" s="34" t="str">
        <f t="shared" si="81"/>
        <v/>
      </c>
      <c r="I1327" s="52" t="str">
        <f t="shared" si="82"/>
        <v/>
      </c>
      <c r="J1327" s="34">
        <f>IF(AND(A1327&lt;&gt;"",ISTEXT(A1327),COUNTIFS(Processos!$AS$10:$AS$509,"="&amp;SUBSTITUTE(SUBSTITUTE(SUBSTITUTE("P:"&amp;A1327,"~","~~"),"*","~*"),"?","~?"))=1),(IF(ISNA(MATCH(SUBSTITUTE(SUBSTITUTE(SUBSTITUTE("P:"&amp;A1327,"~","~~"),"*","~*"),"?","~?"),Processos!$AS$10:$AS$509,0)),9,INDEX(Processos!$AM$10:$AM$509,MATCH(SUBSTITUTE(SUBSTITUTE(SUBSTITUTE("P:"&amp;A1327,"~","~~"),"*","~*"),"?","~?"),Processos!$AS$10:$AS$509,0)))-9),0)</f>
        <v>0</v>
      </c>
      <c r="K1327" s="34" t="str">
        <f t="shared" si="83"/>
        <v/>
      </c>
      <c r="L1327" s="14">
        <f>ROW()</f>
        <v>1327</v>
      </c>
    </row>
    <row r="1328" spans="1:12" ht="60" customHeight="1">
      <c r="A1328" s="41"/>
      <c r="B1328" s="43"/>
      <c r="C1328" s="44"/>
      <c r="D1328" s="51"/>
      <c r="E1328" s="44"/>
      <c r="F1328" s="44"/>
      <c r="G1328" s="34">
        <f t="shared" si="80"/>
        <v>0</v>
      </c>
      <c r="H1328" s="34" t="str">
        <f t="shared" si="81"/>
        <v/>
      </c>
      <c r="I1328" s="52" t="str">
        <f t="shared" si="82"/>
        <v/>
      </c>
      <c r="J1328" s="34">
        <f>IF(AND(A1328&lt;&gt;"",ISTEXT(A1328),COUNTIFS(Processos!$AS$10:$AS$509,"="&amp;SUBSTITUTE(SUBSTITUTE(SUBSTITUTE("P:"&amp;A1328,"~","~~"),"*","~*"),"?","~?"))=1),(IF(ISNA(MATCH(SUBSTITUTE(SUBSTITUTE(SUBSTITUTE("P:"&amp;A1328,"~","~~"),"*","~*"),"?","~?"),Processos!$AS$10:$AS$509,0)),9,INDEX(Processos!$AM$10:$AM$509,MATCH(SUBSTITUTE(SUBSTITUTE(SUBSTITUTE("P:"&amp;A1328,"~","~~"),"*","~*"),"?","~?"),Processos!$AS$10:$AS$509,0)))-9),0)</f>
        <v>0</v>
      </c>
      <c r="K1328" s="34" t="str">
        <f t="shared" si="83"/>
        <v/>
      </c>
      <c r="L1328" s="14">
        <f>ROW()</f>
        <v>1328</v>
      </c>
    </row>
    <row r="1329" spans="1:12" ht="60" customHeight="1">
      <c r="A1329" s="41"/>
      <c r="B1329" s="43"/>
      <c r="C1329" s="44"/>
      <c r="D1329" s="51"/>
      <c r="E1329" s="44"/>
      <c r="F1329" s="44"/>
      <c r="G1329" s="34">
        <f t="shared" si="80"/>
        <v>0</v>
      </c>
      <c r="H1329" s="34" t="str">
        <f t="shared" si="81"/>
        <v/>
      </c>
      <c r="I1329" s="52" t="str">
        <f t="shared" si="82"/>
        <v/>
      </c>
      <c r="J1329" s="34">
        <f>IF(AND(A1329&lt;&gt;"",ISTEXT(A1329),COUNTIFS(Processos!$AS$10:$AS$509,"="&amp;SUBSTITUTE(SUBSTITUTE(SUBSTITUTE("P:"&amp;A1329,"~","~~"),"*","~*"),"?","~?"))=1),(IF(ISNA(MATCH(SUBSTITUTE(SUBSTITUTE(SUBSTITUTE("P:"&amp;A1329,"~","~~"),"*","~*"),"?","~?"),Processos!$AS$10:$AS$509,0)),9,INDEX(Processos!$AM$10:$AM$509,MATCH(SUBSTITUTE(SUBSTITUTE(SUBSTITUTE("P:"&amp;A1329,"~","~~"),"*","~*"),"?","~?"),Processos!$AS$10:$AS$509,0)))-9),0)</f>
        <v>0</v>
      </c>
      <c r="K1329" s="34" t="str">
        <f t="shared" si="83"/>
        <v/>
      </c>
      <c r="L1329" s="14">
        <f>ROW()</f>
        <v>1329</v>
      </c>
    </row>
    <row r="1330" spans="1:12" ht="60" customHeight="1">
      <c r="A1330" s="41"/>
      <c r="B1330" s="43"/>
      <c r="C1330" s="44"/>
      <c r="D1330" s="51"/>
      <c r="E1330" s="44"/>
      <c r="F1330" s="44"/>
      <c r="G1330" s="34">
        <f t="shared" si="80"/>
        <v>0</v>
      </c>
      <c r="H1330" s="34" t="str">
        <f t="shared" si="81"/>
        <v/>
      </c>
      <c r="I1330" s="52" t="str">
        <f t="shared" si="82"/>
        <v/>
      </c>
      <c r="J1330" s="34">
        <f>IF(AND(A1330&lt;&gt;"",ISTEXT(A1330),COUNTIFS(Processos!$AS$10:$AS$509,"="&amp;SUBSTITUTE(SUBSTITUTE(SUBSTITUTE("P:"&amp;A1330,"~","~~"),"*","~*"),"?","~?"))=1),(IF(ISNA(MATCH(SUBSTITUTE(SUBSTITUTE(SUBSTITUTE("P:"&amp;A1330,"~","~~"),"*","~*"),"?","~?"),Processos!$AS$10:$AS$509,0)),9,INDEX(Processos!$AM$10:$AM$509,MATCH(SUBSTITUTE(SUBSTITUTE(SUBSTITUTE("P:"&amp;A1330,"~","~~"),"*","~*"),"?","~?"),Processos!$AS$10:$AS$509,0)))-9),0)</f>
        <v>0</v>
      </c>
      <c r="K1330" s="34" t="str">
        <f t="shared" si="83"/>
        <v/>
      </c>
      <c r="L1330" s="14">
        <f>ROW()</f>
        <v>1330</v>
      </c>
    </row>
    <row r="1331" spans="1:12" ht="60" customHeight="1">
      <c r="A1331" s="41"/>
      <c r="B1331" s="43"/>
      <c r="C1331" s="44"/>
      <c r="D1331" s="51"/>
      <c r="E1331" s="44"/>
      <c r="F1331" s="44"/>
      <c r="G1331" s="34">
        <f t="shared" si="80"/>
        <v>0</v>
      </c>
      <c r="H1331" s="34" t="str">
        <f t="shared" si="81"/>
        <v/>
      </c>
      <c r="I1331" s="52" t="str">
        <f t="shared" si="82"/>
        <v/>
      </c>
      <c r="J1331" s="34">
        <f>IF(AND(A1331&lt;&gt;"",ISTEXT(A1331),COUNTIFS(Processos!$AS$10:$AS$509,"="&amp;SUBSTITUTE(SUBSTITUTE(SUBSTITUTE("P:"&amp;A1331,"~","~~"),"*","~*"),"?","~?"))=1),(IF(ISNA(MATCH(SUBSTITUTE(SUBSTITUTE(SUBSTITUTE("P:"&amp;A1331,"~","~~"),"*","~*"),"?","~?"),Processos!$AS$10:$AS$509,0)),9,INDEX(Processos!$AM$10:$AM$509,MATCH(SUBSTITUTE(SUBSTITUTE(SUBSTITUTE("P:"&amp;A1331,"~","~~"),"*","~*"),"?","~?"),Processos!$AS$10:$AS$509,0)))-9),0)</f>
        <v>0</v>
      </c>
      <c r="K1331" s="34" t="str">
        <f t="shared" si="83"/>
        <v/>
      </c>
      <c r="L1331" s="14">
        <f>ROW()</f>
        <v>1331</v>
      </c>
    </row>
    <row r="1332" spans="1:12" ht="60" customHeight="1">
      <c r="A1332" s="41"/>
      <c r="B1332" s="43"/>
      <c r="C1332" s="44"/>
      <c r="D1332" s="51"/>
      <c r="E1332" s="44"/>
      <c r="F1332" s="44"/>
      <c r="G1332" s="34">
        <f t="shared" si="80"/>
        <v>0</v>
      </c>
      <c r="H1332" s="34" t="str">
        <f t="shared" si="81"/>
        <v/>
      </c>
      <c r="I1332" s="52" t="str">
        <f t="shared" si="82"/>
        <v/>
      </c>
      <c r="J1332" s="34">
        <f>IF(AND(A1332&lt;&gt;"",ISTEXT(A1332),COUNTIFS(Processos!$AS$10:$AS$509,"="&amp;SUBSTITUTE(SUBSTITUTE(SUBSTITUTE("P:"&amp;A1332,"~","~~"),"*","~*"),"?","~?"))=1),(IF(ISNA(MATCH(SUBSTITUTE(SUBSTITUTE(SUBSTITUTE("P:"&amp;A1332,"~","~~"),"*","~*"),"?","~?"),Processos!$AS$10:$AS$509,0)),9,INDEX(Processos!$AM$10:$AM$509,MATCH(SUBSTITUTE(SUBSTITUTE(SUBSTITUTE("P:"&amp;A1332,"~","~~"),"*","~*"),"?","~?"),Processos!$AS$10:$AS$509,0)))-9),0)</f>
        <v>0</v>
      </c>
      <c r="K1332" s="34" t="str">
        <f t="shared" si="83"/>
        <v/>
      </c>
      <c r="L1332" s="14">
        <f>ROW()</f>
        <v>1332</v>
      </c>
    </row>
    <row r="1333" spans="1:12" ht="60" customHeight="1">
      <c r="A1333" s="41"/>
      <c r="B1333" s="43"/>
      <c r="C1333" s="44"/>
      <c r="D1333" s="51"/>
      <c r="E1333" s="44"/>
      <c r="F1333" s="44"/>
      <c r="G1333" s="34">
        <f t="shared" si="80"/>
        <v>0</v>
      </c>
      <c r="H1333" s="34" t="str">
        <f t="shared" si="81"/>
        <v/>
      </c>
      <c r="I1333" s="52" t="str">
        <f t="shared" si="82"/>
        <v/>
      </c>
      <c r="J1333" s="34">
        <f>IF(AND(A1333&lt;&gt;"",ISTEXT(A1333),COUNTIFS(Processos!$AS$10:$AS$509,"="&amp;SUBSTITUTE(SUBSTITUTE(SUBSTITUTE("P:"&amp;A1333,"~","~~"),"*","~*"),"?","~?"))=1),(IF(ISNA(MATCH(SUBSTITUTE(SUBSTITUTE(SUBSTITUTE("P:"&amp;A1333,"~","~~"),"*","~*"),"?","~?"),Processos!$AS$10:$AS$509,0)),9,INDEX(Processos!$AM$10:$AM$509,MATCH(SUBSTITUTE(SUBSTITUTE(SUBSTITUTE("P:"&amp;A1333,"~","~~"),"*","~*"),"?","~?"),Processos!$AS$10:$AS$509,0)))-9),0)</f>
        <v>0</v>
      </c>
      <c r="K1333" s="34" t="str">
        <f t="shared" si="83"/>
        <v/>
      </c>
      <c r="L1333" s="14">
        <f>ROW()</f>
        <v>1333</v>
      </c>
    </row>
    <row r="1334" spans="1:12" ht="60" customHeight="1">
      <c r="A1334" s="41"/>
      <c r="B1334" s="43"/>
      <c r="C1334" s="44"/>
      <c r="D1334" s="51"/>
      <c r="E1334" s="44"/>
      <c r="F1334" s="44"/>
      <c r="G1334" s="34">
        <f t="shared" si="80"/>
        <v>0</v>
      </c>
      <c r="H1334" s="34" t="str">
        <f t="shared" si="81"/>
        <v/>
      </c>
      <c r="I1334" s="52" t="str">
        <f t="shared" si="82"/>
        <v/>
      </c>
      <c r="J1334" s="34">
        <f>IF(AND(A1334&lt;&gt;"",ISTEXT(A1334),COUNTIFS(Processos!$AS$10:$AS$509,"="&amp;SUBSTITUTE(SUBSTITUTE(SUBSTITUTE("P:"&amp;A1334,"~","~~"),"*","~*"),"?","~?"))=1),(IF(ISNA(MATCH(SUBSTITUTE(SUBSTITUTE(SUBSTITUTE("P:"&amp;A1334,"~","~~"),"*","~*"),"?","~?"),Processos!$AS$10:$AS$509,0)),9,INDEX(Processos!$AM$10:$AM$509,MATCH(SUBSTITUTE(SUBSTITUTE(SUBSTITUTE("P:"&amp;A1334,"~","~~"),"*","~*"),"?","~?"),Processos!$AS$10:$AS$509,0)))-9),0)</f>
        <v>0</v>
      </c>
      <c r="K1334" s="34" t="str">
        <f t="shared" si="83"/>
        <v/>
      </c>
      <c r="L1334" s="14">
        <f>ROW()</f>
        <v>1334</v>
      </c>
    </row>
    <row r="1335" spans="1:12" ht="60" customHeight="1">
      <c r="A1335" s="41"/>
      <c r="B1335" s="43"/>
      <c r="C1335" s="44"/>
      <c r="D1335" s="51"/>
      <c r="E1335" s="44"/>
      <c r="F1335" s="44"/>
      <c r="G1335" s="34">
        <f t="shared" si="80"/>
        <v>0</v>
      </c>
      <c r="H1335" s="34" t="str">
        <f t="shared" si="81"/>
        <v/>
      </c>
      <c r="I1335" s="52" t="str">
        <f t="shared" si="82"/>
        <v/>
      </c>
      <c r="J1335" s="34">
        <f>IF(AND(A1335&lt;&gt;"",ISTEXT(A1335),COUNTIFS(Processos!$AS$10:$AS$509,"="&amp;SUBSTITUTE(SUBSTITUTE(SUBSTITUTE("P:"&amp;A1335,"~","~~"),"*","~*"),"?","~?"))=1),(IF(ISNA(MATCH(SUBSTITUTE(SUBSTITUTE(SUBSTITUTE("P:"&amp;A1335,"~","~~"),"*","~*"),"?","~?"),Processos!$AS$10:$AS$509,0)),9,INDEX(Processos!$AM$10:$AM$509,MATCH(SUBSTITUTE(SUBSTITUTE(SUBSTITUTE("P:"&amp;A1335,"~","~~"),"*","~*"),"?","~?"),Processos!$AS$10:$AS$509,0)))-9),0)</f>
        <v>0</v>
      </c>
      <c r="K1335" s="34" t="str">
        <f t="shared" si="83"/>
        <v/>
      </c>
      <c r="L1335" s="14">
        <f>ROW()</f>
        <v>1335</v>
      </c>
    </row>
    <row r="1336" spans="1:12" ht="60" customHeight="1">
      <c r="A1336" s="41"/>
      <c r="B1336" s="43"/>
      <c r="C1336" s="44"/>
      <c r="D1336" s="51"/>
      <c r="E1336" s="44"/>
      <c r="F1336" s="44"/>
      <c r="G1336" s="34">
        <f t="shared" si="80"/>
        <v>0</v>
      </c>
      <c r="H1336" s="34" t="str">
        <f t="shared" si="81"/>
        <v/>
      </c>
      <c r="I1336" s="52" t="str">
        <f t="shared" si="82"/>
        <v/>
      </c>
      <c r="J1336" s="34">
        <f>IF(AND(A1336&lt;&gt;"",ISTEXT(A1336),COUNTIFS(Processos!$AS$10:$AS$509,"="&amp;SUBSTITUTE(SUBSTITUTE(SUBSTITUTE("P:"&amp;A1336,"~","~~"),"*","~*"),"?","~?"))=1),(IF(ISNA(MATCH(SUBSTITUTE(SUBSTITUTE(SUBSTITUTE("P:"&amp;A1336,"~","~~"),"*","~*"),"?","~?"),Processos!$AS$10:$AS$509,0)),9,INDEX(Processos!$AM$10:$AM$509,MATCH(SUBSTITUTE(SUBSTITUTE(SUBSTITUTE("P:"&amp;A1336,"~","~~"),"*","~*"),"?","~?"),Processos!$AS$10:$AS$509,0)))-9),0)</f>
        <v>0</v>
      </c>
      <c r="K1336" s="34" t="str">
        <f t="shared" si="83"/>
        <v/>
      </c>
      <c r="L1336" s="14">
        <f>ROW()</f>
        <v>1336</v>
      </c>
    </row>
    <row r="1337" spans="1:12" ht="60" customHeight="1">
      <c r="A1337" s="41"/>
      <c r="B1337" s="43"/>
      <c r="C1337" s="44"/>
      <c r="D1337" s="51"/>
      <c r="E1337" s="44"/>
      <c r="F1337" s="44"/>
      <c r="G1337" s="34">
        <f t="shared" si="80"/>
        <v>0</v>
      </c>
      <c r="H1337" s="34" t="str">
        <f t="shared" si="81"/>
        <v/>
      </c>
      <c r="I1337" s="52" t="str">
        <f t="shared" si="82"/>
        <v/>
      </c>
      <c r="J1337" s="34">
        <f>IF(AND(A1337&lt;&gt;"",ISTEXT(A1337),COUNTIFS(Processos!$AS$10:$AS$509,"="&amp;SUBSTITUTE(SUBSTITUTE(SUBSTITUTE("P:"&amp;A1337,"~","~~"),"*","~*"),"?","~?"))=1),(IF(ISNA(MATCH(SUBSTITUTE(SUBSTITUTE(SUBSTITUTE("P:"&amp;A1337,"~","~~"),"*","~*"),"?","~?"),Processos!$AS$10:$AS$509,0)),9,INDEX(Processos!$AM$10:$AM$509,MATCH(SUBSTITUTE(SUBSTITUTE(SUBSTITUTE("P:"&amp;A1337,"~","~~"),"*","~*"),"?","~?"),Processos!$AS$10:$AS$509,0)))-9),0)</f>
        <v>0</v>
      </c>
      <c r="K1337" s="34" t="str">
        <f t="shared" si="83"/>
        <v/>
      </c>
      <c r="L1337" s="14">
        <f>ROW()</f>
        <v>1337</v>
      </c>
    </row>
    <row r="1338" spans="1:12" ht="60" customHeight="1">
      <c r="A1338" s="41"/>
      <c r="B1338" s="43"/>
      <c r="C1338" s="44"/>
      <c r="D1338" s="51"/>
      <c r="E1338" s="44"/>
      <c r="F1338" s="44"/>
      <c r="G1338" s="34">
        <f t="shared" si="80"/>
        <v>0</v>
      </c>
      <c r="H1338" s="34" t="str">
        <f t="shared" si="81"/>
        <v/>
      </c>
      <c r="I1338" s="52" t="str">
        <f t="shared" si="82"/>
        <v/>
      </c>
      <c r="J1338" s="34">
        <f>IF(AND(A1338&lt;&gt;"",ISTEXT(A1338),COUNTIFS(Processos!$AS$10:$AS$509,"="&amp;SUBSTITUTE(SUBSTITUTE(SUBSTITUTE("P:"&amp;A1338,"~","~~"),"*","~*"),"?","~?"))=1),(IF(ISNA(MATCH(SUBSTITUTE(SUBSTITUTE(SUBSTITUTE("P:"&amp;A1338,"~","~~"),"*","~*"),"?","~?"),Processos!$AS$10:$AS$509,0)),9,INDEX(Processos!$AM$10:$AM$509,MATCH(SUBSTITUTE(SUBSTITUTE(SUBSTITUTE("P:"&amp;A1338,"~","~~"),"*","~*"),"?","~?"),Processos!$AS$10:$AS$509,0)))-9),0)</f>
        <v>0</v>
      </c>
      <c r="K1338" s="34" t="str">
        <f t="shared" si="83"/>
        <v/>
      </c>
      <c r="L1338" s="14">
        <f>ROW()</f>
        <v>1338</v>
      </c>
    </row>
    <row r="1339" spans="1:12" ht="60" customHeight="1">
      <c r="A1339" s="41"/>
      <c r="B1339" s="43"/>
      <c r="C1339" s="44"/>
      <c r="D1339" s="51"/>
      <c r="E1339" s="44"/>
      <c r="F1339" s="44"/>
      <c r="G1339" s="34">
        <f t="shared" si="80"/>
        <v>0</v>
      </c>
      <c r="H1339" s="34" t="str">
        <f t="shared" si="81"/>
        <v/>
      </c>
      <c r="I1339" s="52" t="str">
        <f t="shared" si="82"/>
        <v/>
      </c>
      <c r="J1339" s="34">
        <f>IF(AND(A1339&lt;&gt;"",ISTEXT(A1339),COUNTIFS(Processos!$AS$10:$AS$509,"="&amp;SUBSTITUTE(SUBSTITUTE(SUBSTITUTE("P:"&amp;A1339,"~","~~"),"*","~*"),"?","~?"))=1),(IF(ISNA(MATCH(SUBSTITUTE(SUBSTITUTE(SUBSTITUTE("P:"&amp;A1339,"~","~~"),"*","~*"),"?","~?"),Processos!$AS$10:$AS$509,0)),9,INDEX(Processos!$AM$10:$AM$509,MATCH(SUBSTITUTE(SUBSTITUTE(SUBSTITUTE("P:"&amp;A1339,"~","~~"),"*","~*"),"?","~?"),Processos!$AS$10:$AS$509,0)))-9),0)</f>
        <v>0</v>
      </c>
      <c r="K1339" s="34" t="str">
        <f t="shared" si="83"/>
        <v/>
      </c>
      <c r="L1339" s="14">
        <f>ROW()</f>
        <v>1339</v>
      </c>
    </row>
    <row r="1340" spans="1:12" ht="60" customHeight="1">
      <c r="A1340" s="41"/>
      <c r="B1340" s="43"/>
      <c r="C1340" s="44"/>
      <c r="D1340" s="51"/>
      <c r="E1340" s="44"/>
      <c r="F1340" s="44"/>
      <c r="G1340" s="34">
        <f t="shared" si="80"/>
        <v>0</v>
      </c>
      <c r="H1340" s="34" t="str">
        <f t="shared" si="81"/>
        <v/>
      </c>
      <c r="I1340" s="52" t="str">
        <f t="shared" si="82"/>
        <v/>
      </c>
      <c r="J1340" s="34">
        <f>IF(AND(A1340&lt;&gt;"",ISTEXT(A1340),COUNTIFS(Processos!$AS$10:$AS$509,"="&amp;SUBSTITUTE(SUBSTITUTE(SUBSTITUTE("P:"&amp;A1340,"~","~~"),"*","~*"),"?","~?"))=1),(IF(ISNA(MATCH(SUBSTITUTE(SUBSTITUTE(SUBSTITUTE("P:"&amp;A1340,"~","~~"),"*","~*"),"?","~?"),Processos!$AS$10:$AS$509,0)),9,INDEX(Processos!$AM$10:$AM$509,MATCH(SUBSTITUTE(SUBSTITUTE(SUBSTITUTE("P:"&amp;A1340,"~","~~"),"*","~*"),"?","~?"),Processos!$AS$10:$AS$509,0)))-9),0)</f>
        <v>0</v>
      </c>
      <c r="K1340" s="34" t="str">
        <f t="shared" si="83"/>
        <v/>
      </c>
      <c r="L1340" s="14">
        <f>ROW()</f>
        <v>1340</v>
      </c>
    </row>
    <row r="1341" spans="1:12" ht="60" customHeight="1">
      <c r="A1341" s="41"/>
      <c r="B1341" s="43"/>
      <c r="C1341" s="44"/>
      <c r="D1341" s="51"/>
      <c r="E1341" s="44"/>
      <c r="F1341" s="44"/>
      <c r="G1341" s="34">
        <f t="shared" si="80"/>
        <v>0</v>
      </c>
      <c r="H1341" s="34" t="str">
        <f t="shared" si="81"/>
        <v/>
      </c>
      <c r="I1341" s="52" t="str">
        <f t="shared" si="82"/>
        <v/>
      </c>
      <c r="J1341" s="34">
        <f>IF(AND(A1341&lt;&gt;"",ISTEXT(A1341),COUNTIFS(Processos!$AS$10:$AS$509,"="&amp;SUBSTITUTE(SUBSTITUTE(SUBSTITUTE("P:"&amp;A1341,"~","~~"),"*","~*"),"?","~?"))=1),(IF(ISNA(MATCH(SUBSTITUTE(SUBSTITUTE(SUBSTITUTE("P:"&amp;A1341,"~","~~"),"*","~*"),"?","~?"),Processos!$AS$10:$AS$509,0)),9,INDEX(Processos!$AM$10:$AM$509,MATCH(SUBSTITUTE(SUBSTITUTE(SUBSTITUTE("P:"&amp;A1341,"~","~~"),"*","~*"),"?","~?"),Processos!$AS$10:$AS$509,0)))-9),0)</f>
        <v>0</v>
      </c>
      <c r="K1341" s="34" t="str">
        <f t="shared" si="83"/>
        <v/>
      </c>
      <c r="L1341" s="14">
        <f>ROW()</f>
        <v>1341</v>
      </c>
    </row>
    <row r="1342" spans="1:12" ht="60" customHeight="1">
      <c r="A1342" s="41"/>
      <c r="B1342" s="43"/>
      <c r="C1342" s="44"/>
      <c r="D1342" s="51"/>
      <c r="E1342" s="44"/>
      <c r="F1342" s="44"/>
      <c r="G1342" s="34">
        <f t="shared" si="80"/>
        <v>0</v>
      </c>
      <c r="H1342" s="34" t="str">
        <f t="shared" si="81"/>
        <v/>
      </c>
      <c r="I1342" s="52" t="str">
        <f t="shared" si="82"/>
        <v/>
      </c>
      <c r="J1342" s="34">
        <f>IF(AND(A1342&lt;&gt;"",ISTEXT(A1342),COUNTIFS(Processos!$AS$10:$AS$509,"="&amp;SUBSTITUTE(SUBSTITUTE(SUBSTITUTE("P:"&amp;A1342,"~","~~"),"*","~*"),"?","~?"))=1),(IF(ISNA(MATCH(SUBSTITUTE(SUBSTITUTE(SUBSTITUTE("P:"&amp;A1342,"~","~~"),"*","~*"),"?","~?"),Processos!$AS$10:$AS$509,0)),9,INDEX(Processos!$AM$10:$AM$509,MATCH(SUBSTITUTE(SUBSTITUTE(SUBSTITUTE("P:"&amp;A1342,"~","~~"),"*","~*"),"?","~?"),Processos!$AS$10:$AS$509,0)))-9),0)</f>
        <v>0</v>
      </c>
      <c r="K1342" s="34" t="str">
        <f t="shared" si="83"/>
        <v/>
      </c>
      <c r="L1342" s="14">
        <f>ROW()</f>
        <v>1342</v>
      </c>
    </row>
    <row r="1343" spans="1:12" ht="60" customHeight="1">
      <c r="A1343" s="41"/>
      <c r="B1343" s="43"/>
      <c r="C1343" s="44"/>
      <c r="D1343" s="51"/>
      <c r="E1343" s="44"/>
      <c r="F1343" s="44"/>
      <c r="G1343" s="34">
        <f t="shared" si="80"/>
        <v>0</v>
      </c>
      <c r="H1343" s="34" t="str">
        <f t="shared" si="81"/>
        <v/>
      </c>
      <c r="I1343" s="52" t="str">
        <f t="shared" si="82"/>
        <v/>
      </c>
      <c r="J1343" s="34">
        <f>IF(AND(A1343&lt;&gt;"",ISTEXT(A1343),COUNTIFS(Processos!$AS$10:$AS$509,"="&amp;SUBSTITUTE(SUBSTITUTE(SUBSTITUTE("P:"&amp;A1343,"~","~~"),"*","~*"),"?","~?"))=1),(IF(ISNA(MATCH(SUBSTITUTE(SUBSTITUTE(SUBSTITUTE("P:"&amp;A1343,"~","~~"),"*","~*"),"?","~?"),Processos!$AS$10:$AS$509,0)),9,INDEX(Processos!$AM$10:$AM$509,MATCH(SUBSTITUTE(SUBSTITUTE(SUBSTITUTE("P:"&amp;A1343,"~","~~"),"*","~*"),"?","~?"),Processos!$AS$10:$AS$509,0)))-9),0)</f>
        <v>0</v>
      </c>
      <c r="K1343" s="34" t="str">
        <f t="shared" si="83"/>
        <v/>
      </c>
      <c r="L1343" s="14">
        <f>ROW()</f>
        <v>1343</v>
      </c>
    </row>
    <row r="1344" spans="1:12" ht="60" customHeight="1">
      <c r="A1344" s="41"/>
      <c r="B1344" s="43"/>
      <c r="C1344" s="44"/>
      <c r="D1344" s="51"/>
      <c r="E1344" s="44"/>
      <c r="F1344" s="44"/>
      <c r="G1344" s="34">
        <f t="shared" si="80"/>
        <v>0</v>
      </c>
      <c r="H1344" s="34" t="str">
        <f t="shared" si="81"/>
        <v/>
      </c>
      <c r="I1344" s="52" t="str">
        <f t="shared" si="82"/>
        <v/>
      </c>
      <c r="J1344" s="34">
        <f>IF(AND(A1344&lt;&gt;"",ISTEXT(A1344),COUNTIFS(Processos!$AS$10:$AS$509,"="&amp;SUBSTITUTE(SUBSTITUTE(SUBSTITUTE("P:"&amp;A1344,"~","~~"),"*","~*"),"?","~?"))=1),(IF(ISNA(MATCH(SUBSTITUTE(SUBSTITUTE(SUBSTITUTE("P:"&amp;A1344,"~","~~"),"*","~*"),"?","~?"),Processos!$AS$10:$AS$509,0)),9,INDEX(Processos!$AM$10:$AM$509,MATCH(SUBSTITUTE(SUBSTITUTE(SUBSTITUTE("P:"&amp;A1344,"~","~~"),"*","~*"),"?","~?"),Processos!$AS$10:$AS$509,0)))-9),0)</f>
        <v>0</v>
      </c>
      <c r="K1344" s="34" t="str">
        <f t="shared" si="83"/>
        <v/>
      </c>
      <c r="L1344" s="14">
        <f>ROW()</f>
        <v>1344</v>
      </c>
    </row>
    <row r="1345" spans="1:12" ht="60" customHeight="1">
      <c r="A1345" s="41"/>
      <c r="B1345" s="43"/>
      <c r="C1345" s="44"/>
      <c r="D1345" s="51"/>
      <c r="E1345" s="44"/>
      <c r="F1345" s="44"/>
      <c r="G1345" s="34">
        <f t="shared" si="80"/>
        <v>0</v>
      </c>
      <c r="H1345" s="34" t="str">
        <f t="shared" si="81"/>
        <v/>
      </c>
      <c r="I1345" s="52" t="str">
        <f t="shared" si="82"/>
        <v/>
      </c>
      <c r="J1345" s="34">
        <f>IF(AND(A1345&lt;&gt;"",ISTEXT(A1345),COUNTIFS(Processos!$AS$10:$AS$509,"="&amp;SUBSTITUTE(SUBSTITUTE(SUBSTITUTE("P:"&amp;A1345,"~","~~"),"*","~*"),"?","~?"))=1),(IF(ISNA(MATCH(SUBSTITUTE(SUBSTITUTE(SUBSTITUTE("P:"&amp;A1345,"~","~~"),"*","~*"),"?","~?"),Processos!$AS$10:$AS$509,0)),9,INDEX(Processos!$AM$10:$AM$509,MATCH(SUBSTITUTE(SUBSTITUTE(SUBSTITUTE("P:"&amp;A1345,"~","~~"),"*","~*"),"?","~?"),Processos!$AS$10:$AS$509,0)))-9),0)</f>
        <v>0</v>
      </c>
      <c r="K1345" s="34" t="str">
        <f t="shared" si="83"/>
        <v/>
      </c>
      <c r="L1345" s="14">
        <f>ROW()</f>
        <v>1345</v>
      </c>
    </row>
    <row r="1346" spans="1:12" ht="60" customHeight="1">
      <c r="A1346" s="41"/>
      <c r="B1346" s="43"/>
      <c r="C1346" s="44"/>
      <c r="D1346" s="51"/>
      <c r="E1346" s="44"/>
      <c r="F1346" s="44"/>
      <c r="G1346" s="34">
        <f t="shared" si="80"/>
        <v>0</v>
      </c>
      <c r="H1346" s="34" t="str">
        <f t="shared" si="81"/>
        <v/>
      </c>
      <c r="I1346" s="52" t="str">
        <f t="shared" si="82"/>
        <v/>
      </c>
      <c r="J1346" s="34">
        <f>IF(AND(A1346&lt;&gt;"",ISTEXT(A1346),COUNTIFS(Processos!$AS$10:$AS$509,"="&amp;SUBSTITUTE(SUBSTITUTE(SUBSTITUTE("P:"&amp;A1346,"~","~~"),"*","~*"),"?","~?"))=1),(IF(ISNA(MATCH(SUBSTITUTE(SUBSTITUTE(SUBSTITUTE("P:"&amp;A1346,"~","~~"),"*","~*"),"?","~?"),Processos!$AS$10:$AS$509,0)),9,INDEX(Processos!$AM$10:$AM$509,MATCH(SUBSTITUTE(SUBSTITUTE(SUBSTITUTE("P:"&amp;A1346,"~","~~"),"*","~*"),"?","~?"),Processos!$AS$10:$AS$509,0)))-9),0)</f>
        <v>0</v>
      </c>
      <c r="K1346" s="34" t="str">
        <f t="shared" si="83"/>
        <v/>
      </c>
      <c r="L1346" s="14">
        <f>ROW()</f>
        <v>1346</v>
      </c>
    </row>
    <row r="1347" spans="1:12" ht="60" customHeight="1">
      <c r="A1347" s="41"/>
      <c r="B1347" s="43"/>
      <c r="C1347" s="44"/>
      <c r="D1347" s="51"/>
      <c r="E1347" s="44"/>
      <c r="F1347" s="44"/>
      <c r="G1347" s="34">
        <f t="shared" si="80"/>
        <v>0</v>
      </c>
      <c r="H1347" s="34" t="str">
        <f t="shared" si="81"/>
        <v/>
      </c>
      <c r="I1347" s="52" t="str">
        <f t="shared" si="82"/>
        <v/>
      </c>
      <c r="J1347" s="34">
        <f>IF(AND(A1347&lt;&gt;"",ISTEXT(A1347),COUNTIFS(Processos!$AS$10:$AS$509,"="&amp;SUBSTITUTE(SUBSTITUTE(SUBSTITUTE("P:"&amp;A1347,"~","~~"),"*","~*"),"?","~?"))=1),(IF(ISNA(MATCH(SUBSTITUTE(SUBSTITUTE(SUBSTITUTE("P:"&amp;A1347,"~","~~"),"*","~*"),"?","~?"),Processos!$AS$10:$AS$509,0)),9,INDEX(Processos!$AM$10:$AM$509,MATCH(SUBSTITUTE(SUBSTITUTE(SUBSTITUTE("P:"&amp;A1347,"~","~~"),"*","~*"),"?","~?"),Processos!$AS$10:$AS$509,0)))-9),0)</f>
        <v>0</v>
      </c>
      <c r="K1347" s="34" t="str">
        <f t="shared" si="83"/>
        <v/>
      </c>
      <c r="L1347" s="14">
        <f>ROW()</f>
        <v>1347</v>
      </c>
    </row>
    <row r="1348" spans="1:12" ht="60" customHeight="1">
      <c r="A1348" s="41"/>
      <c r="B1348" s="43"/>
      <c r="C1348" s="44"/>
      <c r="D1348" s="51"/>
      <c r="E1348" s="44"/>
      <c r="F1348" s="44"/>
      <c r="G1348" s="34">
        <f t="shared" si="80"/>
        <v>0</v>
      </c>
      <c r="H1348" s="34" t="str">
        <f t="shared" si="81"/>
        <v/>
      </c>
      <c r="I1348" s="52" t="str">
        <f t="shared" si="82"/>
        <v/>
      </c>
      <c r="J1348" s="34">
        <f>IF(AND(A1348&lt;&gt;"",ISTEXT(A1348),COUNTIFS(Processos!$AS$10:$AS$509,"="&amp;SUBSTITUTE(SUBSTITUTE(SUBSTITUTE("P:"&amp;A1348,"~","~~"),"*","~*"),"?","~?"))=1),(IF(ISNA(MATCH(SUBSTITUTE(SUBSTITUTE(SUBSTITUTE("P:"&amp;A1348,"~","~~"),"*","~*"),"?","~?"),Processos!$AS$10:$AS$509,0)),9,INDEX(Processos!$AM$10:$AM$509,MATCH(SUBSTITUTE(SUBSTITUTE(SUBSTITUTE("P:"&amp;A1348,"~","~~"),"*","~*"),"?","~?"),Processos!$AS$10:$AS$509,0)))-9),0)</f>
        <v>0</v>
      </c>
      <c r="K1348" s="34" t="str">
        <f t="shared" si="83"/>
        <v/>
      </c>
      <c r="L1348" s="14">
        <f>ROW()</f>
        <v>1348</v>
      </c>
    </row>
    <row r="1349" spans="1:12" ht="60" customHeight="1">
      <c r="A1349" s="41"/>
      <c r="B1349" s="43"/>
      <c r="C1349" s="44"/>
      <c r="D1349" s="51"/>
      <c r="E1349" s="44"/>
      <c r="F1349" s="44"/>
      <c r="G1349" s="34">
        <f t="shared" si="80"/>
        <v>0</v>
      </c>
      <c r="H1349" s="34" t="str">
        <f t="shared" si="81"/>
        <v/>
      </c>
      <c r="I1349" s="52" t="str">
        <f t="shared" si="82"/>
        <v/>
      </c>
      <c r="J1349" s="34">
        <f>IF(AND(A1349&lt;&gt;"",ISTEXT(A1349),COUNTIFS(Processos!$AS$10:$AS$509,"="&amp;SUBSTITUTE(SUBSTITUTE(SUBSTITUTE("P:"&amp;A1349,"~","~~"),"*","~*"),"?","~?"))=1),(IF(ISNA(MATCH(SUBSTITUTE(SUBSTITUTE(SUBSTITUTE("P:"&amp;A1349,"~","~~"),"*","~*"),"?","~?"),Processos!$AS$10:$AS$509,0)),9,INDEX(Processos!$AM$10:$AM$509,MATCH(SUBSTITUTE(SUBSTITUTE(SUBSTITUTE("P:"&amp;A1349,"~","~~"),"*","~*"),"?","~?"),Processos!$AS$10:$AS$509,0)))-9),0)</f>
        <v>0</v>
      </c>
      <c r="K1349" s="34" t="str">
        <f t="shared" si="83"/>
        <v/>
      </c>
      <c r="L1349" s="14">
        <f>ROW()</f>
        <v>1349</v>
      </c>
    </row>
    <row r="1350" spans="1:12" ht="60" customHeight="1">
      <c r="A1350" s="41"/>
      <c r="B1350" s="43"/>
      <c r="C1350" s="44"/>
      <c r="D1350" s="51"/>
      <c r="E1350" s="44"/>
      <c r="F1350" s="44"/>
      <c r="G1350" s="34">
        <f t="shared" si="80"/>
        <v>0</v>
      </c>
      <c r="H1350" s="34" t="str">
        <f t="shared" si="81"/>
        <v/>
      </c>
      <c r="I1350" s="52" t="str">
        <f t="shared" si="82"/>
        <v/>
      </c>
      <c r="J1350" s="34">
        <f>IF(AND(A1350&lt;&gt;"",ISTEXT(A1350),COUNTIFS(Processos!$AS$10:$AS$509,"="&amp;SUBSTITUTE(SUBSTITUTE(SUBSTITUTE("P:"&amp;A1350,"~","~~"),"*","~*"),"?","~?"))=1),(IF(ISNA(MATCH(SUBSTITUTE(SUBSTITUTE(SUBSTITUTE("P:"&amp;A1350,"~","~~"),"*","~*"),"?","~?"),Processos!$AS$10:$AS$509,0)),9,INDEX(Processos!$AM$10:$AM$509,MATCH(SUBSTITUTE(SUBSTITUTE(SUBSTITUTE("P:"&amp;A1350,"~","~~"),"*","~*"),"?","~?"),Processos!$AS$10:$AS$509,0)))-9),0)</f>
        <v>0</v>
      </c>
      <c r="K1350" s="34" t="str">
        <f t="shared" si="83"/>
        <v/>
      </c>
      <c r="L1350" s="14">
        <f>ROW()</f>
        <v>1350</v>
      </c>
    </row>
    <row r="1351" spans="1:12" ht="60" customHeight="1">
      <c r="A1351" s="41"/>
      <c r="B1351" s="43"/>
      <c r="C1351" s="44"/>
      <c r="D1351" s="51"/>
      <c r="E1351" s="44"/>
      <c r="F1351" s="44"/>
      <c r="G1351" s="34">
        <f t="shared" si="80"/>
        <v>0</v>
      </c>
      <c r="H1351" s="34" t="str">
        <f t="shared" si="81"/>
        <v/>
      </c>
      <c r="I1351" s="52" t="str">
        <f t="shared" si="82"/>
        <v/>
      </c>
      <c r="J1351" s="34">
        <f>IF(AND(A1351&lt;&gt;"",ISTEXT(A1351),COUNTIFS(Processos!$AS$10:$AS$509,"="&amp;SUBSTITUTE(SUBSTITUTE(SUBSTITUTE("P:"&amp;A1351,"~","~~"),"*","~*"),"?","~?"))=1),(IF(ISNA(MATCH(SUBSTITUTE(SUBSTITUTE(SUBSTITUTE("P:"&amp;A1351,"~","~~"),"*","~*"),"?","~?"),Processos!$AS$10:$AS$509,0)),9,INDEX(Processos!$AM$10:$AM$509,MATCH(SUBSTITUTE(SUBSTITUTE(SUBSTITUTE("P:"&amp;A1351,"~","~~"),"*","~*"),"?","~?"),Processos!$AS$10:$AS$509,0)))-9),0)</f>
        <v>0</v>
      </c>
      <c r="K1351" s="34" t="str">
        <f t="shared" si="83"/>
        <v/>
      </c>
      <c r="L1351" s="14">
        <f>ROW()</f>
        <v>1351</v>
      </c>
    </row>
    <row r="1352" spans="1:12" ht="60" customHeight="1">
      <c r="A1352" s="41"/>
      <c r="B1352" s="43"/>
      <c r="C1352" s="44"/>
      <c r="D1352" s="51"/>
      <c r="E1352" s="44"/>
      <c r="F1352" s="44"/>
      <c r="G1352" s="34">
        <f t="shared" si="80"/>
        <v>0</v>
      </c>
      <c r="H1352" s="34" t="str">
        <f t="shared" si="81"/>
        <v/>
      </c>
      <c r="I1352" s="52" t="str">
        <f t="shared" si="82"/>
        <v/>
      </c>
      <c r="J1352" s="34">
        <f>IF(AND(A1352&lt;&gt;"",ISTEXT(A1352),COUNTIFS(Processos!$AS$10:$AS$509,"="&amp;SUBSTITUTE(SUBSTITUTE(SUBSTITUTE("P:"&amp;A1352,"~","~~"),"*","~*"),"?","~?"))=1),(IF(ISNA(MATCH(SUBSTITUTE(SUBSTITUTE(SUBSTITUTE("P:"&amp;A1352,"~","~~"),"*","~*"),"?","~?"),Processos!$AS$10:$AS$509,0)),9,INDEX(Processos!$AM$10:$AM$509,MATCH(SUBSTITUTE(SUBSTITUTE(SUBSTITUTE("P:"&amp;A1352,"~","~~"),"*","~*"),"?","~?"),Processos!$AS$10:$AS$509,0)))-9),0)</f>
        <v>0</v>
      </c>
      <c r="K1352" s="34" t="str">
        <f t="shared" si="83"/>
        <v/>
      </c>
      <c r="L1352" s="14">
        <f>ROW()</f>
        <v>1352</v>
      </c>
    </row>
    <row r="1353" spans="1:12" ht="60" customHeight="1">
      <c r="A1353" s="41"/>
      <c r="B1353" s="43"/>
      <c r="C1353" s="44"/>
      <c r="D1353" s="51"/>
      <c r="E1353" s="44"/>
      <c r="F1353" s="44"/>
      <c r="G1353" s="34">
        <f t="shared" si="80"/>
        <v>0</v>
      </c>
      <c r="H1353" s="34" t="str">
        <f t="shared" si="81"/>
        <v/>
      </c>
      <c r="I1353" s="52" t="str">
        <f t="shared" si="82"/>
        <v/>
      </c>
      <c r="J1353" s="34">
        <f>IF(AND(A1353&lt;&gt;"",ISTEXT(A1353),COUNTIFS(Processos!$AS$10:$AS$509,"="&amp;SUBSTITUTE(SUBSTITUTE(SUBSTITUTE("P:"&amp;A1353,"~","~~"),"*","~*"),"?","~?"))=1),(IF(ISNA(MATCH(SUBSTITUTE(SUBSTITUTE(SUBSTITUTE("P:"&amp;A1353,"~","~~"),"*","~*"),"?","~?"),Processos!$AS$10:$AS$509,0)),9,INDEX(Processos!$AM$10:$AM$509,MATCH(SUBSTITUTE(SUBSTITUTE(SUBSTITUTE("P:"&amp;A1353,"~","~~"),"*","~*"),"?","~?"),Processos!$AS$10:$AS$509,0)))-9),0)</f>
        <v>0</v>
      </c>
      <c r="K1353" s="34" t="str">
        <f t="shared" si="83"/>
        <v/>
      </c>
      <c r="L1353" s="14">
        <f>ROW()</f>
        <v>1353</v>
      </c>
    </row>
    <row r="1354" spans="1:12" ht="60" customHeight="1">
      <c r="A1354" s="41"/>
      <c r="B1354" s="43"/>
      <c r="C1354" s="44"/>
      <c r="D1354" s="51"/>
      <c r="E1354" s="44"/>
      <c r="F1354" s="44"/>
      <c r="G1354" s="34">
        <f t="shared" ref="G1354:G1417" si="84">IF(AND(J1354&gt;0,OR(B1354="",AND(ISNUMBER(B1354),B1354&gt;=1,B1354&lt;=100000)),ISNUMBER(D1354),D1354&gt;=1,D1354&lt;=100000,C1354&lt;&gt;""),1,0)</f>
        <v>0</v>
      </c>
      <c r="H1354" s="34" t="str">
        <f t="shared" ref="H1354:H1417" si="85">IF(G1354=1,K1354&amp;"|"&amp;D1354,"")</f>
        <v/>
      </c>
      <c r="I1354" s="52" t="str">
        <f t="shared" ref="I1354:I1417" si="86">IF(COUNTA(A1354:F1354)=0,"",IF(A1354="","Selecione o processo",IF(J1354=0,"Processo inexistente, duplicado ou número não textual",IF(B1354="","Informe a data do andamento",IF(C1354="","Descreva o andamento",IF(D1354="","Informe a data e hora do recebimento",IF(OR(NOT(ISNUMBER(B1354)),B1354&lt;1,B1354&gt;100000),"Revise a data do andamento",IF(OR(NOT(ISNUMBER(D1354)),D1354&lt;1,D1354&gt;100000),"Revise a data e hora do recebimento",IF(COUNTIFS($K$10:$K$2009,"="&amp;SUBSTITUTE(SUBSTITUTE(SUBSTITUTE("P:"&amp;A1354,"~","~~"),"*","~*"),"?","~?"),$D$10:$D$2009,D1354,$G$10:$G$2009,1)&gt;1,"Recebimentos empatados: revise a hora ou consolide o registro","")))))))))</f>
        <v/>
      </c>
      <c r="J1354" s="34">
        <f>IF(AND(A1354&lt;&gt;"",ISTEXT(A1354),COUNTIFS(Processos!$AS$10:$AS$509,"="&amp;SUBSTITUTE(SUBSTITUTE(SUBSTITUTE("P:"&amp;A1354,"~","~~"),"*","~*"),"?","~?"))=1),(IF(ISNA(MATCH(SUBSTITUTE(SUBSTITUTE(SUBSTITUTE("P:"&amp;A1354,"~","~~"),"*","~*"),"?","~?"),Processos!$AS$10:$AS$509,0)),9,INDEX(Processos!$AM$10:$AM$509,MATCH(SUBSTITUTE(SUBSTITUTE(SUBSTITUTE("P:"&amp;A1354,"~","~~"),"*","~*"),"?","~?"),Processos!$AS$10:$AS$509,0)))-9),0)</f>
        <v>0</v>
      </c>
      <c r="K1354" s="34" t="str">
        <f t="shared" ref="K1354:K1417" si="87">IF(AND(A1354&lt;&gt;"",ISTEXT(A1354)),"P:"&amp;A1354,"")</f>
        <v/>
      </c>
      <c r="L1354" s="14">
        <f>ROW()</f>
        <v>1354</v>
      </c>
    </row>
    <row r="1355" spans="1:12" ht="60" customHeight="1">
      <c r="A1355" s="41"/>
      <c r="B1355" s="43"/>
      <c r="C1355" s="44"/>
      <c r="D1355" s="51"/>
      <c r="E1355" s="44"/>
      <c r="F1355" s="44"/>
      <c r="G1355" s="34">
        <f t="shared" si="84"/>
        <v>0</v>
      </c>
      <c r="H1355" s="34" t="str">
        <f t="shared" si="85"/>
        <v/>
      </c>
      <c r="I1355" s="52" t="str">
        <f t="shared" si="86"/>
        <v/>
      </c>
      <c r="J1355" s="34">
        <f>IF(AND(A1355&lt;&gt;"",ISTEXT(A1355),COUNTIFS(Processos!$AS$10:$AS$509,"="&amp;SUBSTITUTE(SUBSTITUTE(SUBSTITUTE("P:"&amp;A1355,"~","~~"),"*","~*"),"?","~?"))=1),(IF(ISNA(MATCH(SUBSTITUTE(SUBSTITUTE(SUBSTITUTE("P:"&amp;A1355,"~","~~"),"*","~*"),"?","~?"),Processos!$AS$10:$AS$509,0)),9,INDEX(Processos!$AM$10:$AM$509,MATCH(SUBSTITUTE(SUBSTITUTE(SUBSTITUTE("P:"&amp;A1355,"~","~~"),"*","~*"),"?","~?"),Processos!$AS$10:$AS$509,0)))-9),0)</f>
        <v>0</v>
      </c>
      <c r="K1355" s="34" t="str">
        <f t="shared" si="87"/>
        <v/>
      </c>
      <c r="L1355" s="14">
        <f>ROW()</f>
        <v>1355</v>
      </c>
    </row>
    <row r="1356" spans="1:12" ht="60" customHeight="1">
      <c r="A1356" s="41"/>
      <c r="B1356" s="43"/>
      <c r="C1356" s="44"/>
      <c r="D1356" s="51"/>
      <c r="E1356" s="44"/>
      <c r="F1356" s="44"/>
      <c r="G1356" s="34">
        <f t="shared" si="84"/>
        <v>0</v>
      </c>
      <c r="H1356" s="34" t="str">
        <f t="shared" si="85"/>
        <v/>
      </c>
      <c r="I1356" s="52" t="str">
        <f t="shared" si="86"/>
        <v/>
      </c>
      <c r="J1356" s="34">
        <f>IF(AND(A1356&lt;&gt;"",ISTEXT(A1356),COUNTIFS(Processos!$AS$10:$AS$509,"="&amp;SUBSTITUTE(SUBSTITUTE(SUBSTITUTE("P:"&amp;A1356,"~","~~"),"*","~*"),"?","~?"))=1),(IF(ISNA(MATCH(SUBSTITUTE(SUBSTITUTE(SUBSTITUTE("P:"&amp;A1356,"~","~~"),"*","~*"),"?","~?"),Processos!$AS$10:$AS$509,0)),9,INDEX(Processos!$AM$10:$AM$509,MATCH(SUBSTITUTE(SUBSTITUTE(SUBSTITUTE("P:"&amp;A1356,"~","~~"),"*","~*"),"?","~?"),Processos!$AS$10:$AS$509,0)))-9),0)</f>
        <v>0</v>
      </c>
      <c r="K1356" s="34" t="str">
        <f t="shared" si="87"/>
        <v/>
      </c>
      <c r="L1356" s="14">
        <f>ROW()</f>
        <v>1356</v>
      </c>
    </row>
    <row r="1357" spans="1:12" ht="60" customHeight="1">
      <c r="A1357" s="41"/>
      <c r="B1357" s="43"/>
      <c r="C1357" s="44"/>
      <c r="D1357" s="51"/>
      <c r="E1357" s="44"/>
      <c r="F1357" s="44"/>
      <c r="G1357" s="34">
        <f t="shared" si="84"/>
        <v>0</v>
      </c>
      <c r="H1357" s="34" t="str">
        <f t="shared" si="85"/>
        <v/>
      </c>
      <c r="I1357" s="52" t="str">
        <f t="shared" si="86"/>
        <v/>
      </c>
      <c r="J1357" s="34">
        <f>IF(AND(A1357&lt;&gt;"",ISTEXT(A1357),COUNTIFS(Processos!$AS$10:$AS$509,"="&amp;SUBSTITUTE(SUBSTITUTE(SUBSTITUTE("P:"&amp;A1357,"~","~~"),"*","~*"),"?","~?"))=1),(IF(ISNA(MATCH(SUBSTITUTE(SUBSTITUTE(SUBSTITUTE("P:"&amp;A1357,"~","~~"),"*","~*"),"?","~?"),Processos!$AS$10:$AS$509,0)),9,INDEX(Processos!$AM$10:$AM$509,MATCH(SUBSTITUTE(SUBSTITUTE(SUBSTITUTE("P:"&amp;A1357,"~","~~"),"*","~*"),"?","~?"),Processos!$AS$10:$AS$509,0)))-9),0)</f>
        <v>0</v>
      </c>
      <c r="K1357" s="34" t="str">
        <f t="shared" si="87"/>
        <v/>
      </c>
      <c r="L1357" s="14">
        <f>ROW()</f>
        <v>1357</v>
      </c>
    </row>
    <row r="1358" spans="1:12" ht="60" customHeight="1">
      <c r="A1358" s="41"/>
      <c r="B1358" s="43"/>
      <c r="C1358" s="44"/>
      <c r="D1358" s="51"/>
      <c r="E1358" s="44"/>
      <c r="F1358" s="44"/>
      <c r="G1358" s="34">
        <f t="shared" si="84"/>
        <v>0</v>
      </c>
      <c r="H1358" s="34" t="str">
        <f t="shared" si="85"/>
        <v/>
      </c>
      <c r="I1358" s="52" t="str">
        <f t="shared" si="86"/>
        <v/>
      </c>
      <c r="J1358" s="34">
        <f>IF(AND(A1358&lt;&gt;"",ISTEXT(A1358),COUNTIFS(Processos!$AS$10:$AS$509,"="&amp;SUBSTITUTE(SUBSTITUTE(SUBSTITUTE("P:"&amp;A1358,"~","~~"),"*","~*"),"?","~?"))=1),(IF(ISNA(MATCH(SUBSTITUTE(SUBSTITUTE(SUBSTITUTE("P:"&amp;A1358,"~","~~"),"*","~*"),"?","~?"),Processos!$AS$10:$AS$509,0)),9,INDEX(Processos!$AM$10:$AM$509,MATCH(SUBSTITUTE(SUBSTITUTE(SUBSTITUTE("P:"&amp;A1358,"~","~~"),"*","~*"),"?","~?"),Processos!$AS$10:$AS$509,0)))-9),0)</f>
        <v>0</v>
      </c>
      <c r="K1358" s="34" t="str">
        <f t="shared" si="87"/>
        <v/>
      </c>
      <c r="L1358" s="14">
        <f>ROW()</f>
        <v>1358</v>
      </c>
    </row>
    <row r="1359" spans="1:12" ht="60" customHeight="1">
      <c r="A1359" s="41"/>
      <c r="B1359" s="43"/>
      <c r="C1359" s="44"/>
      <c r="D1359" s="51"/>
      <c r="E1359" s="44"/>
      <c r="F1359" s="44"/>
      <c r="G1359" s="34">
        <f t="shared" si="84"/>
        <v>0</v>
      </c>
      <c r="H1359" s="34" t="str">
        <f t="shared" si="85"/>
        <v/>
      </c>
      <c r="I1359" s="52" t="str">
        <f t="shared" si="86"/>
        <v/>
      </c>
      <c r="J1359" s="34">
        <f>IF(AND(A1359&lt;&gt;"",ISTEXT(A1359),COUNTIFS(Processos!$AS$10:$AS$509,"="&amp;SUBSTITUTE(SUBSTITUTE(SUBSTITUTE("P:"&amp;A1359,"~","~~"),"*","~*"),"?","~?"))=1),(IF(ISNA(MATCH(SUBSTITUTE(SUBSTITUTE(SUBSTITUTE("P:"&amp;A1359,"~","~~"),"*","~*"),"?","~?"),Processos!$AS$10:$AS$509,0)),9,INDEX(Processos!$AM$10:$AM$509,MATCH(SUBSTITUTE(SUBSTITUTE(SUBSTITUTE("P:"&amp;A1359,"~","~~"),"*","~*"),"?","~?"),Processos!$AS$10:$AS$509,0)))-9),0)</f>
        <v>0</v>
      </c>
      <c r="K1359" s="34" t="str">
        <f t="shared" si="87"/>
        <v/>
      </c>
      <c r="L1359" s="14">
        <f>ROW()</f>
        <v>1359</v>
      </c>
    </row>
    <row r="1360" spans="1:12" ht="60" customHeight="1">
      <c r="A1360" s="41"/>
      <c r="B1360" s="43"/>
      <c r="C1360" s="44"/>
      <c r="D1360" s="51"/>
      <c r="E1360" s="44"/>
      <c r="F1360" s="44"/>
      <c r="G1360" s="34">
        <f t="shared" si="84"/>
        <v>0</v>
      </c>
      <c r="H1360" s="34" t="str">
        <f t="shared" si="85"/>
        <v/>
      </c>
      <c r="I1360" s="52" t="str">
        <f t="shared" si="86"/>
        <v/>
      </c>
      <c r="J1360" s="34">
        <f>IF(AND(A1360&lt;&gt;"",ISTEXT(A1360),COUNTIFS(Processos!$AS$10:$AS$509,"="&amp;SUBSTITUTE(SUBSTITUTE(SUBSTITUTE("P:"&amp;A1360,"~","~~"),"*","~*"),"?","~?"))=1),(IF(ISNA(MATCH(SUBSTITUTE(SUBSTITUTE(SUBSTITUTE("P:"&amp;A1360,"~","~~"),"*","~*"),"?","~?"),Processos!$AS$10:$AS$509,0)),9,INDEX(Processos!$AM$10:$AM$509,MATCH(SUBSTITUTE(SUBSTITUTE(SUBSTITUTE("P:"&amp;A1360,"~","~~"),"*","~*"),"?","~?"),Processos!$AS$10:$AS$509,0)))-9),0)</f>
        <v>0</v>
      </c>
      <c r="K1360" s="34" t="str">
        <f t="shared" si="87"/>
        <v/>
      </c>
      <c r="L1360" s="14">
        <f>ROW()</f>
        <v>1360</v>
      </c>
    </row>
    <row r="1361" spans="1:12" ht="60" customHeight="1">
      <c r="A1361" s="41"/>
      <c r="B1361" s="43"/>
      <c r="C1361" s="44"/>
      <c r="D1361" s="51"/>
      <c r="E1361" s="44"/>
      <c r="F1361" s="44"/>
      <c r="G1361" s="34">
        <f t="shared" si="84"/>
        <v>0</v>
      </c>
      <c r="H1361" s="34" t="str">
        <f t="shared" si="85"/>
        <v/>
      </c>
      <c r="I1361" s="52" t="str">
        <f t="shared" si="86"/>
        <v/>
      </c>
      <c r="J1361" s="34">
        <f>IF(AND(A1361&lt;&gt;"",ISTEXT(A1361),COUNTIFS(Processos!$AS$10:$AS$509,"="&amp;SUBSTITUTE(SUBSTITUTE(SUBSTITUTE("P:"&amp;A1361,"~","~~"),"*","~*"),"?","~?"))=1),(IF(ISNA(MATCH(SUBSTITUTE(SUBSTITUTE(SUBSTITUTE("P:"&amp;A1361,"~","~~"),"*","~*"),"?","~?"),Processos!$AS$10:$AS$509,0)),9,INDEX(Processos!$AM$10:$AM$509,MATCH(SUBSTITUTE(SUBSTITUTE(SUBSTITUTE("P:"&amp;A1361,"~","~~"),"*","~*"),"?","~?"),Processos!$AS$10:$AS$509,0)))-9),0)</f>
        <v>0</v>
      </c>
      <c r="K1361" s="34" t="str">
        <f t="shared" si="87"/>
        <v/>
      </c>
      <c r="L1361" s="14">
        <f>ROW()</f>
        <v>1361</v>
      </c>
    </row>
    <row r="1362" spans="1:12" ht="60" customHeight="1">
      <c r="A1362" s="41"/>
      <c r="B1362" s="43"/>
      <c r="C1362" s="44"/>
      <c r="D1362" s="51"/>
      <c r="E1362" s="44"/>
      <c r="F1362" s="44"/>
      <c r="G1362" s="34">
        <f t="shared" si="84"/>
        <v>0</v>
      </c>
      <c r="H1362" s="34" t="str">
        <f t="shared" si="85"/>
        <v/>
      </c>
      <c r="I1362" s="52" t="str">
        <f t="shared" si="86"/>
        <v/>
      </c>
      <c r="J1362" s="34">
        <f>IF(AND(A1362&lt;&gt;"",ISTEXT(A1362),COUNTIFS(Processos!$AS$10:$AS$509,"="&amp;SUBSTITUTE(SUBSTITUTE(SUBSTITUTE("P:"&amp;A1362,"~","~~"),"*","~*"),"?","~?"))=1),(IF(ISNA(MATCH(SUBSTITUTE(SUBSTITUTE(SUBSTITUTE("P:"&amp;A1362,"~","~~"),"*","~*"),"?","~?"),Processos!$AS$10:$AS$509,0)),9,INDEX(Processos!$AM$10:$AM$509,MATCH(SUBSTITUTE(SUBSTITUTE(SUBSTITUTE("P:"&amp;A1362,"~","~~"),"*","~*"),"?","~?"),Processos!$AS$10:$AS$509,0)))-9),0)</f>
        <v>0</v>
      </c>
      <c r="K1362" s="34" t="str">
        <f t="shared" si="87"/>
        <v/>
      </c>
      <c r="L1362" s="14">
        <f>ROW()</f>
        <v>1362</v>
      </c>
    </row>
    <row r="1363" spans="1:12" ht="60" customHeight="1">
      <c r="A1363" s="41"/>
      <c r="B1363" s="43"/>
      <c r="C1363" s="44"/>
      <c r="D1363" s="51"/>
      <c r="E1363" s="44"/>
      <c r="F1363" s="44"/>
      <c r="G1363" s="34">
        <f t="shared" si="84"/>
        <v>0</v>
      </c>
      <c r="H1363" s="34" t="str">
        <f t="shared" si="85"/>
        <v/>
      </c>
      <c r="I1363" s="52" t="str">
        <f t="shared" si="86"/>
        <v/>
      </c>
      <c r="J1363" s="34">
        <f>IF(AND(A1363&lt;&gt;"",ISTEXT(A1363),COUNTIFS(Processos!$AS$10:$AS$509,"="&amp;SUBSTITUTE(SUBSTITUTE(SUBSTITUTE("P:"&amp;A1363,"~","~~"),"*","~*"),"?","~?"))=1),(IF(ISNA(MATCH(SUBSTITUTE(SUBSTITUTE(SUBSTITUTE("P:"&amp;A1363,"~","~~"),"*","~*"),"?","~?"),Processos!$AS$10:$AS$509,0)),9,INDEX(Processos!$AM$10:$AM$509,MATCH(SUBSTITUTE(SUBSTITUTE(SUBSTITUTE("P:"&amp;A1363,"~","~~"),"*","~*"),"?","~?"),Processos!$AS$10:$AS$509,0)))-9),0)</f>
        <v>0</v>
      </c>
      <c r="K1363" s="34" t="str">
        <f t="shared" si="87"/>
        <v/>
      </c>
      <c r="L1363" s="14">
        <f>ROW()</f>
        <v>1363</v>
      </c>
    </row>
    <row r="1364" spans="1:12" ht="60" customHeight="1">
      <c r="A1364" s="41"/>
      <c r="B1364" s="43"/>
      <c r="C1364" s="44"/>
      <c r="D1364" s="51"/>
      <c r="E1364" s="44"/>
      <c r="F1364" s="44"/>
      <c r="G1364" s="34">
        <f t="shared" si="84"/>
        <v>0</v>
      </c>
      <c r="H1364" s="34" t="str">
        <f t="shared" si="85"/>
        <v/>
      </c>
      <c r="I1364" s="52" t="str">
        <f t="shared" si="86"/>
        <v/>
      </c>
      <c r="J1364" s="34">
        <f>IF(AND(A1364&lt;&gt;"",ISTEXT(A1364),COUNTIFS(Processos!$AS$10:$AS$509,"="&amp;SUBSTITUTE(SUBSTITUTE(SUBSTITUTE("P:"&amp;A1364,"~","~~"),"*","~*"),"?","~?"))=1),(IF(ISNA(MATCH(SUBSTITUTE(SUBSTITUTE(SUBSTITUTE("P:"&amp;A1364,"~","~~"),"*","~*"),"?","~?"),Processos!$AS$10:$AS$509,0)),9,INDEX(Processos!$AM$10:$AM$509,MATCH(SUBSTITUTE(SUBSTITUTE(SUBSTITUTE("P:"&amp;A1364,"~","~~"),"*","~*"),"?","~?"),Processos!$AS$10:$AS$509,0)))-9),0)</f>
        <v>0</v>
      </c>
      <c r="K1364" s="34" t="str">
        <f t="shared" si="87"/>
        <v/>
      </c>
      <c r="L1364" s="14">
        <f>ROW()</f>
        <v>1364</v>
      </c>
    </row>
    <row r="1365" spans="1:12" ht="60" customHeight="1">
      <c r="A1365" s="41"/>
      <c r="B1365" s="43"/>
      <c r="C1365" s="44"/>
      <c r="D1365" s="51"/>
      <c r="E1365" s="44"/>
      <c r="F1365" s="44"/>
      <c r="G1365" s="34">
        <f t="shared" si="84"/>
        <v>0</v>
      </c>
      <c r="H1365" s="34" t="str">
        <f t="shared" si="85"/>
        <v/>
      </c>
      <c r="I1365" s="52" t="str">
        <f t="shared" si="86"/>
        <v/>
      </c>
      <c r="J1365" s="34">
        <f>IF(AND(A1365&lt;&gt;"",ISTEXT(A1365),COUNTIFS(Processos!$AS$10:$AS$509,"="&amp;SUBSTITUTE(SUBSTITUTE(SUBSTITUTE("P:"&amp;A1365,"~","~~"),"*","~*"),"?","~?"))=1),(IF(ISNA(MATCH(SUBSTITUTE(SUBSTITUTE(SUBSTITUTE("P:"&amp;A1365,"~","~~"),"*","~*"),"?","~?"),Processos!$AS$10:$AS$509,0)),9,INDEX(Processos!$AM$10:$AM$509,MATCH(SUBSTITUTE(SUBSTITUTE(SUBSTITUTE("P:"&amp;A1365,"~","~~"),"*","~*"),"?","~?"),Processos!$AS$10:$AS$509,0)))-9),0)</f>
        <v>0</v>
      </c>
      <c r="K1365" s="34" t="str">
        <f t="shared" si="87"/>
        <v/>
      </c>
      <c r="L1365" s="14">
        <f>ROW()</f>
        <v>1365</v>
      </c>
    </row>
    <row r="1366" spans="1:12" ht="60" customHeight="1">
      <c r="A1366" s="41"/>
      <c r="B1366" s="43"/>
      <c r="C1366" s="44"/>
      <c r="D1366" s="51"/>
      <c r="E1366" s="44"/>
      <c r="F1366" s="44"/>
      <c r="G1366" s="34">
        <f t="shared" si="84"/>
        <v>0</v>
      </c>
      <c r="H1366" s="34" t="str">
        <f t="shared" si="85"/>
        <v/>
      </c>
      <c r="I1366" s="52" t="str">
        <f t="shared" si="86"/>
        <v/>
      </c>
      <c r="J1366" s="34">
        <f>IF(AND(A1366&lt;&gt;"",ISTEXT(A1366),COUNTIFS(Processos!$AS$10:$AS$509,"="&amp;SUBSTITUTE(SUBSTITUTE(SUBSTITUTE("P:"&amp;A1366,"~","~~"),"*","~*"),"?","~?"))=1),(IF(ISNA(MATCH(SUBSTITUTE(SUBSTITUTE(SUBSTITUTE("P:"&amp;A1366,"~","~~"),"*","~*"),"?","~?"),Processos!$AS$10:$AS$509,0)),9,INDEX(Processos!$AM$10:$AM$509,MATCH(SUBSTITUTE(SUBSTITUTE(SUBSTITUTE("P:"&amp;A1366,"~","~~"),"*","~*"),"?","~?"),Processos!$AS$10:$AS$509,0)))-9),0)</f>
        <v>0</v>
      </c>
      <c r="K1366" s="34" t="str">
        <f t="shared" si="87"/>
        <v/>
      </c>
      <c r="L1366" s="14">
        <f>ROW()</f>
        <v>1366</v>
      </c>
    </row>
    <row r="1367" spans="1:12" ht="60" customHeight="1">
      <c r="A1367" s="41"/>
      <c r="B1367" s="43"/>
      <c r="C1367" s="44"/>
      <c r="D1367" s="51"/>
      <c r="E1367" s="44"/>
      <c r="F1367" s="44"/>
      <c r="G1367" s="34">
        <f t="shared" si="84"/>
        <v>0</v>
      </c>
      <c r="H1367" s="34" t="str">
        <f t="shared" si="85"/>
        <v/>
      </c>
      <c r="I1367" s="52" t="str">
        <f t="shared" si="86"/>
        <v/>
      </c>
      <c r="J1367" s="34">
        <f>IF(AND(A1367&lt;&gt;"",ISTEXT(A1367),COUNTIFS(Processos!$AS$10:$AS$509,"="&amp;SUBSTITUTE(SUBSTITUTE(SUBSTITUTE("P:"&amp;A1367,"~","~~"),"*","~*"),"?","~?"))=1),(IF(ISNA(MATCH(SUBSTITUTE(SUBSTITUTE(SUBSTITUTE("P:"&amp;A1367,"~","~~"),"*","~*"),"?","~?"),Processos!$AS$10:$AS$509,0)),9,INDEX(Processos!$AM$10:$AM$509,MATCH(SUBSTITUTE(SUBSTITUTE(SUBSTITUTE("P:"&amp;A1367,"~","~~"),"*","~*"),"?","~?"),Processos!$AS$10:$AS$509,0)))-9),0)</f>
        <v>0</v>
      </c>
      <c r="K1367" s="34" t="str">
        <f t="shared" si="87"/>
        <v/>
      </c>
      <c r="L1367" s="14">
        <f>ROW()</f>
        <v>1367</v>
      </c>
    </row>
    <row r="1368" spans="1:12" ht="60" customHeight="1">
      <c r="A1368" s="41"/>
      <c r="B1368" s="43"/>
      <c r="C1368" s="44"/>
      <c r="D1368" s="51"/>
      <c r="E1368" s="44"/>
      <c r="F1368" s="44"/>
      <c r="G1368" s="34">
        <f t="shared" si="84"/>
        <v>0</v>
      </c>
      <c r="H1368" s="34" t="str">
        <f t="shared" si="85"/>
        <v/>
      </c>
      <c r="I1368" s="52" t="str">
        <f t="shared" si="86"/>
        <v/>
      </c>
      <c r="J1368" s="34">
        <f>IF(AND(A1368&lt;&gt;"",ISTEXT(A1368),COUNTIFS(Processos!$AS$10:$AS$509,"="&amp;SUBSTITUTE(SUBSTITUTE(SUBSTITUTE("P:"&amp;A1368,"~","~~"),"*","~*"),"?","~?"))=1),(IF(ISNA(MATCH(SUBSTITUTE(SUBSTITUTE(SUBSTITUTE("P:"&amp;A1368,"~","~~"),"*","~*"),"?","~?"),Processos!$AS$10:$AS$509,0)),9,INDEX(Processos!$AM$10:$AM$509,MATCH(SUBSTITUTE(SUBSTITUTE(SUBSTITUTE("P:"&amp;A1368,"~","~~"),"*","~*"),"?","~?"),Processos!$AS$10:$AS$509,0)))-9),0)</f>
        <v>0</v>
      </c>
      <c r="K1368" s="34" t="str">
        <f t="shared" si="87"/>
        <v/>
      </c>
      <c r="L1368" s="14">
        <f>ROW()</f>
        <v>1368</v>
      </c>
    </row>
    <row r="1369" spans="1:12" ht="60" customHeight="1">
      <c r="A1369" s="41"/>
      <c r="B1369" s="43"/>
      <c r="C1369" s="44"/>
      <c r="D1369" s="51"/>
      <c r="E1369" s="44"/>
      <c r="F1369" s="44"/>
      <c r="G1369" s="34">
        <f t="shared" si="84"/>
        <v>0</v>
      </c>
      <c r="H1369" s="34" t="str">
        <f t="shared" si="85"/>
        <v/>
      </c>
      <c r="I1369" s="52" t="str">
        <f t="shared" si="86"/>
        <v/>
      </c>
      <c r="J1369" s="34">
        <f>IF(AND(A1369&lt;&gt;"",ISTEXT(A1369),COUNTIFS(Processos!$AS$10:$AS$509,"="&amp;SUBSTITUTE(SUBSTITUTE(SUBSTITUTE("P:"&amp;A1369,"~","~~"),"*","~*"),"?","~?"))=1),(IF(ISNA(MATCH(SUBSTITUTE(SUBSTITUTE(SUBSTITUTE("P:"&amp;A1369,"~","~~"),"*","~*"),"?","~?"),Processos!$AS$10:$AS$509,0)),9,INDEX(Processos!$AM$10:$AM$509,MATCH(SUBSTITUTE(SUBSTITUTE(SUBSTITUTE("P:"&amp;A1369,"~","~~"),"*","~*"),"?","~?"),Processos!$AS$10:$AS$509,0)))-9),0)</f>
        <v>0</v>
      </c>
      <c r="K1369" s="34" t="str">
        <f t="shared" si="87"/>
        <v/>
      </c>
      <c r="L1369" s="14">
        <f>ROW()</f>
        <v>1369</v>
      </c>
    </row>
    <row r="1370" spans="1:12" ht="60" customHeight="1">
      <c r="A1370" s="41"/>
      <c r="B1370" s="43"/>
      <c r="C1370" s="44"/>
      <c r="D1370" s="51"/>
      <c r="E1370" s="44"/>
      <c r="F1370" s="44"/>
      <c r="G1370" s="34">
        <f t="shared" si="84"/>
        <v>0</v>
      </c>
      <c r="H1370" s="34" t="str">
        <f t="shared" si="85"/>
        <v/>
      </c>
      <c r="I1370" s="52" t="str">
        <f t="shared" si="86"/>
        <v/>
      </c>
      <c r="J1370" s="34">
        <f>IF(AND(A1370&lt;&gt;"",ISTEXT(A1370),COUNTIFS(Processos!$AS$10:$AS$509,"="&amp;SUBSTITUTE(SUBSTITUTE(SUBSTITUTE("P:"&amp;A1370,"~","~~"),"*","~*"),"?","~?"))=1),(IF(ISNA(MATCH(SUBSTITUTE(SUBSTITUTE(SUBSTITUTE("P:"&amp;A1370,"~","~~"),"*","~*"),"?","~?"),Processos!$AS$10:$AS$509,0)),9,INDEX(Processos!$AM$10:$AM$509,MATCH(SUBSTITUTE(SUBSTITUTE(SUBSTITUTE("P:"&amp;A1370,"~","~~"),"*","~*"),"?","~?"),Processos!$AS$10:$AS$509,0)))-9),0)</f>
        <v>0</v>
      </c>
      <c r="K1370" s="34" t="str">
        <f t="shared" si="87"/>
        <v/>
      </c>
      <c r="L1370" s="14">
        <f>ROW()</f>
        <v>1370</v>
      </c>
    </row>
    <row r="1371" spans="1:12" ht="60" customHeight="1">
      <c r="A1371" s="41"/>
      <c r="B1371" s="43"/>
      <c r="C1371" s="44"/>
      <c r="D1371" s="51"/>
      <c r="E1371" s="44"/>
      <c r="F1371" s="44"/>
      <c r="G1371" s="34">
        <f t="shared" si="84"/>
        <v>0</v>
      </c>
      <c r="H1371" s="34" t="str">
        <f t="shared" si="85"/>
        <v/>
      </c>
      <c r="I1371" s="52" t="str">
        <f t="shared" si="86"/>
        <v/>
      </c>
      <c r="J1371" s="34">
        <f>IF(AND(A1371&lt;&gt;"",ISTEXT(A1371),COUNTIFS(Processos!$AS$10:$AS$509,"="&amp;SUBSTITUTE(SUBSTITUTE(SUBSTITUTE("P:"&amp;A1371,"~","~~"),"*","~*"),"?","~?"))=1),(IF(ISNA(MATCH(SUBSTITUTE(SUBSTITUTE(SUBSTITUTE("P:"&amp;A1371,"~","~~"),"*","~*"),"?","~?"),Processos!$AS$10:$AS$509,0)),9,INDEX(Processos!$AM$10:$AM$509,MATCH(SUBSTITUTE(SUBSTITUTE(SUBSTITUTE("P:"&amp;A1371,"~","~~"),"*","~*"),"?","~?"),Processos!$AS$10:$AS$509,0)))-9),0)</f>
        <v>0</v>
      </c>
      <c r="K1371" s="34" t="str">
        <f t="shared" si="87"/>
        <v/>
      </c>
      <c r="L1371" s="14">
        <f>ROW()</f>
        <v>1371</v>
      </c>
    </row>
    <row r="1372" spans="1:12" ht="60" customHeight="1">
      <c r="A1372" s="41"/>
      <c r="B1372" s="43"/>
      <c r="C1372" s="44"/>
      <c r="D1372" s="51"/>
      <c r="E1372" s="44"/>
      <c r="F1372" s="44"/>
      <c r="G1372" s="34">
        <f t="shared" si="84"/>
        <v>0</v>
      </c>
      <c r="H1372" s="34" t="str">
        <f t="shared" si="85"/>
        <v/>
      </c>
      <c r="I1372" s="52" t="str">
        <f t="shared" si="86"/>
        <v/>
      </c>
      <c r="J1372" s="34">
        <f>IF(AND(A1372&lt;&gt;"",ISTEXT(A1372),COUNTIFS(Processos!$AS$10:$AS$509,"="&amp;SUBSTITUTE(SUBSTITUTE(SUBSTITUTE("P:"&amp;A1372,"~","~~"),"*","~*"),"?","~?"))=1),(IF(ISNA(MATCH(SUBSTITUTE(SUBSTITUTE(SUBSTITUTE("P:"&amp;A1372,"~","~~"),"*","~*"),"?","~?"),Processos!$AS$10:$AS$509,0)),9,INDEX(Processos!$AM$10:$AM$509,MATCH(SUBSTITUTE(SUBSTITUTE(SUBSTITUTE("P:"&amp;A1372,"~","~~"),"*","~*"),"?","~?"),Processos!$AS$10:$AS$509,0)))-9),0)</f>
        <v>0</v>
      </c>
      <c r="K1372" s="34" t="str">
        <f t="shared" si="87"/>
        <v/>
      </c>
      <c r="L1372" s="14">
        <f>ROW()</f>
        <v>1372</v>
      </c>
    </row>
    <row r="1373" spans="1:12" ht="60" customHeight="1">
      <c r="A1373" s="41"/>
      <c r="B1373" s="43"/>
      <c r="C1373" s="44"/>
      <c r="D1373" s="51"/>
      <c r="E1373" s="44"/>
      <c r="F1373" s="44"/>
      <c r="G1373" s="34">
        <f t="shared" si="84"/>
        <v>0</v>
      </c>
      <c r="H1373" s="34" t="str">
        <f t="shared" si="85"/>
        <v/>
      </c>
      <c r="I1373" s="52" t="str">
        <f t="shared" si="86"/>
        <v/>
      </c>
      <c r="J1373" s="34">
        <f>IF(AND(A1373&lt;&gt;"",ISTEXT(A1373),COUNTIFS(Processos!$AS$10:$AS$509,"="&amp;SUBSTITUTE(SUBSTITUTE(SUBSTITUTE("P:"&amp;A1373,"~","~~"),"*","~*"),"?","~?"))=1),(IF(ISNA(MATCH(SUBSTITUTE(SUBSTITUTE(SUBSTITUTE("P:"&amp;A1373,"~","~~"),"*","~*"),"?","~?"),Processos!$AS$10:$AS$509,0)),9,INDEX(Processos!$AM$10:$AM$509,MATCH(SUBSTITUTE(SUBSTITUTE(SUBSTITUTE("P:"&amp;A1373,"~","~~"),"*","~*"),"?","~?"),Processos!$AS$10:$AS$509,0)))-9),0)</f>
        <v>0</v>
      </c>
      <c r="K1373" s="34" t="str">
        <f t="shared" si="87"/>
        <v/>
      </c>
      <c r="L1373" s="14">
        <f>ROW()</f>
        <v>1373</v>
      </c>
    </row>
    <row r="1374" spans="1:12" ht="60" customHeight="1">
      <c r="A1374" s="41"/>
      <c r="B1374" s="43"/>
      <c r="C1374" s="44"/>
      <c r="D1374" s="51"/>
      <c r="E1374" s="44"/>
      <c r="F1374" s="44"/>
      <c r="G1374" s="34">
        <f t="shared" si="84"/>
        <v>0</v>
      </c>
      <c r="H1374" s="34" t="str">
        <f t="shared" si="85"/>
        <v/>
      </c>
      <c r="I1374" s="52" t="str">
        <f t="shared" si="86"/>
        <v/>
      </c>
      <c r="J1374" s="34">
        <f>IF(AND(A1374&lt;&gt;"",ISTEXT(A1374),COUNTIFS(Processos!$AS$10:$AS$509,"="&amp;SUBSTITUTE(SUBSTITUTE(SUBSTITUTE("P:"&amp;A1374,"~","~~"),"*","~*"),"?","~?"))=1),(IF(ISNA(MATCH(SUBSTITUTE(SUBSTITUTE(SUBSTITUTE("P:"&amp;A1374,"~","~~"),"*","~*"),"?","~?"),Processos!$AS$10:$AS$509,0)),9,INDEX(Processos!$AM$10:$AM$509,MATCH(SUBSTITUTE(SUBSTITUTE(SUBSTITUTE("P:"&amp;A1374,"~","~~"),"*","~*"),"?","~?"),Processos!$AS$10:$AS$509,0)))-9),0)</f>
        <v>0</v>
      </c>
      <c r="K1374" s="34" t="str">
        <f t="shared" si="87"/>
        <v/>
      </c>
      <c r="L1374" s="14">
        <f>ROW()</f>
        <v>1374</v>
      </c>
    </row>
    <row r="1375" spans="1:12" ht="60" customHeight="1">
      <c r="A1375" s="41"/>
      <c r="B1375" s="43"/>
      <c r="C1375" s="44"/>
      <c r="D1375" s="51"/>
      <c r="E1375" s="44"/>
      <c r="F1375" s="44"/>
      <c r="G1375" s="34">
        <f t="shared" si="84"/>
        <v>0</v>
      </c>
      <c r="H1375" s="34" t="str">
        <f t="shared" si="85"/>
        <v/>
      </c>
      <c r="I1375" s="52" t="str">
        <f t="shared" si="86"/>
        <v/>
      </c>
      <c r="J1375" s="34">
        <f>IF(AND(A1375&lt;&gt;"",ISTEXT(A1375),COUNTIFS(Processos!$AS$10:$AS$509,"="&amp;SUBSTITUTE(SUBSTITUTE(SUBSTITUTE("P:"&amp;A1375,"~","~~"),"*","~*"),"?","~?"))=1),(IF(ISNA(MATCH(SUBSTITUTE(SUBSTITUTE(SUBSTITUTE("P:"&amp;A1375,"~","~~"),"*","~*"),"?","~?"),Processos!$AS$10:$AS$509,0)),9,INDEX(Processos!$AM$10:$AM$509,MATCH(SUBSTITUTE(SUBSTITUTE(SUBSTITUTE("P:"&amp;A1375,"~","~~"),"*","~*"),"?","~?"),Processos!$AS$10:$AS$509,0)))-9),0)</f>
        <v>0</v>
      </c>
      <c r="K1375" s="34" t="str">
        <f t="shared" si="87"/>
        <v/>
      </c>
      <c r="L1375" s="14">
        <f>ROW()</f>
        <v>1375</v>
      </c>
    </row>
    <row r="1376" spans="1:12" ht="60" customHeight="1">
      <c r="A1376" s="41"/>
      <c r="B1376" s="43"/>
      <c r="C1376" s="44"/>
      <c r="D1376" s="51"/>
      <c r="E1376" s="44"/>
      <c r="F1376" s="44"/>
      <c r="G1376" s="34">
        <f t="shared" si="84"/>
        <v>0</v>
      </c>
      <c r="H1376" s="34" t="str">
        <f t="shared" si="85"/>
        <v/>
      </c>
      <c r="I1376" s="52" t="str">
        <f t="shared" si="86"/>
        <v/>
      </c>
      <c r="J1376" s="34">
        <f>IF(AND(A1376&lt;&gt;"",ISTEXT(A1376),COUNTIFS(Processos!$AS$10:$AS$509,"="&amp;SUBSTITUTE(SUBSTITUTE(SUBSTITUTE("P:"&amp;A1376,"~","~~"),"*","~*"),"?","~?"))=1),(IF(ISNA(MATCH(SUBSTITUTE(SUBSTITUTE(SUBSTITUTE("P:"&amp;A1376,"~","~~"),"*","~*"),"?","~?"),Processos!$AS$10:$AS$509,0)),9,INDEX(Processos!$AM$10:$AM$509,MATCH(SUBSTITUTE(SUBSTITUTE(SUBSTITUTE("P:"&amp;A1376,"~","~~"),"*","~*"),"?","~?"),Processos!$AS$10:$AS$509,0)))-9),0)</f>
        <v>0</v>
      </c>
      <c r="K1376" s="34" t="str">
        <f t="shared" si="87"/>
        <v/>
      </c>
      <c r="L1376" s="14">
        <f>ROW()</f>
        <v>1376</v>
      </c>
    </row>
    <row r="1377" spans="1:12" ht="60" customHeight="1">
      <c r="A1377" s="41"/>
      <c r="B1377" s="43"/>
      <c r="C1377" s="44"/>
      <c r="D1377" s="51"/>
      <c r="E1377" s="44"/>
      <c r="F1377" s="44"/>
      <c r="G1377" s="34">
        <f t="shared" si="84"/>
        <v>0</v>
      </c>
      <c r="H1377" s="34" t="str">
        <f t="shared" si="85"/>
        <v/>
      </c>
      <c r="I1377" s="52" t="str">
        <f t="shared" si="86"/>
        <v/>
      </c>
      <c r="J1377" s="34">
        <f>IF(AND(A1377&lt;&gt;"",ISTEXT(A1377),COUNTIFS(Processos!$AS$10:$AS$509,"="&amp;SUBSTITUTE(SUBSTITUTE(SUBSTITUTE("P:"&amp;A1377,"~","~~"),"*","~*"),"?","~?"))=1),(IF(ISNA(MATCH(SUBSTITUTE(SUBSTITUTE(SUBSTITUTE("P:"&amp;A1377,"~","~~"),"*","~*"),"?","~?"),Processos!$AS$10:$AS$509,0)),9,INDEX(Processos!$AM$10:$AM$509,MATCH(SUBSTITUTE(SUBSTITUTE(SUBSTITUTE("P:"&amp;A1377,"~","~~"),"*","~*"),"?","~?"),Processos!$AS$10:$AS$509,0)))-9),0)</f>
        <v>0</v>
      </c>
      <c r="K1377" s="34" t="str">
        <f t="shared" si="87"/>
        <v/>
      </c>
      <c r="L1377" s="14">
        <f>ROW()</f>
        <v>1377</v>
      </c>
    </row>
    <row r="1378" spans="1:12" ht="60" customHeight="1">
      <c r="A1378" s="41"/>
      <c r="B1378" s="43"/>
      <c r="C1378" s="44"/>
      <c r="D1378" s="51"/>
      <c r="E1378" s="44"/>
      <c r="F1378" s="44"/>
      <c r="G1378" s="34">
        <f t="shared" si="84"/>
        <v>0</v>
      </c>
      <c r="H1378" s="34" t="str">
        <f t="shared" si="85"/>
        <v/>
      </c>
      <c r="I1378" s="52" t="str">
        <f t="shared" si="86"/>
        <v/>
      </c>
      <c r="J1378" s="34">
        <f>IF(AND(A1378&lt;&gt;"",ISTEXT(A1378),COUNTIFS(Processos!$AS$10:$AS$509,"="&amp;SUBSTITUTE(SUBSTITUTE(SUBSTITUTE("P:"&amp;A1378,"~","~~"),"*","~*"),"?","~?"))=1),(IF(ISNA(MATCH(SUBSTITUTE(SUBSTITUTE(SUBSTITUTE("P:"&amp;A1378,"~","~~"),"*","~*"),"?","~?"),Processos!$AS$10:$AS$509,0)),9,INDEX(Processos!$AM$10:$AM$509,MATCH(SUBSTITUTE(SUBSTITUTE(SUBSTITUTE("P:"&amp;A1378,"~","~~"),"*","~*"),"?","~?"),Processos!$AS$10:$AS$509,0)))-9),0)</f>
        <v>0</v>
      </c>
      <c r="K1378" s="34" t="str">
        <f t="shared" si="87"/>
        <v/>
      </c>
      <c r="L1378" s="14">
        <f>ROW()</f>
        <v>1378</v>
      </c>
    </row>
    <row r="1379" spans="1:12" ht="60" customHeight="1">
      <c r="A1379" s="41"/>
      <c r="B1379" s="43"/>
      <c r="C1379" s="44"/>
      <c r="D1379" s="51"/>
      <c r="E1379" s="44"/>
      <c r="F1379" s="44"/>
      <c r="G1379" s="34">
        <f t="shared" si="84"/>
        <v>0</v>
      </c>
      <c r="H1379" s="34" t="str">
        <f t="shared" si="85"/>
        <v/>
      </c>
      <c r="I1379" s="52" t="str">
        <f t="shared" si="86"/>
        <v/>
      </c>
      <c r="J1379" s="34">
        <f>IF(AND(A1379&lt;&gt;"",ISTEXT(A1379),COUNTIFS(Processos!$AS$10:$AS$509,"="&amp;SUBSTITUTE(SUBSTITUTE(SUBSTITUTE("P:"&amp;A1379,"~","~~"),"*","~*"),"?","~?"))=1),(IF(ISNA(MATCH(SUBSTITUTE(SUBSTITUTE(SUBSTITUTE("P:"&amp;A1379,"~","~~"),"*","~*"),"?","~?"),Processos!$AS$10:$AS$509,0)),9,INDEX(Processos!$AM$10:$AM$509,MATCH(SUBSTITUTE(SUBSTITUTE(SUBSTITUTE("P:"&amp;A1379,"~","~~"),"*","~*"),"?","~?"),Processos!$AS$10:$AS$509,0)))-9),0)</f>
        <v>0</v>
      </c>
      <c r="K1379" s="34" t="str">
        <f t="shared" si="87"/>
        <v/>
      </c>
      <c r="L1379" s="14">
        <f>ROW()</f>
        <v>1379</v>
      </c>
    </row>
    <row r="1380" spans="1:12" ht="60" customHeight="1">
      <c r="A1380" s="41"/>
      <c r="B1380" s="43"/>
      <c r="C1380" s="44"/>
      <c r="D1380" s="51"/>
      <c r="E1380" s="44"/>
      <c r="F1380" s="44"/>
      <c r="G1380" s="34">
        <f t="shared" si="84"/>
        <v>0</v>
      </c>
      <c r="H1380" s="34" t="str">
        <f t="shared" si="85"/>
        <v/>
      </c>
      <c r="I1380" s="52" t="str">
        <f t="shared" si="86"/>
        <v/>
      </c>
      <c r="J1380" s="34">
        <f>IF(AND(A1380&lt;&gt;"",ISTEXT(A1380),COUNTIFS(Processos!$AS$10:$AS$509,"="&amp;SUBSTITUTE(SUBSTITUTE(SUBSTITUTE("P:"&amp;A1380,"~","~~"),"*","~*"),"?","~?"))=1),(IF(ISNA(MATCH(SUBSTITUTE(SUBSTITUTE(SUBSTITUTE("P:"&amp;A1380,"~","~~"),"*","~*"),"?","~?"),Processos!$AS$10:$AS$509,0)),9,INDEX(Processos!$AM$10:$AM$509,MATCH(SUBSTITUTE(SUBSTITUTE(SUBSTITUTE("P:"&amp;A1380,"~","~~"),"*","~*"),"?","~?"),Processos!$AS$10:$AS$509,0)))-9),0)</f>
        <v>0</v>
      </c>
      <c r="K1380" s="34" t="str">
        <f t="shared" si="87"/>
        <v/>
      </c>
      <c r="L1380" s="14">
        <f>ROW()</f>
        <v>1380</v>
      </c>
    </row>
    <row r="1381" spans="1:12" ht="60" customHeight="1">
      <c r="A1381" s="41"/>
      <c r="B1381" s="43"/>
      <c r="C1381" s="44"/>
      <c r="D1381" s="51"/>
      <c r="E1381" s="44"/>
      <c r="F1381" s="44"/>
      <c r="G1381" s="34">
        <f t="shared" si="84"/>
        <v>0</v>
      </c>
      <c r="H1381" s="34" t="str">
        <f t="shared" si="85"/>
        <v/>
      </c>
      <c r="I1381" s="52" t="str">
        <f t="shared" si="86"/>
        <v/>
      </c>
      <c r="J1381" s="34">
        <f>IF(AND(A1381&lt;&gt;"",ISTEXT(A1381),COUNTIFS(Processos!$AS$10:$AS$509,"="&amp;SUBSTITUTE(SUBSTITUTE(SUBSTITUTE("P:"&amp;A1381,"~","~~"),"*","~*"),"?","~?"))=1),(IF(ISNA(MATCH(SUBSTITUTE(SUBSTITUTE(SUBSTITUTE("P:"&amp;A1381,"~","~~"),"*","~*"),"?","~?"),Processos!$AS$10:$AS$509,0)),9,INDEX(Processos!$AM$10:$AM$509,MATCH(SUBSTITUTE(SUBSTITUTE(SUBSTITUTE("P:"&amp;A1381,"~","~~"),"*","~*"),"?","~?"),Processos!$AS$10:$AS$509,0)))-9),0)</f>
        <v>0</v>
      </c>
      <c r="K1381" s="34" t="str">
        <f t="shared" si="87"/>
        <v/>
      </c>
      <c r="L1381" s="14">
        <f>ROW()</f>
        <v>1381</v>
      </c>
    </row>
    <row r="1382" spans="1:12" ht="60" customHeight="1">
      <c r="A1382" s="41"/>
      <c r="B1382" s="43"/>
      <c r="C1382" s="44"/>
      <c r="D1382" s="51"/>
      <c r="E1382" s="44"/>
      <c r="F1382" s="44"/>
      <c r="G1382" s="34">
        <f t="shared" si="84"/>
        <v>0</v>
      </c>
      <c r="H1382" s="34" t="str">
        <f t="shared" si="85"/>
        <v/>
      </c>
      <c r="I1382" s="52" t="str">
        <f t="shared" si="86"/>
        <v/>
      </c>
      <c r="J1382" s="34">
        <f>IF(AND(A1382&lt;&gt;"",ISTEXT(A1382),COUNTIFS(Processos!$AS$10:$AS$509,"="&amp;SUBSTITUTE(SUBSTITUTE(SUBSTITUTE("P:"&amp;A1382,"~","~~"),"*","~*"),"?","~?"))=1),(IF(ISNA(MATCH(SUBSTITUTE(SUBSTITUTE(SUBSTITUTE("P:"&amp;A1382,"~","~~"),"*","~*"),"?","~?"),Processos!$AS$10:$AS$509,0)),9,INDEX(Processos!$AM$10:$AM$509,MATCH(SUBSTITUTE(SUBSTITUTE(SUBSTITUTE("P:"&amp;A1382,"~","~~"),"*","~*"),"?","~?"),Processos!$AS$10:$AS$509,0)))-9),0)</f>
        <v>0</v>
      </c>
      <c r="K1382" s="34" t="str">
        <f t="shared" si="87"/>
        <v/>
      </c>
      <c r="L1382" s="14">
        <f>ROW()</f>
        <v>1382</v>
      </c>
    </row>
    <row r="1383" spans="1:12" ht="60" customHeight="1">
      <c r="A1383" s="41"/>
      <c r="B1383" s="43"/>
      <c r="C1383" s="44"/>
      <c r="D1383" s="51"/>
      <c r="E1383" s="44"/>
      <c r="F1383" s="44"/>
      <c r="G1383" s="34">
        <f t="shared" si="84"/>
        <v>0</v>
      </c>
      <c r="H1383" s="34" t="str">
        <f t="shared" si="85"/>
        <v/>
      </c>
      <c r="I1383" s="52" t="str">
        <f t="shared" si="86"/>
        <v/>
      </c>
      <c r="J1383" s="34">
        <f>IF(AND(A1383&lt;&gt;"",ISTEXT(A1383),COUNTIFS(Processos!$AS$10:$AS$509,"="&amp;SUBSTITUTE(SUBSTITUTE(SUBSTITUTE("P:"&amp;A1383,"~","~~"),"*","~*"),"?","~?"))=1),(IF(ISNA(MATCH(SUBSTITUTE(SUBSTITUTE(SUBSTITUTE("P:"&amp;A1383,"~","~~"),"*","~*"),"?","~?"),Processos!$AS$10:$AS$509,0)),9,INDEX(Processos!$AM$10:$AM$509,MATCH(SUBSTITUTE(SUBSTITUTE(SUBSTITUTE("P:"&amp;A1383,"~","~~"),"*","~*"),"?","~?"),Processos!$AS$10:$AS$509,0)))-9),0)</f>
        <v>0</v>
      </c>
      <c r="K1383" s="34" t="str">
        <f t="shared" si="87"/>
        <v/>
      </c>
      <c r="L1383" s="14">
        <f>ROW()</f>
        <v>1383</v>
      </c>
    </row>
    <row r="1384" spans="1:12" ht="60" customHeight="1">
      <c r="A1384" s="41"/>
      <c r="B1384" s="43"/>
      <c r="C1384" s="44"/>
      <c r="D1384" s="51"/>
      <c r="E1384" s="44"/>
      <c r="F1384" s="44"/>
      <c r="G1384" s="34">
        <f t="shared" si="84"/>
        <v>0</v>
      </c>
      <c r="H1384" s="34" t="str">
        <f t="shared" si="85"/>
        <v/>
      </c>
      <c r="I1384" s="52" t="str">
        <f t="shared" si="86"/>
        <v/>
      </c>
      <c r="J1384" s="34">
        <f>IF(AND(A1384&lt;&gt;"",ISTEXT(A1384),COUNTIFS(Processos!$AS$10:$AS$509,"="&amp;SUBSTITUTE(SUBSTITUTE(SUBSTITUTE("P:"&amp;A1384,"~","~~"),"*","~*"),"?","~?"))=1),(IF(ISNA(MATCH(SUBSTITUTE(SUBSTITUTE(SUBSTITUTE("P:"&amp;A1384,"~","~~"),"*","~*"),"?","~?"),Processos!$AS$10:$AS$509,0)),9,INDEX(Processos!$AM$10:$AM$509,MATCH(SUBSTITUTE(SUBSTITUTE(SUBSTITUTE("P:"&amp;A1384,"~","~~"),"*","~*"),"?","~?"),Processos!$AS$10:$AS$509,0)))-9),0)</f>
        <v>0</v>
      </c>
      <c r="K1384" s="34" t="str">
        <f t="shared" si="87"/>
        <v/>
      </c>
      <c r="L1384" s="14">
        <f>ROW()</f>
        <v>1384</v>
      </c>
    </row>
    <row r="1385" spans="1:12" ht="60" customHeight="1">
      <c r="A1385" s="41"/>
      <c r="B1385" s="43"/>
      <c r="C1385" s="44"/>
      <c r="D1385" s="51"/>
      <c r="E1385" s="44"/>
      <c r="F1385" s="44"/>
      <c r="G1385" s="34">
        <f t="shared" si="84"/>
        <v>0</v>
      </c>
      <c r="H1385" s="34" t="str">
        <f t="shared" si="85"/>
        <v/>
      </c>
      <c r="I1385" s="52" t="str">
        <f t="shared" si="86"/>
        <v/>
      </c>
      <c r="J1385" s="34">
        <f>IF(AND(A1385&lt;&gt;"",ISTEXT(A1385),COUNTIFS(Processos!$AS$10:$AS$509,"="&amp;SUBSTITUTE(SUBSTITUTE(SUBSTITUTE("P:"&amp;A1385,"~","~~"),"*","~*"),"?","~?"))=1),(IF(ISNA(MATCH(SUBSTITUTE(SUBSTITUTE(SUBSTITUTE("P:"&amp;A1385,"~","~~"),"*","~*"),"?","~?"),Processos!$AS$10:$AS$509,0)),9,INDEX(Processos!$AM$10:$AM$509,MATCH(SUBSTITUTE(SUBSTITUTE(SUBSTITUTE("P:"&amp;A1385,"~","~~"),"*","~*"),"?","~?"),Processos!$AS$10:$AS$509,0)))-9),0)</f>
        <v>0</v>
      </c>
      <c r="K1385" s="34" t="str">
        <f t="shared" si="87"/>
        <v/>
      </c>
      <c r="L1385" s="14">
        <f>ROW()</f>
        <v>1385</v>
      </c>
    </row>
    <row r="1386" spans="1:12" ht="60" customHeight="1">
      <c r="A1386" s="41"/>
      <c r="B1386" s="43"/>
      <c r="C1386" s="44"/>
      <c r="D1386" s="51"/>
      <c r="E1386" s="44"/>
      <c r="F1386" s="44"/>
      <c r="G1386" s="34">
        <f t="shared" si="84"/>
        <v>0</v>
      </c>
      <c r="H1386" s="34" t="str">
        <f t="shared" si="85"/>
        <v/>
      </c>
      <c r="I1386" s="52" t="str">
        <f t="shared" si="86"/>
        <v/>
      </c>
      <c r="J1386" s="34">
        <f>IF(AND(A1386&lt;&gt;"",ISTEXT(A1386),COUNTIFS(Processos!$AS$10:$AS$509,"="&amp;SUBSTITUTE(SUBSTITUTE(SUBSTITUTE("P:"&amp;A1386,"~","~~"),"*","~*"),"?","~?"))=1),(IF(ISNA(MATCH(SUBSTITUTE(SUBSTITUTE(SUBSTITUTE("P:"&amp;A1386,"~","~~"),"*","~*"),"?","~?"),Processos!$AS$10:$AS$509,0)),9,INDEX(Processos!$AM$10:$AM$509,MATCH(SUBSTITUTE(SUBSTITUTE(SUBSTITUTE("P:"&amp;A1386,"~","~~"),"*","~*"),"?","~?"),Processos!$AS$10:$AS$509,0)))-9),0)</f>
        <v>0</v>
      </c>
      <c r="K1386" s="34" t="str">
        <f t="shared" si="87"/>
        <v/>
      </c>
      <c r="L1386" s="14">
        <f>ROW()</f>
        <v>1386</v>
      </c>
    </row>
    <row r="1387" spans="1:12" ht="60" customHeight="1">
      <c r="A1387" s="41"/>
      <c r="B1387" s="43"/>
      <c r="C1387" s="44"/>
      <c r="D1387" s="51"/>
      <c r="E1387" s="44"/>
      <c r="F1387" s="44"/>
      <c r="G1387" s="34">
        <f t="shared" si="84"/>
        <v>0</v>
      </c>
      <c r="H1387" s="34" t="str">
        <f t="shared" si="85"/>
        <v/>
      </c>
      <c r="I1387" s="52" t="str">
        <f t="shared" si="86"/>
        <v/>
      </c>
      <c r="J1387" s="34">
        <f>IF(AND(A1387&lt;&gt;"",ISTEXT(A1387),COUNTIFS(Processos!$AS$10:$AS$509,"="&amp;SUBSTITUTE(SUBSTITUTE(SUBSTITUTE("P:"&amp;A1387,"~","~~"),"*","~*"),"?","~?"))=1),(IF(ISNA(MATCH(SUBSTITUTE(SUBSTITUTE(SUBSTITUTE("P:"&amp;A1387,"~","~~"),"*","~*"),"?","~?"),Processos!$AS$10:$AS$509,0)),9,INDEX(Processos!$AM$10:$AM$509,MATCH(SUBSTITUTE(SUBSTITUTE(SUBSTITUTE("P:"&amp;A1387,"~","~~"),"*","~*"),"?","~?"),Processos!$AS$10:$AS$509,0)))-9),0)</f>
        <v>0</v>
      </c>
      <c r="K1387" s="34" t="str">
        <f t="shared" si="87"/>
        <v/>
      </c>
      <c r="L1387" s="14">
        <f>ROW()</f>
        <v>1387</v>
      </c>
    </row>
    <row r="1388" spans="1:12" ht="60" customHeight="1">
      <c r="A1388" s="41"/>
      <c r="B1388" s="43"/>
      <c r="C1388" s="44"/>
      <c r="D1388" s="51"/>
      <c r="E1388" s="44"/>
      <c r="F1388" s="44"/>
      <c r="G1388" s="34">
        <f t="shared" si="84"/>
        <v>0</v>
      </c>
      <c r="H1388" s="34" t="str">
        <f t="shared" si="85"/>
        <v/>
      </c>
      <c r="I1388" s="52" t="str">
        <f t="shared" si="86"/>
        <v/>
      </c>
      <c r="J1388" s="34">
        <f>IF(AND(A1388&lt;&gt;"",ISTEXT(A1388),COUNTIFS(Processos!$AS$10:$AS$509,"="&amp;SUBSTITUTE(SUBSTITUTE(SUBSTITUTE("P:"&amp;A1388,"~","~~"),"*","~*"),"?","~?"))=1),(IF(ISNA(MATCH(SUBSTITUTE(SUBSTITUTE(SUBSTITUTE("P:"&amp;A1388,"~","~~"),"*","~*"),"?","~?"),Processos!$AS$10:$AS$509,0)),9,INDEX(Processos!$AM$10:$AM$509,MATCH(SUBSTITUTE(SUBSTITUTE(SUBSTITUTE("P:"&amp;A1388,"~","~~"),"*","~*"),"?","~?"),Processos!$AS$10:$AS$509,0)))-9),0)</f>
        <v>0</v>
      </c>
      <c r="K1388" s="34" t="str">
        <f t="shared" si="87"/>
        <v/>
      </c>
      <c r="L1388" s="14">
        <f>ROW()</f>
        <v>1388</v>
      </c>
    </row>
    <row r="1389" spans="1:12" ht="60" customHeight="1">
      <c r="A1389" s="41"/>
      <c r="B1389" s="43"/>
      <c r="C1389" s="44"/>
      <c r="D1389" s="51"/>
      <c r="E1389" s="44"/>
      <c r="F1389" s="44"/>
      <c r="G1389" s="34">
        <f t="shared" si="84"/>
        <v>0</v>
      </c>
      <c r="H1389" s="34" t="str">
        <f t="shared" si="85"/>
        <v/>
      </c>
      <c r="I1389" s="52" t="str">
        <f t="shared" si="86"/>
        <v/>
      </c>
      <c r="J1389" s="34">
        <f>IF(AND(A1389&lt;&gt;"",ISTEXT(A1389),COUNTIFS(Processos!$AS$10:$AS$509,"="&amp;SUBSTITUTE(SUBSTITUTE(SUBSTITUTE("P:"&amp;A1389,"~","~~"),"*","~*"),"?","~?"))=1),(IF(ISNA(MATCH(SUBSTITUTE(SUBSTITUTE(SUBSTITUTE("P:"&amp;A1389,"~","~~"),"*","~*"),"?","~?"),Processos!$AS$10:$AS$509,0)),9,INDEX(Processos!$AM$10:$AM$509,MATCH(SUBSTITUTE(SUBSTITUTE(SUBSTITUTE("P:"&amp;A1389,"~","~~"),"*","~*"),"?","~?"),Processos!$AS$10:$AS$509,0)))-9),0)</f>
        <v>0</v>
      </c>
      <c r="K1389" s="34" t="str">
        <f t="shared" si="87"/>
        <v/>
      </c>
      <c r="L1389" s="14">
        <f>ROW()</f>
        <v>1389</v>
      </c>
    </row>
    <row r="1390" spans="1:12" ht="60" customHeight="1">
      <c r="A1390" s="41"/>
      <c r="B1390" s="43"/>
      <c r="C1390" s="44"/>
      <c r="D1390" s="51"/>
      <c r="E1390" s="44"/>
      <c r="F1390" s="44"/>
      <c r="G1390" s="34">
        <f t="shared" si="84"/>
        <v>0</v>
      </c>
      <c r="H1390" s="34" t="str">
        <f t="shared" si="85"/>
        <v/>
      </c>
      <c r="I1390" s="52" t="str">
        <f t="shared" si="86"/>
        <v/>
      </c>
      <c r="J1390" s="34">
        <f>IF(AND(A1390&lt;&gt;"",ISTEXT(A1390),COUNTIFS(Processos!$AS$10:$AS$509,"="&amp;SUBSTITUTE(SUBSTITUTE(SUBSTITUTE("P:"&amp;A1390,"~","~~"),"*","~*"),"?","~?"))=1),(IF(ISNA(MATCH(SUBSTITUTE(SUBSTITUTE(SUBSTITUTE("P:"&amp;A1390,"~","~~"),"*","~*"),"?","~?"),Processos!$AS$10:$AS$509,0)),9,INDEX(Processos!$AM$10:$AM$509,MATCH(SUBSTITUTE(SUBSTITUTE(SUBSTITUTE("P:"&amp;A1390,"~","~~"),"*","~*"),"?","~?"),Processos!$AS$10:$AS$509,0)))-9),0)</f>
        <v>0</v>
      </c>
      <c r="K1390" s="34" t="str">
        <f t="shared" si="87"/>
        <v/>
      </c>
      <c r="L1390" s="14">
        <f>ROW()</f>
        <v>1390</v>
      </c>
    </row>
    <row r="1391" spans="1:12" ht="60" customHeight="1">
      <c r="A1391" s="41"/>
      <c r="B1391" s="43"/>
      <c r="C1391" s="44"/>
      <c r="D1391" s="51"/>
      <c r="E1391" s="44"/>
      <c r="F1391" s="44"/>
      <c r="G1391" s="34">
        <f t="shared" si="84"/>
        <v>0</v>
      </c>
      <c r="H1391" s="34" t="str">
        <f t="shared" si="85"/>
        <v/>
      </c>
      <c r="I1391" s="52" t="str">
        <f t="shared" si="86"/>
        <v/>
      </c>
      <c r="J1391" s="34">
        <f>IF(AND(A1391&lt;&gt;"",ISTEXT(A1391),COUNTIFS(Processos!$AS$10:$AS$509,"="&amp;SUBSTITUTE(SUBSTITUTE(SUBSTITUTE("P:"&amp;A1391,"~","~~"),"*","~*"),"?","~?"))=1),(IF(ISNA(MATCH(SUBSTITUTE(SUBSTITUTE(SUBSTITUTE("P:"&amp;A1391,"~","~~"),"*","~*"),"?","~?"),Processos!$AS$10:$AS$509,0)),9,INDEX(Processos!$AM$10:$AM$509,MATCH(SUBSTITUTE(SUBSTITUTE(SUBSTITUTE("P:"&amp;A1391,"~","~~"),"*","~*"),"?","~?"),Processos!$AS$10:$AS$509,0)))-9),0)</f>
        <v>0</v>
      </c>
      <c r="K1391" s="34" t="str">
        <f t="shared" si="87"/>
        <v/>
      </c>
      <c r="L1391" s="14">
        <f>ROW()</f>
        <v>1391</v>
      </c>
    </row>
    <row r="1392" spans="1:12" ht="60" customHeight="1">
      <c r="A1392" s="41"/>
      <c r="B1392" s="43"/>
      <c r="C1392" s="44"/>
      <c r="D1392" s="51"/>
      <c r="E1392" s="44"/>
      <c r="F1392" s="44"/>
      <c r="G1392" s="34">
        <f t="shared" si="84"/>
        <v>0</v>
      </c>
      <c r="H1392" s="34" t="str">
        <f t="shared" si="85"/>
        <v/>
      </c>
      <c r="I1392" s="52" t="str">
        <f t="shared" si="86"/>
        <v/>
      </c>
      <c r="J1392" s="34">
        <f>IF(AND(A1392&lt;&gt;"",ISTEXT(A1392),COUNTIFS(Processos!$AS$10:$AS$509,"="&amp;SUBSTITUTE(SUBSTITUTE(SUBSTITUTE("P:"&amp;A1392,"~","~~"),"*","~*"),"?","~?"))=1),(IF(ISNA(MATCH(SUBSTITUTE(SUBSTITUTE(SUBSTITUTE("P:"&amp;A1392,"~","~~"),"*","~*"),"?","~?"),Processos!$AS$10:$AS$509,0)),9,INDEX(Processos!$AM$10:$AM$509,MATCH(SUBSTITUTE(SUBSTITUTE(SUBSTITUTE("P:"&amp;A1392,"~","~~"),"*","~*"),"?","~?"),Processos!$AS$10:$AS$509,0)))-9),0)</f>
        <v>0</v>
      </c>
      <c r="K1392" s="34" t="str">
        <f t="shared" si="87"/>
        <v/>
      </c>
      <c r="L1392" s="14">
        <f>ROW()</f>
        <v>1392</v>
      </c>
    </row>
    <row r="1393" spans="1:12" ht="60" customHeight="1">
      <c r="A1393" s="41"/>
      <c r="B1393" s="43"/>
      <c r="C1393" s="44"/>
      <c r="D1393" s="51"/>
      <c r="E1393" s="44"/>
      <c r="F1393" s="44"/>
      <c r="G1393" s="34">
        <f t="shared" si="84"/>
        <v>0</v>
      </c>
      <c r="H1393" s="34" t="str">
        <f t="shared" si="85"/>
        <v/>
      </c>
      <c r="I1393" s="52" t="str">
        <f t="shared" si="86"/>
        <v/>
      </c>
      <c r="J1393" s="34">
        <f>IF(AND(A1393&lt;&gt;"",ISTEXT(A1393),COUNTIFS(Processos!$AS$10:$AS$509,"="&amp;SUBSTITUTE(SUBSTITUTE(SUBSTITUTE("P:"&amp;A1393,"~","~~"),"*","~*"),"?","~?"))=1),(IF(ISNA(MATCH(SUBSTITUTE(SUBSTITUTE(SUBSTITUTE("P:"&amp;A1393,"~","~~"),"*","~*"),"?","~?"),Processos!$AS$10:$AS$509,0)),9,INDEX(Processos!$AM$10:$AM$509,MATCH(SUBSTITUTE(SUBSTITUTE(SUBSTITUTE("P:"&amp;A1393,"~","~~"),"*","~*"),"?","~?"),Processos!$AS$10:$AS$509,0)))-9),0)</f>
        <v>0</v>
      </c>
      <c r="K1393" s="34" t="str">
        <f t="shared" si="87"/>
        <v/>
      </c>
      <c r="L1393" s="14">
        <f>ROW()</f>
        <v>1393</v>
      </c>
    </row>
    <row r="1394" spans="1:12" ht="60" customHeight="1">
      <c r="A1394" s="41"/>
      <c r="B1394" s="43"/>
      <c r="C1394" s="44"/>
      <c r="D1394" s="51"/>
      <c r="E1394" s="44"/>
      <c r="F1394" s="44"/>
      <c r="G1394" s="34">
        <f t="shared" si="84"/>
        <v>0</v>
      </c>
      <c r="H1394" s="34" t="str">
        <f t="shared" si="85"/>
        <v/>
      </c>
      <c r="I1394" s="52" t="str">
        <f t="shared" si="86"/>
        <v/>
      </c>
      <c r="J1394" s="34">
        <f>IF(AND(A1394&lt;&gt;"",ISTEXT(A1394),COUNTIFS(Processos!$AS$10:$AS$509,"="&amp;SUBSTITUTE(SUBSTITUTE(SUBSTITUTE("P:"&amp;A1394,"~","~~"),"*","~*"),"?","~?"))=1),(IF(ISNA(MATCH(SUBSTITUTE(SUBSTITUTE(SUBSTITUTE("P:"&amp;A1394,"~","~~"),"*","~*"),"?","~?"),Processos!$AS$10:$AS$509,0)),9,INDEX(Processos!$AM$10:$AM$509,MATCH(SUBSTITUTE(SUBSTITUTE(SUBSTITUTE("P:"&amp;A1394,"~","~~"),"*","~*"),"?","~?"),Processos!$AS$10:$AS$509,0)))-9),0)</f>
        <v>0</v>
      </c>
      <c r="K1394" s="34" t="str">
        <f t="shared" si="87"/>
        <v/>
      </c>
      <c r="L1394" s="14">
        <f>ROW()</f>
        <v>1394</v>
      </c>
    </row>
    <row r="1395" spans="1:12" ht="60" customHeight="1">
      <c r="A1395" s="41"/>
      <c r="B1395" s="43"/>
      <c r="C1395" s="44"/>
      <c r="D1395" s="51"/>
      <c r="E1395" s="44"/>
      <c r="F1395" s="44"/>
      <c r="G1395" s="34">
        <f t="shared" si="84"/>
        <v>0</v>
      </c>
      <c r="H1395" s="34" t="str">
        <f t="shared" si="85"/>
        <v/>
      </c>
      <c r="I1395" s="52" t="str">
        <f t="shared" si="86"/>
        <v/>
      </c>
      <c r="J1395" s="34">
        <f>IF(AND(A1395&lt;&gt;"",ISTEXT(A1395),COUNTIFS(Processos!$AS$10:$AS$509,"="&amp;SUBSTITUTE(SUBSTITUTE(SUBSTITUTE("P:"&amp;A1395,"~","~~"),"*","~*"),"?","~?"))=1),(IF(ISNA(MATCH(SUBSTITUTE(SUBSTITUTE(SUBSTITUTE("P:"&amp;A1395,"~","~~"),"*","~*"),"?","~?"),Processos!$AS$10:$AS$509,0)),9,INDEX(Processos!$AM$10:$AM$509,MATCH(SUBSTITUTE(SUBSTITUTE(SUBSTITUTE("P:"&amp;A1395,"~","~~"),"*","~*"),"?","~?"),Processos!$AS$10:$AS$509,0)))-9),0)</f>
        <v>0</v>
      </c>
      <c r="K1395" s="34" t="str">
        <f t="shared" si="87"/>
        <v/>
      </c>
      <c r="L1395" s="14">
        <f>ROW()</f>
        <v>1395</v>
      </c>
    </row>
    <row r="1396" spans="1:12" ht="60" customHeight="1">
      <c r="A1396" s="41"/>
      <c r="B1396" s="43"/>
      <c r="C1396" s="44"/>
      <c r="D1396" s="51"/>
      <c r="E1396" s="44"/>
      <c r="F1396" s="44"/>
      <c r="G1396" s="34">
        <f t="shared" si="84"/>
        <v>0</v>
      </c>
      <c r="H1396" s="34" t="str">
        <f t="shared" si="85"/>
        <v/>
      </c>
      <c r="I1396" s="52" t="str">
        <f t="shared" si="86"/>
        <v/>
      </c>
      <c r="J1396" s="34">
        <f>IF(AND(A1396&lt;&gt;"",ISTEXT(A1396),COUNTIFS(Processos!$AS$10:$AS$509,"="&amp;SUBSTITUTE(SUBSTITUTE(SUBSTITUTE("P:"&amp;A1396,"~","~~"),"*","~*"),"?","~?"))=1),(IF(ISNA(MATCH(SUBSTITUTE(SUBSTITUTE(SUBSTITUTE("P:"&amp;A1396,"~","~~"),"*","~*"),"?","~?"),Processos!$AS$10:$AS$509,0)),9,INDEX(Processos!$AM$10:$AM$509,MATCH(SUBSTITUTE(SUBSTITUTE(SUBSTITUTE("P:"&amp;A1396,"~","~~"),"*","~*"),"?","~?"),Processos!$AS$10:$AS$509,0)))-9),0)</f>
        <v>0</v>
      </c>
      <c r="K1396" s="34" t="str">
        <f t="shared" si="87"/>
        <v/>
      </c>
      <c r="L1396" s="14">
        <f>ROW()</f>
        <v>1396</v>
      </c>
    </row>
    <row r="1397" spans="1:12" ht="60" customHeight="1">
      <c r="A1397" s="41"/>
      <c r="B1397" s="43"/>
      <c r="C1397" s="44"/>
      <c r="D1397" s="51"/>
      <c r="E1397" s="44"/>
      <c r="F1397" s="44"/>
      <c r="G1397" s="34">
        <f t="shared" si="84"/>
        <v>0</v>
      </c>
      <c r="H1397" s="34" t="str">
        <f t="shared" si="85"/>
        <v/>
      </c>
      <c r="I1397" s="52" t="str">
        <f t="shared" si="86"/>
        <v/>
      </c>
      <c r="J1397" s="34">
        <f>IF(AND(A1397&lt;&gt;"",ISTEXT(A1397),COUNTIFS(Processos!$AS$10:$AS$509,"="&amp;SUBSTITUTE(SUBSTITUTE(SUBSTITUTE("P:"&amp;A1397,"~","~~"),"*","~*"),"?","~?"))=1),(IF(ISNA(MATCH(SUBSTITUTE(SUBSTITUTE(SUBSTITUTE("P:"&amp;A1397,"~","~~"),"*","~*"),"?","~?"),Processos!$AS$10:$AS$509,0)),9,INDEX(Processos!$AM$10:$AM$509,MATCH(SUBSTITUTE(SUBSTITUTE(SUBSTITUTE("P:"&amp;A1397,"~","~~"),"*","~*"),"?","~?"),Processos!$AS$10:$AS$509,0)))-9),0)</f>
        <v>0</v>
      </c>
      <c r="K1397" s="34" t="str">
        <f t="shared" si="87"/>
        <v/>
      </c>
      <c r="L1397" s="14">
        <f>ROW()</f>
        <v>1397</v>
      </c>
    </row>
    <row r="1398" spans="1:12" ht="60" customHeight="1">
      <c r="A1398" s="41"/>
      <c r="B1398" s="43"/>
      <c r="C1398" s="44"/>
      <c r="D1398" s="51"/>
      <c r="E1398" s="44"/>
      <c r="F1398" s="44"/>
      <c r="G1398" s="34">
        <f t="shared" si="84"/>
        <v>0</v>
      </c>
      <c r="H1398" s="34" t="str">
        <f t="shared" si="85"/>
        <v/>
      </c>
      <c r="I1398" s="52" t="str">
        <f t="shared" si="86"/>
        <v/>
      </c>
      <c r="J1398" s="34">
        <f>IF(AND(A1398&lt;&gt;"",ISTEXT(A1398),COUNTIFS(Processos!$AS$10:$AS$509,"="&amp;SUBSTITUTE(SUBSTITUTE(SUBSTITUTE("P:"&amp;A1398,"~","~~"),"*","~*"),"?","~?"))=1),(IF(ISNA(MATCH(SUBSTITUTE(SUBSTITUTE(SUBSTITUTE("P:"&amp;A1398,"~","~~"),"*","~*"),"?","~?"),Processos!$AS$10:$AS$509,0)),9,INDEX(Processos!$AM$10:$AM$509,MATCH(SUBSTITUTE(SUBSTITUTE(SUBSTITUTE("P:"&amp;A1398,"~","~~"),"*","~*"),"?","~?"),Processos!$AS$10:$AS$509,0)))-9),0)</f>
        <v>0</v>
      </c>
      <c r="K1398" s="34" t="str">
        <f t="shared" si="87"/>
        <v/>
      </c>
      <c r="L1398" s="14">
        <f>ROW()</f>
        <v>1398</v>
      </c>
    </row>
    <row r="1399" spans="1:12" ht="60" customHeight="1">
      <c r="A1399" s="41"/>
      <c r="B1399" s="43"/>
      <c r="C1399" s="44"/>
      <c r="D1399" s="51"/>
      <c r="E1399" s="44"/>
      <c r="F1399" s="44"/>
      <c r="G1399" s="34">
        <f t="shared" si="84"/>
        <v>0</v>
      </c>
      <c r="H1399" s="34" t="str">
        <f t="shared" si="85"/>
        <v/>
      </c>
      <c r="I1399" s="52" t="str">
        <f t="shared" si="86"/>
        <v/>
      </c>
      <c r="J1399" s="34">
        <f>IF(AND(A1399&lt;&gt;"",ISTEXT(A1399),COUNTIFS(Processos!$AS$10:$AS$509,"="&amp;SUBSTITUTE(SUBSTITUTE(SUBSTITUTE("P:"&amp;A1399,"~","~~"),"*","~*"),"?","~?"))=1),(IF(ISNA(MATCH(SUBSTITUTE(SUBSTITUTE(SUBSTITUTE("P:"&amp;A1399,"~","~~"),"*","~*"),"?","~?"),Processos!$AS$10:$AS$509,0)),9,INDEX(Processos!$AM$10:$AM$509,MATCH(SUBSTITUTE(SUBSTITUTE(SUBSTITUTE("P:"&amp;A1399,"~","~~"),"*","~*"),"?","~?"),Processos!$AS$10:$AS$509,0)))-9),0)</f>
        <v>0</v>
      </c>
      <c r="K1399" s="34" t="str">
        <f t="shared" si="87"/>
        <v/>
      </c>
      <c r="L1399" s="14">
        <f>ROW()</f>
        <v>1399</v>
      </c>
    </row>
    <row r="1400" spans="1:12" ht="60" customHeight="1">
      <c r="A1400" s="41"/>
      <c r="B1400" s="43"/>
      <c r="C1400" s="44"/>
      <c r="D1400" s="51"/>
      <c r="E1400" s="44"/>
      <c r="F1400" s="44"/>
      <c r="G1400" s="34">
        <f t="shared" si="84"/>
        <v>0</v>
      </c>
      <c r="H1400" s="34" t="str">
        <f t="shared" si="85"/>
        <v/>
      </c>
      <c r="I1400" s="52" t="str">
        <f t="shared" si="86"/>
        <v/>
      </c>
      <c r="J1400" s="34">
        <f>IF(AND(A1400&lt;&gt;"",ISTEXT(A1400),COUNTIFS(Processos!$AS$10:$AS$509,"="&amp;SUBSTITUTE(SUBSTITUTE(SUBSTITUTE("P:"&amp;A1400,"~","~~"),"*","~*"),"?","~?"))=1),(IF(ISNA(MATCH(SUBSTITUTE(SUBSTITUTE(SUBSTITUTE("P:"&amp;A1400,"~","~~"),"*","~*"),"?","~?"),Processos!$AS$10:$AS$509,0)),9,INDEX(Processos!$AM$10:$AM$509,MATCH(SUBSTITUTE(SUBSTITUTE(SUBSTITUTE("P:"&amp;A1400,"~","~~"),"*","~*"),"?","~?"),Processos!$AS$10:$AS$509,0)))-9),0)</f>
        <v>0</v>
      </c>
      <c r="K1400" s="34" t="str">
        <f t="shared" si="87"/>
        <v/>
      </c>
      <c r="L1400" s="14">
        <f>ROW()</f>
        <v>1400</v>
      </c>
    </row>
    <row r="1401" spans="1:12" ht="60" customHeight="1">
      <c r="A1401" s="41"/>
      <c r="B1401" s="43"/>
      <c r="C1401" s="44"/>
      <c r="D1401" s="51"/>
      <c r="E1401" s="44"/>
      <c r="F1401" s="44"/>
      <c r="G1401" s="34">
        <f t="shared" si="84"/>
        <v>0</v>
      </c>
      <c r="H1401" s="34" t="str">
        <f t="shared" si="85"/>
        <v/>
      </c>
      <c r="I1401" s="52" t="str">
        <f t="shared" si="86"/>
        <v/>
      </c>
      <c r="J1401" s="34">
        <f>IF(AND(A1401&lt;&gt;"",ISTEXT(A1401),COUNTIFS(Processos!$AS$10:$AS$509,"="&amp;SUBSTITUTE(SUBSTITUTE(SUBSTITUTE("P:"&amp;A1401,"~","~~"),"*","~*"),"?","~?"))=1),(IF(ISNA(MATCH(SUBSTITUTE(SUBSTITUTE(SUBSTITUTE("P:"&amp;A1401,"~","~~"),"*","~*"),"?","~?"),Processos!$AS$10:$AS$509,0)),9,INDEX(Processos!$AM$10:$AM$509,MATCH(SUBSTITUTE(SUBSTITUTE(SUBSTITUTE("P:"&amp;A1401,"~","~~"),"*","~*"),"?","~?"),Processos!$AS$10:$AS$509,0)))-9),0)</f>
        <v>0</v>
      </c>
      <c r="K1401" s="34" t="str">
        <f t="shared" si="87"/>
        <v/>
      </c>
      <c r="L1401" s="14">
        <f>ROW()</f>
        <v>1401</v>
      </c>
    </row>
    <row r="1402" spans="1:12" ht="60" customHeight="1">
      <c r="A1402" s="41"/>
      <c r="B1402" s="43"/>
      <c r="C1402" s="44"/>
      <c r="D1402" s="51"/>
      <c r="E1402" s="44"/>
      <c r="F1402" s="44"/>
      <c r="G1402" s="34">
        <f t="shared" si="84"/>
        <v>0</v>
      </c>
      <c r="H1402" s="34" t="str">
        <f t="shared" si="85"/>
        <v/>
      </c>
      <c r="I1402" s="52" t="str">
        <f t="shared" si="86"/>
        <v/>
      </c>
      <c r="J1402" s="34">
        <f>IF(AND(A1402&lt;&gt;"",ISTEXT(A1402),COUNTIFS(Processos!$AS$10:$AS$509,"="&amp;SUBSTITUTE(SUBSTITUTE(SUBSTITUTE("P:"&amp;A1402,"~","~~"),"*","~*"),"?","~?"))=1),(IF(ISNA(MATCH(SUBSTITUTE(SUBSTITUTE(SUBSTITUTE("P:"&amp;A1402,"~","~~"),"*","~*"),"?","~?"),Processos!$AS$10:$AS$509,0)),9,INDEX(Processos!$AM$10:$AM$509,MATCH(SUBSTITUTE(SUBSTITUTE(SUBSTITUTE("P:"&amp;A1402,"~","~~"),"*","~*"),"?","~?"),Processos!$AS$10:$AS$509,0)))-9),0)</f>
        <v>0</v>
      </c>
      <c r="K1402" s="34" t="str">
        <f t="shared" si="87"/>
        <v/>
      </c>
      <c r="L1402" s="14">
        <f>ROW()</f>
        <v>1402</v>
      </c>
    </row>
    <row r="1403" spans="1:12" ht="60" customHeight="1">
      <c r="A1403" s="41"/>
      <c r="B1403" s="43"/>
      <c r="C1403" s="44"/>
      <c r="D1403" s="51"/>
      <c r="E1403" s="44"/>
      <c r="F1403" s="44"/>
      <c r="G1403" s="34">
        <f t="shared" si="84"/>
        <v>0</v>
      </c>
      <c r="H1403" s="34" t="str">
        <f t="shared" si="85"/>
        <v/>
      </c>
      <c r="I1403" s="52" t="str">
        <f t="shared" si="86"/>
        <v/>
      </c>
      <c r="J1403" s="34">
        <f>IF(AND(A1403&lt;&gt;"",ISTEXT(A1403),COUNTIFS(Processos!$AS$10:$AS$509,"="&amp;SUBSTITUTE(SUBSTITUTE(SUBSTITUTE("P:"&amp;A1403,"~","~~"),"*","~*"),"?","~?"))=1),(IF(ISNA(MATCH(SUBSTITUTE(SUBSTITUTE(SUBSTITUTE("P:"&amp;A1403,"~","~~"),"*","~*"),"?","~?"),Processos!$AS$10:$AS$509,0)),9,INDEX(Processos!$AM$10:$AM$509,MATCH(SUBSTITUTE(SUBSTITUTE(SUBSTITUTE("P:"&amp;A1403,"~","~~"),"*","~*"),"?","~?"),Processos!$AS$10:$AS$509,0)))-9),0)</f>
        <v>0</v>
      </c>
      <c r="K1403" s="34" t="str">
        <f t="shared" si="87"/>
        <v/>
      </c>
      <c r="L1403" s="14">
        <f>ROW()</f>
        <v>1403</v>
      </c>
    </row>
    <row r="1404" spans="1:12" ht="60" customHeight="1">
      <c r="A1404" s="41"/>
      <c r="B1404" s="43"/>
      <c r="C1404" s="44"/>
      <c r="D1404" s="51"/>
      <c r="E1404" s="44"/>
      <c r="F1404" s="44"/>
      <c r="G1404" s="34">
        <f t="shared" si="84"/>
        <v>0</v>
      </c>
      <c r="H1404" s="34" t="str">
        <f t="shared" si="85"/>
        <v/>
      </c>
      <c r="I1404" s="52" t="str">
        <f t="shared" si="86"/>
        <v/>
      </c>
      <c r="J1404" s="34">
        <f>IF(AND(A1404&lt;&gt;"",ISTEXT(A1404),COUNTIFS(Processos!$AS$10:$AS$509,"="&amp;SUBSTITUTE(SUBSTITUTE(SUBSTITUTE("P:"&amp;A1404,"~","~~"),"*","~*"),"?","~?"))=1),(IF(ISNA(MATCH(SUBSTITUTE(SUBSTITUTE(SUBSTITUTE("P:"&amp;A1404,"~","~~"),"*","~*"),"?","~?"),Processos!$AS$10:$AS$509,0)),9,INDEX(Processos!$AM$10:$AM$509,MATCH(SUBSTITUTE(SUBSTITUTE(SUBSTITUTE("P:"&amp;A1404,"~","~~"),"*","~*"),"?","~?"),Processos!$AS$10:$AS$509,0)))-9),0)</f>
        <v>0</v>
      </c>
      <c r="K1404" s="34" t="str">
        <f t="shared" si="87"/>
        <v/>
      </c>
      <c r="L1404" s="14">
        <f>ROW()</f>
        <v>1404</v>
      </c>
    </row>
    <row r="1405" spans="1:12" ht="60" customHeight="1">
      <c r="A1405" s="41"/>
      <c r="B1405" s="43"/>
      <c r="C1405" s="44"/>
      <c r="D1405" s="51"/>
      <c r="E1405" s="44"/>
      <c r="F1405" s="44"/>
      <c r="G1405" s="34">
        <f t="shared" si="84"/>
        <v>0</v>
      </c>
      <c r="H1405" s="34" t="str">
        <f t="shared" si="85"/>
        <v/>
      </c>
      <c r="I1405" s="52" t="str">
        <f t="shared" si="86"/>
        <v/>
      </c>
      <c r="J1405" s="34">
        <f>IF(AND(A1405&lt;&gt;"",ISTEXT(A1405),COUNTIFS(Processos!$AS$10:$AS$509,"="&amp;SUBSTITUTE(SUBSTITUTE(SUBSTITUTE("P:"&amp;A1405,"~","~~"),"*","~*"),"?","~?"))=1),(IF(ISNA(MATCH(SUBSTITUTE(SUBSTITUTE(SUBSTITUTE("P:"&amp;A1405,"~","~~"),"*","~*"),"?","~?"),Processos!$AS$10:$AS$509,0)),9,INDEX(Processos!$AM$10:$AM$509,MATCH(SUBSTITUTE(SUBSTITUTE(SUBSTITUTE("P:"&amp;A1405,"~","~~"),"*","~*"),"?","~?"),Processos!$AS$10:$AS$509,0)))-9),0)</f>
        <v>0</v>
      </c>
      <c r="K1405" s="34" t="str">
        <f t="shared" si="87"/>
        <v/>
      </c>
      <c r="L1405" s="14">
        <f>ROW()</f>
        <v>1405</v>
      </c>
    </row>
    <row r="1406" spans="1:12" ht="60" customHeight="1">
      <c r="A1406" s="41"/>
      <c r="B1406" s="43"/>
      <c r="C1406" s="44"/>
      <c r="D1406" s="51"/>
      <c r="E1406" s="44"/>
      <c r="F1406" s="44"/>
      <c r="G1406" s="34">
        <f t="shared" si="84"/>
        <v>0</v>
      </c>
      <c r="H1406" s="34" t="str">
        <f t="shared" si="85"/>
        <v/>
      </c>
      <c r="I1406" s="52" t="str">
        <f t="shared" si="86"/>
        <v/>
      </c>
      <c r="J1406" s="34">
        <f>IF(AND(A1406&lt;&gt;"",ISTEXT(A1406),COUNTIFS(Processos!$AS$10:$AS$509,"="&amp;SUBSTITUTE(SUBSTITUTE(SUBSTITUTE("P:"&amp;A1406,"~","~~"),"*","~*"),"?","~?"))=1),(IF(ISNA(MATCH(SUBSTITUTE(SUBSTITUTE(SUBSTITUTE("P:"&amp;A1406,"~","~~"),"*","~*"),"?","~?"),Processos!$AS$10:$AS$509,0)),9,INDEX(Processos!$AM$10:$AM$509,MATCH(SUBSTITUTE(SUBSTITUTE(SUBSTITUTE("P:"&amp;A1406,"~","~~"),"*","~*"),"?","~?"),Processos!$AS$10:$AS$509,0)))-9),0)</f>
        <v>0</v>
      </c>
      <c r="K1406" s="34" t="str">
        <f t="shared" si="87"/>
        <v/>
      </c>
      <c r="L1406" s="14">
        <f>ROW()</f>
        <v>1406</v>
      </c>
    </row>
    <row r="1407" spans="1:12" ht="60" customHeight="1">
      <c r="A1407" s="41"/>
      <c r="B1407" s="43"/>
      <c r="C1407" s="44"/>
      <c r="D1407" s="51"/>
      <c r="E1407" s="44"/>
      <c r="F1407" s="44"/>
      <c r="G1407" s="34">
        <f t="shared" si="84"/>
        <v>0</v>
      </c>
      <c r="H1407" s="34" t="str">
        <f t="shared" si="85"/>
        <v/>
      </c>
      <c r="I1407" s="52" t="str">
        <f t="shared" si="86"/>
        <v/>
      </c>
      <c r="J1407" s="34">
        <f>IF(AND(A1407&lt;&gt;"",ISTEXT(A1407),COUNTIFS(Processos!$AS$10:$AS$509,"="&amp;SUBSTITUTE(SUBSTITUTE(SUBSTITUTE("P:"&amp;A1407,"~","~~"),"*","~*"),"?","~?"))=1),(IF(ISNA(MATCH(SUBSTITUTE(SUBSTITUTE(SUBSTITUTE("P:"&amp;A1407,"~","~~"),"*","~*"),"?","~?"),Processos!$AS$10:$AS$509,0)),9,INDEX(Processos!$AM$10:$AM$509,MATCH(SUBSTITUTE(SUBSTITUTE(SUBSTITUTE("P:"&amp;A1407,"~","~~"),"*","~*"),"?","~?"),Processos!$AS$10:$AS$509,0)))-9),0)</f>
        <v>0</v>
      </c>
      <c r="K1407" s="34" t="str">
        <f t="shared" si="87"/>
        <v/>
      </c>
      <c r="L1407" s="14">
        <f>ROW()</f>
        <v>1407</v>
      </c>
    </row>
    <row r="1408" spans="1:12" ht="60" customHeight="1">
      <c r="A1408" s="41"/>
      <c r="B1408" s="43"/>
      <c r="C1408" s="44"/>
      <c r="D1408" s="51"/>
      <c r="E1408" s="44"/>
      <c r="F1408" s="44"/>
      <c r="G1408" s="34">
        <f t="shared" si="84"/>
        <v>0</v>
      </c>
      <c r="H1408" s="34" t="str">
        <f t="shared" si="85"/>
        <v/>
      </c>
      <c r="I1408" s="52" t="str">
        <f t="shared" si="86"/>
        <v/>
      </c>
      <c r="J1408" s="34">
        <f>IF(AND(A1408&lt;&gt;"",ISTEXT(A1408),COUNTIFS(Processos!$AS$10:$AS$509,"="&amp;SUBSTITUTE(SUBSTITUTE(SUBSTITUTE("P:"&amp;A1408,"~","~~"),"*","~*"),"?","~?"))=1),(IF(ISNA(MATCH(SUBSTITUTE(SUBSTITUTE(SUBSTITUTE("P:"&amp;A1408,"~","~~"),"*","~*"),"?","~?"),Processos!$AS$10:$AS$509,0)),9,INDEX(Processos!$AM$10:$AM$509,MATCH(SUBSTITUTE(SUBSTITUTE(SUBSTITUTE("P:"&amp;A1408,"~","~~"),"*","~*"),"?","~?"),Processos!$AS$10:$AS$509,0)))-9),0)</f>
        <v>0</v>
      </c>
      <c r="K1408" s="34" t="str">
        <f t="shared" si="87"/>
        <v/>
      </c>
      <c r="L1408" s="14">
        <f>ROW()</f>
        <v>1408</v>
      </c>
    </row>
    <row r="1409" spans="1:12" ht="60" customHeight="1">
      <c r="A1409" s="41"/>
      <c r="B1409" s="43"/>
      <c r="C1409" s="44"/>
      <c r="D1409" s="51"/>
      <c r="E1409" s="44"/>
      <c r="F1409" s="44"/>
      <c r="G1409" s="34">
        <f t="shared" si="84"/>
        <v>0</v>
      </c>
      <c r="H1409" s="34" t="str">
        <f t="shared" si="85"/>
        <v/>
      </c>
      <c r="I1409" s="52" t="str">
        <f t="shared" si="86"/>
        <v/>
      </c>
      <c r="J1409" s="34">
        <f>IF(AND(A1409&lt;&gt;"",ISTEXT(A1409),COUNTIFS(Processos!$AS$10:$AS$509,"="&amp;SUBSTITUTE(SUBSTITUTE(SUBSTITUTE("P:"&amp;A1409,"~","~~"),"*","~*"),"?","~?"))=1),(IF(ISNA(MATCH(SUBSTITUTE(SUBSTITUTE(SUBSTITUTE("P:"&amp;A1409,"~","~~"),"*","~*"),"?","~?"),Processos!$AS$10:$AS$509,0)),9,INDEX(Processos!$AM$10:$AM$509,MATCH(SUBSTITUTE(SUBSTITUTE(SUBSTITUTE("P:"&amp;A1409,"~","~~"),"*","~*"),"?","~?"),Processos!$AS$10:$AS$509,0)))-9),0)</f>
        <v>0</v>
      </c>
      <c r="K1409" s="34" t="str">
        <f t="shared" si="87"/>
        <v/>
      </c>
      <c r="L1409" s="14">
        <f>ROW()</f>
        <v>1409</v>
      </c>
    </row>
    <row r="1410" spans="1:12" ht="60" customHeight="1">
      <c r="A1410" s="41"/>
      <c r="B1410" s="43"/>
      <c r="C1410" s="44"/>
      <c r="D1410" s="51"/>
      <c r="E1410" s="44"/>
      <c r="F1410" s="44"/>
      <c r="G1410" s="34">
        <f t="shared" si="84"/>
        <v>0</v>
      </c>
      <c r="H1410" s="34" t="str">
        <f t="shared" si="85"/>
        <v/>
      </c>
      <c r="I1410" s="52" t="str">
        <f t="shared" si="86"/>
        <v/>
      </c>
      <c r="J1410" s="34">
        <f>IF(AND(A1410&lt;&gt;"",ISTEXT(A1410),COUNTIFS(Processos!$AS$10:$AS$509,"="&amp;SUBSTITUTE(SUBSTITUTE(SUBSTITUTE("P:"&amp;A1410,"~","~~"),"*","~*"),"?","~?"))=1),(IF(ISNA(MATCH(SUBSTITUTE(SUBSTITUTE(SUBSTITUTE("P:"&amp;A1410,"~","~~"),"*","~*"),"?","~?"),Processos!$AS$10:$AS$509,0)),9,INDEX(Processos!$AM$10:$AM$509,MATCH(SUBSTITUTE(SUBSTITUTE(SUBSTITUTE("P:"&amp;A1410,"~","~~"),"*","~*"),"?","~?"),Processos!$AS$10:$AS$509,0)))-9),0)</f>
        <v>0</v>
      </c>
      <c r="K1410" s="34" t="str">
        <f t="shared" si="87"/>
        <v/>
      </c>
      <c r="L1410" s="14">
        <f>ROW()</f>
        <v>1410</v>
      </c>
    </row>
    <row r="1411" spans="1:12" ht="60" customHeight="1">
      <c r="A1411" s="41"/>
      <c r="B1411" s="43"/>
      <c r="C1411" s="44"/>
      <c r="D1411" s="51"/>
      <c r="E1411" s="44"/>
      <c r="F1411" s="44"/>
      <c r="G1411" s="34">
        <f t="shared" si="84"/>
        <v>0</v>
      </c>
      <c r="H1411" s="34" t="str">
        <f t="shared" si="85"/>
        <v/>
      </c>
      <c r="I1411" s="52" t="str">
        <f t="shared" si="86"/>
        <v/>
      </c>
      <c r="J1411" s="34">
        <f>IF(AND(A1411&lt;&gt;"",ISTEXT(A1411),COUNTIFS(Processos!$AS$10:$AS$509,"="&amp;SUBSTITUTE(SUBSTITUTE(SUBSTITUTE("P:"&amp;A1411,"~","~~"),"*","~*"),"?","~?"))=1),(IF(ISNA(MATCH(SUBSTITUTE(SUBSTITUTE(SUBSTITUTE("P:"&amp;A1411,"~","~~"),"*","~*"),"?","~?"),Processos!$AS$10:$AS$509,0)),9,INDEX(Processos!$AM$10:$AM$509,MATCH(SUBSTITUTE(SUBSTITUTE(SUBSTITUTE("P:"&amp;A1411,"~","~~"),"*","~*"),"?","~?"),Processos!$AS$10:$AS$509,0)))-9),0)</f>
        <v>0</v>
      </c>
      <c r="K1411" s="34" t="str">
        <f t="shared" si="87"/>
        <v/>
      </c>
      <c r="L1411" s="14">
        <f>ROW()</f>
        <v>1411</v>
      </c>
    </row>
    <row r="1412" spans="1:12" ht="60" customHeight="1">
      <c r="A1412" s="41"/>
      <c r="B1412" s="43"/>
      <c r="C1412" s="44"/>
      <c r="D1412" s="51"/>
      <c r="E1412" s="44"/>
      <c r="F1412" s="44"/>
      <c r="G1412" s="34">
        <f t="shared" si="84"/>
        <v>0</v>
      </c>
      <c r="H1412" s="34" t="str">
        <f t="shared" si="85"/>
        <v/>
      </c>
      <c r="I1412" s="52" t="str">
        <f t="shared" si="86"/>
        <v/>
      </c>
      <c r="J1412" s="34">
        <f>IF(AND(A1412&lt;&gt;"",ISTEXT(A1412),COUNTIFS(Processos!$AS$10:$AS$509,"="&amp;SUBSTITUTE(SUBSTITUTE(SUBSTITUTE("P:"&amp;A1412,"~","~~"),"*","~*"),"?","~?"))=1),(IF(ISNA(MATCH(SUBSTITUTE(SUBSTITUTE(SUBSTITUTE("P:"&amp;A1412,"~","~~"),"*","~*"),"?","~?"),Processos!$AS$10:$AS$509,0)),9,INDEX(Processos!$AM$10:$AM$509,MATCH(SUBSTITUTE(SUBSTITUTE(SUBSTITUTE("P:"&amp;A1412,"~","~~"),"*","~*"),"?","~?"),Processos!$AS$10:$AS$509,0)))-9),0)</f>
        <v>0</v>
      </c>
      <c r="K1412" s="34" t="str">
        <f t="shared" si="87"/>
        <v/>
      </c>
      <c r="L1412" s="14">
        <f>ROW()</f>
        <v>1412</v>
      </c>
    </row>
    <row r="1413" spans="1:12" ht="60" customHeight="1">
      <c r="A1413" s="41"/>
      <c r="B1413" s="43"/>
      <c r="C1413" s="44"/>
      <c r="D1413" s="51"/>
      <c r="E1413" s="44"/>
      <c r="F1413" s="44"/>
      <c r="G1413" s="34">
        <f t="shared" si="84"/>
        <v>0</v>
      </c>
      <c r="H1413" s="34" t="str">
        <f t="shared" si="85"/>
        <v/>
      </c>
      <c r="I1413" s="52" t="str">
        <f t="shared" si="86"/>
        <v/>
      </c>
      <c r="J1413" s="34">
        <f>IF(AND(A1413&lt;&gt;"",ISTEXT(A1413),COUNTIFS(Processos!$AS$10:$AS$509,"="&amp;SUBSTITUTE(SUBSTITUTE(SUBSTITUTE("P:"&amp;A1413,"~","~~"),"*","~*"),"?","~?"))=1),(IF(ISNA(MATCH(SUBSTITUTE(SUBSTITUTE(SUBSTITUTE("P:"&amp;A1413,"~","~~"),"*","~*"),"?","~?"),Processos!$AS$10:$AS$509,0)),9,INDEX(Processos!$AM$10:$AM$509,MATCH(SUBSTITUTE(SUBSTITUTE(SUBSTITUTE("P:"&amp;A1413,"~","~~"),"*","~*"),"?","~?"),Processos!$AS$10:$AS$509,0)))-9),0)</f>
        <v>0</v>
      </c>
      <c r="K1413" s="34" t="str">
        <f t="shared" si="87"/>
        <v/>
      </c>
      <c r="L1413" s="14">
        <f>ROW()</f>
        <v>1413</v>
      </c>
    </row>
    <row r="1414" spans="1:12" ht="60" customHeight="1">
      <c r="A1414" s="41"/>
      <c r="B1414" s="43"/>
      <c r="C1414" s="44"/>
      <c r="D1414" s="51"/>
      <c r="E1414" s="44"/>
      <c r="F1414" s="44"/>
      <c r="G1414" s="34">
        <f t="shared" si="84"/>
        <v>0</v>
      </c>
      <c r="H1414" s="34" t="str">
        <f t="shared" si="85"/>
        <v/>
      </c>
      <c r="I1414" s="52" t="str">
        <f t="shared" si="86"/>
        <v/>
      </c>
      <c r="J1414" s="34">
        <f>IF(AND(A1414&lt;&gt;"",ISTEXT(A1414),COUNTIFS(Processos!$AS$10:$AS$509,"="&amp;SUBSTITUTE(SUBSTITUTE(SUBSTITUTE("P:"&amp;A1414,"~","~~"),"*","~*"),"?","~?"))=1),(IF(ISNA(MATCH(SUBSTITUTE(SUBSTITUTE(SUBSTITUTE("P:"&amp;A1414,"~","~~"),"*","~*"),"?","~?"),Processos!$AS$10:$AS$509,0)),9,INDEX(Processos!$AM$10:$AM$509,MATCH(SUBSTITUTE(SUBSTITUTE(SUBSTITUTE("P:"&amp;A1414,"~","~~"),"*","~*"),"?","~?"),Processos!$AS$10:$AS$509,0)))-9),0)</f>
        <v>0</v>
      </c>
      <c r="K1414" s="34" t="str">
        <f t="shared" si="87"/>
        <v/>
      </c>
      <c r="L1414" s="14">
        <f>ROW()</f>
        <v>1414</v>
      </c>
    </row>
    <row r="1415" spans="1:12" ht="60" customHeight="1">
      <c r="A1415" s="41"/>
      <c r="B1415" s="43"/>
      <c r="C1415" s="44"/>
      <c r="D1415" s="51"/>
      <c r="E1415" s="44"/>
      <c r="F1415" s="44"/>
      <c r="G1415" s="34">
        <f t="shared" si="84"/>
        <v>0</v>
      </c>
      <c r="H1415" s="34" t="str">
        <f t="shared" si="85"/>
        <v/>
      </c>
      <c r="I1415" s="52" t="str">
        <f t="shared" si="86"/>
        <v/>
      </c>
      <c r="J1415" s="34">
        <f>IF(AND(A1415&lt;&gt;"",ISTEXT(A1415),COUNTIFS(Processos!$AS$10:$AS$509,"="&amp;SUBSTITUTE(SUBSTITUTE(SUBSTITUTE("P:"&amp;A1415,"~","~~"),"*","~*"),"?","~?"))=1),(IF(ISNA(MATCH(SUBSTITUTE(SUBSTITUTE(SUBSTITUTE("P:"&amp;A1415,"~","~~"),"*","~*"),"?","~?"),Processos!$AS$10:$AS$509,0)),9,INDEX(Processos!$AM$10:$AM$509,MATCH(SUBSTITUTE(SUBSTITUTE(SUBSTITUTE("P:"&amp;A1415,"~","~~"),"*","~*"),"?","~?"),Processos!$AS$10:$AS$509,0)))-9),0)</f>
        <v>0</v>
      </c>
      <c r="K1415" s="34" t="str">
        <f t="shared" si="87"/>
        <v/>
      </c>
      <c r="L1415" s="14">
        <f>ROW()</f>
        <v>1415</v>
      </c>
    </row>
    <row r="1416" spans="1:12" ht="60" customHeight="1">
      <c r="A1416" s="41"/>
      <c r="B1416" s="43"/>
      <c r="C1416" s="44"/>
      <c r="D1416" s="51"/>
      <c r="E1416" s="44"/>
      <c r="F1416" s="44"/>
      <c r="G1416" s="34">
        <f t="shared" si="84"/>
        <v>0</v>
      </c>
      <c r="H1416" s="34" t="str">
        <f t="shared" si="85"/>
        <v/>
      </c>
      <c r="I1416" s="52" t="str">
        <f t="shared" si="86"/>
        <v/>
      </c>
      <c r="J1416" s="34">
        <f>IF(AND(A1416&lt;&gt;"",ISTEXT(A1416),COUNTIFS(Processos!$AS$10:$AS$509,"="&amp;SUBSTITUTE(SUBSTITUTE(SUBSTITUTE("P:"&amp;A1416,"~","~~"),"*","~*"),"?","~?"))=1),(IF(ISNA(MATCH(SUBSTITUTE(SUBSTITUTE(SUBSTITUTE("P:"&amp;A1416,"~","~~"),"*","~*"),"?","~?"),Processos!$AS$10:$AS$509,0)),9,INDEX(Processos!$AM$10:$AM$509,MATCH(SUBSTITUTE(SUBSTITUTE(SUBSTITUTE("P:"&amp;A1416,"~","~~"),"*","~*"),"?","~?"),Processos!$AS$10:$AS$509,0)))-9),0)</f>
        <v>0</v>
      </c>
      <c r="K1416" s="34" t="str">
        <f t="shared" si="87"/>
        <v/>
      </c>
      <c r="L1416" s="14">
        <f>ROW()</f>
        <v>1416</v>
      </c>
    </row>
    <row r="1417" spans="1:12" ht="60" customHeight="1">
      <c r="A1417" s="41"/>
      <c r="B1417" s="43"/>
      <c r="C1417" s="44"/>
      <c r="D1417" s="51"/>
      <c r="E1417" s="44"/>
      <c r="F1417" s="44"/>
      <c r="G1417" s="34">
        <f t="shared" si="84"/>
        <v>0</v>
      </c>
      <c r="H1417" s="34" t="str">
        <f t="shared" si="85"/>
        <v/>
      </c>
      <c r="I1417" s="52" t="str">
        <f t="shared" si="86"/>
        <v/>
      </c>
      <c r="J1417" s="34">
        <f>IF(AND(A1417&lt;&gt;"",ISTEXT(A1417),COUNTIFS(Processos!$AS$10:$AS$509,"="&amp;SUBSTITUTE(SUBSTITUTE(SUBSTITUTE("P:"&amp;A1417,"~","~~"),"*","~*"),"?","~?"))=1),(IF(ISNA(MATCH(SUBSTITUTE(SUBSTITUTE(SUBSTITUTE("P:"&amp;A1417,"~","~~"),"*","~*"),"?","~?"),Processos!$AS$10:$AS$509,0)),9,INDEX(Processos!$AM$10:$AM$509,MATCH(SUBSTITUTE(SUBSTITUTE(SUBSTITUTE("P:"&amp;A1417,"~","~~"),"*","~*"),"?","~?"),Processos!$AS$10:$AS$509,0)))-9),0)</f>
        <v>0</v>
      </c>
      <c r="K1417" s="34" t="str">
        <f t="shared" si="87"/>
        <v/>
      </c>
      <c r="L1417" s="14">
        <f>ROW()</f>
        <v>1417</v>
      </c>
    </row>
    <row r="1418" spans="1:12" ht="60" customHeight="1">
      <c r="A1418" s="41"/>
      <c r="B1418" s="43"/>
      <c r="C1418" s="44"/>
      <c r="D1418" s="51"/>
      <c r="E1418" s="44"/>
      <c r="F1418" s="44"/>
      <c r="G1418" s="34">
        <f t="shared" ref="G1418:G1481" si="88">IF(AND(J1418&gt;0,OR(B1418="",AND(ISNUMBER(B1418),B1418&gt;=1,B1418&lt;=100000)),ISNUMBER(D1418),D1418&gt;=1,D1418&lt;=100000,C1418&lt;&gt;""),1,0)</f>
        <v>0</v>
      </c>
      <c r="H1418" s="34" t="str">
        <f t="shared" ref="H1418:H1481" si="89">IF(G1418=1,K1418&amp;"|"&amp;D1418,"")</f>
        <v/>
      </c>
      <c r="I1418" s="52" t="str">
        <f t="shared" ref="I1418:I1481" si="90">IF(COUNTA(A1418:F1418)=0,"",IF(A1418="","Selecione o processo",IF(J1418=0,"Processo inexistente, duplicado ou número não textual",IF(B1418="","Informe a data do andamento",IF(C1418="","Descreva o andamento",IF(D1418="","Informe a data e hora do recebimento",IF(OR(NOT(ISNUMBER(B1418)),B1418&lt;1,B1418&gt;100000),"Revise a data do andamento",IF(OR(NOT(ISNUMBER(D1418)),D1418&lt;1,D1418&gt;100000),"Revise a data e hora do recebimento",IF(COUNTIFS($K$10:$K$2009,"="&amp;SUBSTITUTE(SUBSTITUTE(SUBSTITUTE("P:"&amp;A1418,"~","~~"),"*","~*"),"?","~?"),$D$10:$D$2009,D1418,$G$10:$G$2009,1)&gt;1,"Recebimentos empatados: revise a hora ou consolide o registro","")))))))))</f>
        <v/>
      </c>
      <c r="J1418" s="34">
        <f>IF(AND(A1418&lt;&gt;"",ISTEXT(A1418),COUNTIFS(Processos!$AS$10:$AS$509,"="&amp;SUBSTITUTE(SUBSTITUTE(SUBSTITUTE("P:"&amp;A1418,"~","~~"),"*","~*"),"?","~?"))=1),(IF(ISNA(MATCH(SUBSTITUTE(SUBSTITUTE(SUBSTITUTE("P:"&amp;A1418,"~","~~"),"*","~*"),"?","~?"),Processos!$AS$10:$AS$509,0)),9,INDEX(Processos!$AM$10:$AM$509,MATCH(SUBSTITUTE(SUBSTITUTE(SUBSTITUTE("P:"&amp;A1418,"~","~~"),"*","~*"),"?","~?"),Processos!$AS$10:$AS$509,0)))-9),0)</f>
        <v>0</v>
      </c>
      <c r="K1418" s="34" t="str">
        <f t="shared" ref="K1418:K1481" si="91">IF(AND(A1418&lt;&gt;"",ISTEXT(A1418)),"P:"&amp;A1418,"")</f>
        <v/>
      </c>
      <c r="L1418" s="14">
        <f>ROW()</f>
        <v>1418</v>
      </c>
    </row>
    <row r="1419" spans="1:12" ht="60" customHeight="1">
      <c r="A1419" s="41"/>
      <c r="B1419" s="43"/>
      <c r="C1419" s="44"/>
      <c r="D1419" s="51"/>
      <c r="E1419" s="44"/>
      <c r="F1419" s="44"/>
      <c r="G1419" s="34">
        <f t="shared" si="88"/>
        <v>0</v>
      </c>
      <c r="H1419" s="34" t="str">
        <f t="shared" si="89"/>
        <v/>
      </c>
      <c r="I1419" s="52" t="str">
        <f t="shared" si="90"/>
        <v/>
      </c>
      <c r="J1419" s="34">
        <f>IF(AND(A1419&lt;&gt;"",ISTEXT(A1419),COUNTIFS(Processos!$AS$10:$AS$509,"="&amp;SUBSTITUTE(SUBSTITUTE(SUBSTITUTE("P:"&amp;A1419,"~","~~"),"*","~*"),"?","~?"))=1),(IF(ISNA(MATCH(SUBSTITUTE(SUBSTITUTE(SUBSTITUTE("P:"&amp;A1419,"~","~~"),"*","~*"),"?","~?"),Processos!$AS$10:$AS$509,0)),9,INDEX(Processos!$AM$10:$AM$509,MATCH(SUBSTITUTE(SUBSTITUTE(SUBSTITUTE("P:"&amp;A1419,"~","~~"),"*","~*"),"?","~?"),Processos!$AS$10:$AS$509,0)))-9),0)</f>
        <v>0</v>
      </c>
      <c r="K1419" s="34" t="str">
        <f t="shared" si="91"/>
        <v/>
      </c>
      <c r="L1419" s="14">
        <f>ROW()</f>
        <v>1419</v>
      </c>
    </row>
    <row r="1420" spans="1:12" ht="60" customHeight="1">
      <c r="A1420" s="41"/>
      <c r="B1420" s="43"/>
      <c r="C1420" s="44"/>
      <c r="D1420" s="51"/>
      <c r="E1420" s="44"/>
      <c r="F1420" s="44"/>
      <c r="G1420" s="34">
        <f t="shared" si="88"/>
        <v>0</v>
      </c>
      <c r="H1420" s="34" t="str">
        <f t="shared" si="89"/>
        <v/>
      </c>
      <c r="I1420" s="52" t="str">
        <f t="shared" si="90"/>
        <v/>
      </c>
      <c r="J1420" s="34">
        <f>IF(AND(A1420&lt;&gt;"",ISTEXT(A1420),COUNTIFS(Processos!$AS$10:$AS$509,"="&amp;SUBSTITUTE(SUBSTITUTE(SUBSTITUTE("P:"&amp;A1420,"~","~~"),"*","~*"),"?","~?"))=1),(IF(ISNA(MATCH(SUBSTITUTE(SUBSTITUTE(SUBSTITUTE("P:"&amp;A1420,"~","~~"),"*","~*"),"?","~?"),Processos!$AS$10:$AS$509,0)),9,INDEX(Processos!$AM$10:$AM$509,MATCH(SUBSTITUTE(SUBSTITUTE(SUBSTITUTE("P:"&amp;A1420,"~","~~"),"*","~*"),"?","~?"),Processos!$AS$10:$AS$509,0)))-9),0)</f>
        <v>0</v>
      </c>
      <c r="K1420" s="34" t="str">
        <f t="shared" si="91"/>
        <v/>
      </c>
      <c r="L1420" s="14">
        <f>ROW()</f>
        <v>1420</v>
      </c>
    </row>
    <row r="1421" spans="1:12" ht="60" customHeight="1">
      <c r="A1421" s="41"/>
      <c r="B1421" s="43"/>
      <c r="C1421" s="44"/>
      <c r="D1421" s="51"/>
      <c r="E1421" s="44"/>
      <c r="F1421" s="44"/>
      <c r="G1421" s="34">
        <f t="shared" si="88"/>
        <v>0</v>
      </c>
      <c r="H1421" s="34" t="str">
        <f t="shared" si="89"/>
        <v/>
      </c>
      <c r="I1421" s="52" t="str">
        <f t="shared" si="90"/>
        <v/>
      </c>
      <c r="J1421" s="34">
        <f>IF(AND(A1421&lt;&gt;"",ISTEXT(A1421),COUNTIFS(Processos!$AS$10:$AS$509,"="&amp;SUBSTITUTE(SUBSTITUTE(SUBSTITUTE("P:"&amp;A1421,"~","~~"),"*","~*"),"?","~?"))=1),(IF(ISNA(MATCH(SUBSTITUTE(SUBSTITUTE(SUBSTITUTE("P:"&amp;A1421,"~","~~"),"*","~*"),"?","~?"),Processos!$AS$10:$AS$509,0)),9,INDEX(Processos!$AM$10:$AM$509,MATCH(SUBSTITUTE(SUBSTITUTE(SUBSTITUTE("P:"&amp;A1421,"~","~~"),"*","~*"),"?","~?"),Processos!$AS$10:$AS$509,0)))-9),0)</f>
        <v>0</v>
      </c>
      <c r="K1421" s="34" t="str">
        <f t="shared" si="91"/>
        <v/>
      </c>
      <c r="L1421" s="14">
        <f>ROW()</f>
        <v>1421</v>
      </c>
    </row>
    <row r="1422" spans="1:12" ht="60" customHeight="1">
      <c r="A1422" s="41"/>
      <c r="B1422" s="43"/>
      <c r="C1422" s="44"/>
      <c r="D1422" s="51"/>
      <c r="E1422" s="44"/>
      <c r="F1422" s="44"/>
      <c r="G1422" s="34">
        <f t="shared" si="88"/>
        <v>0</v>
      </c>
      <c r="H1422" s="34" t="str">
        <f t="shared" si="89"/>
        <v/>
      </c>
      <c r="I1422" s="52" t="str">
        <f t="shared" si="90"/>
        <v/>
      </c>
      <c r="J1422" s="34">
        <f>IF(AND(A1422&lt;&gt;"",ISTEXT(A1422),COUNTIFS(Processos!$AS$10:$AS$509,"="&amp;SUBSTITUTE(SUBSTITUTE(SUBSTITUTE("P:"&amp;A1422,"~","~~"),"*","~*"),"?","~?"))=1),(IF(ISNA(MATCH(SUBSTITUTE(SUBSTITUTE(SUBSTITUTE("P:"&amp;A1422,"~","~~"),"*","~*"),"?","~?"),Processos!$AS$10:$AS$509,0)),9,INDEX(Processos!$AM$10:$AM$509,MATCH(SUBSTITUTE(SUBSTITUTE(SUBSTITUTE("P:"&amp;A1422,"~","~~"),"*","~*"),"?","~?"),Processos!$AS$10:$AS$509,0)))-9),0)</f>
        <v>0</v>
      </c>
      <c r="K1422" s="34" t="str">
        <f t="shared" si="91"/>
        <v/>
      </c>
      <c r="L1422" s="14">
        <f>ROW()</f>
        <v>1422</v>
      </c>
    </row>
    <row r="1423" spans="1:12" ht="60" customHeight="1">
      <c r="A1423" s="41"/>
      <c r="B1423" s="43"/>
      <c r="C1423" s="44"/>
      <c r="D1423" s="51"/>
      <c r="E1423" s="44"/>
      <c r="F1423" s="44"/>
      <c r="G1423" s="34">
        <f t="shared" si="88"/>
        <v>0</v>
      </c>
      <c r="H1423" s="34" t="str">
        <f t="shared" si="89"/>
        <v/>
      </c>
      <c r="I1423" s="52" t="str">
        <f t="shared" si="90"/>
        <v/>
      </c>
      <c r="J1423" s="34">
        <f>IF(AND(A1423&lt;&gt;"",ISTEXT(A1423),COUNTIFS(Processos!$AS$10:$AS$509,"="&amp;SUBSTITUTE(SUBSTITUTE(SUBSTITUTE("P:"&amp;A1423,"~","~~"),"*","~*"),"?","~?"))=1),(IF(ISNA(MATCH(SUBSTITUTE(SUBSTITUTE(SUBSTITUTE("P:"&amp;A1423,"~","~~"),"*","~*"),"?","~?"),Processos!$AS$10:$AS$509,0)),9,INDEX(Processos!$AM$10:$AM$509,MATCH(SUBSTITUTE(SUBSTITUTE(SUBSTITUTE("P:"&amp;A1423,"~","~~"),"*","~*"),"?","~?"),Processos!$AS$10:$AS$509,0)))-9),0)</f>
        <v>0</v>
      </c>
      <c r="K1423" s="34" t="str">
        <f t="shared" si="91"/>
        <v/>
      </c>
      <c r="L1423" s="14">
        <f>ROW()</f>
        <v>1423</v>
      </c>
    </row>
    <row r="1424" spans="1:12" ht="60" customHeight="1">
      <c r="A1424" s="41"/>
      <c r="B1424" s="43"/>
      <c r="C1424" s="44"/>
      <c r="D1424" s="51"/>
      <c r="E1424" s="44"/>
      <c r="F1424" s="44"/>
      <c r="G1424" s="34">
        <f t="shared" si="88"/>
        <v>0</v>
      </c>
      <c r="H1424" s="34" t="str">
        <f t="shared" si="89"/>
        <v/>
      </c>
      <c r="I1424" s="52" t="str">
        <f t="shared" si="90"/>
        <v/>
      </c>
      <c r="J1424" s="34">
        <f>IF(AND(A1424&lt;&gt;"",ISTEXT(A1424),COUNTIFS(Processos!$AS$10:$AS$509,"="&amp;SUBSTITUTE(SUBSTITUTE(SUBSTITUTE("P:"&amp;A1424,"~","~~"),"*","~*"),"?","~?"))=1),(IF(ISNA(MATCH(SUBSTITUTE(SUBSTITUTE(SUBSTITUTE("P:"&amp;A1424,"~","~~"),"*","~*"),"?","~?"),Processos!$AS$10:$AS$509,0)),9,INDEX(Processos!$AM$10:$AM$509,MATCH(SUBSTITUTE(SUBSTITUTE(SUBSTITUTE("P:"&amp;A1424,"~","~~"),"*","~*"),"?","~?"),Processos!$AS$10:$AS$509,0)))-9),0)</f>
        <v>0</v>
      </c>
      <c r="K1424" s="34" t="str">
        <f t="shared" si="91"/>
        <v/>
      </c>
      <c r="L1424" s="14">
        <f>ROW()</f>
        <v>1424</v>
      </c>
    </row>
    <row r="1425" spans="1:12" ht="60" customHeight="1">
      <c r="A1425" s="41"/>
      <c r="B1425" s="43"/>
      <c r="C1425" s="44"/>
      <c r="D1425" s="51"/>
      <c r="E1425" s="44"/>
      <c r="F1425" s="44"/>
      <c r="G1425" s="34">
        <f t="shared" si="88"/>
        <v>0</v>
      </c>
      <c r="H1425" s="34" t="str">
        <f t="shared" si="89"/>
        <v/>
      </c>
      <c r="I1425" s="52" t="str">
        <f t="shared" si="90"/>
        <v/>
      </c>
      <c r="J1425" s="34">
        <f>IF(AND(A1425&lt;&gt;"",ISTEXT(A1425),COUNTIFS(Processos!$AS$10:$AS$509,"="&amp;SUBSTITUTE(SUBSTITUTE(SUBSTITUTE("P:"&amp;A1425,"~","~~"),"*","~*"),"?","~?"))=1),(IF(ISNA(MATCH(SUBSTITUTE(SUBSTITUTE(SUBSTITUTE("P:"&amp;A1425,"~","~~"),"*","~*"),"?","~?"),Processos!$AS$10:$AS$509,0)),9,INDEX(Processos!$AM$10:$AM$509,MATCH(SUBSTITUTE(SUBSTITUTE(SUBSTITUTE("P:"&amp;A1425,"~","~~"),"*","~*"),"?","~?"),Processos!$AS$10:$AS$509,0)))-9),0)</f>
        <v>0</v>
      </c>
      <c r="K1425" s="34" t="str">
        <f t="shared" si="91"/>
        <v/>
      </c>
      <c r="L1425" s="14">
        <f>ROW()</f>
        <v>1425</v>
      </c>
    </row>
    <row r="1426" spans="1:12" ht="60" customHeight="1">
      <c r="A1426" s="41"/>
      <c r="B1426" s="43"/>
      <c r="C1426" s="44"/>
      <c r="D1426" s="51"/>
      <c r="E1426" s="44"/>
      <c r="F1426" s="44"/>
      <c r="G1426" s="34">
        <f t="shared" si="88"/>
        <v>0</v>
      </c>
      <c r="H1426" s="34" t="str">
        <f t="shared" si="89"/>
        <v/>
      </c>
      <c r="I1426" s="52" t="str">
        <f t="shared" si="90"/>
        <v/>
      </c>
      <c r="J1426" s="34">
        <f>IF(AND(A1426&lt;&gt;"",ISTEXT(A1426),COUNTIFS(Processos!$AS$10:$AS$509,"="&amp;SUBSTITUTE(SUBSTITUTE(SUBSTITUTE("P:"&amp;A1426,"~","~~"),"*","~*"),"?","~?"))=1),(IF(ISNA(MATCH(SUBSTITUTE(SUBSTITUTE(SUBSTITUTE("P:"&amp;A1426,"~","~~"),"*","~*"),"?","~?"),Processos!$AS$10:$AS$509,0)),9,INDEX(Processos!$AM$10:$AM$509,MATCH(SUBSTITUTE(SUBSTITUTE(SUBSTITUTE("P:"&amp;A1426,"~","~~"),"*","~*"),"?","~?"),Processos!$AS$10:$AS$509,0)))-9),0)</f>
        <v>0</v>
      </c>
      <c r="K1426" s="34" t="str">
        <f t="shared" si="91"/>
        <v/>
      </c>
      <c r="L1426" s="14">
        <f>ROW()</f>
        <v>1426</v>
      </c>
    </row>
    <row r="1427" spans="1:12" ht="60" customHeight="1">
      <c r="A1427" s="41"/>
      <c r="B1427" s="43"/>
      <c r="C1427" s="44"/>
      <c r="D1427" s="51"/>
      <c r="E1427" s="44"/>
      <c r="F1427" s="44"/>
      <c r="G1427" s="34">
        <f t="shared" si="88"/>
        <v>0</v>
      </c>
      <c r="H1427" s="34" t="str">
        <f t="shared" si="89"/>
        <v/>
      </c>
      <c r="I1427" s="52" t="str">
        <f t="shared" si="90"/>
        <v/>
      </c>
      <c r="J1427" s="34">
        <f>IF(AND(A1427&lt;&gt;"",ISTEXT(A1427),COUNTIFS(Processos!$AS$10:$AS$509,"="&amp;SUBSTITUTE(SUBSTITUTE(SUBSTITUTE("P:"&amp;A1427,"~","~~"),"*","~*"),"?","~?"))=1),(IF(ISNA(MATCH(SUBSTITUTE(SUBSTITUTE(SUBSTITUTE("P:"&amp;A1427,"~","~~"),"*","~*"),"?","~?"),Processos!$AS$10:$AS$509,0)),9,INDEX(Processos!$AM$10:$AM$509,MATCH(SUBSTITUTE(SUBSTITUTE(SUBSTITUTE("P:"&amp;A1427,"~","~~"),"*","~*"),"?","~?"),Processos!$AS$10:$AS$509,0)))-9),0)</f>
        <v>0</v>
      </c>
      <c r="K1427" s="34" t="str">
        <f t="shared" si="91"/>
        <v/>
      </c>
      <c r="L1427" s="14">
        <f>ROW()</f>
        <v>1427</v>
      </c>
    </row>
    <row r="1428" spans="1:12" ht="60" customHeight="1">
      <c r="A1428" s="41"/>
      <c r="B1428" s="43"/>
      <c r="C1428" s="44"/>
      <c r="D1428" s="51"/>
      <c r="E1428" s="44"/>
      <c r="F1428" s="44"/>
      <c r="G1428" s="34">
        <f t="shared" si="88"/>
        <v>0</v>
      </c>
      <c r="H1428" s="34" t="str">
        <f t="shared" si="89"/>
        <v/>
      </c>
      <c r="I1428" s="52" t="str">
        <f t="shared" si="90"/>
        <v/>
      </c>
      <c r="J1428" s="34">
        <f>IF(AND(A1428&lt;&gt;"",ISTEXT(A1428),COUNTIFS(Processos!$AS$10:$AS$509,"="&amp;SUBSTITUTE(SUBSTITUTE(SUBSTITUTE("P:"&amp;A1428,"~","~~"),"*","~*"),"?","~?"))=1),(IF(ISNA(MATCH(SUBSTITUTE(SUBSTITUTE(SUBSTITUTE("P:"&amp;A1428,"~","~~"),"*","~*"),"?","~?"),Processos!$AS$10:$AS$509,0)),9,INDEX(Processos!$AM$10:$AM$509,MATCH(SUBSTITUTE(SUBSTITUTE(SUBSTITUTE("P:"&amp;A1428,"~","~~"),"*","~*"),"?","~?"),Processos!$AS$10:$AS$509,0)))-9),0)</f>
        <v>0</v>
      </c>
      <c r="K1428" s="34" t="str">
        <f t="shared" si="91"/>
        <v/>
      </c>
      <c r="L1428" s="14">
        <f>ROW()</f>
        <v>1428</v>
      </c>
    </row>
    <row r="1429" spans="1:12" ht="60" customHeight="1">
      <c r="A1429" s="41"/>
      <c r="B1429" s="43"/>
      <c r="C1429" s="44"/>
      <c r="D1429" s="51"/>
      <c r="E1429" s="44"/>
      <c r="F1429" s="44"/>
      <c r="G1429" s="34">
        <f t="shared" si="88"/>
        <v>0</v>
      </c>
      <c r="H1429" s="34" t="str">
        <f t="shared" si="89"/>
        <v/>
      </c>
      <c r="I1429" s="52" t="str">
        <f t="shared" si="90"/>
        <v/>
      </c>
      <c r="J1429" s="34">
        <f>IF(AND(A1429&lt;&gt;"",ISTEXT(A1429),COUNTIFS(Processos!$AS$10:$AS$509,"="&amp;SUBSTITUTE(SUBSTITUTE(SUBSTITUTE("P:"&amp;A1429,"~","~~"),"*","~*"),"?","~?"))=1),(IF(ISNA(MATCH(SUBSTITUTE(SUBSTITUTE(SUBSTITUTE("P:"&amp;A1429,"~","~~"),"*","~*"),"?","~?"),Processos!$AS$10:$AS$509,0)),9,INDEX(Processos!$AM$10:$AM$509,MATCH(SUBSTITUTE(SUBSTITUTE(SUBSTITUTE("P:"&amp;A1429,"~","~~"),"*","~*"),"?","~?"),Processos!$AS$10:$AS$509,0)))-9),0)</f>
        <v>0</v>
      </c>
      <c r="K1429" s="34" t="str">
        <f t="shared" si="91"/>
        <v/>
      </c>
      <c r="L1429" s="14">
        <f>ROW()</f>
        <v>1429</v>
      </c>
    </row>
    <row r="1430" spans="1:12" ht="60" customHeight="1">
      <c r="A1430" s="41"/>
      <c r="B1430" s="43"/>
      <c r="C1430" s="44"/>
      <c r="D1430" s="51"/>
      <c r="E1430" s="44"/>
      <c r="F1430" s="44"/>
      <c r="G1430" s="34">
        <f t="shared" si="88"/>
        <v>0</v>
      </c>
      <c r="H1430" s="34" t="str">
        <f t="shared" si="89"/>
        <v/>
      </c>
      <c r="I1430" s="52" t="str">
        <f t="shared" si="90"/>
        <v/>
      </c>
      <c r="J1430" s="34">
        <f>IF(AND(A1430&lt;&gt;"",ISTEXT(A1430),COUNTIFS(Processos!$AS$10:$AS$509,"="&amp;SUBSTITUTE(SUBSTITUTE(SUBSTITUTE("P:"&amp;A1430,"~","~~"),"*","~*"),"?","~?"))=1),(IF(ISNA(MATCH(SUBSTITUTE(SUBSTITUTE(SUBSTITUTE("P:"&amp;A1430,"~","~~"),"*","~*"),"?","~?"),Processos!$AS$10:$AS$509,0)),9,INDEX(Processos!$AM$10:$AM$509,MATCH(SUBSTITUTE(SUBSTITUTE(SUBSTITUTE("P:"&amp;A1430,"~","~~"),"*","~*"),"?","~?"),Processos!$AS$10:$AS$509,0)))-9),0)</f>
        <v>0</v>
      </c>
      <c r="K1430" s="34" t="str">
        <f t="shared" si="91"/>
        <v/>
      </c>
      <c r="L1430" s="14">
        <f>ROW()</f>
        <v>1430</v>
      </c>
    </row>
    <row r="1431" spans="1:12" ht="60" customHeight="1">
      <c r="A1431" s="41"/>
      <c r="B1431" s="43"/>
      <c r="C1431" s="44"/>
      <c r="D1431" s="51"/>
      <c r="E1431" s="44"/>
      <c r="F1431" s="44"/>
      <c r="G1431" s="34">
        <f t="shared" si="88"/>
        <v>0</v>
      </c>
      <c r="H1431" s="34" t="str">
        <f t="shared" si="89"/>
        <v/>
      </c>
      <c r="I1431" s="52" t="str">
        <f t="shared" si="90"/>
        <v/>
      </c>
      <c r="J1431" s="34">
        <f>IF(AND(A1431&lt;&gt;"",ISTEXT(A1431),COUNTIFS(Processos!$AS$10:$AS$509,"="&amp;SUBSTITUTE(SUBSTITUTE(SUBSTITUTE("P:"&amp;A1431,"~","~~"),"*","~*"),"?","~?"))=1),(IF(ISNA(MATCH(SUBSTITUTE(SUBSTITUTE(SUBSTITUTE("P:"&amp;A1431,"~","~~"),"*","~*"),"?","~?"),Processos!$AS$10:$AS$509,0)),9,INDEX(Processos!$AM$10:$AM$509,MATCH(SUBSTITUTE(SUBSTITUTE(SUBSTITUTE("P:"&amp;A1431,"~","~~"),"*","~*"),"?","~?"),Processos!$AS$10:$AS$509,0)))-9),0)</f>
        <v>0</v>
      </c>
      <c r="K1431" s="34" t="str">
        <f t="shared" si="91"/>
        <v/>
      </c>
      <c r="L1431" s="14">
        <f>ROW()</f>
        <v>1431</v>
      </c>
    </row>
    <row r="1432" spans="1:12" ht="60" customHeight="1">
      <c r="A1432" s="41"/>
      <c r="B1432" s="43"/>
      <c r="C1432" s="44"/>
      <c r="D1432" s="51"/>
      <c r="E1432" s="44"/>
      <c r="F1432" s="44"/>
      <c r="G1432" s="34">
        <f t="shared" si="88"/>
        <v>0</v>
      </c>
      <c r="H1432" s="34" t="str">
        <f t="shared" si="89"/>
        <v/>
      </c>
      <c r="I1432" s="52" t="str">
        <f t="shared" si="90"/>
        <v/>
      </c>
      <c r="J1432" s="34">
        <f>IF(AND(A1432&lt;&gt;"",ISTEXT(A1432),COUNTIFS(Processos!$AS$10:$AS$509,"="&amp;SUBSTITUTE(SUBSTITUTE(SUBSTITUTE("P:"&amp;A1432,"~","~~"),"*","~*"),"?","~?"))=1),(IF(ISNA(MATCH(SUBSTITUTE(SUBSTITUTE(SUBSTITUTE("P:"&amp;A1432,"~","~~"),"*","~*"),"?","~?"),Processos!$AS$10:$AS$509,0)),9,INDEX(Processos!$AM$10:$AM$509,MATCH(SUBSTITUTE(SUBSTITUTE(SUBSTITUTE("P:"&amp;A1432,"~","~~"),"*","~*"),"?","~?"),Processos!$AS$10:$AS$509,0)))-9),0)</f>
        <v>0</v>
      </c>
      <c r="K1432" s="34" t="str">
        <f t="shared" si="91"/>
        <v/>
      </c>
      <c r="L1432" s="14">
        <f>ROW()</f>
        <v>1432</v>
      </c>
    </row>
    <row r="1433" spans="1:12" ht="60" customHeight="1">
      <c r="A1433" s="41"/>
      <c r="B1433" s="43"/>
      <c r="C1433" s="44"/>
      <c r="D1433" s="51"/>
      <c r="E1433" s="44"/>
      <c r="F1433" s="44"/>
      <c r="G1433" s="34">
        <f t="shared" si="88"/>
        <v>0</v>
      </c>
      <c r="H1433" s="34" t="str">
        <f t="shared" si="89"/>
        <v/>
      </c>
      <c r="I1433" s="52" t="str">
        <f t="shared" si="90"/>
        <v/>
      </c>
      <c r="J1433" s="34">
        <f>IF(AND(A1433&lt;&gt;"",ISTEXT(A1433),COUNTIFS(Processos!$AS$10:$AS$509,"="&amp;SUBSTITUTE(SUBSTITUTE(SUBSTITUTE("P:"&amp;A1433,"~","~~"),"*","~*"),"?","~?"))=1),(IF(ISNA(MATCH(SUBSTITUTE(SUBSTITUTE(SUBSTITUTE("P:"&amp;A1433,"~","~~"),"*","~*"),"?","~?"),Processos!$AS$10:$AS$509,0)),9,INDEX(Processos!$AM$10:$AM$509,MATCH(SUBSTITUTE(SUBSTITUTE(SUBSTITUTE("P:"&amp;A1433,"~","~~"),"*","~*"),"?","~?"),Processos!$AS$10:$AS$509,0)))-9),0)</f>
        <v>0</v>
      </c>
      <c r="K1433" s="34" t="str">
        <f t="shared" si="91"/>
        <v/>
      </c>
      <c r="L1433" s="14">
        <f>ROW()</f>
        <v>1433</v>
      </c>
    </row>
    <row r="1434" spans="1:12" ht="60" customHeight="1">
      <c r="A1434" s="41"/>
      <c r="B1434" s="43"/>
      <c r="C1434" s="44"/>
      <c r="D1434" s="51"/>
      <c r="E1434" s="44"/>
      <c r="F1434" s="44"/>
      <c r="G1434" s="34">
        <f t="shared" si="88"/>
        <v>0</v>
      </c>
      <c r="H1434" s="34" t="str">
        <f t="shared" si="89"/>
        <v/>
      </c>
      <c r="I1434" s="52" t="str">
        <f t="shared" si="90"/>
        <v/>
      </c>
      <c r="J1434" s="34">
        <f>IF(AND(A1434&lt;&gt;"",ISTEXT(A1434),COUNTIFS(Processos!$AS$10:$AS$509,"="&amp;SUBSTITUTE(SUBSTITUTE(SUBSTITUTE("P:"&amp;A1434,"~","~~"),"*","~*"),"?","~?"))=1),(IF(ISNA(MATCH(SUBSTITUTE(SUBSTITUTE(SUBSTITUTE("P:"&amp;A1434,"~","~~"),"*","~*"),"?","~?"),Processos!$AS$10:$AS$509,0)),9,INDEX(Processos!$AM$10:$AM$509,MATCH(SUBSTITUTE(SUBSTITUTE(SUBSTITUTE("P:"&amp;A1434,"~","~~"),"*","~*"),"?","~?"),Processos!$AS$10:$AS$509,0)))-9),0)</f>
        <v>0</v>
      </c>
      <c r="K1434" s="34" t="str">
        <f t="shared" si="91"/>
        <v/>
      </c>
      <c r="L1434" s="14">
        <f>ROW()</f>
        <v>1434</v>
      </c>
    </row>
    <row r="1435" spans="1:12" ht="60" customHeight="1">
      <c r="A1435" s="41"/>
      <c r="B1435" s="43"/>
      <c r="C1435" s="44"/>
      <c r="D1435" s="51"/>
      <c r="E1435" s="44"/>
      <c r="F1435" s="44"/>
      <c r="G1435" s="34">
        <f t="shared" si="88"/>
        <v>0</v>
      </c>
      <c r="H1435" s="34" t="str">
        <f t="shared" si="89"/>
        <v/>
      </c>
      <c r="I1435" s="52" t="str">
        <f t="shared" si="90"/>
        <v/>
      </c>
      <c r="J1435" s="34">
        <f>IF(AND(A1435&lt;&gt;"",ISTEXT(A1435),COUNTIFS(Processos!$AS$10:$AS$509,"="&amp;SUBSTITUTE(SUBSTITUTE(SUBSTITUTE("P:"&amp;A1435,"~","~~"),"*","~*"),"?","~?"))=1),(IF(ISNA(MATCH(SUBSTITUTE(SUBSTITUTE(SUBSTITUTE("P:"&amp;A1435,"~","~~"),"*","~*"),"?","~?"),Processos!$AS$10:$AS$509,0)),9,INDEX(Processos!$AM$10:$AM$509,MATCH(SUBSTITUTE(SUBSTITUTE(SUBSTITUTE("P:"&amp;A1435,"~","~~"),"*","~*"),"?","~?"),Processos!$AS$10:$AS$509,0)))-9),0)</f>
        <v>0</v>
      </c>
      <c r="K1435" s="34" t="str">
        <f t="shared" si="91"/>
        <v/>
      </c>
      <c r="L1435" s="14">
        <f>ROW()</f>
        <v>1435</v>
      </c>
    </row>
    <row r="1436" spans="1:12" ht="60" customHeight="1">
      <c r="A1436" s="41"/>
      <c r="B1436" s="43"/>
      <c r="C1436" s="44"/>
      <c r="D1436" s="51"/>
      <c r="E1436" s="44"/>
      <c r="F1436" s="44"/>
      <c r="G1436" s="34">
        <f t="shared" si="88"/>
        <v>0</v>
      </c>
      <c r="H1436" s="34" t="str">
        <f t="shared" si="89"/>
        <v/>
      </c>
      <c r="I1436" s="52" t="str">
        <f t="shared" si="90"/>
        <v/>
      </c>
      <c r="J1436" s="34">
        <f>IF(AND(A1436&lt;&gt;"",ISTEXT(A1436),COUNTIFS(Processos!$AS$10:$AS$509,"="&amp;SUBSTITUTE(SUBSTITUTE(SUBSTITUTE("P:"&amp;A1436,"~","~~"),"*","~*"),"?","~?"))=1),(IF(ISNA(MATCH(SUBSTITUTE(SUBSTITUTE(SUBSTITUTE("P:"&amp;A1436,"~","~~"),"*","~*"),"?","~?"),Processos!$AS$10:$AS$509,0)),9,INDEX(Processos!$AM$10:$AM$509,MATCH(SUBSTITUTE(SUBSTITUTE(SUBSTITUTE("P:"&amp;A1436,"~","~~"),"*","~*"),"?","~?"),Processos!$AS$10:$AS$509,0)))-9),0)</f>
        <v>0</v>
      </c>
      <c r="K1436" s="34" t="str">
        <f t="shared" si="91"/>
        <v/>
      </c>
      <c r="L1436" s="14">
        <f>ROW()</f>
        <v>1436</v>
      </c>
    </row>
    <row r="1437" spans="1:12" ht="60" customHeight="1">
      <c r="A1437" s="41"/>
      <c r="B1437" s="43"/>
      <c r="C1437" s="44"/>
      <c r="D1437" s="51"/>
      <c r="E1437" s="44"/>
      <c r="F1437" s="44"/>
      <c r="G1437" s="34">
        <f t="shared" si="88"/>
        <v>0</v>
      </c>
      <c r="H1437" s="34" t="str">
        <f t="shared" si="89"/>
        <v/>
      </c>
      <c r="I1437" s="52" t="str">
        <f t="shared" si="90"/>
        <v/>
      </c>
      <c r="J1437" s="34">
        <f>IF(AND(A1437&lt;&gt;"",ISTEXT(A1437),COUNTIFS(Processos!$AS$10:$AS$509,"="&amp;SUBSTITUTE(SUBSTITUTE(SUBSTITUTE("P:"&amp;A1437,"~","~~"),"*","~*"),"?","~?"))=1),(IF(ISNA(MATCH(SUBSTITUTE(SUBSTITUTE(SUBSTITUTE("P:"&amp;A1437,"~","~~"),"*","~*"),"?","~?"),Processos!$AS$10:$AS$509,0)),9,INDEX(Processos!$AM$10:$AM$509,MATCH(SUBSTITUTE(SUBSTITUTE(SUBSTITUTE("P:"&amp;A1437,"~","~~"),"*","~*"),"?","~?"),Processos!$AS$10:$AS$509,0)))-9),0)</f>
        <v>0</v>
      </c>
      <c r="K1437" s="34" t="str">
        <f t="shared" si="91"/>
        <v/>
      </c>
      <c r="L1437" s="14">
        <f>ROW()</f>
        <v>1437</v>
      </c>
    </row>
    <row r="1438" spans="1:12" ht="60" customHeight="1">
      <c r="A1438" s="41"/>
      <c r="B1438" s="43"/>
      <c r="C1438" s="44"/>
      <c r="D1438" s="51"/>
      <c r="E1438" s="44"/>
      <c r="F1438" s="44"/>
      <c r="G1438" s="34">
        <f t="shared" si="88"/>
        <v>0</v>
      </c>
      <c r="H1438" s="34" t="str">
        <f t="shared" si="89"/>
        <v/>
      </c>
      <c r="I1438" s="52" t="str">
        <f t="shared" si="90"/>
        <v/>
      </c>
      <c r="J1438" s="34">
        <f>IF(AND(A1438&lt;&gt;"",ISTEXT(A1438),COUNTIFS(Processos!$AS$10:$AS$509,"="&amp;SUBSTITUTE(SUBSTITUTE(SUBSTITUTE("P:"&amp;A1438,"~","~~"),"*","~*"),"?","~?"))=1),(IF(ISNA(MATCH(SUBSTITUTE(SUBSTITUTE(SUBSTITUTE("P:"&amp;A1438,"~","~~"),"*","~*"),"?","~?"),Processos!$AS$10:$AS$509,0)),9,INDEX(Processos!$AM$10:$AM$509,MATCH(SUBSTITUTE(SUBSTITUTE(SUBSTITUTE("P:"&amp;A1438,"~","~~"),"*","~*"),"?","~?"),Processos!$AS$10:$AS$509,0)))-9),0)</f>
        <v>0</v>
      </c>
      <c r="K1438" s="34" t="str">
        <f t="shared" si="91"/>
        <v/>
      </c>
      <c r="L1438" s="14">
        <f>ROW()</f>
        <v>1438</v>
      </c>
    </row>
    <row r="1439" spans="1:12" ht="60" customHeight="1">
      <c r="A1439" s="41"/>
      <c r="B1439" s="43"/>
      <c r="C1439" s="44"/>
      <c r="D1439" s="51"/>
      <c r="E1439" s="44"/>
      <c r="F1439" s="44"/>
      <c r="G1439" s="34">
        <f t="shared" si="88"/>
        <v>0</v>
      </c>
      <c r="H1439" s="34" t="str">
        <f t="shared" si="89"/>
        <v/>
      </c>
      <c r="I1439" s="52" t="str">
        <f t="shared" si="90"/>
        <v/>
      </c>
      <c r="J1439" s="34">
        <f>IF(AND(A1439&lt;&gt;"",ISTEXT(A1439),COUNTIFS(Processos!$AS$10:$AS$509,"="&amp;SUBSTITUTE(SUBSTITUTE(SUBSTITUTE("P:"&amp;A1439,"~","~~"),"*","~*"),"?","~?"))=1),(IF(ISNA(MATCH(SUBSTITUTE(SUBSTITUTE(SUBSTITUTE("P:"&amp;A1439,"~","~~"),"*","~*"),"?","~?"),Processos!$AS$10:$AS$509,0)),9,INDEX(Processos!$AM$10:$AM$509,MATCH(SUBSTITUTE(SUBSTITUTE(SUBSTITUTE("P:"&amp;A1439,"~","~~"),"*","~*"),"?","~?"),Processos!$AS$10:$AS$509,0)))-9),0)</f>
        <v>0</v>
      </c>
      <c r="K1439" s="34" t="str">
        <f t="shared" si="91"/>
        <v/>
      </c>
      <c r="L1439" s="14">
        <f>ROW()</f>
        <v>1439</v>
      </c>
    </row>
    <row r="1440" spans="1:12" ht="60" customHeight="1">
      <c r="A1440" s="41"/>
      <c r="B1440" s="43"/>
      <c r="C1440" s="44"/>
      <c r="D1440" s="51"/>
      <c r="E1440" s="44"/>
      <c r="F1440" s="44"/>
      <c r="G1440" s="34">
        <f t="shared" si="88"/>
        <v>0</v>
      </c>
      <c r="H1440" s="34" t="str">
        <f t="shared" si="89"/>
        <v/>
      </c>
      <c r="I1440" s="52" t="str">
        <f t="shared" si="90"/>
        <v/>
      </c>
      <c r="J1440" s="34">
        <f>IF(AND(A1440&lt;&gt;"",ISTEXT(A1440),COUNTIFS(Processos!$AS$10:$AS$509,"="&amp;SUBSTITUTE(SUBSTITUTE(SUBSTITUTE("P:"&amp;A1440,"~","~~"),"*","~*"),"?","~?"))=1),(IF(ISNA(MATCH(SUBSTITUTE(SUBSTITUTE(SUBSTITUTE("P:"&amp;A1440,"~","~~"),"*","~*"),"?","~?"),Processos!$AS$10:$AS$509,0)),9,INDEX(Processos!$AM$10:$AM$509,MATCH(SUBSTITUTE(SUBSTITUTE(SUBSTITUTE("P:"&amp;A1440,"~","~~"),"*","~*"),"?","~?"),Processos!$AS$10:$AS$509,0)))-9),0)</f>
        <v>0</v>
      </c>
      <c r="K1440" s="34" t="str">
        <f t="shared" si="91"/>
        <v/>
      </c>
      <c r="L1440" s="14">
        <f>ROW()</f>
        <v>1440</v>
      </c>
    </row>
    <row r="1441" spans="1:12" ht="60" customHeight="1">
      <c r="A1441" s="41"/>
      <c r="B1441" s="43"/>
      <c r="C1441" s="44"/>
      <c r="D1441" s="51"/>
      <c r="E1441" s="44"/>
      <c r="F1441" s="44"/>
      <c r="G1441" s="34">
        <f t="shared" si="88"/>
        <v>0</v>
      </c>
      <c r="H1441" s="34" t="str">
        <f t="shared" si="89"/>
        <v/>
      </c>
      <c r="I1441" s="52" t="str">
        <f t="shared" si="90"/>
        <v/>
      </c>
      <c r="J1441" s="34">
        <f>IF(AND(A1441&lt;&gt;"",ISTEXT(A1441),COUNTIFS(Processos!$AS$10:$AS$509,"="&amp;SUBSTITUTE(SUBSTITUTE(SUBSTITUTE("P:"&amp;A1441,"~","~~"),"*","~*"),"?","~?"))=1),(IF(ISNA(MATCH(SUBSTITUTE(SUBSTITUTE(SUBSTITUTE("P:"&amp;A1441,"~","~~"),"*","~*"),"?","~?"),Processos!$AS$10:$AS$509,0)),9,INDEX(Processos!$AM$10:$AM$509,MATCH(SUBSTITUTE(SUBSTITUTE(SUBSTITUTE("P:"&amp;A1441,"~","~~"),"*","~*"),"?","~?"),Processos!$AS$10:$AS$509,0)))-9),0)</f>
        <v>0</v>
      </c>
      <c r="K1441" s="34" t="str">
        <f t="shared" si="91"/>
        <v/>
      </c>
      <c r="L1441" s="14">
        <f>ROW()</f>
        <v>1441</v>
      </c>
    </row>
    <row r="1442" spans="1:12" ht="60" customHeight="1">
      <c r="A1442" s="41"/>
      <c r="B1442" s="43"/>
      <c r="C1442" s="44"/>
      <c r="D1442" s="51"/>
      <c r="E1442" s="44"/>
      <c r="F1442" s="44"/>
      <c r="G1442" s="34">
        <f t="shared" si="88"/>
        <v>0</v>
      </c>
      <c r="H1442" s="34" t="str">
        <f t="shared" si="89"/>
        <v/>
      </c>
      <c r="I1442" s="52" t="str">
        <f t="shared" si="90"/>
        <v/>
      </c>
      <c r="J1442" s="34">
        <f>IF(AND(A1442&lt;&gt;"",ISTEXT(A1442),COUNTIFS(Processos!$AS$10:$AS$509,"="&amp;SUBSTITUTE(SUBSTITUTE(SUBSTITUTE("P:"&amp;A1442,"~","~~"),"*","~*"),"?","~?"))=1),(IF(ISNA(MATCH(SUBSTITUTE(SUBSTITUTE(SUBSTITUTE("P:"&amp;A1442,"~","~~"),"*","~*"),"?","~?"),Processos!$AS$10:$AS$509,0)),9,INDEX(Processos!$AM$10:$AM$509,MATCH(SUBSTITUTE(SUBSTITUTE(SUBSTITUTE("P:"&amp;A1442,"~","~~"),"*","~*"),"?","~?"),Processos!$AS$10:$AS$509,0)))-9),0)</f>
        <v>0</v>
      </c>
      <c r="K1442" s="34" t="str">
        <f t="shared" si="91"/>
        <v/>
      </c>
      <c r="L1442" s="14">
        <f>ROW()</f>
        <v>1442</v>
      </c>
    </row>
    <row r="1443" spans="1:12" ht="60" customHeight="1">
      <c r="A1443" s="41"/>
      <c r="B1443" s="43"/>
      <c r="C1443" s="44"/>
      <c r="D1443" s="51"/>
      <c r="E1443" s="44"/>
      <c r="F1443" s="44"/>
      <c r="G1443" s="34">
        <f t="shared" si="88"/>
        <v>0</v>
      </c>
      <c r="H1443" s="34" t="str">
        <f t="shared" si="89"/>
        <v/>
      </c>
      <c r="I1443" s="52" t="str">
        <f t="shared" si="90"/>
        <v/>
      </c>
      <c r="J1443" s="34">
        <f>IF(AND(A1443&lt;&gt;"",ISTEXT(A1443),COUNTIFS(Processos!$AS$10:$AS$509,"="&amp;SUBSTITUTE(SUBSTITUTE(SUBSTITUTE("P:"&amp;A1443,"~","~~"),"*","~*"),"?","~?"))=1),(IF(ISNA(MATCH(SUBSTITUTE(SUBSTITUTE(SUBSTITUTE("P:"&amp;A1443,"~","~~"),"*","~*"),"?","~?"),Processos!$AS$10:$AS$509,0)),9,INDEX(Processos!$AM$10:$AM$509,MATCH(SUBSTITUTE(SUBSTITUTE(SUBSTITUTE("P:"&amp;A1443,"~","~~"),"*","~*"),"?","~?"),Processos!$AS$10:$AS$509,0)))-9),0)</f>
        <v>0</v>
      </c>
      <c r="K1443" s="34" t="str">
        <f t="shared" si="91"/>
        <v/>
      </c>
      <c r="L1443" s="14">
        <f>ROW()</f>
        <v>1443</v>
      </c>
    </row>
    <row r="1444" spans="1:12" ht="60" customHeight="1">
      <c r="A1444" s="41"/>
      <c r="B1444" s="43"/>
      <c r="C1444" s="44"/>
      <c r="D1444" s="51"/>
      <c r="E1444" s="44"/>
      <c r="F1444" s="44"/>
      <c r="G1444" s="34">
        <f t="shared" si="88"/>
        <v>0</v>
      </c>
      <c r="H1444" s="34" t="str">
        <f t="shared" si="89"/>
        <v/>
      </c>
      <c r="I1444" s="52" t="str">
        <f t="shared" si="90"/>
        <v/>
      </c>
      <c r="J1444" s="34">
        <f>IF(AND(A1444&lt;&gt;"",ISTEXT(A1444),COUNTIFS(Processos!$AS$10:$AS$509,"="&amp;SUBSTITUTE(SUBSTITUTE(SUBSTITUTE("P:"&amp;A1444,"~","~~"),"*","~*"),"?","~?"))=1),(IF(ISNA(MATCH(SUBSTITUTE(SUBSTITUTE(SUBSTITUTE("P:"&amp;A1444,"~","~~"),"*","~*"),"?","~?"),Processos!$AS$10:$AS$509,0)),9,INDEX(Processos!$AM$10:$AM$509,MATCH(SUBSTITUTE(SUBSTITUTE(SUBSTITUTE("P:"&amp;A1444,"~","~~"),"*","~*"),"?","~?"),Processos!$AS$10:$AS$509,0)))-9),0)</f>
        <v>0</v>
      </c>
      <c r="K1444" s="34" t="str">
        <f t="shared" si="91"/>
        <v/>
      </c>
      <c r="L1444" s="14">
        <f>ROW()</f>
        <v>1444</v>
      </c>
    </row>
    <row r="1445" spans="1:12" ht="60" customHeight="1">
      <c r="A1445" s="41"/>
      <c r="B1445" s="43"/>
      <c r="C1445" s="44"/>
      <c r="D1445" s="51"/>
      <c r="E1445" s="44"/>
      <c r="F1445" s="44"/>
      <c r="G1445" s="34">
        <f t="shared" si="88"/>
        <v>0</v>
      </c>
      <c r="H1445" s="34" t="str">
        <f t="shared" si="89"/>
        <v/>
      </c>
      <c r="I1445" s="52" t="str">
        <f t="shared" si="90"/>
        <v/>
      </c>
      <c r="J1445" s="34">
        <f>IF(AND(A1445&lt;&gt;"",ISTEXT(A1445),COUNTIFS(Processos!$AS$10:$AS$509,"="&amp;SUBSTITUTE(SUBSTITUTE(SUBSTITUTE("P:"&amp;A1445,"~","~~"),"*","~*"),"?","~?"))=1),(IF(ISNA(MATCH(SUBSTITUTE(SUBSTITUTE(SUBSTITUTE("P:"&amp;A1445,"~","~~"),"*","~*"),"?","~?"),Processos!$AS$10:$AS$509,0)),9,INDEX(Processos!$AM$10:$AM$509,MATCH(SUBSTITUTE(SUBSTITUTE(SUBSTITUTE("P:"&amp;A1445,"~","~~"),"*","~*"),"?","~?"),Processos!$AS$10:$AS$509,0)))-9),0)</f>
        <v>0</v>
      </c>
      <c r="K1445" s="34" t="str">
        <f t="shared" si="91"/>
        <v/>
      </c>
      <c r="L1445" s="14">
        <f>ROW()</f>
        <v>1445</v>
      </c>
    </row>
    <row r="1446" spans="1:12" ht="60" customHeight="1">
      <c r="A1446" s="41"/>
      <c r="B1446" s="43"/>
      <c r="C1446" s="44"/>
      <c r="D1446" s="51"/>
      <c r="E1446" s="44"/>
      <c r="F1446" s="44"/>
      <c r="G1446" s="34">
        <f t="shared" si="88"/>
        <v>0</v>
      </c>
      <c r="H1446" s="34" t="str">
        <f t="shared" si="89"/>
        <v/>
      </c>
      <c r="I1446" s="52" t="str">
        <f t="shared" si="90"/>
        <v/>
      </c>
      <c r="J1446" s="34">
        <f>IF(AND(A1446&lt;&gt;"",ISTEXT(A1446),COUNTIFS(Processos!$AS$10:$AS$509,"="&amp;SUBSTITUTE(SUBSTITUTE(SUBSTITUTE("P:"&amp;A1446,"~","~~"),"*","~*"),"?","~?"))=1),(IF(ISNA(MATCH(SUBSTITUTE(SUBSTITUTE(SUBSTITUTE("P:"&amp;A1446,"~","~~"),"*","~*"),"?","~?"),Processos!$AS$10:$AS$509,0)),9,INDEX(Processos!$AM$10:$AM$509,MATCH(SUBSTITUTE(SUBSTITUTE(SUBSTITUTE("P:"&amp;A1446,"~","~~"),"*","~*"),"?","~?"),Processos!$AS$10:$AS$509,0)))-9),0)</f>
        <v>0</v>
      </c>
      <c r="K1446" s="34" t="str">
        <f t="shared" si="91"/>
        <v/>
      </c>
      <c r="L1446" s="14">
        <f>ROW()</f>
        <v>1446</v>
      </c>
    </row>
    <row r="1447" spans="1:12" ht="60" customHeight="1">
      <c r="A1447" s="41"/>
      <c r="B1447" s="43"/>
      <c r="C1447" s="44"/>
      <c r="D1447" s="51"/>
      <c r="E1447" s="44"/>
      <c r="F1447" s="44"/>
      <c r="G1447" s="34">
        <f t="shared" si="88"/>
        <v>0</v>
      </c>
      <c r="H1447" s="34" t="str">
        <f t="shared" si="89"/>
        <v/>
      </c>
      <c r="I1447" s="52" t="str">
        <f t="shared" si="90"/>
        <v/>
      </c>
      <c r="J1447" s="34">
        <f>IF(AND(A1447&lt;&gt;"",ISTEXT(A1447),COUNTIFS(Processos!$AS$10:$AS$509,"="&amp;SUBSTITUTE(SUBSTITUTE(SUBSTITUTE("P:"&amp;A1447,"~","~~"),"*","~*"),"?","~?"))=1),(IF(ISNA(MATCH(SUBSTITUTE(SUBSTITUTE(SUBSTITUTE("P:"&amp;A1447,"~","~~"),"*","~*"),"?","~?"),Processos!$AS$10:$AS$509,0)),9,INDEX(Processos!$AM$10:$AM$509,MATCH(SUBSTITUTE(SUBSTITUTE(SUBSTITUTE("P:"&amp;A1447,"~","~~"),"*","~*"),"?","~?"),Processos!$AS$10:$AS$509,0)))-9),0)</f>
        <v>0</v>
      </c>
      <c r="K1447" s="34" t="str">
        <f t="shared" si="91"/>
        <v/>
      </c>
      <c r="L1447" s="14">
        <f>ROW()</f>
        <v>1447</v>
      </c>
    </row>
    <row r="1448" spans="1:12" ht="60" customHeight="1">
      <c r="A1448" s="41"/>
      <c r="B1448" s="43"/>
      <c r="C1448" s="44"/>
      <c r="D1448" s="51"/>
      <c r="E1448" s="44"/>
      <c r="F1448" s="44"/>
      <c r="G1448" s="34">
        <f t="shared" si="88"/>
        <v>0</v>
      </c>
      <c r="H1448" s="34" t="str">
        <f t="shared" si="89"/>
        <v/>
      </c>
      <c r="I1448" s="52" t="str">
        <f t="shared" si="90"/>
        <v/>
      </c>
      <c r="J1448" s="34">
        <f>IF(AND(A1448&lt;&gt;"",ISTEXT(A1448),COUNTIFS(Processos!$AS$10:$AS$509,"="&amp;SUBSTITUTE(SUBSTITUTE(SUBSTITUTE("P:"&amp;A1448,"~","~~"),"*","~*"),"?","~?"))=1),(IF(ISNA(MATCH(SUBSTITUTE(SUBSTITUTE(SUBSTITUTE("P:"&amp;A1448,"~","~~"),"*","~*"),"?","~?"),Processos!$AS$10:$AS$509,0)),9,INDEX(Processos!$AM$10:$AM$509,MATCH(SUBSTITUTE(SUBSTITUTE(SUBSTITUTE("P:"&amp;A1448,"~","~~"),"*","~*"),"?","~?"),Processos!$AS$10:$AS$509,0)))-9),0)</f>
        <v>0</v>
      </c>
      <c r="K1448" s="34" t="str">
        <f t="shared" si="91"/>
        <v/>
      </c>
      <c r="L1448" s="14">
        <f>ROW()</f>
        <v>1448</v>
      </c>
    </row>
    <row r="1449" spans="1:12" ht="60" customHeight="1">
      <c r="A1449" s="41"/>
      <c r="B1449" s="43"/>
      <c r="C1449" s="44"/>
      <c r="D1449" s="51"/>
      <c r="E1449" s="44"/>
      <c r="F1449" s="44"/>
      <c r="G1449" s="34">
        <f t="shared" si="88"/>
        <v>0</v>
      </c>
      <c r="H1449" s="34" t="str">
        <f t="shared" si="89"/>
        <v/>
      </c>
      <c r="I1449" s="52" t="str">
        <f t="shared" si="90"/>
        <v/>
      </c>
      <c r="J1449" s="34">
        <f>IF(AND(A1449&lt;&gt;"",ISTEXT(A1449),COUNTIFS(Processos!$AS$10:$AS$509,"="&amp;SUBSTITUTE(SUBSTITUTE(SUBSTITUTE("P:"&amp;A1449,"~","~~"),"*","~*"),"?","~?"))=1),(IF(ISNA(MATCH(SUBSTITUTE(SUBSTITUTE(SUBSTITUTE("P:"&amp;A1449,"~","~~"),"*","~*"),"?","~?"),Processos!$AS$10:$AS$509,0)),9,INDEX(Processos!$AM$10:$AM$509,MATCH(SUBSTITUTE(SUBSTITUTE(SUBSTITUTE("P:"&amp;A1449,"~","~~"),"*","~*"),"?","~?"),Processos!$AS$10:$AS$509,0)))-9),0)</f>
        <v>0</v>
      </c>
      <c r="K1449" s="34" t="str">
        <f t="shared" si="91"/>
        <v/>
      </c>
      <c r="L1449" s="14">
        <f>ROW()</f>
        <v>1449</v>
      </c>
    </row>
    <row r="1450" spans="1:12" ht="60" customHeight="1">
      <c r="A1450" s="41"/>
      <c r="B1450" s="43"/>
      <c r="C1450" s="44"/>
      <c r="D1450" s="51"/>
      <c r="E1450" s="44"/>
      <c r="F1450" s="44"/>
      <c r="G1450" s="34">
        <f t="shared" si="88"/>
        <v>0</v>
      </c>
      <c r="H1450" s="34" t="str">
        <f t="shared" si="89"/>
        <v/>
      </c>
      <c r="I1450" s="52" t="str">
        <f t="shared" si="90"/>
        <v/>
      </c>
      <c r="J1450" s="34">
        <f>IF(AND(A1450&lt;&gt;"",ISTEXT(A1450),COUNTIFS(Processos!$AS$10:$AS$509,"="&amp;SUBSTITUTE(SUBSTITUTE(SUBSTITUTE("P:"&amp;A1450,"~","~~"),"*","~*"),"?","~?"))=1),(IF(ISNA(MATCH(SUBSTITUTE(SUBSTITUTE(SUBSTITUTE("P:"&amp;A1450,"~","~~"),"*","~*"),"?","~?"),Processos!$AS$10:$AS$509,0)),9,INDEX(Processos!$AM$10:$AM$509,MATCH(SUBSTITUTE(SUBSTITUTE(SUBSTITUTE("P:"&amp;A1450,"~","~~"),"*","~*"),"?","~?"),Processos!$AS$10:$AS$509,0)))-9),0)</f>
        <v>0</v>
      </c>
      <c r="K1450" s="34" t="str">
        <f t="shared" si="91"/>
        <v/>
      </c>
      <c r="L1450" s="14">
        <f>ROW()</f>
        <v>1450</v>
      </c>
    </row>
    <row r="1451" spans="1:12" ht="60" customHeight="1">
      <c r="A1451" s="41"/>
      <c r="B1451" s="43"/>
      <c r="C1451" s="44"/>
      <c r="D1451" s="51"/>
      <c r="E1451" s="44"/>
      <c r="F1451" s="44"/>
      <c r="G1451" s="34">
        <f t="shared" si="88"/>
        <v>0</v>
      </c>
      <c r="H1451" s="34" t="str">
        <f t="shared" si="89"/>
        <v/>
      </c>
      <c r="I1451" s="52" t="str">
        <f t="shared" si="90"/>
        <v/>
      </c>
      <c r="J1451" s="34">
        <f>IF(AND(A1451&lt;&gt;"",ISTEXT(A1451),COUNTIFS(Processos!$AS$10:$AS$509,"="&amp;SUBSTITUTE(SUBSTITUTE(SUBSTITUTE("P:"&amp;A1451,"~","~~"),"*","~*"),"?","~?"))=1),(IF(ISNA(MATCH(SUBSTITUTE(SUBSTITUTE(SUBSTITUTE("P:"&amp;A1451,"~","~~"),"*","~*"),"?","~?"),Processos!$AS$10:$AS$509,0)),9,INDEX(Processos!$AM$10:$AM$509,MATCH(SUBSTITUTE(SUBSTITUTE(SUBSTITUTE("P:"&amp;A1451,"~","~~"),"*","~*"),"?","~?"),Processos!$AS$10:$AS$509,0)))-9),0)</f>
        <v>0</v>
      </c>
      <c r="K1451" s="34" t="str">
        <f t="shared" si="91"/>
        <v/>
      </c>
      <c r="L1451" s="14">
        <f>ROW()</f>
        <v>1451</v>
      </c>
    </row>
    <row r="1452" spans="1:12" ht="60" customHeight="1">
      <c r="A1452" s="41"/>
      <c r="B1452" s="43"/>
      <c r="C1452" s="44"/>
      <c r="D1452" s="51"/>
      <c r="E1452" s="44"/>
      <c r="F1452" s="44"/>
      <c r="G1452" s="34">
        <f t="shared" si="88"/>
        <v>0</v>
      </c>
      <c r="H1452" s="34" t="str">
        <f t="shared" si="89"/>
        <v/>
      </c>
      <c r="I1452" s="52" t="str">
        <f t="shared" si="90"/>
        <v/>
      </c>
      <c r="J1452" s="34">
        <f>IF(AND(A1452&lt;&gt;"",ISTEXT(A1452),COUNTIFS(Processos!$AS$10:$AS$509,"="&amp;SUBSTITUTE(SUBSTITUTE(SUBSTITUTE("P:"&amp;A1452,"~","~~"),"*","~*"),"?","~?"))=1),(IF(ISNA(MATCH(SUBSTITUTE(SUBSTITUTE(SUBSTITUTE("P:"&amp;A1452,"~","~~"),"*","~*"),"?","~?"),Processos!$AS$10:$AS$509,0)),9,INDEX(Processos!$AM$10:$AM$509,MATCH(SUBSTITUTE(SUBSTITUTE(SUBSTITUTE("P:"&amp;A1452,"~","~~"),"*","~*"),"?","~?"),Processos!$AS$10:$AS$509,0)))-9),0)</f>
        <v>0</v>
      </c>
      <c r="K1452" s="34" t="str">
        <f t="shared" si="91"/>
        <v/>
      </c>
      <c r="L1452" s="14">
        <f>ROW()</f>
        <v>1452</v>
      </c>
    </row>
    <row r="1453" spans="1:12" ht="60" customHeight="1">
      <c r="A1453" s="41"/>
      <c r="B1453" s="43"/>
      <c r="C1453" s="44"/>
      <c r="D1453" s="51"/>
      <c r="E1453" s="44"/>
      <c r="F1453" s="44"/>
      <c r="G1453" s="34">
        <f t="shared" si="88"/>
        <v>0</v>
      </c>
      <c r="H1453" s="34" t="str">
        <f t="shared" si="89"/>
        <v/>
      </c>
      <c r="I1453" s="52" t="str">
        <f t="shared" si="90"/>
        <v/>
      </c>
      <c r="J1453" s="34">
        <f>IF(AND(A1453&lt;&gt;"",ISTEXT(A1453),COUNTIFS(Processos!$AS$10:$AS$509,"="&amp;SUBSTITUTE(SUBSTITUTE(SUBSTITUTE("P:"&amp;A1453,"~","~~"),"*","~*"),"?","~?"))=1),(IF(ISNA(MATCH(SUBSTITUTE(SUBSTITUTE(SUBSTITUTE("P:"&amp;A1453,"~","~~"),"*","~*"),"?","~?"),Processos!$AS$10:$AS$509,0)),9,INDEX(Processos!$AM$10:$AM$509,MATCH(SUBSTITUTE(SUBSTITUTE(SUBSTITUTE("P:"&amp;A1453,"~","~~"),"*","~*"),"?","~?"),Processos!$AS$10:$AS$509,0)))-9),0)</f>
        <v>0</v>
      </c>
      <c r="K1453" s="34" t="str">
        <f t="shared" si="91"/>
        <v/>
      </c>
      <c r="L1453" s="14">
        <f>ROW()</f>
        <v>1453</v>
      </c>
    </row>
    <row r="1454" spans="1:12" ht="60" customHeight="1">
      <c r="A1454" s="41"/>
      <c r="B1454" s="43"/>
      <c r="C1454" s="44"/>
      <c r="D1454" s="51"/>
      <c r="E1454" s="44"/>
      <c r="F1454" s="44"/>
      <c r="G1454" s="34">
        <f t="shared" si="88"/>
        <v>0</v>
      </c>
      <c r="H1454" s="34" t="str">
        <f t="shared" si="89"/>
        <v/>
      </c>
      <c r="I1454" s="52" t="str">
        <f t="shared" si="90"/>
        <v/>
      </c>
      <c r="J1454" s="34">
        <f>IF(AND(A1454&lt;&gt;"",ISTEXT(A1454),COUNTIFS(Processos!$AS$10:$AS$509,"="&amp;SUBSTITUTE(SUBSTITUTE(SUBSTITUTE("P:"&amp;A1454,"~","~~"),"*","~*"),"?","~?"))=1),(IF(ISNA(MATCH(SUBSTITUTE(SUBSTITUTE(SUBSTITUTE("P:"&amp;A1454,"~","~~"),"*","~*"),"?","~?"),Processos!$AS$10:$AS$509,0)),9,INDEX(Processos!$AM$10:$AM$509,MATCH(SUBSTITUTE(SUBSTITUTE(SUBSTITUTE("P:"&amp;A1454,"~","~~"),"*","~*"),"?","~?"),Processos!$AS$10:$AS$509,0)))-9),0)</f>
        <v>0</v>
      </c>
      <c r="K1454" s="34" t="str">
        <f t="shared" si="91"/>
        <v/>
      </c>
      <c r="L1454" s="14">
        <f>ROW()</f>
        <v>1454</v>
      </c>
    </row>
    <row r="1455" spans="1:12" ht="60" customHeight="1">
      <c r="A1455" s="41"/>
      <c r="B1455" s="43"/>
      <c r="C1455" s="44"/>
      <c r="D1455" s="51"/>
      <c r="E1455" s="44"/>
      <c r="F1455" s="44"/>
      <c r="G1455" s="34">
        <f t="shared" si="88"/>
        <v>0</v>
      </c>
      <c r="H1455" s="34" t="str">
        <f t="shared" si="89"/>
        <v/>
      </c>
      <c r="I1455" s="52" t="str">
        <f t="shared" si="90"/>
        <v/>
      </c>
      <c r="J1455" s="34">
        <f>IF(AND(A1455&lt;&gt;"",ISTEXT(A1455),COUNTIFS(Processos!$AS$10:$AS$509,"="&amp;SUBSTITUTE(SUBSTITUTE(SUBSTITUTE("P:"&amp;A1455,"~","~~"),"*","~*"),"?","~?"))=1),(IF(ISNA(MATCH(SUBSTITUTE(SUBSTITUTE(SUBSTITUTE("P:"&amp;A1455,"~","~~"),"*","~*"),"?","~?"),Processos!$AS$10:$AS$509,0)),9,INDEX(Processos!$AM$10:$AM$509,MATCH(SUBSTITUTE(SUBSTITUTE(SUBSTITUTE("P:"&amp;A1455,"~","~~"),"*","~*"),"?","~?"),Processos!$AS$10:$AS$509,0)))-9),0)</f>
        <v>0</v>
      </c>
      <c r="K1455" s="34" t="str">
        <f t="shared" si="91"/>
        <v/>
      </c>
      <c r="L1455" s="14">
        <f>ROW()</f>
        <v>1455</v>
      </c>
    </row>
    <row r="1456" spans="1:12" ht="60" customHeight="1">
      <c r="A1456" s="41"/>
      <c r="B1456" s="43"/>
      <c r="C1456" s="44"/>
      <c r="D1456" s="51"/>
      <c r="E1456" s="44"/>
      <c r="F1456" s="44"/>
      <c r="G1456" s="34">
        <f t="shared" si="88"/>
        <v>0</v>
      </c>
      <c r="H1456" s="34" t="str">
        <f t="shared" si="89"/>
        <v/>
      </c>
      <c r="I1456" s="52" t="str">
        <f t="shared" si="90"/>
        <v/>
      </c>
      <c r="J1456" s="34">
        <f>IF(AND(A1456&lt;&gt;"",ISTEXT(A1456),COUNTIFS(Processos!$AS$10:$AS$509,"="&amp;SUBSTITUTE(SUBSTITUTE(SUBSTITUTE("P:"&amp;A1456,"~","~~"),"*","~*"),"?","~?"))=1),(IF(ISNA(MATCH(SUBSTITUTE(SUBSTITUTE(SUBSTITUTE("P:"&amp;A1456,"~","~~"),"*","~*"),"?","~?"),Processos!$AS$10:$AS$509,0)),9,INDEX(Processos!$AM$10:$AM$509,MATCH(SUBSTITUTE(SUBSTITUTE(SUBSTITUTE("P:"&amp;A1456,"~","~~"),"*","~*"),"?","~?"),Processos!$AS$10:$AS$509,0)))-9),0)</f>
        <v>0</v>
      </c>
      <c r="K1456" s="34" t="str">
        <f t="shared" si="91"/>
        <v/>
      </c>
      <c r="L1456" s="14">
        <f>ROW()</f>
        <v>1456</v>
      </c>
    </row>
    <row r="1457" spans="1:12" ht="60" customHeight="1">
      <c r="A1457" s="41"/>
      <c r="B1457" s="43"/>
      <c r="C1457" s="44"/>
      <c r="D1457" s="51"/>
      <c r="E1457" s="44"/>
      <c r="F1457" s="44"/>
      <c r="G1457" s="34">
        <f t="shared" si="88"/>
        <v>0</v>
      </c>
      <c r="H1457" s="34" t="str">
        <f t="shared" si="89"/>
        <v/>
      </c>
      <c r="I1457" s="52" t="str">
        <f t="shared" si="90"/>
        <v/>
      </c>
      <c r="J1457" s="34">
        <f>IF(AND(A1457&lt;&gt;"",ISTEXT(A1457),COUNTIFS(Processos!$AS$10:$AS$509,"="&amp;SUBSTITUTE(SUBSTITUTE(SUBSTITUTE("P:"&amp;A1457,"~","~~"),"*","~*"),"?","~?"))=1),(IF(ISNA(MATCH(SUBSTITUTE(SUBSTITUTE(SUBSTITUTE("P:"&amp;A1457,"~","~~"),"*","~*"),"?","~?"),Processos!$AS$10:$AS$509,0)),9,INDEX(Processos!$AM$10:$AM$509,MATCH(SUBSTITUTE(SUBSTITUTE(SUBSTITUTE("P:"&amp;A1457,"~","~~"),"*","~*"),"?","~?"),Processos!$AS$10:$AS$509,0)))-9),0)</f>
        <v>0</v>
      </c>
      <c r="K1457" s="34" t="str">
        <f t="shared" si="91"/>
        <v/>
      </c>
      <c r="L1457" s="14">
        <f>ROW()</f>
        <v>1457</v>
      </c>
    </row>
    <row r="1458" spans="1:12" ht="60" customHeight="1">
      <c r="A1458" s="41"/>
      <c r="B1458" s="43"/>
      <c r="C1458" s="44"/>
      <c r="D1458" s="51"/>
      <c r="E1458" s="44"/>
      <c r="F1458" s="44"/>
      <c r="G1458" s="34">
        <f t="shared" si="88"/>
        <v>0</v>
      </c>
      <c r="H1458" s="34" t="str">
        <f t="shared" si="89"/>
        <v/>
      </c>
      <c r="I1458" s="52" t="str">
        <f t="shared" si="90"/>
        <v/>
      </c>
      <c r="J1458" s="34">
        <f>IF(AND(A1458&lt;&gt;"",ISTEXT(A1458),COUNTIFS(Processos!$AS$10:$AS$509,"="&amp;SUBSTITUTE(SUBSTITUTE(SUBSTITUTE("P:"&amp;A1458,"~","~~"),"*","~*"),"?","~?"))=1),(IF(ISNA(MATCH(SUBSTITUTE(SUBSTITUTE(SUBSTITUTE("P:"&amp;A1458,"~","~~"),"*","~*"),"?","~?"),Processos!$AS$10:$AS$509,0)),9,INDEX(Processos!$AM$10:$AM$509,MATCH(SUBSTITUTE(SUBSTITUTE(SUBSTITUTE("P:"&amp;A1458,"~","~~"),"*","~*"),"?","~?"),Processos!$AS$10:$AS$509,0)))-9),0)</f>
        <v>0</v>
      </c>
      <c r="K1458" s="34" t="str">
        <f t="shared" si="91"/>
        <v/>
      </c>
      <c r="L1458" s="14">
        <f>ROW()</f>
        <v>1458</v>
      </c>
    </row>
    <row r="1459" spans="1:12" ht="60" customHeight="1">
      <c r="A1459" s="41"/>
      <c r="B1459" s="43"/>
      <c r="C1459" s="44"/>
      <c r="D1459" s="51"/>
      <c r="E1459" s="44"/>
      <c r="F1459" s="44"/>
      <c r="G1459" s="34">
        <f t="shared" si="88"/>
        <v>0</v>
      </c>
      <c r="H1459" s="34" t="str">
        <f t="shared" si="89"/>
        <v/>
      </c>
      <c r="I1459" s="52" t="str">
        <f t="shared" si="90"/>
        <v/>
      </c>
      <c r="J1459" s="34">
        <f>IF(AND(A1459&lt;&gt;"",ISTEXT(A1459),COUNTIFS(Processos!$AS$10:$AS$509,"="&amp;SUBSTITUTE(SUBSTITUTE(SUBSTITUTE("P:"&amp;A1459,"~","~~"),"*","~*"),"?","~?"))=1),(IF(ISNA(MATCH(SUBSTITUTE(SUBSTITUTE(SUBSTITUTE("P:"&amp;A1459,"~","~~"),"*","~*"),"?","~?"),Processos!$AS$10:$AS$509,0)),9,INDEX(Processos!$AM$10:$AM$509,MATCH(SUBSTITUTE(SUBSTITUTE(SUBSTITUTE("P:"&amp;A1459,"~","~~"),"*","~*"),"?","~?"),Processos!$AS$10:$AS$509,0)))-9),0)</f>
        <v>0</v>
      </c>
      <c r="K1459" s="34" t="str">
        <f t="shared" si="91"/>
        <v/>
      </c>
      <c r="L1459" s="14">
        <f>ROW()</f>
        <v>1459</v>
      </c>
    </row>
    <row r="1460" spans="1:12" ht="60" customHeight="1">
      <c r="A1460" s="41"/>
      <c r="B1460" s="43"/>
      <c r="C1460" s="44"/>
      <c r="D1460" s="51"/>
      <c r="E1460" s="44"/>
      <c r="F1460" s="44"/>
      <c r="G1460" s="34">
        <f t="shared" si="88"/>
        <v>0</v>
      </c>
      <c r="H1460" s="34" t="str">
        <f t="shared" si="89"/>
        <v/>
      </c>
      <c r="I1460" s="52" t="str">
        <f t="shared" si="90"/>
        <v/>
      </c>
      <c r="J1460" s="34">
        <f>IF(AND(A1460&lt;&gt;"",ISTEXT(A1460),COUNTIFS(Processos!$AS$10:$AS$509,"="&amp;SUBSTITUTE(SUBSTITUTE(SUBSTITUTE("P:"&amp;A1460,"~","~~"),"*","~*"),"?","~?"))=1),(IF(ISNA(MATCH(SUBSTITUTE(SUBSTITUTE(SUBSTITUTE("P:"&amp;A1460,"~","~~"),"*","~*"),"?","~?"),Processos!$AS$10:$AS$509,0)),9,INDEX(Processos!$AM$10:$AM$509,MATCH(SUBSTITUTE(SUBSTITUTE(SUBSTITUTE("P:"&amp;A1460,"~","~~"),"*","~*"),"?","~?"),Processos!$AS$10:$AS$509,0)))-9),0)</f>
        <v>0</v>
      </c>
      <c r="K1460" s="34" t="str">
        <f t="shared" si="91"/>
        <v/>
      </c>
      <c r="L1460" s="14">
        <f>ROW()</f>
        <v>1460</v>
      </c>
    </row>
    <row r="1461" spans="1:12" ht="60" customHeight="1">
      <c r="A1461" s="41"/>
      <c r="B1461" s="43"/>
      <c r="C1461" s="44"/>
      <c r="D1461" s="51"/>
      <c r="E1461" s="44"/>
      <c r="F1461" s="44"/>
      <c r="G1461" s="34">
        <f t="shared" si="88"/>
        <v>0</v>
      </c>
      <c r="H1461" s="34" t="str">
        <f t="shared" si="89"/>
        <v/>
      </c>
      <c r="I1461" s="52" t="str">
        <f t="shared" si="90"/>
        <v/>
      </c>
      <c r="J1461" s="34">
        <f>IF(AND(A1461&lt;&gt;"",ISTEXT(A1461),COUNTIFS(Processos!$AS$10:$AS$509,"="&amp;SUBSTITUTE(SUBSTITUTE(SUBSTITUTE("P:"&amp;A1461,"~","~~"),"*","~*"),"?","~?"))=1),(IF(ISNA(MATCH(SUBSTITUTE(SUBSTITUTE(SUBSTITUTE("P:"&amp;A1461,"~","~~"),"*","~*"),"?","~?"),Processos!$AS$10:$AS$509,0)),9,INDEX(Processos!$AM$10:$AM$509,MATCH(SUBSTITUTE(SUBSTITUTE(SUBSTITUTE("P:"&amp;A1461,"~","~~"),"*","~*"),"?","~?"),Processos!$AS$10:$AS$509,0)))-9),0)</f>
        <v>0</v>
      </c>
      <c r="K1461" s="34" t="str">
        <f t="shared" si="91"/>
        <v/>
      </c>
      <c r="L1461" s="14">
        <f>ROW()</f>
        <v>1461</v>
      </c>
    </row>
    <row r="1462" spans="1:12" ht="60" customHeight="1">
      <c r="A1462" s="41"/>
      <c r="B1462" s="43"/>
      <c r="C1462" s="44"/>
      <c r="D1462" s="51"/>
      <c r="E1462" s="44"/>
      <c r="F1462" s="44"/>
      <c r="G1462" s="34">
        <f t="shared" si="88"/>
        <v>0</v>
      </c>
      <c r="H1462" s="34" t="str">
        <f t="shared" si="89"/>
        <v/>
      </c>
      <c r="I1462" s="52" t="str">
        <f t="shared" si="90"/>
        <v/>
      </c>
      <c r="J1462" s="34">
        <f>IF(AND(A1462&lt;&gt;"",ISTEXT(A1462),COUNTIFS(Processos!$AS$10:$AS$509,"="&amp;SUBSTITUTE(SUBSTITUTE(SUBSTITUTE("P:"&amp;A1462,"~","~~"),"*","~*"),"?","~?"))=1),(IF(ISNA(MATCH(SUBSTITUTE(SUBSTITUTE(SUBSTITUTE("P:"&amp;A1462,"~","~~"),"*","~*"),"?","~?"),Processos!$AS$10:$AS$509,0)),9,INDEX(Processos!$AM$10:$AM$509,MATCH(SUBSTITUTE(SUBSTITUTE(SUBSTITUTE("P:"&amp;A1462,"~","~~"),"*","~*"),"?","~?"),Processos!$AS$10:$AS$509,0)))-9),0)</f>
        <v>0</v>
      </c>
      <c r="K1462" s="34" t="str">
        <f t="shared" si="91"/>
        <v/>
      </c>
      <c r="L1462" s="14">
        <f>ROW()</f>
        <v>1462</v>
      </c>
    </row>
    <row r="1463" spans="1:12" ht="60" customHeight="1">
      <c r="A1463" s="41"/>
      <c r="B1463" s="43"/>
      <c r="C1463" s="44"/>
      <c r="D1463" s="51"/>
      <c r="E1463" s="44"/>
      <c r="F1463" s="44"/>
      <c r="G1463" s="34">
        <f t="shared" si="88"/>
        <v>0</v>
      </c>
      <c r="H1463" s="34" t="str">
        <f t="shared" si="89"/>
        <v/>
      </c>
      <c r="I1463" s="52" t="str">
        <f t="shared" si="90"/>
        <v/>
      </c>
      <c r="J1463" s="34">
        <f>IF(AND(A1463&lt;&gt;"",ISTEXT(A1463),COUNTIFS(Processos!$AS$10:$AS$509,"="&amp;SUBSTITUTE(SUBSTITUTE(SUBSTITUTE("P:"&amp;A1463,"~","~~"),"*","~*"),"?","~?"))=1),(IF(ISNA(MATCH(SUBSTITUTE(SUBSTITUTE(SUBSTITUTE("P:"&amp;A1463,"~","~~"),"*","~*"),"?","~?"),Processos!$AS$10:$AS$509,0)),9,INDEX(Processos!$AM$10:$AM$509,MATCH(SUBSTITUTE(SUBSTITUTE(SUBSTITUTE("P:"&amp;A1463,"~","~~"),"*","~*"),"?","~?"),Processos!$AS$10:$AS$509,0)))-9),0)</f>
        <v>0</v>
      </c>
      <c r="K1463" s="34" t="str">
        <f t="shared" si="91"/>
        <v/>
      </c>
      <c r="L1463" s="14">
        <f>ROW()</f>
        <v>1463</v>
      </c>
    </row>
    <row r="1464" spans="1:12" ht="60" customHeight="1">
      <c r="A1464" s="41"/>
      <c r="B1464" s="43"/>
      <c r="C1464" s="44"/>
      <c r="D1464" s="51"/>
      <c r="E1464" s="44"/>
      <c r="F1464" s="44"/>
      <c r="G1464" s="34">
        <f t="shared" si="88"/>
        <v>0</v>
      </c>
      <c r="H1464" s="34" t="str">
        <f t="shared" si="89"/>
        <v/>
      </c>
      <c r="I1464" s="52" t="str">
        <f t="shared" si="90"/>
        <v/>
      </c>
      <c r="J1464" s="34">
        <f>IF(AND(A1464&lt;&gt;"",ISTEXT(A1464),COUNTIFS(Processos!$AS$10:$AS$509,"="&amp;SUBSTITUTE(SUBSTITUTE(SUBSTITUTE("P:"&amp;A1464,"~","~~"),"*","~*"),"?","~?"))=1),(IF(ISNA(MATCH(SUBSTITUTE(SUBSTITUTE(SUBSTITUTE("P:"&amp;A1464,"~","~~"),"*","~*"),"?","~?"),Processos!$AS$10:$AS$509,0)),9,INDEX(Processos!$AM$10:$AM$509,MATCH(SUBSTITUTE(SUBSTITUTE(SUBSTITUTE("P:"&amp;A1464,"~","~~"),"*","~*"),"?","~?"),Processos!$AS$10:$AS$509,0)))-9),0)</f>
        <v>0</v>
      </c>
      <c r="K1464" s="34" t="str">
        <f t="shared" si="91"/>
        <v/>
      </c>
      <c r="L1464" s="14">
        <f>ROW()</f>
        <v>1464</v>
      </c>
    </row>
    <row r="1465" spans="1:12" ht="60" customHeight="1">
      <c r="A1465" s="41"/>
      <c r="B1465" s="43"/>
      <c r="C1465" s="44"/>
      <c r="D1465" s="51"/>
      <c r="E1465" s="44"/>
      <c r="F1465" s="44"/>
      <c r="G1465" s="34">
        <f t="shared" si="88"/>
        <v>0</v>
      </c>
      <c r="H1465" s="34" t="str">
        <f t="shared" si="89"/>
        <v/>
      </c>
      <c r="I1465" s="52" t="str">
        <f t="shared" si="90"/>
        <v/>
      </c>
      <c r="J1465" s="34">
        <f>IF(AND(A1465&lt;&gt;"",ISTEXT(A1465),COUNTIFS(Processos!$AS$10:$AS$509,"="&amp;SUBSTITUTE(SUBSTITUTE(SUBSTITUTE("P:"&amp;A1465,"~","~~"),"*","~*"),"?","~?"))=1),(IF(ISNA(MATCH(SUBSTITUTE(SUBSTITUTE(SUBSTITUTE("P:"&amp;A1465,"~","~~"),"*","~*"),"?","~?"),Processos!$AS$10:$AS$509,0)),9,INDEX(Processos!$AM$10:$AM$509,MATCH(SUBSTITUTE(SUBSTITUTE(SUBSTITUTE("P:"&amp;A1465,"~","~~"),"*","~*"),"?","~?"),Processos!$AS$10:$AS$509,0)))-9),0)</f>
        <v>0</v>
      </c>
      <c r="K1465" s="34" t="str">
        <f t="shared" si="91"/>
        <v/>
      </c>
      <c r="L1465" s="14">
        <f>ROW()</f>
        <v>1465</v>
      </c>
    </row>
    <row r="1466" spans="1:12" ht="60" customHeight="1">
      <c r="A1466" s="41"/>
      <c r="B1466" s="43"/>
      <c r="C1466" s="44"/>
      <c r="D1466" s="51"/>
      <c r="E1466" s="44"/>
      <c r="F1466" s="44"/>
      <c r="G1466" s="34">
        <f t="shared" si="88"/>
        <v>0</v>
      </c>
      <c r="H1466" s="34" t="str">
        <f t="shared" si="89"/>
        <v/>
      </c>
      <c r="I1466" s="52" t="str">
        <f t="shared" si="90"/>
        <v/>
      </c>
      <c r="J1466" s="34">
        <f>IF(AND(A1466&lt;&gt;"",ISTEXT(A1466),COUNTIFS(Processos!$AS$10:$AS$509,"="&amp;SUBSTITUTE(SUBSTITUTE(SUBSTITUTE("P:"&amp;A1466,"~","~~"),"*","~*"),"?","~?"))=1),(IF(ISNA(MATCH(SUBSTITUTE(SUBSTITUTE(SUBSTITUTE("P:"&amp;A1466,"~","~~"),"*","~*"),"?","~?"),Processos!$AS$10:$AS$509,0)),9,INDEX(Processos!$AM$10:$AM$509,MATCH(SUBSTITUTE(SUBSTITUTE(SUBSTITUTE("P:"&amp;A1466,"~","~~"),"*","~*"),"?","~?"),Processos!$AS$10:$AS$509,0)))-9),0)</f>
        <v>0</v>
      </c>
      <c r="K1466" s="34" t="str">
        <f t="shared" si="91"/>
        <v/>
      </c>
      <c r="L1466" s="14">
        <f>ROW()</f>
        <v>1466</v>
      </c>
    </row>
    <row r="1467" spans="1:12" ht="60" customHeight="1">
      <c r="A1467" s="41"/>
      <c r="B1467" s="43"/>
      <c r="C1467" s="44"/>
      <c r="D1467" s="51"/>
      <c r="E1467" s="44"/>
      <c r="F1467" s="44"/>
      <c r="G1467" s="34">
        <f t="shared" si="88"/>
        <v>0</v>
      </c>
      <c r="H1467" s="34" t="str">
        <f t="shared" si="89"/>
        <v/>
      </c>
      <c r="I1467" s="52" t="str">
        <f t="shared" si="90"/>
        <v/>
      </c>
      <c r="J1467" s="34">
        <f>IF(AND(A1467&lt;&gt;"",ISTEXT(A1467),COUNTIFS(Processos!$AS$10:$AS$509,"="&amp;SUBSTITUTE(SUBSTITUTE(SUBSTITUTE("P:"&amp;A1467,"~","~~"),"*","~*"),"?","~?"))=1),(IF(ISNA(MATCH(SUBSTITUTE(SUBSTITUTE(SUBSTITUTE("P:"&amp;A1467,"~","~~"),"*","~*"),"?","~?"),Processos!$AS$10:$AS$509,0)),9,INDEX(Processos!$AM$10:$AM$509,MATCH(SUBSTITUTE(SUBSTITUTE(SUBSTITUTE("P:"&amp;A1467,"~","~~"),"*","~*"),"?","~?"),Processos!$AS$10:$AS$509,0)))-9),0)</f>
        <v>0</v>
      </c>
      <c r="K1467" s="34" t="str">
        <f t="shared" si="91"/>
        <v/>
      </c>
      <c r="L1467" s="14">
        <f>ROW()</f>
        <v>1467</v>
      </c>
    </row>
    <row r="1468" spans="1:12" ht="60" customHeight="1">
      <c r="A1468" s="41"/>
      <c r="B1468" s="43"/>
      <c r="C1468" s="44"/>
      <c r="D1468" s="51"/>
      <c r="E1468" s="44"/>
      <c r="F1468" s="44"/>
      <c r="G1468" s="34">
        <f t="shared" si="88"/>
        <v>0</v>
      </c>
      <c r="H1468" s="34" t="str">
        <f t="shared" si="89"/>
        <v/>
      </c>
      <c r="I1468" s="52" t="str">
        <f t="shared" si="90"/>
        <v/>
      </c>
      <c r="J1468" s="34">
        <f>IF(AND(A1468&lt;&gt;"",ISTEXT(A1468),COUNTIFS(Processos!$AS$10:$AS$509,"="&amp;SUBSTITUTE(SUBSTITUTE(SUBSTITUTE("P:"&amp;A1468,"~","~~"),"*","~*"),"?","~?"))=1),(IF(ISNA(MATCH(SUBSTITUTE(SUBSTITUTE(SUBSTITUTE("P:"&amp;A1468,"~","~~"),"*","~*"),"?","~?"),Processos!$AS$10:$AS$509,0)),9,INDEX(Processos!$AM$10:$AM$509,MATCH(SUBSTITUTE(SUBSTITUTE(SUBSTITUTE("P:"&amp;A1468,"~","~~"),"*","~*"),"?","~?"),Processos!$AS$10:$AS$509,0)))-9),0)</f>
        <v>0</v>
      </c>
      <c r="K1468" s="34" t="str">
        <f t="shared" si="91"/>
        <v/>
      </c>
      <c r="L1468" s="14">
        <f>ROW()</f>
        <v>1468</v>
      </c>
    </row>
    <row r="1469" spans="1:12" ht="60" customHeight="1">
      <c r="A1469" s="41"/>
      <c r="B1469" s="43"/>
      <c r="C1469" s="44"/>
      <c r="D1469" s="51"/>
      <c r="E1469" s="44"/>
      <c r="F1469" s="44"/>
      <c r="G1469" s="34">
        <f t="shared" si="88"/>
        <v>0</v>
      </c>
      <c r="H1469" s="34" t="str">
        <f t="shared" si="89"/>
        <v/>
      </c>
      <c r="I1469" s="52" t="str">
        <f t="shared" si="90"/>
        <v/>
      </c>
      <c r="J1469" s="34">
        <f>IF(AND(A1469&lt;&gt;"",ISTEXT(A1469),COUNTIFS(Processos!$AS$10:$AS$509,"="&amp;SUBSTITUTE(SUBSTITUTE(SUBSTITUTE("P:"&amp;A1469,"~","~~"),"*","~*"),"?","~?"))=1),(IF(ISNA(MATCH(SUBSTITUTE(SUBSTITUTE(SUBSTITUTE("P:"&amp;A1469,"~","~~"),"*","~*"),"?","~?"),Processos!$AS$10:$AS$509,0)),9,INDEX(Processos!$AM$10:$AM$509,MATCH(SUBSTITUTE(SUBSTITUTE(SUBSTITUTE("P:"&amp;A1469,"~","~~"),"*","~*"),"?","~?"),Processos!$AS$10:$AS$509,0)))-9),0)</f>
        <v>0</v>
      </c>
      <c r="K1469" s="34" t="str">
        <f t="shared" si="91"/>
        <v/>
      </c>
      <c r="L1469" s="14">
        <f>ROW()</f>
        <v>1469</v>
      </c>
    </row>
    <row r="1470" spans="1:12" ht="60" customHeight="1">
      <c r="A1470" s="41"/>
      <c r="B1470" s="43"/>
      <c r="C1470" s="44"/>
      <c r="D1470" s="51"/>
      <c r="E1470" s="44"/>
      <c r="F1470" s="44"/>
      <c r="G1470" s="34">
        <f t="shared" si="88"/>
        <v>0</v>
      </c>
      <c r="H1470" s="34" t="str">
        <f t="shared" si="89"/>
        <v/>
      </c>
      <c r="I1470" s="52" t="str">
        <f t="shared" si="90"/>
        <v/>
      </c>
      <c r="J1470" s="34">
        <f>IF(AND(A1470&lt;&gt;"",ISTEXT(A1470),COUNTIFS(Processos!$AS$10:$AS$509,"="&amp;SUBSTITUTE(SUBSTITUTE(SUBSTITUTE("P:"&amp;A1470,"~","~~"),"*","~*"),"?","~?"))=1),(IF(ISNA(MATCH(SUBSTITUTE(SUBSTITUTE(SUBSTITUTE("P:"&amp;A1470,"~","~~"),"*","~*"),"?","~?"),Processos!$AS$10:$AS$509,0)),9,INDEX(Processos!$AM$10:$AM$509,MATCH(SUBSTITUTE(SUBSTITUTE(SUBSTITUTE("P:"&amp;A1470,"~","~~"),"*","~*"),"?","~?"),Processos!$AS$10:$AS$509,0)))-9),0)</f>
        <v>0</v>
      </c>
      <c r="K1470" s="34" t="str">
        <f t="shared" si="91"/>
        <v/>
      </c>
      <c r="L1470" s="14">
        <f>ROW()</f>
        <v>1470</v>
      </c>
    </row>
    <row r="1471" spans="1:12" ht="60" customHeight="1">
      <c r="A1471" s="41"/>
      <c r="B1471" s="43"/>
      <c r="C1471" s="44"/>
      <c r="D1471" s="51"/>
      <c r="E1471" s="44"/>
      <c r="F1471" s="44"/>
      <c r="G1471" s="34">
        <f t="shared" si="88"/>
        <v>0</v>
      </c>
      <c r="H1471" s="34" t="str">
        <f t="shared" si="89"/>
        <v/>
      </c>
      <c r="I1471" s="52" t="str">
        <f t="shared" si="90"/>
        <v/>
      </c>
      <c r="J1471" s="34">
        <f>IF(AND(A1471&lt;&gt;"",ISTEXT(A1471),COUNTIFS(Processos!$AS$10:$AS$509,"="&amp;SUBSTITUTE(SUBSTITUTE(SUBSTITUTE("P:"&amp;A1471,"~","~~"),"*","~*"),"?","~?"))=1),(IF(ISNA(MATCH(SUBSTITUTE(SUBSTITUTE(SUBSTITUTE("P:"&amp;A1471,"~","~~"),"*","~*"),"?","~?"),Processos!$AS$10:$AS$509,0)),9,INDEX(Processos!$AM$10:$AM$509,MATCH(SUBSTITUTE(SUBSTITUTE(SUBSTITUTE("P:"&amp;A1471,"~","~~"),"*","~*"),"?","~?"),Processos!$AS$10:$AS$509,0)))-9),0)</f>
        <v>0</v>
      </c>
      <c r="K1471" s="34" t="str">
        <f t="shared" si="91"/>
        <v/>
      </c>
      <c r="L1471" s="14">
        <f>ROW()</f>
        <v>1471</v>
      </c>
    </row>
    <row r="1472" spans="1:12" ht="60" customHeight="1">
      <c r="A1472" s="41"/>
      <c r="B1472" s="43"/>
      <c r="C1472" s="44"/>
      <c r="D1472" s="51"/>
      <c r="E1472" s="44"/>
      <c r="F1472" s="44"/>
      <c r="G1472" s="34">
        <f t="shared" si="88"/>
        <v>0</v>
      </c>
      <c r="H1472" s="34" t="str">
        <f t="shared" si="89"/>
        <v/>
      </c>
      <c r="I1472" s="52" t="str">
        <f t="shared" si="90"/>
        <v/>
      </c>
      <c r="J1472" s="34">
        <f>IF(AND(A1472&lt;&gt;"",ISTEXT(A1472),COUNTIFS(Processos!$AS$10:$AS$509,"="&amp;SUBSTITUTE(SUBSTITUTE(SUBSTITUTE("P:"&amp;A1472,"~","~~"),"*","~*"),"?","~?"))=1),(IF(ISNA(MATCH(SUBSTITUTE(SUBSTITUTE(SUBSTITUTE("P:"&amp;A1472,"~","~~"),"*","~*"),"?","~?"),Processos!$AS$10:$AS$509,0)),9,INDEX(Processos!$AM$10:$AM$509,MATCH(SUBSTITUTE(SUBSTITUTE(SUBSTITUTE("P:"&amp;A1472,"~","~~"),"*","~*"),"?","~?"),Processos!$AS$10:$AS$509,0)))-9),0)</f>
        <v>0</v>
      </c>
      <c r="K1472" s="34" t="str">
        <f t="shared" si="91"/>
        <v/>
      </c>
      <c r="L1472" s="14">
        <f>ROW()</f>
        <v>1472</v>
      </c>
    </row>
    <row r="1473" spans="1:12" ht="60" customHeight="1">
      <c r="A1473" s="41"/>
      <c r="B1473" s="43"/>
      <c r="C1473" s="44"/>
      <c r="D1473" s="51"/>
      <c r="E1473" s="44"/>
      <c r="F1473" s="44"/>
      <c r="G1473" s="34">
        <f t="shared" si="88"/>
        <v>0</v>
      </c>
      <c r="H1473" s="34" t="str">
        <f t="shared" si="89"/>
        <v/>
      </c>
      <c r="I1473" s="52" t="str">
        <f t="shared" si="90"/>
        <v/>
      </c>
      <c r="J1473" s="34">
        <f>IF(AND(A1473&lt;&gt;"",ISTEXT(A1473),COUNTIFS(Processos!$AS$10:$AS$509,"="&amp;SUBSTITUTE(SUBSTITUTE(SUBSTITUTE("P:"&amp;A1473,"~","~~"),"*","~*"),"?","~?"))=1),(IF(ISNA(MATCH(SUBSTITUTE(SUBSTITUTE(SUBSTITUTE("P:"&amp;A1473,"~","~~"),"*","~*"),"?","~?"),Processos!$AS$10:$AS$509,0)),9,INDEX(Processos!$AM$10:$AM$509,MATCH(SUBSTITUTE(SUBSTITUTE(SUBSTITUTE("P:"&amp;A1473,"~","~~"),"*","~*"),"?","~?"),Processos!$AS$10:$AS$509,0)))-9),0)</f>
        <v>0</v>
      </c>
      <c r="K1473" s="34" t="str">
        <f t="shared" si="91"/>
        <v/>
      </c>
      <c r="L1473" s="14">
        <f>ROW()</f>
        <v>1473</v>
      </c>
    </row>
    <row r="1474" spans="1:12" ht="60" customHeight="1">
      <c r="A1474" s="41"/>
      <c r="B1474" s="43"/>
      <c r="C1474" s="44"/>
      <c r="D1474" s="51"/>
      <c r="E1474" s="44"/>
      <c r="F1474" s="44"/>
      <c r="G1474" s="34">
        <f t="shared" si="88"/>
        <v>0</v>
      </c>
      <c r="H1474" s="34" t="str">
        <f t="shared" si="89"/>
        <v/>
      </c>
      <c r="I1474" s="52" t="str">
        <f t="shared" si="90"/>
        <v/>
      </c>
      <c r="J1474" s="34">
        <f>IF(AND(A1474&lt;&gt;"",ISTEXT(A1474),COUNTIFS(Processos!$AS$10:$AS$509,"="&amp;SUBSTITUTE(SUBSTITUTE(SUBSTITUTE("P:"&amp;A1474,"~","~~"),"*","~*"),"?","~?"))=1),(IF(ISNA(MATCH(SUBSTITUTE(SUBSTITUTE(SUBSTITUTE("P:"&amp;A1474,"~","~~"),"*","~*"),"?","~?"),Processos!$AS$10:$AS$509,0)),9,INDEX(Processos!$AM$10:$AM$509,MATCH(SUBSTITUTE(SUBSTITUTE(SUBSTITUTE("P:"&amp;A1474,"~","~~"),"*","~*"),"?","~?"),Processos!$AS$10:$AS$509,0)))-9),0)</f>
        <v>0</v>
      </c>
      <c r="K1474" s="34" t="str">
        <f t="shared" si="91"/>
        <v/>
      </c>
      <c r="L1474" s="14">
        <f>ROW()</f>
        <v>1474</v>
      </c>
    </row>
    <row r="1475" spans="1:12" ht="60" customHeight="1">
      <c r="A1475" s="41"/>
      <c r="B1475" s="43"/>
      <c r="C1475" s="44"/>
      <c r="D1475" s="51"/>
      <c r="E1475" s="44"/>
      <c r="F1475" s="44"/>
      <c r="G1475" s="34">
        <f t="shared" si="88"/>
        <v>0</v>
      </c>
      <c r="H1475" s="34" t="str">
        <f t="shared" si="89"/>
        <v/>
      </c>
      <c r="I1475" s="52" t="str">
        <f t="shared" si="90"/>
        <v/>
      </c>
      <c r="J1475" s="34">
        <f>IF(AND(A1475&lt;&gt;"",ISTEXT(A1475),COUNTIFS(Processos!$AS$10:$AS$509,"="&amp;SUBSTITUTE(SUBSTITUTE(SUBSTITUTE("P:"&amp;A1475,"~","~~"),"*","~*"),"?","~?"))=1),(IF(ISNA(MATCH(SUBSTITUTE(SUBSTITUTE(SUBSTITUTE("P:"&amp;A1475,"~","~~"),"*","~*"),"?","~?"),Processos!$AS$10:$AS$509,0)),9,INDEX(Processos!$AM$10:$AM$509,MATCH(SUBSTITUTE(SUBSTITUTE(SUBSTITUTE("P:"&amp;A1475,"~","~~"),"*","~*"),"?","~?"),Processos!$AS$10:$AS$509,0)))-9),0)</f>
        <v>0</v>
      </c>
      <c r="K1475" s="34" t="str">
        <f t="shared" si="91"/>
        <v/>
      </c>
      <c r="L1475" s="14">
        <f>ROW()</f>
        <v>1475</v>
      </c>
    </row>
    <row r="1476" spans="1:12" ht="60" customHeight="1">
      <c r="A1476" s="41"/>
      <c r="B1476" s="43"/>
      <c r="C1476" s="44"/>
      <c r="D1476" s="51"/>
      <c r="E1476" s="44"/>
      <c r="F1476" s="44"/>
      <c r="G1476" s="34">
        <f t="shared" si="88"/>
        <v>0</v>
      </c>
      <c r="H1476" s="34" t="str">
        <f t="shared" si="89"/>
        <v/>
      </c>
      <c r="I1476" s="52" t="str">
        <f t="shared" si="90"/>
        <v/>
      </c>
      <c r="J1476" s="34">
        <f>IF(AND(A1476&lt;&gt;"",ISTEXT(A1476),COUNTIFS(Processos!$AS$10:$AS$509,"="&amp;SUBSTITUTE(SUBSTITUTE(SUBSTITUTE("P:"&amp;A1476,"~","~~"),"*","~*"),"?","~?"))=1),(IF(ISNA(MATCH(SUBSTITUTE(SUBSTITUTE(SUBSTITUTE("P:"&amp;A1476,"~","~~"),"*","~*"),"?","~?"),Processos!$AS$10:$AS$509,0)),9,INDEX(Processos!$AM$10:$AM$509,MATCH(SUBSTITUTE(SUBSTITUTE(SUBSTITUTE("P:"&amp;A1476,"~","~~"),"*","~*"),"?","~?"),Processos!$AS$10:$AS$509,0)))-9),0)</f>
        <v>0</v>
      </c>
      <c r="K1476" s="34" t="str">
        <f t="shared" si="91"/>
        <v/>
      </c>
      <c r="L1476" s="14">
        <f>ROW()</f>
        <v>1476</v>
      </c>
    </row>
    <row r="1477" spans="1:12" ht="60" customHeight="1">
      <c r="A1477" s="41"/>
      <c r="B1477" s="43"/>
      <c r="C1477" s="44"/>
      <c r="D1477" s="51"/>
      <c r="E1477" s="44"/>
      <c r="F1477" s="44"/>
      <c r="G1477" s="34">
        <f t="shared" si="88"/>
        <v>0</v>
      </c>
      <c r="H1477" s="34" t="str">
        <f t="shared" si="89"/>
        <v/>
      </c>
      <c r="I1477" s="52" t="str">
        <f t="shared" si="90"/>
        <v/>
      </c>
      <c r="J1477" s="34">
        <f>IF(AND(A1477&lt;&gt;"",ISTEXT(A1477),COUNTIFS(Processos!$AS$10:$AS$509,"="&amp;SUBSTITUTE(SUBSTITUTE(SUBSTITUTE("P:"&amp;A1477,"~","~~"),"*","~*"),"?","~?"))=1),(IF(ISNA(MATCH(SUBSTITUTE(SUBSTITUTE(SUBSTITUTE("P:"&amp;A1477,"~","~~"),"*","~*"),"?","~?"),Processos!$AS$10:$AS$509,0)),9,INDEX(Processos!$AM$10:$AM$509,MATCH(SUBSTITUTE(SUBSTITUTE(SUBSTITUTE("P:"&amp;A1477,"~","~~"),"*","~*"),"?","~?"),Processos!$AS$10:$AS$509,0)))-9),0)</f>
        <v>0</v>
      </c>
      <c r="K1477" s="34" t="str">
        <f t="shared" si="91"/>
        <v/>
      </c>
      <c r="L1477" s="14">
        <f>ROW()</f>
        <v>1477</v>
      </c>
    </row>
    <row r="1478" spans="1:12" ht="60" customHeight="1">
      <c r="A1478" s="41"/>
      <c r="B1478" s="43"/>
      <c r="C1478" s="44"/>
      <c r="D1478" s="51"/>
      <c r="E1478" s="44"/>
      <c r="F1478" s="44"/>
      <c r="G1478" s="34">
        <f t="shared" si="88"/>
        <v>0</v>
      </c>
      <c r="H1478" s="34" t="str">
        <f t="shared" si="89"/>
        <v/>
      </c>
      <c r="I1478" s="52" t="str">
        <f t="shared" si="90"/>
        <v/>
      </c>
      <c r="J1478" s="34">
        <f>IF(AND(A1478&lt;&gt;"",ISTEXT(A1478),COUNTIFS(Processos!$AS$10:$AS$509,"="&amp;SUBSTITUTE(SUBSTITUTE(SUBSTITUTE("P:"&amp;A1478,"~","~~"),"*","~*"),"?","~?"))=1),(IF(ISNA(MATCH(SUBSTITUTE(SUBSTITUTE(SUBSTITUTE("P:"&amp;A1478,"~","~~"),"*","~*"),"?","~?"),Processos!$AS$10:$AS$509,0)),9,INDEX(Processos!$AM$10:$AM$509,MATCH(SUBSTITUTE(SUBSTITUTE(SUBSTITUTE("P:"&amp;A1478,"~","~~"),"*","~*"),"?","~?"),Processos!$AS$10:$AS$509,0)))-9),0)</f>
        <v>0</v>
      </c>
      <c r="K1478" s="34" t="str">
        <f t="shared" si="91"/>
        <v/>
      </c>
      <c r="L1478" s="14">
        <f>ROW()</f>
        <v>1478</v>
      </c>
    </row>
    <row r="1479" spans="1:12" ht="60" customHeight="1">
      <c r="A1479" s="41"/>
      <c r="B1479" s="43"/>
      <c r="C1479" s="44"/>
      <c r="D1479" s="51"/>
      <c r="E1479" s="44"/>
      <c r="F1479" s="44"/>
      <c r="G1479" s="34">
        <f t="shared" si="88"/>
        <v>0</v>
      </c>
      <c r="H1479" s="34" t="str">
        <f t="shared" si="89"/>
        <v/>
      </c>
      <c r="I1479" s="52" t="str">
        <f t="shared" si="90"/>
        <v/>
      </c>
      <c r="J1479" s="34">
        <f>IF(AND(A1479&lt;&gt;"",ISTEXT(A1479),COUNTIFS(Processos!$AS$10:$AS$509,"="&amp;SUBSTITUTE(SUBSTITUTE(SUBSTITUTE("P:"&amp;A1479,"~","~~"),"*","~*"),"?","~?"))=1),(IF(ISNA(MATCH(SUBSTITUTE(SUBSTITUTE(SUBSTITUTE("P:"&amp;A1479,"~","~~"),"*","~*"),"?","~?"),Processos!$AS$10:$AS$509,0)),9,INDEX(Processos!$AM$10:$AM$509,MATCH(SUBSTITUTE(SUBSTITUTE(SUBSTITUTE("P:"&amp;A1479,"~","~~"),"*","~*"),"?","~?"),Processos!$AS$10:$AS$509,0)))-9),0)</f>
        <v>0</v>
      </c>
      <c r="K1479" s="34" t="str">
        <f t="shared" si="91"/>
        <v/>
      </c>
      <c r="L1479" s="14">
        <f>ROW()</f>
        <v>1479</v>
      </c>
    </row>
    <row r="1480" spans="1:12" ht="60" customHeight="1">
      <c r="A1480" s="41"/>
      <c r="B1480" s="43"/>
      <c r="C1480" s="44"/>
      <c r="D1480" s="51"/>
      <c r="E1480" s="44"/>
      <c r="F1480" s="44"/>
      <c r="G1480" s="34">
        <f t="shared" si="88"/>
        <v>0</v>
      </c>
      <c r="H1480" s="34" t="str">
        <f t="shared" si="89"/>
        <v/>
      </c>
      <c r="I1480" s="52" t="str">
        <f t="shared" si="90"/>
        <v/>
      </c>
      <c r="J1480" s="34">
        <f>IF(AND(A1480&lt;&gt;"",ISTEXT(A1480),COUNTIFS(Processos!$AS$10:$AS$509,"="&amp;SUBSTITUTE(SUBSTITUTE(SUBSTITUTE("P:"&amp;A1480,"~","~~"),"*","~*"),"?","~?"))=1),(IF(ISNA(MATCH(SUBSTITUTE(SUBSTITUTE(SUBSTITUTE("P:"&amp;A1480,"~","~~"),"*","~*"),"?","~?"),Processos!$AS$10:$AS$509,0)),9,INDEX(Processos!$AM$10:$AM$509,MATCH(SUBSTITUTE(SUBSTITUTE(SUBSTITUTE("P:"&amp;A1480,"~","~~"),"*","~*"),"?","~?"),Processos!$AS$10:$AS$509,0)))-9),0)</f>
        <v>0</v>
      </c>
      <c r="K1480" s="34" t="str">
        <f t="shared" si="91"/>
        <v/>
      </c>
      <c r="L1480" s="14">
        <f>ROW()</f>
        <v>1480</v>
      </c>
    </row>
    <row r="1481" spans="1:12" ht="60" customHeight="1">
      <c r="A1481" s="41"/>
      <c r="B1481" s="43"/>
      <c r="C1481" s="44"/>
      <c r="D1481" s="51"/>
      <c r="E1481" s="44"/>
      <c r="F1481" s="44"/>
      <c r="G1481" s="34">
        <f t="shared" si="88"/>
        <v>0</v>
      </c>
      <c r="H1481" s="34" t="str">
        <f t="shared" si="89"/>
        <v/>
      </c>
      <c r="I1481" s="52" t="str">
        <f t="shared" si="90"/>
        <v/>
      </c>
      <c r="J1481" s="34">
        <f>IF(AND(A1481&lt;&gt;"",ISTEXT(A1481),COUNTIFS(Processos!$AS$10:$AS$509,"="&amp;SUBSTITUTE(SUBSTITUTE(SUBSTITUTE("P:"&amp;A1481,"~","~~"),"*","~*"),"?","~?"))=1),(IF(ISNA(MATCH(SUBSTITUTE(SUBSTITUTE(SUBSTITUTE("P:"&amp;A1481,"~","~~"),"*","~*"),"?","~?"),Processos!$AS$10:$AS$509,0)),9,INDEX(Processos!$AM$10:$AM$509,MATCH(SUBSTITUTE(SUBSTITUTE(SUBSTITUTE("P:"&amp;A1481,"~","~~"),"*","~*"),"?","~?"),Processos!$AS$10:$AS$509,0)))-9),0)</f>
        <v>0</v>
      </c>
      <c r="K1481" s="34" t="str">
        <f t="shared" si="91"/>
        <v/>
      </c>
      <c r="L1481" s="14">
        <f>ROW()</f>
        <v>1481</v>
      </c>
    </row>
    <row r="1482" spans="1:12" ht="60" customHeight="1">
      <c r="A1482" s="41"/>
      <c r="B1482" s="43"/>
      <c r="C1482" s="44"/>
      <c r="D1482" s="51"/>
      <c r="E1482" s="44"/>
      <c r="F1482" s="44"/>
      <c r="G1482" s="34">
        <f t="shared" ref="G1482:G1545" si="92">IF(AND(J1482&gt;0,OR(B1482="",AND(ISNUMBER(B1482),B1482&gt;=1,B1482&lt;=100000)),ISNUMBER(D1482),D1482&gt;=1,D1482&lt;=100000,C1482&lt;&gt;""),1,0)</f>
        <v>0</v>
      </c>
      <c r="H1482" s="34" t="str">
        <f t="shared" ref="H1482:H1545" si="93">IF(G1482=1,K1482&amp;"|"&amp;D1482,"")</f>
        <v/>
      </c>
      <c r="I1482" s="52" t="str">
        <f t="shared" ref="I1482:I1545" si="94">IF(COUNTA(A1482:F1482)=0,"",IF(A1482="","Selecione o processo",IF(J1482=0,"Processo inexistente, duplicado ou número não textual",IF(B1482="","Informe a data do andamento",IF(C1482="","Descreva o andamento",IF(D1482="","Informe a data e hora do recebimento",IF(OR(NOT(ISNUMBER(B1482)),B1482&lt;1,B1482&gt;100000),"Revise a data do andamento",IF(OR(NOT(ISNUMBER(D1482)),D1482&lt;1,D1482&gt;100000),"Revise a data e hora do recebimento",IF(COUNTIFS($K$10:$K$2009,"="&amp;SUBSTITUTE(SUBSTITUTE(SUBSTITUTE("P:"&amp;A1482,"~","~~"),"*","~*"),"?","~?"),$D$10:$D$2009,D1482,$G$10:$G$2009,1)&gt;1,"Recebimentos empatados: revise a hora ou consolide o registro","")))))))))</f>
        <v/>
      </c>
      <c r="J1482" s="34">
        <f>IF(AND(A1482&lt;&gt;"",ISTEXT(A1482),COUNTIFS(Processos!$AS$10:$AS$509,"="&amp;SUBSTITUTE(SUBSTITUTE(SUBSTITUTE("P:"&amp;A1482,"~","~~"),"*","~*"),"?","~?"))=1),(IF(ISNA(MATCH(SUBSTITUTE(SUBSTITUTE(SUBSTITUTE("P:"&amp;A1482,"~","~~"),"*","~*"),"?","~?"),Processos!$AS$10:$AS$509,0)),9,INDEX(Processos!$AM$10:$AM$509,MATCH(SUBSTITUTE(SUBSTITUTE(SUBSTITUTE("P:"&amp;A1482,"~","~~"),"*","~*"),"?","~?"),Processos!$AS$10:$AS$509,0)))-9),0)</f>
        <v>0</v>
      </c>
      <c r="K1482" s="34" t="str">
        <f t="shared" ref="K1482:K1545" si="95">IF(AND(A1482&lt;&gt;"",ISTEXT(A1482)),"P:"&amp;A1482,"")</f>
        <v/>
      </c>
      <c r="L1482" s="14">
        <f>ROW()</f>
        <v>1482</v>
      </c>
    </row>
    <row r="1483" spans="1:12" ht="60" customHeight="1">
      <c r="A1483" s="41"/>
      <c r="B1483" s="43"/>
      <c r="C1483" s="44"/>
      <c r="D1483" s="51"/>
      <c r="E1483" s="44"/>
      <c r="F1483" s="44"/>
      <c r="G1483" s="34">
        <f t="shared" si="92"/>
        <v>0</v>
      </c>
      <c r="H1483" s="34" t="str">
        <f t="shared" si="93"/>
        <v/>
      </c>
      <c r="I1483" s="52" t="str">
        <f t="shared" si="94"/>
        <v/>
      </c>
      <c r="J1483" s="34">
        <f>IF(AND(A1483&lt;&gt;"",ISTEXT(A1483),COUNTIFS(Processos!$AS$10:$AS$509,"="&amp;SUBSTITUTE(SUBSTITUTE(SUBSTITUTE("P:"&amp;A1483,"~","~~"),"*","~*"),"?","~?"))=1),(IF(ISNA(MATCH(SUBSTITUTE(SUBSTITUTE(SUBSTITUTE("P:"&amp;A1483,"~","~~"),"*","~*"),"?","~?"),Processos!$AS$10:$AS$509,0)),9,INDEX(Processos!$AM$10:$AM$509,MATCH(SUBSTITUTE(SUBSTITUTE(SUBSTITUTE("P:"&amp;A1483,"~","~~"),"*","~*"),"?","~?"),Processos!$AS$10:$AS$509,0)))-9),0)</f>
        <v>0</v>
      </c>
      <c r="K1483" s="34" t="str">
        <f t="shared" si="95"/>
        <v/>
      </c>
      <c r="L1483" s="14">
        <f>ROW()</f>
        <v>1483</v>
      </c>
    </row>
    <row r="1484" spans="1:12" ht="60" customHeight="1">
      <c r="A1484" s="41"/>
      <c r="B1484" s="43"/>
      <c r="C1484" s="44"/>
      <c r="D1484" s="51"/>
      <c r="E1484" s="44"/>
      <c r="F1484" s="44"/>
      <c r="G1484" s="34">
        <f t="shared" si="92"/>
        <v>0</v>
      </c>
      <c r="H1484" s="34" t="str">
        <f t="shared" si="93"/>
        <v/>
      </c>
      <c r="I1484" s="52" t="str">
        <f t="shared" si="94"/>
        <v/>
      </c>
      <c r="J1484" s="34">
        <f>IF(AND(A1484&lt;&gt;"",ISTEXT(A1484),COUNTIFS(Processos!$AS$10:$AS$509,"="&amp;SUBSTITUTE(SUBSTITUTE(SUBSTITUTE("P:"&amp;A1484,"~","~~"),"*","~*"),"?","~?"))=1),(IF(ISNA(MATCH(SUBSTITUTE(SUBSTITUTE(SUBSTITUTE("P:"&amp;A1484,"~","~~"),"*","~*"),"?","~?"),Processos!$AS$10:$AS$509,0)),9,INDEX(Processos!$AM$10:$AM$509,MATCH(SUBSTITUTE(SUBSTITUTE(SUBSTITUTE("P:"&amp;A1484,"~","~~"),"*","~*"),"?","~?"),Processos!$AS$10:$AS$509,0)))-9),0)</f>
        <v>0</v>
      </c>
      <c r="K1484" s="34" t="str">
        <f t="shared" si="95"/>
        <v/>
      </c>
      <c r="L1484" s="14">
        <f>ROW()</f>
        <v>1484</v>
      </c>
    </row>
    <row r="1485" spans="1:12" ht="60" customHeight="1">
      <c r="A1485" s="41"/>
      <c r="B1485" s="43"/>
      <c r="C1485" s="44"/>
      <c r="D1485" s="51"/>
      <c r="E1485" s="44"/>
      <c r="F1485" s="44"/>
      <c r="G1485" s="34">
        <f t="shared" si="92"/>
        <v>0</v>
      </c>
      <c r="H1485" s="34" t="str">
        <f t="shared" si="93"/>
        <v/>
      </c>
      <c r="I1485" s="52" t="str">
        <f t="shared" si="94"/>
        <v/>
      </c>
      <c r="J1485" s="34">
        <f>IF(AND(A1485&lt;&gt;"",ISTEXT(A1485),COUNTIFS(Processos!$AS$10:$AS$509,"="&amp;SUBSTITUTE(SUBSTITUTE(SUBSTITUTE("P:"&amp;A1485,"~","~~"),"*","~*"),"?","~?"))=1),(IF(ISNA(MATCH(SUBSTITUTE(SUBSTITUTE(SUBSTITUTE("P:"&amp;A1485,"~","~~"),"*","~*"),"?","~?"),Processos!$AS$10:$AS$509,0)),9,INDEX(Processos!$AM$10:$AM$509,MATCH(SUBSTITUTE(SUBSTITUTE(SUBSTITUTE("P:"&amp;A1485,"~","~~"),"*","~*"),"?","~?"),Processos!$AS$10:$AS$509,0)))-9),0)</f>
        <v>0</v>
      </c>
      <c r="K1485" s="34" t="str">
        <f t="shared" si="95"/>
        <v/>
      </c>
      <c r="L1485" s="14">
        <f>ROW()</f>
        <v>1485</v>
      </c>
    </row>
    <row r="1486" spans="1:12" ht="60" customHeight="1">
      <c r="A1486" s="41"/>
      <c r="B1486" s="43"/>
      <c r="C1486" s="44"/>
      <c r="D1486" s="51"/>
      <c r="E1486" s="44"/>
      <c r="F1486" s="44"/>
      <c r="G1486" s="34">
        <f t="shared" si="92"/>
        <v>0</v>
      </c>
      <c r="H1486" s="34" t="str">
        <f t="shared" si="93"/>
        <v/>
      </c>
      <c r="I1486" s="52" t="str">
        <f t="shared" si="94"/>
        <v/>
      </c>
      <c r="J1486" s="34">
        <f>IF(AND(A1486&lt;&gt;"",ISTEXT(A1486),COUNTIFS(Processos!$AS$10:$AS$509,"="&amp;SUBSTITUTE(SUBSTITUTE(SUBSTITUTE("P:"&amp;A1486,"~","~~"),"*","~*"),"?","~?"))=1),(IF(ISNA(MATCH(SUBSTITUTE(SUBSTITUTE(SUBSTITUTE("P:"&amp;A1486,"~","~~"),"*","~*"),"?","~?"),Processos!$AS$10:$AS$509,0)),9,INDEX(Processos!$AM$10:$AM$509,MATCH(SUBSTITUTE(SUBSTITUTE(SUBSTITUTE("P:"&amp;A1486,"~","~~"),"*","~*"),"?","~?"),Processos!$AS$10:$AS$509,0)))-9),0)</f>
        <v>0</v>
      </c>
      <c r="K1486" s="34" t="str">
        <f t="shared" si="95"/>
        <v/>
      </c>
      <c r="L1486" s="14">
        <f>ROW()</f>
        <v>1486</v>
      </c>
    </row>
    <row r="1487" spans="1:12" ht="60" customHeight="1">
      <c r="A1487" s="41"/>
      <c r="B1487" s="43"/>
      <c r="C1487" s="44"/>
      <c r="D1487" s="51"/>
      <c r="E1487" s="44"/>
      <c r="F1487" s="44"/>
      <c r="G1487" s="34">
        <f t="shared" si="92"/>
        <v>0</v>
      </c>
      <c r="H1487" s="34" t="str">
        <f t="shared" si="93"/>
        <v/>
      </c>
      <c r="I1487" s="52" t="str">
        <f t="shared" si="94"/>
        <v/>
      </c>
      <c r="J1487" s="34">
        <f>IF(AND(A1487&lt;&gt;"",ISTEXT(A1487),COUNTIFS(Processos!$AS$10:$AS$509,"="&amp;SUBSTITUTE(SUBSTITUTE(SUBSTITUTE("P:"&amp;A1487,"~","~~"),"*","~*"),"?","~?"))=1),(IF(ISNA(MATCH(SUBSTITUTE(SUBSTITUTE(SUBSTITUTE("P:"&amp;A1487,"~","~~"),"*","~*"),"?","~?"),Processos!$AS$10:$AS$509,0)),9,INDEX(Processos!$AM$10:$AM$509,MATCH(SUBSTITUTE(SUBSTITUTE(SUBSTITUTE("P:"&amp;A1487,"~","~~"),"*","~*"),"?","~?"),Processos!$AS$10:$AS$509,0)))-9),0)</f>
        <v>0</v>
      </c>
      <c r="K1487" s="34" t="str">
        <f t="shared" si="95"/>
        <v/>
      </c>
      <c r="L1487" s="14">
        <f>ROW()</f>
        <v>1487</v>
      </c>
    </row>
    <row r="1488" spans="1:12" ht="60" customHeight="1">
      <c r="A1488" s="41"/>
      <c r="B1488" s="43"/>
      <c r="C1488" s="44"/>
      <c r="D1488" s="51"/>
      <c r="E1488" s="44"/>
      <c r="F1488" s="44"/>
      <c r="G1488" s="34">
        <f t="shared" si="92"/>
        <v>0</v>
      </c>
      <c r="H1488" s="34" t="str">
        <f t="shared" si="93"/>
        <v/>
      </c>
      <c r="I1488" s="52" t="str">
        <f t="shared" si="94"/>
        <v/>
      </c>
      <c r="J1488" s="34">
        <f>IF(AND(A1488&lt;&gt;"",ISTEXT(A1488),COUNTIFS(Processos!$AS$10:$AS$509,"="&amp;SUBSTITUTE(SUBSTITUTE(SUBSTITUTE("P:"&amp;A1488,"~","~~"),"*","~*"),"?","~?"))=1),(IF(ISNA(MATCH(SUBSTITUTE(SUBSTITUTE(SUBSTITUTE("P:"&amp;A1488,"~","~~"),"*","~*"),"?","~?"),Processos!$AS$10:$AS$509,0)),9,INDEX(Processos!$AM$10:$AM$509,MATCH(SUBSTITUTE(SUBSTITUTE(SUBSTITUTE("P:"&amp;A1488,"~","~~"),"*","~*"),"?","~?"),Processos!$AS$10:$AS$509,0)))-9),0)</f>
        <v>0</v>
      </c>
      <c r="K1488" s="34" t="str">
        <f t="shared" si="95"/>
        <v/>
      </c>
      <c r="L1488" s="14">
        <f>ROW()</f>
        <v>1488</v>
      </c>
    </row>
    <row r="1489" spans="1:12" ht="60" customHeight="1">
      <c r="A1489" s="41"/>
      <c r="B1489" s="43"/>
      <c r="C1489" s="44"/>
      <c r="D1489" s="51"/>
      <c r="E1489" s="44"/>
      <c r="F1489" s="44"/>
      <c r="G1489" s="34">
        <f t="shared" si="92"/>
        <v>0</v>
      </c>
      <c r="H1489" s="34" t="str">
        <f t="shared" si="93"/>
        <v/>
      </c>
      <c r="I1489" s="52" t="str">
        <f t="shared" si="94"/>
        <v/>
      </c>
      <c r="J1489" s="34">
        <f>IF(AND(A1489&lt;&gt;"",ISTEXT(A1489),COUNTIFS(Processos!$AS$10:$AS$509,"="&amp;SUBSTITUTE(SUBSTITUTE(SUBSTITUTE("P:"&amp;A1489,"~","~~"),"*","~*"),"?","~?"))=1),(IF(ISNA(MATCH(SUBSTITUTE(SUBSTITUTE(SUBSTITUTE("P:"&amp;A1489,"~","~~"),"*","~*"),"?","~?"),Processos!$AS$10:$AS$509,0)),9,INDEX(Processos!$AM$10:$AM$509,MATCH(SUBSTITUTE(SUBSTITUTE(SUBSTITUTE("P:"&amp;A1489,"~","~~"),"*","~*"),"?","~?"),Processos!$AS$10:$AS$509,0)))-9),0)</f>
        <v>0</v>
      </c>
      <c r="K1489" s="34" t="str">
        <f t="shared" si="95"/>
        <v/>
      </c>
      <c r="L1489" s="14">
        <f>ROW()</f>
        <v>1489</v>
      </c>
    </row>
    <row r="1490" spans="1:12" ht="60" customHeight="1">
      <c r="A1490" s="41"/>
      <c r="B1490" s="43"/>
      <c r="C1490" s="44"/>
      <c r="D1490" s="51"/>
      <c r="E1490" s="44"/>
      <c r="F1490" s="44"/>
      <c r="G1490" s="34">
        <f t="shared" si="92"/>
        <v>0</v>
      </c>
      <c r="H1490" s="34" t="str">
        <f t="shared" si="93"/>
        <v/>
      </c>
      <c r="I1490" s="52" t="str">
        <f t="shared" si="94"/>
        <v/>
      </c>
      <c r="J1490" s="34">
        <f>IF(AND(A1490&lt;&gt;"",ISTEXT(A1490),COUNTIFS(Processos!$AS$10:$AS$509,"="&amp;SUBSTITUTE(SUBSTITUTE(SUBSTITUTE("P:"&amp;A1490,"~","~~"),"*","~*"),"?","~?"))=1),(IF(ISNA(MATCH(SUBSTITUTE(SUBSTITUTE(SUBSTITUTE("P:"&amp;A1490,"~","~~"),"*","~*"),"?","~?"),Processos!$AS$10:$AS$509,0)),9,INDEX(Processos!$AM$10:$AM$509,MATCH(SUBSTITUTE(SUBSTITUTE(SUBSTITUTE("P:"&amp;A1490,"~","~~"),"*","~*"),"?","~?"),Processos!$AS$10:$AS$509,0)))-9),0)</f>
        <v>0</v>
      </c>
      <c r="K1490" s="34" t="str">
        <f t="shared" si="95"/>
        <v/>
      </c>
      <c r="L1490" s="14">
        <f>ROW()</f>
        <v>1490</v>
      </c>
    </row>
    <row r="1491" spans="1:12" ht="60" customHeight="1">
      <c r="A1491" s="41"/>
      <c r="B1491" s="43"/>
      <c r="C1491" s="44"/>
      <c r="D1491" s="51"/>
      <c r="E1491" s="44"/>
      <c r="F1491" s="44"/>
      <c r="G1491" s="34">
        <f t="shared" si="92"/>
        <v>0</v>
      </c>
      <c r="H1491" s="34" t="str">
        <f t="shared" si="93"/>
        <v/>
      </c>
      <c r="I1491" s="52" t="str">
        <f t="shared" si="94"/>
        <v/>
      </c>
      <c r="J1491" s="34">
        <f>IF(AND(A1491&lt;&gt;"",ISTEXT(A1491),COUNTIFS(Processos!$AS$10:$AS$509,"="&amp;SUBSTITUTE(SUBSTITUTE(SUBSTITUTE("P:"&amp;A1491,"~","~~"),"*","~*"),"?","~?"))=1),(IF(ISNA(MATCH(SUBSTITUTE(SUBSTITUTE(SUBSTITUTE("P:"&amp;A1491,"~","~~"),"*","~*"),"?","~?"),Processos!$AS$10:$AS$509,0)),9,INDEX(Processos!$AM$10:$AM$509,MATCH(SUBSTITUTE(SUBSTITUTE(SUBSTITUTE("P:"&amp;A1491,"~","~~"),"*","~*"),"?","~?"),Processos!$AS$10:$AS$509,0)))-9),0)</f>
        <v>0</v>
      </c>
      <c r="K1491" s="34" t="str">
        <f t="shared" si="95"/>
        <v/>
      </c>
      <c r="L1491" s="14">
        <f>ROW()</f>
        <v>1491</v>
      </c>
    </row>
    <row r="1492" spans="1:12" ht="60" customHeight="1">
      <c r="A1492" s="41"/>
      <c r="B1492" s="43"/>
      <c r="C1492" s="44"/>
      <c r="D1492" s="51"/>
      <c r="E1492" s="44"/>
      <c r="F1492" s="44"/>
      <c r="G1492" s="34">
        <f t="shared" si="92"/>
        <v>0</v>
      </c>
      <c r="H1492" s="34" t="str">
        <f t="shared" si="93"/>
        <v/>
      </c>
      <c r="I1492" s="52" t="str">
        <f t="shared" si="94"/>
        <v/>
      </c>
      <c r="J1492" s="34">
        <f>IF(AND(A1492&lt;&gt;"",ISTEXT(A1492),COUNTIFS(Processos!$AS$10:$AS$509,"="&amp;SUBSTITUTE(SUBSTITUTE(SUBSTITUTE("P:"&amp;A1492,"~","~~"),"*","~*"),"?","~?"))=1),(IF(ISNA(MATCH(SUBSTITUTE(SUBSTITUTE(SUBSTITUTE("P:"&amp;A1492,"~","~~"),"*","~*"),"?","~?"),Processos!$AS$10:$AS$509,0)),9,INDEX(Processos!$AM$10:$AM$509,MATCH(SUBSTITUTE(SUBSTITUTE(SUBSTITUTE("P:"&amp;A1492,"~","~~"),"*","~*"),"?","~?"),Processos!$AS$10:$AS$509,0)))-9),0)</f>
        <v>0</v>
      </c>
      <c r="K1492" s="34" t="str">
        <f t="shared" si="95"/>
        <v/>
      </c>
      <c r="L1492" s="14">
        <f>ROW()</f>
        <v>1492</v>
      </c>
    </row>
    <row r="1493" spans="1:12" ht="60" customHeight="1">
      <c r="A1493" s="41"/>
      <c r="B1493" s="43"/>
      <c r="C1493" s="44"/>
      <c r="D1493" s="51"/>
      <c r="E1493" s="44"/>
      <c r="F1493" s="44"/>
      <c r="G1493" s="34">
        <f t="shared" si="92"/>
        <v>0</v>
      </c>
      <c r="H1493" s="34" t="str">
        <f t="shared" si="93"/>
        <v/>
      </c>
      <c r="I1493" s="52" t="str">
        <f t="shared" si="94"/>
        <v/>
      </c>
      <c r="J1493" s="34">
        <f>IF(AND(A1493&lt;&gt;"",ISTEXT(A1493),COUNTIFS(Processos!$AS$10:$AS$509,"="&amp;SUBSTITUTE(SUBSTITUTE(SUBSTITUTE("P:"&amp;A1493,"~","~~"),"*","~*"),"?","~?"))=1),(IF(ISNA(MATCH(SUBSTITUTE(SUBSTITUTE(SUBSTITUTE("P:"&amp;A1493,"~","~~"),"*","~*"),"?","~?"),Processos!$AS$10:$AS$509,0)),9,INDEX(Processos!$AM$10:$AM$509,MATCH(SUBSTITUTE(SUBSTITUTE(SUBSTITUTE("P:"&amp;A1493,"~","~~"),"*","~*"),"?","~?"),Processos!$AS$10:$AS$509,0)))-9),0)</f>
        <v>0</v>
      </c>
      <c r="K1493" s="34" t="str">
        <f t="shared" si="95"/>
        <v/>
      </c>
      <c r="L1493" s="14">
        <f>ROW()</f>
        <v>1493</v>
      </c>
    </row>
    <row r="1494" spans="1:12" ht="60" customHeight="1">
      <c r="A1494" s="41"/>
      <c r="B1494" s="43"/>
      <c r="C1494" s="44"/>
      <c r="D1494" s="51"/>
      <c r="E1494" s="44"/>
      <c r="F1494" s="44"/>
      <c r="G1494" s="34">
        <f t="shared" si="92"/>
        <v>0</v>
      </c>
      <c r="H1494" s="34" t="str">
        <f t="shared" si="93"/>
        <v/>
      </c>
      <c r="I1494" s="52" t="str">
        <f t="shared" si="94"/>
        <v/>
      </c>
      <c r="J1494" s="34">
        <f>IF(AND(A1494&lt;&gt;"",ISTEXT(A1494),COUNTIFS(Processos!$AS$10:$AS$509,"="&amp;SUBSTITUTE(SUBSTITUTE(SUBSTITUTE("P:"&amp;A1494,"~","~~"),"*","~*"),"?","~?"))=1),(IF(ISNA(MATCH(SUBSTITUTE(SUBSTITUTE(SUBSTITUTE("P:"&amp;A1494,"~","~~"),"*","~*"),"?","~?"),Processos!$AS$10:$AS$509,0)),9,INDEX(Processos!$AM$10:$AM$509,MATCH(SUBSTITUTE(SUBSTITUTE(SUBSTITUTE("P:"&amp;A1494,"~","~~"),"*","~*"),"?","~?"),Processos!$AS$10:$AS$509,0)))-9),0)</f>
        <v>0</v>
      </c>
      <c r="K1494" s="34" t="str">
        <f t="shared" si="95"/>
        <v/>
      </c>
      <c r="L1494" s="14">
        <f>ROW()</f>
        <v>1494</v>
      </c>
    </row>
    <row r="1495" spans="1:12" ht="60" customHeight="1">
      <c r="A1495" s="41"/>
      <c r="B1495" s="43"/>
      <c r="C1495" s="44"/>
      <c r="D1495" s="51"/>
      <c r="E1495" s="44"/>
      <c r="F1495" s="44"/>
      <c r="G1495" s="34">
        <f t="shared" si="92"/>
        <v>0</v>
      </c>
      <c r="H1495" s="34" t="str">
        <f t="shared" si="93"/>
        <v/>
      </c>
      <c r="I1495" s="52" t="str">
        <f t="shared" si="94"/>
        <v/>
      </c>
      <c r="J1495" s="34">
        <f>IF(AND(A1495&lt;&gt;"",ISTEXT(A1495),COUNTIFS(Processos!$AS$10:$AS$509,"="&amp;SUBSTITUTE(SUBSTITUTE(SUBSTITUTE("P:"&amp;A1495,"~","~~"),"*","~*"),"?","~?"))=1),(IF(ISNA(MATCH(SUBSTITUTE(SUBSTITUTE(SUBSTITUTE("P:"&amp;A1495,"~","~~"),"*","~*"),"?","~?"),Processos!$AS$10:$AS$509,0)),9,INDEX(Processos!$AM$10:$AM$509,MATCH(SUBSTITUTE(SUBSTITUTE(SUBSTITUTE("P:"&amp;A1495,"~","~~"),"*","~*"),"?","~?"),Processos!$AS$10:$AS$509,0)))-9),0)</f>
        <v>0</v>
      </c>
      <c r="K1495" s="34" t="str">
        <f t="shared" si="95"/>
        <v/>
      </c>
      <c r="L1495" s="14">
        <f>ROW()</f>
        <v>1495</v>
      </c>
    </row>
    <row r="1496" spans="1:12" ht="60" customHeight="1">
      <c r="A1496" s="41"/>
      <c r="B1496" s="43"/>
      <c r="C1496" s="44"/>
      <c r="D1496" s="51"/>
      <c r="E1496" s="44"/>
      <c r="F1496" s="44"/>
      <c r="G1496" s="34">
        <f t="shared" si="92"/>
        <v>0</v>
      </c>
      <c r="H1496" s="34" t="str">
        <f t="shared" si="93"/>
        <v/>
      </c>
      <c r="I1496" s="52" t="str">
        <f t="shared" si="94"/>
        <v/>
      </c>
      <c r="J1496" s="34">
        <f>IF(AND(A1496&lt;&gt;"",ISTEXT(A1496),COUNTIFS(Processos!$AS$10:$AS$509,"="&amp;SUBSTITUTE(SUBSTITUTE(SUBSTITUTE("P:"&amp;A1496,"~","~~"),"*","~*"),"?","~?"))=1),(IF(ISNA(MATCH(SUBSTITUTE(SUBSTITUTE(SUBSTITUTE("P:"&amp;A1496,"~","~~"),"*","~*"),"?","~?"),Processos!$AS$10:$AS$509,0)),9,INDEX(Processos!$AM$10:$AM$509,MATCH(SUBSTITUTE(SUBSTITUTE(SUBSTITUTE("P:"&amp;A1496,"~","~~"),"*","~*"),"?","~?"),Processos!$AS$10:$AS$509,0)))-9),0)</f>
        <v>0</v>
      </c>
      <c r="K1496" s="34" t="str">
        <f t="shared" si="95"/>
        <v/>
      </c>
      <c r="L1496" s="14">
        <f>ROW()</f>
        <v>1496</v>
      </c>
    </row>
    <row r="1497" spans="1:12" ht="60" customHeight="1">
      <c r="A1497" s="41"/>
      <c r="B1497" s="43"/>
      <c r="C1497" s="44"/>
      <c r="D1497" s="51"/>
      <c r="E1497" s="44"/>
      <c r="F1497" s="44"/>
      <c r="G1497" s="34">
        <f t="shared" si="92"/>
        <v>0</v>
      </c>
      <c r="H1497" s="34" t="str">
        <f t="shared" si="93"/>
        <v/>
      </c>
      <c r="I1497" s="52" t="str">
        <f t="shared" si="94"/>
        <v/>
      </c>
      <c r="J1497" s="34">
        <f>IF(AND(A1497&lt;&gt;"",ISTEXT(A1497),COUNTIFS(Processos!$AS$10:$AS$509,"="&amp;SUBSTITUTE(SUBSTITUTE(SUBSTITUTE("P:"&amp;A1497,"~","~~"),"*","~*"),"?","~?"))=1),(IF(ISNA(MATCH(SUBSTITUTE(SUBSTITUTE(SUBSTITUTE("P:"&amp;A1497,"~","~~"),"*","~*"),"?","~?"),Processos!$AS$10:$AS$509,0)),9,INDEX(Processos!$AM$10:$AM$509,MATCH(SUBSTITUTE(SUBSTITUTE(SUBSTITUTE("P:"&amp;A1497,"~","~~"),"*","~*"),"?","~?"),Processos!$AS$10:$AS$509,0)))-9),0)</f>
        <v>0</v>
      </c>
      <c r="K1497" s="34" t="str">
        <f t="shared" si="95"/>
        <v/>
      </c>
      <c r="L1497" s="14">
        <f>ROW()</f>
        <v>1497</v>
      </c>
    </row>
    <row r="1498" spans="1:12" ht="60" customHeight="1">
      <c r="A1498" s="41"/>
      <c r="B1498" s="43"/>
      <c r="C1498" s="44"/>
      <c r="D1498" s="51"/>
      <c r="E1498" s="44"/>
      <c r="F1498" s="44"/>
      <c r="G1498" s="34">
        <f t="shared" si="92"/>
        <v>0</v>
      </c>
      <c r="H1498" s="34" t="str">
        <f t="shared" si="93"/>
        <v/>
      </c>
      <c r="I1498" s="52" t="str">
        <f t="shared" si="94"/>
        <v/>
      </c>
      <c r="J1498" s="34">
        <f>IF(AND(A1498&lt;&gt;"",ISTEXT(A1498),COUNTIFS(Processos!$AS$10:$AS$509,"="&amp;SUBSTITUTE(SUBSTITUTE(SUBSTITUTE("P:"&amp;A1498,"~","~~"),"*","~*"),"?","~?"))=1),(IF(ISNA(MATCH(SUBSTITUTE(SUBSTITUTE(SUBSTITUTE("P:"&amp;A1498,"~","~~"),"*","~*"),"?","~?"),Processos!$AS$10:$AS$509,0)),9,INDEX(Processos!$AM$10:$AM$509,MATCH(SUBSTITUTE(SUBSTITUTE(SUBSTITUTE("P:"&amp;A1498,"~","~~"),"*","~*"),"?","~?"),Processos!$AS$10:$AS$509,0)))-9),0)</f>
        <v>0</v>
      </c>
      <c r="K1498" s="34" t="str">
        <f t="shared" si="95"/>
        <v/>
      </c>
      <c r="L1498" s="14">
        <f>ROW()</f>
        <v>1498</v>
      </c>
    </row>
    <row r="1499" spans="1:12" ht="60" customHeight="1">
      <c r="A1499" s="41"/>
      <c r="B1499" s="43"/>
      <c r="C1499" s="44"/>
      <c r="D1499" s="51"/>
      <c r="E1499" s="44"/>
      <c r="F1499" s="44"/>
      <c r="G1499" s="34">
        <f t="shared" si="92"/>
        <v>0</v>
      </c>
      <c r="H1499" s="34" t="str">
        <f t="shared" si="93"/>
        <v/>
      </c>
      <c r="I1499" s="52" t="str">
        <f t="shared" si="94"/>
        <v/>
      </c>
      <c r="J1499" s="34">
        <f>IF(AND(A1499&lt;&gt;"",ISTEXT(A1499),COUNTIFS(Processos!$AS$10:$AS$509,"="&amp;SUBSTITUTE(SUBSTITUTE(SUBSTITUTE("P:"&amp;A1499,"~","~~"),"*","~*"),"?","~?"))=1),(IF(ISNA(MATCH(SUBSTITUTE(SUBSTITUTE(SUBSTITUTE("P:"&amp;A1499,"~","~~"),"*","~*"),"?","~?"),Processos!$AS$10:$AS$509,0)),9,INDEX(Processos!$AM$10:$AM$509,MATCH(SUBSTITUTE(SUBSTITUTE(SUBSTITUTE("P:"&amp;A1499,"~","~~"),"*","~*"),"?","~?"),Processos!$AS$10:$AS$509,0)))-9),0)</f>
        <v>0</v>
      </c>
      <c r="K1499" s="34" t="str">
        <f t="shared" si="95"/>
        <v/>
      </c>
      <c r="L1499" s="14">
        <f>ROW()</f>
        <v>1499</v>
      </c>
    </row>
    <row r="1500" spans="1:12" ht="60" customHeight="1">
      <c r="A1500" s="41"/>
      <c r="B1500" s="43"/>
      <c r="C1500" s="44"/>
      <c r="D1500" s="51"/>
      <c r="E1500" s="44"/>
      <c r="F1500" s="44"/>
      <c r="G1500" s="34">
        <f t="shared" si="92"/>
        <v>0</v>
      </c>
      <c r="H1500" s="34" t="str">
        <f t="shared" si="93"/>
        <v/>
      </c>
      <c r="I1500" s="52" t="str">
        <f t="shared" si="94"/>
        <v/>
      </c>
      <c r="J1500" s="34">
        <f>IF(AND(A1500&lt;&gt;"",ISTEXT(A1500),COUNTIFS(Processos!$AS$10:$AS$509,"="&amp;SUBSTITUTE(SUBSTITUTE(SUBSTITUTE("P:"&amp;A1500,"~","~~"),"*","~*"),"?","~?"))=1),(IF(ISNA(MATCH(SUBSTITUTE(SUBSTITUTE(SUBSTITUTE("P:"&amp;A1500,"~","~~"),"*","~*"),"?","~?"),Processos!$AS$10:$AS$509,0)),9,INDEX(Processos!$AM$10:$AM$509,MATCH(SUBSTITUTE(SUBSTITUTE(SUBSTITUTE("P:"&amp;A1500,"~","~~"),"*","~*"),"?","~?"),Processos!$AS$10:$AS$509,0)))-9),0)</f>
        <v>0</v>
      </c>
      <c r="K1500" s="34" t="str">
        <f t="shared" si="95"/>
        <v/>
      </c>
      <c r="L1500" s="14">
        <f>ROW()</f>
        <v>1500</v>
      </c>
    </row>
    <row r="1501" spans="1:12" ht="60" customHeight="1">
      <c r="A1501" s="41"/>
      <c r="B1501" s="43"/>
      <c r="C1501" s="44"/>
      <c r="D1501" s="51"/>
      <c r="E1501" s="44"/>
      <c r="F1501" s="44"/>
      <c r="G1501" s="34">
        <f t="shared" si="92"/>
        <v>0</v>
      </c>
      <c r="H1501" s="34" t="str">
        <f t="shared" si="93"/>
        <v/>
      </c>
      <c r="I1501" s="52" t="str">
        <f t="shared" si="94"/>
        <v/>
      </c>
      <c r="J1501" s="34">
        <f>IF(AND(A1501&lt;&gt;"",ISTEXT(A1501),COUNTIFS(Processos!$AS$10:$AS$509,"="&amp;SUBSTITUTE(SUBSTITUTE(SUBSTITUTE("P:"&amp;A1501,"~","~~"),"*","~*"),"?","~?"))=1),(IF(ISNA(MATCH(SUBSTITUTE(SUBSTITUTE(SUBSTITUTE("P:"&amp;A1501,"~","~~"),"*","~*"),"?","~?"),Processos!$AS$10:$AS$509,0)),9,INDEX(Processos!$AM$10:$AM$509,MATCH(SUBSTITUTE(SUBSTITUTE(SUBSTITUTE("P:"&amp;A1501,"~","~~"),"*","~*"),"?","~?"),Processos!$AS$10:$AS$509,0)))-9),0)</f>
        <v>0</v>
      </c>
      <c r="K1501" s="34" t="str">
        <f t="shared" si="95"/>
        <v/>
      </c>
      <c r="L1501" s="14">
        <f>ROW()</f>
        <v>1501</v>
      </c>
    </row>
    <row r="1502" spans="1:12" ht="60" customHeight="1">
      <c r="A1502" s="41"/>
      <c r="B1502" s="43"/>
      <c r="C1502" s="44"/>
      <c r="D1502" s="51"/>
      <c r="E1502" s="44"/>
      <c r="F1502" s="44"/>
      <c r="G1502" s="34">
        <f t="shared" si="92"/>
        <v>0</v>
      </c>
      <c r="H1502" s="34" t="str">
        <f t="shared" si="93"/>
        <v/>
      </c>
      <c r="I1502" s="52" t="str">
        <f t="shared" si="94"/>
        <v/>
      </c>
      <c r="J1502" s="34">
        <f>IF(AND(A1502&lt;&gt;"",ISTEXT(A1502),COUNTIFS(Processos!$AS$10:$AS$509,"="&amp;SUBSTITUTE(SUBSTITUTE(SUBSTITUTE("P:"&amp;A1502,"~","~~"),"*","~*"),"?","~?"))=1),(IF(ISNA(MATCH(SUBSTITUTE(SUBSTITUTE(SUBSTITUTE("P:"&amp;A1502,"~","~~"),"*","~*"),"?","~?"),Processos!$AS$10:$AS$509,0)),9,INDEX(Processos!$AM$10:$AM$509,MATCH(SUBSTITUTE(SUBSTITUTE(SUBSTITUTE("P:"&amp;A1502,"~","~~"),"*","~*"),"?","~?"),Processos!$AS$10:$AS$509,0)))-9),0)</f>
        <v>0</v>
      </c>
      <c r="K1502" s="34" t="str">
        <f t="shared" si="95"/>
        <v/>
      </c>
      <c r="L1502" s="14">
        <f>ROW()</f>
        <v>1502</v>
      </c>
    </row>
    <row r="1503" spans="1:12" ht="60" customHeight="1">
      <c r="A1503" s="41"/>
      <c r="B1503" s="43"/>
      <c r="C1503" s="44"/>
      <c r="D1503" s="51"/>
      <c r="E1503" s="44"/>
      <c r="F1503" s="44"/>
      <c r="G1503" s="34">
        <f t="shared" si="92"/>
        <v>0</v>
      </c>
      <c r="H1503" s="34" t="str">
        <f t="shared" si="93"/>
        <v/>
      </c>
      <c r="I1503" s="52" t="str">
        <f t="shared" si="94"/>
        <v/>
      </c>
      <c r="J1503" s="34">
        <f>IF(AND(A1503&lt;&gt;"",ISTEXT(A1503),COUNTIFS(Processos!$AS$10:$AS$509,"="&amp;SUBSTITUTE(SUBSTITUTE(SUBSTITUTE("P:"&amp;A1503,"~","~~"),"*","~*"),"?","~?"))=1),(IF(ISNA(MATCH(SUBSTITUTE(SUBSTITUTE(SUBSTITUTE("P:"&amp;A1503,"~","~~"),"*","~*"),"?","~?"),Processos!$AS$10:$AS$509,0)),9,INDEX(Processos!$AM$10:$AM$509,MATCH(SUBSTITUTE(SUBSTITUTE(SUBSTITUTE("P:"&amp;A1503,"~","~~"),"*","~*"),"?","~?"),Processos!$AS$10:$AS$509,0)))-9),0)</f>
        <v>0</v>
      </c>
      <c r="K1503" s="34" t="str">
        <f t="shared" si="95"/>
        <v/>
      </c>
      <c r="L1503" s="14">
        <f>ROW()</f>
        <v>1503</v>
      </c>
    </row>
    <row r="1504" spans="1:12" ht="60" customHeight="1">
      <c r="A1504" s="41"/>
      <c r="B1504" s="43"/>
      <c r="C1504" s="44"/>
      <c r="D1504" s="51"/>
      <c r="E1504" s="44"/>
      <c r="F1504" s="44"/>
      <c r="G1504" s="34">
        <f t="shared" si="92"/>
        <v>0</v>
      </c>
      <c r="H1504" s="34" t="str">
        <f t="shared" si="93"/>
        <v/>
      </c>
      <c r="I1504" s="52" t="str">
        <f t="shared" si="94"/>
        <v/>
      </c>
      <c r="J1504" s="34">
        <f>IF(AND(A1504&lt;&gt;"",ISTEXT(A1504),COUNTIFS(Processos!$AS$10:$AS$509,"="&amp;SUBSTITUTE(SUBSTITUTE(SUBSTITUTE("P:"&amp;A1504,"~","~~"),"*","~*"),"?","~?"))=1),(IF(ISNA(MATCH(SUBSTITUTE(SUBSTITUTE(SUBSTITUTE("P:"&amp;A1504,"~","~~"),"*","~*"),"?","~?"),Processos!$AS$10:$AS$509,0)),9,INDEX(Processos!$AM$10:$AM$509,MATCH(SUBSTITUTE(SUBSTITUTE(SUBSTITUTE("P:"&amp;A1504,"~","~~"),"*","~*"),"?","~?"),Processos!$AS$10:$AS$509,0)))-9),0)</f>
        <v>0</v>
      </c>
      <c r="K1504" s="34" t="str">
        <f t="shared" si="95"/>
        <v/>
      </c>
      <c r="L1504" s="14">
        <f>ROW()</f>
        <v>1504</v>
      </c>
    </row>
    <row r="1505" spans="1:12" ht="60" customHeight="1">
      <c r="A1505" s="41"/>
      <c r="B1505" s="43"/>
      <c r="C1505" s="44"/>
      <c r="D1505" s="51"/>
      <c r="E1505" s="44"/>
      <c r="F1505" s="44"/>
      <c r="G1505" s="34">
        <f t="shared" si="92"/>
        <v>0</v>
      </c>
      <c r="H1505" s="34" t="str">
        <f t="shared" si="93"/>
        <v/>
      </c>
      <c r="I1505" s="52" t="str">
        <f t="shared" si="94"/>
        <v/>
      </c>
      <c r="J1505" s="34">
        <f>IF(AND(A1505&lt;&gt;"",ISTEXT(A1505),COUNTIFS(Processos!$AS$10:$AS$509,"="&amp;SUBSTITUTE(SUBSTITUTE(SUBSTITUTE("P:"&amp;A1505,"~","~~"),"*","~*"),"?","~?"))=1),(IF(ISNA(MATCH(SUBSTITUTE(SUBSTITUTE(SUBSTITUTE("P:"&amp;A1505,"~","~~"),"*","~*"),"?","~?"),Processos!$AS$10:$AS$509,0)),9,INDEX(Processos!$AM$10:$AM$509,MATCH(SUBSTITUTE(SUBSTITUTE(SUBSTITUTE("P:"&amp;A1505,"~","~~"),"*","~*"),"?","~?"),Processos!$AS$10:$AS$509,0)))-9),0)</f>
        <v>0</v>
      </c>
      <c r="K1505" s="34" t="str">
        <f t="shared" si="95"/>
        <v/>
      </c>
      <c r="L1505" s="14">
        <f>ROW()</f>
        <v>1505</v>
      </c>
    </row>
    <row r="1506" spans="1:12" ht="60" customHeight="1">
      <c r="A1506" s="41"/>
      <c r="B1506" s="43"/>
      <c r="C1506" s="44"/>
      <c r="D1506" s="51"/>
      <c r="E1506" s="44"/>
      <c r="F1506" s="44"/>
      <c r="G1506" s="34">
        <f t="shared" si="92"/>
        <v>0</v>
      </c>
      <c r="H1506" s="34" t="str">
        <f t="shared" si="93"/>
        <v/>
      </c>
      <c r="I1506" s="52" t="str">
        <f t="shared" si="94"/>
        <v/>
      </c>
      <c r="J1506" s="34">
        <f>IF(AND(A1506&lt;&gt;"",ISTEXT(A1506),COUNTIFS(Processos!$AS$10:$AS$509,"="&amp;SUBSTITUTE(SUBSTITUTE(SUBSTITUTE("P:"&amp;A1506,"~","~~"),"*","~*"),"?","~?"))=1),(IF(ISNA(MATCH(SUBSTITUTE(SUBSTITUTE(SUBSTITUTE("P:"&amp;A1506,"~","~~"),"*","~*"),"?","~?"),Processos!$AS$10:$AS$509,0)),9,INDEX(Processos!$AM$10:$AM$509,MATCH(SUBSTITUTE(SUBSTITUTE(SUBSTITUTE("P:"&amp;A1506,"~","~~"),"*","~*"),"?","~?"),Processos!$AS$10:$AS$509,0)))-9),0)</f>
        <v>0</v>
      </c>
      <c r="K1506" s="34" t="str">
        <f t="shared" si="95"/>
        <v/>
      </c>
      <c r="L1506" s="14">
        <f>ROW()</f>
        <v>1506</v>
      </c>
    </row>
    <row r="1507" spans="1:12" ht="60" customHeight="1">
      <c r="A1507" s="41"/>
      <c r="B1507" s="43"/>
      <c r="C1507" s="44"/>
      <c r="D1507" s="51"/>
      <c r="E1507" s="44"/>
      <c r="F1507" s="44"/>
      <c r="G1507" s="34">
        <f t="shared" si="92"/>
        <v>0</v>
      </c>
      <c r="H1507" s="34" t="str">
        <f t="shared" si="93"/>
        <v/>
      </c>
      <c r="I1507" s="52" t="str">
        <f t="shared" si="94"/>
        <v/>
      </c>
      <c r="J1507" s="34">
        <f>IF(AND(A1507&lt;&gt;"",ISTEXT(A1507),COUNTIFS(Processos!$AS$10:$AS$509,"="&amp;SUBSTITUTE(SUBSTITUTE(SUBSTITUTE("P:"&amp;A1507,"~","~~"),"*","~*"),"?","~?"))=1),(IF(ISNA(MATCH(SUBSTITUTE(SUBSTITUTE(SUBSTITUTE("P:"&amp;A1507,"~","~~"),"*","~*"),"?","~?"),Processos!$AS$10:$AS$509,0)),9,INDEX(Processos!$AM$10:$AM$509,MATCH(SUBSTITUTE(SUBSTITUTE(SUBSTITUTE("P:"&amp;A1507,"~","~~"),"*","~*"),"?","~?"),Processos!$AS$10:$AS$509,0)))-9),0)</f>
        <v>0</v>
      </c>
      <c r="K1507" s="34" t="str">
        <f t="shared" si="95"/>
        <v/>
      </c>
      <c r="L1507" s="14">
        <f>ROW()</f>
        <v>1507</v>
      </c>
    </row>
    <row r="1508" spans="1:12" ht="60" customHeight="1">
      <c r="A1508" s="41"/>
      <c r="B1508" s="43"/>
      <c r="C1508" s="44"/>
      <c r="D1508" s="51"/>
      <c r="E1508" s="44"/>
      <c r="F1508" s="44"/>
      <c r="G1508" s="34">
        <f t="shared" si="92"/>
        <v>0</v>
      </c>
      <c r="H1508" s="34" t="str">
        <f t="shared" si="93"/>
        <v/>
      </c>
      <c r="I1508" s="52" t="str">
        <f t="shared" si="94"/>
        <v/>
      </c>
      <c r="J1508" s="34">
        <f>IF(AND(A1508&lt;&gt;"",ISTEXT(A1508),COUNTIFS(Processos!$AS$10:$AS$509,"="&amp;SUBSTITUTE(SUBSTITUTE(SUBSTITUTE("P:"&amp;A1508,"~","~~"),"*","~*"),"?","~?"))=1),(IF(ISNA(MATCH(SUBSTITUTE(SUBSTITUTE(SUBSTITUTE("P:"&amp;A1508,"~","~~"),"*","~*"),"?","~?"),Processos!$AS$10:$AS$509,0)),9,INDEX(Processos!$AM$10:$AM$509,MATCH(SUBSTITUTE(SUBSTITUTE(SUBSTITUTE("P:"&amp;A1508,"~","~~"),"*","~*"),"?","~?"),Processos!$AS$10:$AS$509,0)))-9),0)</f>
        <v>0</v>
      </c>
      <c r="K1508" s="34" t="str">
        <f t="shared" si="95"/>
        <v/>
      </c>
      <c r="L1508" s="14">
        <f>ROW()</f>
        <v>1508</v>
      </c>
    </row>
    <row r="1509" spans="1:12" ht="60" customHeight="1">
      <c r="A1509" s="41"/>
      <c r="B1509" s="43"/>
      <c r="C1509" s="44"/>
      <c r="D1509" s="51"/>
      <c r="E1509" s="44"/>
      <c r="F1509" s="44"/>
      <c r="G1509" s="34">
        <f t="shared" si="92"/>
        <v>0</v>
      </c>
      <c r="H1509" s="34" t="str">
        <f t="shared" si="93"/>
        <v/>
      </c>
      <c r="I1509" s="52" t="str">
        <f t="shared" si="94"/>
        <v/>
      </c>
      <c r="J1509" s="34">
        <f>IF(AND(A1509&lt;&gt;"",ISTEXT(A1509),COUNTIFS(Processos!$AS$10:$AS$509,"="&amp;SUBSTITUTE(SUBSTITUTE(SUBSTITUTE("P:"&amp;A1509,"~","~~"),"*","~*"),"?","~?"))=1),(IF(ISNA(MATCH(SUBSTITUTE(SUBSTITUTE(SUBSTITUTE("P:"&amp;A1509,"~","~~"),"*","~*"),"?","~?"),Processos!$AS$10:$AS$509,0)),9,INDEX(Processos!$AM$10:$AM$509,MATCH(SUBSTITUTE(SUBSTITUTE(SUBSTITUTE("P:"&amp;A1509,"~","~~"),"*","~*"),"?","~?"),Processos!$AS$10:$AS$509,0)))-9),0)</f>
        <v>0</v>
      </c>
      <c r="K1509" s="34" t="str">
        <f t="shared" si="95"/>
        <v/>
      </c>
      <c r="L1509" s="14">
        <f>ROW()</f>
        <v>1509</v>
      </c>
    </row>
    <row r="1510" spans="1:12" ht="60" customHeight="1">
      <c r="A1510" s="41"/>
      <c r="B1510" s="43"/>
      <c r="C1510" s="44"/>
      <c r="D1510" s="51"/>
      <c r="E1510" s="44"/>
      <c r="F1510" s="44"/>
      <c r="G1510" s="34">
        <f t="shared" si="92"/>
        <v>0</v>
      </c>
      <c r="H1510" s="34" t="str">
        <f t="shared" si="93"/>
        <v/>
      </c>
      <c r="I1510" s="52" t="str">
        <f t="shared" si="94"/>
        <v/>
      </c>
      <c r="J1510" s="34">
        <f>IF(AND(A1510&lt;&gt;"",ISTEXT(A1510),COUNTIFS(Processos!$AS$10:$AS$509,"="&amp;SUBSTITUTE(SUBSTITUTE(SUBSTITUTE("P:"&amp;A1510,"~","~~"),"*","~*"),"?","~?"))=1),(IF(ISNA(MATCH(SUBSTITUTE(SUBSTITUTE(SUBSTITUTE("P:"&amp;A1510,"~","~~"),"*","~*"),"?","~?"),Processos!$AS$10:$AS$509,0)),9,INDEX(Processos!$AM$10:$AM$509,MATCH(SUBSTITUTE(SUBSTITUTE(SUBSTITUTE("P:"&amp;A1510,"~","~~"),"*","~*"),"?","~?"),Processos!$AS$10:$AS$509,0)))-9),0)</f>
        <v>0</v>
      </c>
      <c r="K1510" s="34" t="str">
        <f t="shared" si="95"/>
        <v/>
      </c>
      <c r="L1510" s="14">
        <f>ROW()</f>
        <v>1510</v>
      </c>
    </row>
    <row r="1511" spans="1:12" ht="60" customHeight="1">
      <c r="A1511" s="41"/>
      <c r="B1511" s="43"/>
      <c r="C1511" s="44"/>
      <c r="D1511" s="51"/>
      <c r="E1511" s="44"/>
      <c r="F1511" s="44"/>
      <c r="G1511" s="34">
        <f t="shared" si="92"/>
        <v>0</v>
      </c>
      <c r="H1511" s="34" t="str">
        <f t="shared" si="93"/>
        <v/>
      </c>
      <c r="I1511" s="52" t="str">
        <f t="shared" si="94"/>
        <v/>
      </c>
      <c r="J1511" s="34">
        <f>IF(AND(A1511&lt;&gt;"",ISTEXT(A1511),COUNTIFS(Processos!$AS$10:$AS$509,"="&amp;SUBSTITUTE(SUBSTITUTE(SUBSTITUTE("P:"&amp;A1511,"~","~~"),"*","~*"),"?","~?"))=1),(IF(ISNA(MATCH(SUBSTITUTE(SUBSTITUTE(SUBSTITUTE("P:"&amp;A1511,"~","~~"),"*","~*"),"?","~?"),Processos!$AS$10:$AS$509,0)),9,INDEX(Processos!$AM$10:$AM$509,MATCH(SUBSTITUTE(SUBSTITUTE(SUBSTITUTE("P:"&amp;A1511,"~","~~"),"*","~*"),"?","~?"),Processos!$AS$10:$AS$509,0)))-9),0)</f>
        <v>0</v>
      </c>
      <c r="K1511" s="34" t="str">
        <f t="shared" si="95"/>
        <v/>
      </c>
      <c r="L1511" s="14">
        <f>ROW()</f>
        <v>1511</v>
      </c>
    </row>
    <row r="1512" spans="1:12" ht="60" customHeight="1">
      <c r="A1512" s="41"/>
      <c r="B1512" s="43"/>
      <c r="C1512" s="44"/>
      <c r="D1512" s="51"/>
      <c r="E1512" s="44"/>
      <c r="F1512" s="44"/>
      <c r="G1512" s="34">
        <f t="shared" si="92"/>
        <v>0</v>
      </c>
      <c r="H1512" s="34" t="str">
        <f t="shared" si="93"/>
        <v/>
      </c>
      <c r="I1512" s="52" t="str">
        <f t="shared" si="94"/>
        <v/>
      </c>
      <c r="J1512" s="34">
        <f>IF(AND(A1512&lt;&gt;"",ISTEXT(A1512),COUNTIFS(Processos!$AS$10:$AS$509,"="&amp;SUBSTITUTE(SUBSTITUTE(SUBSTITUTE("P:"&amp;A1512,"~","~~"),"*","~*"),"?","~?"))=1),(IF(ISNA(MATCH(SUBSTITUTE(SUBSTITUTE(SUBSTITUTE("P:"&amp;A1512,"~","~~"),"*","~*"),"?","~?"),Processos!$AS$10:$AS$509,0)),9,INDEX(Processos!$AM$10:$AM$509,MATCH(SUBSTITUTE(SUBSTITUTE(SUBSTITUTE("P:"&amp;A1512,"~","~~"),"*","~*"),"?","~?"),Processos!$AS$10:$AS$509,0)))-9),0)</f>
        <v>0</v>
      </c>
      <c r="K1512" s="34" t="str">
        <f t="shared" si="95"/>
        <v/>
      </c>
      <c r="L1512" s="14">
        <f>ROW()</f>
        <v>1512</v>
      </c>
    </row>
    <row r="1513" spans="1:12" ht="60" customHeight="1">
      <c r="A1513" s="41"/>
      <c r="B1513" s="43"/>
      <c r="C1513" s="44"/>
      <c r="D1513" s="51"/>
      <c r="E1513" s="44"/>
      <c r="F1513" s="44"/>
      <c r="G1513" s="34">
        <f t="shared" si="92"/>
        <v>0</v>
      </c>
      <c r="H1513" s="34" t="str">
        <f t="shared" si="93"/>
        <v/>
      </c>
      <c r="I1513" s="52" t="str">
        <f t="shared" si="94"/>
        <v/>
      </c>
      <c r="J1513" s="34">
        <f>IF(AND(A1513&lt;&gt;"",ISTEXT(A1513),COUNTIFS(Processos!$AS$10:$AS$509,"="&amp;SUBSTITUTE(SUBSTITUTE(SUBSTITUTE("P:"&amp;A1513,"~","~~"),"*","~*"),"?","~?"))=1),(IF(ISNA(MATCH(SUBSTITUTE(SUBSTITUTE(SUBSTITUTE("P:"&amp;A1513,"~","~~"),"*","~*"),"?","~?"),Processos!$AS$10:$AS$509,0)),9,INDEX(Processos!$AM$10:$AM$509,MATCH(SUBSTITUTE(SUBSTITUTE(SUBSTITUTE("P:"&amp;A1513,"~","~~"),"*","~*"),"?","~?"),Processos!$AS$10:$AS$509,0)))-9),0)</f>
        <v>0</v>
      </c>
      <c r="K1513" s="34" t="str">
        <f t="shared" si="95"/>
        <v/>
      </c>
      <c r="L1513" s="14">
        <f>ROW()</f>
        <v>1513</v>
      </c>
    </row>
    <row r="1514" spans="1:12" ht="60" customHeight="1">
      <c r="A1514" s="41"/>
      <c r="B1514" s="43"/>
      <c r="C1514" s="44"/>
      <c r="D1514" s="51"/>
      <c r="E1514" s="44"/>
      <c r="F1514" s="44"/>
      <c r="G1514" s="34">
        <f t="shared" si="92"/>
        <v>0</v>
      </c>
      <c r="H1514" s="34" t="str">
        <f t="shared" si="93"/>
        <v/>
      </c>
      <c r="I1514" s="52" t="str">
        <f t="shared" si="94"/>
        <v/>
      </c>
      <c r="J1514" s="34">
        <f>IF(AND(A1514&lt;&gt;"",ISTEXT(A1514),COUNTIFS(Processos!$AS$10:$AS$509,"="&amp;SUBSTITUTE(SUBSTITUTE(SUBSTITUTE("P:"&amp;A1514,"~","~~"),"*","~*"),"?","~?"))=1),(IF(ISNA(MATCH(SUBSTITUTE(SUBSTITUTE(SUBSTITUTE("P:"&amp;A1514,"~","~~"),"*","~*"),"?","~?"),Processos!$AS$10:$AS$509,0)),9,INDEX(Processos!$AM$10:$AM$509,MATCH(SUBSTITUTE(SUBSTITUTE(SUBSTITUTE("P:"&amp;A1514,"~","~~"),"*","~*"),"?","~?"),Processos!$AS$10:$AS$509,0)))-9),0)</f>
        <v>0</v>
      </c>
      <c r="K1514" s="34" t="str">
        <f t="shared" si="95"/>
        <v/>
      </c>
      <c r="L1514" s="14">
        <f>ROW()</f>
        <v>1514</v>
      </c>
    </row>
    <row r="1515" spans="1:12" ht="60" customHeight="1">
      <c r="A1515" s="41"/>
      <c r="B1515" s="43"/>
      <c r="C1515" s="44"/>
      <c r="D1515" s="51"/>
      <c r="E1515" s="44"/>
      <c r="F1515" s="44"/>
      <c r="G1515" s="34">
        <f t="shared" si="92"/>
        <v>0</v>
      </c>
      <c r="H1515" s="34" t="str">
        <f t="shared" si="93"/>
        <v/>
      </c>
      <c r="I1515" s="52" t="str">
        <f t="shared" si="94"/>
        <v/>
      </c>
      <c r="J1515" s="34">
        <f>IF(AND(A1515&lt;&gt;"",ISTEXT(A1515),COUNTIFS(Processos!$AS$10:$AS$509,"="&amp;SUBSTITUTE(SUBSTITUTE(SUBSTITUTE("P:"&amp;A1515,"~","~~"),"*","~*"),"?","~?"))=1),(IF(ISNA(MATCH(SUBSTITUTE(SUBSTITUTE(SUBSTITUTE("P:"&amp;A1515,"~","~~"),"*","~*"),"?","~?"),Processos!$AS$10:$AS$509,0)),9,INDEX(Processos!$AM$10:$AM$509,MATCH(SUBSTITUTE(SUBSTITUTE(SUBSTITUTE("P:"&amp;A1515,"~","~~"),"*","~*"),"?","~?"),Processos!$AS$10:$AS$509,0)))-9),0)</f>
        <v>0</v>
      </c>
      <c r="K1515" s="34" t="str">
        <f t="shared" si="95"/>
        <v/>
      </c>
      <c r="L1515" s="14">
        <f>ROW()</f>
        <v>1515</v>
      </c>
    </row>
    <row r="1516" spans="1:12" ht="60" customHeight="1">
      <c r="A1516" s="41"/>
      <c r="B1516" s="43"/>
      <c r="C1516" s="44"/>
      <c r="D1516" s="51"/>
      <c r="E1516" s="44"/>
      <c r="F1516" s="44"/>
      <c r="G1516" s="34">
        <f t="shared" si="92"/>
        <v>0</v>
      </c>
      <c r="H1516" s="34" t="str">
        <f t="shared" si="93"/>
        <v/>
      </c>
      <c r="I1516" s="52" t="str">
        <f t="shared" si="94"/>
        <v/>
      </c>
      <c r="J1516" s="34">
        <f>IF(AND(A1516&lt;&gt;"",ISTEXT(A1516),COUNTIFS(Processos!$AS$10:$AS$509,"="&amp;SUBSTITUTE(SUBSTITUTE(SUBSTITUTE("P:"&amp;A1516,"~","~~"),"*","~*"),"?","~?"))=1),(IF(ISNA(MATCH(SUBSTITUTE(SUBSTITUTE(SUBSTITUTE("P:"&amp;A1516,"~","~~"),"*","~*"),"?","~?"),Processos!$AS$10:$AS$509,0)),9,INDEX(Processos!$AM$10:$AM$509,MATCH(SUBSTITUTE(SUBSTITUTE(SUBSTITUTE("P:"&amp;A1516,"~","~~"),"*","~*"),"?","~?"),Processos!$AS$10:$AS$509,0)))-9),0)</f>
        <v>0</v>
      </c>
      <c r="K1516" s="34" t="str">
        <f t="shared" si="95"/>
        <v/>
      </c>
      <c r="L1516" s="14">
        <f>ROW()</f>
        <v>1516</v>
      </c>
    </row>
    <row r="1517" spans="1:12" ht="60" customHeight="1">
      <c r="A1517" s="41"/>
      <c r="B1517" s="43"/>
      <c r="C1517" s="44"/>
      <c r="D1517" s="51"/>
      <c r="E1517" s="44"/>
      <c r="F1517" s="44"/>
      <c r="G1517" s="34">
        <f t="shared" si="92"/>
        <v>0</v>
      </c>
      <c r="H1517" s="34" t="str">
        <f t="shared" si="93"/>
        <v/>
      </c>
      <c r="I1517" s="52" t="str">
        <f t="shared" si="94"/>
        <v/>
      </c>
      <c r="J1517" s="34">
        <f>IF(AND(A1517&lt;&gt;"",ISTEXT(A1517),COUNTIFS(Processos!$AS$10:$AS$509,"="&amp;SUBSTITUTE(SUBSTITUTE(SUBSTITUTE("P:"&amp;A1517,"~","~~"),"*","~*"),"?","~?"))=1),(IF(ISNA(MATCH(SUBSTITUTE(SUBSTITUTE(SUBSTITUTE("P:"&amp;A1517,"~","~~"),"*","~*"),"?","~?"),Processos!$AS$10:$AS$509,0)),9,INDEX(Processos!$AM$10:$AM$509,MATCH(SUBSTITUTE(SUBSTITUTE(SUBSTITUTE("P:"&amp;A1517,"~","~~"),"*","~*"),"?","~?"),Processos!$AS$10:$AS$509,0)))-9),0)</f>
        <v>0</v>
      </c>
      <c r="K1517" s="34" t="str">
        <f t="shared" si="95"/>
        <v/>
      </c>
      <c r="L1517" s="14">
        <f>ROW()</f>
        <v>1517</v>
      </c>
    </row>
    <row r="1518" spans="1:12" ht="60" customHeight="1">
      <c r="A1518" s="41"/>
      <c r="B1518" s="43"/>
      <c r="C1518" s="44"/>
      <c r="D1518" s="51"/>
      <c r="E1518" s="44"/>
      <c r="F1518" s="44"/>
      <c r="G1518" s="34">
        <f t="shared" si="92"/>
        <v>0</v>
      </c>
      <c r="H1518" s="34" t="str">
        <f t="shared" si="93"/>
        <v/>
      </c>
      <c r="I1518" s="52" t="str">
        <f t="shared" si="94"/>
        <v/>
      </c>
      <c r="J1518" s="34">
        <f>IF(AND(A1518&lt;&gt;"",ISTEXT(A1518),COUNTIFS(Processos!$AS$10:$AS$509,"="&amp;SUBSTITUTE(SUBSTITUTE(SUBSTITUTE("P:"&amp;A1518,"~","~~"),"*","~*"),"?","~?"))=1),(IF(ISNA(MATCH(SUBSTITUTE(SUBSTITUTE(SUBSTITUTE("P:"&amp;A1518,"~","~~"),"*","~*"),"?","~?"),Processos!$AS$10:$AS$509,0)),9,INDEX(Processos!$AM$10:$AM$509,MATCH(SUBSTITUTE(SUBSTITUTE(SUBSTITUTE("P:"&amp;A1518,"~","~~"),"*","~*"),"?","~?"),Processos!$AS$10:$AS$509,0)))-9),0)</f>
        <v>0</v>
      </c>
      <c r="K1518" s="34" t="str">
        <f t="shared" si="95"/>
        <v/>
      </c>
      <c r="L1518" s="14">
        <f>ROW()</f>
        <v>1518</v>
      </c>
    </row>
    <row r="1519" spans="1:12" ht="60" customHeight="1">
      <c r="A1519" s="41"/>
      <c r="B1519" s="43"/>
      <c r="C1519" s="44"/>
      <c r="D1519" s="51"/>
      <c r="E1519" s="44"/>
      <c r="F1519" s="44"/>
      <c r="G1519" s="34">
        <f t="shared" si="92"/>
        <v>0</v>
      </c>
      <c r="H1519" s="34" t="str">
        <f t="shared" si="93"/>
        <v/>
      </c>
      <c r="I1519" s="52" t="str">
        <f t="shared" si="94"/>
        <v/>
      </c>
      <c r="J1519" s="34">
        <f>IF(AND(A1519&lt;&gt;"",ISTEXT(A1519),COUNTIFS(Processos!$AS$10:$AS$509,"="&amp;SUBSTITUTE(SUBSTITUTE(SUBSTITUTE("P:"&amp;A1519,"~","~~"),"*","~*"),"?","~?"))=1),(IF(ISNA(MATCH(SUBSTITUTE(SUBSTITUTE(SUBSTITUTE("P:"&amp;A1519,"~","~~"),"*","~*"),"?","~?"),Processos!$AS$10:$AS$509,0)),9,INDEX(Processos!$AM$10:$AM$509,MATCH(SUBSTITUTE(SUBSTITUTE(SUBSTITUTE("P:"&amp;A1519,"~","~~"),"*","~*"),"?","~?"),Processos!$AS$10:$AS$509,0)))-9),0)</f>
        <v>0</v>
      </c>
      <c r="K1519" s="34" t="str">
        <f t="shared" si="95"/>
        <v/>
      </c>
      <c r="L1519" s="14">
        <f>ROW()</f>
        <v>1519</v>
      </c>
    </row>
    <row r="1520" spans="1:12" ht="60" customHeight="1">
      <c r="A1520" s="41"/>
      <c r="B1520" s="43"/>
      <c r="C1520" s="44"/>
      <c r="D1520" s="51"/>
      <c r="E1520" s="44"/>
      <c r="F1520" s="44"/>
      <c r="G1520" s="34">
        <f t="shared" si="92"/>
        <v>0</v>
      </c>
      <c r="H1520" s="34" t="str">
        <f t="shared" si="93"/>
        <v/>
      </c>
      <c r="I1520" s="52" t="str">
        <f t="shared" si="94"/>
        <v/>
      </c>
      <c r="J1520" s="34">
        <f>IF(AND(A1520&lt;&gt;"",ISTEXT(A1520),COUNTIFS(Processos!$AS$10:$AS$509,"="&amp;SUBSTITUTE(SUBSTITUTE(SUBSTITUTE("P:"&amp;A1520,"~","~~"),"*","~*"),"?","~?"))=1),(IF(ISNA(MATCH(SUBSTITUTE(SUBSTITUTE(SUBSTITUTE("P:"&amp;A1520,"~","~~"),"*","~*"),"?","~?"),Processos!$AS$10:$AS$509,0)),9,INDEX(Processos!$AM$10:$AM$509,MATCH(SUBSTITUTE(SUBSTITUTE(SUBSTITUTE("P:"&amp;A1520,"~","~~"),"*","~*"),"?","~?"),Processos!$AS$10:$AS$509,0)))-9),0)</f>
        <v>0</v>
      </c>
      <c r="K1520" s="34" t="str">
        <f t="shared" si="95"/>
        <v/>
      </c>
      <c r="L1520" s="14">
        <f>ROW()</f>
        <v>1520</v>
      </c>
    </row>
    <row r="1521" spans="1:12" ht="60" customHeight="1">
      <c r="A1521" s="41"/>
      <c r="B1521" s="43"/>
      <c r="C1521" s="44"/>
      <c r="D1521" s="51"/>
      <c r="E1521" s="44"/>
      <c r="F1521" s="44"/>
      <c r="G1521" s="34">
        <f t="shared" si="92"/>
        <v>0</v>
      </c>
      <c r="H1521" s="34" t="str">
        <f t="shared" si="93"/>
        <v/>
      </c>
      <c r="I1521" s="52" t="str">
        <f t="shared" si="94"/>
        <v/>
      </c>
      <c r="J1521" s="34">
        <f>IF(AND(A1521&lt;&gt;"",ISTEXT(A1521),COUNTIFS(Processos!$AS$10:$AS$509,"="&amp;SUBSTITUTE(SUBSTITUTE(SUBSTITUTE("P:"&amp;A1521,"~","~~"),"*","~*"),"?","~?"))=1),(IF(ISNA(MATCH(SUBSTITUTE(SUBSTITUTE(SUBSTITUTE("P:"&amp;A1521,"~","~~"),"*","~*"),"?","~?"),Processos!$AS$10:$AS$509,0)),9,INDEX(Processos!$AM$10:$AM$509,MATCH(SUBSTITUTE(SUBSTITUTE(SUBSTITUTE("P:"&amp;A1521,"~","~~"),"*","~*"),"?","~?"),Processos!$AS$10:$AS$509,0)))-9),0)</f>
        <v>0</v>
      </c>
      <c r="K1521" s="34" t="str">
        <f t="shared" si="95"/>
        <v/>
      </c>
      <c r="L1521" s="14">
        <f>ROW()</f>
        <v>1521</v>
      </c>
    </row>
    <row r="1522" spans="1:12" ht="60" customHeight="1">
      <c r="A1522" s="41"/>
      <c r="B1522" s="43"/>
      <c r="C1522" s="44"/>
      <c r="D1522" s="51"/>
      <c r="E1522" s="44"/>
      <c r="F1522" s="44"/>
      <c r="G1522" s="34">
        <f t="shared" si="92"/>
        <v>0</v>
      </c>
      <c r="H1522" s="34" t="str">
        <f t="shared" si="93"/>
        <v/>
      </c>
      <c r="I1522" s="52" t="str">
        <f t="shared" si="94"/>
        <v/>
      </c>
      <c r="J1522" s="34">
        <f>IF(AND(A1522&lt;&gt;"",ISTEXT(A1522),COUNTIFS(Processos!$AS$10:$AS$509,"="&amp;SUBSTITUTE(SUBSTITUTE(SUBSTITUTE("P:"&amp;A1522,"~","~~"),"*","~*"),"?","~?"))=1),(IF(ISNA(MATCH(SUBSTITUTE(SUBSTITUTE(SUBSTITUTE("P:"&amp;A1522,"~","~~"),"*","~*"),"?","~?"),Processos!$AS$10:$AS$509,0)),9,INDEX(Processos!$AM$10:$AM$509,MATCH(SUBSTITUTE(SUBSTITUTE(SUBSTITUTE("P:"&amp;A1522,"~","~~"),"*","~*"),"?","~?"),Processos!$AS$10:$AS$509,0)))-9),0)</f>
        <v>0</v>
      </c>
      <c r="K1522" s="34" t="str">
        <f t="shared" si="95"/>
        <v/>
      </c>
      <c r="L1522" s="14">
        <f>ROW()</f>
        <v>1522</v>
      </c>
    </row>
    <row r="1523" spans="1:12" ht="60" customHeight="1">
      <c r="A1523" s="41"/>
      <c r="B1523" s="43"/>
      <c r="C1523" s="44"/>
      <c r="D1523" s="51"/>
      <c r="E1523" s="44"/>
      <c r="F1523" s="44"/>
      <c r="G1523" s="34">
        <f t="shared" si="92"/>
        <v>0</v>
      </c>
      <c r="H1523" s="34" t="str">
        <f t="shared" si="93"/>
        <v/>
      </c>
      <c r="I1523" s="52" t="str">
        <f t="shared" si="94"/>
        <v/>
      </c>
      <c r="J1523" s="34">
        <f>IF(AND(A1523&lt;&gt;"",ISTEXT(A1523),COUNTIFS(Processos!$AS$10:$AS$509,"="&amp;SUBSTITUTE(SUBSTITUTE(SUBSTITUTE("P:"&amp;A1523,"~","~~"),"*","~*"),"?","~?"))=1),(IF(ISNA(MATCH(SUBSTITUTE(SUBSTITUTE(SUBSTITUTE("P:"&amp;A1523,"~","~~"),"*","~*"),"?","~?"),Processos!$AS$10:$AS$509,0)),9,INDEX(Processos!$AM$10:$AM$509,MATCH(SUBSTITUTE(SUBSTITUTE(SUBSTITUTE("P:"&amp;A1523,"~","~~"),"*","~*"),"?","~?"),Processos!$AS$10:$AS$509,0)))-9),0)</f>
        <v>0</v>
      </c>
      <c r="K1523" s="34" t="str">
        <f t="shared" si="95"/>
        <v/>
      </c>
      <c r="L1523" s="14">
        <f>ROW()</f>
        <v>1523</v>
      </c>
    </row>
    <row r="1524" spans="1:12" ht="60" customHeight="1">
      <c r="A1524" s="41"/>
      <c r="B1524" s="43"/>
      <c r="C1524" s="44"/>
      <c r="D1524" s="51"/>
      <c r="E1524" s="44"/>
      <c r="F1524" s="44"/>
      <c r="G1524" s="34">
        <f t="shared" si="92"/>
        <v>0</v>
      </c>
      <c r="H1524" s="34" t="str">
        <f t="shared" si="93"/>
        <v/>
      </c>
      <c r="I1524" s="52" t="str">
        <f t="shared" si="94"/>
        <v/>
      </c>
      <c r="J1524" s="34">
        <f>IF(AND(A1524&lt;&gt;"",ISTEXT(A1524),COUNTIFS(Processos!$AS$10:$AS$509,"="&amp;SUBSTITUTE(SUBSTITUTE(SUBSTITUTE("P:"&amp;A1524,"~","~~"),"*","~*"),"?","~?"))=1),(IF(ISNA(MATCH(SUBSTITUTE(SUBSTITUTE(SUBSTITUTE("P:"&amp;A1524,"~","~~"),"*","~*"),"?","~?"),Processos!$AS$10:$AS$509,0)),9,INDEX(Processos!$AM$10:$AM$509,MATCH(SUBSTITUTE(SUBSTITUTE(SUBSTITUTE("P:"&amp;A1524,"~","~~"),"*","~*"),"?","~?"),Processos!$AS$10:$AS$509,0)))-9),0)</f>
        <v>0</v>
      </c>
      <c r="K1524" s="34" t="str">
        <f t="shared" si="95"/>
        <v/>
      </c>
      <c r="L1524" s="14">
        <f>ROW()</f>
        <v>1524</v>
      </c>
    </row>
    <row r="1525" spans="1:12" ht="60" customHeight="1">
      <c r="A1525" s="41"/>
      <c r="B1525" s="43"/>
      <c r="C1525" s="44"/>
      <c r="D1525" s="51"/>
      <c r="E1525" s="44"/>
      <c r="F1525" s="44"/>
      <c r="G1525" s="34">
        <f t="shared" si="92"/>
        <v>0</v>
      </c>
      <c r="H1525" s="34" t="str">
        <f t="shared" si="93"/>
        <v/>
      </c>
      <c r="I1525" s="52" t="str">
        <f t="shared" si="94"/>
        <v/>
      </c>
      <c r="J1525" s="34">
        <f>IF(AND(A1525&lt;&gt;"",ISTEXT(A1525),COUNTIFS(Processos!$AS$10:$AS$509,"="&amp;SUBSTITUTE(SUBSTITUTE(SUBSTITUTE("P:"&amp;A1525,"~","~~"),"*","~*"),"?","~?"))=1),(IF(ISNA(MATCH(SUBSTITUTE(SUBSTITUTE(SUBSTITUTE("P:"&amp;A1525,"~","~~"),"*","~*"),"?","~?"),Processos!$AS$10:$AS$509,0)),9,INDEX(Processos!$AM$10:$AM$509,MATCH(SUBSTITUTE(SUBSTITUTE(SUBSTITUTE("P:"&amp;A1525,"~","~~"),"*","~*"),"?","~?"),Processos!$AS$10:$AS$509,0)))-9),0)</f>
        <v>0</v>
      </c>
      <c r="K1525" s="34" t="str">
        <f t="shared" si="95"/>
        <v/>
      </c>
      <c r="L1525" s="14">
        <f>ROW()</f>
        <v>1525</v>
      </c>
    </row>
    <row r="1526" spans="1:12" ht="60" customHeight="1">
      <c r="A1526" s="41"/>
      <c r="B1526" s="43"/>
      <c r="C1526" s="44"/>
      <c r="D1526" s="51"/>
      <c r="E1526" s="44"/>
      <c r="F1526" s="44"/>
      <c r="G1526" s="34">
        <f t="shared" si="92"/>
        <v>0</v>
      </c>
      <c r="H1526" s="34" t="str">
        <f t="shared" si="93"/>
        <v/>
      </c>
      <c r="I1526" s="52" t="str">
        <f t="shared" si="94"/>
        <v/>
      </c>
      <c r="J1526" s="34">
        <f>IF(AND(A1526&lt;&gt;"",ISTEXT(A1526),COUNTIFS(Processos!$AS$10:$AS$509,"="&amp;SUBSTITUTE(SUBSTITUTE(SUBSTITUTE("P:"&amp;A1526,"~","~~"),"*","~*"),"?","~?"))=1),(IF(ISNA(MATCH(SUBSTITUTE(SUBSTITUTE(SUBSTITUTE("P:"&amp;A1526,"~","~~"),"*","~*"),"?","~?"),Processos!$AS$10:$AS$509,0)),9,INDEX(Processos!$AM$10:$AM$509,MATCH(SUBSTITUTE(SUBSTITUTE(SUBSTITUTE("P:"&amp;A1526,"~","~~"),"*","~*"),"?","~?"),Processos!$AS$10:$AS$509,0)))-9),0)</f>
        <v>0</v>
      </c>
      <c r="K1526" s="34" t="str">
        <f t="shared" si="95"/>
        <v/>
      </c>
      <c r="L1526" s="14">
        <f>ROW()</f>
        <v>1526</v>
      </c>
    </row>
    <row r="1527" spans="1:12" ht="60" customHeight="1">
      <c r="A1527" s="41"/>
      <c r="B1527" s="43"/>
      <c r="C1527" s="44"/>
      <c r="D1527" s="51"/>
      <c r="E1527" s="44"/>
      <c r="F1527" s="44"/>
      <c r="G1527" s="34">
        <f t="shared" si="92"/>
        <v>0</v>
      </c>
      <c r="H1527" s="34" t="str">
        <f t="shared" si="93"/>
        <v/>
      </c>
      <c r="I1527" s="52" t="str">
        <f t="shared" si="94"/>
        <v/>
      </c>
      <c r="J1527" s="34">
        <f>IF(AND(A1527&lt;&gt;"",ISTEXT(A1527),COUNTIFS(Processos!$AS$10:$AS$509,"="&amp;SUBSTITUTE(SUBSTITUTE(SUBSTITUTE("P:"&amp;A1527,"~","~~"),"*","~*"),"?","~?"))=1),(IF(ISNA(MATCH(SUBSTITUTE(SUBSTITUTE(SUBSTITUTE("P:"&amp;A1527,"~","~~"),"*","~*"),"?","~?"),Processos!$AS$10:$AS$509,0)),9,INDEX(Processos!$AM$10:$AM$509,MATCH(SUBSTITUTE(SUBSTITUTE(SUBSTITUTE("P:"&amp;A1527,"~","~~"),"*","~*"),"?","~?"),Processos!$AS$10:$AS$509,0)))-9),0)</f>
        <v>0</v>
      </c>
      <c r="K1527" s="34" t="str">
        <f t="shared" si="95"/>
        <v/>
      </c>
      <c r="L1527" s="14">
        <f>ROW()</f>
        <v>1527</v>
      </c>
    </row>
    <row r="1528" spans="1:12" ht="60" customHeight="1">
      <c r="A1528" s="41"/>
      <c r="B1528" s="43"/>
      <c r="C1528" s="44"/>
      <c r="D1528" s="51"/>
      <c r="E1528" s="44"/>
      <c r="F1528" s="44"/>
      <c r="G1528" s="34">
        <f t="shared" si="92"/>
        <v>0</v>
      </c>
      <c r="H1528" s="34" t="str">
        <f t="shared" si="93"/>
        <v/>
      </c>
      <c r="I1528" s="52" t="str">
        <f t="shared" si="94"/>
        <v/>
      </c>
      <c r="J1528" s="34">
        <f>IF(AND(A1528&lt;&gt;"",ISTEXT(A1528),COUNTIFS(Processos!$AS$10:$AS$509,"="&amp;SUBSTITUTE(SUBSTITUTE(SUBSTITUTE("P:"&amp;A1528,"~","~~"),"*","~*"),"?","~?"))=1),(IF(ISNA(MATCH(SUBSTITUTE(SUBSTITUTE(SUBSTITUTE("P:"&amp;A1528,"~","~~"),"*","~*"),"?","~?"),Processos!$AS$10:$AS$509,0)),9,INDEX(Processos!$AM$10:$AM$509,MATCH(SUBSTITUTE(SUBSTITUTE(SUBSTITUTE("P:"&amp;A1528,"~","~~"),"*","~*"),"?","~?"),Processos!$AS$10:$AS$509,0)))-9),0)</f>
        <v>0</v>
      </c>
      <c r="K1528" s="34" t="str">
        <f t="shared" si="95"/>
        <v/>
      </c>
      <c r="L1528" s="14">
        <f>ROW()</f>
        <v>1528</v>
      </c>
    </row>
    <row r="1529" spans="1:12" ht="60" customHeight="1">
      <c r="A1529" s="41"/>
      <c r="B1529" s="43"/>
      <c r="C1529" s="44"/>
      <c r="D1529" s="51"/>
      <c r="E1529" s="44"/>
      <c r="F1529" s="44"/>
      <c r="G1529" s="34">
        <f t="shared" si="92"/>
        <v>0</v>
      </c>
      <c r="H1529" s="34" t="str">
        <f t="shared" si="93"/>
        <v/>
      </c>
      <c r="I1529" s="52" t="str">
        <f t="shared" si="94"/>
        <v/>
      </c>
      <c r="J1529" s="34">
        <f>IF(AND(A1529&lt;&gt;"",ISTEXT(A1529),COUNTIFS(Processos!$AS$10:$AS$509,"="&amp;SUBSTITUTE(SUBSTITUTE(SUBSTITUTE("P:"&amp;A1529,"~","~~"),"*","~*"),"?","~?"))=1),(IF(ISNA(MATCH(SUBSTITUTE(SUBSTITUTE(SUBSTITUTE("P:"&amp;A1529,"~","~~"),"*","~*"),"?","~?"),Processos!$AS$10:$AS$509,0)),9,INDEX(Processos!$AM$10:$AM$509,MATCH(SUBSTITUTE(SUBSTITUTE(SUBSTITUTE("P:"&amp;A1529,"~","~~"),"*","~*"),"?","~?"),Processos!$AS$10:$AS$509,0)))-9),0)</f>
        <v>0</v>
      </c>
      <c r="K1529" s="34" t="str">
        <f t="shared" si="95"/>
        <v/>
      </c>
      <c r="L1529" s="14">
        <f>ROW()</f>
        <v>1529</v>
      </c>
    </row>
    <row r="1530" spans="1:12" ht="60" customHeight="1">
      <c r="A1530" s="41"/>
      <c r="B1530" s="43"/>
      <c r="C1530" s="44"/>
      <c r="D1530" s="51"/>
      <c r="E1530" s="44"/>
      <c r="F1530" s="44"/>
      <c r="G1530" s="34">
        <f t="shared" si="92"/>
        <v>0</v>
      </c>
      <c r="H1530" s="34" t="str">
        <f t="shared" si="93"/>
        <v/>
      </c>
      <c r="I1530" s="52" t="str">
        <f t="shared" si="94"/>
        <v/>
      </c>
      <c r="J1530" s="34">
        <f>IF(AND(A1530&lt;&gt;"",ISTEXT(A1530),COUNTIFS(Processos!$AS$10:$AS$509,"="&amp;SUBSTITUTE(SUBSTITUTE(SUBSTITUTE("P:"&amp;A1530,"~","~~"),"*","~*"),"?","~?"))=1),(IF(ISNA(MATCH(SUBSTITUTE(SUBSTITUTE(SUBSTITUTE("P:"&amp;A1530,"~","~~"),"*","~*"),"?","~?"),Processos!$AS$10:$AS$509,0)),9,INDEX(Processos!$AM$10:$AM$509,MATCH(SUBSTITUTE(SUBSTITUTE(SUBSTITUTE("P:"&amp;A1530,"~","~~"),"*","~*"),"?","~?"),Processos!$AS$10:$AS$509,0)))-9),0)</f>
        <v>0</v>
      </c>
      <c r="K1530" s="34" t="str">
        <f t="shared" si="95"/>
        <v/>
      </c>
      <c r="L1530" s="14">
        <f>ROW()</f>
        <v>1530</v>
      </c>
    </row>
    <row r="1531" spans="1:12" ht="60" customHeight="1">
      <c r="A1531" s="41"/>
      <c r="B1531" s="43"/>
      <c r="C1531" s="44"/>
      <c r="D1531" s="51"/>
      <c r="E1531" s="44"/>
      <c r="F1531" s="44"/>
      <c r="G1531" s="34">
        <f t="shared" si="92"/>
        <v>0</v>
      </c>
      <c r="H1531" s="34" t="str">
        <f t="shared" si="93"/>
        <v/>
      </c>
      <c r="I1531" s="52" t="str">
        <f t="shared" si="94"/>
        <v/>
      </c>
      <c r="J1531" s="34">
        <f>IF(AND(A1531&lt;&gt;"",ISTEXT(A1531),COUNTIFS(Processos!$AS$10:$AS$509,"="&amp;SUBSTITUTE(SUBSTITUTE(SUBSTITUTE("P:"&amp;A1531,"~","~~"),"*","~*"),"?","~?"))=1),(IF(ISNA(MATCH(SUBSTITUTE(SUBSTITUTE(SUBSTITUTE("P:"&amp;A1531,"~","~~"),"*","~*"),"?","~?"),Processos!$AS$10:$AS$509,0)),9,INDEX(Processos!$AM$10:$AM$509,MATCH(SUBSTITUTE(SUBSTITUTE(SUBSTITUTE("P:"&amp;A1531,"~","~~"),"*","~*"),"?","~?"),Processos!$AS$10:$AS$509,0)))-9),0)</f>
        <v>0</v>
      </c>
      <c r="K1531" s="34" t="str">
        <f t="shared" si="95"/>
        <v/>
      </c>
      <c r="L1531" s="14">
        <f>ROW()</f>
        <v>1531</v>
      </c>
    </row>
    <row r="1532" spans="1:12" ht="60" customHeight="1">
      <c r="A1532" s="41"/>
      <c r="B1532" s="43"/>
      <c r="C1532" s="44"/>
      <c r="D1532" s="51"/>
      <c r="E1532" s="44"/>
      <c r="F1532" s="44"/>
      <c r="G1532" s="34">
        <f t="shared" si="92"/>
        <v>0</v>
      </c>
      <c r="H1532" s="34" t="str">
        <f t="shared" si="93"/>
        <v/>
      </c>
      <c r="I1532" s="52" t="str">
        <f t="shared" si="94"/>
        <v/>
      </c>
      <c r="J1532" s="34">
        <f>IF(AND(A1532&lt;&gt;"",ISTEXT(A1532),COUNTIFS(Processos!$AS$10:$AS$509,"="&amp;SUBSTITUTE(SUBSTITUTE(SUBSTITUTE("P:"&amp;A1532,"~","~~"),"*","~*"),"?","~?"))=1),(IF(ISNA(MATCH(SUBSTITUTE(SUBSTITUTE(SUBSTITUTE("P:"&amp;A1532,"~","~~"),"*","~*"),"?","~?"),Processos!$AS$10:$AS$509,0)),9,INDEX(Processos!$AM$10:$AM$509,MATCH(SUBSTITUTE(SUBSTITUTE(SUBSTITUTE("P:"&amp;A1532,"~","~~"),"*","~*"),"?","~?"),Processos!$AS$10:$AS$509,0)))-9),0)</f>
        <v>0</v>
      </c>
      <c r="K1532" s="34" t="str">
        <f t="shared" si="95"/>
        <v/>
      </c>
      <c r="L1532" s="14">
        <f>ROW()</f>
        <v>1532</v>
      </c>
    </row>
    <row r="1533" spans="1:12" ht="60" customHeight="1">
      <c r="A1533" s="41"/>
      <c r="B1533" s="43"/>
      <c r="C1533" s="44"/>
      <c r="D1533" s="51"/>
      <c r="E1533" s="44"/>
      <c r="F1533" s="44"/>
      <c r="G1533" s="34">
        <f t="shared" si="92"/>
        <v>0</v>
      </c>
      <c r="H1533" s="34" t="str">
        <f t="shared" si="93"/>
        <v/>
      </c>
      <c r="I1533" s="52" t="str">
        <f t="shared" si="94"/>
        <v/>
      </c>
      <c r="J1533" s="34">
        <f>IF(AND(A1533&lt;&gt;"",ISTEXT(A1533),COUNTIFS(Processos!$AS$10:$AS$509,"="&amp;SUBSTITUTE(SUBSTITUTE(SUBSTITUTE("P:"&amp;A1533,"~","~~"),"*","~*"),"?","~?"))=1),(IF(ISNA(MATCH(SUBSTITUTE(SUBSTITUTE(SUBSTITUTE("P:"&amp;A1533,"~","~~"),"*","~*"),"?","~?"),Processos!$AS$10:$AS$509,0)),9,INDEX(Processos!$AM$10:$AM$509,MATCH(SUBSTITUTE(SUBSTITUTE(SUBSTITUTE("P:"&amp;A1533,"~","~~"),"*","~*"),"?","~?"),Processos!$AS$10:$AS$509,0)))-9),0)</f>
        <v>0</v>
      </c>
      <c r="K1533" s="34" t="str">
        <f t="shared" si="95"/>
        <v/>
      </c>
      <c r="L1533" s="14">
        <f>ROW()</f>
        <v>1533</v>
      </c>
    </row>
    <row r="1534" spans="1:12" ht="60" customHeight="1">
      <c r="A1534" s="41"/>
      <c r="B1534" s="43"/>
      <c r="C1534" s="44"/>
      <c r="D1534" s="51"/>
      <c r="E1534" s="44"/>
      <c r="F1534" s="44"/>
      <c r="G1534" s="34">
        <f t="shared" si="92"/>
        <v>0</v>
      </c>
      <c r="H1534" s="34" t="str">
        <f t="shared" si="93"/>
        <v/>
      </c>
      <c r="I1534" s="52" t="str">
        <f t="shared" si="94"/>
        <v/>
      </c>
      <c r="J1534" s="34">
        <f>IF(AND(A1534&lt;&gt;"",ISTEXT(A1534),COUNTIFS(Processos!$AS$10:$AS$509,"="&amp;SUBSTITUTE(SUBSTITUTE(SUBSTITUTE("P:"&amp;A1534,"~","~~"),"*","~*"),"?","~?"))=1),(IF(ISNA(MATCH(SUBSTITUTE(SUBSTITUTE(SUBSTITUTE("P:"&amp;A1534,"~","~~"),"*","~*"),"?","~?"),Processos!$AS$10:$AS$509,0)),9,INDEX(Processos!$AM$10:$AM$509,MATCH(SUBSTITUTE(SUBSTITUTE(SUBSTITUTE("P:"&amp;A1534,"~","~~"),"*","~*"),"?","~?"),Processos!$AS$10:$AS$509,0)))-9),0)</f>
        <v>0</v>
      </c>
      <c r="K1534" s="34" t="str">
        <f t="shared" si="95"/>
        <v/>
      </c>
      <c r="L1534" s="14">
        <f>ROW()</f>
        <v>1534</v>
      </c>
    </row>
    <row r="1535" spans="1:12" ht="60" customHeight="1">
      <c r="A1535" s="41"/>
      <c r="B1535" s="43"/>
      <c r="C1535" s="44"/>
      <c r="D1535" s="51"/>
      <c r="E1535" s="44"/>
      <c r="F1535" s="44"/>
      <c r="G1535" s="34">
        <f t="shared" si="92"/>
        <v>0</v>
      </c>
      <c r="H1535" s="34" t="str">
        <f t="shared" si="93"/>
        <v/>
      </c>
      <c r="I1535" s="52" t="str">
        <f t="shared" si="94"/>
        <v/>
      </c>
      <c r="J1535" s="34">
        <f>IF(AND(A1535&lt;&gt;"",ISTEXT(A1535),COUNTIFS(Processos!$AS$10:$AS$509,"="&amp;SUBSTITUTE(SUBSTITUTE(SUBSTITUTE("P:"&amp;A1535,"~","~~"),"*","~*"),"?","~?"))=1),(IF(ISNA(MATCH(SUBSTITUTE(SUBSTITUTE(SUBSTITUTE("P:"&amp;A1535,"~","~~"),"*","~*"),"?","~?"),Processos!$AS$10:$AS$509,0)),9,INDEX(Processos!$AM$10:$AM$509,MATCH(SUBSTITUTE(SUBSTITUTE(SUBSTITUTE("P:"&amp;A1535,"~","~~"),"*","~*"),"?","~?"),Processos!$AS$10:$AS$509,0)))-9),0)</f>
        <v>0</v>
      </c>
      <c r="K1535" s="34" t="str">
        <f t="shared" si="95"/>
        <v/>
      </c>
      <c r="L1535" s="14">
        <f>ROW()</f>
        <v>1535</v>
      </c>
    </row>
    <row r="1536" spans="1:12" ht="60" customHeight="1">
      <c r="A1536" s="41"/>
      <c r="B1536" s="43"/>
      <c r="C1536" s="44"/>
      <c r="D1536" s="51"/>
      <c r="E1536" s="44"/>
      <c r="F1536" s="44"/>
      <c r="G1536" s="34">
        <f t="shared" si="92"/>
        <v>0</v>
      </c>
      <c r="H1536" s="34" t="str">
        <f t="shared" si="93"/>
        <v/>
      </c>
      <c r="I1536" s="52" t="str">
        <f t="shared" si="94"/>
        <v/>
      </c>
      <c r="J1536" s="34">
        <f>IF(AND(A1536&lt;&gt;"",ISTEXT(A1536),COUNTIFS(Processos!$AS$10:$AS$509,"="&amp;SUBSTITUTE(SUBSTITUTE(SUBSTITUTE("P:"&amp;A1536,"~","~~"),"*","~*"),"?","~?"))=1),(IF(ISNA(MATCH(SUBSTITUTE(SUBSTITUTE(SUBSTITUTE("P:"&amp;A1536,"~","~~"),"*","~*"),"?","~?"),Processos!$AS$10:$AS$509,0)),9,INDEX(Processos!$AM$10:$AM$509,MATCH(SUBSTITUTE(SUBSTITUTE(SUBSTITUTE("P:"&amp;A1536,"~","~~"),"*","~*"),"?","~?"),Processos!$AS$10:$AS$509,0)))-9),0)</f>
        <v>0</v>
      </c>
      <c r="K1536" s="34" t="str">
        <f t="shared" si="95"/>
        <v/>
      </c>
      <c r="L1536" s="14">
        <f>ROW()</f>
        <v>1536</v>
      </c>
    </row>
    <row r="1537" spans="1:12" ht="60" customHeight="1">
      <c r="A1537" s="41"/>
      <c r="B1537" s="43"/>
      <c r="C1537" s="44"/>
      <c r="D1537" s="51"/>
      <c r="E1537" s="44"/>
      <c r="F1537" s="44"/>
      <c r="G1537" s="34">
        <f t="shared" si="92"/>
        <v>0</v>
      </c>
      <c r="H1537" s="34" t="str">
        <f t="shared" si="93"/>
        <v/>
      </c>
      <c r="I1537" s="52" t="str">
        <f t="shared" si="94"/>
        <v/>
      </c>
      <c r="J1537" s="34">
        <f>IF(AND(A1537&lt;&gt;"",ISTEXT(A1537),COUNTIFS(Processos!$AS$10:$AS$509,"="&amp;SUBSTITUTE(SUBSTITUTE(SUBSTITUTE("P:"&amp;A1537,"~","~~"),"*","~*"),"?","~?"))=1),(IF(ISNA(MATCH(SUBSTITUTE(SUBSTITUTE(SUBSTITUTE("P:"&amp;A1537,"~","~~"),"*","~*"),"?","~?"),Processos!$AS$10:$AS$509,0)),9,INDEX(Processos!$AM$10:$AM$509,MATCH(SUBSTITUTE(SUBSTITUTE(SUBSTITUTE("P:"&amp;A1537,"~","~~"),"*","~*"),"?","~?"),Processos!$AS$10:$AS$509,0)))-9),0)</f>
        <v>0</v>
      </c>
      <c r="K1537" s="34" t="str">
        <f t="shared" si="95"/>
        <v/>
      </c>
      <c r="L1537" s="14">
        <f>ROW()</f>
        <v>1537</v>
      </c>
    </row>
    <row r="1538" spans="1:12" ht="60" customHeight="1">
      <c r="A1538" s="41"/>
      <c r="B1538" s="43"/>
      <c r="C1538" s="44"/>
      <c r="D1538" s="51"/>
      <c r="E1538" s="44"/>
      <c r="F1538" s="44"/>
      <c r="G1538" s="34">
        <f t="shared" si="92"/>
        <v>0</v>
      </c>
      <c r="H1538" s="34" t="str">
        <f t="shared" si="93"/>
        <v/>
      </c>
      <c r="I1538" s="52" t="str">
        <f t="shared" si="94"/>
        <v/>
      </c>
      <c r="J1538" s="34">
        <f>IF(AND(A1538&lt;&gt;"",ISTEXT(A1538),COUNTIFS(Processos!$AS$10:$AS$509,"="&amp;SUBSTITUTE(SUBSTITUTE(SUBSTITUTE("P:"&amp;A1538,"~","~~"),"*","~*"),"?","~?"))=1),(IF(ISNA(MATCH(SUBSTITUTE(SUBSTITUTE(SUBSTITUTE("P:"&amp;A1538,"~","~~"),"*","~*"),"?","~?"),Processos!$AS$10:$AS$509,0)),9,INDEX(Processos!$AM$10:$AM$509,MATCH(SUBSTITUTE(SUBSTITUTE(SUBSTITUTE("P:"&amp;A1538,"~","~~"),"*","~*"),"?","~?"),Processos!$AS$10:$AS$509,0)))-9),0)</f>
        <v>0</v>
      </c>
      <c r="K1538" s="34" t="str">
        <f t="shared" si="95"/>
        <v/>
      </c>
      <c r="L1538" s="14">
        <f>ROW()</f>
        <v>1538</v>
      </c>
    </row>
    <row r="1539" spans="1:12" ht="60" customHeight="1">
      <c r="A1539" s="41"/>
      <c r="B1539" s="43"/>
      <c r="C1539" s="44"/>
      <c r="D1539" s="51"/>
      <c r="E1539" s="44"/>
      <c r="F1539" s="44"/>
      <c r="G1539" s="34">
        <f t="shared" si="92"/>
        <v>0</v>
      </c>
      <c r="H1539" s="34" t="str">
        <f t="shared" si="93"/>
        <v/>
      </c>
      <c r="I1539" s="52" t="str">
        <f t="shared" si="94"/>
        <v/>
      </c>
      <c r="J1539" s="34">
        <f>IF(AND(A1539&lt;&gt;"",ISTEXT(A1539),COUNTIFS(Processos!$AS$10:$AS$509,"="&amp;SUBSTITUTE(SUBSTITUTE(SUBSTITUTE("P:"&amp;A1539,"~","~~"),"*","~*"),"?","~?"))=1),(IF(ISNA(MATCH(SUBSTITUTE(SUBSTITUTE(SUBSTITUTE("P:"&amp;A1539,"~","~~"),"*","~*"),"?","~?"),Processos!$AS$10:$AS$509,0)),9,INDEX(Processos!$AM$10:$AM$509,MATCH(SUBSTITUTE(SUBSTITUTE(SUBSTITUTE("P:"&amp;A1539,"~","~~"),"*","~*"),"?","~?"),Processos!$AS$10:$AS$509,0)))-9),0)</f>
        <v>0</v>
      </c>
      <c r="K1539" s="34" t="str">
        <f t="shared" si="95"/>
        <v/>
      </c>
      <c r="L1539" s="14">
        <f>ROW()</f>
        <v>1539</v>
      </c>
    </row>
    <row r="1540" spans="1:12" ht="60" customHeight="1">
      <c r="A1540" s="41"/>
      <c r="B1540" s="43"/>
      <c r="C1540" s="44"/>
      <c r="D1540" s="51"/>
      <c r="E1540" s="44"/>
      <c r="F1540" s="44"/>
      <c r="G1540" s="34">
        <f t="shared" si="92"/>
        <v>0</v>
      </c>
      <c r="H1540" s="34" t="str">
        <f t="shared" si="93"/>
        <v/>
      </c>
      <c r="I1540" s="52" t="str">
        <f t="shared" si="94"/>
        <v/>
      </c>
      <c r="J1540" s="34">
        <f>IF(AND(A1540&lt;&gt;"",ISTEXT(A1540),COUNTIFS(Processos!$AS$10:$AS$509,"="&amp;SUBSTITUTE(SUBSTITUTE(SUBSTITUTE("P:"&amp;A1540,"~","~~"),"*","~*"),"?","~?"))=1),(IF(ISNA(MATCH(SUBSTITUTE(SUBSTITUTE(SUBSTITUTE("P:"&amp;A1540,"~","~~"),"*","~*"),"?","~?"),Processos!$AS$10:$AS$509,0)),9,INDEX(Processos!$AM$10:$AM$509,MATCH(SUBSTITUTE(SUBSTITUTE(SUBSTITUTE("P:"&amp;A1540,"~","~~"),"*","~*"),"?","~?"),Processos!$AS$10:$AS$509,0)))-9),0)</f>
        <v>0</v>
      </c>
      <c r="K1540" s="34" t="str">
        <f t="shared" si="95"/>
        <v/>
      </c>
      <c r="L1540" s="14">
        <f>ROW()</f>
        <v>1540</v>
      </c>
    </row>
    <row r="1541" spans="1:12" ht="60" customHeight="1">
      <c r="A1541" s="41"/>
      <c r="B1541" s="43"/>
      <c r="C1541" s="44"/>
      <c r="D1541" s="51"/>
      <c r="E1541" s="44"/>
      <c r="F1541" s="44"/>
      <c r="G1541" s="34">
        <f t="shared" si="92"/>
        <v>0</v>
      </c>
      <c r="H1541" s="34" t="str">
        <f t="shared" si="93"/>
        <v/>
      </c>
      <c r="I1541" s="52" t="str">
        <f t="shared" si="94"/>
        <v/>
      </c>
      <c r="J1541" s="34">
        <f>IF(AND(A1541&lt;&gt;"",ISTEXT(A1541),COUNTIFS(Processos!$AS$10:$AS$509,"="&amp;SUBSTITUTE(SUBSTITUTE(SUBSTITUTE("P:"&amp;A1541,"~","~~"),"*","~*"),"?","~?"))=1),(IF(ISNA(MATCH(SUBSTITUTE(SUBSTITUTE(SUBSTITUTE("P:"&amp;A1541,"~","~~"),"*","~*"),"?","~?"),Processos!$AS$10:$AS$509,0)),9,INDEX(Processos!$AM$10:$AM$509,MATCH(SUBSTITUTE(SUBSTITUTE(SUBSTITUTE("P:"&amp;A1541,"~","~~"),"*","~*"),"?","~?"),Processos!$AS$10:$AS$509,0)))-9),0)</f>
        <v>0</v>
      </c>
      <c r="K1541" s="34" t="str">
        <f t="shared" si="95"/>
        <v/>
      </c>
      <c r="L1541" s="14">
        <f>ROW()</f>
        <v>1541</v>
      </c>
    </row>
    <row r="1542" spans="1:12" ht="60" customHeight="1">
      <c r="A1542" s="41"/>
      <c r="B1542" s="43"/>
      <c r="C1542" s="44"/>
      <c r="D1542" s="51"/>
      <c r="E1542" s="44"/>
      <c r="F1542" s="44"/>
      <c r="G1542" s="34">
        <f t="shared" si="92"/>
        <v>0</v>
      </c>
      <c r="H1542" s="34" t="str">
        <f t="shared" si="93"/>
        <v/>
      </c>
      <c r="I1542" s="52" t="str">
        <f t="shared" si="94"/>
        <v/>
      </c>
      <c r="J1542" s="34">
        <f>IF(AND(A1542&lt;&gt;"",ISTEXT(A1542),COUNTIFS(Processos!$AS$10:$AS$509,"="&amp;SUBSTITUTE(SUBSTITUTE(SUBSTITUTE("P:"&amp;A1542,"~","~~"),"*","~*"),"?","~?"))=1),(IF(ISNA(MATCH(SUBSTITUTE(SUBSTITUTE(SUBSTITUTE("P:"&amp;A1542,"~","~~"),"*","~*"),"?","~?"),Processos!$AS$10:$AS$509,0)),9,INDEX(Processos!$AM$10:$AM$509,MATCH(SUBSTITUTE(SUBSTITUTE(SUBSTITUTE("P:"&amp;A1542,"~","~~"),"*","~*"),"?","~?"),Processos!$AS$10:$AS$509,0)))-9),0)</f>
        <v>0</v>
      </c>
      <c r="K1542" s="34" t="str">
        <f t="shared" si="95"/>
        <v/>
      </c>
      <c r="L1542" s="14">
        <f>ROW()</f>
        <v>1542</v>
      </c>
    </row>
    <row r="1543" spans="1:12" ht="60" customHeight="1">
      <c r="A1543" s="41"/>
      <c r="B1543" s="43"/>
      <c r="C1543" s="44"/>
      <c r="D1543" s="51"/>
      <c r="E1543" s="44"/>
      <c r="F1543" s="44"/>
      <c r="G1543" s="34">
        <f t="shared" si="92"/>
        <v>0</v>
      </c>
      <c r="H1543" s="34" t="str">
        <f t="shared" si="93"/>
        <v/>
      </c>
      <c r="I1543" s="52" t="str">
        <f t="shared" si="94"/>
        <v/>
      </c>
      <c r="J1543" s="34">
        <f>IF(AND(A1543&lt;&gt;"",ISTEXT(A1543),COUNTIFS(Processos!$AS$10:$AS$509,"="&amp;SUBSTITUTE(SUBSTITUTE(SUBSTITUTE("P:"&amp;A1543,"~","~~"),"*","~*"),"?","~?"))=1),(IF(ISNA(MATCH(SUBSTITUTE(SUBSTITUTE(SUBSTITUTE("P:"&amp;A1543,"~","~~"),"*","~*"),"?","~?"),Processos!$AS$10:$AS$509,0)),9,INDEX(Processos!$AM$10:$AM$509,MATCH(SUBSTITUTE(SUBSTITUTE(SUBSTITUTE("P:"&amp;A1543,"~","~~"),"*","~*"),"?","~?"),Processos!$AS$10:$AS$509,0)))-9),0)</f>
        <v>0</v>
      </c>
      <c r="K1543" s="34" t="str">
        <f t="shared" si="95"/>
        <v/>
      </c>
      <c r="L1543" s="14">
        <f>ROW()</f>
        <v>1543</v>
      </c>
    </row>
    <row r="1544" spans="1:12" ht="60" customHeight="1">
      <c r="A1544" s="41"/>
      <c r="B1544" s="43"/>
      <c r="C1544" s="44"/>
      <c r="D1544" s="51"/>
      <c r="E1544" s="44"/>
      <c r="F1544" s="44"/>
      <c r="G1544" s="34">
        <f t="shared" si="92"/>
        <v>0</v>
      </c>
      <c r="H1544" s="34" t="str">
        <f t="shared" si="93"/>
        <v/>
      </c>
      <c r="I1544" s="52" t="str">
        <f t="shared" si="94"/>
        <v/>
      </c>
      <c r="J1544" s="34">
        <f>IF(AND(A1544&lt;&gt;"",ISTEXT(A1544),COUNTIFS(Processos!$AS$10:$AS$509,"="&amp;SUBSTITUTE(SUBSTITUTE(SUBSTITUTE("P:"&amp;A1544,"~","~~"),"*","~*"),"?","~?"))=1),(IF(ISNA(MATCH(SUBSTITUTE(SUBSTITUTE(SUBSTITUTE("P:"&amp;A1544,"~","~~"),"*","~*"),"?","~?"),Processos!$AS$10:$AS$509,0)),9,INDEX(Processos!$AM$10:$AM$509,MATCH(SUBSTITUTE(SUBSTITUTE(SUBSTITUTE("P:"&amp;A1544,"~","~~"),"*","~*"),"?","~?"),Processos!$AS$10:$AS$509,0)))-9),0)</f>
        <v>0</v>
      </c>
      <c r="K1544" s="34" t="str">
        <f t="shared" si="95"/>
        <v/>
      </c>
      <c r="L1544" s="14">
        <f>ROW()</f>
        <v>1544</v>
      </c>
    </row>
    <row r="1545" spans="1:12" ht="60" customHeight="1">
      <c r="A1545" s="41"/>
      <c r="B1545" s="43"/>
      <c r="C1545" s="44"/>
      <c r="D1545" s="51"/>
      <c r="E1545" s="44"/>
      <c r="F1545" s="44"/>
      <c r="G1545" s="34">
        <f t="shared" si="92"/>
        <v>0</v>
      </c>
      <c r="H1545" s="34" t="str">
        <f t="shared" si="93"/>
        <v/>
      </c>
      <c r="I1545" s="52" t="str">
        <f t="shared" si="94"/>
        <v/>
      </c>
      <c r="J1545" s="34">
        <f>IF(AND(A1545&lt;&gt;"",ISTEXT(A1545),COUNTIFS(Processos!$AS$10:$AS$509,"="&amp;SUBSTITUTE(SUBSTITUTE(SUBSTITUTE("P:"&amp;A1545,"~","~~"),"*","~*"),"?","~?"))=1),(IF(ISNA(MATCH(SUBSTITUTE(SUBSTITUTE(SUBSTITUTE("P:"&amp;A1545,"~","~~"),"*","~*"),"?","~?"),Processos!$AS$10:$AS$509,0)),9,INDEX(Processos!$AM$10:$AM$509,MATCH(SUBSTITUTE(SUBSTITUTE(SUBSTITUTE("P:"&amp;A1545,"~","~~"),"*","~*"),"?","~?"),Processos!$AS$10:$AS$509,0)))-9),0)</f>
        <v>0</v>
      </c>
      <c r="K1545" s="34" t="str">
        <f t="shared" si="95"/>
        <v/>
      </c>
      <c r="L1545" s="14">
        <f>ROW()</f>
        <v>1545</v>
      </c>
    </row>
    <row r="1546" spans="1:12" ht="60" customHeight="1">
      <c r="A1546" s="41"/>
      <c r="B1546" s="43"/>
      <c r="C1546" s="44"/>
      <c r="D1546" s="51"/>
      <c r="E1546" s="44"/>
      <c r="F1546" s="44"/>
      <c r="G1546" s="34">
        <f t="shared" ref="G1546:G1609" si="96">IF(AND(J1546&gt;0,OR(B1546="",AND(ISNUMBER(B1546),B1546&gt;=1,B1546&lt;=100000)),ISNUMBER(D1546),D1546&gt;=1,D1546&lt;=100000,C1546&lt;&gt;""),1,0)</f>
        <v>0</v>
      </c>
      <c r="H1546" s="34" t="str">
        <f t="shared" ref="H1546:H1609" si="97">IF(G1546=1,K1546&amp;"|"&amp;D1546,"")</f>
        <v/>
      </c>
      <c r="I1546" s="52" t="str">
        <f t="shared" ref="I1546:I1609" si="98">IF(COUNTA(A1546:F1546)=0,"",IF(A1546="","Selecione o processo",IF(J1546=0,"Processo inexistente, duplicado ou número não textual",IF(B1546="","Informe a data do andamento",IF(C1546="","Descreva o andamento",IF(D1546="","Informe a data e hora do recebimento",IF(OR(NOT(ISNUMBER(B1546)),B1546&lt;1,B1546&gt;100000),"Revise a data do andamento",IF(OR(NOT(ISNUMBER(D1546)),D1546&lt;1,D1546&gt;100000),"Revise a data e hora do recebimento",IF(COUNTIFS($K$10:$K$2009,"="&amp;SUBSTITUTE(SUBSTITUTE(SUBSTITUTE("P:"&amp;A1546,"~","~~"),"*","~*"),"?","~?"),$D$10:$D$2009,D1546,$G$10:$G$2009,1)&gt;1,"Recebimentos empatados: revise a hora ou consolide o registro","")))))))))</f>
        <v/>
      </c>
      <c r="J1546" s="34">
        <f>IF(AND(A1546&lt;&gt;"",ISTEXT(A1546),COUNTIFS(Processos!$AS$10:$AS$509,"="&amp;SUBSTITUTE(SUBSTITUTE(SUBSTITUTE("P:"&amp;A1546,"~","~~"),"*","~*"),"?","~?"))=1),(IF(ISNA(MATCH(SUBSTITUTE(SUBSTITUTE(SUBSTITUTE("P:"&amp;A1546,"~","~~"),"*","~*"),"?","~?"),Processos!$AS$10:$AS$509,0)),9,INDEX(Processos!$AM$10:$AM$509,MATCH(SUBSTITUTE(SUBSTITUTE(SUBSTITUTE("P:"&amp;A1546,"~","~~"),"*","~*"),"?","~?"),Processos!$AS$10:$AS$509,0)))-9),0)</f>
        <v>0</v>
      </c>
      <c r="K1546" s="34" t="str">
        <f t="shared" ref="K1546:K1609" si="99">IF(AND(A1546&lt;&gt;"",ISTEXT(A1546)),"P:"&amp;A1546,"")</f>
        <v/>
      </c>
      <c r="L1546" s="14">
        <f>ROW()</f>
        <v>1546</v>
      </c>
    </row>
    <row r="1547" spans="1:12" ht="60" customHeight="1">
      <c r="A1547" s="41"/>
      <c r="B1547" s="43"/>
      <c r="C1547" s="44"/>
      <c r="D1547" s="51"/>
      <c r="E1547" s="44"/>
      <c r="F1547" s="44"/>
      <c r="G1547" s="34">
        <f t="shared" si="96"/>
        <v>0</v>
      </c>
      <c r="H1547" s="34" t="str">
        <f t="shared" si="97"/>
        <v/>
      </c>
      <c r="I1547" s="52" t="str">
        <f t="shared" si="98"/>
        <v/>
      </c>
      <c r="J1547" s="34">
        <f>IF(AND(A1547&lt;&gt;"",ISTEXT(A1547),COUNTIFS(Processos!$AS$10:$AS$509,"="&amp;SUBSTITUTE(SUBSTITUTE(SUBSTITUTE("P:"&amp;A1547,"~","~~"),"*","~*"),"?","~?"))=1),(IF(ISNA(MATCH(SUBSTITUTE(SUBSTITUTE(SUBSTITUTE("P:"&amp;A1547,"~","~~"),"*","~*"),"?","~?"),Processos!$AS$10:$AS$509,0)),9,INDEX(Processos!$AM$10:$AM$509,MATCH(SUBSTITUTE(SUBSTITUTE(SUBSTITUTE("P:"&amp;A1547,"~","~~"),"*","~*"),"?","~?"),Processos!$AS$10:$AS$509,0)))-9),0)</f>
        <v>0</v>
      </c>
      <c r="K1547" s="34" t="str">
        <f t="shared" si="99"/>
        <v/>
      </c>
      <c r="L1547" s="14">
        <f>ROW()</f>
        <v>1547</v>
      </c>
    </row>
    <row r="1548" spans="1:12" ht="60" customHeight="1">
      <c r="A1548" s="41"/>
      <c r="B1548" s="43"/>
      <c r="C1548" s="44"/>
      <c r="D1548" s="51"/>
      <c r="E1548" s="44"/>
      <c r="F1548" s="44"/>
      <c r="G1548" s="34">
        <f t="shared" si="96"/>
        <v>0</v>
      </c>
      <c r="H1548" s="34" t="str">
        <f t="shared" si="97"/>
        <v/>
      </c>
      <c r="I1548" s="52" t="str">
        <f t="shared" si="98"/>
        <v/>
      </c>
      <c r="J1548" s="34">
        <f>IF(AND(A1548&lt;&gt;"",ISTEXT(A1548),COUNTIFS(Processos!$AS$10:$AS$509,"="&amp;SUBSTITUTE(SUBSTITUTE(SUBSTITUTE("P:"&amp;A1548,"~","~~"),"*","~*"),"?","~?"))=1),(IF(ISNA(MATCH(SUBSTITUTE(SUBSTITUTE(SUBSTITUTE("P:"&amp;A1548,"~","~~"),"*","~*"),"?","~?"),Processos!$AS$10:$AS$509,0)),9,INDEX(Processos!$AM$10:$AM$509,MATCH(SUBSTITUTE(SUBSTITUTE(SUBSTITUTE("P:"&amp;A1548,"~","~~"),"*","~*"),"?","~?"),Processos!$AS$10:$AS$509,0)))-9),0)</f>
        <v>0</v>
      </c>
      <c r="K1548" s="34" t="str">
        <f t="shared" si="99"/>
        <v/>
      </c>
      <c r="L1548" s="14">
        <f>ROW()</f>
        <v>1548</v>
      </c>
    </row>
    <row r="1549" spans="1:12" ht="60" customHeight="1">
      <c r="A1549" s="41"/>
      <c r="B1549" s="43"/>
      <c r="C1549" s="44"/>
      <c r="D1549" s="51"/>
      <c r="E1549" s="44"/>
      <c r="F1549" s="44"/>
      <c r="G1549" s="34">
        <f t="shared" si="96"/>
        <v>0</v>
      </c>
      <c r="H1549" s="34" t="str">
        <f t="shared" si="97"/>
        <v/>
      </c>
      <c r="I1549" s="52" t="str">
        <f t="shared" si="98"/>
        <v/>
      </c>
      <c r="J1549" s="34">
        <f>IF(AND(A1549&lt;&gt;"",ISTEXT(A1549),COUNTIFS(Processos!$AS$10:$AS$509,"="&amp;SUBSTITUTE(SUBSTITUTE(SUBSTITUTE("P:"&amp;A1549,"~","~~"),"*","~*"),"?","~?"))=1),(IF(ISNA(MATCH(SUBSTITUTE(SUBSTITUTE(SUBSTITUTE("P:"&amp;A1549,"~","~~"),"*","~*"),"?","~?"),Processos!$AS$10:$AS$509,0)),9,INDEX(Processos!$AM$10:$AM$509,MATCH(SUBSTITUTE(SUBSTITUTE(SUBSTITUTE("P:"&amp;A1549,"~","~~"),"*","~*"),"?","~?"),Processos!$AS$10:$AS$509,0)))-9),0)</f>
        <v>0</v>
      </c>
      <c r="K1549" s="34" t="str">
        <f t="shared" si="99"/>
        <v/>
      </c>
      <c r="L1549" s="14">
        <f>ROW()</f>
        <v>1549</v>
      </c>
    </row>
    <row r="1550" spans="1:12" ht="60" customHeight="1">
      <c r="A1550" s="41"/>
      <c r="B1550" s="43"/>
      <c r="C1550" s="44"/>
      <c r="D1550" s="51"/>
      <c r="E1550" s="44"/>
      <c r="F1550" s="44"/>
      <c r="G1550" s="34">
        <f t="shared" si="96"/>
        <v>0</v>
      </c>
      <c r="H1550" s="34" t="str">
        <f t="shared" si="97"/>
        <v/>
      </c>
      <c r="I1550" s="52" t="str">
        <f t="shared" si="98"/>
        <v/>
      </c>
      <c r="J1550" s="34">
        <f>IF(AND(A1550&lt;&gt;"",ISTEXT(A1550),COUNTIFS(Processos!$AS$10:$AS$509,"="&amp;SUBSTITUTE(SUBSTITUTE(SUBSTITUTE("P:"&amp;A1550,"~","~~"),"*","~*"),"?","~?"))=1),(IF(ISNA(MATCH(SUBSTITUTE(SUBSTITUTE(SUBSTITUTE("P:"&amp;A1550,"~","~~"),"*","~*"),"?","~?"),Processos!$AS$10:$AS$509,0)),9,INDEX(Processos!$AM$10:$AM$509,MATCH(SUBSTITUTE(SUBSTITUTE(SUBSTITUTE("P:"&amp;A1550,"~","~~"),"*","~*"),"?","~?"),Processos!$AS$10:$AS$509,0)))-9),0)</f>
        <v>0</v>
      </c>
      <c r="K1550" s="34" t="str">
        <f t="shared" si="99"/>
        <v/>
      </c>
      <c r="L1550" s="14">
        <f>ROW()</f>
        <v>1550</v>
      </c>
    </row>
    <row r="1551" spans="1:12" ht="60" customHeight="1">
      <c r="A1551" s="41"/>
      <c r="B1551" s="43"/>
      <c r="C1551" s="44"/>
      <c r="D1551" s="51"/>
      <c r="E1551" s="44"/>
      <c r="F1551" s="44"/>
      <c r="G1551" s="34">
        <f t="shared" si="96"/>
        <v>0</v>
      </c>
      <c r="H1551" s="34" t="str">
        <f t="shared" si="97"/>
        <v/>
      </c>
      <c r="I1551" s="52" t="str">
        <f t="shared" si="98"/>
        <v/>
      </c>
      <c r="J1551" s="34">
        <f>IF(AND(A1551&lt;&gt;"",ISTEXT(A1551),COUNTIFS(Processos!$AS$10:$AS$509,"="&amp;SUBSTITUTE(SUBSTITUTE(SUBSTITUTE("P:"&amp;A1551,"~","~~"),"*","~*"),"?","~?"))=1),(IF(ISNA(MATCH(SUBSTITUTE(SUBSTITUTE(SUBSTITUTE("P:"&amp;A1551,"~","~~"),"*","~*"),"?","~?"),Processos!$AS$10:$AS$509,0)),9,INDEX(Processos!$AM$10:$AM$509,MATCH(SUBSTITUTE(SUBSTITUTE(SUBSTITUTE("P:"&amp;A1551,"~","~~"),"*","~*"),"?","~?"),Processos!$AS$10:$AS$509,0)))-9),0)</f>
        <v>0</v>
      </c>
      <c r="K1551" s="34" t="str">
        <f t="shared" si="99"/>
        <v/>
      </c>
      <c r="L1551" s="14">
        <f>ROW()</f>
        <v>1551</v>
      </c>
    </row>
    <row r="1552" spans="1:12" ht="60" customHeight="1">
      <c r="A1552" s="41"/>
      <c r="B1552" s="43"/>
      <c r="C1552" s="44"/>
      <c r="D1552" s="51"/>
      <c r="E1552" s="44"/>
      <c r="F1552" s="44"/>
      <c r="G1552" s="34">
        <f t="shared" si="96"/>
        <v>0</v>
      </c>
      <c r="H1552" s="34" t="str">
        <f t="shared" si="97"/>
        <v/>
      </c>
      <c r="I1552" s="52" t="str">
        <f t="shared" si="98"/>
        <v/>
      </c>
      <c r="J1552" s="34">
        <f>IF(AND(A1552&lt;&gt;"",ISTEXT(A1552),COUNTIFS(Processos!$AS$10:$AS$509,"="&amp;SUBSTITUTE(SUBSTITUTE(SUBSTITUTE("P:"&amp;A1552,"~","~~"),"*","~*"),"?","~?"))=1),(IF(ISNA(MATCH(SUBSTITUTE(SUBSTITUTE(SUBSTITUTE("P:"&amp;A1552,"~","~~"),"*","~*"),"?","~?"),Processos!$AS$10:$AS$509,0)),9,INDEX(Processos!$AM$10:$AM$509,MATCH(SUBSTITUTE(SUBSTITUTE(SUBSTITUTE("P:"&amp;A1552,"~","~~"),"*","~*"),"?","~?"),Processos!$AS$10:$AS$509,0)))-9),0)</f>
        <v>0</v>
      </c>
      <c r="K1552" s="34" t="str">
        <f t="shared" si="99"/>
        <v/>
      </c>
      <c r="L1552" s="14">
        <f>ROW()</f>
        <v>1552</v>
      </c>
    </row>
    <row r="1553" spans="1:12" ht="60" customHeight="1">
      <c r="A1553" s="41"/>
      <c r="B1553" s="43"/>
      <c r="C1553" s="44"/>
      <c r="D1553" s="51"/>
      <c r="E1553" s="44"/>
      <c r="F1553" s="44"/>
      <c r="G1553" s="34">
        <f t="shared" si="96"/>
        <v>0</v>
      </c>
      <c r="H1553" s="34" t="str">
        <f t="shared" si="97"/>
        <v/>
      </c>
      <c r="I1553" s="52" t="str">
        <f t="shared" si="98"/>
        <v/>
      </c>
      <c r="J1553" s="34">
        <f>IF(AND(A1553&lt;&gt;"",ISTEXT(A1553),COUNTIFS(Processos!$AS$10:$AS$509,"="&amp;SUBSTITUTE(SUBSTITUTE(SUBSTITUTE("P:"&amp;A1553,"~","~~"),"*","~*"),"?","~?"))=1),(IF(ISNA(MATCH(SUBSTITUTE(SUBSTITUTE(SUBSTITUTE("P:"&amp;A1553,"~","~~"),"*","~*"),"?","~?"),Processos!$AS$10:$AS$509,0)),9,INDEX(Processos!$AM$10:$AM$509,MATCH(SUBSTITUTE(SUBSTITUTE(SUBSTITUTE("P:"&amp;A1553,"~","~~"),"*","~*"),"?","~?"),Processos!$AS$10:$AS$509,0)))-9),0)</f>
        <v>0</v>
      </c>
      <c r="K1553" s="34" t="str">
        <f t="shared" si="99"/>
        <v/>
      </c>
      <c r="L1553" s="14">
        <f>ROW()</f>
        <v>1553</v>
      </c>
    </row>
    <row r="1554" spans="1:12" ht="60" customHeight="1">
      <c r="A1554" s="41"/>
      <c r="B1554" s="43"/>
      <c r="C1554" s="44"/>
      <c r="D1554" s="51"/>
      <c r="E1554" s="44"/>
      <c r="F1554" s="44"/>
      <c r="G1554" s="34">
        <f t="shared" si="96"/>
        <v>0</v>
      </c>
      <c r="H1554" s="34" t="str">
        <f t="shared" si="97"/>
        <v/>
      </c>
      <c r="I1554" s="52" t="str">
        <f t="shared" si="98"/>
        <v/>
      </c>
      <c r="J1554" s="34">
        <f>IF(AND(A1554&lt;&gt;"",ISTEXT(A1554),COUNTIFS(Processos!$AS$10:$AS$509,"="&amp;SUBSTITUTE(SUBSTITUTE(SUBSTITUTE("P:"&amp;A1554,"~","~~"),"*","~*"),"?","~?"))=1),(IF(ISNA(MATCH(SUBSTITUTE(SUBSTITUTE(SUBSTITUTE("P:"&amp;A1554,"~","~~"),"*","~*"),"?","~?"),Processos!$AS$10:$AS$509,0)),9,INDEX(Processos!$AM$10:$AM$509,MATCH(SUBSTITUTE(SUBSTITUTE(SUBSTITUTE("P:"&amp;A1554,"~","~~"),"*","~*"),"?","~?"),Processos!$AS$10:$AS$509,0)))-9),0)</f>
        <v>0</v>
      </c>
      <c r="K1554" s="34" t="str">
        <f t="shared" si="99"/>
        <v/>
      </c>
      <c r="L1554" s="14">
        <f>ROW()</f>
        <v>1554</v>
      </c>
    </row>
    <row r="1555" spans="1:12" ht="60" customHeight="1">
      <c r="A1555" s="41"/>
      <c r="B1555" s="43"/>
      <c r="C1555" s="44"/>
      <c r="D1555" s="51"/>
      <c r="E1555" s="44"/>
      <c r="F1555" s="44"/>
      <c r="G1555" s="34">
        <f t="shared" si="96"/>
        <v>0</v>
      </c>
      <c r="H1555" s="34" t="str">
        <f t="shared" si="97"/>
        <v/>
      </c>
      <c r="I1555" s="52" t="str">
        <f t="shared" si="98"/>
        <v/>
      </c>
      <c r="J1555" s="34">
        <f>IF(AND(A1555&lt;&gt;"",ISTEXT(A1555),COUNTIFS(Processos!$AS$10:$AS$509,"="&amp;SUBSTITUTE(SUBSTITUTE(SUBSTITUTE("P:"&amp;A1555,"~","~~"),"*","~*"),"?","~?"))=1),(IF(ISNA(MATCH(SUBSTITUTE(SUBSTITUTE(SUBSTITUTE("P:"&amp;A1555,"~","~~"),"*","~*"),"?","~?"),Processos!$AS$10:$AS$509,0)),9,INDEX(Processos!$AM$10:$AM$509,MATCH(SUBSTITUTE(SUBSTITUTE(SUBSTITUTE("P:"&amp;A1555,"~","~~"),"*","~*"),"?","~?"),Processos!$AS$10:$AS$509,0)))-9),0)</f>
        <v>0</v>
      </c>
      <c r="K1555" s="34" t="str">
        <f t="shared" si="99"/>
        <v/>
      </c>
      <c r="L1555" s="14">
        <f>ROW()</f>
        <v>1555</v>
      </c>
    </row>
    <row r="1556" spans="1:12" ht="60" customHeight="1">
      <c r="A1556" s="41"/>
      <c r="B1556" s="43"/>
      <c r="C1556" s="44"/>
      <c r="D1556" s="51"/>
      <c r="E1556" s="44"/>
      <c r="F1556" s="44"/>
      <c r="G1556" s="34">
        <f t="shared" si="96"/>
        <v>0</v>
      </c>
      <c r="H1556" s="34" t="str">
        <f t="shared" si="97"/>
        <v/>
      </c>
      <c r="I1556" s="52" t="str">
        <f t="shared" si="98"/>
        <v/>
      </c>
      <c r="J1556" s="34">
        <f>IF(AND(A1556&lt;&gt;"",ISTEXT(A1556),COUNTIFS(Processos!$AS$10:$AS$509,"="&amp;SUBSTITUTE(SUBSTITUTE(SUBSTITUTE("P:"&amp;A1556,"~","~~"),"*","~*"),"?","~?"))=1),(IF(ISNA(MATCH(SUBSTITUTE(SUBSTITUTE(SUBSTITUTE("P:"&amp;A1556,"~","~~"),"*","~*"),"?","~?"),Processos!$AS$10:$AS$509,0)),9,INDEX(Processos!$AM$10:$AM$509,MATCH(SUBSTITUTE(SUBSTITUTE(SUBSTITUTE("P:"&amp;A1556,"~","~~"),"*","~*"),"?","~?"),Processos!$AS$10:$AS$509,0)))-9),0)</f>
        <v>0</v>
      </c>
      <c r="K1556" s="34" t="str">
        <f t="shared" si="99"/>
        <v/>
      </c>
      <c r="L1556" s="14">
        <f>ROW()</f>
        <v>1556</v>
      </c>
    </row>
    <row r="1557" spans="1:12" ht="60" customHeight="1">
      <c r="A1557" s="41"/>
      <c r="B1557" s="43"/>
      <c r="C1557" s="44"/>
      <c r="D1557" s="51"/>
      <c r="E1557" s="44"/>
      <c r="F1557" s="44"/>
      <c r="G1557" s="34">
        <f t="shared" si="96"/>
        <v>0</v>
      </c>
      <c r="H1557" s="34" t="str">
        <f t="shared" si="97"/>
        <v/>
      </c>
      <c r="I1557" s="52" t="str">
        <f t="shared" si="98"/>
        <v/>
      </c>
      <c r="J1557" s="34">
        <f>IF(AND(A1557&lt;&gt;"",ISTEXT(A1557),COUNTIFS(Processos!$AS$10:$AS$509,"="&amp;SUBSTITUTE(SUBSTITUTE(SUBSTITUTE("P:"&amp;A1557,"~","~~"),"*","~*"),"?","~?"))=1),(IF(ISNA(MATCH(SUBSTITUTE(SUBSTITUTE(SUBSTITUTE("P:"&amp;A1557,"~","~~"),"*","~*"),"?","~?"),Processos!$AS$10:$AS$509,0)),9,INDEX(Processos!$AM$10:$AM$509,MATCH(SUBSTITUTE(SUBSTITUTE(SUBSTITUTE("P:"&amp;A1557,"~","~~"),"*","~*"),"?","~?"),Processos!$AS$10:$AS$509,0)))-9),0)</f>
        <v>0</v>
      </c>
      <c r="K1557" s="34" t="str">
        <f t="shared" si="99"/>
        <v/>
      </c>
      <c r="L1557" s="14">
        <f>ROW()</f>
        <v>1557</v>
      </c>
    </row>
    <row r="1558" spans="1:12" ht="60" customHeight="1">
      <c r="A1558" s="41"/>
      <c r="B1558" s="43"/>
      <c r="C1558" s="44"/>
      <c r="D1558" s="51"/>
      <c r="E1558" s="44"/>
      <c r="F1558" s="44"/>
      <c r="G1558" s="34">
        <f t="shared" si="96"/>
        <v>0</v>
      </c>
      <c r="H1558" s="34" t="str">
        <f t="shared" si="97"/>
        <v/>
      </c>
      <c r="I1558" s="52" t="str">
        <f t="shared" si="98"/>
        <v/>
      </c>
      <c r="J1558" s="34">
        <f>IF(AND(A1558&lt;&gt;"",ISTEXT(A1558),COUNTIFS(Processos!$AS$10:$AS$509,"="&amp;SUBSTITUTE(SUBSTITUTE(SUBSTITUTE("P:"&amp;A1558,"~","~~"),"*","~*"),"?","~?"))=1),(IF(ISNA(MATCH(SUBSTITUTE(SUBSTITUTE(SUBSTITUTE("P:"&amp;A1558,"~","~~"),"*","~*"),"?","~?"),Processos!$AS$10:$AS$509,0)),9,INDEX(Processos!$AM$10:$AM$509,MATCH(SUBSTITUTE(SUBSTITUTE(SUBSTITUTE("P:"&amp;A1558,"~","~~"),"*","~*"),"?","~?"),Processos!$AS$10:$AS$509,0)))-9),0)</f>
        <v>0</v>
      </c>
      <c r="K1558" s="34" t="str">
        <f t="shared" si="99"/>
        <v/>
      </c>
      <c r="L1558" s="14">
        <f>ROW()</f>
        <v>1558</v>
      </c>
    </row>
    <row r="1559" spans="1:12" ht="60" customHeight="1">
      <c r="A1559" s="41"/>
      <c r="B1559" s="43"/>
      <c r="C1559" s="44"/>
      <c r="D1559" s="51"/>
      <c r="E1559" s="44"/>
      <c r="F1559" s="44"/>
      <c r="G1559" s="34">
        <f t="shared" si="96"/>
        <v>0</v>
      </c>
      <c r="H1559" s="34" t="str">
        <f t="shared" si="97"/>
        <v/>
      </c>
      <c r="I1559" s="52" t="str">
        <f t="shared" si="98"/>
        <v/>
      </c>
      <c r="J1559" s="34">
        <f>IF(AND(A1559&lt;&gt;"",ISTEXT(A1559),COUNTIFS(Processos!$AS$10:$AS$509,"="&amp;SUBSTITUTE(SUBSTITUTE(SUBSTITUTE("P:"&amp;A1559,"~","~~"),"*","~*"),"?","~?"))=1),(IF(ISNA(MATCH(SUBSTITUTE(SUBSTITUTE(SUBSTITUTE("P:"&amp;A1559,"~","~~"),"*","~*"),"?","~?"),Processos!$AS$10:$AS$509,0)),9,INDEX(Processos!$AM$10:$AM$509,MATCH(SUBSTITUTE(SUBSTITUTE(SUBSTITUTE("P:"&amp;A1559,"~","~~"),"*","~*"),"?","~?"),Processos!$AS$10:$AS$509,0)))-9),0)</f>
        <v>0</v>
      </c>
      <c r="K1559" s="34" t="str">
        <f t="shared" si="99"/>
        <v/>
      </c>
      <c r="L1559" s="14">
        <f>ROW()</f>
        <v>1559</v>
      </c>
    </row>
    <row r="1560" spans="1:12" ht="60" customHeight="1">
      <c r="A1560" s="41"/>
      <c r="B1560" s="43"/>
      <c r="C1560" s="44"/>
      <c r="D1560" s="51"/>
      <c r="E1560" s="44"/>
      <c r="F1560" s="44"/>
      <c r="G1560" s="34">
        <f t="shared" si="96"/>
        <v>0</v>
      </c>
      <c r="H1560" s="34" t="str">
        <f t="shared" si="97"/>
        <v/>
      </c>
      <c r="I1560" s="52" t="str">
        <f t="shared" si="98"/>
        <v/>
      </c>
      <c r="J1560" s="34">
        <f>IF(AND(A1560&lt;&gt;"",ISTEXT(A1560),COUNTIFS(Processos!$AS$10:$AS$509,"="&amp;SUBSTITUTE(SUBSTITUTE(SUBSTITUTE("P:"&amp;A1560,"~","~~"),"*","~*"),"?","~?"))=1),(IF(ISNA(MATCH(SUBSTITUTE(SUBSTITUTE(SUBSTITUTE("P:"&amp;A1560,"~","~~"),"*","~*"),"?","~?"),Processos!$AS$10:$AS$509,0)),9,INDEX(Processos!$AM$10:$AM$509,MATCH(SUBSTITUTE(SUBSTITUTE(SUBSTITUTE("P:"&amp;A1560,"~","~~"),"*","~*"),"?","~?"),Processos!$AS$10:$AS$509,0)))-9),0)</f>
        <v>0</v>
      </c>
      <c r="K1560" s="34" t="str">
        <f t="shared" si="99"/>
        <v/>
      </c>
      <c r="L1560" s="14">
        <f>ROW()</f>
        <v>1560</v>
      </c>
    </row>
    <row r="1561" spans="1:12" ht="60" customHeight="1">
      <c r="A1561" s="41"/>
      <c r="B1561" s="43"/>
      <c r="C1561" s="44"/>
      <c r="D1561" s="51"/>
      <c r="E1561" s="44"/>
      <c r="F1561" s="44"/>
      <c r="G1561" s="34">
        <f t="shared" si="96"/>
        <v>0</v>
      </c>
      <c r="H1561" s="34" t="str">
        <f t="shared" si="97"/>
        <v/>
      </c>
      <c r="I1561" s="52" t="str">
        <f t="shared" si="98"/>
        <v/>
      </c>
      <c r="J1561" s="34">
        <f>IF(AND(A1561&lt;&gt;"",ISTEXT(A1561),COUNTIFS(Processos!$AS$10:$AS$509,"="&amp;SUBSTITUTE(SUBSTITUTE(SUBSTITUTE("P:"&amp;A1561,"~","~~"),"*","~*"),"?","~?"))=1),(IF(ISNA(MATCH(SUBSTITUTE(SUBSTITUTE(SUBSTITUTE("P:"&amp;A1561,"~","~~"),"*","~*"),"?","~?"),Processos!$AS$10:$AS$509,0)),9,INDEX(Processos!$AM$10:$AM$509,MATCH(SUBSTITUTE(SUBSTITUTE(SUBSTITUTE("P:"&amp;A1561,"~","~~"),"*","~*"),"?","~?"),Processos!$AS$10:$AS$509,0)))-9),0)</f>
        <v>0</v>
      </c>
      <c r="K1561" s="34" t="str">
        <f t="shared" si="99"/>
        <v/>
      </c>
      <c r="L1561" s="14">
        <f>ROW()</f>
        <v>1561</v>
      </c>
    </row>
    <row r="1562" spans="1:12" ht="60" customHeight="1">
      <c r="A1562" s="41"/>
      <c r="B1562" s="43"/>
      <c r="C1562" s="44"/>
      <c r="D1562" s="51"/>
      <c r="E1562" s="44"/>
      <c r="F1562" s="44"/>
      <c r="G1562" s="34">
        <f t="shared" si="96"/>
        <v>0</v>
      </c>
      <c r="H1562" s="34" t="str">
        <f t="shared" si="97"/>
        <v/>
      </c>
      <c r="I1562" s="52" t="str">
        <f t="shared" si="98"/>
        <v/>
      </c>
      <c r="J1562" s="34">
        <f>IF(AND(A1562&lt;&gt;"",ISTEXT(A1562),COUNTIFS(Processos!$AS$10:$AS$509,"="&amp;SUBSTITUTE(SUBSTITUTE(SUBSTITUTE("P:"&amp;A1562,"~","~~"),"*","~*"),"?","~?"))=1),(IF(ISNA(MATCH(SUBSTITUTE(SUBSTITUTE(SUBSTITUTE("P:"&amp;A1562,"~","~~"),"*","~*"),"?","~?"),Processos!$AS$10:$AS$509,0)),9,INDEX(Processos!$AM$10:$AM$509,MATCH(SUBSTITUTE(SUBSTITUTE(SUBSTITUTE("P:"&amp;A1562,"~","~~"),"*","~*"),"?","~?"),Processos!$AS$10:$AS$509,0)))-9),0)</f>
        <v>0</v>
      </c>
      <c r="K1562" s="34" t="str">
        <f t="shared" si="99"/>
        <v/>
      </c>
      <c r="L1562" s="14">
        <f>ROW()</f>
        <v>1562</v>
      </c>
    </row>
    <row r="1563" spans="1:12" ht="60" customHeight="1">
      <c r="A1563" s="41"/>
      <c r="B1563" s="43"/>
      <c r="C1563" s="44"/>
      <c r="D1563" s="51"/>
      <c r="E1563" s="44"/>
      <c r="F1563" s="44"/>
      <c r="G1563" s="34">
        <f t="shared" si="96"/>
        <v>0</v>
      </c>
      <c r="H1563" s="34" t="str">
        <f t="shared" si="97"/>
        <v/>
      </c>
      <c r="I1563" s="52" t="str">
        <f t="shared" si="98"/>
        <v/>
      </c>
      <c r="J1563" s="34">
        <f>IF(AND(A1563&lt;&gt;"",ISTEXT(A1563),COUNTIFS(Processos!$AS$10:$AS$509,"="&amp;SUBSTITUTE(SUBSTITUTE(SUBSTITUTE("P:"&amp;A1563,"~","~~"),"*","~*"),"?","~?"))=1),(IF(ISNA(MATCH(SUBSTITUTE(SUBSTITUTE(SUBSTITUTE("P:"&amp;A1563,"~","~~"),"*","~*"),"?","~?"),Processos!$AS$10:$AS$509,0)),9,INDEX(Processos!$AM$10:$AM$509,MATCH(SUBSTITUTE(SUBSTITUTE(SUBSTITUTE("P:"&amp;A1563,"~","~~"),"*","~*"),"?","~?"),Processos!$AS$10:$AS$509,0)))-9),0)</f>
        <v>0</v>
      </c>
      <c r="K1563" s="34" t="str">
        <f t="shared" si="99"/>
        <v/>
      </c>
      <c r="L1563" s="14">
        <f>ROW()</f>
        <v>1563</v>
      </c>
    </row>
    <row r="1564" spans="1:12" ht="60" customHeight="1">
      <c r="A1564" s="41"/>
      <c r="B1564" s="43"/>
      <c r="C1564" s="44"/>
      <c r="D1564" s="51"/>
      <c r="E1564" s="44"/>
      <c r="F1564" s="44"/>
      <c r="G1564" s="34">
        <f t="shared" si="96"/>
        <v>0</v>
      </c>
      <c r="H1564" s="34" t="str">
        <f t="shared" si="97"/>
        <v/>
      </c>
      <c r="I1564" s="52" t="str">
        <f t="shared" si="98"/>
        <v/>
      </c>
      <c r="J1564" s="34">
        <f>IF(AND(A1564&lt;&gt;"",ISTEXT(A1564),COUNTIFS(Processos!$AS$10:$AS$509,"="&amp;SUBSTITUTE(SUBSTITUTE(SUBSTITUTE("P:"&amp;A1564,"~","~~"),"*","~*"),"?","~?"))=1),(IF(ISNA(MATCH(SUBSTITUTE(SUBSTITUTE(SUBSTITUTE("P:"&amp;A1564,"~","~~"),"*","~*"),"?","~?"),Processos!$AS$10:$AS$509,0)),9,INDEX(Processos!$AM$10:$AM$509,MATCH(SUBSTITUTE(SUBSTITUTE(SUBSTITUTE("P:"&amp;A1564,"~","~~"),"*","~*"),"?","~?"),Processos!$AS$10:$AS$509,0)))-9),0)</f>
        <v>0</v>
      </c>
      <c r="K1564" s="34" t="str">
        <f t="shared" si="99"/>
        <v/>
      </c>
      <c r="L1564" s="14">
        <f>ROW()</f>
        <v>1564</v>
      </c>
    </row>
    <row r="1565" spans="1:12" ht="60" customHeight="1">
      <c r="A1565" s="41"/>
      <c r="B1565" s="43"/>
      <c r="C1565" s="44"/>
      <c r="D1565" s="51"/>
      <c r="E1565" s="44"/>
      <c r="F1565" s="44"/>
      <c r="G1565" s="34">
        <f t="shared" si="96"/>
        <v>0</v>
      </c>
      <c r="H1565" s="34" t="str">
        <f t="shared" si="97"/>
        <v/>
      </c>
      <c r="I1565" s="52" t="str">
        <f t="shared" si="98"/>
        <v/>
      </c>
      <c r="J1565" s="34">
        <f>IF(AND(A1565&lt;&gt;"",ISTEXT(A1565),COUNTIFS(Processos!$AS$10:$AS$509,"="&amp;SUBSTITUTE(SUBSTITUTE(SUBSTITUTE("P:"&amp;A1565,"~","~~"),"*","~*"),"?","~?"))=1),(IF(ISNA(MATCH(SUBSTITUTE(SUBSTITUTE(SUBSTITUTE("P:"&amp;A1565,"~","~~"),"*","~*"),"?","~?"),Processos!$AS$10:$AS$509,0)),9,INDEX(Processos!$AM$10:$AM$509,MATCH(SUBSTITUTE(SUBSTITUTE(SUBSTITUTE("P:"&amp;A1565,"~","~~"),"*","~*"),"?","~?"),Processos!$AS$10:$AS$509,0)))-9),0)</f>
        <v>0</v>
      </c>
      <c r="K1565" s="34" t="str">
        <f t="shared" si="99"/>
        <v/>
      </c>
      <c r="L1565" s="14">
        <f>ROW()</f>
        <v>1565</v>
      </c>
    </row>
    <row r="1566" spans="1:12" ht="60" customHeight="1">
      <c r="A1566" s="41"/>
      <c r="B1566" s="43"/>
      <c r="C1566" s="44"/>
      <c r="D1566" s="51"/>
      <c r="E1566" s="44"/>
      <c r="F1566" s="44"/>
      <c r="G1566" s="34">
        <f t="shared" si="96"/>
        <v>0</v>
      </c>
      <c r="H1566" s="34" t="str">
        <f t="shared" si="97"/>
        <v/>
      </c>
      <c r="I1566" s="52" t="str">
        <f t="shared" si="98"/>
        <v/>
      </c>
      <c r="J1566" s="34">
        <f>IF(AND(A1566&lt;&gt;"",ISTEXT(A1566),COUNTIFS(Processos!$AS$10:$AS$509,"="&amp;SUBSTITUTE(SUBSTITUTE(SUBSTITUTE("P:"&amp;A1566,"~","~~"),"*","~*"),"?","~?"))=1),(IF(ISNA(MATCH(SUBSTITUTE(SUBSTITUTE(SUBSTITUTE("P:"&amp;A1566,"~","~~"),"*","~*"),"?","~?"),Processos!$AS$10:$AS$509,0)),9,INDEX(Processos!$AM$10:$AM$509,MATCH(SUBSTITUTE(SUBSTITUTE(SUBSTITUTE("P:"&amp;A1566,"~","~~"),"*","~*"),"?","~?"),Processos!$AS$10:$AS$509,0)))-9),0)</f>
        <v>0</v>
      </c>
      <c r="K1566" s="34" t="str">
        <f t="shared" si="99"/>
        <v/>
      </c>
      <c r="L1566" s="14">
        <f>ROW()</f>
        <v>1566</v>
      </c>
    </row>
    <row r="1567" spans="1:12" ht="60" customHeight="1">
      <c r="A1567" s="41"/>
      <c r="B1567" s="43"/>
      <c r="C1567" s="44"/>
      <c r="D1567" s="51"/>
      <c r="E1567" s="44"/>
      <c r="F1567" s="44"/>
      <c r="G1567" s="34">
        <f t="shared" si="96"/>
        <v>0</v>
      </c>
      <c r="H1567" s="34" t="str">
        <f t="shared" si="97"/>
        <v/>
      </c>
      <c r="I1567" s="52" t="str">
        <f t="shared" si="98"/>
        <v/>
      </c>
      <c r="J1567" s="34">
        <f>IF(AND(A1567&lt;&gt;"",ISTEXT(A1567),COUNTIFS(Processos!$AS$10:$AS$509,"="&amp;SUBSTITUTE(SUBSTITUTE(SUBSTITUTE("P:"&amp;A1567,"~","~~"),"*","~*"),"?","~?"))=1),(IF(ISNA(MATCH(SUBSTITUTE(SUBSTITUTE(SUBSTITUTE("P:"&amp;A1567,"~","~~"),"*","~*"),"?","~?"),Processos!$AS$10:$AS$509,0)),9,INDEX(Processos!$AM$10:$AM$509,MATCH(SUBSTITUTE(SUBSTITUTE(SUBSTITUTE("P:"&amp;A1567,"~","~~"),"*","~*"),"?","~?"),Processos!$AS$10:$AS$509,0)))-9),0)</f>
        <v>0</v>
      </c>
      <c r="K1567" s="34" t="str">
        <f t="shared" si="99"/>
        <v/>
      </c>
      <c r="L1567" s="14">
        <f>ROW()</f>
        <v>1567</v>
      </c>
    </row>
    <row r="1568" spans="1:12" ht="60" customHeight="1">
      <c r="A1568" s="41"/>
      <c r="B1568" s="43"/>
      <c r="C1568" s="44"/>
      <c r="D1568" s="51"/>
      <c r="E1568" s="44"/>
      <c r="F1568" s="44"/>
      <c r="G1568" s="34">
        <f t="shared" si="96"/>
        <v>0</v>
      </c>
      <c r="H1568" s="34" t="str">
        <f t="shared" si="97"/>
        <v/>
      </c>
      <c r="I1568" s="52" t="str">
        <f t="shared" si="98"/>
        <v/>
      </c>
      <c r="J1568" s="34">
        <f>IF(AND(A1568&lt;&gt;"",ISTEXT(A1568),COUNTIFS(Processos!$AS$10:$AS$509,"="&amp;SUBSTITUTE(SUBSTITUTE(SUBSTITUTE("P:"&amp;A1568,"~","~~"),"*","~*"),"?","~?"))=1),(IF(ISNA(MATCH(SUBSTITUTE(SUBSTITUTE(SUBSTITUTE("P:"&amp;A1568,"~","~~"),"*","~*"),"?","~?"),Processos!$AS$10:$AS$509,0)),9,INDEX(Processos!$AM$10:$AM$509,MATCH(SUBSTITUTE(SUBSTITUTE(SUBSTITUTE("P:"&amp;A1568,"~","~~"),"*","~*"),"?","~?"),Processos!$AS$10:$AS$509,0)))-9),0)</f>
        <v>0</v>
      </c>
      <c r="K1568" s="34" t="str">
        <f t="shared" si="99"/>
        <v/>
      </c>
      <c r="L1568" s="14">
        <f>ROW()</f>
        <v>1568</v>
      </c>
    </row>
    <row r="1569" spans="1:12" ht="60" customHeight="1">
      <c r="A1569" s="41"/>
      <c r="B1569" s="43"/>
      <c r="C1569" s="44"/>
      <c r="D1569" s="51"/>
      <c r="E1569" s="44"/>
      <c r="F1569" s="44"/>
      <c r="G1569" s="34">
        <f t="shared" si="96"/>
        <v>0</v>
      </c>
      <c r="H1569" s="34" t="str">
        <f t="shared" si="97"/>
        <v/>
      </c>
      <c r="I1569" s="52" t="str">
        <f t="shared" si="98"/>
        <v/>
      </c>
      <c r="J1569" s="34">
        <f>IF(AND(A1569&lt;&gt;"",ISTEXT(A1569),COUNTIFS(Processos!$AS$10:$AS$509,"="&amp;SUBSTITUTE(SUBSTITUTE(SUBSTITUTE("P:"&amp;A1569,"~","~~"),"*","~*"),"?","~?"))=1),(IF(ISNA(MATCH(SUBSTITUTE(SUBSTITUTE(SUBSTITUTE("P:"&amp;A1569,"~","~~"),"*","~*"),"?","~?"),Processos!$AS$10:$AS$509,0)),9,INDEX(Processos!$AM$10:$AM$509,MATCH(SUBSTITUTE(SUBSTITUTE(SUBSTITUTE("P:"&amp;A1569,"~","~~"),"*","~*"),"?","~?"),Processos!$AS$10:$AS$509,0)))-9),0)</f>
        <v>0</v>
      </c>
      <c r="K1569" s="34" t="str">
        <f t="shared" si="99"/>
        <v/>
      </c>
      <c r="L1569" s="14">
        <f>ROW()</f>
        <v>1569</v>
      </c>
    </row>
    <row r="1570" spans="1:12" ht="60" customHeight="1">
      <c r="A1570" s="41"/>
      <c r="B1570" s="43"/>
      <c r="C1570" s="44"/>
      <c r="D1570" s="51"/>
      <c r="E1570" s="44"/>
      <c r="F1570" s="44"/>
      <c r="G1570" s="34">
        <f t="shared" si="96"/>
        <v>0</v>
      </c>
      <c r="H1570" s="34" t="str">
        <f t="shared" si="97"/>
        <v/>
      </c>
      <c r="I1570" s="52" t="str">
        <f t="shared" si="98"/>
        <v/>
      </c>
      <c r="J1570" s="34">
        <f>IF(AND(A1570&lt;&gt;"",ISTEXT(A1570),COUNTIFS(Processos!$AS$10:$AS$509,"="&amp;SUBSTITUTE(SUBSTITUTE(SUBSTITUTE("P:"&amp;A1570,"~","~~"),"*","~*"),"?","~?"))=1),(IF(ISNA(MATCH(SUBSTITUTE(SUBSTITUTE(SUBSTITUTE("P:"&amp;A1570,"~","~~"),"*","~*"),"?","~?"),Processos!$AS$10:$AS$509,0)),9,INDEX(Processos!$AM$10:$AM$509,MATCH(SUBSTITUTE(SUBSTITUTE(SUBSTITUTE("P:"&amp;A1570,"~","~~"),"*","~*"),"?","~?"),Processos!$AS$10:$AS$509,0)))-9),0)</f>
        <v>0</v>
      </c>
      <c r="K1570" s="34" t="str">
        <f t="shared" si="99"/>
        <v/>
      </c>
      <c r="L1570" s="14">
        <f>ROW()</f>
        <v>1570</v>
      </c>
    </row>
    <row r="1571" spans="1:12" ht="60" customHeight="1">
      <c r="A1571" s="41"/>
      <c r="B1571" s="43"/>
      <c r="C1571" s="44"/>
      <c r="D1571" s="51"/>
      <c r="E1571" s="44"/>
      <c r="F1571" s="44"/>
      <c r="G1571" s="34">
        <f t="shared" si="96"/>
        <v>0</v>
      </c>
      <c r="H1571" s="34" t="str">
        <f t="shared" si="97"/>
        <v/>
      </c>
      <c r="I1571" s="52" t="str">
        <f t="shared" si="98"/>
        <v/>
      </c>
      <c r="J1571" s="34">
        <f>IF(AND(A1571&lt;&gt;"",ISTEXT(A1571),COUNTIFS(Processos!$AS$10:$AS$509,"="&amp;SUBSTITUTE(SUBSTITUTE(SUBSTITUTE("P:"&amp;A1571,"~","~~"),"*","~*"),"?","~?"))=1),(IF(ISNA(MATCH(SUBSTITUTE(SUBSTITUTE(SUBSTITUTE("P:"&amp;A1571,"~","~~"),"*","~*"),"?","~?"),Processos!$AS$10:$AS$509,0)),9,INDEX(Processos!$AM$10:$AM$509,MATCH(SUBSTITUTE(SUBSTITUTE(SUBSTITUTE("P:"&amp;A1571,"~","~~"),"*","~*"),"?","~?"),Processos!$AS$10:$AS$509,0)))-9),0)</f>
        <v>0</v>
      </c>
      <c r="K1571" s="34" t="str">
        <f t="shared" si="99"/>
        <v/>
      </c>
      <c r="L1571" s="14">
        <f>ROW()</f>
        <v>1571</v>
      </c>
    </row>
    <row r="1572" spans="1:12" ht="60" customHeight="1">
      <c r="A1572" s="41"/>
      <c r="B1572" s="43"/>
      <c r="C1572" s="44"/>
      <c r="D1572" s="51"/>
      <c r="E1572" s="44"/>
      <c r="F1572" s="44"/>
      <c r="G1572" s="34">
        <f t="shared" si="96"/>
        <v>0</v>
      </c>
      <c r="H1572" s="34" t="str">
        <f t="shared" si="97"/>
        <v/>
      </c>
      <c r="I1572" s="52" t="str">
        <f t="shared" si="98"/>
        <v/>
      </c>
      <c r="J1572" s="34">
        <f>IF(AND(A1572&lt;&gt;"",ISTEXT(A1572),COUNTIFS(Processos!$AS$10:$AS$509,"="&amp;SUBSTITUTE(SUBSTITUTE(SUBSTITUTE("P:"&amp;A1572,"~","~~"),"*","~*"),"?","~?"))=1),(IF(ISNA(MATCH(SUBSTITUTE(SUBSTITUTE(SUBSTITUTE("P:"&amp;A1572,"~","~~"),"*","~*"),"?","~?"),Processos!$AS$10:$AS$509,0)),9,INDEX(Processos!$AM$10:$AM$509,MATCH(SUBSTITUTE(SUBSTITUTE(SUBSTITUTE("P:"&amp;A1572,"~","~~"),"*","~*"),"?","~?"),Processos!$AS$10:$AS$509,0)))-9),0)</f>
        <v>0</v>
      </c>
      <c r="K1572" s="34" t="str">
        <f t="shared" si="99"/>
        <v/>
      </c>
      <c r="L1572" s="14">
        <f>ROW()</f>
        <v>1572</v>
      </c>
    </row>
    <row r="1573" spans="1:12" ht="60" customHeight="1">
      <c r="A1573" s="41"/>
      <c r="B1573" s="43"/>
      <c r="C1573" s="44"/>
      <c r="D1573" s="51"/>
      <c r="E1573" s="44"/>
      <c r="F1573" s="44"/>
      <c r="G1573" s="34">
        <f t="shared" si="96"/>
        <v>0</v>
      </c>
      <c r="H1573" s="34" t="str">
        <f t="shared" si="97"/>
        <v/>
      </c>
      <c r="I1573" s="52" t="str">
        <f t="shared" si="98"/>
        <v/>
      </c>
      <c r="J1573" s="34">
        <f>IF(AND(A1573&lt;&gt;"",ISTEXT(A1573),COUNTIFS(Processos!$AS$10:$AS$509,"="&amp;SUBSTITUTE(SUBSTITUTE(SUBSTITUTE("P:"&amp;A1573,"~","~~"),"*","~*"),"?","~?"))=1),(IF(ISNA(MATCH(SUBSTITUTE(SUBSTITUTE(SUBSTITUTE("P:"&amp;A1573,"~","~~"),"*","~*"),"?","~?"),Processos!$AS$10:$AS$509,0)),9,INDEX(Processos!$AM$10:$AM$509,MATCH(SUBSTITUTE(SUBSTITUTE(SUBSTITUTE("P:"&amp;A1573,"~","~~"),"*","~*"),"?","~?"),Processos!$AS$10:$AS$509,0)))-9),0)</f>
        <v>0</v>
      </c>
      <c r="K1573" s="34" t="str">
        <f t="shared" si="99"/>
        <v/>
      </c>
      <c r="L1573" s="14">
        <f>ROW()</f>
        <v>1573</v>
      </c>
    </row>
    <row r="1574" spans="1:12" ht="60" customHeight="1">
      <c r="A1574" s="41"/>
      <c r="B1574" s="43"/>
      <c r="C1574" s="44"/>
      <c r="D1574" s="51"/>
      <c r="E1574" s="44"/>
      <c r="F1574" s="44"/>
      <c r="G1574" s="34">
        <f t="shared" si="96"/>
        <v>0</v>
      </c>
      <c r="H1574" s="34" t="str">
        <f t="shared" si="97"/>
        <v/>
      </c>
      <c r="I1574" s="52" t="str">
        <f t="shared" si="98"/>
        <v/>
      </c>
      <c r="J1574" s="34">
        <f>IF(AND(A1574&lt;&gt;"",ISTEXT(A1574),COUNTIFS(Processos!$AS$10:$AS$509,"="&amp;SUBSTITUTE(SUBSTITUTE(SUBSTITUTE("P:"&amp;A1574,"~","~~"),"*","~*"),"?","~?"))=1),(IF(ISNA(MATCH(SUBSTITUTE(SUBSTITUTE(SUBSTITUTE("P:"&amp;A1574,"~","~~"),"*","~*"),"?","~?"),Processos!$AS$10:$AS$509,0)),9,INDEX(Processos!$AM$10:$AM$509,MATCH(SUBSTITUTE(SUBSTITUTE(SUBSTITUTE("P:"&amp;A1574,"~","~~"),"*","~*"),"?","~?"),Processos!$AS$10:$AS$509,0)))-9),0)</f>
        <v>0</v>
      </c>
      <c r="K1574" s="34" t="str">
        <f t="shared" si="99"/>
        <v/>
      </c>
      <c r="L1574" s="14">
        <f>ROW()</f>
        <v>1574</v>
      </c>
    </row>
    <row r="1575" spans="1:12" ht="60" customHeight="1">
      <c r="A1575" s="41"/>
      <c r="B1575" s="43"/>
      <c r="C1575" s="44"/>
      <c r="D1575" s="51"/>
      <c r="E1575" s="44"/>
      <c r="F1575" s="44"/>
      <c r="G1575" s="34">
        <f t="shared" si="96"/>
        <v>0</v>
      </c>
      <c r="H1575" s="34" t="str">
        <f t="shared" si="97"/>
        <v/>
      </c>
      <c r="I1575" s="52" t="str">
        <f t="shared" si="98"/>
        <v/>
      </c>
      <c r="J1575" s="34">
        <f>IF(AND(A1575&lt;&gt;"",ISTEXT(A1575),COUNTIFS(Processos!$AS$10:$AS$509,"="&amp;SUBSTITUTE(SUBSTITUTE(SUBSTITUTE("P:"&amp;A1575,"~","~~"),"*","~*"),"?","~?"))=1),(IF(ISNA(MATCH(SUBSTITUTE(SUBSTITUTE(SUBSTITUTE("P:"&amp;A1575,"~","~~"),"*","~*"),"?","~?"),Processos!$AS$10:$AS$509,0)),9,INDEX(Processos!$AM$10:$AM$509,MATCH(SUBSTITUTE(SUBSTITUTE(SUBSTITUTE("P:"&amp;A1575,"~","~~"),"*","~*"),"?","~?"),Processos!$AS$10:$AS$509,0)))-9),0)</f>
        <v>0</v>
      </c>
      <c r="K1575" s="34" t="str">
        <f t="shared" si="99"/>
        <v/>
      </c>
      <c r="L1575" s="14">
        <f>ROW()</f>
        <v>1575</v>
      </c>
    </row>
    <row r="1576" spans="1:12" ht="60" customHeight="1">
      <c r="A1576" s="41"/>
      <c r="B1576" s="43"/>
      <c r="C1576" s="44"/>
      <c r="D1576" s="51"/>
      <c r="E1576" s="44"/>
      <c r="F1576" s="44"/>
      <c r="G1576" s="34">
        <f t="shared" si="96"/>
        <v>0</v>
      </c>
      <c r="H1576" s="34" t="str">
        <f t="shared" si="97"/>
        <v/>
      </c>
      <c r="I1576" s="52" t="str">
        <f t="shared" si="98"/>
        <v/>
      </c>
      <c r="J1576" s="34">
        <f>IF(AND(A1576&lt;&gt;"",ISTEXT(A1576),COUNTIFS(Processos!$AS$10:$AS$509,"="&amp;SUBSTITUTE(SUBSTITUTE(SUBSTITUTE("P:"&amp;A1576,"~","~~"),"*","~*"),"?","~?"))=1),(IF(ISNA(MATCH(SUBSTITUTE(SUBSTITUTE(SUBSTITUTE("P:"&amp;A1576,"~","~~"),"*","~*"),"?","~?"),Processos!$AS$10:$AS$509,0)),9,INDEX(Processos!$AM$10:$AM$509,MATCH(SUBSTITUTE(SUBSTITUTE(SUBSTITUTE("P:"&amp;A1576,"~","~~"),"*","~*"),"?","~?"),Processos!$AS$10:$AS$509,0)))-9),0)</f>
        <v>0</v>
      </c>
      <c r="K1576" s="34" t="str">
        <f t="shared" si="99"/>
        <v/>
      </c>
      <c r="L1576" s="14">
        <f>ROW()</f>
        <v>1576</v>
      </c>
    </row>
    <row r="1577" spans="1:12" ht="60" customHeight="1">
      <c r="A1577" s="41"/>
      <c r="B1577" s="43"/>
      <c r="C1577" s="44"/>
      <c r="D1577" s="51"/>
      <c r="E1577" s="44"/>
      <c r="F1577" s="44"/>
      <c r="G1577" s="34">
        <f t="shared" si="96"/>
        <v>0</v>
      </c>
      <c r="H1577" s="34" t="str">
        <f t="shared" si="97"/>
        <v/>
      </c>
      <c r="I1577" s="52" t="str">
        <f t="shared" si="98"/>
        <v/>
      </c>
      <c r="J1577" s="34">
        <f>IF(AND(A1577&lt;&gt;"",ISTEXT(A1577),COUNTIFS(Processos!$AS$10:$AS$509,"="&amp;SUBSTITUTE(SUBSTITUTE(SUBSTITUTE("P:"&amp;A1577,"~","~~"),"*","~*"),"?","~?"))=1),(IF(ISNA(MATCH(SUBSTITUTE(SUBSTITUTE(SUBSTITUTE("P:"&amp;A1577,"~","~~"),"*","~*"),"?","~?"),Processos!$AS$10:$AS$509,0)),9,INDEX(Processos!$AM$10:$AM$509,MATCH(SUBSTITUTE(SUBSTITUTE(SUBSTITUTE("P:"&amp;A1577,"~","~~"),"*","~*"),"?","~?"),Processos!$AS$10:$AS$509,0)))-9),0)</f>
        <v>0</v>
      </c>
      <c r="K1577" s="34" t="str">
        <f t="shared" si="99"/>
        <v/>
      </c>
      <c r="L1577" s="14">
        <f>ROW()</f>
        <v>1577</v>
      </c>
    </row>
    <row r="1578" spans="1:12" ht="60" customHeight="1">
      <c r="A1578" s="41"/>
      <c r="B1578" s="43"/>
      <c r="C1578" s="44"/>
      <c r="D1578" s="51"/>
      <c r="E1578" s="44"/>
      <c r="F1578" s="44"/>
      <c r="G1578" s="34">
        <f t="shared" si="96"/>
        <v>0</v>
      </c>
      <c r="H1578" s="34" t="str">
        <f t="shared" si="97"/>
        <v/>
      </c>
      <c r="I1578" s="52" t="str">
        <f t="shared" si="98"/>
        <v/>
      </c>
      <c r="J1578" s="34">
        <f>IF(AND(A1578&lt;&gt;"",ISTEXT(A1578),COUNTIFS(Processos!$AS$10:$AS$509,"="&amp;SUBSTITUTE(SUBSTITUTE(SUBSTITUTE("P:"&amp;A1578,"~","~~"),"*","~*"),"?","~?"))=1),(IF(ISNA(MATCH(SUBSTITUTE(SUBSTITUTE(SUBSTITUTE("P:"&amp;A1578,"~","~~"),"*","~*"),"?","~?"),Processos!$AS$10:$AS$509,0)),9,INDEX(Processos!$AM$10:$AM$509,MATCH(SUBSTITUTE(SUBSTITUTE(SUBSTITUTE("P:"&amp;A1578,"~","~~"),"*","~*"),"?","~?"),Processos!$AS$10:$AS$509,0)))-9),0)</f>
        <v>0</v>
      </c>
      <c r="K1578" s="34" t="str">
        <f t="shared" si="99"/>
        <v/>
      </c>
      <c r="L1578" s="14">
        <f>ROW()</f>
        <v>1578</v>
      </c>
    </row>
    <row r="1579" spans="1:12" ht="60" customHeight="1">
      <c r="A1579" s="41"/>
      <c r="B1579" s="43"/>
      <c r="C1579" s="44"/>
      <c r="D1579" s="51"/>
      <c r="E1579" s="44"/>
      <c r="F1579" s="44"/>
      <c r="G1579" s="34">
        <f t="shared" si="96"/>
        <v>0</v>
      </c>
      <c r="H1579" s="34" t="str">
        <f t="shared" si="97"/>
        <v/>
      </c>
      <c r="I1579" s="52" t="str">
        <f t="shared" si="98"/>
        <v/>
      </c>
      <c r="J1579" s="34">
        <f>IF(AND(A1579&lt;&gt;"",ISTEXT(A1579),COUNTIFS(Processos!$AS$10:$AS$509,"="&amp;SUBSTITUTE(SUBSTITUTE(SUBSTITUTE("P:"&amp;A1579,"~","~~"),"*","~*"),"?","~?"))=1),(IF(ISNA(MATCH(SUBSTITUTE(SUBSTITUTE(SUBSTITUTE("P:"&amp;A1579,"~","~~"),"*","~*"),"?","~?"),Processos!$AS$10:$AS$509,0)),9,INDEX(Processos!$AM$10:$AM$509,MATCH(SUBSTITUTE(SUBSTITUTE(SUBSTITUTE("P:"&amp;A1579,"~","~~"),"*","~*"),"?","~?"),Processos!$AS$10:$AS$509,0)))-9),0)</f>
        <v>0</v>
      </c>
      <c r="K1579" s="34" t="str">
        <f t="shared" si="99"/>
        <v/>
      </c>
      <c r="L1579" s="14">
        <f>ROW()</f>
        <v>1579</v>
      </c>
    </row>
    <row r="1580" spans="1:12" ht="60" customHeight="1">
      <c r="A1580" s="41"/>
      <c r="B1580" s="43"/>
      <c r="C1580" s="44"/>
      <c r="D1580" s="51"/>
      <c r="E1580" s="44"/>
      <c r="F1580" s="44"/>
      <c r="G1580" s="34">
        <f t="shared" si="96"/>
        <v>0</v>
      </c>
      <c r="H1580" s="34" t="str">
        <f t="shared" si="97"/>
        <v/>
      </c>
      <c r="I1580" s="52" t="str">
        <f t="shared" si="98"/>
        <v/>
      </c>
      <c r="J1580" s="34">
        <f>IF(AND(A1580&lt;&gt;"",ISTEXT(A1580),COUNTIFS(Processos!$AS$10:$AS$509,"="&amp;SUBSTITUTE(SUBSTITUTE(SUBSTITUTE("P:"&amp;A1580,"~","~~"),"*","~*"),"?","~?"))=1),(IF(ISNA(MATCH(SUBSTITUTE(SUBSTITUTE(SUBSTITUTE("P:"&amp;A1580,"~","~~"),"*","~*"),"?","~?"),Processos!$AS$10:$AS$509,0)),9,INDEX(Processos!$AM$10:$AM$509,MATCH(SUBSTITUTE(SUBSTITUTE(SUBSTITUTE("P:"&amp;A1580,"~","~~"),"*","~*"),"?","~?"),Processos!$AS$10:$AS$509,0)))-9),0)</f>
        <v>0</v>
      </c>
      <c r="K1580" s="34" t="str">
        <f t="shared" si="99"/>
        <v/>
      </c>
      <c r="L1580" s="14">
        <f>ROW()</f>
        <v>1580</v>
      </c>
    </row>
    <row r="1581" spans="1:12" ht="60" customHeight="1">
      <c r="A1581" s="41"/>
      <c r="B1581" s="43"/>
      <c r="C1581" s="44"/>
      <c r="D1581" s="51"/>
      <c r="E1581" s="44"/>
      <c r="F1581" s="44"/>
      <c r="G1581" s="34">
        <f t="shared" si="96"/>
        <v>0</v>
      </c>
      <c r="H1581" s="34" t="str">
        <f t="shared" si="97"/>
        <v/>
      </c>
      <c r="I1581" s="52" t="str">
        <f t="shared" si="98"/>
        <v/>
      </c>
      <c r="J1581" s="34">
        <f>IF(AND(A1581&lt;&gt;"",ISTEXT(A1581),COUNTIFS(Processos!$AS$10:$AS$509,"="&amp;SUBSTITUTE(SUBSTITUTE(SUBSTITUTE("P:"&amp;A1581,"~","~~"),"*","~*"),"?","~?"))=1),(IF(ISNA(MATCH(SUBSTITUTE(SUBSTITUTE(SUBSTITUTE("P:"&amp;A1581,"~","~~"),"*","~*"),"?","~?"),Processos!$AS$10:$AS$509,0)),9,INDEX(Processos!$AM$10:$AM$509,MATCH(SUBSTITUTE(SUBSTITUTE(SUBSTITUTE("P:"&amp;A1581,"~","~~"),"*","~*"),"?","~?"),Processos!$AS$10:$AS$509,0)))-9),0)</f>
        <v>0</v>
      </c>
      <c r="K1581" s="34" t="str">
        <f t="shared" si="99"/>
        <v/>
      </c>
      <c r="L1581" s="14">
        <f>ROW()</f>
        <v>1581</v>
      </c>
    </row>
    <row r="1582" spans="1:12" ht="60" customHeight="1">
      <c r="A1582" s="41"/>
      <c r="B1582" s="43"/>
      <c r="C1582" s="44"/>
      <c r="D1582" s="51"/>
      <c r="E1582" s="44"/>
      <c r="F1582" s="44"/>
      <c r="G1582" s="34">
        <f t="shared" si="96"/>
        <v>0</v>
      </c>
      <c r="H1582" s="34" t="str">
        <f t="shared" si="97"/>
        <v/>
      </c>
      <c r="I1582" s="52" t="str">
        <f t="shared" si="98"/>
        <v/>
      </c>
      <c r="J1582" s="34">
        <f>IF(AND(A1582&lt;&gt;"",ISTEXT(A1582),COUNTIFS(Processos!$AS$10:$AS$509,"="&amp;SUBSTITUTE(SUBSTITUTE(SUBSTITUTE("P:"&amp;A1582,"~","~~"),"*","~*"),"?","~?"))=1),(IF(ISNA(MATCH(SUBSTITUTE(SUBSTITUTE(SUBSTITUTE("P:"&amp;A1582,"~","~~"),"*","~*"),"?","~?"),Processos!$AS$10:$AS$509,0)),9,INDEX(Processos!$AM$10:$AM$509,MATCH(SUBSTITUTE(SUBSTITUTE(SUBSTITUTE("P:"&amp;A1582,"~","~~"),"*","~*"),"?","~?"),Processos!$AS$10:$AS$509,0)))-9),0)</f>
        <v>0</v>
      </c>
      <c r="K1582" s="34" t="str">
        <f t="shared" si="99"/>
        <v/>
      </c>
      <c r="L1582" s="14">
        <f>ROW()</f>
        <v>1582</v>
      </c>
    </row>
    <row r="1583" spans="1:12" ht="60" customHeight="1">
      <c r="A1583" s="41"/>
      <c r="B1583" s="43"/>
      <c r="C1583" s="44"/>
      <c r="D1583" s="51"/>
      <c r="E1583" s="44"/>
      <c r="F1583" s="44"/>
      <c r="G1583" s="34">
        <f t="shared" si="96"/>
        <v>0</v>
      </c>
      <c r="H1583" s="34" t="str">
        <f t="shared" si="97"/>
        <v/>
      </c>
      <c r="I1583" s="52" t="str">
        <f t="shared" si="98"/>
        <v/>
      </c>
      <c r="J1583" s="34">
        <f>IF(AND(A1583&lt;&gt;"",ISTEXT(A1583),COUNTIFS(Processos!$AS$10:$AS$509,"="&amp;SUBSTITUTE(SUBSTITUTE(SUBSTITUTE("P:"&amp;A1583,"~","~~"),"*","~*"),"?","~?"))=1),(IF(ISNA(MATCH(SUBSTITUTE(SUBSTITUTE(SUBSTITUTE("P:"&amp;A1583,"~","~~"),"*","~*"),"?","~?"),Processos!$AS$10:$AS$509,0)),9,INDEX(Processos!$AM$10:$AM$509,MATCH(SUBSTITUTE(SUBSTITUTE(SUBSTITUTE("P:"&amp;A1583,"~","~~"),"*","~*"),"?","~?"),Processos!$AS$10:$AS$509,0)))-9),0)</f>
        <v>0</v>
      </c>
      <c r="K1583" s="34" t="str">
        <f t="shared" si="99"/>
        <v/>
      </c>
      <c r="L1583" s="14">
        <f>ROW()</f>
        <v>1583</v>
      </c>
    </row>
    <row r="1584" spans="1:12" ht="60" customHeight="1">
      <c r="A1584" s="41"/>
      <c r="B1584" s="43"/>
      <c r="C1584" s="44"/>
      <c r="D1584" s="51"/>
      <c r="E1584" s="44"/>
      <c r="F1584" s="44"/>
      <c r="G1584" s="34">
        <f t="shared" si="96"/>
        <v>0</v>
      </c>
      <c r="H1584" s="34" t="str">
        <f t="shared" si="97"/>
        <v/>
      </c>
      <c r="I1584" s="52" t="str">
        <f t="shared" si="98"/>
        <v/>
      </c>
      <c r="J1584" s="34">
        <f>IF(AND(A1584&lt;&gt;"",ISTEXT(A1584),COUNTIFS(Processos!$AS$10:$AS$509,"="&amp;SUBSTITUTE(SUBSTITUTE(SUBSTITUTE("P:"&amp;A1584,"~","~~"),"*","~*"),"?","~?"))=1),(IF(ISNA(MATCH(SUBSTITUTE(SUBSTITUTE(SUBSTITUTE("P:"&amp;A1584,"~","~~"),"*","~*"),"?","~?"),Processos!$AS$10:$AS$509,0)),9,INDEX(Processos!$AM$10:$AM$509,MATCH(SUBSTITUTE(SUBSTITUTE(SUBSTITUTE("P:"&amp;A1584,"~","~~"),"*","~*"),"?","~?"),Processos!$AS$10:$AS$509,0)))-9),0)</f>
        <v>0</v>
      </c>
      <c r="K1584" s="34" t="str">
        <f t="shared" si="99"/>
        <v/>
      </c>
      <c r="L1584" s="14">
        <f>ROW()</f>
        <v>1584</v>
      </c>
    </row>
    <row r="1585" spans="1:12" ht="60" customHeight="1">
      <c r="A1585" s="41"/>
      <c r="B1585" s="43"/>
      <c r="C1585" s="44"/>
      <c r="D1585" s="51"/>
      <c r="E1585" s="44"/>
      <c r="F1585" s="44"/>
      <c r="G1585" s="34">
        <f t="shared" si="96"/>
        <v>0</v>
      </c>
      <c r="H1585" s="34" t="str">
        <f t="shared" si="97"/>
        <v/>
      </c>
      <c r="I1585" s="52" t="str">
        <f t="shared" si="98"/>
        <v/>
      </c>
      <c r="J1585" s="34">
        <f>IF(AND(A1585&lt;&gt;"",ISTEXT(A1585),COUNTIFS(Processos!$AS$10:$AS$509,"="&amp;SUBSTITUTE(SUBSTITUTE(SUBSTITUTE("P:"&amp;A1585,"~","~~"),"*","~*"),"?","~?"))=1),(IF(ISNA(MATCH(SUBSTITUTE(SUBSTITUTE(SUBSTITUTE("P:"&amp;A1585,"~","~~"),"*","~*"),"?","~?"),Processos!$AS$10:$AS$509,0)),9,INDEX(Processos!$AM$10:$AM$509,MATCH(SUBSTITUTE(SUBSTITUTE(SUBSTITUTE("P:"&amp;A1585,"~","~~"),"*","~*"),"?","~?"),Processos!$AS$10:$AS$509,0)))-9),0)</f>
        <v>0</v>
      </c>
      <c r="K1585" s="34" t="str">
        <f t="shared" si="99"/>
        <v/>
      </c>
      <c r="L1585" s="14">
        <f>ROW()</f>
        <v>1585</v>
      </c>
    </row>
    <row r="1586" spans="1:12" ht="60" customHeight="1">
      <c r="A1586" s="41"/>
      <c r="B1586" s="43"/>
      <c r="C1586" s="44"/>
      <c r="D1586" s="51"/>
      <c r="E1586" s="44"/>
      <c r="F1586" s="44"/>
      <c r="G1586" s="34">
        <f t="shared" si="96"/>
        <v>0</v>
      </c>
      <c r="H1586" s="34" t="str">
        <f t="shared" si="97"/>
        <v/>
      </c>
      <c r="I1586" s="52" t="str">
        <f t="shared" si="98"/>
        <v/>
      </c>
      <c r="J1586" s="34">
        <f>IF(AND(A1586&lt;&gt;"",ISTEXT(A1586),COUNTIFS(Processos!$AS$10:$AS$509,"="&amp;SUBSTITUTE(SUBSTITUTE(SUBSTITUTE("P:"&amp;A1586,"~","~~"),"*","~*"),"?","~?"))=1),(IF(ISNA(MATCH(SUBSTITUTE(SUBSTITUTE(SUBSTITUTE("P:"&amp;A1586,"~","~~"),"*","~*"),"?","~?"),Processos!$AS$10:$AS$509,0)),9,INDEX(Processos!$AM$10:$AM$509,MATCH(SUBSTITUTE(SUBSTITUTE(SUBSTITUTE("P:"&amp;A1586,"~","~~"),"*","~*"),"?","~?"),Processos!$AS$10:$AS$509,0)))-9),0)</f>
        <v>0</v>
      </c>
      <c r="K1586" s="34" t="str">
        <f t="shared" si="99"/>
        <v/>
      </c>
      <c r="L1586" s="14">
        <f>ROW()</f>
        <v>1586</v>
      </c>
    </row>
    <row r="1587" spans="1:12" ht="60" customHeight="1">
      <c r="A1587" s="41"/>
      <c r="B1587" s="43"/>
      <c r="C1587" s="44"/>
      <c r="D1587" s="51"/>
      <c r="E1587" s="44"/>
      <c r="F1587" s="44"/>
      <c r="G1587" s="34">
        <f t="shared" si="96"/>
        <v>0</v>
      </c>
      <c r="H1587" s="34" t="str">
        <f t="shared" si="97"/>
        <v/>
      </c>
      <c r="I1587" s="52" t="str">
        <f t="shared" si="98"/>
        <v/>
      </c>
      <c r="J1587" s="34">
        <f>IF(AND(A1587&lt;&gt;"",ISTEXT(A1587),COUNTIFS(Processos!$AS$10:$AS$509,"="&amp;SUBSTITUTE(SUBSTITUTE(SUBSTITUTE("P:"&amp;A1587,"~","~~"),"*","~*"),"?","~?"))=1),(IF(ISNA(MATCH(SUBSTITUTE(SUBSTITUTE(SUBSTITUTE("P:"&amp;A1587,"~","~~"),"*","~*"),"?","~?"),Processos!$AS$10:$AS$509,0)),9,INDEX(Processos!$AM$10:$AM$509,MATCH(SUBSTITUTE(SUBSTITUTE(SUBSTITUTE("P:"&amp;A1587,"~","~~"),"*","~*"),"?","~?"),Processos!$AS$10:$AS$509,0)))-9),0)</f>
        <v>0</v>
      </c>
      <c r="K1587" s="34" t="str">
        <f t="shared" si="99"/>
        <v/>
      </c>
      <c r="L1587" s="14">
        <f>ROW()</f>
        <v>1587</v>
      </c>
    </row>
    <row r="1588" spans="1:12" ht="60" customHeight="1">
      <c r="A1588" s="41"/>
      <c r="B1588" s="43"/>
      <c r="C1588" s="44"/>
      <c r="D1588" s="51"/>
      <c r="E1588" s="44"/>
      <c r="F1588" s="44"/>
      <c r="G1588" s="34">
        <f t="shared" si="96"/>
        <v>0</v>
      </c>
      <c r="H1588" s="34" t="str">
        <f t="shared" si="97"/>
        <v/>
      </c>
      <c r="I1588" s="52" t="str">
        <f t="shared" si="98"/>
        <v/>
      </c>
      <c r="J1588" s="34">
        <f>IF(AND(A1588&lt;&gt;"",ISTEXT(A1588),COUNTIFS(Processos!$AS$10:$AS$509,"="&amp;SUBSTITUTE(SUBSTITUTE(SUBSTITUTE("P:"&amp;A1588,"~","~~"),"*","~*"),"?","~?"))=1),(IF(ISNA(MATCH(SUBSTITUTE(SUBSTITUTE(SUBSTITUTE("P:"&amp;A1588,"~","~~"),"*","~*"),"?","~?"),Processos!$AS$10:$AS$509,0)),9,INDEX(Processos!$AM$10:$AM$509,MATCH(SUBSTITUTE(SUBSTITUTE(SUBSTITUTE("P:"&amp;A1588,"~","~~"),"*","~*"),"?","~?"),Processos!$AS$10:$AS$509,0)))-9),0)</f>
        <v>0</v>
      </c>
      <c r="K1588" s="34" t="str">
        <f t="shared" si="99"/>
        <v/>
      </c>
      <c r="L1588" s="14">
        <f>ROW()</f>
        <v>1588</v>
      </c>
    </row>
    <row r="1589" spans="1:12" ht="60" customHeight="1">
      <c r="A1589" s="41"/>
      <c r="B1589" s="43"/>
      <c r="C1589" s="44"/>
      <c r="D1589" s="51"/>
      <c r="E1589" s="44"/>
      <c r="F1589" s="44"/>
      <c r="G1589" s="34">
        <f t="shared" si="96"/>
        <v>0</v>
      </c>
      <c r="H1589" s="34" t="str">
        <f t="shared" si="97"/>
        <v/>
      </c>
      <c r="I1589" s="52" t="str">
        <f t="shared" si="98"/>
        <v/>
      </c>
      <c r="J1589" s="34">
        <f>IF(AND(A1589&lt;&gt;"",ISTEXT(A1589),COUNTIFS(Processos!$AS$10:$AS$509,"="&amp;SUBSTITUTE(SUBSTITUTE(SUBSTITUTE("P:"&amp;A1589,"~","~~"),"*","~*"),"?","~?"))=1),(IF(ISNA(MATCH(SUBSTITUTE(SUBSTITUTE(SUBSTITUTE("P:"&amp;A1589,"~","~~"),"*","~*"),"?","~?"),Processos!$AS$10:$AS$509,0)),9,INDEX(Processos!$AM$10:$AM$509,MATCH(SUBSTITUTE(SUBSTITUTE(SUBSTITUTE("P:"&amp;A1589,"~","~~"),"*","~*"),"?","~?"),Processos!$AS$10:$AS$509,0)))-9),0)</f>
        <v>0</v>
      </c>
      <c r="K1589" s="34" t="str">
        <f t="shared" si="99"/>
        <v/>
      </c>
      <c r="L1589" s="14">
        <f>ROW()</f>
        <v>1589</v>
      </c>
    </row>
    <row r="1590" spans="1:12" ht="60" customHeight="1">
      <c r="A1590" s="41"/>
      <c r="B1590" s="43"/>
      <c r="C1590" s="44"/>
      <c r="D1590" s="51"/>
      <c r="E1590" s="44"/>
      <c r="F1590" s="44"/>
      <c r="G1590" s="34">
        <f t="shared" si="96"/>
        <v>0</v>
      </c>
      <c r="H1590" s="34" t="str">
        <f t="shared" si="97"/>
        <v/>
      </c>
      <c r="I1590" s="52" t="str">
        <f t="shared" si="98"/>
        <v/>
      </c>
      <c r="J1590" s="34">
        <f>IF(AND(A1590&lt;&gt;"",ISTEXT(A1590),COUNTIFS(Processos!$AS$10:$AS$509,"="&amp;SUBSTITUTE(SUBSTITUTE(SUBSTITUTE("P:"&amp;A1590,"~","~~"),"*","~*"),"?","~?"))=1),(IF(ISNA(MATCH(SUBSTITUTE(SUBSTITUTE(SUBSTITUTE("P:"&amp;A1590,"~","~~"),"*","~*"),"?","~?"),Processos!$AS$10:$AS$509,0)),9,INDEX(Processos!$AM$10:$AM$509,MATCH(SUBSTITUTE(SUBSTITUTE(SUBSTITUTE("P:"&amp;A1590,"~","~~"),"*","~*"),"?","~?"),Processos!$AS$10:$AS$509,0)))-9),0)</f>
        <v>0</v>
      </c>
      <c r="K1590" s="34" t="str">
        <f t="shared" si="99"/>
        <v/>
      </c>
      <c r="L1590" s="14">
        <f>ROW()</f>
        <v>1590</v>
      </c>
    </row>
    <row r="1591" spans="1:12" ht="60" customHeight="1">
      <c r="A1591" s="41"/>
      <c r="B1591" s="43"/>
      <c r="C1591" s="44"/>
      <c r="D1591" s="51"/>
      <c r="E1591" s="44"/>
      <c r="F1591" s="44"/>
      <c r="G1591" s="34">
        <f t="shared" si="96"/>
        <v>0</v>
      </c>
      <c r="H1591" s="34" t="str">
        <f t="shared" si="97"/>
        <v/>
      </c>
      <c r="I1591" s="52" t="str">
        <f t="shared" si="98"/>
        <v/>
      </c>
      <c r="J1591" s="34">
        <f>IF(AND(A1591&lt;&gt;"",ISTEXT(A1591),COUNTIFS(Processos!$AS$10:$AS$509,"="&amp;SUBSTITUTE(SUBSTITUTE(SUBSTITUTE("P:"&amp;A1591,"~","~~"),"*","~*"),"?","~?"))=1),(IF(ISNA(MATCH(SUBSTITUTE(SUBSTITUTE(SUBSTITUTE("P:"&amp;A1591,"~","~~"),"*","~*"),"?","~?"),Processos!$AS$10:$AS$509,0)),9,INDEX(Processos!$AM$10:$AM$509,MATCH(SUBSTITUTE(SUBSTITUTE(SUBSTITUTE("P:"&amp;A1591,"~","~~"),"*","~*"),"?","~?"),Processos!$AS$10:$AS$509,0)))-9),0)</f>
        <v>0</v>
      </c>
      <c r="K1591" s="34" t="str">
        <f t="shared" si="99"/>
        <v/>
      </c>
      <c r="L1591" s="14">
        <f>ROW()</f>
        <v>1591</v>
      </c>
    </row>
    <row r="1592" spans="1:12" ht="60" customHeight="1">
      <c r="A1592" s="41"/>
      <c r="B1592" s="43"/>
      <c r="C1592" s="44"/>
      <c r="D1592" s="51"/>
      <c r="E1592" s="44"/>
      <c r="F1592" s="44"/>
      <c r="G1592" s="34">
        <f t="shared" si="96"/>
        <v>0</v>
      </c>
      <c r="H1592" s="34" t="str">
        <f t="shared" si="97"/>
        <v/>
      </c>
      <c r="I1592" s="52" t="str">
        <f t="shared" si="98"/>
        <v/>
      </c>
      <c r="J1592" s="34">
        <f>IF(AND(A1592&lt;&gt;"",ISTEXT(A1592),COUNTIFS(Processos!$AS$10:$AS$509,"="&amp;SUBSTITUTE(SUBSTITUTE(SUBSTITUTE("P:"&amp;A1592,"~","~~"),"*","~*"),"?","~?"))=1),(IF(ISNA(MATCH(SUBSTITUTE(SUBSTITUTE(SUBSTITUTE("P:"&amp;A1592,"~","~~"),"*","~*"),"?","~?"),Processos!$AS$10:$AS$509,0)),9,INDEX(Processos!$AM$10:$AM$509,MATCH(SUBSTITUTE(SUBSTITUTE(SUBSTITUTE("P:"&amp;A1592,"~","~~"),"*","~*"),"?","~?"),Processos!$AS$10:$AS$509,0)))-9),0)</f>
        <v>0</v>
      </c>
      <c r="K1592" s="34" t="str">
        <f t="shared" si="99"/>
        <v/>
      </c>
      <c r="L1592" s="14">
        <f>ROW()</f>
        <v>1592</v>
      </c>
    </row>
    <row r="1593" spans="1:12" ht="60" customHeight="1">
      <c r="A1593" s="41"/>
      <c r="B1593" s="43"/>
      <c r="C1593" s="44"/>
      <c r="D1593" s="51"/>
      <c r="E1593" s="44"/>
      <c r="F1593" s="44"/>
      <c r="G1593" s="34">
        <f t="shared" si="96"/>
        <v>0</v>
      </c>
      <c r="H1593" s="34" t="str">
        <f t="shared" si="97"/>
        <v/>
      </c>
      <c r="I1593" s="52" t="str">
        <f t="shared" si="98"/>
        <v/>
      </c>
      <c r="J1593" s="34">
        <f>IF(AND(A1593&lt;&gt;"",ISTEXT(A1593),COUNTIFS(Processos!$AS$10:$AS$509,"="&amp;SUBSTITUTE(SUBSTITUTE(SUBSTITUTE("P:"&amp;A1593,"~","~~"),"*","~*"),"?","~?"))=1),(IF(ISNA(MATCH(SUBSTITUTE(SUBSTITUTE(SUBSTITUTE("P:"&amp;A1593,"~","~~"),"*","~*"),"?","~?"),Processos!$AS$10:$AS$509,0)),9,INDEX(Processos!$AM$10:$AM$509,MATCH(SUBSTITUTE(SUBSTITUTE(SUBSTITUTE("P:"&amp;A1593,"~","~~"),"*","~*"),"?","~?"),Processos!$AS$10:$AS$509,0)))-9),0)</f>
        <v>0</v>
      </c>
      <c r="K1593" s="34" t="str">
        <f t="shared" si="99"/>
        <v/>
      </c>
      <c r="L1593" s="14">
        <f>ROW()</f>
        <v>1593</v>
      </c>
    </row>
    <row r="1594" spans="1:12" ht="60" customHeight="1">
      <c r="A1594" s="41"/>
      <c r="B1594" s="43"/>
      <c r="C1594" s="44"/>
      <c r="D1594" s="51"/>
      <c r="E1594" s="44"/>
      <c r="F1594" s="44"/>
      <c r="G1594" s="34">
        <f t="shared" si="96"/>
        <v>0</v>
      </c>
      <c r="H1594" s="34" t="str">
        <f t="shared" si="97"/>
        <v/>
      </c>
      <c r="I1594" s="52" t="str">
        <f t="shared" si="98"/>
        <v/>
      </c>
      <c r="J1594" s="34">
        <f>IF(AND(A1594&lt;&gt;"",ISTEXT(A1594),COUNTIFS(Processos!$AS$10:$AS$509,"="&amp;SUBSTITUTE(SUBSTITUTE(SUBSTITUTE("P:"&amp;A1594,"~","~~"),"*","~*"),"?","~?"))=1),(IF(ISNA(MATCH(SUBSTITUTE(SUBSTITUTE(SUBSTITUTE("P:"&amp;A1594,"~","~~"),"*","~*"),"?","~?"),Processos!$AS$10:$AS$509,0)),9,INDEX(Processos!$AM$10:$AM$509,MATCH(SUBSTITUTE(SUBSTITUTE(SUBSTITUTE("P:"&amp;A1594,"~","~~"),"*","~*"),"?","~?"),Processos!$AS$10:$AS$509,0)))-9),0)</f>
        <v>0</v>
      </c>
      <c r="K1594" s="34" t="str">
        <f t="shared" si="99"/>
        <v/>
      </c>
      <c r="L1594" s="14">
        <f>ROW()</f>
        <v>1594</v>
      </c>
    </row>
    <row r="1595" spans="1:12" ht="60" customHeight="1">
      <c r="A1595" s="41"/>
      <c r="B1595" s="43"/>
      <c r="C1595" s="44"/>
      <c r="D1595" s="51"/>
      <c r="E1595" s="44"/>
      <c r="F1595" s="44"/>
      <c r="G1595" s="34">
        <f t="shared" si="96"/>
        <v>0</v>
      </c>
      <c r="H1595" s="34" t="str">
        <f t="shared" si="97"/>
        <v/>
      </c>
      <c r="I1595" s="52" t="str">
        <f t="shared" si="98"/>
        <v/>
      </c>
      <c r="J1595" s="34">
        <f>IF(AND(A1595&lt;&gt;"",ISTEXT(A1595),COUNTIFS(Processos!$AS$10:$AS$509,"="&amp;SUBSTITUTE(SUBSTITUTE(SUBSTITUTE("P:"&amp;A1595,"~","~~"),"*","~*"),"?","~?"))=1),(IF(ISNA(MATCH(SUBSTITUTE(SUBSTITUTE(SUBSTITUTE("P:"&amp;A1595,"~","~~"),"*","~*"),"?","~?"),Processos!$AS$10:$AS$509,0)),9,INDEX(Processos!$AM$10:$AM$509,MATCH(SUBSTITUTE(SUBSTITUTE(SUBSTITUTE("P:"&amp;A1595,"~","~~"),"*","~*"),"?","~?"),Processos!$AS$10:$AS$509,0)))-9),0)</f>
        <v>0</v>
      </c>
      <c r="K1595" s="34" t="str">
        <f t="shared" si="99"/>
        <v/>
      </c>
      <c r="L1595" s="14">
        <f>ROW()</f>
        <v>1595</v>
      </c>
    </row>
    <row r="1596" spans="1:12" ht="60" customHeight="1">
      <c r="A1596" s="41"/>
      <c r="B1596" s="43"/>
      <c r="C1596" s="44"/>
      <c r="D1596" s="51"/>
      <c r="E1596" s="44"/>
      <c r="F1596" s="44"/>
      <c r="G1596" s="34">
        <f t="shared" si="96"/>
        <v>0</v>
      </c>
      <c r="H1596" s="34" t="str">
        <f t="shared" si="97"/>
        <v/>
      </c>
      <c r="I1596" s="52" t="str">
        <f t="shared" si="98"/>
        <v/>
      </c>
      <c r="J1596" s="34">
        <f>IF(AND(A1596&lt;&gt;"",ISTEXT(A1596),COUNTIFS(Processos!$AS$10:$AS$509,"="&amp;SUBSTITUTE(SUBSTITUTE(SUBSTITUTE("P:"&amp;A1596,"~","~~"),"*","~*"),"?","~?"))=1),(IF(ISNA(MATCH(SUBSTITUTE(SUBSTITUTE(SUBSTITUTE("P:"&amp;A1596,"~","~~"),"*","~*"),"?","~?"),Processos!$AS$10:$AS$509,0)),9,INDEX(Processos!$AM$10:$AM$509,MATCH(SUBSTITUTE(SUBSTITUTE(SUBSTITUTE("P:"&amp;A1596,"~","~~"),"*","~*"),"?","~?"),Processos!$AS$10:$AS$509,0)))-9),0)</f>
        <v>0</v>
      </c>
      <c r="K1596" s="34" t="str">
        <f t="shared" si="99"/>
        <v/>
      </c>
      <c r="L1596" s="14">
        <f>ROW()</f>
        <v>1596</v>
      </c>
    </row>
    <row r="1597" spans="1:12" ht="60" customHeight="1">
      <c r="A1597" s="41"/>
      <c r="B1597" s="43"/>
      <c r="C1597" s="44"/>
      <c r="D1597" s="51"/>
      <c r="E1597" s="44"/>
      <c r="F1597" s="44"/>
      <c r="G1597" s="34">
        <f t="shared" si="96"/>
        <v>0</v>
      </c>
      <c r="H1597" s="34" t="str">
        <f t="shared" si="97"/>
        <v/>
      </c>
      <c r="I1597" s="52" t="str">
        <f t="shared" si="98"/>
        <v/>
      </c>
      <c r="J1597" s="34">
        <f>IF(AND(A1597&lt;&gt;"",ISTEXT(A1597),COUNTIFS(Processos!$AS$10:$AS$509,"="&amp;SUBSTITUTE(SUBSTITUTE(SUBSTITUTE("P:"&amp;A1597,"~","~~"),"*","~*"),"?","~?"))=1),(IF(ISNA(MATCH(SUBSTITUTE(SUBSTITUTE(SUBSTITUTE("P:"&amp;A1597,"~","~~"),"*","~*"),"?","~?"),Processos!$AS$10:$AS$509,0)),9,INDEX(Processos!$AM$10:$AM$509,MATCH(SUBSTITUTE(SUBSTITUTE(SUBSTITUTE("P:"&amp;A1597,"~","~~"),"*","~*"),"?","~?"),Processos!$AS$10:$AS$509,0)))-9),0)</f>
        <v>0</v>
      </c>
      <c r="K1597" s="34" t="str">
        <f t="shared" si="99"/>
        <v/>
      </c>
      <c r="L1597" s="14">
        <f>ROW()</f>
        <v>1597</v>
      </c>
    </row>
    <row r="1598" spans="1:12" ht="60" customHeight="1">
      <c r="A1598" s="41"/>
      <c r="B1598" s="43"/>
      <c r="C1598" s="44"/>
      <c r="D1598" s="51"/>
      <c r="E1598" s="44"/>
      <c r="F1598" s="44"/>
      <c r="G1598" s="34">
        <f t="shared" si="96"/>
        <v>0</v>
      </c>
      <c r="H1598" s="34" t="str">
        <f t="shared" si="97"/>
        <v/>
      </c>
      <c r="I1598" s="52" t="str">
        <f t="shared" si="98"/>
        <v/>
      </c>
      <c r="J1598" s="34">
        <f>IF(AND(A1598&lt;&gt;"",ISTEXT(A1598),COUNTIFS(Processos!$AS$10:$AS$509,"="&amp;SUBSTITUTE(SUBSTITUTE(SUBSTITUTE("P:"&amp;A1598,"~","~~"),"*","~*"),"?","~?"))=1),(IF(ISNA(MATCH(SUBSTITUTE(SUBSTITUTE(SUBSTITUTE("P:"&amp;A1598,"~","~~"),"*","~*"),"?","~?"),Processos!$AS$10:$AS$509,0)),9,INDEX(Processos!$AM$10:$AM$509,MATCH(SUBSTITUTE(SUBSTITUTE(SUBSTITUTE("P:"&amp;A1598,"~","~~"),"*","~*"),"?","~?"),Processos!$AS$10:$AS$509,0)))-9),0)</f>
        <v>0</v>
      </c>
      <c r="K1598" s="34" t="str">
        <f t="shared" si="99"/>
        <v/>
      </c>
      <c r="L1598" s="14">
        <f>ROW()</f>
        <v>1598</v>
      </c>
    </row>
    <row r="1599" spans="1:12" ht="60" customHeight="1">
      <c r="A1599" s="41"/>
      <c r="B1599" s="43"/>
      <c r="C1599" s="44"/>
      <c r="D1599" s="51"/>
      <c r="E1599" s="44"/>
      <c r="F1599" s="44"/>
      <c r="G1599" s="34">
        <f t="shared" si="96"/>
        <v>0</v>
      </c>
      <c r="H1599" s="34" t="str">
        <f t="shared" si="97"/>
        <v/>
      </c>
      <c r="I1599" s="52" t="str">
        <f t="shared" si="98"/>
        <v/>
      </c>
      <c r="J1599" s="34">
        <f>IF(AND(A1599&lt;&gt;"",ISTEXT(A1599),COUNTIFS(Processos!$AS$10:$AS$509,"="&amp;SUBSTITUTE(SUBSTITUTE(SUBSTITUTE("P:"&amp;A1599,"~","~~"),"*","~*"),"?","~?"))=1),(IF(ISNA(MATCH(SUBSTITUTE(SUBSTITUTE(SUBSTITUTE("P:"&amp;A1599,"~","~~"),"*","~*"),"?","~?"),Processos!$AS$10:$AS$509,0)),9,INDEX(Processos!$AM$10:$AM$509,MATCH(SUBSTITUTE(SUBSTITUTE(SUBSTITUTE("P:"&amp;A1599,"~","~~"),"*","~*"),"?","~?"),Processos!$AS$10:$AS$509,0)))-9),0)</f>
        <v>0</v>
      </c>
      <c r="K1599" s="34" t="str">
        <f t="shared" si="99"/>
        <v/>
      </c>
      <c r="L1599" s="14">
        <f>ROW()</f>
        <v>1599</v>
      </c>
    </row>
    <row r="1600" spans="1:12" ht="60" customHeight="1">
      <c r="A1600" s="41"/>
      <c r="B1600" s="43"/>
      <c r="C1600" s="44"/>
      <c r="D1600" s="51"/>
      <c r="E1600" s="44"/>
      <c r="F1600" s="44"/>
      <c r="G1600" s="34">
        <f t="shared" si="96"/>
        <v>0</v>
      </c>
      <c r="H1600" s="34" t="str">
        <f t="shared" si="97"/>
        <v/>
      </c>
      <c r="I1600" s="52" t="str">
        <f t="shared" si="98"/>
        <v/>
      </c>
      <c r="J1600" s="34">
        <f>IF(AND(A1600&lt;&gt;"",ISTEXT(A1600),COUNTIFS(Processos!$AS$10:$AS$509,"="&amp;SUBSTITUTE(SUBSTITUTE(SUBSTITUTE("P:"&amp;A1600,"~","~~"),"*","~*"),"?","~?"))=1),(IF(ISNA(MATCH(SUBSTITUTE(SUBSTITUTE(SUBSTITUTE("P:"&amp;A1600,"~","~~"),"*","~*"),"?","~?"),Processos!$AS$10:$AS$509,0)),9,INDEX(Processos!$AM$10:$AM$509,MATCH(SUBSTITUTE(SUBSTITUTE(SUBSTITUTE("P:"&amp;A1600,"~","~~"),"*","~*"),"?","~?"),Processos!$AS$10:$AS$509,0)))-9),0)</f>
        <v>0</v>
      </c>
      <c r="K1600" s="34" t="str">
        <f t="shared" si="99"/>
        <v/>
      </c>
      <c r="L1600" s="14">
        <f>ROW()</f>
        <v>1600</v>
      </c>
    </row>
    <row r="1601" spans="1:12" ht="60" customHeight="1">
      <c r="A1601" s="41"/>
      <c r="B1601" s="43"/>
      <c r="C1601" s="44"/>
      <c r="D1601" s="51"/>
      <c r="E1601" s="44"/>
      <c r="F1601" s="44"/>
      <c r="G1601" s="34">
        <f t="shared" si="96"/>
        <v>0</v>
      </c>
      <c r="H1601" s="34" t="str">
        <f t="shared" si="97"/>
        <v/>
      </c>
      <c r="I1601" s="52" t="str">
        <f t="shared" si="98"/>
        <v/>
      </c>
      <c r="J1601" s="34">
        <f>IF(AND(A1601&lt;&gt;"",ISTEXT(A1601),COUNTIFS(Processos!$AS$10:$AS$509,"="&amp;SUBSTITUTE(SUBSTITUTE(SUBSTITUTE("P:"&amp;A1601,"~","~~"),"*","~*"),"?","~?"))=1),(IF(ISNA(MATCH(SUBSTITUTE(SUBSTITUTE(SUBSTITUTE("P:"&amp;A1601,"~","~~"),"*","~*"),"?","~?"),Processos!$AS$10:$AS$509,0)),9,INDEX(Processos!$AM$10:$AM$509,MATCH(SUBSTITUTE(SUBSTITUTE(SUBSTITUTE("P:"&amp;A1601,"~","~~"),"*","~*"),"?","~?"),Processos!$AS$10:$AS$509,0)))-9),0)</f>
        <v>0</v>
      </c>
      <c r="K1601" s="34" t="str">
        <f t="shared" si="99"/>
        <v/>
      </c>
      <c r="L1601" s="14">
        <f>ROW()</f>
        <v>1601</v>
      </c>
    </row>
    <row r="1602" spans="1:12" ht="60" customHeight="1">
      <c r="A1602" s="41"/>
      <c r="B1602" s="43"/>
      <c r="C1602" s="44"/>
      <c r="D1602" s="51"/>
      <c r="E1602" s="44"/>
      <c r="F1602" s="44"/>
      <c r="G1602" s="34">
        <f t="shared" si="96"/>
        <v>0</v>
      </c>
      <c r="H1602" s="34" t="str">
        <f t="shared" si="97"/>
        <v/>
      </c>
      <c r="I1602" s="52" t="str">
        <f t="shared" si="98"/>
        <v/>
      </c>
      <c r="J1602" s="34">
        <f>IF(AND(A1602&lt;&gt;"",ISTEXT(A1602),COUNTIFS(Processos!$AS$10:$AS$509,"="&amp;SUBSTITUTE(SUBSTITUTE(SUBSTITUTE("P:"&amp;A1602,"~","~~"),"*","~*"),"?","~?"))=1),(IF(ISNA(MATCH(SUBSTITUTE(SUBSTITUTE(SUBSTITUTE("P:"&amp;A1602,"~","~~"),"*","~*"),"?","~?"),Processos!$AS$10:$AS$509,0)),9,INDEX(Processos!$AM$10:$AM$509,MATCH(SUBSTITUTE(SUBSTITUTE(SUBSTITUTE("P:"&amp;A1602,"~","~~"),"*","~*"),"?","~?"),Processos!$AS$10:$AS$509,0)))-9),0)</f>
        <v>0</v>
      </c>
      <c r="K1602" s="34" t="str">
        <f t="shared" si="99"/>
        <v/>
      </c>
      <c r="L1602" s="14">
        <f>ROW()</f>
        <v>1602</v>
      </c>
    </row>
    <row r="1603" spans="1:12" ht="60" customHeight="1">
      <c r="A1603" s="41"/>
      <c r="B1603" s="43"/>
      <c r="C1603" s="44"/>
      <c r="D1603" s="51"/>
      <c r="E1603" s="44"/>
      <c r="F1603" s="44"/>
      <c r="G1603" s="34">
        <f t="shared" si="96"/>
        <v>0</v>
      </c>
      <c r="H1603" s="34" t="str">
        <f t="shared" si="97"/>
        <v/>
      </c>
      <c r="I1603" s="52" t="str">
        <f t="shared" si="98"/>
        <v/>
      </c>
      <c r="J1603" s="34">
        <f>IF(AND(A1603&lt;&gt;"",ISTEXT(A1603),COUNTIFS(Processos!$AS$10:$AS$509,"="&amp;SUBSTITUTE(SUBSTITUTE(SUBSTITUTE("P:"&amp;A1603,"~","~~"),"*","~*"),"?","~?"))=1),(IF(ISNA(MATCH(SUBSTITUTE(SUBSTITUTE(SUBSTITUTE("P:"&amp;A1603,"~","~~"),"*","~*"),"?","~?"),Processos!$AS$10:$AS$509,0)),9,INDEX(Processos!$AM$10:$AM$509,MATCH(SUBSTITUTE(SUBSTITUTE(SUBSTITUTE("P:"&amp;A1603,"~","~~"),"*","~*"),"?","~?"),Processos!$AS$10:$AS$509,0)))-9),0)</f>
        <v>0</v>
      </c>
      <c r="K1603" s="34" t="str">
        <f t="shared" si="99"/>
        <v/>
      </c>
      <c r="L1603" s="14">
        <f>ROW()</f>
        <v>1603</v>
      </c>
    </row>
    <row r="1604" spans="1:12" ht="60" customHeight="1">
      <c r="A1604" s="41"/>
      <c r="B1604" s="43"/>
      <c r="C1604" s="44"/>
      <c r="D1604" s="51"/>
      <c r="E1604" s="44"/>
      <c r="F1604" s="44"/>
      <c r="G1604" s="34">
        <f t="shared" si="96"/>
        <v>0</v>
      </c>
      <c r="H1604" s="34" t="str">
        <f t="shared" si="97"/>
        <v/>
      </c>
      <c r="I1604" s="52" t="str">
        <f t="shared" si="98"/>
        <v/>
      </c>
      <c r="J1604" s="34">
        <f>IF(AND(A1604&lt;&gt;"",ISTEXT(A1604),COUNTIFS(Processos!$AS$10:$AS$509,"="&amp;SUBSTITUTE(SUBSTITUTE(SUBSTITUTE("P:"&amp;A1604,"~","~~"),"*","~*"),"?","~?"))=1),(IF(ISNA(MATCH(SUBSTITUTE(SUBSTITUTE(SUBSTITUTE("P:"&amp;A1604,"~","~~"),"*","~*"),"?","~?"),Processos!$AS$10:$AS$509,0)),9,INDEX(Processos!$AM$10:$AM$509,MATCH(SUBSTITUTE(SUBSTITUTE(SUBSTITUTE("P:"&amp;A1604,"~","~~"),"*","~*"),"?","~?"),Processos!$AS$10:$AS$509,0)))-9),0)</f>
        <v>0</v>
      </c>
      <c r="K1604" s="34" t="str">
        <f t="shared" si="99"/>
        <v/>
      </c>
      <c r="L1604" s="14">
        <f>ROW()</f>
        <v>1604</v>
      </c>
    </row>
    <row r="1605" spans="1:12" ht="60" customHeight="1">
      <c r="A1605" s="41"/>
      <c r="B1605" s="43"/>
      <c r="C1605" s="44"/>
      <c r="D1605" s="51"/>
      <c r="E1605" s="44"/>
      <c r="F1605" s="44"/>
      <c r="G1605" s="34">
        <f t="shared" si="96"/>
        <v>0</v>
      </c>
      <c r="H1605" s="34" t="str">
        <f t="shared" si="97"/>
        <v/>
      </c>
      <c r="I1605" s="52" t="str">
        <f t="shared" si="98"/>
        <v/>
      </c>
      <c r="J1605" s="34">
        <f>IF(AND(A1605&lt;&gt;"",ISTEXT(A1605),COUNTIFS(Processos!$AS$10:$AS$509,"="&amp;SUBSTITUTE(SUBSTITUTE(SUBSTITUTE("P:"&amp;A1605,"~","~~"),"*","~*"),"?","~?"))=1),(IF(ISNA(MATCH(SUBSTITUTE(SUBSTITUTE(SUBSTITUTE("P:"&amp;A1605,"~","~~"),"*","~*"),"?","~?"),Processos!$AS$10:$AS$509,0)),9,INDEX(Processos!$AM$10:$AM$509,MATCH(SUBSTITUTE(SUBSTITUTE(SUBSTITUTE("P:"&amp;A1605,"~","~~"),"*","~*"),"?","~?"),Processos!$AS$10:$AS$509,0)))-9),0)</f>
        <v>0</v>
      </c>
      <c r="K1605" s="34" t="str">
        <f t="shared" si="99"/>
        <v/>
      </c>
      <c r="L1605" s="14">
        <f>ROW()</f>
        <v>1605</v>
      </c>
    </row>
    <row r="1606" spans="1:12" ht="60" customHeight="1">
      <c r="A1606" s="41"/>
      <c r="B1606" s="43"/>
      <c r="C1606" s="44"/>
      <c r="D1606" s="51"/>
      <c r="E1606" s="44"/>
      <c r="F1606" s="44"/>
      <c r="G1606" s="34">
        <f t="shared" si="96"/>
        <v>0</v>
      </c>
      <c r="H1606" s="34" t="str">
        <f t="shared" si="97"/>
        <v/>
      </c>
      <c r="I1606" s="52" t="str">
        <f t="shared" si="98"/>
        <v/>
      </c>
      <c r="J1606" s="34">
        <f>IF(AND(A1606&lt;&gt;"",ISTEXT(A1606),COUNTIFS(Processos!$AS$10:$AS$509,"="&amp;SUBSTITUTE(SUBSTITUTE(SUBSTITUTE("P:"&amp;A1606,"~","~~"),"*","~*"),"?","~?"))=1),(IF(ISNA(MATCH(SUBSTITUTE(SUBSTITUTE(SUBSTITUTE("P:"&amp;A1606,"~","~~"),"*","~*"),"?","~?"),Processos!$AS$10:$AS$509,0)),9,INDEX(Processos!$AM$10:$AM$509,MATCH(SUBSTITUTE(SUBSTITUTE(SUBSTITUTE("P:"&amp;A1606,"~","~~"),"*","~*"),"?","~?"),Processos!$AS$10:$AS$509,0)))-9),0)</f>
        <v>0</v>
      </c>
      <c r="K1606" s="34" t="str">
        <f t="shared" si="99"/>
        <v/>
      </c>
      <c r="L1606" s="14">
        <f>ROW()</f>
        <v>1606</v>
      </c>
    </row>
    <row r="1607" spans="1:12" ht="60" customHeight="1">
      <c r="A1607" s="41"/>
      <c r="B1607" s="43"/>
      <c r="C1607" s="44"/>
      <c r="D1607" s="51"/>
      <c r="E1607" s="44"/>
      <c r="F1607" s="44"/>
      <c r="G1607" s="34">
        <f t="shared" si="96"/>
        <v>0</v>
      </c>
      <c r="H1607" s="34" t="str">
        <f t="shared" si="97"/>
        <v/>
      </c>
      <c r="I1607" s="52" t="str">
        <f t="shared" si="98"/>
        <v/>
      </c>
      <c r="J1607" s="34">
        <f>IF(AND(A1607&lt;&gt;"",ISTEXT(A1607),COUNTIFS(Processos!$AS$10:$AS$509,"="&amp;SUBSTITUTE(SUBSTITUTE(SUBSTITUTE("P:"&amp;A1607,"~","~~"),"*","~*"),"?","~?"))=1),(IF(ISNA(MATCH(SUBSTITUTE(SUBSTITUTE(SUBSTITUTE("P:"&amp;A1607,"~","~~"),"*","~*"),"?","~?"),Processos!$AS$10:$AS$509,0)),9,INDEX(Processos!$AM$10:$AM$509,MATCH(SUBSTITUTE(SUBSTITUTE(SUBSTITUTE("P:"&amp;A1607,"~","~~"),"*","~*"),"?","~?"),Processos!$AS$10:$AS$509,0)))-9),0)</f>
        <v>0</v>
      </c>
      <c r="K1607" s="34" t="str">
        <f t="shared" si="99"/>
        <v/>
      </c>
      <c r="L1607" s="14">
        <f>ROW()</f>
        <v>1607</v>
      </c>
    </row>
    <row r="1608" spans="1:12" ht="60" customHeight="1">
      <c r="A1608" s="41"/>
      <c r="B1608" s="43"/>
      <c r="C1608" s="44"/>
      <c r="D1608" s="51"/>
      <c r="E1608" s="44"/>
      <c r="F1608" s="44"/>
      <c r="G1608" s="34">
        <f t="shared" si="96"/>
        <v>0</v>
      </c>
      <c r="H1608" s="34" t="str">
        <f t="shared" si="97"/>
        <v/>
      </c>
      <c r="I1608" s="52" t="str">
        <f t="shared" si="98"/>
        <v/>
      </c>
      <c r="J1608" s="34">
        <f>IF(AND(A1608&lt;&gt;"",ISTEXT(A1608),COUNTIFS(Processos!$AS$10:$AS$509,"="&amp;SUBSTITUTE(SUBSTITUTE(SUBSTITUTE("P:"&amp;A1608,"~","~~"),"*","~*"),"?","~?"))=1),(IF(ISNA(MATCH(SUBSTITUTE(SUBSTITUTE(SUBSTITUTE("P:"&amp;A1608,"~","~~"),"*","~*"),"?","~?"),Processos!$AS$10:$AS$509,0)),9,INDEX(Processos!$AM$10:$AM$509,MATCH(SUBSTITUTE(SUBSTITUTE(SUBSTITUTE("P:"&amp;A1608,"~","~~"),"*","~*"),"?","~?"),Processos!$AS$10:$AS$509,0)))-9),0)</f>
        <v>0</v>
      </c>
      <c r="K1608" s="34" t="str">
        <f t="shared" si="99"/>
        <v/>
      </c>
      <c r="L1608" s="14">
        <f>ROW()</f>
        <v>1608</v>
      </c>
    </row>
    <row r="1609" spans="1:12" ht="60" customHeight="1">
      <c r="A1609" s="41"/>
      <c r="B1609" s="43"/>
      <c r="C1609" s="44"/>
      <c r="D1609" s="51"/>
      <c r="E1609" s="44"/>
      <c r="F1609" s="44"/>
      <c r="G1609" s="34">
        <f t="shared" si="96"/>
        <v>0</v>
      </c>
      <c r="H1609" s="34" t="str">
        <f t="shared" si="97"/>
        <v/>
      </c>
      <c r="I1609" s="52" t="str">
        <f t="shared" si="98"/>
        <v/>
      </c>
      <c r="J1609" s="34">
        <f>IF(AND(A1609&lt;&gt;"",ISTEXT(A1609),COUNTIFS(Processos!$AS$10:$AS$509,"="&amp;SUBSTITUTE(SUBSTITUTE(SUBSTITUTE("P:"&amp;A1609,"~","~~"),"*","~*"),"?","~?"))=1),(IF(ISNA(MATCH(SUBSTITUTE(SUBSTITUTE(SUBSTITUTE("P:"&amp;A1609,"~","~~"),"*","~*"),"?","~?"),Processos!$AS$10:$AS$509,0)),9,INDEX(Processos!$AM$10:$AM$509,MATCH(SUBSTITUTE(SUBSTITUTE(SUBSTITUTE("P:"&amp;A1609,"~","~~"),"*","~*"),"?","~?"),Processos!$AS$10:$AS$509,0)))-9),0)</f>
        <v>0</v>
      </c>
      <c r="K1609" s="34" t="str">
        <f t="shared" si="99"/>
        <v/>
      </c>
      <c r="L1609" s="14">
        <f>ROW()</f>
        <v>1609</v>
      </c>
    </row>
    <row r="1610" spans="1:12" ht="60" customHeight="1">
      <c r="A1610" s="41"/>
      <c r="B1610" s="43"/>
      <c r="C1610" s="44"/>
      <c r="D1610" s="51"/>
      <c r="E1610" s="44"/>
      <c r="F1610" s="44"/>
      <c r="G1610" s="34">
        <f t="shared" ref="G1610:G1673" si="100">IF(AND(J1610&gt;0,OR(B1610="",AND(ISNUMBER(B1610),B1610&gt;=1,B1610&lt;=100000)),ISNUMBER(D1610),D1610&gt;=1,D1610&lt;=100000,C1610&lt;&gt;""),1,0)</f>
        <v>0</v>
      </c>
      <c r="H1610" s="34" t="str">
        <f t="shared" ref="H1610:H1673" si="101">IF(G1610=1,K1610&amp;"|"&amp;D1610,"")</f>
        <v/>
      </c>
      <c r="I1610" s="52" t="str">
        <f t="shared" ref="I1610:I1673" si="102">IF(COUNTA(A1610:F1610)=0,"",IF(A1610="","Selecione o processo",IF(J1610=0,"Processo inexistente, duplicado ou número não textual",IF(B1610="","Informe a data do andamento",IF(C1610="","Descreva o andamento",IF(D1610="","Informe a data e hora do recebimento",IF(OR(NOT(ISNUMBER(B1610)),B1610&lt;1,B1610&gt;100000),"Revise a data do andamento",IF(OR(NOT(ISNUMBER(D1610)),D1610&lt;1,D1610&gt;100000),"Revise a data e hora do recebimento",IF(COUNTIFS($K$10:$K$2009,"="&amp;SUBSTITUTE(SUBSTITUTE(SUBSTITUTE("P:"&amp;A1610,"~","~~"),"*","~*"),"?","~?"),$D$10:$D$2009,D1610,$G$10:$G$2009,1)&gt;1,"Recebimentos empatados: revise a hora ou consolide o registro","")))))))))</f>
        <v/>
      </c>
      <c r="J1610" s="34">
        <f>IF(AND(A1610&lt;&gt;"",ISTEXT(A1610),COUNTIFS(Processos!$AS$10:$AS$509,"="&amp;SUBSTITUTE(SUBSTITUTE(SUBSTITUTE("P:"&amp;A1610,"~","~~"),"*","~*"),"?","~?"))=1),(IF(ISNA(MATCH(SUBSTITUTE(SUBSTITUTE(SUBSTITUTE("P:"&amp;A1610,"~","~~"),"*","~*"),"?","~?"),Processos!$AS$10:$AS$509,0)),9,INDEX(Processos!$AM$10:$AM$509,MATCH(SUBSTITUTE(SUBSTITUTE(SUBSTITUTE("P:"&amp;A1610,"~","~~"),"*","~*"),"?","~?"),Processos!$AS$10:$AS$509,0)))-9),0)</f>
        <v>0</v>
      </c>
      <c r="K1610" s="34" t="str">
        <f t="shared" ref="K1610:K1673" si="103">IF(AND(A1610&lt;&gt;"",ISTEXT(A1610)),"P:"&amp;A1610,"")</f>
        <v/>
      </c>
      <c r="L1610" s="14">
        <f>ROW()</f>
        <v>1610</v>
      </c>
    </row>
    <row r="1611" spans="1:12" ht="60" customHeight="1">
      <c r="A1611" s="41"/>
      <c r="B1611" s="43"/>
      <c r="C1611" s="44"/>
      <c r="D1611" s="51"/>
      <c r="E1611" s="44"/>
      <c r="F1611" s="44"/>
      <c r="G1611" s="34">
        <f t="shared" si="100"/>
        <v>0</v>
      </c>
      <c r="H1611" s="34" t="str">
        <f t="shared" si="101"/>
        <v/>
      </c>
      <c r="I1611" s="52" t="str">
        <f t="shared" si="102"/>
        <v/>
      </c>
      <c r="J1611" s="34">
        <f>IF(AND(A1611&lt;&gt;"",ISTEXT(A1611),COUNTIFS(Processos!$AS$10:$AS$509,"="&amp;SUBSTITUTE(SUBSTITUTE(SUBSTITUTE("P:"&amp;A1611,"~","~~"),"*","~*"),"?","~?"))=1),(IF(ISNA(MATCH(SUBSTITUTE(SUBSTITUTE(SUBSTITUTE("P:"&amp;A1611,"~","~~"),"*","~*"),"?","~?"),Processos!$AS$10:$AS$509,0)),9,INDEX(Processos!$AM$10:$AM$509,MATCH(SUBSTITUTE(SUBSTITUTE(SUBSTITUTE("P:"&amp;A1611,"~","~~"),"*","~*"),"?","~?"),Processos!$AS$10:$AS$509,0)))-9),0)</f>
        <v>0</v>
      </c>
      <c r="K1611" s="34" t="str">
        <f t="shared" si="103"/>
        <v/>
      </c>
      <c r="L1611" s="14">
        <f>ROW()</f>
        <v>1611</v>
      </c>
    </row>
    <row r="1612" spans="1:12" ht="60" customHeight="1">
      <c r="A1612" s="41"/>
      <c r="B1612" s="43"/>
      <c r="C1612" s="44"/>
      <c r="D1612" s="51"/>
      <c r="E1612" s="44"/>
      <c r="F1612" s="44"/>
      <c r="G1612" s="34">
        <f t="shared" si="100"/>
        <v>0</v>
      </c>
      <c r="H1612" s="34" t="str">
        <f t="shared" si="101"/>
        <v/>
      </c>
      <c r="I1612" s="52" t="str">
        <f t="shared" si="102"/>
        <v/>
      </c>
      <c r="J1612" s="34">
        <f>IF(AND(A1612&lt;&gt;"",ISTEXT(A1612),COUNTIFS(Processos!$AS$10:$AS$509,"="&amp;SUBSTITUTE(SUBSTITUTE(SUBSTITUTE("P:"&amp;A1612,"~","~~"),"*","~*"),"?","~?"))=1),(IF(ISNA(MATCH(SUBSTITUTE(SUBSTITUTE(SUBSTITUTE("P:"&amp;A1612,"~","~~"),"*","~*"),"?","~?"),Processos!$AS$10:$AS$509,0)),9,INDEX(Processos!$AM$10:$AM$509,MATCH(SUBSTITUTE(SUBSTITUTE(SUBSTITUTE("P:"&amp;A1612,"~","~~"),"*","~*"),"?","~?"),Processos!$AS$10:$AS$509,0)))-9),0)</f>
        <v>0</v>
      </c>
      <c r="K1612" s="34" t="str">
        <f t="shared" si="103"/>
        <v/>
      </c>
      <c r="L1612" s="14">
        <f>ROW()</f>
        <v>1612</v>
      </c>
    </row>
    <row r="1613" spans="1:12" ht="60" customHeight="1">
      <c r="A1613" s="41"/>
      <c r="B1613" s="43"/>
      <c r="C1613" s="44"/>
      <c r="D1613" s="51"/>
      <c r="E1613" s="44"/>
      <c r="F1613" s="44"/>
      <c r="G1613" s="34">
        <f t="shared" si="100"/>
        <v>0</v>
      </c>
      <c r="H1613" s="34" t="str">
        <f t="shared" si="101"/>
        <v/>
      </c>
      <c r="I1613" s="52" t="str">
        <f t="shared" si="102"/>
        <v/>
      </c>
      <c r="J1613" s="34">
        <f>IF(AND(A1613&lt;&gt;"",ISTEXT(A1613),COUNTIFS(Processos!$AS$10:$AS$509,"="&amp;SUBSTITUTE(SUBSTITUTE(SUBSTITUTE("P:"&amp;A1613,"~","~~"),"*","~*"),"?","~?"))=1),(IF(ISNA(MATCH(SUBSTITUTE(SUBSTITUTE(SUBSTITUTE("P:"&amp;A1613,"~","~~"),"*","~*"),"?","~?"),Processos!$AS$10:$AS$509,0)),9,INDEX(Processos!$AM$10:$AM$509,MATCH(SUBSTITUTE(SUBSTITUTE(SUBSTITUTE("P:"&amp;A1613,"~","~~"),"*","~*"),"?","~?"),Processos!$AS$10:$AS$509,0)))-9),0)</f>
        <v>0</v>
      </c>
      <c r="K1613" s="34" t="str">
        <f t="shared" si="103"/>
        <v/>
      </c>
      <c r="L1613" s="14">
        <f>ROW()</f>
        <v>1613</v>
      </c>
    </row>
    <row r="1614" spans="1:12" ht="60" customHeight="1">
      <c r="A1614" s="41"/>
      <c r="B1614" s="43"/>
      <c r="C1614" s="44"/>
      <c r="D1614" s="51"/>
      <c r="E1614" s="44"/>
      <c r="F1614" s="44"/>
      <c r="G1614" s="34">
        <f t="shared" si="100"/>
        <v>0</v>
      </c>
      <c r="H1614" s="34" t="str">
        <f t="shared" si="101"/>
        <v/>
      </c>
      <c r="I1614" s="52" t="str">
        <f t="shared" si="102"/>
        <v/>
      </c>
      <c r="J1614" s="34">
        <f>IF(AND(A1614&lt;&gt;"",ISTEXT(A1614),COUNTIFS(Processos!$AS$10:$AS$509,"="&amp;SUBSTITUTE(SUBSTITUTE(SUBSTITUTE("P:"&amp;A1614,"~","~~"),"*","~*"),"?","~?"))=1),(IF(ISNA(MATCH(SUBSTITUTE(SUBSTITUTE(SUBSTITUTE("P:"&amp;A1614,"~","~~"),"*","~*"),"?","~?"),Processos!$AS$10:$AS$509,0)),9,INDEX(Processos!$AM$10:$AM$509,MATCH(SUBSTITUTE(SUBSTITUTE(SUBSTITUTE("P:"&amp;A1614,"~","~~"),"*","~*"),"?","~?"),Processos!$AS$10:$AS$509,0)))-9),0)</f>
        <v>0</v>
      </c>
      <c r="K1614" s="34" t="str">
        <f t="shared" si="103"/>
        <v/>
      </c>
      <c r="L1614" s="14">
        <f>ROW()</f>
        <v>1614</v>
      </c>
    </row>
    <row r="1615" spans="1:12" ht="60" customHeight="1">
      <c r="A1615" s="41"/>
      <c r="B1615" s="43"/>
      <c r="C1615" s="44"/>
      <c r="D1615" s="51"/>
      <c r="E1615" s="44"/>
      <c r="F1615" s="44"/>
      <c r="G1615" s="34">
        <f t="shared" si="100"/>
        <v>0</v>
      </c>
      <c r="H1615" s="34" t="str">
        <f t="shared" si="101"/>
        <v/>
      </c>
      <c r="I1615" s="52" t="str">
        <f t="shared" si="102"/>
        <v/>
      </c>
      <c r="J1615" s="34">
        <f>IF(AND(A1615&lt;&gt;"",ISTEXT(A1615),COUNTIFS(Processos!$AS$10:$AS$509,"="&amp;SUBSTITUTE(SUBSTITUTE(SUBSTITUTE("P:"&amp;A1615,"~","~~"),"*","~*"),"?","~?"))=1),(IF(ISNA(MATCH(SUBSTITUTE(SUBSTITUTE(SUBSTITUTE("P:"&amp;A1615,"~","~~"),"*","~*"),"?","~?"),Processos!$AS$10:$AS$509,0)),9,INDEX(Processos!$AM$10:$AM$509,MATCH(SUBSTITUTE(SUBSTITUTE(SUBSTITUTE("P:"&amp;A1615,"~","~~"),"*","~*"),"?","~?"),Processos!$AS$10:$AS$509,0)))-9),0)</f>
        <v>0</v>
      </c>
      <c r="K1615" s="34" t="str">
        <f t="shared" si="103"/>
        <v/>
      </c>
      <c r="L1615" s="14">
        <f>ROW()</f>
        <v>1615</v>
      </c>
    </row>
    <row r="1616" spans="1:12" ht="60" customHeight="1">
      <c r="A1616" s="41"/>
      <c r="B1616" s="43"/>
      <c r="C1616" s="44"/>
      <c r="D1616" s="51"/>
      <c r="E1616" s="44"/>
      <c r="F1616" s="44"/>
      <c r="G1616" s="34">
        <f t="shared" si="100"/>
        <v>0</v>
      </c>
      <c r="H1616" s="34" t="str">
        <f t="shared" si="101"/>
        <v/>
      </c>
      <c r="I1616" s="52" t="str">
        <f t="shared" si="102"/>
        <v/>
      </c>
      <c r="J1616" s="34">
        <f>IF(AND(A1616&lt;&gt;"",ISTEXT(A1616),COUNTIFS(Processos!$AS$10:$AS$509,"="&amp;SUBSTITUTE(SUBSTITUTE(SUBSTITUTE("P:"&amp;A1616,"~","~~"),"*","~*"),"?","~?"))=1),(IF(ISNA(MATCH(SUBSTITUTE(SUBSTITUTE(SUBSTITUTE("P:"&amp;A1616,"~","~~"),"*","~*"),"?","~?"),Processos!$AS$10:$AS$509,0)),9,INDEX(Processos!$AM$10:$AM$509,MATCH(SUBSTITUTE(SUBSTITUTE(SUBSTITUTE("P:"&amp;A1616,"~","~~"),"*","~*"),"?","~?"),Processos!$AS$10:$AS$509,0)))-9),0)</f>
        <v>0</v>
      </c>
      <c r="K1616" s="34" t="str">
        <f t="shared" si="103"/>
        <v/>
      </c>
      <c r="L1616" s="14">
        <f>ROW()</f>
        <v>1616</v>
      </c>
    </row>
    <row r="1617" spans="1:12" ht="60" customHeight="1">
      <c r="A1617" s="41"/>
      <c r="B1617" s="43"/>
      <c r="C1617" s="44"/>
      <c r="D1617" s="51"/>
      <c r="E1617" s="44"/>
      <c r="F1617" s="44"/>
      <c r="G1617" s="34">
        <f t="shared" si="100"/>
        <v>0</v>
      </c>
      <c r="H1617" s="34" t="str">
        <f t="shared" si="101"/>
        <v/>
      </c>
      <c r="I1617" s="52" t="str">
        <f t="shared" si="102"/>
        <v/>
      </c>
      <c r="J1617" s="34">
        <f>IF(AND(A1617&lt;&gt;"",ISTEXT(A1617),COUNTIFS(Processos!$AS$10:$AS$509,"="&amp;SUBSTITUTE(SUBSTITUTE(SUBSTITUTE("P:"&amp;A1617,"~","~~"),"*","~*"),"?","~?"))=1),(IF(ISNA(MATCH(SUBSTITUTE(SUBSTITUTE(SUBSTITUTE("P:"&amp;A1617,"~","~~"),"*","~*"),"?","~?"),Processos!$AS$10:$AS$509,0)),9,INDEX(Processos!$AM$10:$AM$509,MATCH(SUBSTITUTE(SUBSTITUTE(SUBSTITUTE("P:"&amp;A1617,"~","~~"),"*","~*"),"?","~?"),Processos!$AS$10:$AS$509,0)))-9),0)</f>
        <v>0</v>
      </c>
      <c r="K1617" s="34" t="str">
        <f t="shared" si="103"/>
        <v/>
      </c>
      <c r="L1617" s="14">
        <f>ROW()</f>
        <v>1617</v>
      </c>
    </row>
    <row r="1618" spans="1:12" ht="60" customHeight="1">
      <c r="A1618" s="41"/>
      <c r="B1618" s="43"/>
      <c r="C1618" s="44"/>
      <c r="D1618" s="51"/>
      <c r="E1618" s="44"/>
      <c r="F1618" s="44"/>
      <c r="G1618" s="34">
        <f t="shared" si="100"/>
        <v>0</v>
      </c>
      <c r="H1618" s="34" t="str">
        <f t="shared" si="101"/>
        <v/>
      </c>
      <c r="I1618" s="52" t="str">
        <f t="shared" si="102"/>
        <v/>
      </c>
      <c r="J1618" s="34">
        <f>IF(AND(A1618&lt;&gt;"",ISTEXT(A1618),COUNTIFS(Processos!$AS$10:$AS$509,"="&amp;SUBSTITUTE(SUBSTITUTE(SUBSTITUTE("P:"&amp;A1618,"~","~~"),"*","~*"),"?","~?"))=1),(IF(ISNA(MATCH(SUBSTITUTE(SUBSTITUTE(SUBSTITUTE("P:"&amp;A1618,"~","~~"),"*","~*"),"?","~?"),Processos!$AS$10:$AS$509,0)),9,INDEX(Processos!$AM$10:$AM$509,MATCH(SUBSTITUTE(SUBSTITUTE(SUBSTITUTE("P:"&amp;A1618,"~","~~"),"*","~*"),"?","~?"),Processos!$AS$10:$AS$509,0)))-9),0)</f>
        <v>0</v>
      </c>
      <c r="K1618" s="34" t="str">
        <f t="shared" si="103"/>
        <v/>
      </c>
      <c r="L1618" s="14">
        <f>ROW()</f>
        <v>1618</v>
      </c>
    </row>
    <row r="1619" spans="1:12" ht="60" customHeight="1">
      <c r="A1619" s="41"/>
      <c r="B1619" s="43"/>
      <c r="C1619" s="44"/>
      <c r="D1619" s="51"/>
      <c r="E1619" s="44"/>
      <c r="F1619" s="44"/>
      <c r="G1619" s="34">
        <f t="shared" si="100"/>
        <v>0</v>
      </c>
      <c r="H1619" s="34" t="str">
        <f t="shared" si="101"/>
        <v/>
      </c>
      <c r="I1619" s="52" t="str">
        <f t="shared" si="102"/>
        <v/>
      </c>
      <c r="J1619" s="34">
        <f>IF(AND(A1619&lt;&gt;"",ISTEXT(A1619),COUNTIFS(Processos!$AS$10:$AS$509,"="&amp;SUBSTITUTE(SUBSTITUTE(SUBSTITUTE("P:"&amp;A1619,"~","~~"),"*","~*"),"?","~?"))=1),(IF(ISNA(MATCH(SUBSTITUTE(SUBSTITUTE(SUBSTITUTE("P:"&amp;A1619,"~","~~"),"*","~*"),"?","~?"),Processos!$AS$10:$AS$509,0)),9,INDEX(Processos!$AM$10:$AM$509,MATCH(SUBSTITUTE(SUBSTITUTE(SUBSTITUTE("P:"&amp;A1619,"~","~~"),"*","~*"),"?","~?"),Processos!$AS$10:$AS$509,0)))-9),0)</f>
        <v>0</v>
      </c>
      <c r="K1619" s="34" t="str">
        <f t="shared" si="103"/>
        <v/>
      </c>
      <c r="L1619" s="14">
        <f>ROW()</f>
        <v>1619</v>
      </c>
    </row>
    <row r="1620" spans="1:12" ht="60" customHeight="1">
      <c r="A1620" s="41"/>
      <c r="B1620" s="43"/>
      <c r="C1620" s="44"/>
      <c r="D1620" s="51"/>
      <c r="E1620" s="44"/>
      <c r="F1620" s="44"/>
      <c r="G1620" s="34">
        <f t="shared" si="100"/>
        <v>0</v>
      </c>
      <c r="H1620" s="34" t="str">
        <f t="shared" si="101"/>
        <v/>
      </c>
      <c r="I1620" s="52" t="str">
        <f t="shared" si="102"/>
        <v/>
      </c>
      <c r="J1620" s="34">
        <f>IF(AND(A1620&lt;&gt;"",ISTEXT(A1620),COUNTIFS(Processos!$AS$10:$AS$509,"="&amp;SUBSTITUTE(SUBSTITUTE(SUBSTITUTE("P:"&amp;A1620,"~","~~"),"*","~*"),"?","~?"))=1),(IF(ISNA(MATCH(SUBSTITUTE(SUBSTITUTE(SUBSTITUTE("P:"&amp;A1620,"~","~~"),"*","~*"),"?","~?"),Processos!$AS$10:$AS$509,0)),9,INDEX(Processos!$AM$10:$AM$509,MATCH(SUBSTITUTE(SUBSTITUTE(SUBSTITUTE("P:"&amp;A1620,"~","~~"),"*","~*"),"?","~?"),Processos!$AS$10:$AS$509,0)))-9),0)</f>
        <v>0</v>
      </c>
      <c r="K1620" s="34" t="str">
        <f t="shared" si="103"/>
        <v/>
      </c>
      <c r="L1620" s="14">
        <f>ROW()</f>
        <v>1620</v>
      </c>
    </row>
    <row r="1621" spans="1:12" ht="60" customHeight="1">
      <c r="A1621" s="41"/>
      <c r="B1621" s="43"/>
      <c r="C1621" s="44"/>
      <c r="D1621" s="51"/>
      <c r="E1621" s="44"/>
      <c r="F1621" s="44"/>
      <c r="G1621" s="34">
        <f t="shared" si="100"/>
        <v>0</v>
      </c>
      <c r="H1621" s="34" t="str">
        <f t="shared" si="101"/>
        <v/>
      </c>
      <c r="I1621" s="52" t="str">
        <f t="shared" si="102"/>
        <v/>
      </c>
      <c r="J1621" s="34">
        <f>IF(AND(A1621&lt;&gt;"",ISTEXT(A1621),COUNTIFS(Processos!$AS$10:$AS$509,"="&amp;SUBSTITUTE(SUBSTITUTE(SUBSTITUTE("P:"&amp;A1621,"~","~~"),"*","~*"),"?","~?"))=1),(IF(ISNA(MATCH(SUBSTITUTE(SUBSTITUTE(SUBSTITUTE("P:"&amp;A1621,"~","~~"),"*","~*"),"?","~?"),Processos!$AS$10:$AS$509,0)),9,INDEX(Processos!$AM$10:$AM$509,MATCH(SUBSTITUTE(SUBSTITUTE(SUBSTITUTE("P:"&amp;A1621,"~","~~"),"*","~*"),"?","~?"),Processos!$AS$10:$AS$509,0)))-9),0)</f>
        <v>0</v>
      </c>
      <c r="K1621" s="34" t="str">
        <f t="shared" si="103"/>
        <v/>
      </c>
      <c r="L1621" s="14">
        <f>ROW()</f>
        <v>1621</v>
      </c>
    </row>
    <row r="1622" spans="1:12" ht="60" customHeight="1">
      <c r="A1622" s="41"/>
      <c r="B1622" s="43"/>
      <c r="C1622" s="44"/>
      <c r="D1622" s="51"/>
      <c r="E1622" s="44"/>
      <c r="F1622" s="44"/>
      <c r="G1622" s="34">
        <f t="shared" si="100"/>
        <v>0</v>
      </c>
      <c r="H1622" s="34" t="str">
        <f t="shared" si="101"/>
        <v/>
      </c>
      <c r="I1622" s="52" t="str">
        <f t="shared" si="102"/>
        <v/>
      </c>
      <c r="J1622" s="34">
        <f>IF(AND(A1622&lt;&gt;"",ISTEXT(A1622),COUNTIFS(Processos!$AS$10:$AS$509,"="&amp;SUBSTITUTE(SUBSTITUTE(SUBSTITUTE("P:"&amp;A1622,"~","~~"),"*","~*"),"?","~?"))=1),(IF(ISNA(MATCH(SUBSTITUTE(SUBSTITUTE(SUBSTITUTE("P:"&amp;A1622,"~","~~"),"*","~*"),"?","~?"),Processos!$AS$10:$AS$509,0)),9,INDEX(Processos!$AM$10:$AM$509,MATCH(SUBSTITUTE(SUBSTITUTE(SUBSTITUTE("P:"&amp;A1622,"~","~~"),"*","~*"),"?","~?"),Processos!$AS$10:$AS$509,0)))-9),0)</f>
        <v>0</v>
      </c>
      <c r="K1622" s="34" t="str">
        <f t="shared" si="103"/>
        <v/>
      </c>
      <c r="L1622" s="14">
        <f>ROW()</f>
        <v>1622</v>
      </c>
    </row>
    <row r="1623" spans="1:12" ht="60" customHeight="1">
      <c r="A1623" s="41"/>
      <c r="B1623" s="43"/>
      <c r="C1623" s="44"/>
      <c r="D1623" s="51"/>
      <c r="E1623" s="44"/>
      <c r="F1623" s="44"/>
      <c r="G1623" s="34">
        <f t="shared" si="100"/>
        <v>0</v>
      </c>
      <c r="H1623" s="34" t="str">
        <f t="shared" si="101"/>
        <v/>
      </c>
      <c r="I1623" s="52" t="str">
        <f t="shared" si="102"/>
        <v/>
      </c>
      <c r="J1623" s="34">
        <f>IF(AND(A1623&lt;&gt;"",ISTEXT(A1623),COUNTIFS(Processos!$AS$10:$AS$509,"="&amp;SUBSTITUTE(SUBSTITUTE(SUBSTITUTE("P:"&amp;A1623,"~","~~"),"*","~*"),"?","~?"))=1),(IF(ISNA(MATCH(SUBSTITUTE(SUBSTITUTE(SUBSTITUTE("P:"&amp;A1623,"~","~~"),"*","~*"),"?","~?"),Processos!$AS$10:$AS$509,0)),9,INDEX(Processos!$AM$10:$AM$509,MATCH(SUBSTITUTE(SUBSTITUTE(SUBSTITUTE("P:"&amp;A1623,"~","~~"),"*","~*"),"?","~?"),Processos!$AS$10:$AS$509,0)))-9),0)</f>
        <v>0</v>
      </c>
      <c r="K1623" s="34" t="str">
        <f t="shared" si="103"/>
        <v/>
      </c>
      <c r="L1623" s="14">
        <f>ROW()</f>
        <v>1623</v>
      </c>
    </row>
    <row r="1624" spans="1:12" ht="60" customHeight="1">
      <c r="A1624" s="41"/>
      <c r="B1624" s="43"/>
      <c r="C1624" s="44"/>
      <c r="D1624" s="51"/>
      <c r="E1624" s="44"/>
      <c r="F1624" s="44"/>
      <c r="G1624" s="34">
        <f t="shared" si="100"/>
        <v>0</v>
      </c>
      <c r="H1624" s="34" t="str">
        <f t="shared" si="101"/>
        <v/>
      </c>
      <c r="I1624" s="52" t="str">
        <f t="shared" si="102"/>
        <v/>
      </c>
      <c r="J1624" s="34">
        <f>IF(AND(A1624&lt;&gt;"",ISTEXT(A1624),COUNTIFS(Processos!$AS$10:$AS$509,"="&amp;SUBSTITUTE(SUBSTITUTE(SUBSTITUTE("P:"&amp;A1624,"~","~~"),"*","~*"),"?","~?"))=1),(IF(ISNA(MATCH(SUBSTITUTE(SUBSTITUTE(SUBSTITUTE("P:"&amp;A1624,"~","~~"),"*","~*"),"?","~?"),Processos!$AS$10:$AS$509,0)),9,INDEX(Processos!$AM$10:$AM$509,MATCH(SUBSTITUTE(SUBSTITUTE(SUBSTITUTE("P:"&amp;A1624,"~","~~"),"*","~*"),"?","~?"),Processos!$AS$10:$AS$509,0)))-9),0)</f>
        <v>0</v>
      </c>
      <c r="K1624" s="34" t="str">
        <f t="shared" si="103"/>
        <v/>
      </c>
      <c r="L1624" s="14">
        <f>ROW()</f>
        <v>1624</v>
      </c>
    </row>
    <row r="1625" spans="1:12" ht="60" customHeight="1">
      <c r="A1625" s="41"/>
      <c r="B1625" s="43"/>
      <c r="C1625" s="44"/>
      <c r="D1625" s="51"/>
      <c r="E1625" s="44"/>
      <c r="F1625" s="44"/>
      <c r="G1625" s="34">
        <f t="shared" si="100"/>
        <v>0</v>
      </c>
      <c r="H1625" s="34" t="str">
        <f t="shared" si="101"/>
        <v/>
      </c>
      <c r="I1625" s="52" t="str">
        <f t="shared" si="102"/>
        <v/>
      </c>
      <c r="J1625" s="34">
        <f>IF(AND(A1625&lt;&gt;"",ISTEXT(A1625),COUNTIFS(Processos!$AS$10:$AS$509,"="&amp;SUBSTITUTE(SUBSTITUTE(SUBSTITUTE("P:"&amp;A1625,"~","~~"),"*","~*"),"?","~?"))=1),(IF(ISNA(MATCH(SUBSTITUTE(SUBSTITUTE(SUBSTITUTE("P:"&amp;A1625,"~","~~"),"*","~*"),"?","~?"),Processos!$AS$10:$AS$509,0)),9,INDEX(Processos!$AM$10:$AM$509,MATCH(SUBSTITUTE(SUBSTITUTE(SUBSTITUTE("P:"&amp;A1625,"~","~~"),"*","~*"),"?","~?"),Processos!$AS$10:$AS$509,0)))-9),0)</f>
        <v>0</v>
      </c>
      <c r="K1625" s="34" t="str">
        <f t="shared" si="103"/>
        <v/>
      </c>
      <c r="L1625" s="14">
        <f>ROW()</f>
        <v>1625</v>
      </c>
    </row>
    <row r="1626" spans="1:12" ht="60" customHeight="1">
      <c r="A1626" s="41"/>
      <c r="B1626" s="43"/>
      <c r="C1626" s="44"/>
      <c r="D1626" s="51"/>
      <c r="E1626" s="44"/>
      <c r="F1626" s="44"/>
      <c r="G1626" s="34">
        <f t="shared" si="100"/>
        <v>0</v>
      </c>
      <c r="H1626" s="34" t="str">
        <f t="shared" si="101"/>
        <v/>
      </c>
      <c r="I1626" s="52" t="str">
        <f t="shared" si="102"/>
        <v/>
      </c>
      <c r="J1626" s="34">
        <f>IF(AND(A1626&lt;&gt;"",ISTEXT(A1626),COUNTIFS(Processos!$AS$10:$AS$509,"="&amp;SUBSTITUTE(SUBSTITUTE(SUBSTITUTE("P:"&amp;A1626,"~","~~"),"*","~*"),"?","~?"))=1),(IF(ISNA(MATCH(SUBSTITUTE(SUBSTITUTE(SUBSTITUTE("P:"&amp;A1626,"~","~~"),"*","~*"),"?","~?"),Processos!$AS$10:$AS$509,0)),9,INDEX(Processos!$AM$10:$AM$509,MATCH(SUBSTITUTE(SUBSTITUTE(SUBSTITUTE("P:"&amp;A1626,"~","~~"),"*","~*"),"?","~?"),Processos!$AS$10:$AS$509,0)))-9),0)</f>
        <v>0</v>
      </c>
      <c r="K1626" s="34" t="str">
        <f t="shared" si="103"/>
        <v/>
      </c>
      <c r="L1626" s="14">
        <f>ROW()</f>
        <v>1626</v>
      </c>
    </row>
    <row r="1627" spans="1:12" ht="60" customHeight="1">
      <c r="A1627" s="41"/>
      <c r="B1627" s="43"/>
      <c r="C1627" s="44"/>
      <c r="D1627" s="51"/>
      <c r="E1627" s="44"/>
      <c r="F1627" s="44"/>
      <c r="G1627" s="34">
        <f t="shared" si="100"/>
        <v>0</v>
      </c>
      <c r="H1627" s="34" t="str">
        <f t="shared" si="101"/>
        <v/>
      </c>
      <c r="I1627" s="52" t="str">
        <f t="shared" si="102"/>
        <v/>
      </c>
      <c r="J1627" s="34">
        <f>IF(AND(A1627&lt;&gt;"",ISTEXT(A1627),COUNTIFS(Processos!$AS$10:$AS$509,"="&amp;SUBSTITUTE(SUBSTITUTE(SUBSTITUTE("P:"&amp;A1627,"~","~~"),"*","~*"),"?","~?"))=1),(IF(ISNA(MATCH(SUBSTITUTE(SUBSTITUTE(SUBSTITUTE("P:"&amp;A1627,"~","~~"),"*","~*"),"?","~?"),Processos!$AS$10:$AS$509,0)),9,INDEX(Processos!$AM$10:$AM$509,MATCH(SUBSTITUTE(SUBSTITUTE(SUBSTITUTE("P:"&amp;A1627,"~","~~"),"*","~*"),"?","~?"),Processos!$AS$10:$AS$509,0)))-9),0)</f>
        <v>0</v>
      </c>
      <c r="K1627" s="34" t="str">
        <f t="shared" si="103"/>
        <v/>
      </c>
      <c r="L1627" s="14">
        <f>ROW()</f>
        <v>1627</v>
      </c>
    </row>
    <row r="1628" spans="1:12" ht="60" customHeight="1">
      <c r="A1628" s="41"/>
      <c r="B1628" s="43"/>
      <c r="C1628" s="44"/>
      <c r="D1628" s="51"/>
      <c r="E1628" s="44"/>
      <c r="F1628" s="44"/>
      <c r="G1628" s="34">
        <f t="shared" si="100"/>
        <v>0</v>
      </c>
      <c r="H1628" s="34" t="str">
        <f t="shared" si="101"/>
        <v/>
      </c>
      <c r="I1628" s="52" t="str">
        <f t="shared" si="102"/>
        <v/>
      </c>
      <c r="J1628" s="34">
        <f>IF(AND(A1628&lt;&gt;"",ISTEXT(A1628),COUNTIFS(Processos!$AS$10:$AS$509,"="&amp;SUBSTITUTE(SUBSTITUTE(SUBSTITUTE("P:"&amp;A1628,"~","~~"),"*","~*"),"?","~?"))=1),(IF(ISNA(MATCH(SUBSTITUTE(SUBSTITUTE(SUBSTITUTE("P:"&amp;A1628,"~","~~"),"*","~*"),"?","~?"),Processos!$AS$10:$AS$509,0)),9,INDEX(Processos!$AM$10:$AM$509,MATCH(SUBSTITUTE(SUBSTITUTE(SUBSTITUTE("P:"&amp;A1628,"~","~~"),"*","~*"),"?","~?"),Processos!$AS$10:$AS$509,0)))-9),0)</f>
        <v>0</v>
      </c>
      <c r="K1628" s="34" t="str">
        <f t="shared" si="103"/>
        <v/>
      </c>
      <c r="L1628" s="14">
        <f>ROW()</f>
        <v>1628</v>
      </c>
    </row>
    <row r="1629" spans="1:12" ht="60" customHeight="1">
      <c r="A1629" s="41"/>
      <c r="B1629" s="43"/>
      <c r="C1629" s="44"/>
      <c r="D1629" s="51"/>
      <c r="E1629" s="44"/>
      <c r="F1629" s="44"/>
      <c r="G1629" s="34">
        <f t="shared" si="100"/>
        <v>0</v>
      </c>
      <c r="H1629" s="34" t="str">
        <f t="shared" si="101"/>
        <v/>
      </c>
      <c r="I1629" s="52" t="str">
        <f t="shared" si="102"/>
        <v/>
      </c>
      <c r="J1629" s="34">
        <f>IF(AND(A1629&lt;&gt;"",ISTEXT(A1629),COUNTIFS(Processos!$AS$10:$AS$509,"="&amp;SUBSTITUTE(SUBSTITUTE(SUBSTITUTE("P:"&amp;A1629,"~","~~"),"*","~*"),"?","~?"))=1),(IF(ISNA(MATCH(SUBSTITUTE(SUBSTITUTE(SUBSTITUTE("P:"&amp;A1629,"~","~~"),"*","~*"),"?","~?"),Processos!$AS$10:$AS$509,0)),9,INDEX(Processos!$AM$10:$AM$509,MATCH(SUBSTITUTE(SUBSTITUTE(SUBSTITUTE("P:"&amp;A1629,"~","~~"),"*","~*"),"?","~?"),Processos!$AS$10:$AS$509,0)))-9),0)</f>
        <v>0</v>
      </c>
      <c r="K1629" s="34" t="str">
        <f t="shared" si="103"/>
        <v/>
      </c>
      <c r="L1629" s="14">
        <f>ROW()</f>
        <v>1629</v>
      </c>
    </row>
    <row r="1630" spans="1:12" ht="60" customHeight="1">
      <c r="A1630" s="41"/>
      <c r="B1630" s="43"/>
      <c r="C1630" s="44"/>
      <c r="D1630" s="51"/>
      <c r="E1630" s="44"/>
      <c r="F1630" s="44"/>
      <c r="G1630" s="34">
        <f t="shared" si="100"/>
        <v>0</v>
      </c>
      <c r="H1630" s="34" t="str">
        <f t="shared" si="101"/>
        <v/>
      </c>
      <c r="I1630" s="52" t="str">
        <f t="shared" si="102"/>
        <v/>
      </c>
      <c r="J1630" s="34">
        <f>IF(AND(A1630&lt;&gt;"",ISTEXT(A1630),COUNTIFS(Processos!$AS$10:$AS$509,"="&amp;SUBSTITUTE(SUBSTITUTE(SUBSTITUTE("P:"&amp;A1630,"~","~~"),"*","~*"),"?","~?"))=1),(IF(ISNA(MATCH(SUBSTITUTE(SUBSTITUTE(SUBSTITUTE("P:"&amp;A1630,"~","~~"),"*","~*"),"?","~?"),Processos!$AS$10:$AS$509,0)),9,INDEX(Processos!$AM$10:$AM$509,MATCH(SUBSTITUTE(SUBSTITUTE(SUBSTITUTE("P:"&amp;A1630,"~","~~"),"*","~*"),"?","~?"),Processos!$AS$10:$AS$509,0)))-9),0)</f>
        <v>0</v>
      </c>
      <c r="K1630" s="34" t="str">
        <f t="shared" si="103"/>
        <v/>
      </c>
      <c r="L1630" s="14">
        <f>ROW()</f>
        <v>1630</v>
      </c>
    </row>
    <row r="1631" spans="1:12" ht="60" customHeight="1">
      <c r="A1631" s="41"/>
      <c r="B1631" s="43"/>
      <c r="C1631" s="44"/>
      <c r="D1631" s="51"/>
      <c r="E1631" s="44"/>
      <c r="F1631" s="44"/>
      <c r="G1631" s="34">
        <f t="shared" si="100"/>
        <v>0</v>
      </c>
      <c r="H1631" s="34" t="str">
        <f t="shared" si="101"/>
        <v/>
      </c>
      <c r="I1631" s="52" t="str">
        <f t="shared" si="102"/>
        <v/>
      </c>
      <c r="J1631" s="34">
        <f>IF(AND(A1631&lt;&gt;"",ISTEXT(A1631),COUNTIFS(Processos!$AS$10:$AS$509,"="&amp;SUBSTITUTE(SUBSTITUTE(SUBSTITUTE("P:"&amp;A1631,"~","~~"),"*","~*"),"?","~?"))=1),(IF(ISNA(MATCH(SUBSTITUTE(SUBSTITUTE(SUBSTITUTE("P:"&amp;A1631,"~","~~"),"*","~*"),"?","~?"),Processos!$AS$10:$AS$509,0)),9,INDEX(Processos!$AM$10:$AM$509,MATCH(SUBSTITUTE(SUBSTITUTE(SUBSTITUTE("P:"&amp;A1631,"~","~~"),"*","~*"),"?","~?"),Processos!$AS$10:$AS$509,0)))-9),0)</f>
        <v>0</v>
      </c>
      <c r="K1631" s="34" t="str">
        <f t="shared" si="103"/>
        <v/>
      </c>
      <c r="L1631" s="14">
        <f>ROW()</f>
        <v>1631</v>
      </c>
    </row>
    <row r="1632" spans="1:12" ht="60" customHeight="1">
      <c r="A1632" s="41"/>
      <c r="B1632" s="43"/>
      <c r="C1632" s="44"/>
      <c r="D1632" s="51"/>
      <c r="E1632" s="44"/>
      <c r="F1632" s="44"/>
      <c r="G1632" s="34">
        <f t="shared" si="100"/>
        <v>0</v>
      </c>
      <c r="H1632" s="34" t="str">
        <f t="shared" si="101"/>
        <v/>
      </c>
      <c r="I1632" s="52" t="str">
        <f t="shared" si="102"/>
        <v/>
      </c>
      <c r="J1632" s="34">
        <f>IF(AND(A1632&lt;&gt;"",ISTEXT(A1632),COUNTIFS(Processos!$AS$10:$AS$509,"="&amp;SUBSTITUTE(SUBSTITUTE(SUBSTITUTE("P:"&amp;A1632,"~","~~"),"*","~*"),"?","~?"))=1),(IF(ISNA(MATCH(SUBSTITUTE(SUBSTITUTE(SUBSTITUTE("P:"&amp;A1632,"~","~~"),"*","~*"),"?","~?"),Processos!$AS$10:$AS$509,0)),9,INDEX(Processos!$AM$10:$AM$509,MATCH(SUBSTITUTE(SUBSTITUTE(SUBSTITUTE("P:"&amp;A1632,"~","~~"),"*","~*"),"?","~?"),Processos!$AS$10:$AS$509,0)))-9),0)</f>
        <v>0</v>
      </c>
      <c r="K1632" s="34" t="str">
        <f t="shared" si="103"/>
        <v/>
      </c>
      <c r="L1632" s="14">
        <f>ROW()</f>
        <v>1632</v>
      </c>
    </row>
    <row r="1633" spans="1:12" ht="60" customHeight="1">
      <c r="A1633" s="41"/>
      <c r="B1633" s="43"/>
      <c r="C1633" s="44"/>
      <c r="D1633" s="51"/>
      <c r="E1633" s="44"/>
      <c r="F1633" s="44"/>
      <c r="G1633" s="34">
        <f t="shared" si="100"/>
        <v>0</v>
      </c>
      <c r="H1633" s="34" t="str">
        <f t="shared" si="101"/>
        <v/>
      </c>
      <c r="I1633" s="52" t="str">
        <f t="shared" si="102"/>
        <v/>
      </c>
      <c r="J1633" s="34">
        <f>IF(AND(A1633&lt;&gt;"",ISTEXT(A1633),COUNTIFS(Processos!$AS$10:$AS$509,"="&amp;SUBSTITUTE(SUBSTITUTE(SUBSTITUTE("P:"&amp;A1633,"~","~~"),"*","~*"),"?","~?"))=1),(IF(ISNA(MATCH(SUBSTITUTE(SUBSTITUTE(SUBSTITUTE("P:"&amp;A1633,"~","~~"),"*","~*"),"?","~?"),Processos!$AS$10:$AS$509,0)),9,INDEX(Processos!$AM$10:$AM$509,MATCH(SUBSTITUTE(SUBSTITUTE(SUBSTITUTE("P:"&amp;A1633,"~","~~"),"*","~*"),"?","~?"),Processos!$AS$10:$AS$509,0)))-9),0)</f>
        <v>0</v>
      </c>
      <c r="K1633" s="34" t="str">
        <f t="shared" si="103"/>
        <v/>
      </c>
      <c r="L1633" s="14">
        <f>ROW()</f>
        <v>1633</v>
      </c>
    </row>
    <row r="1634" spans="1:12" ht="60" customHeight="1">
      <c r="A1634" s="41"/>
      <c r="B1634" s="43"/>
      <c r="C1634" s="44"/>
      <c r="D1634" s="51"/>
      <c r="E1634" s="44"/>
      <c r="F1634" s="44"/>
      <c r="G1634" s="34">
        <f t="shared" si="100"/>
        <v>0</v>
      </c>
      <c r="H1634" s="34" t="str">
        <f t="shared" si="101"/>
        <v/>
      </c>
      <c r="I1634" s="52" t="str">
        <f t="shared" si="102"/>
        <v/>
      </c>
      <c r="J1634" s="34">
        <f>IF(AND(A1634&lt;&gt;"",ISTEXT(A1634),COUNTIFS(Processos!$AS$10:$AS$509,"="&amp;SUBSTITUTE(SUBSTITUTE(SUBSTITUTE("P:"&amp;A1634,"~","~~"),"*","~*"),"?","~?"))=1),(IF(ISNA(MATCH(SUBSTITUTE(SUBSTITUTE(SUBSTITUTE("P:"&amp;A1634,"~","~~"),"*","~*"),"?","~?"),Processos!$AS$10:$AS$509,0)),9,INDEX(Processos!$AM$10:$AM$509,MATCH(SUBSTITUTE(SUBSTITUTE(SUBSTITUTE("P:"&amp;A1634,"~","~~"),"*","~*"),"?","~?"),Processos!$AS$10:$AS$509,0)))-9),0)</f>
        <v>0</v>
      </c>
      <c r="K1634" s="34" t="str">
        <f t="shared" si="103"/>
        <v/>
      </c>
      <c r="L1634" s="14">
        <f>ROW()</f>
        <v>1634</v>
      </c>
    </row>
    <row r="1635" spans="1:12" ht="60" customHeight="1">
      <c r="A1635" s="41"/>
      <c r="B1635" s="43"/>
      <c r="C1635" s="44"/>
      <c r="D1635" s="51"/>
      <c r="E1635" s="44"/>
      <c r="F1635" s="44"/>
      <c r="G1635" s="34">
        <f t="shared" si="100"/>
        <v>0</v>
      </c>
      <c r="H1635" s="34" t="str">
        <f t="shared" si="101"/>
        <v/>
      </c>
      <c r="I1635" s="52" t="str">
        <f t="shared" si="102"/>
        <v/>
      </c>
      <c r="J1635" s="34">
        <f>IF(AND(A1635&lt;&gt;"",ISTEXT(A1635),COUNTIFS(Processos!$AS$10:$AS$509,"="&amp;SUBSTITUTE(SUBSTITUTE(SUBSTITUTE("P:"&amp;A1635,"~","~~"),"*","~*"),"?","~?"))=1),(IF(ISNA(MATCH(SUBSTITUTE(SUBSTITUTE(SUBSTITUTE("P:"&amp;A1635,"~","~~"),"*","~*"),"?","~?"),Processos!$AS$10:$AS$509,0)),9,INDEX(Processos!$AM$10:$AM$509,MATCH(SUBSTITUTE(SUBSTITUTE(SUBSTITUTE("P:"&amp;A1635,"~","~~"),"*","~*"),"?","~?"),Processos!$AS$10:$AS$509,0)))-9),0)</f>
        <v>0</v>
      </c>
      <c r="K1635" s="34" t="str">
        <f t="shared" si="103"/>
        <v/>
      </c>
      <c r="L1635" s="14">
        <f>ROW()</f>
        <v>1635</v>
      </c>
    </row>
    <row r="1636" spans="1:12" ht="60" customHeight="1">
      <c r="A1636" s="41"/>
      <c r="B1636" s="43"/>
      <c r="C1636" s="44"/>
      <c r="D1636" s="51"/>
      <c r="E1636" s="44"/>
      <c r="F1636" s="44"/>
      <c r="G1636" s="34">
        <f t="shared" si="100"/>
        <v>0</v>
      </c>
      <c r="H1636" s="34" t="str">
        <f t="shared" si="101"/>
        <v/>
      </c>
      <c r="I1636" s="52" t="str">
        <f t="shared" si="102"/>
        <v/>
      </c>
      <c r="J1636" s="34">
        <f>IF(AND(A1636&lt;&gt;"",ISTEXT(A1636),COUNTIFS(Processos!$AS$10:$AS$509,"="&amp;SUBSTITUTE(SUBSTITUTE(SUBSTITUTE("P:"&amp;A1636,"~","~~"),"*","~*"),"?","~?"))=1),(IF(ISNA(MATCH(SUBSTITUTE(SUBSTITUTE(SUBSTITUTE("P:"&amp;A1636,"~","~~"),"*","~*"),"?","~?"),Processos!$AS$10:$AS$509,0)),9,INDEX(Processos!$AM$10:$AM$509,MATCH(SUBSTITUTE(SUBSTITUTE(SUBSTITUTE("P:"&amp;A1636,"~","~~"),"*","~*"),"?","~?"),Processos!$AS$10:$AS$509,0)))-9),0)</f>
        <v>0</v>
      </c>
      <c r="K1636" s="34" t="str">
        <f t="shared" si="103"/>
        <v/>
      </c>
      <c r="L1636" s="14">
        <f>ROW()</f>
        <v>1636</v>
      </c>
    </row>
    <row r="1637" spans="1:12" ht="60" customHeight="1">
      <c r="A1637" s="41"/>
      <c r="B1637" s="43"/>
      <c r="C1637" s="44"/>
      <c r="D1637" s="51"/>
      <c r="E1637" s="44"/>
      <c r="F1637" s="44"/>
      <c r="G1637" s="34">
        <f t="shared" si="100"/>
        <v>0</v>
      </c>
      <c r="H1637" s="34" t="str">
        <f t="shared" si="101"/>
        <v/>
      </c>
      <c r="I1637" s="52" t="str">
        <f t="shared" si="102"/>
        <v/>
      </c>
      <c r="J1637" s="34">
        <f>IF(AND(A1637&lt;&gt;"",ISTEXT(A1637),COUNTIFS(Processos!$AS$10:$AS$509,"="&amp;SUBSTITUTE(SUBSTITUTE(SUBSTITUTE("P:"&amp;A1637,"~","~~"),"*","~*"),"?","~?"))=1),(IF(ISNA(MATCH(SUBSTITUTE(SUBSTITUTE(SUBSTITUTE("P:"&amp;A1637,"~","~~"),"*","~*"),"?","~?"),Processos!$AS$10:$AS$509,0)),9,INDEX(Processos!$AM$10:$AM$509,MATCH(SUBSTITUTE(SUBSTITUTE(SUBSTITUTE("P:"&amp;A1637,"~","~~"),"*","~*"),"?","~?"),Processos!$AS$10:$AS$509,0)))-9),0)</f>
        <v>0</v>
      </c>
      <c r="K1637" s="34" t="str">
        <f t="shared" si="103"/>
        <v/>
      </c>
      <c r="L1637" s="14">
        <f>ROW()</f>
        <v>1637</v>
      </c>
    </row>
    <row r="1638" spans="1:12" ht="60" customHeight="1">
      <c r="A1638" s="41"/>
      <c r="B1638" s="43"/>
      <c r="C1638" s="44"/>
      <c r="D1638" s="51"/>
      <c r="E1638" s="44"/>
      <c r="F1638" s="44"/>
      <c r="G1638" s="34">
        <f t="shared" si="100"/>
        <v>0</v>
      </c>
      <c r="H1638" s="34" t="str">
        <f t="shared" si="101"/>
        <v/>
      </c>
      <c r="I1638" s="52" t="str">
        <f t="shared" si="102"/>
        <v/>
      </c>
      <c r="J1638" s="34">
        <f>IF(AND(A1638&lt;&gt;"",ISTEXT(A1638),COUNTIFS(Processos!$AS$10:$AS$509,"="&amp;SUBSTITUTE(SUBSTITUTE(SUBSTITUTE("P:"&amp;A1638,"~","~~"),"*","~*"),"?","~?"))=1),(IF(ISNA(MATCH(SUBSTITUTE(SUBSTITUTE(SUBSTITUTE("P:"&amp;A1638,"~","~~"),"*","~*"),"?","~?"),Processos!$AS$10:$AS$509,0)),9,INDEX(Processos!$AM$10:$AM$509,MATCH(SUBSTITUTE(SUBSTITUTE(SUBSTITUTE("P:"&amp;A1638,"~","~~"),"*","~*"),"?","~?"),Processos!$AS$10:$AS$509,0)))-9),0)</f>
        <v>0</v>
      </c>
      <c r="K1638" s="34" t="str">
        <f t="shared" si="103"/>
        <v/>
      </c>
      <c r="L1638" s="14">
        <f>ROW()</f>
        <v>1638</v>
      </c>
    </row>
    <row r="1639" spans="1:12" ht="60" customHeight="1">
      <c r="A1639" s="41"/>
      <c r="B1639" s="43"/>
      <c r="C1639" s="44"/>
      <c r="D1639" s="51"/>
      <c r="E1639" s="44"/>
      <c r="F1639" s="44"/>
      <c r="G1639" s="34">
        <f t="shared" si="100"/>
        <v>0</v>
      </c>
      <c r="H1639" s="34" t="str">
        <f t="shared" si="101"/>
        <v/>
      </c>
      <c r="I1639" s="52" t="str">
        <f t="shared" si="102"/>
        <v/>
      </c>
      <c r="J1639" s="34">
        <f>IF(AND(A1639&lt;&gt;"",ISTEXT(A1639),COUNTIFS(Processos!$AS$10:$AS$509,"="&amp;SUBSTITUTE(SUBSTITUTE(SUBSTITUTE("P:"&amp;A1639,"~","~~"),"*","~*"),"?","~?"))=1),(IF(ISNA(MATCH(SUBSTITUTE(SUBSTITUTE(SUBSTITUTE("P:"&amp;A1639,"~","~~"),"*","~*"),"?","~?"),Processos!$AS$10:$AS$509,0)),9,INDEX(Processos!$AM$10:$AM$509,MATCH(SUBSTITUTE(SUBSTITUTE(SUBSTITUTE("P:"&amp;A1639,"~","~~"),"*","~*"),"?","~?"),Processos!$AS$10:$AS$509,0)))-9),0)</f>
        <v>0</v>
      </c>
      <c r="K1639" s="34" t="str">
        <f t="shared" si="103"/>
        <v/>
      </c>
      <c r="L1639" s="14">
        <f>ROW()</f>
        <v>1639</v>
      </c>
    </row>
    <row r="1640" spans="1:12" ht="60" customHeight="1">
      <c r="A1640" s="41"/>
      <c r="B1640" s="43"/>
      <c r="C1640" s="44"/>
      <c r="D1640" s="51"/>
      <c r="E1640" s="44"/>
      <c r="F1640" s="44"/>
      <c r="G1640" s="34">
        <f t="shared" si="100"/>
        <v>0</v>
      </c>
      <c r="H1640" s="34" t="str">
        <f t="shared" si="101"/>
        <v/>
      </c>
      <c r="I1640" s="52" t="str">
        <f t="shared" si="102"/>
        <v/>
      </c>
      <c r="J1640" s="34">
        <f>IF(AND(A1640&lt;&gt;"",ISTEXT(A1640),COUNTIFS(Processos!$AS$10:$AS$509,"="&amp;SUBSTITUTE(SUBSTITUTE(SUBSTITUTE("P:"&amp;A1640,"~","~~"),"*","~*"),"?","~?"))=1),(IF(ISNA(MATCH(SUBSTITUTE(SUBSTITUTE(SUBSTITUTE("P:"&amp;A1640,"~","~~"),"*","~*"),"?","~?"),Processos!$AS$10:$AS$509,0)),9,INDEX(Processos!$AM$10:$AM$509,MATCH(SUBSTITUTE(SUBSTITUTE(SUBSTITUTE("P:"&amp;A1640,"~","~~"),"*","~*"),"?","~?"),Processos!$AS$10:$AS$509,0)))-9),0)</f>
        <v>0</v>
      </c>
      <c r="K1640" s="34" t="str">
        <f t="shared" si="103"/>
        <v/>
      </c>
      <c r="L1640" s="14">
        <f>ROW()</f>
        <v>1640</v>
      </c>
    </row>
    <row r="1641" spans="1:12" ht="60" customHeight="1">
      <c r="A1641" s="41"/>
      <c r="B1641" s="43"/>
      <c r="C1641" s="44"/>
      <c r="D1641" s="51"/>
      <c r="E1641" s="44"/>
      <c r="F1641" s="44"/>
      <c r="G1641" s="34">
        <f t="shared" si="100"/>
        <v>0</v>
      </c>
      <c r="H1641" s="34" t="str">
        <f t="shared" si="101"/>
        <v/>
      </c>
      <c r="I1641" s="52" t="str">
        <f t="shared" si="102"/>
        <v/>
      </c>
      <c r="J1641" s="34">
        <f>IF(AND(A1641&lt;&gt;"",ISTEXT(A1641),COUNTIFS(Processos!$AS$10:$AS$509,"="&amp;SUBSTITUTE(SUBSTITUTE(SUBSTITUTE("P:"&amp;A1641,"~","~~"),"*","~*"),"?","~?"))=1),(IF(ISNA(MATCH(SUBSTITUTE(SUBSTITUTE(SUBSTITUTE("P:"&amp;A1641,"~","~~"),"*","~*"),"?","~?"),Processos!$AS$10:$AS$509,0)),9,INDEX(Processos!$AM$10:$AM$509,MATCH(SUBSTITUTE(SUBSTITUTE(SUBSTITUTE("P:"&amp;A1641,"~","~~"),"*","~*"),"?","~?"),Processos!$AS$10:$AS$509,0)))-9),0)</f>
        <v>0</v>
      </c>
      <c r="K1641" s="34" t="str">
        <f t="shared" si="103"/>
        <v/>
      </c>
      <c r="L1641" s="14">
        <f>ROW()</f>
        <v>1641</v>
      </c>
    </row>
    <row r="1642" spans="1:12" ht="60" customHeight="1">
      <c r="A1642" s="41"/>
      <c r="B1642" s="43"/>
      <c r="C1642" s="44"/>
      <c r="D1642" s="51"/>
      <c r="E1642" s="44"/>
      <c r="F1642" s="44"/>
      <c r="G1642" s="34">
        <f t="shared" si="100"/>
        <v>0</v>
      </c>
      <c r="H1642" s="34" t="str">
        <f t="shared" si="101"/>
        <v/>
      </c>
      <c r="I1642" s="52" t="str">
        <f t="shared" si="102"/>
        <v/>
      </c>
      <c r="J1642" s="34">
        <f>IF(AND(A1642&lt;&gt;"",ISTEXT(A1642),COUNTIFS(Processos!$AS$10:$AS$509,"="&amp;SUBSTITUTE(SUBSTITUTE(SUBSTITUTE("P:"&amp;A1642,"~","~~"),"*","~*"),"?","~?"))=1),(IF(ISNA(MATCH(SUBSTITUTE(SUBSTITUTE(SUBSTITUTE("P:"&amp;A1642,"~","~~"),"*","~*"),"?","~?"),Processos!$AS$10:$AS$509,0)),9,INDEX(Processos!$AM$10:$AM$509,MATCH(SUBSTITUTE(SUBSTITUTE(SUBSTITUTE("P:"&amp;A1642,"~","~~"),"*","~*"),"?","~?"),Processos!$AS$10:$AS$509,0)))-9),0)</f>
        <v>0</v>
      </c>
      <c r="K1642" s="34" t="str">
        <f t="shared" si="103"/>
        <v/>
      </c>
      <c r="L1642" s="14">
        <f>ROW()</f>
        <v>1642</v>
      </c>
    </row>
    <row r="1643" spans="1:12" ht="60" customHeight="1">
      <c r="A1643" s="41"/>
      <c r="B1643" s="43"/>
      <c r="C1643" s="44"/>
      <c r="D1643" s="51"/>
      <c r="E1643" s="44"/>
      <c r="F1643" s="44"/>
      <c r="G1643" s="34">
        <f t="shared" si="100"/>
        <v>0</v>
      </c>
      <c r="H1643" s="34" t="str">
        <f t="shared" si="101"/>
        <v/>
      </c>
      <c r="I1643" s="52" t="str">
        <f t="shared" si="102"/>
        <v/>
      </c>
      <c r="J1643" s="34">
        <f>IF(AND(A1643&lt;&gt;"",ISTEXT(A1643),COUNTIFS(Processos!$AS$10:$AS$509,"="&amp;SUBSTITUTE(SUBSTITUTE(SUBSTITUTE("P:"&amp;A1643,"~","~~"),"*","~*"),"?","~?"))=1),(IF(ISNA(MATCH(SUBSTITUTE(SUBSTITUTE(SUBSTITUTE("P:"&amp;A1643,"~","~~"),"*","~*"),"?","~?"),Processos!$AS$10:$AS$509,0)),9,INDEX(Processos!$AM$10:$AM$509,MATCH(SUBSTITUTE(SUBSTITUTE(SUBSTITUTE("P:"&amp;A1643,"~","~~"),"*","~*"),"?","~?"),Processos!$AS$10:$AS$509,0)))-9),0)</f>
        <v>0</v>
      </c>
      <c r="K1643" s="34" t="str">
        <f t="shared" si="103"/>
        <v/>
      </c>
      <c r="L1643" s="14">
        <f>ROW()</f>
        <v>1643</v>
      </c>
    </row>
    <row r="1644" spans="1:12" ht="60" customHeight="1">
      <c r="A1644" s="41"/>
      <c r="B1644" s="43"/>
      <c r="C1644" s="44"/>
      <c r="D1644" s="51"/>
      <c r="E1644" s="44"/>
      <c r="F1644" s="44"/>
      <c r="G1644" s="34">
        <f t="shared" si="100"/>
        <v>0</v>
      </c>
      <c r="H1644" s="34" t="str">
        <f t="shared" si="101"/>
        <v/>
      </c>
      <c r="I1644" s="52" t="str">
        <f t="shared" si="102"/>
        <v/>
      </c>
      <c r="J1644" s="34">
        <f>IF(AND(A1644&lt;&gt;"",ISTEXT(A1644),COUNTIFS(Processos!$AS$10:$AS$509,"="&amp;SUBSTITUTE(SUBSTITUTE(SUBSTITUTE("P:"&amp;A1644,"~","~~"),"*","~*"),"?","~?"))=1),(IF(ISNA(MATCH(SUBSTITUTE(SUBSTITUTE(SUBSTITUTE("P:"&amp;A1644,"~","~~"),"*","~*"),"?","~?"),Processos!$AS$10:$AS$509,0)),9,INDEX(Processos!$AM$10:$AM$509,MATCH(SUBSTITUTE(SUBSTITUTE(SUBSTITUTE("P:"&amp;A1644,"~","~~"),"*","~*"),"?","~?"),Processos!$AS$10:$AS$509,0)))-9),0)</f>
        <v>0</v>
      </c>
      <c r="K1644" s="34" t="str">
        <f t="shared" si="103"/>
        <v/>
      </c>
      <c r="L1644" s="14">
        <f>ROW()</f>
        <v>1644</v>
      </c>
    </row>
    <row r="1645" spans="1:12" ht="60" customHeight="1">
      <c r="A1645" s="41"/>
      <c r="B1645" s="43"/>
      <c r="C1645" s="44"/>
      <c r="D1645" s="51"/>
      <c r="E1645" s="44"/>
      <c r="F1645" s="44"/>
      <c r="G1645" s="34">
        <f t="shared" si="100"/>
        <v>0</v>
      </c>
      <c r="H1645" s="34" t="str">
        <f t="shared" si="101"/>
        <v/>
      </c>
      <c r="I1645" s="52" t="str">
        <f t="shared" si="102"/>
        <v/>
      </c>
      <c r="J1645" s="34">
        <f>IF(AND(A1645&lt;&gt;"",ISTEXT(A1645),COUNTIFS(Processos!$AS$10:$AS$509,"="&amp;SUBSTITUTE(SUBSTITUTE(SUBSTITUTE("P:"&amp;A1645,"~","~~"),"*","~*"),"?","~?"))=1),(IF(ISNA(MATCH(SUBSTITUTE(SUBSTITUTE(SUBSTITUTE("P:"&amp;A1645,"~","~~"),"*","~*"),"?","~?"),Processos!$AS$10:$AS$509,0)),9,INDEX(Processos!$AM$10:$AM$509,MATCH(SUBSTITUTE(SUBSTITUTE(SUBSTITUTE("P:"&amp;A1645,"~","~~"),"*","~*"),"?","~?"),Processos!$AS$10:$AS$509,0)))-9),0)</f>
        <v>0</v>
      </c>
      <c r="K1645" s="34" t="str">
        <f t="shared" si="103"/>
        <v/>
      </c>
      <c r="L1645" s="14">
        <f>ROW()</f>
        <v>1645</v>
      </c>
    </row>
    <row r="1646" spans="1:12" ht="60" customHeight="1">
      <c r="A1646" s="41"/>
      <c r="B1646" s="43"/>
      <c r="C1646" s="44"/>
      <c r="D1646" s="51"/>
      <c r="E1646" s="44"/>
      <c r="F1646" s="44"/>
      <c r="G1646" s="34">
        <f t="shared" si="100"/>
        <v>0</v>
      </c>
      <c r="H1646" s="34" t="str">
        <f t="shared" si="101"/>
        <v/>
      </c>
      <c r="I1646" s="52" t="str">
        <f t="shared" si="102"/>
        <v/>
      </c>
      <c r="J1646" s="34">
        <f>IF(AND(A1646&lt;&gt;"",ISTEXT(A1646),COUNTIFS(Processos!$AS$10:$AS$509,"="&amp;SUBSTITUTE(SUBSTITUTE(SUBSTITUTE("P:"&amp;A1646,"~","~~"),"*","~*"),"?","~?"))=1),(IF(ISNA(MATCH(SUBSTITUTE(SUBSTITUTE(SUBSTITUTE("P:"&amp;A1646,"~","~~"),"*","~*"),"?","~?"),Processos!$AS$10:$AS$509,0)),9,INDEX(Processos!$AM$10:$AM$509,MATCH(SUBSTITUTE(SUBSTITUTE(SUBSTITUTE("P:"&amp;A1646,"~","~~"),"*","~*"),"?","~?"),Processos!$AS$10:$AS$509,0)))-9),0)</f>
        <v>0</v>
      </c>
      <c r="K1646" s="34" t="str">
        <f t="shared" si="103"/>
        <v/>
      </c>
      <c r="L1646" s="14">
        <f>ROW()</f>
        <v>1646</v>
      </c>
    </row>
    <row r="1647" spans="1:12" ht="60" customHeight="1">
      <c r="A1647" s="41"/>
      <c r="B1647" s="43"/>
      <c r="C1647" s="44"/>
      <c r="D1647" s="51"/>
      <c r="E1647" s="44"/>
      <c r="F1647" s="44"/>
      <c r="G1647" s="34">
        <f t="shared" si="100"/>
        <v>0</v>
      </c>
      <c r="H1647" s="34" t="str">
        <f t="shared" si="101"/>
        <v/>
      </c>
      <c r="I1647" s="52" t="str">
        <f t="shared" si="102"/>
        <v/>
      </c>
      <c r="J1647" s="34">
        <f>IF(AND(A1647&lt;&gt;"",ISTEXT(A1647),COUNTIFS(Processos!$AS$10:$AS$509,"="&amp;SUBSTITUTE(SUBSTITUTE(SUBSTITUTE("P:"&amp;A1647,"~","~~"),"*","~*"),"?","~?"))=1),(IF(ISNA(MATCH(SUBSTITUTE(SUBSTITUTE(SUBSTITUTE("P:"&amp;A1647,"~","~~"),"*","~*"),"?","~?"),Processos!$AS$10:$AS$509,0)),9,INDEX(Processos!$AM$10:$AM$509,MATCH(SUBSTITUTE(SUBSTITUTE(SUBSTITUTE("P:"&amp;A1647,"~","~~"),"*","~*"),"?","~?"),Processos!$AS$10:$AS$509,0)))-9),0)</f>
        <v>0</v>
      </c>
      <c r="K1647" s="34" t="str">
        <f t="shared" si="103"/>
        <v/>
      </c>
      <c r="L1647" s="14">
        <f>ROW()</f>
        <v>1647</v>
      </c>
    </row>
    <row r="1648" spans="1:12" ht="60" customHeight="1">
      <c r="A1648" s="41"/>
      <c r="B1648" s="43"/>
      <c r="C1648" s="44"/>
      <c r="D1648" s="51"/>
      <c r="E1648" s="44"/>
      <c r="F1648" s="44"/>
      <c r="G1648" s="34">
        <f t="shared" si="100"/>
        <v>0</v>
      </c>
      <c r="H1648" s="34" t="str">
        <f t="shared" si="101"/>
        <v/>
      </c>
      <c r="I1648" s="52" t="str">
        <f t="shared" si="102"/>
        <v/>
      </c>
      <c r="J1648" s="34">
        <f>IF(AND(A1648&lt;&gt;"",ISTEXT(A1648),COUNTIFS(Processos!$AS$10:$AS$509,"="&amp;SUBSTITUTE(SUBSTITUTE(SUBSTITUTE("P:"&amp;A1648,"~","~~"),"*","~*"),"?","~?"))=1),(IF(ISNA(MATCH(SUBSTITUTE(SUBSTITUTE(SUBSTITUTE("P:"&amp;A1648,"~","~~"),"*","~*"),"?","~?"),Processos!$AS$10:$AS$509,0)),9,INDEX(Processos!$AM$10:$AM$509,MATCH(SUBSTITUTE(SUBSTITUTE(SUBSTITUTE("P:"&amp;A1648,"~","~~"),"*","~*"),"?","~?"),Processos!$AS$10:$AS$509,0)))-9),0)</f>
        <v>0</v>
      </c>
      <c r="K1648" s="34" t="str">
        <f t="shared" si="103"/>
        <v/>
      </c>
      <c r="L1648" s="14">
        <f>ROW()</f>
        <v>1648</v>
      </c>
    </row>
    <row r="1649" spans="1:12" ht="60" customHeight="1">
      <c r="A1649" s="41"/>
      <c r="B1649" s="43"/>
      <c r="C1649" s="44"/>
      <c r="D1649" s="51"/>
      <c r="E1649" s="44"/>
      <c r="F1649" s="44"/>
      <c r="G1649" s="34">
        <f t="shared" si="100"/>
        <v>0</v>
      </c>
      <c r="H1649" s="34" t="str">
        <f t="shared" si="101"/>
        <v/>
      </c>
      <c r="I1649" s="52" t="str">
        <f t="shared" si="102"/>
        <v/>
      </c>
      <c r="J1649" s="34">
        <f>IF(AND(A1649&lt;&gt;"",ISTEXT(A1649),COUNTIFS(Processos!$AS$10:$AS$509,"="&amp;SUBSTITUTE(SUBSTITUTE(SUBSTITUTE("P:"&amp;A1649,"~","~~"),"*","~*"),"?","~?"))=1),(IF(ISNA(MATCH(SUBSTITUTE(SUBSTITUTE(SUBSTITUTE("P:"&amp;A1649,"~","~~"),"*","~*"),"?","~?"),Processos!$AS$10:$AS$509,0)),9,INDEX(Processos!$AM$10:$AM$509,MATCH(SUBSTITUTE(SUBSTITUTE(SUBSTITUTE("P:"&amp;A1649,"~","~~"),"*","~*"),"?","~?"),Processos!$AS$10:$AS$509,0)))-9),0)</f>
        <v>0</v>
      </c>
      <c r="K1649" s="34" t="str">
        <f t="shared" si="103"/>
        <v/>
      </c>
      <c r="L1649" s="14">
        <f>ROW()</f>
        <v>1649</v>
      </c>
    </row>
    <row r="1650" spans="1:12" ht="60" customHeight="1">
      <c r="A1650" s="41"/>
      <c r="B1650" s="43"/>
      <c r="C1650" s="44"/>
      <c r="D1650" s="51"/>
      <c r="E1650" s="44"/>
      <c r="F1650" s="44"/>
      <c r="G1650" s="34">
        <f t="shared" si="100"/>
        <v>0</v>
      </c>
      <c r="H1650" s="34" t="str">
        <f t="shared" si="101"/>
        <v/>
      </c>
      <c r="I1650" s="52" t="str">
        <f t="shared" si="102"/>
        <v/>
      </c>
      <c r="J1650" s="34">
        <f>IF(AND(A1650&lt;&gt;"",ISTEXT(A1650),COUNTIFS(Processos!$AS$10:$AS$509,"="&amp;SUBSTITUTE(SUBSTITUTE(SUBSTITUTE("P:"&amp;A1650,"~","~~"),"*","~*"),"?","~?"))=1),(IF(ISNA(MATCH(SUBSTITUTE(SUBSTITUTE(SUBSTITUTE("P:"&amp;A1650,"~","~~"),"*","~*"),"?","~?"),Processos!$AS$10:$AS$509,0)),9,INDEX(Processos!$AM$10:$AM$509,MATCH(SUBSTITUTE(SUBSTITUTE(SUBSTITUTE("P:"&amp;A1650,"~","~~"),"*","~*"),"?","~?"),Processos!$AS$10:$AS$509,0)))-9),0)</f>
        <v>0</v>
      </c>
      <c r="K1650" s="34" t="str">
        <f t="shared" si="103"/>
        <v/>
      </c>
      <c r="L1650" s="14">
        <f>ROW()</f>
        <v>1650</v>
      </c>
    </row>
    <row r="1651" spans="1:12" ht="60" customHeight="1">
      <c r="A1651" s="41"/>
      <c r="B1651" s="43"/>
      <c r="C1651" s="44"/>
      <c r="D1651" s="51"/>
      <c r="E1651" s="44"/>
      <c r="F1651" s="44"/>
      <c r="G1651" s="34">
        <f t="shared" si="100"/>
        <v>0</v>
      </c>
      <c r="H1651" s="34" t="str">
        <f t="shared" si="101"/>
        <v/>
      </c>
      <c r="I1651" s="52" t="str">
        <f t="shared" si="102"/>
        <v/>
      </c>
      <c r="J1651" s="34">
        <f>IF(AND(A1651&lt;&gt;"",ISTEXT(A1651),COUNTIFS(Processos!$AS$10:$AS$509,"="&amp;SUBSTITUTE(SUBSTITUTE(SUBSTITUTE("P:"&amp;A1651,"~","~~"),"*","~*"),"?","~?"))=1),(IF(ISNA(MATCH(SUBSTITUTE(SUBSTITUTE(SUBSTITUTE("P:"&amp;A1651,"~","~~"),"*","~*"),"?","~?"),Processos!$AS$10:$AS$509,0)),9,INDEX(Processos!$AM$10:$AM$509,MATCH(SUBSTITUTE(SUBSTITUTE(SUBSTITUTE("P:"&amp;A1651,"~","~~"),"*","~*"),"?","~?"),Processos!$AS$10:$AS$509,0)))-9),0)</f>
        <v>0</v>
      </c>
      <c r="K1651" s="34" t="str">
        <f t="shared" si="103"/>
        <v/>
      </c>
      <c r="L1651" s="14">
        <f>ROW()</f>
        <v>1651</v>
      </c>
    </row>
    <row r="1652" spans="1:12" ht="60" customHeight="1">
      <c r="A1652" s="41"/>
      <c r="B1652" s="43"/>
      <c r="C1652" s="44"/>
      <c r="D1652" s="51"/>
      <c r="E1652" s="44"/>
      <c r="F1652" s="44"/>
      <c r="G1652" s="34">
        <f t="shared" si="100"/>
        <v>0</v>
      </c>
      <c r="H1652" s="34" t="str">
        <f t="shared" si="101"/>
        <v/>
      </c>
      <c r="I1652" s="52" t="str">
        <f t="shared" si="102"/>
        <v/>
      </c>
      <c r="J1652" s="34">
        <f>IF(AND(A1652&lt;&gt;"",ISTEXT(A1652),COUNTIFS(Processos!$AS$10:$AS$509,"="&amp;SUBSTITUTE(SUBSTITUTE(SUBSTITUTE("P:"&amp;A1652,"~","~~"),"*","~*"),"?","~?"))=1),(IF(ISNA(MATCH(SUBSTITUTE(SUBSTITUTE(SUBSTITUTE("P:"&amp;A1652,"~","~~"),"*","~*"),"?","~?"),Processos!$AS$10:$AS$509,0)),9,INDEX(Processos!$AM$10:$AM$509,MATCH(SUBSTITUTE(SUBSTITUTE(SUBSTITUTE("P:"&amp;A1652,"~","~~"),"*","~*"),"?","~?"),Processos!$AS$10:$AS$509,0)))-9),0)</f>
        <v>0</v>
      </c>
      <c r="K1652" s="34" t="str">
        <f t="shared" si="103"/>
        <v/>
      </c>
      <c r="L1652" s="14">
        <f>ROW()</f>
        <v>1652</v>
      </c>
    </row>
    <row r="1653" spans="1:12" ht="60" customHeight="1">
      <c r="A1653" s="41"/>
      <c r="B1653" s="43"/>
      <c r="C1653" s="44"/>
      <c r="D1653" s="51"/>
      <c r="E1653" s="44"/>
      <c r="F1653" s="44"/>
      <c r="G1653" s="34">
        <f t="shared" si="100"/>
        <v>0</v>
      </c>
      <c r="H1653" s="34" t="str">
        <f t="shared" si="101"/>
        <v/>
      </c>
      <c r="I1653" s="52" t="str">
        <f t="shared" si="102"/>
        <v/>
      </c>
      <c r="J1653" s="34">
        <f>IF(AND(A1653&lt;&gt;"",ISTEXT(A1653),COUNTIFS(Processos!$AS$10:$AS$509,"="&amp;SUBSTITUTE(SUBSTITUTE(SUBSTITUTE("P:"&amp;A1653,"~","~~"),"*","~*"),"?","~?"))=1),(IF(ISNA(MATCH(SUBSTITUTE(SUBSTITUTE(SUBSTITUTE("P:"&amp;A1653,"~","~~"),"*","~*"),"?","~?"),Processos!$AS$10:$AS$509,0)),9,INDEX(Processos!$AM$10:$AM$509,MATCH(SUBSTITUTE(SUBSTITUTE(SUBSTITUTE("P:"&amp;A1653,"~","~~"),"*","~*"),"?","~?"),Processos!$AS$10:$AS$509,0)))-9),0)</f>
        <v>0</v>
      </c>
      <c r="K1653" s="34" t="str">
        <f t="shared" si="103"/>
        <v/>
      </c>
      <c r="L1653" s="14">
        <f>ROW()</f>
        <v>1653</v>
      </c>
    </row>
    <row r="1654" spans="1:12" ht="60" customHeight="1">
      <c r="A1654" s="41"/>
      <c r="B1654" s="43"/>
      <c r="C1654" s="44"/>
      <c r="D1654" s="51"/>
      <c r="E1654" s="44"/>
      <c r="F1654" s="44"/>
      <c r="G1654" s="34">
        <f t="shared" si="100"/>
        <v>0</v>
      </c>
      <c r="H1654" s="34" t="str">
        <f t="shared" si="101"/>
        <v/>
      </c>
      <c r="I1654" s="52" t="str">
        <f t="shared" si="102"/>
        <v/>
      </c>
      <c r="J1654" s="34">
        <f>IF(AND(A1654&lt;&gt;"",ISTEXT(A1654),COUNTIFS(Processos!$AS$10:$AS$509,"="&amp;SUBSTITUTE(SUBSTITUTE(SUBSTITUTE("P:"&amp;A1654,"~","~~"),"*","~*"),"?","~?"))=1),(IF(ISNA(MATCH(SUBSTITUTE(SUBSTITUTE(SUBSTITUTE("P:"&amp;A1654,"~","~~"),"*","~*"),"?","~?"),Processos!$AS$10:$AS$509,0)),9,INDEX(Processos!$AM$10:$AM$509,MATCH(SUBSTITUTE(SUBSTITUTE(SUBSTITUTE("P:"&amp;A1654,"~","~~"),"*","~*"),"?","~?"),Processos!$AS$10:$AS$509,0)))-9),0)</f>
        <v>0</v>
      </c>
      <c r="K1654" s="34" t="str">
        <f t="shared" si="103"/>
        <v/>
      </c>
      <c r="L1654" s="14">
        <f>ROW()</f>
        <v>1654</v>
      </c>
    </row>
    <row r="1655" spans="1:12" ht="60" customHeight="1">
      <c r="A1655" s="41"/>
      <c r="B1655" s="43"/>
      <c r="C1655" s="44"/>
      <c r="D1655" s="51"/>
      <c r="E1655" s="44"/>
      <c r="F1655" s="44"/>
      <c r="G1655" s="34">
        <f t="shared" si="100"/>
        <v>0</v>
      </c>
      <c r="H1655" s="34" t="str">
        <f t="shared" si="101"/>
        <v/>
      </c>
      <c r="I1655" s="52" t="str">
        <f t="shared" si="102"/>
        <v/>
      </c>
      <c r="J1655" s="34">
        <f>IF(AND(A1655&lt;&gt;"",ISTEXT(A1655),COUNTIFS(Processos!$AS$10:$AS$509,"="&amp;SUBSTITUTE(SUBSTITUTE(SUBSTITUTE("P:"&amp;A1655,"~","~~"),"*","~*"),"?","~?"))=1),(IF(ISNA(MATCH(SUBSTITUTE(SUBSTITUTE(SUBSTITUTE("P:"&amp;A1655,"~","~~"),"*","~*"),"?","~?"),Processos!$AS$10:$AS$509,0)),9,INDEX(Processos!$AM$10:$AM$509,MATCH(SUBSTITUTE(SUBSTITUTE(SUBSTITUTE("P:"&amp;A1655,"~","~~"),"*","~*"),"?","~?"),Processos!$AS$10:$AS$509,0)))-9),0)</f>
        <v>0</v>
      </c>
      <c r="K1655" s="34" t="str">
        <f t="shared" si="103"/>
        <v/>
      </c>
      <c r="L1655" s="14">
        <f>ROW()</f>
        <v>1655</v>
      </c>
    </row>
    <row r="1656" spans="1:12" ht="60" customHeight="1">
      <c r="A1656" s="41"/>
      <c r="B1656" s="43"/>
      <c r="C1656" s="44"/>
      <c r="D1656" s="51"/>
      <c r="E1656" s="44"/>
      <c r="F1656" s="44"/>
      <c r="G1656" s="34">
        <f t="shared" si="100"/>
        <v>0</v>
      </c>
      <c r="H1656" s="34" t="str">
        <f t="shared" si="101"/>
        <v/>
      </c>
      <c r="I1656" s="52" t="str">
        <f t="shared" si="102"/>
        <v/>
      </c>
      <c r="J1656" s="34">
        <f>IF(AND(A1656&lt;&gt;"",ISTEXT(A1656),COUNTIFS(Processos!$AS$10:$AS$509,"="&amp;SUBSTITUTE(SUBSTITUTE(SUBSTITUTE("P:"&amp;A1656,"~","~~"),"*","~*"),"?","~?"))=1),(IF(ISNA(MATCH(SUBSTITUTE(SUBSTITUTE(SUBSTITUTE("P:"&amp;A1656,"~","~~"),"*","~*"),"?","~?"),Processos!$AS$10:$AS$509,0)),9,INDEX(Processos!$AM$10:$AM$509,MATCH(SUBSTITUTE(SUBSTITUTE(SUBSTITUTE("P:"&amp;A1656,"~","~~"),"*","~*"),"?","~?"),Processos!$AS$10:$AS$509,0)))-9),0)</f>
        <v>0</v>
      </c>
      <c r="K1656" s="34" t="str">
        <f t="shared" si="103"/>
        <v/>
      </c>
      <c r="L1656" s="14">
        <f>ROW()</f>
        <v>1656</v>
      </c>
    </row>
    <row r="1657" spans="1:12" ht="60" customHeight="1">
      <c r="A1657" s="41"/>
      <c r="B1657" s="43"/>
      <c r="C1657" s="44"/>
      <c r="D1657" s="51"/>
      <c r="E1657" s="44"/>
      <c r="F1657" s="44"/>
      <c r="G1657" s="34">
        <f t="shared" si="100"/>
        <v>0</v>
      </c>
      <c r="H1657" s="34" t="str">
        <f t="shared" si="101"/>
        <v/>
      </c>
      <c r="I1657" s="52" t="str">
        <f t="shared" si="102"/>
        <v/>
      </c>
      <c r="J1657" s="34">
        <f>IF(AND(A1657&lt;&gt;"",ISTEXT(A1657),COUNTIFS(Processos!$AS$10:$AS$509,"="&amp;SUBSTITUTE(SUBSTITUTE(SUBSTITUTE("P:"&amp;A1657,"~","~~"),"*","~*"),"?","~?"))=1),(IF(ISNA(MATCH(SUBSTITUTE(SUBSTITUTE(SUBSTITUTE("P:"&amp;A1657,"~","~~"),"*","~*"),"?","~?"),Processos!$AS$10:$AS$509,0)),9,INDEX(Processos!$AM$10:$AM$509,MATCH(SUBSTITUTE(SUBSTITUTE(SUBSTITUTE("P:"&amp;A1657,"~","~~"),"*","~*"),"?","~?"),Processos!$AS$10:$AS$509,0)))-9),0)</f>
        <v>0</v>
      </c>
      <c r="K1657" s="34" t="str">
        <f t="shared" si="103"/>
        <v/>
      </c>
      <c r="L1657" s="14">
        <f>ROW()</f>
        <v>1657</v>
      </c>
    </row>
    <row r="1658" spans="1:12" ht="60" customHeight="1">
      <c r="A1658" s="41"/>
      <c r="B1658" s="43"/>
      <c r="C1658" s="44"/>
      <c r="D1658" s="51"/>
      <c r="E1658" s="44"/>
      <c r="F1658" s="44"/>
      <c r="G1658" s="34">
        <f t="shared" si="100"/>
        <v>0</v>
      </c>
      <c r="H1658" s="34" t="str">
        <f t="shared" si="101"/>
        <v/>
      </c>
      <c r="I1658" s="52" t="str">
        <f t="shared" si="102"/>
        <v/>
      </c>
      <c r="J1658" s="34">
        <f>IF(AND(A1658&lt;&gt;"",ISTEXT(A1658),COUNTIFS(Processos!$AS$10:$AS$509,"="&amp;SUBSTITUTE(SUBSTITUTE(SUBSTITUTE("P:"&amp;A1658,"~","~~"),"*","~*"),"?","~?"))=1),(IF(ISNA(MATCH(SUBSTITUTE(SUBSTITUTE(SUBSTITUTE("P:"&amp;A1658,"~","~~"),"*","~*"),"?","~?"),Processos!$AS$10:$AS$509,0)),9,INDEX(Processos!$AM$10:$AM$509,MATCH(SUBSTITUTE(SUBSTITUTE(SUBSTITUTE("P:"&amp;A1658,"~","~~"),"*","~*"),"?","~?"),Processos!$AS$10:$AS$509,0)))-9),0)</f>
        <v>0</v>
      </c>
      <c r="K1658" s="34" t="str">
        <f t="shared" si="103"/>
        <v/>
      </c>
      <c r="L1658" s="14">
        <f>ROW()</f>
        <v>1658</v>
      </c>
    </row>
    <row r="1659" spans="1:12" ht="60" customHeight="1">
      <c r="A1659" s="41"/>
      <c r="B1659" s="43"/>
      <c r="C1659" s="44"/>
      <c r="D1659" s="51"/>
      <c r="E1659" s="44"/>
      <c r="F1659" s="44"/>
      <c r="G1659" s="34">
        <f t="shared" si="100"/>
        <v>0</v>
      </c>
      <c r="H1659" s="34" t="str">
        <f t="shared" si="101"/>
        <v/>
      </c>
      <c r="I1659" s="52" t="str">
        <f t="shared" si="102"/>
        <v/>
      </c>
      <c r="J1659" s="34">
        <f>IF(AND(A1659&lt;&gt;"",ISTEXT(A1659),COUNTIFS(Processos!$AS$10:$AS$509,"="&amp;SUBSTITUTE(SUBSTITUTE(SUBSTITUTE("P:"&amp;A1659,"~","~~"),"*","~*"),"?","~?"))=1),(IF(ISNA(MATCH(SUBSTITUTE(SUBSTITUTE(SUBSTITUTE("P:"&amp;A1659,"~","~~"),"*","~*"),"?","~?"),Processos!$AS$10:$AS$509,0)),9,INDEX(Processos!$AM$10:$AM$509,MATCH(SUBSTITUTE(SUBSTITUTE(SUBSTITUTE("P:"&amp;A1659,"~","~~"),"*","~*"),"?","~?"),Processos!$AS$10:$AS$509,0)))-9),0)</f>
        <v>0</v>
      </c>
      <c r="K1659" s="34" t="str">
        <f t="shared" si="103"/>
        <v/>
      </c>
      <c r="L1659" s="14">
        <f>ROW()</f>
        <v>1659</v>
      </c>
    </row>
    <row r="1660" spans="1:12" ht="60" customHeight="1">
      <c r="A1660" s="41"/>
      <c r="B1660" s="43"/>
      <c r="C1660" s="44"/>
      <c r="D1660" s="51"/>
      <c r="E1660" s="44"/>
      <c r="F1660" s="44"/>
      <c r="G1660" s="34">
        <f t="shared" si="100"/>
        <v>0</v>
      </c>
      <c r="H1660" s="34" t="str">
        <f t="shared" si="101"/>
        <v/>
      </c>
      <c r="I1660" s="52" t="str">
        <f t="shared" si="102"/>
        <v/>
      </c>
      <c r="J1660" s="34">
        <f>IF(AND(A1660&lt;&gt;"",ISTEXT(A1660),COUNTIFS(Processos!$AS$10:$AS$509,"="&amp;SUBSTITUTE(SUBSTITUTE(SUBSTITUTE("P:"&amp;A1660,"~","~~"),"*","~*"),"?","~?"))=1),(IF(ISNA(MATCH(SUBSTITUTE(SUBSTITUTE(SUBSTITUTE("P:"&amp;A1660,"~","~~"),"*","~*"),"?","~?"),Processos!$AS$10:$AS$509,0)),9,INDEX(Processos!$AM$10:$AM$509,MATCH(SUBSTITUTE(SUBSTITUTE(SUBSTITUTE("P:"&amp;A1660,"~","~~"),"*","~*"),"?","~?"),Processos!$AS$10:$AS$509,0)))-9),0)</f>
        <v>0</v>
      </c>
      <c r="K1660" s="34" t="str">
        <f t="shared" si="103"/>
        <v/>
      </c>
      <c r="L1660" s="14">
        <f>ROW()</f>
        <v>1660</v>
      </c>
    </row>
    <row r="1661" spans="1:12" ht="60" customHeight="1">
      <c r="A1661" s="41"/>
      <c r="B1661" s="43"/>
      <c r="C1661" s="44"/>
      <c r="D1661" s="51"/>
      <c r="E1661" s="44"/>
      <c r="F1661" s="44"/>
      <c r="G1661" s="34">
        <f t="shared" si="100"/>
        <v>0</v>
      </c>
      <c r="H1661" s="34" t="str">
        <f t="shared" si="101"/>
        <v/>
      </c>
      <c r="I1661" s="52" t="str">
        <f t="shared" si="102"/>
        <v/>
      </c>
      <c r="J1661" s="34">
        <f>IF(AND(A1661&lt;&gt;"",ISTEXT(A1661),COUNTIFS(Processos!$AS$10:$AS$509,"="&amp;SUBSTITUTE(SUBSTITUTE(SUBSTITUTE("P:"&amp;A1661,"~","~~"),"*","~*"),"?","~?"))=1),(IF(ISNA(MATCH(SUBSTITUTE(SUBSTITUTE(SUBSTITUTE("P:"&amp;A1661,"~","~~"),"*","~*"),"?","~?"),Processos!$AS$10:$AS$509,0)),9,INDEX(Processos!$AM$10:$AM$509,MATCH(SUBSTITUTE(SUBSTITUTE(SUBSTITUTE("P:"&amp;A1661,"~","~~"),"*","~*"),"?","~?"),Processos!$AS$10:$AS$509,0)))-9),0)</f>
        <v>0</v>
      </c>
      <c r="K1661" s="34" t="str">
        <f t="shared" si="103"/>
        <v/>
      </c>
      <c r="L1661" s="14">
        <f>ROW()</f>
        <v>1661</v>
      </c>
    </row>
    <row r="1662" spans="1:12" ht="60" customHeight="1">
      <c r="A1662" s="41"/>
      <c r="B1662" s="43"/>
      <c r="C1662" s="44"/>
      <c r="D1662" s="51"/>
      <c r="E1662" s="44"/>
      <c r="F1662" s="44"/>
      <c r="G1662" s="34">
        <f t="shared" si="100"/>
        <v>0</v>
      </c>
      <c r="H1662" s="34" t="str">
        <f t="shared" si="101"/>
        <v/>
      </c>
      <c r="I1662" s="52" t="str">
        <f t="shared" si="102"/>
        <v/>
      </c>
      <c r="J1662" s="34">
        <f>IF(AND(A1662&lt;&gt;"",ISTEXT(A1662),COUNTIFS(Processos!$AS$10:$AS$509,"="&amp;SUBSTITUTE(SUBSTITUTE(SUBSTITUTE("P:"&amp;A1662,"~","~~"),"*","~*"),"?","~?"))=1),(IF(ISNA(MATCH(SUBSTITUTE(SUBSTITUTE(SUBSTITUTE("P:"&amp;A1662,"~","~~"),"*","~*"),"?","~?"),Processos!$AS$10:$AS$509,0)),9,INDEX(Processos!$AM$10:$AM$509,MATCH(SUBSTITUTE(SUBSTITUTE(SUBSTITUTE("P:"&amp;A1662,"~","~~"),"*","~*"),"?","~?"),Processos!$AS$10:$AS$509,0)))-9),0)</f>
        <v>0</v>
      </c>
      <c r="K1662" s="34" t="str">
        <f t="shared" si="103"/>
        <v/>
      </c>
      <c r="L1662" s="14">
        <f>ROW()</f>
        <v>1662</v>
      </c>
    </row>
    <row r="1663" spans="1:12" ht="60" customHeight="1">
      <c r="A1663" s="41"/>
      <c r="B1663" s="43"/>
      <c r="C1663" s="44"/>
      <c r="D1663" s="51"/>
      <c r="E1663" s="44"/>
      <c r="F1663" s="44"/>
      <c r="G1663" s="34">
        <f t="shared" si="100"/>
        <v>0</v>
      </c>
      <c r="H1663" s="34" t="str">
        <f t="shared" si="101"/>
        <v/>
      </c>
      <c r="I1663" s="52" t="str">
        <f t="shared" si="102"/>
        <v/>
      </c>
      <c r="J1663" s="34">
        <f>IF(AND(A1663&lt;&gt;"",ISTEXT(A1663),COUNTIFS(Processos!$AS$10:$AS$509,"="&amp;SUBSTITUTE(SUBSTITUTE(SUBSTITUTE("P:"&amp;A1663,"~","~~"),"*","~*"),"?","~?"))=1),(IF(ISNA(MATCH(SUBSTITUTE(SUBSTITUTE(SUBSTITUTE("P:"&amp;A1663,"~","~~"),"*","~*"),"?","~?"),Processos!$AS$10:$AS$509,0)),9,INDEX(Processos!$AM$10:$AM$509,MATCH(SUBSTITUTE(SUBSTITUTE(SUBSTITUTE("P:"&amp;A1663,"~","~~"),"*","~*"),"?","~?"),Processos!$AS$10:$AS$509,0)))-9),0)</f>
        <v>0</v>
      </c>
      <c r="K1663" s="34" t="str">
        <f t="shared" si="103"/>
        <v/>
      </c>
      <c r="L1663" s="14">
        <f>ROW()</f>
        <v>1663</v>
      </c>
    </row>
    <row r="1664" spans="1:12" ht="60" customHeight="1">
      <c r="A1664" s="41"/>
      <c r="B1664" s="43"/>
      <c r="C1664" s="44"/>
      <c r="D1664" s="51"/>
      <c r="E1664" s="44"/>
      <c r="F1664" s="44"/>
      <c r="G1664" s="34">
        <f t="shared" si="100"/>
        <v>0</v>
      </c>
      <c r="H1664" s="34" t="str">
        <f t="shared" si="101"/>
        <v/>
      </c>
      <c r="I1664" s="52" t="str">
        <f t="shared" si="102"/>
        <v/>
      </c>
      <c r="J1664" s="34">
        <f>IF(AND(A1664&lt;&gt;"",ISTEXT(A1664),COUNTIFS(Processos!$AS$10:$AS$509,"="&amp;SUBSTITUTE(SUBSTITUTE(SUBSTITUTE("P:"&amp;A1664,"~","~~"),"*","~*"),"?","~?"))=1),(IF(ISNA(MATCH(SUBSTITUTE(SUBSTITUTE(SUBSTITUTE("P:"&amp;A1664,"~","~~"),"*","~*"),"?","~?"),Processos!$AS$10:$AS$509,0)),9,INDEX(Processos!$AM$10:$AM$509,MATCH(SUBSTITUTE(SUBSTITUTE(SUBSTITUTE("P:"&amp;A1664,"~","~~"),"*","~*"),"?","~?"),Processos!$AS$10:$AS$509,0)))-9),0)</f>
        <v>0</v>
      </c>
      <c r="K1664" s="34" t="str">
        <f t="shared" si="103"/>
        <v/>
      </c>
      <c r="L1664" s="14">
        <f>ROW()</f>
        <v>1664</v>
      </c>
    </row>
    <row r="1665" spans="1:12" ht="60" customHeight="1">
      <c r="A1665" s="41"/>
      <c r="B1665" s="43"/>
      <c r="C1665" s="44"/>
      <c r="D1665" s="51"/>
      <c r="E1665" s="44"/>
      <c r="F1665" s="44"/>
      <c r="G1665" s="34">
        <f t="shared" si="100"/>
        <v>0</v>
      </c>
      <c r="H1665" s="34" t="str">
        <f t="shared" si="101"/>
        <v/>
      </c>
      <c r="I1665" s="52" t="str">
        <f t="shared" si="102"/>
        <v/>
      </c>
      <c r="J1665" s="34">
        <f>IF(AND(A1665&lt;&gt;"",ISTEXT(A1665),COUNTIFS(Processos!$AS$10:$AS$509,"="&amp;SUBSTITUTE(SUBSTITUTE(SUBSTITUTE("P:"&amp;A1665,"~","~~"),"*","~*"),"?","~?"))=1),(IF(ISNA(MATCH(SUBSTITUTE(SUBSTITUTE(SUBSTITUTE("P:"&amp;A1665,"~","~~"),"*","~*"),"?","~?"),Processos!$AS$10:$AS$509,0)),9,INDEX(Processos!$AM$10:$AM$509,MATCH(SUBSTITUTE(SUBSTITUTE(SUBSTITUTE("P:"&amp;A1665,"~","~~"),"*","~*"),"?","~?"),Processos!$AS$10:$AS$509,0)))-9),0)</f>
        <v>0</v>
      </c>
      <c r="K1665" s="34" t="str">
        <f t="shared" si="103"/>
        <v/>
      </c>
      <c r="L1665" s="14">
        <f>ROW()</f>
        <v>1665</v>
      </c>
    </row>
    <row r="1666" spans="1:12" ht="60" customHeight="1">
      <c r="A1666" s="41"/>
      <c r="B1666" s="43"/>
      <c r="C1666" s="44"/>
      <c r="D1666" s="51"/>
      <c r="E1666" s="44"/>
      <c r="F1666" s="44"/>
      <c r="G1666" s="34">
        <f t="shared" si="100"/>
        <v>0</v>
      </c>
      <c r="H1666" s="34" t="str">
        <f t="shared" si="101"/>
        <v/>
      </c>
      <c r="I1666" s="52" t="str">
        <f t="shared" si="102"/>
        <v/>
      </c>
      <c r="J1666" s="34">
        <f>IF(AND(A1666&lt;&gt;"",ISTEXT(A1666),COUNTIFS(Processos!$AS$10:$AS$509,"="&amp;SUBSTITUTE(SUBSTITUTE(SUBSTITUTE("P:"&amp;A1666,"~","~~"),"*","~*"),"?","~?"))=1),(IF(ISNA(MATCH(SUBSTITUTE(SUBSTITUTE(SUBSTITUTE("P:"&amp;A1666,"~","~~"),"*","~*"),"?","~?"),Processos!$AS$10:$AS$509,0)),9,INDEX(Processos!$AM$10:$AM$509,MATCH(SUBSTITUTE(SUBSTITUTE(SUBSTITUTE("P:"&amp;A1666,"~","~~"),"*","~*"),"?","~?"),Processos!$AS$10:$AS$509,0)))-9),0)</f>
        <v>0</v>
      </c>
      <c r="K1666" s="34" t="str">
        <f t="shared" si="103"/>
        <v/>
      </c>
      <c r="L1666" s="14">
        <f>ROW()</f>
        <v>1666</v>
      </c>
    </row>
    <row r="1667" spans="1:12" ht="60" customHeight="1">
      <c r="A1667" s="41"/>
      <c r="B1667" s="43"/>
      <c r="C1667" s="44"/>
      <c r="D1667" s="51"/>
      <c r="E1667" s="44"/>
      <c r="F1667" s="44"/>
      <c r="G1667" s="34">
        <f t="shared" si="100"/>
        <v>0</v>
      </c>
      <c r="H1667" s="34" t="str">
        <f t="shared" si="101"/>
        <v/>
      </c>
      <c r="I1667" s="52" t="str">
        <f t="shared" si="102"/>
        <v/>
      </c>
      <c r="J1667" s="34">
        <f>IF(AND(A1667&lt;&gt;"",ISTEXT(A1667),COUNTIFS(Processos!$AS$10:$AS$509,"="&amp;SUBSTITUTE(SUBSTITUTE(SUBSTITUTE("P:"&amp;A1667,"~","~~"),"*","~*"),"?","~?"))=1),(IF(ISNA(MATCH(SUBSTITUTE(SUBSTITUTE(SUBSTITUTE("P:"&amp;A1667,"~","~~"),"*","~*"),"?","~?"),Processos!$AS$10:$AS$509,0)),9,INDEX(Processos!$AM$10:$AM$509,MATCH(SUBSTITUTE(SUBSTITUTE(SUBSTITUTE("P:"&amp;A1667,"~","~~"),"*","~*"),"?","~?"),Processos!$AS$10:$AS$509,0)))-9),0)</f>
        <v>0</v>
      </c>
      <c r="K1667" s="34" t="str">
        <f t="shared" si="103"/>
        <v/>
      </c>
      <c r="L1667" s="14">
        <f>ROW()</f>
        <v>1667</v>
      </c>
    </row>
    <row r="1668" spans="1:12" ht="60" customHeight="1">
      <c r="A1668" s="41"/>
      <c r="B1668" s="43"/>
      <c r="C1668" s="44"/>
      <c r="D1668" s="51"/>
      <c r="E1668" s="44"/>
      <c r="F1668" s="44"/>
      <c r="G1668" s="34">
        <f t="shared" si="100"/>
        <v>0</v>
      </c>
      <c r="H1668" s="34" t="str">
        <f t="shared" si="101"/>
        <v/>
      </c>
      <c r="I1668" s="52" t="str">
        <f t="shared" si="102"/>
        <v/>
      </c>
      <c r="J1668" s="34">
        <f>IF(AND(A1668&lt;&gt;"",ISTEXT(A1668),COUNTIFS(Processos!$AS$10:$AS$509,"="&amp;SUBSTITUTE(SUBSTITUTE(SUBSTITUTE("P:"&amp;A1668,"~","~~"),"*","~*"),"?","~?"))=1),(IF(ISNA(MATCH(SUBSTITUTE(SUBSTITUTE(SUBSTITUTE("P:"&amp;A1668,"~","~~"),"*","~*"),"?","~?"),Processos!$AS$10:$AS$509,0)),9,INDEX(Processos!$AM$10:$AM$509,MATCH(SUBSTITUTE(SUBSTITUTE(SUBSTITUTE("P:"&amp;A1668,"~","~~"),"*","~*"),"?","~?"),Processos!$AS$10:$AS$509,0)))-9),0)</f>
        <v>0</v>
      </c>
      <c r="K1668" s="34" t="str">
        <f t="shared" si="103"/>
        <v/>
      </c>
      <c r="L1668" s="14">
        <f>ROW()</f>
        <v>1668</v>
      </c>
    </row>
    <row r="1669" spans="1:12" ht="60" customHeight="1">
      <c r="A1669" s="41"/>
      <c r="B1669" s="43"/>
      <c r="C1669" s="44"/>
      <c r="D1669" s="51"/>
      <c r="E1669" s="44"/>
      <c r="F1669" s="44"/>
      <c r="G1669" s="34">
        <f t="shared" si="100"/>
        <v>0</v>
      </c>
      <c r="H1669" s="34" t="str">
        <f t="shared" si="101"/>
        <v/>
      </c>
      <c r="I1669" s="52" t="str">
        <f t="shared" si="102"/>
        <v/>
      </c>
      <c r="J1669" s="34">
        <f>IF(AND(A1669&lt;&gt;"",ISTEXT(A1669),COUNTIFS(Processos!$AS$10:$AS$509,"="&amp;SUBSTITUTE(SUBSTITUTE(SUBSTITUTE("P:"&amp;A1669,"~","~~"),"*","~*"),"?","~?"))=1),(IF(ISNA(MATCH(SUBSTITUTE(SUBSTITUTE(SUBSTITUTE("P:"&amp;A1669,"~","~~"),"*","~*"),"?","~?"),Processos!$AS$10:$AS$509,0)),9,INDEX(Processos!$AM$10:$AM$509,MATCH(SUBSTITUTE(SUBSTITUTE(SUBSTITUTE("P:"&amp;A1669,"~","~~"),"*","~*"),"?","~?"),Processos!$AS$10:$AS$509,0)))-9),0)</f>
        <v>0</v>
      </c>
      <c r="K1669" s="34" t="str">
        <f t="shared" si="103"/>
        <v/>
      </c>
      <c r="L1669" s="14">
        <f>ROW()</f>
        <v>1669</v>
      </c>
    </row>
    <row r="1670" spans="1:12" ht="60" customHeight="1">
      <c r="A1670" s="41"/>
      <c r="B1670" s="43"/>
      <c r="C1670" s="44"/>
      <c r="D1670" s="51"/>
      <c r="E1670" s="44"/>
      <c r="F1670" s="44"/>
      <c r="G1670" s="34">
        <f t="shared" si="100"/>
        <v>0</v>
      </c>
      <c r="H1670" s="34" t="str">
        <f t="shared" si="101"/>
        <v/>
      </c>
      <c r="I1670" s="52" t="str">
        <f t="shared" si="102"/>
        <v/>
      </c>
      <c r="J1670" s="34">
        <f>IF(AND(A1670&lt;&gt;"",ISTEXT(A1670),COUNTIFS(Processos!$AS$10:$AS$509,"="&amp;SUBSTITUTE(SUBSTITUTE(SUBSTITUTE("P:"&amp;A1670,"~","~~"),"*","~*"),"?","~?"))=1),(IF(ISNA(MATCH(SUBSTITUTE(SUBSTITUTE(SUBSTITUTE("P:"&amp;A1670,"~","~~"),"*","~*"),"?","~?"),Processos!$AS$10:$AS$509,0)),9,INDEX(Processos!$AM$10:$AM$509,MATCH(SUBSTITUTE(SUBSTITUTE(SUBSTITUTE("P:"&amp;A1670,"~","~~"),"*","~*"),"?","~?"),Processos!$AS$10:$AS$509,0)))-9),0)</f>
        <v>0</v>
      </c>
      <c r="K1670" s="34" t="str">
        <f t="shared" si="103"/>
        <v/>
      </c>
      <c r="L1670" s="14">
        <f>ROW()</f>
        <v>1670</v>
      </c>
    </row>
    <row r="1671" spans="1:12" ht="60" customHeight="1">
      <c r="A1671" s="41"/>
      <c r="B1671" s="43"/>
      <c r="C1671" s="44"/>
      <c r="D1671" s="51"/>
      <c r="E1671" s="44"/>
      <c r="F1671" s="44"/>
      <c r="G1671" s="34">
        <f t="shared" si="100"/>
        <v>0</v>
      </c>
      <c r="H1671" s="34" t="str">
        <f t="shared" si="101"/>
        <v/>
      </c>
      <c r="I1671" s="52" t="str">
        <f t="shared" si="102"/>
        <v/>
      </c>
      <c r="J1671" s="34">
        <f>IF(AND(A1671&lt;&gt;"",ISTEXT(A1671),COUNTIFS(Processos!$AS$10:$AS$509,"="&amp;SUBSTITUTE(SUBSTITUTE(SUBSTITUTE("P:"&amp;A1671,"~","~~"),"*","~*"),"?","~?"))=1),(IF(ISNA(MATCH(SUBSTITUTE(SUBSTITUTE(SUBSTITUTE("P:"&amp;A1671,"~","~~"),"*","~*"),"?","~?"),Processos!$AS$10:$AS$509,0)),9,INDEX(Processos!$AM$10:$AM$509,MATCH(SUBSTITUTE(SUBSTITUTE(SUBSTITUTE("P:"&amp;A1671,"~","~~"),"*","~*"),"?","~?"),Processos!$AS$10:$AS$509,0)))-9),0)</f>
        <v>0</v>
      </c>
      <c r="K1671" s="34" t="str">
        <f t="shared" si="103"/>
        <v/>
      </c>
      <c r="L1671" s="14">
        <f>ROW()</f>
        <v>1671</v>
      </c>
    </row>
    <row r="1672" spans="1:12" ht="60" customHeight="1">
      <c r="A1672" s="41"/>
      <c r="B1672" s="43"/>
      <c r="C1672" s="44"/>
      <c r="D1672" s="51"/>
      <c r="E1672" s="44"/>
      <c r="F1672" s="44"/>
      <c r="G1672" s="34">
        <f t="shared" si="100"/>
        <v>0</v>
      </c>
      <c r="H1672" s="34" t="str">
        <f t="shared" si="101"/>
        <v/>
      </c>
      <c r="I1672" s="52" t="str">
        <f t="shared" si="102"/>
        <v/>
      </c>
      <c r="J1672" s="34">
        <f>IF(AND(A1672&lt;&gt;"",ISTEXT(A1672),COUNTIFS(Processos!$AS$10:$AS$509,"="&amp;SUBSTITUTE(SUBSTITUTE(SUBSTITUTE("P:"&amp;A1672,"~","~~"),"*","~*"),"?","~?"))=1),(IF(ISNA(MATCH(SUBSTITUTE(SUBSTITUTE(SUBSTITUTE("P:"&amp;A1672,"~","~~"),"*","~*"),"?","~?"),Processos!$AS$10:$AS$509,0)),9,INDEX(Processos!$AM$10:$AM$509,MATCH(SUBSTITUTE(SUBSTITUTE(SUBSTITUTE("P:"&amp;A1672,"~","~~"),"*","~*"),"?","~?"),Processos!$AS$10:$AS$509,0)))-9),0)</f>
        <v>0</v>
      </c>
      <c r="K1672" s="34" t="str">
        <f t="shared" si="103"/>
        <v/>
      </c>
      <c r="L1672" s="14">
        <f>ROW()</f>
        <v>1672</v>
      </c>
    </row>
    <row r="1673" spans="1:12" ht="60" customHeight="1">
      <c r="A1673" s="41"/>
      <c r="B1673" s="43"/>
      <c r="C1673" s="44"/>
      <c r="D1673" s="51"/>
      <c r="E1673" s="44"/>
      <c r="F1673" s="44"/>
      <c r="G1673" s="34">
        <f t="shared" si="100"/>
        <v>0</v>
      </c>
      <c r="H1673" s="34" t="str">
        <f t="shared" si="101"/>
        <v/>
      </c>
      <c r="I1673" s="52" t="str">
        <f t="shared" si="102"/>
        <v/>
      </c>
      <c r="J1673" s="34">
        <f>IF(AND(A1673&lt;&gt;"",ISTEXT(A1673),COUNTIFS(Processos!$AS$10:$AS$509,"="&amp;SUBSTITUTE(SUBSTITUTE(SUBSTITUTE("P:"&amp;A1673,"~","~~"),"*","~*"),"?","~?"))=1),(IF(ISNA(MATCH(SUBSTITUTE(SUBSTITUTE(SUBSTITUTE("P:"&amp;A1673,"~","~~"),"*","~*"),"?","~?"),Processos!$AS$10:$AS$509,0)),9,INDEX(Processos!$AM$10:$AM$509,MATCH(SUBSTITUTE(SUBSTITUTE(SUBSTITUTE("P:"&amp;A1673,"~","~~"),"*","~*"),"?","~?"),Processos!$AS$10:$AS$509,0)))-9),0)</f>
        <v>0</v>
      </c>
      <c r="K1673" s="34" t="str">
        <f t="shared" si="103"/>
        <v/>
      </c>
      <c r="L1673" s="14">
        <f>ROW()</f>
        <v>1673</v>
      </c>
    </row>
    <row r="1674" spans="1:12" ht="60" customHeight="1">
      <c r="A1674" s="41"/>
      <c r="B1674" s="43"/>
      <c r="C1674" s="44"/>
      <c r="D1674" s="51"/>
      <c r="E1674" s="44"/>
      <c r="F1674" s="44"/>
      <c r="G1674" s="34">
        <f t="shared" ref="G1674:G1737" si="104">IF(AND(J1674&gt;0,OR(B1674="",AND(ISNUMBER(B1674),B1674&gt;=1,B1674&lt;=100000)),ISNUMBER(D1674),D1674&gt;=1,D1674&lt;=100000,C1674&lt;&gt;""),1,0)</f>
        <v>0</v>
      </c>
      <c r="H1674" s="34" t="str">
        <f t="shared" ref="H1674:H1737" si="105">IF(G1674=1,K1674&amp;"|"&amp;D1674,"")</f>
        <v/>
      </c>
      <c r="I1674" s="52" t="str">
        <f t="shared" ref="I1674:I1737" si="106">IF(COUNTA(A1674:F1674)=0,"",IF(A1674="","Selecione o processo",IF(J1674=0,"Processo inexistente, duplicado ou número não textual",IF(B1674="","Informe a data do andamento",IF(C1674="","Descreva o andamento",IF(D1674="","Informe a data e hora do recebimento",IF(OR(NOT(ISNUMBER(B1674)),B1674&lt;1,B1674&gt;100000),"Revise a data do andamento",IF(OR(NOT(ISNUMBER(D1674)),D1674&lt;1,D1674&gt;100000),"Revise a data e hora do recebimento",IF(COUNTIFS($K$10:$K$2009,"="&amp;SUBSTITUTE(SUBSTITUTE(SUBSTITUTE("P:"&amp;A1674,"~","~~"),"*","~*"),"?","~?"),$D$10:$D$2009,D1674,$G$10:$G$2009,1)&gt;1,"Recebimentos empatados: revise a hora ou consolide o registro","")))))))))</f>
        <v/>
      </c>
      <c r="J1674" s="34">
        <f>IF(AND(A1674&lt;&gt;"",ISTEXT(A1674),COUNTIFS(Processos!$AS$10:$AS$509,"="&amp;SUBSTITUTE(SUBSTITUTE(SUBSTITUTE("P:"&amp;A1674,"~","~~"),"*","~*"),"?","~?"))=1),(IF(ISNA(MATCH(SUBSTITUTE(SUBSTITUTE(SUBSTITUTE("P:"&amp;A1674,"~","~~"),"*","~*"),"?","~?"),Processos!$AS$10:$AS$509,0)),9,INDEX(Processos!$AM$10:$AM$509,MATCH(SUBSTITUTE(SUBSTITUTE(SUBSTITUTE("P:"&amp;A1674,"~","~~"),"*","~*"),"?","~?"),Processos!$AS$10:$AS$509,0)))-9),0)</f>
        <v>0</v>
      </c>
      <c r="K1674" s="34" t="str">
        <f t="shared" ref="K1674:K1737" si="107">IF(AND(A1674&lt;&gt;"",ISTEXT(A1674)),"P:"&amp;A1674,"")</f>
        <v/>
      </c>
      <c r="L1674" s="14">
        <f>ROW()</f>
        <v>1674</v>
      </c>
    </row>
    <row r="1675" spans="1:12" ht="60" customHeight="1">
      <c r="A1675" s="41"/>
      <c r="B1675" s="43"/>
      <c r="C1675" s="44"/>
      <c r="D1675" s="51"/>
      <c r="E1675" s="44"/>
      <c r="F1675" s="44"/>
      <c r="G1675" s="34">
        <f t="shared" si="104"/>
        <v>0</v>
      </c>
      <c r="H1675" s="34" t="str">
        <f t="shared" si="105"/>
        <v/>
      </c>
      <c r="I1675" s="52" t="str">
        <f t="shared" si="106"/>
        <v/>
      </c>
      <c r="J1675" s="34">
        <f>IF(AND(A1675&lt;&gt;"",ISTEXT(A1675),COUNTIFS(Processos!$AS$10:$AS$509,"="&amp;SUBSTITUTE(SUBSTITUTE(SUBSTITUTE("P:"&amp;A1675,"~","~~"),"*","~*"),"?","~?"))=1),(IF(ISNA(MATCH(SUBSTITUTE(SUBSTITUTE(SUBSTITUTE("P:"&amp;A1675,"~","~~"),"*","~*"),"?","~?"),Processos!$AS$10:$AS$509,0)),9,INDEX(Processos!$AM$10:$AM$509,MATCH(SUBSTITUTE(SUBSTITUTE(SUBSTITUTE("P:"&amp;A1675,"~","~~"),"*","~*"),"?","~?"),Processos!$AS$10:$AS$509,0)))-9),0)</f>
        <v>0</v>
      </c>
      <c r="K1675" s="34" t="str">
        <f t="shared" si="107"/>
        <v/>
      </c>
      <c r="L1675" s="14">
        <f>ROW()</f>
        <v>1675</v>
      </c>
    </row>
    <row r="1676" spans="1:12" ht="60" customHeight="1">
      <c r="A1676" s="41"/>
      <c r="B1676" s="43"/>
      <c r="C1676" s="44"/>
      <c r="D1676" s="51"/>
      <c r="E1676" s="44"/>
      <c r="F1676" s="44"/>
      <c r="G1676" s="34">
        <f t="shared" si="104"/>
        <v>0</v>
      </c>
      <c r="H1676" s="34" t="str">
        <f t="shared" si="105"/>
        <v/>
      </c>
      <c r="I1676" s="52" t="str">
        <f t="shared" si="106"/>
        <v/>
      </c>
      <c r="J1676" s="34">
        <f>IF(AND(A1676&lt;&gt;"",ISTEXT(A1676),COUNTIFS(Processos!$AS$10:$AS$509,"="&amp;SUBSTITUTE(SUBSTITUTE(SUBSTITUTE("P:"&amp;A1676,"~","~~"),"*","~*"),"?","~?"))=1),(IF(ISNA(MATCH(SUBSTITUTE(SUBSTITUTE(SUBSTITUTE("P:"&amp;A1676,"~","~~"),"*","~*"),"?","~?"),Processos!$AS$10:$AS$509,0)),9,INDEX(Processos!$AM$10:$AM$509,MATCH(SUBSTITUTE(SUBSTITUTE(SUBSTITUTE("P:"&amp;A1676,"~","~~"),"*","~*"),"?","~?"),Processos!$AS$10:$AS$509,0)))-9),0)</f>
        <v>0</v>
      </c>
      <c r="K1676" s="34" t="str">
        <f t="shared" si="107"/>
        <v/>
      </c>
      <c r="L1676" s="14">
        <f>ROW()</f>
        <v>1676</v>
      </c>
    </row>
    <row r="1677" spans="1:12" ht="60" customHeight="1">
      <c r="A1677" s="41"/>
      <c r="B1677" s="43"/>
      <c r="C1677" s="44"/>
      <c r="D1677" s="51"/>
      <c r="E1677" s="44"/>
      <c r="F1677" s="44"/>
      <c r="G1677" s="34">
        <f t="shared" si="104"/>
        <v>0</v>
      </c>
      <c r="H1677" s="34" t="str">
        <f t="shared" si="105"/>
        <v/>
      </c>
      <c r="I1677" s="52" t="str">
        <f t="shared" si="106"/>
        <v/>
      </c>
      <c r="J1677" s="34">
        <f>IF(AND(A1677&lt;&gt;"",ISTEXT(A1677),COUNTIFS(Processos!$AS$10:$AS$509,"="&amp;SUBSTITUTE(SUBSTITUTE(SUBSTITUTE("P:"&amp;A1677,"~","~~"),"*","~*"),"?","~?"))=1),(IF(ISNA(MATCH(SUBSTITUTE(SUBSTITUTE(SUBSTITUTE("P:"&amp;A1677,"~","~~"),"*","~*"),"?","~?"),Processos!$AS$10:$AS$509,0)),9,INDEX(Processos!$AM$10:$AM$509,MATCH(SUBSTITUTE(SUBSTITUTE(SUBSTITUTE("P:"&amp;A1677,"~","~~"),"*","~*"),"?","~?"),Processos!$AS$10:$AS$509,0)))-9),0)</f>
        <v>0</v>
      </c>
      <c r="K1677" s="34" t="str">
        <f t="shared" si="107"/>
        <v/>
      </c>
      <c r="L1677" s="14">
        <f>ROW()</f>
        <v>1677</v>
      </c>
    </row>
    <row r="1678" spans="1:12" ht="60" customHeight="1">
      <c r="A1678" s="41"/>
      <c r="B1678" s="43"/>
      <c r="C1678" s="44"/>
      <c r="D1678" s="51"/>
      <c r="E1678" s="44"/>
      <c r="F1678" s="44"/>
      <c r="G1678" s="34">
        <f t="shared" si="104"/>
        <v>0</v>
      </c>
      <c r="H1678" s="34" t="str">
        <f t="shared" si="105"/>
        <v/>
      </c>
      <c r="I1678" s="52" t="str">
        <f t="shared" si="106"/>
        <v/>
      </c>
      <c r="J1678" s="34">
        <f>IF(AND(A1678&lt;&gt;"",ISTEXT(A1678),COUNTIFS(Processos!$AS$10:$AS$509,"="&amp;SUBSTITUTE(SUBSTITUTE(SUBSTITUTE("P:"&amp;A1678,"~","~~"),"*","~*"),"?","~?"))=1),(IF(ISNA(MATCH(SUBSTITUTE(SUBSTITUTE(SUBSTITUTE("P:"&amp;A1678,"~","~~"),"*","~*"),"?","~?"),Processos!$AS$10:$AS$509,0)),9,INDEX(Processos!$AM$10:$AM$509,MATCH(SUBSTITUTE(SUBSTITUTE(SUBSTITUTE("P:"&amp;A1678,"~","~~"),"*","~*"),"?","~?"),Processos!$AS$10:$AS$509,0)))-9),0)</f>
        <v>0</v>
      </c>
      <c r="K1678" s="34" t="str">
        <f t="shared" si="107"/>
        <v/>
      </c>
      <c r="L1678" s="14">
        <f>ROW()</f>
        <v>1678</v>
      </c>
    </row>
    <row r="1679" spans="1:12" ht="60" customHeight="1">
      <c r="A1679" s="41"/>
      <c r="B1679" s="43"/>
      <c r="C1679" s="44"/>
      <c r="D1679" s="51"/>
      <c r="E1679" s="44"/>
      <c r="F1679" s="44"/>
      <c r="G1679" s="34">
        <f t="shared" si="104"/>
        <v>0</v>
      </c>
      <c r="H1679" s="34" t="str">
        <f t="shared" si="105"/>
        <v/>
      </c>
      <c r="I1679" s="52" t="str">
        <f t="shared" si="106"/>
        <v/>
      </c>
      <c r="J1679" s="34">
        <f>IF(AND(A1679&lt;&gt;"",ISTEXT(A1679),COUNTIFS(Processos!$AS$10:$AS$509,"="&amp;SUBSTITUTE(SUBSTITUTE(SUBSTITUTE("P:"&amp;A1679,"~","~~"),"*","~*"),"?","~?"))=1),(IF(ISNA(MATCH(SUBSTITUTE(SUBSTITUTE(SUBSTITUTE("P:"&amp;A1679,"~","~~"),"*","~*"),"?","~?"),Processos!$AS$10:$AS$509,0)),9,INDEX(Processos!$AM$10:$AM$509,MATCH(SUBSTITUTE(SUBSTITUTE(SUBSTITUTE("P:"&amp;A1679,"~","~~"),"*","~*"),"?","~?"),Processos!$AS$10:$AS$509,0)))-9),0)</f>
        <v>0</v>
      </c>
      <c r="K1679" s="34" t="str">
        <f t="shared" si="107"/>
        <v/>
      </c>
      <c r="L1679" s="14">
        <f>ROW()</f>
        <v>1679</v>
      </c>
    </row>
    <row r="1680" spans="1:12" ht="60" customHeight="1">
      <c r="A1680" s="41"/>
      <c r="B1680" s="43"/>
      <c r="C1680" s="44"/>
      <c r="D1680" s="51"/>
      <c r="E1680" s="44"/>
      <c r="F1680" s="44"/>
      <c r="G1680" s="34">
        <f t="shared" si="104"/>
        <v>0</v>
      </c>
      <c r="H1680" s="34" t="str">
        <f t="shared" si="105"/>
        <v/>
      </c>
      <c r="I1680" s="52" t="str">
        <f t="shared" si="106"/>
        <v/>
      </c>
      <c r="J1680" s="34">
        <f>IF(AND(A1680&lt;&gt;"",ISTEXT(A1680),COUNTIFS(Processos!$AS$10:$AS$509,"="&amp;SUBSTITUTE(SUBSTITUTE(SUBSTITUTE("P:"&amp;A1680,"~","~~"),"*","~*"),"?","~?"))=1),(IF(ISNA(MATCH(SUBSTITUTE(SUBSTITUTE(SUBSTITUTE("P:"&amp;A1680,"~","~~"),"*","~*"),"?","~?"),Processos!$AS$10:$AS$509,0)),9,INDEX(Processos!$AM$10:$AM$509,MATCH(SUBSTITUTE(SUBSTITUTE(SUBSTITUTE("P:"&amp;A1680,"~","~~"),"*","~*"),"?","~?"),Processos!$AS$10:$AS$509,0)))-9),0)</f>
        <v>0</v>
      </c>
      <c r="K1680" s="34" t="str">
        <f t="shared" si="107"/>
        <v/>
      </c>
      <c r="L1680" s="14">
        <f>ROW()</f>
        <v>1680</v>
      </c>
    </row>
    <row r="1681" spans="1:12" ht="60" customHeight="1">
      <c r="A1681" s="41"/>
      <c r="B1681" s="43"/>
      <c r="C1681" s="44"/>
      <c r="D1681" s="51"/>
      <c r="E1681" s="44"/>
      <c r="F1681" s="44"/>
      <c r="G1681" s="34">
        <f t="shared" si="104"/>
        <v>0</v>
      </c>
      <c r="H1681" s="34" t="str">
        <f t="shared" si="105"/>
        <v/>
      </c>
      <c r="I1681" s="52" t="str">
        <f t="shared" si="106"/>
        <v/>
      </c>
      <c r="J1681" s="34">
        <f>IF(AND(A1681&lt;&gt;"",ISTEXT(A1681),COUNTIFS(Processos!$AS$10:$AS$509,"="&amp;SUBSTITUTE(SUBSTITUTE(SUBSTITUTE("P:"&amp;A1681,"~","~~"),"*","~*"),"?","~?"))=1),(IF(ISNA(MATCH(SUBSTITUTE(SUBSTITUTE(SUBSTITUTE("P:"&amp;A1681,"~","~~"),"*","~*"),"?","~?"),Processos!$AS$10:$AS$509,0)),9,INDEX(Processos!$AM$10:$AM$509,MATCH(SUBSTITUTE(SUBSTITUTE(SUBSTITUTE("P:"&amp;A1681,"~","~~"),"*","~*"),"?","~?"),Processos!$AS$10:$AS$509,0)))-9),0)</f>
        <v>0</v>
      </c>
      <c r="K1681" s="34" t="str">
        <f t="shared" si="107"/>
        <v/>
      </c>
      <c r="L1681" s="14">
        <f>ROW()</f>
        <v>1681</v>
      </c>
    </row>
    <row r="1682" spans="1:12" ht="60" customHeight="1">
      <c r="A1682" s="41"/>
      <c r="B1682" s="43"/>
      <c r="C1682" s="44"/>
      <c r="D1682" s="51"/>
      <c r="E1682" s="44"/>
      <c r="F1682" s="44"/>
      <c r="G1682" s="34">
        <f t="shared" si="104"/>
        <v>0</v>
      </c>
      <c r="H1682" s="34" t="str">
        <f t="shared" si="105"/>
        <v/>
      </c>
      <c r="I1682" s="52" t="str">
        <f t="shared" si="106"/>
        <v/>
      </c>
      <c r="J1682" s="34">
        <f>IF(AND(A1682&lt;&gt;"",ISTEXT(A1682),COUNTIFS(Processos!$AS$10:$AS$509,"="&amp;SUBSTITUTE(SUBSTITUTE(SUBSTITUTE("P:"&amp;A1682,"~","~~"),"*","~*"),"?","~?"))=1),(IF(ISNA(MATCH(SUBSTITUTE(SUBSTITUTE(SUBSTITUTE("P:"&amp;A1682,"~","~~"),"*","~*"),"?","~?"),Processos!$AS$10:$AS$509,0)),9,INDEX(Processos!$AM$10:$AM$509,MATCH(SUBSTITUTE(SUBSTITUTE(SUBSTITUTE("P:"&amp;A1682,"~","~~"),"*","~*"),"?","~?"),Processos!$AS$10:$AS$509,0)))-9),0)</f>
        <v>0</v>
      </c>
      <c r="K1682" s="34" t="str">
        <f t="shared" si="107"/>
        <v/>
      </c>
      <c r="L1682" s="14">
        <f>ROW()</f>
        <v>1682</v>
      </c>
    </row>
    <row r="1683" spans="1:12" ht="60" customHeight="1">
      <c r="A1683" s="41"/>
      <c r="B1683" s="43"/>
      <c r="C1683" s="44"/>
      <c r="D1683" s="51"/>
      <c r="E1683" s="44"/>
      <c r="F1683" s="44"/>
      <c r="G1683" s="34">
        <f t="shared" si="104"/>
        <v>0</v>
      </c>
      <c r="H1683" s="34" t="str">
        <f t="shared" si="105"/>
        <v/>
      </c>
      <c r="I1683" s="52" t="str">
        <f t="shared" si="106"/>
        <v/>
      </c>
      <c r="J1683" s="34">
        <f>IF(AND(A1683&lt;&gt;"",ISTEXT(A1683),COUNTIFS(Processos!$AS$10:$AS$509,"="&amp;SUBSTITUTE(SUBSTITUTE(SUBSTITUTE("P:"&amp;A1683,"~","~~"),"*","~*"),"?","~?"))=1),(IF(ISNA(MATCH(SUBSTITUTE(SUBSTITUTE(SUBSTITUTE("P:"&amp;A1683,"~","~~"),"*","~*"),"?","~?"),Processos!$AS$10:$AS$509,0)),9,INDEX(Processos!$AM$10:$AM$509,MATCH(SUBSTITUTE(SUBSTITUTE(SUBSTITUTE("P:"&amp;A1683,"~","~~"),"*","~*"),"?","~?"),Processos!$AS$10:$AS$509,0)))-9),0)</f>
        <v>0</v>
      </c>
      <c r="K1683" s="34" t="str">
        <f t="shared" si="107"/>
        <v/>
      </c>
      <c r="L1683" s="14">
        <f>ROW()</f>
        <v>1683</v>
      </c>
    </row>
    <row r="1684" spans="1:12" ht="60" customHeight="1">
      <c r="A1684" s="41"/>
      <c r="B1684" s="43"/>
      <c r="C1684" s="44"/>
      <c r="D1684" s="51"/>
      <c r="E1684" s="44"/>
      <c r="F1684" s="44"/>
      <c r="G1684" s="34">
        <f t="shared" si="104"/>
        <v>0</v>
      </c>
      <c r="H1684" s="34" t="str">
        <f t="shared" si="105"/>
        <v/>
      </c>
      <c r="I1684" s="52" t="str">
        <f t="shared" si="106"/>
        <v/>
      </c>
      <c r="J1684" s="34">
        <f>IF(AND(A1684&lt;&gt;"",ISTEXT(A1684),COUNTIFS(Processos!$AS$10:$AS$509,"="&amp;SUBSTITUTE(SUBSTITUTE(SUBSTITUTE("P:"&amp;A1684,"~","~~"),"*","~*"),"?","~?"))=1),(IF(ISNA(MATCH(SUBSTITUTE(SUBSTITUTE(SUBSTITUTE("P:"&amp;A1684,"~","~~"),"*","~*"),"?","~?"),Processos!$AS$10:$AS$509,0)),9,INDEX(Processos!$AM$10:$AM$509,MATCH(SUBSTITUTE(SUBSTITUTE(SUBSTITUTE("P:"&amp;A1684,"~","~~"),"*","~*"),"?","~?"),Processos!$AS$10:$AS$509,0)))-9),0)</f>
        <v>0</v>
      </c>
      <c r="K1684" s="34" t="str">
        <f t="shared" si="107"/>
        <v/>
      </c>
      <c r="L1684" s="14">
        <f>ROW()</f>
        <v>1684</v>
      </c>
    </row>
    <row r="1685" spans="1:12" ht="60" customHeight="1">
      <c r="A1685" s="41"/>
      <c r="B1685" s="43"/>
      <c r="C1685" s="44"/>
      <c r="D1685" s="51"/>
      <c r="E1685" s="44"/>
      <c r="F1685" s="44"/>
      <c r="G1685" s="34">
        <f t="shared" si="104"/>
        <v>0</v>
      </c>
      <c r="H1685" s="34" t="str">
        <f t="shared" si="105"/>
        <v/>
      </c>
      <c r="I1685" s="52" t="str">
        <f t="shared" si="106"/>
        <v/>
      </c>
      <c r="J1685" s="34">
        <f>IF(AND(A1685&lt;&gt;"",ISTEXT(A1685),COUNTIFS(Processos!$AS$10:$AS$509,"="&amp;SUBSTITUTE(SUBSTITUTE(SUBSTITUTE("P:"&amp;A1685,"~","~~"),"*","~*"),"?","~?"))=1),(IF(ISNA(MATCH(SUBSTITUTE(SUBSTITUTE(SUBSTITUTE("P:"&amp;A1685,"~","~~"),"*","~*"),"?","~?"),Processos!$AS$10:$AS$509,0)),9,INDEX(Processos!$AM$10:$AM$509,MATCH(SUBSTITUTE(SUBSTITUTE(SUBSTITUTE("P:"&amp;A1685,"~","~~"),"*","~*"),"?","~?"),Processos!$AS$10:$AS$509,0)))-9),0)</f>
        <v>0</v>
      </c>
      <c r="K1685" s="34" t="str">
        <f t="shared" si="107"/>
        <v/>
      </c>
      <c r="L1685" s="14">
        <f>ROW()</f>
        <v>1685</v>
      </c>
    </row>
    <row r="1686" spans="1:12" ht="60" customHeight="1">
      <c r="A1686" s="41"/>
      <c r="B1686" s="43"/>
      <c r="C1686" s="44"/>
      <c r="D1686" s="51"/>
      <c r="E1686" s="44"/>
      <c r="F1686" s="44"/>
      <c r="G1686" s="34">
        <f t="shared" si="104"/>
        <v>0</v>
      </c>
      <c r="H1686" s="34" t="str">
        <f t="shared" si="105"/>
        <v/>
      </c>
      <c r="I1686" s="52" t="str">
        <f t="shared" si="106"/>
        <v/>
      </c>
      <c r="J1686" s="34">
        <f>IF(AND(A1686&lt;&gt;"",ISTEXT(A1686),COUNTIFS(Processos!$AS$10:$AS$509,"="&amp;SUBSTITUTE(SUBSTITUTE(SUBSTITUTE("P:"&amp;A1686,"~","~~"),"*","~*"),"?","~?"))=1),(IF(ISNA(MATCH(SUBSTITUTE(SUBSTITUTE(SUBSTITUTE("P:"&amp;A1686,"~","~~"),"*","~*"),"?","~?"),Processos!$AS$10:$AS$509,0)),9,INDEX(Processos!$AM$10:$AM$509,MATCH(SUBSTITUTE(SUBSTITUTE(SUBSTITUTE("P:"&amp;A1686,"~","~~"),"*","~*"),"?","~?"),Processos!$AS$10:$AS$509,0)))-9),0)</f>
        <v>0</v>
      </c>
      <c r="K1686" s="34" t="str">
        <f t="shared" si="107"/>
        <v/>
      </c>
      <c r="L1686" s="14">
        <f>ROW()</f>
        <v>1686</v>
      </c>
    </row>
    <row r="1687" spans="1:12" ht="60" customHeight="1">
      <c r="A1687" s="41"/>
      <c r="B1687" s="43"/>
      <c r="C1687" s="44"/>
      <c r="D1687" s="51"/>
      <c r="E1687" s="44"/>
      <c r="F1687" s="44"/>
      <c r="G1687" s="34">
        <f t="shared" si="104"/>
        <v>0</v>
      </c>
      <c r="H1687" s="34" t="str">
        <f t="shared" si="105"/>
        <v/>
      </c>
      <c r="I1687" s="52" t="str">
        <f t="shared" si="106"/>
        <v/>
      </c>
      <c r="J1687" s="34">
        <f>IF(AND(A1687&lt;&gt;"",ISTEXT(A1687),COUNTIFS(Processos!$AS$10:$AS$509,"="&amp;SUBSTITUTE(SUBSTITUTE(SUBSTITUTE("P:"&amp;A1687,"~","~~"),"*","~*"),"?","~?"))=1),(IF(ISNA(MATCH(SUBSTITUTE(SUBSTITUTE(SUBSTITUTE("P:"&amp;A1687,"~","~~"),"*","~*"),"?","~?"),Processos!$AS$10:$AS$509,0)),9,INDEX(Processos!$AM$10:$AM$509,MATCH(SUBSTITUTE(SUBSTITUTE(SUBSTITUTE("P:"&amp;A1687,"~","~~"),"*","~*"),"?","~?"),Processos!$AS$10:$AS$509,0)))-9),0)</f>
        <v>0</v>
      </c>
      <c r="K1687" s="34" t="str">
        <f t="shared" si="107"/>
        <v/>
      </c>
      <c r="L1687" s="14">
        <f>ROW()</f>
        <v>1687</v>
      </c>
    </row>
    <row r="1688" spans="1:12" ht="60" customHeight="1">
      <c r="A1688" s="41"/>
      <c r="B1688" s="43"/>
      <c r="C1688" s="44"/>
      <c r="D1688" s="51"/>
      <c r="E1688" s="44"/>
      <c r="F1688" s="44"/>
      <c r="G1688" s="34">
        <f t="shared" si="104"/>
        <v>0</v>
      </c>
      <c r="H1688" s="34" t="str">
        <f t="shared" si="105"/>
        <v/>
      </c>
      <c r="I1688" s="52" t="str">
        <f t="shared" si="106"/>
        <v/>
      </c>
      <c r="J1688" s="34">
        <f>IF(AND(A1688&lt;&gt;"",ISTEXT(A1688),COUNTIFS(Processos!$AS$10:$AS$509,"="&amp;SUBSTITUTE(SUBSTITUTE(SUBSTITUTE("P:"&amp;A1688,"~","~~"),"*","~*"),"?","~?"))=1),(IF(ISNA(MATCH(SUBSTITUTE(SUBSTITUTE(SUBSTITUTE("P:"&amp;A1688,"~","~~"),"*","~*"),"?","~?"),Processos!$AS$10:$AS$509,0)),9,INDEX(Processos!$AM$10:$AM$509,MATCH(SUBSTITUTE(SUBSTITUTE(SUBSTITUTE("P:"&amp;A1688,"~","~~"),"*","~*"),"?","~?"),Processos!$AS$10:$AS$509,0)))-9),0)</f>
        <v>0</v>
      </c>
      <c r="K1688" s="34" t="str">
        <f t="shared" si="107"/>
        <v/>
      </c>
      <c r="L1688" s="14">
        <f>ROW()</f>
        <v>1688</v>
      </c>
    </row>
    <row r="1689" spans="1:12" ht="60" customHeight="1">
      <c r="A1689" s="41"/>
      <c r="B1689" s="43"/>
      <c r="C1689" s="44"/>
      <c r="D1689" s="51"/>
      <c r="E1689" s="44"/>
      <c r="F1689" s="44"/>
      <c r="G1689" s="34">
        <f t="shared" si="104"/>
        <v>0</v>
      </c>
      <c r="H1689" s="34" t="str">
        <f t="shared" si="105"/>
        <v/>
      </c>
      <c r="I1689" s="52" t="str">
        <f t="shared" si="106"/>
        <v/>
      </c>
      <c r="J1689" s="34">
        <f>IF(AND(A1689&lt;&gt;"",ISTEXT(A1689),COUNTIFS(Processos!$AS$10:$AS$509,"="&amp;SUBSTITUTE(SUBSTITUTE(SUBSTITUTE("P:"&amp;A1689,"~","~~"),"*","~*"),"?","~?"))=1),(IF(ISNA(MATCH(SUBSTITUTE(SUBSTITUTE(SUBSTITUTE("P:"&amp;A1689,"~","~~"),"*","~*"),"?","~?"),Processos!$AS$10:$AS$509,0)),9,INDEX(Processos!$AM$10:$AM$509,MATCH(SUBSTITUTE(SUBSTITUTE(SUBSTITUTE("P:"&amp;A1689,"~","~~"),"*","~*"),"?","~?"),Processos!$AS$10:$AS$509,0)))-9),0)</f>
        <v>0</v>
      </c>
      <c r="K1689" s="34" t="str">
        <f t="shared" si="107"/>
        <v/>
      </c>
      <c r="L1689" s="14">
        <f>ROW()</f>
        <v>1689</v>
      </c>
    </row>
    <row r="1690" spans="1:12" ht="60" customHeight="1">
      <c r="A1690" s="41"/>
      <c r="B1690" s="43"/>
      <c r="C1690" s="44"/>
      <c r="D1690" s="51"/>
      <c r="E1690" s="44"/>
      <c r="F1690" s="44"/>
      <c r="G1690" s="34">
        <f t="shared" si="104"/>
        <v>0</v>
      </c>
      <c r="H1690" s="34" t="str">
        <f t="shared" si="105"/>
        <v/>
      </c>
      <c r="I1690" s="52" t="str">
        <f t="shared" si="106"/>
        <v/>
      </c>
      <c r="J1690" s="34">
        <f>IF(AND(A1690&lt;&gt;"",ISTEXT(A1690),COUNTIFS(Processos!$AS$10:$AS$509,"="&amp;SUBSTITUTE(SUBSTITUTE(SUBSTITUTE("P:"&amp;A1690,"~","~~"),"*","~*"),"?","~?"))=1),(IF(ISNA(MATCH(SUBSTITUTE(SUBSTITUTE(SUBSTITUTE("P:"&amp;A1690,"~","~~"),"*","~*"),"?","~?"),Processos!$AS$10:$AS$509,0)),9,INDEX(Processos!$AM$10:$AM$509,MATCH(SUBSTITUTE(SUBSTITUTE(SUBSTITUTE("P:"&amp;A1690,"~","~~"),"*","~*"),"?","~?"),Processos!$AS$10:$AS$509,0)))-9),0)</f>
        <v>0</v>
      </c>
      <c r="K1690" s="34" t="str">
        <f t="shared" si="107"/>
        <v/>
      </c>
      <c r="L1690" s="14">
        <f>ROW()</f>
        <v>1690</v>
      </c>
    </row>
    <row r="1691" spans="1:12" ht="60" customHeight="1">
      <c r="A1691" s="41"/>
      <c r="B1691" s="43"/>
      <c r="C1691" s="44"/>
      <c r="D1691" s="51"/>
      <c r="E1691" s="44"/>
      <c r="F1691" s="44"/>
      <c r="G1691" s="34">
        <f t="shared" si="104"/>
        <v>0</v>
      </c>
      <c r="H1691" s="34" t="str">
        <f t="shared" si="105"/>
        <v/>
      </c>
      <c r="I1691" s="52" t="str">
        <f t="shared" si="106"/>
        <v/>
      </c>
      <c r="J1691" s="34">
        <f>IF(AND(A1691&lt;&gt;"",ISTEXT(A1691),COUNTIFS(Processos!$AS$10:$AS$509,"="&amp;SUBSTITUTE(SUBSTITUTE(SUBSTITUTE("P:"&amp;A1691,"~","~~"),"*","~*"),"?","~?"))=1),(IF(ISNA(MATCH(SUBSTITUTE(SUBSTITUTE(SUBSTITUTE("P:"&amp;A1691,"~","~~"),"*","~*"),"?","~?"),Processos!$AS$10:$AS$509,0)),9,INDEX(Processos!$AM$10:$AM$509,MATCH(SUBSTITUTE(SUBSTITUTE(SUBSTITUTE("P:"&amp;A1691,"~","~~"),"*","~*"),"?","~?"),Processos!$AS$10:$AS$509,0)))-9),0)</f>
        <v>0</v>
      </c>
      <c r="K1691" s="34" t="str">
        <f t="shared" si="107"/>
        <v/>
      </c>
      <c r="L1691" s="14">
        <f>ROW()</f>
        <v>1691</v>
      </c>
    </row>
    <row r="1692" spans="1:12" ht="60" customHeight="1">
      <c r="A1692" s="41"/>
      <c r="B1692" s="43"/>
      <c r="C1692" s="44"/>
      <c r="D1692" s="51"/>
      <c r="E1692" s="44"/>
      <c r="F1692" s="44"/>
      <c r="G1692" s="34">
        <f t="shared" si="104"/>
        <v>0</v>
      </c>
      <c r="H1692" s="34" t="str">
        <f t="shared" si="105"/>
        <v/>
      </c>
      <c r="I1692" s="52" t="str">
        <f t="shared" si="106"/>
        <v/>
      </c>
      <c r="J1692" s="34">
        <f>IF(AND(A1692&lt;&gt;"",ISTEXT(A1692),COUNTIFS(Processos!$AS$10:$AS$509,"="&amp;SUBSTITUTE(SUBSTITUTE(SUBSTITUTE("P:"&amp;A1692,"~","~~"),"*","~*"),"?","~?"))=1),(IF(ISNA(MATCH(SUBSTITUTE(SUBSTITUTE(SUBSTITUTE("P:"&amp;A1692,"~","~~"),"*","~*"),"?","~?"),Processos!$AS$10:$AS$509,0)),9,INDEX(Processos!$AM$10:$AM$509,MATCH(SUBSTITUTE(SUBSTITUTE(SUBSTITUTE("P:"&amp;A1692,"~","~~"),"*","~*"),"?","~?"),Processos!$AS$10:$AS$509,0)))-9),0)</f>
        <v>0</v>
      </c>
      <c r="K1692" s="34" t="str">
        <f t="shared" si="107"/>
        <v/>
      </c>
      <c r="L1692" s="14">
        <f>ROW()</f>
        <v>1692</v>
      </c>
    </row>
    <row r="1693" spans="1:12" ht="60" customHeight="1">
      <c r="A1693" s="41"/>
      <c r="B1693" s="43"/>
      <c r="C1693" s="44"/>
      <c r="D1693" s="51"/>
      <c r="E1693" s="44"/>
      <c r="F1693" s="44"/>
      <c r="G1693" s="34">
        <f t="shared" si="104"/>
        <v>0</v>
      </c>
      <c r="H1693" s="34" t="str">
        <f t="shared" si="105"/>
        <v/>
      </c>
      <c r="I1693" s="52" t="str">
        <f t="shared" si="106"/>
        <v/>
      </c>
      <c r="J1693" s="34">
        <f>IF(AND(A1693&lt;&gt;"",ISTEXT(A1693),COUNTIFS(Processos!$AS$10:$AS$509,"="&amp;SUBSTITUTE(SUBSTITUTE(SUBSTITUTE("P:"&amp;A1693,"~","~~"),"*","~*"),"?","~?"))=1),(IF(ISNA(MATCH(SUBSTITUTE(SUBSTITUTE(SUBSTITUTE("P:"&amp;A1693,"~","~~"),"*","~*"),"?","~?"),Processos!$AS$10:$AS$509,0)),9,INDEX(Processos!$AM$10:$AM$509,MATCH(SUBSTITUTE(SUBSTITUTE(SUBSTITUTE("P:"&amp;A1693,"~","~~"),"*","~*"),"?","~?"),Processos!$AS$10:$AS$509,0)))-9),0)</f>
        <v>0</v>
      </c>
      <c r="K1693" s="34" t="str">
        <f t="shared" si="107"/>
        <v/>
      </c>
      <c r="L1693" s="14">
        <f>ROW()</f>
        <v>1693</v>
      </c>
    </row>
    <row r="1694" spans="1:12" ht="60" customHeight="1">
      <c r="A1694" s="41"/>
      <c r="B1694" s="43"/>
      <c r="C1694" s="44"/>
      <c r="D1694" s="51"/>
      <c r="E1694" s="44"/>
      <c r="F1694" s="44"/>
      <c r="G1694" s="34">
        <f t="shared" si="104"/>
        <v>0</v>
      </c>
      <c r="H1694" s="34" t="str">
        <f t="shared" si="105"/>
        <v/>
      </c>
      <c r="I1694" s="52" t="str">
        <f t="shared" si="106"/>
        <v/>
      </c>
      <c r="J1694" s="34">
        <f>IF(AND(A1694&lt;&gt;"",ISTEXT(A1694),COUNTIFS(Processos!$AS$10:$AS$509,"="&amp;SUBSTITUTE(SUBSTITUTE(SUBSTITUTE("P:"&amp;A1694,"~","~~"),"*","~*"),"?","~?"))=1),(IF(ISNA(MATCH(SUBSTITUTE(SUBSTITUTE(SUBSTITUTE("P:"&amp;A1694,"~","~~"),"*","~*"),"?","~?"),Processos!$AS$10:$AS$509,0)),9,INDEX(Processos!$AM$10:$AM$509,MATCH(SUBSTITUTE(SUBSTITUTE(SUBSTITUTE("P:"&amp;A1694,"~","~~"),"*","~*"),"?","~?"),Processos!$AS$10:$AS$509,0)))-9),0)</f>
        <v>0</v>
      </c>
      <c r="K1694" s="34" t="str">
        <f t="shared" si="107"/>
        <v/>
      </c>
      <c r="L1694" s="14">
        <f>ROW()</f>
        <v>1694</v>
      </c>
    </row>
    <row r="1695" spans="1:12" ht="60" customHeight="1">
      <c r="A1695" s="41"/>
      <c r="B1695" s="43"/>
      <c r="C1695" s="44"/>
      <c r="D1695" s="51"/>
      <c r="E1695" s="44"/>
      <c r="F1695" s="44"/>
      <c r="G1695" s="34">
        <f t="shared" si="104"/>
        <v>0</v>
      </c>
      <c r="H1695" s="34" t="str">
        <f t="shared" si="105"/>
        <v/>
      </c>
      <c r="I1695" s="52" t="str">
        <f t="shared" si="106"/>
        <v/>
      </c>
      <c r="J1695" s="34">
        <f>IF(AND(A1695&lt;&gt;"",ISTEXT(A1695),COUNTIFS(Processos!$AS$10:$AS$509,"="&amp;SUBSTITUTE(SUBSTITUTE(SUBSTITUTE("P:"&amp;A1695,"~","~~"),"*","~*"),"?","~?"))=1),(IF(ISNA(MATCH(SUBSTITUTE(SUBSTITUTE(SUBSTITUTE("P:"&amp;A1695,"~","~~"),"*","~*"),"?","~?"),Processos!$AS$10:$AS$509,0)),9,INDEX(Processos!$AM$10:$AM$509,MATCH(SUBSTITUTE(SUBSTITUTE(SUBSTITUTE("P:"&amp;A1695,"~","~~"),"*","~*"),"?","~?"),Processos!$AS$10:$AS$509,0)))-9),0)</f>
        <v>0</v>
      </c>
      <c r="K1695" s="34" t="str">
        <f t="shared" si="107"/>
        <v/>
      </c>
      <c r="L1695" s="14">
        <f>ROW()</f>
        <v>1695</v>
      </c>
    </row>
    <row r="1696" spans="1:12" ht="60" customHeight="1">
      <c r="A1696" s="41"/>
      <c r="B1696" s="43"/>
      <c r="C1696" s="44"/>
      <c r="D1696" s="51"/>
      <c r="E1696" s="44"/>
      <c r="F1696" s="44"/>
      <c r="G1696" s="34">
        <f t="shared" si="104"/>
        <v>0</v>
      </c>
      <c r="H1696" s="34" t="str">
        <f t="shared" si="105"/>
        <v/>
      </c>
      <c r="I1696" s="52" t="str">
        <f t="shared" si="106"/>
        <v/>
      </c>
      <c r="J1696" s="34">
        <f>IF(AND(A1696&lt;&gt;"",ISTEXT(A1696),COUNTIFS(Processos!$AS$10:$AS$509,"="&amp;SUBSTITUTE(SUBSTITUTE(SUBSTITUTE("P:"&amp;A1696,"~","~~"),"*","~*"),"?","~?"))=1),(IF(ISNA(MATCH(SUBSTITUTE(SUBSTITUTE(SUBSTITUTE("P:"&amp;A1696,"~","~~"),"*","~*"),"?","~?"),Processos!$AS$10:$AS$509,0)),9,INDEX(Processos!$AM$10:$AM$509,MATCH(SUBSTITUTE(SUBSTITUTE(SUBSTITUTE("P:"&amp;A1696,"~","~~"),"*","~*"),"?","~?"),Processos!$AS$10:$AS$509,0)))-9),0)</f>
        <v>0</v>
      </c>
      <c r="K1696" s="34" t="str">
        <f t="shared" si="107"/>
        <v/>
      </c>
      <c r="L1696" s="14">
        <f>ROW()</f>
        <v>1696</v>
      </c>
    </row>
    <row r="1697" spans="1:12" ht="60" customHeight="1">
      <c r="A1697" s="41"/>
      <c r="B1697" s="43"/>
      <c r="C1697" s="44"/>
      <c r="D1697" s="51"/>
      <c r="E1697" s="44"/>
      <c r="F1697" s="44"/>
      <c r="G1697" s="34">
        <f t="shared" si="104"/>
        <v>0</v>
      </c>
      <c r="H1697" s="34" t="str">
        <f t="shared" si="105"/>
        <v/>
      </c>
      <c r="I1697" s="52" t="str">
        <f t="shared" si="106"/>
        <v/>
      </c>
      <c r="J1697" s="34">
        <f>IF(AND(A1697&lt;&gt;"",ISTEXT(A1697),COUNTIFS(Processos!$AS$10:$AS$509,"="&amp;SUBSTITUTE(SUBSTITUTE(SUBSTITUTE("P:"&amp;A1697,"~","~~"),"*","~*"),"?","~?"))=1),(IF(ISNA(MATCH(SUBSTITUTE(SUBSTITUTE(SUBSTITUTE("P:"&amp;A1697,"~","~~"),"*","~*"),"?","~?"),Processos!$AS$10:$AS$509,0)),9,INDEX(Processos!$AM$10:$AM$509,MATCH(SUBSTITUTE(SUBSTITUTE(SUBSTITUTE("P:"&amp;A1697,"~","~~"),"*","~*"),"?","~?"),Processos!$AS$10:$AS$509,0)))-9),0)</f>
        <v>0</v>
      </c>
      <c r="K1697" s="34" t="str">
        <f t="shared" si="107"/>
        <v/>
      </c>
      <c r="L1697" s="14">
        <f>ROW()</f>
        <v>1697</v>
      </c>
    </row>
    <row r="1698" spans="1:12" ht="60" customHeight="1">
      <c r="A1698" s="41"/>
      <c r="B1698" s="43"/>
      <c r="C1698" s="44"/>
      <c r="D1698" s="51"/>
      <c r="E1698" s="44"/>
      <c r="F1698" s="44"/>
      <c r="G1698" s="34">
        <f t="shared" si="104"/>
        <v>0</v>
      </c>
      <c r="H1698" s="34" t="str">
        <f t="shared" si="105"/>
        <v/>
      </c>
      <c r="I1698" s="52" t="str">
        <f t="shared" si="106"/>
        <v/>
      </c>
      <c r="J1698" s="34">
        <f>IF(AND(A1698&lt;&gt;"",ISTEXT(A1698),COUNTIFS(Processos!$AS$10:$AS$509,"="&amp;SUBSTITUTE(SUBSTITUTE(SUBSTITUTE("P:"&amp;A1698,"~","~~"),"*","~*"),"?","~?"))=1),(IF(ISNA(MATCH(SUBSTITUTE(SUBSTITUTE(SUBSTITUTE("P:"&amp;A1698,"~","~~"),"*","~*"),"?","~?"),Processos!$AS$10:$AS$509,0)),9,INDEX(Processos!$AM$10:$AM$509,MATCH(SUBSTITUTE(SUBSTITUTE(SUBSTITUTE("P:"&amp;A1698,"~","~~"),"*","~*"),"?","~?"),Processos!$AS$10:$AS$509,0)))-9),0)</f>
        <v>0</v>
      </c>
      <c r="K1698" s="34" t="str">
        <f t="shared" si="107"/>
        <v/>
      </c>
      <c r="L1698" s="14">
        <f>ROW()</f>
        <v>1698</v>
      </c>
    </row>
    <row r="1699" spans="1:12" ht="60" customHeight="1">
      <c r="A1699" s="41"/>
      <c r="B1699" s="43"/>
      <c r="C1699" s="44"/>
      <c r="D1699" s="51"/>
      <c r="E1699" s="44"/>
      <c r="F1699" s="44"/>
      <c r="G1699" s="34">
        <f t="shared" si="104"/>
        <v>0</v>
      </c>
      <c r="H1699" s="34" t="str">
        <f t="shared" si="105"/>
        <v/>
      </c>
      <c r="I1699" s="52" t="str">
        <f t="shared" si="106"/>
        <v/>
      </c>
      <c r="J1699" s="34">
        <f>IF(AND(A1699&lt;&gt;"",ISTEXT(A1699),COUNTIFS(Processos!$AS$10:$AS$509,"="&amp;SUBSTITUTE(SUBSTITUTE(SUBSTITUTE("P:"&amp;A1699,"~","~~"),"*","~*"),"?","~?"))=1),(IF(ISNA(MATCH(SUBSTITUTE(SUBSTITUTE(SUBSTITUTE("P:"&amp;A1699,"~","~~"),"*","~*"),"?","~?"),Processos!$AS$10:$AS$509,0)),9,INDEX(Processos!$AM$10:$AM$509,MATCH(SUBSTITUTE(SUBSTITUTE(SUBSTITUTE("P:"&amp;A1699,"~","~~"),"*","~*"),"?","~?"),Processos!$AS$10:$AS$509,0)))-9),0)</f>
        <v>0</v>
      </c>
      <c r="K1699" s="34" t="str">
        <f t="shared" si="107"/>
        <v/>
      </c>
      <c r="L1699" s="14">
        <f>ROW()</f>
        <v>1699</v>
      </c>
    </row>
    <row r="1700" spans="1:12" ht="60" customHeight="1">
      <c r="A1700" s="41"/>
      <c r="B1700" s="43"/>
      <c r="C1700" s="44"/>
      <c r="D1700" s="51"/>
      <c r="E1700" s="44"/>
      <c r="F1700" s="44"/>
      <c r="G1700" s="34">
        <f t="shared" si="104"/>
        <v>0</v>
      </c>
      <c r="H1700" s="34" t="str">
        <f t="shared" si="105"/>
        <v/>
      </c>
      <c r="I1700" s="52" t="str">
        <f t="shared" si="106"/>
        <v/>
      </c>
      <c r="J1700" s="34">
        <f>IF(AND(A1700&lt;&gt;"",ISTEXT(A1700),COUNTIFS(Processos!$AS$10:$AS$509,"="&amp;SUBSTITUTE(SUBSTITUTE(SUBSTITUTE("P:"&amp;A1700,"~","~~"),"*","~*"),"?","~?"))=1),(IF(ISNA(MATCH(SUBSTITUTE(SUBSTITUTE(SUBSTITUTE("P:"&amp;A1700,"~","~~"),"*","~*"),"?","~?"),Processos!$AS$10:$AS$509,0)),9,INDEX(Processos!$AM$10:$AM$509,MATCH(SUBSTITUTE(SUBSTITUTE(SUBSTITUTE("P:"&amp;A1700,"~","~~"),"*","~*"),"?","~?"),Processos!$AS$10:$AS$509,0)))-9),0)</f>
        <v>0</v>
      </c>
      <c r="K1700" s="34" t="str">
        <f t="shared" si="107"/>
        <v/>
      </c>
      <c r="L1700" s="14">
        <f>ROW()</f>
        <v>1700</v>
      </c>
    </row>
    <row r="1701" spans="1:12" ht="60" customHeight="1">
      <c r="A1701" s="41"/>
      <c r="B1701" s="43"/>
      <c r="C1701" s="44"/>
      <c r="D1701" s="51"/>
      <c r="E1701" s="44"/>
      <c r="F1701" s="44"/>
      <c r="G1701" s="34">
        <f t="shared" si="104"/>
        <v>0</v>
      </c>
      <c r="H1701" s="34" t="str">
        <f t="shared" si="105"/>
        <v/>
      </c>
      <c r="I1701" s="52" t="str">
        <f t="shared" si="106"/>
        <v/>
      </c>
      <c r="J1701" s="34">
        <f>IF(AND(A1701&lt;&gt;"",ISTEXT(A1701),COUNTIFS(Processos!$AS$10:$AS$509,"="&amp;SUBSTITUTE(SUBSTITUTE(SUBSTITUTE("P:"&amp;A1701,"~","~~"),"*","~*"),"?","~?"))=1),(IF(ISNA(MATCH(SUBSTITUTE(SUBSTITUTE(SUBSTITUTE("P:"&amp;A1701,"~","~~"),"*","~*"),"?","~?"),Processos!$AS$10:$AS$509,0)),9,INDEX(Processos!$AM$10:$AM$509,MATCH(SUBSTITUTE(SUBSTITUTE(SUBSTITUTE("P:"&amp;A1701,"~","~~"),"*","~*"),"?","~?"),Processos!$AS$10:$AS$509,0)))-9),0)</f>
        <v>0</v>
      </c>
      <c r="K1701" s="34" t="str">
        <f t="shared" si="107"/>
        <v/>
      </c>
      <c r="L1701" s="14">
        <f>ROW()</f>
        <v>1701</v>
      </c>
    </row>
    <row r="1702" spans="1:12" ht="60" customHeight="1">
      <c r="A1702" s="41"/>
      <c r="B1702" s="43"/>
      <c r="C1702" s="44"/>
      <c r="D1702" s="51"/>
      <c r="E1702" s="44"/>
      <c r="F1702" s="44"/>
      <c r="G1702" s="34">
        <f t="shared" si="104"/>
        <v>0</v>
      </c>
      <c r="H1702" s="34" t="str">
        <f t="shared" si="105"/>
        <v/>
      </c>
      <c r="I1702" s="52" t="str">
        <f t="shared" si="106"/>
        <v/>
      </c>
      <c r="J1702" s="34">
        <f>IF(AND(A1702&lt;&gt;"",ISTEXT(A1702),COUNTIFS(Processos!$AS$10:$AS$509,"="&amp;SUBSTITUTE(SUBSTITUTE(SUBSTITUTE("P:"&amp;A1702,"~","~~"),"*","~*"),"?","~?"))=1),(IF(ISNA(MATCH(SUBSTITUTE(SUBSTITUTE(SUBSTITUTE("P:"&amp;A1702,"~","~~"),"*","~*"),"?","~?"),Processos!$AS$10:$AS$509,0)),9,INDEX(Processos!$AM$10:$AM$509,MATCH(SUBSTITUTE(SUBSTITUTE(SUBSTITUTE("P:"&amp;A1702,"~","~~"),"*","~*"),"?","~?"),Processos!$AS$10:$AS$509,0)))-9),0)</f>
        <v>0</v>
      </c>
      <c r="K1702" s="34" t="str">
        <f t="shared" si="107"/>
        <v/>
      </c>
      <c r="L1702" s="14">
        <f>ROW()</f>
        <v>1702</v>
      </c>
    </row>
    <row r="1703" spans="1:12" ht="60" customHeight="1">
      <c r="A1703" s="41"/>
      <c r="B1703" s="43"/>
      <c r="C1703" s="44"/>
      <c r="D1703" s="51"/>
      <c r="E1703" s="44"/>
      <c r="F1703" s="44"/>
      <c r="G1703" s="34">
        <f t="shared" si="104"/>
        <v>0</v>
      </c>
      <c r="H1703" s="34" t="str">
        <f t="shared" si="105"/>
        <v/>
      </c>
      <c r="I1703" s="52" t="str">
        <f t="shared" si="106"/>
        <v/>
      </c>
      <c r="J1703" s="34">
        <f>IF(AND(A1703&lt;&gt;"",ISTEXT(A1703),COUNTIFS(Processos!$AS$10:$AS$509,"="&amp;SUBSTITUTE(SUBSTITUTE(SUBSTITUTE("P:"&amp;A1703,"~","~~"),"*","~*"),"?","~?"))=1),(IF(ISNA(MATCH(SUBSTITUTE(SUBSTITUTE(SUBSTITUTE("P:"&amp;A1703,"~","~~"),"*","~*"),"?","~?"),Processos!$AS$10:$AS$509,0)),9,INDEX(Processos!$AM$10:$AM$509,MATCH(SUBSTITUTE(SUBSTITUTE(SUBSTITUTE("P:"&amp;A1703,"~","~~"),"*","~*"),"?","~?"),Processos!$AS$10:$AS$509,0)))-9),0)</f>
        <v>0</v>
      </c>
      <c r="K1703" s="34" t="str">
        <f t="shared" si="107"/>
        <v/>
      </c>
      <c r="L1703" s="14">
        <f>ROW()</f>
        <v>1703</v>
      </c>
    </row>
    <row r="1704" spans="1:12" ht="60" customHeight="1">
      <c r="A1704" s="41"/>
      <c r="B1704" s="43"/>
      <c r="C1704" s="44"/>
      <c r="D1704" s="51"/>
      <c r="E1704" s="44"/>
      <c r="F1704" s="44"/>
      <c r="G1704" s="34">
        <f t="shared" si="104"/>
        <v>0</v>
      </c>
      <c r="H1704" s="34" t="str">
        <f t="shared" si="105"/>
        <v/>
      </c>
      <c r="I1704" s="52" t="str">
        <f t="shared" si="106"/>
        <v/>
      </c>
      <c r="J1704" s="34">
        <f>IF(AND(A1704&lt;&gt;"",ISTEXT(A1704),COUNTIFS(Processos!$AS$10:$AS$509,"="&amp;SUBSTITUTE(SUBSTITUTE(SUBSTITUTE("P:"&amp;A1704,"~","~~"),"*","~*"),"?","~?"))=1),(IF(ISNA(MATCH(SUBSTITUTE(SUBSTITUTE(SUBSTITUTE("P:"&amp;A1704,"~","~~"),"*","~*"),"?","~?"),Processos!$AS$10:$AS$509,0)),9,INDEX(Processos!$AM$10:$AM$509,MATCH(SUBSTITUTE(SUBSTITUTE(SUBSTITUTE("P:"&amp;A1704,"~","~~"),"*","~*"),"?","~?"),Processos!$AS$10:$AS$509,0)))-9),0)</f>
        <v>0</v>
      </c>
      <c r="K1704" s="34" t="str">
        <f t="shared" si="107"/>
        <v/>
      </c>
      <c r="L1704" s="14">
        <f>ROW()</f>
        <v>1704</v>
      </c>
    </row>
    <row r="1705" spans="1:12" ht="60" customHeight="1">
      <c r="A1705" s="41"/>
      <c r="B1705" s="43"/>
      <c r="C1705" s="44"/>
      <c r="D1705" s="51"/>
      <c r="E1705" s="44"/>
      <c r="F1705" s="44"/>
      <c r="G1705" s="34">
        <f t="shared" si="104"/>
        <v>0</v>
      </c>
      <c r="H1705" s="34" t="str">
        <f t="shared" si="105"/>
        <v/>
      </c>
      <c r="I1705" s="52" t="str">
        <f t="shared" si="106"/>
        <v/>
      </c>
      <c r="J1705" s="34">
        <f>IF(AND(A1705&lt;&gt;"",ISTEXT(A1705),COUNTIFS(Processos!$AS$10:$AS$509,"="&amp;SUBSTITUTE(SUBSTITUTE(SUBSTITUTE("P:"&amp;A1705,"~","~~"),"*","~*"),"?","~?"))=1),(IF(ISNA(MATCH(SUBSTITUTE(SUBSTITUTE(SUBSTITUTE("P:"&amp;A1705,"~","~~"),"*","~*"),"?","~?"),Processos!$AS$10:$AS$509,0)),9,INDEX(Processos!$AM$10:$AM$509,MATCH(SUBSTITUTE(SUBSTITUTE(SUBSTITUTE("P:"&amp;A1705,"~","~~"),"*","~*"),"?","~?"),Processos!$AS$10:$AS$509,0)))-9),0)</f>
        <v>0</v>
      </c>
      <c r="K1705" s="34" t="str">
        <f t="shared" si="107"/>
        <v/>
      </c>
      <c r="L1705" s="14">
        <f>ROW()</f>
        <v>1705</v>
      </c>
    </row>
    <row r="1706" spans="1:12" ht="60" customHeight="1">
      <c r="A1706" s="41"/>
      <c r="B1706" s="43"/>
      <c r="C1706" s="44"/>
      <c r="D1706" s="51"/>
      <c r="E1706" s="44"/>
      <c r="F1706" s="44"/>
      <c r="G1706" s="34">
        <f t="shared" si="104"/>
        <v>0</v>
      </c>
      <c r="H1706" s="34" t="str">
        <f t="shared" si="105"/>
        <v/>
      </c>
      <c r="I1706" s="52" t="str">
        <f t="shared" si="106"/>
        <v/>
      </c>
      <c r="J1706" s="34">
        <f>IF(AND(A1706&lt;&gt;"",ISTEXT(A1706),COUNTIFS(Processos!$AS$10:$AS$509,"="&amp;SUBSTITUTE(SUBSTITUTE(SUBSTITUTE("P:"&amp;A1706,"~","~~"),"*","~*"),"?","~?"))=1),(IF(ISNA(MATCH(SUBSTITUTE(SUBSTITUTE(SUBSTITUTE("P:"&amp;A1706,"~","~~"),"*","~*"),"?","~?"),Processos!$AS$10:$AS$509,0)),9,INDEX(Processos!$AM$10:$AM$509,MATCH(SUBSTITUTE(SUBSTITUTE(SUBSTITUTE("P:"&amp;A1706,"~","~~"),"*","~*"),"?","~?"),Processos!$AS$10:$AS$509,0)))-9),0)</f>
        <v>0</v>
      </c>
      <c r="K1706" s="34" t="str">
        <f t="shared" si="107"/>
        <v/>
      </c>
      <c r="L1706" s="14">
        <f>ROW()</f>
        <v>1706</v>
      </c>
    </row>
    <row r="1707" spans="1:12" ht="60" customHeight="1">
      <c r="A1707" s="41"/>
      <c r="B1707" s="43"/>
      <c r="C1707" s="44"/>
      <c r="D1707" s="51"/>
      <c r="E1707" s="44"/>
      <c r="F1707" s="44"/>
      <c r="G1707" s="34">
        <f t="shared" si="104"/>
        <v>0</v>
      </c>
      <c r="H1707" s="34" t="str">
        <f t="shared" si="105"/>
        <v/>
      </c>
      <c r="I1707" s="52" t="str">
        <f t="shared" si="106"/>
        <v/>
      </c>
      <c r="J1707" s="34">
        <f>IF(AND(A1707&lt;&gt;"",ISTEXT(A1707),COUNTIFS(Processos!$AS$10:$AS$509,"="&amp;SUBSTITUTE(SUBSTITUTE(SUBSTITUTE("P:"&amp;A1707,"~","~~"),"*","~*"),"?","~?"))=1),(IF(ISNA(MATCH(SUBSTITUTE(SUBSTITUTE(SUBSTITUTE("P:"&amp;A1707,"~","~~"),"*","~*"),"?","~?"),Processos!$AS$10:$AS$509,0)),9,INDEX(Processos!$AM$10:$AM$509,MATCH(SUBSTITUTE(SUBSTITUTE(SUBSTITUTE("P:"&amp;A1707,"~","~~"),"*","~*"),"?","~?"),Processos!$AS$10:$AS$509,0)))-9),0)</f>
        <v>0</v>
      </c>
      <c r="K1707" s="34" t="str">
        <f t="shared" si="107"/>
        <v/>
      </c>
      <c r="L1707" s="14">
        <f>ROW()</f>
        <v>1707</v>
      </c>
    </row>
    <row r="1708" spans="1:12" ht="60" customHeight="1">
      <c r="A1708" s="41"/>
      <c r="B1708" s="43"/>
      <c r="C1708" s="44"/>
      <c r="D1708" s="51"/>
      <c r="E1708" s="44"/>
      <c r="F1708" s="44"/>
      <c r="G1708" s="34">
        <f t="shared" si="104"/>
        <v>0</v>
      </c>
      <c r="H1708" s="34" t="str">
        <f t="shared" si="105"/>
        <v/>
      </c>
      <c r="I1708" s="52" t="str">
        <f t="shared" si="106"/>
        <v/>
      </c>
      <c r="J1708" s="34">
        <f>IF(AND(A1708&lt;&gt;"",ISTEXT(A1708),COUNTIFS(Processos!$AS$10:$AS$509,"="&amp;SUBSTITUTE(SUBSTITUTE(SUBSTITUTE("P:"&amp;A1708,"~","~~"),"*","~*"),"?","~?"))=1),(IF(ISNA(MATCH(SUBSTITUTE(SUBSTITUTE(SUBSTITUTE("P:"&amp;A1708,"~","~~"),"*","~*"),"?","~?"),Processos!$AS$10:$AS$509,0)),9,INDEX(Processos!$AM$10:$AM$509,MATCH(SUBSTITUTE(SUBSTITUTE(SUBSTITUTE("P:"&amp;A1708,"~","~~"),"*","~*"),"?","~?"),Processos!$AS$10:$AS$509,0)))-9),0)</f>
        <v>0</v>
      </c>
      <c r="K1708" s="34" t="str">
        <f t="shared" si="107"/>
        <v/>
      </c>
      <c r="L1708" s="14">
        <f>ROW()</f>
        <v>1708</v>
      </c>
    </row>
    <row r="1709" spans="1:12" ht="60" customHeight="1">
      <c r="A1709" s="41"/>
      <c r="B1709" s="43"/>
      <c r="C1709" s="44"/>
      <c r="D1709" s="51"/>
      <c r="E1709" s="44"/>
      <c r="F1709" s="44"/>
      <c r="G1709" s="34">
        <f t="shared" si="104"/>
        <v>0</v>
      </c>
      <c r="H1709" s="34" t="str">
        <f t="shared" si="105"/>
        <v/>
      </c>
      <c r="I1709" s="52" t="str">
        <f t="shared" si="106"/>
        <v/>
      </c>
      <c r="J1709" s="34">
        <f>IF(AND(A1709&lt;&gt;"",ISTEXT(A1709),COUNTIFS(Processos!$AS$10:$AS$509,"="&amp;SUBSTITUTE(SUBSTITUTE(SUBSTITUTE("P:"&amp;A1709,"~","~~"),"*","~*"),"?","~?"))=1),(IF(ISNA(MATCH(SUBSTITUTE(SUBSTITUTE(SUBSTITUTE("P:"&amp;A1709,"~","~~"),"*","~*"),"?","~?"),Processos!$AS$10:$AS$509,0)),9,INDEX(Processos!$AM$10:$AM$509,MATCH(SUBSTITUTE(SUBSTITUTE(SUBSTITUTE("P:"&amp;A1709,"~","~~"),"*","~*"),"?","~?"),Processos!$AS$10:$AS$509,0)))-9),0)</f>
        <v>0</v>
      </c>
      <c r="K1709" s="34" t="str">
        <f t="shared" si="107"/>
        <v/>
      </c>
      <c r="L1709" s="14">
        <f>ROW()</f>
        <v>1709</v>
      </c>
    </row>
    <row r="1710" spans="1:12" ht="60" customHeight="1">
      <c r="A1710" s="41"/>
      <c r="B1710" s="43"/>
      <c r="C1710" s="44"/>
      <c r="D1710" s="51"/>
      <c r="E1710" s="44"/>
      <c r="F1710" s="44"/>
      <c r="G1710" s="34">
        <f t="shared" si="104"/>
        <v>0</v>
      </c>
      <c r="H1710" s="34" t="str">
        <f t="shared" si="105"/>
        <v/>
      </c>
      <c r="I1710" s="52" t="str">
        <f t="shared" si="106"/>
        <v/>
      </c>
      <c r="J1710" s="34">
        <f>IF(AND(A1710&lt;&gt;"",ISTEXT(A1710),COUNTIFS(Processos!$AS$10:$AS$509,"="&amp;SUBSTITUTE(SUBSTITUTE(SUBSTITUTE("P:"&amp;A1710,"~","~~"),"*","~*"),"?","~?"))=1),(IF(ISNA(MATCH(SUBSTITUTE(SUBSTITUTE(SUBSTITUTE("P:"&amp;A1710,"~","~~"),"*","~*"),"?","~?"),Processos!$AS$10:$AS$509,0)),9,INDEX(Processos!$AM$10:$AM$509,MATCH(SUBSTITUTE(SUBSTITUTE(SUBSTITUTE("P:"&amp;A1710,"~","~~"),"*","~*"),"?","~?"),Processos!$AS$10:$AS$509,0)))-9),0)</f>
        <v>0</v>
      </c>
      <c r="K1710" s="34" t="str">
        <f t="shared" si="107"/>
        <v/>
      </c>
      <c r="L1710" s="14">
        <f>ROW()</f>
        <v>1710</v>
      </c>
    </row>
    <row r="1711" spans="1:12" ht="60" customHeight="1">
      <c r="A1711" s="41"/>
      <c r="B1711" s="43"/>
      <c r="C1711" s="44"/>
      <c r="D1711" s="51"/>
      <c r="E1711" s="44"/>
      <c r="F1711" s="44"/>
      <c r="G1711" s="34">
        <f t="shared" si="104"/>
        <v>0</v>
      </c>
      <c r="H1711" s="34" t="str">
        <f t="shared" si="105"/>
        <v/>
      </c>
      <c r="I1711" s="52" t="str">
        <f t="shared" si="106"/>
        <v/>
      </c>
      <c r="J1711" s="34">
        <f>IF(AND(A1711&lt;&gt;"",ISTEXT(A1711),COUNTIFS(Processos!$AS$10:$AS$509,"="&amp;SUBSTITUTE(SUBSTITUTE(SUBSTITUTE("P:"&amp;A1711,"~","~~"),"*","~*"),"?","~?"))=1),(IF(ISNA(MATCH(SUBSTITUTE(SUBSTITUTE(SUBSTITUTE("P:"&amp;A1711,"~","~~"),"*","~*"),"?","~?"),Processos!$AS$10:$AS$509,0)),9,INDEX(Processos!$AM$10:$AM$509,MATCH(SUBSTITUTE(SUBSTITUTE(SUBSTITUTE("P:"&amp;A1711,"~","~~"),"*","~*"),"?","~?"),Processos!$AS$10:$AS$509,0)))-9),0)</f>
        <v>0</v>
      </c>
      <c r="K1711" s="34" t="str">
        <f t="shared" si="107"/>
        <v/>
      </c>
      <c r="L1711" s="14">
        <f>ROW()</f>
        <v>1711</v>
      </c>
    </row>
    <row r="1712" spans="1:12" ht="60" customHeight="1">
      <c r="A1712" s="41"/>
      <c r="B1712" s="43"/>
      <c r="C1712" s="44"/>
      <c r="D1712" s="51"/>
      <c r="E1712" s="44"/>
      <c r="F1712" s="44"/>
      <c r="G1712" s="34">
        <f t="shared" si="104"/>
        <v>0</v>
      </c>
      <c r="H1712" s="34" t="str">
        <f t="shared" si="105"/>
        <v/>
      </c>
      <c r="I1712" s="52" t="str">
        <f t="shared" si="106"/>
        <v/>
      </c>
      <c r="J1712" s="34">
        <f>IF(AND(A1712&lt;&gt;"",ISTEXT(A1712),COUNTIFS(Processos!$AS$10:$AS$509,"="&amp;SUBSTITUTE(SUBSTITUTE(SUBSTITUTE("P:"&amp;A1712,"~","~~"),"*","~*"),"?","~?"))=1),(IF(ISNA(MATCH(SUBSTITUTE(SUBSTITUTE(SUBSTITUTE("P:"&amp;A1712,"~","~~"),"*","~*"),"?","~?"),Processos!$AS$10:$AS$509,0)),9,INDEX(Processos!$AM$10:$AM$509,MATCH(SUBSTITUTE(SUBSTITUTE(SUBSTITUTE("P:"&amp;A1712,"~","~~"),"*","~*"),"?","~?"),Processos!$AS$10:$AS$509,0)))-9),0)</f>
        <v>0</v>
      </c>
      <c r="K1712" s="34" t="str">
        <f t="shared" si="107"/>
        <v/>
      </c>
      <c r="L1712" s="14">
        <f>ROW()</f>
        <v>1712</v>
      </c>
    </row>
    <row r="1713" spans="1:12" ht="60" customHeight="1">
      <c r="A1713" s="41"/>
      <c r="B1713" s="43"/>
      <c r="C1713" s="44"/>
      <c r="D1713" s="51"/>
      <c r="E1713" s="44"/>
      <c r="F1713" s="44"/>
      <c r="G1713" s="34">
        <f t="shared" si="104"/>
        <v>0</v>
      </c>
      <c r="H1713" s="34" t="str">
        <f t="shared" si="105"/>
        <v/>
      </c>
      <c r="I1713" s="52" t="str">
        <f t="shared" si="106"/>
        <v/>
      </c>
      <c r="J1713" s="34">
        <f>IF(AND(A1713&lt;&gt;"",ISTEXT(A1713),COUNTIFS(Processos!$AS$10:$AS$509,"="&amp;SUBSTITUTE(SUBSTITUTE(SUBSTITUTE("P:"&amp;A1713,"~","~~"),"*","~*"),"?","~?"))=1),(IF(ISNA(MATCH(SUBSTITUTE(SUBSTITUTE(SUBSTITUTE("P:"&amp;A1713,"~","~~"),"*","~*"),"?","~?"),Processos!$AS$10:$AS$509,0)),9,INDEX(Processos!$AM$10:$AM$509,MATCH(SUBSTITUTE(SUBSTITUTE(SUBSTITUTE("P:"&amp;A1713,"~","~~"),"*","~*"),"?","~?"),Processos!$AS$10:$AS$509,0)))-9),0)</f>
        <v>0</v>
      </c>
      <c r="K1713" s="34" t="str">
        <f t="shared" si="107"/>
        <v/>
      </c>
      <c r="L1713" s="14">
        <f>ROW()</f>
        <v>1713</v>
      </c>
    </row>
    <row r="1714" spans="1:12" ht="60" customHeight="1">
      <c r="A1714" s="41"/>
      <c r="B1714" s="43"/>
      <c r="C1714" s="44"/>
      <c r="D1714" s="51"/>
      <c r="E1714" s="44"/>
      <c r="F1714" s="44"/>
      <c r="G1714" s="34">
        <f t="shared" si="104"/>
        <v>0</v>
      </c>
      <c r="H1714" s="34" t="str">
        <f t="shared" si="105"/>
        <v/>
      </c>
      <c r="I1714" s="52" t="str">
        <f t="shared" si="106"/>
        <v/>
      </c>
      <c r="J1714" s="34">
        <f>IF(AND(A1714&lt;&gt;"",ISTEXT(A1714),COUNTIFS(Processos!$AS$10:$AS$509,"="&amp;SUBSTITUTE(SUBSTITUTE(SUBSTITUTE("P:"&amp;A1714,"~","~~"),"*","~*"),"?","~?"))=1),(IF(ISNA(MATCH(SUBSTITUTE(SUBSTITUTE(SUBSTITUTE("P:"&amp;A1714,"~","~~"),"*","~*"),"?","~?"),Processos!$AS$10:$AS$509,0)),9,INDEX(Processos!$AM$10:$AM$509,MATCH(SUBSTITUTE(SUBSTITUTE(SUBSTITUTE("P:"&amp;A1714,"~","~~"),"*","~*"),"?","~?"),Processos!$AS$10:$AS$509,0)))-9),0)</f>
        <v>0</v>
      </c>
      <c r="K1714" s="34" t="str">
        <f t="shared" si="107"/>
        <v/>
      </c>
      <c r="L1714" s="14">
        <f>ROW()</f>
        <v>1714</v>
      </c>
    </row>
    <row r="1715" spans="1:12" ht="60" customHeight="1">
      <c r="A1715" s="41"/>
      <c r="B1715" s="43"/>
      <c r="C1715" s="44"/>
      <c r="D1715" s="51"/>
      <c r="E1715" s="44"/>
      <c r="F1715" s="44"/>
      <c r="G1715" s="34">
        <f t="shared" si="104"/>
        <v>0</v>
      </c>
      <c r="H1715" s="34" t="str">
        <f t="shared" si="105"/>
        <v/>
      </c>
      <c r="I1715" s="52" t="str">
        <f t="shared" si="106"/>
        <v/>
      </c>
      <c r="J1715" s="34">
        <f>IF(AND(A1715&lt;&gt;"",ISTEXT(A1715),COUNTIFS(Processos!$AS$10:$AS$509,"="&amp;SUBSTITUTE(SUBSTITUTE(SUBSTITUTE("P:"&amp;A1715,"~","~~"),"*","~*"),"?","~?"))=1),(IF(ISNA(MATCH(SUBSTITUTE(SUBSTITUTE(SUBSTITUTE("P:"&amp;A1715,"~","~~"),"*","~*"),"?","~?"),Processos!$AS$10:$AS$509,0)),9,INDEX(Processos!$AM$10:$AM$509,MATCH(SUBSTITUTE(SUBSTITUTE(SUBSTITUTE("P:"&amp;A1715,"~","~~"),"*","~*"),"?","~?"),Processos!$AS$10:$AS$509,0)))-9),0)</f>
        <v>0</v>
      </c>
      <c r="K1715" s="34" t="str">
        <f t="shared" si="107"/>
        <v/>
      </c>
      <c r="L1715" s="14">
        <f>ROW()</f>
        <v>1715</v>
      </c>
    </row>
    <row r="1716" spans="1:12" ht="60" customHeight="1">
      <c r="A1716" s="41"/>
      <c r="B1716" s="43"/>
      <c r="C1716" s="44"/>
      <c r="D1716" s="51"/>
      <c r="E1716" s="44"/>
      <c r="F1716" s="44"/>
      <c r="G1716" s="34">
        <f t="shared" si="104"/>
        <v>0</v>
      </c>
      <c r="H1716" s="34" t="str">
        <f t="shared" si="105"/>
        <v/>
      </c>
      <c r="I1716" s="52" t="str">
        <f t="shared" si="106"/>
        <v/>
      </c>
      <c r="J1716" s="34">
        <f>IF(AND(A1716&lt;&gt;"",ISTEXT(A1716),COUNTIFS(Processos!$AS$10:$AS$509,"="&amp;SUBSTITUTE(SUBSTITUTE(SUBSTITUTE("P:"&amp;A1716,"~","~~"),"*","~*"),"?","~?"))=1),(IF(ISNA(MATCH(SUBSTITUTE(SUBSTITUTE(SUBSTITUTE("P:"&amp;A1716,"~","~~"),"*","~*"),"?","~?"),Processos!$AS$10:$AS$509,0)),9,INDEX(Processos!$AM$10:$AM$509,MATCH(SUBSTITUTE(SUBSTITUTE(SUBSTITUTE("P:"&amp;A1716,"~","~~"),"*","~*"),"?","~?"),Processos!$AS$10:$AS$509,0)))-9),0)</f>
        <v>0</v>
      </c>
      <c r="K1716" s="34" t="str">
        <f t="shared" si="107"/>
        <v/>
      </c>
      <c r="L1716" s="14">
        <f>ROW()</f>
        <v>1716</v>
      </c>
    </row>
    <row r="1717" spans="1:12" ht="60" customHeight="1">
      <c r="A1717" s="41"/>
      <c r="B1717" s="43"/>
      <c r="C1717" s="44"/>
      <c r="D1717" s="51"/>
      <c r="E1717" s="44"/>
      <c r="F1717" s="44"/>
      <c r="G1717" s="34">
        <f t="shared" si="104"/>
        <v>0</v>
      </c>
      <c r="H1717" s="34" t="str">
        <f t="shared" si="105"/>
        <v/>
      </c>
      <c r="I1717" s="52" t="str">
        <f t="shared" si="106"/>
        <v/>
      </c>
      <c r="J1717" s="34">
        <f>IF(AND(A1717&lt;&gt;"",ISTEXT(A1717),COUNTIFS(Processos!$AS$10:$AS$509,"="&amp;SUBSTITUTE(SUBSTITUTE(SUBSTITUTE("P:"&amp;A1717,"~","~~"),"*","~*"),"?","~?"))=1),(IF(ISNA(MATCH(SUBSTITUTE(SUBSTITUTE(SUBSTITUTE("P:"&amp;A1717,"~","~~"),"*","~*"),"?","~?"),Processos!$AS$10:$AS$509,0)),9,INDEX(Processos!$AM$10:$AM$509,MATCH(SUBSTITUTE(SUBSTITUTE(SUBSTITUTE("P:"&amp;A1717,"~","~~"),"*","~*"),"?","~?"),Processos!$AS$10:$AS$509,0)))-9),0)</f>
        <v>0</v>
      </c>
      <c r="K1717" s="34" t="str">
        <f t="shared" si="107"/>
        <v/>
      </c>
      <c r="L1717" s="14">
        <f>ROW()</f>
        <v>1717</v>
      </c>
    </row>
    <row r="1718" spans="1:12" ht="60" customHeight="1">
      <c r="A1718" s="41"/>
      <c r="B1718" s="43"/>
      <c r="C1718" s="44"/>
      <c r="D1718" s="51"/>
      <c r="E1718" s="44"/>
      <c r="F1718" s="44"/>
      <c r="G1718" s="34">
        <f t="shared" si="104"/>
        <v>0</v>
      </c>
      <c r="H1718" s="34" t="str">
        <f t="shared" si="105"/>
        <v/>
      </c>
      <c r="I1718" s="52" t="str">
        <f t="shared" si="106"/>
        <v/>
      </c>
      <c r="J1718" s="34">
        <f>IF(AND(A1718&lt;&gt;"",ISTEXT(A1718),COUNTIFS(Processos!$AS$10:$AS$509,"="&amp;SUBSTITUTE(SUBSTITUTE(SUBSTITUTE("P:"&amp;A1718,"~","~~"),"*","~*"),"?","~?"))=1),(IF(ISNA(MATCH(SUBSTITUTE(SUBSTITUTE(SUBSTITUTE("P:"&amp;A1718,"~","~~"),"*","~*"),"?","~?"),Processos!$AS$10:$AS$509,0)),9,INDEX(Processos!$AM$10:$AM$509,MATCH(SUBSTITUTE(SUBSTITUTE(SUBSTITUTE("P:"&amp;A1718,"~","~~"),"*","~*"),"?","~?"),Processos!$AS$10:$AS$509,0)))-9),0)</f>
        <v>0</v>
      </c>
      <c r="K1718" s="34" t="str">
        <f t="shared" si="107"/>
        <v/>
      </c>
      <c r="L1718" s="14">
        <f>ROW()</f>
        <v>1718</v>
      </c>
    </row>
    <row r="1719" spans="1:12" ht="60" customHeight="1">
      <c r="A1719" s="41"/>
      <c r="B1719" s="43"/>
      <c r="C1719" s="44"/>
      <c r="D1719" s="51"/>
      <c r="E1719" s="44"/>
      <c r="F1719" s="44"/>
      <c r="G1719" s="34">
        <f t="shared" si="104"/>
        <v>0</v>
      </c>
      <c r="H1719" s="34" t="str">
        <f t="shared" si="105"/>
        <v/>
      </c>
      <c r="I1719" s="52" t="str">
        <f t="shared" si="106"/>
        <v/>
      </c>
      <c r="J1719" s="34">
        <f>IF(AND(A1719&lt;&gt;"",ISTEXT(A1719),COUNTIFS(Processos!$AS$10:$AS$509,"="&amp;SUBSTITUTE(SUBSTITUTE(SUBSTITUTE("P:"&amp;A1719,"~","~~"),"*","~*"),"?","~?"))=1),(IF(ISNA(MATCH(SUBSTITUTE(SUBSTITUTE(SUBSTITUTE("P:"&amp;A1719,"~","~~"),"*","~*"),"?","~?"),Processos!$AS$10:$AS$509,0)),9,INDEX(Processos!$AM$10:$AM$509,MATCH(SUBSTITUTE(SUBSTITUTE(SUBSTITUTE("P:"&amp;A1719,"~","~~"),"*","~*"),"?","~?"),Processos!$AS$10:$AS$509,0)))-9),0)</f>
        <v>0</v>
      </c>
      <c r="K1719" s="34" t="str">
        <f t="shared" si="107"/>
        <v/>
      </c>
      <c r="L1719" s="14">
        <f>ROW()</f>
        <v>1719</v>
      </c>
    </row>
    <row r="1720" spans="1:12" ht="60" customHeight="1">
      <c r="A1720" s="41"/>
      <c r="B1720" s="43"/>
      <c r="C1720" s="44"/>
      <c r="D1720" s="51"/>
      <c r="E1720" s="44"/>
      <c r="F1720" s="44"/>
      <c r="G1720" s="34">
        <f t="shared" si="104"/>
        <v>0</v>
      </c>
      <c r="H1720" s="34" t="str">
        <f t="shared" si="105"/>
        <v/>
      </c>
      <c r="I1720" s="52" t="str">
        <f t="shared" si="106"/>
        <v/>
      </c>
      <c r="J1720" s="34">
        <f>IF(AND(A1720&lt;&gt;"",ISTEXT(A1720),COUNTIFS(Processos!$AS$10:$AS$509,"="&amp;SUBSTITUTE(SUBSTITUTE(SUBSTITUTE("P:"&amp;A1720,"~","~~"),"*","~*"),"?","~?"))=1),(IF(ISNA(MATCH(SUBSTITUTE(SUBSTITUTE(SUBSTITUTE("P:"&amp;A1720,"~","~~"),"*","~*"),"?","~?"),Processos!$AS$10:$AS$509,0)),9,INDEX(Processos!$AM$10:$AM$509,MATCH(SUBSTITUTE(SUBSTITUTE(SUBSTITUTE("P:"&amp;A1720,"~","~~"),"*","~*"),"?","~?"),Processos!$AS$10:$AS$509,0)))-9),0)</f>
        <v>0</v>
      </c>
      <c r="K1720" s="34" t="str">
        <f t="shared" si="107"/>
        <v/>
      </c>
      <c r="L1720" s="14">
        <f>ROW()</f>
        <v>1720</v>
      </c>
    </row>
    <row r="1721" spans="1:12" ht="60" customHeight="1">
      <c r="A1721" s="41"/>
      <c r="B1721" s="43"/>
      <c r="C1721" s="44"/>
      <c r="D1721" s="51"/>
      <c r="E1721" s="44"/>
      <c r="F1721" s="44"/>
      <c r="G1721" s="34">
        <f t="shared" si="104"/>
        <v>0</v>
      </c>
      <c r="H1721" s="34" t="str">
        <f t="shared" si="105"/>
        <v/>
      </c>
      <c r="I1721" s="52" t="str">
        <f t="shared" si="106"/>
        <v/>
      </c>
      <c r="J1721" s="34">
        <f>IF(AND(A1721&lt;&gt;"",ISTEXT(A1721),COUNTIFS(Processos!$AS$10:$AS$509,"="&amp;SUBSTITUTE(SUBSTITUTE(SUBSTITUTE("P:"&amp;A1721,"~","~~"),"*","~*"),"?","~?"))=1),(IF(ISNA(MATCH(SUBSTITUTE(SUBSTITUTE(SUBSTITUTE("P:"&amp;A1721,"~","~~"),"*","~*"),"?","~?"),Processos!$AS$10:$AS$509,0)),9,INDEX(Processos!$AM$10:$AM$509,MATCH(SUBSTITUTE(SUBSTITUTE(SUBSTITUTE("P:"&amp;A1721,"~","~~"),"*","~*"),"?","~?"),Processos!$AS$10:$AS$509,0)))-9),0)</f>
        <v>0</v>
      </c>
      <c r="K1721" s="34" t="str">
        <f t="shared" si="107"/>
        <v/>
      </c>
      <c r="L1721" s="14">
        <f>ROW()</f>
        <v>1721</v>
      </c>
    </row>
    <row r="1722" spans="1:12" ht="60" customHeight="1">
      <c r="A1722" s="41"/>
      <c r="B1722" s="43"/>
      <c r="C1722" s="44"/>
      <c r="D1722" s="51"/>
      <c r="E1722" s="44"/>
      <c r="F1722" s="44"/>
      <c r="G1722" s="34">
        <f t="shared" si="104"/>
        <v>0</v>
      </c>
      <c r="H1722" s="34" t="str">
        <f t="shared" si="105"/>
        <v/>
      </c>
      <c r="I1722" s="52" t="str">
        <f t="shared" si="106"/>
        <v/>
      </c>
      <c r="J1722" s="34">
        <f>IF(AND(A1722&lt;&gt;"",ISTEXT(A1722),COUNTIFS(Processos!$AS$10:$AS$509,"="&amp;SUBSTITUTE(SUBSTITUTE(SUBSTITUTE("P:"&amp;A1722,"~","~~"),"*","~*"),"?","~?"))=1),(IF(ISNA(MATCH(SUBSTITUTE(SUBSTITUTE(SUBSTITUTE("P:"&amp;A1722,"~","~~"),"*","~*"),"?","~?"),Processos!$AS$10:$AS$509,0)),9,INDEX(Processos!$AM$10:$AM$509,MATCH(SUBSTITUTE(SUBSTITUTE(SUBSTITUTE("P:"&amp;A1722,"~","~~"),"*","~*"),"?","~?"),Processos!$AS$10:$AS$509,0)))-9),0)</f>
        <v>0</v>
      </c>
      <c r="K1722" s="34" t="str">
        <f t="shared" si="107"/>
        <v/>
      </c>
      <c r="L1722" s="14">
        <f>ROW()</f>
        <v>1722</v>
      </c>
    </row>
    <row r="1723" spans="1:12" ht="60" customHeight="1">
      <c r="A1723" s="41"/>
      <c r="B1723" s="43"/>
      <c r="C1723" s="44"/>
      <c r="D1723" s="51"/>
      <c r="E1723" s="44"/>
      <c r="F1723" s="44"/>
      <c r="G1723" s="34">
        <f t="shared" si="104"/>
        <v>0</v>
      </c>
      <c r="H1723" s="34" t="str">
        <f t="shared" si="105"/>
        <v/>
      </c>
      <c r="I1723" s="52" t="str">
        <f t="shared" si="106"/>
        <v/>
      </c>
      <c r="J1723" s="34">
        <f>IF(AND(A1723&lt;&gt;"",ISTEXT(A1723),COUNTIFS(Processos!$AS$10:$AS$509,"="&amp;SUBSTITUTE(SUBSTITUTE(SUBSTITUTE("P:"&amp;A1723,"~","~~"),"*","~*"),"?","~?"))=1),(IF(ISNA(MATCH(SUBSTITUTE(SUBSTITUTE(SUBSTITUTE("P:"&amp;A1723,"~","~~"),"*","~*"),"?","~?"),Processos!$AS$10:$AS$509,0)),9,INDEX(Processos!$AM$10:$AM$509,MATCH(SUBSTITUTE(SUBSTITUTE(SUBSTITUTE("P:"&amp;A1723,"~","~~"),"*","~*"),"?","~?"),Processos!$AS$10:$AS$509,0)))-9),0)</f>
        <v>0</v>
      </c>
      <c r="K1723" s="34" t="str">
        <f t="shared" si="107"/>
        <v/>
      </c>
      <c r="L1723" s="14">
        <f>ROW()</f>
        <v>1723</v>
      </c>
    </row>
    <row r="1724" spans="1:12" ht="60" customHeight="1">
      <c r="A1724" s="41"/>
      <c r="B1724" s="43"/>
      <c r="C1724" s="44"/>
      <c r="D1724" s="51"/>
      <c r="E1724" s="44"/>
      <c r="F1724" s="44"/>
      <c r="G1724" s="34">
        <f t="shared" si="104"/>
        <v>0</v>
      </c>
      <c r="H1724" s="34" t="str">
        <f t="shared" si="105"/>
        <v/>
      </c>
      <c r="I1724" s="52" t="str">
        <f t="shared" si="106"/>
        <v/>
      </c>
      <c r="J1724" s="34">
        <f>IF(AND(A1724&lt;&gt;"",ISTEXT(A1724),COUNTIFS(Processos!$AS$10:$AS$509,"="&amp;SUBSTITUTE(SUBSTITUTE(SUBSTITUTE("P:"&amp;A1724,"~","~~"),"*","~*"),"?","~?"))=1),(IF(ISNA(MATCH(SUBSTITUTE(SUBSTITUTE(SUBSTITUTE("P:"&amp;A1724,"~","~~"),"*","~*"),"?","~?"),Processos!$AS$10:$AS$509,0)),9,INDEX(Processos!$AM$10:$AM$509,MATCH(SUBSTITUTE(SUBSTITUTE(SUBSTITUTE("P:"&amp;A1724,"~","~~"),"*","~*"),"?","~?"),Processos!$AS$10:$AS$509,0)))-9),0)</f>
        <v>0</v>
      </c>
      <c r="K1724" s="34" t="str">
        <f t="shared" si="107"/>
        <v/>
      </c>
      <c r="L1724" s="14">
        <f>ROW()</f>
        <v>1724</v>
      </c>
    </row>
    <row r="1725" spans="1:12" ht="60" customHeight="1">
      <c r="A1725" s="41"/>
      <c r="B1725" s="43"/>
      <c r="C1725" s="44"/>
      <c r="D1725" s="51"/>
      <c r="E1725" s="44"/>
      <c r="F1725" s="44"/>
      <c r="G1725" s="34">
        <f t="shared" si="104"/>
        <v>0</v>
      </c>
      <c r="H1725" s="34" t="str">
        <f t="shared" si="105"/>
        <v/>
      </c>
      <c r="I1725" s="52" t="str">
        <f t="shared" si="106"/>
        <v/>
      </c>
      <c r="J1725" s="34">
        <f>IF(AND(A1725&lt;&gt;"",ISTEXT(A1725),COUNTIFS(Processos!$AS$10:$AS$509,"="&amp;SUBSTITUTE(SUBSTITUTE(SUBSTITUTE("P:"&amp;A1725,"~","~~"),"*","~*"),"?","~?"))=1),(IF(ISNA(MATCH(SUBSTITUTE(SUBSTITUTE(SUBSTITUTE("P:"&amp;A1725,"~","~~"),"*","~*"),"?","~?"),Processos!$AS$10:$AS$509,0)),9,INDEX(Processos!$AM$10:$AM$509,MATCH(SUBSTITUTE(SUBSTITUTE(SUBSTITUTE("P:"&amp;A1725,"~","~~"),"*","~*"),"?","~?"),Processos!$AS$10:$AS$509,0)))-9),0)</f>
        <v>0</v>
      </c>
      <c r="K1725" s="34" t="str">
        <f t="shared" si="107"/>
        <v/>
      </c>
      <c r="L1725" s="14">
        <f>ROW()</f>
        <v>1725</v>
      </c>
    </row>
    <row r="1726" spans="1:12" ht="60" customHeight="1">
      <c r="A1726" s="41"/>
      <c r="B1726" s="43"/>
      <c r="C1726" s="44"/>
      <c r="D1726" s="51"/>
      <c r="E1726" s="44"/>
      <c r="F1726" s="44"/>
      <c r="G1726" s="34">
        <f t="shared" si="104"/>
        <v>0</v>
      </c>
      <c r="H1726" s="34" t="str">
        <f t="shared" si="105"/>
        <v/>
      </c>
      <c r="I1726" s="52" t="str">
        <f t="shared" si="106"/>
        <v/>
      </c>
      <c r="J1726" s="34">
        <f>IF(AND(A1726&lt;&gt;"",ISTEXT(A1726),COUNTIFS(Processos!$AS$10:$AS$509,"="&amp;SUBSTITUTE(SUBSTITUTE(SUBSTITUTE("P:"&amp;A1726,"~","~~"),"*","~*"),"?","~?"))=1),(IF(ISNA(MATCH(SUBSTITUTE(SUBSTITUTE(SUBSTITUTE("P:"&amp;A1726,"~","~~"),"*","~*"),"?","~?"),Processos!$AS$10:$AS$509,0)),9,INDEX(Processos!$AM$10:$AM$509,MATCH(SUBSTITUTE(SUBSTITUTE(SUBSTITUTE("P:"&amp;A1726,"~","~~"),"*","~*"),"?","~?"),Processos!$AS$10:$AS$509,0)))-9),0)</f>
        <v>0</v>
      </c>
      <c r="K1726" s="34" t="str">
        <f t="shared" si="107"/>
        <v/>
      </c>
      <c r="L1726" s="14">
        <f>ROW()</f>
        <v>1726</v>
      </c>
    </row>
    <row r="1727" spans="1:12" ht="60" customHeight="1">
      <c r="A1727" s="41"/>
      <c r="B1727" s="43"/>
      <c r="C1727" s="44"/>
      <c r="D1727" s="51"/>
      <c r="E1727" s="44"/>
      <c r="F1727" s="44"/>
      <c r="G1727" s="34">
        <f t="shared" si="104"/>
        <v>0</v>
      </c>
      <c r="H1727" s="34" t="str">
        <f t="shared" si="105"/>
        <v/>
      </c>
      <c r="I1727" s="52" t="str">
        <f t="shared" si="106"/>
        <v/>
      </c>
      <c r="J1727" s="34">
        <f>IF(AND(A1727&lt;&gt;"",ISTEXT(A1727),COUNTIFS(Processos!$AS$10:$AS$509,"="&amp;SUBSTITUTE(SUBSTITUTE(SUBSTITUTE("P:"&amp;A1727,"~","~~"),"*","~*"),"?","~?"))=1),(IF(ISNA(MATCH(SUBSTITUTE(SUBSTITUTE(SUBSTITUTE("P:"&amp;A1727,"~","~~"),"*","~*"),"?","~?"),Processos!$AS$10:$AS$509,0)),9,INDEX(Processos!$AM$10:$AM$509,MATCH(SUBSTITUTE(SUBSTITUTE(SUBSTITUTE("P:"&amp;A1727,"~","~~"),"*","~*"),"?","~?"),Processos!$AS$10:$AS$509,0)))-9),0)</f>
        <v>0</v>
      </c>
      <c r="K1727" s="34" t="str">
        <f t="shared" si="107"/>
        <v/>
      </c>
      <c r="L1727" s="14">
        <f>ROW()</f>
        <v>1727</v>
      </c>
    </row>
    <row r="1728" spans="1:12" ht="60" customHeight="1">
      <c r="A1728" s="41"/>
      <c r="B1728" s="43"/>
      <c r="C1728" s="44"/>
      <c r="D1728" s="51"/>
      <c r="E1728" s="44"/>
      <c r="F1728" s="44"/>
      <c r="G1728" s="34">
        <f t="shared" si="104"/>
        <v>0</v>
      </c>
      <c r="H1728" s="34" t="str">
        <f t="shared" si="105"/>
        <v/>
      </c>
      <c r="I1728" s="52" t="str">
        <f t="shared" si="106"/>
        <v/>
      </c>
      <c r="J1728" s="34">
        <f>IF(AND(A1728&lt;&gt;"",ISTEXT(A1728),COUNTIFS(Processos!$AS$10:$AS$509,"="&amp;SUBSTITUTE(SUBSTITUTE(SUBSTITUTE("P:"&amp;A1728,"~","~~"),"*","~*"),"?","~?"))=1),(IF(ISNA(MATCH(SUBSTITUTE(SUBSTITUTE(SUBSTITUTE("P:"&amp;A1728,"~","~~"),"*","~*"),"?","~?"),Processos!$AS$10:$AS$509,0)),9,INDEX(Processos!$AM$10:$AM$509,MATCH(SUBSTITUTE(SUBSTITUTE(SUBSTITUTE("P:"&amp;A1728,"~","~~"),"*","~*"),"?","~?"),Processos!$AS$10:$AS$509,0)))-9),0)</f>
        <v>0</v>
      </c>
      <c r="K1728" s="34" t="str">
        <f t="shared" si="107"/>
        <v/>
      </c>
      <c r="L1728" s="14">
        <f>ROW()</f>
        <v>1728</v>
      </c>
    </row>
    <row r="1729" spans="1:12" ht="60" customHeight="1">
      <c r="A1729" s="41"/>
      <c r="B1729" s="43"/>
      <c r="C1729" s="44"/>
      <c r="D1729" s="51"/>
      <c r="E1729" s="44"/>
      <c r="F1729" s="44"/>
      <c r="G1729" s="34">
        <f t="shared" si="104"/>
        <v>0</v>
      </c>
      <c r="H1729" s="34" t="str">
        <f t="shared" si="105"/>
        <v/>
      </c>
      <c r="I1729" s="52" t="str">
        <f t="shared" si="106"/>
        <v/>
      </c>
      <c r="J1729" s="34">
        <f>IF(AND(A1729&lt;&gt;"",ISTEXT(A1729),COUNTIFS(Processos!$AS$10:$AS$509,"="&amp;SUBSTITUTE(SUBSTITUTE(SUBSTITUTE("P:"&amp;A1729,"~","~~"),"*","~*"),"?","~?"))=1),(IF(ISNA(MATCH(SUBSTITUTE(SUBSTITUTE(SUBSTITUTE("P:"&amp;A1729,"~","~~"),"*","~*"),"?","~?"),Processos!$AS$10:$AS$509,0)),9,INDEX(Processos!$AM$10:$AM$509,MATCH(SUBSTITUTE(SUBSTITUTE(SUBSTITUTE("P:"&amp;A1729,"~","~~"),"*","~*"),"?","~?"),Processos!$AS$10:$AS$509,0)))-9),0)</f>
        <v>0</v>
      </c>
      <c r="K1729" s="34" t="str">
        <f t="shared" si="107"/>
        <v/>
      </c>
      <c r="L1729" s="14">
        <f>ROW()</f>
        <v>1729</v>
      </c>
    </row>
    <row r="1730" spans="1:12" ht="60" customHeight="1">
      <c r="A1730" s="41"/>
      <c r="B1730" s="43"/>
      <c r="C1730" s="44"/>
      <c r="D1730" s="51"/>
      <c r="E1730" s="44"/>
      <c r="F1730" s="44"/>
      <c r="G1730" s="34">
        <f t="shared" si="104"/>
        <v>0</v>
      </c>
      <c r="H1730" s="34" t="str">
        <f t="shared" si="105"/>
        <v/>
      </c>
      <c r="I1730" s="52" t="str">
        <f t="shared" si="106"/>
        <v/>
      </c>
      <c r="J1730" s="34">
        <f>IF(AND(A1730&lt;&gt;"",ISTEXT(A1730),COUNTIFS(Processos!$AS$10:$AS$509,"="&amp;SUBSTITUTE(SUBSTITUTE(SUBSTITUTE("P:"&amp;A1730,"~","~~"),"*","~*"),"?","~?"))=1),(IF(ISNA(MATCH(SUBSTITUTE(SUBSTITUTE(SUBSTITUTE("P:"&amp;A1730,"~","~~"),"*","~*"),"?","~?"),Processos!$AS$10:$AS$509,0)),9,INDEX(Processos!$AM$10:$AM$509,MATCH(SUBSTITUTE(SUBSTITUTE(SUBSTITUTE("P:"&amp;A1730,"~","~~"),"*","~*"),"?","~?"),Processos!$AS$10:$AS$509,0)))-9),0)</f>
        <v>0</v>
      </c>
      <c r="K1730" s="34" t="str">
        <f t="shared" si="107"/>
        <v/>
      </c>
      <c r="L1730" s="14">
        <f>ROW()</f>
        <v>1730</v>
      </c>
    </row>
    <row r="1731" spans="1:12" ht="60" customHeight="1">
      <c r="A1731" s="41"/>
      <c r="B1731" s="43"/>
      <c r="C1731" s="44"/>
      <c r="D1731" s="51"/>
      <c r="E1731" s="44"/>
      <c r="F1731" s="44"/>
      <c r="G1731" s="34">
        <f t="shared" si="104"/>
        <v>0</v>
      </c>
      <c r="H1731" s="34" t="str">
        <f t="shared" si="105"/>
        <v/>
      </c>
      <c r="I1731" s="52" t="str">
        <f t="shared" si="106"/>
        <v/>
      </c>
      <c r="J1731" s="34">
        <f>IF(AND(A1731&lt;&gt;"",ISTEXT(A1731),COUNTIFS(Processos!$AS$10:$AS$509,"="&amp;SUBSTITUTE(SUBSTITUTE(SUBSTITUTE("P:"&amp;A1731,"~","~~"),"*","~*"),"?","~?"))=1),(IF(ISNA(MATCH(SUBSTITUTE(SUBSTITUTE(SUBSTITUTE("P:"&amp;A1731,"~","~~"),"*","~*"),"?","~?"),Processos!$AS$10:$AS$509,0)),9,INDEX(Processos!$AM$10:$AM$509,MATCH(SUBSTITUTE(SUBSTITUTE(SUBSTITUTE("P:"&amp;A1731,"~","~~"),"*","~*"),"?","~?"),Processos!$AS$10:$AS$509,0)))-9),0)</f>
        <v>0</v>
      </c>
      <c r="K1731" s="34" t="str">
        <f t="shared" si="107"/>
        <v/>
      </c>
      <c r="L1731" s="14">
        <f>ROW()</f>
        <v>1731</v>
      </c>
    </row>
    <row r="1732" spans="1:12" ht="60" customHeight="1">
      <c r="A1732" s="41"/>
      <c r="B1732" s="43"/>
      <c r="C1732" s="44"/>
      <c r="D1732" s="51"/>
      <c r="E1732" s="44"/>
      <c r="F1732" s="44"/>
      <c r="G1732" s="34">
        <f t="shared" si="104"/>
        <v>0</v>
      </c>
      <c r="H1732" s="34" t="str">
        <f t="shared" si="105"/>
        <v/>
      </c>
      <c r="I1732" s="52" t="str">
        <f t="shared" si="106"/>
        <v/>
      </c>
      <c r="J1732" s="34">
        <f>IF(AND(A1732&lt;&gt;"",ISTEXT(A1732),COUNTIFS(Processos!$AS$10:$AS$509,"="&amp;SUBSTITUTE(SUBSTITUTE(SUBSTITUTE("P:"&amp;A1732,"~","~~"),"*","~*"),"?","~?"))=1),(IF(ISNA(MATCH(SUBSTITUTE(SUBSTITUTE(SUBSTITUTE("P:"&amp;A1732,"~","~~"),"*","~*"),"?","~?"),Processos!$AS$10:$AS$509,0)),9,INDEX(Processos!$AM$10:$AM$509,MATCH(SUBSTITUTE(SUBSTITUTE(SUBSTITUTE("P:"&amp;A1732,"~","~~"),"*","~*"),"?","~?"),Processos!$AS$10:$AS$509,0)))-9),0)</f>
        <v>0</v>
      </c>
      <c r="K1732" s="34" t="str">
        <f t="shared" si="107"/>
        <v/>
      </c>
      <c r="L1732" s="14">
        <f>ROW()</f>
        <v>1732</v>
      </c>
    </row>
    <row r="1733" spans="1:12" ht="60" customHeight="1">
      <c r="A1733" s="41"/>
      <c r="B1733" s="43"/>
      <c r="C1733" s="44"/>
      <c r="D1733" s="51"/>
      <c r="E1733" s="44"/>
      <c r="F1733" s="44"/>
      <c r="G1733" s="34">
        <f t="shared" si="104"/>
        <v>0</v>
      </c>
      <c r="H1733" s="34" t="str">
        <f t="shared" si="105"/>
        <v/>
      </c>
      <c r="I1733" s="52" t="str">
        <f t="shared" si="106"/>
        <v/>
      </c>
      <c r="J1733" s="34">
        <f>IF(AND(A1733&lt;&gt;"",ISTEXT(A1733),COUNTIFS(Processos!$AS$10:$AS$509,"="&amp;SUBSTITUTE(SUBSTITUTE(SUBSTITUTE("P:"&amp;A1733,"~","~~"),"*","~*"),"?","~?"))=1),(IF(ISNA(MATCH(SUBSTITUTE(SUBSTITUTE(SUBSTITUTE("P:"&amp;A1733,"~","~~"),"*","~*"),"?","~?"),Processos!$AS$10:$AS$509,0)),9,INDEX(Processos!$AM$10:$AM$509,MATCH(SUBSTITUTE(SUBSTITUTE(SUBSTITUTE("P:"&amp;A1733,"~","~~"),"*","~*"),"?","~?"),Processos!$AS$10:$AS$509,0)))-9),0)</f>
        <v>0</v>
      </c>
      <c r="K1733" s="34" t="str">
        <f t="shared" si="107"/>
        <v/>
      </c>
      <c r="L1733" s="14">
        <f>ROW()</f>
        <v>1733</v>
      </c>
    </row>
    <row r="1734" spans="1:12" ht="60" customHeight="1">
      <c r="A1734" s="41"/>
      <c r="B1734" s="43"/>
      <c r="C1734" s="44"/>
      <c r="D1734" s="51"/>
      <c r="E1734" s="44"/>
      <c r="F1734" s="44"/>
      <c r="G1734" s="34">
        <f t="shared" si="104"/>
        <v>0</v>
      </c>
      <c r="H1734" s="34" t="str">
        <f t="shared" si="105"/>
        <v/>
      </c>
      <c r="I1734" s="52" t="str">
        <f t="shared" si="106"/>
        <v/>
      </c>
      <c r="J1734" s="34">
        <f>IF(AND(A1734&lt;&gt;"",ISTEXT(A1734),COUNTIFS(Processos!$AS$10:$AS$509,"="&amp;SUBSTITUTE(SUBSTITUTE(SUBSTITUTE("P:"&amp;A1734,"~","~~"),"*","~*"),"?","~?"))=1),(IF(ISNA(MATCH(SUBSTITUTE(SUBSTITUTE(SUBSTITUTE("P:"&amp;A1734,"~","~~"),"*","~*"),"?","~?"),Processos!$AS$10:$AS$509,0)),9,INDEX(Processos!$AM$10:$AM$509,MATCH(SUBSTITUTE(SUBSTITUTE(SUBSTITUTE("P:"&amp;A1734,"~","~~"),"*","~*"),"?","~?"),Processos!$AS$10:$AS$509,0)))-9),0)</f>
        <v>0</v>
      </c>
      <c r="K1734" s="34" t="str">
        <f t="shared" si="107"/>
        <v/>
      </c>
      <c r="L1734" s="14">
        <f>ROW()</f>
        <v>1734</v>
      </c>
    </row>
    <row r="1735" spans="1:12" ht="60" customHeight="1">
      <c r="A1735" s="41"/>
      <c r="B1735" s="43"/>
      <c r="C1735" s="44"/>
      <c r="D1735" s="51"/>
      <c r="E1735" s="44"/>
      <c r="F1735" s="44"/>
      <c r="G1735" s="34">
        <f t="shared" si="104"/>
        <v>0</v>
      </c>
      <c r="H1735" s="34" t="str">
        <f t="shared" si="105"/>
        <v/>
      </c>
      <c r="I1735" s="52" t="str">
        <f t="shared" si="106"/>
        <v/>
      </c>
      <c r="J1735" s="34">
        <f>IF(AND(A1735&lt;&gt;"",ISTEXT(A1735),COUNTIFS(Processos!$AS$10:$AS$509,"="&amp;SUBSTITUTE(SUBSTITUTE(SUBSTITUTE("P:"&amp;A1735,"~","~~"),"*","~*"),"?","~?"))=1),(IF(ISNA(MATCH(SUBSTITUTE(SUBSTITUTE(SUBSTITUTE("P:"&amp;A1735,"~","~~"),"*","~*"),"?","~?"),Processos!$AS$10:$AS$509,0)),9,INDEX(Processos!$AM$10:$AM$509,MATCH(SUBSTITUTE(SUBSTITUTE(SUBSTITUTE("P:"&amp;A1735,"~","~~"),"*","~*"),"?","~?"),Processos!$AS$10:$AS$509,0)))-9),0)</f>
        <v>0</v>
      </c>
      <c r="K1735" s="34" t="str">
        <f t="shared" si="107"/>
        <v/>
      </c>
      <c r="L1735" s="14">
        <f>ROW()</f>
        <v>1735</v>
      </c>
    </row>
    <row r="1736" spans="1:12" ht="60" customHeight="1">
      <c r="A1736" s="41"/>
      <c r="B1736" s="43"/>
      <c r="C1736" s="44"/>
      <c r="D1736" s="51"/>
      <c r="E1736" s="44"/>
      <c r="F1736" s="44"/>
      <c r="G1736" s="34">
        <f t="shared" si="104"/>
        <v>0</v>
      </c>
      <c r="H1736" s="34" t="str">
        <f t="shared" si="105"/>
        <v/>
      </c>
      <c r="I1736" s="52" t="str">
        <f t="shared" si="106"/>
        <v/>
      </c>
      <c r="J1736" s="34">
        <f>IF(AND(A1736&lt;&gt;"",ISTEXT(A1736),COUNTIFS(Processos!$AS$10:$AS$509,"="&amp;SUBSTITUTE(SUBSTITUTE(SUBSTITUTE("P:"&amp;A1736,"~","~~"),"*","~*"),"?","~?"))=1),(IF(ISNA(MATCH(SUBSTITUTE(SUBSTITUTE(SUBSTITUTE("P:"&amp;A1736,"~","~~"),"*","~*"),"?","~?"),Processos!$AS$10:$AS$509,0)),9,INDEX(Processos!$AM$10:$AM$509,MATCH(SUBSTITUTE(SUBSTITUTE(SUBSTITUTE("P:"&amp;A1736,"~","~~"),"*","~*"),"?","~?"),Processos!$AS$10:$AS$509,0)))-9),0)</f>
        <v>0</v>
      </c>
      <c r="K1736" s="34" t="str">
        <f t="shared" si="107"/>
        <v/>
      </c>
      <c r="L1736" s="14">
        <f>ROW()</f>
        <v>1736</v>
      </c>
    </row>
    <row r="1737" spans="1:12" ht="60" customHeight="1">
      <c r="A1737" s="41"/>
      <c r="B1737" s="43"/>
      <c r="C1737" s="44"/>
      <c r="D1737" s="51"/>
      <c r="E1737" s="44"/>
      <c r="F1737" s="44"/>
      <c r="G1737" s="34">
        <f t="shared" si="104"/>
        <v>0</v>
      </c>
      <c r="H1737" s="34" t="str">
        <f t="shared" si="105"/>
        <v/>
      </c>
      <c r="I1737" s="52" t="str">
        <f t="shared" si="106"/>
        <v/>
      </c>
      <c r="J1737" s="34">
        <f>IF(AND(A1737&lt;&gt;"",ISTEXT(A1737),COUNTIFS(Processos!$AS$10:$AS$509,"="&amp;SUBSTITUTE(SUBSTITUTE(SUBSTITUTE("P:"&amp;A1737,"~","~~"),"*","~*"),"?","~?"))=1),(IF(ISNA(MATCH(SUBSTITUTE(SUBSTITUTE(SUBSTITUTE("P:"&amp;A1737,"~","~~"),"*","~*"),"?","~?"),Processos!$AS$10:$AS$509,0)),9,INDEX(Processos!$AM$10:$AM$509,MATCH(SUBSTITUTE(SUBSTITUTE(SUBSTITUTE("P:"&amp;A1737,"~","~~"),"*","~*"),"?","~?"),Processos!$AS$10:$AS$509,0)))-9),0)</f>
        <v>0</v>
      </c>
      <c r="K1737" s="34" t="str">
        <f t="shared" si="107"/>
        <v/>
      </c>
      <c r="L1737" s="14">
        <f>ROW()</f>
        <v>1737</v>
      </c>
    </row>
    <row r="1738" spans="1:12" ht="60" customHeight="1">
      <c r="A1738" s="41"/>
      <c r="B1738" s="43"/>
      <c r="C1738" s="44"/>
      <c r="D1738" s="51"/>
      <c r="E1738" s="44"/>
      <c r="F1738" s="44"/>
      <c r="G1738" s="34">
        <f t="shared" ref="G1738:G1801" si="108">IF(AND(J1738&gt;0,OR(B1738="",AND(ISNUMBER(B1738),B1738&gt;=1,B1738&lt;=100000)),ISNUMBER(D1738),D1738&gt;=1,D1738&lt;=100000,C1738&lt;&gt;""),1,0)</f>
        <v>0</v>
      </c>
      <c r="H1738" s="34" t="str">
        <f t="shared" ref="H1738:H1801" si="109">IF(G1738=1,K1738&amp;"|"&amp;D1738,"")</f>
        <v/>
      </c>
      <c r="I1738" s="52" t="str">
        <f t="shared" ref="I1738:I1801" si="110">IF(COUNTA(A1738:F1738)=0,"",IF(A1738="","Selecione o processo",IF(J1738=0,"Processo inexistente, duplicado ou número não textual",IF(B1738="","Informe a data do andamento",IF(C1738="","Descreva o andamento",IF(D1738="","Informe a data e hora do recebimento",IF(OR(NOT(ISNUMBER(B1738)),B1738&lt;1,B1738&gt;100000),"Revise a data do andamento",IF(OR(NOT(ISNUMBER(D1738)),D1738&lt;1,D1738&gt;100000),"Revise a data e hora do recebimento",IF(COUNTIFS($K$10:$K$2009,"="&amp;SUBSTITUTE(SUBSTITUTE(SUBSTITUTE("P:"&amp;A1738,"~","~~"),"*","~*"),"?","~?"),$D$10:$D$2009,D1738,$G$10:$G$2009,1)&gt;1,"Recebimentos empatados: revise a hora ou consolide o registro","")))))))))</f>
        <v/>
      </c>
      <c r="J1738" s="34">
        <f>IF(AND(A1738&lt;&gt;"",ISTEXT(A1738),COUNTIFS(Processos!$AS$10:$AS$509,"="&amp;SUBSTITUTE(SUBSTITUTE(SUBSTITUTE("P:"&amp;A1738,"~","~~"),"*","~*"),"?","~?"))=1),(IF(ISNA(MATCH(SUBSTITUTE(SUBSTITUTE(SUBSTITUTE("P:"&amp;A1738,"~","~~"),"*","~*"),"?","~?"),Processos!$AS$10:$AS$509,0)),9,INDEX(Processos!$AM$10:$AM$509,MATCH(SUBSTITUTE(SUBSTITUTE(SUBSTITUTE("P:"&amp;A1738,"~","~~"),"*","~*"),"?","~?"),Processos!$AS$10:$AS$509,0)))-9),0)</f>
        <v>0</v>
      </c>
      <c r="K1738" s="34" t="str">
        <f t="shared" ref="K1738:K1801" si="111">IF(AND(A1738&lt;&gt;"",ISTEXT(A1738)),"P:"&amp;A1738,"")</f>
        <v/>
      </c>
      <c r="L1738" s="14">
        <f>ROW()</f>
        <v>1738</v>
      </c>
    </row>
    <row r="1739" spans="1:12" ht="60" customHeight="1">
      <c r="A1739" s="41"/>
      <c r="B1739" s="43"/>
      <c r="C1739" s="44"/>
      <c r="D1739" s="51"/>
      <c r="E1739" s="44"/>
      <c r="F1739" s="44"/>
      <c r="G1739" s="34">
        <f t="shared" si="108"/>
        <v>0</v>
      </c>
      <c r="H1739" s="34" t="str">
        <f t="shared" si="109"/>
        <v/>
      </c>
      <c r="I1739" s="52" t="str">
        <f t="shared" si="110"/>
        <v/>
      </c>
      <c r="J1739" s="34">
        <f>IF(AND(A1739&lt;&gt;"",ISTEXT(A1739),COUNTIFS(Processos!$AS$10:$AS$509,"="&amp;SUBSTITUTE(SUBSTITUTE(SUBSTITUTE("P:"&amp;A1739,"~","~~"),"*","~*"),"?","~?"))=1),(IF(ISNA(MATCH(SUBSTITUTE(SUBSTITUTE(SUBSTITUTE("P:"&amp;A1739,"~","~~"),"*","~*"),"?","~?"),Processos!$AS$10:$AS$509,0)),9,INDEX(Processos!$AM$10:$AM$509,MATCH(SUBSTITUTE(SUBSTITUTE(SUBSTITUTE("P:"&amp;A1739,"~","~~"),"*","~*"),"?","~?"),Processos!$AS$10:$AS$509,0)))-9),0)</f>
        <v>0</v>
      </c>
      <c r="K1739" s="34" t="str">
        <f t="shared" si="111"/>
        <v/>
      </c>
      <c r="L1739" s="14">
        <f>ROW()</f>
        <v>1739</v>
      </c>
    </row>
    <row r="1740" spans="1:12" ht="60" customHeight="1">
      <c r="A1740" s="41"/>
      <c r="B1740" s="43"/>
      <c r="C1740" s="44"/>
      <c r="D1740" s="51"/>
      <c r="E1740" s="44"/>
      <c r="F1740" s="44"/>
      <c r="G1740" s="34">
        <f t="shared" si="108"/>
        <v>0</v>
      </c>
      <c r="H1740" s="34" t="str">
        <f t="shared" si="109"/>
        <v/>
      </c>
      <c r="I1740" s="52" t="str">
        <f t="shared" si="110"/>
        <v/>
      </c>
      <c r="J1740" s="34">
        <f>IF(AND(A1740&lt;&gt;"",ISTEXT(A1740),COUNTIFS(Processos!$AS$10:$AS$509,"="&amp;SUBSTITUTE(SUBSTITUTE(SUBSTITUTE("P:"&amp;A1740,"~","~~"),"*","~*"),"?","~?"))=1),(IF(ISNA(MATCH(SUBSTITUTE(SUBSTITUTE(SUBSTITUTE("P:"&amp;A1740,"~","~~"),"*","~*"),"?","~?"),Processos!$AS$10:$AS$509,0)),9,INDEX(Processos!$AM$10:$AM$509,MATCH(SUBSTITUTE(SUBSTITUTE(SUBSTITUTE("P:"&amp;A1740,"~","~~"),"*","~*"),"?","~?"),Processos!$AS$10:$AS$509,0)))-9),0)</f>
        <v>0</v>
      </c>
      <c r="K1740" s="34" t="str">
        <f t="shared" si="111"/>
        <v/>
      </c>
      <c r="L1740" s="14">
        <f>ROW()</f>
        <v>1740</v>
      </c>
    </row>
    <row r="1741" spans="1:12" ht="60" customHeight="1">
      <c r="A1741" s="41"/>
      <c r="B1741" s="43"/>
      <c r="C1741" s="44"/>
      <c r="D1741" s="51"/>
      <c r="E1741" s="44"/>
      <c r="F1741" s="44"/>
      <c r="G1741" s="34">
        <f t="shared" si="108"/>
        <v>0</v>
      </c>
      <c r="H1741" s="34" t="str">
        <f t="shared" si="109"/>
        <v/>
      </c>
      <c r="I1741" s="52" t="str">
        <f t="shared" si="110"/>
        <v/>
      </c>
      <c r="J1741" s="34">
        <f>IF(AND(A1741&lt;&gt;"",ISTEXT(A1741),COUNTIFS(Processos!$AS$10:$AS$509,"="&amp;SUBSTITUTE(SUBSTITUTE(SUBSTITUTE("P:"&amp;A1741,"~","~~"),"*","~*"),"?","~?"))=1),(IF(ISNA(MATCH(SUBSTITUTE(SUBSTITUTE(SUBSTITUTE("P:"&amp;A1741,"~","~~"),"*","~*"),"?","~?"),Processos!$AS$10:$AS$509,0)),9,INDEX(Processos!$AM$10:$AM$509,MATCH(SUBSTITUTE(SUBSTITUTE(SUBSTITUTE("P:"&amp;A1741,"~","~~"),"*","~*"),"?","~?"),Processos!$AS$10:$AS$509,0)))-9),0)</f>
        <v>0</v>
      </c>
      <c r="K1741" s="34" t="str">
        <f t="shared" si="111"/>
        <v/>
      </c>
      <c r="L1741" s="14">
        <f>ROW()</f>
        <v>1741</v>
      </c>
    </row>
    <row r="1742" spans="1:12" ht="60" customHeight="1">
      <c r="A1742" s="41"/>
      <c r="B1742" s="43"/>
      <c r="C1742" s="44"/>
      <c r="D1742" s="51"/>
      <c r="E1742" s="44"/>
      <c r="F1742" s="44"/>
      <c r="G1742" s="34">
        <f t="shared" si="108"/>
        <v>0</v>
      </c>
      <c r="H1742" s="34" t="str">
        <f t="shared" si="109"/>
        <v/>
      </c>
      <c r="I1742" s="52" t="str">
        <f t="shared" si="110"/>
        <v/>
      </c>
      <c r="J1742" s="34">
        <f>IF(AND(A1742&lt;&gt;"",ISTEXT(A1742),COUNTIFS(Processos!$AS$10:$AS$509,"="&amp;SUBSTITUTE(SUBSTITUTE(SUBSTITUTE("P:"&amp;A1742,"~","~~"),"*","~*"),"?","~?"))=1),(IF(ISNA(MATCH(SUBSTITUTE(SUBSTITUTE(SUBSTITUTE("P:"&amp;A1742,"~","~~"),"*","~*"),"?","~?"),Processos!$AS$10:$AS$509,0)),9,INDEX(Processos!$AM$10:$AM$509,MATCH(SUBSTITUTE(SUBSTITUTE(SUBSTITUTE("P:"&amp;A1742,"~","~~"),"*","~*"),"?","~?"),Processos!$AS$10:$AS$509,0)))-9),0)</f>
        <v>0</v>
      </c>
      <c r="K1742" s="34" t="str">
        <f t="shared" si="111"/>
        <v/>
      </c>
      <c r="L1742" s="14">
        <f>ROW()</f>
        <v>1742</v>
      </c>
    </row>
    <row r="1743" spans="1:12" ht="60" customHeight="1">
      <c r="A1743" s="41"/>
      <c r="B1743" s="43"/>
      <c r="C1743" s="44"/>
      <c r="D1743" s="51"/>
      <c r="E1743" s="44"/>
      <c r="F1743" s="44"/>
      <c r="G1743" s="34">
        <f t="shared" si="108"/>
        <v>0</v>
      </c>
      <c r="H1743" s="34" t="str">
        <f t="shared" si="109"/>
        <v/>
      </c>
      <c r="I1743" s="52" t="str">
        <f t="shared" si="110"/>
        <v/>
      </c>
      <c r="J1743" s="34">
        <f>IF(AND(A1743&lt;&gt;"",ISTEXT(A1743),COUNTIFS(Processos!$AS$10:$AS$509,"="&amp;SUBSTITUTE(SUBSTITUTE(SUBSTITUTE("P:"&amp;A1743,"~","~~"),"*","~*"),"?","~?"))=1),(IF(ISNA(MATCH(SUBSTITUTE(SUBSTITUTE(SUBSTITUTE("P:"&amp;A1743,"~","~~"),"*","~*"),"?","~?"),Processos!$AS$10:$AS$509,0)),9,INDEX(Processos!$AM$10:$AM$509,MATCH(SUBSTITUTE(SUBSTITUTE(SUBSTITUTE("P:"&amp;A1743,"~","~~"),"*","~*"),"?","~?"),Processos!$AS$10:$AS$509,0)))-9),0)</f>
        <v>0</v>
      </c>
      <c r="K1743" s="34" t="str">
        <f t="shared" si="111"/>
        <v/>
      </c>
      <c r="L1743" s="14">
        <f>ROW()</f>
        <v>1743</v>
      </c>
    </row>
    <row r="1744" spans="1:12" ht="60" customHeight="1">
      <c r="A1744" s="41"/>
      <c r="B1744" s="43"/>
      <c r="C1744" s="44"/>
      <c r="D1744" s="51"/>
      <c r="E1744" s="44"/>
      <c r="F1744" s="44"/>
      <c r="G1744" s="34">
        <f t="shared" si="108"/>
        <v>0</v>
      </c>
      <c r="H1744" s="34" t="str">
        <f t="shared" si="109"/>
        <v/>
      </c>
      <c r="I1744" s="52" t="str">
        <f t="shared" si="110"/>
        <v/>
      </c>
      <c r="J1744" s="34">
        <f>IF(AND(A1744&lt;&gt;"",ISTEXT(A1744),COUNTIFS(Processos!$AS$10:$AS$509,"="&amp;SUBSTITUTE(SUBSTITUTE(SUBSTITUTE("P:"&amp;A1744,"~","~~"),"*","~*"),"?","~?"))=1),(IF(ISNA(MATCH(SUBSTITUTE(SUBSTITUTE(SUBSTITUTE("P:"&amp;A1744,"~","~~"),"*","~*"),"?","~?"),Processos!$AS$10:$AS$509,0)),9,INDEX(Processos!$AM$10:$AM$509,MATCH(SUBSTITUTE(SUBSTITUTE(SUBSTITUTE("P:"&amp;A1744,"~","~~"),"*","~*"),"?","~?"),Processos!$AS$10:$AS$509,0)))-9),0)</f>
        <v>0</v>
      </c>
      <c r="K1744" s="34" t="str">
        <f t="shared" si="111"/>
        <v/>
      </c>
      <c r="L1744" s="14">
        <f>ROW()</f>
        <v>1744</v>
      </c>
    </row>
    <row r="1745" spans="1:12" ht="60" customHeight="1">
      <c r="A1745" s="41"/>
      <c r="B1745" s="43"/>
      <c r="C1745" s="44"/>
      <c r="D1745" s="51"/>
      <c r="E1745" s="44"/>
      <c r="F1745" s="44"/>
      <c r="G1745" s="34">
        <f t="shared" si="108"/>
        <v>0</v>
      </c>
      <c r="H1745" s="34" t="str">
        <f t="shared" si="109"/>
        <v/>
      </c>
      <c r="I1745" s="52" t="str">
        <f t="shared" si="110"/>
        <v/>
      </c>
      <c r="J1745" s="34">
        <f>IF(AND(A1745&lt;&gt;"",ISTEXT(A1745),COUNTIFS(Processos!$AS$10:$AS$509,"="&amp;SUBSTITUTE(SUBSTITUTE(SUBSTITUTE("P:"&amp;A1745,"~","~~"),"*","~*"),"?","~?"))=1),(IF(ISNA(MATCH(SUBSTITUTE(SUBSTITUTE(SUBSTITUTE("P:"&amp;A1745,"~","~~"),"*","~*"),"?","~?"),Processos!$AS$10:$AS$509,0)),9,INDEX(Processos!$AM$10:$AM$509,MATCH(SUBSTITUTE(SUBSTITUTE(SUBSTITUTE("P:"&amp;A1745,"~","~~"),"*","~*"),"?","~?"),Processos!$AS$10:$AS$509,0)))-9),0)</f>
        <v>0</v>
      </c>
      <c r="K1745" s="34" t="str">
        <f t="shared" si="111"/>
        <v/>
      </c>
      <c r="L1745" s="14">
        <f>ROW()</f>
        <v>1745</v>
      </c>
    </row>
    <row r="1746" spans="1:12" ht="60" customHeight="1">
      <c r="A1746" s="41"/>
      <c r="B1746" s="43"/>
      <c r="C1746" s="44"/>
      <c r="D1746" s="51"/>
      <c r="E1746" s="44"/>
      <c r="F1746" s="44"/>
      <c r="G1746" s="34">
        <f t="shared" si="108"/>
        <v>0</v>
      </c>
      <c r="H1746" s="34" t="str">
        <f t="shared" si="109"/>
        <v/>
      </c>
      <c r="I1746" s="52" t="str">
        <f t="shared" si="110"/>
        <v/>
      </c>
      <c r="J1746" s="34">
        <f>IF(AND(A1746&lt;&gt;"",ISTEXT(A1746),COUNTIFS(Processos!$AS$10:$AS$509,"="&amp;SUBSTITUTE(SUBSTITUTE(SUBSTITUTE("P:"&amp;A1746,"~","~~"),"*","~*"),"?","~?"))=1),(IF(ISNA(MATCH(SUBSTITUTE(SUBSTITUTE(SUBSTITUTE("P:"&amp;A1746,"~","~~"),"*","~*"),"?","~?"),Processos!$AS$10:$AS$509,0)),9,INDEX(Processos!$AM$10:$AM$509,MATCH(SUBSTITUTE(SUBSTITUTE(SUBSTITUTE("P:"&amp;A1746,"~","~~"),"*","~*"),"?","~?"),Processos!$AS$10:$AS$509,0)))-9),0)</f>
        <v>0</v>
      </c>
      <c r="K1746" s="34" t="str">
        <f t="shared" si="111"/>
        <v/>
      </c>
      <c r="L1746" s="14">
        <f>ROW()</f>
        <v>1746</v>
      </c>
    </row>
    <row r="1747" spans="1:12" ht="60" customHeight="1">
      <c r="A1747" s="41"/>
      <c r="B1747" s="43"/>
      <c r="C1747" s="44"/>
      <c r="D1747" s="51"/>
      <c r="E1747" s="44"/>
      <c r="F1747" s="44"/>
      <c r="G1747" s="34">
        <f t="shared" si="108"/>
        <v>0</v>
      </c>
      <c r="H1747" s="34" t="str">
        <f t="shared" si="109"/>
        <v/>
      </c>
      <c r="I1747" s="52" t="str">
        <f t="shared" si="110"/>
        <v/>
      </c>
      <c r="J1747" s="34">
        <f>IF(AND(A1747&lt;&gt;"",ISTEXT(A1747),COUNTIFS(Processos!$AS$10:$AS$509,"="&amp;SUBSTITUTE(SUBSTITUTE(SUBSTITUTE("P:"&amp;A1747,"~","~~"),"*","~*"),"?","~?"))=1),(IF(ISNA(MATCH(SUBSTITUTE(SUBSTITUTE(SUBSTITUTE("P:"&amp;A1747,"~","~~"),"*","~*"),"?","~?"),Processos!$AS$10:$AS$509,0)),9,INDEX(Processos!$AM$10:$AM$509,MATCH(SUBSTITUTE(SUBSTITUTE(SUBSTITUTE("P:"&amp;A1747,"~","~~"),"*","~*"),"?","~?"),Processos!$AS$10:$AS$509,0)))-9),0)</f>
        <v>0</v>
      </c>
      <c r="K1747" s="34" t="str">
        <f t="shared" si="111"/>
        <v/>
      </c>
      <c r="L1747" s="14">
        <f>ROW()</f>
        <v>1747</v>
      </c>
    </row>
    <row r="1748" spans="1:12" ht="60" customHeight="1">
      <c r="A1748" s="41"/>
      <c r="B1748" s="43"/>
      <c r="C1748" s="44"/>
      <c r="D1748" s="51"/>
      <c r="E1748" s="44"/>
      <c r="F1748" s="44"/>
      <c r="G1748" s="34">
        <f t="shared" si="108"/>
        <v>0</v>
      </c>
      <c r="H1748" s="34" t="str">
        <f t="shared" si="109"/>
        <v/>
      </c>
      <c r="I1748" s="52" t="str">
        <f t="shared" si="110"/>
        <v/>
      </c>
      <c r="J1748" s="34">
        <f>IF(AND(A1748&lt;&gt;"",ISTEXT(A1748),COUNTIFS(Processos!$AS$10:$AS$509,"="&amp;SUBSTITUTE(SUBSTITUTE(SUBSTITUTE("P:"&amp;A1748,"~","~~"),"*","~*"),"?","~?"))=1),(IF(ISNA(MATCH(SUBSTITUTE(SUBSTITUTE(SUBSTITUTE("P:"&amp;A1748,"~","~~"),"*","~*"),"?","~?"),Processos!$AS$10:$AS$509,0)),9,INDEX(Processos!$AM$10:$AM$509,MATCH(SUBSTITUTE(SUBSTITUTE(SUBSTITUTE("P:"&amp;A1748,"~","~~"),"*","~*"),"?","~?"),Processos!$AS$10:$AS$509,0)))-9),0)</f>
        <v>0</v>
      </c>
      <c r="K1748" s="34" t="str">
        <f t="shared" si="111"/>
        <v/>
      </c>
      <c r="L1748" s="14">
        <f>ROW()</f>
        <v>1748</v>
      </c>
    </row>
    <row r="1749" spans="1:12" ht="60" customHeight="1">
      <c r="A1749" s="41"/>
      <c r="B1749" s="43"/>
      <c r="C1749" s="44"/>
      <c r="D1749" s="51"/>
      <c r="E1749" s="44"/>
      <c r="F1749" s="44"/>
      <c r="G1749" s="34">
        <f t="shared" si="108"/>
        <v>0</v>
      </c>
      <c r="H1749" s="34" t="str">
        <f t="shared" si="109"/>
        <v/>
      </c>
      <c r="I1749" s="52" t="str">
        <f t="shared" si="110"/>
        <v/>
      </c>
      <c r="J1749" s="34">
        <f>IF(AND(A1749&lt;&gt;"",ISTEXT(A1749),COUNTIFS(Processos!$AS$10:$AS$509,"="&amp;SUBSTITUTE(SUBSTITUTE(SUBSTITUTE("P:"&amp;A1749,"~","~~"),"*","~*"),"?","~?"))=1),(IF(ISNA(MATCH(SUBSTITUTE(SUBSTITUTE(SUBSTITUTE("P:"&amp;A1749,"~","~~"),"*","~*"),"?","~?"),Processos!$AS$10:$AS$509,0)),9,INDEX(Processos!$AM$10:$AM$509,MATCH(SUBSTITUTE(SUBSTITUTE(SUBSTITUTE("P:"&amp;A1749,"~","~~"),"*","~*"),"?","~?"),Processos!$AS$10:$AS$509,0)))-9),0)</f>
        <v>0</v>
      </c>
      <c r="K1749" s="34" t="str">
        <f t="shared" si="111"/>
        <v/>
      </c>
      <c r="L1749" s="14">
        <f>ROW()</f>
        <v>1749</v>
      </c>
    </row>
    <row r="1750" spans="1:12" ht="60" customHeight="1">
      <c r="A1750" s="41"/>
      <c r="B1750" s="43"/>
      <c r="C1750" s="44"/>
      <c r="D1750" s="51"/>
      <c r="E1750" s="44"/>
      <c r="F1750" s="44"/>
      <c r="G1750" s="34">
        <f t="shared" si="108"/>
        <v>0</v>
      </c>
      <c r="H1750" s="34" t="str">
        <f t="shared" si="109"/>
        <v/>
      </c>
      <c r="I1750" s="52" t="str">
        <f t="shared" si="110"/>
        <v/>
      </c>
      <c r="J1750" s="34">
        <f>IF(AND(A1750&lt;&gt;"",ISTEXT(A1750),COUNTIFS(Processos!$AS$10:$AS$509,"="&amp;SUBSTITUTE(SUBSTITUTE(SUBSTITUTE("P:"&amp;A1750,"~","~~"),"*","~*"),"?","~?"))=1),(IF(ISNA(MATCH(SUBSTITUTE(SUBSTITUTE(SUBSTITUTE("P:"&amp;A1750,"~","~~"),"*","~*"),"?","~?"),Processos!$AS$10:$AS$509,0)),9,INDEX(Processos!$AM$10:$AM$509,MATCH(SUBSTITUTE(SUBSTITUTE(SUBSTITUTE("P:"&amp;A1750,"~","~~"),"*","~*"),"?","~?"),Processos!$AS$10:$AS$509,0)))-9),0)</f>
        <v>0</v>
      </c>
      <c r="K1750" s="34" t="str">
        <f t="shared" si="111"/>
        <v/>
      </c>
      <c r="L1750" s="14">
        <f>ROW()</f>
        <v>1750</v>
      </c>
    </row>
    <row r="1751" spans="1:12" ht="60" customHeight="1">
      <c r="A1751" s="41"/>
      <c r="B1751" s="43"/>
      <c r="C1751" s="44"/>
      <c r="D1751" s="51"/>
      <c r="E1751" s="44"/>
      <c r="F1751" s="44"/>
      <c r="G1751" s="34">
        <f t="shared" si="108"/>
        <v>0</v>
      </c>
      <c r="H1751" s="34" t="str">
        <f t="shared" si="109"/>
        <v/>
      </c>
      <c r="I1751" s="52" t="str">
        <f t="shared" si="110"/>
        <v/>
      </c>
      <c r="J1751" s="34">
        <f>IF(AND(A1751&lt;&gt;"",ISTEXT(A1751),COUNTIFS(Processos!$AS$10:$AS$509,"="&amp;SUBSTITUTE(SUBSTITUTE(SUBSTITUTE("P:"&amp;A1751,"~","~~"),"*","~*"),"?","~?"))=1),(IF(ISNA(MATCH(SUBSTITUTE(SUBSTITUTE(SUBSTITUTE("P:"&amp;A1751,"~","~~"),"*","~*"),"?","~?"),Processos!$AS$10:$AS$509,0)),9,INDEX(Processos!$AM$10:$AM$509,MATCH(SUBSTITUTE(SUBSTITUTE(SUBSTITUTE("P:"&amp;A1751,"~","~~"),"*","~*"),"?","~?"),Processos!$AS$10:$AS$509,0)))-9),0)</f>
        <v>0</v>
      </c>
      <c r="K1751" s="34" t="str">
        <f t="shared" si="111"/>
        <v/>
      </c>
      <c r="L1751" s="14">
        <f>ROW()</f>
        <v>1751</v>
      </c>
    </row>
    <row r="1752" spans="1:12" ht="60" customHeight="1">
      <c r="A1752" s="41"/>
      <c r="B1752" s="43"/>
      <c r="C1752" s="44"/>
      <c r="D1752" s="51"/>
      <c r="E1752" s="44"/>
      <c r="F1752" s="44"/>
      <c r="G1752" s="34">
        <f t="shared" si="108"/>
        <v>0</v>
      </c>
      <c r="H1752" s="34" t="str">
        <f t="shared" si="109"/>
        <v/>
      </c>
      <c r="I1752" s="52" t="str">
        <f t="shared" si="110"/>
        <v/>
      </c>
      <c r="J1752" s="34">
        <f>IF(AND(A1752&lt;&gt;"",ISTEXT(A1752),COUNTIFS(Processos!$AS$10:$AS$509,"="&amp;SUBSTITUTE(SUBSTITUTE(SUBSTITUTE("P:"&amp;A1752,"~","~~"),"*","~*"),"?","~?"))=1),(IF(ISNA(MATCH(SUBSTITUTE(SUBSTITUTE(SUBSTITUTE("P:"&amp;A1752,"~","~~"),"*","~*"),"?","~?"),Processos!$AS$10:$AS$509,0)),9,INDEX(Processos!$AM$10:$AM$509,MATCH(SUBSTITUTE(SUBSTITUTE(SUBSTITUTE("P:"&amp;A1752,"~","~~"),"*","~*"),"?","~?"),Processos!$AS$10:$AS$509,0)))-9),0)</f>
        <v>0</v>
      </c>
      <c r="K1752" s="34" t="str">
        <f t="shared" si="111"/>
        <v/>
      </c>
      <c r="L1752" s="14">
        <f>ROW()</f>
        <v>1752</v>
      </c>
    </row>
    <row r="1753" spans="1:12" ht="60" customHeight="1">
      <c r="A1753" s="41"/>
      <c r="B1753" s="43"/>
      <c r="C1753" s="44"/>
      <c r="D1753" s="51"/>
      <c r="E1753" s="44"/>
      <c r="F1753" s="44"/>
      <c r="G1753" s="34">
        <f t="shared" si="108"/>
        <v>0</v>
      </c>
      <c r="H1753" s="34" t="str">
        <f t="shared" si="109"/>
        <v/>
      </c>
      <c r="I1753" s="52" t="str">
        <f t="shared" si="110"/>
        <v/>
      </c>
      <c r="J1753" s="34">
        <f>IF(AND(A1753&lt;&gt;"",ISTEXT(A1753),COUNTIFS(Processos!$AS$10:$AS$509,"="&amp;SUBSTITUTE(SUBSTITUTE(SUBSTITUTE("P:"&amp;A1753,"~","~~"),"*","~*"),"?","~?"))=1),(IF(ISNA(MATCH(SUBSTITUTE(SUBSTITUTE(SUBSTITUTE("P:"&amp;A1753,"~","~~"),"*","~*"),"?","~?"),Processos!$AS$10:$AS$509,0)),9,INDEX(Processos!$AM$10:$AM$509,MATCH(SUBSTITUTE(SUBSTITUTE(SUBSTITUTE("P:"&amp;A1753,"~","~~"),"*","~*"),"?","~?"),Processos!$AS$10:$AS$509,0)))-9),0)</f>
        <v>0</v>
      </c>
      <c r="K1753" s="34" t="str">
        <f t="shared" si="111"/>
        <v/>
      </c>
      <c r="L1753" s="14">
        <f>ROW()</f>
        <v>1753</v>
      </c>
    </row>
    <row r="1754" spans="1:12" ht="60" customHeight="1">
      <c r="A1754" s="41"/>
      <c r="B1754" s="43"/>
      <c r="C1754" s="44"/>
      <c r="D1754" s="51"/>
      <c r="E1754" s="44"/>
      <c r="F1754" s="44"/>
      <c r="G1754" s="34">
        <f t="shared" si="108"/>
        <v>0</v>
      </c>
      <c r="H1754" s="34" t="str">
        <f t="shared" si="109"/>
        <v/>
      </c>
      <c r="I1754" s="52" t="str">
        <f t="shared" si="110"/>
        <v/>
      </c>
      <c r="J1754" s="34">
        <f>IF(AND(A1754&lt;&gt;"",ISTEXT(A1754),COUNTIFS(Processos!$AS$10:$AS$509,"="&amp;SUBSTITUTE(SUBSTITUTE(SUBSTITUTE("P:"&amp;A1754,"~","~~"),"*","~*"),"?","~?"))=1),(IF(ISNA(MATCH(SUBSTITUTE(SUBSTITUTE(SUBSTITUTE("P:"&amp;A1754,"~","~~"),"*","~*"),"?","~?"),Processos!$AS$10:$AS$509,0)),9,INDEX(Processos!$AM$10:$AM$509,MATCH(SUBSTITUTE(SUBSTITUTE(SUBSTITUTE("P:"&amp;A1754,"~","~~"),"*","~*"),"?","~?"),Processos!$AS$10:$AS$509,0)))-9),0)</f>
        <v>0</v>
      </c>
      <c r="K1754" s="34" t="str">
        <f t="shared" si="111"/>
        <v/>
      </c>
      <c r="L1754" s="14">
        <f>ROW()</f>
        <v>1754</v>
      </c>
    </row>
    <row r="1755" spans="1:12" ht="60" customHeight="1">
      <c r="A1755" s="41"/>
      <c r="B1755" s="43"/>
      <c r="C1755" s="44"/>
      <c r="D1755" s="51"/>
      <c r="E1755" s="44"/>
      <c r="F1755" s="44"/>
      <c r="G1755" s="34">
        <f t="shared" si="108"/>
        <v>0</v>
      </c>
      <c r="H1755" s="34" t="str">
        <f t="shared" si="109"/>
        <v/>
      </c>
      <c r="I1755" s="52" t="str">
        <f t="shared" si="110"/>
        <v/>
      </c>
      <c r="J1755" s="34">
        <f>IF(AND(A1755&lt;&gt;"",ISTEXT(A1755),COUNTIFS(Processos!$AS$10:$AS$509,"="&amp;SUBSTITUTE(SUBSTITUTE(SUBSTITUTE("P:"&amp;A1755,"~","~~"),"*","~*"),"?","~?"))=1),(IF(ISNA(MATCH(SUBSTITUTE(SUBSTITUTE(SUBSTITUTE("P:"&amp;A1755,"~","~~"),"*","~*"),"?","~?"),Processos!$AS$10:$AS$509,0)),9,INDEX(Processos!$AM$10:$AM$509,MATCH(SUBSTITUTE(SUBSTITUTE(SUBSTITUTE("P:"&amp;A1755,"~","~~"),"*","~*"),"?","~?"),Processos!$AS$10:$AS$509,0)))-9),0)</f>
        <v>0</v>
      </c>
      <c r="K1755" s="34" t="str">
        <f t="shared" si="111"/>
        <v/>
      </c>
      <c r="L1755" s="14">
        <f>ROW()</f>
        <v>1755</v>
      </c>
    </row>
    <row r="1756" spans="1:12" ht="60" customHeight="1">
      <c r="A1756" s="41"/>
      <c r="B1756" s="43"/>
      <c r="C1756" s="44"/>
      <c r="D1756" s="51"/>
      <c r="E1756" s="44"/>
      <c r="F1756" s="44"/>
      <c r="G1756" s="34">
        <f t="shared" si="108"/>
        <v>0</v>
      </c>
      <c r="H1756" s="34" t="str">
        <f t="shared" si="109"/>
        <v/>
      </c>
      <c r="I1756" s="52" t="str">
        <f t="shared" si="110"/>
        <v/>
      </c>
      <c r="J1756" s="34">
        <f>IF(AND(A1756&lt;&gt;"",ISTEXT(A1756),COUNTIFS(Processos!$AS$10:$AS$509,"="&amp;SUBSTITUTE(SUBSTITUTE(SUBSTITUTE("P:"&amp;A1756,"~","~~"),"*","~*"),"?","~?"))=1),(IF(ISNA(MATCH(SUBSTITUTE(SUBSTITUTE(SUBSTITUTE("P:"&amp;A1756,"~","~~"),"*","~*"),"?","~?"),Processos!$AS$10:$AS$509,0)),9,INDEX(Processos!$AM$10:$AM$509,MATCH(SUBSTITUTE(SUBSTITUTE(SUBSTITUTE("P:"&amp;A1756,"~","~~"),"*","~*"),"?","~?"),Processos!$AS$10:$AS$509,0)))-9),0)</f>
        <v>0</v>
      </c>
      <c r="K1756" s="34" t="str">
        <f t="shared" si="111"/>
        <v/>
      </c>
      <c r="L1756" s="14">
        <f>ROW()</f>
        <v>1756</v>
      </c>
    </row>
    <row r="1757" spans="1:12" ht="60" customHeight="1">
      <c r="A1757" s="41"/>
      <c r="B1757" s="43"/>
      <c r="C1757" s="44"/>
      <c r="D1757" s="51"/>
      <c r="E1757" s="44"/>
      <c r="F1757" s="44"/>
      <c r="G1757" s="34">
        <f t="shared" si="108"/>
        <v>0</v>
      </c>
      <c r="H1757" s="34" t="str">
        <f t="shared" si="109"/>
        <v/>
      </c>
      <c r="I1757" s="52" t="str">
        <f t="shared" si="110"/>
        <v/>
      </c>
      <c r="J1757" s="34">
        <f>IF(AND(A1757&lt;&gt;"",ISTEXT(A1757),COUNTIFS(Processos!$AS$10:$AS$509,"="&amp;SUBSTITUTE(SUBSTITUTE(SUBSTITUTE("P:"&amp;A1757,"~","~~"),"*","~*"),"?","~?"))=1),(IF(ISNA(MATCH(SUBSTITUTE(SUBSTITUTE(SUBSTITUTE("P:"&amp;A1757,"~","~~"),"*","~*"),"?","~?"),Processos!$AS$10:$AS$509,0)),9,INDEX(Processos!$AM$10:$AM$509,MATCH(SUBSTITUTE(SUBSTITUTE(SUBSTITUTE("P:"&amp;A1757,"~","~~"),"*","~*"),"?","~?"),Processos!$AS$10:$AS$509,0)))-9),0)</f>
        <v>0</v>
      </c>
      <c r="K1757" s="34" t="str">
        <f t="shared" si="111"/>
        <v/>
      </c>
      <c r="L1757" s="14">
        <f>ROW()</f>
        <v>1757</v>
      </c>
    </row>
    <row r="1758" spans="1:12" ht="60" customHeight="1">
      <c r="A1758" s="41"/>
      <c r="B1758" s="43"/>
      <c r="C1758" s="44"/>
      <c r="D1758" s="51"/>
      <c r="E1758" s="44"/>
      <c r="F1758" s="44"/>
      <c r="G1758" s="34">
        <f t="shared" si="108"/>
        <v>0</v>
      </c>
      <c r="H1758" s="34" t="str">
        <f t="shared" si="109"/>
        <v/>
      </c>
      <c r="I1758" s="52" t="str">
        <f t="shared" si="110"/>
        <v/>
      </c>
      <c r="J1758" s="34">
        <f>IF(AND(A1758&lt;&gt;"",ISTEXT(A1758),COUNTIFS(Processos!$AS$10:$AS$509,"="&amp;SUBSTITUTE(SUBSTITUTE(SUBSTITUTE("P:"&amp;A1758,"~","~~"),"*","~*"),"?","~?"))=1),(IF(ISNA(MATCH(SUBSTITUTE(SUBSTITUTE(SUBSTITUTE("P:"&amp;A1758,"~","~~"),"*","~*"),"?","~?"),Processos!$AS$10:$AS$509,0)),9,INDEX(Processos!$AM$10:$AM$509,MATCH(SUBSTITUTE(SUBSTITUTE(SUBSTITUTE("P:"&amp;A1758,"~","~~"),"*","~*"),"?","~?"),Processos!$AS$10:$AS$509,0)))-9),0)</f>
        <v>0</v>
      </c>
      <c r="K1758" s="34" t="str">
        <f t="shared" si="111"/>
        <v/>
      </c>
      <c r="L1758" s="14">
        <f>ROW()</f>
        <v>1758</v>
      </c>
    </row>
    <row r="1759" spans="1:12" ht="60" customHeight="1">
      <c r="A1759" s="41"/>
      <c r="B1759" s="43"/>
      <c r="C1759" s="44"/>
      <c r="D1759" s="51"/>
      <c r="E1759" s="44"/>
      <c r="F1759" s="44"/>
      <c r="G1759" s="34">
        <f t="shared" si="108"/>
        <v>0</v>
      </c>
      <c r="H1759" s="34" t="str">
        <f t="shared" si="109"/>
        <v/>
      </c>
      <c r="I1759" s="52" t="str">
        <f t="shared" si="110"/>
        <v/>
      </c>
      <c r="J1759" s="34">
        <f>IF(AND(A1759&lt;&gt;"",ISTEXT(A1759),COUNTIFS(Processos!$AS$10:$AS$509,"="&amp;SUBSTITUTE(SUBSTITUTE(SUBSTITUTE("P:"&amp;A1759,"~","~~"),"*","~*"),"?","~?"))=1),(IF(ISNA(MATCH(SUBSTITUTE(SUBSTITUTE(SUBSTITUTE("P:"&amp;A1759,"~","~~"),"*","~*"),"?","~?"),Processos!$AS$10:$AS$509,0)),9,INDEX(Processos!$AM$10:$AM$509,MATCH(SUBSTITUTE(SUBSTITUTE(SUBSTITUTE("P:"&amp;A1759,"~","~~"),"*","~*"),"?","~?"),Processos!$AS$10:$AS$509,0)))-9),0)</f>
        <v>0</v>
      </c>
      <c r="K1759" s="34" t="str">
        <f t="shared" si="111"/>
        <v/>
      </c>
      <c r="L1759" s="14">
        <f>ROW()</f>
        <v>1759</v>
      </c>
    </row>
    <row r="1760" spans="1:12" ht="60" customHeight="1">
      <c r="A1760" s="41"/>
      <c r="B1760" s="43"/>
      <c r="C1760" s="44"/>
      <c r="D1760" s="51"/>
      <c r="E1760" s="44"/>
      <c r="F1760" s="44"/>
      <c r="G1760" s="34">
        <f t="shared" si="108"/>
        <v>0</v>
      </c>
      <c r="H1760" s="34" t="str">
        <f t="shared" si="109"/>
        <v/>
      </c>
      <c r="I1760" s="52" t="str">
        <f t="shared" si="110"/>
        <v/>
      </c>
      <c r="J1760" s="34">
        <f>IF(AND(A1760&lt;&gt;"",ISTEXT(A1760),COUNTIFS(Processos!$AS$10:$AS$509,"="&amp;SUBSTITUTE(SUBSTITUTE(SUBSTITUTE("P:"&amp;A1760,"~","~~"),"*","~*"),"?","~?"))=1),(IF(ISNA(MATCH(SUBSTITUTE(SUBSTITUTE(SUBSTITUTE("P:"&amp;A1760,"~","~~"),"*","~*"),"?","~?"),Processos!$AS$10:$AS$509,0)),9,INDEX(Processos!$AM$10:$AM$509,MATCH(SUBSTITUTE(SUBSTITUTE(SUBSTITUTE("P:"&amp;A1760,"~","~~"),"*","~*"),"?","~?"),Processos!$AS$10:$AS$509,0)))-9),0)</f>
        <v>0</v>
      </c>
      <c r="K1760" s="34" t="str">
        <f t="shared" si="111"/>
        <v/>
      </c>
      <c r="L1760" s="14">
        <f>ROW()</f>
        <v>1760</v>
      </c>
    </row>
    <row r="1761" spans="1:12" ht="60" customHeight="1">
      <c r="A1761" s="41"/>
      <c r="B1761" s="43"/>
      <c r="C1761" s="44"/>
      <c r="D1761" s="51"/>
      <c r="E1761" s="44"/>
      <c r="F1761" s="44"/>
      <c r="G1761" s="34">
        <f t="shared" si="108"/>
        <v>0</v>
      </c>
      <c r="H1761" s="34" t="str">
        <f t="shared" si="109"/>
        <v/>
      </c>
      <c r="I1761" s="52" t="str">
        <f t="shared" si="110"/>
        <v/>
      </c>
      <c r="J1761" s="34">
        <f>IF(AND(A1761&lt;&gt;"",ISTEXT(A1761),COUNTIFS(Processos!$AS$10:$AS$509,"="&amp;SUBSTITUTE(SUBSTITUTE(SUBSTITUTE("P:"&amp;A1761,"~","~~"),"*","~*"),"?","~?"))=1),(IF(ISNA(MATCH(SUBSTITUTE(SUBSTITUTE(SUBSTITUTE("P:"&amp;A1761,"~","~~"),"*","~*"),"?","~?"),Processos!$AS$10:$AS$509,0)),9,INDEX(Processos!$AM$10:$AM$509,MATCH(SUBSTITUTE(SUBSTITUTE(SUBSTITUTE("P:"&amp;A1761,"~","~~"),"*","~*"),"?","~?"),Processos!$AS$10:$AS$509,0)))-9),0)</f>
        <v>0</v>
      </c>
      <c r="K1761" s="34" t="str">
        <f t="shared" si="111"/>
        <v/>
      </c>
      <c r="L1761" s="14">
        <f>ROW()</f>
        <v>1761</v>
      </c>
    </row>
    <row r="1762" spans="1:12" ht="60" customHeight="1">
      <c r="A1762" s="41"/>
      <c r="B1762" s="43"/>
      <c r="C1762" s="44"/>
      <c r="D1762" s="51"/>
      <c r="E1762" s="44"/>
      <c r="F1762" s="44"/>
      <c r="G1762" s="34">
        <f t="shared" si="108"/>
        <v>0</v>
      </c>
      <c r="H1762" s="34" t="str">
        <f t="shared" si="109"/>
        <v/>
      </c>
      <c r="I1762" s="52" t="str">
        <f t="shared" si="110"/>
        <v/>
      </c>
      <c r="J1762" s="34">
        <f>IF(AND(A1762&lt;&gt;"",ISTEXT(A1762),COUNTIFS(Processos!$AS$10:$AS$509,"="&amp;SUBSTITUTE(SUBSTITUTE(SUBSTITUTE("P:"&amp;A1762,"~","~~"),"*","~*"),"?","~?"))=1),(IF(ISNA(MATCH(SUBSTITUTE(SUBSTITUTE(SUBSTITUTE("P:"&amp;A1762,"~","~~"),"*","~*"),"?","~?"),Processos!$AS$10:$AS$509,0)),9,INDEX(Processos!$AM$10:$AM$509,MATCH(SUBSTITUTE(SUBSTITUTE(SUBSTITUTE("P:"&amp;A1762,"~","~~"),"*","~*"),"?","~?"),Processos!$AS$10:$AS$509,0)))-9),0)</f>
        <v>0</v>
      </c>
      <c r="K1762" s="34" t="str">
        <f t="shared" si="111"/>
        <v/>
      </c>
      <c r="L1762" s="14">
        <f>ROW()</f>
        <v>1762</v>
      </c>
    </row>
    <row r="1763" spans="1:12" ht="60" customHeight="1">
      <c r="A1763" s="41"/>
      <c r="B1763" s="43"/>
      <c r="C1763" s="44"/>
      <c r="D1763" s="51"/>
      <c r="E1763" s="44"/>
      <c r="F1763" s="44"/>
      <c r="G1763" s="34">
        <f t="shared" si="108"/>
        <v>0</v>
      </c>
      <c r="H1763" s="34" t="str">
        <f t="shared" si="109"/>
        <v/>
      </c>
      <c r="I1763" s="52" t="str">
        <f t="shared" si="110"/>
        <v/>
      </c>
      <c r="J1763" s="34">
        <f>IF(AND(A1763&lt;&gt;"",ISTEXT(A1763),COUNTIFS(Processos!$AS$10:$AS$509,"="&amp;SUBSTITUTE(SUBSTITUTE(SUBSTITUTE("P:"&amp;A1763,"~","~~"),"*","~*"),"?","~?"))=1),(IF(ISNA(MATCH(SUBSTITUTE(SUBSTITUTE(SUBSTITUTE("P:"&amp;A1763,"~","~~"),"*","~*"),"?","~?"),Processos!$AS$10:$AS$509,0)),9,INDEX(Processos!$AM$10:$AM$509,MATCH(SUBSTITUTE(SUBSTITUTE(SUBSTITUTE("P:"&amp;A1763,"~","~~"),"*","~*"),"?","~?"),Processos!$AS$10:$AS$509,0)))-9),0)</f>
        <v>0</v>
      </c>
      <c r="K1763" s="34" t="str">
        <f t="shared" si="111"/>
        <v/>
      </c>
      <c r="L1763" s="14">
        <f>ROW()</f>
        <v>1763</v>
      </c>
    </row>
    <row r="1764" spans="1:12" ht="60" customHeight="1">
      <c r="A1764" s="41"/>
      <c r="B1764" s="43"/>
      <c r="C1764" s="44"/>
      <c r="D1764" s="51"/>
      <c r="E1764" s="44"/>
      <c r="F1764" s="44"/>
      <c r="G1764" s="34">
        <f t="shared" si="108"/>
        <v>0</v>
      </c>
      <c r="H1764" s="34" t="str">
        <f t="shared" si="109"/>
        <v/>
      </c>
      <c r="I1764" s="52" t="str">
        <f t="shared" si="110"/>
        <v/>
      </c>
      <c r="J1764" s="34">
        <f>IF(AND(A1764&lt;&gt;"",ISTEXT(A1764),COUNTIFS(Processos!$AS$10:$AS$509,"="&amp;SUBSTITUTE(SUBSTITUTE(SUBSTITUTE("P:"&amp;A1764,"~","~~"),"*","~*"),"?","~?"))=1),(IF(ISNA(MATCH(SUBSTITUTE(SUBSTITUTE(SUBSTITUTE("P:"&amp;A1764,"~","~~"),"*","~*"),"?","~?"),Processos!$AS$10:$AS$509,0)),9,INDEX(Processos!$AM$10:$AM$509,MATCH(SUBSTITUTE(SUBSTITUTE(SUBSTITUTE("P:"&amp;A1764,"~","~~"),"*","~*"),"?","~?"),Processos!$AS$10:$AS$509,0)))-9),0)</f>
        <v>0</v>
      </c>
      <c r="K1764" s="34" t="str">
        <f t="shared" si="111"/>
        <v/>
      </c>
      <c r="L1764" s="14">
        <f>ROW()</f>
        <v>1764</v>
      </c>
    </row>
    <row r="1765" spans="1:12" ht="60" customHeight="1">
      <c r="A1765" s="41"/>
      <c r="B1765" s="43"/>
      <c r="C1765" s="44"/>
      <c r="D1765" s="51"/>
      <c r="E1765" s="44"/>
      <c r="F1765" s="44"/>
      <c r="G1765" s="34">
        <f t="shared" si="108"/>
        <v>0</v>
      </c>
      <c r="H1765" s="34" t="str">
        <f t="shared" si="109"/>
        <v/>
      </c>
      <c r="I1765" s="52" t="str">
        <f t="shared" si="110"/>
        <v/>
      </c>
      <c r="J1765" s="34">
        <f>IF(AND(A1765&lt;&gt;"",ISTEXT(A1765),COUNTIFS(Processos!$AS$10:$AS$509,"="&amp;SUBSTITUTE(SUBSTITUTE(SUBSTITUTE("P:"&amp;A1765,"~","~~"),"*","~*"),"?","~?"))=1),(IF(ISNA(MATCH(SUBSTITUTE(SUBSTITUTE(SUBSTITUTE("P:"&amp;A1765,"~","~~"),"*","~*"),"?","~?"),Processos!$AS$10:$AS$509,0)),9,INDEX(Processos!$AM$10:$AM$509,MATCH(SUBSTITUTE(SUBSTITUTE(SUBSTITUTE("P:"&amp;A1765,"~","~~"),"*","~*"),"?","~?"),Processos!$AS$10:$AS$509,0)))-9),0)</f>
        <v>0</v>
      </c>
      <c r="K1765" s="34" t="str">
        <f t="shared" si="111"/>
        <v/>
      </c>
      <c r="L1765" s="14">
        <f>ROW()</f>
        <v>1765</v>
      </c>
    </row>
    <row r="1766" spans="1:12" ht="60" customHeight="1">
      <c r="A1766" s="41"/>
      <c r="B1766" s="43"/>
      <c r="C1766" s="44"/>
      <c r="D1766" s="51"/>
      <c r="E1766" s="44"/>
      <c r="F1766" s="44"/>
      <c r="G1766" s="34">
        <f t="shared" si="108"/>
        <v>0</v>
      </c>
      <c r="H1766" s="34" t="str">
        <f t="shared" si="109"/>
        <v/>
      </c>
      <c r="I1766" s="52" t="str">
        <f t="shared" si="110"/>
        <v/>
      </c>
      <c r="J1766" s="34">
        <f>IF(AND(A1766&lt;&gt;"",ISTEXT(A1766),COUNTIFS(Processos!$AS$10:$AS$509,"="&amp;SUBSTITUTE(SUBSTITUTE(SUBSTITUTE("P:"&amp;A1766,"~","~~"),"*","~*"),"?","~?"))=1),(IF(ISNA(MATCH(SUBSTITUTE(SUBSTITUTE(SUBSTITUTE("P:"&amp;A1766,"~","~~"),"*","~*"),"?","~?"),Processos!$AS$10:$AS$509,0)),9,INDEX(Processos!$AM$10:$AM$509,MATCH(SUBSTITUTE(SUBSTITUTE(SUBSTITUTE("P:"&amp;A1766,"~","~~"),"*","~*"),"?","~?"),Processos!$AS$10:$AS$509,0)))-9),0)</f>
        <v>0</v>
      </c>
      <c r="K1766" s="34" t="str">
        <f t="shared" si="111"/>
        <v/>
      </c>
      <c r="L1766" s="14">
        <f>ROW()</f>
        <v>1766</v>
      </c>
    </row>
    <row r="1767" spans="1:12" ht="60" customHeight="1">
      <c r="A1767" s="41"/>
      <c r="B1767" s="43"/>
      <c r="C1767" s="44"/>
      <c r="D1767" s="51"/>
      <c r="E1767" s="44"/>
      <c r="F1767" s="44"/>
      <c r="G1767" s="34">
        <f t="shared" si="108"/>
        <v>0</v>
      </c>
      <c r="H1767" s="34" t="str">
        <f t="shared" si="109"/>
        <v/>
      </c>
      <c r="I1767" s="52" t="str">
        <f t="shared" si="110"/>
        <v/>
      </c>
      <c r="J1767" s="34">
        <f>IF(AND(A1767&lt;&gt;"",ISTEXT(A1767),COUNTIFS(Processos!$AS$10:$AS$509,"="&amp;SUBSTITUTE(SUBSTITUTE(SUBSTITUTE("P:"&amp;A1767,"~","~~"),"*","~*"),"?","~?"))=1),(IF(ISNA(MATCH(SUBSTITUTE(SUBSTITUTE(SUBSTITUTE("P:"&amp;A1767,"~","~~"),"*","~*"),"?","~?"),Processos!$AS$10:$AS$509,0)),9,INDEX(Processos!$AM$10:$AM$509,MATCH(SUBSTITUTE(SUBSTITUTE(SUBSTITUTE("P:"&amp;A1767,"~","~~"),"*","~*"),"?","~?"),Processos!$AS$10:$AS$509,0)))-9),0)</f>
        <v>0</v>
      </c>
      <c r="K1767" s="34" t="str">
        <f t="shared" si="111"/>
        <v/>
      </c>
      <c r="L1767" s="14">
        <f>ROW()</f>
        <v>1767</v>
      </c>
    </row>
    <row r="1768" spans="1:12" ht="60" customHeight="1">
      <c r="A1768" s="41"/>
      <c r="B1768" s="43"/>
      <c r="C1768" s="44"/>
      <c r="D1768" s="51"/>
      <c r="E1768" s="44"/>
      <c r="F1768" s="44"/>
      <c r="G1768" s="34">
        <f t="shared" si="108"/>
        <v>0</v>
      </c>
      <c r="H1768" s="34" t="str">
        <f t="shared" si="109"/>
        <v/>
      </c>
      <c r="I1768" s="52" t="str">
        <f t="shared" si="110"/>
        <v/>
      </c>
      <c r="J1768" s="34">
        <f>IF(AND(A1768&lt;&gt;"",ISTEXT(A1768),COUNTIFS(Processos!$AS$10:$AS$509,"="&amp;SUBSTITUTE(SUBSTITUTE(SUBSTITUTE("P:"&amp;A1768,"~","~~"),"*","~*"),"?","~?"))=1),(IF(ISNA(MATCH(SUBSTITUTE(SUBSTITUTE(SUBSTITUTE("P:"&amp;A1768,"~","~~"),"*","~*"),"?","~?"),Processos!$AS$10:$AS$509,0)),9,INDEX(Processos!$AM$10:$AM$509,MATCH(SUBSTITUTE(SUBSTITUTE(SUBSTITUTE("P:"&amp;A1768,"~","~~"),"*","~*"),"?","~?"),Processos!$AS$10:$AS$509,0)))-9),0)</f>
        <v>0</v>
      </c>
      <c r="K1768" s="34" t="str">
        <f t="shared" si="111"/>
        <v/>
      </c>
      <c r="L1768" s="14">
        <f>ROW()</f>
        <v>1768</v>
      </c>
    </row>
    <row r="1769" spans="1:12" ht="60" customHeight="1">
      <c r="A1769" s="41"/>
      <c r="B1769" s="43"/>
      <c r="C1769" s="44"/>
      <c r="D1769" s="51"/>
      <c r="E1769" s="44"/>
      <c r="F1769" s="44"/>
      <c r="G1769" s="34">
        <f t="shared" si="108"/>
        <v>0</v>
      </c>
      <c r="H1769" s="34" t="str">
        <f t="shared" si="109"/>
        <v/>
      </c>
      <c r="I1769" s="52" t="str">
        <f t="shared" si="110"/>
        <v/>
      </c>
      <c r="J1769" s="34">
        <f>IF(AND(A1769&lt;&gt;"",ISTEXT(A1769),COUNTIFS(Processos!$AS$10:$AS$509,"="&amp;SUBSTITUTE(SUBSTITUTE(SUBSTITUTE("P:"&amp;A1769,"~","~~"),"*","~*"),"?","~?"))=1),(IF(ISNA(MATCH(SUBSTITUTE(SUBSTITUTE(SUBSTITUTE("P:"&amp;A1769,"~","~~"),"*","~*"),"?","~?"),Processos!$AS$10:$AS$509,0)),9,INDEX(Processos!$AM$10:$AM$509,MATCH(SUBSTITUTE(SUBSTITUTE(SUBSTITUTE("P:"&amp;A1769,"~","~~"),"*","~*"),"?","~?"),Processos!$AS$10:$AS$509,0)))-9),0)</f>
        <v>0</v>
      </c>
      <c r="K1769" s="34" t="str">
        <f t="shared" si="111"/>
        <v/>
      </c>
      <c r="L1769" s="14">
        <f>ROW()</f>
        <v>1769</v>
      </c>
    </row>
    <row r="1770" spans="1:12" ht="60" customHeight="1">
      <c r="A1770" s="41"/>
      <c r="B1770" s="43"/>
      <c r="C1770" s="44"/>
      <c r="D1770" s="51"/>
      <c r="E1770" s="44"/>
      <c r="F1770" s="44"/>
      <c r="G1770" s="34">
        <f t="shared" si="108"/>
        <v>0</v>
      </c>
      <c r="H1770" s="34" t="str">
        <f t="shared" si="109"/>
        <v/>
      </c>
      <c r="I1770" s="52" t="str">
        <f t="shared" si="110"/>
        <v/>
      </c>
      <c r="J1770" s="34">
        <f>IF(AND(A1770&lt;&gt;"",ISTEXT(A1770),COUNTIFS(Processos!$AS$10:$AS$509,"="&amp;SUBSTITUTE(SUBSTITUTE(SUBSTITUTE("P:"&amp;A1770,"~","~~"),"*","~*"),"?","~?"))=1),(IF(ISNA(MATCH(SUBSTITUTE(SUBSTITUTE(SUBSTITUTE("P:"&amp;A1770,"~","~~"),"*","~*"),"?","~?"),Processos!$AS$10:$AS$509,0)),9,INDEX(Processos!$AM$10:$AM$509,MATCH(SUBSTITUTE(SUBSTITUTE(SUBSTITUTE("P:"&amp;A1770,"~","~~"),"*","~*"),"?","~?"),Processos!$AS$10:$AS$509,0)))-9),0)</f>
        <v>0</v>
      </c>
      <c r="K1770" s="34" t="str">
        <f t="shared" si="111"/>
        <v/>
      </c>
      <c r="L1770" s="14">
        <f>ROW()</f>
        <v>1770</v>
      </c>
    </row>
    <row r="1771" spans="1:12" ht="60" customHeight="1">
      <c r="A1771" s="41"/>
      <c r="B1771" s="43"/>
      <c r="C1771" s="44"/>
      <c r="D1771" s="51"/>
      <c r="E1771" s="44"/>
      <c r="F1771" s="44"/>
      <c r="G1771" s="34">
        <f t="shared" si="108"/>
        <v>0</v>
      </c>
      <c r="H1771" s="34" t="str">
        <f t="shared" si="109"/>
        <v/>
      </c>
      <c r="I1771" s="52" t="str">
        <f t="shared" si="110"/>
        <v/>
      </c>
      <c r="J1771" s="34">
        <f>IF(AND(A1771&lt;&gt;"",ISTEXT(A1771),COUNTIFS(Processos!$AS$10:$AS$509,"="&amp;SUBSTITUTE(SUBSTITUTE(SUBSTITUTE("P:"&amp;A1771,"~","~~"),"*","~*"),"?","~?"))=1),(IF(ISNA(MATCH(SUBSTITUTE(SUBSTITUTE(SUBSTITUTE("P:"&amp;A1771,"~","~~"),"*","~*"),"?","~?"),Processos!$AS$10:$AS$509,0)),9,INDEX(Processos!$AM$10:$AM$509,MATCH(SUBSTITUTE(SUBSTITUTE(SUBSTITUTE("P:"&amp;A1771,"~","~~"),"*","~*"),"?","~?"),Processos!$AS$10:$AS$509,0)))-9),0)</f>
        <v>0</v>
      </c>
      <c r="K1771" s="34" t="str">
        <f t="shared" si="111"/>
        <v/>
      </c>
      <c r="L1771" s="14">
        <f>ROW()</f>
        <v>1771</v>
      </c>
    </row>
    <row r="1772" spans="1:12" ht="60" customHeight="1">
      <c r="A1772" s="41"/>
      <c r="B1772" s="43"/>
      <c r="C1772" s="44"/>
      <c r="D1772" s="51"/>
      <c r="E1772" s="44"/>
      <c r="F1772" s="44"/>
      <c r="G1772" s="34">
        <f t="shared" si="108"/>
        <v>0</v>
      </c>
      <c r="H1772" s="34" t="str">
        <f t="shared" si="109"/>
        <v/>
      </c>
      <c r="I1772" s="52" t="str">
        <f t="shared" si="110"/>
        <v/>
      </c>
      <c r="J1772" s="34">
        <f>IF(AND(A1772&lt;&gt;"",ISTEXT(A1772),COUNTIFS(Processos!$AS$10:$AS$509,"="&amp;SUBSTITUTE(SUBSTITUTE(SUBSTITUTE("P:"&amp;A1772,"~","~~"),"*","~*"),"?","~?"))=1),(IF(ISNA(MATCH(SUBSTITUTE(SUBSTITUTE(SUBSTITUTE("P:"&amp;A1772,"~","~~"),"*","~*"),"?","~?"),Processos!$AS$10:$AS$509,0)),9,INDEX(Processos!$AM$10:$AM$509,MATCH(SUBSTITUTE(SUBSTITUTE(SUBSTITUTE("P:"&amp;A1772,"~","~~"),"*","~*"),"?","~?"),Processos!$AS$10:$AS$509,0)))-9),0)</f>
        <v>0</v>
      </c>
      <c r="K1772" s="34" t="str">
        <f t="shared" si="111"/>
        <v/>
      </c>
      <c r="L1772" s="14">
        <f>ROW()</f>
        <v>1772</v>
      </c>
    </row>
    <row r="1773" spans="1:12" ht="60" customHeight="1">
      <c r="A1773" s="41"/>
      <c r="B1773" s="43"/>
      <c r="C1773" s="44"/>
      <c r="D1773" s="51"/>
      <c r="E1773" s="44"/>
      <c r="F1773" s="44"/>
      <c r="G1773" s="34">
        <f t="shared" si="108"/>
        <v>0</v>
      </c>
      <c r="H1773" s="34" t="str">
        <f t="shared" si="109"/>
        <v/>
      </c>
      <c r="I1773" s="52" t="str">
        <f t="shared" si="110"/>
        <v/>
      </c>
      <c r="J1773" s="34">
        <f>IF(AND(A1773&lt;&gt;"",ISTEXT(A1773),COUNTIFS(Processos!$AS$10:$AS$509,"="&amp;SUBSTITUTE(SUBSTITUTE(SUBSTITUTE("P:"&amp;A1773,"~","~~"),"*","~*"),"?","~?"))=1),(IF(ISNA(MATCH(SUBSTITUTE(SUBSTITUTE(SUBSTITUTE("P:"&amp;A1773,"~","~~"),"*","~*"),"?","~?"),Processos!$AS$10:$AS$509,0)),9,INDEX(Processos!$AM$10:$AM$509,MATCH(SUBSTITUTE(SUBSTITUTE(SUBSTITUTE("P:"&amp;A1773,"~","~~"),"*","~*"),"?","~?"),Processos!$AS$10:$AS$509,0)))-9),0)</f>
        <v>0</v>
      </c>
      <c r="K1773" s="34" t="str">
        <f t="shared" si="111"/>
        <v/>
      </c>
      <c r="L1773" s="14">
        <f>ROW()</f>
        <v>1773</v>
      </c>
    </row>
    <row r="1774" spans="1:12" ht="60" customHeight="1">
      <c r="A1774" s="41"/>
      <c r="B1774" s="43"/>
      <c r="C1774" s="44"/>
      <c r="D1774" s="51"/>
      <c r="E1774" s="44"/>
      <c r="F1774" s="44"/>
      <c r="G1774" s="34">
        <f t="shared" si="108"/>
        <v>0</v>
      </c>
      <c r="H1774" s="34" t="str">
        <f t="shared" si="109"/>
        <v/>
      </c>
      <c r="I1774" s="52" t="str">
        <f t="shared" si="110"/>
        <v/>
      </c>
      <c r="J1774" s="34">
        <f>IF(AND(A1774&lt;&gt;"",ISTEXT(A1774),COUNTIFS(Processos!$AS$10:$AS$509,"="&amp;SUBSTITUTE(SUBSTITUTE(SUBSTITUTE("P:"&amp;A1774,"~","~~"),"*","~*"),"?","~?"))=1),(IF(ISNA(MATCH(SUBSTITUTE(SUBSTITUTE(SUBSTITUTE("P:"&amp;A1774,"~","~~"),"*","~*"),"?","~?"),Processos!$AS$10:$AS$509,0)),9,INDEX(Processos!$AM$10:$AM$509,MATCH(SUBSTITUTE(SUBSTITUTE(SUBSTITUTE("P:"&amp;A1774,"~","~~"),"*","~*"),"?","~?"),Processos!$AS$10:$AS$509,0)))-9),0)</f>
        <v>0</v>
      </c>
      <c r="K1774" s="34" t="str">
        <f t="shared" si="111"/>
        <v/>
      </c>
      <c r="L1774" s="14">
        <f>ROW()</f>
        <v>1774</v>
      </c>
    </row>
    <row r="1775" spans="1:12" ht="60" customHeight="1">
      <c r="A1775" s="41"/>
      <c r="B1775" s="43"/>
      <c r="C1775" s="44"/>
      <c r="D1775" s="51"/>
      <c r="E1775" s="44"/>
      <c r="F1775" s="44"/>
      <c r="G1775" s="34">
        <f t="shared" si="108"/>
        <v>0</v>
      </c>
      <c r="H1775" s="34" t="str">
        <f t="shared" si="109"/>
        <v/>
      </c>
      <c r="I1775" s="52" t="str">
        <f t="shared" si="110"/>
        <v/>
      </c>
      <c r="J1775" s="34">
        <f>IF(AND(A1775&lt;&gt;"",ISTEXT(A1775),COUNTIFS(Processos!$AS$10:$AS$509,"="&amp;SUBSTITUTE(SUBSTITUTE(SUBSTITUTE("P:"&amp;A1775,"~","~~"),"*","~*"),"?","~?"))=1),(IF(ISNA(MATCH(SUBSTITUTE(SUBSTITUTE(SUBSTITUTE("P:"&amp;A1775,"~","~~"),"*","~*"),"?","~?"),Processos!$AS$10:$AS$509,0)),9,INDEX(Processos!$AM$10:$AM$509,MATCH(SUBSTITUTE(SUBSTITUTE(SUBSTITUTE("P:"&amp;A1775,"~","~~"),"*","~*"),"?","~?"),Processos!$AS$10:$AS$509,0)))-9),0)</f>
        <v>0</v>
      </c>
      <c r="K1775" s="34" t="str">
        <f t="shared" si="111"/>
        <v/>
      </c>
      <c r="L1775" s="14">
        <f>ROW()</f>
        <v>1775</v>
      </c>
    </row>
    <row r="1776" spans="1:12" ht="60" customHeight="1">
      <c r="A1776" s="41"/>
      <c r="B1776" s="43"/>
      <c r="C1776" s="44"/>
      <c r="D1776" s="51"/>
      <c r="E1776" s="44"/>
      <c r="F1776" s="44"/>
      <c r="G1776" s="34">
        <f t="shared" si="108"/>
        <v>0</v>
      </c>
      <c r="H1776" s="34" t="str">
        <f t="shared" si="109"/>
        <v/>
      </c>
      <c r="I1776" s="52" t="str">
        <f t="shared" si="110"/>
        <v/>
      </c>
      <c r="J1776" s="34">
        <f>IF(AND(A1776&lt;&gt;"",ISTEXT(A1776),COUNTIFS(Processos!$AS$10:$AS$509,"="&amp;SUBSTITUTE(SUBSTITUTE(SUBSTITUTE("P:"&amp;A1776,"~","~~"),"*","~*"),"?","~?"))=1),(IF(ISNA(MATCH(SUBSTITUTE(SUBSTITUTE(SUBSTITUTE("P:"&amp;A1776,"~","~~"),"*","~*"),"?","~?"),Processos!$AS$10:$AS$509,0)),9,INDEX(Processos!$AM$10:$AM$509,MATCH(SUBSTITUTE(SUBSTITUTE(SUBSTITUTE("P:"&amp;A1776,"~","~~"),"*","~*"),"?","~?"),Processos!$AS$10:$AS$509,0)))-9),0)</f>
        <v>0</v>
      </c>
      <c r="K1776" s="34" t="str">
        <f t="shared" si="111"/>
        <v/>
      </c>
      <c r="L1776" s="14">
        <f>ROW()</f>
        <v>1776</v>
      </c>
    </row>
    <row r="1777" spans="1:12" ht="60" customHeight="1">
      <c r="A1777" s="41"/>
      <c r="B1777" s="43"/>
      <c r="C1777" s="44"/>
      <c r="D1777" s="51"/>
      <c r="E1777" s="44"/>
      <c r="F1777" s="44"/>
      <c r="G1777" s="34">
        <f t="shared" si="108"/>
        <v>0</v>
      </c>
      <c r="H1777" s="34" t="str">
        <f t="shared" si="109"/>
        <v/>
      </c>
      <c r="I1777" s="52" t="str">
        <f t="shared" si="110"/>
        <v/>
      </c>
      <c r="J1777" s="34">
        <f>IF(AND(A1777&lt;&gt;"",ISTEXT(A1777),COUNTIFS(Processos!$AS$10:$AS$509,"="&amp;SUBSTITUTE(SUBSTITUTE(SUBSTITUTE("P:"&amp;A1777,"~","~~"),"*","~*"),"?","~?"))=1),(IF(ISNA(MATCH(SUBSTITUTE(SUBSTITUTE(SUBSTITUTE("P:"&amp;A1777,"~","~~"),"*","~*"),"?","~?"),Processos!$AS$10:$AS$509,0)),9,INDEX(Processos!$AM$10:$AM$509,MATCH(SUBSTITUTE(SUBSTITUTE(SUBSTITUTE("P:"&amp;A1777,"~","~~"),"*","~*"),"?","~?"),Processos!$AS$10:$AS$509,0)))-9),0)</f>
        <v>0</v>
      </c>
      <c r="K1777" s="34" t="str">
        <f t="shared" si="111"/>
        <v/>
      </c>
      <c r="L1777" s="14">
        <f>ROW()</f>
        <v>1777</v>
      </c>
    </row>
    <row r="1778" spans="1:12" ht="60" customHeight="1">
      <c r="A1778" s="41"/>
      <c r="B1778" s="43"/>
      <c r="C1778" s="44"/>
      <c r="D1778" s="51"/>
      <c r="E1778" s="44"/>
      <c r="F1778" s="44"/>
      <c r="G1778" s="34">
        <f t="shared" si="108"/>
        <v>0</v>
      </c>
      <c r="H1778" s="34" t="str">
        <f t="shared" si="109"/>
        <v/>
      </c>
      <c r="I1778" s="52" t="str">
        <f t="shared" si="110"/>
        <v/>
      </c>
      <c r="J1778" s="34">
        <f>IF(AND(A1778&lt;&gt;"",ISTEXT(A1778),COUNTIFS(Processos!$AS$10:$AS$509,"="&amp;SUBSTITUTE(SUBSTITUTE(SUBSTITUTE("P:"&amp;A1778,"~","~~"),"*","~*"),"?","~?"))=1),(IF(ISNA(MATCH(SUBSTITUTE(SUBSTITUTE(SUBSTITUTE("P:"&amp;A1778,"~","~~"),"*","~*"),"?","~?"),Processos!$AS$10:$AS$509,0)),9,INDEX(Processos!$AM$10:$AM$509,MATCH(SUBSTITUTE(SUBSTITUTE(SUBSTITUTE("P:"&amp;A1778,"~","~~"),"*","~*"),"?","~?"),Processos!$AS$10:$AS$509,0)))-9),0)</f>
        <v>0</v>
      </c>
      <c r="K1778" s="34" t="str">
        <f t="shared" si="111"/>
        <v/>
      </c>
      <c r="L1778" s="14">
        <f>ROW()</f>
        <v>1778</v>
      </c>
    </row>
    <row r="1779" spans="1:12" ht="60" customHeight="1">
      <c r="A1779" s="41"/>
      <c r="B1779" s="43"/>
      <c r="C1779" s="44"/>
      <c r="D1779" s="51"/>
      <c r="E1779" s="44"/>
      <c r="F1779" s="44"/>
      <c r="G1779" s="34">
        <f t="shared" si="108"/>
        <v>0</v>
      </c>
      <c r="H1779" s="34" t="str">
        <f t="shared" si="109"/>
        <v/>
      </c>
      <c r="I1779" s="52" t="str">
        <f t="shared" si="110"/>
        <v/>
      </c>
      <c r="J1779" s="34">
        <f>IF(AND(A1779&lt;&gt;"",ISTEXT(A1779),COUNTIFS(Processos!$AS$10:$AS$509,"="&amp;SUBSTITUTE(SUBSTITUTE(SUBSTITUTE("P:"&amp;A1779,"~","~~"),"*","~*"),"?","~?"))=1),(IF(ISNA(MATCH(SUBSTITUTE(SUBSTITUTE(SUBSTITUTE("P:"&amp;A1779,"~","~~"),"*","~*"),"?","~?"),Processos!$AS$10:$AS$509,0)),9,INDEX(Processos!$AM$10:$AM$509,MATCH(SUBSTITUTE(SUBSTITUTE(SUBSTITUTE("P:"&amp;A1779,"~","~~"),"*","~*"),"?","~?"),Processos!$AS$10:$AS$509,0)))-9),0)</f>
        <v>0</v>
      </c>
      <c r="K1779" s="34" t="str">
        <f t="shared" si="111"/>
        <v/>
      </c>
      <c r="L1779" s="14">
        <f>ROW()</f>
        <v>1779</v>
      </c>
    </row>
    <row r="1780" spans="1:12" ht="60" customHeight="1">
      <c r="A1780" s="41"/>
      <c r="B1780" s="43"/>
      <c r="C1780" s="44"/>
      <c r="D1780" s="51"/>
      <c r="E1780" s="44"/>
      <c r="F1780" s="44"/>
      <c r="G1780" s="34">
        <f t="shared" si="108"/>
        <v>0</v>
      </c>
      <c r="H1780" s="34" t="str">
        <f t="shared" si="109"/>
        <v/>
      </c>
      <c r="I1780" s="52" t="str">
        <f t="shared" si="110"/>
        <v/>
      </c>
      <c r="J1780" s="34">
        <f>IF(AND(A1780&lt;&gt;"",ISTEXT(A1780),COUNTIFS(Processos!$AS$10:$AS$509,"="&amp;SUBSTITUTE(SUBSTITUTE(SUBSTITUTE("P:"&amp;A1780,"~","~~"),"*","~*"),"?","~?"))=1),(IF(ISNA(MATCH(SUBSTITUTE(SUBSTITUTE(SUBSTITUTE("P:"&amp;A1780,"~","~~"),"*","~*"),"?","~?"),Processos!$AS$10:$AS$509,0)),9,INDEX(Processos!$AM$10:$AM$509,MATCH(SUBSTITUTE(SUBSTITUTE(SUBSTITUTE("P:"&amp;A1780,"~","~~"),"*","~*"),"?","~?"),Processos!$AS$10:$AS$509,0)))-9),0)</f>
        <v>0</v>
      </c>
      <c r="K1780" s="34" t="str">
        <f t="shared" si="111"/>
        <v/>
      </c>
      <c r="L1780" s="14">
        <f>ROW()</f>
        <v>1780</v>
      </c>
    </row>
    <row r="1781" spans="1:12" ht="60" customHeight="1">
      <c r="A1781" s="41"/>
      <c r="B1781" s="43"/>
      <c r="C1781" s="44"/>
      <c r="D1781" s="51"/>
      <c r="E1781" s="44"/>
      <c r="F1781" s="44"/>
      <c r="G1781" s="34">
        <f t="shared" si="108"/>
        <v>0</v>
      </c>
      <c r="H1781" s="34" t="str">
        <f t="shared" si="109"/>
        <v/>
      </c>
      <c r="I1781" s="52" t="str">
        <f t="shared" si="110"/>
        <v/>
      </c>
      <c r="J1781" s="34">
        <f>IF(AND(A1781&lt;&gt;"",ISTEXT(A1781),COUNTIFS(Processos!$AS$10:$AS$509,"="&amp;SUBSTITUTE(SUBSTITUTE(SUBSTITUTE("P:"&amp;A1781,"~","~~"),"*","~*"),"?","~?"))=1),(IF(ISNA(MATCH(SUBSTITUTE(SUBSTITUTE(SUBSTITUTE("P:"&amp;A1781,"~","~~"),"*","~*"),"?","~?"),Processos!$AS$10:$AS$509,0)),9,INDEX(Processos!$AM$10:$AM$509,MATCH(SUBSTITUTE(SUBSTITUTE(SUBSTITUTE("P:"&amp;A1781,"~","~~"),"*","~*"),"?","~?"),Processos!$AS$10:$AS$509,0)))-9),0)</f>
        <v>0</v>
      </c>
      <c r="K1781" s="34" t="str">
        <f t="shared" si="111"/>
        <v/>
      </c>
      <c r="L1781" s="14">
        <f>ROW()</f>
        <v>1781</v>
      </c>
    </row>
    <row r="1782" spans="1:12" ht="60" customHeight="1">
      <c r="A1782" s="41"/>
      <c r="B1782" s="43"/>
      <c r="C1782" s="44"/>
      <c r="D1782" s="51"/>
      <c r="E1782" s="44"/>
      <c r="F1782" s="44"/>
      <c r="G1782" s="34">
        <f t="shared" si="108"/>
        <v>0</v>
      </c>
      <c r="H1782" s="34" t="str">
        <f t="shared" si="109"/>
        <v/>
      </c>
      <c r="I1782" s="52" t="str">
        <f t="shared" si="110"/>
        <v/>
      </c>
      <c r="J1782" s="34">
        <f>IF(AND(A1782&lt;&gt;"",ISTEXT(A1782),COUNTIFS(Processos!$AS$10:$AS$509,"="&amp;SUBSTITUTE(SUBSTITUTE(SUBSTITUTE("P:"&amp;A1782,"~","~~"),"*","~*"),"?","~?"))=1),(IF(ISNA(MATCH(SUBSTITUTE(SUBSTITUTE(SUBSTITUTE("P:"&amp;A1782,"~","~~"),"*","~*"),"?","~?"),Processos!$AS$10:$AS$509,0)),9,INDEX(Processos!$AM$10:$AM$509,MATCH(SUBSTITUTE(SUBSTITUTE(SUBSTITUTE("P:"&amp;A1782,"~","~~"),"*","~*"),"?","~?"),Processos!$AS$10:$AS$509,0)))-9),0)</f>
        <v>0</v>
      </c>
      <c r="K1782" s="34" t="str">
        <f t="shared" si="111"/>
        <v/>
      </c>
      <c r="L1782" s="14">
        <f>ROW()</f>
        <v>1782</v>
      </c>
    </row>
    <row r="1783" spans="1:12" ht="60" customHeight="1">
      <c r="A1783" s="41"/>
      <c r="B1783" s="43"/>
      <c r="C1783" s="44"/>
      <c r="D1783" s="51"/>
      <c r="E1783" s="44"/>
      <c r="F1783" s="44"/>
      <c r="G1783" s="34">
        <f t="shared" si="108"/>
        <v>0</v>
      </c>
      <c r="H1783" s="34" t="str">
        <f t="shared" si="109"/>
        <v/>
      </c>
      <c r="I1783" s="52" t="str">
        <f t="shared" si="110"/>
        <v/>
      </c>
      <c r="J1783" s="34">
        <f>IF(AND(A1783&lt;&gt;"",ISTEXT(A1783),COUNTIFS(Processos!$AS$10:$AS$509,"="&amp;SUBSTITUTE(SUBSTITUTE(SUBSTITUTE("P:"&amp;A1783,"~","~~"),"*","~*"),"?","~?"))=1),(IF(ISNA(MATCH(SUBSTITUTE(SUBSTITUTE(SUBSTITUTE("P:"&amp;A1783,"~","~~"),"*","~*"),"?","~?"),Processos!$AS$10:$AS$509,0)),9,INDEX(Processos!$AM$10:$AM$509,MATCH(SUBSTITUTE(SUBSTITUTE(SUBSTITUTE("P:"&amp;A1783,"~","~~"),"*","~*"),"?","~?"),Processos!$AS$10:$AS$509,0)))-9),0)</f>
        <v>0</v>
      </c>
      <c r="K1783" s="34" t="str">
        <f t="shared" si="111"/>
        <v/>
      </c>
      <c r="L1783" s="14">
        <f>ROW()</f>
        <v>1783</v>
      </c>
    </row>
    <row r="1784" spans="1:12" ht="60" customHeight="1">
      <c r="A1784" s="41"/>
      <c r="B1784" s="43"/>
      <c r="C1784" s="44"/>
      <c r="D1784" s="51"/>
      <c r="E1784" s="44"/>
      <c r="F1784" s="44"/>
      <c r="G1784" s="34">
        <f t="shared" si="108"/>
        <v>0</v>
      </c>
      <c r="H1784" s="34" t="str">
        <f t="shared" si="109"/>
        <v/>
      </c>
      <c r="I1784" s="52" t="str">
        <f t="shared" si="110"/>
        <v/>
      </c>
      <c r="J1784" s="34">
        <f>IF(AND(A1784&lt;&gt;"",ISTEXT(A1784),COUNTIFS(Processos!$AS$10:$AS$509,"="&amp;SUBSTITUTE(SUBSTITUTE(SUBSTITUTE("P:"&amp;A1784,"~","~~"),"*","~*"),"?","~?"))=1),(IF(ISNA(MATCH(SUBSTITUTE(SUBSTITUTE(SUBSTITUTE("P:"&amp;A1784,"~","~~"),"*","~*"),"?","~?"),Processos!$AS$10:$AS$509,0)),9,INDEX(Processos!$AM$10:$AM$509,MATCH(SUBSTITUTE(SUBSTITUTE(SUBSTITUTE("P:"&amp;A1784,"~","~~"),"*","~*"),"?","~?"),Processos!$AS$10:$AS$509,0)))-9),0)</f>
        <v>0</v>
      </c>
      <c r="K1784" s="34" t="str">
        <f t="shared" si="111"/>
        <v/>
      </c>
      <c r="L1784" s="14">
        <f>ROW()</f>
        <v>1784</v>
      </c>
    </row>
    <row r="1785" spans="1:12" ht="60" customHeight="1">
      <c r="A1785" s="41"/>
      <c r="B1785" s="43"/>
      <c r="C1785" s="44"/>
      <c r="D1785" s="51"/>
      <c r="E1785" s="44"/>
      <c r="F1785" s="44"/>
      <c r="G1785" s="34">
        <f t="shared" si="108"/>
        <v>0</v>
      </c>
      <c r="H1785" s="34" t="str">
        <f t="shared" si="109"/>
        <v/>
      </c>
      <c r="I1785" s="52" t="str">
        <f t="shared" si="110"/>
        <v/>
      </c>
      <c r="J1785" s="34">
        <f>IF(AND(A1785&lt;&gt;"",ISTEXT(A1785),COUNTIFS(Processos!$AS$10:$AS$509,"="&amp;SUBSTITUTE(SUBSTITUTE(SUBSTITUTE("P:"&amp;A1785,"~","~~"),"*","~*"),"?","~?"))=1),(IF(ISNA(MATCH(SUBSTITUTE(SUBSTITUTE(SUBSTITUTE("P:"&amp;A1785,"~","~~"),"*","~*"),"?","~?"),Processos!$AS$10:$AS$509,0)),9,INDEX(Processos!$AM$10:$AM$509,MATCH(SUBSTITUTE(SUBSTITUTE(SUBSTITUTE("P:"&amp;A1785,"~","~~"),"*","~*"),"?","~?"),Processos!$AS$10:$AS$509,0)))-9),0)</f>
        <v>0</v>
      </c>
      <c r="K1785" s="34" t="str">
        <f t="shared" si="111"/>
        <v/>
      </c>
      <c r="L1785" s="14">
        <f>ROW()</f>
        <v>1785</v>
      </c>
    </row>
    <row r="1786" spans="1:12" ht="60" customHeight="1">
      <c r="A1786" s="41"/>
      <c r="B1786" s="43"/>
      <c r="C1786" s="44"/>
      <c r="D1786" s="51"/>
      <c r="E1786" s="44"/>
      <c r="F1786" s="44"/>
      <c r="G1786" s="34">
        <f t="shared" si="108"/>
        <v>0</v>
      </c>
      <c r="H1786" s="34" t="str">
        <f t="shared" si="109"/>
        <v/>
      </c>
      <c r="I1786" s="52" t="str">
        <f t="shared" si="110"/>
        <v/>
      </c>
      <c r="J1786" s="34">
        <f>IF(AND(A1786&lt;&gt;"",ISTEXT(A1786),COUNTIFS(Processos!$AS$10:$AS$509,"="&amp;SUBSTITUTE(SUBSTITUTE(SUBSTITUTE("P:"&amp;A1786,"~","~~"),"*","~*"),"?","~?"))=1),(IF(ISNA(MATCH(SUBSTITUTE(SUBSTITUTE(SUBSTITUTE("P:"&amp;A1786,"~","~~"),"*","~*"),"?","~?"),Processos!$AS$10:$AS$509,0)),9,INDEX(Processos!$AM$10:$AM$509,MATCH(SUBSTITUTE(SUBSTITUTE(SUBSTITUTE("P:"&amp;A1786,"~","~~"),"*","~*"),"?","~?"),Processos!$AS$10:$AS$509,0)))-9),0)</f>
        <v>0</v>
      </c>
      <c r="K1786" s="34" t="str">
        <f t="shared" si="111"/>
        <v/>
      </c>
      <c r="L1786" s="14">
        <f>ROW()</f>
        <v>1786</v>
      </c>
    </row>
    <row r="1787" spans="1:12" ht="60" customHeight="1">
      <c r="A1787" s="41"/>
      <c r="B1787" s="43"/>
      <c r="C1787" s="44"/>
      <c r="D1787" s="51"/>
      <c r="E1787" s="44"/>
      <c r="F1787" s="44"/>
      <c r="G1787" s="34">
        <f t="shared" si="108"/>
        <v>0</v>
      </c>
      <c r="H1787" s="34" t="str">
        <f t="shared" si="109"/>
        <v/>
      </c>
      <c r="I1787" s="52" t="str">
        <f t="shared" si="110"/>
        <v/>
      </c>
      <c r="J1787" s="34">
        <f>IF(AND(A1787&lt;&gt;"",ISTEXT(A1787),COUNTIFS(Processos!$AS$10:$AS$509,"="&amp;SUBSTITUTE(SUBSTITUTE(SUBSTITUTE("P:"&amp;A1787,"~","~~"),"*","~*"),"?","~?"))=1),(IF(ISNA(MATCH(SUBSTITUTE(SUBSTITUTE(SUBSTITUTE("P:"&amp;A1787,"~","~~"),"*","~*"),"?","~?"),Processos!$AS$10:$AS$509,0)),9,INDEX(Processos!$AM$10:$AM$509,MATCH(SUBSTITUTE(SUBSTITUTE(SUBSTITUTE("P:"&amp;A1787,"~","~~"),"*","~*"),"?","~?"),Processos!$AS$10:$AS$509,0)))-9),0)</f>
        <v>0</v>
      </c>
      <c r="K1787" s="34" t="str">
        <f t="shared" si="111"/>
        <v/>
      </c>
      <c r="L1787" s="14">
        <f>ROW()</f>
        <v>1787</v>
      </c>
    </row>
    <row r="1788" spans="1:12" ht="60" customHeight="1">
      <c r="A1788" s="41"/>
      <c r="B1788" s="43"/>
      <c r="C1788" s="44"/>
      <c r="D1788" s="51"/>
      <c r="E1788" s="44"/>
      <c r="F1788" s="44"/>
      <c r="G1788" s="34">
        <f t="shared" si="108"/>
        <v>0</v>
      </c>
      <c r="H1788" s="34" t="str">
        <f t="shared" si="109"/>
        <v/>
      </c>
      <c r="I1788" s="52" t="str">
        <f t="shared" si="110"/>
        <v/>
      </c>
      <c r="J1788" s="34">
        <f>IF(AND(A1788&lt;&gt;"",ISTEXT(A1788),COUNTIFS(Processos!$AS$10:$AS$509,"="&amp;SUBSTITUTE(SUBSTITUTE(SUBSTITUTE("P:"&amp;A1788,"~","~~"),"*","~*"),"?","~?"))=1),(IF(ISNA(MATCH(SUBSTITUTE(SUBSTITUTE(SUBSTITUTE("P:"&amp;A1788,"~","~~"),"*","~*"),"?","~?"),Processos!$AS$10:$AS$509,0)),9,INDEX(Processos!$AM$10:$AM$509,MATCH(SUBSTITUTE(SUBSTITUTE(SUBSTITUTE("P:"&amp;A1788,"~","~~"),"*","~*"),"?","~?"),Processos!$AS$10:$AS$509,0)))-9),0)</f>
        <v>0</v>
      </c>
      <c r="K1788" s="34" t="str">
        <f t="shared" si="111"/>
        <v/>
      </c>
      <c r="L1788" s="14">
        <f>ROW()</f>
        <v>1788</v>
      </c>
    </row>
    <row r="1789" spans="1:12" ht="60" customHeight="1">
      <c r="A1789" s="41"/>
      <c r="B1789" s="43"/>
      <c r="C1789" s="44"/>
      <c r="D1789" s="51"/>
      <c r="E1789" s="44"/>
      <c r="F1789" s="44"/>
      <c r="G1789" s="34">
        <f t="shared" si="108"/>
        <v>0</v>
      </c>
      <c r="H1789" s="34" t="str">
        <f t="shared" si="109"/>
        <v/>
      </c>
      <c r="I1789" s="52" t="str">
        <f t="shared" si="110"/>
        <v/>
      </c>
      <c r="J1789" s="34">
        <f>IF(AND(A1789&lt;&gt;"",ISTEXT(A1789),COUNTIFS(Processos!$AS$10:$AS$509,"="&amp;SUBSTITUTE(SUBSTITUTE(SUBSTITUTE("P:"&amp;A1789,"~","~~"),"*","~*"),"?","~?"))=1),(IF(ISNA(MATCH(SUBSTITUTE(SUBSTITUTE(SUBSTITUTE("P:"&amp;A1789,"~","~~"),"*","~*"),"?","~?"),Processos!$AS$10:$AS$509,0)),9,INDEX(Processos!$AM$10:$AM$509,MATCH(SUBSTITUTE(SUBSTITUTE(SUBSTITUTE("P:"&amp;A1789,"~","~~"),"*","~*"),"?","~?"),Processos!$AS$10:$AS$509,0)))-9),0)</f>
        <v>0</v>
      </c>
      <c r="K1789" s="34" t="str">
        <f t="shared" si="111"/>
        <v/>
      </c>
      <c r="L1789" s="14">
        <f>ROW()</f>
        <v>1789</v>
      </c>
    </row>
    <row r="1790" spans="1:12" ht="60" customHeight="1">
      <c r="A1790" s="41"/>
      <c r="B1790" s="43"/>
      <c r="C1790" s="44"/>
      <c r="D1790" s="51"/>
      <c r="E1790" s="44"/>
      <c r="F1790" s="44"/>
      <c r="G1790" s="34">
        <f t="shared" si="108"/>
        <v>0</v>
      </c>
      <c r="H1790" s="34" t="str">
        <f t="shared" si="109"/>
        <v/>
      </c>
      <c r="I1790" s="52" t="str">
        <f t="shared" si="110"/>
        <v/>
      </c>
      <c r="J1790" s="34">
        <f>IF(AND(A1790&lt;&gt;"",ISTEXT(A1790),COUNTIFS(Processos!$AS$10:$AS$509,"="&amp;SUBSTITUTE(SUBSTITUTE(SUBSTITUTE("P:"&amp;A1790,"~","~~"),"*","~*"),"?","~?"))=1),(IF(ISNA(MATCH(SUBSTITUTE(SUBSTITUTE(SUBSTITUTE("P:"&amp;A1790,"~","~~"),"*","~*"),"?","~?"),Processos!$AS$10:$AS$509,0)),9,INDEX(Processos!$AM$10:$AM$509,MATCH(SUBSTITUTE(SUBSTITUTE(SUBSTITUTE("P:"&amp;A1790,"~","~~"),"*","~*"),"?","~?"),Processos!$AS$10:$AS$509,0)))-9),0)</f>
        <v>0</v>
      </c>
      <c r="K1790" s="34" t="str">
        <f t="shared" si="111"/>
        <v/>
      </c>
      <c r="L1790" s="14">
        <f>ROW()</f>
        <v>1790</v>
      </c>
    </row>
    <row r="1791" spans="1:12" ht="60" customHeight="1">
      <c r="A1791" s="41"/>
      <c r="B1791" s="43"/>
      <c r="C1791" s="44"/>
      <c r="D1791" s="51"/>
      <c r="E1791" s="44"/>
      <c r="F1791" s="44"/>
      <c r="G1791" s="34">
        <f t="shared" si="108"/>
        <v>0</v>
      </c>
      <c r="H1791" s="34" t="str">
        <f t="shared" si="109"/>
        <v/>
      </c>
      <c r="I1791" s="52" t="str">
        <f t="shared" si="110"/>
        <v/>
      </c>
      <c r="J1791" s="34">
        <f>IF(AND(A1791&lt;&gt;"",ISTEXT(A1791),COUNTIFS(Processos!$AS$10:$AS$509,"="&amp;SUBSTITUTE(SUBSTITUTE(SUBSTITUTE("P:"&amp;A1791,"~","~~"),"*","~*"),"?","~?"))=1),(IF(ISNA(MATCH(SUBSTITUTE(SUBSTITUTE(SUBSTITUTE("P:"&amp;A1791,"~","~~"),"*","~*"),"?","~?"),Processos!$AS$10:$AS$509,0)),9,INDEX(Processos!$AM$10:$AM$509,MATCH(SUBSTITUTE(SUBSTITUTE(SUBSTITUTE("P:"&amp;A1791,"~","~~"),"*","~*"),"?","~?"),Processos!$AS$10:$AS$509,0)))-9),0)</f>
        <v>0</v>
      </c>
      <c r="K1791" s="34" t="str">
        <f t="shared" si="111"/>
        <v/>
      </c>
      <c r="L1791" s="14">
        <f>ROW()</f>
        <v>1791</v>
      </c>
    </row>
    <row r="1792" spans="1:12" ht="60" customHeight="1">
      <c r="A1792" s="41"/>
      <c r="B1792" s="43"/>
      <c r="C1792" s="44"/>
      <c r="D1792" s="51"/>
      <c r="E1792" s="44"/>
      <c r="F1792" s="44"/>
      <c r="G1792" s="34">
        <f t="shared" si="108"/>
        <v>0</v>
      </c>
      <c r="H1792" s="34" t="str">
        <f t="shared" si="109"/>
        <v/>
      </c>
      <c r="I1792" s="52" t="str">
        <f t="shared" si="110"/>
        <v/>
      </c>
      <c r="J1792" s="34">
        <f>IF(AND(A1792&lt;&gt;"",ISTEXT(A1792),COUNTIFS(Processos!$AS$10:$AS$509,"="&amp;SUBSTITUTE(SUBSTITUTE(SUBSTITUTE("P:"&amp;A1792,"~","~~"),"*","~*"),"?","~?"))=1),(IF(ISNA(MATCH(SUBSTITUTE(SUBSTITUTE(SUBSTITUTE("P:"&amp;A1792,"~","~~"),"*","~*"),"?","~?"),Processos!$AS$10:$AS$509,0)),9,INDEX(Processos!$AM$10:$AM$509,MATCH(SUBSTITUTE(SUBSTITUTE(SUBSTITUTE("P:"&amp;A1792,"~","~~"),"*","~*"),"?","~?"),Processos!$AS$10:$AS$509,0)))-9),0)</f>
        <v>0</v>
      </c>
      <c r="K1792" s="34" t="str">
        <f t="shared" si="111"/>
        <v/>
      </c>
      <c r="L1792" s="14">
        <f>ROW()</f>
        <v>1792</v>
      </c>
    </row>
    <row r="1793" spans="1:12" ht="60" customHeight="1">
      <c r="A1793" s="41"/>
      <c r="B1793" s="43"/>
      <c r="C1793" s="44"/>
      <c r="D1793" s="51"/>
      <c r="E1793" s="44"/>
      <c r="F1793" s="44"/>
      <c r="G1793" s="34">
        <f t="shared" si="108"/>
        <v>0</v>
      </c>
      <c r="H1793" s="34" t="str">
        <f t="shared" si="109"/>
        <v/>
      </c>
      <c r="I1793" s="52" t="str">
        <f t="shared" si="110"/>
        <v/>
      </c>
      <c r="J1793" s="34">
        <f>IF(AND(A1793&lt;&gt;"",ISTEXT(A1793),COUNTIFS(Processos!$AS$10:$AS$509,"="&amp;SUBSTITUTE(SUBSTITUTE(SUBSTITUTE("P:"&amp;A1793,"~","~~"),"*","~*"),"?","~?"))=1),(IF(ISNA(MATCH(SUBSTITUTE(SUBSTITUTE(SUBSTITUTE("P:"&amp;A1793,"~","~~"),"*","~*"),"?","~?"),Processos!$AS$10:$AS$509,0)),9,INDEX(Processos!$AM$10:$AM$509,MATCH(SUBSTITUTE(SUBSTITUTE(SUBSTITUTE("P:"&amp;A1793,"~","~~"),"*","~*"),"?","~?"),Processos!$AS$10:$AS$509,0)))-9),0)</f>
        <v>0</v>
      </c>
      <c r="K1793" s="34" t="str">
        <f t="shared" si="111"/>
        <v/>
      </c>
      <c r="L1793" s="14">
        <f>ROW()</f>
        <v>1793</v>
      </c>
    </row>
    <row r="1794" spans="1:12" ht="60" customHeight="1">
      <c r="A1794" s="41"/>
      <c r="B1794" s="43"/>
      <c r="C1794" s="44"/>
      <c r="D1794" s="51"/>
      <c r="E1794" s="44"/>
      <c r="F1794" s="44"/>
      <c r="G1794" s="34">
        <f t="shared" si="108"/>
        <v>0</v>
      </c>
      <c r="H1794" s="34" t="str">
        <f t="shared" si="109"/>
        <v/>
      </c>
      <c r="I1794" s="52" t="str">
        <f t="shared" si="110"/>
        <v/>
      </c>
      <c r="J1794" s="34">
        <f>IF(AND(A1794&lt;&gt;"",ISTEXT(A1794),COUNTIFS(Processos!$AS$10:$AS$509,"="&amp;SUBSTITUTE(SUBSTITUTE(SUBSTITUTE("P:"&amp;A1794,"~","~~"),"*","~*"),"?","~?"))=1),(IF(ISNA(MATCH(SUBSTITUTE(SUBSTITUTE(SUBSTITUTE("P:"&amp;A1794,"~","~~"),"*","~*"),"?","~?"),Processos!$AS$10:$AS$509,0)),9,INDEX(Processos!$AM$10:$AM$509,MATCH(SUBSTITUTE(SUBSTITUTE(SUBSTITUTE("P:"&amp;A1794,"~","~~"),"*","~*"),"?","~?"),Processos!$AS$10:$AS$509,0)))-9),0)</f>
        <v>0</v>
      </c>
      <c r="K1794" s="34" t="str">
        <f t="shared" si="111"/>
        <v/>
      </c>
      <c r="L1794" s="14">
        <f>ROW()</f>
        <v>1794</v>
      </c>
    </row>
    <row r="1795" spans="1:12" ht="60" customHeight="1">
      <c r="A1795" s="41"/>
      <c r="B1795" s="43"/>
      <c r="C1795" s="44"/>
      <c r="D1795" s="51"/>
      <c r="E1795" s="44"/>
      <c r="F1795" s="44"/>
      <c r="G1795" s="34">
        <f t="shared" si="108"/>
        <v>0</v>
      </c>
      <c r="H1795" s="34" t="str">
        <f t="shared" si="109"/>
        <v/>
      </c>
      <c r="I1795" s="52" t="str">
        <f t="shared" si="110"/>
        <v/>
      </c>
      <c r="J1795" s="34">
        <f>IF(AND(A1795&lt;&gt;"",ISTEXT(A1795),COUNTIFS(Processos!$AS$10:$AS$509,"="&amp;SUBSTITUTE(SUBSTITUTE(SUBSTITUTE("P:"&amp;A1795,"~","~~"),"*","~*"),"?","~?"))=1),(IF(ISNA(MATCH(SUBSTITUTE(SUBSTITUTE(SUBSTITUTE("P:"&amp;A1795,"~","~~"),"*","~*"),"?","~?"),Processos!$AS$10:$AS$509,0)),9,INDEX(Processos!$AM$10:$AM$509,MATCH(SUBSTITUTE(SUBSTITUTE(SUBSTITUTE("P:"&amp;A1795,"~","~~"),"*","~*"),"?","~?"),Processos!$AS$10:$AS$509,0)))-9),0)</f>
        <v>0</v>
      </c>
      <c r="K1795" s="34" t="str">
        <f t="shared" si="111"/>
        <v/>
      </c>
      <c r="L1795" s="14">
        <f>ROW()</f>
        <v>1795</v>
      </c>
    </row>
    <row r="1796" spans="1:12" ht="60" customHeight="1">
      <c r="A1796" s="41"/>
      <c r="B1796" s="43"/>
      <c r="C1796" s="44"/>
      <c r="D1796" s="51"/>
      <c r="E1796" s="44"/>
      <c r="F1796" s="44"/>
      <c r="G1796" s="34">
        <f t="shared" si="108"/>
        <v>0</v>
      </c>
      <c r="H1796" s="34" t="str">
        <f t="shared" si="109"/>
        <v/>
      </c>
      <c r="I1796" s="52" t="str">
        <f t="shared" si="110"/>
        <v/>
      </c>
      <c r="J1796" s="34">
        <f>IF(AND(A1796&lt;&gt;"",ISTEXT(A1796),COUNTIFS(Processos!$AS$10:$AS$509,"="&amp;SUBSTITUTE(SUBSTITUTE(SUBSTITUTE("P:"&amp;A1796,"~","~~"),"*","~*"),"?","~?"))=1),(IF(ISNA(MATCH(SUBSTITUTE(SUBSTITUTE(SUBSTITUTE("P:"&amp;A1796,"~","~~"),"*","~*"),"?","~?"),Processos!$AS$10:$AS$509,0)),9,INDEX(Processos!$AM$10:$AM$509,MATCH(SUBSTITUTE(SUBSTITUTE(SUBSTITUTE("P:"&amp;A1796,"~","~~"),"*","~*"),"?","~?"),Processos!$AS$10:$AS$509,0)))-9),0)</f>
        <v>0</v>
      </c>
      <c r="K1796" s="34" t="str">
        <f t="shared" si="111"/>
        <v/>
      </c>
      <c r="L1796" s="14">
        <f>ROW()</f>
        <v>1796</v>
      </c>
    </row>
    <row r="1797" spans="1:12" ht="60" customHeight="1">
      <c r="A1797" s="41"/>
      <c r="B1797" s="43"/>
      <c r="C1797" s="44"/>
      <c r="D1797" s="51"/>
      <c r="E1797" s="44"/>
      <c r="F1797" s="44"/>
      <c r="G1797" s="34">
        <f t="shared" si="108"/>
        <v>0</v>
      </c>
      <c r="H1797" s="34" t="str">
        <f t="shared" si="109"/>
        <v/>
      </c>
      <c r="I1797" s="52" t="str">
        <f t="shared" si="110"/>
        <v/>
      </c>
      <c r="J1797" s="34">
        <f>IF(AND(A1797&lt;&gt;"",ISTEXT(A1797),COUNTIFS(Processos!$AS$10:$AS$509,"="&amp;SUBSTITUTE(SUBSTITUTE(SUBSTITUTE("P:"&amp;A1797,"~","~~"),"*","~*"),"?","~?"))=1),(IF(ISNA(MATCH(SUBSTITUTE(SUBSTITUTE(SUBSTITUTE("P:"&amp;A1797,"~","~~"),"*","~*"),"?","~?"),Processos!$AS$10:$AS$509,0)),9,INDEX(Processos!$AM$10:$AM$509,MATCH(SUBSTITUTE(SUBSTITUTE(SUBSTITUTE("P:"&amp;A1797,"~","~~"),"*","~*"),"?","~?"),Processos!$AS$10:$AS$509,0)))-9),0)</f>
        <v>0</v>
      </c>
      <c r="K1797" s="34" t="str">
        <f t="shared" si="111"/>
        <v/>
      </c>
      <c r="L1797" s="14">
        <f>ROW()</f>
        <v>1797</v>
      </c>
    </row>
    <row r="1798" spans="1:12" ht="60" customHeight="1">
      <c r="A1798" s="41"/>
      <c r="B1798" s="43"/>
      <c r="C1798" s="44"/>
      <c r="D1798" s="51"/>
      <c r="E1798" s="44"/>
      <c r="F1798" s="44"/>
      <c r="G1798" s="34">
        <f t="shared" si="108"/>
        <v>0</v>
      </c>
      <c r="H1798" s="34" t="str">
        <f t="shared" si="109"/>
        <v/>
      </c>
      <c r="I1798" s="52" t="str">
        <f t="shared" si="110"/>
        <v/>
      </c>
      <c r="J1798" s="34">
        <f>IF(AND(A1798&lt;&gt;"",ISTEXT(A1798),COUNTIFS(Processos!$AS$10:$AS$509,"="&amp;SUBSTITUTE(SUBSTITUTE(SUBSTITUTE("P:"&amp;A1798,"~","~~"),"*","~*"),"?","~?"))=1),(IF(ISNA(MATCH(SUBSTITUTE(SUBSTITUTE(SUBSTITUTE("P:"&amp;A1798,"~","~~"),"*","~*"),"?","~?"),Processos!$AS$10:$AS$509,0)),9,INDEX(Processos!$AM$10:$AM$509,MATCH(SUBSTITUTE(SUBSTITUTE(SUBSTITUTE("P:"&amp;A1798,"~","~~"),"*","~*"),"?","~?"),Processos!$AS$10:$AS$509,0)))-9),0)</f>
        <v>0</v>
      </c>
      <c r="K1798" s="34" t="str">
        <f t="shared" si="111"/>
        <v/>
      </c>
      <c r="L1798" s="14">
        <f>ROW()</f>
        <v>1798</v>
      </c>
    </row>
    <row r="1799" spans="1:12" ht="60" customHeight="1">
      <c r="A1799" s="41"/>
      <c r="B1799" s="43"/>
      <c r="C1799" s="44"/>
      <c r="D1799" s="51"/>
      <c r="E1799" s="44"/>
      <c r="F1799" s="44"/>
      <c r="G1799" s="34">
        <f t="shared" si="108"/>
        <v>0</v>
      </c>
      <c r="H1799" s="34" t="str">
        <f t="shared" si="109"/>
        <v/>
      </c>
      <c r="I1799" s="52" t="str">
        <f t="shared" si="110"/>
        <v/>
      </c>
      <c r="J1799" s="34">
        <f>IF(AND(A1799&lt;&gt;"",ISTEXT(A1799),COUNTIFS(Processos!$AS$10:$AS$509,"="&amp;SUBSTITUTE(SUBSTITUTE(SUBSTITUTE("P:"&amp;A1799,"~","~~"),"*","~*"),"?","~?"))=1),(IF(ISNA(MATCH(SUBSTITUTE(SUBSTITUTE(SUBSTITUTE("P:"&amp;A1799,"~","~~"),"*","~*"),"?","~?"),Processos!$AS$10:$AS$509,0)),9,INDEX(Processos!$AM$10:$AM$509,MATCH(SUBSTITUTE(SUBSTITUTE(SUBSTITUTE("P:"&amp;A1799,"~","~~"),"*","~*"),"?","~?"),Processos!$AS$10:$AS$509,0)))-9),0)</f>
        <v>0</v>
      </c>
      <c r="K1799" s="34" t="str">
        <f t="shared" si="111"/>
        <v/>
      </c>
      <c r="L1799" s="14">
        <f>ROW()</f>
        <v>1799</v>
      </c>
    </row>
    <row r="1800" spans="1:12" ht="60" customHeight="1">
      <c r="A1800" s="41"/>
      <c r="B1800" s="43"/>
      <c r="C1800" s="44"/>
      <c r="D1800" s="51"/>
      <c r="E1800" s="44"/>
      <c r="F1800" s="44"/>
      <c r="G1800" s="34">
        <f t="shared" si="108"/>
        <v>0</v>
      </c>
      <c r="H1800" s="34" t="str">
        <f t="shared" si="109"/>
        <v/>
      </c>
      <c r="I1800" s="52" t="str">
        <f t="shared" si="110"/>
        <v/>
      </c>
      <c r="J1800" s="34">
        <f>IF(AND(A1800&lt;&gt;"",ISTEXT(A1800),COUNTIFS(Processos!$AS$10:$AS$509,"="&amp;SUBSTITUTE(SUBSTITUTE(SUBSTITUTE("P:"&amp;A1800,"~","~~"),"*","~*"),"?","~?"))=1),(IF(ISNA(MATCH(SUBSTITUTE(SUBSTITUTE(SUBSTITUTE("P:"&amp;A1800,"~","~~"),"*","~*"),"?","~?"),Processos!$AS$10:$AS$509,0)),9,INDEX(Processos!$AM$10:$AM$509,MATCH(SUBSTITUTE(SUBSTITUTE(SUBSTITUTE("P:"&amp;A1800,"~","~~"),"*","~*"),"?","~?"),Processos!$AS$10:$AS$509,0)))-9),0)</f>
        <v>0</v>
      </c>
      <c r="K1800" s="34" t="str">
        <f t="shared" si="111"/>
        <v/>
      </c>
      <c r="L1800" s="14">
        <f>ROW()</f>
        <v>1800</v>
      </c>
    </row>
    <row r="1801" spans="1:12" ht="60" customHeight="1">
      <c r="A1801" s="41"/>
      <c r="B1801" s="43"/>
      <c r="C1801" s="44"/>
      <c r="D1801" s="51"/>
      <c r="E1801" s="44"/>
      <c r="F1801" s="44"/>
      <c r="G1801" s="34">
        <f t="shared" si="108"/>
        <v>0</v>
      </c>
      <c r="H1801" s="34" t="str">
        <f t="shared" si="109"/>
        <v/>
      </c>
      <c r="I1801" s="52" t="str">
        <f t="shared" si="110"/>
        <v/>
      </c>
      <c r="J1801" s="34">
        <f>IF(AND(A1801&lt;&gt;"",ISTEXT(A1801),COUNTIFS(Processos!$AS$10:$AS$509,"="&amp;SUBSTITUTE(SUBSTITUTE(SUBSTITUTE("P:"&amp;A1801,"~","~~"),"*","~*"),"?","~?"))=1),(IF(ISNA(MATCH(SUBSTITUTE(SUBSTITUTE(SUBSTITUTE("P:"&amp;A1801,"~","~~"),"*","~*"),"?","~?"),Processos!$AS$10:$AS$509,0)),9,INDEX(Processos!$AM$10:$AM$509,MATCH(SUBSTITUTE(SUBSTITUTE(SUBSTITUTE("P:"&amp;A1801,"~","~~"),"*","~*"),"?","~?"),Processos!$AS$10:$AS$509,0)))-9),0)</f>
        <v>0</v>
      </c>
      <c r="K1801" s="34" t="str">
        <f t="shared" si="111"/>
        <v/>
      </c>
      <c r="L1801" s="14">
        <f>ROW()</f>
        <v>1801</v>
      </c>
    </row>
    <row r="1802" spans="1:12" ht="60" customHeight="1">
      <c r="A1802" s="41"/>
      <c r="B1802" s="43"/>
      <c r="C1802" s="44"/>
      <c r="D1802" s="51"/>
      <c r="E1802" s="44"/>
      <c r="F1802" s="44"/>
      <c r="G1802" s="34">
        <f t="shared" ref="G1802:G1865" si="112">IF(AND(J1802&gt;0,OR(B1802="",AND(ISNUMBER(B1802),B1802&gt;=1,B1802&lt;=100000)),ISNUMBER(D1802),D1802&gt;=1,D1802&lt;=100000,C1802&lt;&gt;""),1,0)</f>
        <v>0</v>
      </c>
      <c r="H1802" s="34" t="str">
        <f t="shared" ref="H1802:H1865" si="113">IF(G1802=1,K1802&amp;"|"&amp;D1802,"")</f>
        <v/>
      </c>
      <c r="I1802" s="52" t="str">
        <f t="shared" ref="I1802:I1865" si="114">IF(COUNTA(A1802:F1802)=0,"",IF(A1802="","Selecione o processo",IF(J1802=0,"Processo inexistente, duplicado ou número não textual",IF(B1802="","Informe a data do andamento",IF(C1802="","Descreva o andamento",IF(D1802="","Informe a data e hora do recebimento",IF(OR(NOT(ISNUMBER(B1802)),B1802&lt;1,B1802&gt;100000),"Revise a data do andamento",IF(OR(NOT(ISNUMBER(D1802)),D1802&lt;1,D1802&gt;100000),"Revise a data e hora do recebimento",IF(COUNTIFS($K$10:$K$2009,"="&amp;SUBSTITUTE(SUBSTITUTE(SUBSTITUTE("P:"&amp;A1802,"~","~~"),"*","~*"),"?","~?"),$D$10:$D$2009,D1802,$G$10:$G$2009,1)&gt;1,"Recebimentos empatados: revise a hora ou consolide o registro","")))))))))</f>
        <v/>
      </c>
      <c r="J1802" s="34">
        <f>IF(AND(A1802&lt;&gt;"",ISTEXT(A1802),COUNTIFS(Processos!$AS$10:$AS$509,"="&amp;SUBSTITUTE(SUBSTITUTE(SUBSTITUTE("P:"&amp;A1802,"~","~~"),"*","~*"),"?","~?"))=1),(IF(ISNA(MATCH(SUBSTITUTE(SUBSTITUTE(SUBSTITUTE("P:"&amp;A1802,"~","~~"),"*","~*"),"?","~?"),Processos!$AS$10:$AS$509,0)),9,INDEX(Processos!$AM$10:$AM$509,MATCH(SUBSTITUTE(SUBSTITUTE(SUBSTITUTE("P:"&amp;A1802,"~","~~"),"*","~*"),"?","~?"),Processos!$AS$10:$AS$509,0)))-9),0)</f>
        <v>0</v>
      </c>
      <c r="K1802" s="34" t="str">
        <f t="shared" ref="K1802:K1865" si="115">IF(AND(A1802&lt;&gt;"",ISTEXT(A1802)),"P:"&amp;A1802,"")</f>
        <v/>
      </c>
      <c r="L1802" s="14">
        <f>ROW()</f>
        <v>1802</v>
      </c>
    </row>
    <row r="1803" spans="1:12" ht="60" customHeight="1">
      <c r="A1803" s="41"/>
      <c r="B1803" s="43"/>
      <c r="C1803" s="44"/>
      <c r="D1803" s="51"/>
      <c r="E1803" s="44"/>
      <c r="F1803" s="44"/>
      <c r="G1803" s="34">
        <f t="shared" si="112"/>
        <v>0</v>
      </c>
      <c r="H1803" s="34" t="str">
        <f t="shared" si="113"/>
        <v/>
      </c>
      <c r="I1803" s="52" t="str">
        <f t="shared" si="114"/>
        <v/>
      </c>
      <c r="J1803" s="34">
        <f>IF(AND(A1803&lt;&gt;"",ISTEXT(A1803),COUNTIFS(Processos!$AS$10:$AS$509,"="&amp;SUBSTITUTE(SUBSTITUTE(SUBSTITUTE("P:"&amp;A1803,"~","~~"),"*","~*"),"?","~?"))=1),(IF(ISNA(MATCH(SUBSTITUTE(SUBSTITUTE(SUBSTITUTE("P:"&amp;A1803,"~","~~"),"*","~*"),"?","~?"),Processos!$AS$10:$AS$509,0)),9,INDEX(Processos!$AM$10:$AM$509,MATCH(SUBSTITUTE(SUBSTITUTE(SUBSTITUTE("P:"&amp;A1803,"~","~~"),"*","~*"),"?","~?"),Processos!$AS$10:$AS$509,0)))-9),0)</f>
        <v>0</v>
      </c>
      <c r="K1803" s="34" t="str">
        <f t="shared" si="115"/>
        <v/>
      </c>
      <c r="L1803" s="14">
        <f>ROW()</f>
        <v>1803</v>
      </c>
    </row>
    <row r="1804" spans="1:12" ht="60" customHeight="1">
      <c r="A1804" s="41"/>
      <c r="B1804" s="43"/>
      <c r="C1804" s="44"/>
      <c r="D1804" s="51"/>
      <c r="E1804" s="44"/>
      <c r="F1804" s="44"/>
      <c r="G1804" s="34">
        <f t="shared" si="112"/>
        <v>0</v>
      </c>
      <c r="H1804" s="34" t="str">
        <f t="shared" si="113"/>
        <v/>
      </c>
      <c r="I1804" s="52" t="str">
        <f t="shared" si="114"/>
        <v/>
      </c>
      <c r="J1804" s="34">
        <f>IF(AND(A1804&lt;&gt;"",ISTEXT(A1804),COUNTIFS(Processos!$AS$10:$AS$509,"="&amp;SUBSTITUTE(SUBSTITUTE(SUBSTITUTE("P:"&amp;A1804,"~","~~"),"*","~*"),"?","~?"))=1),(IF(ISNA(MATCH(SUBSTITUTE(SUBSTITUTE(SUBSTITUTE("P:"&amp;A1804,"~","~~"),"*","~*"),"?","~?"),Processos!$AS$10:$AS$509,0)),9,INDEX(Processos!$AM$10:$AM$509,MATCH(SUBSTITUTE(SUBSTITUTE(SUBSTITUTE("P:"&amp;A1804,"~","~~"),"*","~*"),"?","~?"),Processos!$AS$10:$AS$509,0)))-9),0)</f>
        <v>0</v>
      </c>
      <c r="K1804" s="34" t="str">
        <f t="shared" si="115"/>
        <v/>
      </c>
      <c r="L1804" s="14">
        <f>ROW()</f>
        <v>1804</v>
      </c>
    </row>
    <row r="1805" spans="1:12" ht="60" customHeight="1">
      <c r="A1805" s="41"/>
      <c r="B1805" s="43"/>
      <c r="C1805" s="44"/>
      <c r="D1805" s="51"/>
      <c r="E1805" s="44"/>
      <c r="F1805" s="44"/>
      <c r="G1805" s="34">
        <f t="shared" si="112"/>
        <v>0</v>
      </c>
      <c r="H1805" s="34" t="str">
        <f t="shared" si="113"/>
        <v/>
      </c>
      <c r="I1805" s="52" t="str">
        <f t="shared" si="114"/>
        <v/>
      </c>
      <c r="J1805" s="34">
        <f>IF(AND(A1805&lt;&gt;"",ISTEXT(A1805),COUNTIFS(Processos!$AS$10:$AS$509,"="&amp;SUBSTITUTE(SUBSTITUTE(SUBSTITUTE("P:"&amp;A1805,"~","~~"),"*","~*"),"?","~?"))=1),(IF(ISNA(MATCH(SUBSTITUTE(SUBSTITUTE(SUBSTITUTE("P:"&amp;A1805,"~","~~"),"*","~*"),"?","~?"),Processos!$AS$10:$AS$509,0)),9,INDEX(Processos!$AM$10:$AM$509,MATCH(SUBSTITUTE(SUBSTITUTE(SUBSTITUTE("P:"&amp;A1805,"~","~~"),"*","~*"),"?","~?"),Processos!$AS$10:$AS$509,0)))-9),0)</f>
        <v>0</v>
      </c>
      <c r="K1805" s="34" t="str">
        <f t="shared" si="115"/>
        <v/>
      </c>
      <c r="L1805" s="14">
        <f>ROW()</f>
        <v>1805</v>
      </c>
    </row>
    <row r="1806" spans="1:12" ht="60" customHeight="1">
      <c r="A1806" s="41"/>
      <c r="B1806" s="43"/>
      <c r="C1806" s="44"/>
      <c r="D1806" s="51"/>
      <c r="E1806" s="44"/>
      <c r="F1806" s="44"/>
      <c r="G1806" s="34">
        <f t="shared" si="112"/>
        <v>0</v>
      </c>
      <c r="H1806" s="34" t="str">
        <f t="shared" si="113"/>
        <v/>
      </c>
      <c r="I1806" s="52" t="str">
        <f t="shared" si="114"/>
        <v/>
      </c>
      <c r="J1806" s="34">
        <f>IF(AND(A1806&lt;&gt;"",ISTEXT(A1806),COUNTIFS(Processos!$AS$10:$AS$509,"="&amp;SUBSTITUTE(SUBSTITUTE(SUBSTITUTE("P:"&amp;A1806,"~","~~"),"*","~*"),"?","~?"))=1),(IF(ISNA(MATCH(SUBSTITUTE(SUBSTITUTE(SUBSTITUTE("P:"&amp;A1806,"~","~~"),"*","~*"),"?","~?"),Processos!$AS$10:$AS$509,0)),9,INDEX(Processos!$AM$10:$AM$509,MATCH(SUBSTITUTE(SUBSTITUTE(SUBSTITUTE("P:"&amp;A1806,"~","~~"),"*","~*"),"?","~?"),Processos!$AS$10:$AS$509,0)))-9),0)</f>
        <v>0</v>
      </c>
      <c r="K1806" s="34" t="str">
        <f t="shared" si="115"/>
        <v/>
      </c>
      <c r="L1806" s="14">
        <f>ROW()</f>
        <v>1806</v>
      </c>
    </row>
    <row r="1807" spans="1:12" ht="60" customHeight="1">
      <c r="A1807" s="41"/>
      <c r="B1807" s="43"/>
      <c r="C1807" s="44"/>
      <c r="D1807" s="51"/>
      <c r="E1807" s="44"/>
      <c r="F1807" s="44"/>
      <c r="G1807" s="34">
        <f t="shared" si="112"/>
        <v>0</v>
      </c>
      <c r="H1807" s="34" t="str">
        <f t="shared" si="113"/>
        <v/>
      </c>
      <c r="I1807" s="52" t="str">
        <f t="shared" si="114"/>
        <v/>
      </c>
      <c r="J1807" s="34">
        <f>IF(AND(A1807&lt;&gt;"",ISTEXT(A1807),COUNTIFS(Processos!$AS$10:$AS$509,"="&amp;SUBSTITUTE(SUBSTITUTE(SUBSTITUTE("P:"&amp;A1807,"~","~~"),"*","~*"),"?","~?"))=1),(IF(ISNA(MATCH(SUBSTITUTE(SUBSTITUTE(SUBSTITUTE("P:"&amp;A1807,"~","~~"),"*","~*"),"?","~?"),Processos!$AS$10:$AS$509,0)),9,INDEX(Processos!$AM$10:$AM$509,MATCH(SUBSTITUTE(SUBSTITUTE(SUBSTITUTE("P:"&amp;A1807,"~","~~"),"*","~*"),"?","~?"),Processos!$AS$10:$AS$509,0)))-9),0)</f>
        <v>0</v>
      </c>
      <c r="K1807" s="34" t="str">
        <f t="shared" si="115"/>
        <v/>
      </c>
      <c r="L1807" s="14">
        <f>ROW()</f>
        <v>1807</v>
      </c>
    </row>
    <row r="1808" spans="1:12" ht="60" customHeight="1">
      <c r="A1808" s="41"/>
      <c r="B1808" s="43"/>
      <c r="C1808" s="44"/>
      <c r="D1808" s="51"/>
      <c r="E1808" s="44"/>
      <c r="F1808" s="44"/>
      <c r="G1808" s="34">
        <f t="shared" si="112"/>
        <v>0</v>
      </c>
      <c r="H1808" s="34" t="str">
        <f t="shared" si="113"/>
        <v/>
      </c>
      <c r="I1808" s="52" t="str">
        <f t="shared" si="114"/>
        <v/>
      </c>
      <c r="J1808" s="34">
        <f>IF(AND(A1808&lt;&gt;"",ISTEXT(A1808),COUNTIFS(Processos!$AS$10:$AS$509,"="&amp;SUBSTITUTE(SUBSTITUTE(SUBSTITUTE("P:"&amp;A1808,"~","~~"),"*","~*"),"?","~?"))=1),(IF(ISNA(MATCH(SUBSTITUTE(SUBSTITUTE(SUBSTITUTE("P:"&amp;A1808,"~","~~"),"*","~*"),"?","~?"),Processos!$AS$10:$AS$509,0)),9,INDEX(Processos!$AM$10:$AM$509,MATCH(SUBSTITUTE(SUBSTITUTE(SUBSTITUTE("P:"&amp;A1808,"~","~~"),"*","~*"),"?","~?"),Processos!$AS$10:$AS$509,0)))-9),0)</f>
        <v>0</v>
      </c>
      <c r="K1808" s="34" t="str">
        <f t="shared" si="115"/>
        <v/>
      </c>
      <c r="L1808" s="14">
        <f>ROW()</f>
        <v>1808</v>
      </c>
    </row>
    <row r="1809" spans="1:12" ht="60" customHeight="1">
      <c r="A1809" s="41"/>
      <c r="B1809" s="43"/>
      <c r="C1809" s="44"/>
      <c r="D1809" s="51"/>
      <c r="E1809" s="44"/>
      <c r="F1809" s="44"/>
      <c r="G1809" s="34">
        <f t="shared" si="112"/>
        <v>0</v>
      </c>
      <c r="H1809" s="34" t="str">
        <f t="shared" si="113"/>
        <v/>
      </c>
      <c r="I1809" s="52" t="str">
        <f t="shared" si="114"/>
        <v/>
      </c>
      <c r="J1809" s="34">
        <f>IF(AND(A1809&lt;&gt;"",ISTEXT(A1809),COUNTIFS(Processos!$AS$10:$AS$509,"="&amp;SUBSTITUTE(SUBSTITUTE(SUBSTITUTE("P:"&amp;A1809,"~","~~"),"*","~*"),"?","~?"))=1),(IF(ISNA(MATCH(SUBSTITUTE(SUBSTITUTE(SUBSTITUTE("P:"&amp;A1809,"~","~~"),"*","~*"),"?","~?"),Processos!$AS$10:$AS$509,0)),9,INDEX(Processos!$AM$10:$AM$509,MATCH(SUBSTITUTE(SUBSTITUTE(SUBSTITUTE("P:"&amp;A1809,"~","~~"),"*","~*"),"?","~?"),Processos!$AS$10:$AS$509,0)))-9),0)</f>
        <v>0</v>
      </c>
      <c r="K1809" s="34" t="str">
        <f t="shared" si="115"/>
        <v/>
      </c>
      <c r="L1809" s="14">
        <f>ROW()</f>
        <v>1809</v>
      </c>
    </row>
    <row r="1810" spans="1:12" ht="60" customHeight="1">
      <c r="A1810" s="41"/>
      <c r="B1810" s="43"/>
      <c r="C1810" s="44"/>
      <c r="D1810" s="51"/>
      <c r="E1810" s="44"/>
      <c r="F1810" s="44"/>
      <c r="G1810" s="34">
        <f t="shared" si="112"/>
        <v>0</v>
      </c>
      <c r="H1810" s="34" t="str">
        <f t="shared" si="113"/>
        <v/>
      </c>
      <c r="I1810" s="52" t="str">
        <f t="shared" si="114"/>
        <v/>
      </c>
      <c r="J1810" s="34">
        <f>IF(AND(A1810&lt;&gt;"",ISTEXT(A1810),COUNTIFS(Processos!$AS$10:$AS$509,"="&amp;SUBSTITUTE(SUBSTITUTE(SUBSTITUTE("P:"&amp;A1810,"~","~~"),"*","~*"),"?","~?"))=1),(IF(ISNA(MATCH(SUBSTITUTE(SUBSTITUTE(SUBSTITUTE("P:"&amp;A1810,"~","~~"),"*","~*"),"?","~?"),Processos!$AS$10:$AS$509,0)),9,INDEX(Processos!$AM$10:$AM$509,MATCH(SUBSTITUTE(SUBSTITUTE(SUBSTITUTE("P:"&amp;A1810,"~","~~"),"*","~*"),"?","~?"),Processos!$AS$10:$AS$509,0)))-9),0)</f>
        <v>0</v>
      </c>
      <c r="K1810" s="34" t="str">
        <f t="shared" si="115"/>
        <v/>
      </c>
      <c r="L1810" s="14">
        <f>ROW()</f>
        <v>1810</v>
      </c>
    </row>
    <row r="1811" spans="1:12" ht="60" customHeight="1">
      <c r="A1811" s="41"/>
      <c r="B1811" s="43"/>
      <c r="C1811" s="44"/>
      <c r="D1811" s="51"/>
      <c r="E1811" s="44"/>
      <c r="F1811" s="44"/>
      <c r="G1811" s="34">
        <f t="shared" si="112"/>
        <v>0</v>
      </c>
      <c r="H1811" s="34" t="str">
        <f t="shared" si="113"/>
        <v/>
      </c>
      <c r="I1811" s="52" t="str">
        <f t="shared" si="114"/>
        <v/>
      </c>
      <c r="J1811" s="34">
        <f>IF(AND(A1811&lt;&gt;"",ISTEXT(A1811),COUNTIFS(Processos!$AS$10:$AS$509,"="&amp;SUBSTITUTE(SUBSTITUTE(SUBSTITUTE("P:"&amp;A1811,"~","~~"),"*","~*"),"?","~?"))=1),(IF(ISNA(MATCH(SUBSTITUTE(SUBSTITUTE(SUBSTITUTE("P:"&amp;A1811,"~","~~"),"*","~*"),"?","~?"),Processos!$AS$10:$AS$509,0)),9,INDEX(Processos!$AM$10:$AM$509,MATCH(SUBSTITUTE(SUBSTITUTE(SUBSTITUTE("P:"&amp;A1811,"~","~~"),"*","~*"),"?","~?"),Processos!$AS$10:$AS$509,0)))-9),0)</f>
        <v>0</v>
      </c>
      <c r="K1811" s="34" t="str">
        <f t="shared" si="115"/>
        <v/>
      </c>
      <c r="L1811" s="14">
        <f>ROW()</f>
        <v>1811</v>
      </c>
    </row>
    <row r="1812" spans="1:12" ht="60" customHeight="1">
      <c r="A1812" s="41"/>
      <c r="B1812" s="43"/>
      <c r="C1812" s="44"/>
      <c r="D1812" s="51"/>
      <c r="E1812" s="44"/>
      <c r="F1812" s="44"/>
      <c r="G1812" s="34">
        <f t="shared" si="112"/>
        <v>0</v>
      </c>
      <c r="H1812" s="34" t="str">
        <f t="shared" si="113"/>
        <v/>
      </c>
      <c r="I1812" s="52" t="str">
        <f t="shared" si="114"/>
        <v/>
      </c>
      <c r="J1812" s="34">
        <f>IF(AND(A1812&lt;&gt;"",ISTEXT(A1812),COUNTIFS(Processos!$AS$10:$AS$509,"="&amp;SUBSTITUTE(SUBSTITUTE(SUBSTITUTE("P:"&amp;A1812,"~","~~"),"*","~*"),"?","~?"))=1),(IF(ISNA(MATCH(SUBSTITUTE(SUBSTITUTE(SUBSTITUTE("P:"&amp;A1812,"~","~~"),"*","~*"),"?","~?"),Processos!$AS$10:$AS$509,0)),9,INDEX(Processos!$AM$10:$AM$509,MATCH(SUBSTITUTE(SUBSTITUTE(SUBSTITUTE("P:"&amp;A1812,"~","~~"),"*","~*"),"?","~?"),Processos!$AS$10:$AS$509,0)))-9),0)</f>
        <v>0</v>
      </c>
      <c r="K1812" s="34" t="str">
        <f t="shared" si="115"/>
        <v/>
      </c>
      <c r="L1812" s="14">
        <f>ROW()</f>
        <v>1812</v>
      </c>
    </row>
    <row r="1813" spans="1:12" ht="60" customHeight="1">
      <c r="A1813" s="41"/>
      <c r="B1813" s="43"/>
      <c r="C1813" s="44"/>
      <c r="D1813" s="51"/>
      <c r="E1813" s="44"/>
      <c r="F1813" s="44"/>
      <c r="G1813" s="34">
        <f t="shared" si="112"/>
        <v>0</v>
      </c>
      <c r="H1813" s="34" t="str">
        <f t="shared" si="113"/>
        <v/>
      </c>
      <c r="I1813" s="52" t="str">
        <f t="shared" si="114"/>
        <v/>
      </c>
      <c r="J1813" s="34">
        <f>IF(AND(A1813&lt;&gt;"",ISTEXT(A1813),COUNTIFS(Processos!$AS$10:$AS$509,"="&amp;SUBSTITUTE(SUBSTITUTE(SUBSTITUTE("P:"&amp;A1813,"~","~~"),"*","~*"),"?","~?"))=1),(IF(ISNA(MATCH(SUBSTITUTE(SUBSTITUTE(SUBSTITUTE("P:"&amp;A1813,"~","~~"),"*","~*"),"?","~?"),Processos!$AS$10:$AS$509,0)),9,INDEX(Processos!$AM$10:$AM$509,MATCH(SUBSTITUTE(SUBSTITUTE(SUBSTITUTE("P:"&amp;A1813,"~","~~"),"*","~*"),"?","~?"),Processos!$AS$10:$AS$509,0)))-9),0)</f>
        <v>0</v>
      </c>
      <c r="K1813" s="34" t="str">
        <f t="shared" si="115"/>
        <v/>
      </c>
      <c r="L1813" s="14">
        <f>ROW()</f>
        <v>1813</v>
      </c>
    </row>
    <row r="1814" spans="1:12" ht="60" customHeight="1">
      <c r="A1814" s="41"/>
      <c r="B1814" s="43"/>
      <c r="C1814" s="44"/>
      <c r="D1814" s="51"/>
      <c r="E1814" s="44"/>
      <c r="F1814" s="44"/>
      <c r="G1814" s="34">
        <f t="shared" si="112"/>
        <v>0</v>
      </c>
      <c r="H1814" s="34" t="str">
        <f t="shared" si="113"/>
        <v/>
      </c>
      <c r="I1814" s="52" t="str">
        <f t="shared" si="114"/>
        <v/>
      </c>
      <c r="J1814" s="34">
        <f>IF(AND(A1814&lt;&gt;"",ISTEXT(A1814),COUNTIFS(Processos!$AS$10:$AS$509,"="&amp;SUBSTITUTE(SUBSTITUTE(SUBSTITUTE("P:"&amp;A1814,"~","~~"),"*","~*"),"?","~?"))=1),(IF(ISNA(MATCH(SUBSTITUTE(SUBSTITUTE(SUBSTITUTE("P:"&amp;A1814,"~","~~"),"*","~*"),"?","~?"),Processos!$AS$10:$AS$509,0)),9,INDEX(Processos!$AM$10:$AM$509,MATCH(SUBSTITUTE(SUBSTITUTE(SUBSTITUTE("P:"&amp;A1814,"~","~~"),"*","~*"),"?","~?"),Processos!$AS$10:$AS$509,0)))-9),0)</f>
        <v>0</v>
      </c>
      <c r="K1814" s="34" t="str">
        <f t="shared" si="115"/>
        <v/>
      </c>
      <c r="L1814" s="14">
        <f>ROW()</f>
        <v>1814</v>
      </c>
    </row>
    <row r="1815" spans="1:12" ht="60" customHeight="1">
      <c r="A1815" s="41"/>
      <c r="B1815" s="43"/>
      <c r="C1815" s="44"/>
      <c r="D1815" s="51"/>
      <c r="E1815" s="44"/>
      <c r="F1815" s="44"/>
      <c r="G1815" s="34">
        <f t="shared" si="112"/>
        <v>0</v>
      </c>
      <c r="H1815" s="34" t="str">
        <f t="shared" si="113"/>
        <v/>
      </c>
      <c r="I1815" s="52" t="str">
        <f t="shared" si="114"/>
        <v/>
      </c>
      <c r="J1815" s="34">
        <f>IF(AND(A1815&lt;&gt;"",ISTEXT(A1815),COUNTIFS(Processos!$AS$10:$AS$509,"="&amp;SUBSTITUTE(SUBSTITUTE(SUBSTITUTE("P:"&amp;A1815,"~","~~"),"*","~*"),"?","~?"))=1),(IF(ISNA(MATCH(SUBSTITUTE(SUBSTITUTE(SUBSTITUTE("P:"&amp;A1815,"~","~~"),"*","~*"),"?","~?"),Processos!$AS$10:$AS$509,0)),9,INDEX(Processos!$AM$10:$AM$509,MATCH(SUBSTITUTE(SUBSTITUTE(SUBSTITUTE("P:"&amp;A1815,"~","~~"),"*","~*"),"?","~?"),Processos!$AS$10:$AS$509,0)))-9),0)</f>
        <v>0</v>
      </c>
      <c r="K1815" s="34" t="str">
        <f t="shared" si="115"/>
        <v/>
      </c>
      <c r="L1815" s="14">
        <f>ROW()</f>
        <v>1815</v>
      </c>
    </row>
    <row r="1816" spans="1:12" ht="60" customHeight="1">
      <c r="A1816" s="41"/>
      <c r="B1816" s="43"/>
      <c r="C1816" s="44"/>
      <c r="D1816" s="51"/>
      <c r="E1816" s="44"/>
      <c r="F1816" s="44"/>
      <c r="G1816" s="34">
        <f t="shared" si="112"/>
        <v>0</v>
      </c>
      <c r="H1816" s="34" t="str">
        <f t="shared" si="113"/>
        <v/>
      </c>
      <c r="I1816" s="52" t="str">
        <f t="shared" si="114"/>
        <v/>
      </c>
      <c r="J1816" s="34">
        <f>IF(AND(A1816&lt;&gt;"",ISTEXT(A1816),COUNTIFS(Processos!$AS$10:$AS$509,"="&amp;SUBSTITUTE(SUBSTITUTE(SUBSTITUTE("P:"&amp;A1816,"~","~~"),"*","~*"),"?","~?"))=1),(IF(ISNA(MATCH(SUBSTITUTE(SUBSTITUTE(SUBSTITUTE("P:"&amp;A1816,"~","~~"),"*","~*"),"?","~?"),Processos!$AS$10:$AS$509,0)),9,INDEX(Processos!$AM$10:$AM$509,MATCH(SUBSTITUTE(SUBSTITUTE(SUBSTITUTE("P:"&amp;A1816,"~","~~"),"*","~*"),"?","~?"),Processos!$AS$10:$AS$509,0)))-9),0)</f>
        <v>0</v>
      </c>
      <c r="K1816" s="34" t="str">
        <f t="shared" si="115"/>
        <v/>
      </c>
      <c r="L1816" s="14">
        <f>ROW()</f>
        <v>1816</v>
      </c>
    </row>
    <row r="1817" spans="1:12" ht="60" customHeight="1">
      <c r="A1817" s="41"/>
      <c r="B1817" s="43"/>
      <c r="C1817" s="44"/>
      <c r="D1817" s="51"/>
      <c r="E1817" s="44"/>
      <c r="F1817" s="44"/>
      <c r="G1817" s="34">
        <f t="shared" si="112"/>
        <v>0</v>
      </c>
      <c r="H1817" s="34" t="str">
        <f t="shared" si="113"/>
        <v/>
      </c>
      <c r="I1817" s="52" t="str">
        <f t="shared" si="114"/>
        <v/>
      </c>
      <c r="J1817" s="34">
        <f>IF(AND(A1817&lt;&gt;"",ISTEXT(A1817),COUNTIFS(Processos!$AS$10:$AS$509,"="&amp;SUBSTITUTE(SUBSTITUTE(SUBSTITUTE("P:"&amp;A1817,"~","~~"),"*","~*"),"?","~?"))=1),(IF(ISNA(MATCH(SUBSTITUTE(SUBSTITUTE(SUBSTITUTE("P:"&amp;A1817,"~","~~"),"*","~*"),"?","~?"),Processos!$AS$10:$AS$509,0)),9,INDEX(Processos!$AM$10:$AM$509,MATCH(SUBSTITUTE(SUBSTITUTE(SUBSTITUTE("P:"&amp;A1817,"~","~~"),"*","~*"),"?","~?"),Processos!$AS$10:$AS$509,0)))-9),0)</f>
        <v>0</v>
      </c>
      <c r="K1817" s="34" t="str">
        <f t="shared" si="115"/>
        <v/>
      </c>
      <c r="L1817" s="14">
        <f>ROW()</f>
        <v>1817</v>
      </c>
    </row>
    <row r="1818" spans="1:12" ht="60" customHeight="1">
      <c r="A1818" s="41"/>
      <c r="B1818" s="43"/>
      <c r="C1818" s="44"/>
      <c r="D1818" s="51"/>
      <c r="E1818" s="44"/>
      <c r="F1818" s="44"/>
      <c r="G1818" s="34">
        <f t="shared" si="112"/>
        <v>0</v>
      </c>
      <c r="H1818" s="34" t="str">
        <f t="shared" si="113"/>
        <v/>
      </c>
      <c r="I1818" s="52" t="str">
        <f t="shared" si="114"/>
        <v/>
      </c>
      <c r="J1818" s="34">
        <f>IF(AND(A1818&lt;&gt;"",ISTEXT(A1818),COUNTIFS(Processos!$AS$10:$AS$509,"="&amp;SUBSTITUTE(SUBSTITUTE(SUBSTITUTE("P:"&amp;A1818,"~","~~"),"*","~*"),"?","~?"))=1),(IF(ISNA(MATCH(SUBSTITUTE(SUBSTITUTE(SUBSTITUTE("P:"&amp;A1818,"~","~~"),"*","~*"),"?","~?"),Processos!$AS$10:$AS$509,0)),9,INDEX(Processos!$AM$10:$AM$509,MATCH(SUBSTITUTE(SUBSTITUTE(SUBSTITUTE("P:"&amp;A1818,"~","~~"),"*","~*"),"?","~?"),Processos!$AS$10:$AS$509,0)))-9),0)</f>
        <v>0</v>
      </c>
      <c r="K1818" s="34" t="str">
        <f t="shared" si="115"/>
        <v/>
      </c>
      <c r="L1818" s="14">
        <f>ROW()</f>
        <v>1818</v>
      </c>
    </row>
    <row r="1819" spans="1:12" ht="60" customHeight="1">
      <c r="A1819" s="41"/>
      <c r="B1819" s="43"/>
      <c r="C1819" s="44"/>
      <c r="D1819" s="51"/>
      <c r="E1819" s="44"/>
      <c r="F1819" s="44"/>
      <c r="G1819" s="34">
        <f t="shared" si="112"/>
        <v>0</v>
      </c>
      <c r="H1819" s="34" t="str">
        <f t="shared" si="113"/>
        <v/>
      </c>
      <c r="I1819" s="52" t="str">
        <f t="shared" si="114"/>
        <v/>
      </c>
      <c r="J1819" s="34">
        <f>IF(AND(A1819&lt;&gt;"",ISTEXT(A1819),COUNTIFS(Processos!$AS$10:$AS$509,"="&amp;SUBSTITUTE(SUBSTITUTE(SUBSTITUTE("P:"&amp;A1819,"~","~~"),"*","~*"),"?","~?"))=1),(IF(ISNA(MATCH(SUBSTITUTE(SUBSTITUTE(SUBSTITUTE("P:"&amp;A1819,"~","~~"),"*","~*"),"?","~?"),Processos!$AS$10:$AS$509,0)),9,INDEX(Processos!$AM$10:$AM$509,MATCH(SUBSTITUTE(SUBSTITUTE(SUBSTITUTE("P:"&amp;A1819,"~","~~"),"*","~*"),"?","~?"),Processos!$AS$10:$AS$509,0)))-9),0)</f>
        <v>0</v>
      </c>
      <c r="K1819" s="34" t="str">
        <f t="shared" si="115"/>
        <v/>
      </c>
      <c r="L1819" s="14">
        <f>ROW()</f>
        <v>1819</v>
      </c>
    </row>
    <row r="1820" spans="1:12" ht="60" customHeight="1">
      <c r="A1820" s="41"/>
      <c r="B1820" s="43"/>
      <c r="C1820" s="44"/>
      <c r="D1820" s="51"/>
      <c r="E1820" s="44"/>
      <c r="F1820" s="44"/>
      <c r="G1820" s="34">
        <f t="shared" si="112"/>
        <v>0</v>
      </c>
      <c r="H1820" s="34" t="str">
        <f t="shared" si="113"/>
        <v/>
      </c>
      <c r="I1820" s="52" t="str">
        <f t="shared" si="114"/>
        <v/>
      </c>
      <c r="J1820" s="34">
        <f>IF(AND(A1820&lt;&gt;"",ISTEXT(A1820),COUNTIFS(Processos!$AS$10:$AS$509,"="&amp;SUBSTITUTE(SUBSTITUTE(SUBSTITUTE("P:"&amp;A1820,"~","~~"),"*","~*"),"?","~?"))=1),(IF(ISNA(MATCH(SUBSTITUTE(SUBSTITUTE(SUBSTITUTE("P:"&amp;A1820,"~","~~"),"*","~*"),"?","~?"),Processos!$AS$10:$AS$509,0)),9,INDEX(Processos!$AM$10:$AM$509,MATCH(SUBSTITUTE(SUBSTITUTE(SUBSTITUTE("P:"&amp;A1820,"~","~~"),"*","~*"),"?","~?"),Processos!$AS$10:$AS$509,0)))-9),0)</f>
        <v>0</v>
      </c>
      <c r="K1820" s="34" t="str">
        <f t="shared" si="115"/>
        <v/>
      </c>
      <c r="L1820" s="14">
        <f>ROW()</f>
        <v>1820</v>
      </c>
    </row>
    <row r="1821" spans="1:12" ht="60" customHeight="1">
      <c r="A1821" s="41"/>
      <c r="B1821" s="43"/>
      <c r="C1821" s="44"/>
      <c r="D1821" s="51"/>
      <c r="E1821" s="44"/>
      <c r="F1821" s="44"/>
      <c r="G1821" s="34">
        <f t="shared" si="112"/>
        <v>0</v>
      </c>
      <c r="H1821" s="34" t="str">
        <f t="shared" si="113"/>
        <v/>
      </c>
      <c r="I1821" s="52" t="str">
        <f t="shared" si="114"/>
        <v/>
      </c>
      <c r="J1821" s="34">
        <f>IF(AND(A1821&lt;&gt;"",ISTEXT(A1821),COUNTIFS(Processos!$AS$10:$AS$509,"="&amp;SUBSTITUTE(SUBSTITUTE(SUBSTITUTE("P:"&amp;A1821,"~","~~"),"*","~*"),"?","~?"))=1),(IF(ISNA(MATCH(SUBSTITUTE(SUBSTITUTE(SUBSTITUTE("P:"&amp;A1821,"~","~~"),"*","~*"),"?","~?"),Processos!$AS$10:$AS$509,0)),9,INDEX(Processos!$AM$10:$AM$509,MATCH(SUBSTITUTE(SUBSTITUTE(SUBSTITUTE("P:"&amp;A1821,"~","~~"),"*","~*"),"?","~?"),Processos!$AS$10:$AS$509,0)))-9),0)</f>
        <v>0</v>
      </c>
      <c r="K1821" s="34" t="str">
        <f t="shared" si="115"/>
        <v/>
      </c>
      <c r="L1821" s="14">
        <f>ROW()</f>
        <v>1821</v>
      </c>
    </row>
    <row r="1822" spans="1:12" ht="60" customHeight="1">
      <c r="A1822" s="41"/>
      <c r="B1822" s="43"/>
      <c r="C1822" s="44"/>
      <c r="D1822" s="51"/>
      <c r="E1822" s="44"/>
      <c r="F1822" s="44"/>
      <c r="G1822" s="34">
        <f t="shared" si="112"/>
        <v>0</v>
      </c>
      <c r="H1822" s="34" t="str">
        <f t="shared" si="113"/>
        <v/>
      </c>
      <c r="I1822" s="52" t="str">
        <f t="shared" si="114"/>
        <v/>
      </c>
      <c r="J1822" s="34">
        <f>IF(AND(A1822&lt;&gt;"",ISTEXT(A1822),COUNTIFS(Processos!$AS$10:$AS$509,"="&amp;SUBSTITUTE(SUBSTITUTE(SUBSTITUTE("P:"&amp;A1822,"~","~~"),"*","~*"),"?","~?"))=1),(IF(ISNA(MATCH(SUBSTITUTE(SUBSTITUTE(SUBSTITUTE("P:"&amp;A1822,"~","~~"),"*","~*"),"?","~?"),Processos!$AS$10:$AS$509,0)),9,INDEX(Processos!$AM$10:$AM$509,MATCH(SUBSTITUTE(SUBSTITUTE(SUBSTITUTE("P:"&amp;A1822,"~","~~"),"*","~*"),"?","~?"),Processos!$AS$10:$AS$509,0)))-9),0)</f>
        <v>0</v>
      </c>
      <c r="K1822" s="34" t="str">
        <f t="shared" si="115"/>
        <v/>
      </c>
      <c r="L1822" s="14">
        <f>ROW()</f>
        <v>1822</v>
      </c>
    </row>
    <row r="1823" spans="1:12" ht="60" customHeight="1">
      <c r="A1823" s="41"/>
      <c r="B1823" s="43"/>
      <c r="C1823" s="44"/>
      <c r="D1823" s="51"/>
      <c r="E1823" s="44"/>
      <c r="F1823" s="44"/>
      <c r="G1823" s="34">
        <f t="shared" si="112"/>
        <v>0</v>
      </c>
      <c r="H1823" s="34" t="str">
        <f t="shared" si="113"/>
        <v/>
      </c>
      <c r="I1823" s="52" t="str">
        <f t="shared" si="114"/>
        <v/>
      </c>
      <c r="J1823" s="34">
        <f>IF(AND(A1823&lt;&gt;"",ISTEXT(A1823),COUNTIFS(Processos!$AS$10:$AS$509,"="&amp;SUBSTITUTE(SUBSTITUTE(SUBSTITUTE("P:"&amp;A1823,"~","~~"),"*","~*"),"?","~?"))=1),(IF(ISNA(MATCH(SUBSTITUTE(SUBSTITUTE(SUBSTITUTE("P:"&amp;A1823,"~","~~"),"*","~*"),"?","~?"),Processos!$AS$10:$AS$509,0)),9,INDEX(Processos!$AM$10:$AM$509,MATCH(SUBSTITUTE(SUBSTITUTE(SUBSTITUTE("P:"&amp;A1823,"~","~~"),"*","~*"),"?","~?"),Processos!$AS$10:$AS$509,0)))-9),0)</f>
        <v>0</v>
      </c>
      <c r="K1823" s="34" t="str">
        <f t="shared" si="115"/>
        <v/>
      </c>
      <c r="L1823" s="14">
        <f>ROW()</f>
        <v>1823</v>
      </c>
    </row>
    <row r="1824" spans="1:12" ht="60" customHeight="1">
      <c r="A1824" s="41"/>
      <c r="B1824" s="43"/>
      <c r="C1824" s="44"/>
      <c r="D1824" s="51"/>
      <c r="E1824" s="44"/>
      <c r="F1824" s="44"/>
      <c r="G1824" s="34">
        <f t="shared" si="112"/>
        <v>0</v>
      </c>
      <c r="H1824" s="34" t="str">
        <f t="shared" si="113"/>
        <v/>
      </c>
      <c r="I1824" s="52" t="str">
        <f t="shared" si="114"/>
        <v/>
      </c>
      <c r="J1824" s="34">
        <f>IF(AND(A1824&lt;&gt;"",ISTEXT(A1824),COUNTIFS(Processos!$AS$10:$AS$509,"="&amp;SUBSTITUTE(SUBSTITUTE(SUBSTITUTE("P:"&amp;A1824,"~","~~"),"*","~*"),"?","~?"))=1),(IF(ISNA(MATCH(SUBSTITUTE(SUBSTITUTE(SUBSTITUTE("P:"&amp;A1824,"~","~~"),"*","~*"),"?","~?"),Processos!$AS$10:$AS$509,0)),9,INDEX(Processos!$AM$10:$AM$509,MATCH(SUBSTITUTE(SUBSTITUTE(SUBSTITUTE("P:"&amp;A1824,"~","~~"),"*","~*"),"?","~?"),Processos!$AS$10:$AS$509,0)))-9),0)</f>
        <v>0</v>
      </c>
      <c r="K1824" s="34" t="str">
        <f t="shared" si="115"/>
        <v/>
      </c>
      <c r="L1824" s="14">
        <f>ROW()</f>
        <v>1824</v>
      </c>
    </row>
    <row r="1825" spans="1:12" ht="60" customHeight="1">
      <c r="A1825" s="41"/>
      <c r="B1825" s="43"/>
      <c r="C1825" s="44"/>
      <c r="D1825" s="51"/>
      <c r="E1825" s="44"/>
      <c r="F1825" s="44"/>
      <c r="G1825" s="34">
        <f t="shared" si="112"/>
        <v>0</v>
      </c>
      <c r="H1825" s="34" t="str">
        <f t="shared" si="113"/>
        <v/>
      </c>
      <c r="I1825" s="52" t="str">
        <f t="shared" si="114"/>
        <v/>
      </c>
      <c r="J1825" s="34">
        <f>IF(AND(A1825&lt;&gt;"",ISTEXT(A1825),COUNTIFS(Processos!$AS$10:$AS$509,"="&amp;SUBSTITUTE(SUBSTITUTE(SUBSTITUTE("P:"&amp;A1825,"~","~~"),"*","~*"),"?","~?"))=1),(IF(ISNA(MATCH(SUBSTITUTE(SUBSTITUTE(SUBSTITUTE("P:"&amp;A1825,"~","~~"),"*","~*"),"?","~?"),Processos!$AS$10:$AS$509,0)),9,INDEX(Processos!$AM$10:$AM$509,MATCH(SUBSTITUTE(SUBSTITUTE(SUBSTITUTE("P:"&amp;A1825,"~","~~"),"*","~*"),"?","~?"),Processos!$AS$10:$AS$509,0)))-9),0)</f>
        <v>0</v>
      </c>
      <c r="K1825" s="34" t="str">
        <f t="shared" si="115"/>
        <v/>
      </c>
      <c r="L1825" s="14">
        <f>ROW()</f>
        <v>1825</v>
      </c>
    </row>
    <row r="1826" spans="1:12" ht="60" customHeight="1">
      <c r="A1826" s="41"/>
      <c r="B1826" s="43"/>
      <c r="C1826" s="44"/>
      <c r="D1826" s="51"/>
      <c r="E1826" s="44"/>
      <c r="F1826" s="44"/>
      <c r="G1826" s="34">
        <f t="shared" si="112"/>
        <v>0</v>
      </c>
      <c r="H1826" s="34" t="str">
        <f t="shared" si="113"/>
        <v/>
      </c>
      <c r="I1826" s="52" t="str">
        <f t="shared" si="114"/>
        <v/>
      </c>
      <c r="J1826" s="34">
        <f>IF(AND(A1826&lt;&gt;"",ISTEXT(A1826),COUNTIFS(Processos!$AS$10:$AS$509,"="&amp;SUBSTITUTE(SUBSTITUTE(SUBSTITUTE("P:"&amp;A1826,"~","~~"),"*","~*"),"?","~?"))=1),(IF(ISNA(MATCH(SUBSTITUTE(SUBSTITUTE(SUBSTITUTE("P:"&amp;A1826,"~","~~"),"*","~*"),"?","~?"),Processos!$AS$10:$AS$509,0)),9,INDEX(Processos!$AM$10:$AM$509,MATCH(SUBSTITUTE(SUBSTITUTE(SUBSTITUTE("P:"&amp;A1826,"~","~~"),"*","~*"),"?","~?"),Processos!$AS$10:$AS$509,0)))-9),0)</f>
        <v>0</v>
      </c>
      <c r="K1826" s="34" t="str">
        <f t="shared" si="115"/>
        <v/>
      </c>
      <c r="L1826" s="14">
        <f>ROW()</f>
        <v>1826</v>
      </c>
    </row>
    <row r="1827" spans="1:12" ht="60" customHeight="1">
      <c r="A1827" s="41"/>
      <c r="B1827" s="43"/>
      <c r="C1827" s="44"/>
      <c r="D1827" s="51"/>
      <c r="E1827" s="44"/>
      <c r="F1827" s="44"/>
      <c r="G1827" s="34">
        <f t="shared" si="112"/>
        <v>0</v>
      </c>
      <c r="H1827" s="34" t="str">
        <f t="shared" si="113"/>
        <v/>
      </c>
      <c r="I1827" s="52" t="str">
        <f t="shared" si="114"/>
        <v/>
      </c>
      <c r="J1827" s="34">
        <f>IF(AND(A1827&lt;&gt;"",ISTEXT(A1827),COUNTIFS(Processos!$AS$10:$AS$509,"="&amp;SUBSTITUTE(SUBSTITUTE(SUBSTITUTE("P:"&amp;A1827,"~","~~"),"*","~*"),"?","~?"))=1),(IF(ISNA(MATCH(SUBSTITUTE(SUBSTITUTE(SUBSTITUTE("P:"&amp;A1827,"~","~~"),"*","~*"),"?","~?"),Processos!$AS$10:$AS$509,0)),9,INDEX(Processos!$AM$10:$AM$509,MATCH(SUBSTITUTE(SUBSTITUTE(SUBSTITUTE("P:"&amp;A1827,"~","~~"),"*","~*"),"?","~?"),Processos!$AS$10:$AS$509,0)))-9),0)</f>
        <v>0</v>
      </c>
      <c r="K1827" s="34" t="str">
        <f t="shared" si="115"/>
        <v/>
      </c>
      <c r="L1827" s="14">
        <f>ROW()</f>
        <v>1827</v>
      </c>
    </row>
    <row r="1828" spans="1:12" ht="60" customHeight="1">
      <c r="A1828" s="41"/>
      <c r="B1828" s="43"/>
      <c r="C1828" s="44"/>
      <c r="D1828" s="51"/>
      <c r="E1828" s="44"/>
      <c r="F1828" s="44"/>
      <c r="G1828" s="34">
        <f t="shared" si="112"/>
        <v>0</v>
      </c>
      <c r="H1828" s="34" t="str">
        <f t="shared" si="113"/>
        <v/>
      </c>
      <c r="I1828" s="52" t="str">
        <f t="shared" si="114"/>
        <v/>
      </c>
      <c r="J1828" s="34">
        <f>IF(AND(A1828&lt;&gt;"",ISTEXT(A1828),COUNTIFS(Processos!$AS$10:$AS$509,"="&amp;SUBSTITUTE(SUBSTITUTE(SUBSTITUTE("P:"&amp;A1828,"~","~~"),"*","~*"),"?","~?"))=1),(IF(ISNA(MATCH(SUBSTITUTE(SUBSTITUTE(SUBSTITUTE("P:"&amp;A1828,"~","~~"),"*","~*"),"?","~?"),Processos!$AS$10:$AS$509,0)),9,INDEX(Processos!$AM$10:$AM$509,MATCH(SUBSTITUTE(SUBSTITUTE(SUBSTITUTE("P:"&amp;A1828,"~","~~"),"*","~*"),"?","~?"),Processos!$AS$10:$AS$509,0)))-9),0)</f>
        <v>0</v>
      </c>
      <c r="K1828" s="34" t="str">
        <f t="shared" si="115"/>
        <v/>
      </c>
      <c r="L1828" s="14">
        <f>ROW()</f>
        <v>1828</v>
      </c>
    </row>
    <row r="1829" spans="1:12" ht="60" customHeight="1">
      <c r="A1829" s="41"/>
      <c r="B1829" s="43"/>
      <c r="C1829" s="44"/>
      <c r="D1829" s="51"/>
      <c r="E1829" s="44"/>
      <c r="F1829" s="44"/>
      <c r="G1829" s="34">
        <f t="shared" si="112"/>
        <v>0</v>
      </c>
      <c r="H1829" s="34" t="str">
        <f t="shared" si="113"/>
        <v/>
      </c>
      <c r="I1829" s="52" t="str">
        <f t="shared" si="114"/>
        <v/>
      </c>
      <c r="J1829" s="34">
        <f>IF(AND(A1829&lt;&gt;"",ISTEXT(A1829),COUNTIFS(Processos!$AS$10:$AS$509,"="&amp;SUBSTITUTE(SUBSTITUTE(SUBSTITUTE("P:"&amp;A1829,"~","~~"),"*","~*"),"?","~?"))=1),(IF(ISNA(MATCH(SUBSTITUTE(SUBSTITUTE(SUBSTITUTE("P:"&amp;A1829,"~","~~"),"*","~*"),"?","~?"),Processos!$AS$10:$AS$509,0)),9,INDEX(Processos!$AM$10:$AM$509,MATCH(SUBSTITUTE(SUBSTITUTE(SUBSTITUTE("P:"&amp;A1829,"~","~~"),"*","~*"),"?","~?"),Processos!$AS$10:$AS$509,0)))-9),0)</f>
        <v>0</v>
      </c>
      <c r="K1829" s="34" t="str">
        <f t="shared" si="115"/>
        <v/>
      </c>
      <c r="L1829" s="14">
        <f>ROW()</f>
        <v>1829</v>
      </c>
    </row>
    <row r="1830" spans="1:12" ht="60" customHeight="1">
      <c r="A1830" s="41"/>
      <c r="B1830" s="43"/>
      <c r="C1830" s="44"/>
      <c r="D1830" s="51"/>
      <c r="E1830" s="44"/>
      <c r="F1830" s="44"/>
      <c r="G1830" s="34">
        <f t="shared" si="112"/>
        <v>0</v>
      </c>
      <c r="H1830" s="34" t="str">
        <f t="shared" si="113"/>
        <v/>
      </c>
      <c r="I1830" s="52" t="str">
        <f t="shared" si="114"/>
        <v/>
      </c>
      <c r="J1830" s="34">
        <f>IF(AND(A1830&lt;&gt;"",ISTEXT(A1830),COUNTIFS(Processos!$AS$10:$AS$509,"="&amp;SUBSTITUTE(SUBSTITUTE(SUBSTITUTE("P:"&amp;A1830,"~","~~"),"*","~*"),"?","~?"))=1),(IF(ISNA(MATCH(SUBSTITUTE(SUBSTITUTE(SUBSTITUTE("P:"&amp;A1830,"~","~~"),"*","~*"),"?","~?"),Processos!$AS$10:$AS$509,0)),9,INDEX(Processos!$AM$10:$AM$509,MATCH(SUBSTITUTE(SUBSTITUTE(SUBSTITUTE("P:"&amp;A1830,"~","~~"),"*","~*"),"?","~?"),Processos!$AS$10:$AS$509,0)))-9),0)</f>
        <v>0</v>
      </c>
      <c r="K1830" s="34" t="str">
        <f t="shared" si="115"/>
        <v/>
      </c>
      <c r="L1830" s="14">
        <f>ROW()</f>
        <v>1830</v>
      </c>
    </row>
    <row r="1831" spans="1:12" ht="60" customHeight="1">
      <c r="A1831" s="41"/>
      <c r="B1831" s="43"/>
      <c r="C1831" s="44"/>
      <c r="D1831" s="51"/>
      <c r="E1831" s="44"/>
      <c r="F1831" s="44"/>
      <c r="G1831" s="34">
        <f t="shared" si="112"/>
        <v>0</v>
      </c>
      <c r="H1831" s="34" t="str">
        <f t="shared" si="113"/>
        <v/>
      </c>
      <c r="I1831" s="52" t="str">
        <f t="shared" si="114"/>
        <v/>
      </c>
      <c r="J1831" s="34">
        <f>IF(AND(A1831&lt;&gt;"",ISTEXT(A1831),COUNTIFS(Processos!$AS$10:$AS$509,"="&amp;SUBSTITUTE(SUBSTITUTE(SUBSTITUTE("P:"&amp;A1831,"~","~~"),"*","~*"),"?","~?"))=1),(IF(ISNA(MATCH(SUBSTITUTE(SUBSTITUTE(SUBSTITUTE("P:"&amp;A1831,"~","~~"),"*","~*"),"?","~?"),Processos!$AS$10:$AS$509,0)),9,INDEX(Processos!$AM$10:$AM$509,MATCH(SUBSTITUTE(SUBSTITUTE(SUBSTITUTE("P:"&amp;A1831,"~","~~"),"*","~*"),"?","~?"),Processos!$AS$10:$AS$509,0)))-9),0)</f>
        <v>0</v>
      </c>
      <c r="K1831" s="34" t="str">
        <f t="shared" si="115"/>
        <v/>
      </c>
      <c r="L1831" s="14">
        <f>ROW()</f>
        <v>1831</v>
      </c>
    </row>
    <row r="1832" spans="1:12" ht="60" customHeight="1">
      <c r="A1832" s="41"/>
      <c r="B1832" s="43"/>
      <c r="C1832" s="44"/>
      <c r="D1832" s="51"/>
      <c r="E1832" s="44"/>
      <c r="F1832" s="44"/>
      <c r="G1832" s="34">
        <f t="shared" si="112"/>
        <v>0</v>
      </c>
      <c r="H1832" s="34" t="str">
        <f t="shared" si="113"/>
        <v/>
      </c>
      <c r="I1832" s="52" t="str">
        <f t="shared" si="114"/>
        <v/>
      </c>
      <c r="J1832" s="34">
        <f>IF(AND(A1832&lt;&gt;"",ISTEXT(A1832),COUNTIFS(Processos!$AS$10:$AS$509,"="&amp;SUBSTITUTE(SUBSTITUTE(SUBSTITUTE("P:"&amp;A1832,"~","~~"),"*","~*"),"?","~?"))=1),(IF(ISNA(MATCH(SUBSTITUTE(SUBSTITUTE(SUBSTITUTE("P:"&amp;A1832,"~","~~"),"*","~*"),"?","~?"),Processos!$AS$10:$AS$509,0)),9,INDEX(Processos!$AM$10:$AM$509,MATCH(SUBSTITUTE(SUBSTITUTE(SUBSTITUTE("P:"&amp;A1832,"~","~~"),"*","~*"),"?","~?"),Processos!$AS$10:$AS$509,0)))-9),0)</f>
        <v>0</v>
      </c>
      <c r="K1832" s="34" t="str">
        <f t="shared" si="115"/>
        <v/>
      </c>
      <c r="L1832" s="14">
        <f>ROW()</f>
        <v>1832</v>
      </c>
    </row>
    <row r="1833" spans="1:12" ht="60" customHeight="1">
      <c r="A1833" s="41"/>
      <c r="B1833" s="43"/>
      <c r="C1833" s="44"/>
      <c r="D1833" s="51"/>
      <c r="E1833" s="44"/>
      <c r="F1833" s="44"/>
      <c r="G1833" s="34">
        <f t="shared" si="112"/>
        <v>0</v>
      </c>
      <c r="H1833" s="34" t="str">
        <f t="shared" si="113"/>
        <v/>
      </c>
      <c r="I1833" s="52" t="str">
        <f t="shared" si="114"/>
        <v/>
      </c>
      <c r="J1833" s="34">
        <f>IF(AND(A1833&lt;&gt;"",ISTEXT(A1833),COUNTIFS(Processos!$AS$10:$AS$509,"="&amp;SUBSTITUTE(SUBSTITUTE(SUBSTITUTE("P:"&amp;A1833,"~","~~"),"*","~*"),"?","~?"))=1),(IF(ISNA(MATCH(SUBSTITUTE(SUBSTITUTE(SUBSTITUTE("P:"&amp;A1833,"~","~~"),"*","~*"),"?","~?"),Processos!$AS$10:$AS$509,0)),9,INDEX(Processos!$AM$10:$AM$509,MATCH(SUBSTITUTE(SUBSTITUTE(SUBSTITUTE("P:"&amp;A1833,"~","~~"),"*","~*"),"?","~?"),Processos!$AS$10:$AS$509,0)))-9),0)</f>
        <v>0</v>
      </c>
      <c r="K1833" s="34" t="str">
        <f t="shared" si="115"/>
        <v/>
      </c>
      <c r="L1833" s="14">
        <f>ROW()</f>
        <v>1833</v>
      </c>
    </row>
    <row r="1834" spans="1:12" ht="60" customHeight="1">
      <c r="A1834" s="41"/>
      <c r="B1834" s="43"/>
      <c r="C1834" s="44"/>
      <c r="D1834" s="51"/>
      <c r="E1834" s="44"/>
      <c r="F1834" s="44"/>
      <c r="G1834" s="34">
        <f t="shared" si="112"/>
        <v>0</v>
      </c>
      <c r="H1834" s="34" t="str">
        <f t="shared" si="113"/>
        <v/>
      </c>
      <c r="I1834" s="52" t="str">
        <f t="shared" si="114"/>
        <v/>
      </c>
      <c r="J1834" s="34">
        <f>IF(AND(A1834&lt;&gt;"",ISTEXT(A1834),COUNTIFS(Processos!$AS$10:$AS$509,"="&amp;SUBSTITUTE(SUBSTITUTE(SUBSTITUTE("P:"&amp;A1834,"~","~~"),"*","~*"),"?","~?"))=1),(IF(ISNA(MATCH(SUBSTITUTE(SUBSTITUTE(SUBSTITUTE("P:"&amp;A1834,"~","~~"),"*","~*"),"?","~?"),Processos!$AS$10:$AS$509,0)),9,INDEX(Processos!$AM$10:$AM$509,MATCH(SUBSTITUTE(SUBSTITUTE(SUBSTITUTE("P:"&amp;A1834,"~","~~"),"*","~*"),"?","~?"),Processos!$AS$10:$AS$509,0)))-9),0)</f>
        <v>0</v>
      </c>
      <c r="K1834" s="34" t="str">
        <f t="shared" si="115"/>
        <v/>
      </c>
      <c r="L1834" s="14">
        <f>ROW()</f>
        <v>1834</v>
      </c>
    </row>
    <row r="1835" spans="1:12" ht="60" customHeight="1">
      <c r="A1835" s="41"/>
      <c r="B1835" s="43"/>
      <c r="C1835" s="44"/>
      <c r="D1835" s="51"/>
      <c r="E1835" s="44"/>
      <c r="F1835" s="44"/>
      <c r="G1835" s="34">
        <f t="shared" si="112"/>
        <v>0</v>
      </c>
      <c r="H1835" s="34" t="str">
        <f t="shared" si="113"/>
        <v/>
      </c>
      <c r="I1835" s="52" t="str">
        <f t="shared" si="114"/>
        <v/>
      </c>
      <c r="J1835" s="34">
        <f>IF(AND(A1835&lt;&gt;"",ISTEXT(A1835),COUNTIFS(Processos!$AS$10:$AS$509,"="&amp;SUBSTITUTE(SUBSTITUTE(SUBSTITUTE("P:"&amp;A1835,"~","~~"),"*","~*"),"?","~?"))=1),(IF(ISNA(MATCH(SUBSTITUTE(SUBSTITUTE(SUBSTITUTE("P:"&amp;A1835,"~","~~"),"*","~*"),"?","~?"),Processos!$AS$10:$AS$509,0)),9,INDEX(Processos!$AM$10:$AM$509,MATCH(SUBSTITUTE(SUBSTITUTE(SUBSTITUTE("P:"&amp;A1835,"~","~~"),"*","~*"),"?","~?"),Processos!$AS$10:$AS$509,0)))-9),0)</f>
        <v>0</v>
      </c>
      <c r="K1835" s="34" t="str">
        <f t="shared" si="115"/>
        <v/>
      </c>
      <c r="L1835" s="14">
        <f>ROW()</f>
        <v>1835</v>
      </c>
    </row>
    <row r="1836" spans="1:12" ht="60" customHeight="1">
      <c r="A1836" s="41"/>
      <c r="B1836" s="43"/>
      <c r="C1836" s="44"/>
      <c r="D1836" s="51"/>
      <c r="E1836" s="44"/>
      <c r="F1836" s="44"/>
      <c r="G1836" s="34">
        <f t="shared" si="112"/>
        <v>0</v>
      </c>
      <c r="H1836" s="34" t="str">
        <f t="shared" si="113"/>
        <v/>
      </c>
      <c r="I1836" s="52" t="str">
        <f t="shared" si="114"/>
        <v/>
      </c>
      <c r="J1836" s="34">
        <f>IF(AND(A1836&lt;&gt;"",ISTEXT(A1836),COUNTIFS(Processos!$AS$10:$AS$509,"="&amp;SUBSTITUTE(SUBSTITUTE(SUBSTITUTE("P:"&amp;A1836,"~","~~"),"*","~*"),"?","~?"))=1),(IF(ISNA(MATCH(SUBSTITUTE(SUBSTITUTE(SUBSTITUTE("P:"&amp;A1836,"~","~~"),"*","~*"),"?","~?"),Processos!$AS$10:$AS$509,0)),9,INDEX(Processos!$AM$10:$AM$509,MATCH(SUBSTITUTE(SUBSTITUTE(SUBSTITUTE("P:"&amp;A1836,"~","~~"),"*","~*"),"?","~?"),Processos!$AS$10:$AS$509,0)))-9),0)</f>
        <v>0</v>
      </c>
      <c r="K1836" s="34" t="str">
        <f t="shared" si="115"/>
        <v/>
      </c>
      <c r="L1836" s="14">
        <f>ROW()</f>
        <v>1836</v>
      </c>
    </row>
    <row r="1837" spans="1:12" ht="60" customHeight="1">
      <c r="A1837" s="41"/>
      <c r="B1837" s="43"/>
      <c r="C1837" s="44"/>
      <c r="D1837" s="51"/>
      <c r="E1837" s="44"/>
      <c r="F1837" s="44"/>
      <c r="G1837" s="34">
        <f t="shared" si="112"/>
        <v>0</v>
      </c>
      <c r="H1837" s="34" t="str">
        <f t="shared" si="113"/>
        <v/>
      </c>
      <c r="I1837" s="52" t="str">
        <f t="shared" si="114"/>
        <v/>
      </c>
      <c r="J1837" s="34">
        <f>IF(AND(A1837&lt;&gt;"",ISTEXT(A1837),COUNTIFS(Processos!$AS$10:$AS$509,"="&amp;SUBSTITUTE(SUBSTITUTE(SUBSTITUTE("P:"&amp;A1837,"~","~~"),"*","~*"),"?","~?"))=1),(IF(ISNA(MATCH(SUBSTITUTE(SUBSTITUTE(SUBSTITUTE("P:"&amp;A1837,"~","~~"),"*","~*"),"?","~?"),Processos!$AS$10:$AS$509,0)),9,INDEX(Processos!$AM$10:$AM$509,MATCH(SUBSTITUTE(SUBSTITUTE(SUBSTITUTE("P:"&amp;A1837,"~","~~"),"*","~*"),"?","~?"),Processos!$AS$10:$AS$509,0)))-9),0)</f>
        <v>0</v>
      </c>
      <c r="K1837" s="34" t="str">
        <f t="shared" si="115"/>
        <v/>
      </c>
      <c r="L1837" s="14">
        <f>ROW()</f>
        <v>1837</v>
      </c>
    </row>
    <row r="1838" spans="1:12" ht="60" customHeight="1">
      <c r="A1838" s="41"/>
      <c r="B1838" s="43"/>
      <c r="C1838" s="44"/>
      <c r="D1838" s="51"/>
      <c r="E1838" s="44"/>
      <c r="F1838" s="44"/>
      <c r="G1838" s="34">
        <f t="shared" si="112"/>
        <v>0</v>
      </c>
      <c r="H1838" s="34" t="str">
        <f t="shared" si="113"/>
        <v/>
      </c>
      <c r="I1838" s="52" t="str">
        <f t="shared" si="114"/>
        <v/>
      </c>
      <c r="J1838" s="34">
        <f>IF(AND(A1838&lt;&gt;"",ISTEXT(A1838),COUNTIFS(Processos!$AS$10:$AS$509,"="&amp;SUBSTITUTE(SUBSTITUTE(SUBSTITUTE("P:"&amp;A1838,"~","~~"),"*","~*"),"?","~?"))=1),(IF(ISNA(MATCH(SUBSTITUTE(SUBSTITUTE(SUBSTITUTE("P:"&amp;A1838,"~","~~"),"*","~*"),"?","~?"),Processos!$AS$10:$AS$509,0)),9,INDEX(Processos!$AM$10:$AM$509,MATCH(SUBSTITUTE(SUBSTITUTE(SUBSTITUTE("P:"&amp;A1838,"~","~~"),"*","~*"),"?","~?"),Processos!$AS$10:$AS$509,0)))-9),0)</f>
        <v>0</v>
      </c>
      <c r="K1838" s="34" t="str">
        <f t="shared" si="115"/>
        <v/>
      </c>
      <c r="L1838" s="14">
        <f>ROW()</f>
        <v>1838</v>
      </c>
    </row>
    <row r="1839" spans="1:12" ht="60" customHeight="1">
      <c r="A1839" s="41"/>
      <c r="B1839" s="43"/>
      <c r="C1839" s="44"/>
      <c r="D1839" s="51"/>
      <c r="E1839" s="44"/>
      <c r="F1839" s="44"/>
      <c r="G1839" s="34">
        <f t="shared" si="112"/>
        <v>0</v>
      </c>
      <c r="H1839" s="34" t="str">
        <f t="shared" si="113"/>
        <v/>
      </c>
      <c r="I1839" s="52" t="str">
        <f t="shared" si="114"/>
        <v/>
      </c>
      <c r="J1839" s="34">
        <f>IF(AND(A1839&lt;&gt;"",ISTEXT(A1839),COUNTIFS(Processos!$AS$10:$AS$509,"="&amp;SUBSTITUTE(SUBSTITUTE(SUBSTITUTE("P:"&amp;A1839,"~","~~"),"*","~*"),"?","~?"))=1),(IF(ISNA(MATCH(SUBSTITUTE(SUBSTITUTE(SUBSTITUTE("P:"&amp;A1839,"~","~~"),"*","~*"),"?","~?"),Processos!$AS$10:$AS$509,0)),9,INDEX(Processos!$AM$10:$AM$509,MATCH(SUBSTITUTE(SUBSTITUTE(SUBSTITUTE("P:"&amp;A1839,"~","~~"),"*","~*"),"?","~?"),Processos!$AS$10:$AS$509,0)))-9),0)</f>
        <v>0</v>
      </c>
      <c r="K1839" s="34" t="str">
        <f t="shared" si="115"/>
        <v/>
      </c>
      <c r="L1839" s="14">
        <f>ROW()</f>
        <v>1839</v>
      </c>
    </row>
    <row r="1840" spans="1:12" ht="60" customHeight="1">
      <c r="A1840" s="41"/>
      <c r="B1840" s="43"/>
      <c r="C1840" s="44"/>
      <c r="D1840" s="51"/>
      <c r="E1840" s="44"/>
      <c r="F1840" s="44"/>
      <c r="G1840" s="34">
        <f t="shared" si="112"/>
        <v>0</v>
      </c>
      <c r="H1840" s="34" t="str">
        <f t="shared" si="113"/>
        <v/>
      </c>
      <c r="I1840" s="52" t="str">
        <f t="shared" si="114"/>
        <v/>
      </c>
      <c r="J1840" s="34">
        <f>IF(AND(A1840&lt;&gt;"",ISTEXT(A1840),COUNTIFS(Processos!$AS$10:$AS$509,"="&amp;SUBSTITUTE(SUBSTITUTE(SUBSTITUTE("P:"&amp;A1840,"~","~~"),"*","~*"),"?","~?"))=1),(IF(ISNA(MATCH(SUBSTITUTE(SUBSTITUTE(SUBSTITUTE("P:"&amp;A1840,"~","~~"),"*","~*"),"?","~?"),Processos!$AS$10:$AS$509,0)),9,INDEX(Processos!$AM$10:$AM$509,MATCH(SUBSTITUTE(SUBSTITUTE(SUBSTITUTE("P:"&amp;A1840,"~","~~"),"*","~*"),"?","~?"),Processos!$AS$10:$AS$509,0)))-9),0)</f>
        <v>0</v>
      </c>
      <c r="K1840" s="34" t="str">
        <f t="shared" si="115"/>
        <v/>
      </c>
      <c r="L1840" s="14">
        <f>ROW()</f>
        <v>1840</v>
      </c>
    </row>
    <row r="1841" spans="1:12" ht="60" customHeight="1">
      <c r="A1841" s="41"/>
      <c r="B1841" s="43"/>
      <c r="C1841" s="44"/>
      <c r="D1841" s="51"/>
      <c r="E1841" s="44"/>
      <c r="F1841" s="44"/>
      <c r="G1841" s="34">
        <f t="shared" si="112"/>
        <v>0</v>
      </c>
      <c r="H1841" s="34" t="str">
        <f t="shared" si="113"/>
        <v/>
      </c>
      <c r="I1841" s="52" t="str">
        <f t="shared" si="114"/>
        <v/>
      </c>
      <c r="J1841" s="34">
        <f>IF(AND(A1841&lt;&gt;"",ISTEXT(A1841),COUNTIFS(Processos!$AS$10:$AS$509,"="&amp;SUBSTITUTE(SUBSTITUTE(SUBSTITUTE("P:"&amp;A1841,"~","~~"),"*","~*"),"?","~?"))=1),(IF(ISNA(MATCH(SUBSTITUTE(SUBSTITUTE(SUBSTITUTE("P:"&amp;A1841,"~","~~"),"*","~*"),"?","~?"),Processos!$AS$10:$AS$509,0)),9,INDEX(Processos!$AM$10:$AM$509,MATCH(SUBSTITUTE(SUBSTITUTE(SUBSTITUTE("P:"&amp;A1841,"~","~~"),"*","~*"),"?","~?"),Processos!$AS$10:$AS$509,0)))-9),0)</f>
        <v>0</v>
      </c>
      <c r="K1841" s="34" t="str">
        <f t="shared" si="115"/>
        <v/>
      </c>
      <c r="L1841" s="14">
        <f>ROW()</f>
        <v>1841</v>
      </c>
    </row>
    <row r="1842" spans="1:12" ht="60" customHeight="1">
      <c r="A1842" s="41"/>
      <c r="B1842" s="43"/>
      <c r="C1842" s="44"/>
      <c r="D1842" s="51"/>
      <c r="E1842" s="44"/>
      <c r="F1842" s="44"/>
      <c r="G1842" s="34">
        <f t="shared" si="112"/>
        <v>0</v>
      </c>
      <c r="H1842" s="34" t="str">
        <f t="shared" si="113"/>
        <v/>
      </c>
      <c r="I1842" s="52" t="str">
        <f t="shared" si="114"/>
        <v/>
      </c>
      <c r="J1842" s="34">
        <f>IF(AND(A1842&lt;&gt;"",ISTEXT(A1842),COUNTIFS(Processos!$AS$10:$AS$509,"="&amp;SUBSTITUTE(SUBSTITUTE(SUBSTITUTE("P:"&amp;A1842,"~","~~"),"*","~*"),"?","~?"))=1),(IF(ISNA(MATCH(SUBSTITUTE(SUBSTITUTE(SUBSTITUTE("P:"&amp;A1842,"~","~~"),"*","~*"),"?","~?"),Processos!$AS$10:$AS$509,0)),9,INDEX(Processos!$AM$10:$AM$509,MATCH(SUBSTITUTE(SUBSTITUTE(SUBSTITUTE("P:"&amp;A1842,"~","~~"),"*","~*"),"?","~?"),Processos!$AS$10:$AS$509,0)))-9),0)</f>
        <v>0</v>
      </c>
      <c r="K1842" s="34" t="str">
        <f t="shared" si="115"/>
        <v/>
      </c>
      <c r="L1842" s="14">
        <f>ROW()</f>
        <v>1842</v>
      </c>
    </row>
    <row r="1843" spans="1:12" ht="60" customHeight="1">
      <c r="A1843" s="41"/>
      <c r="B1843" s="43"/>
      <c r="C1843" s="44"/>
      <c r="D1843" s="51"/>
      <c r="E1843" s="44"/>
      <c r="F1843" s="44"/>
      <c r="G1843" s="34">
        <f t="shared" si="112"/>
        <v>0</v>
      </c>
      <c r="H1843" s="34" t="str">
        <f t="shared" si="113"/>
        <v/>
      </c>
      <c r="I1843" s="52" t="str">
        <f t="shared" si="114"/>
        <v/>
      </c>
      <c r="J1843" s="34">
        <f>IF(AND(A1843&lt;&gt;"",ISTEXT(A1843),COUNTIFS(Processos!$AS$10:$AS$509,"="&amp;SUBSTITUTE(SUBSTITUTE(SUBSTITUTE("P:"&amp;A1843,"~","~~"),"*","~*"),"?","~?"))=1),(IF(ISNA(MATCH(SUBSTITUTE(SUBSTITUTE(SUBSTITUTE("P:"&amp;A1843,"~","~~"),"*","~*"),"?","~?"),Processos!$AS$10:$AS$509,0)),9,INDEX(Processos!$AM$10:$AM$509,MATCH(SUBSTITUTE(SUBSTITUTE(SUBSTITUTE("P:"&amp;A1843,"~","~~"),"*","~*"),"?","~?"),Processos!$AS$10:$AS$509,0)))-9),0)</f>
        <v>0</v>
      </c>
      <c r="K1843" s="34" t="str">
        <f t="shared" si="115"/>
        <v/>
      </c>
      <c r="L1843" s="14">
        <f>ROW()</f>
        <v>1843</v>
      </c>
    </row>
    <row r="1844" spans="1:12" ht="60" customHeight="1">
      <c r="A1844" s="41"/>
      <c r="B1844" s="43"/>
      <c r="C1844" s="44"/>
      <c r="D1844" s="51"/>
      <c r="E1844" s="44"/>
      <c r="F1844" s="44"/>
      <c r="G1844" s="34">
        <f t="shared" si="112"/>
        <v>0</v>
      </c>
      <c r="H1844" s="34" t="str">
        <f t="shared" si="113"/>
        <v/>
      </c>
      <c r="I1844" s="52" t="str">
        <f t="shared" si="114"/>
        <v/>
      </c>
      <c r="J1844" s="34">
        <f>IF(AND(A1844&lt;&gt;"",ISTEXT(A1844),COUNTIFS(Processos!$AS$10:$AS$509,"="&amp;SUBSTITUTE(SUBSTITUTE(SUBSTITUTE("P:"&amp;A1844,"~","~~"),"*","~*"),"?","~?"))=1),(IF(ISNA(MATCH(SUBSTITUTE(SUBSTITUTE(SUBSTITUTE("P:"&amp;A1844,"~","~~"),"*","~*"),"?","~?"),Processos!$AS$10:$AS$509,0)),9,INDEX(Processos!$AM$10:$AM$509,MATCH(SUBSTITUTE(SUBSTITUTE(SUBSTITUTE("P:"&amp;A1844,"~","~~"),"*","~*"),"?","~?"),Processos!$AS$10:$AS$509,0)))-9),0)</f>
        <v>0</v>
      </c>
      <c r="K1844" s="34" t="str">
        <f t="shared" si="115"/>
        <v/>
      </c>
      <c r="L1844" s="14">
        <f>ROW()</f>
        <v>1844</v>
      </c>
    </row>
    <row r="1845" spans="1:12" ht="60" customHeight="1">
      <c r="A1845" s="41"/>
      <c r="B1845" s="43"/>
      <c r="C1845" s="44"/>
      <c r="D1845" s="51"/>
      <c r="E1845" s="44"/>
      <c r="F1845" s="44"/>
      <c r="G1845" s="34">
        <f t="shared" si="112"/>
        <v>0</v>
      </c>
      <c r="H1845" s="34" t="str">
        <f t="shared" si="113"/>
        <v/>
      </c>
      <c r="I1845" s="52" t="str">
        <f t="shared" si="114"/>
        <v/>
      </c>
      <c r="J1845" s="34">
        <f>IF(AND(A1845&lt;&gt;"",ISTEXT(A1845),COUNTIFS(Processos!$AS$10:$AS$509,"="&amp;SUBSTITUTE(SUBSTITUTE(SUBSTITUTE("P:"&amp;A1845,"~","~~"),"*","~*"),"?","~?"))=1),(IF(ISNA(MATCH(SUBSTITUTE(SUBSTITUTE(SUBSTITUTE("P:"&amp;A1845,"~","~~"),"*","~*"),"?","~?"),Processos!$AS$10:$AS$509,0)),9,INDEX(Processos!$AM$10:$AM$509,MATCH(SUBSTITUTE(SUBSTITUTE(SUBSTITUTE("P:"&amp;A1845,"~","~~"),"*","~*"),"?","~?"),Processos!$AS$10:$AS$509,0)))-9),0)</f>
        <v>0</v>
      </c>
      <c r="K1845" s="34" t="str">
        <f t="shared" si="115"/>
        <v/>
      </c>
      <c r="L1845" s="14">
        <f>ROW()</f>
        <v>1845</v>
      </c>
    </row>
    <row r="1846" spans="1:12" ht="60" customHeight="1">
      <c r="A1846" s="41"/>
      <c r="B1846" s="43"/>
      <c r="C1846" s="44"/>
      <c r="D1846" s="51"/>
      <c r="E1846" s="44"/>
      <c r="F1846" s="44"/>
      <c r="G1846" s="34">
        <f t="shared" si="112"/>
        <v>0</v>
      </c>
      <c r="H1846" s="34" t="str">
        <f t="shared" si="113"/>
        <v/>
      </c>
      <c r="I1846" s="52" t="str">
        <f t="shared" si="114"/>
        <v/>
      </c>
      <c r="J1846" s="34">
        <f>IF(AND(A1846&lt;&gt;"",ISTEXT(A1846),COUNTIFS(Processos!$AS$10:$AS$509,"="&amp;SUBSTITUTE(SUBSTITUTE(SUBSTITUTE("P:"&amp;A1846,"~","~~"),"*","~*"),"?","~?"))=1),(IF(ISNA(MATCH(SUBSTITUTE(SUBSTITUTE(SUBSTITUTE("P:"&amp;A1846,"~","~~"),"*","~*"),"?","~?"),Processos!$AS$10:$AS$509,0)),9,INDEX(Processos!$AM$10:$AM$509,MATCH(SUBSTITUTE(SUBSTITUTE(SUBSTITUTE("P:"&amp;A1846,"~","~~"),"*","~*"),"?","~?"),Processos!$AS$10:$AS$509,0)))-9),0)</f>
        <v>0</v>
      </c>
      <c r="K1846" s="34" t="str">
        <f t="shared" si="115"/>
        <v/>
      </c>
      <c r="L1846" s="14">
        <f>ROW()</f>
        <v>1846</v>
      </c>
    </row>
    <row r="1847" spans="1:12" ht="60" customHeight="1">
      <c r="A1847" s="41"/>
      <c r="B1847" s="43"/>
      <c r="C1847" s="44"/>
      <c r="D1847" s="51"/>
      <c r="E1847" s="44"/>
      <c r="F1847" s="44"/>
      <c r="G1847" s="34">
        <f t="shared" si="112"/>
        <v>0</v>
      </c>
      <c r="H1847" s="34" t="str">
        <f t="shared" si="113"/>
        <v/>
      </c>
      <c r="I1847" s="52" t="str">
        <f t="shared" si="114"/>
        <v/>
      </c>
      <c r="J1847" s="34">
        <f>IF(AND(A1847&lt;&gt;"",ISTEXT(A1847),COUNTIFS(Processos!$AS$10:$AS$509,"="&amp;SUBSTITUTE(SUBSTITUTE(SUBSTITUTE("P:"&amp;A1847,"~","~~"),"*","~*"),"?","~?"))=1),(IF(ISNA(MATCH(SUBSTITUTE(SUBSTITUTE(SUBSTITUTE("P:"&amp;A1847,"~","~~"),"*","~*"),"?","~?"),Processos!$AS$10:$AS$509,0)),9,INDEX(Processos!$AM$10:$AM$509,MATCH(SUBSTITUTE(SUBSTITUTE(SUBSTITUTE("P:"&amp;A1847,"~","~~"),"*","~*"),"?","~?"),Processos!$AS$10:$AS$509,0)))-9),0)</f>
        <v>0</v>
      </c>
      <c r="K1847" s="34" t="str">
        <f t="shared" si="115"/>
        <v/>
      </c>
      <c r="L1847" s="14">
        <f>ROW()</f>
        <v>1847</v>
      </c>
    </row>
    <row r="1848" spans="1:12" ht="60" customHeight="1">
      <c r="A1848" s="41"/>
      <c r="B1848" s="43"/>
      <c r="C1848" s="44"/>
      <c r="D1848" s="51"/>
      <c r="E1848" s="44"/>
      <c r="F1848" s="44"/>
      <c r="G1848" s="34">
        <f t="shared" si="112"/>
        <v>0</v>
      </c>
      <c r="H1848" s="34" t="str">
        <f t="shared" si="113"/>
        <v/>
      </c>
      <c r="I1848" s="52" t="str">
        <f t="shared" si="114"/>
        <v/>
      </c>
      <c r="J1848" s="34">
        <f>IF(AND(A1848&lt;&gt;"",ISTEXT(A1848),COUNTIFS(Processos!$AS$10:$AS$509,"="&amp;SUBSTITUTE(SUBSTITUTE(SUBSTITUTE("P:"&amp;A1848,"~","~~"),"*","~*"),"?","~?"))=1),(IF(ISNA(MATCH(SUBSTITUTE(SUBSTITUTE(SUBSTITUTE("P:"&amp;A1848,"~","~~"),"*","~*"),"?","~?"),Processos!$AS$10:$AS$509,0)),9,INDEX(Processos!$AM$10:$AM$509,MATCH(SUBSTITUTE(SUBSTITUTE(SUBSTITUTE("P:"&amp;A1848,"~","~~"),"*","~*"),"?","~?"),Processos!$AS$10:$AS$509,0)))-9),0)</f>
        <v>0</v>
      </c>
      <c r="K1848" s="34" t="str">
        <f t="shared" si="115"/>
        <v/>
      </c>
      <c r="L1848" s="14">
        <f>ROW()</f>
        <v>1848</v>
      </c>
    </row>
    <row r="1849" spans="1:12" ht="60" customHeight="1">
      <c r="A1849" s="41"/>
      <c r="B1849" s="43"/>
      <c r="C1849" s="44"/>
      <c r="D1849" s="51"/>
      <c r="E1849" s="44"/>
      <c r="F1849" s="44"/>
      <c r="G1849" s="34">
        <f t="shared" si="112"/>
        <v>0</v>
      </c>
      <c r="H1849" s="34" t="str">
        <f t="shared" si="113"/>
        <v/>
      </c>
      <c r="I1849" s="52" t="str">
        <f t="shared" si="114"/>
        <v/>
      </c>
      <c r="J1849" s="34">
        <f>IF(AND(A1849&lt;&gt;"",ISTEXT(A1849),COUNTIFS(Processos!$AS$10:$AS$509,"="&amp;SUBSTITUTE(SUBSTITUTE(SUBSTITUTE("P:"&amp;A1849,"~","~~"),"*","~*"),"?","~?"))=1),(IF(ISNA(MATCH(SUBSTITUTE(SUBSTITUTE(SUBSTITUTE("P:"&amp;A1849,"~","~~"),"*","~*"),"?","~?"),Processos!$AS$10:$AS$509,0)),9,INDEX(Processos!$AM$10:$AM$509,MATCH(SUBSTITUTE(SUBSTITUTE(SUBSTITUTE("P:"&amp;A1849,"~","~~"),"*","~*"),"?","~?"),Processos!$AS$10:$AS$509,0)))-9),0)</f>
        <v>0</v>
      </c>
      <c r="K1849" s="34" t="str">
        <f t="shared" si="115"/>
        <v/>
      </c>
      <c r="L1849" s="14">
        <f>ROW()</f>
        <v>1849</v>
      </c>
    </row>
    <row r="1850" spans="1:12" ht="60" customHeight="1">
      <c r="A1850" s="41"/>
      <c r="B1850" s="43"/>
      <c r="C1850" s="44"/>
      <c r="D1850" s="51"/>
      <c r="E1850" s="44"/>
      <c r="F1850" s="44"/>
      <c r="G1850" s="34">
        <f t="shared" si="112"/>
        <v>0</v>
      </c>
      <c r="H1850" s="34" t="str">
        <f t="shared" si="113"/>
        <v/>
      </c>
      <c r="I1850" s="52" t="str">
        <f t="shared" si="114"/>
        <v/>
      </c>
      <c r="J1850" s="34">
        <f>IF(AND(A1850&lt;&gt;"",ISTEXT(A1850),COUNTIFS(Processos!$AS$10:$AS$509,"="&amp;SUBSTITUTE(SUBSTITUTE(SUBSTITUTE("P:"&amp;A1850,"~","~~"),"*","~*"),"?","~?"))=1),(IF(ISNA(MATCH(SUBSTITUTE(SUBSTITUTE(SUBSTITUTE("P:"&amp;A1850,"~","~~"),"*","~*"),"?","~?"),Processos!$AS$10:$AS$509,0)),9,INDEX(Processos!$AM$10:$AM$509,MATCH(SUBSTITUTE(SUBSTITUTE(SUBSTITUTE("P:"&amp;A1850,"~","~~"),"*","~*"),"?","~?"),Processos!$AS$10:$AS$509,0)))-9),0)</f>
        <v>0</v>
      </c>
      <c r="K1850" s="34" t="str">
        <f t="shared" si="115"/>
        <v/>
      </c>
      <c r="L1850" s="14">
        <f>ROW()</f>
        <v>1850</v>
      </c>
    </row>
    <row r="1851" spans="1:12" ht="60" customHeight="1">
      <c r="A1851" s="41"/>
      <c r="B1851" s="43"/>
      <c r="C1851" s="44"/>
      <c r="D1851" s="51"/>
      <c r="E1851" s="44"/>
      <c r="F1851" s="44"/>
      <c r="G1851" s="34">
        <f t="shared" si="112"/>
        <v>0</v>
      </c>
      <c r="H1851" s="34" t="str">
        <f t="shared" si="113"/>
        <v/>
      </c>
      <c r="I1851" s="52" t="str">
        <f t="shared" si="114"/>
        <v/>
      </c>
      <c r="J1851" s="34">
        <f>IF(AND(A1851&lt;&gt;"",ISTEXT(A1851),COUNTIFS(Processos!$AS$10:$AS$509,"="&amp;SUBSTITUTE(SUBSTITUTE(SUBSTITUTE("P:"&amp;A1851,"~","~~"),"*","~*"),"?","~?"))=1),(IF(ISNA(MATCH(SUBSTITUTE(SUBSTITUTE(SUBSTITUTE("P:"&amp;A1851,"~","~~"),"*","~*"),"?","~?"),Processos!$AS$10:$AS$509,0)),9,INDEX(Processos!$AM$10:$AM$509,MATCH(SUBSTITUTE(SUBSTITUTE(SUBSTITUTE("P:"&amp;A1851,"~","~~"),"*","~*"),"?","~?"),Processos!$AS$10:$AS$509,0)))-9),0)</f>
        <v>0</v>
      </c>
      <c r="K1851" s="34" t="str">
        <f t="shared" si="115"/>
        <v/>
      </c>
      <c r="L1851" s="14">
        <f>ROW()</f>
        <v>1851</v>
      </c>
    </row>
    <row r="1852" spans="1:12" ht="60" customHeight="1">
      <c r="A1852" s="41"/>
      <c r="B1852" s="43"/>
      <c r="C1852" s="44"/>
      <c r="D1852" s="51"/>
      <c r="E1852" s="44"/>
      <c r="F1852" s="44"/>
      <c r="G1852" s="34">
        <f t="shared" si="112"/>
        <v>0</v>
      </c>
      <c r="H1852" s="34" t="str">
        <f t="shared" si="113"/>
        <v/>
      </c>
      <c r="I1852" s="52" t="str">
        <f t="shared" si="114"/>
        <v/>
      </c>
      <c r="J1852" s="34">
        <f>IF(AND(A1852&lt;&gt;"",ISTEXT(A1852),COUNTIFS(Processos!$AS$10:$AS$509,"="&amp;SUBSTITUTE(SUBSTITUTE(SUBSTITUTE("P:"&amp;A1852,"~","~~"),"*","~*"),"?","~?"))=1),(IF(ISNA(MATCH(SUBSTITUTE(SUBSTITUTE(SUBSTITUTE("P:"&amp;A1852,"~","~~"),"*","~*"),"?","~?"),Processos!$AS$10:$AS$509,0)),9,INDEX(Processos!$AM$10:$AM$509,MATCH(SUBSTITUTE(SUBSTITUTE(SUBSTITUTE("P:"&amp;A1852,"~","~~"),"*","~*"),"?","~?"),Processos!$AS$10:$AS$509,0)))-9),0)</f>
        <v>0</v>
      </c>
      <c r="K1852" s="34" t="str">
        <f t="shared" si="115"/>
        <v/>
      </c>
      <c r="L1852" s="14">
        <f>ROW()</f>
        <v>1852</v>
      </c>
    </row>
    <row r="1853" spans="1:12" ht="60" customHeight="1">
      <c r="A1853" s="41"/>
      <c r="B1853" s="43"/>
      <c r="C1853" s="44"/>
      <c r="D1853" s="51"/>
      <c r="E1853" s="44"/>
      <c r="F1853" s="44"/>
      <c r="G1853" s="34">
        <f t="shared" si="112"/>
        <v>0</v>
      </c>
      <c r="H1853" s="34" t="str">
        <f t="shared" si="113"/>
        <v/>
      </c>
      <c r="I1853" s="52" t="str">
        <f t="shared" si="114"/>
        <v/>
      </c>
      <c r="J1853" s="34">
        <f>IF(AND(A1853&lt;&gt;"",ISTEXT(A1853),COUNTIFS(Processos!$AS$10:$AS$509,"="&amp;SUBSTITUTE(SUBSTITUTE(SUBSTITUTE("P:"&amp;A1853,"~","~~"),"*","~*"),"?","~?"))=1),(IF(ISNA(MATCH(SUBSTITUTE(SUBSTITUTE(SUBSTITUTE("P:"&amp;A1853,"~","~~"),"*","~*"),"?","~?"),Processos!$AS$10:$AS$509,0)),9,INDEX(Processos!$AM$10:$AM$509,MATCH(SUBSTITUTE(SUBSTITUTE(SUBSTITUTE("P:"&amp;A1853,"~","~~"),"*","~*"),"?","~?"),Processos!$AS$10:$AS$509,0)))-9),0)</f>
        <v>0</v>
      </c>
      <c r="K1853" s="34" t="str">
        <f t="shared" si="115"/>
        <v/>
      </c>
      <c r="L1853" s="14">
        <f>ROW()</f>
        <v>1853</v>
      </c>
    </row>
    <row r="1854" spans="1:12" ht="60" customHeight="1">
      <c r="A1854" s="41"/>
      <c r="B1854" s="43"/>
      <c r="C1854" s="44"/>
      <c r="D1854" s="51"/>
      <c r="E1854" s="44"/>
      <c r="F1854" s="44"/>
      <c r="G1854" s="34">
        <f t="shared" si="112"/>
        <v>0</v>
      </c>
      <c r="H1854" s="34" t="str">
        <f t="shared" si="113"/>
        <v/>
      </c>
      <c r="I1854" s="52" t="str">
        <f t="shared" si="114"/>
        <v/>
      </c>
      <c r="J1854" s="34">
        <f>IF(AND(A1854&lt;&gt;"",ISTEXT(A1854),COUNTIFS(Processos!$AS$10:$AS$509,"="&amp;SUBSTITUTE(SUBSTITUTE(SUBSTITUTE("P:"&amp;A1854,"~","~~"),"*","~*"),"?","~?"))=1),(IF(ISNA(MATCH(SUBSTITUTE(SUBSTITUTE(SUBSTITUTE("P:"&amp;A1854,"~","~~"),"*","~*"),"?","~?"),Processos!$AS$10:$AS$509,0)),9,INDEX(Processos!$AM$10:$AM$509,MATCH(SUBSTITUTE(SUBSTITUTE(SUBSTITUTE("P:"&amp;A1854,"~","~~"),"*","~*"),"?","~?"),Processos!$AS$10:$AS$509,0)))-9),0)</f>
        <v>0</v>
      </c>
      <c r="K1854" s="34" t="str">
        <f t="shared" si="115"/>
        <v/>
      </c>
      <c r="L1854" s="14">
        <f>ROW()</f>
        <v>1854</v>
      </c>
    </row>
    <row r="1855" spans="1:12" ht="60" customHeight="1">
      <c r="A1855" s="41"/>
      <c r="B1855" s="43"/>
      <c r="C1855" s="44"/>
      <c r="D1855" s="51"/>
      <c r="E1855" s="44"/>
      <c r="F1855" s="44"/>
      <c r="G1855" s="34">
        <f t="shared" si="112"/>
        <v>0</v>
      </c>
      <c r="H1855" s="34" t="str">
        <f t="shared" si="113"/>
        <v/>
      </c>
      <c r="I1855" s="52" t="str">
        <f t="shared" si="114"/>
        <v/>
      </c>
      <c r="J1855" s="34">
        <f>IF(AND(A1855&lt;&gt;"",ISTEXT(A1855),COUNTIFS(Processos!$AS$10:$AS$509,"="&amp;SUBSTITUTE(SUBSTITUTE(SUBSTITUTE("P:"&amp;A1855,"~","~~"),"*","~*"),"?","~?"))=1),(IF(ISNA(MATCH(SUBSTITUTE(SUBSTITUTE(SUBSTITUTE("P:"&amp;A1855,"~","~~"),"*","~*"),"?","~?"),Processos!$AS$10:$AS$509,0)),9,INDEX(Processos!$AM$10:$AM$509,MATCH(SUBSTITUTE(SUBSTITUTE(SUBSTITUTE("P:"&amp;A1855,"~","~~"),"*","~*"),"?","~?"),Processos!$AS$10:$AS$509,0)))-9),0)</f>
        <v>0</v>
      </c>
      <c r="K1855" s="34" t="str">
        <f t="shared" si="115"/>
        <v/>
      </c>
      <c r="L1855" s="14">
        <f>ROW()</f>
        <v>1855</v>
      </c>
    </row>
    <row r="1856" spans="1:12" ht="60" customHeight="1">
      <c r="A1856" s="41"/>
      <c r="B1856" s="43"/>
      <c r="C1856" s="44"/>
      <c r="D1856" s="51"/>
      <c r="E1856" s="44"/>
      <c r="F1856" s="44"/>
      <c r="G1856" s="34">
        <f t="shared" si="112"/>
        <v>0</v>
      </c>
      <c r="H1856" s="34" t="str">
        <f t="shared" si="113"/>
        <v/>
      </c>
      <c r="I1856" s="52" t="str">
        <f t="shared" si="114"/>
        <v/>
      </c>
      <c r="J1856" s="34">
        <f>IF(AND(A1856&lt;&gt;"",ISTEXT(A1856),COUNTIFS(Processos!$AS$10:$AS$509,"="&amp;SUBSTITUTE(SUBSTITUTE(SUBSTITUTE("P:"&amp;A1856,"~","~~"),"*","~*"),"?","~?"))=1),(IF(ISNA(MATCH(SUBSTITUTE(SUBSTITUTE(SUBSTITUTE("P:"&amp;A1856,"~","~~"),"*","~*"),"?","~?"),Processos!$AS$10:$AS$509,0)),9,INDEX(Processos!$AM$10:$AM$509,MATCH(SUBSTITUTE(SUBSTITUTE(SUBSTITUTE("P:"&amp;A1856,"~","~~"),"*","~*"),"?","~?"),Processos!$AS$10:$AS$509,0)))-9),0)</f>
        <v>0</v>
      </c>
      <c r="K1856" s="34" t="str">
        <f t="shared" si="115"/>
        <v/>
      </c>
      <c r="L1856" s="14">
        <f>ROW()</f>
        <v>1856</v>
      </c>
    </row>
    <row r="1857" spans="1:12" ht="60" customHeight="1">
      <c r="A1857" s="41"/>
      <c r="B1857" s="43"/>
      <c r="C1857" s="44"/>
      <c r="D1857" s="51"/>
      <c r="E1857" s="44"/>
      <c r="F1857" s="44"/>
      <c r="G1857" s="34">
        <f t="shared" si="112"/>
        <v>0</v>
      </c>
      <c r="H1857" s="34" t="str">
        <f t="shared" si="113"/>
        <v/>
      </c>
      <c r="I1857" s="52" t="str">
        <f t="shared" si="114"/>
        <v/>
      </c>
      <c r="J1857" s="34">
        <f>IF(AND(A1857&lt;&gt;"",ISTEXT(A1857),COUNTIFS(Processos!$AS$10:$AS$509,"="&amp;SUBSTITUTE(SUBSTITUTE(SUBSTITUTE("P:"&amp;A1857,"~","~~"),"*","~*"),"?","~?"))=1),(IF(ISNA(MATCH(SUBSTITUTE(SUBSTITUTE(SUBSTITUTE("P:"&amp;A1857,"~","~~"),"*","~*"),"?","~?"),Processos!$AS$10:$AS$509,0)),9,INDEX(Processos!$AM$10:$AM$509,MATCH(SUBSTITUTE(SUBSTITUTE(SUBSTITUTE("P:"&amp;A1857,"~","~~"),"*","~*"),"?","~?"),Processos!$AS$10:$AS$509,0)))-9),0)</f>
        <v>0</v>
      </c>
      <c r="K1857" s="34" t="str">
        <f t="shared" si="115"/>
        <v/>
      </c>
      <c r="L1857" s="14">
        <f>ROW()</f>
        <v>1857</v>
      </c>
    </row>
    <row r="1858" spans="1:12" ht="60" customHeight="1">
      <c r="A1858" s="41"/>
      <c r="B1858" s="43"/>
      <c r="C1858" s="44"/>
      <c r="D1858" s="51"/>
      <c r="E1858" s="44"/>
      <c r="F1858" s="44"/>
      <c r="G1858" s="34">
        <f t="shared" si="112"/>
        <v>0</v>
      </c>
      <c r="H1858" s="34" t="str">
        <f t="shared" si="113"/>
        <v/>
      </c>
      <c r="I1858" s="52" t="str">
        <f t="shared" si="114"/>
        <v/>
      </c>
      <c r="J1858" s="34">
        <f>IF(AND(A1858&lt;&gt;"",ISTEXT(A1858),COUNTIFS(Processos!$AS$10:$AS$509,"="&amp;SUBSTITUTE(SUBSTITUTE(SUBSTITUTE("P:"&amp;A1858,"~","~~"),"*","~*"),"?","~?"))=1),(IF(ISNA(MATCH(SUBSTITUTE(SUBSTITUTE(SUBSTITUTE("P:"&amp;A1858,"~","~~"),"*","~*"),"?","~?"),Processos!$AS$10:$AS$509,0)),9,INDEX(Processos!$AM$10:$AM$509,MATCH(SUBSTITUTE(SUBSTITUTE(SUBSTITUTE("P:"&amp;A1858,"~","~~"),"*","~*"),"?","~?"),Processos!$AS$10:$AS$509,0)))-9),0)</f>
        <v>0</v>
      </c>
      <c r="K1858" s="34" t="str">
        <f t="shared" si="115"/>
        <v/>
      </c>
      <c r="L1858" s="14">
        <f>ROW()</f>
        <v>1858</v>
      </c>
    </row>
    <row r="1859" spans="1:12" ht="60" customHeight="1">
      <c r="A1859" s="41"/>
      <c r="B1859" s="43"/>
      <c r="C1859" s="44"/>
      <c r="D1859" s="51"/>
      <c r="E1859" s="44"/>
      <c r="F1859" s="44"/>
      <c r="G1859" s="34">
        <f t="shared" si="112"/>
        <v>0</v>
      </c>
      <c r="H1859" s="34" t="str">
        <f t="shared" si="113"/>
        <v/>
      </c>
      <c r="I1859" s="52" t="str">
        <f t="shared" si="114"/>
        <v/>
      </c>
      <c r="J1859" s="34">
        <f>IF(AND(A1859&lt;&gt;"",ISTEXT(A1859),COUNTIFS(Processos!$AS$10:$AS$509,"="&amp;SUBSTITUTE(SUBSTITUTE(SUBSTITUTE("P:"&amp;A1859,"~","~~"),"*","~*"),"?","~?"))=1),(IF(ISNA(MATCH(SUBSTITUTE(SUBSTITUTE(SUBSTITUTE("P:"&amp;A1859,"~","~~"),"*","~*"),"?","~?"),Processos!$AS$10:$AS$509,0)),9,INDEX(Processos!$AM$10:$AM$509,MATCH(SUBSTITUTE(SUBSTITUTE(SUBSTITUTE("P:"&amp;A1859,"~","~~"),"*","~*"),"?","~?"),Processos!$AS$10:$AS$509,0)))-9),0)</f>
        <v>0</v>
      </c>
      <c r="K1859" s="34" t="str">
        <f t="shared" si="115"/>
        <v/>
      </c>
      <c r="L1859" s="14">
        <f>ROW()</f>
        <v>1859</v>
      </c>
    </row>
    <row r="1860" spans="1:12" ht="60" customHeight="1">
      <c r="A1860" s="41"/>
      <c r="B1860" s="43"/>
      <c r="C1860" s="44"/>
      <c r="D1860" s="51"/>
      <c r="E1860" s="44"/>
      <c r="F1860" s="44"/>
      <c r="G1860" s="34">
        <f t="shared" si="112"/>
        <v>0</v>
      </c>
      <c r="H1860" s="34" t="str">
        <f t="shared" si="113"/>
        <v/>
      </c>
      <c r="I1860" s="52" t="str">
        <f t="shared" si="114"/>
        <v/>
      </c>
      <c r="J1860" s="34">
        <f>IF(AND(A1860&lt;&gt;"",ISTEXT(A1860),COUNTIFS(Processos!$AS$10:$AS$509,"="&amp;SUBSTITUTE(SUBSTITUTE(SUBSTITUTE("P:"&amp;A1860,"~","~~"),"*","~*"),"?","~?"))=1),(IF(ISNA(MATCH(SUBSTITUTE(SUBSTITUTE(SUBSTITUTE("P:"&amp;A1860,"~","~~"),"*","~*"),"?","~?"),Processos!$AS$10:$AS$509,0)),9,INDEX(Processos!$AM$10:$AM$509,MATCH(SUBSTITUTE(SUBSTITUTE(SUBSTITUTE("P:"&amp;A1860,"~","~~"),"*","~*"),"?","~?"),Processos!$AS$10:$AS$509,0)))-9),0)</f>
        <v>0</v>
      </c>
      <c r="K1860" s="34" t="str">
        <f t="shared" si="115"/>
        <v/>
      </c>
      <c r="L1860" s="14">
        <f>ROW()</f>
        <v>1860</v>
      </c>
    </row>
    <row r="1861" spans="1:12" ht="60" customHeight="1">
      <c r="A1861" s="41"/>
      <c r="B1861" s="43"/>
      <c r="C1861" s="44"/>
      <c r="D1861" s="51"/>
      <c r="E1861" s="44"/>
      <c r="F1861" s="44"/>
      <c r="G1861" s="34">
        <f t="shared" si="112"/>
        <v>0</v>
      </c>
      <c r="H1861" s="34" t="str">
        <f t="shared" si="113"/>
        <v/>
      </c>
      <c r="I1861" s="52" t="str">
        <f t="shared" si="114"/>
        <v/>
      </c>
      <c r="J1861" s="34">
        <f>IF(AND(A1861&lt;&gt;"",ISTEXT(A1861),COUNTIFS(Processos!$AS$10:$AS$509,"="&amp;SUBSTITUTE(SUBSTITUTE(SUBSTITUTE("P:"&amp;A1861,"~","~~"),"*","~*"),"?","~?"))=1),(IF(ISNA(MATCH(SUBSTITUTE(SUBSTITUTE(SUBSTITUTE("P:"&amp;A1861,"~","~~"),"*","~*"),"?","~?"),Processos!$AS$10:$AS$509,0)),9,INDEX(Processos!$AM$10:$AM$509,MATCH(SUBSTITUTE(SUBSTITUTE(SUBSTITUTE("P:"&amp;A1861,"~","~~"),"*","~*"),"?","~?"),Processos!$AS$10:$AS$509,0)))-9),0)</f>
        <v>0</v>
      </c>
      <c r="K1861" s="34" t="str">
        <f t="shared" si="115"/>
        <v/>
      </c>
      <c r="L1861" s="14">
        <f>ROW()</f>
        <v>1861</v>
      </c>
    </row>
    <row r="1862" spans="1:12" ht="60" customHeight="1">
      <c r="A1862" s="41"/>
      <c r="B1862" s="43"/>
      <c r="C1862" s="44"/>
      <c r="D1862" s="51"/>
      <c r="E1862" s="44"/>
      <c r="F1862" s="44"/>
      <c r="G1862" s="34">
        <f t="shared" si="112"/>
        <v>0</v>
      </c>
      <c r="H1862" s="34" t="str">
        <f t="shared" si="113"/>
        <v/>
      </c>
      <c r="I1862" s="52" t="str">
        <f t="shared" si="114"/>
        <v/>
      </c>
      <c r="J1862" s="34">
        <f>IF(AND(A1862&lt;&gt;"",ISTEXT(A1862),COUNTIFS(Processos!$AS$10:$AS$509,"="&amp;SUBSTITUTE(SUBSTITUTE(SUBSTITUTE("P:"&amp;A1862,"~","~~"),"*","~*"),"?","~?"))=1),(IF(ISNA(MATCH(SUBSTITUTE(SUBSTITUTE(SUBSTITUTE("P:"&amp;A1862,"~","~~"),"*","~*"),"?","~?"),Processos!$AS$10:$AS$509,0)),9,INDEX(Processos!$AM$10:$AM$509,MATCH(SUBSTITUTE(SUBSTITUTE(SUBSTITUTE("P:"&amp;A1862,"~","~~"),"*","~*"),"?","~?"),Processos!$AS$10:$AS$509,0)))-9),0)</f>
        <v>0</v>
      </c>
      <c r="K1862" s="34" t="str">
        <f t="shared" si="115"/>
        <v/>
      </c>
      <c r="L1862" s="14">
        <f>ROW()</f>
        <v>1862</v>
      </c>
    </row>
    <row r="1863" spans="1:12" ht="60" customHeight="1">
      <c r="A1863" s="41"/>
      <c r="B1863" s="43"/>
      <c r="C1863" s="44"/>
      <c r="D1863" s="51"/>
      <c r="E1863" s="44"/>
      <c r="F1863" s="44"/>
      <c r="G1863" s="34">
        <f t="shared" si="112"/>
        <v>0</v>
      </c>
      <c r="H1863" s="34" t="str">
        <f t="shared" si="113"/>
        <v/>
      </c>
      <c r="I1863" s="52" t="str">
        <f t="shared" si="114"/>
        <v/>
      </c>
      <c r="J1863" s="34">
        <f>IF(AND(A1863&lt;&gt;"",ISTEXT(A1863),COUNTIFS(Processos!$AS$10:$AS$509,"="&amp;SUBSTITUTE(SUBSTITUTE(SUBSTITUTE("P:"&amp;A1863,"~","~~"),"*","~*"),"?","~?"))=1),(IF(ISNA(MATCH(SUBSTITUTE(SUBSTITUTE(SUBSTITUTE("P:"&amp;A1863,"~","~~"),"*","~*"),"?","~?"),Processos!$AS$10:$AS$509,0)),9,INDEX(Processos!$AM$10:$AM$509,MATCH(SUBSTITUTE(SUBSTITUTE(SUBSTITUTE("P:"&amp;A1863,"~","~~"),"*","~*"),"?","~?"),Processos!$AS$10:$AS$509,0)))-9),0)</f>
        <v>0</v>
      </c>
      <c r="K1863" s="34" t="str">
        <f t="shared" si="115"/>
        <v/>
      </c>
      <c r="L1863" s="14">
        <f>ROW()</f>
        <v>1863</v>
      </c>
    </row>
    <row r="1864" spans="1:12" ht="60" customHeight="1">
      <c r="A1864" s="41"/>
      <c r="B1864" s="43"/>
      <c r="C1864" s="44"/>
      <c r="D1864" s="51"/>
      <c r="E1864" s="44"/>
      <c r="F1864" s="44"/>
      <c r="G1864" s="34">
        <f t="shared" si="112"/>
        <v>0</v>
      </c>
      <c r="H1864" s="34" t="str">
        <f t="shared" si="113"/>
        <v/>
      </c>
      <c r="I1864" s="52" t="str">
        <f t="shared" si="114"/>
        <v/>
      </c>
      <c r="J1864" s="34">
        <f>IF(AND(A1864&lt;&gt;"",ISTEXT(A1864),COUNTIFS(Processos!$AS$10:$AS$509,"="&amp;SUBSTITUTE(SUBSTITUTE(SUBSTITUTE("P:"&amp;A1864,"~","~~"),"*","~*"),"?","~?"))=1),(IF(ISNA(MATCH(SUBSTITUTE(SUBSTITUTE(SUBSTITUTE("P:"&amp;A1864,"~","~~"),"*","~*"),"?","~?"),Processos!$AS$10:$AS$509,0)),9,INDEX(Processos!$AM$10:$AM$509,MATCH(SUBSTITUTE(SUBSTITUTE(SUBSTITUTE("P:"&amp;A1864,"~","~~"),"*","~*"),"?","~?"),Processos!$AS$10:$AS$509,0)))-9),0)</f>
        <v>0</v>
      </c>
      <c r="K1864" s="34" t="str">
        <f t="shared" si="115"/>
        <v/>
      </c>
      <c r="L1864" s="14">
        <f>ROW()</f>
        <v>1864</v>
      </c>
    </row>
    <row r="1865" spans="1:12" ht="60" customHeight="1">
      <c r="A1865" s="41"/>
      <c r="B1865" s="43"/>
      <c r="C1865" s="44"/>
      <c r="D1865" s="51"/>
      <c r="E1865" s="44"/>
      <c r="F1865" s="44"/>
      <c r="G1865" s="34">
        <f t="shared" si="112"/>
        <v>0</v>
      </c>
      <c r="H1865" s="34" t="str">
        <f t="shared" si="113"/>
        <v/>
      </c>
      <c r="I1865" s="52" t="str">
        <f t="shared" si="114"/>
        <v/>
      </c>
      <c r="J1865" s="34">
        <f>IF(AND(A1865&lt;&gt;"",ISTEXT(A1865),COUNTIFS(Processos!$AS$10:$AS$509,"="&amp;SUBSTITUTE(SUBSTITUTE(SUBSTITUTE("P:"&amp;A1865,"~","~~"),"*","~*"),"?","~?"))=1),(IF(ISNA(MATCH(SUBSTITUTE(SUBSTITUTE(SUBSTITUTE("P:"&amp;A1865,"~","~~"),"*","~*"),"?","~?"),Processos!$AS$10:$AS$509,0)),9,INDEX(Processos!$AM$10:$AM$509,MATCH(SUBSTITUTE(SUBSTITUTE(SUBSTITUTE("P:"&amp;A1865,"~","~~"),"*","~*"),"?","~?"),Processos!$AS$10:$AS$509,0)))-9),0)</f>
        <v>0</v>
      </c>
      <c r="K1865" s="34" t="str">
        <f t="shared" si="115"/>
        <v/>
      </c>
      <c r="L1865" s="14">
        <f>ROW()</f>
        <v>1865</v>
      </c>
    </row>
    <row r="1866" spans="1:12" ht="60" customHeight="1">
      <c r="A1866" s="41"/>
      <c r="B1866" s="43"/>
      <c r="C1866" s="44"/>
      <c r="D1866" s="51"/>
      <c r="E1866" s="44"/>
      <c r="F1866" s="44"/>
      <c r="G1866" s="34">
        <f t="shared" ref="G1866:G1929" si="116">IF(AND(J1866&gt;0,OR(B1866="",AND(ISNUMBER(B1866),B1866&gt;=1,B1866&lt;=100000)),ISNUMBER(D1866),D1866&gt;=1,D1866&lt;=100000,C1866&lt;&gt;""),1,0)</f>
        <v>0</v>
      </c>
      <c r="H1866" s="34" t="str">
        <f t="shared" ref="H1866:H1929" si="117">IF(G1866=1,K1866&amp;"|"&amp;D1866,"")</f>
        <v/>
      </c>
      <c r="I1866" s="52" t="str">
        <f t="shared" ref="I1866:I1929" si="118">IF(COUNTA(A1866:F1866)=0,"",IF(A1866="","Selecione o processo",IF(J1866=0,"Processo inexistente, duplicado ou número não textual",IF(B1866="","Informe a data do andamento",IF(C1866="","Descreva o andamento",IF(D1866="","Informe a data e hora do recebimento",IF(OR(NOT(ISNUMBER(B1866)),B1866&lt;1,B1866&gt;100000),"Revise a data do andamento",IF(OR(NOT(ISNUMBER(D1866)),D1866&lt;1,D1866&gt;100000),"Revise a data e hora do recebimento",IF(COUNTIFS($K$10:$K$2009,"="&amp;SUBSTITUTE(SUBSTITUTE(SUBSTITUTE("P:"&amp;A1866,"~","~~"),"*","~*"),"?","~?"),$D$10:$D$2009,D1866,$G$10:$G$2009,1)&gt;1,"Recebimentos empatados: revise a hora ou consolide o registro","")))))))))</f>
        <v/>
      </c>
      <c r="J1866" s="34">
        <f>IF(AND(A1866&lt;&gt;"",ISTEXT(A1866),COUNTIFS(Processos!$AS$10:$AS$509,"="&amp;SUBSTITUTE(SUBSTITUTE(SUBSTITUTE("P:"&amp;A1866,"~","~~"),"*","~*"),"?","~?"))=1),(IF(ISNA(MATCH(SUBSTITUTE(SUBSTITUTE(SUBSTITUTE("P:"&amp;A1866,"~","~~"),"*","~*"),"?","~?"),Processos!$AS$10:$AS$509,0)),9,INDEX(Processos!$AM$10:$AM$509,MATCH(SUBSTITUTE(SUBSTITUTE(SUBSTITUTE("P:"&amp;A1866,"~","~~"),"*","~*"),"?","~?"),Processos!$AS$10:$AS$509,0)))-9),0)</f>
        <v>0</v>
      </c>
      <c r="K1866" s="34" t="str">
        <f t="shared" ref="K1866:K1929" si="119">IF(AND(A1866&lt;&gt;"",ISTEXT(A1866)),"P:"&amp;A1866,"")</f>
        <v/>
      </c>
      <c r="L1866" s="14">
        <f>ROW()</f>
        <v>1866</v>
      </c>
    </row>
    <row r="1867" spans="1:12" ht="60" customHeight="1">
      <c r="A1867" s="41"/>
      <c r="B1867" s="43"/>
      <c r="C1867" s="44"/>
      <c r="D1867" s="51"/>
      <c r="E1867" s="44"/>
      <c r="F1867" s="44"/>
      <c r="G1867" s="34">
        <f t="shared" si="116"/>
        <v>0</v>
      </c>
      <c r="H1867" s="34" t="str">
        <f t="shared" si="117"/>
        <v/>
      </c>
      <c r="I1867" s="52" t="str">
        <f t="shared" si="118"/>
        <v/>
      </c>
      <c r="J1867" s="34">
        <f>IF(AND(A1867&lt;&gt;"",ISTEXT(A1867),COUNTIFS(Processos!$AS$10:$AS$509,"="&amp;SUBSTITUTE(SUBSTITUTE(SUBSTITUTE("P:"&amp;A1867,"~","~~"),"*","~*"),"?","~?"))=1),(IF(ISNA(MATCH(SUBSTITUTE(SUBSTITUTE(SUBSTITUTE("P:"&amp;A1867,"~","~~"),"*","~*"),"?","~?"),Processos!$AS$10:$AS$509,0)),9,INDEX(Processos!$AM$10:$AM$509,MATCH(SUBSTITUTE(SUBSTITUTE(SUBSTITUTE("P:"&amp;A1867,"~","~~"),"*","~*"),"?","~?"),Processos!$AS$10:$AS$509,0)))-9),0)</f>
        <v>0</v>
      </c>
      <c r="K1867" s="34" t="str">
        <f t="shared" si="119"/>
        <v/>
      </c>
      <c r="L1867" s="14">
        <f>ROW()</f>
        <v>1867</v>
      </c>
    </row>
    <row r="1868" spans="1:12" ht="60" customHeight="1">
      <c r="A1868" s="41"/>
      <c r="B1868" s="43"/>
      <c r="C1868" s="44"/>
      <c r="D1868" s="51"/>
      <c r="E1868" s="44"/>
      <c r="F1868" s="44"/>
      <c r="G1868" s="34">
        <f t="shared" si="116"/>
        <v>0</v>
      </c>
      <c r="H1868" s="34" t="str">
        <f t="shared" si="117"/>
        <v/>
      </c>
      <c r="I1868" s="52" t="str">
        <f t="shared" si="118"/>
        <v/>
      </c>
      <c r="J1868" s="34">
        <f>IF(AND(A1868&lt;&gt;"",ISTEXT(A1868),COUNTIFS(Processos!$AS$10:$AS$509,"="&amp;SUBSTITUTE(SUBSTITUTE(SUBSTITUTE("P:"&amp;A1868,"~","~~"),"*","~*"),"?","~?"))=1),(IF(ISNA(MATCH(SUBSTITUTE(SUBSTITUTE(SUBSTITUTE("P:"&amp;A1868,"~","~~"),"*","~*"),"?","~?"),Processos!$AS$10:$AS$509,0)),9,INDEX(Processos!$AM$10:$AM$509,MATCH(SUBSTITUTE(SUBSTITUTE(SUBSTITUTE("P:"&amp;A1868,"~","~~"),"*","~*"),"?","~?"),Processos!$AS$10:$AS$509,0)))-9),0)</f>
        <v>0</v>
      </c>
      <c r="K1868" s="34" t="str">
        <f t="shared" si="119"/>
        <v/>
      </c>
      <c r="L1868" s="14">
        <f>ROW()</f>
        <v>1868</v>
      </c>
    </row>
    <row r="1869" spans="1:12" ht="60" customHeight="1">
      <c r="A1869" s="41"/>
      <c r="B1869" s="43"/>
      <c r="C1869" s="44"/>
      <c r="D1869" s="51"/>
      <c r="E1869" s="44"/>
      <c r="F1869" s="44"/>
      <c r="G1869" s="34">
        <f t="shared" si="116"/>
        <v>0</v>
      </c>
      <c r="H1869" s="34" t="str">
        <f t="shared" si="117"/>
        <v/>
      </c>
      <c r="I1869" s="52" t="str">
        <f t="shared" si="118"/>
        <v/>
      </c>
      <c r="J1869" s="34">
        <f>IF(AND(A1869&lt;&gt;"",ISTEXT(A1869),COUNTIFS(Processos!$AS$10:$AS$509,"="&amp;SUBSTITUTE(SUBSTITUTE(SUBSTITUTE("P:"&amp;A1869,"~","~~"),"*","~*"),"?","~?"))=1),(IF(ISNA(MATCH(SUBSTITUTE(SUBSTITUTE(SUBSTITUTE("P:"&amp;A1869,"~","~~"),"*","~*"),"?","~?"),Processos!$AS$10:$AS$509,0)),9,INDEX(Processos!$AM$10:$AM$509,MATCH(SUBSTITUTE(SUBSTITUTE(SUBSTITUTE("P:"&amp;A1869,"~","~~"),"*","~*"),"?","~?"),Processos!$AS$10:$AS$509,0)))-9),0)</f>
        <v>0</v>
      </c>
      <c r="K1869" s="34" t="str">
        <f t="shared" si="119"/>
        <v/>
      </c>
      <c r="L1869" s="14">
        <f>ROW()</f>
        <v>1869</v>
      </c>
    </row>
    <row r="1870" spans="1:12" ht="60" customHeight="1">
      <c r="A1870" s="41"/>
      <c r="B1870" s="43"/>
      <c r="C1870" s="44"/>
      <c r="D1870" s="51"/>
      <c r="E1870" s="44"/>
      <c r="F1870" s="44"/>
      <c r="G1870" s="34">
        <f t="shared" si="116"/>
        <v>0</v>
      </c>
      <c r="H1870" s="34" t="str">
        <f t="shared" si="117"/>
        <v/>
      </c>
      <c r="I1870" s="52" t="str">
        <f t="shared" si="118"/>
        <v/>
      </c>
      <c r="J1870" s="34">
        <f>IF(AND(A1870&lt;&gt;"",ISTEXT(A1870),COUNTIFS(Processos!$AS$10:$AS$509,"="&amp;SUBSTITUTE(SUBSTITUTE(SUBSTITUTE("P:"&amp;A1870,"~","~~"),"*","~*"),"?","~?"))=1),(IF(ISNA(MATCH(SUBSTITUTE(SUBSTITUTE(SUBSTITUTE("P:"&amp;A1870,"~","~~"),"*","~*"),"?","~?"),Processos!$AS$10:$AS$509,0)),9,INDEX(Processos!$AM$10:$AM$509,MATCH(SUBSTITUTE(SUBSTITUTE(SUBSTITUTE("P:"&amp;A1870,"~","~~"),"*","~*"),"?","~?"),Processos!$AS$10:$AS$509,0)))-9),0)</f>
        <v>0</v>
      </c>
      <c r="K1870" s="34" t="str">
        <f t="shared" si="119"/>
        <v/>
      </c>
      <c r="L1870" s="14">
        <f>ROW()</f>
        <v>1870</v>
      </c>
    </row>
    <row r="1871" spans="1:12" ht="60" customHeight="1">
      <c r="A1871" s="41"/>
      <c r="B1871" s="43"/>
      <c r="C1871" s="44"/>
      <c r="D1871" s="51"/>
      <c r="E1871" s="44"/>
      <c r="F1871" s="44"/>
      <c r="G1871" s="34">
        <f t="shared" si="116"/>
        <v>0</v>
      </c>
      <c r="H1871" s="34" t="str">
        <f t="shared" si="117"/>
        <v/>
      </c>
      <c r="I1871" s="52" t="str">
        <f t="shared" si="118"/>
        <v/>
      </c>
      <c r="J1871" s="34">
        <f>IF(AND(A1871&lt;&gt;"",ISTEXT(A1871),COUNTIFS(Processos!$AS$10:$AS$509,"="&amp;SUBSTITUTE(SUBSTITUTE(SUBSTITUTE("P:"&amp;A1871,"~","~~"),"*","~*"),"?","~?"))=1),(IF(ISNA(MATCH(SUBSTITUTE(SUBSTITUTE(SUBSTITUTE("P:"&amp;A1871,"~","~~"),"*","~*"),"?","~?"),Processos!$AS$10:$AS$509,0)),9,INDEX(Processos!$AM$10:$AM$509,MATCH(SUBSTITUTE(SUBSTITUTE(SUBSTITUTE("P:"&amp;A1871,"~","~~"),"*","~*"),"?","~?"),Processos!$AS$10:$AS$509,0)))-9),0)</f>
        <v>0</v>
      </c>
      <c r="K1871" s="34" t="str">
        <f t="shared" si="119"/>
        <v/>
      </c>
      <c r="L1871" s="14">
        <f>ROW()</f>
        <v>1871</v>
      </c>
    </row>
    <row r="1872" spans="1:12" ht="60" customHeight="1">
      <c r="A1872" s="41"/>
      <c r="B1872" s="43"/>
      <c r="C1872" s="44"/>
      <c r="D1872" s="51"/>
      <c r="E1872" s="44"/>
      <c r="F1872" s="44"/>
      <c r="G1872" s="34">
        <f t="shared" si="116"/>
        <v>0</v>
      </c>
      <c r="H1872" s="34" t="str">
        <f t="shared" si="117"/>
        <v/>
      </c>
      <c r="I1872" s="52" t="str">
        <f t="shared" si="118"/>
        <v/>
      </c>
      <c r="J1872" s="34">
        <f>IF(AND(A1872&lt;&gt;"",ISTEXT(A1872),COUNTIFS(Processos!$AS$10:$AS$509,"="&amp;SUBSTITUTE(SUBSTITUTE(SUBSTITUTE("P:"&amp;A1872,"~","~~"),"*","~*"),"?","~?"))=1),(IF(ISNA(MATCH(SUBSTITUTE(SUBSTITUTE(SUBSTITUTE("P:"&amp;A1872,"~","~~"),"*","~*"),"?","~?"),Processos!$AS$10:$AS$509,0)),9,INDEX(Processos!$AM$10:$AM$509,MATCH(SUBSTITUTE(SUBSTITUTE(SUBSTITUTE("P:"&amp;A1872,"~","~~"),"*","~*"),"?","~?"),Processos!$AS$10:$AS$509,0)))-9),0)</f>
        <v>0</v>
      </c>
      <c r="K1872" s="34" t="str">
        <f t="shared" si="119"/>
        <v/>
      </c>
      <c r="L1872" s="14">
        <f>ROW()</f>
        <v>1872</v>
      </c>
    </row>
    <row r="1873" spans="1:12" ht="60" customHeight="1">
      <c r="A1873" s="41"/>
      <c r="B1873" s="43"/>
      <c r="C1873" s="44"/>
      <c r="D1873" s="51"/>
      <c r="E1873" s="44"/>
      <c r="F1873" s="44"/>
      <c r="G1873" s="34">
        <f t="shared" si="116"/>
        <v>0</v>
      </c>
      <c r="H1873" s="34" t="str">
        <f t="shared" si="117"/>
        <v/>
      </c>
      <c r="I1873" s="52" t="str">
        <f t="shared" si="118"/>
        <v/>
      </c>
      <c r="J1873" s="34">
        <f>IF(AND(A1873&lt;&gt;"",ISTEXT(A1873),COUNTIFS(Processos!$AS$10:$AS$509,"="&amp;SUBSTITUTE(SUBSTITUTE(SUBSTITUTE("P:"&amp;A1873,"~","~~"),"*","~*"),"?","~?"))=1),(IF(ISNA(MATCH(SUBSTITUTE(SUBSTITUTE(SUBSTITUTE("P:"&amp;A1873,"~","~~"),"*","~*"),"?","~?"),Processos!$AS$10:$AS$509,0)),9,INDEX(Processos!$AM$10:$AM$509,MATCH(SUBSTITUTE(SUBSTITUTE(SUBSTITUTE("P:"&amp;A1873,"~","~~"),"*","~*"),"?","~?"),Processos!$AS$10:$AS$509,0)))-9),0)</f>
        <v>0</v>
      </c>
      <c r="K1873" s="34" t="str">
        <f t="shared" si="119"/>
        <v/>
      </c>
      <c r="L1873" s="14">
        <f>ROW()</f>
        <v>1873</v>
      </c>
    </row>
    <row r="1874" spans="1:12" ht="60" customHeight="1">
      <c r="A1874" s="41"/>
      <c r="B1874" s="43"/>
      <c r="C1874" s="44"/>
      <c r="D1874" s="51"/>
      <c r="E1874" s="44"/>
      <c r="F1874" s="44"/>
      <c r="G1874" s="34">
        <f t="shared" si="116"/>
        <v>0</v>
      </c>
      <c r="H1874" s="34" t="str">
        <f t="shared" si="117"/>
        <v/>
      </c>
      <c r="I1874" s="52" t="str">
        <f t="shared" si="118"/>
        <v/>
      </c>
      <c r="J1874" s="34">
        <f>IF(AND(A1874&lt;&gt;"",ISTEXT(A1874),COUNTIFS(Processos!$AS$10:$AS$509,"="&amp;SUBSTITUTE(SUBSTITUTE(SUBSTITUTE("P:"&amp;A1874,"~","~~"),"*","~*"),"?","~?"))=1),(IF(ISNA(MATCH(SUBSTITUTE(SUBSTITUTE(SUBSTITUTE("P:"&amp;A1874,"~","~~"),"*","~*"),"?","~?"),Processos!$AS$10:$AS$509,0)),9,INDEX(Processos!$AM$10:$AM$509,MATCH(SUBSTITUTE(SUBSTITUTE(SUBSTITUTE("P:"&amp;A1874,"~","~~"),"*","~*"),"?","~?"),Processos!$AS$10:$AS$509,0)))-9),0)</f>
        <v>0</v>
      </c>
      <c r="K1874" s="34" t="str">
        <f t="shared" si="119"/>
        <v/>
      </c>
      <c r="L1874" s="14">
        <f>ROW()</f>
        <v>1874</v>
      </c>
    </row>
    <row r="1875" spans="1:12" ht="60" customHeight="1">
      <c r="A1875" s="41"/>
      <c r="B1875" s="43"/>
      <c r="C1875" s="44"/>
      <c r="D1875" s="51"/>
      <c r="E1875" s="44"/>
      <c r="F1875" s="44"/>
      <c r="G1875" s="34">
        <f t="shared" si="116"/>
        <v>0</v>
      </c>
      <c r="H1875" s="34" t="str">
        <f t="shared" si="117"/>
        <v/>
      </c>
      <c r="I1875" s="52" t="str">
        <f t="shared" si="118"/>
        <v/>
      </c>
      <c r="J1875" s="34">
        <f>IF(AND(A1875&lt;&gt;"",ISTEXT(A1875),COUNTIFS(Processos!$AS$10:$AS$509,"="&amp;SUBSTITUTE(SUBSTITUTE(SUBSTITUTE("P:"&amp;A1875,"~","~~"),"*","~*"),"?","~?"))=1),(IF(ISNA(MATCH(SUBSTITUTE(SUBSTITUTE(SUBSTITUTE("P:"&amp;A1875,"~","~~"),"*","~*"),"?","~?"),Processos!$AS$10:$AS$509,0)),9,INDEX(Processos!$AM$10:$AM$509,MATCH(SUBSTITUTE(SUBSTITUTE(SUBSTITUTE("P:"&amp;A1875,"~","~~"),"*","~*"),"?","~?"),Processos!$AS$10:$AS$509,0)))-9),0)</f>
        <v>0</v>
      </c>
      <c r="K1875" s="34" t="str">
        <f t="shared" si="119"/>
        <v/>
      </c>
      <c r="L1875" s="14">
        <f>ROW()</f>
        <v>1875</v>
      </c>
    </row>
    <row r="1876" spans="1:12" ht="60" customHeight="1">
      <c r="A1876" s="41"/>
      <c r="B1876" s="43"/>
      <c r="C1876" s="44"/>
      <c r="D1876" s="51"/>
      <c r="E1876" s="44"/>
      <c r="F1876" s="44"/>
      <c r="G1876" s="34">
        <f t="shared" si="116"/>
        <v>0</v>
      </c>
      <c r="H1876" s="34" t="str">
        <f t="shared" si="117"/>
        <v/>
      </c>
      <c r="I1876" s="52" t="str">
        <f t="shared" si="118"/>
        <v/>
      </c>
      <c r="J1876" s="34">
        <f>IF(AND(A1876&lt;&gt;"",ISTEXT(A1876),COUNTIFS(Processos!$AS$10:$AS$509,"="&amp;SUBSTITUTE(SUBSTITUTE(SUBSTITUTE("P:"&amp;A1876,"~","~~"),"*","~*"),"?","~?"))=1),(IF(ISNA(MATCH(SUBSTITUTE(SUBSTITUTE(SUBSTITUTE("P:"&amp;A1876,"~","~~"),"*","~*"),"?","~?"),Processos!$AS$10:$AS$509,0)),9,INDEX(Processos!$AM$10:$AM$509,MATCH(SUBSTITUTE(SUBSTITUTE(SUBSTITUTE("P:"&amp;A1876,"~","~~"),"*","~*"),"?","~?"),Processos!$AS$10:$AS$509,0)))-9),0)</f>
        <v>0</v>
      </c>
      <c r="K1876" s="34" t="str">
        <f t="shared" si="119"/>
        <v/>
      </c>
      <c r="L1876" s="14">
        <f>ROW()</f>
        <v>1876</v>
      </c>
    </row>
    <row r="1877" spans="1:12" ht="60" customHeight="1">
      <c r="A1877" s="41"/>
      <c r="B1877" s="43"/>
      <c r="C1877" s="44"/>
      <c r="D1877" s="51"/>
      <c r="E1877" s="44"/>
      <c r="F1877" s="44"/>
      <c r="G1877" s="34">
        <f t="shared" si="116"/>
        <v>0</v>
      </c>
      <c r="H1877" s="34" t="str">
        <f t="shared" si="117"/>
        <v/>
      </c>
      <c r="I1877" s="52" t="str">
        <f t="shared" si="118"/>
        <v/>
      </c>
      <c r="J1877" s="34">
        <f>IF(AND(A1877&lt;&gt;"",ISTEXT(A1877),COUNTIFS(Processos!$AS$10:$AS$509,"="&amp;SUBSTITUTE(SUBSTITUTE(SUBSTITUTE("P:"&amp;A1877,"~","~~"),"*","~*"),"?","~?"))=1),(IF(ISNA(MATCH(SUBSTITUTE(SUBSTITUTE(SUBSTITUTE("P:"&amp;A1877,"~","~~"),"*","~*"),"?","~?"),Processos!$AS$10:$AS$509,0)),9,INDEX(Processos!$AM$10:$AM$509,MATCH(SUBSTITUTE(SUBSTITUTE(SUBSTITUTE("P:"&amp;A1877,"~","~~"),"*","~*"),"?","~?"),Processos!$AS$10:$AS$509,0)))-9),0)</f>
        <v>0</v>
      </c>
      <c r="K1877" s="34" t="str">
        <f t="shared" si="119"/>
        <v/>
      </c>
      <c r="L1877" s="14">
        <f>ROW()</f>
        <v>1877</v>
      </c>
    </row>
    <row r="1878" spans="1:12" ht="60" customHeight="1">
      <c r="A1878" s="41"/>
      <c r="B1878" s="43"/>
      <c r="C1878" s="44"/>
      <c r="D1878" s="51"/>
      <c r="E1878" s="44"/>
      <c r="F1878" s="44"/>
      <c r="G1878" s="34">
        <f t="shared" si="116"/>
        <v>0</v>
      </c>
      <c r="H1878" s="34" t="str">
        <f t="shared" si="117"/>
        <v/>
      </c>
      <c r="I1878" s="52" t="str">
        <f t="shared" si="118"/>
        <v/>
      </c>
      <c r="J1878" s="34">
        <f>IF(AND(A1878&lt;&gt;"",ISTEXT(A1878),COUNTIFS(Processos!$AS$10:$AS$509,"="&amp;SUBSTITUTE(SUBSTITUTE(SUBSTITUTE("P:"&amp;A1878,"~","~~"),"*","~*"),"?","~?"))=1),(IF(ISNA(MATCH(SUBSTITUTE(SUBSTITUTE(SUBSTITUTE("P:"&amp;A1878,"~","~~"),"*","~*"),"?","~?"),Processos!$AS$10:$AS$509,0)),9,INDEX(Processos!$AM$10:$AM$509,MATCH(SUBSTITUTE(SUBSTITUTE(SUBSTITUTE("P:"&amp;A1878,"~","~~"),"*","~*"),"?","~?"),Processos!$AS$10:$AS$509,0)))-9),0)</f>
        <v>0</v>
      </c>
      <c r="K1878" s="34" t="str">
        <f t="shared" si="119"/>
        <v/>
      </c>
      <c r="L1878" s="14">
        <f>ROW()</f>
        <v>1878</v>
      </c>
    </row>
    <row r="1879" spans="1:12" ht="60" customHeight="1">
      <c r="A1879" s="41"/>
      <c r="B1879" s="43"/>
      <c r="C1879" s="44"/>
      <c r="D1879" s="51"/>
      <c r="E1879" s="44"/>
      <c r="F1879" s="44"/>
      <c r="G1879" s="34">
        <f t="shared" si="116"/>
        <v>0</v>
      </c>
      <c r="H1879" s="34" t="str">
        <f t="shared" si="117"/>
        <v/>
      </c>
      <c r="I1879" s="52" t="str">
        <f t="shared" si="118"/>
        <v/>
      </c>
      <c r="J1879" s="34">
        <f>IF(AND(A1879&lt;&gt;"",ISTEXT(A1879),COUNTIFS(Processos!$AS$10:$AS$509,"="&amp;SUBSTITUTE(SUBSTITUTE(SUBSTITUTE("P:"&amp;A1879,"~","~~"),"*","~*"),"?","~?"))=1),(IF(ISNA(MATCH(SUBSTITUTE(SUBSTITUTE(SUBSTITUTE("P:"&amp;A1879,"~","~~"),"*","~*"),"?","~?"),Processos!$AS$10:$AS$509,0)),9,INDEX(Processos!$AM$10:$AM$509,MATCH(SUBSTITUTE(SUBSTITUTE(SUBSTITUTE("P:"&amp;A1879,"~","~~"),"*","~*"),"?","~?"),Processos!$AS$10:$AS$509,0)))-9),0)</f>
        <v>0</v>
      </c>
      <c r="K1879" s="34" t="str">
        <f t="shared" si="119"/>
        <v/>
      </c>
      <c r="L1879" s="14">
        <f>ROW()</f>
        <v>1879</v>
      </c>
    </row>
    <row r="1880" spans="1:12" ht="60" customHeight="1">
      <c r="A1880" s="41"/>
      <c r="B1880" s="43"/>
      <c r="C1880" s="44"/>
      <c r="D1880" s="51"/>
      <c r="E1880" s="44"/>
      <c r="F1880" s="44"/>
      <c r="G1880" s="34">
        <f t="shared" si="116"/>
        <v>0</v>
      </c>
      <c r="H1880" s="34" t="str">
        <f t="shared" si="117"/>
        <v/>
      </c>
      <c r="I1880" s="52" t="str">
        <f t="shared" si="118"/>
        <v/>
      </c>
      <c r="J1880" s="34">
        <f>IF(AND(A1880&lt;&gt;"",ISTEXT(A1880),COUNTIFS(Processos!$AS$10:$AS$509,"="&amp;SUBSTITUTE(SUBSTITUTE(SUBSTITUTE("P:"&amp;A1880,"~","~~"),"*","~*"),"?","~?"))=1),(IF(ISNA(MATCH(SUBSTITUTE(SUBSTITUTE(SUBSTITUTE("P:"&amp;A1880,"~","~~"),"*","~*"),"?","~?"),Processos!$AS$10:$AS$509,0)),9,INDEX(Processos!$AM$10:$AM$509,MATCH(SUBSTITUTE(SUBSTITUTE(SUBSTITUTE("P:"&amp;A1880,"~","~~"),"*","~*"),"?","~?"),Processos!$AS$10:$AS$509,0)))-9),0)</f>
        <v>0</v>
      </c>
      <c r="K1880" s="34" t="str">
        <f t="shared" si="119"/>
        <v/>
      </c>
      <c r="L1880" s="14">
        <f>ROW()</f>
        <v>1880</v>
      </c>
    </row>
    <row r="1881" spans="1:12" ht="60" customHeight="1">
      <c r="A1881" s="41"/>
      <c r="B1881" s="43"/>
      <c r="C1881" s="44"/>
      <c r="D1881" s="51"/>
      <c r="E1881" s="44"/>
      <c r="F1881" s="44"/>
      <c r="G1881" s="34">
        <f t="shared" si="116"/>
        <v>0</v>
      </c>
      <c r="H1881" s="34" t="str">
        <f t="shared" si="117"/>
        <v/>
      </c>
      <c r="I1881" s="52" t="str">
        <f t="shared" si="118"/>
        <v/>
      </c>
      <c r="J1881" s="34">
        <f>IF(AND(A1881&lt;&gt;"",ISTEXT(A1881),COUNTIFS(Processos!$AS$10:$AS$509,"="&amp;SUBSTITUTE(SUBSTITUTE(SUBSTITUTE("P:"&amp;A1881,"~","~~"),"*","~*"),"?","~?"))=1),(IF(ISNA(MATCH(SUBSTITUTE(SUBSTITUTE(SUBSTITUTE("P:"&amp;A1881,"~","~~"),"*","~*"),"?","~?"),Processos!$AS$10:$AS$509,0)),9,INDEX(Processos!$AM$10:$AM$509,MATCH(SUBSTITUTE(SUBSTITUTE(SUBSTITUTE("P:"&amp;A1881,"~","~~"),"*","~*"),"?","~?"),Processos!$AS$10:$AS$509,0)))-9),0)</f>
        <v>0</v>
      </c>
      <c r="K1881" s="34" t="str">
        <f t="shared" si="119"/>
        <v/>
      </c>
      <c r="L1881" s="14">
        <f>ROW()</f>
        <v>1881</v>
      </c>
    </row>
    <row r="1882" spans="1:12" ht="60" customHeight="1">
      <c r="A1882" s="41"/>
      <c r="B1882" s="43"/>
      <c r="C1882" s="44"/>
      <c r="D1882" s="51"/>
      <c r="E1882" s="44"/>
      <c r="F1882" s="44"/>
      <c r="G1882" s="34">
        <f t="shared" si="116"/>
        <v>0</v>
      </c>
      <c r="H1882" s="34" t="str">
        <f t="shared" si="117"/>
        <v/>
      </c>
      <c r="I1882" s="52" t="str">
        <f t="shared" si="118"/>
        <v/>
      </c>
      <c r="J1882" s="34">
        <f>IF(AND(A1882&lt;&gt;"",ISTEXT(A1882),COUNTIFS(Processos!$AS$10:$AS$509,"="&amp;SUBSTITUTE(SUBSTITUTE(SUBSTITUTE("P:"&amp;A1882,"~","~~"),"*","~*"),"?","~?"))=1),(IF(ISNA(MATCH(SUBSTITUTE(SUBSTITUTE(SUBSTITUTE("P:"&amp;A1882,"~","~~"),"*","~*"),"?","~?"),Processos!$AS$10:$AS$509,0)),9,INDEX(Processos!$AM$10:$AM$509,MATCH(SUBSTITUTE(SUBSTITUTE(SUBSTITUTE("P:"&amp;A1882,"~","~~"),"*","~*"),"?","~?"),Processos!$AS$10:$AS$509,0)))-9),0)</f>
        <v>0</v>
      </c>
      <c r="K1882" s="34" t="str">
        <f t="shared" si="119"/>
        <v/>
      </c>
      <c r="L1882" s="14">
        <f>ROW()</f>
        <v>1882</v>
      </c>
    </row>
    <row r="1883" spans="1:12" ht="60" customHeight="1">
      <c r="A1883" s="41"/>
      <c r="B1883" s="43"/>
      <c r="C1883" s="44"/>
      <c r="D1883" s="51"/>
      <c r="E1883" s="44"/>
      <c r="F1883" s="44"/>
      <c r="G1883" s="34">
        <f t="shared" si="116"/>
        <v>0</v>
      </c>
      <c r="H1883" s="34" t="str">
        <f t="shared" si="117"/>
        <v/>
      </c>
      <c r="I1883" s="52" t="str">
        <f t="shared" si="118"/>
        <v/>
      </c>
      <c r="J1883" s="34">
        <f>IF(AND(A1883&lt;&gt;"",ISTEXT(A1883),COUNTIFS(Processos!$AS$10:$AS$509,"="&amp;SUBSTITUTE(SUBSTITUTE(SUBSTITUTE("P:"&amp;A1883,"~","~~"),"*","~*"),"?","~?"))=1),(IF(ISNA(MATCH(SUBSTITUTE(SUBSTITUTE(SUBSTITUTE("P:"&amp;A1883,"~","~~"),"*","~*"),"?","~?"),Processos!$AS$10:$AS$509,0)),9,INDEX(Processos!$AM$10:$AM$509,MATCH(SUBSTITUTE(SUBSTITUTE(SUBSTITUTE("P:"&amp;A1883,"~","~~"),"*","~*"),"?","~?"),Processos!$AS$10:$AS$509,0)))-9),0)</f>
        <v>0</v>
      </c>
      <c r="K1883" s="34" t="str">
        <f t="shared" si="119"/>
        <v/>
      </c>
      <c r="L1883" s="14">
        <f>ROW()</f>
        <v>1883</v>
      </c>
    </row>
    <row r="1884" spans="1:12" ht="60" customHeight="1">
      <c r="A1884" s="41"/>
      <c r="B1884" s="43"/>
      <c r="C1884" s="44"/>
      <c r="D1884" s="51"/>
      <c r="E1884" s="44"/>
      <c r="F1884" s="44"/>
      <c r="G1884" s="34">
        <f t="shared" si="116"/>
        <v>0</v>
      </c>
      <c r="H1884" s="34" t="str">
        <f t="shared" si="117"/>
        <v/>
      </c>
      <c r="I1884" s="52" t="str">
        <f t="shared" si="118"/>
        <v/>
      </c>
      <c r="J1884" s="34">
        <f>IF(AND(A1884&lt;&gt;"",ISTEXT(A1884),COUNTIFS(Processos!$AS$10:$AS$509,"="&amp;SUBSTITUTE(SUBSTITUTE(SUBSTITUTE("P:"&amp;A1884,"~","~~"),"*","~*"),"?","~?"))=1),(IF(ISNA(MATCH(SUBSTITUTE(SUBSTITUTE(SUBSTITUTE("P:"&amp;A1884,"~","~~"),"*","~*"),"?","~?"),Processos!$AS$10:$AS$509,0)),9,INDEX(Processos!$AM$10:$AM$509,MATCH(SUBSTITUTE(SUBSTITUTE(SUBSTITUTE("P:"&amp;A1884,"~","~~"),"*","~*"),"?","~?"),Processos!$AS$10:$AS$509,0)))-9),0)</f>
        <v>0</v>
      </c>
      <c r="K1884" s="34" t="str">
        <f t="shared" si="119"/>
        <v/>
      </c>
      <c r="L1884" s="14">
        <f>ROW()</f>
        <v>1884</v>
      </c>
    </row>
    <row r="1885" spans="1:12" ht="60" customHeight="1">
      <c r="A1885" s="41"/>
      <c r="B1885" s="43"/>
      <c r="C1885" s="44"/>
      <c r="D1885" s="51"/>
      <c r="E1885" s="44"/>
      <c r="F1885" s="44"/>
      <c r="G1885" s="34">
        <f t="shared" si="116"/>
        <v>0</v>
      </c>
      <c r="H1885" s="34" t="str">
        <f t="shared" si="117"/>
        <v/>
      </c>
      <c r="I1885" s="52" t="str">
        <f t="shared" si="118"/>
        <v/>
      </c>
      <c r="J1885" s="34">
        <f>IF(AND(A1885&lt;&gt;"",ISTEXT(A1885),COUNTIFS(Processos!$AS$10:$AS$509,"="&amp;SUBSTITUTE(SUBSTITUTE(SUBSTITUTE("P:"&amp;A1885,"~","~~"),"*","~*"),"?","~?"))=1),(IF(ISNA(MATCH(SUBSTITUTE(SUBSTITUTE(SUBSTITUTE("P:"&amp;A1885,"~","~~"),"*","~*"),"?","~?"),Processos!$AS$10:$AS$509,0)),9,INDEX(Processos!$AM$10:$AM$509,MATCH(SUBSTITUTE(SUBSTITUTE(SUBSTITUTE("P:"&amp;A1885,"~","~~"),"*","~*"),"?","~?"),Processos!$AS$10:$AS$509,0)))-9),0)</f>
        <v>0</v>
      </c>
      <c r="K1885" s="34" t="str">
        <f t="shared" si="119"/>
        <v/>
      </c>
      <c r="L1885" s="14">
        <f>ROW()</f>
        <v>1885</v>
      </c>
    </row>
    <row r="1886" spans="1:12" ht="60" customHeight="1">
      <c r="A1886" s="41"/>
      <c r="B1886" s="43"/>
      <c r="C1886" s="44"/>
      <c r="D1886" s="51"/>
      <c r="E1886" s="44"/>
      <c r="F1886" s="44"/>
      <c r="G1886" s="34">
        <f t="shared" si="116"/>
        <v>0</v>
      </c>
      <c r="H1886" s="34" t="str">
        <f t="shared" si="117"/>
        <v/>
      </c>
      <c r="I1886" s="52" t="str">
        <f t="shared" si="118"/>
        <v/>
      </c>
      <c r="J1886" s="34">
        <f>IF(AND(A1886&lt;&gt;"",ISTEXT(A1886),COUNTIFS(Processos!$AS$10:$AS$509,"="&amp;SUBSTITUTE(SUBSTITUTE(SUBSTITUTE("P:"&amp;A1886,"~","~~"),"*","~*"),"?","~?"))=1),(IF(ISNA(MATCH(SUBSTITUTE(SUBSTITUTE(SUBSTITUTE("P:"&amp;A1886,"~","~~"),"*","~*"),"?","~?"),Processos!$AS$10:$AS$509,0)),9,INDEX(Processos!$AM$10:$AM$509,MATCH(SUBSTITUTE(SUBSTITUTE(SUBSTITUTE("P:"&amp;A1886,"~","~~"),"*","~*"),"?","~?"),Processos!$AS$10:$AS$509,0)))-9),0)</f>
        <v>0</v>
      </c>
      <c r="K1886" s="34" t="str">
        <f t="shared" si="119"/>
        <v/>
      </c>
      <c r="L1886" s="14">
        <f>ROW()</f>
        <v>1886</v>
      </c>
    </row>
    <row r="1887" spans="1:12" ht="60" customHeight="1">
      <c r="A1887" s="41"/>
      <c r="B1887" s="43"/>
      <c r="C1887" s="44"/>
      <c r="D1887" s="51"/>
      <c r="E1887" s="44"/>
      <c r="F1887" s="44"/>
      <c r="G1887" s="34">
        <f t="shared" si="116"/>
        <v>0</v>
      </c>
      <c r="H1887" s="34" t="str">
        <f t="shared" si="117"/>
        <v/>
      </c>
      <c r="I1887" s="52" t="str">
        <f t="shared" si="118"/>
        <v/>
      </c>
      <c r="J1887" s="34">
        <f>IF(AND(A1887&lt;&gt;"",ISTEXT(A1887),COUNTIFS(Processos!$AS$10:$AS$509,"="&amp;SUBSTITUTE(SUBSTITUTE(SUBSTITUTE("P:"&amp;A1887,"~","~~"),"*","~*"),"?","~?"))=1),(IF(ISNA(MATCH(SUBSTITUTE(SUBSTITUTE(SUBSTITUTE("P:"&amp;A1887,"~","~~"),"*","~*"),"?","~?"),Processos!$AS$10:$AS$509,0)),9,INDEX(Processos!$AM$10:$AM$509,MATCH(SUBSTITUTE(SUBSTITUTE(SUBSTITUTE("P:"&amp;A1887,"~","~~"),"*","~*"),"?","~?"),Processos!$AS$10:$AS$509,0)))-9),0)</f>
        <v>0</v>
      </c>
      <c r="K1887" s="34" t="str">
        <f t="shared" si="119"/>
        <v/>
      </c>
      <c r="L1887" s="14">
        <f>ROW()</f>
        <v>1887</v>
      </c>
    </row>
    <row r="1888" spans="1:12" ht="60" customHeight="1">
      <c r="A1888" s="41"/>
      <c r="B1888" s="43"/>
      <c r="C1888" s="44"/>
      <c r="D1888" s="51"/>
      <c r="E1888" s="44"/>
      <c r="F1888" s="44"/>
      <c r="G1888" s="34">
        <f t="shared" si="116"/>
        <v>0</v>
      </c>
      <c r="H1888" s="34" t="str">
        <f t="shared" si="117"/>
        <v/>
      </c>
      <c r="I1888" s="52" t="str">
        <f t="shared" si="118"/>
        <v/>
      </c>
      <c r="J1888" s="34">
        <f>IF(AND(A1888&lt;&gt;"",ISTEXT(A1888),COUNTIFS(Processos!$AS$10:$AS$509,"="&amp;SUBSTITUTE(SUBSTITUTE(SUBSTITUTE("P:"&amp;A1888,"~","~~"),"*","~*"),"?","~?"))=1),(IF(ISNA(MATCH(SUBSTITUTE(SUBSTITUTE(SUBSTITUTE("P:"&amp;A1888,"~","~~"),"*","~*"),"?","~?"),Processos!$AS$10:$AS$509,0)),9,INDEX(Processos!$AM$10:$AM$509,MATCH(SUBSTITUTE(SUBSTITUTE(SUBSTITUTE("P:"&amp;A1888,"~","~~"),"*","~*"),"?","~?"),Processos!$AS$10:$AS$509,0)))-9),0)</f>
        <v>0</v>
      </c>
      <c r="K1888" s="34" t="str">
        <f t="shared" si="119"/>
        <v/>
      </c>
      <c r="L1888" s="14">
        <f>ROW()</f>
        <v>1888</v>
      </c>
    </row>
    <row r="1889" spans="1:12" ht="60" customHeight="1">
      <c r="A1889" s="41"/>
      <c r="B1889" s="43"/>
      <c r="C1889" s="44"/>
      <c r="D1889" s="51"/>
      <c r="E1889" s="44"/>
      <c r="F1889" s="44"/>
      <c r="G1889" s="34">
        <f t="shared" si="116"/>
        <v>0</v>
      </c>
      <c r="H1889" s="34" t="str">
        <f t="shared" si="117"/>
        <v/>
      </c>
      <c r="I1889" s="52" t="str">
        <f t="shared" si="118"/>
        <v/>
      </c>
      <c r="J1889" s="34">
        <f>IF(AND(A1889&lt;&gt;"",ISTEXT(A1889),COUNTIFS(Processos!$AS$10:$AS$509,"="&amp;SUBSTITUTE(SUBSTITUTE(SUBSTITUTE("P:"&amp;A1889,"~","~~"),"*","~*"),"?","~?"))=1),(IF(ISNA(MATCH(SUBSTITUTE(SUBSTITUTE(SUBSTITUTE("P:"&amp;A1889,"~","~~"),"*","~*"),"?","~?"),Processos!$AS$10:$AS$509,0)),9,INDEX(Processos!$AM$10:$AM$509,MATCH(SUBSTITUTE(SUBSTITUTE(SUBSTITUTE("P:"&amp;A1889,"~","~~"),"*","~*"),"?","~?"),Processos!$AS$10:$AS$509,0)))-9),0)</f>
        <v>0</v>
      </c>
      <c r="K1889" s="34" t="str">
        <f t="shared" si="119"/>
        <v/>
      </c>
      <c r="L1889" s="14">
        <f>ROW()</f>
        <v>1889</v>
      </c>
    </row>
    <row r="1890" spans="1:12" ht="60" customHeight="1">
      <c r="A1890" s="41"/>
      <c r="B1890" s="43"/>
      <c r="C1890" s="44"/>
      <c r="D1890" s="51"/>
      <c r="E1890" s="44"/>
      <c r="F1890" s="44"/>
      <c r="G1890" s="34">
        <f t="shared" si="116"/>
        <v>0</v>
      </c>
      <c r="H1890" s="34" t="str">
        <f t="shared" si="117"/>
        <v/>
      </c>
      <c r="I1890" s="52" t="str">
        <f t="shared" si="118"/>
        <v/>
      </c>
      <c r="J1890" s="34">
        <f>IF(AND(A1890&lt;&gt;"",ISTEXT(A1890),COUNTIFS(Processos!$AS$10:$AS$509,"="&amp;SUBSTITUTE(SUBSTITUTE(SUBSTITUTE("P:"&amp;A1890,"~","~~"),"*","~*"),"?","~?"))=1),(IF(ISNA(MATCH(SUBSTITUTE(SUBSTITUTE(SUBSTITUTE("P:"&amp;A1890,"~","~~"),"*","~*"),"?","~?"),Processos!$AS$10:$AS$509,0)),9,INDEX(Processos!$AM$10:$AM$509,MATCH(SUBSTITUTE(SUBSTITUTE(SUBSTITUTE("P:"&amp;A1890,"~","~~"),"*","~*"),"?","~?"),Processos!$AS$10:$AS$509,0)))-9),0)</f>
        <v>0</v>
      </c>
      <c r="K1890" s="34" t="str">
        <f t="shared" si="119"/>
        <v/>
      </c>
      <c r="L1890" s="14">
        <f>ROW()</f>
        <v>1890</v>
      </c>
    </row>
    <row r="1891" spans="1:12" ht="60" customHeight="1">
      <c r="A1891" s="41"/>
      <c r="B1891" s="43"/>
      <c r="C1891" s="44"/>
      <c r="D1891" s="51"/>
      <c r="E1891" s="44"/>
      <c r="F1891" s="44"/>
      <c r="G1891" s="34">
        <f t="shared" si="116"/>
        <v>0</v>
      </c>
      <c r="H1891" s="34" t="str">
        <f t="shared" si="117"/>
        <v/>
      </c>
      <c r="I1891" s="52" t="str">
        <f t="shared" si="118"/>
        <v/>
      </c>
      <c r="J1891" s="34">
        <f>IF(AND(A1891&lt;&gt;"",ISTEXT(A1891),COUNTIFS(Processos!$AS$10:$AS$509,"="&amp;SUBSTITUTE(SUBSTITUTE(SUBSTITUTE("P:"&amp;A1891,"~","~~"),"*","~*"),"?","~?"))=1),(IF(ISNA(MATCH(SUBSTITUTE(SUBSTITUTE(SUBSTITUTE("P:"&amp;A1891,"~","~~"),"*","~*"),"?","~?"),Processos!$AS$10:$AS$509,0)),9,INDEX(Processos!$AM$10:$AM$509,MATCH(SUBSTITUTE(SUBSTITUTE(SUBSTITUTE("P:"&amp;A1891,"~","~~"),"*","~*"),"?","~?"),Processos!$AS$10:$AS$509,0)))-9),0)</f>
        <v>0</v>
      </c>
      <c r="K1891" s="34" t="str">
        <f t="shared" si="119"/>
        <v/>
      </c>
      <c r="L1891" s="14">
        <f>ROW()</f>
        <v>1891</v>
      </c>
    </row>
    <row r="1892" spans="1:12" ht="60" customHeight="1">
      <c r="A1892" s="41"/>
      <c r="B1892" s="43"/>
      <c r="C1892" s="44"/>
      <c r="D1892" s="51"/>
      <c r="E1892" s="44"/>
      <c r="F1892" s="44"/>
      <c r="G1892" s="34">
        <f t="shared" si="116"/>
        <v>0</v>
      </c>
      <c r="H1892" s="34" t="str">
        <f t="shared" si="117"/>
        <v/>
      </c>
      <c r="I1892" s="52" t="str">
        <f t="shared" si="118"/>
        <v/>
      </c>
      <c r="J1892" s="34">
        <f>IF(AND(A1892&lt;&gt;"",ISTEXT(A1892),COUNTIFS(Processos!$AS$10:$AS$509,"="&amp;SUBSTITUTE(SUBSTITUTE(SUBSTITUTE("P:"&amp;A1892,"~","~~"),"*","~*"),"?","~?"))=1),(IF(ISNA(MATCH(SUBSTITUTE(SUBSTITUTE(SUBSTITUTE("P:"&amp;A1892,"~","~~"),"*","~*"),"?","~?"),Processos!$AS$10:$AS$509,0)),9,INDEX(Processos!$AM$10:$AM$509,MATCH(SUBSTITUTE(SUBSTITUTE(SUBSTITUTE("P:"&amp;A1892,"~","~~"),"*","~*"),"?","~?"),Processos!$AS$10:$AS$509,0)))-9),0)</f>
        <v>0</v>
      </c>
      <c r="K1892" s="34" t="str">
        <f t="shared" si="119"/>
        <v/>
      </c>
      <c r="L1892" s="14">
        <f>ROW()</f>
        <v>1892</v>
      </c>
    </row>
    <row r="1893" spans="1:12" ht="60" customHeight="1">
      <c r="A1893" s="41"/>
      <c r="B1893" s="43"/>
      <c r="C1893" s="44"/>
      <c r="D1893" s="51"/>
      <c r="E1893" s="44"/>
      <c r="F1893" s="44"/>
      <c r="G1893" s="34">
        <f t="shared" si="116"/>
        <v>0</v>
      </c>
      <c r="H1893" s="34" t="str">
        <f t="shared" si="117"/>
        <v/>
      </c>
      <c r="I1893" s="52" t="str">
        <f t="shared" si="118"/>
        <v/>
      </c>
      <c r="J1893" s="34">
        <f>IF(AND(A1893&lt;&gt;"",ISTEXT(A1893),COUNTIFS(Processos!$AS$10:$AS$509,"="&amp;SUBSTITUTE(SUBSTITUTE(SUBSTITUTE("P:"&amp;A1893,"~","~~"),"*","~*"),"?","~?"))=1),(IF(ISNA(MATCH(SUBSTITUTE(SUBSTITUTE(SUBSTITUTE("P:"&amp;A1893,"~","~~"),"*","~*"),"?","~?"),Processos!$AS$10:$AS$509,0)),9,INDEX(Processos!$AM$10:$AM$509,MATCH(SUBSTITUTE(SUBSTITUTE(SUBSTITUTE("P:"&amp;A1893,"~","~~"),"*","~*"),"?","~?"),Processos!$AS$10:$AS$509,0)))-9),0)</f>
        <v>0</v>
      </c>
      <c r="K1893" s="34" t="str">
        <f t="shared" si="119"/>
        <v/>
      </c>
      <c r="L1893" s="14">
        <f>ROW()</f>
        <v>1893</v>
      </c>
    </row>
    <row r="1894" spans="1:12" ht="60" customHeight="1">
      <c r="A1894" s="41"/>
      <c r="B1894" s="43"/>
      <c r="C1894" s="44"/>
      <c r="D1894" s="51"/>
      <c r="E1894" s="44"/>
      <c r="F1894" s="44"/>
      <c r="G1894" s="34">
        <f t="shared" si="116"/>
        <v>0</v>
      </c>
      <c r="H1894" s="34" t="str">
        <f t="shared" si="117"/>
        <v/>
      </c>
      <c r="I1894" s="52" t="str">
        <f t="shared" si="118"/>
        <v/>
      </c>
      <c r="J1894" s="34">
        <f>IF(AND(A1894&lt;&gt;"",ISTEXT(A1894),COUNTIFS(Processos!$AS$10:$AS$509,"="&amp;SUBSTITUTE(SUBSTITUTE(SUBSTITUTE("P:"&amp;A1894,"~","~~"),"*","~*"),"?","~?"))=1),(IF(ISNA(MATCH(SUBSTITUTE(SUBSTITUTE(SUBSTITUTE("P:"&amp;A1894,"~","~~"),"*","~*"),"?","~?"),Processos!$AS$10:$AS$509,0)),9,INDEX(Processos!$AM$10:$AM$509,MATCH(SUBSTITUTE(SUBSTITUTE(SUBSTITUTE("P:"&amp;A1894,"~","~~"),"*","~*"),"?","~?"),Processos!$AS$10:$AS$509,0)))-9),0)</f>
        <v>0</v>
      </c>
      <c r="K1894" s="34" t="str">
        <f t="shared" si="119"/>
        <v/>
      </c>
      <c r="L1894" s="14">
        <f>ROW()</f>
        <v>1894</v>
      </c>
    </row>
    <row r="1895" spans="1:12" ht="60" customHeight="1">
      <c r="A1895" s="41"/>
      <c r="B1895" s="43"/>
      <c r="C1895" s="44"/>
      <c r="D1895" s="51"/>
      <c r="E1895" s="44"/>
      <c r="F1895" s="44"/>
      <c r="G1895" s="34">
        <f t="shared" si="116"/>
        <v>0</v>
      </c>
      <c r="H1895" s="34" t="str">
        <f t="shared" si="117"/>
        <v/>
      </c>
      <c r="I1895" s="52" t="str">
        <f t="shared" si="118"/>
        <v/>
      </c>
      <c r="J1895" s="34">
        <f>IF(AND(A1895&lt;&gt;"",ISTEXT(A1895),COUNTIFS(Processos!$AS$10:$AS$509,"="&amp;SUBSTITUTE(SUBSTITUTE(SUBSTITUTE("P:"&amp;A1895,"~","~~"),"*","~*"),"?","~?"))=1),(IF(ISNA(MATCH(SUBSTITUTE(SUBSTITUTE(SUBSTITUTE("P:"&amp;A1895,"~","~~"),"*","~*"),"?","~?"),Processos!$AS$10:$AS$509,0)),9,INDEX(Processos!$AM$10:$AM$509,MATCH(SUBSTITUTE(SUBSTITUTE(SUBSTITUTE("P:"&amp;A1895,"~","~~"),"*","~*"),"?","~?"),Processos!$AS$10:$AS$509,0)))-9),0)</f>
        <v>0</v>
      </c>
      <c r="K1895" s="34" t="str">
        <f t="shared" si="119"/>
        <v/>
      </c>
      <c r="L1895" s="14">
        <f>ROW()</f>
        <v>1895</v>
      </c>
    </row>
    <row r="1896" spans="1:12" ht="60" customHeight="1">
      <c r="A1896" s="41"/>
      <c r="B1896" s="43"/>
      <c r="C1896" s="44"/>
      <c r="D1896" s="51"/>
      <c r="E1896" s="44"/>
      <c r="F1896" s="44"/>
      <c r="G1896" s="34">
        <f t="shared" si="116"/>
        <v>0</v>
      </c>
      <c r="H1896" s="34" t="str">
        <f t="shared" si="117"/>
        <v/>
      </c>
      <c r="I1896" s="52" t="str">
        <f t="shared" si="118"/>
        <v/>
      </c>
      <c r="J1896" s="34">
        <f>IF(AND(A1896&lt;&gt;"",ISTEXT(A1896),COUNTIFS(Processos!$AS$10:$AS$509,"="&amp;SUBSTITUTE(SUBSTITUTE(SUBSTITUTE("P:"&amp;A1896,"~","~~"),"*","~*"),"?","~?"))=1),(IF(ISNA(MATCH(SUBSTITUTE(SUBSTITUTE(SUBSTITUTE("P:"&amp;A1896,"~","~~"),"*","~*"),"?","~?"),Processos!$AS$10:$AS$509,0)),9,INDEX(Processos!$AM$10:$AM$509,MATCH(SUBSTITUTE(SUBSTITUTE(SUBSTITUTE("P:"&amp;A1896,"~","~~"),"*","~*"),"?","~?"),Processos!$AS$10:$AS$509,0)))-9),0)</f>
        <v>0</v>
      </c>
      <c r="K1896" s="34" t="str">
        <f t="shared" si="119"/>
        <v/>
      </c>
      <c r="L1896" s="14">
        <f>ROW()</f>
        <v>1896</v>
      </c>
    </row>
    <row r="1897" spans="1:12" ht="60" customHeight="1">
      <c r="A1897" s="41"/>
      <c r="B1897" s="43"/>
      <c r="C1897" s="44"/>
      <c r="D1897" s="51"/>
      <c r="E1897" s="44"/>
      <c r="F1897" s="44"/>
      <c r="G1897" s="34">
        <f t="shared" si="116"/>
        <v>0</v>
      </c>
      <c r="H1897" s="34" t="str">
        <f t="shared" si="117"/>
        <v/>
      </c>
      <c r="I1897" s="52" t="str">
        <f t="shared" si="118"/>
        <v/>
      </c>
      <c r="J1897" s="34">
        <f>IF(AND(A1897&lt;&gt;"",ISTEXT(A1897),COUNTIFS(Processos!$AS$10:$AS$509,"="&amp;SUBSTITUTE(SUBSTITUTE(SUBSTITUTE("P:"&amp;A1897,"~","~~"),"*","~*"),"?","~?"))=1),(IF(ISNA(MATCH(SUBSTITUTE(SUBSTITUTE(SUBSTITUTE("P:"&amp;A1897,"~","~~"),"*","~*"),"?","~?"),Processos!$AS$10:$AS$509,0)),9,INDEX(Processos!$AM$10:$AM$509,MATCH(SUBSTITUTE(SUBSTITUTE(SUBSTITUTE("P:"&amp;A1897,"~","~~"),"*","~*"),"?","~?"),Processos!$AS$10:$AS$509,0)))-9),0)</f>
        <v>0</v>
      </c>
      <c r="K1897" s="34" t="str">
        <f t="shared" si="119"/>
        <v/>
      </c>
      <c r="L1897" s="14">
        <f>ROW()</f>
        <v>1897</v>
      </c>
    </row>
    <row r="1898" spans="1:12" ht="60" customHeight="1">
      <c r="A1898" s="41"/>
      <c r="B1898" s="43"/>
      <c r="C1898" s="44"/>
      <c r="D1898" s="51"/>
      <c r="E1898" s="44"/>
      <c r="F1898" s="44"/>
      <c r="G1898" s="34">
        <f t="shared" si="116"/>
        <v>0</v>
      </c>
      <c r="H1898" s="34" t="str">
        <f t="shared" si="117"/>
        <v/>
      </c>
      <c r="I1898" s="52" t="str">
        <f t="shared" si="118"/>
        <v/>
      </c>
      <c r="J1898" s="34">
        <f>IF(AND(A1898&lt;&gt;"",ISTEXT(A1898),COUNTIFS(Processos!$AS$10:$AS$509,"="&amp;SUBSTITUTE(SUBSTITUTE(SUBSTITUTE("P:"&amp;A1898,"~","~~"),"*","~*"),"?","~?"))=1),(IF(ISNA(MATCH(SUBSTITUTE(SUBSTITUTE(SUBSTITUTE("P:"&amp;A1898,"~","~~"),"*","~*"),"?","~?"),Processos!$AS$10:$AS$509,0)),9,INDEX(Processos!$AM$10:$AM$509,MATCH(SUBSTITUTE(SUBSTITUTE(SUBSTITUTE("P:"&amp;A1898,"~","~~"),"*","~*"),"?","~?"),Processos!$AS$10:$AS$509,0)))-9),0)</f>
        <v>0</v>
      </c>
      <c r="K1898" s="34" t="str">
        <f t="shared" si="119"/>
        <v/>
      </c>
      <c r="L1898" s="14">
        <f>ROW()</f>
        <v>1898</v>
      </c>
    </row>
    <row r="1899" spans="1:12" ht="60" customHeight="1">
      <c r="A1899" s="41"/>
      <c r="B1899" s="43"/>
      <c r="C1899" s="44"/>
      <c r="D1899" s="51"/>
      <c r="E1899" s="44"/>
      <c r="F1899" s="44"/>
      <c r="G1899" s="34">
        <f t="shared" si="116"/>
        <v>0</v>
      </c>
      <c r="H1899" s="34" t="str">
        <f t="shared" si="117"/>
        <v/>
      </c>
      <c r="I1899" s="52" t="str">
        <f t="shared" si="118"/>
        <v/>
      </c>
      <c r="J1899" s="34">
        <f>IF(AND(A1899&lt;&gt;"",ISTEXT(A1899),COUNTIFS(Processos!$AS$10:$AS$509,"="&amp;SUBSTITUTE(SUBSTITUTE(SUBSTITUTE("P:"&amp;A1899,"~","~~"),"*","~*"),"?","~?"))=1),(IF(ISNA(MATCH(SUBSTITUTE(SUBSTITUTE(SUBSTITUTE("P:"&amp;A1899,"~","~~"),"*","~*"),"?","~?"),Processos!$AS$10:$AS$509,0)),9,INDEX(Processos!$AM$10:$AM$509,MATCH(SUBSTITUTE(SUBSTITUTE(SUBSTITUTE("P:"&amp;A1899,"~","~~"),"*","~*"),"?","~?"),Processos!$AS$10:$AS$509,0)))-9),0)</f>
        <v>0</v>
      </c>
      <c r="K1899" s="34" t="str">
        <f t="shared" si="119"/>
        <v/>
      </c>
      <c r="L1899" s="14">
        <f>ROW()</f>
        <v>1899</v>
      </c>
    </row>
    <row r="1900" spans="1:12" ht="60" customHeight="1">
      <c r="A1900" s="41"/>
      <c r="B1900" s="43"/>
      <c r="C1900" s="44"/>
      <c r="D1900" s="51"/>
      <c r="E1900" s="44"/>
      <c r="F1900" s="44"/>
      <c r="G1900" s="34">
        <f t="shared" si="116"/>
        <v>0</v>
      </c>
      <c r="H1900" s="34" t="str">
        <f t="shared" si="117"/>
        <v/>
      </c>
      <c r="I1900" s="52" t="str">
        <f t="shared" si="118"/>
        <v/>
      </c>
      <c r="J1900" s="34">
        <f>IF(AND(A1900&lt;&gt;"",ISTEXT(A1900),COUNTIFS(Processos!$AS$10:$AS$509,"="&amp;SUBSTITUTE(SUBSTITUTE(SUBSTITUTE("P:"&amp;A1900,"~","~~"),"*","~*"),"?","~?"))=1),(IF(ISNA(MATCH(SUBSTITUTE(SUBSTITUTE(SUBSTITUTE("P:"&amp;A1900,"~","~~"),"*","~*"),"?","~?"),Processos!$AS$10:$AS$509,0)),9,INDEX(Processos!$AM$10:$AM$509,MATCH(SUBSTITUTE(SUBSTITUTE(SUBSTITUTE("P:"&amp;A1900,"~","~~"),"*","~*"),"?","~?"),Processos!$AS$10:$AS$509,0)))-9),0)</f>
        <v>0</v>
      </c>
      <c r="K1900" s="34" t="str">
        <f t="shared" si="119"/>
        <v/>
      </c>
      <c r="L1900" s="14">
        <f>ROW()</f>
        <v>1900</v>
      </c>
    </row>
    <row r="1901" spans="1:12" ht="60" customHeight="1">
      <c r="A1901" s="41"/>
      <c r="B1901" s="43"/>
      <c r="C1901" s="44"/>
      <c r="D1901" s="51"/>
      <c r="E1901" s="44"/>
      <c r="F1901" s="44"/>
      <c r="G1901" s="34">
        <f t="shared" si="116"/>
        <v>0</v>
      </c>
      <c r="H1901" s="34" t="str">
        <f t="shared" si="117"/>
        <v/>
      </c>
      <c r="I1901" s="52" t="str">
        <f t="shared" si="118"/>
        <v/>
      </c>
      <c r="J1901" s="34">
        <f>IF(AND(A1901&lt;&gt;"",ISTEXT(A1901),COUNTIFS(Processos!$AS$10:$AS$509,"="&amp;SUBSTITUTE(SUBSTITUTE(SUBSTITUTE("P:"&amp;A1901,"~","~~"),"*","~*"),"?","~?"))=1),(IF(ISNA(MATCH(SUBSTITUTE(SUBSTITUTE(SUBSTITUTE("P:"&amp;A1901,"~","~~"),"*","~*"),"?","~?"),Processos!$AS$10:$AS$509,0)),9,INDEX(Processos!$AM$10:$AM$509,MATCH(SUBSTITUTE(SUBSTITUTE(SUBSTITUTE("P:"&amp;A1901,"~","~~"),"*","~*"),"?","~?"),Processos!$AS$10:$AS$509,0)))-9),0)</f>
        <v>0</v>
      </c>
      <c r="K1901" s="34" t="str">
        <f t="shared" si="119"/>
        <v/>
      </c>
      <c r="L1901" s="14">
        <f>ROW()</f>
        <v>1901</v>
      </c>
    </row>
    <row r="1902" spans="1:12" ht="60" customHeight="1">
      <c r="A1902" s="41"/>
      <c r="B1902" s="43"/>
      <c r="C1902" s="44"/>
      <c r="D1902" s="51"/>
      <c r="E1902" s="44"/>
      <c r="F1902" s="44"/>
      <c r="G1902" s="34">
        <f t="shared" si="116"/>
        <v>0</v>
      </c>
      <c r="H1902" s="34" t="str">
        <f t="shared" si="117"/>
        <v/>
      </c>
      <c r="I1902" s="52" t="str">
        <f t="shared" si="118"/>
        <v/>
      </c>
      <c r="J1902" s="34">
        <f>IF(AND(A1902&lt;&gt;"",ISTEXT(A1902),COUNTIFS(Processos!$AS$10:$AS$509,"="&amp;SUBSTITUTE(SUBSTITUTE(SUBSTITUTE("P:"&amp;A1902,"~","~~"),"*","~*"),"?","~?"))=1),(IF(ISNA(MATCH(SUBSTITUTE(SUBSTITUTE(SUBSTITUTE("P:"&amp;A1902,"~","~~"),"*","~*"),"?","~?"),Processos!$AS$10:$AS$509,0)),9,INDEX(Processos!$AM$10:$AM$509,MATCH(SUBSTITUTE(SUBSTITUTE(SUBSTITUTE("P:"&amp;A1902,"~","~~"),"*","~*"),"?","~?"),Processos!$AS$10:$AS$509,0)))-9),0)</f>
        <v>0</v>
      </c>
      <c r="K1902" s="34" t="str">
        <f t="shared" si="119"/>
        <v/>
      </c>
      <c r="L1902" s="14">
        <f>ROW()</f>
        <v>1902</v>
      </c>
    </row>
    <row r="1903" spans="1:12" ht="60" customHeight="1">
      <c r="A1903" s="41"/>
      <c r="B1903" s="43"/>
      <c r="C1903" s="44"/>
      <c r="D1903" s="51"/>
      <c r="E1903" s="44"/>
      <c r="F1903" s="44"/>
      <c r="G1903" s="34">
        <f t="shared" si="116"/>
        <v>0</v>
      </c>
      <c r="H1903" s="34" t="str">
        <f t="shared" si="117"/>
        <v/>
      </c>
      <c r="I1903" s="52" t="str">
        <f t="shared" si="118"/>
        <v/>
      </c>
      <c r="J1903" s="34">
        <f>IF(AND(A1903&lt;&gt;"",ISTEXT(A1903),COUNTIFS(Processos!$AS$10:$AS$509,"="&amp;SUBSTITUTE(SUBSTITUTE(SUBSTITUTE("P:"&amp;A1903,"~","~~"),"*","~*"),"?","~?"))=1),(IF(ISNA(MATCH(SUBSTITUTE(SUBSTITUTE(SUBSTITUTE("P:"&amp;A1903,"~","~~"),"*","~*"),"?","~?"),Processos!$AS$10:$AS$509,0)),9,INDEX(Processos!$AM$10:$AM$509,MATCH(SUBSTITUTE(SUBSTITUTE(SUBSTITUTE("P:"&amp;A1903,"~","~~"),"*","~*"),"?","~?"),Processos!$AS$10:$AS$509,0)))-9),0)</f>
        <v>0</v>
      </c>
      <c r="K1903" s="34" t="str">
        <f t="shared" si="119"/>
        <v/>
      </c>
      <c r="L1903" s="14">
        <f>ROW()</f>
        <v>1903</v>
      </c>
    </row>
    <row r="1904" spans="1:12" ht="60" customHeight="1">
      <c r="A1904" s="41"/>
      <c r="B1904" s="43"/>
      <c r="C1904" s="44"/>
      <c r="D1904" s="51"/>
      <c r="E1904" s="44"/>
      <c r="F1904" s="44"/>
      <c r="G1904" s="34">
        <f t="shared" si="116"/>
        <v>0</v>
      </c>
      <c r="H1904" s="34" t="str">
        <f t="shared" si="117"/>
        <v/>
      </c>
      <c r="I1904" s="52" t="str">
        <f t="shared" si="118"/>
        <v/>
      </c>
      <c r="J1904" s="34">
        <f>IF(AND(A1904&lt;&gt;"",ISTEXT(A1904),COUNTIFS(Processos!$AS$10:$AS$509,"="&amp;SUBSTITUTE(SUBSTITUTE(SUBSTITUTE("P:"&amp;A1904,"~","~~"),"*","~*"),"?","~?"))=1),(IF(ISNA(MATCH(SUBSTITUTE(SUBSTITUTE(SUBSTITUTE("P:"&amp;A1904,"~","~~"),"*","~*"),"?","~?"),Processos!$AS$10:$AS$509,0)),9,INDEX(Processos!$AM$10:$AM$509,MATCH(SUBSTITUTE(SUBSTITUTE(SUBSTITUTE("P:"&amp;A1904,"~","~~"),"*","~*"),"?","~?"),Processos!$AS$10:$AS$509,0)))-9),0)</f>
        <v>0</v>
      </c>
      <c r="K1904" s="34" t="str">
        <f t="shared" si="119"/>
        <v/>
      </c>
      <c r="L1904" s="14">
        <f>ROW()</f>
        <v>1904</v>
      </c>
    </row>
    <row r="1905" spans="1:12" ht="60" customHeight="1">
      <c r="A1905" s="41"/>
      <c r="B1905" s="43"/>
      <c r="C1905" s="44"/>
      <c r="D1905" s="51"/>
      <c r="E1905" s="44"/>
      <c r="F1905" s="44"/>
      <c r="G1905" s="34">
        <f t="shared" si="116"/>
        <v>0</v>
      </c>
      <c r="H1905" s="34" t="str">
        <f t="shared" si="117"/>
        <v/>
      </c>
      <c r="I1905" s="52" t="str">
        <f t="shared" si="118"/>
        <v/>
      </c>
      <c r="J1905" s="34">
        <f>IF(AND(A1905&lt;&gt;"",ISTEXT(A1905),COUNTIFS(Processos!$AS$10:$AS$509,"="&amp;SUBSTITUTE(SUBSTITUTE(SUBSTITUTE("P:"&amp;A1905,"~","~~"),"*","~*"),"?","~?"))=1),(IF(ISNA(MATCH(SUBSTITUTE(SUBSTITUTE(SUBSTITUTE("P:"&amp;A1905,"~","~~"),"*","~*"),"?","~?"),Processos!$AS$10:$AS$509,0)),9,INDEX(Processos!$AM$10:$AM$509,MATCH(SUBSTITUTE(SUBSTITUTE(SUBSTITUTE("P:"&amp;A1905,"~","~~"),"*","~*"),"?","~?"),Processos!$AS$10:$AS$509,0)))-9),0)</f>
        <v>0</v>
      </c>
      <c r="K1905" s="34" t="str">
        <f t="shared" si="119"/>
        <v/>
      </c>
      <c r="L1905" s="14">
        <f>ROW()</f>
        <v>1905</v>
      </c>
    </row>
    <row r="1906" spans="1:12" ht="60" customHeight="1">
      <c r="A1906" s="41"/>
      <c r="B1906" s="43"/>
      <c r="C1906" s="44"/>
      <c r="D1906" s="51"/>
      <c r="E1906" s="44"/>
      <c r="F1906" s="44"/>
      <c r="G1906" s="34">
        <f t="shared" si="116"/>
        <v>0</v>
      </c>
      <c r="H1906" s="34" t="str">
        <f t="shared" si="117"/>
        <v/>
      </c>
      <c r="I1906" s="52" t="str">
        <f t="shared" si="118"/>
        <v/>
      </c>
      <c r="J1906" s="34">
        <f>IF(AND(A1906&lt;&gt;"",ISTEXT(A1906),COUNTIFS(Processos!$AS$10:$AS$509,"="&amp;SUBSTITUTE(SUBSTITUTE(SUBSTITUTE("P:"&amp;A1906,"~","~~"),"*","~*"),"?","~?"))=1),(IF(ISNA(MATCH(SUBSTITUTE(SUBSTITUTE(SUBSTITUTE("P:"&amp;A1906,"~","~~"),"*","~*"),"?","~?"),Processos!$AS$10:$AS$509,0)),9,INDEX(Processos!$AM$10:$AM$509,MATCH(SUBSTITUTE(SUBSTITUTE(SUBSTITUTE("P:"&amp;A1906,"~","~~"),"*","~*"),"?","~?"),Processos!$AS$10:$AS$509,0)))-9),0)</f>
        <v>0</v>
      </c>
      <c r="K1906" s="34" t="str">
        <f t="shared" si="119"/>
        <v/>
      </c>
      <c r="L1906" s="14">
        <f>ROW()</f>
        <v>1906</v>
      </c>
    </row>
    <row r="1907" spans="1:12" ht="60" customHeight="1">
      <c r="A1907" s="41"/>
      <c r="B1907" s="43"/>
      <c r="C1907" s="44"/>
      <c r="D1907" s="51"/>
      <c r="E1907" s="44"/>
      <c r="F1907" s="44"/>
      <c r="G1907" s="34">
        <f t="shared" si="116"/>
        <v>0</v>
      </c>
      <c r="H1907" s="34" t="str">
        <f t="shared" si="117"/>
        <v/>
      </c>
      <c r="I1907" s="52" t="str">
        <f t="shared" si="118"/>
        <v/>
      </c>
      <c r="J1907" s="34">
        <f>IF(AND(A1907&lt;&gt;"",ISTEXT(A1907),COUNTIFS(Processos!$AS$10:$AS$509,"="&amp;SUBSTITUTE(SUBSTITUTE(SUBSTITUTE("P:"&amp;A1907,"~","~~"),"*","~*"),"?","~?"))=1),(IF(ISNA(MATCH(SUBSTITUTE(SUBSTITUTE(SUBSTITUTE("P:"&amp;A1907,"~","~~"),"*","~*"),"?","~?"),Processos!$AS$10:$AS$509,0)),9,INDEX(Processos!$AM$10:$AM$509,MATCH(SUBSTITUTE(SUBSTITUTE(SUBSTITUTE("P:"&amp;A1907,"~","~~"),"*","~*"),"?","~?"),Processos!$AS$10:$AS$509,0)))-9),0)</f>
        <v>0</v>
      </c>
      <c r="K1907" s="34" t="str">
        <f t="shared" si="119"/>
        <v/>
      </c>
      <c r="L1907" s="14">
        <f>ROW()</f>
        <v>1907</v>
      </c>
    </row>
    <row r="1908" spans="1:12" ht="60" customHeight="1">
      <c r="A1908" s="41"/>
      <c r="B1908" s="43"/>
      <c r="C1908" s="44"/>
      <c r="D1908" s="51"/>
      <c r="E1908" s="44"/>
      <c r="F1908" s="44"/>
      <c r="G1908" s="34">
        <f t="shared" si="116"/>
        <v>0</v>
      </c>
      <c r="H1908" s="34" t="str">
        <f t="shared" si="117"/>
        <v/>
      </c>
      <c r="I1908" s="52" t="str">
        <f t="shared" si="118"/>
        <v/>
      </c>
      <c r="J1908" s="34">
        <f>IF(AND(A1908&lt;&gt;"",ISTEXT(A1908),COUNTIFS(Processos!$AS$10:$AS$509,"="&amp;SUBSTITUTE(SUBSTITUTE(SUBSTITUTE("P:"&amp;A1908,"~","~~"),"*","~*"),"?","~?"))=1),(IF(ISNA(MATCH(SUBSTITUTE(SUBSTITUTE(SUBSTITUTE("P:"&amp;A1908,"~","~~"),"*","~*"),"?","~?"),Processos!$AS$10:$AS$509,0)),9,INDEX(Processos!$AM$10:$AM$509,MATCH(SUBSTITUTE(SUBSTITUTE(SUBSTITUTE("P:"&amp;A1908,"~","~~"),"*","~*"),"?","~?"),Processos!$AS$10:$AS$509,0)))-9),0)</f>
        <v>0</v>
      </c>
      <c r="K1908" s="34" t="str">
        <f t="shared" si="119"/>
        <v/>
      </c>
      <c r="L1908" s="14">
        <f>ROW()</f>
        <v>1908</v>
      </c>
    </row>
    <row r="1909" spans="1:12" ht="60" customHeight="1">
      <c r="A1909" s="41"/>
      <c r="B1909" s="43"/>
      <c r="C1909" s="44"/>
      <c r="D1909" s="51"/>
      <c r="E1909" s="44"/>
      <c r="F1909" s="44"/>
      <c r="G1909" s="34">
        <f t="shared" si="116"/>
        <v>0</v>
      </c>
      <c r="H1909" s="34" t="str">
        <f t="shared" si="117"/>
        <v/>
      </c>
      <c r="I1909" s="52" t="str">
        <f t="shared" si="118"/>
        <v/>
      </c>
      <c r="J1909" s="34">
        <f>IF(AND(A1909&lt;&gt;"",ISTEXT(A1909),COUNTIFS(Processos!$AS$10:$AS$509,"="&amp;SUBSTITUTE(SUBSTITUTE(SUBSTITUTE("P:"&amp;A1909,"~","~~"),"*","~*"),"?","~?"))=1),(IF(ISNA(MATCH(SUBSTITUTE(SUBSTITUTE(SUBSTITUTE("P:"&amp;A1909,"~","~~"),"*","~*"),"?","~?"),Processos!$AS$10:$AS$509,0)),9,INDEX(Processos!$AM$10:$AM$509,MATCH(SUBSTITUTE(SUBSTITUTE(SUBSTITUTE("P:"&amp;A1909,"~","~~"),"*","~*"),"?","~?"),Processos!$AS$10:$AS$509,0)))-9),0)</f>
        <v>0</v>
      </c>
      <c r="K1909" s="34" t="str">
        <f t="shared" si="119"/>
        <v/>
      </c>
      <c r="L1909" s="14">
        <f>ROW()</f>
        <v>1909</v>
      </c>
    </row>
    <row r="1910" spans="1:12" ht="60" customHeight="1">
      <c r="A1910" s="41"/>
      <c r="B1910" s="43"/>
      <c r="C1910" s="44"/>
      <c r="D1910" s="51"/>
      <c r="E1910" s="44"/>
      <c r="F1910" s="44"/>
      <c r="G1910" s="34">
        <f t="shared" si="116"/>
        <v>0</v>
      </c>
      <c r="H1910" s="34" t="str">
        <f t="shared" si="117"/>
        <v/>
      </c>
      <c r="I1910" s="52" t="str">
        <f t="shared" si="118"/>
        <v/>
      </c>
      <c r="J1910" s="34">
        <f>IF(AND(A1910&lt;&gt;"",ISTEXT(A1910),COUNTIFS(Processos!$AS$10:$AS$509,"="&amp;SUBSTITUTE(SUBSTITUTE(SUBSTITUTE("P:"&amp;A1910,"~","~~"),"*","~*"),"?","~?"))=1),(IF(ISNA(MATCH(SUBSTITUTE(SUBSTITUTE(SUBSTITUTE("P:"&amp;A1910,"~","~~"),"*","~*"),"?","~?"),Processos!$AS$10:$AS$509,0)),9,INDEX(Processos!$AM$10:$AM$509,MATCH(SUBSTITUTE(SUBSTITUTE(SUBSTITUTE("P:"&amp;A1910,"~","~~"),"*","~*"),"?","~?"),Processos!$AS$10:$AS$509,0)))-9),0)</f>
        <v>0</v>
      </c>
      <c r="K1910" s="34" t="str">
        <f t="shared" si="119"/>
        <v/>
      </c>
      <c r="L1910" s="14">
        <f>ROW()</f>
        <v>1910</v>
      </c>
    </row>
    <row r="1911" spans="1:12" ht="60" customHeight="1">
      <c r="A1911" s="41"/>
      <c r="B1911" s="43"/>
      <c r="C1911" s="44"/>
      <c r="D1911" s="51"/>
      <c r="E1911" s="44"/>
      <c r="F1911" s="44"/>
      <c r="G1911" s="34">
        <f t="shared" si="116"/>
        <v>0</v>
      </c>
      <c r="H1911" s="34" t="str">
        <f t="shared" si="117"/>
        <v/>
      </c>
      <c r="I1911" s="52" t="str">
        <f t="shared" si="118"/>
        <v/>
      </c>
      <c r="J1911" s="34">
        <f>IF(AND(A1911&lt;&gt;"",ISTEXT(A1911),COUNTIFS(Processos!$AS$10:$AS$509,"="&amp;SUBSTITUTE(SUBSTITUTE(SUBSTITUTE("P:"&amp;A1911,"~","~~"),"*","~*"),"?","~?"))=1),(IF(ISNA(MATCH(SUBSTITUTE(SUBSTITUTE(SUBSTITUTE("P:"&amp;A1911,"~","~~"),"*","~*"),"?","~?"),Processos!$AS$10:$AS$509,0)),9,INDEX(Processos!$AM$10:$AM$509,MATCH(SUBSTITUTE(SUBSTITUTE(SUBSTITUTE("P:"&amp;A1911,"~","~~"),"*","~*"),"?","~?"),Processos!$AS$10:$AS$509,0)))-9),0)</f>
        <v>0</v>
      </c>
      <c r="K1911" s="34" t="str">
        <f t="shared" si="119"/>
        <v/>
      </c>
      <c r="L1911" s="14">
        <f>ROW()</f>
        <v>1911</v>
      </c>
    </row>
    <row r="1912" spans="1:12" ht="60" customHeight="1">
      <c r="A1912" s="41"/>
      <c r="B1912" s="43"/>
      <c r="C1912" s="44"/>
      <c r="D1912" s="51"/>
      <c r="E1912" s="44"/>
      <c r="F1912" s="44"/>
      <c r="G1912" s="34">
        <f t="shared" si="116"/>
        <v>0</v>
      </c>
      <c r="H1912" s="34" t="str">
        <f t="shared" si="117"/>
        <v/>
      </c>
      <c r="I1912" s="52" t="str">
        <f t="shared" si="118"/>
        <v/>
      </c>
      <c r="J1912" s="34">
        <f>IF(AND(A1912&lt;&gt;"",ISTEXT(A1912),COUNTIFS(Processos!$AS$10:$AS$509,"="&amp;SUBSTITUTE(SUBSTITUTE(SUBSTITUTE("P:"&amp;A1912,"~","~~"),"*","~*"),"?","~?"))=1),(IF(ISNA(MATCH(SUBSTITUTE(SUBSTITUTE(SUBSTITUTE("P:"&amp;A1912,"~","~~"),"*","~*"),"?","~?"),Processos!$AS$10:$AS$509,0)),9,INDEX(Processos!$AM$10:$AM$509,MATCH(SUBSTITUTE(SUBSTITUTE(SUBSTITUTE("P:"&amp;A1912,"~","~~"),"*","~*"),"?","~?"),Processos!$AS$10:$AS$509,0)))-9),0)</f>
        <v>0</v>
      </c>
      <c r="K1912" s="34" t="str">
        <f t="shared" si="119"/>
        <v/>
      </c>
      <c r="L1912" s="14">
        <f>ROW()</f>
        <v>1912</v>
      </c>
    </row>
    <row r="1913" spans="1:12" ht="60" customHeight="1">
      <c r="A1913" s="41"/>
      <c r="B1913" s="43"/>
      <c r="C1913" s="44"/>
      <c r="D1913" s="51"/>
      <c r="E1913" s="44"/>
      <c r="F1913" s="44"/>
      <c r="G1913" s="34">
        <f t="shared" si="116"/>
        <v>0</v>
      </c>
      <c r="H1913" s="34" t="str">
        <f t="shared" si="117"/>
        <v/>
      </c>
      <c r="I1913" s="52" t="str">
        <f t="shared" si="118"/>
        <v/>
      </c>
      <c r="J1913" s="34">
        <f>IF(AND(A1913&lt;&gt;"",ISTEXT(A1913),COUNTIFS(Processos!$AS$10:$AS$509,"="&amp;SUBSTITUTE(SUBSTITUTE(SUBSTITUTE("P:"&amp;A1913,"~","~~"),"*","~*"),"?","~?"))=1),(IF(ISNA(MATCH(SUBSTITUTE(SUBSTITUTE(SUBSTITUTE("P:"&amp;A1913,"~","~~"),"*","~*"),"?","~?"),Processos!$AS$10:$AS$509,0)),9,INDEX(Processos!$AM$10:$AM$509,MATCH(SUBSTITUTE(SUBSTITUTE(SUBSTITUTE("P:"&amp;A1913,"~","~~"),"*","~*"),"?","~?"),Processos!$AS$10:$AS$509,0)))-9),0)</f>
        <v>0</v>
      </c>
      <c r="K1913" s="34" t="str">
        <f t="shared" si="119"/>
        <v/>
      </c>
      <c r="L1913" s="14">
        <f>ROW()</f>
        <v>1913</v>
      </c>
    </row>
    <row r="1914" spans="1:12" ht="60" customHeight="1">
      <c r="A1914" s="41"/>
      <c r="B1914" s="43"/>
      <c r="C1914" s="44"/>
      <c r="D1914" s="51"/>
      <c r="E1914" s="44"/>
      <c r="F1914" s="44"/>
      <c r="G1914" s="34">
        <f t="shared" si="116"/>
        <v>0</v>
      </c>
      <c r="H1914" s="34" t="str">
        <f t="shared" si="117"/>
        <v/>
      </c>
      <c r="I1914" s="52" t="str">
        <f t="shared" si="118"/>
        <v/>
      </c>
      <c r="J1914" s="34">
        <f>IF(AND(A1914&lt;&gt;"",ISTEXT(A1914),COUNTIFS(Processos!$AS$10:$AS$509,"="&amp;SUBSTITUTE(SUBSTITUTE(SUBSTITUTE("P:"&amp;A1914,"~","~~"),"*","~*"),"?","~?"))=1),(IF(ISNA(MATCH(SUBSTITUTE(SUBSTITUTE(SUBSTITUTE("P:"&amp;A1914,"~","~~"),"*","~*"),"?","~?"),Processos!$AS$10:$AS$509,0)),9,INDEX(Processos!$AM$10:$AM$509,MATCH(SUBSTITUTE(SUBSTITUTE(SUBSTITUTE("P:"&amp;A1914,"~","~~"),"*","~*"),"?","~?"),Processos!$AS$10:$AS$509,0)))-9),0)</f>
        <v>0</v>
      </c>
      <c r="K1914" s="34" t="str">
        <f t="shared" si="119"/>
        <v/>
      </c>
      <c r="L1914" s="14">
        <f>ROW()</f>
        <v>1914</v>
      </c>
    </row>
    <row r="1915" spans="1:12" ht="60" customHeight="1">
      <c r="A1915" s="41"/>
      <c r="B1915" s="43"/>
      <c r="C1915" s="44"/>
      <c r="D1915" s="51"/>
      <c r="E1915" s="44"/>
      <c r="F1915" s="44"/>
      <c r="G1915" s="34">
        <f t="shared" si="116"/>
        <v>0</v>
      </c>
      <c r="H1915" s="34" t="str">
        <f t="shared" si="117"/>
        <v/>
      </c>
      <c r="I1915" s="52" t="str">
        <f t="shared" si="118"/>
        <v/>
      </c>
      <c r="J1915" s="34">
        <f>IF(AND(A1915&lt;&gt;"",ISTEXT(A1915),COUNTIFS(Processos!$AS$10:$AS$509,"="&amp;SUBSTITUTE(SUBSTITUTE(SUBSTITUTE("P:"&amp;A1915,"~","~~"),"*","~*"),"?","~?"))=1),(IF(ISNA(MATCH(SUBSTITUTE(SUBSTITUTE(SUBSTITUTE("P:"&amp;A1915,"~","~~"),"*","~*"),"?","~?"),Processos!$AS$10:$AS$509,0)),9,INDEX(Processos!$AM$10:$AM$509,MATCH(SUBSTITUTE(SUBSTITUTE(SUBSTITUTE("P:"&amp;A1915,"~","~~"),"*","~*"),"?","~?"),Processos!$AS$10:$AS$509,0)))-9),0)</f>
        <v>0</v>
      </c>
      <c r="K1915" s="34" t="str">
        <f t="shared" si="119"/>
        <v/>
      </c>
      <c r="L1915" s="14">
        <f>ROW()</f>
        <v>1915</v>
      </c>
    </row>
    <row r="1916" spans="1:12" ht="60" customHeight="1">
      <c r="A1916" s="41"/>
      <c r="B1916" s="43"/>
      <c r="C1916" s="44"/>
      <c r="D1916" s="51"/>
      <c r="E1916" s="44"/>
      <c r="F1916" s="44"/>
      <c r="G1916" s="34">
        <f t="shared" si="116"/>
        <v>0</v>
      </c>
      <c r="H1916" s="34" t="str">
        <f t="shared" si="117"/>
        <v/>
      </c>
      <c r="I1916" s="52" t="str">
        <f t="shared" si="118"/>
        <v/>
      </c>
      <c r="J1916" s="34">
        <f>IF(AND(A1916&lt;&gt;"",ISTEXT(A1916),COUNTIFS(Processos!$AS$10:$AS$509,"="&amp;SUBSTITUTE(SUBSTITUTE(SUBSTITUTE("P:"&amp;A1916,"~","~~"),"*","~*"),"?","~?"))=1),(IF(ISNA(MATCH(SUBSTITUTE(SUBSTITUTE(SUBSTITUTE("P:"&amp;A1916,"~","~~"),"*","~*"),"?","~?"),Processos!$AS$10:$AS$509,0)),9,INDEX(Processos!$AM$10:$AM$509,MATCH(SUBSTITUTE(SUBSTITUTE(SUBSTITUTE("P:"&amp;A1916,"~","~~"),"*","~*"),"?","~?"),Processos!$AS$10:$AS$509,0)))-9),0)</f>
        <v>0</v>
      </c>
      <c r="K1916" s="34" t="str">
        <f t="shared" si="119"/>
        <v/>
      </c>
      <c r="L1916" s="14">
        <f>ROW()</f>
        <v>1916</v>
      </c>
    </row>
    <row r="1917" spans="1:12" ht="60" customHeight="1">
      <c r="A1917" s="41"/>
      <c r="B1917" s="43"/>
      <c r="C1917" s="44"/>
      <c r="D1917" s="51"/>
      <c r="E1917" s="44"/>
      <c r="F1917" s="44"/>
      <c r="G1917" s="34">
        <f t="shared" si="116"/>
        <v>0</v>
      </c>
      <c r="H1917" s="34" t="str">
        <f t="shared" si="117"/>
        <v/>
      </c>
      <c r="I1917" s="52" t="str">
        <f t="shared" si="118"/>
        <v/>
      </c>
      <c r="J1917" s="34">
        <f>IF(AND(A1917&lt;&gt;"",ISTEXT(A1917),COUNTIFS(Processos!$AS$10:$AS$509,"="&amp;SUBSTITUTE(SUBSTITUTE(SUBSTITUTE("P:"&amp;A1917,"~","~~"),"*","~*"),"?","~?"))=1),(IF(ISNA(MATCH(SUBSTITUTE(SUBSTITUTE(SUBSTITUTE("P:"&amp;A1917,"~","~~"),"*","~*"),"?","~?"),Processos!$AS$10:$AS$509,0)),9,INDEX(Processos!$AM$10:$AM$509,MATCH(SUBSTITUTE(SUBSTITUTE(SUBSTITUTE("P:"&amp;A1917,"~","~~"),"*","~*"),"?","~?"),Processos!$AS$10:$AS$509,0)))-9),0)</f>
        <v>0</v>
      </c>
      <c r="K1917" s="34" t="str">
        <f t="shared" si="119"/>
        <v/>
      </c>
      <c r="L1917" s="14">
        <f>ROW()</f>
        <v>1917</v>
      </c>
    </row>
    <row r="1918" spans="1:12" ht="60" customHeight="1">
      <c r="A1918" s="41"/>
      <c r="B1918" s="43"/>
      <c r="C1918" s="44"/>
      <c r="D1918" s="51"/>
      <c r="E1918" s="44"/>
      <c r="F1918" s="44"/>
      <c r="G1918" s="34">
        <f t="shared" si="116"/>
        <v>0</v>
      </c>
      <c r="H1918" s="34" t="str">
        <f t="shared" si="117"/>
        <v/>
      </c>
      <c r="I1918" s="52" t="str">
        <f t="shared" si="118"/>
        <v/>
      </c>
      <c r="J1918" s="34">
        <f>IF(AND(A1918&lt;&gt;"",ISTEXT(A1918),COUNTIFS(Processos!$AS$10:$AS$509,"="&amp;SUBSTITUTE(SUBSTITUTE(SUBSTITUTE("P:"&amp;A1918,"~","~~"),"*","~*"),"?","~?"))=1),(IF(ISNA(MATCH(SUBSTITUTE(SUBSTITUTE(SUBSTITUTE("P:"&amp;A1918,"~","~~"),"*","~*"),"?","~?"),Processos!$AS$10:$AS$509,0)),9,INDEX(Processos!$AM$10:$AM$509,MATCH(SUBSTITUTE(SUBSTITUTE(SUBSTITUTE("P:"&amp;A1918,"~","~~"),"*","~*"),"?","~?"),Processos!$AS$10:$AS$509,0)))-9),0)</f>
        <v>0</v>
      </c>
      <c r="K1918" s="34" t="str">
        <f t="shared" si="119"/>
        <v/>
      </c>
      <c r="L1918" s="14">
        <f>ROW()</f>
        <v>1918</v>
      </c>
    </row>
    <row r="1919" spans="1:12" ht="60" customHeight="1">
      <c r="A1919" s="41"/>
      <c r="B1919" s="43"/>
      <c r="C1919" s="44"/>
      <c r="D1919" s="51"/>
      <c r="E1919" s="44"/>
      <c r="F1919" s="44"/>
      <c r="G1919" s="34">
        <f t="shared" si="116"/>
        <v>0</v>
      </c>
      <c r="H1919" s="34" t="str">
        <f t="shared" si="117"/>
        <v/>
      </c>
      <c r="I1919" s="52" t="str">
        <f t="shared" si="118"/>
        <v/>
      </c>
      <c r="J1919" s="34">
        <f>IF(AND(A1919&lt;&gt;"",ISTEXT(A1919),COUNTIFS(Processos!$AS$10:$AS$509,"="&amp;SUBSTITUTE(SUBSTITUTE(SUBSTITUTE("P:"&amp;A1919,"~","~~"),"*","~*"),"?","~?"))=1),(IF(ISNA(MATCH(SUBSTITUTE(SUBSTITUTE(SUBSTITUTE("P:"&amp;A1919,"~","~~"),"*","~*"),"?","~?"),Processos!$AS$10:$AS$509,0)),9,INDEX(Processos!$AM$10:$AM$509,MATCH(SUBSTITUTE(SUBSTITUTE(SUBSTITUTE("P:"&amp;A1919,"~","~~"),"*","~*"),"?","~?"),Processos!$AS$10:$AS$509,0)))-9),0)</f>
        <v>0</v>
      </c>
      <c r="K1919" s="34" t="str">
        <f t="shared" si="119"/>
        <v/>
      </c>
      <c r="L1919" s="14">
        <f>ROW()</f>
        <v>1919</v>
      </c>
    </row>
    <row r="1920" spans="1:12" ht="60" customHeight="1">
      <c r="A1920" s="41"/>
      <c r="B1920" s="43"/>
      <c r="C1920" s="44"/>
      <c r="D1920" s="51"/>
      <c r="E1920" s="44"/>
      <c r="F1920" s="44"/>
      <c r="G1920" s="34">
        <f t="shared" si="116"/>
        <v>0</v>
      </c>
      <c r="H1920" s="34" t="str">
        <f t="shared" si="117"/>
        <v/>
      </c>
      <c r="I1920" s="52" t="str">
        <f t="shared" si="118"/>
        <v/>
      </c>
      <c r="J1920" s="34">
        <f>IF(AND(A1920&lt;&gt;"",ISTEXT(A1920),COUNTIFS(Processos!$AS$10:$AS$509,"="&amp;SUBSTITUTE(SUBSTITUTE(SUBSTITUTE("P:"&amp;A1920,"~","~~"),"*","~*"),"?","~?"))=1),(IF(ISNA(MATCH(SUBSTITUTE(SUBSTITUTE(SUBSTITUTE("P:"&amp;A1920,"~","~~"),"*","~*"),"?","~?"),Processos!$AS$10:$AS$509,0)),9,INDEX(Processos!$AM$10:$AM$509,MATCH(SUBSTITUTE(SUBSTITUTE(SUBSTITUTE("P:"&amp;A1920,"~","~~"),"*","~*"),"?","~?"),Processos!$AS$10:$AS$509,0)))-9),0)</f>
        <v>0</v>
      </c>
      <c r="K1920" s="34" t="str">
        <f t="shared" si="119"/>
        <v/>
      </c>
      <c r="L1920" s="14">
        <f>ROW()</f>
        <v>1920</v>
      </c>
    </row>
    <row r="1921" spans="1:12" ht="60" customHeight="1">
      <c r="A1921" s="41"/>
      <c r="B1921" s="43"/>
      <c r="C1921" s="44"/>
      <c r="D1921" s="51"/>
      <c r="E1921" s="44"/>
      <c r="F1921" s="44"/>
      <c r="G1921" s="34">
        <f t="shared" si="116"/>
        <v>0</v>
      </c>
      <c r="H1921" s="34" t="str">
        <f t="shared" si="117"/>
        <v/>
      </c>
      <c r="I1921" s="52" t="str">
        <f t="shared" si="118"/>
        <v/>
      </c>
      <c r="J1921" s="34">
        <f>IF(AND(A1921&lt;&gt;"",ISTEXT(A1921),COUNTIFS(Processos!$AS$10:$AS$509,"="&amp;SUBSTITUTE(SUBSTITUTE(SUBSTITUTE("P:"&amp;A1921,"~","~~"),"*","~*"),"?","~?"))=1),(IF(ISNA(MATCH(SUBSTITUTE(SUBSTITUTE(SUBSTITUTE("P:"&amp;A1921,"~","~~"),"*","~*"),"?","~?"),Processos!$AS$10:$AS$509,0)),9,INDEX(Processos!$AM$10:$AM$509,MATCH(SUBSTITUTE(SUBSTITUTE(SUBSTITUTE("P:"&amp;A1921,"~","~~"),"*","~*"),"?","~?"),Processos!$AS$10:$AS$509,0)))-9),0)</f>
        <v>0</v>
      </c>
      <c r="K1921" s="34" t="str">
        <f t="shared" si="119"/>
        <v/>
      </c>
      <c r="L1921" s="14">
        <f>ROW()</f>
        <v>1921</v>
      </c>
    </row>
    <row r="1922" spans="1:12" ht="60" customHeight="1">
      <c r="A1922" s="41"/>
      <c r="B1922" s="43"/>
      <c r="C1922" s="44"/>
      <c r="D1922" s="51"/>
      <c r="E1922" s="44"/>
      <c r="F1922" s="44"/>
      <c r="G1922" s="34">
        <f t="shared" si="116"/>
        <v>0</v>
      </c>
      <c r="H1922" s="34" t="str">
        <f t="shared" si="117"/>
        <v/>
      </c>
      <c r="I1922" s="52" t="str">
        <f t="shared" si="118"/>
        <v/>
      </c>
      <c r="J1922" s="34">
        <f>IF(AND(A1922&lt;&gt;"",ISTEXT(A1922),COUNTIFS(Processos!$AS$10:$AS$509,"="&amp;SUBSTITUTE(SUBSTITUTE(SUBSTITUTE("P:"&amp;A1922,"~","~~"),"*","~*"),"?","~?"))=1),(IF(ISNA(MATCH(SUBSTITUTE(SUBSTITUTE(SUBSTITUTE("P:"&amp;A1922,"~","~~"),"*","~*"),"?","~?"),Processos!$AS$10:$AS$509,0)),9,INDEX(Processos!$AM$10:$AM$509,MATCH(SUBSTITUTE(SUBSTITUTE(SUBSTITUTE("P:"&amp;A1922,"~","~~"),"*","~*"),"?","~?"),Processos!$AS$10:$AS$509,0)))-9),0)</f>
        <v>0</v>
      </c>
      <c r="K1922" s="34" t="str">
        <f t="shared" si="119"/>
        <v/>
      </c>
      <c r="L1922" s="14">
        <f>ROW()</f>
        <v>1922</v>
      </c>
    </row>
    <row r="1923" spans="1:12" ht="60" customHeight="1">
      <c r="A1923" s="41"/>
      <c r="B1923" s="43"/>
      <c r="C1923" s="44"/>
      <c r="D1923" s="51"/>
      <c r="E1923" s="44"/>
      <c r="F1923" s="44"/>
      <c r="G1923" s="34">
        <f t="shared" si="116"/>
        <v>0</v>
      </c>
      <c r="H1923" s="34" t="str">
        <f t="shared" si="117"/>
        <v/>
      </c>
      <c r="I1923" s="52" t="str">
        <f t="shared" si="118"/>
        <v/>
      </c>
      <c r="J1923" s="34">
        <f>IF(AND(A1923&lt;&gt;"",ISTEXT(A1923),COUNTIFS(Processos!$AS$10:$AS$509,"="&amp;SUBSTITUTE(SUBSTITUTE(SUBSTITUTE("P:"&amp;A1923,"~","~~"),"*","~*"),"?","~?"))=1),(IF(ISNA(MATCH(SUBSTITUTE(SUBSTITUTE(SUBSTITUTE("P:"&amp;A1923,"~","~~"),"*","~*"),"?","~?"),Processos!$AS$10:$AS$509,0)),9,INDEX(Processos!$AM$10:$AM$509,MATCH(SUBSTITUTE(SUBSTITUTE(SUBSTITUTE("P:"&amp;A1923,"~","~~"),"*","~*"),"?","~?"),Processos!$AS$10:$AS$509,0)))-9),0)</f>
        <v>0</v>
      </c>
      <c r="K1923" s="34" t="str">
        <f t="shared" si="119"/>
        <v/>
      </c>
      <c r="L1923" s="14">
        <f>ROW()</f>
        <v>1923</v>
      </c>
    </row>
    <row r="1924" spans="1:12" ht="60" customHeight="1">
      <c r="A1924" s="41"/>
      <c r="B1924" s="43"/>
      <c r="C1924" s="44"/>
      <c r="D1924" s="51"/>
      <c r="E1924" s="44"/>
      <c r="F1924" s="44"/>
      <c r="G1924" s="34">
        <f t="shared" si="116"/>
        <v>0</v>
      </c>
      <c r="H1924" s="34" t="str">
        <f t="shared" si="117"/>
        <v/>
      </c>
      <c r="I1924" s="52" t="str">
        <f t="shared" si="118"/>
        <v/>
      </c>
      <c r="J1924" s="34">
        <f>IF(AND(A1924&lt;&gt;"",ISTEXT(A1924),COUNTIFS(Processos!$AS$10:$AS$509,"="&amp;SUBSTITUTE(SUBSTITUTE(SUBSTITUTE("P:"&amp;A1924,"~","~~"),"*","~*"),"?","~?"))=1),(IF(ISNA(MATCH(SUBSTITUTE(SUBSTITUTE(SUBSTITUTE("P:"&amp;A1924,"~","~~"),"*","~*"),"?","~?"),Processos!$AS$10:$AS$509,0)),9,INDEX(Processos!$AM$10:$AM$509,MATCH(SUBSTITUTE(SUBSTITUTE(SUBSTITUTE("P:"&amp;A1924,"~","~~"),"*","~*"),"?","~?"),Processos!$AS$10:$AS$509,0)))-9),0)</f>
        <v>0</v>
      </c>
      <c r="K1924" s="34" t="str">
        <f t="shared" si="119"/>
        <v/>
      </c>
      <c r="L1924" s="14">
        <f>ROW()</f>
        <v>1924</v>
      </c>
    </row>
    <row r="1925" spans="1:12" ht="60" customHeight="1">
      <c r="A1925" s="41"/>
      <c r="B1925" s="43"/>
      <c r="C1925" s="44"/>
      <c r="D1925" s="51"/>
      <c r="E1925" s="44"/>
      <c r="F1925" s="44"/>
      <c r="G1925" s="34">
        <f t="shared" si="116"/>
        <v>0</v>
      </c>
      <c r="H1925" s="34" t="str">
        <f t="shared" si="117"/>
        <v/>
      </c>
      <c r="I1925" s="52" t="str">
        <f t="shared" si="118"/>
        <v/>
      </c>
      <c r="J1925" s="34">
        <f>IF(AND(A1925&lt;&gt;"",ISTEXT(A1925),COUNTIFS(Processos!$AS$10:$AS$509,"="&amp;SUBSTITUTE(SUBSTITUTE(SUBSTITUTE("P:"&amp;A1925,"~","~~"),"*","~*"),"?","~?"))=1),(IF(ISNA(MATCH(SUBSTITUTE(SUBSTITUTE(SUBSTITUTE("P:"&amp;A1925,"~","~~"),"*","~*"),"?","~?"),Processos!$AS$10:$AS$509,0)),9,INDEX(Processos!$AM$10:$AM$509,MATCH(SUBSTITUTE(SUBSTITUTE(SUBSTITUTE("P:"&amp;A1925,"~","~~"),"*","~*"),"?","~?"),Processos!$AS$10:$AS$509,0)))-9),0)</f>
        <v>0</v>
      </c>
      <c r="K1925" s="34" t="str">
        <f t="shared" si="119"/>
        <v/>
      </c>
      <c r="L1925" s="14">
        <f>ROW()</f>
        <v>1925</v>
      </c>
    </row>
    <row r="1926" spans="1:12" ht="60" customHeight="1">
      <c r="A1926" s="41"/>
      <c r="B1926" s="43"/>
      <c r="C1926" s="44"/>
      <c r="D1926" s="51"/>
      <c r="E1926" s="44"/>
      <c r="F1926" s="44"/>
      <c r="G1926" s="34">
        <f t="shared" si="116"/>
        <v>0</v>
      </c>
      <c r="H1926" s="34" t="str">
        <f t="shared" si="117"/>
        <v/>
      </c>
      <c r="I1926" s="52" t="str">
        <f t="shared" si="118"/>
        <v/>
      </c>
      <c r="J1926" s="34">
        <f>IF(AND(A1926&lt;&gt;"",ISTEXT(A1926),COUNTIFS(Processos!$AS$10:$AS$509,"="&amp;SUBSTITUTE(SUBSTITUTE(SUBSTITUTE("P:"&amp;A1926,"~","~~"),"*","~*"),"?","~?"))=1),(IF(ISNA(MATCH(SUBSTITUTE(SUBSTITUTE(SUBSTITUTE("P:"&amp;A1926,"~","~~"),"*","~*"),"?","~?"),Processos!$AS$10:$AS$509,0)),9,INDEX(Processos!$AM$10:$AM$509,MATCH(SUBSTITUTE(SUBSTITUTE(SUBSTITUTE("P:"&amp;A1926,"~","~~"),"*","~*"),"?","~?"),Processos!$AS$10:$AS$509,0)))-9),0)</f>
        <v>0</v>
      </c>
      <c r="K1926" s="34" t="str">
        <f t="shared" si="119"/>
        <v/>
      </c>
      <c r="L1926" s="14">
        <f>ROW()</f>
        <v>1926</v>
      </c>
    </row>
    <row r="1927" spans="1:12" ht="60" customHeight="1">
      <c r="A1927" s="41"/>
      <c r="B1927" s="43"/>
      <c r="C1927" s="44"/>
      <c r="D1927" s="51"/>
      <c r="E1927" s="44"/>
      <c r="F1927" s="44"/>
      <c r="G1927" s="34">
        <f t="shared" si="116"/>
        <v>0</v>
      </c>
      <c r="H1927" s="34" t="str">
        <f t="shared" si="117"/>
        <v/>
      </c>
      <c r="I1927" s="52" t="str">
        <f t="shared" si="118"/>
        <v/>
      </c>
      <c r="J1927" s="34">
        <f>IF(AND(A1927&lt;&gt;"",ISTEXT(A1927),COUNTIFS(Processos!$AS$10:$AS$509,"="&amp;SUBSTITUTE(SUBSTITUTE(SUBSTITUTE("P:"&amp;A1927,"~","~~"),"*","~*"),"?","~?"))=1),(IF(ISNA(MATCH(SUBSTITUTE(SUBSTITUTE(SUBSTITUTE("P:"&amp;A1927,"~","~~"),"*","~*"),"?","~?"),Processos!$AS$10:$AS$509,0)),9,INDEX(Processos!$AM$10:$AM$509,MATCH(SUBSTITUTE(SUBSTITUTE(SUBSTITUTE("P:"&amp;A1927,"~","~~"),"*","~*"),"?","~?"),Processos!$AS$10:$AS$509,0)))-9),0)</f>
        <v>0</v>
      </c>
      <c r="K1927" s="34" t="str">
        <f t="shared" si="119"/>
        <v/>
      </c>
      <c r="L1927" s="14">
        <f>ROW()</f>
        <v>1927</v>
      </c>
    </row>
    <row r="1928" spans="1:12" ht="60" customHeight="1">
      <c r="A1928" s="41"/>
      <c r="B1928" s="43"/>
      <c r="C1928" s="44"/>
      <c r="D1928" s="51"/>
      <c r="E1928" s="44"/>
      <c r="F1928" s="44"/>
      <c r="G1928" s="34">
        <f t="shared" si="116"/>
        <v>0</v>
      </c>
      <c r="H1928" s="34" t="str">
        <f t="shared" si="117"/>
        <v/>
      </c>
      <c r="I1928" s="52" t="str">
        <f t="shared" si="118"/>
        <v/>
      </c>
      <c r="J1928" s="34">
        <f>IF(AND(A1928&lt;&gt;"",ISTEXT(A1928),COUNTIFS(Processos!$AS$10:$AS$509,"="&amp;SUBSTITUTE(SUBSTITUTE(SUBSTITUTE("P:"&amp;A1928,"~","~~"),"*","~*"),"?","~?"))=1),(IF(ISNA(MATCH(SUBSTITUTE(SUBSTITUTE(SUBSTITUTE("P:"&amp;A1928,"~","~~"),"*","~*"),"?","~?"),Processos!$AS$10:$AS$509,0)),9,INDEX(Processos!$AM$10:$AM$509,MATCH(SUBSTITUTE(SUBSTITUTE(SUBSTITUTE("P:"&amp;A1928,"~","~~"),"*","~*"),"?","~?"),Processos!$AS$10:$AS$509,0)))-9),0)</f>
        <v>0</v>
      </c>
      <c r="K1928" s="34" t="str">
        <f t="shared" si="119"/>
        <v/>
      </c>
      <c r="L1928" s="14">
        <f>ROW()</f>
        <v>1928</v>
      </c>
    </row>
    <row r="1929" spans="1:12" ht="60" customHeight="1">
      <c r="A1929" s="41"/>
      <c r="B1929" s="43"/>
      <c r="C1929" s="44"/>
      <c r="D1929" s="51"/>
      <c r="E1929" s="44"/>
      <c r="F1929" s="44"/>
      <c r="G1929" s="34">
        <f t="shared" si="116"/>
        <v>0</v>
      </c>
      <c r="H1929" s="34" t="str">
        <f t="shared" si="117"/>
        <v/>
      </c>
      <c r="I1929" s="52" t="str">
        <f t="shared" si="118"/>
        <v/>
      </c>
      <c r="J1929" s="34">
        <f>IF(AND(A1929&lt;&gt;"",ISTEXT(A1929),COUNTIFS(Processos!$AS$10:$AS$509,"="&amp;SUBSTITUTE(SUBSTITUTE(SUBSTITUTE("P:"&amp;A1929,"~","~~"),"*","~*"),"?","~?"))=1),(IF(ISNA(MATCH(SUBSTITUTE(SUBSTITUTE(SUBSTITUTE("P:"&amp;A1929,"~","~~"),"*","~*"),"?","~?"),Processos!$AS$10:$AS$509,0)),9,INDEX(Processos!$AM$10:$AM$509,MATCH(SUBSTITUTE(SUBSTITUTE(SUBSTITUTE("P:"&amp;A1929,"~","~~"),"*","~*"),"?","~?"),Processos!$AS$10:$AS$509,0)))-9),0)</f>
        <v>0</v>
      </c>
      <c r="K1929" s="34" t="str">
        <f t="shared" si="119"/>
        <v/>
      </c>
      <c r="L1929" s="14">
        <f>ROW()</f>
        <v>1929</v>
      </c>
    </row>
    <row r="1930" spans="1:12" ht="60" customHeight="1">
      <c r="A1930" s="41"/>
      <c r="B1930" s="43"/>
      <c r="C1930" s="44"/>
      <c r="D1930" s="51"/>
      <c r="E1930" s="44"/>
      <c r="F1930" s="44"/>
      <c r="G1930" s="34">
        <f t="shared" ref="G1930:G1993" si="120">IF(AND(J1930&gt;0,OR(B1930="",AND(ISNUMBER(B1930),B1930&gt;=1,B1930&lt;=100000)),ISNUMBER(D1930),D1930&gt;=1,D1930&lt;=100000,C1930&lt;&gt;""),1,0)</f>
        <v>0</v>
      </c>
      <c r="H1930" s="34" t="str">
        <f t="shared" ref="H1930:H1993" si="121">IF(G1930=1,K1930&amp;"|"&amp;D1930,"")</f>
        <v/>
      </c>
      <c r="I1930" s="52" t="str">
        <f t="shared" ref="I1930:I1993" si="122">IF(COUNTA(A1930:F1930)=0,"",IF(A1930="","Selecione o processo",IF(J1930=0,"Processo inexistente, duplicado ou número não textual",IF(B1930="","Informe a data do andamento",IF(C1930="","Descreva o andamento",IF(D1930="","Informe a data e hora do recebimento",IF(OR(NOT(ISNUMBER(B1930)),B1930&lt;1,B1930&gt;100000),"Revise a data do andamento",IF(OR(NOT(ISNUMBER(D1930)),D1930&lt;1,D1930&gt;100000),"Revise a data e hora do recebimento",IF(COUNTIFS($K$10:$K$2009,"="&amp;SUBSTITUTE(SUBSTITUTE(SUBSTITUTE("P:"&amp;A1930,"~","~~"),"*","~*"),"?","~?"),$D$10:$D$2009,D1930,$G$10:$G$2009,1)&gt;1,"Recebimentos empatados: revise a hora ou consolide o registro","")))))))))</f>
        <v/>
      </c>
      <c r="J1930" s="34">
        <f>IF(AND(A1930&lt;&gt;"",ISTEXT(A1930),COUNTIFS(Processos!$AS$10:$AS$509,"="&amp;SUBSTITUTE(SUBSTITUTE(SUBSTITUTE("P:"&amp;A1930,"~","~~"),"*","~*"),"?","~?"))=1),(IF(ISNA(MATCH(SUBSTITUTE(SUBSTITUTE(SUBSTITUTE("P:"&amp;A1930,"~","~~"),"*","~*"),"?","~?"),Processos!$AS$10:$AS$509,0)),9,INDEX(Processos!$AM$10:$AM$509,MATCH(SUBSTITUTE(SUBSTITUTE(SUBSTITUTE("P:"&amp;A1930,"~","~~"),"*","~*"),"?","~?"),Processos!$AS$10:$AS$509,0)))-9),0)</f>
        <v>0</v>
      </c>
      <c r="K1930" s="34" t="str">
        <f t="shared" ref="K1930:K1993" si="123">IF(AND(A1930&lt;&gt;"",ISTEXT(A1930)),"P:"&amp;A1930,"")</f>
        <v/>
      </c>
      <c r="L1930" s="14">
        <f>ROW()</f>
        <v>1930</v>
      </c>
    </row>
    <row r="1931" spans="1:12" ht="60" customHeight="1">
      <c r="A1931" s="41"/>
      <c r="B1931" s="43"/>
      <c r="C1931" s="44"/>
      <c r="D1931" s="51"/>
      <c r="E1931" s="44"/>
      <c r="F1931" s="44"/>
      <c r="G1931" s="34">
        <f t="shared" si="120"/>
        <v>0</v>
      </c>
      <c r="H1931" s="34" t="str">
        <f t="shared" si="121"/>
        <v/>
      </c>
      <c r="I1931" s="52" t="str">
        <f t="shared" si="122"/>
        <v/>
      </c>
      <c r="J1931" s="34">
        <f>IF(AND(A1931&lt;&gt;"",ISTEXT(A1931),COUNTIFS(Processos!$AS$10:$AS$509,"="&amp;SUBSTITUTE(SUBSTITUTE(SUBSTITUTE("P:"&amp;A1931,"~","~~"),"*","~*"),"?","~?"))=1),(IF(ISNA(MATCH(SUBSTITUTE(SUBSTITUTE(SUBSTITUTE("P:"&amp;A1931,"~","~~"),"*","~*"),"?","~?"),Processos!$AS$10:$AS$509,0)),9,INDEX(Processos!$AM$10:$AM$509,MATCH(SUBSTITUTE(SUBSTITUTE(SUBSTITUTE("P:"&amp;A1931,"~","~~"),"*","~*"),"?","~?"),Processos!$AS$10:$AS$509,0)))-9),0)</f>
        <v>0</v>
      </c>
      <c r="K1931" s="34" t="str">
        <f t="shared" si="123"/>
        <v/>
      </c>
      <c r="L1931" s="14">
        <f>ROW()</f>
        <v>1931</v>
      </c>
    </row>
    <row r="1932" spans="1:12" ht="60" customHeight="1">
      <c r="A1932" s="41"/>
      <c r="B1932" s="43"/>
      <c r="C1932" s="44"/>
      <c r="D1932" s="51"/>
      <c r="E1932" s="44"/>
      <c r="F1932" s="44"/>
      <c r="G1932" s="34">
        <f t="shared" si="120"/>
        <v>0</v>
      </c>
      <c r="H1932" s="34" t="str">
        <f t="shared" si="121"/>
        <v/>
      </c>
      <c r="I1932" s="52" t="str">
        <f t="shared" si="122"/>
        <v/>
      </c>
      <c r="J1932" s="34">
        <f>IF(AND(A1932&lt;&gt;"",ISTEXT(A1932),COUNTIFS(Processos!$AS$10:$AS$509,"="&amp;SUBSTITUTE(SUBSTITUTE(SUBSTITUTE("P:"&amp;A1932,"~","~~"),"*","~*"),"?","~?"))=1),(IF(ISNA(MATCH(SUBSTITUTE(SUBSTITUTE(SUBSTITUTE("P:"&amp;A1932,"~","~~"),"*","~*"),"?","~?"),Processos!$AS$10:$AS$509,0)),9,INDEX(Processos!$AM$10:$AM$509,MATCH(SUBSTITUTE(SUBSTITUTE(SUBSTITUTE("P:"&amp;A1932,"~","~~"),"*","~*"),"?","~?"),Processos!$AS$10:$AS$509,0)))-9),0)</f>
        <v>0</v>
      </c>
      <c r="K1932" s="34" t="str">
        <f t="shared" si="123"/>
        <v/>
      </c>
      <c r="L1932" s="14">
        <f>ROW()</f>
        <v>1932</v>
      </c>
    </row>
    <row r="1933" spans="1:12" ht="60" customHeight="1">
      <c r="A1933" s="41"/>
      <c r="B1933" s="43"/>
      <c r="C1933" s="44"/>
      <c r="D1933" s="51"/>
      <c r="E1933" s="44"/>
      <c r="F1933" s="44"/>
      <c r="G1933" s="34">
        <f t="shared" si="120"/>
        <v>0</v>
      </c>
      <c r="H1933" s="34" t="str">
        <f t="shared" si="121"/>
        <v/>
      </c>
      <c r="I1933" s="52" t="str">
        <f t="shared" si="122"/>
        <v/>
      </c>
      <c r="J1933" s="34">
        <f>IF(AND(A1933&lt;&gt;"",ISTEXT(A1933),COUNTIFS(Processos!$AS$10:$AS$509,"="&amp;SUBSTITUTE(SUBSTITUTE(SUBSTITUTE("P:"&amp;A1933,"~","~~"),"*","~*"),"?","~?"))=1),(IF(ISNA(MATCH(SUBSTITUTE(SUBSTITUTE(SUBSTITUTE("P:"&amp;A1933,"~","~~"),"*","~*"),"?","~?"),Processos!$AS$10:$AS$509,0)),9,INDEX(Processos!$AM$10:$AM$509,MATCH(SUBSTITUTE(SUBSTITUTE(SUBSTITUTE("P:"&amp;A1933,"~","~~"),"*","~*"),"?","~?"),Processos!$AS$10:$AS$509,0)))-9),0)</f>
        <v>0</v>
      </c>
      <c r="K1933" s="34" t="str">
        <f t="shared" si="123"/>
        <v/>
      </c>
      <c r="L1933" s="14">
        <f>ROW()</f>
        <v>1933</v>
      </c>
    </row>
    <row r="1934" spans="1:12" ht="60" customHeight="1">
      <c r="A1934" s="41"/>
      <c r="B1934" s="43"/>
      <c r="C1934" s="44"/>
      <c r="D1934" s="51"/>
      <c r="E1934" s="44"/>
      <c r="F1934" s="44"/>
      <c r="G1934" s="34">
        <f t="shared" si="120"/>
        <v>0</v>
      </c>
      <c r="H1934" s="34" t="str">
        <f t="shared" si="121"/>
        <v/>
      </c>
      <c r="I1934" s="52" t="str">
        <f t="shared" si="122"/>
        <v/>
      </c>
      <c r="J1934" s="34">
        <f>IF(AND(A1934&lt;&gt;"",ISTEXT(A1934),COUNTIFS(Processos!$AS$10:$AS$509,"="&amp;SUBSTITUTE(SUBSTITUTE(SUBSTITUTE("P:"&amp;A1934,"~","~~"),"*","~*"),"?","~?"))=1),(IF(ISNA(MATCH(SUBSTITUTE(SUBSTITUTE(SUBSTITUTE("P:"&amp;A1934,"~","~~"),"*","~*"),"?","~?"),Processos!$AS$10:$AS$509,0)),9,INDEX(Processos!$AM$10:$AM$509,MATCH(SUBSTITUTE(SUBSTITUTE(SUBSTITUTE("P:"&amp;A1934,"~","~~"),"*","~*"),"?","~?"),Processos!$AS$10:$AS$509,0)))-9),0)</f>
        <v>0</v>
      </c>
      <c r="K1934" s="34" t="str">
        <f t="shared" si="123"/>
        <v/>
      </c>
      <c r="L1934" s="14">
        <f>ROW()</f>
        <v>1934</v>
      </c>
    </row>
    <row r="1935" spans="1:12" ht="60" customHeight="1">
      <c r="A1935" s="41"/>
      <c r="B1935" s="43"/>
      <c r="C1935" s="44"/>
      <c r="D1935" s="51"/>
      <c r="E1935" s="44"/>
      <c r="F1935" s="44"/>
      <c r="G1935" s="34">
        <f t="shared" si="120"/>
        <v>0</v>
      </c>
      <c r="H1935" s="34" t="str">
        <f t="shared" si="121"/>
        <v/>
      </c>
      <c r="I1935" s="52" t="str">
        <f t="shared" si="122"/>
        <v/>
      </c>
      <c r="J1935" s="34">
        <f>IF(AND(A1935&lt;&gt;"",ISTEXT(A1935),COUNTIFS(Processos!$AS$10:$AS$509,"="&amp;SUBSTITUTE(SUBSTITUTE(SUBSTITUTE("P:"&amp;A1935,"~","~~"),"*","~*"),"?","~?"))=1),(IF(ISNA(MATCH(SUBSTITUTE(SUBSTITUTE(SUBSTITUTE("P:"&amp;A1935,"~","~~"),"*","~*"),"?","~?"),Processos!$AS$10:$AS$509,0)),9,INDEX(Processos!$AM$10:$AM$509,MATCH(SUBSTITUTE(SUBSTITUTE(SUBSTITUTE("P:"&amp;A1935,"~","~~"),"*","~*"),"?","~?"),Processos!$AS$10:$AS$509,0)))-9),0)</f>
        <v>0</v>
      </c>
      <c r="K1935" s="34" t="str">
        <f t="shared" si="123"/>
        <v/>
      </c>
      <c r="L1935" s="14">
        <f>ROW()</f>
        <v>1935</v>
      </c>
    </row>
    <row r="1936" spans="1:12" ht="60" customHeight="1">
      <c r="A1936" s="41"/>
      <c r="B1936" s="43"/>
      <c r="C1936" s="44"/>
      <c r="D1936" s="51"/>
      <c r="E1936" s="44"/>
      <c r="F1936" s="44"/>
      <c r="G1936" s="34">
        <f t="shared" si="120"/>
        <v>0</v>
      </c>
      <c r="H1936" s="34" t="str">
        <f t="shared" si="121"/>
        <v/>
      </c>
      <c r="I1936" s="52" t="str">
        <f t="shared" si="122"/>
        <v/>
      </c>
      <c r="J1936" s="34">
        <f>IF(AND(A1936&lt;&gt;"",ISTEXT(A1936),COUNTIFS(Processos!$AS$10:$AS$509,"="&amp;SUBSTITUTE(SUBSTITUTE(SUBSTITUTE("P:"&amp;A1936,"~","~~"),"*","~*"),"?","~?"))=1),(IF(ISNA(MATCH(SUBSTITUTE(SUBSTITUTE(SUBSTITUTE("P:"&amp;A1936,"~","~~"),"*","~*"),"?","~?"),Processos!$AS$10:$AS$509,0)),9,INDEX(Processos!$AM$10:$AM$509,MATCH(SUBSTITUTE(SUBSTITUTE(SUBSTITUTE("P:"&amp;A1936,"~","~~"),"*","~*"),"?","~?"),Processos!$AS$10:$AS$509,0)))-9),0)</f>
        <v>0</v>
      </c>
      <c r="K1936" s="34" t="str">
        <f t="shared" si="123"/>
        <v/>
      </c>
      <c r="L1936" s="14">
        <f>ROW()</f>
        <v>1936</v>
      </c>
    </row>
    <row r="1937" spans="1:12" ht="60" customHeight="1">
      <c r="A1937" s="41"/>
      <c r="B1937" s="43"/>
      <c r="C1937" s="44"/>
      <c r="D1937" s="51"/>
      <c r="E1937" s="44"/>
      <c r="F1937" s="44"/>
      <c r="G1937" s="34">
        <f t="shared" si="120"/>
        <v>0</v>
      </c>
      <c r="H1937" s="34" t="str">
        <f t="shared" si="121"/>
        <v/>
      </c>
      <c r="I1937" s="52" t="str">
        <f t="shared" si="122"/>
        <v/>
      </c>
      <c r="J1937" s="34">
        <f>IF(AND(A1937&lt;&gt;"",ISTEXT(A1937),COUNTIFS(Processos!$AS$10:$AS$509,"="&amp;SUBSTITUTE(SUBSTITUTE(SUBSTITUTE("P:"&amp;A1937,"~","~~"),"*","~*"),"?","~?"))=1),(IF(ISNA(MATCH(SUBSTITUTE(SUBSTITUTE(SUBSTITUTE("P:"&amp;A1937,"~","~~"),"*","~*"),"?","~?"),Processos!$AS$10:$AS$509,0)),9,INDEX(Processos!$AM$10:$AM$509,MATCH(SUBSTITUTE(SUBSTITUTE(SUBSTITUTE("P:"&amp;A1937,"~","~~"),"*","~*"),"?","~?"),Processos!$AS$10:$AS$509,0)))-9),0)</f>
        <v>0</v>
      </c>
      <c r="K1937" s="34" t="str">
        <f t="shared" si="123"/>
        <v/>
      </c>
      <c r="L1937" s="14">
        <f>ROW()</f>
        <v>1937</v>
      </c>
    </row>
    <row r="1938" spans="1:12" ht="60" customHeight="1">
      <c r="A1938" s="41"/>
      <c r="B1938" s="43"/>
      <c r="C1938" s="44"/>
      <c r="D1938" s="51"/>
      <c r="E1938" s="44"/>
      <c r="F1938" s="44"/>
      <c r="G1938" s="34">
        <f t="shared" si="120"/>
        <v>0</v>
      </c>
      <c r="H1938" s="34" t="str">
        <f t="shared" si="121"/>
        <v/>
      </c>
      <c r="I1938" s="52" t="str">
        <f t="shared" si="122"/>
        <v/>
      </c>
      <c r="J1938" s="34">
        <f>IF(AND(A1938&lt;&gt;"",ISTEXT(A1938),COUNTIFS(Processos!$AS$10:$AS$509,"="&amp;SUBSTITUTE(SUBSTITUTE(SUBSTITUTE("P:"&amp;A1938,"~","~~"),"*","~*"),"?","~?"))=1),(IF(ISNA(MATCH(SUBSTITUTE(SUBSTITUTE(SUBSTITUTE("P:"&amp;A1938,"~","~~"),"*","~*"),"?","~?"),Processos!$AS$10:$AS$509,0)),9,INDEX(Processos!$AM$10:$AM$509,MATCH(SUBSTITUTE(SUBSTITUTE(SUBSTITUTE("P:"&amp;A1938,"~","~~"),"*","~*"),"?","~?"),Processos!$AS$10:$AS$509,0)))-9),0)</f>
        <v>0</v>
      </c>
      <c r="K1938" s="34" t="str">
        <f t="shared" si="123"/>
        <v/>
      </c>
      <c r="L1938" s="14">
        <f>ROW()</f>
        <v>1938</v>
      </c>
    </row>
    <row r="1939" spans="1:12" ht="60" customHeight="1">
      <c r="A1939" s="41"/>
      <c r="B1939" s="43"/>
      <c r="C1939" s="44"/>
      <c r="D1939" s="51"/>
      <c r="E1939" s="44"/>
      <c r="F1939" s="44"/>
      <c r="G1939" s="34">
        <f t="shared" si="120"/>
        <v>0</v>
      </c>
      <c r="H1939" s="34" t="str">
        <f t="shared" si="121"/>
        <v/>
      </c>
      <c r="I1939" s="52" t="str">
        <f t="shared" si="122"/>
        <v/>
      </c>
      <c r="J1939" s="34">
        <f>IF(AND(A1939&lt;&gt;"",ISTEXT(A1939),COUNTIFS(Processos!$AS$10:$AS$509,"="&amp;SUBSTITUTE(SUBSTITUTE(SUBSTITUTE("P:"&amp;A1939,"~","~~"),"*","~*"),"?","~?"))=1),(IF(ISNA(MATCH(SUBSTITUTE(SUBSTITUTE(SUBSTITUTE("P:"&amp;A1939,"~","~~"),"*","~*"),"?","~?"),Processos!$AS$10:$AS$509,0)),9,INDEX(Processos!$AM$10:$AM$509,MATCH(SUBSTITUTE(SUBSTITUTE(SUBSTITUTE("P:"&amp;A1939,"~","~~"),"*","~*"),"?","~?"),Processos!$AS$10:$AS$509,0)))-9),0)</f>
        <v>0</v>
      </c>
      <c r="K1939" s="34" t="str">
        <f t="shared" si="123"/>
        <v/>
      </c>
      <c r="L1939" s="14">
        <f>ROW()</f>
        <v>1939</v>
      </c>
    </row>
    <row r="1940" spans="1:12" ht="60" customHeight="1">
      <c r="A1940" s="41"/>
      <c r="B1940" s="43"/>
      <c r="C1940" s="44"/>
      <c r="D1940" s="51"/>
      <c r="E1940" s="44"/>
      <c r="F1940" s="44"/>
      <c r="G1940" s="34">
        <f t="shared" si="120"/>
        <v>0</v>
      </c>
      <c r="H1940" s="34" t="str">
        <f t="shared" si="121"/>
        <v/>
      </c>
      <c r="I1940" s="52" t="str">
        <f t="shared" si="122"/>
        <v/>
      </c>
      <c r="J1940" s="34">
        <f>IF(AND(A1940&lt;&gt;"",ISTEXT(A1940),COUNTIFS(Processos!$AS$10:$AS$509,"="&amp;SUBSTITUTE(SUBSTITUTE(SUBSTITUTE("P:"&amp;A1940,"~","~~"),"*","~*"),"?","~?"))=1),(IF(ISNA(MATCH(SUBSTITUTE(SUBSTITUTE(SUBSTITUTE("P:"&amp;A1940,"~","~~"),"*","~*"),"?","~?"),Processos!$AS$10:$AS$509,0)),9,INDEX(Processos!$AM$10:$AM$509,MATCH(SUBSTITUTE(SUBSTITUTE(SUBSTITUTE("P:"&amp;A1940,"~","~~"),"*","~*"),"?","~?"),Processos!$AS$10:$AS$509,0)))-9),0)</f>
        <v>0</v>
      </c>
      <c r="K1940" s="34" t="str">
        <f t="shared" si="123"/>
        <v/>
      </c>
      <c r="L1940" s="14">
        <f>ROW()</f>
        <v>1940</v>
      </c>
    </row>
    <row r="1941" spans="1:12" ht="60" customHeight="1">
      <c r="A1941" s="41"/>
      <c r="B1941" s="43"/>
      <c r="C1941" s="44"/>
      <c r="D1941" s="51"/>
      <c r="E1941" s="44"/>
      <c r="F1941" s="44"/>
      <c r="G1941" s="34">
        <f t="shared" si="120"/>
        <v>0</v>
      </c>
      <c r="H1941" s="34" t="str">
        <f t="shared" si="121"/>
        <v/>
      </c>
      <c r="I1941" s="52" t="str">
        <f t="shared" si="122"/>
        <v/>
      </c>
      <c r="J1941" s="34">
        <f>IF(AND(A1941&lt;&gt;"",ISTEXT(A1941),COUNTIFS(Processos!$AS$10:$AS$509,"="&amp;SUBSTITUTE(SUBSTITUTE(SUBSTITUTE("P:"&amp;A1941,"~","~~"),"*","~*"),"?","~?"))=1),(IF(ISNA(MATCH(SUBSTITUTE(SUBSTITUTE(SUBSTITUTE("P:"&amp;A1941,"~","~~"),"*","~*"),"?","~?"),Processos!$AS$10:$AS$509,0)),9,INDEX(Processos!$AM$10:$AM$509,MATCH(SUBSTITUTE(SUBSTITUTE(SUBSTITUTE("P:"&amp;A1941,"~","~~"),"*","~*"),"?","~?"),Processos!$AS$10:$AS$509,0)))-9),0)</f>
        <v>0</v>
      </c>
      <c r="K1941" s="34" t="str">
        <f t="shared" si="123"/>
        <v/>
      </c>
      <c r="L1941" s="14">
        <f>ROW()</f>
        <v>1941</v>
      </c>
    </row>
    <row r="1942" spans="1:12" ht="60" customHeight="1">
      <c r="A1942" s="41"/>
      <c r="B1942" s="43"/>
      <c r="C1942" s="44"/>
      <c r="D1942" s="51"/>
      <c r="E1942" s="44"/>
      <c r="F1942" s="44"/>
      <c r="G1942" s="34">
        <f t="shared" si="120"/>
        <v>0</v>
      </c>
      <c r="H1942" s="34" t="str">
        <f t="shared" si="121"/>
        <v/>
      </c>
      <c r="I1942" s="52" t="str">
        <f t="shared" si="122"/>
        <v/>
      </c>
      <c r="J1942" s="34">
        <f>IF(AND(A1942&lt;&gt;"",ISTEXT(A1942),COUNTIFS(Processos!$AS$10:$AS$509,"="&amp;SUBSTITUTE(SUBSTITUTE(SUBSTITUTE("P:"&amp;A1942,"~","~~"),"*","~*"),"?","~?"))=1),(IF(ISNA(MATCH(SUBSTITUTE(SUBSTITUTE(SUBSTITUTE("P:"&amp;A1942,"~","~~"),"*","~*"),"?","~?"),Processos!$AS$10:$AS$509,0)),9,INDEX(Processos!$AM$10:$AM$509,MATCH(SUBSTITUTE(SUBSTITUTE(SUBSTITUTE("P:"&amp;A1942,"~","~~"),"*","~*"),"?","~?"),Processos!$AS$10:$AS$509,0)))-9),0)</f>
        <v>0</v>
      </c>
      <c r="K1942" s="34" t="str">
        <f t="shared" si="123"/>
        <v/>
      </c>
      <c r="L1942" s="14">
        <f>ROW()</f>
        <v>1942</v>
      </c>
    </row>
    <row r="1943" spans="1:12" ht="60" customHeight="1">
      <c r="A1943" s="41"/>
      <c r="B1943" s="43"/>
      <c r="C1943" s="44"/>
      <c r="D1943" s="51"/>
      <c r="E1943" s="44"/>
      <c r="F1943" s="44"/>
      <c r="G1943" s="34">
        <f t="shared" si="120"/>
        <v>0</v>
      </c>
      <c r="H1943" s="34" t="str">
        <f t="shared" si="121"/>
        <v/>
      </c>
      <c r="I1943" s="52" t="str">
        <f t="shared" si="122"/>
        <v/>
      </c>
      <c r="J1943" s="34">
        <f>IF(AND(A1943&lt;&gt;"",ISTEXT(A1943),COUNTIFS(Processos!$AS$10:$AS$509,"="&amp;SUBSTITUTE(SUBSTITUTE(SUBSTITUTE("P:"&amp;A1943,"~","~~"),"*","~*"),"?","~?"))=1),(IF(ISNA(MATCH(SUBSTITUTE(SUBSTITUTE(SUBSTITUTE("P:"&amp;A1943,"~","~~"),"*","~*"),"?","~?"),Processos!$AS$10:$AS$509,0)),9,INDEX(Processos!$AM$10:$AM$509,MATCH(SUBSTITUTE(SUBSTITUTE(SUBSTITUTE("P:"&amp;A1943,"~","~~"),"*","~*"),"?","~?"),Processos!$AS$10:$AS$509,0)))-9),0)</f>
        <v>0</v>
      </c>
      <c r="K1943" s="34" t="str">
        <f t="shared" si="123"/>
        <v/>
      </c>
      <c r="L1943" s="14">
        <f>ROW()</f>
        <v>1943</v>
      </c>
    </row>
    <row r="1944" spans="1:12" ht="60" customHeight="1">
      <c r="A1944" s="41"/>
      <c r="B1944" s="43"/>
      <c r="C1944" s="44"/>
      <c r="D1944" s="51"/>
      <c r="E1944" s="44"/>
      <c r="F1944" s="44"/>
      <c r="G1944" s="34">
        <f t="shared" si="120"/>
        <v>0</v>
      </c>
      <c r="H1944" s="34" t="str">
        <f t="shared" si="121"/>
        <v/>
      </c>
      <c r="I1944" s="52" t="str">
        <f t="shared" si="122"/>
        <v/>
      </c>
      <c r="J1944" s="34">
        <f>IF(AND(A1944&lt;&gt;"",ISTEXT(A1944),COUNTIFS(Processos!$AS$10:$AS$509,"="&amp;SUBSTITUTE(SUBSTITUTE(SUBSTITUTE("P:"&amp;A1944,"~","~~"),"*","~*"),"?","~?"))=1),(IF(ISNA(MATCH(SUBSTITUTE(SUBSTITUTE(SUBSTITUTE("P:"&amp;A1944,"~","~~"),"*","~*"),"?","~?"),Processos!$AS$10:$AS$509,0)),9,INDEX(Processos!$AM$10:$AM$509,MATCH(SUBSTITUTE(SUBSTITUTE(SUBSTITUTE("P:"&amp;A1944,"~","~~"),"*","~*"),"?","~?"),Processos!$AS$10:$AS$509,0)))-9),0)</f>
        <v>0</v>
      </c>
      <c r="K1944" s="34" t="str">
        <f t="shared" si="123"/>
        <v/>
      </c>
      <c r="L1944" s="14">
        <f>ROW()</f>
        <v>1944</v>
      </c>
    </row>
    <row r="1945" spans="1:12" ht="60" customHeight="1">
      <c r="A1945" s="41"/>
      <c r="B1945" s="43"/>
      <c r="C1945" s="44"/>
      <c r="D1945" s="51"/>
      <c r="E1945" s="44"/>
      <c r="F1945" s="44"/>
      <c r="G1945" s="34">
        <f t="shared" si="120"/>
        <v>0</v>
      </c>
      <c r="H1945" s="34" t="str">
        <f t="shared" si="121"/>
        <v/>
      </c>
      <c r="I1945" s="52" t="str">
        <f t="shared" si="122"/>
        <v/>
      </c>
      <c r="J1945" s="34">
        <f>IF(AND(A1945&lt;&gt;"",ISTEXT(A1945),COUNTIFS(Processos!$AS$10:$AS$509,"="&amp;SUBSTITUTE(SUBSTITUTE(SUBSTITUTE("P:"&amp;A1945,"~","~~"),"*","~*"),"?","~?"))=1),(IF(ISNA(MATCH(SUBSTITUTE(SUBSTITUTE(SUBSTITUTE("P:"&amp;A1945,"~","~~"),"*","~*"),"?","~?"),Processos!$AS$10:$AS$509,0)),9,INDEX(Processos!$AM$10:$AM$509,MATCH(SUBSTITUTE(SUBSTITUTE(SUBSTITUTE("P:"&amp;A1945,"~","~~"),"*","~*"),"?","~?"),Processos!$AS$10:$AS$509,0)))-9),0)</f>
        <v>0</v>
      </c>
      <c r="K1945" s="34" t="str">
        <f t="shared" si="123"/>
        <v/>
      </c>
      <c r="L1945" s="14">
        <f>ROW()</f>
        <v>1945</v>
      </c>
    </row>
    <row r="1946" spans="1:12" ht="60" customHeight="1">
      <c r="A1946" s="41"/>
      <c r="B1946" s="43"/>
      <c r="C1946" s="44"/>
      <c r="D1946" s="51"/>
      <c r="E1946" s="44"/>
      <c r="F1946" s="44"/>
      <c r="G1946" s="34">
        <f t="shared" si="120"/>
        <v>0</v>
      </c>
      <c r="H1946" s="34" t="str">
        <f t="shared" si="121"/>
        <v/>
      </c>
      <c r="I1946" s="52" t="str">
        <f t="shared" si="122"/>
        <v/>
      </c>
      <c r="J1946" s="34">
        <f>IF(AND(A1946&lt;&gt;"",ISTEXT(A1946),COUNTIFS(Processos!$AS$10:$AS$509,"="&amp;SUBSTITUTE(SUBSTITUTE(SUBSTITUTE("P:"&amp;A1946,"~","~~"),"*","~*"),"?","~?"))=1),(IF(ISNA(MATCH(SUBSTITUTE(SUBSTITUTE(SUBSTITUTE("P:"&amp;A1946,"~","~~"),"*","~*"),"?","~?"),Processos!$AS$10:$AS$509,0)),9,INDEX(Processos!$AM$10:$AM$509,MATCH(SUBSTITUTE(SUBSTITUTE(SUBSTITUTE("P:"&amp;A1946,"~","~~"),"*","~*"),"?","~?"),Processos!$AS$10:$AS$509,0)))-9),0)</f>
        <v>0</v>
      </c>
      <c r="K1946" s="34" t="str">
        <f t="shared" si="123"/>
        <v/>
      </c>
      <c r="L1946" s="14">
        <f>ROW()</f>
        <v>1946</v>
      </c>
    </row>
    <row r="1947" spans="1:12" ht="60" customHeight="1">
      <c r="A1947" s="41"/>
      <c r="B1947" s="43"/>
      <c r="C1947" s="44"/>
      <c r="D1947" s="51"/>
      <c r="E1947" s="44"/>
      <c r="F1947" s="44"/>
      <c r="G1947" s="34">
        <f t="shared" si="120"/>
        <v>0</v>
      </c>
      <c r="H1947" s="34" t="str">
        <f t="shared" si="121"/>
        <v/>
      </c>
      <c r="I1947" s="52" t="str">
        <f t="shared" si="122"/>
        <v/>
      </c>
      <c r="J1947" s="34">
        <f>IF(AND(A1947&lt;&gt;"",ISTEXT(A1947),COUNTIFS(Processos!$AS$10:$AS$509,"="&amp;SUBSTITUTE(SUBSTITUTE(SUBSTITUTE("P:"&amp;A1947,"~","~~"),"*","~*"),"?","~?"))=1),(IF(ISNA(MATCH(SUBSTITUTE(SUBSTITUTE(SUBSTITUTE("P:"&amp;A1947,"~","~~"),"*","~*"),"?","~?"),Processos!$AS$10:$AS$509,0)),9,INDEX(Processos!$AM$10:$AM$509,MATCH(SUBSTITUTE(SUBSTITUTE(SUBSTITUTE("P:"&amp;A1947,"~","~~"),"*","~*"),"?","~?"),Processos!$AS$10:$AS$509,0)))-9),0)</f>
        <v>0</v>
      </c>
      <c r="K1947" s="34" t="str">
        <f t="shared" si="123"/>
        <v/>
      </c>
      <c r="L1947" s="14">
        <f>ROW()</f>
        <v>1947</v>
      </c>
    </row>
    <row r="1948" spans="1:12" ht="60" customHeight="1">
      <c r="A1948" s="41"/>
      <c r="B1948" s="43"/>
      <c r="C1948" s="44"/>
      <c r="D1948" s="51"/>
      <c r="E1948" s="44"/>
      <c r="F1948" s="44"/>
      <c r="G1948" s="34">
        <f t="shared" si="120"/>
        <v>0</v>
      </c>
      <c r="H1948" s="34" t="str">
        <f t="shared" si="121"/>
        <v/>
      </c>
      <c r="I1948" s="52" t="str">
        <f t="shared" si="122"/>
        <v/>
      </c>
      <c r="J1948" s="34">
        <f>IF(AND(A1948&lt;&gt;"",ISTEXT(A1948),COUNTIFS(Processos!$AS$10:$AS$509,"="&amp;SUBSTITUTE(SUBSTITUTE(SUBSTITUTE("P:"&amp;A1948,"~","~~"),"*","~*"),"?","~?"))=1),(IF(ISNA(MATCH(SUBSTITUTE(SUBSTITUTE(SUBSTITUTE("P:"&amp;A1948,"~","~~"),"*","~*"),"?","~?"),Processos!$AS$10:$AS$509,0)),9,INDEX(Processos!$AM$10:$AM$509,MATCH(SUBSTITUTE(SUBSTITUTE(SUBSTITUTE("P:"&amp;A1948,"~","~~"),"*","~*"),"?","~?"),Processos!$AS$10:$AS$509,0)))-9),0)</f>
        <v>0</v>
      </c>
      <c r="K1948" s="34" t="str">
        <f t="shared" si="123"/>
        <v/>
      </c>
      <c r="L1948" s="14">
        <f>ROW()</f>
        <v>1948</v>
      </c>
    </row>
    <row r="1949" spans="1:12" ht="60" customHeight="1">
      <c r="A1949" s="41"/>
      <c r="B1949" s="43"/>
      <c r="C1949" s="44"/>
      <c r="D1949" s="51"/>
      <c r="E1949" s="44"/>
      <c r="F1949" s="44"/>
      <c r="G1949" s="34">
        <f t="shared" si="120"/>
        <v>0</v>
      </c>
      <c r="H1949" s="34" t="str">
        <f t="shared" si="121"/>
        <v/>
      </c>
      <c r="I1949" s="52" t="str">
        <f t="shared" si="122"/>
        <v/>
      </c>
      <c r="J1949" s="34">
        <f>IF(AND(A1949&lt;&gt;"",ISTEXT(A1949),COUNTIFS(Processos!$AS$10:$AS$509,"="&amp;SUBSTITUTE(SUBSTITUTE(SUBSTITUTE("P:"&amp;A1949,"~","~~"),"*","~*"),"?","~?"))=1),(IF(ISNA(MATCH(SUBSTITUTE(SUBSTITUTE(SUBSTITUTE("P:"&amp;A1949,"~","~~"),"*","~*"),"?","~?"),Processos!$AS$10:$AS$509,0)),9,INDEX(Processos!$AM$10:$AM$509,MATCH(SUBSTITUTE(SUBSTITUTE(SUBSTITUTE("P:"&amp;A1949,"~","~~"),"*","~*"),"?","~?"),Processos!$AS$10:$AS$509,0)))-9),0)</f>
        <v>0</v>
      </c>
      <c r="K1949" s="34" t="str">
        <f t="shared" si="123"/>
        <v/>
      </c>
      <c r="L1949" s="14">
        <f>ROW()</f>
        <v>1949</v>
      </c>
    </row>
    <row r="1950" spans="1:12" ht="60" customHeight="1">
      <c r="A1950" s="41"/>
      <c r="B1950" s="43"/>
      <c r="C1950" s="44"/>
      <c r="D1950" s="51"/>
      <c r="E1950" s="44"/>
      <c r="F1950" s="44"/>
      <c r="G1950" s="34">
        <f t="shared" si="120"/>
        <v>0</v>
      </c>
      <c r="H1950" s="34" t="str">
        <f t="shared" si="121"/>
        <v/>
      </c>
      <c r="I1950" s="52" t="str">
        <f t="shared" si="122"/>
        <v/>
      </c>
      <c r="J1950" s="34">
        <f>IF(AND(A1950&lt;&gt;"",ISTEXT(A1950),COUNTIFS(Processos!$AS$10:$AS$509,"="&amp;SUBSTITUTE(SUBSTITUTE(SUBSTITUTE("P:"&amp;A1950,"~","~~"),"*","~*"),"?","~?"))=1),(IF(ISNA(MATCH(SUBSTITUTE(SUBSTITUTE(SUBSTITUTE("P:"&amp;A1950,"~","~~"),"*","~*"),"?","~?"),Processos!$AS$10:$AS$509,0)),9,INDEX(Processos!$AM$10:$AM$509,MATCH(SUBSTITUTE(SUBSTITUTE(SUBSTITUTE("P:"&amp;A1950,"~","~~"),"*","~*"),"?","~?"),Processos!$AS$10:$AS$509,0)))-9),0)</f>
        <v>0</v>
      </c>
      <c r="K1950" s="34" t="str">
        <f t="shared" si="123"/>
        <v/>
      </c>
      <c r="L1950" s="14">
        <f>ROW()</f>
        <v>1950</v>
      </c>
    </row>
    <row r="1951" spans="1:12" ht="60" customHeight="1">
      <c r="A1951" s="41"/>
      <c r="B1951" s="43"/>
      <c r="C1951" s="44"/>
      <c r="D1951" s="51"/>
      <c r="E1951" s="44"/>
      <c r="F1951" s="44"/>
      <c r="G1951" s="34">
        <f t="shared" si="120"/>
        <v>0</v>
      </c>
      <c r="H1951" s="34" t="str">
        <f t="shared" si="121"/>
        <v/>
      </c>
      <c r="I1951" s="52" t="str">
        <f t="shared" si="122"/>
        <v/>
      </c>
      <c r="J1951" s="34">
        <f>IF(AND(A1951&lt;&gt;"",ISTEXT(A1951),COUNTIFS(Processos!$AS$10:$AS$509,"="&amp;SUBSTITUTE(SUBSTITUTE(SUBSTITUTE("P:"&amp;A1951,"~","~~"),"*","~*"),"?","~?"))=1),(IF(ISNA(MATCH(SUBSTITUTE(SUBSTITUTE(SUBSTITUTE("P:"&amp;A1951,"~","~~"),"*","~*"),"?","~?"),Processos!$AS$10:$AS$509,0)),9,INDEX(Processos!$AM$10:$AM$509,MATCH(SUBSTITUTE(SUBSTITUTE(SUBSTITUTE("P:"&amp;A1951,"~","~~"),"*","~*"),"?","~?"),Processos!$AS$10:$AS$509,0)))-9),0)</f>
        <v>0</v>
      </c>
      <c r="K1951" s="34" t="str">
        <f t="shared" si="123"/>
        <v/>
      </c>
      <c r="L1951" s="14">
        <f>ROW()</f>
        <v>1951</v>
      </c>
    </row>
    <row r="1952" spans="1:12" ht="60" customHeight="1">
      <c r="A1952" s="41"/>
      <c r="B1952" s="43"/>
      <c r="C1952" s="44"/>
      <c r="D1952" s="51"/>
      <c r="E1952" s="44"/>
      <c r="F1952" s="44"/>
      <c r="G1952" s="34">
        <f t="shared" si="120"/>
        <v>0</v>
      </c>
      <c r="H1952" s="34" t="str">
        <f t="shared" si="121"/>
        <v/>
      </c>
      <c r="I1952" s="52" t="str">
        <f t="shared" si="122"/>
        <v/>
      </c>
      <c r="J1952" s="34">
        <f>IF(AND(A1952&lt;&gt;"",ISTEXT(A1952),COUNTIFS(Processos!$AS$10:$AS$509,"="&amp;SUBSTITUTE(SUBSTITUTE(SUBSTITUTE("P:"&amp;A1952,"~","~~"),"*","~*"),"?","~?"))=1),(IF(ISNA(MATCH(SUBSTITUTE(SUBSTITUTE(SUBSTITUTE("P:"&amp;A1952,"~","~~"),"*","~*"),"?","~?"),Processos!$AS$10:$AS$509,0)),9,INDEX(Processos!$AM$10:$AM$509,MATCH(SUBSTITUTE(SUBSTITUTE(SUBSTITUTE("P:"&amp;A1952,"~","~~"),"*","~*"),"?","~?"),Processos!$AS$10:$AS$509,0)))-9),0)</f>
        <v>0</v>
      </c>
      <c r="K1952" s="34" t="str">
        <f t="shared" si="123"/>
        <v/>
      </c>
      <c r="L1952" s="14">
        <f>ROW()</f>
        <v>1952</v>
      </c>
    </row>
    <row r="1953" spans="1:12" ht="60" customHeight="1">
      <c r="A1953" s="41"/>
      <c r="B1953" s="43"/>
      <c r="C1953" s="44"/>
      <c r="D1953" s="51"/>
      <c r="E1953" s="44"/>
      <c r="F1953" s="44"/>
      <c r="G1953" s="34">
        <f t="shared" si="120"/>
        <v>0</v>
      </c>
      <c r="H1953" s="34" t="str">
        <f t="shared" si="121"/>
        <v/>
      </c>
      <c r="I1953" s="52" t="str">
        <f t="shared" si="122"/>
        <v/>
      </c>
      <c r="J1953" s="34">
        <f>IF(AND(A1953&lt;&gt;"",ISTEXT(A1953),COUNTIFS(Processos!$AS$10:$AS$509,"="&amp;SUBSTITUTE(SUBSTITUTE(SUBSTITUTE("P:"&amp;A1953,"~","~~"),"*","~*"),"?","~?"))=1),(IF(ISNA(MATCH(SUBSTITUTE(SUBSTITUTE(SUBSTITUTE("P:"&amp;A1953,"~","~~"),"*","~*"),"?","~?"),Processos!$AS$10:$AS$509,0)),9,INDEX(Processos!$AM$10:$AM$509,MATCH(SUBSTITUTE(SUBSTITUTE(SUBSTITUTE("P:"&amp;A1953,"~","~~"),"*","~*"),"?","~?"),Processos!$AS$10:$AS$509,0)))-9),0)</f>
        <v>0</v>
      </c>
      <c r="K1953" s="34" t="str">
        <f t="shared" si="123"/>
        <v/>
      </c>
      <c r="L1953" s="14">
        <f>ROW()</f>
        <v>1953</v>
      </c>
    </row>
    <row r="1954" spans="1:12" ht="60" customHeight="1">
      <c r="A1954" s="41"/>
      <c r="B1954" s="43"/>
      <c r="C1954" s="44"/>
      <c r="D1954" s="51"/>
      <c r="E1954" s="44"/>
      <c r="F1954" s="44"/>
      <c r="G1954" s="34">
        <f t="shared" si="120"/>
        <v>0</v>
      </c>
      <c r="H1954" s="34" t="str">
        <f t="shared" si="121"/>
        <v/>
      </c>
      <c r="I1954" s="52" t="str">
        <f t="shared" si="122"/>
        <v/>
      </c>
      <c r="J1954" s="34">
        <f>IF(AND(A1954&lt;&gt;"",ISTEXT(A1954),COUNTIFS(Processos!$AS$10:$AS$509,"="&amp;SUBSTITUTE(SUBSTITUTE(SUBSTITUTE("P:"&amp;A1954,"~","~~"),"*","~*"),"?","~?"))=1),(IF(ISNA(MATCH(SUBSTITUTE(SUBSTITUTE(SUBSTITUTE("P:"&amp;A1954,"~","~~"),"*","~*"),"?","~?"),Processos!$AS$10:$AS$509,0)),9,INDEX(Processos!$AM$10:$AM$509,MATCH(SUBSTITUTE(SUBSTITUTE(SUBSTITUTE("P:"&amp;A1954,"~","~~"),"*","~*"),"?","~?"),Processos!$AS$10:$AS$509,0)))-9),0)</f>
        <v>0</v>
      </c>
      <c r="K1954" s="34" t="str">
        <f t="shared" si="123"/>
        <v/>
      </c>
      <c r="L1954" s="14">
        <f>ROW()</f>
        <v>1954</v>
      </c>
    </row>
    <row r="1955" spans="1:12" ht="60" customHeight="1">
      <c r="A1955" s="41"/>
      <c r="B1955" s="43"/>
      <c r="C1955" s="44"/>
      <c r="D1955" s="51"/>
      <c r="E1955" s="44"/>
      <c r="F1955" s="44"/>
      <c r="G1955" s="34">
        <f t="shared" si="120"/>
        <v>0</v>
      </c>
      <c r="H1955" s="34" t="str">
        <f t="shared" si="121"/>
        <v/>
      </c>
      <c r="I1955" s="52" t="str">
        <f t="shared" si="122"/>
        <v/>
      </c>
      <c r="J1955" s="34">
        <f>IF(AND(A1955&lt;&gt;"",ISTEXT(A1955),COUNTIFS(Processos!$AS$10:$AS$509,"="&amp;SUBSTITUTE(SUBSTITUTE(SUBSTITUTE("P:"&amp;A1955,"~","~~"),"*","~*"),"?","~?"))=1),(IF(ISNA(MATCH(SUBSTITUTE(SUBSTITUTE(SUBSTITUTE("P:"&amp;A1955,"~","~~"),"*","~*"),"?","~?"),Processos!$AS$10:$AS$509,0)),9,INDEX(Processos!$AM$10:$AM$509,MATCH(SUBSTITUTE(SUBSTITUTE(SUBSTITUTE("P:"&amp;A1955,"~","~~"),"*","~*"),"?","~?"),Processos!$AS$10:$AS$509,0)))-9),0)</f>
        <v>0</v>
      </c>
      <c r="K1955" s="34" t="str">
        <f t="shared" si="123"/>
        <v/>
      </c>
      <c r="L1955" s="14">
        <f>ROW()</f>
        <v>1955</v>
      </c>
    </row>
    <row r="1956" spans="1:12" ht="60" customHeight="1">
      <c r="A1956" s="41"/>
      <c r="B1956" s="43"/>
      <c r="C1956" s="44"/>
      <c r="D1956" s="51"/>
      <c r="E1956" s="44"/>
      <c r="F1956" s="44"/>
      <c r="G1956" s="34">
        <f t="shared" si="120"/>
        <v>0</v>
      </c>
      <c r="H1956" s="34" t="str">
        <f t="shared" si="121"/>
        <v/>
      </c>
      <c r="I1956" s="52" t="str">
        <f t="shared" si="122"/>
        <v/>
      </c>
      <c r="J1956" s="34">
        <f>IF(AND(A1956&lt;&gt;"",ISTEXT(A1956),COUNTIFS(Processos!$AS$10:$AS$509,"="&amp;SUBSTITUTE(SUBSTITUTE(SUBSTITUTE("P:"&amp;A1956,"~","~~"),"*","~*"),"?","~?"))=1),(IF(ISNA(MATCH(SUBSTITUTE(SUBSTITUTE(SUBSTITUTE("P:"&amp;A1956,"~","~~"),"*","~*"),"?","~?"),Processos!$AS$10:$AS$509,0)),9,INDEX(Processos!$AM$10:$AM$509,MATCH(SUBSTITUTE(SUBSTITUTE(SUBSTITUTE("P:"&amp;A1956,"~","~~"),"*","~*"),"?","~?"),Processos!$AS$10:$AS$509,0)))-9),0)</f>
        <v>0</v>
      </c>
      <c r="K1956" s="34" t="str">
        <f t="shared" si="123"/>
        <v/>
      </c>
      <c r="L1956" s="14">
        <f>ROW()</f>
        <v>1956</v>
      </c>
    </row>
    <row r="1957" spans="1:12" ht="60" customHeight="1">
      <c r="A1957" s="41"/>
      <c r="B1957" s="43"/>
      <c r="C1957" s="44"/>
      <c r="D1957" s="51"/>
      <c r="E1957" s="44"/>
      <c r="F1957" s="44"/>
      <c r="G1957" s="34">
        <f t="shared" si="120"/>
        <v>0</v>
      </c>
      <c r="H1957" s="34" t="str">
        <f t="shared" si="121"/>
        <v/>
      </c>
      <c r="I1957" s="52" t="str">
        <f t="shared" si="122"/>
        <v/>
      </c>
      <c r="J1957" s="34">
        <f>IF(AND(A1957&lt;&gt;"",ISTEXT(A1957),COUNTIFS(Processos!$AS$10:$AS$509,"="&amp;SUBSTITUTE(SUBSTITUTE(SUBSTITUTE("P:"&amp;A1957,"~","~~"),"*","~*"),"?","~?"))=1),(IF(ISNA(MATCH(SUBSTITUTE(SUBSTITUTE(SUBSTITUTE("P:"&amp;A1957,"~","~~"),"*","~*"),"?","~?"),Processos!$AS$10:$AS$509,0)),9,INDEX(Processos!$AM$10:$AM$509,MATCH(SUBSTITUTE(SUBSTITUTE(SUBSTITUTE("P:"&amp;A1957,"~","~~"),"*","~*"),"?","~?"),Processos!$AS$10:$AS$509,0)))-9),0)</f>
        <v>0</v>
      </c>
      <c r="K1957" s="34" t="str">
        <f t="shared" si="123"/>
        <v/>
      </c>
      <c r="L1957" s="14">
        <f>ROW()</f>
        <v>1957</v>
      </c>
    </row>
    <row r="1958" spans="1:12" ht="60" customHeight="1">
      <c r="A1958" s="41"/>
      <c r="B1958" s="43"/>
      <c r="C1958" s="44"/>
      <c r="D1958" s="51"/>
      <c r="E1958" s="44"/>
      <c r="F1958" s="44"/>
      <c r="G1958" s="34">
        <f t="shared" si="120"/>
        <v>0</v>
      </c>
      <c r="H1958" s="34" t="str">
        <f t="shared" si="121"/>
        <v/>
      </c>
      <c r="I1958" s="52" t="str">
        <f t="shared" si="122"/>
        <v/>
      </c>
      <c r="J1958" s="34">
        <f>IF(AND(A1958&lt;&gt;"",ISTEXT(A1958),COUNTIFS(Processos!$AS$10:$AS$509,"="&amp;SUBSTITUTE(SUBSTITUTE(SUBSTITUTE("P:"&amp;A1958,"~","~~"),"*","~*"),"?","~?"))=1),(IF(ISNA(MATCH(SUBSTITUTE(SUBSTITUTE(SUBSTITUTE("P:"&amp;A1958,"~","~~"),"*","~*"),"?","~?"),Processos!$AS$10:$AS$509,0)),9,INDEX(Processos!$AM$10:$AM$509,MATCH(SUBSTITUTE(SUBSTITUTE(SUBSTITUTE("P:"&amp;A1958,"~","~~"),"*","~*"),"?","~?"),Processos!$AS$10:$AS$509,0)))-9),0)</f>
        <v>0</v>
      </c>
      <c r="K1958" s="34" t="str">
        <f t="shared" si="123"/>
        <v/>
      </c>
      <c r="L1958" s="14">
        <f>ROW()</f>
        <v>1958</v>
      </c>
    </row>
    <row r="1959" spans="1:12" ht="60" customHeight="1">
      <c r="A1959" s="41"/>
      <c r="B1959" s="43"/>
      <c r="C1959" s="44"/>
      <c r="D1959" s="51"/>
      <c r="E1959" s="44"/>
      <c r="F1959" s="44"/>
      <c r="G1959" s="34">
        <f t="shared" si="120"/>
        <v>0</v>
      </c>
      <c r="H1959" s="34" t="str">
        <f t="shared" si="121"/>
        <v/>
      </c>
      <c r="I1959" s="52" t="str">
        <f t="shared" si="122"/>
        <v/>
      </c>
      <c r="J1959" s="34">
        <f>IF(AND(A1959&lt;&gt;"",ISTEXT(A1959),COUNTIFS(Processos!$AS$10:$AS$509,"="&amp;SUBSTITUTE(SUBSTITUTE(SUBSTITUTE("P:"&amp;A1959,"~","~~"),"*","~*"),"?","~?"))=1),(IF(ISNA(MATCH(SUBSTITUTE(SUBSTITUTE(SUBSTITUTE("P:"&amp;A1959,"~","~~"),"*","~*"),"?","~?"),Processos!$AS$10:$AS$509,0)),9,INDEX(Processos!$AM$10:$AM$509,MATCH(SUBSTITUTE(SUBSTITUTE(SUBSTITUTE("P:"&amp;A1959,"~","~~"),"*","~*"),"?","~?"),Processos!$AS$10:$AS$509,0)))-9),0)</f>
        <v>0</v>
      </c>
      <c r="K1959" s="34" t="str">
        <f t="shared" si="123"/>
        <v/>
      </c>
      <c r="L1959" s="14">
        <f>ROW()</f>
        <v>1959</v>
      </c>
    </row>
    <row r="1960" spans="1:12" ht="60" customHeight="1">
      <c r="A1960" s="41"/>
      <c r="B1960" s="43"/>
      <c r="C1960" s="44"/>
      <c r="D1960" s="51"/>
      <c r="E1960" s="44"/>
      <c r="F1960" s="44"/>
      <c r="G1960" s="34">
        <f t="shared" si="120"/>
        <v>0</v>
      </c>
      <c r="H1960" s="34" t="str">
        <f t="shared" si="121"/>
        <v/>
      </c>
      <c r="I1960" s="52" t="str">
        <f t="shared" si="122"/>
        <v/>
      </c>
      <c r="J1960" s="34">
        <f>IF(AND(A1960&lt;&gt;"",ISTEXT(A1960),COUNTIFS(Processos!$AS$10:$AS$509,"="&amp;SUBSTITUTE(SUBSTITUTE(SUBSTITUTE("P:"&amp;A1960,"~","~~"),"*","~*"),"?","~?"))=1),(IF(ISNA(MATCH(SUBSTITUTE(SUBSTITUTE(SUBSTITUTE("P:"&amp;A1960,"~","~~"),"*","~*"),"?","~?"),Processos!$AS$10:$AS$509,0)),9,INDEX(Processos!$AM$10:$AM$509,MATCH(SUBSTITUTE(SUBSTITUTE(SUBSTITUTE("P:"&amp;A1960,"~","~~"),"*","~*"),"?","~?"),Processos!$AS$10:$AS$509,0)))-9),0)</f>
        <v>0</v>
      </c>
      <c r="K1960" s="34" t="str">
        <f t="shared" si="123"/>
        <v/>
      </c>
      <c r="L1960" s="14">
        <f>ROW()</f>
        <v>1960</v>
      </c>
    </row>
    <row r="1961" spans="1:12" ht="60" customHeight="1">
      <c r="A1961" s="41"/>
      <c r="B1961" s="43"/>
      <c r="C1961" s="44"/>
      <c r="D1961" s="51"/>
      <c r="E1961" s="44"/>
      <c r="F1961" s="44"/>
      <c r="G1961" s="34">
        <f t="shared" si="120"/>
        <v>0</v>
      </c>
      <c r="H1961" s="34" t="str">
        <f t="shared" si="121"/>
        <v/>
      </c>
      <c r="I1961" s="52" t="str">
        <f t="shared" si="122"/>
        <v/>
      </c>
      <c r="J1961" s="34">
        <f>IF(AND(A1961&lt;&gt;"",ISTEXT(A1961),COUNTIFS(Processos!$AS$10:$AS$509,"="&amp;SUBSTITUTE(SUBSTITUTE(SUBSTITUTE("P:"&amp;A1961,"~","~~"),"*","~*"),"?","~?"))=1),(IF(ISNA(MATCH(SUBSTITUTE(SUBSTITUTE(SUBSTITUTE("P:"&amp;A1961,"~","~~"),"*","~*"),"?","~?"),Processos!$AS$10:$AS$509,0)),9,INDEX(Processos!$AM$10:$AM$509,MATCH(SUBSTITUTE(SUBSTITUTE(SUBSTITUTE("P:"&amp;A1961,"~","~~"),"*","~*"),"?","~?"),Processos!$AS$10:$AS$509,0)))-9),0)</f>
        <v>0</v>
      </c>
      <c r="K1961" s="34" t="str">
        <f t="shared" si="123"/>
        <v/>
      </c>
      <c r="L1961" s="14">
        <f>ROW()</f>
        <v>1961</v>
      </c>
    </row>
    <row r="1962" spans="1:12" ht="60" customHeight="1">
      <c r="A1962" s="41"/>
      <c r="B1962" s="43"/>
      <c r="C1962" s="44"/>
      <c r="D1962" s="51"/>
      <c r="E1962" s="44"/>
      <c r="F1962" s="44"/>
      <c r="G1962" s="34">
        <f t="shared" si="120"/>
        <v>0</v>
      </c>
      <c r="H1962" s="34" t="str">
        <f t="shared" si="121"/>
        <v/>
      </c>
      <c r="I1962" s="52" t="str">
        <f t="shared" si="122"/>
        <v/>
      </c>
      <c r="J1962" s="34">
        <f>IF(AND(A1962&lt;&gt;"",ISTEXT(A1962),COUNTIFS(Processos!$AS$10:$AS$509,"="&amp;SUBSTITUTE(SUBSTITUTE(SUBSTITUTE("P:"&amp;A1962,"~","~~"),"*","~*"),"?","~?"))=1),(IF(ISNA(MATCH(SUBSTITUTE(SUBSTITUTE(SUBSTITUTE("P:"&amp;A1962,"~","~~"),"*","~*"),"?","~?"),Processos!$AS$10:$AS$509,0)),9,INDEX(Processos!$AM$10:$AM$509,MATCH(SUBSTITUTE(SUBSTITUTE(SUBSTITUTE("P:"&amp;A1962,"~","~~"),"*","~*"),"?","~?"),Processos!$AS$10:$AS$509,0)))-9),0)</f>
        <v>0</v>
      </c>
      <c r="K1962" s="34" t="str">
        <f t="shared" si="123"/>
        <v/>
      </c>
      <c r="L1962" s="14">
        <f>ROW()</f>
        <v>1962</v>
      </c>
    </row>
    <row r="1963" spans="1:12" ht="60" customHeight="1">
      <c r="A1963" s="41"/>
      <c r="B1963" s="43"/>
      <c r="C1963" s="44"/>
      <c r="D1963" s="51"/>
      <c r="E1963" s="44"/>
      <c r="F1963" s="44"/>
      <c r="G1963" s="34">
        <f t="shared" si="120"/>
        <v>0</v>
      </c>
      <c r="H1963" s="34" t="str">
        <f t="shared" si="121"/>
        <v/>
      </c>
      <c r="I1963" s="52" t="str">
        <f t="shared" si="122"/>
        <v/>
      </c>
      <c r="J1963" s="34">
        <f>IF(AND(A1963&lt;&gt;"",ISTEXT(A1963),COUNTIFS(Processos!$AS$10:$AS$509,"="&amp;SUBSTITUTE(SUBSTITUTE(SUBSTITUTE("P:"&amp;A1963,"~","~~"),"*","~*"),"?","~?"))=1),(IF(ISNA(MATCH(SUBSTITUTE(SUBSTITUTE(SUBSTITUTE("P:"&amp;A1963,"~","~~"),"*","~*"),"?","~?"),Processos!$AS$10:$AS$509,0)),9,INDEX(Processos!$AM$10:$AM$509,MATCH(SUBSTITUTE(SUBSTITUTE(SUBSTITUTE("P:"&amp;A1963,"~","~~"),"*","~*"),"?","~?"),Processos!$AS$10:$AS$509,0)))-9),0)</f>
        <v>0</v>
      </c>
      <c r="K1963" s="34" t="str">
        <f t="shared" si="123"/>
        <v/>
      </c>
      <c r="L1963" s="14">
        <f>ROW()</f>
        <v>1963</v>
      </c>
    </row>
    <row r="1964" spans="1:12" ht="60" customHeight="1">
      <c r="A1964" s="41"/>
      <c r="B1964" s="43"/>
      <c r="C1964" s="44"/>
      <c r="D1964" s="51"/>
      <c r="E1964" s="44"/>
      <c r="F1964" s="44"/>
      <c r="G1964" s="34">
        <f t="shared" si="120"/>
        <v>0</v>
      </c>
      <c r="H1964" s="34" t="str">
        <f t="shared" si="121"/>
        <v/>
      </c>
      <c r="I1964" s="52" t="str">
        <f t="shared" si="122"/>
        <v/>
      </c>
      <c r="J1964" s="34">
        <f>IF(AND(A1964&lt;&gt;"",ISTEXT(A1964),COUNTIFS(Processos!$AS$10:$AS$509,"="&amp;SUBSTITUTE(SUBSTITUTE(SUBSTITUTE("P:"&amp;A1964,"~","~~"),"*","~*"),"?","~?"))=1),(IF(ISNA(MATCH(SUBSTITUTE(SUBSTITUTE(SUBSTITUTE("P:"&amp;A1964,"~","~~"),"*","~*"),"?","~?"),Processos!$AS$10:$AS$509,0)),9,INDEX(Processos!$AM$10:$AM$509,MATCH(SUBSTITUTE(SUBSTITUTE(SUBSTITUTE("P:"&amp;A1964,"~","~~"),"*","~*"),"?","~?"),Processos!$AS$10:$AS$509,0)))-9),0)</f>
        <v>0</v>
      </c>
      <c r="K1964" s="34" t="str">
        <f t="shared" si="123"/>
        <v/>
      </c>
      <c r="L1964" s="14">
        <f>ROW()</f>
        <v>1964</v>
      </c>
    </row>
    <row r="1965" spans="1:12" ht="60" customHeight="1">
      <c r="A1965" s="41"/>
      <c r="B1965" s="43"/>
      <c r="C1965" s="44"/>
      <c r="D1965" s="51"/>
      <c r="E1965" s="44"/>
      <c r="F1965" s="44"/>
      <c r="G1965" s="34">
        <f t="shared" si="120"/>
        <v>0</v>
      </c>
      <c r="H1965" s="34" t="str">
        <f t="shared" si="121"/>
        <v/>
      </c>
      <c r="I1965" s="52" t="str">
        <f t="shared" si="122"/>
        <v/>
      </c>
      <c r="J1965" s="34">
        <f>IF(AND(A1965&lt;&gt;"",ISTEXT(A1965),COUNTIFS(Processos!$AS$10:$AS$509,"="&amp;SUBSTITUTE(SUBSTITUTE(SUBSTITUTE("P:"&amp;A1965,"~","~~"),"*","~*"),"?","~?"))=1),(IF(ISNA(MATCH(SUBSTITUTE(SUBSTITUTE(SUBSTITUTE("P:"&amp;A1965,"~","~~"),"*","~*"),"?","~?"),Processos!$AS$10:$AS$509,0)),9,INDEX(Processos!$AM$10:$AM$509,MATCH(SUBSTITUTE(SUBSTITUTE(SUBSTITUTE("P:"&amp;A1965,"~","~~"),"*","~*"),"?","~?"),Processos!$AS$10:$AS$509,0)))-9),0)</f>
        <v>0</v>
      </c>
      <c r="K1965" s="34" t="str">
        <f t="shared" si="123"/>
        <v/>
      </c>
      <c r="L1965" s="14">
        <f>ROW()</f>
        <v>1965</v>
      </c>
    </row>
    <row r="1966" spans="1:12" ht="60" customHeight="1">
      <c r="A1966" s="41"/>
      <c r="B1966" s="43"/>
      <c r="C1966" s="44"/>
      <c r="D1966" s="51"/>
      <c r="E1966" s="44"/>
      <c r="F1966" s="44"/>
      <c r="G1966" s="34">
        <f t="shared" si="120"/>
        <v>0</v>
      </c>
      <c r="H1966" s="34" t="str">
        <f t="shared" si="121"/>
        <v/>
      </c>
      <c r="I1966" s="52" t="str">
        <f t="shared" si="122"/>
        <v/>
      </c>
      <c r="J1966" s="34">
        <f>IF(AND(A1966&lt;&gt;"",ISTEXT(A1966),COUNTIFS(Processos!$AS$10:$AS$509,"="&amp;SUBSTITUTE(SUBSTITUTE(SUBSTITUTE("P:"&amp;A1966,"~","~~"),"*","~*"),"?","~?"))=1),(IF(ISNA(MATCH(SUBSTITUTE(SUBSTITUTE(SUBSTITUTE("P:"&amp;A1966,"~","~~"),"*","~*"),"?","~?"),Processos!$AS$10:$AS$509,0)),9,INDEX(Processos!$AM$10:$AM$509,MATCH(SUBSTITUTE(SUBSTITUTE(SUBSTITUTE("P:"&amp;A1966,"~","~~"),"*","~*"),"?","~?"),Processos!$AS$10:$AS$509,0)))-9),0)</f>
        <v>0</v>
      </c>
      <c r="K1966" s="34" t="str">
        <f t="shared" si="123"/>
        <v/>
      </c>
      <c r="L1966" s="14">
        <f>ROW()</f>
        <v>1966</v>
      </c>
    </row>
    <row r="1967" spans="1:12" ht="60" customHeight="1">
      <c r="A1967" s="41"/>
      <c r="B1967" s="43"/>
      <c r="C1967" s="44"/>
      <c r="D1967" s="51"/>
      <c r="E1967" s="44"/>
      <c r="F1967" s="44"/>
      <c r="G1967" s="34">
        <f t="shared" si="120"/>
        <v>0</v>
      </c>
      <c r="H1967" s="34" t="str">
        <f t="shared" si="121"/>
        <v/>
      </c>
      <c r="I1967" s="52" t="str">
        <f t="shared" si="122"/>
        <v/>
      </c>
      <c r="J1967" s="34">
        <f>IF(AND(A1967&lt;&gt;"",ISTEXT(A1967),COUNTIFS(Processos!$AS$10:$AS$509,"="&amp;SUBSTITUTE(SUBSTITUTE(SUBSTITUTE("P:"&amp;A1967,"~","~~"),"*","~*"),"?","~?"))=1),(IF(ISNA(MATCH(SUBSTITUTE(SUBSTITUTE(SUBSTITUTE("P:"&amp;A1967,"~","~~"),"*","~*"),"?","~?"),Processos!$AS$10:$AS$509,0)),9,INDEX(Processos!$AM$10:$AM$509,MATCH(SUBSTITUTE(SUBSTITUTE(SUBSTITUTE("P:"&amp;A1967,"~","~~"),"*","~*"),"?","~?"),Processos!$AS$10:$AS$509,0)))-9),0)</f>
        <v>0</v>
      </c>
      <c r="K1967" s="34" t="str">
        <f t="shared" si="123"/>
        <v/>
      </c>
      <c r="L1967" s="14">
        <f>ROW()</f>
        <v>1967</v>
      </c>
    </row>
    <row r="1968" spans="1:12" ht="60" customHeight="1">
      <c r="A1968" s="41"/>
      <c r="B1968" s="43"/>
      <c r="C1968" s="44"/>
      <c r="D1968" s="51"/>
      <c r="E1968" s="44"/>
      <c r="F1968" s="44"/>
      <c r="G1968" s="34">
        <f t="shared" si="120"/>
        <v>0</v>
      </c>
      <c r="H1968" s="34" t="str">
        <f t="shared" si="121"/>
        <v/>
      </c>
      <c r="I1968" s="52" t="str">
        <f t="shared" si="122"/>
        <v/>
      </c>
      <c r="J1968" s="34">
        <f>IF(AND(A1968&lt;&gt;"",ISTEXT(A1968),COUNTIFS(Processos!$AS$10:$AS$509,"="&amp;SUBSTITUTE(SUBSTITUTE(SUBSTITUTE("P:"&amp;A1968,"~","~~"),"*","~*"),"?","~?"))=1),(IF(ISNA(MATCH(SUBSTITUTE(SUBSTITUTE(SUBSTITUTE("P:"&amp;A1968,"~","~~"),"*","~*"),"?","~?"),Processos!$AS$10:$AS$509,0)),9,INDEX(Processos!$AM$10:$AM$509,MATCH(SUBSTITUTE(SUBSTITUTE(SUBSTITUTE("P:"&amp;A1968,"~","~~"),"*","~*"),"?","~?"),Processos!$AS$10:$AS$509,0)))-9),0)</f>
        <v>0</v>
      </c>
      <c r="K1968" s="34" t="str">
        <f t="shared" si="123"/>
        <v/>
      </c>
      <c r="L1968" s="14">
        <f>ROW()</f>
        <v>1968</v>
      </c>
    </row>
    <row r="1969" spans="1:12" ht="60" customHeight="1">
      <c r="A1969" s="41"/>
      <c r="B1969" s="43"/>
      <c r="C1969" s="44"/>
      <c r="D1969" s="51"/>
      <c r="E1969" s="44"/>
      <c r="F1969" s="44"/>
      <c r="G1969" s="34">
        <f t="shared" si="120"/>
        <v>0</v>
      </c>
      <c r="H1969" s="34" t="str">
        <f t="shared" si="121"/>
        <v/>
      </c>
      <c r="I1969" s="52" t="str">
        <f t="shared" si="122"/>
        <v/>
      </c>
      <c r="J1969" s="34">
        <f>IF(AND(A1969&lt;&gt;"",ISTEXT(A1969),COUNTIFS(Processos!$AS$10:$AS$509,"="&amp;SUBSTITUTE(SUBSTITUTE(SUBSTITUTE("P:"&amp;A1969,"~","~~"),"*","~*"),"?","~?"))=1),(IF(ISNA(MATCH(SUBSTITUTE(SUBSTITUTE(SUBSTITUTE("P:"&amp;A1969,"~","~~"),"*","~*"),"?","~?"),Processos!$AS$10:$AS$509,0)),9,INDEX(Processos!$AM$10:$AM$509,MATCH(SUBSTITUTE(SUBSTITUTE(SUBSTITUTE("P:"&amp;A1969,"~","~~"),"*","~*"),"?","~?"),Processos!$AS$10:$AS$509,0)))-9),0)</f>
        <v>0</v>
      </c>
      <c r="K1969" s="34" t="str">
        <f t="shared" si="123"/>
        <v/>
      </c>
      <c r="L1969" s="14">
        <f>ROW()</f>
        <v>1969</v>
      </c>
    </row>
    <row r="1970" spans="1:12" ht="60" customHeight="1">
      <c r="A1970" s="41"/>
      <c r="B1970" s="43"/>
      <c r="C1970" s="44"/>
      <c r="D1970" s="51"/>
      <c r="E1970" s="44"/>
      <c r="F1970" s="44"/>
      <c r="G1970" s="34">
        <f t="shared" si="120"/>
        <v>0</v>
      </c>
      <c r="H1970" s="34" t="str">
        <f t="shared" si="121"/>
        <v/>
      </c>
      <c r="I1970" s="52" t="str">
        <f t="shared" si="122"/>
        <v/>
      </c>
      <c r="J1970" s="34">
        <f>IF(AND(A1970&lt;&gt;"",ISTEXT(A1970),COUNTIFS(Processos!$AS$10:$AS$509,"="&amp;SUBSTITUTE(SUBSTITUTE(SUBSTITUTE("P:"&amp;A1970,"~","~~"),"*","~*"),"?","~?"))=1),(IF(ISNA(MATCH(SUBSTITUTE(SUBSTITUTE(SUBSTITUTE("P:"&amp;A1970,"~","~~"),"*","~*"),"?","~?"),Processos!$AS$10:$AS$509,0)),9,INDEX(Processos!$AM$10:$AM$509,MATCH(SUBSTITUTE(SUBSTITUTE(SUBSTITUTE("P:"&amp;A1970,"~","~~"),"*","~*"),"?","~?"),Processos!$AS$10:$AS$509,0)))-9),0)</f>
        <v>0</v>
      </c>
      <c r="K1970" s="34" t="str">
        <f t="shared" si="123"/>
        <v/>
      </c>
      <c r="L1970" s="14">
        <f>ROW()</f>
        <v>1970</v>
      </c>
    </row>
    <row r="1971" spans="1:12" ht="60" customHeight="1">
      <c r="A1971" s="41"/>
      <c r="B1971" s="43"/>
      <c r="C1971" s="44"/>
      <c r="D1971" s="51"/>
      <c r="E1971" s="44"/>
      <c r="F1971" s="44"/>
      <c r="G1971" s="34">
        <f t="shared" si="120"/>
        <v>0</v>
      </c>
      <c r="H1971" s="34" t="str">
        <f t="shared" si="121"/>
        <v/>
      </c>
      <c r="I1971" s="52" t="str">
        <f t="shared" si="122"/>
        <v/>
      </c>
      <c r="J1971" s="34">
        <f>IF(AND(A1971&lt;&gt;"",ISTEXT(A1971),COUNTIFS(Processos!$AS$10:$AS$509,"="&amp;SUBSTITUTE(SUBSTITUTE(SUBSTITUTE("P:"&amp;A1971,"~","~~"),"*","~*"),"?","~?"))=1),(IF(ISNA(MATCH(SUBSTITUTE(SUBSTITUTE(SUBSTITUTE("P:"&amp;A1971,"~","~~"),"*","~*"),"?","~?"),Processos!$AS$10:$AS$509,0)),9,INDEX(Processos!$AM$10:$AM$509,MATCH(SUBSTITUTE(SUBSTITUTE(SUBSTITUTE("P:"&amp;A1971,"~","~~"),"*","~*"),"?","~?"),Processos!$AS$10:$AS$509,0)))-9),0)</f>
        <v>0</v>
      </c>
      <c r="K1971" s="34" t="str">
        <f t="shared" si="123"/>
        <v/>
      </c>
      <c r="L1971" s="14">
        <f>ROW()</f>
        <v>1971</v>
      </c>
    </row>
    <row r="1972" spans="1:12" ht="60" customHeight="1">
      <c r="A1972" s="41"/>
      <c r="B1972" s="43"/>
      <c r="C1972" s="44"/>
      <c r="D1972" s="51"/>
      <c r="E1972" s="44"/>
      <c r="F1972" s="44"/>
      <c r="G1972" s="34">
        <f t="shared" si="120"/>
        <v>0</v>
      </c>
      <c r="H1972" s="34" t="str">
        <f t="shared" si="121"/>
        <v/>
      </c>
      <c r="I1972" s="52" t="str">
        <f t="shared" si="122"/>
        <v/>
      </c>
      <c r="J1972" s="34">
        <f>IF(AND(A1972&lt;&gt;"",ISTEXT(A1972),COUNTIFS(Processos!$AS$10:$AS$509,"="&amp;SUBSTITUTE(SUBSTITUTE(SUBSTITUTE("P:"&amp;A1972,"~","~~"),"*","~*"),"?","~?"))=1),(IF(ISNA(MATCH(SUBSTITUTE(SUBSTITUTE(SUBSTITUTE("P:"&amp;A1972,"~","~~"),"*","~*"),"?","~?"),Processos!$AS$10:$AS$509,0)),9,INDEX(Processos!$AM$10:$AM$509,MATCH(SUBSTITUTE(SUBSTITUTE(SUBSTITUTE("P:"&amp;A1972,"~","~~"),"*","~*"),"?","~?"),Processos!$AS$10:$AS$509,0)))-9),0)</f>
        <v>0</v>
      </c>
      <c r="K1972" s="34" t="str">
        <f t="shared" si="123"/>
        <v/>
      </c>
      <c r="L1972" s="14">
        <f>ROW()</f>
        <v>1972</v>
      </c>
    </row>
    <row r="1973" spans="1:12" ht="60" customHeight="1">
      <c r="A1973" s="41"/>
      <c r="B1973" s="43"/>
      <c r="C1973" s="44"/>
      <c r="D1973" s="51"/>
      <c r="E1973" s="44"/>
      <c r="F1973" s="44"/>
      <c r="G1973" s="34">
        <f t="shared" si="120"/>
        <v>0</v>
      </c>
      <c r="H1973" s="34" t="str">
        <f t="shared" si="121"/>
        <v/>
      </c>
      <c r="I1973" s="52" t="str">
        <f t="shared" si="122"/>
        <v/>
      </c>
      <c r="J1973" s="34">
        <f>IF(AND(A1973&lt;&gt;"",ISTEXT(A1973),COUNTIFS(Processos!$AS$10:$AS$509,"="&amp;SUBSTITUTE(SUBSTITUTE(SUBSTITUTE("P:"&amp;A1973,"~","~~"),"*","~*"),"?","~?"))=1),(IF(ISNA(MATCH(SUBSTITUTE(SUBSTITUTE(SUBSTITUTE("P:"&amp;A1973,"~","~~"),"*","~*"),"?","~?"),Processos!$AS$10:$AS$509,0)),9,INDEX(Processos!$AM$10:$AM$509,MATCH(SUBSTITUTE(SUBSTITUTE(SUBSTITUTE("P:"&amp;A1973,"~","~~"),"*","~*"),"?","~?"),Processos!$AS$10:$AS$509,0)))-9),0)</f>
        <v>0</v>
      </c>
      <c r="K1973" s="34" t="str">
        <f t="shared" si="123"/>
        <v/>
      </c>
      <c r="L1973" s="14">
        <f>ROW()</f>
        <v>1973</v>
      </c>
    </row>
    <row r="1974" spans="1:12" ht="60" customHeight="1">
      <c r="A1974" s="41"/>
      <c r="B1974" s="43"/>
      <c r="C1974" s="44"/>
      <c r="D1974" s="51"/>
      <c r="E1974" s="44"/>
      <c r="F1974" s="44"/>
      <c r="G1974" s="34">
        <f t="shared" si="120"/>
        <v>0</v>
      </c>
      <c r="H1974" s="34" t="str">
        <f t="shared" si="121"/>
        <v/>
      </c>
      <c r="I1974" s="52" t="str">
        <f t="shared" si="122"/>
        <v/>
      </c>
      <c r="J1974" s="34">
        <f>IF(AND(A1974&lt;&gt;"",ISTEXT(A1974),COUNTIFS(Processos!$AS$10:$AS$509,"="&amp;SUBSTITUTE(SUBSTITUTE(SUBSTITUTE("P:"&amp;A1974,"~","~~"),"*","~*"),"?","~?"))=1),(IF(ISNA(MATCH(SUBSTITUTE(SUBSTITUTE(SUBSTITUTE("P:"&amp;A1974,"~","~~"),"*","~*"),"?","~?"),Processos!$AS$10:$AS$509,0)),9,INDEX(Processos!$AM$10:$AM$509,MATCH(SUBSTITUTE(SUBSTITUTE(SUBSTITUTE("P:"&amp;A1974,"~","~~"),"*","~*"),"?","~?"),Processos!$AS$10:$AS$509,0)))-9),0)</f>
        <v>0</v>
      </c>
      <c r="K1974" s="34" t="str">
        <f t="shared" si="123"/>
        <v/>
      </c>
      <c r="L1974" s="14">
        <f>ROW()</f>
        <v>1974</v>
      </c>
    </row>
    <row r="1975" spans="1:12" ht="60" customHeight="1">
      <c r="A1975" s="41"/>
      <c r="B1975" s="43"/>
      <c r="C1975" s="44"/>
      <c r="D1975" s="51"/>
      <c r="E1975" s="44"/>
      <c r="F1975" s="44"/>
      <c r="G1975" s="34">
        <f t="shared" si="120"/>
        <v>0</v>
      </c>
      <c r="H1975" s="34" t="str">
        <f t="shared" si="121"/>
        <v/>
      </c>
      <c r="I1975" s="52" t="str">
        <f t="shared" si="122"/>
        <v/>
      </c>
      <c r="J1975" s="34">
        <f>IF(AND(A1975&lt;&gt;"",ISTEXT(A1975),COUNTIFS(Processos!$AS$10:$AS$509,"="&amp;SUBSTITUTE(SUBSTITUTE(SUBSTITUTE("P:"&amp;A1975,"~","~~"),"*","~*"),"?","~?"))=1),(IF(ISNA(MATCH(SUBSTITUTE(SUBSTITUTE(SUBSTITUTE("P:"&amp;A1975,"~","~~"),"*","~*"),"?","~?"),Processos!$AS$10:$AS$509,0)),9,INDEX(Processos!$AM$10:$AM$509,MATCH(SUBSTITUTE(SUBSTITUTE(SUBSTITUTE("P:"&amp;A1975,"~","~~"),"*","~*"),"?","~?"),Processos!$AS$10:$AS$509,0)))-9),0)</f>
        <v>0</v>
      </c>
      <c r="K1975" s="34" t="str">
        <f t="shared" si="123"/>
        <v/>
      </c>
      <c r="L1975" s="14">
        <f>ROW()</f>
        <v>1975</v>
      </c>
    </row>
    <row r="1976" spans="1:12" ht="60" customHeight="1">
      <c r="A1976" s="41"/>
      <c r="B1976" s="43"/>
      <c r="C1976" s="44"/>
      <c r="D1976" s="51"/>
      <c r="E1976" s="44"/>
      <c r="F1976" s="44"/>
      <c r="G1976" s="34">
        <f t="shared" si="120"/>
        <v>0</v>
      </c>
      <c r="H1976" s="34" t="str">
        <f t="shared" si="121"/>
        <v/>
      </c>
      <c r="I1976" s="52" t="str">
        <f t="shared" si="122"/>
        <v/>
      </c>
      <c r="J1976" s="34">
        <f>IF(AND(A1976&lt;&gt;"",ISTEXT(A1976),COUNTIFS(Processos!$AS$10:$AS$509,"="&amp;SUBSTITUTE(SUBSTITUTE(SUBSTITUTE("P:"&amp;A1976,"~","~~"),"*","~*"),"?","~?"))=1),(IF(ISNA(MATCH(SUBSTITUTE(SUBSTITUTE(SUBSTITUTE("P:"&amp;A1976,"~","~~"),"*","~*"),"?","~?"),Processos!$AS$10:$AS$509,0)),9,INDEX(Processos!$AM$10:$AM$509,MATCH(SUBSTITUTE(SUBSTITUTE(SUBSTITUTE("P:"&amp;A1976,"~","~~"),"*","~*"),"?","~?"),Processos!$AS$10:$AS$509,0)))-9),0)</f>
        <v>0</v>
      </c>
      <c r="K1976" s="34" t="str">
        <f t="shared" si="123"/>
        <v/>
      </c>
      <c r="L1976" s="14">
        <f>ROW()</f>
        <v>1976</v>
      </c>
    </row>
    <row r="1977" spans="1:12" ht="60" customHeight="1">
      <c r="A1977" s="41"/>
      <c r="B1977" s="43"/>
      <c r="C1977" s="44"/>
      <c r="D1977" s="51"/>
      <c r="E1977" s="44"/>
      <c r="F1977" s="44"/>
      <c r="G1977" s="34">
        <f t="shared" si="120"/>
        <v>0</v>
      </c>
      <c r="H1977" s="34" t="str">
        <f t="shared" si="121"/>
        <v/>
      </c>
      <c r="I1977" s="52" t="str">
        <f t="shared" si="122"/>
        <v/>
      </c>
      <c r="J1977" s="34">
        <f>IF(AND(A1977&lt;&gt;"",ISTEXT(A1977),COUNTIFS(Processos!$AS$10:$AS$509,"="&amp;SUBSTITUTE(SUBSTITUTE(SUBSTITUTE("P:"&amp;A1977,"~","~~"),"*","~*"),"?","~?"))=1),(IF(ISNA(MATCH(SUBSTITUTE(SUBSTITUTE(SUBSTITUTE("P:"&amp;A1977,"~","~~"),"*","~*"),"?","~?"),Processos!$AS$10:$AS$509,0)),9,INDEX(Processos!$AM$10:$AM$509,MATCH(SUBSTITUTE(SUBSTITUTE(SUBSTITUTE("P:"&amp;A1977,"~","~~"),"*","~*"),"?","~?"),Processos!$AS$10:$AS$509,0)))-9),0)</f>
        <v>0</v>
      </c>
      <c r="K1977" s="34" t="str">
        <f t="shared" si="123"/>
        <v/>
      </c>
      <c r="L1977" s="14">
        <f>ROW()</f>
        <v>1977</v>
      </c>
    </row>
    <row r="1978" spans="1:12" ht="60" customHeight="1">
      <c r="A1978" s="41"/>
      <c r="B1978" s="43"/>
      <c r="C1978" s="44"/>
      <c r="D1978" s="51"/>
      <c r="E1978" s="44"/>
      <c r="F1978" s="44"/>
      <c r="G1978" s="34">
        <f t="shared" si="120"/>
        <v>0</v>
      </c>
      <c r="H1978" s="34" t="str">
        <f t="shared" si="121"/>
        <v/>
      </c>
      <c r="I1978" s="52" t="str">
        <f t="shared" si="122"/>
        <v/>
      </c>
      <c r="J1978" s="34">
        <f>IF(AND(A1978&lt;&gt;"",ISTEXT(A1978),COUNTIFS(Processos!$AS$10:$AS$509,"="&amp;SUBSTITUTE(SUBSTITUTE(SUBSTITUTE("P:"&amp;A1978,"~","~~"),"*","~*"),"?","~?"))=1),(IF(ISNA(MATCH(SUBSTITUTE(SUBSTITUTE(SUBSTITUTE("P:"&amp;A1978,"~","~~"),"*","~*"),"?","~?"),Processos!$AS$10:$AS$509,0)),9,INDEX(Processos!$AM$10:$AM$509,MATCH(SUBSTITUTE(SUBSTITUTE(SUBSTITUTE("P:"&amp;A1978,"~","~~"),"*","~*"),"?","~?"),Processos!$AS$10:$AS$509,0)))-9),0)</f>
        <v>0</v>
      </c>
      <c r="K1978" s="34" t="str">
        <f t="shared" si="123"/>
        <v/>
      </c>
      <c r="L1978" s="14">
        <f>ROW()</f>
        <v>1978</v>
      </c>
    </row>
    <row r="1979" spans="1:12" ht="60" customHeight="1">
      <c r="A1979" s="41"/>
      <c r="B1979" s="43"/>
      <c r="C1979" s="44"/>
      <c r="D1979" s="51"/>
      <c r="E1979" s="44"/>
      <c r="F1979" s="44"/>
      <c r="G1979" s="34">
        <f t="shared" si="120"/>
        <v>0</v>
      </c>
      <c r="H1979" s="34" t="str">
        <f t="shared" si="121"/>
        <v/>
      </c>
      <c r="I1979" s="52" t="str">
        <f t="shared" si="122"/>
        <v/>
      </c>
      <c r="J1979" s="34">
        <f>IF(AND(A1979&lt;&gt;"",ISTEXT(A1979),COUNTIFS(Processos!$AS$10:$AS$509,"="&amp;SUBSTITUTE(SUBSTITUTE(SUBSTITUTE("P:"&amp;A1979,"~","~~"),"*","~*"),"?","~?"))=1),(IF(ISNA(MATCH(SUBSTITUTE(SUBSTITUTE(SUBSTITUTE("P:"&amp;A1979,"~","~~"),"*","~*"),"?","~?"),Processos!$AS$10:$AS$509,0)),9,INDEX(Processos!$AM$10:$AM$509,MATCH(SUBSTITUTE(SUBSTITUTE(SUBSTITUTE("P:"&amp;A1979,"~","~~"),"*","~*"),"?","~?"),Processos!$AS$10:$AS$509,0)))-9),0)</f>
        <v>0</v>
      </c>
      <c r="K1979" s="34" t="str">
        <f t="shared" si="123"/>
        <v/>
      </c>
      <c r="L1979" s="14">
        <f>ROW()</f>
        <v>1979</v>
      </c>
    </row>
    <row r="1980" spans="1:12" ht="60" customHeight="1">
      <c r="A1980" s="41"/>
      <c r="B1980" s="43"/>
      <c r="C1980" s="44"/>
      <c r="D1980" s="51"/>
      <c r="E1980" s="44"/>
      <c r="F1980" s="44"/>
      <c r="G1980" s="34">
        <f t="shared" si="120"/>
        <v>0</v>
      </c>
      <c r="H1980" s="34" t="str">
        <f t="shared" si="121"/>
        <v/>
      </c>
      <c r="I1980" s="52" t="str">
        <f t="shared" si="122"/>
        <v/>
      </c>
      <c r="J1980" s="34">
        <f>IF(AND(A1980&lt;&gt;"",ISTEXT(A1980),COUNTIFS(Processos!$AS$10:$AS$509,"="&amp;SUBSTITUTE(SUBSTITUTE(SUBSTITUTE("P:"&amp;A1980,"~","~~"),"*","~*"),"?","~?"))=1),(IF(ISNA(MATCH(SUBSTITUTE(SUBSTITUTE(SUBSTITUTE("P:"&amp;A1980,"~","~~"),"*","~*"),"?","~?"),Processos!$AS$10:$AS$509,0)),9,INDEX(Processos!$AM$10:$AM$509,MATCH(SUBSTITUTE(SUBSTITUTE(SUBSTITUTE("P:"&amp;A1980,"~","~~"),"*","~*"),"?","~?"),Processos!$AS$10:$AS$509,0)))-9),0)</f>
        <v>0</v>
      </c>
      <c r="K1980" s="34" t="str">
        <f t="shared" si="123"/>
        <v/>
      </c>
      <c r="L1980" s="14">
        <f>ROW()</f>
        <v>1980</v>
      </c>
    </row>
    <row r="1981" spans="1:12" ht="60" customHeight="1">
      <c r="A1981" s="41"/>
      <c r="B1981" s="43"/>
      <c r="C1981" s="44"/>
      <c r="D1981" s="51"/>
      <c r="E1981" s="44"/>
      <c r="F1981" s="44"/>
      <c r="G1981" s="34">
        <f t="shared" si="120"/>
        <v>0</v>
      </c>
      <c r="H1981" s="34" t="str">
        <f t="shared" si="121"/>
        <v/>
      </c>
      <c r="I1981" s="52" t="str">
        <f t="shared" si="122"/>
        <v/>
      </c>
      <c r="J1981" s="34">
        <f>IF(AND(A1981&lt;&gt;"",ISTEXT(A1981),COUNTIFS(Processos!$AS$10:$AS$509,"="&amp;SUBSTITUTE(SUBSTITUTE(SUBSTITUTE("P:"&amp;A1981,"~","~~"),"*","~*"),"?","~?"))=1),(IF(ISNA(MATCH(SUBSTITUTE(SUBSTITUTE(SUBSTITUTE("P:"&amp;A1981,"~","~~"),"*","~*"),"?","~?"),Processos!$AS$10:$AS$509,0)),9,INDEX(Processos!$AM$10:$AM$509,MATCH(SUBSTITUTE(SUBSTITUTE(SUBSTITUTE("P:"&amp;A1981,"~","~~"),"*","~*"),"?","~?"),Processos!$AS$10:$AS$509,0)))-9),0)</f>
        <v>0</v>
      </c>
      <c r="K1981" s="34" t="str">
        <f t="shared" si="123"/>
        <v/>
      </c>
      <c r="L1981" s="14">
        <f>ROW()</f>
        <v>1981</v>
      </c>
    </row>
    <row r="1982" spans="1:12" ht="60" customHeight="1">
      <c r="A1982" s="41"/>
      <c r="B1982" s="43"/>
      <c r="C1982" s="44"/>
      <c r="D1982" s="51"/>
      <c r="E1982" s="44"/>
      <c r="F1982" s="44"/>
      <c r="G1982" s="34">
        <f t="shared" si="120"/>
        <v>0</v>
      </c>
      <c r="H1982" s="34" t="str">
        <f t="shared" si="121"/>
        <v/>
      </c>
      <c r="I1982" s="52" t="str">
        <f t="shared" si="122"/>
        <v/>
      </c>
      <c r="J1982" s="34">
        <f>IF(AND(A1982&lt;&gt;"",ISTEXT(A1982),COUNTIFS(Processos!$AS$10:$AS$509,"="&amp;SUBSTITUTE(SUBSTITUTE(SUBSTITUTE("P:"&amp;A1982,"~","~~"),"*","~*"),"?","~?"))=1),(IF(ISNA(MATCH(SUBSTITUTE(SUBSTITUTE(SUBSTITUTE("P:"&amp;A1982,"~","~~"),"*","~*"),"?","~?"),Processos!$AS$10:$AS$509,0)),9,INDEX(Processos!$AM$10:$AM$509,MATCH(SUBSTITUTE(SUBSTITUTE(SUBSTITUTE("P:"&amp;A1982,"~","~~"),"*","~*"),"?","~?"),Processos!$AS$10:$AS$509,0)))-9),0)</f>
        <v>0</v>
      </c>
      <c r="K1982" s="34" t="str">
        <f t="shared" si="123"/>
        <v/>
      </c>
      <c r="L1982" s="14">
        <f>ROW()</f>
        <v>1982</v>
      </c>
    </row>
    <row r="1983" spans="1:12" ht="60" customHeight="1">
      <c r="A1983" s="41"/>
      <c r="B1983" s="43"/>
      <c r="C1983" s="44"/>
      <c r="D1983" s="51"/>
      <c r="E1983" s="44"/>
      <c r="F1983" s="44"/>
      <c r="G1983" s="34">
        <f t="shared" si="120"/>
        <v>0</v>
      </c>
      <c r="H1983" s="34" t="str">
        <f t="shared" si="121"/>
        <v/>
      </c>
      <c r="I1983" s="52" t="str">
        <f t="shared" si="122"/>
        <v/>
      </c>
      <c r="J1983" s="34">
        <f>IF(AND(A1983&lt;&gt;"",ISTEXT(A1983),COUNTIFS(Processos!$AS$10:$AS$509,"="&amp;SUBSTITUTE(SUBSTITUTE(SUBSTITUTE("P:"&amp;A1983,"~","~~"),"*","~*"),"?","~?"))=1),(IF(ISNA(MATCH(SUBSTITUTE(SUBSTITUTE(SUBSTITUTE("P:"&amp;A1983,"~","~~"),"*","~*"),"?","~?"),Processos!$AS$10:$AS$509,0)),9,INDEX(Processos!$AM$10:$AM$509,MATCH(SUBSTITUTE(SUBSTITUTE(SUBSTITUTE("P:"&amp;A1983,"~","~~"),"*","~*"),"?","~?"),Processos!$AS$10:$AS$509,0)))-9),0)</f>
        <v>0</v>
      </c>
      <c r="K1983" s="34" t="str">
        <f t="shared" si="123"/>
        <v/>
      </c>
      <c r="L1983" s="14">
        <f>ROW()</f>
        <v>1983</v>
      </c>
    </row>
    <row r="1984" spans="1:12" ht="60" customHeight="1">
      <c r="A1984" s="41"/>
      <c r="B1984" s="43"/>
      <c r="C1984" s="44"/>
      <c r="D1984" s="51"/>
      <c r="E1984" s="44"/>
      <c r="F1984" s="44"/>
      <c r="G1984" s="34">
        <f t="shared" si="120"/>
        <v>0</v>
      </c>
      <c r="H1984" s="34" t="str">
        <f t="shared" si="121"/>
        <v/>
      </c>
      <c r="I1984" s="52" t="str">
        <f t="shared" si="122"/>
        <v/>
      </c>
      <c r="J1984" s="34">
        <f>IF(AND(A1984&lt;&gt;"",ISTEXT(A1984),COUNTIFS(Processos!$AS$10:$AS$509,"="&amp;SUBSTITUTE(SUBSTITUTE(SUBSTITUTE("P:"&amp;A1984,"~","~~"),"*","~*"),"?","~?"))=1),(IF(ISNA(MATCH(SUBSTITUTE(SUBSTITUTE(SUBSTITUTE("P:"&amp;A1984,"~","~~"),"*","~*"),"?","~?"),Processos!$AS$10:$AS$509,0)),9,INDEX(Processos!$AM$10:$AM$509,MATCH(SUBSTITUTE(SUBSTITUTE(SUBSTITUTE("P:"&amp;A1984,"~","~~"),"*","~*"),"?","~?"),Processos!$AS$10:$AS$509,0)))-9),0)</f>
        <v>0</v>
      </c>
      <c r="K1984" s="34" t="str">
        <f t="shared" si="123"/>
        <v/>
      </c>
      <c r="L1984" s="14">
        <f>ROW()</f>
        <v>1984</v>
      </c>
    </row>
    <row r="1985" spans="1:12" ht="60" customHeight="1">
      <c r="A1985" s="41"/>
      <c r="B1985" s="43"/>
      <c r="C1985" s="44"/>
      <c r="D1985" s="51"/>
      <c r="E1985" s="44"/>
      <c r="F1985" s="44"/>
      <c r="G1985" s="34">
        <f t="shared" si="120"/>
        <v>0</v>
      </c>
      <c r="H1985" s="34" t="str">
        <f t="shared" si="121"/>
        <v/>
      </c>
      <c r="I1985" s="52" t="str">
        <f t="shared" si="122"/>
        <v/>
      </c>
      <c r="J1985" s="34">
        <f>IF(AND(A1985&lt;&gt;"",ISTEXT(A1985),COUNTIFS(Processos!$AS$10:$AS$509,"="&amp;SUBSTITUTE(SUBSTITUTE(SUBSTITUTE("P:"&amp;A1985,"~","~~"),"*","~*"),"?","~?"))=1),(IF(ISNA(MATCH(SUBSTITUTE(SUBSTITUTE(SUBSTITUTE("P:"&amp;A1985,"~","~~"),"*","~*"),"?","~?"),Processos!$AS$10:$AS$509,0)),9,INDEX(Processos!$AM$10:$AM$509,MATCH(SUBSTITUTE(SUBSTITUTE(SUBSTITUTE("P:"&amp;A1985,"~","~~"),"*","~*"),"?","~?"),Processos!$AS$10:$AS$509,0)))-9),0)</f>
        <v>0</v>
      </c>
      <c r="K1985" s="34" t="str">
        <f t="shared" si="123"/>
        <v/>
      </c>
      <c r="L1985" s="14">
        <f>ROW()</f>
        <v>1985</v>
      </c>
    </row>
    <row r="1986" spans="1:12" ht="60" customHeight="1">
      <c r="A1986" s="41"/>
      <c r="B1986" s="43"/>
      <c r="C1986" s="44"/>
      <c r="D1986" s="51"/>
      <c r="E1986" s="44"/>
      <c r="F1986" s="44"/>
      <c r="G1986" s="34">
        <f t="shared" si="120"/>
        <v>0</v>
      </c>
      <c r="H1986" s="34" t="str">
        <f t="shared" si="121"/>
        <v/>
      </c>
      <c r="I1986" s="52" t="str">
        <f t="shared" si="122"/>
        <v/>
      </c>
      <c r="J1986" s="34">
        <f>IF(AND(A1986&lt;&gt;"",ISTEXT(A1986),COUNTIFS(Processos!$AS$10:$AS$509,"="&amp;SUBSTITUTE(SUBSTITUTE(SUBSTITUTE("P:"&amp;A1986,"~","~~"),"*","~*"),"?","~?"))=1),(IF(ISNA(MATCH(SUBSTITUTE(SUBSTITUTE(SUBSTITUTE("P:"&amp;A1986,"~","~~"),"*","~*"),"?","~?"),Processos!$AS$10:$AS$509,0)),9,INDEX(Processos!$AM$10:$AM$509,MATCH(SUBSTITUTE(SUBSTITUTE(SUBSTITUTE("P:"&amp;A1986,"~","~~"),"*","~*"),"?","~?"),Processos!$AS$10:$AS$509,0)))-9),0)</f>
        <v>0</v>
      </c>
      <c r="K1986" s="34" t="str">
        <f t="shared" si="123"/>
        <v/>
      </c>
      <c r="L1986" s="14">
        <f>ROW()</f>
        <v>1986</v>
      </c>
    </row>
    <row r="1987" spans="1:12" ht="60" customHeight="1">
      <c r="A1987" s="41"/>
      <c r="B1987" s="43"/>
      <c r="C1987" s="44"/>
      <c r="D1987" s="51"/>
      <c r="E1987" s="44"/>
      <c r="F1987" s="44"/>
      <c r="G1987" s="34">
        <f t="shared" si="120"/>
        <v>0</v>
      </c>
      <c r="H1987" s="34" t="str">
        <f t="shared" si="121"/>
        <v/>
      </c>
      <c r="I1987" s="52" t="str">
        <f t="shared" si="122"/>
        <v/>
      </c>
      <c r="J1987" s="34">
        <f>IF(AND(A1987&lt;&gt;"",ISTEXT(A1987),COUNTIFS(Processos!$AS$10:$AS$509,"="&amp;SUBSTITUTE(SUBSTITUTE(SUBSTITUTE("P:"&amp;A1987,"~","~~"),"*","~*"),"?","~?"))=1),(IF(ISNA(MATCH(SUBSTITUTE(SUBSTITUTE(SUBSTITUTE("P:"&amp;A1987,"~","~~"),"*","~*"),"?","~?"),Processos!$AS$10:$AS$509,0)),9,INDEX(Processos!$AM$10:$AM$509,MATCH(SUBSTITUTE(SUBSTITUTE(SUBSTITUTE("P:"&amp;A1987,"~","~~"),"*","~*"),"?","~?"),Processos!$AS$10:$AS$509,0)))-9),0)</f>
        <v>0</v>
      </c>
      <c r="K1987" s="34" t="str">
        <f t="shared" si="123"/>
        <v/>
      </c>
      <c r="L1987" s="14">
        <f>ROW()</f>
        <v>1987</v>
      </c>
    </row>
    <row r="1988" spans="1:12" ht="60" customHeight="1">
      <c r="A1988" s="41"/>
      <c r="B1988" s="43"/>
      <c r="C1988" s="44"/>
      <c r="D1988" s="51"/>
      <c r="E1988" s="44"/>
      <c r="F1988" s="44"/>
      <c r="G1988" s="34">
        <f t="shared" si="120"/>
        <v>0</v>
      </c>
      <c r="H1988" s="34" t="str">
        <f t="shared" si="121"/>
        <v/>
      </c>
      <c r="I1988" s="52" t="str">
        <f t="shared" si="122"/>
        <v/>
      </c>
      <c r="J1988" s="34">
        <f>IF(AND(A1988&lt;&gt;"",ISTEXT(A1988),COUNTIFS(Processos!$AS$10:$AS$509,"="&amp;SUBSTITUTE(SUBSTITUTE(SUBSTITUTE("P:"&amp;A1988,"~","~~"),"*","~*"),"?","~?"))=1),(IF(ISNA(MATCH(SUBSTITUTE(SUBSTITUTE(SUBSTITUTE("P:"&amp;A1988,"~","~~"),"*","~*"),"?","~?"),Processos!$AS$10:$AS$509,0)),9,INDEX(Processos!$AM$10:$AM$509,MATCH(SUBSTITUTE(SUBSTITUTE(SUBSTITUTE("P:"&amp;A1988,"~","~~"),"*","~*"),"?","~?"),Processos!$AS$10:$AS$509,0)))-9),0)</f>
        <v>0</v>
      </c>
      <c r="K1988" s="34" t="str">
        <f t="shared" si="123"/>
        <v/>
      </c>
      <c r="L1988" s="14">
        <f>ROW()</f>
        <v>1988</v>
      </c>
    </row>
    <row r="1989" spans="1:12" ht="60" customHeight="1">
      <c r="A1989" s="41"/>
      <c r="B1989" s="43"/>
      <c r="C1989" s="44"/>
      <c r="D1989" s="51"/>
      <c r="E1989" s="44"/>
      <c r="F1989" s="44"/>
      <c r="G1989" s="34">
        <f t="shared" si="120"/>
        <v>0</v>
      </c>
      <c r="H1989" s="34" t="str">
        <f t="shared" si="121"/>
        <v/>
      </c>
      <c r="I1989" s="52" t="str">
        <f t="shared" si="122"/>
        <v/>
      </c>
      <c r="J1989" s="34">
        <f>IF(AND(A1989&lt;&gt;"",ISTEXT(A1989),COUNTIFS(Processos!$AS$10:$AS$509,"="&amp;SUBSTITUTE(SUBSTITUTE(SUBSTITUTE("P:"&amp;A1989,"~","~~"),"*","~*"),"?","~?"))=1),(IF(ISNA(MATCH(SUBSTITUTE(SUBSTITUTE(SUBSTITUTE("P:"&amp;A1989,"~","~~"),"*","~*"),"?","~?"),Processos!$AS$10:$AS$509,0)),9,INDEX(Processos!$AM$10:$AM$509,MATCH(SUBSTITUTE(SUBSTITUTE(SUBSTITUTE("P:"&amp;A1989,"~","~~"),"*","~*"),"?","~?"),Processos!$AS$10:$AS$509,0)))-9),0)</f>
        <v>0</v>
      </c>
      <c r="K1989" s="34" t="str">
        <f t="shared" si="123"/>
        <v/>
      </c>
      <c r="L1989" s="14">
        <f>ROW()</f>
        <v>1989</v>
      </c>
    </row>
    <row r="1990" spans="1:12" ht="60" customHeight="1">
      <c r="A1990" s="41"/>
      <c r="B1990" s="43"/>
      <c r="C1990" s="44"/>
      <c r="D1990" s="51"/>
      <c r="E1990" s="44"/>
      <c r="F1990" s="44"/>
      <c r="G1990" s="34">
        <f t="shared" si="120"/>
        <v>0</v>
      </c>
      <c r="H1990" s="34" t="str">
        <f t="shared" si="121"/>
        <v/>
      </c>
      <c r="I1990" s="52" t="str">
        <f t="shared" si="122"/>
        <v/>
      </c>
      <c r="J1990" s="34">
        <f>IF(AND(A1990&lt;&gt;"",ISTEXT(A1990),COUNTIFS(Processos!$AS$10:$AS$509,"="&amp;SUBSTITUTE(SUBSTITUTE(SUBSTITUTE("P:"&amp;A1990,"~","~~"),"*","~*"),"?","~?"))=1),(IF(ISNA(MATCH(SUBSTITUTE(SUBSTITUTE(SUBSTITUTE("P:"&amp;A1990,"~","~~"),"*","~*"),"?","~?"),Processos!$AS$10:$AS$509,0)),9,INDEX(Processos!$AM$10:$AM$509,MATCH(SUBSTITUTE(SUBSTITUTE(SUBSTITUTE("P:"&amp;A1990,"~","~~"),"*","~*"),"?","~?"),Processos!$AS$10:$AS$509,0)))-9),0)</f>
        <v>0</v>
      </c>
      <c r="K1990" s="34" t="str">
        <f t="shared" si="123"/>
        <v/>
      </c>
      <c r="L1990" s="14">
        <f>ROW()</f>
        <v>1990</v>
      </c>
    </row>
    <row r="1991" spans="1:12" ht="60" customHeight="1">
      <c r="A1991" s="41"/>
      <c r="B1991" s="43"/>
      <c r="C1991" s="44"/>
      <c r="D1991" s="51"/>
      <c r="E1991" s="44"/>
      <c r="F1991" s="44"/>
      <c r="G1991" s="34">
        <f t="shared" si="120"/>
        <v>0</v>
      </c>
      <c r="H1991" s="34" t="str">
        <f t="shared" si="121"/>
        <v/>
      </c>
      <c r="I1991" s="52" t="str">
        <f t="shared" si="122"/>
        <v/>
      </c>
      <c r="J1991" s="34">
        <f>IF(AND(A1991&lt;&gt;"",ISTEXT(A1991),COUNTIFS(Processos!$AS$10:$AS$509,"="&amp;SUBSTITUTE(SUBSTITUTE(SUBSTITUTE("P:"&amp;A1991,"~","~~"),"*","~*"),"?","~?"))=1),(IF(ISNA(MATCH(SUBSTITUTE(SUBSTITUTE(SUBSTITUTE("P:"&amp;A1991,"~","~~"),"*","~*"),"?","~?"),Processos!$AS$10:$AS$509,0)),9,INDEX(Processos!$AM$10:$AM$509,MATCH(SUBSTITUTE(SUBSTITUTE(SUBSTITUTE("P:"&amp;A1991,"~","~~"),"*","~*"),"?","~?"),Processos!$AS$10:$AS$509,0)))-9),0)</f>
        <v>0</v>
      </c>
      <c r="K1991" s="34" t="str">
        <f t="shared" si="123"/>
        <v/>
      </c>
      <c r="L1991" s="14">
        <f>ROW()</f>
        <v>1991</v>
      </c>
    </row>
    <row r="1992" spans="1:12" ht="60" customHeight="1">
      <c r="A1992" s="41"/>
      <c r="B1992" s="43"/>
      <c r="C1992" s="44"/>
      <c r="D1992" s="51"/>
      <c r="E1992" s="44"/>
      <c r="F1992" s="44"/>
      <c r="G1992" s="34">
        <f t="shared" si="120"/>
        <v>0</v>
      </c>
      <c r="H1992" s="34" t="str">
        <f t="shared" si="121"/>
        <v/>
      </c>
      <c r="I1992" s="52" t="str">
        <f t="shared" si="122"/>
        <v/>
      </c>
      <c r="J1992" s="34">
        <f>IF(AND(A1992&lt;&gt;"",ISTEXT(A1992),COUNTIFS(Processos!$AS$10:$AS$509,"="&amp;SUBSTITUTE(SUBSTITUTE(SUBSTITUTE("P:"&amp;A1992,"~","~~"),"*","~*"),"?","~?"))=1),(IF(ISNA(MATCH(SUBSTITUTE(SUBSTITUTE(SUBSTITUTE("P:"&amp;A1992,"~","~~"),"*","~*"),"?","~?"),Processos!$AS$10:$AS$509,0)),9,INDEX(Processos!$AM$10:$AM$509,MATCH(SUBSTITUTE(SUBSTITUTE(SUBSTITUTE("P:"&amp;A1992,"~","~~"),"*","~*"),"?","~?"),Processos!$AS$10:$AS$509,0)))-9),0)</f>
        <v>0</v>
      </c>
      <c r="K1992" s="34" t="str">
        <f t="shared" si="123"/>
        <v/>
      </c>
      <c r="L1992" s="14">
        <f>ROW()</f>
        <v>1992</v>
      </c>
    </row>
    <row r="1993" spans="1:12" ht="60" customHeight="1">
      <c r="A1993" s="41"/>
      <c r="B1993" s="43"/>
      <c r="C1993" s="44"/>
      <c r="D1993" s="51"/>
      <c r="E1993" s="44"/>
      <c r="F1993" s="44"/>
      <c r="G1993" s="34">
        <f t="shared" si="120"/>
        <v>0</v>
      </c>
      <c r="H1993" s="34" t="str">
        <f t="shared" si="121"/>
        <v/>
      </c>
      <c r="I1993" s="52" t="str">
        <f t="shared" si="122"/>
        <v/>
      </c>
      <c r="J1993" s="34">
        <f>IF(AND(A1993&lt;&gt;"",ISTEXT(A1993),COUNTIFS(Processos!$AS$10:$AS$509,"="&amp;SUBSTITUTE(SUBSTITUTE(SUBSTITUTE("P:"&amp;A1993,"~","~~"),"*","~*"),"?","~?"))=1),(IF(ISNA(MATCH(SUBSTITUTE(SUBSTITUTE(SUBSTITUTE("P:"&amp;A1993,"~","~~"),"*","~*"),"?","~?"),Processos!$AS$10:$AS$509,0)),9,INDEX(Processos!$AM$10:$AM$509,MATCH(SUBSTITUTE(SUBSTITUTE(SUBSTITUTE("P:"&amp;A1993,"~","~~"),"*","~*"),"?","~?"),Processos!$AS$10:$AS$509,0)))-9),0)</f>
        <v>0</v>
      </c>
      <c r="K1993" s="34" t="str">
        <f t="shared" si="123"/>
        <v/>
      </c>
      <c r="L1993" s="14">
        <f>ROW()</f>
        <v>1993</v>
      </c>
    </row>
    <row r="1994" spans="1:12" ht="60" customHeight="1">
      <c r="A1994" s="41"/>
      <c r="B1994" s="43"/>
      <c r="C1994" s="44"/>
      <c r="D1994" s="51"/>
      <c r="E1994" s="44"/>
      <c r="F1994" s="44"/>
      <c r="G1994" s="34">
        <f t="shared" ref="G1994:G2009" si="124">IF(AND(J1994&gt;0,OR(B1994="",AND(ISNUMBER(B1994),B1994&gt;=1,B1994&lt;=100000)),ISNUMBER(D1994),D1994&gt;=1,D1994&lt;=100000,C1994&lt;&gt;""),1,0)</f>
        <v>0</v>
      </c>
      <c r="H1994" s="34" t="str">
        <f t="shared" ref="H1994:H2057" si="125">IF(G1994=1,K1994&amp;"|"&amp;D1994,"")</f>
        <v/>
      </c>
      <c r="I1994" s="52" t="str">
        <f t="shared" ref="I1994:I2057" si="126">IF(COUNTA(A1994:F1994)=0,"",IF(A1994="","Selecione o processo",IF(J1994=0,"Processo inexistente, duplicado ou número não textual",IF(B1994="","Informe a data do andamento",IF(C1994="","Descreva o andamento",IF(D1994="","Informe a data e hora do recebimento",IF(OR(NOT(ISNUMBER(B1994)),B1994&lt;1,B1994&gt;100000),"Revise a data do andamento",IF(OR(NOT(ISNUMBER(D1994)),D1994&lt;1,D1994&gt;100000),"Revise a data e hora do recebimento",IF(COUNTIFS($K$10:$K$2009,"="&amp;SUBSTITUTE(SUBSTITUTE(SUBSTITUTE("P:"&amp;A1994,"~","~~"),"*","~*"),"?","~?"),$D$10:$D$2009,D1994,$G$10:$G$2009,1)&gt;1,"Recebimentos empatados: revise a hora ou consolide o registro","")))))))))</f>
        <v/>
      </c>
      <c r="J1994" s="34">
        <f>IF(AND(A1994&lt;&gt;"",ISTEXT(A1994),COUNTIFS(Processos!$AS$10:$AS$509,"="&amp;SUBSTITUTE(SUBSTITUTE(SUBSTITUTE("P:"&amp;A1994,"~","~~"),"*","~*"),"?","~?"))=1),(IF(ISNA(MATCH(SUBSTITUTE(SUBSTITUTE(SUBSTITUTE("P:"&amp;A1994,"~","~~"),"*","~*"),"?","~?"),Processos!$AS$10:$AS$509,0)),9,INDEX(Processos!$AM$10:$AM$509,MATCH(SUBSTITUTE(SUBSTITUTE(SUBSTITUTE("P:"&amp;A1994,"~","~~"),"*","~*"),"?","~?"),Processos!$AS$10:$AS$509,0)))-9),0)</f>
        <v>0</v>
      </c>
      <c r="K1994" s="34" t="str">
        <f t="shared" ref="K1994:K2009" si="127">IF(AND(A1994&lt;&gt;"",ISTEXT(A1994)),"P:"&amp;A1994,"")</f>
        <v/>
      </c>
      <c r="L1994" s="14">
        <f>ROW()</f>
        <v>1994</v>
      </c>
    </row>
    <row r="1995" spans="1:12" ht="60" customHeight="1">
      <c r="A1995" s="41"/>
      <c r="B1995" s="43"/>
      <c r="C1995" s="44"/>
      <c r="D1995" s="51"/>
      <c r="E1995" s="44"/>
      <c r="F1995" s="44"/>
      <c r="G1995" s="34">
        <f t="shared" si="124"/>
        <v>0</v>
      </c>
      <c r="H1995" s="34" t="str">
        <f t="shared" si="125"/>
        <v/>
      </c>
      <c r="I1995" s="52" t="str">
        <f t="shared" si="126"/>
        <v/>
      </c>
      <c r="J1995" s="34">
        <f>IF(AND(A1995&lt;&gt;"",ISTEXT(A1995),COUNTIFS(Processos!$AS$10:$AS$509,"="&amp;SUBSTITUTE(SUBSTITUTE(SUBSTITUTE("P:"&amp;A1995,"~","~~"),"*","~*"),"?","~?"))=1),(IF(ISNA(MATCH(SUBSTITUTE(SUBSTITUTE(SUBSTITUTE("P:"&amp;A1995,"~","~~"),"*","~*"),"?","~?"),Processos!$AS$10:$AS$509,0)),9,INDEX(Processos!$AM$10:$AM$509,MATCH(SUBSTITUTE(SUBSTITUTE(SUBSTITUTE("P:"&amp;A1995,"~","~~"),"*","~*"),"?","~?"),Processos!$AS$10:$AS$509,0)))-9),0)</f>
        <v>0</v>
      </c>
      <c r="K1995" s="34" t="str">
        <f t="shared" si="127"/>
        <v/>
      </c>
      <c r="L1995" s="14">
        <f>ROW()</f>
        <v>1995</v>
      </c>
    </row>
    <row r="1996" spans="1:12" ht="60" customHeight="1">
      <c r="A1996" s="41"/>
      <c r="B1996" s="43"/>
      <c r="C1996" s="44"/>
      <c r="D1996" s="51"/>
      <c r="E1996" s="44"/>
      <c r="F1996" s="44"/>
      <c r="G1996" s="34">
        <f t="shared" si="124"/>
        <v>0</v>
      </c>
      <c r="H1996" s="34" t="str">
        <f t="shared" si="125"/>
        <v/>
      </c>
      <c r="I1996" s="52" t="str">
        <f t="shared" si="126"/>
        <v/>
      </c>
      <c r="J1996" s="34">
        <f>IF(AND(A1996&lt;&gt;"",ISTEXT(A1996),COUNTIFS(Processos!$AS$10:$AS$509,"="&amp;SUBSTITUTE(SUBSTITUTE(SUBSTITUTE("P:"&amp;A1996,"~","~~"),"*","~*"),"?","~?"))=1),(IF(ISNA(MATCH(SUBSTITUTE(SUBSTITUTE(SUBSTITUTE("P:"&amp;A1996,"~","~~"),"*","~*"),"?","~?"),Processos!$AS$10:$AS$509,0)),9,INDEX(Processos!$AM$10:$AM$509,MATCH(SUBSTITUTE(SUBSTITUTE(SUBSTITUTE("P:"&amp;A1996,"~","~~"),"*","~*"),"?","~?"),Processos!$AS$10:$AS$509,0)))-9),0)</f>
        <v>0</v>
      </c>
      <c r="K1996" s="34" t="str">
        <f t="shared" si="127"/>
        <v/>
      </c>
      <c r="L1996" s="14">
        <f>ROW()</f>
        <v>1996</v>
      </c>
    </row>
    <row r="1997" spans="1:12" ht="60" customHeight="1">
      <c r="A1997" s="41"/>
      <c r="B1997" s="43"/>
      <c r="C1997" s="44"/>
      <c r="D1997" s="51"/>
      <c r="E1997" s="44"/>
      <c r="F1997" s="44"/>
      <c r="G1997" s="34">
        <f t="shared" si="124"/>
        <v>0</v>
      </c>
      <c r="H1997" s="34" t="str">
        <f t="shared" si="125"/>
        <v/>
      </c>
      <c r="I1997" s="52" t="str">
        <f t="shared" si="126"/>
        <v/>
      </c>
      <c r="J1997" s="34">
        <f>IF(AND(A1997&lt;&gt;"",ISTEXT(A1997),COUNTIFS(Processos!$AS$10:$AS$509,"="&amp;SUBSTITUTE(SUBSTITUTE(SUBSTITUTE("P:"&amp;A1997,"~","~~"),"*","~*"),"?","~?"))=1),(IF(ISNA(MATCH(SUBSTITUTE(SUBSTITUTE(SUBSTITUTE("P:"&amp;A1997,"~","~~"),"*","~*"),"?","~?"),Processos!$AS$10:$AS$509,0)),9,INDEX(Processos!$AM$10:$AM$509,MATCH(SUBSTITUTE(SUBSTITUTE(SUBSTITUTE("P:"&amp;A1997,"~","~~"),"*","~*"),"?","~?"),Processos!$AS$10:$AS$509,0)))-9),0)</f>
        <v>0</v>
      </c>
      <c r="K1997" s="34" t="str">
        <f t="shared" si="127"/>
        <v/>
      </c>
      <c r="L1997" s="14">
        <f>ROW()</f>
        <v>1997</v>
      </c>
    </row>
    <row r="1998" spans="1:12" ht="60" customHeight="1">
      <c r="A1998" s="41"/>
      <c r="B1998" s="43"/>
      <c r="C1998" s="44"/>
      <c r="D1998" s="51"/>
      <c r="E1998" s="44"/>
      <c r="F1998" s="44"/>
      <c r="G1998" s="34">
        <f t="shared" si="124"/>
        <v>0</v>
      </c>
      <c r="H1998" s="34" t="str">
        <f t="shared" si="125"/>
        <v/>
      </c>
      <c r="I1998" s="52" t="str">
        <f t="shared" si="126"/>
        <v/>
      </c>
      <c r="J1998" s="34">
        <f>IF(AND(A1998&lt;&gt;"",ISTEXT(A1998),COUNTIFS(Processos!$AS$10:$AS$509,"="&amp;SUBSTITUTE(SUBSTITUTE(SUBSTITUTE("P:"&amp;A1998,"~","~~"),"*","~*"),"?","~?"))=1),(IF(ISNA(MATCH(SUBSTITUTE(SUBSTITUTE(SUBSTITUTE("P:"&amp;A1998,"~","~~"),"*","~*"),"?","~?"),Processos!$AS$10:$AS$509,0)),9,INDEX(Processos!$AM$10:$AM$509,MATCH(SUBSTITUTE(SUBSTITUTE(SUBSTITUTE("P:"&amp;A1998,"~","~~"),"*","~*"),"?","~?"),Processos!$AS$10:$AS$509,0)))-9),0)</f>
        <v>0</v>
      </c>
      <c r="K1998" s="34" t="str">
        <f t="shared" si="127"/>
        <v/>
      </c>
      <c r="L1998" s="14">
        <f>ROW()</f>
        <v>1998</v>
      </c>
    </row>
    <row r="1999" spans="1:12" ht="60" customHeight="1">
      <c r="A1999" s="41"/>
      <c r="B1999" s="43"/>
      <c r="C1999" s="44"/>
      <c r="D1999" s="51"/>
      <c r="E1999" s="44"/>
      <c r="F1999" s="44"/>
      <c r="G1999" s="34">
        <f t="shared" si="124"/>
        <v>0</v>
      </c>
      <c r="H1999" s="34" t="str">
        <f t="shared" si="125"/>
        <v/>
      </c>
      <c r="I1999" s="52" t="str">
        <f t="shared" si="126"/>
        <v/>
      </c>
      <c r="J1999" s="34">
        <f>IF(AND(A1999&lt;&gt;"",ISTEXT(A1999),COUNTIFS(Processos!$AS$10:$AS$509,"="&amp;SUBSTITUTE(SUBSTITUTE(SUBSTITUTE("P:"&amp;A1999,"~","~~"),"*","~*"),"?","~?"))=1),(IF(ISNA(MATCH(SUBSTITUTE(SUBSTITUTE(SUBSTITUTE("P:"&amp;A1999,"~","~~"),"*","~*"),"?","~?"),Processos!$AS$10:$AS$509,0)),9,INDEX(Processos!$AM$10:$AM$509,MATCH(SUBSTITUTE(SUBSTITUTE(SUBSTITUTE("P:"&amp;A1999,"~","~~"),"*","~*"),"?","~?"),Processos!$AS$10:$AS$509,0)))-9),0)</f>
        <v>0</v>
      </c>
      <c r="K1999" s="34" t="str">
        <f t="shared" si="127"/>
        <v/>
      </c>
      <c r="L1999" s="14">
        <f>ROW()</f>
        <v>1999</v>
      </c>
    </row>
    <row r="2000" spans="1:12" ht="60" customHeight="1">
      <c r="A2000" s="41"/>
      <c r="B2000" s="43"/>
      <c r="C2000" s="44"/>
      <c r="D2000" s="51"/>
      <c r="E2000" s="44"/>
      <c r="F2000" s="44"/>
      <c r="G2000" s="34">
        <f t="shared" si="124"/>
        <v>0</v>
      </c>
      <c r="H2000" s="34" t="str">
        <f t="shared" si="125"/>
        <v/>
      </c>
      <c r="I2000" s="52" t="str">
        <f t="shared" si="126"/>
        <v/>
      </c>
      <c r="J2000" s="34">
        <f>IF(AND(A2000&lt;&gt;"",ISTEXT(A2000),COUNTIFS(Processos!$AS$10:$AS$509,"="&amp;SUBSTITUTE(SUBSTITUTE(SUBSTITUTE("P:"&amp;A2000,"~","~~"),"*","~*"),"?","~?"))=1),(IF(ISNA(MATCH(SUBSTITUTE(SUBSTITUTE(SUBSTITUTE("P:"&amp;A2000,"~","~~"),"*","~*"),"?","~?"),Processos!$AS$10:$AS$509,0)),9,INDEX(Processos!$AM$10:$AM$509,MATCH(SUBSTITUTE(SUBSTITUTE(SUBSTITUTE("P:"&amp;A2000,"~","~~"),"*","~*"),"?","~?"),Processos!$AS$10:$AS$509,0)))-9),0)</f>
        <v>0</v>
      </c>
      <c r="K2000" s="34" t="str">
        <f t="shared" si="127"/>
        <v/>
      </c>
      <c r="L2000" s="14">
        <f>ROW()</f>
        <v>2000</v>
      </c>
    </row>
    <row r="2001" spans="1:12" ht="60" customHeight="1">
      <c r="A2001" s="41"/>
      <c r="B2001" s="43"/>
      <c r="C2001" s="44"/>
      <c r="D2001" s="51"/>
      <c r="E2001" s="44"/>
      <c r="F2001" s="44"/>
      <c r="G2001" s="34">
        <f t="shared" si="124"/>
        <v>0</v>
      </c>
      <c r="H2001" s="34" t="str">
        <f t="shared" si="125"/>
        <v/>
      </c>
      <c r="I2001" s="52" t="str">
        <f t="shared" si="126"/>
        <v/>
      </c>
      <c r="J2001" s="34">
        <f>IF(AND(A2001&lt;&gt;"",ISTEXT(A2001),COUNTIFS(Processos!$AS$10:$AS$509,"="&amp;SUBSTITUTE(SUBSTITUTE(SUBSTITUTE("P:"&amp;A2001,"~","~~"),"*","~*"),"?","~?"))=1),(IF(ISNA(MATCH(SUBSTITUTE(SUBSTITUTE(SUBSTITUTE("P:"&amp;A2001,"~","~~"),"*","~*"),"?","~?"),Processos!$AS$10:$AS$509,0)),9,INDEX(Processos!$AM$10:$AM$509,MATCH(SUBSTITUTE(SUBSTITUTE(SUBSTITUTE("P:"&amp;A2001,"~","~~"),"*","~*"),"?","~?"),Processos!$AS$10:$AS$509,0)))-9),0)</f>
        <v>0</v>
      </c>
      <c r="K2001" s="34" t="str">
        <f t="shared" si="127"/>
        <v/>
      </c>
      <c r="L2001" s="14">
        <f>ROW()</f>
        <v>2001</v>
      </c>
    </row>
    <row r="2002" spans="1:12" ht="60" customHeight="1">
      <c r="A2002" s="41"/>
      <c r="B2002" s="43"/>
      <c r="C2002" s="44"/>
      <c r="D2002" s="51"/>
      <c r="E2002" s="44"/>
      <c r="F2002" s="44"/>
      <c r="G2002" s="34">
        <f t="shared" si="124"/>
        <v>0</v>
      </c>
      <c r="H2002" s="34" t="str">
        <f t="shared" si="125"/>
        <v/>
      </c>
      <c r="I2002" s="52" t="str">
        <f t="shared" si="126"/>
        <v/>
      </c>
      <c r="J2002" s="34">
        <f>IF(AND(A2002&lt;&gt;"",ISTEXT(A2002),COUNTIFS(Processos!$AS$10:$AS$509,"="&amp;SUBSTITUTE(SUBSTITUTE(SUBSTITUTE("P:"&amp;A2002,"~","~~"),"*","~*"),"?","~?"))=1),(IF(ISNA(MATCH(SUBSTITUTE(SUBSTITUTE(SUBSTITUTE("P:"&amp;A2002,"~","~~"),"*","~*"),"?","~?"),Processos!$AS$10:$AS$509,0)),9,INDEX(Processos!$AM$10:$AM$509,MATCH(SUBSTITUTE(SUBSTITUTE(SUBSTITUTE("P:"&amp;A2002,"~","~~"),"*","~*"),"?","~?"),Processos!$AS$10:$AS$509,0)))-9),0)</f>
        <v>0</v>
      </c>
      <c r="K2002" s="34" t="str">
        <f t="shared" si="127"/>
        <v/>
      </c>
      <c r="L2002" s="14">
        <f>ROW()</f>
        <v>2002</v>
      </c>
    </row>
    <row r="2003" spans="1:12" ht="60" customHeight="1">
      <c r="A2003" s="41"/>
      <c r="B2003" s="43"/>
      <c r="C2003" s="44"/>
      <c r="D2003" s="51"/>
      <c r="E2003" s="44"/>
      <c r="F2003" s="44"/>
      <c r="G2003" s="34">
        <f t="shared" si="124"/>
        <v>0</v>
      </c>
      <c r="H2003" s="34" t="str">
        <f t="shared" si="125"/>
        <v/>
      </c>
      <c r="I2003" s="52" t="str">
        <f t="shared" si="126"/>
        <v/>
      </c>
      <c r="J2003" s="34">
        <f>IF(AND(A2003&lt;&gt;"",ISTEXT(A2003),COUNTIFS(Processos!$AS$10:$AS$509,"="&amp;SUBSTITUTE(SUBSTITUTE(SUBSTITUTE("P:"&amp;A2003,"~","~~"),"*","~*"),"?","~?"))=1),(IF(ISNA(MATCH(SUBSTITUTE(SUBSTITUTE(SUBSTITUTE("P:"&amp;A2003,"~","~~"),"*","~*"),"?","~?"),Processos!$AS$10:$AS$509,0)),9,INDEX(Processos!$AM$10:$AM$509,MATCH(SUBSTITUTE(SUBSTITUTE(SUBSTITUTE("P:"&amp;A2003,"~","~~"),"*","~*"),"?","~?"),Processos!$AS$10:$AS$509,0)))-9),0)</f>
        <v>0</v>
      </c>
      <c r="K2003" s="34" t="str">
        <f t="shared" si="127"/>
        <v/>
      </c>
      <c r="L2003" s="14">
        <f>ROW()</f>
        <v>2003</v>
      </c>
    </row>
    <row r="2004" spans="1:12" ht="60" customHeight="1">
      <c r="A2004" s="41"/>
      <c r="B2004" s="43"/>
      <c r="C2004" s="44"/>
      <c r="D2004" s="51"/>
      <c r="E2004" s="44"/>
      <c r="F2004" s="44"/>
      <c r="G2004" s="34">
        <f t="shared" si="124"/>
        <v>0</v>
      </c>
      <c r="H2004" s="34" t="str">
        <f t="shared" si="125"/>
        <v/>
      </c>
      <c r="I2004" s="52" t="str">
        <f t="shared" si="126"/>
        <v/>
      </c>
      <c r="J2004" s="34">
        <f>IF(AND(A2004&lt;&gt;"",ISTEXT(A2004),COUNTIFS(Processos!$AS$10:$AS$509,"="&amp;SUBSTITUTE(SUBSTITUTE(SUBSTITUTE("P:"&amp;A2004,"~","~~"),"*","~*"),"?","~?"))=1),(IF(ISNA(MATCH(SUBSTITUTE(SUBSTITUTE(SUBSTITUTE("P:"&amp;A2004,"~","~~"),"*","~*"),"?","~?"),Processos!$AS$10:$AS$509,0)),9,INDEX(Processos!$AM$10:$AM$509,MATCH(SUBSTITUTE(SUBSTITUTE(SUBSTITUTE("P:"&amp;A2004,"~","~~"),"*","~*"),"?","~?"),Processos!$AS$10:$AS$509,0)))-9),0)</f>
        <v>0</v>
      </c>
      <c r="K2004" s="34" t="str">
        <f t="shared" si="127"/>
        <v/>
      </c>
      <c r="L2004" s="14">
        <f>ROW()</f>
        <v>2004</v>
      </c>
    </row>
    <row r="2005" spans="1:12" ht="60" customHeight="1">
      <c r="A2005" s="41"/>
      <c r="B2005" s="43"/>
      <c r="C2005" s="44"/>
      <c r="D2005" s="51"/>
      <c r="E2005" s="44"/>
      <c r="F2005" s="44"/>
      <c r="G2005" s="34">
        <f t="shared" si="124"/>
        <v>0</v>
      </c>
      <c r="H2005" s="34" t="str">
        <f t="shared" si="125"/>
        <v/>
      </c>
      <c r="I2005" s="52" t="str">
        <f t="shared" si="126"/>
        <v/>
      </c>
      <c r="J2005" s="34">
        <f>IF(AND(A2005&lt;&gt;"",ISTEXT(A2005),COUNTIFS(Processos!$AS$10:$AS$509,"="&amp;SUBSTITUTE(SUBSTITUTE(SUBSTITUTE("P:"&amp;A2005,"~","~~"),"*","~*"),"?","~?"))=1),(IF(ISNA(MATCH(SUBSTITUTE(SUBSTITUTE(SUBSTITUTE("P:"&amp;A2005,"~","~~"),"*","~*"),"?","~?"),Processos!$AS$10:$AS$509,0)),9,INDEX(Processos!$AM$10:$AM$509,MATCH(SUBSTITUTE(SUBSTITUTE(SUBSTITUTE("P:"&amp;A2005,"~","~~"),"*","~*"),"?","~?"),Processos!$AS$10:$AS$509,0)))-9),0)</f>
        <v>0</v>
      </c>
      <c r="K2005" s="34" t="str">
        <f t="shared" si="127"/>
        <v/>
      </c>
      <c r="L2005" s="14">
        <f>ROW()</f>
        <v>2005</v>
      </c>
    </row>
    <row r="2006" spans="1:12" ht="60" customHeight="1">
      <c r="A2006" s="41"/>
      <c r="B2006" s="43"/>
      <c r="C2006" s="44"/>
      <c r="D2006" s="51"/>
      <c r="E2006" s="44"/>
      <c r="F2006" s="44"/>
      <c r="G2006" s="34">
        <f t="shared" si="124"/>
        <v>0</v>
      </c>
      <c r="H2006" s="34" t="str">
        <f t="shared" si="125"/>
        <v/>
      </c>
      <c r="I2006" s="52" t="str">
        <f t="shared" si="126"/>
        <v/>
      </c>
      <c r="J2006" s="34">
        <f>IF(AND(A2006&lt;&gt;"",ISTEXT(A2006),COUNTIFS(Processos!$AS$10:$AS$509,"="&amp;SUBSTITUTE(SUBSTITUTE(SUBSTITUTE("P:"&amp;A2006,"~","~~"),"*","~*"),"?","~?"))=1),(IF(ISNA(MATCH(SUBSTITUTE(SUBSTITUTE(SUBSTITUTE("P:"&amp;A2006,"~","~~"),"*","~*"),"?","~?"),Processos!$AS$10:$AS$509,0)),9,INDEX(Processos!$AM$10:$AM$509,MATCH(SUBSTITUTE(SUBSTITUTE(SUBSTITUTE("P:"&amp;A2006,"~","~~"),"*","~*"),"?","~?"),Processos!$AS$10:$AS$509,0)))-9),0)</f>
        <v>0</v>
      </c>
      <c r="K2006" s="34" t="str">
        <f t="shared" si="127"/>
        <v/>
      </c>
      <c r="L2006" s="14">
        <f>ROW()</f>
        <v>2006</v>
      </c>
    </row>
    <row r="2007" spans="1:12" ht="60" customHeight="1">
      <c r="A2007" s="41"/>
      <c r="B2007" s="43"/>
      <c r="C2007" s="44"/>
      <c r="D2007" s="51"/>
      <c r="E2007" s="44"/>
      <c r="F2007" s="44"/>
      <c r="G2007" s="34">
        <f t="shared" si="124"/>
        <v>0</v>
      </c>
      <c r="H2007" s="34" t="str">
        <f t="shared" si="125"/>
        <v/>
      </c>
      <c r="I2007" s="52" t="str">
        <f t="shared" si="126"/>
        <v/>
      </c>
      <c r="J2007" s="34">
        <f>IF(AND(A2007&lt;&gt;"",ISTEXT(A2007),COUNTIFS(Processos!$AS$10:$AS$509,"="&amp;SUBSTITUTE(SUBSTITUTE(SUBSTITUTE("P:"&amp;A2007,"~","~~"),"*","~*"),"?","~?"))=1),(IF(ISNA(MATCH(SUBSTITUTE(SUBSTITUTE(SUBSTITUTE("P:"&amp;A2007,"~","~~"),"*","~*"),"?","~?"),Processos!$AS$10:$AS$509,0)),9,INDEX(Processos!$AM$10:$AM$509,MATCH(SUBSTITUTE(SUBSTITUTE(SUBSTITUTE("P:"&amp;A2007,"~","~~"),"*","~*"),"?","~?"),Processos!$AS$10:$AS$509,0)))-9),0)</f>
        <v>0</v>
      </c>
      <c r="K2007" s="34" t="str">
        <f t="shared" si="127"/>
        <v/>
      </c>
      <c r="L2007" s="14">
        <f>ROW()</f>
        <v>2007</v>
      </c>
    </row>
    <row r="2008" spans="1:12" ht="60" customHeight="1">
      <c r="A2008" s="41"/>
      <c r="B2008" s="43"/>
      <c r="C2008" s="44"/>
      <c r="D2008" s="51"/>
      <c r="E2008" s="44"/>
      <c r="F2008" s="44"/>
      <c r="G2008" s="34">
        <f t="shared" si="124"/>
        <v>0</v>
      </c>
      <c r="H2008" s="34" t="str">
        <f t="shared" si="125"/>
        <v/>
      </c>
      <c r="I2008" s="52" t="str">
        <f t="shared" si="126"/>
        <v/>
      </c>
      <c r="J2008" s="34">
        <f>IF(AND(A2008&lt;&gt;"",ISTEXT(A2008),COUNTIFS(Processos!$AS$10:$AS$509,"="&amp;SUBSTITUTE(SUBSTITUTE(SUBSTITUTE("P:"&amp;A2008,"~","~~"),"*","~*"),"?","~?"))=1),(IF(ISNA(MATCH(SUBSTITUTE(SUBSTITUTE(SUBSTITUTE("P:"&amp;A2008,"~","~~"),"*","~*"),"?","~?"),Processos!$AS$10:$AS$509,0)),9,INDEX(Processos!$AM$10:$AM$509,MATCH(SUBSTITUTE(SUBSTITUTE(SUBSTITUTE("P:"&amp;A2008,"~","~~"),"*","~*"),"?","~?"),Processos!$AS$10:$AS$509,0)))-9),0)</f>
        <v>0</v>
      </c>
      <c r="K2008" s="34" t="str">
        <f t="shared" si="127"/>
        <v/>
      </c>
      <c r="L2008" s="14">
        <f>ROW()</f>
        <v>2008</v>
      </c>
    </row>
    <row r="2009" spans="1:12" ht="60" customHeight="1">
      <c r="A2009" s="41"/>
      <c r="B2009" s="43"/>
      <c r="C2009" s="44"/>
      <c r="D2009" s="51"/>
      <c r="E2009" s="44"/>
      <c r="F2009" s="44"/>
      <c r="G2009" s="34">
        <f t="shared" si="124"/>
        <v>0</v>
      </c>
      <c r="H2009" s="34" t="str">
        <f t="shared" si="125"/>
        <v/>
      </c>
      <c r="I2009" s="52" t="str">
        <f t="shared" si="126"/>
        <v/>
      </c>
      <c r="J2009" s="34">
        <f>IF(AND(A2009&lt;&gt;"",ISTEXT(A2009),COUNTIFS(Processos!$AS$10:$AS$509,"="&amp;SUBSTITUTE(SUBSTITUTE(SUBSTITUTE("P:"&amp;A2009,"~","~~"),"*","~*"),"?","~?"))=1),(IF(ISNA(MATCH(SUBSTITUTE(SUBSTITUTE(SUBSTITUTE("P:"&amp;A2009,"~","~~"),"*","~*"),"?","~?"),Processos!$AS$10:$AS$509,0)),9,INDEX(Processos!$AM$10:$AM$509,MATCH(SUBSTITUTE(SUBSTITUTE(SUBSTITUTE("P:"&amp;A2009,"~","~~"),"*","~*"),"?","~?"),Processos!$AS$10:$AS$509,0)))-9),0)</f>
        <v>0</v>
      </c>
      <c r="K2009" s="34" t="str">
        <f t="shared" si="127"/>
        <v/>
      </c>
      <c r="L2009" s="14">
        <f>ROW()</f>
        <v>2009</v>
      </c>
    </row>
  </sheetData>
  <mergeCells count="7">
    <mergeCell ref="A6:F7"/>
    <mergeCell ref="A5:I5"/>
    <mergeCell ref="A2:I2"/>
    <mergeCell ref="A3:I3"/>
    <mergeCell ref="A4:C4"/>
    <mergeCell ref="D4:F4"/>
    <mergeCell ref="G4:I4"/>
  </mergeCells>
  <conditionalFormatting sqref="I10:I2009">
    <cfRule type="expression" dxfId="6" priority="1">
      <formula>LEN($I10)&gt;0</formula>
    </cfRule>
  </conditionalFormatting>
  <dataValidations count="2">
    <dataValidation type="list" sqref="A10:A2009" xr:uid="{00000000-0002-0000-0700-000000000000}">
      <formula1>INDIRECT("'Processos'!A10:A509")</formula1>
    </dataValidation>
    <dataValidation type="date" sqref="B10:B2009 D10:D2009" xr:uid="{00000000-0002-0000-0700-000001000000}">
      <formula1>1</formula1>
      <formula2>100000</formula2>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C8CA3"/>
  </sheetPr>
  <dimension ref="A1:X84"/>
  <sheetViews>
    <sheetView showGridLines="0" workbookViewId="0"/>
  </sheetViews>
  <sheetFormatPr defaultRowHeight="14.25"/>
  <cols>
    <col min="1" max="1" width="25" customWidth="1"/>
    <col min="2" max="2" width="24" customWidth="1"/>
    <col min="3" max="3" width="28" customWidth="1"/>
    <col min="4" max="4" width="22" customWidth="1"/>
    <col min="5" max="5" width="0" hidden="1" customWidth="1"/>
    <col min="6" max="6" width="3" customWidth="1"/>
    <col min="7" max="7" width="15" customWidth="1"/>
    <col min="8" max="8" width="12" customWidth="1"/>
    <col min="9" max="9" width="10" customWidth="1"/>
    <col min="10" max="10" width="11" customWidth="1"/>
    <col min="11" max="11" width="13" customWidth="1"/>
    <col min="12" max="18" width="11" customWidth="1"/>
    <col min="19" max="19" width="3" customWidth="1"/>
    <col min="20" max="20" width="30" customWidth="1"/>
    <col min="21" max="21" width="19" customWidth="1"/>
  </cols>
  <sheetData>
    <row r="1" spans="1:24" ht="23.1" customHeight="1">
      <c r="A1" s="6"/>
      <c r="B1" s="6"/>
      <c r="C1" s="6"/>
      <c r="D1" s="6"/>
      <c r="E1" s="6"/>
      <c r="F1" s="6"/>
      <c r="G1" s="6"/>
      <c r="H1" s="6"/>
      <c r="I1" s="6"/>
      <c r="J1" s="6"/>
      <c r="K1" s="6"/>
      <c r="L1" s="6"/>
      <c r="M1" s="6"/>
      <c r="N1" s="6"/>
      <c r="O1" s="6"/>
      <c r="P1" s="6"/>
      <c r="Q1" s="6"/>
      <c r="R1" s="6"/>
      <c r="S1" s="5"/>
      <c r="T1" s="5"/>
      <c r="U1" s="5"/>
    </row>
    <row r="2" spans="1:24" ht="30" customHeight="1">
      <c r="A2" s="126" t="s">
        <v>1726</v>
      </c>
      <c r="B2" s="126"/>
      <c r="C2" s="126"/>
      <c r="D2" s="126"/>
      <c r="E2" s="126"/>
      <c r="F2" s="126"/>
      <c r="G2" s="126"/>
      <c r="H2" s="126"/>
      <c r="I2" s="126"/>
      <c r="J2" s="126"/>
      <c r="K2" s="126"/>
      <c r="L2" s="126"/>
      <c r="M2" s="126"/>
      <c r="N2" s="126"/>
      <c r="O2" s="126"/>
      <c r="P2" s="126"/>
      <c r="Q2" s="126"/>
      <c r="R2" s="126"/>
      <c r="S2" s="5"/>
      <c r="T2" s="5"/>
      <c r="U2" s="5"/>
    </row>
    <row r="3" spans="1:24" ht="23.1" customHeight="1">
      <c r="A3" s="62" t="s">
        <v>1727</v>
      </c>
      <c r="B3" s="62"/>
      <c r="C3" s="62"/>
      <c r="D3" s="62"/>
      <c r="E3" s="62"/>
      <c r="F3" s="62"/>
      <c r="G3" s="62"/>
      <c r="H3" s="62"/>
      <c r="I3" s="62"/>
      <c r="J3" s="62"/>
      <c r="K3" s="62"/>
      <c r="L3" s="62"/>
      <c r="M3" s="62"/>
      <c r="N3" s="62"/>
      <c r="O3" s="62"/>
      <c r="P3" s="62"/>
      <c r="Q3" s="62"/>
      <c r="R3" s="62"/>
      <c r="S3" s="5"/>
      <c r="T3" s="5"/>
      <c r="U3" s="5"/>
    </row>
    <row r="4" spans="1:24" ht="30" customHeight="1">
      <c r="A4" s="68" t="str">
        <f>IFERROR(HYPERLINK("#'Painel'!A1","PAINEL"),"PAINEL")</f>
        <v>PAINEL</v>
      </c>
      <c r="B4" s="68"/>
      <c r="C4" s="68" t="str">
        <f>IFERROR(HYPERLINK("#'Críticos'!A1","CRÍTICOS"),"CRÍTICOS")</f>
        <v>CRÍTICOS</v>
      </c>
      <c r="D4" s="68"/>
      <c r="E4" s="68" t="str">
        <f>IFERROR(HYPERLINK("#'Escritórios'!A1","ESCRITÓRIOS"),"ESCRITÓRIOS")</f>
        <v>ESCRITÓRIOS</v>
      </c>
      <c r="F4" s="68"/>
      <c r="G4" s="68" t="str">
        <f>IFERROR(HYPERLINK("#'Ficha'!A1","FICHA"),"FICHA")</f>
        <v>FICHA</v>
      </c>
      <c r="H4" s="68"/>
      <c r="I4" s="68" t="str">
        <f>IFERROR(HYPERLINK("#'Processos'!A1","PROCESSOS"),"PROCESSOS")</f>
        <v>PROCESSOS</v>
      </c>
      <c r="J4" s="68"/>
      <c r="K4" s="61" t="str">
        <f>IFERROR(HYPERLINK("#'Critérios'!A1","CRITÉRIOS"),"CRITÉRIOS")</f>
        <v>CRITÉRIOS</v>
      </c>
      <c r="L4" s="68"/>
      <c r="M4" s="68" t="str">
        <f>IFERROR(HYPERLINK("#'Valores'!A1","VALORES"),"VALORES")</f>
        <v>VALORES</v>
      </c>
      <c r="N4" s="68"/>
      <c r="O4" s="68" t="str">
        <f>IFERROR(HYPERLINK("#'Andamentos'!A1","ANDAMENTOS"),"ANDAMENTOS")</f>
        <v>ANDAMENTOS</v>
      </c>
      <c r="P4" s="68"/>
      <c r="Q4" s="68" t="str">
        <f>IFERROR(HYPERLINK("#'Configurar'!A1","CONFIGURAR"),"CONFIGURAR")</f>
        <v>CONFIGURAR</v>
      </c>
      <c r="R4" s="68"/>
      <c r="S4" s="5"/>
      <c r="T4" s="5"/>
      <c r="U4" s="5"/>
    </row>
    <row r="5" spans="1:24" ht="27" customHeight="1">
      <c r="A5" s="67" t="str">
        <f>IFERROR(HYPERLINK("#'Central IA'!A1","ABRIR CENTRAL IA — COLAR OU IMPORTAR UMA ATUALIZAÇÃO"),"ABRIR CENTRAL IA — COLAR OU IMPORTAR UMA ATUALIZAÇÃO")</f>
        <v>ABRIR CENTRAL IA — COLAR OU IMPORTAR UMA ATUALIZAÇÃO</v>
      </c>
      <c r="B5" s="67"/>
      <c r="C5" s="67"/>
      <c r="D5" s="67"/>
      <c r="E5" s="67"/>
      <c r="F5" s="67"/>
      <c r="G5" s="67"/>
      <c r="H5" s="67"/>
      <c r="I5" s="67"/>
      <c r="J5" s="67"/>
      <c r="K5" s="67"/>
      <c r="L5" s="67"/>
      <c r="M5" s="67"/>
      <c r="N5" s="67"/>
      <c r="O5" s="67"/>
      <c r="P5" s="67"/>
      <c r="Q5" s="67"/>
      <c r="R5" s="67"/>
      <c r="S5" s="5"/>
      <c r="T5" s="5"/>
      <c r="U5" s="5"/>
    </row>
    <row r="6" spans="1:24" ht="23.1" customHeight="1">
      <c r="A6" s="127" t="s">
        <v>1728</v>
      </c>
      <c r="B6" s="127"/>
      <c r="C6" s="127"/>
      <c r="D6" s="127"/>
      <c r="E6" s="127"/>
      <c r="F6" s="6"/>
      <c r="G6" s="127" t="s">
        <v>1729</v>
      </c>
      <c r="H6" s="127"/>
      <c r="I6" s="127"/>
      <c r="J6" s="127"/>
      <c r="K6" s="127"/>
      <c r="L6" s="127"/>
      <c r="M6" s="127"/>
      <c r="N6" s="127"/>
      <c r="O6" s="127"/>
      <c r="P6" s="127"/>
      <c r="Q6" s="127"/>
      <c r="R6" s="127"/>
      <c r="S6" s="5"/>
      <c r="T6" s="5"/>
      <c r="U6" s="5"/>
    </row>
    <row r="7" spans="1:24" ht="23.1" customHeight="1">
      <c r="A7" s="6"/>
      <c r="B7" s="6"/>
      <c r="C7" s="6"/>
      <c r="D7" s="6"/>
      <c r="E7" s="6"/>
      <c r="F7" s="6"/>
      <c r="G7" s="6"/>
      <c r="H7" s="6"/>
      <c r="I7" s="6"/>
      <c r="J7" s="6"/>
      <c r="K7" s="6"/>
      <c r="L7" s="6"/>
      <c r="M7" s="6"/>
      <c r="N7" s="6"/>
      <c r="O7" s="6"/>
      <c r="P7" s="6"/>
      <c r="Q7" s="6"/>
      <c r="R7" s="6"/>
      <c r="S7" s="5"/>
      <c r="T7" s="5"/>
      <c r="U7" s="5"/>
    </row>
    <row r="8" spans="1:24" ht="32.1" customHeight="1">
      <c r="A8" s="9" t="s">
        <v>1730</v>
      </c>
      <c r="B8" s="9" t="s">
        <v>1731</v>
      </c>
      <c r="C8" s="9" t="s">
        <v>1732</v>
      </c>
      <c r="D8" s="9" t="s">
        <v>1733</v>
      </c>
      <c r="E8" s="9"/>
      <c r="F8" s="6"/>
      <c r="G8" s="6"/>
      <c r="H8" s="6"/>
      <c r="I8" s="6"/>
      <c r="J8" s="6"/>
      <c r="K8" s="6"/>
      <c r="L8" s="6"/>
      <c r="M8" s="6"/>
      <c r="N8" s="6"/>
      <c r="O8" s="6"/>
      <c r="P8" s="6"/>
      <c r="Q8" s="6"/>
      <c r="R8" s="6"/>
      <c r="S8" s="5"/>
      <c r="T8" s="5"/>
      <c r="U8" s="5"/>
      <c r="W8" s="18" t="s">
        <v>114</v>
      </c>
      <c r="X8" s="18" t="s">
        <v>106</v>
      </c>
    </row>
    <row r="9" spans="1:24" ht="24" customHeight="1">
      <c r="A9" s="5" t="s">
        <v>3</v>
      </c>
      <c r="B9" s="5" t="s">
        <v>5</v>
      </c>
      <c r="C9" s="5" t="s">
        <v>3</v>
      </c>
      <c r="D9" s="5" t="s">
        <v>3</v>
      </c>
      <c r="E9" s="5"/>
      <c r="F9" s="5"/>
      <c r="G9" s="5"/>
      <c r="H9" s="5"/>
      <c r="I9" s="5"/>
      <c r="J9" s="5"/>
      <c r="K9" s="5"/>
      <c r="L9" s="5"/>
      <c r="M9" s="5"/>
      <c r="N9" s="5"/>
      <c r="O9" s="5"/>
      <c r="P9" s="5"/>
      <c r="Q9" s="5"/>
      <c r="R9" s="5"/>
      <c r="S9" s="5"/>
      <c r="T9" s="5"/>
      <c r="U9" s="5"/>
      <c r="W9" s="18" t="str">
        <f t="shared" ref="W9:W15" si="0">IF(D10="","",IF(D10="Administrativo / Contratos públicos","Administrativo",IF(D10="Tributário / Fiscal","Tributário",IF(D10="Controle externo (TCU/CGU)","Controle externo",D10))))</f>
        <v>Trabalhista</v>
      </c>
      <c r="X9" s="18">
        <f>IF(D10="","",COUNTIFS(Processos!$X$10:$X$509,1,Processos!$G$10:$G$509,D10))</f>
        <v>68</v>
      </c>
    </row>
    <row r="10" spans="1:24" ht="50.1" customHeight="1">
      <c r="A10" s="50" t="s">
        <v>163</v>
      </c>
      <c r="B10" s="50" t="s">
        <v>1734</v>
      </c>
      <c r="C10" s="50" t="s">
        <v>1735</v>
      </c>
      <c r="D10" s="50" t="s">
        <v>164</v>
      </c>
      <c r="E10" s="2"/>
      <c r="F10" s="5"/>
      <c r="G10" s="61"/>
      <c r="H10" s="61"/>
      <c r="I10" s="61"/>
      <c r="K10" s="61"/>
      <c r="L10" s="61"/>
      <c r="M10" s="61"/>
      <c r="N10" s="61"/>
      <c r="O10" s="61"/>
      <c r="P10" s="61"/>
      <c r="Q10" s="61"/>
      <c r="R10" s="61"/>
      <c r="S10" s="5"/>
      <c r="T10" s="14" t="s">
        <v>1736</v>
      </c>
      <c r="U10" s="14">
        <f>IF(AND(Ficha!C6&lt;&gt;"",ISTEXT(Ficha!C6),COUNTIFS(Processos!$AS$10:$AS$509,"="&amp;SUBSTITUTE(SUBSTITUTE(SUBSTITUTE("P:"&amp;Ficha!C6,"~","~~"),"*","~*"),"?","~?"))=1),(IF(ISNA(MATCH(SUBSTITUTE(SUBSTITUTE(SUBSTITUTE("P:"&amp;Ficha!C6,"~","~~"),"*","~*"),"?","~?"),Processos!$AS$10:$AS$509,0)),9,INDEX(Processos!$AM$10:$AM$509,MATCH(SUBSTITUTE(SUBSTITUTE(SUBSTITUTE("P:"&amp;Ficha!C6,"~","~~"),"*","~*"),"?","~?"),Processos!$AS$10:$AS$509,0)))-9),0)</f>
        <v>50</v>
      </c>
      <c r="W10" s="18" t="str">
        <f t="shared" si="0"/>
        <v>Cível</v>
      </c>
      <c r="X10" s="18">
        <f>IF(D11="","",COUNTIFS(Processos!$X$10:$X$509,1,Processos!$G$10:$G$509,D11))</f>
        <v>48</v>
      </c>
    </row>
    <row r="11" spans="1:24" ht="50.1" customHeight="1">
      <c r="A11" s="50" t="s">
        <v>823</v>
      </c>
      <c r="B11" s="50" t="s">
        <v>1737</v>
      </c>
      <c r="C11" s="50" t="s">
        <v>174</v>
      </c>
      <c r="D11" s="50" t="s">
        <v>238</v>
      </c>
      <c r="E11" s="2"/>
      <c r="F11" s="5"/>
      <c r="G11" s="60" t="s">
        <v>1738</v>
      </c>
      <c r="H11" s="60"/>
      <c r="I11" s="60"/>
      <c r="J11" s="50">
        <v>30</v>
      </c>
      <c r="K11" s="66" t="s">
        <v>1739</v>
      </c>
      <c r="L11" s="66"/>
      <c r="M11" s="66"/>
      <c r="N11" s="66"/>
      <c r="O11" s="66"/>
      <c r="P11" s="66"/>
      <c r="Q11" s="66"/>
      <c r="R11" s="66"/>
      <c r="S11" s="5"/>
      <c r="T11" s="14" t="s">
        <v>1740</v>
      </c>
      <c r="U11" s="14">
        <f>IF(U10=0,0,INDEX(Processos!$AH$10:$AH$509,U10))</f>
        <v>50</v>
      </c>
      <c r="W11" s="18" t="str">
        <f t="shared" si="0"/>
        <v>Tributário</v>
      </c>
      <c r="X11" s="18">
        <f>IF(D12="","",COUNTIFS(Processos!$X$10:$X$509,1,Processos!$G$10:$G$509,D12))</f>
        <v>9</v>
      </c>
    </row>
    <row r="12" spans="1:24" ht="50.1" customHeight="1">
      <c r="A12" s="50" t="s">
        <v>918</v>
      </c>
      <c r="B12" s="50" t="s">
        <v>1741</v>
      </c>
      <c r="C12" s="50" t="s">
        <v>182</v>
      </c>
      <c r="D12" s="50" t="s">
        <v>584</v>
      </c>
      <c r="E12" s="2"/>
      <c r="F12" s="5"/>
      <c r="G12" s="60" t="s">
        <v>1742</v>
      </c>
      <c r="H12" s="60"/>
      <c r="I12" s="60"/>
      <c r="J12" s="19">
        <f ca="1">TODAY()</f>
        <v>46316</v>
      </c>
      <c r="K12" s="66" t="s">
        <v>1743</v>
      </c>
      <c r="L12" s="66"/>
      <c r="M12" s="66"/>
      <c r="N12" s="66"/>
      <c r="O12" s="66"/>
      <c r="P12" s="66"/>
      <c r="Q12" s="66"/>
      <c r="R12" s="66"/>
      <c r="S12" s="5"/>
      <c r="T12" s="14" t="s">
        <v>1744</v>
      </c>
      <c r="U12" s="14">
        <f>MAX(Processos!$AM$10:$AM$509)</f>
        <v>157</v>
      </c>
      <c r="W12" s="18" t="str">
        <f t="shared" si="0"/>
        <v>Administrativo</v>
      </c>
      <c r="X12" s="18">
        <f>IF(D13="","",COUNTIFS(Processos!$X$10:$X$509,1,Processos!$G$10:$G$509,D13))</f>
        <v>15</v>
      </c>
    </row>
    <row r="13" spans="1:24" ht="50.1" customHeight="1">
      <c r="A13" s="50" t="s">
        <v>965</v>
      </c>
      <c r="B13" s="50" t="s">
        <v>1745</v>
      </c>
      <c r="C13" s="50" t="s">
        <v>206</v>
      </c>
      <c r="D13" s="50" t="s">
        <v>824</v>
      </c>
      <c r="E13" s="2"/>
      <c r="F13" s="5"/>
      <c r="G13" s="60" t="s">
        <v>1746</v>
      </c>
      <c r="H13" s="60"/>
      <c r="I13" s="60"/>
      <c r="J13" s="11">
        <v>500</v>
      </c>
      <c r="K13" s="66" t="s">
        <v>1747</v>
      </c>
      <c r="L13" s="66"/>
      <c r="M13" s="66"/>
      <c r="N13" s="66"/>
      <c r="O13" s="66"/>
      <c r="P13" s="66"/>
      <c r="Q13" s="66"/>
      <c r="R13" s="66"/>
      <c r="S13" s="5"/>
      <c r="T13" s="14" t="s">
        <v>1748</v>
      </c>
      <c r="U13" s="14">
        <f>IF(COUNTBLANK(Processos!$A$10:$A$509)=0,510,MATCH(0,Processos!$AM$10:$AM$509,0)+9)</f>
        <v>158</v>
      </c>
      <c r="W13" s="18" t="str">
        <f t="shared" si="0"/>
        <v>Penal / Inquérito</v>
      </c>
      <c r="X13" s="18">
        <f>IF(D14="","",COUNTIFS(Processos!$X$10:$X$509,1,Processos!$G$10:$G$509,D14))</f>
        <v>5</v>
      </c>
    </row>
    <row r="14" spans="1:24" ht="50.1" customHeight="1">
      <c r="A14" s="50" t="s">
        <v>972</v>
      </c>
      <c r="B14" s="50" t="s">
        <v>1749</v>
      </c>
      <c r="C14" s="50" t="s">
        <v>253</v>
      </c>
      <c r="D14" s="50" t="s">
        <v>973</v>
      </c>
      <c r="E14" s="2"/>
      <c r="F14" s="5"/>
      <c r="G14" s="61"/>
      <c r="H14" s="61"/>
      <c r="I14" s="61"/>
      <c r="K14" s="61"/>
      <c r="L14" s="61"/>
      <c r="M14" s="61"/>
      <c r="N14" s="61"/>
      <c r="O14" s="61"/>
      <c r="P14" s="61"/>
      <c r="Q14" s="61"/>
      <c r="R14" s="61"/>
      <c r="S14" s="5"/>
      <c r="T14" s="5"/>
      <c r="U14" s="5"/>
      <c r="W14" s="18" t="str">
        <f t="shared" si="0"/>
        <v>Outros</v>
      </c>
      <c r="X14" s="18">
        <f>IF(D15="","",COUNTIFS(Processos!$X$10:$X$509,1,Processos!$G$10:$G$509,D15))</f>
        <v>2</v>
      </c>
    </row>
    <row r="15" spans="1:24" ht="50.1" customHeight="1">
      <c r="A15" s="50" t="s">
        <v>981</v>
      </c>
      <c r="B15" s="50" t="s">
        <v>1750</v>
      </c>
      <c r="C15" s="50" t="s">
        <v>282</v>
      </c>
      <c r="D15" s="50" t="s">
        <v>993</v>
      </c>
      <c r="E15" s="2"/>
      <c r="F15" s="5"/>
      <c r="G15" s="60" t="s">
        <v>1751</v>
      </c>
      <c r="H15" s="60"/>
      <c r="I15" s="60"/>
      <c r="J15" s="11">
        <v>2000</v>
      </c>
      <c r="K15" s="66" t="s">
        <v>1752</v>
      </c>
      <c r="L15" s="66"/>
      <c r="M15" s="66"/>
      <c r="N15" s="66"/>
      <c r="O15" s="66"/>
      <c r="P15" s="66"/>
      <c r="Q15" s="66"/>
      <c r="R15" s="66"/>
      <c r="S15" s="5"/>
      <c r="T15" s="5"/>
      <c r="U15" s="5"/>
      <c r="W15" s="18" t="str">
        <f t="shared" si="0"/>
        <v>Controle externo</v>
      </c>
      <c r="X15" s="18">
        <f>IF(D16="","",COUNTIFS(Processos!$X$10:$X$509,1,Processos!$G$10:$G$509,D16))</f>
        <v>1</v>
      </c>
    </row>
    <row r="16" spans="1:24" ht="50.1" customHeight="1">
      <c r="A16" s="50" t="s">
        <v>1001</v>
      </c>
      <c r="B16" s="50" t="s">
        <v>1753</v>
      </c>
      <c r="C16" s="50" t="s">
        <v>446</v>
      </c>
      <c r="D16" s="50" t="s">
        <v>1063</v>
      </c>
      <c r="E16" s="2"/>
      <c r="F16" s="5"/>
      <c r="G16" s="128" t="s">
        <v>1754</v>
      </c>
      <c r="H16" s="128"/>
      <c r="I16" s="128"/>
      <c r="J16" s="128"/>
      <c r="K16" s="128"/>
      <c r="L16" s="128"/>
      <c r="M16" s="128"/>
      <c r="N16" s="128"/>
      <c r="O16" s="128"/>
      <c r="P16" s="128"/>
      <c r="Q16" s="128"/>
      <c r="R16" s="128"/>
      <c r="S16" s="5"/>
      <c r="T16" s="5"/>
      <c r="U16" s="5"/>
      <c r="W16" s="18" t="str">
        <f>IF(D17="","",D17)</f>
        <v/>
      </c>
      <c r="X16" s="18" t="str">
        <f>IF(W16="","",COUNTIFS(Processos!$X$10:$X$509,1,Processos!$G$10:$G$509,W16))</f>
        <v/>
      </c>
    </row>
    <row r="17" spans="1:24" ht="50.1" customHeight="1">
      <c r="A17" s="50" t="s">
        <v>1016</v>
      </c>
      <c r="B17" s="50" t="s">
        <v>1755</v>
      </c>
      <c r="C17" s="50" t="s">
        <v>806</v>
      </c>
      <c r="D17" s="50"/>
      <c r="E17" s="2"/>
      <c r="F17" s="5"/>
      <c r="G17" s="128"/>
      <c r="H17" s="128"/>
      <c r="I17" s="128"/>
      <c r="J17" s="128"/>
      <c r="K17" s="128"/>
      <c r="L17" s="128"/>
      <c r="M17" s="128"/>
      <c r="N17" s="128"/>
      <c r="O17" s="128"/>
      <c r="P17" s="128"/>
      <c r="Q17" s="128"/>
      <c r="R17" s="128"/>
      <c r="S17" s="5"/>
      <c r="T17" s="5"/>
      <c r="U17" s="5"/>
      <c r="W17" s="18" t="str">
        <f>IF(D18="","",D18)</f>
        <v/>
      </c>
      <c r="X17" s="18" t="str">
        <f>IF(W17="","",COUNTIFS(Processos!$X$10:$X$509,1,Processos!$G$10:$G$509,W17))</f>
        <v/>
      </c>
    </row>
    <row r="18" spans="1:24" ht="50.1" customHeight="1">
      <c r="A18" s="50" t="s">
        <v>1023</v>
      </c>
      <c r="B18" s="50" t="s">
        <v>1756</v>
      </c>
      <c r="C18" s="50" t="s">
        <v>844</v>
      </c>
      <c r="D18" s="50"/>
      <c r="E18" s="2"/>
      <c r="F18" s="5"/>
      <c r="G18" s="129" t="s">
        <v>1757</v>
      </c>
      <c r="H18" s="129"/>
      <c r="I18" s="129"/>
      <c r="J18" s="129"/>
      <c r="K18" s="129"/>
      <c r="L18" s="129"/>
      <c r="M18" s="129"/>
      <c r="N18" s="129"/>
      <c r="O18" s="129"/>
      <c r="P18" s="129"/>
      <c r="Q18" s="129"/>
      <c r="R18" s="129"/>
      <c r="S18" s="5"/>
      <c r="T18" s="5"/>
      <c r="U18" s="5"/>
      <c r="W18" s="18" t="str">
        <f>IF(D19="","",D19)</f>
        <v/>
      </c>
      <c r="X18" s="18" t="str">
        <f>IF(W18="","",COUNTIFS(Processos!$X$10:$X$509,1,Processos!$G$10:$G$509,W18))</f>
        <v/>
      </c>
    </row>
    <row r="19" spans="1:24" ht="50.1" customHeight="1">
      <c r="A19" s="50" t="s">
        <v>1035</v>
      </c>
      <c r="B19" s="50"/>
      <c r="C19" s="50" t="s">
        <v>982</v>
      </c>
      <c r="D19" s="50"/>
      <c r="E19" s="2"/>
      <c r="F19" s="5"/>
      <c r="G19" s="5"/>
      <c r="H19" s="5"/>
      <c r="I19" s="5"/>
      <c r="J19" s="5"/>
      <c r="K19" s="5"/>
      <c r="L19" s="5"/>
      <c r="M19" s="5"/>
      <c r="N19" s="5"/>
      <c r="O19" s="5"/>
      <c r="P19" s="5"/>
      <c r="Q19" s="5"/>
      <c r="R19" s="5"/>
      <c r="S19" s="5"/>
      <c r="T19" s="5"/>
      <c r="U19" s="5"/>
    </row>
    <row r="20" spans="1:24" ht="50.1" customHeight="1">
      <c r="A20" s="50" t="s">
        <v>1062</v>
      </c>
      <c r="B20" s="50"/>
      <c r="C20" s="50"/>
      <c r="D20" s="5"/>
      <c r="E20" s="2"/>
      <c r="F20" s="5"/>
      <c r="G20" s="102" t="s">
        <v>1758</v>
      </c>
      <c r="H20" s="102"/>
      <c r="I20" s="102"/>
      <c r="J20" s="102"/>
      <c r="K20" s="102"/>
      <c r="L20" s="102"/>
      <c r="M20" s="102"/>
      <c r="N20" s="102"/>
      <c r="O20" s="102"/>
      <c r="P20" s="102"/>
      <c r="Q20" s="102"/>
      <c r="R20" s="102"/>
      <c r="S20" s="5"/>
      <c r="T20" s="5"/>
      <c r="U20" s="5"/>
    </row>
    <row r="21" spans="1:24" ht="50.1" customHeight="1">
      <c r="A21" s="50" t="s">
        <v>1070</v>
      </c>
      <c r="B21" s="50"/>
      <c r="C21" s="50"/>
      <c r="D21" s="5"/>
      <c r="E21" s="2"/>
      <c r="F21" s="5"/>
      <c r="G21" s="60" t="s">
        <v>1759</v>
      </c>
      <c r="H21" s="60"/>
      <c r="I21" s="60"/>
      <c r="J21" s="60"/>
      <c r="K21" s="60"/>
      <c r="L21" s="60"/>
      <c r="M21" s="60"/>
      <c r="N21" s="60"/>
      <c r="O21" s="60"/>
      <c r="P21" s="60"/>
      <c r="Q21" s="60"/>
      <c r="R21" s="60"/>
      <c r="S21" s="5"/>
      <c r="T21" s="5"/>
      <c r="U21" s="5"/>
    </row>
    <row r="22" spans="1:24" ht="50.1" customHeight="1">
      <c r="A22" s="50" t="s">
        <v>1077</v>
      </c>
      <c r="B22" s="50"/>
      <c r="C22" s="50"/>
      <c r="D22" s="5"/>
      <c r="E22" s="2"/>
      <c r="F22" s="5"/>
      <c r="G22" s="60"/>
      <c r="H22" s="60"/>
      <c r="I22" s="60"/>
      <c r="J22" s="60"/>
      <c r="K22" s="60"/>
      <c r="L22" s="60"/>
      <c r="M22" s="60"/>
      <c r="N22" s="60"/>
      <c r="O22" s="60"/>
      <c r="P22" s="60"/>
      <c r="Q22" s="60"/>
      <c r="R22" s="60"/>
      <c r="S22" s="5"/>
      <c r="T22" s="5"/>
      <c r="U22" s="5"/>
    </row>
    <row r="23" spans="1:24" ht="50.1" customHeight="1">
      <c r="A23" s="50" t="s">
        <v>1082</v>
      </c>
      <c r="B23" s="50"/>
      <c r="C23" s="50"/>
      <c r="D23" s="5"/>
      <c r="E23" s="2"/>
      <c r="F23" s="5"/>
      <c r="G23" s="5"/>
      <c r="H23" s="5"/>
      <c r="I23" s="5"/>
      <c r="J23" s="5"/>
      <c r="K23" s="5"/>
      <c r="L23" s="5"/>
      <c r="M23" s="5"/>
      <c r="N23" s="5"/>
      <c r="O23" s="5"/>
      <c r="P23" s="5"/>
      <c r="Q23" s="5"/>
      <c r="R23" s="5"/>
      <c r="S23" s="5"/>
      <c r="T23" s="5"/>
      <c r="U23" s="5"/>
    </row>
    <row r="24" spans="1:24" ht="50.1" customHeight="1">
      <c r="A24" s="50"/>
      <c r="B24" s="50"/>
      <c r="C24" s="50"/>
      <c r="D24" s="5"/>
      <c r="E24" s="2"/>
      <c r="F24" s="5"/>
      <c r="G24" s="102" t="s">
        <v>1760</v>
      </c>
      <c r="H24" s="102"/>
      <c r="I24" s="102"/>
      <c r="J24" s="102"/>
      <c r="K24" s="102"/>
      <c r="L24" s="102"/>
      <c r="M24" s="102"/>
      <c r="N24" s="102"/>
      <c r="O24" s="102"/>
      <c r="P24" s="102"/>
      <c r="Q24" s="102"/>
      <c r="R24" s="102"/>
      <c r="S24" s="5"/>
      <c r="T24" s="5"/>
      <c r="U24" s="5"/>
    </row>
    <row r="25" spans="1:24" ht="50.1" customHeight="1">
      <c r="A25" s="50"/>
      <c r="B25" s="50"/>
      <c r="C25" s="50"/>
      <c r="D25" s="5"/>
      <c r="E25" s="2"/>
      <c r="F25" s="5"/>
      <c r="G25" s="60" t="s">
        <v>1761</v>
      </c>
      <c r="H25" s="60"/>
      <c r="I25" s="60"/>
      <c r="J25" s="60"/>
      <c r="K25" s="60"/>
      <c r="L25" s="60"/>
      <c r="M25" s="60"/>
      <c r="N25" s="60"/>
      <c r="O25" s="60"/>
      <c r="P25" s="60"/>
      <c r="Q25" s="60"/>
      <c r="R25" s="60"/>
      <c r="S25" s="5"/>
      <c r="T25" s="5"/>
      <c r="U25" s="5"/>
    </row>
    <row r="26" spans="1:24" ht="50.1" customHeight="1">
      <c r="A26" s="50"/>
      <c r="B26" s="50"/>
      <c r="C26" s="50"/>
      <c r="D26" s="5"/>
      <c r="E26" s="2"/>
      <c r="F26" s="5"/>
      <c r="G26" s="60"/>
      <c r="H26" s="60"/>
      <c r="I26" s="60"/>
      <c r="J26" s="60"/>
      <c r="K26" s="60"/>
      <c r="L26" s="60"/>
      <c r="M26" s="60"/>
      <c r="N26" s="60"/>
      <c r="O26" s="60"/>
      <c r="P26" s="60"/>
      <c r="Q26" s="60"/>
      <c r="R26" s="60"/>
      <c r="S26" s="5"/>
      <c r="T26" s="5"/>
      <c r="U26" s="5"/>
    </row>
    <row r="27" spans="1:24" ht="50.1" customHeight="1">
      <c r="A27" s="50"/>
      <c r="B27" s="50"/>
      <c r="C27" s="50"/>
      <c r="D27" s="5"/>
      <c r="E27" s="2"/>
      <c r="F27" s="5"/>
      <c r="G27" s="5"/>
      <c r="H27" s="5"/>
      <c r="I27" s="5"/>
      <c r="J27" s="5"/>
      <c r="K27" s="5"/>
      <c r="L27" s="5"/>
      <c r="M27" s="5"/>
      <c r="N27" s="5"/>
      <c r="O27" s="5"/>
      <c r="P27" s="5"/>
      <c r="Q27" s="5"/>
      <c r="R27" s="5"/>
      <c r="S27" s="5"/>
      <c r="T27" s="5"/>
      <c r="U27" s="5"/>
    </row>
    <row r="28" spans="1:24" ht="50.1" customHeight="1">
      <c r="A28" s="50"/>
      <c r="B28" s="50"/>
      <c r="C28" s="50"/>
      <c r="D28" s="5"/>
      <c r="E28" s="2"/>
      <c r="F28" s="5"/>
      <c r="G28" s="61"/>
      <c r="H28" s="61"/>
      <c r="I28" s="61"/>
      <c r="J28" s="61"/>
      <c r="K28" s="61"/>
      <c r="L28" s="61"/>
      <c r="M28" s="61"/>
      <c r="N28" s="61"/>
      <c r="O28" s="61"/>
      <c r="P28" s="61"/>
      <c r="Q28" s="61"/>
      <c r="R28" s="61"/>
      <c r="S28" s="5"/>
      <c r="T28" s="5"/>
      <c r="U28" s="5"/>
    </row>
    <row r="29" spans="1:24" ht="50.1" customHeight="1">
      <c r="A29" s="50"/>
      <c r="B29" s="50"/>
      <c r="C29" s="50"/>
      <c r="D29" s="5"/>
      <c r="E29" s="2"/>
      <c r="F29" s="5"/>
      <c r="G29" s="61"/>
      <c r="H29" s="61"/>
      <c r="I29" s="61"/>
      <c r="J29" s="61"/>
      <c r="K29" s="61"/>
      <c r="L29" s="61"/>
      <c r="M29" s="61"/>
      <c r="N29" s="61"/>
      <c r="O29" s="61"/>
      <c r="P29" s="61"/>
      <c r="Q29" s="61"/>
      <c r="R29" s="61"/>
      <c r="S29" s="5"/>
      <c r="T29" s="5"/>
      <c r="U29" s="5"/>
    </row>
    <row r="30" spans="1:24" ht="24" customHeight="1">
      <c r="A30" s="5"/>
      <c r="B30" s="5"/>
      <c r="C30" s="50"/>
      <c r="D30" s="5"/>
      <c r="E30" s="5"/>
      <c r="F30" s="5"/>
      <c r="G30" s="61"/>
      <c r="H30" s="61"/>
      <c r="I30" s="61"/>
      <c r="J30" s="61"/>
      <c r="K30" s="61"/>
      <c r="L30" s="61"/>
      <c r="M30" s="61"/>
      <c r="N30" s="61"/>
      <c r="O30" s="61"/>
      <c r="P30" s="61"/>
      <c r="Q30" s="61"/>
      <c r="R30" s="61"/>
      <c r="S30" s="5"/>
      <c r="T30" s="5"/>
      <c r="U30" s="5"/>
    </row>
    <row r="31" spans="1:24" ht="24" customHeight="1">
      <c r="A31" s="5"/>
      <c r="B31" s="5"/>
      <c r="C31" s="50"/>
      <c r="D31" s="5"/>
      <c r="E31" s="5"/>
      <c r="F31" s="5"/>
      <c r="G31" s="5"/>
      <c r="H31" s="5"/>
      <c r="I31" s="5"/>
      <c r="J31" s="5"/>
      <c r="K31" s="5"/>
      <c r="L31" s="5"/>
      <c r="M31" s="5"/>
      <c r="N31" s="5"/>
      <c r="O31" s="5"/>
      <c r="P31" s="5"/>
      <c r="Q31" s="5"/>
      <c r="R31" s="5"/>
      <c r="S31" s="5"/>
      <c r="T31" s="5"/>
      <c r="U31" s="5"/>
    </row>
    <row r="32" spans="1:24" ht="24" customHeight="1">
      <c r="A32" s="5"/>
      <c r="B32" s="5"/>
      <c r="C32" s="50"/>
      <c r="D32" s="5"/>
      <c r="E32" s="5"/>
      <c r="F32" s="5"/>
      <c r="G32" s="102" t="s">
        <v>1762</v>
      </c>
      <c r="H32" s="102"/>
      <c r="I32" s="102"/>
      <c r="J32" s="102"/>
      <c r="K32" s="102"/>
      <c r="L32" s="102"/>
      <c r="M32" s="102"/>
      <c r="N32" s="102"/>
      <c r="O32" s="102"/>
      <c r="P32" s="102"/>
      <c r="Q32" s="102"/>
      <c r="R32" s="102"/>
      <c r="S32" s="5"/>
      <c r="T32" s="5"/>
      <c r="U32" s="5"/>
    </row>
    <row r="33" spans="1:21" ht="24" customHeight="1">
      <c r="A33" s="5"/>
      <c r="B33" s="5"/>
      <c r="C33" s="50"/>
      <c r="D33" s="5"/>
      <c r="E33" s="5"/>
      <c r="F33" s="5"/>
      <c r="G33" s="60" t="s">
        <v>1763</v>
      </c>
      <c r="H33" s="60"/>
      <c r="I33" s="60"/>
      <c r="J33" s="60"/>
      <c r="K33" s="60"/>
      <c r="L33" s="60"/>
      <c r="M33" s="60"/>
      <c r="N33" s="60"/>
      <c r="O33" s="60"/>
      <c r="P33" s="60"/>
      <c r="Q33" s="60"/>
      <c r="R33" s="60"/>
      <c r="S33" s="5"/>
      <c r="T33" s="5"/>
      <c r="U33" s="5"/>
    </row>
    <row r="34" spans="1:21" ht="24" customHeight="1">
      <c r="A34" s="5"/>
      <c r="B34" s="5"/>
      <c r="C34" s="50"/>
      <c r="D34" s="5"/>
      <c r="E34" s="5"/>
      <c r="F34" s="5"/>
      <c r="G34" s="60"/>
      <c r="H34" s="60"/>
      <c r="I34" s="60"/>
      <c r="J34" s="60"/>
      <c r="K34" s="60"/>
      <c r="L34" s="60"/>
      <c r="M34" s="60"/>
      <c r="N34" s="60"/>
      <c r="O34" s="60"/>
      <c r="P34" s="60"/>
      <c r="Q34" s="60"/>
      <c r="R34" s="60"/>
      <c r="S34" s="5"/>
      <c r="T34" s="5"/>
      <c r="U34" s="5"/>
    </row>
    <row r="35" spans="1:21" ht="24" customHeight="1">
      <c r="A35" s="5"/>
      <c r="B35" s="5"/>
      <c r="C35" s="50"/>
      <c r="D35" s="5"/>
      <c r="E35" s="5"/>
      <c r="F35" s="5"/>
      <c r="G35" s="5"/>
      <c r="H35" s="5"/>
      <c r="I35" s="5"/>
      <c r="J35" s="5"/>
      <c r="K35" s="5"/>
      <c r="L35" s="5"/>
      <c r="M35" s="5"/>
      <c r="N35" s="5"/>
      <c r="O35" s="5"/>
      <c r="P35" s="5"/>
      <c r="Q35" s="5"/>
      <c r="R35" s="5"/>
      <c r="S35" s="5"/>
      <c r="T35" s="5"/>
      <c r="U35" s="5"/>
    </row>
    <row r="36" spans="1:21" ht="24" customHeight="1">
      <c r="A36" s="5"/>
      <c r="B36" s="5"/>
      <c r="C36" s="50"/>
      <c r="D36" s="5"/>
      <c r="E36" s="5"/>
      <c r="F36" s="5"/>
      <c r="G36" s="102" t="s">
        <v>1764</v>
      </c>
      <c r="H36" s="102"/>
      <c r="I36" s="102"/>
      <c r="J36" s="102"/>
      <c r="K36" s="102"/>
      <c r="L36" s="102"/>
      <c r="M36" s="102"/>
      <c r="N36" s="102"/>
      <c r="O36" s="102"/>
      <c r="P36" s="102"/>
      <c r="Q36" s="102"/>
      <c r="R36" s="102"/>
      <c r="S36" s="5"/>
      <c r="T36" s="5"/>
      <c r="U36" s="5"/>
    </row>
    <row r="37" spans="1:21" ht="24" customHeight="1">
      <c r="A37" s="5"/>
      <c r="B37" s="5"/>
      <c r="C37" s="50"/>
      <c r="D37" s="5"/>
      <c r="E37" s="5"/>
      <c r="F37" s="5"/>
      <c r="G37" s="60" t="s">
        <v>1765</v>
      </c>
      <c r="H37" s="60"/>
      <c r="I37" s="60"/>
      <c r="J37" s="60"/>
      <c r="K37" s="60"/>
      <c r="L37" s="60"/>
      <c r="M37" s="60"/>
      <c r="N37" s="60"/>
      <c r="O37" s="60"/>
      <c r="P37" s="60"/>
      <c r="Q37" s="60"/>
      <c r="R37" s="60"/>
      <c r="S37" s="5"/>
      <c r="T37" s="5"/>
      <c r="U37" s="5"/>
    </row>
    <row r="38" spans="1:21" ht="24" customHeight="1">
      <c r="A38" s="5"/>
      <c r="B38" s="5"/>
      <c r="C38" s="50"/>
      <c r="D38" s="5"/>
      <c r="E38" s="5"/>
      <c r="F38" s="5"/>
      <c r="G38" s="60"/>
      <c r="H38" s="60"/>
      <c r="I38" s="60"/>
      <c r="J38" s="60"/>
      <c r="K38" s="60"/>
      <c r="L38" s="60"/>
      <c r="M38" s="60"/>
      <c r="N38" s="60"/>
      <c r="O38" s="60"/>
      <c r="P38" s="60"/>
      <c r="Q38" s="60"/>
      <c r="R38" s="60"/>
      <c r="S38" s="5"/>
      <c r="T38" s="5"/>
      <c r="U38" s="5"/>
    </row>
    <row r="39" spans="1:21" ht="24" customHeight="1">
      <c r="A39" s="5"/>
      <c r="B39" s="5"/>
      <c r="C39" s="50"/>
      <c r="D39" s="5"/>
      <c r="E39" s="5"/>
      <c r="F39" s="5"/>
      <c r="G39" s="5"/>
      <c r="H39" s="5"/>
      <c r="I39" s="5"/>
      <c r="J39" s="5"/>
      <c r="K39" s="5"/>
      <c r="L39" s="5"/>
      <c r="M39" s="5"/>
      <c r="N39" s="5"/>
      <c r="O39" s="5"/>
      <c r="P39" s="5"/>
      <c r="Q39" s="5"/>
      <c r="R39" s="5"/>
      <c r="S39" s="5"/>
      <c r="T39" s="5"/>
      <c r="U39" s="5"/>
    </row>
    <row r="40" spans="1:21" ht="24" customHeight="1">
      <c r="A40" s="5"/>
      <c r="B40" s="5"/>
      <c r="C40" s="5"/>
      <c r="D40" s="5"/>
      <c r="E40" s="5"/>
      <c r="F40" s="5"/>
      <c r="G40" s="66" t="s">
        <v>1766</v>
      </c>
      <c r="H40" s="66"/>
      <c r="I40" s="66"/>
      <c r="J40" s="66"/>
      <c r="K40" s="66"/>
      <c r="L40" s="66"/>
      <c r="M40" s="66"/>
      <c r="N40" s="66"/>
      <c r="O40" s="66"/>
      <c r="P40" s="66"/>
      <c r="Q40" s="66"/>
      <c r="R40" s="66"/>
      <c r="S40" s="5"/>
      <c r="T40" s="5"/>
      <c r="U40" s="5"/>
    </row>
    <row r="41" spans="1:21" ht="24" customHeight="1">
      <c r="A41" s="5"/>
      <c r="B41" s="5"/>
      <c r="C41" s="5"/>
      <c r="D41" s="5"/>
      <c r="E41" s="5"/>
      <c r="F41" s="5"/>
      <c r="G41" s="66"/>
      <c r="H41" s="66"/>
      <c r="I41" s="66"/>
      <c r="J41" s="66"/>
      <c r="K41" s="66"/>
      <c r="L41" s="66"/>
      <c r="M41" s="66"/>
      <c r="N41" s="66"/>
      <c r="O41" s="66"/>
      <c r="P41" s="66"/>
      <c r="Q41" s="66"/>
      <c r="R41" s="66"/>
      <c r="S41" s="5"/>
      <c r="T41" s="5"/>
      <c r="U41" s="5"/>
    </row>
    <row r="42" spans="1:21" ht="24" customHeight="1">
      <c r="A42" s="5"/>
      <c r="B42" s="5"/>
      <c r="C42" s="5"/>
      <c r="D42" s="5"/>
      <c r="E42" s="5"/>
      <c r="F42" s="5"/>
      <c r="G42" s="66" t="s">
        <v>1767</v>
      </c>
      <c r="H42" s="66"/>
      <c r="I42" s="66"/>
      <c r="J42" s="66"/>
      <c r="K42" s="66"/>
      <c r="L42" s="66"/>
      <c r="M42" s="66"/>
      <c r="N42" s="66"/>
      <c r="O42" s="66"/>
      <c r="P42" s="66"/>
      <c r="Q42" s="66"/>
      <c r="R42" s="66"/>
      <c r="S42" s="5"/>
      <c r="T42" s="5"/>
      <c r="U42" s="5"/>
    </row>
    <row r="43" spans="1:21" ht="24" customHeight="1">
      <c r="A43" s="5"/>
      <c r="B43" s="5"/>
      <c r="C43" s="5"/>
      <c r="D43" s="5"/>
      <c r="E43" s="5"/>
      <c r="F43" s="5"/>
      <c r="G43" s="66"/>
      <c r="H43" s="66"/>
      <c r="I43" s="66"/>
      <c r="J43" s="66"/>
      <c r="K43" s="66"/>
      <c r="L43" s="66"/>
      <c r="M43" s="66"/>
      <c r="N43" s="66"/>
      <c r="O43" s="66"/>
      <c r="P43" s="66"/>
      <c r="Q43" s="66"/>
      <c r="R43" s="66"/>
      <c r="S43" s="5"/>
      <c r="T43" s="5"/>
      <c r="U43" s="5"/>
    </row>
    <row r="44" spans="1:21" ht="24" customHeight="1">
      <c r="A44" s="5"/>
      <c r="B44" s="5"/>
      <c r="C44" s="5"/>
      <c r="D44" s="5"/>
      <c r="E44" s="5"/>
      <c r="F44" s="5"/>
      <c r="G44" s="66" t="s">
        <v>1768</v>
      </c>
      <c r="H44" s="66"/>
      <c r="I44" s="66"/>
      <c r="J44" s="66"/>
      <c r="K44" s="66"/>
      <c r="L44" s="66"/>
      <c r="M44" s="66"/>
      <c r="N44" s="66"/>
      <c r="O44" s="66"/>
      <c r="P44" s="66"/>
      <c r="Q44" s="66"/>
      <c r="R44" s="66"/>
      <c r="S44" s="5"/>
      <c r="T44" s="5"/>
      <c r="U44" s="5"/>
    </row>
    <row r="45" spans="1:21" ht="24" customHeight="1">
      <c r="A45" s="5"/>
      <c r="B45" s="5"/>
      <c r="C45" s="5"/>
      <c r="D45" s="5"/>
      <c r="E45" s="5"/>
      <c r="F45" s="5"/>
      <c r="G45" s="66"/>
      <c r="H45" s="66"/>
      <c r="I45" s="66"/>
      <c r="J45" s="66"/>
      <c r="K45" s="66"/>
      <c r="L45" s="66"/>
      <c r="M45" s="66"/>
      <c r="N45" s="66"/>
      <c r="O45" s="66"/>
      <c r="P45" s="66"/>
      <c r="Q45" s="66"/>
      <c r="R45" s="66"/>
      <c r="S45" s="5"/>
      <c r="T45" s="5"/>
      <c r="U45" s="5"/>
    </row>
    <row r="46" spans="1:21" ht="24" customHeight="1">
      <c r="A46" s="5"/>
      <c r="B46" s="5"/>
      <c r="C46" s="5"/>
      <c r="D46" s="5"/>
      <c r="E46" s="5"/>
      <c r="F46" s="5"/>
      <c r="G46" s="66" t="s">
        <v>1769</v>
      </c>
      <c r="H46" s="66"/>
      <c r="I46" s="66"/>
      <c r="J46" s="66"/>
      <c r="K46" s="66"/>
      <c r="L46" s="66"/>
      <c r="M46" s="66"/>
      <c r="N46" s="66"/>
      <c r="O46" s="66"/>
      <c r="P46" s="66"/>
      <c r="Q46" s="66"/>
      <c r="R46" s="66"/>
      <c r="S46" s="5"/>
      <c r="T46" s="5"/>
      <c r="U46" s="5"/>
    </row>
    <row r="47" spans="1:21" ht="24" customHeight="1">
      <c r="A47" s="5"/>
      <c r="B47" s="5"/>
      <c r="C47" s="5"/>
      <c r="D47" s="5"/>
      <c r="E47" s="5"/>
      <c r="F47" s="5"/>
      <c r="G47" s="66"/>
      <c r="H47" s="66"/>
      <c r="I47" s="66"/>
      <c r="J47" s="66"/>
      <c r="K47" s="66"/>
      <c r="L47" s="66"/>
      <c r="M47" s="66"/>
      <c r="N47" s="66"/>
      <c r="O47" s="66"/>
      <c r="P47" s="66"/>
      <c r="Q47" s="66"/>
      <c r="R47" s="66"/>
      <c r="S47" s="5"/>
      <c r="T47" s="5"/>
      <c r="U47" s="5"/>
    </row>
    <row r="48" spans="1:21" ht="24" customHeight="1">
      <c r="A48" s="5"/>
      <c r="B48" s="5"/>
      <c r="C48" s="5"/>
      <c r="D48" s="5"/>
      <c r="E48" s="5"/>
      <c r="F48" s="5"/>
      <c r="G48" s="66" t="s">
        <v>1770</v>
      </c>
      <c r="H48" s="66"/>
      <c r="I48" s="66"/>
      <c r="J48" s="66"/>
      <c r="K48" s="66"/>
      <c r="L48" s="66"/>
      <c r="M48" s="66"/>
      <c r="N48" s="66"/>
      <c r="O48" s="66"/>
      <c r="P48" s="66"/>
      <c r="Q48" s="66"/>
      <c r="R48" s="66"/>
      <c r="S48" s="5"/>
      <c r="T48" s="5"/>
      <c r="U48" s="5"/>
    </row>
    <row r="49" spans="1:21" ht="24" customHeight="1">
      <c r="A49" s="5"/>
      <c r="B49" s="5"/>
      <c r="C49" s="5"/>
      <c r="D49" s="5"/>
      <c r="E49" s="5"/>
      <c r="F49" s="5"/>
      <c r="G49" s="66"/>
      <c r="H49" s="66"/>
      <c r="I49" s="66"/>
      <c r="J49" s="66"/>
      <c r="K49" s="66"/>
      <c r="L49" s="66"/>
      <c r="M49" s="66"/>
      <c r="N49" s="66"/>
      <c r="O49" s="66"/>
      <c r="P49" s="66"/>
      <c r="Q49" s="66"/>
      <c r="R49" s="66"/>
      <c r="S49" s="5"/>
      <c r="T49" s="5"/>
      <c r="U49" s="5"/>
    </row>
    <row r="50" spans="1:21" ht="24" customHeight="1">
      <c r="A50" s="5"/>
      <c r="B50" s="5"/>
      <c r="C50" s="5"/>
      <c r="D50" s="5"/>
      <c r="E50" s="5"/>
      <c r="F50" s="5"/>
      <c r="G50" s="66" t="s">
        <v>1771</v>
      </c>
      <c r="H50" s="66"/>
      <c r="I50" s="66"/>
      <c r="J50" s="66"/>
      <c r="K50" s="66"/>
      <c r="L50" s="66"/>
      <c r="M50" s="66"/>
      <c r="N50" s="66"/>
      <c r="O50" s="66"/>
      <c r="P50" s="66"/>
      <c r="Q50" s="66"/>
      <c r="R50" s="66"/>
      <c r="S50" s="5"/>
      <c r="T50" s="5"/>
      <c r="U50" s="5"/>
    </row>
    <row r="51" spans="1:21" ht="24" customHeight="1">
      <c r="A51" s="5"/>
      <c r="B51" s="5"/>
      <c r="C51" s="5"/>
      <c r="D51" s="5"/>
      <c r="E51" s="5"/>
      <c r="F51" s="5"/>
      <c r="G51" s="66"/>
      <c r="H51" s="66"/>
      <c r="I51" s="66"/>
      <c r="J51" s="66"/>
      <c r="K51" s="66"/>
      <c r="L51" s="66"/>
      <c r="M51" s="66"/>
      <c r="N51" s="66"/>
      <c r="O51" s="66"/>
      <c r="P51" s="66"/>
      <c r="Q51" s="66"/>
      <c r="R51" s="66"/>
      <c r="S51" s="5"/>
      <c r="T51" s="5"/>
      <c r="U51" s="5"/>
    </row>
    <row r="52" spans="1:21" ht="24" customHeight="1">
      <c r="A52" s="5"/>
      <c r="B52" s="5"/>
      <c r="C52" s="5"/>
      <c r="D52" s="5"/>
      <c r="E52" s="5"/>
      <c r="F52" s="5"/>
      <c r="G52" s="5"/>
      <c r="H52" s="5"/>
      <c r="I52" s="5"/>
      <c r="J52" s="5"/>
      <c r="K52" s="5"/>
      <c r="L52" s="5"/>
      <c r="M52" s="5"/>
      <c r="N52" s="5"/>
      <c r="O52" s="5"/>
      <c r="P52" s="5"/>
      <c r="Q52" s="5"/>
      <c r="R52" s="5"/>
      <c r="S52" s="5"/>
      <c r="T52" s="5"/>
      <c r="U52" s="5"/>
    </row>
    <row r="53" spans="1:21" ht="24" customHeight="1">
      <c r="A53" s="5"/>
      <c r="B53" s="5"/>
      <c r="C53" s="5"/>
      <c r="D53" s="5"/>
      <c r="E53" s="5"/>
      <c r="F53" s="5"/>
      <c r="G53" s="130" t="s">
        <v>1772</v>
      </c>
      <c r="H53" s="130"/>
      <c r="I53" s="130"/>
      <c r="J53" s="130"/>
      <c r="K53" s="130"/>
      <c r="L53" s="130"/>
      <c r="M53" s="130"/>
      <c r="N53" s="130"/>
      <c r="O53" s="130"/>
      <c r="P53" s="130"/>
      <c r="Q53" s="130"/>
      <c r="R53" s="130"/>
      <c r="S53" s="5"/>
      <c r="T53" s="5"/>
      <c r="U53" s="5"/>
    </row>
    <row r="54" spans="1:21" ht="24" customHeight="1">
      <c r="A54" s="5"/>
      <c r="B54" s="5"/>
      <c r="C54" s="5"/>
      <c r="D54" s="5"/>
      <c r="E54" s="5"/>
      <c r="F54" s="5"/>
      <c r="G54" s="5"/>
      <c r="H54" s="5"/>
      <c r="I54" s="5"/>
      <c r="J54" s="5"/>
      <c r="K54" s="5"/>
      <c r="L54" s="5"/>
      <c r="M54" s="5"/>
      <c r="N54" s="5"/>
      <c r="O54" s="5"/>
      <c r="P54" s="5"/>
      <c r="Q54" s="5"/>
      <c r="R54" s="5"/>
      <c r="S54" s="5"/>
      <c r="T54" s="5"/>
      <c r="U54" s="5"/>
    </row>
    <row r="55" spans="1:21" ht="24" customHeight="1">
      <c r="A55" s="5"/>
      <c r="B55" s="5"/>
      <c r="C55" s="5"/>
      <c r="D55" s="5"/>
      <c r="E55" s="5"/>
      <c r="F55" s="5"/>
      <c r="G55" s="57" t="s">
        <v>1773</v>
      </c>
      <c r="H55" s="57"/>
      <c r="I55" s="57"/>
      <c r="J55" s="57"/>
      <c r="K55" s="57"/>
      <c r="L55" s="57"/>
      <c r="M55" s="57"/>
      <c r="N55" s="57"/>
      <c r="O55" s="57"/>
      <c r="P55" s="57"/>
      <c r="Q55" s="57"/>
      <c r="R55" s="57"/>
      <c r="S55" s="5"/>
      <c r="T55" s="5"/>
      <c r="U55" s="5"/>
    </row>
    <row r="56" spans="1:21" ht="24" customHeight="1">
      <c r="A56" s="5"/>
      <c r="B56" s="5"/>
      <c r="C56" s="5"/>
      <c r="D56" s="5"/>
      <c r="E56" s="5"/>
      <c r="F56" s="5"/>
      <c r="G56" s="66" t="s">
        <v>1774</v>
      </c>
      <c r="H56" s="66"/>
      <c r="I56" s="66"/>
      <c r="J56" s="66"/>
      <c r="K56" s="66"/>
      <c r="L56" s="66"/>
      <c r="M56" s="66"/>
      <c r="N56" s="66"/>
      <c r="O56" s="66"/>
      <c r="P56" s="66"/>
      <c r="Q56" s="66"/>
      <c r="R56" s="66"/>
      <c r="S56" s="5"/>
      <c r="T56" s="5"/>
      <c r="U56" s="5"/>
    </row>
    <row r="57" spans="1:21" ht="24" customHeight="1">
      <c r="A57" s="5"/>
      <c r="B57" s="5"/>
      <c r="C57" s="5"/>
      <c r="D57" s="5"/>
      <c r="E57" s="5"/>
      <c r="F57" s="5"/>
      <c r="G57" s="57" t="s">
        <v>1775</v>
      </c>
      <c r="H57" s="57"/>
      <c r="I57" s="57"/>
      <c r="J57" s="57"/>
      <c r="K57" s="57"/>
      <c r="L57" s="57"/>
      <c r="M57" s="57"/>
      <c r="N57" s="57"/>
      <c r="O57" s="57"/>
      <c r="P57" s="57"/>
      <c r="Q57" s="57"/>
      <c r="R57" s="57"/>
      <c r="S57" s="5"/>
      <c r="T57" s="5"/>
      <c r="U57" s="5"/>
    </row>
    <row r="58" spans="1:21" ht="24" customHeight="1">
      <c r="A58" s="5"/>
      <c r="B58" s="5"/>
      <c r="C58" s="5"/>
      <c r="D58" s="5"/>
      <c r="E58" s="5"/>
      <c r="F58" s="5"/>
      <c r="G58" s="66" t="s">
        <v>1776</v>
      </c>
      <c r="H58" s="66"/>
      <c r="I58" s="66"/>
      <c r="J58" s="66"/>
      <c r="K58" s="66"/>
      <c r="L58" s="66"/>
      <c r="M58" s="66"/>
      <c r="N58" s="66"/>
      <c r="O58" s="66"/>
      <c r="P58" s="66"/>
      <c r="Q58" s="66"/>
      <c r="R58" s="66"/>
      <c r="S58" s="5"/>
      <c r="T58" s="5"/>
      <c r="U58" s="5"/>
    </row>
    <row r="59" spans="1:21" ht="24" customHeight="1">
      <c r="A59" s="5"/>
      <c r="B59" s="5"/>
      <c r="C59" s="5"/>
      <c r="D59" s="5"/>
      <c r="E59" s="5"/>
      <c r="F59" s="5"/>
      <c r="G59" s="57" t="s">
        <v>1777</v>
      </c>
      <c r="H59" s="57"/>
      <c r="I59" s="57"/>
      <c r="J59" s="57"/>
      <c r="K59" s="57"/>
      <c r="L59" s="57"/>
      <c r="M59" s="57"/>
      <c r="N59" s="57"/>
      <c r="O59" s="57"/>
      <c r="P59" s="57"/>
      <c r="Q59" s="57"/>
      <c r="R59" s="57"/>
      <c r="S59" s="5"/>
      <c r="T59" s="5"/>
      <c r="U59" s="5"/>
    </row>
    <row r="60" spans="1:21" ht="24" customHeight="1">
      <c r="A60" s="5"/>
      <c r="B60" s="5"/>
      <c r="C60" s="5"/>
      <c r="D60" s="5"/>
      <c r="E60" s="5"/>
      <c r="F60" s="5"/>
      <c r="G60" s="66" t="s">
        <v>1778</v>
      </c>
      <c r="H60" s="66"/>
      <c r="I60" s="66"/>
      <c r="J60" s="66"/>
      <c r="K60" s="66"/>
      <c r="L60" s="66"/>
      <c r="M60" s="66"/>
      <c r="N60" s="66"/>
      <c r="O60" s="66"/>
      <c r="P60" s="66"/>
      <c r="Q60" s="66"/>
      <c r="R60" s="66"/>
      <c r="S60" s="5"/>
      <c r="T60" s="5"/>
      <c r="U60" s="5"/>
    </row>
    <row r="61" spans="1:21" ht="24" customHeight="1">
      <c r="A61" s="5"/>
      <c r="B61" s="5"/>
      <c r="C61" s="5"/>
      <c r="D61" s="5"/>
      <c r="E61" s="5"/>
      <c r="F61" s="5"/>
      <c r="G61" s="57" t="s">
        <v>1779</v>
      </c>
      <c r="H61" s="57"/>
      <c r="I61" s="57"/>
      <c r="J61" s="57"/>
      <c r="K61" s="57"/>
      <c r="L61" s="57"/>
      <c r="M61" s="57"/>
      <c r="N61" s="57"/>
      <c r="O61" s="57"/>
      <c r="P61" s="57"/>
      <c r="Q61" s="57"/>
      <c r="R61" s="57"/>
      <c r="S61" s="5"/>
      <c r="T61" s="5"/>
      <c r="U61" s="5"/>
    </row>
    <row r="62" spans="1:21" ht="24" customHeight="1">
      <c r="A62" s="5"/>
      <c r="B62" s="5"/>
      <c r="C62" s="5"/>
      <c r="D62" s="5"/>
      <c r="E62" s="5"/>
      <c r="F62" s="5"/>
      <c r="G62" s="66" t="s">
        <v>1780</v>
      </c>
      <c r="H62" s="66"/>
      <c r="I62" s="66"/>
      <c r="J62" s="66"/>
      <c r="K62" s="66"/>
      <c r="L62" s="66"/>
      <c r="M62" s="66"/>
      <c r="N62" s="66"/>
      <c r="O62" s="66"/>
      <c r="P62" s="66"/>
      <c r="Q62" s="66"/>
      <c r="R62" s="66"/>
      <c r="S62" s="5"/>
      <c r="T62" s="5"/>
      <c r="U62" s="5"/>
    </row>
    <row r="63" spans="1:21" ht="24" customHeight="1">
      <c r="A63" s="5"/>
      <c r="B63" s="5"/>
      <c r="C63" s="5"/>
      <c r="D63" s="5"/>
      <c r="E63" s="5"/>
      <c r="F63" s="5"/>
      <c r="G63" s="5"/>
      <c r="H63" s="5"/>
      <c r="I63" s="5"/>
      <c r="J63" s="5"/>
      <c r="K63" s="5"/>
      <c r="L63" s="5"/>
      <c r="M63" s="5"/>
      <c r="N63" s="5"/>
      <c r="O63" s="5"/>
      <c r="P63" s="5"/>
      <c r="Q63" s="5"/>
      <c r="R63" s="5"/>
      <c r="S63" s="5"/>
      <c r="T63" s="5"/>
      <c r="U63" s="5"/>
    </row>
    <row r="64" spans="1:21" ht="26.1" customHeight="1">
      <c r="A64" s="5"/>
      <c r="B64" s="5"/>
      <c r="C64" s="5"/>
      <c r="D64" s="5"/>
      <c r="E64" s="5"/>
      <c r="F64" s="5"/>
      <c r="G64" s="63" t="s">
        <v>1781</v>
      </c>
      <c r="H64" s="63"/>
      <c r="I64" s="63"/>
      <c r="J64" s="63"/>
      <c r="K64" s="63"/>
      <c r="L64" s="63"/>
      <c r="M64" s="63"/>
      <c r="N64" s="63"/>
      <c r="O64" s="63"/>
      <c r="P64" s="63"/>
      <c r="Q64" s="63"/>
      <c r="R64" s="63"/>
      <c r="S64" s="5"/>
      <c r="T64" s="5"/>
      <c r="U64" s="5"/>
    </row>
    <row r="65" spans="1:21" ht="26.1" customHeight="1">
      <c r="A65" s="5"/>
      <c r="B65" s="5"/>
      <c r="C65" s="5"/>
      <c r="D65" s="5"/>
      <c r="E65" s="5"/>
      <c r="F65" s="5"/>
      <c r="G65" s="60" t="s">
        <v>1782</v>
      </c>
      <c r="H65" s="60"/>
      <c r="I65" s="60"/>
      <c r="J65" s="60"/>
      <c r="K65" s="60"/>
      <c r="L65" s="60"/>
      <c r="M65" s="60"/>
      <c r="N65" s="60"/>
      <c r="O65" s="60"/>
      <c r="P65" s="60"/>
      <c r="Q65" s="60"/>
      <c r="R65" s="60"/>
      <c r="S65" s="5"/>
      <c r="T65" s="5"/>
      <c r="U65" s="5"/>
    </row>
    <row r="66" spans="1:21" ht="26.1" customHeight="1">
      <c r="G66" s="60"/>
      <c r="H66" s="60"/>
      <c r="I66" s="60"/>
      <c r="J66" s="60"/>
      <c r="K66" s="60"/>
      <c r="L66" s="60"/>
      <c r="M66" s="60"/>
      <c r="N66" s="60"/>
      <c r="O66" s="60"/>
      <c r="P66" s="60"/>
      <c r="Q66" s="60"/>
      <c r="R66" s="60"/>
    </row>
    <row r="67" spans="1:21" ht="26.1" customHeight="1">
      <c r="G67" s="60" t="s">
        <v>1783</v>
      </c>
      <c r="H67" s="60"/>
      <c r="I67" s="60"/>
      <c r="J67" s="60"/>
      <c r="K67" s="60"/>
      <c r="L67" s="60"/>
      <c r="M67" s="60"/>
      <c r="N67" s="60"/>
      <c r="O67" s="60"/>
      <c r="P67" s="60"/>
      <c r="Q67" s="60"/>
      <c r="R67" s="60"/>
    </row>
    <row r="68" spans="1:21" ht="26.1" customHeight="1">
      <c r="G68" s="60"/>
      <c r="H68" s="60"/>
      <c r="I68" s="60"/>
      <c r="J68" s="60"/>
      <c r="K68" s="60"/>
      <c r="L68" s="60"/>
      <c r="M68" s="60"/>
      <c r="N68" s="60"/>
      <c r="O68" s="60"/>
      <c r="P68" s="60"/>
      <c r="Q68" s="60"/>
      <c r="R68" s="60"/>
    </row>
    <row r="69" spans="1:21" ht="26.1" customHeight="1">
      <c r="G69" s="60" t="s">
        <v>1784</v>
      </c>
      <c r="H69" s="60"/>
      <c r="I69" s="60"/>
      <c r="J69" s="60"/>
      <c r="K69" s="60"/>
      <c r="L69" s="60"/>
      <c r="M69" s="60"/>
      <c r="N69" s="60"/>
      <c r="O69" s="60"/>
      <c r="P69" s="60"/>
      <c r="Q69" s="60"/>
      <c r="R69" s="60"/>
    </row>
    <row r="70" spans="1:21" ht="26.1" customHeight="1">
      <c r="G70" s="60"/>
      <c r="H70" s="60"/>
      <c r="I70" s="60"/>
      <c r="J70" s="60"/>
      <c r="K70" s="60"/>
      <c r="L70" s="60"/>
      <c r="M70" s="60"/>
      <c r="N70" s="60"/>
      <c r="O70" s="60"/>
      <c r="P70" s="60"/>
      <c r="Q70" s="60"/>
      <c r="R70" s="60"/>
    </row>
    <row r="71" spans="1:21" ht="26.1" customHeight="1">
      <c r="G71" s="60" t="s">
        <v>1785</v>
      </c>
      <c r="H71" s="60"/>
      <c r="I71" s="60"/>
      <c r="J71" s="60"/>
      <c r="K71" s="60"/>
      <c r="L71" s="60"/>
      <c r="M71" s="60"/>
      <c r="N71" s="60"/>
      <c r="O71" s="60"/>
      <c r="P71" s="60"/>
      <c r="Q71" s="60"/>
      <c r="R71" s="60"/>
    </row>
    <row r="72" spans="1:21" ht="26.1" customHeight="1">
      <c r="G72" s="60"/>
      <c r="H72" s="60"/>
      <c r="I72" s="60"/>
      <c r="J72" s="60"/>
      <c r="K72" s="60"/>
      <c r="L72" s="60"/>
      <c r="M72" s="60"/>
      <c r="N72" s="60"/>
      <c r="O72" s="60"/>
      <c r="P72" s="60"/>
      <c r="Q72" s="60"/>
      <c r="R72" s="60"/>
    </row>
    <row r="73" spans="1:21" ht="26.1" customHeight="1">
      <c r="G73" s="60" t="s">
        <v>1786</v>
      </c>
      <c r="H73" s="60"/>
      <c r="I73" s="60"/>
      <c r="J73" s="60"/>
      <c r="K73" s="60"/>
      <c r="L73" s="60"/>
      <c r="M73" s="60"/>
      <c r="N73" s="60"/>
      <c r="O73" s="60"/>
      <c r="P73" s="60"/>
      <c r="Q73" s="60"/>
      <c r="R73" s="60"/>
    </row>
    <row r="74" spans="1:21" ht="26.1" customHeight="1">
      <c r="G74" s="60"/>
      <c r="H74" s="60"/>
      <c r="I74" s="60"/>
      <c r="J74" s="60"/>
      <c r="K74" s="60"/>
      <c r="L74" s="60"/>
      <c r="M74" s="60"/>
      <c r="N74" s="60"/>
      <c r="O74" s="60"/>
      <c r="P74" s="60"/>
      <c r="Q74" s="60"/>
      <c r="R74" s="60"/>
    </row>
    <row r="75" spans="1:21" ht="26.1" customHeight="1">
      <c r="G75" s="60" t="s">
        <v>1787</v>
      </c>
      <c r="H75" s="60"/>
      <c r="I75" s="60"/>
      <c r="J75" s="60"/>
      <c r="K75" s="60"/>
      <c r="L75" s="60"/>
      <c r="M75" s="60"/>
      <c r="N75" s="60"/>
      <c r="O75" s="60"/>
      <c r="P75" s="60"/>
      <c r="Q75" s="60"/>
      <c r="R75" s="60"/>
    </row>
    <row r="76" spans="1:21" ht="26.1" customHeight="1">
      <c r="G76" s="60"/>
      <c r="H76" s="60"/>
      <c r="I76" s="60"/>
      <c r="J76" s="60"/>
      <c r="K76" s="60"/>
      <c r="L76" s="60"/>
      <c r="M76" s="60"/>
      <c r="N76" s="60"/>
      <c r="O76" s="60"/>
      <c r="P76" s="60"/>
      <c r="Q76" s="60"/>
      <c r="R76" s="60"/>
    </row>
    <row r="77" spans="1:21" ht="26.1" customHeight="1">
      <c r="G77" s="60" t="s">
        <v>1788</v>
      </c>
      <c r="H77" s="60"/>
      <c r="I77" s="60"/>
      <c r="J77" s="60"/>
      <c r="K77" s="60"/>
      <c r="L77" s="60"/>
      <c r="M77" s="60"/>
      <c r="N77" s="60"/>
      <c r="O77" s="60"/>
      <c r="P77" s="60"/>
      <c r="Q77" s="60"/>
      <c r="R77" s="60"/>
    </row>
    <row r="78" spans="1:21" ht="26.1" customHeight="1">
      <c r="G78" s="60"/>
      <c r="H78" s="60"/>
      <c r="I78" s="60"/>
      <c r="J78" s="60"/>
      <c r="K78" s="60"/>
      <c r="L78" s="60"/>
      <c r="M78" s="60"/>
      <c r="N78" s="60"/>
      <c r="O78" s="60"/>
      <c r="P78" s="60"/>
      <c r="Q78" s="60"/>
      <c r="R78" s="60"/>
    </row>
    <row r="80" spans="1:21" ht="15" customHeight="1">
      <c r="G80" s="131" t="s">
        <v>1789</v>
      </c>
      <c r="H80" s="131"/>
      <c r="I80" s="131"/>
      <c r="J80" s="131"/>
      <c r="K80" s="131"/>
      <c r="L80" s="131"/>
      <c r="M80" s="131"/>
      <c r="N80" s="131"/>
      <c r="O80" s="131"/>
      <c r="P80" s="131"/>
      <c r="Q80" s="131"/>
      <c r="R80" s="131"/>
    </row>
    <row r="81" spans="7:18" ht="15" customHeight="1">
      <c r="G81" s="132" t="s">
        <v>1790</v>
      </c>
      <c r="H81" s="132"/>
      <c r="I81" s="132"/>
      <c r="J81" s="132"/>
      <c r="K81" s="132"/>
      <c r="L81" s="132"/>
      <c r="M81" s="132"/>
      <c r="N81" s="132"/>
      <c r="O81" s="132"/>
      <c r="P81" s="132"/>
      <c r="Q81" s="132"/>
      <c r="R81" s="132"/>
    </row>
    <row r="82" spans="7:18" ht="15" customHeight="1">
      <c r="G82" s="132"/>
      <c r="H82" s="132"/>
      <c r="I82" s="132"/>
      <c r="J82" s="132"/>
      <c r="K82" s="132"/>
      <c r="L82" s="132"/>
      <c r="M82" s="132"/>
      <c r="N82" s="132"/>
      <c r="O82" s="132"/>
      <c r="P82" s="132"/>
      <c r="Q82" s="132"/>
      <c r="R82" s="132"/>
    </row>
    <row r="83" spans="7:18" ht="15" customHeight="1">
      <c r="G83" s="132" t="s">
        <v>1791</v>
      </c>
      <c r="H83" s="132"/>
      <c r="I83" s="132"/>
      <c r="J83" s="132"/>
      <c r="K83" s="132"/>
      <c r="L83" s="132"/>
      <c r="M83" s="132"/>
      <c r="N83" s="132"/>
      <c r="O83" s="132"/>
      <c r="P83" s="132"/>
      <c r="Q83" s="132"/>
      <c r="R83" s="132"/>
    </row>
    <row r="84" spans="7:18" ht="15" customHeight="1">
      <c r="G84" s="132"/>
      <c r="H84" s="132"/>
      <c r="I84" s="132"/>
      <c r="J84" s="132"/>
      <c r="K84" s="132"/>
      <c r="L84" s="132"/>
      <c r="M84" s="132"/>
      <c r="N84" s="132"/>
      <c r="O84" s="132"/>
      <c r="P84" s="132"/>
      <c r="Q84" s="132"/>
      <c r="R84" s="132"/>
    </row>
  </sheetData>
  <mergeCells count="64">
    <mergeCell ref="G83:R84"/>
    <mergeCell ref="G73:R74"/>
    <mergeCell ref="G75:R76"/>
    <mergeCell ref="G77:R78"/>
    <mergeCell ref="G80:R80"/>
    <mergeCell ref="G81:R82"/>
    <mergeCell ref="G64:R64"/>
    <mergeCell ref="G65:R66"/>
    <mergeCell ref="G67:R68"/>
    <mergeCell ref="G69:R70"/>
    <mergeCell ref="G71:R72"/>
    <mergeCell ref="G59:R59"/>
    <mergeCell ref="G60:R60"/>
    <mergeCell ref="G61:R61"/>
    <mergeCell ref="G62:R62"/>
    <mergeCell ref="A5:R5"/>
    <mergeCell ref="G53:R53"/>
    <mergeCell ref="G55:R55"/>
    <mergeCell ref="G56:R56"/>
    <mergeCell ref="G57:R57"/>
    <mergeCell ref="G58:R58"/>
    <mergeCell ref="G42:R43"/>
    <mergeCell ref="G44:R45"/>
    <mergeCell ref="G46:R47"/>
    <mergeCell ref="G48:R49"/>
    <mergeCell ref="G50:R51"/>
    <mergeCell ref="G32:R32"/>
    <mergeCell ref="G33:R34"/>
    <mergeCell ref="G36:R36"/>
    <mergeCell ref="G37:R38"/>
    <mergeCell ref="G40:R41"/>
    <mergeCell ref="G21:R22"/>
    <mergeCell ref="G24:R24"/>
    <mergeCell ref="G25:R26"/>
    <mergeCell ref="G28:R28"/>
    <mergeCell ref="G29:R30"/>
    <mergeCell ref="G15:I15"/>
    <mergeCell ref="K15:R15"/>
    <mergeCell ref="G16:R17"/>
    <mergeCell ref="G18:R18"/>
    <mergeCell ref="G20:R20"/>
    <mergeCell ref="G12:I12"/>
    <mergeCell ref="K12:R12"/>
    <mergeCell ref="G13:I13"/>
    <mergeCell ref="K13:R13"/>
    <mergeCell ref="G14:I14"/>
    <mergeCell ref="K14:R14"/>
    <mergeCell ref="A6:E6"/>
    <mergeCell ref="G6:R6"/>
    <mergeCell ref="G10:I10"/>
    <mergeCell ref="K10:R10"/>
    <mergeCell ref="G11:I11"/>
    <mergeCell ref="K11:R11"/>
    <mergeCell ref="A2:R2"/>
    <mergeCell ref="A3:R3"/>
    <mergeCell ref="A4:B4"/>
    <mergeCell ref="C4:D4"/>
    <mergeCell ref="E4:F4"/>
    <mergeCell ref="G4:H4"/>
    <mergeCell ref="I4:J4"/>
    <mergeCell ref="K4:L4"/>
    <mergeCell ref="M4:N4"/>
    <mergeCell ref="O4:P4"/>
    <mergeCell ref="Q4:R4"/>
  </mergeCells>
  <dataValidations count="1">
    <dataValidation type="whole" sqref="J10:J11" xr:uid="{00000000-0002-0000-0800-000000000000}">
      <formula1>1</formula1>
      <formula2>365</formula2>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C8CA3"/>
  </sheetPr>
  <dimension ref="A1:M60"/>
  <sheetViews>
    <sheetView showGridLines="0" workbookViewId="0">
      <pane ySplit="9" topLeftCell="A10" activePane="bottomLeft" state="frozen"/>
      <selection pane="bottomLeft"/>
    </sheetView>
  </sheetViews>
  <sheetFormatPr defaultRowHeight="14.25"/>
  <cols>
    <col min="1" max="8" width="13" customWidth="1"/>
    <col min="9" max="9" width="3" customWidth="1"/>
    <col min="10" max="10" width="29" customWidth="1"/>
    <col min="11" max="11" width="60" customWidth="1"/>
    <col min="12" max="12" width="32" customWidth="1"/>
    <col min="13" max="13" width="75" customWidth="1"/>
  </cols>
  <sheetData>
    <row r="1" spans="1:13" ht="24" customHeight="1">
      <c r="A1" s="35"/>
      <c r="B1" s="35"/>
      <c r="C1" s="35"/>
      <c r="D1" s="35"/>
      <c r="E1" s="35"/>
      <c r="F1" s="35"/>
      <c r="G1" s="35"/>
      <c r="H1" s="35"/>
      <c r="I1" s="35"/>
      <c r="J1" s="35"/>
      <c r="K1" s="35"/>
      <c r="L1" s="35"/>
      <c r="M1" s="35"/>
    </row>
    <row r="2" spans="1:13" ht="33.950000000000003" customHeight="1">
      <c r="A2" s="133" t="s">
        <v>1792</v>
      </c>
      <c r="B2" s="133"/>
      <c r="C2" s="133"/>
      <c r="D2" s="133"/>
      <c r="E2" s="133"/>
      <c r="F2" s="133"/>
      <c r="G2" s="133"/>
      <c r="H2" s="133"/>
      <c r="I2" s="35"/>
      <c r="J2" s="140" t="s">
        <v>1793</v>
      </c>
      <c r="K2" s="140"/>
      <c r="L2" s="140"/>
      <c r="M2" s="140"/>
    </row>
    <row r="3" spans="1:13" ht="48" customHeight="1">
      <c r="A3" s="134" t="s">
        <v>1794</v>
      </c>
      <c r="B3" s="134"/>
      <c r="C3" s="134"/>
      <c r="D3" s="134"/>
      <c r="E3" s="134"/>
      <c r="F3" s="134"/>
      <c r="G3" s="134"/>
      <c r="H3" s="134"/>
      <c r="I3" s="35"/>
      <c r="J3" s="141" t="s">
        <v>1795</v>
      </c>
      <c r="K3" s="141"/>
      <c r="L3" s="141"/>
      <c r="M3" s="141"/>
    </row>
    <row r="4" spans="1:13" ht="24" customHeight="1">
      <c r="A4" s="135" t="str">
        <f>IFERROR(HYPERLINK("#'Painel'!A1","VOLTAR AO PAINEL"),"VOLTAR AO PAINEL")</f>
        <v>VOLTAR AO PAINEL</v>
      </c>
      <c r="B4" s="135"/>
      <c r="C4" s="135"/>
      <c r="D4" s="135"/>
      <c r="E4" s="135" t="str">
        <f>IFERROR(HYPERLINK("#'Críticos'!A1","ABRIR CRÍTICOS"),"ABRIR CRÍTICOS")</f>
        <v>ABRIR CRÍTICOS</v>
      </c>
      <c r="F4" s="135"/>
      <c r="G4" s="135"/>
      <c r="H4" s="135"/>
      <c r="I4" s="35"/>
      <c r="J4" s="141"/>
      <c r="K4" s="141"/>
      <c r="L4" s="141"/>
      <c r="M4" s="141"/>
    </row>
    <row r="5" spans="1:13" ht="24" customHeight="1">
      <c r="A5" s="35"/>
      <c r="B5" s="35"/>
      <c r="C5" s="35"/>
      <c r="D5" s="35"/>
      <c r="E5" s="35"/>
      <c r="F5" s="35"/>
      <c r="G5" s="35"/>
      <c r="H5" s="35"/>
      <c r="I5" s="35"/>
      <c r="J5" s="35"/>
      <c r="K5" s="35"/>
      <c r="L5" s="35"/>
      <c r="M5" s="35"/>
    </row>
    <row r="6" spans="1:13" ht="38.1" customHeight="1">
      <c r="A6" s="133" t="s">
        <v>1796</v>
      </c>
      <c r="B6" s="133"/>
      <c r="C6" s="133"/>
      <c r="D6" s="133"/>
      <c r="E6" s="133"/>
      <c r="F6" s="133"/>
      <c r="G6" s="133"/>
      <c r="H6" s="133"/>
      <c r="I6" s="35"/>
      <c r="J6" s="35"/>
      <c r="K6" s="35"/>
      <c r="L6" s="35"/>
      <c r="M6" s="35"/>
    </row>
    <row r="7" spans="1:13" ht="50.1" customHeight="1">
      <c r="A7" s="134" t="s">
        <v>1797</v>
      </c>
      <c r="B7" s="134"/>
      <c r="C7" s="134"/>
      <c r="D7" s="134"/>
      <c r="E7" s="134"/>
      <c r="F7" s="134"/>
      <c r="G7" s="134"/>
      <c r="H7" s="134"/>
      <c r="I7" s="35"/>
      <c r="J7" s="35"/>
      <c r="K7" s="35"/>
      <c r="L7" s="35"/>
      <c r="M7" s="35"/>
    </row>
    <row r="8" spans="1:13" ht="24" customHeight="1">
      <c r="A8" s="35"/>
      <c r="B8" s="35"/>
      <c r="C8" s="35"/>
      <c r="D8" s="35"/>
      <c r="E8" s="35"/>
      <c r="F8" s="35"/>
      <c r="G8" s="35"/>
      <c r="H8" s="35"/>
      <c r="I8" s="35"/>
      <c r="J8" s="35"/>
      <c r="K8" s="35"/>
      <c r="L8" s="35"/>
      <c r="M8" s="35"/>
    </row>
    <row r="9" spans="1:13" ht="24" customHeight="1">
      <c r="A9" s="136" t="s">
        <v>1798</v>
      </c>
      <c r="B9" s="136"/>
      <c r="C9" s="136"/>
      <c r="D9" s="136" t="s">
        <v>1799</v>
      </c>
      <c r="E9" s="136"/>
      <c r="F9" s="136"/>
      <c r="G9" s="136"/>
      <c r="H9" s="136"/>
      <c r="I9" s="35"/>
      <c r="J9" s="37" t="s">
        <v>1800</v>
      </c>
      <c r="K9" s="37" t="s">
        <v>1801</v>
      </c>
      <c r="L9" s="37" t="s">
        <v>1802</v>
      </c>
      <c r="M9" s="37" t="s">
        <v>127</v>
      </c>
    </row>
    <row r="10" spans="1:13" ht="68.099999999999994" customHeight="1">
      <c r="A10" s="137" t="s">
        <v>1803</v>
      </c>
      <c r="B10" s="137"/>
      <c r="C10" s="137"/>
      <c r="D10" s="137" t="s">
        <v>1804</v>
      </c>
      <c r="E10" s="137"/>
      <c r="F10" s="137"/>
      <c r="G10" s="137"/>
      <c r="H10" s="137"/>
      <c r="I10" s="35"/>
      <c r="J10" s="36" t="s">
        <v>826</v>
      </c>
      <c r="K10" s="38" t="s">
        <v>1805</v>
      </c>
      <c r="L10" s="36" t="str">
        <f>IFERROR(HYPERLINK(K10,"Abrir orientações do DNIT"),"Abrir orientações do DNIT")</f>
        <v>Abrir orientações do DNIT</v>
      </c>
      <c r="M10" s="36" t="s">
        <v>1806</v>
      </c>
    </row>
    <row r="11" spans="1:13" ht="68.099999999999994" customHeight="1">
      <c r="A11" s="138" t="s">
        <v>1807</v>
      </c>
      <c r="B11" s="138"/>
      <c r="C11" s="138"/>
      <c r="D11" s="138" t="s">
        <v>1808</v>
      </c>
      <c r="E11" s="138"/>
      <c r="F11" s="138"/>
      <c r="G11" s="138"/>
      <c r="H11" s="138"/>
      <c r="I11" s="35"/>
      <c r="J11" s="36" t="s">
        <v>1037</v>
      </c>
      <c r="K11" s="38"/>
      <c r="L11" s="36" t="str">
        <f>"Identificar o órgão"</f>
        <v>Identificar o órgão</v>
      </c>
      <c r="M11" s="36" t="s">
        <v>1809</v>
      </c>
    </row>
    <row r="12" spans="1:13" ht="68.099999999999994" customHeight="1">
      <c r="A12" s="139" t="s">
        <v>1810</v>
      </c>
      <c r="B12" s="139"/>
      <c r="C12" s="139"/>
      <c r="D12" s="139" t="s">
        <v>1811</v>
      </c>
      <c r="E12" s="139"/>
      <c r="F12" s="139"/>
      <c r="G12" s="139"/>
      <c r="H12" s="139"/>
      <c r="I12" s="35"/>
      <c r="J12" s="36" t="s">
        <v>1065</v>
      </c>
      <c r="K12" s="38" t="s">
        <v>1812</v>
      </c>
      <c r="L12" s="36" t="str">
        <f>IFERROR(HYPERLINK(K12,"Abrir pesquisa do TCU"),"Abrir pesquisa do TCU")</f>
        <v>Abrir pesquisa do TCU</v>
      </c>
      <c r="M12" s="36" t="s">
        <v>1813</v>
      </c>
    </row>
    <row r="13" spans="1:13" ht="68.099999999999994" customHeight="1">
      <c r="A13" s="134" t="s">
        <v>1814</v>
      </c>
      <c r="B13" s="134"/>
      <c r="C13" s="134"/>
      <c r="D13" s="134"/>
      <c r="E13" s="134"/>
      <c r="F13" s="134"/>
      <c r="G13" s="134"/>
      <c r="H13" s="134"/>
      <c r="I13" s="35"/>
      <c r="J13" s="36" t="s">
        <v>593</v>
      </c>
      <c r="K13" s="38" t="s">
        <v>1815</v>
      </c>
      <c r="L13" s="36" t="str">
        <f>IFERROR(HYPERLINK(K13,"Abrir portal do TJBA"),"Abrir portal do TJBA")</f>
        <v>Abrir portal do TJBA</v>
      </c>
      <c r="M13" s="36" t="s">
        <v>1816</v>
      </c>
    </row>
    <row r="14" spans="1:13" ht="68.099999999999994" customHeight="1">
      <c r="A14" s="35"/>
      <c r="B14" s="35"/>
      <c r="C14" s="35"/>
      <c r="D14" s="35"/>
      <c r="E14" s="35"/>
      <c r="F14" s="35"/>
      <c r="G14" s="35"/>
      <c r="H14" s="35"/>
      <c r="I14" s="35"/>
      <c r="J14" s="36" t="s">
        <v>257</v>
      </c>
      <c r="K14" s="38" t="s">
        <v>1817</v>
      </c>
      <c r="L14" s="36" t="str">
        <f>IFERROR(HYPERLINK(K14,"Abrir consultas do TJDFT"),"Abrir consultas do TJDFT")</f>
        <v>Abrir consultas do TJDFT</v>
      </c>
      <c r="M14" s="36" t="s">
        <v>1818</v>
      </c>
    </row>
    <row r="15" spans="1:13" ht="68.099999999999994" customHeight="1">
      <c r="A15" s="134" t="s">
        <v>1819</v>
      </c>
      <c r="B15" s="134"/>
      <c r="C15" s="134"/>
      <c r="D15" s="134"/>
      <c r="E15" s="134"/>
      <c r="F15" s="134"/>
      <c r="G15" s="134"/>
      <c r="H15" s="134"/>
      <c r="I15" s="35"/>
      <c r="J15" s="36" t="s">
        <v>242</v>
      </c>
      <c r="K15" s="38" t="s">
        <v>1820</v>
      </c>
      <c r="L15" s="36" t="str">
        <f>IFERROR(HYPERLINK(K15,"Abrir consulta do TJGO"),"Abrir consulta do TJGO")</f>
        <v>Abrir consulta do TJGO</v>
      </c>
      <c r="M15" s="36" t="s">
        <v>1821</v>
      </c>
    </row>
    <row r="16" spans="1:13" ht="68.099999999999994" customHeight="1">
      <c r="A16" s="134" t="s">
        <v>1822</v>
      </c>
      <c r="B16" s="134"/>
      <c r="C16" s="134"/>
      <c r="D16" s="134"/>
      <c r="E16" s="134"/>
      <c r="F16" s="134"/>
      <c r="G16" s="134"/>
      <c r="H16" s="134"/>
      <c r="I16" s="35"/>
      <c r="J16" s="36" t="s">
        <v>303</v>
      </c>
      <c r="K16" s="38" t="s">
        <v>1823</v>
      </c>
      <c r="L16" s="36" t="str">
        <f>IFERROR(HYPERLINK(K16,"Abrir consultas do TJMG"),"Abrir consultas do TJMG")</f>
        <v>Abrir consultas do TJMG</v>
      </c>
      <c r="M16" s="36" t="s">
        <v>1824</v>
      </c>
    </row>
    <row r="17" spans="1:13" ht="68.099999999999994" customHeight="1">
      <c r="A17" s="134" t="s">
        <v>1825</v>
      </c>
      <c r="B17" s="134"/>
      <c r="C17" s="134"/>
      <c r="D17" s="134"/>
      <c r="E17" s="134"/>
      <c r="F17" s="134"/>
      <c r="G17" s="134"/>
      <c r="H17" s="134"/>
      <c r="I17" s="35"/>
      <c r="J17" s="36" t="s">
        <v>724</v>
      </c>
      <c r="K17" s="38" t="s">
        <v>1826</v>
      </c>
      <c r="L17" s="36" t="str">
        <f>IFERROR(HYPERLINK(K17,"Abrir e-SAJ do TJMS"),"Abrir e-SAJ do TJMS")</f>
        <v>Abrir e-SAJ do TJMS</v>
      </c>
      <c r="M17" s="36" t="s">
        <v>1827</v>
      </c>
    </row>
    <row r="18" spans="1:13" ht="68.099999999999994" customHeight="1">
      <c r="A18" s="134" t="s">
        <v>1828</v>
      </c>
      <c r="B18" s="134"/>
      <c r="C18" s="134"/>
      <c r="D18" s="134"/>
      <c r="E18" s="134"/>
      <c r="F18" s="134"/>
      <c r="G18" s="134"/>
      <c r="H18" s="134"/>
      <c r="I18" s="35"/>
      <c r="J18" s="36" t="s">
        <v>976</v>
      </c>
      <c r="K18" s="38" t="s">
        <v>1829</v>
      </c>
      <c r="L18" s="36" t="str">
        <f>IFERROR(HYPERLINK(K18,"Abrir consultas do TJPE"),"Abrir consultas do TJPE")</f>
        <v>Abrir consultas do TJPE</v>
      </c>
      <c r="M18" s="36" t="s">
        <v>1830</v>
      </c>
    </row>
    <row r="19" spans="1:13" ht="68.099999999999994" customHeight="1">
      <c r="A19" s="35"/>
      <c r="B19" s="35"/>
      <c r="C19" s="35"/>
      <c r="D19" s="35"/>
      <c r="E19" s="35"/>
      <c r="F19" s="35"/>
      <c r="G19" s="35"/>
      <c r="H19" s="35"/>
      <c r="I19" s="35"/>
      <c r="J19" s="36" t="s">
        <v>840</v>
      </c>
      <c r="K19" s="38" t="s">
        <v>1831</v>
      </c>
      <c r="L19" s="36" t="str">
        <f>IFERROR(HYPERLINK(K19,"Abrir portal do TJSP"),"Abrir portal do TJSP")</f>
        <v>Abrir portal do TJSP</v>
      </c>
      <c r="M19" s="36" t="s">
        <v>1832</v>
      </c>
    </row>
    <row r="20" spans="1:13" ht="68.099999999999994" customHeight="1">
      <c r="A20" s="133" t="s">
        <v>1833</v>
      </c>
      <c r="B20" s="133"/>
      <c r="C20" s="133"/>
      <c r="D20" s="133"/>
      <c r="E20" s="133"/>
      <c r="F20" s="133"/>
      <c r="G20" s="133"/>
      <c r="H20" s="133"/>
      <c r="I20" s="35"/>
      <c r="J20" s="36" t="s">
        <v>795</v>
      </c>
      <c r="K20" s="38" t="s">
        <v>1834</v>
      </c>
      <c r="L20" s="36" t="str">
        <f>IFERROR(HYPERLINK(K20,"Abrir busca do TJTO"),"Abrir busca do TJTO")</f>
        <v>Abrir busca do TJTO</v>
      </c>
      <c r="M20" s="36" t="s">
        <v>1835</v>
      </c>
    </row>
    <row r="21" spans="1:13" ht="68.099999999999994" customHeight="1">
      <c r="A21" s="134" t="s">
        <v>1836</v>
      </c>
      <c r="B21" s="134"/>
      <c r="C21" s="134"/>
      <c r="D21" s="134"/>
      <c r="E21" s="134"/>
      <c r="F21" s="134"/>
      <c r="G21" s="134"/>
      <c r="H21" s="134"/>
      <c r="I21" s="35"/>
      <c r="J21" s="36" t="s">
        <v>578</v>
      </c>
      <c r="K21" s="38" t="s">
        <v>1837</v>
      </c>
      <c r="L21" s="36" t="str">
        <f>IFERROR(HYPERLINK(K21,"Abrir consultas do TRF1"),"Abrir consultas do TRF1")</f>
        <v>Abrir consultas do TRF1</v>
      </c>
      <c r="M21" s="36" t="s">
        <v>1838</v>
      </c>
    </row>
    <row r="22" spans="1:13" ht="68.099999999999994" customHeight="1">
      <c r="A22" s="134" t="s">
        <v>1839</v>
      </c>
      <c r="B22" s="134"/>
      <c r="C22" s="134"/>
      <c r="D22" s="134"/>
      <c r="E22" s="134"/>
      <c r="F22" s="134"/>
      <c r="G22" s="134"/>
      <c r="H22" s="134"/>
      <c r="I22" s="35"/>
      <c r="J22" s="36" t="s">
        <v>847</v>
      </c>
      <c r="K22" s="38" t="s">
        <v>1840</v>
      </c>
      <c r="L22" s="36" t="str">
        <f>IFERROR(HYPERLINK(K22,"Abrir consultas do TRF6"),"Abrir consultas do TRF6")</f>
        <v>Abrir consultas do TRF6</v>
      </c>
      <c r="M22" s="36" t="s">
        <v>1841</v>
      </c>
    </row>
    <row r="23" spans="1:13" ht="68.099999999999994" customHeight="1">
      <c r="A23" s="134" t="s">
        <v>1842</v>
      </c>
      <c r="B23" s="134"/>
      <c r="C23" s="134"/>
      <c r="D23" s="134"/>
      <c r="E23" s="134"/>
      <c r="F23" s="134"/>
      <c r="G23" s="134"/>
      <c r="H23" s="134"/>
      <c r="I23" s="35"/>
      <c r="J23" s="36" t="s">
        <v>441</v>
      </c>
      <c r="K23" s="38" t="s">
        <v>1843</v>
      </c>
      <c r="L23" s="36" t="str">
        <f t="shared" ref="L23:L29" si="0">IFERROR(HYPERLINK(K23,"Consulta pública do PJe"),"Consulta pública do PJe")</f>
        <v>Consulta pública do PJe</v>
      </c>
      <c r="M23" s="36" t="s">
        <v>1844</v>
      </c>
    </row>
    <row r="24" spans="1:13" ht="68.099999999999994" customHeight="1">
      <c r="A24" s="35"/>
      <c r="B24" s="35"/>
      <c r="C24" s="35"/>
      <c r="D24" s="35"/>
      <c r="E24" s="35"/>
      <c r="F24" s="35"/>
      <c r="G24" s="35"/>
      <c r="H24" s="35"/>
      <c r="I24" s="35"/>
      <c r="J24" s="36" t="s">
        <v>168</v>
      </c>
      <c r="K24" s="38" t="s">
        <v>1845</v>
      </c>
      <c r="L24" s="36" t="str">
        <f t="shared" si="0"/>
        <v>Consulta pública do PJe</v>
      </c>
      <c r="M24" s="36" t="s">
        <v>1846</v>
      </c>
    </row>
    <row r="25" spans="1:13" ht="68.099999999999994" customHeight="1">
      <c r="A25" s="133" t="s">
        <v>1847</v>
      </c>
      <c r="B25" s="133"/>
      <c r="C25" s="133"/>
      <c r="D25" s="133"/>
      <c r="E25" s="133"/>
      <c r="F25" s="133"/>
      <c r="G25" s="133"/>
      <c r="H25" s="133"/>
      <c r="I25" s="35"/>
      <c r="J25" s="36" t="s">
        <v>384</v>
      </c>
      <c r="K25" s="38" t="s">
        <v>1848</v>
      </c>
      <c r="L25" s="36" t="str">
        <f t="shared" si="0"/>
        <v>Consulta pública do PJe</v>
      </c>
      <c r="M25" s="36" t="s">
        <v>1844</v>
      </c>
    </row>
    <row r="26" spans="1:13" ht="68.099999999999994" customHeight="1">
      <c r="A26" s="134" t="s">
        <v>1849</v>
      </c>
      <c r="B26" s="134"/>
      <c r="C26" s="134"/>
      <c r="D26" s="134"/>
      <c r="E26" s="134"/>
      <c r="F26" s="134"/>
      <c r="G26" s="134"/>
      <c r="H26" s="134"/>
      <c r="I26" s="35"/>
      <c r="J26" s="36" t="s">
        <v>296</v>
      </c>
      <c r="K26" s="38" t="s">
        <v>1850</v>
      </c>
      <c r="L26" s="36" t="str">
        <f t="shared" si="0"/>
        <v>Consulta pública do PJe</v>
      </c>
      <c r="M26" s="36" t="s">
        <v>1846</v>
      </c>
    </row>
    <row r="27" spans="1:13" ht="68.099999999999994" customHeight="1">
      <c r="A27" s="134" t="s">
        <v>1851</v>
      </c>
      <c r="B27" s="134"/>
      <c r="C27" s="134"/>
      <c r="D27" s="134"/>
      <c r="E27" s="134"/>
      <c r="F27" s="134"/>
      <c r="G27" s="134"/>
      <c r="H27" s="134"/>
      <c r="I27" s="35"/>
      <c r="J27" s="36" t="s">
        <v>178</v>
      </c>
      <c r="K27" s="38" t="s">
        <v>1852</v>
      </c>
      <c r="L27" s="36" t="str">
        <f t="shared" si="0"/>
        <v>Consulta pública do PJe</v>
      </c>
      <c r="M27" s="36" t="s">
        <v>1846</v>
      </c>
    </row>
    <row r="28" spans="1:13" ht="68.099999999999994" customHeight="1">
      <c r="A28" s="134" t="s">
        <v>1853</v>
      </c>
      <c r="B28" s="134"/>
      <c r="C28" s="134"/>
      <c r="D28" s="134"/>
      <c r="E28" s="134"/>
      <c r="F28" s="134"/>
      <c r="G28" s="134"/>
      <c r="H28" s="134"/>
      <c r="I28" s="35"/>
      <c r="J28" s="36" t="s">
        <v>491</v>
      </c>
      <c r="K28" s="38" t="s">
        <v>1854</v>
      </c>
      <c r="L28" s="36" t="str">
        <f t="shared" si="0"/>
        <v>Consulta pública do PJe</v>
      </c>
      <c r="M28" s="36" t="s">
        <v>1846</v>
      </c>
    </row>
    <row r="29" spans="1:13" ht="68.099999999999994" customHeight="1">
      <c r="A29" s="134" t="s">
        <v>1855</v>
      </c>
      <c r="B29" s="134"/>
      <c r="C29" s="134"/>
      <c r="D29" s="134"/>
      <c r="E29" s="134"/>
      <c r="F29" s="134"/>
      <c r="G29" s="134"/>
      <c r="H29" s="134"/>
      <c r="I29" s="35"/>
      <c r="J29" s="36" t="s">
        <v>706</v>
      </c>
      <c r="K29" s="38" t="s">
        <v>1856</v>
      </c>
      <c r="L29" s="36" t="str">
        <f t="shared" si="0"/>
        <v>Consulta pública do PJe</v>
      </c>
      <c r="M29" s="36" t="s">
        <v>1857</v>
      </c>
    </row>
    <row r="30" spans="1:13" ht="68.099999999999994" customHeight="1">
      <c r="A30" s="134" t="s">
        <v>1858</v>
      </c>
      <c r="B30" s="134"/>
      <c r="C30" s="134"/>
      <c r="D30" s="134"/>
      <c r="E30" s="134"/>
      <c r="F30" s="134"/>
      <c r="G30" s="134"/>
      <c r="H30" s="134"/>
      <c r="I30" s="35"/>
      <c r="J30" s="36" t="s">
        <v>450</v>
      </c>
      <c r="K30" s="38" t="s">
        <v>1859</v>
      </c>
      <c r="L30" s="36" t="str">
        <f>IFERROR(HYPERLINK(K30,"Portal oficial de acesso e consulta do PJe"),"Portal oficial de acesso e consulta do PJe")</f>
        <v>Portal oficial de acesso e consulta do PJe</v>
      </c>
      <c r="M30" s="36" t="s">
        <v>1860</v>
      </c>
    </row>
    <row r="31" spans="1:13" ht="68.099999999999994" customHeight="1">
      <c r="A31" s="35"/>
      <c r="B31" s="35"/>
      <c r="C31" s="35"/>
      <c r="D31" s="35"/>
      <c r="E31" s="35"/>
      <c r="F31" s="35"/>
      <c r="G31" s="35"/>
      <c r="H31" s="35"/>
      <c r="I31" s="35"/>
      <c r="J31" s="36" t="s">
        <v>234</v>
      </c>
      <c r="K31" s="38" t="s">
        <v>1861</v>
      </c>
      <c r="L31" s="36" t="str">
        <f>IFERROR(HYPERLINK(K31,"Portal oficial do TRT5 — consulta processual"),"Portal oficial do TRT5 — consulta processual")</f>
        <v>Portal oficial do TRT5 — consulta processual</v>
      </c>
      <c r="M31" s="36" t="s">
        <v>1862</v>
      </c>
    </row>
    <row r="32" spans="1:13" ht="68.099999999999994" customHeight="1">
      <c r="A32" s="133" t="s">
        <v>1863</v>
      </c>
      <c r="B32" s="133"/>
      <c r="C32" s="133"/>
      <c r="D32" s="133"/>
      <c r="E32" s="133"/>
      <c r="F32" s="133"/>
      <c r="G32" s="133"/>
      <c r="H32" s="133"/>
      <c r="I32" s="35"/>
      <c r="J32" s="36" t="s">
        <v>227</v>
      </c>
      <c r="K32" s="38" t="s">
        <v>1864</v>
      </c>
      <c r="L32" s="36" t="str">
        <f>IFERROR(HYPERLINK(K32,"Consulta pública do PJe"),"Consulta pública do PJe")</f>
        <v>Consulta pública do PJe</v>
      </c>
      <c r="M32" s="36" t="s">
        <v>1844</v>
      </c>
    </row>
    <row r="33" spans="1:13" ht="50.1" customHeight="1">
      <c r="A33" s="134" t="s">
        <v>1865</v>
      </c>
      <c r="B33" s="134"/>
      <c r="C33" s="134"/>
      <c r="D33" s="134"/>
      <c r="E33" s="134"/>
      <c r="F33" s="134"/>
      <c r="G33" s="134"/>
      <c r="H33" s="134"/>
      <c r="I33" s="35"/>
      <c r="J33" s="35"/>
      <c r="K33" s="35"/>
      <c r="L33" s="35"/>
      <c r="M33" s="35"/>
    </row>
    <row r="34" spans="1:13" ht="50.1" customHeight="1">
      <c r="A34" s="134" t="s">
        <v>1866</v>
      </c>
      <c r="B34" s="134"/>
      <c r="C34" s="134"/>
      <c r="D34" s="134"/>
      <c r="E34" s="134"/>
      <c r="F34" s="134"/>
      <c r="G34" s="134"/>
      <c r="H34" s="134"/>
      <c r="I34" s="35"/>
      <c r="J34" s="35"/>
      <c r="K34" s="35"/>
      <c r="L34" s="35"/>
      <c r="M34" s="35"/>
    </row>
    <row r="35" spans="1:13" ht="45.95" customHeight="1">
      <c r="A35" s="134" t="s">
        <v>1867</v>
      </c>
      <c r="B35" s="134"/>
      <c r="C35" s="134"/>
      <c r="D35" s="134"/>
      <c r="E35" s="134"/>
      <c r="F35" s="134"/>
      <c r="G35" s="134"/>
      <c r="H35" s="134"/>
      <c r="I35" s="35"/>
      <c r="J35" s="35"/>
      <c r="K35" s="35"/>
      <c r="L35" s="35"/>
      <c r="M35" s="35"/>
    </row>
    <row r="36" spans="1:13" ht="50.1" customHeight="1">
      <c r="A36" s="134" t="s">
        <v>1868</v>
      </c>
      <c r="B36" s="134"/>
      <c r="C36" s="134"/>
      <c r="D36" s="134"/>
      <c r="E36" s="134"/>
      <c r="F36" s="134"/>
      <c r="G36" s="134"/>
      <c r="H36" s="134"/>
      <c r="I36" s="35"/>
      <c r="J36" s="35"/>
      <c r="K36" s="35"/>
      <c r="L36" s="35"/>
      <c r="M36" s="35"/>
    </row>
    <row r="37" spans="1:13" ht="45.95" customHeight="1">
      <c r="A37" s="134" t="s">
        <v>1869</v>
      </c>
      <c r="B37" s="134"/>
      <c r="C37" s="134"/>
      <c r="D37" s="134"/>
      <c r="E37" s="134"/>
      <c r="F37" s="134"/>
      <c r="G37" s="134"/>
      <c r="H37" s="134"/>
      <c r="I37" s="35"/>
      <c r="J37" s="35"/>
      <c r="K37" s="35"/>
      <c r="L37" s="35"/>
      <c r="M37" s="35"/>
    </row>
    <row r="38" spans="1:13" ht="24" customHeight="1">
      <c r="A38" s="35"/>
      <c r="B38" s="35"/>
      <c r="C38" s="35"/>
      <c r="D38" s="35"/>
      <c r="E38" s="35"/>
      <c r="F38" s="35"/>
      <c r="G38" s="35"/>
      <c r="H38" s="35"/>
      <c r="I38" s="35"/>
      <c r="J38" s="35"/>
      <c r="K38" s="35"/>
      <c r="L38" s="35"/>
      <c r="M38" s="35"/>
    </row>
    <row r="39" spans="1:13" ht="38.1" customHeight="1">
      <c r="A39" s="133" t="s">
        <v>1870</v>
      </c>
      <c r="B39" s="133"/>
      <c r="C39" s="133"/>
      <c r="D39" s="133"/>
      <c r="E39" s="133"/>
      <c r="F39" s="133"/>
      <c r="G39" s="133"/>
      <c r="H39" s="133"/>
      <c r="I39" s="35"/>
      <c r="J39" s="35"/>
      <c r="K39" s="35"/>
      <c r="L39" s="35"/>
      <c r="M39" s="35"/>
    </row>
    <row r="40" spans="1:13" ht="50.1" customHeight="1">
      <c r="A40" s="134" t="s">
        <v>1871</v>
      </c>
      <c r="B40" s="134"/>
      <c r="C40" s="134"/>
      <c r="D40" s="134"/>
      <c r="E40" s="134"/>
      <c r="F40" s="134"/>
      <c r="G40" s="134"/>
      <c r="H40" s="134"/>
      <c r="I40" s="35"/>
      <c r="J40" s="35"/>
      <c r="K40" s="35"/>
      <c r="L40" s="35"/>
      <c r="M40" s="35"/>
    </row>
    <row r="41" spans="1:13" ht="45.95" customHeight="1">
      <c r="A41" s="134" t="s">
        <v>1872</v>
      </c>
      <c r="B41" s="134"/>
      <c r="C41" s="134"/>
      <c r="D41" s="134"/>
      <c r="E41" s="134"/>
      <c r="F41" s="134"/>
      <c r="G41" s="134"/>
      <c r="H41" s="134"/>
      <c r="I41" s="35"/>
      <c r="J41" s="35"/>
      <c r="K41" s="35"/>
      <c r="L41" s="35"/>
      <c r="M41" s="35"/>
    </row>
    <row r="42" spans="1:13" ht="24" customHeight="1">
      <c r="A42" s="35"/>
      <c r="B42" s="35"/>
      <c r="C42" s="35"/>
      <c r="D42" s="35"/>
      <c r="E42" s="35"/>
      <c r="F42" s="35"/>
      <c r="G42" s="35"/>
      <c r="H42" s="35"/>
      <c r="I42" s="35"/>
      <c r="J42" s="35"/>
      <c r="K42" s="35"/>
      <c r="L42" s="35"/>
      <c r="M42" s="35"/>
    </row>
    <row r="43" spans="1:13" ht="24" customHeight="1">
      <c r="A43" s="35"/>
      <c r="B43" s="35"/>
      <c r="C43" s="35"/>
      <c r="D43" s="35"/>
      <c r="E43" s="35"/>
      <c r="F43" s="35"/>
      <c r="G43" s="35"/>
      <c r="H43" s="35"/>
      <c r="I43" s="35"/>
      <c r="J43" s="35"/>
      <c r="K43" s="35"/>
      <c r="L43" s="35"/>
      <c r="M43" s="35"/>
    </row>
    <row r="44" spans="1:13" ht="24" customHeight="1">
      <c r="A44" s="35"/>
      <c r="B44" s="35"/>
      <c r="C44" s="35"/>
      <c r="D44" s="35"/>
      <c r="E44" s="35"/>
      <c r="F44" s="35"/>
      <c r="G44" s="35"/>
      <c r="H44" s="35"/>
      <c r="I44" s="35"/>
      <c r="J44" s="35"/>
      <c r="K44" s="35"/>
      <c r="L44" s="35"/>
      <c r="M44" s="35"/>
    </row>
    <row r="45" spans="1:13" ht="24" customHeight="1">
      <c r="A45" s="35"/>
      <c r="B45" s="35"/>
      <c r="C45" s="35"/>
      <c r="D45" s="35"/>
      <c r="E45" s="35"/>
      <c r="F45" s="35"/>
      <c r="G45" s="35"/>
      <c r="H45" s="35"/>
      <c r="I45" s="35"/>
      <c r="J45" s="35"/>
      <c r="K45" s="35"/>
      <c r="L45" s="35"/>
      <c r="M45" s="35"/>
    </row>
    <row r="46" spans="1:13" ht="24" customHeight="1">
      <c r="A46" s="35"/>
      <c r="B46" s="35"/>
      <c r="C46" s="35"/>
      <c r="D46" s="35"/>
      <c r="E46" s="35"/>
      <c r="F46" s="35"/>
      <c r="G46" s="35"/>
      <c r="H46" s="35"/>
      <c r="I46" s="35"/>
      <c r="J46" s="35"/>
      <c r="K46" s="35"/>
      <c r="L46" s="35"/>
      <c r="M46" s="35"/>
    </row>
    <row r="47" spans="1:13" ht="24" customHeight="1">
      <c r="A47" s="35"/>
      <c r="B47" s="35"/>
      <c r="C47" s="35"/>
      <c r="D47" s="35"/>
      <c r="E47" s="35"/>
      <c r="F47" s="35"/>
      <c r="G47" s="35"/>
      <c r="H47" s="35"/>
      <c r="I47" s="35"/>
      <c r="J47" s="35"/>
      <c r="K47" s="35"/>
      <c r="L47" s="35"/>
      <c r="M47" s="35"/>
    </row>
    <row r="48" spans="1:13" ht="24" customHeight="1">
      <c r="A48" s="35"/>
      <c r="B48" s="35"/>
      <c r="C48" s="35"/>
      <c r="D48" s="35"/>
      <c r="E48" s="35"/>
      <c r="F48" s="35"/>
      <c r="G48" s="35"/>
      <c r="H48" s="35"/>
      <c r="I48" s="35"/>
      <c r="J48" s="35"/>
      <c r="K48" s="35"/>
      <c r="L48" s="35"/>
      <c r="M48" s="35"/>
    </row>
    <row r="49" spans="1:13" ht="24" customHeight="1">
      <c r="A49" s="35"/>
      <c r="B49" s="35"/>
      <c r="C49" s="35"/>
      <c r="D49" s="35"/>
      <c r="E49" s="35"/>
      <c r="F49" s="35"/>
      <c r="G49" s="35"/>
      <c r="H49" s="35"/>
      <c r="I49" s="35"/>
      <c r="J49" s="35"/>
      <c r="K49" s="35"/>
      <c r="L49" s="35"/>
      <c r="M49" s="35"/>
    </row>
    <row r="50" spans="1:13" ht="24" customHeight="1">
      <c r="A50" s="35"/>
      <c r="B50" s="35"/>
      <c r="C50" s="35"/>
      <c r="D50" s="35"/>
      <c r="E50" s="35"/>
      <c r="F50" s="35"/>
      <c r="G50" s="35"/>
      <c r="H50" s="35"/>
      <c r="I50" s="35"/>
      <c r="J50" s="35"/>
      <c r="K50" s="35"/>
      <c r="L50" s="35"/>
      <c r="M50" s="35"/>
    </row>
    <row r="51" spans="1:13" ht="24" customHeight="1">
      <c r="A51" s="35"/>
      <c r="B51" s="35"/>
      <c r="C51" s="35"/>
      <c r="D51" s="35"/>
      <c r="E51" s="35"/>
      <c r="F51" s="35"/>
      <c r="G51" s="35"/>
      <c r="H51" s="35"/>
      <c r="I51" s="35"/>
      <c r="J51" s="35"/>
      <c r="K51" s="35"/>
      <c r="L51" s="35"/>
      <c r="M51" s="35"/>
    </row>
    <row r="52" spans="1:13" ht="24" customHeight="1">
      <c r="A52" s="35"/>
      <c r="B52" s="35"/>
      <c r="C52" s="35"/>
      <c r="D52" s="35"/>
      <c r="E52" s="35"/>
      <c r="F52" s="35"/>
      <c r="G52" s="35"/>
      <c r="H52" s="35"/>
      <c r="I52" s="35"/>
      <c r="J52" s="35"/>
      <c r="K52" s="35"/>
      <c r="L52" s="35"/>
      <c r="M52" s="35"/>
    </row>
    <row r="53" spans="1:13" ht="24" customHeight="1">
      <c r="A53" s="35"/>
      <c r="B53" s="35"/>
      <c r="C53" s="35"/>
      <c r="D53" s="35"/>
      <c r="E53" s="35"/>
      <c r="F53" s="35"/>
      <c r="G53" s="35"/>
      <c r="H53" s="35"/>
      <c r="I53" s="35"/>
      <c r="J53" s="35"/>
      <c r="K53" s="35"/>
      <c r="L53" s="35"/>
      <c r="M53" s="35"/>
    </row>
    <row r="54" spans="1:13" ht="24" customHeight="1">
      <c r="A54" s="35"/>
      <c r="B54" s="35"/>
      <c r="C54" s="35"/>
      <c r="D54" s="35"/>
      <c r="E54" s="35"/>
      <c r="F54" s="35"/>
      <c r="G54" s="35"/>
      <c r="H54" s="35"/>
      <c r="I54" s="35"/>
      <c r="J54" s="35"/>
      <c r="K54" s="35"/>
      <c r="L54" s="35"/>
      <c r="M54" s="35"/>
    </row>
    <row r="55" spans="1:13" ht="24" customHeight="1">
      <c r="A55" s="35"/>
      <c r="B55" s="35"/>
      <c r="C55" s="35"/>
      <c r="D55" s="35"/>
      <c r="E55" s="35"/>
      <c r="F55" s="35"/>
      <c r="G55" s="35"/>
      <c r="H55" s="35"/>
      <c r="I55" s="35"/>
      <c r="J55" s="35"/>
      <c r="K55" s="35"/>
      <c r="L55" s="35"/>
      <c r="M55" s="35"/>
    </row>
    <row r="56" spans="1:13" ht="24" customHeight="1">
      <c r="A56" s="35"/>
      <c r="B56" s="35"/>
      <c r="C56" s="35"/>
      <c r="D56" s="35"/>
      <c r="E56" s="35"/>
      <c r="F56" s="35"/>
      <c r="G56" s="35"/>
      <c r="H56" s="35"/>
      <c r="I56" s="35"/>
      <c r="J56" s="35"/>
      <c r="K56" s="35"/>
      <c r="L56" s="35"/>
      <c r="M56" s="35"/>
    </row>
    <row r="57" spans="1:13" ht="24" customHeight="1">
      <c r="A57" s="35"/>
      <c r="B57" s="35"/>
      <c r="C57" s="35"/>
      <c r="D57" s="35"/>
      <c r="E57" s="35"/>
      <c r="F57" s="35"/>
      <c r="G57" s="35"/>
      <c r="H57" s="35"/>
      <c r="I57" s="35"/>
      <c r="J57" s="35"/>
      <c r="K57" s="35"/>
      <c r="L57" s="35"/>
      <c r="M57" s="35"/>
    </row>
    <row r="58" spans="1:13" ht="24" customHeight="1">
      <c r="A58" s="35"/>
      <c r="B58" s="35"/>
      <c r="C58" s="35"/>
      <c r="D58" s="35"/>
      <c r="E58" s="35"/>
      <c r="F58" s="35"/>
      <c r="G58" s="35"/>
      <c r="H58" s="35"/>
      <c r="I58" s="35"/>
      <c r="J58" s="35"/>
      <c r="K58" s="35"/>
      <c r="L58" s="35"/>
      <c r="M58" s="35"/>
    </row>
    <row r="59" spans="1:13" ht="24" customHeight="1">
      <c r="A59" s="35"/>
      <c r="B59" s="35"/>
      <c r="C59" s="35"/>
      <c r="D59" s="35"/>
      <c r="E59" s="35"/>
      <c r="F59" s="35"/>
      <c r="G59" s="35"/>
      <c r="H59" s="35"/>
      <c r="I59" s="35"/>
      <c r="J59" s="35"/>
      <c r="K59" s="35"/>
      <c r="L59" s="35"/>
      <c r="M59" s="35"/>
    </row>
    <row r="60" spans="1:13" ht="24" customHeight="1">
      <c r="A60" s="35"/>
      <c r="B60" s="35"/>
      <c r="C60" s="35"/>
      <c r="D60" s="35"/>
      <c r="E60" s="35"/>
      <c r="F60" s="35"/>
      <c r="G60" s="35"/>
      <c r="H60" s="35"/>
      <c r="I60" s="35"/>
      <c r="J60" s="35"/>
      <c r="K60" s="35"/>
      <c r="L60" s="35"/>
      <c r="M60" s="35"/>
    </row>
  </sheetData>
  <mergeCells count="40">
    <mergeCell ref="A39:H39"/>
    <mergeCell ref="A40:H40"/>
    <mergeCell ref="A41:H41"/>
    <mergeCell ref="J2:M2"/>
    <mergeCell ref="J3:M4"/>
    <mergeCell ref="A33:H33"/>
    <mergeCell ref="A34:H34"/>
    <mergeCell ref="A35:H35"/>
    <mergeCell ref="A36:H36"/>
    <mergeCell ref="A37:H37"/>
    <mergeCell ref="A27:H27"/>
    <mergeCell ref="A28:H28"/>
    <mergeCell ref="A29:H29"/>
    <mergeCell ref="A30:H30"/>
    <mergeCell ref="A32:H32"/>
    <mergeCell ref="A21:H21"/>
    <mergeCell ref="A22:H22"/>
    <mergeCell ref="A23:H23"/>
    <mergeCell ref="A25:H25"/>
    <mergeCell ref="A26:H26"/>
    <mergeCell ref="A15:H15"/>
    <mergeCell ref="A16:H16"/>
    <mergeCell ref="A17:H17"/>
    <mergeCell ref="A18:H18"/>
    <mergeCell ref="A20:H20"/>
    <mergeCell ref="A11:C11"/>
    <mergeCell ref="D11:H11"/>
    <mergeCell ref="A12:C12"/>
    <mergeCell ref="D12:H12"/>
    <mergeCell ref="A13:H13"/>
    <mergeCell ref="A7:H7"/>
    <mergeCell ref="A9:C9"/>
    <mergeCell ref="D9:H9"/>
    <mergeCell ref="A10:C10"/>
    <mergeCell ref="D10:H10"/>
    <mergeCell ref="A2:H2"/>
    <mergeCell ref="A3:H3"/>
    <mergeCell ref="A4:D4"/>
    <mergeCell ref="E4:H4"/>
    <mergeCell ref="A6:H6"/>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9C1CB"/>
  </sheetPr>
  <dimension ref="A1:BL312"/>
  <sheetViews>
    <sheetView showGridLines="0" workbookViewId="0">
      <pane xSplit="1" ySplit="9" topLeftCell="B10" activePane="bottomRight" state="frozen"/>
      <selection pane="topRight"/>
      <selection pane="bottomLeft"/>
      <selection pane="bottomRight" activeCell="B10" sqref="B10"/>
    </sheetView>
  </sheetViews>
  <sheetFormatPr defaultRowHeight="14.25"/>
  <cols>
    <col min="1" max="1" width="48" customWidth="1"/>
    <col min="2" max="3" width="15" customWidth="1"/>
    <col min="4" max="64" width="22" customWidth="1"/>
  </cols>
  <sheetData>
    <row r="1" spans="1:64">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row>
    <row r="2" spans="1:64">
      <c r="A2" s="32" t="s">
        <v>1873</v>
      </c>
      <c r="B2" s="32"/>
      <c r="C2" s="32"/>
      <c r="D2" s="32"/>
      <c r="E2" s="32"/>
      <c r="F2" s="32"/>
      <c r="G2" s="32"/>
      <c r="H2" s="32"/>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row>
    <row r="3" spans="1:64">
      <c r="A3" s="23" t="s">
        <v>1874</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row>
    <row r="4" spans="1:64">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c r="A5" s="23" t="str">
        <f>IFERROR(HYPERLINK("#'Ficha'!A1","VOLTAR À FICHA"),"VOLTAR À FICHA")</f>
        <v>VOLTAR À FICHA</v>
      </c>
      <c r="B5" s="23"/>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c r="A7" s="23"/>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48" customHeight="1">
      <c r="A9" s="26" t="s">
        <v>1875</v>
      </c>
      <c r="B9" s="26" t="s">
        <v>1876</v>
      </c>
      <c r="C9" s="26" t="s">
        <v>1877</v>
      </c>
      <c r="D9" s="26" t="s">
        <v>80</v>
      </c>
      <c r="E9" s="26" t="s">
        <v>1878</v>
      </c>
      <c r="F9" s="26" t="s">
        <v>1879</v>
      </c>
      <c r="G9" s="26" t="s">
        <v>1880</v>
      </c>
      <c r="H9" s="26" t="s">
        <v>7</v>
      </c>
      <c r="I9" s="26" t="s">
        <v>1881</v>
      </c>
      <c r="J9" s="26" t="s">
        <v>6</v>
      </c>
      <c r="K9" s="26" t="s">
        <v>1882</v>
      </c>
      <c r="L9" s="26" t="s">
        <v>1883</v>
      </c>
      <c r="M9" s="26" t="s">
        <v>1884</v>
      </c>
      <c r="N9" s="26" t="s">
        <v>1885</v>
      </c>
      <c r="O9" s="26" t="s">
        <v>28</v>
      </c>
      <c r="P9" s="26" t="s">
        <v>29</v>
      </c>
      <c r="Q9" s="26" t="s">
        <v>1886</v>
      </c>
      <c r="R9" s="26" t="s">
        <v>1887</v>
      </c>
      <c r="S9" s="26" t="s">
        <v>1888</v>
      </c>
      <c r="T9" s="26" t="s">
        <v>1889</v>
      </c>
      <c r="U9" s="26" t="s">
        <v>1890</v>
      </c>
      <c r="V9" s="26" t="s">
        <v>1891</v>
      </c>
      <c r="W9" s="26" t="s">
        <v>2</v>
      </c>
      <c r="X9" s="26" t="s">
        <v>1892</v>
      </c>
      <c r="Y9" s="26" t="s">
        <v>1893</v>
      </c>
      <c r="Z9" s="26" t="s">
        <v>1894</v>
      </c>
      <c r="AA9" s="26" t="s">
        <v>1895</v>
      </c>
      <c r="AB9" s="26" t="s">
        <v>1896</v>
      </c>
      <c r="AC9" s="26" t="s">
        <v>1897</v>
      </c>
      <c r="AD9" s="26" t="s">
        <v>1898</v>
      </c>
      <c r="AE9" s="26" t="s">
        <v>1899</v>
      </c>
      <c r="AF9" s="26" t="s">
        <v>1900</v>
      </c>
      <c r="AG9" s="26" t="s">
        <v>1901</v>
      </c>
      <c r="AH9" s="26" t="s">
        <v>1902</v>
      </c>
      <c r="AI9" s="26" t="s">
        <v>1903</v>
      </c>
      <c r="AJ9" s="26" t="s">
        <v>1904</v>
      </c>
      <c r="AK9" s="26" t="s">
        <v>1905</v>
      </c>
      <c r="AL9" s="26" t="s">
        <v>1906</v>
      </c>
      <c r="AM9" s="26" t="s">
        <v>1907</v>
      </c>
      <c r="AN9" s="26" t="s">
        <v>1908</v>
      </c>
      <c r="AO9" s="26" t="s">
        <v>42</v>
      </c>
      <c r="AP9" s="26" t="s">
        <v>1909</v>
      </c>
      <c r="AQ9" s="26" t="s">
        <v>1910</v>
      </c>
      <c r="AR9" s="26" t="s">
        <v>1911</v>
      </c>
      <c r="AS9" s="26" t="s">
        <v>1912</v>
      </c>
      <c r="AT9" s="26" t="s">
        <v>1913</v>
      </c>
      <c r="AU9" s="26" t="s">
        <v>1914</v>
      </c>
      <c r="AV9" s="26" t="s">
        <v>1915</v>
      </c>
      <c r="AW9" s="26" t="s">
        <v>1916</v>
      </c>
      <c r="AX9" s="26" t="s">
        <v>1917</v>
      </c>
      <c r="AY9" s="26" t="s">
        <v>1918</v>
      </c>
      <c r="AZ9" s="26" t="s">
        <v>1919</v>
      </c>
      <c r="BA9" s="26" t="s">
        <v>1920</v>
      </c>
      <c r="BB9" s="26" t="s">
        <v>1921</v>
      </c>
      <c r="BC9" s="26" t="s">
        <v>1922</v>
      </c>
      <c r="BD9" s="26" t="s">
        <v>1923</v>
      </c>
      <c r="BE9" s="26" t="s">
        <v>1924</v>
      </c>
      <c r="BF9" s="26" t="s">
        <v>1925</v>
      </c>
      <c r="BG9" s="26" t="s">
        <v>1926</v>
      </c>
      <c r="BH9" s="26" t="s">
        <v>1927</v>
      </c>
      <c r="BI9" s="26" t="s">
        <v>1928</v>
      </c>
      <c r="BJ9" s="26" t="s">
        <v>1929</v>
      </c>
      <c r="BK9" s="26" t="s">
        <v>1930</v>
      </c>
      <c r="BL9" s="26" t="s">
        <v>1931</v>
      </c>
    </row>
    <row r="10" spans="1:64" ht="30" customHeight="1">
      <c r="A10" s="23" t="s">
        <v>160</v>
      </c>
      <c r="B10" s="23" t="s">
        <v>1932</v>
      </c>
      <c r="C10" s="23">
        <v>5</v>
      </c>
      <c r="D10" s="23" t="s">
        <v>172</v>
      </c>
      <c r="E10" s="23" t="s">
        <v>160</v>
      </c>
      <c r="F10" s="23"/>
      <c r="G10" s="23" t="s">
        <v>161</v>
      </c>
      <c r="H10" s="23" t="s">
        <v>164</v>
      </c>
      <c r="I10" s="23"/>
      <c r="J10" s="23"/>
      <c r="K10" s="23"/>
      <c r="L10" s="23"/>
      <c r="M10" s="23"/>
      <c r="N10" s="23" t="s">
        <v>1933</v>
      </c>
      <c r="O10" s="23" t="s">
        <v>165</v>
      </c>
      <c r="P10" s="23" t="s">
        <v>166</v>
      </c>
      <c r="Q10" s="23" t="s">
        <v>165</v>
      </c>
      <c r="R10" s="23" t="s">
        <v>168</v>
      </c>
      <c r="S10" s="23" t="s">
        <v>167</v>
      </c>
      <c r="T10" s="23"/>
      <c r="U10" s="23">
        <v>2017</v>
      </c>
      <c r="V10" s="23"/>
      <c r="W10" s="23" t="s">
        <v>163</v>
      </c>
      <c r="X10" s="23" t="s">
        <v>163</v>
      </c>
      <c r="Y10" s="23" t="s">
        <v>162</v>
      </c>
      <c r="Z10" s="23" t="s">
        <v>162</v>
      </c>
      <c r="AA10" s="23" t="s">
        <v>1934</v>
      </c>
      <c r="AB10" s="23" t="s">
        <v>1935</v>
      </c>
      <c r="AC10" s="23"/>
      <c r="AD10" s="23"/>
      <c r="AE10" s="23"/>
      <c r="AF10" s="23"/>
      <c r="AG10" s="23" t="s">
        <v>169</v>
      </c>
      <c r="AH10" s="23"/>
      <c r="AI10" s="23"/>
      <c r="AJ10" s="23"/>
      <c r="AK10" s="23"/>
      <c r="AL10" s="23"/>
      <c r="AM10" s="23" t="s">
        <v>1936</v>
      </c>
      <c r="AN10" s="23" t="s">
        <v>1937</v>
      </c>
      <c r="AO10" s="23">
        <v>50000</v>
      </c>
      <c r="AP10" s="23"/>
      <c r="AQ10" s="23">
        <v>40557.83</v>
      </c>
      <c r="AR10" s="23"/>
      <c r="AS10" s="23"/>
      <c r="AT10" s="23"/>
      <c r="AU10" s="23"/>
      <c r="AV10" s="23"/>
      <c r="AW10" s="23"/>
      <c r="AX10" s="23"/>
      <c r="AY10" s="23"/>
      <c r="AZ10" s="23"/>
      <c r="BA10" s="23" t="s">
        <v>1938</v>
      </c>
      <c r="BB10" s="23">
        <v>261</v>
      </c>
      <c r="BC10" s="23" t="s">
        <v>1935</v>
      </c>
      <c r="BD10" s="23"/>
      <c r="BE10" s="23" t="s">
        <v>1939</v>
      </c>
      <c r="BF10" s="23" t="s">
        <v>164</v>
      </c>
      <c r="BG10" s="23" t="s">
        <v>1940</v>
      </c>
      <c r="BH10" s="23" t="s">
        <v>1940</v>
      </c>
      <c r="BI10" s="23" t="s">
        <v>1941</v>
      </c>
      <c r="BJ10" s="23"/>
      <c r="BK10" s="23" t="s">
        <v>1942</v>
      </c>
      <c r="BL10" s="23"/>
    </row>
    <row r="11" spans="1:64" ht="30" customHeight="1">
      <c r="A11" s="23" t="s">
        <v>173</v>
      </c>
      <c r="B11" s="23" t="s">
        <v>1932</v>
      </c>
      <c r="C11" s="23">
        <v>6</v>
      </c>
      <c r="D11" s="23" t="s">
        <v>180</v>
      </c>
      <c r="E11" s="23" t="s">
        <v>173</v>
      </c>
      <c r="F11" s="23"/>
      <c r="G11" s="23" t="s">
        <v>161</v>
      </c>
      <c r="H11" s="23" t="s">
        <v>164</v>
      </c>
      <c r="I11" s="23"/>
      <c r="J11" s="23" t="s">
        <v>174</v>
      </c>
      <c r="K11" s="23"/>
      <c r="L11" s="23"/>
      <c r="M11" s="23"/>
      <c r="N11" s="23" t="s">
        <v>1933</v>
      </c>
      <c r="O11" s="23" t="s">
        <v>175</v>
      </c>
      <c r="P11" s="23" t="s">
        <v>176</v>
      </c>
      <c r="Q11" s="23" t="s">
        <v>175</v>
      </c>
      <c r="R11" s="23" t="s">
        <v>178</v>
      </c>
      <c r="S11" s="23" t="s">
        <v>177</v>
      </c>
      <c r="T11" s="23"/>
      <c r="U11" s="23">
        <v>2019</v>
      </c>
      <c r="V11" s="23"/>
      <c r="W11" s="23" t="s">
        <v>163</v>
      </c>
      <c r="X11" s="23" t="s">
        <v>1943</v>
      </c>
      <c r="Y11" s="23" t="s">
        <v>162</v>
      </c>
      <c r="Z11" s="23" t="s">
        <v>162</v>
      </c>
      <c r="AA11" s="23" t="s">
        <v>1934</v>
      </c>
      <c r="AB11" s="23" t="s">
        <v>1935</v>
      </c>
      <c r="AC11" s="23"/>
      <c r="AD11" s="23"/>
      <c r="AE11" s="23"/>
      <c r="AF11" s="23"/>
      <c r="AG11" s="23"/>
      <c r="AH11" s="23"/>
      <c r="AI11" s="23"/>
      <c r="AJ11" s="23"/>
      <c r="AK11" s="23"/>
      <c r="AL11" s="23"/>
      <c r="AM11" s="23" t="s">
        <v>1944</v>
      </c>
      <c r="AN11" s="23" t="s">
        <v>1945</v>
      </c>
      <c r="AO11" s="23">
        <v>125064.62</v>
      </c>
      <c r="AP11" s="23"/>
      <c r="AQ11" s="23">
        <v>53025.9</v>
      </c>
      <c r="AR11" s="23"/>
      <c r="AS11" s="23"/>
      <c r="AT11" s="23"/>
      <c r="AU11" s="23"/>
      <c r="AV11" s="23"/>
      <c r="AW11" s="23"/>
      <c r="AX11" s="23"/>
      <c r="AY11" s="23"/>
      <c r="AZ11" s="23"/>
      <c r="BA11" s="23" t="s">
        <v>1946</v>
      </c>
      <c r="BB11" s="23">
        <v>804</v>
      </c>
      <c r="BC11" s="23" t="s">
        <v>1935</v>
      </c>
      <c r="BD11" s="23"/>
      <c r="BE11" s="23" t="s">
        <v>1947</v>
      </c>
      <c r="BF11" s="23" t="s">
        <v>164</v>
      </c>
      <c r="BG11" s="23" t="s">
        <v>1940</v>
      </c>
      <c r="BH11" s="23" t="s">
        <v>1940</v>
      </c>
      <c r="BI11" s="23" t="s">
        <v>1948</v>
      </c>
      <c r="BJ11" s="23"/>
      <c r="BK11" s="23" t="s">
        <v>1949</v>
      </c>
      <c r="BL11" s="23"/>
    </row>
    <row r="12" spans="1:64" ht="30" customHeight="1">
      <c r="A12" s="23" t="s">
        <v>181</v>
      </c>
      <c r="B12" s="23" t="s">
        <v>1932</v>
      </c>
      <c r="C12" s="23">
        <v>7</v>
      </c>
      <c r="D12" s="23" t="s">
        <v>187</v>
      </c>
      <c r="E12" s="23" t="s">
        <v>181</v>
      </c>
      <c r="F12" s="23"/>
      <c r="G12" s="23" t="s">
        <v>161</v>
      </c>
      <c r="H12" s="23" t="s">
        <v>164</v>
      </c>
      <c r="I12" s="23"/>
      <c r="J12" s="23" t="s">
        <v>182</v>
      </c>
      <c r="K12" s="23"/>
      <c r="L12" s="23"/>
      <c r="M12" s="23"/>
      <c r="N12" s="23" t="s">
        <v>1933</v>
      </c>
      <c r="O12" s="23" t="s">
        <v>183</v>
      </c>
      <c r="P12" s="23" t="s">
        <v>184</v>
      </c>
      <c r="Q12" s="23" t="s">
        <v>183</v>
      </c>
      <c r="R12" s="23" t="s">
        <v>178</v>
      </c>
      <c r="S12" s="23" t="s">
        <v>185</v>
      </c>
      <c r="T12" s="23"/>
      <c r="U12" s="23"/>
      <c r="V12" s="23"/>
      <c r="W12" s="23" t="s">
        <v>163</v>
      </c>
      <c r="X12" s="23" t="s">
        <v>1950</v>
      </c>
      <c r="Y12" s="23" t="s">
        <v>162</v>
      </c>
      <c r="Z12" s="23" t="s">
        <v>162</v>
      </c>
      <c r="AA12" s="23" t="s">
        <v>1934</v>
      </c>
      <c r="AB12" s="23" t="s">
        <v>1935</v>
      </c>
      <c r="AC12" s="23"/>
      <c r="AD12" s="23"/>
      <c r="AE12" s="23"/>
      <c r="AF12" s="23"/>
      <c r="AG12" s="23"/>
      <c r="AH12" s="23"/>
      <c r="AI12" s="23"/>
      <c r="AJ12" s="23"/>
      <c r="AK12" s="23"/>
      <c r="AL12" s="23"/>
      <c r="AM12" s="23" t="s">
        <v>1951</v>
      </c>
      <c r="AN12" s="23" t="s">
        <v>1952</v>
      </c>
      <c r="AO12" s="23">
        <v>75411.850000000006</v>
      </c>
      <c r="AP12" s="23"/>
      <c r="AQ12" s="23">
        <v>2358.41</v>
      </c>
      <c r="AR12" s="23"/>
      <c r="AS12" s="23"/>
      <c r="AT12" s="23"/>
      <c r="AU12" s="23"/>
      <c r="AV12" s="23"/>
      <c r="AW12" s="23"/>
      <c r="AX12" s="23"/>
      <c r="AY12" s="23"/>
      <c r="AZ12" s="23"/>
      <c r="BA12" s="23" t="s">
        <v>1946</v>
      </c>
      <c r="BB12" s="23">
        <v>804</v>
      </c>
      <c r="BC12" s="23" t="s">
        <v>1935</v>
      </c>
      <c r="BD12" s="23"/>
      <c r="BE12" s="23" t="s">
        <v>1953</v>
      </c>
      <c r="BF12" s="23" t="s">
        <v>164</v>
      </c>
      <c r="BG12" s="23" t="s">
        <v>1940</v>
      </c>
      <c r="BH12" s="23" t="s">
        <v>1940</v>
      </c>
      <c r="BI12" s="23" t="s">
        <v>1954</v>
      </c>
      <c r="BJ12" s="23"/>
      <c r="BK12" s="23"/>
      <c r="BL12" s="23"/>
    </row>
    <row r="13" spans="1:64" ht="30" customHeight="1">
      <c r="A13" s="23" t="s">
        <v>188</v>
      </c>
      <c r="B13" s="23" t="s">
        <v>1932</v>
      </c>
      <c r="C13" s="23">
        <v>8</v>
      </c>
      <c r="D13" s="23" t="s">
        <v>193</v>
      </c>
      <c r="E13" s="23" t="s">
        <v>194</v>
      </c>
      <c r="F13" s="23"/>
      <c r="G13" s="23" t="s">
        <v>161</v>
      </c>
      <c r="H13" s="23" t="s">
        <v>164</v>
      </c>
      <c r="I13" s="23"/>
      <c r="J13" s="23" t="s">
        <v>182</v>
      </c>
      <c r="K13" s="23"/>
      <c r="L13" s="23"/>
      <c r="M13" s="23"/>
      <c r="N13" s="23" t="s">
        <v>1933</v>
      </c>
      <c r="O13" s="23" t="s">
        <v>189</v>
      </c>
      <c r="P13" s="23" t="s">
        <v>190</v>
      </c>
      <c r="Q13" s="23" t="s">
        <v>189</v>
      </c>
      <c r="R13" s="23" t="s">
        <v>178</v>
      </c>
      <c r="S13" s="23" t="s">
        <v>191</v>
      </c>
      <c r="T13" s="23"/>
      <c r="U13" s="23">
        <v>2020</v>
      </c>
      <c r="V13" s="23"/>
      <c r="W13" s="23" t="s">
        <v>163</v>
      </c>
      <c r="X13" s="23" t="s">
        <v>1955</v>
      </c>
      <c r="Y13" s="23" t="s">
        <v>162</v>
      </c>
      <c r="Z13" s="23" t="s">
        <v>162</v>
      </c>
      <c r="AA13" s="23" t="s">
        <v>1934</v>
      </c>
      <c r="AB13" s="23" t="s">
        <v>1935</v>
      </c>
      <c r="AC13" s="23"/>
      <c r="AD13" s="23"/>
      <c r="AE13" s="23"/>
      <c r="AF13" s="23"/>
      <c r="AG13" s="23"/>
      <c r="AH13" s="23"/>
      <c r="AI13" s="23"/>
      <c r="AJ13" s="23"/>
      <c r="AK13" s="23"/>
      <c r="AL13" s="23"/>
      <c r="AM13" s="23" t="s">
        <v>1956</v>
      </c>
      <c r="AN13" s="23" t="s">
        <v>1957</v>
      </c>
      <c r="AO13" s="23">
        <v>36472</v>
      </c>
      <c r="AP13" s="23"/>
      <c r="AQ13" s="23">
        <v>49514.13</v>
      </c>
      <c r="AR13" s="23"/>
      <c r="AS13" s="23"/>
      <c r="AT13" s="23"/>
      <c r="AU13" s="23"/>
      <c r="AV13" s="23"/>
      <c r="AW13" s="23"/>
      <c r="AX13" s="23"/>
      <c r="AY13" s="23"/>
      <c r="AZ13" s="23"/>
      <c r="BA13" s="23" t="s">
        <v>1946</v>
      </c>
      <c r="BB13" s="23">
        <v>804</v>
      </c>
      <c r="BC13" s="23" t="s">
        <v>1935</v>
      </c>
      <c r="BD13" s="23"/>
      <c r="BE13" s="23" t="s">
        <v>1958</v>
      </c>
      <c r="BF13" s="23" t="s">
        <v>164</v>
      </c>
      <c r="BG13" s="23" t="s">
        <v>1940</v>
      </c>
      <c r="BH13" s="23" t="s">
        <v>1940</v>
      </c>
      <c r="BI13" s="23" t="s">
        <v>1959</v>
      </c>
      <c r="BJ13" s="23"/>
      <c r="BK13" s="23" t="s">
        <v>1960</v>
      </c>
      <c r="BL13" s="23"/>
    </row>
    <row r="14" spans="1:64" ht="30" customHeight="1">
      <c r="A14" s="23" t="s">
        <v>195</v>
      </c>
      <c r="B14" s="23" t="s">
        <v>1932</v>
      </c>
      <c r="C14" s="23">
        <v>9</v>
      </c>
      <c r="D14" s="23" t="s">
        <v>199</v>
      </c>
      <c r="E14" s="23" t="s">
        <v>195</v>
      </c>
      <c r="F14" s="23"/>
      <c r="G14" s="23" t="s">
        <v>161</v>
      </c>
      <c r="H14" s="23" t="s">
        <v>164</v>
      </c>
      <c r="I14" s="23"/>
      <c r="J14" s="23" t="s">
        <v>182</v>
      </c>
      <c r="K14" s="23"/>
      <c r="L14" s="23"/>
      <c r="M14" s="23"/>
      <c r="N14" s="23" t="s">
        <v>1933</v>
      </c>
      <c r="O14" s="23" t="s">
        <v>196</v>
      </c>
      <c r="P14" s="23" t="s">
        <v>184</v>
      </c>
      <c r="Q14" s="23" t="s">
        <v>196</v>
      </c>
      <c r="R14" s="23" t="s">
        <v>178</v>
      </c>
      <c r="S14" s="23" t="s">
        <v>197</v>
      </c>
      <c r="T14" s="23"/>
      <c r="U14" s="23">
        <v>2020</v>
      </c>
      <c r="V14" s="23"/>
      <c r="W14" s="23" t="s">
        <v>163</v>
      </c>
      <c r="X14" s="23" t="s">
        <v>1961</v>
      </c>
      <c r="Y14" s="23" t="s">
        <v>162</v>
      </c>
      <c r="Z14" s="23" t="s">
        <v>162</v>
      </c>
      <c r="AA14" s="23" t="s">
        <v>1934</v>
      </c>
      <c r="AB14" s="23" t="s">
        <v>1935</v>
      </c>
      <c r="AC14" s="23"/>
      <c r="AD14" s="23"/>
      <c r="AE14" s="23"/>
      <c r="AF14" s="23"/>
      <c r="AG14" s="23"/>
      <c r="AH14" s="23"/>
      <c r="AI14" s="23"/>
      <c r="AJ14" s="23"/>
      <c r="AK14" s="23"/>
      <c r="AL14" s="23"/>
      <c r="AM14" s="23" t="s">
        <v>1962</v>
      </c>
      <c r="AN14" s="23" t="s">
        <v>1963</v>
      </c>
      <c r="AO14" s="23">
        <v>11981.19</v>
      </c>
      <c r="AP14" s="23"/>
      <c r="AQ14" s="23">
        <v>14125.03</v>
      </c>
      <c r="AR14" s="23"/>
      <c r="AS14" s="23"/>
      <c r="AT14" s="23"/>
      <c r="AU14" s="23"/>
      <c r="AV14" s="23"/>
      <c r="AW14" s="23"/>
      <c r="AX14" s="23"/>
      <c r="AY14" s="23"/>
      <c r="AZ14" s="23"/>
      <c r="BA14" s="23" t="s">
        <v>1946</v>
      </c>
      <c r="BB14" s="23">
        <v>804</v>
      </c>
      <c r="BC14" s="23" t="s">
        <v>1935</v>
      </c>
      <c r="BD14" s="23"/>
      <c r="BE14" s="23" t="s">
        <v>1964</v>
      </c>
      <c r="BF14" s="23" t="s">
        <v>164</v>
      </c>
      <c r="BG14" s="23" t="s">
        <v>1940</v>
      </c>
      <c r="BH14" s="23" t="s">
        <v>1940</v>
      </c>
      <c r="BI14" s="23" t="s">
        <v>1965</v>
      </c>
      <c r="BJ14" s="23"/>
      <c r="BK14" s="23"/>
      <c r="BL14" s="23"/>
    </row>
    <row r="15" spans="1:64" ht="30" customHeight="1">
      <c r="A15" s="23" t="s">
        <v>200</v>
      </c>
      <c r="B15" s="23" t="s">
        <v>1932</v>
      </c>
      <c r="C15" s="23">
        <v>10</v>
      </c>
      <c r="D15" s="23" t="s">
        <v>204</v>
      </c>
      <c r="E15" s="23" t="s">
        <v>200</v>
      </c>
      <c r="F15" s="23"/>
      <c r="G15" s="23" t="s">
        <v>161</v>
      </c>
      <c r="H15" s="23" t="s">
        <v>164</v>
      </c>
      <c r="I15" s="23"/>
      <c r="J15" s="23" t="s">
        <v>182</v>
      </c>
      <c r="K15" s="23"/>
      <c r="L15" s="23"/>
      <c r="M15" s="23"/>
      <c r="N15" s="23" t="s">
        <v>1933</v>
      </c>
      <c r="O15" s="23" t="s">
        <v>201</v>
      </c>
      <c r="P15" s="23" t="s">
        <v>184</v>
      </c>
      <c r="Q15" s="23" t="s">
        <v>201</v>
      </c>
      <c r="R15" s="23" t="s">
        <v>178</v>
      </c>
      <c r="S15" s="23" t="s">
        <v>202</v>
      </c>
      <c r="T15" s="23"/>
      <c r="U15" s="23">
        <v>2019</v>
      </c>
      <c r="V15" s="23"/>
      <c r="W15" s="23" t="s">
        <v>163</v>
      </c>
      <c r="X15" s="23" t="s">
        <v>1966</v>
      </c>
      <c r="Y15" s="23" t="s">
        <v>162</v>
      </c>
      <c r="Z15" s="23" t="s">
        <v>162</v>
      </c>
      <c r="AA15" s="23" t="s">
        <v>1934</v>
      </c>
      <c r="AB15" s="23" t="s">
        <v>1935</v>
      </c>
      <c r="AC15" s="23"/>
      <c r="AD15" s="23"/>
      <c r="AE15" s="23"/>
      <c r="AF15" s="23"/>
      <c r="AG15" s="23"/>
      <c r="AH15" s="23"/>
      <c r="AI15" s="23"/>
      <c r="AJ15" s="23"/>
      <c r="AK15" s="23"/>
      <c r="AL15" s="23"/>
      <c r="AM15" s="23" t="s">
        <v>1967</v>
      </c>
      <c r="AN15" s="23" t="s">
        <v>1968</v>
      </c>
      <c r="AO15" s="23">
        <v>209128.3</v>
      </c>
      <c r="AP15" s="23"/>
      <c r="AQ15" s="23">
        <v>17740.52</v>
      </c>
      <c r="AR15" s="23"/>
      <c r="AS15" s="23"/>
      <c r="AT15" s="23"/>
      <c r="AU15" s="23"/>
      <c r="AV15" s="23"/>
      <c r="AW15" s="23"/>
      <c r="AX15" s="23"/>
      <c r="AY15" s="23"/>
      <c r="AZ15" s="23"/>
      <c r="BA15" s="23" t="s">
        <v>1946</v>
      </c>
      <c r="BB15" s="23">
        <v>804</v>
      </c>
      <c r="BC15" s="23" t="s">
        <v>1935</v>
      </c>
      <c r="BD15" s="23"/>
      <c r="BE15" s="23" t="s">
        <v>1969</v>
      </c>
      <c r="BF15" s="23" t="s">
        <v>164</v>
      </c>
      <c r="BG15" s="23" t="s">
        <v>1940</v>
      </c>
      <c r="BH15" s="23" t="s">
        <v>1940</v>
      </c>
      <c r="BI15" s="23" t="s">
        <v>1970</v>
      </c>
      <c r="BJ15" s="23"/>
      <c r="BK15" s="23" t="s">
        <v>1971</v>
      </c>
      <c r="BL15" s="23"/>
    </row>
    <row r="16" spans="1:64" ht="30" customHeight="1">
      <c r="A16" s="23" t="s">
        <v>205</v>
      </c>
      <c r="B16" s="23" t="s">
        <v>1932</v>
      </c>
      <c r="C16" s="23">
        <v>11</v>
      </c>
      <c r="D16" s="23" t="s">
        <v>211</v>
      </c>
      <c r="E16" s="23" t="s">
        <v>205</v>
      </c>
      <c r="F16" s="23"/>
      <c r="G16" s="23" t="s">
        <v>161</v>
      </c>
      <c r="H16" s="23" t="s">
        <v>164</v>
      </c>
      <c r="I16" s="23"/>
      <c r="J16" s="23" t="s">
        <v>206</v>
      </c>
      <c r="K16" s="23"/>
      <c r="L16" s="23"/>
      <c r="M16" s="23"/>
      <c r="N16" s="23" t="s">
        <v>1933</v>
      </c>
      <c r="O16" s="23" t="s">
        <v>207</v>
      </c>
      <c r="P16" s="23" t="s">
        <v>208</v>
      </c>
      <c r="Q16" s="23" t="s">
        <v>207</v>
      </c>
      <c r="R16" s="23" t="s">
        <v>178</v>
      </c>
      <c r="S16" s="23" t="s">
        <v>209</v>
      </c>
      <c r="T16" s="23"/>
      <c r="U16" s="23">
        <v>2019</v>
      </c>
      <c r="V16" s="23"/>
      <c r="W16" s="23" t="s">
        <v>163</v>
      </c>
      <c r="X16" s="23" t="s">
        <v>1972</v>
      </c>
      <c r="Y16" s="23" t="s">
        <v>162</v>
      </c>
      <c r="Z16" s="23" t="s">
        <v>162</v>
      </c>
      <c r="AA16" s="23" t="s">
        <v>1934</v>
      </c>
      <c r="AB16" s="23" t="s">
        <v>1935</v>
      </c>
      <c r="AC16" s="23"/>
      <c r="AD16" s="23"/>
      <c r="AE16" s="23"/>
      <c r="AF16" s="23"/>
      <c r="AG16" s="23"/>
      <c r="AH16" s="23"/>
      <c r="AI16" s="23"/>
      <c r="AJ16" s="23"/>
      <c r="AK16" s="23"/>
      <c r="AL16" s="23"/>
      <c r="AM16" s="23" t="s">
        <v>1973</v>
      </c>
      <c r="AN16" s="23" t="s">
        <v>1974</v>
      </c>
      <c r="AO16" s="23">
        <v>43882.11</v>
      </c>
      <c r="AP16" s="23"/>
      <c r="AQ16" s="23">
        <v>84734.36</v>
      </c>
      <c r="AR16" s="23"/>
      <c r="AS16" s="23"/>
      <c r="AT16" s="23"/>
      <c r="AU16" s="23"/>
      <c r="AV16" s="23"/>
      <c r="AW16" s="23"/>
      <c r="AX16" s="23"/>
      <c r="AY16" s="23"/>
      <c r="AZ16" s="23"/>
      <c r="BA16" s="23" t="s">
        <v>1946</v>
      </c>
      <c r="BB16" s="23">
        <v>804</v>
      </c>
      <c r="BC16" s="23" t="s">
        <v>1935</v>
      </c>
      <c r="BD16" s="23"/>
      <c r="BE16" s="23" t="s">
        <v>1975</v>
      </c>
      <c r="BF16" s="23" t="s">
        <v>164</v>
      </c>
      <c r="BG16" s="23" t="s">
        <v>1940</v>
      </c>
      <c r="BH16" s="23" t="s">
        <v>1940</v>
      </c>
      <c r="BI16" s="23" t="s">
        <v>1976</v>
      </c>
      <c r="BJ16" s="23"/>
      <c r="BK16" s="23"/>
      <c r="BL16" s="23"/>
    </row>
    <row r="17" spans="1:64" ht="30" customHeight="1">
      <c r="A17" s="23" t="s">
        <v>212</v>
      </c>
      <c r="B17" s="23" t="s">
        <v>1932</v>
      </c>
      <c r="C17" s="23">
        <v>12</v>
      </c>
      <c r="D17" s="23" t="s">
        <v>216</v>
      </c>
      <c r="E17" s="23" t="s">
        <v>217</v>
      </c>
      <c r="F17" s="23"/>
      <c r="G17" s="23" t="s">
        <v>161</v>
      </c>
      <c r="H17" s="23" t="s">
        <v>164</v>
      </c>
      <c r="I17" s="23"/>
      <c r="J17" s="23" t="s">
        <v>182</v>
      </c>
      <c r="K17" s="23"/>
      <c r="L17" s="23"/>
      <c r="M17" s="23"/>
      <c r="N17" s="23" t="s">
        <v>1933</v>
      </c>
      <c r="O17" s="23" t="s">
        <v>213</v>
      </c>
      <c r="P17" s="23" t="s">
        <v>214</v>
      </c>
      <c r="Q17" s="23" t="s">
        <v>213</v>
      </c>
      <c r="R17" s="23" t="s">
        <v>178</v>
      </c>
      <c r="S17" s="23" t="s">
        <v>191</v>
      </c>
      <c r="T17" s="23"/>
      <c r="U17" s="23">
        <v>2019</v>
      </c>
      <c r="V17" s="23"/>
      <c r="W17" s="23" t="s">
        <v>163</v>
      </c>
      <c r="X17" s="23" t="s">
        <v>1955</v>
      </c>
      <c r="Y17" s="23" t="s">
        <v>162</v>
      </c>
      <c r="Z17" s="23" t="s">
        <v>162</v>
      </c>
      <c r="AA17" s="23" t="s">
        <v>1934</v>
      </c>
      <c r="AB17" s="23" t="s">
        <v>1935</v>
      </c>
      <c r="AC17" s="23"/>
      <c r="AD17" s="23"/>
      <c r="AE17" s="23"/>
      <c r="AF17" s="23"/>
      <c r="AG17" s="23"/>
      <c r="AH17" s="23"/>
      <c r="AI17" s="23"/>
      <c r="AJ17" s="23"/>
      <c r="AK17" s="23"/>
      <c r="AL17" s="23"/>
      <c r="AM17" s="23" t="s">
        <v>1977</v>
      </c>
      <c r="AN17" s="23" t="s">
        <v>1978</v>
      </c>
      <c r="AO17" s="23">
        <v>22913</v>
      </c>
      <c r="AP17" s="23"/>
      <c r="AQ17" s="23">
        <v>1938.14</v>
      </c>
      <c r="AR17" s="23"/>
      <c r="AS17" s="23"/>
      <c r="AT17" s="23"/>
      <c r="AU17" s="23"/>
      <c r="AV17" s="23"/>
      <c r="AW17" s="23"/>
      <c r="AX17" s="23"/>
      <c r="AY17" s="23"/>
      <c r="AZ17" s="23"/>
      <c r="BA17" s="23" t="s">
        <v>1946</v>
      </c>
      <c r="BB17" s="23">
        <v>804</v>
      </c>
      <c r="BC17" s="23" t="s">
        <v>1935</v>
      </c>
      <c r="BD17" s="23"/>
      <c r="BE17" s="23" t="s">
        <v>1979</v>
      </c>
      <c r="BF17" s="23" t="s">
        <v>164</v>
      </c>
      <c r="BG17" s="23" t="s">
        <v>1940</v>
      </c>
      <c r="BH17" s="23" t="s">
        <v>1940</v>
      </c>
      <c r="BI17" s="23" t="s">
        <v>1980</v>
      </c>
      <c r="BJ17" s="23"/>
      <c r="BK17" s="23" t="s">
        <v>1981</v>
      </c>
      <c r="BL17" s="23"/>
    </row>
    <row r="18" spans="1:64" ht="30" customHeight="1">
      <c r="A18" s="23" t="s">
        <v>218</v>
      </c>
      <c r="B18" s="23" t="s">
        <v>1932</v>
      </c>
      <c r="C18" s="23">
        <v>13</v>
      </c>
      <c r="D18" s="23" t="s">
        <v>222</v>
      </c>
      <c r="E18" s="23" t="s">
        <v>218</v>
      </c>
      <c r="F18" s="23"/>
      <c r="G18" s="23" t="s">
        <v>161</v>
      </c>
      <c r="H18" s="23" t="s">
        <v>164</v>
      </c>
      <c r="I18" s="23"/>
      <c r="J18" s="23" t="s">
        <v>174</v>
      </c>
      <c r="K18" s="23"/>
      <c r="L18" s="23"/>
      <c r="M18" s="23"/>
      <c r="N18" s="23" t="s">
        <v>1933</v>
      </c>
      <c r="O18" s="23" t="s">
        <v>219</v>
      </c>
      <c r="P18" s="23" t="s">
        <v>220</v>
      </c>
      <c r="Q18" s="23" t="s">
        <v>219</v>
      </c>
      <c r="R18" s="23" t="s">
        <v>178</v>
      </c>
      <c r="S18" s="23" t="s">
        <v>177</v>
      </c>
      <c r="T18" s="23"/>
      <c r="U18" s="23">
        <v>2021</v>
      </c>
      <c r="V18" s="23"/>
      <c r="W18" s="23" t="s">
        <v>163</v>
      </c>
      <c r="X18" s="23" t="s">
        <v>1982</v>
      </c>
      <c r="Y18" s="23" t="s">
        <v>162</v>
      </c>
      <c r="Z18" s="23" t="s">
        <v>162</v>
      </c>
      <c r="AA18" s="23" t="s">
        <v>1934</v>
      </c>
      <c r="AB18" s="23" t="s">
        <v>1935</v>
      </c>
      <c r="AC18" s="23"/>
      <c r="AD18" s="23"/>
      <c r="AE18" s="23"/>
      <c r="AF18" s="23"/>
      <c r="AG18" s="23"/>
      <c r="AH18" s="23"/>
      <c r="AI18" s="23"/>
      <c r="AJ18" s="23"/>
      <c r="AK18" s="23"/>
      <c r="AL18" s="23"/>
      <c r="AM18" s="23" t="s">
        <v>1983</v>
      </c>
      <c r="AN18" s="23" t="s">
        <v>1984</v>
      </c>
      <c r="AO18" s="23">
        <v>80849.55</v>
      </c>
      <c r="AP18" s="23"/>
      <c r="AQ18" s="23">
        <v>51000</v>
      </c>
      <c r="AR18" s="23"/>
      <c r="AS18" s="23"/>
      <c r="AT18" s="23"/>
      <c r="AU18" s="23"/>
      <c r="AV18" s="23"/>
      <c r="AW18" s="23"/>
      <c r="AX18" s="23"/>
      <c r="AY18" s="23"/>
      <c r="AZ18" s="23"/>
      <c r="BA18" s="23" t="s">
        <v>1946</v>
      </c>
      <c r="BB18" s="23">
        <v>804</v>
      </c>
      <c r="BC18" s="23" t="s">
        <v>1935</v>
      </c>
      <c r="BD18" s="23"/>
      <c r="BE18" s="23" t="s">
        <v>1985</v>
      </c>
      <c r="BF18" s="23" t="s">
        <v>164</v>
      </c>
      <c r="BG18" s="23" t="s">
        <v>1940</v>
      </c>
      <c r="BH18" s="23" t="s">
        <v>1940</v>
      </c>
      <c r="BI18" s="23" t="s">
        <v>1986</v>
      </c>
      <c r="BJ18" s="23"/>
      <c r="BK18" s="23" t="s">
        <v>1987</v>
      </c>
      <c r="BL18" s="23"/>
    </row>
    <row r="19" spans="1:64" ht="30" customHeight="1">
      <c r="A19" s="23" t="s">
        <v>223</v>
      </c>
      <c r="B19" s="23" t="s">
        <v>1932</v>
      </c>
      <c r="C19" s="23">
        <v>14</v>
      </c>
      <c r="D19" s="23" t="s">
        <v>229</v>
      </c>
      <c r="E19" s="23" t="s">
        <v>223</v>
      </c>
      <c r="F19" s="23"/>
      <c r="G19" s="23" t="s">
        <v>161</v>
      </c>
      <c r="H19" s="23" t="s">
        <v>164</v>
      </c>
      <c r="I19" s="23"/>
      <c r="J19" s="23" t="s">
        <v>174</v>
      </c>
      <c r="K19" s="23"/>
      <c r="L19" s="23"/>
      <c r="M19" s="23"/>
      <c r="N19" s="23" t="s">
        <v>1933</v>
      </c>
      <c r="O19" s="23" t="s">
        <v>224</v>
      </c>
      <c r="P19" s="23" t="s">
        <v>225</v>
      </c>
      <c r="Q19" s="23" t="s">
        <v>224</v>
      </c>
      <c r="R19" s="23" t="s">
        <v>227</v>
      </c>
      <c r="S19" s="23" t="s">
        <v>226</v>
      </c>
      <c r="T19" s="23"/>
      <c r="U19" s="23">
        <v>2016</v>
      </c>
      <c r="V19" s="23"/>
      <c r="W19" s="23" t="s">
        <v>163</v>
      </c>
      <c r="X19" s="23" t="s">
        <v>1988</v>
      </c>
      <c r="Y19" s="23" t="s">
        <v>162</v>
      </c>
      <c r="Z19" s="23" t="s">
        <v>162</v>
      </c>
      <c r="AA19" s="23" t="s">
        <v>1934</v>
      </c>
      <c r="AB19" s="23" t="s">
        <v>1935</v>
      </c>
      <c r="AC19" s="23"/>
      <c r="AD19" s="23"/>
      <c r="AE19" s="23"/>
      <c r="AF19" s="23"/>
      <c r="AG19" s="23"/>
      <c r="AH19" s="23"/>
      <c r="AI19" s="23"/>
      <c r="AJ19" s="23"/>
      <c r="AK19" s="23"/>
      <c r="AL19" s="23"/>
      <c r="AM19" s="23" t="s">
        <v>1317</v>
      </c>
      <c r="AN19" s="23"/>
      <c r="AO19" s="23">
        <v>213561.34</v>
      </c>
      <c r="AP19" s="23"/>
      <c r="AQ19" s="23">
        <v>10332.209999999999</v>
      </c>
      <c r="AR19" s="23"/>
      <c r="AS19" s="23"/>
      <c r="AT19" s="23"/>
      <c r="AU19" s="23"/>
      <c r="AV19" s="23"/>
      <c r="AW19" s="23"/>
      <c r="AX19" s="23"/>
      <c r="AY19" s="23"/>
      <c r="AZ19" s="23"/>
      <c r="BA19" s="23" t="s">
        <v>1946</v>
      </c>
      <c r="BB19" s="23">
        <v>804</v>
      </c>
      <c r="BC19" s="23" t="s">
        <v>1935</v>
      </c>
      <c r="BD19" s="23"/>
      <c r="BE19" s="23" t="s">
        <v>1989</v>
      </c>
      <c r="BF19" s="23" t="s">
        <v>164</v>
      </c>
      <c r="BG19" s="23" t="s">
        <v>1940</v>
      </c>
      <c r="BH19" s="23" t="s">
        <v>1940</v>
      </c>
      <c r="BI19" s="23" t="s">
        <v>1990</v>
      </c>
      <c r="BJ19" s="23"/>
      <c r="BK19" s="23"/>
      <c r="BL19" s="23"/>
    </row>
    <row r="20" spans="1:64" ht="30" customHeight="1">
      <c r="A20" s="23" t="s">
        <v>230</v>
      </c>
      <c r="B20" s="23" t="s">
        <v>1932</v>
      </c>
      <c r="C20" s="23">
        <v>15</v>
      </c>
      <c r="D20" s="23" t="s">
        <v>236</v>
      </c>
      <c r="E20" s="23" t="s">
        <v>230</v>
      </c>
      <c r="F20" s="23"/>
      <c r="G20" s="23" t="s">
        <v>161</v>
      </c>
      <c r="H20" s="23" t="s">
        <v>164</v>
      </c>
      <c r="I20" s="23"/>
      <c r="J20" s="23" t="s">
        <v>174</v>
      </c>
      <c r="K20" s="23"/>
      <c r="L20" s="23"/>
      <c r="M20" s="23"/>
      <c r="N20" s="23" t="s">
        <v>1933</v>
      </c>
      <c r="O20" s="23" t="s">
        <v>231</v>
      </c>
      <c r="P20" s="23" t="s">
        <v>232</v>
      </c>
      <c r="Q20" s="23" t="s">
        <v>231</v>
      </c>
      <c r="R20" s="23" t="s">
        <v>234</v>
      </c>
      <c r="S20" s="23" t="s">
        <v>233</v>
      </c>
      <c r="T20" s="23"/>
      <c r="U20" s="23">
        <v>2013</v>
      </c>
      <c r="V20" s="23"/>
      <c r="W20" s="23" t="s">
        <v>163</v>
      </c>
      <c r="X20" s="23" t="s">
        <v>1943</v>
      </c>
      <c r="Y20" s="23" t="s">
        <v>162</v>
      </c>
      <c r="Z20" s="23" t="s">
        <v>162</v>
      </c>
      <c r="AA20" s="23" t="s">
        <v>1934</v>
      </c>
      <c r="AB20" s="23" t="s">
        <v>1935</v>
      </c>
      <c r="AC20" s="23"/>
      <c r="AD20" s="23"/>
      <c r="AE20" s="23"/>
      <c r="AF20" s="23"/>
      <c r="AG20" s="23"/>
      <c r="AH20" s="23"/>
      <c r="AI20" s="23"/>
      <c r="AJ20" s="23"/>
      <c r="AK20" s="23"/>
      <c r="AL20" s="23"/>
      <c r="AM20" s="23" t="s">
        <v>1991</v>
      </c>
      <c r="AN20" s="23" t="s">
        <v>1992</v>
      </c>
      <c r="AO20" s="23">
        <v>5000</v>
      </c>
      <c r="AP20" s="23"/>
      <c r="AQ20" s="23">
        <v>486345.39</v>
      </c>
      <c r="AR20" s="23"/>
      <c r="AS20" s="23"/>
      <c r="AT20" s="23"/>
      <c r="AU20" s="23"/>
      <c r="AV20" s="23"/>
      <c r="AW20" s="23"/>
      <c r="AX20" s="23"/>
      <c r="AY20" s="23"/>
      <c r="AZ20" s="23"/>
      <c r="BA20" s="23" t="s">
        <v>1946</v>
      </c>
      <c r="BB20" s="23">
        <v>804</v>
      </c>
      <c r="BC20" s="23" t="s">
        <v>1935</v>
      </c>
      <c r="BD20" s="23"/>
      <c r="BE20" s="23" t="s">
        <v>1993</v>
      </c>
      <c r="BF20" s="23" t="s">
        <v>164</v>
      </c>
      <c r="BG20" s="23" t="s">
        <v>1940</v>
      </c>
      <c r="BH20" s="23" t="s">
        <v>1994</v>
      </c>
      <c r="BI20" s="23" t="s">
        <v>1995</v>
      </c>
      <c r="BJ20" s="23"/>
      <c r="BK20" s="23"/>
      <c r="BL20" s="23"/>
    </row>
    <row r="21" spans="1:64" ht="30" customHeight="1">
      <c r="A21" s="23" t="s">
        <v>237</v>
      </c>
      <c r="B21" s="23" t="s">
        <v>1932</v>
      </c>
      <c r="C21" s="23">
        <v>16</v>
      </c>
      <c r="D21" s="23" t="s">
        <v>245</v>
      </c>
      <c r="E21" s="23" t="s">
        <v>237</v>
      </c>
      <c r="F21" s="23"/>
      <c r="G21" s="23" t="s">
        <v>161</v>
      </c>
      <c r="H21" s="23" t="s">
        <v>238</v>
      </c>
      <c r="I21" s="23"/>
      <c r="J21" s="23" t="s">
        <v>182</v>
      </c>
      <c r="K21" s="23"/>
      <c r="L21" s="23"/>
      <c r="M21" s="23" t="s">
        <v>246</v>
      </c>
      <c r="N21" s="23" t="s">
        <v>1933</v>
      </c>
      <c r="O21" s="23" t="s">
        <v>239</v>
      </c>
      <c r="P21" s="23" t="s">
        <v>240</v>
      </c>
      <c r="Q21" s="23" t="s">
        <v>239</v>
      </c>
      <c r="R21" s="23" t="s">
        <v>242</v>
      </c>
      <c r="S21" s="23" t="s">
        <v>241</v>
      </c>
      <c r="T21" s="23" t="s">
        <v>1996</v>
      </c>
      <c r="U21" s="23">
        <v>2022</v>
      </c>
      <c r="V21" s="23"/>
      <c r="W21" s="23" t="s">
        <v>163</v>
      </c>
      <c r="X21" s="23" t="s">
        <v>163</v>
      </c>
      <c r="Y21" s="23" t="s">
        <v>162</v>
      </c>
      <c r="Z21" s="23" t="s">
        <v>162</v>
      </c>
      <c r="AA21" s="23" t="s">
        <v>1934</v>
      </c>
      <c r="AB21" s="23" t="s">
        <v>1935</v>
      </c>
      <c r="AC21" s="23"/>
      <c r="AD21" s="23"/>
      <c r="AE21" s="23"/>
      <c r="AF21" s="23"/>
      <c r="AG21" s="23" t="s">
        <v>243</v>
      </c>
      <c r="AH21" s="23"/>
      <c r="AI21" s="23"/>
      <c r="AJ21" s="23"/>
      <c r="AK21" s="23"/>
      <c r="AL21" s="23"/>
      <c r="AM21" s="23" t="s">
        <v>1997</v>
      </c>
      <c r="AN21" s="23" t="s">
        <v>1998</v>
      </c>
      <c r="AO21" s="23">
        <v>41800</v>
      </c>
      <c r="AP21" s="23"/>
      <c r="AQ21" s="23"/>
      <c r="AR21" s="23"/>
      <c r="AS21" s="23"/>
      <c r="AT21" s="23"/>
      <c r="AU21" s="23"/>
      <c r="AV21" s="23"/>
      <c r="AW21" s="23"/>
      <c r="AX21" s="23"/>
      <c r="AY21" s="23"/>
      <c r="AZ21" s="23"/>
      <c r="BA21" s="23" t="s">
        <v>1999</v>
      </c>
      <c r="BB21" s="23">
        <v>223</v>
      </c>
      <c r="BC21" s="23" t="s">
        <v>1935</v>
      </c>
      <c r="BD21" s="23"/>
      <c r="BE21" s="23" t="s">
        <v>2000</v>
      </c>
      <c r="BF21" s="23" t="s">
        <v>238</v>
      </c>
      <c r="BG21" s="23" t="s">
        <v>1940</v>
      </c>
      <c r="BH21" s="23" t="s">
        <v>2001</v>
      </c>
      <c r="BI21" s="23" t="s">
        <v>2002</v>
      </c>
      <c r="BJ21" s="23" t="s">
        <v>2003</v>
      </c>
      <c r="BK21" s="23"/>
      <c r="BL21" s="23"/>
    </row>
    <row r="22" spans="1:64" ht="30" customHeight="1">
      <c r="A22" s="23" t="s">
        <v>247</v>
      </c>
      <c r="B22" s="23" t="s">
        <v>1932</v>
      </c>
      <c r="C22" s="23">
        <v>17</v>
      </c>
      <c r="D22" s="23" t="s">
        <v>250</v>
      </c>
      <c r="E22" s="23" t="s">
        <v>247</v>
      </c>
      <c r="F22" s="23"/>
      <c r="G22" s="23" t="s">
        <v>161</v>
      </c>
      <c r="H22" s="23" t="s">
        <v>238</v>
      </c>
      <c r="I22" s="23"/>
      <c r="J22" s="23" t="s">
        <v>182</v>
      </c>
      <c r="K22" s="23"/>
      <c r="L22" s="23"/>
      <c r="M22" s="23"/>
      <c r="N22" s="23" t="s">
        <v>1933</v>
      </c>
      <c r="O22" s="23" t="s">
        <v>239</v>
      </c>
      <c r="P22" s="23" t="s">
        <v>240</v>
      </c>
      <c r="Q22" s="23" t="s">
        <v>239</v>
      </c>
      <c r="R22" s="23" t="s">
        <v>242</v>
      </c>
      <c r="S22" s="23" t="s">
        <v>241</v>
      </c>
      <c r="T22" s="23" t="s">
        <v>2004</v>
      </c>
      <c r="U22" s="23">
        <v>2021</v>
      </c>
      <c r="V22" s="23"/>
      <c r="W22" s="23" t="s">
        <v>163</v>
      </c>
      <c r="X22" s="23" t="s">
        <v>163</v>
      </c>
      <c r="Y22" s="23" t="s">
        <v>162</v>
      </c>
      <c r="Z22" s="23" t="s">
        <v>162</v>
      </c>
      <c r="AA22" s="23" t="s">
        <v>1934</v>
      </c>
      <c r="AB22" s="23" t="s">
        <v>1935</v>
      </c>
      <c r="AC22" s="23"/>
      <c r="AD22" s="23"/>
      <c r="AE22" s="23"/>
      <c r="AF22" s="23"/>
      <c r="AG22" s="23" t="s">
        <v>248</v>
      </c>
      <c r="AH22" s="23"/>
      <c r="AI22" s="23"/>
      <c r="AJ22" s="23"/>
      <c r="AK22" s="23"/>
      <c r="AL22" s="23"/>
      <c r="AM22" s="23" t="s">
        <v>2005</v>
      </c>
      <c r="AN22" s="23" t="s">
        <v>2006</v>
      </c>
      <c r="AO22" s="23">
        <v>39000</v>
      </c>
      <c r="AP22" s="23"/>
      <c r="AQ22" s="23"/>
      <c r="AR22" s="23"/>
      <c r="AS22" s="23"/>
      <c r="AT22" s="23"/>
      <c r="AU22" s="23"/>
      <c r="AV22" s="23"/>
      <c r="AW22" s="23"/>
      <c r="AX22" s="23"/>
      <c r="AY22" s="23"/>
      <c r="AZ22" s="23"/>
      <c r="BA22" s="23" t="s">
        <v>1999</v>
      </c>
      <c r="BB22" s="23">
        <v>223</v>
      </c>
      <c r="BC22" s="23" t="s">
        <v>1935</v>
      </c>
      <c r="BD22" s="23"/>
      <c r="BE22" s="23" t="s">
        <v>2007</v>
      </c>
      <c r="BF22" s="23" t="s">
        <v>238</v>
      </c>
      <c r="BG22" s="23" t="s">
        <v>1940</v>
      </c>
      <c r="BH22" s="23" t="s">
        <v>2001</v>
      </c>
      <c r="BI22" s="23" t="s">
        <v>2008</v>
      </c>
      <c r="BJ22" s="23" t="s">
        <v>2003</v>
      </c>
      <c r="BK22" s="23"/>
      <c r="BL22" s="23"/>
    </row>
    <row r="23" spans="1:64" ht="30" customHeight="1">
      <c r="A23" s="23" t="s">
        <v>251</v>
      </c>
      <c r="B23" s="23" t="s">
        <v>1932</v>
      </c>
      <c r="C23" s="23">
        <v>18</v>
      </c>
      <c r="D23" s="23" t="s">
        <v>260</v>
      </c>
      <c r="E23" s="23" t="s">
        <v>251</v>
      </c>
      <c r="F23" s="23"/>
      <c r="G23" s="23" t="s">
        <v>161</v>
      </c>
      <c r="H23" s="23" t="s">
        <v>238</v>
      </c>
      <c r="I23" s="23"/>
      <c r="J23" s="23" t="s">
        <v>253</v>
      </c>
      <c r="K23" s="23"/>
      <c r="L23" s="23"/>
      <c r="M23" s="23" t="s">
        <v>262</v>
      </c>
      <c r="N23" s="23" t="s">
        <v>1933</v>
      </c>
      <c r="O23" s="23" t="s">
        <v>254</v>
      </c>
      <c r="P23" s="23" t="s">
        <v>255</v>
      </c>
      <c r="Q23" s="23" t="s">
        <v>254</v>
      </c>
      <c r="R23" s="23" t="s">
        <v>257</v>
      </c>
      <c r="S23" s="23" t="s">
        <v>256</v>
      </c>
      <c r="T23" s="23" t="s">
        <v>2009</v>
      </c>
      <c r="U23" s="23">
        <v>2022</v>
      </c>
      <c r="V23" s="23"/>
      <c r="W23" s="23" t="s">
        <v>163</v>
      </c>
      <c r="X23" s="23" t="s">
        <v>2010</v>
      </c>
      <c r="Y23" s="23" t="s">
        <v>252</v>
      </c>
      <c r="Z23" s="23" t="s">
        <v>261</v>
      </c>
      <c r="AA23" s="23" t="s">
        <v>2011</v>
      </c>
      <c r="AB23" s="23" t="s">
        <v>1935</v>
      </c>
      <c r="AC23" s="23"/>
      <c r="AD23" s="23"/>
      <c r="AE23" s="23"/>
      <c r="AF23" s="23"/>
      <c r="AG23" s="23" t="s">
        <v>258</v>
      </c>
      <c r="AH23" s="23"/>
      <c r="AI23" s="23"/>
      <c r="AJ23" s="23"/>
      <c r="AK23" s="23"/>
      <c r="AL23" s="23"/>
      <c r="AM23" s="23" t="s">
        <v>2012</v>
      </c>
      <c r="AN23" s="23"/>
      <c r="AO23" s="23">
        <v>55086.09</v>
      </c>
      <c r="AP23" s="23"/>
      <c r="AQ23" s="23"/>
      <c r="AR23" s="23"/>
      <c r="AS23" s="23"/>
      <c r="AT23" s="23"/>
      <c r="AU23" s="23"/>
      <c r="AV23" s="23"/>
      <c r="AW23" s="23"/>
      <c r="AX23" s="23"/>
      <c r="AY23" s="23"/>
      <c r="AZ23" s="23"/>
      <c r="BA23" s="23" t="s">
        <v>2013</v>
      </c>
      <c r="BB23" s="23">
        <v>762</v>
      </c>
      <c r="BC23" s="23" t="s">
        <v>1935</v>
      </c>
      <c r="BD23" s="23"/>
      <c r="BE23" s="23" t="s">
        <v>2014</v>
      </c>
      <c r="BF23" s="23" t="s">
        <v>238</v>
      </c>
      <c r="BG23" s="23" t="s">
        <v>2015</v>
      </c>
      <c r="BH23" s="23" t="s">
        <v>2016</v>
      </c>
      <c r="BI23" s="23" t="s">
        <v>2017</v>
      </c>
      <c r="BJ23" s="23"/>
      <c r="BK23" s="23"/>
      <c r="BL23" s="23"/>
    </row>
    <row r="24" spans="1:64" ht="30" customHeight="1">
      <c r="A24" s="23" t="s">
        <v>263</v>
      </c>
      <c r="B24" s="23" t="s">
        <v>1932</v>
      </c>
      <c r="C24" s="23">
        <v>19</v>
      </c>
      <c r="D24" s="23" t="s">
        <v>267</v>
      </c>
      <c r="E24" s="23" t="s">
        <v>263</v>
      </c>
      <c r="F24" s="23"/>
      <c r="G24" s="23" t="s">
        <v>161</v>
      </c>
      <c r="H24" s="23" t="s">
        <v>238</v>
      </c>
      <c r="I24" s="23"/>
      <c r="J24" s="23" t="s">
        <v>253</v>
      </c>
      <c r="K24" s="23"/>
      <c r="L24" s="23"/>
      <c r="M24" s="23" t="s">
        <v>262</v>
      </c>
      <c r="N24" s="23" t="s">
        <v>1933</v>
      </c>
      <c r="O24" s="23" t="s">
        <v>254</v>
      </c>
      <c r="P24" s="23" t="s">
        <v>255</v>
      </c>
      <c r="Q24" s="23" t="s">
        <v>254</v>
      </c>
      <c r="R24" s="23" t="s">
        <v>257</v>
      </c>
      <c r="S24" s="23" t="s">
        <v>264</v>
      </c>
      <c r="T24" s="23" t="s">
        <v>2009</v>
      </c>
      <c r="U24" s="23">
        <v>2022</v>
      </c>
      <c r="V24" s="23"/>
      <c r="W24" s="23" t="s">
        <v>163</v>
      </c>
      <c r="X24" s="23" t="s">
        <v>2010</v>
      </c>
      <c r="Y24" s="23" t="s">
        <v>252</v>
      </c>
      <c r="Z24" s="23" t="s">
        <v>261</v>
      </c>
      <c r="AA24" s="23" t="s">
        <v>2011</v>
      </c>
      <c r="AB24" s="23" t="s">
        <v>1935</v>
      </c>
      <c r="AC24" s="23"/>
      <c r="AD24" s="23" t="s">
        <v>1129</v>
      </c>
      <c r="AE24" s="23"/>
      <c r="AF24" s="23"/>
      <c r="AG24" s="23" t="s">
        <v>265</v>
      </c>
      <c r="AH24" s="23"/>
      <c r="AI24" s="23"/>
      <c r="AJ24" s="23"/>
      <c r="AK24" s="23"/>
      <c r="AL24" s="23"/>
      <c r="AM24" s="23" t="s">
        <v>2018</v>
      </c>
      <c r="AN24" s="23"/>
      <c r="AO24" s="23">
        <v>54146.65</v>
      </c>
      <c r="AP24" s="23"/>
      <c r="AQ24" s="23"/>
      <c r="AR24" s="23"/>
      <c r="AS24" s="23"/>
      <c r="AT24" s="23"/>
      <c r="AU24" s="23"/>
      <c r="AV24" s="23"/>
      <c r="AW24" s="23"/>
      <c r="AX24" s="23"/>
      <c r="AY24" s="23"/>
      <c r="AZ24" s="23"/>
      <c r="BA24" s="23" t="s">
        <v>2019</v>
      </c>
      <c r="BB24" s="23">
        <v>264</v>
      </c>
      <c r="BC24" s="23" t="s">
        <v>1935</v>
      </c>
      <c r="BD24" s="23"/>
      <c r="BE24" s="23" t="s">
        <v>2020</v>
      </c>
      <c r="BF24" s="23" t="s">
        <v>238</v>
      </c>
      <c r="BG24" s="23" t="s">
        <v>2021</v>
      </c>
      <c r="BH24" s="23" t="s">
        <v>2016</v>
      </c>
      <c r="BI24" s="23" t="s">
        <v>2022</v>
      </c>
      <c r="BJ24" s="23" t="s">
        <v>2023</v>
      </c>
      <c r="BK24" s="23"/>
      <c r="BL24" s="23"/>
    </row>
    <row r="25" spans="1:64" ht="30" customHeight="1">
      <c r="A25" s="23" t="s">
        <v>268</v>
      </c>
      <c r="B25" s="23" t="s">
        <v>1932</v>
      </c>
      <c r="C25" s="23">
        <v>20</v>
      </c>
      <c r="D25" s="23" t="s">
        <v>272</v>
      </c>
      <c r="E25" s="23" t="s">
        <v>194</v>
      </c>
      <c r="F25" s="23"/>
      <c r="G25" s="23" t="s">
        <v>161</v>
      </c>
      <c r="H25" s="23" t="s">
        <v>164</v>
      </c>
      <c r="I25" s="23"/>
      <c r="J25" s="23" t="s">
        <v>182</v>
      </c>
      <c r="K25" s="23"/>
      <c r="L25" s="23"/>
      <c r="M25" s="23"/>
      <c r="N25" s="23" t="s">
        <v>1933</v>
      </c>
      <c r="O25" s="23" t="s">
        <v>189</v>
      </c>
      <c r="P25" s="23" t="s">
        <v>269</v>
      </c>
      <c r="Q25" s="23" t="s">
        <v>189</v>
      </c>
      <c r="R25" s="23" t="s">
        <v>178</v>
      </c>
      <c r="S25" s="23" t="s">
        <v>270</v>
      </c>
      <c r="T25" s="23" t="s">
        <v>2024</v>
      </c>
      <c r="U25" s="23">
        <v>2020</v>
      </c>
      <c r="V25" s="23"/>
      <c r="W25" s="23" t="s">
        <v>163</v>
      </c>
      <c r="X25" s="23" t="s">
        <v>163</v>
      </c>
      <c r="Y25" s="23" t="s">
        <v>162</v>
      </c>
      <c r="Z25" s="23" t="s">
        <v>162</v>
      </c>
      <c r="AA25" s="23" t="s">
        <v>1934</v>
      </c>
      <c r="AB25" s="23" t="s">
        <v>1935</v>
      </c>
      <c r="AC25" s="23"/>
      <c r="AD25" s="23"/>
      <c r="AE25" s="23"/>
      <c r="AF25" s="23"/>
      <c r="AG25" s="23" t="s">
        <v>169</v>
      </c>
      <c r="AH25" s="23"/>
      <c r="AI25" s="23"/>
      <c r="AJ25" s="23"/>
      <c r="AK25" s="23"/>
      <c r="AL25" s="23"/>
      <c r="AM25" s="23" t="s">
        <v>2025</v>
      </c>
      <c r="AN25" s="23" t="s">
        <v>1957</v>
      </c>
      <c r="AO25" s="23"/>
      <c r="AP25" s="23"/>
      <c r="AQ25" s="23"/>
      <c r="AR25" s="23"/>
      <c r="AS25" s="23"/>
      <c r="AT25" s="23"/>
      <c r="AU25" s="23">
        <v>20000</v>
      </c>
      <c r="AV25" s="23"/>
      <c r="AW25" s="23"/>
      <c r="AX25" s="23"/>
      <c r="AY25" s="23"/>
      <c r="AZ25" s="23"/>
      <c r="BA25" s="23" t="s">
        <v>1999</v>
      </c>
      <c r="BB25" s="23">
        <v>223</v>
      </c>
      <c r="BC25" s="23" t="s">
        <v>1935</v>
      </c>
      <c r="BD25" s="23"/>
      <c r="BE25" s="23" t="s">
        <v>2026</v>
      </c>
      <c r="BF25" s="23" t="s">
        <v>164</v>
      </c>
      <c r="BG25" s="23" t="s">
        <v>1940</v>
      </c>
      <c r="BH25" s="23" t="s">
        <v>2027</v>
      </c>
      <c r="BI25" s="23" t="s">
        <v>2028</v>
      </c>
      <c r="BJ25" s="23" t="s">
        <v>2003</v>
      </c>
      <c r="BK25" s="23" t="s">
        <v>2029</v>
      </c>
      <c r="BL25" s="23"/>
    </row>
    <row r="26" spans="1:64" ht="30" customHeight="1">
      <c r="A26" s="23" t="s">
        <v>273</v>
      </c>
      <c r="B26" s="23" t="s">
        <v>1932</v>
      </c>
      <c r="C26" s="23">
        <v>21</v>
      </c>
      <c r="D26" s="23" t="s">
        <v>278</v>
      </c>
      <c r="E26" s="23" t="s">
        <v>279</v>
      </c>
      <c r="F26" s="23"/>
      <c r="G26" s="23" t="s">
        <v>161</v>
      </c>
      <c r="H26" s="23" t="s">
        <v>238</v>
      </c>
      <c r="I26" s="23"/>
      <c r="J26" s="23" t="s">
        <v>182</v>
      </c>
      <c r="K26" s="23"/>
      <c r="L26" s="23"/>
      <c r="M26" s="23"/>
      <c r="N26" s="23" t="s">
        <v>1933</v>
      </c>
      <c r="O26" s="23" t="s">
        <v>274</v>
      </c>
      <c r="P26" s="23" t="s">
        <v>269</v>
      </c>
      <c r="Q26" s="23" t="s">
        <v>274</v>
      </c>
      <c r="R26" s="23" t="s">
        <v>242</v>
      </c>
      <c r="S26" s="23" t="s">
        <v>275</v>
      </c>
      <c r="T26" s="23" t="s">
        <v>2030</v>
      </c>
      <c r="U26" s="23">
        <v>2020</v>
      </c>
      <c r="V26" s="23"/>
      <c r="W26" s="23" t="s">
        <v>163</v>
      </c>
      <c r="X26" s="23" t="s">
        <v>163</v>
      </c>
      <c r="Y26" s="23" t="s">
        <v>2031</v>
      </c>
      <c r="Z26" s="23" t="s">
        <v>280</v>
      </c>
      <c r="AA26" s="23" t="s">
        <v>2032</v>
      </c>
      <c r="AB26" s="23" t="s">
        <v>1935</v>
      </c>
      <c r="AC26" s="23"/>
      <c r="AD26" s="23" t="s">
        <v>1132</v>
      </c>
      <c r="AE26" s="23"/>
      <c r="AF26" s="23"/>
      <c r="AG26" s="23" t="s">
        <v>276</v>
      </c>
      <c r="AH26" s="23"/>
      <c r="AI26" s="23"/>
      <c r="AJ26" s="23"/>
      <c r="AK26" s="23"/>
      <c r="AL26" s="23"/>
      <c r="AM26" s="23" t="s">
        <v>2033</v>
      </c>
      <c r="AN26" s="23"/>
      <c r="AO26" s="23">
        <v>99772.54</v>
      </c>
      <c r="AP26" s="23"/>
      <c r="AQ26" s="23"/>
      <c r="AR26" s="23"/>
      <c r="AS26" s="23"/>
      <c r="AT26" s="23"/>
      <c r="AU26" s="23"/>
      <c r="AV26" s="23"/>
      <c r="AW26" s="23"/>
      <c r="AX26" s="23"/>
      <c r="AY26" s="23"/>
      <c r="AZ26" s="23"/>
      <c r="BA26" s="23" t="s">
        <v>2019</v>
      </c>
      <c r="BB26" s="23">
        <v>264</v>
      </c>
      <c r="BC26" s="23" t="s">
        <v>1935</v>
      </c>
      <c r="BD26" s="23"/>
      <c r="BE26" s="23" t="s">
        <v>2034</v>
      </c>
      <c r="BF26" s="23" t="s">
        <v>238</v>
      </c>
      <c r="BG26" s="23" t="s">
        <v>2035</v>
      </c>
      <c r="BH26" s="23" t="s">
        <v>2027</v>
      </c>
      <c r="BI26" s="23" t="s">
        <v>2036</v>
      </c>
      <c r="BJ26" s="23" t="s">
        <v>2037</v>
      </c>
      <c r="BK26" s="23"/>
      <c r="BL26" s="23"/>
    </row>
    <row r="27" spans="1:64" ht="30" customHeight="1">
      <c r="A27" s="23" t="s">
        <v>281</v>
      </c>
      <c r="B27" s="23" t="s">
        <v>1932</v>
      </c>
      <c r="C27" s="23">
        <v>22</v>
      </c>
      <c r="D27" s="23" t="s">
        <v>287</v>
      </c>
      <c r="E27" s="23" t="s">
        <v>281</v>
      </c>
      <c r="F27" s="23"/>
      <c r="G27" s="23" t="s">
        <v>161</v>
      </c>
      <c r="H27" s="23" t="s">
        <v>164</v>
      </c>
      <c r="I27" s="23"/>
      <c r="J27" s="23" t="s">
        <v>282</v>
      </c>
      <c r="K27" s="23"/>
      <c r="L27" s="23"/>
      <c r="M27" s="23"/>
      <c r="N27" s="23" t="s">
        <v>1933</v>
      </c>
      <c r="O27" s="23" t="s">
        <v>283</v>
      </c>
      <c r="P27" s="23" t="s">
        <v>284</v>
      </c>
      <c r="Q27" s="23" t="s">
        <v>283</v>
      </c>
      <c r="R27" s="23" t="s">
        <v>178</v>
      </c>
      <c r="S27" s="23" t="s">
        <v>285</v>
      </c>
      <c r="T27" s="23"/>
      <c r="U27" s="23">
        <v>2023</v>
      </c>
      <c r="V27" s="23"/>
      <c r="W27" s="23" t="s">
        <v>163</v>
      </c>
      <c r="X27" s="23" t="s">
        <v>2038</v>
      </c>
      <c r="Y27" s="23" t="s">
        <v>162</v>
      </c>
      <c r="Z27" s="23" t="s">
        <v>162</v>
      </c>
      <c r="AA27" s="23" t="s">
        <v>1934</v>
      </c>
      <c r="AB27" s="23" t="s">
        <v>1935</v>
      </c>
      <c r="AC27" s="23"/>
      <c r="AD27" s="23"/>
      <c r="AE27" s="23"/>
      <c r="AF27" s="23"/>
      <c r="AG27" s="23"/>
      <c r="AH27" s="23"/>
      <c r="AI27" s="23"/>
      <c r="AJ27" s="23"/>
      <c r="AK27" s="23"/>
      <c r="AL27" s="23"/>
      <c r="AM27" s="23" t="s">
        <v>2039</v>
      </c>
      <c r="AN27" s="23" t="s">
        <v>2040</v>
      </c>
      <c r="AO27" s="23">
        <v>24328.71</v>
      </c>
      <c r="AP27" s="23"/>
      <c r="AQ27" s="23">
        <v>11741.96</v>
      </c>
      <c r="AR27" s="23"/>
      <c r="AS27" s="23"/>
      <c r="AT27" s="23"/>
      <c r="AU27" s="23">
        <v>6000</v>
      </c>
      <c r="AV27" s="23"/>
      <c r="AW27" s="23"/>
      <c r="AX27" s="23"/>
      <c r="AY27" s="23"/>
      <c r="AZ27" s="23"/>
      <c r="BA27" s="23" t="s">
        <v>1938</v>
      </c>
      <c r="BB27" s="23">
        <v>261</v>
      </c>
      <c r="BC27" s="23" t="s">
        <v>1935</v>
      </c>
      <c r="BD27" s="23"/>
      <c r="BE27" s="23" t="s">
        <v>2041</v>
      </c>
      <c r="BF27" s="23" t="s">
        <v>164</v>
      </c>
      <c r="BG27" s="23" t="s">
        <v>1940</v>
      </c>
      <c r="BH27" s="23" t="s">
        <v>2027</v>
      </c>
      <c r="BI27" s="23" t="s">
        <v>2042</v>
      </c>
      <c r="BJ27" s="23" t="s">
        <v>2043</v>
      </c>
      <c r="BK27" s="23" t="s">
        <v>2044</v>
      </c>
      <c r="BL27" s="23"/>
    </row>
    <row r="28" spans="1:64" ht="30" customHeight="1">
      <c r="A28" s="23" t="s">
        <v>288</v>
      </c>
      <c r="B28" s="23" t="s">
        <v>1932</v>
      </c>
      <c r="C28" s="23">
        <v>23</v>
      </c>
      <c r="D28" s="23" t="s">
        <v>291</v>
      </c>
      <c r="E28" s="23" t="s">
        <v>288</v>
      </c>
      <c r="F28" s="23"/>
      <c r="G28" s="23" t="s">
        <v>161</v>
      </c>
      <c r="H28" s="23" t="s">
        <v>164</v>
      </c>
      <c r="I28" s="23"/>
      <c r="J28" s="23" t="s">
        <v>282</v>
      </c>
      <c r="K28" s="23"/>
      <c r="L28" s="23"/>
      <c r="M28" s="23"/>
      <c r="N28" s="23" t="s">
        <v>1933</v>
      </c>
      <c r="O28" s="23" t="s">
        <v>289</v>
      </c>
      <c r="P28" s="23" t="s">
        <v>284</v>
      </c>
      <c r="Q28" s="23" t="s">
        <v>289</v>
      </c>
      <c r="R28" s="23" t="s">
        <v>178</v>
      </c>
      <c r="S28" s="23" t="s">
        <v>285</v>
      </c>
      <c r="T28" s="23"/>
      <c r="U28" s="23">
        <v>2023</v>
      </c>
      <c r="V28" s="23"/>
      <c r="W28" s="23" t="s">
        <v>163</v>
      </c>
      <c r="X28" s="23" t="s">
        <v>163</v>
      </c>
      <c r="Y28" s="23" t="s">
        <v>162</v>
      </c>
      <c r="Z28" s="23" t="s">
        <v>162</v>
      </c>
      <c r="AA28" s="23" t="s">
        <v>1934</v>
      </c>
      <c r="AB28" s="23" t="s">
        <v>1935</v>
      </c>
      <c r="AC28" s="23"/>
      <c r="AD28" s="23"/>
      <c r="AE28" s="23"/>
      <c r="AF28" s="23"/>
      <c r="AG28" s="23"/>
      <c r="AH28" s="23"/>
      <c r="AI28" s="23"/>
      <c r="AJ28" s="23"/>
      <c r="AK28" s="23"/>
      <c r="AL28" s="23"/>
      <c r="AM28" s="23" t="s">
        <v>2045</v>
      </c>
      <c r="AN28" s="23" t="s">
        <v>2046</v>
      </c>
      <c r="AO28" s="23">
        <v>62703.23</v>
      </c>
      <c r="AP28" s="23"/>
      <c r="AQ28" s="23">
        <v>2773.41</v>
      </c>
      <c r="AR28" s="23"/>
      <c r="AS28" s="23"/>
      <c r="AT28" s="23"/>
      <c r="AU28" s="23"/>
      <c r="AV28" s="23"/>
      <c r="AW28" s="23"/>
      <c r="AX28" s="23"/>
      <c r="AY28" s="23"/>
      <c r="AZ28" s="23"/>
      <c r="BA28" s="23" t="s">
        <v>1938</v>
      </c>
      <c r="BB28" s="23">
        <v>261</v>
      </c>
      <c r="BC28" s="23" t="s">
        <v>1935</v>
      </c>
      <c r="BD28" s="23"/>
      <c r="BE28" s="23" t="s">
        <v>2047</v>
      </c>
      <c r="BF28" s="23" t="s">
        <v>164</v>
      </c>
      <c r="BG28" s="23" t="s">
        <v>1940</v>
      </c>
      <c r="BH28" s="23" t="s">
        <v>2027</v>
      </c>
      <c r="BI28" s="23" t="s">
        <v>2048</v>
      </c>
      <c r="BJ28" s="23" t="s">
        <v>2049</v>
      </c>
      <c r="BK28" s="23" t="s">
        <v>2050</v>
      </c>
      <c r="BL28" s="23"/>
    </row>
    <row r="29" spans="1:64" ht="30" customHeight="1">
      <c r="A29" s="23" t="s">
        <v>292</v>
      </c>
      <c r="B29" s="23" t="s">
        <v>1932</v>
      </c>
      <c r="C29" s="23">
        <v>24</v>
      </c>
      <c r="D29" s="23" t="s">
        <v>298</v>
      </c>
      <c r="E29" s="23" t="s">
        <v>292</v>
      </c>
      <c r="F29" s="23"/>
      <c r="G29" s="23" t="s">
        <v>161</v>
      </c>
      <c r="H29" s="23" t="s">
        <v>164</v>
      </c>
      <c r="I29" s="23"/>
      <c r="J29" s="23"/>
      <c r="K29" s="23"/>
      <c r="L29" s="23"/>
      <c r="M29" s="23"/>
      <c r="N29" s="23" t="s">
        <v>1933</v>
      </c>
      <c r="O29" s="23" t="s">
        <v>293</v>
      </c>
      <c r="P29" s="23" t="s">
        <v>294</v>
      </c>
      <c r="Q29" s="23" t="s">
        <v>293</v>
      </c>
      <c r="R29" s="23" t="s">
        <v>296</v>
      </c>
      <c r="S29" s="23" t="s">
        <v>295</v>
      </c>
      <c r="T29" s="23"/>
      <c r="U29" s="23">
        <v>2014</v>
      </c>
      <c r="V29" s="23"/>
      <c r="W29" s="23" t="s">
        <v>163</v>
      </c>
      <c r="X29" s="23" t="s">
        <v>163</v>
      </c>
      <c r="Y29" s="23" t="s">
        <v>2031</v>
      </c>
      <c r="Z29" s="23" t="s">
        <v>280</v>
      </c>
      <c r="AA29" s="23" t="s">
        <v>2032</v>
      </c>
      <c r="AB29" s="23" t="s">
        <v>1935</v>
      </c>
      <c r="AC29" s="23"/>
      <c r="AD29" s="23" t="s">
        <v>1129</v>
      </c>
      <c r="AE29" s="23"/>
      <c r="AF29" s="23"/>
      <c r="AG29" s="23"/>
      <c r="AH29" s="23"/>
      <c r="AI29" s="23"/>
      <c r="AJ29" s="23"/>
      <c r="AK29" s="23"/>
      <c r="AL29" s="23"/>
      <c r="AM29" s="23" t="s">
        <v>2051</v>
      </c>
      <c r="AN29" s="23" t="s">
        <v>2052</v>
      </c>
      <c r="AO29" s="23">
        <v>29000</v>
      </c>
      <c r="AP29" s="23"/>
      <c r="AQ29" s="23">
        <v>3116.48</v>
      </c>
      <c r="AR29" s="23"/>
      <c r="AS29" s="23"/>
      <c r="AT29" s="23"/>
      <c r="AU29" s="23">
        <v>11184.32</v>
      </c>
      <c r="AV29" s="23"/>
      <c r="AW29" s="23"/>
      <c r="AX29" s="23"/>
      <c r="AY29" s="23"/>
      <c r="AZ29" s="23"/>
      <c r="BA29" s="23" t="s">
        <v>1938</v>
      </c>
      <c r="BB29" s="23">
        <v>261</v>
      </c>
      <c r="BC29" s="23" t="s">
        <v>1935</v>
      </c>
      <c r="BD29" s="23"/>
      <c r="BE29" s="23" t="s">
        <v>2053</v>
      </c>
      <c r="BF29" s="23" t="s">
        <v>164</v>
      </c>
      <c r="BG29" s="23" t="s">
        <v>2035</v>
      </c>
      <c r="BH29" s="23" t="s">
        <v>2027</v>
      </c>
      <c r="BI29" s="23" t="s">
        <v>2054</v>
      </c>
      <c r="BJ29" s="23" t="s">
        <v>2055</v>
      </c>
      <c r="BK29" s="23" t="s">
        <v>2056</v>
      </c>
      <c r="BL29" s="23"/>
    </row>
    <row r="30" spans="1:64" ht="30" customHeight="1">
      <c r="A30" s="23" t="s">
        <v>299</v>
      </c>
      <c r="B30" s="23" t="s">
        <v>1932</v>
      </c>
      <c r="C30" s="23">
        <v>25</v>
      </c>
      <c r="D30" s="23" t="s">
        <v>306</v>
      </c>
      <c r="E30" s="23" t="s">
        <v>299</v>
      </c>
      <c r="F30" s="23"/>
      <c r="G30" s="23" t="s">
        <v>161</v>
      </c>
      <c r="H30" s="23" t="s">
        <v>238</v>
      </c>
      <c r="I30" s="23"/>
      <c r="J30" s="23" t="s">
        <v>182</v>
      </c>
      <c r="K30" s="23"/>
      <c r="L30" s="23"/>
      <c r="M30" s="23" t="s">
        <v>246</v>
      </c>
      <c r="N30" s="23" t="s">
        <v>1933</v>
      </c>
      <c r="O30" s="23" t="s">
        <v>301</v>
      </c>
      <c r="P30" s="23" t="s">
        <v>240</v>
      </c>
      <c r="Q30" s="23" t="s">
        <v>301</v>
      </c>
      <c r="R30" s="23" t="s">
        <v>303</v>
      </c>
      <c r="S30" s="23" t="s">
        <v>302</v>
      </c>
      <c r="T30" s="23" t="s">
        <v>2057</v>
      </c>
      <c r="U30" s="23">
        <v>2016</v>
      </c>
      <c r="V30" s="23"/>
      <c r="W30" s="23" t="s">
        <v>163</v>
      </c>
      <c r="X30" s="23" t="s">
        <v>163</v>
      </c>
      <c r="Y30" s="23" t="s">
        <v>300</v>
      </c>
      <c r="Z30" s="23" t="s">
        <v>280</v>
      </c>
      <c r="AA30" s="23" t="s">
        <v>2032</v>
      </c>
      <c r="AB30" s="23" t="s">
        <v>2058</v>
      </c>
      <c r="AC30" s="23">
        <v>35</v>
      </c>
      <c r="AD30" s="23" t="s">
        <v>1129</v>
      </c>
      <c r="AE30" s="23"/>
      <c r="AF30" s="23"/>
      <c r="AG30" s="23" t="s">
        <v>304</v>
      </c>
      <c r="AH30" s="23"/>
      <c r="AI30" s="23"/>
      <c r="AJ30" s="23"/>
      <c r="AK30" s="23"/>
      <c r="AL30" s="23"/>
      <c r="AM30" s="23" t="s">
        <v>2059</v>
      </c>
      <c r="AN30" s="23" t="s">
        <v>2060</v>
      </c>
      <c r="AO30" s="23">
        <v>50921.25</v>
      </c>
      <c r="AP30" s="23"/>
      <c r="AQ30" s="23">
        <v>152401.99</v>
      </c>
      <c r="AR30" s="23"/>
      <c r="AS30" s="23"/>
      <c r="AT30" s="23"/>
      <c r="AU30" s="23"/>
      <c r="AV30" s="23"/>
      <c r="AW30" s="23">
        <v>152401.99</v>
      </c>
      <c r="AX30" s="23"/>
      <c r="AY30" s="23"/>
      <c r="AZ30" s="23"/>
      <c r="BA30" s="23" t="s">
        <v>2019</v>
      </c>
      <c r="BB30" s="23">
        <v>264</v>
      </c>
      <c r="BC30" s="23" t="s">
        <v>2061</v>
      </c>
      <c r="BD30" s="23" t="s">
        <v>2062</v>
      </c>
      <c r="BE30" s="23" t="s">
        <v>2063</v>
      </c>
      <c r="BF30" s="23" t="s">
        <v>238</v>
      </c>
      <c r="BG30" s="23" t="s">
        <v>2064</v>
      </c>
      <c r="BH30" s="23" t="s">
        <v>2027</v>
      </c>
      <c r="BI30" s="23" t="s">
        <v>2065</v>
      </c>
      <c r="BJ30" s="23" t="s">
        <v>2066</v>
      </c>
      <c r="BK30" s="23"/>
      <c r="BL30" s="23"/>
    </row>
    <row r="31" spans="1:64" ht="30" customHeight="1">
      <c r="A31" s="23" t="s">
        <v>307</v>
      </c>
      <c r="B31" s="23" t="s">
        <v>1932</v>
      </c>
      <c r="C31" s="23">
        <v>26</v>
      </c>
      <c r="D31" s="23" t="s">
        <v>313</v>
      </c>
      <c r="E31" s="23" t="s">
        <v>307</v>
      </c>
      <c r="F31" s="23"/>
      <c r="G31" s="23" t="s">
        <v>161</v>
      </c>
      <c r="H31" s="23" t="s">
        <v>238</v>
      </c>
      <c r="I31" s="23"/>
      <c r="J31" s="23" t="s">
        <v>174</v>
      </c>
      <c r="K31" s="23"/>
      <c r="L31" s="23"/>
      <c r="M31" s="23" t="s">
        <v>314</v>
      </c>
      <c r="N31" s="23" t="s">
        <v>1933</v>
      </c>
      <c r="O31" s="23" t="s">
        <v>308</v>
      </c>
      <c r="P31" s="23" t="s">
        <v>309</v>
      </c>
      <c r="Q31" s="23" t="s">
        <v>308</v>
      </c>
      <c r="R31" s="23" t="s">
        <v>242</v>
      </c>
      <c r="S31" s="23" t="s">
        <v>310</v>
      </c>
      <c r="T31" s="23"/>
      <c r="U31" s="23">
        <v>2016</v>
      </c>
      <c r="V31" s="23"/>
      <c r="W31" s="23" t="s">
        <v>163</v>
      </c>
      <c r="X31" s="23" t="s">
        <v>163</v>
      </c>
      <c r="Y31" s="23" t="s">
        <v>300</v>
      </c>
      <c r="Z31" s="23" t="s">
        <v>280</v>
      </c>
      <c r="AA31" s="23" t="s">
        <v>2032</v>
      </c>
      <c r="AB31" s="23" t="s">
        <v>2058</v>
      </c>
      <c r="AC31" s="23">
        <v>25</v>
      </c>
      <c r="AD31" s="23" t="s">
        <v>1129</v>
      </c>
      <c r="AE31" s="23"/>
      <c r="AF31" s="23"/>
      <c r="AG31" s="23" t="s">
        <v>311</v>
      </c>
      <c r="AH31" s="23"/>
      <c r="AI31" s="23"/>
      <c r="AJ31" s="23"/>
      <c r="AK31" s="23"/>
      <c r="AL31" s="23"/>
      <c r="AM31" s="23" t="s">
        <v>2067</v>
      </c>
      <c r="AN31" s="23" t="s">
        <v>2068</v>
      </c>
      <c r="AO31" s="23">
        <v>168024.19</v>
      </c>
      <c r="AP31" s="23"/>
      <c r="AQ31" s="23">
        <v>26728.17</v>
      </c>
      <c r="AR31" s="23"/>
      <c r="AS31" s="23"/>
      <c r="AT31" s="23"/>
      <c r="AU31" s="23"/>
      <c r="AV31" s="23"/>
      <c r="AW31" s="23">
        <v>26728.17</v>
      </c>
      <c r="AX31" s="23"/>
      <c r="AY31" s="23"/>
      <c r="AZ31" s="23"/>
      <c r="BA31" s="23" t="s">
        <v>2019</v>
      </c>
      <c r="BB31" s="23">
        <v>264</v>
      </c>
      <c r="BC31" s="23" t="s">
        <v>2061</v>
      </c>
      <c r="BD31" s="23" t="s">
        <v>2062</v>
      </c>
      <c r="BE31" s="23" t="s">
        <v>2069</v>
      </c>
      <c r="BF31" s="23" t="s">
        <v>238</v>
      </c>
      <c r="BG31" s="23" t="s">
        <v>2064</v>
      </c>
      <c r="BH31" s="23" t="s">
        <v>2027</v>
      </c>
      <c r="BI31" s="23" t="s">
        <v>2070</v>
      </c>
      <c r="BJ31" s="23" t="s">
        <v>2066</v>
      </c>
      <c r="BK31" s="23"/>
      <c r="BL31" s="23"/>
    </row>
    <row r="32" spans="1:64" ht="30" customHeight="1">
      <c r="A32" s="23" t="s">
        <v>315</v>
      </c>
      <c r="B32" s="23" t="s">
        <v>1932</v>
      </c>
      <c r="C32" s="23">
        <v>27</v>
      </c>
      <c r="D32" s="23" t="s">
        <v>320</v>
      </c>
      <c r="E32" s="23" t="s">
        <v>315</v>
      </c>
      <c r="F32" s="23"/>
      <c r="G32" s="23" t="s">
        <v>161</v>
      </c>
      <c r="H32" s="23" t="s">
        <v>238</v>
      </c>
      <c r="I32" s="23"/>
      <c r="J32" s="23" t="s">
        <v>182</v>
      </c>
      <c r="K32" s="23"/>
      <c r="L32" s="23"/>
      <c r="M32" s="23" t="s">
        <v>246</v>
      </c>
      <c r="N32" s="23" t="s">
        <v>1933</v>
      </c>
      <c r="O32" s="23" t="s">
        <v>317</v>
      </c>
      <c r="P32" s="23" t="s">
        <v>240</v>
      </c>
      <c r="Q32" s="23" t="s">
        <v>317</v>
      </c>
      <c r="R32" s="23" t="s">
        <v>303</v>
      </c>
      <c r="S32" s="23" t="s">
        <v>302</v>
      </c>
      <c r="T32" s="23"/>
      <c r="U32" s="23">
        <v>2017</v>
      </c>
      <c r="V32" s="23"/>
      <c r="W32" s="23" t="s">
        <v>163</v>
      </c>
      <c r="X32" s="23" t="s">
        <v>163</v>
      </c>
      <c r="Y32" s="23" t="s">
        <v>2071</v>
      </c>
      <c r="Z32" s="23" t="s">
        <v>280</v>
      </c>
      <c r="AA32" s="23" t="s">
        <v>2032</v>
      </c>
      <c r="AB32" s="23" t="s">
        <v>2058</v>
      </c>
      <c r="AC32" s="23">
        <v>40</v>
      </c>
      <c r="AD32" s="23"/>
      <c r="AE32" s="23"/>
      <c r="AF32" s="23"/>
      <c r="AG32" s="23" t="s">
        <v>318</v>
      </c>
      <c r="AH32" s="23"/>
      <c r="AI32" s="23"/>
      <c r="AJ32" s="23"/>
      <c r="AK32" s="23"/>
      <c r="AL32" s="23"/>
      <c r="AM32" s="23" t="s">
        <v>2072</v>
      </c>
      <c r="AN32" s="23" t="s">
        <v>2073</v>
      </c>
      <c r="AO32" s="23">
        <v>267720.77</v>
      </c>
      <c r="AP32" s="23"/>
      <c r="AQ32" s="23"/>
      <c r="AR32" s="23"/>
      <c r="AS32" s="23"/>
      <c r="AT32" s="23"/>
      <c r="AU32" s="23"/>
      <c r="AV32" s="23"/>
      <c r="AW32" s="23"/>
      <c r="AX32" s="23"/>
      <c r="AY32" s="23"/>
      <c r="AZ32" s="23"/>
      <c r="BA32" s="23" t="s">
        <v>2074</v>
      </c>
      <c r="BB32" s="23">
        <v>476</v>
      </c>
      <c r="BC32" s="23" t="s">
        <v>2061</v>
      </c>
      <c r="BD32" s="23" t="s">
        <v>2075</v>
      </c>
      <c r="BE32" s="23" t="s">
        <v>2076</v>
      </c>
      <c r="BF32" s="23" t="s">
        <v>238</v>
      </c>
      <c r="BG32" s="23" t="s">
        <v>2077</v>
      </c>
      <c r="BH32" s="23" t="s">
        <v>2027</v>
      </c>
      <c r="BI32" s="23" t="s">
        <v>2078</v>
      </c>
      <c r="BJ32" s="23"/>
      <c r="BK32" s="23"/>
      <c r="BL32" s="23"/>
    </row>
    <row r="33" spans="1:64" ht="30" customHeight="1">
      <c r="A33" s="23" t="s">
        <v>321</v>
      </c>
      <c r="B33" s="23" t="s">
        <v>1932</v>
      </c>
      <c r="C33" s="23">
        <v>28</v>
      </c>
      <c r="D33" s="23" t="s">
        <v>326</v>
      </c>
      <c r="E33" s="23" t="s">
        <v>321</v>
      </c>
      <c r="F33" s="23"/>
      <c r="G33" s="23" t="s">
        <v>161</v>
      </c>
      <c r="H33" s="23" t="s">
        <v>238</v>
      </c>
      <c r="I33" s="23"/>
      <c r="J33" s="23" t="s">
        <v>182</v>
      </c>
      <c r="K33" s="23"/>
      <c r="L33" s="23"/>
      <c r="M33" s="23"/>
      <c r="N33" s="23" t="s">
        <v>1933</v>
      </c>
      <c r="O33" s="23" t="s">
        <v>322</v>
      </c>
      <c r="P33" s="23" t="s">
        <v>240</v>
      </c>
      <c r="Q33" s="23" t="s">
        <v>322</v>
      </c>
      <c r="R33" s="23" t="s">
        <v>303</v>
      </c>
      <c r="S33" s="23" t="s">
        <v>323</v>
      </c>
      <c r="T33" s="23"/>
      <c r="U33" s="23">
        <v>2019</v>
      </c>
      <c r="V33" s="23"/>
      <c r="W33" s="23" t="s">
        <v>163</v>
      </c>
      <c r="X33" s="23" t="s">
        <v>163</v>
      </c>
      <c r="Y33" s="23" t="s">
        <v>162</v>
      </c>
      <c r="Z33" s="23" t="s">
        <v>162</v>
      </c>
      <c r="AA33" s="23" t="s">
        <v>1934</v>
      </c>
      <c r="AB33" s="23" t="s">
        <v>1935</v>
      </c>
      <c r="AC33" s="23"/>
      <c r="AD33" s="23"/>
      <c r="AE33" s="23"/>
      <c r="AF33" s="23"/>
      <c r="AG33" s="23" t="s">
        <v>324</v>
      </c>
      <c r="AH33" s="23"/>
      <c r="AI33" s="23"/>
      <c r="AJ33" s="23"/>
      <c r="AK33" s="23"/>
      <c r="AL33" s="23"/>
      <c r="AM33" s="23" t="s">
        <v>1358</v>
      </c>
      <c r="AN33" s="23"/>
      <c r="AO33" s="23">
        <v>520579.71</v>
      </c>
      <c r="AP33" s="23"/>
      <c r="AQ33" s="23"/>
      <c r="AR33" s="23"/>
      <c r="AS33" s="23"/>
      <c r="AT33" s="23"/>
      <c r="AU33" s="23"/>
      <c r="AV33" s="23"/>
      <c r="AW33" s="23"/>
      <c r="AX33" s="23"/>
      <c r="AY33" s="23"/>
      <c r="AZ33" s="23"/>
      <c r="BA33" s="23" t="s">
        <v>2079</v>
      </c>
      <c r="BB33" s="23">
        <v>754</v>
      </c>
      <c r="BC33" s="23" t="s">
        <v>1935</v>
      </c>
      <c r="BD33" s="23"/>
      <c r="BE33" s="23" t="s">
        <v>2080</v>
      </c>
      <c r="BF33" s="23" t="s">
        <v>238</v>
      </c>
      <c r="BG33" s="23" t="s">
        <v>1940</v>
      </c>
      <c r="BH33" s="23" t="s">
        <v>2027</v>
      </c>
      <c r="BI33" s="23" t="s">
        <v>2081</v>
      </c>
      <c r="BJ33" s="23"/>
      <c r="BK33" s="23"/>
      <c r="BL33" s="23"/>
    </row>
    <row r="34" spans="1:64" ht="30" customHeight="1">
      <c r="A34" s="23" t="s">
        <v>327</v>
      </c>
      <c r="B34" s="23" t="s">
        <v>1932</v>
      </c>
      <c r="C34" s="23">
        <v>29</v>
      </c>
      <c r="D34" s="23" t="s">
        <v>332</v>
      </c>
      <c r="E34" s="23" t="s">
        <v>327</v>
      </c>
      <c r="F34" s="23"/>
      <c r="G34" s="23" t="s">
        <v>161</v>
      </c>
      <c r="H34" s="23" t="s">
        <v>238</v>
      </c>
      <c r="I34" s="23"/>
      <c r="J34" s="23" t="s">
        <v>182</v>
      </c>
      <c r="K34" s="23"/>
      <c r="L34" s="23"/>
      <c r="M34" s="23" t="s">
        <v>333</v>
      </c>
      <c r="N34" s="23" t="s">
        <v>1933</v>
      </c>
      <c r="O34" s="23" t="s">
        <v>328</v>
      </c>
      <c r="P34" s="23" t="s">
        <v>240</v>
      </c>
      <c r="Q34" s="23" t="s">
        <v>328</v>
      </c>
      <c r="R34" s="23" t="s">
        <v>242</v>
      </c>
      <c r="S34" s="23" t="s">
        <v>329</v>
      </c>
      <c r="T34" s="23"/>
      <c r="U34" s="23">
        <v>2018</v>
      </c>
      <c r="V34" s="23"/>
      <c r="W34" s="23" t="s">
        <v>163</v>
      </c>
      <c r="X34" s="23" t="s">
        <v>2082</v>
      </c>
      <c r="Y34" s="23" t="s">
        <v>300</v>
      </c>
      <c r="Z34" s="23" t="s">
        <v>280</v>
      </c>
      <c r="AA34" s="23" t="s">
        <v>2032</v>
      </c>
      <c r="AB34" s="23" t="s">
        <v>2058</v>
      </c>
      <c r="AC34" s="23">
        <v>35</v>
      </c>
      <c r="AD34" s="23" t="s">
        <v>1129</v>
      </c>
      <c r="AE34" s="23"/>
      <c r="AF34" s="23"/>
      <c r="AG34" s="23" t="s">
        <v>330</v>
      </c>
      <c r="AH34" s="23"/>
      <c r="AI34" s="23"/>
      <c r="AJ34" s="23"/>
      <c r="AK34" s="23"/>
      <c r="AL34" s="23"/>
      <c r="AM34" s="23" t="s">
        <v>2083</v>
      </c>
      <c r="AN34" s="23" t="s">
        <v>2084</v>
      </c>
      <c r="AO34" s="23">
        <v>429296.48</v>
      </c>
      <c r="AP34" s="23"/>
      <c r="AQ34" s="23"/>
      <c r="AR34" s="23"/>
      <c r="AS34" s="23"/>
      <c r="AT34" s="23"/>
      <c r="AU34" s="23"/>
      <c r="AV34" s="23"/>
      <c r="AW34" s="23"/>
      <c r="AX34" s="23"/>
      <c r="AY34" s="23"/>
      <c r="AZ34" s="23"/>
      <c r="BA34" s="23" t="s">
        <v>2019</v>
      </c>
      <c r="BB34" s="23">
        <v>264</v>
      </c>
      <c r="BC34" s="23" t="s">
        <v>2061</v>
      </c>
      <c r="BD34" s="23" t="s">
        <v>2085</v>
      </c>
      <c r="BE34" s="23" t="s">
        <v>2086</v>
      </c>
      <c r="BF34" s="23" t="s">
        <v>238</v>
      </c>
      <c r="BG34" s="23" t="s">
        <v>2064</v>
      </c>
      <c r="BH34" s="23" t="s">
        <v>2027</v>
      </c>
      <c r="BI34" s="23" t="s">
        <v>2087</v>
      </c>
      <c r="BJ34" s="23" t="s">
        <v>2066</v>
      </c>
      <c r="BK34" s="23"/>
      <c r="BL34" s="23"/>
    </row>
    <row r="35" spans="1:64" ht="30" customHeight="1">
      <c r="A35" s="23" t="s">
        <v>334</v>
      </c>
      <c r="B35" s="23" t="s">
        <v>1932</v>
      </c>
      <c r="C35" s="23">
        <v>30</v>
      </c>
      <c r="D35" s="23" t="s">
        <v>339</v>
      </c>
      <c r="E35" s="23" t="s">
        <v>334</v>
      </c>
      <c r="F35" s="23"/>
      <c r="G35" s="23" t="s">
        <v>161</v>
      </c>
      <c r="H35" s="23" t="s">
        <v>238</v>
      </c>
      <c r="I35" s="23"/>
      <c r="J35" s="23" t="s">
        <v>182</v>
      </c>
      <c r="K35" s="23"/>
      <c r="L35" s="23"/>
      <c r="M35" s="23"/>
      <c r="N35" s="23" t="s">
        <v>1933</v>
      </c>
      <c r="O35" s="23" t="s">
        <v>335</v>
      </c>
      <c r="P35" s="23" t="s">
        <v>240</v>
      </c>
      <c r="Q35" s="23" t="s">
        <v>335</v>
      </c>
      <c r="R35" s="23" t="s">
        <v>242</v>
      </c>
      <c r="S35" s="23" t="s">
        <v>336</v>
      </c>
      <c r="T35" s="23"/>
      <c r="U35" s="23">
        <v>2017</v>
      </c>
      <c r="V35" s="23"/>
      <c r="W35" s="23" t="s">
        <v>163</v>
      </c>
      <c r="X35" s="23" t="s">
        <v>163</v>
      </c>
      <c r="Y35" s="23" t="s">
        <v>162</v>
      </c>
      <c r="Z35" s="23" t="s">
        <v>162</v>
      </c>
      <c r="AA35" s="23" t="s">
        <v>1934</v>
      </c>
      <c r="AB35" s="23" t="s">
        <v>1935</v>
      </c>
      <c r="AC35" s="23"/>
      <c r="AD35" s="23"/>
      <c r="AE35" s="23"/>
      <c r="AF35" s="23"/>
      <c r="AG35" s="23" t="s">
        <v>337</v>
      </c>
      <c r="AH35" s="23"/>
      <c r="AI35" s="23"/>
      <c r="AJ35" s="23"/>
      <c r="AK35" s="23"/>
      <c r="AL35" s="23"/>
      <c r="AM35" s="23" t="s">
        <v>1364</v>
      </c>
      <c r="AN35" s="23" t="s">
        <v>2088</v>
      </c>
      <c r="AO35" s="23">
        <v>164916.37</v>
      </c>
      <c r="AP35" s="23"/>
      <c r="AQ35" s="23">
        <v>93057.53</v>
      </c>
      <c r="AR35" s="23"/>
      <c r="AS35" s="23"/>
      <c r="AT35" s="23"/>
      <c r="AU35" s="23"/>
      <c r="AV35" s="23"/>
      <c r="AW35" s="23"/>
      <c r="AX35" s="23"/>
      <c r="AY35" s="23"/>
      <c r="AZ35" s="23"/>
      <c r="BA35" s="23" t="s">
        <v>2089</v>
      </c>
      <c r="BB35" s="23">
        <v>243</v>
      </c>
      <c r="BC35" s="23" t="s">
        <v>1935</v>
      </c>
      <c r="BD35" s="23"/>
      <c r="BE35" s="23" t="s">
        <v>2090</v>
      </c>
      <c r="BF35" s="23" t="s">
        <v>238</v>
      </c>
      <c r="BG35" s="23" t="s">
        <v>1940</v>
      </c>
      <c r="BH35" s="23" t="s">
        <v>2027</v>
      </c>
      <c r="BI35" s="23" t="s">
        <v>2091</v>
      </c>
      <c r="BJ35" s="23"/>
      <c r="BK35" s="23"/>
      <c r="BL35" s="23"/>
    </row>
    <row r="36" spans="1:64" ht="30" customHeight="1">
      <c r="A36" s="23" t="s">
        <v>340</v>
      </c>
      <c r="B36" s="23" t="s">
        <v>1932</v>
      </c>
      <c r="C36" s="23">
        <v>31</v>
      </c>
      <c r="D36" s="23" t="s">
        <v>344</v>
      </c>
      <c r="E36" s="23" t="s">
        <v>279</v>
      </c>
      <c r="F36" s="23"/>
      <c r="G36" s="23" t="s">
        <v>161</v>
      </c>
      <c r="H36" s="23" t="s">
        <v>238</v>
      </c>
      <c r="I36" s="23"/>
      <c r="J36" s="23" t="s">
        <v>182</v>
      </c>
      <c r="K36" s="23"/>
      <c r="L36" s="23"/>
      <c r="M36" s="23"/>
      <c r="N36" s="23" t="s">
        <v>1933</v>
      </c>
      <c r="O36" s="23" t="s">
        <v>341</v>
      </c>
      <c r="P36" s="23" t="s">
        <v>240</v>
      </c>
      <c r="Q36" s="23" t="s">
        <v>341</v>
      </c>
      <c r="R36" s="23" t="s">
        <v>242</v>
      </c>
      <c r="S36" s="23" t="s">
        <v>342</v>
      </c>
      <c r="T36" s="23"/>
      <c r="U36" s="23">
        <v>2018</v>
      </c>
      <c r="V36" s="23"/>
      <c r="W36" s="23" t="s">
        <v>163</v>
      </c>
      <c r="X36" s="23" t="s">
        <v>163</v>
      </c>
      <c r="Y36" s="23" t="s">
        <v>252</v>
      </c>
      <c r="Z36" s="23" t="s">
        <v>280</v>
      </c>
      <c r="AA36" s="23" t="s">
        <v>2032</v>
      </c>
      <c r="AB36" s="23" t="s">
        <v>1935</v>
      </c>
      <c r="AC36" s="23"/>
      <c r="AD36" s="23"/>
      <c r="AE36" s="23"/>
      <c r="AF36" s="23"/>
      <c r="AG36" s="23" t="s">
        <v>337</v>
      </c>
      <c r="AH36" s="23"/>
      <c r="AI36" s="23"/>
      <c r="AJ36" s="23"/>
      <c r="AK36" s="23"/>
      <c r="AL36" s="23"/>
      <c r="AM36" s="23" t="s">
        <v>1367</v>
      </c>
      <c r="AN36" s="23" t="s">
        <v>2092</v>
      </c>
      <c r="AO36" s="23">
        <v>69937.05</v>
      </c>
      <c r="AP36" s="23"/>
      <c r="AQ36" s="23">
        <v>124151.77</v>
      </c>
      <c r="AR36" s="23"/>
      <c r="AS36" s="23"/>
      <c r="AT36" s="23"/>
      <c r="AU36" s="23"/>
      <c r="AV36" s="23"/>
      <c r="AW36" s="23"/>
      <c r="AX36" s="23"/>
      <c r="AY36" s="23"/>
      <c r="AZ36" s="23"/>
      <c r="BA36" s="23" t="s">
        <v>2093</v>
      </c>
      <c r="BB36" s="23">
        <v>768</v>
      </c>
      <c r="BC36" s="23" t="s">
        <v>1935</v>
      </c>
      <c r="BD36" s="23"/>
      <c r="BE36" s="23" t="s">
        <v>2094</v>
      </c>
      <c r="BF36" s="23" t="s">
        <v>238</v>
      </c>
      <c r="BG36" s="23" t="s">
        <v>2015</v>
      </c>
      <c r="BH36" s="23" t="s">
        <v>2027</v>
      </c>
      <c r="BI36" s="23" t="s">
        <v>2095</v>
      </c>
      <c r="BJ36" s="23"/>
      <c r="BK36" s="23"/>
      <c r="BL36" s="23"/>
    </row>
    <row r="37" spans="1:64" ht="30" customHeight="1">
      <c r="A37" s="23" t="s">
        <v>345</v>
      </c>
      <c r="B37" s="23" t="s">
        <v>1932</v>
      </c>
      <c r="C37" s="23">
        <v>32</v>
      </c>
      <c r="D37" s="23" t="s">
        <v>351</v>
      </c>
      <c r="E37" s="23" t="s">
        <v>345</v>
      </c>
      <c r="F37" s="23"/>
      <c r="G37" s="23" t="s">
        <v>161</v>
      </c>
      <c r="H37" s="23" t="s">
        <v>238</v>
      </c>
      <c r="I37" s="23"/>
      <c r="J37" s="23" t="s">
        <v>206</v>
      </c>
      <c r="K37" s="23"/>
      <c r="L37" s="23"/>
      <c r="M37" s="23" t="s">
        <v>246</v>
      </c>
      <c r="N37" s="23" t="s">
        <v>1933</v>
      </c>
      <c r="O37" s="23" t="s">
        <v>346</v>
      </c>
      <c r="P37" s="23" t="s">
        <v>347</v>
      </c>
      <c r="Q37" s="23" t="s">
        <v>346</v>
      </c>
      <c r="R37" s="23" t="s">
        <v>303</v>
      </c>
      <c r="S37" s="23" t="s">
        <v>348</v>
      </c>
      <c r="T37" s="23"/>
      <c r="U37" s="23">
        <v>2018</v>
      </c>
      <c r="V37" s="23"/>
      <c r="W37" s="23" t="s">
        <v>163</v>
      </c>
      <c r="X37" s="23" t="s">
        <v>163</v>
      </c>
      <c r="Y37" s="23" t="s">
        <v>300</v>
      </c>
      <c r="Z37" s="23" t="s">
        <v>280</v>
      </c>
      <c r="AA37" s="23" t="s">
        <v>2032</v>
      </c>
      <c r="AB37" s="23" t="s">
        <v>2058</v>
      </c>
      <c r="AC37" s="23">
        <v>40</v>
      </c>
      <c r="AD37" s="23"/>
      <c r="AE37" s="23"/>
      <c r="AF37" s="23"/>
      <c r="AG37" s="23" t="s">
        <v>349</v>
      </c>
      <c r="AH37" s="23"/>
      <c r="AI37" s="23"/>
      <c r="AJ37" s="23"/>
      <c r="AK37" s="23"/>
      <c r="AL37" s="23"/>
      <c r="AM37" s="23" t="s">
        <v>1370</v>
      </c>
      <c r="AN37" s="23" t="s">
        <v>2096</v>
      </c>
      <c r="AO37" s="23">
        <v>95594.39</v>
      </c>
      <c r="AP37" s="23"/>
      <c r="AQ37" s="23">
        <v>174641.39</v>
      </c>
      <c r="AR37" s="23"/>
      <c r="AS37" s="23"/>
      <c r="AT37" s="23"/>
      <c r="AU37" s="23"/>
      <c r="AV37" s="23"/>
      <c r="AW37" s="23">
        <v>174641.39</v>
      </c>
      <c r="AX37" s="23"/>
      <c r="AY37" s="23"/>
      <c r="AZ37" s="23"/>
      <c r="BA37" s="23" t="s">
        <v>1999</v>
      </c>
      <c r="BB37" s="23">
        <v>223</v>
      </c>
      <c r="BC37" s="23" t="s">
        <v>2061</v>
      </c>
      <c r="BD37" s="23" t="s">
        <v>2097</v>
      </c>
      <c r="BE37" s="23" t="s">
        <v>2098</v>
      </c>
      <c r="BF37" s="23" t="s">
        <v>238</v>
      </c>
      <c r="BG37" s="23" t="s">
        <v>2064</v>
      </c>
      <c r="BH37" s="23" t="s">
        <v>2027</v>
      </c>
      <c r="BI37" s="23" t="s">
        <v>2099</v>
      </c>
      <c r="BJ37" s="23" t="s">
        <v>2003</v>
      </c>
      <c r="BK37" s="23"/>
      <c r="BL37" s="23"/>
    </row>
    <row r="38" spans="1:64" ht="30" customHeight="1">
      <c r="A38" s="23" t="s">
        <v>352</v>
      </c>
      <c r="B38" s="23" t="s">
        <v>1932</v>
      </c>
      <c r="C38" s="23">
        <v>33</v>
      </c>
      <c r="D38" s="23" t="s">
        <v>357</v>
      </c>
      <c r="E38" s="23" t="s">
        <v>352</v>
      </c>
      <c r="F38" s="23"/>
      <c r="G38" s="23" t="s">
        <v>161</v>
      </c>
      <c r="H38" s="23" t="s">
        <v>238</v>
      </c>
      <c r="I38" s="23"/>
      <c r="J38" s="23" t="s">
        <v>182</v>
      </c>
      <c r="K38" s="23"/>
      <c r="L38" s="23"/>
      <c r="M38" s="23"/>
      <c r="N38" s="23" t="s">
        <v>1933</v>
      </c>
      <c r="O38" s="23" t="s">
        <v>353</v>
      </c>
      <c r="P38" s="23" t="s">
        <v>240</v>
      </c>
      <c r="Q38" s="23" t="s">
        <v>353</v>
      </c>
      <c r="R38" s="23" t="s">
        <v>303</v>
      </c>
      <c r="S38" s="23" t="s">
        <v>354</v>
      </c>
      <c r="T38" s="23"/>
      <c r="U38" s="23">
        <v>2016</v>
      </c>
      <c r="V38" s="23"/>
      <c r="W38" s="23" t="s">
        <v>163</v>
      </c>
      <c r="X38" s="23" t="s">
        <v>163</v>
      </c>
      <c r="Y38" s="23" t="s">
        <v>162</v>
      </c>
      <c r="Z38" s="23" t="s">
        <v>162</v>
      </c>
      <c r="AA38" s="23" t="s">
        <v>1934</v>
      </c>
      <c r="AB38" s="23" t="s">
        <v>1935</v>
      </c>
      <c r="AC38" s="23"/>
      <c r="AD38" s="23"/>
      <c r="AE38" s="23"/>
      <c r="AF38" s="23"/>
      <c r="AG38" s="23" t="s">
        <v>355</v>
      </c>
      <c r="AH38" s="23"/>
      <c r="AI38" s="23"/>
      <c r="AJ38" s="23"/>
      <c r="AK38" s="23"/>
      <c r="AL38" s="23"/>
      <c r="AM38" s="23" t="s">
        <v>1373</v>
      </c>
      <c r="AN38" s="23"/>
      <c r="AO38" s="23">
        <v>3467.48</v>
      </c>
      <c r="AP38" s="23"/>
      <c r="AQ38" s="23">
        <v>6094.49</v>
      </c>
      <c r="AR38" s="23"/>
      <c r="AS38" s="23"/>
      <c r="AT38" s="23"/>
      <c r="AU38" s="23"/>
      <c r="AV38" s="23"/>
      <c r="AW38" s="23"/>
      <c r="AX38" s="23"/>
      <c r="AY38" s="23"/>
      <c r="AZ38" s="23"/>
      <c r="BA38" s="23" t="s">
        <v>2100</v>
      </c>
      <c r="BB38" s="23">
        <v>553</v>
      </c>
      <c r="BC38" s="23" t="s">
        <v>1935</v>
      </c>
      <c r="BD38" s="23"/>
      <c r="BE38" s="23" t="s">
        <v>2101</v>
      </c>
      <c r="BF38" s="23" t="s">
        <v>238</v>
      </c>
      <c r="BG38" s="23" t="s">
        <v>1940</v>
      </c>
      <c r="BH38" s="23" t="s">
        <v>2027</v>
      </c>
      <c r="BI38" s="23" t="s">
        <v>2102</v>
      </c>
      <c r="BJ38" s="23"/>
      <c r="BK38" s="23"/>
      <c r="BL38" s="23"/>
    </row>
    <row r="39" spans="1:64" ht="30" customHeight="1">
      <c r="A39" s="23" t="s">
        <v>358</v>
      </c>
      <c r="B39" s="23" t="s">
        <v>1932</v>
      </c>
      <c r="C39" s="23">
        <v>34</v>
      </c>
      <c r="D39" s="23" t="s">
        <v>362</v>
      </c>
      <c r="E39" s="23" t="s">
        <v>358</v>
      </c>
      <c r="F39" s="23"/>
      <c r="G39" s="23" t="s">
        <v>161</v>
      </c>
      <c r="H39" s="23" t="s">
        <v>238</v>
      </c>
      <c r="I39" s="23"/>
      <c r="J39" s="23" t="s">
        <v>182</v>
      </c>
      <c r="K39" s="23"/>
      <c r="L39" s="23"/>
      <c r="M39" s="23"/>
      <c r="N39" s="23" t="s">
        <v>1933</v>
      </c>
      <c r="O39" s="23" t="s">
        <v>359</v>
      </c>
      <c r="P39" s="23" t="s">
        <v>240</v>
      </c>
      <c r="Q39" s="23" t="s">
        <v>359</v>
      </c>
      <c r="R39" s="23" t="s">
        <v>242</v>
      </c>
      <c r="S39" s="23" t="s">
        <v>360</v>
      </c>
      <c r="T39" s="23"/>
      <c r="U39" s="23">
        <v>2019</v>
      </c>
      <c r="V39" s="23"/>
      <c r="W39" s="23" t="s">
        <v>163</v>
      </c>
      <c r="X39" s="23" t="s">
        <v>163</v>
      </c>
      <c r="Y39" s="23" t="s">
        <v>162</v>
      </c>
      <c r="Z39" s="23" t="s">
        <v>162</v>
      </c>
      <c r="AA39" s="23" t="s">
        <v>1934</v>
      </c>
      <c r="AB39" s="23" t="s">
        <v>1935</v>
      </c>
      <c r="AC39" s="23"/>
      <c r="AD39" s="23"/>
      <c r="AE39" s="23"/>
      <c r="AF39" s="23"/>
      <c r="AG39" s="23"/>
      <c r="AH39" s="23"/>
      <c r="AI39" s="23"/>
      <c r="AJ39" s="23"/>
      <c r="AK39" s="23"/>
      <c r="AL39" s="23"/>
      <c r="AM39" s="23" t="s">
        <v>1376</v>
      </c>
      <c r="AN39" s="23"/>
      <c r="AO39" s="23">
        <v>19594.07</v>
      </c>
      <c r="AP39" s="23"/>
      <c r="AQ39" s="23">
        <v>46334.28</v>
      </c>
      <c r="AR39" s="23"/>
      <c r="AS39" s="23"/>
      <c r="AT39" s="23"/>
      <c r="AU39" s="23"/>
      <c r="AV39" s="23"/>
      <c r="AW39" s="23"/>
      <c r="AX39" s="23"/>
      <c r="AY39" s="23"/>
      <c r="AZ39" s="23"/>
      <c r="BA39" s="23" t="s">
        <v>2103</v>
      </c>
      <c r="BB39" s="23">
        <v>1087</v>
      </c>
      <c r="BC39" s="23" t="s">
        <v>1935</v>
      </c>
      <c r="BD39" s="23"/>
      <c r="BE39" s="23" t="s">
        <v>2104</v>
      </c>
      <c r="BF39" s="23" t="s">
        <v>238</v>
      </c>
      <c r="BG39" s="23" t="s">
        <v>1940</v>
      </c>
      <c r="BH39" s="23" t="s">
        <v>2027</v>
      </c>
      <c r="BI39" s="23" t="s">
        <v>2105</v>
      </c>
      <c r="BJ39" s="23"/>
      <c r="BK39" s="23"/>
      <c r="BL39" s="23"/>
    </row>
    <row r="40" spans="1:64" ht="30" customHeight="1">
      <c r="A40" s="23" t="s">
        <v>363</v>
      </c>
      <c r="B40" s="23" t="s">
        <v>1932</v>
      </c>
      <c r="C40" s="23">
        <v>35</v>
      </c>
      <c r="D40" s="23" t="s">
        <v>368</v>
      </c>
      <c r="E40" s="23" t="s">
        <v>363</v>
      </c>
      <c r="F40" s="23"/>
      <c r="G40" s="23" t="s">
        <v>161</v>
      </c>
      <c r="H40" s="23" t="s">
        <v>238</v>
      </c>
      <c r="I40" s="23"/>
      <c r="J40" s="23" t="s">
        <v>182</v>
      </c>
      <c r="K40" s="23"/>
      <c r="L40" s="23"/>
      <c r="M40" s="23" t="s">
        <v>246</v>
      </c>
      <c r="N40" s="23" t="s">
        <v>1933</v>
      </c>
      <c r="O40" s="23" t="s">
        <v>364</v>
      </c>
      <c r="P40" s="23" t="s">
        <v>240</v>
      </c>
      <c r="Q40" s="23" t="s">
        <v>364</v>
      </c>
      <c r="R40" s="23" t="s">
        <v>242</v>
      </c>
      <c r="S40" s="23" t="s">
        <v>365</v>
      </c>
      <c r="T40" s="23"/>
      <c r="U40" s="23">
        <v>2018</v>
      </c>
      <c r="V40" s="23"/>
      <c r="W40" s="23" t="s">
        <v>163</v>
      </c>
      <c r="X40" s="23" t="s">
        <v>163</v>
      </c>
      <c r="Y40" s="23" t="s">
        <v>300</v>
      </c>
      <c r="Z40" s="23" t="s">
        <v>280</v>
      </c>
      <c r="AA40" s="23" t="s">
        <v>2032</v>
      </c>
      <c r="AB40" s="23" t="s">
        <v>2058</v>
      </c>
      <c r="AC40" s="23">
        <v>30</v>
      </c>
      <c r="AD40" s="23"/>
      <c r="AE40" s="23"/>
      <c r="AF40" s="23"/>
      <c r="AG40" s="23" t="s">
        <v>366</v>
      </c>
      <c r="AH40" s="23"/>
      <c r="AI40" s="23"/>
      <c r="AJ40" s="23"/>
      <c r="AK40" s="23"/>
      <c r="AL40" s="23"/>
      <c r="AM40" s="23" t="s">
        <v>2106</v>
      </c>
      <c r="AN40" s="23" t="s">
        <v>2107</v>
      </c>
      <c r="AO40" s="23">
        <v>24909.81</v>
      </c>
      <c r="AP40" s="23"/>
      <c r="AQ40" s="23">
        <v>43534.44</v>
      </c>
      <c r="AR40" s="23"/>
      <c r="AS40" s="23"/>
      <c r="AT40" s="23"/>
      <c r="AU40" s="23"/>
      <c r="AV40" s="23"/>
      <c r="AW40" s="23">
        <v>43534.44</v>
      </c>
      <c r="AX40" s="23"/>
      <c r="AY40" s="23"/>
      <c r="AZ40" s="23"/>
      <c r="BA40" s="23" t="s">
        <v>2107</v>
      </c>
      <c r="BB40" s="23">
        <v>287</v>
      </c>
      <c r="BC40" s="23" t="s">
        <v>2061</v>
      </c>
      <c r="BD40" s="23" t="s">
        <v>2097</v>
      </c>
      <c r="BE40" s="23" t="s">
        <v>2108</v>
      </c>
      <c r="BF40" s="23" t="s">
        <v>238</v>
      </c>
      <c r="BG40" s="23" t="s">
        <v>2064</v>
      </c>
      <c r="BH40" s="23" t="s">
        <v>2027</v>
      </c>
      <c r="BI40" s="23" t="s">
        <v>2109</v>
      </c>
      <c r="BJ40" s="23"/>
      <c r="BK40" s="23"/>
      <c r="BL40" s="23"/>
    </row>
    <row r="41" spans="1:64" ht="30" customHeight="1">
      <c r="A41" s="23" t="s">
        <v>369</v>
      </c>
      <c r="B41" s="23" t="s">
        <v>1932</v>
      </c>
      <c r="C41" s="23">
        <v>36</v>
      </c>
      <c r="D41" s="23" t="s">
        <v>372</v>
      </c>
      <c r="E41" s="23" t="s">
        <v>369</v>
      </c>
      <c r="F41" s="23"/>
      <c r="G41" s="23" t="s">
        <v>161</v>
      </c>
      <c r="H41" s="23" t="s">
        <v>164</v>
      </c>
      <c r="I41" s="23"/>
      <c r="J41" s="23" t="s">
        <v>174</v>
      </c>
      <c r="K41" s="23"/>
      <c r="L41" s="23"/>
      <c r="M41" s="23"/>
      <c r="N41" s="23" t="s">
        <v>1933</v>
      </c>
      <c r="O41" s="23" t="s">
        <v>231</v>
      </c>
      <c r="P41" s="23" t="s">
        <v>232</v>
      </c>
      <c r="Q41" s="23" t="s">
        <v>231</v>
      </c>
      <c r="R41" s="23" t="s">
        <v>234</v>
      </c>
      <c r="S41" s="23" t="s">
        <v>233</v>
      </c>
      <c r="T41" s="23"/>
      <c r="U41" s="23">
        <v>2013</v>
      </c>
      <c r="V41" s="23"/>
      <c r="W41" s="23" t="s">
        <v>163</v>
      </c>
      <c r="X41" s="23" t="s">
        <v>1943</v>
      </c>
      <c r="Y41" s="23" t="s">
        <v>300</v>
      </c>
      <c r="Z41" s="23" t="s">
        <v>280</v>
      </c>
      <c r="AA41" s="23" t="s">
        <v>2032</v>
      </c>
      <c r="AB41" s="23" t="s">
        <v>2058</v>
      </c>
      <c r="AC41" s="23">
        <v>40</v>
      </c>
      <c r="AD41" s="23"/>
      <c r="AE41" s="23"/>
      <c r="AF41" s="23"/>
      <c r="AG41" s="23" t="s">
        <v>370</v>
      </c>
      <c r="AH41" s="23"/>
      <c r="AI41" s="23"/>
      <c r="AJ41" s="23"/>
      <c r="AK41" s="23"/>
      <c r="AL41" s="23"/>
      <c r="AM41" s="23" t="s">
        <v>2110</v>
      </c>
      <c r="AN41" s="23" t="s">
        <v>1938</v>
      </c>
      <c r="AO41" s="23">
        <v>5000</v>
      </c>
      <c r="AP41" s="23"/>
      <c r="AQ41" s="23">
        <v>129983.01</v>
      </c>
      <c r="AR41" s="23"/>
      <c r="AS41" s="23"/>
      <c r="AT41" s="23"/>
      <c r="AU41" s="23"/>
      <c r="AV41" s="23"/>
      <c r="AW41" s="23">
        <v>129983.01</v>
      </c>
      <c r="AX41" s="23"/>
      <c r="AY41" s="23"/>
      <c r="AZ41" s="23"/>
      <c r="BA41" s="23" t="s">
        <v>2019</v>
      </c>
      <c r="BB41" s="23">
        <v>264</v>
      </c>
      <c r="BC41" s="23" t="s">
        <v>2061</v>
      </c>
      <c r="BD41" s="23" t="s">
        <v>2097</v>
      </c>
      <c r="BE41" s="23" t="s">
        <v>2111</v>
      </c>
      <c r="BF41" s="23" t="s">
        <v>164</v>
      </c>
      <c r="BG41" s="23" t="s">
        <v>2064</v>
      </c>
      <c r="BH41" s="23" t="s">
        <v>2027</v>
      </c>
      <c r="BI41" s="23" t="s">
        <v>2112</v>
      </c>
      <c r="BJ41" s="23"/>
      <c r="BK41" s="23"/>
      <c r="BL41" s="23"/>
    </row>
    <row r="42" spans="1:64" ht="30" customHeight="1">
      <c r="A42" s="23" t="s">
        <v>373</v>
      </c>
      <c r="B42" s="23" t="s">
        <v>1932</v>
      </c>
      <c r="C42" s="23">
        <v>37</v>
      </c>
      <c r="D42" s="23" t="s">
        <v>379</v>
      </c>
      <c r="E42" s="23" t="s">
        <v>373</v>
      </c>
      <c r="F42" s="23"/>
      <c r="G42" s="23" t="s">
        <v>161</v>
      </c>
      <c r="H42" s="23" t="s">
        <v>164</v>
      </c>
      <c r="I42" s="23"/>
      <c r="J42" s="23" t="s">
        <v>182</v>
      </c>
      <c r="K42" s="23"/>
      <c r="L42" s="23"/>
      <c r="M42" s="23" t="s">
        <v>380</v>
      </c>
      <c r="N42" s="23" t="s">
        <v>1933</v>
      </c>
      <c r="O42" s="23" t="s">
        <v>374</v>
      </c>
      <c r="P42" s="23" t="s">
        <v>184</v>
      </c>
      <c r="Q42" s="23" t="s">
        <v>374</v>
      </c>
      <c r="R42" s="23" t="s">
        <v>178</v>
      </c>
      <c r="S42" s="23" t="s">
        <v>375</v>
      </c>
      <c r="T42" s="23"/>
      <c r="U42" s="23">
        <v>2018</v>
      </c>
      <c r="V42" s="23"/>
      <c r="W42" s="23" t="s">
        <v>163</v>
      </c>
      <c r="X42" s="23" t="s">
        <v>2113</v>
      </c>
      <c r="Y42" s="23" t="s">
        <v>2071</v>
      </c>
      <c r="Z42" s="23" t="s">
        <v>280</v>
      </c>
      <c r="AA42" s="23" t="s">
        <v>2032</v>
      </c>
      <c r="AB42" s="23" t="s">
        <v>2114</v>
      </c>
      <c r="AC42" s="23">
        <v>60</v>
      </c>
      <c r="AD42" s="23" t="s">
        <v>1149</v>
      </c>
      <c r="AE42" s="23"/>
      <c r="AF42" s="23"/>
      <c r="AG42" s="23"/>
      <c r="AH42" s="23"/>
      <c r="AI42" s="23"/>
      <c r="AJ42" s="23"/>
      <c r="AK42" s="23"/>
      <c r="AL42" s="23"/>
      <c r="AM42" s="23" t="s">
        <v>2115</v>
      </c>
      <c r="AN42" s="23" t="s">
        <v>2116</v>
      </c>
      <c r="AO42" s="23">
        <v>16946.439999999999</v>
      </c>
      <c r="AP42" s="23"/>
      <c r="AQ42" s="23">
        <v>16748.330000000002</v>
      </c>
      <c r="AR42" s="23"/>
      <c r="AS42" s="23"/>
      <c r="AT42" s="23"/>
      <c r="AU42" s="23"/>
      <c r="AV42" s="23"/>
      <c r="AW42" s="23">
        <v>16748.330000000002</v>
      </c>
      <c r="AX42" s="23"/>
      <c r="AY42" s="23"/>
      <c r="AZ42" s="23"/>
      <c r="BA42" s="23" t="s">
        <v>2019</v>
      </c>
      <c r="BB42" s="23">
        <v>264</v>
      </c>
      <c r="BC42" s="23" t="s">
        <v>2061</v>
      </c>
      <c r="BD42" s="23" t="s">
        <v>2062</v>
      </c>
      <c r="BE42" s="23" t="s">
        <v>2117</v>
      </c>
      <c r="BF42" s="23" t="s">
        <v>164</v>
      </c>
      <c r="BG42" s="23" t="s">
        <v>2118</v>
      </c>
      <c r="BH42" s="23" t="s">
        <v>2027</v>
      </c>
      <c r="BI42" s="23" t="s">
        <v>2119</v>
      </c>
      <c r="BJ42" s="23" t="s">
        <v>2120</v>
      </c>
      <c r="BK42" s="23"/>
      <c r="BL42" s="23"/>
    </row>
    <row r="43" spans="1:64" ht="30" customHeight="1">
      <c r="A43" s="23" t="s">
        <v>381</v>
      </c>
      <c r="B43" s="23" t="s">
        <v>1932</v>
      </c>
      <c r="C43" s="23">
        <v>38</v>
      </c>
      <c r="D43" s="23" t="s">
        <v>386</v>
      </c>
      <c r="E43" s="23" t="s">
        <v>381</v>
      </c>
      <c r="F43" s="23"/>
      <c r="G43" s="23" t="s">
        <v>161</v>
      </c>
      <c r="H43" s="23" t="s">
        <v>164</v>
      </c>
      <c r="I43" s="23"/>
      <c r="J43" s="23" t="s">
        <v>182</v>
      </c>
      <c r="K43" s="23"/>
      <c r="L43" s="23"/>
      <c r="M43" s="23" t="s">
        <v>380</v>
      </c>
      <c r="N43" s="23" t="s">
        <v>1933</v>
      </c>
      <c r="O43" s="23" t="s">
        <v>382</v>
      </c>
      <c r="P43" s="23" t="s">
        <v>184</v>
      </c>
      <c r="Q43" s="23" t="s">
        <v>382</v>
      </c>
      <c r="R43" s="23" t="s">
        <v>384</v>
      </c>
      <c r="S43" s="23" t="s">
        <v>383</v>
      </c>
      <c r="T43" s="23"/>
      <c r="U43" s="23">
        <v>2017</v>
      </c>
      <c r="V43" s="23"/>
      <c r="W43" s="23" t="s">
        <v>163</v>
      </c>
      <c r="X43" s="23" t="s">
        <v>2121</v>
      </c>
      <c r="Y43" s="23" t="s">
        <v>300</v>
      </c>
      <c r="Z43" s="23" t="s">
        <v>280</v>
      </c>
      <c r="AA43" s="23" t="s">
        <v>2032</v>
      </c>
      <c r="AB43" s="23" t="s">
        <v>2114</v>
      </c>
      <c r="AC43" s="23">
        <v>60</v>
      </c>
      <c r="AD43" s="23" t="s">
        <v>1149</v>
      </c>
      <c r="AE43" s="23"/>
      <c r="AF43" s="23"/>
      <c r="AG43" s="23"/>
      <c r="AH43" s="23"/>
      <c r="AI43" s="23"/>
      <c r="AJ43" s="23"/>
      <c r="AK43" s="23"/>
      <c r="AL43" s="23"/>
      <c r="AM43" s="23" t="s">
        <v>2122</v>
      </c>
      <c r="AN43" s="23" t="s">
        <v>2123</v>
      </c>
      <c r="AO43" s="23">
        <v>54939.72</v>
      </c>
      <c r="AP43" s="23"/>
      <c r="AQ43" s="23">
        <v>21046.2</v>
      </c>
      <c r="AR43" s="23"/>
      <c r="AS43" s="23"/>
      <c r="AT43" s="23"/>
      <c r="AU43" s="23">
        <v>20254.02</v>
      </c>
      <c r="AV43" s="23"/>
      <c r="AW43" s="23">
        <v>792.18000000000029</v>
      </c>
      <c r="AX43" s="23"/>
      <c r="AY43" s="23"/>
      <c r="AZ43" s="23"/>
      <c r="BA43" s="23" t="s">
        <v>2019</v>
      </c>
      <c r="BB43" s="23">
        <v>264</v>
      </c>
      <c r="BC43" s="23" t="s">
        <v>2061</v>
      </c>
      <c r="BD43" s="23" t="s">
        <v>2062</v>
      </c>
      <c r="BE43" s="23" t="s">
        <v>2124</v>
      </c>
      <c r="BF43" s="23" t="s">
        <v>164</v>
      </c>
      <c r="BG43" s="23" t="s">
        <v>2064</v>
      </c>
      <c r="BH43" s="23" t="s">
        <v>2027</v>
      </c>
      <c r="BI43" s="23" t="s">
        <v>2125</v>
      </c>
      <c r="BJ43" s="23" t="s">
        <v>2120</v>
      </c>
      <c r="BK43" s="23" t="s">
        <v>2126</v>
      </c>
      <c r="BL43" s="23"/>
    </row>
    <row r="44" spans="1:64" ht="30" customHeight="1">
      <c r="A44" s="23" t="s">
        <v>387</v>
      </c>
      <c r="B44" s="23" t="s">
        <v>1932</v>
      </c>
      <c r="C44" s="23">
        <v>39</v>
      </c>
      <c r="D44" s="23" t="s">
        <v>392</v>
      </c>
      <c r="E44" s="23" t="s">
        <v>387</v>
      </c>
      <c r="F44" s="23"/>
      <c r="G44" s="23" t="s">
        <v>161</v>
      </c>
      <c r="H44" s="23" t="s">
        <v>164</v>
      </c>
      <c r="I44" s="23"/>
      <c r="J44" s="23" t="s">
        <v>182</v>
      </c>
      <c r="K44" s="23"/>
      <c r="L44" s="23"/>
      <c r="M44" s="23" t="s">
        <v>246</v>
      </c>
      <c r="N44" s="23" t="s">
        <v>1933</v>
      </c>
      <c r="O44" s="23" t="s">
        <v>388</v>
      </c>
      <c r="P44" s="23" t="s">
        <v>184</v>
      </c>
      <c r="Q44" s="23" t="s">
        <v>388</v>
      </c>
      <c r="R44" s="23" t="s">
        <v>178</v>
      </c>
      <c r="S44" s="23" t="s">
        <v>389</v>
      </c>
      <c r="T44" s="23"/>
      <c r="U44" s="23">
        <v>2020</v>
      </c>
      <c r="V44" s="23"/>
      <c r="W44" s="23" t="s">
        <v>163</v>
      </c>
      <c r="X44" s="23" t="s">
        <v>2127</v>
      </c>
      <c r="Y44" s="23" t="s">
        <v>300</v>
      </c>
      <c r="Z44" s="23" t="s">
        <v>280</v>
      </c>
      <c r="AA44" s="23" t="s">
        <v>2032</v>
      </c>
      <c r="AB44" s="23" t="s">
        <v>2058</v>
      </c>
      <c r="AC44" s="23">
        <v>40</v>
      </c>
      <c r="AD44" s="23"/>
      <c r="AE44" s="23"/>
      <c r="AF44" s="23"/>
      <c r="AG44" s="23" t="s">
        <v>390</v>
      </c>
      <c r="AH44" s="23"/>
      <c r="AI44" s="23"/>
      <c r="AJ44" s="23"/>
      <c r="AK44" s="23"/>
      <c r="AL44" s="23"/>
      <c r="AM44" s="23" t="s">
        <v>2128</v>
      </c>
      <c r="AN44" s="23" t="s">
        <v>2129</v>
      </c>
      <c r="AO44" s="23">
        <v>158931.65</v>
      </c>
      <c r="AP44" s="23"/>
      <c r="AQ44" s="23">
        <v>161748.04999999999</v>
      </c>
      <c r="AR44" s="23"/>
      <c r="AS44" s="23"/>
      <c r="AT44" s="23"/>
      <c r="AU44" s="23"/>
      <c r="AV44" s="23"/>
      <c r="AW44" s="23">
        <v>161748.04999999999</v>
      </c>
      <c r="AX44" s="23"/>
      <c r="AY44" s="23"/>
      <c r="AZ44" s="23"/>
      <c r="BA44" s="23" t="s">
        <v>2130</v>
      </c>
      <c r="BB44" s="23">
        <v>222</v>
      </c>
      <c r="BC44" s="23" t="s">
        <v>2061</v>
      </c>
      <c r="BD44" s="23" t="s">
        <v>2097</v>
      </c>
      <c r="BE44" s="23" t="s">
        <v>2131</v>
      </c>
      <c r="BF44" s="23" t="s">
        <v>164</v>
      </c>
      <c r="BG44" s="23" t="s">
        <v>2064</v>
      </c>
      <c r="BH44" s="23" t="s">
        <v>2027</v>
      </c>
      <c r="BI44" s="23" t="s">
        <v>2132</v>
      </c>
      <c r="BJ44" s="23"/>
      <c r="BK44" s="23"/>
      <c r="BL44" s="23"/>
    </row>
    <row r="45" spans="1:64" ht="30" customHeight="1">
      <c r="A45" s="23" t="s">
        <v>393</v>
      </c>
      <c r="B45" s="23" t="s">
        <v>1932</v>
      </c>
      <c r="C45" s="23">
        <v>40</v>
      </c>
      <c r="D45" s="23" t="s">
        <v>397</v>
      </c>
      <c r="E45" s="23" t="s">
        <v>393</v>
      </c>
      <c r="F45" s="23"/>
      <c r="G45" s="23" t="s">
        <v>161</v>
      </c>
      <c r="H45" s="23" t="s">
        <v>164</v>
      </c>
      <c r="I45" s="23"/>
      <c r="J45" s="23" t="s">
        <v>182</v>
      </c>
      <c r="K45" s="23"/>
      <c r="L45" s="23"/>
      <c r="M45" s="23"/>
      <c r="N45" s="23" t="s">
        <v>1933</v>
      </c>
      <c r="O45" s="23" t="s">
        <v>394</v>
      </c>
      <c r="P45" s="23" t="s">
        <v>395</v>
      </c>
      <c r="Q45" s="23" t="s">
        <v>394</v>
      </c>
      <c r="R45" s="23" t="s">
        <v>178</v>
      </c>
      <c r="S45" s="23" t="s">
        <v>191</v>
      </c>
      <c r="T45" s="23"/>
      <c r="U45" s="23">
        <v>2018</v>
      </c>
      <c r="V45" s="23"/>
      <c r="W45" s="23" t="s">
        <v>163</v>
      </c>
      <c r="X45" s="23" t="s">
        <v>2133</v>
      </c>
      <c r="Y45" s="23" t="s">
        <v>162</v>
      </c>
      <c r="Z45" s="23" t="s">
        <v>162</v>
      </c>
      <c r="AA45" s="23" t="s">
        <v>1934</v>
      </c>
      <c r="AB45" s="23" t="s">
        <v>1935</v>
      </c>
      <c r="AC45" s="23"/>
      <c r="AD45" s="23"/>
      <c r="AE45" s="23"/>
      <c r="AF45" s="23"/>
      <c r="AG45" s="23"/>
      <c r="AH45" s="23"/>
      <c r="AI45" s="23"/>
      <c r="AJ45" s="23"/>
      <c r="AK45" s="23"/>
      <c r="AL45" s="23"/>
      <c r="AM45" s="23" t="s">
        <v>2134</v>
      </c>
      <c r="AN45" s="23" t="s">
        <v>2135</v>
      </c>
      <c r="AO45" s="23">
        <v>10160.65</v>
      </c>
      <c r="AP45" s="23"/>
      <c r="AQ45" s="23">
        <v>6402.94</v>
      </c>
      <c r="AR45" s="23"/>
      <c r="AS45" s="23"/>
      <c r="AT45" s="23"/>
      <c r="AU45" s="23"/>
      <c r="AV45" s="23"/>
      <c r="AW45" s="23"/>
      <c r="AX45" s="23"/>
      <c r="AY45" s="23"/>
      <c r="AZ45" s="23"/>
      <c r="BA45" s="23" t="s">
        <v>1946</v>
      </c>
      <c r="BB45" s="23">
        <v>804</v>
      </c>
      <c r="BC45" s="23" t="s">
        <v>1935</v>
      </c>
      <c r="BD45" s="23"/>
      <c r="BE45" s="23" t="s">
        <v>2136</v>
      </c>
      <c r="BF45" s="23" t="s">
        <v>164</v>
      </c>
      <c r="BG45" s="23" t="s">
        <v>1940</v>
      </c>
      <c r="BH45" s="23" t="s">
        <v>2027</v>
      </c>
      <c r="BI45" s="23" t="s">
        <v>2137</v>
      </c>
      <c r="BJ45" s="23"/>
      <c r="BK45" s="23"/>
      <c r="BL45" s="23"/>
    </row>
    <row r="46" spans="1:64" ht="30" customHeight="1">
      <c r="A46" s="23" t="s">
        <v>398</v>
      </c>
      <c r="B46" s="23" t="s">
        <v>1932</v>
      </c>
      <c r="C46" s="23">
        <v>41</v>
      </c>
      <c r="D46" s="23" t="s">
        <v>403</v>
      </c>
      <c r="E46" s="23" t="s">
        <v>398</v>
      </c>
      <c r="F46" s="23"/>
      <c r="G46" s="23" t="s">
        <v>161</v>
      </c>
      <c r="H46" s="23" t="s">
        <v>164</v>
      </c>
      <c r="I46" s="23"/>
      <c r="J46" s="23" t="s">
        <v>182</v>
      </c>
      <c r="K46" s="23"/>
      <c r="L46" s="23"/>
      <c r="M46" s="23" t="s">
        <v>380</v>
      </c>
      <c r="N46" s="23" t="s">
        <v>1933</v>
      </c>
      <c r="O46" s="23" t="s">
        <v>399</v>
      </c>
      <c r="P46" s="23" t="s">
        <v>400</v>
      </c>
      <c r="Q46" s="23" t="s">
        <v>399</v>
      </c>
      <c r="R46" s="23" t="s">
        <v>178</v>
      </c>
      <c r="S46" s="23" t="s">
        <v>401</v>
      </c>
      <c r="T46" s="23"/>
      <c r="U46" s="23">
        <v>2018</v>
      </c>
      <c r="V46" s="23"/>
      <c r="W46" s="23" t="s">
        <v>163</v>
      </c>
      <c r="X46" s="23" t="s">
        <v>2138</v>
      </c>
      <c r="Y46" s="23" t="s">
        <v>300</v>
      </c>
      <c r="Z46" s="23" t="s">
        <v>280</v>
      </c>
      <c r="AA46" s="23" t="s">
        <v>2032</v>
      </c>
      <c r="AB46" s="23" t="s">
        <v>2058</v>
      </c>
      <c r="AC46" s="23">
        <v>30</v>
      </c>
      <c r="AD46" s="23"/>
      <c r="AE46" s="23"/>
      <c r="AF46" s="23"/>
      <c r="AG46" s="23"/>
      <c r="AH46" s="23"/>
      <c r="AI46" s="23"/>
      <c r="AJ46" s="23"/>
      <c r="AK46" s="23"/>
      <c r="AL46" s="23"/>
      <c r="AM46" s="23" t="s">
        <v>2139</v>
      </c>
      <c r="AN46" s="23" t="s">
        <v>2140</v>
      </c>
      <c r="AO46" s="23">
        <v>20042.43</v>
      </c>
      <c r="AP46" s="23"/>
      <c r="AQ46" s="23">
        <v>29584.74</v>
      </c>
      <c r="AR46" s="23"/>
      <c r="AS46" s="23"/>
      <c r="AT46" s="23"/>
      <c r="AU46" s="23"/>
      <c r="AV46" s="23"/>
      <c r="AW46" s="23">
        <v>29584.74</v>
      </c>
      <c r="AX46" s="23"/>
      <c r="AY46" s="23"/>
      <c r="AZ46" s="23"/>
      <c r="BA46" s="23" t="s">
        <v>2141</v>
      </c>
      <c r="BB46" s="23">
        <v>663</v>
      </c>
      <c r="BC46" s="23" t="s">
        <v>2061</v>
      </c>
      <c r="BD46" s="23" t="s">
        <v>2097</v>
      </c>
      <c r="BE46" s="23" t="s">
        <v>2142</v>
      </c>
      <c r="BF46" s="23" t="s">
        <v>164</v>
      </c>
      <c r="BG46" s="23" t="s">
        <v>2064</v>
      </c>
      <c r="BH46" s="23" t="s">
        <v>2027</v>
      </c>
      <c r="BI46" s="23" t="s">
        <v>2143</v>
      </c>
      <c r="BJ46" s="23"/>
      <c r="BK46" s="23"/>
      <c r="BL46" s="23"/>
    </row>
    <row r="47" spans="1:64" ht="30" customHeight="1">
      <c r="A47" s="23" t="s">
        <v>404</v>
      </c>
      <c r="B47" s="23" t="s">
        <v>1932</v>
      </c>
      <c r="C47" s="23">
        <v>42</v>
      </c>
      <c r="D47" s="23" t="s">
        <v>410</v>
      </c>
      <c r="E47" s="23" t="s">
        <v>404</v>
      </c>
      <c r="F47" s="23"/>
      <c r="G47" s="23" t="s">
        <v>161</v>
      </c>
      <c r="H47" s="23" t="s">
        <v>164</v>
      </c>
      <c r="I47" s="23"/>
      <c r="J47" s="23" t="s">
        <v>182</v>
      </c>
      <c r="K47" s="23"/>
      <c r="L47" s="23"/>
      <c r="M47" s="23" t="s">
        <v>380</v>
      </c>
      <c r="N47" s="23" t="s">
        <v>1933</v>
      </c>
      <c r="O47" s="23" t="s">
        <v>405</v>
      </c>
      <c r="P47" s="23" t="s">
        <v>406</v>
      </c>
      <c r="Q47" s="23" t="s">
        <v>405</v>
      </c>
      <c r="R47" s="23" t="s">
        <v>178</v>
      </c>
      <c r="S47" s="23" t="s">
        <v>407</v>
      </c>
      <c r="T47" s="23"/>
      <c r="U47" s="23">
        <v>2018</v>
      </c>
      <c r="V47" s="23"/>
      <c r="W47" s="23" t="s">
        <v>163</v>
      </c>
      <c r="X47" s="23" t="s">
        <v>2144</v>
      </c>
      <c r="Y47" s="23" t="s">
        <v>300</v>
      </c>
      <c r="Z47" s="23" t="s">
        <v>280</v>
      </c>
      <c r="AA47" s="23" t="s">
        <v>2032</v>
      </c>
      <c r="AB47" s="23" t="s">
        <v>2114</v>
      </c>
      <c r="AC47" s="23">
        <v>60</v>
      </c>
      <c r="AD47" s="23" t="s">
        <v>1149</v>
      </c>
      <c r="AE47" s="23"/>
      <c r="AF47" s="23"/>
      <c r="AG47" s="23" t="s">
        <v>408</v>
      </c>
      <c r="AH47" s="23"/>
      <c r="AI47" s="23"/>
      <c r="AJ47" s="23"/>
      <c r="AK47" s="23"/>
      <c r="AL47" s="23"/>
      <c r="AM47" s="23" t="s">
        <v>2145</v>
      </c>
      <c r="AN47" s="23" t="s">
        <v>2146</v>
      </c>
      <c r="AO47" s="23">
        <v>32390.75</v>
      </c>
      <c r="AP47" s="23"/>
      <c r="AQ47" s="23">
        <v>18227.060000000001</v>
      </c>
      <c r="AR47" s="23"/>
      <c r="AS47" s="23"/>
      <c r="AT47" s="23"/>
      <c r="AU47" s="23"/>
      <c r="AV47" s="23"/>
      <c r="AW47" s="23">
        <v>18227.060000000001</v>
      </c>
      <c r="AX47" s="23"/>
      <c r="AY47" s="23"/>
      <c r="AZ47" s="23"/>
      <c r="BA47" s="23" t="s">
        <v>1938</v>
      </c>
      <c r="BB47" s="23">
        <v>261</v>
      </c>
      <c r="BC47" s="23" t="s">
        <v>2061</v>
      </c>
      <c r="BD47" s="23" t="s">
        <v>2062</v>
      </c>
      <c r="BE47" s="23" t="s">
        <v>2147</v>
      </c>
      <c r="BF47" s="23" t="s">
        <v>164</v>
      </c>
      <c r="BG47" s="23" t="s">
        <v>2064</v>
      </c>
      <c r="BH47" s="23" t="s">
        <v>2027</v>
      </c>
      <c r="BI47" s="23" t="s">
        <v>2148</v>
      </c>
      <c r="BJ47" s="23" t="s">
        <v>2149</v>
      </c>
      <c r="BK47" s="23" t="s">
        <v>2150</v>
      </c>
      <c r="BL47" s="23"/>
    </row>
    <row r="48" spans="1:64" ht="30" customHeight="1">
      <c r="A48" s="23" t="s">
        <v>411</v>
      </c>
      <c r="B48" s="23" t="s">
        <v>1932</v>
      </c>
      <c r="C48" s="23">
        <v>43</v>
      </c>
      <c r="D48" s="23" t="s">
        <v>416</v>
      </c>
      <c r="E48" s="23" t="s">
        <v>417</v>
      </c>
      <c r="F48" s="23"/>
      <c r="G48" s="23" t="s">
        <v>161</v>
      </c>
      <c r="H48" s="23" t="s">
        <v>164</v>
      </c>
      <c r="I48" s="23"/>
      <c r="J48" s="23" t="s">
        <v>182</v>
      </c>
      <c r="K48" s="23"/>
      <c r="L48" s="23"/>
      <c r="M48" s="23" t="s">
        <v>380</v>
      </c>
      <c r="N48" s="23" t="s">
        <v>1933</v>
      </c>
      <c r="O48" s="23" t="s">
        <v>412</v>
      </c>
      <c r="P48" s="23" t="s">
        <v>413</v>
      </c>
      <c r="Q48" s="23" t="s">
        <v>412</v>
      </c>
      <c r="R48" s="23" t="s">
        <v>178</v>
      </c>
      <c r="S48" s="23" t="s">
        <v>401</v>
      </c>
      <c r="T48" s="23"/>
      <c r="U48" s="23">
        <v>2018</v>
      </c>
      <c r="V48" s="23"/>
      <c r="W48" s="23" t="s">
        <v>163</v>
      </c>
      <c r="X48" s="23" t="s">
        <v>2151</v>
      </c>
      <c r="Y48" s="23" t="s">
        <v>2071</v>
      </c>
      <c r="Z48" s="23" t="s">
        <v>280</v>
      </c>
      <c r="AA48" s="23" t="s">
        <v>2032</v>
      </c>
      <c r="AB48" s="23" t="s">
        <v>2114</v>
      </c>
      <c r="AC48" s="23">
        <v>60</v>
      </c>
      <c r="AD48" s="23" t="s">
        <v>1149</v>
      </c>
      <c r="AE48" s="23"/>
      <c r="AF48" s="23"/>
      <c r="AG48" s="23" t="s">
        <v>414</v>
      </c>
      <c r="AH48" s="23"/>
      <c r="AI48" s="23"/>
      <c r="AJ48" s="23"/>
      <c r="AK48" s="23"/>
      <c r="AL48" s="23"/>
      <c r="AM48" s="23" t="s">
        <v>2152</v>
      </c>
      <c r="AN48" s="23" t="s">
        <v>2153</v>
      </c>
      <c r="AO48" s="23">
        <v>49973.45</v>
      </c>
      <c r="AP48" s="23"/>
      <c r="AQ48" s="23">
        <v>40937.699999999997</v>
      </c>
      <c r="AR48" s="23"/>
      <c r="AS48" s="23"/>
      <c r="AT48" s="23"/>
      <c r="AU48" s="23"/>
      <c r="AV48" s="23"/>
      <c r="AW48" s="23">
        <v>40937.699999999997</v>
      </c>
      <c r="AX48" s="23"/>
      <c r="AY48" s="23"/>
      <c r="AZ48" s="23"/>
      <c r="BA48" s="23" t="s">
        <v>1938</v>
      </c>
      <c r="BB48" s="23">
        <v>261</v>
      </c>
      <c r="BC48" s="23" t="s">
        <v>2061</v>
      </c>
      <c r="BD48" s="23" t="s">
        <v>2062</v>
      </c>
      <c r="BE48" s="23" t="s">
        <v>2154</v>
      </c>
      <c r="BF48" s="23" t="s">
        <v>164</v>
      </c>
      <c r="BG48" s="23" t="s">
        <v>2118</v>
      </c>
      <c r="BH48" s="23" t="s">
        <v>2027</v>
      </c>
      <c r="BI48" s="23" t="s">
        <v>2155</v>
      </c>
      <c r="BJ48" s="23" t="s">
        <v>2120</v>
      </c>
      <c r="BK48" s="23"/>
      <c r="BL48" s="23"/>
    </row>
    <row r="49" spans="1:64" ht="30" customHeight="1">
      <c r="A49" s="23" t="s">
        <v>418</v>
      </c>
      <c r="B49" s="23" t="s">
        <v>1932</v>
      </c>
      <c r="C49" s="23">
        <v>44</v>
      </c>
      <c r="D49" s="23" t="s">
        <v>423</v>
      </c>
      <c r="E49" s="23" t="s">
        <v>418</v>
      </c>
      <c r="F49" s="23"/>
      <c r="G49" s="23" t="s">
        <v>161</v>
      </c>
      <c r="H49" s="23" t="s">
        <v>164</v>
      </c>
      <c r="I49" s="23"/>
      <c r="J49" s="23" t="s">
        <v>182</v>
      </c>
      <c r="K49" s="23"/>
      <c r="L49" s="23"/>
      <c r="M49" s="23" t="s">
        <v>380</v>
      </c>
      <c r="N49" s="23" t="s">
        <v>1933</v>
      </c>
      <c r="O49" s="23" t="s">
        <v>419</v>
      </c>
      <c r="P49" s="23" t="s">
        <v>420</v>
      </c>
      <c r="Q49" s="23" t="s">
        <v>419</v>
      </c>
      <c r="R49" s="23" t="s">
        <v>384</v>
      </c>
      <c r="S49" s="23" t="s">
        <v>421</v>
      </c>
      <c r="T49" s="23"/>
      <c r="U49" s="23">
        <v>2020</v>
      </c>
      <c r="V49" s="23"/>
      <c r="W49" s="23" t="s">
        <v>163</v>
      </c>
      <c r="X49" s="23" t="s">
        <v>2156</v>
      </c>
      <c r="Y49" s="23" t="s">
        <v>300</v>
      </c>
      <c r="Z49" s="23" t="s">
        <v>280</v>
      </c>
      <c r="AA49" s="23" t="s">
        <v>2032</v>
      </c>
      <c r="AB49" s="23" t="s">
        <v>2058</v>
      </c>
      <c r="AC49" s="23">
        <v>30</v>
      </c>
      <c r="AD49" s="23"/>
      <c r="AE49" s="23"/>
      <c r="AF49" s="23"/>
      <c r="AG49" s="23"/>
      <c r="AH49" s="23"/>
      <c r="AI49" s="23"/>
      <c r="AJ49" s="23"/>
      <c r="AK49" s="23"/>
      <c r="AL49" s="23"/>
      <c r="AM49" s="23" t="s">
        <v>2157</v>
      </c>
      <c r="AN49" s="23" t="s">
        <v>2158</v>
      </c>
      <c r="AO49" s="23">
        <v>59519.22</v>
      </c>
      <c r="AP49" s="23"/>
      <c r="AQ49" s="23">
        <v>21004.18</v>
      </c>
      <c r="AR49" s="23"/>
      <c r="AS49" s="23"/>
      <c r="AT49" s="23"/>
      <c r="AU49" s="23"/>
      <c r="AV49" s="23"/>
      <c r="AW49" s="23">
        <v>21004.18</v>
      </c>
      <c r="AX49" s="23"/>
      <c r="AY49" s="23"/>
      <c r="AZ49" s="23"/>
      <c r="BA49" s="23" t="s">
        <v>2141</v>
      </c>
      <c r="BB49" s="23">
        <v>663</v>
      </c>
      <c r="BC49" s="23" t="s">
        <v>2061</v>
      </c>
      <c r="BD49" s="23" t="s">
        <v>2097</v>
      </c>
      <c r="BE49" s="23" t="s">
        <v>2159</v>
      </c>
      <c r="BF49" s="23" t="s">
        <v>164</v>
      </c>
      <c r="BG49" s="23" t="s">
        <v>2064</v>
      </c>
      <c r="BH49" s="23" t="s">
        <v>2027</v>
      </c>
      <c r="BI49" s="23" t="s">
        <v>2160</v>
      </c>
      <c r="BJ49" s="23"/>
      <c r="BK49" s="23"/>
      <c r="BL49" s="23"/>
    </row>
    <row r="50" spans="1:64" ht="30" customHeight="1">
      <c r="A50" s="23" t="s">
        <v>424</v>
      </c>
      <c r="B50" s="23" t="s">
        <v>1932</v>
      </c>
      <c r="C50" s="23">
        <v>45</v>
      </c>
      <c r="D50" s="23" t="s">
        <v>430</v>
      </c>
      <c r="E50" s="23" t="s">
        <v>424</v>
      </c>
      <c r="F50" s="23"/>
      <c r="G50" s="23" t="s">
        <v>161</v>
      </c>
      <c r="H50" s="23" t="s">
        <v>164</v>
      </c>
      <c r="I50" s="23"/>
      <c r="J50" s="23" t="s">
        <v>182</v>
      </c>
      <c r="K50" s="23"/>
      <c r="L50" s="23"/>
      <c r="M50" s="23" t="s">
        <v>380</v>
      </c>
      <c r="N50" s="23" t="s">
        <v>1933</v>
      </c>
      <c r="O50" s="23" t="s">
        <v>425</v>
      </c>
      <c r="P50" s="23" t="s">
        <v>426</v>
      </c>
      <c r="Q50" s="23" t="s">
        <v>425</v>
      </c>
      <c r="R50" s="23" t="s">
        <v>178</v>
      </c>
      <c r="S50" s="23" t="s">
        <v>427</v>
      </c>
      <c r="T50" s="23"/>
      <c r="U50" s="23">
        <v>2018</v>
      </c>
      <c r="V50" s="23"/>
      <c r="W50" s="23" t="s">
        <v>163</v>
      </c>
      <c r="X50" s="23" t="s">
        <v>2151</v>
      </c>
      <c r="Y50" s="23" t="s">
        <v>300</v>
      </c>
      <c r="Z50" s="23" t="s">
        <v>280</v>
      </c>
      <c r="AA50" s="23" t="s">
        <v>2032</v>
      </c>
      <c r="AB50" s="23" t="s">
        <v>2058</v>
      </c>
      <c r="AC50" s="23">
        <v>40</v>
      </c>
      <c r="AD50" s="23" t="s">
        <v>1132</v>
      </c>
      <c r="AE50" s="23"/>
      <c r="AF50" s="23"/>
      <c r="AG50" s="23" t="s">
        <v>428</v>
      </c>
      <c r="AH50" s="23"/>
      <c r="AI50" s="23"/>
      <c r="AJ50" s="23"/>
      <c r="AK50" s="23"/>
      <c r="AL50" s="23"/>
      <c r="AM50" s="23" t="s">
        <v>2161</v>
      </c>
      <c r="AN50" s="23" t="s">
        <v>2089</v>
      </c>
      <c r="AO50" s="23">
        <v>34596.68</v>
      </c>
      <c r="AP50" s="23"/>
      <c r="AQ50" s="23">
        <v>20360.759999999998</v>
      </c>
      <c r="AR50" s="23"/>
      <c r="AS50" s="23"/>
      <c r="AT50" s="23"/>
      <c r="AU50" s="23"/>
      <c r="AV50" s="23"/>
      <c r="AW50" s="23">
        <v>20360.759999999998</v>
      </c>
      <c r="AX50" s="23"/>
      <c r="AY50" s="23"/>
      <c r="AZ50" s="23"/>
      <c r="BA50" s="23" t="s">
        <v>2089</v>
      </c>
      <c r="BB50" s="23">
        <v>243</v>
      </c>
      <c r="BC50" s="23" t="s">
        <v>2061</v>
      </c>
      <c r="BD50" s="23" t="s">
        <v>2062</v>
      </c>
      <c r="BE50" s="23" t="s">
        <v>2162</v>
      </c>
      <c r="BF50" s="23" t="s">
        <v>164</v>
      </c>
      <c r="BG50" s="23" t="s">
        <v>2064</v>
      </c>
      <c r="BH50" s="23" t="s">
        <v>2027</v>
      </c>
      <c r="BI50" s="23" t="s">
        <v>2163</v>
      </c>
      <c r="BJ50" s="23" t="s">
        <v>2164</v>
      </c>
      <c r="BK50" s="23" t="s">
        <v>2165</v>
      </c>
      <c r="BL50" s="23"/>
    </row>
    <row r="51" spans="1:64" ht="30" customHeight="1">
      <c r="A51" s="23" t="s">
        <v>431</v>
      </c>
      <c r="B51" s="23" t="s">
        <v>1932</v>
      </c>
      <c r="C51" s="23">
        <v>46</v>
      </c>
      <c r="D51" s="23" t="s">
        <v>437</v>
      </c>
      <c r="E51" s="23" t="s">
        <v>431</v>
      </c>
      <c r="F51" s="23"/>
      <c r="G51" s="23" t="s">
        <v>161</v>
      </c>
      <c r="H51" s="23" t="s">
        <v>164</v>
      </c>
      <c r="I51" s="23"/>
      <c r="J51" s="23" t="s">
        <v>206</v>
      </c>
      <c r="K51" s="23"/>
      <c r="L51" s="23"/>
      <c r="M51" s="23" t="s">
        <v>380</v>
      </c>
      <c r="N51" s="23" t="s">
        <v>1933</v>
      </c>
      <c r="O51" s="23" t="s">
        <v>432</v>
      </c>
      <c r="P51" s="23" t="s">
        <v>433</v>
      </c>
      <c r="Q51" s="23" t="s">
        <v>432</v>
      </c>
      <c r="R51" s="23" t="s">
        <v>234</v>
      </c>
      <c r="S51" s="23" t="s">
        <v>434</v>
      </c>
      <c r="T51" s="23"/>
      <c r="U51" s="23">
        <v>2019</v>
      </c>
      <c r="V51" s="23"/>
      <c r="W51" s="23" t="s">
        <v>163</v>
      </c>
      <c r="X51" s="23" t="s">
        <v>2166</v>
      </c>
      <c r="Y51" s="23" t="s">
        <v>2071</v>
      </c>
      <c r="Z51" s="23" t="s">
        <v>280</v>
      </c>
      <c r="AA51" s="23" t="s">
        <v>2032</v>
      </c>
      <c r="AB51" s="23" t="s">
        <v>2058</v>
      </c>
      <c r="AC51" s="23">
        <v>40</v>
      </c>
      <c r="AD51" s="23"/>
      <c r="AE51" s="23"/>
      <c r="AF51" s="23"/>
      <c r="AG51" s="23" t="s">
        <v>435</v>
      </c>
      <c r="AH51" s="23"/>
      <c r="AI51" s="23"/>
      <c r="AJ51" s="23"/>
      <c r="AK51" s="23"/>
      <c r="AL51" s="23"/>
      <c r="AM51" s="23" t="s">
        <v>2167</v>
      </c>
      <c r="AN51" s="23" t="s">
        <v>2168</v>
      </c>
      <c r="AO51" s="23">
        <v>80000</v>
      </c>
      <c r="AP51" s="23"/>
      <c r="AQ51" s="23">
        <v>104036.23</v>
      </c>
      <c r="AR51" s="23"/>
      <c r="AS51" s="23"/>
      <c r="AT51" s="23"/>
      <c r="AU51" s="23"/>
      <c r="AV51" s="23"/>
      <c r="AW51" s="23">
        <v>104036.23</v>
      </c>
      <c r="AX51" s="23"/>
      <c r="AY51" s="23"/>
      <c r="AZ51" s="23"/>
      <c r="BA51" s="23" t="s">
        <v>2130</v>
      </c>
      <c r="BB51" s="23">
        <v>222</v>
      </c>
      <c r="BC51" s="23" t="s">
        <v>2061</v>
      </c>
      <c r="BD51" s="23" t="s">
        <v>2097</v>
      </c>
      <c r="BE51" s="23" t="s">
        <v>2169</v>
      </c>
      <c r="BF51" s="23" t="s">
        <v>164</v>
      </c>
      <c r="BG51" s="23" t="s">
        <v>2118</v>
      </c>
      <c r="BH51" s="23" t="s">
        <v>2027</v>
      </c>
      <c r="BI51" s="23" t="s">
        <v>2170</v>
      </c>
      <c r="BJ51" s="23"/>
      <c r="BK51" s="23"/>
      <c r="BL51" s="23"/>
    </row>
    <row r="52" spans="1:64" ht="30" customHeight="1">
      <c r="A52" s="23" t="s">
        <v>438</v>
      </c>
      <c r="B52" s="23" t="s">
        <v>1932</v>
      </c>
      <c r="C52" s="23">
        <v>47</v>
      </c>
      <c r="D52" s="23" t="s">
        <v>444</v>
      </c>
      <c r="E52" s="23" t="s">
        <v>438</v>
      </c>
      <c r="F52" s="23"/>
      <c r="G52" s="23" t="s">
        <v>161</v>
      </c>
      <c r="H52" s="23" t="s">
        <v>164</v>
      </c>
      <c r="I52" s="23"/>
      <c r="J52" s="23" t="s">
        <v>182</v>
      </c>
      <c r="K52" s="23"/>
      <c r="L52" s="23"/>
      <c r="M52" s="23" t="s">
        <v>380</v>
      </c>
      <c r="N52" s="23" t="s">
        <v>1933</v>
      </c>
      <c r="O52" s="23" t="s">
        <v>439</v>
      </c>
      <c r="P52" s="23" t="s">
        <v>184</v>
      </c>
      <c r="Q52" s="23" t="s">
        <v>439</v>
      </c>
      <c r="R52" s="23" t="s">
        <v>441</v>
      </c>
      <c r="S52" s="23" t="s">
        <v>440</v>
      </c>
      <c r="T52" s="23"/>
      <c r="U52" s="23">
        <v>2021</v>
      </c>
      <c r="V52" s="23"/>
      <c r="W52" s="23" t="s">
        <v>163</v>
      </c>
      <c r="X52" s="23" t="s">
        <v>2171</v>
      </c>
      <c r="Y52" s="23" t="s">
        <v>162</v>
      </c>
      <c r="Z52" s="23" t="s">
        <v>162</v>
      </c>
      <c r="AA52" s="23" t="s">
        <v>1934</v>
      </c>
      <c r="AB52" s="23" t="s">
        <v>1935</v>
      </c>
      <c r="AC52" s="23"/>
      <c r="AD52" s="23"/>
      <c r="AE52" s="23"/>
      <c r="AF52" s="23"/>
      <c r="AG52" s="23" t="s">
        <v>442</v>
      </c>
      <c r="AH52" s="23"/>
      <c r="AI52" s="23"/>
      <c r="AJ52" s="23"/>
      <c r="AK52" s="23"/>
      <c r="AL52" s="23"/>
      <c r="AM52" s="23" t="s">
        <v>2172</v>
      </c>
      <c r="AN52" s="23" t="s">
        <v>2173</v>
      </c>
      <c r="AO52" s="23">
        <v>21875.09</v>
      </c>
      <c r="AP52" s="23"/>
      <c r="AQ52" s="23">
        <v>86251.8</v>
      </c>
      <c r="AR52" s="23"/>
      <c r="AS52" s="23"/>
      <c r="AT52" s="23"/>
      <c r="AU52" s="23"/>
      <c r="AV52" s="23"/>
      <c r="AW52" s="23"/>
      <c r="AX52" s="23"/>
      <c r="AY52" s="23"/>
      <c r="AZ52" s="23"/>
      <c r="BA52" s="23" t="s">
        <v>2174</v>
      </c>
      <c r="BB52" s="23">
        <v>610</v>
      </c>
      <c r="BC52" s="23" t="s">
        <v>1935</v>
      </c>
      <c r="BD52" s="23"/>
      <c r="BE52" s="23" t="s">
        <v>2175</v>
      </c>
      <c r="BF52" s="23" t="s">
        <v>164</v>
      </c>
      <c r="BG52" s="23" t="s">
        <v>1940</v>
      </c>
      <c r="BH52" s="23" t="s">
        <v>2027</v>
      </c>
      <c r="BI52" s="23" t="s">
        <v>2176</v>
      </c>
      <c r="BJ52" s="23"/>
      <c r="BK52" s="23"/>
      <c r="BL52" s="23"/>
    </row>
    <row r="53" spans="1:64" ht="30" customHeight="1">
      <c r="A53" s="23" t="s">
        <v>445</v>
      </c>
      <c r="B53" s="23" t="s">
        <v>1932</v>
      </c>
      <c r="C53" s="23">
        <v>48</v>
      </c>
      <c r="D53" s="23" t="s">
        <v>452</v>
      </c>
      <c r="E53" s="23" t="s">
        <v>445</v>
      </c>
      <c r="F53" s="23"/>
      <c r="G53" s="23" t="s">
        <v>161</v>
      </c>
      <c r="H53" s="23" t="s">
        <v>164</v>
      </c>
      <c r="I53" s="23"/>
      <c r="J53" s="23" t="s">
        <v>446</v>
      </c>
      <c r="K53" s="23"/>
      <c r="L53" s="23"/>
      <c r="M53" s="23" t="s">
        <v>380</v>
      </c>
      <c r="N53" s="23" t="s">
        <v>1933</v>
      </c>
      <c r="O53" s="23" t="s">
        <v>447</v>
      </c>
      <c r="P53" s="23" t="s">
        <v>448</v>
      </c>
      <c r="Q53" s="23" t="s">
        <v>447</v>
      </c>
      <c r="R53" s="23" t="s">
        <v>450</v>
      </c>
      <c r="S53" s="23" t="s">
        <v>449</v>
      </c>
      <c r="T53" s="23"/>
      <c r="U53" s="23">
        <v>2020</v>
      </c>
      <c r="V53" s="23"/>
      <c r="W53" s="23" t="s">
        <v>163</v>
      </c>
      <c r="X53" s="23" t="s">
        <v>2177</v>
      </c>
      <c r="Y53" s="23" t="s">
        <v>162</v>
      </c>
      <c r="Z53" s="23" t="s">
        <v>162</v>
      </c>
      <c r="AA53" s="23" t="s">
        <v>1934</v>
      </c>
      <c r="AB53" s="23" t="s">
        <v>1935</v>
      </c>
      <c r="AC53" s="23"/>
      <c r="AD53" s="23"/>
      <c r="AE53" s="23"/>
      <c r="AF53" s="23"/>
      <c r="AG53" s="23"/>
      <c r="AH53" s="23"/>
      <c r="AI53" s="23"/>
      <c r="AJ53" s="23"/>
      <c r="AK53" s="23"/>
      <c r="AL53" s="23"/>
      <c r="AM53" s="23" t="s">
        <v>2178</v>
      </c>
      <c r="AN53" s="23" t="s">
        <v>2179</v>
      </c>
      <c r="AO53" s="23">
        <v>137223.76</v>
      </c>
      <c r="AP53" s="23"/>
      <c r="AQ53" s="23">
        <v>96841.24</v>
      </c>
      <c r="AR53" s="23"/>
      <c r="AS53" s="23"/>
      <c r="AT53" s="23"/>
      <c r="AU53" s="23"/>
      <c r="AV53" s="23"/>
      <c r="AW53" s="23"/>
      <c r="AX53" s="23"/>
      <c r="AY53" s="23"/>
      <c r="AZ53" s="23"/>
      <c r="BA53" s="23" t="s">
        <v>2141</v>
      </c>
      <c r="BB53" s="23">
        <v>663</v>
      </c>
      <c r="BC53" s="23" t="s">
        <v>1935</v>
      </c>
      <c r="BD53" s="23"/>
      <c r="BE53" s="23" t="s">
        <v>2180</v>
      </c>
      <c r="BF53" s="23" t="s">
        <v>164</v>
      </c>
      <c r="BG53" s="23" t="s">
        <v>1940</v>
      </c>
      <c r="BH53" s="23" t="s">
        <v>2027</v>
      </c>
      <c r="BI53" s="23" t="s">
        <v>2181</v>
      </c>
      <c r="BJ53" s="23"/>
      <c r="BK53" s="23"/>
      <c r="BL53" s="23"/>
    </row>
    <row r="54" spans="1:64" ht="30" customHeight="1">
      <c r="A54" s="23" t="s">
        <v>453</v>
      </c>
      <c r="B54" s="23" t="s">
        <v>1932</v>
      </c>
      <c r="C54" s="23">
        <v>49</v>
      </c>
      <c r="D54" s="23" t="s">
        <v>458</v>
      </c>
      <c r="E54" s="23" t="s">
        <v>453</v>
      </c>
      <c r="F54" s="23"/>
      <c r="G54" s="23" t="s">
        <v>161</v>
      </c>
      <c r="H54" s="23" t="s">
        <v>164</v>
      </c>
      <c r="I54" s="23"/>
      <c r="J54" s="23" t="s">
        <v>182</v>
      </c>
      <c r="K54" s="23"/>
      <c r="L54" s="23"/>
      <c r="M54" s="23" t="s">
        <v>380</v>
      </c>
      <c r="N54" s="23" t="s">
        <v>1933</v>
      </c>
      <c r="O54" s="23" t="s">
        <v>454</v>
      </c>
      <c r="P54" s="23" t="s">
        <v>184</v>
      </c>
      <c r="Q54" s="23" t="s">
        <v>454</v>
      </c>
      <c r="R54" s="23" t="s">
        <v>178</v>
      </c>
      <c r="S54" s="23" t="s">
        <v>455</v>
      </c>
      <c r="T54" s="23"/>
      <c r="U54" s="23">
        <v>2019</v>
      </c>
      <c r="V54" s="23"/>
      <c r="W54" s="23" t="s">
        <v>163</v>
      </c>
      <c r="X54" s="23" t="s">
        <v>2182</v>
      </c>
      <c r="Y54" s="23" t="s">
        <v>2071</v>
      </c>
      <c r="Z54" s="23" t="s">
        <v>280</v>
      </c>
      <c r="AA54" s="23" t="s">
        <v>2032</v>
      </c>
      <c r="AB54" s="23" t="s">
        <v>2058</v>
      </c>
      <c r="AC54" s="23">
        <v>30</v>
      </c>
      <c r="AD54" s="23"/>
      <c r="AE54" s="23"/>
      <c r="AF54" s="23"/>
      <c r="AG54" s="23" t="s">
        <v>456</v>
      </c>
      <c r="AH54" s="23"/>
      <c r="AI54" s="23"/>
      <c r="AJ54" s="23"/>
      <c r="AK54" s="23"/>
      <c r="AL54" s="23"/>
      <c r="AM54" s="23" t="s">
        <v>2183</v>
      </c>
      <c r="AN54" s="23" t="s">
        <v>2184</v>
      </c>
      <c r="AO54" s="23">
        <v>15245.63</v>
      </c>
      <c r="AP54" s="23"/>
      <c r="AQ54" s="23">
        <v>16782.87</v>
      </c>
      <c r="AR54" s="23"/>
      <c r="AS54" s="23"/>
      <c r="AT54" s="23"/>
      <c r="AU54" s="23"/>
      <c r="AV54" s="23"/>
      <c r="AW54" s="23">
        <v>16782.87</v>
      </c>
      <c r="AX54" s="23"/>
      <c r="AY54" s="23"/>
      <c r="AZ54" s="23"/>
      <c r="BA54" s="23" t="s">
        <v>2141</v>
      </c>
      <c r="BB54" s="23">
        <v>663</v>
      </c>
      <c r="BC54" s="23" t="s">
        <v>2061</v>
      </c>
      <c r="BD54" s="23" t="s">
        <v>2097</v>
      </c>
      <c r="BE54" s="23" t="s">
        <v>2185</v>
      </c>
      <c r="BF54" s="23" t="s">
        <v>164</v>
      </c>
      <c r="BG54" s="23" t="s">
        <v>2118</v>
      </c>
      <c r="BH54" s="23" t="s">
        <v>2027</v>
      </c>
      <c r="BI54" s="23" t="s">
        <v>2186</v>
      </c>
      <c r="BJ54" s="23"/>
      <c r="BK54" s="23" t="s">
        <v>2187</v>
      </c>
      <c r="BL54" s="23"/>
    </row>
    <row r="55" spans="1:64" ht="30" customHeight="1">
      <c r="A55" s="23" t="s">
        <v>459</v>
      </c>
      <c r="B55" s="23" t="s">
        <v>1932</v>
      </c>
      <c r="C55" s="23">
        <v>50</v>
      </c>
      <c r="D55" s="23" t="s">
        <v>464</v>
      </c>
      <c r="E55" s="23" t="s">
        <v>459</v>
      </c>
      <c r="F55" s="23"/>
      <c r="G55" s="23" t="s">
        <v>161</v>
      </c>
      <c r="H55" s="23" t="s">
        <v>164</v>
      </c>
      <c r="I55" s="23"/>
      <c r="J55" s="23" t="s">
        <v>182</v>
      </c>
      <c r="K55" s="23"/>
      <c r="L55" s="23"/>
      <c r="M55" s="23" t="s">
        <v>380</v>
      </c>
      <c r="N55" s="23" t="s">
        <v>1933</v>
      </c>
      <c r="O55" s="23" t="s">
        <v>460</v>
      </c>
      <c r="P55" s="23" t="s">
        <v>184</v>
      </c>
      <c r="Q55" s="23" t="s">
        <v>460</v>
      </c>
      <c r="R55" s="23" t="s">
        <v>178</v>
      </c>
      <c r="S55" s="23" t="s">
        <v>461</v>
      </c>
      <c r="T55" s="23"/>
      <c r="U55" s="23">
        <v>2019</v>
      </c>
      <c r="V55" s="23"/>
      <c r="W55" s="23" t="s">
        <v>163</v>
      </c>
      <c r="X55" s="23" t="s">
        <v>2113</v>
      </c>
      <c r="Y55" s="23" t="s">
        <v>300</v>
      </c>
      <c r="Z55" s="23" t="s">
        <v>280</v>
      </c>
      <c r="AA55" s="23" t="s">
        <v>2032</v>
      </c>
      <c r="AB55" s="23" t="s">
        <v>2114</v>
      </c>
      <c r="AC55" s="23">
        <v>60</v>
      </c>
      <c r="AD55" s="23" t="s">
        <v>1149</v>
      </c>
      <c r="AE55" s="23"/>
      <c r="AF55" s="23"/>
      <c r="AG55" s="23" t="s">
        <v>462</v>
      </c>
      <c r="AH55" s="23"/>
      <c r="AI55" s="23"/>
      <c r="AJ55" s="23"/>
      <c r="AK55" s="23"/>
      <c r="AL55" s="23"/>
      <c r="AM55" s="23" t="s">
        <v>2188</v>
      </c>
      <c r="AN55" s="23" t="s">
        <v>2189</v>
      </c>
      <c r="AO55" s="23">
        <v>24455.34</v>
      </c>
      <c r="AP55" s="23"/>
      <c r="AQ55" s="23">
        <v>21755.81</v>
      </c>
      <c r="AR55" s="23"/>
      <c r="AS55" s="23"/>
      <c r="AT55" s="23"/>
      <c r="AU55" s="23"/>
      <c r="AV55" s="23"/>
      <c r="AW55" s="23">
        <v>21755.81</v>
      </c>
      <c r="AX55" s="23"/>
      <c r="AY55" s="23"/>
      <c r="AZ55" s="23"/>
      <c r="BA55" s="23" t="s">
        <v>2189</v>
      </c>
      <c r="BB55" s="23">
        <v>19</v>
      </c>
      <c r="BC55" s="23" t="s">
        <v>2190</v>
      </c>
      <c r="BD55" s="23" t="s">
        <v>2062</v>
      </c>
      <c r="BE55" s="23" t="s">
        <v>2191</v>
      </c>
      <c r="BF55" s="23" t="s">
        <v>164</v>
      </c>
      <c r="BG55" s="23" t="s">
        <v>2064</v>
      </c>
      <c r="BH55" s="23" t="s">
        <v>2027</v>
      </c>
      <c r="BI55" s="23" t="s">
        <v>2192</v>
      </c>
      <c r="BJ55" s="23" t="s">
        <v>2120</v>
      </c>
      <c r="BK55" s="23"/>
      <c r="BL55" s="23"/>
    </row>
    <row r="56" spans="1:64" ht="30" customHeight="1">
      <c r="A56" s="23" t="s">
        <v>465</v>
      </c>
      <c r="B56" s="23" t="s">
        <v>1932</v>
      </c>
      <c r="C56" s="23">
        <v>51</v>
      </c>
      <c r="D56" s="23" t="s">
        <v>469</v>
      </c>
      <c r="E56" s="23" t="s">
        <v>465</v>
      </c>
      <c r="F56" s="23"/>
      <c r="G56" s="23" t="s">
        <v>161</v>
      </c>
      <c r="H56" s="23" t="s">
        <v>164</v>
      </c>
      <c r="I56" s="23"/>
      <c r="J56" s="23" t="s">
        <v>182</v>
      </c>
      <c r="K56" s="23"/>
      <c r="L56" s="23"/>
      <c r="M56" s="23" t="s">
        <v>380</v>
      </c>
      <c r="N56" s="23" t="s">
        <v>1933</v>
      </c>
      <c r="O56" s="23" t="s">
        <v>466</v>
      </c>
      <c r="P56" s="23" t="s">
        <v>184</v>
      </c>
      <c r="Q56" s="23" t="s">
        <v>466</v>
      </c>
      <c r="R56" s="23" t="s">
        <v>178</v>
      </c>
      <c r="S56" s="23" t="s">
        <v>375</v>
      </c>
      <c r="T56" s="23"/>
      <c r="U56" s="23">
        <v>2018</v>
      </c>
      <c r="V56" s="23"/>
      <c r="W56" s="23" t="s">
        <v>163</v>
      </c>
      <c r="X56" s="23" t="s">
        <v>2151</v>
      </c>
      <c r="Y56" s="23" t="s">
        <v>2071</v>
      </c>
      <c r="Z56" s="23" t="s">
        <v>280</v>
      </c>
      <c r="AA56" s="23" t="s">
        <v>2032</v>
      </c>
      <c r="AB56" s="23" t="s">
        <v>2114</v>
      </c>
      <c r="AC56" s="23">
        <v>60</v>
      </c>
      <c r="AD56" s="23" t="s">
        <v>1149</v>
      </c>
      <c r="AE56" s="23"/>
      <c r="AF56" s="23"/>
      <c r="AG56" s="23" t="s">
        <v>467</v>
      </c>
      <c r="AH56" s="23"/>
      <c r="AI56" s="23"/>
      <c r="AJ56" s="23"/>
      <c r="AK56" s="23"/>
      <c r="AL56" s="23"/>
      <c r="AM56" s="23" t="s">
        <v>2193</v>
      </c>
      <c r="AN56" s="23" t="s">
        <v>2194</v>
      </c>
      <c r="AO56" s="23">
        <v>107189.84</v>
      </c>
      <c r="AP56" s="23"/>
      <c r="AQ56" s="23">
        <v>9860.92</v>
      </c>
      <c r="AR56" s="23"/>
      <c r="AS56" s="23"/>
      <c r="AT56" s="23"/>
      <c r="AU56" s="23"/>
      <c r="AV56" s="23"/>
      <c r="AW56" s="23">
        <v>9860.92</v>
      </c>
      <c r="AX56" s="23"/>
      <c r="AY56" s="23"/>
      <c r="AZ56" s="23"/>
      <c r="BA56" s="23" t="s">
        <v>2194</v>
      </c>
      <c r="BB56" s="23">
        <v>120</v>
      </c>
      <c r="BC56" s="23" t="s">
        <v>2061</v>
      </c>
      <c r="BD56" s="23" t="s">
        <v>2062</v>
      </c>
      <c r="BE56" s="23" t="s">
        <v>2195</v>
      </c>
      <c r="BF56" s="23" t="s">
        <v>164</v>
      </c>
      <c r="BG56" s="23" t="s">
        <v>2118</v>
      </c>
      <c r="BH56" s="23" t="s">
        <v>2027</v>
      </c>
      <c r="BI56" s="23" t="s">
        <v>2196</v>
      </c>
      <c r="BJ56" s="23" t="s">
        <v>2120</v>
      </c>
      <c r="BK56" s="23"/>
      <c r="BL56" s="23"/>
    </row>
    <row r="57" spans="1:64" ht="30" customHeight="1">
      <c r="A57" s="23" t="s">
        <v>470</v>
      </c>
      <c r="B57" s="23" t="s">
        <v>1932</v>
      </c>
      <c r="C57" s="23">
        <v>52</v>
      </c>
      <c r="D57" s="23" t="s">
        <v>475</v>
      </c>
      <c r="E57" s="23" t="s">
        <v>470</v>
      </c>
      <c r="F57" s="23"/>
      <c r="G57" s="23" t="s">
        <v>161</v>
      </c>
      <c r="H57" s="23" t="s">
        <v>164</v>
      </c>
      <c r="I57" s="23"/>
      <c r="J57" s="23" t="s">
        <v>182</v>
      </c>
      <c r="K57" s="23"/>
      <c r="L57" s="23"/>
      <c r="M57" s="23" t="s">
        <v>380</v>
      </c>
      <c r="N57" s="23" t="s">
        <v>1933</v>
      </c>
      <c r="O57" s="23" t="s">
        <v>471</v>
      </c>
      <c r="P57" s="23" t="s">
        <v>184</v>
      </c>
      <c r="Q57" s="23" t="s">
        <v>471</v>
      </c>
      <c r="R57" s="23" t="s">
        <v>178</v>
      </c>
      <c r="S57" s="23" t="s">
        <v>472</v>
      </c>
      <c r="T57" s="23" t="s">
        <v>2197</v>
      </c>
      <c r="U57" s="23">
        <v>2019</v>
      </c>
      <c r="V57" s="23"/>
      <c r="W57" s="23" t="s">
        <v>163</v>
      </c>
      <c r="X57" s="23" t="s">
        <v>2198</v>
      </c>
      <c r="Y57" s="23" t="s">
        <v>2071</v>
      </c>
      <c r="Z57" s="23" t="s">
        <v>280</v>
      </c>
      <c r="AA57" s="23" t="s">
        <v>2032</v>
      </c>
      <c r="AB57" s="23" t="s">
        <v>2114</v>
      </c>
      <c r="AC57" s="23">
        <v>60</v>
      </c>
      <c r="AD57" s="23" t="s">
        <v>1149</v>
      </c>
      <c r="AE57" s="23"/>
      <c r="AF57" s="23"/>
      <c r="AG57" s="23" t="s">
        <v>473</v>
      </c>
      <c r="AH57" s="23"/>
      <c r="AI57" s="23"/>
      <c r="AJ57" s="23"/>
      <c r="AK57" s="23"/>
      <c r="AL57" s="23"/>
      <c r="AM57" s="23" t="s">
        <v>2199</v>
      </c>
      <c r="AN57" s="23" t="s">
        <v>2200</v>
      </c>
      <c r="AO57" s="23">
        <v>68715</v>
      </c>
      <c r="AP57" s="23"/>
      <c r="AQ57" s="23">
        <v>46741.7</v>
      </c>
      <c r="AR57" s="23"/>
      <c r="AS57" s="23"/>
      <c r="AT57" s="23"/>
      <c r="AU57" s="23"/>
      <c r="AV57" s="23"/>
      <c r="AW57" s="23">
        <v>46741.7</v>
      </c>
      <c r="AX57" s="23"/>
      <c r="AY57" s="23"/>
      <c r="AZ57" s="23"/>
      <c r="BA57" s="23" t="s">
        <v>1938</v>
      </c>
      <c r="BB57" s="23">
        <v>261</v>
      </c>
      <c r="BC57" s="23" t="s">
        <v>2061</v>
      </c>
      <c r="BD57" s="23" t="s">
        <v>2062</v>
      </c>
      <c r="BE57" s="23" t="s">
        <v>2201</v>
      </c>
      <c r="BF57" s="23" t="s">
        <v>164</v>
      </c>
      <c r="BG57" s="23" t="s">
        <v>2118</v>
      </c>
      <c r="BH57" s="23" t="s">
        <v>2027</v>
      </c>
      <c r="BI57" s="23" t="s">
        <v>2202</v>
      </c>
      <c r="BJ57" s="23" t="s">
        <v>2120</v>
      </c>
      <c r="BK57" s="23"/>
      <c r="BL57" s="23"/>
    </row>
    <row r="58" spans="1:64" ht="30" customHeight="1">
      <c r="A58" s="23" t="s">
        <v>476</v>
      </c>
      <c r="B58" s="23" t="s">
        <v>1932</v>
      </c>
      <c r="C58" s="23">
        <v>53</v>
      </c>
      <c r="D58" s="23" t="s">
        <v>481</v>
      </c>
      <c r="E58" s="23" t="s">
        <v>476</v>
      </c>
      <c r="F58" s="23"/>
      <c r="G58" s="23" t="s">
        <v>161</v>
      </c>
      <c r="H58" s="23" t="s">
        <v>164</v>
      </c>
      <c r="I58" s="23"/>
      <c r="J58" s="23" t="s">
        <v>182</v>
      </c>
      <c r="K58" s="23"/>
      <c r="L58" s="23"/>
      <c r="M58" s="23" t="s">
        <v>380</v>
      </c>
      <c r="N58" s="23" t="s">
        <v>1933</v>
      </c>
      <c r="O58" s="23" t="s">
        <v>477</v>
      </c>
      <c r="P58" s="23" t="s">
        <v>478</v>
      </c>
      <c r="Q58" s="23" t="s">
        <v>477</v>
      </c>
      <c r="R58" s="23" t="s">
        <v>178</v>
      </c>
      <c r="S58" s="23" t="s">
        <v>185</v>
      </c>
      <c r="T58" s="23"/>
      <c r="U58" s="23">
        <v>2018</v>
      </c>
      <c r="V58" s="23"/>
      <c r="W58" s="23" t="s">
        <v>163</v>
      </c>
      <c r="X58" s="23" t="s">
        <v>2151</v>
      </c>
      <c r="Y58" s="23" t="s">
        <v>2071</v>
      </c>
      <c r="Z58" s="23" t="s">
        <v>280</v>
      </c>
      <c r="AA58" s="23" t="s">
        <v>2032</v>
      </c>
      <c r="AB58" s="23" t="s">
        <v>2114</v>
      </c>
      <c r="AC58" s="23">
        <v>60</v>
      </c>
      <c r="AD58" s="23" t="s">
        <v>1149</v>
      </c>
      <c r="AE58" s="23"/>
      <c r="AF58" s="23"/>
      <c r="AG58" s="23" t="s">
        <v>479</v>
      </c>
      <c r="AH58" s="23"/>
      <c r="AI58" s="23"/>
      <c r="AJ58" s="23"/>
      <c r="AK58" s="23"/>
      <c r="AL58" s="23"/>
      <c r="AM58" s="23" t="s">
        <v>2203</v>
      </c>
      <c r="AN58" s="23" t="s">
        <v>2204</v>
      </c>
      <c r="AO58" s="23">
        <v>35382.160000000003</v>
      </c>
      <c r="AP58" s="23"/>
      <c r="AQ58" s="23">
        <v>15869.76</v>
      </c>
      <c r="AR58" s="23"/>
      <c r="AS58" s="23"/>
      <c r="AT58" s="23"/>
      <c r="AU58" s="23"/>
      <c r="AV58" s="23"/>
      <c r="AW58" s="23">
        <v>15869.76</v>
      </c>
      <c r="AX58" s="23"/>
      <c r="AY58" s="23"/>
      <c r="AZ58" s="23"/>
      <c r="BA58" s="23" t="s">
        <v>1938</v>
      </c>
      <c r="BB58" s="23">
        <v>261</v>
      </c>
      <c r="BC58" s="23" t="s">
        <v>2061</v>
      </c>
      <c r="BD58" s="23" t="s">
        <v>2062</v>
      </c>
      <c r="BE58" s="23" t="s">
        <v>2205</v>
      </c>
      <c r="BF58" s="23" t="s">
        <v>164</v>
      </c>
      <c r="BG58" s="23" t="s">
        <v>2118</v>
      </c>
      <c r="BH58" s="23" t="s">
        <v>2027</v>
      </c>
      <c r="BI58" s="23" t="s">
        <v>2206</v>
      </c>
      <c r="BJ58" s="23" t="s">
        <v>2120</v>
      </c>
      <c r="BK58" s="23"/>
      <c r="BL58" s="23"/>
    </row>
    <row r="59" spans="1:64" ht="30" customHeight="1">
      <c r="A59" s="23" t="s">
        <v>27</v>
      </c>
      <c r="B59" s="23" t="s">
        <v>1932</v>
      </c>
      <c r="C59" s="23">
        <v>54</v>
      </c>
      <c r="D59" s="23" t="s">
        <v>486</v>
      </c>
      <c r="E59" s="23" t="s">
        <v>27</v>
      </c>
      <c r="F59" s="23"/>
      <c r="G59" s="23" t="s">
        <v>161</v>
      </c>
      <c r="H59" s="23" t="s">
        <v>164</v>
      </c>
      <c r="I59" s="23"/>
      <c r="J59" s="23" t="s">
        <v>182</v>
      </c>
      <c r="K59" s="23"/>
      <c r="L59" s="23"/>
      <c r="M59" s="23" t="s">
        <v>380</v>
      </c>
      <c r="N59" s="23" t="s">
        <v>1933</v>
      </c>
      <c r="O59" s="23" t="s">
        <v>482</v>
      </c>
      <c r="P59" s="23" t="s">
        <v>184</v>
      </c>
      <c r="Q59" s="23" t="s">
        <v>482</v>
      </c>
      <c r="R59" s="23" t="s">
        <v>384</v>
      </c>
      <c r="S59" s="23" t="s">
        <v>421</v>
      </c>
      <c r="T59" s="23"/>
      <c r="U59" s="23">
        <v>2018</v>
      </c>
      <c r="V59" s="23"/>
      <c r="W59" s="23" t="s">
        <v>163</v>
      </c>
      <c r="X59" s="23" t="s">
        <v>2207</v>
      </c>
      <c r="Y59" s="23" t="s">
        <v>300</v>
      </c>
      <c r="Z59" s="23" t="s">
        <v>280</v>
      </c>
      <c r="AA59" s="23" t="s">
        <v>2032</v>
      </c>
      <c r="AB59" s="23" t="s">
        <v>2208</v>
      </c>
      <c r="AC59" s="23">
        <v>70</v>
      </c>
      <c r="AD59" s="23" t="s">
        <v>1149</v>
      </c>
      <c r="AE59" s="23"/>
      <c r="AF59" s="23"/>
      <c r="AG59" s="23" t="s">
        <v>483</v>
      </c>
      <c r="AH59" s="23"/>
      <c r="AI59" s="23"/>
      <c r="AJ59" s="23"/>
      <c r="AK59" s="23"/>
      <c r="AL59" s="23"/>
      <c r="AM59" s="23" t="s">
        <v>2209</v>
      </c>
      <c r="AN59" s="23"/>
      <c r="AO59" s="23">
        <v>119383.18</v>
      </c>
      <c r="AP59" s="23"/>
      <c r="AQ59" s="23">
        <v>108062.21</v>
      </c>
      <c r="AR59" s="23"/>
      <c r="AS59" s="23"/>
      <c r="AT59" s="23"/>
      <c r="AU59" s="23"/>
      <c r="AV59" s="23"/>
      <c r="AW59" s="23">
        <v>108062.21</v>
      </c>
      <c r="AX59" s="23"/>
      <c r="AY59" s="23"/>
      <c r="AZ59" s="23"/>
      <c r="BA59" s="23" t="s">
        <v>1938</v>
      </c>
      <c r="BB59" s="23">
        <v>261</v>
      </c>
      <c r="BC59" s="23" t="s">
        <v>2061</v>
      </c>
      <c r="BD59" s="23" t="s">
        <v>2062</v>
      </c>
      <c r="BE59" s="23" t="s">
        <v>2210</v>
      </c>
      <c r="BF59" s="23" t="s">
        <v>164</v>
      </c>
      <c r="BG59" s="23" t="s">
        <v>2064</v>
      </c>
      <c r="BH59" s="23" t="s">
        <v>2027</v>
      </c>
      <c r="BI59" s="23" t="s">
        <v>2211</v>
      </c>
      <c r="BJ59" s="23" t="s">
        <v>2120</v>
      </c>
      <c r="BK59" s="23"/>
      <c r="BL59" s="23"/>
    </row>
    <row r="60" spans="1:64" ht="30" customHeight="1">
      <c r="A60" s="23" t="s">
        <v>487</v>
      </c>
      <c r="B60" s="23" t="s">
        <v>1932</v>
      </c>
      <c r="C60" s="23">
        <v>55</v>
      </c>
      <c r="D60" s="23" t="s">
        <v>494</v>
      </c>
      <c r="E60" s="23" t="s">
        <v>487</v>
      </c>
      <c r="F60" s="23"/>
      <c r="G60" s="23" t="s">
        <v>161</v>
      </c>
      <c r="H60" s="23" t="s">
        <v>164</v>
      </c>
      <c r="I60" s="23"/>
      <c r="J60" s="23" t="s">
        <v>446</v>
      </c>
      <c r="K60" s="23"/>
      <c r="L60" s="23"/>
      <c r="M60" s="23" t="s">
        <v>246</v>
      </c>
      <c r="N60" s="23" t="s">
        <v>1933</v>
      </c>
      <c r="O60" s="23" t="s">
        <v>488</v>
      </c>
      <c r="P60" s="23" t="s">
        <v>489</v>
      </c>
      <c r="Q60" s="23" t="s">
        <v>488</v>
      </c>
      <c r="R60" s="23" t="s">
        <v>491</v>
      </c>
      <c r="S60" s="23" t="s">
        <v>490</v>
      </c>
      <c r="T60" s="23"/>
      <c r="U60" s="23">
        <v>2019</v>
      </c>
      <c r="V60" s="23"/>
      <c r="W60" s="23" t="s">
        <v>163</v>
      </c>
      <c r="X60" s="23" t="s">
        <v>2212</v>
      </c>
      <c r="Y60" s="23" t="s">
        <v>300</v>
      </c>
      <c r="Z60" s="23" t="s">
        <v>280</v>
      </c>
      <c r="AA60" s="23" t="s">
        <v>2032</v>
      </c>
      <c r="AB60" s="23" t="s">
        <v>2058</v>
      </c>
      <c r="AC60" s="23">
        <v>30</v>
      </c>
      <c r="AD60" s="23"/>
      <c r="AE60" s="23"/>
      <c r="AF60" s="23"/>
      <c r="AG60" s="23" t="s">
        <v>492</v>
      </c>
      <c r="AH60" s="23"/>
      <c r="AI60" s="23"/>
      <c r="AJ60" s="23"/>
      <c r="AK60" s="23"/>
      <c r="AL60" s="23"/>
      <c r="AM60" s="23" t="s">
        <v>2213</v>
      </c>
      <c r="AN60" s="23" t="s">
        <v>2214</v>
      </c>
      <c r="AO60" s="23">
        <v>10739.7</v>
      </c>
      <c r="AP60" s="23"/>
      <c r="AQ60" s="23">
        <v>14562.89</v>
      </c>
      <c r="AR60" s="23"/>
      <c r="AS60" s="23"/>
      <c r="AT60" s="23"/>
      <c r="AU60" s="23"/>
      <c r="AV60" s="23"/>
      <c r="AW60" s="23">
        <v>14562.89</v>
      </c>
      <c r="AX60" s="23"/>
      <c r="AY60" s="23"/>
      <c r="AZ60" s="23"/>
      <c r="BA60" s="23" t="s">
        <v>2019</v>
      </c>
      <c r="BB60" s="23">
        <v>264</v>
      </c>
      <c r="BC60" s="23" t="s">
        <v>2061</v>
      </c>
      <c r="BD60" s="23" t="s">
        <v>2097</v>
      </c>
      <c r="BE60" s="23" t="s">
        <v>2215</v>
      </c>
      <c r="BF60" s="23" t="s">
        <v>164</v>
      </c>
      <c r="BG60" s="23" t="s">
        <v>2064</v>
      </c>
      <c r="BH60" s="23" t="s">
        <v>2027</v>
      </c>
      <c r="BI60" s="23" t="s">
        <v>2216</v>
      </c>
      <c r="BJ60" s="23"/>
      <c r="BK60" s="23"/>
      <c r="BL60" s="23"/>
    </row>
    <row r="61" spans="1:64" ht="30" customHeight="1">
      <c r="A61" s="23" t="s">
        <v>495</v>
      </c>
      <c r="B61" s="23" t="s">
        <v>1932</v>
      </c>
      <c r="C61" s="23">
        <v>56</v>
      </c>
      <c r="D61" s="23" t="s">
        <v>499</v>
      </c>
      <c r="E61" s="23" t="s">
        <v>495</v>
      </c>
      <c r="F61" s="23"/>
      <c r="G61" s="23" t="s">
        <v>161</v>
      </c>
      <c r="H61" s="23" t="s">
        <v>164</v>
      </c>
      <c r="I61" s="23"/>
      <c r="J61" s="23" t="s">
        <v>206</v>
      </c>
      <c r="K61" s="23"/>
      <c r="L61" s="23"/>
      <c r="M61" s="23"/>
      <c r="N61" s="23" t="s">
        <v>1933</v>
      </c>
      <c r="O61" s="23" t="s">
        <v>496</v>
      </c>
      <c r="P61" s="23" t="s">
        <v>433</v>
      </c>
      <c r="Q61" s="23" t="s">
        <v>496</v>
      </c>
      <c r="R61" s="23" t="s">
        <v>234</v>
      </c>
      <c r="S61" s="23" t="s">
        <v>434</v>
      </c>
      <c r="T61" s="23"/>
      <c r="U61" s="23">
        <v>2019</v>
      </c>
      <c r="V61" s="23"/>
      <c r="W61" s="23" t="s">
        <v>163</v>
      </c>
      <c r="X61" s="23" t="s">
        <v>2166</v>
      </c>
      <c r="Y61" s="23" t="s">
        <v>2071</v>
      </c>
      <c r="Z61" s="23" t="s">
        <v>280</v>
      </c>
      <c r="AA61" s="23" t="s">
        <v>2032</v>
      </c>
      <c r="AB61" s="23" t="s">
        <v>2058</v>
      </c>
      <c r="AC61" s="23">
        <v>40</v>
      </c>
      <c r="AD61" s="23"/>
      <c r="AE61" s="23"/>
      <c r="AF61" s="23"/>
      <c r="AG61" s="23" t="s">
        <v>497</v>
      </c>
      <c r="AH61" s="23"/>
      <c r="AI61" s="23"/>
      <c r="AJ61" s="23"/>
      <c r="AK61" s="23"/>
      <c r="AL61" s="23"/>
      <c r="AM61" s="23" t="s">
        <v>2217</v>
      </c>
      <c r="AN61" s="23" t="s">
        <v>2218</v>
      </c>
      <c r="AO61" s="23">
        <v>65000</v>
      </c>
      <c r="AP61" s="23"/>
      <c r="AQ61" s="23">
        <v>66655.64</v>
      </c>
      <c r="AR61" s="23"/>
      <c r="AS61" s="23"/>
      <c r="AT61" s="23"/>
      <c r="AU61" s="23"/>
      <c r="AV61" s="23"/>
      <c r="AW61" s="23">
        <v>66655.64</v>
      </c>
      <c r="AX61" s="23"/>
      <c r="AY61" s="23"/>
      <c r="AZ61" s="23"/>
      <c r="BA61" s="23" t="s">
        <v>2168</v>
      </c>
      <c r="BB61" s="23">
        <v>285</v>
      </c>
      <c r="BC61" s="23" t="s">
        <v>2061</v>
      </c>
      <c r="BD61" s="23" t="s">
        <v>2097</v>
      </c>
      <c r="BE61" s="23" t="s">
        <v>2219</v>
      </c>
      <c r="BF61" s="23" t="s">
        <v>164</v>
      </c>
      <c r="BG61" s="23" t="s">
        <v>2118</v>
      </c>
      <c r="BH61" s="23" t="s">
        <v>2027</v>
      </c>
      <c r="BI61" s="23" t="s">
        <v>2220</v>
      </c>
      <c r="BJ61" s="23"/>
      <c r="BK61" s="23"/>
      <c r="BL61" s="23"/>
    </row>
    <row r="62" spans="1:64" ht="30" customHeight="1">
      <c r="A62" s="23" t="s">
        <v>500</v>
      </c>
      <c r="B62" s="23" t="s">
        <v>1932</v>
      </c>
      <c r="C62" s="23">
        <v>57</v>
      </c>
      <c r="D62" s="23" t="s">
        <v>506</v>
      </c>
      <c r="E62" s="23" t="s">
        <v>500</v>
      </c>
      <c r="F62" s="23"/>
      <c r="G62" s="23" t="s">
        <v>161</v>
      </c>
      <c r="H62" s="23" t="s">
        <v>164</v>
      </c>
      <c r="I62" s="23"/>
      <c r="J62" s="23" t="s">
        <v>182</v>
      </c>
      <c r="K62" s="23"/>
      <c r="L62" s="23"/>
      <c r="M62" s="23" t="s">
        <v>246</v>
      </c>
      <c r="N62" s="23" t="s">
        <v>1933</v>
      </c>
      <c r="O62" s="23" t="s">
        <v>501</v>
      </c>
      <c r="P62" s="23" t="s">
        <v>502</v>
      </c>
      <c r="Q62" s="23" t="s">
        <v>501</v>
      </c>
      <c r="R62" s="23" t="s">
        <v>178</v>
      </c>
      <c r="S62" s="23" t="s">
        <v>503</v>
      </c>
      <c r="T62" s="23"/>
      <c r="U62" s="23">
        <v>2022</v>
      </c>
      <c r="V62" s="23"/>
      <c r="W62" s="23" t="s">
        <v>163</v>
      </c>
      <c r="X62" s="23" t="s">
        <v>2221</v>
      </c>
      <c r="Y62" s="23" t="s">
        <v>300</v>
      </c>
      <c r="Z62" s="23" t="s">
        <v>280</v>
      </c>
      <c r="AA62" s="23" t="s">
        <v>2032</v>
      </c>
      <c r="AB62" s="23" t="s">
        <v>2058</v>
      </c>
      <c r="AC62" s="23">
        <v>40</v>
      </c>
      <c r="AD62" s="23"/>
      <c r="AE62" s="23"/>
      <c r="AF62" s="23"/>
      <c r="AG62" s="23" t="s">
        <v>504</v>
      </c>
      <c r="AH62" s="23"/>
      <c r="AI62" s="23"/>
      <c r="AJ62" s="23"/>
      <c r="AK62" s="23"/>
      <c r="AL62" s="23"/>
      <c r="AM62" s="23" t="s">
        <v>2222</v>
      </c>
      <c r="AN62" s="23" t="s">
        <v>2223</v>
      </c>
      <c r="AO62" s="23">
        <v>32384.49</v>
      </c>
      <c r="AP62" s="23"/>
      <c r="AQ62" s="23">
        <v>55065.86</v>
      </c>
      <c r="AR62" s="23"/>
      <c r="AS62" s="23"/>
      <c r="AT62" s="23"/>
      <c r="AU62" s="23"/>
      <c r="AV62" s="23"/>
      <c r="AW62" s="23">
        <v>55065.86</v>
      </c>
      <c r="AX62" s="23"/>
      <c r="AY62" s="23"/>
      <c r="AZ62" s="23"/>
      <c r="BA62" s="23" t="s">
        <v>2224</v>
      </c>
      <c r="BB62" s="23">
        <v>241</v>
      </c>
      <c r="BC62" s="23" t="s">
        <v>2061</v>
      </c>
      <c r="BD62" s="23" t="s">
        <v>2097</v>
      </c>
      <c r="BE62" s="23" t="s">
        <v>2225</v>
      </c>
      <c r="BF62" s="23" t="s">
        <v>164</v>
      </c>
      <c r="BG62" s="23" t="s">
        <v>2064</v>
      </c>
      <c r="BH62" s="23" t="s">
        <v>2027</v>
      </c>
      <c r="BI62" s="23" t="s">
        <v>2226</v>
      </c>
      <c r="BJ62" s="23"/>
      <c r="BK62" s="23"/>
      <c r="BL62" s="23"/>
    </row>
    <row r="63" spans="1:64" ht="30" customHeight="1">
      <c r="A63" s="23" t="s">
        <v>507</v>
      </c>
      <c r="B63" s="23" t="s">
        <v>1932</v>
      </c>
      <c r="C63" s="23">
        <v>58</v>
      </c>
      <c r="D63" s="23" t="s">
        <v>512</v>
      </c>
      <c r="E63" s="23" t="s">
        <v>507</v>
      </c>
      <c r="F63" s="23"/>
      <c r="G63" s="23" t="s">
        <v>161</v>
      </c>
      <c r="H63" s="23" t="s">
        <v>164</v>
      </c>
      <c r="I63" s="23"/>
      <c r="J63" s="23" t="s">
        <v>182</v>
      </c>
      <c r="K63" s="23"/>
      <c r="L63" s="23"/>
      <c r="M63" s="23" t="s">
        <v>246</v>
      </c>
      <c r="N63" s="23" t="s">
        <v>1933</v>
      </c>
      <c r="O63" s="23" t="s">
        <v>508</v>
      </c>
      <c r="P63" s="23" t="s">
        <v>509</v>
      </c>
      <c r="Q63" s="23" t="s">
        <v>508</v>
      </c>
      <c r="R63" s="23" t="s">
        <v>178</v>
      </c>
      <c r="S63" s="23" t="s">
        <v>503</v>
      </c>
      <c r="T63" s="23"/>
      <c r="U63" s="23">
        <v>2022</v>
      </c>
      <c r="V63" s="23"/>
      <c r="W63" s="23" t="s">
        <v>163</v>
      </c>
      <c r="X63" s="23" t="s">
        <v>2221</v>
      </c>
      <c r="Y63" s="23" t="s">
        <v>300</v>
      </c>
      <c r="Z63" s="23" t="s">
        <v>280</v>
      </c>
      <c r="AA63" s="23" t="s">
        <v>2032</v>
      </c>
      <c r="AB63" s="23" t="s">
        <v>2058</v>
      </c>
      <c r="AC63" s="23">
        <v>40</v>
      </c>
      <c r="AD63" s="23"/>
      <c r="AE63" s="23"/>
      <c r="AF63" s="23"/>
      <c r="AG63" s="23" t="s">
        <v>510</v>
      </c>
      <c r="AH63" s="23"/>
      <c r="AI63" s="23"/>
      <c r="AJ63" s="23"/>
      <c r="AK63" s="23"/>
      <c r="AL63" s="23"/>
      <c r="AM63" s="23" t="s">
        <v>2227</v>
      </c>
      <c r="AN63" s="23" t="s">
        <v>2089</v>
      </c>
      <c r="AO63" s="23"/>
      <c r="AP63" s="23"/>
      <c r="AQ63" s="23">
        <v>139191.76999999999</v>
      </c>
      <c r="AR63" s="23"/>
      <c r="AS63" s="23"/>
      <c r="AT63" s="23"/>
      <c r="AU63" s="23"/>
      <c r="AV63" s="23"/>
      <c r="AW63" s="23">
        <v>139191.76999999999</v>
      </c>
      <c r="AX63" s="23"/>
      <c r="AY63" s="23"/>
      <c r="AZ63" s="23"/>
      <c r="BA63" s="23" t="s">
        <v>2130</v>
      </c>
      <c r="BB63" s="23">
        <v>222</v>
      </c>
      <c r="BC63" s="23" t="s">
        <v>2061</v>
      </c>
      <c r="BD63" s="23" t="s">
        <v>2097</v>
      </c>
      <c r="BE63" s="23" t="s">
        <v>2228</v>
      </c>
      <c r="BF63" s="23" t="s">
        <v>164</v>
      </c>
      <c r="BG63" s="23" t="s">
        <v>2064</v>
      </c>
      <c r="BH63" s="23" t="s">
        <v>2027</v>
      </c>
      <c r="BI63" s="23" t="s">
        <v>2229</v>
      </c>
      <c r="BJ63" s="23"/>
      <c r="BK63" s="23" t="s">
        <v>2230</v>
      </c>
      <c r="BL63" s="23"/>
    </row>
    <row r="64" spans="1:64" ht="30" customHeight="1">
      <c r="A64" s="23" t="s">
        <v>513</v>
      </c>
      <c r="B64" s="23" t="s">
        <v>1932</v>
      </c>
      <c r="C64" s="23">
        <v>59</v>
      </c>
      <c r="D64" s="23" t="s">
        <v>519</v>
      </c>
      <c r="E64" s="23" t="s">
        <v>513</v>
      </c>
      <c r="F64" s="23"/>
      <c r="G64" s="23" t="s">
        <v>161</v>
      </c>
      <c r="H64" s="23" t="s">
        <v>164</v>
      </c>
      <c r="I64" s="23"/>
      <c r="J64" s="23" t="s">
        <v>182</v>
      </c>
      <c r="K64" s="23"/>
      <c r="L64" s="23"/>
      <c r="M64" s="23" t="s">
        <v>246</v>
      </c>
      <c r="N64" s="23" t="s">
        <v>1933</v>
      </c>
      <c r="O64" s="23" t="s">
        <v>514</v>
      </c>
      <c r="P64" s="23" t="s">
        <v>515</v>
      </c>
      <c r="Q64" s="23" t="s">
        <v>514</v>
      </c>
      <c r="R64" s="23" t="s">
        <v>178</v>
      </c>
      <c r="S64" s="23" t="s">
        <v>516</v>
      </c>
      <c r="T64" s="23"/>
      <c r="U64" s="23">
        <v>2022</v>
      </c>
      <c r="V64" s="23"/>
      <c r="W64" s="23" t="s">
        <v>163</v>
      </c>
      <c r="X64" s="23" t="s">
        <v>2221</v>
      </c>
      <c r="Y64" s="23" t="s">
        <v>2071</v>
      </c>
      <c r="Z64" s="23" t="s">
        <v>280</v>
      </c>
      <c r="AA64" s="23" t="s">
        <v>2032</v>
      </c>
      <c r="AB64" s="23" t="s">
        <v>2058</v>
      </c>
      <c r="AC64" s="23">
        <v>30</v>
      </c>
      <c r="AD64" s="23"/>
      <c r="AE64" s="23"/>
      <c r="AF64" s="23"/>
      <c r="AG64" s="23" t="s">
        <v>517</v>
      </c>
      <c r="AH64" s="23"/>
      <c r="AI64" s="23"/>
      <c r="AJ64" s="23"/>
      <c r="AK64" s="23"/>
      <c r="AL64" s="23"/>
      <c r="AM64" s="23" t="s">
        <v>2231</v>
      </c>
      <c r="AN64" s="23" t="s">
        <v>2232</v>
      </c>
      <c r="AO64" s="23">
        <v>18421.18</v>
      </c>
      <c r="AP64" s="23"/>
      <c r="AQ64" s="23">
        <v>8806.6200000000008</v>
      </c>
      <c r="AR64" s="23"/>
      <c r="AS64" s="23"/>
      <c r="AT64" s="23"/>
      <c r="AU64" s="23"/>
      <c r="AV64" s="23"/>
      <c r="AW64" s="23">
        <v>8806.6200000000008</v>
      </c>
      <c r="AX64" s="23"/>
      <c r="AY64" s="23"/>
      <c r="AZ64" s="23"/>
      <c r="BA64" s="23" t="s">
        <v>2141</v>
      </c>
      <c r="BB64" s="23">
        <v>663</v>
      </c>
      <c r="BC64" s="23" t="s">
        <v>2061</v>
      </c>
      <c r="BD64" s="23" t="s">
        <v>2097</v>
      </c>
      <c r="BE64" s="23" t="s">
        <v>2233</v>
      </c>
      <c r="BF64" s="23" t="s">
        <v>164</v>
      </c>
      <c r="BG64" s="23" t="s">
        <v>2077</v>
      </c>
      <c r="BH64" s="23" t="s">
        <v>2027</v>
      </c>
      <c r="BI64" s="23" t="s">
        <v>2234</v>
      </c>
      <c r="BJ64" s="23"/>
      <c r="BK64" s="23"/>
      <c r="BL64" s="23"/>
    </row>
    <row r="65" spans="1:64" ht="30" customHeight="1">
      <c r="A65" s="23" t="s">
        <v>520</v>
      </c>
      <c r="B65" s="23" t="s">
        <v>1932</v>
      </c>
      <c r="C65" s="23">
        <v>60</v>
      </c>
      <c r="D65" s="23" t="s">
        <v>525</v>
      </c>
      <c r="E65" s="23" t="s">
        <v>520</v>
      </c>
      <c r="F65" s="23"/>
      <c r="G65" s="23" t="s">
        <v>161</v>
      </c>
      <c r="H65" s="23" t="s">
        <v>164</v>
      </c>
      <c r="I65" s="23"/>
      <c r="J65" s="23" t="s">
        <v>182</v>
      </c>
      <c r="K65" s="23"/>
      <c r="L65" s="23"/>
      <c r="M65" s="23" t="s">
        <v>246</v>
      </c>
      <c r="N65" s="23" t="s">
        <v>1933</v>
      </c>
      <c r="O65" s="23" t="s">
        <v>521</v>
      </c>
      <c r="P65" s="23" t="s">
        <v>522</v>
      </c>
      <c r="Q65" s="23" t="s">
        <v>521</v>
      </c>
      <c r="R65" s="23" t="s">
        <v>178</v>
      </c>
      <c r="S65" s="23" t="s">
        <v>461</v>
      </c>
      <c r="T65" s="23"/>
      <c r="U65" s="23">
        <v>2021</v>
      </c>
      <c r="V65" s="23"/>
      <c r="W65" s="23" t="s">
        <v>163</v>
      </c>
      <c r="X65" s="23" t="s">
        <v>2221</v>
      </c>
      <c r="Y65" s="23" t="s">
        <v>300</v>
      </c>
      <c r="Z65" s="23" t="s">
        <v>280</v>
      </c>
      <c r="AA65" s="23" t="s">
        <v>2032</v>
      </c>
      <c r="AB65" s="23" t="s">
        <v>2058</v>
      </c>
      <c r="AC65" s="23">
        <v>30</v>
      </c>
      <c r="AD65" s="23"/>
      <c r="AE65" s="23"/>
      <c r="AF65" s="23"/>
      <c r="AG65" s="23" t="s">
        <v>523</v>
      </c>
      <c r="AH65" s="23"/>
      <c r="AI65" s="23"/>
      <c r="AJ65" s="23"/>
      <c r="AK65" s="23"/>
      <c r="AL65" s="23"/>
      <c r="AM65" s="23" t="s">
        <v>2235</v>
      </c>
      <c r="AN65" s="23" t="s">
        <v>2236</v>
      </c>
      <c r="AO65" s="23">
        <v>32021.55</v>
      </c>
      <c r="AP65" s="23"/>
      <c r="AQ65" s="23">
        <v>38153.980000000003</v>
      </c>
      <c r="AR65" s="23"/>
      <c r="AS65" s="23"/>
      <c r="AT65" s="23"/>
      <c r="AU65" s="23"/>
      <c r="AV65" s="23"/>
      <c r="AW65" s="23">
        <v>38153.980000000003</v>
      </c>
      <c r="AX65" s="23"/>
      <c r="AY65" s="23"/>
      <c r="AZ65" s="23"/>
      <c r="BA65" s="23" t="s">
        <v>2236</v>
      </c>
      <c r="BB65" s="23">
        <v>232</v>
      </c>
      <c r="BC65" s="23" t="s">
        <v>2061</v>
      </c>
      <c r="BD65" s="23" t="s">
        <v>2097</v>
      </c>
      <c r="BE65" s="23" t="s">
        <v>2237</v>
      </c>
      <c r="BF65" s="23" t="s">
        <v>164</v>
      </c>
      <c r="BG65" s="23" t="s">
        <v>2064</v>
      </c>
      <c r="BH65" s="23" t="s">
        <v>2027</v>
      </c>
      <c r="BI65" s="23" t="s">
        <v>2238</v>
      </c>
      <c r="BJ65" s="23"/>
      <c r="BK65" s="23"/>
      <c r="BL65" s="23"/>
    </row>
    <row r="66" spans="1:64" ht="30" customHeight="1">
      <c r="A66" s="23" t="s">
        <v>526</v>
      </c>
      <c r="B66" s="23" t="s">
        <v>1932</v>
      </c>
      <c r="C66" s="23">
        <v>61</v>
      </c>
      <c r="D66" s="23" t="s">
        <v>531</v>
      </c>
      <c r="E66" s="23" t="s">
        <v>526</v>
      </c>
      <c r="F66" s="23"/>
      <c r="G66" s="23" t="s">
        <v>161</v>
      </c>
      <c r="H66" s="23" t="s">
        <v>164</v>
      </c>
      <c r="I66" s="23"/>
      <c r="J66" s="23" t="s">
        <v>446</v>
      </c>
      <c r="K66" s="23"/>
      <c r="L66" s="23"/>
      <c r="M66" s="23"/>
      <c r="N66" s="23" t="s">
        <v>1933</v>
      </c>
      <c r="O66" s="23" t="s">
        <v>527</v>
      </c>
      <c r="P66" s="23" t="s">
        <v>528</v>
      </c>
      <c r="Q66" s="23" t="s">
        <v>527</v>
      </c>
      <c r="R66" s="23" t="s">
        <v>450</v>
      </c>
      <c r="S66" s="23" t="s">
        <v>529</v>
      </c>
      <c r="T66" s="23"/>
      <c r="U66" s="23">
        <v>2019</v>
      </c>
      <c r="V66" s="23"/>
      <c r="W66" s="23" t="s">
        <v>163</v>
      </c>
      <c r="X66" s="23" t="s">
        <v>2239</v>
      </c>
      <c r="Y66" s="23" t="s">
        <v>162</v>
      </c>
      <c r="Z66" s="23" t="s">
        <v>162</v>
      </c>
      <c r="AA66" s="23" t="s">
        <v>1934</v>
      </c>
      <c r="AB66" s="23" t="s">
        <v>1935</v>
      </c>
      <c r="AC66" s="23"/>
      <c r="AD66" s="23"/>
      <c r="AE66" s="23"/>
      <c r="AF66" s="23"/>
      <c r="AG66" s="23"/>
      <c r="AH66" s="23"/>
      <c r="AI66" s="23"/>
      <c r="AJ66" s="23"/>
      <c r="AK66" s="23"/>
      <c r="AL66" s="23"/>
      <c r="AM66" s="23" t="s">
        <v>2240</v>
      </c>
      <c r="AN66" s="23" t="s">
        <v>2092</v>
      </c>
      <c r="AO66" s="23">
        <v>38850.050000000003</v>
      </c>
      <c r="AP66" s="23"/>
      <c r="AQ66" s="23">
        <v>32320.18</v>
      </c>
      <c r="AR66" s="23"/>
      <c r="AS66" s="23"/>
      <c r="AT66" s="23"/>
      <c r="AU66" s="23"/>
      <c r="AV66" s="23"/>
      <c r="AW66" s="23"/>
      <c r="AX66" s="23"/>
      <c r="AY66" s="23"/>
      <c r="AZ66" s="23"/>
      <c r="BA66" s="23" t="s">
        <v>2241</v>
      </c>
      <c r="BB66" s="23">
        <v>267</v>
      </c>
      <c r="BC66" s="23" t="s">
        <v>1935</v>
      </c>
      <c r="BD66" s="23"/>
      <c r="BE66" s="23" t="s">
        <v>2242</v>
      </c>
      <c r="BF66" s="23" t="s">
        <v>164</v>
      </c>
      <c r="BG66" s="23" t="s">
        <v>1940</v>
      </c>
      <c r="BH66" s="23" t="s">
        <v>2027</v>
      </c>
      <c r="BI66" s="23" t="s">
        <v>2243</v>
      </c>
      <c r="BJ66" s="23"/>
      <c r="BK66" s="23"/>
      <c r="BL66" s="23"/>
    </row>
    <row r="67" spans="1:64" ht="30" customHeight="1">
      <c r="A67" s="23" t="s">
        <v>532</v>
      </c>
      <c r="B67" s="23" t="s">
        <v>1932</v>
      </c>
      <c r="C67" s="23">
        <v>62</v>
      </c>
      <c r="D67" s="23" t="s">
        <v>537</v>
      </c>
      <c r="E67" s="23" t="s">
        <v>532</v>
      </c>
      <c r="F67" s="23"/>
      <c r="G67" s="23" t="s">
        <v>161</v>
      </c>
      <c r="H67" s="23" t="s">
        <v>164</v>
      </c>
      <c r="I67" s="23"/>
      <c r="J67" s="23" t="s">
        <v>182</v>
      </c>
      <c r="K67" s="23"/>
      <c r="L67" s="23"/>
      <c r="M67" s="23" t="s">
        <v>380</v>
      </c>
      <c r="N67" s="23" t="s">
        <v>1933</v>
      </c>
      <c r="O67" s="23" t="s">
        <v>533</v>
      </c>
      <c r="P67" s="23" t="s">
        <v>534</v>
      </c>
      <c r="Q67" s="23" t="s">
        <v>533</v>
      </c>
      <c r="R67" s="23" t="s">
        <v>178</v>
      </c>
      <c r="S67" s="23" t="s">
        <v>401</v>
      </c>
      <c r="T67" s="23"/>
      <c r="U67" s="23">
        <v>2018</v>
      </c>
      <c r="V67" s="23"/>
      <c r="W67" s="23" t="s">
        <v>163</v>
      </c>
      <c r="X67" s="23" t="s">
        <v>2151</v>
      </c>
      <c r="Y67" s="23" t="s">
        <v>300</v>
      </c>
      <c r="Z67" s="23" t="s">
        <v>280</v>
      </c>
      <c r="AA67" s="23" t="s">
        <v>2032</v>
      </c>
      <c r="AB67" s="23" t="s">
        <v>2114</v>
      </c>
      <c r="AC67" s="23">
        <v>60</v>
      </c>
      <c r="AD67" s="23" t="s">
        <v>1149</v>
      </c>
      <c r="AE67" s="23"/>
      <c r="AF67" s="23"/>
      <c r="AG67" s="23" t="s">
        <v>535</v>
      </c>
      <c r="AH67" s="23"/>
      <c r="AI67" s="23"/>
      <c r="AJ67" s="23"/>
      <c r="AK67" s="23"/>
      <c r="AL67" s="23"/>
      <c r="AM67" s="23" t="s">
        <v>2244</v>
      </c>
      <c r="AN67" s="23" t="s">
        <v>2245</v>
      </c>
      <c r="AO67" s="23">
        <v>29289.47</v>
      </c>
      <c r="AP67" s="23"/>
      <c r="AQ67" s="23">
        <v>39654.31</v>
      </c>
      <c r="AR67" s="23"/>
      <c r="AS67" s="23"/>
      <c r="AT67" s="23"/>
      <c r="AU67" s="23"/>
      <c r="AV67" s="23"/>
      <c r="AW67" s="23">
        <v>39654.31</v>
      </c>
      <c r="AX67" s="23"/>
      <c r="AY67" s="23"/>
      <c r="AZ67" s="23"/>
      <c r="BA67" s="23" t="s">
        <v>2245</v>
      </c>
      <c r="BB67" s="23">
        <v>49</v>
      </c>
      <c r="BC67" s="23" t="s">
        <v>2061</v>
      </c>
      <c r="BD67" s="23" t="s">
        <v>2062</v>
      </c>
      <c r="BE67" s="23" t="s">
        <v>2246</v>
      </c>
      <c r="BF67" s="23" t="s">
        <v>164</v>
      </c>
      <c r="BG67" s="23" t="s">
        <v>2064</v>
      </c>
      <c r="BH67" s="23" t="s">
        <v>2027</v>
      </c>
      <c r="BI67" s="23" t="s">
        <v>2247</v>
      </c>
      <c r="BJ67" s="23" t="s">
        <v>2120</v>
      </c>
      <c r="BK67" s="23" t="s">
        <v>2248</v>
      </c>
      <c r="BL67" s="23"/>
    </row>
    <row r="68" spans="1:64" ht="30" customHeight="1">
      <c r="A68" s="23" t="s">
        <v>538</v>
      </c>
      <c r="B68" s="23" t="s">
        <v>1932</v>
      </c>
      <c r="C68" s="23">
        <v>63</v>
      </c>
      <c r="D68" s="23" t="s">
        <v>543</v>
      </c>
      <c r="E68" s="23" t="s">
        <v>544</v>
      </c>
      <c r="F68" s="23"/>
      <c r="G68" s="23" t="s">
        <v>161</v>
      </c>
      <c r="H68" s="23" t="s">
        <v>164</v>
      </c>
      <c r="I68" s="23"/>
      <c r="J68" s="23" t="s">
        <v>206</v>
      </c>
      <c r="K68" s="23"/>
      <c r="L68" s="23"/>
      <c r="M68" s="23"/>
      <c r="N68" s="23" t="s">
        <v>1933</v>
      </c>
      <c r="O68" s="23" t="s">
        <v>539</v>
      </c>
      <c r="P68" s="23" t="s">
        <v>540</v>
      </c>
      <c r="Q68" s="23" t="s">
        <v>539</v>
      </c>
      <c r="R68" s="23" t="s">
        <v>178</v>
      </c>
      <c r="S68" s="23" t="s">
        <v>541</v>
      </c>
      <c r="T68" s="23"/>
      <c r="U68" s="23">
        <v>2022</v>
      </c>
      <c r="V68" s="23"/>
      <c r="W68" s="23" t="s">
        <v>163</v>
      </c>
      <c r="X68" s="23" t="s">
        <v>2249</v>
      </c>
      <c r="Y68" s="23" t="s">
        <v>162</v>
      </c>
      <c r="Z68" s="23" t="s">
        <v>162</v>
      </c>
      <c r="AA68" s="23" t="s">
        <v>1934</v>
      </c>
      <c r="AB68" s="23" t="s">
        <v>1935</v>
      </c>
      <c r="AC68" s="23"/>
      <c r="AD68" s="23"/>
      <c r="AE68" s="23"/>
      <c r="AF68" s="23"/>
      <c r="AG68" s="23"/>
      <c r="AH68" s="23"/>
      <c r="AI68" s="23"/>
      <c r="AJ68" s="23"/>
      <c r="AK68" s="23"/>
      <c r="AL68" s="23"/>
      <c r="AM68" s="23" t="s">
        <v>2250</v>
      </c>
      <c r="AN68" s="23"/>
      <c r="AO68" s="23">
        <v>261849.65</v>
      </c>
      <c r="AP68" s="23"/>
      <c r="AQ68" s="23">
        <v>14378.33</v>
      </c>
      <c r="AR68" s="23"/>
      <c r="AS68" s="23"/>
      <c r="AT68" s="23"/>
      <c r="AU68" s="23"/>
      <c r="AV68" s="23"/>
      <c r="AW68" s="23"/>
      <c r="AX68" s="23"/>
      <c r="AY68" s="23"/>
      <c r="AZ68" s="23"/>
      <c r="BA68" s="23" t="s">
        <v>1946</v>
      </c>
      <c r="BB68" s="23">
        <v>804</v>
      </c>
      <c r="BC68" s="23" t="s">
        <v>1935</v>
      </c>
      <c r="BD68" s="23"/>
      <c r="BE68" s="23" t="s">
        <v>2251</v>
      </c>
      <c r="BF68" s="23" t="s">
        <v>164</v>
      </c>
      <c r="BG68" s="23" t="s">
        <v>1940</v>
      </c>
      <c r="BH68" s="23" t="s">
        <v>2027</v>
      </c>
      <c r="BI68" s="23" t="s">
        <v>2252</v>
      </c>
      <c r="BJ68" s="23"/>
      <c r="BK68" s="23" t="s">
        <v>2253</v>
      </c>
      <c r="BL68" s="23"/>
    </row>
    <row r="69" spans="1:64" ht="30" customHeight="1">
      <c r="A69" s="23" t="s">
        <v>545</v>
      </c>
      <c r="B69" s="23" t="s">
        <v>1932</v>
      </c>
      <c r="C69" s="23">
        <v>64</v>
      </c>
      <c r="D69" s="23" t="s">
        <v>550</v>
      </c>
      <c r="E69" s="23" t="s">
        <v>545</v>
      </c>
      <c r="F69" s="23"/>
      <c r="G69" s="23" t="s">
        <v>161</v>
      </c>
      <c r="H69" s="23" t="s">
        <v>238</v>
      </c>
      <c r="I69" s="23"/>
      <c r="J69" s="23" t="s">
        <v>282</v>
      </c>
      <c r="K69" s="23"/>
      <c r="L69" s="23"/>
      <c r="M69" s="23" t="s">
        <v>246</v>
      </c>
      <c r="N69" s="23" t="s">
        <v>1933</v>
      </c>
      <c r="O69" s="23" t="s">
        <v>546</v>
      </c>
      <c r="P69" s="23" t="s">
        <v>547</v>
      </c>
      <c r="Q69" s="23" t="s">
        <v>546</v>
      </c>
      <c r="R69" s="23" t="s">
        <v>242</v>
      </c>
      <c r="S69" s="23"/>
      <c r="T69" s="23" t="s">
        <v>2254</v>
      </c>
      <c r="U69" s="23">
        <v>2025</v>
      </c>
      <c r="V69" s="23"/>
      <c r="W69" s="23" t="s">
        <v>163</v>
      </c>
      <c r="X69" s="23" t="s">
        <v>163</v>
      </c>
      <c r="Y69" s="23" t="s">
        <v>300</v>
      </c>
      <c r="Z69" s="23" t="s">
        <v>280</v>
      </c>
      <c r="AA69" s="23" t="s">
        <v>2032</v>
      </c>
      <c r="AB69" s="23" t="s">
        <v>2058</v>
      </c>
      <c r="AC69" s="23">
        <v>25</v>
      </c>
      <c r="AD69" s="23" t="s">
        <v>1129</v>
      </c>
      <c r="AE69" s="23"/>
      <c r="AF69" s="23"/>
      <c r="AG69" s="23" t="s">
        <v>548</v>
      </c>
      <c r="AH69" s="23"/>
      <c r="AI69" s="23"/>
      <c r="AJ69" s="23"/>
      <c r="AK69" s="23"/>
      <c r="AL69" s="23"/>
      <c r="AM69" s="23" t="s">
        <v>2255</v>
      </c>
      <c r="AN69" s="23" t="s">
        <v>2256</v>
      </c>
      <c r="AO69" s="23">
        <v>13113.48</v>
      </c>
      <c r="AP69" s="23"/>
      <c r="AQ69" s="23">
        <v>13113.48</v>
      </c>
      <c r="AR69" s="23"/>
      <c r="AS69" s="23"/>
      <c r="AT69" s="23"/>
      <c r="AU69" s="23"/>
      <c r="AV69" s="23"/>
      <c r="AW69" s="23">
        <v>13113.48</v>
      </c>
      <c r="AX69" s="23"/>
      <c r="AY69" s="23"/>
      <c r="AZ69" s="23"/>
      <c r="BA69" s="23" t="s">
        <v>2019</v>
      </c>
      <c r="BB69" s="23">
        <v>264</v>
      </c>
      <c r="BC69" s="23" t="s">
        <v>2061</v>
      </c>
      <c r="BD69" s="23" t="s">
        <v>2062</v>
      </c>
      <c r="BE69" s="23" t="s">
        <v>2257</v>
      </c>
      <c r="BF69" s="23" t="s">
        <v>238</v>
      </c>
      <c r="BG69" s="23" t="s">
        <v>2064</v>
      </c>
      <c r="BH69" s="23" t="s">
        <v>2027</v>
      </c>
      <c r="BI69" s="23" t="s">
        <v>545</v>
      </c>
      <c r="BJ69" s="23" t="s">
        <v>2066</v>
      </c>
      <c r="BK69" s="23"/>
      <c r="BL69" s="23"/>
    </row>
    <row r="70" spans="1:64" ht="30" customHeight="1">
      <c r="A70" s="23" t="s">
        <v>551</v>
      </c>
      <c r="B70" s="23" t="s">
        <v>1932</v>
      </c>
      <c r="C70" s="23">
        <v>65</v>
      </c>
      <c r="D70" s="23" t="s">
        <v>557</v>
      </c>
      <c r="E70" s="23" t="s">
        <v>551</v>
      </c>
      <c r="F70" s="23"/>
      <c r="G70" s="23" t="s">
        <v>161</v>
      </c>
      <c r="H70" s="23" t="s">
        <v>164</v>
      </c>
      <c r="I70" s="23"/>
      <c r="J70" s="23" t="s">
        <v>446</v>
      </c>
      <c r="K70" s="23"/>
      <c r="L70" s="23"/>
      <c r="M70" s="23" t="s">
        <v>380</v>
      </c>
      <c r="N70" s="23" t="s">
        <v>1933</v>
      </c>
      <c r="O70" s="23" t="s">
        <v>552</v>
      </c>
      <c r="P70" s="23" t="s">
        <v>553</v>
      </c>
      <c r="Q70" s="23" t="s">
        <v>552</v>
      </c>
      <c r="R70" s="23" t="s">
        <v>450</v>
      </c>
      <c r="S70" s="23" t="s">
        <v>554</v>
      </c>
      <c r="T70" s="23"/>
      <c r="U70" s="23">
        <v>2019</v>
      </c>
      <c r="V70" s="23"/>
      <c r="W70" s="23" t="s">
        <v>163</v>
      </c>
      <c r="X70" s="23" t="s">
        <v>2258</v>
      </c>
      <c r="Y70" s="23" t="s">
        <v>2071</v>
      </c>
      <c r="Z70" s="23" t="s">
        <v>280</v>
      </c>
      <c r="AA70" s="23" t="s">
        <v>2032</v>
      </c>
      <c r="AB70" s="23" t="s">
        <v>2208</v>
      </c>
      <c r="AC70" s="23">
        <v>70</v>
      </c>
      <c r="AD70" s="23" t="s">
        <v>1149</v>
      </c>
      <c r="AE70" s="23"/>
      <c r="AF70" s="23"/>
      <c r="AG70" s="23" t="s">
        <v>555</v>
      </c>
      <c r="AH70" s="23"/>
      <c r="AI70" s="23"/>
      <c r="AJ70" s="23"/>
      <c r="AK70" s="23"/>
      <c r="AL70" s="23"/>
      <c r="AM70" s="23" t="s">
        <v>2259</v>
      </c>
      <c r="AN70" s="23" t="s">
        <v>2260</v>
      </c>
      <c r="AO70" s="23">
        <v>80298.47</v>
      </c>
      <c r="AP70" s="23"/>
      <c r="AQ70" s="23">
        <v>56288.38</v>
      </c>
      <c r="AR70" s="23"/>
      <c r="AS70" s="23"/>
      <c r="AT70" s="23"/>
      <c r="AU70" s="23"/>
      <c r="AV70" s="23"/>
      <c r="AW70" s="23">
        <v>56288.38</v>
      </c>
      <c r="AX70" s="23"/>
      <c r="AY70" s="23"/>
      <c r="AZ70" s="23"/>
      <c r="BA70" s="23" t="s">
        <v>1938</v>
      </c>
      <c r="BB70" s="23">
        <v>261</v>
      </c>
      <c r="BC70" s="23" t="s">
        <v>2061</v>
      </c>
      <c r="BD70" s="23" t="s">
        <v>2062</v>
      </c>
      <c r="BE70" s="23" t="s">
        <v>2261</v>
      </c>
      <c r="BF70" s="23" t="s">
        <v>164</v>
      </c>
      <c r="BG70" s="23" t="s">
        <v>2118</v>
      </c>
      <c r="BH70" s="23" t="s">
        <v>2262</v>
      </c>
      <c r="BI70" s="23" t="s">
        <v>2263</v>
      </c>
      <c r="BJ70" s="23" t="s">
        <v>2120</v>
      </c>
      <c r="BK70" s="23"/>
      <c r="BL70" s="23"/>
    </row>
    <row r="71" spans="1:64" ht="30" customHeight="1">
      <c r="A71" s="23" t="s">
        <v>558</v>
      </c>
      <c r="B71" s="23" t="s">
        <v>1932</v>
      </c>
      <c r="C71" s="23">
        <v>66</v>
      </c>
      <c r="D71" s="23" t="s">
        <v>563</v>
      </c>
      <c r="E71" s="23" t="s">
        <v>558</v>
      </c>
      <c r="F71" s="23"/>
      <c r="G71" s="23" t="s">
        <v>161</v>
      </c>
      <c r="H71" s="23" t="s">
        <v>238</v>
      </c>
      <c r="I71" s="23"/>
      <c r="J71" s="23" t="s">
        <v>182</v>
      </c>
      <c r="K71" s="23"/>
      <c r="L71" s="23"/>
      <c r="M71" s="23"/>
      <c r="N71" s="23" t="s">
        <v>1933</v>
      </c>
      <c r="O71" s="23" t="s">
        <v>559</v>
      </c>
      <c r="P71" s="23" t="s">
        <v>240</v>
      </c>
      <c r="Q71" s="23" t="s">
        <v>559</v>
      </c>
      <c r="R71" s="23" t="s">
        <v>303</v>
      </c>
      <c r="S71" s="23" t="s">
        <v>560</v>
      </c>
      <c r="T71" s="23"/>
      <c r="U71" s="23">
        <v>2018</v>
      </c>
      <c r="V71" s="23"/>
      <c r="W71" s="23" t="s">
        <v>163</v>
      </c>
      <c r="X71" s="23" t="s">
        <v>163</v>
      </c>
      <c r="Y71" s="23" t="s">
        <v>300</v>
      </c>
      <c r="Z71" s="23" t="s">
        <v>280</v>
      </c>
      <c r="AA71" s="23" t="s">
        <v>2032</v>
      </c>
      <c r="AB71" s="23" t="s">
        <v>2058</v>
      </c>
      <c r="AC71" s="23">
        <v>40</v>
      </c>
      <c r="AD71" s="23"/>
      <c r="AE71" s="23"/>
      <c r="AF71" s="23"/>
      <c r="AG71" s="23" t="s">
        <v>561</v>
      </c>
      <c r="AH71" s="23"/>
      <c r="AI71" s="23"/>
      <c r="AJ71" s="23"/>
      <c r="AK71" s="23"/>
      <c r="AL71" s="23"/>
      <c r="AM71" s="23" t="s">
        <v>2264</v>
      </c>
      <c r="AN71" s="23" t="s">
        <v>2107</v>
      </c>
      <c r="AO71" s="23">
        <v>293379.51</v>
      </c>
      <c r="AP71" s="23"/>
      <c r="AQ71" s="23"/>
      <c r="AR71" s="23"/>
      <c r="AS71" s="23"/>
      <c r="AT71" s="23"/>
      <c r="AU71" s="23"/>
      <c r="AV71" s="23"/>
      <c r="AW71" s="23"/>
      <c r="AX71" s="23"/>
      <c r="AY71" s="23"/>
      <c r="AZ71" s="23"/>
      <c r="BA71" s="23" t="s">
        <v>2093</v>
      </c>
      <c r="BB71" s="23">
        <v>768</v>
      </c>
      <c r="BC71" s="23" t="s">
        <v>2061</v>
      </c>
      <c r="BD71" s="23" t="s">
        <v>2075</v>
      </c>
      <c r="BE71" s="23" t="s">
        <v>2265</v>
      </c>
      <c r="BF71" s="23" t="s">
        <v>238</v>
      </c>
      <c r="BG71" s="23" t="s">
        <v>2064</v>
      </c>
      <c r="BH71" s="23" t="s">
        <v>2266</v>
      </c>
      <c r="BI71" s="23" t="s">
        <v>2267</v>
      </c>
      <c r="BJ71" s="23"/>
      <c r="BK71" s="23"/>
      <c r="BL71" s="23"/>
    </row>
    <row r="72" spans="1:64" ht="30" customHeight="1">
      <c r="A72" s="23" t="s">
        <v>564</v>
      </c>
      <c r="B72" s="23" t="s">
        <v>1932</v>
      </c>
      <c r="C72" s="23">
        <v>67</v>
      </c>
      <c r="D72" s="23" t="s">
        <v>568</v>
      </c>
      <c r="E72" s="23" t="s">
        <v>564</v>
      </c>
      <c r="F72" s="23"/>
      <c r="G72" s="23" t="s">
        <v>161</v>
      </c>
      <c r="H72" s="23" t="s">
        <v>164</v>
      </c>
      <c r="I72" s="23"/>
      <c r="J72" s="23" t="s">
        <v>446</v>
      </c>
      <c r="K72" s="23"/>
      <c r="L72" s="23"/>
      <c r="M72" s="23" t="s">
        <v>380</v>
      </c>
      <c r="N72" s="23" t="s">
        <v>1933</v>
      </c>
      <c r="O72" s="23" t="s">
        <v>552</v>
      </c>
      <c r="P72" s="23" t="s">
        <v>565</v>
      </c>
      <c r="Q72" s="23" t="s">
        <v>552</v>
      </c>
      <c r="R72" s="23" t="s">
        <v>450</v>
      </c>
      <c r="S72" s="23" t="s">
        <v>554</v>
      </c>
      <c r="T72" s="23"/>
      <c r="U72" s="23">
        <v>2021</v>
      </c>
      <c r="V72" s="23"/>
      <c r="W72" s="23" t="s">
        <v>163</v>
      </c>
      <c r="X72" s="23" t="s">
        <v>2258</v>
      </c>
      <c r="Y72" s="23" t="s">
        <v>2071</v>
      </c>
      <c r="Z72" s="23" t="s">
        <v>280</v>
      </c>
      <c r="AA72" s="23" t="s">
        <v>2032</v>
      </c>
      <c r="AB72" s="23" t="s">
        <v>2208</v>
      </c>
      <c r="AC72" s="23">
        <v>70</v>
      </c>
      <c r="AD72" s="23" t="s">
        <v>1149</v>
      </c>
      <c r="AE72" s="23"/>
      <c r="AF72" s="23"/>
      <c r="AG72" s="23" t="s">
        <v>566</v>
      </c>
      <c r="AH72" s="23"/>
      <c r="AI72" s="23"/>
      <c r="AJ72" s="23"/>
      <c r="AK72" s="23"/>
      <c r="AL72" s="23"/>
      <c r="AM72" s="23" t="s">
        <v>2268</v>
      </c>
      <c r="AN72" s="23" t="s">
        <v>2269</v>
      </c>
      <c r="AO72" s="23">
        <v>58038.42</v>
      </c>
      <c r="AP72" s="23"/>
      <c r="AQ72" s="23">
        <v>58967.42</v>
      </c>
      <c r="AR72" s="23"/>
      <c r="AS72" s="23"/>
      <c r="AT72" s="23"/>
      <c r="AU72" s="23"/>
      <c r="AV72" s="23"/>
      <c r="AW72" s="23">
        <v>58967.42</v>
      </c>
      <c r="AX72" s="23"/>
      <c r="AY72" s="23"/>
      <c r="AZ72" s="23"/>
      <c r="BA72" s="23" t="s">
        <v>2270</v>
      </c>
      <c r="BB72" s="23">
        <v>237</v>
      </c>
      <c r="BC72" s="23" t="s">
        <v>2061</v>
      </c>
      <c r="BD72" s="23" t="s">
        <v>2062</v>
      </c>
      <c r="BE72" s="23" t="s">
        <v>2271</v>
      </c>
      <c r="BF72" s="23" t="s">
        <v>164</v>
      </c>
      <c r="BG72" s="23" t="s">
        <v>2118</v>
      </c>
      <c r="BH72" s="23" t="s">
        <v>2272</v>
      </c>
      <c r="BI72" s="23" t="s">
        <v>2273</v>
      </c>
      <c r="BJ72" s="23" t="s">
        <v>2120</v>
      </c>
      <c r="BK72" s="23" t="s">
        <v>2274</v>
      </c>
      <c r="BL72" s="23"/>
    </row>
    <row r="73" spans="1:64" ht="30" customHeight="1">
      <c r="A73" s="23" t="s">
        <v>569</v>
      </c>
      <c r="B73" s="23" t="s">
        <v>1932</v>
      </c>
      <c r="C73" s="23">
        <v>68</v>
      </c>
      <c r="D73" s="23" t="s">
        <v>573</v>
      </c>
      <c r="E73" s="23" t="s">
        <v>544</v>
      </c>
      <c r="F73" s="23"/>
      <c r="G73" s="23" t="s">
        <v>161</v>
      </c>
      <c r="H73" s="23" t="s">
        <v>164</v>
      </c>
      <c r="I73" s="23"/>
      <c r="J73" s="23" t="s">
        <v>182</v>
      </c>
      <c r="K73" s="23"/>
      <c r="L73" s="23"/>
      <c r="M73" s="23"/>
      <c r="N73" s="23" t="s">
        <v>1933</v>
      </c>
      <c r="O73" s="23" t="s">
        <v>539</v>
      </c>
      <c r="P73" s="23" t="s">
        <v>240</v>
      </c>
      <c r="Q73" s="23" t="s">
        <v>539</v>
      </c>
      <c r="R73" s="23" t="s">
        <v>178</v>
      </c>
      <c r="S73" s="23" t="s">
        <v>570</v>
      </c>
      <c r="T73" s="23" t="s">
        <v>2275</v>
      </c>
      <c r="U73" s="23">
        <v>2019</v>
      </c>
      <c r="V73" s="23"/>
      <c r="W73" s="23" t="s">
        <v>163</v>
      </c>
      <c r="X73" s="23" t="s">
        <v>163</v>
      </c>
      <c r="Y73" s="23" t="s">
        <v>162</v>
      </c>
      <c r="Z73" s="23" t="s">
        <v>162</v>
      </c>
      <c r="AA73" s="23" t="s">
        <v>1934</v>
      </c>
      <c r="AB73" s="23" t="s">
        <v>1935</v>
      </c>
      <c r="AC73" s="23"/>
      <c r="AD73" s="23"/>
      <c r="AE73" s="23"/>
      <c r="AF73" s="23"/>
      <c r="AG73" s="23" t="s">
        <v>571</v>
      </c>
      <c r="AH73" s="23"/>
      <c r="AI73" s="23"/>
      <c r="AJ73" s="23"/>
      <c r="AK73" s="23"/>
      <c r="AL73" s="23"/>
      <c r="AM73" s="23" t="s">
        <v>2276</v>
      </c>
      <c r="AN73" s="23"/>
      <c r="AO73" s="23"/>
      <c r="AP73" s="23"/>
      <c r="AQ73" s="23"/>
      <c r="AR73" s="23"/>
      <c r="AS73" s="23"/>
      <c r="AT73" s="23"/>
      <c r="AU73" s="23"/>
      <c r="AV73" s="23"/>
      <c r="AW73" s="23"/>
      <c r="AX73" s="23"/>
      <c r="AY73" s="23"/>
      <c r="AZ73" s="23"/>
      <c r="BA73" s="23" t="s">
        <v>1946</v>
      </c>
      <c r="BB73" s="23">
        <v>804</v>
      </c>
      <c r="BC73" s="23" t="s">
        <v>1935</v>
      </c>
      <c r="BD73" s="23"/>
      <c r="BE73" s="23" t="s">
        <v>2277</v>
      </c>
      <c r="BF73" s="23" t="s">
        <v>164</v>
      </c>
      <c r="BG73" s="23" t="s">
        <v>1940</v>
      </c>
      <c r="BH73" s="23" t="s">
        <v>2278</v>
      </c>
      <c r="BI73" s="23" t="s">
        <v>2279</v>
      </c>
      <c r="BJ73" s="23"/>
      <c r="BK73" s="23" t="s">
        <v>2280</v>
      </c>
      <c r="BL73" s="23"/>
    </row>
    <row r="74" spans="1:64" ht="30" customHeight="1">
      <c r="A74" s="23" t="s">
        <v>574</v>
      </c>
      <c r="B74" s="23" t="s">
        <v>1932</v>
      </c>
      <c r="C74" s="23">
        <v>69</v>
      </c>
      <c r="D74" s="23" t="s">
        <v>581</v>
      </c>
      <c r="E74" s="23" t="s">
        <v>574</v>
      </c>
      <c r="F74" s="23"/>
      <c r="G74" s="23" t="s">
        <v>161</v>
      </c>
      <c r="H74" s="23" t="s">
        <v>238</v>
      </c>
      <c r="I74" s="23"/>
      <c r="J74" s="23" t="s">
        <v>446</v>
      </c>
      <c r="K74" s="23"/>
      <c r="L74" s="23"/>
      <c r="M74" s="23" t="s">
        <v>582</v>
      </c>
      <c r="N74" s="23" t="s">
        <v>1933</v>
      </c>
      <c r="O74" s="23" t="s">
        <v>575</v>
      </c>
      <c r="P74" s="23" t="s">
        <v>576</v>
      </c>
      <c r="Q74" s="23" t="s">
        <v>575</v>
      </c>
      <c r="R74" s="23" t="s">
        <v>578</v>
      </c>
      <c r="S74" s="23" t="s">
        <v>577</v>
      </c>
      <c r="T74" s="23"/>
      <c r="U74" s="23">
        <v>2018</v>
      </c>
      <c r="V74" s="23"/>
      <c r="W74" s="23" t="s">
        <v>163</v>
      </c>
      <c r="X74" s="23" t="s">
        <v>163</v>
      </c>
      <c r="Y74" s="23" t="s">
        <v>300</v>
      </c>
      <c r="Z74" s="23"/>
      <c r="AA74" s="23"/>
      <c r="AB74" s="23" t="s">
        <v>2058</v>
      </c>
      <c r="AC74" s="23">
        <v>35</v>
      </c>
      <c r="AD74" s="23" t="s">
        <v>1132</v>
      </c>
      <c r="AE74" s="23"/>
      <c r="AF74" s="23"/>
      <c r="AG74" s="23" t="s">
        <v>579</v>
      </c>
      <c r="AH74" s="23"/>
      <c r="AI74" s="23"/>
      <c r="AJ74" s="23"/>
      <c r="AK74" s="23"/>
      <c r="AL74" s="23"/>
      <c r="AM74" s="23" t="s">
        <v>2281</v>
      </c>
      <c r="AN74" s="23"/>
      <c r="AO74" s="23">
        <v>79000</v>
      </c>
      <c r="AP74" s="23"/>
      <c r="AQ74" s="23"/>
      <c r="AR74" s="23"/>
      <c r="AS74" s="23"/>
      <c r="AT74" s="23"/>
      <c r="AU74" s="23"/>
      <c r="AV74" s="23"/>
      <c r="AW74" s="23"/>
      <c r="AX74" s="23"/>
      <c r="AY74" s="23"/>
      <c r="AZ74" s="23"/>
      <c r="BA74" s="23" t="s">
        <v>2019</v>
      </c>
      <c r="BB74" s="23">
        <v>264</v>
      </c>
      <c r="BC74" s="23" t="s">
        <v>2061</v>
      </c>
      <c r="BD74" s="23" t="s">
        <v>2282</v>
      </c>
      <c r="BE74" s="23" t="s">
        <v>2283</v>
      </c>
      <c r="BF74" s="23" t="s">
        <v>238</v>
      </c>
      <c r="BG74" s="23" t="s">
        <v>2064</v>
      </c>
      <c r="BH74" s="23" t="s">
        <v>2278</v>
      </c>
      <c r="BI74" s="23" t="s">
        <v>2284</v>
      </c>
      <c r="BJ74" s="23" t="s">
        <v>2037</v>
      </c>
      <c r="BK74" s="23"/>
      <c r="BL74" s="23"/>
    </row>
    <row r="75" spans="1:64" ht="30" customHeight="1">
      <c r="A75" s="23" t="s">
        <v>583</v>
      </c>
      <c r="B75" s="23" t="s">
        <v>1932</v>
      </c>
      <c r="C75" s="23">
        <v>70</v>
      </c>
      <c r="D75" s="23" t="s">
        <v>589</v>
      </c>
      <c r="E75" s="23" t="s">
        <v>583</v>
      </c>
      <c r="F75" s="23"/>
      <c r="G75" s="23" t="s">
        <v>161</v>
      </c>
      <c r="H75" s="23" t="s">
        <v>584</v>
      </c>
      <c r="I75" s="23"/>
      <c r="J75" s="23"/>
      <c r="K75" s="23"/>
      <c r="L75" s="23"/>
      <c r="M75" s="23"/>
      <c r="N75" s="23" t="s">
        <v>1933</v>
      </c>
      <c r="O75" s="23" t="s">
        <v>585</v>
      </c>
      <c r="P75" s="23" t="s">
        <v>166</v>
      </c>
      <c r="Q75" s="23" t="s">
        <v>585</v>
      </c>
      <c r="R75" s="23" t="s">
        <v>578</v>
      </c>
      <c r="S75" s="23" t="s">
        <v>586</v>
      </c>
      <c r="T75" s="23" t="s">
        <v>2285</v>
      </c>
      <c r="U75" s="23">
        <v>2013</v>
      </c>
      <c r="V75" s="23"/>
      <c r="W75" s="23" t="s">
        <v>163</v>
      </c>
      <c r="X75" s="23" t="s">
        <v>2286</v>
      </c>
      <c r="Y75" s="23" t="s">
        <v>162</v>
      </c>
      <c r="Z75" s="23" t="s">
        <v>162</v>
      </c>
      <c r="AA75" s="23" t="s">
        <v>1934</v>
      </c>
      <c r="AB75" s="23" t="s">
        <v>1935</v>
      </c>
      <c r="AC75" s="23"/>
      <c r="AD75" s="23"/>
      <c r="AE75" s="23"/>
      <c r="AF75" s="23"/>
      <c r="AG75" s="23" t="s">
        <v>587</v>
      </c>
      <c r="AH75" s="23"/>
      <c r="AI75" s="23"/>
      <c r="AJ75" s="23"/>
      <c r="AK75" s="23"/>
      <c r="AL75" s="23"/>
      <c r="AM75" s="23" t="s">
        <v>1484</v>
      </c>
      <c r="AN75" s="23"/>
      <c r="AO75" s="23">
        <v>30000</v>
      </c>
      <c r="AP75" s="23"/>
      <c r="AQ75" s="23"/>
      <c r="AR75" s="23"/>
      <c r="AS75" s="23"/>
      <c r="AT75" s="23"/>
      <c r="AU75" s="23"/>
      <c r="AV75" s="23"/>
      <c r="AW75" s="23"/>
      <c r="AX75" s="23"/>
      <c r="AY75" s="23"/>
      <c r="AZ75" s="23"/>
      <c r="BA75" s="23" t="s">
        <v>1946</v>
      </c>
      <c r="BB75" s="23">
        <v>804</v>
      </c>
      <c r="BC75" s="23" t="s">
        <v>1935</v>
      </c>
      <c r="BD75" s="23"/>
      <c r="BE75" s="23" t="s">
        <v>2287</v>
      </c>
      <c r="BF75" s="23" t="s">
        <v>2288</v>
      </c>
      <c r="BG75" s="23" t="s">
        <v>1940</v>
      </c>
      <c r="BH75" s="23" t="s">
        <v>2289</v>
      </c>
      <c r="BI75" s="23" t="s">
        <v>2290</v>
      </c>
      <c r="BJ75" s="23"/>
      <c r="BK75" s="23"/>
      <c r="BL75" s="23"/>
    </row>
    <row r="76" spans="1:64" ht="30" customHeight="1">
      <c r="A76" s="23" t="s">
        <v>590</v>
      </c>
      <c r="B76" s="23" t="s">
        <v>1932</v>
      </c>
      <c r="C76" s="23">
        <v>71</v>
      </c>
      <c r="D76" s="23" t="s">
        <v>596</v>
      </c>
      <c r="E76" s="23" t="s">
        <v>590</v>
      </c>
      <c r="F76" s="23"/>
      <c r="G76" s="23" t="s">
        <v>161</v>
      </c>
      <c r="H76" s="23" t="s">
        <v>584</v>
      </c>
      <c r="I76" s="23"/>
      <c r="J76" s="23"/>
      <c r="K76" s="23"/>
      <c r="L76" s="23"/>
      <c r="M76" s="23"/>
      <c r="N76" s="23" t="s">
        <v>1933</v>
      </c>
      <c r="O76" s="23" t="s">
        <v>591</v>
      </c>
      <c r="P76" s="23" t="s">
        <v>166</v>
      </c>
      <c r="Q76" s="23" t="s">
        <v>591</v>
      </c>
      <c r="R76" s="23" t="s">
        <v>593</v>
      </c>
      <c r="S76" s="23" t="s">
        <v>592</v>
      </c>
      <c r="T76" s="23" t="s">
        <v>2291</v>
      </c>
      <c r="U76" s="23">
        <v>2021</v>
      </c>
      <c r="V76" s="23"/>
      <c r="W76" s="23" t="s">
        <v>163</v>
      </c>
      <c r="X76" s="23" t="s">
        <v>2292</v>
      </c>
      <c r="Y76" s="23" t="s">
        <v>162</v>
      </c>
      <c r="Z76" s="23" t="s">
        <v>162</v>
      </c>
      <c r="AA76" s="23" t="s">
        <v>1934</v>
      </c>
      <c r="AB76" s="23" t="s">
        <v>1935</v>
      </c>
      <c r="AC76" s="23"/>
      <c r="AD76" s="23"/>
      <c r="AE76" s="23"/>
      <c r="AF76" s="23"/>
      <c r="AG76" s="23" t="s">
        <v>594</v>
      </c>
      <c r="AH76" s="23"/>
      <c r="AI76" s="23"/>
      <c r="AJ76" s="23"/>
      <c r="AK76" s="23"/>
      <c r="AL76" s="23"/>
      <c r="AM76" s="23" t="s">
        <v>2293</v>
      </c>
      <c r="AN76" s="23" t="s">
        <v>2291</v>
      </c>
      <c r="AO76" s="23">
        <v>7335.99</v>
      </c>
      <c r="AP76" s="23"/>
      <c r="AQ76" s="23"/>
      <c r="AR76" s="23"/>
      <c r="AS76" s="23"/>
      <c r="AT76" s="23"/>
      <c r="AU76" s="23"/>
      <c r="AV76" s="23"/>
      <c r="AW76" s="23"/>
      <c r="AX76" s="23"/>
      <c r="AY76" s="23"/>
      <c r="AZ76" s="23"/>
      <c r="BA76" s="23" t="s">
        <v>2089</v>
      </c>
      <c r="BB76" s="23">
        <v>243</v>
      </c>
      <c r="BC76" s="23" t="s">
        <v>1935</v>
      </c>
      <c r="BD76" s="23"/>
      <c r="BE76" s="23" t="s">
        <v>2294</v>
      </c>
      <c r="BF76" s="23" t="s">
        <v>2288</v>
      </c>
      <c r="BG76" s="23" t="s">
        <v>1940</v>
      </c>
      <c r="BH76" s="23" t="s">
        <v>2289</v>
      </c>
      <c r="BI76" s="23" t="s">
        <v>2295</v>
      </c>
      <c r="BJ76" s="23"/>
      <c r="BK76" s="23" t="s">
        <v>2296</v>
      </c>
      <c r="BL76" s="23"/>
    </row>
    <row r="77" spans="1:64" ht="30" customHeight="1">
      <c r="A77" s="23" t="s">
        <v>597</v>
      </c>
      <c r="B77" s="23" t="s">
        <v>1932</v>
      </c>
      <c r="C77" s="23">
        <v>72</v>
      </c>
      <c r="D77" s="23" t="s">
        <v>602</v>
      </c>
      <c r="E77" s="23"/>
      <c r="F77" s="23" t="s">
        <v>597</v>
      </c>
      <c r="G77" s="23" t="s">
        <v>598</v>
      </c>
      <c r="H77" s="23" t="s">
        <v>584</v>
      </c>
      <c r="I77" s="23"/>
      <c r="J77" s="23"/>
      <c r="K77" s="23"/>
      <c r="L77" s="23"/>
      <c r="M77" s="23"/>
      <c r="N77" s="23" t="s">
        <v>1933</v>
      </c>
      <c r="O77" s="23" t="s">
        <v>599</v>
      </c>
      <c r="P77" s="23" t="s">
        <v>166</v>
      </c>
      <c r="Q77" s="23" t="s">
        <v>599</v>
      </c>
      <c r="R77" s="23"/>
      <c r="S77" s="23"/>
      <c r="T77" s="23" t="s">
        <v>2297</v>
      </c>
      <c r="U77" s="23">
        <v>2019</v>
      </c>
      <c r="V77" s="23"/>
      <c r="W77" s="23" t="s">
        <v>163</v>
      </c>
      <c r="X77" s="23" t="s">
        <v>2292</v>
      </c>
      <c r="Y77" s="23" t="s">
        <v>162</v>
      </c>
      <c r="Z77" s="23" t="s">
        <v>162</v>
      </c>
      <c r="AA77" s="23" t="s">
        <v>1934</v>
      </c>
      <c r="AB77" s="23" t="s">
        <v>1935</v>
      </c>
      <c r="AC77" s="23"/>
      <c r="AD77" s="23"/>
      <c r="AE77" s="23"/>
      <c r="AF77" s="23"/>
      <c r="AG77" s="23" t="s">
        <v>600</v>
      </c>
      <c r="AH77" s="23"/>
      <c r="AI77" s="23"/>
      <c r="AJ77" s="23"/>
      <c r="AK77" s="23"/>
      <c r="AL77" s="23"/>
      <c r="AM77" s="23" t="s">
        <v>2298</v>
      </c>
      <c r="AN77" s="23"/>
      <c r="AO77" s="23">
        <v>76138.740000000005</v>
      </c>
      <c r="AP77" s="23"/>
      <c r="AQ77" s="23"/>
      <c r="AR77" s="23"/>
      <c r="AS77" s="23"/>
      <c r="AT77" s="23"/>
      <c r="AU77" s="23"/>
      <c r="AV77" s="23"/>
      <c r="AW77" s="23"/>
      <c r="AX77" s="23"/>
      <c r="AY77" s="23"/>
      <c r="AZ77" s="23"/>
      <c r="BA77" s="23" t="s">
        <v>1938</v>
      </c>
      <c r="BB77" s="23">
        <v>261</v>
      </c>
      <c r="BC77" s="23" t="s">
        <v>1935</v>
      </c>
      <c r="BD77" s="23"/>
      <c r="BE77" s="23" t="s">
        <v>2299</v>
      </c>
      <c r="BF77" s="23" t="s">
        <v>2300</v>
      </c>
      <c r="BG77" s="23" t="s">
        <v>1940</v>
      </c>
      <c r="BH77" s="23" t="s">
        <v>2301</v>
      </c>
      <c r="BI77" s="23" t="s">
        <v>597</v>
      </c>
      <c r="BJ77" s="23"/>
      <c r="BK77" s="23" t="s">
        <v>2302</v>
      </c>
      <c r="BL77" s="23"/>
    </row>
    <row r="78" spans="1:64" ht="30" customHeight="1">
      <c r="A78" s="23" t="s">
        <v>603</v>
      </c>
      <c r="B78" s="23" t="s">
        <v>1932</v>
      </c>
      <c r="C78" s="23">
        <v>73</v>
      </c>
      <c r="D78" s="23" t="s">
        <v>607</v>
      </c>
      <c r="E78" s="23"/>
      <c r="F78" s="23" t="s">
        <v>603</v>
      </c>
      <c r="G78" s="23" t="s">
        <v>598</v>
      </c>
      <c r="H78" s="23" t="s">
        <v>584</v>
      </c>
      <c r="I78" s="23"/>
      <c r="J78" s="23"/>
      <c r="K78" s="23"/>
      <c r="L78" s="23"/>
      <c r="M78" s="23"/>
      <c r="N78" s="23"/>
      <c r="O78" s="23" t="s">
        <v>599</v>
      </c>
      <c r="P78" s="23" t="s">
        <v>604</v>
      </c>
      <c r="Q78" s="23"/>
      <c r="R78" s="23"/>
      <c r="S78" s="23"/>
      <c r="T78" s="23" t="s">
        <v>2303</v>
      </c>
      <c r="U78" s="23">
        <v>2019</v>
      </c>
      <c r="V78" s="23"/>
      <c r="W78" s="23" t="s">
        <v>163</v>
      </c>
      <c r="X78" s="23" t="s">
        <v>2292</v>
      </c>
      <c r="Y78" s="23" t="s">
        <v>300</v>
      </c>
      <c r="Z78" s="23" t="s">
        <v>608</v>
      </c>
      <c r="AA78" s="23" t="s">
        <v>2304</v>
      </c>
      <c r="AB78" s="23" t="s">
        <v>2058</v>
      </c>
      <c r="AC78" s="23">
        <v>35</v>
      </c>
      <c r="AD78" s="23" t="s">
        <v>1132</v>
      </c>
      <c r="AE78" s="23"/>
      <c r="AF78" s="23"/>
      <c r="AG78" s="23" t="s">
        <v>605</v>
      </c>
      <c r="AH78" s="23"/>
      <c r="AI78" s="23"/>
      <c r="AJ78" s="23"/>
      <c r="AK78" s="23"/>
      <c r="AL78" s="23"/>
      <c r="AM78" s="23" t="s">
        <v>1493</v>
      </c>
      <c r="AN78" s="23"/>
      <c r="AO78" s="23">
        <v>187427.45</v>
      </c>
      <c r="AP78" s="23"/>
      <c r="AQ78" s="23"/>
      <c r="AR78" s="23"/>
      <c r="AS78" s="23"/>
      <c r="AT78" s="23"/>
      <c r="AU78" s="23"/>
      <c r="AV78" s="23"/>
      <c r="AW78" s="23"/>
      <c r="AX78" s="23"/>
      <c r="AY78" s="23"/>
      <c r="AZ78" s="23"/>
      <c r="BA78" s="23" t="s">
        <v>2305</v>
      </c>
      <c r="BB78" s="23">
        <v>272</v>
      </c>
      <c r="BC78" s="23" t="s">
        <v>2061</v>
      </c>
      <c r="BD78" s="23" t="s">
        <v>2085</v>
      </c>
      <c r="BE78" s="23" t="s">
        <v>2306</v>
      </c>
      <c r="BF78" s="23" t="s">
        <v>2300</v>
      </c>
      <c r="BG78" s="23" t="s">
        <v>2064</v>
      </c>
      <c r="BH78" s="23" t="s">
        <v>2301</v>
      </c>
      <c r="BI78" s="23" t="s">
        <v>603</v>
      </c>
      <c r="BJ78" s="23" t="s">
        <v>2037</v>
      </c>
      <c r="BK78" s="23" t="s">
        <v>2307</v>
      </c>
      <c r="BL78" s="23"/>
    </row>
    <row r="79" spans="1:64" ht="30" customHeight="1">
      <c r="A79" s="23" t="s">
        <v>609</v>
      </c>
      <c r="B79" s="23" t="s">
        <v>1932</v>
      </c>
      <c r="C79" s="23">
        <v>74</v>
      </c>
      <c r="D79" s="23" t="s">
        <v>614</v>
      </c>
      <c r="E79" s="23" t="s">
        <v>609</v>
      </c>
      <c r="F79" s="23"/>
      <c r="G79" s="23" t="s">
        <v>161</v>
      </c>
      <c r="H79" s="23" t="s">
        <v>238</v>
      </c>
      <c r="I79" s="23"/>
      <c r="J79" s="23" t="s">
        <v>446</v>
      </c>
      <c r="K79" s="23"/>
      <c r="L79" s="23"/>
      <c r="M79" s="23"/>
      <c r="N79" s="23" t="s">
        <v>1933</v>
      </c>
      <c r="O79" s="23" t="s">
        <v>610</v>
      </c>
      <c r="P79" s="23" t="s">
        <v>611</v>
      </c>
      <c r="Q79" s="23" t="s">
        <v>610</v>
      </c>
      <c r="R79" s="23" t="s">
        <v>578</v>
      </c>
      <c r="S79" s="23"/>
      <c r="T79" s="23" t="s">
        <v>2308</v>
      </c>
      <c r="U79" s="23">
        <v>2019</v>
      </c>
      <c r="V79" s="23"/>
      <c r="W79" s="23" t="s">
        <v>163</v>
      </c>
      <c r="X79" s="23" t="s">
        <v>163</v>
      </c>
      <c r="Y79" s="23" t="s">
        <v>300</v>
      </c>
      <c r="Z79" s="23" t="s">
        <v>608</v>
      </c>
      <c r="AA79" s="23" t="s">
        <v>2304</v>
      </c>
      <c r="AB79" s="23" t="s">
        <v>2058</v>
      </c>
      <c r="AC79" s="23">
        <v>40</v>
      </c>
      <c r="AD79" s="23"/>
      <c r="AE79" s="23"/>
      <c r="AF79" s="23"/>
      <c r="AG79" s="23" t="s">
        <v>612</v>
      </c>
      <c r="AH79" s="23"/>
      <c r="AI79" s="23"/>
      <c r="AJ79" s="23"/>
      <c r="AK79" s="23"/>
      <c r="AL79" s="23"/>
      <c r="AM79" s="23" t="s">
        <v>2309</v>
      </c>
      <c r="AN79" s="23" t="s">
        <v>2310</v>
      </c>
      <c r="AO79" s="23">
        <v>1501326.27</v>
      </c>
      <c r="AP79" s="23"/>
      <c r="AQ79" s="23"/>
      <c r="AR79" s="23"/>
      <c r="AS79" s="23"/>
      <c r="AT79" s="23"/>
      <c r="AU79" s="23"/>
      <c r="AV79" s="23"/>
      <c r="AW79" s="23"/>
      <c r="AX79" s="23"/>
      <c r="AY79" s="23"/>
      <c r="AZ79" s="23"/>
      <c r="BA79" s="23" t="s">
        <v>2310</v>
      </c>
      <c r="BB79" s="23">
        <v>386</v>
      </c>
      <c r="BC79" s="23" t="s">
        <v>2061</v>
      </c>
      <c r="BD79" s="23" t="s">
        <v>2075</v>
      </c>
      <c r="BE79" s="23" t="s">
        <v>2311</v>
      </c>
      <c r="BF79" s="23" t="s">
        <v>238</v>
      </c>
      <c r="BG79" s="23" t="s">
        <v>2064</v>
      </c>
      <c r="BH79" s="23" t="s">
        <v>2301</v>
      </c>
      <c r="BI79" s="23" t="s">
        <v>2312</v>
      </c>
      <c r="BJ79" s="23"/>
      <c r="BK79" s="23"/>
      <c r="BL79" s="23"/>
    </row>
    <row r="80" spans="1:64" ht="30" customHeight="1">
      <c r="A80" s="23" t="s">
        <v>615</v>
      </c>
      <c r="B80" s="23" t="s">
        <v>1932</v>
      </c>
      <c r="C80" s="23">
        <v>75</v>
      </c>
      <c r="D80" s="23" t="s">
        <v>620</v>
      </c>
      <c r="E80" s="23" t="s">
        <v>615</v>
      </c>
      <c r="F80" s="23"/>
      <c r="G80" s="23" t="s">
        <v>161</v>
      </c>
      <c r="H80" s="23" t="s">
        <v>238</v>
      </c>
      <c r="I80" s="23"/>
      <c r="J80" s="23" t="s">
        <v>182</v>
      </c>
      <c r="K80" s="23"/>
      <c r="L80" s="23"/>
      <c r="M80" s="23" t="s">
        <v>246</v>
      </c>
      <c r="N80" s="23" t="s">
        <v>1933</v>
      </c>
      <c r="O80" s="23" t="s">
        <v>616</v>
      </c>
      <c r="P80" s="23" t="s">
        <v>240</v>
      </c>
      <c r="Q80" s="23" t="s">
        <v>616</v>
      </c>
      <c r="R80" s="23" t="s">
        <v>303</v>
      </c>
      <c r="S80" s="23" t="s">
        <v>617</v>
      </c>
      <c r="T80" s="23"/>
      <c r="U80" s="23">
        <v>2018</v>
      </c>
      <c r="V80" s="23"/>
      <c r="W80" s="23" t="s">
        <v>163</v>
      </c>
      <c r="X80" s="23" t="s">
        <v>163</v>
      </c>
      <c r="Y80" s="23" t="s">
        <v>300</v>
      </c>
      <c r="Z80" s="23" t="s">
        <v>608</v>
      </c>
      <c r="AA80" s="23" t="s">
        <v>2304</v>
      </c>
      <c r="AB80" s="23" t="s">
        <v>2313</v>
      </c>
      <c r="AC80" s="23">
        <v>15</v>
      </c>
      <c r="AD80" s="23"/>
      <c r="AE80" s="23"/>
      <c r="AF80" s="23"/>
      <c r="AG80" s="23" t="s">
        <v>618</v>
      </c>
      <c r="AH80" s="23"/>
      <c r="AI80" s="23"/>
      <c r="AJ80" s="23"/>
      <c r="AK80" s="23"/>
      <c r="AL80" s="23"/>
      <c r="AM80" s="23" t="s">
        <v>2314</v>
      </c>
      <c r="AN80" s="23" t="s">
        <v>2315</v>
      </c>
      <c r="AO80" s="23">
        <v>7714.47</v>
      </c>
      <c r="AP80" s="23"/>
      <c r="AQ80" s="23"/>
      <c r="AR80" s="23"/>
      <c r="AS80" s="23"/>
      <c r="AT80" s="23"/>
      <c r="AU80" s="23"/>
      <c r="AV80" s="23"/>
      <c r="AW80" s="23"/>
      <c r="AX80" s="23"/>
      <c r="AY80" s="23"/>
      <c r="AZ80" s="23"/>
      <c r="BA80" s="23" t="s">
        <v>1938</v>
      </c>
      <c r="BB80" s="23">
        <v>261</v>
      </c>
      <c r="BC80" s="23" t="s">
        <v>2061</v>
      </c>
      <c r="BD80" s="23" t="s">
        <v>2075</v>
      </c>
      <c r="BE80" s="23" t="s">
        <v>2316</v>
      </c>
      <c r="BF80" s="23" t="s">
        <v>238</v>
      </c>
      <c r="BG80" s="23" t="s">
        <v>2064</v>
      </c>
      <c r="BH80" s="23" t="s">
        <v>2301</v>
      </c>
      <c r="BI80" s="23" t="s">
        <v>2317</v>
      </c>
      <c r="BJ80" s="23"/>
      <c r="BK80" s="23"/>
      <c r="BL80" s="23"/>
    </row>
    <row r="81" spans="1:64" ht="30" customHeight="1">
      <c r="A81" s="23" t="s">
        <v>621</v>
      </c>
      <c r="B81" s="23" t="s">
        <v>1932</v>
      </c>
      <c r="C81" s="23">
        <v>76</v>
      </c>
      <c r="D81" s="23" t="s">
        <v>624</v>
      </c>
      <c r="E81" s="23" t="s">
        <v>621</v>
      </c>
      <c r="F81" s="23"/>
      <c r="G81" s="23" t="s">
        <v>161</v>
      </c>
      <c r="H81" s="23" t="s">
        <v>238</v>
      </c>
      <c r="I81" s="23"/>
      <c r="J81" s="23" t="s">
        <v>182</v>
      </c>
      <c r="K81" s="23"/>
      <c r="L81" s="23"/>
      <c r="M81" s="23" t="s">
        <v>246</v>
      </c>
      <c r="N81" s="23" t="s">
        <v>1933</v>
      </c>
      <c r="O81" s="23" t="s">
        <v>559</v>
      </c>
      <c r="P81" s="23" t="s">
        <v>240</v>
      </c>
      <c r="Q81" s="23" t="s">
        <v>559</v>
      </c>
      <c r="R81" s="23" t="s">
        <v>303</v>
      </c>
      <c r="S81" s="23" t="s">
        <v>560</v>
      </c>
      <c r="T81" s="23"/>
      <c r="U81" s="23">
        <v>2020</v>
      </c>
      <c r="V81" s="23"/>
      <c r="W81" s="23" t="s">
        <v>163</v>
      </c>
      <c r="X81" s="23" t="s">
        <v>163</v>
      </c>
      <c r="Y81" s="23" t="s">
        <v>300</v>
      </c>
      <c r="Z81" s="23" t="s">
        <v>608</v>
      </c>
      <c r="AA81" s="23" t="s">
        <v>2304</v>
      </c>
      <c r="AB81" s="23" t="s">
        <v>2058</v>
      </c>
      <c r="AC81" s="23">
        <v>25</v>
      </c>
      <c r="AD81" s="23"/>
      <c r="AE81" s="23"/>
      <c r="AF81" s="23"/>
      <c r="AG81" s="23" t="s">
        <v>622</v>
      </c>
      <c r="AH81" s="23"/>
      <c r="AI81" s="23"/>
      <c r="AJ81" s="23"/>
      <c r="AK81" s="23"/>
      <c r="AL81" s="23"/>
      <c r="AM81" s="23" t="s">
        <v>2318</v>
      </c>
      <c r="AN81" s="23" t="s">
        <v>2073</v>
      </c>
      <c r="AO81" s="23">
        <v>122137.09</v>
      </c>
      <c r="AP81" s="23"/>
      <c r="AQ81" s="23"/>
      <c r="AR81" s="23"/>
      <c r="AS81" s="23"/>
      <c r="AT81" s="23"/>
      <c r="AU81" s="23"/>
      <c r="AV81" s="23"/>
      <c r="AW81" s="23"/>
      <c r="AX81" s="23"/>
      <c r="AY81" s="23"/>
      <c r="AZ81" s="23"/>
      <c r="BA81" s="23" t="s">
        <v>1938</v>
      </c>
      <c r="BB81" s="23">
        <v>261</v>
      </c>
      <c r="BC81" s="23" t="s">
        <v>2061</v>
      </c>
      <c r="BD81" s="23" t="s">
        <v>2075</v>
      </c>
      <c r="BE81" s="23" t="s">
        <v>2319</v>
      </c>
      <c r="BF81" s="23" t="s">
        <v>238</v>
      </c>
      <c r="BG81" s="23" t="s">
        <v>2064</v>
      </c>
      <c r="BH81" s="23" t="s">
        <v>2301</v>
      </c>
      <c r="BI81" s="23" t="s">
        <v>2320</v>
      </c>
      <c r="BJ81" s="23"/>
      <c r="BK81" s="23"/>
      <c r="BL81" s="23"/>
    </row>
    <row r="82" spans="1:64" ht="30" customHeight="1">
      <c r="A82" s="23" t="s">
        <v>625</v>
      </c>
      <c r="B82" s="23" t="s">
        <v>1932</v>
      </c>
      <c r="C82" s="23">
        <v>77</v>
      </c>
      <c r="D82" s="23" t="s">
        <v>631</v>
      </c>
      <c r="E82" s="23" t="s">
        <v>625</v>
      </c>
      <c r="F82" s="23"/>
      <c r="G82" s="23" t="s">
        <v>161</v>
      </c>
      <c r="H82" s="23" t="s">
        <v>164</v>
      </c>
      <c r="I82" s="23"/>
      <c r="J82" s="23"/>
      <c r="K82" s="23"/>
      <c r="L82" s="23"/>
      <c r="M82" s="23" t="s">
        <v>632</v>
      </c>
      <c r="N82" s="23" t="s">
        <v>1933</v>
      </c>
      <c r="O82" s="23" t="s">
        <v>626</v>
      </c>
      <c r="P82" s="23" t="s">
        <v>627</v>
      </c>
      <c r="Q82" s="23" t="s">
        <v>626</v>
      </c>
      <c r="R82" s="23" t="s">
        <v>441</v>
      </c>
      <c r="S82" s="23" t="s">
        <v>628</v>
      </c>
      <c r="T82" s="23"/>
      <c r="U82" s="23">
        <v>2015</v>
      </c>
      <c r="V82" s="23"/>
      <c r="W82" s="23" t="s">
        <v>163</v>
      </c>
      <c r="X82" s="23" t="s">
        <v>2321</v>
      </c>
      <c r="Y82" s="23" t="s">
        <v>300</v>
      </c>
      <c r="Z82" s="23" t="s">
        <v>261</v>
      </c>
      <c r="AA82" s="23" t="s">
        <v>2011</v>
      </c>
      <c r="AB82" s="23" t="s">
        <v>2208</v>
      </c>
      <c r="AC82" s="23">
        <v>70</v>
      </c>
      <c r="AD82" s="23" t="s">
        <v>1149</v>
      </c>
      <c r="AE82" s="23"/>
      <c r="AF82" s="23"/>
      <c r="AG82" s="23" t="s">
        <v>629</v>
      </c>
      <c r="AH82" s="23"/>
      <c r="AI82" s="23"/>
      <c r="AJ82" s="23"/>
      <c r="AK82" s="23"/>
      <c r="AL82" s="23"/>
      <c r="AM82" s="23" t="s">
        <v>2322</v>
      </c>
      <c r="AN82" s="23" t="s">
        <v>2323</v>
      </c>
      <c r="AO82" s="23">
        <v>3000000</v>
      </c>
      <c r="AP82" s="23"/>
      <c r="AQ82" s="23">
        <v>488857.89</v>
      </c>
      <c r="AR82" s="23"/>
      <c r="AS82" s="23"/>
      <c r="AT82" s="23"/>
      <c r="AU82" s="23">
        <v>30643.82</v>
      </c>
      <c r="AV82" s="23"/>
      <c r="AW82" s="23">
        <v>458214.07</v>
      </c>
      <c r="AX82" s="23"/>
      <c r="AY82" s="23"/>
      <c r="AZ82" s="23"/>
      <c r="BA82" s="23" t="s">
        <v>2323</v>
      </c>
      <c r="BB82" s="23">
        <v>33</v>
      </c>
      <c r="BC82" s="23" t="s">
        <v>2061</v>
      </c>
      <c r="BD82" s="23" t="s">
        <v>2062</v>
      </c>
      <c r="BE82" s="23" t="s">
        <v>2324</v>
      </c>
      <c r="BF82" s="23" t="s">
        <v>164</v>
      </c>
      <c r="BG82" s="23" t="s">
        <v>2064</v>
      </c>
      <c r="BH82" s="23" t="s">
        <v>2325</v>
      </c>
      <c r="BI82" s="23" t="s">
        <v>2326</v>
      </c>
      <c r="BJ82" s="23" t="s">
        <v>2327</v>
      </c>
      <c r="BK82" s="23" t="s">
        <v>2328</v>
      </c>
      <c r="BL82" s="23"/>
    </row>
    <row r="83" spans="1:64" ht="30" customHeight="1">
      <c r="A83" s="23" t="s">
        <v>633</v>
      </c>
      <c r="B83" s="23" t="s">
        <v>1932</v>
      </c>
      <c r="C83" s="23">
        <v>78</v>
      </c>
      <c r="D83" s="23" t="s">
        <v>636</v>
      </c>
      <c r="E83" s="23" t="s">
        <v>217</v>
      </c>
      <c r="F83" s="23"/>
      <c r="G83" s="23" t="s">
        <v>161</v>
      </c>
      <c r="H83" s="23" t="s">
        <v>164</v>
      </c>
      <c r="I83" s="23"/>
      <c r="J83" s="23" t="s">
        <v>182</v>
      </c>
      <c r="K83" s="23"/>
      <c r="L83" s="23"/>
      <c r="M83" s="23"/>
      <c r="N83" s="23" t="s">
        <v>1933</v>
      </c>
      <c r="O83" s="23" t="s">
        <v>634</v>
      </c>
      <c r="P83" s="23" t="s">
        <v>269</v>
      </c>
      <c r="Q83" s="23" t="s">
        <v>634</v>
      </c>
      <c r="R83" s="23" t="s">
        <v>178</v>
      </c>
      <c r="S83" s="23" t="s">
        <v>570</v>
      </c>
      <c r="T83" s="23"/>
      <c r="U83" s="23">
        <v>2019</v>
      </c>
      <c r="V83" s="23"/>
      <c r="W83" s="23" t="s">
        <v>163</v>
      </c>
      <c r="X83" s="23" t="s">
        <v>163</v>
      </c>
      <c r="Y83" s="23" t="s">
        <v>162</v>
      </c>
      <c r="Z83" s="23" t="s">
        <v>162</v>
      </c>
      <c r="AA83" s="23" t="s">
        <v>1934</v>
      </c>
      <c r="AB83" s="23" t="s">
        <v>1935</v>
      </c>
      <c r="AC83" s="23"/>
      <c r="AD83" s="23"/>
      <c r="AE83" s="23"/>
      <c r="AF83" s="23"/>
      <c r="AG83" s="23" t="s">
        <v>169</v>
      </c>
      <c r="AH83" s="23"/>
      <c r="AI83" s="23"/>
      <c r="AJ83" s="23"/>
      <c r="AK83" s="23"/>
      <c r="AL83" s="23"/>
      <c r="AM83" s="23" t="s">
        <v>2329</v>
      </c>
      <c r="AN83" s="23"/>
      <c r="AO83" s="23"/>
      <c r="AP83" s="23"/>
      <c r="AQ83" s="23"/>
      <c r="AR83" s="23"/>
      <c r="AS83" s="23"/>
      <c r="AT83" s="23"/>
      <c r="AU83" s="23">
        <v>12296.38</v>
      </c>
      <c r="AV83" s="23"/>
      <c r="AW83" s="23"/>
      <c r="AX83" s="23"/>
      <c r="AY83" s="23"/>
      <c r="AZ83" s="23"/>
      <c r="BA83" s="23" t="s">
        <v>2089</v>
      </c>
      <c r="BB83" s="23">
        <v>243</v>
      </c>
      <c r="BC83" s="23" t="s">
        <v>1935</v>
      </c>
      <c r="BD83" s="23"/>
      <c r="BE83" s="23" t="s">
        <v>2330</v>
      </c>
      <c r="BF83" s="23" t="s">
        <v>164</v>
      </c>
      <c r="BG83" s="23" t="s">
        <v>1940</v>
      </c>
      <c r="BH83" s="23" t="s">
        <v>2331</v>
      </c>
      <c r="BI83" s="23" t="s">
        <v>2332</v>
      </c>
      <c r="BJ83" s="23"/>
      <c r="BK83" s="23" t="s">
        <v>2333</v>
      </c>
      <c r="BL83" s="23"/>
    </row>
    <row r="84" spans="1:64" ht="30" customHeight="1">
      <c r="A84" s="23" t="s">
        <v>637</v>
      </c>
      <c r="B84" s="23" t="s">
        <v>1932</v>
      </c>
      <c r="C84" s="23">
        <v>79</v>
      </c>
      <c r="D84" s="23" t="s">
        <v>641</v>
      </c>
      <c r="E84" s="23" t="s">
        <v>637</v>
      </c>
      <c r="F84" s="23"/>
      <c r="G84" s="23" t="s">
        <v>161</v>
      </c>
      <c r="H84" s="23" t="s">
        <v>238</v>
      </c>
      <c r="I84" s="23"/>
      <c r="J84" s="23"/>
      <c r="K84" s="23"/>
      <c r="L84" s="23"/>
      <c r="M84" s="23" t="s">
        <v>246</v>
      </c>
      <c r="N84" s="23" t="s">
        <v>1933</v>
      </c>
      <c r="O84" s="23" t="s">
        <v>585</v>
      </c>
      <c r="P84" s="23" t="s">
        <v>166</v>
      </c>
      <c r="Q84" s="23" t="s">
        <v>585</v>
      </c>
      <c r="R84" s="23" t="s">
        <v>578</v>
      </c>
      <c r="S84" s="23" t="s">
        <v>638</v>
      </c>
      <c r="T84" s="23" t="s">
        <v>2334</v>
      </c>
      <c r="U84" s="23">
        <v>2014</v>
      </c>
      <c r="V84" s="23"/>
      <c r="W84" s="23" t="s">
        <v>163</v>
      </c>
      <c r="X84" s="23" t="s">
        <v>2292</v>
      </c>
      <c r="Y84" s="23" t="s">
        <v>2071</v>
      </c>
      <c r="Z84" s="23" t="s">
        <v>642</v>
      </c>
      <c r="AA84" s="23" t="s">
        <v>2335</v>
      </c>
      <c r="AB84" s="23" t="s">
        <v>2114</v>
      </c>
      <c r="AC84" s="23">
        <v>45</v>
      </c>
      <c r="AD84" s="23" t="s">
        <v>1132</v>
      </c>
      <c r="AE84" s="23"/>
      <c r="AF84" s="23"/>
      <c r="AG84" s="23" t="s">
        <v>639</v>
      </c>
      <c r="AH84" s="23"/>
      <c r="AI84" s="23"/>
      <c r="AJ84" s="23"/>
      <c r="AK84" s="23"/>
      <c r="AL84" s="23"/>
      <c r="AM84" s="23" t="s">
        <v>1511</v>
      </c>
      <c r="AN84" s="23"/>
      <c r="AO84" s="23">
        <v>120000</v>
      </c>
      <c r="AP84" s="23"/>
      <c r="AQ84" s="23"/>
      <c r="AR84" s="23"/>
      <c r="AS84" s="23"/>
      <c r="AT84" s="23"/>
      <c r="AU84" s="23"/>
      <c r="AV84" s="23"/>
      <c r="AW84" s="23"/>
      <c r="AX84" s="23"/>
      <c r="AY84" s="23"/>
      <c r="AZ84" s="23"/>
      <c r="BA84" s="23" t="s">
        <v>2019</v>
      </c>
      <c r="BB84" s="23">
        <v>264</v>
      </c>
      <c r="BC84" s="23" t="s">
        <v>2061</v>
      </c>
      <c r="BD84" s="23" t="s">
        <v>2085</v>
      </c>
      <c r="BE84" s="23" t="s">
        <v>2336</v>
      </c>
      <c r="BF84" s="23" t="s">
        <v>238</v>
      </c>
      <c r="BG84" s="23" t="s">
        <v>2077</v>
      </c>
      <c r="BH84" s="23" t="s">
        <v>2331</v>
      </c>
      <c r="BI84" s="23" t="s">
        <v>2337</v>
      </c>
      <c r="BJ84" s="23" t="s">
        <v>2037</v>
      </c>
      <c r="BK84" s="23"/>
      <c r="BL84" s="23"/>
    </row>
    <row r="85" spans="1:64" ht="30" customHeight="1">
      <c r="A85" s="23" t="s">
        <v>643</v>
      </c>
      <c r="B85" s="23" t="s">
        <v>1932</v>
      </c>
      <c r="C85" s="23">
        <v>80</v>
      </c>
      <c r="D85" s="23" t="s">
        <v>646</v>
      </c>
      <c r="E85" s="23" t="s">
        <v>643</v>
      </c>
      <c r="F85" s="23"/>
      <c r="G85" s="23" t="s">
        <v>161</v>
      </c>
      <c r="H85" s="23" t="s">
        <v>584</v>
      </c>
      <c r="I85" s="23"/>
      <c r="J85" s="23"/>
      <c r="K85" s="23"/>
      <c r="L85" s="23"/>
      <c r="M85" s="23" t="s">
        <v>246</v>
      </c>
      <c r="N85" s="23" t="s">
        <v>1933</v>
      </c>
      <c r="O85" s="23" t="s">
        <v>585</v>
      </c>
      <c r="P85" s="23" t="s">
        <v>166</v>
      </c>
      <c r="Q85" s="23" t="s">
        <v>585</v>
      </c>
      <c r="R85" s="23" t="s">
        <v>578</v>
      </c>
      <c r="S85" s="23" t="s">
        <v>586</v>
      </c>
      <c r="T85" s="23" t="s">
        <v>2338</v>
      </c>
      <c r="U85" s="23">
        <v>2012</v>
      </c>
      <c r="V85" s="23"/>
      <c r="W85" s="23" t="s">
        <v>163</v>
      </c>
      <c r="X85" s="23" t="s">
        <v>2286</v>
      </c>
      <c r="Y85" s="23" t="s">
        <v>300</v>
      </c>
      <c r="Z85" s="23" t="s">
        <v>642</v>
      </c>
      <c r="AA85" s="23" t="s">
        <v>2335</v>
      </c>
      <c r="AB85" s="23" t="s">
        <v>2114</v>
      </c>
      <c r="AC85" s="23">
        <v>45</v>
      </c>
      <c r="AD85" s="23" t="s">
        <v>1132</v>
      </c>
      <c r="AE85" s="23"/>
      <c r="AF85" s="23"/>
      <c r="AG85" s="23" t="s">
        <v>644</v>
      </c>
      <c r="AH85" s="23"/>
      <c r="AI85" s="23"/>
      <c r="AJ85" s="23"/>
      <c r="AK85" s="23"/>
      <c r="AL85" s="23"/>
      <c r="AM85" s="23" t="s">
        <v>2339</v>
      </c>
      <c r="AN85" s="23" t="s">
        <v>2340</v>
      </c>
      <c r="AO85" s="23">
        <v>50000</v>
      </c>
      <c r="AP85" s="23"/>
      <c r="AQ85" s="23"/>
      <c r="AR85" s="23"/>
      <c r="AS85" s="23"/>
      <c r="AT85" s="23"/>
      <c r="AU85" s="23"/>
      <c r="AV85" s="23"/>
      <c r="AW85" s="23"/>
      <c r="AX85" s="23"/>
      <c r="AY85" s="23"/>
      <c r="AZ85" s="23"/>
      <c r="BA85" s="23" t="s">
        <v>2340</v>
      </c>
      <c r="BB85" s="23">
        <v>41</v>
      </c>
      <c r="BC85" s="23" t="s">
        <v>2061</v>
      </c>
      <c r="BD85" s="23" t="s">
        <v>2085</v>
      </c>
      <c r="BE85" s="23" t="s">
        <v>2341</v>
      </c>
      <c r="BF85" s="23" t="s">
        <v>2288</v>
      </c>
      <c r="BG85" s="23" t="s">
        <v>2064</v>
      </c>
      <c r="BH85" s="23" t="s">
        <v>2331</v>
      </c>
      <c r="BI85" s="23" t="s">
        <v>2342</v>
      </c>
      <c r="BJ85" s="23" t="s">
        <v>2037</v>
      </c>
      <c r="BK85" s="23"/>
      <c r="BL85" s="23"/>
    </row>
    <row r="86" spans="1:64" ht="30" customHeight="1">
      <c r="A86" s="23" t="s">
        <v>647</v>
      </c>
      <c r="B86" s="23" t="s">
        <v>1932</v>
      </c>
      <c r="C86" s="23">
        <v>81</v>
      </c>
      <c r="D86" s="23" t="s">
        <v>652</v>
      </c>
      <c r="E86" s="23" t="s">
        <v>647</v>
      </c>
      <c r="F86" s="23"/>
      <c r="G86" s="23" t="s">
        <v>161</v>
      </c>
      <c r="H86" s="23" t="s">
        <v>584</v>
      </c>
      <c r="I86" s="23"/>
      <c r="J86" s="23"/>
      <c r="K86" s="23"/>
      <c r="L86" s="23"/>
      <c r="M86" s="23"/>
      <c r="N86" s="23" t="s">
        <v>1933</v>
      </c>
      <c r="O86" s="23" t="s">
        <v>648</v>
      </c>
      <c r="P86" s="23" t="s">
        <v>166</v>
      </c>
      <c r="Q86" s="23" t="s">
        <v>648</v>
      </c>
      <c r="R86" s="23" t="s">
        <v>578</v>
      </c>
      <c r="S86" s="23" t="s">
        <v>649</v>
      </c>
      <c r="T86" s="23" t="s">
        <v>2343</v>
      </c>
      <c r="U86" s="23">
        <v>2015</v>
      </c>
      <c r="V86" s="23"/>
      <c r="W86" s="23" t="s">
        <v>163</v>
      </c>
      <c r="X86" s="23" t="s">
        <v>2292</v>
      </c>
      <c r="Y86" s="23" t="s">
        <v>162</v>
      </c>
      <c r="Z86" s="23" t="s">
        <v>162</v>
      </c>
      <c r="AA86" s="23" t="s">
        <v>1934</v>
      </c>
      <c r="AB86" s="23" t="s">
        <v>1935</v>
      </c>
      <c r="AC86" s="23"/>
      <c r="AD86" s="23" t="s">
        <v>1149</v>
      </c>
      <c r="AE86" s="23"/>
      <c r="AF86" s="23"/>
      <c r="AG86" s="23" t="s">
        <v>650</v>
      </c>
      <c r="AH86" s="23"/>
      <c r="AI86" s="23"/>
      <c r="AJ86" s="23"/>
      <c r="AK86" s="23"/>
      <c r="AL86" s="23"/>
      <c r="AM86" s="23" t="s">
        <v>2344</v>
      </c>
      <c r="AN86" s="23" t="s">
        <v>2345</v>
      </c>
      <c r="AO86" s="23">
        <v>150000</v>
      </c>
      <c r="AP86" s="23"/>
      <c r="AQ86" s="23"/>
      <c r="AR86" s="23"/>
      <c r="AS86" s="23"/>
      <c r="AT86" s="23"/>
      <c r="AU86" s="23"/>
      <c r="AV86" s="23"/>
      <c r="AW86" s="23"/>
      <c r="AX86" s="23"/>
      <c r="AY86" s="23"/>
      <c r="AZ86" s="23"/>
      <c r="BA86" s="23" t="s">
        <v>2019</v>
      </c>
      <c r="BB86" s="23">
        <v>264</v>
      </c>
      <c r="BC86" s="23" t="s">
        <v>1935</v>
      </c>
      <c r="BD86" s="23"/>
      <c r="BE86" s="23" t="s">
        <v>2346</v>
      </c>
      <c r="BF86" s="23" t="s">
        <v>2288</v>
      </c>
      <c r="BG86" s="23" t="s">
        <v>1940</v>
      </c>
      <c r="BH86" s="23" t="s">
        <v>2331</v>
      </c>
      <c r="BI86" s="23" t="s">
        <v>2347</v>
      </c>
      <c r="BJ86" s="23" t="s">
        <v>2348</v>
      </c>
      <c r="BK86" s="23"/>
      <c r="BL86" s="23"/>
    </row>
    <row r="87" spans="1:64" ht="30" customHeight="1">
      <c r="A87" s="23" t="s">
        <v>653</v>
      </c>
      <c r="B87" s="23" t="s">
        <v>1932</v>
      </c>
      <c r="C87" s="23">
        <v>82</v>
      </c>
      <c r="D87" s="23" t="s">
        <v>657</v>
      </c>
      <c r="E87" s="23" t="s">
        <v>653</v>
      </c>
      <c r="F87" s="23"/>
      <c r="G87" s="23" t="s">
        <v>161</v>
      </c>
      <c r="H87" s="23" t="s">
        <v>238</v>
      </c>
      <c r="I87" s="23"/>
      <c r="J87" s="23" t="s">
        <v>182</v>
      </c>
      <c r="K87" s="23"/>
      <c r="L87" s="23"/>
      <c r="M87" s="23"/>
      <c r="N87" s="23" t="s">
        <v>1933</v>
      </c>
      <c r="O87" s="23" t="s">
        <v>654</v>
      </c>
      <c r="P87" s="23" t="s">
        <v>269</v>
      </c>
      <c r="Q87" s="23" t="s">
        <v>654</v>
      </c>
      <c r="R87" s="23" t="s">
        <v>303</v>
      </c>
      <c r="S87" s="23" t="s">
        <v>302</v>
      </c>
      <c r="T87" s="23"/>
      <c r="U87" s="23">
        <v>2018</v>
      </c>
      <c r="V87" s="23"/>
      <c r="W87" s="23" t="s">
        <v>163</v>
      </c>
      <c r="X87" s="23" t="s">
        <v>163</v>
      </c>
      <c r="Y87" s="23" t="s">
        <v>162</v>
      </c>
      <c r="Z87" s="23" t="s">
        <v>162</v>
      </c>
      <c r="AA87" s="23" t="s">
        <v>1934</v>
      </c>
      <c r="AB87" s="23" t="s">
        <v>1935</v>
      </c>
      <c r="AC87" s="23"/>
      <c r="AD87" s="23"/>
      <c r="AE87" s="23"/>
      <c r="AF87" s="23"/>
      <c r="AG87" s="23" t="s">
        <v>655</v>
      </c>
      <c r="AH87" s="23"/>
      <c r="AI87" s="23"/>
      <c r="AJ87" s="23"/>
      <c r="AK87" s="23"/>
      <c r="AL87" s="23"/>
      <c r="AM87" s="23" t="s">
        <v>1520</v>
      </c>
      <c r="AN87" s="23"/>
      <c r="AO87" s="23">
        <v>50921.25</v>
      </c>
      <c r="AP87" s="23"/>
      <c r="AQ87" s="23"/>
      <c r="AR87" s="23"/>
      <c r="AS87" s="23"/>
      <c r="AT87" s="23"/>
      <c r="AU87" s="23"/>
      <c r="AV87" s="23"/>
      <c r="AW87" s="23"/>
      <c r="AX87" s="23"/>
      <c r="AY87" s="23"/>
      <c r="AZ87" s="23"/>
      <c r="BA87" s="23" t="s">
        <v>2349</v>
      </c>
      <c r="BB87" s="23">
        <v>338</v>
      </c>
      <c r="BC87" s="23" t="s">
        <v>1935</v>
      </c>
      <c r="BD87" s="23"/>
      <c r="BE87" s="23" t="s">
        <v>2350</v>
      </c>
      <c r="BF87" s="23" t="s">
        <v>238</v>
      </c>
      <c r="BG87" s="23" t="s">
        <v>1940</v>
      </c>
      <c r="BH87" s="23" t="s">
        <v>2331</v>
      </c>
      <c r="BI87" s="23" t="s">
        <v>2351</v>
      </c>
      <c r="BJ87" s="23"/>
      <c r="BK87" s="23"/>
      <c r="BL87" s="23"/>
    </row>
    <row r="88" spans="1:64" ht="30" customHeight="1">
      <c r="A88" s="23" t="s">
        <v>658</v>
      </c>
      <c r="B88" s="23" t="s">
        <v>1932</v>
      </c>
      <c r="C88" s="23">
        <v>83</v>
      </c>
      <c r="D88" s="23" t="s">
        <v>664</v>
      </c>
      <c r="E88" s="23" t="s">
        <v>658</v>
      </c>
      <c r="F88" s="23"/>
      <c r="G88" s="23" t="s">
        <v>161</v>
      </c>
      <c r="H88" s="23" t="s">
        <v>164</v>
      </c>
      <c r="I88" s="23"/>
      <c r="J88" s="23" t="s">
        <v>282</v>
      </c>
      <c r="K88" s="23"/>
      <c r="L88" s="23"/>
      <c r="M88" s="23"/>
      <c r="N88" s="23" t="s">
        <v>1933</v>
      </c>
      <c r="O88" s="23" t="s">
        <v>659</v>
      </c>
      <c r="P88" s="23" t="s">
        <v>660</v>
      </c>
      <c r="Q88" s="23" t="s">
        <v>659</v>
      </c>
      <c r="R88" s="23" t="s">
        <v>178</v>
      </c>
      <c r="S88" s="23" t="s">
        <v>661</v>
      </c>
      <c r="T88" s="23" t="s">
        <v>2352</v>
      </c>
      <c r="U88" s="23">
        <v>2024</v>
      </c>
      <c r="V88" s="23"/>
      <c r="W88" s="23" t="s">
        <v>163</v>
      </c>
      <c r="X88" s="23" t="s">
        <v>163</v>
      </c>
      <c r="Y88" s="23" t="s">
        <v>2031</v>
      </c>
      <c r="Z88" s="23" t="s">
        <v>642</v>
      </c>
      <c r="AA88" s="23" t="s">
        <v>2335</v>
      </c>
      <c r="AB88" s="23" t="s">
        <v>1935</v>
      </c>
      <c r="AC88" s="23"/>
      <c r="AD88" s="23" t="s">
        <v>1129</v>
      </c>
      <c r="AE88" s="23"/>
      <c r="AF88" s="23"/>
      <c r="AG88" s="23" t="s">
        <v>662</v>
      </c>
      <c r="AH88" s="23"/>
      <c r="AI88" s="23"/>
      <c r="AJ88" s="23"/>
      <c r="AK88" s="23"/>
      <c r="AL88" s="23"/>
      <c r="AM88" s="23" t="s">
        <v>2353</v>
      </c>
      <c r="AN88" s="23" t="s">
        <v>2354</v>
      </c>
      <c r="AO88" s="23">
        <v>295800</v>
      </c>
      <c r="AP88" s="23"/>
      <c r="AQ88" s="23"/>
      <c r="AR88" s="23"/>
      <c r="AS88" s="23"/>
      <c r="AT88" s="23"/>
      <c r="AU88" s="23">
        <v>14733.46</v>
      </c>
      <c r="AV88" s="23"/>
      <c r="AW88" s="23"/>
      <c r="AX88" s="23"/>
      <c r="AY88" s="23"/>
      <c r="AZ88" s="23"/>
      <c r="BA88" s="23" t="s">
        <v>1938</v>
      </c>
      <c r="BB88" s="23">
        <v>261</v>
      </c>
      <c r="BC88" s="23" t="s">
        <v>1935</v>
      </c>
      <c r="BD88" s="23"/>
      <c r="BE88" s="23" t="s">
        <v>2355</v>
      </c>
      <c r="BF88" s="23" t="s">
        <v>164</v>
      </c>
      <c r="BG88" s="23" t="s">
        <v>2035</v>
      </c>
      <c r="BH88" s="23" t="s">
        <v>2331</v>
      </c>
      <c r="BI88" s="23" t="s">
        <v>2356</v>
      </c>
      <c r="BJ88" s="23" t="s">
        <v>2055</v>
      </c>
      <c r="BK88" s="23"/>
      <c r="BL88" s="23"/>
    </row>
    <row r="89" spans="1:64" ht="30" customHeight="1">
      <c r="A89" s="23" t="s">
        <v>665</v>
      </c>
      <c r="B89" s="23" t="s">
        <v>1932</v>
      </c>
      <c r="C89" s="23">
        <v>84</v>
      </c>
      <c r="D89" s="23" t="s">
        <v>668</v>
      </c>
      <c r="E89" s="23" t="s">
        <v>665</v>
      </c>
      <c r="F89" s="23"/>
      <c r="G89" s="23" t="s">
        <v>161</v>
      </c>
      <c r="H89" s="23" t="s">
        <v>164</v>
      </c>
      <c r="I89" s="23"/>
      <c r="J89" s="23" t="s">
        <v>282</v>
      </c>
      <c r="K89" s="23"/>
      <c r="L89" s="23"/>
      <c r="M89" s="23"/>
      <c r="N89" s="23" t="s">
        <v>1933</v>
      </c>
      <c r="O89" s="23" t="s">
        <v>666</v>
      </c>
      <c r="P89" s="23" t="s">
        <v>660</v>
      </c>
      <c r="Q89" s="23" t="s">
        <v>666</v>
      </c>
      <c r="R89" s="23" t="s">
        <v>178</v>
      </c>
      <c r="S89" s="23" t="s">
        <v>661</v>
      </c>
      <c r="T89" s="23" t="s">
        <v>2352</v>
      </c>
      <c r="U89" s="23">
        <v>2024</v>
      </c>
      <c r="V89" s="23"/>
      <c r="W89" s="23" t="s">
        <v>163</v>
      </c>
      <c r="X89" s="23" t="s">
        <v>163</v>
      </c>
      <c r="Y89" s="23" t="s">
        <v>252</v>
      </c>
      <c r="Z89" s="23" t="s">
        <v>642</v>
      </c>
      <c r="AA89" s="23" t="s">
        <v>2335</v>
      </c>
      <c r="AB89" s="23" t="s">
        <v>1935</v>
      </c>
      <c r="AC89" s="23"/>
      <c r="AD89" s="23"/>
      <c r="AE89" s="23"/>
      <c r="AF89" s="23"/>
      <c r="AG89" s="23" t="s">
        <v>662</v>
      </c>
      <c r="AH89" s="23"/>
      <c r="AI89" s="23"/>
      <c r="AJ89" s="23"/>
      <c r="AK89" s="23"/>
      <c r="AL89" s="23"/>
      <c r="AM89" s="23" t="s">
        <v>2357</v>
      </c>
      <c r="AN89" s="23" t="s">
        <v>2358</v>
      </c>
      <c r="AO89" s="23">
        <v>750000</v>
      </c>
      <c r="AP89" s="23"/>
      <c r="AQ89" s="23"/>
      <c r="AR89" s="23"/>
      <c r="AS89" s="23"/>
      <c r="AT89" s="23"/>
      <c r="AU89" s="23">
        <v>15533.46</v>
      </c>
      <c r="AV89" s="23"/>
      <c r="AW89" s="23"/>
      <c r="AX89" s="23"/>
      <c r="AY89" s="23"/>
      <c r="AZ89" s="23"/>
      <c r="BA89" s="23" t="s">
        <v>2358</v>
      </c>
      <c r="BB89" s="23">
        <v>43</v>
      </c>
      <c r="BC89" s="23" t="s">
        <v>1935</v>
      </c>
      <c r="BD89" s="23"/>
      <c r="BE89" s="23" t="s">
        <v>2359</v>
      </c>
      <c r="BF89" s="23" t="s">
        <v>164</v>
      </c>
      <c r="BG89" s="23" t="s">
        <v>2360</v>
      </c>
      <c r="BH89" s="23" t="s">
        <v>2331</v>
      </c>
      <c r="BI89" s="23" t="s">
        <v>2361</v>
      </c>
      <c r="BJ89" s="23"/>
      <c r="BK89" s="23"/>
      <c r="BL89" s="23"/>
    </row>
    <row r="90" spans="1:64" ht="30" customHeight="1">
      <c r="A90" s="23" t="s">
        <v>669</v>
      </c>
      <c r="B90" s="23" t="s">
        <v>1932</v>
      </c>
      <c r="C90" s="23">
        <v>85</v>
      </c>
      <c r="D90" s="23" t="s">
        <v>674</v>
      </c>
      <c r="E90" s="23" t="s">
        <v>669</v>
      </c>
      <c r="F90" s="23"/>
      <c r="G90" s="23" t="s">
        <v>161</v>
      </c>
      <c r="H90" s="23" t="s">
        <v>164</v>
      </c>
      <c r="I90" s="23"/>
      <c r="J90" s="23" t="s">
        <v>282</v>
      </c>
      <c r="K90" s="23"/>
      <c r="L90" s="23"/>
      <c r="M90" s="23"/>
      <c r="N90" s="23" t="s">
        <v>1933</v>
      </c>
      <c r="O90" s="23" t="s">
        <v>670</v>
      </c>
      <c r="P90" s="23" t="s">
        <v>660</v>
      </c>
      <c r="Q90" s="23" t="s">
        <v>670</v>
      </c>
      <c r="R90" s="23" t="s">
        <v>178</v>
      </c>
      <c r="S90" s="23" t="s">
        <v>671</v>
      </c>
      <c r="T90" s="23" t="s">
        <v>2362</v>
      </c>
      <c r="U90" s="23">
        <v>2024</v>
      </c>
      <c r="V90" s="23"/>
      <c r="W90" s="23" t="s">
        <v>163</v>
      </c>
      <c r="X90" s="23" t="s">
        <v>163</v>
      </c>
      <c r="Y90" s="23" t="s">
        <v>162</v>
      </c>
      <c r="Z90" s="23" t="s">
        <v>162</v>
      </c>
      <c r="AA90" s="23" t="s">
        <v>1934</v>
      </c>
      <c r="AB90" s="23" t="s">
        <v>1935</v>
      </c>
      <c r="AC90" s="23"/>
      <c r="AD90" s="23"/>
      <c r="AE90" s="23"/>
      <c r="AF90" s="23"/>
      <c r="AG90" s="23" t="s">
        <v>672</v>
      </c>
      <c r="AH90" s="23"/>
      <c r="AI90" s="23"/>
      <c r="AJ90" s="23"/>
      <c r="AK90" s="23"/>
      <c r="AL90" s="23"/>
      <c r="AM90" s="23" t="s">
        <v>2363</v>
      </c>
      <c r="AN90" s="23" t="s">
        <v>2364</v>
      </c>
      <c r="AO90" s="23">
        <v>606874.76</v>
      </c>
      <c r="AP90" s="23"/>
      <c r="AQ90" s="23">
        <v>300000</v>
      </c>
      <c r="AR90" s="23"/>
      <c r="AS90" s="23"/>
      <c r="AT90" s="23"/>
      <c r="AU90" s="23">
        <v>13133.46</v>
      </c>
      <c r="AV90" s="23"/>
      <c r="AW90" s="23"/>
      <c r="AX90" s="23"/>
      <c r="AY90" s="23"/>
      <c r="AZ90" s="23" t="s">
        <v>246</v>
      </c>
      <c r="BA90" s="23" t="s">
        <v>1938</v>
      </c>
      <c r="BB90" s="23">
        <v>261</v>
      </c>
      <c r="BC90" s="23" t="s">
        <v>1935</v>
      </c>
      <c r="BD90" s="23"/>
      <c r="BE90" s="23" t="s">
        <v>2365</v>
      </c>
      <c r="BF90" s="23" t="s">
        <v>2366</v>
      </c>
      <c r="BG90" s="23" t="s">
        <v>1940</v>
      </c>
      <c r="BH90" s="23" t="s">
        <v>2367</v>
      </c>
      <c r="BI90" s="23" t="s">
        <v>2368</v>
      </c>
      <c r="BJ90" s="23"/>
      <c r="BK90" s="23"/>
      <c r="BL90" s="23"/>
    </row>
    <row r="91" spans="1:64" ht="30" customHeight="1">
      <c r="A91" s="23" t="s">
        <v>675</v>
      </c>
      <c r="B91" s="23" t="s">
        <v>1932</v>
      </c>
      <c r="C91" s="23">
        <v>86</v>
      </c>
      <c r="D91" s="23" t="s">
        <v>680</v>
      </c>
      <c r="E91" s="23" t="s">
        <v>675</v>
      </c>
      <c r="F91" s="23"/>
      <c r="G91" s="23" t="s">
        <v>161</v>
      </c>
      <c r="H91" s="23" t="s">
        <v>164</v>
      </c>
      <c r="I91" s="23"/>
      <c r="J91" s="23" t="s">
        <v>174</v>
      </c>
      <c r="K91" s="23"/>
      <c r="L91" s="23"/>
      <c r="M91" s="23"/>
      <c r="N91" s="23" t="s">
        <v>1933</v>
      </c>
      <c r="O91" s="23" t="s">
        <v>676</v>
      </c>
      <c r="P91" s="23" t="s">
        <v>677</v>
      </c>
      <c r="Q91" s="23" t="s">
        <v>676</v>
      </c>
      <c r="R91" s="23" t="s">
        <v>178</v>
      </c>
      <c r="S91" s="23" t="s">
        <v>678</v>
      </c>
      <c r="T91" s="23"/>
      <c r="U91" s="23">
        <v>2015</v>
      </c>
      <c r="V91" s="23"/>
      <c r="W91" s="23" t="s">
        <v>163</v>
      </c>
      <c r="X91" s="23" t="s">
        <v>2369</v>
      </c>
      <c r="Y91" s="23" t="s">
        <v>2071</v>
      </c>
      <c r="Z91" s="23" t="s">
        <v>642</v>
      </c>
      <c r="AA91" s="23" t="s">
        <v>2335</v>
      </c>
      <c r="AB91" s="23" t="s">
        <v>2058</v>
      </c>
      <c r="AC91" s="23">
        <v>25</v>
      </c>
      <c r="AD91" s="23"/>
      <c r="AE91" s="23"/>
      <c r="AF91" s="23"/>
      <c r="AG91" s="23"/>
      <c r="AH91" s="23"/>
      <c r="AI91" s="23"/>
      <c r="AJ91" s="23"/>
      <c r="AK91" s="23"/>
      <c r="AL91" s="23"/>
      <c r="AM91" s="23" t="s">
        <v>2370</v>
      </c>
      <c r="AN91" s="23"/>
      <c r="AO91" s="23">
        <v>8278.27</v>
      </c>
      <c r="AP91" s="23"/>
      <c r="AQ91" s="23">
        <v>4966.96</v>
      </c>
      <c r="AR91" s="23"/>
      <c r="AS91" s="23"/>
      <c r="AT91" s="23"/>
      <c r="AU91" s="23"/>
      <c r="AV91" s="23"/>
      <c r="AW91" s="23">
        <v>4966.96</v>
      </c>
      <c r="AX91" s="23"/>
      <c r="AY91" s="23"/>
      <c r="AZ91" s="23"/>
      <c r="BA91" s="23" t="s">
        <v>2141</v>
      </c>
      <c r="BB91" s="23">
        <v>663</v>
      </c>
      <c r="BC91" s="23" t="s">
        <v>2061</v>
      </c>
      <c r="BD91" s="23" t="s">
        <v>2097</v>
      </c>
      <c r="BE91" s="23" t="s">
        <v>2371</v>
      </c>
      <c r="BF91" s="23" t="s">
        <v>164</v>
      </c>
      <c r="BG91" s="23" t="s">
        <v>2118</v>
      </c>
      <c r="BH91" s="23" t="s">
        <v>2331</v>
      </c>
      <c r="BI91" s="23" t="s">
        <v>2372</v>
      </c>
      <c r="BJ91" s="23"/>
      <c r="BK91" s="23"/>
      <c r="BL91" s="23"/>
    </row>
    <row r="92" spans="1:64" ht="30" customHeight="1">
      <c r="A92" s="23" t="s">
        <v>681</v>
      </c>
      <c r="B92" s="23" t="s">
        <v>1932</v>
      </c>
      <c r="C92" s="23">
        <v>87</v>
      </c>
      <c r="D92" s="23" t="s">
        <v>687</v>
      </c>
      <c r="E92" s="23" t="s">
        <v>681</v>
      </c>
      <c r="F92" s="23"/>
      <c r="G92" s="23" t="s">
        <v>161</v>
      </c>
      <c r="H92" s="23" t="s">
        <v>164</v>
      </c>
      <c r="I92" s="23"/>
      <c r="J92" s="23" t="s">
        <v>182</v>
      </c>
      <c r="K92" s="23"/>
      <c r="L92" s="23"/>
      <c r="M92" s="23" t="s">
        <v>688</v>
      </c>
      <c r="N92" s="23" t="s">
        <v>1933</v>
      </c>
      <c r="O92" s="23" t="s">
        <v>682</v>
      </c>
      <c r="P92" s="23" t="s">
        <v>683</v>
      </c>
      <c r="Q92" s="23" t="s">
        <v>682</v>
      </c>
      <c r="R92" s="23" t="s">
        <v>178</v>
      </c>
      <c r="S92" s="23" t="s">
        <v>684</v>
      </c>
      <c r="T92" s="23" t="s">
        <v>2373</v>
      </c>
      <c r="U92" s="23">
        <v>2018</v>
      </c>
      <c r="V92" s="23"/>
      <c r="W92" s="23" t="s">
        <v>163</v>
      </c>
      <c r="X92" s="23" t="s">
        <v>2374</v>
      </c>
      <c r="Y92" s="23" t="s">
        <v>300</v>
      </c>
      <c r="Z92" s="23" t="s">
        <v>642</v>
      </c>
      <c r="AA92" s="23" t="s">
        <v>2335</v>
      </c>
      <c r="AB92" s="23" t="s">
        <v>2114</v>
      </c>
      <c r="AC92" s="23">
        <v>55</v>
      </c>
      <c r="AD92" s="23" t="s">
        <v>1149</v>
      </c>
      <c r="AE92" s="23"/>
      <c r="AF92" s="23"/>
      <c r="AG92" s="23" t="s">
        <v>685</v>
      </c>
      <c r="AH92" s="23"/>
      <c r="AI92" s="23"/>
      <c r="AJ92" s="23"/>
      <c r="AK92" s="23"/>
      <c r="AL92" s="23"/>
      <c r="AM92" s="23" t="s">
        <v>2375</v>
      </c>
      <c r="AN92" s="23" t="s">
        <v>2376</v>
      </c>
      <c r="AO92" s="23">
        <v>11676.1</v>
      </c>
      <c r="AP92" s="23"/>
      <c r="AQ92" s="23">
        <v>29457.95</v>
      </c>
      <c r="AR92" s="23"/>
      <c r="AS92" s="23"/>
      <c r="AT92" s="23"/>
      <c r="AU92" s="23"/>
      <c r="AV92" s="23"/>
      <c r="AW92" s="23">
        <v>29457.95</v>
      </c>
      <c r="AX92" s="23"/>
      <c r="AY92" s="23"/>
      <c r="AZ92" s="23"/>
      <c r="BA92" s="23" t="s">
        <v>2376</v>
      </c>
      <c r="BB92" s="23">
        <v>36</v>
      </c>
      <c r="BC92" s="23" t="s">
        <v>2061</v>
      </c>
      <c r="BD92" s="23" t="s">
        <v>2062</v>
      </c>
      <c r="BE92" s="23" t="s">
        <v>2377</v>
      </c>
      <c r="BF92" s="23" t="s">
        <v>164</v>
      </c>
      <c r="BG92" s="23" t="s">
        <v>2064</v>
      </c>
      <c r="BH92" s="23" t="s">
        <v>2331</v>
      </c>
      <c r="BI92" s="23" t="s">
        <v>2378</v>
      </c>
      <c r="BJ92" s="23" t="s">
        <v>2379</v>
      </c>
      <c r="BK92" s="23"/>
      <c r="BL92" s="23"/>
    </row>
    <row r="93" spans="1:64" ht="30" customHeight="1">
      <c r="A93" s="23" t="s">
        <v>689</v>
      </c>
      <c r="B93" s="23" t="s">
        <v>1932</v>
      </c>
      <c r="C93" s="23">
        <v>88</v>
      </c>
      <c r="D93" s="23" t="s">
        <v>695</v>
      </c>
      <c r="E93" s="23" t="s">
        <v>689</v>
      </c>
      <c r="F93" s="23"/>
      <c r="G93" s="23" t="s">
        <v>161</v>
      </c>
      <c r="H93" s="23" t="s">
        <v>164</v>
      </c>
      <c r="I93" s="23"/>
      <c r="J93" s="23" t="s">
        <v>206</v>
      </c>
      <c r="K93" s="23"/>
      <c r="L93" s="23"/>
      <c r="M93" s="23"/>
      <c r="N93" s="23" t="s">
        <v>1933</v>
      </c>
      <c r="O93" s="23" t="s">
        <v>690</v>
      </c>
      <c r="P93" s="23" t="s">
        <v>691</v>
      </c>
      <c r="Q93" s="23" t="s">
        <v>690</v>
      </c>
      <c r="R93" s="23" t="s">
        <v>178</v>
      </c>
      <c r="S93" s="23" t="s">
        <v>692</v>
      </c>
      <c r="T93" s="23"/>
      <c r="U93" s="23">
        <v>2020</v>
      </c>
      <c r="V93" s="23"/>
      <c r="W93" s="23" t="s">
        <v>163</v>
      </c>
      <c r="X93" s="23" t="s">
        <v>2374</v>
      </c>
      <c r="Y93" s="23" t="s">
        <v>2071</v>
      </c>
      <c r="Z93" s="23" t="s">
        <v>642</v>
      </c>
      <c r="AA93" s="23" t="s">
        <v>2335</v>
      </c>
      <c r="AB93" s="23" t="s">
        <v>2114</v>
      </c>
      <c r="AC93" s="23">
        <v>45</v>
      </c>
      <c r="AD93" s="23"/>
      <c r="AE93" s="23"/>
      <c r="AF93" s="23"/>
      <c r="AG93" s="23" t="s">
        <v>693</v>
      </c>
      <c r="AH93" s="23"/>
      <c r="AI93" s="23"/>
      <c r="AJ93" s="23"/>
      <c r="AK93" s="23"/>
      <c r="AL93" s="23"/>
      <c r="AM93" s="23" t="s">
        <v>2380</v>
      </c>
      <c r="AN93" s="23" t="s">
        <v>2381</v>
      </c>
      <c r="AO93" s="23">
        <v>691268.27</v>
      </c>
      <c r="AP93" s="23"/>
      <c r="AQ93" s="23">
        <v>690268.27</v>
      </c>
      <c r="AR93" s="23"/>
      <c r="AS93" s="23"/>
      <c r="AT93" s="23"/>
      <c r="AU93" s="23"/>
      <c r="AV93" s="23"/>
      <c r="AW93" s="23">
        <v>690268.27</v>
      </c>
      <c r="AX93" s="23"/>
      <c r="AY93" s="23"/>
      <c r="AZ93" s="23"/>
      <c r="BA93" s="23" t="s">
        <v>2381</v>
      </c>
      <c r="BB93" s="23">
        <v>257</v>
      </c>
      <c r="BC93" s="23" t="s">
        <v>2061</v>
      </c>
      <c r="BD93" s="23" t="s">
        <v>2097</v>
      </c>
      <c r="BE93" s="23" t="s">
        <v>2382</v>
      </c>
      <c r="BF93" s="23" t="s">
        <v>164</v>
      </c>
      <c r="BG93" s="23" t="s">
        <v>2077</v>
      </c>
      <c r="BH93" s="23" t="s">
        <v>2331</v>
      </c>
      <c r="BI93" s="23" t="s">
        <v>2383</v>
      </c>
      <c r="BJ93" s="23"/>
      <c r="BK93" s="23"/>
      <c r="BL93" s="23"/>
    </row>
    <row r="94" spans="1:64" ht="30" customHeight="1">
      <c r="A94" s="23" t="s">
        <v>696</v>
      </c>
      <c r="B94" s="23" t="s">
        <v>1932</v>
      </c>
      <c r="C94" s="23">
        <v>89</v>
      </c>
      <c r="D94" s="23" t="s">
        <v>701</v>
      </c>
      <c r="E94" s="23" t="s">
        <v>696</v>
      </c>
      <c r="F94" s="23"/>
      <c r="G94" s="23" t="s">
        <v>161</v>
      </c>
      <c r="H94" s="23" t="s">
        <v>164</v>
      </c>
      <c r="I94" s="23"/>
      <c r="J94" s="23" t="s">
        <v>182</v>
      </c>
      <c r="K94" s="23"/>
      <c r="L94" s="23"/>
      <c r="M94" s="23" t="s">
        <v>380</v>
      </c>
      <c r="N94" s="23" t="s">
        <v>1933</v>
      </c>
      <c r="O94" s="23" t="s">
        <v>697</v>
      </c>
      <c r="P94" s="23" t="s">
        <v>698</v>
      </c>
      <c r="Q94" s="23" t="s">
        <v>697</v>
      </c>
      <c r="R94" s="23" t="s">
        <v>178</v>
      </c>
      <c r="S94" s="23" t="s">
        <v>461</v>
      </c>
      <c r="T94" s="23"/>
      <c r="U94" s="23">
        <v>2019</v>
      </c>
      <c r="V94" s="23"/>
      <c r="W94" s="23" t="s">
        <v>163</v>
      </c>
      <c r="X94" s="23" t="s">
        <v>2384</v>
      </c>
      <c r="Y94" s="23" t="s">
        <v>300</v>
      </c>
      <c r="Z94" s="23" t="s">
        <v>642</v>
      </c>
      <c r="AA94" s="23" t="s">
        <v>2335</v>
      </c>
      <c r="AB94" s="23" t="s">
        <v>2208</v>
      </c>
      <c r="AC94" s="23">
        <v>65</v>
      </c>
      <c r="AD94" s="23" t="s">
        <v>1149</v>
      </c>
      <c r="AE94" s="23"/>
      <c r="AF94" s="23"/>
      <c r="AG94" s="23" t="s">
        <v>699</v>
      </c>
      <c r="AH94" s="23"/>
      <c r="AI94" s="23"/>
      <c r="AJ94" s="23"/>
      <c r="AK94" s="23"/>
      <c r="AL94" s="23"/>
      <c r="AM94" s="23" t="s">
        <v>2385</v>
      </c>
      <c r="AN94" s="23" t="s">
        <v>2386</v>
      </c>
      <c r="AO94" s="23">
        <v>2018074.76</v>
      </c>
      <c r="AP94" s="23"/>
      <c r="AQ94" s="23">
        <v>250000</v>
      </c>
      <c r="AR94" s="23"/>
      <c r="AS94" s="23"/>
      <c r="AT94" s="23"/>
      <c r="AU94" s="23"/>
      <c r="AV94" s="23"/>
      <c r="AW94" s="23">
        <v>250000</v>
      </c>
      <c r="AX94" s="23"/>
      <c r="AY94" s="23"/>
      <c r="AZ94" s="23"/>
      <c r="BA94" s="23" t="s">
        <v>1938</v>
      </c>
      <c r="BB94" s="23">
        <v>261</v>
      </c>
      <c r="BC94" s="23" t="s">
        <v>2061</v>
      </c>
      <c r="BD94" s="23" t="s">
        <v>2062</v>
      </c>
      <c r="BE94" s="23" t="s">
        <v>2387</v>
      </c>
      <c r="BF94" s="23" t="s">
        <v>164</v>
      </c>
      <c r="BG94" s="23" t="s">
        <v>2064</v>
      </c>
      <c r="BH94" s="23" t="s">
        <v>2331</v>
      </c>
      <c r="BI94" s="23" t="s">
        <v>2388</v>
      </c>
      <c r="BJ94" s="23" t="s">
        <v>2389</v>
      </c>
      <c r="BK94" s="23"/>
      <c r="BL94" s="23"/>
    </row>
    <row r="95" spans="1:64" ht="30" customHeight="1">
      <c r="A95" s="23" t="s">
        <v>702</v>
      </c>
      <c r="B95" s="23" t="s">
        <v>1932</v>
      </c>
      <c r="C95" s="23">
        <v>90</v>
      </c>
      <c r="D95" s="23" t="s">
        <v>709</v>
      </c>
      <c r="E95" s="23" t="s">
        <v>702</v>
      </c>
      <c r="F95" s="23"/>
      <c r="G95" s="23" t="s">
        <v>161</v>
      </c>
      <c r="H95" s="23" t="s">
        <v>164</v>
      </c>
      <c r="I95" s="23"/>
      <c r="J95" s="23" t="s">
        <v>206</v>
      </c>
      <c r="K95" s="23"/>
      <c r="L95" s="23"/>
      <c r="M95" s="23" t="s">
        <v>246</v>
      </c>
      <c r="N95" s="23" t="s">
        <v>1933</v>
      </c>
      <c r="O95" s="23" t="s">
        <v>703</v>
      </c>
      <c r="P95" s="23" t="s">
        <v>704</v>
      </c>
      <c r="Q95" s="23" t="s">
        <v>703</v>
      </c>
      <c r="R95" s="23" t="s">
        <v>706</v>
      </c>
      <c r="S95" s="23" t="s">
        <v>705</v>
      </c>
      <c r="T95" s="23"/>
      <c r="U95" s="23">
        <v>2020</v>
      </c>
      <c r="V95" s="23"/>
      <c r="W95" s="23" t="s">
        <v>163</v>
      </c>
      <c r="X95" s="23" t="s">
        <v>2390</v>
      </c>
      <c r="Y95" s="23" t="s">
        <v>300</v>
      </c>
      <c r="Z95" s="23" t="s">
        <v>642</v>
      </c>
      <c r="AA95" s="23" t="s">
        <v>2335</v>
      </c>
      <c r="AB95" s="23" t="s">
        <v>2058</v>
      </c>
      <c r="AC95" s="23">
        <v>35</v>
      </c>
      <c r="AD95" s="23"/>
      <c r="AE95" s="23"/>
      <c r="AF95" s="23"/>
      <c r="AG95" s="23" t="s">
        <v>707</v>
      </c>
      <c r="AH95" s="23"/>
      <c r="AI95" s="23"/>
      <c r="AJ95" s="23"/>
      <c r="AK95" s="23"/>
      <c r="AL95" s="23"/>
      <c r="AM95" s="23" t="s">
        <v>2391</v>
      </c>
      <c r="AN95" s="23" t="s">
        <v>2381</v>
      </c>
      <c r="AO95" s="23">
        <v>73704.320000000007</v>
      </c>
      <c r="AP95" s="23"/>
      <c r="AQ95" s="23">
        <v>60000</v>
      </c>
      <c r="AR95" s="23"/>
      <c r="AS95" s="23"/>
      <c r="AT95" s="23"/>
      <c r="AU95" s="23"/>
      <c r="AV95" s="23"/>
      <c r="AW95" s="23">
        <v>60000</v>
      </c>
      <c r="AX95" s="23"/>
      <c r="AY95" s="23"/>
      <c r="AZ95" s="23"/>
      <c r="BA95" s="23" t="s">
        <v>2381</v>
      </c>
      <c r="BB95" s="23">
        <v>257</v>
      </c>
      <c r="BC95" s="23" t="s">
        <v>2061</v>
      </c>
      <c r="BD95" s="23" t="s">
        <v>2097</v>
      </c>
      <c r="BE95" s="23" t="s">
        <v>2392</v>
      </c>
      <c r="BF95" s="23" t="s">
        <v>164</v>
      </c>
      <c r="BG95" s="23" t="s">
        <v>2064</v>
      </c>
      <c r="BH95" s="23" t="s">
        <v>2331</v>
      </c>
      <c r="BI95" s="23" t="s">
        <v>2393</v>
      </c>
      <c r="BJ95" s="23"/>
      <c r="BK95" s="23"/>
      <c r="BL95" s="23"/>
    </row>
    <row r="96" spans="1:64" ht="30" customHeight="1">
      <c r="A96" s="23" t="s">
        <v>710</v>
      </c>
      <c r="B96" s="23" t="s">
        <v>1932</v>
      </c>
      <c r="C96" s="23">
        <v>91</v>
      </c>
      <c r="D96" s="23" t="s">
        <v>714</v>
      </c>
      <c r="E96" s="23" t="s">
        <v>710</v>
      </c>
      <c r="F96" s="23"/>
      <c r="G96" s="23" t="s">
        <v>161</v>
      </c>
      <c r="H96" s="23" t="s">
        <v>164</v>
      </c>
      <c r="I96" s="23"/>
      <c r="J96" s="23" t="s">
        <v>182</v>
      </c>
      <c r="K96" s="23"/>
      <c r="L96" s="23"/>
      <c r="M96" s="23" t="s">
        <v>380</v>
      </c>
      <c r="N96" s="23" t="s">
        <v>1933</v>
      </c>
      <c r="O96" s="23" t="s">
        <v>697</v>
      </c>
      <c r="P96" s="23" t="s">
        <v>711</v>
      </c>
      <c r="Q96" s="23" t="s">
        <v>697</v>
      </c>
      <c r="R96" s="23" t="s">
        <v>178</v>
      </c>
      <c r="S96" s="23" t="s">
        <v>461</v>
      </c>
      <c r="T96" s="23"/>
      <c r="U96" s="23">
        <v>2019</v>
      </c>
      <c r="V96" s="23"/>
      <c r="W96" s="23" t="s">
        <v>163</v>
      </c>
      <c r="X96" s="23" t="s">
        <v>2394</v>
      </c>
      <c r="Y96" s="23" t="s">
        <v>300</v>
      </c>
      <c r="Z96" s="23" t="s">
        <v>642</v>
      </c>
      <c r="AA96" s="23" t="s">
        <v>2335</v>
      </c>
      <c r="AB96" s="23" t="s">
        <v>2208</v>
      </c>
      <c r="AC96" s="23">
        <v>80</v>
      </c>
      <c r="AD96" s="23" t="s">
        <v>1149</v>
      </c>
      <c r="AE96" s="23"/>
      <c r="AF96" s="23"/>
      <c r="AG96" s="23" t="s">
        <v>712</v>
      </c>
      <c r="AH96" s="23"/>
      <c r="AI96" s="23"/>
      <c r="AJ96" s="23"/>
      <c r="AK96" s="23"/>
      <c r="AL96" s="23"/>
      <c r="AM96" s="23" t="s">
        <v>2395</v>
      </c>
      <c r="AN96" s="23" t="s">
        <v>2396</v>
      </c>
      <c r="AO96" s="23">
        <v>2681428.54</v>
      </c>
      <c r="AP96" s="23"/>
      <c r="AQ96" s="23">
        <v>2023357.8</v>
      </c>
      <c r="AR96" s="23"/>
      <c r="AS96" s="23"/>
      <c r="AT96" s="23"/>
      <c r="AU96" s="23">
        <v>26266.92</v>
      </c>
      <c r="AV96" s="23"/>
      <c r="AW96" s="23">
        <v>1997090.8800000001</v>
      </c>
      <c r="AX96" s="23"/>
      <c r="AY96" s="23"/>
      <c r="AZ96" s="23"/>
      <c r="BA96" s="23" t="s">
        <v>2396</v>
      </c>
      <c r="BB96" s="23">
        <v>181</v>
      </c>
      <c r="BC96" s="23" t="s">
        <v>2061</v>
      </c>
      <c r="BD96" s="23" t="s">
        <v>2062</v>
      </c>
      <c r="BE96" s="23" t="s">
        <v>2397</v>
      </c>
      <c r="BF96" s="23" t="s">
        <v>164</v>
      </c>
      <c r="BG96" s="23" t="s">
        <v>2064</v>
      </c>
      <c r="BH96" s="23" t="s">
        <v>2331</v>
      </c>
      <c r="BI96" s="23" t="s">
        <v>2398</v>
      </c>
      <c r="BJ96" s="23" t="s">
        <v>2389</v>
      </c>
      <c r="BK96" s="23"/>
      <c r="BL96" s="23"/>
    </row>
    <row r="97" spans="1:64" ht="30" customHeight="1">
      <c r="A97" s="23" t="s">
        <v>715</v>
      </c>
      <c r="B97" s="23" t="s">
        <v>1932</v>
      </c>
      <c r="C97" s="23">
        <v>92</v>
      </c>
      <c r="D97" s="23" t="s">
        <v>720</v>
      </c>
      <c r="E97" s="23" t="s">
        <v>715</v>
      </c>
      <c r="F97" s="23"/>
      <c r="G97" s="23" t="s">
        <v>161</v>
      </c>
      <c r="H97" s="23" t="s">
        <v>164</v>
      </c>
      <c r="I97" s="23"/>
      <c r="J97" s="23"/>
      <c r="K97" s="23"/>
      <c r="L97" s="23"/>
      <c r="M97" s="23"/>
      <c r="N97" s="23" t="s">
        <v>1933</v>
      </c>
      <c r="O97" s="23" t="s">
        <v>716</v>
      </c>
      <c r="P97" s="23" t="s">
        <v>166</v>
      </c>
      <c r="Q97" s="23" t="s">
        <v>716</v>
      </c>
      <c r="R97" s="23" t="s">
        <v>178</v>
      </c>
      <c r="S97" s="23" t="s">
        <v>717</v>
      </c>
      <c r="T97" s="23" t="s">
        <v>2399</v>
      </c>
      <c r="U97" s="23">
        <v>2025</v>
      </c>
      <c r="V97" s="23"/>
      <c r="W97" s="23" t="s">
        <v>163</v>
      </c>
      <c r="X97" s="23" t="s">
        <v>2400</v>
      </c>
      <c r="Y97" s="23" t="s">
        <v>162</v>
      </c>
      <c r="Z97" s="23" t="s">
        <v>162</v>
      </c>
      <c r="AA97" s="23" t="s">
        <v>1934</v>
      </c>
      <c r="AB97" s="23" t="s">
        <v>1935</v>
      </c>
      <c r="AC97" s="23"/>
      <c r="AD97" s="23"/>
      <c r="AE97" s="23"/>
      <c r="AF97" s="23"/>
      <c r="AG97" s="23" t="s">
        <v>718</v>
      </c>
      <c r="AH97" s="23"/>
      <c r="AI97" s="23"/>
      <c r="AJ97" s="23"/>
      <c r="AK97" s="23"/>
      <c r="AL97" s="23"/>
      <c r="AM97" s="23" t="s">
        <v>2401</v>
      </c>
      <c r="AN97" s="23"/>
      <c r="AO97" s="23">
        <v>37297.279999999999</v>
      </c>
      <c r="AP97" s="23"/>
      <c r="AQ97" s="23"/>
      <c r="AR97" s="23"/>
      <c r="AS97" s="23"/>
      <c r="AT97" s="23"/>
      <c r="AU97" s="23"/>
      <c r="AV97" s="23"/>
      <c r="AW97" s="23"/>
      <c r="AX97" s="23"/>
      <c r="AY97" s="23"/>
      <c r="AZ97" s="23"/>
      <c r="BA97" s="23" t="s">
        <v>1938</v>
      </c>
      <c r="BB97" s="23">
        <v>261</v>
      </c>
      <c r="BC97" s="23" t="s">
        <v>1935</v>
      </c>
      <c r="BD97" s="23"/>
      <c r="BE97" s="23" t="s">
        <v>2402</v>
      </c>
      <c r="BF97" s="23" t="s">
        <v>2366</v>
      </c>
      <c r="BG97" s="23" t="s">
        <v>1940</v>
      </c>
      <c r="BH97" s="23" t="s">
        <v>2403</v>
      </c>
      <c r="BI97" s="23" t="s">
        <v>2404</v>
      </c>
      <c r="BJ97" s="23" t="s">
        <v>2405</v>
      </c>
      <c r="BK97" s="23"/>
      <c r="BL97" s="23"/>
    </row>
    <row r="98" spans="1:64" ht="30" customHeight="1">
      <c r="A98" s="23" t="s">
        <v>721</v>
      </c>
      <c r="B98" s="23" t="s">
        <v>1932</v>
      </c>
      <c r="C98" s="23">
        <v>93</v>
      </c>
      <c r="D98" s="23" t="s">
        <v>727</v>
      </c>
      <c r="E98" s="23" t="s">
        <v>721</v>
      </c>
      <c r="F98" s="23"/>
      <c r="G98" s="23" t="s">
        <v>161</v>
      </c>
      <c r="H98" s="23" t="s">
        <v>238</v>
      </c>
      <c r="I98" s="23"/>
      <c r="J98" s="23"/>
      <c r="K98" s="23"/>
      <c r="L98" s="23"/>
      <c r="M98" s="23" t="s">
        <v>246</v>
      </c>
      <c r="N98" s="23" t="s">
        <v>1933</v>
      </c>
      <c r="O98" s="23" t="s">
        <v>722</v>
      </c>
      <c r="P98" s="23" t="s">
        <v>166</v>
      </c>
      <c r="Q98" s="23" t="s">
        <v>722</v>
      </c>
      <c r="R98" s="23" t="s">
        <v>724</v>
      </c>
      <c r="S98" s="23" t="s">
        <v>723</v>
      </c>
      <c r="T98" s="23" t="s">
        <v>2269</v>
      </c>
      <c r="U98" s="23">
        <v>2024</v>
      </c>
      <c r="V98" s="23"/>
      <c r="W98" s="23" t="s">
        <v>163</v>
      </c>
      <c r="X98" s="23" t="s">
        <v>163</v>
      </c>
      <c r="Y98" s="23" t="s">
        <v>300</v>
      </c>
      <c r="Z98" s="23" t="s">
        <v>728</v>
      </c>
      <c r="AA98" s="23" t="s">
        <v>2406</v>
      </c>
      <c r="AB98" s="23" t="s">
        <v>2058</v>
      </c>
      <c r="AC98" s="23">
        <v>25</v>
      </c>
      <c r="AD98" s="23"/>
      <c r="AE98" s="23"/>
      <c r="AF98" s="23"/>
      <c r="AG98" s="23" t="s">
        <v>725</v>
      </c>
      <c r="AH98" s="23"/>
      <c r="AI98" s="23"/>
      <c r="AJ98" s="23"/>
      <c r="AK98" s="23"/>
      <c r="AL98" s="23"/>
      <c r="AM98" s="23" t="s">
        <v>2407</v>
      </c>
      <c r="AN98" s="23" t="s">
        <v>2408</v>
      </c>
      <c r="AO98" s="23">
        <v>15000</v>
      </c>
      <c r="AP98" s="23"/>
      <c r="AQ98" s="23"/>
      <c r="AR98" s="23"/>
      <c r="AS98" s="23"/>
      <c r="AT98" s="23"/>
      <c r="AU98" s="23"/>
      <c r="AV98" s="23"/>
      <c r="AW98" s="23"/>
      <c r="AX98" s="23"/>
      <c r="AY98" s="23"/>
      <c r="AZ98" s="23"/>
      <c r="BA98" s="23" t="s">
        <v>2408</v>
      </c>
      <c r="BB98" s="23">
        <v>42</v>
      </c>
      <c r="BC98" s="23" t="s">
        <v>2061</v>
      </c>
      <c r="BD98" s="23" t="s">
        <v>2075</v>
      </c>
      <c r="BE98" s="23" t="s">
        <v>2409</v>
      </c>
      <c r="BF98" s="23" t="s">
        <v>238</v>
      </c>
      <c r="BG98" s="23" t="s">
        <v>2064</v>
      </c>
      <c r="BH98" s="23" t="s">
        <v>2410</v>
      </c>
      <c r="BI98" s="23" t="s">
        <v>2411</v>
      </c>
      <c r="BJ98" s="23"/>
      <c r="BK98" s="23"/>
      <c r="BL98" s="23"/>
    </row>
    <row r="99" spans="1:64" ht="30" customHeight="1">
      <c r="A99" s="23" t="s">
        <v>729</v>
      </c>
      <c r="B99" s="23" t="s">
        <v>1932</v>
      </c>
      <c r="C99" s="23">
        <v>94</v>
      </c>
      <c r="D99" s="23" t="s">
        <v>732</v>
      </c>
      <c r="E99" s="23" t="s">
        <v>417</v>
      </c>
      <c r="F99" s="23"/>
      <c r="G99" s="23" t="s">
        <v>161</v>
      </c>
      <c r="H99" s="23" t="s">
        <v>164</v>
      </c>
      <c r="I99" s="23"/>
      <c r="J99" s="23"/>
      <c r="K99" s="23"/>
      <c r="L99" s="23"/>
      <c r="M99" s="23"/>
      <c r="N99" s="23" t="s">
        <v>1933</v>
      </c>
      <c r="O99" s="23" t="s">
        <v>412</v>
      </c>
      <c r="P99" s="23" t="s">
        <v>166</v>
      </c>
      <c r="Q99" s="23" t="s">
        <v>412</v>
      </c>
      <c r="R99" s="23" t="s">
        <v>178</v>
      </c>
      <c r="S99" s="23" t="s">
        <v>730</v>
      </c>
      <c r="T99" s="23"/>
      <c r="U99" s="23">
        <v>2018</v>
      </c>
      <c r="V99" s="23"/>
      <c r="W99" s="23" t="s">
        <v>163</v>
      </c>
      <c r="X99" s="23" t="s">
        <v>163</v>
      </c>
      <c r="Y99" s="23" t="s">
        <v>2071</v>
      </c>
      <c r="Z99" s="23" t="s">
        <v>316</v>
      </c>
      <c r="AA99" s="23" t="s">
        <v>2412</v>
      </c>
      <c r="AB99" s="23" t="s">
        <v>2313</v>
      </c>
      <c r="AC99" s="23">
        <v>10</v>
      </c>
      <c r="AD99" s="23"/>
      <c r="AE99" s="23"/>
      <c r="AF99" s="23"/>
      <c r="AG99" s="23" t="s">
        <v>571</v>
      </c>
      <c r="AH99" s="23"/>
      <c r="AI99" s="23"/>
      <c r="AJ99" s="23"/>
      <c r="AK99" s="23"/>
      <c r="AL99" s="23"/>
      <c r="AM99" s="23" t="s">
        <v>1556</v>
      </c>
      <c r="AN99" s="23"/>
      <c r="AO99" s="23"/>
      <c r="AP99" s="23"/>
      <c r="AQ99" s="23"/>
      <c r="AR99" s="23"/>
      <c r="AS99" s="23"/>
      <c r="AT99" s="23"/>
      <c r="AU99" s="23"/>
      <c r="AV99" s="23"/>
      <c r="AW99" s="23"/>
      <c r="AX99" s="23"/>
      <c r="AY99" s="23"/>
      <c r="AZ99" s="23"/>
      <c r="BA99" s="23" t="s">
        <v>1946</v>
      </c>
      <c r="BB99" s="23">
        <v>804</v>
      </c>
      <c r="BC99" s="23" t="s">
        <v>2061</v>
      </c>
      <c r="BD99" s="23" t="s">
        <v>2075</v>
      </c>
      <c r="BE99" s="23" t="s">
        <v>2413</v>
      </c>
      <c r="BF99" s="23" t="s">
        <v>2366</v>
      </c>
      <c r="BG99" s="23" t="s">
        <v>2118</v>
      </c>
      <c r="BH99" s="23" t="s">
        <v>2077</v>
      </c>
      <c r="BI99" s="23" t="s">
        <v>2414</v>
      </c>
      <c r="BJ99" s="23"/>
      <c r="BK99" s="23"/>
      <c r="BL99" s="23"/>
    </row>
    <row r="100" spans="1:64" ht="30" customHeight="1">
      <c r="A100" s="23" t="s">
        <v>733</v>
      </c>
      <c r="B100" s="23" t="s">
        <v>1932</v>
      </c>
      <c r="C100" s="23">
        <v>95</v>
      </c>
      <c r="D100" s="23" t="s">
        <v>739</v>
      </c>
      <c r="E100" s="23" t="s">
        <v>733</v>
      </c>
      <c r="F100" s="23"/>
      <c r="G100" s="23" t="s">
        <v>161</v>
      </c>
      <c r="H100" s="23" t="s">
        <v>238</v>
      </c>
      <c r="I100" s="23"/>
      <c r="J100" s="23" t="s">
        <v>174</v>
      </c>
      <c r="K100" s="23"/>
      <c r="L100" s="23"/>
      <c r="M100" s="23" t="s">
        <v>262</v>
      </c>
      <c r="N100" s="23" t="s">
        <v>1933</v>
      </c>
      <c r="O100" s="23" t="s">
        <v>734</v>
      </c>
      <c r="P100" s="23" t="s">
        <v>735</v>
      </c>
      <c r="Q100" s="23" t="s">
        <v>734</v>
      </c>
      <c r="R100" s="23" t="s">
        <v>242</v>
      </c>
      <c r="S100" s="23" t="s">
        <v>736</v>
      </c>
      <c r="T100" s="23" t="s">
        <v>2415</v>
      </c>
      <c r="U100" s="23">
        <v>2021</v>
      </c>
      <c r="V100" s="23"/>
      <c r="W100" s="23" t="s">
        <v>163</v>
      </c>
      <c r="X100" s="23" t="s">
        <v>163</v>
      </c>
      <c r="Y100" s="23" t="s">
        <v>300</v>
      </c>
      <c r="Z100" s="23" t="s">
        <v>740</v>
      </c>
      <c r="AA100" s="23" t="s">
        <v>2416</v>
      </c>
      <c r="AB100" s="23" t="s">
        <v>2058</v>
      </c>
      <c r="AC100" s="23">
        <v>35</v>
      </c>
      <c r="AD100" s="23" t="s">
        <v>1129</v>
      </c>
      <c r="AE100" s="23"/>
      <c r="AF100" s="23"/>
      <c r="AG100" s="23" t="s">
        <v>737</v>
      </c>
      <c r="AH100" s="23"/>
      <c r="AI100" s="23"/>
      <c r="AJ100" s="23"/>
      <c r="AK100" s="23"/>
      <c r="AL100" s="23"/>
      <c r="AM100" s="23" t="s">
        <v>2417</v>
      </c>
      <c r="AN100" s="23"/>
      <c r="AO100" s="23">
        <v>1245291.1000000001</v>
      </c>
      <c r="AP100" s="23"/>
      <c r="AQ100" s="23"/>
      <c r="AR100" s="23"/>
      <c r="AS100" s="23"/>
      <c r="AT100" s="23"/>
      <c r="AU100" s="23"/>
      <c r="AV100" s="23"/>
      <c r="AW100" s="23"/>
      <c r="AX100" s="23"/>
      <c r="AY100" s="23"/>
      <c r="AZ100" s="23"/>
      <c r="BA100" s="23" t="s">
        <v>2019</v>
      </c>
      <c r="BB100" s="23">
        <v>264</v>
      </c>
      <c r="BC100" s="23" t="s">
        <v>2061</v>
      </c>
      <c r="BD100" s="23" t="s">
        <v>2085</v>
      </c>
      <c r="BE100" s="23" t="s">
        <v>2418</v>
      </c>
      <c r="BF100" s="23" t="s">
        <v>238</v>
      </c>
      <c r="BG100" s="23" t="s">
        <v>2064</v>
      </c>
      <c r="BH100" s="23" t="s">
        <v>2419</v>
      </c>
      <c r="BI100" s="23" t="s">
        <v>2420</v>
      </c>
      <c r="BJ100" s="23" t="s">
        <v>2023</v>
      </c>
      <c r="BK100" s="23"/>
      <c r="BL100" s="23"/>
    </row>
    <row r="101" spans="1:64" ht="30" customHeight="1">
      <c r="A101" s="23" t="s">
        <v>741</v>
      </c>
      <c r="B101" s="23" t="s">
        <v>1932</v>
      </c>
      <c r="C101" s="23">
        <v>96</v>
      </c>
      <c r="D101" s="23" t="s">
        <v>746</v>
      </c>
      <c r="E101" s="23" t="s">
        <v>741</v>
      </c>
      <c r="F101" s="23"/>
      <c r="G101" s="23" t="s">
        <v>161</v>
      </c>
      <c r="H101" s="23" t="s">
        <v>238</v>
      </c>
      <c r="I101" s="23"/>
      <c r="J101" s="23" t="s">
        <v>282</v>
      </c>
      <c r="K101" s="23"/>
      <c r="L101" s="23"/>
      <c r="M101" s="23"/>
      <c r="N101" s="23" t="s">
        <v>1933</v>
      </c>
      <c r="O101" s="23" t="s">
        <v>742</v>
      </c>
      <c r="P101" s="23" t="s">
        <v>743</v>
      </c>
      <c r="Q101" s="23" t="s">
        <v>742</v>
      </c>
      <c r="R101" s="23" t="s">
        <v>242</v>
      </c>
      <c r="S101" s="23"/>
      <c r="T101" s="23" t="s">
        <v>2254</v>
      </c>
      <c r="U101" s="23">
        <v>2025</v>
      </c>
      <c r="V101" s="23"/>
      <c r="W101" s="23" t="s">
        <v>163</v>
      </c>
      <c r="X101" s="23" t="s">
        <v>2421</v>
      </c>
      <c r="Y101" s="23" t="s">
        <v>162</v>
      </c>
      <c r="Z101" s="23" t="s">
        <v>162</v>
      </c>
      <c r="AA101" s="23" t="s">
        <v>1934</v>
      </c>
      <c r="AB101" s="23" t="s">
        <v>1935</v>
      </c>
      <c r="AC101" s="23"/>
      <c r="AD101" s="23"/>
      <c r="AE101" s="23"/>
      <c r="AF101" s="23"/>
      <c r="AG101" s="23" t="s">
        <v>744</v>
      </c>
      <c r="AH101" s="23"/>
      <c r="AI101" s="23"/>
      <c r="AJ101" s="23"/>
      <c r="AK101" s="23"/>
      <c r="AL101" s="23"/>
      <c r="AM101" s="23" t="s">
        <v>2422</v>
      </c>
      <c r="AN101" s="23" t="s">
        <v>2423</v>
      </c>
      <c r="AO101" s="23">
        <v>13116.91</v>
      </c>
      <c r="AP101" s="23"/>
      <c r="AQ101" s="23"/>
      <c r="AR101" s="23"/>
      <c r="AS101" s="23"/>
      <c r="AT101" s="23"/>
      <c r="AU101" s="23"/>
      <c r="AV101" s="23"/>
      <c r="AW101" s="23"/>
      <c r="AX101" s="23"/>
      <c r="AY101" s="23"/>
      <c r="AZ101" s="23"/>
      <c r="BA101" s="23" t="s">
        <v>1938</v>
      </c>
      <c r="BB101" s="23">
        <v>261</v>
      </c>
      <c r="BC101" s="23" t="s">
        <v>1935</v>
      </c>
      <c r="BD101" s="23"/>
      <c r="BE101" s="23" t="s">
        <v>2424</v>
      </c>
      <c r="BF101" s="23" t="s">
        <v>238</v>
      </c>
      <c r="BG101" s="23" t="s">
        <v>1940</v>
      </c>
      <c r="BH101" s="23" t="s">
        <v>2301</v>
      </c>
      <c r="BI101" s="23" t="s">
        <v>741</v>
      </c>
      <c r="BJ101" s="23" t="s">
        <v>2425</v>
      </c>
      <c r="BK101" s="23"/>
      <c r="BL101" s="23"/>
    </row>
    <row r="102" spans="1:64" ht="30" customHeight="1">
      <c r="A102" s="23" t="s">
        <v>747</v>
      </c>
      <c r="B102" s="23" t="s">
        <v>1932</v>
      </c>
      <c r="C102" s="23">
        <v>97</v>
      </c>
      <c r="D102" s="23" t="s">
        <v>752</v>
      </c>
      <c r="E102" s="23" t="s">
        <v>753</v>
      </c>
      <c r="F102" s="23"/>
      <c r="G102" s="23" t="s">
        <v>161</v>
      </c>
      <c r="H102" s="23" t="s">
        <v>164</v>
      </c>
      <c r="I102" s="23"/>
      <c r="J102" s="23"/>
      <c r="K102" s="23"/>
      <c r="L102" s="23"/>
      <c r="M102" s="23" t="s">
        <v>246</v>
      </c>
      <c r="N102" s="23"/>
      <c r="O102" s="23" t="s">
        <v>748</v>
      </c>
      <c r="P102" s="23" t="s">
        <v>749</v>
      </c>
      <c r="Q102" s="23"/>
      <c r="R102" s="23" t="s">
        <v>450</v>
      </c>
      <c r="S102" s="23"/>
      <c r="T102" s="23" t="s">
        <v>2426</v>
      </c>
      <c r="U102" s="23">
        <v>2024</v>
      </c>
      <c r="V102" s="23"/>
      <c r="W102" s="23" t="s">
        <v>163</v>
      </c>
      <c r="X102" s="23"/>
      <c r="Y102" s="23" t="s">
        <v>300</v>
      </c>
      <c r="Z102" s="23"/>
      <c r="AA102" s="23"/>
      <c r="AB102" s="23" t="s">
        <v>2058</v>
      </c>
      <c r="AC102" s="23">
        <v>25</v>
      </c>
      <c r="AD102" s="23"/>
      <c r="AE102" s="23"/>
      <c r="AF102" s="23"/>
      <c r="AG102" s="23" t="s">
        <v>750</v>
      </c>
      <c r="AH102" s="23"/>
      <c r="AI102" s="23"/>
      <c r="AJ102" s="23"/>
      <c r="AK102" s="23"/>
      <c r="AL102" s="23"/>
      <c r="AM102" s="23" t="s">
        <v>1565</v>
      </c>
      <c r="AN102" s="23" t="s">
        <v>2427</v>
      </c>
      <c r="AO102" s="23">
        <v>68004.679999999993</v>
      </c>
      <c r="AP102" s="23"/>
      <c r="AQ102" s="23"/>
      <c r="AR102" s="23"/>
      <c r="AS102" s="23"/>
      <c r="AT102" s="23"/>
      <c r="AU102" s="23"/>
      <c r="AV102" s="23"/>
      <c r="AW102" s="23"/>
      <c r="AX102" s="23"/>
      <c r="AY102" s="23"/>
      <c r="AZ102" s="23"/>
      <c r="BA102" s="23" t="s">
        <v>2428</v>
      </c>
      <c r="BB102" s="23">
        <v>252</v>
      </c>
      <c r="BC102" s="23" t="s">
        <v>2061</v>
      </c>
      <c r="BD102" s="23" t="s">
        <v>2429</v>
      </c>
      <c r="BE102" s="23" t="s">
        <v>2430</v>
      </c>
      <c r="BF102" s="23" t="s">
        <v>164</v>
      </c>
      <c r="BG102" s="23" t="s">
        <v>2064</v>
      </c>
      <c r="BH102" s="23"/>
      <c r="BI102" s="23" t="s">
        <v>753</v>
      </c>
      <c r="BJ102" s="23"/>
      <c r="BK102" s="23"/>
      <c r="BL102" s="23"/>
    </row>
    <row r="103" spans="1:64" ht="30" customHeight="1">
      <c r="A103" s="23" t="s">
        <v>754</v>
      </c>
      <c r="B103" s="23" t="s">
        <v>1932</v>
      </c>
      <c r="C103" s="23">
        <v>98</v>
      </c>
      <c r="D103" s="23" t="s">
        <v>759</v>
      </c>
      <c r="E103" s="23" t="s">
        <v>754</v>
      </c>
      <c r="F103" s="23"/>
      <c r="G103" s="23" t="s">
        <v>161</v>
      </c>
      <c r="H103" s="23" t="s">
        <v>238</v>
      </c>
      <c r="I103" s="23"/>
      <c r="J103" s="23"/>
      <c r="K103" s="23"/>
      <c r="L103" s="23"/>
      <c r="M103" s="23" t="s">
        <v>246</v>
      </c>
      <c r="N103" s="23" t="s">
        <v>2431</v>
      </c>
      <c r="O103" s="23" t="s">
        <v>755</v>
      </c>
      <c r="P103" s="23" t="s">
        <v>756</v>
      </c>
      <c r="Q103" s="23" t="s">
        <v>756</v>
      </c>
      <c r="R103" s="23" t="s">
        <v>303</v>
      </c>
      <c r="S103" s="23"/>
      <c r="T103" s="23" t="s">
        <v>2046</v>
      </c>
      <c r="U103" s="23">
        <v>2025</v>
      </c>
      <c r="V103" s="23"/>
      <c r="W103" s="23" t="s">
        <v>163</v>
      </c>
      <c r="X103" s="23"/>
      <c r="Y103" s="23" t="s">
        <v>300</v>
      </c>
      <c r="Z103" s="23"/>
      <c r="AA103" s="23"/>
      <c r="AB103" s="23" t="s">
        <v>2313</v>
      </c>
      <c r="AC103" s="23">
        <v>10</v>
      </c>
      <c r="AD103" s="23" t="s">
        <v>1129</v>
      </c>
      <c r="AE103" s="23"/>
      <c r="AF103" s="23"/>
      <c r="AG103" s="23" t="s">
        <v>757</v>
      </c>
      <c r="AH103" s="23"/>
      <c r="AI103" s="23"/>
      <c r="AJ103" s="23"/>
      <c r="AK103" s="23"/>
      <c r="AL103" s="23"/>
      <c r="AM103" s="23" t="s">
        <v>1568</v>
      </c>
      <c r="AN103" s="23" t="s">
        <v>2432</v>
      </c>
      <c r="AO103" s="23">
        <v>10000</v>
      </c>
      <c r="AP103" s="23"/>
      <c r="AQ103" s="23"/>
      <c r="AR103" s="23"/>
      <c r="AS103" s="23"/>
      <c r="AT103" s="23"/>
      <c r="AU103" s="23"/>
      <c r="AV103" s="23"/>
      <c r="AW103" s="23"/>
      <c r="AX103" s="23"/>
      <c r="AY103" s="23"/>
      <c r="AZ103" s="23"/>
      <c r="BA103" s="23" t="s">
        <v>2428</v>
      </c>
      <c r="BB103" s="23">
        <v>252</v>
      </c>
      <c r="BC103" s="23" t="s">
        <v>2061</v>
      </c>
      <c r="BD103" s="23" t="s">
        <v>2282</v>
      </c>
      <c r="BE103" s="23" t="s">
        <v>2433</v>
      </c>
      <c r="BF103" s="23" t="s">
        <v>238</v>
      </c>
      <c r="BG103" s="23" t="s">
        <v>2434</v>
      </c>
      <c r="BH103" s="23"/>
      <c r="BI103" s="23" t="s">
        <v>2435</v>
      </c>
      <c r="BJ103" s="23" t="s">
        <v>2066</v>
      </c>
      <c r="BK103" s="23"/>
      <c r="BL103" s="23"/>
    </row>
    <row r="104" spans="1:64" ht="30" customHeight="1">
      <c r="A104" s="23" t="s">
        <v>760</v>
      </c>
      <c r="B104" s="23" t="s">
        <v>1932</v>
      </c>
      <c r="C104" s="23">
        <v>99</v>
      </c>
      <c r="D104" s="23" t="s">
        <v>765</v>
      </c>
      <c r="E104" s="23" t="s">
        <v>760</v>
      </c>
      <c r="F104" s="23"/>
      <c r="G104" s="23" t="s">
        <v>161</v>
      </c>
      <c r="H104" s="23" t="s">
        <v>164</v>
      </c>
      <c r="I104" s="23"/>
      <c r="J104" s="23"/>
      <c r="K104" s="23"/>
      <c r="L104" s="23"/>
      <c r="M104" s="23" t="s">
        <v>632</v>
      </c>
      <c r="N104" s="23" t="s">
        <v>1933</v>
      </c>
      <c r="O104" s="23" t="s">
        <v>761</v>
      </c>
      <c r="P104" s="23" t="s">
        <v>762</v>
      </c>
      <c r="Q104" s="23" t="s">
        <v>761</v>
      </c>
      <c r="R104" s="23" t="s">
        <v>441</v>
      </c>
      <c r="S104" s="23" t="s">
        <v>763</v>
      </c>
      <c r="T104" s="23"/>
      <c r="U104" s="23">
        <v>2025</v>
      </c>
      <c r="V104" s="23"/>
      <c r="W104" s="23" t="s">
        <v>163</v>
      </c>
      <c r="X104" s="23"/>
      <c r="Y104" s="23" t="s">
        <v>300</v>
      </c>
      <c r="Z104" s="23"/>
      <c r="AA104" s="23"/>
      <c r="AB104" s="23" t="s">
        <v>2114</v>
      </c>
      <c r="AC104" s="23">
        <v>55</v>
      </c>
      <c r="AD104" s="23" t="s">
        <v>1149</v>
      </c>
      <c r="AE104" s="23"/>
      <c r="AF104" s="23"/>
      <c r="AG104" s="23"/>
      <c r="AH104" s="23"/>
      <c r="AI104" s="23"/>
      <c r="AJ104" s="23"/>
      <c r="AK104" s="23"/>
      <c r="AL104" s="23"/>
      <c r="AM104" s="23" t="s">
        <v>2436</v>
      </c>
      <c r="AN104" s="23" t="s">
        <v>2323</v>
      </c>
      <c r="AO104" s="23">
        <v>350000</v>
      </c>
      <c r="AP104" s="23"/>
      <c r="AQ104" s="23">
        <v>453450.18</v>
      </c>
      <c r="AR104" s="23"/>
      <c r="AS104" s="23"/>
      <c r="AT104" s="23"/>
      <c r="AU104" s="23"/>
      <c r="AV104" s="23"/>
      <c r="AW104" s="23">
        <v>453450.18</v>
      </c>
      <c r="AX104" s="23"/>
      <c r="AY104" s="23"/>
      <c r="AZ104" s="23"/>
      <c r="BA104" s="23" t="s">
        <v>2437</v>
      </c>
      <c r="BB104" s="23">
        <v>30</v>
      </c>
      <c r="BC104" s="23" t="s">
        <v>2190</v>
      </c>
      <c r="BD104" s="23" t="s">
        <v>2438</v>
      </c>
      <c r="BE104" s="23" t="s">
        <v>2439</v>
      </c>
      <c r="BF104" s="23" t="s">
        <v>164</v>
      </c>
      <c r="BG104" s="23" t="s">
        <v>2064</v>
      </c>
      <c r="BH104" s="23"/>
      <c r="BI104" s="23" t="s">
        <v>2440</v>
      </c>
      <c r="BJ104" s="23" t="s">
        <v>2327</v>
      </c>
      <c r="BK104" s="23"/>
      <c r="BL104" s="23"/>
    </row>
    <row r="105" spans="1:64" ht="30" customHeight="1">
      <c r="A105" s="23" t="s">
        <v>766</v>
      </c>
      <c r="B105" s="23" t="s">
        <v>1932</v>
      </c>
      <c r="C105" s="23">
        <v>100</v>
      </c>
      <c r="D105" s="23" t="s">
        <v>770</v>
      </c>
      <c r="E105" s="23" t="s">
        <v>766</v>
      </c>
      <c r="F105" s="23"/>
      <c r="G105" s="23" t="s">
        <v>161</v>
      </c>
      <c r="H105" s="23" t="s">
        <v>164</v>
      </c>
      <c r="I105" s="23"/>
      <c r="J105" s="23" t="s">
        <v>282</v>
      </c>
      <c r="K105" s="23"/>
      <c r="L105" s="23"/>
      <c r="M105" s="23" t="s">
        <v>246</v>
      </c>
      <c r="N105" s="23" t="s">
        <v>1933</v>
      </c>
      <c r="O105" s="23" t="s">
        <v>767</v>
      </c>
      <c r="P105" s="23" t="s">
        <v>768</v>
      </c>
      <c r="Q105" s="23" t="s">
        <v>767</v>
      </c>
      <c r="R105" s="23" t="s">
        <v>178</v>
      </c>
      <c r="S105" s="23"/>
      <c r="T105" s="23"/>
      <c r="U105" s="23"/>
      <c r="V105" s="23"/>
      <c r="W105" s="23" t="s">
        <v>163</v>
      </c>
      <c r="X105" s="23"/>
      <c r="Y105" s="23" t="s">
        <v>2031</v>
      </c>
      <c r="Z105" s="23"/>
      <c r="AA105" s="23"/>
      <c r="AB105" s="23" t="s">
        <v>1935</v>
      </c>
      <c r="AC105" s="23"/>
      <c r="AD105" s="23"/>
      <c r="AE105" s="23"/>
      <c r="AF105" s="23"/>
      <c r="AG105" s="23"/>
      <c r="AH105" s="23"/>
      <c r="AI105" s="23"/>
      <c r="AJ105" s="23"/>
      <c r="AK105" s="23"/>
      <c r="AL105" s="23"/>
      <c r="AM105" s="23"/>
      <c r="AN105" s="23"/>
      <c r="AO105" s="23">
        <v>295800</v>
      </c>
      <c r="AP105" s="23"/>
      <c r="AQ105" s="23"/>
      <c r="AR105" s="23"/>
      <c r="AS105" s="23"/>
      <c r="AT105" s="23"/>
      <c r="AU105" s="23"/>
      <c r="AV105" s="23"/>
      <c r="AW105" s="23"/>
      <c r="AX105" s="23"/>
      <c r="AY105" s="23"/>
      <c r="AZ105" s="23"/>
      <c r="BA105" s="23" t="s">
        <v>2428</v>
      </c>
      <c r="BB105" s="23">
        <v>252</v>
      </c>
      <c r="BC105" s="23" t="s">
        <v>1935</v>
      </c>
      <c r="BD105" s="23"/>
      <c r="BE105" s="23" t="s">
        <v>2441</v>
      </c>
      <c r="BF105" s="23" t="s">
        <v>164</v>
      </c>
      <c r="BG105" s="23" t="s">
        <v>2035</v>
      </c>
      <c r="BH105" s="23"/>
      <c r="BI105" s="23" t="s">
        <v>766</v>
      </c>
      <c r="BJ105" s="23" t="s">
        <v>2442</v>
      </c>
      <c r="BK105" s="23"/>
      <c r="BL105" s="23"/>
    </row>
    <row r="106" spans="1:64" ht="30" customHeight="1">
      <c r="A106" s="23" t="s">
        <v>771</v>
      </c>
      <c r="B106" s="23" t="s">
        <v>1932</v>
      </c>
      <c r="C106" s="23">
        <v>101</v>
      </c>
      <c r="D106" s="23" t="s">
        <v>774</v>
      </c>
      <c r="E106" s="23" t="s">
        <v>771</v>
      </c>
      <c r="F106" s="23"/>
      <c r="G106" s="23" t="s">
        <v>161</v>
      </c>
      <c r="H106" s="23" t="s">
        <v>164</v>
      </c>
      <c r="I106" s="23"/>
      <c r="J106" s="23" t="s">
        <v>282</v>
      </c>
      <c r="K106" s="23"/>
      <c r="L106" s="23"/>
      <c r="M106" s="23"/>
      <c r="N106" s="23" t="s">
        <v>1933</v>
      </c>
      <c r="O106" s="23" t="s">
        <v>772</v>
      </c>
      <c r="P106" s="23" t="s">
        <v>768</v>
      </c>
      <c r="Q106" s="23" t="s">
        <v>772</v>
      </c>
      <c r="R106" s="23" t="s">
        <v>178</v>
      </c>
      <c r="S106" s="23"/>
      <c r="T106" s="23"/>
      <c r="U106" s="23"/>
      <c r="V106" s="23"/>
      <c r="W106" s="23" t="s">
        <v>163</v>
      </c>
      <c r="X106" s="23"/>
      <c r="Y106" s="23" t="s">
        <v>2031</v>
      </c>
      <c r="Z106" s="23"/>
      <c r="AA106" s="23"/>
      <c r="AB106" s="23" t="s">
        <v>1935</v>
      </c>
      <c r="AC106" s="23"/>
      <c r="AD106" s="23"/>
      <c r="AE106" s="23"/>
      <c r="AF106" s="23"/>
      <c r="AG106" s="23"/>
      <c r="AH106" s="23"/>
      <c r="AI106" s="23"/>
      <c r="AJ106" s="23"/>
      <c r="AK106" s="23"/>
      <c r="AL106" s="23"/>
      <c r="AM106" s="23" t="s">
        <v>2443</v>
      </c>
      <c r="AN106" s="23" t="s">
        <v>2218</v>
      </c>
      <c r="AO106" s="23">
        <v>360876</v>
      </c>
      <c r="AP106" s="23"/>
      <c r="AQ106" s="23"/>
      <c r="AR106" s="23"/>
      <c r="AS106" s="23"/>
      <c r="AT106" s="23"/>
      <c r="AU106" s="23"/>
      <c r="AV106" s="23"/>
      <c r="AW106" s="23"/>
      <c r="AX106" s="23"/>
      <c r="AY106" s="23"/>
      <c r="AZ106" s="23"/>
      <c r="BA106" s="23" t="s">
        <v>2428</v>
      </c>
      <c r="BB106" s="23">
        <v>252</v>
      </c>
      <c r="BC106" s="23" t="s">
        <v>1935</v>
      </c>
      <c r="BD106" s="23"/>
      <c r="BE106" s="23" t="s">
        <v>2444</v>
      </c>
      <c r="BF106" s="23" t="s">
        <v>164</v>
      </c>
      <c r="BG106" s="23" t="s">
        <v>2035</v>
      </c>
      <c r="BH106" s="23"/>
      <c r="BI106" s="23" t="s">
        <v>771</v>
      </c>
      <c r="BJ106" s="23" t="s">
        <v>2442</v>
      </c>
      <c r="BK106" s="23"/>
      <c r="BL106" s="23"/>
    </row>
    <row r="107" spans="1:64" ht="30" customHeight="1">
      <c r="A107" s="23" t="s">
        <v>775</v>
      </c>
      <c r="B107" s="23" t="s">
        <v>1932</v>
      </c>
      <c r="C107" s="23">
        <v>102</v>
      </c>
      <c r="D107" s="23" t="s">
        <v>780</v>
      </c>
      <c r="E107" s="23" t="s">
        <v>775</v>
      </c>
      <c r="F107" s="23"/>
      <c r="G107" s="23" t="s">
        <v>161</v>
      </c>
      <c r="H107" s="23" t="s">
        <v>164</v>
      </c>
      <c r="I107" s="23"/>
      <c r="J107" s="23"/>
      <c r="K107" s="23"/>
      <c r="L107" s="23"/>
      <c r="M107" s="23" t="s">
        <v>246</v>
      </c>
      <c r="N107" s="23" t="s">
        <v>1933</v>
      </c>
      <c r="O107" s="23" t="s">
        <v>776</v>
      </c>
      <c r="P107" s="23" t="s">
        <v>777</v>
      </c>
      <c r="Q107" s="23" t="s">
        <v>776</v>
      </c>
      <c r="R107" s="23" t="s">
        <v>178</v>
      </c>
      <c r="S107" s="23"/>
      <c r="T107" s="23"/>
      <c r="U107" s="23">
        <v>2018</v>
      </c>
      <c r="V107" s="23"/>
      <c r="W107" s="23" t="s">
        <v>163</v>
      </c>
      <c r="X107" s="23"/>
      <c r="Y107" s="23" t="s">
        <v>162</v>
      </c>
      <c r="Z107" s="23" t="s">
        <v>162</v>
      </c>
      <c r="AA107" s="23" t="s">
        <v>1934</v>
      </c>
      <c r="AB107" s="23" t="s">
        <v>1935</v>
      </c>
      <c r="AC107" s="23"/>
      <c r="AD107" s="23" t="s">
        <v>1129</v>
      </c>
      <c r="AE107" s="23"/>
      <c r="AF107" s="23"/>
      <c r="AG107" s="23" t="s">
        <v>778</v>
      </c>
      <c r="AH107" s="23"/>
      <c r="AI107" s="23"/>
      <c r="AJ107" s="23"/>
      <c r="AK107" s="23"/>
      <c r="AL107" s="23"/>
      <c r="AM107" s="23" t="s">
        <v>2445</v>
      </c>
      <c r="AN107" s="23" t="s">
        <v>2446</v>
      </c>
      <c r="AO107" s="23">
        <v>12952.93</v>
      </c>
      <c r="AP107" s="23"/>
      <c r="AQ107" s="23">
        <v>18091.02</v>
      </c>
      <c r="AR107" s="23"/>
      <c r="AS107" s="23"/>
      <c r="AT107" s="23"/>
      <c r="AU107" s="23"/>
      <c r="AV107" s="23"/>
      <c r="AW107" s="23"/>
      <c r="AX107" s="23"/>
      <c r="AY107" s="23"/>
      <c r="AZ107" s="23"/>
      <c r="BA107" s="23" t="s">
        <v>2236</v>
      </c>
      <c r="BB107" s="23">
        <v>232</v>
      </c>
      <c r="BC107" s="23" t="s">
        <v>1935</v>
      </c>
      <c r="BD107" s="23"/>
      <c r="BE107" s="23" t="s">
        <v>2447</v>
      </c>
      <c r="BF107" s="23" t="s">
        <v>164</v>
      </c>
      <c r="BG107" s="23" t="s">
        <v>1940</v>
      </c>
      <c r="BH107" s="23"/>
      <c r="BI107" s="23" t="s">
        <v>775</v>
      </c>
      <c r="BJ107" s="23" t="s">
        <v>2448</v>
      </c>
      <c r="BK107" s="23"/>
      <c r="BL107" s="23"/>
    </row>
    <row r="108" spans="1:64" ht="30" customHeight="1">
      <c r="A108" s="23" t="s">
        <v>781</v>
      </c>
      <c r="B108" s="23" t="s">
        <v>1932</v>
      </c>
      <c r="C108" s="23">
        <v>103</v>
      </c>
      <c r="D108" s="23" t="s">
        <v>786</v>
      </c>
      <c r="E108" s="23" t="s">
        <v>781</v>
      </c>
      <c r="F108" s="23"/>
      <c r="G108" s="23" t="s">
        <v>161</v>
      </c>
      <c r="H108" s="23" t="s">
        <v>164</v>
      </c>
      <c r="I108" s="23"/>
      <c r="J108" s="23"/>
      <c r="K108" s="23"/>
      <c r="L108" s="23"/>
      <c r="M108" s="23" t="s">
        <v>246</v>
      </c>
      <c r="N108" s="23" t="s">
        <v>1933</v>
      </c>
      <c r="O108" s="23" t="s">
        <v>782</v>
      </c>
      <c r="P108" s="23" t="s">
        <v>777</v>
      </c>
      <c r="Q108" s="23" t="s">
        <v>782</v>
      </c>
      <c r="R108" s="23" t="s">
        <v>178</v>
      </c>
      <c r="S108" s="23" t="s">
        <v>783</v>
      </c>
      <c r="T108" s="23"/>
      <c r="U108" s="23">
        <v>2019</v>
      </c>
      <c r="V108" s="23"/>
      <c r="W108" s="23" t="s">
        <v>163</v>
      </c>
      <c r="X108" s="23"/>
      <c r="Y108" s="23" t="s">
        <v>162</v>
      </c>
      <c r="Z108" s="23" t="s">
        <v>162</v>
      </c>
      <c r="AA108" s="23" t="s">
        <v>1934</v>
      </c>
      <c r="AB108" s="23" t="s">
        <v>1935</v>
      </c>
      <c r="AC108" s="23"/>
      <c r="AD108" s="23" t="s">
        <v>1129</v>
      </c>
      <c r="AE108" s="23"/>
      <c r="AF108" s="23"/>
      <c r="AG108" s="23" t="s">
        <v>784</v>
      </c>
      <c r="AH108" s="23"/>
      <c r="AI108" s="23"/>
      <c r="AJ108" s="23"/>
      <c r="AK108" s="23"/>
      <c r="AL108" s="23"/>
      <c r="AM108" s="23" t="s">
        <v>2449</v>
      </c>
      <c r="AN108" s="23" t="s">
        <v>2450</v>
      </c>
      <c r="AO108" s="23">
        <v>24889.15</v>
      </c>
      <c r="AP108" s="23"/>
      <c r="AQ108" s="23">
        <v>28497.87</v>
      </c>
      <c r="AR108" s="23"/>
      <c r="AS108" s="23"/>
      <c r="AT108" s="23"/>
      <c r="AU108" s="23"/>
      <c r="AV108" s="23"/>
      <c r="AW108" s="23"/>
      <c r="AX108" s="23"/>
      <c r="AY108" s="23"/>
      <c r="AZ108" s="23"/>
      <c r="BA108" s="23" t="s">
        <v>2451</v>
      </c>
      <c r="BB108" s="23">
        <v>244</v>
      </c>
      <c r="BC108" s="23" t="s">
        <v>1935</v>
      </c>
      <c r="BD108" s="23"/>
      <c r="BE108" s="23" t="s">
        <v>2452</v>
      </c>
      <c r="BF108" s="23" t="s">
        <v>164</v>
      </c>
      <c r="BG108" s="23" t="s">
        <v>1940</v>
      </c>
      <c r="BH108" s="23"/>
      <c r="BI108" s="23" t="s">
        <v>2453</v>
      </c>
      <c r="BJ108" s="23" t="s">
        <v>2448</v>
      </c>
      <c r="BK108" s="23"/>
      <c r="BL108" s="23"/>
    </row>
    <row r="109" spans="1:64" ht="30" customHeight="1">
      <c r="A109" s="23" t="s">
        <v>787</v>
      </c>
      <c r="B109" s="23" t="s">
        <v>1932</v>
      </c>
      <c r="C109" s="23">
        <v>104</v>
      </c>
      <c r="D109" s="23" t="s">
        <v>791</v>
      </c>
      <c r="E109" s="23" t="s">
        <v>787</v>
      </c>
      <c r="F109" s="23"/>
      <c r="G109" s="23" t="s">
        <v>161</v>
      </c>
      <c r="H109" s="23" t="s">
        <v>164</v>
      </c>
      <c r="I109" s="23"/>
      <c r="J109" s="23"/>
      <c r="K109" s="23"/>
      <c r="L109" s="23"/>
      <c r="M109" s="23"/>
      <c r="N109" s="23" t="s">
        <v>1933</v>
      </c>
      <c r="O109" s="23" t="s">
        <v>788</v>
      </c>
      <c r="P109" s="23" t="s">
        <v>777</v>
      </c>
      <c r="Q109" s="23" t="s">
        <v>788</v>
      </c>
      <c r="R109" s="23" t="s">
        <v>178</v>
      </c>
      <c r="S109" s="23"/>
      <c r="T109" s="23"/>
      <c r="U109" s="23">
        <v>2019</v>
      </c>
      <c r="V109" s="23"/>
      <c r="W109" s="23" t="s">
        <v>163</v>
      </c>
      <c r="X109" s="23"/>
      <c r="Y109" s="23" t="s">
        <v>300</v>
      </c>
      <c r="Z109" s="23"/>
      <c r="AA109" s="23"/>
      <c r="AB109" s="23" t="s">
        <v>2313</v>
      </c>
      <c r="AC109" s="23">
        <v>10</v>
      </c>
      <c r="AD109" s="23" t="s">
        <v>1129</v>
      </c>
      <c r="AE109" s="23"/>
      <c r="AF109" s="23"/>
      <c r="AG109" s="23" t="s">
        <v>789</v>
      </c>
      <c r="AH109" s="23"/>
      <c r="AI109" s="23"/>
      <c r="AJ109" s="23"/>
      <c r="AK109" s="23"/>
      <c r="AL109" s="23"/>
      <c r="AM109" s="23" t="s">
        <v>2454</v>
      </c>
      <c r="AN109" s="23" t="s">
        <v>2455</v>
      </c>
      <c r="AO109" s="23">
        <v>33486.449999999997</v>
      </c>
      <c r="AP109" s="23"/>
      <c r="AQ109" s="23">
        <v>1921.41</v>
      </c>
      <c r="AR109" s="23"/>
      <c r="AS109" s="23"/>
      <c r="AT109" s="23"/>
      <c r="AU109" s="23"/>
      <c r="AV109" s="23"/>
      <c r="AW109" s="23">
        <v>1921.41</v>
      </c>
      <c r="AX109" s="23"/>
      <c r="AY109" s="23"/>
      <c r="AZ109" s="23"/>
      <c r="BA109" s="23" t="s">
        <v>2089</v>
      </c>
      <c r="BB109" s="23">
        <v>243</v>
      </c>
      <c r="BC109" s="23" t="s">
        <v>2061</v>
      </c>
      <c r="BD109" s="23" t="s">
        <v>2438</v>
      </c>
      <c r="BE109" s="23" t="s">
        <v>2456</v>
      </c>
      <c r="BF109" s="23" t="s">
        <v>164</v>
      </c>
      <c r="BG109" s="23" t="s">
        <v>2064</v>
      </c>
      <c r="BH109" s="23"/>
      <c r="BI109" s="23" t="s">
        <v>787</v>
      </c>
      <c r="BJ109" s="23" t="s">
        <v>2448</v>
      </c>
      <c r="BK109" s="23"/>
      <c r="BL109" s="23"/>
    </row>
    <row r="110" spans="1:64" ht="30" customHeight="1">
      <c r="A110" s="23" t="s">
        <v>792</v>
      </c>
      <c r="B110" s="23" t="s">
        <v>1932</v>
      </c>
      <c r="C110" s="23">
        <v>105</v>
      </c>
      <c r="D110" s="23" t="s">
        <v>798</v>
      </c>
      <c r="E110" s="23" t="s">
        <v>792</v>
      </c>
      <c r="F110" s="23"/>
      <c r="G110" s="23" t="s">
        <v>161</v>
      </c>
      <c r="H110" s="23" t="s">
        <v>238</v>
      </c>
      <c r="I110" s="23"/>
      <c r="J110" s="23"/>
      <c r="K110" s="23"/>
      <c r="L110" s="23"/>
      <c r="M110" s="23" t="s">
        <v>246</v>
      </c>
      <c r="N110" s="23"/>
      <c r="O110" s="23" t="s">
        <v>793</v>
      </c>
      <c r="P110" s="23" t="s">
        <v>794</v>
      </c>
      <c r="Q110" s="23"/>
      <c r="R110" s="23" t="s">
        <v>795</v>
      </c>
      <c r="S110" s="23"/>
      <c r="T110" s="23" t="s">
        <v>2457</v>
      </c>
      <c r="U110" s="23">
        <v>2019</v>
      </c>
      <c r="V110" s="23"/>
      <c r="W110" s="23" t="s">
        <v>163</v>
      </c>
      <c r="X110" s="23"/>
      <c r="Y110" s="23" t="s">
        <v>300</v>
      </c>
      <c r="Z110" s="23"/>
      <c r="AA110" s="23"/>
      <c r="AB110" s="23" t="s">
        <v>2058</v>
      </c>
      <c r="AC110" s="23">
        <v>25</v>
      </c>
      <c r="AD110" s="23"/>
      <c r="AE110" s="23"/>
      <c r="AF110" s="23"/>
      <c r="AG110" s="23" t="s">
        <v>796</v>
      </c>
      <c r="AH110" s="23"/>
      <c r="AI110" s="23"/>
      <c r="AJ110" s="23"/>
      <c r="AK110" s="23"/>
      <c r="AL110" s="23"/>
      <c r="AM110" s="23" t="s">
        <v>2458</v>
      </c>
      <c r="AN110" s="23" t="s">
        <v>2459</v>
      </c>
      <c r="AO110" s="23">
        <v>171753.38</v>
      </c>
      <c r="AP110" s="23"/>
      <c r="AQ110" s="23"/>
      <c r="AR110" s="23"/>
      <c r="AS110" s="23"/>
      <c r="AT110" s="23"/>
      <c r="AU110" s="23"/>
      <c r="AV110" s="23"/>
      <c r="AW110" s="23"/>
      <c r="AX110" s="23"/>
      <c r="AY110" s="23"/>
      <c r="AZ110" s="23"/>
      <c r="BA110" s="23" t="s">
        <v>2451</v>
      </c>
      <c r="BB110" s="23">
        <v>244</v>
      </c>
      <c r="BC110" s="23" t="s">
        <v>2061</v>
      </c>
      <c r="BD110" s="23" t="s">
        <v>2429</v>
      </c>
      <c r="BE110" s="23" t="s">
        <v>2460</v>
      </c>
      <c r="BF110" s="23" t="s">
        <v>238</v>
      </c>
      <c r="BG110" s="23" t="s">
        <v>2064</v>
      </c>
      <c r="BH110" s="23"/>
      <c r="BI110" s="23" t="s">
        <v>792</v>
      </c>
      <c r="BJ110" s="23" t="s">
        <v>2003</v>
      </c>
      <c r="BK110" s="23"/>
      <c r="BL110" s="23"/>
    </row>
    <row r="111" spans="1:64" ht="30" customHeight="1">
      <c r="A111" s="23" t="s">
        <v>799</v>
      </c>
      <c r="B111" s="23" t="s">
        <v>1932</v>
      </c>
      <c r="C111" s="23">
        <v>106</v>
      </c>
      <c r="D111" s="23" t="s">
        <v>803</v>
      </c>
      <c r="E111" s="23" t="s">
        <v>804</v>
      </c>
      <c r="F111" s="23"/>
      <c r="G111" s="23" t="s">
        <v>161</v>
      </c>
      <c r="H111" s="23" t="s">
        <v>238</v>
      </c>
      <c r="I111" s="23"/>
      <c r="J111" s="23"/>
      <c r="K111" s="23"/>
      <c r="L111" s="23"/>
      <c r="M111" s="23" t="s">
        <v>246</v>
      </c>
      <c r="N111" s="23" t="s">
        <v>2431</v>
      </c>
      <c r="O111" s="23" t="s">
        <v>800</v>
      </c>
      <c r="P111" s="23" t="s">
        <v>801</v>
      </c>
      <c r="Q111" s="23" t="s">
        <v>801</v>
      </c>
      <c r="R111" s="23" t="s">
        <v>242</v>
      </c>
      <c r="S111" s="23"/>
      <c r="T111" s="23" t="s">
        <v>2461</v>
      </c>
      <c r="U111" s="23">
        <v>2026</v>
      </c>
      <c r="V111" s="23"/>
      <c r="W111" s="23" t="s">
        <v>163</v>
      </c>
      <c r="X111" s="23"/>
      <c r="Y111" s="23" t="s">
        <v>300</v>
      </c>
      <c r="Z111" s="23"/>
      <c r="AA111" s="23"/>
      <c r="AB111" s="23" t="s">
        <v>2058</v>
      </c>
      <c r="AC111" s="23">
        <v>25</v>
      </c>
      <c r="AD111" s="23"/>
      <c r="AE111" s="23"/>
      <c r="AF111" s="23"/>
      <c r="AG111" s="23"/>
      <c r="AH111" s="23"/>
      <c r="AI111" s="23"/>
      <c r="AJ111" s="23"/>
      <c r="AK111" s="23"/>
      <c r="AL111" s="23"/>
      <c r="AM111" s="23" t="s">
        <v>2462</v>
      </c>
      <c r="AN111" s="23" t="s">
        <v>2358</v>
      </c>
      <c r="AO111" s="23">
        <v>141556.26</v>
      </c>
      <c r="AP111" s="23"/>
      <c r="AQ111" s="23"/>
      <c r="AR111" s="23"/>
      <c r="AS111" s="23"/>
      <c r="AT111" s="23"/>
      <c r="AU111" s="23"/>
      <c r="AV111" s="23"/>
      <c r="AW111" s="23"/>
      <c r="AX111" s="23"/>
      <c r="AY111" s="23"/>
      <c r="AZ111" s="23"/>
      <c r="BA111" s="23" t="s">
        <v>2358</v>
      </c>
      <c r="BB111" s="23">
        <v>43</v>
      </c>
      <c r="BC111" s="23" t="s">
        <v>2061</v>
      </c>
      <c r="BD111" s="23" t="s">
        <v>2429</v>
      </c>
      <c r="BE111" s="23" t="s">
        <v>2463</v>
      </c>
      <c r="BF111" s="23" t="s">
        <v>238</v>
      </c>
      <c r="BG111" s="23" t="s">
        <v>2064</v>
      </c>
      <c r="BH111" s="23"/>
      <c r="BI111" s="23" t="s">
        <v>804</v>
      </c>
      <c r="BJ111" s="23"/>
      <c r="BK111" s="23"/>
      <c r="BL111" s="23"/>
    </row>
    <row r="112" spans="1:64" ht="30" customHeight="1">
      <c r="A112" s="23" t="s">
        <v>805</v>
      </c>
      <c r="B112" s="23" t="s">
        <v>1932</v>
      </c>
      <c r="C112" s="23">
        <v>107</v>
      </c>
      <c r="D112" s="23" t="s">
        <v>811</v>
      </c>
      <c r="E112" s="23" t="s">
        <v>805</v>
      </c>
      <c r="F112" s="23"/>
      <c r="G112" s="23" t="s">
        <v>161</v>
      </c>
      <c r="H112" s="23" t="s">
        <v>238</v>
      </c>
      <c r="I112" s="23"/>
      <c r="J112" s="23" t="s">
        <v>806</v>
      </c>
      <c r="K112" s="23"/>
      <c r="L112" s="23"/>
      <c r="M112" s="23" t="s">
        <v>246</v>
      </c>
      <c r="N112" s="23" t="s">
        <v>1933</v>
      </c>
      <c r="O112" s="23" t="s">
        <v>807</v>
      </c>
      <c r="P112" s="23" t="s">
        <v>808</v>
      </c>
      <c r="Q112" s="23" t="s">
        <v>807</v>
      </c>
      <c r="R112" s="23" t="s">
        <v>242</v>
      </c>
      <c r="S112" s="23"/>
      <c r="T112" s="23" t="s">
        <v>2464</v>
      </c>
      <c r="U112" s="23">
        <v>2019</v>
      </c>
      <c r="V112" s="23"/>
      <c r="W112" s="23" t="s">
        <v>163</v>
      </c>
      <c r="X112" s="23"/>
      <c r="Y112" s="23" t="s">
        <v>300</v>
      </c>
      <c r="Z112" s="23"/>
      <c r="AA112" s="23"/>
      <c r="AB112" s="23" t="s">
        <v>2313</v>
      </c>
      <c r="AC112" s="23">
        <v>15</v>
      </c>
      <c r="AD112" s="23"/>
      <c r="AE112" s="23"/>
      <c r="AF112" s="23"/>
      <c r="AG112" s="23" t="s">
        <v>809</v>
      </c>
      <c r="AH112" s="23"/>
      <c r="AI112" s="23"/>
      <c r="AJ112" s="23"/>
      <c r="AK112" s="23"/>
      <c r="AL112" s="23"/>
      <c r="AM112" s="23" t="s">
        <v>1591</v>
      </c>
      <c r="AN112" s="23" t="s">
        <v>2465</v>
      </c>
      <c r="AO112" s="23">
        <v>1939.12</v>
      </c>
      <c r="AP112" s="23"/>
      <c r="AQ112" s="23"/>
      <c r="AR112" s="23"/>
      <c r="AS112" s="23"/>
      <c r="AT112" s="23"/>
      <c r="AU112" s="23"/>
      <c r="AV112" s="23"/>
      <c r="AW112" s="23"/>
      <c r="AX112" s="23"/>
      <c r="AY112" s="23"/>
      <c r="AZ112" s="23"/>
      <c r="BA112" s="23" t="s">
        <v>2465</v>
      </c>
      <c r="BB112" s="23">
        <v>190</v>
      </c>
      <c r="BC112" s="23" t="s">
        <v>2061</v>
      </c>
      <c r="BD112" s="23" t="s">
        <v>2429</v>
      </c>
      <c r="BE112" s="23" t="s">
        <v>2466</v>
      </c>
      <c r="BF112" s="23" t="s">
        <v>238</v>
      </c>
      <c r="BG112" s="23" t="s">
        <v>2064</v>
      </c>
      <c r="BH112" s="23"/>
      <c r="BI112" s="23" t="s">
        <v>805</v>
      </c>
      <c r="BJ112" s="23"/>
      <c r="BK112" s="23"/>
      <c r="BL112" s="23"/>
    </row>
    <row r="113" spans="1:64" ht="30" customHeight="1">
      <c r="A113" s="23" t="s">
        <v>812</v>
      </c>
      <c r="B113" s="23" t="s">
        <v>1932</v>
      </c>
      <c r="C113" s="23">
        <v>108</v>
      </c>
      <c r="D113" s="23" t="s">
        <v>815</v>
      </c>
      <c r="E113" s="23" t="s">
        <v>753</v>
      </c>
      <c r="F113" s="23"/>
      <c r="G113" s="23" t="s">
        <v>161</v>
      </c>
      <c r="H113" s="23" t="s">
        <v>164</v>
      </c>
      <c r="I113" s="23"/>
      <c r="J113" s="23"/>
      <c r="K113" s="23"/>
      <c r="L113" s="23"/>
      <c r="M113" s="23" t="s">
        <v>246</v>
      </c>
      <c r="N113" s="23"/>
      <c r="O113" s="23" t="s">
        <v>748</v>
      </c>
      <c r="P113" s="23" t="s">
        <v>813</v>
      </c>
      <c r="Q113" s="23"/>
      <c r="R113" s="23" t="s">
        <v>450</v>
      </c>
      <c r="S113" s="23"/>
      <c r="T113" s="23" t="s">
        <v>2426</v>
      </c>
      <c r="U113" s="23">
        <v>2024</v>
      </c>
      <c r="V113" s="23"/>
      <c r="W113" s="23" t="s">
        <v>163</v>
      </c>
      <c r="X113" s="23"/>
      <c r="Y113" s="23" t="s">
        <v>300</v>
      </c>
      <c r="Z113" s="23"/>
      <c r="AA113" s="23"/>
      <c r="AB113" s="23" t="s">
        <v>2058</v>
      </c>
      <c r="AC113" s="23">
        <v>25</v>
      </c>
      <c r="AD113" s="23"/>
      <c r="AE113" s="23"/>
      <c r="AF113" s="23"/>
      <c r="AG113" s="23"/>
      <c r="AH113" s="23"/>
      <c r="AI113" s="23"/>
      <c r="AJ113" s="23"/>
      <c r="AK113" s="23"/>
      <c r="AL113" s="23"/>
      <c r="AM113" s="23" t="s">
        <v>2467</v>
      </c>
      <c r="AN113" s="23" t="s">
        <v>2396</v>
      </c>
      <c r="AO113" s="23">
        <v>68004.679999999993</v>
      </c>
      <c r="AP113" s="23"/>
      <c r="AQ113" s="23"/>
      <c r="AR113" s="23"/>
      <c r="AS113" s="23"/>
      <c r="AT113" s="23"/>
      <c r="AU113" s="23"/>
      <c r="AV113" s="23"/>
      <c r="AW113" s="23"/>
      <c r="AX113" s="23"/>
      <c r="AY113" s="23"/>
      <c r="AZ113" s="23"/>
      <c r="BA113" s="23" t="s">
        <v>2396</v>
      </c>
      <c r="BB113" s="23">
        <v>181</v>
      </c>
      <c r="BC113" s="23" t="s">
        <v>2061</v>
      </c>
      <c r="BD113" s="23" t="s">
        <v>2429</v>
      </c>
      <c r="BE113" s="23" t="s">
        <v>2468</v>
      </c>
      <c r="BF113" s="23" t="s">
        <v>164</v>
      </c>
      <c r="BG113" s="23" t="s">
        <v>2064</v>
      </c>
      <c r="BH113" s="23"/>
      <c r="BI113" s="23" t="s">
        <v>753</v>
      </c>
      <c r="BJ113" s="23"/>
      <c r="BK113" s="23" t="s">
        <v>2469</v>
      </c>
      <c r="BL113" s="23"/>
    </row>
    <row r="114" spans="1:64" ht="30" customHeight="1">
      <c r="A114" s="23" t="s">
        <v>816</v>
      </c>
      <c r="B114" s="23" t="s">
        <v>1932</v>
      </c>
      <c r="C114" s="23">
        <v>109</v>
      </c>
      <c r="D114" s="23" t="s">
        <v>821</v>
      </c>
      <c r="E114" s="23" t="s">
        <v>804</v>
      </c>
      <c r="F114" s="23"/>
      <c r="G114" s="23" t="s">
        <v>161</v>
      </c>
      <c r="H114" s="23" t="s">
        <v>238</v>
      </c>
      <c r="I114" s="23"/>
      <c r="J114" s="23"/>
      <c r="K114" s="23"/>
      <c r="L114" s="23"/>
      <c r="M114" s="23" t="s">
        <v>246</v>
      </c>
      <c r="N114" s="23" t="s">
        <v>1933</v>
      </c>
      <c r="O114" s="23" t="s">
        <v>817</v>
      </c>
      <c r="P114" s="23" t="s">
        <v>818</v>
      </c>
      <c r="Q114" s="23" t="s">
        <v>817</v>
      </c>
      <c r="R114" s="23" t="s">
        <v>242</v>
      </c>
      <c r="S114" s="23"/>
      <c r="T114" s="23"/>
      <c r="U114" s="23">
        <v>2026</v>
      </c>
      <c r="V114" s="23"/>
      <c r="W114" s="23" t="s">
        <v>163</v>
      </c>
      <c r="X114" s="23"/>
      <c r="Y114" s="23" t="s">
        <v>300</v>
      </c>
      <c r="Z114" s="23"/>
      <c r="AA114" s="23"/>
      <c r="AB114" s="23" t="s">
        <v>2313</v>
      </c>
      <c r="AC114" s="23">
        <v>10</v>
      </c>
      <c r="AD114" s="23"/>
      <c r="AE114" s="23"/>
      <c r="AF114" s="23"/>
      <c r="AG114" s="23" t="s">
        <v>819</v>
      </c>
      <c r="AH114" s="23"/>
      <c r="AI114" s="23"/>
      <c r="AJ114" s="23"/>
      <c r="AK114" s="23"/>
      <c r="AL114" s="23"/>
      <c r="AM114" s="23" t="s">
        <v>2470</v>
      </c>
      <c r="AN114" s="23" t="s">
        <v>2471</v>
      </c>
      <c r="AO114" s="23"/>
      <c r="AP114" s="23"/>
      <c r="AQ114" s="23"/>
      <c r="AR114" s="23"/>
      <c r="AS114" s="23"/>
      <c r="AT114" s="23"/>
      <c r="AU114" s="23"/>
      <c r="AV114" s="23"/>
      <c r="AW114" s="23"/>
      <c r="AX114" s="23"/>
      <c r="AY114" s="23"/>
      <c r="AZ114" s="23"/>
      <c r="BA114" s="23" t="s">
        <v>2437</v>
      </c>
      <c r="BB114" s="23">
        <v>30</v>
      </c>
      <c r="BC114" s="23" t="s">
        <v>2190</v>
      </c>
      <c r="BD114" s="23" t="s">
        <v>2429</v>
      </c>
      <c r="BE114" s="23" t="s">
        <v>2472</v>
      </c>
      <c r="BF114" s="23" t="s">
        <v>238</v>
      </c>
      <c r="BG114" s="23" t="s">
        <v>2473</v>
      </c>
      <c r="BH114" s="23"/>
      <c r="BI114" s="23" t="s">
        <v>804</v>
      </c>
      <c r="BJ114" s="23"/>
      <c r="BK114" s="23"/>
      <c r="BL114" s="23"/>
    </row>
    <row r="115" spans="1:64" ht="30" customHeight="1">
      <c r="A115" s="23" t="s">
        <v>822</v>
      </c>
      <c r="B115" s="23" t="s">
        <v>2474</v>
      </c>
      <c r="C115" s="23">
        <v>5</v>
      </c>
      <c r="D115" s="23" t="s">
        <v>829</v>
      </c>
      <c r="E115" s="23"/>
      <c r="F115" s="23" t="s">
        <v>822</v>
      </c>
      <c r="G115" s="23" t="s">
        <v>598</v>
      </c>
      <c r="H115" s="23" t="s">
        <v>824</v>
      </c>
      <c r="I115" s="23"/>
      <c r="J115" s="23"/>
      <c r="K115" s="23"/>
      <c r="L115" s="23"/>
      <c r="M115" s="23" t="s">
        <v>830</v>
      </c>
      <c r="N115" s="23" t="s">
        <v>1933</v>
      </c>
      <c r="O115" s="23" t="s">
        <v>825</v>
      </c>
      <c r="P115" s="23" t="s">
        <v>166</v>
      </c>
      <c r="Q115" s="23" t="s">
        <v>825</v>
      </c>
      <c r="R115" s="23" t="s">
        <v>826</v>
      </c>
      <c r="S115" s="23"/>
      <c r="T115" s="23" t="s">
        <v>2475</v>
      </c>
      <c r="U115" s="23">
        <v>2022</v>
      </c>
      <c r="V115" s="23"/>
      <c r="W115" s="23" t="s">
        <v>823</v>
      </c>
      <c r="X115" s="23" t="s">
        <v>2476</v>
      </c>
      <c r="Y115" s="23" t="s">
        <v>162</v>
      </c>
      <c r="Z115" s="23" t="s">
        <v>162</v>
      </c>
      <c r="AA115" s="23" t="s">
        <v>1934</v>
      </c>
      <c r="AB115" s="23" t="s">
        <v>1935</v>
      </c>
      <c r="AC115" s="23"/>
      <c r="AD115" s="23"/>
      <c r="AE115" s="23"/>
      <c r="AF115" s="23"/>
      <c r="AG115" s="23" t="s">
        <v>827</v>
      </c>
      <c r="AH115" s="23"/>
      <c r="AI115" s="23"/>
      <c r="AJ115" s="23"/>
      <c r="AK115" s="23"/>
      <c r="AL115" s="23"/>
      <c r="AM115" s="23" t="s">
        <v>2477</v>
      </c>
      <c r="AN115" s="23"/>
      <c r="AO115" s="23"/>
      <c r="AP115" s="23"/>
      <c r="AQ115" s="23"/>
      <c r="AR115" s="23"/>
      <c r="AS115" s="23"/>
      <c r="AT115" s="23"/>
      <c r="AU115" s="23"/>
      <c r="AV115" s="23"/>
      <c r="AW115" s="23"/>
      <c r="AX115" s="23"/>
      <c r="AY115" s="23"/>
      <c r="AZ115" s="23"/>
      <c r="BA115" s="23" t="s">
        <v>2455</v>
      </c>
      <c r="BB115" s="23">
        <v>226</v>
      </c>
      <c r="BC115" s="23" t="s">
        <v>1935</v>
      </c>
      <c r="BD115" s="23"/>
      <c r="BE115" s="23" t="s">
        <v>2478</v>
      </c>
      <c r="BF115" s="23" t="s">
        <v>2479</v>
      </c>
      <c r="BG115" s="23" t="s">
        <v>1940</v>
      </c>
      <c r="BH115" s="23" t="s">
        <v>2480</v>
      </c>
      <c r="BI115" s="23" t="s">
        <v>246</v>
      </c>
      <c r="BJ115" s="23"/>
      <c r="BK115" s="23" t="s">
        <v>2481</v>
      </c>
      <c r="BL115" s="23"/>
    </row>
    <row r="116" spans="1:64" ht="30" customHeight="1">
      <c r="A116" s="23" t="s">
        <v>831</v>
      </c>
      <c r="B116" s="23" t="s">
        <v>2474</v>
      </c>
      <c r="C116" s="23">
        <v>6</v>
      </c>
      <c r="D116" s="23" t="s">
        <v>836</v>
      </c>
      <c r="E116" s="23" t="s">
        <v>831</v>
      </c>
      <c r="F116" s="23"/>
      <c r="G116" s="23" t="s">
        <v>161</v>
      </c>
      <c r="H116" s="23" t="s">
        <v>238</v>
      </c>
      <c r="I116" s="23"/>
      <c r="J116" s="23"/>
      <c r="K116" s="23"/>
      <c r="L116" s="23"/>
      <c r="M116" s="23" t="s">
        <v>262</v>
      </c>
      <c r="N116" s="23" t="s">
        <v>1933</v>
      </c>
      <c r="O116" s="23" t="s">
        <v>832</v>
      </c>
      <c r="P116" s="23" t="s">
        <v>166</v>
      </c>
      <c r="Q116" s="23" t="s">
        <v>832</v>
      </c>
      <c r="R116" s="23" t="s">
        <v>257</v>
      </c>
      <c r="S116" s="23" t="s">
        <v>833</v>
      </c>
      <c r="T116" s="23" t="s">
        <v>2009</v>
      </c>
      <c r="U116" s="23">
        <v>2022</v>
      </c>
      <c r="V116" s="23"/>
      <c r="W116" s="23" t="s">
        <v>823</v>
      </c>
      <c r="X116" s="23"/>
      <c r="Y116" s="23" t="s">
        <v>300</v>
      </c>
      <c r="Z116" s="23" t="s">
        <v>837</v>
      </c>
      <c r="AA116" s="23" t="s">
        <v>2482</v>
      </c>
      <c r="AB116" s="23" t="s">
        <v>2114</v>
      </c>
      <c r="AC116" s="23">
        <v>50</v>
      </c>
      <c r="AD116" s="23" t="s">
        <v>1132</v>
      </c>
      <c r="AE116" s="23"/>
      <c r="AF116" s="23"/>
      <c r="AG116" s="23" t="s">
        <v>834</v>
      </c>
      <c r="AH116" s="23"/>
      <c r="AI116" s="23"/>
      <c r="AJ116" s="23"/>
      <c r="AK116" s="23"/>
      <c r="AL116" s="23"/>
      <c r="AM116" s="23" t="s">
        <v>2483</v>
      </c>
      <c r="AN116" s="23"/>
      <c r="AO116" s="23">
        <v>1343446.56</v>
      </c>
      <c r="AP116" s="23"/>
      <c r="AQ116" s="23">
        <v>1343446.56</v>
      </c>
      <c r="AR116" s="23"/>
      <c r="AS116" s="23">
        <v>1343446.56</v>
      </c>
      <c r="AT116" s="23"/>
      <c r="AU116" s="23"/>
      <c r="AV116" s="23"/>
      <c r="AW116" s="23">
        <v>1343446.56</v>
      </c>
      <c r="AX116" s="23" t="s">
        <v>246</v>
      </c>
      <c r="AY116" s="23" t="s">
        <v>1224</v>
      </c>
      <c r="AZ116" s="23"/>
      <c r="BA116" s="23" t="s">
        <v>2484</v>
      </c>
      <c r="BB116" s="23">
        <v>196</v>
      </c>
      <c r="BC116" s="23" t="s">
        <v>2061</v>
      </c>
      <c r="BD116" s="23" t="s">
        <v>2062</v>
      </c>
      <c r="BE116" s="23" t="s">
        <v>2485</v>
      </c>
      <c r="BF116" s="23" t="s">
        <v>2486</v>
      </c>
      <c r="BG116" s="23" t="s">
        <v>2064</v>
      </c>
      <c r="BH116" s="23" t="s">
        <v>2487</v>
      </c>
      <c r="BI116" s="23" t="s">
        <v>2488</v>
      </c>
      <c r="BJ116" s="23" t="s">
        <v>1807</v>
      </c>
      <c r="BK116" s="23"/>
      <c r="BL116" s="23"/>
    </row>
    <row r="117" spans="1:64" ht="30" customHeight="1">
      <c r="A117" s="23" t="s">
        <v>838</v>
      </c>
      <c r="B117" s="23" t="s">
        <v>2474</v>
      </c>
      <c r="C117" s="23">
        <v>7</v>
      </c>
      <c r="D117" s="23" t="s">
        <v>842</v>
      </c>
      <c r="E117" s="23" t="s">
        <v>838</v>
      </c>
      <c r="F117" s="23"/>
      <c r="G117" s="23" t="s">
        <v>161</v>
      </c>
      <c r="H117" s="23" t="s">
        <v>238</v>
      </c>
      <c r="I117" s="23"/>
      <c r="J117" s="23"/>
      <c r="K117" s="23"/>
      <c r="L117" s="23"/>
      <c r="M117" s="23" t="s">
        <v>262</v>
      </c>
      <c r="N117" s="23" t="s">
        <v>1933</v>
      </c>
      <c r="O117" s="23" t="s">
        <v>832</v>
      </c>
      <c r="P117" s="23" t="s">
        <v>166</v>
      </c>
      <c r="Q117" s="23" t="s">
        <v>832</v>
      </c>
      <c r="R117" s="23" t="s">
        <v>840</v>
      </c>
      <c r="S117" s="23" t="s">
        <v>839</v>
      </c>
      <c r="T117" s="23" t="s">
        <v>2489</v>
      </c>
      <c r="U117" s="23">
        <v>2022</v>
      </c>
      <c r="V117" s="23"/>
      <c r="W117" s="23" t="s">
        <v>823</v>
      </c>
      <c r="X117" s="23" t="s">
        <v>2476</v>
      </c>
      <c r="Y117" s="23" t="s">
        <v>2031</v>
      </c>
      <c r="Z117" s="23" t="s">
        <v>642</v>
      </c>
      <c r="AA117" s="23" t="s">
        <v>2335</v>
      </c>
      <c r="AB117" s="23" t="s">
        <v>1935</v>
      </c>
      <c r="AC117" s="23"/>
      <c r="AD117" s="23" t="s">
        <v>1129</v>
      </c>
      <c r="AE117" s="23"/>
      <c r="AF117" s="23"/>
      <c r="AG117" s="23" t="s">
        <v>834</v>
      </c>
      <c r="AH117" s="23"/>
      <c r="AI117" s="23"/>
      <c r="AJ117" s="23"/>
      <c r="AK117" s="23"/>
      <c r="AL117" s="23"/>
      <c r="AM117" s="23" t="s">
        <v>2490</v>
      </c>
      <c r="AN117" s="23"/>
      <c r="AO117" s="23">
        <v>2059318.21</v>
      </c>
      <c r="AP117" s="23"/>
      <c r="AQ117" s="23"/>
      <c r="AR117" s="23"/>
      <c r="AS117" s="23"/>
      <c r="AT117" s="23"/>
      <c r="AU117" s="23"/>
      <c r="AV117" s="23"/>
      <c r="AW117" s="23"/>
      <c r="AX117" s="23" t="s">
        <v>1226</v>
      </c>
      <c r="AY117" s="23" t="s">
        <v>1227</v>
      </c>
      <c r="AZ117" s="23"/>
      <c r="BA117" s="23" t="s">
        <v>2241</v>
      </c>
      <c r="BB117" s="23">
        <v>267</v>
      </c>
      <c r="BC117" s="23" t="s">
        <v>1935</v>
      </c>
      <c r="BD117" s="23"/>
      <c r="BE117" s="23" t="s">
        <v>2491</v>
      </c>
      <c r="BF117" s="23" t="s">
        <v>2486</v>
      </c>
      <c r="BG117" s="23" t="s">
        <v>2035</v>
      </c>
      <c r="BH117" s="23" t="s">
        <v>2492</v>
      </c>
      <c r="BI117" s="23" t="s">
        <v>2493</v>
      </c>
      <c r="BJ117" s="23" t="s">
        <v>2494</v>
      </c>
      <c r="BK117" s="23"/>
      <c r="BL117" s="23"/>
    </row>
    <row r="118" spans="1:64" ht="30" customHeight="1">
      <c r="A118" s="23" t="s">
        <v>843</v>
      </c>
      <c r="B118" s="23" t="s">
        <v>2474</v>
      </c>
      <c r="C118" s="23">
        <v>8</v>
      </c>
      <c r="D118" s="23" t="s">
        <v>850</v>
      </c>
      <c r="E118" s="23" t="s">
        <v>843</v>
      </c>
      <c r="F118" s="23" t="s">
        <v>851</v>
      </c>
      <c r="G118" s="23" t="s">
        <v>161</v>
      </c>
      <c r="H118" s="23" t="s">
        <v>238</v>
      </c>
      <c r="I118" s="23"/>
      <c r="J118" s="23" t="s">
        <v>844</v>
      </c>
      <c r="K118" s="23"/>
      <c r="L118" s="23"/>
      <c r="M118" s="23" t="s">
        <v>853</v>
      </c>
      <c r="N118" s="23" t="s">
        <v>1933</v>
      </c>
      <c r="O118" s="23" t="s">
        <v>825</v>
      </c>
      <c r="P118" s="23" t="s">
        <v>845</v>
      </c>
      <c r="Q118" s="23" t="s">
        <v>825</v>
      </c>
      <c r="R118" s="23" t="s">
        <v>847</v>
      </c>
      <c r="S118" s="23" t="s">
        <v>846</v>
      </c>
      <c r="T118" s="23" t="s">
        <v>2495</v>
      </c>
      <c r="U118" s="23">
        <v>2022</v>
      </c>
      <c r="V118" s="23"/>
      <c r="W118" s="23" t="s">
        <v>823</v>
      </c>
      <c r="X118" s="23" t="s">
        <v>2476</v>
      </c>
      <c r="Y118" s="23" t="s">
        <v>300</v>
      </c>
      <c r="Z118" s="23" t="s">
        <v>852</v>
      </c>
      <c r="AA118" s="23" t="s">
        <v>2496</v>
      </c>
      <c r="AB118" s="23" t="s">
        <v>2114</v>
      </c>
      <c r="AC118" s="23">
        <v>55</v>
      </c>
      <c r="AD118" s="23" t="s">
        <v>1132</v>
      </c>
      <c r="AE118" s="23"/>
      <c r="AF118" s="23"/>
      <c r="AG118" s="23" t="s">
        <v>848</v>
      </c>
      <c r="AH118" s="23"/>
      <c r="AI118" s="23"/>
      <c r="AJ118" s="23"/>
      <c r="AK118" s="23"/>
      <c r="AL118" s="23"/>
      <c r="AM118" s="23" t="s">
        <v>2497</v>
      </c>
      <c r="AN118" s="23" t="s">
        <v>2498</v>
      </c>
      <c r="AO118" s="23">
        <v>1331548.8999999999</v>
      </c>
      <c r="AP118" s="23"/>
      <c r="AQ118" s="23">
        <v>1331548.8999999999</v>
      </c>
      <c r="AR118" s="23"/>
      <c r="AS118" s="23">
        <v>1331548.8999999999</v>
      </c>
      <c r="AT118" s="23"/>
      <c r="AU118" s="23"/>
      <c r="AV118" s="23"/>
      <c r="AW118" s="23">
        <v>1331548.8999999999</v>
      </c>
      <c r="AX118" s="23" t="s">
        <v>246</v>
      </c>
      <c r="AY118" s="23" t="s">
        <v>1224</v>
      </c>
      <c r="AZ118" s="23"/>
      <c r="BA118" s="23" t="s">
        <v>2484</v>
      </c>
      <c r="BB118" s="23">
        <v>196</v>
      </c>
      <c r="BC118" s="23" t="s">
        <v>2061</v>
      </c>
      <c r="BD118" s="23" t="s">
        <v>2062</v>
      </c>
      <c r="BE118" s="23" t="s">
        <v>2499</v>
      </c>
      <c r="BF118" s="23" t="s">
        <v>2486</v>
      </c>
      <c r="BG118" s="23" t="s">
        <v>2064</v>
      </c>
      <c r="BH118" s="23" t="s">
        <v>2500</v>
      </c>
      <c r="BI118" s="23" t="s">
        <v>2501</v>
      </c>
      <c r="BJ118" s="23" t="s">
        <v>1807</v>
      </c>
      <c r="BK118" s="23"/>
      <c r="BL118" s="23"/>
    </row>
    <row r="119" spans="1:64" ht="30" customHeight="1">
      <c r="A119" s="23" t="s">
        <v>854</v>
      </c>
      <c r="B119" s="23" t="s">
        <v>2474</v>
      </c>
      <c r="C119" s="23">
        <v>9</v>
      </c>
      <c r="D119" s="23" t="s">
        <v>857</v>
      </c>
      <c r="E119" s="23" t="s">
        <v>854</v>
      </c>
      <c r="F119" s="23"/>
      <c r="G119" s="23" t="s">
        <v>161</v>
      </c>
      <c r="H119" s="23" t="s">
        <v>238</v>
      </c>
      <c r="I119" s="23"/>
      <c r="J119" s="23" t="s">
        <v>844</v>
      </c>
      <c r="K119" s="23"/>
      <c r="L119" s="23"/>
      <c r="M119" s="23" t="s">
        <v>858</v>
      </c>
      <c r="N119" s="23" t="s">
        <v>2431</v>
      </c>
      <c r="O119" s="23" t="s">
        <v>845</v>
      </c>
      <c r="P119" s="23" t="s">
        <v>826</v>
      </c>
      <c r="Q119" s="23" t="s">
        <v>826</v>
      </c>
      <c r="R119" s="23" t="s">
        <v>847</v>
      </c>
      <c r="S119" s="23" t="s">
        <v>855</v>
      </c>
      <c r="T119" s="23"/>
      <c r="U119" s="23">
        <v>2023</v>
      </c>
      <c r="V119" s="23"/>
      <c r="W119" s="23" t="s">
        <v>823</v>
      </c>
      <c r="X119" s="23"/>
      <c r="Y119" s="23" t="s">
        <v>300</v>
      </c>
      <c r="Z119" s="23" t="s">
        <v>642</v>
      </c>
      <c r="AA119" s="23" t="s">
        <v>2335</v>
      </c>
      <c r="AB119" s="23" t="s">
        <v>2058</v>
      </c>
      <c r="AC119" s="23">
        <v>30</v>
      </c>
      <c r="AD119" s="23" t="s">
        <v>1132</v>
      </c>
      <c r="AE119" s="23"/>
      <c r="AF119" s="23"/>
      <c r="AG119" s="23"/>
      <c r="AH119" s="23"/>
      <c r="AI119" s="23"/>
      <c r="AJ119" s="23"/>
      <c r="AK119" s="23"/>
      <c r="AL119" s="23"/>
      <c r="AM119" s="23" t="s">
        <v>2502</v>
      </c>
      <c r="AN119" s="23"/>
      <c r="AO119" s="23"/>
      <c r="AP119" s="23"/>
      <c r="AQ119" s="23"/>
      <c r="AR119" s="23"/>
      <c r="AS119" s="23"/>
      <c r="AT119" s="23"/>
      <c r="AU119" s="23"/>
      <c r="AV119" s="23"/>
      <c r="AW119" s="23"/>
      <c r="AX119" s="23" t="s">
        <v>246</v>
      </c>
      <c r="AY119" s="23" t="s">
        <v>1224</v>
      </c>
      <c r="AZ119" s="23"/>
      <c r="BA119" s="23" t="s">
        <v>2484</v>
      </c>
      <c r="BB119" s="23">
        <v>196</v>
      </c>
      <c r="BC119" s="23" t="s">
        <v>2061</v>
      </c>
      <c r="BD119" s="23" t="s">
        <v>2085</v>
      </c>
      <c r="BE119" s="23" t="s">
        <v>2503</v>
      </c>
      <c r="BF119" s="23" t="s">
        <v>2486</v>
      </c>
      <c r="BG119" s="23" t="s">
        <v>2064</v>
      </c>
      <c r="BH119" s="23" t="s">
        <v>2504</v>
      </c>
      <c r="BI119" s="23" t="s">
        <v>2505</v>
      </c>
      <c r="BJ119" s="23" t="s">
        <v>1807</v>
      </c>
      <c r="BK119" s="23"/>
      <c r="BL119" s="23"/>
    </row>
    <row r="120" spans="1:64" ht="30" customHeight="1">
      <c r="A120" s="23" t="s">
        <v>859</v>
      </c>
      <c r="B120" s="23" t="s">
        <v>2474</v>
      </c>
      <c r="C120" s="23">
        <v>10</v>
      </c>
      <c r="D120" s="23" t="s">
        <v>864</v>
      </c>
      <c r="E120" s="23" t="s">
        <v>859</v>
      </c>
      <c r="F120" s="23"/>
      <c r="G120" s="23" t="s">
        <v>161</v>
      </c>
      <c r="H120" s="23" t="s">
        <v>238</v>
      </c>
      <c r="I120" s="23"/>
      <c r="J120" s="23"/>
      <c r="K120" s="23"/>
      <c r="L120" s="23"/>
      <c r="M120" s="23" t="s">
        <v>858</v>
      </c>
      <c r="N120" s="23" t="s">
        <v>2431</v>
      </c>
      <c r="O120" s="23" t="s">
        <v>860</v>
      </c>
      <c r="P120" s="23" t="s">
        <v>826</v>
      </c>
      <c r="Q120" s="23" t="s">
        <v>826</v>
      </c>
      <c r="R120" s="23" t="s">
        <v>578</v>
      </c>
      <c r="S120" s="23" t="s">
        <v>861</v>
      </c>
      <c r="T120" s="23" t="s">
        <v>2506</v>
      </c>
      <c r="U120" s="23">
        <v>2021</v>
      </c>
      <c r="V120" s="23"/>
      <c r="W120" s="23" t="s">
        <v>823</v>
      </c>
      <c r="X120" s="23" t="s">
        <v>2507</v>
      </c>
      <c r="Y120" s="23" t="s">
        <v>300</v>
      </c>
      <c r="Z120" s="23" t="s">
        <v>642</v>
      </c>
      <c r="AA120" s="23" t="s">
        <v>2335</v>
      </c>
      <c r="AB120" s="23" t="s">
        <v>2058</v>
      </c>
      <c r="AC120" s="23">
        <v>30</v>
      </c>
      <c r="AD120" s="23" t="s">
        <v>1132</v>
      </c>
      <c r="AE120" s="23"/>
      <c r="AF120" s="23"/>
      <c r="AG120" s="23" t="s">
        <v>862</v>
      </c>
      <c r="AH120" s="23"/>
      <c r="AI120" s="23"/>
      <c r="AJ120" s="23"/>
      <c r="AK120" s="23"/>
      <c r="AL120" s="23"/>
      <c r="AM120" s="23" t="s">
        <v>2508</v>
      </c>
      <c r="AN120" s="23"/>
      <c r="AO120" s="23"/>
      <c r="AP120" s="23"/>
      <c r="AQ120" s="23"/>
      <c r="AR120" s="23"/>
      <c r="AS120" s="23"/>
      <c r="AT120" s="23"/>
      <c r="AU120" s="23"/>
      <c r="AV120" s="23"/>
      <c r="AW120" s="23"/>
      <c r="AX120" s="23" t="s">
        <v>246</v>
      </c>
      <c r="AY120" s="23" t="s">
        <v>1224</v>
      </c>
      <c r="AZ120" s="23"/>
      <c r="BA120" s="23" t="s">
        <v>2484</v>
      </c>
      <c r="BB120" s="23">
        <v>196</v>
      </c>
      <c r="BC120" s="23" t="s">
        <v>2061</v>
      </c>
      <c r="BD120" s="23" t="s">
        <v>2085</v>
      </c>
      <c r="BE120" s="23" t="s">
        <v>2509</v>
      </c>
      <c r="BF120" s="23" t="s">
        <v>2486</v>
      </c>
      <c r="BG120" s="23" t="s">
        <v>2064</v>
      </c>
      <c r="BH120" s="23" t="s">
        <v>2510</v>
      </c>
      <c r="BI120" s="23" t="s">
        <v>2511</v>
      </c>
      <c r="BJ120" s="23" t="s">
        <v>1807</v>
      </c>
      <c r="BK120" s="23"/>
      <c r="BL120" s="23"/>
    </row>
    <row r="121" spans="1:64" ht="30" customHeight="1">
      <c r="A121" s="23" t="s">
        <v>865</v>
      </c>
      <c r="B121" s="23" t="s">
        <v>2474</v>
      </c>
      <c r="C121" s="23">
        <v>11</v>
      </c>
      <c r="D121" s="23" t="s">
        <v>868</v>
      </c>
      <c r="E121" s="23" t="s">
        <v>865</v>
      </c>
      <c r="F121" s="23" t="s">
        <v>869</v>
      </c>
      <c r="G121" s="23" t="s">
        <v>161</v>
      </c>
      <c r="H121" s="23" t="s">
        <v>238</v>
      </c>
      <c r="I121" s="23"/>
      <c r="J121" s="23"/>
      <c r="K121" s="23"/>
      <c r="L121" s="23"/>
      <c r="M121" s="23" t="s">
        <v>870</v>
      </c>
      <c r="N121" s="23" t="s">
        <v>2431</v>
      </c>
      <c r="O121" s="23" t="s">
        <v>860</v>
      </c>
      <c r="P121" s="23" t="s">
        <v>826</v>
      </c>
      <c r="Q121" s="23" t="s">
        <v>826</v>
      </c>
      <c r="R121" s="23" t="s">
        <v>578</v>
      </c>
      <c r="S121" s="23" t="s">
        <v>861</v>
      </c>
      <c r="T121" s="23" t="s">
        <v>2512</v>
      </c>
      <c r="U121" s="23">
        <v>2022</v>
      </c>
      <c r="V121" s="23"/>
      <c r="W121" s="23" t="s">
        <v>823</v>
      </c>
      <c r="X121" s="23" t="s">
        <v>2507</v>
      </c>
      <c r="Y121" s="23" t="s">
        <v>300</v>
      </c>
      <c r="Z121" s="23" t="s">
        <v>642</v>
      </c>
      <c r="AA121" s="23" t="s">
        <v>2335</v>
      </c>
      <c r="AB121" s="23" t="s">
        <v>2114</v>
      </c>
      <c r="AC121" s="23">
        <v>60</v>
      </c>
      <c r="AD121" s="23" t="s">
        <v>1132</v>
      </c>
      <c r="AE121" s="23"/>
      <c r="AF121" s="23"/>
      <c r="AG121" s="23" t="s">
        <v>866</v>
      </c>
      <c r="AH121" s="23"/>
      <c r="AI121" s="23"/>
      <c r="AJ121" s="23"/>
      <c r="AK121" s="23"/>
      <c r="AL121" s="23"/>
      <c r="AM121" s="23" t="s">
        <v>2513</v>
      </c>
      <c r="AN121" s="23"/>
      <c r="AO121" s="23">
        <v>1760543.1</v>
      </c>
      <c r="AP121" s="23"/>
      <c r="AQ121" s="23">
        <v>1760543.1</v>
      </c>
      <c r="AR121" s="23"/>
      <c r="AS121" s="23"/>
      <c r="AT121" s="23"/>
      <c r="AU121" s="23"/>
      <c r="AV121" s="23"/>
      <c r="AW121" s="23">
        <v>1760543.1</v>
      </c>
      <c r="AX121" s="23" t="s">
        <v>246</v>
      </c>
      <c r="AY121" s="23" t="s">
        <v>1224</v>
      </c>
      <c r="AZ121" s="23"/>
      <c r="BA121" s="23" t="s">
        <v>2484</v>
      </c>
      <c r="BB121" s="23">
        <v>196</v>
      </c>
      <c r="BC121" s="23" t="s">
        <v>2061</v>
      </c>
      <c r="BD121" s="23" t="s">
        <v>2062</v>
      </c>
      <c r="BE121" s="23" t="s">
        <v>2514</v>
      </c>
      <c r="BF121" s="23" t="s">
        <v>2486</v>
      </c>
      <c r="BG121" s="23" t="s">
        <v>2064</v>
      </c>
      <c r="BH121" s="23" t="s">
        <v>2510</v>
      </c>
      <c r="BI121" s="23" t="s">
        <v>2515</v>
      </c>
      <c r="BJ121" s="23" t="s">
        <v>1807</v>
      </c>
      <c r="BK121" s="23" t="s">
        <v>2516</v>
      </c>
      <c r="BL121" s="23"/>
    </row>
    <row r="122" spans="1:64" ht="30" customHeight="1">
      <c r="A122" s="23" t="s">
        <v>871</v>
      </c>
      <c r="B122" s="23" t="s">
        <v>2474</v>
      </c>
      <c r="C122" s="23">
        <v>12</v>
      </c>
      <c r="D122" s="23" t="s">
        <v>875</v>
      </c>
      <c r="E122" s="23" t="s">
        <v>871</v>
      </c>
      <c r="F122" s="23"/>
      <c r="G122" s="23" t="s">
        <v>161</v>
      </c>
      <c r="H122" s="23" t="s">
        <v>238</v>
      </c>
      <c r="I122" s="23"/>
      <c r="J122" s="23"/>
      <c r="K122" s="23"/>
      <c r="L122" s="23"/>
      <c r="M122" s="23" t="s">
        <v>262</v>
      </c>
      <c r="N122" s="23" t="s">
        <v>1933</v>
      </c>
      <c r="O122" s="23" t="s">
        <v>832</v>
      </c>
      <c r="P122" s="23" t="s">
        <v>166</v>
      </c>
      <c r="Q122" s="23" t="s">
        <v>832</v>
      </c>
      <c r="R122" s="23" t="s">
        <v>840</v>
      </c>
      <c r="S122" s="23" t="s">
        <v>872</v>
      </c>
      <c r="T122" s="23"/>
      <c r="U122" s="23">
        <v>2022</v>
      </c>
      <c r="V122" s="23"/>
      <c r="W122" s="23" t="s">
        <v>823</v>
      </c>
      <c r="X122" s="23" t="s">
        <v>2476</v>
      </c>
      <c r="Y122" s="23" t="s">
        <v>300</v>
      </c>
      <c r="Z122" s="23" t="s">
        <v>608</v>
      </c>
      <c r="AA122" s="23" t="s">
        <v>2304</v>
      </c>
      <c r="AB122" s="23" t="s">
        <v>2114</v>
      </c>
      <c r="AC122" s="23">
        <v>50</v>
      </c>
      <c r="AD122" s="23" t="s">
        <v>1132</v>
      </c>
      <c r="AE122" s="23"/>
      <c r="AF122" s="23"/>
      <c r="AG122" s="23" t="s">
        <v>873</v>
      </c>
      <c r="AH122" s="23"/>
      <c r="AI122" s="23"/>
      <c r="AJ122" s="23"/>
      <c r="AK122" s="23"/>
      <c r="AL122" s="23"/>
      <c r="AM122" s="23" t="s">
        <v>1621</v>
      </c>
      <c r="AN122" s="23"/>
      <c r="AO122" s="23">
        <v>1534163.28</v>
      </c>
      <c r="AP122" s="23"/>
      <c r="AQ122" s="23">
        <v>1534163.28</v>
      </c>
      <c r="AR122" s="23"/>
      <c r="AS122" s="23">
        <v>1534163.28</v>
      </c>
      <c r="AT122" s="23"/>
      <c r="AU122" s="23"/>
      <c r="AV122" s="23"/>
      <c r="AW122" s="23">
        <v>1534163.28</v>
      </c>
      <c r="AX122" s="23" t="s">
        <v>246</v>
      </c>
      <c r="AY122" s="23" t="s">
        <v>1224</v>
      </c>
      <c r="AZ122" s="23"/>
      <c r="BA122" s="23" t="s">
        <v>2484</v>
      </c>
      <c r="BB122" s="23">
        <v>196</v>
      </c>
      <c r="BC122" s="23" t="s">
        <v>2061</v>
      </c>
      <c r="BD122" s="23" t="s">
        <v>2062</v>
      </c>
      <c r="BE122" s="23" t="s">
        <v>2517</v>
      </c>
      <c r="BF122" s="23" t="s">
        <v>2486</v>
      </c>
      <c r="BG122" s="23" t="s">
        <v>2064</v>
      </c>
      <c r="BH122" s="23" t="s">
        <v>2518</v>
      </c>
      <c r="BI122" s="23" t="s">
        <v>2519</v>
      </c>
      <c r="BJ122" s="23" t="s">
        <v>1807</v>
      </c>
      <c r="BK122" s="23"/>
      <c r="BL122" s="23"/>
    </row>
    <row r="123" spans="1:64" ht="30" customHeight="1">
      <c r="A123" s="23" t="s">
        <v>876</v>
      </c>
      <c r="B123" s="23" t="s">
        <v>2474</v>
      </c>
      <c r="C123" s="23">
        <v>13</v>
      </c>
      <c r="D123" s="23" t="s">
        <v>882</v>
      </c>
      <c r="E123" s="23" t="s">
        <v>876</v>
      </c>
      <c r="F123" s="23"/>
      <c r="G123" s="23" t="s">
        <v>161</v>
      </c>
      <c r="H123" s="23" t="s">
        <v>238</v>
      </c>
      <c r="I123" s="23"/>
      <c r="J123" s="23"/>
      <c r="K123" s="23"/>
      <c r="L123" s="23"/>
      <c r="M123" s="23" t="s">
        <v>858</v>
      </c>
      <c r="N123" s="23" t="s">
        <v>2431</v>
      </c>
      <c r="O123" s="23" t="s">
        <v>877</v>
      </c>
      <c r="P123" s="23" t="s">
        <v>878</v>
      </c>
      <c r="Q123" s="23" t="s">
        <v>878</v>
      </c>
      <c r="R123" s="23" t="s">
        <v>578</v>
      </c>
      <c r="S123" s="23" t="s">
        <v>879</v>
      </c>
      <c r="T123" s="23"/>
      <c r="U123" s="23">
        <v>2024</v>
      </c>
      <c r="V123" s="23"/>
      <c r="W123" s="23" t="s">
        <v>823</v>
      </c>
      <c r="X123" s="23" t="s">
        <v>2476</v>
      </c>
      <c r="Y123" s="23" t="s">
        <v>252</v>
      </c>
      <c r="Z123" s="23" t="s">
        <v>728</v>
      </c>
      <c r="AA123" s="23" t="s">
        <v>2406</v>
      </c>
      <c r="AB123" s="23" t="s">
        <v>1935</v>
      </c>
      <c r="AC123" s="23"/>
      <c r="AD123" s="23"/>
      <c r="AE123" s="23"/>
      <c r="AF123" s="23"/>
      <c r="AG123" s="23" t="s">
        <v>880</v>
      </c>
      <c r="AH123" s="23"/>
      <c r="AI123" s="23"/>
      <c r="AJ123" s="23"/>
      <c r="AK123" s="23"/>
      <c r="AL123" s="23"/>
      <c r="AM123" s="23" t="s">
        <v>1624</v>
      </c>
      <c r="AN123" s="23"/>
      <c r="AO123" s="23">
        <v>10000</v>
      </c>
      <c r="AP123" s="23"/>
      <c r="AQ123" s="23"/>
      <c r="AR123" s="23"/>
      <c r="AS123" s="23"/>
      <c r="AT123" s="23"/>
      <c r="AU123" s="23"/>
      <c r="AV123" s="23"/>
      <c r="AW123" s="23"/>
      <c r="AX123" s="23"/>
      <c r="AY123" s="23"/>
      <c r="AZ123" s="23"/>
      <c r="BA123" s="23" t="s">
        <v>2520</v>
      </c>
      <c r="BB123" s="23">
        <v>415</v>
      </c>
      <c r="BC123" s="23" t="s">
        <v>1935</v>
      </c>
      <c r="BD123" s="23"/>
      <c r="BE123" s="23" t="s">
        <v>2521</v>
      </c>
      <c r="BF123" s="23" t="s">
        <v>2486</v>
      </c>
      <c r="BG123" s="23" t="s">
        <v>2015</v>
      </c>
      <c r="BH123" s="23" t="s">
        <v>2522</v>
      </c>
      <c r="BI123" s="23" t="s">
        <v>2523</v>
      </c>
      <c r="BJ123" s="23"/>
      <c r="BK123" s="23"/>
      <c r="BL123" s="23"/>
    </row>
    <row r="124" spans="1:64" ht="30" customHeight="1">
      <c r="A124" s="23" t="s">
        <v>883</v>
      </c>
      <c r="B124" s="23" t="s">
        <v>2474</v>
      </c>
      <c r="C124" s="23">
        <v>14</v>
      </c>
      <c r="D124" s="23" t="s">
        <v>887</v>
      </c>
      <c r="E124" s="23" t="s">
        <v>883</v>
      </c>
      <c r="F124" s="23"/>
      <c r="G124" s="23" t="s">
        <v>161</v>
      </c>
      <c r="H124" s="23" t="s">
        <v>238</v>
      </c>
      <c r="I124" s="23"/>
      <c r="J124" s="23"/>
      <c r="K124" s="23"/>
      <c r="L124" s="23"/>
      <c r="M124" s="23" t="s">
        <v>858</v>
      </c>
      <c r="N124" s="23" t="s">
        <v>2431</v>
      </c>
      <c r="O124" s="23" t="s">
        <v>877</v>
      </c>
      <c r="P124" s="23" t="s">
        <v>878</v>
      </c>
      <c r="Q124" s="23" t="s">
        <v>878</v>
      </c>
      <c r="R124" s="23" t="s">
        <v>578</v>
      </c>
      <c r="S124" s="23" t="s">
        <v>884</v>
      </c>
      <c r="T124" s="23"/>
      <c r="U124" s="23">
        <v>2024</v>
      </c>
      <c r="V124" s="23"/>
      <c r="W124" s="23" t="s">
        <v>823</v>
      </c>
      <c r="X124" s="23" t="s">
        <v>2476</v>
      </c>
      <c r="Y124" s="23" t="s">
        <v>252</v>
      </c>
      <c r="Z124" s="23" t="s">
        <v>740</v>
      </c>
      <c r="AA124" s="23" t="s">
        <v>2416</v>
      </c>
      <c r="AB124" s="23" t="s">
        <v>1935</v>
      </c>
      <c r="AC124" s="23"/>
      <c r="AD124" s="23"/>
      <c r="AE124" s="23"/>
      <c r="AF124" s="23"/>
      <c r="AG124" s="23" t="s">
        <v>885</v>
      </c>
      <c r="AH124" s="23"/>
      <c r="AI124" s="23"/>
      <c r="AJ124" s="23"/>
      <c r="AK124" s="23"/>
      <c r="AL124" s="23"/>
      <c r="AM124" s="23" t="s">
        <v>2524</v>
      </c>
      <c r="AN124" s="23"/>
      <c r="AO124" s="23">
        <v>204105.73</v>
      </c>
      <c r="AP124" s="23"/>
      <c r="AQ124" s="23"/>
      <c r="AR124" s="23"/>
      <c r="AS124" s="23"/>
      <c r="AT124" s="23"/>
      <c r="AU124" s="23"/>
      <c r="AV124" s="23"/>
      <c r="AW124" s="23"/>
      <c r="AX124" s="23" t="s">
        <v>246</v>
      </c>
      <c r="AY124" s="23" t="s">
        <v>246</v>
      </c>
      <c r="AZ124" s="23"/>
      <c r="BA124" s="23" t="s">
        <v>2241</v>
      </c>
      <c r="BB124" s="23">
        <v>267</v>
      </c>
      <c r="BC124" s="23" t="s">
        <v>1935</v>
      </c>
      <c r="BD124" s="23"/>
      <c r="BE124" s="23" t="s">
        <v>2525</v>
      </c>
      <c r="BF124" s="23" t="s">
        <v>2486</v>
      </c>
      <c r="BG124" s="23" t="s">
        <v>2015</v>
      </c>
      <c r="BH124" s="23" t="s">
        <v>2526</v>
      </c>
      <c r="BI124" s="23" t="s">
        <v>2527</v>
      </c>
      <c r="BJ124" s="23" t="s">
        <v>246</v>
      </c>
      <c r="BK124" s="23"/>
      <c r="BL124" s="23"/>
    </row>
    <row r="125" spans="1:64" ht="30" customHeight="1">
      <c r="A125" s="23" t="s">
        <v>888</v>
      </c>
      <c r="B125" s="23" t="s">
        <v>2474</v>
      </c>
      <c r="C125" s="23">
        <v>15</v>
      </c>
      <c r="D125" s="23" t="s">
        <v>894</v>
      </c>
      <c r="E125" s="23" t="s">
        <v>888</v>
      </c>
      <c r="F125" s="23"/>
      <c r="G125" s="23" t="s">
        <v>161</v>
      </c>
      <c r="H125" s="23" t="s">
        <v>238</v>
      </c>
      <c r="I125" s="23"/>
      <c r="J125" s="23"/>
      <c r="K125" s="23"/>
      <c r="L125" s="23"/>
      <c r="M125" s="23" t="s">
        <v>246</v>
      </c>
      <c r="N125" s="23" t="s">
        <v>1933</v>
      </c>
      <c r="O125" s="23" t="s">
        <v>889</v>
      </c>
      <c r="P125" s="23" t="s">
        <v>890</v>
      </c>
      <c r="Q125" s="23" t="s">
        <v>889</v>
      </c>
      <c r="R125" s="23" t="s">
        <v>578</v>
      </c>
      <c r="S125" s="23" t="s">
        <v>891</v>
      </c>
      <c r="T125" s="23" t="s">
        <v>2528</v>
      </c>
      <c r="U125" s="23">
        <v>2013</v>
      </c>
      <c r="V125" s="23"/>
      <c r="W125" s="23" t="s">
        <v>823</v>
      </c>
      <c r="X125" s="23"/>
      <c r="Y125" s="23" t="s">
        <v>300</v>
      </c>
      <c r="Z125" s="23" t="s">
        <v>642</v>
      </c>
      <c r="AA125" s="23" t="s">
        <v>2335</v>
      </c>
      <c r="AB125" s="23" t="s">
        <v>2114</v>
      </c>
      <c r="AC125" s="23">
        <v>50</v>
      </c>
      <c r="AD125" s="23" t="s">
        <v>1236</v>
      </c>
      <c r="AE125" s="23"/>
      <c r="AF125" s="23"/>
      <c r="AG125" s="23" t="s">
        <v>892</v>
      </c>
      <c r="AH125" s="23"/>
      <c r="AI125" s="23"/>
      <c r="AJ125" s="23"/>
      <c r="AK125" s="23"/>
      <c r="AL125" s="23"/>
      <c r="AM125" s="23" t="s">
        <v>892</v>
      </c>
      <c r="AN125" s="23"/>
      <c r="AO125" s="23">
        <v>1534163.28</v>
      </c>
      <c r="AP125" s="23"/>
      <c r="AQ125" s="23">
        <v>1534163.28</v>
      </c>
      <c r="AR125" s="23"/>
      <c r="AS125" s="23">
        <v>1534163.28</v>
      </c>
      <c r="AT125" s="23"/>
      <c r="AU125" s="23"/>
      <c r="AV125" s="23"/>
      <c r="AW125" s="23">
        <v>1534163.28</v>
      </c>
      <c r="AX125" s="23" t="s">
        <v>246</v>
      </c>
      <c r="AY125" s="23" t="s">
        <v>1237</v>
      </c>
      <c r="AZ125" s="23"/>
      <c r="BA125" s="23" t="s">
        <v>2484</v>
      </c>
      <c r="BB125" s="23">
        <v>196</v>
      </c>
      <c r="BC125" s="23" t="s">
        <v>2061</v>
      </c>
      <c r="BD125" s="23" t="s">
        <v>2097</v>
      </c>
      <c r="BE125" s="23" t="s">
        <v>2529</v>
      </c>
      <c r="BF125" s="23" t="s">
        <v>2486</v>
      </c>
      <c r="BG125" s="23" t="s">
        <v>2064</v>
      </c>
      <c r="BH125" s="23" t="s">
        <v>2530</v>
      </c>
      <c r="BI125" s="23" t="s">
        <v>2531</v>
      </c>
      <c r="BJ125" s="23" t="s">
        <v>2532</v>
      </c>
      <c r="BK125" s="23"/>
      <c r="BL125" s="23"/>
    </row>
    <row r="126" spans="1:64" ht="30" customHeight="1">
      <c r="A126" s="23" t="s">
        <v>895</v>
      </c>
      <c r="B126" s="23" t="s">
        <v>2474</v>
      </c>
      <c r="C126" s="23">
        <v>16</v>
      </c>
      <c r="D126" s="23" t="s">
        <v>899</v>
      </c>
      <c r="E126" s="23"/>
      <c r="F126" s="23" t="s">
        <v>895</v>
      </c>
      <c r="G126" s="23" t="s">
        <v>598</v>
      </c>
      <c r="H126" s="23" t="s">
        <v>824</v>
      </c>
      <c r="I126" s="23"/>
      <c r="J126" s="23"/>
      <c r="K126" s="23"/>
      <c r="L126" s="23"/>
      <c r="M126" s="23" t="s">
        <v>900</v>
      </c>
      <c r="N126" s="23" t="s">
        <v>1933</v>
      </c>
      <c r="O126" s="23" t="s">
        <v>825</v>
      </c>
      <c r="P126" s="23" t="s">
        <v>896</v>
      </c>
      <c r="Q126" s="23" t="s">
        <v>825</v>
      </c>
      <c r="R126" s="23" t="s">
        <v>826</v>
      </c>
      <c r="S126" s="23"/>
      <c r="T126" s="23"/>
      <c r="U126" s="23">
        <v>2024</v>
      </c>
      <c r="V126" s="23"/>
      <c r="W126" s="23" t="s">
        <v>823</v>
      </c>
      <c r="X126" s="23"/>
      <c r="Y126" s="23" t="s">
        <v>252</v>
      </c>
      <c r="Z126" s="23" t="s">
        <v>740</v>
      </c>
      <c r="AA126" s="23" t="s">
        <v>2416</v>
      </c>
      <c r="AB126" s="23" t="s">
        <v>1935</v>
      </c>
      <c r="AC126" s="23"/>
      <c r="AD126" s="23" t="s">
        <v>1236</v>
      </c>
      <c r="AE126" s="23"/>
      <c r="AF126" s="23"/>
      <c r="AG126" s="23" t="s">
        <v>897</v>
      </c>
      <c r="AH126" s="23"/>
      <c r="AI126" s="23"/>
      <c r="AJ126" s="23"/>
      <c r="AK126" s="23"/>
      <c r="AL126" s="23"/>
      <c r="AM126" s="23" t="s">
        <v>2533</v>
      </c>
      <c r="AN126" s="23" t="s">
        <v>2534</v>
      </c>
      <c r="AO126" s="23">
        <v>42025.91</v>
      </c>
      <c r="AP126" s="23"/>
      <c r="AQ126" s="23"/>
      <c r="AR126" s="23"/>
      <c r="AS126" s="23">
        <v>42025.91</v>
      </c>
      <c r="AT126" s="23"/>
      <c r="AU126" s="23"/>
      <c r="AV126" s="23"/>
      <c r="AW126" s="23"/>
      <c r="AX126" s="23" t="s">
        <v>1226</v>
      </c>
      <c r="AY126" s="23" t="s">
        <v>1227</v>
      </c>
      <c r="AZ126" s="23"/>
      <c r="BA126" s="23" t="s">
        <v>2534</v>
      </c>
      <c r="BB126" s="23">
        <v>126</v>
      </c>
      <c r="BC126" s="23" t="s">
        <v>1935</v>
      </c>
      <c r="BD126" s="23"/>
      <c r="BE126" s="23" t="s">
        <v>2535</v>
      </c>
      <c r="BF126" s="23" t="s">
        <v>2479</v>
      </c>
      <c r="BG126" s="23" t="s">
        <v>2015</v>
      </c>
      <c r="BH126" s="23"/>
      <c r="BI126" s="23" t="s">
        <v>246</v>
      </c>
      <c r="BJ126" s="23">
        <v>0.25</v>
      </c>
      <c r="BK126" s="23"/>
      <c r="BL126" s="23"/>
    </row>
    <row r="127" spans="1:64" ht="30" customHeight="1">
      <c r="A127" s="23" t="s">
        <v>901</v>
      </c>
      <c r="B127" s="23" t="s">
        <v>2474</v>
      </c>
      <c r="C127" s="23">
        <v>17</v>
      </c>
      <c r="D127" s="23" t="s">
        <v>904</v>
      </c>
      <c r="E127" s="23" t="s">
        <v>905</v>
      </c>
      <c r="F127" s="23" t="s">
        <v>906</v>
      </c>
      <c r="G127" s="23" t="s">
        <v>161</v>
      </c>
      <c r="H127" s="23" t="s">
        <v>238</v>
      </c>
      <c r="I127" s="23"/>
      <c r="J127" s="23"/>
      <c r="K127" s="23"/>
      <c r="L127" s="23"/>
      <c r="M127" s="23" t="s">
        <v>907</v>
      </c>
      <c r="N127" s="23" t="s">
        <v>2431</v>
      </c>
      <c r="O127" s="23" t="s">
        <v>896</v>
      </c>
      <c r="P127" s="23" t="s">
        <v>826</v>
      </c>
      <c r="Q127" s="23" t="s">
        <v>826</v>
      </c>
      <c r="R127" s="23" t="s">
        <v>847</v>
      </c>
      <c r="S127" s="23"/>
      <c r="T127" s="23"/>
      <c r="U127" s="23">
        <v>2025</v>
      </c>
      <c r="V127" s="23"/>
      <c r="W127" s="23" t="s">
        <v>823</v>
      </c>
      <c r="X127" s="23"/>
      <c r="Y127" s="23" t="s">
        <v>300</v>
      </c>
      <c r="Z127" s="23"/>
      <c r="AA127" s="23"/>
      <c r="AB127" s="23" t="s">
        <v>2313</v>
      </c>
      <c r="AC127" s="23">
        <v>10</v>
      </c>
      <c r="AD127" s="23" t="s">
        <v>1236</v>
      </c>
      <c r="AE127" s="23"/>
      <c r="AF127" s="23"/>
      <c r="AG127" s="23" t="s">
        <v>902</v>
      </c>
      <c r="AH127" s="23"/>
      <c r="AI127" s="23"/>
      <c r="AJ127" s="23"/>
      <c r="AK127" s="23"/>
      <c r="AL127" s="23"/>
      <c r="AM127" s="23" t="s">
        <v>1635</v>
      </c>
      <c r="AN127" s="23"/>
      <c r="AO127" s="23"/>
      <c r="AP127" s="23"/>
      <c r="AQ127" s="23"/>
      <c r="AR127" s="23"/>
      <c r="AS127" s="23"/>
      <c r="AT127" s="23"/>
      <c r="AU127" s="23"/>
      <c r="AV127" s="23"/>
      <c r="AW127" s="23"/>
      <c r="AX127" s="23" t="s">
        <v>1240</v>
      </c>
      <c r="AY127" s="23" t="s">
        <v>1240</v>
      </c>
      <c r="AZ127" s="23"/>
      <c r="BA127" s="23" t="s">
        <v>2484</v>
      </c>
      <c r="BB127" s="23">
        <v>196</v>
      </c>
      <c r="BC127" s="23" t="s">
        <v>2061</v>
      </c>
      <c r="BD127" s="23" t="s">
        <v>2429</v>
      </c>
      <c r="BE127" s="23" t="s">
        <v>2536</v>
      </c>
      <c r="BF127" s="23" t="s">
        <v>2486</v>
      </c>
      <c r="BG127" s="23" t="s">
        <v>2064</v>
      </c>
      <c r="BH127" s="23"/>
      <c r="BI127" s="23" t="s">
        <v>905</v>
      </c>
      <c r="BJ127" s="23" t="s">
        <v>1240</v>
      </c>
      <c r="BK127" s="23" t="s">
        <v>2537</v>
      </c>
      <c r="BL127" s="23"/>
    </row>
    <row r="128" spans="1:64" ht="30" customHeight="1">
      <c r="A128" s="23" t="s">
        <v>908</v>
      </c>
      <c r="B128" s="23" t="s">
        <v>2474</v>
      </c>
      <c r="C128" s="23">
        <v>18</v>
      </c>
      <c r="D128" s="23" t="s">
        <v>910</v>
      </c>
      <c r="E128" s="23" t="s">
        <v>905</v>
      </c>
      <c r="F128" s="23" t="s">
        <v>906</v>
      </c>
      <c r="G128" s="23" t="s">
        <v>161</v>
      </c>
      <c r="H128" s="23" t="s">
        <v>824</v>
      </c>
      <c r="I128" s="23"/>
      <c r="J128" s="23"/>
      <c r="K128" s="23"/>
      <c r="L128" s="23"/>
      <c r="M128" s="23" t="s">
        <v>911</v>
      </c>
      <c r="N128" s="23" t="s">
        <v>2431</v>
      </c>
      <c r="O128" s="23" t="s">
        <v>896</v>
      </c>
      <c r="P128" s="23" t="s">
        <v>826</v>
      </c>
      <c r="Q128" s="23" t="s">
        <v>826</v>
      </c>
      <c r="R128" s="23" t="s">
        <v>847</v>
      </c>
      <c r="S128" s="23"/>
      <c r="T128" s="23"/>
      <c r="U128" s="23">
        <v>2021</v>
      </c>
      <c r="V128" s="23"/>
      <c r="W128" s="23" t="s">
        <v>823</v>
      </c>
      <c r="X128" s="23"/>
      <c r="Y128" s="23" t="s">
        <v>300</v>
      </c>
      <c r="Z128" s="23"/>
      <c r="AA128" s="23"/>
      <c r="AB128" s="23" t="s">
        <v>2114</v>
      </c>
      <c r="AC128" s="23">
        <v>50</v>
      </c>
      <c r="AD128" s="23" t="s">
        <v>1132</v>
      </c>
      <c r="AE128" s="23"/>
      <c r="AF128" s="23"/>
      <c r="AG128" s="23"/>
      <c r="AH128" s="23"/>
      <c r="AI128" s="23"/>
      <c r="AJ128" s="23"/>
      <c r="AK128" s="23"/>
      <c r="AL128" s="23"/>
      <c r="AM128" s="23" t="s">
        <v>1638</v>
      </c>
      <c r="AN128" s="23"/>
      <c r="AO128" s="23">
        <v>1125695.24</v>
      </c>
      <c r="AP128" s="23"/>
      <c r="AQ128" s="23">
        <v>1125695.24</v>
      </c>
      <c r="AR128" s="23"/>
      <c r="AS128" s="23">
        <v>1125695.24</v>
      </c>
      <c r="AT128" s="23"/>
      <c r="AU128" s="23"/>
      <c r="AV128" s="23"/>
      <c r="AW128" s="23">
        <v>1125695.24</v>
      </c>
      <c r="AX128" s="23" t="s">
        <v>246</v>
      </c>
      <c r="AY128" s="23" t="s">
        <v>1224</v>
      </c>
      <c r="AZ128" s="23"/>
      <c r="BA128" s="23" t="s">
        <v>2484</v>
      </c>
      <c r="BB128" s="23">
        <v>196</v>
      </c>
      <c r="BC128" s="23" t="s">
        <v>2061</v>
      </c>
      <c r="BD128" s="23" t="s">
        <v>2438</v>
      </c>
      <c r="BE128" s="23" t="s">
        <v>2538</v>
      </c>
      <c r="BF128" s="23" t="s">
        <v>2479</v>
      </c>
      <c r="BG128" s="23" t="s">
        <v>2064</v>
      </c>
      <c r="BH128" s="23"/>
      <c r="BI128" s="23" t="s">
        <v>905</v>
      </c>
      <c r="BJ128" s="23" t="s">
        <v>1807</v>
      </c>
      <c r="BK128" s="23"/>
      <c r="BL128" s="23"/>
    </row>
    <row r="129" spans="1:64" ht="30" customHeight="1">
      <c r="A129" s="23" t="s">
        <v>912</v>
      </c>
      <c r="B129" s="23" t="s">
        <v>2474</v>
      </c>
      <c r="C129" s="23">
        <v>19</v>
      </c>
      <c r="D129" s="23" t="s">
        <v>915</v>
      </c>
      <c r="E129" s="23"/>
      <c r="F129" s="23" t="s">
        <v>912</v>
      </c>
      <c r="G129" s="23" t="s">
        <v>598</v>
      </c>
      <c r="H129" s="23" t="s">
        <v>824</v>
      </c>
      <c r="I129" s="23"/>
      <c r="J129" s="23"/>
      <c r="K129" s="23"/>
      <c r="L129" s="23"/>
      <c r="M129" s="23" t="s">
        <v>916</v>
      </c>
      <c r="N129" s="23" t="s">
        <v>2431</v>
      </c>
      <c r="O129" s="23" t="s">
        <v>896</v>
      </c>
      <c r="P129" s="23" t="s">
        <v>826</v>
      </c>
      <c r="Q129" s="23" t="s">
        <v>826</v>
      </c>
      <c r="R129" s="23" t="s">
        <v>826</v>
      </c>
      <c r="S129" s="23"/>
      <c r="T129" s="23"/>
      <c r="U129" s="23">
        <v>2026</v>
      </c>
      <c r="V129" s="23"/>
      <c r="W129" s="23" t="s">
        <v>823</v>
      </c>
      <c r="X129" s="23"/>
      <c r="Y129" s="23" t="s">
        <v>300</v>
      </c>
      <c r="Z129" s="23"/>
      <c r="AA129" s="23"/>
      <c r="AB129" s="23" t="s">
        <v>2313</v>
      </c>
      <c r="AC129" s="23">
        <v>10</v>
      </c>
      <c r="AD129" s="23"/>
      <c r="AE129" s="23"/>
      <c r="AF129" s="23"/>
      <c r="AG129" s="23" t="s">
        <v>913</v>
      </c>
      <c r="AH129" s="23"/>
      <c r="AI129" s="23"/>
      <c r="AJ129" s="23"/>
      <c r="AK129" s="23"/>
      <c r="AL129" s="23"/>
      <c r="AM129" s="23" t="s">
        <v>1641</v>
      </c>
      <c r="AN129" s="23" t="s">
        <v>2194</v>
      </c>
      <c r="AO129" s="23"/>
      <c r="AP129" s="23"/>
      <c r="AQ129" s="23"/>
      <c r="AR129" s="23"/>
      <c r="AS129" s="23"/>
      <c r="AT129" s="23"/>
      <c r="AU129" s="23"/>
      <c r="AV129" s="23"/>
      <c r="AW129" s="23"/>
      <c r="AX129" s="23"/>
      <c r="AY129" s="23"/>
      <c r="AZ129" s="23"/>
      <c r="BA129" s="23" t="s">
        <v>2539</v>
      </c>
      <c r="BB129" s="23">
        <v>194</v>
      </c>
      <c r="BC129" s="23" t="s">
        <v>2061</v>
      </c>
      <c r="BD129" s="23" t="s">
        <v>2429</v>
      </c>
      <c r="BE129" s="23" t="s">
        <v>2540</v>
      </c>
      <c r="BF129" s="23" t="s">
        <v>2479</v>
      </c>
      <c r="BG129" s="23" t="s">
        <v>2064</v>
      </c>
      <c r="BH129" s="23"/>
      <c r="BI129" s="23" t="s">
        <v>246</v>
      </c>
      <c r="BJ129" s="23"/>
      <c r="BK129" s="23"/>
      <c r="BL129" s="23"/>
    </row>
    <row r="130" spans="1:64" ht="30" customHeight="1">
      <c r="A130" s="23" t="s">
        <v>917</v>
      </c>
      <c r="B130" s="23" t="s">
        <v>2541</v>
      </c>
      <c r="C130" s="23">
        <v>5</v>
      </c>
      <c r="D130" s="23" t="s">
        <v>922</v>
      </c>
      <c r="E130" s="23"/>
      <c r="F130" s="23" t="s">
        <v>917</v>
      </c>
      <c r="G130" s="23" t="s">
        <v>598</v>
      </c>
      <c r="H130" s="23" t="s">
        <v>824</v>
      </c>
      <c r="I130" s="23"/>
      <c r="J130" s="23"/>
      <c r="K130" s="23"/>
      <c r="L130" s="23"/>
      <c r="M130" s="23" t="s">
        <v>923</v>
      </c>
      <c r="N130" s="23" t="s">
        <v>1933</v>
      </c>
      <c r="O130" s="23" t="s">
        <v>919</v>
      </c>
      <c r="P130" s="23" t="s">
        <v>166</v>
      </c>
      <c r="Q130" s="23" t="s">
        <v>919</v>
      </c>
      <c r="R130" s="23"/>
      <c r="S130" s="23"/>
      <c r="T130" s="23" t="s">
        <v>2542</v>
      </c>
      <c r="U130" s="23">
        <v>2015</v>
      </c>
      <c r="V130" s="23"/>
      <c r="W130" s="23" t="s">
        <v>918</v>
      </c>
      <c r="X130" s="23" t="s">
        <v>2543</v>
      </c>
      <c r="Y130" s="23" t="s">
        <v>162</v>
      </c>
      <c r="Z130" s="23" t="s">
        <v>162</v>
      </c>
      <c r="AA130" s="23" t="s">
        <v>1934</v>
      </c>
      <c r="AB130" s="23" t="s">
        <v>1935</v>
      </c>
      <c r="AC130" s="23"/>
      <c r="AD130" s="23"/>
      <c r="AE130" s="23"/>
      <c r="AF130" s="23"/>
      <c r="AG130" s="23" t="s">
        <v>920</v>
      </c>
      <c r="AH130" s="23"/>
      <c r="AI130" s="23"/>
      <c r="AJ130" s="23"/>
      <c r="AK130" s="23"/>
      <c r="AL130" s="23"/>
      <c r="AM130" s="23" t="s">
        <v>2544</v>
      </c>
      <c r="AN130" s="23"/>
      <c r="AO130" s="23"/>
      <c r="AP130" s="23"/>
      <c r="AQ130" s="23"/>
      <c r="AR130" s="23"/>
      <c r="AS130" s="23"/>
      <c r="AT130" s="23"/>
      <c r="AU130" s="23"/>
      <c r="AV130" s="23"/>
      <c r="AW130" s="23"/>
      <c r="AX130" s="23"/>
      <c r="AY130" s="23"/>
      <c r="AZ130" s="23"/>
      <c r="BA130" s="23" t="s">
        <v>2545</v>
      </c>
      <c r="BB130" s="23">
        <v>526</v>
      </c>
      <c r="BC130" s="23" t="s">
        <v>1935</v>
      </c>
      <c r="BD130" s="23"/>
      <c r="BE130" s="23" t="s">
        <v>2546</v>
      </c>
      <c r="BF130" s="23" t="s">
        <v>2479</v>
      </c>
      <c r="BG130" s="23" t="s">
        <v>1940</v>
      </c>
      <c r="BH130" s="23" t="s">
        <v>2480</v>
      </c>
      <c r="BI130" s="23" t="s">
        <v>246</v>
      </c>
      <c r="BJ130" s="23"/>
      <c r="BK130" s="23" t="s">
        <v>2547</v>
      </c>
      <c r="BL130" s="23"/>
    </row>
    <row r="131" spans="1:64" ht="30" customHeight="1">
      <c r="A131" s="23" t="s">
        <v>924</v>
      </c>
      <c r="B131" s="23" t="s">
        <v>2541</v>
      </c>
      <c r="C131" s="23">
        <v>6</v>
      </c>
      <c r="D131" s="23" t="s">
        <v>927</v>
      </c>
      <c r="E131" s="23"/>
      <c r="F131" s="23" t="s">
        <v>924</v>
      </c>
      <c r="G131" s="23" t="s">
        <v>598</v>
      </c>
      <c r="H131" s="23" t="s">
        <v>824</v>
      </c>
      <c r="I131" s="23"/>
      <c r="J131" s="23"/>
      <c r="K131" s="23"/>
      <c r="L131" s="23"/>
      <c r="M131" s="23" t="s">
        <v>923</v>
      </c>
      <c r="N131" s="23" t="s">
        <v>1933</v>
      </c>
      <c r="O131" s="23" t="s">
        <v>919</v>
      </c>
      <c r="P131" s="23" t="s">
        <v>166</v>
      </c>
      <c r="Q131" s="23" t="s">
        <v>919</v>
      </c>
      <c r="R131" s="23"/>
      <c r="S131" s="23"/>
      <c r="T131" s="23"/>
      <c r="U131" s="23">
        <v>2015</v>
      </c>
      <c r="V131" s="23"/>
      <c r="W131" s="23" t="s">
        <v>918</v>
      </c>
      <c r="X131" s="23" t="s">
        <v>2543</v>
      </c>
      <c r="Y131" s="23" t="s">
        <v>162</v>
      </c>
      <c r="Z131" s="23" t="s">
        <v>162</v>
      </c>
      <c r="AA131" s="23" t="s">
        <v>1934</v>
      </c>
      <c r="AB131" s="23" t="s">
        <v>1935</v>
      </c>
      <c r="AC131" s="23"/>
      <c r="AD131" s="23"/>
      <c r="AE131" s="23"/>
      <c r="AF131" s="23"/>
      <c r="AG131" s="23" t="s">
        <v>925</v>
      </c>
      <c r="AH131" s="23"/>
      <c r="AI131" s="23"/>
      <c r="AJ131" s="23"/>
      <c r="AK131" s="23"/>
      <c r="AL131" s="23"/>
      <c r="AM131" s="23" t="s">
        <v>2548</v>
      </c>
      <c r="AN131" s="23"/>
      <c r="AO131" s="23"/>
      <c r="AP131" s="23"/>
      <c r="AQ131" s="23"/>
      <c r="AR131" s="23"/>
      <c r="AS131" s="23"/>
      <c r="AT131" s="23"/>
      <c r="AU131" s="23"/>
      <c r="AV131" s="23"/>
      <c r="AW131" s="23"/>
      <c r="AX131" s="23"/>
      <c r="AY131" s="23"/>
      <c r="AZ131" s="23"/>
      <c r="BA131" s="23" t="s">
        <v>2549</v>
      </c>
      <c r="BB131" s="23">
        <v>464</v>
      </c>
      <c r="BC131" s="23" t="s">
        <v>1935</v>
      </c>
      <c r="BD131" s="23"/>
      <c r="BE131" s="23" t="s">
        <v>2550</v>
      </c>
      <c r="BF131" s="23" t="s">
        <v>2479</v>
      </c>
      <c r="BG131" s="23" t="s">
        <v>1940</v>
      </c>
      <c r="BH131" s="23" t="s">
        <v>2480</v>
      </c>
      <c r="BI131" s="23" t="s">
        <v>246</v>
      </c>
      <c r="BJ131" s="23"/>
      <c r="BK131" s="23" t="s">
        <v>2551</v>
      </c>
      <c r="BL131" s="23"/>
    </row>
    <row r="132" spans="1:64" ht="30" customHeight="1">
      <c r="A132" s="23" t="s">
        <v>928</v>
      </c>
      <c r="B132" s="23" t="s">
        <v>2541</v>
      </c>
      <c r="C132" s="23">
        <v>7</v>
      </c>
      <c r="D132" s="23" t="s">
        <v>931</v>
      </c>
      <c r="E132" s="23"/>
      <c r="F132" s="23" t="s">
        <v>928</v>
      </c>
      <c r="G132" s="23" t="s">
        <v>598</v>
      </c>
      <c r="H132" s="23" t="s">
        <v>824</v>
      </c>
      <c r="I132" s="23"/>
      <c r="J132" s="23"/>
      <c r="K132" s="23"/>
      <c r="L132" s="23"/>
      <c r="M132" s="23" t="s">
        <v>923</v>
      </c>
      <c r="N132" s="23" t="s">
        <v>1933</v>
      </c>
      <c r="O132" s="23" t="s">
        <v>919</v>
      </c>
      <c r="P132" s="23" t="s">
        <v>166</v>
      </c>
      <c r="Q132" s="23" t="s">
        <v>919</v>
      </c>
      <c r="R132" s="23"/>
      <c r="S132" s="23"/>
      <c r="T132" s="23" t="s">
        <v>2552</v>
      </c>
      <c r="U132" s="23">
        <v>2019</v>
      </c>
      <c r="V132" s="23"/>
      <c r="W132" s="23" t="s">
        <v>918</v>
      </c>
      <c r="X132" s="23" t="s">
        <v>2543</v>
      </c>
      <c r="Y132" s="23" t="s">
        <v>300</v>
      </c>
      <c r="Z132" s="23" t="s">
        <v>932</v>
      </c>
      <c r="AA132" s="23" t="s">
        <v>2553</v>
      </c>
      <c r="AB132" s="23" t="s">
        <v>2058</v>
      </c>
      <c r="AC132" s="23">
        <v>35</v>
      </c>
      <c r="AD132" s="23" t="s">
        <v>1132</v>
      </c>
      <c r="AE132" s="23"/>
      <c r="AF132" s="23"/>
      <c r="AG132" s="23" t="s">
        <v>929</v>
      </c>
      <c r="AH132" s="23"/>
      <c r="AI132" s="23"/>
      <c r="AJ132" s="23"/>
      <c r="AK132" s="23"/>
      <c r="AL132" s="23"/>
      <c r="AM132" s="23" t="s">
        <v>1650</v>
      </c>
      <c r="AN132" s="23" t="s">
        <v>2554</v>
      </c>
      <c r="AO132" s="23">
        <v>350000</v>
      </c>
      <c r="AP132" s="23"/>
      <c r="AQ132" s="23"/>
      <c r="AR132" s="23"/>
      <c r="AS132" s="23">
        <v>350000</v>
      </c>
      <c r="AT132" s="23"/>
      <c r="AU132" s="23"/>
      <c r="AV132" s="23"/>
      <c r="AW132" s="23">
        <v>350000</v>
      </c>
      <c r="AX132" s="23" t="s">
        <v>246</v>
      </c>
      <c r="AY132" s="23" t="s">
        <v>1246</v>
      </c>
      <c r="AZ132" s="23"/>
      <c r="BA132" s="23" t="s">
        <v>2555</v>
      </c>
      <c r="BB132" s="23">
        <v>204</v>
      </c>
      <c r="BC132" s="23" t="s">
        <v>2061</v>
      </c>
      <c r="BD132" s="23" t="s">
        <v>2062</v>
      </c>
      <c r="BE132" s="23" t="s">
        <v>2556</v>
      </c>
      <c r="BF132" s="23" t="s">
        <v>2479</v>
      </c>
      <c r="BG132" s="23" t="s">
        <v>2064</v>
      </c>
      <c r="BH132" s="23" t="s">
        <v>2480</v>
      </c>
      <c r="BI132" s="23" t="s">
        <v>246</v>
      </c>
      <c r="BJ132" s="23" t="s">
        <v>1807</v>
      </c>
      <c r="BK132" s="23"/>
      <c r="BL132" s="23"/>
    </row>
    <row r="133" spans="1:64" ht="30" customHeight="1">
      <c r="A133" s="23" t="s">
        <v>933</v>
      </c>
      <c r="B133" s="23" t="s">
        <v>2541</v>
      </c>
      <c r="C133" s="23">
        <v>8</v>
      </c>
      <c r="D133" s="23" t="s">
        <v>938</v>
      </c>
      <c r="E133" s="23" t="s">
        <v>933</v>
      </c>
      <c r="F133" s="23" t="s">
        <v>939</v>
      </c>
      <c r="G133" s="23" t="s">
        <v>161</v>
      </c>
      <c r="H133" s="23" t="s">
        <v>238</v>
      </c>
      <c r="I133" s="23"/>
      <c r="J133" s="23" t="s">
        <v>174</v>
      </c>
      <c r="K133" s="23"/>
      <c r="L133" s="23"/>
      <c r="M133" s="23" t="s">
        <v>940</v>
      </c>
      <c r="N133" s="23" t="s">
        <v>1933</v>
      </c>
      <c r="O133" s="23" t="s">
        <v>919</v>
      </c>
      <c r="P133" s="23" t="s">
        <v>934</v>
      </c>
      <c r="Q133" s="23" t="s">
        <v>919</v>
      </c>
      <c r="R133" s="23" t="s">
        <v>578</v>
      </c>
      <c r="S133" s="23" t="s">
        <v>935</v>
      </c>
      <c r="T133" s="23"/>
      <c r="U133" s="23">
        <v>2023</v>
      </c>
      <c r="V133" s="23"/>
      <c r="W133" s="23" t="s">
        <v>918</v>
      </c>
      <c r="X133" s="23" t="s">
        <v>2543</v>
      </c>
      <c r="Y133" s="23" t="s">
        <v>300</v>
      </c>
      <c r="Z133" s="23"/>
      <c r="AA133" s="23"/>
      <c r="AB133" s="23" t="s">
        <v>2058</v>
      </c>
      <c r="AC133" s="23">
        <v>40</v>
      </c>
      <c r="AD133" s="23" t="s">
        <v>1236</v>
      </c>
      <c r="AE133" s="23"/>
      <c r="AF133" s="23"/>
      <c r="AG133" s="23" t="s">
        <v>936</v>
      </c>
      <c r="AH133" s="23"/>
      <c r="AI133" s="23"/>
      <c r="AJ133" s="23"/>
      <c r="AK133" s="23"/>
      <c r="AL133" s="23"/>
      <c r="AM133" s="23" t="s">
        <v>1653</v>
      </c>
      <c r="AN133" s="23"/>
      <c r="AO133" s="23">
        <v>78000000</v>
      </c>
      <c r="AP133" s="23"/>
      <c r="AQ133" s="23"/>
      <c r="AR133" s="23"/>
      <c r="AS133" s="23">
        <v>4680000</v>
      </c>
      <c r="AT133" s="23"/>
      <c r="AU133" s="23"/>
      <c r="AV133" s="23"/>
      <c r="AW133" s="23">
        <v>4680000</v>
      </c>
      <c r="AX133" s="23" t="s">
        <v>246</v>
      </c>
      <c r="AY133" s="23" t="s">
        <v>1248</v>
      </c>
      <c r="AZ133" s="23"/>
      <c r="BA133" s="23" t="s">
        <v>2555</v>
      </c>
      <c r="BB133" s="23">
        <v>204</v>
      </c>
      <c r="BC133" s="23" t="s">
        <v>2061</v>
      </c>
      <c r="BD133" s="23" t="s">
        <v>2557</v>
      </c>
      <c r="BE133" s="23" t="s">
        <v>2558</v>
      </c>
      <c r="BF133" s="23" t="s">
        <v>2486</v>
      </c>
      <c r="BG133" s="23" t="s">
        <v>2064</v>
      </c>
      <c r="BH133" s="23" t="s">
        <v>2278</v>
      </c>
      <c r="BI133" s="23" t="s">
        <v>2559</v>
      </c>
      <c r="BJ133" s="23" t="s">
        <v>1810</v>
      </c>
      <c r="BK133" s="23"/>
      <c r="BL133" s="23"/>
    </row>
    <row r="134" spans="1:64" ht="30" customHeight="1">
      <c r="A134" s="23" t="s">
        <v>941</v>
      </c>
      <c r="B134" s="23" t="s">
        <v>2541</v>
      </c>
      <c r="C134" s="23">
        <v>9</v>
      </c>
      <c r="D134" s="23" t="s">
        <v>944</v>
      </c>
      <c r="E134" s="23"/>
      <c r="F134" s="23" t="s">
        <v>941</v>
      </c>
      <c r="G134" s="23" t="s">
        <v>598</v>
      </c>
      <c r="H134" s="23" t="s">
        <v>824</v>
      </c>
      <c r="I134" s="23"/>
      <c r="J134" s="23" t="s">
        <v>174</v>
      </c>
      <c r="K134" s="23"/>
      <c r="L134" s="23"/>
      <c r="M134" s="23" t="s">
        <v>940</v>
      </c>
      <c r="N134" s="23" t="s">
        <v>1933</v>
      </c>
      <c r="O134" s="23" t="s">
        <v>919</v>
      </c>
      <c r="P134" s="23" t="s">
        <v>934</v>
      </c>
      <c r="Q134" s="23" t="s">
        <v>919</v>
      </c>
      <c r="R134" s="23"/>
      <c r="S134" s="23"/>
      <c r="T134" s="23" t="s">
        <v>2560</v>
      </c>
      <c r="U134" s="23">
        <v>2021</v>
      </c>
      <c r="V134" s="23"/>
      <c r="W134" s="23" t="s">
        <v>918</v>
      </c>
      <c r="X134" s="23" t="s">
        <v>2543</v>
      </c>
      <c r="Y134" s="23" t="s">
        <v>162</v>
      </c>
      <c r="Z134" s="23" t="s">
        <v>162</v>
      </c>
      <c r="AA134" s="23" t="s">
        <v>1934</v>
      </c>
      <c r="AB134" s="23" t="s">
        <v>1935</v>
      </c>
      <c r="AC134" s="23"/>
      <c r="AD134" s="23"/>
      <c r="AE134" s="23"/>
      <c r="AF134" s="23"/>
      <c r="AG134" s="23" t="s">
        <v>942</v>
      </c>
      <c r="AH134" s="23"/>
      <c r="AI134" s="23"/>
      <c r="AJ134" s="23"/>
      <c r="AK134" s="23"/>
      <c r="AL134" s="23"/>
      <c r="AM134" s="23" t="s">
        <v>2561</v>
      </c>
      <c r="AN134" s="23"/>
      <c r="AO134" s="23"/>
      <c r="AP134" s="23"/>
      <c r="AQ134" s="23"/>
      <c r="AR134" s="23"/>
      <c r="AS134" s="23"/>
      <c r="AT134" s="23"/>
      <c r="AU134" s="23"/>
      <c r="AV134" s="23"/>
      <c r="AW134" s="23"/>
      <c r="AX134" s="23"/>
      <c r="AY134" s="23"/>
      <c r="AZ134" s="23"/>
      <c r="BA134" s="23" t="s">
        <v>2562</v>
      </c>
      <c r="BB134" s="23">
        <v>565</v>
      </c>
      <c r="BC134" s="23" t="s">
        <v>1935</v>
      </c>
      <c r="BD134" s="23"/>
      <c r="BE134" s="23" t="s">
        <v>2563</v>
      </c>
      <c r="BF134" s="23" t="s">
        <v>2479</v>
      </c>
      <c r="BG134" s="23" t="s">
        <v>1940</v>
      </c>
      <c r="BH134" s="23" t="s">
        <v>2480</v>
      </c>
      <c r="BI134" s="23" t="s">
        <v>246</v>
      </c>
      <c r="BJ134" s="23"/>
      <c r="BK134" s="23" t="s">
        <v>2564</v>
      </c>
      <c r="BL134" s="23"/>
    </row>
    <row r="135" spans="1:64" ht="30" customHeight="1">
      <c r="A135" s="23" t="s">
        <v>945</v>
      </c>
      <c r="B135" s="23" t="s">
        <v>2541</v>
      </c>
      <c r="C135" s="23">
        <v>10</v>
      </c>
      <c r="D135" s="23" t="s">
        <v>949</v>
      </c>
      <c r="E135" s="23" t="s">
        <v>945</v>
      </c>
      <c r="F135" s="23" t="s">
        <v>950</v>
      </c>
      <c r="G135" s="23" t="s">
        <v>161</v>
      </c>
      <c r="H135" s="23" t="s">
        <v>824</v>
      </c>
      <c r="I135" s="23"/>
      <c r="J135" s="23" t="s">
        <v>174</v>
      </c>
      <c r="K135" s="23"/>
      <c r="L135" s="23"/>
      <c r="M135" s="23" t="s">
        <v>940</v>
      </c>
      <c r="N135" s="23" t="s">
        <v>1933</v>
      </c>
      <c r="O135" s="23" t="s">
        <v>919</v>
      </c>
      <c r="P135" s="23" t="s">
        <v>934</v>
      </c>
      <c r="Q135" s="23" t="s">
        <v>919</v>
      </c>
      <c r="R135" s="23" t="s">
        <v>578</v>
      </c>
      <c r="S135" s="23" t="s">
        <v>946</v>
      </c>
      <c r="T135" s="23"/>
      <c r="U135" s="23">
        <v>2021</v>
      </c>
      <c r="V135" s="23"/>
      <c r="W135" s="23" t="s">
        <v>918</v>
      </c>
      <c r="X135" s="23" t="s">
        <v>2543</v>
      </c>
      <c r="Y135" s="23" t="s">
        <v>300</v>
      </c>
      <c r="Z135" s="23"/>
      <c r="AA135" s="23"/>
      <c r="AB135" s="23" t="s">
        <v>2058</v>
      </c>
      <c r="AC135" s="23">
        <v>25</v>
      </c>
      <c r="AD135" s="23" t="s">
        <v>1236</v>
      </c>
      <c r="AE135" s="23"/>
      <c r="AF135" s="23"/>
      <c r="AG135" s="23" t="s">
        <v>947</v>
      </c>
      <c r="AH135" s="23"/>
      <c r="AI135" s="23"/>
      <c r="AJ135" s="23"/>
      <c r="AK135" s="23"/>
      <c r="AL135" s="23"/>
      <c r="AM135" s="23" t="s">
        <v>1659</v>
      </c>
      <c r="AN135" s="23"/>
      <c r="AO135" s="23">
        <v>3500000</v>
      </c>
      <c r="AP135" s="23"/>
      <c r="AQ135" s="23"/>
      <c r="AR135" s="23"/>
      <c r="AS135" s="23">
        <v>210000</v>
      </c>
      <c r="AT135" s="23"/>
      <c r="AU135" s="23"/>
      <c r="AV135" s="23"/>
      <c r="AW135" s="23">
        <v>210000</v>
      </c>
      <c r="AX135" s="23" t="s">
        <v>246</v>
      </c>
      <c r="AY135" s="23" t="s">
        <v>1248</v>
      </c>
      <c r="AZ135" s="23"/>
      <c r="BA135" s="23" t="s">
        <v>2565</v>
      </c>
      <c r="BB135" s="23">
        <v>63</v>
      </c>
      <c r="BC135" s="23" t="s">
        <v>2061</v>
      </c>
      <c r="BD135" s="23" t="s">
        <v>2557</v>
      </c>
      <c r="BE135" s="23" t="s">
        <v>2566</v>
      </c>
      <c r="BF135" s="23" t="s">
        <v>2479</v>
      </c>
      <c r="BG135" s="23" t="s">
        <v>2064</v>
      </c>
      <c r="BH135" s="23" t="s">
        <v>2278</v>
      </c>
      <c r="BI135" s="23" t="s">
        <v>2567</v>
      </c>
      <c r="BJ135" s="23" t="s">
        <v>1810</v>
      </c>
      <c r="BK135" s="23"/>
      <c r="BL135" s="23"/>
    </row>
    <row r="136" spans="1:64" ht="30" customHeight="1">
      <c r="A136" s="23" t="s">
        <v>951</v>
      </c>
      <c r="B136" s="23" t="s">
        <v>2541</v>
      </c>
      <c r="C136" s="23">
        <v>11</v>
      </c>
      <c r="D136" s="23" t="s">
        <v>954</v>
      </c>
      <c r="E136" s="23" t="s">
        <v>951</v>
      </c>
      <c r="F136" s="23" t="s">
        <v>955</v>
      </c>
      <c r="G136" s="23" t="s">
        <v>161</v>
      </c>
      <c r="H136" s="23" t="s">
        <v>238</v>
      </c>
      <c r="I136" s="23"/>
      <c r="J136" s="23" t="s">
        <v>174</v>
      </c>
      <c r="K136" s="23"/>
      <c r="L136" s="23"/>
      <c r="M136" s="23" t="s">
        <v>940</v>
      </c>
      <c r="N136" s="23" t="s">
        <v>1933</v>
      </c>
      <c r="O136" s="23" t="s">
        <v>919</v>
      </c>
      <c r="P136" s="23" t="s">
        <v>934</v>
      </c>
      <c r="Q136" s="23" t="s">
        <v>919</v>
      </c>
      <c r="R136" s="23" t="s">
        <v>578</v>
      </c>
      <c r="S136" s="23" t="s">
        <v>946</v>
      </c>
      <c r="T136" s="23"/>
      <c r="U136" s="23">
        <v>2021</v>
      </c>
      <c r="V136" s="23"/>
      <c r="W136" s="23" t="s">
        <v>918</v>
      </c>
      <c r="X136" s="23" t="s">
        <v>2543</v>
      </c>
      <c r="Y136" s="23" t="s">
        <v>300</v>
      </c>
      <c r="Z136" s="23"/>
      <c r="AA136" s="23"/>
      <c r="AB136" s="23" t="s">
        <v>2058</v>
      </c>
      <c r="AC136" s="23">
        <v>35</v>
      </c>
      <c r="AD136" s="23" t="s">
        <v>1236</v>
      </c>
      <c r="AE136" s="23"/>
      <c r="AF136" s="23"/>
      <c r="AG136" s="23" t="s">
        <v>952</v>
      </c>
      <c r="AH136" s="23"/>
      <c r="AI136" s="23"/>
      <c r="AJ136" s="23"/>
      <c r="AK136" s="23"/>
      <c r="AL136" s="23"/>
      <c r="AM136" s="23" t="s">
        <v>1662</v>
      </c>
      <c r="AN136" s="23"/>
      <c r="AO136" s="23">
        <v>12000000</v>
      </c>
      <c r="AP136" s="23"/>
      <c r="AQ136" s="23"/>
      <c r="AR136" s="23"/>
      <c r="AS136" s="23">
        <v>720000</v>
      </c>
      <c r="AT136" s="23"/>
      <c r="AU136" s="23"/>
      <c r="AV136" s="23"/>
      <c r="AW136" s="23">
        <v>720000</v>
      </c>
      <c r="AX136" s="23" t="s">
        <v>246</v>
      </c>
      <c r="AY136" s="23" t="s">
        <v>1248</v>
      </c>
      <c r="AZ136" s="23"/>
      <c r="BA136" s="23" t="s">
        <v>2555</v>
      </c>
      <c r="BB136" s="23">
        <v>204</v>
      </c>
      <c r="BC136" s="23" t="s">
        <v>2061</v>
      </c>
      <c r="BD136" s="23" t="s">
        <v>2557</v>
      </c>
      <c r="BE136" s="23" t="s">
        <v>2568</v>
      </c>
      <c r="BF136" s="23" t="s">
        <v>2486</v>
      </c>
      <c r="BG136" s="23" t="s">
        <v>2064</v>
      </c>
      <c r="BH136" s="23" t="s">
        <v>2278</v>
      </c>
      <c r="BI136" s="23" t="s">
        <v>2569</v>
      </c>
      <c r="BJ136" s="23" t="s">
        <v>1810</v>
      </c>
      <c r="BK136" s="23"/>
      <c r="BL136" s="23"/>
    </row>
    <row r="137" spans="1:64" ht="30" customHeight="1">
      <c r="A137" s="23" t="s">
        <v>956</v>
      </c>
      <c r="B137" s="23" t="s">
        <v>2541</v>
      </c>
      <c r="C137" s="23">
        <v>12</v>
      </c>
      <c r="D137" s="23" t="s">
        <v>959</v>
      </c>
      <c r="E137" s="23"/>
      <c r="F137" s="23" t="s">
        <v>956</v>
      </c>
      <c r="G137" s="23" t="s">
        <v>598</v>
      </c>
      <c r="H137" s="23" t="s">
        <v>824</v>
      </c>
      <c r="I137" s="23"/>
      <c r="J137" s="23" t="s">
        <v>174</v>
      </c>
      <c r="K137" s="23"/>
      <c r="L137" s="23"/>
      <c r="M137" s="23" t="s">
        <v>940</v>
      </c>
      <c r="N137" s="23" t="s">
        <v>1933</v>
      </c>
      <c r="O137" s="23" t="s">
        <v>919</v>
      </c>
      <c r="P137" s="23" t="s">
        <v>934</v>
      </c>
      <c r="Q137" s="23" t="s">
        <v>919</v>
      </c>
      <c r="R137" s="23"/>
      <c r="S137" s="23"/>
      <c r="T137" s="23"/>
      <c r="U137" s="23">
        <v>2020</v>
      </c>
      <c r="V137" s="23"/>
      <c r="W137" s="23" t="s">
        <v>918</v>
      </c>
      <c r="X137" s="23" t="s">
        <v>2543</v>
      </c>
      <c r="Y137" s="23" t="s">
        <v>252</v>
      </c>
      <c r="Z137" s="23" t="s">
        <v>740</v>
      </c>
      <c r="AA137" s="23" t="s">
        <v>2416</v>
      </c>
      <c r="AB137" s="23" t="s">
        <v>1935</v>
      </c>
      <c r="AC137" s="23"/>
      <c r="AD137" s="23"/>
      <c r="AE137" s="23"/>
      <c r="AF137" s="23"/>
      <c r="AG137" s="23" t="s">
        <v>957</v>
      </c>
      <c r="AH137" s="23"/>
      <c r="AI137" s="23"/>
      <c r="AJ137" s="23"/>
      <c r="AK137" s="23"/>
      <c r="AL137" s="23"/>
      <c r="AM137" s="23" t="s">
        <v>2570</v>
      </c>
      <c r="AN137" s="23"/>
      <c r="AO137" s="23"/>
      <c r="AP137" s="23"/>
      <c r="AQ137" s="23"/>
      <c r="AR137" s="23"/>
      <c r="AS137" s="23"/>
      <c r="AT137" s="23"/>
      <c r="AU137" s="23"/>
      <c r="AV137" s="23"/>
      <c r="AW137" s="23"/>
      <c r="AX137" s="23"/>
      <c r="AY137" s="23"/>
      <c r="AZ137" s="23"/>
      <c r="BA137" s="23" t="s">
        <v>2545</v>
      </c>
      <c r="BB137" s="23">
        <v>526</v>
      </c>
      <c r="BC137" s="23" t="s">
        <v>1935</v>
      </c>
      <c r="BD137" s="23"/>
      <c r="BE137" s="23" t="s">
        <v>2571</v>
      </c>
      <c r="BF137" s="23" t="s">
        <v>2479</v>
      </c>
      <c r="BG137" s="23" t="s">
        <v>2015</v>
      </c>
      <c r="BH137" s="23" t="s">
        <v>2015</v>
      </c>
      <c r="BI137" s="23" t="s">
        <v>246</v>
      </c>
      <c r="BJ137" s="23"/>
      <c r="BK137" s="23" t="s">
        <v>2572</v>
      </c>
      <c r="BL137" s="23"/>
    </row>
    <row r="138" spans="1:64" ht="30" customHeight="1">
      <c r="A138" s="23" t="s">
        <v>960</v>
      </c>
      <c r="B138" s="23" t="s">
        <v>2541</v>
      </c>
      <c r="C138" s="23">
        <v>13</v>
      </c>
      <c r="D138" s="23" t="s">
        <v>963</v>
      </c>
      <c r="E138" s="23"/>
      <c r="F138" s="23" t="s">
        <v>960</v>
      </c>
      <c r="G138" s="23" t="s">
        <v>598</v>
      </c>
      <c r="H138" s="23" t="s">
        <v>824</v>
      </c>
      <c r="I138" s="23"/>
      <c r="J138" s="23" t="s">
        <v>174</v>
      </c>
      <c r="K138" s="23"/>
      <c r="L138" s="23"/>
      <c r="M138" s="23" t="s">
        <v>940</v>
      </c>
      <c r="N138" s="23" t="s">
        <v>1933</v>
      </c>
      <c r="O138" s="23" t="s">
        <v>919</v>
      </c>
      <c r="P138" s="23" t="s">
        <v>934</v>
      </c>
      <c r="Q138" s="23" t="s">
        <v>919</v>
      </c>
      <c r="R138" s="23"/>
      <c r="S138" s="23"/>
      <c r="T138" s="23" t="s">
        <v>2573</v>
      </c>
      <c r="U138" s="23">
        <v>2018</v>
      </c>
      <c r="V138" s="23"/>
      <c r="W138" s="23" t="s">
        <v>918</v>
      </c>
      <c r="X138" s="23" t="s">
        <v>2543</v>
      </c>
      <c r="Y138" s="23" t="s">
        <v>300</v>
      </c>
      <c r="Z138" s="23" t="s">
        <v>932</v>
      </c>
      <c r="AA138" s="23" t="s">
        <v>2553</v>
      </c>
      <c r="AB138" s="23" t="s">
        <v>2114</v>
      </c>
      <c r="AC138" s="23">
        <v>50</v>
      </c>
      <c r="AD138" s="23" t="s">
        <v>1132</v>
      </c>
      <c r="AE138" s="23"/>
      <c r="AF138" s="23"/>
      <c r="AG138" s="23" t="s">
        <v>961</v>
      </c>
      <c r="AH138" s="23"/>
      <c r="AI138" s="23"/>
      <c r="AJ138" s="23"/>
      <c r="AK138" s="23"/>
      <c r="AL138" s="23"/>
      <c r="AM138" s="23" t="s">
        <v>1668</v>
      </c>
      <c r="AN138" s="23"/>
      <c r="AO138" s="23">
        <v>10500000</v>
      </c>
      <c r="AP138" s="23"/>
      <c r="AQ138" s="23"/>
      <c r="AR138" s="23"/>
      <c r="AS138" s="23">
        <v>10500000</v>
      </c>
      <c r="AT138" s="23"/>
      <c r="AU138" s="23"/>
      <c r="AV138" s="23"/>
      <c r="AW138" s="23">
        <v>10500000</v>
      </c>
      <c r="AX138" s="23" t="s">
        <v>246</v>
      </c>
      <c r="AY138" s="23" t="s">
        <v>1246</v>
      </c>
      <c r="AZ138" s="23"/>
      <c r="BA138" s="23" t="s">
        <v>2555</v>
      </c>
      <c r="BB138" s="23">
        <v>204</v>
      </c>
      <c r="BC138" s="23" t="s">
        <v>2061</v>
      </c>
      <c r="BD138" s="23" t="s">
        <v>2062</v>
      </c>
      <c r="BE138" s="23" t="s">
        <v>2574</v>
      </c>
      <c r="BF138" s="23" t="s">
        <v>2479</v>
      </c>
      <c r="BG138" s="23" t="s">
        <v>2064</v>
      </c>
      <c r="BH138" s="23" t="s">
        <v>2480</v>
      </c>
      <c r="BI138" s="23" t="s">
        <v>246</v>
      </c>
      <c r="BJ138" s="23" t="s">
        <v>1807</v>
      </c>
      <c r="BK138" s="23"/>
      <c r="BL138" s="23"/>
    </row>
    <row r="139" spans="1:64" ht="30" customHeight="1">
      <c r="A139" s="23" t="s">
        <v>964</v>
      </c>
      <c r="B139" s="23" t="s">
        <v>2575</v>
      </c>
      <c r="C139" s="23">
        <v>5</v>
      </c>
      <c r="D139" s="23" t="s">
        <v>970</v>
      </c>
      <c r="E139" s="23" t="s">
        <v>964</v>
      </c>
      <c r="F139" s="23"/>
      <c r="G139" s="23" t="s">
        <v>161</v>
      </c>
      <c r="H139" s="23" t="s">
        <v>164</v>
      </c>
      <c r="I139" s="23"/>
      <c r="J139" s="23"/>
      <c r="K139" s="23"/>
      <c r="L139" s="23"/>
      <c r="M139" s="23" t="s">
        <v>246</v>
      </c>
      <c r="N139" s="23" t="s">
        <v>1933</v>
      </c>
      <c r="O139" s="23" t="s">
        <v>966</v>
      </c>
      <c r="P139" s="23" t="s">
        <v>166</v>
      </c>
      <c r="Q139" s="23" t="s">
        <v>966</v>
      </c>
      <c r="R139" s="23" t="s">
        <v>578</v>
      </c>
      <c r="S139" s="23" t="s">
        <v>967</v>
      </c>
      <c r="T139" s="23" t="s">
        <v>2576</v>
      </c>
      <c r="U139" s="23">
        <v>2019</v>
      </c>
      <c r="V139" s="23"/>
      <c r="W139" s="23" t="s">
        <v>965</v>
      </c>
      <c r="X139" s="23" t="s">
        <v>2577</v>
      </c>
      <c r="Y139" s="23" t="s">
        <v>252</v>
      </c>
      <c r="Z139" s="23" t="s">
        <v>740</v>
      </c>
      <c r="AA139" s="23" t="s">
        <v>2416</v>
      </c>
      <c r="AB139" s="23" t="s">
        <v>1935</v>
      </c>
      <c r="AC139" s="23"/>
      <c r="AD139" s="23"/>
      <c r="AE139" s="23"/>
      <c r="AF139" s="23"/>
      <c r="AG139" s="23" t="s">
        <v>968</v>
      </c>
      <c r="AH139" s="23"/>
      <c r="AI139" s="23"/>
      <c r="AJ139" s="23"/>
      <c r="AK139" s="23"/>
      <c r="AL139" s="23"/>
      <c r="AM139" s="23" t="s">
        <v>2578</v>
      </c>
      <c r="AN139" s="23"/>
      <c r="AO139" s="23"/>
      <c r="AP139" s="23"/>
      <c r="AQ139" s="23"/>
      <c r="AR139" s="23"/>
      <c r="AS139" s="23"/>
      <c r="AT139" s="23"/>
      <c r="AU139" s="23"/>
      <c r="AV139" s="23"/>
      <c r="AW139" s="23"/>
      <c r="AX139" s="23"/>
      <c r="AY139" s="23"/>
      <c r="AZ139" s="23"/>
      <c r="BA139" s="23" t="s">
        <v>2579</v>
      </c>
      <c r="BB139" s="23">
        <v>236</v>
      </c>
      <c r="BC139" s="23" t="s">
        <v>1935</v>
      </c>
      <c r="BD139" s="23"/>
      <c r="BE139" s="23" t="s">
        <v>2580</v>
      </c>
      <c r="BF139" s="23" t="s">
        <v>2366</v>
      </c>
      <c r="BG139" s="23" t="s">
        <v>2581</v>
      </c>
      <c r="BH139" s="23"/>
      <c r="BI139" s="23" t="s">
        <v>2582</v>
      </c>
      <c r="BJ139" s="23"/>
      <c r="BK139" s="23" t="s">
        <v>2583</v>
      </c>
      <c r="BL139" s="23"/>
    </row>
    <row r="140" spans="1:64" ht="30" customHeight="1">
      <c r="A140" s="23" t="s">
        <v>971</v>
      </c>
      <c r="B140" s="23" t="s">
        <v>2584</v>
      </c>
      <c r="C140" s="23">
        <v>5</v>
      </c>
      <c r="D140" s="23" t="s">
        <v>979</v>
      </c>
      <c r="E140" s="23" t="s">
        <v>971</v>
      </c>
      <c r="F140" s="23"/>
      <c r="G140" s="23" t="s">
        <v>161</v>
      </c>
      <c r="H140" s="23" t="s">
        <v>973</v>
      </c>
      <c r="I140" s="23"/>
      <c r="J140" s="23"/>
      <c r="K140" s="23"/>
      <c r="L140" s="23"/>
      <c r="M140" s="23" t="s">
        <v>246</v>
      </c>
      <c r="N140" s="23" t="s">
        <v>1933</v>
      </c>
      <c r="O140" s="23" t="s">
        <v>974</v>
      </c>
      <c r="P140" s="23" t="s">
        <v>975</v>
      </c>
      <c r="Q140" s="23" t="s">
        <v>974</v>
      </c>
      <c r="R140" s="23" t="s">
        <v>976</v>
      </c>
      <c r="S140" s="23"/>
      <c r="T140" s="23" t="s">
        <v>2585</v>
      </c>
      <c r="U140" s="23">
        <v>2019</v>
      </c>
      <c r="V140" s="23"/>
      <c r="W140" s="23" t="s">
        <v>972</v>
      </c>
      <c r="X140" s="23" t="s">
        <v>2586</v>
      </c>
      <c r="Y140" s="23" t="s">
        <v>2587</v>
      </c>
      <c r="Z140" s="23"/>
      <c r="AA140" s="23"/>
      <c r="AB140" s="23" t="s">
        <v>2058</v>
      </c>
      <c r="AC140" s="23">
        <v>40</v>
      </c>
      <c r="AD140" s="23" t="s">
        <v>1149</v>
      </c>
      <c r="AE140" s="23"/>
      <c r="AF140" s="23"/>
      <c r="AG140" s="23" t="s">
        <v>977</v>
      </c>
      <c r="AH140" s="23"/>
      <c r="AI140" s="23"/>
      <c r="AJ140" s="23"/>
      <c r="AK140" s="23"/>
      <c r="AL140" s="23"/>
      <c r="AM140" s="23" t="s">
        <v>2588</v>
      </c>
      <c r="AN140" s="23"/>
      <c r="AO140" s="23"/>
      <c r="AP140" s="23"/>
      <c r="AQ140" s="23"/>
      <c r="AR140" s="23"/>
      <c r="AS140" s="23"/>
      <c r="AT140" s="23"/>
      <c r="AU140" s="23"/>
      <c r="AV140" s="23"/>
      <c r="AW140" s="23"/>
      <c r="AX140" s="23" t="s">
        <v>1256</v>
      </c>
      <c r="AY140" s="23" t="s">
        <v>1257</v>
      </c>
      <c r="AZ140" s="23"/>
      <c r="BA140" s="23" t="s">
        <v>2579</v>
      </c>
      <c r="BB140" s="23">
        <v>236</v>
      </c>
      <c r="BC140" s="23" t="s">
        <v>2061</v>
      </c>
      <c r="BD140" s="23" t="s">
        <v>2282</v>
      </c>
      <c r="BE140" s="23" t="s">
        <v>2589</v>
      </c>
      <c r="BF140" s="23" t="s">
        <v>2590</v>
      </c>
      <c r="BG140" s="23" t="s">
        <v>2591</v>
      </c>
      <c r="BH140" s="23"/>
      <c r="BI140" s="23" t="s">
        <v>2592</v>
      </c>
      <c r="BJ140" s="23" t="s">
        <v>2593</v>
      </c>
      <c r="BK140" s="23"/>
      <c r="BL140" s="23"/>
    </row>
    <row r="141" spans="1:64" ht="30" customHeight="1">
      <c r="A141" s="23" t="s">
        <v>980</v>
      </c>
      <c r="B141" s="23" t="s">
        <v>2594</v>
      </c>
      <c r="C141" s="23">
        <v>5</v>
      </c>
      <c r="D141" s="23" t="s">
        <v>988</v>
      </c>
      <c r="E141" s="23" t="s">
        <v>989</v>
      </c>
      <c r="F141" s="23" t="s">
        <v>990</v>
      </c>
      <c r="G141" s="23" t="s">
        <v>161</v>
      </c>
      <c r="H141" s="23" t="s">
        <v>238</v>
      </c>
      <c r="I141" s="23"/>
      <c r="J141" s="23" t="s">
        <v>982</v>
      </c>
      <c r="K141" s="23"/>
      <c r="L141" s="23"/>
      <c r="M141" s="23" t="s">
        <v>991</v>
      </c>
      <c r="N141" s="23" t="s">
        <v>1933</v>
      </c>
      <c r="O141" s="23" t="s">
        <v>983</v>
      </c>
      <c r="P141" s="23" t="s">
        <v>984</v>
      </c>
      <c r="Q141" s="23" t="s">
        <v>983</v>
      </c>
      <c r="R141" s="23" t="s">
        <v>578</v>
      </c>
      <c r="S141" s="23" t="s">
        <v>985</v>
      </c>
      <c r="T141" s="23" t="s">
        <v>2595</v>
      </c>
      <c r="U141" s="23">
        <v>2020</v>
      </c>
      <c r="V141" s="23"/>
      <c r="W141" s="23" t="s">
        <v>981</v>
      </c>
      <c r="X141" s="23" t="s">
        <v>2596</v>
      </c>
      <c r="Y141" s="23" t="s">
        <v>300</v>
      </c>
      <c r="Z141" s="23" t="s">
        <v>316</v>
      </c>
      <c r="AA141" s="23" t="s">
        <v>2412</v>
      </c>
      <c r="AB141" s="23" t="s">
        <v>2313</v>
      </c>
      <c r="AC141" s="23">
        <v>10</v>
      </c>
      <c r="AD141" s="23" t="s">
        <v>1236</v>
      </c>
      <c r="AE141" s="23"/>
      <c r="AF141" s="23"/>
      <c r="AG141" s="23" t="s">
        <v>986</v>
      </c>
      <c r="AH141" s="23"/>
      <c r="AI141" s="23"/>
      <c r="AJ141" s="23"/>
      <c r="AK141" s="23"/>
      <c r="AL141" s="23"/>
      <c r="AM141" s="23" t="s">
        <v>1677</v>
      </c>
      <c r="AN141" s="23"/>
      <c r="AO141" s="23"/>
      <c r="AP141" s="23"/>
      <c r="AQ141" s="23"/>
      <c r="AR141" s="23"/>
      <c r="AS141" s="23"/>
      <c r="AT141" s="23"/>
      <c r="AU141" s="23"/>
      <c r="AV141" s="23"/>
      <c r="AW141" s="23"/>
      <c r="AX141" s="23" t="s">
        <v>1259</v>
      </c>
      <c r="AY141" s="23" t="s">
        <v>1260</v>
      </c>
      <c r="AZ141" s="23"/>
      <c r="BA141" s="23" t="s">
        <v>2129</v>
      </c>
      <c r="BB141" s="23">
        <v>239</v>
      </c>
      <c r="BC141" s="23" t="s">
        <v>2061</v>
      </c>
      <c r="BD141" s="23" t="s">
        <v>2075</v>
      </c>
      <c r="BE141" s="23" t="s">
        <v>2597</v>
      </c>
      <c r="BF141" s="23" t="s">
        <v>2486</v>
      </c>
      <c r="BG141" s="23" t="s">
        <v>2064</v>
      </c>
      <c r="BH141" s="23" t="s">
        <v>2077</v>
      </c>
      <c r="BI141" s="23" t="s">
        <v>2598</v>
      </c>
      <c r="BJ141" s="23" t="s">
        <v>2599</v>
      </c>
      <c r="BK141" s="23" t="s">
        <v>2600</v>
      </c>
      <c r="BL141" s="23"/>
    </row>
    <row r="142" spans="1:64" ht="30" customHeight="1">
      <c r="A142" s="23" t="s">
        <v>992</v>
      </c>
      <c r="B142" s="23" t="s">
        <v>2594</v>
      </c>
      <c r="C142" s="23">
        <v>6</v>
      </c>
      <c r="D142" s="23" t="s">
        <v>998</v>
      </c>
      <c r="E142" s="23" t="s">
        <v>999</v>
      </c>
      <c r="F142" s="23"/>
      <c r="G142" s="23" t="s">
        <v>161</v>
      </c>
      <c r="H142" s="23" t="s">
        <v>993</v>
      </c>
      <c r="I142" s="23"/>
      <c r="J142" s="23"/>
      <c r="K142" s="23"/>
      <c r="L142" s="23"/>
      <c r="M142" s="23" t="s">
        <v>246</v>
      </c>
      <c r="N142" s="23" t="s">
        <v>2431</v>
      </c>
      <c r="O142" s="23" t="s">
        <v>994</v>
      </c>
      <c r="P142" s="23" t="s">
        <v>995</v>
      </c>
      <c r="Q142" s="23" t="s">
        <v>995</v>
      </c>
      <c r="R142" s="23" t="s">
        <v>578</v>
      </c>
      <c r="S142" s="23"/>
      <c r="T142" s="23" t="s">
        <v>2601</v>
      </c>
      <c r="U142" s="23">
        <v>2023</v>
      </c>
      <c r="V142" s="23"/>
      <c r="W142" s="23" t="s">
        <v>981</v>
      </c>
      <c r="X142" s="23"/>
      <c r="Y142" s="23" t="s">
        <v>300</v>
      </c>
      <c r="Z142" s="23"/>
      <c r="AA142" s="23"/>
      <c r="AB142" s="23" t="s">
        <v>2313</v>
      </c>
      <c r="AC142" s="23">
        <v>10</v>
      </c>
      <c r="AD142" s="23" t="s">
        <v>1236</v>
      </c>
      <c r="AE142" s="23"/>
      <c r="AF142" s="23"/>
      <c r="AG142" s="23" t="s">
        <v>996</v>
      </c>
      <c r="AH142" s="23"/>
      <c r="AI142" s="23"/>
      <c r="AJ142" s="23"/>
      <c r="AK142" s="23"/>
      <c r="AL142" s="23"/>
      <c r="AM142" s="23" t="s">
        <v>1680</v>
      </c>
      <c r="AN142" s="23" t="s">
        <v>2602</v>
      </c>
      <c r="AO142" s="23"/>
      <c r="AP142" s="23"/>
      <c r="AQ142" s="23"/>
      <c r="AR142" s="23"/>
      <c r="AS142" s="23"/>
      <c r="AT142" s="23"/>
      <c r="AU142" s="23"/>
      <c r="AV142" s="23"/>
      <c r="AW142" s="23"/>
      <c r="AX142" s="23" t="s">
        <v>1262</v>
      </c>
      <c r="AY142" s="23" t="s">
        <v>1260</v>
      </c>
      <c r="AZ142" s="23"/>
      <c r="BA142" s="23" t="s">
        <v>2129</v>
      </c>
      <c r="BB142" s="23">
        <v>239</v>
      </c>
      <c r="BC142" s="23" t="s">
        <v>2061</v>
      </c>
      <c r="BD142" s="23" t="s">
        <v>2429</v>
      </c>
      <c r="BE142" s="23" t="s">
        <v>2603</v>
      </c>
      <c r="BF142" s="23" t="s">
        <v>2604</v>
      </c>
      <c r="BG142" s="23" t="s">
        <v>2064</v>
      </c>
      <c r="BH142" s="23"/>
      <c r="BI142" s="23" t="s">
        <v>2605</v>
      </c>
      <c r="BJ142" s="23" t="s">
        <v>2606</v>
      </c>
      <c r="BK142" s="23" t="s">
        <v>2607</v>
      </c>
      <c r="BL142" s="23"/>
    </row>
    <row r="143" spans="1:64" ht="30" customHeight="1">
      <c r="A143" s="23" t="s">
        <v>1000</v>
      </c>
      <c r="B143" s="23" t="s">
        <v>2608</v>
      </c>
      <c r="C143" s="23">
        <v>5</v>
      </c>
      <c r="D143" s="23" t="s">
        <v>1006</v>
      </c>
      <c r="E143" s="23" t="s">
        <v>1000</v>
      </c>
      <c r="F143" s="23" t="s">
        <v>1007</v>
      </c>
      <c r="G143" s="23" t="s">
        <v>161</v>
      </c>
      <c r="H143" s="23" t="s">
        <v>238</v>
      </c>
      <c r="I143" s="23"/>
      <c r="J143" s="23" t="s">
        <v>982</v>
      </c>
      <c r="K143" s="23"/>
      <c r="L143" s="23"/>
      <c r="M143" s="23" t="s">
        <v>1008</v>
      </c>
      <c r="N143" s="23" t="s">
        <v>1933</v>
      </c>
      <c r="O143" s="23" t="s">
        <v>983</v>
      </c>
      <c r="P143" s="23" t="s">
        <v>1002</v>
      </c>
      <c r="Q143" s="23" t="s">
        <v>983</v>
      </c>
      <c r="R143" s="23" t="s">
        <v>578</v>
      </c>
      <c r="S143" s="23" t="s">
        <v>1003</v>
      </c>
      <c r="T143" s="23" t="s">
        <v>2609</v>
      </c>
      <c r="U143" s="23">
        <v>2020</v>
      </c>
      <c r="V143" s="23"/>
      <c r="W143" s="23" t="s">
        <v>1001</v>
      </c>
      <c r="X143" s="23" t="s">
        <v>2610</v>
      </c>
      <c r="Y143" s="23" t="s">
        <v>300</v>
      </c>
      <c r="Z143" s="23" t="s">
        <v>316</v>
      </c>
      <c r="AA143" s="23" t="s">
        <v>2412</v>
      </c>
      <c r="AB143" s="23" t="s">
        <v>2114</v>
      </c>
      <c r="AC143" s="23">
        <v>50</v>
      </c>
      <c r="AD143" s="23" t="s">
        <v>1132</v>
      </c>
      <c r="AE143" s="23"/>
      <c r="AF143" s="23"/>
      <c r="AG143" s="23" t="s">
        <v>1004</v>
      </c>
      <c r="AH143" s="23"/>
      <c r="AI143" s="23"/>
      <c r="AJ143" s="23"/>
      <c r="AK143" s="23"/>
      <c r="AL143" s="23"/>
      <c r="AM143" s="23" t="s">
        <v>2611</v>
      </c>
      <c r="AN143" s="23" t="s">
        <v>2612</v>
      </c>
      <c r="AO143" s="23"/>
      <c r="AP143" s="23"/>
      <c r="AQ143" s="23"/>
      <c r="AR143" s="23"/>
      <c r="AS143" s="23">
        <v>1389677.83</v>
      </c>
      <c r="AT143" s="23"/>
      <c r="AU143" s="23"/>
      <c r="AV143" s="23"/>
      <c r="AW143" s="23">
        <v>1389677.83</v>
      </c>
      <c r="AX143" s="23" t="s">
        <v>1264</v>
      </c>
      <c r="AY143" s="23" t="s">
        <v>1224</v>
      </c>
      <c r="AZ143" s="23"/>
      <c r="BA143" s="23" t="s">
        <v>2612</v>
      </c>
      <c r="BB143" s="23">
        <v>29</v>
      </c>
      <c r="BC143" s="23" t="s">
        <v>2190</v>
      </c>
      <c r="BD143" s="23" t="s">
        <v>2062</v>
      </c>
      <c r="BE143" s="23" t="s">
        <v>2613</v>
      </c>
      <c r="BF143" s="23" t="s">
        <v>2486</v>
      </c>
      <c r="BG143" s="23" t="s">
        <v>2064</v>
      </c>
      <c r="BH143" s="23" t="s">
        <v>2077</v>
      </c>
      <c r="BI143" s="23" t="s">
        <v>2614</v>
      </c>
      <c r="BJ143" s="23" t="s">
        <v>2615</v>
      </c>
      <c r="BK143" s="23" t="s">
        <v>2616</v>
      </c>
      <c r="BL143" s="23"/>
    </row>
    <row r="144" spans="1:64" ht="30" customHeight="1">
      <c r="A144" s="23" t="s">
        <v>1009</v>
      </c>
      <c r="B144" s="23" t="s">
        <v>2608</v>
      </c>
      <c r="C144" s="23">
        <v>6</v>
      </c>
      <c r="D144" s="23" t="s">
        <v>1011</v>
      </c>
      <c r="E144" s="23" t="s">
        <v>989</v>
      </c>
      <c r="F144" s="23" t="s">
        <v>990</v>
      </c>
      <c r="G144" s="23" t="s">
        <v>161</v>
      </c>
      <c r="H144" s="23" t="s">
        <v>238</v>
      </c>
      <c r="I144" s="23"/>
      <c r="J144" s="23" t="s">
        <v>982</v>
      </c>
      <c r="K144" s="23"/>
      <c r="L144" s="23"/>
      <c r="M144" s="23" t="s">
        <v>991</v>
      </c>
      <c r="N144" s="23" t="s">
        <v>1933</v>
      </c>
      <c r="O144" s="23" t="s">
        <v>983</v>
      </c>
      <c r="P144" s="23" t="s">
        <v>984</v>
      </c>
      <c r="Q144" s="23" t="s">
        <v>983</v>
      </c>
      <c r="R144" s="23" t="s">
        <v>578</v>
      </c>
      <c r="S144" s="23" t="s">
        <v>985</v>
      </c>
      <c r="T144" s="23" t="s">
        <v>2595</v>
      </c>
      <c r="U144" s="23">
        <v>2020</v>
      </c>
      <c r="V144" s="23"/>
      <c r="W144" s="23" t="s">
        <v>1001</v>
      </c>
      <c r="X144" s="23" t="s">
        <v>2596</v>
      </c>
      <c r="Y144" s="23" t="s">
        <v>300</v>
      </c>
      <c r="Z144" s="23" t="s">
        <v>316</v>
      </c>
      <c r="AA144" s="23" t="s">
        <v>2412</v>
      </c>
      <c r="AB144" s="23" t="s">
        <v>2313</v>
      </c>
      <c r="AC144" s="23">
        <v>10</v>
      </c>
      <c r="AD144" s="23" t="s">
        <v>1236</v>
      </c>
      <c r="AE144" s="23"/>
      <c r="AF144" s="23"/>
      <c r="AG144" s="23" t="s">
        <v>986</v>
      </c>
      <c r="AH144" s="23"/>
      <c r="AI144" s="23"/>
      <c r="AJ144" s="23"/>
      <c r="AK144" s="23"/>
      <c r="AL144" s="23"/>
      <c r="AM144" s="23" t="s">
        <v>1677</v>
      </c>
      <c r="AN144" s="23"/>
      <c r="AO144" s="23"/>
      <c r="AP144" s="23"/>
      <c r="AQ144" s="23"/>
      <c r="AR144" s="23"/>
      <c r="AS144" s="23"/>
      <c r="AT144" s="23"/>
      <c r="AU144" s="23"/>
      <c r="AV144" s="23"/>
      <c r="AW144" s="23"/>
      <c r="AX144" s="23" t="s">
        <v>1259</v>
      </c>
      <c r="AY144" s="23" t="s">
        <v>1260</v>
      </c>
      <c r="AZ144" s="23"/>
      <c r="BA144" s="23" t="s">
        <v>2129</v>
      </c>
      <c r="BB144" s="23">
        <v>239</v>
      </c>
      <c r="BC144" s="23" t="s">
        <v>2061</v>
      </c>
      <c r="BD144" s="23" t="s">
        <v>2075</v>
      </c>
      <c r="BE144" s="23" t="s">
        <v>2617</v>
      </c>
      <c r="BF144" s="23" t="s">
        <v>2486</v>
      </c>
      <c r="BG144" s="23" t="s">
        <v>2064</v>
      </c>
      <c r="BH144" s="23" t="s">
        <v>2077</v>
      </c>
      <c r="BI144" s="23" t="s">
        <v>2598</v>
      </c>
      <c r="BJ144" s="23" t="s">
        <v>2599</v>
      </c>
      <c r="BK144" s="23" t="s">
        <v>2600</v>
      </c>
      <c r="BL144" s="23"/>
    </row>
    <row r="145" spans="1:64" ht="30" customHeight="1">
      <c r="A145" s="23" t="s">
        <v>1012</v>
      </c>
      <c r="B145" s="23" t="s">
        <v>2608</v>
      </c>
      <c r="C145" s="23">
        <v>7</v>
      </c>
      <c r="D145" s="23" t="s">
        <v>1014</v>
      </c>
      <c r="E145" s="23" t="s">
        <v>999</v>
      </c>
      <c r="F145" s="23"/>
      <c r="G145" s="23" t="s">
        <v>161</v>
      </c>
      <c r="H145" s="23" t="s">
        <v>993</v>
      </c>
      <c r="I145" s="23"/>
      <c r="J145" s="23"/>
      <c r="K145" s="23"/>
      <c r="L145" s="23"/>
      <c r="M145" s="23" t="s">
        <v>246</v>
      </c>
      <c r="N145" s="23" t="s">
        <v>2431</v>
      </c>
      <c r="O145" s="23" t="s">
        <v>994</v>
      </c>
      <c r="P145" s="23" t="s">
        <v>995</v>
      </c>
      <c r="Q145" s="23" t="s">
        <v>995</v>
      </c>
      <c r="R145" s="23" t="s">
        <v>578</v>
      </c>
      <c r="S145" s="23"/>
      <c r="T145" s="23" t="s">
        <v>2601</v>
      </c>
      <c r="U145" s="23">
        <v>2023</v>
      </c>
      <c r="V145" s="23"/>
      <c r="W145" s="23" t="s">
        <v>1001</v>
      </c>
      <c r="X145" s="23"/>
      <c r="Y145" s="23" t="s">
        <v>300</v>
      </c>
      <c r="Z145" s="23"/>
      <c r="AA145" s="23"/>
      <c r="AB145" s="23" t="s">
        <v>2313</v>
      </c>
      <c r="AC145" s="23">
        <v>10</v>
      </c>
      <c r="AD145" s="23" t="s">
        <v>1236</v>
      </c>
      <c r="AE145" s="23"/>
      <c r="AF145" s="23"/>
      <c r="AG145" s="23" t="s">
        <v>996</v>
      </c>
      <c r="AH145" s="23"/>
      <c r="AI145" s="23"/>
      <c r="AJ145" s="23"/>
      <c r="AK145" s="23"/>
      <c r="AL145" s="23"/>
      <c r="AM145" s="23" t="s">
        <v>1680</v>
      </c>
      <c r="AN145" s="23" t="s">
        <v>2602</v>
      </c>
      <c r="AO145" s="23"/>
      <c r="AP145" s="23"/>
      <c r="AQ145" s="23"/>
      <c r="AR145" s="23"/>
      <c r="AS145" s="23"/>
      <c r="AT145" s="23"/>
      <c r="AU145" s="23"/>
      <c r="AV145" s="23"/>
      <c r="AW145" s="23"/>
      <c r="AX145" s="23" t="s">
        <v>1262</v>
      </c>
      <c r="AY145" s="23" t="s">
        <v>1260</v>
      </c>
      <c r="AZ145" s="23"/>
      <c r="BA145" s="23" t="s">
        <v>2129</v>
      </c>
      <c r="BB145" s="23">
        <v>239</v>
      </c>
      <c r="BC145" s="23" t="s">
        <v>2061</v>
      </c>
      <c r="BD145" s="23" t="s">
        <v>2429</v>
      </c>
      <c r="BE145" s="23" t="s">
        <v>2618</v>
      </c>
      <c r="BF145" s="23" t="s">
        <v>2604</v>
      </c>
      <c r="BG145" s="23" t="s">
        <v>2064</v>
      </c>
      <c r="BH145" s="23"/>
      <c r="BI145" s="23" t="s">
        <v>2605</v>
      </c>
      <c r="BJ145" s="23" t="s">
        <v>2606</v>
      </c>
      <c r="BK145" s="23" t="s">
        <v>2607</v>
      </c>
      <c r="BL145" s="23"/>
    </row>
    <row r="146" spans="1:64" ht="30" customHeight="1">
      <c r="A146" s="23" t="s">
        <v>1015</v>
      </c>
      <c r="B146" s="23" t="s">
        <v>2619</v>
      </c>
      <c r="C146" s="23">
        <v>5</v>
      </c>
      <c r="D146" s="23" t="s">
        <v>1021</v>
      </c>
      <c r="E146" s="23" t="s">
        <v>1015</v>
      </c>
      <c r="F146" s="23"/>
      <c r="G146" s="23" t="s">
        <v>161</v>
      </c>
      <c r="H146" s="23" t="s">
        <v>584</v>
      </c>
      <c r="I146" s="23"/>
      <c r="J146" s="23"/>
      <c r="K146" s="23"/>
      <c r="L146" s="23"/>
      <c r="M146" s="23"/>
      <c r="N146" s="23" t="s">
        <v>1933</v>
      </c>
      <c r="O146" s="23" t="s">
        <v>1017</v>
      </c>
      <c r="P146" s="23" t="s">
        <v>166</v>
      </c>
      <c r="Q146" s="23" t="s">
        <v>1017</v>
      </c>
      <c r="R146" s="23" t="s">
        <v>847</v>
      </c>
      <c r="S146" s="23" t="s">
        <v>1018</v>
      </c>
      <c r="T146" s="23" t="s">
        <v>2620</v>
      </c>
      <c r="U146" s="23">
        <v>2022</v>
      </c>
      <c r="V146" s="23"/>
      <c r="W146" s="23" t="s">
        <v>1016</v>
      </c>
      <c r="X146" s="23" t="s">
        <v>2621</v>
      </c>
      <c r="Y146" s="23" t="s">
        <v>2587</v>
      </c>
      <c r="Z146" s="23"/>
      <c r="AA146" s="23"/>
      <c r="AB146" s="23" t="s">
        <v>2313</v>
      </c>
      <c r="AC146" s="23">
        <v>10</v>
      </c>
      <c r="AD146" s="23"/>
      <c r="AE146" s="23"/>
      <c r="AF146" s="23"/>
      <c r="AG146" s="23" t="s">
        <v>1019</v>
      </c>
      <c r="AH146" s="23"/>
      <c r="AI146" s="23"/>
      <c r="AJ146" s="23"/>
      <c r="AK146" s="23"/>
      <c r="AL146" s="23"/>
      <c r="AM146" s="23" t="s">
        <v>2622</v>
      </c>
      <c r="AN146" s="23"/>
      <c r="AO146" s="23"/>
      <c r="AP146" s="23"/>
      <c r="AQ146" s="23"/>
      <c r="AR146" s="23"/>
      <c r="AS146" s="23"/>
      <c r="AT146" s="23"/>
      <c r="AU146" s="23"/>
      <c r="AV146" s="23"/>
      <c r="AW146" s="23"/>
      <c r="AX146" s="23"/>
      <c r="AY146" s="23"/>
      <c r="AZ146" s="23"/>
      <c r="BA146" s="23" t="s">
        <v>2236</v>
      </c>
      <c r="BB146" s="23">
        <v>232</v>
      </c>
      <c r="BC146" s="23" t="s">
        <v>2061</v>
      </c>
      <c r="BD146" s="23" t="s">
        <v>2429</v>
      </c>
      <c r="BE146" s="23" t="s">
        <v>2623</v>
      </c>
      <c r="BF146" s="23" t="s">
        <v>2288</v>
      </c>
      <c r="BG146" s="23" t="s">
        <v>2591</v>
      </c>
      <c r="BH146" s="23" t="s">
        <v>2278</v>
      </c>
      <c r="BI146" s="23" t="s">
        <v>2624</v>
      </c>
      <c r="BJ146" s="23"/>
      <c r="BK146" s="23" t="s">
        <v>2625</v>
      </c>
      <c r="BL146" s="23"/>
    </row>
    <row r="147" spans="1:64" ht="30" customHeight="1">
      <c r="A147" s="23" t="s">
        <v>1022</v>
      </c>
      <c r="B147" s="23" t="s">
        <v>2626</v>
      </c>
      <c r="C147" s="23">
        <v>5</v>
      </c>
      <c r="D147" s="23" t="s">
        <v>1028</v>
      </c>
      <c r="E147" s="23" t="s">
        <v>1022</v>
      </c>
      <c r="F147" s="23"/>
      <c r="G147" s="23" t="s">
        <v>161</v>
      </c>
      <c r="H147" s="23" t="s">
        <v>584</v>
      </c>
      <c r="I147" s="23"/>
      <c r="J147" s="23"/>
      <c r="K147" s="23"/>
      <c r="L147" s="23"/>
      <c r="M147" s="23" t="s">
        <v>246</v>
      </c>
      <c r="N147" s="23" t="s">
        <v>2431</v>
      </c>
      <c r="O147" s="23" t="s">
        <v>166</v>
      </c>
      <c r="P147" s="23" t="s">
        <v>1024</v>
      </c>
      <c r="Q147" s="23" t="s">
        <v>1024</v>
      </c>
      <c r="R147" s="23" t="s">
        <v>303</v>
      </c>
      <c r="S147" s="23" t="s">
        <v>1025</v>
      </c>
      <c r="T147" s="23" t="s">
        <v>2627</v>
      </c>
      <c r="U147" s="23">
        <v>2023</v>
      </c>
      <c r="V147" s="23"/>
      <c r="W147" s="23" t="s">
        <v>1023</v>
      </c>
      <c r="X147" s="23" t="s">
        <v>2628</v>
      </c>
      <c r="Y147" s="23" t="s">
        <v>300</v>
      </c>
      <c r="Z147" s="23" t="s">
        <v>837</v>
      </c>
      <c r="AA147" s="23" t="s">
        <v>2482</v>
      </c>
      <c r="AB147" s="23" t="s">
        <v>2313</v>
      </c>
      <c r="AC147" s="23">
        <v>20</v>
      </c>
      <c r="AD147" s="23" t="s">
        <v>1132</v>
      </c>
      <c r="AE147" s="23"/>
      <c r="AF147" s="23"/>
      <c r="AG147" s="23" t="s">
        <v>1026</v>
      </c>
      <c r="AH147" s="23"/>
      <c r="AI147" s="23"/>
      <c r="AJ147" s="23"/>
      <c r="AK147" s="23"/>
      <c r="AL147" s="23"/>
      <c r="AM147" s="23" t="s">
        <v>2629</v>
      </c>
      <c r="AN147" s="23"/>
      <c r="AO147" s="23"/>
      <c r="AP147" s="23"/>
      <c r="AQ147" s="23"/>
      <c r="AR147" s="23"/>
      <c r="AS147" s="23"/>
      <c r="AT147" s="23"/>
      <c r="AU147" s="23"/>
      <c r="AV147" s="23"/>
      <c r="AW147" s="23"/>
      <c r="AX147" s="23" t="s">
        <v>246</v>
      </c>
      <c r="AY147" s="23" t="s">
        <v>1269</v>
      </c>
      <c r="AZ147" s="23"/>
      <c r="BA147" s="23" t="s">
        <v>2630</v>
      </c>
      <c r="BB147" s="23">
        <v>211</v>
      </c>
      <c r="BC147" s="23" t="s">
        <v>2061</v>
      </c>
      <c r="BD147" s="23" t="s">
        <v>2085</v>
      </c>
      <c r="BE147" s="23" t="s">
        <v>2631</v>
      </c>
      <c r="BF147" s="23" t="s">
        <v>2288</v>
      </c>
      <c r="BG147" s="23" t="s">
        <v>2064</v>
      </c>
      <c r="BH147" s="23" t="s">
        <v>2632</v>
      </c>
      <c r="BI147" s="23" t="s">
        <v>2633</v>
      </c>
      <c r="BJ147" s="23" t="s">
        <v>1807</v>
      </c>
      <c r="BK147" s="23" t="s">
        <v>2634</v>
      </c>
      <c r="BL147" s="23"/>
    </row>
    <row r="148" spans="1:64" ht="30" customHeight="1">
      <c r="A148" s="23" t="s">
        <v>1029</v>
      </c>
      <c r="B148" s="23" t="s">
        <v>2626</v>
      </c>
      <c r="C148" s="23">
        <v>6</v>
      </c>
      <c r="D148" s="23" t="s">
        <v>1032</v>
      </c>
      <c r="E148" s="23" t="s">
        <v>1029</v>
      </c>
      <c r="F148" s="23"/>
      <c r="G148" s="23" t="s">
        <v>161</v>
      </c>
      <c r="H148" s="23" t="s">
        <v>584</v>
      </c>
      <c r="I148" s="23"/>
      <c r="J148" s="23"/>
      <c r="K148" s="23"/>
      <c r="L148" s="23"/>
      <c r="M148" s="23" t="s">
        <v>246</v>
      </c>
      <c r="N148" s="23" t="s">
        <v>1933</v>
      </c>
      <c r="O148" s="23" t="s">
        <v>1024</v>
      </c>
      <c r="P148" s="23" t="s">
        <v>166</v>
      </c>
      <c r="Q148" s="23" t="s">
        <v>1024</v>
      </c>
      <c r="R148" s="23" t="s">
        <v>303</v>
      </c>
      <c r="S148" s="23" t="s">
        <v>1025</v>
      </c>
      <c r="T148" s="23" t="s">
        <v>2635</v>
      </c>
      <c r="U148" s="23">
        <v>2023</v>
      </c>
      <c r="V148" s="23"/>
      <c r="W148" s="23" t="s">
        <v>1023</v>
      </c>
      <c r="X148" s="23" t="s">
        <v>2628</v>
      </c>
      <c r="Y148" s="23" t="s">
        <v>300</v>
      </c>
      <c r="Z148" s="23" t="s">
        <v>280</v>
      </c>
      <c r="AA148" s="23" t="s">
        <v>2032</v>
      </c>
      <c r="AB148" s="23" t="s">
        <v>2208</v>
      </c>
      <c r="AC148" s="23">
        <v>65</v>
      </c>
      <c r="AD148" s="23" t="s">
        <v>1132</v>
      </c>
      <c r="AE148" s="23"/>
      <c r="AF148" s="23"/>
      <c r="AG148" s="23" t="s">
        <v>1030</v>
      </c>
      <c r="AH148" s="23"/>
      <c r="AI148" s="23"/>
      <c r="AJ148" s="23"/>
      <c r="AK148" s="23"/>
      <c r="AL148" s="23"/>
      <c r="AM148" s="23" t="s">
        <v>2636</v>
      </c>
      <c r="AN148" s="23"/>
      <c r="AO148" s="23">
        <v>28362468.460000001</v>
      </c>
      <c r="AP148" s="23"/>
      <c r="AQ148" s="23">
        <v>23349656.25</v>
      </c>
      <c r="AR148" s="23"/>
      <c r="AS148" s="23">
        <v>28362468.460000001</v>
      </c>
      <c r="AT148" s="23"/>
      <c r="AU148" s="23"/>
      <c r="AV148" s="23"/>
      <c r="AW148" s="23">
        <v>28362468.460000001</v>
      </c>
      <c r="AX148" s="23" t="s">
        <v>246</v>
      </c>
      <c r="AY148" s="23" t="s">
        <v>1269</v>
      </c>
      <c r="AZ148" s="23"/>
      <c r="BA148" s="23" t="s">
        <v>2630</v>
      </c>
      <c r="BB148" s="23">
        <v>211</v>
      </c>
      <c r="BC148" s="23" t="s">
        <v>2061</v>
      </c>
      <c r="BD148" s="23" t="s">
        <v>2062</v>
      </c>
      <c r="BE148" s="23" t="s">
        <v>2637</v>
      </c>
      <c r="BF148" s="23" t="s">
        <v>2288</v>
      </c>
      <c r="BG148" s="23" t="s">
        <v>2064</v>
      </c>
      <c r="BH148" s="23" t="s">
        <v>2638</v>
      </c>
      <c r="BI148" s="23" t="s">
        <v>2639</v>
      </c>
      <c r="BJ148" s="23" t="s">
        <v>1807</v>
      </c>
      <c r="BK148" s="23"/>
      <c r="BL148" s="23"/>
    </row>
    <row r="149" spans="1:64" ht="30" customHeight="1">
      <c r="A149" s="23" t="s">
        <v>1033</v>
      </c>
      <c r="B149" s="23" t="s">
        <v>2640</v>
      </c>
      <c r="C149" s="23">
        <v>5</v>
      </c>
      <c r="D149" s="23" t="s">
        <v>1040</v>
      </c>
      <c r="E149" s="23"/>
      <c r="F149" s="23" t="s">
        <v>1033</v>
      </c>
      <c r="G149" s="23" t="s">
        <v>1034</v>
      </c>
      <c r="H149" s="23" t="s">
        <v>973</v>
      </c>
      <c r="I149" s="23"/>
      <c r="J149" s="23"/>
      <c r="K149" s="23"/>
      <c r="L149" s="23"/>
      <c r="M149" s="23" t="s">
        <v>262</v>
      </c>
      <c r="N149" s="23" t="s">
        <v>1933</v>
      </c>
      <c r="O149" s="23" t="s">
        <v>1036</v>
      </c>
      <c r="P149" s="23" t="s">
        <v>166</v>
      </c>
      <c r="Q149" s="23" t="s">
        <v>1036</v>
      </c>
      <c r="R149" s="23" t="s">
        <v>1037</v>
      </c>
      <c r="S149" s="23"/>
      <c r="T149" s="23" t="s">
        <v>2641</v>
      </c>
      <c r="U149" s="23">
        <v>2022</v>
      </c>
      <c r="V149" s="23"/>
      <c r="W149" s="23" t="s">
        <v>1035</v>
      </c>
      <c r="X149" s="23" t="s">
        <v>2642</v>
      </c>
      <c r="Y149" s="23" t="s">
        <v>2587</v>
      </c>
      <c r="Z149" s="23" t="s">
        <v>932</v>
      </c>
      <c r="AA149" s="23" t="s">
        <v>2553</v>
      </c>
      <c r="AB149" s="23" t="s">
        <v>2313</v>
      </c>
      <c r="AC149" s="23">
        <v>10</v>
      </c>
      <c r="AD149" s="23"/>
      <c r="AE149" s="23"/>
      <c r="AF149" s="23"/>
      <c r="AG149" s="23" t="s">
        <v>1038</v>
      </c>
      <c r="AH149" s="23"/>
      <c r="AI149" s="23"/>
      <c r="AJ149" s="23"/>
      <c r="AK149" s="23"/>
      <c r="AL149" s="23"/>
      <c r="AM149" s="23" t="s">
        <v>1699</v>
      </c>
      <c r="AN149" s="23"/>
      <c r="AO149" s="23"/>
      <c r="AP149" s="23"/>
      <c r="AQ149" s="23"/>
      <c r="AR149" s="23"/>
      <c r="AS149" s="23"/>
      <c r="AT149" s="23"/>
      <c r="AU149" s="23"/>
      <c r="AV149" s="23"/>
      <c r="AW149" s="23"/>
      <c r="AX149" s="23"/>
      <c r="AY149" s="23"/>
      <c r="AZ149" s="23"/>
      <c r="BA149" s="23" t="s">
        <v>2643</v>
      </c>
      <c r="BB149" s="23">
        <v>1318</v>
      </c>
      <c r="BC149" s="23" t="s">
        <v>2061</v>
      </c>
      <c r="BD149" s="23" t="s">
        <v>2075</v>
      </c>
      <c r="BE149" s="23" t="s">
        <v>2644</v>
      </c>
      <c r="BF149" s="23" t="s">
        <v>2590</v>
      </c>
      <c r="BG149" s="23" t="s">
        <v>2591</v>
      </c>
      <c r="BH149" s="23" t="s">
        <v>2645</v>
      </c>
      <c r="BI149" s="23" t="s">
        <v>1033</v>
      </c>
      <c r="BJ149" s="23"/>
      <c r="BK149" s="23" t="s">
        <v>2583</v>
      </c>
      <c r="BL149" s="23"/>
    </row>
    <row r="150" spans="1:64" ht="30" customHeight="1">
      <c r="A150" s="23" t="s">
        <v>1041</v>
      </c>
      <c r="B150" s="23" t="s">
        <v>2640</v>
      </c>
      <c r="C150" s="23">
        <v>6</v>
      </c>
      <c r="D150" s="23" t="s">
        <v>1044</v>
      </c>
      <c r="E150" s="23" t="s">
        <v>1041</v>
      </c>
      <c r="F150" s="23"/>
      <c r="G150" s="23" t="s">
        <v>161</v>
      </c>
      <c r="H150" s="23" t="s">
        <v>973</v>
      </c>
      <c r="I150" s="23"/>
      <c r="J150" s="23"/>
      <c r="K150" s="23"/>
      <c r="L150" s="23"/>
      <c r="M150" s="23" t="s">
        <v>1045</v>
      </c>
      <c r="N150" s="23"/>
      <c r="O150" s="23"/>
      <c r="P150" s="23"/>
      <c r="Q150" s="23"/>
      <c r="R150" s="23" t="s">
        <v>847</v>
      </c>
      <c r="S150" s="23"/>
      <c r="T150" s="23"/>
      <c r="U150" s="23">
        <v>2023</v>
      </c>
      <c r="V150" s="23"/>
      <c r="W150" s="23" t="s">
        <v>1035</v>
      </c>
      <c r="X150" s="23"/>
      <c r="Y150" s="23" t="s">
        <v>2587</v>
      </c>
      <c r="Z150" s="23"/>
      <c r="AA150" s="23"/>
      <c r="AB150" s="23" t="s">
        <v>2313</v>
      </c>
      <c r="AC150" s="23">
        <v>10</v>
      </c>
      <c r="AD150" s="23"/>
      <c r="AE150" s="23"/>
      <c r="AF150" s="23"/>
      <c r="AG150" s="23" t="s">
        <v>1042</v>
      </c>
      <c r="AH150" s="23"/>
      <c r="AI150" s="23"/>
      <c r="AJ150" s="23"/>
      <c r="AK150" s="23"/>
      <c r="AL150" s="23"/>
      <c r="AM150" s="23" t="s">
        <v>1702</v>
      </c>
      <c r="AN150" s="23"/>
      <c r="AO150" s="23"/>
      <c r="AP150" s="23"/>
      <c r="AQ150" s="23"/>
      <c r="AR150" s="23"/>
      <c r="AS150" s="23"/>
      <c r="AT150" s="23"/>
      <c r="AU150" s="23"/>
      <c r="AV150" s="23"/>
      <c r="AW150" s="23"/>
      <c r="AX150" s="23"/>
      <c r="AY150" s="23"/>
      <c r="AZ150" s="23"/>
      <c r="BA150" s="23" t="s">
        <v>2646</v>
      </c>
      <c r="BB150" s="23">
        <v>274</v>
      </c>
      <c r="BC150" s="23" t="s">
        <v>2061</v>
      </c>
      <c r="BD150" s="23" t="s">
        <v>2429</v>
      </c>
      <c r="BE150" s="23" t="s">
        <v>2647</v>
      </c>
      <c r="BF150" s="23" t="s">
        <v>2590</v>
      </c>
      <c r="BG150" s="23" t="s">
        <v>2591</v>
      </c>
      <c r="BH150" s="23"/>
      <c r="BI150" s="23" t="s">
        <v>2648</v>
      </c>
      <c r="BJ150" s="23"/>
      <c r="BK150" s="23" t="s">
        <v>2583</v>
      </c>
      <c r="BL150" s="23"/>
    </row>
    <row r="151" spans="1:64" ht="30" customHeight="1">
      <c r="A151" s="23" t="s">
        <v>1046</v>
      </c>
      <c r="B151" s="23" t="s">
        <v>2640</v>
      </c>
      <c r="C151" s="23">
        <v>7</v>
      </c>
      <c r="D151" s="23" t="s">
        <v>1048</v>
      </c>
      <c r="E151" s="23" t="s">
        <v>1046</v>
      </c>
      <c r="F151" s="23"/>
      <c r="G151" s="23" t="s">
        <v>161</v>
      </c>
      <c r="H151" s="23" t="s">
        <v>973</v>
      </c>
      <c r="I151" s="23"/>
      <c r="J151" s="23"/>
      <c r="K151" s="23"/>
      <c r="L151" s="23"/>
      <c r="M151" s="23" t="s">
        <v>1049</v>
      </c>
      <c r="N151" s="23"/>
      <c r="O151" s="23"/>
      <c r="P151" s="23"/>
      <c r="Q151" s="23"/>
      <c r="R151" s="23" t="s">
        <v>578</v>
      </c>
      <c r="S151" s="23"/>
      <c r="T151" s="23"/>
      <c r="U151" s="23">
        <v>2022</v>
      </c>
      <c r="V151" s="23"/>
      <c r="W151" s="23" t="s">
        <v>1035</v>
      </c>
      <c r="X151" s="23"/>
      <c r="Y151" s="23" t="s">
        <v>2587</v>
      </c>
      <c r="Z151" s="23"/>
      <c r="AA151" s="23"/>
      <c r="AB151" s="23" t="s">
        <v>2313</v>
      </c>
      <c r="AC151" s="23">
        <v>10</v>
      </c>
      <c r="AD151" s="23"/>
      <c r="AE151" s="23"/>
      <c r="AF151" s="23"/>
      <c r="AG151" s="23"/>
      <c r="AH151" s="23"/>
      <c r="AI151" s="23"/>
      <c r="AJ151" s="23"/>
      <c r="AK151" s="23"/>
      <c r="AL151" s="23"/>
      <c r="AM151" s="23" t="s">
        <v>1705</v>
      </c>
      <c r="AN151" s="23"/>
      <c r="AO151" s="23"/>
      <c r="AP151" s="23"/>
      <c r="AQ151" s="23"/>
      <c r="AR151" s="23"/>
      <c r="AS151" s="23"/>
      <c r="AT151" s="23"/>
      <c r="AU151" s="23"/>
      <c r="AV151" s="23"/>
      <c r="AW151" s="23"/>
      <c r="AX151" s="23"/>
      <c r="AY151" s="23"/>
      <c r="AZ151" s="23"/>
      <c r="BA151" s="23" t="s">
        <v>2649</v>
      </c>
      <c r="BB151" s="23">
        <v>273</v>
      </c>
      <c r="BC151" s="23" t="s">
        <v>2061</v>
      </c>
      <c r="BD151" s="23" t="s">
        <v>2429</v>
      </c>
      <c r="BE151" s="23" t="s">
        <v>2650</v>
      </c>
      <c r="BF151" s="23" t="s">
        <v>2590</v>
      </c>
      <c r="BG151" s="23" t="s">
        <v>2591</v>
      </c>
      <c r="BH151" s="23"/>
      <c r="BI151" s="23" t="s">
        <v>2651</v>
      </c>
      <c r="BJ151" s="23"/>
      <c r="BK151" s="23" t="s">
        <v>2583</v>
      </c>
      <c r="BL151" s="23"/>
    </row>
    <row r="152" spans="1:64" ht="30" customHeight="1">
      <c r="A152" s="23" t="s">
        <v>1050</v>
      </c>
      <c r="B152" s="23" t="s">
        <v>2640</v>
      </c>
      <c r="C152" s="23">
        <v>8</v>
      </c>
      <c r="D152" s="23" t="s">
        <v>1052</v>
      </c>
      <c r="E152" s="23"/>
      <c r="F152" s="23" t="s">
        <v>1050</v>
      </c>
      <c r="G152" s="23" t="s">
        <v>1034</v>
      </c>
      <c r="H152" s="23" t="s">
        <v>973</v>
      </c>
      <c r="I152" s="23"/>
      <c r="J152" s="23"/>
      <c r="K152" s="23"/>
      <c r="L152" s="23"/>
      <c r="M152" s="23" t="s">
        <v>1053</v>
      </c>
      <c r="N152" s="23"/>
      <c r="O152" s="23"/>
      <c r="P152" s="23"/>
      <c r="Q152" s="23"/>
      <c r="R152" s="23" t="s">
        <v>1037</v>
      </c>
      <c r="S152" s="23"/>
      <c r="T152" s="23"/>
      <c r="U152" s="23">
        <v>2024</v>
      </c>
      <c r="V152" s="23"/>
      <c r="W152" s="23" t="s">
        <v>1035</v>
      </c>
      <c r="X152" s="23"/>
      <c r="Y152" s="23" t="s">
        <v>2587</v>
      </c>
      <c r="Z152" s="23"/>
      <c r="AA152" s="23"/>
      <c r="AB152" s="23" t="s">
        <v>2313</v>
      </c>
      <c r="AC152" s="23">
        <v>10</v>
      </c>
      <c r="AD152" s="23"/>
      <c r="AE152" s="23"/>
      <c r="AF152" s="23"/>
      <c r="AG152" s="23"/>
      <c r="AH152" s="23"/>
      <c r="AI152" s="23"/>
      <c r="AJ152" s="23"/>
      <c r="AK152" s="23"/>
      <c r="AL152" s="23"/>
      <c r="AM152" s="23" t="s">
        <v>1708</v>
      </c>
      <c r="AN152" s="23"/>
      <c r="AO152" s="23"/>
      <c r="AP152" s="23"/>
      <c r="AQ152" s="23"/>
      <c r="AR152" s="23"/>
      <c r="AS152" s="23"/>
      <c r="AT152" s="23"/>
      <c r="AU152" s="23"/>
      <c r="AV152" s="23"/>
      <c r="AW152" s="23"/>
      <c r="AX152" s="23"/>
      <c r="AY152" s="23"/>
      <c r="AZ152" s="23"/>
      <c r="BA152" s="23" t="s">
        <v>2305</v>
      </c>
      <c r="BB152" s="23">
        <v>272</v>
      </c>
      <c r="BC152" s="23" t="s">
        <v>2061</v>
      </c>
      <c r="BD152" s="23" t="s">
        <v>2429</v>
      </c>
      <c r="BE152" s="23" t="s">
        <v>2652</v>
      </c>
      <c r="BF152" s="23" t="s">
        <v>2590</v>
      </c>
      <c r="BG152" s="23" t="s">
        <v>2591</v>
      </c>
      <c r="BH152" s="23"/>
      <c r="BI152" s="23" t="s">
        <v>1050</v>
      </c>
      <c r="BJ152" s="23"/>
      <c r="BK152" s="23" t="s">
        <v>2583</v>
      </c>
      <c r="BL152" s="23"/>
    </row>
    <row r="153" spans="1:64" ht="30" customHeight="1">
      <c r="A153" s="23" t="s">
        <v>1054</v>
      </c>
      <c r="B153" s="23" t="s">
        <v>2640</v>
      </c>
      <c r="C153" s="23">
        <v>9</v>
      </c>
      <c r="D153" s="23" t="s">
        <v>1058</v>
      </c>
      <c r="E153" s="23"/>
      <c r="F153" s="23" t="s">
        <v>1054</v>
      </c>
      <c r="G153" s="23" t="s">
        <v>598</v>
      </c>
      <c r="H153" s="23" t="s">
        <v>824</v>
      </c>
      <c r="I153" s="23"/>
      <c r="J153" s="23"/>
      <c r="K153" s="23"/>
      <c r="L153" s="23"/>
      <c r="M153" s="23" t="s">
        <v>1059</v>
      </c>
      <c r="N153" s="23" t="s">
        <v>1933</v>
      </c>
      <c r="O153" s="23" t="s">
        <v>1055</v>
      </c>
      <c r="P153" s="23" t="s">
        <v>166</v>
      </c>
      <c r="Q153" s="23" t="s">
        <v>1055</v>
      </c>
      <c r="R153" s="23"/>
      <c r="S153" s="23"/>
      <c r="T153" s="23"/>
      <c r="U153" s="23">
        <v>2024</v>
      </c>
      <c r="V153" s="23"/>
      <c r="W153" s="23" t="s">
        <v>1035</v>
      </c>
      <c r="X153" s="23"/>
      <c r="Y153" s="23" t="s">
        <v>2587</v>
      </c>
      <c r="Z153" s="23"/>
      <c r="AA153" s="23"/>
      <c r="AB153" s="23" t="s">
        <v>2313</v>
      </c>
      <c r="AC153" s="23">
        <v>15</v>
      </c>
      <c r="AD153" s="23"/>
      <c r="AE153" s="23"/>
      <c r="AF153" s="23"/>
      <c r="AG153" s="23" t="s">
        <v>1056</v>
      </c>
      <c r="AH153" s="23"/>
      <c r="AI153" s="23"/>
      <c r="AJ153" s="23"/>
      <c r="AK153" s="23"/>
      <c r="AL153" s="23"/>
      <c r="AM153" s="23" t="s">
        <v>2653</v>
      </c>
      <c r="AN153" s="23" t="s">
        <v>2432</v>
      </c>
      <c r="AO153" s="23">
        <v>13177.6</v>
      </c>
      <c r="AP153" s="23"/>
      <c r="AQ153" s="23"/>
      <c r="AR153" s="23"/>
      <c r="AS153" s="23"/>
      <c r="AT153" s="23"/>
      <c r="AU153" s="23"/>
      <c r="AV153" s="23"/>
      <c r="AW153" s="23"/>
      <c r="AX153" s="23"/>
      <c r="AY153" s="23"/>
      <c r="AZ153" s="23"/>
      <c r="BA153" s="23" t="s">
        <v>2646</v>
      </c>
      <c r="BB153" s="23">
        <v>274</v>
      </c>
      <c r="BC153" s="23" t="s">
        <v>2061</v>
      </c>
      <c r="BD153" s="23" t="s">
        <v>2429</v>
      </c>
      <c r="BE153" s="23" t="s">
        <v>2654</v>
      </c>
      <c r="BF153" s="23" t="s">
        <v>2479</v>
      </c>
      <c r="BG153" s="23" t="s">
        <v>2591</v>
      </c>
      <c r="BH153" s="23"/>
      <c r="BI153" s="23" t="s">
        <v>2655</v>
      </c>
      <c r="BJ153" s="23"/>
      <c r="BK153" s="23"/>
      <c r="BL153" s="23"/>
    </row>
    <row r="154" spans="1:64" ht="30" customHeight="1">
      <c r="A154" s="23" t="s">
        <v>1060</v>
      </c>
      <c r="B154" s="23" t="s">
        <v>1062</v>
      </c>
      <c r="C154" s="23">
        <v>5</v>
      </c>
      <c r="D154" s="23" t="s">
        <v>1068</v>
      </c>
      <c r="E154" s="23"/>
      <c r="F154" s="23" t="s">
        <v>1060</v>
      </c>
      <c r="G154" s="23" t="s">
        <v>1061</v>
      </c>
      <c r="H154" s="23" t="s">
        <v>1063</v>
      </c>
      <c r="I154" s="23"/>
      <c r="J154" s="23" t="s">
        <v>844</v>
      </c>
      <c r="K154" s="23"/>
      <c r="L154" s="23"/>
      <c r="M154" s="23"/>
      <c r="N154" s="23" t="s">
        <v>1933</v>
      </c>
      <c r="O154" s="23" t="s">
        <v>826</v>
      </c>
      <c r="P154" s="23" t="s">
        <v>1064</v>
      </c>
      <c r="Q154" s="23" t="s">
        <v>826</v>
      </c>
      <c r="R154" s="23" t="s">
        <v>1065</v>
      </c>
      <c r="S154" s="23"/>
      <c r="T154" s="23"/>
      <c r="U154" s="23">
        <v>2022</v>
      </c>
      <c r="V154" s="23"/>
      <c r="W154" s="23" t="s">
        <v>1062</v>
      </c>
      <c r="X154" s="23" t="s">
        <v>2610</v>
      </c>
      <c r="Y154" s="23" t="s">
        <v>2587</v>
      </c>
      <c r="Z154" s="23" t="s">
        <v>316</v>
      </c>
      <c r="AA154" s="23" t="s">
        <v>2412</v>
      </c>
      <c r="AB154" s="23" t="s">
        <v>2313</v>
      </c>
      <c r="AC154" s="23">
        <v>5</v>
      </c>
      <c r="AD154" s="23" t="s">
        <v>1129</v>
      </c>
      <c r="AE154" s="23"/>
      <c r="AF154" s="23"/>
      <c r="AG154" s="23" t="s">
        <v>1066</v>
      </c>
      <c r="AH154" s="23"/>
      <c r="AI154" s="23"/>
      <c r="AJ154" s="23"/>
      <c r="AK154" s="23"/>
      <c r="AL154" s="23"/>
      <c r="AM154" s="23" t="s">
        <v>2656</v>
      </c>
      <c r="AN154" s="23" t="s">
        <v>2657</v>
      </c>
      <c r="AO154" s="23"/>
      <c r="AP154" s="23"/>
      <c r="AQ154" s="23"/>
      <c r="AR154" s="23"/>
      <c r="AS154" s="23"/>
      <c r="AT154" s="23"/>
      <c r="AU154" s="23"/>
      <c r="AV154" s="23"/>
      <c r="AW154" s="23"/>
      <c r="AX154" s="23"/>
      <c r="AY154" s="23"/>
      <c r="AZ154" s="23"/>
      <c r="BA154" s="23" t="s">
        <v>2236</v>
      </c>
      <c r="BB154" s="23">
        <v>232</v>
      </c>
      <c r="BC154" s="23" t="s">
        <v>2061</v>
      </c>
      <c r="BD154" s="23" t="s">
        <v>2085</v>
      </c>
      <c r="BE154" s="23" t="s">
        <v>2658</v>
      </c>
      <c r="BF154" s="23" t="s">
        <v>2659</v>
      </c>
      <c r="BG154" s="23" t="s">
        <v>2591</v>
      </c>
      <c r="BH154" s="23" t="s">
        <v>2077</v>
      </c>
      <c r="BI154" s="23" t="s">
        <v>246</v>
      </c>
      <c r="BJ154" s="23" t="s">
        <v>2660</v>
      </c>
      <c r="BK154" s="23"/>
      <c r="BL154" s="23"/>
    </row>
    <row r="155" spans="1:64" ht="30" customHeight="1">
      <c r="A155" s="23" t="s">
        <v>1069</v>
      </c>
      <c r="B155" s="23" t="s">
        <v>2661</v>
      </c>
      <c r="C155" s="23">
        <v>5</v>
      </c>
      <c r="D155" s="23" t="s">
        <v>1074</v>
      </c>
      <c r="E155" s="23"/>
      <c r="F155" s="23" t="s">
        <v>1069</v>
      </c>
      <c r="G155" s="23" t="s">
        <v>598</v>
      </c>
      <c r="H155" s="23" t="s">
        <v>824</v>
      </c>
      <c r="I155" s="23"/>
      <c r="J155" s="23" t="s">
        <v>282</v>
      </c>
      <c r="K155" s="23"/>
      <c r="L155" s="23"/>
      <c r="M155" s="23" t="s">
        <v>1075</v>
      </c>
      <c r="N155" s="23" t="s">
        <v>1933</v>
      </c>
      <c r="O155" s="23" t="s">
        <v>826</v>
      </c>
      <c r="P155" s="23" t="s">
        <v>1071</v>
      </c>
      <c r="Q155" s="23" t="s">
        <v>826</v>
      </c>
      <c r="R155" s="23" t="s">
        <v>826</v>
      </c>
      <c r="S155" s="23"/>
      <c r="T155" s="23" t="s">
        <v>2662</v>
      </c>
      <c r="U155" s="23">
        <v>2022</v>
      </c>
      <c r="V155" s="23"/>
      <c r="W155" s="23" t="s">
        <v>1070</v>
      </c>
      <c r="X155" s="23" t="s">
        <v>2663</v>
      </c>
      <c r="Y155" s="23" t="s">
        <v>2587</v>
      </c>
      <c r="Z155" s="23"/>
      <c r="AA155" s="23"/>
      <c r="AB155" s="23" t="s">
        <v>2313</v>
      </c>
      <c r="AC155" s="23">
        <v>10</v>
      </c>
      <c r="AD155" s="23"/>
      <c r="AE155" s="23"/>
      <c r="AF155" s="23"/>
      <c r="AG155" s="23" t="s">
        <v>1072</v>
      </c>
      <c r="AH155" s="23"/>
      <c r="AI155" s="23"/>
      <c r="AJ155" s="23"/>
      <c r="AK155" s="23"/>
      <c r="AL155" s="23"/>
      <c r="AM155" s="23" t="s">
        <v>2664</v>
      </c>
      <c r="AN155" s="23"/>
      <c r="AO155" s="23"/>
      <c r="AP155" s="23"/>
      <c r="AQ155" s="23"/>
      <c r="AR155" s="23"/>
      <c r="AS155" s="23"/>
      <c r="AT155" s="23"/>
      <c r="AU155" s="23"/>
      <c r="AV155" s="23"/>
      <c r="AW155" s="23"/>
      <c r="AX155" s="23"/>
      <c r="AY155" s="23"/>
      <c r="AZ155" s="23"/>
      <c r="BA155" s="23" t="s">
        <v>2665</v>
      </c>
      <c r="BB155" s="23">
        <v>607</v>
      </c>
      <c r="BC155" s="23" t="s">
        <v>2061</v>
      </c>
      <c r="BD155" s="23" t="s">
        <v>2429</v>
      </c>
      <c r="BE155" s="23" t="s">
        <v>2666</v>
      </c>
      <c r="BF155" s="23" t="s">
        <v>2479</v>
      </c>
      <c r="BG155" s="23" t="s">
        <v>2591</v>
      </c>
      <c r="BH155" s="23" t="s">
        <v>2278</v>
      </c>
      <c r="BI155" s="23" t="s">
        <v>246</v>
      </c>
      <c r="BJ155" s="23"/>
      <c r="BK155" s="23" t="s">
        <v>2583</v>
      </c>
      <c r="BL155" s="23"/>
    </row>
    <row r="156" spans="1:64" ht="30" customHeight="1">
      <c r="A156" s="23" t="s">
        <v>1076</v>
      </c>
      <c r="B156" s="23" t="s">
        <v>2667</v>
      </c>
      <c r="C156" s="23">
        <v>5</v>
      </c>
      <c r="D156" s="23" t="s">
        <v>1080</v>
      </c>
      <c r="E156" s="23"/>
      <c r="F156" s="23" t="s">
        <v>1076</v>
      </c>
      <c r="G156" s="23" t="s">
        <v>598</v>
      </c>
      <c r="H156" s="23" t="s">
        <v>824</v>
      </c>
      <c r="I156" s="23"/>
      <c r="J156" s="23"/>
      <c r="K156" s="23"/>
      <c r="L156" s="23"/>
      <c r="M156" s="23"/>
      <c r="N156" s="23"/>
      <c r="O156" s="23"/>
      <c r="P156" s="23"/>
      <c r="Q156" s="23"/>
      <c r="R156" s="23"/>
      <c r="S156" s="23"/>
      <c r="T156" s="23"/>
      <c r="U156" s="23"/>
      <c r="V156" s="23"/>
      <c r="W156" s="23" t="s">
        <v>1077</v>
      </c>
      <c r="X156" s="23"/>
      <c r="Y156" s="23"/>
      <c r="Z156" s="23"/>
      <c r="AA156" s="23"/>
      <c r="AB156" s="23" t="s">
        <v>1935</v>
      </c>
      <c r="AC156" s="23"/>
      <c r="AD156" s="23"/>
      <c r="AE156" s="23"/>
      <c r="AF156" s="23"/>
      <c r="AG156" s="23" t="s">
        <v>1078</v>
      </c>
      <c r="AH156" s="23"/>
      <c r="AI156" s="23"/>
      <c r="AJ156" s="23"/>
      <c r="AK156" s="23"/>
      <c r="AL156" s="23"/>
      <c r="AM156" s="23" t="s">
        <v>1720</v>
      </c>
      <c r="AN156" s="23"/>
      <c r="AO156" s="23"/>
      <c r="AP156" s="23"/>
      <c r="AQ156" s="23"/>
      <c r="AR156" s="23"/>
      <c r="AS156" s="23"/>
      <c r="AT156" s="23"/>
      <c r="AU156" s="23"/>
      <c r="AV156" s="23"/>
      <c r="AW156" s="23"/>
      <c r="AX156" s="23"/>
      <c r="AY156" s="23"/>
      <c r="AZ156" s="23"/>
      <c r="BA156" s="23" t="s">
        <v>2668</v>
      </c>
      <c r="BB156" s="23">
        <v>57</v>
      </c>
      <c r="BC156" s="23" t="s">
        <v>2061</v>
      </c>
      <c r="BD156" s="23" t="s">
        <v>2669</v>
      </c>
      <c r="BE156" s="23" t="s">
        <v>2670</v>
      </c>
      <c r="BF156" s="23" t="s">
        <v>2671</v>
      </c>
      <c r="BG156" s="23"/>
      <c r="BH156" s="23"/>
      <c r="BI156" s="23" t="s">
        <v>1076</v>
      </c>
      <c r="BJ156" s="23"/>
      <c r="BK156" s="23"/>
      <c r="BL156" s="23"/>
    </row>
    <row r="157" spans="1:64" ht="30" customHeight="1">
      <c r="A157" s="23" t="s">
        <v>1081</v>
      </c>
      <c r="B157" s="23" t="s">
        <v>2672</v>
      </c>
      <c r="C157" s="23">
        <v>5</v>
      </c>
      <c r="D157" s="23" t="s">
        <v>1087</v>
      </c>
      <c r="E157" s="23"/>
      <c r="F157" s="23" t="s">
        <v>1081</v>
      </c>
      <c r="G157" s="23" t="s">
        <v>598</v>
      </c>
      <c r="H157" s="23" t="s">
        <v>824</v>
      </c>
      <c r="I157" s="23"/>
      <c r="J157" s="23"/>
      <c r="K157" s="23"/>
      <c r="L157" s="23"/>
      <c r="M157" s="23" t="s">
        <v>1088</v>
      </c>
      <c r="N157" s="23" t="s">
        <v>1933</v>
      </c>
      <c r="O157" s="23" t="s">
        <v>1083</v>
      </c>
      <c r="P157" s="23" t="s">
        <v>1084</v>
      </c>
      <c r="Q157" s="23" t="s">
        <v>1083</v>
      </c>
      <c r="R157" s="23"/>
      <c r="S157" s="23"/>
      <c r="T157" s="23"/>
      <c r="U157" s="23"/>
      <c r="V157" s="23"/>
      <c r="W157" s="23" t="s">
        <v>1082</v>
      </c>
      <c r="X157" s="23"/>
      <c r="Y157" s="23"/>
      <c r="Z157" s="23"/>
      <c r="AA157" s="23"/>
      <c r="AB157" s="23" t="s">
        <v>1935</v>
      </c>
      <c r="AC157" s="23"/>
      <c r="AD157" s="23"/>
      <c r="AE157" s="23"/>
      <c r="AF157" s="23"/>
      <c r="AG157" s="23" t="s">
        <v>1085</v>
      </c>
      <c r="AH157" s="23"/>
      <c r="AI157" s="23"/>
      <c r="AJ157" s="23"/>
      <c r="AK157" s="23"/>
      <c r="AL157" s="23"/>
      <c r="AM157" s="23" t="s">
        <v>1723</v>
      </c>
      <c r="AN157" s="23"/>
      <c r="AO157" s="23"/>
      <c r="AP157" s="23"/>
      <c r="AQ157" s="23"/>
      <c r="AR157" s="23"/>
      <c r="AS157" s="23"/>
      <c r="AT157" s="23"/>
      <c r="AU157" s="23"/>
      <c r="AV157" s="23"/>
      <c r="AW157" s="23"/>
      <c r="AX157" s="23"/>
      <c r="AY157" s="23"/>
      <c r="AZ157" s="23"/>
      <c r="BA157" s="23" t="s">
        <v>2668</v>
      </c>
      <c r="BB157" s="23">
        <v>57</v>
      </c>
      <c r="BC157" s="23" t="s">
        <v>2061</v>
      </c>
      <c r="BD157" s="23" t="s">
        <v>2669</v>
      </c>
      <c r="BE157" s="23" t="s">
        <v>2673</v>
      </c>
      <c r="BF157" s="23" t="s">
        <v>2671</v>
      </c>
      <c r="BG157" s="23"/>
      <c r="BH157" s="23"/>
      <c r="BI157" s="23"/>
      <c r="BJ157" s="23"/>
      <c r="BK157" s="23"/>
      <c r="BL157" s="23"/>
    </row>
    <row r="161" spans="1:25">
      <c r="A161" s="32" t="s">
        <v>2674</v>
      </c>
      <c r="B161" s="32"/>
      <c r="C161" s="32"/>
      <c r="D161" s="32"/>
      <c r="E161" s="32"/>
      <c r="F161" s="32"/>
      <c r="G161" s="32"/>
      <c r="H161" s="32"/>
      <c r="I161" s="32"/>
      <c r="J161" s="32"/>
      <c r="K161" s="23"/>
      <c r="L161" s="23"/>
      <c r="M161" s="23"/>
      <c r="N161" s="23"/>
      <c r="O161" s="23"/>
      <c r="P161" s="23"/>
      <c r="Q161" s="23"/>
      <c r="R161" s="23"/>
      <c r="S161" s="23"/>
      <c r="T161" s="23"/>
      <c r="U161" s="23"/>
      <c r="V161" s="23"/>
      <c r="W161" s="23"/>
      <c r="X161" s="23"/>
      <c r="Y161" s="23"/>
    </row>
    <row r="162" spans="1:25">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row>
    <row r="163" spans="1:25">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row>
    <row r="164" spans="1:25" ht="54.95" customHeight="1">
      <c r="A164" s="26" t="s">
        <v>2675</v>
      </c>
      <c r="B164" s="26" t="s">
        <v>2676</v>
      </c>
      <c r="C164" s="26" t="s">
        <v>2677</v>
      </c>
      <c r="D164" s="26" t="s">
        <v>1884</v>
      </c>
      <c r="E164" s="26" t="s">
        <v>2678</v>
      </c>
      <c r="F164" s="26" t="s">
        <v>2679</v>
      </c>
      <c r="G164" s="26" t="s">
        <v>2680</v>
      </c>
      <c r="H164" s="26" t="s">
        <v>2681</v>
      </c>
      <c r="I164" s="26" t="s">
        <v>2682</v>
      </c>
      <c r="J164" s="26" t="s">
        <v>1894</v>
      </c>
      <c r="K164" s="26" t="s">
        <v>2683</v>
      </c>
      <c r="L164" s="26" t="s">
        <v>33</v>
      </c>
      <c r="M164" s="26" t="s">
        <v>2684</v>
      </c>
      <c r="N164" s="26" t="s">
        <v>2685</v>
      </c>
      <c r="O164" s="26" t="s">
        <v>2686</v>
      </c>
      <c r="P164" s="26" t="s">
        <v>2687</v>
      </c>
      <c r="Q164" s="26" t="s">
        <v>2688</v>
      </c>
      <c r="R164" s="26" t="s">
        <v>2689</v>
      </c>
      <c r="S164" s="26" t="s">
        <v>2690</v>
      </c>
      <c r="T164" s="26" t="s">
        <v>2691</v>
      </c>
      <c r="U164" s="26" t="s">
        <v>2692</v>
      </c>
      <c r="V164" s="26" t="s">
        <v>1919</v>
      </c>
      <c r="W164" s="26" t="s">
        <v>1920</v>
      </c>
      <c r="X164" s="26" t="s">
        <v>2693</v>
      </c>
      <c r="Y164" s="26" t="s">
        <v>1893</v>
      </c>
    </row>
    <row r="165" spans="1:25">
      <c r="A165" s="23" t="s">
        <v>1932</v>
      </c>
      <c r="B165" s="23">
        <v>5</v>
      </c>
      <c r="C165" s="23" t="s">
        <v>164</v>
      </c>
      <c r="D165" s="23"/>
      <c r="E165" s="23" t="s">
        <v>166</v>
      </c>
      <c r="F165" s="23" t="s">
        <v>165</v>
      </c>
      <c r="G165" s="23" t="s">
        <v>246</v>
      </c>
      <c r="H165" s="23" t="s">
        <v>1941</v>
      </c>
      <c r="I165" s="23">
        <v>2017</v>
      </c>
      <c r="J165" s="23" t="s">
        <v>1940</v>
      </c>
      <c r="K165" s="23" t="s">
        <v>1936</v>
      </c>
      <c r="L165" s="23" t="s">
        <v>169</v>
      </c>
      <c r="M165" s="23" t="s">
        <v>2694</v>
      </c>
      <c r="N165" s="23">
        <v>40557.83</v>
      </c>
      <c r="O165" s="23"/>
      <c r="P165" s="23" t="s">
        <v>163</v>
      </c>
      <c r="Q165" s="23"/>
      <c r="R165" s="23"/>
      <c r="S165" s="23"/>
      <c r="T165" s="23"/>
      <c r="U165" s="23" t="s">
        <v>1940</v>
      </c>
      <c r="V165" s="23"/>
      <c r="W165" s="23">
        <v>46055</v>
      </c>
      <c r="X165" s="23"/>
      <c r="Y165" s="23"/>
    </row>
    <row r="166" spans="1:25">
      <c r="A166" s="23" t="s">
        <v>1932</v>
      </c>
      <c r="B166" s="23">
        <v>6</v>
      </c>
      <c r="C166" s="23" t="s">
        <v>164</v>
      </c>
      <c r="D166" s="23"/>
      <c r="E166" s="23" t="s">
        <v>176</v>
      </c>
      <c r="F166" s="23" t="s">
        <v>175</v>
      </c>
      <c r="G166" s="23" t="s">
        <v>246</v>
      </c>
      <c r="H166" s="23" t="s">
        <v>1948</v>
      </c>
      <c r="I166" s="23" t="s">
        <v>2695</v>
      </c>
      <c r="J166" s="23" t="s">
        <v>1940</v>
      </c>
      <c r="K166" s="23" t="s">
        <v>1944</v>
      </c>
      <c r="L166" s="23"/>
      <c r="M166" s="23">
        <v>125064.62</v>
      </c>
      <c r="N166" s="23" t="s">
        <v>2696</v>
      </c>
      <c r="O166" s="23"/>
      <c r="P166" s="23" t="s">
        <v>2697</v>
      </c>
      <c r="Q166" s="23"/>
      <c r="R166" s="23"/>
      <c r="S166" s="23"/>
      <c r="T166" s="23"/>
      <c r="U166" s="23" t="s">
        <v>1940</v>
      </c>
      <c r="V166" s="23"/>
      <c r="W166" s="23">
        <v>45512</v>
      </c>
      <c r="X166" s="23"/>
      <c r="Y166" s="23"/>
    </row>
    <row r="167" spans="1:25">
      <c r="A167" s="23" t="s">
        <v>1932</v>
      </c>
      <c r="B167" s="23">
        <v>7</v>
      </c>
      <c r="C167" s="23" t="s">
        <v>164</v>
      </c>
      <c r="D167" s="23"/>
      <c r="E167" s="23" t="s">
        <v>184</v>
      </c>
      <c r="F167" s="23" t="s">
        <v>183</v>
      </c>
      <c r="G167" s="23" t="s">
        <v>246</v>
      </c>
      <c r="H167" s="23" t="s">
        <v>1954</v>
      </c>
      <c r="I167" s="23"/>
      <c r="J167" s="23" t="s">
        <v>1940</v>
      </c>
      <c r="K167" s="23" t="s">
        <v>1951</v>
      </c>
      <c r="L167" s="23"/>
      <c r="M167" s="23">
        <v>75411.850000000006</v>
      </c>
      <c r="N167" s="23">
        <v>2358.41</v>
      </c>
      <c r="O167" s="23"/>
      <c r="P167" s="23" t="s">
        <v>2698</v>
      </c>
      <c r="Q167" s="23"/>
      <c r="R167" s="23"/>
      <c r="S167" s="23"/>
      <c r="T167" s="23"/>
      <c r="U167" s="23" t="s">
        <v>1940</v>
      </c>
      <c r="V167" s="23"/>
      <c r="W167" s="23">
        <v>45512</v>
      </c>
      <c r="X167" s="23"/>
      <c r="Y167" s="23"/>
    </row>
    <row r="168" spans="1:25">
      <c r="A168" s="23" t="s">
        <v>1932</v>
      </c>
      <c r="B168" s="23">
        <v>8</v>
      </c>
      <c r="C168" s="23" t="s">
        <v>164</v>
      </c>
      <c r="D168" s="23"/>
      <c r="E168" s="23" t="s">
        <v>190</v>
      </c>
      <c r="F168" s="23" t="s">
        <v>189</v>
      </c>
      <c r="G168" s="23" t="s">
        <v>246</v>
      </c>
      <c r="H168" s="23" t="s">
        <v>1959</v>
      </c>
      <c r="I168" s="23">
        <v>2020</v>
      </c>
      <c r="J168" s="23" t="s">
        <v>1940</v>
      </c>
      <c r="K168" s="23" t="s">
        <v>1956</v>
      </c>
      <c r="L168" s="23"/>
      <c r="M168" s="23">
        <v>36472</v>
      </c>
      <c r="N168" s="23" t="s">
        <v>2699</v>
      </c>
      <c r="O168" s="23"/>
      <c r="P168" s="23" t="s">
        <v>2700</v>
      </c>
      <c r="Q168" s="23"/>
      <c r="R168" s="23"/>
      <c r="S168" s="23"/>
      <c r="T168" s="23"/>
      <c r="U168" s="23" t="s">
        <v>1940</v>
      </c>
      <c r="V168" s="23"/>
      <c r="W168" s="23">
        <v>45512</v>
      </c>
      <c r="X168" s="23"/>
      <c r="Y168" s="23"/>
    </row>
    <row r="169" spans="1:25">
      <c r="A169" s="23" t="s">
        <v>1932</v>
      </c>
      <c r="B169" s="23">
        <v>9</v>
      </c>
      <c r="C169" s="23" t="s">
        <v>164</v>
      </c>
      <c r="D169" s="23"/>
      <c r="E169" s="23" t="s">
        <v>184</v>
      </c>
      <c r="F169" s="23" t="s">
        <v>196</v>
      </c>
      <c r="G169" s="23" t="s">
        <v>246</v>
      </c>
      <c r="H169" s="23" t="s">
        <v>1965</v>
      </c>
      <c r="I169" s="23">
        <v>2020</v>
      </c>
      <c r="J169" s="23" t="s">
        <v>1940</v>
      </c>
      <c r="K169" s="23" t="s">
        <v>1962</v>
      </c>
      <c r="L169" s="23"/>
      <c r="M169" s="23">
        <v>11981.19</v>
      </c>
      <c r="N169" s="23">
        <v>14125.03</v>
      </c>
      <c r="O169" s="23"/>
      <c r="P169" s="23" t="s">
        <v>2701</v>
      </c>
      <c r="Q169" s="23"/>
      <c r="R169" s="23"/>
      <c r="S169" s="23"/>
      <c r="T169" s="23"/>
      <c r="U169" s="23" t="s">
        <v>1940</v>
      </c>
      <c r="V169" s="23"/>
      <c r="W169" s="23">
        <v>45512</v>
      </c>
      <c r="X169" s="23"/>
      <c r="Y169" s="23"/>
    </row>
    <row r="170" spans="1:25">
      <c r="A170" s="23" t="s">
        <v>1932</v>
      </c>
      <c r="B170" s="23">
        <v>10</v>
      </c>
      <c r="C170" s="23" t="s">
        <v>164</v>
      </c>
      <c r="D170" s="23"/>
      <c r="E170" s="23" t="s">
        <v>184</v>
      </c>
      <c r="F170" s="23" t="s">
        <v>201</v>
      </c>
      <c r="G170" s="23" t="s">
        <v>246</v>
      </c>
      <c r="H170" s="23" t="s">
        <v>1970</v>
      </c>
      <c r="I170" s="23">
        <v>2019</v>
      </c>
      <c r="J170" s="23" t="s">
        <v>1940</v>
      </c>
      <c r="K170" s="23" t="s">
        <v>2702</v>
      </c>
      <c r="L170" s="23"/>
      <c r="M170" s="23">
        <v>209128.3</v>
      </c>
      <c r="N170" s="23" t="s">
        <v>2703</v>
      </c>
      <c r="O170" s="23"/>
      <c r="P170" s="23" t="s">
        <v>2704</v>
      </c>
      <c r="Q170" s="23"/>
      <c r="R170" s="23"/>
      <c r="S170" s="23"/>
      <c r="T170" s="23"/>
      <c r="U170" s="23" t="s">
        <v>1940</v>
      </c>
      <c r="V170" s="23"/>
      <c r="W170" s="23">
        <v>45512</v>
      </c>
      <c r="X170" s="23"/>
      <c r="Y170" s="23"/>
    </row>
    <row r="171" spans="1:25">
      <c r="A171" s="23" t="s">
        <v>1932</v>
      </c>
      <c r="B171" s="23">
        <v>11</v>
      </c>
      <c r="C171" s="23" t="s">
        <v>164</v>
      </c>
      <c r="D171" s="23"/>
      <c r="E171" s="23" t="s">
        <v>208</v>
      </c>
      <c r="F171" s="23" t="s">
        <v>207</v>
      </c>
      <c r="G171" s="23" t="s">
        <v>246</v>
      </c>
      <c r="H171" s="23" t="s">
        <v>1976</v>
      </c>
      <c r="I171" s="23">
        <v>2019</v>
      </c>
      <c r="J171" s="23" t="s">
        <v>1940</v>
      </c>
      <c r="K171" s="23" t="s">
        <v>1973</v>
      </c>
      <c r="L171" s="23"/>
      <c r="M171" s="23">
        <v>43882.11</v>
      </c>
      <c r="N171" s="23">
        <v>84734.36</v>
      </c>
      <c r="O171" s="23"/>
      <c r="P171" s="23" t="s">
        <v>2705</v>
      </c>
      <c r="Q171" s="23"/>
      <c r="R171" s="23"/>
      <c r="S171" s="23"/>
      <c r="T171" s="23"/>
      <c r="U171" s="23" t="s">
        <v>1940</v>
      </c>
      <c r="V171" s="23"/>
      <c r="W171" s="23">
        <v>45512</v>
      </c>
      <c r="X171" s="23"/>
      <c r="Y171" s="23"/>
    </row>
    <row r="172" spans="1:25">
      <c r="A172" s="23" t="s">
        <v>1932</v>
      </c>
      <c r="B172" s="23">
        <v>12</v>
      </c>
      <c r="C172" s="23" t="s">
        <v>164</v>
      </c>
      <c r="D172" s="23"/>
      <c r="E172" s="23" t="s">
        <v>214</v>
      </c>
      <c r="F172" s="23" t="s">
        <v>213</v>
      </c>
      <c r="G172" s="23" t="s">
        <v>246</v>
      </c>
      <c r="H172" s="23" t="s">
        <v>1980</v>
      </c>
      <c r="I172" s="23">
        <v>2019</v>
      </c>
      <c r="J172" s="23" t="s">
        <v>1940</v>
      </c>
      <c r="K172" s="23" t="s">
        <v>1977</v>
      </c>
      <c r="L172" s="23"/>
      <c r="M172" s="23">
        <v>22913</v>
      </c>
      <c r="N172" s="23" t="s">
        <v>2706</v>
      </c>
      <c r="O172" s="23"/>
      <c r="P172" s="23" t="s">
        <v>2700</v>
      </c>
      <c r="Q172" s="23"/>
      <c r="R172" s="23"/>
      <c r="S172" s="23"/>
      <c r="T172" s="23"/>
      <c r="U172" s="23" t="s">
        <v>1940</v>
      </c>
      <c r="V172" s="23"/>
      <c r="W172" s="23">
        <v>45512</v>
      </c>
      <c r="X172" s="23"/>
      <c r="Y172" s="23"/>
    </row>
    <row r="173" spans="1:25">
      <c r="A173" s="23" t="s">
        <v>1932</v>
      </c>
      <c r="B173" s="23">
        <v>13</v>
      </c>
      <c r="C173" s="23" t="s">
        <v>164</v>
      </c>
      <c r="D173" s="23"/>
      <c r="E173" s="23" t="s">
        <v>220</v>
      </c>
      <c r="F173" s="23" t="s">
        <v>219</v>
      </c>
      <c r="G173" s="23" t="s">
        <v>246</v>
      </c>
      <c r="H173" s="23" t="s">
        <v>1986</v>
      </c>
      <c r="I173" s="23">
        <v>2021</v>
      </c>
      <c r="J173" s="23" t="s">
        <v>1940</v>
      </c>
      <c r="K173" s="23" t="s">
        <v>1983</v>
      </c>
      <c r="L173" s="23"/>
      <c r="M173" s="23">
        <v>80849.55</v>
      </c>
      <c r="N173" s="23" t="s">
        <v>2707</v>
      </c>
      <c r="O173" s="23"/>
      <c r="P173" s="23" t="s">
        <v>2708</v>
      </c>
      <c r="Q173" s="23"/>
      <c r="R173" s="23"/>
      <c r="S173" s="23"/>
      <c r="T173" s="23"/>
      <c r="U173" s="23" t="s">
        <v>1940</v>
      </c>
      <c r="V173" s="23"/>
      <c r="W173" s="23">
        <v>45512</v>
      </c>
      <c r="X173" s="23"/>
      <c r="Y173" s="23"/>
    </row>
    <row r="174" spans="1:25">
      <c r="A174" s="23" t="s">
        <v>1932</v>
      </c>
      <c r="B174" s="23">
        <v>14</v>
      </c>
      <c r="C174" s="23" t="s">
        <v>164</v>
      </c>
      <c r="D174" s="23"/>
      <c r="E174" s="23" t="s">
        <v>225</v>
      </c>
      <c r="F174" s="23" t="s">
        <v>224</v>
      </c>
      <c r="G174" s="23" t="s">
        <v>246</v>
      </c>
      <c r="H174" s="23" t="s">
        <v>1990</v>
      </c>
      <c r="I174" s="23">
        <v>2016</v>
      </c>
      <c r="J174" s="23" t="s">
        <v>1940</v>
      </c>
      <c r="K174" s="23" t="s">
        <v>2709</v>
      </c>
      <c r="L174" s="23"/>
      <c r="M174" s="23">
        <v>213561.34</v>
      </c>
      <c r="N174" s="23">
        <v>10332.209999999999</v>
      </c>
      <c r="O174" s="23"/>
      <c r="P174" s="23" t="s">
        <v>1988</v>
      </c>
      <c r="Q174" s="23"/>
      <c r="R174" s="23"/>
      <c r="S174" s="23"/>
      <c r="T174" s="23"/>
      <c r="U174" s="23" t="s">
        <v>1940</v>
      </c>
      <c r="V174" s="23"/>
      <c r="W174" s="23">
        <v>45512</v>
      </c>
      <c r="X174" s="23"/>
      <c r="Y174" s="23"/>
    </row>
    <row r="175" spans="1:25">
      <c r="A175" s="23" t="s">
        <v>1932</v>
      </c>
      <c r="B175" s="23">
        <v>15</v>
      </c>
      <c r="C175" s="23" t="s">
        <v>164</v>
      </c>
      <c r="D175" s="23"/>
      <c r="E175" s="23" t="s">
        <v>232</v>
      </c>
      <c r="F175" s="23" t="s">
        <v>231</v>
      </c>
      <c r="G175" s="23" t="s">
        <v>246</v>
      </c>
      <c r="H175" s="23" t="s">
        <v>1995</v>
      </c>
      <c r="I175" s="23">
        <v>2013</v>
      </c>
      <c r="J175" s="23" t="s">
        <v>1994</v>
      </c>
      <c r="K175" s="23" t="s">
        <v>1991</v>
      </c>
      <c r="L175" s="23"/>
      <c r="M175" s="23">
        <v>5000</v>
      </c>
      <c r="N175" s="23">
        <v>486345.39</v>
      </c>
      <c r="O175" s="23"/>
      <c r="P175" s="23" t="s">
        <v>2697</v>
      </c>
      <c r="Q175" s="23"/>
      <c r="R175" s="23"/>
      <c r="S175" s="23"/>
      <c r="T175" s="23"/>
      <c r="U175" s="23" t="s">
        <v>1940</v>
      </c>
      <c r="V175" s="23"/>
      <c r="W175" s="23">
        <v>45512</v>
      </c>
      <c r="X175" s="23"/>
      <c r="Y175" s="23"/>
    </row>
    <row r="176" spans="1:25">
      <c r="A176" s="23" t="s">
        <v>1932</v>
      </c>
      <c r="B176" s="23">
        <v>16</v>
      </c>
      <c r="C176" s="23" t="s">
        <v>238</v>
      </c>
      <c r="D176" s="23" t="s">
        <v>246</v>
      </c>
      <c r="E176" s="23" t="s">
        <v>240</v>
      </c>
      <c r="F176" s="23" t="s">
        <v>239</v>
      </c>
      <c r="G176" s="23" t="s">
        <v>246</v>
      </c>
      <c r="H176" s="23" t="s">
        <v>2002</v>
      </c>
      <c r="I176" s="23">
        <v>44649</v>
      </c>
      <c r="J176" s="23" t="s">
        <v>2001</v>
      </c>
      <c r="K176" s="23" t="s">
        <v>1997</v>
      </c>
      <c r="L176" s="23" t="s">
        <v>243</v>
      </c>
      <c r="M176" s="23">
        <v>41800</v>
      </c>
      <c r="N176" s="23"/>
      <c r="O176" s="23" t="s">
        <v>246</v>
      </c>
      <c r="P176" s="23" t="s">
        <v>163</v>
      </c>
      <c r="Q176" s="23" t="s">
        <v>2003</v>
      </c>
      <c r="R176" s="23" t="s">
        <v>2003</v>
      </c>
      <c r="S176" s="23" t="s">
        <v>2003</v>
      </c>
      <c r="T176" s="23" t="s">
        <v>2003</v>
      </c>
      <c r="U176" s="23" t="s">
        <v>1940</v>
      </c>
      <c r="V176" s="23"/>
      <c r="W176" s="23">
        <v>46093</v>
      </c>
      <c r="X176" s="23"/>
      <c r="Y176" s="23"/>
    </row>
    <row r="177" spans="1:25">
      <c r="A177" s="23" t="s">
        <v>1932</v>
      </c>
      <c r="B177" s="23">
        <v>17</v>
      </c>
      <c r="C177" s="23" t="s">
        <v>238</v>
      </c>
      <c r="D177" s="23"/>
      <c r="E177" s="23" t="s">
        <v>240</v>
      </c>
      <c r="F177" s="23" t="s">
        <v>239</v>
      </c>
      <c r="G177" s="23" t="s">
        <v>246</v>
      </c>
      <c r="H177" s="23" t="s">
        <v>2008</v>
      </c>
      <c r="I177" s="23">
        <v>44312</v>
      </c>
      <c r="J177" s="23" t="s">
        <v>2001</v>
      </c>
      <c r="K177" s="23" t="s">
        <v>2005</v>
      </c>
      <c r="L177" s="23" t="s">
        <v>248</v>
      </c>
      <c r="M177" s="23">
        <v>39000</v>
      </c>
      <c r="N177" s="23"/>
      <c r="O177" s="23" t="s">
        <v>246</v>
      </c>
      <c r="P177" s="23" t="s">
        <v>163</v>
      </c>
      <c r="Q177" s="23" t="s">
        <v>2003</v>
      </c>
      <c r="R177" s="23" t="s">
        <v>2003</v>
      </c>
      <c r="S177" s="23" t="s">
        <v>2003</v>
      </c>
      <c r="T177" s="23" t="s">
        <v>2003</v>
      </c>
      <c r="U177" s="23" t="s">
        <v>1940</v>
      </c>
      <c r="V177" s="23"/>
      <c r="W177" s="23">
        <v>46093</v>
      </c>
      <c r="X177" s="23"/>
      <c r="Y177" s="23"/>
    </row>
    <row r="178" spans="1:25">
      <c r="A178" s="23" t="s">
        <v>1932</v>
      </c>
      <c r="B178" s="23">
        <v>18</v>
      </c>
      <c r="C178" s="23" t="s">
        <v>238</v>
      </c>
      <c r="D178" s="23" t="s">
        <v>262</v>
      </c>
      <c r="E178" s="23" t="s">
        <v>255</v>
      </c>
      <c r="F178" s="23" t="s">
        <v>254</v>
      </c>
      <c r="G178" s="23" t="s">
        <v>246</v>
      </c>
      <c r="H178" s="23" t="s">
        <v>2017</v>
      </c>
      <c r="I178" s="23">
        <v>44831</v>
      </c>
      <c r="J178" s="23" t="s">
        <v>2016</v>
      </c>
      <c r="K178" s="23" t="s">
        <v>2012</v>
      </c>
      <c r="L178" s="23" t="s">
        <v>258</v>
      </c>
      <c r="M178" s="23">
        <v>55086.09</v>
      </c>
      <c r="N178" s="23"/>
      <c r="O178" s="23" t="s">
        <v>246</v>
      </c>
      <c r="P178" s="23" t="s">
        <v>2010</v>
      </c>
      <c r="Q178" s="23"/>
      <c r="R178" s="23"/>
      <c r="S178" s="23"/>
      <c r="T178" s="23"/>
      <c r="U178" s="23" t="s">
        <v>2015</v>
      </c>
      <c r="V178" s="23"/>
      <c r="W178" s="23">
        <v>45554</v>
      </c>
      <c r="X178" s="23"/>
      <c r="Y178" s="23"/>
    </row>
    <row r="179" spans="1:25">
      <c r="A179" s="23" t="s">
        <v>1932</v>
      </c>
      <c r="B179" s="23">
        <v>19</v>
      </c>
      <c r="C179" s="23" t="s">
        <v>238</v>
      </c>
      <c r="D179" s="23" t="s">
        <v>262</v>
      </c>
      <c r="E179" s="23" t="s">
        <v>255</v>
      </c>
      <c r="F179" s="23" t="s">
        <v>254</v>
      </c>
      <c r="G179" s="23" t="s">
        <v>246</v>
      </c>
      <c r="H179" s="23" t="s">
        <v>2022</v>
      </c>
      <c r="I179" s="23">
        <v>44831</v>
      </c>
      <c r="J179" s="23" t="s">
        <v>2016</v>
      </c>
      <c r="K179" s="23" t="s">
        <v>2018</v>
      </c>
      <c r="L179" s="23" t="s">
        <v>265</v>
      </c>
      <c r="M179" s="23">
        <v>54146.65</v>
      </c>
      <c r="N179" s="23" t="s">
        <v>246</v>
      </c>
      <c r="O179" s="23" t="s">
        <v>246</v>
      </c>
      <c r="P179" s="23" t="s">
        <v>2010</v>
      </c>
      <c r="Q179" s="23" t="s">
        <v>2023</v>
      </c>
      <c r="R179" s="23"/>
      <c r="S179" s="23"/>
      <c r="T179" s="23"/>
      <c r="U179" s="23" t="s">
        <v>2021</v>
      </c>
      <c r="V179" s="23"/>
      <c r="W179" s="23">
        <v>46052</v>
      </c>
      <c r="X179" s="23"/>
      <c r="Y179" s="23"/>
    </row>
    <row r="180" spans="1:25">
      <c r="A180" s="23" t="s">
        <v>1932</v>
      </c>
      <c r="B180" s="23">
        <v>20</v>
      </c>
      <c r="C180" s="23" t="s">
        <v>164</v>
      </c>
      <c r="D180" s="23"/>
      <c r="E180" s="23" t="s">
        <v>269</v>
      </c>
      <c r="F180" s="23" t="s">
        <v>189</v>
      </c>
      <c r="G180" s="23" t="s">
        <v>246</v>
      </c>
      <c r="H180" s="23" t="s">
        <v>2028</v>
      </c>
      <c r="I180" s="23">
        <v>43872</v>
      </c>
      <c r="J180" s="23" t="s">
        <v>2027</v>
      </c>
      <c r="K180" s="23" t="s">
        <v>2025</v>
      </c>
      <c r="L180" s="23" t="s">
        <v>169</v>
      </c>
      <c r="M180" s="23" t="s">
        <v>2710</v>
      </c>
      <c r="N180" s="23"/>
      <c r="O180" s="23" t="s">
        <v>2711</v>
      </c>
      <c r="P180" s="23" t="s">
        <v>163</v>
      </c>
      <c r="Q180" s="23" t="s">
        <v>2003</v>
      </c>
      <c r="R180" s="23" t="s">
        <v>2003</v>
      </c>
      <c r="S180" s="23" t="s">
        <v>2003</v>
      </c>
      <c r="T180" s="23" t="s">
        <v>2003</v>
      </c>
      <c r="U180" s="23" t="s">
        <v>1940</v>
      </c>
      <c r="V180" s="23"/>
      <c r="W180" s="23">
        <v>46093</v>
      </c>
      <c r="X180" s="23"/>
      <c r="Y180" s="23"/>
    </row>
    <row r="181" spans="1:25">
      <c r="A181" s="23" t="s">
        <v>1932</v>
      </c>
      <c r="B181" s="23">
        <v>21</v>
      </c>
      <c r="C181" s="23" t="s">
        <v>238</v>
      </c>
      <c r="D181" s="23"/>
      <c r="E181" s="23" t="s">
        <v>269</v>
      </c>
      <c r="F181" s="23" t="s">
        <v>274</v>
      </c>
      <c r="G181" s="23" t="s">
        <v>246</v>
      </c>
      <c r="H181" s="23" t="s">
        <v>2036</v>
      </c>
      <c r="I181" s="23">
        <v>44118</v>
      </c>
      <c r="J181" s="23" t="s">
        <v>2027</v>
      </c>
      <c r="K181" s="23" t="s">
        <v>2712</v>
      </c>
      <c r="L181" s="23" t="s">
        <v>276</v>
      </c>
      <c r="M181" s="23">
        <v>99772.54</v>
      </c>
      <c r="N181" s="23"/>
      <c r="O181" s="23" t="s">
        <v>246</v>
      </c>
      <c r="P181" s="23" t="s">
        <v>163</v>
      </c>
      <c r="Q181" s="23" t="s">
        <v>2037</v>
      </c>
      <c r="R181" s="23"/>
      <c r="S181" s="23"/>
      <c r="T181" s="23"/>
      <c r="U181" s="23" t="s">
        <v>2035</v>
      </c>
      <c r="V181" s="23"/>
      <c r="W181" s="23">
        <v>46052</v>
      </c>
      <c r="X181" s="23"/>
      <c r="Y181" s="23"/>
    </row>
    <row r="182" spans="1:25">
      <c r="A182" s="23" t="s">
        <v>1932</v>
      </c>
      <c r="B182" s="23">
        <v>22</v>
      </c>
      <c r="C182" s="23" t="s">
        <v>164</v>
      </c>
      <c r="D182" s="23"/>
      <c r="E182" s="23" t="s">
        <v>284</v>
      </c>
      <c r="F182" s="23" t="s">
        <v>283</v>
      </c>
      <c r="G182" s="23" t="s">
        <v>246</v>
      </c>
      <c r="H182" s="23" t="s">
        <v>2042</v>
      </c>
      <c r="I182" s="23">
        <v>2023</v>
      </c>
      <c r="J182" s="23" t="s">
        <v>2027</v>
      </c>
      <c r="K182" s="23" t="s">
        <v>2713</v>
      </c>
      <c r="L182" s="23"/>
      <c r="M182" s="23" t="s">
        <v>2714</v>
      </c>
      <c r="N182" s="23">
        <v>11741.96</v>
      </c>
      <c r="O182" s="23">
        <v>6000</v>
      </c>
      <c r="P182" s="23" t="s">
        <v>2038</v>
      </c>
      <c r="Q182" s="23" t="s">
        <v>2043</v>
      </c>
      <c r="R182" s="23"/>
      <c r="S182" s="23"/>
      <c r="T182" s="23"/>
      <c r="U182" s="23" t="s">
        <v>1940</v>
      </c>
      <c r="V182" s="23"/>
      <c r="W182" s="23">
        <v>46055</v>
      </c>
      <c r="X182" s="23"/>
      <c r="Y182" s="23"/>
    </row>
    <row r="183" spans="1:25">
      <c r="A183" s="23" t="s">
        <v>1932</v>
      </c>
      <c r="B183" s="23">
        <v>23</v>
      </c>
      <c r="C183" s="23" t="s">
        <v>164</v>
      </c>
      <c r="D183" s="23"/>
      <c r="E183" s="23" t="s">
        <v>284</v>
      </c>
      <c r="F183" s="23" t="s">
        <v>289</v>
      </c>
      <c r="G183" s="23" t="s">
        <v>246</v>
      </c>
      <c r="H183" s="23" t="s">
        <v>2048</v>
      </c>
      <c r="I183" s="23">
        <v>2023</v>
      </c>
      <c r="J183" s="23" t="s">
        <v>2027</v>
      </c>
      <c r="K183" s="23" t="s">
        <v>2045</v>
      </c>
      <c r="L183" s="23"/>
      <c r="M183" s="23" t="s">
        <v>2715</v>
      </c>
      <c r="N183" s="23">
        <v>2773.41</v>
      </c>
      <c r="O183" s="23" t="s">
        <v>1113</v>
      </c>
      <c r="P183" s="23" t="s">
        <v>163</v>
      </c>
      <c r="Q183" s="23" t="s">
        <v>2049</v>
      </c>
      <c r="R183" s="23"/>
      <c r="S183" s="23"/>
      <c r="T183" s="23"/>
      <c r="U183" s="23" t="s">
        <v>1940</v>
      </c>
      <c r="V183" s="23"/>
      <c r="W183" s="23">
        <v>46055</v>
      </c>
      <c r="X183" s="23"/>
      <c r="Y183" s="23"/>
    </row>
    <row r="184" spans="1:25">
      <c r="A184" s="23" t="s">
        <v>1932</v>
      </c>
      <c r="B184" s="23">
        <v>24</v>
      </c>
      <c r="C184" s="23" t="s">
        <v>164</v>
      </c>
      <c r="D184" s="23"/>
      <c r="E184" s="23" t="s">
        <v>294</v>
      </c>
      <c r="F184" s="23" t="s">
        <v>293</v>
      </c>
      <c r="G184" s="23" t="s">
        <v>246</v>
      </c>
      <c r="H184" s="23" t="s">
        <v>2054</v>
      </c>
      <c r="I184" s="23">
        <v>2014</v>
      </c>
      <c r="J184" s="23" t="s">
        <v>2027</v>
      </c>
      <c r="K184" s="23" t="s">
        <v>2051</v>
      </c>
      <c r="L184" s="23"/>
      <c r="M184" s="23" t="s">
        <v>2716</v>
      </c>
      <c r="N184" s="23">
        <v>3116.48</v>
      </c>
      <c r="O184" s="23">
        <v>11184.32</v>
      </c>
      <c r="P184" s="23" t="s">
        <v>163</v>
      </c>
      <c r="Q184" s="23" t="s">
        <v>2055</v>
      </c>
      <c r="R184" s="23"/>
      <c r="S184" s="23"/>
      <c r="T184" s="23"/>
      <c r="U184" s="23" t="s">
        <v>2035</v>
      </c>
      <c r="V184" s="23"/>
      <c r="W184" s="23">
        <v>46055</v>
      </c>
      <c r="X184" s="23"/>
      <c r="Y184" s="23"/>
    </row>
    <row r="185" spans="1:25">
      <c r="A185" s="23" t="s">
        <v>1932</v>
      </c>
      <c r="B185" s="23">
        <v>25</v>
      </c>
      <c r="C185" s="23" t="s">
        <v>238</v>
      </c>
      <c r="D185" s="23" t="s">
        <v>246</v>
      </c>
      <c r="E185" s="23" t="s">
        <v>240</v>
      </c>
      <c r="F185" s="23" t="s">
        <v>301</v>
      </c>
      <c r="G185" s="23" t="s">
        <v>246</v>
      </c>
      <c r="H185" s="23" t="s">
        <v>2065</v>
      </c>
      <c r="I185" s="23">
        <v>42599</v>
      </c>
      <c r="J185" s="23" t="s">
        <v>2027</v>
      </c>
      <c r="K185" s="23" t="s">
        <v>2717</v>
      </c>
      <c r="L185" s="23" t="s">
        <v>2718</v>
      </c>
      <c r="M185" s="23">
        <v>50921.25</v>
      </c>
      <c r="N185" s="23">
        <v>152401.99</v>
      </c>
      <c r="O185" s="23" t="s">
        <v>246</v>
      </c>
      <c r="P185" s="23" t="s">
        <v>163</v>
      </c>
      <c r="Q185" s="23" t="s">
        <v>2066</v>
      </c>
      <c r="R185" s="23"/>
      <c r="S185" s="23"/>
      <c r="T185" s="23"/>
      <c r="U185" s="23" t="s">
        <v>2064</v>
      </c>
      <c r="V185" s="23"/>
      <c r="W185" s="23">
        <v>46052</v>
      </c>
      <c r="X185" s="23"/>
      <c r="Y185" s="23"/>
    </row>
    <row r="186" spans="1:25">
      <c r="A186" s="23" t="s">
        <v>1932</v>
      </c>
      <c r="B186" s="23">
        <v>26</v>
      </c>
      <c r="C186" s="23" t="s">
        <v>238</v>
      </c>
      <c r="D186" s="23" t="s">
        <v>314</v>
      </c>
      <c r="E186" s="23" t="s">
        <v>309</v>
      </c>
      <c r="F186" s="23" t="s">
        <v>308</v>
      </c>
      <c r="G186" s="23" t="s">
        <v>246</v>
      </c>
      <c r="H186" s="23" t="s">
        <v>2719</v>
      </c>
      <c r="I186" s="23">
        <v>2016</v>
      </c>
      <c r="J186" s="23" t="s">
        <v>2027</v>
      </c>
      <c r="K186" s="23" t="s">
        <v>2067</v>
      </c>
      <c r="L186" s="23" t="s">
        <v>311</v>
      </c>
      <c r="M186" s="23">
        <v>168024.19</v>
      </c>
      <c r="N186" s="23">
        <v>26728.17</v>
      </c>
      <c r="O186" s="23" t="s">
        <v>246</v>
      </c>
      <c r="P186" s="23" t="s">
        <v>163</v>
      </c>
      <c r="Q186" s="23" t="s">
        <v>2066</v>
      </c>
      <c r="R186" s="23"/>
      <c r="S186" s="23"/>
      <c r="T186" s="23"/>
      <c r="U186" s="23" t="s">
        <v>2064</v>
      </c>
      <c r="V186" s="23"/>
      <c r="W186" s="23">
        <v>46052</v>
      </c>
      <c r="X186" s="23"/>
      <c r="Y186" s="23"/>
    </row>
    <row r="187" spans="1:25">
      <c r="A187" s="23" t="s">
        <v>1932</v>
      </c>
      <c r="B187" s="23">
        <v>27</v>
      </c>
      <c r="C187" s="23" t="s">
        <v>238</v>
      </c>
      <c r="D187" s="23" t="s">
        <v>246</v>
      </c>
      <c r="E187" s="23" t="s">
        <v>240</v>
      </c>
      <c r="F187" s="23" t="s">
        <v>317</v>
      </c>
      <c r="G187" s="23" t="s">
        <v>246</v>
      </c>
      <c r="H187" s="23" t="s">
        <v>2078</v>
      </c>
      <c r="I187" s="23">
        <v>2017</v>
      </c>
      <c r="J187" s="23" t="s">
        <v>2027</v>
      </c>
      <c r="K187" s="23" t="s">
        <v>2072</v>
      </c>
      <c r="L187" s="23" t="s">
        <v>2720</v>
      </c>
      <c r="M187" s="23">
        <v>267720.77</v>
      </c>
      <c r="N187" s="23"/>
      <c r="O187" s="23" t="s">
        <v>246</v>
      </c>
      <c r="P187" s="23" t="s">
        <v>163</v>
      </c>
      <c r="Q187" s="23"/>
      <c r="R187" s="23"/>
      <c r="S187" s="23"/>
      <c r="T187" s="23"/>
      <c r="U187" s="23" t="s">
        <v>2077</v>
      </c>
      <c r="V187" s="23"/>
      <c r="W187" s="23">
        <v>45840</v>
      </c>
      <c r="X187" s="23"/>
      <c r="Y187" s="23"/>
    </row>
    <row r="188" spans="1:25">
      <c r="A188" s="23" t="s">
        <v>1932</v>
      </c>
      <c r="B188" s="23">
        <v>28</v>
      </c>
      <c r="C188" s="23" t="s">
        <v>238</v>
      </c>
      <c r="D188" s="23"/>
      <c r="E188" s="23" t="s">
        <v>240</v>
      </c>
      <c r="F188" s="23" t="s">
        <v>322</v>
      </c>
      <c r="G188" s="23" t="s">
        <v>246</v>
      </c>
      <c r="H188" s="23" t="s">
        <v>2081</v>
      </c>
      <c r="I188" s="23">
        <v>2019</v>
      </c>
      <c r="J188" s="23" t="s">
        <v>2027</v>
      </c>
      <c r="K188" s="23" t="s">
        <v>1358</v>
      </c>
      <c r="L188" s="23" t="s">
        <v>324</v>
      </c>
      <c r="M188" s="23">
        <v>520579.71</v>
      </c>
      <c r="N188" s="23"/>
      <c r="O188" s="23" t="s">
        <v>246</v>
      </c>
      <c r="P188" s="23" t="s">
        <v>163</v>
      </c>
      <c r="Q188" s="23"/>
      <c r="R188" s="23"/>
      <c r="S188" s="23"/>
      <c r="T188" s="23"/>
      <c r="U188" s="23" t="s">
        <v>1940</v>
      </c>
      <c r="V188" s="23"/>
      <c r="W188" s="23">
        <v>45562</v>
      </c>
      <c r="X188" s="23"/>
      <c r="Y188" s="23"/>
    </row>
    <row r="189" spans="1:25">
      <c r="A189" s="23" t="s">
        <v>1932</v>
      </c>
      <c r="B189" s="23">
        <v>29</v>
      </c>
      <c r="C189" s="23" t="s">
        <v>238</v>
      </c>
      <c r="D189" s="23" t="s">
        <v>333</v>
      </c>
      <c r="E189" s="23" t="s">
        <v>240</v>
      </c>
      <c r="F189" s="23" t="s">
        <v>328</v>
      </c>
      <c r="G189" s="23" t="s">
        <v>246</v>
      </c>
      <c r="H189" s="23" t="s">
        <v>2087</v>
      </c>
      <c r="I189" s="23">
        <v>2018</v>
      </c>
      <c r="J189" s="23" t="s">
        <v>2027</v>
      </c>
      <c r="K189" s="23" t="s">
        <v>2721</v>
      </c>
      <c r="L189" s="23" t="s">
        <v>330</v>
      </c>
      <c r="M189" s="23">
        <v>429296.48</v>
      </c>
      <c r="N189" s="23"/>
      <c r="O189" s="23" t="s">
        <v>246</v>
      </c>
      <c r="P189" s="23" t="s">
        <v>2082</v>
      </c>
      <c r="Q189" s="23" t="s">
        <v>2066</v>
      </c>
      <c r="R189" s="23"/>
      <c r="S189" s="23"/>
      <c r="T189" s="23"/>
      <c r="U189" s="23" t="s">
        <v>2064</v>
      </c>
      <c r="V189" s="23"/>
      <c r="W189" s="23">
        <v>46052</v>
      </c>
      <c r="X189" s="23"/>
      <c r="Y189" s="23"/>
    </row>
    <row r="190" spans="1:25">
      <c r="A190" s="23" t="s">
        <v>1932</v>
      </c>
      <c r="B190" s="23">
        <v>30</v>
      </c>
      <c r="C190" s="23" t="s">
        <v>238</v>
      </c>
      <c r="D190" s="23"/>
      <c r="E190" s="23" t="s">
        <v>240</v>
      </c>
      <c r="F190" s="23" t="s">
        <v>335</v>
      </c>
      <c r="G190" s="23" t="s">
        <v>246</v>
      </c>
      <c r="H190" s="23" t="s">
        <v>2091</v>
      </c>
      <c r="I190" s="23">
        <v>2017</v>
      </c>
      <c r="J190" s="23" t="s">
        <v>2027</v>
      </c>
      <c r="K190" s="23" t="s">
        <v>2722</v>
      </c>
      <c r="L190" s="23" t="s">
        <v>337</v>
      </c>
      <c r="M190" s="23">
        <v>164916.37</v>
      </c>
      <c r="N190" s="23">
        <v>93057.53</v>
      </c>
      <c r="O190" s="23" t="s">
        <v>246</v>
      </c>
      <c r="P190" s="23" t="s">
        <v>163</v>
      </c>
      <c r="Q190" s="23"/>
      <c r="R190" s="23"/>
      <c r="S190" s="23"/>
      <c r="T190" s="23"/>
      <c r="U190" s="23" t="s">
        <v>1940</v>
      </c>
      <c r="V190" s="23"/>
      <c r="W190" s="23">
        <v>46073</v>
      </c>
      <c r="X190" s="23"/>
      <c r="Y190" s="23"/>
    </row>
    <row r="191" spans="1:25">
      <c r="A191" s="23" t="s">
        <v>1932</v>
      </c>
      <c r="B191" s="23">
        <v>31</v>
      </c>
      <c r="C191" s="23" t="s">
        <v>238</v>
      </c>
      <c r="D191" s="23"/>
      <c r="E191" s="23" t="s">
        <v>240</v>
      </c>
      <c r="F191" s="23" t="s">
        <v>341</v>
      </c>
      <c r="G191" s="23" t="s">
        <v>246</v>
      </c>
      <c r="H191" s="23" t="s">
        <v>2095</v>
      </c>
      <c r="I191" s="23">
        <v>2018</v>
      </c>
      <c r="J191" s="23" t="s">
        <v>2027</v>
      </c>
      <c r="K191" s="23" t="s">
        <v>1367</v>
      </c>
      <c r="L191" s="23" t="s">
        <v>337</v>
      </c>
      <c r="M191" s="23">
        <v>69937.05</v>
      </c>
      <c r="N191" s="23">
        <v>124151.77</v>
      </c>
      <c r="O191" s="23" t="s">
        <v>246</v>
      </c>
      <c r="P191" s="23" t="s">
        <v>163</v>
      </c>
      <c r="Q191" s="23"/>
      <c r="R191" s="23"/>
      <c r="S191" s="23"/>
      <c r="T191" s="23"/>
      <c r="U191" s="23" t="s">
        <v>2015</v>
      </c>
      <c r="V191" s="23"/>
      <c r="W191" s="23">
        <v>45548</v>
      </c>
      <c r="X191" s="23"/>
      <c r="Y191" s="23"/>
    </row>
    <row r="192" spans="1:25">
      <c r="A192" s="23" t="s">
        <v>1932</v>
      </c>
      <c r="B192" s="23">
        <v>32</v>
      </c>
      <c r="C192" s="23" t="s">
        <v>238</v>
      </c>
      <c r="D192" s="23" t="s">
        <v>246</v>
      </c>
      <c r="E192" s="23" t="s">
        <v>347</v>
      </c>
      <c r="F192" s="23" t="s">
        <v>346</v>
      </c>
      <c r="G192" s="23" t="s">
        <v>246</v>
      </c>
      <c r="H192" s="23" t="s">
        <v>2099</v>
      </c>
      <c r="I192" s="23">
        <v>2018</v>
      </c>
      <c r="J192" s="23" t="s">
        <v>2027</v>
      </c>
      <c r="K192" s="23" t="s">
        <v>1370</v>
      </c>
      <c r="L192" s="23" t="s">
        <v>349</v>
      </c>
      <c r="M192" s="23">
        <v>95594.39</v>
      </c>
      <c r="N192" s="23">
        <v>174641.39</v>
      </c>
      <c r="O192" s="23" t="s">
        <v>246</v>
      </c>
      <c r="P192" s="23" t="s">
        <v>163</v>
      </c>
      <c r="Q192" s="23" t="s">
        <v>2003</v>
      </c>
      <c r="R192" s="23" t="s">
        <v>2003</v>
      </c>
      <c r="S192" s="23" t="s">
        <v>2003</v>
      </c>
      <c r="T192" s="23" t="s">
        <v>2003</v>
      </c>
      <c r="U192" s="23" t="s">
        <v>2064</v>
      </c>
      <c r="V192" s="23"/>
      <c r="W192" s="23">
        <v>46093</v>
      </c>
      <c r="X192" s="23"/>
      <c r="Y192" s="23"/>
    </row>
    <row r="193" spans="1:25">
      <c r="A193" s="23" t="s">
        <v>1932</v>
      </c>
      <c r="B193" s="23">
        <v>33</v>
      </c>
      <c r="C193" s="23" t="s">
        <v>238</v>
      </c>
      <c r="D193" s="23"/>
      <c r="E193" s="23" t="s">
        <v>240</v>
      </c>
      <c r="F193" s="23" t="s">
        <v>353</v>
      </c>
      <c r="G193" s="23" t="s">
        <v>246</v>
      </c>
      <c r="H193" s="23" t="s">
        <v>2102</v>
      </c>
      <c r="I193" s="23">
        <v>2016</v>
      </c>
      <c r="J193" s="23" t="s">
        <v>2027</v>
      </c>
      <c r="K193" s="23" t="s">
        <v>1373</v>
      </c>
      <c r="L193" s="23" t="s">
        <v>355</v>
      </c>
      <c r="M193" s="23">
        <v>3467.48</v>
      </c>
      <c r="N193" s="23">
        <v>6094.49</v>
      </c>
      <c r="O193" s="23" t="s">
        <v>246</v>
      </c>
      <c r="P193" s="23" t="s">
        <v>163</v>
      </c>
      <c r="Q193" s="23"/>
      <c r="R193" s="23"/>
      <c r="S193" s="23"/>
      <c r="T193" s="23"/>
      <c r="U193" s="23" t="s">
        <v>1940</v>
      </c>
      <c r="V193" s="23"/>
      <c r="W193" s="23">
        <v>45763</v>
      </c>
      <c r="X193" s="23"/>
      <c r="Y193" s="23"/>
    </row>
    <row r="194" spans="1:25">
      <c r="A194" s="23" t="s">
        <v>1932</v>
      </c>
      <c r="B194" s="23">
        <v>34</v>
      </c>
      <c r="C194" s="23" t="s">
        <v>238</v>
      </c>
      <c r="D194" s="23"/>
      <c r="E194" s="23" t="s">
        <v>240</v>
      </c>
      <c r="F194" s="23" t="s">
        <v>359</v>
      </c>
      <c r="G194" s="23" t="s">
        <v>246</v>
      </c>
      <c r="H194" s="23" t="s">
        <v>2105</v>
      </c>
      <c r="I194" s="23">
        <v>2019</v>
      </c>
      <c r="J194" s="23" t="s">
        <v>2027</v>
      </c>
      <c r="K194" s="23" t="s">
        <v>1376</v>
      </c>
      <c r="L194" s="23"/>
      <c r="M194" s="23">
        <v>19594.07</v>
      </c>
      <c r="N194" s="23">
        <v>46334.28</v>
      </c>
      <c r="O194" s="23" t="s">
        <v>246</v>
      </c>
      <c r="P194" s="23" t="s">
        <v>163</v>
      </c>
      <c r="Q194" s="23"/>
      <c r="R194" s="23"/>
      <c r="S194" s="23"/>
      <c r="T194" s="23"/>
      <c r="U194" s="23" t="s">
        <v>1940</v>
      </c>
      <c r="V194" s="23"/>
      <c r="W194" s="23">
        <v>45229</v>
      </c>
      <c r="X194" s="23"/>
      <c r="Y194" s="23"/>
    </row>
    <row r="195" spans="1:25">
      <c r="A195" s="23" t="s">
        <v>1932</v>
      </c>
      <c r="B195" s="23">
        <v>35</v>
      </c>
      <c r="C195" s="23" t="s">
        <v>238</v>
      </c>
      <c r="D195" s="23" t="s">
        <v>246</v>
      </c>
      <c r="E195" s="23" t="s">
        <v>240</v>
      </c>
      <c r="F195" s="23" t="s">
        <v>364</v>
      </c>
      <c r="G195" s="23" t="s">
        <v>246</v>
      </c>
      <c r="H195" s="23" t="s">
        <v>2109</v>
      </c>
      <c r="I195" s="23">
        <v>2018</v>
      </c>
      <c r="J195" s="23" t="s">
        <v>2027</v>
      </c>
      <c r="K195" s="23" t="s">
        <v>2723</v>
      </c>
      <c r="L195" s="23" t="s">
        <v>366</v>
      </c>
      <c r="M195" s="23">
        <v>24909.81</v>
      </c>
      <c r="N195" s="23">
        <v>43534.44</v>
      </c>
      <c r="O195" s="23" t="s">
        <v>246</v>
      </c>
      <c r="P195" s="23" t="s">
        <v>163</v>
      </c>
      <c r="Q195" s="23"/>
      <c r="R195" s="23"/>
      <c r="S195" s="23"/>
      <c r="T195" s="23"/>
      <c r="U195" s="23" t="s">
        <v>2064</v>
      </c>
      <c r="V195" s="23"/>
      <c r="W195" s="23">
        <v>46029</v>
      </c>
      <c r="X195" s="23"/>
      <c r="Y195" s="23"/>
    </row>
    <row r="196" spans="1:25">
      <c r="A196" s="23" t="s">
        <v>1932</v>
      </c>
      <c r="B196" s="23">
        <v>36</v>
      </c>
      <c r="C196" s="23" t="s">
        <v>164</v>
      </c>
      <c r="D196" s="23"/>
      <c r="E196" s="23" t="s">
        <v>232</v>
      </c>
      <c r="F196" s="23" t="s">
        <v>231</v>
      </c>
      <c r="G196" s="23" t="s">
        <v>246</v>
      </c>
      <c r="H196" s="23" t="s">
        <v>2112</v>
      </c>
      <c r="I196" s="23">
        <v>2013</v>
      </c>
      <c r="J196" s="23" t="s">
        <v>2027</v>
      </c>
      <c r="K196" s="23" t="s">
        <v>2110</v>
      </c>
      <c r="L196" s="23" t="s">
        <v>370</v>
      </c>
      <c r="M196" s="23">
        <v>5000</v>
      </c>
      <c r="N196" s="23">
        <v>129983.01</v>
      </c>
      <c r="O196" s="23" t="s">
        <v>246</v>
      </c>
      <c r="P196" s="23" t="s">
        <v>2697</v>
      </c>
      <c r="Q196" s="23"/>
      <c r="R196" s="23"/>
      <c r="S196" s="23"/>
      <c r="T196" s="23"/>
      <c r="U196" s="23" t="s">
        <v>2064</v>
      </c>
      <c r="V196" s="23"/>
      <c r="W196" s="23">
        <v>46052</v>
      </c>
      <c r="X196" s="23"/>
      <c r="Y196" s="23"/>
    </row>
    <row r="197" spans="1:25">
      <c r="A197" s="23" t="s">
        <v>1932</v>
      </c>
      <c r="B197" s="23">
        <v>37</v>
      </c>
      <c r="C197" s="23" t="s">
        <v>164</v>
      </c>
      <c r="D197" s="23" t="s">
        <v>380</v>
      </c>
      <c r="E197" s="23" t="s">
        <v>184</v>
      </c>
      <c r="F197" s="23" t="s">
        <v>374</v>
      </c>
      <c r="G197" s="23" t="s">
        <v>246</v>
      </c>
      <c r="H197" s="23" t="s">
        <v>2119</v>
      </c>
      <c r="I197" s="23">
        <v>2018</v>
      </c>
      <c r="J197" s="23" t="s">
        <v>2027</v>
      </c>
      <c r="K197" s="23" t="s">
        <v>2115</v>
      </c>
      <c r="L197" s="23"/>
      <c r="M197" s="23">
        <v>16946.439999999999</v>
      </c>
      <c r="N197" s="23">
        <v>16748.330000000002</v>
      </c>
      <c r="O197" s="23"/>
      <c r="P197" s="23" t="s">
        <v>2724</v>
      </c>
      <c r="Q197" s="23" t="s">
        <v>2120</v>
      </c>
      <c r="R197" s="23"/>
      <c r="S197" s="23"/>
      <c r="T197" s="23"/>
      <c r="U197" s="23" t="s">
        <v>2118</v>
      </c>
      <c r="V197" s="23"/>
      <c r="W197" s="23">
        <v>46052</v>
      </c>
      <c r="X197" s="23"/>
      <c r="Y197" s="23"/>
    </row>
    <row r="198" spans="1:25">
      <c r="A198" s="23" t="s">
        <v>1932</v>
      </c>
      <c r="B198" s="23">
        <v>38</v>
      </c>
      <c r="C198" s="23" t="s">
        <v>164</v>
      </c>
      <c r="D198" s="23" t="s">
        <v>380</v>
      </c>
      <c r="E198" s="23" t="s">
        <v>184</v>
      </c>
      <c r="F198" s="23" t="s">
        <v>382</v>
      </c>
      <c r="G198" s="23" t="s">
        <v>246</v>
      </c>
      <c r="H198" s="23" t="s">
        <v>2125</v>
      </c>
      <c r="I198" s="23">
        <v>2017</v>
      </c>
      <c r="J198" s="23" t="s">
        <v>2027</v>
      </c>
      <c r="K198" s="23" t="s">
        <v>2122</v>
      </c>
      <c r="L198" s="23"/>
      <c r="M198" s="23">
        <v>54939.72</v>
      </c>
      <c r="N198" s="23" t="s">
        <v>2725</v>
      </c>
      <c r="O198" s="23">
        <v>20254.02</v>
      </c>
      <c r="P198" s="23" t="s">
        <v>2726</v>
      </c>
      <c r="Q198" s="23" t="s">
        <v>2120</v>
      </c>
      <c r="R198" s="23"/>
      <c r="S198" s="23"/>
      <c r="T198" s="23"/>
      <c r="U198" s="23" t="s">
        <v>2064</v>
      </c>
      <c r="V198" s="23"/>
      <c r="W198" s="23">
        <v>46052</v>
      </c>
      <c r="X198" s="23"/>
      <c r="Y198" s="23"/>
    </row>
    <row r="199" spans="1:25">
      <c r="A199" s="23" t="s">
        <v>1932</v>
      </c>
      <c r="B199" s="23">
        <v>39</v>
      </c>
      <c r="C199" s="23" t="s">
        <v>164</v>
      </c>
      <c r="D199" s="23" t="s">
        <v>246</v>
      </c>
      <c r="E199" s="23" t="s">
        <v>184</v>
      </c>
      <c r="F199" s="23" t="s">
        <v>388</v>
      </c>
      <c r="G199" s="23" t="s">
        <v>246</v>
      </c>
      <c r="H199" s="23" t="s">
        <v>2132</v>
      </c>
      <c r="I199" s="23">
        <v>2020</v>
      </c>
      <c r="J199" s="23" t="s">
        <v>2027</v>
      </c>
      <c r="K199" s="23" t="s">
        <v>2128</v>
      </c>
      <c r="L199" s="23" t="s">
        <v>2727</v>
      </c>
      <c r="M199" s="23">
        <v>158931.65</v>
      </c>
      <c r="N199" s="23">
        <v>161748.04999999999</v>
      </c>
      <c r="O199" s="23"/>
      <c r="P199" s="23" t="s">
        <v>2728</v>
      </c>
      <c r="Q199" s="23"/>
      <c r="R199" s="23"/>
      <c r="S199" s="23"/>
      <c r="T199" s="23"/>
      <c r="U199" s="23" t="s">
        <v>2064</v>
      </c>
      <c r="V199" s="23"/>
      <c r="W199" s="23">
        <v>46094</v>
      </c>
      <c r="X199" s="23"/>
      <c r="Y199" s="23"/>
    </row>
    <row r="200" spans="1:25">
      <c r="A200" s="23" t="s">
        <v>1932</v>
      </c>
      <c r="B200" s="23">
        <v>40</v>
      </c>
      <c r="C200" s="23" t="s">
        <v>164</v>
      </c>
      <c r="D200" s="23"/>
      <c r="E200" s="23" t="s">
        <v>395</v>
      </c>
      <c r="F200" s="23" t="s">
        <v>394</v>
      </c>
      <c r="G200" s="23" t="s">
        <v>246</v>
      </c>
      <c r="H200" s="23" t="s">
        <v>2137</v>
      </c>
      <c r="I200" s="23">
        <v>2018</v>
      </c>
      <c r="J200" s="23" t="s">
        <v>2027</v>
      </c>
      <c r="K200" s="23" t="s">
        <v>2134</v>
      </c>
      <c r="L200" s="23"/>
      <c r="M200" s="23">
        <v>10160.65</v>
      </c>
      <c r="N200" s="23">
        <v>6402.94</v>
      </c>
      <c r="O200" s="23"/>
      <c r="P200" s="23" t="s">
        <v>2729</v>
      </c>
      <c r="Q200" s="23"/>
      <c r="R200" s="23"/>
      <c r="S200" s="23"/>
      <c r="T200" s="23"/>
      <c r="U200" s="23" t="s">
        <v>1940</v>
      </c>
      <c r="V200" s="23"/>
      <c r="W200" s="23">
        <v>45512</v>
      </c>
      <c r="X200" s="23"/>
      <c r="Y200" s="23"/>
    </row>
    <row r="201" spans="1:25">
      <c r="A201" s="23" t="s">
        <v>1932</v>
      </c>
      <c r="B201" s="23">
        <v>41</v>
      </c>
      <c r="C201" s="23" t="s">
        <v>164</v>
      </c>
      <c r="D201" s="23" t="s">
        <v>380</v>
      </c>
      <c r="E201" s="23" t="s">
        <v>400</v>
      </c>
      <c r="F201" s="23" t="s">
        <v>399</v>
      </c>
      <c r="G201" s="23" t="s">
        <v>246</v>
      </c>
      <c r="H201" s="23" t="s">
        <v>2143</v>
      </c>
      <c r="I201" s="23">
        <v>2018</v>
      </c>
      <c r="J201" s="23" t="s">
        <v>2027</v>
      </c>
      <c r="K201" s="23" t="s">
        <v>2139</v>
      </c>
      <c r="L201" s="23"/>
      <c r="M201" s="23">
        <v>20042.43</v>
      </c>
      <c r="N201" s="23">
        <v>29584.74</v>
      </c>
      <c r="O201" s="23"/>
      <c r="P201" s="23" t="s">
        <v>2138</v>
      </c>
      <c r="Q201" s="23"/>
      <c r="R201" s="23"/>
      <c r="S201" s="23"/>
      <c r="T201" s="23"/>
      <c r="U201" s="23" t="s">
        <v>2064</v>
      </c>
      <c r="V201" s="23"/>
      <c r="W201" s="23">
        <v>45653</v>
      </c>
      <c r="X201" s="23"/>
      <c r="Y201" s="23"/>
    </row>
    <row r="202" spans="1:25">
      <c r="A202" s="23" t="s">
        <v>1932</v>
      </c>
      <c r="B202" s="23">
        <v>42</v>
      </c>
      <c r="C202" s="23" t="s">
        <v>164</v>
      </c>
      <c r="D202" s="23" t="s">
        <v>380</v>
      </c>
      <c r="E202" s="23" t="s">
        <v>406</v>
      </c>
      <c r="F202" s="23" t="s">
        <v>405</v>
      </c>
      <c r="G202" s="23" t="s">
        <v>246</v>
      </c>
      <c r="H202" s="23" t="s">
        <v>2148</v>
      </c>
      <c r="I202" s="23">
        <v>2018</v>
      </c>
      <c r="J202" s="23" t="s">
        <v>2027</v>
      </c>
      <c r="K202" s="23" t="s">
        <v>2145</v>
      </c>
      <c r="L202" s="23" t="s">
        <v>408</v>
      </c>
      <c r="M202" s="23">
        <v>32390.75</v>
      </c>
      <c r="N202" s="23" t="s">
        <v>2730</v>
      </c>
      <c r="O202" s="23"/>
      <c r="P202" s="23" t="s">
        <v>2144</v>
      </c>
      <c r="Q202" s="23" t="s">
        <v>2149</v>
      </c>
      <c r="R202" s="23"/>
      <c r="S202" s="23"/>
      <c r="T202" s="23"/>
      <c r="U202" s="23" t="s">
        <v>2064</v>
      </c>
      <c r="V202" s="23"/>
      <c r="W202" s="23">
        <v>46055</v>
      </c>
      <c r="X202" s="23"/>
      <c r="Y202" s="23"/>
    </row>
    <row r="203" spans="1:25">
      <c r="A203" s="23" t="s">
        <v>1932</v>
      </c>
      <c r="B203" s="23">
        <v>43</v>
      </c>
      <c r="C203" s="23" t="s">
        <v>164</v>
      </c>
      <c r="D203" s="23" t="s">
        <v>380</v>
      </c>
      <c r="E203" s="23" t="s">
        <v>413</v>
      </c>
      <c r="F203" s="23" t="s">
        <v>412</v>
      </c>
      <c r="G203" s="23" t="s">
        <v>246</v>
      </c>
      <c r="H203" s="23" t="s">
        <v>2155</v>
      </c>
      <c r="I203" s="23">
        <v>2018</v>
      </c>
      <c r="J203" s="23" t="s">
        <v>2027</v>
      </c>
      <c r="K203" s="23" t="s">
        <v>2152</v>
      </c>
      <c r="L203" s="23" t="s">
        <v>414</v>
      </c>
      <c r="M203" s="23">
        <v>49973.45</v>
      </c>
      <c r="N203" s="23">
        <v>40937.699999999997</v>
      </c>
      <c r="O203" s="23"/>
      <c r="P203" s="23" t="s">
        <v>2151</v>
      </c>
      <c r="Q203" s="23" t="s">
        <v>2120</v>
      </c>
      <c r="R203" s="23"/>
      <c r="S203" s="23"/>
      <c r="T203" s="23"/>
      <c r="U203" s="23" t="s">
        <v>2118</v>
      </c>
      <c r="V203" s="23"/>
      <c r="W203" s="23">
        <v>46055</v>
      </c>
      <c r="X203" s="23"/>
      <c r="Y203" s="23"/>
    </row>
    <row r="204" spans="1:25">
      <c r="A204" s="23" t="s">
        <v>1932</v>
      </c>
      <c r="B204" s="23">
        <v>44</v>
      </c>
      <c r="C204" s="23" t="s">
        <v>164</v>
      </c>
      <c r="D204" s="23" t="s">
        <v>380</v>
      </c>
      <c r="E204" s="23" t="s">
        <v>420</v>
      </c>
      <c r="F204" s="23" t="s">
        <v>419</v>
      </c>
      <c r="G204" s="23" t="s">
        <v>246</v>
      </c>
      <c r="H204" s="23" t="s">
        <v>2160</v>
      </c>
      <c r="I204" s="23">
        <v>2020</v>
      </c>
      <c r="J204" s="23" t="s">
        <v>2027</v>
      </c>
      <c r="K204" s="23" t="s">
        <v>2157</v>
      </c>
      <c r="L204" s="23"/>
      <c r="M204" s="23">
        <v>59519.22</v>
      </c>
      <c r="N204" s="23">
        <v>21004.18</v>
      </c>
      <c r="O204" s="23"/>
      <c r="P204" s="23" t="s">
        <v>2731</v>
      </c>
      <c r="Q204" s="23"/>
      <c r="R204" s="23"/>
      <c r="S204" s="23"/>
      <c r="T204" s="23"/>
      <c r="U204" s="23" t="s">
        <v>2064</v>
      </c>
      <c r="V204" s="23"/>
      <c r="W204" s="23">
        <v>45653</v>
      </c>
      <c r="X204" s="23"/>
      <c r="Y204" s="23"/>
    </row>
    <row r="205" spans="1:25">
      <c r="A205" s="23" t="s">
        <v>1932</v>
      </c>
      <c r="B205" s="23">
        <v>45</v>
      </c>
      <c r="C205" s="23" t="s">
        <v>164</v>
      </c>
      <c r="D205" s="23" t="s">
        <v>380</v>
      </c>
      <c r="E205" s="23" t="s">
        <v>426</v>
      </c>
      <c r="F205" s="23" t="s">
        <v>425</v>
      </c>
      <c r="G205" s="23" t="s">
        <v>246</v>
      </c>
      <c r="H205" s="23" t="s">
        <v>2163</v>
      </c>
      <c r="I205" s="23">
        <v>2018</v>
      </c>
      <c r="J205" s="23" t="s">
        <v>2027</v>
      </c>
      <c r="K205" s="23" t="s">
        <v>2161</v>
      </c>
      <c r="L205" s="23" t="s">
        <v>2732</v>
      </c>
      <c r="M205" s="23">
        <v>34596.68</v>
      </c>
      <c r="N205" s="23" t="s">
        <v>2733</v>
      </c>
      <c r="O205" s="23"/>
      <c r="P205" s="23" t="s">
        <v>2151</v>
      </c>
      <c r="Q205" s="23" t="s">
        <v>2164</v>
      </c>
      <c r="R205" s="23"/>
      <c r="S205" s="23"/>
      <c r="T205" s="23"/>
      <c r="U205" s="23" t="s">
        <v>2064</v>
      </c>
      <c r="V205" s="23"/>
      <c r="W205" s="23">
        <v>46073</v>
      </c>
      <c r="X205" s="23"/>
      <c r="Y205" s="23"/>
    </row>
    <row r="206" spans="1:25">
      <c r="A206" s="23" t="s">
        <v>1932</v>
      </c>
      <c r="B206" s="23">
        <v>46</v>
      </c>
      <c r="C206" s="23" t="s">
        <v>164</v>
      </c>
      <c r="D206" s="23" t="s">
        <v>380</v>
      </c>
      <c r="E206" s="23" t="s">
        <v>433</v>
      </c>
      <c r="F206" s="23" t="s">
        <v>432</v>
      </c>
      <c r="G206" s="23" t="s">
        <v>246</v>
      </c>
      <c r="H206" s="23" t="s">
        <v>2170</v>
      </c>
      <c r="I206" s="23">
        <v>2019</v>
      </c>
      <c r="J206" s="23" t="s">
        <v>2027</v>
      </c>
      <c r="K206" s="23" t="s">
        <v>2167</v>
      </c>
      <c r="L206" s="23" t="s">
        <v>2734</v>
      </c>
      <c r="M206" s="23">
        <v>80000</v>
      </c>
      <c r="N206" s="23">
        <v>104036.23</v>
      </c>
      <c r="O206" s="23"/>
      <c r="P206" s="23" t="s">
        <v>2735</v>
      </c>
      <c r="Q206" s="23"/>
      <c r="R206" s="23"/>
      <c r="S206" s="23"/>
      <c r="T206" s="23"/>
      <c r="U206" s="23" t="s">
        <v>2118</v>
      </c>
      <c r="V206" s="23"/>
      <c r="W206" s="23">
        <v>46094</v>
      </c>
      <c r="X206" s="23"/>
      <c r="Y206" s="23"/>
    </row>
    <row r="207" spans="1:25">
      <c r="A207" s="23" t="s">
        <v>1932</v>
      </c>
      <c r="B207" s="23">
        <v>47</v>
      </c>
      <c r="C207" s="23" t="s">
        <v>164</v>
      </c>
      <c r="D207" s="23" t="s">
        <v>380</v>
      </c>
      <c r="E207" s="23" t="s">
        <v>184</v>
      </c>
      <c r="F207" s="23" t="s">
        <v>439</v>
      </c>
      <c r="G207" s="23" t="s">
        <v>246</v>
      </c>
      <c r="H207" s="23" t="s">
        <v>2176</v>
      </c>
      <c r="I207" s="23">
        <v>2021</v>
      </c>
      <c r="J207" s="23" t="s">
        <v>2027</v>
      </c>
      <c r="K207" s="23" t="s">
        <v>2172</v>
      </c>
      <c r="L207" s="23" t="s">
        <v>442</v>
      </c>
      <c r="M207" s="23">
        <v>21875.09</v>
      </c>
      <c r="N207" s="23">
        <v>86251.8</v>
      </c>
      <c r="O207" s="23"/>
      <c r="P207" s="23" t="s">
        <v>2736</v>
      </c>
      <c r="Q207" s="23"/>
      <c r="R207" s="23"/>
      <c r="S207" s="23"/>
      <c r="T207" s="23"/>
      <c r="U207" s="23" t="s">
        <v>1940</v>
      </c>
      <c r="V207" s="23"/>
      <c r="W207" s="23">
        <v>45706</v>
      </c>
      <c r="X207" s="23"/>
      <c r="Y207" s="23"/>
    </row>
    <row r="208" spans="1:25">
      <c r="A208" s="23" t="s">
        <v>1932</v>
      </c>
      <c r="B208" s="23">
        <v>48</v>
      </c>
      <c r="C208" s="23" t="s">
        <v>164</v>
      </c>
      <c r="D208" s="23" t="s">
        <v>380</v>
      </c>
      <c r="E208" s="23" t="s">
        <v>448</v>
      </c>
      <c r="F208" s="23" t="s">
        <v>447</v>
      </c>
      <c r="G208" s="23" t="s">
        <v>246</v>
      </c>
      <c r="H208" s="23" t="s">
        <v>2181</v>
      </c>
      <c r="I208" s="23">
        <v>2020</v>
      </c>
      <c r="J208" s="23" t="s">
        <v>2027</v>
      </c>
      <c r="K208" s="23" t="s">
        <v>2178</v>
      </c>
      <c r="L208" s="23"/>
      <c r="M208" s="23">
        <v>137223.76</v>
      </c>
      <c r="N208" s="23">
        <v>96841.24</v>
      </c>
      <c r="O208" s="23"/>
      <c r="P208" s="23" t="s">
        <v>2737</v>
      </c>
      <c r="Q208" s="23"/>
      <c r="R208" s="23"/>
      <c r="S208" s="23"/>
      <c r="T208" s="23"/>
      <c r="U208" s="23" t="s">
        <v>1940</v>
      </c>
      <c r="V208" s="23"/>
      <c r="W208" s="23">
        <v>45653</v>
      </c>
      <c r="X208" s="23"/>
      <c r="Y208" s="23"/>
    </row>
    <row r="209" spans="1:25">
      <c r="A209" s="23" t="s">
        <v>1932</v>
      </c>
      <c r="B209" s="23">
        <v>49</v>
      </c>
      <c r="C209" s="23" t="s">
        <v>164</v>
      </c>
      <c r="D209" s="23" t="s">
        <v>380</v>
      </c>
      <c r="E209" s="23" t="s">
        <v>184</v>
      </c>
      <c r="F209" s="23" t="s">
        <v>454</v>
      </c>
      <c r="G209" s="23" t="s">
        <v>246</v>
      </c>
      <c r="H209" s="23" t="s">
        <v>2186</v>
      </c>
      <c r="I209" s="23">
        <v>2019</v>
      </c>
      <c r="J209" s="23" t="s">
        <v>2027</v>
      </c>
      <c r="K209" s="23" t="s">
        <v>2183</v>
      </c>
      <c r="L209" s="23" t="s">
        <v>456</v>
      </c>
      <c r="M209" s="23">
        <v>15245.63</v>
      </c>
      <c r="N209" s="23" t="s">
        <v>2738</v>
      </c>
      <c r="O209" s="23"/>
      <c r="P209" s="23" t="s">
        <v>2739</v>
      </c>
      <c r="Q209" s="23"/>
      <c r="R209" s="23"/>
      <c r="S209" s="23"/>
      <c r="T209" s="23"/>
      <c r="U209" s="23" t="s">
        <v>2118</v>
      </c>
      <c r="V209" s="23"/>
      <c r="W209" s="23">
        <v>45653</v>
      </c>
      <c r="X209" s="23"/>
      <c r="Y209" s="23"/>
    </row>
    <row r="210" spans="1:25">
      <c r="A210" s="23" t="s">
        <v>1932</v>
      </c>
      <c r="B210" s="23">
        <v>50</v>
      </c>
      <c r="C210" s="23" t="s">
        <v>164</v>
      </c>
      <c r="D210" s="23" t="s">
        <v>380</v>
      </c>
      <c r="E210" s="23" t="s">
        <v>184</v>
      </c>
      <c r="F210" s="23" t="s">
        <v>460</v>
      </c>
      <c r="G210" s="23" t="s">
        <v>246</v>
      </c>
      <c r="H210" s="23" t="s">
        <v>2192</v>
      </c>
      <c r="I210" s="23">
        <v>2019</v>
      </c>
      <c r="J210" s="23" t="s">
        <v>2027</v>
      </c>
      <c r="K210" s="23" t="s">
        <v>2740</v>
      </c>
      <c r="L210" s="23" t="s">
        <v>462</v>
      </c>
      <c r="M210" s="23">
        <v>24455.34</v>
      </c>
      <c r="N210" s="23">
        <v>21755.81</v>
      </c>
      <c r="O210" s="23"/>
      <c r="P210" s="23" t="s">
        <v>2724</v>
      </c>
      <c r="Q210" s="23" t="s">
        <v>2120</v>
      </c>
      <c r="R210" s="23"/>
      <c r="S210" s="23"/>
      <c r="T210" s="23"/>
      <c r="U210" s="23" t="s">
        <v>2064</v>
      </c>
      <c r="V210" s="23"/>
      <c r="W210" s="23">
        <v>46297</v>
      </c>
      <c r="X210" s="23"/>
      <c r="Y210" s="23"/>
    </row>
    <row r="211" spans="1:25">
      <c r="A211" s="23" t="s">
        <v>1932</v>
      </c>
      <c r="B211" s="23">
        <v>51</v>
      </c>
      <c r="C211" s="23" t="s">
        <v>164</v>
      </c>
      <c r="D211" s="23" t="s">
        <v>380</v>
      </c>
      <c r="E211" s="23" t="s">
        <v>184</v>
      </c>
      <c r="F211" s="23" t="s">
        <v>466</v>
      </c>
      <c r="G211" s="23" t="s">
        <v>246</v>
      </c>
      <c r="H211" s="23" t="s">
        <v>2196</v>
      </c>
      <c r="I211" s="23">
        <v>2018</v>
      </c>
      <c r="J211" s="23" t="s">
        <v>2027</v>
      </c>
      <c r="K211" s="23" t="s">
        <v>2193</v>
      </c>
      <c r="L211" s="23" t="s">
        <v>467</v>
      </c>
      <c r="M211" s="23">
        <v>107189.84</v>
      </c>
      <c r="N211" s="23">
        <v>9860.92</v>
      </c>
      <c r="O211" s="23"/>
      <c r="P211" s="23" t="s">
        <v>2151</v>
      </c>
      <c r="Q211" s="23" t="s">
        <v>2120</v>
      </c>
      <c r="R211" s="23"/>
      <c r="S211" s="23"/>
      <c r="T211" s="23"/>
      <c r="U211" s="23" t="s">
        <v>2118</v>
      </c>
      <c r="V211" s="23"/>
      <c r="W211" s="23">
        <v>46196</v>
      </c>
      <c r="X211" s="23"/>
      <c r="Y211" s="23"/>
    </row>
    <row r="212" spans="1:25">
      <c r="A212" s="23" t="s">
        <v>1932</v>
      </c>
      <c r="B212" s="23">
        <v>52</v>
      </c>
      <c r="C212" s="23" t="s">
        <v>164</v>
      </c>
      <c r="D212" s="23" t="s">
        <v>380</v>
      </c>
      <c r="E212" s="23" t="s">
        <v>184</v>
      </c>
      <c r="F212" s="23" t="s">
        <v>471</v>
      </c>
      <c r="G212" s="23" t="s">
        <v>246</v>
      </c>
      <c r="H212" s="23" t="s">
        <v>2202</v>
      </c>
      <c r="I212" s="23">
        <v>43642</v>
      </c>
      <c r="J212" s="23" t="s">
        <v>2027</v>
      </c>
      <c r="K212" s="23" t="s">
        <v>2199</v>
      </c>
      <c r="L212" s="23" t="s">
        <v>473</v>
      </c>
      <c r="M212" s="23">
        <v>68715</v>
      </c>
      <c r="N212" s="23">
        <v>46741.7</v>
      </c>
      <c r="O212" s="23"/>
      <c r="P212" s="23" t="s">
        <v>2741</v>
      </c>
      <c r="Q212" s="23" t="s">
        <v>2120</v>
      </c>
      <c r="R212" s="23"/>
      <c r="S212" s="23"/>
      <c r="T212" s="23"/>
      <c r="U212" s="23" t="s">
        <v>2118</v>
      </c>
      <c r="V212" s="23"/>
      <c r="W212" s="23">
        <v>46055</v>
      </c>
      <c r="X212" s="23"/>
      <c r="Y212" s="23"/>
    </row>
    <row r="213" spans="1:25">
      <c r="A213" s="23" t="s">
        <v>1932</v>
      </c>
      <c r="B213" s="23">
        <v>53</v>
      </c>
      <c r="C213" s="23" t="s">
        <v>164</v>
      </c>
      <c r="D213" s="23" t="s">
        <v>380</v>
      </c>
      <c r="E213" s="23" t="s">
        <v>478</v>
      </c>
      <c r="F213" s="23" t="s">
        <v>477</v>
      </c>
      <c r="G213" s="23" t="s">
        <v>246</v>
      </c>
      <c r="H213" s="23" t="s">
        <v>2206</v>
      </c>
      <c r="I213" s="23">
        <v>2018</v>
      </c>
      <c r="J213" s="23" t="s">
        <v>2027</v>
      </c>
      <c r="K213" s="23" t="s">
        <v>2203</v>
      </c>
      <c r="L213" s="23" t="s">
        <v>479</v>
      </c>
      <c r="M213" s="23">
        <v>35382.160000000003</v>
      </c>
      <c r="N213" s="23">
        <v>15869.76</v>
      </c>
      <c r="O213" s="23"/>
      <c r="P213" s="23" t="s">
        <v>2151</v>
      </c>
      <c r="Q213" s="23" t="s">
        <v>2120</v>
      </c>
      <c r="R213" s="23"/>
      <c r="S213" s="23"/>
      <c r="T213" s="23"/>
      <c r="U213" s="23" t="s">
        <v>2118</v>
      </c>
      <c r="V213" s="23"/>
      <c r="W213" s="23">
        <v>46055</v>
      </c>
      <c r="X213" s="23"/>
      <c r="Y213" s="23"/>
    </row>
    <row r="214" spans="1:25">
      <c r="A214" s="23" t="s">
        <v>1932</v>
      </c>
      <c r="B214" s="23">
        <v>54</v>
      </c>
      <c r="C214" s="23" t="s">
        <v>164</v>
      </c>
      <c r="D214" s="23" t="s">
        <v>380</v>
      </c>
      <c r="E214" s="23" t="s">
        <v>184</v>
      </c>
      <c r="F214" s="23" t="s">
        <v>482</v>
      </c>
      <c r="G214" s="23" t="s">
        <v>246</v>
      </c>
      <c r="H214" s="23" t="s">
        <v>2211</v>
      </c>
      <c r="I214" s="23">
        <v>2018</v>
      </c>
      <c r="J214" s="23" t="s">
        <v>2027</v>
      </c>
      <c r="K214" s="23" t="s">
        <v>2209</v>
      </c>
      <c r="L214" s="23" t="s">
        <v>483</v>
      </c>
      <c r="M214" s="23">
        <v>119383.18</v>
      </c>
      <c r="N214" s="23">
        <v>108062.21</v>
      </c>
      <c r="O214" s="23"/>
      <c r="P214" s="23" t="s">
        <v>2742</v>
      </c>
      <c r="Q214" s="23" t="s">
        <v>2120</v>
      </c>
      <c r="R214" s="23"/>
      <c r="S214" s="23"/>
      <c r="T214" s="23"/>
      <c r="U214" s="23" t="s">
        <v>2064</v>
      </c>
      <c r="V214" s="23"/>
      <c r="W214" s="23">
        <v>46055</v>
      </c>
      <c r="X214" s="23"/>
      <c r="Y214" s="23"/>
    </row>
    <row r="215" spans="1:25">
      <c r="A215" s="23" t="s">
        <v>1932</v>
      </c>
      <c r="B215" s="23">
        <v>55</v>
      </c>
      <c r="C215" s="23" t="s">
        <v>164</v>
      </c>
      <c r="D215" s="23" t="s">
        <v>246</v>
      </c>
      <c r="E215" s="23" t="s">
        <v>489</v>
      </c>
      <c r="F215" s="23" t="s">
        <v>488</v>
      </c>
      <c r="G215" s="23" t="s">
        <v>246</v>
      </c>
      <c r="H215" s="23" t="s">
        <v>2216</v>
      </c>
      <c r="I215" s="23">
        <v>2019</v>
      </c>
      <c r="J215" s="23" t="s">
        <v>2027</v>
      </c>
      <c r="K215" s="23" t="s">
        <v>2213</v>
      </c>
      <c r="L215" s="23" t="s">
        <v>492</v>
      </c>
      <c r="M215" s="23">
        <v>10739.7</v>
      </c>
      <c r="N215" s="23">
        <v>14562.89</v>
      </c>
      <c r="O215" s="23"/>
      <c r="P215" s="23" t="s">
        <v>2743</v>
      </c>
      <c r="Q215" s="23"/>
      <c r="R215" s="23"/>
      <c r="S215" s="23"/>
      <c r="T215" s="23"/>
      <c r="U215" s="23" t="s">
        <v>2064</v>
      </c>
      <c r="V215" s="23"/>
      <c r="W215" s="23">
        <v>46052</v>
      </c>
      <c r="X215" s="23"/>
      <c r="Y215" s="23"/>
    </row>
    <row r="216" spans="1:25">
      <c r="A216" s="23" t="s">
        <v>1932</v>
      </c>
      <c r="B216" s="23">
        <v>56</v>
      </c>
      <c r="C216" s="23" t="s">
        <v>164</v>
      </c>
      <c r="D216" s="23"/>
      <c r="E216" s="23" t="s">
        <v>433</v>
      </c>
      <c r="F216" s="23" t="s">
        <v>496</v>
      </c>
      <c r="G216" s="23" t="s">
        <v>246</v>
      </c>
      <c r="H216" s="23" t="s">
        <v>2220</v>
      </c>
      <c r="I216" s="23">
        <v>2019</v>
      </c>
      <c r="J216" s="23" t="s">
        <v>2027</v>
      </c>
      <c r="K216" s="23" t="s">
        <v>2217</v>
      </c>
      <c r="L216" s="23" t="s">
        <v>497</v>
      </c>
      <c r="M216" s="23">
        <v>65000</v>
      </c>
      <c r="N216" s="23">
        <v>66655.64</v>
      </c>
      <c r="O216" s="23"/>
      <c r="P216" s="23" t="s">
        <v>2735</v>
      </c>
      <c r="Q216" s="23"/>
      <c r="R216" s="23"/>
      <c r="S216" s="23"/>
      <c r="T216" s="23"/>
      <c r="U216" s="23" t="s">
        <v>2118</v>
      </c>
      <c r="V216" s="23"/>
      <c r="W216" s="23">
        <v>46031</v>
      </c>
      <c r="X216" s="23"/>
      <c r="Y216" s="23"/>
    </row>
    <row r="217" spans="1:25">
      <c r="A217" s="23" t="s">
        <v>1932</v>
      </c>
      <c r="B217" s="23">
        <v>57</v>
      </c>
      <c r="C217" s="23" t="s">
        <v>164</v>
      </c>
      <c r="D217" s="23" t="s">
        <v>246</v>
      </c>
      <c r="E217" s="23" t="s">
        <v>502</v>
      </c>
      <c r="F217" s="23" t="s">
        <v>501</v>
      </c>
      <c r="G217" s="23" t="s">
        <v>246</v>
      </c>
      <c r="H217" s="23" t="s">
        <v>2226</v>
      </c>
      <c r="I217" s="23">
        <v>2022</v>
      </c>
      <c r="J217" s="23" t="s">
        <v>2027</v>
      </c>
      <c r="K217" s="23" t="s">
        <v>2744</v>
      </c>
      <c r="L217" s="23" t="s">
        <v>504</v>
      </c>
      <c r="M217" s="23">
        <v>32384.49</v>
      </c>
      <c r="N217" s="23">
        <v>55065.86</v>
      </c>
      <c r="O217" s="23"/>
      <c r="P217" s="23" t="s">
        <v>2221</v>
      </c>
      <c r="Q217" s="23"/>
      <c r="R217" s="23"/>
      <c r="S217" s="23"/>
      <c r="T217" s="23"/>
      <c r="U217" s="23" t="s">
        <v>2064</v>
      </c>
      <c r="V217" s="23"/>
      <c r="W217" s="23">
        <v>46075</v>
      </c>
      <c r="X217" s="23"/>
      <c r="Y217" s="23"/>
    </row>
    <row r="218" spans="1:25">
      <c r="A218" s="23" t="s">
        <v>1932</v>
      </c>
      <c r="B218" s="23">
        <v>58</v>
      </c>
      <c r="C218" s="23" t="s">
        <v>164</v>
      </c>
      <c r="D218" s="23" t="s">
        <v>246</v>
      </c>
      <c r="E218" s="23" t="s">
        <v>509</v>
      </c>
      <c r="F218" s="23" t="s">
        <v>508</v>
      </c>
      <c r="G218" s="23" t="s">
        <v>246</v>
      </c>
      <c r="H218" s="23" t="s">
        <v>2229</v>
      </c>
      <c r="I218" s="23">
        <v>2022</v>
      </c>
      <c r="J218" s="23" t="s">
        <v>2027</v>
      </c>
      <c r="K218" s="23" t="s">
        <v>2227</v>
      </c>
      <c r="L218" s="23" t="s">
        <v>510</v>
      </c>
      <c r="M218" s="23" t="s">
        <v>2745</v>
      </c>
      <c r="N218" s="23">
        <v>139191.76999999999</v>
      </c>
      <c r="O218" s="23"/>
      <c r="P218" s="23" t="s">
        <v>2221</v>
      </c>
      <c r="Q218" s="23"/>
      <c r="R218" s="23"/>
      <c r="S218" s="23"/>
      <c r="T218" s="23"/>
      <c r="U218" s="23" t="s">
        <v>2064</v>
      </c>
      <c r="V218" s="23"/>
      <c r="W218" s="23">
        <v>46094</v>
      </c>
      <c r="X218" s="23"/>
      <c r="Y218" s="23"/>
    </row>
    <row r="219" spans="1:25">
      <c r="A219" s="23" t="s">
        <v>1932</v>
      </c>
      <c r="B219" s="23">
        <v>59</v>
      </c>
      <c r="C219" s="23" t="s">
        <v>164</v>
      </c>
      <c r="D219" s="23" t="s">
        <v>246</v>
      </c>
      <c r="E219" s="23" t="s">
        <v>515</v>
      </c>
      <c r="F219" s="23" t="s">
        <v>514</v>
      </c>
      <c r="G219" s="23" t="s">
        <v>246</v>
      </c>
      <c r="H219" s="23" t="s">
        <v>2234</v>
      </c>
      <c r="I219" s="23">
        <v>2022</v>
      </c>
      <c r="J219" s="23" t="s">
        <v>2027</v>
      </c>
      <c r="K219" s="23" t="s">
        <v>2231</v>
      </c>
      <c r="L219" s="23" t="s">
        <v>517</v>
      </c>
      <c r="M219" s="23">
        <v>18421.18</v>
      </c>
      <c r="N219" s="23">
        <v>8806.6200000000008</v>
      </c>
      <c r="O219" s="23"/>
      <c r="P219" s="23" t="s">
        <v>2221</v>
      </c>
      <c r="Q219" s="23"/>
      <c r="R219" s="23"/>
      <c r="S219" s="23"/>
      <c r="T219" s="23"/>
      <c r="U219" s="23" t="s">
        <v>2077</v>
      </c>
      <c r="V219" s="23"/>
      <c r="W219" s="23">
        <v>45653</v>
      </c>
      <c r="X219" s="23"/>
      <c r="Y219" s="23"/>
    </row>
    <row r="220" spans="1:25">
      <c r="A220" s="23" t="s">
        <v>1932</v>
      </c>
      <c r="B220" s="23">
        <v>60</v>
      </c>
      <c r="C220" s="23" t="s">
        <v>164</v>
      </c>
      <c r="D220" s="23" t="s">
        <v>246</v>
      </c>
      <c r="E220" s="23" t="s">
        <v>522</v>
      </c>
      <c r="F220" s="23" t="s">
        <v>521</v>
      </c>
      <c r="G220" s="23" t="s">
        <v>246</v>
      </c>
      <c r="H220" s="23" t="s">
        <v>2238</v>
      </c>
      <c r="I220" s="23">
        <v>2021</v>
      </c>
      <c r="J220" s="23" t="s">
        <v>2027</v>
      </c>
      <c r="K220" s="23" t="s">
        <v>2235</v>
      </c>
      <c r="L220" s="23" t="s">
        <v>523</v>
      </c>
      <c r="M220" s="23">
        <v>32021.55</v>
      </c>
      <c r="N220" s="23">
        <v>38153.980000000003</v>
      </c>
      <c r="O220" s="23"/>
      <c r="P220" s="23" t="s">
        <v>2221</v>
      </c>
      <c r="Q220" s="23"/>
      <c r="R220" s="23"/>
      <c r="S220" s="23"/>
      <c r="T220" s="23"/>
      <c r="U220" s="23" t="s">
        <v>2064</v>
      </c>
      <c r="V220" s="23"/>
      <c r="W220" s="23">
        <v>46084</v>
      </c>
      <c r="X220" s="23"/>
      <c r="Y220" s="23"/>
    </row>
    <row r="221" spans="1:25">
      <c r="A221" s="23" t="s">
        <v>1932</v>
      </c>
      <c r="B221" s="23">
        <v>61</v>
      </c>
      <c r="C221" s="23" t="s">
        <v>164</v>
      </c>
      <c r="D221" s="23"/>
      <c r="E221" s="23" t="s">
        <v>528</v>
      </c>
      <c r="F221" s="23" t="s">
        <v>527</v>
      </c>
      <c r="G221" s="23" t="s">
        <v>246</v>
      </c>
      <c r="H221" s="23" t="s">
        <v>2243</v>
      </c>
      <c r="I221" s="23">
        <v>2019</v>
      </c>
      <c r="J221" s="23" t="s">
        <v>2027</v>
      </c>
      <c r="K221" s="23" t="s">
        <v>2240</v>
      </c>
      <c r="L221" s="23"/>
      <c r="M221" s="23">
        <v>38850.050000000003</v>
      </c>
      <c r="N221" s="23">
        <v>32320.18</v>
      </c>
      <c r="O221" s="23"/>
      <c r="P221" s="23" t="s">
        <v>2746</v>
      </c>
      <c r="Q221" s="23"/>
      <c r="R221" s="23"/>
      <c r="S221" s="23"/>
      <c r="T221" s="23"/>
      <c r="U221" s="23" t="s">
        <v>1940</v>
      </c>
      <c r="V221" s="23"/>
      <c r="W221" s="23">
        <v>46049</v>
      </c>
      <c r="X221" s="23"/>
      <c r="Y221" s="23"/>
    </row>
    <row r="222" spans="1:25">
      <c r="A222" s="23" t="s">
        <v>1932</v>
      </c>
      <c r="B222" s="23">
        <v>62</v>
      </c>
      <c r="C222" s="23" t="s">
        <v>164</v>
      </c>
      <c r="D222" s="23" t="s">
        <v>380</v>
      </c>
      <c r="E222" s="23" t="s">
        <v>534</v>
      </c>
      <c r="F222" s="23" t="s">
        <v>533</v>
      </c>
      <c r="G222" s="23" t="s">
        <v>246</v>
      </c>
      <c r="H222" s="23" t="s">
        <v>2247</v>
      </c>
      <c r="I222" s="23">
        <v>2018</v>
      </c>
      <c r="J222" s="23" t="s">
        <v>2027</v>
      </c>
      <c r="K222" s="23" t="s">
        <v>2244</v>
      </c>
      <c r="L222" s="23" t="s">
        <v>535</v>
      </c>
      <c r="M222" s="23">
        <v>29289.47</v>
      </c>
      <c r="N222" s="23" t="s">
        <v>2747</v>
      </c>
      <c r="O222" s="23" t="s">
        <v>2748</v>
      </c>
      <c r="P222" s="23" t="s">
        <v>2151</v>
      </c>
      <c r="Q222" s="23" t="s">
        <v>2120</v>
      </c>
      <c r="R222" s="23"/>
      <c r="S222" s="23"/>
      <c r="T222" s="23"/>
      <c r="U222" s="23" t="s">
        <v>2064</v>
      </c>
      <c r="V222" s="23"/>
      <c r="W222" s="23">
        <v>46267</v>
      </c>
      <c r="X222" s="23"/>
      <c r="Y222" s="23"/>
    </row>
    <row r="223" spans="1:25">
      <c r="A223" s="23" t="s">
        <v>1932</v>
      </c>
      <c r="B223" s="23">
        <v>63</v>
      </c>
      <c r="C223" s="23" t="s">
        <v>164</v>
      </c>
      <c r="D223" s="23"/>
      <c r="E223" s="23" t="s">
        <v>540</v>
      </c>
      <c r="F223" s="23" t="s">
        <v>539</v>
      </c>
      <c r="G223" s="23" t="s">
        <v>246</v>
      </c>
      <c r="H223" s="23" t="s">
        <v>2252</v>
      </c>
      <c r="I223" s="23">
        <v>2022</v>
      </c>
      <c r="J223" s="23" t="s">
        <v>2027</v>
      </c>
      <c r="K223" s="23" t="s">
        <v>2250</v>
      </c>
      <c r="L223" s="23"/>
      <c r="M223" s="23">
        <v>261849.65</v>
      </c>
      <c r="N223" s="23" t="s">
        <v>2749</v>
      </c>
      <c r="O223" s="23"/>
      <c r="P223" s="23" t="s">
        <v>2750</v>
      </c>
      <c r="Q223" s="23"/>
      <c r="R223" s="23"/>
      <c r="S223" s="23"/>
      <c r="T223" s="23"/>
      <c r="U223" s="23" t="s">
        <v>1940</v>
      </c>
      <c r="V223" s="23"/>
      <c r="W223" s="23">
        <v>45512</v>
      </c>
      <c r="X223" s="23"/>
      <c r="Y223" s="23"/>
    </row>
    <row r="224" spans="1:25">
      <c r="A224" s="23" t="s">
        <v>1932</v>
      </c>
      <c r="B224" s="23">
        <v>64</v>
      </c>
      <c r="C224" s="23" t="s">
        <v>238</v>
      </c>
      <c r="D224" s="23" t="s">
        <v>246</v>
      </c>
      <c r="E224" s="23" t="s">
        <v>547</v>
      </c>
      <c r="F224" s="23" t="s">
        <v>546</v>
      </c>
      <c r="G224" s="23" t="s">
        <v>246</v>
      </c>
      <c r="H224" s="23" t="s">
        <v>545</v>
      </c>
      <c r="I224" s="23">
        <v>45847</v>
      </c>
      <c r="J224" s="23" t="s">
        <v>2027</v>
      </c>
      <c r="K224" s="23" t="s">
        <v>2751</v>
      </c>
      <c r="L224" s="23" t="s">
        <v>2752</v>
      </c>
      <c r="M224" s="23">
        <v>13113.48</v>
      </c>
      <c r="N224" s="23">
        <v>13113.48</v>
      </c>
      <c r="O224" s="23"/>
      <c r="P224" s="23" t="s">
        <v>163</v>
      </c>
      <c r="Q224" s="23" t="s">
        <v>2066</v>
      </c>
      <c r="R224" s="23"/>
      <c r="S224" s="23"/>
      <c r="T224" s="23"/>
      <c r="U224" s="23" t="s">
        <v>2064</v>
      </c>
      <c r="V224" s="23"/>
      <c r="W224" s="23">
        <v>46052</v>
      </c>
      <c r="X224" s="23"/>
      <c r="Y224" s="23"/>
    </row>
    <row r="225" spans="1:25">
      <c r="A225" s="23" t="s">
        <v>1932</v>
      </c>
      <c r="B225" s="23">
        <v>65</v>
      </c>
      <c r="C225" s="23" t="s">
        <v>164</v>
      </c>
      <c r="D225" s="23" t="s">
        <v>380</v>
      </c>
      <c r="E225" s="23" t="s">
        <v>553</v>
      </c>
      <c r="F225" s="23" t="s">
        <v>552</v>
      </c>
      <c r="G225" s="23" t="s">
        <v>246</v>
      </c>
      <c r="H225" s="23" t="s">
        <v>2263</v>
      </c>
      <c r="I225" s="23">
        <v>2019</v>
      </c>
      <c r="J225" s="23" t="s">
        <v>2262</v>
      </c>
      <c r="K225" s="23" t="s">
        <v>2259</v>
      </c>
      <c r="L225" s="23" t="s">
        <v>555</v>
      </c>
      <c r="M225" s="23">
        <v>80298.47</v>
      </c>
      <c r="N225" s="23">
        <v>56288.38</v>
      </c>
      <c r="O225" s="23"/>
      <c r="P225" s="23" t="s">
        <v>2753</v>
      </c>
      <c r="Q225" s="23" t="s">
        <v>2120</v>
      </c>
      <c r="R225" s="23"/>
      <c r="S225" s="23"/>
      <c r="T225" s="23"/>
      <c r="U225" s="23" t="s">
        <v>2118</v>
      </c>
      <c r="V225" s="23"/>
      <c r="W225" s="23">
        <v>46055</v>
      </c>
      <c r="X225" s="23"/>
      <c r="Y225" s="23"/>
    </row>
    <row r="226" spans="1:25">
      <c r="A226" s="23" t="s">
        <v>1932</v>
      </c>
      <c r="B226" s="23">
        <v>66</v>
      </c>
      <c r="C226" s="23" t="s">
        <v>238</v>
      </c>
      <c r="D226" s="23"/>
      <c r="E226" s="23" t="s">
        <v>240</v>
      </c>
      <c r="F226" s="23" t="s">
        <v>559</v>
      </c>
      <c r="G226" s="23" t="s">
        <v>246</v>
      </c>
      <c r="H226" s="23" t="s">
        <v>2267</v>
      </c>
      <c r="I226" s="23">
        <v>2018</v>
      </c>
      <c r="J226" s="23" t="s">
        <v>2266</v>
      </c>
      <c r="K226" s="23" t="s">
        <v>2264</v>
      </c>
      <c r="L226" s="23" t="s">
        <v>561</v>
      </c>
      <c r="M226" s="23">
        <v>293379.51</v>
      </c>
      <c r="N226" s="23"/>
      <c r="O226" s="23" t="s">
        <v>246</v>
      </c>
      <c r="P226" s="23" t="s">
        <v>163</v>
      </c>
      <c r="Q226" s="23"/>
      <c r="R226" s="23"/>
      <c r="S226" s="23"/>
      <c r="T226" s="23"/>
      <c r="U226" s="23" t="s">
        <v>2064</v>
      </c>
      <c r="V226" s="23"/>
      <c r="W226" s="23">
        <v>45548</v>
      </c>
      <c r="X226" s="23"/>
      <c r="Y226" s="23"/>
    </row>
    <row r="227" spans="1:25">
      <c r="A227" s="23" t="s">
        <v>1932</v>
      </c>
      <c r="B227" s="23">
        <v>67</v>
      </c>
      <c r="C227" s="23" t="s">
        <v>164</v>
      </c>
      <c r="D227" s="23" t="s">
        <v>380</v>
      </c>
      <c r="E227" s="23" t="s">
        <v>565</v>
      </c>
      <c r="F227" s="23" t="s">
        <v>552</v>
      </c>
      <c r="G227" s="23" t="s">
        <v>246</v>
      </c>
      <c r="H227" s="23" t="s">
        <v>2273</v>
      </c>
      <c r="I227" s="23">
        <v>2021</v>
      </c>
      <c r="J227" s="23" t="s">
        <v>2272</v>
      </c>
      <c r="K227" s="23" t="s">
        <v>2268</v>
      </c>
      <c r="L227" s="23" t="s">
        <v>566</v>
      </c>
      <c r="M227" s="23" t="s">
        <v>2754</v>
      </c>
      <c r="N227" s="23">
        <v>58967.42</v>
      </c>
      <c r="O227" s="23" t="s">
        <v>246</v>
      </c>
      <c r="P227" s="23" t="s">
        <v>2753</v>
      </c>
      <c r="Q227" s="23" t="s">
        <v>2120</v>
      </c>
      <c r="R227" s="23"/>
      <c r="S227" s="23"/>
      <c r="T227" s="23"/>
      <c r="U227" s="23" t="s">
        <v>2118</v>
      </c>
      <c r="V227" s="23"/>
      <c r="W227" s="23">
        <v>46079</v>
      </c>
      <c r="X227" s="23"/>
      <c r="Y227" s="23"/>
    </row>
    <row r="228" spans="1:25">
      <c r="A228" s="23" t="s">
        <v>1932</v>
      </c>
      <c r="B228" s="23">
        <v>68</v>
      </c>
      <c r="C228" s="23" t="s">
        <v>164</v>
      </c>
      <c r="D228" s="23"/>
      <c r="E228" s="23" t="s">
        <v>240</v>
      </c>
      <c r="F228" s="23" t="s">
        <v>539</v>
      </c>
      <c r="G228" s="23" t="s">
        <v>246</v>
      </c>
      <c r="H228" s="23" t="s">
        <v>2279</v>
      </c>
      <c r="I228" s="23">
        <v>43774</v>
      </c>
      <c r="J228" s="23" t="s">
        <v>2278</v>
      </c>
      <c r="K228" s="23" t="s">
        <v>2276</v>
      </c>
      <c r="L228" s="23" t="s">
        <v>571</v>
      </c>
      <c r="M228" s="23" t="s">
        <v>2755</v>
      </c>
      <c r="N228" s="23" t="s">
        <v>246</v>
      </c>
      <c r="O228" s="23" t="s">
        <v>246</v>
      </c>
      <c r="P228" s="23" t="s">
        <v>163</v>
      </c>
      <c r="Q228" s="23"/>
      <c r="R228" s="23"/>
      <c r="S228" s="23"/>
      <c r="T228" s="23"/>
      <c r="U228" s="23" t="s">
        <v>1940</v>
      </c>
      <c r="V228" s="23"/>
      <c r="W228" s="23">
        <v>45512</v>
      </c>
      <c r="X228" s="23"/>
      <c r="Y228" s="23"/>
    </row>
    <row r="229" spans="1:25">
      <c r="A229" s="23" t="s">
        <v>1932</v>
      </c>
      <c r="B229" s="23">
        <v>69</v>
      </c>
      <c r="C229" s="23" t="s">
        <v>238</v>
      </c>
      <c r="D229" s="23" t="s">
        <v>582</v>
      </c>
      <c r="E229" s="23" t="s">
        <v>2756</v>
      </c>
      <c r="F229" s="23" t="s">
        <v>575</v>
      </c>
      <c r="G229" s="23" t="s">
        <v>246</v>
      </c>
      <c r="H229" s="23" t="s">
        <v>2284</v>
      </c>
      <c r="I229" s="23">
        <v>2018</v>
      </c>
      <c r="J229" s="23" t="s">
        <v>2278</v>
      </c>
      <c r="K229" s="23" t="s">
        <v>2757</v>
      </c>
      <c r="L229" s="23" t="s">
        <v>2758</v>
      </c>
      <c r="M229" s="23">
        <v>79000</v>
      </c>
      <c r="N229" s="23"/>
      <c r="O229" s="23" t="s">
        <v>246</v>
      </c>
      <c r="P229" s="23" t="s">
        <v>163</v>
      </c>
      <c r="Q229" s="23" t="s">
        <v>2037</v>
      </c>
      <c r="R229" s="23"/>
      <c r="S229" s="23"/>
      <c r="T229" s="23"/>
      <c r="U229" s="23" t="s">
        <v>2064</v>
      </c>
      <c r="V229" s="23"/>
      <c r="W229" s="23">
        <v>46052</v>
      </c>
      <c r="X229" s="23"/>
      <c r="Y229" s="23"/>
    </row>
    <row r="230" spans="1:25">
      <c r="A230" s="23" t="s">
        <v>1932</v>
      </c>
      <c r="B230" s="23">
        <v>70</v>
      </c>
      <c r="C230" s="23" t="s">
        <v>2288</v>
      </c>
      <c r="D230" s="23"/>
      <c r="E230" s="23" t="s">
        <v>166</v>
      </c>
      <c r="F230" s="23" t="s">
        <v>585</v>
      </c>
      <c r="G230" s="23" t="s">
        <v>246</v>
      </c>
      <c r="H230" s="23" t="s">
        <v>2290</v>
      </c>
      <c r="I230" s="23">
        <v>41367</v>
      </c>
      <c r="J230" s="23" t="s">
        <v>2289</v>
      </c>
      <c r="K230" s="23" t="s">
        <v>1484</v>
      </c>
      <c r="L230" s="23" t="s">
        <v>587</v>
      </c>
      <c r="M230" s="23">
        <v>30000</v>
      </c>
      <c r="N230" s="23"/>
      <c r="O230" s="23"/>
      <c r="P230" s="23" t="s">
        <v>2286</v>
      </c>
      <c r="Q230" s="23"/>
      <c r="R230" s="23"/>
      <c r="S230" s="23"/>
      <c r="T230" s="23"/>
      <c r="U230" s="23" t="s">
        <v>1940</v>
      </c>
      <c r="V230" s="23"/>
      <c r="W230" s="23">
        <v>45512</v>
      </c>
      <c r="X230" s="23"/>
      <c r="Y230" s="23"/>
    </row>
    <row r="231" spans="1:25">
      <c r="A231" s="23" t="s">
        <v>1932</v>
      </c>
      <c r="B231" s="23">
        <v>71</v>
      </c>
      <c r="C231" s="23" t="s">
        <v>2288</v>
      </c>
      <c r="D231" s="23"/>
      <c r="E231" s="23" t="s">
        <v>166</v>
      </c>
      <c r="F231" s="23" t="s">
        <v>591</v>
      </c>
      <c r="G231" s="23" t="s">
        <v>246</v>
      </c>
      <c r="H231" s="23" t="s">
        <v>2295</v>
      </c>
      <c r="I231" s="23">
        <v>44505</v>
      </c>
      <c r="J231" s="23" t="s">
        <v>2289</v>
      </c>
      <c r="K231" s="23" t="s">
        <v>2293</v>
      </c>
      <c r="L231" s="23" t="s">
        <v>594</v>
      </c>
      <c r="M231" s="23" t="s">
        <v>2759</v>
      </c>
      <c r="N231" s="23"/>
      <c r="O231" s="23"/>
      <c r="P231" s="23" t="s">
        <v>2292</v>
      </c>
      <c r="Q231" s="23"/>
      <c r="R231" s="23"/>
      <c r="S231" s="23"/>
      <c r="T231" s="23"/>
      <c r="U231" s="23" t="s">
        <v>1940</v>
      </c>
      <c r="V231" s="23"/>
      <c r="W231" s="23">
        <v>46073</v>
      </c>
      <c r="X231" s="23"/>
      <c r="Y231" s="23"/>
    </row>
    <row r="232" spans="1:25">
      <c r="A232" s="23" t="s">
        <v>1932</v>
      </c>
      <c r="B232" s="23">
        <v>72</v>
      </c>
      <c r="C232" s="23" t="s">
        <v>2300</v>
      </c>
      <c r="D232" s="23"/>
      <c r="E232" s="23" t="s">
        <v>166</v>
      </c>
      <c r="F232" s="23" t="s">
        <v>599</v>
      </c>
      <c r="G232" s="23" t="s">
        <v>246</v>
      </c>
      <c r="H232" s="23" t="s">
        <v>597</v>
      </c>
      <c r="I232" s="23">
        <v>43599</v>
      </c>
      <c r="J232" s="23" t="s">
        <v>2301</v>
      </c>
      <c r="K232" s="23" t="s">
        <v>2760</v>
      </c>
      <c r="L232" s="23" t="s">
        <v>600</v>
      </c>
      <c r="M232" s="23" t="s">
        <v>2761</v>
      </c>
      <c r="N232" s="23"/>
      <c r="O232" s="23"/>
      <c r="P232" s="23" t="s">
        <v>2292</v>
      </c>
      <c r="Q232" s="23"/>
      <c r="R232" s="23"/>
      <c r="S232" s="23"/>
      <c r="T232" s="23"/>
      <c r="U232" s="23" t="s">
        <v>1940</v>
      </c>
      <c r="V232" s="23"/>
      <c r="W232" s="23">
        <v>46055</v>
      </c>
      <c r="X232" s="23"/>
      <c r="Y232" s="23"/>
    </row>
    <row r="233" spans="1:25">
      <c r="A233" s="23" t="s">
        <v>1932</v>
      </c>
      <c r="B233" s="23">
        <v>73</v>
      </c>
      <c r="C233" s="23" t="s">
        <v>2300</v>
      </c>
      <c r="D233" s="23"/>
      <c r="E233" s="23" t="s">
        <v>604</v>
      </c>
      <c r="F233" s="23" t="s">
        <v>599</v>
      </c>
      <c r="G233" s="23" t="s">
        <v>246</v>
      </c>
      <c r="H233" s="23" t="s">
        <v>603</v>
      </c>
      <c r="I233" s="23">
        <v>43587</v>
      </c>
      <c r="J233" s="23" t="s">
        <v>2301</v>
      </c>
      <c r="K233" s="23" t="s">
        <v>1493</v>
      </c>
      <c r="L233" s="23" t="s">
        <v>605</v>
      </c>
      <c r="M233" s="23" t="s">
        <v>2762</v>
      </c>
      <c r="N233" s="23" t="s">
        <v>246</v>
      </c>
      <c r="O233" s="23" t="s">
        <v>246</v>
      </c>
      <c r="P233" s="23" t="s">
        <v>2292</v>
      </c>
      <c r="Q233" s="23" t="s">
        <v>2037</v>
      </c>
      <c r="R233" s="23"/>
      <c r="S233" s="23"/>
      <c r="T233" s="23"/>
      <c r="U233" s="23" t="s">
        <v>2064</v>
      </c>
      <c r="V233" s="23"/>
      <c r="W233" s="23">
        <v>46044</v>
      </c>
      <c r="X233" s="23"/>
      <c r="Y233" s="23"/>
    </row>
    <row r="234" spans="1:25">
      <c r="A234" s="23" t="s">
        <v>1932</v>
      </c>
      <c r="B234" s="23">
        <v>74</v>
      </c>
      <c r="C234" s="23" t="s">
        <v>238</v>
      </c>
      <c r="D234" s="23"/>
      <c r="E234" s="23" t="s">
        <v>611</v>
      </c>
      <c r="F234" s="23" t="s">
        <v>610</v>
      </c>
      <c r="G234" s="23" t="s">
        <v>246</v>
      </c>
      <c r="H234" s="23" t="s">
        <v>2312</v>
      </c>
      <c r="I234" s="23">
        <v>43604</v>
      </c>
      <c r="J234" s="23" t="s">
        <v>2301</v>
      </c>
      <c r="K234" s="23" t="s">
        <v>2309</v>
      </c>
      <c r="L234" s="23" t="s">
        <v>612</v>
      </c>
      <c r="M234" s="23">
        <v>1501326.27</v>
      </c>
      <c r="N234" s="23"/>
      <c r="O234" s="23" t="s">
        <v>246</v>
      </c>
      <c r="P234" s="23" t="s">
        <v>163</v>
      </c>
      <c r="Q234" s="23"/>
      <c r="R234" s="23"/>
      <c r="S234" s="23"/>
      <c r="T234" s="23"/>
      <c r="U234" s="23" t="s">
        <v>2064</v>
      </c>
      <c r="V234" s="23"/>
      <c r="W234" s="23">
        <v>45930</v>
      </c>
      <c r="X234" s="23"/>
      <c r="Y234" s="23"/>
    </row>
    <row r="235" spans="1:25">
      <c r="A235" s="23" t="s">
        <v>1932</v>
      </c>
      <c r="B235" s="23">
        <v>75</v>
      </c>
      <c r="C235" s="23" t="s">
        <v>238</v>
      </c>
      <c r="D235" s="23" t="s">
        <v>246</v>
      </c>
      <c r="E235" s="23" t="s">
        <v>240</v>
      </c>
      <c r="F235" s="23" t="s">
        <v>616</v>
      </c>
      <c r="G235" s="23" t="s">
        <v>246</v>
      </c>
      <c r="H235" s="23" t="s">
        <v>2317</v>
      </c>
      <c r="I235" s="23">
        <v>2018</v>
      </c>
      <c r="J235" s="23" t="s">
        <v>2301</v>
      </c>
      <c r="K235" s="23" t="s">
        <v>2763</v>
      </c>
      <c r="L235" s="23" t="s">
        <v>618</v>
      </c>
      <c r="M235" s="23">
        <v>7714.47</v>
      </c>
      <c r="N235" s="23"/>
      <c r="O235" s="23" t="s">
        <v>246</v>
      </c>
      <c r="P235" s="23" t="s">
        <v>163</v>
      </c>
      <c r="Q235" s="23"/>
      <c r="R235" s="23"/>
      <c r="S235" s="23"/>
      <c r="T235" s="23"/>
      <c r="U235" s="23" t="s">
        <v>2064</v>
      </c>
      <c r="V235" s="23"/>
      <c r="W235" s="23">
        <v>46055</v>
      </c>
      <c r="X235" s="23"/>
      <c r="Y235" s="23"/>
    </row>
    <row r="236" spans="1:25">
      <c r="A236" s="23" t="s">
        <v>1932</v>
      </c>
      <c r="B236" s="23">
        <v>76</v>
      </c>
      <c r="C236" s="23" t="s">
        <v>238</v>
      </c>
      <c r="D236" s="23" t="s">
        <v>246</v>
      </c>
      <c r="E236" s="23" t="s">
        <v>240</v>
      </c>
      <c r="F236" s="23" t="s">
        <v>559</v>
      </c>
      <c r="G236" s="23" t="s">
        <v>246</v>
      </c>
      <c r="H236" s="23" t="s">
        <v>2764</v>
      </c>
      <c r="I236" s="23">
        <v>2020</v>
      </c>
      <c r="J236" s="23" t="s">
        <v>2301</v>
      </c>
      <c r="K236" s="23" t="s">
        <v>2765</v>
      </c>
      <c r="L236" s="23" t="s">
        <v>622</v>
      </c>
      <c r="M236" s="23">
        <v>122137.09</v>
      </c>
      <c r="N236" s="23"/>
      <c r="O236" s="23" t="s">
        <v>246</v>
      </c>
      <c r="P236" s="23" t="s">
        <v>163</v>
      </c>
      <c r="Q236" s="23"/>
      <c r="R236" s="23"/>
      <c r="S236" s="23"/>
      <c r="T236" s="23"/>
      <c r="U236" s="23" t="s">
        <v>2064</v>
      </c>
      <c r="V236" s="23"/>
      <c r="W236" s="23">
        <v>46055</v>
      </c>
      <c r="X236" s="23"/>
      <c r="Y236" s="23"/>
    </row>
    <row r="237" spans="1:25">
      <c r="A237" s="23" t="s">
        <v>1932</v>
      </c>
      <c r="B237" s="23">
        <v>77</v>
      </c>
      <c r="C237" s="23" t="s">
        <v>164</v>
      </c>
      <c r="D237" s="23" t="s">
        <v>632</v>
      </c>
      <c r="E237" s="23" t="s">
        <v>627</v>
      </c>
      <c r="F237" s="23" t="s">
        <v>626</v>
      </c>
      <c r="G237" s="23" t="s">
        <v>246</v>
      </c>
      <c r="H237" s="23" t="s">
        <v>2326</v>
      </c>
      <c r="I237" s="23">
        <v>2015</v>
      </c>
      <c r="J237" s="23" t="s">
        <v>2325</v>
      </c>
      <c r="K237" s="23" t="s">
        <v>2766</v>
      </c>
      <c r="L237" s="23" t="s">
        <v>629</v>
      </c>
      <c r="M237" s="23" t="s">
        <v>2767</v>
      </c>
      <c r="N237" s="23" t="s">
        <v>2768</v>
      </c>
      <c r="O237" s="23">
        <v>30643.82</v>
      </c>
      <c r="P237" s="23" t="s">
        <v>2321</v>
      </c>
      <c r="Q237" s="23" t="s">
        <v>2327</v>
      </c>
      <c r="R237" s="23"/>
      <c r="S237" s="23"/>
      <c r="T237" s="23"/>
      <c r="U237" s="23" t="s">
        <v>2064</v>
      </c>
      <c r="V237" s="23"/>
      <c r="W237" s="23">
        <v>46283</v>
      </c>
      <c r="X237" s="23"/>
      <c r="Y237" s="23"/>
    </row>
    <row r="238" spans="1:25">
      <c r="A238" s="23" t="s">
        <v>1932</v>
      </c>
      <c r="B238" s="23">
        <v>78</v>
      </c>
      <c r="C238" s="23" t="s">
        <v>164</v>
      </c>
      <c r="D238" s="23"/>
      <c r="E238" s="23" t="s">
        <v>269</v>
      </c>
      <c r="F238" s="23" t="s">
        <v>634</v>
      </c>
      <c r="G238" s="23" t="s">
        <v>246</v>
      </c>
      <c r="H238" s="23" t="s">
        <v>2332</v>
      </c>
      <c r="I238" s="23" t="s">
        <v>2769</v>
      </c>
      <c r="J238" s="23" t="s">
        <v>2331</v>
      </c>
      <c r="K238" s="23" t="s">
        <v>2770</v>
      </c>
      <c r="L238" s="23" t="s">
        <v>169</v>
      </c>
      <c r="M238" s="23" t="s">
        <v>2771</v>
      </c>
      <c r="N238" s="23" t="s">
        <v>246</v>
      </c>
      <c r="O238" s="23">
        <v>12296.38</v>
      </c>
      <c r="P238" s="23" t="s">
        <v>163</v>
      </c>
      <c r="Q238" s="23"/>
      <c r="R238" s="23"/>
      <c r="S238" s="23"/>
      <c r="T238" s="23"/>
      <c r="U238" s="23" t="s">
        <v>1940</v>
      </c>
      <c r="V238" s="23"/>
      <c r="W238" s="23">
        <v>46073</v>
      </c>
      <c r="X238" s="23"/>
      <c r="Y238" s="23"/>
    </row>
    <row r="239" spans="1:25">
      <c r="A239" s="23" t="s">
        <v>1932</v>
      </c>
      <c r="B239" s="23">
        <v>79</v>
      </c>
      <c r="C239" s="23" t="s">
        <v>238</v>
      </c>
      <c r="D239" s="23" t="s">
        <v>246</v>
      </c>
      <c r="E239" s="23" t="s">
        <v>166</v>
      </c>
      <c r="F239" s="23" t="s">
        <v>585</v>
      </c>
      <c r="G239" s="23" t="s">
        <v>246</v>
      </c>
      <c r="H239" s="23" t="s">
        <v>2337</v>
      </c>
      <c r="I239" s="23">
        <v>41898</v>
      </c>
      <c r="J239" s="23" t="s">
        <v>2331</v>
      </c>
      <c r="K239" s="23" t="s">
        <v>1511</v>
      </c>
      <c r="L239" s="23" t="s">
        <v>2772</v>
      </c>
      <c r="M239" s="23">
        <v>120000</v>
      </c>
      <c r="N239" s="23"/>
      <c r="O239" s="23" t="s">
        <v>246</v>
      </c>
      <c r="P239" s="23" t="s">
        <v>2773</v>
      </c>
      <c r="Q239" s="23" t="s">
        <v>2037</v>
      </c>
      <c r="R239" s="23"/>
      <c r="S239" s="23"/>
      <c r="T239" s="23"/>
      <c r="U239" s="23" t="s">
        <v>2077</v>
      </c>
      <c r="V239" s="23"/>
      <c r="W239" s="23">
        <v>46052</v>
      </c>
      <c r="X239" s="23"/>
      <c r="Y239" s="23"/>
    </row>
    <row r="240" spans="1:25">
      <c r="A240" s="23" t="s">
        <v>1932</v>
      </c>
      <c r="B240" s="23">
        <v>80</v>
      </c>
      <c r="C240" s="23" t="s">
        <v>2288</v>
      </c>
      <c r="D240" s="23" t="s">
        <v>246</v>
      </c>
      <c r="E240" s="23" t="s">
        <v>166</v>
      </c>
      <c r="F240" s="23" t="s">
        <v>585</v>
      </c>
      <c r="G240" s="23" t="s">
        <v>246</v>
      </c>
      <c r="H240" s="23" t="s">
        <v>2342</v>
      </c>
      <c r="I240" s="23">
        <v>41229</v>
      </c>
      <c r="J240" s="23" t="s">
        <v>2331</v>
      </c>
      <c r="K240" s="23" t="s">
        <v>2774</v>
      </c>
      <c r="L240" s="23" t="s">
        <v>2775</v>
      </c>
      <c r="M240" s="23">
        <v>50000</v>
      </c>
      <c r="N240" s="23"/>
      <c r="O240" s="23"/>
      <c r="P240" s="23" t="s">
        <v>2286</v>
      </c>
      <c r="Q240" s="23" t="s">
        <v>2037</v>
      </c>
      <c r="R240" s="23"/>
      <c r="S240" s="23"/>
      <c r="T240" s="23"/>
      <c r="U240" s="23" t="s">
        <v>2064</v>
      </c>
      <c r="V240" s="23"/>
      <c r="W240" s="23">
        <v>46275</v>
      </c>
      <c r="X240" s="23"/>
      <c r="Y240" s="23"/>
    </row>
    <row r="241" spans="1:25">
      <c r="A241" s="23" t="s">
        <v>1932</v>
      </c>
      <c r="B241" s="23">
        <v>81</v>
      </c>
      <c r="C241" s="23" t="s">
        <v>2288</v>
      </c>
      <c r="D241" s="23"/>
      <c r="E241" s="23" t="s">
        <v>166</v>
      </c>
      <c r="F241" s="23" t="s">
        <v>648</v>
      </c>
      <c r="G241" s="23" t="s">
        <v>246</v>
      </c>
      <c r="H241" s="23" t="s">
        <v>2347</v>
      </c>
      <c r="I241" s="23">
        <v>42167</v>
      </c>
      <c r="J241" s="23" t="s">
        <v>2331</v>
      </c>
      <c r="K241" s="23" t="s">
        <v>2344</v>
      </c>
      <c r="L241" s="23" t="s">
        <v>650</v>
      </c>
      <c r="M241" s="23">
        <v>150000</v>
      </c>
      <c r="N241" s="23"/>
      <c r="O241" s="23"/>
      <c r="P241" s="23" t="s">
        <v>2292</v>
      </c>
      <c r="Q241" s="23" t="s">
        <v>2348</v>
      </c>
      <c r="R241" s="23"/>
      <c r="S241" s="23"/>
      <c r="T241" s="23"/>
      <c r="U241" s="23" t="s">
        <v>1940</v>
      </c>
      <c r="V241" s="23"/>
      <c r="W241" s="23">
        <v>46052</v>
      </c>
      <c r="X241" s="23"/>
      <c r="Y241" s="23"/>
    </row>
    <row r="242" spans="1:25">
      <c r="A242" s="23" t="s">
        <v>1932</v>
      </c>
      <c r="B242" s="23">
        <v>82</v>
      </c>
      <c r="C242" s="23" t="s">
        <v>238</v>
      </c>
      <c r="D242" s="23"/>
      <c r="E242" s="23" t="s">
        <v>269</v>
      </c>
      <c r="F242" s="23" t="s">
        <v>654</v>
      </c>
      <c r="G242" s="23" t="s">
        <v>246</v>
      </c>
      <c r="H242" s="23" t="s">
        <v>2351</v>
      </c>
      <c r="I242" s="23">
        <v>2018</v>
      </c>
      <c r="J242" s="23" t="s">
        <v>2331</v>
      </c>
      <c r="K242" s="23" t="s">
        <v>1520</v>
      </c>
      <c r="L242" s="23" t="s">
        <v>655</v>
      </c>
      <c r="M242" s="23">
        <v>50921.25</v>
      </c>
      <c r="N242" s="23"/>
      <c r="O242" s="23" t="s">
        <v>246</v>
      </c>
      <c r="P242" s="23" t="s">
        <v>163</v>
      </c>
      <c r="Q242" s="23"/>
      <c r="R242" s="23"/>
      <c r="S242" s="23"/>
      <c r="T242" s="23"/>
      <c r="U242" s="23" t="s">
        <v>1940</v>
      </c>
      <c r="V242" s="23"/>
      <c r="W242" s="23">
        <v>45978</v>
      </c>
      <c r="X242" s="23"/>
      <c r="Y242" s="23"/>
    </row>
    <row r="243" spans="1:25">
      <c r="A243" s="23" t="s">
        <v>1932</v>
      </c>
      <c r="B243" s="23">
        <v>83</v>
      </c>
      <c r="C243" s="23" t="s">
        <v>164</v>
      </c>
      <c r="D243" s="23"/>
      <c r="E243" s="23" t="s">
        <v>660</v>
      </c>
      <c r="F243" s="23" t="s">
        <v>659</v>
      </c>
      <c r="G243" s="23" t="s">
        <v>246</v>
      </c>
      <c r="H243" s="23" t="s">
        <v>2356</v>
      </c>
      <c r="I243" s="23">
        <v>45495</v>
      </c>
      <c r="J243" s="23" t="s">
        <v>2331</v>
      </c>
      <c r="K243" s="23" t="s">
        <v>2353</v>
      </c>
      <c r="L243" s="23" t="s">
        <v>2776</v>
      </c>
      <c r="M243" s="23">
        <v>295800</v>
      </c>
      <c r="N243" s="23"/>
      <c r="O243" s="23">
        <v>14733.46</v>
      </c>
      <c r="P243" s="23" t="s">
        <v>163</v>
      </c>
      <c r="Q243" s="23" t="s">
        <v>2055</v>
      </c>
      <c r="R243" s="23"/>
      <c r="S243" s="23"/>
      <c r="T243" s="23"/>
      <c r="U243" s="23" t="s">
        <v>2777</v>
      </c>
      <c r="V243" s="23"/>
      <c r="W243" s="23">
        <v>46055</v>
      </c>
      <c r="X243" s="23"/>
      <c r="Y243" s="23"/>
    </row>
    <row r="244" spans="1:25">
      <c r="A244" s="23" t="s">
        <v>1932</v>
      </c>
      <c r="B244" s="23">
        <v>84</v>
      </c>
      <c r="C244" s="23" t="s">
        <v>164</v>
      </c>
      <c r="D244" s="23"/>
      <c r="E244" s="23" t="s">
        <v>660</v>
      </c>
      <c r="F244" s="23" t="s">
        <v>666</v>
      </c>
      <c r="G244" s="23" t="s">
        <v>246</v>
      </c>
      <c r="H244" s="23" t="s">
        <v>2361</v>
      </c>
      <c r="I244" s="23">
        <v>45495</v>
      </c>
      <c r="J244" s="23" t="s">
        <v>2331</v>
      </c>
      <c r="K244" s="23" t="s">
        <v>2357</v>
      </c>
      <c r="L244" s="23" t="s">
        <v>2776</v>
      </c>
      <c r="M244" s="23">
        <v>750000</v>
      </c>
      <c r="N244" s="23"/>
      <c r="O244" s="23">
        <v>15533.46</v>
      </c>
      <c r="P244" s="23" t="s">
        <v>163</v>
      </c>
      <c r="Q244" s="23"/>
      <c r="R244" s="23"/>
      <c r="S244" s="23"/>
      <c r="T244" s="23"/>
      <c r="U244" s="23" t="s">
        <v>2360</v>
      </c>
      <c r="V244" s="23"/>
      <c r="W244" s="23">
        <v>46273</v>
      </c>
      <c r="X244" s="23"/>
      <c r="Y244" s="23"/>
    </row>
    <row r="245" spans="1:25">
      <c r="A245" s="23" t="s">
        <v>1932</v>
      </c>
      <c r="B245" s="23">
        <v>85</v>
      </c>
      <c r="C245" s="23" t="s">
        <v>2366</v>
      </c>
      <c r="D245" s="23"/>
      <c r="E245" s="23" t="s">
        <v>660</v>
      </c>
      <c r="F245" s="23" t="s">
        <v>670</v>
      </c>
      <c r="G245" s="23" t="s">
        <v>246</v>
      </c>
      <c r="H245" s="23" t="s">
        <v>2368</v>
      </c>
      <c r="I245" s="23">
        <v>45380</v>
      </c>
      <c r="J245" s="23" t="s">
        <v>2367</v>
      </c>
      <c r="K245" s="23" t="s">
        <v>2363</v>
      </c>
      <c r="L245" s="23" t="s">
        <v>672</v>
      </c>
      <c r="M245" s="23">
        <v>606874.76</v>
      </c>
      <c r="N245" s="23">
        <v>300000</v>
      </c>
      <c r="O245" s="23">
        <v>13133.46</v>
      </c>
      <c r="P245" s="23" t="s">
        <v>163</v>
      </c>
      <c r="Q245" s="23"/>
      <c r="R245" s="23"/>
      <c r="S245" s="23"/>
      <c r="T245" s="23"/>
      <c r="U245" s="23" t="s">
        <v>1940</v>
      </c>
      <c r="V245" s="23" t="s">
        <v>246</v>
      </c>
      <c r="W245" s="23">
        <v>46055</v>
      </c>
      <c r="X245" s="23"/>
      <c r="Y245" s="23"/>
    </row>
    <row r="246" spans="1:25">
      <c r="A246" s="23" t="s">
        <v>1932</v>
      </c>
      <c r="B246" s="23">
        <v>86</v>
      </c>
      <c r="C246" s="23" t="s">
        <v>164</v>
      </c>
      <c r="D246" s="23"/>
      <c r="E246" s="23" t="s">
        <v>677</v>
      </c>
      <c r="F246" s="23" t="s">
        <v>676</v>
      </c>
      <c r="G246" s="23" t="s">
        <v>246</v>
      </c>
      <c r="H246" s="23" t="s">
        <v>2372</v>
      </c>
      <c r="I246" s="23">
        <v>2015</v>
      </c>
      <c r="J246" s="23" t="s">
        <v>2331</v>
      </c>
      <c r="K246" s="23" t="s">
        <v>2778</v>
      </c>
      <c r="L246" s="23"/>
      <c r="M246" s="23">
        <v>8278.27</v>
      </c>
      <c r="N246" s="23">
        <v>4966.96</v>
      </c>
      <c r="O246" s="23" t="s">
        <v>246</v>
      </c>
      <c r="P246" s="23" t="s">
        <v>2779</v>
      </c>
      <c r="Q246" s="23"/>
      <c r="R246" s="23"/>
      <c r="S246" s="23"/>
      <c r="T246" s="23"/>
      <c r="U246" s="23" t="s">
        <v>2118</v>
      </c>
      <c r="V246" s="23"/>
      <c r="W246" s="23">
        <v>45653</v>
      </c>
      <c r="X246" s="23"/>
      <c r="Y246" s="23"/>
    </row>
    <row r="247" spans="1:25">
      <c r="A247" s="23" t="s">
        <v>1932</v>
      </c>
      <c r="B247" s="23">
        <v>87</v>
      </c>
      <c r="C247" s="23" t="s">
        <v>164</v>
      </c>
      <c r="D247" s="23" t="s">
        <v>688</v>
      </c>
      <c r="E247" s="23" t="s">
        <v>683</v>
      </c>
      <c r="F247" s="23" t="s">
        <v>682</v>
      </c>
      <c r="G247" s="23" t="s">
        <v>246</v>
      </c>
      <c r="H247" s="23" t="s">
        <v>2378</v>
      </c>
      <c r="I247" s="23">
        <v>43391</v>
      </c>
      <c r="J247" s="23" t="s">
        <v>2331</v>
      </c>
      <c r="K247" s="23" t="s">
        <v>2780</v>
      </c>
      <c r="L247" s="23" t="s">
        <v>685</v>
      </c>
      <c r="M247" s="23">
        <v>11676.1</v>
      </c>
      <c r="N247" s="23">
        <v>29457.95</v>
      </c>
      <c r="O247" s="23"/>
      <c r="P247" s="23" t="s">
        <v>2781</v>
      </c>
      <c r="Q247" s="23" t="s">
        <v>2379</v>
      </c>
      <c r="R247" s="23"/>
      <c r="S247" s="23"/>
      <c r="T247" s="23"/>
      <c r="U247" s="23" t="s">
        <v>2064</v>
      </c>
      <c r="V247" s="23"/>
      <c r="W247" s="23">
        <v>46280</v>
      </c>
      <c r="X247" s="23"/>
      <c r="Y247" s="23"/>
    </row>
    <row r="248" spans="1:25">
      <c r="A248" s="23" t="s">
        <v>1932</v>
      </c>
      <c r="B248" s="23">
        <v>88</v>
      </c>
      <c r="C248" s="23" t="s">
        <v>164</v>
      </c>
      <c r="D248" s="23"/>
      <c r="E248" s="23" t="s">
        <v>691</v>
      </c>
      <c r="F248" s="23" t="s">
        <v>690</v>
      </c>
      <c r="G248" s="23" t="s">
        <v>246</v>
      </c>
      <c r="H248" s="23" t="s">
        <v>2383</v>
      </c>
      <c r="I248" s="23">
        <v>2020</v>
      </c>
      <c r="J248" s="23" t="s">
        <v>2331</v>
      </c>
      <c r="K248" s="23" t="s">
        <v>2380</v>
      </c>
      <c r="L248" s="23" t="s">
        <v>693</v>
      </c>
      <c r="M248" s="23">
        <v>691268.27</v>
      </c>
      <c r="N248" s="23">
        <v>690268.27</v>
      </c>
      <c r="O248" s="23"/>
      <c r="P248" s="23" t="s">
        <v>2781</v>
      </c>
      <c r="Q248" s="23"/>
      <c r="R248" s="23"/>
      <c r="S248" s="23"/>
      <c r="T248" s="23"/>
      <c r="U248" s="23" t="s">
        <v>2077</v>
      </c>
      <c r="V248" s="23"/>
      <c r="W248" s="23">
        <v>46059</v>
      </c>
      <c r="X248" s="23"/>
      <c r="Y248" s="23"/>
    </row>
    <row r="249" spans="1:25">
      <c r="A249" s="23" t="s">
        <v>1932</v>
      </c>
      <c r="B249" s="23">
        <v>89</v>
      </c>
      <c r="C249" s="23" t="s">
        <v>164</v>
      </c>
      <c r="D249" s="23" t="s">
        <v>380</v>
      </c>
      <c r="E249" s="23" t="s">
        <v>698</v>
      </c>
      <c r="F249" s="23" t="s">
        <v>697</v>
      </c>
      <c r="G249" s="23" t="s">
        <v>246</v>
      </c>
      <c r="H249" s="23" t="s">
        <v>2388</v>
      </c>
      <c r="I249" s="23">
        <v>2019</v>
      </c>
      <c r="J249" s="23" t="s">
        <v>2331</v>
      </c>
      <c r="K249" s="23" t="s">
        <v>2385</v>
      </c>
      <c r="L249" s="23" t="s">
        <v>699</v>
      </c>
      <c r="M249" s="23">
        <v>2018074.76</v>
      </c>
      <c r="N249" s="23">
        <v>250000</v>
      </c>
      <c r="O249" s="23"/>
      <c r="P249" s="23" t="s">
        <v>2782</v>
      </c>
      <c r="Q249" s="23" t="s">
        <v>2389</v>
      </c>
      <c r="R249" s="23"/>
      <c r="S249" s="23"/>
      <c r="T249" s="23"/>
      <c r="U249" s="23" t="s">
        <v>2064</v>
      </c>
      <c r="V249" s="23"/>
      <c r="W249" s="23">
        <v>46055</v>
      </c>
      <c r="X249" s="23"/>
      <c r="Y249" s="23"/>
    </row>
    <row r="250" spans="1:25">
      <c r="A250" s="23" t="s">
        <v>1932</v>
      </c>
      <c r="B250" s="23">
        <v>90</v>
      </c>
      <c r="C250" s="23" t="s">
        <v>164</v>
      </c>
      <c r="D250" s="23" t="s">
        <v>246</v>
      </c>
      <c r="E250" s="23" t="s">
        <v>704</v>
      </c>
      <c r="F250" s="23" t="s">
        <v>703</v>
      </c>
      <c r="G250" s="23" t="s">
        <v>246</v>
      </c>
      <c r="H250" s="23" t="s">
        <v>2393</v>
      </c>
      <c r="I250" s="23">
        <v>2020</v>
      </c>
      <c r="J250" s="23" t="s">
        <v>2331</v>
      </c>
      <c r="K250" s="23" t="s">
        <v>2391</v>
      </c>
      <c r="L250" s="23" t="s">
        <v>707</v>
      </c>
      <c r="M250" s="23">
        <v>73704.320000000007</v>
      </c>
      <c r="N250" s="23">
        <v>60000</v>
      </c>
      <c r="O250" s="23"/>
      <c r="P250" s="23" t="s">
        <v>2783</v>
      </c>
      <c r="Q250" s="23"/>
      <c r="R250" s="23"/>
      <c r="S250" s="23"/>
      <c r="T250" s="23"/>
      <c r="U250" s="23" t="s">
        <v>2064</v>
      </c>
      <c r="V250" s="23"/>
      <c r="W250" s="23">
        <v>46059</v>
      </c>
      <c r="X250" s="23"/>
      <c r="Y250" s="23"/>
    </row>
    <row r="251" spans="1:25">
      <c r="A251" s="23" t="s">
        <v>1932</v>
      </c>
      <c r="B251" s="23">
        <v>91</v>
      </c>
      <c r="C251" s="23" t="s">
        <v>164</v>
      </c>
      <c r="D251" s="23" t="s">
        <v>380</v>
      </c>
      <c r="E251" s="23" t="s">
        <v>711</v>
      </c>
      <c r="F251" s="23" t="s">
        <v>697</v>
      </c>
      <c r="G251" s="23" t="s">
        <v>246</v>
      </c>
      <c r="H251" s="23" t="s">
        <v>2398</v>
      </c>
      <c r="I251" s="23">
        <v>2019</v>
      </c>
      <c r="J251" s="23" t="s">
        <v>2331</v>
      </c>
      <c r="K251" s="23" t="s">
        <v>2395</v>
      </c>
      <c r="L251" s="23" t="s">
        <v>712</v>
      </c>
      <c r="M251" s="23">
        <v>2681428.54</v>
      </c>
      <c r="N251" s="23">
        <v>2023357.8</v>
      </c>
      <c r="O251" s="23">
        <v>26266.92</v>
      </c>
      <c r="P251" s="23" t="s">
        <v>2784</v>
      </c>
      <c r="Q251" s="23" t="s">
        <v>2389</v>
      </c>
      <c r="R251" s="23"/>
      <c r="S251" s="23"/>
      <c r="T251" s="23"/>
      <c r="U251" s="23" t="s">
        <v>2064</v>
      </c>
      <c r="V251" s="23"/>
      <c r="W251" s="23">
        <v>46135</v>
      </c>
      <c r="X251" s="23"/>
      <c r="Y251" s="23"/>
    </row>
    <row r="252" spans="1:25">
      <c r="A252" s="23" t="s">
        <v>1932</v>
      </c>
      <c r="B252" s="23">
        <v>92</v>
      </c>
      <c r="C252" s="23" t="s">
        <v>2366</v>
      </c>
      <c r="D252" s="23"/>
      <c r="E252" s="23" t="s">
        <v>166</v>
      </c>
      <c r="F252" s="23" t="s">
        <v>716</v>
      </c>
      <c r="G252" s="23" t="s">
        <v>246</v>
      </c>
      <c r="H252" s="23" t="s">
        <v>2404</v>
      </c>
      <c r="I252" s="23">
        <v>45688</v>
      </c>
      <c r="J252" s="23" t="s">
        <v>2403</v>
      </c>
      <c r="K252" s="23" t="s">
        <v>2401</v>
      </c>
      <c r="L252" s="23" t="s">
        <v>718</v>
      </c>
      <c r="M252" s="23">
        <v>37297.279999999999</v>
      </c>
      <c r="N252" s="23" t="s">
        <v>246</v>
      </c>
      <c r="O252" s="23" t="s">
        <v>246</v>
      </c>
      <c r="P252" s="23" t="s">
        <v>2400</v>
      </c>
      <c r="Q252" s="23" t="s">
        <v>2405</v>
      </c>
      <c r="R252" s="23"/>
      <c r="S252" s="23"/>
      <c r="T252" s="23"/>
      <c r="U252" s="23" t="s">
        <v>1940</v>
      </c>
      <c r="V252" s="23"/>
      <c r="W252" s="23">
        <v>46055</v>
      </c>
      <c r="X252" s="23"/>
      <c r="Y252" s="23"/>
    </row>
    <row r="253" spans="1:25">
      <c r="A253" s="23" t="s">
        <v>1932</v>
      </c>
      <c r="B253" s="23">
        <v>93</v>
      </c>
      <c r="C253" s="23" t="s">
        <v>238</v>
      </c>
      <c r="D253" s="23" t="s">
        <v>246</v>
      </c>
      <c r="E253" s="23" t="s">
        <v>166</v>
      </c>
      <c r="F253" s="23" t="s">
        <v>722</v>
      </c>
      <c r="G253" s="23" t="s">
        <v>246</v>
      </c>
      <c r="H253" s="23" t="s">
        <v>2411</v>
      </c>
      <c r="I253" s="23">
        <v>45385</v>
      </c>
      <c r="J253" s="23" t="s">
        <v>2410</v>
      </c>
      <c r="K253" s="23" t="s">
        <v>2785</v>
      </c>
      <c r="L253" s="23" t="s">
        <v>725</v>
      </c>
      <c r="M253" s="23">
        <v>15000</v>
      </c>
      <c r="N253" s="23" t="s">
        <v>246</v>
      </c>
      <c r="O253" s="23" t="s">
        <v>246</v>
      </c>
      <c r="P253" s="23" t="s">
        <v>163</v>
      </c>
      <c r="Q253" s="23"/>
      <c r="R253" s="23"/>
      <c r="S253" s="23"/>
      <c r="T253" s="23"/>
      <c r="U253" s="23" t="s">
        <v>2064</v>
      </c>
      <c r="V253" s="23"/>
      <c r="W253" s="23">
        <v>46274</v>
      </c>
      <c r="X253" s="23"/>
      <c r="Y253" s="23"/>
    </row>
    <row r="254" spans="1:25">
      <c r="A254" s="23" t="s">
        <v>1932</v>
      </c>
      <c r="B254" s="23">
        <v>94</v>
      </c>
      <c r="C254" s="23" t="s">
        <v>2366</v>
      </c>
      <c r="D254" s="23"/>
      <c r="E254" s="23" t="s">
        <v>166</v>
      </c>
      <c r="F254" s="23" t="s">
        <v>412</v>
      </c>
      <c r="G254" s="23" t="s">
        <v>246</v>
      </c>
      <c r="H254" s="23" t="s">
        <v>2414</v>
      </c>
      <c r="I254" s="23">
        <v>2018</v>
      </c>
      <c r="J254" s="23" t="s">
        <v>2077</v>
      </c>
      <c r="K254" s="23" t="s">
        <v>1556</v>
      </c>
      <c r="L254" s="23" t="s">
        <v>571</v>
      </c>
      <c r="M254" s="23"/>
      <c r="N254" s="23" t="s">
        <v>246</v>
      </c>
      <c r="O254" s="23" t="s">
        <v>246</v>
      </c>
      <c r="P254" s="23" t="s">
        <v>163</v>
      </c>
      <c r="Q254" s="23"/>
      <c r="R254" s="23"/>
      <c r="S254" s="23"/>
      <c r="T254" s="23"/>
      <c r="U254" s="23" t="s">
        <v>2118</v>
      </c>
      <c r="V254" s="23"/>
      <c r="W254" s="23">
        <v>45512</v>
      </c>
      <c r="X254" s="23"/>
      <c r="Y254" s="23"/>
    </row>
    <row r="255" spans="1:25">
      <c r="A255" s="23" t="s">
        <v>1932</v>
      </c>
      <c r="B255" s="23">
        <v>95</v>
      </c>
      <c r="C255" s="23" t="s">
        <v>238</v>
      </c>
      <c r="D255" s="23" t="s">
        <v>262</v>
      </c>
      <c r="E255" s="23" t="s">
        <v>735</v>
      </c>
      <c r="F255" s="23" t="s">
        <v>734</v>
      </c>
      <c r="G255" s="23"/>
      <c r="H255" s="23" t="s">
        <v>2420</v>
      </c>
      <c r="I255" s="23">
        <v>44343</v>
      </c>
      <c r="J255" s="23" t="s">
        <v>2419</v>
      </c>
      <c r="K255" s="23" t="s">
        <v>2786</v>
      </c>
      <c r="L255" s="23" t="s">
        <v>737</v>
      </c>
      <c r="M255" s="23">
        <v>1245291.1000000001</v>
      </c>
      <c r="N255" s="23" t="s">
        <v>246</v>
      </c>
      <c r="O255" s="23" t="s">
        <v>246</v>
      </c>
      <c r="P255" s="23" t="s">
        <v>163</v>
      </c>
      <c r="Q255" s="23" t="s">
        <v>2023</v>
      </c>
      <c r="R255" s="23"/>
      <c r="S255" s="23"/>
      <c r="T255" s="23"/>
      <c r="U255" s="23" t="s">
        <v>2064</v>
      </c>
      <c r="V255" s="23"/>
      <c r="W255" s="23">
        <v>46052</v>
      </c>
      <c r="X255" s="23"/>
      <c r="Y255" s="23"/>
    </row>
    <row r="256" spans="1:25">
      <c r="A256" s="23" t="s">
        <v>1932</v>
      </c>
      <c r="B256" s="23">
        <v>96</v>
      </c>
      <c r="C256" s="23" t="s">
        <v>238</v>
      </c>
      <c r="D256" s="23"/>
      <c r="E256" s="23" t="s">
        <v>743</v>
      </c>
      <c r="F256" s="23" t="s">
        <v>742</v>
      </c>
      <c r="G256" s="23" t="s">
        <v>246</v>
      </c>
      <c r="H256" s="23" t="s">
        <v>741</v>
      </c>
      <c r="I256" s="23">
        <v>45847</v>
      </c>
      <c r="J256" s="23" t="s">
        <v>2301</v>
      </c>
      <c r="K256" s="23" t="s">
        <v>2422</v>
      </c>
      <c r="L256" s="23" t="s">
        <v>2787</v>
      </c>
      <c r="M256" s="23">
        <v>13116.91</v>
      </c>
      <c r="N256" s="23"/>
      <c r="O256" s="23"/>
      <c r="P256" s="23" t="s">
        <v>2421</v>
      </c>
      <c r="Q256" s="23" t="s">
        <v>2425</v>
      </c>
      <c r="R256" s="23"/>
      <c r="S256" s="23"/>
      <c r="T256" s="23"/>
      <c r="U256" s="23" t="s">
        <v>1940</v>
      </c>
      <c r="V256" s="23"/>
      <c r="W256" s="23">
        <v>46055</v>
      </c>
      <c r="X256" s="23"/>
      <c r="Y256" s="23"/>
    </row>
    <row r="257" spans="1:25">
      <c r="A257" s="23" t="s">
        <v>1932</v>
      </c>
      <c r="B257" s="23">
        <v>97</v>
      </c>
      <c r="C257" s="23" t="s">
        <v>164</v>
      </c>
      <c r="D257" s="23" t="s">
        <v>246</v>
      </c>
      <c r="E257" s="23" t="s">
        <v>749</v>
      </c>
      <c r="F257" s="23" t="s">
        <v>748</v>
      </c>
      <c r="G257" s="23" t="s">
        <v>246</v>
      </c>
      <c r="H257" s="23" t="s">
        <v>753</v>
      </c>
      <c r="I257" s="23">
        <v>45605</v>
      </c>
      <c r="J257" s="23"/>
      <c r="K257" s="23" t="s">
        <v>1565</v>
      </c>
      <c r="L257" s="23" t="s">
        <v>750</v>
      </c>
      <c r="M257" s="23">
        <v>68004.679999999993</v>
      </c>
      <c r="N257" s="23"/>
      <c r="O257" s="23"/>
      <c r="P257" s="23"/>
      <c r="Q257" s="23"/>
      <c r="R257" s="23"/>
      <c r="S257" s="23"/>
      <c r="T257" s="23"/>
      <c r="U257" s="23" t="s">
        <v>2064</v>
      </c>
      <c r="V257" s="23"/>
      <c r="W257" s="23">
        <v>46064</v>
      </c>
      <c r="X257" s="23"/>
      <c r="Y257" s="23"/>
    </row>
    <row r="258" spans="1:25">
      <c r="A258" s="23" t="s">
        <v>1932</v>
      </c>
      <c r="B258" s="23">
        <v>98</v>
      </c>
      <c r="C258" s="23" t="s">
        <v>238</v>
      </c>
      <c r="D258" s="23" t="s">
        <v>246</v>
      </c>
      <c r="E258" s="23" t="s">
        <v>756</v>
      </c>
      <c r="F258" s="23" t="s">
        <v>755</v>
      </c>
      <c r="G258" s="23" t="s">
        <v>246</v>
      </c>
      <c r="H258" s="23" t="s">
        <v>2435</v>
      </c>
      <c r="I258" s="23">
        <v>45988</v>
      </c>
      <c r="J258" s="23"/>
      <c r="K258" s="23" t="s">
        <v>2788</v>
      </c>
      <c r="L258" s="23" t="s">
        <v>757</v>
      </c>
      <c r="M258" s="23">
        <v>10000</v>
      </c>
      <c r="N258" s="23"/>
      <c r="O258" s="23"/>
      <c r="P258" s="23"/>
      <c r="Q258" s="23" t="s">
        <v>2789</v>
      </c>
      <c r="R258" s="23"/>
      <c r="S258" s="23"/>
      <c r="T258" s="23"/>
      <c r="U258" s="23" t="s">
        <v>2434</v>
      </c>
      <c r="V258" s="23"/>
      <c r="W258" s="23">
        <v>46064</v>
      </c>
      <c r="X258" s="23"/>
      <c r="Y258" s="23"/>
    </row>
    <row r="259" spans="1:25">
      <c r="A259" s="23" t="s">
        <v>1932</v>
      </c>
      <c r="B259" s="23">
        <v>99</v>
      </c>
      <c r="C259" s="23" t="s">
        <v>164</v>
      </c>
      <c r="D259" s="23" t="s">
        <v>632</v>
      </c>
      <c r="E259" s="23" t="s">
        <v>762</v>
      </c>
      <c r="F259" s="23" t="s">
        <v>761</v>
      </c>
      <c r="G259" s="23" t="s">
        <v>246</v>
      </c>
      <c r="H259" s="23" t="s">
        <v>2440</v>
      </c>
      <c r="I259" s="23">
        <v>2025</v>
      </c>
      <c r="J259" s="23"/>
      <c r="K259" s="23" t="s">
        <v>2790</v>
      </c>
      <c r="L259" s="23"/>
      <c r="M259" s="23">
        <v>350000</v>
      </c>
      <c r="N259" s="23">
        <v>453450.18</v>
      </c>
      <c r="O259" s="23" t="s">
        <v>246</v>
      </c>
      <c r="P259" s="23"/>
      <c r="Q259" s="23" t="s">
        <v>2327</v>
      </c>
      <c r="R259" s="23"/>
      <c r="S259" s="23"/>
      <c r="T259" s="23"/>
      <c r="U259" s="23" t="s">
        <v>2064</v>
      </c>
      <c r="V259" s="23"/>
      <c r="W259" s="23">
        <v>46286</v>
      </c>
      <c r="X259" s="23"/>
      <c r="Y259" s="23"/>
    </row>
    <row r="260" spans="1:25">
      <c r="A260" s="23" t="s">
        <v>1932</v>
      </c>
      <c r="B260" s="23">
        <v>100</v>
      </c>
      <c r="C260" s="23" t="s">
        <v>164</v>
      </c>
      <c r="D260" s="23" t="s">
        <v>246</v>
      </c>
      <c r="E260" s="23" t="s">
        <v>768</v>
      </c>
      <c r="F260" s="23" t="s">
        <v>767</v>
      </c>
      <c r="G260" s="23" t="s">
        <v>246</v>
      </c>
      <c r="H260" s="23" t="s">
        <v>766</v>
      </c>
      <c r="I260" s="23"/>
      <c r="J260" s="23"/>
      <c r="K260" s="23" t="s">
        <v>2791</v>
      </c>
      <c r="L260" s="23"/>
      <c r="M260" s="23">
        <v>295800</v>
      </c>
      <c r="N260" s="23"/>
      <c r="O260" s="23"/>
      <c r="P260" s="23"/>
      <c r="Q260" s="23" t="s">
        <v>2442</v>
      </c>
      <c r="R260" s="23"/>
      <c r="S260" s="23"/>
      <c r="T260" s="23"/>
      <c r="U260" s="23" t="s">
        <v>2035</v>
      </c>
      <c r="V260" s="23"/>
      <c r="W260" s="23">
        <v>46064</v>
      </c>
      <c r="X260" s="23"/>
      <c r="Y260" s="23"/>
    </row>
    <row r="261" spans="1:25">
      <c r="A261" s="23" t="s">
        <v>1932</v>
      </c>
      <c r="B261" s="23">
        <v>101</v>
      </c>
      <c r="C261" s="23" t="s">
        <v>164</v>
      </c>
      <c r="D261" s="23"/>
      <c r="E261" s="23" t="s">
        <v>768</v>
      </c>
      <c r="F261" s="23" t="s">
        <v>772</v>
      </c>
      <c r="G261" s="23"/>
      <c r="H261" s="23" t="s">
        <v>771</v>
      </c>
      <c r="I261" s="23"/>
      <c r="J261" s="23"/>
      <c r="K261" s="23" t="s">
        <v>2443</v>
      </c>
      <c r="L261" s="23"/>
      <c r="M261" s="23">
        <v>360876</v>
      </c>
      <c r="N261" s="23"/>
      <c r="O261" s="23"/>
      <c r="P261" s="23"/>
      <c r="Q261" s="23" t="s">
        <v>2442</v>
      </c>
      <c r="R261" s="23"/>
      <c r="S261" s="23"/>
      <c r="T261" s="23"/>
      <c r="U261" s="23" t="s">
        <v>2035</v>
      </c>
      <c r="V261" s="23"/>
      <c r="W261" s="23">
        <v>46064</v>
      </c>
      <c r="X261" s="23"/>
      <c r="Y261" s="23"/>
    </row>
    <row r="262" spans="1:25">
      <c r="A262" s="23" t="s">
        <v>1932</v>
      </c>
      <c r="B262" s="23">
        <v>102</v>
      </c>
      <c r="C262" s="23" t="s">
        <v>164</v>
      </c>
      <c r="D262" s="23" t="s">
        <v>246</v>
      </c>
      <c r="E262" s="23" t="s">
        <v>777</v>
      </c>
      <c r="F262" s="23" t="s">
        <v>776</v>
      </c>
      <c r="G262" s="23" t="s">
        <v>246</v>
      </c>
      <c r="H262" s="23" t="s">
        <v>775</v>
      </c>
      <c r="I262" s="23">
        <v>2018</v>
      </c>
      <c r="J262" s="23"/>
      <c r="K262" s="23" t="s">
        <v>2445</v>
      </c>
      <c r="L262" s="23" t="s">
        <v>778</v>
      </c>
      <c r="M262" s="23">
        <v>12952.93</v>
      </c>
      <c r="N262" s="23">
        <v>18091.02</v>
      </c>
      <c r="O262" s="23"/>
      <c r="P262" s="23"/>
      <c r="Q262" s="23" t="s">
        <v>2448</v>
      </c>
      <c r="R262" s="23"/>
      <c r="S262" s="23"/>
      <c r="T262" s="23"/>
      <c r="U262" s="23" t="s">
        <v>1940</v>
      </c>
      <c r="V262" s="23"/>
      <c r="W262" s="23">
        <v>46084</v>
      </c>
      <c r="X262" s="23"/>
      <c r="Y262" s="23"/>
    </row>
    <row r="263" spans="1:25">
      <c r="A263" s="23" t="s">
        <v>1932</v>
      </c>
      <c r="B263" s="23">
        <v>103</v>
      </c>
      <c r="C263" s="23" t="s">
        <v>164</v>
      </c>
      <c r="D263" s="23" t="s">
        <v>246</v>
      </c>
      <c r="E263" s="23" t="s">
        <v>777</v>
      </c>
      <c r="F263" s="23" t="s">
        <v>782</v>
      </c>
      <c r="G263" s="23" t="s">
        <v>246</v>
      </c>
      <c r="H263" s="23" t="s">
        <v>2453</v>
      </c>
      <c r="I263" s="23">
        <v>2019</v>
      </c>
      <c r="J263" s="23"/>
      <c r="K263" s="23" t="s">
        <v>2449</v>
      </c>
      <c r="L263" s="23" t="s">
        <v>784</v>
      </c>
      <c r="M263" s="23">
        <v>24889.15</v>
      </c>
      <c r="N263" s="23">
        <v>28497.87</v>
      </c>
      <c r="O263" s="23"/>
      <c r="P263" s="23"/>
      <c r="Q263" s="23" t="s">
        <v>2448</v>
      </c>
      <c r="R263" s="23"/>
      <c r="S263" s="23"/>
      <c r="T263" s="23"/>
      <c r="U263" s="23" t="s">
        <v>1940</v>
      </c>
      <c r="V263" s="23"/>
      <c r="W263" s="23">
        <v>46072</v>
      </c>
      <c r="X263" s="23"/>
      <c r="Y263" s="23"/>
    </row>
    <row r="264" spans="1:25">
      <c r="A264" s="23" t="s">
        <v>1932</v>
      </c>
      <c r="B264" s="23">
        <v>104</v>
      </c>
      <c r="C264" s="23" t="s">
        <v>164</v>
      </c>
      <c r="D264" s="23"/>
      <c r="E264" s="23" t="s">
        <v>777</v>
      </c>
      <c r="F264" s="23" t="s">
        <v>788</v>
      </c>
      <c r="G264" s="23" t="s">
        <v>246</v>
      </c>
      <c r="H264" s="23" t="s">
        <v>787</v>
      </c>
      <c r="I264" s="23">
        <v>2019</v>
      </c>
      <c r="J264" s="23"/>
      <c r="K264" s="23" t="s">
        <v>2454</v>
      </c>
      <c r="L264" s="23" t="s">
        <v>789</v>
      </c>
      <c r="M264" s="23">
        <v>33486.449999999997</v>
      </c>
      <c r="N264" s="23">
        <v>1921.41</v>
      </c>
      <c r="O264" s="23"/>
      <c r="P264" s="23"/>
      <c r="Q264" s="23" t="s">
        <v>2448</v>
      </c>
      <c r="R264" s="23"/>
      <c r="S264" s="23"/>
      <c r="T264" s="23"/>
      <c r="U264" s="23" t="s">
        <v>2064</v>
      </c>
      <c r="V264" s="23"/>
      <c r="W264" s="23">
        <v>46073</v>
      </c>
      <c r="X264" s="23"/>
      <c r="Y264" s="23"/>
    </row>
    <row r="265" spans="1:25">
      <c r="A265" s="23" t="s">
        <v>1932</v>
      </c>
      <c r="B265" s="23">
        <v>105</v>
      </c>
      <c r="C265" s="23" t="s">
        <v>238</v>
      </c>
      <c r="D265" s="23" t="s">
        <v>246</v>
      </c>
      <c r="E265" s="23" t="s">
        <v>794</v>
      </c>
      <c r="F265" s="23" t="s">
        <v>793</v>
      </c>
      <c r="G265" s="23" t="s">
        <v>246</v>
      </c>
      <c r="H265" s="23" t="s">
        <v>792</v>
      </c>
      <c r="I265" s="23">
        <v>43489</v>
      </c>
      <c r="J265" s="23"/>
      <c r="K265" s="23" t="s">
        <v>2458</v>
      </c>
      <c r="L265" s="23" t="s">
        <v>796</v>
      </c>
      <c r="M265" s="23">
        <v>171753.38</v>
      </c>
      <c r="N265" s="23" t="s">
        <v>2003</v>
      </c>
      <c r="O265" s="23" t="s">
        <v>2003</v>
      </c>
      <c r="P265" s="23"/>
      <c r="Q265" s="23" t="s">
        <v>2003</v>
      </c>
      <c r="R265" s="23" t="s">
        <v>2003</v>
      </c>
      <c r="S265" s="23" t="s">
        <v>2003</v>
      </c>
      <c r="T265" s="23" t="s">
        <v>2003</v>
      </c>
      <c r="U265" s="23" t="s">
        <v>2064</v>
      </c>
      <c r="V265" s="23"/>
      <c r="W265" s="23">
        <v>46072</v>
      </c>
      <c r="X265" s="23"/>
      <c r="Y265" s="23"/>
    </row>
    <row r="266" spans="1:25">
      <c r="A266" s="23" t="s">
        <v>1932</v>
      </c>
      <c r="B266" s="23">
        <v>106</v>
      </c>
      <c r="C266" s="23" t="s">
        <v>238</v>
      </c>
      <c r="D266" s="23" t="s">
        <v>246</v>
      </c>
      <c r="E266" s="23" t="s">
        <v>801</v>
      </c>
      <c r="F266" s="23" t="s">
        <v>800</v>
      </c>
      <c r="G266" s="23" t="s">
        <v>246</v>
      </c>
      <c r="H266" s="23" t="s">
        <v>804</v>
      </c>
      <c r="I266" s="23">
        <v>46100</v>
      </c>
      <c r="J266" s="23"/>
      <c r="K266" s="23" t="s">
        <v>2462</v>
      </c>
      <c r="L266" s="23"/>
      <c r="M266" s="23">
        <v>141556.26</v>
      </c>
      <c r="N266" s="23"/>
      <c r="O266" s="23"/>
      <c r="P266" s="23"/>
      <c r="Q266" s="23"/>
      <c r="R266" s="23"/>
      <c r="S266" s="23"/>
      <c r="T266" s="23"/>
      <c r="U266" s="23" t="s">
        <v>2064</v>
      </c>
      <c r="V266" s="23"/>
      <c r="W266" s="23">
        <v>46273</v>
      </c>
      <c r="X266" s="23"/>
      <c r="Y266" s="23"/>
    </row>
    <row r="267" spans="1:25">
      <c r="A267" s="23" t="s">
        <v>1932</v>
      </c>
      <c r="B267" s="23">
        <v>107</v>
      </c>
      <c r="C267" s="23" t="s">
        <v>238</v>
      </c>
      <c r="D267" s="23" t="s">
        <v>246</v>
      </c>
      <c r="E267" s="23" t="s">
        <v>808</v>
      </c>
      <c r="F267" s="23" t="s">
        <v>807</v>
      </c>
      <c r="G267" s="23" t="s">
        <v>246</v>
      </c>
      <c r="H267" s="23" t="s">
        <v>805</v>
      </c>
      <c r="I267" s="23">
        <v>43500</v>
      </c>
      <c r="J267" s="23"/>
      <c r="K267" s="23" t="s">
        <v>1591</v>
      </c>
      <c r="L267" s="23" t="s">
        <v>809</v>
      </c>
      <c r="M267" s="23">
        <v>1939.12</v>
      </c>
      <c r="N267" s="23"/>
      <c r="O267" s="23"/>
      <c r="P267" s="23"/>
      <c r="Q267" s="23"/>
      <c r="R267" s="23"/>
      <c r="S267" s="23"/>
      <c r="T267" s="23"/>
      <c r="U267" s="23" t="s">
        <v>2064</v>
      </c>
      <c r="V267" s="23"/>
      <c r="W267" s="23">
        <v>46126</v>
      </c>
      <c r="X267" s="23"/>
      <c r="Y267" s="23"/>
    </row>
    <row r="268" spans="1:25">
      <c r="A268" s="23" t="s">
        <v>1932</v>
      </c>
      <c r="B268" s="23">
        <v>108</v>
      </c>
      <c r="C268" s="23" t="s">
        <v>164</v>
      </c>
      <c r="D268" s="23" t="s">
        <v>246</v>
      </c>
      <c r="E268" s="23" t="s">
        <v>813</v>
      </c>
      <c r="F268" s="23" t="s">
        <v>748</v>
      </c>
      <c r="G268" s="23" t="s">
        <v>246</v>
      </c>
      <c r="H268" s="23" t="s">
        <v>753</v>
      </c>
      <c r="I268" s="23">
        <v>45605</v>
      </c>
      <c r="J268" s="23"/>
      <c r="K268" s="23" t="s">
        <v>2467</v>
      </c>
      <c r="L268" s="23"/>
      <c r="M268" s="23" t="s">
        <v>2792</v>
      </c>
      <c r="N268" s="23"/>
      <c r="O268" s="23"/>
      <c r="P268" s="23"/>
      <c r="Q268" s="23"/>
      <c r="R268" s="23"/>
      <c r="S268" s="23"/>
      <c r="T268" s="23"/>
      <c r="U268" s="23" t="s">
        <v>2064</v>
      </c>
      <c r="V268" s="23"/>
      <c r="W268" s="23">
        <v>46135</v>
      </c>
      <c r="X268" s="23"/>
      <c r="Y268" s="23"/>
    </row>
    <row r="269" spans="1:25">
      <c r="A269" s="23" t="s">
        <v>1932</v>
      </c>
      <c r="B269" s="23">
        <v>109</v>
      </c>
      <c r="C269" s="23" t="s">
        <v>238</v>
      </c>
      <c r="D269" s="23" t="s">
        <v>246</v>
      </c>
      <c r="E269" s="23" t="s">
        <v>818</v>
      </c>
      <c r="F269" s="23" t="s">
        <v>817</v>
      </c>
      <c r="G269" s="23" t="s">
        <v>246</v>
      </c>
      <c r="H269" s="23" t="s">
        <v>804</v>
      </c>
      <c r="I269" s="23">
        <v>2026</v>
      </c>
      <c r="J269" s="23"/>
      <c r="K269" s="23" t="s">
        <v>2470</v>
      </c>
      <c r="L269" s="23" t="s">
        <v>819</v>
      </c>
      <c r="M269" s="23"/>
      <c r="N269" s="23"/>
      <c r="O269" s="23"/>
      <c r="P269" s="23"/>
      <c r="Q269" s="23"/>
      <c r="R269" s="23"/>
      <c r="S269" s="23"/>
      <c r="T269" s="23"/>
      <c r="U269" s="23" t="s">
        <v>2473</v>
      </c>
      <c r="V269" s="23"/>
      <c r="W269" s="23">
        <v>46286</v>
      </c>
      <c r="X269" s="23"/>
      <c r="Y269" s="23"/>
    </row>
    <row r="270" spans="1:25">
      <c r="A270" s="23" t="s">
        <v>2474</v>
      </c>
      <c r="B270" s="23">
        <v>5</v>
      </c>
      <c r="C270" s="23" t="s">
        <v>2479</v>
      </c>
      <c r="D270" s="23" t="s">
        <v>830</v>
      </c>
      <c r="E270" s="23" t="s">
        <v>166</v>
      </c>
      <c r="F270" s="23" t="s">
        <v>825</v>
      </c>
      <c r="G270" s="23" t="s">
        <v>822</v>
      </c>
      <c r="H270" s="23" t="s">
        <v>246</v>
      </c>
      <c r="I270" s="23">
        <v>44760</v>
      </c>
      <c r="J270" s="23" t="s">
        <v>2480</v>
      </c>
      <c r="K270" s="23" t="s">
        <v>2477</v>
      </c>
      <c r="L270" s="23" t="s">
        <v>827</v>
      </c>
      <c r="M270" s="23" t="s">
        <v>2793</v>
      </c>
      <c r="N270" s="23"/>
      <c r="O270" s="23"/>
      <c r="P270" s="23" t="s">
        <v>2476</v>
      </c>
      <c r="Q270" s="23"/>
      <c r="R270" s="23"/>
      <c r="S270" s="23"/>
      <c r="T270" s="23"/>
      <c r="U270" s="23" t="s">
        <v>1940</v>
      </c>
      <c r="V270" s="23"/>
      <c r="W270" s="23">
        <v>46090</v>
      </c>
      <c r="X270" s="23"/>
      <c r="Y270" s="23"/>
    </row>
    <row r="271" spans="1:25">
      <c r="A271" s="23" t="s">
        <v>2474</v>
      </c>
      <c r="B271" s="23">
        <v>6</v>
      </c>
      <c r="C271" s="23" t="s">
        <v>2486</v>
      </c>
      <c r="D271" s="23" t="s">
        <v>262</v>
      </c>
      <c r="E271" s="23" t="s">
        <v>166</v>
      </c>
      <c r="F271" s="23" t="s">
        <v>832</v>
      </c>
      <c r="G271" s="23" t="s">
        <v>246</v>
      </c>
      <c r="H271" s="23" t="s">
        <v>2488</v>
      </c>
      <c r="I271" s="23">
        <v>44831</v>
      </c>
      <c r="J271" s="23" t="s">
        <v>2487</v>
      </c>
      <c r="K271" s="23" t="s">
        <v>2483</v>
      </c>
      <c r="L271" s="23" t="s">
        <v>834</v>
      </c>
      <c r="M271" s="23">
        <v>1343446.56</v>
      </c>
      <c r="N271" s="23">
        <v>1343446.56</v>
      </c>
      <c r="O271" s="23" t="s">
        <v>246</v>
      </c>
      <c r="P271" s="23" t="s">
        <v>1224</v>
      </c>
      <c r="Q271" s="23"/>
      <c r="R271" s="23" t="s">
        <v>246</v>
      </c>
      <c r="S271" s="23">
        <v>1343446.56</v>
      </c>
      <c r="T271" s="23" t="s">
        <v>1224</v>
      </c>
      <c r="U271" s="23" t="s">
        <v>2064</v>
      </c>
      <c r="V271" s="23"/>
      <c r="W271" s="23">
        <v>46120</v>
      </c>
      <c r="X271" s="23" t="s">
        <v>1807</v>
      </c>
      <c r="Y271" s="23"/>
    </row>
    <row r="272" spans="1:25">
      <c r="A272" s="23" t="s">
        <v>2474</v>
      </c>
      <c r="B272" s="23">
        <v>7</v>
      </c>
      <c r="C272" s="23" t="s">
        <v>2486</v>
      </c>
      <c r="D272" s="23" t="s">
        <v>262</v>
      </c>
      <c r="E272" s="23" t="s">
        <v>166</v>
      </c>
      <c r="F272" s="23" t="s">
        <v>832</v>
      </c>
      <c r="G272" s="23" t="s">
        <v>246</v>
      </c>
      <c r="H272" s="23" t="s">
        <v>2493</v>
      </c>
      <c r="I272" s="23">
        <v>44832</v>
      </c>
      <c r="J272" s="23" t="s">
        <v>2492</v>
      </c>
      <c r="K272" s="23" t="s">
        <v>2490</v>
      </c>
      <c r="L272" s="23" t="s">
        <v>834</v>
      </c>
      <c r="M272" s="23">
        <v>2059318.21</v>
      </c>
      <c r="N272" s="23" t="s">
        <v>246</v>
      </c>
      <c r="O272" s="23" t="s">
        <v>246</v>
      </c>
      <c r="P272" s="23" t="s">
        <v>2476</v>
      </c>
      <c r="Q272" s="23"/>
      <c r="R272" s="23" t="s">
        <v>1226</v>
      </c>
      <c r="S272" s="23" t="s">
        <v>2794</v>
      </c>
      <c r="T272" s="23" t="s">
        <v>1227</v>
      </c>
      <c r="U272" s="23" t="s">
        <v>2035</v>
      </c>
      <c r="V272" s="23"/>
      <c r="W272" s="23">
        <v>46049</v>
      </c>
      <c r="X272" s="23" t="s">
        <v>2494</v>
      </c>
      <c r="Y272" s="23"/>
    </row>
    <row r="273" spans="1:25">
      <c r="A273" s="23" t="s">
        <v>2474</v>
      </c>
      <c r="B273" s="23">
        <v>8</v>
      </c>
      <c r="C273" s="23" t="s">
        <v>2486</v>
      </c>
      <c r="D273" s="23" t="s">
        <v>853</v>
      </c>
      <c r="E273" s="23" t="s">
        <v>845</v>
      </c>
      <c r="F273" s="23" t="s">
        <v>825</v>
      </c>
      <c r="G273" s="23" t="s">
        <v>2795</v>
      </c>
      <c r="H273" s="23" t="s">
        <v>2501</v>
      </c>
      <c r="I273" s="23">
        <v>44575</v>
      </c>
      <c r="J273" s="23" t="s">
        <v>2500</v>
      </c>
      <c r="K273" s="23" t="s">
        <v>2497</v>
      </c>
      <c r="L273" s="23" t="s">
        <v>848</v>
      </c>
      <c r="M273" s="23">
        <v>1331548.8999999999</v>
      </c>
      <c r="N273" s="23">
        <v>1331548.8999999999</v>
      </c>
      <c r="O273" s="23" t="s">
        <v>246</v>
      </c>
      <c r="P273" s="23" t="s">
        <v>2476</v>
      </c>
      <c r="Q273" s="23"/>
      <c r="R273" s="23" t="s">
        <v>246</v>
      </c>
      <c r="S273" s="23">
        <v>1331548.8999999999</v>
      </c>
      <c r="T273" s="23" t="s">
        <v>1224</v>
      </c>
      <c r="U273" s="23" t="s">
        <v>2064</v>
      </c>
      <c r="V273" s="23"/>
      <c r="W273" s="23">
        <v>46120</v>
      </c>
      <c r="X273" s="23" t="s">
        <v>1807</v>
      </c>
      <c r="Y273" s="23"/>
    </row>
    <row r="274" spans="1:25">
      <c r="A274" s="23" t="s">
        <v>2474</v>
      </c>
      <c r="B274" s="23">
        <v>9</v>
      </c>
      <c r="C274" s="23" t="s">
        <v>2486</v>
      </c>
      <c r="D274" s="23" t="s">
        <v>858</v>
      </c>
      <c r="E274" s="23" t="s">
        <v>826</v>
      </c>
      <c r="F274" s="23" t="s">
        <v>845</v>
      </c>
      <c r="G274" s="23" t="s">
        <v>246</v>
      </c>
      <c r="H274" s="23" t="s">
        <v>2505</v>
      </c>
      <c r="I274" s="23">
        <v>2023</v>
      </c>
      <c r="J274" s="23" t="s">
        <v>2504</v>
      </c>
      <c r="K274" s="23" t="s">
        <v>2796</v>
      </c>
      <c r="L274" s="23"/>
      <c r="M274" s="23" t="s">
        <v>246</v>
      </c>
      <c r="N274" s="23" t="s">
        <v>246</v>
      </c>
      <c r="O274" s="23" t="s">
        <v>246</v>
      </c>
      <c r="P274" s="23" t="s">
        <v>2797</v>
      </c>
      <c r="Q274" s="23"/>
      <c r="R274" s="23" t="s">
        <v>246</v>
      </c>
      <c r="S274" s="23" t="s">
        <v>246</v>
      </c>
      <c r="T274" s="23" t="s">
        <v>1224</v>
      </c>
      <c r="U274" s="23" t="s">
        <v>2064</v>
      </c>
      <c r="V274" s="23"/>
      <c r="W274" s="23">
        <v>46120</v>
      </c>
      <c r="X274" s="23" t="s">
        <v>1807</v>
      </c>
      <c r="Y274" s="23"/>
    </row>
    <row r="275" spans="1:25">
      <c r="A275" s="23" t="s">
        <v>2474</v>
      </c>
      <c r="B275" s="23">
        <v>10</v>
      </c>
      <c r="C275" s="23" t="s">
        <v>2486</v>
      </c>
      <c r="D275" s="23" t="s">
        <v>858</v>
      </c>
      <c r="E275" s="23" t="s">
        <v>826</v>
      </c>
      <c r="F275" s="23" t="s">
        <v>860</v>
      </c>
      <c r="G275" s="23" t="s">
        <v>246</v>
      </c>
      <c r="H275" s="23" t="s">
        <v>2511</v>
      </c>
      <c r="I275" s="23">
        <v>44263</v>
      </c>
      <c r="J275" s="23" t="s">
        <v>2510</v>
      </c>
      <c r="K275" s="23" t="s">
        <v>2508</v>
      </c>
      <c r="L275" s="23" t="s">
        <v>862</v>
      </c>
      <c r="M275" s="23" t="s">
        <v>246</v>
      </c>
      <c r="N275" s="23" t="s">
        <v>246</v>
      </c>
      <c r="O275" s="23" t="s">
        <v>246</v>
      </c>
      <c r="P275" s="23" t="s">
        <v>2507</v>
      </c>
      <c r="Q275" s="23"/>
      <c r="R275" s="23" t="s">
        <v>246</v>
      </c>
      <c r="S275" s="23" t="s">
        <v>246</v>
      </c>
      <c r="T275" s="23" t="s">
        <v>1224</v>
      </c>
      <c r="U275" s="23" t="s">
        <v>2064</v>
      </c>
      <c r="V275" s="23"/>
      <c r="W275" s="23">
        <v>46120</v>
      </c>
      <c r="X275" s="23" t="s">
        <v>1807</v>
      </c>
      <c r="Y275" s="23"/>
    </row>
    <row r="276" spans="1:25">
      <c r="A276" s="23" t="s">
        <v>2474</v>
      </c>
      <c r="B276" s="23">
        <v>11</v>
      </c>
      <c r="C276" s="23" t="s">
        <v>2486</v>
      </c>
      <c r="D276" s="23" t="s">
        <v>870</v>
      </c>
      <c r="E276" s="23" t="s">
        <v>826</v>
      </c>
      <c r="F276" s="23" t="s">
        <v>860</v>
      </c>
      <c r="G276" s="23" t="s">
        <v>869</v>
      </c>
      <c r="H276" s="23" t="s">
        <v>2515</v>
      </c>
      <c r="I276" s="23">
        <v>44686</v>
      </c>
      <c r="J276" s="23" t="s">
        <v>2510</v>
      </c>
      <c r="K276" s="23" t="s">
        <v>2798</v>
      </c>
      <c r="L276" s="23" t="s">
        <v>866</v>
      </c>
      <c r="M276" s="23">
        <v>1760543.1</v>
      </c>
      <c r="N276" s="23">
        <v>1760543.1</v>
      </c>
      <c r="O276" s="23" t="s">
        <v>246</v>
      </c>
      <c r="P276" s="23" t="s">
        <v>2507</v>
      </c>
      <c r="Q276" s="23"/>
      <c r="R276" s="23" t="s">
        <v>246</v>
      </c>
      <c r="S276" s="23" t="s">
        <v>2799</v>
      </c>
      <c r="T276" s="23" t="s">
        <v>1224</v>
      </c>
      <c r="U276" s="23" t="s">
        <v>2064</v>
      </c>
      <c r="V276" s="23"/>
      <c r="W276" s="23">
        <v>46120</v>
      </c>
      <c r="X276" s="23" t="s">
        <v>1807</v>
      </c>
      <c r="Y276" s="23"/>
    </row>
    <row r="277" spans="1:25">
      <c r="A277" s="23" t="s">
        <v>2474</v>
      </c>
      <c r="B277" s="23">
        <v>12</v>
      </c>
      <c r="C277" s="23" t="s">
        <v>2486</v>
      </c>
      <c r="D277" s="23" t="s">
        <v>262</v>
      </c>
      <c r="E277" s="23" t="s">
        <v>166</v>
      </c>
      <c r="F277" s="23" t="s">
        <v>832</v>
      </c>
      <c r="G277" s="23"/>
      <c r="H277" s="23" t="s">
        <v>2519</v>
      </c>
      <c r="I277" s="23">
        <v>2022</v>
      </c>
      <c r="J277" s="23" t="s">
        <v>2518</v>
      </c>
      <c r="K277" s="23" t="s">
        <v>2800</v>
      </c>
      <c r="L277" s="23" t="s">
        <v>873</v>
      </c>
      <c r="M277" s="23">
        <v>1534163.28</v>
      </c>
      <c r="N277" s="23">
        <v>1534163.28</v>
      </c>
      <c r="O277" s="23" t="s">
        <v>246</v>
      </c>
      <c r="P277" s="23" t="s">
        <v>2476</v>
      </c>
      <c r="Q277" s="23"/>
      <c r="R277" s="23" t="s">
        <v>246</v>
      </c>
      <c r="S277" s="23">
        <v>1534163.28</v>
      </c>
      <c r="T277" s="23" t="s">
        <v>1224</v>
      </c>
      <c r="U277" s="23" t="s">
        <v>2064</v>
      </c>
      <c r="V277" s="23"/>
      <c r="W277" s="23">
        <v>46120</v>
      </c>
      <c r="X277" s="23" t="s">
        <v>1807</v>
      </c>
      <c r="Y277" s="23"/>
    </row>
    <row r="278" spans="1:25">
      <c r="A278" s="23" t="s">
        <v>2474</v>
      </c>
      <c r="B278" s="23">
        <v>13</v>
      </c>
      <c r="C278" s="23" t="s">
        <v>2486</v>
      </c>
      <c r="D278" s="23" t="s">
        <v>858</v>
      </c>
      <c r="E278" s="23" t="s">
        <v>878</v>
      </c>
      <c r="F278" s="23" t="s">
        <v>877</v>
      </c>
      <c r="G278" s="23" t="s">
        <v>246</v>
      </c>
      <c r="H278" s="23" t="s">
        <v>2523</v>
      </c>
      <c r="I278" s="23">
        <v>2024</v>
      </c>
      <c r="J278" s="23" t="s">
        <v>2522</v>
      </c>
      <c r="K278" s="23" t="s">
        <v>1624</v>
      </c>
      <c r="L278" s="23" t="s">
        <v>880</v>
      </c>
      <c r="M278" s="23">
        <v>10000</v>
      </c>
      <c r="N278" s="23" t="s">
        <v>246</v>
      </c>
      <c r="O278" s="23" t="s">
        <v>246</v>
      </c>
      <c r="P278" s="23" t="s">
        <v>2476</v>
      </c>
      <c r="Q278" s="23"/>
      <c r="R278" s="23"/>
      <c r="S278" s="23"/>
      <c r="T278" s="23"/>
      <c r="U278" s="23" t="s">
        <v>2015</v>
      </c>
      <c r="V278" s="23"/>
      <c r="W278" s="23">
        <v>45901</v>
      </c>
      <c r="X278" s="23"/>
      <c r="Y278" s="23"/>
    </row>
    <row r="279" spans="1:25">
      <c r="A279" s="23" t="s">
        <v>2474</v>
      </c>
      <c r="B279" s="23">
        <v>14</v>
      </c>
      <c r="C279" s="23" t="s">
        <v>2486</v>
      </c>
      <c r="D279" s="23" t="s">
        <v>858</v>
      </c>
      <c r="E279" s="23" t="s">
        <v>878</v>
      </c>
      <c r="F279" s="23" t="s">
        <v>877</v>
      </c>
      <c r="G279" s="23" t="s">
        <v>246</v>
      </c>
      <c r="H279" s="23" t="s">
        <v>2527</v>
      </c>
      <c r="I279" s="23">
        <v>2024</v>
      </c>
      <c r="J279" s="23" t="s">
        <v>2526</v>
      </c>
      <c r="K279" s="23" t="s">
        <v>2524</v>
      </c>
      <c r="L279" s="23" t="s">
        <v>885</v>
      </c>
      <c r="M279" s="23">
        <v>204105.73</v>
      </c>
      <c r="N279" s="23" t="s">
        <v>246</v>
      </c>
      <c r="O279" s="23" t="s">
        <v>246</v>
      </c>
      <c r="P279" s="23" t="s">
        <v>2476</v>
      </c>
      <c r="Q279" s="23"/>
      <c r="R279" s="23" t="s">
        <v>246</v>
      </c>
      <c r="S279" s="23" t="s">
        <v>246</v>
      </c>
      <c r="T279" s="23" t="s">
        <v>246</v>
      </c>
      <c r="U279" s="23" t="s">
        <v>2015</v>
      </c>
      <c r="V279" s="23"/>
      <c r="W279" s="23">
        <v>46049</v>
      </c>
      <c r="X279" s="23" t="s">
        <v>246</v>
      </c>
      <c r="Y279" s="23"/>
    </row>
    <row r="280" spans="1:25">
      <c r="A280" s="23" t="s">
        <v>2474</v>
      </c>
      <c r="B280" s="23">
        <v>15</v>
      </c>
      <c r="C280" s="23" t="s">
        <v>2486</v>
      </c>
      <c r="D280" s="23" t="s">
        <v>246</v>
      </c>
      <c r="E280" s="23" t="s">
        <v>890</v>
      </c>
      <c r="F280" s="23" t="s">
        <v>889</v>
      </c>
      <c r="G280" s="23" t="s">
        <v>246</v>
      </c>
      <c r="H280" s="23" t="s">
        <v>2531</v>
      </c>
      <c r="I280" s="23">
        <v>41292</v>
      </c>
      <c r="J280" s="23" t="s">
        <v>2801</v>
      </c>
      <c r="K280" s="23" t="s">
        <v>892</v>
      </c>
      <c r="L280" s="23" t="s">
        <v>892</v>
      </c>
      <c r="M280" s="23">
        <v>1534163.28</v>
      </c>
      <c r="N280" s="23">
        <v>1534163.28</v>
      </c>
      <c r="O280" s="23" t="s">
        <v>246</v>
      </c>
      <c r="P280" s="23" t="s">
        <v>2802</v>
      </c>
      <c r="Q280" s="23"/>
      <c r="R280" s="23" t="s">
        <v>246</v>
      </c>
      <c r="S280" s="23">
        <v>1534163.28</v>
      </c>
      <c r="T280" s="23" t="s">
        <v>1237</v>
      </c>
      <c r="U280" s="23" t="s">
        <v>2064</v>
      </c>
      <c r="V280" s="23"/>
      <c r="W280" s="23">
        <v>46120</v>
      </c>
      <c r="X280" s="23" t="s">
        <v>2532</v>
      </c>
      <c r="Y280" s="23"/>
    </row>
    <row r="281" spans="1:25">
      <c r="A281" s="23" t="s">
        <v>2474</v>
      </c>
      <c r="B281" s="23">
        <v>16</v>
      </c>
      <c r="C281" s="23" t="s">
        <v>2479</v>
      </c>
      <c r="D281" s="23" t="s">
        <v>900</v>
      </c>
      <c r="E281" s="23" t="s">
        <v>896</v>
      </c>
      <c r="F281" s="23" t="s">
        <v>825</v>
      </c>
      <c r="G281" s="23" t="s">
        <v>895</v>
      </c>
      <c r="H281" s="23" t="s">
        <v>246</v>
      </c>
      <c r="I281" s="23">
        <v>2024</v>
      </c>
      <c r="J281" s="23"/>
      <c r="K281" s="23" t="s">
        <v>2533</v>
      </c>
      <c r="L281" s="23" t="s">
        <v>897</v>
      </c>
      <c r="M281" s="23">
        <v>42025.91</v>
      </c>
      <c r="N281" s="23" t="s">
        <v>246</v>
      </c>
      <c r="O281" s="23" t="s">
        <v>246</v>
      </c>
      <c r="P281" s="23"/>
      <c r="Q281" s="23"/>
      <c r="R281" s="23" t="s">
        <v>1226</v>
      </c>
      <c r="S281" s="23">
        <v>42025.91</v>
      </c>
      <c r="T281" s="23" t="s">
        <v>1227</v>
      </c>
      <c r="U281" s="23" t="s">
        <v>2015</v>
      </c>
      <c r="V281" s="23"/>
      <c r="W281" s="23">
        <v>46190</v>
      </c>
      <c r="X281" s="23">
        <v>0.25</v>
      </c>
      <c r="Y281" s="23"/>
    </row>
    <row r="282" spans="1:25">
      <c r="A282" s="23" t="s">
        <v>2474</v>
      </c>
      <c r="B282" s="23">
        <v>17</v>
      </c>
      <c r="C282" s="23" t="s">
        <v>2486</v>
      </c>
      <c r="D282" s="23" t="s">
        <v>907</v>
      </c>
      <c r="E282" s="23" t="s">
        <v>826</v>
      </c>
      <c r="F282" s="23" t="s">
        <v>896</v>
      </c>
      <c r="G282" s="23" t="s">
        <v>906</v>
      </c>
      <c r="H282" s="23" t="s">
        <v>905</v>
      </c>
      <c r="I282" s="23">
        <v>2025</v>
      </c>
      <c r="J282" s="23"/>
      <c r="K282" s="23" t="s">
        <v>1635</v>
      </c>
      <c r="L282" s="23" t="s">
        <v>902</v>
      </c>
      <c r="M282" s="23" t="s">
        <v>1240</v>
      </c>
      <c r="N282" s="23" t="s">
        <v>1240</v>
      </c>
      <c r="O282" s="23" t="s">
        <v>1240</v>
      </c>
      <c r="P282" s="23"/>
      <c r="Q282" s="23"/>
      <c r="R282" s="23" t="s">
        <v>1240</v>
      </c>
      <c r="S282" s="23" t="s">
        <v>1240</v>
      </c>
      <c r="T282" s="23" t="s">
        <v>1240</v>
      </c>
      <c r="U282" s="23" t="s">
        <v>2064</v>
      </c>
      <c r="V282" s="23"/>
      <c r="W282" s="23">
        <v>46120</v>
      </c>
      <c r="X282" s="23" t="s">
        <v>1240</v>
      </c>
      <c r="Y282" s="23"/>
    </row>
    <row r="283" spans="1:25">
      <c r="A283" s="23" t="s">
        <v>2474</v>
      </c>
      <c r="B283" s="23">
        <v>18</v>
      </c>
      <c r="C283" s="23" t="s">
        <v>2479</v>
      </c>
      <c r="D283" s="23" t="s">
        <v>911</v>
      </c>
      <c r="E283" s="23" t="s">
        <v>826</v>
      </c>
      <c r="F283" s="23" t="s">
        <v>896</v>
      </c>
      <c r="G283" s="23" t="s">
        <v>906</v>
      </c>
      <c r="H283" s="23" t="s">
        <v>905</v>
      </c>
      <c r="I283" s="23">
        <v>2021</v>
      </c>
      <c r="J283" s="23"/>
      <c r="K283" s="23" t="s">
        <v>1638</v>
      </c>
      <c r="L283" s="23"/>
      <c r="M283" s="23">
        <v>1125695.24</v>
      </c>
      <c r="N283" s="23">
        <v>1125695.24</v>
      </c>
      <c r="O283" s="23" t="s">
        <v>246</v>
      </c>
      <c r="P283" s="23"/>
      <c r="Q283" s="23"/>
      <c r="R283" s="23" t="s">
        <v>246</v>
      </c>
      <c r="S283" s="23">
        <v>1125695.24</v>
      </c>
      <c r="T283" s="23" t="s">
        <v>1224</v>
      </c>
      <c r="U283" s="23" t="s">
        <v>2064</v>
      </c>
      <c r="V283" s="23"/>
      <c r="W283" s="23">
        <v>46120</v>
      </c>
      <c r="X283" s="23" t="s">
        <v>1807</v>
      </c>
      <c r="Y283" s="23"/>
    </row>
    <row r="284" spans="1:25">
      <c r="A284" s="23" t="s">
        <v>2474</v>
      </c>
      <c r="B284" s="23">
        <v>19</v>
      </c>
      <c r="C284" s="23" t="s">
        <v>2479</v>
      </c>
      <c r="D284" s="23" t="s">
        <v>916</v>
      </c>
      <c r="E284" s="23" t="s">
        <v>826</v>
      </c>
      <c r="F284" s="23" t="s">
        <v>896</v>
      </c>
      <c r="G284" s="23" t="s">
        <v>912</v>
      </c>
      <c r="H284" s="23" t="s">
        <v>246</v>
      </c>
      <c r="I284" s="23">
        <v>2026</v>
      </c>
      <c r="J284" s="23"/>
      <c r="K284" s="23" t="s">
        <v>1641</v>
      </c>
      <c r="L284" s="23" t="s">
        <v>913</v>
      </c>
      <c r="M284" s="23"/>
      <c r="N284" s="23"/>
      <c r="O284" s="23"/>
      <c r="P284" s="23"/>
      <c r="Q284" s="23"/>
      <c r="R284" s="23"/>
      <c r="S284" s="23"/>
      <c r="T284" s="23"/>
      <c r="U284" s="23" t="s">
        <v>2064</v>
      </c>
      <c r="V284" s="23"/>
      <c r="W284" s="23">
        <v>46122</v>
      </c>
      <c r="X284" s="23"/>
      <c r="Y284" s="23"/>
    </row>
    <row r="285" spans="1:25">
      <c r="A285" s="23" t="s">
        <v>2541</v>
      </c>
      <c r="B285" s="23">
        <v>5</v>
      </c>
      <c r="C285" s="23" t="s">
        <v>2479</v>
      </c>
      <c r="D285" s="23" t="s">
        <v>923</v>
      </c>
      <c r="E285" s="23" t="s">
        <v>166</v>
      </c>
      <c r="F285" s="23" t="s">
        <v>919</v>
      </c>
      <c r="G285" s="23" t="s">
        <v>2803</v>
      </c>
      <c r="H285" s="23" t="s">
        <v>246</v>
      </c>
      <c r="I285" s="23">
        <v>42023</v>
      </c>
      <c r="J285" s="23" t="s">
        <v>2480</v>
      </c>
      <c r="K285" s="23" t="s">
        <v>2804</v>
      </c>
      <c r="L285" s="23" t="s">
        <v>2805</v>
      </c>
      <c r="M285" s="23" t="s">
        <v>2806</v>
      </c>
      <c r="N285" s="23" t="s">
        <v>246</v>
      </c>
      <c r="O285" s="23" t="s">
        <v>246</v>
      </c>
      <c r="P285" s="23" t="s">
        <v>2543</v>
      </c>
      <c r="Q285" s="23"/>
      <c r="R285" s="23"/>
      <c r="S285" s="23"/>
      <c r="T285" s="23"/>
      <c r="U285" s="23"/>
      <c r="V285" s="23"/>
      <c r="W285" s="23">
        <v>45790</v>
      </c>
      <c r="X285" s="23"/>
      <c r="Y285" s="23" t="s">
        <v>1940</v>
      </c>
    </row>
    <row r="286" spans="1:25">
      <c r="A286" s="23" t="s">
        <v>2541</v>
      </c>
      <c r="B286" s="23">
        <v>6</v>
      </c>
      <c r="C286" s="23" t="s">
        <v>2479</v>
      </c>
      <c r="D286" s="23" t="s">
        <v>923</v>
      </c>
      <c r="E286" s="23" t="s">
        <v>166</v>
      </c>
      <c r="F286" s="23" t="s">
        <v>919</v>
      </c>
      <c r="G286" s="23" t="s">
        <v>924</v>
      </c>
      <c r="H286" s="23" t="s">
        <v>246</v>
      </c>
      <c r="I286" s="23">
        <v>2015</v>
      </c>
      <c r="J286" s="23" t="s">
        <v>2480</v>
      </c>
      <c r="K286" s="23" t="s">
        <v>2807</v>
      </c>
      <c r="L286" s="23" t="s">
        <v>2808</v>
      </c>
      <c r="M286" s="23" t="s">
        <v>2809</v>
      </c>
      <c r="N286" s="23" t="s">
        <v>246</v>
      </c>
      <c r="O286" s="23" t="s">
        <v>246</v>
      </c>
      <c r="P286" s="23" t="s">
        <v>2543</v>
      </c>
      <c r="Q286" s="23"/>
      <c r="R286" s="23"/>
      <c r="S286" s="23"/>
      <c r="T286" s="23"/>
      <c r="U286" s="23"/>
      <c r="V286" s="23"/>
      <c r="W286" s="23">
        <v>45852</v>
      </c>
      <c r="X286" s="23"/>
      <c r="Y286" s="23" t="s">
        <v>1940</v>
      </c>
    </row>
    <row r="287" spans="1:25">
      <c r="A287" s="23" t="s">
        <v>2541</v>
      </c>
      <c r="B287" s="23">
        <v>7</v>
      </c>
      <c r="C287" s="23" t="s">
        <v>2479</v>
      </c>
      <c r="D287" s="23" t="s">
        <v>923</v>
      </c>
      <c r="E287" s="23" t="s">
        <v>166</v>
      </c>
      <c r="F287" s="23" t="s">
        <v>919</v>
      </c>
      <c r="G287" s="23" t="s">
        <v>928</v>
      </c>
      <c r="H287" s="23" t="s">
        <v>246</v>
      </c>
      <c r="I287" s="23">
        <v>43717</v>
      </c>
      <c r="J287" s="23" t="s">
        <v>2480</v>
      </c>
      <c r="K287" s="23" t="s">
        <v>1650</v>
      </c>
      <c r="L287" s="23" t="s">
        <v>2810</v>
      </c>
      <c r="M287" s="23">
        <v>350000</v>
      </c>
      <c r="N287" s="23" t="s">
        <v>246</v>
      </c>
      <c r="O287" s="23" t="s">
        <v>246</v>
      </c>
      <c r="P287" s="23" t="s">
        <v>2543</v>
      </c>
      <c r="Q287" s="23"/>
      <c r="R287" s="23" t="s">
        <v>246</v>
      </c>
      <c r="S287" s="23">
        <v>350000</v>
      </c>
      <c r="T287" s="23" t="s">
        <v>1246</v>
      </c>
      <c r="U287" s="23"/>
      <c r="V287" s="23"/>
      <c r="W287" s="23">
        <v>46112</v>
      </c>
      <c r="X287" s="23" t="s">
        <v>1807</v>
      </c>
      <c r="Y287" s="23" t="s">
        <v>2064</v>
      </c>
    </row>
    <row r="288" spans="1:25">
      <c r="A288" s="23" t="s">
        <v>2541</v>
      </c>
      <c r="B288" s="23">
        <v>8</v>
      </c>
      <c r="C288" s="23" t="s">
        <v>2486</v>
      </c>
      <c r="D288" s="23" t="s">
        <v>940</v>
      </c>
      <c r="E288" s="23" t="s">
        <v>934</v>
      </c>
      <c r="F288" s="23" t="s">
        <v>919</v>
      </c>
      <c r="G288" s="23" t="s">
        <v>2811</v>
      </c>
      <c r="H288" s="23" t="s">
        <v>2559</v>
      </c>
      <c r="I288" s="23">
        <v>2023</v>
      </c>
      <c r="J288" s="23" t="s">
        <v>2278</v>
      </c>
      <c r="K288" s="23" t="s">
        <v>2812</v>
      </c>
      <c r="L288" s="23" t="s">
        <v>936</v>
      </c>
      <c r="M288" s="23">
        <v>78000000</v>
      </c>
      <c r="N288" s="23" t="s">
        <v>246</v>
      </c>
      <c r="O288" s="23" t="s">
        <v>246</v>
      </c>
      <c r="P288" s="23" t="s">
        <v>2543</v>
      </c>
      <c r="Q288" s="23"/>
      <c r="R288" s="23" t="s">
        <v>246</v>
      </c>
      <c r="S288" s="23">
        <v>4680000</v>
      </c>
      <c r="T288" s="23" t="s">
        <v>1248</v>
      </c>
      <c r="U288" s="23"/>
      <c r="V288" s="23"/>
      <c r="W288" s="23">
        <v>46112</v>
      </c>
      <c r="X288" s="23" t="s">
        <v>1810</v>
      </c>
      <c r="Y288" s="23" t="s">
        <v>2064</v>
      </c>
    </row>
    <row r="289" spans="1:25">
      <c r="A289" s="23" t="s">
        <v>2541</v>
      </c>
      <c r="B289" s="23">
        <v>9</v>
      </c>
      <c r="C289" s="23" t="s">
        <v>2479</v>
      </c>
      <c r="D289" s="23" t="s">
        <v>940</v>
      </c>
      <c r="E289" s="23" t="s">
        <v>934</v>
      </c>
      <c r="F289" s="23" t="s">
        <v>919</v>
      </c>
      <c r="G289" s="23" t="s">
        <v>941</v>
      </c>
      <c r="H289" s="23" t="s">
        <v>246</v>
      </c>
      <c r="I289" s="23">
        <v>44224</v>
      </c>
      <c r="J289" s="23" t="s">
        <v>2480</v>
      </c>
      <c r="K289" s="23" t="s">
        <v>2813</v>
      </c>
      <c r="L289" s="23" t="s">
        <v>2814</v>
      </c>
      <c r="M289" s="23" t="s">
        <v>2815</v>
      </c>
      <c r="N289" s="23" t="s">
        <v>246</v>
      </c>
      <c r="O289" s="23" t="s">
        <v>246</v>
      </c>
      <c r="P289" s="23" t="s">
        <v>2543</v>
      </c>
      <c r="Q289" s="23"/>
      <c r="R289" s="23"/>
      <c r="S289" s="23"/>
      <c r="T289" s="23"/>
      <c r="U289" s="23"/>
      <c r="V289" s="23"/>
      <c r="W289" s="23">
        <v>45751</v>
      </c>
      <c r="X289" s="23"/>
      <c r="Y289" s="23" t="s">
        <v>1940</v>
      </c>
    </row>
    <row r="290" spans="1:25">
      <c r="A290" s="23" t="s">
        <v>2541</v>
      </c>
      <c r="B290" s="23">
        <v>10</v>
      </c>
      <c r="C290" s="23" t="s">
        <v>2479</v>
      </c>
      <c r="D290" s="23" t="s">
        <v>940</v>
      </c>
      <c r="E290" s="23" t="s">
        <v>934</v>
      </c>
      <c r="F290" s="23" t="s">
        <v>919</v>
      </c>
      <c r="G290" s="23" t="s">
        <v>950</v>
      </c>
      <c r="H290" s="23" t="s">
        <v>2816</v>
      </c>
      <c r="I290" s="23">
        <v>2021</v>
      </c>
      <c r="J290" s="23" t="s">
        <v>2278</v>
      </c>
      <c r="K290" s="23" t="s">
        <v>2817</v>
      </c>
      <c r="L290" s="23" t="s">
        <v>947</v>
      </c>
      <c r="M290" s="23">
        <v>3500000</v>
      </c>
      <c r="N290" s="23" t="s">
        <v>246</v>
      </c>
      <c r="O290" s="23" t="s">
        <v>246</v>
      </c>
      <c r="P290" s="23" t="s">
        <v>2543</v>
      </c>
      <c r="Q290" s="23"/>
      <c r="R290" s="23" t="s">
        <v>246</v>
      </c>
      <c r="S290" s="23">
        <v>210000</v>
      </c>
      <c r="T290" s="23" t="s">
        <v>1248</v>
      </c>
      <c r="U290" s="23"/>
      <c r="V290" s="23"/>
      <c r="W290" s="23">
        <v>46253</v>
      </c>
      <c r="X290" s="23" t="s">
        <v>1810</v>
      </c>
      <c r="Y290" s="23" t="s">
        <v>2064</v>
      </c>
    </row>
    <row r="291" spans="1:25">
      <c r="A291" s="23" t="s">
        <v>2541</v>
      </c>
      <c r="B291" s="23">
        <v>11</v>
      </c>
      <c r="C291" s="23" t="s">
        <v>2486</v>
      </c>
      <c r="D291" s="23" t="s">
        <v>940</v>
      </c>
      <c r="E291" s="23" t="s">
        <v>934</v>
      </c>
      <c r="F291" s="23" t="s">
        <v>919</v>
      </c>
      <c r="G291" s="23" t="s">
        <v>2818</v>
      </c>
      <c r="H291" s="23" t="s">
        <v>2569</v>
      </c>
      <c r="I291" s="23">
        <v>2021</v>
      </c>
      <c r="J291" s="23" t="s">
        <v>2278</v>
      </c>
      <c r="K291" s="23" t="s">
        <v>2819</v>
      </c>
      <c r="L291" s="23" t="s">
        <v>2820</v>
      </c>
      <c r="M291" s="23">
        <v>12000000</v>
      </c>
      <c r="N291" s="23" t="s">
        <v>246</v>
      </c>
      <c r="O291" s="23" t="s">
        <v>246</v>
      </c>
      <c r="P291" s="23" t="s">
        <v>2543</v>
      </c>
      <c r="Q291" s="23"/>
      <c r="R291" s="23" t="s">
        <v>246</v>
      </c>
      <c r="S291" s="23">
        <v>720000</v>
      </c>
      <c r="T291" s="23" t="s">
        <v>1248</v>
      </c>
      <c r="U291" s="23"/>
      <c r="V291" s="23"/>
      <c r="W291" s="23">
        <v>46112</v>
      </c>
      <c r="X291" s="23" t="s">
        <v>1810</v>
      </c>
      <c r="Y291" s="23" t="s">
        <v>2064</v>
      </c>
    </row>
    <row r="292" spans="1:25">
      <c r="A292" s="23" t="s">
        <v>2541</v>
      </c>
      <c r="B292" s="23">
        <v>12</v>
      </c>
      <c r="C292" s="23" t="s">
        <v>2479</v>
      </c>
      <c r="D292" s="23" t="s">
        <v>940</v>
      </c>
      <c r="E292" s="23" t="s">
        <v>934</v>
      </c>
      <c r="F292" s="23" t="s">
        <v>919</v>
      </c>
      <c r="G292" s="23" t="s">
        <v>2821</v>
      </c>
      <c r="H292" s="23" t="s">
        <v>246</v>
      </c>
      <c r="I292" s="23">
        <v>2020</v>
      </c>
      <c r="J292" s="23" t="s">
        <v>2015</v>
      </c>
      <c r="K292" s="23" t="s">
        <v>2570</v>
      </c>
      <c r="L292" s="23" t="s">
        <v>2822</v>
      </c>
      <c r="M292" s="23" t="s">
        <v>2823</v>
      </c>
      <c r="N292" s="23" t="s">
        <v>246</v>
      </c>
      <c r="O292" s="23" t="s">
        <v>246</v>
      </c>
      <c r="P292" s="23" t="s">
        <v>2543</v>
      </c>
      <c r="Q292" s="23"/>
      <c r="R292" s="23"/>
      <c r="S292" s="23"/>
      <c r="T292" s="23"/>
      <c r="U292" s="23"/>
      <c r="V292" s="23"/>
      <c r="W292" s="23">
        <v>45790</v>
      </c>
      <c r="X292" s="23"/>
      <c r="Y292" s="23" t="s">
        <v>2015</v>
      </c>
    </row>
    <row r="293" spans="1:25">
      <c r="A293" s="23" t="s">
        <v>2541</v>
      </c>
      <c r="B293" s="23">
        <v>13</v>
      </c>
      <c r="C293" s="23" t="s">
        <v>2479</v>
      </c>
      <c r="D293" s="23" t="s">
        <v>940</v>
      </c>
      <c r="E293" s="23" t="s">
        <v>934</v>
      </c>
      <c r="F293" s="23" t="s">
        <v>919</v>
      </c>
      <c r="G293" s="23" t="s">
        <v>960</v>
      </c>
      <c r="H293" s="23" t="s">
        <v>246</v>
      </c>
      <c r="I293" s="23">
        <v>43150</v>
      </c>
      <c r="J293" s="23" t="s">
        <v>2480</v>
      </c>
      <c r="K293" s="23" t="s">
        <v>2824</v>
      </c>
      <c r="L293" s="23" t="s">
        <v>961</v>
      </c>
      <c r="M293" s="23">
        <v>10500000</v>
      </c>
      <c r="N293" s="23" t="s">
        <v>246</v>
      </c>
      <c r="O293" s="23" t="s">
        <v>246</v>
      </c>
      <c r="P293" s="23" t="s">
        <v>2543</v>
      </c>
      <c r="Q293" s="23"/>
      <c r="R293" s="23" t="s">
        <v>246</v>
      </c>
      <c r="S293" s="23">
        <v>10500000</v>
      </c>
      <c r="T293" s="23" t="s">
        <v>1246</v>
      </c>
      <c r="U293" s="23"/>
      <c r="V293" s="23"/>
      <c r="W293" s="23">
        <v>46112</v>
      </c>
      <c r="X293" s="23" t="s">
        <v>1807</v>
      </c>
      <c r="Y293" s="23" t="s">
        <v>2064</v>
      </c>
    </row>
    <row r="294" spans="1:25">
      <c r="A294" s="23" t="s">
        <v>2575</v>
      </c>
      <c r="B294" s="23">
        <v>5</v>
      </c>
      <c r="C294" s="23" t="s">
        <v>2366</v>
      </c>
      <c r="D294" s="23" t="s">
        <v>246</v>
      </c>
      <c r="E294" s="23" t="s">
        <v>166</v>
      </c>
      <c r="F294" s="23" t="s">
        <v>966</v>
      </c>
      <c r="G294" s="23" t="s">
        <v>246</v>
      </c>
      <c r="H294" s="23" t="s">
        <v>2582</v>
      </c>
      <c r="I294" s="23">
        <v>43809</v>
      </c>
      <c r="J294" s="23"/>
      <c r="K294" s="23" t="s">
        <v>2578</v>
      </c>
      <c r="L294" s="23" t="s">
        <v>968</v>
      </c>
      <c r="M294" s="23" t="s">
        <v>2825</v>
      </c>
      <c r="N294" s="23" t="s">
        <v>246</v>
      </c>
      <c r="O294" s="23" t="s">
        <v>246</v>
      </c>
      <c r="P294" s="23" t="s">
        <v>2577</v>
      </c>
      <c r="Q294" s="23"/>
      <c r="R294" s="23"/>
      <c r="S294" s="23"/>
      <c r="T294" s="23"/>
      <c r="U294" s="23" t="s">
        <v>2581</v>
      </c>
      <c r="V294" s="23"/>
      <c r="W294" s="23">
        <v>46080</v>
      </c>
      <c r="X294" s="23"/>
      <c r="Y294" s="23"/>
    </row>
    <row r="295" spans="1:25">
      <c r="A295" s="23" t="s">
        <v>2584</v>
      </c>
      <c r="B295" s="23">
        <v>5</v>
      </c>
      <c r="C295" s="23" t="s">
        <v>2590</v>
      </c>
      <c r="D295" s="23" t="s">
        <v>246</v>
      </c>
      <c r="E295" s="23" t="s">
        <v>975</v>
      </c>
      <c r="F295" s="23" t="s">
        <v>974</v>
      </c>
      <c r="G295" s="23" t="s">
        <v>246</v>
      </c>
      <c r="H295" s="23" t="s">
        <v>2592</v>
      </c>
      <c r="I295" s="23">
        <v>43755</v>
      </c>
      <c r="J295" s="23"/>
      <c r="K295" s="23" t="s">
        <v>2588</v>
      </c>
      <c r="L295" s="23" t="s">
        <v>977</v>
      </c>
      <c r="M295" s="23"/>
      <c r="N295" s="23" t="s">
        <v>246</v>
      </c>
      <c r="O295" s="23" t="s">
        <v>246</v>
      </c>
      <c r="P295" s="23" t="s">
        <v>2586</v>
      </c>
      <c r="Q295" s="23"/>
      <c r="R295" s="23" t="s">
        <v>1256</v>
      </c>
      <c r="S295" s="23"/>
      <c r="T295" s="23" t="s">
        <v>1257</v>
      </c>
      <c r="U295" s="23" t="s">
        <v>2591</v>
      </c>
      <c r="V295" s="23"/>
      <c r="W295" s="23">
        <v>46080</v>
      </c>
      <c r="X295" s="23" t="s">
        <v>2593</v>
      </c>
      <c r="Y295" s="23"/>
    </row>
    <row r="296" spans="1:25">
      <c r="A296" s="23" t="s">
        <v>2594</v>
      </c>
      <c r="B296" s="23">
        <v>5</v>
      </c>
      <c r="C296" s="23" t="s">
        <v>2486</v>
      </c>
      <c r="D296" s="23" t="s">
        <v>991</v>
      </c>
      <c r="E296" s="23" t="s">
        <v>984</v>
      </c>
      <c r="F296" s="23" t="s">
        <v>983</v>
      </c>
      <c r="G296" s="23" t="s">
        <v>990</v>
      </c>
      <c r="H296" s="23" t="s">
        <v>2598</v>
      </c>
      <c r="I296" s="23">
        <v>43833</v>
      </c>
      <c r="J296" s="23" t="s">
        <v>2077</v>
      </c>
      <c r="K296" s="23" t="s">
        <v>1677</v>
      </c>
      <c r="L296" s="23" t="s">
        <v>986</v>
      </c>
      <c r="M296" s="23" t="s">
        <v>2826</v>
      </c>
      <c r="N296" s="23" t="s">
        <v>246</v>
      </c>
      <c r="O296" s="23" t="s">
        <v>246</v>
      </c>
      <c r="P296" s="23" t="s">
        <v>2596</v>
      </c>
      <c r="Q296" s="23" t="s">
        <v>2599</v>
      </c>
      <c r="R296" s="23" t="s">
        <v>1259</v>
      </c>
      <c r="S296" s="23" t="s">
        <v>2827</v>
      </c>
      <c r="T296" s="23" t="s">
        <v>1260</v>
      </c>
      <c r="U296" s="23" t="s">
        <v>2064</v>
      </c>
      <c r="V296" s="23"/>
      <c r="W296" s="23">
        <v>46077</v>
      </c>
      <c r="X296" s="23"/>
      <c r="Y296" s="23"/>
    </row>
    <row r="297" spans="1:25">
      <c r="A297" s="23" t="s">
        <v>2594</v>
      </c>
      <c r="B297" s="23">
        <v>6</v>
      </c>
      <c r="C297" s="23" t="s">
        <v>2604</v>
      </c>
      <c r="D297" s="23" t="s">
        <v>246</v>
      </c>
      <c r="E297" s="23" t="s">
        <v>995</v>
      </c>
      <c r="F297" s="23" t="s">
        <v>994</v>
      </c>
      <c r="G297" s="23" t="s">
        <v>246</v>
      </c>
      <c r="H297" s="23" t="s">
        <v>2605</v>
      </c>
      <c r="I297" s="23">
        <v>44974</v>
      </c>
      <c r="J297" s="23"/>
      <c r="K297" s="23" t="s">
        <v>1680</v>
      </c>
      <c r="L297" s="23" t="s">
        <v>996</v>
      </c>
      <c r="M297" s="23" t="s">
        <v>246</v>
      </c>
      <c r="N297" s="23" t="s">
        <v>246</v>
      </c>
      <c r="O297" s="23" t="s">
        <v>246</v>
      </c>
      <c r="P297" s="23"/>
      <c r="Q297" s="23" t="s">
        <v>2606</v>
      </c>
      <c r="R297" s="23" t="s">
        <v>1262</v>
      </c>
      <c r="S297" s="23" t="s">
        <v>2828</v>
      </c>
      <c r="T297" s="23" t="s">
        <v>1260</v>
      </c>
      <c r="U297" s="23" t="s">
        <v>2064</v>
      </c>
      <c r="V297" s="23"/>
      <c r="W297" s="23">
        <v>46077</v>
      </c>
      <c r="X297" s="23"/>
      <c r="Y297" s="23"/>
    </row>
    <row r="298" spans="1:25">
      <c r="A298" s="23" t="s">
        <v>2608</v>
      </c>
      <c r="B298" s="23">
        <v>5</v>
      </c>
      <c r="C298" s="23" t="s">
        <v>2486</v>
      </c>
      <c r="D298" s="23" t="s">
        <v>1008</v>
      </c>
      <c r="E298" s="23" t="s">
        <v>1002</v>
      </c>
      <c r="F298" s="23" t="s">
        <v>983</v>
      </c>
      <c r="G298" s="23" t="s">
        <v>1007</v>
      </c>
      <c r="H298" s="23" t="s">
        <v>2614</v>
      </c>
      <c r="I298" s="23">
        <v>44082</v>
      </c>
      <c r="J298" s="23" t="s">
        <v>2077</v>
      </c>
      <c r="K298" s="23" t="s">
        <v>2611</v>
      </c>
      <c r="L298" s="23" t="s">
        <v>1004</v>
      </c>
      <c r="M298" s="23" t="s">
        <v>2829</v>
      </c>
      <c r="N298" s="23" t="s">
        <v>246</v>
      </c>
      <c r="O298" s="23" t="s">
        <v>246</v>
      </c>
      <c r="P298" s="23" t="s">
        <v>2610</v>
      </c>
      <c r="Q298" s="23" t="s">
        <v>2615</v>
      </c>
      <c r="R298" s="23" t="s">
        <v>1264</v>
      </c>
      <c r="S298" s="23">
        <v>1389677.83</v>
      </c>
      <c r="T298" s="23" t="s">
        <v>1224</v>
      </c>
      <c r="U298" s="23" t="s">
        <v>2064</v>
      </c>
      <c r="V298" s="23"/>
      <c r="W298" s="23">
        <v>46287</v>
      </c>
      <c r="X298" s="23"/>
      <c r="Y298" s="23"/>
    </row>
    <row r="299" spans="1:25">
      <c r="A299" s="23" t="s">
        <v>2608</v>
      </c>
      <c r="B299" s="23">
        <v>6</v>
      </c>
      <c r="C299" s="23" t="s">
        <v>2486</v>
      </c>
      <c r="D299" s="23" t="s">
        <v>991</v>
      </c>
      <c r="E299" s="23" t="s">
        <v>984</v>
      </c>
      <c r="F299" s="23" t="s">
        <v>983</v>
      </c>
      <c r="G299" s="23" t="s">
        <v>990</v>
      </c>
      <c r="H299" s="23" t="s">
        <v>2598</v>
      </c>
      <c r="I299" s="23">
        <v>43833</v>
      </c>
      <c r="J299" s="23" t="s">
        <v>2077</v>
      </c>
      <c r="K299" s="23" t="s">
        <v>1677</v>
      </c>
      <c r="L299" s="23" t="s">
        <v>986</v>
      </c>
      <c r="M299" s="23" t="s">
        <v>2826</v>
      </c>
      <c r="N299" s="23" t="s">
        <v>246</v>
      </c>
      <c r="O299" s="23" t="s">
        <v>246</v>
      </c>
      <c r="P299" s="23" t="s">
        <v>2596</v>
      </c>
      <c r="Q299" s="23" t="s">
        <v>2599</v>
      </c>
      <c r="R299" s="23" t="s">
        <v>1259</v>
      </c>
      <c r="S299" s="23" t="s">
        <v>2827</v>
      </c>
      <c r="T299" s="23" t="s">
        <v>1260</v>
      </c>
      <c r="U299" s="23" t="s">
        <v>2064</v>
      </c>
      <c r="V299" s="23"/>
      <c r="W299" s="23">
        <v>46077</v>
      </c>
      <c r="X299" s="23"/>
      <c r="Y299" s="23"/>
    </row>
    <row r="300" spans="1:25">
      <c r="A300" s="23" t="s">
        <v>2608</v>
      </c>
      <c r="B300" s="23">
        <v>7</v>
      </c>
      <c r="C300" s="23" t="s">
        <v>2604</v>
      </c>
      <c r="D300" s="23" t="s">
        <v>246</v>
      </c>
      <c r="E300" s="23" t="s">
        <v>995</v>
      </c>
      <c r="F300" s="23" t="s">
        <v>994</v>
      </c>
      <c r="G300" s="23" t="s">
        <v>246</v>
      </c>
      <c r="H300" s="23" t="s">
        <v>2605</v>
      </c>
      <c r="I300" s="23">
        <v>44974</v>
      </c>
      <c r="J300" s="23"/>
      <c r="K300" s="23" t="s">
        <v>1680</v>
      </c>
      <c r="L300" s="23" t="s">
        <v>996</v>
      </c>
      <c r="M300" s="23" t="s">
        <v>246</v>
      </c>
      <c r="N300" s="23" t="s">
        <v>246</v>
      </c>
      <c r="O300" s="23" t="s">
        <v>246</v>
      </c>
      <c r="P300" s="23"/>
      <c r="Q300" s="23" t="s">
        <v>2606</v>
      </c>
      <c r="R300" s="23" t="s">
        <v>1262</v>
      </c>
      <c r="S300" s="23" t="s">
        <v>2828</v>
      </c>
      <c r="T300" s="23" t="s">
        <v>1260</v>
      </c>
      <c r="U300" s="23" t="s">
        <v>2064</v>
      </c>
      <c r="V300" s="23"/>
      <c r="W300" s="23">
        <v>46077</v>
      </c>
      <c r="X300" s="23"/>
      <c r="Y300" s="23"/>
    </row>
    <row r="301" spans="1:25">
      <c r="A301" s="23" t="s">
        <v>2619</v>
      </c>
      <c r="B301" s="23">
        <v>5</v>
      </c>
      <c r="C301" s="23" t="s">
        <v>2288</v>
      </c>
      <c r="D301" s="23" t="s">
        <v>2003</v>
      </c>
      <c r="E301" s="23" t="s">
        <v>166</v>
      </c>
      <c r="F301" s="23" t="s">
        <v>1017</v>
      </c>
      <c r="G301" s="23" t="s">
        <v>246</v>
      </c>
      <c r="H301" s="23" t="s">
        <v>2624</v>
      </c>
      <c r="I301" s="23">
        <v>44918</v>
      </c>
      <c r="J301" s="23" t="s">
        <v>2278</v>
      </c>
      <c r="K301" s="23" t="s">
        <v>2622</v>
      </c>
      <c r="L301" s="23" t="s">
        <v>1019</v>
      </c>
      <c r="M301" s="23" t="s">
        <v>2830</v>
      </c>
      <c r="N301" s="23" t="s">
        <v>246</v>
      </c>
      <c r="O301" s="23" t="s">
        <v>246</v>
      </c>
      <c r="P301" s="23" t="s">
        <v>2621</v>
      </c>
      <c r="Q301" s="23"/>
      <c r="R301" s="23"/>
      <c r="S301" s="23"/>
      <c r="T301" s="23"/>
      <c r="U301" s="23" t="s">
        <v>2591</v>
      </c>
      <c r="V301" s="23"/>
      <c r="W301" s="23">
        <v>46084</v>
      </c>
      <c r="X301" s="23"/>
      <c r="Y301" s="23"/>
    </row>
    <row r="302" spans="1:25">
      <c r="A302" s="23" t="s">
        <v>2626</v>
      </c>
      <c r="B302" s="23">
        <v>5</v>
      </c>
      <c r="C302" s="23" t="s">
        <v>2288</v>
      </c>
      <c r="D302" s="23" t="s">
        <v>246</v>
      </c>
      <c r="E302" s="23" t="s">
        <v>1024</v>
      </c>
      <c r="F302" s="23" t="s">
        <v>166</v>
      </c>
      <c r="G302" s="23" t="s">
        <v>246</v>
      </c>
      <c r="H302" s="23" t="s">
        <v>2633</v>
      </c>
      <c r="I302" s="23">
        <v>45253</v>
      </c>
      <c r="J302" s="23" t="s">
        <v>2632</v>
      </c>
      <c r="K302" s="23" t="s">
        <v>2629</v>
      </c>
      <c r="L302" s="23" t="s">
        <v>1026</v>
      </c>
      <c r="M302" s="23" t="s">
        <v>2831</v>
      </c>
      <c r="N302" s="23" t="s">
        <v>2831</v>
      </c>
      <c r="O302" s="23" t="s">
        <v>246</v>
      </c>
      <c r="P302" s="23" t="s">
        <v>2628</v>
      </c>
      <c r="Q302" s="23"/>
      <c r="R302" s="23" t="s">
        <v>246</v>
      </c>
      <c r="S302" s="23" t="s">
        <v>2831</v>
      </c>
      <c r="T302" s="23" t="s">
        <v>1269</v>
      </c>
      <c r="U302" s="23" t="s">
        <v>2064</v>
      </c>
      <c r="V302" s="23"/>
      <c r="W302" s="23">
        <v>46105</v>
      </c>
      <c r="X302" s="23" t="s">
        <v>1807</v>
      </c>
      <c r="Y302" s="23"/>
    </row>
    <row r="303" spans="1:25">
      <c r="A303" s="23" t="s">
        <v>2626</v>
      </c>
      <c r="B303" s="23">
        <v>6</v>
      </c>
      <c r="C303" s="23" t="s">
        <v>2288</v>
      </c>
      <c r="D303" s="23" t="s">
        <v>246</v>
      </c>
      <c r="E303" s="23" t="s">
        <v>166</v>
      </c>
      <c r="F303" s="23" t="s">
        <v>1024</v>
      </c>
      <c r="G303" s="23" t="s">
        <v>246</v>
      </c>
      <c r="H303" s="23" t="s">
        <v>2639</v>
      </c>
      <c r="I303" s="23">
        <v>45191</v>
      </c>
      <c r="J303" s="23" t="s">
        <v>2638</v>
      </c>
      <c r="K303" s="23" t="s">
        <v>2636</v>
      </c>
      <c r="L303" s="23" t="s">
        <v>1030</v>
      </c>
      <c r="M303" s="23">
        <v>28362468.460000001</v>
      </c>
      <c r="N303" s="23">
        <v>23349656.25</v>
      </c>
      <c r="O303" s="23" t="s">
        <v>246</v>
      </c>
      <c r="P303" s="23" t="s">
        <v>2628</v>
      </c>
      <c r="Q303" s="23"/>
      <c r="R303" s="23" t="s">
        <v>246</v>
      </c>
      <c r="S303" s="23">
        <v>28362468.460000001</v>
      </c>
      <c r="T303" s="23" t="s">
        <v>1269</v>
      </c>
      <c r="U303" s="23" t="s">
        <v>2064</v>
      </c>
      <c r="V303" s="23"/>
      <c r="W303" s="23">
        <v>46105</v>
      </c>
      <c r="X303" s="23" t="s">
        <v>1807</v>
      </c>
      <c r="Y303" s="23"/>
    </row>
    <row r="304" spans="1:25">
      <c r="A304" s="23" t="s">
        <v>2640</v>
      </c>
      <c r="B304" s="23">
        <v>5</v>
      </c>
      <c r="C304" s="23" t="s">
        <v>2590</v>
      </c>
      <c r="D304" s="23" t="s">
        <v>262</v>
      </c>
      <c r="E304" s="23" t="s">
        <v>166</v>
      </c>
      <c r="F304" s="23" t="s">
        <v>1036</v>
      </c>
      <c r="G304" s="23" t="s">
        <v>246</v>
      </c>
      <c r="H304" s="23" t="s">
        <v>1033</v>
      </c>
      <c r="I304" s="23">
        <v>44914</v>
      </c>
      <c r="J304" s="23" t="s">
        <v>2645</v>
      </c>
      <c r="K304" s="23" t="s">
        <v>1699</v>
      </c>
      <c r="L304" s="23" t="s">
        <v>1038</v>
      </c>
      <c r="M304" s="23" t="s">
        <v>2825</v>
      </c>
      <c r="N304" s="23" t="s">
        <v>246</v>
      </c>
      <c r="O304" s="23" t="s">
        <v>246</v>
      </c>
      <c r="P304" s="23" t="s">
        <v>2642</v>
      </c>
      <c r="Q304" s="23"/>
      <c r="R304" s="23"/>
      <c r="S304" s="23"/>
      <c r="T304" s="23"/>
      <c r="U304" s="23" t="s">
        <v>2591</v>
      </c>
      <c r="V304" s="23"/>
      <c r="W304" s="23">
        <v>44998</v>
      </c>
      <c r="X304" s="23"/>
      <c r="Y304" s="23"/>
    </row>
    <row r="305" spans="1:25">
      <c r="A305" s="23" t="s">
        <v>2640</v>
      </c>
      <c r="B305" s="23">
        <v>6</v>
      </c>
      <c r="C305" s="23" t="s">
        <v>2590</v>
      </c>
      <c r="D305" s="23" t="s">
        <v>1045</v>
      </c>
      <c r="E305" s="23"/>
      <c r="F305" s="23"/>
      <c r="G305" s="23"/>
      <c r="H305" s="23" t="s">
        <v>2648</v>
      </c>
      <c r="I305" s="23">
        <v>2023</v>
      </c>
      <c r="J305" s="23"/>
      <c r="K305" s="23" t="s">
        <v>1702</v>
      </c>
      <c r="L305" s="23" t="s">
        <v>1042</v>
      </c>
      <c r="M305" s="23" t="s">
        <v>2825</v>
      </c>
      <c r="N305" s="23"/>
      <c r="O305" s="23"/>
      <c r="P305" s="23"/>
      <c r="Q305" s="23"/>
      <c r="R305" s="23"/>
      <c r="S305" s="23"/>
      <c r="T305" s="23"/>
      <c r="U305" s="23" t="s">
        <v>2591</v>
      </c>
      <c r="V305" s="23"/>
      <c r="W305" s="23">
        <v>46042</v>
      </c>
      <c r="X305" s="23"/>
      <c r="Y305" s="23"/>
    </row>
    <row r="306" spans="1:25">
      <c r="A306" s="23" t="s">
        <v>2640</v>
      </c>
      <c r="B306" s="23">
        <v>7</v>
      </c>
      <c r="C306" s="23" t="s">
        <v>2590</v>
      </c>
      <c r="D306" s="23" t="s">
        <v>1049</v>
      </c>
      <c r="E306" s="23"/>
      <c r="F306" s="23"/>
      <c r="G306" s="23"/>
      <c r="H306" s="23" t="s">
        <v>2651</v>
      </c>
      <c r="I306" s="23">
        <v>2022</v>
      </c>
      <c r="J306" s="23"/>
      <c r="K306" s="23" t="s">
        <v>1705</v>
      </c>
      <c r="L306" s="23"/>
      <c r="M306" s="23" t="s">
        <v>2825</v>
      </c>
      <c r="N306" s="23"/>
      <c r="O306" s="23"/>
      <c r="P306" s="23"/>
      <c r="Q306" s="23"/>
      <c r="R306" s="23"/>
      <c r="S306" s="23"/>
      <c r="T306" s="23"/>
      <c r="U306" s="23" t="s">
        <v>2591</v>
      </c>
      <c r="V306" s="23"/>
      <c r="W306" s="23">
        <v>46043</v>
      </c>
      <c r="X306" s="23"/>
      <c r="Y306" s="23"/>
    </row>
    <row r="307" spans="1:25">
      <c r="A307" s="23" t="s">
        <v>2640</v>
      </c>
      <c r="B307" s="23">
        <v>8</v>
      </c>
      <c r="C307" s="23" t="s">
        <v>2590</v>
      </c>
      <c r="D307" s="23" t="s">
        <v>2832</v>
      </c>
      <c r="E307" s="23"/>
      <c r="F307" s="23"/>
      <c r="G307" s="23"/>
      <c r="H307" s="23" t="s">
        <v>1050</v>
      </c>
      <c r="I307" s="23">
        <v>2024</v>
      </c>
      <c r="J307" s="23"/>
      <c r="K307" s="23" t="s">
        <v>1708</v>
      </c>
      <c r="L307" s="23"/>
      <c r="M307" s="23" t="s">
        <v>2825</v>
      </c>
      <c r="N307" s="23"/>
      <c r="O307" s="23"/>
      <c r="P307" s="23"/>
      <c r="Q307" s="23"/>
      <c r="R307" s="23"/>
      <c r="S307" s="23"/>
      <c r="T307" s="23"/>
      <c r="U307" s="23" t="s">
        <v>2591</v>
      </c>
      <c r="V307" s="23"/>
      <c r="W307" s="23">
        <v>46044</v>
      </c>
      <c r="X307" s="23"/>
      <c r="Y307" s="23"/>
    </row>
    <row r="308" spans="1:25">
      <c r="A308" s="23" t="s">
        <v>2640</v>
      </c>
      <c r="B308" s="23">
        <v>9</v>
      </c>
      <c r="C308" s="23" t="s">
        <v>2479</v>
      </c>
      <c r="D308" s="23" t="s">
        <v>1059</v>
      </c>
      <c r="E308" s="23" t="s">
        <v>166</v>
      </c>
      <c r="F308" s="23" t="s">
        <v>1055</v>
      </c>
      <c r="G308" s="23" t="s">
        <v>246</v>
      </c>
      <c r="H308" s="23" t="s">
        <v>2655</v>
      </c>
      <c r="I308" s="23">
        <v>2024</v>
      </c>
      <c r="J308" s="23"/>
      <c r="K308" s="23" t="s">
        <v>2653</v>
      </c>
      <c r="L308" s="23" t="s">
        <v>1056</v>
      </c>
      <c r="M308" s="23">
        <v>13177.6</v>
      </c>
      <c r="N308" s="23"/>
      <c r="O308" s="23"/>
      <c r="P308" s="23"/>
      <c r="Q308" s="23"/>
      <c r="R308" s="23"/>
      <c r="S308" s="23"/>
      <c r="T308" s="23"/>
      <c r="U308" s="23" t="s">
        <v>2591</v>
      </c>
      <c r="V308" s="23"/>
      <c r="W308" s="23">
        <v>46042</v>
      </c>
      <c r="X308" s="23"/>
      <c r="Y308" s="23"/>
    </row>
    <row r="309" spans="1:25">
      <c r="A309" s="23" t="s">
        <v>1062</v>
      </c>
      <c r="B309" s="23">
        <v>5</v>
      </c>
      <c r="C309" s="23" t="s">
        <v>2659</v>
      </c>
      <c r="D309" s="23"/>
      <c r="E309" s="23" t="s">
        <v>1064</v>
      </c>
      <c r="F309" s="23" t="s">
        <v>826</v>
      </c>
      <c r="G309" s="23" t="s">
        <v>1060</v>
      </c>
      <c r="H309" s="23" t="s">
        <v>246</v>
      </c>
      <c r="I309" s="23">
        <v>2022</v>
      </c>
      <c r="J309" s="23" t="s">
        <v>2077</v>
      </c>
      <c r="K309" s="23" t="s">
        <v>2656</v>
      </c>
      <c r="L309" s="23" t="s">
        <v>1066</v>
      </c>
      <c r="M309" s="23"/>
      <c r="N309" s="23" t="s">
        <v>246</v>
      </c>
      <c r="O309" s="23" t="s">
        <v>246</v>
      </c>
      <c r="P309" s="23" t="s">
        <v>2610</v>
      </c>
      <c r="Q309" s="23" t="s">
        <v>2660</v>
      </c>
      <c r="R309" s="23" t="s">
        <v>2003</v>
      </c>
      <c r="S309" s="23" t="s">
        <v>2003</v>
      </c>
      <c r="T309" s="23" t="s">
        <v>2003</v>
      </c>
      <c r="U309" s="23" t="s">
        <v>2591</v>
      </c>
      <c r="V309" s="23"/>
      <c r="W309" s="23">
        <v>46084</v>
      </c>
      <c r="X309" s="23"/>
      <c r="Y309" s="23"/>
    </row>
    <row r="310" spans="1:25">
      <c r="A310" s="23" t="s">
        <v>2661</v>
      </c>
      <c r="B310" s="23">
        <v>5</v>
      </c>
      <c r="C310" s="23" t="s">
        <v>2479</v>
      </c>
      <c r="D310" s="23" t="s">
        <v>2833</v>
      </c>
      <c r="E310" s="23" t="s">
        <v>1071</v>
      </c>
      <c r="F310" s="23" t="s">
        <v>826</v>
      </c>
      <c r="G310" s="23" t="s">
        <v>1069</v>
      </c>
      <c r="H310" s="23" t="s">
        <v>246</v>
      </c>
      <c r="I310" s="23">
        <v>44782</v>
      </c>
      <c r="J310" s="23" t="s">
        <v>2278</v>
      </c>
      <c r="K310" s="23" t="s">
        <v>2834</v>
      </c>
      <c r="L310" s="23" t="s">
        <v>1072</v>
      </c>
      <c r="M310" s="23" t="s">
        <v>2825</v>
      </c>
      <c r="N310" s="23" t="s">
        <v>246</v>
      </c>
      <c r="O310" s="23" t="s">
        <v>246</v>
      </c>
      <c r="P310" s="23" t="s">
        <v>2663</v>
      </c>
      <c r="Q310" s="23"/>
      <c r="R310" s="23"/>
      <c r="S310" s="23"/>
      <c r="T310" s="23"/>
      <c r="U310" s="23"/>
      <c r="V310" s="23"/>
      <c r="W310" s="23">
        <v>45709</v>
      </c>
      <c r="X310" s="23"/>
      <c r="Y310" s="23" t="s">
        <v>2591</v>
      </c>
    </row>
    <row r="311" spans="1:25">
      <c r="A311" s="23" t="s">
        <v>2667</v>
      </c>
      <c r="B311" s="23">
        <v>5</v>
      </c>
      <c r="C311" s="23" t="s">
        <v>2671</v>
      </c>
      <c r="D311" s="23"/>
      <c r="E311" s="23"/>
      <c r="F311" s="23"/>
      <c r="G311" s="23"/>
      <c r="H311" s="23" t="s">
        <v>1076</v>
      </c>
      <c r="I311" s="23"/>
      <c r="J311" s="23"/>
      <c r="K311" s="23" t="s">
        <v>1720</v>
      </c>
      <c r="L311" s="23" t="s">
        <v>1078</v>
      </c>
      <c r="M311" s="23"/>
      <c r="N311" s="23"/>
      <c r="O311" s="23"/>
      <c r="P311" s="23"/>
      <c r="Q311" s="23"/>
      <c r="R311" s="23"/>
      <c r="S311" s="23"/>
      <c r="T311" s="23"/>
      <c r="U311" s="23"/>
      <c r="V311" s="23"/>
      <c r="W311" s="23">
        <v>46259</v>
      </c>
      <c r="X311" s="23"/>
      <c r="Y311" s="23"/>
    </row>
    <row r="312" spans="1:25">
      <c r="A312" s="23" t="s">
        <v>2672</v>
      </c>
      <c r="B312" s="23">
        <v>5</v>
      </c>
      <c r="C312" s="23" t="s">
        <v>2671</v>
      </c>
      <c r="D312" s="23" t="s">
        <v>1088</v>
      </c>
      <c r="E312" s="23" t="s">
        <v>1084</v>
      </c>
      <c r="F312" s="23" t="s">
        <v>1083</v>
      </c>
      <c r="G312" s="23" t="s">
        <v>1081</v>
      </c>
      <c r="H312" s="23"/>
      <c r="I312" s="23"/>
      <c r="J312" s="23"/>
      <c r="K312" s="23" t="s">
        <v>1723</v>
      </c>
      <c r="L312" s="23" t="s">
        <v>1085</v>
      </c>
      <c r="M312" s="23"/>
      <c r="N312" s="23"/>
      <c r="O312" s="23"/>
      <c r="P312" s="23"/>
      <c r="Q312" s="23"/>
      <c r="R312" s="23"/>
      <c r="S312" s="23"/>
      <c r="T312" s="23"/>
      <c r="U312" s="23"/>
      <c r="V312" s="23"/>
      <c r="W312" s="23">
        <v>46259</v>
      </c>
      <c r="X312" s="23"/>
      <c r="Y312" s="23"/>
    </row>
  </sheetData>
  <conditionalFormatting sqref="AB10:AB509">
    <cfRule type="containsText" dxfId="5" priority="1" operator="containsText" text="CRÍTICO"/>
    <cfRule type="containsText" dxfId="4" priority="2" operator="containsText" text="ALTO"/>
    <cfRule type="containsText" dxfId="3" priority="3" operator="containsText" text="MÉDIO"/>
    <cfRule type="containsText" dxfId="2" priority="4" operator="containsText" text="BAIXO"/>
  </conditionalFormatting>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B97A9"/>
  </sheetPr>
  <dimension ref="A1:R1009"/>
  <sheetViews>
    <sheetView showGridLines="0" workbookViewId="0">
      <pane xSplit="1" ySplit="9" topLeftCell="B10" activePane="bottomRight" state="frozen"/>
      <selection pane="topRight"/>
      <selection pane="bottomLeft"/>
      <selection pane="bottomRight" activeCell="B10" sqref="B10"/>
    </sheetView>
  </sheetViews>
  <sheetFormatPr defaultRowHeight="14.25"/>
  <cols>
    <col min="1" max="1" width="32" customWidth="1"/>
    <col min="2" max="2" width="54" customWidth="1"/>
    <col min="3" max="3" width="24" customWidth="1"/>
    <col min="4" max="4" width="18" customWidth="1"/>
    <col min="5" max="5" width="20" customWidth="1"/>
    <col min="6" max="6" width="18" customWidth="1"/>
    <col min="7" max="7" width="42" customWidth="1"/>
    <col min="8" max="9" width="27" customWidth="1"/>
    <col min="10" max="10" width="23" customWidth="1"/>
    <col min="11" max="11" width="16" customWidth="1"/>
    <col min="12" max="12" width="18" customWidth="1"/>
    <col min="13" max="13" width="15" customWidth="1"/>
    <col min="14" max="14" width="48" customWidth="1"/>
    <col min="15" max="15" width="14" customWidth="1"/>
    <col min="16" max="16" width="19" customWidth="1"/>
    <col min="17" max="17" width="18" customWidth="1"/>
    <col min="18" max="18" width="36" customWidth="1"/>
  </cols>
  <sheetData>
    <row r="1" spans="1:18" ht="23.1" customHeight="1">
      <c r="A1" s="6"/>
      <c r="B1" s="6"/>
      <c r="C1" s="6"/>
      <c r="D1" s="6"/>
      <c r="E1" s="6"/>
      <c r="F1" s="6"/>
      <c r="G1" s="6"/>
      <c r="H1" s="6"/>
      <c r="I1" s="6"/>
      <c r="J1" s="6"/>
      <c r="K1" s="6"/>
      <c r="L1" s="6"/>
      <c r="M1" s="6"/>
      <c r="N1" s="6"/>
      <c r="O1" s="6"/>
      <c r="P1" s="6"/>
      <c r="Q1" s="6"/>
      <c r="R1" s="6"/>
    </row>
    <row r="2" spans="1:18" ht="30" customHeight="1">
      <c r="A2" s="126" t="s">
        <v>2835</v>
      </c>
      <c r="B2" s="126"/>
      <c r="C2" s="126"/>
      <c r="D2" s="126"/>
      <c r="E2" s="126"/>
      <c r="F2" s="126"/>
      <c r="G2" s="126"/>
      <c r="H2" s="126"/>
      <c r="I2" s="126"/>
      <c r="J2" s="6"/>
      <c r="K2" s="6"/>
      <c r="L2" s="6"/>
      <c r="M2" s="6"/>
      <c r="N2" s="6"/>
      <c r="O2" s="6"/>
      <c r="P2" s="6"/>
      <c r="Q2" s="6"/>
      <c r="R2" s="6"/>
    </row>
    <row r="3" spans="1:18" ht="23.1" customHeight="1">
      <c r="A3" s="62" t="s">
        <v>2836</v>
      </c>
      <c r="B3" s="62"/>
      <c r="C3" s="62"/>
      <c r="D3" s="62"/>
      <c r="E3" s="62"/>
      <c r="F3" s="62"/>
      <c r="G3" s="62"/>
      <c r="H3" s="62"/>
      <c r="I3" s="62"/>
      <c r="J3" s="6"/>
      <c r="K3" s="6"/>
      <c r="L3" s="6"/>
      <c r="M3" s="6"/>
      <c r="N3" s="6"/>
      <c r="O3" s="6"/>
      <c r="P3" s="6"/>
      <c r="Q3" s="6"/>
      <c r="R3" s="6"/>
    </row>
    <row r="4" spans="1:18" ht="30" customHeight="1">
      <c r="A4" s="68" t="str">
        <f>IFERROR(HYPERLINK("#'Painel'!A1","PAINEL"),"PAINEL")</f>
        <v>PAINEL</v>
      </c>
      <c r="B4" s="68"/>
      <c r="C4" s="68"/>
      <c r="D4" s="68" t="str">
        <f>IFERROR(HYPERLINK("#'Ficha'!A1","CONSULTAR PROCESSO"),"CONSULTAR PROCESSO")</f>
        <v>CONSULTAR PROCESSO</v>
      </c>
      <c r="E4" s="68"/>
      <c r="F4" s="68"/>
      <c r="G4" s="68" t="str">
        <f>IFERROR(HYPERLINK("#'Configurar'!A1","CONFIGURAR E GUIA"),"CONFIGURAR E GUIA")</f>
        <v>CONFIGURAR E GUIA</v>
      </c>
      <c r="H4" s="68"/>
      <c r="I4" s="68"/>
      <c r="J4" s="6"/>
      <c r="K4" s="6"/>
      <c r="L4" s="6"/>
      <c r="M4" s="6"/>
      <c r="N4" s="6"/>
      <c r="O4" s="6"/>
      <c r="P4" s="6"/>
      <c r="Q4" s="6"/>
      <c r="R4" s="6"/>
    </row>
    <row r="5" spans="1:18" ht="27" customHeight="1">
      <c r="A5" s="67" t="str">
        <f>IFERROR(HYPERLINK("#'Central IA'!A1","ABRIR CENTRAL IA — COLAR OU IMPORTAR UMA ATUALIZAÇÃO"),"ABRIR CENTRAL IA — COLAR OU IMPORTAR UMA ATUALIZAÇÃO")</f>
        <v>ABRIR CENTRAL IA — COLAR OU IMPORTAR UMA ATUALIZAÇÃO</v>
      </c>
      <c r="B5" s="67"/>
      <c r="C5" s="67"/>
      <c r="D5" s="67"/>
      <c r="E5" s="67"/>
      <c r="F5" s="67"/>
      <c r="G5" s="67"/>
      <c r="H5" s="67"/>
      <c r="I5" s="67"/>
      <c r="J5" s="6"/>
      <c r="K5" s="6"/>
      <c r="L5" s="6"/>
      <c r="M5" s="6"/>
      <c r="N5" s="6"/>
      <c r="O5" s="6"/>
      <c r="P5" s="6"/>
      <c r="Q5" s="6"/>
      <c r="R5" s="6"/>
    </row>
    <row r="6" spans="1:18" ht="23.1" customHeight="1">
      <c r="A6" s="125" t="s">
        <v>2837</v>
      </c>
      <c r="B6" s="125"/>
      <c r="C6" s="125"/>
      <c r="D6" s="125"/>
      <c r="E6" s="6"/>
      <c r="F6" s="6"/>
      <c r="G6" s="6"/>
      <c r="H6" s="6"/>
      <c r="I6" s="6"/>
      <c r="J6" s="6"/>
      <c r="K6" s="6"/>
      <c r="L6" s="6"/>
      <c r="M6" s="6"/>
      <c r="N6" s="6"/>
      <c r="O6" s="6"/>
      <c r="P6" s="6"/>
      <c r="Q6" s="6"/>
      <c r="R6" s="6"/>
    </row>
    <row r="7" spans="1:18" ht="23.1" customHeight="1">
      <c r="A7" s="125"/>
      <c r="B7" s="125"/>
      <c r="C7" s="125"/>
      <c r="D7" s="125"/>
      <c r="E7" s="6"/>
      <c r="F7" s="6"/>
      <c r="G7" s="6"/>
      <c r="H7" s="6"/>
      <c r="I7" s="6"/>
      <c r="J7" s="6"/>
      <c r="K7" s="6"/>
      <c r="L7" s="6"/>
      <c r="M7" s="6"/>
      <c r="N7" s="6"/>
      <c r="O7" s="6"/>
      <c r="P7" s="6"/>
      <c r="Q7" s="6"/>
      <c r="R7" s="6"/>
    </row>
    <row r="8" spans="1:18" ht="23.1" customHeight="1">
      <c r="A8" s="6"/>
      <c r="B8" s="6"/>
      <c r="C8" s="6"/>
      <c r="D8" s="6"/>
      <c r="E8" s="6"/>
      <c r="F8" s="6"/>
      <c r="G8" s="6"/>
      <c r="H8" s="6"/>
      <c r="I8" s="6"/>
      <c r="J8" s="6"/>
      <c r="K8" s="6"/>
      <c r="L8" s="6"/>
      <c r="M8" s="6"/>
      <c r="N8" s="6"/>
      <c r="O8" s="6"/>
      <c r="P8" s="6"/>
      <c r="Q8" s="6"/>
      <c r="R8" s="6"/>
    </row>
    <row r="9" spans="1:18" ht="39.950000000000003" customHeight="1">
      <c r="A9" s="9" t="s">
        <v>110</v>
      </c>
      <c r="B9" s="9" t="s">
        <v>2838</v>
      </c>
      <c r="C9" s="9" t="s">
        <v>2839</v>
      </c>
      <c r="D9" s="9" t="s">
        <v>2840</v>
      </c>
      <c r="E9" s="9" t="s">
        <v>103</v>
      </c>
      <c r="F9" s="9" t="s">
        <v>2841</v>
      </c>
      <c r="G9" s="9" t="s">
        <v>127</v>
      </c>
      <c r="H9" s="9" t="s">
        <v>87</v>
      </c>
      <c r="I9" s="9" t="s">
        <v>2842</v>
      </c>
      <c r="J9" s="9" t="s">
        <v>2843</v>
      </c>
      <c r="K9" s="9" t="s">
        <v>2844</v>
      </c>
      <c r="L9" s="9" t="s">
        <v>2845</v>
      </c>
      <c r="M9" s="9" t="s">
        <v>130</v>
      </c>
      <c r="N9" s="9" t="s">
        <v>2846</v>
      </c>
      <c r="O9" s="9" t="s">
        <v>2847</v>
      </c>
      <c r="P9" s="9" t="s">
        <v>2848</v>
      </c>
      <c r="Q9" s="9" t="s">
        <v>1100</v>
      </c>
      <c r="R9" s="9" t="s">
        <v>148</v>
      </c>
    </row>
    <row r="10" spans="1:18" ht="27" customHeight="1">
      <c r="A10" s="13"/>
      <c r="B10" s="6"/>
      <c r="C10" s="6"/>
      <c r="D10" s="8"/>
      <c r="E10" s="6"/>
      <c r="F10" s="8"/>
      <c r="G10" s="6"/>
      <c r="H10" s="14"/>
      <c r="I10" s="14"/>
      <c r="J10" s="14"/>
      <c r="K10" s="14"/>
      <c r="L10" s="14"/>
      <c r="M10" s="14"/>
      <c r="N10" s="14"/>
      <c r="O10" s="14"/>
      <c r="P10" s="14"/>
      <c r="Q10" s="14"/>
      <c r="R10" s="14"/>
    </row>
    <row r="11" spans="1:18" ht="27" customHeight="1">
      <c r="A11" s="13"/>
      <c r="B11" s="6"/>
      <c r="C11" s="6"/>
      <c r="D11" s="8"/>
      <c r="E11" s="6"/>
      <c r="F11" s="8"/>
      <c r="G11" s="6"/>
      <c r="H11" s="14"/>
      <c r="I11" s="14"/>
      <c r="J11" s="14"/>
      <c r="K11" s="14"/>
      <c r="L11" s="14"/>
      <c r="M11" s="14"/>
      <c r="N11" s="14"/>
      <c r="O11" s="14"/>
      <c r="P11" s="14"/>
      <c r="Q11" s="14"/>
      <c r="R11" s="14"/>
    </row>
    <row r="12" spans="1:18" ht="27" customHeight="1">
      <c r="A12" s="13"/>
      <c r="B12" s="6"/>
      <c r="C12" s="6"/>
      <c r="D12" s="8"/>
      <c r="E12" s="6"/>
      <c r="F12" s="8"/>
      <c r="G12" s="6"/>
      <c r="H12" s="14"/>
      <c r="I12" s="14"/>
      <c r="J12" s="14"/>
      <c r="K12" s="14"/>
      <c r="L12" s="14"/>
      <c r="M12" s="14"/>
      <c r="N12" s="14"/>
      <c r="O12" s="14"/>
      <c r="P12" s="14"/>
      <c r="Q12" s="14"/>
      <c r="R12" s="14"/>
    </row>
    <row r="13" spans="1:18" ht="27" customHeight="1">
      <c r="A13" s="13"/>
      <c r="B13" s="6"/>
      <c r="C13" s="6"/>
      <c r="D13" s="8"/>
      <c r="E13" s="6"/>
      <c r="F13" s="8"/>
      <c r="G13" s="6"/>
      <c r="H13" s="14"/>
      <c r="I13" s="14"/>
      <c r="J13" s="14"/>
      <c r="K13" s="14"/>
      <c r="L13" s="14"/>
      <c r="M13" s="14"/>
      <c r="N13" s="14"/>
      <c r="O13" s="14"/>
      <c r="P13" s="14"/>
      <c r="Q13" s="14"/>
      <c r="R13" s="14"/>
    </row>
    <row r="14" spans="1:18" ht="27" customHeight="1">
      <c r="A14" s="13"/>
      <c r="B14" s="6"/>
      <c r="C14" s="6"/>
      <c r="D14" s="8"/>
      <c r="E14" s="6"/>
      <c r="F14" s="8"/>
      <c r="G14" s="6"/>
      <c r="H14" s="14"/>
      <c r="I14" s="14"/>
      <c r="J14" s="14"/>
      <c r="K14" s="14"/>
      <c r="L14" s="14"/>
      <c r="M14" s="14"/>
      <c r="N14" s="14"/>
      <c r="O14" s="14"/>
      <c r="P14" s="14"/>
      <c r="Q14" s="14"/>
      <c r="R14" s="14"/>
    </row>
    <row r="15" spans="1:18" ht="27" customHeight="1">
      <c r="A15" s="13"/>
      <c r="B15" s="6"/>
      <c r="C15" s="6"/>
      <c r="D15" s="8"/>
      <c r="E15" s="6"/>
      <c r="F15" s="8"/>
      <c r="G15" s="6"/>
      <c r="H15" s="14"/>
      <c r="I15" s="14"/>
      <c r="J15" s="14"/>
      <c r="K15" s="14"/>
      <c r="L15" s="14"/>
      <c r="M15" s="14"/>
      <c r="N15" s="14"/>
      <c r="O15" s="14"/>
      <c r="P15" s="14"/>
      <c r="Q15" s="14"/>
      <c r="R15" s="14"/>
    </row>
    <row r="16" spans="1:18" ht="27" customHeight="1">
      <c r="A16" s="13"/>
      <c r="B16" s="6"/>
      <c r="C16" s="6"/>
      <c r="D16" s="8"/>
      <c r="E16" s="6"/>
      <c r="F16" s="8"/>
      <c r="G16" s="6"/>
      <c r="H16" s="14"/>
      <c r="I16" s="14"/>
      <c r="J16" s="14"/>
      <c r="K16" s="14"/>
      <c r="L16" s="14"/>
      <c r="M16" s="14"/>
      <c r="N16" s="14"/>
      <c r="O16" s="14"/>
      <c r="P16" s="14"/>
      <c r="Q16" s="14"/>
      <c r="R16" s="14"/>
    </row>
    <row r="17" spans="1:18" ht="27" customHeight="1">
      <c r="A17" s="13"/>
      <c r="B17" s="6"/>
      <c r="C17" s="6"/>
      <c r="D17" s="8"/>
      <c r="E17" s="6"/>
      <c r="F17" s="8"/>
      <c r="G17" s="6"/>
      <c r="H17" s="14"/>
      <c r="I17" s="14"/>
      <c r="J17" s="14"/>
      <c r="K17" s="14"/>
      <c r="L17" s="14"/>
      <c r="M17" s="14"/>
      <c r="N17" s="14"/>
      <c r="O17" s="14"/>
      <c r="P17" s="14"/>
      <c r="Q17" s="14"/>
      <c r="R17" s="14"/>
    </row>
    <row r="18" spans="1:18" ht="27" customHeight="1">
      <c r="A18" s="13"/>
      <c r="B18" s="6"/>
      <c r="C18" s="6"/>
      <c r="D18" s="8"/>
      <c r="E18" s="6"/>
      <c r="F18" s="8"/>
      <c r="G18" s="6"/>
      <c r="H18" s="14"/>
      <c r="I18" s="14"/>
      <c r="J18" s="14"/>
      <c r="K18" s="14"/>
      <c r="L18" s="14"/>
      <c r="M18" s="14"/>
      <c r="N18" s="14"/>
      <c r="O18" s="14"/>
      <c r="P18" s="14"/>
      <c r="Q18" s="14"/>
      <c r="R18" s="14"/>
    </row>
    <row r="19" spans="1:18" ht="27" customHeight="1">
      <c r="A19" s="13"/>
      <c r="B19" s="6"/>
      <c r="C19" s="6"/>
      <c r="D19" s="8"/>
      <c r="E19" s="6"/>
      <c r="F19" s="8"/>
      <c r="G19" s="6"/>
      <c r="H19" s="14"/>
      <c r="I19" s="14"/>
      <c r="J19" s="14"/>
      <c r="K19" s="14"/>
      <c r="L19" s="14"/>
      <c r="M19" s="14"/>
      <c r="N19" s="14"/>
      <c r="O19" s="14"/>
      <c r="P19" s="14"/>
      <c r="Q19" s="14"/>
      <c r="R19" s="14"/>
    </row>
    <row r="20" spans="1:18" ht="27" customHeight="1">
      <c r="A20" s="13"/>
      <c r="B20" s="6"/>
      <c r="C20" s="6"/>
      <c r="D20" s="8"/>
      <c r="E20" s="6"/>
      <c r="F20" s="8"/>
      <c r="G20" s="6"/>
      <c r="H20" s="14"/>
      <c r="I20" s="14"/>
      <c r="J20" s="14"/>
      <c r="K20" s="14"/>
      <c r="L20" s="14"/>
      <c r="M20" s="14"/>
      <c r="N20" s="14"/>
      <c r="O20" s="14"/>
      <c r="P20" s="14"/>
      <c r="Q20" s="14"/>
      <c r="R20" s="14"/>
    </row>
    <row r="21" spans="1:18" ht="27" customHeight="1">
      <c r="A21" s="13"/>
      <c r="B21" s="6"/>
      <c r="C21" s="6"/>
      <c r="D21" s="8"/>
      <c r="E21" s="6"/>
      <c r="F21" s="8"/>
      <c r="G21" s="6"/>
      <c r="H21" s="14"/>
      <c r="I21" s="14"/>
      <c r="J21" s="14"/>
      <c r="K21" s="14"/>
      <c r="L21" s="14"/>
      <c r="M21" s="14"/>
      <c r="N21" s="14"/>
      <c r="O21" s="14"/>
      <c r="P21" s="14"/>
      <c r="Q21" s="14"/>
      <c r="R21" s="14"/>
    </row>
    <row r="22" spans="1:18" ht="27" customHeight="1">
      <c r="A22" s="13"/>
      <c r="B22" s="6"/>
      <c r="C22" s="6"/>
      <c r="D22" s="8"/>
      <c r="E22" s="6"/>
      <c r="F22" s="8"/>
      <c r="G22" s="6"/>
      <c r="H22" s="14"/>
      <c r="I22" s="14"/>
      <c r="J22" s="14"/>
      <c r="K22" s="14"/>
      <c r="L22" s="14"/>
      <c r="M22" s="14"/>
      <c r="N22" s="14"/>
      <c r="O22" s="14"/>
      <c r="P22" s="14"/>
      <c r="Q22" s="14"/>
      <c r="R22" s="14"/>
    </row>
    <row r="23" spans="1:18" ht="27" customHeight="1">
      <c r="A23" s="13"/>
      <c r="B23" s="6"/>
      <c r="C23" s="6"/>
      <c r="D23" s="8"/>
      <c r="E23" s="6"/>
      <c r="F23" s="8"/>
      <c r="G23" s="6"/>
      <c r="H23" s="14"/>
      <c r="I23" s="14"/>
      <c r="J23" s="14"/>
      <c r="K23" s="14"/>
      <c r="L23" s="14"/>
      <c r="M23" s="14"/>
      <c r="N23" s="14"/>
      <c r="O23" s="14"/>
      <c r="P23" s="14"/>
      <c r="Q23" s="14"/>
      <c r="R23" s="14"/>
    </row>
    <row r="24" spans="1:18" ht="27" customHeight="1">
      <c r="A24" s="13"/>
      <c r="B24" s="6"/>
      <c r="C24" s="6"/>
      <c r="D24" s="8"/>
      <c r="E24" s="6"/>
      <c r="F24" s="8"/>
      <c r="G24" s="6"/>
      <c r="H24" s="14"/>
      <c r="I24" s="14"/>
      <c r="J24" s="14"/>
      <c r="K24" s="14"/>
      <c r="L24" s="14"/>
      <c r="M24" s="14"/>
      <c r="N24" s="14"/>
      <c r="O24" s="14"/>
      <c r="P24" s="14"/>
      <c r="Q24" s="14"/>
      <c r="R24" s="14"/>
    </row>
    <row r="25" spans="1:18" ht="27" customHeight="1">
      <c r="A25" s="13"/>
      <c r="B25" s="6"/>
      <c r="C25" s="6"/>
      <c r="D25" s="8"/>
      <c r="E25" s="6"/>
      <c r="F25" s="8"/>
      <c r="G25" s="6"/>
      <c r="H25" s="14"/>
      <c r="I25" s="14"/>
      <c r="J25" s="14"/>
      <c r="K25" s="14"/>
      <c r="L25" s="14"/>
      <c r="M25" s="14"/>
      <c r="N25" s="14"/>
      <c r="O25" s="14"/>
      <c r="P25" s="14"/>
      <c r="Q25" s="14"/>
      <c r="R25" s="14"/>
    </row>
    <row r="26" spans="1:18" ht="27" customHeight="1">
      <c r="A26" s="13"/>
      <c r="B26" s="6"/>
      <c r="C26" s="6"/>
      <c r="D26" s="8"/>
      <c r="E26" s="6"/>
      <c r="F26" s="8"/>
      <c r="G26" s="6"/>
      <c r="H26" s="14"/>
      <c r="I26" s="14"/>
      <c r="J26" s="14"/>
      <c r="K26" s="14"/>
      <c r="L26" s="14"/>
      <c r="M26" s="14"/>
      <c r="N26" s="14"/>
      <c r="O26" s="14"/>
      <c r="P26" s="14"/>
      <c r="Q26" s="14"/>
      <c r="R26" s="14"/>
    </row>
    <row r="27" spans="1:18" ht="27" customHeight="1">
      <c r="A27" s="13"/>
      <c r="B27" s="6"/>
      <c r="C27" s="6"/>
      <c r="D27" s="8"/>
      <c r="E27" s="6"/>
      <c r="F27" s="8"/>
      <c r="G27" s="6"/>
      <c r="H27" s="14"/>
      <c r="I27" s="14"/>
      <c r="J27" s="14"/>
      <c r="K27" s="14"/>
      <c r="L27" s="14"/>
      <c r="M27" s="14"/>
      <c r="N27" s="14"/>
      <c r="O27" s="14"/>
      <c r="P27" s="14"/>
      <c r="Q27" s="14"/>
      <c r="R27" s="14"/>
    </row>
    <row r="28" spans="1:18" ht="27" customHeight="1">
      <c r="A28" s="13"/>
      <c r="B28" s="6"/>
      <c r="C28" s="6"/>
      <c r="D28" s="8"/>
      <c r="E28" s="6"/>
      <c r="F28" s="8"/>
      <c r="G28" s="6"/>
      <c r="H28" s="14"/>
      <c r="I28" s="14"/>
      <c r="J28" s="14"/>
      <c r="K28" s="14"/>
      <c r="L28" s="14"/>
      <c r="M28" s="14"/>
      <c r="N28" s="14"/>
      <c r="O28" s="14"/>
      <c r="P28" s="14"/>
      <c r="Q28" s="14"/>
      <c r="R28" s="14"/>
    </row>
    <row r="29" spans="1:18" ht="27" customHeight="1">
      <c r="A29" s="13"/>
      <c r="B29" s="6"/>
      <c r="C29" s="6"/>
      <c r="D29" s="8"/>
      <c r="E29" s="6"/>
      <c r="F29" s="8"/>
      <c r="G29" s="6"/>
      <c r="H29" s="14"/>
      <c r="I29" s="14"/>
      <c r="J29" s="14"/>
      <c r="K29" s="14"/>
      <c r="L29" s="14"/>
      <c r="M29" s="14"/>
      <c r="N29" s="14"/>
      <c r="O29" s="14"/>
      <c r="P29" s="14"/>
      <c r="Q29" s="14"/>
      <c r="R29" s="14"/>
    </row>
    <row r="30" spans="1:18" ht="27" customHeight="1">
      <c r="A30" s="13"/>
      <c r="B30" s="6"/>
      <c r="C30" s="6"/>
      <c r="D30" s="8"/>
      <c r="E30" s="6"/>
      <c r="F30" s="8"/>
      <c r="G30" s="6"/>
      <c r="H30" s="14"/>
      <c r="I30" s="14"/>
      <c r="J30" s="14"/>
      <c r="K30" s="14"/>
      <c r="L30" s="14"/>
      <c r="M30" s="14"/>
      <c r="N30" s="14"/>
      <c r="O30" s="14"/>
      <c r="P30" s="14"/>
      <c r="Q30" s="14"/>
      <c r="R30" s="14"/>
    </row>
    <row r="31" spans="1:18" ht="27" customHeight="1">
      <c r="A31" s="13"/>
      <c r="B31" s="6"/>
      <c r="C31" s="6"/>
      <c r="D31" s="8"/>
      <c r="E31" s="6"/>
      <c r="F31" s="8"/>
      <c r="G31" s="6"/>
      <c r="H31" s="14"/>
      <c r="I31" s="14"/>
      <c r="J31" s="14"/>
      <c r="K31" s="14"/>
      <c r="L31" s="14"/>
      <c r="M31" s="14"/>
      <c r="N31" s="14"/>
      <c r="O31" s="14"/>
      <c r="P31" s="14"/>
      <c r="Q31" s="14"/>
      <c r="R31" s="14"/>
    </row>
    <row r="32" spans="1:18" ht="27" customHeight="1">
      <c r="A32" s="13"/>
      <c r="B32" s="6"/>
      <c r="C32" s="6"/>
      <c r="D32" s="8"/>
      <c r="E32" s="6"/>
      <c r="F32" s="8"/>
      <c r="G32" s="6"/>
      <c r="H32" s="14"/>
      <c r="I32" s="14"/>
      <c r="J32" s="14"/>
      <c r="K32" s="14"/>
      <c r="L32" s="14"/>
      <c r="M32" s="14"/>
      <c r="N32" s="14"/>
      <c r="O32" s="14"/>
      <c r="P32" s="14"/>
      <c r="Q32" s="14"/>
      <c r="R32" s="14"/>
    </row>
    <row r="33" spans="1:18" ht="27" customHeight="1">
      <c r="A33" s="13"/>
      <c r="B33" s="6"/>
      <c r="C33" s="6"/>
      <c r="D33" s="8"/>
      <c r="E33" s="6"/>
      <c r="F33" s="8"/>
      <c r="G33" s="6"/>
      <c r="H33" s="14"/>
      <c r="I33" s="14"/>
      <c r="J33" s="14"/>
      <c r="K33" s="14"/>
      <c r="L33" s="14"/>
      <c r="M33" s="14"/>
      <c r="N33" s="14"/>
      <c r="O33" s="14"/>
      <c r="P33" s="14"/>
      <c r="Q33" s="14"/>
      <c r="R33" s="14"/>
    </row>
    <row r="34" spans="1:18" ht="27" customHeight="1">
      <c r="A34" s="13"/>
      <c r="B34" s="6"/>
      <c r="C34" s="6"/>
      <c r="D34" s="8"/>
      <c r="E34" s="6"/>
      <c r="F34" s="8"/>
      <c r="G34" s="6"/>
      <c r="H34" s="14"/>
      <c r="I34" s="14"/>
      <c r="J34" s="14"/>
      <c r="K34" s="14"/>
      <c r="L34" s="14"/>
      <c r="M34" s="14"/>
      <c r="N34" s="14"/>
      <c r="O34" s="14"/>
      <c r="P34" s="14"/>
      <c r="Q34" s="14"/>
      <c r="R34" s="14"/>
    </row>
    <row r="35" spans="1:18" ht="27" customHeight="1">
      <c r="A35" s="13"/>
      <c r="B35" s="6"/>
      <c r="C35" s="6"/>
      <c r="D35" s="8"/>
      <c r="E35" s="6"/>
      <c r="F35" s="8"/>
      <c r="G35" s="6"/>
      <c r="H35" s="14"/>
      <c r="I35" s="14"/>
      <c r="J35" s="14"/>
      <c r="K35" s="14"/>
      <c r="L35" s="14"/>
      <c r="M35" s="14"/>
      <c r="N35" s="14"/>
      <c r="O35" s="14"/>
      <c r="P35" s="14"/>
      <c r="Q35" s="14"/>
      <c r="R35" s="14"/>
    </row>
    <row r="36" spans="1:18" ht="27" customHeight="1">
      <c r="A36" s="13"/>
      <c r="B36" s="6"/>
      <c r="C36" s="6"/>
      <c r="D36" s="8"/>
      <c r="E36" s="6"/>
      <c r="F36" s="8"/>
      <c r="G36" s="6"/>
      <c r="H36" s="14"/>
      <c r="I36" s="14"/>
      <c r="J36" s="14"/>
      <c r="K36" s="14"/>
      <c r="L36" s="14"/>
      <c r="M36" s="14"/>
      <c r="N36" s="14"/>
      <c r="O36" s="14"/>
      <c r="P36" s="14"/>
      <c r="Q36" s="14"/>
      <c r="R36" s="14"/>
    </row>
    <row r="37" spans="1:18" ht="27" customHeight="1">
      <c r="A37" s="13"/>
      <c r="B37" s="6"/>
      <c r="C37" s="6"/>
      <c r="D37" s="8"/>
      <c r="E37" s="6"/>
      <c r="F37" s="8"/>
      <c r="G37" s="6"/>
      <c r="H37" s="14"/>
      <c r="I37" s="14"/>
      <c r="J37" s="14"/>
      <c r="K37" s="14"/>
      <c r="L37" s="14"/>
      <c r="M37" s="14"/>
      <c r="N37" s="14"/>
      <c r="O37" s="14"/>
      <c r="P37" s="14"/>
      <c r="Q37" s="14"/>
      <c r="R37" s="14"/>
    </row>
    <row r="38" spans="1:18" ht="27" customHeight="1">
      <c r="A38" s="13"/>
      <c r="B38" s="6"/>
      <c r="C38" s="6"/>
      <c r="D38" s="8"/>
      <c r="E38" s="6"/>
      <c r="F38" s="8"/>
      <c r="G38" s="6"/>
      <c r="H38" s="14"/>
      <c r="I38" s="14"/>
      <c r="J38" s="14"/>
      <c r="K38" s="14"/>
      <c r="L38" s="14"/>
      <c r="M38" s="14"/>
      <c r="N38" s="14"/>
      <c r="O38" s="14"/>
      <c r="P38" s="14"/>
      <c r="Q38" s="14"/>
      <c r="R38" s="14"/>
    </row>
    <row r="39" spans="1:18" ht="27" customHeight="1">
      <c r="A39" s="13"/>
      <c r="B39" s="6"/>
      <c r="C39" s="6"/>
      <c r="D39" s="8"/>
      <c r="E39" s="6"/>
      <c r="F39" s="8"/>
      <c r="G39" s="6"/>
      <c r="H39" s="14"/>
      <c r="I39" s="14"/>
      <c r="J39" s="14"/>
      <c r="K39" s="14"/>
      <c r="L39" s="14"/>
      <c r="M39" s="14"/>
      <c r="N39" s="14"/>
      <c r="O39" s="14"/>
      <c r="P39" s="14"/>
      <c r="Q39" s="14"/>
      <c r="R39" s="14"/>
    </row>
    <row r="40" spans="1:18" ht="27" customHeight="1">
      <c r="A40" s="13"/>
      <c r="B40" s="6"/>
      <c r="C40" s="6"/>
      <c r="D40" s="8"/>
      <c r="E40" s="6"/>
      <c r="F40" s="8"/>
      <c r="G40" s="6"/>
      <c r="H40" s="14"/>
      <c r="I40" s="14"/>
      <c r="J40" s="14"/>
      <c r="K40" s="14"/>
      <c r="L40" s="14"/>
      <c r="M40" s="14"/>
      <c r="N40" s="14"/>
      <c r="O40" s="14"/>
      <c r="P40" s="14"/>
      <c r="Q40" s="14"/>
      <c r="R40" s="14"/>
    </row>
    <row r="41" spans="1:18" ht="27" customHeight="1">
      <c r="A41" s="13"/>
      <c r="B41" s="6"/>
      <c r="C41" s="6"/>
      <c r="D41" s="8"/>
      <c r="E41" s="6"/>
      <c r="F41" s="8"/>
      <c r="G41" s="6"/>
      <c r="H41" s="14"/>
      <c r="I41" s="14"/>
      <c r="J41" s="14"/>
      <c r="K41" s="14"/>
      <c r="L41" s="14"/>
      <c r="M41" s="14"/>
      <c r="N41" s="14"/>
      <c r="O41" s="14"/>
      <c r="P41" s="14"/>
      <c r="Q41" s="14"/>
      <c r="R41" s="14"/>
    </row>
    <row r="42" spans="1:18" ht="27" customHeight="1">
      <c r="A42" s="13"/>
      <c r="B42" s="6"/>
      <c r="C42" s="6"/>
      <c r="D42" s="8"/>
      <c r="E42" s="6"/>
      <c r="F42" s="8"/>
      <c r="G42" s="6"/>
      <c r="H42" s="14"/>
      <c r="I42" s="14"/>
      <c r="J42" s="14"/>
      <c r="K42" s="14"/>
      <c r="L42" s="14"/>
      <c r="M42" s="14"/>
      <c r="N42" s="14"/>
      <c r="O42" s="14"/>
      <c r="P42" s="14"/>
      <c r="Q42" s="14"/>
      <c r="R42" s="14"/>
    </row>
    <row r="43" spans="1:18" ht="27" customHeight="1">
      <c r="A43" s="13"/>
      <c r="B43" s="6"/>
      <c r="C43" s="6"/>
      <c r="D43" s="8"/>
      <c r="E43" s="6"/>
      <c r="F43" s="8"/>
      <c r="G43" s="6"/>
      <c r="H43" s="14"/>
      <c r="I43" s="14"/>
      <c r="J43" s="14"/>
      <c r="K43" s="14"/>
      <c r="L43" s="14"/>
      <c r="M43" s="14"/>
      <c r="N43" s="14"/>
      <c r="O43" s="14"/>
      <c r="P43" s="14"/>
      <c r="Q43" s="14"/>
      <c r="R43" s="14"/>
    </row>
    <row r="44" spans="1:18" ht="27" customHeight="1">
      <c r="A44" s="13"/>
      <c r="B44" s="6"/>
      <c r="C44" s="6"/>
      <c r="D44" s="8"/>
      <c r="E44" s="6"/>
      <c r="F44" s="8"/>
      <c r="G44" s="6"/>
      <c r="H44" s="14"/>
      <c r="I44" s="14"/>
      <c r="J44" s="14"/>
      <c r="K44" s="14"/>
      <c r="L44" s="14"/>
      <c r="M44" s="14"/>
      <c r="N44" s="14"/>
      <c r="O44" s="14"/>
      <c r="P44" s="14"/>
      <c r="Q44" s="14"/>
      <c r="R44" s="14"/>
    </row>
    <row r="45" spans="1:18" ht="27" customHeight="1">
      <c r="A45" s="13"/>
      <c r="B45" s="6"/>
      <c r="C45" s="6"/>
      <c r="D45" s="8"/>
      <c r="E45" s="6"/>
      <c r="F45" s="8"/>
      <c r="G45" s="6"/>
      <c r="H45" s="14"/>
      <c r="I45" s="14"/>
      <c r="J45" s="14"/>
      <c r="K45" s="14"/>
      <c r="L45" s="14"/>
      <c r="M45" s="14"/>
      <c r="N45" s="14"/>
      <c r="O45" s="14"/>
      <c r="P45" s="14"/>
      <c r="Q45" s="14"/>
      <c r="R45" s="14"/>
    </row>
    <row r="46" spans="1:18" ht="27" customHeight="1">
      <c r="A46" s="13"/>
      <c r="B46" s="6"/>
      <c r="C46" s="6"/>
      <c r="D46" s="8"/>
      <c r="E46" s="6"/>
      <c r="F46" s="8"/>
      <c r="G46" s="6"/>
      <c r="H46" s="14"/>
      <c r="I46" s="14"/>
      <c r="J46" s="14"/>
      <c r="K46" s="14"/>
      <c r="L46" s="14"/>
      <c r="M46" s="14"/>
      <c r="N46" s="14"/>
      <c r="O46" s="14"/>
      <c r="P46" s="14"/>
      <c r="Q46" s="14"/>
      <c r="R46" s="14"/>
    </row>
    <row r="47" spans="1:18" ht="27" customHeight="1">
      <c r="A47" s="13"/>
      <c r="B47" s="6"/>
      <c r="C47" s="6"/>
      <c r="D47" s="8"/>
      <c r="E47" s="6"/>
      <c r="F47" s="8"/>
      <c r="G47" s="6"/>
      <c r="H47" s="14"/>
      <c r="I47" s="14"/>
      <c r="J47" s="14"/>
      <c r="K47" s="14"/>
      <c r="L47" s="14"/>
      <c r="M47" s="14"/>
      <c r="N47" s="14"/>
      <c r="O47" s="14"/>
      <c r="P47" s="14"/>
      <c r="Q47" s="14"/>
      <c r="R47" s="14"/>
    </row>
    <row r="48" spans="1:18" ht="27" customHeight="1">
      <c r="A48" s="13"/>
      <c r="B48" s="6"/>
      <c r="C48" s="6"/>
      <c r="D48" s="8"/>
      <c r="E48" s="6"/>
      <c r="F48" s="8"/>
      <c r="G48" s="6"/>
      <c r="H48" s="14"/>
      <c r="I48" s="14"/>
      <c r="J48" s="14"/>
      <c r="K48" s="14"/>
      <c r="L48" s="14"/>
      <c r="M48" s="14"/>
      <c r="N48" s="14"/>
      <c r="O48" s="14"/>
      <c r="P48" s="14"/>
      <c r="Q48" s="14"/>
      <c r="R48" s="14"/>
    </row>
    <row r="49" spans="1:18" ht="27" customHeight="1">
      <c r="A49" s="13"/>
      <c r="B49" s="6"/>
      <c r="C49" s="6"/>
      <c r="D49" s="8"/>
      <c r="E49" s="6"/>
      <c r="F49" s="8"/>
      <c r="G49" s="6"/>
      <c r="H49" s="14"/>
      <c r="I49" s="14"/>
      <c r="J49" s="14"/>
      <c r="K49" s="14"/>
      <c r="L49" s="14"/>
      <c r="M49" s="14"/>
      <c r="N49" s="14"/>
      <c r="O49" s="14"/>
      <c r="P49" s="14"/>
      <c r="Q49" s="14"/>
      <c r="R49" s="14"/>
    </row>
    <row r="50" spans="1:18" ht="27" customHeight="1">
      <c r="A50" s="13"/>
      <c r="B50" s="6"/>
      <c r="C50" s="6"/>
      <c r="D50" s="8"/>
      <c r="E50" s="6"/>
      <c r="F50" s="8"/>
      <c r="G50" s="6"/>
      <c r="H50" s="14"/>
      <c r="I50" s="14"/>
      <c r="J50" s="14"/>
      <c r="K50" s="14"/>
      <c r="L50" s="14"/>
      <c r="M50" s="14"/>
      <c r="N50" s="14"/>
      <c r="O50" s="14"/>
      <c r="P50" s="14"/>
      <c r="Q50" s="14"/>
      <c r="R50" s="14"/>
    </row>
    <row r="51" spans="1:18" ht="27" customHeight="1">
      <c r="A51" s="13"/>
      <c r="B51" s="6"/>
      <c r="C51" s="6"/>
      <c r="D51" s="8"/>
      <c r="E51" s="6"/>
      <c r="F51" s="8"/>
      <c r="G51" s="6"/>
      <c r="H51" s="14"/>
      <c r="I51" s="14"/>
      <c r="J51" s="14"/>
      <c r="K51" s="14"/>
      <c r="L51" s="14"/>
      <c r="M51" s="14"/>
      <c r="N51" s="14"/>
      <c r="O51" s="14"/>
      <c r="P51" s="14"/>
      <c r="Q51" s="14"/>
      <c r="R51" s="14"/>
    </row>
    <row r="52" spans="1:18" ht="27" customHeight="1">
      <c r="A52" s="13"/>
      <c r="B52" s="6"/>
      <c r="C52" s="6"/>
      <c r="D52" s="8"/>
      <c r="E52" s="6"/>
      <c r="F52" s="8"/>
      <c r="G52" s="6"/>
      <c r="H52" s="14"/>
      <c r="I52" s="14"/>
      <c r="J52" s="14"/>
      <c r="K52" s="14"/>
      <c r="L52" s="14"/>
      <c r="M52" s="14"/>
      <c r="N52" s="14"/>
      <c r="O52" s="14"/>
      <c r="P52" s="14"/>
      <c r="Q52" s="14"/>
      <c r="R52" s="14"/>
    </row>
    <row r="53" spans="1:18" ht="27" customHeight="1">
      <c r="A53" s="13"/>
      <c r="B53" s="6"/>
      <c r="C53" s="6"/>
      <c r="D53" s="8"/>
      <c r="E53" s="6"/>
      <c r="F53" s="8"/>
      <c r="G53" s="6"/>
      <c r="H53" s="14"/>
      <c r="I53" s="14"/>
      <c r="J53" s="14"/>
      <c r="K53" s="14"/>
      <c r="L53" s="14"/>
      <c r="M53" s="14"/>
      <c r="N53" s="14"/>
      <c r="O53" s="14"/>
      <c r="P53" s="14"/>
      <c r="Q53" s="14"/>
      <c r="R53" s="14"/>
    </row>
    <row r="54" spans="1:18" ht="27" customHeight="1">
      <c r="A54" s="13"/>
      <c r="B54" s="6"/>
      <c r="C54" s="6"/>
      <c r="D54" s="8"/>
      <c r="E54" s="6"/>
      <c r="F54" s="8"/>
      <c r="G54" s="6"/>
      <c r="H54" s="14"/>
      <c r="I54" s="14"/>
      <c r="J54" s="14"/>
      <c r="K54" s="14"/>
      <c r="L54" s="14"/>
      <c r="M54" s="14"/>
      <c r="N54" s="14"/>
      <c r="O54" s="14"/>
      <c r="P54" s="14"/>
      <c r="Q54" s="14"/>
      <c r="R54" s="14"/>
    </row>
    <row r="55" spans="1:18" ht="27" customHeight="1">
      <c r="A55" s="13"/>
      <c r="B55" s="6"/>
      <c r="C55" s="6"/>
      <c r="D55" s="8"/>
      <c r="E55" s="6"/>
      <c r="F55" s="8"/>
      <c r="G55" s="6"/>
      <c r="H55" s="14"/>
      <c r="I55" s="14"/>
      <c r="J55" s="14"/>
      <c r="K55" s="14"/>
      <c r="L55" s="14"/>
      <c r="M55" s="14"/>
      <c r="N55" s="14"/>
      <c r="O55" s="14"/>
      <c r="P55" s="14"/>
      <c r="Q55" s="14"/>
      <c r="R55" s="14"/>
    </row>
    <row r="56" spans="1:18" ht="27" customHeight="1">
      <c r="A56" s="13"/>
      <c r="B56" s="6"/>
      <c r="C56" s="6"/>
      <c r="D56" s="8"/>
      <c r="E56" s="6"/>
      <c r="F56" s="8"/>
      <c r="G56" s="6"/>
      <c r="H56" s="14"/>
      <c r="I56" s="14"/>
      <c r="J56" s="14"/>
      <c r="K56" s="14"/>
      <c r="L56" s="14"/>
      <c r="M56" s="14"/>
      <c r="N56" s="14"/>
      <c r="O56" s="14"/>
      <c r="P56" s="14"/>
      <c r="Q56" s="14"/>
      <c r="R56" s="14"/>
    </row>
    <row r="57" spans="1:18" ht="27" customHeight="1">
      <c r="A57" s="13"/>
      <c r="B57" s="6"/>
      <c r="C57" s="6"/>
      <c r="D57" s="8"/>
      <c r="E57" s="6"/>
      <c r="F57" s="8"/>
      <c r="G57" s="6"/>
      <c r="H57" s="14"/>
      <c r="I57" s="14"/>
      <c r="J57" s="14"/>
      <c r="K57" s="14"/>
      <c r="L57" s="14"/>
      <c r="M57" s="14"/>
      <c r="N57" s="14"/>
      <c r="O57" s="14"/>
      <c r="P57" s="14"/>
      <c r="Q57" s="14"/>
      <c r="R57" s="14"/>
    </row>
    <row r="58" spans="1:18" ht="27" customHeight="1">
      <c r="A58" s="13"/>
      <c r="B58" s="6"/>
      <c r="C58" s="6"/>
      <c r="D58" s="8"/>
      <c r="E58" s="6"/>
      <c r="F58" s="8"/>
      <c r="G58" s="6"/>
      <c r="H58" s="14"/>
      <c r="I58" s="14"/>
      <c r="J58" s="14"/>
      <c r="K58" s="14"/>
      <c r="L58" s="14"/>
      <c r="M58" s="14"/>
      <c r="N58" s="14"/>
      <c r="O58" s="14"/>
      <c r="P58" s="14"/>
      <c r="Q58" s="14"/>
      <c r="R58" s="14"/>
    </row>
    <row r="59" spans="1:18" ht="27" customHeight="1">
      <c r="A59" s="13"/>
      <c r="B59" s="6"/>
      <c r="C59" s="6"/>
      <c r="D59" s="8"/>
      <c r="E59" s="6"/>
      <c r="F59" s="8"/>
      <c r="G59" s="6"/>
      <c r="H59" s="14"/>
      <c r="I59" s="14"/>
      <c r="J59" s="14"/>
      <c r="K59" s="14"/>
      <c r="L59" s="14"/>
      <c r="M59" s="14"/>
      <c r="N59" s="14"/>
      <c r="O59" s="14"/>
      <c r="P59" s="14"/>
      <c r="Q59" s="14"/>
      <c r="R59" s="14"/>
    </row>
    <row r="60" spans="1:18" ht="27" customHeight="1">
      <c r="A60" s="13"/>
      <c r="B60" s="6"/>
      <c r="C60" s="6"/>
      <c r="D60" s="8"/>
      <c r="E60" s="6"/>
      <c r="F60" s="8"/>
      <c r="G60" s="6"/>
      <c r="H60" s="14"/>
      <c r="I60" s="14"/>
      <c r="J60" s="14"/>
      <c r="K60" s="14"/>
      <c r="L60" s="14"/>
      <c r="M60" s="14"/>
      <c r="N60" s="14"/>
      <c r="O60" s="14"/>
      <c r="P60" s="14"/>
      <c r="Q60" s="14"/>
      <c r="R60" s="14"/>
    </row>
    <row r="61" spans="1:18" ht="27" customHeight="1">
      <c r="A61" s="13"/>
      <c r="B61" s="6"/>
      <c r="C61" s="6"/>
      <c r="D61" s="8"/>
      <c r="E61" s="6"/>
      <c r="F61" s="8"/>
      <c r="G61" s="6"/>
      <c r="H61" s="14"/>
      <c r="I61" s="14"/>
      <c r="J61" s="14"/>
      <c r="K61" s="14"/>
      <c r="L61" s="14"/>
      <c r="M61" s="14"/>
      <c r="N61" s="14"/>
      <c r="O61" s="14"/>
      <c r="P61" s="14"/>
      <c r="Q61" s="14"/>
      <c r="R61" s="14"/>
    </row>
    <row r="62" spans="1:18" ht="27" customHeight="1">
      <c r="A62" s="13"/>
      <c r="B62" s="6"/>
      <c r="C62" s="6"/>
      <c r="D62" s="8"/>
      <c r="E62" s="6"/>
      <c r="F62" s="8"/>
      <c r="G62" s="6"/>
      <c r="H62" s="14"/>
      <c r="I62" s="14"/>
      <c r="J62" s="14"/>
      <c r="K62" s="14"/>
      <c r="L62" s="14"/>
      <c r="M62" s="14"/>
      <c r="N62" s="14"/>
      <c r="O62" s="14"/>
      <c r="P62" s="14"/>
      <c r="Q62" s="14"/>
      <c r="R62" s="14"/>
    </row>
    <row r="63" spans="1:18" ht="27" customHeight="1">
      <c r="A63" s="13"/>
      <c r="B63" s="6"/>
      <c r="C63" s="6"/>
      <c r="D63" s="8"/>
      <c r="E63" s="6"/>
      <c r="F63" s="8"/>
      <c r="G63" s="6"/>
      <c r="H63" s="14"/>
      <c r="I63" s="14"/>
      <c r="J63" s="14"/>
      <c r="K63" s="14"/>
      <c r="L63" s="14"/>
      <c r="M63" s="14"/>
      <c r="N63" s="14"/>
      <c r="O63" s="14"/>
      <c r="P63" s="14"/>
      <c r="Q63" s="14"/>
      <c r="R63" s="14"/>
    </row>
    <row r="64" spans="1:18" ht="27" customHeight="1">
      <c r="A64" s="13"/>
      <c r="B64" s="6"/>
      <c r="C64" s="6"/>
      <c r="D64" s="8"/>
      <c r="E64" s="6"/>
      <c r="F64" s="8"/>
      <c r="G64" s="6"/>
      <c r="H64" s="14"/>
      <c r="I64" s="14"/>
      <c r="J64" s="14"/>
      <c r="K64" s="14"/>
      <c r="L64" s="14"/>
      <c r="M64" s="14"/>
      <c r="N64" s="14"/>
      <c r="O64" s="14"/>
      <c r="P64" s="14"/>
      <c r="Q64" s="14"/>
      <c r="R64" s="14"/>
    </row>
    <row r="65" spans="1:18" ht="27" customHeight="1">
      <c r="A65" s="13"/>
      <c r="B65" s="6"/>
      <c r="C65" s="6"/>
      <c r="D65" s="8"/>
      <c r="E65" s="6"/>
      <c r="F65" s="8"/>
      <c r="G65" s="6"/>
      <c r="H65" s="14"/>
      <c r="I65" s="14"/>
      <c r="J65" s="14"/>
      <c r="K65" s="14"/>
      <c r="L65" s="14"/>
      <c r="M65" s="14"/>
      <c r="N65" s="14"/>
      <c r="O65" s="14"/>
      <c r="P65" s="14"/>
      <c r="Q65" s="14"/>
      <c r="R65" s="14"/>
    </row>
    <row r="66" spans="1:18" ht="27" customHeight="1">
      <c r="A66" s="13"/>
      <c r="B66" s="6"/>
      <c r="C66" s="6"/>
      <c r="D66" s="8"/>
      <c r="E66" s="6"/>
      <c r="F66" s="8"/>
      <c r="G66" s="6"/>
      <c r="H66" s="14"/>
      <c r="I66" s="14"/>
      <c r="J66" s="14"/>
      <c r="K66" s="14"/>
      <c r="L66" s="14"/>
      <c r="M66" s="14"/>
      <c r="N66" s="14"/>
      <c r="O66" s="14"/>
      <c r="P66" s="14"/>
      <c r="Q66" s="14"/>
      <c r="R66" s="14"/>
    </row>
    <row r="67" spans="1:18" ht="27" customHeight="1">
      <c r="A67" s="13"/>
      <c r="B67" s="6"/>
      <c r="C67" s="6"/>
      <c r="D67" s="8"/>
      <c r="E67" s="6"/>
      <c r="F67" s="8"/>
      <c r="G67" s="6"/>
      <c r="H67" s="14"/>
      <c r="I67" s="14"/>
      <c r="J67" s="14"/>
      <c r="K67" s="14"/>
      <c r="L67" s="14"/>
      <c r="M67" s="14"/>
      <c r="N67" s="14"/>
      <c r="O67" s="14"/>
      <c r="P67" s="14"/>
      <c r="Q67" s="14"/>
      <c r="R67" s="14"/>
    </row>
    <row r="68" spans="1:18" ht="27" customHeight="1">
      <c r="A68" s="13"/>
      <c r="B68" s="6"/>
      <c r="C68" s="6"/>
      <c r="D68" s="8"/>
      <c r="E68" s="6"/>
      <c r="F68" s="8"/>
      <c r="G68" s="6"/>
      <c r="H68" s="14"/>
      <c r="I68" s="14"/>
      <c r="J68" s="14"/>
      <c r="K68" s="14"/>
      <c r="L68" s="14"/>
      <c r="M68" s="14"/>
      <c r="N68" s="14"/>
      <c r="O68" s="14"/>
      <c r="P68" s="14"/>
      <c r="Q68" s="14"/>
      <c r="R68" s="14"/>
    </row>
    <row r="69" spans="1:18" ht="27" customHeight="1">
      <c r="A69" s="13"/>
      <c r="B69" s="6"/>
      <c r="C69" s="6"/>
      <c r="D69" s="8"/>
      <c r="E69" s="6"/>
      <c r="F69" s="8"/>
      <c r="G69" s="6"/>
      <c r="H69" s="14"/>
      <c r="I69" s="14"/>
      <c r="J69" s="14"/>
      <c r="K69" s="14"/>
      <c r="L69" s="14"/>
      <c r="M69" s="14"/>
      <c r="N69" s="14"/>
      <c r="O69" s="14"/>
      <c r="P69" s="14"/>
      <c r="Q69" s="14"/>
      <c r="R69" s="14"/>
    </row>
    <row r="70" spans="1:18" ht="27" customHeight="1">
      <c r="A70" s="13"/>
      <c r="B70" s="6"/>
      <c r="C70" s="6"/>
      <c r="D70" s="8"/>
      <c r="E70" s="6"/>
      <c r="F70" s="8"/>
      <c r="G70" s="6"/>
      <c r="H70" s="14"/>
      <c r="I70" s="14"/>
      <c r="J70" s="14"/>
      <c r="K70" s="14"/>
      <c r="L70" s="14"/>
      <c r="M70" s="14"/>
      <c r="N70" s="14"/>
      <c r="O70" s="14"/>
      <c r="P70" s="14"/>
      <c r="Q70" s="14"/>
      <c r="R70" s="14"/>
    </row>
    <row r="71" spans="1:18" ht="27" customHeight="1">
      <c r="A71" s="13"/>
      <c r="B71" s="6"/>
      <c r="C71" s="6"/>
      <c r="D71" s="8"/>
      <c r="E71" s="6"/>
      <c r="F71" s="8"/>
      <c r="G71" s="6"/>
      <c r="H71" s="14"/>
      <c r="I71" s="14"/>
      <c r="J71" s="14"/>
      <c r="K71" s="14"/>
      <c r="L71" s="14"/>
      <c r="M71" s="14"/>
      <c r="N71" s="14"/>
      <c r="O71" s="14"/>
      <c r="P71" s="14"/>
      <c r="Q71" s="14"/>
      <c r="R71" s="14"/>
    </row>
    <row r="72" spans="1:18" ht="27" customHeight="1">
      <c r="A72" s="13"/>
      <c r="B72" s="6"/>
      <c r="C72" s="6"/>
      <c r="D72" s="8"/>
      <c r="E72" s="6"/>
      <c r="F72" s="8"/>
      <c r="G72" s="6"/>
      <c r="H72" s="14"/>
      <c r="I72" s="14"/>
      <c r="J72" s="14"/>
      <c r="K72" s="14"/>
      <c r="L72" s="14"/>
      <c r="M72" s="14"/>
      <c r="N72" s="14"/>
      <c r="O72" s="14"/>
      <c r="P72" s="14"/>
      <c r="Q72" s="14"/>
      <c r="R72" s="14"/>
    </row>
    <row r="73" spans="1:18" ht="27" customHeight="1">
      <c r="A73" s="13"/>
      <c r="B73" s="6"/>
      <c r="C73" s="6"/>
      <c r="D73" s="8"/>
      <c r="E73" s="6"/>
      <c r="F73" s="8"/>
      <c r="G73" s="6"/>
      <c r="H73" s="14"/>
      <c r="I73" s="14"/>
      <c r="J73" s="14"/>
      <c r="K73" s="14"/>
      <c r="L73" s="14"/>
      <c r="M73" s="14"/>
      <c r="N73" s="14"/>
      <c r="O73" s="14"/>
      <c r="P73" s="14"/>
      <c r="Q73" s="14"/>
      <c r="R73" s="14"/>
    </row>
    <row r="74" spans="1:18" ht="27" customHeight="1">
      <c r="A74" s="13"/>
      <c r="B74" s="6"/>
      <c r="C74" s="6"/>
      <c r="D74" s="8"/>
      <c r="E74" s="6"/>
      <c r="F74" s="8"/>
      <c r="G74" s="6"/>
      <c r="H74" s="14"/>
      <c r="I74" s="14"/>
      <c r="J74" s="14"/>
      <c r="K74" s="14"/>
      <c r="L74" s="14"/>
      <c r="M74" s="14"/>
      <c r="N74" s="14"/>
      <c r="O74" s="14"/>
      <c r="P74" s="14"/>
      <c r="Q74" s="14"/>
      <c r="R74" s="14"/>
    </row>
    <row r="75" spans="1:18" ht="27" customHeight="1">
      <c r="A75" s="13"/>
      <c r="B75" s="6"/>
      <c r="C75" s="6"/>
      <c r="D75" s="8"/>
      <c r="E75" s="6"/>
      <c r="F75" s="8"/>
      <c r="G75" s="6"/>
      <c r="H75" s="14"/>
      <c r="I75" s="14"/>
      <c r="J75" s="14"/>
      <c r="K75" s="14"/>
      <c r="L75" s="14"/>
      <c r="M75" s="14"/>
      <c r="N75" s="14"/>
      <c r="O75" s="14"/>
      <c r="P75" s="14"/>
      <c r="Q75" s="14"/>
      <c r="R75" s="14"/>
    </row>
    <row r="76" spans="1:18" ht="27" customHeight="1">
      <c r="A76" s="13"/>
      <c r="B76" s="6"/>
      <c r="C76" s="6"/>
      <c r="D76" s="8"/>
      <c r="E76" s="6"/>
      <c r="F76" s="8"/>
      <c r="G76" s="6"/>
      <c r="H76" s="14"/>
      <c r="I76" s="14"/>
      <c r="J76" s="14"/>
      <c r="K76" s="14"/>
      <c r="L76" s="14"/>
      <c r="M76" s="14"/>
      <c r="N76" s="14"/>
      <c r="O76" s="14"/>
      <c r="P76" s="14"/>
      <c r="Q76" s="14"/>
      <c r="R76" s="14"/>
    </row>
    <row r="77" spans="1:18" ht="27" customHeight="1">
      <c r="A77" s="13"/>
      <c r="B77" s="6"/>
      <c r="C77" s="6"/>
      <c r="D77" s="8"/>
      <c r="E77" s="6"/>
      <c r="F77" s="8"/>
      <c r="G77" s="6"/>
      <c r="H77" s="14"/>
      <c r="I77" s="14"/>
      <c r="J77" s="14"/>
      <c r="K77" s="14"/>
      <c r="L77" s="14"/>
      <c r="M77" s="14"/>
      <c r="N77" s="14"/>
      <c r="O77" s="14"/>
      <c r="P77" s="14"/>
      <c r="Q77" s="14"/>
      <c r="R77" s="14"/>
    </row>
    <row r="78" spans="1:18" ht="27" customHeight="1">
      <c r="A78" s="13"/>
      <c r="B78" s="6"/>
      <c r="C78" s="6"/>
      <c r="D78" s="8"/>
      <c r="E78" s="6"/>
      <c r="F78" s="8"/>
      <c r="G78" s="6"/>
      <c r="H78" s="14"/>
      <c r="I78" s="14"/>
      <c r="J78" s="14"/>
      <c r="K78" s="14"/>
      <c r="L78" s="14"/>
      <c r="M78" s="14"/>
      <c r="N78" s="14"/>
      <c r="O78" s="14"/>
      <c r="P78" s="14"/>
      <c r="Q78" s="14"/>
      <c r="R78" s="14"/>
    </row>
    <row r="79" spans="1:18" ht="27" customHeight="1">
      <c r="A79" s="13"/>
      <c r="B79" s="6"/>
      <c r="C79" s="6"/>
      <c r="D79" s="8"/>
      <c r="E79" s="6"/>
      <c r="F79" s="8"/>
      <c r="G79" s="6"/>
      <c r="H79" s="14"/>
      <c r="I79" s="14"/>
      <c r="J79" s="14"/>
      <c r="K79" s="14"/>
      <c r="L79" s="14"/>
      <c r="M79" s="14"/>
      <c r="N79" s="14"/>
      <c r="O79" s="14"/>
      <c r="P79" s="14"/>
      <c r="Q79" s="14"/>
      <c r="R79" s="14"/>
    </row>
    <row r="80" spans="1:18" ht="27" customHeight="1">
      <c r="A80" s="13"/>
      <c r="B80" s="6"/>
      <c r="C80" s="6"/>
      <c r="D80" s="8"/>
      <c r="E80" s="6"/>
      <c r="F80" s="8"/>
      <c r="G80" s="6"/>
      <c r="H80" s="14"/>
      <c r="I80" s="14"/>
      <c r="J80" s="14"/>
      <c r="K80" s="14"/>
      <c r="L80" s="14"/>
      <c r="M80" s="14"/>
      <c r="N80" s="14"/>
      <c r="O80" s="14"/>
      <c r="P80" s="14"/>
      <c r="Q80" s="14"/>
      <c r="R80" s="14"/>
    </row>
    <row r="81" spans="1:18" ht="27" customHeight="1">
      <c r="A81" s="13"/>
      <c r="B81" s="6"/>
      <c r="C81" s="6"/>
      <c r="D81" s="8"/>
      <c r="E81" s="6"/>
      <c r="F81" s="8"/>
      <c r="G81" s="6"/>
      <c r="H81" s="14"/>
      <c r="I81" s="14"/>
      <c r="J81" s="14"/>
      <c r="K81" s="14"/>
      <c r="L81" s="14"/>
      <c r="M81" s="14"/>
      <c r="N81" s="14"/>
      <c r="O81" s="14"/>
      <c r="P81" s="14"/>
      <c r="Q81" s="14"/>
      <c r="R81" s="14"/>
    </row>
    <row r="82" spans="1:18" ht="27" customHeight="1">
      <c r="A82" s="13"/>
      <c r="B82" s="6"/>
      <c r="C82" s="6"/>
      <c r="D82" s="8"/>
      <c r="E82" s="6"/>
      <c r="F82" s="8"/>
      <c r="G82" s="6"/>
      <c r="H82" s="14"/>
      <c r="I82" s="14"/>
      <c r="J82" s="14"/>
      <c r="K82" s="14"/>
      <c r="L82" s="14"/>
      <c r="M82" s="14"/>
      <c r="N82" s="14"/>
      <c r="O82" s="14"/>
      <c r="P82" s="14"/>
      <c r="Q82" s="14"/>
      <c r="R82" s="14"/>
    </row>
    <row r="83" spans="1:18" ht="27" customHeight="1">
      <c r="A83" s="13"/>
      <c r="B83" s="6"/>
      <c r="C83" s="6"/>
      <c r="D83" s="8"/>
      <c r="E83" s="6"/>
      <c r="F83" s="8"/>
      <c r="G83" s="6"/>
      <c r="H83" s="14"/>
      <c r="I83" s="14"/>
      <c r="J83" s="14"/>
      <c r="K83" s="14"/>
      <c r="L83" s="14"/>
      <c r="M83" s="14"/>
      <c r="N83" s="14"/>
      <c r="O83" s="14"/>
      <c r="P83" s="14"/>
      <c r="Q83" s="14"/>
      <c r="R83" s="14"/>
    </row>
    <row r="84" spans="1:18" ht="27" customHeight="1">
      <c r="A84" s="13"/>
      <c r="B84" s="6"/>
      <c r="C84" s="6"/>
      <c r="D84" s="8"/>
      <c r="E84" s="6"/>
      <c r="F84" s="8"/>
      <c r="G84" s="6"/>
      <c r="H84" s="14"/>
      <c r="I84" s="14"/>
      <c r="J84" s="14"/>
      <c r="K84" s="14"/>
      <c r="L84" s="14"/>
      <c r="M84" s="14"/>
      <c r="N84" s="14"/>
      <c r="O84" s="14"/>
      <c r="P84" s="14"/>
      <c r="Q84" s="14"/>
      <c r="R84" s="14"/>
    </row>
    <row r="85" spans="1:18" ht="27" customHeight="1">
      <c r="A85" s="13"/>
      <c r="B85" s="6"/>
      <c r="C85" s="6"/>
      <c r="D85" s="8"/>
      <c r="E85" s="6"/>
      <c r="F85" s="8"/>
      <c r="G85" s="6"/>
      <c r="H85" s="14"/>
      <c r="I85" s="14"/>
      <c r="J85" s="14"/>
      <c r="K85" s="14"/>
      <c r="L85" s="14"/>
      <c r="M85" s="14"/>
      <c r="N85" s="14"/>
      <c r="O85" s="14"/>
      <c r="P85" s="14"/>
      <c r="Q85" s="14"/>
      <c r="R85" s="14"/>
    </row>
    <row r="86" spans="1:18" ht="27" customHeight="1">
      <c r="A86" s="13"/>
      <c r="B86" s="6"/>
      <c r="C86" s="6"/>
      <c r="D86" s="8"/>
      <c r="E86" s="6"/>
      <c r="F86" s="8"/>
      <c r="G86" s="6"/>
      <c r="H86" s="14"/>
      <c r="I86" s="14"/>
      <c r="J86" s="14"/>
      <c r="K86" s="14"/>
      <c r="L86" s="14"/>
      <c r="M86" s="14"/>
      <c r="N86" s="14"/>
      <c r="O86" s="14"/>
      <c r="P86" s="14"/>
      <c r="Q86" s="14"/>
      <c r="R86" s="14"/>
    </row>
    <row r="87" spans="1:18" ht="27" customHeight="1">
      <c r="A87" s="13"/>
      <c r="B87" s="6"/>
      <c r="C87" s="6"/>
      <c r="D87" s="8"/>
      <c r="E87" s="6"/>
      <c r="F87" s="8"/>
      <c r="G87" s="6"/>
      <c r="H87" s="14"/>
      <c r="I87" s="14"/>
      <c r="J87" s="14"/>
      <c r="K87" s="14"/>
      <c r="L87" s="14"/>
      <c r="M87" s="14"/>
      <c r="N87" s="14"/>
      <c r="O87" s="14"/>
      <c r="P87" s="14"/>
      <c r="Q87" s="14"/>
      <c r="R87" s="14"/>
    </row>
    <row r="88" spans="1:18" ht="27" customHeight="1">
      <c r="A88" s="13"/>
      <c r="B88" s="6"/>
      <c r="C88" s="6"/>
      <c r="D88" s="8"/>
      <c r="E88" s="6"/>
      <c r="F88" s="8"/>
      <c r="G88" s="6"/>
      <c r="H88" s="14"/>
      <c r="I88" s="14"/>
      <c r="J88" s="14"/>
      <c r="K88" s="14"/>
      <c r="L88" s="14"/>
      <c r="M88" s="14"/>
      <c r="N88" s="14"/>
      <c r="O88" s="14"/>
      <c r="P88" s="14"/>
      <c r="Q88" s="14"/>
      <c r="R88" s="14"/>
    </row>
    <row r="89" spans="1:18" ht="27" customHeight="1">
      <c r="A89" s="13"/>
      <c r="B89" s="6"/>
      <c r="C89" s="6"/>
      <c r="D89" s="8"/>
      <c r="E89" s="6"/>
      <c r="F89" s="8"/>
      <c r="G89" s="6"/>
      <c r="H89" s="14"/>
      <c r="I89" s="14"/>
      <c r="J89" s="14"/>
      <c r="K89" s="14"/>
      <c r="L89" s="14"/>
      <c r="M89" s="14"/>
      <c r="N89" s="14"/>
      <c r="O89" s="14"/>
      <c r="P89" s="14"/>
      <c r="Q89" s="14"/>
      <c r="R89" s="14"/>
    </row>
    <row r="90" spans="1:18" ht="27" customHeight="1">
      <c r="A90" s="13"/>
      <c r="B90" s="6"/>
      <c r="C90" s="6"/>
      <c r="D90" s="8"/>
      <c r="E90" s="6"/>
      <c r="F90" s="8"/>
      <c r="G90" s="6"/>
      <c r="H90" s="14"/>
      <c r="I90" s="14"/>
      <c r="J90" s="14"/>
      <c r="K90" s="14"/>
      <c r="L90" s="14"/>
      <c r="M90" s="14"/>
      <c r="N90" s="14"/>
      <c r="O90" s="14"/>
      <c r="P90" s="14"/>
      <c r="Q90" s="14"/>
      <c r="R90" s="14"/>
    </row>
    <row r="91" spans="1:18" ht="27" customHeight="1">
      <c r="A91" s="13"/>
      <c r="B91" s="6"/>
      <c r="C91" s="6"/>
      <c r="D91" s="8"/>
      <c r="E91" s="6"/>
      <c r="F91" s="8"/>
      <c r="G91" s="6"/>
      <c r="H91" s="14"/>
      <c r="I91" s="14"/>
      <c r="J91" s="14"/>
      <c r="K91" s="14"/>
      <c r="L91" s="14"/>
      <c r="M91" s="14"/>
      <c r="N91" s="14"/>
      <c r="O91" s="14"/>
      <c r="P91" s="14"/>
      <c r="Q91" s="14"/>
      <c r="R91" s="14"/>
    </row>
    <row r="92" spans="1:18" ht="27" customHeight="1">
      <c r="A92" s="13"/>
      <c r="B92" s="6"/>
      <c r="C92" s="6"/>
      <c r="D92" s="8"/>
      <c r="E92" s="6"/>
      <c r="F92" s="8"/>
      <c r="G92" s="6"/>
      <c r="H92" s="14"/>
      <c r="I92" s="14"/>
      <c r="J92" s="14"/>
      <c r="K92" s="14"/>
      <c r="L92" s="14"/>
      <c r="M92" s="14"/>
      <c r="N92" s="14"/>
      <c r="O92" s="14"/>
      <c r="P92" s="14"/>
      <c r="Q92" s="14"/>
      <c r="R92" s="14"/>
    </row>
    <row r="93" spans="1:18" ht="27" customHeight="1">
      <c r="A93" s="13"/>
      <c r="B93" s="6"/>
      <c r="C93" s="6"/>
      <c r="D93" s="8"/>
      <c r="E93" s="6"/>
      <c r="F93" s="8"/>
      <c r="G93" s="6"/>
      <c r="H93" s="14"/>
      <c r="I93" s="14"/>
      <c r="J93" s="14"/>
      <c r="K93" s="14"/>
      <c r="L93" s="14"/>
      <c r="M93" s="14"/>
      <c r="N93" s="14"/>
      <c r="O93" s="14"/>
      <c r="P93" s="14"/>
      <c r="Q93" s="14"/>
      <c r="R93" s="14"/>
    </row>
    <row r="94" spans="1:18" ht="27" customHeight="1">
      <c r="A94" s="13"/>
      <c r="B94" s="6"/>
      <c r="C94" s="6"/>
      <c r="D94" s="8"/>
      <c r="E94" s="6"/>
      <c r="F94" s="8"/>
      <c r="G94" s="6"/>
      <c r="H94" s="14"/>
      <c r="I94" s="14"/>
      <c r="J94" s="14"/>
      <c r="K94" s="14"/>
      <c r="L94" s="14"/>
      <c r="M94" s="14"/>
      <c r="N94" s="14"/>
      <c r="O94" s="14"/>
      <c r="P94" s="14"/>
      <c r="Q94" s="14"/>
      <c r="R94" s="14"/>
    </row>
    <row r="95" spans="1:18" ht="27" customHeight="1">
      <c r="A95" s="13"/>
      <c r="B95" s="6"/>
      <c r="C95" s="6"/>
      <c r="D95" s="8"/>
      <c r="E95" s="6"/>
      <c r="F95" s="8"/>
      <c r="G95" s="6"/>
      <c r="H95" s="14"/>
      <c r="I95" s="14"/>
      <c r="J95" s="14"/>
      <c r="K95" s="14"/>
      <c r="L95" s="14"/>
      <c r="M95" s="14"/>
      <c r="N95" s="14"/>
      <c r="O95" s="14"/>
      <c r="P95" s="14"/>
      <c r="Q95" s="14"/>
      <c r="R95" s="14"/>
    </row>
    <row r="96" spans="1:18" ht="27" customHeight="1">
      <c r="A96" s="13"/>
      <c r="B96" s="6"/>
      <c r="C96" s="6"/>
      <c r="D96" s="8"/>
      <c r="E96" s="6"/>
      <c r="F96" s="8"/>
      <c r="G96" s="6"/>
      <c r="H96" s="14"/>
      <c r="I96" s="14"/>
      <c r="J96" s="14"/>
      <c r="K96" s="14"/>
      <c r="L96" s="14"/>
      <c r="M96" s="14"/>
      <c r="N96" s="14"/>
      <c r="O96" s="14"/>
      <c r="P96" s="14"/>
      <c r="Q96" s="14"/>
      <c r="R96" s="14"/>
    </row>
    <row r="97" spans="1:18" ht="27" customHeight="1">
      <c r="A97" s="13"/>
      <c r="B97" s="6"/>
      <c r="C97" s="6"/>
      <c r="D97" s="8"/>
      <c r="E97" s="6"/>
      <c r="F97" s="8"/>
      <c r="G97" s="6"/>
      <c r="H97" s="14"/>
      <c r="I97" s="14"/>
      <c r="J97" s="14"/>
      <c r="K97" s="14"/>
      <c r="L97" s="14"/>
      <c r="M97" s="14"/>
      <c r="N97" s="14"/>
      <c r="O97" s="14"/>
      <c r="P97" s="14"/>
      <c r="Q97" s="14"/>
      <c r="R97" s="14"/>
    </row>
    <row r="98" spans="1:18" ht="27" customHeight="1">
      <c r="A98" s="13"/>
      <c r="B98" s="6"/>
      <c r="C98" s="6"/>
      <c r="D98" s="8"/>
      <c r="E98" s="6"/>
      <c r="F98" s="8"/>
      <c r="G98" s="6"/>
      <c r="H98" s="14"/>
      <c r="I98" s="14"/>
      <c r="J98" s="14"/>
      <c r="K98" s="14"/>
      <c r="L98" s="14"/>
      <c r="M98" s="14"/>
      <c r="N98" s="14"/>
      <c r="O98" s="14"/>
      <c r="P98" s="14"/>
      <c r="Q98" s="14"/>
      <c r="R98" s="14"/>
    </row>
    <row r="99" spans="1:18" ht="27" customHeight="1">
      <c r="A99" s="13"/>
      <c r="B99" s="6"/>
      <c r="C99" s="6"/>
      <c r="D99" s="8"/>
      <c r="E99" s="6"/>
      <c r="F99" s="8"/>
      <c r="G99" s="6"/>
      <c r="H99" s="14"/>
      <c r="I99" s="14"/>
      <c r="J99" s="14"/>
      <c r="K99" s="14"/>
      <c r="L99" s="14"/>
      <c r="M99" s="14"/>
      <c r="N99" s="14"/>
      <c r="O99" s="14"/>
      <c r="P99" s="14"/>
      <c r="Q99" s="14"/>
      <c r="R99" s="14"/>
    </row>
    <row r="100" spans="1:18" ht="27" customHeight="1">
      <c r="A100" s="13"/>
      <c r="B100" s="6"/>
      <c r="C100" s="6"/>
      <c r="D100" s="8"/>
      <c r="E100" s="6"/>
      <c r="F100" s="8"/>
      <c r="G100" s="6"/>
      <c r="H100" s="14"/>
      <c r="I100" s="14"/>
      <c r="J100" s="14"/>
      <c r="K100" s="14"/>
      <c r="L100" s="14"/>
      <c r="M100" s="14"/>
      <c r="N100" s="14"/>
      <c r="O100" s="14"/>
      <c r="P100" s="14"/>
      <c r="Q100" s="14"/>
      <c r="R100" s="14"/>
    </row>
    <row r="101" spans="1:18" ht="27" customHeight="1">
      <c r="A101" s="13"/>
      <c r="B101" s="6"/>
      <c r="C101" s="6"/>
      <c r="D101" s="8"/>
      <c r="E101" s="6"/>
      <c r="F101" s="8"/>
      <c r="G101" s="6"/>
      <c r="H101" s="14"/>
      <c r="I101" s="14"/>
      <c r="J101" s="14"/>
      <c r="K101" s="14"/>
      <c r="L101" s="14"/>
      <c r="M101" s="14"/>
      <c r="N101" s="14"/>
      <c r="O101" s="14"/>
      <c r="P101" s="14"/>
      <c r="Q101" s="14"/>
      <c r="R101" s="14"/>
    </row>
    <row r="102" spans="1:18" ht="27" customHeight="1">
      <c r="A102" s="13"/>
      <c r="B102" s="6"/>
      <c r="C102" s="6"/>
      <c r="D102" s="8"/>
      <c r="E102" s="6"/>
      <c r="F102" s="8"/>
      <c r="G102" s="6"/>
      <c r="H102" s="14"/>
      <c r="I102" s="14"/>
      <c r="J102" s="14"/>
      <c r="K102" s="14"/>
      <c r="L102" s="14"/>
      <c r="M102" s="14"/>
      <c r="N102" s="14"/>
      <c r="O102" s="14"/>
      <c r="P102" s="14"/>
      <c r="Q102" s="14"/>
      <c r="R102" s="14"/>
    </row>
    <row r="103" spans="1:18" ht="27" customHeight="1">
      <c r="A103" s="13"/>
      <c r="B103" s="6"/>
      <c r="C103" s="6"/>
      <c r="D103" s="8"/>
      <c r="E103" s="6"/>
      <c r="F103" s="8"/>
      <c r="G103" s="6"/>
      <c r="H103" s="14"/>
      <c r="I103" s="14"/>
      <c r="J103" s="14"/>
      <c r="K103" s="14"/>
      <c r="L103" s="14"/>
      <c r="M103" s="14"/>
      <c r="N103" s="14"/>
      <c r="O103" s="14"/>
      <c r="P103" s="14"/>
      <c r="Q103" s="14"/>
      <c r="R103" s="14"/>
    </row>
    <row r="104" spans="1:18" ht="27" customHeight="1">
      <c r="A104" s="13"/>
      <c r="B104" s="6"/>
      <c r="C104" s="6"/>
      <c r="D104" s="8"/>
      <c r="E104" s="6"/>
      <c r="F104" s="8"/>
      <c r="G104" s="6"/>
      <c r="H104" s="14"/>
      <c r="I104" s="14"/>
      <c r="J104" s="14"/>
      <c r="K104" s="14"/>
      <c r="L104" s="14"/>
      <c r="M104" s="14"/>
      <c r="N104" s="14"/>
      <c r="O104" s="14"/>
      <c r="P104" s="14"/>
      <c r="Q104" s="14"/>
      <c r="R104" s="14"/>
    </row>
    <row r="105" spans="1:18" ht="27" customHeight="1">
      <c r="A105" s="13"/>
      <c r="B105" s="6"/>
      <c r="C105" s="6"/>
      <c r="D105" s="8"/>
      <c r="E105" s="6"/>
      <c r="F105" s="8"/>
      <c r="G105" s="6"/>
      <c r="H105" s="14"/>
      <c r="I105" s="14"/>
      <c r="J105" s="14"/>
      <c r="K105" s="14"/>
      <c r="L105" s="14"/>
      <c r="M105" s="14"/>
      <c r="N105" s="14"/>
      <c r="O105" s="14"/>
      <c r="P105" s="14"/>
      <c r="Q105" s="14"/>
      <c r="R105" s="14"/>
    </row>
    <row r="106" spans="1:18" ht="27" customHeight="1">
      <c r="A106" s="13"/>
      <c r="B106" s="6"/>
      <c r="C106" s="6"/>
      <c r="D106" s="8"/>
      <c r="E106" s="6"/>
      <c r="F106" s="8"/>
      <c r="G106" s="6"/>
      <c r="H106" s="14"/>
      <c r="I106" s="14"/>
      <c r="J106" s="14"/>
      <c r="K106" s="14"/>
      <c r="L106" s="14"/>
      <c r="M106" s="14"/>
      <c r="N106" s="14"/>
      <c r="O106" s="14"/>
      <c r="P106" s="14"/>
      <c r="Q106" s="14"/>
      <c r="R106" s="14"/>
    </row>
    <row r="107" spans="1:18" ht="27" customHeight="1">
      <c r="A107" s="13"/>
      <c r="B107" s="6"/>
      <c r="C107" s="6"/>
      <c r="D107" s="8"/>
      <c r="E107" s="6"/>
      <c r="F107" s="8"/>
      <c r="G107" s="6"/>
      <c r="H107" s="14"/>
      <c r="I107" s="14"/>
      <c r="J107" s="14"/>
      <c r="K107" s="14"/>
      <c r="L107" s="14"/>
      <c r="M107" s="14"/>
      <c r="N107" s="14"/>
      <c r="O107" s="14"/>
      <c r="P107" s="14"/>
      <c r="Q107" s="14"/>
      <c r="R107" s="14"/>
    </row>
    <row r="108" spans="1:18" ht="27" customHeight="1">
      <c r="A108" s="13"/>
      <c r="B108" s="6"/>
      <c r="C108" s="6"/>
      <c r="D108" s="8"/>
      <c r="E108" s="6"/>
      <c r="F108" s="8"/>
      <c r="G108" s="6"/>
      <c r="H108" s="14"/>
      <c r="I108" s="14"/>
      <c r="J108" s="14"/>
      <c r="K108" s="14"/>
      <c r="L108" s="14"/>
      <c r="M108" s="14"/>
      <c r="N108" s="14"/>
      <c r="O108" s="14"/>
      <c r="P108" s="14"/>
      <c r="Q108" s="14"/>
      <c r="R108" s="14"/>
    </row>
    <row r="109" spans="1:18" ht="27" customHeight="1">
      <c r="A109" s="13"/>
      <c r="B109" s="6"/>
      <c r="C109" s="6"/>
      <c r="D109" s="8"/>
      <c r="E109" s="6"/>
      <c r="F109" s="8"/>
      <c r="G109" s="6"/>
      <c r="H109" s="14"/>
      <c r="I109" s="14"/>
      <c r="J109" s="14"/>
      <c r="K109" s="14"/>
      <c r="L109" s="14"/>
      <c r="M109" s="14"/>
      <c r="N109" s="14"/>
      <c r="O109" s="14"/>
      <c r="P109" s="14"/>
      <c r="Q109" s="14"/>
      <c r="R109" s="14"/>
    </row>
    <row r="110" spans="1:18" ht="27" customHeight="1">
      <c r="A110" s="13"/>
      <c r="B110" s="6"/>
      <c r="C110" s="6"/>
      <c r="D110" s="8"/>
      <c r="E110" s="6"/>
      <c r="F110" s="8"/>
      <c r="G110" s="6"/>
      <c r="H110" s="14"/>
      <c r="I110" s="14"/>
      <c r="J110" s="14"/>
      <c r="K110" s="14"/>
      <c r="L110" s="14"/>
      <c r="M110" s="14"/>
      <c r="N110" s="14"/>
      <c r="O110" s="14"/>
      <c r="P110" s="14"/>
      <c r="Q110" s="14"/>
      <c r="R110" s="14"/>
    </row>
    <row r="111" spans="1:18" ht="27" customHeight="1">
      <c r="A111" s="13"/>
      <c r="B111" s="6"/>
      <c r="C111" s="6"/>
      <c r="D111" s="8"/>
      <c r="E111" s="6"/>
      <c r="F111" s="8"/>
      <c r="G111" s="6"/>
      <c r="H111" s="14"/>
      <c r="I111" s="14"/>
      <c r="J111" s="14"/>
      <c r="K111" s="14"/>
      <c r="L111" s="14"/>
      <c r="M111" s="14"/>
      <c r="N111" s="14"/>
      <c r="O111" s="14"/>
      <c r="P111" s="14"/>
      <c r="Q111" s="14"/>
      <c r="R111" s="14"/>
    </row>
    <row r="112" spans="1:18" ht="27" customHeight="1">
      <c r="A112" s="13"/>
      <c r="B112" s="6"/>
      <c r="C112" s="6"/>
      <c r="D112" s="8"/>
      <c r="E112" s="6"/>
      <c r="F112" s="8"/>
      <c r="G112" s="6"/>
      <c r="H112" s="14"/>
      <c r="I112" s="14"/>
      <c r="J112" s="14"/>
      <c r="K112" s="14"/>
      <c r="L112" s="14"/>
      <c r="M112" s="14"/>
      <c r="N112" s="14"/>
      <c r="O112" s="14"/>
      <c r="P112" s="14"/>
      <c r="Q112" s="14"/>
      <c r="R112" s="14"/>
    </row>
    <row r="113" spans="1:18" ht="27" customHeight="1">
      <c r="A113" s="13"/>
      <c r="B113" s="6"/>
      <c r="C113" s="6"/>
      <c r="D113" s="8"/>
      <c r="E113" s="6"/>
      <c r="F113" s="8"/>
      <c r="G113" s="6"/>
      <c r="H113" s="14"/>
      <c r="I113" s="14"/>
      <c r="J113" s="14"/>
      <c r="K113" s="14"/>
      <c r="L113" s="14"/>
      <c r="M113" s="14"/>
      <c r="N113" s="14"/>
      <c r="O113" s="14"/>
      <c r="P113" s="14"/>
      <c r="Q113" s="14"/>
      <c r="R113" s="14"/>
    </row>
    <row r="114" spans="1:18" ht="27" customHeight="1">
      <c r="A114" s="13"/>
      <c r="B114" s="6"/>
      <c r="C114" s="6"/>
      <c r="D114" s="8"/>
      <c r="E114" s="6"/>
      <c r="F114" s="8"/>
      <c r="G114" s="6"/>
      <c r="H114" s="14"/>
      <c r="I114" s="14"/>
      <c r="J114" s="14"/>
      <c r="K114" s="14"/>
      <c r="L114" s="14"/>
      <c r="M114" s="14"/>
      <c r="N114" s="14"/>
      <c r="O114" s="14"/>
      <c r="P114" s="14"/>
      <c r="Q114" s="14"/>
      <c r="R114" s="14"/>
    </row>
    <row r="115" spans="1:18" ht="27" customHeight="1">
      <c r="A115" s="13"/>
      <c r="B115" s="6"/>
      <c r="C115" s="6"/>
      <c r="D115" s="8"/>
      <c r="E115" s="6"/>
      <c r="F115" s="8"/>
      <c r="G115" s="6"/>
      <c r="H115" s="14"/>
      <c r="I115" s="14"/>
      <c r="J115" s="14"/>
      <c r="K115" s="14"/>
      <c r="L115" s="14"/>
      <c r="M115" s="14"/>
      <c r="N115" s="14"/>
      <c r="O115" s="14"/>
      <c r="P115" s="14"/>
      <c r="Q115" s="14"/>
      <c r="R115" s="14"/>
    </row>
    <row r="116" spans="1:18" ht="27" customHeight="1">
      <c r="A116" s="13"/>
      <c r="B116" s="6"/>
      <c r="C116" s="6"/>
      <c r="D116" s="8"/>
      <c r="E116" s="6"/>
      <c r="F116" s="8"/>
      <c r="G116" s="6"/>
      <c r="H116" s="14"/>
      <c r="I116" s="14"/>
      <c r="J116" s="14"/>
      <c r="K116" s="14"/>
      <c r="L116" s="14"/>
      <c r="M116" s="14"/>
      <c r="N116" s="14"/>
      <c r="O116" s="14"/>
      <c r="P116" s="14"/>
      <c r="Q116" s="14"/>
      <c r="R116" s="14"/>
    </row>
    <row r="117" spans="1:18" ht="27" customHeight="1">
      <c r="A117" s="13"/>
      <c r="B117" s="6"/>
      <c r="C117" s="6"/>
      <c r="D117" s="8"/>
      <c r="E117" s="6"/>
      <c r="F117" s="8"/>
      <c r="G117" s="6"/>
      <c r="H117" s="14"/>
      <c r="I117" s="14"/>
      <c r="J117" s="14"/>
      <c r="K117" s="14"/>
      <c r="L117" s="14"/>
      <c r="M117" s="14"/>
      <c r="N117" s="14"/>
      <c r="O117" s="14"/>
      <c r="P117" s="14"/>
      <c r="Q117" s="14"/>
      <c r="R117" s="14"/>
    </row>
    <row r="118" spans="1:18" ht="27" customHeight="1">
      <c r="A118" s="13"/>
      <c r="B118" s="6"/>
      <c r="C118" s="6"/>
      <c r="D118" s="8"/>
      <c r="E118" s="6"/>
      <c r="F118" s="8"/>
      <c r="G118" s="6"/>
      <c r="H118" s="14"/>
      <c r="I118" s="14"/>
      <c r="J118" s="14"/>
      <c r="K118" s="14"/>
      <c r="L118" s="14"/>
      <c r="M118" s="14"/>
      <c r="N118" s="14"/>
      <c r="O118" s="14"/>
      <c r="P118" s="14"/>
      <c r="Q118" s="14"/>
      <c r="R118" s="14"/>
    </row>
    <row r="119" spans="1:18" ht="27" customHeight="1">
      <c r="A119" s="13"/>
      <c r="B119" s="6"/>
      <c r="C119" s="6"/>
      <c r="D119" s="8"/>
      <c r="E119" s="6"/>
      <c r="F119" s="8"/>
      <c r="G119" s="6"/>
      <c r="H119" s="14"/>
      <c r="I119" s="14"/>
      <c r="J119" s="14"/>
      <c r="K119" s="14"/>
      <c r="L119" s="14"/>
      <c r="M119" s="14"/>
      <c r="N119" s="14"/>
      <c r="O119" s="14"/>
      <c r="P119" s="14"/>
      <c r="Q119" s="14"/>
      <c r="R119" s="14"/>
    </row>
    <row r="120" spans="1:18" ht="27" customHeight="1">
      <c r="A120" s="13"/>
      <c r="B120" s="6"/>
      <c r="C120" s="6"/>
      <c r="D120" s="8"/>
      <c r="E120" s="6"/>
      <c r="F120" s="8"/>
      <c r="G120" s="6"/>
      <c r="H120" s="14"/>
      <c r="I120" s="14"/>
      <c r="J120" s="14"/>
      <c r="K120" s="14"/>
      <c r="L120" s="14"/>
      <c r="M120" s="14"/>
      <c r="N120" s="14"/>
      <c r="O120" s="14"/>
      <c r="P120" s="14"/>
      <c r="Q120" s="14"/>
      <c r="R120" s="14"/>
    </row>
    <row r="121" spans="1:18" ht="27" customHeight="1">
      <c r="A121" s="13"/>
      <c r="B121" s="6"/>
      <c r="C121" s="6"/>
      <c r="D121" s="8"/>
      <c r="E121" s="6"/>
      <c r="F121" s="8"/>
      <c r="G121" s="6"/>
      <c r="H121" s="14"/>
      <c r="I121" s="14"/>
      <c r="J121" s="14"/>
      <c r="K121" s="14"/>
      <c r="L121" s="14"/>
      <c r="M121" s="14"/>
      <c r="N121" s="14"/>
      <c r="O121" s="14"/>
      <c r="P121" s="14"/>
      <c r="Q121" s="14"/>
      <c r="R121" s="14"/>
    </row>
    <row r="122" spans="1:18" ht="27" customHeight="1">
      <c r="A122" s="13"/>
      <c r="B122" s="6"/>
      <c r="C122" s="6"/>
      <c r="D122" s="8"/>
      <c r="E122" s="6"/>
      <c r="F122" s="8"/>
      <c r="G122" s="6"/>
      <c r="H122" s="14"/>
      <c r="I122" s="14"/>
      <c r="J122" s="14"/>
      <c r="K122" s="14"/>
      <c r="L122" s="14"/>
      <c r="M122" s="14"/>
      <c r="N122" s="14"/>
      <c r="O122" s="14"/>
      <c r="P122" s="14"/>
      <c r="Q122" s="14"/>
      <c r="R122" s="14"/>
    </row>
    <row r="123" spans="1:18" ht="27" customHeight="1">
      <c r="A123" s="13"/>
      <c r="B123" s="6"/>
      <c r="C123" s="6"/>
      <c r="D123" s="8"/>
      <c r="E123" s="6"/>
      <c r="F123" s="8"/>
      <c r="G123" s="6"/>
      <c r="H123" s="14"/>
      <c r="I123" s="14"/>
      <c r="J123" s="14"/>
      <c r="K123" s="14"/>
      <c r="L123" s="14"/>
      <c r="M123" s="14"/>
      <c r="N123" s="14"/>
      <c r="O123" s="14"/>
      <c r="P123" s="14"/>
      <c r="Q123" s="14"/>
      <c r="R123" s="14"/>
    </row>
    <row r="124" spans="1:18" ht="27" customHeight="1">
      <c r="A124" s="13"/>
      <c r="B124" s="6"/>
      <c r="C124" s="6"/>
      <c r="D124" s="8"/>
      <c r="E124" s="6"/>
      <c r="F124" s="8"/>
      <c r="G124" s="6"/>
      <c r="H124" s="14"/>
      <c r="I124" s="14"/>
      <c r="J124" s="14"/>
      <c r="K124" s="14"/>
      <c r="L124" s="14"/>
      <c r="M124" s="14"/>
      <c r="N124" s="14"/>
      <c r="O124" s="14"/>
      <c r="P124" s="14"/>
      <c r="Q124" s="14"/>
      <c r="R124" s="14"/>
    </row>
    <row r="125" spans="1:18" ht="27" customHeight="1">
      <c r="A125" s="13"/>
      <c r="B125" s="6"/>
      <c r="C125" s="6"/>
      <c r="D125" s="8"/>
      <c r="E125" s="6"/>
      <c r="F125" s="8"/>
      <c r="G125" s="6"/>
      <c r="H125" s="14"/>
      <c r="I125" s="14"/>
      <c r="J125" s="14"/>
      <c r="K125" s="14"/>
      <c r="L125" s="14"/>
      <c r="M125" s="14"/>
      <c r="N125" s="14"/>
      <c r="O125" s="14"/>
      <c r="P125" s="14"/>
      <c r="Q125" s="14"/>
      <c r="R125" s="14"/>
    </row>
    <row r="126" spans="1:18" ht="27" customHeight="1">
      <c r="A126" s="13"/>
      <c r="B126" s="6"/>
      <c r="C126" s="6"/>
      <c r="D126" s="8"/>
      <c r="E126" s="6"/>
      <c r="F126" s="8"/>
      <c r="G126" s="6"/>
      <c r="H126" s="14"/>
      <c r="I126" s="14"/>
      <c r="J126" s="14"/>
      <c r="K126" s="14"/>
      <c r="L126" s="14"/>
      <c r="M126" s="14"/>
      <c r="N126" s="14"/>
      <c r="O126" s="14"/>
      <c r="P126" s="14"/>
      <c r="Q126" s="14"/>
      <c r="R126" s="14"/>
    </row>
    <row r="127" spans="1:18" ht="27" customHeight="1">
      <c r="A127" s="13"/>
      <c r="B127" s="6"/>
      <c r="C127" s="6"/>
      <c r="D127" s="8"/>
      <c r="E127" s="6"/>
      <c r="F127" s="8"/>
      <c r="G127" s="6"/>
      <c r="H127" s="14"/>
      <c r="I127" s="14"/>
      <c r="J127" s="14"/>
      <c r="K127" s="14"/>
      <c r="L127" s="14"/>
      <c r="M127" s="14"/>
      <c r="N127" s="14"/>
      <c r="O127" s="14"/>
      <c r="P127" s="14"/>
      <c r="Q127" s="14"/>
      <c r="R127" s="14"/>
    </row>
    <row r="128" spans="1:18" ht="27" customHeight="1">
      <c r="A128" s="13"/>
      <c r="B128" s="6"/>
      <c r="C128" s="6"/>
      <c r="D128" s="8"/>
      <c r="E128" s="6"/>
      <c r="F128" s="8"/>
      <c r="G128" s="6"/>
      <c r="H128" s="14"/>
      <c r="I128" s="14"/>
      <c r="J128" s="14"/>
      <c r="K128" s="14"/>
      <c r="L128" s="14"/>
      <c r="M128" s="14"/>
      <c r="N128" s="14"/>
      <c r="O128" s="14"/>
      <c r="P128" s="14"/>
      <c r="Q128" s="14"/>
      <c r="R128" s="14"/>
    </row>
    <row r="129" spans="1:18" ht="27" customHeight="1">
      <c r="A129" s="13"/>
      <c r="B129" s="6"/>
      <c r="C129" s="6"/>
      <c r="D129" s="8"/>
      <c r="E129" s="6"/>
      <c r="F129" s="8"/>
      <c r="G129" s="6"/>
      <c r="H129" s="14"/>
      <c r="I129" s="14"/>
      <c r="J129" s="14"/>
      <c r="K129" s="14"/>
      <c r="L129" s="14"/>
      <c r="M129" s="14"/>
      <c r="N129" s="14"/>
      <c r="O129" s="14"/>
      <c r="P129" s="14"/>
      <c r="Q129" s="14"/>
      <c r="R129" s="14"/>
    </row>
    <row r="130" spans="1:18" ht="27" customHeight="1">
      <c r="A130" s="13"/>
      <c r="B130" s="6"/>
      <c r="C130" s="6"/>
      <c r="D130" s="8"/>
      <c r="E130" s="6"/>
      <c r="F130" s="8"/>
      <c r="G130" s="6"/>
      <c r="H130" s="14"/>
      <c r="I130" s="14"/>
      <c r="J130" s="14"/>
      <c r="K130" s="14"/>
      <c r="L130" s="14"/>
      <c r="M130" s="14"/>
      <c r="N130" s="14"/>
      <c r="O130" s="14"/>
      <c r="P130" s="14"/>
      <c r="Q130" s="14"/>
      <c r="R130" s="14"/>
    </row>
    <row r="131" spans="1:18" ht="27" customHeight="1">
      <c r="A131" s="13"/>
      <c r="B131" s="6"/>
      <c r="C131" s="6"/>
      <c r="D131" s="8"/>
      <c r="E131" s="6"/>
      <c r="F131" s="8"/>
      <c r="G131" s="6"/>
      <c r="H131" s="14"/>
      <c r="I131" s="14"/>
      <c r="J131" s="14"/>
      <c r="K131" s="14"/>
      <c r="L131" s="14"/>
      <c r="M131" s="14"/>
      <c r="N131" s="14"/>
      <c r="O131" s="14"/>
      <c r="P131" s="14"/>
      <c r="Q131" s="14"/>
      <c r="R131" s="14"/>
    </row>
    <row r="132" spans="1:18" ht="27" customHeight="1">
      <c r="A132" s="13"/>
      <c r="B132" s="6"/>
      <c r="C132" s="6"/>
      <c r="D132" s="8"/>
      <c r="E132" s="6"/>
      <c r="F132" s="8"/>
      <c r="G132" s="6"/>
      <c r="H132" s="14"/>
      <c r="I132" s="14"/>
      <c r="J132" s="14"/>
      <c r="K132" s="14"/>
      <c r="L132" s="14"/>
      <c r="M132" s="14"/>
      <c r="N132" s="14"/>
      <c r="O132" s="14"/>
      <c r="P132" s="14"/>
      <c r="Q132" s="14"/>
      <c r="R132" s="14"/>
    </row>
    <row r="133" spans="1:18" ht="27" customHeight="1">
      <c r="A133" s="13"/>
      <c r="B133" s="6"/>
      <c r="C133" s="6"/>
      <c r="D133" s="8"/>
      <c r="E133" s="6"/>
      <c r="F133" s="8"/>
      <c r="G133" s="6"/>
      <c r="H133" s="14"/>
      <c r="I133" s="14"/>
      <c r="J133" s="14"/>
      <c r="K133" s="14"/>
      <c r="L133" s="14"/>
      <c r="M133" s="14"/>
      <c r="N133" s="14"/>
      <c r="O133" s="14"/>
      <c r="P133" s="14"/>
      <c r="Q133" s="14"/>
      <c r="R133" s="14"/>
    </row>
    <row r="134" spans="1:18" ht="27" customHeight="1">
      <c r="A134" s="13"/>
      <c r="B134" s="6"/>
      <c r="C134" s="6"/>
      <c r="D134" s="8"/>
      <c r="E134" s="6"/>
      <c r="F134" s="8"/>
      <c r="G134" s="6"/>
      <c r="H134" s="14"/>
      <c r="I134" s="14"/>
      <c r="J134" s="14"/>
      <c r="K134" s="14"/>
      <c r="L134" s="14"/>
      <c r="M134" s="14"/>
      <c r="N134" s="14"/>
      <c r="O134" s="14"/>
      <c r="P134" s="14"/>
      <c r="Q134" s="14"/>
      <c r="R134" s="14"/>
    </row>
    <row r="135" spans="1:18" ht="27" customHeight="1">
      <c r="A135" s="13"/>
      <c r="B135" s="6"/>
      <c r="C135" s="6"/>
      <c r="D135" s="8"/>
      <c r="E135" s="6"/>
      <c r="F135" s="8"/>
      <c r="G135" s="6"/>
      <c r="H135" s="14"/>
      <c r="I135" s="14"/>
      <c r="J135" s="14"/>
      <c r="K135" s="14"/>
      <c r="L135" s="14"/>
      <c r="M135" s="14"/>
      <c r="N135" s="14"/>
      <c r="O135" s="14"/>
      <c r="P135" s="14"/>
      <c r="Q135" s="14"/>
      <c r="R135" s="14"/>
    </row>
    <row r="136" spans="1:18" ht="27" customHeight="1">
      <c r="A136" s="13"/>
      <c r="B136" s="6"/>
      <c r="C136" s="6"/>
      <c r="D136" s="8"/>
      <c r="E136" s="6"/>
      <c r="F136" s="8"/>
      <c r="G136" s="6"/>
      <c r="H136" s="14"/>
      <c r="I136" s="14"/>
      <c r="J136" s="14"/>
      <c r="K136" s="14"/>
      <c r="L136" s="14"/>
      <c r="M136" s="14"/>
      <c r="N136" s="14"/>
      <c r="O136" s="14"/>
      <c r="P136" s="14"/>
      <c r="Q136" s="14"/>
      <c r="R136" s="14"/>
    </row>
    <row r="137" spans="1:18" ht="27" customHeight="1">
      <c r="A137" s="13"/>
      <c r="B137" s="6"/>
      <c r="C137" s="6"/>
      <c r="D137" s="8"/>
      <c r="E137" s="6"/>
      <c r="F137" s="8"/>
      <c r="G137" s="6"/>
      <c r="H137" s="14"/>
      <c r="I137" s="14"/>
      <c r="J137" s="14"/>
      <c r="K137" s="14"/>
      <c r="L137" s="14"/>
      <c r="M137" s="14"/>
      <c r="N137" s="14"/>
      <c r="O137" s="14"/>
      <c r="P137" s="14"/>
      <c r="Q137" s="14"/>
      <c r="R137" s="14"/>
    </row>
    <row r="138" spans="1:18" ht="27" customHeight="1">
      <c r="A138" s="13"/>
      <c r="B138" s="6"/>
      <c r="C138" s="6"/>
      <c r="D138" s="8"/>
      <c r="E138" s="6"/>
      <c r="F138" s="8"/>
      <c r="G138" s="6"/>
      <c r="H138" s="14"/>
      <c r="I138" s="14"/>
      <c r="J138" s="14"/>
      <c r="K138" s="14"/>
      <c r="L138" s="14"/>
      <c r="M138" s="14"/>
      <c r="N138" s="14"/>
      <c r="O138" s="14"/>
      <c r="P138" s="14"/>
      <c r="Q138" s="14"/>
      <c r="R138" s="14"/>
    </row>
    <row r="139" spans="1:18" ht="27" customHeight="1">
      <c r="A139" s="13"/>
      <c r="B139" s="6"/>
      <c r="C139" s="6"/>
      <c r="D139" s="8"/>
      <c r="E139" s="6"/>
      <c r="F139" s="8"/>
      <c r="G139" s="6"/>
      <c r="H139" s="14"/>
      <c r="I139" s="14"/>
      <c r="J139" s="14"/>
      <c r="K139" s="14"/>
      <c r="L139" s="14"/>
      <c r="M139" s="14"/>
      <c r="N139" s="14"/>
      <c r="O139" s="14"/>
      <c r="P139" s="14"/>
      <c r="Q139" s="14"/>
      <c r="R139" s="14"/>
    </row>
    <row r="140" spans="1:18" ht="27" customHeight="1">
      <c r="A140" s="13"/>
      <c r="B140" s="6"/>
      <c r="C140" s="6"/>
      <c r="D140" s="8"/>
      <c r="E140" s="6"/>
      <c r="F140" s="8"/>
      <c r="G140" s="6"/>
      <c r="H140" s="14"/>
      <c r="I140" s="14"/>
      <c r="J140" s="14"/>
      <c r="K140" s="14"/>
      <c r="L140" s="14"/>
      <c r="M140" s="14"/>
      <c r="N140" s="14"/>
      <c r="O140" s="14"/>
      <c r="P140" s="14"/>
      <c r="Q140" s="14"/>
      <c r="R140" s="14"/>
    </row>
    <row r="141" spans="1:18" ht="27" customHeight="1">
      <c r="A141" s="13"/>
      <c r="B141" s="6"/>
      <c r="C141" s="6"/>
      <c r="D141" s="8"/>
      <c r="E141" s="6"/>
      <c r="F141" s="8"/>
      <c r="G141" s="6"/>
      <c r="H141" s="14"/>
      <c r="I141" s="14"/>
      <c r="J141" s="14"/>
      <c r="K141" s="14"/>
      <c r="L141" s="14"/>
      <c r="M141" s="14"/>
      <c r="N141" s="14"/>
      <c r="O141" s="14"/>
      <c r="P141" s="14"/>
      <c r="Q141" s="14"/>
      <c r="R141" s="14"/>
    </row>
    <row r="142" spans="1:18" ht="27" customHeight="1">
      <c r="A142" s="13"/>
      <c r="B142" s="6"/>
      <c r="C142" s="6"/>
      <c r="D142" s="8"/>
      <c r="E142" s="6"/>
      <c r="F142" s="8"/>
      <c r="G142" s="6"/>
      <c r="H142" s="14"/>
      <c r="I142" s="14"/>
      <c r="J142" s="14"/>
      <c r="K142" s="14"/>
      <c r="L142" s="14"/>
      <c r="M142" s="14"/>
      <c r="N142" s="14"/>
      <c r="O142" s="14"/>
      <c r="P142" s="14"/>
      <c r="Q142" s="14"/>
      <c r="R142" s="14"/>
    </row>
    <row r="143" spans="1:18" ht="27" customHeight="1">
      <c r="A143" s="13"/>
      <c r="B143" s="6"/>
      <c r="C143" s="6"/>
      <c r="D143" s="8"/>
      <c r="E143" s="6"/>
      <c r="F143" s="8"/>
      <c r="G143" s="6"/>
      <c r="H143" s="14"/>
      <c r="I143" s="14"/>
      <c r="J143" s="14"/>
      <c r="K143" s="14"/>
      <c r="L143" s="14"/>
      <c r="M143" s="14"/>
      <c r="N143" s="14"/>
      <c r="O143" s="14"/>
      <c r="P143" s="14"/>
      <c r="Q143" s="14"/>
      <c r="R143" s="14"/>
    </row>
    <row r="144" spans="1:18" ht="27" customHeight="1">
      <c r="A144" s="13"/>
      <c r="B144" s="6"/>
      <c r="C144" s="6"/>
      <c r="D144" s="8"/>
      <c r="E144" s="6"/>
      <c r="F144" s="8"/>
      <c r="G144" s="6"/>
      <c r="H144" s="14"/>
      <c r="I144" s="14"/>
      <c r="J144" s="14"/>
      <c r="K144" s="14"/>
      <c r="L144" s="14"/>
      <c r="M144" s="14"/>
      <c r="N144" s="14"/>
      <c r="O144" s="14"/>
      <c r="P144" s="14"/>
      <c r="Q144" s="14"/>
      <c r="R144" s="14"/>
    </row>
    <row r="145" spans="1:18" ht="27" customHeight="1">
      <c r="A145" s="13"/>
      <c r="B145" s="6"/>
      <c r="C145" s="6"/>
      <c r="D145" s="8"/>
      <c r="E145" s="6"/>
      <c r="F145" s="8"/>
      <c r="G145" s="6"/>
      <c r="H145" s="14"/>
      <c r="I145" s="14"/>
      <c r="J145" s="14"/>
      <c r="K145" s="14"/>
      <c r="L145" s="14"/>
      <c r="M145" s="14"/>
      <c r="N145" s="14"/>
      <c r="O145" s="14"/>
      <c r="P145" s="14"/>
      <c r="Q145" s="14"/>
      <c r="R145" s="14"/>
    </row>
    <row r="146" spans="1:18" ht="27" customHeight="1">
      <c r="A146" s="13"/>
      <c r="B146" s="6"/>
      <c r="C146" s="6"/>
      <c r="D146" s="8"/>
      <c r="E146" s="6"/>
      <c r="F146" s="8"/>
      <c r="G146" s="6"/>
      <c r="H146" s="14"/>
      <c r="I146" s="14"/>
      <c r="J146" s="14"/>
      <c r="K146" s="14"/>
      <c r="L146" s="14"/>
      <c r="M146" s="14"/>
      <c r="N146" s="14"/>
      <c r="O146" s="14"/>
      <c r="P146" s="14"/>
      <c r="Q146" s="14"/>
      <c r="R146" s="14"/>
    </row>
    <row r="147" spans="1:18" ht="27" customHeight="1">
      <c r="A147" s="13"/>
      <c r="B147" s="6"/>
      <c r="C147" s="6"/>
      <c r="D147" s="8"/>
      <c r="E147" s="6"/>
      <c r="F147" s="8"/>
      <c r="G147" s="6"/>
      <c r="H147" s="14"/>
      <c r="I147" s="14"/>
      <c r="J147" s="14"/>
      <c r="K147" s="14"/>
      <c r="L147" s="14"/>
      <c r="M147" s="14"/>
      <c r="N147" s="14"/>
      <c r="O147" s="14"/>
      <c r="P147" s="14"/>
      <c r="Q147" s="14"/>
      <c r="R147" s="14"/>
    </row>
    <row r="148" spans="1:18" ht="27" customHeight="1">
      <c r="A148" s="13"/>
      <c r="B148" s="6"/>
      <c r="C148" s="6"/>
      <c r="D148" s="8"/>
      <c r="E148" s="6"/>
      <c r="F148" s="8"/>
      <c r="G148" s="6"/>
      <c r="H148" s="14"/>
      <c r="I148" s="14"/>
      <c r="J148" s="14"/>
      <c r="K148" s="14"/>
      <c r="L148" s="14"/>
      <c r="M148" s="14"/>
      <c r="N148" s="14"/>
      <c r="O148" s="14"/>
      <c r="P148" s="14"/>
      <c r="Q148" s="14"/>
      <c r="R148" s="14"/>
    </row>
    <row r="149" spans="1:18" ht="27" customHeight="1">
      <c r="A149" s="13"/>
      <c r="B149" s="6"/>
      <c r="C149" s="6"/>
      <c r="D149" s="8"/>
      <c r="E149" s="6"/>
      <c r="F149" s="8"/>
      <c r="G149" s="6"/>
      <c r="H149" s="14"/>
      <c r="I149" s="14"/>
      <c r="J149" s="14"/>
      <c r="K149" s="14"/>
      <c r="L149" s="14"/>
      <c r="M149" s="14"/>
      <c r="N149" s="14"/>
      <c r="O149" s="14"/>
      <c r="P149" s="14"/>
      <c r="Q149" s="14"/>
      <c r="R149" s="14"/>
    </row>
    <row r="150" spans="1:18" ht="27" customHeight="1">
      <c r="A150" s="13"/>
      <c r="B150" s="6"/>
      <c r="C150" s="6"/>
      <c r="D150" s="8"/>
      <c r="E150" s="6"/>
      <c r="F150" s="8"/>
      <c r="G150" s="6"/>
      <c r="H150" s="14"/>
      <c r="I150" s="14"/>
      <c r="J150" s="14"/>
      <c r="K150" s="14"/>
      <c r="L150" s="14"/>
      <c r="M150" s="14"/>
      <c r="N150" s="14"/>
      <c r="O150" s="14"/>
      <c r="P150" s="14"/>
      <c r="Q150" s="14"/>
      <c r="R150" s="14"/>
    </row>
    <row r="151" spans="1:18" ht="27" customHeight="1">
      <c r="A151" s="13"/>
      <c r="B151" s="6"/>
      <c r="C151" s="6"/>
      <c r="D151" s="8"/>
      <c r="E151" s="6"/>
      <c r="F151" s="8"/>
      <c r="G151" s="6"/>
      <c r="H151" s="14"/>
      <c r="I151" s="14"/>
      <c r="J151" s="14"/>
      <c r="K151" s="14"/>
      <c r="L151" s="14"/>
      <c r="M151" s="14"/>
      <c r="N151" s="14"/>
      <c r="O151" s="14"/>
      <c r="P151" s="14"/>
      <c r="Q151" s="14"/>
      <c r="R151" s="14"/>
    </row>
    <row r="152" spans="1:18" ht="27" customHeight="1">
      <c r="A152" s="13"/>
      <c r="B152" s="6"/>
      <c r="C152" s="6"/>
      <c r="D152" s="8"/>
      <c r="E152" s="6"/>
      <c r="F152" s="8"/>
      <c r="G152" s="6"/>
      <c r="H152" s="14"/>
      <c r="I152" s="14"/>
      <c r="J152" s="14"/>
      <c r="K152" s="14"/>
      <c r="L152" s="14"/>
      <c r="M152" s="14"/>
      <c r="N152" s="14"/>
      <c r="O152" s="14"/>
      <c r="P152" s="14"/>
      <c r="Q152" s="14"/>
      <c r="R152" s="14"/>
    </row>
    <row r="153" spans="1:18" ht="27" customHeight="1">
      <c r="A153" s="13"/>
      <c r="B153" s="6"/>
      <c r="C153" s="6"/>
      <c r="D153" s="8"/>
      <c r="E153" s="6"/>
      <c r="F153" s="8"/>
      <c r="G153" s="6"/>
      <c r="H153" s="14"/>
      <c r="I153" s="14"/>
      <c r="J153" s="14"/>
      <c r="K153" s="14"/>
      <c r="L153" s="14"/>
      <c r="M153" s="14"/>
      <c r="N153" s="14"/>
      <c r="O153" s="14"/>
      <c r="P153" s="14"/>
      <c r="Q153" s="14"/>
      <c r="R153" s="14"/>
    </row>
    <row r="154" spans="1:18" ht="27" customHeight="1">
      <c r="A154" s="13"/>
      <c r="B154" s="6"/>
      <c r="C154" s="6"/>
      <c r="D154" s="8"/>
      <c r="E154" s="6"/>
      <c r="F154" s="8"/>
      <c r="G154" s="6"/>
      <c r="H154" s="14"/>
      <c r="I154" s="14"/>
      <c r="J154" s="14"/>
      <c r="K154" s="14"/>
      <c r="L154" s="14"/>
      <c r="M154" s="14"/>
      <c r="N154" s="14"/>
      <c r="O154" s="14"/>
      <c r="P154" s="14"/>
      <c r="Q154" s="14"/>
      <c r="R154" s="14"/>
    </row>
    <row r="155" spans="1:18" ht="27" customHeight="1">
      <c r="A155" s="13"/>
      <c r="B155" s="6"/>
      <c r="C155" s="6"/>
      <c r="D155" s="8"/>
      <c r="E155" s="6"/>
      <c r="F155" s="8"/>
      <c r="G155" s="6"/>
      <c r="H155" s="14"/>
      <c r="I155" s="14"/>
      <c r="J155" s="14"/>
      <c r="K155" s="14"/>
      <c r="L155" s="14"/>
      <c r="M155" s="14"/>
      <c r="N155" s="14"/>
      <c r="O155" s="14"/>
      <c r="P155" s="14"/>
      <c r="Q155" s="14"/>
      <c r="R155" s="14"/>
    </row>
    <row r="156" spans="1:18" ht="27" customHeight="1">
      <c r="A156" s="13"/>
      <c r="B156" s="6"/>
      <c r="C156" s="6"/>
      <c r="D156" s="8"/>
      <c r="E156" s="6"/>
      <c r="F156" s="8"/>
      <c r="G156" s="6"/>
      <c r="H156" s="14"/>
      <c r="I156" s="14"/>
      <c r="J156" s="14"/>
      <c r="K156" s="14"/>
      <c r="L156" s="14"/>
      <c r="M156" s="14"/>
      <c r="N156" s="14"/>
      <c r="O156" s="14"/>
      <c r="P156" s="14"/>
      <c r="Q156" s="14"/>
      <c r="R156" s="14"/>
    </row>
    <row r="157" spans="1:18" ht="27" customHeight="1">
      <c r="A157" s="13"/>
      <c r="B157" s="6"/>
      <c r="C157" s="6"/>
      <c r="D157" s="8"/>
      <c r="E157" s="6"/>
      <c r="F157" s="8"/>
      <c r="G157" s="6"/>
      <c r="H157" s="14"/>
      <c r="I157" s="14"/>
      <c r="J157" s="14"/>
      <c r="K157" s="14"/>
      <c r="L157" s="14"/>
      <c r="M157" s="14"/>
      <c r="N157" s="14"/>
      <c r="O157" s="14"/>
      <c r="P157" s="14"/>
      <c r="Q157" s="14"/>
      <c r="R157" s="14"/>
    </row>
    <row r="158" spans="1:18" ht="27" customHeight="1">
      <c r="A158" s="13"/>
      <c r="B158" s="6"/>
      <c r="C158" s="6"/>
      <c r="D158" s="8"/>
      <c r="E158" s="6"/>
      <c r="F158" s="8"/>
      <c r="G158" s="6"/>
      <c r="H158" s="14"/>
      <c r="I158" s="14"/>
      <c r="J158" s="14"/>
      <c r="K158" s="14"/>
      <c r="L158" s="14"/>
      <c r="M158" s="14"/>
      <c r="N158" s="14"/>
      <c r="O158" s="14"/>
      <c r="P158" s="14"/>
      <c r="Q158" s="14"/>
      <c r="R158" s="14"/>
    </row>
    <row r="159" spans="1:18" ht="27" customHeight="1">
      <c r="A159" s="13"/>
      <c r="B159" s="6"/>
      <c r="C159" s="6"/>
      <c r="D159" s="8"/>
      <c r="E159" s="6"/>
      <c r="F159" s="8"/>
      <c r="G159" s="6"/>
      <c r="H159" s="14"/>
      <c r="I159" s="14"/>
      <c r="J159" s="14"/>
      <c r="K159" s="14"/>
      <c r="L159" s="14"/>
      <c r="M159" s="14"/>
      <c r="N159" s="14"/>
      <c r="O159" s="14"/>
      <c r="P159" s="14"/>
      <c r="Q159" s="14"/>
      <c r="R159" s="14"/>
    </row>
    <row r="160" spans="1:18" ht="27" customHeight="1">
      <c r="A160" s="13"/>
      <c r="B160" s="6"/>
      <c r="C160" s="6"/>
      <c r="D160" s="8"/>
      <c r="E160" s="6"/>
      <c r="F160" s="8"/>
      <c r="G160" s="6"/>
      <c r="H160" s="14"/>
      <c r="I160" s="14"/>
      <c r="J160" s="14"/>
      <c r="K160" s="14"/>
      <c r="L160" s="14"/>
      <c r="M160" s="14"/>
      <c r="N160" s="14"/>
      <c r="O160" s="14"/>
      <c r="P160" s="14"/>
      <c r="Q160" s="14"/>
      <c r="R160" s="14"/>
    </row>
    <row r="161" spans="1:18" ht="27" customHeight="1">
      <c r="A161" s="13"/>
      <c r="B161" s="6"/>
      <c r="C161" s="6"/>
      <c r="D161" s="8"/>
      <c r="E161" s="6"/>
      <c r="F161" s="8"/>
      <c r="G161" s="6"/>
      <c r="H161" s="14"/>
      <c r="I161" s="14"/>
      <c r="J161" s="14"/>
      <c r="K161" s="14"/>
      <c r="L161" s="14"/>
      <c r="M161" s="14"/>
      <c r="N161" s="14"/>
      <c r="O161" s="14"/>
      <c r="P161" s="14"/>
      <c r="Q161" s="14"/>
      <c r="R161" s="14"/>
    </row>
    <row r="162" spans="1:18" ht="27" customHeight="1">
      <c r="A162" s="13"/>
      <c r="B162" s="6"/>
      <c r="C162" s="6"/>
      <c r="D162" s="8"/>
      <c r="E162" s="6"/>
      <c r="F162" s="8"/>
      <c r="G162" s="6"/>
      <c r="H162" s="14"/>
      <c r="I162" s="14"/>
      <c r="J162" s="14"/>
      <c r="K162" s="14"/>
      <c r="L162" s="14"/>
      <c r="M162" s="14"/>
      <c r="N162" s="14"/>
      <c r="O162" s="14"/>
      <c r="P162" s="14"/>
      <c r="Q162" s="14"/>
      <c r="R162" s="14"/>
    </row>
    <row r="163" spans="1:18" ht="27" customHeight="1">
      <c r="A163" s="13"/>
      <c r="B163" s="6"/>
      <c r="C163" s="6"/>
      <c r="D163" s="8"/>
      <c r="E163" s="6"/>
      <c r="F163" s="8"/>
      <c r="G163" s="6"/>
      <c r="H163" s="14"/>
      <c r="I163" s="14"/>
      <c r="J163" s="14"/>
      <c r="K163" s="14"/>
      <c r="L163" s="14"/>
      <c r="M163" s="14"/>
      <c r="N163" s="14"/>
      <c r="O163" s="14"/>
      <c r="P163" s="14"/>
      <c r="Q163" s="14"/>
      <c r="R163" s="14"/>
    </row>
    <row r="164" spans="1:18" ht="27" customHeight="1">
      <c r="A164" s="13"/>
      <c r="B164" s="6"/>
      <c r="C164" s="6"/>
      <c r="D164" s="8"/>
      <c r="E164" s="6"/>
      <c r="F164" s="8"/>
      <c r="G164" s="6"/>
      <c r="H164" s="14"/>
      <c r="I164" s="14"/>
      <c r="J164" s="14"/>
      <c r="K164" s="14"/>
      <c r="L164" s="14"/>
      <c r="M164" s="14"/>
      <c r="N164" s="14"/>
      <c r="O164" s="14"/>
      <c r="P164" s="14"/>
      <c r="Q164" s="14"/>
      <c r="R164" s="14"/>
    </row>
    <row r="165" spans="1:18" ht="27" customHeight="1">
      <c r="A165" s="13"/>
      <c r="B165" s="6"/>
      <c r="C165" s="6"/>
      <c r="D165" s="8"/>
      <c r="E165" s="6"/>
      <c r="F165" s="8"/>
      <c r="G165" s="6"/>
      <c r="H165" s="14"/>
      <c r="I165" s="14"/>
      <c r="J165" s="14"/>
      <c r="K165" s="14"/>
      <c r="L165" s="14"/>
      <c r="M165" s="14"/>
      <c r="N165" s="14"/>
      <c r="O165" s="14"/>
      <c r="P165" s="14"/>
      <c r="Q165" s="14"/>
      <c r="R165" s="14"/>
    </row>
    <row r="166" spans="1:18" ht="27" customHeight="1">
      <c r="A166" s="13"/>
      <c r="B166" s="6"/>
      <c r="C166" s="6"/>
      <c r="D166" s="8"/>
      <c r="E166" s="6"/>
      <c r="F166" s="8"/>
      <c r="G166" s="6"/>
      <c r="H166" s="14"/>
      <c r="I166" s="14"/>
      <c r="J166" s="14"/>
      <c r="K166" s="14"/>
      <c r="L166" s="14"/>
      <c r="M166" s="14"/>
      <c r="N166" s="14"/>
      <c r="O166" s="14"/>
      <c r="P166" s="14"/>
      <c r="Q166" s="14"/>
      <c r="R166" s="14"/>
    </row>
    <row r="167" spans="1:18" ht="27" customHeight="1">
      <c r="A167" s="13"/>
      <c r="B167" s="6"/>
      <c r="C167" s="6"/>
      <c r="D167" s="8"/>
      <c r="E167" s="6"/>
      <c r="F167" s="8"/>
      <c r="G167" s="6"/>
      <c r="H167" s="14"/>
      <c r="I167" s="14"/>
      <c r="J167" s="14"/>
      <c r="K167" s="14"/>
      <c r="L167" s="14"/>
      <c r="M167" s="14"/>
      <c r="N167" s="14"/>
      <c r="O167" s="14"/>
      <c r="P167" s="14"/>
      <c r="Q167" s="14"/>
      <c r="R167" s="14"/>
    </row>
    <row r="168" spans="1:18" ht="27" customHeight="1">
      <c r="A168" s="13"/>
      <c r="B168" s="6"/>
      <c r="C168" s="6"/>
      <c r="D168" s="8"/>
      <c r="E168" s="6"/>
      <c r="F168" s="8"/>
      <c r="G168" s="6"/>
      <c r="H168" s="14"/>
      <c r="I168" s="14"/>
      <c r="J168" s="14"/>
      <c r="K168" s="14"/>
      <c r="L168" s="14"/>
      <c r="M168" s="14"/>
      <c r="N168" s="14"/>
      <c r="O168" s="14"/>
      <c r="P168" s="14"/>
      <c r="Q168" s="14"/>
      <c r="R168" s="14"/>
    </row>
    <row r="169" spans="1:18" ht="27" customHeight="1">
      <c r="A169" s="13"/>
      <c r="B169" s="6"/>
      <c r="C169" s="6"/>
      <c r="D169" s="8"/>
      <c r="E169" s="6"/>
      <c r="F169" s="8"/>
      <c r="G169" s="6"/>
      <c r="H169" s="14"/>
      <c r="I169" s="14"/>
      <c r="J169" s="14"/>
      <c r="K169" s="14"/>
      <c r="L169" s="14"/>
      <c r="M169" s="14"/>
      <c r="N169" s="14"/>
      <c r="O169" s="14"/>
      <c r="P169" s="14"/>
      <c r="Q169" s="14"/>
      <c r="R169" s="14"/>
    </row>
    <row r="170" spans="1:18" ht="27" customHeight="1">
      <c r="A170" s="13"/>
      <c r="B170" s="6"/>
      <c r="C170" s="6"/>
      <c r="D170" s="8"/>
      <c r="E170" s="6"/>
      <c r="F170" s="8"/>
      <c r="G170" s="6"/>
      <c r="H170" s="14"/>
      <c r="I170" s="14"/>
      <c r="J170" s="14"/>
      <c r="K170" s="14"/>
      <c r="L170" s="14"/>
      <c r="M170" s="14"/>
      <c r="N170" s="14"/>
      <c r="O170" s="14"/>
      <c r="P170" s="14"/>
      <c r="Q170" s="14"/>
      <c r="R170" s="14"/>
    </row>
    <row r="171" spans="1:18" ht="27" customHeight="1">
      <c r="A171" s="13"/>
      <c r="B171" s="6"/>
      <c r="C171" s="6"/>
      <c r="D171" s="8"/>
      <c r="E171" s="6"/>
      <c r="F171" s="8"/>
      <c r="G171" s="6"/>
      <c r="H171" s="14"/>
      <c r="I171" s="14"/>
      <c r="J171" s="14"/>
      <c r="K171" s="14"/>
      <c r="L171" s="14"/>
      <c r="M171" s="14"/>
      <c r="N171" s="14"/>
      <c r="O171" s="14"/>
      <c r="P171" s="14"/>
      <c r="Q171" s="14"/>
      <c r="R171" s="14"/>
    </row>
    <row r="172" spans="1:18" ht="27" customHeight="1">
      <c r="A172" s="13"/>
      <c r="B172" s="6"/>
      <c r="C172" s="6"/>
      <c r="D172" s="8"/>
      <c r="E172" s="6"/>
      <c r="F172" s="8"/>
      <c r="G172" s="6"/>
      <c r="H172" s="14"/>
      <c r="I172" s="14"/>
      <c r="J172" s="14"/>
      <c r="K172" s="14"/>
      <c r="L172" s="14"/>
      <c r="M172" s="14"/>
      <c r="N172" s="14"/>
      <c r="O172" s="14"/>
      <c r="P172" s="14"/>
      <c r="Q172" s="14"/>
      <c r="R172" s="14"/>
    </row>
    <row r="173" spans="1:18" ht="27" customHeight="1">
      <c r="A173" s="13"/>
      <c r="B173" s="6"/>
      <c r="C173" s="6"/>
      <c r="D173" s="8"/>
      <c r="E173" s="6"/>
      <c r="F173" s="8"/>
      <c r="G173" s="6"/>
      <c r="H173" s="14"/>
      <c r="I173" s="14"/>
      <c r="J173" s="14"/>
      <c r="K173" s="14"/>
      <c r="L173" s="14"/>
      <c r="M173" s="14"/>
      <c r="N173" s="14"/>
      <c r="O173" s="14"/>
      <c r="P173" s="14"/>
      <c r="Q173" s="14"/>
      <c r="R173" s="14"/>
    </row>
    <row r="174" spans="1:18" ht="27" customHeight="1">
      <c r="A174" s="13"/>
      <c r="B174" s="6"/>
      <c r="C174" s="6"/>
      <c r="D174" s="8"/>
      <c r="E174" s="6"/>
      <c r="F174" s="8"/>
      <c r="G174" s="6"/>
      <c r="H174" s="14"/>
      <c r="I174" s="14"/>
      <c r="J174" s="14"/>
      <c r="K174" s="14"/>
      <c r="L174" s="14"/>
      <c r="M174" s="14"/>
      <c r="N174" s="14"/>
      <c r="O174" s="14"/>
      <c r="P174" s="14"/>
      <c r="Q174" s="14"/>
      <c r="R174" s="14"/>
    </row>
    <row r="175" spans="1:18" ht="27" customHeight="1">
      <c r="A175" s="13"/>
      <c r="B175" s="6"/>
      <c r="C175" s="6"/>
      <c r="D175" s="8"/>
      <c r="E175" s="6"/>
      <c r="F175" s="8"/>
      <c r="G175" s="6"/>
      <c r="H175" s="14"/>
      <c r="I175" s="14"/>
      <c r="J175" s="14"/>
      <c r="K175" s="14"/>
      <c r="L175" s="14"/>
      <c r="M175" s="14"/>
      <c r="N175" s="14"/>
      <c r="O175" s="14"/>
      <c r="P175" s="14"/>
      <c r="Q175" s="14"/>
      <c r="R175" s="14"/>
    </row>
    <row r="176" spans="1:18" ht="27" customHeight="1">
      <c r="A176" s="13"/>
      <c r="B176" s="6"/>
      <c r="C176" s="6"/>
      <c r="D176" s="8"/>
      <c r="E176" s="6"/>
      <c r="F176" s="8"/>
      <c r="G176" s="6"/>
      <c r="H176" s="14"/>
      <c r="I176" s="14"/>
      <c r="J176" s="14"/>
      <c r="K176" s="14"/>
      <c r="L176" s="14"/>
      <c r="M176" s="14"/>
      <c r="N176" s="14"/>
      <c r="O176" s="14"/>
      <c r="P176" s="14"/>
      <c r="Q176" s="14"/>
      <c r="R176" s="14"/>
    </row>
    <row r="177" spans="1:18" ht="27" customHeight="1">
      <c r="A177" s="13"/>
      <c r="B177" s="6"/>
      <c r="C177" s="6"/>
      <c r="D177" s="8"/>
      <c r="E177" s="6"/>
      <c r="F177" s="8"/>
      <c r="G177" s="6"/>
      <c r="H177" s="14"/>
      <c r="I177" s="14"/>
      <c r="J177" s="14"/>
      <c r="K177" s="14"/>
      <c r="L177" s="14"/>
      <c r="M177" s="14"/>
      <c r="N177" s="14"/>
      <c r="O177" s="14"/>
      <c r="P177" s="14"/>
      <c r="Q177" s="14"/>
      <c r="R177" s="14"/>
    </row>
    <row r="178" spans="1:18" ht="27" customHeight="1">
      <c r="A178" s="13"/>
      <c r="B178" s="6"/>
      <c r="C178" s="6"/>
      <c r="D178" s="8"/>
      <c r="E178" s="6"/>
      <c r="F178" s="8"/>
      <c r="G178" s="6"/>
      <c r="H178" s="14"/>
      <c r="I178" s="14"/>
      <c r="J178" s="14"/>
      <c r="K178" s="14"/>
      <c r="L178" s="14"/>
      <c r="M178" s="14"/>
      <c r="N178" s="14"/>
      <c r="O178" s="14"/>
      <c r="P178" s="14"/>
      <c r="Q178" s="14"/>
      <c r="R178" s="14"/>
    </row>
    <row r="179" spans="1:18" ht="27" customHeight="1">
      <c r="A179" s="13"/>
      <c r="B179" s="6"/>
      <c r="C179" s="6"/>
      <c r="D179" s="8"/>
      <c r="E179" s="6"/>
      <c r="F179" s="8"/>
      <c r="G179" s="6"/>
      <c r="H179" s="14"/>
      <c r="I179" s="14"/>
      <c r="J179" s="14"/>
      <c r="K179" s="14"/>
      <c r="L179" s="14"/>
      <c r="M179" s="14"/>
      <c r="N179" s="14"/>
      <c r="O179" s="14"/>
      <c r="P179" s="14"/>
      <c r="Q179" s="14"/>
      <c r="R179" s="14"/>
    </row>
    <row r="180" spans="1:18" ht="27" customHeight="1">
      <c r="A180" s="13"/>
      <c r="B180" s="6"/>
      <c r="C180" s="6"/>
      <c r="D180" s="8"/>
      <c r="E180" s="6"/>
      <c r="F180" s="8"/>
      <c r="G180" s="6"/>
      <c r="H180" s="14"/>
      <c r="I180" s="14"/>
      <c r="J180" s="14"/>
      <c r="K180" s="14"/>
      <c r="L180" s="14"/>
      <c r="M180" s="14"/>
      <c r="N180" s="14"/>
      <c r="O180" s="14"/>
      <c r="P180" s="14"/>
      <c r="Q180" s="14"/>
      <c r="R180" s="14"/>
    </row>
    <row r="181" spans="1:18" ht="27" customHeight="1">
      <c r="A181" s="13"/>
      <c r="B181" s="6"/>
      <c r="C181" s="6"/>
      <c r="D181" s="8"/>
      <c r="E181" s="6"/>
      <c r="F181" s="8"/>
      <c r="G181" s="6"/>
      <c r="H181" s="14"/>
      <c r="I181" s="14"/>
      <c r="J181" s="14"/>
      <c r="K181" s="14"/>
      <c r="L181" s="14"/>
      <c r="M181" s="14"/>
      <c r="N181" s="14"/>
      <c r="O181" s="14"/>
      <c r="P181" s="14"/>
      <c r="Q181" s="14"/>
      <c r="R181" s="14"/>
    </row>
    <row r="182" spans="1:18" ht="27" customHeight="1">
      <c r="A182" s="13"/>
      <c r="B182" s="6"/>
      <c r="C182" s="6"/>
      <c r="D182" s="8"/>
      <c r="E182" s="6"/>
      <c r="F182" s="8"/>
      <c r="G182" s="6"/>
      <c r="H182" s="14"/>
      <c r="I182" s="14"/>
      <c r="J182" s="14"/>
      <c r="K182" s="14"/>
      <c r="L182" s="14"/>
      <c r="M182" s="14"/>
      <c r="N182" s="14"/>
      <c r="O182" s="14"/>
      <c r="P182" s="14"/>
      <c r="Q182" s="14"/>
      <c r="R182" s="14"/>
    </row>
    <row r="183" spans="1:18" ht="27" customHeight="1">
      <c r="A183" s="13"/>
      <c r="B183" s="6"/>
      <c r="C183" s="6"/>
      <c r="D183" s="8"/>
      <c r="E183" s="6"/>
      <c r="F183" s="8"/>
      <c r="G183" s="6"/>
      <c r="H183" s="14"/>
      <c r="I183" s="14"/>
      <c r="J183" s="14"/>
      <c r="K183" s="14"/>
      <c r="L183" s="14"/>
      <c r="M183" s="14"/>
      <c r="N183" s="14"/>
      <c r="O183" s="14"/>
      <c r="P183" s="14"/>
      <c r="Q183" s="14"/>
      <c r="R183" s="14"/>
    </row>
    <row r="184" spans="1:18" ht="27" customHeight="1">
      <c r="A184" s="13"/>
      <c r="B184" s="6"/>
      <c r="C184" s="6"/>
      <c r="D184" s="8"/>
      <c r="E184" s="6"/>
      <c r="F184" s="8"/>
      <c r="G184" s="6"/>
      <c r="H184" s="14"/>
      <c r="I184" s="14"/>
      <c r="J184" s="14"/>
      <c r="K184" s="14"/>
      <c r="L184" s="14"/>
      <c r="M184" s="14"/>
      <c r="N184" s="14"/>
      <c r="O184" s="14"/>
      <c r="P184" s="14"/>
      <c r="Q184" s="14"/>
      <c r="R184" s="14"/>
    </row>
    <row r="185" spans="1:18" ht="27" customHeight="1">
      <c r="A185" s="13"/>
      <c r="B185" s="6"/>
      <c r="C185" s="6"/>
      <c r="D185" s="8"/>
      <c r="E185" s="6"/>
      <c r="F185" s="8"/>
      <c r="G185" s="6"/>
      <c r="H185" s="14"/>
      <c r="I185" s="14"/>
      <c r="J185" s="14"/>
      <c r="K185" s="14"/>
      <c r="L185" s="14"/>
      <c r="M185" s="14"/>
      <c r="N185" s="14"/>
      <c r="O185" s="14"/>
      <c r="P185" s="14"/>
      <c r="Q185" s="14"/>
      <c r="R185" s="14"/>
    </row>
    <row r="186" spans="1:18" ht="27" customHeight="1">
      <c r="A186" s="13"/>
      <c r="B186" s="6"/>
      <c r="C186" s="6"/>
      <c r="D186" s="8"/>
      <c r="E186" s="6"/>
      <c r="F186" s="8"/>
      <c r="G186" s="6"/>
      <c r="H186" s="14"/>
      <c r="I186" s="14"/>
      <c r="J186" s="14"/>
      <c r="K186" s="14"/>
      <c r="L186" s="14"/>
      <c r="M186" s="14"/>
      <c r="N186" s="14"/>
      <c r="O186" s="14"/>
      <c r="P186" s="14"/>
      <c r="Q186" s="14"/>
      <c r="R186" s="14"/>
    </row>
    <row r="187" spans="1:18" ht="27" customHeight="1">
      <c r="A187" s="13"/>
      <c r="B187" s="6"/>
      <c r="C187" s="6"/>
      <c r="D187" s="8"/>
      <c r="E187" s="6"/>
      <c r="F187" s="8"/>
      <c r="G187" s="6"/>
      <c r="H187" s="14"/>
      <c r="I187" s="14"/>
      <c r="J187" s="14"/>
      <c r="K187" s="14"/>
      <c r="L187" s="14"/>
      <c r="M187" s="14"/>
      <c r="N187" s="14"/>
      <c r="O187" s="14"/>
      <c r="P187" s="14"/>
      <c r="Q187" s="14"/>
      <c r="R187" s="14"/>
    </row>
    <row r="188" spans="1:18" ht="27" customHeight="1">
      <c r="A188" s="13"/>
      <c r="B188" s="6"/>
      <c r="C188" s="6"/>
      <c r="D188" s="8"/>
      <c r="E188" s="6"/>
      <c r="F188" s="8"/>
      <c r="G188" s="6"/>
      <c r="H188" s="14"/>
      <c r="I188" s="14"/>
      <c r="J188" s="14"/>
      <c r="K188" s="14"/>
      <c r="L188" s="14"/>
      <c r="M188" s="14"/>
      <c r="N188" s="14"/>
      <c r="O188" s="14"/>
      <c r="P188" s="14"/>
      <c r="Q188" s="14"/>
      <c r="R188" s="14"/>
    </row>
    <row r="189" spans="1:18" ht="27" customHeight="1">
      <c r="A189" s="13"/>
      <c r="B189" s="6"/>
      <c r="C189" s="6"/>
      <c r="D189" s="8"/>
      <c r="E189" s="6"/>
      <c r="F189" s="8"/>
      <c r="G189" s="6"/>
      <c r="H189" s="14"/>
      <c r="I189" s="14"/>
      <c r="J189" s="14"/>
      <c r="K189" s="14"/>
      <c r="L189" s="14"/>
      <c r="M189" s="14"/>
      <c r="N189" s="14"/>
      <c r="O189" s="14"/>
      <c r="P189" s="14"/>
      <c r="Q189" s="14"/>
      <c r="R189" s="14"/>
    </row>
    <row r="190" spans="1:18" ht="27" customHeight="1">
      <c r="A190" s="13"/>
      <c r="B190" s="6"/>
      <c r="C190" s="6"/>
      <c r="D190" s="8"/>
      <c r="E190" s="6"/>
      <c r="F190" s="8"/>
      <c r="G190" s="6"/>
      <c r="H190" s="14"/>
      <c r="I190" s="14"/>
      <c r="J190" s="14"/>
      <c r="K190" s="14"/>
      <c r="L190" s="14"/>
      <c r="M190" s="14"/>
      <c r="N190" s="14"/>
      <c r="O190" s="14"/>
      <c r="P190" s="14"/>
      <c r="Q190" s="14"/>
      <c r="R190" s="14"/>
    </row>
    <row r="191" spans="1:18" ht="27" customHeight="1">
      <c r="A191" s="13"/>
      <c r="B191" s="6"/>
      <c r="C191" s="6"/>
      <c r="D191" s="8"/>
      <c r="E191" s="6"/>
      <c r="F191" s="8"/>
      <c r="G191" s="6"/>
      <c r="H191" s="14"/>
      <c r="I191" s="14"/>
      <c r="J191" s="14"/>
      <c r="K191" s="14"/>
      <c r="L191" s="14"/>
      <c r="M191" s="14"/>
      <c r="N191" s="14"/>
      <c r="O191" s="14"/>
      <c r="P191" s="14"/>
      <c r="Q191" s="14"/>
      <c r="R191" s="14"/>
    </row>
    <row r="192" spans="1:18" ht="27" customHeight="1">
      <c r="A192" s="13"/>
      <c r="B192" s="6"/>
      <c r="C192" s="6"/>
      <c r="D192" s="8"/>
      <c r="E192" s="6"/>
      <c r="F192" s="8"/>
      <c r="G192" s="6"/>
      <c r="H192" s="14"/>
      <c r="I192" s="14"/>
      <c r="J192" s="14"/>
      <c r="K192" s="14"/>
      <c r="L192" s="14"/>
      <c r="M192" s="14"/>
      <c r="N192" s="14"/>
      <c r="O192" s="14"/>
      <c r="P192" s="14"/>
      <c r="Q192" s="14"/>
      <c r="R192" s="14"/>
    </row>
    <row r="193" spans="1:18" ht="27" customHeight="1">
      <c r="A193" s="13"/>
      <c r="B193" s="6"/>
      <c r="C193" s="6"/>
      <c r="D193" s="8"/>
      <c r="E193" s="6"/>
      <c r="F193" s="8"/>
      <c r="G193" s="6"/>
      <c r="H193" s="14"/>
      <c r="I193" s="14"/>
      <c r="J193" s="14"/>
      <c r="K193" s="14"/>
      <c r="L193" s="14"/>
      <c r="M193" s="14"/>
      <c r="N193" s="14"/>
      <c r="O193" s="14"/>
      <c r="P193" s="14"/>
      <c r="Q193" s="14"/>
      <c r="R193" s="14"/>
    </row>
    <row r="194" spans="1:18" ht="27" customHeight="1">
      <c r="A194" s="13"/>
      <c r="B194" s="6"/>
      <c r="C194" s="6"/>
      <c r="D194" s="8"/>
      <c r="E194" s="6"/>
      <c r="F194" s="8"/>
      <c r="G194" s="6"/>
      <c r="H194" s="14"/>
      <c r="I194" s="14"/>
      <c r="J194" s="14"/>
      <c r="K194" s="14"/>
      <c r="L194" s="14"/>
      <c r="M194" s="14"/>
      <c r="N194" s="14"/>
      <c r="O194" s="14"/>
      <c r="P194" s="14"/>
      <c r="Q194" s="14"/>
      <c r="R194" s="14"/>
    </row>
    <row r="195" spans="1:18" ht="27" customHeight="1">
      <c r="A195" s="13"/>
      <c r="B195" s="6"/>
      <c r="C195" s="6"/>
      <c r="D195" s="8"/>
      <c r="E195" s="6"/>
      <c r="F195" s="8"/>
      <c r="G195" s="6"/>
      <c r="H195" s="14"/>
      <c r="I195" s="14"/>
      <c r="J195" s="14"/>
      <c r="K195" s="14"/>
      <c r="L195" s="14"/>
      <c r="M195" s="14"/>
      <c r="N195" s="14"/>
      <c r="O195" s="14"/>
      <c r="P195" s="14"/>
      <c r="Q195" s="14"/>
      <c r="R195" s="14"/>
    </row>
    <row r="196" spans="1:18" ht="27" customHeight="1">
      <c r="A196" s="13"/>
      <c r="B196" s="6"/>
      <c r="C196" s="6"/>
      <c r="D196" s="8"/>
      <c r="E196" s="6"/>
      <c r="F196" s="8"/>
      <c r="G196" s="6"/>
      <c r="H196" s="14"/>
      <c r="I196" s="14"/>
      <c r="J196" s="14"/>
      <c r="K196" s="14"/>
      <c r="L196" s="14"/>
      <c r="M196" s="14"/>
      <c r="N196" s="14"/>
      <c r="O196" s="14"/>
      <c r="P196" s="14"/>
      <c r="Q196" s="14"/>
      <c r="R196" s="14"/>
    </row>
    <row r="197" spans="1:18" ht="27" customHeight="1">
      <c r="A197" s="13"/>
      <c r="B197" s="6"/>
      <c r="C197" s="6"/>
      <c r="D197" s="8"/>
      <c r="E197" s="6"/>
      <c r="F197" s="8"/>
      <c r="G197" s="6"/>
      <c r="H197" s="14"/>
      <c r="I197" s="14"/>
      <c r="J197" s="14"/>
      <c r="K197" s="14"/>
      <c r="L197" s="14"/>
      <c r="M197" s="14"/>
      <c r="N197" s="14"/>
      <c r="O197" s="14"/>
      <c r="P197" s="14"/>
      <c r="Q197" s="14"/>
      <c r="R197" s="14"/>
    </row>
    <row r="198" spans="1:18" ht="27" customHeight="1">
      <c r="A198" s="13"/>
      <c r="B198" s="6"/>
      <c r="C198" s="6"/>
      <c r="D198" s="8"/>
      <c r="E198" s="6"/>
      <c r="F198" s="8"/>
      <c r="G198" s="6"/>
      <c r="H198" s="14"/>
      <c r="I198" s="14"/>
      <c r="J198" s="14"/>
      <c r="K198" s="14"/>
      <c r="L198" s="14"/>
      <c r="M198" s="14"/>
      <c r="N198" s="14"/>
      <c r="O198" s="14"/>
      <c r="P198" s="14"/>
      <c r="Q198" s="14"/>
      <c r="R198" s="14"/>
    </row>
    <row r="199" spans="1:18" ht="27" customHeight="1">
      <c r="A199" s="13"/>
      <c r="B199" s="6"/>
      <c r="C199" s="6"/>
      <c r="D199" s="8"/>
      <c r="E199" s="6"/>
      <c r="F199" s="8"/>
      <c r="G199" s="6"/>
      <c r="H199" s="14"/>
      <c r="I199" s="14"/>
      <c r="J199" s="14"/>
      <c r="K199" s="14"/>
      <c r="L199" s="14"/>
      <c r="M199" s="14"/>
      <c r="N199" s="14"/>
      <c r="O199" s="14"/>
      <c r="P199" s="14"/>
      <c r="Q199" s="14"/>
      <c r="R199" s="14"/>
    </row>
    <row r="200" spans="1:18" ht="27" customHeight="1">
      <c r="A200" s="13"/>
      <c r="B200" s="6"/>
      <c r="C200" s="6"/>
      <c r="D200" s="8"/>
      <c r="E200" s="6"/>
      <c r="F200" s="8"/>
      <c r="G200" s="6"/>
      <c r="H200" s="14"/>
      <c r="I200" s="14"/>
      <c r="J200" s="14"/>
      <c r="K200" s="14"/>
      <c r="L200" s="14"/>
      <c r="M200" s="14"/>
      <c r="N200" s="14"/>
      <c r="O200" s="14"/>
      <c r="P200" s="14"/>
      <c r="Q200" s="14"/>
      <c r="R200" s="14"/>
    </row>
    <row r="201" spans="1:18" ht="27" customHeight="1">
      <c r="A201" s="13"/>
      <c r="B201" s="6"/>
      <c r="C201" s="6"/>
      <c r="D201" s="8"/>
      <c r="E201" s="6"/>
      <c r="F201" s="8"/>
      <c r="G201" s="6"/>
      <c r="H201" s="14"/>
      <c r="I201" s="14"/>
      <c r="J201" s="14"/>
      <c r="K201" s="14"/>
      <c r="L201" s="14"/>
      <c r="M201" s="14"/>
      <c r="N201" s="14"/>
      <c r="O201" s="14"/>
      <c r="P201" s="14"/>
      <c r="Q201" s="14"/>
      <c r="R201" s="14"/>
    </row>
    <row r="202" spans="1:18" ht="27" customHeight="1">
      <c r="A202" s="13"/>
      <c r="B202" s="6"/>
      <c r="C202" s="6"/>
      <c r="D202" s="8"/>
      <c r="E202" s="6"/>
      <c r="F202" s="8"/>
      <c r="G202" s="6"/>
      <c r="H202" s="14"/>
      <c r="I202" s="14"/>
      <c r="J202" s="14"/>
      <c r="K202" s="14"/>
      <c r="L202" s="14"/>
      <c r="M202" s="14"/>
      <c r="N202" s="14"/>
      <c r="O202" s="14"/>
      <c r="P202" s="14"/>
      <c r="Q202" s="14"/>
      <c r="R202" s="14"/>
    </row>
    <row r="203" spans="1:18" ht="27" customHeight="1">
      <c r="A203" s="13"/>
      <c r="B203" s="6"/>
      <c r="C203" s="6"/>
      <c r="D203" s="8"/>
      <c r="E203" s="6"/>
      <c r="F203" s="8"/>
      <c r="G203" s="6"/>
      <c r="H203" s="14"/>
      <c r="I203" s="14"/>
      <c r="J203" s="14"/>
      <c r="K203" s="14"/>
      <c r="L203" s="14"/>
      <c r="M203" s="14"/>
      <c r="N203" s="14"/>
      <c r="O203" s="14"/>
      <c r="P203" s="14"/>
      <c r="Q203" s="14"/>
      <c r="R203" s="14"/>
    </row>
    <row r="204" spans="1:18" ht="27" customHeight="1">
      <c r="A204" s="13"/>
      <c r="B204" s="6"/>
      <c r="C204" s="6"/>
      <c r="D204" s="8"/>
      <c r="E204" s="6"/>
      <c r="F204" s="8"/>
      <c r="G204" s="6"/>
      <c r="H204" s="14"/>
      <c r="I204" s="14"/>
      <c r="J204" s="14"/>
      <c r="K204" s="14"/>
      <c r="L204" s="14"/>
      <c r="M204" s="14"/>
      <c r="N204" s="14"/>
      <c r="O204" s="14"/>
      <c r="P204" s="14"/>
      <c r="Q204" s="14"/>
      <c r="R204" s="14"/>
    </row>
    <row r="205" spans="1:18" ht="27" customHeight="1">
      <c r="A205" s="13"/>
      <c r="B205" s="6"/>
      <c r="C205" s="6"/>
      <c r="D205" s="8"/>
      <c r="E205" s="6"/>
      <c r="F205" s="8"/>
      <c r="G205" s="6"/>
      <c r="H205" s="14"/>
      <c r="I205" s="14"/>
      <c r="J205" s="14"/>
      <c r="K205" s="14"/>
      <c r="L205" s="14"/>
      <c r="M205" s="14"/>
      <c r="N205" s="14"/>
      <c r="O205" s="14"/>
      <c r="P205" s="14"/>
      <c r="Q205" s="14"/>
      <c r="R205" s="14"/>
    </row>
    <row r="206" spans="1:18" ht="27" customHeight="1">
      <c r="A206" s="13"/>
      <c r="B206" s="6"/>
      <c r="C206" s="6"/>
      <c r="D206" s="8"/>
      <c r="E206" s="6"/>
      <c r="F206" s="8"/>
      <c r="G206" s="6"/>
      <c r="H206" s="14"/>
      <c r="I206" s="14"/>
      <c r="J206" s="14"/>
      <c r="K206" s="14"/>
      <c r="L206" s="14"/>
      <c r="M206" s="14"/>
      <c r="N206" s="14"/>
      <c r="O206" s="14"/>
      <c r="P206" s="14"/>
      <c r="Q206" s="14"/>
      <c r="R206" s="14"/>
    </row>
    <row r="207" spans="1:18" ht="27" customHeight="1">
      <c r="A207" s="13"/>
      <c r="B207" s="6"/>
      <c r="C207" s="6"/>
      <c r="D207" s="8"/>
      <c r="E207" s="6"/>
      <c r="F207" s="8"/>
      <c r="G207" s="6"/>
      <c r="H207" s="14"/>
      <c r="I207" s="14"/>
      <c r="J207" s="14"/>
      <c r="K207" s="14"/>
      <c r="L207" s="14"/>
      <c r="M207" s="14"/>
      <c r="N207" s="14"/>
      <c r="O207" s="14"/>
      <c r="P207" s="14"/>
      <c r="Q207" s="14"/>
      <c r="R207" s="14"/>
    </row>
    <row r="208" spans="1:18" ht="27" customHeight="1">
      <c r="A208" s="13"/>
      <c r="B208" s="6"/>
      <c r="C208" s="6"/>
      <c r="D208" s="8"/>
      <c r="E208" s="6"/>
      <c r="F208" s="8"/>
      <c r="G208" s="6"/>
      <c r="H208" s="14"/>
      <c r="I208" s="14"/>
      <c r="J208" s="14"/>
      <c r="K208" s="14"/>
      <c r="L208" s="14"/>
      <c r="M208" s="14"/>
      <c r="N208" s="14"/>
      <c r="O208" s="14"/>
      <c r="P208" s="14"/>
      <c r="Q208" s="14"/>
      <c r="R208" s="14"/>
    </row>
    <row r="209" spans="1:18" ht="27" customHeight="1">
      <c r="A209" s="13"/>
      <c r="B209" s="6"/>
      <c r="C209" s="6"/>
      <c r="D209" s="8"/>
      <c r="E209" s="6"/>
      <c r="F209" s="8"/>
      <c r="G209" s="6"/>
      <c r="H209" s="14"/>
      <c r="I209" s="14"/>
      <c r="J209" s="14"/>
      <c r="K209" s="14"/>
      <c r="L209" s="14"/>
      <c r="M209" s="14"/>
      <c r="N209" s="14"/>
      <c r="O209" s="14"/>
      <c r="P209" s="14"/>
      <c r="Q209" s="14"/>
      <c r="R209" s="14"/>
    </row>
    <row r="210" spans="1:18" ht="27" customHeight="1">
      <c r="A210" s="13"/>
      <c r="B210" s="6"/>
      <c r="C210" s="6"/>
      <c r="D210" s="8"/>
      <c r="E210" s="6"/>
      <c r="F210" s="8"/>
      <c r="G210" s="6"/>
      <c r="H210" s="14"/>
      <c r="I210" s="14"/>
      <c r="J210" s="14"/>
      <c r="K210" s="14"/>
      <c r="L210" s="14"/>
      <c r="M210" s="14"/>
      <c r="N210" s="14"/>
      <c r="O210" s="14"/>
      <c r="P210" s="14"/>
      <c r="Q210" s="14"/>
      <c r="R210" s="14"/>
    </row>
    <row r="211" spans="1:18" ht="27" customHeight="1">
      <c r="A211" s="13"/>
      <c r="B211" s="6"/>
      <c r="C211" s="6"/>
      <c r="D211" s="8"/>
      <c r="E211" s="6"/>
      <c r="F211" s="8"/>
      <c r="G211" s="6"/>
      <c r="H211" s="14"/>
      <c r="I211" s="14"/>
      <c r="J211" s="14"/>
      <c r="K211" s="14"/>
      <c r="L211" s="14"/>
      <c r="M211" s="14"/>
      <c r="N211" s="14"/>
      <c r="O211" s="14"/>
      <c r="P211" s="14"/>
      <c r="Q211" s="14"/>
      <c r="R211" s="14"/>
    </row>
    <row r="212" spans="1:18" ht="27" customHeight="1">
      <c r="A212" s="13"/>
      <c r="B212" s="6"/>
      <c r="C212" s="6"/>
      <c r="D212" s="8"/>
      <c r="E212" s="6"/>
      <c r="F212" s="8"/>
      <c r="G212" s="6"/>
      <c r="H212" s="14"/>
      <c r="I212" s="14"/>
      <c r="J212" s="14"/>
      <c r="K212" s="14"/>
      <c r="L212" s="14"/>
      <c r="M212" s="14"/>
      <c r="N212" s="14"/>
      <c r="O212" s="14"/>
      <c r="P212" s="14"/>
      <c r="Q212" s="14"/>
      <c r="R212" s="14"/>
    </row>
    <row r="213" spans="1:18" ht="27" customHeight="1">
      <c r="A213" s="13"/>
      <c r="B213" s="6"/>
      <c r="C213" s="6"/>
      <c r="D213" s="8"/>
      <c r="E213" s="6"/>
      <c r="F213" s="8"/>
      <c r="G213" s="6"/>
      <c r="H213" s="14"/>
      <c r="I213" s="14"/>
      <c r="J213" s="14"/>
      <c r="K213" s="14"/>
      <c r="L213" s="14"/>
      <c r="M213" s="14"/>
      <c r="N213" s="14"/>
      <c r="O213" s="14"/>
      <c r="P213" s="14"/>
      <c r="Q213" s="14"/>
      <c r="R213" s="14"/>
    </row>
    <row r="214" spans="1:18" ht="27" customHeight="1">
      <c r="A214" s="13"/>
      <c r="B214" s="6"/>
      <c r="C214" s="6"/>
      <c r="D214" s="8"/>
      <c r="E214" s="6"/>
      <c r="F214" s="8"/>
      <c r="G214" s="6"/>
      <c r="H214" s="14"/>
      <c r="I214" s="14"/>
      <c r="J214" s="14"/>
      <c r="K214" s="14"/>
      <c r="L214" s="14"/>
      <c r="M214" s="14"/>
      <c r="N214" s="14"/>
      <c r="O214" s="14"/>
      <c r="P214" s="14"/>
      <c r="Q214" s="14"/>
      <c r="R214" s="14"/>
    </row>
    <row r="215" spans="1:18" ht="27" customHeight="1">
      <c r="A215" s="13"/>
      <c r="B215" s="6"/>
      <c r="C215" s="6"/>
      <c r="D215" s="8"/>
      <c r="E215" s="6"/>
      <c r="F215" s="8"/>
      <c r="G215" s="6"/>
      <c r="H215" s="14"/>
      <c r="I215" s="14"/>
      <c r="J215" s="14"/>
      <c r="K215" s="14"/>
      <c r="L215" s="14"/>
      <c r="M215" s="14"/>
      <c r="N215" s="14"/>
      <c r="O215" s="14"/>
      <c r="P215" s="14"/>
      <c r="Q215" s="14"/>
      <c r="R215" s="14"/>
    </row>
    <row r="216" spans="1:18" ht="27" customHeight="1">
      <c r="A216" s="13"/>
      <c r="B216" s="6"/>
      <c r="C216" s="6"/>
      <c r="D216" s="8"/>
      <c r="E216" s="6"/>
      <c r="F216" s="8"/>
      <c r="G216" s="6"/>
      <c r="H216" s="14"/>
      <c r="I216" s="14"/>
      <c r="J216" s="14"/>
      <c r="K216" s="14"/>
      <c r="L216" s="14"/>
      <c r="M216" s="14"/>
      <c r="N216" s="14"/>
      <c r="O216" s="14"/>
      <c r="P216" s="14"/>
      <c r="Q216" s="14"/>
      <c r="R216" s="14"/>
    </row>
    <row r="217" spans="1:18" ht="27" customHeight="1">
      <c r="A217" s="13"/>
      <c r="B217" s="6"/>
      <c r="C217" s="6"/>
      <c r="D217" s="8"/>
      <c r="E217" s="6"/>
      <c r="F217" s="8"/>
      <c r="G217" s="6"/>
      <c r="H217" s="14"/>
      <c r="I217" s="14"/>
      <c r="J217" s="14"/>
      <c r="K217" s="14"/>
      <c r="L217" s="14"/>
      <c r="M217" s="14"/>
      <c r="N217" s="14"/>
      <c r="O217" s="14"/>
      <c r="P217" s="14"/>
      <c r="Q217" s="14"/>
      <c r="R217" s="14"/>
    </row>
    <row r="218" spans="1:18" ht="27" customHeight="1">
      <c r="A218" s="13"/>
      <c r="B218" s="6"/>
      <c r="C218" s="6"/>
      <c r="D218" s="8"/>
      <c r="E218" s="6"/>
      <c r="F218" s="8"/>
      <c r="G218" s="6"/>
      <c r="H218" s="14"/>
      <c r="I218" s="14"/>
      <c r="J218" s="14"/>
      <c r="K218" s="14"/>
      <c r="L218" s="14"/>
      <c r="M218" s="14"/>
      <c r="N218" s="14"/>
      <c r="O218" s="14"/>
      <c r="P218" s="14"/>
      <c r="Q218" s="14"/>
      <c r="R218" s="14"/>
    </row>
    <row r="219" spans="1:18" ht="27" customHeight="1">
      <c r="A219" s="13"/>
      <c r="B219" s="6"/>
      <c r="C219" s="6"/>
      <c r="D219" s="8"/>
      <c r="E219" s="6"/>
      <c r="F219" s="8"/>
      <c r="G219" s="6"/>
      <c r="H219" s="14"/>
      <c r="I219" s="14"/>
      <c r="J219" s="14"/>
      <c r="K219" s="14"/>
      <c r="L219" s="14"/>
      <c r="M219" s="14"/>
      <c r="N219" s="14"/>
      <c r="O219" s="14"/>
      <c r="P219" s="14"/>
      <c r="Q219" s="14"/>
      <c r="R219" s="14"/>
    </row>
    <row r="220" spans="1:18" ht="27" customHeight="1">
      <c r="A220" s="13"/>
      <c r="B220" s="6"/>
      <c r="C220" s="6"/>
      <c r="D220" s="8"/>
      <c r="E220" s="6"/>
      <c r="F220" s="8"/>
      <c r="G220" s="6"/>
      <c r="H220" s="14"/>
      <c r="I220" s="14"/>
      <c r="J220" s="14"/>
      <c r="K220" s="14"/>
      <c r="L220" s="14"/>
      <c r="M220" s="14"/>
      <c r="N220" s="14"/>
      <c r="O220" s="14"/>
      <c r="P220" s="14"/>
      <c r="Q220" s="14"/>
      <c r="R220" s="14"/>
    </row>
    <row r="221" spans="1:18" ht="27" customHeight="1">
      <c r="A221" s="13"/>
      <c r="B221" s="6"/>
      <c r="C221" s="6"/>
      <c r="D221" s="8"/>
      <c r="E221" s="6"/>
      <c r="F221" s="8"/>
      <c r="G221" s="6"/>
      <c r="H221" s="14"/>
      <c r="I221" s="14"/>
      <c r="J221" s="14"/>
      <c r="K221" s="14"/>
      <c r="L221" s="14"/>
      <c r="M221" s="14"/>
      <c r="N221" s="14"/>
      <c r="O221" s="14"/>
      <c r="P221" s="14"/>
      <c r="Q221" s="14"/>
      <c r="R221" s="14"/>
    </row>
    <row r="222" spans="1:18" ht="27" customHeight="1">
      <c r="A222" s="13"/>
      <c r="B222" s="6"/>
      <c r="C222" s="6"/>
      <c r="D222" s="8"/>
      <c r="E222" s="6"/>
      <c r="F222" s="8"/>
      <c r="G222" s="6"/>
      <c r="H222" s="14"/>
      <c r="I222" s="14"/>
      <c r="J222" s="14"/>
      <c r="K222" s="14"/>
      <c r="L222" s="14"/>
      <c r="M222" s="14"/>
      <c r="N222" s="14"/>
      <c r="O222" s="14"/>
      <c r="P222" s="14"/>
      <c r="Q222" s="14"/>
      <c r="R222" s="14"/>
    </row>
    <row r="223" spans="1:18" ht="27" customHeight="1">
      <c r="A223" s="13"/>
      <c r="B223" s="6"/>
      <c r="C223" s="6"/>
      <c r="D223" s="8"/>
      <c r="E223" s="6"/>
      <c r="F223" s="8"/>
      <c r="G223" s="6"/>
      <c r="H223" s="14"/>
      <c r="I223" s="14"/>
      <c r="J223" s="14"/>
      <c r="K223" s="14"/>
      <c r="L223" s="14"/>
      <c r="M223" s="14"/>
      <c r="N223" s="14"/>
      <c r="O223" s="14"/>
      <c r="P223" s="14"/>
      <c r="Q223" s="14"/>
      <c r="R223" s="14"/>
    </row>
    <row r="224" spans="1:18" ht="27" customHeight="1">
      <c r="A224" s="13"/>
      <c r="B224" s="6"/>
      <c r="C224" s="6"/>
      <c r="D224" s="8"/>
      <c r="E224" s="6"/>
      <c r="F224" s="8"/>
      <c r="G224" s="6"/>
      <c r="H224" s="14"/>
      <c r="I224" s="14"/>
      <c r="J224" s="14"/>
      <c r="K224" s="14"/>
      <c r="L224" s="14"/>
      <c r="M224" s="14"/>
      <c r="N224" s="14"/>
      <c r="O224" s="14"/>
      <c r="P224" s="14"/>
      <c r="Q224" s="14"/>
      <c r="R224" s="14"/>
    </row>
    <row r="225" spans="1:18" ht="27" customHeight="1">
      <c r="A225" s="13"/>
      <c r="B225" s="6"/>
      <c r="C225" s="6"/>
      <c r="D225" s="8"/>
      <c r="E225" s="6"/>
      <c r="F225" s="8"/>
      <c r="G225" s="6"/>
      <c r="H225" s="14"/>
      <c r="I225" s="14"/>
      <c r="J225" s="14"/>
      <c r="K225" s="14"/>
      <c r="L225" s="14"/>
      <c r="M225" s="14"/>
      <c r="N225" s="14"/>
      <c r="O225" s="14"/>
      <c r="P225" s="14"/>
      <c r="Q225" s="14"/>
      <c r="R225" s="14"/>
    </row>
    <row r="226" spans="1:18" ht="27" customHeight="1">
      <c r="A226" s="13"/>
      <c r="B226" s="6"/>
      <c r="C226" s="6"/>
      <c r="D226" s="8"/>
      <c r="E226" s="6"/>
      <c r="F226" s="8"/>
      <c r="G226" s="6"/>
      <c r="H226" s="14"/>
      <c r="I226" s="14"/>
      <c r="J226" s="14"/>
      <c r="K226" s="14"/>
      <c r="L226" s="14"/>
      <c r="M226" s="14"/>
      <c r="N226" s="14"/>
      <c r="O226" s="14"/>
      <c r="P226" s="14"/>
      <c r="Q226" s="14"/>
      <c r="R226" s="14"/>
    </row>
    <row r="227" spans="1:18" ht="27" customHeight="1">
      <c r="A227" s="13"/>
      <c r="B227" s="6"/>
      <c r="C227" s="6"/>
      <c r="D227" s="8"/>
      <c r="E227" s="6"/>
      <c r="F227" s="8"/>
      <c r="G227" s="6"/>
      <c r="H227" s="14"/>
      <c r="I227" s="14"/>
      <c r="J227" s="14"/>
      <c r="K227" s="14"/>
      <c r="L227" s="14"/>
      <c r="M227" s="14"/>
      <c r="N227" s="14"/>
      <c r="O227" s="14"/>
      <c r="P227" s="14"/>
      <c r="Q227" s="14"/>
      <c r="R227" s="14"/>
    </row>
    <row r="228" spans="1:18" ht="27" customHeight="1">
      <c r="A228" s="13"/>
      <c r="B228" s="6"/>
      <c r="C228" s="6"/>
      <c r="D228" s="8"/>
      <c r="E228" s="6"/>
      <c r="F228" s="8"/>
      <c r="G228" s="6"/>
      <c r="H228" s="14"/>
      <c r="I228" s="14"/>
      <c r="J228" s="14"/>
      <c r="K228" s="14"/>
      <c r="L228" s="14"/>
      <c r="M228" s="14"/>
      <c r="N228" s="14"/>
      <c r="O228" s="14"/>
      <c r="P228" s="14"/>
      <c r="Q228" s="14"/>
      <c r="R228" s="14"/>
    </row>
    <row r="229" spans="1:18" ht="27" customHeight="1">
      <c r="A229" s="13"/>
      <c r="B229" s="6"/>
      <c r="C229" s="6"/>
      <c r="D229" s="8"/>
      <c r="E229" s="6"/>
      <c r="F229" s="8"/>
      <c r="G229" s="6"/>
      <c r="H229" s="14"/>
      <c r="I229" s="14"/>
      <c r="J229" s="14"/>
      <c r="K229" s="14"/>
      <c r="L229" s="14"/>
      <c r="M229" s="14"/>
      <c r="N229" s="14"/>
      <c r="O229" s="14"/>
      <c r="P229" s="14"/>
      <c r="Q229" s="14"/>
      <c r="R229" s="14"/>
    </row>
    <row r="230" spans="1:18" ht="27" customHeight="1">
      <c r="A230" s="13"/>
      <c r="B230" s="6"/>
      <c r="C230" s="6"/>
      <c r="D230" s="8"/>
      <c r="E230" s="6"/>
      <c r="F230" s="8"/>
      <c r="G230" s="6"/>
      <c r="H230" s="14"/>
      <c r="I230" s="14"/>
      <c r="J230" s="14"/>
      <c r="K230" s="14"/>
      <c r="L230" s="14"/>
      <c r="M230" s="14"/>
      <c r="N230" s="14"/>
      <c r="O230" s="14"/>
      <c r="P230" s="14"/>
      <c r="Q230" s="14"/>
      <c r="R230" s="14"/>
    </row>
    <row r="231" spans="1:18" ht="27" customHeight="1">
      <c r="A231" s="13"/>
      <c r="B231" s="6"/>
      <c r="C231" s="6"/>
      <c r="D231" s="8"/>
      <c r="E231" s="6"/>
      <c r="F231" s="8"/>
      <c r="G231" s="6"/>
      <c r="H231" s="14"/>
      <c r="I231" s="14"/>
      <c r="J231" s="14"/>
      <c r="K231" s="14"/>
      <c r="L231" s="14"/>
      <c r="M231" s="14"/>
      <c r="N231" s="14"/>
      <c r="O231" s="14"/>
      <c r="P231" s="14"/>
      <c r="Q231" s="14"/>
      <c r="R231" s="14"/>
    </row>
    <row r="232" spans="1:18" ht="27" customHeight="1">
      <c r="A232" s="13"/>
      <c r="B232" s="6"/>
      <c r="C232" s="6"/>
      <c r="D232" s="8"/>
      <c r="E232" s="6"/>
      <c r="F232" s="8"/>
      <c r="G232" s="6"/>
      <c r="H232" s="14"/>
      <c r="I232" s="14"/>
      <c r="J232" s="14"/>
      <c r="K232" s="14"/>
      <c r="L232" s="14"/>
      <c r="M232" s="14"/>
      <c r="N232" s="14"/>
      <c r="O232" s="14"/>
      <c r="P232" s="14"/>
      <c r="Q232" s="14"/>
      <c r="R232" s="14"/>
    </row>
    <row r="233" spans="1:18" ht="27" customHeight="1">
      <c r="A233" s="13"/>
      <c r="B233" s="6"/>
      <c r="C233" s="6"/>
      <c r="D233" s="8"/>
      <c r="E233" s="6"/>
      <c r="F233" s="8"/>
      <c r="G233" s="6"/>
      <c r="H233" s="14"/>
      <c r="I233" s="14"/>
      <c r="J233" s="14"/>
      <c r="K233" s="14"/>
      <c r="L233" s="14"/>
      <c r="M233" s="14"/>
      <c r="N233" s="14"/>
      <c r="O233" s="14"/>
      <c r="P233" s="14"/>
      <c r="Q233" s="14"/>
      <c r="R233" s="14"/>
    </row>
    <row r="234" spans="1:18" ht="27" customHeight="1">
      <c r="A234" s="13"/>
      <c r="B234" s="6"/>
      <c r="C234" s="6"/>
      <c r="D234" s="8"/>
      <c r="E234" s="6"/>
      <c r="F234" s="8"/>
      <c r="G234" s="6"/>
      <c r="H234" s="14"/>
      <c r="I234" s="14"/>
      <c r="J234" s="14"/>
      <c r="K234" s="14"/>
      <c r="L234" s="14"/>
      <c r="M234" s="14"/>
      <c r="N234" s="14"/>
      <c r="O234" s="14"/>
      <c r="P234" s="14"/>
      <c r="Q234" s="14"/>
      <c r="R234" s="14"/>
    </row>
    <row r="235" spans="1:18" ht="27" customHeight="1">
      <c r="A235" s="13"/>
      <c r="B235" s="6"/>
      <c r="C235" s="6"/>
      <c r="D235" s="8"/>
      <c r="E235" s="6"/>
      <c r="F235" s="8"/>
      <c r="G235" s="6"/>
      <c r="H235" s="14"/>
      <c r="I235" s="14"/>
      <c r="J235" s="14"/>
      <c r="K235" s="14"/>
      <c r="L235" s="14"/>
      <c r="M235" s="14"/>
      <c r="N235" s="14"/>
      <c r="O235" s="14"/>
      <c r="P235" s="14"/>
      <c r="Q235" s="14"/>
      <c r="R235" s="14"/>
    </row>
    <row r="236" spans="1:18" ht="27" customHeight="1">
      <c r="A236" s="13"/>
      <c r="B236" s="6"/>
      <c r="C236" s="6"/>
      <c r="D236" s="8"/>
      <c r="E236" s="6"/>
      <c r="F236" s="8"/>
      <c r="G236" s="6"/>
      <c r="H236" s="14"/>
      <c r="I236" s="14"/>
      <c r="J236" s="14"/>
      <c r="K236" s="14"/>
      <c r="L236" s="14"/>
      <c r="M236" s="14"/>
      <c r="N236" s="14"/>
      <c r="O236" s="14"/>
      <c r="P236" s="14"/>
      <c r="Q236" s="14"/>
      <c r="R236" s="14"/>
    </row>
    <row r="237" spans="1:18" ht="27" customHeight="1">
      <c r="A237" s="13"/>
      <c r="B237" s="6"/>
      <c r="C237" s="6"/>
      <c r="D237" s="8"/>
      <c r="E237" s="6"/>
      <c r="F237" s="8"/>
      <c r="G237" s="6"/>
      <c r="H237" s="14"/>
      <c r="I237" s="14"/>
      <c r="J237" s="14"/>
      <c r="K237" s="14"/>
      <c r="L237" s="14"/>
      <c r="M237" s="14"/>
      <c r="N237" s="14"/>
      <c r="O237" s="14"/>
      <c r="P237" s="14"/>
      <c r="Q237" s="14"/>
      <c r="R237" s="14"/>
    </row>
    <row r="238" spans="1:18" ht="27" customHeight="1">
      <c r="A238" s="13"/>
      <c r="B238" s="6"/>
      <c r="C238" s="6"/>
      <c r="D238" s="8"/>
      <c r="E238" s="6"/>
      <c r="F238" s="8"/>
      <c r="G238" s="6"/>
      <c r="H238" s="14"/>
      <c r="I238" s="14"/>
      <c r="J238" s="14"/>
      <c r="K238" s="14"/>
      <c r="L238" s="14"/>
      <c r="M238" s="14"/>
      <c r="N238" s="14"/>
      <c r="O238" s="14"/>
      <c r="P238" s="14"/>
      <c r="Q238" s="14"/>
      <c r="R238" s="14"/>
    </row>
    <row r="239" spans="1:18" ht="27" customHeight="1">
      <c r="A239" s="13"/>
      <c r="B239" s="6"/>
      <c r="C239" s="6"/>
      <c r="D239" s="8"/>
      <c r="E239" s="6"/>
      <c r="F239" s="8"/>
      <c r="G239" s="6"/>
      <c r="H239" s="14"/>
      <c r="I239" s="14"/>
      <c r="J239" s="14"/>
      <c r="K239" s="14"/>
      <c r="L239" s="14"/>
      <c r="M239" s="14"/>
      <c r="N239" s="14"/>
      <c r="O239" s="14"/>
      <c r="P239" s="14"/>
      <c r="Q239" s="14"/>
      <c r="R239" s="14"/>
    </row>
    <row r="240" spans="1:18" ht="27" customHeight="1">
      <c r="A240" s="13"/>
      <c r="B240" s="6"/>
      <c r="C240" s="6"/>
      <c r="D240" s="8"/>
      <c r="E240" s="6"/>
      <c r="F240" s="8"/>
      <c r="G240" s="6"/>
      <c r="H240" s="14"/>
      <c r="I240" s="14"/>
      <c r="J240" s="14"/>
      <c r="K240" s="14"/>
      <c r="L240" s="14"/>
      <c r="M240" s="14"/>
      <c r="N240" s="14"/>
      <c r="O240" s="14"/>
      <c r="P240" s="14"/>
      <c r="Q240" s="14"/>
      <c r="R240" s="14"/>
    </row>
    <row r="241" spans="1:18" ht="27" customHeight="1">
      <c r="A241" s="13"/>
      <c r="B241" s="6"/>
      <c r="C241" s="6"/>
      <c r="D241" s="8"/>
      <c r="E241" s="6"/>
      <c r="F241" s="8"/>
      <c r="G241" s="6"/>
      <c r="H241" s="14"/>
      <c r="I241" s="14"/>
      <c r="J241" s="14"/>
      <c r="K241" s="14"/>
      <c r="L241" s="14"/>
      <c r="M241" s="14"/>
      <c r="N241" s="14"/>
      <c r="O241" s="14"/>
      <c r="P241" s="14"/>
      <c r="Q241" s="14"/>
      <c r="R241" s="14"/>
    </row>
    <row r="242" spans="1:18" ht="27" customHeight="1">
      <c r="A242" s="13"/>
      <c r="B242" s="6"/>
      <c r="C242" s="6"/>
      <c r="D242" s="8"/>
      <c r="E242" s="6"/>
      <c r="F242" s="8"/>
      <c r="G242" s="6"/>
      <c r="H242" s="14"/>
      <c r="I242" s="14"/>
      <c r="J242" s="14"/>
      <c r="K242" s="14"/>
      <c r="L242" s="14"/>
      <c r="M242" s="14"/>
      <c r="N242" s="14"/>
      <c r="O242" s="14"/>
      <c r="P242" s="14"/>
      <c r="Q242" s="14"/>
      <c r="R242" s="14"/>
    </row>
    <row r="243" spans="1:18" ht="27" customHeight="1">
      <c r="A243" s="13"/>
      <c r="B243" s="6"/>
      <c r="C243" s="6"/>
      <c r="D243" s="8"/>
      <c r="E243" s="6"/>
      <c r="F243" s="8"/>
      <c r="G243" s="6"/>
      <c r="H243" s="14"/>
      <c r="I243" s="14"/>
      <c r="J243" s="14"/>
      <c r="K243" s="14"/>
      <c r="L243" s="14"/>
      <c r="M243" s="14"/>
      <c r="N243" s="14"/>
      <c r="O243" s="14"/>
      <c r="P243" s="14"/>
      <c r="Q243" s="14"/>
      <c r="R243" s="14"/>
    </row>
    <row r="244" spans="1:18" ht="27" customHeight="1">
      <c r="A244" s="13"/>
      <c r="B244" s="6"/>
      <c r="C244" s="6"/>
      <c r="D244" s="8"/>
      <c r="E244" s="6"/>
      <c r="F244" s="8"/>
      <c r="G244" s="6"/>
      <c r="H244" s="14"/>
      <c r="I244" s="14"/>
      <c r="J244" s="14"/>
      <c r="K244" s="14"/>
      <c r="L244" s="14"/>
      <c r="M244" s="14"/>
      <c r="N244" s="14"/>
      <c r="O244" s="14"/>
      <c r="P244" s="14"/>
      <c r="Q244" s="14"/>
      <c r="R244" s="14"/>
    </row>
    <row r="245" spans="1:18" ht="27" customHeight="1">
      <c r="A245" s="13"/>
      <c r="B245" s="6"/>
      <c r="C245" s="6"/>
      <c r="D245" s="8"/>
      <c r="E245" s="6"/>
      <c r="F245" s="8"/>
      <c r="G245" s="6"/>
      <c r="H245" s="14"/>
      <c r="I245" s="14"/>
      <c r="J245" s="14"/>
      <c r="K245" s="14"/>
      <c r="L245" s="14"/>
      <c r="M245" s="14"/>
      <c r="N245" s="14"/>
      <c r="O245" s="14"/>
      <c r="P245" s="14"/>
      <c r="Q245" s="14"/>
      <c r="R245" s="14"/>
    </row>
    <row r="246" spans="1:18" ht="27" customHeight="1">
      <c r="A246" s="13"/>
      <c r="B246" s="6"/>
      <c r="C246" s="6"/>
      <c r="D246" s="8"/>
      <c r="E246" s="6"/>
      <c r="F246" s="8"/>
      <c r="G246" s="6"/>
      <c r="H246" s="14"/>
      <c r="I246" s="14"/>
      <c r="J246" s="14"/>
      <c r="K246" s="14"/>
      <c r="L246" s="14"/>
      <c r="M246" s="14"/>
      <c r="N246" s="14"/>
      <c r="O246" s="14"/>
      <c r="P246" s="14"/>
      <c r="Q246" s="14"/>
      <c r="R246" s="14"/>
    </row>
    <row r="247" spans="1:18" ht="27" customHeight="1">
      <c r="A247" s="13"/>
      <c r="B247" s="6"/>
      <c r="C247" s="6"/>
      <c r="D247" s="8"/>
      <c r="E247" s="6"/>
      <c r="F247" s="8"/>
      <c r="G247" s="6"/>
      <c r="H247" s="14"/>
      <c r="I247" s="14"/>
      <c r="J247" s="14"/>
      <c r="K247" s="14"/>
      <c r="L247" s="14"/>
      <c r="M247" s="14"/>
      <c r="N247" s="14"/>
      <c r="O247" s="14"/>
      <c r="P247" s="14"/>
      <c r="Q247" s="14"/>
      <c r="R247" s="14"/>
    </row>
    <row r="248" spans="1:18" ht="27" customHeight="1">
      <c r="A248" s="13"/>
      <c r="B248" s="6"/>
      <c r="C248" s="6"/>
      <c r="D248" s="8"/>
      <c r="E248" s="6"/>
      <c r="F248" s="8"/>
      <c r="G248" s="6"/>
      <c r="H248" s="14"/>
      <c r="I248" s="14"/>
      <c r="J248" s="14"/>
      <c r="K248" s="14"/>
      <c r="L248" s="14"/>
      <c r="M248" s="14"/>
      <c r="N248" s="14"/>
      <c r="O248" s="14"/>
      <c r="P248" s="14"/>
      <c r="Q248" s="14"/>
      <c r="R248" s="14"/>
    </row>
    <row r="249" spans="1:18" ht="27" customHeight="1">
      <c r="A249" s="13"/>
      <c r="B249" s="6"/>
      <c r="C249" s="6"/>
      <c r="D249" s="8"/>
      <c r="E249" s="6"/>
      <c r="F249" s="8"/>
      <c r="G249" s="6"/>
      <c r="H249" s="14"/>
      <c r="I249" s="14"/>
      <c r="J249" s="14"/>
      <c r="K249" s="14"/>
      <c r="L249" s="14"/>
      <c r="M249" s="14"/>
      <c r="N249" s="14"/>
      <c r="O249" s="14"/>
      <c r="P249" s="14"/>
      <c r="Q249" s="14"/>
      <c r="R249" s="14"/>
    </row>
    <row r="250" spans="1:18" ht="27" customHeight="1">
      <c r="A250" s="13"/>
      <c r="B250" s="6"/>
      <c r="C250" s="6"/>
      <c r="D250" s="8"/>
      <c r="E250" s="6"/>
      <c r="F250" s="8"/>
      <c r="G250" s="6"/>
      <c r="H250" s="14"/>
      <c r="I250" s="14"/>
      <c r="J250" s="14"/>
      <c r="K250" s="14"/>
      <c r="L250" s="14"/>
      <c r="M250" s="14"/>
      <c r="N250" s="14"/>
      <c r="O250" s="14"/>
      <c r="P250" s="14"/>
      <c r="Q250" s="14"/>
      <c r="R250" s="14"/>
    </row>
    <row r="251" spans="1:18" ht="27" customHeight="1">
      <c r="A251" s="13"/>
      <c r="B251" s="6"/>
      <c r="C251" s="6"/>
      <c r="D251" s="8"/>
      <c r="E251" s="6"/>
      <c r="F251" s="8"/>
      <c r="G251" s="6"/>
      <c r="H251" s="14"/>
      <c r="I251" s="14"/>
      <c r="J251" s="14"/>
      <c r="K251" s="14"/>
      <c r="L251" s="14"/>
      <c r="M251" s="14"/>
      <c r="N251" s="14"/>
      <c r="O251" s="14"/>
      <c r="P251" s="14"/>
      <c r="Q251" s="14"/>
      <c r="R251" s="14"/>
    </row>
    <row r="252" spans="1:18" ht="27" customHeight="1">
      <c r="A252" s="13"/>
      <c r="B252" s="6"/>
      <c r="C252" s="6"/>
      <c r="D252" s="8"/>
      <c r="E252" s="6"/>
      <c r="F252" s="8"/>
      <c r="G252" s="6"/>
      <c r="H252" s="14"/>
      <c r="I252" s="14"/>
      <c r="J252" s="14"/>
      <c r="K252" s="14"/>
      <c r="L252" s="14"/>
      <c r="M252" s="14"/>
      <c r="N252" s="14"/>
      <c r="O252" s="14"/>
      <c r="P252" s="14"/>
      <c r="Q252" s="14"/>
      <c r="R252" s="14"/>
    </row>
    <row r="253" spans="1:18" ht="27" customHeight="1">
      <c r="A253" s="13"/>
      <c r="B253" s="6"/>
      <c r="C253" s="6"/>
      <c r="D253" s="8"/>
      <c r="E253" s="6"/>
      <c r="F253" s="8"/>
      <c r="G253" s="6"/>
      <c r="H253" s="14"/>
      <c r="I253" s="14"/>
      <c r="J253" s="14"/>
      <c r="K253" s="14"/>
      <c r="L253" s="14"/>
      <c r="M253" s="14"/>
      <c r="N253" s="14"/>
      <c r="O253" s="14"/>
      <c r="P253" s="14"/>
      <c r="Q253" s="14"/>
      <c r="R253" s="14"/>
    </row>
    <row r="254" spans="1:18" ht="27" customHeight="1">
      <c r="A254" s="13"/>
      <c r="B254" s="6"/>
      <c r="C254" s="6"/>
      <c r="D254" s="8"/>
      <c r="E254" s="6"/>
      <c r="F254" s="8"/>
      <c r="G254" s="6"/>
      <c r="H254" s="14"/>
      <c r="I254" s="14"/>
      <c r="J254" s="14"/>
      <c r="K254" s="14"/>
      <c r="L254" s="14"/>
      <c r="M254" s="14"/>
      <c r="N254" s="14"/>
      <c r="O254" s="14"/>
      <c r="P254" s="14"/>
      <c r="Q254" s="14"/>
      <c r="R254" s="14"/>
    </row>
    <row r="255" spans="1:18" ht="27" customHeight="1">
      <c r="A255" s="13"/>
      <c r="B255" s="6"/>
      <c r="C255" s="6"/>
      <c r="D255" s="8"/>
      <c r="E255" s="6"/>
      <c r="F255" s="8"/>
      <c r="G255" s="6"/>
      <c r="H255" s="14"/>
      <c r="I255" s="14"/>
      <c r="J255" s="14"/>
      <c r="K255" s="14"/>
      <c r="L255" s="14"/>
      <c r="M255" s="14"/>
      <c r="N255" s="14"/>
      <c r="O255" s="14"/>
      <c r="P255" s="14"/>
      <c r="Q255" s="14"/>
      <c r="R255" s="14"/>
    </row>
    <row r="256" spans="1:18" ht="27" customHeight="1">
      <c r="A256" s="13"/>
      <c r="B256" s="6"/>
      <c r="C256" s="6"/>
      <c r="D256" s="8"/>
      <c r="E256" s="6"/>
      <c r="F256" s="8"/>
      <c r="G256" s="6"/>
      <c r="H256" s="14"/>
      <c r="I256" s="14"/>
      <c r="J256" s="14"/>
      <c r="K256" s="14"/>
      <c r="L256" s="14"/>
      <c r="M256" s="14"/>
      <c r="N256" s="14"/>
      <c r="O256" s="14"/>
      <c r="P256" s="14"/>
      <c r="Q256" s="14"/>
      <c r="R256" s="14"/>
    </row>
    <row r="257" spans="1:18" ht="27" customHeight="1">
      <c r="A257" s="13"/>
      <c r="B257" s="6"/>
      <c r="C257" s="6"/>
      <c r="D257" s="8"/>
      <c r="E257" s="6"/>
      <c r="F257" s="8"/>
      <c r="G257" s="6"/>
      <c r="H257" s="14"/>
      <c r="I257" s="14"/>
      <c r="J257" s="14"/>
      <c r="K257" s="14"/>
      <c r="L257" s="14"/>
      <c r="M257" s="14"/>
      <c r="N257" s="14"/>
      <c r="O257" s="14"/>
      <c r="P257" s="14"/>
      <c r="Q257" s="14"/>
      <c r="R257" s="14"/>
    </row>
    <row r="258" spans="1:18" ht="27" customHeight="1">
      <c r="A258" s="13"/>
      <c r="B258" s="6"/>
      <c r="C258" s="6"/>
      <c r="D258" s="8"/>
      <c r="E258" s="6"/>
      <c r="F258" s="8"/>
      <c r="G258" s="6"/>
      <c r="H258" s="14"/>
      <c r="I258" s="14"/>
      <c r="J258" s="14"/>
      <c r="K258" s="14"/>
      <c r="L258" s="14"/>
      <c r="M258" s="14"/>
      <c r="N258" s="14"/>
      <c r="O258" s="14"/>
      <c r="P258" s="14"/>
      <c r="Q258" s="14"/>
      <c r="R258" s="14"/>
    </row>
    <row r="259" spans="1:18" ht="27" customHeight="1">
      <c r="A259" s="13"/>
      <c r="B259" s="6"/>
      <c r="C259" s="6"/>
      <c r="D259" s="8"/>
      <c r="E259" s="6"/>
      <c r="F259" s="8"/>
      <c r="G259" s="6"/>
      <c r="H259" s="14"/>
      <c r="I259" s="14"/>
      <c r="J259" s="14"/>
      <c r="K259" s="14"/>
      <c r="L259" s="14"/>
      <c r="M259" s="14"/>
      <c r="N259" s="14"/>
      <c r="O259" s="14"/>
      <c r="P259" s="14"/>
      <c r="Q259" s="14"/>
      <c r="R259" s="14"/>
    </row>
    <row r="260" spans="1:18" ht="27" customHeight="1">
      <c r="A260" s="13"/>
      <c r="B260" s="6"/>
      <c r="C260" s="6"/>
      <c r="D260" s="8"/>
      <c r="E260" s="6"/>
      <c r="F260" s="8"/>
      <c r="G260" s="6"/>
      <c r="H260" s="14"/>
      <c r="I260" s="14"/>
      <c r="J260" s="14"/>
      <c r="K260" s="14"/>
      <c r="L260" s="14"/>
      <c r="M260" s="14"/>
      <c r="N260" s="14"/>
      <c r="O260" s="14"/>
      <c r="P260" s="14"/>
      <c r="Q260" s="14"/>
      <c r="R260" s="14"/>
    </row>
    <row r="261" spans="1:18" ht="27" customHeight="1">
      <c r="A261" s="13"/>
      <c r="B261" s="6"/>
      <c r="C261" s="6"/>
      <c r="D261" s="8"/>
      <c r="E261" s="6"/>
      <c r="F261" s="8"/>
      <c r="G261" s="6"/>
      <c r="H261" s="14"/>
      <c r="I261" s="14"/>
      <c r="J261" s="14"/>
      <c r="K261" s="14"/>
      <c r="L261" s="14"/>
      <c r="M261" s="14"/>
      <c r="N261" s="14"/>
      <c r="O261" s="14"/>
      <c r="P261" s="14"/>
      <c r="Q261" s="14"/>
      <c r="R261" s="14"/>
    </row>
    <row r="262" spans="1:18" ht="27" customHeight="1">
      <c r="A262" s="13"/>
      <c r="B262" s="6"/>
      <c r="C262" s="6"/>
      <c r="D262" s="8"/>
      <c r="E262" s="6"/>
      <c r="F262" s="8"/>
      <c r="G262" s="6"/>
      <c r="H262" s="14"/>
      <c r="I262" s="14"/>
      <c r="J262" s="14"/>
      <c r="K262" s="14"/>
      <c r="L262" s="14"/>
      <c r="M262" s="14"/>
      <c r="N262" s="14"/>
      <c r="O262" s="14"/>
      <c r="P262" s="14"/>
      <c r="Q262" s="14"/>
      <c r="R262" s="14"/>
    </row>
    <row r="263" spans="1:18" ht="27" customHeight="1">
      <c r="A263" s="13"/>
      <c r="B263" s="6"/>
      <c r="C263" s="6"/>
      <c r="D263" s="8"/>
      <c r="E263" s="6"/>
      <c r="F263" s="8"/>
      <c r="G263" s="6"/>
      <c r="H263" s="14"/>
      <c r="I263" s="14"/>
      <c r="J263" s="14"/>
      <c r="K263" s="14"/>
      <c r="L263" s="14"/>
      <c r="M263" s="14"/>
      <c r="N263" s="14"/>
      <c r="O263" s="14"/>
      <c r="P263" s="14"/>
      <c r="Q263" s="14"/>
      <c r="R263" s="14"/>
    </row>
    <row r="264" spans="1:18" ht="27" customHeight="1">
      <c r="A264" s="13"/>
      <c r="B264" s="6"/>
      <c r="C264" s="6"/>
      <c r="D264" s="8"/>
      <c r="E264" s="6"/>
      <c r="F264" s="8"/>
      <c r="G264" s="6"/>
      <c r="H264" s="14"/>
      <c r="I264" s="14"/>
      <c r="J264" s="14"/>
      <c r="K264" s="14"/>
      <c r="L264" s="14"/>
      <c r="M264" s="14"/>
      <c r="N264" s="14"/>
      <c r="O264" s="14"/>
      <c r="P264" s="14"/>
      <c r="Q264" s="14"/>
      <c r="R264" s="14"/>
    </row>
    <row r="265" spans="1:18" ht="27" customHeight="1">
      <c r="A265" s="13"/>
      <c r="B265" s="6"/>
      <c r="C265" s="6"/>
      <c r="D265" s="8"/>
      <c r="E265" s="6"/>
      <c r="F265" s="8"/>
      <c r="G265" s="6"/>
      <c r="H265" s="14"/>
      <c r="I265" s="14"/>
      <c r="J265" s="14"/>
      <c r="K265" s="14"/>
      <c r="L265" s="14"/>
      <c r="M265" s="14"/>
      <c r="N265" s="14"/>
      <c r="O265" s="14"/>
      <c r="P265" s="14"/>
      <c r="Q265" s="14"/>
      <c r="R265" s="14"/>
    </row>
    <row r="266" spans="1:18" ht="27" customHeight="1">
      <c r="A266" s="13"/>
      <c r="B266" s="6"/>
      <c r="C266" s="6"/>
      <c r="D266" s="8"/>
      <c r="E266" s="6"/>
      <c r="F266" s="8"/>
      <c r="G266" s="6"/>
      <c r="H266" s="14"/>
      <c r="I266" s="14"/>
      <c r="J266" s="14"/>
      <c r="K266" s="14"/>
      <c r="L266" s="14"/>
      <c r="M266" s="14"/>
      <c r="N266" s="14"/>
      <c r="O266" s="14"/>
      <c r="P266" s="14"/>
      <c r="Q266" s="14"/>
      <c r="R266" s="14"/>
    </row>
    <row r="267" spans="1:18" ht="27" customHeight="1">
      <c r="A267" s="13"/>
      <c r="B267" s="6"/>
      <c r="C267" s="6"/>
      <c r="D267" s="8"/>
      <c r="E267" s="6"/>
      <c r="F267" s="8"/>
      <c r="G267" s="6"/>
      <c r="H267" s="14"/>
      <c r="I267" s="14"/>
      <c r="J267" s="14"/>
      <c r="K267" s="14"/>
      <c r="L267" s="14"/>
      <c r="M267" s="14"/>
      <c r="N267" s="14"/>
      <c r="O267" s="14"/>
      <c r="P267" s="14"/>
      <c r="Q267" s="14"/>
      <c r="R267" s="14"/>
    </row>
    <row r="268" spans="1:18" ht="27" customHeight="1">
      <c r="A268" s="13"/>
      <c r="B268" s="6"/>
      <c r="C268" s="6"/>
      <c r="D268" s="8"/>
      <c r="E268" s="6"/>
      <c r="F268" s="8"/>
      <c r="G268" s="6"/>
      <c r="H268" s="14"/>
      <c r="I268" s="14"/>
      <c r="J268" s="14"/>
      <c r="K268" s="14"/>
      <c r="L268" s="14"/>
      <c r="M268" s="14"/>
      <c r="N268" s="14"/>
      <c r="O268" s="14"/>
      <c r="P268" s="14"/>
      <c r="Q268" s="14"/>
      <c r="R268" s="14"/>
    </row>
    <row r="269" spans="1:18" ht="27" customHeight="1">
      <c r="A269" s="13"/>
      <c r="B269" s="6"/>
      <c r="C269" s="6"/>
      <c r="D269" s="8"/>
      <c r="E269" s="6"/>
      <c r="F269" s="8"/>
      <c r="G269" s="6"/>
      <c r="H269" s="14"/>
      <c r="I269" s="14"/>
      <c r="J269" s="14"/>
      <c r="K269" s="14"/>
      <c r="L269" s="14"/>
      <c r="M269" s="14"/>
      <c r="N269" s="14"/>
      <c r="O269" s="14"/>
      <c r="P269" s="14"/>
      <c r="Q269" s="14"/>
      <c r="R269" s="14"/>
    </row>
    <row r="270" spans="1:18" ht="27" customHeight="1">
      <c r="A270" s="13"/>
      <c r="B270" s="6"/>
      <c r="C270" s="6"/>
      <c r="D270" s="8"/>
      <c r="E270" s="6"/>
      <c r="F270" s="8"/>
      <c r="G270" s="6"/>
      <c r="H270" s="14"/>
      <c r="I270" s="14"/>
      <c r="J270" s="14"/>
      <c r="K270" s="14"/>
      <c r="L270" s="14"/>
      <c r="M270" s="14"/>
      <c r="N270" s="14"/>
      <c r="O270" s="14"/>
      <c r="P270" s="14"/>
      <c r="Q270" s="14"/>
      <c r="R270" s="14"/>
    </row>
    <row r="271" spans="1:18" ht="27" customHeight="1">
      <c r="A271" s="13"/>
      <c r="B271" s="6"/>
      <c r="C271" s="6"/>
      <c r="D271" s="8"/>
      <c r="E271" s="6"/>
      <c r="F271" s="8"/>
      <c r="G271" s="6"/>
      <c r="H271" s="14"/>
      <c r="I271" s="14"/>
      <c r="J271" s="14"/>
      <c r="K271" s="14"/>
      <c r="L271" s="14"/>
      <c r="M271" s="14"/>
      <c r="N271" s="14"/>
      <c r="O271" s="14"/>
      <c r="P271" s="14"/>
      <c r="Q271" s="14"/>
      <c r="R271" s="14"/>
    </row>
    <row r="272" spans="1:18" ht="27" customHeight="1">
      <c r="A272" s="13"/>
      <c r="B272" s="6"/>
      <c r="C272" s="6"/>
      <c r="D272" s="8"/>
      <c r="E272" s="6"/>
      <c r="F272" s="8"/>
      <c r="G272" s="6"/>
      <c r="H272" s="14"/>
      <c r="I272" s="14"/>
      <c r="J272" s="14"/>
      <c r="K272" s="14"/>
      <c r="L272" s="14"/>
      <c r="M272" s="14"/>
      <c r="N272" s="14"/>
      <c r="O272" s="14"/>
      <c r="P272" s="14"/>
      <c r="Q272" s="14"/>
      <c r="R272" s="14"/>
    </row>
    <row r="273" spans="1:18" ht="27" customHeight="1">
      <c r="A273" s="13"/>
      <c r="B273" s="6"/>
      <c r="C273" s="6"/>
      <c r="D273" s="8"/>
      <c r="E273" s="6"/>
      <c r="F273" s="8"/>
      <c r="G273" s="6"/>
      <c r="H273" s="14"/>
      <c r="I273" s="14"/>
      <c r="J273" s="14"/>
      <c r="K273" s="14"/>
      <c r="L273" s="14"/>
      <c r="M273" s="14"/>
      <c r="N273" s="14"/>
      <c r="O273" s="14"/>
      <c r="P273" s="14"/>
      <c r="Q273" s="14"/>
      <c r="R273" s="14"/>
    </row>
    <row r="274" spans="1:18" ht="27" customHeight="1">
      <c r="A274" s="13"/>
      <c r="B274" s="6"/>
      <c r="C274" s="6"/>
      <c r="D274" s="8"/>
      <c r="E274" s="6"/>
      <c r="F274" s="8"/>
      <c r="G274" s="6"/>
      <c r="H274" s="14"/>
      <c r="I274" s="14"/>
      <c r="J274" s="14"/>
      <c r="K274" s="14"/>
      <c r="L274" s="14"/>
      <c r="M274" s="14"/>
      <c r="N274" s="14"/>
      <c r="O274" s="14"/>
      <c r="P274" s="14"/>
      <c r="Q274" s="14"/>
      <c r="R274" s="14"/>
    </row>
    <row r="275" spans="1:18" ht="27" customHeight="1">
      <c r="A275" s="13"/>
      <c r="B275" s="6"/>
      <c r="C275" s="6"/>
      <c r="D275" s="8"/>
      <c r="E275" s="6"/>
      <c r="F275" s="8"/>
      <c r="G275" s="6"/>
      <c r="H275" s="14"/>
      <c r="I275" s="14"/>
      <c r="J275" s="14"/>
      <c r="K275" s="14"/>
      <c r="L275" s="14"/>
      <c r="M275" s="14"/>
      <c r="N275" s="14"/>
      <c r="O275" s="14"/>
      <c r="P275" s="14"/>
      <c r="Q275" s="14"/>
      <c r="R275" s="14"/>
    </row>
    <row r="276" spans="1:18" ht="27" customHeight="1">
      <c r="A276" s="13"/>
      <c r="B276" s="6"/>
      <c r="C276" s="6"/>
      <c r="D276" s="8"/>
      <c r="E276" s="6"/>
      <c r="F276" s="8"/>
      <c r="G276" s="6"/>
      <c r="H276" s="14"/>
      <c r="I276" s="14"/>
      <c r="J276" s="14"/>
      <c r="K276" s="14"/>
      <c r="L276" s="14"/>
      <c r="M276" s="14"/>
      <c r="N276" s="14"/>
      <c r="O276" s="14"/>
      <c r="P276" s="14"/>
      <c r="Q276" s="14"/>
      <c r="R276" s="14"/>
    </row>
    <row r="277" spans="1:18" ht="27" customHeight="1">
      <c r="A277" s="13"/>
      <c r="B277" s="6"/>
      <c r="C277" s="6"/>
      <c r="D277" s="8"/>
      <c r="E277" s="6"/>
      <c r="F277" s="8"/>
      <c r="G277" s="6"/>
      <c r="H277" s="14"/>
      <c r="I277" s="14"/>
      <c r="J277" s="14"/>
      <c r="K277" s="14"/>
      <c r="L277" s="14"/>
      <c r="M277" s="14"/>
      <c r="N277" s="14"/>
      <c r="O277" s="14"/>
      <c r="P277" s="14"/>
      <c r="Q277" s="14"/>
      <c r="R277" s="14"/>
    </row>
    <row r="278" spans="1:18" ht="27" customHeight="1">
      <c r="A278" s="13"/>
      <c r="B278" s="6"/>
      <c r="C278" s="6"/>
      <c r="D278" s="8"/>
      <c r="E278" s="6"/>
      <c r="F278" s="8"/>
      <c r="G278" s="6"/>
      <c r="H278" s="14"/>
      <c r="I278" s="14"/>
      <c r="J278" s="14"/>
      <c r="K278" s="14"/>
      <c r="L278" s="14"/>
      <c r="M278" s="14"/>
      <c r="N278" s="14"/>
      <c r="O278" s="14"/>
      <c r="P278" s="14"/>
      <c r="Q278" s="14"/>
      <c r="R278" s="14"/>
    </row>
    <row r="279" spans="1:18" ht="27" customHeight="1">
      <c r="A279" s="13"/>
      <c r="B279" s="6"/>
      <c r="C279" s="6"/>
      <c r="D279" s="8"/>
      <c r="E279" s="6"/>
      <c r="F279" s="8"/>
      <c r="G279" s="6"/>
      <c r="H279" s="14"/>
      <c r="I279" s="14"/>
      <c r="J279" s="14"/>
      <c r="K279" s="14"/>
      <c r="L279" s="14"/>
      <c r="M279" s="14"/>
      <c r="N279" s="14"/>
      <c r="O279" s="14"/>
      <c r="P279" s="14"/>
      <c r="Q279" s="14"/>
      <c r="R279" s="14"/>
    </row>
    <row r="280" spans="1:18" ht="27" customHeight="1">
      <c r="A280" s="13"/>
      <c r="B280" s="6"/>
      <c r="C280" s="6"/>
      <c r="D280" s="8"/>
      <c r="E280" s="6"/>
      <c r="F280" s="8"/>
      <c r="G280" s="6"/>
      <c r="H280" s="14"/>
      <c r="I280" s="14"/>
      <c r="J280" s="14"/>
      <c r="K280" s="14"/>
      <c r="L280" s="14"/>
      <c r="M280" s="14"/>
      <c r="N280" s="14"/>
      <c r="O280" s="14"/>
      <c r="P280" s="14"/>
      <c r="Q280" s="14"/>
      <c r="R280" s="14"/>
    </row>
    <row r="281" spans="1:18" ht="27" customHeight="1">
      <c r="A281" s="13"/>
      <c r="B281" s="6"/>
      <c r="C281" s="6"/>
      <c r="D281" s="8"/>
      <c r="E281" s="6"/>
      <c r="F281" s="8"/>
      <c r="G281" s="6"/>
      <c r="H281" s="14"/>
      <c r="I281" s="14"/>
      <c r="J281" s="14"/>
      <c r="K281" s="14"/>
      <c r="L281" s="14"/>
      <c r="M281" s="14"/>
      <c r="N281" s="14"/>
      <c r="O281" s="14"/>
      <c r="P281" s="14"/>
      <c r="Q281" s="14"/>
      <c r="R281" s="14"/>
    </row>
    <row r="282" spans="1:18" ht="27" customHeight="1">
      <c r="A282" s="13"/>
      <c r="B282" s="6"/>
      <c r="C282" s="6"/>
      <c r="D282" s="8"/>
      <c r="E282" s="6"/>
      <c r="F282" s="8"/>
      <c r="G282" s="6"/>
      <c r="H282" s="14"/>
      <c r="I282" s="14"/>
      <c r="J282" s="14"/>
      <c r="K282" s="14"/>
      <c r="L282" s="14"/>
      <c r="M282" s="14"/>
      <c r="N282" s="14"/>
      <c r="O282" s="14"/>
      <c r="P282" s="14"/>
      <c r="Q282" s="14"/>
      <c r="R282" s="14"/>
    </row>
    <row r="283" spans="1:18" ht="27" customHeight="1">
      <c r="A283" s="13"/>
      <c r="B283" s="6"/>
      <c r="C283" s="6"/>
      <c r="D283" s="8"/>
      <c r="E283" s="6"/>
      <c r="F283" s="8"/>
      <c r="G283" s="6"/>
      <c r="H283" s="14"/>
      <c r="I283" s="14"/>
      <c r="J283" s="14"/>
      <c r="K283" s="14"/>
      <c r="L283" s="14"/>
      <c r="M283" s="14"/>
      <c r="N283" s="14"/>
      <c r="O283" s="14"/>
      <c r="P283" s="14"/>
      <c r="Q283" s="14"/>
      <c r="R283" s="14"/>
    </row>
    <row r="284" spans="1:18" ht="27" customHeight="1">
      <c r="A284" s="13"/>
      <c r="B284" s="6"/>
      <c r="C284" s="6"/>
      <c r="D284" s="8"/>
      <c r="E284" s="6"/>
      <c r="F284" s="8"/>
      <c r="G284" s="6"/>
      <c r="H284" s="14"/>
      <c r="I284" s="14"/>
      <c r="J284" s="14"/>
      <c r="K284" s="14"/>
      <c r="L284" s="14"/>
      <c r="M284" s="14"/>
      <c r="N284" s="14"/>
      <c r="O284" s="14"/>
      <c r="P284" s="14"/>
      <c r="Q284" s="14"/>
      <c r="R284" s="14"/>
    </row>
    <row r="285" spans="1:18" ht="27" customHeight="1">
      <c r="A285" s="13"/>
      <c r="B285" s="6"/>
      <c r="C285" s="6"/>
      <c r="D285" s="8"/>
      <c r="E285" s="6"/>
      <c r="F285" s="8"/>
      <c r="G285" s="6"/>
      <c r="H285" s="14"/>
      <c r="I285" s="14"/>
      <c r="J285" s="14"/>
      <c r="K285" s="14"/>
      <c r="L285" s="14"/>
      <c r="M285" s="14"/>
      <c r="N285" s="14"/>
      <c r="O285" s="14"/>
      <c r="P285" s="14"/>
      <c r="Q285" s="14"/>
      <c r="R285" s="14"/>
    </row>
    <row r="286" spans="1:18" ht="27" customHeight="1">
      <c r="A286" s="13"/>
      <c r="B286" s="6"/>
      <c r="C286" s="6"/>
      <c r="D286" s="8"/>
      <c r="E286" s="6"/>
      <c r="F286" s="8"/>
      <c r="G286" s="6"/>
      <c r="H286" s="14"/>
      <c r="I286" s="14"/>
      <c r="J286" s="14"/>
      <c r="K286" s="14"/>
      <c r="L286" s="14"/>
      <c r="M286" s="14"/>
      <c r="N286" s="14"/>
      <c r="O286" s="14"/>
      <c r="P286" s="14"/>
      <c r="Q286" s="14"/>
      <c r="R286" s="14"/>
    </row>
    <row r="287" spans="1:18" ht="27" customHeight="1">
      <c r="A287" s="13"/>
      <c r="B287" s="6"/>
      <c r="C287" s="6"/>
      <c r="D287" s="8"/>
      <c r="E287" s="6"/>
      <c r="F287" s="8"/>
      <c r="G287" s="6"/>
      <c r="H287" s="14"/>
      <c r="I287" s="14"/>
      <c r="J287" s="14"/>
      <c r="K287" s="14"/>
      <c r="L287" s="14"/>
      <c r="M287" s="14"/>
      <c r="N287" s="14"/>
      <c r="O287" s="14"/>
      <c r="P287" s="14"/>
      <c r="Q287" s="14"/>
      <c r="R287" s="14"/>
    </row>
    <row r="288" spans="1:18" ht="27" customHeight="1">
      <c r="A288" s="13"/>
      <c r="B288" s="6"/>
      <c r="C288" s="6"/>
      <c r="D288" s="8"/>
      <c r="E288" s="6"/>
      <c r="F288" s="8"/>
      <c r="G288" s="6"/>
      <c r="H288" s="14"/>
      <c r="I288" s="14"/>
      <c r="J288" s="14"/>
      <c r="K288" s="14"/>
      <c r="L288" s="14"/>
      <c r="M288" s="14"/>
      <c r="N288" s="14"/>
      <c r="O288" s="14"/>
      <c r="P288" s="14"/>
      <c r="Q288" s="14"/>
      <c r="R288" s="14"/>
    </row>
    <row r="289" spans="1:18" ht="27" customHeight="1">
      <c r="A289" s="13"/>
      <c r="B289" s="6"/>
      <c r="C289" s="6"/>
      <c r="D289" s="8"/>
      <c r="E289" s="6"/>
      <c r="F289" s="8"/>
      <c r="G289" s="6"/>
      <c r="H289" s="14"/>
      <c r="I289" s="14"/>
      <c r="J289" s="14"/>
      <c r="K289" s="14"/>
      <c r="L289" s="14"/>
      <c r="M289" s="14"/>
      <c r="N289" s="14"/>
      <c r="O289" s="14"/>
      <c r="P289" s="14"/>
      <c r="Q289" s="14"/>
      <c r="R289" s="14"/>
    </row>
    <row r="290" spans="1:18" ht="27" customHeight="1">
      <c r="A290" s="13"/>
      <c r="B290" s="6"/>
      <c r="C290" s="6"/>
      <c r="D290" s="8"/>
      <c r="E290" s="6"/>
      <c r="F290" s="8"/>
      <c r="G290" s="6"/>
      <c r="H290" s="14"/>
      <c r="I290" s="14"/>
      <c r="J290" s="14"/>
      <c r="K290" s="14"/>
      <c r="L290" s="14"/>
      <c r="M290" s="14"/>
      <c r="N290" s="14"/>
      <c r="O290" s="14"/>
      <c r="P290" s="14"/>
      <c r="Q290" s="14"/>
      <c r="R290" s="14"/>
    </row>
    <row r="291" spans="1:18" ht="27" customHeight="1">
      <c r="A291" s="13"/>
      <c r="B291" s="6"/>
      <c r="C291" s="6"/>
      <c r="D291" s="8"/>
      <c r="E291" s="6"/>
      <c r="F291" s="8"/>
      <c r="G291" s="6"/>
      <c r="H291" s="14"/>
      <c r="I291" s="14"/>
      <c r="J291" s="14"/>
      <c r="K291" s="14"/>
      <c r="L291" s="14"/>
      <c r="M291" s="14"/>
      <c r="N291" s="14"/>
      <c r="O291" s="14"/>
      <c r="P291" s="14"/>
      <c r="Q291" s="14"/>
      <c r="R291" s="14"/>
    </row>
    <row r="292" spans="1:18" ht="27" customHeight="1">
      <c r="A292" s="13"/>
      <c r="B292" s="6"/>
      <c r="C292" s="6"/>
      <c r="D292" s="8"/>
      <c r="E292" s="6"/>
      <c r="F292" s="8"/>
      <c r="G292" s="6"/>
      <c r="H292" s="14"/>
      <c r="I292" s="14"/>
      <c r="J292" s="14"/>
      <c r="K292" s="14"/>
      <c r="L292" s="14"/>
      <c r="M292" s="14"/>
      <c r="N292" s="14"/>
      <c r="O292" s="14"/>
      <c r="P292" s="14"/>
      <c r="Q292" s="14"/>
      <c r="R292" s="14"/>
    </row>
    <row r="293" spans="1:18" ht="27" customHeight="1">
      <c r="A293" s="13"/>
      <c r="B293" s="6"/>
      <c r="C293" s="6"/>
      <c r="D293" s="8"/>
      <c r="E293" s="6"/>
      <c r="F293" s="8"/>
      <c r="G293" s="6"/>
      <c r="H293" s="14"/>
      <c r="I293" s="14"/>
      <c r="J293" s="14"/>
      <c r="K293" s="14"/>
      <c r="L293" s="14"/>
      <c r="M293" s="14"/>
      <c r="N293" s="14"/>
      <c r="O293" s="14"/>
      <c r="P293" s="14"/>
      <c r="Q293" s="14"/>
      <c r="R293" s="14"/>
    </row>
    <row r="294" spans="1:18" ht="27" customHeight="1">
      <c r="A294" s="13"/>
      <c r="B294" s="6"/>
      <c r="C294" s="6"/>
      <c r="D294" s="8"/>
      <c r="E294" s="6"/>
      <c r="F294" s="8"/>
      <c r="G294" s="6"/>
      <c r="H294" s="14"/>
      <c r="I294" s="14"/>
      <c r="J294" s="14"/>
      <c r="K294" s="14"/>
      <c r="L294" s="14"/>
      <c r="M294" s="14"/>
      <c r="N294" s="14"/>
      <c r="O294" s="14"/>
      <c r="P294" s="14"/>
      <c r="Q294" s="14"/>
      <c r="R294" s="14"/>
    </row>
    <row r="295" spans="1:18" ht="27" customHeight="1">
      <c r="A295" s="13"/>
      <c r="B295" s="6"/>
      <c r="C295" s="6"/>
      <c r="D295" s="8"/>
      <c r="E295" s="6"/>
      <c r="F295" s="8"/>
      <c r="G295" s="6"/>
      <c r="H295" s="14"/>
      <c r="I295" s="14"/>
      <c r="J295" s="14"/>
      <c r="K295" s="14"/>
      <c r="L295" s="14"/>
      <c r="M295" s="14"/>
      <c r="N295" s="14"/>
      <c r="O295" s="14"/>
      <c r="P295" s="14"/>
      <c r="Q295" s="14"/>
      <c r="R295" s="14"/>
    </row>
    <row r="296" spans="1:18" ht="27" customHeight="1">
      <c r="A296" s="13"/>
      <c r="B296" s="6"/>
      <c r="C296" s="6"/>
      <c r="D296" s="8"/>
      <c r="E296" s="6"/>
      <c r="F296" s="8"/>
      <c r="G296" s="6"/>
      <c r="H296" s="14"/>
      <c r="I296" s="14"/>
      <c r="J296" s="14"/>
      <c r="K296" s="14"/>
      <c r="L296" s="14"/>
      <c r="M296" s="14"/>
      <c r="N296" s="14"/>
      <c r="O296" s="14"/>
      <c r="P296" s="14"/>
      <c r="Q296" s="14"/>
      <c r="R296" s="14"/>
    </row>
    <row r="297" spans="1:18" ht="27" customHeight="1">
      <c r="A297" s="13"/>
      <c r="B297" s="6"/>
      <c r="C297" s="6"/>
      <c r="D297" s="8"/>
      <c r="E297" s="6"/>
      <c r="F297" s="8"/>
      <c r="G297" s="6"/>
      <c r="H297" s="14"/>
      <c r="I297" s="14"/>
      <c r="J297" s="14"/>
      <c r="K297" s="14"/>
      <c r="L297" s="14"/>
      <c r="M297" s="14"/>
      <c r="N297" s="14"/>
      <c r="O297" s="14"/>
      <c r="P297" s="14"/>
      <c r="Q297" s="14"/>
      <c r="R297" s="14"/>
    </row>
    <row r="298" spans="1:18" ht="27" customHeight="1">
      <c r="A298" s="13"/>
      <c r="B298" s="6"/>
      <c r="C298" s="6"/>
      <c r="D298" s="8"/>
      <c r="E298" s="6"/>
      <c r="F298" s="8"/>
      <c r="G298" s="6"/>
      <c r="H298" s="14"/>
      <c r="I298" s="14"/>
      <c r="J298" s="14"/>
      <c r="K298" s="14"/>
      <c r="L298" s="14"/>
      <c r="M298" s="14"/>
      <c r="N298" s="14"/>
      <c r="O298" s="14"/>
      <c r="P298" s="14"/>
      <c r="Q298" s="14"/>
      <c r="R298" s="14"/>
    </row>
    <row r="299" spans="1:18" ht="27" customHeight="1">
      <c r="A299" s="13"/>
      <c r="B299" s="6"/>
      <c r="C299" s="6"/>
      <c r="D299" s="8"/>
      <c r="E299" s="6"/>
      <c r="F299" s="8"/>
      <c r="G299" s="6"/>
      <c r="H299" s="14"/>
      <c r="I299" s="14"/>
      <c r="J299" s="14"/>
      <c r="K299" s="14"/>
      <c r="L299" s="14"/>
      <c r="M299" s="14"/>
      <c r="N299" s="14"/>
      <c r="O299" s="14"/>
      <c r="P299" s="14"/>
      <c r="Q299" s="14"/>
      <c r="R299" s="14"/>
    </row>
    <row r="300" spans="1:18" ht="27" customHeight="1">
      <c r="A300" s="13"/>
      <c r="B300" s="6"/>
      <c r="C300" s="6"/>
      <c r="D300" s="8"/>
      <c r="E300" s="6"/>
      <c r="F300" s="8"/>
      <c r="G300" s="6"/>
      <c r="H300" s="14"/>
      <c r="I300" s="14"/>
      <c r="J300" s="14"/>
      <c r="K300" s="14"/>
      <c r="L300" s="14"/>
      <c r="M300" s="14"/>
      <c r="N300" s="14"/>
      <c r="O300" s="14"/>
      <c r="P300" s="14"/>
      <c r="Q300" s="14"/>
      <c r="R300" s="14"/>
    </row>
    <row r="301" spans="1:18" ht="27" customHeight="1">
      <c r="A301" s="13"/>
      <c r="B301" s="6"/>
      <c r="C301" s="6"/>
      <c r="D301" s="8"/>
      <c r="E301" s="6"/>
      <c r="F301" s="8"/>
      <c r="G301" s="6"/>
      <c r="H301" s="14"/>
      <c r="I301" s="14"/>
      <c r="J301" s="14"/>
      <c r="K301" s="14"/>
      <c r="L301" s="14"/>
      <c r="M301" s="14"/>
      <c r="N301" s="14"/>
      <c r="O301" s="14"/>
      <c r="P301" s="14"/>
      <c r="Q301" s="14"/>
      <c r="R301" s="14"/>
    </row>
    <row r="302" spans="1:18" ht="27" customHeight="1">
      <c r="A302" s="13"/>
      <c r="B302" s="6"/>
      <c r="C302" s="6"/>
      <c r="D302" s="8"/>
      <c r="E302" s="6"/>
      <c r="F302" s="8"/>
      <c r="G302" s="6"/>
      <c r="H302" s="14"/>
      <c r="I302" s="14"/>
      <c r="J302" s="14"/>
      <c r="K302" s="14"/>
      <c r="L302" s="14"/>
      <c r="M302" s="14"/>
      <c r="N302" s="14"/>
      <c r="O302" s="14"/>
      <c r="P302" s="14"/>
      <c r="Q302" s="14"/>
      <c r="R302" s="14"/>
    </row>
    <row r="303" spans="1:18" ht="27" customHeight="1">
      <c r="A303" s="13"/>
      <c r="B303" s="6"/>
      <c r="C303" s="6"/>
      <c r="D303" s="8"/>
      <c r="E303" s="6"/>
      <c r="F303" s="8"/>
      <c r="G303" s="6"/>
      <c r="H303" s="14"/>
      <c r="I303" s="14"/>
      <c r="J303" s="14"/>
      <c r="K303" s="14"/>
      <c r="L303" s="14"/>
      <c r="M303" s="14"/>
      <c r="N303" s="14"/>
      <c r="O303" s="14"/>
      <c r="P303" s="14"/>
      <c r="Q303" s="14"/>
      <c r="R303" s="14"/>
    </row>
    <row r="304" spans="1:18" ht="27" customHeight="1">
      <c r="A304" s="13"/>
      <c r="B304" s="6"/>
      <c r="C304" s="6"/>
      <c r="D304" s="8"/>
      <c r="E304" s="6"/>
      <c r="F304" s="8"/>
      <c r="G304" s="6"/>
      <c r="H304" s="14"/>
      <c r="I304" s="14"/>
      <c r="J304" s="14"/>
      <c r="K304" s="14"/>
      <c r="L304" s="14"/>
      <c r="M304" s="14"/>
      <c r="N304" s="14"/>
      <c r="O304" s="14"/>
      <c r="P304" s="14"/>
      <c r="Q304" s="14"/>
      <c r="R304" s="14"/>
    </row>
    <row r="305" spans="1:18" ht="27" customHeight="1">
      <c r="A305" s="13"/>
      <c r="B305" s="6"/>
      <c r="C305" s="6"/>
      <c r="D305" s="8"/>
      <c r="E305" s="6"/>
      <c r="F305" s="8"/>
      <c r="G305" s="6"/>
      <c r="H305" s="14"/>
      <c r="I305" s="14"/>
      <c r="J305" s="14"/>
      <c r="K305" s="14"/>
      <c r="L305" s="14"/>
      <c r="M305" s="14"/>
      <c r="N305" s="14"/>
      <c r="O305" s="14"/>
      <c r="P305" s="14"/>
      <c r="Q305" s="14"/>
      <c r="R305" s="14"/>
    </row>
    <row r="306" spans="1:18" ht="27" customHeight="1">
      <c r="A306" s="13"/>
      <c r="B306" s="6"/>
      <c r="C306" s="6"/>
      <c r="D306" s="8"/>
      <c r="E306" s="6"/>
      <c r="F306" s="8"/>
      <c r="G306" s="6"/>
      <c r="H306" s="14"/>
      <c r="I306" s="14"/>
      <c r="J306" s="14"/>
      <c r="K306" s="14"/>
      <c r="L306" s="14"/>
      <c r="M306" s="14"/>
      <c r="N306" s="14"/>
      <c r="O306" s="14"/>
      <c r="P306" s="14"/>
      <c r="Q306" s="14"/>
      <c r="R306" s="14"/>
    </row>
    <row r="307" spans="1:18" ht="27" customHeight="1">
      <c r="A307" s="13"/>
      <c r="B307" s="6"/>
      <c r="C307" s="6"/>
      <c r="D307" s="8"/>
      <c r="E307" s="6"/>
      <c r="F307" s="8"/>
      <c r="G307" s="6"/>
      <c r="H307" s="14"/>
      <c r="I307" s="14"/>
      <c r="J307" s="14"/>
      <c r="K307" s="14"/>
      <c r="L307" s="14"/>
      <c r="M307" s="14"/>
      <c r="N307" s="14"/>
      <c r="O307" s="14"/>
      <c r="P307" s="14"/>
      <c r="Q307" s="14"/>
      <c r="R307" s="14"/>
    </row>
    <row r="308" spans="1:18" ht="27" customHeight="1">
      <c r="A308" s="13"/>
      <c r="B308" s="6"/>
      <c r="C308" s="6"/>
      <c r="D308" s="8"/>
      <c r="E308" s="6"/>
      <c r="F308" s="8"/>
      <c r="G308" s="6"/>
      <c r="H308" s="14"/>
      <c r="I308" s="14"/>
      <c r="J308" s="14"/>
      <c r="K308" s="14"/>
      <c r="L308" s="14"/>
      <c r="M308" s="14"/>
      <c r="N308" s="14"/>
      <c r="O308" s="14"/>
      <c r="P308" s="14"/>
      <c r="Q308" s="14"/>
      <c r="R308" s="14"/>
    </row>
    <row r="309" spans="1:18" ht="27" customHeight="1">
      <c r="A309" s="13"/>
      <c r="B309" s="6"/>
      <c r="C309" s="6"/>
      <c r="D309" s="8"/>
      <c r="E309" s="6"/>
      <c r="F309" s="8"/>
      <c r="G309" s="6"/>
      <c r="H309" s="14"/>
      <c r="I309" s="14"/>
      <c r="J309" s="14"/>
      <c r="K309" s="14"/>
      <c r="L309" s="14"/>
      <c r="M309" s="14"/>
      <c r="N309" s="14"/>
      <c r="O309" s="14"/>
      <c r="P309" s="14"/>
      <c r="Q309" s="14"/>
      <c r="R309" s="14"/>
    </row>
    <row r="310" spans="1:18" ht="27" customHeight="1">
      <c r="A310" s="13"/>
      <c r="B310" s="6"/>
      <c r="C310" s="6"/>
      <c r="D310" s="8"/>
      <c r="E310" s="6"/>
      <c r="F310" s="8"/>
      <c r="G310" s="6"/>
      <c r="H310" s="14"/>
      <c r="I310" s="14"/>
      <c r="J310" s="14"/>
      <c r="K310" s="14"/>
      <c r="L310" s="14"/>
      <c r="M310" s="14"/>
      <c r="N310" s="14"/>
      <c r="O310" s="14"/>
      <c r="P310" s="14"/>
      <c r="Q310" s="14"/>
      <c r="R310" s="14"/>
    </row>
    <row r="311" spans="1:18" ht="27" customHeight="1">
      <c r="A311" s="13"/>
      <c r="B311" s="6"/>
      <c r="C311" s="6"/>
      <c r="D311" s="8"/>
      <c r="E311" s="6"/>
      <c r="F311" s="8"/>
      <c r="G311" s="6"/>
      <c r="H311" s="14"/>
      <c r="I311" s="14"/>
      <c r="J311" s="14"/>
      <c r="K311" s="14"/>
      <c r="L311" s="14"/>
      <c r="M311" s="14"/>
      <c r="N311" s="14"/>
      <c r="O311" s="14"/>
      <c r="P311" s="14"/>
      <c r="Q311" s="14"/>
      <c r="R311" s="14"/>
    </row>
    <row r="312" spans="1:18" ht="27" customHeight="1">
      <c r="A312" s="13"/>
      <c r="B312" s="6"/>
      <c r="C312" s="6"/>
      <c r="D312" s="8"/>
      <c r="E312" s="6"/>
      <c r="F312" s="8"/>
      <c r="G312" s="6"/>
      <c r="H312" s="14"/>
      <c r="I312" s="14"/>
      <c r="J312" s="14"/>
      <c r="K312" s="14"/>
      <c r="L312" s="14"/>
      <c r="M312" s="14"/>
      <c r="N312" s="14"/>
      <c r="O312" s="14"/>
      <c r="P312" s="14"/>
      <c r="Q312" s="14"/>
      <c r="R312" s="14"/>
    </row>
    <row r="313" spans="1:18" ht="27" customHeight="1">
      <c r="A313" s="13"/>
      <c r="B313" s="6"/>
      <c r="C313" s="6"/>
      <c r="D313" s="8"/>
      <c r="E313" s="6"/>
      <c r="F313" s="8"/>
      <c r="G313" s="6"/>
      <c r="H313" s="14"/>
      <c r="I313" s="14"/>
      <c r="J313" s="14"/>
      <c r="K313" s="14"/>
      <c r="L313" s="14"/>
      <c r="M313" s="14"/>
      <c r="N313" s="14"/>
      <c r="O313" s="14"/>
      <c r="P313" s="14"/>
      <c r="Q313" s="14"/>
      <c r="R313" s="14"/>
    </row>
    <row r="314" spans="1:18" ht="27" customHeight="1">
      <c r="A314" s="13"/>
      <c r="B314" s="6"/>
      <c r="C314" s="6"/>
      <c r="D314" s="8"/>
      <c r="E314" s="6"/>
      <c r="F314" s="8"/>
      <c r="G314" s="6"/>
      <c r="H314" s="14"/>
      <c r="I314" s="14"/>
      <c r="J314" s="14"/>
      <c r="K314" s="14"/>
      <c r="L314" s="14"/>
      <c r="M314" s="14"/>
      <c r="N314" s="14"/>
      <c r="O314" s="14"/>
      <c r="P314" s="14"/>
      <c r="Q314" s="14"/>
      <c r="R314" s="14"/>
    </row>
    <row r="315" spans="1:18" ht="27" customHeight="1">
      <c r="A315" s="13"/>
      <c r="B315" s="6"/>
      <c r="C315" s="6"/>
      <c r="D315" s="8"/>
      <c r="E315" s="6"/>
      <c r="F315" s="8"/>
      <c r="G315" s="6"/>
      <c r="H315" s="14"/>
      <c r="I315" s="14"/>
      <c r="J315" s="14"/>
      <c r="K315" s="14"/>
      <c r="L315" s="14"/>
      <c r="M315" s="14"/>
      <c r="N315" s="14"/>
      <c r="O315" s="14"/>
      <c r="P315" s="14"/>
      <c r="Q315" s="14"/>
      <c r="R315" s="14"/>
    </row>
    <row r="316" spans="1:18" ht="27" customHeight="1">
      <c r="A316" s="13"/>
      <c r="B316" s="6"/>
      <c r="C316" s="6"/>
      <c r="D316" s="8"/>
      <c r="E316" s="6"/>
      <c r="F316" s="8"/>
      <c r="G316" s="6"/>
      <c r="H316" s="14"/>
      <c r="I316" s="14"/>
      <c r="J316" s="14"/>
      <c r="K316" s="14"/>
      <c r="L316" s="14"/>
      <c r="M316" s="14"/>
      <c r="N316" s="14"/>
      <c r="O316" s="14"/>
      <c r="P316" s="14"/>
      <c r="Q316" s="14"/>
      <c r="R316" s="14"/>
    </row>
    <row r="317" spans="1:18" ht="27" customHeight="1">
      <c r="A317" s="13"/>
      <c r="B317" s="6"/>
      <c r="C317" s="6"/>
      <c r="D317" s="8"/>
      <c r="E317" s="6"/>
      <c r="F317" s="8"/>
      <c r="G317" s="6"/>
      <c r="H317" s="14"/>
      <c r="I317" s="14"/>
      <c r="J317" s="14"/>
      <c r="K317" s="14"/>
      <c r="L317" s="14"/>
      <c r="M317" s="14"/>
      <c r="N317" s="14"/>
      <c r="O317" s="14"/>
      <c r="P317" s="14"/>
      <c r="Q317" s="14"/>
      <c r="R317" s="14"/>
    </row>
    <row r="318" spans="1:18" ht="27" customHeight="1">
      <c r="A318" s="13"/>
      <c r="B318" s="6"/>
      <c r="C318" s="6"/>
      <c r="D318" s="8"/>
      <c r="E318" s="6"/>
      <c r="F318" s="8"/>
      <c r="G318" s="6"/>
      <c r="H318" s="14"/>
      <c r="I318" s="14"/>
      <c r="J318" s="14"/>
      <c r="K318" s="14"/>
      <c r="L318" s="14"/>
      <c r="M318" s="14"/>
      <c r="N318" s="14"/>
      <c r="O318" s="14"/>
      <c r="P318" s="14"/>
      <c r="Q318" s="14"/>
      <c r="R318" s="14"/>
    </row>
    <row r="319" spans="1:18" ht="27" customHeight="1">
      <c r="A319" s="13"/>
      <c r="B319" s="6"/>
      <c r="C319" s="6"/>
      <c r="D319" s="8"/>
      <c r="E319" s="6"/>
      <c r="F319" s="8"/>
      <c r="G319" s="6"/>
      <c r="H319" s="14"/>
      <c r="I319" s="14"/>
      <c r="J319" s="14"/>
      <c r="K319" s="14"/>
      <c r="L319" s="14"/>
      <c r="M319" s="14"/>
      <c r="N319" s="14"/>
      <c r="O319" s="14"/>
      <c r="P319" s="14"/>
      <c r="Q319" s="14"/>
      <c r="R319" s="14"/>
    </row>
    <row r="320" spans="1:18" ht="27" customHeight="1">
      <c r="A320" s="13"/>
      <c r="B320" s="6"/>
      <c r="C320" s="6"/>
      <c r="D320" s="8"/>
      <c r="E320" s="6"/>
      <c r="F320" s="8"/>
      <c r="G320" s="6"/>
      <c r="H320" s="14"/>
      <c r="I320" s="14"/>
      <c r="J320" s="14"/>
      <c r="K320" s="14"/>
      <c r="L320" s="14"/>
      <c r="M320" s="14"/>
      <c r="N320" s="14"/>
      <c r="O320" s="14"/>
      <c r="P320" s="14"/>
      <c r="Q320" s="14"/>
      <c r="R320" s="14"/>
    </row>
    <row r="321" spans="1:18" ht="27" customHeight="1">
      <c r="A321" s="13"/>
      <c r="B321" s="6"/>
      <c r="C321" s="6"/>
      <c r="D321" s="8"/>
      <c r="E321" s="6"/>
      <c r="F321" s="8"/>
      <c r="G321" s="6"/>
      <c r="H321" s="14"/>
      <c r="I321" s="14"/>
      <c r="J321" s="14"/>
      <c r="K321" s="14"/>
      <c r="L321" s="14"/>
      <c r="M321" s="14"/>
      <c r="N321" s="14"/>
      <c r="O321" s="14"/>
      <c r="P321" s="14"/>
      <c r="Q321" s="14"/>
      <c r="R321" s="14"/>
    </row>
    <row r="322" spans="1:18" ht="27" customHeight="1">
      <c r="A322" s="13"/>
      <c r="B322" s="6"/>
      <c r="C322" s="6"/>
      <c r="D322" s="8"/>
      <c r="E322" s="6"/>
      <c r="F322" s="8"/>
      <c r="G322" s="6"/>
      <c r="H322" s="14"/>
      <c r="I322" s="14"/>
      <c r="J322" s="14"/>
      <c r="K322" s="14"/>
      <c r="L322" s="14"/>
      <c r="M322" s="14"/>
      <c r="N322" s="14"/>
      <c r="O322" s="14"/>
      <c r="P322" s="14"/>
      <c r="Q322" s="14"/>
      <c r="R322" s="14"/>
    </row>
    <row r="323" spans="1:18" ht="27" customHeight="1">
      <c r="A323" s="13"/>
      <c r="B323" s="6"/>
      <c r="C323" s="6"/>
      <c r="D323" s="8"/>
      <c r="E323" s="6"/>
      <c r="F323" s="8"/>
      <c r="G323" s="6"/>
      <c r="H323" s="14"/>
      <c r="I323" s="14"/>
      <c r="J323" s="14"/>
      <c r="K323" s="14"/>
      <c r="L323" s="14"/>
      <c r="M323" s="14"/>
      <c r="N323" s="14"/>
      <c r="O323" s="14"/>
      <c r="P323" s="14"/>
      <c r="Q323" s="14"/>
      <c r="R323" s="14"/>
    </row>
    <row r="324" spans="1:18" ht="27" customHeight="1">
      <c r="A324" s="13"/>
      <c r="B324" s="6"/>
      <c r="C324" s="6"/>
      <c r="D324" s="8"/>
      <c r="E324" s="6"/>
      <c r="F324" s="8"/>
      <c r="G324" s="6"/>
      <c r="H324" s="14"/>
      <c r="I324" s="14"/>
      <c r="J324" s="14"/>
      <c r="K324" s="14"/>
      <c r="L324" s="14"/>
      <c r="M324" s="14"/>
      <c r="N324" s="14"/>
      <c r="O324" s="14"/>
      <c r="P324" s="14"/>
      <c r="Q324" s="14"/>
      <c r="R324" s="14"/>
    </row>
    <row r="325" spans="1:18" ht="27" customHeight="1">
      <c r="A325" s="13"/>
      <c r="B325" s="6"/>
      <c r="C325" s="6"/>
      <c r="D325" s="8"/>
      <c r="E325" s="6"/>
      <c r="F325" s="8"/>
      <c r="G325" s="6"/>
      <c r="H325" s="14"/>
      <c r="I325" s="14"/>
      <c r="J325" s="14"/>
      <c r="K325" s="14"/>
      <c r="L325" s="14"/>
      <c r="M325" s="14"/>
      <c r="N325" s="14"/>
      <c r="O325" s="14"/>
      <c r="P325" s="14"/>
      <c r="Q325" s="14"/>
      <c r="R325" s="14"/>
    </row>
    <row r="326" spans="1:18" ht="27" customHeight="1">
      <c r="A326" s="13"/>
      <c r="B326" s="6"/>
      <c r="C326" s="6"/>
      <c r="D326" s="8"/>
      <c r="E326" s="6"/>
      <c r="F326" s="8"/>
      <c r="G326" s="6"/>
      <c r="H326" s="14"/>
      <c r="I326" s="14"/>
      <c r="J326" s="14"/>
      <c r="K326" s="14"/>
      <c r="L326" s="14"/>
      <c r="M326" s="14"/>
      <c r="N326" s="14"/>
      <c r="O326" s="14"/>
      <c r="P326" s="14"/>
      <c r="Q326" s="14"/>
      <c r="R326" s="14"/>
    </row>
    <row r="327" spans="1:18" ht="27" customHeight="1">
      <c r="A327" s="13"/>
      <c r="B327" s="6"/>
      <c r="C327" s="6"/>
      <c r="D327" s="8"/>
      <c r="E327" s="6"/>
      <c r="F327" s="8"/>
      <c r="G327" s="6"/>
      <c r="H327" s="14"/>
      <c r="I327" s="14"/>
      <c r="J327" s="14"/>
      <c r="K327" s="14"/>
      <c r="L327" s="14"/>
      <c r="M327" s="14"/>
      <c r="N327" s="14"/>
      <c r="O327" s="14"/>
      <c r="P327" s="14"/>
      <c r="Q327" s="14"/>
      <c r="R327" s="14"/>
    </row>
    <row r="328" spans="1:18" ht="27" customHeight="1">
      <c r="A328" s="13"/>
      <c r="B328" s="6"/>
      <c r="C328" s="6"/>
      <c r="D328" s="8"/>
      <c r="E328" s="6"/>
      <c r="F328" s="8"/>
      <c r="G328" s="6"/>
      <c r="H328" s="14"/>
      <c r="I328" s="14"/>
      <c r="J328" s="14"/>
      <c r="K328" s="14"/>
      <c r="L328" s="14"/>
      <c r="M328" s="14"/>
      <c r="N328" s="14"/>
      <c r="O328" s="14"/>
      <c r="P328" s="14"/>
      <c r="Q328" s="14"/>
      <c r="R328" s="14"/>
    </row>
    <row r="329" spans="1:18" ht="27" customHeight="1">
      <c r="A329" s="13"/>
      <c r="B329" s="6"/>
      <c r="C329" s="6"/>
      <c r="D329" s="8"/>
      <c r="E329" s="6"/>
      <c r="F329" s="8"/>
      <c r="G329" s="6"/>
      <c r="H329" s="14"/>
      <c r="I329" s="14"/>
      <c r="J329" s="14"/>
      <c r="K329" s="14"/>
      <c r="L329" s="14"/>
      <c r="M329" s="14"/>
      <c r="N329" s="14"/>
      <c r="O329" s="14"/>
      <c r="P329" s="14"/>
      <c r="Q329" s="14"/>
      <c r="R329" s="14"/>
    </row>
    <row r="330" spans="1:18" ht="27" customHeight="1">
      <c r="A330" s="13"/>
      <c r="B330" s="6"/>
      <c r="C330" s="6"/>
      <c r="D330" s="8"/>
      <c r="E330" s="6"/>
      <c r="F330" s="8"/>
      <c r="G330" s="6"/>
      <c r="H330" s="14"/>
      <c r="I330" s="14"/>
      <c r="J330" s="14"/>
      <c r="K330" s="14"/>
      <c r="L330" s="14"/>
      <c r="M330" s="14"/>
      <c r="N330" s="14"/>
      <c r="O330" s="14"/>
      <c r="P330" s="14"/>
      <c r="Q330" s="14"/>
      <c r="R330" s="14"/>
    </row>
    <row r="331" spans="1:18" ht="27" customHeight="1">
      <c r="A331" s="13"/>
      <c r="B331" s="6"/>
      <c r="C331" s="6"/>
      <c r="D331" s="8"/>
      <c r="E331" s="6"/>
      <c r="F331" s="8"/>
      <c r="G331" s="6"/>
      <c r="H331" s="14"/>
      <c r="I331" s="14"/>
      <c r="J331" s="14"/>
      <c r="K331" s="14"/>
      <c r="L331" s="14"/>
      <c r="M331" s="14"/>
      <c r="N331" s="14"/>
      <c r="O331" s="14"/>
      <c r="P331" s="14"/>
      <c r="Q331" s="14"/>
      <c r="R331" s="14"/>
    </row>
    <row r="332" spans="1:18" ht="27" customHeight="1">
      <c r="A332" s="13"/>
      <c r="B332" s="6"/>
      <c r="C332" s="6"/>
      <c r="D332" s="8"/>
      <c r="E332" s="6"/>
      <c r="F332" s="8"/>
      <c r="G332" s="6"/>
      <c r="H332" s="14"/>
      <c r="I332" s="14"/>
      <c r="J332" s="14"/>
      <c r="K332" s="14"/>
      <c r="L332" s="14"/>
      <c r="M332" s="14"/>
      <c r="N332" s="14"/>
      <c r="O332" s="14"/>
      <c r="P332" s="14"/>
      <c r="Q332" s="14"/>
      <c r="R332" s="14"/>
    </row>
    <row r="333" spans="1:18" ht="27" customHeight="1">
      <c r="A333" s="13"/>
      <c r="B333" s="6"/>
      <c r="C333" s="6"/>
      <c r="D333" s="8"/>
      <c r="E333" s="6"/>
      <c r="F333" s="8"/>
      <c r="G333" s="6"/>
      <c r="H333" s="14"/>
      <c r="I333" s="14"/>
      <c r="J333" s="14"/>
      <c r="K333" s="14"/>
      <c r="L333" s="14"/>
      <c r="M333" s="14"/>
      <c r="N333" s="14"/>
      <c r="O333" s="14"/>
      <c r="P333" s="14"/>
      <c r="Q333" s="14"/>
      <c r="R333" s="14"/>
    </row>
    <row r="334" spans="1:18" ht="27" customHeight="1">
      <c r="A334" s="13"/>
      <c r="B334" s="6"/>
      <c r="C334" s="6"/>
      <c r="D334" s="8"/>
      <c r="E334" s="6"/>
      <c r="F334" s="8"/>
      <c r="G334" s="6"/>
      <c r="H334" s="14"/>
      <c r="I334" s="14"/>
      <c r="J334" s="14"/>
      <c r="K334" s="14"/>
      <c r="L334" s="14"/>
      <c r="M334" s="14"/>
      <c r="N334" s="14"/>
      <c r="O334" s="14"/>
      <c r="P334" s="14"/>
      <c r="Q334" s="14"/>
      <c r="R334" s="14"/>
    </row>
    <row r="335" spans="1:18" ht="27" customHeight="1">
      <c r="A335" s="13"/>
      <c r="B335" s="6"/>
      <c r="C335" s="6"/>
      <c r="D335" s="8"/>
      <c r="E335" s="6"/>
      <c r="F335" s="8"/>
      <c r="G335" s="6"/>
      <c r="H335" s="14"/>
      <c r="I335" s="14"/>
      <c r="J335" s="14"/>
      <c r="K335" s="14"/>
      <c r="L335" s="14"/>
      <c r="M335" s="14"/>
      <c r="N335" s="14"/>
      <c r="O335" s="14"/>
      <c r="P335" s="14"/>
      <c r="Q335" s="14"/>
      <c r="R335" s="14"/>
    </row>
    <row r="336" spans="1:18" ht="27" customHeight="1">
      <c r="A336" s="13"/>
      <c r="B336" s="6"/>
      <c r="C336" s="6"/>
      <c r="D336" s="8"/>
      <c r="E336" s="6"/>
      <c r="F336" s="8"/>
      <c r="G336" s="6"/>
      <c r="H336" s="14"/>
      <c r="I336" s="14"/>
      <c r="J336" s="14"/>
      <c r="K336" s="14"/>
      <c r="L336" s="14"/>
      <c r="M336" s="14"/>
      <c r="N336" s="14"/>
      <c r="O336" s="14"/>
      <c r="P336" s="14"/>
      <c r="Q336" s="14"/>
      <c r="R336" s="14"/>
    </row>
    <row r="337" spans="1:18" ht="27" customHeight="1">
      <c r="A337" s="13"/>
      <c r="B337" s="6"/>
      <c r="C337" s="6"/>
      <c r="D337" s="8"/>
      <c r="E337" s="6"/>
      <c r="F337" s="8"/>
      <c r="G337" s="6"/>
      <c r="H337" s="14"/>
      <c r="I337" s="14"/>
      <c r="J337" s="14"/>
      <c r="K337" s="14"/>
      <c r="L337" s="14"/>
      <c r="M337" s="14"/>
      <c r="N337" s="14"/>
      <c r="O337" s="14"/>
      <c r="P337" s="14"/>
      <c r="Q337" s="14"/>
      <c r="R337" s="14"/>
    </row>
    <row r="338" spans="1:18" ht="27" customHeight="1">
      <c r="A338" s="13"/>
      <c r="B338" s="6"/>
      <c r="C338" s="6"/>
      <c r="D338" s="8"/>
      <c r="E338" s="6"/>
      <c r="F338" s="8"/>
      <c r="G338" s="6"/>
      <c r="H338" s="14"/>
      <c r="I338" s="14"/>
      <c r="J338" s="14"/>
      <c r="K338" s="14"/>
      <c r="L338" s="14"/>
      <c r="M338" s="14"/>
      <c r="N338" s="14"/>
      <c r="O338" s="14"/>
      <c r="P338" s="14"/>
      <c r="Q338" s="14"/>
      <c r="R338" s="14"/>
    </row>
    <row r="339" spans="1:18" ht="27" customHeight="1">
      <c r="A339" s="13"/>
      <c r="B339" s="6"/>
      <c r="C339" s="6"/>
      <c r="D339" s="8"/>
      <c r="E339" s="6"/>
      <c r="F339" s="8"/>
      <c r="G339" s="6"/>
      <c r="H339" s="14"/>
      <c r="I339" s="14"/>
      <c r="J339" s="14"/>
      <c r="K339" s="14"/>
      <c r="L339" s="14"/>
      <c r="M339" s="14"/>
      <c r="N339" s="14"/>
      <c r="O339" s="14"/>
      <c r="P339" s="14"/>
      <c r="Q339" s="14"/>
      <c r="R339" s="14"/>
    </row>
    <row r="340" spans="1:18" ht="27" customHeight="1">
      <c r="A340" s="13"/>
      <c r="B340" s="6"/>
      <c r="C340" s="6"/>
      <c r="D340" s="8"/>
      <c r="E340" s="6"/>
      <c r="F340" s="8"/>
      <c r="G340" s="6"/>
      <c r="H340" s="14"/>
      <c r="I340" s="14"/>
      <c r="J340" s="14"/>
      <c r="K340" s="14"/>
      <c r="L340" s="14"/>
      <c r="M340" s="14"/>
      <c r="N340" s="14"/>
      <c r="O340" s="14"/>
      <c r="P340" s="14"/>
      <c r="Q340" s="14"/>
      <c r="R340" s="14"/>
    </row>
    <row r="341" spans="1:18" ht="27" customHeight="1">
      <c r="A341" s="13"/>
      <c r="B341" s="6"/>
      <c r="C341" s="6"/>
      <c r="D341" s="8"/>
      <c r="E341" s="6"/>
      <c r="F341" s="8"/>
      <c r="G341" s="6"/>
      <c r="H341" s="14"/>
      <c r="I341" s="14"/>
      <c r="J341" s="14"/>
      <c r="K341" s="14"/>
      <c r="L341" s="14"/>
      <c r="M341" s="14"/>
      <c r="N341" s="14"/>
      <c r="O341" s="14"/>
      <c r="P341" s="14"/>
      <c r="Q341" s="14"/>
      <c r="R341" s="14"/>
    </row>
    <row r="342" spans="1:18" ht="27" customHeight="1">
      <c r="A342" s="13"/>
      <c r="B342" s="6"/>
      <c r="C342" s="6"/>
      <c r="D342" s="8"/>
      <c r="E342" s="6"/>
      <c r="F342" s="8"/>
      <c r="G342" s="6"/>
      <c r="H342" s="14"/>
      <c r="I342" s="14"/>
      <c r="J342" s="14"/>
      <c r="K342" s="14"/>
      <c r="L342" s="14"/>
      <c r="M342" s="14"/>
      <c r="N342" s="14"/>
      <c r="O342" s="14"/>
      <c r="P342" s="14"/>
      <c r="Q342" s="14"/>
      <c r="R342" s="14"/>
    </row>
    <row r="343" spans="1:18" ht="27" customHeight="1">
      <c r="A343" s="13"/>
      <c r="B343" s="6"/>
      <c r="C343" s="6"/>
      <c r="D343" s="8"/>
      <c r="E343" s="6"/>
      <c r="F343" s="8"/>
      <c r="G343" s="6"/>
      <c r="H343" s="14"/>
      <c r="I343" s="14"/>
      <c r="J343" s="14"/>
      <c r="K343" s="14"/>
      <c r="L343" s="14"/>
      <c r="M343" s="14"/>
      <c r="N343" s="14"/>
      <c r="O343" s="14"/>
      <c r="P343" s="14"/>
      <c r="Q343" s="14"/>
      <c r="R343" s="14"/>
    </row>
    <row r="344" spans="1:18" ht="27" customHeight="1">
      <c r="A344" s="13"/>
      <c r="B344" s="6"/>
      <c r="C344" s="6"/>
      <c r="D344" s="8"/>
      <c r="E344" s="6"/>
      <c r="F344" s="8"/>
      <c r="G344" s="6"/>
      <c r="H344" s="14"/>
      <c r="I344" s="14"/>
      <c r="J344" s="14"/>
      <c r="K344" s="14"/>
      <c r="L344" s="14"/>
      <c r="M344" s="14"/>
      <c r="N344" s="14"/>
      <c r="O344" s="14"/>
      <c r="P344" s="14"/>
      <c r="Q344" s="14"/>
      <c r="R344" s="14"/>
    </row>
    <row r="345" spans="1:18" ht="27" customHeight="1">
      <c r="A345" s="13"/>
      <c r="B345" s="6"/>
      <c r="C345" s="6"/>
      <c r="D345" s="8"/>
      <c r="E345" s="6"/>
      <c r="F345" s="8"/>
      <c r="G345" s="6"/>
      <c r="H345" s="14"/>
      <c r="I345" s="14"/>
      <c r="J345" s="14"/>
      <c r="K345" s="14"/>
      <c r="L345" s="14"/>
      <c r="M345" s="14"/>
      <c r="N345" s="14"/>
      <c r="O345" s="14"/>
      <c r="P345" s="14"/>
      <c r="Q345" s="14"/>
      <c r="R345" s="14"/>
    </row>
    <row r="346" spans="1:18" ht="27" customHeight="1">
      <c r="A346" s="13"/>
      <c r="B346" s="6"/>
      <c r="C346" s="6"/>
      <c r="D346" s="8"/>
      <c r="E346" s="6"/>
      <c r="F346" s="8"/>
      <c r="G346" s="6"/>
      <c r="H346" s="14"/>
      <c r="I346" s="14"/>
      <c r="J346" s="14"/>
      <c r="K346" s="14"/>
      <c r="L346" s="14"/>
      <c r="M346" s="14"/>
      <c r="N346" s="14"/>
      <c r="O346" s="14"/>
      <c r="P346" s="14"/>
      <c r="Q346" s="14"/>
      <c r="R346" s="14"/>
    </row>
    <row r="347" spans="1:18" ht="27" customHeight="1">
      <c r="A347" s="13"/>
      <c r="B347" s="6"/>
      <c r="C347" s="6"/>
      <c r="D347" s="8"/>
      <c r="E347" s="6"/>
      <c r="F347" s="8"/>
      <c r="G347" s="6"/>
      <c r="H347" s="14"/>
      <c r="I347" s="14"/>
      <c r="J347" s="14"/>
      <c r="K347" s="14"/>
      <c r="L347" s="14"/>
      <c r="M347" s="14"/>
      <c r="N347" s="14"/>
      <c r="O347" s="14"/>
      <c r="P347" s="14"/>
      <c r="Q347" s="14"/>
      <c r="R347" s="14"/>
    </row>
    <row r="348" spans="1:18" ht="27" customHeight="1">
      <c r="A348" s="13"/>
      <c r="B348" s="6"/>
      <c r="C348" s="6"/>
      <c r="D348" s="8"/>
      <c r="E348" s="6"/>
      <c r="F348" s="8"/>
      <c r="G348" s="6"/>
      <c r="H348" s="14"/>
      <c r="I348" s="14"/>
      <c r="J348" s="14"/>
      <c r="K348" s="14"/>
      <c r="L348" s="14"/>
      <c r="M348" s="14"/>
      <c r="N348" s="14"/>
      <c r="O348" s="14"/>
      <c r="P348" s="14"/>
      <c r="Q348" s="14"/>
      <c r="R348" s="14"/>
    </row>
    <row r="349" spans="1:18" ht="27" customHeight="1">
      <c r="A349" s="13"/>
      <c r="B349" s="6"/>
      <c r="C349" s="6"/>
      <c r="D349" s="8"/>
      <c r="E349" s="6"/>
      <c r="F349" s="8"/>
      <c r="G349" s="6"/>
      <c r="H349" s="14"/>
      <c r="I349" s="14"/>
      <c r="J349" s="14"/>
      <c r="K349" s="14"/>
      <c r="L349" s="14"/>
      <c r="M349" s="14"/>
      <c r="N349" s="14"/>
      <c r="O349" s="14"/>
      <c r="P349" s="14"/>
      <c r="Q349" s="14"/>
      <c r="R349" s="14"/>
    </row>
    <row r="350" spans="1:18" ht="27" customHeight="1">
      <c r="A350" s="13"/>
      <c r="B350" s="6"/>
      <c r="C350" s="6"/>
      <c r="D350" s="8"/>
      <c r="E350" s="6"/>
      <c r="F350" s="8"/>
      <c r="G350" s="6"/>
      <c r="H350" s="14"/>
      <c r="I350" s="14"/>
      <c r="J350" s="14"/>
      <c r="K350" s="14"/>
      <c r="L350" s="14"/>
      <c r="M350" s="14"/>
      <c r="N350" s="14"/>
      <c r="O350" s="14"/>
      <c r="P350" s="14"/>
      <c r="Q350" s="14"/>
      <c r="R350" s="14"/>
    </row>
    <row r="351" spans="1:18" ht="27" customHeight="1">
      <c r="A351" s="13"/>
      <c r="B351" s="6"/>
      <c r="C351" s="6"/>
      <c r="D351" s="8"/>
      <c r="E351" s="6"/>
      <c r="F351" s="8"/>
      <c r="G351" s="6"/>
      <c r="H351" s="14"/>
      <c r="I351" s="14"/>
      <c r="J351" s="14"/>
      <c r="K351" s="14"/>
      <c r="L351" s="14"/>
      <c r="M351" s="14"/>
      <c r="N351" s="14"/>
      <c r="O351" s="14"/>
      <c r="P351" s="14"/>
      <c r="Q351" s="14"/>
      <c r="R351" s="14"/>
    </row>
    <row r="352" spans="1:18" ht="27" customHeight="1">
      <c r="A352" s="13"/>
      <c r="B352" s="6"/>
      <c r="C352" s="6"/>
      <c r="D352" s="8"/>
      <c r="E352" s="6"/>
      <c r="F352" s="8"/>
      <c r="G352" s="6"/>
      <c r="H352" s="14"/>
      <c r="I352" s="14"/>
      <c r="J352" s="14"/>
      <c r="K352" s="14"/>
      <c r="L352" s="14"/>
      <c r="M352" s="14"/>
      <c r="N352" s="14"/>
      <c r="O352" s="14"/>
      <c r="P352" s="14"/>
      <c r="Q352" s="14"/>
      <c r="R352" s="14"/>
    </row>
    <row r="353" spans="1:18" ht="27" customHeight="1">
      <c r="A353" s="13"/>
      <c r="B353" s="6"/>
      <c r="C353" s="6"/>
      <c r="D353" s="8"/>
      <c r="E353" s="6"/>
      <c r="F353" s="8"/>
      <c r="G353" s="6"/>
      <c r="H353" s="14"/>
      <c r="I353" s="14"/>
      <c r="J353" s="14"/>
      <c r="K353" s="14"/>
      <c r="L353" s="14"/>
      <c r="M353" s="14"/>
      <c r="N353" s="14"/>
      <c r="O353" s="14"/>
      <c r="P353" s="14"/>
      <c r="Q353" s="14"/>
      <c r="R353" s="14"/>
    </row>
    <row r="354" spans="1:18" ht="27" customHeight="1">
      <c r="A354" s="13"/>
      <c r="B354" s="6"/>
      <c r="C354" s="6"/>
      <c r="D354" s="8"/>
      <c r="E354" s="6"/>
      <c r="F354" s="8"/>
      <c r="G354" s="6"/>
      <c r="H354" s="14"/>
      <c r="I354" s="14"/>
      <c r="J354" s="14"/>
      <c r="K354" s="14"/>
      <c r="L354" s="14"/>
      <c r="M354" s="14"/>
      <c r="N354" s="14"/>
      <c r="O354" s="14"/>
      <c r="P354" s="14"/>
      <c r="Q354" s="14"/>
      <c r="R354" s="14"/>
    </row>
    <row r="355" spans="1:18" ht="27" customHeight="1">
      <c r="A355" s="13"/>
      <c r="B355" s="6"/>
      <c r="C355" s="6"/>
      <c r="D355" s="8"/>
      <c r="E355" s="6"/>
      <c r="F355" s="8"/>
      <c r="G355" s="6"/>
      <c r="H355" s="14"/>
      <c r="I355" s="14"/>
      <c r="J355" s="14"/>
      <c r="K355" s="14"/>
      <c r="L355" s="14"/>
      <c r="M355" s="14"/>
      <c r="N355" s="14"/>
      <c r="O355" s="14"/>
      <c r="P355" s="14"/>
      <c r="Q355" s="14"/>
      <c r="R355" s="14"/>
    </row>
    <row r="356" spans="1:18" ht="27" customHeight="1">
      <c r="A356" s="13"/>
      <c r="B356" s="6"/>
      <c r="C356" s="6"/>
      <c r="D356" s="8"/>
      <c r="E356" s="6"/>
      <c r="F356" s="8"/>
      <c r="G356" s="6"/>
      <c r="H356" s="14"/>
      <c r="I356" s="14"/>
      <c r="J356" s="14"/>
      <c r="K356" s="14"/>
      <c r="L356" s="14"/>
      <c r="M356" s="14"/>
      <c r="N356" s="14"/>
      <c r="O356" s="14"/>
      <c r="P356" s="14"/>
      <c r="Q356" s="14"/>
      <c r="R356" s="14"/>
    </row>
    <row r="357" spans="1:18" ht="27" customHeight="1">
      <c r="A357" s="13"/>
      <c r="B357" s="6"/>
      <c r="C357" s="6"/>
      <c r="D357" s="8"/>
      <c r="E357" s="6"/>
      <c r="F357" s="8"/>
      <c r="G357" s="6"/>
      <c r="H357" s="14"/>
      <c r="I357" s="14"/>
      <c r="J357" s="14"/>
      <c r="K357" s="14"/>
      <c r="L357" s="14"/>
      <c r="M357" s="14"/>
      <c r="N357" s="14"/>
      <c r="O357" s="14"/>
      <c r="P357" s="14"/>
      <c r="Q357" s="14"/>
      <c r="R357" s="14"/>
    </row>
    <row r="358" spans="1:18" ht="27" customHeight="1">
      <c r="A358" s="13"/>
      <c r="B358" s="6"/>
      <c r="C358" s="6"/>
      <c r="D358" s="8"/>
      <c r="E358" s="6"/>
      <c r="F358" s="8"/>
      <c r="G358" s="6"/>
      <c r="H358" s="14"/>
      <c r="I358" s="14"/>
      <c r="J358" s="14"/>
      <c r="K358" s="14"/>
      <c r="L358" s="14"/>
      <c r="M358" s="14"/>
      <c r="N358" s="14"/>
      <c r="O358" s="14"/>
      <c r="P358" s="14"/>
      <c r="Q358" s="14"/>
      <c r="R358" s="14"/>
    </row>
    <row r="359" spans="1:18" ht="27" customHeight="1">
      <c r="A359" s="13"/>
      <c r="B359" s="6"/>
      <c r="C359" s="6"/>
      <c r="D359" s="8"/>
      <c r="E359" s="6"/>
      <c r="F359" s="8"/>
      <c r="G359" s="6"/>
      <c r="H359" s="14"/>
      <c r="I359" s="14"/>
      <c r="J359" s="14"/>
      <c r="K359" s="14"/>
      <c r="L359" s="14"/>
      <c r="M359" s="14"/>
      <c r="N359" s="14"/>
      <c r="O359" s="14"/>
      <c r="P359" s="14"/>
      <c r="Q359" s="14"/>
      <c r="R359" s="14"/>
    </row>
    <row r="360" spans="1:18" ht="27" customHeight="1">
      <c r="A360" s="13"/>
      <c r="B360" s="6"/>
      <c r="C360" s="6"/>
      <c r="D360" s="8"/>
      <c r="E360" s="6"/>
      <c r="F360" s="8"/>
      <c r="G360" s="6"/>
      <c r="H360" s="14"/>
      <c r="I360" s="14"/>
      <c r="J360" s="14"/>
      <c r="K360" s="14"/>
      <c r="L360" s="14"/>
      <c r="M360" s="14"/>
      <c r="N360" s="14"/>
      <c r="O360" s="14"/>
      <c r="P360" s="14"/>
      <c r="Q360" s="14"/>
      <c r="R360" s="14"/>
    </row>
    <row r="361" spans="1:18" ht="27" customHeight="1">
      <c r="A361" s="13"/>
      <c r="B361" s="6"/>
      <c r="C361" s="6"/>
      <c r="D361" s="8"/>
      <c r="E361" s="6"/>
      <c r="F361" s="8"/>
      <c r="G361" s="6"/>
      <c r="H361" s="14"/>
      <c r="I361" s="14"/>
      <c r="J361" s="14"/>
      <c r="K361" s="14"/>
      <c r="L361" s="14"/>
      <c r="M361" s="14"/>
      <c r="N361" s="14"/>
      <c r="O361" s="14"/>
      <c r="P361" s="14"/>
      <c r="Q361" s="14"/>
      <c r="R361" s="14"/>
    </row>
    <row r="362" spans="1:18" ht="27" customHeight="1">
      <c r="A362" s="13"/>
      <c r="B362" s="6"/>
      <c r="C362" s="6"/>
      <c r="D362" s="8"/>
      <c r="E362" s="6"/>
      <c r="F362" s="8"/>
      <c r="G362" s="6"/>
      <c r="H362" s="14"/>
      <c r="I362" s="14"/>
      <c r="J362" s="14"/>
      <c r="K362" s="14"/>
      <c r="L362" s="14"/>
      <c r="M362" s="14"/>
      <c r="N362" s="14"/>
      <c r="O362" s="14"/>
      <c r="P362" s="14"/>
      <c r="Q362" s="14"/>
      <c r="R362" s="14"/>
    </row>
    <row r="363" spans="1:18" ht="27" customHeight="1">
      <c r="A363" s="13"/>
      <c r="B363" s="6"/>
      <c r="C363" s="6"/>
      <c r="D363" s="8"/>
      <c r="E363" s="6"/>
      <c r="F363" s="8"/>
      <c r="G363" s="6"/>
      <c r="H363" s="14"/>
      <c r="I363" s="14"/>
      <c r="J363" s="14"/>
      <c r="K363" s="14"/>
      <c r="L363" s="14"/>
      <c r="M363" s="14"/>
      <c r="N363" s="14"/>
      <c r="O363" s="14"/>
      <c r="P363" s="14"/>
      <c r="Q363" s="14"/>
      <c r="R363" s="14"/>
    </row>
    <row r="364" spans="1:18" ht="27" customHeight="1">
      <c r="A364" s="13"/>
      <c r="B364" s="6"/>
      <c r="C364" s="6"/>
      <c r="D364" s="8"/>
      <c r="E364" s="6"/>
      <c r="F364" s="8"/>
      <c r="G364" s="6"/>
      <c r="H364" s="14"/>
      <c r="I364" s="14"/>
      <c r="J364" s="14"/>
      <c r="K364" s="14"/>
      <c r="L364" s="14"/>
      <c r="M364" s="14"/>
      <c r="N364" s="14"/>
      <c r="O364" s="14"/>
      <c r="P364" s="14"/>
      <c r="Q364" s="14"/>
      <c r="R364" s="14"/>
    </row>
    <row r="365" spans="1:18" ht="27" customHeight="1">
      <c r="A365" s="13"/>
      <c r="B365" s="6"/>
      <c r="C365" s="6"/>
      <c r="D365" s="8"/>
      <c r="E365" s="6"/>
      <c r="F365" s="8"/>
      <c r="G365" s="6"/>
      <c r="H365" s="14"/>
      <c r="I365" s="14"/>
      <c r="J365" s="14"/>
      <c r="K365" s="14"/>
      <c r="L365" s="14"/>
      <c r="M365" s="14"/>
      <c r="N365" s="14"/>
      <c r="O365" s="14"/>
      <c r="P365" s="14"/>
      <c r="Q365" s="14"/>
      <c r="R365" s="14"/>
    </row>
    <row r="366" spans="1:18" ht="27" customHeight="1">
      <c r="A366" s="13"/>
      <c r="B366" s="6"/>
      <c r="C366" s="6"/>
      <c r="D366" s="8"/>
      <c r="E366" s="6"/>
      <c r="F366" s="8"/>
      <c r="G366" s="6"/>
      <c r="H366" s="14"/>
      <c r="I366" s="14"/>
      <c r="J366" s="14"/>
      <c r="K366" s="14"/>
      <c r="L366" s="14"/>
      <c r="M366" s="14"/>
      <c r="N366" s="14"/>
      <c r="O366" s="14"/>
      <c r="P366" s="14"/>
      <c r="Q366" s="14"/>
      <c r="R366" s="14"/>
    </row>
    <row r="367" spans="1:18" ht="27" customHeight="1">
      <c r="A367" s="13"/>
      <c r="B367" s="6"/>
      <c r="C367" s="6"/>
      <c r="D367" s="8"/>
      <c r="E367" s="6"/>
      <c r="F367" s="8"/>
      <c r="G367" s="6"/>
      <c r="H367" s="14"/>
      <c r="I367" s="14"/>
      <c r="J367" s="14"/>
      <c r="K367" s="14"/>
      <c r="L367" s="14"/>
      <c r="M367" s="14"/>
      <c r="N367" s="14"/>
      <c r="O367" s="14"/>
      <c r="P367" s="14"/>
      <c r="Q367" s="14"/>
      <c r="R367" s="14"/>
    </row>
    <row r="368" spans="1:18" ht="27" customHeight="1">
      <c r="A368" s="13"/>
      <c r="B368" s="6"/>
      <c r="C368" s="6"/>
      <c r="D368" s="8"/>
      <c r="E368" s="6"/>
      <c r="F368" s="8"/>
      <c r="G368" s="6"/>
      <c r="H368" s="14"/>
      <c r="I368" s="14"/>
      <c r="J368" s="14"/>
      <c r="K368" s="14"/>
      <c r="L368" s="14"/>
      <c r="M368" s="14"/>
      <c r="N368" s="14"/>
      <c r="O368" s="14"/>
      <c r="P368" s="14"/>
      <c r="Q368" s="14"/>
      <c r="R368" s="14"/>
    </row>
    <row r="369" spans="1:18" ht="27" customHeight="1">
      <c r="A369" s="13"/>
      <c r="B369" s="6"/>
      <c r="C369" s="6"/>
      <c r="D369" s="8"/>
      <c r="E369" s="6"/>
      <c r="F369" s="8"/>
      <c r="G369" s="6"/>
      <c r="H369" s="14"/>
      <c r="I369" s="14"/>
      <c r="J369" s="14"/>
      <c r="K369" s="14"/>
      <c r="L369" s="14"/>
      <c r="M369" s="14"/>
      <c r="N369" s="14"/>
      <c r="O369" s="14"/>
      <c r="P369" s="14"/>
      <c r="Q369" s="14"/>
      <c r="R369" s="14"/>
    </row>
    <row r="370" spans="1:18" ht="27" customHeight="1">
      <c r="A370" s="13"/>
      <c r="B370" s="6"/>
      <c r="C370" s="6"/>
      <c r="D370" s="8"/>
      <c r="E370" s="6"/>
      <c r="F370" s="8"/>
      <c r="G370" s="6"/>
      <c r="H370" s="14"/>
      <c r="I370" s="14"/>
      <c r="J370" s="14"/>
      <c r="K370" s="14"/>
      <c r="L370" s="14"/>
      <c r="M370" s="14"/>
      <c r="N370" s="14"/>
      <c r="O370" s="14"/>
      <c r="P370" s="14"/>
      <c r="Q370" s="14"/>
      <c r="R370" s="14"/>
    </row>
    <row r="371" spans="1:18" ht="27" customHeight="1">
      <c r="A371" s="13"/>
      <c r="B371" s="6"/>
      <c r="C371" s="6"/>
      <c r="D371" s="8"/>
      <c r="E371" s="6"/>
      <c r="F371" s="8"/>
      <c r="G371" s="6"/>
      <c r="H371" s="14"/>
      <c r="I371" s="14"/>
      <c r="J371" s="14"/>
      <c r="K371" s="14"/>
      <c r="L371" s="14"/>
      <c r="M371" s="14"/>
      <c r="N371" s="14"/>
      <c r="O371" s="14"/>
      <c r="P371" s="14"/>
      <c r="Q371" s="14"/>
      <c r="R371" s="14"/>
    </row>
    <row r="372" spans="1:18" ht="27" customHeight="1">
      <c r="A372" s="13"/>
      <c r="B372" s="6"/>
      <c r="C372" s="6"/>
      <c r="D372" s="8"/>
      <c r="E372" s="6"/>
      <c r="F372" s="8"/>
      <c r="G372" s="6"/>
      <c r="H372" s="14"/>
      <c r="I372" s="14"/>
      <c r="J372" s="14"/>
      <c r="K372" s="14"/>
      <c r="L372" s="14"/>
      <c r="M372" s="14"/>
      <c r="N372" s="14"/>
      <c r="O372" s="14"/>
      <c r="P372" s="14"/>
      <c r="Q372" s="14"/>
      <c r="R372" s="14"/>
    </row>
    <row r="373" spans="1:18" ht="27" customHeight="1">
      <c r="A373" s="13"/>
      <c r="B373" s="6"/>
      <c r="C373" s="6"/>
      <c r="D373" s="8"/>
      <c r="E373" s="6"/>
      <c r="F373" s="8"/>
      <c r="G373" s="6"/>
      <c r="H373" s="14"/>
      <c r="I373" s="14"/>
      <c r="J373" s="14"/>
      <c r="K373" s="14"/>
      <c r="L373" s="14"/>
      <c r="M373" s="14"/>
      <c r="N373" s="14"/>
      <c r="O373" s="14"/>
      <c r="P373" s="14"/>
      <c r="Q373" s="14"/>
      <c r="R373" s="14"/>
    </row>
    <row r="374" spans="1:18" ht="27" customHeight="1">
      <c r="A374" s="13"/>
      <c r="B374" s="6"/>
      <c r="C374" s="6"/>
      <c r="D374" s="8"/>
      <c r="E374" s="6"/>
      <c r="F374" s="8"/>
      <c r="G374" s="6"/>
      <c r="H374" s="14"/>
      <c r="I374" s="14"/>
      <c r="J374" s="14"/>
      <c r="K374" s="14"/>
      <c r="L374" s="14"/>
      <c r="M374" s="14"/>
      <c r="N374" s="14"/>
      <c r="O374" s="14"/>
      <c r="P374" s="14"/>
      <c r="Q374" s="14"/>
      <c r="R374" s="14"/>
    </row>
    <row r="375" spans="1:18" ht="27" customHeight="1">
      <c r="A375" s="13"/>
      <c r="B375" s="6"/>
      <c r="C375" s="6"/>
      <c r="D375" s="8"/>
      <c r="E375" s="6"/>
      <c r="F375" s="8"/>
      <c r="G375" s="6"/>
      <c r="H375" s="14"/>
      <c r="I375" s="14"/>
      <c r="J375" s="14"/>
      <c r="K375" s="14"/>
      <c r="L375" s="14"/>
      <c r="M375" s="14"/>
      <c r="N375" s="14"/>
      <c r="O375" s="14"/>
      <c r="P375" s="14"/>
      <c r="Q375" s="14"/>
      <c r="R375" s="14"/>
    </row>
    <row r="376" spans="1:18" ht="27" customHeight="1">
      <c r="A376" s="13"/>
      <c r="B376" s="6"/>
      <c r="C376" s="6"/>
      <c r="D376" s="8"/>
      <c r="E376" s="6"/>
      <c r="F376" s="8"/>
      <c r="G376" s="6"/>
      <c r="H376" s="14"/>
      <c r="I376" s="14"/>
      <c r="J376" s="14"/>
      <c r="K376" s="14"/>
      <c r="L376" s="14"/>
      <c r="M376" s="14"/>
      <c r="N376" s="14"/>
      <c r="O376" s="14"/>
      <c r="P376" s="14"/>
      <c r="Q376" s="14"/>
      <c r="R376" s="14"/>
    </row>
    <row r="377" spans="1:18" ht="27" customHeight="1">
      <c r="A377" s="13"/>
      <c r="B377" s="6"/>
      <c r="C377" s="6"/>
      <c r="D377" s="8"/>
      <c r="E377" s="6"/>
      <c r="F377" s="8"/>
      <c r="G377" s="6"/>
      <c r="H377" s="14"/>
      <c r="I377" s="14"/>
      <c r="J377" s="14"/>
      <c r="K377" s="14"/>
      <c r="L377" s="14"/>
      <c r="M377" s="14"/>
      <c r="N377" s="14"/>
      <c r="O377" s="14"/>
      <c r="P377" s="14"/>
      <c r="Q377" s="14"/>
      <c r="R377" s="14"/>
    </row>
    <row r="378" spans="1:18" ht="27" customHeight="1">
      <c r="A378" s="13"/>
      <c r="B378" s="6"/>
      <c r="C378" s="6"/>
      <c r="D378" s="8"/>
      <c r="E378" s="6"/>
      <c r="F378" s="8"/>
      <c r="G378" s="6"/>
      <c r="H378" s="14"/>
      <c r="I378" s="14"/>
      <c r="J378" s="14"/>
      <c r="K378" s="14"/>
      <c r="L378" s="14"/>
      <c r="M378" s="14"/>
      <c r="N378" s="14"/>
      <c r="O378" s="14"/>
      <c r="P378" s="14"/>
      <c r="Q378" s="14"/>
      <c r="R378" s="14"/>
    </row>
    <row r="379" spans="1:18" ht="27" customHeight="1">
      <c r="A379" s="13"/>
      <c r="B379" s="6"/>
      <c r="C379" s="6"/>
      <c r="D379" s="8"/>
      <c r="E379" s="6"/>
      <c r="F379" s="8"/>
      <c r="G379" s="6"/>
      <c r="H379" s="14"/>
      <c r="I379" s="14"/>
      <c r="J379" s="14"/>
      <c r="K379" s="14"/>
      <c r="L379" s="14"/>
      <c r="M379" s="14"/>
      <c r="N379" s="14"/>
      <c r="O379" s="14"/>
      <c r="P379" s="14"/>
      <c r="Q379" s="14"/>
      <c r="R379" s="14"/>
    </row>
    <row r="380" spans="1:18" ht="27" customHeight="1">
      <c r="A380" s="13"/>
      <c r="B380" s="6"/>
      <c r="C380" s="6"/>
      <c r="D380" s="8"/>
      <c r="E380" s="6"/>
      <c r="F380" s="8"/>
      <c r="G380" s="6"/>
      <c r="H380" s="14"/>
      <c r="I380" s="14"/>
      <c r="J380" s="14"/>
      <c r="K380" s="14"/>
      <c r="L380" s="14"/>
      <c r="M380" s="14"/>
      <c r="N380" s="14"/>
      <c r="O380" s="14"/>
      <c r="P380" s="14"/>
      <c r="Q380" s="14"/>
      <c r="R380" s="14"/>
    </row>
    <row r="381" spans="1:18" ht="27" customHeight="1">
      <c r="A381" s="13"/>
      <c r="B381" s="6"/>
      <c r="C381" s="6"/>
      <c r="D381" s="8"/>
      <c r="E381" s="6"/>
      <c r="F381" s="8"/>
      <c r="G381" s="6"/>
      <c r="H381" s="14"/>
      <c r="I381" s="14"/>
      <c r="J381" s="14"/>
      <c r="K381" s="14"/>
      <c r="L381" s="14"/>
      <c r="M381" s="14"/>
      <c r="N381" s="14"/>
      <c r="O381" s="14"/>
      <c r="P381" s="14"/>
      <c r="Q381" s="14"/>
      <c r="R381" s="14"/>
    </row>
    <row r="382" spans="1:18" ht="27" customHeight="1">
      <c r="A382" s="13"/>
      <c r="B382" s="6"/>
      <c r="C382" s="6"/>
      <c r="D382" s="8"/>
      <c r="E382" s="6"/>
      <c r="F382" s="8"/>
      <c r="G382" s="6"/>
      <c r="H382" s="14"/>
      <c r="I382" s="14"/>
      <c r="J382" s="14"/>
      <c r="K382" s="14"/>
      <c r="L382" s="14"/>
      <c r="M382" s="14"/>
      <c r="N382" s="14"/>
      <c r="O382" s="14"/>
      <c r="P382" s="14"/>
      <c r="Q382" s="14"/>
      <c r="R382" s="14"/>
    </row>
    <row r="383" spans="1:18" ht="27" customHeight="1">
      <c r="A383" s="13"/>
      <c r="B383" s="6"/>
      <c r="C383" s="6"/>
      <c r="D383" s="8"/>
      <c r="E383" s="6"/>
      <c r="F383" s="8"/>
      <c r="G383" s="6"/>
      <c r="H383" s="14"/>
      <c r="I383" s="14"/>
      <c r="J383" s="14"/>
      <c r="K383" s="14"/>
      <c r="L383" s="14"/>
      <c r="M383" s="14"/>
      <c r="N383" s="14"/>
      <c r="O383" s="14"/>
      <c r="P383" s="14"/>
      <c r="Q383" s="14"/>
      <c r="R383" s="14"/>
    </row>
    <row r="384" spans="1:18" ht="27" customHeight="1">
      <c r="A384" s="13"/>
      <c r="B384" s="6"/>
      <c r="C384" s="6"/>
      <c r="D384" s="8"/>
      <c r="E384" s="6"/>
      <c r="F384" s="8"/>
      <c r="G384" s="6"/>
      <c r="H384" s="14"/>
      <c r="I384" s="14"/>
      <c r="J384" s="14"/>
      <c r="K384" s="14"/>
      <c r="L384" s="14"/>
      <c r="M384" s="14"/>
      <c r="N384" s="14"/>
      <c r="O384" s="14"/>
      <c r="P384" s="14"/>
      <c r="Q384" s="14"/>
      <c r="R384" s="14"/>
    </row>
    <row r="385" spans="1:18" ht="27" customHeight="1">
      <c r="A385" s="13"/>
      <c r="B385" s="6"/>
      <c r="C385" s="6"/>
      <c r="D385" s="8"/>
      <c r="E385" s="6"/>
      <c r="F385" s="8"/>
      <c r="G385" s="6"/>
      <c r="H385" s="14"/>
      <c r="I385" s="14"/>
      <c r="J385" s="14"/>
      <c r="K385" s="14"/>
      <c r="L385" s="14"/>
      <c r="M385" s="14"/>
      <c r="N385" s="14"/>
      <c r="O385" s="14"/>
      <c r="P385" s="14"/>
      <c r="Q385" s="14"/>
      <c r="R385" s="14"/>
    </row>
    <row r="386" spans="1:18" ht="27" customHeight="1">
      <c r="A386" s="13"/>
      <c r="B386" s="6"/>
      <c r="C386" s="6"/>
      <c r="D386" s="8"/>
      <c r="E386" s="6"/>
      <c r="F386" s="8"/>
      <c r="G386" s="6"/>
      <c r="H386" s="14"/>
      <c r="I386" s="14"/>
      <c r="J386" s="14"/>
      <c r="K386" s="14"/>
      <c r="L386" s="14"/>
      <c r="M386" s="14"/>
      <c r="N386" s="14"/>
      <c r="O386" s="14"/>
      <c r="P386" s="14"/>
      <c r="Q386" s="14"/>
      <c r="R386" s="14"/>
    </row>
    <row r="387" spans="1:18" ht="27" customHeight="1">
      <c r="A387" s="13"/>
      <c r="B387" s="6"/>
      <c r="C387" s="6"/>
      <c r="D387" s="8"/>
      <c r="E387" s="6"/>
      <c r="F387" s="8"/>
      <c r="G387" s="6"/>
      <c r="H387" s="14"/>
      <c r="I387" s="14"/>
      <c r="J387" s="14"/>
      <c r="K387" s="14"/>
      <c r="L387" s="14"/>
      <c r="M387" s="14"/>
      <c r="N387" s="14"/>
      <c r="O387" s="14"/>
      <c r="P387" s="14"/>
      <c r="Q387" s="14"/>
      <c r="R387" s="14"/>
    </row>
    <row r="388" spans="1:18" ht="27" customHeight="1">
      <c r="A388" s="13"/>
      <c r="B388" s="6"/>
      <c r="C388" s="6"/>
      <c r="D388" s="8"/>
      <c r="E388" s="6"/>
      <c r="F388" s="8"/>
      <c r="G388" s="6"/>
      <c r="H388" s="14"/>
      <c r="I388" s="14"/>
      <c r="J388" s="14"/>
      <c r="K388" s="14"/>
      <c r="L388" s="14"/>
      <c r="M388" s="14"/>
      <c r="N388" s="14"/>
      <c r="O388" s="14"/>
      <c r="P388" s="14"/>
      <c r="Q388" s="14"/>
      <c r="R388" s="14"/>
    </row>
    <row r="389" spans="1:18" ht="27" customHeight="1">
      <c r="A389" s="13"/>
      <c r="B389" s="6"/>
      <c r="C389" s="6"/>
      <c r="D389" s="8"/>
      <c r="E389" s="6"/>
      <c r="F389" s="8"/>
      <c r="G389" s="6"/>
      <c r="H389" s="14"/>
      <c r="I389" s="14"/>
      <c r="J389" s="14"/>
      <c r="K389" s="14"/>
      <c r="L389" s="14"/>
      <c r="M389" s="14"/>
      <c r="N389" s="14"/>
      <c r="O389" s="14"/>
      <c r="P389" s="14"/>
      <c r="Q389" s="14"/>
      <c r="R389" s="14"/>
    </row>
    <row r="390" spans="1:18" ht="27" customHeight="1">
      <c r="A390" s="13"/>
      <c r="B390" s="6"/>
      <c r="C390" s="6"/>
      <c r="D390" s="8"/>
      <c r="E390" s="6"/>
      <c r="F390" s="8"/>
      <c r="G390" s="6"/>
      <c r="H390" s="14"/>
      <c r="I390" s="14"/>
      <c r="J390" s="14"/>
      <c r="K390" s="14"/>
      <c r="L390" s="14"/>
      <c r="M390" s="14"/>
      <c r="N390" s="14"/>
      <c r="O390" s="14"/>
      <c r="P390" s="14"/>
      <c r="Q390" s="14"/>
      <c r="R390" s="14"/>
    </row>
    <row r="391" spans="1:18" ht="27" customHeight="1">
      <c r="A391" s="13"/>
      <c r="B391" s="6"/>
      <c r="C391" s="6"/>
      <c r="D391" s="8"/>
      <c r="E391" s="6"/>
      <c r="F391" s="8"/>
      <c r="G391" s="6"/>
      <c r="H391" s="14"/>
      <c r="I391" s="14"/>
      <c r="J391" s="14"/>
      <c r="K391" s="14"/>
      <c r="L391" s="14"/>
      <c r="M391" s="14"/>
      <c r="N391" s="14"/>
      <c r="O391" s="14"/>
      <c r="P391" s="14"/>
      <c r="Q391" s="14"/>
      <c r="R391" s="14"/>
    </row>
    <row r="392" spans="1:18" ht="27" customHeight="1">
      <c r="A392" s="13"/>
      <c r="B392" s="6"/>
      <c r="C392" s="6"/>
      <c r="D392" s="8"/>
      <c r="E392" s="6"/>
      <c r="F392" s="8"/>
      <c r="G392" s="6"/>
      <c r="H392" s="14"/>
      <c r="I392" s="14"/>
      <c r="J392" s="14"/>
      <c r="K392" s="14"/>
      <c r="L392" s="14"/>
      <c r="M392" s="14"/>
      <c r="N392" s="14"/>
      <c r="O392" s="14"/>
      <c r="P392" s="14"/>
      <c r="Q392" s="14"/>
      <c r="R392" s="14"/>
    </row>
    <row r="393" spans="1:18" ht="27" customHeight="1">
      <c r="A393" s="13"/>
      <c r="B393" s="6"/>
      <c r="C393" s="6"/>
      <c r="D393" s="8"/>
      <c r="E393" s="6"/>
      <c r="F393" s="8"/>
      <c r="G393" s="6"/>
      <c r="H393" s="14"/>
      <c r="I393" s="14"/>
      <c r="J393" s="14"/>
      <c r="K393" s="14"/>
      <c r="L393" s="14"/>
      <c r="M393" s="14"/>
      <c r="N393" s="14"/>
      <c r="O393" s="14"/>
      <c r="P393" s="14"/>
      <c r="Q393" s="14"/>
      <c r="R393" s="14"/>
    </row>
    <row r="394" spans="1:18" ht="27" customHeight="1">
      <c r="A394" s="13"/>
      <c r="B394" s="6"/>
      <c r="C394" s="6"/>
      <c r="D394" s="8"/>
      <c r="E394" s="6"/>
      <c r="F394" s="8"/>
      <c r="G394" s="6"/>
      <c r="H394" s="14"/>
      <c r="I394" s="14"/>
      <c r="J394" s="14"/>
      <c r="K394" s="14"/>
      <c r="L394" s="14"/>
      <c r="M394" s="14"/>
      <c r="N394" s="14"/>
      <c r="O394" s="14"/>
      <c r="P394" s="14"/>
      <c r="Q394" s="14"/>
      <c r="R394" s="14"/>
    </row>
    <row r="395" spans="1:18" ht="27" customHeight="1">
      <c r="A395" s="13"/>
      <c r="B395" s="6"/>
      <c r="C395" s="6"/>
      <c r="D395" s="8"/>
      <c r="E395" s="6"/>
      <c r="F395" s="8"/>
      <c r="G395" s="6"/>
      <c r="H395" s="14"/>
      <c r="I395" s="14"/>
      <c r="J395" s="14"/>
      <c r="K395" s="14"/>
      <c r="L395" s="14"/>
      <c r="M395" s="14"/>
      <c r="N395" s="14"/>
      <c r="O395" s="14"/>
      <c r="P395" s="14"/>
      <c r="Q395" s="14"/>
      <c r="R395" s="14"/>
    </row>
    <row r="396" spans="1:18" ht="27" customHeight="1">
      <c r="A396" s="13"/>
      <c r="B396" s="6"/>
      <c r="C396" s="6"/>
      <c r="D396" s="8"/>
      <c r="E396" s="6"/>
      <c r="F396" s="8"/>
      <c r="G396" s="6"/>
      <c r="H396" s="14"/>
      <c r="I396" s="14"/>
      <c r="J396" s="14"/>
      <c r="K396" s="14"/>
      <c r="L396" s="14"/>
      <c r="M396" s="14"/>
      <c r="N396" s="14"/>
      <c r="O396" s="14"/>
      <c r="P396" s="14"/>
      <c r="Q396" s="14"/>
      <c r="R396" s="14"/>
    </row>
    <row r="397" spans="1:18" ht="27" customHeight="1">
      <c r="A397" s="13"/>
      <c r="B397" s="6"/>
      <c r="C397" s="6"/>
      <c r="D397" s="8"/>
      <c r="E397" s="6"/>
      <c r="F397" s="8"/>
      <c r="G397" s="6"/>
      <c r="H397" s="14"/>
      <c r="I397" s="14"/>
      <c r="J397" s="14"/>
      <c r="K397" s="14"/>
      <c r="L397" s="14"/>
      <c r="M397" s="14"/>
      <c r="N397" s="14"/>
      <c r="O397" s="14"/>
      <c r="P397" s="14"/>
      <c r="Q397" s="14"/>
      <c r="R397" s="14"/>
    </row>
    <row r="398" spans="1:18" ht="27" customHeight="1">
      <c r="A398" s="13"/>
      <c r="B398" s="6"/>
      <c r="C398" s="6"/>
      <c r="D398" s="8"/>
      <c r="E398" s="6"/>
      <c r="F398" s="8"/>
      <c r="G398" s="6"/>
      <c r="H398" s="14"/>
      <c r="I398" s="14"/>
      <c r="J398" s="14"/>
      <c r="K398" s="14"/>
      <c r="L398" s="14"/>
      <c r="M398" s="14"/>
      <c r="N398" s="14"/>
      <c r="O398" s="14"/>
      <c r="P398" s="14"/>
      <c r="Q398" s="14"/>
      <c r="R398" s="14"/>
    </row>
    <row r="399" spans="1:18" ht="27" customHeight="1">
      <c r="A399" s="13"/>
      <c r="B399" s="6"/>
      <c r="C399" s="6"/>
      <c r="D399" s="8"/>
      <c r="E399" s="6"/>
      <c r="F399" s="8"/>
      <c r="G399" s="6"/>
      <c r="H399" s="14"/>
      <c r="I399" s="14"/>
      <c r="J399" s="14"/>
      <c r="K399" s="14"/>
      <c r="L399" s="14"/>
      <c r="M399" s="14"/>
      <c r="N399" s="14"/>
      <c r="O399" s="14"/>
      <c r="P399" s="14"/>
      <c r="Q399" s="14"/>
      <c r="R399" s="14"/>
    </row>
    <row r="400" spans="1:18" ht="27" customHeight="1">
      <c r="A400" s="13"/>
      <c r="B400" s="6"/>
      <c r="C400" s="6"/>
      <c r="D400" s="8"/>
      <c r="E400" s="6"/>
      <c r="F400" s="8"/>
      <c r="G400" s="6"/>
      <c r="H400" s="14"/>
      <c r="I400" s="14"/>
      <c r="J400" s="14"/>
      <c r="K400" s="14"/>
      <c r="L400" s="14"/>
      <c r="M400" s="14"/>
      <c r="N400" s="14"/>
      <c r="O400" s="14"/>
      <c r="P400" s="14"/>
      <c r="Q400" s="14"/>
      <c r="R400" s="14"/>
    </row>
    <row r="401" spans="1:18" ht="27" customHeight="1">
      <c r="A401" s="13"/>
      <c r="B401" s="6"/>
      <c r="C401" s="6"/>
      <c r="D401" s="8"/>
      <c r="E401" s="6"/>
      <c r="F401" s="8"/>
      <c r="G401" s="6"/>
      <c r="H401" s="14"/>
      <c r="I401" s="14"/>
      <c r="J401" s="14"/>
      <c r="K401" s="14"/>
      <c r="L401" s="14"/>
      <c r="M401" s="14"/>
      <c r="N401" s="14"/>
      <c r="O401" s="14"/>
      <c r="P401" s="14"/>
      <c r="Q401" s="14"/>
      <c r="R401" s="14"/>
    </row>
    <row r="402" spans="1:18" ht="27" customHeight="1">
      <c r="A402" s="13"/>
      <c r="B402" s="6"/>
      <c r="C402" s="6"/>
      <c r="D402" s="8"/>
      <c r="E402" s="6"/>
      <c r="F402" s="8"/>
      <c r="G402" s="6"/>
      <c r="H402" s="14"/>
      <c r="I402" s="14"/>
      <c r="J402" s="14"/>
      <c r="K402" s="14"/>
      <c r="L402" s="14"/>
      <c r="M402" s="14"/>
      <c r="N402" s="14"/>
      <c r="O402" s="14"/>
      <c r="P402" s="14"/>
      <c r="Q402" s="14"/>
      <c r="R402" s="14"/>
    </row>
    <row r="403" spans="1:18" ht="27" customHeight="1">
      <c r="A403" s="13"/>
      <c r="B403" s="6"/>
      <c r="C403" s="6"/>
      <c r="D403" s="8"/>
      <c r="E403" s="6"/>
      <c r="F403" s="8"/>
      <c r="G403" s="6"/>
      <c r="H403" s="14"/>
      <c r="I403" s="14"/>
      <c r="J403" s="14"/>
      <c r="K403" s="14"/>
      <c r="L403" s="14"/>
      <c r="M403" s="14"/>
      <c r="N403" s="14"/>
      <c r="O403" s="14"/>
      <c r="P403" s="14"/>
      <c r="Q403" s="14"/>
      <c r="R403" s="14"/>
    </row>
    <row r="404" spans="1:18" ht="27" customHeight="1">
      <c r="A404" s="13"/>
      <c r="B404" s="6"/>
      <c r="C404" s="6"/>
      <c r="D404" s="8"/>
      <c r="E404" s="6"/>
      <c r="F404" s="8"/>
      <c r="G404" s="6"/>
      <c r="H404" s="14"/>
      <c r="I404" s="14"/>
      <c r="J404" s="14"/>
      <c r="K404" s="14"/>
      <c r="L404" s="14"/>
      <c r="M404" s="14"/>
      <c r="N404" s="14"/>
      <c r="O404" s="14"/>
      <c r="P404" s="14"/>
      <c r="Q404" s="14"/>
      <c r="R404" s="14"/>
    </row>
    <row r="405" spans="1:18" ht="27" customHeight="1">
      <c r="A405" s="13"/>
      <c r="B405" s="6"/>
      <c r="C405" s="6"/>
      <c r="D405" s="8"/>
      <c r="E405" s="6"/>
      <c r="F405" s="8"/>
      <c r="G405" s="6"/>
      <c r="H405" s="14"/>
      <c r="I405" s="14"/>
      <c r="J405" s="14"/>
      <c r="K405" s="14"/>
      <c r="L405" s="14"/>
      <c r="M405" s="14"/>
      <c r="N405" s="14"/>
      <c r="O405" s="14"/>
      <c r="P405" s="14"/>
      <c r="Q405" s="14"/>
      <c r="R405" s="14"/>
    </row>
    <row r="406" spans="1:18" ht="27" customHeight="1">
      <c r="A406" s="13"/>
      <c r="B406" s="6"/>
      <c r="C406" s="6"/>
      <c r="D406" s="8"/>
      <c r="E406" s="6"/>
      <c r="F406" s="8"/>
      <c r="G406" s="6"/>
      <c r="H406" s="14"/>
      <c r="I406" s="14"/>
      <c r="J406" s="14"/>
      <c r="K406" s="14"/>
      <c r="L406" s="14"/>
      <c r="M406" s="14"/>
      <c r="N406" s="14"/>
      <c r="O406" s="14"/>
      <c r="P406" s="14"/>
      <c r="Q406" s="14"/>
      <c r="R406" s="14"/>
    </row>
    <row r="407" spans="1:18" ht="27" customHeight="1">
      <c r="A407" s="13"/>
      <c r="B407" s="6"/>
      <c r="C407" s="6"/>
      <c r="D407" s="8"/>
      <c r="E407" s="6"/>
      <c r="F407" s="8"/>
      <c r="G407" s="6"/>
      <c r="H407" s="14"/>
      <c r="I407" s="14"/>
      <c r="J407" s="14"/>
      <c r="K407" s="14"/>
      <c r="L407" s="14"/>
      <c r="M407" s="14"/>
      <c r="N407" s="14"/>
      <c r="O407" s="14"/>
      <c r="P407" s="14"/>
      <c r="Q407" s="14"/>
      <c r="R407" s="14"/>
    </row>
    <row r="408" spans="1:18" ht="27" customHeight="1">
      <c r="A408" s="13"/>
      <c r="B408" s="6"/>
      <c r="C408" s="6"/>
      <c r="D408" s="8"/>
      <c r="E408" s="6"/>
      <c r="F408" s="8"/>
      <c r="G408" s="6"/>
      <c r="H408" s="14"/>
      <c r="I408" s="14"/>
      <c r="J408" s="14"/>
      <c r="K408" s="14"/>
      <c r="L408" s="14"/>
      <c r="M408" s="14"/>
      <c r="N408" s="14"/>
      <c r="O408" s="14"/>
      <c r="P408" s="14"/>
      <c r="Q408" s="14"/>
      <c r="R408" s="14"/>
    </row>
    <row r="409" spans="1:18" ht="27" customHeight="1">
      <c r="A409" s="13"/>
      <c r="B409" s="6"/>
      <c r="C409" s="6"/>
      <c r="D409" s="8"/>
      <c r="E409" s="6"/>
      <c r="F409" s="8"/>
      <c r="G409" s="6"/>
      <c r="H409" s="14"/>
      <c r="I409" s="14"/>
      <c r="J409" s="14"/>
      <c r="K409" s="14"/>
      <c r="L409" s="14"/>
      <c r="M409" s="14"/>
      <c r="N409" s="14"/>
      <c r="O409" s="14"/>
      <c r="P409" s="14"/>
      <c r="Q409" s="14"/>
      <c r="R409" s="14"/>
    </row>
    <row r="410" spans="1:18" ht="27" customHeight="1">
      <c r="A410" s="13"/>
      <c r="B410" s="6"/>
      <c r="C410" s="6"/>
      <c r="D410" s="8"/>
      <c r="E410" s="6"/>
      <c r="F410" s="8"/>
      <c r="G410" s="6"/>
      <c r="H410" s="14"/>
      <c r="I410" s="14"/>
      <c r="J410" s="14"/>
      <c r="K410" s="14"/>
      <c r="L410" s="14"/>
      <c r="M410" s="14"/>
      <c r="N410" s="14"/>
      <c r="O410" s="14"/>
      <c r="P410" s="14"/>
      <c r="Q410" s="14"/>
      <c r="R410" s="14"/>
    </row>
    <row r="411" spans="1:18" ht="27" customHeight="1">
      <c r="A411" s="13"/>
      <c r="B411" s="6"/>
      <c r="C411" s="6"/>
      <c r="D411" s="8"/>
      <c r="E411" s="6"/>
      <c r="F411" s="8"/>
      <c r="G411" s="6"/>
      <c r="H411" s="14"/>
      <c r="I411" s="14"/>
      <c r="J411" s="14"/>
      <c r="K411" s="14"/>
      <c r="L411" s="14"/>
      <c r="M411" s="14"/>
      <c r="N411" s="14"/>
      <c r="O411" s="14"/>
      <c r="P411" s="14"/>
      <c r="Q411" s="14"/>
      <c r="R411" s="14"/>
    </row>
    <row r="412" spans="1:18" ht="27" customHeight="1">
      <c r="A412" s="13"/>
      <c r="B412" s="6"/>
      <c r="C412" s="6"/>
      <c r="D412" s="8"/>
      <c r="E412" s="6"/>
      <c r="F412" s="8"/>
      <c r="G412" s="6"/>
      <c r="H412" s="14"/>
      <c r="I412" s="14"/>
      <c r="J412" s="14"/>
      <c r="K412" s="14"/>
      <c r="L412" s="14"/>
      <c r="M412" s="14"/>
      <c r="N412" s="14"/>
      <c r="O412" s="14"/>
      <c r="P412" s="14"/>
      <c r="Q412" s="14"/>
      <c r="R412" s="14"/>
    </row>
    <row r="413" spans="1:18" ht="27" customHeight="1">
      <c r="A413" s="13"/>
      <c r="B413" s="6"/>
      <c r="C413" s="6"/>
      <c r="D413" s="8"/>
      <c r="E413" s="6"/>
      <c r="F413" s="8"/>
      <c r="G413" s="6"/>
      <c r="H413" s="14"/>
      <c r="I413" s="14"/>
      <c r="J413" s="14"/>
      <c r="K413" s="14"/>
      <c r="L413" s="14"/>
      <c r="M413" s="14"/>
      <c r="N413" s="14"/>
      <c r="O413" s="14"/>
      <c r="P413" s="14"/>
      <c r="Q413" s="14"/>
      <c r="R413" s="14"/>
    </row>
    <row r="414" spans="1:18" ht="27" customHeight="1">
      <c r="A414" s="13"/>
      <c r="B414" s="6"/>
      <c r="C414" s="6"/>
      <c r="D414" s="8"/>
      <c r="E414" s="6"/>
      <c r="F414" s="8"/>
      <c r="G414" s="6"/>
      <c r="H414" s="14"/>
      <c r="I414" s="14"/>
      <c r="J414" s="14"/>
      <c r="K414" s="14"/>
      <c r="L414" s="14"/>
      <c r="M414" s="14"/>
      <c r="N414" s="14"/>
      <c r="O414" s="14"/>
      <c r="P414" s="14"/>
      <c r="Q414" s="14"/>
      <c r="R414" s="14"/>
    </row>
    <row r="415" spans="1:18" ht="27" customHeight="1">
      <c r="A415" s="13"/>
      <c r="B415" s="6"/>
      <c r="C415" s="6"/>
      <c r="D415" s="8"/>
      <c r="E415" s="6"/>
      <c r="F415" s="8"/>
      <c r="G415" s="6"/>
      <c r="H415" s="14"/>
      <c r="I415" s="14"/>
      <c r="J415" s="14"/>
      <c r="K415" s="14"/>
      <c r="L415" s="14"/>
      <c r="M415" s="14"/>
      <c r="N415" s="14"/>
      <c r="O415" s="14"/>
      <c r="P415" s="14"/>
      <c r="Q415" s="14"/>
      <c r="R415" s="14"/>
    </row>
    <row r="416" spans="1:18" ht="27" customHeight="1">
      <c r="A416" s="13"/>
      <c r="B416" s="6"/>
      <c r="C416" s="6"/>
      <c r="D416" s="8"/>
      <c r="E416" s="6"/>
      <c r="F416" s="8"/>
      <c r="G416" s="6"/>
      <c r="H416" s="14"/>
      <c r="I416" s="14"/>
      <c r="J416" s="14"/>
      <c r="K416" s="14"/>
      <c r="L416" s="14"/>
      <c r="M416" s="14"/>
      <c r="N416" s="14"/>
      <c r="O416" s="14"/>
      <c r="P416" s="14"/>
      <c r="Q416" s="14"/>
      <c r="R416" s="14"/>
    </row>
    <row r="417" spans="1:18" ht="27" customHeight="1">
      <c r="A417" s="13"/>
      <c r="B417" s="6"/>
      <c r="C417" s="6"/>
      <c r="D417" s="8"/>
      <c r="E417" s="6"/>
      <c r="F417" s="8"/>
      <c r="G417" s="6"/>
      <c r="H417" s="14"/>
      <c r="I417" s="14"/>
      <c r="J417" s="14"/>
      <c r="K417" s="14"/>
      <c r="L417" s="14"/>
      <c r="M417" s="14"/>
      <c r="N417" s="14"/>
      <c r="O417" s="14"/>
      <c r="P417" s="14"/>
      <c r="Q417" s="14"/>
      <c r="R417" s="14"/>
    </row>
    <row r="418" spans="1:18" ht="27" customHeight="1">
      <c r="A418" s="13"/>
      <c r="B418" s="6"/>
      <c r="C418" s="6"/>
      <c r="D418" s="8"/>
      <c r="E418" s="6"/>
      <c r="F418" s="8"/>
      <c r="G418" s="6"/>
      <c r="H418" s="14"/>
      <c r="I418" s="14"/>
      <c r="J418" s="14"/>
      <c r="K418" s="14"/>
      <c r="L418" s="14"/>
      <c r="M418" s="14"/>
      <c r="N418" s="14"/>
      <c r="O418" s="14"/>
      <c r="P418" s="14"/>
      <c r="Q418" s="14"/>
      <c r="R418" s="14"/>
    </row>
    <row r="419" spans="1:18" ht="27" customHeight="1">
      <c r="A419" s="13"/>
      <c r="B419" s="6"/>
      <c r="C419" s="6"/>
      <c r="D419" s="8"/>
      <c r="E419" s="6"/>
      <c r="F419" s="8"/>
      <c r="G419" s="6"/>
      <c r="H419" s="14"/>
      <c r="I419" s="14"/>
      <c r="J419" s="14"/>
      <c r="K419" s="14"/>
      <c r="L419" s="14"/>
      <c r="M419" s="14"/>
      <c r="N419" s="14"/>
      <c r="O419" s="14"/>
      <c r="P419" s="14"/>
      <c r="Q419" s="14"/>
      <c r="R419" s="14"/>
    </row>
    <row r="420" spans="1:18" ht="27" customHeight="1">
      <c r="A420" s="13"/>
      <c r="B420" s="6"/>
      <c r="C420" s="6"/>
      <c r="D420" s="8"/>
      <c r="E420" s="6"/>
      <c r="F420" s="8"/>
      <c r="G420" s="6"/>
      <c r="H420" s="14"/>
      <c r="I420" s="14"/>
      <c r="J420" s="14"/>
      <c r="K420" s="14"/>
      <c r="L420" s="14"/>
      <c r="M420" s="14"/>
      <c r="N420" s="14"/>
      <c r="O420" s="14"/>
      <c r="P420" s="14"/>
      <c r="Q420" s="14"/>
      <c r="R420" s="14"/>
    </row>
    <row r="421" spans="1:18" ht="27" customHeight="1">
      <c r="A421" s="13"/>
      <c r="B421" s="6"/>
      <c r="C421" s="6"/>
      <c r="D421" s="8"/>
      <c r="E421" s="6"/>
      <c r="F421" s="8"/>
      <c r="G421" s="6"/>
      <c r="H421" s="14"/>
      <c r="I421" s="14"/>
      <c r="J421" s="14"/>
      <c r="K421" s="14"/>
      <c r="L421" s="14"/>
      <c r="M421" s="14"/>
      <c r="N421" s="14"/>
      <c r="O421" s="14"/>
      <c r="P421" s="14"/>
      <c r="Q421" s="14"/>
      <c r="R421" s="14"/>
    </row>
    <row r="422" spans="1:18" ht="27" customHeight="1">
      <c r="A422" s="13"/>
      <c r="B422" s="6"/>
      <c r="C422" s="6"/>
      <c r="D422" s="8"/>
      <c r="E422" s="6"/>
      <c r="F422" s="8"/>
      <c r="G422" s="6"/>
      <c r="H422" s="14"/>
      <c r="I422" s="14"/>
      <c r="J422" s="14"/>
      <c r="K422" s="14"/>
      <c r="L422" s="14"/>
      <c r="M422" s="14"/>
      <c r="N422" s="14"/>
      <c r="O422" s="14"/>
      <c r="P422" s="14"/>
      <c r="Q422" s="14"/>
      <c r="R422" s="14"/>
    </row>
    <row r="423" spans="1:18" ht="27" customHeight="1">
      <c r="A423" s="13"/>
      <c r="B423" s="6"/>
      <c r="C423" s="6"/>
      <c r="D423" s="8"/>
      <c r="E423" s="6"/>
      <c r="F423" s="8"/>
      <c r="G423" s="6"/>
      <c r="H423" s="14"/>
      <c r="I423" s="14"/>
      <c r="J423" s="14"/>
      <c r="K423" s="14"/>
      <c r="L423" s="14"/>
      <c r="M423" s="14"/>
      <c r="N423" s="14"/>
      <c r="O423" s="14"/>
      <c r="P423" s="14"/>
      <c r="Q423" s="14"/>
      <c r="R423" s="14"/>
    </row>
    <row r="424" spans="1:18" ht="27" customHeight="1">
      <c r="A424" s="13"/>
      <c r="B424" s="6"/>
      <c r="C424" s="6"/>
      <c r="D424" s="8"/>
      <c r="E424" s="6"/>
      <c r="F424" s="8"/>
      <c r="G424" s="6"/>
      <c r="H424" s="14"/>
      <c r="I424" s="14"/>
      <c r="J424" s="14"/>
      <c r="K424" s="14"/>
      <c r="L424" s="14"/>
      <c r="M424" s="14"/>
      <c r="N424" s="14"/>
      <c r="O424" s="14"/>
      <c r="P424" s="14"/>
      <c r="Q424" s="14"/>
      <c r="R424" s="14"/>
    </row>
    <row r="425" spans="1:18" ht="27" customHeight="1">
      <c r="A425" s="13"/>
      <c r="B425" s="6"/>
      <c r="C425" s="6"/>
      <c r="D425" s="8"/>
      <c r="E425" s="6"/>
      <c r="F425" s="8"/>
      <c r="G425" s="6"/>
      <c r="H425" s="14"/>
      <c r="I425" s="14"/>
      <c r="J425" s="14"/>
      <c r="K425" s="14"/>
      <c r="L425" s="14"/>
      <c r="M425" s="14"/>
      <c r="N425" s="14"/>
      <c r="O425" s="14"/>
      <c r="P425" s="14"/>
      <c r="Q425" s="14"/>
      <c r="R425" s="14"/>
    </row>
    <row r="426" spans="1:18" ht="27" customHeight="1">
      <c r="A426" s="13"/>
      <c r="B426" s="6"/>
      <c r="C426" s="6"/>
      <c r="D426" s="8"/>
      <c r="E426" s="6"/>
      <c r="F426" s="8"/>
      <c r="G426" s="6"/>
      <c r="H426" s="14"/>
      <c r="I426" s="14"/>
      <c r="J426" s="14"/>
      <c r="K426" s="14"/>
      <c r="L426" s="14"/>
      <c r="M426" s="14"/>
      <c r="N426" s="14"/>
      <c r="O426" s="14"/>
      <c r="P426" s="14"/>
      <c r="Q426" s="14"/>
      <c r="R426" s="14"/>
    </row>
    <row r="427" spans="1:18" ht="27" customHeight="1">
      <c r="A427" s="13"/>
      <c r="B427" s="6"/>
      <c r="C427" s="6"/>
      <c r="D427" s="8"/>
      <c r="E427" s="6"/>
      <c r="F427" s="8"/>
      <c r="G427" s="6"/>
      <c r="H427" s="14"/>
      <c r="I427" s="14"/>
      <c r="J427" s="14"/>
      <c r="K427" s="14"/>
      <c r="L427" s="14"/>
      <c r="M427" s="14"/>
      <c r="N427" s="14"/>
      <c r="O427" s="14"/>
      <c r="P427" s="14"/>
      <c r="Q427" s="14"/>
      <c r="R427" s="14"/>
    </row>
    <row r="428" spans="1:18" ht="27" customHeight="1">
      <c r="A428" s="13"/>
      <c r="B428" s="6"/>
      <c r="C428" s="6"/>
      <c r="D428" s="8"/>
      <c r="E428" s="6"/>
      <c r="F428" s="8"/>
      <c r="G428" s="6"/>
      <c r="H428" s="14"/>
      <c r="I428" s="14"/>
      <c r="J428" s="14"/>
      <c r="K428" s="14"/>
      <c r="L428" s="14"/>
      <c r="M428" s="14"/>
      <c r="N428" s="14"/>
      <c r="O428" s="14"/>
      <c r="P428" s="14"/>
      <c r="Q428" s="14"/>
      <c r="R428" s="14"/>
    </row>
    <row r="429" spans="1:18" ht="27" customHeight="1">
      <c r="A429" s="13"/>
      <c r="B429" s="6"/>
      <c r="C429" s="6"/>
      <c r="D429" s="8"/>
      <c r="E429" s="6"/>
      <c r="F429" s="8"/>
      <c r="G429" s="6"/>
      <c r="H429" s="14"/>
      <c r="I429" s="14"/>
      <c r="J429" s="14"/>
      <c r="K429" s="14"/>
      <c r="L429" s="14"/>
      <c r="M429" s="14"/>
      <c r="N429" s="14"/>
      <c r="O429" s="14"/>
      <c r="P429" s="14"/>
      <c r="Q429" s="14"/>
      <c r="R429" s="14"/>
    </row>
    <row r="430" spans="1:18" ht="27" customHeight="1">
      <c r="A430" s="13"/>
      <c r="B430" s="6"/>
      <c r="C430" s="6"/>
      <c r="D430" s="8"/>
      <c r="E430" s="6"/>
      <c r="F430" s="8"/>
      <c r="G430" s="6"/>
      <c r="H430" s="14"/>
      <c r="I430" s="14"/>
      <c r="J430" s="14"/>
      <c r="K430" s="14"/>
      <c r="L430" s="14"/>
      <c r="M430" s="14"/>
      <c r="N430" s="14"/>
      <c r="O430" s="14"/>
      <c r="P430" s="14"/>
      <c r="Q430" s="14"/>
      <c r="R430" s="14"/>
    </row>
    <row r="431" spans="1:18" ht="27" customHeight="1">
      <c r="A431" s="13"/>
      <c r="B431" s="6"/>
      <c r="C431" s="6"/>
      <c r="D431" s="8"/>
      <c r="E431" s="6"/>
      <c r="F431" s="8"/>
      <c r="G431" s="6"/>
      <c r="H431" s="14"/>
      <c r="I431" s="14"/>
      <c r="J431" s="14"/>
      <c r="K431" s="14"/>
      <c r="L431" s="14"/>
      <c r="M431" s="14"/>
      <c r="N431" s="14"/>
      <c r="O431" s="14"/>
      <c r="P431" s="14"/>
      <c r="Q431" s="14"/>
      <c r="R431" s="14"/>
    </row>
    <row r="432" spans="1:18" ht="27" customHeight="1">
      <c r="A432" s="13"/>
      <c r="B432" s="6"/>
      <c r="C432" s="6"/>
      <c r="D432" s="8"/>
      <c r="E432" s="6"/>
      <c r="F432" s="8"/>
      <c r="G432" s="6"/>
      <c r="H432" s="14"/>
      <c r="I432" s="14"/>
      <c r="J432" s="14"/>
      <c r="K432" s="14"/>
      <c r="L432" s="14"/>
      <c r="M432" s="14"/>
      <c r="N432" s="14"/>
      <c r="O432" s="14"/>
      <c r="P432" s="14"/>
      <c r="Q432" s="14"/>
      <c r="R432" s="14"/>
    </row>
    <row r="433" spans="1:18" ht="27" customHeight="1">
      <c r="A433" s="13"/>
      <c r="B433" s="6"/>
      <c r="C433" s="6"/>
      <c r="D433" s="8"/>
      <c r="E433" s="6"/>
      <c r="F433" s="8"/>
      <c r="G433" s="6"/>
      <c r="H433" s="14"/>
      <c r="I433" s="14"/>
      <c r="J433" s="14"/>
      <c r="K433" s="14"/>
      <c r="L433" s="14"/>
      <c r="M433" s="14"/>
      <c r="N433" s="14"/>
      <c r="O433" s="14"/>
      <c r="P433" s="14"/>
      <c r="Q433" s="14"/>
      <c r="R433" s="14"/>
    </row>
    <row r="434" spans="1:18" ht="27" customHeight="1">
      <c r="A434" s="13"/>
      <c r="B434" s="6"/>
      <c r="C434" s="6"/>
      <c r="D434" s="8"/>
      <c r="E434" s="6"/>
      <c r="F434" s="8"/>
      <c r="G434" s="6"/>
      <c r="H434" s="14"/>
      <c r="I434" s="14"/>
      <c r="J434" s="14"/>
      <c r="K434" s="14"/>
      <c r="L434" s="14"/>
      <c r="M434" s="14"/>
      <c r="N434" s="14"/>
      <c r="O434" s="14"/>
      <c r="P434" s="14"/>
      <c r="Q434" s="14"/>
      <c r="R434" s="14"/>
    </row>
    <row r="435" spans="1:18" ht="27" customHeight="1">
      <c r="A435" s="13"/>
      <c r="B435" s="6"/>
      <c r="C435" s="6"/>
      <c r="D435" s="8"/>
      <c r="E435" s="6"/>
      <c r="F435" s="8"/>
      <c r="G435" s="6"/>
      <c r="H435" s="14"/>
      <c r="I435" s="14"/>
      <c r="J435" s="14"/>
      <c r="K435" s="14"/>
      <c r="L435" s="14"/>
      <c r="M435" s="14"/>
      <c r="N435" s="14"/>
      <c r="O435" s="14"/>
      <c r="P435" s="14"/>
      <c r="Q435" s="14"/>
      <c r="R435" s="14"/>
    </row>
    <row r="436" spans="1:18" ht="27" customHeight="1">
      <c r="A436" s="13"/>
      <c r="B436" s="6"/>
      <c r="C436" s="6"/>
      <c r="D436" s="8"/>
      <c r="E436" s="6"/>
      <c r="F436" s="8"/>
      <c r="G436" s="6"/>
      <c r="H436" s="14"/>
      <c r="I436" s="14"/>
      <c r="J436" s="14"/>
      <c r="K436" s="14"/>
      <c r="L436" s="14"/>
      <c r="M436" s="14"/>
      <c r="N436" s="14"/>
      <c r="O436" s="14"/>
      <c r="P436" s="14"/>
      <c r="Q436" s="14"/>
      <c r="R436" s="14"/>
    </row>
    <row r="437" spans="1:18" ht="27" customHeight="1">
      <c r="A437" s="13"/>
      <c r="B437" s="6"/>
      <c r="C437" s="6"/>
      <c r="D437" s="8"/>
      <c r="E437" s="6"/>
      <c r="F437" s="8"/>
      <c r="G437" s="6"/>
      <c r="H437" s="14"/>
      <c r="I437" s="14"/>
      <c r="J437" s="14"/>
      <c r="K437" s="14"/>
      <c r="L437" s="14"/>
      <c r="M437" s="14"/>
      <c r="N437" s="14"/>
      <c r="O437" s="14"/>
      <c r="P437" s="14"/>
      <c r="Q437" s="14"/>
      <c r="R437" s="14"/>
    </row>
    <row r="438" spans="1:18" ht="27" customHeight="1">
      <c r="A438" s="13"/>
      <c r="B438" s="6"/>
      <c r="C438" s="6"/>
      <c r="D438" s="8"/>
      <c r="E438" s="6"/>
      <c r="F438" s="8"/>
      <c r="G438" s="6"/>
      <c r="H438" s="14"/>
      <c r="I438" s="14"/>
      <c r="J438" s="14"/>
      <c r="K438" s="14"/>
      <c r="L438" s="14"/>
      <c r="M438" s="14"/>
      <c r="N438" s="14"/>
      <c r="O438" s="14"/>
      <c r="P438" s="14"/>
      <c r="Q438" s="14"/>
      <c r="R438" s="14"/>
    </row>
    <row r="439" spans="1:18" ht="27" customHeight="1">
      <c r="A439" s="13"/>
      <c r="B439" s="6"/>
      <c r="C439" s="6"/>
      <c r="D439" s="8"/>
      <c r="E439" s="6"/>
      <c r="F439" s="8"/>
      <c r="G439" s="6"/>
      <c r="H439" s="14"/>
      <c r="I439" s="14"/>
      <c r="J439" s="14"/>
      <c r="K439" s="14"/>
      <c r="L439" s="14"/>
      <c r="M439" s="14"/>
      <c r="N439" s="14"/>
      <c r="O439" s="14"/>
      <c r="P439" s="14"/>
      <c r="Q439" s="14"/>
      <c r="R439" s="14"/>
    </row>
    <row r="440" spans="1:18" ht="27" customHeight="1">
      <c r="A440" s="13"/>
      <c r="B440" s="6"/>
      <c r="C440" s="6"/>
      <c r="D440" s="8"/>
      <c r="E440" s="6"/>
      <c r="F440" s="8"/>
      <c r="G440" s="6"/>
      <c r="H440" s="14"/>
      <c r="I440" s="14"/>
      <c r="J440" s="14"/>
      <c r="K440" s="14"/>
      <c r="L440" s="14"/>
      <c r="M440" s="14"/>
      <c r="N440" s="14"/>
      <c r="O440" s="14"/>
      <c r="P440" s="14"/>
      <c r="Q440" s="14"/>
      <c r="R440" s="14"/>
    </row>
    <row r="441" spans="1:18" ht="27" customHeight="1">
      <c r="A441" s="13"/>
      <c r="B441" s="6"/>
      <c r="C441" s="6"/>
      <c r="D441" s="8"/>
      <c r="E441" s="6"/>
      <c r="F441" s="8"/>
      <c r="G441" s="6"/>
      <c r="H441" s="14"/>
      <c r="I441" s="14"/>
      <c r="J441" s="14"/>
      <c r="K441" s="14"/>
      <c r="L441" s="14"/>
      <c r="M441" s="14"/>
      <c r="N441" s="14"/>
      <c r="O441" s="14"/>
      <c r="P441" s="14"/>
      <c r="Q441" s="14"/>
      <c r="R441" s="14"/>
    </row>
    <row r="442" spans="1:18" ht="27" customHeight="1">
      <c r="A442" s="13"/>
      <c r="B442" s="6"/>
      <c r="C442" s="6"/>
      <c r="D442" s="8"/>
      <c r="E442" s="6"/>
      <c r="F442" s="8"/>
      <c r="G442" s="6"/>
      <c r="H442" s="14"/>
      <c r="I442" s="14"/>
      <c r="J442" s="14"/>
      <c r="K442" s="14"/>
      <c r="L442" s="14"/>
      <c r="M442" s="14"/>
      <c r="N442" s="14"/>
      <c r="O442" s="14"/>
      <c r="P442" s="14"/>
      <c r="Q442" s="14"/>
      <c r="R442" s="14"/>
    </row>
    <row r="443" spans="1:18" ht="27" customHeight="1">
      <c r="A443" s="13"/>
      <c r="B443" s="6"/>
      <c r="C443" s="6"/>
      <c r="D443" s="8"/>
      <c r="E443" s="6"/>
      <c r="F443" s="8"/>
      <c r="G443" s="6"/>
      <c r="H443" s="14"/>
      <c r="I443" s="14"/>
      <c r="J443" s="14"/>
      <c r="K443" s="14"/>
      <c r="L443" s="14"/>
      <c r="M443" s="14"/>
      <c r="N443" s="14"/>
      <c r="O443" s="14"/>
      <c r="P443" s="14"/>
      <c r="Q443" s="14"/>
      <c r="R443" s="14"/>
    </row>
    <row r="444" spans="1:18" ht="27" customHeight="1">
      <c r="A444" s="13"/>
      <c r="B444" s="6"/>
      <c r="C444" s="6"/>
      <c r="D444" s="8"/>
      <c r="E444" s="6"/>
      <c r="F444" s="8"/>
      <c r="G444" s="6"/>
      <c r="H444" s="14"/>
      <c r="I444" s="14"/>
      <c r="J444" s="14"/>
      <c r="K444" s="14"/>
      <c r="L444" s="14"/>
      <c r="M444" s="14"/>
      <c r="N444" s="14"/>
      <c r="O444" s="14"/>
      <c r="P444" s="14"/>
      <c r="Q444" s="14"/>
      <c r="R444" s="14"/>
    </row>
    <row r="445" spans="1:18" ht="27" customHeight="1">
      <c r="A445" s="13"/>
      <c r="B445" s="6"/>
      <c r="C445" s="6"/>
      <c r="D445" s="8"/>
      <c r="E445" s="6"/>
      <c r="F445" s="8"/>
      <c r="G445" s="6"/>
      <c r="H445" s="14"/>
      <c r="I445" s="14"/>
      <c r="J445" s="14"/>
      <c r="K445" s="14"/>
      <c r="L445" s="14"/>
      <c r="M445" s="14"/>
      <c r="N445" s="14"/>
      <c r="O445" s="14"/>
      <c r="P445" s="14"/>
      <c r="Q445" s="14"/>
      <c r="R445" s="14"/>
    </row>
    <row r="446" spans="1:18" ht="27" customHeight="1">
      <c r="A446" s="13"/>
      <c r="B446" s="6"/>
      <c r="C446" s="6"/>
      <c r="D446" s="8"/>
      <c r="E446" s="6"/>
      <c r="F446" s="8"/>
      <c r="G446" s="6"/>
      <c r="H446" s="14"/>
      <c r="I446" s="14"/>
      <c r="J446" s="14"/>
      <c r="K446" s="14"/>
      <c r="L446" s="14"/>
      <c r="M446" s="14"/>
      <c r="N446" s="14"/>
      <c r="O446" s="14"/>
      <c r="P446" s="14"/>
      <c r="Q446" s="14"/>
      <c r="R446" s="14"/>
    </row>
    <row r="447" spans="1:18" ht="27" customHeight="1">
      <c r="A447" s="13"/>
      <c r="B447" s="6"/>
      <c r="C447" s="6"/>
      <c r="D447" s="8"/>
      <c r="E447" s="6"/>
      <c r="F447" s="8"/>
      <c r="G447" s="6"/>
      <c r="H447" s="14"/>
      <c r="I447" s="14"/>
      <c r="J447" s="14"/>
      <c r="K447" s="14"/>
      <c r="L447" s="14"/>
      <c r="M447" s="14"/>
      <c r="N447" s="14"/>
      <c r="O447" s="14"/>
      <c r="P447" s="14"/>
      <c r="Q447" s="14"/>
      <c r="R447" s="14"/>
    </row>
    <row r="448" spans="1:18" ht="27" customHeight="1">
      <c r="A448" s="13"/>
      <c r="B448" s="6"/>
      <c r="C448" s="6"/>
      <c r="D448" s="8"/>
      <c r="E448" s="6"/>
      <c r="F448" s="8"/>
      <c r="G448" s="6"/>
      <c r="H448" s="14"/>
      <c r="I448" s="14"/>
      <c r="J448" s="14"/>
      <c r="K448" s="14"/>
      <c r="L448" s="14"/>
      <c r="M448" s="14"/>
      <c r="N448" s="14"/>
      <c r="O448" s="14"/>
      <c r="P448" s="14"/>
      <c r="Q448" s="14"/>
      <c r="R448" s="14"/>
    </row>
    <row r="449" spans="1:18" ht="27" customHeight="1">
      <c r="A449" s="13"/>
      <c r="B449" s="6"/>
      <c r="C449" s="6"/>
      <c r="D449" s="8"/>
      <c r="E449" s="6"/>
      <c r="F449" s="8"/>
      <c r="G449" s="6"/>
      <c r="H449" s="14"/>
      <c r="I449" s="14"/>
      <c r="J449" s="14"/>
      <c r="K449" s="14"/>
      <c r="L449" s="14"/>
      <c r="M449" s="14"/>
      <c r="N449" s="14"/>
      <c r="O449" s="14"/>
      <c r="P449" s="14"/>
      <c r="Q449" s="14"/>
      <c r="R449" s="14"/>
    </row>
    <row r="450" spans="1:18" ht="27" customHeight="1">
      <c r="A450" s="13"/>
      <c r="B450" s="6"/>
      <c r="C450" s="6"/>
      <c r="D450" s="8"/>
      <c r="E450" s="6"/>
      <c r="F450" s="8"/>
      <c r="G450" s="6"/>
      <c r="H450" s="14"/>
      <c r="I450" s="14"/>
      <c r="J450" s="14"/>
      <c r="K450" s="14"/>
      <c r="L450" s="14"/>
      <c r="M450" s="14"/>
      <c r="N450" s="14"/>
      <c r="O450" s="14"/>
      <c r="P450" s="14"/>
      <c r="Q450" s="14"/>
      <c r="R450" s="14"/>
    </row>
    <row r="451" spans="1:18" ht="27" customHeight="1">
      <c r="A451" s="13"/>
      <c r="B451" s="6"/>
      <c r="C451" s="6"/>
      <c r="D451" s="8"/>
      <c r="E451" s="6"/>
      <c r="F451" s="8"/>
      <c r="G451" s="6"/>
      <c r="H451" s="14"/>
      <c r="I451" s="14"/>
      <c r="J451" s="14"/>
      <c r="K451" s="14"/>
      <c r="L451" s="14"/>
      <c r="M451" s="14"/>
      <c r="N451" s="14"/>
      <c r="O451" s="14"/>
      <c r="P451" s="14"/>
      <c r="Q451" s="14"/>
      <c r="R451" s="14"/>
    </row>
    <row r="452" spans="1:18" ht="27" customHeight="1">
      <c r="A452" s="13"/>
      <c r="B452" s="6"/>
      <c r="C452" s="6"/>
      <c r="D452" s="8"/>
      <c r="E452" s="6"/>
      <c r="F452" s="8"/>
      <c r="G452" s="6"/>
      <c r="H452" s="14"/>
      <c r="I452" s="14"/>
      <c r="J452" s="14"/>
      <c r="K452" s="14"/>
      <c r="L452" s="14"/>
      <c r="M452" s="14"/>
      <c r="N452" s="14"/>
      <c r="O452" s="14"/>
      <c r="P452" s="14"/>
      <c r="Q452" s="14"/>
      <c r="R452" s="14"/>
    </row>
    <row r="453" spans="1:18" ht="27" customHeight="1">
      <c r="A453" s="13"/>
      <c r="B453" s="6"/>
      <c r="C453" s="6"/>
      <c r="D453" s="8"/>
      <c r="E453" s="6"/>
      <c r="F453" s="8"/>
      <c r="G453" s="6"/>
      <c r="H453" s="14"/>
      <c r="I453" s="14"/>
      <c r="J453" s="14"/>
      <c r="K453" s="14"/>
      <c r="L453" s="14"/>
      <c r="M453" s="14"/>
      <c r="N453" s="14"/>
      <c r="O453" s="14"/>
      <c r="P453" s="14"/>
      <c r="Q453" s="14"/>
      <c r="R453" s="14"/>
    </row>
    <row r="454" spans="1:18" ht="27" customHeight="1">
      <c r="A454" s="13"/>
      <c r="B454" s="6"/>
      <c r="C454" s="6"/>
      <c r="D454" s="8"/>
      <c r="E454" s="6"/>
      <c r="F454" s="8"/>
      <c r="G454" s="6"/>
      <c r="H454" s="14"/>
      <c r="I454" s="14"/>
      <c r="J454" s="14"/>
      <c r="K454" s="14"/>
      <c r="L454" s="14"/>
      <c r="M454" s="14"/>
      <c r="N454" s="14"/>
      <c r="O454" s="14"/>
      <c r="P454" s="14"/>
      <c r="Q454" s="14"/>
      <c r="R454" s="14"/>
    </row>
    <row r="455" spans="1:18" ht="27" customHeight="1">
      <c r="A455" s="13"/>
      <c r="B455" s="6"/>
      <c r="C455" s="6"/>
      <c r="D455" s="8"/>
      <c r="E455" s="6"/>
      <c r="F455" s="8"/>
      <c r="G455" s="6"/>
      <c r="H455" s="14"/>
      <c r="I455" s="14"/>
      <c r="J455" s="14"/>
      <c r="K455" s="14"/>
      <c r="L455" s="14"/>
      <c r="M455" s="14"/>
      <c r="N455" s="14"/>
      <c r="O455" s="14"/>
      <c r="P455" s="14"/>
      <c r="Q455" s="14"/>
      <c r="R455" s="14"/>
    </row>
    <row r="456" spans="1:18" ht="27" customHeight="1">
      <c r="A456" s="13"/>
      <c r="B456" s="6"/>
      <c r="C456" s="6"/>
      <c r="D456" s="8"/>
      <c r="E456" s="6"/>
      <c r="F456" s="8"/>
      <c r="G456" s="6"/>
      <c r="H456" s="14"/>
      <c r="I456" s="14"/>
      <c r="J456" s="14"/>
      <c r="K456" s="14"/>
      <c r="L456" s="14"/>
      <c r="M456" s="14"/>
      <c r="N456" s="14"/>
      <c r="O456" s="14"/>
      <c r="P456" s="14"/>
      <c r="Q456" s="14"/>
      <c r="R456" s="14"/>
    </row>
    <row r="457" spans="1:18" ht="27" customHeight="1">
      <c r="A457" s="13"/>
      <c r="B457" s="6"/>
      <c r="C457" s="6"/>
      <c r="D457" s="8"/>
      <c r="E457" s="6"/>
      <c r="F457" s="8"/>
      <c r="G457" s="6"/>
      <c r="H457" s="14"/>
      <c r="I457" s="14"/>
      <c r="J457" s="14"/>
      <c r="K457" s="14"/>
      <c r="L457" s="14"/>
      <c r="M457" s="14"/>
      <c r="N457" s="14"/>
      <c r="O457" s="14"/>
      <c r="P457" s="14"/>
      <c r="Q457" s="14"/>
      <c r="R457" s="14"/>
    </row>
    <row r="458" spans="1:18" ht="27" customHeight="1">
      <c r="A458" s="13"/>
      <c r="B458" s="6"/>
      <c r="C458" s="6"/>
      <c r="D458" s="8"/>
      <c r="E458" s="6"/>
      <c r="F458" s="8"/>
      <c r="G458" s="6"/>
      <c r="H458" s="14"/>
      <c r="I458" s="14"/>
      <c r="J458" s="14"/>
      <c r="K458" s="14"/>
      <c r="L458" s="14"/>
      <c r="M458" s="14"/>
      <c r="N458" s="14"/>
      <c r="O458" s="14"/>
      <c r="P458" s="14"/>
      <c r="Q458" s="14"/>
      <c r="R458" s="14"/>
    </row>
    <row r="459" spans="1:18" ht="27" customHeight="1">
      <c r="A459" s="13"/>
      <c r="B459" s="6"/>
      <c r="C459" s="6"/>
      <c r="D459" s="8"/>
      <c r="E459" s="6"/>
      <c r="F459" s="8"/>
      <c r="G459" s="6"/>
      <c r="H459" s="14"/>
      <c r="I459" s="14"/>
      <c r="J459" s="14"/>
      <c r="K459" s="14"/>
      <c r="L459" s="14"/>
      <c r="M459" s="14"/>
      <c r="N459" s="14"/>
      <c r="O459" s="14"/>
      <c r="P459" s="14"/>
      <c r="Q459" s="14"/>
      <c r="R459" s="14"/>
    </row>
    <row r="460" spans="1:18" ht="27" customHeight="1">
      <c r="A460" s="13"/>
      <c r="B460" s="6"/>
      <c r="C460" s="6"/>
      <c r="D460" s="8"/>
      <c r="E460" s="6"/>
      <c r="F460" s="8"/>
      <c r="G460" s="6"/>
      <c r="H460" s="14"/>
      <c r="I460" s="14"/>
      <c r="J460" s="14"/>
      <c r="K460" s="14"/>
      <c r="L460" s="14"/>
      <c r="M460" s="14"/>
      <c r="N460" s="14"/>
      <c r="O460" s="14"/>
      <c r="P460" s="14"/>
      <c r="Q460" s="14"/>
      <c r="R460" s="14"/>
    </row>
    <row r="461" spans="1:18" ht="27" customHeight="1">
      <c r="A461" s="13"/>
      <c r="B461" s="6"/>
      <c r="C461" s="6"/>
      <c r="D461" s="8"/>
      <c r="E461" s="6"/>
      <c r="F461" s="8"/>
      <c r="G461" s="6"/>
      <c r="H461" s="14"/>
      <c r="I461" s="14"/>
      <c r="J461" s="14"/>
      <c r="K461" s="14"/>
      <c r="L461" s="14"/>
      <c r="M461" s="14"/>
      <c r="N461" s="14"/>
      <c r="O461" s="14"/>
      <c r="P461" s="14"/>
      <c r="Q461" s="14"/>
      <c r="R461" s="14"/>
    </row>
    <row r="462" spans="1:18" ht="27" customHeight="1">
      <c r="A462" s="13"/>
      <c r="B462" s="6"/>
      <c r="C462" s="6"/>
      <c r="D462" s="8"/>
      <c r="E462" s="6"/>
      <c r="F462" s="8"/>
      <c r="G462" s="6"/>
      <c r="H462" s="14"/>
      <c r="I462" s="14"/>
      <c r="J462" s="14"/>
      <c r="K462" s="14"/>
      <c r="L462" s="14"/>
      <c r="M462" s="14"/>
      <c r="N462" s="14"/>
      <c r="O462" s="14"/>
      <c r="P462" s="14"/>
      <c r="Q462" s="14"/>
      <c r="R462" s="14"/>
    </row>
    <row r="463" spans="1:18" ht="27" customHeight="1">
      <c r="A463" s="13"/>
      <c r="B463" s="6"/>
      <c r="C463" s="6"/>
      <c r="D463" s="8"/>
      <c r="E463" s="6"/>
      <c r="F463" s="8"/>
      <c r="G463" s="6"/>
      <c r="H463" s="14"/>
      <c r="I463" s="14"/>
      <c r="J463" s="14"/>
      <c r="K463" s="14"/>
      <c r="L463" s="14"/>
      <c r="M463" s="14"/>
      <c r="N463" s="14"/>
      <c r="O463" s="14"/>
      <c r="P463" s="14"/>
      <c r="Q463" s="14"/>
      <c r="R463" s="14"/>
    </row>
    <row r="464" spans="1:18" ht="27" customHeight="1">
      <c r="A464" s="13"/>
      <c r="B464" s="6"/>
      <c r="C464" s="6"/>
      <c r="D464" s="8"/>
      <c r="E464" s="6"/>
      <c r="F464" s="8"/>
      <c r="G464" s="6"/>
      <c r="H464" s="14"/>
      <c r="I464" s="14"/>
      <c r="J464" s="14"/>
      <c r="K464" s="14"/>
      <c r="L464" s="14"/>
      <c r="M464" s="14"/>
      <c r="N464" s="14"/>
      <c r="O464" s="14"/>
      <c r="P464" s="14"/>
      <c r="Q464" s="14"/>
      <c r="R464" s="14"/>
    </row>
    <row r="465" spans="1:18" ht="27" customHeight="1">
      <c r="A465" s="13"/>
      <c r="B465" s="6"/>
      <c r="C465" s="6"/>
      <c r="D465" s="8"/>
      <c r="E465" s="6"/>
      <c r="F465" s="8"/>
      <c r="G465" s="6"/>
      <c r="H465" s="14"/>
      <c r="I465" s="14"/>
      <c r="J465" s="14"/>
      <c r="K465" s="14"/>
      <c r="L465" s="14"/>
      <c r="M465" s="14"/>
      <c r="N465" s="14"/>
      <c r="O465" s="14"/>
      <c r="P465" s="14"/>
      <c r="Q465" s="14"/>
      <c r="R465" s="14"/>
    </row>
    <row r="466" spans="1:18" ht="27" customHeight="1">
      <c r="A466" s="13"/>
      <c r="B466" s="6"/>
      <c r="C466" s="6"/>
      <c r="D466" s="8"/>
      <c r="E466" s="6"/>
      <c r="F466" s="8"/>
      <c r="G466" s="6"/>
      <c r="H466" s="14"/>
      <c r="I466" s="14"/>
      <c r="J466" s="14"/>
      <c r="K466" s="14"/>
      <c r="L466" s="14"/>
      <c r="M466" s="14"/>
      <c r="N466" s="14"/>
      <c r="O466" s="14"/>
      <c r="P466" s="14"/>
      <c r="Q466" s="14"/>
      <c r="R466" s="14"/>
    </row>
    <row r="467" spans="1:18" ht="27" customHeight="1">
      <c r="A467" s="13"/>
      <c r="B467" s="6"/>
      <c r="C467" s="6"/>
      <c r="D467" s="8"/>
      <c r="E467" s="6"/>
      <c r="F467" s="8"/>
      <c r="G467" s="6"/>
      <c r="H467" s="14"/>
      <c r="I467" s="14"/>
      <c r="J467" s="14"/>
      <c r="K467" s="14"/>
      <c r="L467" s="14"/>
      <c r="M467" s="14"/>
      <c r="N467" s="14"/>
      <c r="O467" s="14"/>
      <c r="P467" s="14"/>
      <c r="Q467" s="14"/>
      <c r="R467" s="14"/>
    </row>
    <row r="468" spans="1:18" ht="27" customHeight="1">
      <c r="A468" s="13"/>
      <c r="B468" s="6"/>
      <c r="C468" s="6"/>
      <c r="D468" s="8"/>
      <c r="E468" s="6"/>
      <c r="F468" s="8"/>
      <c r="G468" s="6"/>
      <c r="H468" s="14"/>
      <c r="I468" s="14"/>
      <c r="J468" s="14"/>
      <c r="K468" s="14"/>
      <c r="L468" s="14"/>
      <c r="M468" s="14"/>
      <c r="N468" s="14"/>
      <c r="O468" s="14"/>
      <c r="P468" s="14"/>
      <c r="Q468" s="14"/>
      <c r="R468" s="14"/>
    </row>
    <row r="469" spans="1:18" ht="27" customHeight="1">
      <c r="A469" s="13"/>
      <c r="B469" s="6"/>
      <c r="C469" s="6"/>
      <c r="D469" s="8"/>
      <c r="E469" s="6"/>
      <c r="F469" s="8"/>
      <c r="G469" s="6"/>
      <c r="H469" s="14"/>
      <c r="I469" s="14"/>
      <c r="J469" s="14"/>
      <c r="K469" s="14"/>
      <c r="L469" s="14"/>
      <c r="M469" s="14"/>
      <c r="N469" s="14"/>
      <c r="O469" s="14"/>
      <c r="P469" s="14"/>
      <c r="Q469" s="14"/>
      <c r="R469" s="14"/>
    </row>
    <row r="470" spans="1:18" ht="27" customHeight="1">
      <c r="A470" s="13"/>
      <c r="B470" s="6"/>
      <c r="C470" s="6"/>
      <c r="D470" s="8"/>
      <c r="E470" s="6"/>
      <c r="F470" s="8"/>
      <c r="G470" s="6"/>
      <c r="H470" s="14"/>
      <c r="I470" s="14"/>
      <c r="J470" s="14"/>
      <c r="K470" s="14"/>
      <c r="L470" s="14"/>
      <c r="M470" s="14"/>
      <c r="N470" s="14"/>
      <c r="O470" s="14"/>
      <c r="P470" s="14"/>
      <c r="Q470" s="14"/>
      <c r="R470" s="14"/>
    </row>
    <row r="471" spans="1:18" ht="27" customHeight="1">
      <c r="A471" s="13"/>
      <c r="B471" s="6"/>
      <c r="C471" s="6"/>
      <c r="D471" s="8"/>
      <c r="E471" s="6"/>
      <c r="F471" s="8"/>
      <c r="G471" s="6"/>
      <c r="H471" s="14"/>
      <c r="I471" s="14"/>
      <c r="J471" s="14"/>
      <c r="K471" s="14"/>
      <c r="L471" s="14"/>
      <c r="M471" s="14"/>
      <c r="N471" s="14"/>
      <c r="O471" s="14"/>
      <c r="P471" s="14"/>
      <c r="Q471" s="14"/>
      <c r="R471" s="14"/>
    </row>
    <row r="472" spans="1:18" ht="27" customHeight="1">
      <c r="A472" s="13"/>
      <c r="B472" s="6"/>
      <c r="C472" s="6"/>
      <c r="D472" s="8"/>
      <c r="E472" s="6"/>
      <c r="F472" s="8"/>
      <c r="G472" s="6"/>
      <c r="H472" s="14"/>
      <c r="I472" s="14"/>
      <c r="J472" s="14"/>
      <c r="K472" s="14"/>
      <c r="L472" s="14"/>
      <c r="M472" s="14"/>
      <c r="N472" s="14"/>
      <c r="O472" s="14"/>
      <c r="P472" s="14"/>
      <c r="Q472" s="14"/>
      <c r="R472" s="14"/>
    </row>
    <row r="473" spans="1:18" ht="27" customHeight="1">
      <c r="A473" s="13"/>
      <c r="B473" s="6"/>
      <c r="C473" s="6"/>
      <c r="D473" s="8"/>
      <c r="E473" s="6"/>
      <c r="F473" s="8"/>
      <c r="G473" s="6"/>
      <c r="H473" s="14"/>
      <c r="I473" s="14"/>
      <c r="J473" s="14"/>
      <c r="K473" s="14"/>
      <c r="L473" s="14"/>
      <c r="M473" s="14"/>
      <c r="N473" s="14"/>
      <c r="O473" s="14"/>
      <c r="P473" s="14"/>
      <c r="Q473" s="14"/>
      <c r="R473" s="14"/>
    </row>
    <row r="474" spans="1:18" ht="27" customHeight="1">
      <c r="A474" s="13"/>
      <c r="B474" s="6"/>
      <c r="C474" s="6"/>
      <c r="D474" s="8"/>
      <c r="E474" s="6"/>
      <c r="F474" s="8"/>
      <c r="G474" s="6"/>
      <c r="H474" s="14"/>
      <c r="I474" s="14"/>
      <c r="J474" s="14"/>
      <c r="K474" s="14"/>
      <c r="L474" s="14"/>
      <c r="M474" s="14"/>
      <c r="N474" s="14"/>
      <c r="O474" s="14"/>
      <c r="P474" s="14"/>
      <c r="Q474" s="14"/>
      <c r="R474" s="14"/>
    </row>
    <row r="475" spans="1:18" ht="27" customHeight="1">
      <c r="A475" s="13"/>
      <c r="B475" s="6"/>
      <c r="C475" s="6"/>
      <c r="D475" s="8"/>
      <c r="E475" s="6"/>
      <c r="F475" s="8"/>
      <c r="G475" s="6"/>
      <c r="H475" s="14"/>
      <c r="I475" s="14"/>
      <c r="J475" s="14"/>
      <c r="K475" s="14"/>
      <c r="L475" s="14"/>
      <c r="M475" s="14"/>
      <c r="N475" s="14"/>
      <c r="O475" s="14"/>
      <c r="P475" s="14"/>
      <c r="Q475" s="14"/>
      <c r="R475" s="14"/>
    </row>
    <row r="476" spans="1:18" ht="27" customHeight="1">
      <c r="A476" s="13"/>
      <c r="B476" s="6"/>
      <c r="C476" s="6"/>
      <c r="D476" s="8"/>
      <c r="E476" s="6"/>
      <c r="F476" s="8"/>
      <c r="G476" s="6"/>
      <c r="H476" s="14"/>
      <c r="I476" s="14"/>
      <c r="J476" s="14"/>
      <c r="K476" s="14"/>
      <c r="L476" s="14"/>
      <c r="M476" s="14"/>
      <c r="N476" s="14"/>
      <c r="O476" s="14"/>
      <c r="P476" s="14"/>
      <c r="Q476" s="14"/>
      <c r="R476" s="14"/>
    </row>
    <row r="477" spans="1:18" ht="27" customHeight="1">
      <c r="A477" s="13"/>
      <c r="B477" s="6"/>
      <c r="C477" s="6"/>
      <c r="D477" s="8"/>
      <c r="E477" s="6"/>
      <c r="F477" s="8"/>
      <c r="G477" s="6"/>
      <c r="H477" s="14"/>
      <c r="I477" s="14"/>
      <c r="J477" s="14"/>
      <c r="K477" s="14"/>
      <c r="L477" s="14"/>
      <c r="M477" s="14"/>
      <c r="N477" s="14"/>
      <c r="O477" s="14"/>
      <c r="P477" s="14"/>
      <c r="Q477" s="14"/>
      <c r="R477" s="14"/>
    </row>
    <row r="478" spans="1:18" ht="27" customHeight="1">
      <c r="A478" s="13"/>
      <c r="B478" s="6"/>
      <c r="C478" s="6"/>
      <c r="D478" s="8"/>
      <c r="E478" s="6"/>
      <c r="F478" s="8"/>
      <c r="G478" s="6"/>
      <c r="H478" s="14"/>
      <c r="I478" s="14"/>
      <c r="J478" s="14"/>
      <c r="K478" s="14"/>
      <c r="L478" s="14"/>
      <c r="M478" s="14"/>
      <c r="N478" s="14"/>
      <c r="O478" s="14"/>
      <c r="P478" s="14"/>
      <c r="Q478" s="14"/>
      <c r="R478" s="14"/>
    </row>
    <row r="479" spans="1:18" ht="27" customHeight="1">
      <c r="A479" s="13"/>
      <c r="B479" s="6"/>
      <c r="C479" s="6"/>
      <c r="D479" s="8"/>
      <c r="E479" s="6"/>
      <c r="F479" s="8"/>
      <c r="G479" s="6"/>
      <c r="H479" s="14"/>
      <c r="I479" s="14"/>
      <c r="J479" s="14"/>
      <c r="K479" s="14"/>
      <c r="L479" s="14"/>
      <c r="M479" s="14"/>
      <c r="N479" s="14"/>
      <c r="O479" s="14"/>
      <c r="P479" s="14"/>
      <c r="Q479" s="14"/>
      <c r="R479" s="14"/>
    </row>
    <row r="480" spans="1:18" ht="27" customHeight="1">
      <c r="A480" s="13"/>
      <c r="B480" s="6"/>
      <c r="C480" s="6"/>
      <c r="D480" s="8"/>
      <c r="E480" s="6"/>
      <c r="F480" s="8"/>
      <c r="G480" s="6"/>
      <c r="H480" s="14"/>
      <c r="I480" s="14"/>
      <c r="J480" s="14"/>
      <c r="K480" s="14"/>
      <c r="L480" s="14"/>
      <c r="M480" s="14"/>
      <c r="N480" s="14"/>
      <c r="O480" s="14"/>
      <c r="P480" s="14"/>
      <c r="Q480" s="14"/>
      <c r="R480" s="14"/>
    </row>
    <row r="481" spans="1:18" ht="27" customHeight="1">
      <c r="A481" s="13"/>
      <c r="B481" s="6"/>
      <c r="C481" s="6"/>
      <c r="D481" s="8"/>
      <c r="E481" s="6"/>
      <c r="F481" s="8"/>
      <c r="G481" s="6"/>
      <c r="H481" s="14"/>
      <c r="I481" s="14"/>
      <c r="J481" s="14"/>
      <c r="K481" s="14"/>
      <c r="L481" s="14"/>
      <c r="M481" s="14"/>
      <c r="N481" s="14"/>
      <c r="O481" s="14"/>
      <c r="P481" s="14"/>
      <c r="Q481" s="14"/>
      <c r="R481" s="14"/>
    </row>
    <row r="482" spans="1:18" ht="27" customHeight="1">
      <c r="A482" s="13"/>
      <c r="B482" s="6"/>
      <c r="C482" s="6"/>
      <c r="D482" s="8"/>
      <c r="E482" s="6"/>
      <c r="F482" s="8"/>
      <c r="G482" s="6"/>
      <c r="H482" s="14"/>
      <c r="I482" s="14"/>
      <c r="J482" s="14"/>
      <c r="K482" s="14"/>
      <c r="L482" s="14"/>
      <c r="M482" s="14"/>
      <c r="N482" s="14"/>
      <c r="O482" s="14"/>
      <c r="P482" s="14"/>
      <c r="Q482" s="14"/>
      <c r="R482" s="14"/>
    </row>
    <row r="483" spans="1:18" ht="27" customHeight="1">
      <c r="A483" s="13"/>
      <c r="B483" s="6"/>
      <c r="C483" s="6"/>
      <c r="D483" s="8"/>
      <c r="E483" s="6"/>
      <c r="F483" s="8"/>
      <c r="G483" s="6"/>
      <c r="H483" s="14"/>
      <c r="I483" s="14"/>
      <c r="J483" s="14"/>
      <c r="K483" s="14"/>
      <c r="L483" s="14"/>
      <c r="M483" s="14"/>
      <c r="N483" s="14"/>
      <c r="O483" s="14"/>
      <c r="P483" s="14"/>
      <c r="Q483" s="14"/>
      <c r="R483" s="14"/>
    </row>
    <row r="484" spans="1:18" ht="27" customHeight="1">
      <c r="A484" s="13"/>
      <c r="B484" s="6"/>
      <c r="C484" s="6"/>
      <c r="D484" s="8"/>
      <c r="E484" s="6"/>
      <c r="F484" s="8"/>
      <c r="G484" s="6"/>
      <c r="H484" s="14"/>
      <c r="I484" s="14"/>
      <c r="J484" s="14"/>
      <c r="K484" s="14"/>
      <c r="L484" s="14"/>
      <c r="M484" s="14"/>
      <c r="N484" s="14"/>
      <c r="O484" s="14"/>
      <c r="P484" s="14"/>
      <c r="Q484" s="14"/>
      <c r="R484" s="14"/>
    </row>
    <row r="485" spans="1:18" ht="27" customHeight="1">
      <c r="A485" s="13"/>
      <c r="B485" s="6"/>
      <c r="C485" s="6"/>
      <c r="D485" s="8"/>
      <c r="E485" s="6"/>
      <c r="F485" s="8"/>
      <c r="G485" s="6"/>
      <c r="H485" s="14"/>
      <c r="I485" s="14"/>
      <c r="J485" s="14"/>
      <c r="K485" s="14"/>
      <c r="L485" s="14"/>
      <c r="M485" s="14"/>
      <c r="N485" s="14"/>
      <c r="O485" s="14"/>
      <c r="P485" s="14"/>
      <c r="Q485" s="14"/>
      <c r="R485" s="14"/>
    </row>
    <row r="486" spans="1:18" ht="27" customHeight="1">
      <c r="A486" s="13"/>
      <c r="B486" s="6"/>
      <c r="C486" s="6"/>
      <c r="D486" s="8"/>
      <c r="E486" s="6"/>
      <c r="F486" s="8"/>
      <c r="G486" s="6"/>
      <c r="H486" s="14"/>
      <c r="I486" s="14"/>
      <c r="J486" s="14"/>
      <c r="K486" s="14"/>
      <c r="L486" s="14"/>
      <c r="M486" s="14"/>
      <c r="N486" s="14"/>
      <c r="O486" s="14"/>
      <c r="P486" s="14"/>
      <c r="Q486" s="14"/>
      <c r="R486" s="14"/>
    </row>
    <row r="487" spans="1:18" ht="27" customHeight="1">
      <c r="A487" s="13"/>
      <c r="B487" s="6"/>
      <c r="C487" s="6"/>
      <c r="D487" s="8"/>
      <c r="E487" s="6"/>
      <c r="F487" s="8"/>
      <c r="G487" s="6"/>
      <c r="H487" s="14"/>
      <c r="I487" s="14"/>
      <c r="J487" s="14"/>
      <c r="K487" s="14"/>
      <c r="L487" s="14"/>
      <c r="M487" s="14"/>
      <c r="N487" s="14"/>
      <c r="O487" s="14"/>
      <c r="P487" s="14"/>
      <c r="Q487" s="14"/>
      <c r="R487" s="14"/>
    </row>
    <row r="488" spans="1:18" ht="27" customHeight="1">
      <c r="A488" s="13"/>
      <c r="B488" s="6"/>
      <c r="C488" s="6"/>
      <c r="D488" s="8"/>
      <c r="E488" s="6"/>
      <c r="F488" s="8"/>
      <c r="G488" s="6"/>
      <c r="H488" s="14"/>
      <c r="I488" s="14"/>
      <c r="J488" s="14"/>
      <c r="K488" s="14"/>
      <c r="L488" s="14"/>
      <c r="M488" s="14"/>
      <c r="N488" s="14"/>
      <c r="O488" s="14"/>
      <c r="P488" s="14"/>
      <c r="Q488" s="14"/>
      <c r="R488" s="14"/>
    </row>
    <row r="489" spans="1:18" ht="27" customHeight="1">
      <c r="A489" s="13"/>
      <c r="B489" s="6"/>
      <c r="C489" s="6"/>
      <c r="D489" s="8"/>
      <c r="E489" s="6"/>
      <c r="F489" s="8"/>
      <c r="G489" s="6"/>
      <c r="H489" s="14"/>
      <c r="I489" s="14"/>
      <c r="J489" s="14"/>
      <c r="K489" s="14"/>
      <c r="L489" s="14"/>
      <c r="M489" s="14"/>
      <c r="N489" s="14"/>
      <c r="O489" s="14"/>
      <c r="P489" s="14"/>
      <c r="Q489" s="14"/>
      <c r="R489" s="14"/>
    </row>
    <row r="490" spans="1:18" ht="27" customHeight="1">
      <c r="A490" s="13"/>
      <c r="B490" s="6"/>
      <c r="C490" s="6"/>
      <c r="D490" s="8"/>
      <c r="E490" s="6"/>
      <c r="F490" s="8"/>
      <c r="G490" s="6"/>
      <c r="H490" s="14"/>
      <c r="I490" s="14"/>
      <c r="J490" s="14"/>
      <c r="K490" s="14"/>
      <c r="L490" s="14"/>
      <c r="M490" s="14"/>
      <c r="N490" s="14"/>
      <c r="O490" s="14"/>
      <c r="P490" s="14"/>
      <c r="Q490" s="14"/>
      <c r="R490" s="14"/>
    </row>
    <row r="491" spans="1:18" ht="27" customHeight="1">
      <c r="A491" s="13"/>
      <c r="B491" s="6"/>
      <c r="C491" s="6"/>
      <c r="D491" s="8"/>
      <c r="E491" s="6"/>
      <c r="F491" s="8"/>
      <c r="G491" s="6"/>
      <c r="H491" s="14"/>
      <c r="I491" s="14"/>
      <c r="J491" s="14"/>
      <c r="K491" s="14"/>
      <c r="L491" s="14"/>
      <c r="M491" s="14"/>
      <c r="N491" s="14"/>
      <c r="O491" s="14"/>
      <c r="P491" s="14"/>
      <c r="Q491" s="14"/>
      <c r="R491" s="14"/>
    </row>
    <row r="492" spans="1:18" ht="27" customHeight="1">
      <c r="A492" s="13"/>
      <c r="B492" s="6"/>
      <c r="C492" s="6"/>
      <c r="D492" s="8"/>
      <c r="E492" s="6"/>
      <c r="F492" s="8"/>
      <c r="G492" s="6"/>
      <c r="H492" s="14"/>
      <c r="I492" s="14"/>
      <c r="J492" s="14"/>
      <c r="K492" s="14"/>
      <c r="L492" s="14"/>
      <c r="M492" s="14"/>
      <c r="N492" s="14"/>
      <c r="O492" s="14"/>
      <c r="P492" s="14"/>
      <c r="Q492" s="14"/>
      <c r="R492" s="14"/>
    </row>
    <row r="493" spans="1:18" ht="27" customHeight="1">
      <c r="A493" s="13"/>
      <c r="B493" s="6"/>
      <c r="C493" s="6"/>
      <c r="D493" s="8"/>
      <c r="E493" s="6"/>
      <c r="F493" s="8"/>
      <c r="G493" s="6"/>
      <c r="H493" s="14"/>
      <c r="I493" s="14"/>
      <c r="J493" s="14"/>
      <c r="K493" s="14"/>
      <c r="L493" s="14"/>
      <c r="M493" s="14"/>
      <c r="N493" s="14"/>
      <c r="O493" s="14"/>
      <c r="P493" s="14"/>
      <c r="Q493" s="14"/>
      <c r="R493" s="14"/>
    </row>
    <row r="494" spans="1:18" ht="27" customHeight="1">
      <c r="A494" s="13"/>
      <c r="B494" s="6"/>
      <c r="C494" s="6"/>
      <c r="D494" s="8"/>
      <c r="E494" s="6"/>
      <c r="F494" s="8"/>
      <c r="G494" s="6"/>
      <c r="H494" s="14"/>
      <c r="I494" s="14"/>
      <c r="J494" s="14"/>
      <c r="K494" s="14"/>
      <c r="L494" s="14"/>
      <c r="M494" s="14"/>
      <c r="N494" s="14"/>
      <c r="O494" s="14"/>
      <c r="P494" s="14"/>
      <c r="Q494" s="14"/>
      <c r="R494" s="14"/>
    </row>
    <row r="495" spans="1:18" ht="27" customHeight="1">
      <c r="A495" s="13"/>
      <c r="B495" s="6"/>
      <c r="C495" s="6"/>
      <c r="D495" s="8"/>
      <c r="E495" s="6"/>
      <c r="F495" s="8"/>
      <c r="G495" s="6"/>
      <c r="H495" s="14"/>
      <c r="I495" s="14"/>
      <c r="J495" s="14"/>
      <c r="K495" s="14"/>
      <c r="L495" s="14"/>
      <c r="M495" s="14"/>
      <c r="N495" s="14"/>
      <c r="O495" s="14"/>
      <c r="P495" s="14"/>
      <c r="Q495" s="14"/>
      <c r="R495" s="14"/>
    </row>
    <row r="496" spans="1:18" ht="27" customHeight="1">
      <c r="A496" s="13"/>
      <c r="B496" s="6"/>
      <c r="C496" s="6"/>
      <c r="D496" s="8"/>
      <c r="E496" s="6"/>
      <c r="F496" s="8"/>
      <c r="G496" s="6"/>
      <c r="H496" s="14"/>
      <c r="I496" s="14"/>
      <c r="J496" s="14"/>
      <c r="K496" s="14"/>
      <c r="L496" s="14"/>
      <c r="M496" s="14"/>
      <c r="N496" s="14"/>
      <c r="O496" s="14"/>
      <c r="P496" s="14"/>
      <c r="Q496" s="14"/>
      <c r="R496" s="14"/>
    </row>
    <row r="497" spans="1:18" ht="27" customHeight="1">
      <c r="A497" s="13"/>
      <c r="B497" s="6"/>
      <c r="C497" s="6"/>
      <c r="D497" s="8"/>
      <c r="E497" s="6"/>
      <c r="F497" s="8"/>
      <c r="G497" s="6"/>
      <c r="H497" s="14"/>
      <c r="I497" s="14"/>
      <c r="J497" s="14"/>
      <c r="K497" s="14"/>
      <c r="L497" s="14"/>
      <c r="M497" s="14"/>
      <c r="N497" s="14"/>
      <c r="O497" s="14"/>
      <c r="P497" s="14"/>
      <c r="Q497" s="14"/>
      <c r="R497" s="14"/>
    </row>
    <row r="498" spans="1:18" ht="27" customHeight="1">
      <c r="A498" s="13"/>
      <c r="B498" s="6"/>
      <c r="C498" s="6"/>
      <c r="D498" s="8"/>
      <c r="E498" s="6"/>
      <c r="F498" s="8"/>
      <c r="G498" s="6"/>
      <c r="H498" s="14"/>
      <c r="I498" s="14"/>
      <c r="J498" s="14"/>
      <c r="K498" s="14"/>
      <c r="L498" s="14"/>
      <c r="M498" s="14"/>
      <c r="N498" s="14"/>
      <c r="O498" s="14"/>
      <c r="P498" s="14"/>
      <c r="Q498" s="14"/>
      <c r="R498" s="14"/>
    </row>
    <row r="499" spans="1:18" ht="27" customHeight="1">
      <c r="A499" s="13"/>
      <c r="B499" s="6"/>
      <c r="C499" s="6"/>
      <c r="D499" s="8"/>
      <c r="E499" s="6"/>
      <c r="F499" s="8"/>
      <c r="G499" s="6"/>
      <c r="H499" s="14"/>
      <c r="I499" s="14"/>
      <c r="J499" s="14"/>
      <c r="K499" s="14"/>
      <c r="L499" s="14"/>
      <c r="M499" s="14"/>
      <c r="N499" s="14"/>
      <c r="O499" s="14"/>
      <c r="P499" s="14"/>
      <c r="Q499" s="14"/>
      <c r="R499" s="14"/>
    </row>
    <row r="500" spans="1:18" ht="27" customHeight="1">
      <c r="A500" s="13"/>
      <c r="B500" s="6"/>
      <c r="C500" s="6"/>
      <c r="D500" s="8"/>
      <c r="E500" s="6"/>
      <c r="F500" s="8"/>
      <c r="G500" s="6"/>
      <c r="H500" s="14"/>
      <c r="I500" s="14"/>
      <c r="J500" s="14"/>
      <c r="K500" s="14"/>
      <c r="L500" s="14"/>
      <c r="M500" s="14"/>
      <c r="N500" s="14"/>
      <c r="O500" s="14"/>
      <c r="P500" s="14"/>
      <c r="Q500" s="14"/>
      <c r="R500" s="14"/>
    </row>
    <row r="501" spans="1:18" ht="27" customHeight="1">
      <c r="A501" s="13"/>
      <c r="B501" s="6"/>
      <c r="C501" s="6"/>
      <c r="D501" s="8"/>
      <c r="E501" s="6"/>
      <c r="F501" s="8"/>
      <c r="G501" s="6"/>
      <c r="H501" s="14"/>
      <c r="I501" s="14"/>
      <c r="J501" s="14"/>
      <c r="K501" s="14"/>
      <c r="L501" s="14"/>
      <c r="M501" s="14"/>
      <c r="N501" s="14"/>
      <c r="O501" s="14"/>
      <c r="P501" s="14"/>
      <c r="Q501" s="14"/>
      <c r="R501" s="14"/>
    </row>
    <row r="502" spans="1:18" ht="27" customHeight="1">
      <c r="A502" s="13"/>
      <c r="B502" s="6"/>
      <c r="C502" s="6"/>
      <c r="D502" s="8"/>
      <c r="E502" s="6"/>
      <c r="F502" s="8"/>
      <c r="G502" s="6"/>
      <c r="H502" s="14"/>
      <c r="I502" s="14"/>
      <c r="J502" s="14"/>
      <c r="K502" s="14"/>
      <c r="L502" s="14"/>
      <c r="M502" s="14"/>
      <c r="N502" s="14"/>
      <c r="O502" s="14"/>
      <c r="P502" s="14"/>
      <c r="Q502" s="14"/>
      <c r="R502" s="14"/>
    </row>
    <row r="503" spans="1:18" ht="27" customHeight="1">
      <c r="A503" s="13"/>
      <c r="B503" s="6"/>
      <c r="C503" s="6"/>
      <c r="D503" s="8"/>
      <c r="E503" s="6"/>
      <c r="F503" s="8"/>
      <c r="G503" s="6"/>
      <c r="H503" s="14"/>
      <c r="I503" s="14"/>
      <c r="J503" s="14"/>
      <c r="K503" s="14"/>
      <c r="L503" s="14"/>
      <c r="M503" s="14"/>
      <c r="N503" s="14"/>
      <c r="O503" s="14"/>
      <c r="P503" s="14"/>
      <c r="Q503" s="14"/>
      <c r="R503" s="14"/>
    </row>
    <row r="504" spans="1:18" ht="27" customHeight="1">
      <c r="A504" s="13"/>
      <c r="B504" s="6"/>
      <c r="C504" s="6"/>
      <c r="D504" s="8"/>
      <c r="E504" s="6"/>
      <c r="F504" s="8"/>
      <c r="G504" s="6"/>
      <c r="H504" s="14"/>
      <c r="I504" s="14"/>
      <c r="J504" s="14"/>
      <c r="K504" s="14"/>
      <c r="L504" s="14"/>
      <c r="M504" s="14"/>
      <c r="N504" s="14"/>
      <c r="O504" s="14"/>
      <c r="P504" s="14"/>
      <c r="Q504" s="14"/>
      <c r="R504" s="14"/>
    </row>
    <row r="505" spans="1:18" ht="27" customHeight="1">
      <c r="A505" s="13"/>
      <c r="B505" s="6"/>
      <c r="C505" s="6"/>
      <c r="D505" s="8"/>
      <c r="E505" s="6"/>
      <c r="F505" s="8"/>
      <c r="G505" s="6"/>
      <c r="H505" s="14"/>
      <c r="I505" s="14"/>
      <c r="J505" s="14"/>
      <c r="K505" s="14"/>
      <c r="L505" s="14"/>
      <c r="M505" s="14"/>
      <c r="N505" s="14"/>
      <c r="O505" s="14"/>
      <c r="P505" s="14"/>
      <c r="Q505" s="14"/>
      <c r="R505" s="14"/>
    </row>
    <row r="506" spans="1:18" ht="27" customHeight="1">
      <c r="A506" s="13"/>
      <c r="B506" s="6"/>
      <c r="C506" s="6"/>
      <c r="D506" s="8"/>
      <c r="E506" s="6"/>
      <c r="F506" s="8"/>
      <c r="G506" s="6"/>
      <c r="H506" s="14"/>
      <c r="I506" s="14"/>
      <c r="J506" s="14"/>
      <c r="K506" s="14"/>
      <c r="L506" s="14"/>
      <c r="M506" s="14"/>
      <c r="N506" s="14"/>
      <c r="O506" s="14"/>
      <c r="P506" s="14"/>
      <c r="Q506" s="14"/>
      <c r="R506" s="14"/>
    </row>
    <row r="507" spans="1:18" ht="27" customHeight="1">
      <c r="A507" s="13"/>
      <c r="B507" s="6"/>
      <c r="C507" s="6"/>
      <c r="D507" s="8"/>
      <c r="E507" s="6"/>
      <c r="F507" s="8"/>
      <c r="G507" s="6"/>
      <c r="H507" s="14"/>
      <c r="I507" s="14"/>
      <c r="J507" s="14"/>
      <c r="K507" s="14"/>
      <c r="L507" s="14"/>
      <c r="M507" s="14"/>
      <c r="N507" s="14"/>
      <c r="O507" s="14"/>
      <c r="P507" s="14"/>
      <c r="Q507" s="14"/>
      <c r="R507" s="14"/>
    </row>
    <row r="508" spans="1:18" ht="27" customHeight="1">
      <c r="A508" s="13"/>
      <c r="B508" s="6"/>
      <c r="C508" s="6"/>
      <c r="D508" s="8"/>
      <c r="E508" s="6"/>
      <c r="F508" s="8"/>
      <c r="G508" s="6"/>
      <c r="H508" s="14"/>
      <c r="I508" s="14"/>
      <c r="J508" s="14"/>
      <c r="K508" s="14"/>
      <c r="L508" s="14"/>
      <c r="M508" s="14"/>
      <c r="N508" s="14"/>
      <c r="O508" s="14"/>
      <c r="P508" s="14"/>
      <c r="Q508" s="14"/>
      <c r="R508" s="14"/>
    </row>
    <row r="509" spans="1:18" ht="27" customHeight="1">
      <c r="A509" s="13"/>
      <c r="B509" s="6"/>
      <c r="C509" s="6"/>
      <c r="D509" s="8"/>
      <c r="E509" s="6"/>
      <c r="F509" s="8"/>
      <c r="G509" s="6"/>
      <c r="H509" s="14"/>
      <c r="I509" s="14"/>
      <c r="J509" s="14"/>
      <c r="K509" s="14"/>
      <c r="L509" s="14"/>
      <c r="M509" s="14"/>
      <c r="N509" s="14"/>
      <c r="O509" s="14"/>
      <c r="P509" s="14"/>
      <c r="Q509" s="14"/>
      <c r="R509" s="14"/>
    </row>
    <row r="510" spans="1:18" ht="27" customHeight="1">
      <c r="A510" s="13"/>
      <c r="B510" s="6"/>
      <c r="C510" s="6"/>
      <c r="D510" s="8"/>
      <c r="E510" s="6"/>
      <c r="F510" s="8"/>
      <c r="G510" s="6"/>
      <c r="H510" s="14"/>
      <c r="I510" s="14"/>
      <c r="J510" s="14"/>
      <c r="K510" s="14"/>
      <c r="L510" s="14"/>
      <c r="M510" s="14"/>
      <c r="N510" s="14"/>
      <c r="O510" s="14"/>
      <c r="P510" s="14"/>
      <c r="Q510" s="14"/>
      <c r="R510" s="14"/>
    </row>
    <row r="511" spans="1:18" ht="27" customHeight="1">
      <c r="A511" s="13"/>
      <c r="B511" s="6"/>
      <c r="C511" s="6"/>
      <c r="D511" s="8"/>
      <c r="E511" s="6"/>
      <c r="F511" s="8"/>
      <c r="G511" s="6"/>
      <c r="H511" s="14"/>
      <c r="I511" s="14"/>
      <c r="J511" s="14"/>
      <c r="K511" s="14"/>
      <c r="L511" s="14"/>
      <c r="M511" s="14"/>
      <c r="N511" s="14"/>
      <c r="O511" s="14"/>
      <c r="P511" s="14"/>
      <c r="Q511" s="14"/>
      <c r="R511" s="14"/>
    </row>
    <row r="512" spans="1:18" ht="27" customHeight="1">
      <c r="A512" s="13"/>
      <c r="B512" s="6"/>
      <c r="C512" s="6"/>
      <c r="D512" s="8"/>
      <c r="E512" s="6"/>
      <c r="F512" s="8"/>
      <c r="G512" s="6"/>
      <c r="H512" s="14"/>
      <c r="I512" s="14"/>
      <c r="J512" s="14"/>
      <c r="K512" s="14"/>
      <c r="L512" s="14"/>
      <c r="M512" s="14"/>
      <c r="N512" s="14"/>
      <c r="O512" s="14"/>
      <c r="P512" s="14"/>
      <c r="Q512" s="14"/>
      <c r="R512" s="14"/>
    </row>
    <row r="513" spans="1:18" ht="27" customHeight="1">
      <c r="A513" s="13"/>
      <c r="B513" s="6"/>
      <c r="C513" s="6"/>
      <c r="D513" s="8"/>
      <c r="E513" s="6"/>
      <c r="F513" s="8"/>
      <c r="G513" s="6"/>
      <c r="H513" s="14"/>
      <c r="I513" s="14"/>
      <c r="J513" s="14"/>
      <c r="K513" s="14"/>
      <c r="L513" s="14"/>
      <c r="M513" s="14"/>
      <c r="N513" s="14"/>
      <c r="O513" s="14"/>
      <c r="P513" s="14"/>
      <c r="Q513" s="14"/>
      <c r="R513" s="14"/>
    </row>
    <row r="514" spans="1:18" ht="27" customHeight="1">
      <c r="A514" s="13"/>
      <c r="B514" s="6"/>
      <c r="C514" s="6"/>
      <c r="D514" s="8"/>
      <c r="E514" s="6"/>
      <c r="F514" s="8"/>
      <c r="G514" s="6"/>
      <c r="H514" s="14"/>
      <c r="I514" s="14"/>
      <c r="J514" s="14"/>
      <c r="K514" s="14"/>
      <c r="L514" s="14"/>
      <c r="M514" s="14"/>
      <c r="N514" s="14"/>
      <c r="O514" s="14"/>
      <c r="P514" s="14"/>
      <c r="Q514" s="14"/>
      <c r="R514" s="14"/>
    </row>
    <row r="515" spans="1:18" ht="27" customHeight="1">
      <c r="A515" s="13"/>
      <c r="B515" s="6"/>
      <c r="C515" s="6"/>
      <c r="D515" s="8"/>
      <c r="E515" s="6"/>
      <c r="F515" s="8"/>
      <c r="G515" s="6"/>
      <c r="H515" s="14"/>
      <c r="I515" s="14"/>
      <c r="J515" s="14"/>
      <c r="K515" s="14"/>
      <c r="L515" s="14"/>
      <c r="M515" s="14"/>
      <c r="N515" s="14"/>
      <c r="O515" s="14"/>
      <c r="P515" s="14"/>
      <c r="Q515" s="14"/>
      <c r="R515" s="14"/>
    </row>
    <row r="516" spans="1:18" ht="27" customHeight="1">
      <c r="A516" s="13"/>
      <c r="B516" s="6"/>
      <c r="C516" s="6"/>
      <c r="D516" s="8"/>
      <c r="E516" s="6"/>
      <c r="F516" s="8"/>
      <c r="G516" s="6"/>
      <c r="H516" s="14"/>
      <c r="I516" s="14"/>
      <c r="J516" s="14"/>
      <c r="K516" s="14"/>
      <c r="L516" s="14"/>
      <c r="M516" s="14"/>
      <c r="N516" s="14"/>
      <c r="O516" s="14"/>
      <c r="P516" s="14"/>
      <c r="Q516" s="14"/>
      <c r="R516" s="14"/>
    </row>
    <row r="517" spans="1:18" ht="27" customHeight="1">
      <c r="A517" s="13"/>
      <c r="B517" s="6"/>
      <c r="C517" s="6"/>
      <c r="D517" s="8"/>
      <c r="E517" s="6"/>
      <c r="F517" s="8"/>
      <c r="G517" s="6"/>
      <c r="H517" s="14"/>
      <c r="I517" s="14"/>
      <c r="J517" s="14"/>
      <c r="K517" s="14"/>
      <c r="L517" s="14"/>
      <c r="M517" s="14"/>
      <c r="N517" s="14"/>
      <c r="O517" s="14"/>
      <c r="P517" s="14"/>
      <c r="Q517" s="14"/>
      <c r="R517" s="14"/>
    </row>
    <row r="518" spans="1:18" ht="27" customHeight="1">
      <c r="A518" s="13"/>
      <c r="B518" s="6"/>
      <c r="C518" s="6"/>
      <c r="D518" s="8"/>
      <c r="E518" s="6"/>
      <c r="F518" s="8"/>
      <c r="G518" s="6"/>
      <c r="H518" s="14"/>
      <c r="I518" s="14"/>
      <c r="J518" s="14"/>
      <c r="K518" s="14"/>
      <c r="L518" s="14"/>
      <c r="M518" s="14"/>
      <c r="N518" s="14"/>
      <c r="O518" s="14"/>
      <c r="P518" s="14"/>
      <c r="Q518" s="14"/>
      <c r="R518" s="14"/>
    </row>
    <row r="519" spans="1:18" ht="27" customHeight="1">
      <c r="A519" s="13"/>
      <c r="B519" s="6"/>
      <c r="C519" s="6"/>
      <c r="D519" s="8"/>
      <c r="E519" s="6"/>
      <c r="F519" s="8"/>
      <c r="G519" s="6"/>
      <c r="H519" s="14"/>
      <c r="I519" s="14"/>
      <c r="J519" s="14"/>
      <c r="K519" s="14"/>
      <c r="L519" s="14"/>
      <c r="M519" s="14"/>
      <c r="N519" s="14"/>
      <c r="O519" s="14"/>
      <c r="P519" s="14"/>
      <c r="Q519" s="14"/>
      <c r="R519" s="14"/>
    </row>
    <row r="520" spans="1:18" ht="27" customHeight="1">
      <c r="A520" s="13"/>
      <c r="B520" s="6"/>
      <c r="C520" s="6"/>
      <c r="D520" s="8"/>
      <c r="E520" s="6"/>
      <c r="F520" s="8"/>
      <c r="G520" s="6"/>
      <c r="H520" s="14"/>
      <c r="I520" s="14"/>
      <c r="J520" s="14"/>
      <c r="K520" s="14"/>
      <c r="L520" s="14"/>
      <c r="M520" s="14"/>
      <c r="N520" s="14"/>
      <c r="O520" s="14"/>
      <c r="P520" s="14"/>
      <c r="Q520" s="14"/>
      <c r="R520" s="14"/>
    </row>
    <row r="521" spans="1:18" ht="27" customHeight="1">
      <c r="A521" s="13"/>
      <c r="B521" s="6"/>
      <c r="C521" s="6"/>
      <c r="D521" s="8"/>
      <c r="E521" s="6"/>
      <c r="F521" s="8"/>
      <c r="G521" s="6"/>
      <c r="H521" s="14"/>
      <c r="I521" s="14"/>
      <c r="J521" s="14"/>
      <c r="K521" s="14"/>
      <c r="L521" s="14"/>
      <c r="M521" s="14"/>
      <c r="N521" s="14"/>
      <c r="O521" s="14"/>
      <c r="P521" s="14"/>
      <c r="Q521" s="14"/>
      <c r="R521" s="14"/>
    </row>
    <row r="522" spans="1:18" ht="27" customHeight="1">
      <c r="A522" s="13"/>
      <c r="B522" s="6"/>
      <c r="C522" s="6"/>
      <c r="D522" s="8"/>
      <c r="E522" s="6"/>
      <c r="F522" s="8"/>
      <c r="G522" s="6"/>
      <c r="H522" s="14"/>
      <c r="I522" s="14"/>
      <c r="J522" s="14"/>
      <c r="K522" s="14"/>
      <c r="L522" s="14"/>
      <c r="M522" s="14"/>
      <c r="N522" s="14"/>
      <c r="O522" s="14"/>
      <c r="P522" s="14"/>
      <c r="Q522" s="14"/>
      <c r="R522" s="14"/>
    </row>
    <row r="523" spans="1:18" ht="27" customHeight="1">
      <c r="A523" s="13"/>
      <c r="B523" s="6"/>
      <c r="C523" s="6"/>
      <c r="D523" s="8"/>
      <c r="E523" s="6"/>
      <c r="F523" s="8"/>
      <c r="G523" s="6"/>
      <c r="H523" s="14"/>
      <c r="I523" s="14"/>
      <c r="J523" s="14"/>
      <c r="K523" s="14"/>
      <c r="L523" s="14"/>
      <c r="M523" s="14"/>
      <c r="N523" s="14"/>
      <c r="O523" s="14"/>
      <c r="P523" s="14"/>
      <c r="Q523" s="14"/>
      <c r="R523" s="14"/>
    </row>
    <row r="524" spans="1:18" ht="27" customHeight="1">
      <c r="A524" s="13"/>
      <c r="B524" s="6"/>
      <c r="C524" s="6"/>
      <c r="D524" s="8"/>
      <c r="E524" s="6"/>
      <c r="F524" s="8"/>
      <c r="G524" s="6"/>
      <c r="H524" s="14"/>
      <c r="I524" s="14"/>
      <c r="J524" s="14"/>
      <c r="K524" s="14"/>
      <c r="L524" s="14"/>
      <c r="M524" s="14"/>
      <c r="N524" s="14"/>
      <c r="O524" s="14"/>
      <c r="P524" s="14"/>
      <c r="Q524" s="14"/>
      <c r="R524" s="14"/>
    </row>
    <row r="525" spans="1:18" ht="27" customHeight="1">
      <c r="A525" s="13"/>
      <c r="B525" s="6"/>
      <c r="C525" s="6"/>
      <c r="D525" s="8"/>
      <c r="E525" s="6"/>
      <c r="F525" s="8"/>
      <c r="G525" s="6"/>
      <c r="H525" s="14"/>
      <c r="I525" s="14"/>
      <c r="J525" s="14"/>
      <c r="K525" s="14"/>
      <c r="L525" s="14"/>
      <c r="M525" s="14"/>
      <c r="N525" s="14"/>
      <c r="O525" s="14"/>
      <c r="P525" s="14"/>
      <c r="Q525" s="14"/>
      <c r="R525" s="14"/>
    </row>
    <row r="526" spans="1:18" ht="27" customHeight="1">
      <c r="A526" s="13"/>
      <c r="B526" s="6"/>
      <c r="C526" s="6"/>
      <c r="D526" s="8"/>
      <c r="E526" s="6"/>
      <c r="F526" s="8"/>
      <c r="G526" s="6"/>
      <c r="H526" s="14"/>
      <c r="I526" s="14"/>
      <c r="J526" s="14"/>
      <c r="K526" s="14"/>
      <c r="L526" s="14"/>
      <c r="M526" s="14"/>
      <c r="N526" s="14"/>
      <c r="O526" s="14"/>
      <c r="P526" s="14"/>
      <c r="Q526" s="14"/>
      <c r="R526" s="14"/>
    </row>
    <row r="527" spans="1:18" ht="27" customHeight="1">
      <c r="A527" s="13"/>
      <c r="B527" s="6"/>
      <c r="C527" s="6"/>
      <c r="D527" s="8"/>
      <c r="E527" s="6"/>
      <c r="F527" s="8"/>
      <c r="G527" s="6"/>
      <c r="H527" s="14"/>
      <c r="I527" s="14"/>
      <c r="J527" s="14"/>
      <c r="K527" s="14"/>
      <c r="L527" s="14"/>
      <c r="M527" s="14"/>
      <c r="N527" s="14"/>
      <c r="O527" s="14"/>
      <c r="P527" s="14"/>
      <c r="Q527" s="14"/>
      <c r="R527" s="14"/>
    </row>
    <row r="528" spans="1:18" ht="27" customHeight="1">
      <c r="A528" s="13"/>
      <c r="B528" s="6"/>
      <c r="C528" s="6"/>
      <c r="D528" s="8"/>
      <c r="E528" s="6"/>
      <c r="F528" s="8"/>
      <c r="G528" s="6"/>
      <c r="H528" s="14"/>
      <c r="I528" s="14"/>
      <c r="J528" s="14"/>
      <c r="K528" s="14"/>
      <c r="L528" s="14"/>
      <c r="M528" s="14"/>
      <c r="N528" s="14"/>
      <c r="O528" s="14"/>
      <c r="P528" s="14"/>
      <c r="Q528" s="14"/>
      <c r="R528" s="14"/>
    </row>
    <row r="529" spans="1:18" ht="27" customHeight="1">
      <c r="A529" s="13"/>
      <c r="B529" s="6"/>
      <c r="C529" s="6"/>
      <c r="D529" s="8"/>
      <c r="E529" s="6"/>
      <c r="F529" s="8"/>
      <c r="G529" s="6"/>
      <c r="H529" s="14"/>
      <c r="I529" s="14"/>
      <c r="J529" s="14"/>
      <c r="K529" s="14"/>
      <c r="L529" s="14"/>
      <c r="M529" s="14"/>
      <c r="N529" s="14"/>
      <c r="O529" s="14"/>
      <c r="P529" s="14"/>
      <c r="Q529" s="14"/>
      <c r="R529" s="14"/>
    </row>
    <row r="530" spans="1:18" ht="27" customHeight="1">
      <c r="A530" s="13"/>
      <c r="B530" s="6"/>
      <c r="C530" s="6"/>
      <c r="D530" s="8"/>
      <c r="E530" s="6"/>
      <c r="F530" s="8"/>
      <c r="G530" s="6"/>
      <c r="H530" s="14"/>
      <c r="I530" s="14"/>
      <c r="J530" s="14"/>
      <c r="K530" s="14"/>
      <c r="L530" s="14"/>
      <c r="M530" s="14"/>
      <c r="N530" s="14"/>
      <c r="O530" s="14"/>
      <c r="P530" s="14"/>
      <c r="Q530" s="14"/>
      <c r="R530" s="14"/>
    </row>
    <row r="531" spans="1:18" ht="27" customHeight="1">
      <c r="A531" s="13"/>
      <c r="B531" s="6"/>
      <c r="C531" s="6"/>
      <c r="D531" s="8"/>
      <c r="E531" s="6"/>
      <c r="F531" s="8"/>
      <c r="G531" s="6"/>
      <c r="H531" s="14"/>
      <c r="I531" s="14"/>
      <c r="J531" s="14"/>
      <c r="K531" s="14"/>
      <c r="L531" s="14"/>
      <c r="M531" s="14"/>
      <c r="N531" s="14"/>
      <c r="O531" s="14"/>
      <c r="P531" s="14"/>
      <c r="Q531" s="14"/>
      <c r="R531" s="14"/>
    </row>
    <row r="532" spans="1:18" ht="27" customHeight="1">
      <c r="A532" s="13"/>
      <c r="B532" s="6"/>
      <c r="C532" s="6"/>
      <c r="D532" s="8"/>
      <c r="E532" s="6"/>
      <c r="F532" s="8"/>
      <c r="G532" s="6"/>
      <c r="H532" s="14"/>
      <c r="I532" s="14"/>
      <c r="J532" s="14"/>
      <c r="K532" s="14"/>
      <c r="L532" s="14"/>
      <c r="M532" s="14"/>
      <c r="N532" s="14"/>
      <c r="O532" s="14"/>
      <c r="P532" s="14"/>
      <c r="Q532" s="14"/>
      <c r="R532" s="14"/>
    </row>
    <row r="533" spans="1:18" ht="27" customHeight="1">
      <c r="A533" s="13"/>
      <c r="B533" s="6"/>
      <c r="C533" s="6"/>
      <c r="D533" s="8"/>
      <c r="E533" s="6"/>
      <c r="F533" s="8"/>
      <c r="G533" s="6"/>
      <c r="H533" s="14"/>
      <c r="I533" s="14"/>
      <c r="J533" s="14"/>
      <c r="K533" s="14"/>
      <c r="L533" s="14"/>
      <c r="M533" s="14"/>
      <c r="N533" s="14"/>
      <c r="O533" s="14"/>
      <c r="P533" s="14"/>
      <c r="Q533" s="14"/>
      <c r="R533" s="14"/>
    </row>
    <row r="534" spans="1:18" ht="27" customHeight="1">
      <c r="A534" s="13"/>
      <c r="B534" s="6"/>
      <c r="C534" s="6"/>
      <c r="D534" s="8"/>
      <c r="E534" s="6"/>
      <c r="F534" s="8"/>
      <c r="G534" s="6"/>
      <c r="H534" s="14"/>
      <c r="I534" s="14"/>
      <c r="J534" s="14"/>
      <c r="K534" s="14"/>
      <c r="L534" s="14"/>
      <c r="M534" s="14"/>
      <c r="N534" s="14"/>
      <c r="O534" s="14"/>
      <c r="P534" s="14"/>
      <c r="Q534" s="14"/>
      <c r="R534" s="14"/>
    </row>
    <row r="535" spans="1:18" ht="27" customHeight="1">
      <c r="A535" s="13"/>
      <c r="B535" s="6"/>
      <c r="C535" s="6"/>
      <c r="D535" s="8"/>
      <c r="E535" s="6"/>
      <c r="F535" s="8"/>
      <c r="G535" s="6"/>
      <c r="H535" s="14"/>
      <c r="I535" s="14"/>
      <c r="J535" s="14"/>
      <c r="K535" s="14"/>
      <c r="L535" s="14"/>
      <c r="M535" s="14"/>
      <c r="N535" s="14"/>
      <c r="O535" s="14"/>
      <c r="P535" s="14"/>
      <c r="Q535" s="14"/>
      <c r="R535" s="14"/>
    </row>
    <row r="536" spans="1:18" ht="27" customHeight="1">
      <c r="A536" s="13"/>
      <c r="B536" s="6"/>
      <c r="C536" s="6"/>
      <c r="D536" s="8"/>
      <c r="E536" s="6"/>
      <c r="F536" s="8"/>
      <c r="G536" s="6"/>
      <c r="H536" s="14"/>
      <c r="I536" s="14"/>
      <c r="J536" s="14"/>
      <c r="K536" s="14"/>
      <c r="L536" s="14"/>
      <c r="M536" s="14"/>
      <c r="N536" s="14"/>
      <c r="O536" s="14"/>
      <c r="P536" s="14"/>
      <c r="Q536" s="14"/>
      <c r="R536" s="14"/>
    </row>
    <row r="537" spans="1:18" ht="27" customHeight="1">
      <c r="A537" s="13"/>
      <c r="B537" s="6"/>
      <c r="C537" s="6"/>
      <c r="D537" s="8"/>
      <c r="E537" s="6"/>
      <c r="F537" s="8"/>
      <c r="G537" s="6"/>
      <c r="H537" s="14"/>
      <c r="I537" s="14"/>
      <c r="J537" s="14"/>
      <c r="K537" s="14"/>
      <c r="L537" s="14"/>
      <c r="M537" s="14"/>
      <c r="N537" s="14"/>
      <c r="O537" s="14"/>
      <c r="P537" s="14"/>
      <c r="Q537" s="14"/>
      <c r="R537" s="14"/>
    </row>
    <row r="538" spans="1:18" ht="27" customHeight="1">
      <c r="A538" s="13"/>
      <c r="B538" s="6"/>
      <c r="C538" s="6"/>
      <c r="D538" s="8"/>
      <c r="E538" s="6"/>
      <c r="F538" s="8"/>
      <c r="G538" s="6"/>
      <c r="H538" s="14"/>
      <c r="I538" s="14"/>
      <c r="J538" s="14"/>
      <c r="K538" s="14"/>
      <c r="L538" s="14"/>
      <c r="M538" s="14"/>
      <c r="N538" s="14"/>
      <c r="O538" s="14"/>
      <c r="P538" s="14"/>
      <c r="Q538" s="14"/>
      <c r="R538" s="14"/>
    </row>
    <row r="539" spans="1:18" ht="27" customHeight="1">
      <c r="A539" s="13"/>
      <c r="B539" s="6"/>
      <c r="C539" s="6"/>
      <c r="D539" s="8"/>
      <c r="E539" s="6"/>
      <c r="F539" s="8"/>
      <c r="G539" s="6"/>
      <c r="H539" s="14"/>
      <c r="I539" s="14"/>
      <c r="J539" s="14"/>
      <c r="K539" s="14"/>
      <c r="L539" s="14"/>
      <c r="M539" s="14"/>
      <c r="N539" s="14"/>
      <c r="O539" s="14"/>
      <c r="P539" s="14"/>
      <c r="Q539" s="14"/>
      <c r="R539" s="14"/>
    </row>
    <row r="540" spans="1:18" ht="27" customHeight="1">
      <c r="A540" s="13"/>
      <c r="B540" s="6"/>
      <c r="C540" s="6"/>
      <c r="D540" s="8"/>
      <c r="E540" s="6"/>
      <c r="F540" s="8"/>
      <c r="G540" s="6"/>
      <c r="H540" s="14"/>
      <c r="I540" s="14"/>
      <c r="J540" s="14"/>
      <c r="K540" s="14"/>
      <c r="L540" s="14"/>
      <c r="M540" s="14"/>
      <c r="N540" s="14"/>
      <c r="O540" s="14"/>
      <c r="P540" s="14"/>
      <c r="Q540" s="14"/>
      <c r="R540" s="14"/>
    </row>
    <row r="541" spans="1:18" ht="27" customHeight="1">
      <c r="A541" s="13"/>
      <c r="B541" s="6"/>
      <c r="C541" s="6"/>
      <c r="D541" s="8"/>
      <c r="E541" s="6"/>
      <c r="F541" s="8"/>
      <c r="G541" s="6"/>
      <c r="H541" s="14"/>
      <c r="I541" s="14"/>
      <c r="J541" s="14"/>
      <c r="K541" s="14"/>
      <c r="L541" s="14"/>
      <c r="M541" s="14"/>
      <c r="N541" s="14"/>
      <c r="O541" s="14"/>
      <c r="P541" s="14"/>
      <c r="Q541" s="14"/>
      <c r="R541" s="14"/>
    </row>
    <row r="542" spans="1:18" ht="27" customHeight="1">
      <c r="A542" s="13"/>
      <c r="B542" s="6"/>
      <c r="C542" s="6"/>
      <c r="D542" s="8"/>
      <c r="E542" s="6"/>
      <c r="F542" s="8"/>
      <c r="G542" s="6"/>
      <c r="H542" s="14"/>
      <c r="I542" s="14"/>
      <c r="J542" s="14"/>
      <c r="K542" s="14"/>
      <c r="L542" s="14"/>
      <c r="M542" s="14"/>
      <c r="N542" s="14"/>
      <c r="O542" s="14"/>
      <c r="P542" s="14"/>
      <c r="Q542" s="14"/>
      <c r="R542" s="14"/>
    </row>
    <row r="543" spans="1:18" ht="27" customHeight="1">
      <c r="A543" s="13"/>
      <c r="B543" s="6"/>
      <c r="C543" s="6"/>
      <c r="D543" s="8"/>
      <c r="E543" s="6"/>
      <c r="F543" s="8"/>
      <c r="G543" s="6"/>
      <c r="H543" s="14"/>
      <c r="I543" s="14"/>
      <c r="J543" s="14"/>
      <c r="K543" s="14"/>
      <c r="L543" s="14"/>
      <c r="M543" s="14"/>
      <c r="N543" s="14"/>
      <c r="O543" s="14"/>
      <c r="P543" s="14"/>
      <c r="Q543" s="14"/>
      <c r="R543" s="14"/>
    </row>
    <row r="544" spans="1:18" ht="27" customHeight="1">
      <c r="A544" s="13"/>
      <c r="B544" s="6"/>
      <c r="C544" s="6"/>
      <c r="D544" s="8"/>
      <c r="E544" s="6"/>
      <c r="F544" s="8"/>
      <c r="G544" s="6"/>
      <c r="H544" s="14"/>
      <c r="I544" s="14"/>
      <c r="J544" s="14"/>
      <c r="K544" s="14"/>
      <c r="L544" s="14"/>
      <c r="M544" s="14"/>
      <c r="N544" s="14"/>
      <c r="O544" s="14"/>
      <c r="P544" s="14"/>
      <c r="Q544" s="14"/>
      <c r="R544" s="14"/>
    </row>
    <row r="545" spans="1:18" ht="27" customHeight="1">
      <c r="A545" s="13"/>
      <c r="B545" s="6"/>
      <c r="C545" s="6"/>
      <c r="D545" s="8"/>
      <c r="E545" s="6"/>
      <c r="F545" s="8"/>
      <c r="G545" s="6"/>
      <c r="H545" s="14"/>
      <c r="I545" s="14"/>
      <c r="J545" s="14"/>
      <c r="K545" s="14"/>
      <c r="L545" s="14"/>
      <c r="M545" s="14"/>
      <c r="N545" s="14"/>
      <c r="O545" s="14"/>
      <c r="P545" s="14"/>
      <c r="Q545" s="14"/>
      <c r="R545" s="14"/>
    </row>
    <row r="546" spans="1:18" ht="27" customHeight="1">
      <c r="A546" s="13"/>
      <c r="B546" s="6"/>
      <c r="C546" s="6"/>
      <c r="D546" s="8"/>
      <c r="E546" s="6"/>
      <c r="F546" s="8"/>
      <c r="G546" s="6"/>
      <c r="H546" s="14"/>
      <c r="I546" s="14"/>
      <c r="J546" s="14"/>
      <c r="K546" s="14"/>
      <c r="L546" s="14"/>
      <c r="M546" s="14"/>
      <c r="N546" s="14"/>
      <c r="O546" s="14"/>
      <c r="P546" s="14"/>
      <c r="Q546" s="14"/>
      <c r="R546" s="14"/>
    </row>
    <row r="547" spans="1:18" ht="27" customHeight="1">
      <c r="A547" s="13"/>
      <c r="B547" s="6"/>
      <c r="C547" s="6"/>
      <c r="D547" s="8"/>
      <c r="E547" s="6"/>
      <c r="F547" s="8"/>
      <c r="G547" s="6"/>
      <c r="H547" s="14"/>
      <c r="I547" s="14"/>
      <c r="J547" s="14"/>
      <c r="K547" s="14"/>
      <c r="L547" s="14"/>
      <c r="M547" s="14"/>
      <c r="N547" s="14"/>
      <c r="O547" s="14"/>
      <c r="P547" s="14"/>
      <c r="Q547" s="14"/>
      <c r="R547" s="14"/>
    </row>
    <row r="548" spans="1:18" ht="27" customHeight="1">
      <c r="A548" s="13"/>
      <c r="B548" s="6"/>
      <c r="C548" s="6"/>
      <c r="D548" s="8"/>
      <c r="E548" s="6"/>
      <c r="F548" s="8"/>
      <c r="G548" s="6"/>
      <c r="H548" s="14"/>
      <c r="I548" s="14"/>
      <c r="J548" s="14"/>
      <c r="K548" s="14"/>
      <c r="L548" s="14"/>
      <c r="M548" s="14"/>
      <c r="N548" s="14"/>
      <c r="O548" s="14"/>
      <c r="P548" s="14"/>
      <c r="Q548" s="14"/>
      <c r="R548" s="14"/>
    </row>
    <row r="549" spans="1:18" ht="27" customHeight="1">
      <c r="A549" s="13"/>
      <c r="B549" s="6"/>
      <c r="C549" s="6"/>
      <c r="D549" s="8"/>
      <c r="E549" s="6"/>
      <c r="F549" s="8"/>
      <c r="G549" s="6"/>
      <c r="H549" s="14"/>
      <c r="I549" s="14"/>
      <c r="J549" s="14"/>
      <c r="K549" s="14"/>
      <c r="L549" s="14"/>
      <c r="M549" s="14"/>
      <c r="N549" s="14"/>
      <c r="O549" s="14"/>
      <c r="P549" s="14"/>
      <c r="Q549" s="14"/>
      <c r="R549" s="14"/>
    </row>
    <row r="550" spans="1:18" ht="27" customHeight="1">
      <c r="A550" s="13"/>
      <c r="B550" s="6"/>
      <c r="C550" s="6"/>
      <c r="D550" s="8"/>
      <c r="E550" s="6"/>
      <c r="F550" s="8"/>
      <c r="G550" s="6"/>
      <c r="H550" s="14"/>
      <c r="I550" s="14"/>
      <c r="J550" s="14"/>
      <c r="K550" s="14"/>
      <c r="L550" s="14"/>
      <c r="M550" s="14"/>
      <c r="N550" s="14"/>
      <c r="O550" s="14"/>
      <c r="P550" s="14"/>
      <c r="Q550" s="14"/>
      <c r="R550" s="14"/>
    </row>
    <row r="551" spans="1:18" ht="27" customHeight="1">
      <c r="A551" s="13"/>
      <c r="B551" s="6"/>
      <c r="C551" s="6"/>
      <c r="D551" s="8"/>
      <c r="E551" s="6"/>
      <c r="F551" s="8"/>
      <c r="G551" s="6"/>
      <c r="H551" s="14"/>
      <c r="I551" s="14"/>
      <c r="J551" s="14"/>
      <c r="K551" s="14"/>
      <c r="L551" s="14"/>
      <c r="M551" s="14"/>
      <c r="N551" s="14"/>
      <c r="O551" s="14"/>
      <c r="P551" s="14"/>
      <c r="Q551" s="14"/>
      <c r="R551" s="14"/>
    </row>
    <row r="552" spans="1:18" ht="27" customHeight="1">
      <c r="A552" s="13"/>
      <c r="B552" s="6"/>
      <c r="C552" s="6"/>
      <c r="D552" s="8"/>
      <c r="E552" s="6"/>
      <c r="F552" s="8"/>
      <c r="G552" s="6"/>
      <c r="H552" s="14"/>
      <c r="I552" s="14"/>
      <c r="J552" s="14"/>
      <c r="K552" s="14"/>
      <c r="L552" s="14"/>
      <c r="M552" s="14"/>
      <c r="N552" s="14"/>
      <c r="O552" s="14"/>
      <c r="P552" s="14"/>
      <c r="Q552" s="14"/>
      <c r="R552" s="14"/>
    </row>
    <row r="553" spans="1:18" ht="27" customHeight="1">
      <c r="A553" s="13"/>
      <c r="B553" s="6"/>
      <c r="C553" s="6"/>
      <c r="D553" s="8"/>
      <c r="E553" s="6"/>
      <c r="F553" s="8"/>
      <c r="G553" s="6"/>
      <c r="H553" s="14"/>
      <c r="I553" s="14"/>
      <c r="J553" s="14"/>
      <c r="K553" s="14"/>
      <c r="L553" s="14"/>
      <c r="M553" s="14"/>
      <c r="N553" s="14"/>
      <c r="O553" s="14"/>
      <c r="P553" s="14"/>
      <c r="Q553" s="14"/>
      <c r="R553" s="14"/>
    </row>
    <row r="554" spans="1:18" ht="27" customHeight="1">
      <c r="A554" s="13"/>
      <c r="B554" s="6"/>
      <c r="C554" s="6"/>
      <c r="D554" s="8"/>
      <c r="E554" s="6"/>
      <c r="F554" s="8"/>
      <c r="G554" s="6"/>
      <c r="H554" s="14"/>
      <c r="I554" s="14"/>
      <c r="J554" s="14"/>
      <c r="K554" s="14"/>
      <c r="L554" s="14"/>
      <c r="M554" s="14"/>
      <c r="N554" s="14"/>
      <c r="O554" s="14"/>
      <c r="P554" s="14"/>
      <c r="Q554" s="14"/>
      <c r="R554" s="14"/>
    </row>
    <row r="555" spans="1:18" ht="27" customHeight="1">
      <c r="A555" s="13"/>
      <c r="B555" s="6"/>
      <c r="C555" s="6"/>
      <c r="D555" s="8"/>
      <c r="E555" s="6"/>
      <c r="F555" s="8"/>
      <c r="G555" s="6"/>
      <c r="H555" s="14"/>
      <c r="I555" s="14"/>
      <c r="J555" s="14"/>
      <c r="K555" s="14"/>
      <c r="L555" s="14"/>
      <c r="M555" s="14"/>
      <c r="N555" s="14"/>
      <c r="O555" s="14"/>
      <c r="P555" s="14"/>
      <c r="Q555" s="14"/>
      <c r="R555" s="14"/>
    </row>
    <row r="556" spans="1:18" ht="27" customHeight="1">
      <c r="A556" s="13"/>
      <c r="B556" s="6"/>
      <c r="C556" s="6"/>
      <c r="D556" s="8"/>
      <c r="E556" s="6"/>
      <c r="F556" s="8"/>
      <c r="G556" s="6"/>
      <c r="H556" s="14"/>
      <c r="I556" s="14"/>
      <c r="J556" s="14"/>
      <c r="K556" s="14"/>
      <c r="L556" s="14"/>
      <c r="M556" s="14"/>
      <c r="N556" s="14"/>
      <c r="O556" s="14"/>
      <c r="P556" s="14"/>
      <c r="Q556" s="14"/>
      <c r="R556" s="14"/>
    </row>
    <row r="557" spans="1:18" ht="27" customHeight="1">
      <c r="A557" s="13"/>
      <c r="B557" s="6"/>
      <c r="C557" s="6"/>
      <c r="D557" s="8"/>
      <c r="E557" s="6"/>
      <c r="F557" s="8"/>
      <c r="G557" s="6"/>
      <c r="H557" s="14"/>
      <c r="I557" s="14"/>
      <c r="J557" s="14"/>
      <c r="K557" s="14"/>
      <c r="L557" s="14"/>
      <c r="M557" s="14"/>
      <c r="N557" s="14"/>
      <c r="O557" s="14"/>
      <c r="P557" s="14"/>
      <c r="Q557" s="14"/>
      <c r="R557" s="14"/>
    </row>
    <row r="558" spans="1:18" ht="27" customHeight="1">
      <c r="A558" s="13"/>
      <c r="B558" s="6"/>
      <c r="C558" s="6"/>
      <c r="D558" s="8"/>
      <c r="E558" s="6"/>
      <c r="F558" s="8"/>
      <c r="G558" s="6"/>
      <c r="H558" s="14"/>
      <c r="I558" s="14"/>
      <c r="J558" s="14"/>
      <c r="K558" s="14"/>
      <c r="L558" s="14"/>
      <c r="M558" s="14"/>
      <c r="N558" s="14"/>
      <c r="O558" s="14"/>
      <c r="P558" s="14"/>
      <c r="Q558" s="14"/>
      <c r="R558" s="14"/>
    </row>
    <row r="559" spans="1:18" ht="27" customHeight="1">
      <c r="A559" s="13"/>
      <c r="B559" s="6"/>
      <c r="C559" s="6"/>
      <c r="D559" s="8"/>
      <c r="E559" s="6"/>
      <c r="F559" s="8"/>
      <c r="G559" s="6"/>
      <c r="H559" s="14"/>
      <c r="I559" s="14"/>
      <c r="J559" s="14"/>
      <c r="K559" s="14"/>
      <c r="L559" s="14"/>
      <c r="M559" s="14"/>
      <c r="N559" s="14"/>
      <c r="O559" s="14"/>
      <c r="P559" s="14"/>
      <c r="Q559" s="14"/>
      <c r="R559" s="14"/>
    </row>
    <row r="560" spans="1:18" ht="27" customHeight="1">
      <c r="A560" s="13"/>
      <c r="B560" s="6"/>
      <c r="C560" s="6"/>
      <c r="D560" s="8"/>
      <c r="E560" s="6"/>
      <c r="F560" s="8"/>
      <c r="G560" s="6"/>
      <c r="H560" s="14"/>
      <c r="I560" s="14"/>
      <c r="J560" s="14"/>
      <c r="K560" s="14"/>
      <c r="L560" s="14"/>
      <c r="M560" s="14"/>
      <c r="N560" s="14"/>
      <c r="O560" s="14"/>
      <c r="P560" s="14"/>
      <c r="Q560" s="14"/>
      <c r="R560" s="14"/>
    </row>
    <row r="561" spans="1:18" ht="27" customHeight="1">
      <c r="A561" s="13"/>
      <c r="B561" s="6"/>
      <c r="C561" s="6"/>
      <c r="D561" s="8"/>
      <c r="E561" s="6"/>
      <c r="F561" s="8"/>
      <c r="G561" s="6"/>
      <c r="H561" s="14"/>
      <c r="I561" s="14"/>
      <c r="J561" s="14"/>
      <c r="K561" s="14"/>
      <c r="L561" s="14"/>
      <c r="M561" s="14"/>
      <c r="N561" s="14"/>
      <c r="O561" s="14"/>
      <c r="P561" s="14"/>
      <c r="Q561" s="14"/>
      <c r="R561" s="14"/>
    </row>
    <row r="562" spans="1:18" ht="27" customHeight="1">
      <c r="A562" s="13"/>
      <c r="B562" s="6"/>
      <c r="C562" s="6"/>
      <c r="D562" s="8"/>
      <c r="E562" s="6"/>
      <c r="F562" s="8"/>
      <c r="G562" s="6"/>
      <c r="H562" s="14"/>
      <c r="I562" s="14"/>
      <c r="J562" s="14"/>
      <c r="K562" s="14"/>
      <c r="L562" s="14"/>
      <c r="M562" s="14"/>
      <c r="N562" s="14"/>
      <c r="O562" s="14"/>
      <c r="P562" s="14"/>
      <c r="Q562" s="14"/>
      <c r="R562" s="14"/>
    </row>
    <row r="563" spans="1:18" ht="27" customHeight="1">
      <c r="A563" s="13"/>
      <c r="B563" s="6"/>
      <c r="C563" s="6"/>
      <c r="D563" s="8"/>
      <c r="E563" s="6"/>
      <c r="F563" s="8"/>
      <c r="G563" s="6"/>
      <c r="H563" s="14"/>
      <c r="I563" s="14"/>
      <c r="J563" s="14"/>
      <c r="K563" s="14"/>
      <c r="L563" s="14"/>
      <c r="M563" s="14"/>
      <c r="N563" s="14"/>
      <c r="O563" s="14"/>
      <c r="P563" s="14"/>
      <c r="Q563" s="14"/>
      <c r="R563" s="14"/>
    </row>
    <row r="564" spans="1:18" ht="27" customHeight="1">
      <c r="A564" s="13"/>
      <c r="B564" s="6"/>
      <c r="C564" s="6"/>
      <c r="D564" s="8"/>
      <c r="E564" s="6"/>
      <c r="F564" s="8"/>
      <c r="G564" s="6"/>
      <c r="H564" s="14"/>
      <c r="I564" s="14"/>
      <c r="J564" s="14"/>
      <c r="K564" s="14"/>
      <c r="L564" s="14"/>
      <c r="M564" s="14"/>
      <c r="N564" s="14"/>
      <c r="O564" s="14"/>
      <c r="P564" s="14"/>
      <c r="Q564" s="14"/>
      <c r="R564" s="14"/>
    </row>
    <row r="565" spans="1:18" ht="27" customHeight="1">
      <c r="A565" s="13"/>
      <c r="B565" s="6"/>
      <c r="C565" s="6"/>
      <c r="D565" s="8"/>
      <c r="E565" s="6"/>
      <c r="F565" s="8"/>
      <c r="G565" s="6"/>
      <c r="H565" s="14"/>
      <c r="I565" s="14"/>
      <c r="J565" s="14"/>
      <c r="K565" s="14"/>
      <c r="L565" s="14"/>
      <c r="M565" s="14"/>
      <c r="N565" s="14"/>
      <c r="O565" s="14"/>
      <c r="P565" s="14"/>
      <c r="Q565" s="14"/>
      <c r="R565" s="14"/>
    </row>
    <row r="566" spans="1:18" ht="27" customHeight="1">
      <c r="A566" s="13"/>
      <c r="B566" s="6"/>
      <c r="C566" s="6"/>
      <c r="D566" s="8"/>
      <c r="E566" s="6"/>
      <c r="F566" s="8"/>
      <c r="G566" s="6"/>
      <c r="H566" s="14"/>
      <c r="I566" s="14"/>
      <c r="J566" s="14"/>
      <c r="K566" s="14"/>
      <c r="L566" s="14"/>
      <c r="M566" s="14"/>
      <c r="N566" s="14"/>
      <c r="O566" s="14"/>
      <c r="P566" s="14"/>
      <c r="Q566" s="14"/>
      <c r="R566" s="14"/>
    </row>
    <row r="567" spans="1:18" ht="27" customHeight="1">
      <c r="A567" s="13"/>
      <c r="B567" s="6"/>
      <c r="C567" s="6"/>
      <c r="D567" s="8"/>
      <c r="E567" s="6"/>
      <c r="F567" s="8"/>
      <c r="G567" s="6"/>
      <c r="H567" s="14"/>
      <c r="I567" s="14"/>
      <c r="J567" s="14"/>
      <c r="K567" s="14"/>
      <c r="L567" s="14"/>
      <c r="M567" s="14"/>
      <c r="N567" s="14"/>
      <c r="O567" s="14"/>
      <c r="P567" s="14"/>
      <c r="Q567" s="14"/>
      <c r="R567" s="14"/>
    </row>
    <row r="568" spans="1:18" ht="27" customHeight="1">
      <c r="A568" s="13"/>
      <c r="B568" s="6"/>
      <c r="C568" s="6"/>
      <c r="D568" s="8"/>
      <c r="E568" s="6"/>
      <c r="F568" s="8"/>
      <c r="G568" s="6"/>
      <c r="H568" s="14"/>
      <c r="I568" s="14"/>
      <c r="J568" s="14"/>
      <c r="K568" s="14"/>
      <c r="L568" s="14"/>
      <c r="M568" s="14"/>
      <c r="N568" s="14"/>
      <c r="O568" s="14"/>
      <c r="P568" s="14"/>
      <c r="Q568" s="14"/>
      <c r="R568" s="14"/>
    </row>
    <row r="569" spans="1:18" ht="27" customHeight="1">
      <c r="A569" s="13"/>
      <c r="B569" s="6"/>
      <c r="C569" s="6"/>
      <c r="D569" s="8"/>
      <c r="E569" s="6"/>
      <c r="F569" s="8"/>
      <c r="G569" s="6"/>
      <c r="H569" s="14"/>
      <c r="I569" s="14"/>
      <c r="J569" s="14"/>
      <c r="K569" s="14"/>
      <c r="L569" s="14"/>
      <c r="M569" s="14"/>
      <c r="N569" s="14"/>
      <c r="O569" s="14"/>
      <c r="P569" s="14"/>
      <c r="Q569" s="14"/>
      <c r="R569" s="14"/>
    </row>
    <row r="570" spans="1:18" ht="27" customHeight="1">
      <c r="A570" s="13"/>
      <c r="B570" s="6"/>
      <c r="C570" s="6"/>
      <c r="D570" s="8"/>
      <c r="E570" s="6"/>
      <c r="F570" s="8"/>
      <c r="G570" s="6"/>
      <c r="H570" s="14"/>
      <c r="I570" s="14"/>
      <c r="J570" s="14"/>
      <c r="K570" s="14"/>
      <c r="L570" s="14"/>
      <c r="M570" s="14"/>
      <c r="N570" s="14"/>
      <c r="O570" s="14"/>
      <c r="P570" s="14"/>
      <c r="Q570" s="14"/>
      <c r="R570" s="14"/>
    </row>
    <row r="571" spans="1:18" ht="27" customHeight="1">
      <c r="A571" s="13"/>
      <c r="B571" s="6"/>
      <c r="C571" s="6"/>
      <c r="D571" s="8"/>
      <c r="E571" s="6"/>
      <c r="F571" s="8"/>
      <c r="G571" s="6"/>
      <c r="H571" s="14"/>
      <c r="I571" s="14"/>
      <c r="J571" s="14"/>
      <c r="K571" s="14"/>
      <c r="L571" s="14"/>
      <c r="M571" s="14"/>
      <c r="N571" s="14"/>
      <c r="O571" s="14"/>
      <c r="P571" s="14"/>
      <c r="Q571" s="14"/>
      <c r="R571" s="14"/>
    </row>
    <row r="572" spans="1:18" ht="27" customHeight="1">
      <c r="A572" s="13"/>
      <c r="B572" s="6"/>
      <c r="C572" s="6"/>
      <c r="D572" s="8"/>
      <c r="E572" s="6"/>
      <c r="F572" s="8"/>
      <c r="G572" s="6"/>
      <c r="H572" s="14"/>
      <c r="I572" s="14"/>
      <c r="J572" s="14"/>
      <c r="K572" s="14"/>
      <c r="L572" s="14"/>
      <c r="M572" s="14"/>
      <c r="N572" s="14"/>
      <c r="O572" s="14"/>
      <c r="P572" s="14"/>
      <c r="Q572" s="14"/>
      <c r="R572" s="14"/>
    </row>
    <row r="573" spans="1:18" ht="27" customHeight="1">
      <c r="A573" s="13"/>
      <c r="B573" s="6"/>
      <c r="C573" s="6"/>
      <c r="D573" s="8"/>
      <c r="E573" s="6"/>
      <c r="F573" s="8"/>
      <c r="G573" s="6"/>
      <c r="H573" s="14"/>
      <c r="I573" s="14"/>
      <c r="J573" s="14"/>
      <c r="K573" s="14"/>
      <c r="L573" s="14"/>
      <c r="M573" s="14"/>
      <c r="N573" s="14"/>
      <c r="O573" s="14"/>
      <c r="P573" s="14"/>
      <c r="Q573" s="14"/>
      <c r="R573" s="14"/>
    </row>
    <row r="574" spans="1:18" ht="27" customHeight="1">
      <c r="A574" s="13"/>
      <c r="B574" s="6"/>
      <c r="C574" s="6"/>
      <c r="D574" s="8"/>
      <c r="E574" s="6"/>
      <c r="F574" s="8"/>
      <c r="G574" s="6"/>
      <c r="H574" s="14"/>
      <c r="I574" s="14"/>
      <c r="J574" s="14"/>
      <c r="K574" s="14"/>
      <c r="L574" s="14"/>
      <c r="M574" s="14"/>
      <c r="N574" s="14"/>
      <c r="O574" s="14"/>
      <c r="P574" s="14"/>
      <c r="Q574" s="14"/>
      <c r="R574" s="14"/>
    </row>
    <row r="575" spans="1:18" ht="27" customHeight="1">
      <c r="A575" s="13"/>
      <c r="B575" s="6"/>
      <c r="C575" s="6"/>
      <c r="D575" s="8"/>
      <c r="E575" s="6"/>
      <c r="F575" s="8"/>
      <c r="G575" s="6"/>
      <c r="H575" s="14"/>
      <c r="I575" s="14"/>
      <c r="J575" s="14"/>
      <c r="K575" s="14"/>
      <c r="L575" s="14"/>
      <c r="M575" s="14"/>
      <c r="N575" s="14"/>
      <c r="O575" s="14"/>
      <c r="P575" s="14"/>
      <c r="Q575" s="14"/>
      <c r="R575" s="14"/>
    </row>
    <row r="576" spans="1:18" ht="27" customHeight="1">
      <c r="A576" s="13"/>
      <c r="B576" s="6"/>
      <c r="C576" s="6"/>
      <c r="D576" s="8"/>
      <c r="E576" s="6"/>
      <c r="F576" s="8"/>
      <c r="G576" s="6"/>
      <c r="H576" s="14"/>
      <c r="I576" s="14"/>
      <c r="J576" s="14"/>
      <c r="K576" s="14"/>
      <c r="L576" s="14"/>
      <c r="M576" s="14"/>
      <c r="N576" s="14"/>
      <c r="O576" s="14"/>
      <c r="P576" s="14"/>
      <c r="Q576" s="14"/>
      <c r="R576" s="14"/>
    </row>
    <row r="577" spans="1:18" ht="27" customHeight="1">
      <c r="A577" s="13"/>
      <c r="B577" s="6"/>
      <c r="C577" s="6"/>
      <c r="D577" s="8"/>
      <c r="E577" s="6"/>
      <c r="F577" s="8"/>
      <c r="G577" s="6"/>
      <c r="H577" s="14"/>
      <c r="I577" s="14"/>
      <c r="J577" s="14"/>
      <c r="K577" s="14"/>
      <c r="L577" s="14"/>
      <c r="M577" s="14"/>
      <c r="N577" s="14"/>
      <c r="O577" s="14"/>
      <c r="P577" s="14"/>
      <c r="Q577" s="14"/>
      <c r="R577" s="14"/>
    </row>
    <row r="578" spans="1:18" ht="27" customHeight="1">
      <c r="A578" s="13"/>
      <c r="B578" s="6"/>
      <c r="C578" s="6"/>
      <c r="D578" s="8"/>
      <c r="E578" s="6"/>
      <c r="F578" s="8"/>
      <c r="G578" s="6"/>
      <c r="H578" s="14"/>
      <c r="I578" s="14"/>
      <c r="J578" s="14"/>
      <c r="K578" s="14"/>
      <c r="L578" s="14"/>
      <c r="M578" s="14"/>
      <c r="N578" s="14"/>
      <c r="O578" s="14"/>
      <c r="P578" s="14"/>
      <c r="Q578" s="14"/>
      <c r="R578" s="14"/>
    </row>
    <row r="579" spans="1:18" ht="27" customHeight="1">
      <c r="A579" s="13"/>
      <c r="B579" s="6"/>
      <c r="C579" s="6"/>
      <c r="D579" s="8"/>
      <c r="E579" s="6"/>
      <c r="F579" s="8"/>
      <c r="G579" s="6"/>
      <c r="H579" s="14"/>
      <c r="I579" s="14"/>
      <c r="J579" s="14"/>
      <c r="K579" s="14"/>
      <c r="L579" s="14"/>
      <c r="M579" s="14"/>
      <c r="N579" s="14"/>
      <c r="O579" s="14"/>
      <c r="P579" s="14"/>
      <c r="Q579" s="14"/>
      <c r="R579" s="14"/>
    </row>
    <row r="580" spans="1:18" ht="27" customHeight="1">
      <c r="A580" s="13"/>
      <c r="B580" s="6"/>
      <c r="C580" s="6"/>
      <c r="D580" s="8"/>
      <c r="E580" s="6"/>
      <c r="F580" s="8"/>
      <c r="G580" s="6"/>
      <c r="H580" s="14"/>
      <c r="I580" s="14"/>
      <c r="J580" s="14"/>
      <c r="K580" s="14"/>
      <c r="L580" s="14"/>
      <c r="M580" s="14"/>
      <c r="N580" s="14"/>
      <c r="O580" s="14"/>
      <c r="P580" s="14"/>
      <c r="Q580" s="14"/>
      <c r="R580" s="14"/>
    </row>
    <row r="581" spans="1:18" ht="27" customHeight="1">
      <c r="A581" s="13"/>
      <c r="B581" s="6"/>
      <c r="C581" s="6"/>
      <c r="D581" s="8"/>
      <c r="E581" s="6"/>
      <c r="F581" s="8"/>
      <c r="G581" s="6"/>
      <c r="H581" s="14"/>
      <c r="I581" s="14"/>
      <c r="J581" s="14"/>
      <c r="K581" s="14"/>
      <c r="L581" s="14"/>
      <c r="M581" s="14"/>
      <c r="N581" s="14"/>
      <c r="O581" s="14"/>
      <c r="P581" s="14"/>
      <c r="Q581" s="14"/>
      <c r="R581" s="14"/>
    </row>
    <row r="582" spans="1:18" ht="27" customHeight="1">
      <c r="A582" s="13"/>
      <c r="B582" s="6"/>
      <c r="C582" s="6"/>
      <c r="D582" s="8"/>
      <c r="E582" s="6"/>
      <c r="F582" s="8"/>
      <c r="G582" s="6"/>
      <c r="H582" s="14"/>
      <c r="I582" s="14"/>
      <c r="J582" s="14"/>
      <c r="K582" s="14"/>
      <c r="L582" s="14"/>
      <c r="M582" s="14"/>
      <c r="N582" s="14"/>
      <c r="O582" s="14"/>
      <c r="P582" s="14"/>
      <c r="Q582" s="14"/>
      <c r="R582" s="14"/>
    </row>
    <row r="583" spans="1:18" ht="27" customHeight="1">
      <c r="A583" s="13"/>
      <c r="B583" s="6"/>
      <c r="C583" s="6"/>
      <c r="D583" s="8"/>
      <c r="E583" s="6"/>
      <c r="F583" s="8"/>
      <c r="G583" s="6"/>
      <c r="H583" s="14"/>
      <c r="I583" s="14"/>
      <c r="J583" s="14"/>
      <c r="K583" s="14"/>
      <c r="L583" s="14"/>
      <c r="M583" s="14"/>
      <c r="N583" s="14"/>
      <c r="O583" s="14"/>
      <c r="P583" s="14"/>
      <c r="Q583" s="14"/>
      <c r="R583" s="14"/>
    </row>
    <row r="584" spans="1:18" ht="27" customHeight="1">
      <c r="A584" s="13"/>
      <c r="B584" s="6"/>
      <c r="C584" s="6"/>
      <c r="D584" s="8"/>
      <c r="E584" s="6"/>
      <c r="F584" s="8"/>
      <c r="G584" s="6"/>
      <c r="H584" s="14"/>
      <c r="I584" s="14"/>
      <c r="J584" s="14"/>
      <c r="K584" s="14"/>
      <c r="L584" s="14"/>
      <c r="M584" s="14"/>
      <c r="N584" s="14"/>
      <c r="O584" s="14"/>
      <c r="P584" s="14"/>
      <c r="Q584" s="14"/>
      <c r="R584" s="14"/>
    </row>
    <row r="585" spans="1:18" ht="27" customHeight="1">
      <c r="A585" s="13"/>
      <c r="B585" s="6"/>
      <c r="C585" s="6"/>
      <c r="D585" s="8"/>
      <c r="E585" s="6"/>
      <c r="F585" s="8"/>
      <c r="G585" s="6"/>
      <c r="H585" s="14"/>
      <c r="I585" s="14"/>
      <c r="J585" s="14"/>
      <c r="K585" s="14"/>
      <c r="L585" s="14"/>
      <c r="M585" s="14"/>
      <c r="N585" s="14"/>
      <c r="O585" s="14"/>
      <c r="P585" s="14"/>
      <c r="Q585" s="14"/>
      <c r="R585" s="14"/>
    </row>
    <row r="586" spans="1:18" ht="27" customHeight="1">
      <c r="A586" s="13"/>
      <c r="B586" s="6"/>
      <c r="C586" s="6"/>
      <c r="D586" s="8"/>
      <c r="E586" s="6"/>
      <c r="F586" s="8"/>
      <c r="G586" s="6"/>
      <c r="H586" s="14"/>
      <c r="I586" s="14"/>
      <c r="J586" s="14"/>
      <c r="K586" s="14"/>
      <c r="L586" s="14"/>
      <c r="M586" s="14"/>
      <c r="N586" s="14"/>
      <c r="O586" s="14"/>
      <c r="P586" s="14"/>
      <c r="Q586" s="14"/>
      <c r="R586" s="14"/>
    </row>
    <row r="587" spans="1:18" ht="27" customHeight="1">
      <c r="A587" s="13"/>
      <c r="B587" s="6"/>
      <c r="C587" s="6"/>
      <c r="D587" s="8"/>
      <c r="E587" s="6"/>
      <c r="F587" s="8"/>
      <c r="G587" s="6"/>
      <c r="H587" s="14"/>
      <c r="I587" s="14"/>
      <c r="J587" s="14"/>
      <c r="K587" s="14"/>
      <c r="L587" s="14"/>
      <c r="M587" s="14"/>
      <c r="N587" s="14"/>
      <c r="O587" s="14"/>
      <c r="P587" s="14"/>
      <c r="Q587" s="14"/>
      <c r="R587" s="14"/>
    </row>
    <row r="588" spans="1:18" ht="27" customHeight="1">
      <c r="A588" s="13"/>
      <c r="B588" s="6"/>
      <c r="C588" s="6"/>
      <c r="D588" s="8"/>
      <c r="E588" s="6"/>
      <c r="F588" s="8"/>
      <c r="G588" s="6"/>
      <c r="H588" s="14"/>
      <c r="I588" s="14"/>
      <c r="J588" s="14"/>
      <c r="K588" s="14"/>
      <c r="L588" s="14"/>
      <c r="M588" s="14"/>
      <c r="N588" s="14"/>
      <c r="O588" s="14"/>
      <c r="P588" s="14"/>
      <c r="Q588" s="14"/>
      <c r="R588" s="14"/>
    </row>
    <row r="589" spans="1:18" ht="27" customHeight="1">
      <c r="A589" s="13"/>
      <c r="B589" s="6"/>
      <c r="C589" s="6"/>
      <c r="D589" s="8"/>
      <c r="E589" s="6"/>
      <c r="F589" s="8"/>
      <c r="G589" s="6"/>
      <c r="H589" s="14"/>
      <c r="I589" s="14"/>
      <c r="J589" s="14"/>
      <c r="K589" s="14"/>
      <c r="L589" s="14"/>
      <c r="M589" s="14"/>
      <c r="N589" s="14"/>
      <c r="O589" s="14"/>
      <c r="P589" s="14"/>
      <c r="Q589" s="14"/>
      <c r="R589" s="14"/>
    </row>
    <row r="590" spans="1:18" ht="27" customHeight="1">
      <c r="A590" s="13"/>
      <c r="B590" s="6"/>
      <c r="C590" s="6"/>
      <c r="D590" s="8"/>
      <c r="E590" s="6"/>
      <c r="F590" s="8"/>
      <c r="G590" s="6"/>
      <c r="H590" s="14"/>
      <c r="I590" s="14"/>
      <c r="J590" s="14"/>
      <c r="K590" s="14"/>
      <c r="L590" s="14"/>
      <c r="M590" s="14"/>
      <c r="N590" s="14"/>
      <c r="O590" s="14"/>
      <c r="P590" s="14"/>
      <c r="Q590" s="14"/>
      <c r="R590" s="14"/>
    </row>
    <row r="591" spans="1:18" ht="27" customHeight="1">
      <c r="A591" s="13"/>
      <c r="B591" s="6"/>
      <c r="C591" s="6"/>
      <c r="D591" s="8"/>
      <c r="E591" s="6"/>
      <c r="F591" s="8"/>
      <c r="G591" s="6"/>
      <c r="H591" s="14"/>
      <c r="I591" s="14"/>
      <c r="J591" s="14"/>
      <c r="K591" s="14"/>
      <c r="L591" s="14"/>
      <c r="M591" s="14"/>
      <c r="N591" s="14"/>
      <c r="O591" s="14"/>
      <c r="P591" s="14"/>
      <c r="Q591" s="14"/>
      <c r="R591" s="14"/>
    </row>
    <row r="592" spans="1:18" ht="27" customHeight="1">
      <c r="A592" s="13"/>
      <c r="B592" s="6"/>
      <c r="C592" s="6"/>
      <c r="D592" s="8"/>
      <c r="E592" s="6"/>
      <c r="F592" s="8"/>
      <c r="G592" s="6"/>
      <c r="H592" s="14"/>
      <c r="I592" s="14"/>
      <c r="J592" s="14"/>
      <c r="K592" s="14"/>
      <c r="L592" s="14"/>
      <c r="M592" s="14"/>
      <c r="N592" s="14"/>
      <c r="O592" s="14"/>
      <c r="P592" s="14"/>
      <c r="Q592" s="14"/>
      <c r="R592" s="14"/>
    </row>
    <row r="593" spans="1:18" ht="27" customHeight="1">
      <c r="A593" s="13"/>
      <c r="B593" s="6"/>
      <c r="C593" s="6"/>
      <c r="D593" s="8"/>
      <c r="E593" s="6"/>
      <c r="F593" s="8"/>
      <c r="G593" s="6"/>
      <c r="H593" s="14"/>
      <c r="I593" s="14"/>
      <c r="J593" s="14"/>
      <c r="K593" s="14"/>
      <c r="L593" s="14"/>
      <c r="M593" s="14"/>
      <c r="N593" s="14"/>
      <c r="O593" s="14"/>
      <c r="P593" s="14"/>
      <c r="Q593" s="14"/>
      <c r="R593" s="14"/>
    </row>
    <row r="594" spans="1:18" ht="27" customHeight="1">
      <c r="A594" s="13"/>
      <c r="B594" s="6"/>
      <c r="C594" s="6"/>
      <c r="D594" s="8"/>
      <c r="E594" s="6"/>
      <c r="F594" s="8"/>
      <c r="G594" s="6"/>
      <c r="H594" s="14"/>
      <c r="I594" s="14"/>
      <c r="J594" s="14"/>
      <c r="K594" s="14"/>
      <c r="L594" s="14"/>
      <c r="M594" s="14"/>
      <c r="N594" s="14"/>
      <c r="O594" s="14"/>
      <c r="P594" s="14"/>
      <c r="Q594" s="14"/>
      <c r="R594" s="14"/>
    </row>
    <row r="595" spans="1:18" ht="27" customHeight="1">
      <c r="A595" s="13"/>
      <c r="B595" s="6"/>
      <c r="C595" s="6"/>
      <c r="D595" s="8"/>
      <c r="E595" s="6"/>
      <c r="F595" s="8"/>
      <c r="G595" s="6"/>
      <c r="H595" s="14"/>
      <c r="I595" s="14"/>
      <c r="J595" s="14"/>
      <c r="K595" s="14"/>
      <c r="L595" s="14"/>
      <c r="M595" s="14"/>
      <c r="N595" s="14"/>
      <c r="O595" s="14"/>
      <c r="P595" s="14"/>
      <c r="Q595" s="14"/>
      <c r="R595" s="14"/>
    </row>
    <row r="596" spans="1:18" ht="27" customHeight="1">
      <c r="A596" s="13"/>
      <c r="B596" s="6"/>
      <c r="C596" s="6"/>
      <c r="D596" s="8"/>
      <c r="E596" s="6"/>
      <c r="F596" s="8"/>
      <c r="G596" s="6"/>
      <c r="H596" s="14"/>
      <c r="I596" s="14"/>
      <c r="J596" s="14"/>
      <c r="K596" s="14"/>
      <c r="L596" s="14"/>
      <c r="M596" s="14"/>
      <c r="N596" s="14"/>
      <c r="O596" s="14"/>
      <c r="P596" s="14"/>
      <c r="Q596" s="14"/>
      <c r="R596" s="14"/>
    </row>
    <row r="597" spans="1:18" ht="27" customHeight="1">
      <c r="A597" s="13"/>
      <c r="B597" s="6"/>
      <c r="C597" s="6"/>
      <c r="D597" s="8"/>
      <c r="E597" s="6"/>
      <c r="F597" s="8"/>
      <c r="G597" s="6"/>
      <c r="H597" s="14"/>
      <c r="I597" s="14"/>
      <c r="J597" s="14"/>
      <c r="K597" s="14"/>
      <c r="L597" s="14"/>
      <c r="M597" s="14"/>
      <c r="N597" s="14"/>
      <c r="O597" s="14"/>
      <c r="P597" s="14"/>
      <c r="Q597" s="14"/>
      <c r="R597" s="14"/>
    </row>
    <row r="598" spans="1:18" ht="27" customHeight="1">
      <c r="A598" s="13"/>
      <c r="B598" s="6"/>
      <c r="C598" s="6"/>
      <c r="D598" s="8"/>
      <c r="E598" s="6"/>
      <c r="F598" s="8"/>
      <c r="G598" s="6"/>
      <c r="H598" s="14"/>
      <c r="I598" s="14"/>
      <c r="J598" s="14"/>
      <c r="K598" s="14"/>
      <c r="L598" s="14"/>
      <c r="M598" s="14"/>
      <c r="N598" s="14"/>
      <c r="O598" s="14"/>
      <c r="P598" s="14"/>
      <c r="Q598" s="14"/>
      <c r="R598" s="14"/>
    </row>
    <row r="599" spans="1:18" ht="27" customHeight="1">
      <c r="A599" s="13"/>
      <c r="B599" s="6"/>
      <c r="C599" s="6"/>
      <c r="D599" s="8"/>
      <c r="E599" s="6"/>
      <c r="F599" s="8"/>
      <c r="G599" s="6"/>
      <c r="H599" s="14"/>
      <c r="I599" s="14"/>
      <c r="J599" s="14"/>
      <c r="K599" s="14"/>
      <c r="L599" s="14"/>
      <c r="M599" s="14"/>
      <c r="N599" s="14"/>
      <c r="O599" s="14"/>
      <c r="P599" s="14"/>
      <c r="Q599" s="14"/>
      <c r="R599" s="14"/>
    </row>
    <row r="600" spans="1:18" ht="27" customHeight="1">
      <c r="A600" s="13"/>
      <c r="B600" s="6"/>
      <c r="C600" s="6"/>
      <c r="D600" s="8"/>
      <c r="E600" s="6"/>
      <c r="F600" s="8"/>
      <c r="G600" s="6"/>
      <c r="H600" s="14"/>
      <c r="I600" s="14"/>
      <c r="J600" s="14"/>
      <c r="K600" s="14"/>
      <c r="L600" s="14"/>
      <c r="M600" s="14"/>
      <c r="N600" s="14"/>
      <c r="O600" s="14"/>
      <c r="P600" s="14"/>
      <c r="Q600" s="14"/>
      <c r="R600" s="14"/>
    </row>
    <row r="601" spans="1:18" ht="27" customHeight="1">
      <c r="A601" s="13"/>
      <c r="B601" s="6"/>
      <c r="C601" s="6"/>
      <c r="D601" s="8"/>
      <c r="E601" s="6"/>
      <c r="F601" s="8"/>
      <c r="G601" s="6"/>
      <c r="H601" s="14"/>
      <c r="I601" s="14"/>
      <c r="J601" s="14"/>
      <c r="K601" s="14"/>
      <c r="L601" s="14"/>
      <c r="M601" s="14"/>
      <c r="N601" s="14"/>
      <c r="O601" s="14"/>
      <c r="P601" s="14"/>
      <c r="Q601" s="14"/>
      <c r="R601" s="14"/>
    </row>
    <row r="602" spans="1:18" ht="27" customHeight="1">
      <c r="A602" s="13"/>
      <c r="B602" s="6"/>
      <c r="C602" s="6"/>
      <c r="D602" s="8"/>
      <c r="E602" s="6"/>
      <c r="F602" s="8"/>
      <c r="G602" s="6"/>
      <c r="H602" s="14"/>
      <c r="I602" s="14"/>
      <c r="J602" s="14"/>
      <c r="K602" s="14"/>
      <c r="L602" s="14"/>
      <c r="M602" s="14"/>
      <c r="N602" s="14"/>
      <c r="O602" s="14"/>
      <c r="P602" s="14"/>
      <c r="Q602" s="14"/>
      <c r="R602" s="14"/>
    </row>
    <row r="603" spans="1:18" ht="27" customHeight="1">
      <c r="A603" s="13"/>
      <c r="B603" s="6"/>
      <c r="C603" s="6"/>
      <c r="D603" s="8"/>
      <c r="E603" s="6"/>
      <c r="F603" s="8"/>
      <c r="G603" s="6"/>
      <c r="H603" s="14"/>
      <c r="I603" s="14"/>
      <c r="J603" s="14"/>
      <c r="K603" s="14"/>
      <c r="L603" s="14"/>
      <c r="M603" s="14"/>
      <c r="N603" s="14"/>
      <c r="O603" s="14"/>
      <c r="P603" s="14"/>
      <c r="Q603" s="14"/>
      <c r="R603" s="14"/>
    </row>
    <row r="604" spans="1:18" ht="27" customHeight="1">
      <c r="A604" s="13"/>
      <c r="B604" s="6"/>
      <c r="C604" s="6"/>
      <c r="D604" s="8"/>
      <c r="E604" s="6"/>
      <c r="F604" s="8"/>
      <c r="G604" s="6"/>
      <c r="H604" s="14"/>
      <c r="I604" s="14"/>
      <c r="J604" s="14"/>
      <c r="K604" s="14"/>
      <c r="L604" s="14"/>
      <c r="M604" s="14"/>
      <c r="N604" s="14"/>
      <c r="O604" s="14"/>
      <c r="P604" s="14"/>
      <c r="Q604" s="14"/>
      <c r="R604" s="14"/>
    </row>
    <row r="605" spans="1:18" ht="27" customHeight="1">
      <c r="A605" s="13"/>
      <c r="B605" s="6"/>
      <c r="C605" s="6"/>
      <c r="D605" s="8"/>
      <c r="E605" s="6"/>
      <c r="F605" s="8"/>
      <c r="G605" s="6"/>
      <c r="H605" s="14"/>
      <c r="I605" s="14"/>
      <c r="J605" s="14"/>
      <c r="K605" s="14"/>
      <c r="L605" s="14"/>
      <c r="M605" s="14"/>
      <c r="N605" s="14"/>
      <c r="O605" s="14"/>
      <c r="P605" s="14"/>
      <c r="Q605" s="14"/>
      <c r="R605" s="14"/>
    </row>
    <row r="606" spans="1:18" ht="27" customHeight="1">
      <c r="A606" s="13"/>
      <c r="B606" s="6"/>
      <c r="C606" s="6"/>
      <c r="D606" s="8"/>
      <c r="E606" s="6"/>
      <c r="F606" s="8"/>
      <c r="G606" s="6"/>
      <c r="H606" s="14"/>
      <c r="I606" s="14"/>
      <c r="J606" s="14"/>
      <c r="K606" s="14"/>
      <c r="L606" s="14"/>
      <c r="M606" s="14"/>
      <c r="N606" s="14"/>
      <c r="O606" s="14"/>
      <c r="P606" s="14"/>
      <c r="Q606" s="14"/>
      <c r="R606" s="14"/>
    </row>
    <row r="607" spans="1:18" ht="27" customHeight="1">
      <c r="A607" s="13"/>
      <c r="B607" s="6"/>
      <c r="C607" s="6"/>
      <c r="D607" s="8"/>
      <c r="E607" s="6"/>
      <c r="F607" s="8"/>
      <c r="G607" s="6"/>
      <c r="H607" s="14"/>
      <c r="I607" s="14"/>
      <c r="J607" s="14"/>
      <c r="K607" s="14"/>
      <c r="L607" s="14"/>
      <c r="M607" s="14"/>
      <c r="N607" s="14"/>
      <c r="O607" s="14"/>
      <c r="P607" s="14"/>
      <c r="Q607" s="14"/>
      <c r="R607" s="14"/>
    </row>
    <row r="608" spans="1:18" ht="27" customHeight="1">
      <c r="A608" s="13"/>
      <c r="B608" s="6"/>
      <c r="C608" s="6"/>
      <c r="D608" s="8"/>
      <c r="E608" s="6"/>
      <c r="F608" s="8"/>
      <c r="G608" s="6"/>
      <c r="H608" s="14"/>
      <c r="I608" s="14"/>
      <c r="J608" s="14"/>
      <c r="K608" s="14"/>
      <c r="L608" s="14"/>
      <c r="M608" s="14"/>
      <c r="N608" s="14"/>
      <c r="O608" s="14"/>
      <c r="P608" s="14"/>
      <c r="Q608" s="14"/>
      <c r="R608" s="14"/>
    </row>
    <row r="609" spans="1:18" ht="27" customHeight="1">
      <c r="A609" s="13"/>
      <c r="B609" s="6"/>
      <c r="C609" s="6"/>
      <c r="D609" s="8"/>
      <c r="E609" s="6"/>
      <c r="F609" s="8"/>
      <c r="G609" s="6"/>
      <c r="H609" s="14"/>
      <c r="I609" s="14"/>
      <c r="J609" s="14"/>
      <c r="K609" s="14"/>
      <c r="L609" s="14"/>
      <c r="M609" s="14"/>
      <c r="N609" s="14"/>
      <c r="O609" s="14"/>
      <c r="P609" s="14"/>
      <c r="Q609" s="14"/>
      <c r="R609" s="14"/>
    </row>
    <row r="610" spans="1:18" ht="27" customHeight="1">
      <c r="A610" s="13"/>
      <c r="B610" s="6"/>
      <c r="C610" s="6"/>
      <c r="D610" s="8"/>
      <c r="E610" s="6"/>
      <c r="F610" s="8"/>
      <c r="G610" s="6"/>
      <c r="H610" s="14"/>
      <c r="I610" s="14"/>
      <c r="J610" s="14"/>
      <c r="K610" s="14"/>
      <c r="L610" s="14"/>
      <c r="M610" s="14"/>
      <c r="N610" s="14"/>
      <c r="O610" s="14"/>
      <c r="P610" s="14"/>
      <c r="Q610" s="14"/>
      <c r="R610" s="14"/>
    </row>
    <row r="611" spans="1:18" ht="27" customHeight="1">
      <c r="A611" s="13"/>
      <c r="B611" s="6"/>
      <c r="C611" s="6"/>
      <c r="D611" s="8"/>
      <c r="E611" s="6"/>
      <c r="F611" s="8"/>
      <c r="G611" s="6"/>
      <c r="H611" s="14"/>
      <c r="I611" s="14"/>
      <c r="J611" s="14"/>
      <c r="K611" s="14"/>
      <c r="L611" s="14"/>
      <c r="M611" s="14"/>
      <c r="N611" s="14"/>
      <c r="O611" s="14"/>
      <c r="P611" s="14"/>
      <c r="Q611" s="14"/>
      <c r="R611" s="14"/>
    </row>
    <row r="612" spans="1:18" ht="27" customHeight="1">
      <c r="A612" s="13"/>
      <c r="B612" s="6"/>
      <c r="C612" s="6"/>
      <c r="D612" s="8"/>
      <c r="E612" s="6"/>
      <c r="F612" s="8"/>
      <c r="G612" s="6"/>
      <c r="H612" s="14"/>
      <c r="I612" s="14"/>
      <c r="J612" s="14"/>
      <c r="K612" s="14"/>
      <c r="L612" s="14"/>
      <c r="M612" s="14"/>
      <c r="N612" s="14"/>
      <c r="O612" s="14"/>
      <c r="P612" s="14"/>
      <c r="Q612" s="14"/>
      <c r="R612" s="14"/>
    </row>
    <row r="613" spans="1:18" ht="27" customHeight="1">
      <c r="A613" s="13"/>
      <c r="B613" s="6"/>
      <c r="C613" s="6"/>
      <c r="D613" s="8"/>
      <c r="E613" s="6"/>
      <c r="F613" s="8"/>
      <c r="G613" s="6"/>
      <c r="H613" s="14"/>
      <c r="I613" s="14"/>
      <c r="J613" s="14"/>
      <c r="K613" s="14"/>
      <c r="L613" s="14"/>
      <c r="M613" s="14"/>
      <c r="N613" s="14"/>
      <c r="O613" s="14"/>
      <c r="P613" s="14"/>
      <c r="Q613" s="14"/>
      <c r="R613" s="14"/>
    </row>
    <row r="614" spans="1:18" ht="27" customHeight="1">
      <c r="A614" s="13"/>
      <c r="B614" s="6"/>
      <c r="C614" s="6"/>
      <c r="D614" s="8"/>
      <c r="E614" s="6"/>
      <c r="F614" s="8"/>
      <c r="G614" s="6"/>
      <c r="H614" s="14"/>
      <c r="I614" s="14"/>
      <c r="J614" s="14"/>
      <c r="K614" s="14"/>
      <c r="L614" s="14"/>
      <c r="M614" s="14"/>
      <c r="N614" s="14"/>
      <c r="O614" s="14"/>
      <c r="P614" s="14"/>
      <c r="Q614" s="14"/>
      <c r="R614" s="14"/>
    </row>
    <row r="615" spans="1:18" ht="27" customHeight="1">
      <c r="A615" s="13"/>
      <c r="B615" s="6"/>
      <c r="C615" s="6"/>
      <c r="D615" s="8"/>
      <c r="E615" s="6"/>
      <c r="F615" s="8"/>
      <c r="G615" s="6"/>
      <c r="H615" s="14"/>
      <c r="I615" s="14"/>
      <c r="J615" s="14"/>
      <c r="K615" s="14"/>
      <c r="L615" s="14"/>
      <c r="M615" s="14"/>
      <c r="N615" s="14"/>
      <c r="O615" s="14"/>
      <c r="P615" s="14"/>
      <c r="Q615" s="14"/>
      <c r="R615" s="14"/>
    </row>
    <row r="616" spans="1:18" ht="27" customHeight="1">
      <c r="A616" s="13"/>
      <c r="B616" s="6"/>
      <c r="C616" s="6"/>
      <c r="D616" s="8"/>
      <c r="E616" s="6"/>
      <c r="F616" s="8"/>
      <c r="G616" s="6"/>
      <c r="H616" s="14"/>
      <c r="I616" s="14"/>
      <c r="J616" s="14"/>
      <c r="K616" s="14"/>
      <c r="L616" s="14"/>
      <c r="M616" s="14"/>
      <c r="N616" s="14"/>
      <c r="O616" s="14"/>
      <c r="P616" s="14"/>
      <c r="Q616" s="14"/>
      <c r="R616" s="14"/>
    </row>
    <row r="617" spans="1:18" ht="27" customHeight="1">
      <c r="A617" s="13"/>
      <c r="B617" s="6"/>
      <c r="C617" s="6"/>
      <c r="D617" s="8"/>
      <c r="E617" s="6"/>
      <c r="F617" s="8"/>
      <c r="G617" s="6"/>
      <c r="H617" s="14"/>
      <c r="I617" s="14"/>
      <c r="J617" s="14"/>
      <c r="K617" s="14"/>
      <c r="L617" s="14"/>
      <c r="M617" s="14"/>
      <c r="N617" s="14"/>
      <c r="O617" s="14"/>
      <c r="P617" s="14"/>
      <c r="Q617" s="14"/>
      <c r="R617" s="14"/>
    </row>
    <row r="618" spans="1:18" ht="27" customHeight="1">
      <c r="A618" s="13"/>
      <c r="B618" s="6"/>
      <c r="C618" s="6"/>
      <c r="D618" s="8"/>
      <c r="E618" s="6"/>
      <c r="F618" s="8"/>
      <c r="G618" s="6"/>
      <c r="H618" s="14"/>
      <c r="I618" s="14"/>
      <c r="J618" s="14"/>
      <c r="K618" s="14"/>
      <c r="L618" s="14"/>
      <c r="M618" s="14"/>
      <c r="N618" s="14"/>
      <c r="O618" s="14"/>
      <c r="P618" s="14"/>
      <c r="Q618" s="14"/>
      <c r="R618" s="14"/>
    </row>
    <row r="619" spans="1:18" ht="27" customHeight="1">
      <c r="A619" s="13"/>
      <c r="B619" s="6"/>
      <c r="C619" s="6"/>
      <c r="D619" s="8"/>
      <c r="E619" s="6"/>
      <c r="F619" s="8"/>
      <c r="G619" s="6"/>
      <c r="H619" s="14"/>
      <c r="I619" s="14"/>
      <c r="J619" s="14"/>
      <c r="K619" s="14"/>
      <c r="L619" s="14"/>
      <c r="M619" s="14"/>
      <c r="N619" s="14"/>
      <c r="O619" s="14"/>
      <c r="P619" s="14"/>
      <c r="Q619" s="14"/>
      <c r="R619" s="14"/>
    </row>
    <row r="620" spans="1:18" ht="27" customHeight="1">
      <c r="A620" s="13"/>
      <c r="B620" s="6"/>
      <c r="C620" s="6"/>
      <c r="D620" s="8"/>
      <c r="E620" s="6"/>
      <c r="F620" s="8"/>
      <c r="G620" s="6"/>
      <c r="H620" s="14"/>
      <c r="I620" s="14"/>
      <c r="J620" s="14"/>
      <c r="K620" s="14"/>
      <c r="L620" s="14"/>
      <c r="M620" s="14"/>
      <c r="N620" s="14"/>
      <c r="O620" s="14"/>
      <c r="P620" s="14"/>
      <c r="Q620" s="14"/>
      <c r="R620" s="14"/>
    </row>
    <row r="621" spans="1:18" ht="27" customHeight="1">
      <c r="A621" s="13"/>
      <c r="B621" s="6"/>
      <c r="C621" s="6"/>
      <c r="D621" s="8"/>
      <c r="E621" s="6"/>
      <c r="F621" s="8"/>
      <c r="G621" s="6"/>
      <c r="H621" s="14"/>
      <c r="I621" s="14"/>
      <c r="J621" s="14"/>
      <c r="K621" s="14"/>
      <c r="L621" s="14"/>
      <c r="M621" s="14"/>
      <c r="N621" s="14"/>
      <c r="O621" s="14"/>
      <c r="P621" s="14"/>
      <c r="Q621" s="14"/>
      <c r="R621" s="14"/>
    </row>
    <row r="622" spans="1:18" ht="27" customHeight="1">
      <c r="A622" s="13"/>
      <c r="B622" s="6"/>
      <c r="C622" s="6"/>
      <c r="D622" s="8"/>
      <c r="E622" s="6"/>
      <c r="F622" s="8"/>
      <c r="G622" s="6"/>
      <c r="H622" s="14"/>
      <c r="I622" s="14"/>
      <c r="J622" s="14"/>
      <c r="K622" s="14"/>
      <c r="L622" s="14"/>
      <c r="M622" s="14"/>
      <c r="N622" s="14"/>
      <c r="O622" s="14"/>
      <c r="P622" s="14"/>
      <c r="Q622" s="14"/>
      <c r="R622" s="14"/>
    </row>
    <row r="623" spans="1:18" ht="27" customHeight="1">
      <c r="A623" s="13"/>
      <c r="B623" s="6"/>
      <c r="C623" s="6"/>
      <c r="D623" s="8"/>
      <c r="E623" s="6"/>
      <c r="F623" s="8"/>
      <c r="G623" s="6"/>
      <c r="H623" s="14"/>
      <c r="I623" s="14"/>
      <c r="J623" s="14"/>
      <c r="K623" s="14"/>
      <c r="L623" s="14"/>
      <c r="M623" s="14"/>
      <c r="N623" s="14"/>
      <c r="O623" s="14"/>
      <c r="P623" s="14"/>
      <c r="Q623" s="14"/>
      <c r="R623" s="14"/>
    </row>
    <row r="624" spans="1:18" ht="27" customHeight="1">
      <c r="A624" s="13"/>
      <c r="B624" s="6"/>
      <c r="C624" s="6"/>
      <c r="D624" s="8"/>
      <c r="E624" s="6"/>
      <c r="F624" s="8"/>
      <c r="G624" s="6"/>
      <c r="H624" s="14"/>
      <c r="I624" s="14"/>
      <c r="J624" s="14"/>
      <c r="K624" s="14"/>
      <c r="L624" s="14"/>
      <c r="M624" s="14"/>
      <c r="N624" s="14"/>
      <c r="O624" s="14"/>
      <c r="P624" s="14"/>
      <c r="Q624" s="14"/>
      <c r="R624" s="14"/>
    </row>
    <row r="625" spans="1:18" ht="27" customHeight="1">
      <c r="A625" s="13"/>
      <c r="B625" s="6"/>
      <c r="C625" s="6"/>
      <c r="D625" s="8"/>
      <c r="E625" s="6"/>
      <c r="F625" s="8"/>
      <c r="G625" s="6"/>
      <c r="H625" s="14"/>
      <c r="I625" s="14"/>
      <c r="J625" s="14"/>
      <c r="K625" s="14"/>
      <c r="L625" s="14"/>
      <c r="M625" s="14"/>
      <c r="N625" s="14"/>
      <c r="O625" s="14"/>
      <c r="P625" s="14"/>
      <c r="Q625" s="14"/>
      <c r="R625" s="14"/>
    </row>
    <row r="626" spans="1:18" ht="27" customHeight="1">
      <c r="A626" s="13"/>
      <c r="B626" s="6"/>
      <c r="C626" s="6"/>
      <c r="D626" s="8"/>
      <c r="E626" s="6"/>
      <c r="F626" s="8"/>
      <c r="G626" s="6"/>
      <c r="H626" s="14"/>
      <c r="I626" s="14"/>
      <c r="J626" s="14"/>
      <c r="K626" s="14"/>
      <c r="L626" s="14"/>
      <c r="M626" s="14"/>
      <c r="N626" s="14"/>
      <c r="O626" s="14"/>
      <c r="P626" s="14"/>
      <c r="Q626" s="14"/>
      <c r="R626" s="14"/>
    </row>
    <row r="627" spans="1:18" ht="27" customHeight="1">
      <c r="A627" s="13"/>
      <c r="B627" s="6"/>
      <c r="C627" s="6"/>
      <c r="D627" s="8"/>
      <c r="E627" s="6"/>
      <c r="F627" s="8"/>
      <c r="G627" s="6"/>
      <c r="H627" s="14"/>
      <c r="I627" s="14"/>
      <c r="J627" s="14"/>
      <c r="K627" s="14"/>
      <c r="L627" s="14"/>
      <c r="M627" s="14"/>
      <c r="N627" s="14"/>
      <c r="O627" s="14"/>
      <c r="P627" s="14"/>
      <c r="Q627" s="14"/>
      <c r="R627" s="14"/>
    </row>
    <row r="628" spans="1:18" ht="27" customHeight="1">
      <c r="A628" s="13"/>
      <c r="B628" s="6"/>
      <c r="C628" s="6"/>
      <c r="D628" s="8"/>
      <c r="E628" s="6"/>
      <c r="F628" s="8"/>
      <c r="G628" s="6"/>
      <c r="H628" s="14"/>
      <c r="I628" s="14"/>
      <c r="J628" s="14"/>
      <c r="K628" s="14"/>
      <c r="L628" s="14"/>
      <c r="M628" s="14"/>
      <c r="N628" s="14"/>
      <c r="O628" s="14"/>
      <c r="P628" s="14"/>
      <c r="Q628" s="14"/>
      <c r="R628" s="14"/>
    </row>
    <row r="629" spans="1:18" ht="27" customHeight="1">
      <c r="A629" s="13"/>
      <c r="B629" s="6"/>
      <c r="C629" s="6"/>
      <c r="D629" s="8"/>
      <c r="E629" s="6"/>
      <c r="F629" s="8"/>
      <c r="G629" s="6"/>
      <c r="H629" s="14"/>
      <c r="I629" s="14"/>
      <c r="J629" s="14"/>
      <c r="K629" s="14"/>
      <c r="L629" s="14"/>
      <c r="M629" s="14"/>
      <c r="N629" s="14"/>
      <c r="O629" s="14"/>
      <c r="P629" s="14"/>
      <c r="Q629" s="14"/>
      <c r="R629" s="14"/>
    </row>
    <row r="630" spans="1:18" ht="27" customHeight="1">
      <c r="A630" s="13"/>
      <c r="B630" s="6"/>
      <c r="C630" s="6"/>
      <c r="D630" s="8"/>
      <c r="E630" s="6"/>
      <c r="F630" s="8"/>
      <c r="G630" s="6"/>
      <c r="H630" s="14"/>
      <c r="I630" s="14"/>
      <c r="J630" s="14"/>
      <c r="K630" s="14"/>
      <c r="L630" s="14"/>
      <c r="M630" s="14"/>
      <c r="N630" s="14"/>
      <c r="O630" s="14"/>
      <c r="P630" s="14"/>
      <c r="Q630" s="14"/>
      <c r="R630" s="14"/>
    </row>
    <row r="631" spans="1:18" ht="27" customHeight="1">
      <c r="A631" s="13"/>
      <c r="B631" s="6"/>
      <c r="C631" s="6"/>
      <c r="D631" s="8"/>
      <c r="E631" s="6"/>
      <c r="F631" s="8"/>
      <c r="G631" s="6"/>
      <c r="H631" s="14"/>
      <c r="I631" s="14"/>
      <c r="J631" s="14"/>
      <c r="K631" s="14"/>
      <c r="L631" s="14"/>
      <c r="M631" s="14"/>
      <c r="N631" s="14"/>
      <c r="O631" s="14"/>
      <c r="P631" s="14"/>
      <c r="Q631" s="14"/>
      <c r="R631" s="14"/>
    </row>
    <row r="632" spans="1:18" ht="27" customHeight="1">
      <c r="A632" s="13"/>
      <c r="B632" s="6"/>
      <c r="C632" s="6"/>
      <c r="D632" s="8"/>
      <c r="E632" s="6"/>
      <c r="F632" s="8"/>
      <c r="G632" s="6"/>
      <c r="H632" s="14"/>
      <c r="I632" s="14"/>
      <c r="J632" s="14"/>
      <c r="K632" s="14"/>
      <c r="L632" s="14"/>
      <c r="M632" s="14"/>
      <c r="N632" s="14"/>
      <c r="O632" s="14"/>
      <c r="P632" s="14"/>
      <c r="Q632" s="14"/>
      <c r="R632" s="14"/>
    </row>
    <row r="633" spans="1:18" ht="27" customHeight="1">
      <c r="A633" s="13"/>
      <c r="B633" s="6"/>
      <c r="C633" s="6"/>
      <c r="D633" s="8"/>
      <c r="E633" s="6"/>
      <c r="F633" s="8"/>
      <c r="G633" s="6"/>
      <c r="H633" s="14"/>
      <c r="I633" s="14"/>
      <c r="J633" s="14"/>
      <c r="K633" s="14"/>
      <c r="L633" s="14"/>
      <c r="M633" s="14"/>
      <c r="N633" s="14"/>
      <c r="O633" s="14"/>
      <c r="P633" s="14"/>
      <c r="Q633" s="14"/>
      <c r="R633" s="14"/>
    </row>
    <row r="634" spans="1:18" ht="27" customHeight="1">
      <c r="A634" s="13"/>
      <c r="B634" s="6"/>
      <c r="C634" s="6"/>
      <c r="D634" s="8"/>
      <c r="E634" s="6"/>
      <c r="F634" s="8"/>
      <c r="G634" s="6"/>
      <c r="H634" s="14"/>
      <c r="I634" s="14"/>
      <c r="J634" s="14"/>
      <c r="K634" s="14"/>
      <c r="L634" s="14"/>
      <c r="M634" s="14"/>
      <c r="N634" s="14"/>
      <c r="O634" s="14"/>
      <c r="P634" s="14"/>
      <c r="Q634" s="14"/>
      <c r="R634" s="14"/>
    </row>
    <row r="635" spans="1:18" ht="27" customHeight="1">
      <c r="A635" s="13"/>
      <c r="B635" s="6"/>
      <c r="C635" s="6"/>
      <c r="D635" s="8"/>
      <c r="E635" s="6"/>
      <c r="F635" s="8"/>
      <c r="G635" s="6"/>
      <c r="H635" s="14"/>
      <c r="I635" s="14"/>
      <c r="J635" s="14"/>
      <c r="K635" s="14"/>
      <c r="L635" s="14"/>
      <c r="M635" s="14"/>
      <c r="N635" s="14"/>
      <c r="O635" s="14"/>
      <c r="P635" s="14"/>
      <c r="Q635" s="14"/>
      <c r="R635" s="14"/>
    </row>
    <row r="636" spans="1:18" ht="27" customHeight="1">
      <c r="A636" s="13"/>
      <c r="B636" s="6"/>
      <c r="C636" s="6"/>
      <c r="D636" s="8"/>
      <c r="E636" s="6"/>
      <c r="F636" s="8"/>
      <c r="G636" s="6"/>
      <c r="H636" s="14"/>
      <c r="I636" s="14"/>
      <c r="J636" s="14"/>
      <c r="K636" s="14"/>
      <c r="L636" s="14"/>
      <c r="M636" s="14"/>
      <c r="N636" s="14"/>
      <c r="O636" s="14"/>
      <c r="P636" s="14"/>
      <c r="Q636" s="14"/>
      <c r="R636" s="14"/>
    </row>
    <row r="637" spans="1:18" ht="27" customHeight="1">
      <c r="A637" s="13"/>
      <c r="B637" s="6"/>
      <c r="C637" s="6"/>
      <c r="D637" s="8"/>
      <c r="E637" s="6"/>
      <c r="F637" s="8"/>
      <c r="G637" s="6"/>
      <c r="H637" s="14"/>
      <c r="I637" s="14"/>
      <c r="J637" s="14"/>
      <c r="K637" s="14"/>
      <c r="L637" s="14"/>
      <c r="M637" s="14"/>
      <c r="N637" s="14"/>
      <c r="O637" s="14"/>
      <c r="P637" s="14"/>
      <c r="Q637" s="14"/>
      <c r="R637" s="14"/>
    </row>
    <row r="638" spans="1:18" ht="27" customHeight="1">
      <c r="A638" s="13"/>
      <c r="B638" s="6"/>
      <c r="C638" s="6"/>
      <c r="D638" s="8"/>
      <c r="E638" s="6"/>
      <c r="F638" s="8"/>
      <c r="G638" s="6"/>
      <c r="H638" s="14"/>
      <c r="I638" s="14"/>
      <c r="J638" s="14"/>
      <c r="K638" s="14"/>
      <c r="L638" s="14"/>
      <c r="M638" s="14"/>
      <c r="N638" s="14"/>
      <c r="O638" s="14"/>
      <c r="P638" s="14"/>
      <c r="Q638" s="14"/>
      <c r="R638" s="14"/>
    </row>
    <row r="639" spans="1:18" ht="27" customHeight="1">
      <c r="A639" s="13"/>
      <c r="B639" s="6"/>
      <c r="C639" s="6"/>
      <c r="D639" s="8"/>
      <c r="E639" s="6"/>
      <c r="F639" s="8"/>
      <c r="G639" s="6"/>
      <c r="H639" s="14"/>
      <c r="I639" s="14"/>
      <c r="J639" s="14"/>
      <c r="K639" s="14"/>
      <c r="L639" s="14"/>
      <c r="M639" s="14"/>
      <c r="N639" s="14"/>
      <c r="O639" s="14"/>
      <c r="P639" s="14"/>
      <c r="Q639" s="14"/>
      <c r="R639" s="14"/>
    </row>
    <row r="640" spans="1:18" ht="27" customHeight="1">
      <c r="A640" s="13"/>
      <c r="B640" s="6"/>
      <c r="C640" s="6"/>
      <c r="D640" s="8"/>
      <c r="E640" s="6"/>
      <c r="F640" s="8"/>
      <c r="G640" s="6"/>
      <c r="H640" s="14"/>
      <c r="I640" s="14"/>
      <c r="J640" s="14"/>
      <c r="K640" s="14"/>
      <c r="L640" s="14"/>
      <c r="M640" s="14"/>
      <c r="N640" s="14"/>
      <c r="O640" s="14"/>
      <c r="P640" s="14"/>
      <c r="Q640" s="14"/>
      <c r="R640" s="14"/>
    </row>
    <row r="641" spans="1:18" ht="27" customHeight="1">
      <c r="A641" s="13"/>
      <c r="B641" s="6"/>
      <c r="C641" s="6"/>
      <c r="D641" s="8"/>
      <c r="E641" s="6"/>
      <c r="F641" s="8"/>
      <c r="G641" s="6"/>
      <c r="H641" s="14"/>
      <c r="I641" s="14"/>
      <c r="J641" s="14"/>
      <c r="K641" s="14"/>
      <c r="L641" s="14"/>
      <c r="M641" s="14"/>
      <c r="N641" s="14"/>
      <c r="O641" s="14"/>
      <c r="P641" s="14"/>
      <c r="Q641" s="14"/>
      <c r="R641" s="14"/>
    </row>
    <row r="642" spans="1:18" ht="27" customHeight="1">
      <c r="A642" s="13"/>
      <c r="B642" s="6"/>
      <c r="C642" s="6"/>
      <c r="D642" s="8"/>
      <c r="E642" s="6"/>
      <c r="F642" s="8"/>
      <c r="G642" s="6"/>
      <c r="H642" s="14"/>
      <c r="I642" s="14"/>
      <c r="J642" s="14"/>
      <c r="K642" s="14"/>
      <c r="L642" s="14"/>
      <c r="M642" s="14"/>
      <c r="N642" s="14"/>
      <c r="O642" s="14"/>
      <c r="P642" s="14"/>
      <c r="Q642" s="14"/>
      <c r="R642" s="14"/>
    </row>
    <row r="643" spans="1:18" ht="27" customHeight="1">
      <c r="A643" s="13"/>
      <c r="B643" s="6"/>
      <c r="C643" s="6"/>
      <c r="D643" s="8"/>
      <c r="E643" s="6"/>
      <c r="F643" s="8"/>
      <c r="G643" s="6"/>
      <c r="H643" s="14"/>
      <c r="I643" s="14"/>
      <c r="J643" s="14"/>
      <c r="K643" s="14"/>
      <c r="L643" s="14"/>
      <c r="M643" s="14"/>
      <c r="N643" s="14"/>
      <c r="O643" s="14"/>
      <c r="P643" s="14"/>
      <c r="Q643" s="14"/>
      <c r="R643" s="14"/>
    </row>
    <row r="644" spans="1:18" ht="27" customHeight="1">
      <c r="A644" s="13"/>
      <c r="B644" s="6"/>
      <c r="C644" s="6"/>
      <c r="D644" s="8"/>
      <c r="E644" s="6"/>
      <c r="F644" s="8"/>
      <c r="G644" s="6"/>
      <c r="H644" s="14"/>
      <c r="I644" s="14"/>
      <c r="J644" s="14"/>
      <c r="K644" s="14"/>
      <c r="L644" s="14"/>
      <c r="M644" s="14"/>
      <c r="N644" s="14"/>
      <c r="O644" s="14"/>
      <c r="P644" s="14"/>
      <c r="Q644" s="14"/>
      <c r="R644" s="14"/>
    </row>
    <row r="645" spans="1:18" ht="27" customHeight="1">
      <c r="A645" s="13"/>
      <c r="B645" s="6"/>
      <c r="C645" s="6"/>
      <c r="D645" s="8"/>
      <c r="E645" s="6"/>
      <c r="F645" s="8"/>
      <c r="G645" s="6"/>
      <c r="H645" s="14"/>
      <c r="I645" s="14"/>
      <c r="J645" s="14"/>
      <c r="K645" s="14"/>
      <c r="L645" s="14"/>
      <c r="M645" s="14"/>
      <c r="N645" s="14"/>
      <c r="O645" s="14"/>
      <c r="P645" s="14"/>
      <c r="Q645" s="14"/>
      <c r="R645" s="14"/>
    </row>
    <row r="646" spans="1:18" ht="27" customHeight="1">
      <c r="A646" s="13"/>
      <c r="B646" s="6"/>
      <c r="C646" s="6"/>
      <c r="D646" s="8"/>
      <c r="E646" s="6"/>
      <c r="F646" s="8"/>
      <c r="G646" s="6"/>
      <c r="H646" s="14"/>
      <c r="I646" s="14"/>
      <c r="J646" s="14"/>
      <c r="K646" s="14"/>
      <c r="L646" s="14"/>
      <c r="M646" s="14"/>
      <c r="N646" s="14"/>
      <c r="O646" s="14"/>
      <c r="P646" s="14"/>
      <c r="Q646" s="14"/>
      <c r="R646" s="14"/>
    </row>
    <row r="647" spans="1:18" ht="27" customHeight="1">
      <c r="A647" s="13"/>
      <c r="B647" s="6"/>
      <c r="C647" s="6"/>
      <c r="D647" s="8"/>
      <c r="E647" s="6"/>
      <c r="F647" s="8"/>
      <c r="G647" s="6"/>
      <c r="H647" s="14"/>
      <c r="I647" s="14"/>
      <c r="J647" s="14"/>
      <c r="K647" s="14"/>
      <c r="L647" s="14"/>
      <c r="M647" s="14"/>
      <c r="N647" s="14"/>
      <c r="O647" s="14"/>
      <c r="P647" s="14"/>
      <c r="Q647" s="14"/>
      <c r="R647" s="14"/>
    </row>
    <row r="648" spans="1:18" ht="27" customHeight="1">
      <c r="A648" s="13"/>
      <c r="B648" s="6"/>
      <c r="C648" s="6"/>
      <c r="D648" s="8"/>
      <c r="E648" s="6"/>
      <c r="F648" s="8"/>
      <c r="G648" s="6"/>
      <c r="H648" s="14"/>
      <c r="I648" s="14"/>
      <c r="J648" s="14"/>
      <c r="K648" s="14"/>
      <c r="L648" s="14"/>
      <c r="M648" s="14"/>
      <c r="N648" s="14"/>
      <c r="O648" s="14"/>
      <c r="P648" s="14"/>
      <c r="Q648" s="14"/>
      <c r="R648" s="14"/>
    </row>
    <row r="649" spans="1:18" ht="27" customHeight="1">
      <c r="A649" s="13"/>
      <c r="B649" s="6"/>
      <c r="C649" s="6"/>
      <c r="D649" s="8"/>
      <c r="E649" s="6"/>
      <c r="F649" s="8"/>
      <c r="G649" s="6"/>
      <c r="H649" s="14"/>
      <c r="I649" s="14"/>
      <c r="J649" s="14"/>
      <c r="K649" s="14"/>
      <c r="L649" s="14"/>
      <c r="M649" s="14"/>
      <c r="N649" s="14"/>
      <c r="O649" s="14"/>
      <c r="P649" s="14"/>
      <c r="Q649" s="14"/>
      <c r="R649" s="14"/>
    </row>
    <row r="650" spans="1:18" ht="27" customHeight="1">
      <c r="A650" s="13"/>
      <c r="B650" s="6"/>
      <c r="C650" s="6"/>
      <c r="D650" s="8"/>
      <c r="E650" s="6"/>
      <c r="F650" s="8"/>
      <c r="G650" s="6"/>
      <c r="H650" s="14"/>
      <c r="I650" s="14"/>
      <c r="J650" s="14"/>
      <c r="K650" s="14"/>
      <c r="L650" s="14"/>
      <c r="M650" s="14"/>
      <c r="N650" s="14"/>
      <c r="O650" s="14"/>
      <c r="P650" s="14"/>
      <c r="Q650" s="14"/>
      <c r="R650" s="14"/>
    </row>
    <row r="651" spans="1:18" ht="27" customHeight="1">
      <c r="A651" s="13"/>
      <c r="B651" s="6"/>
      <c r="C651" s="6"/>
      <c r="D651" s="8"/>
      <c r="E651" s="6"/>
      <c r="F651" s="8"/>
      <c r="G651" s="6"/>
      <c r="H651" s="14"/>
      <c r="I651" s="14"/>
      <c r="J651" s="14"/>
      <c r="K651" s="14"/>
      <c r="L651" s="14"/>
      <c r="M651" s="14"/>
      <c r="N651" s="14"/>
      <c r="O651" s="14"/>
      <c r="P651" s="14"/>
      <c r="Q651" s="14"/>
      <c r="R651" s="14"/>
    </row>
    <row r="652" spans="1:18" ht="27" customHeight="1">
      <c r="A652" s="13"/>
      <c r="B652" s="6"/>
      <c r="C652" s="6"/>
      <c r="D652" s="8"/>
      <c r="E652" s="6"/>
      <c r="F652" s="8"/>
      <c r="G652" s="6"/>
      <c r="H652" s="14"/>
      <c r="I652" s="14"/>
      <c r="J652" s="14"/>
      <c r="K652" s="14"/>
      <c r="L652" s="14"/>
      <c r="M652" s="14"/>
      <c r="N652" s="14"/>
      <c r="O652" s="14"/>
      <c r="P652" s="14"/>
      <c r="Q652" s="14"/>
      <c r="R652" s="14"/>
    </row>
    <row r="653" spans="1:18" ht="27" customHeight="1">
      <c r="A653" s="13"/>
      <c r="B653" s="6"/>
      <c r="C653" s="6"/>
      <c r="D653" s="8"/>
      <c r="E653" s="6"/>
      <c r="F653" s="8"/>
      <c r="G653" s="6"/>
      <c r="H653" s="14"/>
      <c r="I653" s="14"/>
      <c r="J653" s="14"/>
      <c r="K653" s="14"/>
      <c r="L653" s="14"/>
      <c r="M653" s="14"/>
      <c r="N653" s="14"/>
      <c r="O653" s="14"/>
      <c r="P653" s="14"/>
      <c r="Q653" s="14"/>
      <c r="R653" s="14"/>
    </row>
    <row r="654" spans="1:18" ht="27" customHeight="1">
      <c r="A654" s="13"/>
      <c r="B654" s="6"/>
      <c r="C654" s="6"/>
      <c r="D654" s="8"/>
      <c r="E654" s="6"/>
      <c r="F654" s="8"/>
      <c r="G654" s="6"/>
      <c r="H654" s="14"/>
      <c r="I654" s="14"/>
      <c r="J654" s="14"/>
      <c r="K654" s="14"/>
      <c r="L654" s="14"/>
      <c r="M654" s="14"/>
      <c r="N654" s="14"/>
      <c r="O654" s="14"/>
      <c r="P654" s="14"/>
      <c r="Q654" s="14"/>
      <c r="R654" s="14"/>
    </row>
    <row r="655" spans="1:18" ht="27" customHeight="1">
      <c r="A655" s="13"/>
      <c r="B655" s="6"/>
      <c r="C655" s="6"/>
      <c r="D655" s="8"/>
      <c r="E655" s="6"/>
      <c r="F655" s="8"/>
      <c r="G655" s="6"/>
      <c r="H655" s="14"/>
      <c r="I655" s="14"/>
      <c r="J655" s="14"/>
      <c r="K655" s="14"/>
      <c r="L655" s="14"/>
      <c r="M655" s="14"/>
      <c r="N655" s="14"/>
      <c r="O655" s="14"/>
      <c r="P655" s="14"/>
      <c r="Q655" s="14"/>
      <c r="R655" s="14"/>
    </row>
    <row r="656" spans="1:18" ht="27" customHeight="1">
      <c r="A656" s="13"/>
      <c r="B656" s="6"/>
      <c r="C656" s="6"/>
      <c r="D656" s="8"/>
      <c r="E656" s="6"/>
      <c r="F656" s="8"/>
      <c r="G656" s="6"/>
      <c r="H656" s="14"/>
      <c r="I656" s="14"/>
      <c r="J656" s="14"/>
      <c r="K656" s="14"/>
      <c r="L656" s="14"/>
      <c r="M656" s="14"/>
      <c r="N656" s="14"/>
      <c r="O656" s="14"/>
      <c r="P656" s="14"/>
      <c r="Q656" s="14"/>
      <c r="R656" s="14"/>
    </row>
    <row r="657" spans="1:18" ht="27" customHeight="1">
      <c r="A657" s="13"/>
      <c r="B657" s="6"/>
      <c r="C657" s="6"/>
      <c r="D657" s="8"/>
      <c r="E657" s="6"/>
      <c r="F657" s="8"/>
      <c r="G657" s="6"/>
      <c r="H657" s="14"/>
      <c r="I657" s="14"/>
      <c r="J657" s="14"/>
      <c r="K657" s="14"/>
      <c r="L657" s="14"/>
      <c r="M657" s="14"/>
      <c r="N657" s="14"/>
      <c r="O657" s="14"/>
      <c r="P657" s="14"/>
      <c r="Q657" s="14"/>
      <c r="R657" s="14"/>
    </row>
    <row r="658" spans="1:18" ht="27" customHeight="1">
      <c r="A658" s="13"/>
      <c r="B658" s="6"/>
      <c r="C658" s="6"/>
      <c r="D658" s="8"/>
      <c r="E658" s="6"/>
      <c r="F658" s="8"/>
      <c r="G658" s="6"/>
      <c r="H658" s="14"/>
      <c r="I658" s="14"/>
      <c r="J658" s="14"/>
      <c r="K658" s="14"/>
      <c r="L658" s="14"/>
      <c r="M658" s="14"/>
      <c r="N658" s="14"/>
      <c r="O658" s="14"/>
      <c r="P658" s="14"/>
      <c r="Q658" s="14"/>
      <c r="R658" s="14"/>
    </row>
    <row r="659" spans="1:18" ht="27" customHeight="1">
      <c r="A659" s="13"/>
      <c r="B659" s="6"/>
      <c r="C659" s="6"/>
      <c r="D659" s="8"/>
      <c r="E659" s="6"/>
      <c r="F659" s="8"/>
      <c r="G659" s="6"/>
      <c r="H659" s="14"/>
      <c r="I659" s="14"/>
      <c r="J659" s="14"/>
      <c r="K659" s="14"/>
      <c r="L659" s="14"/>
      <c r="M659" s="14"/>
      <c r="N659" s="14"/>
      <c r="O659" s="14"/>
      <c r="P659" s="14"/>
      <c r="Q659" s="14"/>
      <c r="R659" s="14"/>
    </row>
    <row r="660" spans="1:18" ht="27" customHeight="1">
      <c r="A660" s="13"/>
      <c r="B660" s="6"/>
      <c r="C660" s="6"/>
      <c r="D660" s="8"/>
      <c r="E660" s="6"/>
      <c r="F660" s="8"/>
      <c r="G660" s="6"/>
      <c r="H660" s="14"/>
      <c r="I660" s="14"/>
      <c r="J660" s="14"/>
      <c r="K660" s="14"/>
      <c r="L660" s="14"/>
      <c r="M660" s="14"/>
      <c r="N660" s="14"/>
      <c r="O660" s="14"/>
      <c r="P660" s="14"/>
      <c r="Q660" s="14"/>
      <c r="R660" s="14"/>
    </row>
    <row r="661" spans="1:18" ht="27" customHeight="1">
      <c r="A661" s="13"/>
      <c r="B661" s="6"/>
      <c r="C661" s="6"/>
      <c r="D661" s="8"/>
      <c r="E661" s="6"/>
      <c r="F661" s="8"/>
      <c r="G661" s="6"/>
      <c r="H661" s="14"/>
      <c r="I661" s="14"/>
      <c r="J661" s="14"/>
      <c r="K661" s="14"/>
      <c r="L661" s="14"/>
      <c r="M661" s="14"/>
      <c r="N661" s="14"/>
      <c r="O661" s="14"/>
      <c r="P661" s="14"/>
      <c r="Q661" s="14"/>
      <c r="R661" s="14"/>
    </row>
    <row r="662" spans="1:18" ht="27" customHeight="1">
      <c r="A662" s="13"/>
      <c r="B662" s="6"/>
      <c r="C662" s="6"/>
      <c r="D662" s="8"/>
      <c r="E662" s="6"/>
      <c r="F662" s="8"/>
      <c r="G662" s="6"/>
      <c r="H662" s="14"/>
      <c r="I662" s="14"/>
      <c r="J662" s="14"/>
      <c r="K662" s="14"/>
      <c r="L662" s="14"/>
      <c r="M662" s="14"/>
      <c r="N662" s="14"/>
      <c r="O662" s="14"/>
      <c r="P662" s="14"/>
      <c r="Q662" s="14"/>
      <c r="R662" s="14"/>
    </row>
    <row r="663" spans="1:18" ht="27" customHeight="1">
      <c r="A663" s="13"/>
      <c r="B663" s="6"/>
      <c r="C663" s="6"/>
      <c r="D663" s="8"/>
      <c r="E663" s="6"/>
      <c r="F663" s="8"/>
      <c r="G663" s="6"/>
      <c r="H663" s="14"/>
      <c r="I663" s="14"/>
      <c r="J663" s="14"/>
      <c r="K663" s="14"/>
      <c r="L663" s="14"/>
      <c r="M663" s="14"/>
      <c r="N663" s="14"/>
      <c r="O663" s="14"/>
      <c r="P663" s="14"/>
      <c r="Q663" s="14"/>
      <c r="R663" s="14"/>
    </row>
    <row r="664" spans="1:18" ht="27" customHeight="1">
      <c r="A664" s="13"/>
      <c r="B664" s="6"/>
      <c r="C664" s="6"/>
      <c r="D664" s="8"/>
      <c r="E664" s="6"/>
      <c r="F664" s="8"/>
      <c r="G664" s="6"/>
      <c r="H664" s="14"/>
      <c r="I664" s="14"/>
      <c r="J664" s="14"/>
      <c r="K664" s="14"/>
      <c r="L664" s="14"/>
      <c r="M664" s="14"/>
      <c r="N664" s="14"/>
      <c r="O664" s="14"/>
      <c r="P664" s="14"/>
      <c r="Q664" s="14"/>
      <c r="R664" s="14"/>
    </row>
    <row r="665" spans="1:18" ht="27" customHeight="1">
      <c r="A665" s="13"/>
      <c r="B665" s="6"/>
      <c r="C665" s="6"/>
      <c r="D665" s="8"/>
      <c r="E665" s="6"/>
      <c r="F665" s="8"/>
      <c r="G665" s="6"/>
      <c r="H665" s="14"/>
      <c r="I665" s="14"/>
      <c r="J665" s="14"/>
      <c r="K665" s="14"/>
      <c r="L665" s="14"/>
      <c r="M665" s="14"/>
      <c r="N665" s="14"/>
      <c r="O665" s="14"/>
      <c r="P665" s="14"/>
      <c r="Q665" s="14"/>
      <c r="R665" s="14"/>
    </row>
    <row r="666" spans="1:18" ht="27" customHeight="1">
      <c r="A666" s="13"/>
      <c r="B666" s="6"/>
      <c r="C666" s="6"/>
      <c r="D666" s="8"/>
      <c r="E666" s="6"/>
      <c r="F666" s="8"/>
      <c r="G666" s="6"/>
      <c r="H666" s="14"/>
      <c r="I666" s="14"/>
      <c r="J666" s="14"/>
      <c r="K666" s="14"/>
      <c r="L666" s="14"/>
      <c r="M666" s="14"/>
      <c r="N666" s="14"/>
      <c r="O666" s="14"/>
      <c r="P666" s="14"/>
      <c r="Q666" s="14"/>
      <c r="R666" s="14"/>
    </row>
    <row r="667" spans="1:18" ht="27" customHeight="1">
      <c r="A667" s="13"/>
      <c r="B667" s="6"/>
      <c r="C667" s="6"/>
      <c r="D667" s="8"/>
      <c r="E667" s="6"/>
      <c r="F667" s="8"/>
      <c r="G667" s="6"/>
      <c r="H667" s="14"/>
      <c r="I667" s="14"/>
      <c r="J667" s="14"/>
      <c r="K667" s="14"/>
      <c r="L667" s="14"/>
      <c r="M667" s="14"/>
      <c r="N667" s="14"/>
      <c r="O667" s="14"/>
      <c r="P667" s="14"/>
      <c r="Q667" s="14"/>
      <c r="R667" s="14"/>
    </row>
    <row r="668" spans="1:18" ht="27" customHeight="1">
      <c r="A668" s="13"/>
      <c r="B668" s="6"/>
      <c r="C668" s="6"/>
      <c r="D668" s="8"/>
      <c r="E668" s="6"/>
      <c r="F668" s="8"/>
      <c r="G668" s="6"/>
      <c r="H668" s="14"/>
      <c r="I668" s="14"/>
      <c r="J668" s="14"/>
      <c r="K668" s="14"/>
      <c r="L668" s="14"/>
      <c r="M668" s="14"/>
      <c r="N668" s="14"/>
      <c r="O668" s="14"/>
      <c r="P668" s="14"/>
      <c r="Q668" s="14"/>
      <c r="R668" s="14"/>
    </row>
    <row r="669" spans="1:18" ht="27" customHeight="1">
      <c r="A669" s="13"/>
      <c r="B669" s="6"/>
      <c r="C669" s="6"/>
      <c r="D669" s="8"/>
      <c r="E669" s="6"/>
      <c r="F669" s="8"/>
      <c r="G669" s="6"/>
      <c r="H669" s="14"/>
      <c r="I669" s="14"/>
      <c r="J669" s="14"/>
      <c r="K669" s="14"/>
      <c r="L669" s="14"/>
      <c r="M669" s="14"/>
      <c r="N669" s="14"/>
      <c r="O669" s="14"/>
      <c r="P669" s="14"/>
      <c r="Q669" s="14"/>
      <c r="R669" s="14"/>
    </row>
    <row r="670" spans="1:18" ht="27" customHeight="1">
      <c r="A670" s="13"/>
      <c r="B670" s="6"/>
      <c r="C670" s="6"/>
      <c r="D670" s="8"/>
      <c r="E670" s="6"/>
      <c r="F670" s="8"/>
      <c r="G670" s="6"/>
      <c r="H670" s="14"/>
      <c r="I670" s="14"/>
      <c r="J670" s="14"/>
      <c r="K670" s="14"/>
      <c r="L670" s="14"/>
      <c r="M670" s="14"/>
      <c r="N670" s="14"/>
      <c r="O670" s="14"/>
      <c r="P670" s="14"/>
      <c r="Q670" s="14"/>
      <c r="R670" s="14"/>
    </row>
    <row r="671" spans="1:18" ht="27" customHeight="1">
      <c r="A671" s="13"/>
      <c r="B671" s="6"/>
      <c r="C671" s="6"/>
      <c r="D671" s="8"/>
      <c r="E671" s="6"/>
      <c r="F671" s="8"/>
      <c r="G671" s="6"/>
      <c r="H671" s="14"/>
      <c r="I671" s="14"/>
      <c r="J671" s="14"/>
      <c r="K671" s="14"/>
      <c r="L671" s="14"/>
      <c r="M671" s="14"/>
      <c r="N671" s="14"/>
      <c r="O671" s="14"/>
      <c r="P671" s="14"/>
      <c r="Q671" s="14"/>
      <c r="R671" s="14"/>
    </row>
    <row r="672" spans="1:18" ht="27" customHeight="1">
      <c r="A672" s="13"/>
      <c r="B672" s="6"/>
      <c r="C672" s="6"/>
      <c r="D672" s="8"/>
      <c r="E672" s="6"/>
      <c r="F672" s="8"/>
      <c r="G672" s="6"/>
      <c r="H672" s="14"/>
      <c r="I672" s="14"/>
      <c r="J672" s="14"/>
      <c r="K672" s="14"/>
      <c r="L672" s="14"/>
      <c r="M672" s="14"/>
      <c r="N672" s="14"/>
      <c r="O672" s="14"/>
      <c r="P672" s="14"/>
      <c r="Q672" s="14"/>
      <c r="R672" s="14"/>
    </row>
    <row r="673" spans="1:18" ht="27" customHeight="1">
      <c r="A673" s="13"/>
      <c r="B673" s="6"/>
      <c r="C673" s="6"/>
      <c r="D673" s="8"/>
      <c r="E673" s="6"/>
      <c r="F673" s="8"/>
      <c r="G673" s="6"/>
      <c r="H673" s="14"/>
      <c r="I673" s="14"/>
      <c r="J673" s="14"/>
      <c r="K673" s="14"/>
      <c r="L673" s="14"/>
      <c r="M673" s="14"/>
      <c r="N673" s="14"/>
      <c r="O673" s="14"/>
      <c r="P673" s="14"/>
      <c r="Q673" s="14"/>
      <c r="R673" s="14"/>
    </row>
    <row r="674" spans="1:18" ht="27" customHeight="1">
      <c r="A674" s="13"/>
      <c r="B674" s="6"/>
      <c r="C674" s="6"/>
      <c r="D674" s="8"/>
      <c r="E674" s="6"/>
      <c r="F674" s="8"/>
      <c r="G674" s="6"/>
      <c r="H674" s="14"/>
      <c r="I674" s="14"/>
      <c r="J674" s="14"/>
      <c r="K674" s="14"/>
      <c r="L674" s="14"/>
      <c r="M674" s="14"/>
      <c r="N674" s="14"/>
      <c r="O674" s="14"/>
      <c r="P674" s="14"/>
      <c r="Q674" s="14"/>
      <c r="R674" s="14"/>
    </row>
    <row r="675" spans="1:18" ht="27" customHeight="1">
      <c r="A675" s="13"/>
      <c r="B675" s="6"/>
      <c r="C675" s="6"/>
      <c r="D675" s="8"/>
      <c r="E675" s="6"/>
      <c r="F675" s="8"/>
      <c r="G675" s="6"/>
      <c r="H675" s="14"/>
      <c r="I675" s="14"/>
      <c r="J675" s="14"/>
      <c r="K675" s="14"/>
      <c r="L675" s="14"/>
      <c r="M675" s="14"/>
      <c r="N675" s="14"/>
      <c r="O675" s="14"/>
      <c r="P675" s="14"/>
      <c r="Q675" s="14"/>
      <c r="R675" s="14"/>
    </row>
    <row r="676" spans="1:18" ht="27" customHeight="1">
      <c r="A676" s="13"/>
      <c r="B676" s="6"/>
      <c r="C676" s="6"/>
      <c r="D676" s="8"/>
      <c r="E676" s="6"/>
      <c r="F676" s="8"/>
      <c r="G676" s="6"/>
      <c r="H676" s="14"/>
      <c r="I676" s="14"/>
      <c r="J676" s="14"/>
      <c r="K676" s="14"/>
      <c r="L676" s="14"/>
      <c r="M676" s="14"/>
      <c r="N676" s="14"/>
      <c r="O676" s="14"/>
      <c r="P676" s="14"/>
      <c r="Q676" s="14"/>
      <c r="R676" s="14"/>
    </row>
    <row r="677" spans="1:18" ht="27" customHeight="1">
      <c r="A677" s="13"/>
      <c r="B677" s="6"/>
      <c r="C677" s="6"/>
      <c r="D677" s="8"/>
      <c r="E677" s="6"/>
      <c r="F677" s="8"/>
      <c r="G677" s="6"/>
      <c r="H677" s="14"/>
      <c r="I677" s="14"/>
      <c r="J677" s="14"/>
      <c r="K677" s="14"/>
      <c r="L677" s="14"/>
      <c r="M677" s="14"/>
      <c r="N677" s="14"/>
      <c r="O677" s="14"/>
      <c r="P677" s="14"/>
      <c r="Q677" s="14"/>
      <c r="R677" s="14"/>
    </row>
    <row r="678" spans="1:18" ht="27" customHeight="1">
      <c r="A678" s="13"/>
      <c r="B678" s="6"/>
      <c r="C678" s="6"/>
      <c r="D678" s="8"/>
      <c r="E678" s="6"/>
      <c r="F678" s="8"/>
      <c r="G678" s="6"/>
      <c r="H678" s="14"/>
      <c r="I678" s="14"/>
      <c r="J678" s="14"/>
      <c r="K678" s="14"/>
      <c r="L678" s="14"/>
      <c r="M678" s="14"/>
      <c r="N678" s="14"/>
      <c r="O678" s="14"/>
      <c r="P678" s="14"/>
      <c r="Q678" s="14"/>
      <c r="R678" s="14"/>
    </row>
    <row r="679" spans="1:18" ht="27" customHeight="1">
      <c r="A679" s="13"/>
      <c r="B679" s="6"/>
      <c r="C679" s="6"/>
      <c r="D679" s="8"/>
      <c r="E679" s="6"/>
      <c r="F679" s="8"/>
      <c r="G679" s="6"/>
      <c r="H679" s="14"/>
      <c r="I679" s="14"/>
      <c r="J679" s="14"/>
      <c r="K679" s="14"/>
      <c r="L679" s="14"/>
      <c r="M679" s="14"/>
      <c r="N679" s="14"/>
      <c r="O679" s="14"/>
      <c r="P679" s="14"/>
      <c r="Q679" s="14"/>
      <c r="R679" s="14"/>
    </row>
    <row r="680" spans="1:18" ht="27" customHeight="1">
      <c r="A680" s="13"/>
      <c r="B680" s="6"/>
      <c r="C680" s="6"/>
      <c r="D680" s="8"/>
      <c r="E680" s="6"/>
      <c r="F680" s="8"/>
      <c r="G680" s="6"/>
      <c r="H680" s="14"/>
      <c r="I680" s="14"/>
      <c r="J680" s="14"/>
      <c r="K680" s="14"/>
      <c r="L680" s="14"/>
      <c r="M680" s="14"/>
      <c r="N680" s="14"/>
      <c r="O680" s="14"/>
      <c r="P680" s="14"/>
      <c r="Q680" s="14"/>
      <c r="R680" s="14"/>
    </row>
    <row r="681" spans="1:18" ht="27" customHeight="1">
      <c r="A681" s="13"/>
      <c r="B681" s="6"/>
      <c r="C681" s="6"/>
      <c r="D681" s="8"/>
      <c r="E681" s="6"/>
      <c r="F681" s="8"/>
      <c r="G681" s="6"/>
      <c r="H681" s="14"/>
      <c r="I681" s="14"/>
      <c r="J681" s="14"/>
      <c r="K681" s="14"/>
      <c r="L681" s="14"/>
      <c r="M681" s="14"/>
      <c r="N681" s="14"/>
      <c r="O681" s="14"/>
      <c r="P681" s="14"/>
      <c r="Q681" s="14"/>
      <c r="R681" s="14"/>
    </row>
    <row r="682" spans="1:18" ht="27" customHeight="1">
      <c r="A682" s="13"/>
      <c r="B682" s="6"/>
      <c r="C682" s="6"/>
      <c r="D682" s="8"/>
      <c r="E682" s="6"/>
      <c r="F682" s="8"/>
      <c r="G682" s="6"/>
      <c r="H682" s="14"/>
      <c r="I682" s="14"/>
      <c r="J682" s="14"/>
      <c r="K682" s="14"/>
      <c r="L682" s="14"/>
      <c r="M682" s="14"/>
      <c r="N682" s="14"/>
      <c r="O682" s="14"/>
      <c r="P682" s="14"/>
      <c r="Q682" s="14"/>
      <c r="R682" s="14"/>
    </row>
    <row r="683" spans="1:18" ht="27" customHeight="1">
      <c r="A683" s="13"/>
      <c r="B683" s="6"/>
      <c r="C683" s="6"/>
      <c r="D683" s="8"/>
      <c r="E683" s="6"/>
      <c r="F683" s="8"/>
      <c r="G683" s="6"/>
      <c r="H683" s="14"/>
      <c r="I683" s="14"/>
      <c r="J683" s="14"/>
      <c r="K683" s="14"/>
      <c r="L683" s="14"/>
      <c r="M683" s="14"/>
      <c r="N683" s="14"/>
      <c r="O683" s="14"/>
      <c r="P683" s="14"/>
      <c r="Q683" s="14"/>
      <c r="R683" s="14"/>
    </row>
    <row r="684" spans="1:18" ht="27" customHeight="1">
      <c r="A684" s="13"/>
      <c r="B684" s="6"/>
      <c r="C684" s="6"/>
      <c r="D684" s="8"/>
      <c r="E684" s="6"/>
      <c r="F684" s="8"/>
      <c r="G684" s="6"/>
      <c r="H684" s="14"/>
      <c r="I684" s="14"/>
      <c r="J684" s="14"/>
      <c r="K684" s="14"/>
      <c r="L684" s="14"/>
      <c r="M684" s="14"/>
      <c r="N684" s="14"/>
      <c r="O684" s="14"/>
      <c r="P684" s="14"/>
      <c r="Q684" s="14"/>
      <c r="R684" s="14"/>
    </row>
    <row r="685" spans="1:18" ht="27" customHeight="1">
      <c r="A685" s="13"/>
      <c r="B685" s="6"/>
      <c r="C685" s="6"/>
      <c r="D685" s="8"/>
      <c r="E685" s="6"/>
      <c r="F685" s="8"/>
      <c r="G685" s="6"/>
      <c r="H685" s="14"/>
      <c r="I685" s="14"/>
      <c r="J685" s="14"/>
      <c r="K685" s="14"/>
      <c r="L685" s="14"/>
      <c r="M685" s="14"/>
      <c r="N685" s="14"/>
      <c r="O685" s="14"/>
      <c r="P685" s="14"/>
      <c r="Q685" s="14"/>
      <c r="R685" s="14"/>
    </row>
    <row r="686" spans="1:18" ht="27" customHeight="1">
      <c r="A686" s="13"/>
      <c r="B686" s="6"/>
      <c r="C686" s="6"/>
      <c r="D686" s="8"/>
      <c r="E686" s="6"/>
      <c r="F686" s="8"/>
      <c r="G686" s="6"/>
      <c r="H686" s="14"/>
      <c r="I686" s="14"/>
      <c r="J686" s="14"/>
      <c r="K686" s="14"/>
      <c r="L686" s="14"/>
      <c r="M686" s="14"/>
      <c r="N686" s="14"/>
      <c r="O686" s="14"/>
      <c r="P686" s="14"/>
      <c r="Q686" s="14"/>
      <c r="R686" s="14"/>
    </row>
    <row r="687" spans="1:18" ht="27" customHeight="1">
      <c r="A687" s="13"/>
      <c r="B687" s="6"/>
      <c r="C687" s="6"/>
      <c r="D687" s="8"/>
      <c r="E687" s="6"/>
      <c r="F687" s="8"/>
      <c r="G687" s="6"/>
      <c r="H687" s="14"/>
      <c r="I687" s="14"/>
      <c r="J687" s="14"/>
      <c r="K687" s="14"/>
      <c r="L687" s="14"/>
      <c r="M687" s="14"/>
      <c r="N687" s="14"/>
      <c r="O687" s="14"/>
      <c r="P687" s="14"/>
      <c r="Q687" s="14"/>
      <c r="R687" s="14"/>
    </row>
    <row r="688" spans="1:18" ht="27" customHeight="1">
      <c r="A688" s="13"/>
      <c r="B688" s="6"/>
      <c r="C688" s="6"/>
      <c r="D688" s="8"/>
      <c r="E688" s="6"/>
      <c r="F688" s="8"/>
      <c r="G688" s="6"/>
      <c r="H688" s="14"/>
      <c r="I688" s="14"/>
      <c r="J688" s="14"/>
      <c r="K688" s="14"/>
      <c r="L688" s="14"/>
      <c r="M688" s="14"/>
      <c r="N688" s="14"/>
      <c r="O688" s="14"/>
      <c r="P688" s="14"/>
      <c r="Q688" s="14"/>
      <c r="R688" s="14"/>
    </row>
    <row r="689" spans="1:18" ht="27" customHeight="1">
      <c r="A689" s="13"/>
      <c r="B689" s="6"/>
      <c r="C689" s="6"/>
      <c r="D689" s="8"/>
      <c r="E689" s="6"/>
      <c r="F689" s="8"/>
      <c r="G689" s="6"/>
      <c r="H689" s="14"/>
      <c r="I689" s="14"/>
      <c r="J689" s="14"/>
      <c r="K689" s="14"/>
      <c r="L689" s="14"/>
      <c r="M689" s="14"/>
      <c r="N689" s="14"/>
      <c r="O689" s="14"/>
      <c r="P689" s="14"/>
      <c r="Q689" s="14"/>
      <c r="R689" s="14"/>
    </row>
    <row r="690" spans="1:18" ht="27" customHeight="1">
      <c r="A690" s="13"/>
      <c r="B690" s="6"/>
      <c r="C690" s="6"/>
      <c r="D690" s="8"/>
      <c r="E690" s="6"/>
      <c r="F690" s="8"/>
      <c r="G690" s="6"/>
      <c r="H690" s="14"/>
      <c r="I690" s="14"/>
      <c r="J690" s="14"/>
      <c r="K690" s="14"/>
      <c r="L690" s="14"/>
      <c r="M690" s="14"/>
      <c r="N690" s="14"/>
      <c r="O690" s="14"/>
      <c r="P690" s="14"/>
      <c r="Q690" s="14"/>
      <c r="R690" s="14"/>
    </row>
    <row r="691" spans="1:18" ht="27" customHeight="1">
      <c r="A691" s="13"/>
      <c r="B691" s="6"/>
      <c r="C691" s="6"/>
      <c r="D691" s="8"/>
      <c r="E691" s="6"/>
      <c r="F691" s="8"/>
      <c r="G691" s="6"/>
      <c r="H691" s="14"/>
      <c r="I691" s="14"/>
      <c r="J691" s="14"/>
      <c r="K691" s="14"/>
      <c r="L691" s="14"/>
      <c r="M691" s="14"/>
      <c r="N691" s="14"/>
      <c r="O691" s="14"/>
      <c r="P691" s="14"/>
      <c r="Q691" s="14"/>
      <c r="R691" s="14"/>
    </row>
    <row r="692" spans="1:18" ht="27" customHeight="1">
      <c r="A692" s="13"/>
      <c r="B692" s="6"/>
      <c r="C692" s="6"/>
      <c r="D692" s="8"/>
      <c r="E692" s="6"/>
      <c r="F692" s="8"/>
      <c r="G692" s="6"/>
      <c r="H692" s="14"/>
      <c r="I692" s="14"/>
      <c r="J692" s="14"/>
      <c r="K692" s="14"/>
      <c r="L692" s="14"/>
      <c r="M692" s="14"/>
      <c r="N692" s="14"/>
      <c r="O692" s="14"/>
      <c r="P692" s="14"/>
      <c r="Q692" s="14"/>
      <c r="R692" s="14"/>
    </row>
    <row r="693" spans="1:18" ht="27" customHeight="1">
      <c r="A693" s="13"/>
      <c r="B693" s="6"/>
      <c r="C693" s="6"/>
      <c r="D693" s="8"/>
      <c r="E693" s="6"/>
      <c r="F693" s="8"/>
      <c r="G693" s="6"/>
      <c r="H693" s="14"/>
      <c r="I693" s="14"/>
      <c r="J693" s="14"/>
      <c r="K693" s="14"/>
      <c r="L693" s="14"/>
      <c r="M693" s="14"/>
      <c r="N693" s="14"/>
      <c r="O693" s="14"/>
      <c r="P693" s="14"/>
      <c r="Q693" s="14"/>
      <c r="R693" s="14"/>
    </row>
    <row r="694" spans="1:18" ht="27" customHeight="1">
      <c r="A694" s="13"/>
      <c r="B694" s="6"/>
      <c r="C694" s="6"/>
      <c r="D694" s="8"/>
      <c r="E694" s="6"/>
      <c r="F694" s="8"/>
      <c r="G694" s="6"/>
      <c r="H694" s="14"/>
      <c r="I694" s="14"/>
      <c r="J694" s="14"/>
      <c r="K694" s="14"/>
      <c r="L694" s="14"/>
      <c r="M694" s="14"/>
      <c r="N694" s="14"/>
      <c r="O694" s="14"/>
      <c r="P694" s="14"/>
      <c r="Q694" s="14"/>
      <c r="R694" s="14"/>
    </row>
    <row r="695" spans="1:18" ht="27" customHeight="1">
      <c r="A695" s="13"/>
      <c r="B695" s="6"/>
      <c r="C695" s="6"/>
      <c r="D695" s="8"/>
      <c r="E695" s="6"/>
      <c r="F695" s="8"/>
      <c r="G695" s="6"/>
      <c r="H695" s="14"/>
      <c r="I695" s="14"/>
      <c r="J695" s="14"/>
      <c r="K695" s="14"/>
      <c r="L695" s="14"/>
      <c r="M695" s="14"/>
      <c r="N695" s="14"/>
      <c r="O695" s="14"/>
      <c r="P695" s="14"/>
      <c r="Q695" s="14"/>
      <c r="R695" s="14"/>
    </row>
    <row r="696" spans="1:18" ht="27" customHeight="1">
      <c r="A696" s="13"/>
      <c r="B696" s="6"/>
      <c r="C696" s="6"/>
      <c r="D696" s="8"/>
      <c r="E696" s="6"/>
      <c r="F696" s="8"/>
      <c r="G696" s="6"/>
      <c r="H696" s="14"/>
      <c r="I696" s="14"/>
      <c r="J696" s="14"/>
      <c r="K696" s="14"/>
      <c r="L696" s="14"/>
      <c r="M696" s="14"/>
      <c r="N696" s="14"/>
      <c r="O696" s="14"/>
      <c r="P696" s="14"/>
      <c r="Q696" s="14"/>
      <c r="R696" s="14"/>
    </row>
    <row r="697" spans="1:18" ht="27" customHeight="1">
      <c r="A697" s="13"/>
      <c r="B697" s="6"/>
      <c r="C697" s="6"/>
      <c r="D697" s="8"/>
      <c r="E697" s="6"/>
      <c r="F697" s="8"/>
      <c r="G697" s="6"/>
      <c r="H697" s="14"/>
      <c r="I697" s="14"/>
      <c r="J697" s="14"/>
      <c r="K697" s="14"/>
      <c r="L697" s="14"/>
      <c r="M697" s="14"/>
      <c r="N697" s="14"/>
      <c r="O697" s="14"/>
      <c r="P697" s="14"/>
      <c r="Q697" s="14"/>
      <c r="R697" s="14"/>
    </row>
    <row r="698" spans="1:18" ht="27" customHeight="1">
      <c r="A698" s="13"/>
      <c r="B698" s="6"/>
      <c r="C698" s="6"/>
      <c r="D698" s="8"/>
      <c r="E698" s="6"/>
      <c r="F698" s="8"/>
      <c r="G698" s="6"/>
      <c r="H698" s="14"/>
      <c r="I698" s="14"/>
      <c r="J698" s="14"/>
      <c r="K698" s="14"/>
      <c r="L698" s="14"/>
      <c r="M698" s="14"/>
      <c r="N698" s="14"/>
      <c r="O698" s="14"/>
      <c r="P698" s="14"/>
      <c r="Q698" s="14"/>
      <c r="R698" s="14"/>
    </row>
    <row r="699" spans="1:18" ht="27" customHeight="1">
      <c r="A699" s="13"/>
      <c r="B699" s="6"/>
      <c r="C699" s="6"/>
      <c r="D699" s="8"/>
      <c r="E699" s="6"/>
      <c r="F699" s="8"/>
      <c r="G699" s="6"/>
      <c r="H699" s="14"/>
      <c r="I699" s="14"/>
      <c r="J699" s="14"/>
      <c r="K699" s="14"/>
      <c r="L699" s="14"/>
      <c r="M699" s="14"/>
      <c r="N699" s="14"/>
      <c r="O699" s="14"/>
      <c r="P699" s="14"/>
      <c r="Q699" s="14"/>
      <c r="R699" s="14"/>
    </row>
    <row r="700" spans="1:18" ht="27" customHeight="1">
      <c r="A700" s="13"/>
      <c r="B700" s="6"/>
      <c r="C700" s="6"/>
      <c r="D700" s="8"/>
      <c r="E700" s="6"/>
      <c r="F700" s="8"/>
      <c r="G700" s="6"/>
      <c r="H700" s="14"/>
      <c r="I700" s="14"/>
      <c r="J700" s="14"/>
      <c r="K700" s="14"/>
      <c r="L700" s="14"/>
      <c r="M700" s="14"/>
      <c r="N700" s="14"/>
      <c r="O700" s="14"/>
      <c r="P700" s="14"/>
      <c r="Q700" s="14"/>
      <c r="R700" s="14"/>
    </row>
    <row r="701" spans="1:18" ht="27" customHeight="1">
      <c r="A701" s="13"/>
      <c r="B701" s="6"/>
      <c r="C701" s="6"/>
      <c r="D701" s="8"/>
      <c r="E701" s="6"/>
      <c r="F701" s="8"/>
      <c r="G701" s="6"/>
      <c r="H701" s="14"/>
      <c r="I701" s="14"/>
      <c r="J701" s="14"/>
      <c r="K701" s="14"/>
      <c r="L701" s="14"/>
      <c r="M701" s="14"/>
      <c r="N701" s="14"/>
      <c r="O701" s="14"/>
      <c r="P701" s="14"/>
      <c r="Q701" s="14"/>
      <c r="R701" s="14"/>
    </row>
    <row r="702" spans="1:18" ht="27" customHeight="1">
      <c r="A702" s="13"/>
      <c r="B702" s="6"/>
      <c r="C702" s="6"/>
      <c r="D702" s="8"/>
      <c r="E702" s="6"/>
      <c r="F702" s="8"/>
      <c r="G702" s="6"/>
      <c r="H702" s="14"/>
      <c r="I702" s="14"/>
      <c r="J702" s="14"/>
      <c r="K702" s="14"/>
      <c r="L702" s="14"/>
      <c r="M702" s="14"/>
      <c r="N702" s="14"/>
      <c r="O702" s="14"/>
      <c r="P702" s="14"/>
      <c r="Q702" s="14"/>
      <c r="R702" s="14"/>
    </row>
    <row r="703" spans="1:18" ht="27" customHeight="1">
      <c r="A703" s="13"/>
      <c r="B703" s="6"/>
      <c r="C703" s="6"/>
      <c r="D703" s="8"/>
      <c r="E703" s="6"/>
      <c r="F703" s="8"/>
      <c r="G703" s="6"/>
      <c r="H703" s="14"/>
      <c r="I703" s="14"/>
      <c r="J703" s="14"/>
      <c r="K703" s="14"/>
      <c r="L703" s="14"/>
      <c r="M703" s="14"/>
      <c r="N703" s="14"/>
      <c r="O703" s="14"/>
      <c r="P703" s="14"/>
      <c r="Q703" s="14"/>
      <c r="R703" s="14"/>
    </row>
    <row r="704" spans="1:18" ht="27" customHeight="1">
      <c r="A704" s="13"/>
      <c r="B704" s="6"/>
      <c r="C704" s="6"/>
      <c r="D704" s="8"/>
      <c r="E704" s="6"/>
      <c r="F704" s="8"/>
      <c r="G704" s="6"/>
      <c r="H704" s="14"/>
      <c r="I704" s="14"/>
      <c r="J704" s="14"/>
      <c r="K704" s="14"/>
      <c r="L704" s="14"/>
      <c r="M704" s="14"/>
      <c r="N704" s="14"/>
      <c r="O704" s="14"/>
      <c r="P704" s="14"/>
      <c r="Q704" s="14"/>
      <c r="R704" s="14"/>
    </row>
    <row r="705" spans="1:18" ht="27" customHeight="1">
      <c r="A705" s="13"/>
      <c r="B705" s="6"/>
      <c r="C705" s="6"/>
      <c r="D705" s="8"/>
      <c r="E705" s="6"/>
      <c r="F705" s="8"/>
      <c r="G705" s="6"/>
      <c r="H705" s="14"/>
      <c r="I705" s="14"/>
      <c r="J705" s="14"/>
      <c r="K705" s="14"/>
      <c r="L705" s="14"/>
      <c r="M705" s="14"/>
      <c r="N705" s="14"/>
      <c r="O705" s="14"/>
      <c r="P705" s="14"/>
      <c r="Q705" s="14"/>
      <c r="R705" s="14"/>
    </row>
    <row r="706" spans="1:18" ht="27" customHeight="1">
      <c r="A706" s="13"/>
      <c r="B706" s="6"/>
      <c r="C706" s="6"/>
      <c r="D706" s="8"/>
      <c r="E706" s="6"/>
      <c r="F706" s="8"/>
      <c r="G706" s="6"/>
      <c r="H706" s="14"/>
      <c r="I706" s="14"/>
      <c r="J706" s="14"/>
      <c r="K706" s="14"/>
      <c r="L706" s="14"/>
      <c r="M706" s="14"/>
      <c r="N706" s="14"/>
      <c r="O706" s="14"/>
      <c r="P706" s="14"/>
      <c r="Q706" s="14"/>
      <c r="R706" s="14"/>
    </row>
    <row r="707" spans="1:18" ht="27" customHeight="1">
      <c r="A707" s="13"/>
      <c r="B707" s="6"/>
      <c r="C707" s="6"/>
      <c r="D707" s="8"/>
      <c r="E707" s="6"/>
      <c r="F707" s="8"/>
      <c r="G707" s="6"/>
      <c r="H707" s="14"/>
      <c r="I707" s="14"/>
      <c r="J707" s="14"/>
      <c r="K707" s="14"/>
      <c r="L707" s="14"/>
      <c r="M707" s="14"/>
      <c r="N707" s="14"/>
      <c r="O707" s="14"/>
      <c r="P707" s="14"/>
      <c r="Q707" s="14"/>
      <c r="R707" s="14"/>
    </row>
    <row r="708" spans="1:18" ht="27" customHeight="1">
      <c r="A708" s="13"/>
      <c r="B708" s="6"/>
      <c r="C708" s="6"/>
      <c r="D708" s="8"/>
      <c r="E708" s="6"/>
      <c r="F708" s="8"/>
      <c r="G708" s="6"/>
      <c r="H708" s="14"/>
      <c r="I708" s="14"/>
      <c r="J708" s="14"/>
      <c r="K708" s="14"/>
      <c r="L708" s="14"/>
      <c r="M708" s="14"/>
      <c r="N708" s="14"/>
      <c r="O708" s="14"/>
      <c r="P708" s="14"/>
      <c r="Q708" s="14"/>
      <c r="R708" s="14"/>
    </row>
    <row r="709" spans="1:18" ht="27" customHeight="1">
      <c r="A709" s="13"/>
      <c r="B709" s="6"/>
      <c r="C709" s="6"/>
      <c r="D709" s="8"/>
      <c r="E709" s="6"/>
      <c r="F709" s="8"/>
      <c r="G709" s="6"/>
      <c r="H709" s="14"/>
      <c r="I709" s="14"/>
      <c r="J709" s="14"/>
      <c r="K709" s="14"/>
      <c r="L709" s="14"/>
      <c r="M709" s="14"/>
      <c r="N709" s="14"/>
      <c r="O709" s="14"/>
      <c r="P709" s="14"/>
      <c r="Q709" s="14"/>
      <c r="R709" s="14"/>
    </row>
    <row r="710" spans="1:18" ht="27" customHeight="1">
      <c r="A710" s="13"/>
      <c r="B710" s="6"/>
      <c r="C710" s="6"/>
      <c r="D710" s="8"/>
      <c r="E710" s="6"/>
      <c r="F710" s="8"/>
      <c r="G710" s="6"/>
      <c r="H710" s="14"/>
      <c r="I710" s="14"/>
      <c r="J710" s="14"/>
      <c r="K710" s="14"/>
      <c r="L710" s="14"/>
      <c r="M710" s="14"/>
      <c r="N710" s="14"/>
      <c r="O710" s="14"/>
      <c r="P710" s="14"/>
      <c r="Q710" s="14"/>
      <c r="R710" s="14"/>
    </row>
    <row r="711" spans="1:18" ht="27" customHeight="1">
      <c r="A711" s="13"/>
      <c r="B711" s="6"/>
      <c r="C711" s="6"/>
      <c r="D711" s="8"/>
      <c r="E711" s="6"/>
      <c r="F711" s="8"/>
      <c r="G711" s="6"/>
      <c r="H711" s="14"/>
      <c r="I711" s="14"/>
      <c r="J711" s="14"/>
      <c r="K711" s="14"/>
      <c r="L711" s="14"/>
      <c r="M711" s="14"/>
      <c r="N711" s="14"/>
      <c r="O711" s="14"/>
      <c r="P711" s="14"/>
      <c r="Q711" s="14"/>
      <c r="R711" s="14"/>
    </row>
    <row r="712" spans="1:18" ht="27" customHeight="1">
      <c r="A712" s="13"/>
      <c r="B712" s="6"/>
      <c r="C712" s="6"/>
      <c r="D712" s="8"/>
      <c r="E712" s="6"/>
      <c r="F712" s="8"/>
      <c r="G712" s="6"/>
      <c r="H712" s="14"/>
      <c r="I712" s="14"/>
      <c r="J712" s="14"/>
      <c r="K712" s="14"/>
      <c r="L712" s="14"/>
      <c r="M712" s="14"/>
      <c r="N712" s="14"/>
      <c r="O712" s="14"/>
      <c r="P712" s="14"/>
      <c r="Q712" s="14"/>
      <c r="R712" s="14"/>
    </row>
    <row r="713" spans="1:18" ht="27" customHeight="1">
      <c r="A713" s="13"/>
      <c r="B713" s="6"/>
      <c r="C713" s="6"/>
      <c r="D713" s="8"/>
      <c r="E713" s="6"/>
      <c r="F713" s="8"/>
      <c r="G713" s="6"/>
      <c r="H713" s="14"/>
      <c r="I713" s="14"/>
      <c r="J713" s="14"/>
      <c r="K713" s="14"/>
      <c r="L713" s="14"/>
      <c r="M713" s="14"/>
      <c r="N713" s="14"/>
      <c r="O713" s="14"/>
      <c r="P713" s="14"/>
      <c r="Q713" s="14"/>
      <c r="R713" s="14"/>
    </row>
    <row r="714" spans="1:18" ht="27" customHeight="1">
      <c r="A714" s="13"/>
      <c r="B714" s="6"/>
      <c r="C714" s="6"/>
      <c r="D714" s="8"/>
      <c r="E714" s="6"/>
      <c r="F714" s="8"/>
      <c r="G714" s="6"/>
      <c r="H714" s="14"/>
      <c r="I714" s="14"/>
      <c r="J714" s="14"/>
      <c r="K714" s="14"/>
      <c r="L714" s="14"/>
      <c r="M714" s="14"/>
      <c r="N714" s="14"/>
      <c r="O714" s="14"/>
      <c r="P714" s="14"/>
      <c r="Q714" s="14"/>
      <c r="R714" s="14"/>
    </row>
    <row r="715" spans="1:18" ht="27" customHeight="1">
      <c r="A715" s="13"/>
      <c r="B715" s="6"/>
      <c r="C715" s="6"/>
      <c r="D715" s="8"/>
      <c r="E715" s="6"/>
      <c r="F715" s="8"/>
      <c r="G715" s="6"/>
      <c r="H715" s="14"/>
      <c r="I715" s="14"/>
      <c r="J715" s="14"/>
      <c r="K715" s="14"/>
      <c r="L715" s="14"/>
      <c r="M715" s="14"/>
      <c r="N715" s="14"/>
      <c r="O715" s="14"/>
      <c r="P715" s="14"/>
      <c r="Q715" s="14"/>
      <c r="R715" s="14"/>
    </row>
    <row r="716" spans="1:18" ht="27" customHeight="1">
      <c r="A716" s="13"/>
      <c r="B716" s="6"/>
      <c r="C716" s="6"/>
      <c r="D716" s="8"/>
      <c r="E716" s="6"/>
      <c r="F716" s="8"/>
      <c r="G716" s="6"/>
      <c r="H716" s="14"/>
      <c r="I716" s="14"/>
      <c r="J716" s="14"/>
      <c r="K716" s="14"/>
      <c r="L716" s="14"/>
      <c r="M716" s="14"/>
      <c r="N716" s="14"/>
      <c r="O716" s="14"/>
      <c r="P716" s="14"/>
      <c r="Q716" s="14"/>
      <c r="R716" s="14"/>
    </row>
    <row r="717" spans="1:18" ht="27" customHeight="1">
      <c r="A717" s="13"/>
      <c r="B717" s="6"/>
      <c r="C717" s="6"/>
      <c r="D717" s="8"/>
      <c r="E717" s="6"/>
      <c r="F717" s="8"/>
      <c r="G717" s="6"/>
      <c r="H717" s="14"/>
      <c r="I717" s="14"/>
      <c r="J717" s="14"/>
      <c r="K717" s="14"/>
      <c r="L717" s="14"/>
      <c r="M717" s="14"/>
      <c r="N717" s="14"/>
      <c r="O717" s="14"/>
      <c r="P717" s="14"/>
      <c r="Q717" s="14"/>
      <c r="R717" s="14"/>
    </row>
    <row r="718" spans="1:18" ht="27" customHeight="1">
      <c r="A718" s="13"/>
      <c r="B718" s="6"/>
      <c r="C718" s="6"/>
      <c r="D718" s="8"/>
      <c r="E718" s="6"/>
      <c r="F718" s="8"/>
      <c r="G718" s="6"/>
      <c r="H718" s="14"/>
      <c r="I718" s="14"/>
      <c r="J718" s="14"/>
      <c r="K718" s="14"/>
      <c r="L718" s="14"/>
      <c r="M718" s="14"/>
      <c r="N718" s="14"/>
      <c r="O718" s="14"/>
      <c r="P718" s="14"/>
      <c r="Q718" s="14"/>
      <c r="R718" s="14"/>
    </row>
    <row r="719" spans="1:18" ht="27" customHeight="1">
      <c r="A719" s="13"/>
      <c r="B719" s="6"/>
      <c r="C719" s="6"/>
      <c r="D719" s="8"/>
      <c r="E719" s="6"/>
      <c r="F719" s="8"/>
      <c r="G719" s="6"/>
      <c r="H719" s="14"/>
      <c r="I719" s="14"/>
      <c r="J719" s="14"/>
      <c r="K719" s="14"/>
      <c r="L719" s="14"/>
      <c r="M719" s="14"/>
      <c r="N719" s="14"/>
      <c r="O719" s="14"/>
      <c r="P719" s="14"/>
      <c r="Q719" s="14"/>
      <c r="R719" s="14"/>
    </row>
    <row r="720" spans="1:18" ht="27" customHeight="1">
      <c r="A720" s="13"/>
      <c r="B720" s="6"/>
      <c r="C720" s="6"/>
      <c r="D720" s="8"/>
      <c r="E720" s="6"/>
      <c r="F720" s="8"/>
      <c r="G720" s="6"/>
      <c r="H720" s="14"/>
      <c r="I720" s="14"/>
      <c r="J720" s="14"/>
      <c r="K720" s="14"/>
      <c r="L720" s="14"/>
      <c r="M720" s="14"/>
      <c r="N720" s="14"/>
      <c r="O720" s="14"/>
      <c r="P720" s="14"/>
      <c r="Q720" s="14"/>
      <c r="R720" s="14"/>
    </row>
    <row r="721" spans="1:18" ht="27" customHeight="1">
      <c r="A721" s="13"/>
      <c r="B721" s="6"/>
      <c r="C721" s="6"/>
      <c r="D721" s="8"/>
      <c r="E721" s="6"/>
      <c r="F721" s="8"/>
      <c r="G721" s="6"/>
      <c r="H721" s="14"/>
      <c r="I721" s="14"/>
      <c r="J721" s="14"/>
      <c r="K721" s="14"/>
      <c r="L721" s="14"/>
      <c r="M721" s="14"/>
      <c r="N721" s="14"/>
      <c r="O721" s="14"/>
      <c r="P721" s="14"/>
      <c r="Q721" s="14"/>
      <c r="R721" s="14"/>
    </row>
    <row r="722" spans="1:18" ht="27" customHeight="1">
      <c r="A722" s="13"/>
      <c r="B722" s="6"/>
      <c r="C722" s="6"/>
      <c r="D722" s="8"/>
      <c r="E722" s="6"/>
      <c r="F722" s="8"/>
      <c r="G722" s="6"/>
      <c r="H722" s="14"/>
      <c r="I722" s="14"/>
      <c r="J722" s="14"/>
      <c r="K722" s="14"/>
      <c r="L722" s="14"/>
      <c r="M722" s="14"/>
      <c r="N722" s="14"/>
      <c r="O722" s="14"/>
      <c r="P722" s="14"/>
      <c r="Q722" s="14"/>
      <c r="R722" s="14"/>
    </row>
    <row r="723" spans="1:18" ht="27" customHeight="1">
      <c r="A723" s="13"/>
      <c r="B723" s="6"/>
      <c r="C723" s="6"/>
      <c r="D723" s="8"/>
      <c r="E723" s="6"/>
      <c r="F723" s="8"/>
      <c r="G723" s="6"/>
      <c r="H723" s="14"/>
      <c r="I723" s="14"/>
      <c r="J723" s="14"/>
      <c r="K723" s="14"/>
      <c r="L723" s="14"/>
      <c r="M723" s="14"/>
      <c r="N723" s="14"/>
      <c r="O723" s="14"/>
      <c r="P723" s="14"/>
      <c r="Q723" s="14"/>
      <c r="R723" s="14"/>
    </row>
    <row r="724" spans="1:18" ht="27" customHeight="1">
      <c r="A724" s="13"/>
      <c r="B724" s="6"/>
      <c r="C724" s="6"/>
      <c r="D724" s="8"/>
      <c r="E724" s="6"/>
      <c r="F724" s="8"/>
      <c r="G724" s="6"/>
      <c r="H724" s="14"/>
      <c r="I724" s="14"/>
      <c r="J724" s="14"/>
      <c r="K724" s="14"/>
      <c r="L724" s="14"/>
      <c r="M724" s="14"/>
      <c r="N724" s="14"/>
      <c r="O724" s="14"/>
      <c r="P724" s="14"/>
      <c r="Q724" s="14"/>
      <c r="R724" s="14"/>
    </row>
    <row r="725" spans="1:18" ht="27" customHeight="1">
      <c r="A725" s="13"/>
      <c r="B725" s="6"/>
      <c r="C725" s="6"/>
      <c r="D725" s="8"/>
      <c r="E725" s="6"/>
      <c r="F725" s="8"/>
      <c r="G725" s="6"/>
      <c r="H725" s="14"/>
      <c r="I725" s="14"/>
      <c r="J725" s="14"/>
      <c r="K725" s="14"/>
      <c r="L725" s="14"/>
      <c r="M725" s="14"/>
      <c r="N725" s="14"/>
      <c r="O725" s="14"/>
      <c r="P725" s="14"/>
      <c r="Q725" s="14"/>
      <c r="R725" s="14"/>
    </row>
    <row r="726" spans="1:18" ht="27" customHeight="1">
      <c r="A726" s="13"/>
      <c r="B726" s="6"/>
      <c r="C726" s="6"/>
      <c r="D726" s="8"/>
      <c r="E726" s="6"/>
      <c r="F726" s="8"/>
      <c r="G726" s="6"/>
      <c r="H726" s="14"/>
      <c r="I726" s="14"/>
      <c r="J726" s="14"/>
      <c r="K726" s="14"/>
      <c r="L726" s="14"/>
      <c r="M726" s="14"/>
      <c r="N726" s="14"/>
      <c r="O726" s="14"/>
      <c r="P726" s="14"/>
      <c r="Q726" s="14"/>
      <c r="R726" s="14"/>
    </row>
    <row r="727" spans="1:18" ht="27" customHeight="1">
      <c r="A727" s="13"/>
      <c r="B727" s="6"/>
      <c r="C727" s="6"/>
      <c r="D727" s="8"/>
      <c r="E727" s="6"/>
      <c r="F727" s="8"/>
      <c r="G727" s="6"/>
      <c r="H727" s="14"/>
      <c r="I727" s="14"/>
      <c r="J727" s="14"/>
      <c r="K727" s="14"/>
      <c r="L727" s="14"/>
      <c r="M727" s="14"/>
      <c r="N727" s="14"/>
      <c r="O727" s="14"/>
      <c r="P727" s="14"/>
      <c r="Q727" s="14"/>
      <c r="R727" s="14"/>
    </row>
    <row r="728" spans="1:18" ht="27" customHeight="1">
      <c r="A728" s="13"/>
      <c r="B728" s="6"/>
      <c r="C728" s="6"/>
      <c r="D728" s="8"/>
      <c r="E728" s="6"/>
      <c r="F728" s="8"/>
      <c r="G728" s="6"/>
      <c r="H728" s="14"/>
      <c r="I728" s="14"/>
      <c r="J728" s="14"/>
      <c r="K728" s="14"/>
      <c r="L728" s="14"/>
      <c r="M728" s="14"/>
      <c r="N728" s="14"/>
      <c r="O728" s="14"/>
      <c r="P728" s="14"/>
      <c r="Q728" s="14"/>
      <c r="R728" s="14"/>
    </row>
    <row r="729" spans="1:18" ht="27" customHeight="1">
      <c r="A729" s="13"/>
      <c r="B729" s="6"/>
      <c r="C729" s="6"/>
      <c r="D729" s="8"/>
      <c r="E729" s="6"/>
      <c r="F729" s="8"/>
      <c r="G729" s="6"/>
      <c r="H729" s="14"/>
      <c r="I729" s="14"/>
      <c r="J729" s="14"/>
      <c r="K729" s="14"/>
      <c r="L729" s="14"/>
      <c r="M729" s="14"/>
      <c r="N729" s="14"/>
      <c r="O729" s="14"/>
      <c r="P729" s="14"/>
      <c r="Q729" s="14"/>
      <c r="R729" s="14"/>
    </row>
    <row r="730" spans="1:18" ht="27" customHeight="1">
      <c r="A730" s="13"/>
      <c r="B730" s="6"/>
      <c r="C730" s="6"/>
      <c r="D730" s="8"/>
      <c r="E730" s="6"/>
      <c r="F730" s="8"/>
      <c r="G730" s="6"/>
      <c r="H730" s="14"/>
      <c r="I730" s="14"/>
      <c r="J730" s="14"/>
      <c r="K730" s="14"/>
      <c r="L730" s="14"/>
      <c r="M730" s="14"/>
      <c r="N730" s="14"/>
      <c r="O730" s="14"/>
      <c r="P730" s="14"/>
      <c r="Q730" s="14"/>
      <c r="R730" s="14"/>
    </row>
    <row r="731" spans="1:18" ht="27" customHeight="1">
      <c r="A731" s="13"/>
      <c r="B731" s="6"/>
      <c r="C731" s="6"/>
      <c r="D731" s="8"/>
      <c r="E731" s="6"/>
      <c r="F731" s="8"/>
      <c r="G731" s="6"/>
      <c r="H731" s="14"/>
      <c r="I731" s="14"/>
      <c r="J731" s="14"/>
      <c r="K731" s="14"/>
      <c r="L731" s="14"/>
      <c r="M731" s="14"/>
      <c r="N731" s="14"/>
      <c r="O731" s="14"/>
      <c r="P731" s="14"/>
      <c r="Q731" s="14"/>
      <c r="R731" s="14"/>
    </row>
    <row r="732" spans="1:18" ht="27" customHeight="1">
      <c r="A732" s="13"/>
      <c r="B732" s="6"/>
      <c r="C732" s="6"/>
      <c r="D732" s="8"/>
      <c r="E732" s="6"/>
      <c r="F732" s="8"/>
      <c r="G732" s="6"/>
      <c r="H732" s="14"/>
      <c r="I732" s="14"/>
      <c r="J732" s="14"/>
      <c r="K732" s="14"/>
      <c r="L732" s="14"/>
      <c r="M732" s="14"/>
      <c r="N732" s="14"/>
      <c r="O732" s="14"/>
      <c r="P732" s="14"/>
      <c r="Q732" s="14"/>
      <c r="R732" s="14"/>
    </row>
    <row r="733" spans="1:18" ht="27" customHeight="1">
      <c r="A733" s="13"/>
      <c r="B733" s="6"/>
      <c r="C733" s="6"/>
      <c r="D733" s="8"/>
      <c r="E733" s="6"/>
      <c r="F733" s="8"/>
      <c r="G733" s="6"/>
      <c r="H733" s="14"/>
      <c r="I733" s="14"/>
      <c r="J733" s="14"/>
      <c r="K733" s="14"/>
      <c r="L733" s="14"/>
      <c r="M733" s="14"/>
      <c r="N733" s="14"/>
      <c r="O733" s="14"/>
      <c r="P733" s="14"/>
      <c r="Q733" s="14"/>
      <c r="R733" s="14"/>
    </row>
    <row r="734" spans="1:18" ht="27" customHeight="1">
      <c r="A734" s="13"/>
      <c r="B734" s="6"/>
      <c r="C734" s="6"/>
      <c r="D734" s="8"/>
      <c r="E734" s="6"/>
      <c r="F734" s="8"/>
      <c r="G734" s="6"/>
      <c r="H734" s="14"/>
      <c r="I734" s="14"/>
      <c r="J734" s="14"/>
      <c r="K734" s="14"/>
      <c r="L734" s="14"/>
      <c r="M734" s="14"/>
      <c r="N734" s="14"/>
      <c r="O734" s="14"/>
      <c r="P734" s="14"/>
      <c r="Q734" s="14"/>
      <c r="R734" s="14"/>
    </row>
    <row r="735" spans="1:18" ht="27" customHeight="1">
      <c r="A735" s="13"/>
      <c r="B735" s="6"/>
      <c r="C735" s="6"/>
      <c r="D735" s="8"/>
      <c r="E735" s="6"/>
      <c r="F735" s="8"/>
      <c r="G735" s="6"/>
      <c r="H735" s="14"/>
      <c r="I735" s="14"/>
      <c r="J735" s="14"/>
      <c r="K735" s="14"/>
      <c r="L735" s="14"/>
      <c r="M735" s="14"/>
      <c r="N735" s="14"/>
      <c r="O735" s="14"/>
      <c r="P735" s="14"/>
      <c r="Q735" s="14"/>
      <c r="R735" s="14"/>
    </row>
    <row r="736" spans="1:18" ht="27" customHeight="1">
      <c r="A736" s="13"/>
      <c r="B736" s="6"/>
      <c r="C736" s="6"/>
      <c r="D736" s="8"/>
      <c r="E736" s="6"/>
      <c r="F736" s="8"/>
      <c r="G736" s="6"/>
      <c r="H736" s="14"/>
      <c r="I736" s="14"/>
      <c r="J736" s="14"/>
      <c r="K736" s="14"/>
      <c r="L736" s="14"/>
      <c r="M736" s="14"/>
      <c r="N736" s="14"/>
      <c r="O736" s="14"/>
      <c r="P736" s="14"/>
      <c r="Q736" s="14"/>
      <c r="R736" s="14"/>
    </row>
    <row r="737" spans="1:18" ht="27" customHeight="1">
      <c r="A737" s="13"/>
      <c r="B737" s="6"/>
      <c r="C737" s="6"/>
      <c r="D737" s="8"/>
      <c r="E737" s="6"/>
      <c r="F737" s="8"/>
      <c r="G737" s="6"/>
      <c r="H737" s="14"/>
      <c r="I737" s="14"/>
      <c r="J737" s="14"/>
      <c r="K737" s="14"/>
      <c r="L737" s="14"/>
      <c r="M737" s="14"/>
      <c r="N737" s="14"/>
      <c r="O737" s="14"/>
      <c r="P737" s="14"/>
      <c r="Q737" s="14"/>
      <c r="R737" s="14"/>
    </row>
    <row r="738" spans="1:18" ht="27" customHeight="1">
      <c r="A738" s="13"/>
      <c r="B738" s="6"/>
      <c r="C738" s="6"/>
      <c r="D738" s="8"/>
      <c r="E738" s="6"/>
      <c r="F738" s="8"/>
      <c r="G738" s="6"/>
      <c r="H738" s="14"/>
      <c r="I738" s="14"/>
      <c r="J738" s="14"/>
      <c r="K738" s="14"/>
      <c r="L738" s="14"/>
      <c r="M738" s="14"/>
      <c r="N738" s="14"/>
      <c r="O738" s="14"/>
      <c r="P738" s="14"/>
      <c r="Q738" s="14"/>
      <c r="R738" s="14"/>
    </row>
    <row r="739" spans="1:18" ht="27" customHeight="1">
      <c r="A739" s="13"/>
      <c r="B739" s="6"/>
      <c r="C739" s="6"/>
      <c r="D739" s="8"/>
      <c r="E739" s="6"/>
      <c r="F739" s="8"/>
      <c r="G739" s="6"/>
      <c r="H739" s="14"/>
      <c r="I739" s="14"/>
      <c r="J739" s="14"/>
      <c r="K739" s="14"/>
      <c r="L739" s="14"/>
      <c r="M739" s="14"/>
      <c r="N739" s="14"/>
      <c r="O739" s="14"/>
      <c r="P739" s="14"/>
      <c r="Q739" s="14"/>
      <c r="R739" s="14"/>
    </row>
    <row r="740" spans="1:18" ht="27" customHeight="1">
      <c r="A740" s="13"/>
      <c r="B740" s="6"/>
      <c r="C740" s="6"/>
      <c r="D740" s="8"/>
      <c r="E740" s="6"/>
      <c r="F740" s="8"/>
      <c r="G740" s="6"/>
      <c r="H740" s="14"/>
      <c r="I740" s="14"/>
      <c r="J740" s="14"/>
      <c r="K740" s="14"/>
      <c r="L740" s="14"/>
      <c r="M740" s="14"/>
      <c r="N740" s="14"/>
      <c r="O740" s="14"/>
      <c r="P740" s="14"/>
      <c r="Q740" s="14"/>
      <c r="R740" s="14"/>
    </row>
    <row r="741" spans="1:18" ht="27" customHeight="1">
      <c r="A741" s="13"/>
      <c r="B741" s="6"/>
      <c r="C741" s="6"/>
      <c r="D741" s="8"/>
      <c r="E741" s="6"/>
      <c r="F741" s="8"/>
      <c r="G741" s="6"/>
      <c r="H741" s="14"/>
      <c r="I741" s="14"/>
      <c r="J741" s="14"/>
      <c r="K741" s="14"/>
      <c r="L741" s="14"/>
      <c r="M741" s="14"/>
      <c r="N741" s="14"/>
      <c r="O741" s="14"/>
      <c r="P741" s="14"/>
      <c r="Q741" s="14"/>
      <c r="R741" s="14"/>
    </row>
    <row r="742" spans="1:18" ht="27" customHeight="1">
      <c r="A742" s="13"/>
      <c r="B742" s="6"/>
      <c r="C742" s="6"/>
      <c r="D742" s="8"/>
      <c r="E742" s="6"/>
      <c r="F742" s="8"/>
      <c r="G742" s="6"/>
      <c r="H742" s="14"/>
      <c r="I742" s="14"/>
      <c r="J742" s="14"/>
      <c r="K742" s="14"/>
      <c r="L742" s="14"/>
      <c r="M742" s="14"/>
      <c r="N742" s="14"/>
      <c r="O742" s="14"/>
      <c r="P742" s="14"/>
      <c r="Q742" s="14"/>
      <c r="R742" s="14"/>
    </row>
    <row r="743" spans="1:18" ht="27" customHeight="1">
      <c r="A743" s="13"/>
      <c r="B743" s="6"/>
      <c r="C743" s="6"/>
      <c r="D743" s="8"/>
      <c r="E743" s="6"/>
      <c r="F743" s="8"/>
      <c r="G743" s="6"/>
      <c r="H743" s="14"/>
      <c r="I743" s="14"/>
      <c r="J743" s="14"/>
      <c r="K743" s="14"/>
      <c r="L743" s="14"/>
      <c r="M743" s="14"/>
      <c r="N743" s="14"/>
      <c r="O743" s="14"/>
      <c r="P743" s="14"/>
      <c r="Q743" s="14"/>
      <c r="R743" s="14"/>
    </row>
    <row r="744" spans="1:18" ht="27" customHeight="1">
      <c r="A744" s="13"/>
      <c r="B744" s="6"/>
      <c r="C744" s="6"/>
      <c r="D744" s="8"/>
      <c r="E744" s="6"/>
      <c r="F744" s="8"/>
      <c r="G744" s="6"/>
      <c r="H744" s="14"/>
      <c r="I744" s="14"/>
      <c r="J744" s="14"/>
      <c r="K744" s="14"/>
      <c r="L744" s="14"/>
      <c r="M744" s="14"/>
      <c r="N744" s="14"/>
      <c r="O744" s="14"/>
      <c r="P744" s="14"/>
      <c r="Q744" s="14"/>
      <c r="R744" s="14"/>
    </row>
    <row r="745" spans="1:18" ht="27" customHeight="1">
      <c r="A745" s="13"/>
      <c r="B745" s="6"/>
      <c r="C745" s="6"/>
      <c r="D745" s="8"/>
      <c r="E745" s="6"/>
      <c r="F745" s="8"/>
      <c r="G745" s="6"/>
      <c r="H745" s="14"/>
      <c r="I745" s="14"/>
      <c r="J745" s="14"/>
      <c r="K745" s="14"/>
      <c r="L745" s="14"/>
      <c r="M745" s="14"/>
      <c r="N745" s="14"/>
      <c r="O745" s="14"/>
      <c r="P745" s="14"/>
      <c r="Q745" s="14"/>
      <c r="R745" s="14"/>
    </row>
    <row r="746" spans="1:18" ht="27" customHeight="1">
      <c r="A746" s="13"/>
      <c r="B746" s="6"/>
      <c r="C746" s="6"/>
      <c r="D746" s="8"/>
      <c r="E746" s="6"/>
      <c r="F746" s="8"/>
      <c r="G746" s="6"/>
      <c r="H746" s="14"/>
      <c r="I746" s="14"/>
      <c r="J746" s="14"/>
      <c r="K746" s="14"/>
      <c r="L746" s="14"/>
      <c r="M746" s="14"/>
      <c r="N746" s="14"/>
      <c r="O746" s="14"/>
      <c r="P746" s="14"/>
      <c r="Q746" s="14"/>
      <c r="R746" s="14"/>
    </row>
    <row r="747" spans="1:18" ht="27" customHeight="1">
      <c r="A747" s="13"/>
      <c r="B747" s="6"/>
      <c r="C747" s="6"/>
      <c r="D747" s="8"/>
      <c r="E747" s="6"/>
      <c r="F747" s="8"/>
      <c r="G747" s="6"/>
      <c r="H747" s="14"/>
      <c r="I747" s="14"/>
      <c r="J747" s="14"/>
      <c r="K747" s="14"/>
      <c r="L747" s="14"/>
      <c r="M747" s="14"/>
      <c r="N747" s="14"/>
      <c r="O747" s="14"/>
      <c r="P747" s="14"/>
      <c r="Q747" s="14"/>
      <c r="R747" s="14"/>
    </row>
    <row r="748" spans="1:18" ht="27" customHeight="1">
      <c r="A748" s="13"/>
      <c r="B748" s="6"/>
      <c r="C748" s="6"/>
      <c r="D748" s="8"/>
      <c r="E748" s="6"/>
      <c r="F748" s="8"/>
      <c r="G748" s="6"/>
      <c r="H748" s="14"/>
      <c r="I748" s="14"/>
      <c r="J748" s="14"/>
      <c r="K748" s="14"/>
      <c r="L748" s="14"/>
      <c r="M748" s="14"/>
      <c r="N748" s="14"/>
      <c r="O748" s="14"/>
      <c r="P748" s="14"/>
      <c r="Q748" s="14"/>
      <c r="R748" s="14"/>
    </row>
    <row r="749" spans="1:18" ht="27" customHeight="1">
      <c r="A749" s="13"/>
      <c r="B749" s="6"/>
      <c r="C749" s="6"/>
      <c r="D749" s="8"/>
      <c r="E749" s="6"/>
      <c r="F749" s="8"/>
      <c r="G749" s="6"/>
      <c r="H749" s="14"/>
      <c r="I749" s="14"/>
      <c r="J749" s="14"/>
      <c r="K749" s="14"/>
      <c r="L749" s="14"/>
      <c r="M749" s="14"/>
      <c r="N749" s="14"/>
      <c r="O749" s="14"/>
      <c r="P749" s="14"/>
      <c r="Q749" s="14"/>
      <c r="R749" s="14"/>
    </row>
    <row r="750" spans="1:18" ht="27" customHeight="1">
      <c r="A750" s="13"/>
      <c r="B750" s="6"/>
      <c r="C750" s="6"/>
      <c r="D750" s="8"/>
      <c r="E750" s="6"/>
      <c r="F750" s="8"/>
      <c r="G750" s="6"/>
      <c r="H750" s="14"/>
      <c r="I750" s="14"/>
      <c r="J750" s="14"/>
      <c r="K750" s="14"/>
      <c r="L750" s="14"/>
      <c r="M750" s="14"/>
      <c r="N750" s="14"/>
      <c r="O750" s="14"/>
      <c r="P750" s="14"/>
      <c r="Q750" s="14"/>
      <c r="R750" s="14"/>
    </row>
    <row r="751" spans="1:18" ht="27" customHeight="1">
      <c r="A751" s="13"/>
      <c r="B751" s="6"/>
      <c r="C751" s="6"/>
      <c r="D751" s="8"/>
      <c r="E751" s="6"/>
      <c r="F751" s="8"/>
      <c r="G751" s="6"/>
      <c r="H751" s="14"/>
      <c r="I751" s="14"/>
      <c r="J751" s="14"/>
      <c r="K751" s="14"/>
      <c r="L751" s="14"/>
      <c r="M751" s="14"/>
      <c r="N751" s="14"/>
      <c r="O751" s="14"/>
      <c r="P751" s="14"/>
      <c r="Q751" s="14"/>
      <c r="R751" s="14"/>
    </row>
    <row r="752" spans="1:18" ht="27" customHeight="1">
      <c r="A752" s="13"/>
      <c r="B752" s="6"/>
      <c r="C752" s="6"/>
      <c r="D752" s="8"/>
      <c r="E752" s="6"/>
      <c r="F752" s="8"/>
      <c r="G752" s="6"/>
      <c r="H752" s="14"/>
      <c r="I752" s="14"/>
      <c r="J752" s="14"/>
      <c r="K752" s="14"/>
      <c r="L752" s="14"/>
      <c r="M752" s="14"/>
      <c r="N752" s="14"/>
      <c r="O752" s="14"/>
      <c r="P752" s="14"/>
      <c r="Q752" s="14"/>
      <c r="R752" s="14"/>
    </row>
    <row r="753" spans="1:18" ht="27" customHeight="1">
      <c r="A753" s="13"/>
      <c r="B753" s="6"/>
      <c r="C753" s="6"/>
      <c r="D753" s="8"/>
      <c r="E753" s="6"/>
      <c r="F753" s="8"/>
      <c r="G753" s="6"/>
      <c r="H753" s="14"/>
      <c r="I753" s="14"/>
      <c r="J753" s="14"/>
      <c r="K753" s="14"/>
      <c r="L753" s="14"/>
      <c r="M753" s="14"/>
      <c r="N753" s="14"/>
      <c r="O753" s="14"/>
      <c r="P753" s="14"/>
      <c r="Q753" s="14"/>
      <c r="R753" s="14"/>
    </row>
    <row r="754" spans="1:18" ht="27" customHeight="1">
      <c r="A754" s="13"/>
      <c r="B754" s="6"/>
      <c r="C754" s="6"/>
      <c r="D754" s="8"/>
      <c r="E754" s="6"/>
      <c r="F754" s="8"/>
      <c r="G754" s="6"/>
      <c r="H754" s="14"/>
      <c r="I754" s="14"/>
      <c r="J754" s="14"/>
      <c r="K754" s="14"/>
      <c r="L754" s="14"/>
      <c r="M754" s="14"/>
      <c r="N754" s="14"/>
      <c r="O754" s="14"/>
      <c r="P754" s="14"/>
      <c r="Q754" s="14"/>
      <c r="R754" s="14"/>
    </row>
    <row r="755" spans="1:18" ht="27" customHeight="1">
      <c r="A755" s="13"/>
      <c r="B755" s="6"/>
      <c r="C755" s="6"/>
      <c r="D755" s="8"/>
      <c r="E755" s="6"/>
      <c r="F755" s="8"/>
      <c r="G755" s="6"/>
      <c r="H755" s="14"/>
      <c r="I755" s="14"/>
      <c r="J755" s="14"/>
      <c r="K755" s="14"/>
      <c r="L755" s="14"/>
      <c r="M755" s="14"/>
      <c r="N755" s="14"/>
      <c r="O755" s="14"/>
      <c r="P755" s="14"/>
      <c r="Q755" s="14"/>
      <c r="R755" s="14"/>
    </row>
    <row r="756" spans="1:18" ht="27" customHeight="1">
      <c r="A756" s="13"/>
      <c r="B756" s="6"/>
      <c r="C756" s="6"/>
      <c r="D756" s="8"/>
      <c r="E756" s="6"/>
      <c r="F756" s="8"/>
      <c r="G756" s="6"/>
      <c r="H756" s="14"/>
      <c r="I756" s="14"/>
      <c r="J756" s="14"/>
      <c r="K756" s="14"/>
      <c r="L756" s="14"/>
      <c r="M756" s="14"/>
      <c r="N756" s="14"/>
      <c r="O756" s="14"/>
      <c r="P756" s="14"/>
      <c r="Q756" s="14"/>
      <c r="R756" s="14"/>
    </row>
    <row r="757" spans="1:18" ht="27" customHeight="1">
      <c r="A757" s="13"/>
      <c r="B757" s="6"/>
      <c r="C757" s="6"/>
      <c r="D757" s="8"/>
      <c r="E757" s="6"/>
      <c r="F757" s="8"/>
      <c r="G757" s="6"/>
      <c r="H757" s="14"/>
      <c r="I757" s="14"/>
      <c r="J757" s="14"/>
      <c r="K757" s="14"/>
      <c r="L757" s="14"/>
      <c r="M757" s="14"/>
      <c r="N757" s="14"/>
      <c r="O757" s="14"/>
      <c r="P757" s="14"/>
      <c r="Q757" s="14"/>
      <c r="R757" s="14"/>
    </row>
    <row r="758" spans="1:18" ht="27" customHeight="1">
      <c r="A758" s="13"/>
      <c r="B758" s="6"/>
      <c r="C758" s="6"/>
      <c r="D758" s="8"/>
      <c r="E758" s="6"/>
      <c r="F758" s="8"/>
      <c r="G758" s="6"/>
      <c r="H758" s="14"/>
      <c r="I758" s="14"/>
      <c r="J758" s="14"/>
      <c r="K758" s="14"/>
      <c r="L758" s="14"/>
      <c r="M758" s="14"/>
      <c r="N758" s="14"/>
      <c r="O758" s="14"/>
      <c r="P758" s="14"/>
      <c r="Q758" s="14"/>
      <c r="R758" s="14"/>
    </row>
    <row r="759" spans="1:18" ht="27" customHeight="1">
      <c r="A759" s="13"/>
      <c r="B759" s="6"/>
      <c r="C759" s="6"/>
      <c r="D759" s="8"/>
      <c r="E759" s="6"/>
      <c r="F759" s="8"/>
      <c r="G759" s="6"/>
      <c r="H759" s="14"/>
      <c r="I759" s="14"/>
      <c r="J759" s="14"/>
      <c r="K759" s="14"/>
      <c r="L759" s="14"/>
      <c r="M759" s="14"/>
      <c r="N759" s="14"/>
      <c r="O759" s="14"/>
      <c r="P759" s="14"/>
      <c r="Q759" s="14"/>
      <c r="R759" s="14"/>
    </row>
    <row r="760" spans="1:18" ht="27" customHeight="1">
      <c r="A760" s="13"/>
      <c r="B760" s="6"/>
      <c r="C760" s="6"/>
      <c r="D760" s="8"/>
      <c r="E760" s="6"/>
      <c r="F760" s="8"/>
      <c r="G760" s="6"/>
      <c r="H760" s="14"/>
      <c r="I760" s="14"/>
      <c r="J760" s="14"/>
      <c r="K760" s="14"/>
      <c r="L760" s="14"/>
      <c r="M760" s="14"/>
      <c r="N760" s="14"/>
      <c r="O760" s="14"/>
      <c r="P760" s="14"/>
      <c r="Q760" s="14"/>
      <c r="R760" s="14"/>
    </row>
    <row r="761" spans="1:18" ht="27" customHeight="1">
      <c r="A761" s="13"/>
      <c r="B761" s="6"/>
      <c r="C761" s="6"/>
      <c r="D761" s="8"/>
      <c r="E761" s="6"/>
      <c r="F761" s="8"/>
      <c r="G761" s="6"/>
      <c r="H761" s="14"/>
      <c r="I761" s="14"/>
      <c r="J761" s="14"/>
      <c r="K761" s="14"/>
      <c r="L761" s="14"/>
      <c r="M761" s="14"/>
      <c r="N761" s="14"/>
      <c r="O761" s="14"/>
      <c r="P761" s="14"/>
      <c r="Q761" s="14"/>
      <c r="R761" s="14"/>
    </row>
    <row r="762" spans="1:18" ht="27" customHeight="1">
      <c r="A762" s="13"/>
      <c r="B762" s="6"/>
      <c r="C762" s="6"/>
      <c r="D762" s="8"/>
      <c r="E762" s="6"/>
      <c r="F762" s="8"/>
      <c r="G762" s="6"/>
      <c r="H762" s="14"/>
      <c r="I762" s="14"/>
      <c r="J762" s="14"/>
      <c r="K762" s="14"/>
      <c r="L762" s="14"/>
      <c r="M762" s="14"/>
      <c r="N762" s="14"/>
      <c r="O762" s="14"/>
      <c r="P762" s="14"/>
      <c r="Q762" s="14"/>
      <c r="R762" s="14"/>
    </row>
    <row r="763" spans="1:18" ht="27" customHeight="1">
      <c r="A763" s="13"/>
      <c r="B763" s="6"/>
      <c r="C763" s="6"/>
      <c r="D763" s="8"/>
      <c r="E763" s="6"/>
      <c r="F763" s="8"/>
      <c r="G763" s="6"/>
      <c r="H763" s="14"/>
      <c r="I763" s="14"/>
      <c r="J763" s="14"/>
      <c r="K763" s="14"/>
      <c r="L763" s="14"/>
      <c r="M763" s="14"/>
      <c r="N763" s="14"/>
      <c r="O763" s="14"/>
      <c r="P763" s="14"/>
      <c r="Q763" s="14"/>
      <c r="R763" s="14"/>
    </row>
    <row r="764" spans="1:18" ht="27" customHeight="1">
      <c r="A764" s="13"/>
      <c r="B764" s="6"/>
      <c r="C764" s="6"/>
      <c r="D764" s="8"/>
      <c r="E764" s="6"/>
      <c r="F764" s="8"/>
      <c r="G764" s="6"/>
      <c r="H764" s="14"/>
      <c r="I764" s="14"/>
      <c r="J764" s="14"/>
      <c r="K764" s="14"/>
      <c r="L764" s="14"/>
      <c r="M764" s="14"/>
      <c r="N764" s="14"/>
      <c r="O764" s="14"/>
      <c r="P764" s="14"/>
      <c r="Q764" s="14"/>
      <c r="R764" s="14"/>
    </row>
    <row r="765" spans="1:18" ht="27" customHeight="1">
      <c r="A765" s="13"/>
      <c r="B765" s="6"/>
      <c r="C765" s="6"/>
      <c r="D765" s="8"/>
      <c r="E765" s="6"/>
      <c r="F765" s="8"/>
      <c r="G765" s="6"/>
      <c r="H765" s="14"/>
      <c r="I765" s="14"/>
      <c r="J765" s="14"/>
      <c r="K765" s="14"/>
      <c r="L765" s="14"/>
      <c r="M765" s="14"/>
      <c r="N765" s="14"/>
      <c r="O765" s="14"/>
      <c r="P765" s="14"/>
      <c r="Q765" s="14"/>
      <c r="R765" s="14"/>
    </row>
    <row r="766" spans="1:18" ht="27" customHeight="1">
      <c r="A766" s="13"/>
      <c r="B766" s="6"/>
      <c r="C766" s="6"/>
      <c r="D766" s="8"/>
      <c r="E766" s="6"/>
      <c r="F766" s="8"/>
      <c r="G766" s="6"/>
      <c r="H766" s="14"/>
      <c r="I766" s="14"/>
      <c r="J766" s="14"/>
      <c r="K766" s="14"/>
      <c r="L766" s="14"/>
      <c r="M766" s="14"/>
      <c r="N766" s="14"/>
      <c r="O766" s="14"/>
      <c r="P766" s="14"/>
      <c r="Q766" s="14"/>
      <c r="R766" s="14"/>
    </row>
    <row r="767" spans="1:18" ht="27" customHeight="1">
      <c r="A767" s="13"/>
      <c r="B767" s="6"/>
      <c r="C767" s="6"/>
      <c r="D767" s="8"/>
      <c r="E767" s="6"/>
      <c r="F767" s="8"/>
      <c r="G767" s="6"/>
      <c r="H767" s="14"/>
      <c r="I767" s="14"/>
      <c r="J767" s="14"/>
      <c r="K767" s="14"/>
      <c r="L767" s="14"/>
      <c r="M767" s="14"/>
      <c r="N767" s="14"/>
      <c r="O767" s="14"/>
      <c r="P767" s="14"/>
      <c r="Q767" s="14"/>
      <c r="R767" s="14"/>
    </row>
    <row r="768" spans="1:18" ht="27" customHeight="1">
      <c r="A768" s="13"/>
      <c r="B768" s="6"/>
      <c r="C768" s="6"/>
      <c r="D768" s="8"/>
      <c r="E768" s="6"/>
      <c r="F768" s="8"/>
      <c r="G768" s="6"/>
      <c r="H768" s="14"/>
      <c r="I768" s="14"/>
      <c r="J768" s="14"/>
      <c r="K768" s="14"/>
      <c r="L768" s="14"/>
      <c r="M768" s="14"/>
      <c r="N768" s="14"/>
      <c r="O768" s="14"/>
      <c r="P768" s="14"/>
      <c r="Q768" s="14"/>
      <c r="R768" s="14"/>
    </row>
    <row r="769" spans="1:18" ht="27" customHeight="1">
      <c r="A769" s="13"/>
      <c r="B769" s="6"/>
      <c r="C769" s="6"/>
      <c r="D769" s="8"/>
      <c r="E769" s="6"/>
      <c r="F769" s="8"/>
      <c r="G769" s="6"/>
      <c r="H769" s="14"/>
      <c r="I769" s="14"/>
      <c r="J769" s="14"/>
      <c r="K769" s="14"/>
      <c r="L769" s="14"/>
      <c r="M769" s="14"/>
      <c r="N769" s="14"/>
      <c r="O769" s="14"/>
      <c r="P769" s="14"/>
      <c r="Q769" s="14"/>
      <c r="R769" s="14"/>
    </row>
    <row r="770" spans="1:18" ht="27" customHeight="1">
      <c r="A770" s="13"/>
      <c r="B770" s="6"/>
      <c r="C770" s="6"/>
      <c r="D770" s="8"/>
      <c r="E770" s="6"/>
      <c r="F770" s="8"/>
      <c r="G770" s="6"/>
      <c r="H770" s="14"/>
      <c r="I770" s="14"/>
      <c r="J770" s="14"/>
      <c r="K770" s="14"/>
      <c r="L770" s="14"/>
      <c r="M770" s="14"/>
      <c r="N770" s="14"/>
      <c r="O770" s="14"/>
      <c r="P770" s="14"/>
      <c r="Q770" s="14"/>
      <c r="R770" s="14"/>
    </row>
    <row r="771" spans="1:18" ht="27" customHeight="1">
      <c r="A771" s="13"/>
      <c r="B771" s="6"/>
      <c r="C771" s="6"/>
      <c r="D771" s="8"/>
      <c r="E771" s="6"/>
      <c r="F771" s="8"/>
      <c r="G771" s="6"/>
      <c r="H771" s="14"/>
      <c r="I771" s="14"/>
      <c r="J771" s="14"/>
      <c r="K771" s="14"/>
      <c r="L771" s="14"/>
      <c r="M771" s="14"/>
      <c r="N771" s="14"/>
      <c r="O771" s="14"/>
      <c r="P771" s="14"/>
      <c r="Q771" s="14"/>
      <c r="R771" s="14"/>
    </row>
    <row r="772" spans="1:18" ht="27" customHeight="1">
      <c r="A772" s="13"/>
      <c r="B772" s="6"/>
      <c r="C772" s="6"/>
      <c r="D772" s="8"/>
      <c r="E772" s="6"/>
      <c r="F772" s="8"/>
      <c r="G772" s="6"/>
      <c r="H772" s="14"/>
      <c r="I772" s="14"/>
      <c r="J772" s="14"/>
      <c r="K772" s="14"/>
      <c r="L772" s="14"/>
      <c r="M772" s="14"/>
      <c r="N772" s="14"/>
      <c r="O772" s="14"/>
      <c r="P772" s="14"/>
      <c r="Q772" s="14"/>
      <c r="R772" s="14"/>
    </row>
    <row r="773" spans="1:18" ht="27" customHeight="1">
      <c r="A773" s="13"/>
      <c r="B773" s="6"/>
      <c r="C773" s="6"/>
      <c r="D773" s="8"/>
      <c r="E773" s="6"/>
      <c r="F773" s="8"/>
      <c r="G773" s="6"/>
      <c r="H773" s="14"/>
      <c r="I773" s="14"/>
      <c r="J773" s="14"/>
      <c r="K773" s="14"/>
      <c r="L773" s="14"/>
      <c r="M773" s="14"/>
      <c r="N773" s="14"/>
      <c r="O773" s="14"/>
      <c r="P773" s="14"/>
      <c r="Q773" s="14"/>
      <c r="R773" s="14"/>
    </row>
    <row r="774" spans="1:18" ht="27" customHeight="1">
      <c r="A774" s="13"/>
      <c r="B774" s="6"/>
      <c r="C774" s="6"/>
      <c r="D774" s="8"/>
      <c r="E774" s="6"/>
      <c r="F774" s="8"/>
      <c r="G774" s="6"/>
      <c r="H774" s="14"/>
      <c r="I774" s="14"/>
      <c r="J774" s="14"/>
      <c r="K774" s="14"/>
      <c r="L774" s="14"/>
      <c r="M774" s="14"/>
      <c r="N774" s="14"/>
      <c r="O774" s="14"/>
      <c r="P774" s="14"/>
      <c r="Q774" s="14"/>
      <c r="R774" s="14"/>
    </row>
    <row r="775" spans="1:18" ht="27" customHeight="1">
      <c r="A775" s="13"/>
      <c r="B775" s="6"/>
      <c r="C775" s="6"/>
      <c r="D775" s="8"/>
      <c r="E775" s="6"/>
      <c r="F775" s="8"/>
      <c r="G775" s="6"/>
      <c r="H775" s="14"/>
      <c r="I775" s="14"/>
      <c r="J775" s="14"/>
      <c r="K775" s="14"/>
      <c r="L775" s="14"/>
      <c r="M775" s="14"/>
      <c r="N775" s="14"/>
      <c r="O775" s="14"/>
      <c r="P775" s="14"/>
      <c r="Q775" s="14"/>
      <c r="R775" s="14"/>
    </row>
    <row r="776" spans="1:18" ht="27" customHeight="1">
      <c r="A776" s="13"/>
      <c r="B776" s="6"/>
      <c r="C776" s="6"/>
      <c r="D776" s="8"/>
      <c r="E776" s="6"/>
      <c r="F776" s="8"/>
      <c r="G776" s="6"/>
      <c r="H776" s="14"/>
      <c r="I776" s="14"/>
      <c r="J776" s="14"/>
      <c r="K776" s="14"/>
      <c r="L776" s="14"/>
      <c r="M776" s="14"/>
      <c r="N776" s="14"/>
      <c r="O776" s="14"/>
      <c r="P776" s="14"/>
      <c r="Q776" s="14"/>
      <c r="R776" s="14"/>
    </row>
    <row r="777" spans="1:18" ht="27" customHeight="1">
      <c r="A777" s="13"/>
      <c r="B777" s="6"/>
      <c r="C777" s="6"/>
      <c r="D777" s="8"/>
      <c r="E777" s="6"/>
      <c r="F777" s="8"/>
      <c r="G777" s="6"/>
      <c r="H777" s="14"/>
      <c r="I777" s="14"/>
      <c r="J777" s="14"/>
      <c r="K777" s="14"/>
      <c r="L777" s="14"/>
      <c r="M777" s="14"/>
      <c r="N777" s="14"/>
      <c r="O777" s="14"/>
      <c r="P777" s="14"/>
      <c r="Q777" s="14"/>
      <c r="R777" s="14"/>
    </row>
    <row r="778" spans="1:18" ht="27" customHeight="1">
      <c r="A778" s="13"/>
      <c r="B778" s="6"/>
      <c r="C778" s="6"/>
      <c r="D778" s="8"/>
      <c r="E778" s="6"/>
      <c r="F778" s="8"/>
      <c r="G778" s="6"/>
      <c r="H778" s="14"/>
      <c r="I778" s="14"/>
      <c r="J778" s="14"/>
      <c r="K778" s="14"/>
      <c r="L778" s="14"/>
      <c r="M778" s="14"/>
      <c r="N778" s="14"/>
      <c r="O778" s="14"/>
      <c r="P778" s="14"/>
      <c r="Q778" s="14"/>
      <c r="R778" s="14"/>
    </row>
    <row r="779" spans="1:18" ht="27" customHeight="1">
      <c r="A779" s="13"/>
      <c r="B779" s="6"/>
      <c r="C779" s="6"/>
      <c r="D779" s="8"/>
      <c r="E779" s="6"/>
      <c r="F779" s="8"/>
      <c r="G779" s="6"/>
      <c r="H779" s="14"/>
      <c r="I779" s="14"/>
      <c r="J779" s="14"/>
      <c r="K779" s="14"/>
      <c r="L779" s="14"/>
      <c r="M779" s="14"/>
      <c r="N779" s="14"/>
      <c r="O779" s="14"/>
      <c r="P779" s="14"/>
      <c r="Q779" s="14"/>
      <c r="R779" s="14"/>
    </row>
    <row r="780" spans="1:18" ht="27" customHeight="1">
      <c r="A780" s="13"/>
      <c r="B780" s="6"/>
      <c r="C780" s="6"/>
      <c r="D780" s="8"/>
      <c r="E780" s="6"/>
      <c r="F780" s="8"/>
      <c r="G780" s="6"/>
      <c r="H780" s="14"/>
      <c r="I780" s="14"/>
      <c r="J780" s="14"/>
      <c r="K780" s="14"/>
      <c r="L780" s="14"/>
      <c r="M780" s="14"/>
      <c r="N780" s="14"/>
      <c r="O780" s="14"/>
      <c r="P780" s="14"/>
      <c r="Q780" s="14"/>
      <c r="R780" s="14"/>
    </row>
    <row r="781" spans="1:18" ht="27" customHeight="1">
      <c r="A781" s="13"/>
      <c r="B781" s="6"/>
      <c r="C781" s="6"/>
      <c r="D781" s="8"/>
      <c r="E781" s="6"/>
      <c r="F781" s="8"/>
      <c r="G781" s="6"/>
      <c r="H781" s="14"/>
      <c r="I781" s="14"/>
      <c r="J781" s="14"/>
      <c r="K781" s="14"/>
      <c r="L781" s="14"/>
      <c r="M781" s="14"/>
      <c r="N781" s="14"/>
      <c r="O781" s="14"/>
      <c r="P781" s="14"/>
      <c r="Q781" s="14"/>
      <c r="R781" s="14"/>
    </row>
    <row r="782" spans="1:18" ht="27" customHeight="1">
      <c r="A782" s="13"/>
      <c r="B782" s="6"/>
      <c r="C782" s="6"/>
      <c r="D782" s="8"/>
      <c r="E782" s="6"/>
      <c r="F782" s="8"/>
      <c r="G782" s="6"/>
      <c r="H782" s="14"/>
      <c r="I782" s="14"/>
      <c r="J782" s="14"/>
      <c r="K782" s="14"/>
      <c r="L782" s="14"/>
      <c r="M782" s="14"/>
      <c r="N782" s="14"/>
      <c r="O782" s="14"/>
      <c r="P782" s="14"/>
      <c r="Q782" s="14"/>
      <c r="R782" s="14"/>
    </row>
    <row r="783" spans="1:18" ht="27" customHeight="1">
      <c r="A783" s="13"/>
      <c r="B783" s="6"/>
      <c r="C783" s="6"/>
      <c r="D783" s="8"/>
      <c r="E783" s="6"/>
      <c r="F783" s="8"/>
      <c r="G783" s="6"/>
      <c r="H783" s="14"/>
      <c r="I783" s="14"/>
      <c r="J783" s="14"/>
      <c r="K783" s="14"/>
      <c r="L783" s="14"/>
      <c r="M783" s="14"/>
      <c r="N783" s="14"/>
      <c r="O783" s="14"/>
      <c r="P783" s="14"/>
      <c r="Q783" s="14"/>
      <c r="R783" s="14"/>
    </row>
    <row r="784" spans="1:18" ht="27" customHeight="1">
      <c r="A784" s="13"/>
      <c r="B784" s="6"/>
      <c r="C784" s="6"/>
      <c r="D784" s="8"/>
      <c r="E784" s="6"/>
      <c r="F784" s="8"/>
      <c r="G784" s="6"/>
      <c r="H784" s="14"/>
      <c r="I784" s="14"/>
      <c r="J784" s="14"/>
      <c r="K784" s="14"/>
      <c r="L784" s="14"/>
      <c r="M784" s="14"/>
      <c r="N784" s="14"/>
      <c r="O784" s="14"/>
      <c r="P784" s="14"/>
      <c r="Q784" s="14"/>
      <c r="R784" s="14"/>
    </row>
    <row r="785" spans="1:18" ht="27" customHeight="1">
      <c r="A785" s="13"/>
      <c r="B785" s="6"/>
      <c r="C785" s="6"/>
      <c r="D785" s="8"/>
      <c r="E785" s="6"/>
      <c r="F785" s="8"/>
      <c r="G785" s="6"/>
      <c r="H785" s="14"/>
      <c r="I785" s="14"/>
      <c r="J785" s="14"/>
      <c r="K785" s="14"/>
      <c r="L785" s="14"/>
      <c r="M785" s="14"/>
      <c r="N785" s="14"/>
      <c r="O785" s="14"/>
      <c r="P785" s="14"/>
      <c r="Q785" s="14"/>
      <c r="R785" s="14"/>
    </row>
    <row r="786" spans="1:18" ht="27" customHeight="1">
      <c r="A786" s="13"/>
      <c r="B786" s="6"/>
      <c r="C786" s="6"/>
      <c r="D786" s="8"/>
      <c r="E786" s="6"/>
      <c r="F786" s="8"/>
      <c r="G786" s="6"/>
      <c r="H786" s="14"/>
      <c r="I786" s="14"/>
      <c r="J786" s="14"/>
      <c r="K786" s="14"/>
      <c r="L786" s="14"/>
      <c r="M786" s="14"/>
      <c r="N786" s="14"/>
      <c r="O786" s="14"/>
      <c r="P786" s="14"/>
      <c r="Q786" s="14"/>
      <c r="R786" s="14"/>
    </row>
    <row r="787" spans="1:18" ht="27" customHeight="1">
      <c r="A787" s="13"/>
      <c r="B787" s="6"/>
      <c r="C787" s="6"/>
      <c r="D787" s="8"/>
      <c r="E787" s="6"/>
      <c r="F787" s="8"/>
      <c r="G787" s="6"/>
      <c r="H787" s="14"/>
      <c r="I787" s="14"/>
      <c r="J787" s="14"/>
      <c r="K787" s="14"/>
      <c r="L787" s="14"/>
      <c r="M787" s="14"/>
      <c r="N787" s="14"/>
      <c r="O787" s="14"/>
      <c r="P787" s="14"/>
      <c r="Q787" s="14"/>
      <c r="R787" s="14"/>
    </row>
    <row r="788" spans="1:18" ht="27" customHeight="1">
      <c r="A788" s="13"/>
      <c r="B788" s="6"/>
      <c r="C788" s="6"/>
      <c r="D788" s="8"/>
      <c r="E788" s="6"/>
      <c r="F788" s="8"/>
      <c r="G788" s="6"/>
      <c r="H788" s="14"/>
      <c r="I788" s="14"/>
      <c r="J788" s="14"/>
      <c r="K788" s="14"/>
      <c r="L788" s="14"/>
      <c r="M788" s="14"/>
      <c r="N788" s="14"/>
      <c r="O788" s="14"/>
      <c r="P788" s="14"/>
      <c r="Q788" s="14"/>
      <c r="R788" s="14"/>
    </row>
    <row r="789" spans="1:18" ht="27" customHeight="1">
      <c r="A789" s="13"/>
      <c r="B789" s="6"/>
      <c r="C789" s="6"/>
      <c r="D789" s="8"/>
      <c r="E789" s="6"/>
      <c r="F789" s="8"/>
      <c r="G789" s="6"/>
      <c r="H789" s="14"/>
      <c r="I789" s="14"/>
      <c r="J789" s="14"/>
      <c r="K789" s="14"/>
      <c r="L789" s="14"/>
      <c r="M789" s="14"/>
      <c r="N789" s="14"/>
      <c r="O789" s="14"/>
      <c r="P789" s="14"/>
      <c r="Q789" s="14"/>
      <c r="R789" s="14"/>
    </row>
    <row r="790" spans="1:18" ht="27" customHeight="1">
      <c r="A790" s="13"/>
      <c r="B790" s="6"/>
      <c r="C790" s="6"/>
      <c r="D790" s="8"/>
      <c r="E790" s="6"/>
      <c r="F790" s="8"/>
      <c r="G790" s="6"/>
      <c r="H790" s="14"/>
      <c r="I790" s="14"/>
      <c r="J790" s="14"/>
      <c r="K790" s="14"/>
      <c r="L790" s="14"/>
      <c r="M790" s="14"/>
      <c r="N790" s="14"/>
      <c r="O790" s="14"/>
      <c r="P790" s="14"/>
      <c r="Q790" s="14"/>
      <c r="R790" s="14"/>
    </row>
    <row r="791" spans="1:18" ht="27" customHeight="1">
      <c r="A791" s="13"/>
      <c r="B791" s="6"/>
      <c r="C791" s="6"/>
      <c r="D791" s="8"/>
      <c r="E791" s="6"/>
      <c r="F791" s="8"/>
      <c r="G791" s="6"/>
      <c r="H791" s="14"/>
      <c r="I791" s="14"/>
      <c r="J791" s="14"/>
      <c r="K791" s="14"/>
      <c r="L791" s="14"/>
      <c r="M791" s="14"/>
      <c r="N791" s="14"/>
      <c r="O791" s="14"/>
      <c r="P791" s="14"/>
      <c r="Q791" s="14"/>
      <c r="R791" s="14"/>
    </row>
    <row r="792" spans="1:18" ht="27" customHeight="1">
      <c r="A792" s="13"/>
      <c r="B792" s="6"/>
      <c r="C792" s="6"/>
      <c r="D792" s="8"/>
      <c r="E792" s="6"/>
      <c r="F792" s="8"/>
      <c r="G792" s="6"/>
      <c r="H792" s="14"/>
      <c r="I792" s="14"/>
      <c r="J792" s="14"/>
      <c r="K792" s="14"/>
      <c r="L792" s="14"/>
      <c r="M792" s="14"/>
      <c r="N792" s="14"/>
      <c r="O792" s="14"/>
      <c r="P792" s="14"/>
      <c r="Q792" s="14"/>
      <c r="R792" s="14"/>
    </row>
    <row r="793" spans="1:18" ht="27" customHeight="1">
      <c r="A793" s="13"/>
      <c r="B793" s="6"/>
      <c r="C793" s="6"/>
      <c r="D793" s="8"/>
      <c r="E793" s="6"/>
      <c r="F793" s="8"/>
      <c r="G793" s="6"/>
      <c r="H793" s="14"/>
      <c r="I793" s="14"/>
      <c r="J793" s="14"/>
      <c r="K793" s="14"/>
      <c r="L793" s="14"/>
      <c r="M793" s="14"/>
      <c r="N793" s="14"/>
      <c r="O793" s="14"/>
      <c r="P793" s="14"/>
      <c r="Q793" s="14"/>
      <c r="R793" s="14"/>
    </row>
    <row r="794" spans="1:18" ht="27" customHeight="1">
      <c r="A794" s="13"/>
      <c r="B794" s="6"/>
      <c r="C794" s="6"/>
      <c r="D794" s="8"/>
      <c r="E794" s="6"/>
      <c r="F794" s="8"/>
      <c r="G794" s="6"/>
      <c r="H794" s="14"/>
      <c r="I794" s="14"/>
      <c r="J794" s="14"/>
      <c r="K794" s="14"/>
      <c r="L794" s="14"/>
      <c r="M794" s="14"/>
      <c r="N794" s="14"/>
      <c r="O794" s="14"/>
      <c r="P794" s="14"/>
      <c r="Q794" s="14"/>
      <c r="R794" s="14"/>
    </row>
    <row r="795" spans="1:18" ht="27" customHeight="1">
      <c r="A795" s="13"/>
      <c r="B795" s="6"/>
      <c r="C795" s="6"/>
      <c r="D795" s="8"/>
      <c r="E795" s="6"/>
      <c r="F795" s="8"/>
      <c r="G795" s="6"/>
      <c r="H795" s="14"/>
      <c r="I795" s="14"/>
      <c r="J795" s="14"/>
      <c r="K795" s="14"/>
      <c r="L795" s="14"/>
      <c r="M795" s="14"/>
      <c r="N795" s="14"/>
      <c r="O795" s="14"/>
      <c r="P795" s="14"/>
      <c r="Q795" s="14"/>
      <c r="R795" s="14"/>
    </row>
    <row r="796" spans="1:18" ht="27" customHeight="1">
      <c r="A796" s="13"/>
      <c r="B796" s="6"/>
      <c r="C796" s="6"/>
      <c r="D796" s="8"/>
      <c r="E796" s="6"/>
      <c r="F796" s="8"/>
      <c r="G796" s="6"/>
      <c r="H796" s="14"/>
      <c r="I796" s="14"/>
      <c r="J796" s="14"/>
      <c r="K796" s="14"/>
      <c r="L796" s="14"/>
      <c r="M796" s="14"/>
      <c r="N796" s="14"/>
      <c r="O796" s="14"/>
      <c r="P796" s="14"/>
      <c r="Q796" s="14"/>
      <c r="R796" s="14"/>
    </row>
    <row r="797" spans="1:18" ht="27" customHeight="1">
      <c r="A797" s="13"/>
      <c r="B797" s="6"/>
      <c r="C797" s="6"/>
      <c r="D797" s="8"/>
      <c r="E797" s="6"/>
      <c r="F797" s="8"/>
      <c r="G797" s="6"/>
      <c r="H797" s="14"/>
      <c r="I797" s="14"/>
      <c r="J797" s="14"/>
      <c r="K797" s="14"/>
      <c r="L797" s="14"/>
      <c r="M797" s="14"/>
      <c r="N797" s="14"/>
      <c r="O797" s="14"/>
      <c r="P797" s="14"/>
      <c r="Q797" s="14"/>
      <c r="R797" s="14"/>
    </row>
    <row r="798" spans="1:18" ht="27" customHeight="1">
      <c r="A798" s="13"/>
      <c r="B798" s="6"/>
      <c r="C798" s="6"/>
      <c r="D798" s="8"/>
      <c r="E798" s="6"/>
      <c r="F798" s="8"/>
      <c r="G798" s="6"/>
      <c r="H798" s="14"/>
      <c r="I798" s="14"/>
      <c r="J798" s="14"/>
      <c r="K798" s="14"/>
      <c r="L798" s="14"/>
      <c r="M798" s="14"/>
      <c r="N798" s="14"/>
      <c r="O798" s="14"/>
      <c r="P798" s="14"/>
      <c r="Q798" s="14"/>
      <c r="R798" s="14"/>
    </row>
    <row r="799" spans="1:18" ht="27" customHeight="1">
      <c r="A799" s="13"/>
      <c r="B799" s="6"/>
      <c r="C799" s="6"/>
      <c r="D799" s="8"/>
      <c r="E799" s="6"/>
      <c r="F799" s="8"/>
      <c r="G799" s="6"/>
      <c r="H799" s="14"/>
      <c r="I799" s="14"/>
      <c r="J799" s="14"/>
      <c r="K799" s="14"/>
      <c r="L799" s="14"/>
      <c r="M799" s="14"/>
      <c r="N799" s="14"/>
      <c r="O799" s="14"/>
      <c r="P799" s="14"/>
      <c r="Q799" s="14"/>
      <c r="R799" s="14"/>
    </row>
    <row r="800" spans="1:18" ht="27" customHeight="1">
      <c r="A800" s="13"/>
      <c r="B800" s="6"/>
      <c r="C800" s="6"/>
      <c r="D800" s="8"/>
      <c r="E800" s="6"/>
      <c r="F800" s="8"/>
      <c r="G800" s="6"/>
      <c r="H800" s="14"/>
      <c r="I800" s="14"/>
      <c r="J800" s="14"/>
      <c r="K800" s="14"/>
      <c r="L800" s="14"/>
      <c r="M800" s="14"/>
      <c r="N800" s="14"/>
      <c r="O800" s="14"/>
      <c r="P800" s="14"/>
      <c r="Q800" s="14"/>
      <c r="R800" s="14"/>
    </row>
    <row r="801" spans="1:18" ht="27" customHeight="1">
      <c r="A801" s="13"/>
      <c r="B801" s="6"/>
      <c r="C801" s="6"/>
      <c r="D801" s="8"/>
      <c r="E801" s="6"/>
      <c r="F801" s="8"/>
      <c r="G801" s="6"/>
      <c r="H801" s="14"/>
      <c r="I801" s="14"/>
      <c r="J801" s="14"/>
      <c r="K801" s="14"/>
      <c r="L801" s="14"/>
      <c r="M801" s="14"/>
      <c r="N801" s="14"/>
      <c r="O801" s="14"/>
      <c r="P801" s="14"/>
      <c r="Q801" s="14"/>
      <c r="R801" s="14"/>
    </row>
    <row r="802" spans="1:18" ht="27" customHeight="1">
      <c r="A802" s="13"/>
      <c r="B802" s="6"/>
      <c r="C802" s="6"/>
      <c r="D802" s="8"/>
      <c r="E802" s="6"/>
      <c r="F802" s="8"/>
      <c r="G802" s="6"/>
      <c r="H802" s="14"/>
      <c r="I802" s="14"/>
      <c r="J802" s="14"/>
      <c r="K802" s="14"/>
      <c r="L802" s="14"/>
      <c r="M802" s="14"/>
      <c r="N802" s="14"/>
      <c r="O802" s="14"/>
      <c r="P802" s="14"/>
      <c r="Q802" s="14"/>
      <c r="R802" s="14"/>
    </row>
    <row r="803" spans="1:18" ht="27" customHeight="1">
      <c r="A803" s="13"/>
      <c r="B803" s="6"/>
      <c r="C803" s="6"/>
      <c r="D803" s="8"/>
      <c r="E803" s="6"/>
      <c r="F803" s="8"/>
      <c r="G803" s="6"/>
      <c r="H803" s="14"/>
      <c r="I803" s="14"/>
      <c r="J803" s="14"/>
      <c r="K803" s="14"/>
      <c r="L803" s="14"/>
      <c r="M803" s="14"/>
      <c r="N803" s="14"/>
      <c r="O803" s="14"/>
      <c r="P803" s="14"/>
      <c r="Q803" s="14"/>
      <c r="R803" s="14"/>
    </row>
    <row r="804" spans="1:18" ht="27" customHeight="1">
      <c r="A804" s="13"/>
      <c r="B804" s="6"/>
      <c r="C804" s="6"/>
      <c r="D804" s="8"/>
      <c r="E804" s="6"/>
      <c r="F804" s="8"/>
      <c r="G804" s="6"/>
      <c r="H804" s="14"/>
      <c r="I804" s="14"/>
      <c r="J804" s="14"/>
      <c r="K804" s="14"/>
      <c r="L804" s="14"/>
      <c r="M804" s="14"/>
      <c r="N804" s="14"/>
      <c r="O804" s="14"/>
      <c r="P804" s="14"/>
      <c r="Q804" s="14"/>
      <c r="R804" s="14"/>
    </row>
    <row r="805" spans="1:18" ht="27" customHeight="1">
      <c r="A805" s="13"/>
      <c r="B805" s="6"/>
      <c r="C805" s="6"/>
      <c r="D805" s="8"/>
      <c r="E805" s="6"/>
      <c r="F805" s="8"/>
      <c r="G805" s="6"/>
      <c r="H805" s="14"/>
      <c r="I805" s="14"/>
      <c r="J805" s="14"/>
      <c r="K805" s="14"/>
      <c r="L805" s="14"/>
      <c r="M805" s="14"/>
      <c r="N805" s="14"/>
      <c r="O805" s="14"/>
      <c r="P805" s="14"/>
      <c r="Q805" s="14"/>
      <c r="R805" s="14"/>
    </row>
    <row r="806" spans="1:18" ht="27" customHeight="1">
      <c r="A806" s="13"/>
      <c r="B806" s="6"/>
      <c r="C806" s="6"/>
      <c r="D806" s="8"/>
      <c r="E806" s="6"/>
      <c r="F806" s="8"/>
      <c r="G806" s="6"/>
      <c r="H806" s="14"/>
      <c r="I806" s="14"/>
      <c r="J806" s="14"/>
      <c r="K806" s="14"/>
      <c r="L806" s="14"/>
      <c r="M806" s="14"/>
      <c r="N806" s="14"/>
      <c r="O806" s="14"/>
      <c r="P806" s="14"/>
      <c r="Q806" s="14"/>
      <c r="R806" s="14"/>
    </row>
    <row r="807" spans="1:18" ht="27" customHeight="1">
      <c r="A807" s="13"/>
      <c r="B807" s="6"/>
      <c r="C807" s="6"/>
      <c r="D807" s="8"/>
      <c r="E807" s="6"/>
      <c r="F807" s="8"/>
      <c r="G807" s="6"/>
      <c r="H807" s="14"/>
      <c r="I807" s="14"/>
      <c r="J807" s="14"/>
      <c r="K807" s="14"/>
      <c r="L807" s="14"/>
      <c r="M807" s="14"/>
      <c r="N807" s="14"/>
      <c r="O807" s="14"/>
      <c r="P807" s="14"/>
      <c r="Q807" s="14"/>
      <c r="R807" s="14"/>
    </row>
    <row r="808" spans="1:18" ht="27" customHeight="1">
      <c r="A808" s="13"/>
      <c r="B808" s="6"/>
      <c r="C808" s="6"/>
      <c r="D808" s="8"/>
      <c r="E808" s="6"/>
      <c r="F808" s="8"/>
      <c r="G808" s="6"/>
      <c r="H808" s="14"/>
      <c r="I808" s="14"/>
      <c r="J808" s="14"/>
      <c r="K808" s="14"/>
      <c r="L808" s="14"/>
      <c r="M808" s="14"/>
      <c r="N808" s="14"/>
      <c r="O808" s="14"/>
      <c r="P808" s="14"/>
      <c r="Q808" s="14"/>
      <c r="R808" s="14"/>
    </row>
    <row r="809" spans="1:18" ht="27" customHeight="1">
      <c r="A809" s="13"/>
      <c r="B809" s="6"/>
      <c r="C809" s="6"/>
      <c r="D809" s="8"/>
      <c r="E809" s="6"/>
      <c r="F809" s="8"/>
      <c r="G809" s="6"/>
      <c r="H809" s="14"/>
      <c r="I809" s="14"/>
      <c r="J809" s="14"/>
      <c r="K809" s="14"/>
      <c r="L809" s="14"/>
      <c r="M809" s="14"/>
      <c r="N809" s="14"/>
      <c r="O809" s="14"/>
      <c r="P809" s="14"/>
      <c r="Q809" s="14"/>
      <c r="R809" s="14"/>
    </row>
    <row r="810" spans="1:18" ht="27" customHeight="1">
      <c r="A810" s="13"/>
      <c r="B810" s="6"/>
      <c r="C810" s="6"/>
      <c r="D810" s="8"/>
      <c r="E810" s="6"/>
      <c r="F810" s="8"/>
      <c r="G810" s="6"/>
      <c r="H810" s="14"/>
      <c r="I810" s="14"/>
      <c r="J810" s="14"/>
      <c r="K810" s="14"/>
      <c r="L810" s="14"/>
      <c r="M810" s="14"/>
      <c r="N810" s="14"/>
      <c r="O810" s="14"/>
      <c r="P810" s="14"/>
      <c r="Q810" s="14"/>
      <c r="R810" s="14"/>
    </row>
    <row r="811" spans="1:18" ht="27" customHeight="1">
      <c r="A811" s="13"/>
      <c r="B811" s="6"/>
      <c r="C811" s="6"/>
      <c r="D811" s="8"/>
      <c r="E811" s="6"/>
      <c r="F811" s="8"/>
      <c r="G811" s="6"/>
      <c r="H811" s="14"/>
      <c r="I811" s="14"/>
      <c r="J811" s="14"/>
      <c r="K811" s="14"/>
      <c r="L811" s="14"/>
      <c r="M811" s="14"/>
      <c r="N811" s="14"/>
      <c r="O811" s="14"/>
      <c r="P811" s="14"/>
      <c r="Q811" s="14"/>
      <c r="R811" s="14"/>
    </row>
    <row r="812" spans="1:18" ht="27" customHeight="1">
      <c r="A812" s="13"/>
      <c r="B812" s="6"/>
      <c r="C812" s="6"/>
      <c r="D812" s="8"/>
      <c r="E812" s="6"/>
      <c r="F812" s="8"/>
      <c r="G812" s="6"/>
      <c r="H812" s="14"/>
      <c r="I812" s="14"/>
      <c r="J812" s="14"/>
      <c r="K812" s="14"/>
      <c r="L812" s="14"/>
      <c r="M812" s="14"/>
      <c r="N812" s="14"/>
      <c r="O812" s="14"/>
      <c r="P812" s="14"/>
      <c r="Q812" s="14"/>
      <c r="R812" s="14"/>
    </row>
    <row r="813" spans="1:18" ht="27" customHeight="1">
      <c r="A813" s="13"/>
      <c r="B813" s="6"/>
      <c r="C813" s="6"/>
      <c r="D813" s="8"/>
      <c r="E813" s="6"/>
      <c r="F813" s="8"/>
      <c r="G813" s="6"/>
      <c r="H813" s="14"/>
      <c r="I813" s="14"/>
      <c r="J813" s="14"/>
      <c r="K813" s="14"/>
      <c r="L813" s="14"/>
      <c r="M813" s="14"/>
      <c r="N813" s="14"/>
      <c r="O813" s="14"/>
      <c r="P813" s="14"/>
      <c r="Q813" s="14"/>
      <c r="R813" s="14"/>
    </row>
    <row r="814" spans="1:18" ht="27" customHeight="1">
      <c r="A814" s="13"/>
      <c r="B814" s="6"/>
      <c r="C814" s="6"/>
      <c r="D814" s="8"/>
      <c r="E814" s="6"/>
      <c r="F814" s="8"/>
      <c r="G814" s="6"/>
      <c r="H814" s="14"/>
      <c r="I814" s="14"/>
      <c r="J814" s="14"/>
      <c r="K814" s="14"/>
      <c r="L814" s="14"/>
      <c r="M814" s="14"/>
      <c r="N814" s="14"/>
      <c r="O814" s="14"/>
      <c r="P814" s="14"/>
      <c r="Q814" s="14"/>
      <c r="R814" s="14"/>
    </row>
    <row r="815" spans="1:18" ht="27" customHeight="1">
      <c r="A815" s="13"/>
      <c r="B815" s="6"/>
      <c r="C815" s="6"/>
      <c r="D815" s="8"/>
      <c r="E815" s="6"/>
      <c r="F815" s="8"/>
      <c r="G815" s="6"/>
      <c r="H815" s="14"/>
      <c r="I815" s="14"/>
      <c r="J815" s="14"/>
      <c r="K815" s="14"/>
      <c r="L815" s="14"/>
      <c r="M815" s="14"/>
      <c r="N815" s="14"/>
      <c r="O815" s="14"/>
      <c r="P815" s="14"/>
      <c r="Q815" s="14"/>
      <c r="R815" s="14"/>
    </row>
    <row r="816" spans="1:18" ht="27" customHeight="1">
      <c r="A816" s="13"/>
      <c r="B816" s="6"/>
      <c r="C816" s="6"/>
      <c r="D816" s="8"/>
      <c r="E816" s="6"/>
      <c r="F816" s="8"/>
      <c r="G816" s="6"/>
      <c r="H816" s="14"/>
      <c r="I816" s="14"/>
      <c r="J816" s="14"/>
      <c r="K816" s="14"/>
      <c r="L816" s="14"/>
      <c r="M816" s="14"/>
      <c r="N816" s="14"/>
      <c r="O816" s="14"/>
      <c r="P816" s="14"/>
      <c r="Q816" s="14"/>
      <c r="R816" s="14"/>
    </row>
    <row r="817" spans="1:18" ht="27" customHeight="1">
      <c r="A817" s="13"/>
      <c r="B817" s="6"/>
      <c r="C817" s="6"/>
      <c r="D817" s="8"/>
      <c r="E817" s="6"/>
      <c r="F817" s="8"/>
      <c r="G817" s="6"/>
      <c r="H817" s="14"/>
      <c r="I817" s="14"/>
      <c r="J817" s="14"/>
      <c r="K817" s="14"/>
      <c r="L817" s="14"/>
      <c r="M817" s="14"/>
      <c r="N817" s="14"/>
      <c r="O817" s="14"/>
      <c r="P817" s="14"/>
      <c r="Q817" s="14"/>
      <c r="R817" s="14"/>
    </row>
    <row r="818" spans="1:18" ht="27" customHeight="1">
      <c r="A818" s="13"/>
      <c r="B818" s="6"/>
      <c r="C818" s="6"/>
      <c r="D818" s="8"/>
      <c r="E818" s="6"/>
      <c r="F818" s="8"/>
      <c r="G818" s="6"/>
      <c r="H818" s="14"/>
      <c r="I818" s="14"/>
      <c r="J818" s="14"/>
      <c r="K818" s="14"/>
      <c r="L818" s="14"/>
      <c r="M818" s="14"/>
      <c r="N818" s="14"/>
      <c r="O818" s="14"/>
      <c r="P818" s="14"/>
      <c r="Q818" s="14"/>
      <c r="R818" s="14"/>
    </row>
    <row r="819" spans="1:18" ht="27" customHeight="1">
      <c r="A819" s="13"/>
      <c r="B819" s="6"/>
      <c r="C819" s="6"/>
      <c r="D819" s="8"/>
      <c r="E819" s="6"/>
      <c r="F819" s="8"/>
      <c r="G819" s="6"/>
      <c r="H819" s="14"/>
      <c r="I819" s="14"/>
      <c r="J819" s="14"/>
      <c r="K819" s="14"/>
      <c r="L819" s="14"/>
      <c r="M819" s="14"/>
      <c r="N819" s="14"/>
      <c r="O819" s="14"/>
      <c r="P819" s="14"/>
      <c r="Q819" s="14"/>
      <c r="R819" s="14"/>
    </row>
    <row r="820" spans="1:18" ht="27" customHeight="1">
      <c r="A820" s="13"/>
      <c r="B820" s="6"/>
      <c r="C820" s="6"/>
      <c r="D820" s="8"/>
      <c r="E820" s="6"/>
      <c r="F820" s="8"/>
      <c r="G820" s="6"/>
      <c r="H820" s="14"/>
      <c r="I820" s="14"/>
      <c r="J820" s="14"/>
      <c r="K820" s="14"/>
      <c r="L820" s="14"/>
      <c r="M820" s="14"/>
      <c r="N820" s="14"/>
      <c r="O820" s="14"/>
      <c r="P820" s="14"/>
      <c r="Q820" s="14"/>
      <c r="R820" s="14"/>
    </row>
    <row r="821" spans="1:18" ht="27" customHeight="1">
      <c r="A821" s="13"/>
      <c r="B821" s="6"/>
      <c r="C821" s="6"/>
      <c r="D821" s="8"/>
      <c r="E821" s="6"/>
      <c r="F821" s="8"/>
      <c r="G821" s="6"/>
      <c r="H821" s="14"/>
      <c r="I821" s="14"/>
      <c r="J821" s="14"/>
      <c r="K821" s="14"/>
      <c r="L821" s="14"/>
      <c r="M821" s="14"/>
      <c r="N821" s="14"/>
      <c r="O821" s="14"/>
      <c r="P821" s="14"/>
      <c r="Q821" s="14"/>
      <c r="R821" s="14"/>
    </row>
    <row r="822" spans="1:18" ht="27" customHeight="1">
      <c r="A822" s="13"/>
      <c r="B822" s="6"/>
      <c r="C822" s="6"/>
      <c r="D822" s="8"/>
      <c r="E822" s="6"/>
      <c r="F822" s="8"/>
      <c r="G822" s="6"/>
      <c r="H822" s="14"/>
      <c r="I822" s="14"/>
      <c r="J822" s="14"/>
      <c r="K822" s="14"/>
      <c r="L822" s="14"/>
      <c r="M822" s="14"/>
      <c r="N822" s="14"/>
      <c r="O822" s="14"/>
      <c r="P822" s="14"/>
      <c r="Q822" s="14"/>
      <c r="R822" s="14"/>
    </row>
    <row r="823" spans="1:18" ht="27" customHeight="1">
      <c r="A823" s="13"/>
      <c r="B823" s="6"/>
      <c r="C823" s="6"/>
      <c r="D823" s="8"/>
      <c r="E823" s="6"/>
      <c r="F823" s="8"/>
      <c r="G823" s="6"/>
      <c r="H823" s="14"/>
      <c r="I823" s="14"/>
      <c r="J823" s="14"/>
      <c r="K823" s="14"/>
      <c r="L823" s="14"/>
      <c r="M823" s="14"/>
      <c r="N823" s="14"/>
      <c r="O823" s="14"/>
      <c r="P823" s="14"/>
      <c r="Q823" s="14"/>
      <c r="R823" s="14"/>
    </row>
    <row r="824" spans="1:18" ht="27" customHeight="1">
      <c r="A824" s="13"/>
      <c r="B824" s="6"/>
      <c r="C824" s="6"/>
      <c r="D824" s="8"/>
      <c r="E824" s="6"/>
      <c r="F824" s="8"/>
      <c r="G824" s="6"/>
      <c r="H824" s="14"/>
      <c r="I824" s="14"/>
      <c r="J824" s="14"/>
      <c r="K824" s="14"/>
      <c r="L824" s="14"/>
      <c r="M824" s="14"/>
      <c r="N824" s="14"/>
      <c r="O824" s="14"/>
      <c r="P824" s="14"/>
      <c r="Q824" s="14"/>
      <c r="R824" s="14"/>
    </row>
    <row r="825" spans="1:18" ht="27" customHeight="1">
      <c r="A825" s="13"/>
      <c r="B825" s="6"/>
      <c r="C825" s="6"/>
      <c r="D825" s="8"/>
      <c r="E825" s="6"/>
      <c r="F825" s="8"/>
      <c r="G825" s="6"/>
      <c r="H825" s="14"/>
      <c r="I825" s="14"/>
      <c r="J825" s="14"/>
      <c r="K825" s="14"/>
      <c r="L825" s="14"/>
      <c r="M825" s="14"/>
      <c r="N825" s="14"/>
      <c r="O825" s="14"/>
      <c r="P825" s="14"/>
      <c r="Q825" s="14"/>
      <c r="R825" s="14"/>
    </row>
    <row r="826" spans="1:18" ht="27" customHeight="1">
      <c r="A826" s="13"/>
      <c r="B826" s="6"/>
      <c r="C826" s="6"/>
      <c r="D826" s="8"/>
      <c r="E826" s="6"/>
      <c r="F826" s="8"/>
      <c r="G826" s="6"/>
      <c r="H826" s="14"/>
      <c r="I826" s="14"/>
      <c r="J826" s="14"/>
      <c r="K826" s="14"/>
      <c r="L826" s="14"/>
      <c r="M826" s="14"/>
      <c r="N826" s="14"/>
      <c r="O826" s="14"/>
      <c r="P826" s="14"/>
      <c r="Q826" s="14"/>
      <c r="R826" s="14"/>
    </row>
    <row r="827" spans="1:18" ht="27" customHeight="1">
      <c r="A827" s="13"/>
      <c r="B827" s="6"/>
      <c r="C827" s="6"/>
      <c r="D827" s="8"/>
      <c r="E827" s="6"/>
      <c r="F827" s="8"/>
      <c r="G827" s="6"/>
      <c r="H827" s="14"/>
      <c r="I827" s="14"/>
      <c r="J827" s="14"/>
      <c r="K827" s="14"/>
      <c r="L827" s="14"/>
      <c r="M827" s="14"/>
      <c r="N827" s="14"/>
      <c r="O827" s="14"/>
      <c r="P827" s="14"/>
      <c r="Q827" s="14"/>
      <c r="R827" s="14"/>
    </row>
    <row r="828" spans="1:18" ht="27" customHeight="1">
      <c r="A828" s="13"/>
      <c r="B828" s="6"/>
      <c r="C828" s="6"/>
      <c r="D828" s="8"/>
      <c r="E828" s="6"/>
      <c r="F828" s="8"/>
      <c r="G828" s="6"/>
      <c r="H828" s="14"/>
      <c r="I828" s="14"/>
      <c r="J828" s="14"/>
      <c r="K828" s="14"/>
      <c r="L828" s="14"/>
      <c r="M828" s="14"/>
      <c r="N828" s="14"/>
      <c r="O828" s="14"/>
      <c r="P828" s="14"/>
      <c r="Q828" s="14"/>
      <c r="R828" s="14"/>
    </row>
    <row r="829" spans="1:18" ht="27" customHeight="1">
      <c r="A829" s="13"/>
      <c r="B829" s="6"/>
      <c r="C829" s="6"/>
      <c r="D829" s="8"/>
      <c r="E829" s="6"/>
      <c r="F829" s="8"/>
      <c r="G829" s="6"/>
      <c r="H829" s="14"/>
      <c r="I829" s="14"/>
      <c r="J829" s="14"/>
      <c r="K829" s="14"/>
      <c r="L829" s="14"/>
      <c r="M829" s="14"/>
      <c r="N829" s="14"/>
      <c r="O829" s="14"/>
      <c r="P829" s="14"/>
      <c r="Q829" s="14"/>
      <c r="R829" s="14"/>
    </row>
    <row r="830" spans="1:18" ht="27" customHeight="1">
      <c r="A830" s="13"/>
      <c r="B830" s="6"/>
      <c r="C830" s="6"/>
      <c r="D830" s="8"/>
      <c r="E830" s="6"/>
      <c r="F830" s="8"/>
      <c r="G830" s="6"/>
      <c r="H830" s="14"/>
      <c r="I830" s="14"/>
      <c r="J830" s="14"/>
      <c r="K830" s="14"/>
      <c r="L830" s="14"/>
      <c r="M830" s="14"/>
      <c r="N830" s="14"/>
      <c r="O830" s="14"/>
      <c r="P830" s="14"/>
      <c r="Q830" s="14"/>
      <c r="R830" s="14"/>
    </row>
    <row r="831" spans="1:18" ht="27" customHeight="1">
      <c r="A831" s="13"/>
      <c r="B831" s="6"/>
      <c r="C831" s="6"/>
      <c r="D831" s="8"/>
      <c r="E831" s="6"/>
      <c r="F831" s="8"/>
      <c r="G831" s="6"/>
      <c r="H831" s="14"/>
      <c r="I831" s="14"/>
      <c r="J831" s="14"/>
      <c r="K831" s="14"/>
      <c r="L831" s="14"/>
      <c r="M831" s="14"/>
      <c r="N831" s="14"/>
      <c r="O831" s="14"/>
      <c r="P831" s="14"/>
      <c r="Q831" s="14"/>
      <c r="R831" s="14"/>
    </row>
    <row r="832" spans="1:18" ht="27" customHeight="1">
      <c r="A832" s="13"/>
      <c r="B832" s="6"/>
      <c r="C832" s="6"/>
      <c r="D832" s="8"/>
      <c r="E832" s="6"/>
      <c r="F832" s="8"/>
      <c r="G832" s="6"/>
      <c r="H832" s="14"/>
      <c r="I832" s="14"/>
      <c r="J832" s="14"/>
      <c r="K832" s="14"/>
      <c r="L832" s="14"/>
      <c r="M832" s="14"/>
      <c r="N832" s="14"/>
      <c r="O832" s="14"/>
      <c r="P832" s="14"/>
      <c r="Q832" s="14"/>
      <c r="R832" s="14"/>
    </row>
    <row r="833" spans="1:18" ht="27" customHeight="1">
      <c r="A833" s="13"/>
      <c r="B833" s="6"/>
      <c r="C833" s="6"/>
      <c r="D833" s="8"/>
      <c r="E833" s="6"/>
      <c r="F833" s="8"/>
      <c r="G833" s="6"/>
      <c r="H833" s="14"/>
      <c r="I833" s="14"/>
      <c r="J833" s="14"/>
      <c r="K833" s="14"/>
      <c r="L833" s="14"/>
      <c r="M833" s="14"/>
      <c r="N833" s="14"/>
      <c r="O833" s="14"/>
      <c r="P833" s="14"/>
      <c r="Q833" s="14"/>
      <c r="R833" s="14"/>
    </row>
    <row r="834" spans="1:18" ht="27" customHeight="1">
      <c r="A834" s="13"/>
      <c r="B834" s="6"/>
      <c r="C834" s="6"/>
      <c r="D834" s="8"/>
      <c r="E834" s="6"/>
      <c r="F834" s="8"/>
      <c r="G834" s="6"/>
      <c r="H834" s="14"/>
      <c r="I834" s="14"/>
      <c r="J834" s="14"/>
      <c r="K834" s="14"/>
      <c r="L834" s="14"/>
      <c r="M834" s="14"/>
      <c r="N834" s="14"/>
      <c r="O834" s="14"/>
      <c r="P834" s="14"/>
      <c r="Q834" s="14"/>
      <c r="R834" s="14"/>
    </row>
    <row r="835" spans="1:18" ht="27" customHeight="1">
      <c r="A835" s="13"/>
      <c r="B835" s="6"/>
      <c r="C835" s="6"/>
      <c r="D835" s="8"/>
      <c r="E835" s="6"/>
      <c r="F835" s="8"/>
      <c r="G835" s="6"/>
      <c r="H835" s="14"/>
      <c r="I835" s="14"/>
      <c r="J835" s="14"/>
      <c r="K835" s="14"/>
      <c r="L835" s="14"/>
      <c r="M835" s="14"/>
      <c r="N835" s="14"/>
      <c r="O835" s="14"/>
      <c r="P835" s="14"/>
      <c r="Q835" s="14"/>
      <c r="R835" s="14"/>
    </row>
    <row r="836" spans="1:18" ht="27" customHeight="1">
      <c r="A836" s="13"/>
      <c r="B836" s="6"/>
      <c r="C836" s="6"/>
      <c r="D836" s="8"/>
      <c r="E836" s="6"/>
      <c r="F836" s="8"/>
      <c r="G836" s="6"/>
      <c r="H836" s="14"/>
      <c r="I836" s="14"/>
      <c r="J836" s="14"/>
      <c r="K836" s="14"/>
      <c r="L836" s="14"/>
      <c r="M836" s="14"/>
      <c r="N836" s="14"/>
      <c r="O836" s="14"/>
      <c r="P836" s="14"/>
      <c r="Q836" s="14"/>
      <c r="R836" s="14"/>
    </row>
    <row r="837" spans="1:18" ht="27" customHeight="1">
      <c r="A837" s="13"/>
      <c r="B837" s="6"/>
      <c r="C837" s="6"/>
      <c r="D837" s="8"/>
      <c r="E837" s="6"/>
      <c r="F837" s="8"/>
      <c r="G837" s="6"/>
      <c r="H837" s="14"/>
      <c r="I837" s="14"/>
      <c r="J837" s="14"/>
      <c r="K837" s="14"/>
      <c r="L837" s="14"/>
      <c r="M837" s="14"/>
      <c r="N837" s="14"/>
      <c r="O837" s="14"/>
      <c r="P837" s="14"/>
      <c r="Q837" s="14"/>
      <c r="R837" s="14"/>
    </row>
    <row r="838" spans="1:18" ht="27" customHeight="1">
      <c r="A838" s="13"/>
      <c r="B838" s="6"/>
      <c r="C838" s="6"/>
      <c r="D838" s="8"/>
      <c r="E838" s="6"/>
      <c r="F838" s="8"/>
      <c r="G838" s="6"/>
      <c r="H838" s="14"/>
      <c r="I838" s="14"/>
      <c r="J838" s="14"/>
      <c r="K838" s="14"/>
      <c r="L838" s="14"/>
      <c r="M838" s="14"/>
      <c r="N838" s="14"/>
      <c r="O838" s="14"/>
      <c r="P838" s="14"/>
      <c r="Q838" s="14"/>
      <c r="R838" s="14"/>
    </row>
    <row r="839" spans="1:18" ht="27" customHeight="1">
      <c r="A839" s="13"/>
      <c r="B839" s="6"/>
      <c r="C839" s="6"/>
      <c r="D839" s="8"/>
      <c r="E839" s="6"/>
      <c r="F839" s="8"/>
      <c r="G839" s="6"/>
      <c r="H839" s="14"/>
      <c r="I839" s="14"/>
      <c r="J839" s="14"/>
      <c r="K839" s="14"/>
      <c r="L839" s="14"/>
      <c r="M839" s="14"/>
      <c r="N839" s="14"/>
      <c r="O839" s="14"/>
      <c r="P839" s="14"/>
      <c r="Q839" s="14"/>
      <c r="R839" s="14"/>
    </row>
    <row r="840" spans="1:18" ht="27" customHeight="1">
      <c r="A840" s="13"/>
      <c r="B840" s="6"/>
      <c r="C840" s="6"/>
      <c r="D840" s="8"/>
      <c r="E840" s="6"/>
      <c r="F840" s="8"/>
      <c r="G840" s="6"/>
      <c r="H840" s="14"/>
      <c r="I840" s="14"/>
      <c r="J840" s="14"/>
      <c r="K840" s="14"/>
      <c r="L840" s="14"/>
      <c r="M840" s="14"/>
      <c r="N840" s="14"/>
      <c r="O840" s="14"/>
      <c r="P840" s="14"/>
      <c r="Q840" s="14"/>
      <c r="R840" s="14"/>
    </row>
    <row r="841" spans="1:18" ht="27" customHeight="1">
      <c r="A841" s="13"/>
      <c r="B841" s="6"/>
      <c r="C841" s="6"/>
      <c r="D841" s="8"/>
      <c r="E841" s="6"/>
      <c r="F841" s="8"/>
      <c r="G841" s="6"/>
      <c r="H841" s="14"/>
      <c r="I841" s="14"/>
      <c r="J841" s="14"/>
      <c r="K841" s="14"/>
      <c r="L841" s="14"/>
      <c r="M841" s="14"/>
      <c r="N841" s="14"/>
      <c r="O841" s="14"/>
      <c r="P841" s="14"/>
      <c r="Q841" s="14"/>
      <c r="R841" s="14"/>
    </row>
    <row r="842" spans="1:18" ht="27" customHeight="1">
      <c r="A842" s="13"/>
      <c r="B842" s="6"/>
      <c r="C842" s="6"/>
      <c r="D842" s="8"/>
      <c r="E842" s="6"/>
      <c r="F842" s="8"/>
      <c r="G842" s="6"/>
      <c r="H842" s="14"/>
      <c r="I842" s="14"/>
      <c r="J842" s="14"/>
      <c r="K842" s="14"/>
      <c r="L842" s="14"/>
      <c r="M842" s="14"/>
      <c r="N842" s="14"/>
      <c r="O842" s="14"/>
      <c r="P842" s="14"/>
      <c r="Q842" s="14"/>
      <c r="R842" s="14"/>
    </row>
    <row r="843" spans="1:18" ht="27" customHeight="1">
      <c r="A843" s="13"/>
      <c r="B843" s="6"/>
      <c r="C843" s="6"/>
      <c r="D843" s="8"/>
      <c r="E843" s="6"/>
      <c r="F843" s="8"/>
      <c r="G843" s="6"/>
      <c r="H843" s="14"/>
      <c r="I843" s="14"/>
      <c r="J843" s="14"/>
      <c r="K843" s="14"/>
      <c r="L843" s="14"/>
      <c r="M843" s="14"/>
      <c r="N843" s="14"/>
      <c r="O843" s="14"/>
      <c r="P843" s="14"/>
      <c r="Q843" s="14"/>
      <c r="R843" s="14"/>
    </row>
    <row r="844" spans="1:18" ht="27" customHeight="1">
      <c r="A844" s="13"/>
      <c r="B844" s="6"/>
      <c r="C844" s="6"/>
      <c r="D844" s="8"/>
      <c r="E844" s="6"/>
      <c r="F844" s="8"/>
      <c r="G844" s="6"/>
      <c r="H844" s="14"/>
      <c r="I844" s="14"/>
      <c r="J844" s="14"/>
      <c r="K844" s="14"/>
      <c r="L844" s="14"/>
      <c r="M844" s="14"/>
      <c r="N844" s="14"/>
      <c r="O844" s="14"/>
      <c r="P844" s="14"/>
      <c r="Q844" s="14"/>
      <c r="R844" s="14"/>
    </row>
    <row r="845" spans="1:18" ht="27" customHeight="1">
      <c r="A845" s="13"/>
      <c r="B845" s="6"/>
      <c r="C845" s="6"/>
      <c r="D845" s="8"/>
      <c r="E845" s="6"/>
      <c r="F845" s="8"/>
      <c r="G845" s="6"/>
      <c r="H845" s="14"/>
      <c r="I845" s="14"/>
      <c r="J845" s="14"/>
      <c r="K845" s="14"/>
      <c r="L845" s="14"/>
      <c r="M845" s="14"/>
      <c r="N845" s="14"/>
      <c r="O845" s="14"/>
      <c r="P845" s="14"/>
      <c r="Q845" s="14"/>
      <c r="R845" s="14"/>
    </row>
    <row r="846" spans="1:18" ht="27" customHeight="1">
      <c r="A846" s="13"/>
      <c r="B846" s="6"/>
      <c r="C846" s="6"/>
      <c r="D846" s="8"/>
      <c r="E846" s="6"/>
      <c r="F846" s="8"/>
      <c r="G846" s="6"/>
      <c r="H846" s="14"/>
      <c r="I846" s="14"/>
      <c r="J846" s="14"/>
      <c r="K846" s="14"/>
      <c r="L846" s="14"/>
      <c r="M846" s="14"/>
      <c r="N846" s="14"/>
      <c r="O846" s="14"/>
      <c r="P846" s="14"/>
      <c r="Q846" s="14"/>
      <c r="R846" s="14"/>
    </row>
    <row r="847" spans="1:18" ht="27" customHeight="1">
      <c r="A847" s="13"/>
      <c r="B847" s="6"/>
      <c r="C847" s="6"/>
      <c r="D847" s="8"/>
      <c r="E847" s="6"/>
      <c r="F847" s="8"/>
      <c r="G847" s="6"/>
      <c r="H847" s="14"/>
      <c r="I847" s="14"/>
      <c r="J847" s="14"/>
      <c r="K847" s="14"/>
      <c r="L847" s="14"/>
      <c r="M847" s="14"/>
      <c r="N847" s="14"/>
      <c r="O847" s="14"/>
      <c r="P847" s="14"/>
      <c r="Q847" s="14"/>
      <c r="R847" s="14"/>
    </row>
    <row r="848" spans="1:18" ht="27" customHeight="1">
      <c r="A848" s="13"/>
      <c r="B848" s="6"/>
      <c r="C848" s="6"/>
      <c r="D848" s="8"/>
      <c r="E848" s="6"/>
      <c r="F848" s="8"/>
      <c r="G848" s="6"/>
      <c r="H848" s="14"/>
      <c r="I848" s="14"/>
      <c r="J848" s="14"/>
      <c r="K848" s="14"/>
      <c r="L848" s="14"/>
      <c r="M848" s="14"/>
      <c r="N848" s="14"/>
      <c r="O848" s="14"/>
      <c r="P848" s="14"/>
      <c r="Q848" s="14"/>
      <c r="R848" s="14"/>
    </row>
    <row r="849" spans="1:18" ht="27" customHeight="1">
      <c r="A849" s="13"/>
      <c r="B849" s="6"/>
      <c r="C849" s="6"/>
      <c r="D849" s="8"/>
      <c r="E849" s="6"/>
      <c r="F849" s="8"/>
      <c r="G849" s="6"/>
      <c r="H849" s="14"/>
      <c r="I849" s="14"/>
      <c r="J849" s="14"/>
      <c r="K849" s="14"/>
      <c r="L849" s="14"/>
      <c r="M849" s="14"/>
      <c r="N849" s="14"/>
      <c r="O849" s="14"/>
      <c r="P849" s="14"/>
      <c r="Q849" s="14"/>
      <c r="R849" s="14"/>
    </row>
    <row r="850" spans="1:18" ht="27" customHeight="1">
      <c r="A850" s="13"/>
      <c r="B850" s="6"/>
      <c r="C850" s="6"/>
      <c r="D850" s="8"/>
      <c r="E850" s="6"/>
      <c r="F850" s="8"/>
      <c r="G850" s="6"/>
      <c r="H850" s="14"/>
      <c r="I850" s="14"/>
      <c r="J850" s="14"/>
      <c r="K850" s="14"/>
      <c r="L850" s="14"/>
      <c r="M850" s="14"/>
      <c r="N850" s="14"/>
      <c r="O850" s="14"/>
      <c r="P850" s="14"/>
      <c r="Q850" s="14"/>
      <c r="R850" s="14"/>
    </row>
    <row r="851" spans="1:18" ht="27" customHeight="1">
      <c r="A851" s="13"/>
      <c r="B851" s="6"/>
      <c r="C851" s="6"/>
      <c r="D851" s="8"/>
      <c r="E851" s="6"/>
      <c r="F851" s="8"/>
      <c r="G851" s="6"/>
      <c r="H851" s="14"/>
      <c r="I851" s="14"/>
      <c r="J851" s="14"/>
      <c r="K851" s="14"/>
      <c r="L851" s="14"/>
      <c r="M851" s="14"/>
      <c r="N851" s="14"/>
      <c r="O851" s="14"/>
      <c r="P851" s="14"/>
      <c r="Q851" s="14"/>
      <c r="R851" s="14"/>
    </row>
    <row r="852" spans="1:18" ht="27" customHeight="1">
      <c r="A852" s="13"/>
      <c r="B852" s="6"/>
      <c r="C852" s="6"/>
      <c r="D852" s="8"/>
      <c r="E852" s="6"/>
      <c r="F852" s="8"/>
      <c r="G852" s="6"/>
      <c r="H852" s="14"/>
      <c r="I852" s="14"/>
      <c r="J852" s="14"/>
      <c r="K852" s="14"/>
      <c r="L852" s="14"/>
      <c r="M852" s="14"/>
      <c r="N852" s="14"/>
      <c r="O852" s="14"/>
      <c r="P852" s="14"/>
      <c r="Q852" s="14"/>
      <c r="R852" s="14"/>
    </row>
    <row r="853" spans="1:18" ht="27" customHeight="1">
      <c r="A853" s="13"/>
      <c r="B853" s="6"/>
      <c r="C853" s="6"/>
      <c r="D853" s="8"/>
      <c r="E853" s="6"/>
      <c r="F853" s="8"/>
      <c r="G853" s="6"/>
      <c r="H853" s="14"/>
      <c r="I853" s="14"/>
      <c r="J853" s="14"/>
      <c r="K853" s="14"/>
      <c r="L853" s="14"/>
      <c r="M853" s="14"/>
      <c r="N853" s="14"/>
      <c r="O853" s="14"/>
      <c r="P853" s="14"/>
      <c r="Q853" s="14"/>
      <c r="R853" s="14"/>
    </row>
    <row r="854" spans="1:18" ht="27" customHeight="1">
      <c r="A854" s="13"/>
      <c r="B854" s="6"/>
      <c r="C854" s="6"/>
      <c r="D854" s="8"/>
      <c r="E854" s="6"/>
      <c r="F854" s="8"/>
      <c r="G854" s="6"/>
      <c r="H854" s="14"/>
      <c r="I854" s="14"/>
      <c r="J854" s="14"/>
      <c r="K854" s="14"/>
      <c r="L854" s="14"/>
      <c r="M854" s="14"/>
      <c r="N854" s="14"/>
      <c r="O854" s="14"/>
      <c r="P854" s="14"/>
      <c r="Q854" s="14"/>
      <c r="R854" s="14"/>
    </row>
    <row r="855" spans="1:18" ht="27" customHeight="1">
      <c r="A855" s="13"/>
      <c r="B855" s="6"/>
      <c r="C855" s="6"/>
      <c r="D855" s="8"/>
      <c r="E855" s="6"/>
      <c r="F855" s="8"/>
      <c r="G855" s="6"/>
      <c r="H855" s="14"/>
      <c r="I855" s="14"/>
      <c r="J855" s="14"/>
      <c r="K855" s="14"/>
      <c r="L855" s="14"/>
      <c r="M855" s="14"/>
      <c r="N855" s="14"/>
      <c r="O855" s="14"/>
      <c r="P855" s="14"/>
      <c r="Q855" s="14"/>
      <c r="R855" s="14"/>
    </row>
    <row r="856" spans="1:18" ht="27" customHeight="1">
      <c r="A856" s="13"/>
      <c r="B856" s="6"/>
      <c r="C856" s="6"/>
      <c r="D856" s="8"/>
      <c r="E856" s="6"/>
      <c r="F856" s="8"/>
      <c r="G856" s="6"/>
      <c r="H856" s="14"/>
      <c r="I856" s="14"/>
      <c r="J856" s="14"/>
      <c r="K856" s="14"/>
      <c r="L856" s="14"/>
      <c r="M856" s="14"/>
      <c r="N856" s="14"/>
      <c r="O856" s="14"/>
      <c r="P856" s="14"/>
      <c r="Q856" s="14"/>
      <c r="R856" s="14"/>
    </row>
    <row r="857" spans="1:18" ht="27" customHeight="1">
      <c r="A857" s="13"/>
      <c r="B857" s="6"/>
      <c r="C857" s="6"/>
      <c r="D857" s="8"/>
      <c r="E857" s="6"/>
      <c r="F857" s="8"/>
      <c r="G857" s="6"/>
      <c r="H857" s="14"/>
      <c r="I857" s="14"/>
      <c r="J857" s="14"/>
      <c r="K857" s="14"/>
      <c r="L857" s="14"/>
      <c r="M857" s="14"/>
      <c r="N857" s="14"/>
      <c r="O857" s="14"/>
      <c r="P857" s="14"/>
      <c r="Q857" s="14"/>
      <c r="R857" s="14"/>
    </row>
    <row r="858" spans="1:18" ht="27" customHeight="1">
      <c r="A858" s="13"/>
      <c r="B858" s="6"/>
      <c r="C858" s="6"/>
      <c r="D858" s="8"/>
      <c r="E858" s="6"/>
      <c r="F858" s="8"/>
      <c r="G858" s="6"/>
      <c r="H858" s="14"/>
      <c r="I858" s="14"/>
      <c r="J858" s="14"/>
      <c r="K858" s="14"/>
      <c r="L858" s="14"/>
      <c r="M858" s="14"/>
      <c r="N858" s="14"/>
      <c r="O858" s="14"/>
      <c r="P858" s="14"/>
      <c r="Q858" s="14"/>
      <c r="R858" s="14"/>
    </row>
    <row r="859" spans="1:18" ht="27" customHeight="1">
      <c r="A859" s="13"/>
      <c r="B859" s="6"/>
      <c r="C859" s="6"/>
      <c r="D859" s="8"/>
      <c r="E859" s="6"/>
      <c r="F859" s="8"/>
      <c r="G859" s="6"/>
      <c r="H859" s="14"/>
      <c r="I859" s="14"/>
      <c r="J859" s="14"/>
      <c r="K859" s="14"/>
      <c r="L859" s="14"/>
      <c r="M859" s="14"/>
      <c r="N859" s="14"/>
      <c r="O859" s="14"/>
      <c r="P859" s="14"/>
      <c r="Q859" s="14"/>
      <c r="R859" s="14"/>
    </row>
    <row r="860" spans="1:18" ht="27" customHeight="1">
      <c r="A860" s="13"/>
      <c r="B860" s="6"/>
      <c r="C860" s="6"/>
      <c r="D860" s="8"/>
      <c r="E860" s="6"/>
      <c r="F860" s="8"/>
      <c r="G860" s="6"/>
      <c r="H860" s="14"/>
      <c r="I860" s="14"/>
      <c r="J860" s="14"/>
      <c r="K860" s="14"/>
      <c r="L860" s="14"/>
      <c r="M860" s="14"/>
      <c r="N860" s="14"/>
      <c r="O860" s="14"/>
      <c r="P860" s="14"/>
      <c r="Q860" s="14"/>
      <c r="R860" s="14"/>
    </row>
    <row r="861" spans="1:18" ht="27" customHeight="1">
      <c r="A861" s="13"/>
      <c r="B861" s="6"/>
      <c r="C861" s="6"/>
      <c r="D861" s="8"/>
      <c r="E861" s="6"/>
      <c r="F861" s="8"/>
      <c r="G861" s="6"/>
      <c r="H861" s="14"/>
      <c r="I861" s="14"/>
      <c r="J861" s="14"/>
      <c r="K861" s="14"/>
      <c r="L861" s="14"/>
      <c r="M861" s="14"/>
      <c r="N861" s="14"/>
      <c r="O861" s="14"/>
      <c r="P861" s="14"/>
      <c r="Q861" s="14"/>
      <c r="R861" s="14"/>
    </row>
    <row r="862" spans="1:18" ht="27" customHeight="1">
      <c r="A862" s="13"/>
      <c r="B862" s="6"/>
      <c r="C862" s="6"/>
      <c r="D862" s="8"/>
      <c r="E862" s="6"/>
      <c r="F862" s="8"/>
      <c r="G862" s="6"/>
      <c r="H862" s="14"/>
      <c r="I862" s="14"/>
      <c r="J862" s="14"/>
      <c r="K862" s="14"/>
      <c r="L862" s="14"/>
      <c r="M862" s="14"/>
      <c r="N862" s="14"/>
      <c r="O862" s="14"/>
      <c r="P862" s="14"/>
      <c r="Q862" s="14"/>
      <c r="R862" s="14"/>
    </row>
    <row r="863" spans="1:18" ht="27" customHeight="1">
      <c r="A863" s="13"/>
      <c r="B863" s="6"/>
      <c r="C863" s="6"/>
      <c r="D863" s="8"/>
      <c r="E863" s="6"/>
      <c r="F863" s="8"/>
      <c r="G863" s="6"/>
      <c r="H863" s="14"/>
      <c r="I863" s="14"/>
      <c r="J863" s="14"/>
      <c r="K863" s="14"/>
      <c r="L863" s="14"/>
      <c r="M863" s="14"/>
      <c r="N863" s="14"/>
      <c r="O863" s="14"/>
      <c r="P863" s="14"/>
      <c r="Q863" s="14"/>
      <c r="R863" s="14"/>
    </row>
    <row r="864" spans="1:18" ht="27" customHeight="1">
      <c r="A864" s="13"/>
      <c r="B864" s="6"/>
      <c r="C864" s="6"/>
      <c r="D864" s="8"/>
      <c r="E864" s="6"/>
      <c r="F864" s="8"/>
      <c r="G864" s="6"/>
      <c r="H864" s="14"/>
      <c r="I864" s="14"/>
      <c r="J864" s="14"/>
      <c r="K864" s="14"/>
      <c r="L864" s="14"/>
      <c r="M864" s="14"/>
      <c r="N864" s="14"/>
      <c r="O864" s="14"/>
      <c r="P864" s="14"/>
      <c r="Q864" s="14"/>
      <c r="R864" s="14"/>
    </row>
    <row r="865" spans="1:18" ht="27" customHeight="1">
      <c r="A865" s="13"/>
      <c r="B865" s="6"/>
      <c r="C865" s="6"/>
      <c r="D865" s="8"/>
      <c r="E865" s="6"/>
      <c r="F865" s="8"/>
      <c r="G865" s="6"/>
      <c r="H865" s="14"/>
      <c r="I865" s="14"/>
      <c r="J865" s="14"/>
      <c r="K865" s="14"/>
      <c r="L865" s="14"/>
      <c r="M865" s="14"/>
      <c r="N865" s="14"/>
      <c r="O865" s="14"/>
      <c r="P865" s="14"/>
      <c r="Q865" s="14"/>
      <c r="R865" s="14"/>
    </row>
    <row r="866" spans="1:18" ht="27" customHeight="1">
      <c r="A866" s="13"/>
      <c r="B866" s="6"/>
      <c r="C866" s="6"/>
      <c r="D866" s="8"/>
      <c r="E866" s="6"/>
      <c r="F866" s="8"/>
      <c r="G866" s="6"/>
      <c r="H866" s="14"/>
      <c r="I866" s="14"/>
      <c r="J866" s="14"/>
      <c r="K866" s="14"/>
      <c r="L866" s="14"/>
      <c r="M866" s="14"/>
      <c r="N866" s="14"/>
      <c r="O866" s="14"/>
      <c r="P866" s="14"/>
      <c r="Q866" s="14"/>
      <c r="R866" s="14"/>
    </row>
    <row r="867" spans="1:18" ht="27" customHeight="1">
      <c r="A867" s="13"/>
      <c r="B867" s="6"/>
      <c r="C867" s="6"/>
      <c r="D867" s="8"/>
      <c r="E867" s="6"/>
      <c r="F867" s="8"/>
      <c r="G867" s="6"/>
      <c r="H867" s="14"/>
      <c r="I867" s="14"/>
      <c r="J867" s="14"/>
      <c r="K867" s="14"/>
      <c r="L867" s="14"/>
      <c r="M867" s="14"/>
      <c r="N867" s="14"/>
      <c r="O867" s="14"/>
      <c r="P867" s="14"/>
      <c r="Q867" s="14"/>
      <c r="R867" s="14"/>
    </row>
    <row r="868" spans="1:18" ht="27" customHeight="1">
      <c r="A868" s="13"/>
      <c r="B868" s="6"/>
      <c r="C868" s="6"/>
      <c r="D868" s="8"/>
      <c r="E868" s="6"/>
      <c r="F868" s="8"/>
      <c r="G868" s="6"/>
      <c r="H868" s="14"/>
      <c r="I868" s="14"/>
      <c r="J868" s="14"/>
      <c r="K868" s="14"/>
      <c r="L868" s="14"/>
      <c r="M868" s="14"/>
      <c r="N868" s="14"/>
      <c r="O868" s="14"/>
      <c r="P868" s="14"/>
      <c r="Q868" s="14"/>
      <c r="R868" s="14"/>
    </row>
    <row r="869" spans="1:18" ht="27" customHeight="1">
      <c r="A869" s="13"/>
      <c r="B869" s="6"/>
      <c r="C869" s="6"/>
      <c r="D869" s="8"/>
      <c r="E869" s="6"/>
      <c r="F869" s="8"/>
      <c r="G869" s="6"/>
      <c r="H869" s="14"/>
      <c r="I869" s="14"/>
      <c r="J869" s="14"/>
      <c r="K869" s="14"/>
      <c r="L869" s="14"/>
      <c r="M869" s="14"/>
      <c r="N869" s="14"/>
      <c r="O869" s="14"/>
      <c r="P869" s="14"/>
      <c r="Q869" s="14"/>
      <c r="R869" s="14"/>
    </row>
    <row r="870" spans="1:18" ht="27" customHeight="1">
      <c r="A870" s="13"/>
      <c r="B870" s="6"/>
      <c r="C870" s="6"/>
      <c r="D870" s="8"/>
      <c r="E870" s="6"/>
      <c r="F870" s="8"/>
      <c r="G870" s="6"/>
      <c r="H870" s="14"/>
      <c r="I870" s="14"/>
      <c r="J870" s="14"/>
      <c r="K870" s="14"/>
      <c r="L870" s="14"/>
      <c r="M870" s="14"/>
      <c r="N870" s="14"/>
      <c r="O870" s="14"/>
      <c r="P870" s="14"/>
      <c r="Q870" s="14"/>
      <c r="R870" s="14"/>
    </row>
    <row r="871" spans="1:18" ht="27" customHeight="1">
      <c r="A871" s="13"/>
      <c r="B871" s="6"/>
      <c r="C871" s="6"/>
      <c r="D871" s="8"/>
      <c r="E871" s="6"/>
      <c r="F871" s="8"/>
      <c r="G871" s="6"/>
      <c r="H871" s="14"/>
      <c r="I871" s="14"/>
      <c r="J871" s="14"/>
      <c r="K871" s="14"/>
      <c r="L871" s="14"/>
      <c r="M871" s="14"/>
      <c r="N871" s="14"/>
      <c r="O871" s="14"/>
      <c r="P871" s="14"/>
      <c r="Q871" s="14"/>
      <c r="R871" s="14"/>
    </row>
    <row r="872" spans="1:18" ht="27" customHeight="1">
      <c r="A872" s="13"/>
      <c r="B872" s="6"/>
      <c r="C872" s="6"/>
      <c r="D872" s="8"/>
      <c r="E872" s="6"/>
      <c r="F872" s="8"/>
      <c r="G872" s="6"/>
      <c r="H872" s="14"/>
      <c r="I872" s="14"/>
      <c r="J872" s="14"/>
      <c r="K872" s="14"/>
      <c r="L872" s="14"/>
      <c r="M872" s="14"/>
      <c r="N872" s="14"/>
      <c r="O872" s="14"/>
      <c r="P872" s="14"/>
      <c r="Q872" s="14"/>
      <c r="R872" s="14"/>
    </row>
    <row r="873" spans="1:18" ht="27" customHeight="1">
      <c r="A873" s="13"/>
      <c r="B873" s="6"/>
      <c r="C873" s="6"/>
      <c r="D873" s="8"/>
      <c r="E873" s="6"/>
      <c r="F873" s="8"/>
      <c r="G873" s="6"/>
      <c r="H873" s="14"/>
      <c r="I873" s="14"/>
      <c r="J873" s="14"/>
      <c r="K873" s="14"/>
      <c r="L873" s="14"/>
      <c r="M873" s="14"/>
      <c r="N873" s="14"/>
      <c r="O873" s="14"/>
      <c r="P873" s="14"/>
      <c r="Q873" s="14"/>
      <c r="R873" s="14"/>
    </row>
    <row r="874" spans="1:18" ht="27" customHeight="1">
      <c r="A874" s="13"/>
      <c r="B874" s="6"/>
      <c r="C874" s="6"/>
      <c r="D874" s="8"/>
      <c r="E874" s="6"/>
      <c r="F874" s="8"/>
      <c r="G874" s="6"/>
      <c r="H874" s="14"/>
      <c r="I874" s="14"/>
      <c r="J874" s="14"/>
      <c r="K874" s="14"/>
      <c r="L874" s="14"/>
      <c r="M874" s="14"/>
      <c r="N874" s="14"/>
      <c r="O874" s="14"/>
      <c r="P874" s="14"/>
      <c r="Q874" s="14"/>
      <c r="R874" s="14"/>
    </row>
    <row r="875" spans="1:18" ht="27" customHeight="1">
      <c r="A875" s="13"/>
      <c r="B875" s="6"/>
      <c r="C875" s="6"/>
      <c r="D875" s="8"/>
      <c r="E875" s="6"/>
      <c r="F875" s="8"/>
      <c r="G875" s="6"/>
      <c r="H875" s="14"/>
      <c r="I875" s="14"/>
      <c r="J875" s="14"/>
      <c r="K875" s="14"/>
      <c r="L875" s="14"/>
      <c r="M875" s="14"/>
      <c r="N875" s="14"/>
      <c r="O875" s="14"/>
      <c r="P875" s="14"/>
      <c r="Q875" s="14"/>
      <c r="R875" s="14"/>
    </row>
    <row r="876" spans="1:18" ht="27" customHeight="1">
      <c r="A876" s="13"/>
      <c r="B876" s="6"/>
      <c r="C876" s="6"/>
      <c r="D876" s="8"/>
      <c r="E876" s="6"/>
      <c r="F876" s="8"/>
      <c r="G876" s="6"/>
      <c r="H876" s="14"/>
      <c r="I876" s="14"/>
      <c r="J876" s="14"/>
      <c r="K876" s="14"/>
      <c r="L876" s="14"/>
      <c r="M876" s="14"/>
      <c r="N876" s="14"/>
      <c r="O876" s="14"/>
      <c r="P876" s="14"/>
      <c r="Q876" s="14"/>
      <c r="R876" s="14"/>
    </row>
    <row r="877" spans="1:18" ht="27" customHeight="1">
      <c r="A877" s="13"/>
      <c r="B877" s="6"/>
      <c r="C877" s="6"/>
      <c r="D877" s="8"/>
      <c r="E877" s="6"/>
      <c r="F877" s="8"/>
      <c r="G877" s="6"/>
      <c r="H877" s="14"/>
      <c r="I877" s="14"/>
      <c r="J877" s="14"/>
      <c r="K877" s="14"/>
      <c r="L877" s="14"/>
      <c r="M877" s="14"/>
      <c r="N877" s="14"/>
      <c r="O877" s="14"/>
      <c r="P877" s="14"/>
      <c r="Q877" s="14"/>
      <c r="R877" s="14"/>
    </row>
    <row r="878" spans="1:18" ht="27" customHeight="1">
      <c r="A878" s="13"/>
      <c r="B878" s="6"/>
      <c r="C878" s="6"/>
      <c r="D878" s="8"/>
      <c r="E878" s="6"/>
      <c r="F878" s="8"/>
      <c r="G878" s="6"/>
      <c r="H878" s="14"/>
      <c r="I878" s="14"/>
      <c r="J878" s="14"/>
      <c r="K878" s="14"/>
      <c r="L878" s="14"/>
      <c r="M878" s="14"/>
      <c r="N878" s="14"/>
      <c r="O878" s="14"/>
      <c r="P878" s="14"/>
      <c r="Q878" s="14"/>
      <c r="R878" s="14"/>
    </row>
    <row r="879" spans="1:18" ht="27" customHeight="1">
      <c r="A879" s="13"/>
      <c r="B879" s="6"/>
      <c r="C879" s="6"/>
      <c r="D879" s="8"/>
      <c r="E879" s="6"/>
      <c r="F879" s="8"/>
      <c r="G879" s="6"/>
      <c r="H879" s="14"/>
      <c r="I879" s="14"/>
      <c r="J879" s="14"/>
      <c r="K879" s="14"/>
      <c r="L879" s="14"/>
      <c r="M879" s="14"/>
      <c r="N879" s="14"/>
      <c r="O879" s="14"/>
      <c r="P879" s="14"/>
      <c r="Q879" s="14"/>
      <c r="R879" s="14"/>
    </row>
    <row r="880" spans="1:18" ht="27" customHeight="1">
      <c r="A880" s="13"/>
      <c r="B880" s="6"/>
      <c r="C880" s="6"/>
      <c r="D880" s="8"/>
      <c r="E880" s="6"/>
      <c r="F880" s="8"/>
      <c r="G880" s="6"/>
      <c r="H880" s="14"/>
      <c r="I880" s="14"/>
      <c r="J880" s="14"/>
      <c r="K880" s="14"/>
      <c r="L880" s="14"/>
      <c r="M880" s="14"/>
      <c r="N880" s="14"/>
      <c r="O880" s="14"/>
      <c r="P880" s="14"/>
      <c r="Q880" s="14"/>
      <c r="R880" s="14"/>
    </row>
    <row r="881" spans="1:18" ht="27" customHeight="1">
      <c r="A881" s="13"/>
      <c r="B881" s="6"/>
      <c r="C881" s="6"/>
      <c r="D881" s="8"/>
      <c r="E881" s="6"/>
      <c r="F881" s="8"/>
      <c r="G881" s="6"/>
      <c r="H881" s="14"/>
      <c r="I881" s="14"/>
      <c r="J881" s="14"/>
      <c r="K881" s="14"/>
      <c r="L881" s="14"/>
      <c r="M881" s="14"/>
      <c r="N881" s="14"/>
      <c r="O881" s="14"/>
      <c r="P881" s="14"/>
      <c r="Q881" s="14"/>
      <c r="R881" s="14"/>
    </row>
    <row r="882" spans="1:18" ht="27" customHeight="1">
      <c r="A882" s="13"/>
      <c r="B882" s="6"/>
      <c r="C882" s="6"/>
      <c r="D882" s="8"/>
      <c r="E882" s="6"/>
      <c r="F882" s="8"/>
      <c r="G882" s="6"/>
      <c r="H882" s="14"/>
      <c r="I882" s="14"/>
      <c r="J882" s="14"/>
      <c r="K882" s="14"/>
      <c r="L882" s="14"/>
      <c r="M882" s="14"/>
      <c r="N882" s="14"/>
      <c r="O882" s="14"/>
      <c r="P882" s="14"/>
      <c r="Q882" s="14"/>
      <c r="R882" s="14"/>
    </row>
    <row r="883" spans="1:18" ht="27" customHeight="1">
      <c r="A883" s="13"/>
      <c r="B883" s="6"/>
      <c r="C883" s="6"/>
      <c r="D883" s="8"/>
      <c r="E883" s="6"/>
      <c r="F883" s="8"/>
      <c r="G883" s="6"/>
      <c r="H883" s="14"/>
      <c r="I883" s="14"/>
      <c r="J883" s="14"/>
      <c r="K883" s="14"/>
      <c r="L883" s="14"/>
      <c r="M883" s="14"/>
      <c r="N883" s="14"/>
      <c r="O883" s="14"/>
      <c r="P883" s="14"/>
      <c r="Q883" s="14"/>
      <c r="R883" s="14"/>
    </row>
    <row r="884" spans="1:18" ht="27" customHeight="1">
      <c r="A884" s="13"/>
      <c r="B884" s="6"/>
      <c r="C884" s="6"/>
      <c r="D884" s="8"/>
      <c r="E884" s="6"/>
      <c r="F884" s="8"/>
      <c r="G884" s="6"/>
      <c r="H884" s="14"/>
      <c r="I884" s="14"/>
      <c r="J884" s="14"/>
      <c r="K884" s="14"/>
      <c r="L884" s="14"/>
      <c r="M884" s="14"/>
      <c r="N884" s="14"/>
      <c r="O884" s="14"/>
      <c r="P884" s="14"/>
      <c r="Q884" s="14"/>
      <c r="R884" s="14"/>
    </row>
    <row r="885" spans="1:18" ht="27" customHeight="1">
      <c r="A885" s="13"/>
      <c r="B885" s="6"/>
      <c r="C885" s="6"/>
      <c r="D885" s="8"/>
      <c r="E885" s="6"/>
      <c r="F885" s="8"/>
      <c r="G885" s="6"/>
      <c r="H885" s="14"/>
      <c r="I885" s="14"/>
      <c r="J885" s="14"/>
      <c r="K885" s="14"/>
      <c r="L885" s="14"/>
      <c r="M885" s="14"/>
      <c r="N885" s="14"/>
      <c r="O885" s="14"/>
      <c r="P885" s="14"/>
      <c r="Q885" s="14"/>
      <c r="R885" s="14"/>
    </row>
    <row r="886" spans="1:18" ht="27" customHeight="1">
      <c r="A886" s="13"/>
      <c r="B886" s="6"/>
      <c r="C886" s="6"/>
      <c r="D886" s="8"/>
      <c r="E886" s="6"/>
      <c r="F886" s="8"/>
      <c r="G886" s="6"/>
      <c r="H886" s="14"/>
      <c r="I886" s="14"/>
      <c r="J886" s="14"/>
      <c r="K886" s="14"/>
      <c r="L886" s="14"/>
      <c r="M886" s="14"/>
      <c r="N886" s="14"/>
      <c r="O886" s="14"/>
      <c r="P886" s="14"/>
      <c r="Q886" s="14"/>
      <c r="R886" s="14"/>
    </row>
    <row r="887" spans="1:18" ht="27" customHeight="1">
      <c r="A887" s="13"/>
      <c r="B887" s="6"/>
      <c r="C887" s="6"/>
      <c r="D887" s="8"/>
      <c r="E887" s="6"/>
      <c r="F887" s="8"/>
      <c r="G887" s="6"/>
      <c r="H887" s="14"/>
      <c r="I887" s="14"/>
      <c r="J887" s="14"/>
      <c r="K887" s="14"/>
      <c r="L887" s="14"/>
      <c r="M887" s="14"/>
      <c r="N887" s="14"/>
      <c r="O887" s="14"/>
      <c r="P887" s="14"/>
      <c r="Q887" s="14"/>
      <c r="R887" s="14"/>
    </row>
    <row r="888" spans="1:18" ht="27" customHeight="1">
      <c r="A888" s="13"/>
      <c r="B888" s="6"/>
      <c r="C888" s="6"/>
      <c r="D888" s="8"/>
      <c r="E888" s="6"/>
      <c r="F888" s="8"/>
      <c r="G888" s="6"/>
      <c r="H888" s="14"/>
      <c r="I888" s="14"/>
      <c r="J888" s="14"/>
      <c r="K888" s="14"/>
      <c r="L888" s="14"/>
      <c r="M888" s="14"/>
      <c r="N888" s="14"/>
      <c r="O888" s="14"/>
      <c r="P888" s="14"/>
      <c r="Q888" s="14"/>
      <c r="R888" s="14"/>
    </row>
    <row r="889" spans="1:18" ht="27" customHeight="1">
      <c r="A889" s="13"/>
      <c r="B889" s="6"/>
      <c r="C889" s="6"/>
      <c r="D889" s="8"/>
      <c r="E889" s="6"/>
      <c r="F889" s="8"/>
      <c r="G889" s="6"/>
      <c r="H889" s="14"/>
      <c r="I889" s="14"/>
      <c r="J889" s="14"/>
      <c r="K889" s="14"/>
      <c r="L889" s="14"/>
      <c r="M889" s="14"/>
      <c r="N889" s="14"/>
      <c r="O889" s="14"/>
      <c r="P889" s="14"/>
      <c r="Q889" s="14"/>
      <c r="R889" s="14"/>
    </row>
    <row r="890" spans="1:18" ht="27" customHeight="1">
      <c r="A890" s="13"/>
      <c r="B890" s="6"/>
      <c r="C890" s="6"/>
      <c r="D890" s="8"/>
      <c r="E890" s="6"/>
      <c r="F890" s="8"/>
      <c r="G890" s="6"/>
      <c r="H890" s="14"/>
      <c r="I890" s="14"/>
      <c r="J890" s="14"/>
      <c r="K890" s="14"/>
      <c r="L890" s="14"/>
      <c r="M890" s="14"/>
      <c r="N890" s="14"/>
      <c r="O890" s="14"/>
      <c r="P890" s="14"/>
      <c r="Q890" s="14"/>
      <c r="R890" s="14"/>
    </row>
    <row r="891" spans="1:18" ht="27" customHeight="1">
      <c r="A891" s="13"/>
      <c r="B891" s="6"/>
      <c r="C891" s="6"/>
      <c r="D891" s="8"/>
      <c r="E891" s="6"/>
      <c r="F891" s="8"/>
      <c r="G891" s="6"/>
      <c r="H891" s="14"/>
      <c r="I891" s="14"/>
      <c r="J891" s="14"/>
      <c r="K891" s="14"/>
      <c r="L891" s="14"/>
      <c r="M891" s="14"/>
      <c r="N891" s="14"/>
      <c r="O891" s="14"/>
      <c r="P891" s="14"/>
      <c r="Q891" s="14"/>
      <c r="R891" s="14"/>
    </row>
    <row r="892" spans="1:18" ht="27" customHeight="1">
      <c r="A892" s="13"/>
      <c r="B892" s="6"/>
      <c r="C892" s="6"/>
      <c r="D892" s="8"/>
      <c r="E892" s="6"/>
      <c r="F892" s="8"/>
      <c r="G892" s="6"/>
      <c r="H892" s="14"/>
      <c r="I892" s="14"/>
      <c r="J892" s="14"/>
      <c r="K892" s="14"/>
      <c r="L892" s="14"/>
      <c r="M892" s="14"/>
      <c r="N892" s="14"/>
      <c r="O892" s="14"/>
      <c r="P892" s="14"/>
      <c r="Q892" s="14"/>
      <c r="R892" s="14"/>
    </row>
    <row r="893" spans="1:18" ht="27" customHeight="1">
      <c r="A893" s="13"/>
      <c r="B893" s="6"/>
      <c r="C893" s="6"/>
      <c r="D893" s="8"/>
      <c r="E893" s="6"/>
      <c r="F893" s="8"/>
      <c r="G893" s="6"/>
      <c r="H893" s="14"/>
      <c r="I893" s="14"/>
      <c r="J893" s="14"/>
      <c r="K893" s="14"/>
      <c r="L893" s="14"/>
      <c r="M893" s="14"/>
      <c r="N893" s="14"/>
      <c r="O893" s="14"/>
      <c r="P893" s="14"/>
      <c r="Q893" s="14"/>
      <c r="R893" s="14"/>
    </row>
    <row r="894" spans="1:18" ht="27" customHeight="1">
      <c r="A894" s="13"/>
      <c r="B894" s="6"/>
      <c r="C894" s="6"/>
      <c r="D894" s="8"/>
      <c r="E894" s="6"/>
      <c r="F894" s="8"/>
      <c r="G894" s="6"/>
      <c r="H894" s="14"/>
      <c r="I894" s="14"/>
      <c r="J894" s="14"/>
      <c r="K894" s="14"/>
      <c r="L894" s="14"/>
      <c r="M894" s="14"/>
      <c r="N894" s="14"/>
      <c r="O894" s="14"/>
      <c r="P894" s="14"/>
      <c r="Q894" s="14"/>
      <c r="R894" s="14"/>
    </row>
    <row r="895" spans="1:18" ht="27" customHeight="1">
      <c r="A895" s="13"/>
      <c r="B895" s="6"/>
      <c r="C895" s="6"/>
      <c r="D895" s="8"/>
      <c r="E895" s="6"/>
      <c r="F895" s="8"/>
      <c r="G895" s="6"/>
      <c r="H895" s="14"/>
      <c r="I895" s="14"/>
      <c r="J895" s="14"/>
      <c r="K895" s="14"/>
      <c r="L895" s="14"/>
      <c r="M895" s="14"/>
      <c r="N895" s="14"/>
      <c r="O895" s="14"/>
      <c r="P895" s="14"/>
      <c r="Q895" s="14"/>
      <c r="R895" s="14"/>
    </row>
    <row r="896" spans="1:18" ht="27" customHeight="1">
      <c r="A896" s="13"/>
      <c r="B896" s="6"/>
      <c r="C896" s="6"/>
      <c r="D896" s="8"/>
      <c r="E896" s="6"/>
      <c r="F896" s="8"/>
      <c r="G896" s="6"/>
      <c r="H896" s="14"/>
      <c r="I896" s="14"/>
      <c r="J896" s="14"/>
      <c r="K896" s="14"/>
      <c r="L896" s="14"/>
      <c r="M896" s="14"/>
      <c r="N896" s="14"/>
      <c r="O896" s="14"/>
      <c r="P896" s="14"/>
      <c r="Q896" s="14"/>
      <c r="R896" s="14"/>
    </row>
    <row r="897" spans="1:18" ht="27" customHeight="1">
      <c r="A897" s="13"/>
      <c r="B897" s="6"/>
      <c r="C897" s="6"/>
      <c r="D897" s="8"/>
      <c r="E897" s="6"/>
      <c r="F897" s="8"/>
      <c r="G897" s="6"/>
      <c r="H897" s="14"/>
      <c r="I897" s="14"/>
      <c r="J897" s="14"/>
      <c r="K897" s="14"/>
      <c r="L897" s="14"/>
      <c r="M897" s="14"/>
      <c r="N897" s="14"/>
      <c r="O897" s="14"/>
      <c r="P897" s="14"/>
      <c r="Q897" s="14"/>
      <c r="R897" s="14"/>
    </row>
    <row r="898" spans="1:18" ht="27" customHeight="1">
      <c r="A898" s="13"/>
      <c r="B898" s="6"/>
      <c r="C898" s="6"/>
      <c r="D898" s="8"/>
      <c r="E898" s="6"/>
      <c r="F898" s="8"/>
      <c r="G898" s="6"/>
      <c r="H898" s="14"/>
      <c r="I898" s="14"/>
      <c r="J898" s="14"/>
      <c r="K898" s="14"/>
      <c r="L898" s="14"/>
      <c r="M898" s="14"/>
      <c r="N898" s="14"/>
      <c r="O898" s="14"/>
      <c r="P898" s="14"/>
      <c r="Q898" s="14"/>
      <c r="R898" s="14"/>
    </row>
    <row r="899" spans="1:18" ht="27" customHeight="1">
      <c r="A899" s="13"/>
      <c r="B899" s="6"/>
      <c r="C899" s="6"/>
      <c r="D899" s="8"/>
      <c r="E899" s="6"/>
      <c r="F899" s="8"/>
      <c r="G899" s="6"/>
      <c r="H899" s="14"/>
      <c r="I899" s="14"/>
      <c r="J899" s="14"/>
      <c r="K899" s="14"/>
      <c r="L899" s="14"/>
      <c r="M899" s="14"/>
      <c r="N899" s="14"/>
      <c r="O899" s="14"/>
      <c r="P899" s="14"/>
      <c r="Q899" s="14"/>
      <c r="R899" s="14"/>
    </row>
    <row r="900" spans="1:18" ht="27" customHeight="1">
      <c r="A900" s="13"/>
      <c r="B900" s="6"/>
      <c r="C900" s="6"/>
      <c r="D900" s="8"/>
      <c r="E900" s="6"/>
      <c r="F900" s="8"/>
      <c r="G900" s="6"/>
      <c r="H900" s="14"/>
      <c r="I900" s="14"/>
      <c r="J900" s="14"/>
      <c r="K900" s="14"/>
      <c r="L900" s="14"/>
      <c r="M900" s="14"/>
      <c r="N900" s="14"/>
      <c r="O900" s="14"/>
      <c r="P900" s="14"/>
      <c r="Q900" s="14"/>
      <c r="R900" s="14"/>
    </row>
    <row r="901" spans="1:18" ht="27" customHeight="1">
      <c r="A901" s="13"/>
      <c r="B901" s="6"/>
      <c r="C901" s="6"/>
      <c r="D901" s="8"/>
      <c r="E901" s="6"/>
      <c r="F901" s="8"/>
      <c r="G901" s="6"/>
      <c r="H901" s="14"/>
      <c r="I901" s="14"/>
      <c r="J901" s="14"/>
      <c r="K901" s="14"/>
      <c r="L901" s="14"/>
      <c r="M901" s="14"/>
      <c r="N901" s="14"/>
      <c r="O901" s="14"/>
      <c r="P901" s="14"/>
      <c r="Q901" s="14"/>
      <c r="R901" s="14"/>
    </row>
    <row r="902" spans="1:18" ht="27" customHeight="1">
      <c r="A902" s="13"/>
      <c r="B902" s="6"/>
      <c r="C902" s="6"/>
      <c r="D902" s="8"/>
      <c r="E902" s="6"/>
      <c r="F902" s="8"/>
      <c r="G902" s="6"/>
      <c r="H902" s="14"/>
      <c r="I902" s="14"/>
      <c r="J902" s="14"/>
      <c r="K902" s="14"/>
      <c r="L902" s="14"/>
      <c r="M902" s="14"/>
      <c r="N902" s="14"/>
      <c r="O902" s="14"/>
      <c r="P902" s="14"/>
      <c r="Q902" s="14"/>
      <c r="R902" s="14"/>
    </row>
    <row r="903" spans="1:18" ht="27" customHeight="1">
      <c r="A903" s="13"/>
      <c r="B903" s="6"/>
      <c r="C903" s="6"/>
      <c r="D903" s="8"/>
      <c r="E903" s="6"/>
      <c r="F903" s="8"/>
      <c r="G903" s="6"/>
      <c r="H903" s="14"/>
      <c r="I903" s="14"/>
      <c r="J903" s="14"/>
      <c r="K903" s="14"/>
      <c r="L903" s="14"/>
      <c r="M903" s="14"/>
      <c r="N903" s="14"/>
      <c r="O903" s="14"/>
      <c r="P903" s="14"/>
      <c r="Q903" s="14"/>
      <c r="R903" s="14"/>
    </row>
    <row r="904" spans="1:18" ht="27" customHeight="1">
      <c r="A904" s="13"/>
      <c r="B904" s="6"/>
      <c r="C904" s="6"/>
      <c r="D904" s="8"/>
      <c r="E904" s="6"/>
      <c r="F904" s="8"/>
      <c r="G904" s="6"/>
      <c r="H904" s="14"/>
      <c r="I904" s="14"/>
      <c r="J904" s="14"/>
      <c r="K904" s="14"/>
      <c r="L904" s="14"/>
      <c r="M904" s="14"/>
      <c r="N904" s="14"/>
      <c r="O904" s="14"/>
      <c r="P904" s="14"/>
      <c r="Q904" s="14"/>
      <c r="R904" s="14"/>
    </row>
    <row r="905" spans="1:18" ht="27" customHeight="1">
      <c r="A905" s="13"/>
      <c r="B905" s="6"/>
      <c r="C905" s="6"/>
      <c r="D905" s="8"/>
      <c r="E905" s="6"/>
      <c r="F905" s="8"/>
      <c r="G905" s="6"/>
      <c r="H905" s="14"/>
      <c r="I905" s="14"/>
      <c r="J905" s="14"/>
      <c r="K905" s="14"/>
      <c r="L905" s="14"/>
      <c r="M905" s="14"/>
      <c r="N905" s="14"/>
      <c r="O905" s="14"/>
      <c r="P905" s="14"/>
      <c r="Q905" s="14"/>
      <c r="R905" s="14"/>
    </row>
    <row r="906" spans="1:18" ht="27" customHeight="1">
      <c r="A906" s="13"/>
      <c r="B906" s="6"/>
      <c r="C906" s="6"/>
      <c r="D906" s="8"/>
      <c r="E906" s="6"/>
      <c r="F906" s="8"/>
      <c r="G906" s="6"/>
      <c r="H906" s="14"/>
      <c r="I906" s="14"/>
      <c r="J906" s="14"/>
      <c r="K906" s="14"/>
      <c r="L906" s="14"/>
      <c r="M906" s="14"/>
      <c r="N906" s="14"/>
      <c r="O906" s="14"/>
      <c r="P906" s="14"/>
      <c r="Q906" s="14"/>
      <c r="R906" s="14"/>
    </row>
    <row r="907" spans="1:18" ht="27" customHeight="1">
      <c r="A907" s="13"/>
      <c r="B907" s="6"/>
      <c r="C907" s="6"/>
      <c r="D907" s="8"/>
      <c r="E907" s="6"/>
      <c r="F907" s="8"/>
      <c r="G907" s="6"/>
      <c r="H907" s="14"/>
      <c r="I907" s="14"/>
      <c r="J907" s="14"/>
      <c r="K907" s="14"/>
      <c r="L907" s="14"/>
      <c r="M907" s="14"/>
      <c r="N907" s="14"/>
      <c r="O907" s="14"/>
      <c r="P907" s="14"/>
      <c r="Q907" s="14"/>
      <c r="R907" s="14"/>
    </row>
    <row r="908" spans="1:18" ht="27" customHeight="1">
      <c r="A908" s="13"/>
      <c r="B908" s="6"/>
      <c r="C908" s="6"/>
      <c r="D908" s="8"/>
      <c r="E908" s="6"/>
      <c r="F908" s="8"/>
      <c r="G908" s="6"/>
      <c r="H908" s="14"/>
      <c r="I908" s="14"/>
      <c r="J908" s="14"/>
      <c r="K908" s="14"/>
      <c r="L908" s="14"/>
      <c r="M908" s="14"/>
      <c r="N908" s="14"/>
      <c r="O908" s="14"/>
      <c r="P908" s="14"/>
      <c r="Q908" s="14"/>
      <c r="R908" s="14"/>
    </row>
    <row r="909" spans="1:18" ht="27" customHeight="1">
      <c r="A909" s="13"/>
      <c r="B909" s="6"/>
      <c r="C909" s="6"/>
      <c r="D909" s="8"/>
      <c r="E909" s="6"/>
      <c r="F909" s="8"/>
      <c r="G909" s="6"/>
      <c r="H909" s="14"/>
      <c r="I909" s="14"/>
      <c r="J909" s="14"/>
      <c r="K909" s="14"/>
      <c r="L909" s="14"/>
      <c r="M909" s="14"/>
      <c r="N909" s="14"/>
      <c r="O909" s="14"/>
      <c r="P909" s="14"/>
      <c r="Q909" s="14"/>
      <c r="R909" s="14"/>
    </row>
    <row r="910" spans="1:18" ht="27" customHeight="1">
      <c r="A910" s="13"/>
      <c r="B910" s="6"/>
      <c r="C910" s="6"/>
      <c r="D910" s="8"/>
      <c r="E910" s="6"/>
      <c r="F910" s="8"/>
      <c r="G910" s="6"/>
      <c r="H910" s="14"/>
      <c r="I910" s="14"/>
      <c r="J910" s="14"/>
      <c r="K910" s="14"/>
      <c r="L910" s="14"/>
      <c r="M910" s="14"/>
      <c r="N910" s="14"/>
      <c r="O910" s="14"/>
      <c r="P910" s="14"/>
      <c r="Q910" s="14"/>
      <c r="R910" s="14"/>
    </row>
    <row r="911" spans="1:18" ht="27" customHeight="1">
      <c r="A911" s="13"/>
      <c r="B911" s="6"/>
      <c r="C911" s="6"/>
      <c r="D911" s="8"/>
      <c r="E911" s="6"/>
      <c r="F911" s="8"/>
      <c r="G911" s="6"/>
      <c r="H911" s="14"/>
      <c r="I911" s="14"/>
      <c r="J911" s="14"/>
      <c r="K911" s="14"/>
      <c r="L911" s="14"/>
      <c r="M911" s="14"/>
      <c r="N911" s="14"/>
      <c r="O911" s="14"/>
      <c r="P911" s="14"/>
      <c r="Q911" s="14"/>
      <c r="R911" s="14"/>
    </row>
    <row r="912" spans="1:18" ht="27" customHeight="1">
      <c r="A912" s="13"/>
      <c r="B912" s="6"/>
      <c r="C912" s="6"/>
      <c r="D912" s="8"/>
      <c r="E912" s="6"/>
      <c r="F912" s="8"/>
      <c r="G912" s="6"/>
      <c r="H912" s="14"/>
      <c r="I912" s="14"/>
      <c r="J912" s="14"/>
      <c r="K912" s="14"/>
      <c r="L912" s="14"/>
      <c r="M912" s="14"/>
      <c r="N912" s="14"/>
      <c r="O912" s="14"/>
      <c r="P912" s="14"/>
      <c r="Q912" s="14"/>
      <c r="R912" s="14"/>
    </row>
    <row r="913" spans="1:18" ht="27" customHeight="1">
      <c r="A913" s="13"/>
      <c r="B913" s="6"/>
      <c r="C913" s="6"/>
      <c r="D913" s="8"/>
      <c r="E913" s="6"/>
      <c r="F913" s="8"/>
      <c r="G913" s="6"/>
      <c r="H913" s="14"/>
      <c r="I913" s="14"/>
      <c r="J913" s="14"/>
      <c r="K913" s="14"/>
      <c r="L913" s="14"/>
      <c r="M913" s="14"/>
      <c r="N913" s="14"/>
      <c r="O913" s="14"/>
      <c r="P913" s="14"/>
      <c r="Q913" s="14"/>
      <c r="R913" s="14"/>
    </row>
    <row r="914" spans="1:18" ht="27" customHeight="1">
      <c r="A914" s="13"/>
      <c r="B914" s="6"/>
      <c r="C914" s="6"/>
      <c r="D914" s="8"/>
      <c r="E914" s="6"/>
      <c r="F914" s="8"/>
      <c r="G914" s="6"/>
      <c r="H914" s="14"/>
      <c r="I914" s="14"/>
      <c r="J914" s="14"/>
      <c r="K914" s="14"/>
      <c r="L914" s="14"/>
      <c r="M914" s="14"/>
      <c r="N914" s="14"/>
      <c r="O914" s="14"/>
      <c r="P914" s="14"/>
      <c r="Q914" s="14"/>
      <c r="R914" s="14"/>
    </row>
    <row r="915" spans="1:18" ht="27" customHeight="1">
      <c r="A915" s="13"/>
      <c r="B915" s="6"/>
      <c r="C915" s="6"/>
      <c r="D915" s="8"/>
      <c r="E915" s="6"/>
      <c r="F915" s="8"/>
      <c r="G915" s="6"/>
      <c r="H915" s="14"/>
      <c r="I915" s="14"/>
      <c r="J915" s="14"/>
      <c r="K915" s="14"/>
      <c r="L915" s="14"/>
      <c r="M915" s="14"/>
      <c r="N915" s="14"/>
      <c r="O915" s="14"/>
      <c r="P915" s="14"/>
      <c r="Q915" s="14"/>
      <c r="R915" s="14"/>
    </row>
    <row r="916" spans="1:18" ht="27" customHeight="1">
      <c r="A916" s="13"/>
      <c r="B916" s="6"/>
      <c r="C916" s="6"/>
      <c r="D916" s="8"/>
      <c r="E916" s="6"/>
      <c r="F916" s="8"/>
      <c r="G916" s="6"/>
      <c r="H916" s="14"/>
      <c r="I916" s="14"/>
      <c r="J916" s="14"/>
      <c r="K916" s="14"/>
      <c r="L916" s="14"/>
      <c r="M916" s="14"/>
      <c r="N916" s="14"/>
      <c r="O916" s="14"/>
      <c r="P916" s="14"/>
      <c r="Q916" s="14"/>
      <c r="R916" s="14"/>
    </row>
    <row r="917" spans="1:18" ht="27" customHeight="1">
      <c r="A917" s="13"/>
      <c r="B917" s="6"/>
      <c r="C917" s="6"/>
      <c r="D917" s="8"/>
      <c r="E917" s="6"/>
      <c r="F917" s="8"/>
      <c r="G917" s="6"/>
      <c r="H917" s="14"/>
      <c r="I917" s="14"/>
      <c r="J917" s="14"/>
      <c r="K917" s="14"/>
      <c r="L917" s="14"/>
      <c r="M917" s="14"/>
      <c r="N917" s="14"/>
      <c r="O917" s="14"/>
      <c r="P917" s="14"/>
      <c r="Q917" s="14"/>
      <c r="R917" s="14"/>
    </row>
    <row r="918" spans="1:18" ht="27" customHeight="1">
      <c r="A918" s="13"/>
      <c r="B918" s="6"/>
      <c r="C918" s="6"/>
      <c r="D918" s="8"/>
      <c r="E918" s="6"/>
      <c r="F918" s="8"/>
      <c r="G918" s="6"/>
      <c r="H918" s="14"/>
      <c r="I918" s="14"/>
      <c r="J918" s="14"/>
      <c r="K918" s="14"/>
      <c r="L918" s="14"/>
      <c r="M918" s="14"/>
      <c r="N918" s="14"/>
      <c r="O918" s="14"/>
      <c r="P918" s="14"/>
      <c r="Q918" s="14"/>
      <c r="R918" s="14"/>
    </row>
    <row r="919" spans="1:18" ht="27" customHeight="1">
      <c r="A919" s="13"/>
      <c r="B919" s="6"/>
      <c r="C919" s="6"/>
      <c r="D919" s="8"/>
      <c r="E919" s="6"/>
      <c r="F919" s="8"/>
      <c r="G919" s="6"/>
      <c r="H919" s="14"/>
      <c r="I919" s="14"/>
      <c r="J919" s="14"/>
      <c r="K919" s="14"/>
      <c r="L919" s="14"/>
      <c r="M919" s="14"/>
      <c r="N919" s="14"/>
      <c r="O919" s="14"/>
      <c r="P919" s="14"/>
      <c r="Q919" s="14"/>
      <c r="R919" s="14"/>
    </row>
    <row r="920" spans="1:18" ht="27" customHeight="1">
      <c r="A920" s="13"/>
      <c r="B920" s="6"/>
      <c r="C920" s="6"/>
      <c r="D920" s="8"/>
      <c r="E920" s="6"/>
      <c r="F920" s="8"/>
      <c r="G920" s="6"/>
      <c r="H920" s="14"/>
      <c r="I920" s="14"/>
      <c r="J920" s="14"/>
      <c r="K920" s="14"/>
      <c r="L920" s="14"/>
      <c r="M920" s="14"/>
      <c r="N920" s="14"/>
      <c r="O920" s="14"/>
      <c r="P920" s="14"/>
      <c r="Q920" s="14"/>
      <c r="R920" s="14"/>
    </row>
    <row r="921" spans="1:18" ht="27" customHeight="1">
      <c r="A921" s="13"/>
      <c r="B921" s="6"/>
      <c r="C921" s="6"/>
      <c r="D921" s="8"/>
      <c r="E921" s="6"/>
      <c r="F921" s="8"/>
      <c r="G921" s="6"/>
      <c r="H921" s="14"/>
      <c r="I921" s="14"/>
      <c r="J921" s="14"/>
      <c r="K921" s="14"/>
      <c r="L921" s="14"/>
      <c r="M921" s="14"/>
      <c r="N921" s="14"/>
      <c r="O921" s="14"/>
      <c r="P921" s="14"/>
      <c r="Q921" s="14"/>
      <c r="R921" s="14"/>
    </row>
    <row r="922" spans="1:18" ht="27" customHeight="1">
      <c r="A922" s="13"/>
      <c r="B922" s="6"/>
      <c r="C922" s="6"/>
      <c r="D922" s="8"/>
      <c r="E922" s="6"/>
      <c r="F922" s="8"/>
      <c r="G922" s="6"/>
      <c r="H922" s="14"/>
      <c r="I922" s="14"/>
      <c r="J922" s="14"/>
      <c r="K922" s="14"/>
      <c r="L922" s="14"/>
      <c r="M922" s="14"/>
      <c r="N922" s="14"/>
      <c r="O922" s="14"/>
      <c r="P922" s="14"/>
      <c r="Q922" s="14"/>
      <c r="R922" s="14"/>
    </row>
    <row r="923" spans="1:18" ht="27" customHeight="1">
      <c r="A923" s="13"/>
      <c r="B923" s="6"/>
      <c r="C923" s="6"/>
      <c r="D923" s="8"/>
      <c r="E923" s="6"/>
      <c r="F923" s="8"/>
      <c r="G923" s="6"/>
      <c r="H923" s="14"/>
      <c r="I923" s="14"/>
      <c r="J923" s="14"/>
      <c r="K923" s="14"/>
      <c r="L923" s="14"/>
      <c r="M923" s="14"/>
      <c r="N923" s="14"/>
      <c r="O923" s="14"/>
      <c r="P923" s="14"/>
      <c r="Q923" s="14"/>
      <c r="R923" s="14"/>
    </row>
    <row r="924" spans="1:18" ht="27" customHeight="1">
      <c r="A924" s="13"/>
      <c r="B924" s="6"/>
      <c r="C924" s="6"/>
      <c r="D924" s="8"/>
      <c r="E924" s="6"/>
      <c r="F924" s="8"/>
      <c r="G924" s="6"/>
      <c r="H924" s="14"/>
      <c r="I924" s="14"/>
      <c r="J924" s="14"/>
      <c r="K924" s="14"/>
      <c r="L924" s="14"/>
      <c r="M924" s="14"/>
      <c r="N924" s="14"/>
      <c r="O924" s="14"/>
      <c r="P924" s="14"/>
      <c r="Q924" s="14"/>
      <c r="R924" s="14"/>
    </row>
    <row r="925" spans="1:18" ht="27" customHeight="1">
      <c r="A925" s="13"/>
      <c r="B925" s="6"/>
      <c r="C925" s="6"/>
      <c r="D925" s="8"/>
      <c r="E925" s="6"/>
      <c r="F925" s="8"/>
      <c r="G925" s="6"/>
      <c r="H925" s="14"/>
      <c r="I925" s="14"/>
      <c r="J925" s="14"/>
      <c r="K925" s="14"/>
      <c r="L925" s="14"/>
      <c r="M925" s="14"/>
      <c r="N925" s="14"/>
      <c r="O925" s="14"/>
      <c r="P925" s="14"/>
      <c r="Q925" s="14"/>
      <c r="R925" s="14"/>
    </row>
    <row r="926" spans="1:18" ht="27" customHeight="1">
      <c r="A926" s="13"/>
      <c r="B926" s="6"/>
      <c r="C926" s="6"/>
      <c r="D926" s="8"/>
      <c r="E926" s="6"/>
      <c r="F926" s="8"/>
      <c r="G926" s="6"/>
      <c r="H926" s="14"/>
      <c r="I926" s="14"/>
      <c r="J926" s="14"/>
      <c r="K926" s="14"/>
      <c r="L926" s="14"/>
      <c r="M926" s="14"/>
      <c r="N926" s="14"/>
      <c r="O926" s="14"/>
      <c r="P926" s="14"/>
      <c r="Q926" s="14"/>
      <c r="R926" s="14"/>
    </row>
    <row r="927" spans="1:18" ht="27" customHeight="1">
      <c r="A927" s="13"/>
      <c r="B927" s="6"/>
      <c r="C927" s="6"/>
      <c r="D927" s="8"/>
      <c r="E927" s="6"/>
      <c r="F927" s="8"/>
      <c r="G927" s="6"/>
      <c r="H927" s="14"/>
      <c r="I927" s="14"/>
      <c r="J927" s="14"/>
      <c r="K927" s="14"/>
      <c r="L927" s="14"/>
      <c r="M927" s="14"/>
      <c r="N927" s="14"/>
      <c r="O927" s="14"/>
      <c r="P927" s="14"/>
      <c r="Q927" s="14"/>
      <c r="R927" s="14"/>
    </row>
    <row r="928" spans="1:18" ht="27" customHeight="1">
      <c r="A928" s="13"/>
      <c r="B928" s="6"/>
      <c r="C928" s="6"/>
      <c r="D928" s="8"/>
      <c r="E928" s="6"/>
      <c r="F928" s="8"/>
      <c r="G928" s="6"/>
      <c r="H928" s="14"/>
      <c r="I928" s="14"/>
      <c r="J928" s="14"/>
      <c r="K928" s="14"/>
      <c r="L928" s="14"/>
      <c r="M928" s="14"/>
      <c r="N928" s="14"/>
      <c r="O928" s="14"/>
      <c r="P928" s="14"/>
      <c r="Q928" s="14"/>
      <c r="R928" s="14"/>
    </row>
    <row r="929" spans="1:18" ht="27" customHeight="1">
      <c r="A929" s="13"/>
      <c r="B929" s="6"/>
      <c r="C929" s="6"/>
      <c r="D929" s="8"/>
      <c r="E929" s="6"/>
      <c r="F929" s="8"/>
      <c r="G929" s="6"/>
      <c r="H929" s="14"/>
      <c r="I929" s="14"/>
      <c r="J929" s="14"/>
      <c r="K929" s="14"/>
      <c r="L929" s="14"/>
      <c r="M929" s="14"/>
      <c r="N929" s="14"/>
      <c r="O929" s="14"/>
      <c r="P929" s="14"/>
      <c r="Q929" s="14"/>
      <c r="R929" s="14"/>
    </row>
    <row r="930" spans="1:18" ht="27" customHeight="1">
      <c r="A930" s="13"/>
      <c r="B930" s="6"/>
      <c r="C930" s="6"/>
      <c r="D930" s="8"/>
      <c r="E930" s="6"/>
      <c r="F930" s="8"/>
      <c r="G930" s="6"/>
      <c r="H930" s="14"/>
      <c r="I930" s="14"/>
      <c r="J930" s="14"/>
      <c r="K930" s="14"/>
      <c r="L930" s="14"/>
      <c r="M930" s="14"/>
      <c r="N930" s="14"/>
      <c r="O930" s="14"/>
      <c r="P930" s="14"/>
      <c r="Q930" s="14"/>
      <c r="R930" s="14"/>
    </row>
    <row r="931" spans="1:18" ht="27" customHeight="1">
      <c r="A931" s="13"/>
      <c r="B931" s="6"/>
      <c r="C931" s="6"/>
      <c r="D931" s="8"/>
      <c r="E931" s="6"/>
      <c r="F931" s="8"/>
      <c r="G931" s="6"/>
      <c r="H931" s="14"/>
      <c r="I931" s="14"/>
      <c r="J931" s="14"/>
      <c r="K931" s="14"/>
      <c r="L931" s="14"/>
      <c r="M931" s="14"/>
      <c r="N931" s="14"/>
      <c r="O931" s="14"/>
      <c r="P931" s="14"/>
      <c r="Q931" s="14"/>
      <c r="R931" s="14"/>
    </row>
    <row r="932" spans="1:18" ht="27" customHeight="1">
      <c r="A932" s="13"/>
      <c r="B932" s="6"/>
      <c r="C932" s="6"/>
      <c r="D932" s="8"/>
      <c r="E932" s="6"/>
      <c r="F932" s="8"/>
      <c r="G932" s="6"/>
      <c r="H932" s="14"/>
      <c r="I932" s="14"/>
      <c r="J932" s="14"/>
      <c r="K932" s="14"/>
      <c r="L932" s="14"/>
      <c r="M932" s="14"/>
      <c r="N932" s="14"/>
      <c r="O932" s="14"/>
      <c r="P932" s="14"/>
      <c r="Q932" s="14"/>
      <c r="R932" s="14"/>
    </row>
    <row r="933" spans="1:18" ht="27" customHeight="1">
      <c r="A933" s="13"/>
      <c r="B933" s="6"/>
      <c r="C933" s="6"/>
      <c r="D933" s="8"/>
      <c r="E933" s="6"/>
      <c r="F933" s="8"/>
      <c r="G933" s="6"/>
      <c r="H933" s="14"/>
      <c r="I933" s="14"/>
      <c r="J933" s="14"/>
      <c r="K933" s="14"/>
      <c r="L933" s="14"/>
      <c r="M933" s="14"/>
      <c r="N933" s="14"/>
      <c r="O933" s="14"/>
      <c r="P933" s="14"/>
      <c r="Q933" s="14"/>
      <c r="R933" s="14"/>
    </row>
    <row r="934" spans="1:18" ht="27" customHeight="1">
      <c r="A934" s="13"/>
      <c r="B934" s="6"/>
      <c r="C934" s="6"/>
      <c r="D934" s="8"/>
      <c r="E934" s="6"/>
      <c r="F934" s="8"/>
      <c r="G934" s="6"/>
      <c r="H934" s="14"/>
      <c r="I934" s="14"/>
      <c r="J934" s="14"/>
      <c r="K934" s="14"/>
      <c r="L934" s="14"/>
      <c r="M934" s="14"/>
      <c r="N934" s="14"/>
      <c r="O934" s="14"/>
      <c r="P934" s="14"/>
      <c r="Q934" s="14"/>
      <c r="R934" s="14"/>
    </row>
    <row r="935" spans="1:18" ht="27" customHeight="1">
      <c r="A935" s="13"/>
      <c r="B935" s="6"/>
      <c r="C935" s="6"/>
      <c r="D935" s="8"/>
      <c r="E935" s="6"/>
      <c r="F935" s="8"/>
      <c r="G935" s="6"/>
      <c r="H935" s="14"/>
      <c r="I935" s="14"/>
      <c r="J935" s="14"/>
      <c r="K935" s="14"/>
      <c r="L935" s="14"/>
      <c r="M935" s="14"/>
      <c r="N935" s="14"/>
      <c r="O935" s="14"/>
      <c r="P935" s="14"/>
      <c r="Q935" s="14"/>
      <c r="R935" s="14"/>
    </row>
    <row r="936" spans="1:18" ht="27" customHeight="1">
      <c r="A936" s="13"/>
      <c r="B936" s="6"/>
      <c r="C936" s="6"/>
      <c r="D936" s="8"/>
      <c r="E936" s="6"/>
      <c r="F936" s="8"/>
      <c r="G936" s="6"/>
      <c r="H936" s="14"/>
      <c r="I936" s="14"/>
      <c r="J936" s="14"/>
      <c r="K936" s="14"/>
      <c r="L936" s="14"/>
      <c r="M936" s="14"/>
      <c r="N936" s="14"/>
      <c r="O936" s="14"/>
      <c r="P936" s="14"/>
      <c r="Q936" s="14"/>
      <c r="R936" s="14"/>
    </row>
    <row r="937" spans="1:18" ht="27" customHeight="1">
      <c r="A937" s="13"/>
      <c r="B937" s="6"/>
      <c r="C937" s="6"/>
      <c r="D937" s="8"/>
      <c r="E937" s="6"/>
      <c r="F937" s="8"/>
      <c r="G937" s="6"/>
      <c r="H937" s="14"/>
      <c r="I937" s="14"/>
      <c r="J937" s="14"/>
      <c r="K937" s="14"/>
      <c r="L937" s="14"/>
      <c r="M937" s="14"/>
      <c r="N937" s="14"/>
      <c r="O937" s="14"/>
      <c r="P937" s="14"/>
      <c r="Q937" s="14"/>
      <c r="R937" s="14"/>
    </row>
    <row r="938" spans="1:18" ht="27" customHeight="1">
      <c r="A938" s="13"/>
      <c r="B938" s="6"/>
      <c r="C938" s="6"/>
      <c r="D938" s="8"/>
      <c r="E938" s="6"/>
      <c r="F938" s="8"/>
      <c r="G938" s="6"/>
      <c r="H938" s="14"/>
      <c r="I938" s="14"/>
      <c r="J938" s="14"/>
      <c r="K938" s="14"/>
      <c r="L938" s="14"/>
      <c r="M938" s="14"/>
      <c r="N938" s="14"/>
      <c r="O938" s="14"/>
      <c r="P938" s="14"/>
      <c r="Q938" s="14"/>
      <c r="R938" s="14"/>
    </row>
    <row r="939" spans="1:18" ht="27" customHeight="1">
      <c r="A939" s="13"/>
      <c r="B939" s="6"/>
      <c r="C939" s="6"/>
      <c r="D939" s="8"/>
      <c r="E939" s="6"/>
      <c r="F939" s="8"/>
      <c r="G939" s="6"/>
      <c r="H939" s="14"/>
      <c r="I939" s="14"/>
      <c r="J939" s="14"/>
      <c r="K939" s="14"/>
      <c r="L939" s="14"/>
      <c r="M939" s="14"/>
      <c r="N939" s="14"/>
      <c r="O939" s="14"/>
      <c r="P939" s="14"/>
      <c r="Q939" s="14"/>
      <c r="R939" s="14"/>
    </row>
    <row r="940" spans="1:18" ht="27" customHeight="1">
      <c r="A940" s="13"/>
      <c r="B940" s="6"/>
      <c r="C940" s="6"/>
      <c r="D940" s="8"/>
      <c r="E940" s="6"/>
      <c r="F940" s="8"/>
      <c r="G940" s="6"/>
      <c r="H940" s="14"/>
      <c r="I940" s="14"/>
      <c r="J940" s="14"/>
      <c r="K940" s="14"/>
      <c r="L940" s="14"/>
      <c r="M940" s="14"/>
      <c r="N940" s="14"/>
      <c r="O940" s="14"/>
      <c r="P940" s="14"/>
      <c r="Q940" s="14"/>
      <c r="R940" s="14"/>
    </row>
    <row r="941" spans="1:18" ht="27" customHeight="1">
      <c r="A941" s="13"/>
      <c r="B941" s="6"/>
      <c r="C941" s="6"/>
      <c r="D941" s="8"/>
      <c r="E941" s="6"/>
      <c r="F941" s="8"/>
      <c r="G941" s="6"/>
      <c r="H941" s="14"/>
      <c r="I941" s="14"/>
      <c r="J941" s="14"/>
      <c r="K941" s="14"/>
      <c r="L941" s="14"/>
      <c r="M941" s="14"/>
      <c r="N941" s="14"/>
      <c r="O941" s="14"/>
      <c r="P941" s="14"/>
      <c r="Q941" s="14"/>
      <c r="R941" s="14"/>
    </row>
    <row r="942" spans="1:18" ht="27" customHeight="1">
      <c r="A942" s="13"/>
      <c r="B942" s="6"/>
      <c r="C942" s="6"/>
      <c r="D942" s="8"/>
      <c r="E942" s="6"/>
      <c r="F942" s="8"/>
      <c r="G942" s="6"/>
      <c r="H942" s="14"/>
      <c r="I942" s="14"/>
      <c r="J942" s="14"/>
      <c r="K942" s="14"/>
      <c r="L942" s="14"/>
      <c r="M942" s="14"/>
      <c r="N942" s="14"/>
      <c r="O942" s="14"/>
      <c r="P942" s="14"/>
      <c r="Q942" s="14"/>
      <c r="R942" s="14"/>
    </row>
    <row r="943" spans="1:18" ht="27" customHeight="1">
      <c r="A943" s="13"/>
      <c r="B943" s="6"/>
      <c r="C943" s="6"/>
      <c r="D943" s="8"/>
      <c r="E943" s="6"/>
      <c r="F943" s="8"/>
      <c r="G943" s="6"/>
      <c r="H943" s="14"/>
      <c r="I943" s="14"/>
      <c r="J943" s="14"/>
      <c r="K943" s="14"/>
      <c r="L943" s="14"/>
      <c r="M943" s="14"/>
      <c r="N943" s="14"/>
      <c r="O943" s="14"/>
      <c r="P943" s="14"/>
      <c r="Q943" s="14"/>
      <c r="R943" s="14"/>
    </row>
    <row r="944" spans="1:18" ht="27" customHeight="1">
      <c r="A944" s="13"/>
      <c r="B944" s="6"/>
      <c r="C944" s="6"/>
      <c r="D944" s="8"/>
      <c r="E944" s="6"/>
      <c r="F944" s="8"/>
      <c r="G944" s="6"/>
      <c r="H944" s="14"/>
      <c r="I944" s="14"/>
      <c r="J944" s="14"/>
      <c r="K944" s="14"/>
      <c r="L944" s="14"/>
      <c r="M944" s="14"/>
      <c r="N944" s="14"/>
      <c r="O944" s="14"/>
      <c r="P944" s="14"/>
      <c r="Q944" s="14"/>
      <c r="R944" s="14"/>
    </row>
    <row r="945" spans="1:18" ht="27" customHeight="1">
      <c r="A945" s="13"/>
      <c r="B945" s="6"/>
      <c r="C945" s="6"/>
      <c r="D945" s="8"/>
      <c r="E945" s="6"/>
      <c r="F945" s="8"/>
      <c r="G945" s="6"/>
      <c r="H945" s="14"/>
      <c r="I945" s="14"/>
      <c r="J945" s="14"/>
      <c r="K945" s="14"/>
      <c r="L945" s="14"/>
      <c r="M945" s="14"/>
      <c r="N945" s="14"/>
      <c r="O945" s="14"/>
      <c r="P945" s="14"/>
      <c r="Q945" s="14"/>
      <c r="R945" s="14"/>
    </row>
    <row r="946" spans="1:18" ht="27" customHeight="1">
      <c r="A946" s="13"/>
      <c r="B946" s="6"/>
      <c r="C946" s="6"/>
      <c r="D946" s="8"/>
      <c r="E946" s="6"/>
      <c r="F946" s="8"/>
      <c r="G946" s="6"/>
      <c r="H946" s="14"/>
      <c r="I946" s="14"/>
      <c r="J946" s="14"/>
      <c r="K946" s="14"/>
      <c r="L946" s="14"/>
      <c r="M946" s="14"/>
      <c r="N946" s="14"/>
      <c r="O946" s="14"/>
      <c r="P946" s="14"/>
      <c r="Q946" s="14"/>
      <c r="R946" s="14"/>
    </row>
    <row r="947" spans="1:18" ht="27" customHeight="1">
      <c r="A947" s="13"/>
      <c r="B947" s="6"/>
      <c r="C947" s="6"/>
      <c r="D947" s="8"/>
      <c r="E947" s="6"/>
      <c r="F947" s="8"/>
      <c r="G947" s="6"/>
      <c r="H947" s="14"/>
      <c r="I947" s="14"/>
      <c r="J947" s="14"/>
      <c r="K947" s="14"/>
      <c r="L947" s="14"/>
      <c r="M947" s="14"/>
      <c r="N947" s="14"/>
      <c r="O947" s="14"/>
      <c r="P947" s="14"/>
      <c r="Q947" s="14"/>
      <c r="R947" s="14"/>
    </row>
    <row r="948" spans="1:18" ht="27" customHeight="1">
      <c r="A948" s="13"/>
      <c r="B948" s="6"/>
      <c r="C948" s="6"/>
      <c r="D948" s="8"/>
      <c r="E948" s="6"/>
      <c r="F948" s="8"/>
      <c r="G948" s="6"/>
      <c r="H948" s="14"/>
      <c r="I948" s="14"/>
      <c r="J948" s="14"/>
      <c r="K948" s="14"/>
      <c r="L948" s="14"/>
      <c r="M948" s="14"/>
      <c r="N948" s="14"/>
      <c r="O948" s="14"/>
      <c r="P948" s="14"/>
      <c r="Q948" s="14"/>
      <c r="R948" s="14"/>
    </row>
    <row r="949" spans="1:18" ht="27" customHeight="1">
      <c r="A949" s="13"/>
      <c r="B949" s="6"/>
      <c r="C949" s="6"/>
      <c r="D949" s="8"/>
      <c r="E949" s="6"/>
      <c r="F949" s="8"/>
      <c r="G949" s="6"/>
      <c r="H949" s="14"/>
      <c r="I949" s="14"/>
      <c r="J949" s="14"/>
      <c r="K949" s="14"/>
      <c r="L949" s="14"/>
      <c r="M949" s="14"/>
      <c r="N949" s="14"/>
      <c r="O949" s="14"/>
      <c r="P949" s="14"/>
      <c r="Q949" s="14"/>
      <c r="R949" s="14"/>
    </row>
    <row r="950" spans="1:18" ht="27" customHeight="1">
      <c r="A950" s="13"/>
      <c r="B950" s="6"/>
      <c r="C950" s="6"/>
      <c r="D950" s="8"/>
      <c r="E950" s="6"/>
      <c r="F950" s="8"/>
      <c r="G950" s="6"/>
      <c r="H950" s="14"/>
      <c r="I950" s="14"/>
      <c r="J950" s="14"/>
      <c r="K950" s="14"/>
      <c r="L950" s="14"/>
      <c r="M950" s="14"/>
      <c r="N950" s="14"/>
      <c r="O950" s="14"/>
      <c r="P950" s="14"/>
      <c r="Q950" s="14"/>
      <c r="R950" s="14"/>
    </row>
    <row r="951" spans="1:18" ht="27" customHeight="1">
      <c r="A951" s="13"/>
      <c r="B951" s="6"/>
      <c r="C951" s="6"/>
      <c r="D951" s="8"/>
      <c r="E951" s="6"/>
      <c r="F951" s="8"/>
      <c r="G951" s="6"/>
      <c r="H951" s="14"/>
      <c r="I951" s="14"/>
      <c r="J951" s="14"/>
      <c r="K951" s="14"/>
      <c r="L951" s="14"/>
      <c r="M951" s="14"/>
      <c r="N951" s="14"/>
      <c r="O951" s="14"/>
      <c r="P951" s="14"/>
      <c r="Q951" s="14"/>
      <c r="R951" s="14"/>
    </row>
    <row r="952" spans="1:18" ht="27" customHeight="1">
      <c r="A952" s="13"/>
      <c r="B952" s="6"/>
      <c r="C952" s="6"/>
      <c r="D952" s="8"/>
      <c r="E952" s="6"/>
      <c r="F952" s="8"/>
      <c r="G952" s="6"/>
      <c r="H952" s="14"/>
      <c r="I952" s="14"/>
      <c r="J952" s="14"/>
      <c r="K952" s="14"/>
      <c r="L952" s="14"/>
      <c r="M952" s="14"/>
      <c r="N952" s="14"/>
      <c r="O952" s="14"/>
      <c r="P952" s="14"/>
      <c r="Q952" s="14"/>
      <c r="R952" s="14"/>
    </row>
    <row r="953" spans="1:18" ht="27" customHeight="1">
      <c r="A953" s="13"/>
      <c r="B953" s="6"/>
      <c r="C953" s="6"/>
      <c r="D953" s="8"/>
      <c r="E953" s="6"/>
      <c r="F953" s="8"/>
      <c r="G953" s="6"/>
      <c r="H953" s="14"/>
      <c r="I953" s="14"/>
      <c r="J953" s="14"/>
      <c r="K953" s="14"/>
      <c r="L953" s="14"/>
      <c r="M953" s="14"/>
      <c r="N953" s="14"/>
      <c r="O953" s="14"/>
      <c r="P953" s="14"/>
      <c r="Q953" s="14"/>
      <c r="R953" s="14"/>
    </row>
    <row r="954" spans="1:18" ht="27" customHeight="1">
      <c r="A954" s="13"/>
      <c r="B954" s="6"/>
      <c r="C954" s="6"/>
      <c r="D954" s="8"/>
      <c r="E954" s="6"/>
      <c r="F954" s="8"/>
      <c r="G954" s="6"/>
      <c r="H954" s="14"/>
      <c r="I954" s="14"/>
      <c r="J954" s="14"/>
      <c r="K954" s="14"/>
      <c r="L954" s="14"/>
      <c r="M954" s="14"/>
      <c r="N954" s="14"/>
      <c r="O954" s="14"/>
      <c r="P954" s="14"/>
      <c r="Q954" s="14"/>
      <c r="R954" s="14"/>
    </row>
    <row r="955" spans="1:18" ht="27" customHeight="1">
      <c r="A955" s="13"/>
      <c r="B955" s="6"/>
      <c r="C955" s="6"/>
      <c r="D955" s="8"/>
      <c r="E955" s="6"/>
      <c r="F955" s="8"/>
      <c r="G955" s="6"/>
      <c r="H955" s="14"/>
      <c r="I955" s="14"/>
      <c r="J955" s="14"/>
      <c r="K955" s="14"/>
      <c r="L955" s="14"/>
      <c r="M955" s="14"/>
      <c r="N955" s="14"/>
      <c r="O955" s="14"/>
      <c r="P955" s="14"/>
      <c r="Q955" s="14"/>
      <c r="R955" s="14"/>
    </row>
    <row r="956" spans="1:18" ht="27" customHeight="1">
      <c r="A956" s="13"/>
      <c r="B956" s="6"/>
      <c r="C956" s="6"/>
      <c r="D956" s="8"/>
      <c r="E956" s="6"/>
      <c r="F956" s="8"/>
      <c r="G956" s="6"/>
      <c r="H956" s="14"/>
      <c r="I956" s="14"/>
      <c r="J956" s="14"/>
      <c r="K956" s="14"/>
      <c r="L956" s="14"/>
      <c r="M956" s="14"/>
      <c r="N956" s="14"/>
      <c r="O956" s="14"/>
      <c r="P956" s="14"/>
      <c r="Q956" s="14"/>
      <c r="R956" s="14"/>
    </row>
    <row r="957" spans="1:18" ht="27" customHeight="1">
      <c r="A957" s="13"/>
      <c r="B957" s="6"/>
      <c r="C957" s="6"/>
      <c r="D957" s="8"/>
      <c r="E957" s="6"/>
      <c r="F957" s="8"/>
      <c r="G957" s="6"/>
      <c r="H957" s="14"/>
      <c r="I957" s="14"/>
      <c r="J957" s="14"/>
      <c r="K957" s="14"/>
      <c r="L957" s="14"/>
      <c r="M957" s="14"/>
      <c r="N957" s="14"/>
      <c r="O957" s="14"/>
      <c r="P957" s="14"/>
      <c r="Q957" s="14"/>
      <c r="R957" s="14"/>
    </row>
    <row r="958" spans="1:18" ht="27" customHeight="1">
      <c r="A958" s="13"/>
      <c r="B958" s="6"/>
      <c r="C958" s="6"/>
      <c r="D958" s="8"/>
      <c r="E958" s="6"/>
      <c r="F958" s="8"/>
      <c r="G958" s="6"/>
      <c r="H958" s="14"/>
      <c r="I958" s="14"/>
      <c r="J958" s="14"/>
      <c r="K958" s="14"/>
      <c r="L958" s="14"/>
      <c r="M958" s="14"/>
      <c r="N958" s="14"/>
      <c r="O958" s="14"/>
      <c r="P958" s="14"/>
      <c r="Q958" s="14"/>
      <c r="R958" s="14"/>
    </row>
    <row r="959" spans="1:18" ht="27" customHeight="1">
      <c r="A959" s="13"/>
      <c r="B959" s="6"/>
      <c r="C959" s="6"/>
      <c r="D959" s="8"/>
      <c r="E959" s="6"/>
      <c r="F959" s="8"/>
      <c r="G959" s="6"/>
      <c r="H959" s="14"/>
      <c r="I959" s="14"/>
      <c r="J959" s="14"/>
      <c r="K959" s="14"/>
      <c r="L959" s="14"/>
      <c r="M959" s="14"/>
      <c r="N959" s="14"/>
      <c r="O959" s="14"/>
      <c r="P959" s="14"/>
      <c r="Q959" s="14"/>
      <c r="R959" s="14"/>
    </row>
    <row r="960" spans="1:18" ht="27" customHeight="1">
      <c r="A960" s="13"/>
      <c r="B960" s="6"/>
      <c r="C960" s="6"/>
      <c r="D960" s="8"/>
      <c r="E960" s="6"/>
      <c r="F960" s="8"/>
      <c r="G960" s="6"/>
      <c r="H960" s="14"/>
      <c r="I960" s="14"/>
      <c r="J960" s="14"/>
      <c r="K960" s="14"/>
      <c r="L960" s="14"/>
      <c r="M960" s="14"/>
      <c r="N960" s="14"/>
      <c r="O960" s="14"/>
      <c r="P960" s="14"/>
      <c r="Q960" s="14"/>
      <c r="R960" s="14"/>
    </row>
    <row r="961" spans="1:18" ht="27" customHeight="1">
      <c r="A961" s="13"/>
      <c r="B961" s="6"/>
      <c r="C961" s="6"/>
      <c r="D961" s="8"/>
      <c r="E961" s="6"/>
      <c r="F961" s="8"/>
      <c r="G961" s="6"/>
      <c r="H961" s="14"/>
      <c r="I961" s="14"/>
      <c r="J961" s="14"/>
      <c r="K961" s="14"/>
      <c r="L961" s="14"/>
      <c r="M961" s="14"/>
      <c r="N961" s="14"/>
      <c r="O961" s="14"/>
      <c r="P961" s="14"/>
      <c r="Q961" s="14"/>
      <c r="R961" s="14"/>
    </row>
    <row r="962" spans="1:18" ht="27" customHeight="1">
      <c r="A962" s="13"/>
      <c r="B962" s="6"/>
      <c r="C962" s="6"/>
      <c r="D962" s="8"/>
      <c r="E962" s="6"/>
      <c r="F962" s="8"/>
      <c r="G962" s="6"/>
      <c r="H962" s="14"/>
      <c r="I962" s="14"/>
      <c r="J962" s="14"/>
      <c r="K962" s="14"/>
      <c r="L962" s="14"/>
      <c r="M962" s="14"/>
      <c r="N962" s="14"/>
      <c r="O962" s="14"/>
      <c r="P962" s="14"/>
      <c r="Q962" s="14"/>
      <c r="R962" s="14"/>
    </row>
    <row r="963" spans="1:18" ht="27" customHeight="1">
      <c r="A963" s="13"/>
      <c r="B963" s="6"/>
      <c r="C963" s="6"/>
      <c r="D963" s="8"/>
      <c r="E963" s="6"/>
      <c r="F963" s="8"/>
      <c r="G963" s="6"/>
      <c r="H963" s="14"/>
      <c r="I963" s="14"/>
      <c r="J963" s="14"/>
      <c r="K963" s="14"/>
      <c r="L963" s="14"/>
      <c r="M963" s="14"/>
      <c r="N963" s="14"/>
      <c r="O963" s="14"/>
      <c r="P963" s="14"/>
      <c r="Q963" s="14"/>
      <c r="R963" s="14"/>
    </row>
    <row r="964" spans="1:18" ht="27" customHeight="1">
      <c r="A964" s="13"/>
      <c r="B964" s="6"/>
      <c r="C964" s="6"/>
      <c r="D964" s="8"/>
      <c r="E964" s="6"/>
      <c r="F964" s="8"/>
      <c r="G964" s="6"/>
      <c r="H964" s="14"/>
      <c r="I964" s="14"/>
      <c r="J964" s="14"/>
      <c r="K964" s="14"/>
      <c r="L964" s="14"/>
      <c r="M964" s="14"/>
      <c r="N964" s="14"/>
      <c r="O964" s="14"/>
      <c r="P964" s="14"/>
      <c r="Q964" s="14"/>
      <c r="R964" s="14"/>
    </row>
    <row r="965" spans="1:18" ht="27" customHeight="1">
      <c r="A965" s="13"/>
      <c r="B965" s="6"/>
      <c r="C965" s="6"/>
      <c r="D965" s="8"/>
      <c r="E965" s="6"/>
      <c r="F965" s="8"/>
      <c r="G965" s="6"/>
      <c r="H965" s="14"/>
      <c r="I965" s="14"/>
      <c r="J965" s="14"/>
      <c r="K965" s="14"/>
      <c r="L965" s="14"/>
      <c r="M965" s="14"/>
      <c r="N965" s="14"/>
      <c r="O965" s="14"/>
      <c r="P965" s="14"/>
      <c r="Q965" s="14"/>
      <c r="R965" s="14"/>
    </row>
    <row r="966" spans="1:18" ht="27" customHeight="1">
      <c r="A966" s="13"/>
      <c r="B966" s="6"/>
      <c r="C966" s="6"/>
      <c r="D966" s="8"/>
      <c r="E966" s="6"/>
      <c r="F966" s="8"/>
      <c r="G966" s="6"/>
      <c r="H966" s="14"/>
      <c r="I966" s="14"/>
      <c r="J966" s="14"/>
      <c r="K966" s="14"/>
      <c r="L966" s="14"/>
      <c r="M966" s="14"/>
      <c r="N966" s="14"/>
      <c r="O966" s="14"/>
      <c r="P966" s="14"/>
      <c r="Q966" s="14"/>
      <c r="R966" s="14"/>
    </row>
    <row r="967" spans="1:18" ht="27" customHeight="1">
      <c r="A967" s="13"/>
      <c r="B967" s="6"/>
      <c r="C967" s="6"/>
      <c r="D967" s="8"/>
      <c r="E967" s="6"/>
      <c r="F967" s="8"/>
      <c r="G967" s="6"/>
      <c r="H967" s="14"/>
      <c r="I967" s="14"/>
      <c r="J967" s="14"/>
      <c r="K967" s="14"/>
      <c r="L967" s="14"/>
      <c r="M967" s="14"/>
      <c r="N967" s="14"/>
      <c r="O967" s="14"/>
      <c r="P967" s="14"/>
      <c r="Q967" s="14"/>
      <c r="R967" s="14"/>
    </row>
    <row r="968" spans="1:18" ht="27" customHeight="1">
      <c r="A968" s="13"/>
      <c r="B968" s="6"/>
      <c r="C968" s="6"/>
      <c r="D968" s="8"/>
      <c r="E968" s="6"/>
      <c r="F968" s="8"/>
      <c r="G968" s="6"/>
      <c r="H968" s="14"/>
      <c r="I968" s="14"/>
      <c r="J968" s="14"/>
      <c r="K968" s="14"/>
      <c r="L968" s="14"/>
      <c r="M968" s="14"/>
      <c r="N968" s="14"/>
      <c r="O968" s="14"/>
      <c r="P968" s="14"/>
      <c r="Q968" s="14"/>
      <c r="R968" s="14"/>
    </row>
    <row r="969" spans="1:18" ht="27" customHeight="1">
      <c r="A969" s="13"/>
      <c r="B969" s="6"/>
      <c r="C969" s="6"/>
      <c r="D969" s="8"/>
      <c r="E969" s="6"/>
      <c r="F969" s="8"/>
      <c r="G969" s="6"/>
      <c r="H969" s="14"/>
      <c r="I969" s="14"/>
      <c r="J969" s="14"/>
      <c r="K969" s="14"/>
      <c r="L969" s="14"/>
      <c r="M969" s="14"/>
      <c r="N969" s="14"/>
      <c r="O969" s="14"/>
      <c r="P969" s="14"/>
      <c r="Q969" s="14"/>
      <c r="R969" s="14"/>
    </row>
    <row r="970" spans="1:18" ht="27" customHeight="1">
      <c r="A970" s="13"/>
      <c r="B970" s="6"/>
      <c r="C970" s="6"/>
      <c r="D970" s="8"/>
      <c r="E970" s="6"/>
      <c r="F970" s="8"/>
      <c r="G970" s="6"/>
      <c r="H970" s="14"/>
      <c r="I970" s="14"/>
      <c r="J970" s="14"/>
      <c r="K970" s="14"/>
      <c r="L970" s="14"/>
      <c r="M970" s="14"/>
      <c r="N970" s="14"/>
      <c r="O970" s="14"/>
      <c r="P970" s="14"/>
      <c r="Q970" s="14"/>
      <c r="R970" s="14"/>
    </row>
    <row r="971" spans="1:18" ht="27" customHeight="1">
      <c r="A971" s="13"/>
      <c r="B971" s="6"/>
      <c r="C971" s="6"/>
      <c r="D971" s="8"/>
      <c r="E971" s="6"/>
      <c r="F971" s="8"/>
      <c r="G971" s="6"/>
      <c r="H971" s="14"/>
      <c r="I971" s="14"/>
      <c r="J971" s="14"/>
      <c r="K971" s="14"/>
      <c r="L971" s="14"/>
      <c r="M971" s="14"/>
      <c r="N971" s="14"/>
      <c r="O971" s="14"/>
      <c r="P971" s="14"/>
      <c r="Q971" s="14"/>
      <c r="R971" s="14"/>
    </row>
    <row r="972" spans="1:18" ht="27" customHeight="1">
      <c r="A972" s="13"/>
      <c r="B972" s="6"/>
      <c r="C972" s="6"/>
      <c r="D972" s="8"/>
      <c r="E972" s="6"/>
      <c r="F972" s="8"/>
      <c r="G972" s="6"/>
      <c r="H972" s="14"/>
      <c r="I972" s="14"/>
      <c r="J972" s="14"/>
      <c r="K972" s="14"/>
      <c r="L972" s="14"/>
      <c r="M972" s="14"/>
      <c r="N972" s="14"/>
      <c r="O972" s="14"/>
      <c r="P972" s="14"/>
      <c r="Q972" s="14"/>
      <c r="R972" s="14"/>
    </row>
    <row r="973" spans="1:18" ht="27" customHeight="1">
      <c r="A973" s="13"/>
      <c r="B973" s="6"/>
      <c r="C973" s="6"/>
      <c r="D973" s="8"/>
      <c r="E973" s="6"/>
      <c r="F973" s="8"/>
      <c r="G973" s="6"/>
      <c r="H973" s="14"/>
      <c r="I973" s="14"/>
      <c r="J973" s="14"/>
      <c r="K973" s="14"/>
      <c r="L973" s="14"/>
      <c r="M973" s="14"/>
      <c r="N973" s="14"/>
      <c r="O973" s="14"/>
      <c r="P973" s="14"/>
      <c r="Q973" s="14"/>
      <c r="R973" s="14"/>
    </row>
    <row r="974" spans="1:18" ht="27" customHeight="1">
      <c r="A974" s="13"/>
      <c r="B974" s="6"/>
      <c r="C974" s="6"/>
      <c r="D974" s="8"/>
      <c r="E974" s="6"/>
      <c r="F974" s="8"/>
      <c r="G974" s="6"/>
      <c r="H974" s="14"/>
      <c r="I974" s="14"/>
      <c r="J974" s="14"/>
      <c r="K974" s="14"/>
      <c r="L974" s="14"/>
      <c r="M974" s="14"/>
      <c r="N974" s="14"/>
      <c r="O974" s="14"/>
      <c r="P974" s="14"/>
      <c r="Q974" s="14"/>
      <c r="R974" s="14"/>
    </row>
    <row r="975" spans="1:18" ht="27" customHeight="1">
      <c r="A975" s="13"/>
      <c r="B975" s="6"/>
      <c r="C975" s="6"/>
      <c r="D975" s="8"/>
      <c r="E975" s="6"/>
      <c r="F975" s="8"/>
      <c r="G975" s="6"/>
      <c r="H975" s="14"/>
      <c r="I975" s="14"/>
      <c r="J975" s="14"/>
      <c r="K975" s="14"/>
      <c r="L975" s="14"/>
      <c r="M975" s="14"/>
      <c r="N975" s="14"/>
      <c r="O975" s="14"/>
      <c r="P975" s="14"/>
      <c r="Q975" s="14"/>
      <c r="R975" s="14"/>
    </row>
    <row r="976" spans="1:18" ht="27" customHeight="1">
      <c r="A976" s="13"/>
      <c r="B976" s="6"/>
      <c r="C976" s="6"/>
      <c r="D976" s="8"/>
      <c r="E976" s="6"/>
      <c r="F976" s="8"/>
      <c r="G976" s="6"/>
      <c r="H976" s="14"/>
      <c r="I976" s="14"/>
      <c r="J976" s="14"/>
      <c r="K976" s="14"/>
      <c r="L976" s="14"/>
      <c r="M976" s="14"/>
      <c r="N976" s="14"/>
      <c r="O976" s="14"/>
      <c r="P976" s="14"/>
      <c r="Q976" s="14"/>
      <c r="R976" s="14"/>
    </row>
    <row r="977" spans="1:18" ht="27" customHeight="1">
      <c r="A977" s="13"/>
      <c r="B977" s="6"/>
      <c r="C977" s="6"/>
      <c r="D977" s="8"/>
      <c r="E977" s="6"/>
      <c r="F977" s="8"/>
      <c r="G977" s="6"/>
      <c r="H977" s="14"/>
      <c r="I977" s="14"/>
      <c r="J977" s="14"/>
      <c r="K977" s="14"/>
      <c r="L977" s="14"/>
      <c r="M977" s="14"/>
      <c r="N977" s="14"/>
      <c r="O977" s="14"/>
      <c r="P977" s="14"/>
      <c r="Q977" s="14"/>
      <c r="R977" s="14"/>
    </row>
    <row r="978" spans="1:18" ht="27" customHeight="1">
      <c r="A978" s="13"/>
      <c r="B978" s="6"/>
      <c r="C978" s="6"/>
      <c r="D978" s="8"/>
      <c r="E978" s="6"/>
      <c r="F978" s="8"/>
      <c r="G978" s="6"/>
      <c r="H978" s="14"/>
      <c r="I978" s="14"/>
      <c r="J978" s="14"/>
      <c r="K978" s="14"/>
      <c r="L978" s="14"/>
      <c r="M978" s="14"/>
      <c r="N978" s="14"/>
      <c r="O978" s="14"/>
      <c r="P978" s="14"/>
      <c r="Q978" s="14"/>
      <c r="R978" s="14"/>
    </row>
    <row r="979" spans="1:18" ht="27" customHeight="1">
      <c r="A979" s="13"/>
      <c r="B979" s="6"/>
      <c r="C979" s="6"/>
      <c r="D979" s="8"/>
      <c r="E979" s="6"/>
      <c r="F979" s="8"/>
      <c r="G979" s="6"/>
      <c r="H979" s="14"/>
      <c r="I979" s="14"/>
      <c r="J979" s="14"/>
      <c r="K979" s="14"/>
      <c r="L979" s="14"/>
      <c r="M979" s="14"/>
      <c r="N979" s="14"/>
      <c r="O979" s="14"/>
      <c r="P979" s="14"/>
      <c r="Q979" s="14"/>
      <c r="R979" s="14"/>
    </row>
    <row r="980" spans="1:18" ht="27" customHeight="1">
      <c r="A980" s="13"/>
      <c r="B980" s="6"/>
      <c r="C980" s="6"/>
      <c r="D980" s="8"/>
      <c r="E980" s="6"/>
      <c r="F980" s="8"/>
      <c r="G980" s="6"/>
      <c r="H980" s="14"/>
      <c r="I980" s="14"/>
      <c r="J980" s="14"/>
      <c r="K980" s="14"/>
      <c r="L980" s="14"/>
      <c r="M980" s="14"/>
      <c r="N980" s="14"/>
      <c r="O980" s="14"/>
      <c r="P980" s="14"/>
      <c r="Q980" s="14"/>
      <c r="R980" s="14"/>
    </row>
    <row r="981" spans="1:18" ht="27" customHeight="1">
      <c r="A981" s="13"/>
      <c r="B981" s="6"/>
      <c r="C981" s="6"/>
      <c r="D981" s="8"/>
      <c r="E981" s="6"/>
      <c r="F981" s="8"/>
      <c r="G981" s="6"/>
      <c r="H981" s="14"/>
      <c r="I981" s="14"/>
      <c r="J981" s="14"/>
      <c r="K981" s="14"/>
      <c r="L981" s="14"/>
      <c r="M981" s="14"/>
      <c r="N981" s="14"/>
      <c r="O981" s="14"/>
      <c r="P981" s="14"/>
      <c r="Q981" s="14"/>
      <c r="R981" s="14"/>
    </row>
    <row r="982" spans="1:18" ht="27" customHeight="1">
      <c r="A982" s="13"/>
      <c r="B982" s="6"/>
      <c r="C982" s="6"/>
      <c r="D982" s="8"/>
      <c r="E982" s="6"/>
      <c r="F982" s="8"/>
      <c r="G982" s="6"/>
      <c r="H982" s="14"/>
      <c r="I982" s="14"/>
      <c r="J982" s="14"/>
      <c r="K982" s="14"/>
      <c r="L982" s="14"/>
      <c r="M982" s="14"/>
      <c r="N982" s="14"/>
      <c r="O982" s="14"/>
      <c r="P982" s="14"/>
      <c r="Q982" s="14"/>
      <c r="R982" s="14"/>
    </row>
    <row r="983" spans="1:18" ht="27" customHeight="1">
      <c r="A983" s="13"/>
      <c r="B983" s="6"/>
      <c r="C983" s="6"/>
      <c r="D983" s="8"/>
      <c r="E983" s="6"/>
      <c r="F983" s="8"/>
      <c r="G983" s="6"/>
      <c r="H983" s="14"/>
      <c r="I983" s="14"/>
      <c r="J983" s="14"/>
      <c r="K983" s="14"/>
      <c r="L983" s="14"/>
      <c r="M983" s="14"/>
      <c r="N983" s="14"/>
      <c r="O983" s="14"/>
      <c r="P983" s="14"/>
      <c r="Q983" s="14"/>
      <c r="R983" s="14"/>
    </row>
    <row r="984" spans="1:18" ht="27" customHeight="1">
      <c r="A984" s="13"/>
      <c r="B984" s="6"/>
      <c r="C984" s="6"/>
      <c r="D984" s="8"/>
      <c r="E984" s="6"/>
      <c r="F984" s="8"/>
      <c r="G984" s="6"/>
      <c r="H984" s="14"/>
      <c r="I984" s="14"/>
      <c r="J984" s="14"/>
      <c r="K984" s="14"/>
      <c r="L984" s="14"/>
      <c r="M984" s="14"/>
      <c r="N984" s="14"/>
      <c r="O984" s="14"/>
      <c r="P984" s="14"/>
      <c r="Q984" s="14"/>
      <c r="R984" s="14"/>
    </row>
    <row r="985" spans="1:18" ht="27" customHeight="1">
      <c r="A985" s="13"/>
      <c r="B985" s="6"/>
      <c r="C985" s="6"/>
      <c r="D985" s="8"/>
      <c r="E985" s="6"/>
      <c r="F985" s="8"/>
      <c r="G985" s="6"/>
      <c r="H985" s="14"/>
      <c r="I985" s="14"/>
      <c r="J985" s="14"/>
      <c r="K985" s="14"/>
      <c r="L985" s="14"/>
      <c r="M985" s="14"/>
      <c r="N985" s="14"/>
      <c r="O985" s="14"/>
      <c r="P985" s="14"/>
      <c r="Q985" s="14"/>
      <c r="R985" s="14"/>
    </row>
    <row r="986" spans="1:18" ht="27" customHeight="1">
      <c r="A986" s="13"/>
      <c r="B986" s="6"/>
      <c r="C986" s="6"/>
      <c r="D986" s="8"/>
      <c r="E986" s="6"/>
      <c r="F986" s="8"/>
      <c r="G986" s="6"/>
      <c r="H986" s="14"/>
      <c r="I986" s="14"/>
      <c r="J986" s="14"/>
      <c r="K986" s="14"/>
      <c r="L986" s="14"/>
      <c r="M986" s="14"/>
      <c r="N986" s="14"/>
      <c r="O986" s="14"/>
      <c r="P986" s="14"/>
      <c r="Q986" s="14"/>
      <c r="R986" s="14"/>
    </row>
    <row r="987" spans="1:18" ht="27" customHeight="1">
      <c r="A987" s="13"/>
      <c r="B987" s="6"/>
      <c r="C987" s="6"/>
      <c r="D987" s="8"/>
      <c r="E987" s="6"/>
      <c r="F987" s="8"/>
      <c r="G987" s="6"/>
      <c r="H987" s="14"/>
      <c r="I987" s="14"/>
      <c r="J987" s="14"/>
      <c r="K987" s="14"/>
      <c r="L987" s="14"/>
      <c r="M987" s="14"/>
      <c r="N987" s="14"/>
      <c r="O987" s="14"/>
      <c r="P987" s="14"/>
      <c r="Q987" s="14"/>
      <c r="R987" s="14"/>
    </row>
    <row r="988" spans="1:18" ht="27" customHeight="1">
      <c r="A988" s="13"/>
      <c r="B988" s="6"/>
      <c r="C988" s="6"/>
      <c r="D988" s="8"/>
      <c r="E988" s="6"/>
      <c r="F988" s="8"/>
      <c r="G988" s="6"/>
      <c r="H988" s="14"/>
      <c r="I988" s="14"/>
      <c r="J988" s="14"/>
      <c r="K988" s="14"/>
      <c r="L988" s="14"/>
      <c r="M988" s="14"/>
      <c r="N988" s="14"/>
      <c r="O988" s="14"/>
      <c r="P988" s="14"/>
      <c r="Q988" s="14"/>
      <c r="R988" s="14"/>
    </row>
    <row r="989" spans="1:18" ht="27" customHeight="1">
      <c r="A989" s="13"/>
      <c r="B989" s="6"/>
      <c r="C989" s="6"/>
      <c r="D989" s="8"/>
      <c r="E989" s="6"/>
      <c r="F989" s="8"/>
      <c r="G989" s="6"/>
      <c r="H989" s="14"/>
      <c r="I989" s="14"/>
      <c r="J989" s="14"/>
      <c r="K989" s="14"/>
      <c r="L989" s="14"/>
      <c r="M989" s="14"/>
      <c r="N989" s="14"/>
      <c r="O989" s="14"/>
      <c r="P989" s="14"/>
      <c r="Q989" s="14"/>
      <c r="R989" s="14"/>
    </row>
    <row r="990" spans="1:18" ht="27" customHeight="1">
      <c r="A990" s="13"/>
      <c r="B990" s="6"/>
      <c r="C990" s="6"/>
      <c r="D990" s="8"/>
      <c r="E990" s="6"/>
      <c r="F990" s="8"/>
      <c r="G990" s="6"/>
      <c r="H990" s="14"/>
      <c r="I990" s="14"/>
      <c r="J990" s="14"/>
      <c r="K990" s="14"/>
      <c r="L990" s="14"/>
      <c r="M990" s="14"/>
      <c r="N990" s="14"/>
      <c r="O990" s="14"/>
      <c r="P990" s="14"/>
      <c r="Q990" s="14"/>
      <c r="R990" s="14"/>
    </row>
    <row r="991" spans="1:18" ht="27" customHeight="1">
      <c r="A991" s="13"/>
      <c r="B991" s="6"/>
      <c r="C991" s="6"/>
      <c r="D991" s="8"/>
      <c r="E991" s="6"/>
      <c r="F991" s="8"/>
      <c r="G991" s="6"/>
      <c r="H991" s="14"/>
      <c r="I991" s="14"/>
      <c r="J991" s="14"/>
      <c r="K991" s="14"/>
      <c r="L991" s="14"/>
      <c r="M991" s="14"/>
      <c r="N991" s="14"/>
      <c r="O991" s="14"/>
      <c r="P991" s="14"/>
      <c r="Q991" s="14"/>
      <c r="R991" s="14"/>
    </row>
    <row r="992" spans="1:18" ht="27" customHeight="1">
      <c r="A992" s="13"/>
      <c r="B992" s="6"/>
      <c r="C992" s="6"/>
      <c r="D992" s="8"/>
      <c r="E992" s="6"/>
      <c r="F992" s="8"/>
      <c r="G992" s="6"/>
      <c r="H992" s="14"/>
      <c r="I992" s="14"/>
      <c r="J992" s="14"/>
      <c r="K992" s="14"/>
      <c r="L992" s="14"/>
      <c r="M992" s="14"/>
      <c r="N992" s="14"/>
      <c r="O992" s="14"/>
      <c r="P992" s="14"/>
      <c r="Q992" s="14"/>
      <c r="R992" s="14"/>
    </row>
    <row r="993" spans="1:18" ht="27" customHeight="1">
      <c r="A993" s="13"/>
      <c r="B993" s="6"/>
      <c r="C993" s="6"/>
      <c r="D993" s="8"/>
      <c r="E993" s="6"/>
      <c r="F993" s="8"/>
      <c r="G993" s="6"/>
      <c r="H993" s="14"/>
      <c r="I993" s="14"/>
      <c r="J993" s="14"/>
      <c r="K993" s="14"/>
      <c r="L993" s="14"/>
      <c r="M993" s="14"/>
      <c r="N993" s="14"/>
      <c r="O993" s="14"/>
      <c r="P993" s="14"/>
      <c r="Q993" s="14"/>
      <c r="R993" s="14"/>
    </row>
    <row r="994" spans="1:18" ht="27" customHeight="1">
      <c r="A994" s="13"/>
      <c r="B994" s="6"/>
      <c r="C994" s="6"/>
      <c r="D994" s="8"/>
      <c r="E994" s="6"/>
      <c r="F994" s="8"/>
      <c r="G994" s="6"/>
      <c r="H994" s="14"/>
      <c r="I994" s="14"/>
      <c r="J994" s="14"/>
      <c r="K994" s="14"/>
      <c r="L994" s="14"/>
      <c r="M994" s="14"/>
      <c r="N994" s="14"/>
      <c r="O994" s="14"/>
      <c r="P994" s="14"/>
      <c r="Q994" s="14"/>
      <c r="R994" s="14"/>
    </row>
    <row r="995" spans="1:18" ht="27" customHeight="1">
      <c r="A995" s="13"/>
      <c r="B995" s="6"/>
      <c r="C995" s="6"/>
      <c r="D995" s="8"/>
      <c r="E995" s="6"/>
      <c r="F995" s="8"/>
      <c r="G995" s="6"/>
      <c r="H995" s="14"/>
      <c r="I995" s="14"/>
      <c r="J995" s="14"/>
      <c r="K995" s="14"/>
      <c r="L995" s="14"/>
      <c r="M995" s="14"/>
      <c r="N995" s="14"/>
      <c r="O995" s="14"/>
      <c r="P995" s="14"/>
      <c r="Q995" s="14"/>
      <c r="R995" s="14"/>
    </row>
    <row r="996" spans="1:18" ht="27" customHeight="1">
      <c r="A996" s="13"/>
      <c r="B996" s="6"/>
      <c r="C996" s="6"/>
      <c r="D996" s="8"/>
      <c r="E996" s="6"/>
      <c r="F996" s="8"/>
      <c r="G996" s="6"/>
      <c r="H996" s="14"/>
      <c r="I996" s="14"/>
      <c r="J996" s="14"/>
      <c r="K996" s="14"/>
      <c r="L996" s="14"/>
      <c r="M996" s="14"/>
      <c r="N996" s="14"/>
      <c r="O996" s="14"/>
      <c r="P996" s="14"/>
      <c r="Q996" s="14"/>
      <c r="R996" s="14"/>
    </row>
    <row r="997" spans="1:18" ht="27" customHeight="1">
      <c r="A997" s="13"/>
      <c r="B997" s="6"/>
      <c r="C997" s="6"/>
      <c r="D997" s="8"/>
      <c r="E997" s="6"/>
      <c r="F997" s="8"/>
      <c r="G997" s="6"/>
      <c r="H997" s="14"/>
      <c r="I997" s="14"/>
      <c r="J997" s="14"/>
      <c r="K997" s="14"/>
      <c r="L997" s="14"/>
      <c r="M997" s="14"/>
      <c r="N997" s="14"/>
      <c r="O997" s="14"/>
      <c r="P997" s="14"/>
      <c r="Q997" s="14"/>
      <c r="R997" s="14"/>
    </row>
    <row r="998" spans="1:18" ht="27" customHeight="1">
      <c r="A998" s="13"/>
      <c r="B998" s="6"/>
      <c r="C998" s="6"/>
      <c r="D998" s="8"/>
      <c r="E998" s="6"/>
      <c r="F998" s="8"/>
      <c r="G998" s="6"/>
      <c r="H998" s="14"/>
      <c r="I998" s="14"/>
      <c r="J998" s="14"/>
      <c r="K998" s="14"/>
      <c r="L998" s="14"/>
      <c r="M998" s="14"/>
      <c r="N998" s="14"/>
      <c r="O998" s="14"/>
      <c r="P998" s="14"/>
      <c r="Q998" s="14"/>
      <c r="R998" s="14"/>
    </row>
    <row r="999" spans="1:18" ht="27" customHeight="1">
      <c r="A999" s="13"/>
      <c r="B999" s="6"/>
      <c r="C999" s="6"/>
      <c r="D999" s="8"/>
      <c r="E999" s="6"/>
      <c r="F999" s="8"/>
      <c r="G999" s="6"/>
      <c r="H999" s="14"/>
      <c r="I999" s="14"/>
      <c r="J999" s="14"/>
      <c r="K999" s="14"/>
      <c r="L999" s="14"/>
      <c r="M999" s="14"/>
      <c r="N999" s="14"/>
      <c r="O999" s="14"/>
      <c r="P999" s="14"/>
      <c r="Q999" s="14"/>
      <c r="R999" s="14"/>
    </row>
    <row r="1000" spans="1:18" ht="27" customHeight="1">
      <c r="A1000" s="13"/>
      <c r="B1000" s="6"/>
      <c r="C1000" s="6"/>
      <c r="D1000" s="8"/>
      <c r="E1000" s="6"/>
      <c r="F1000" s="8"/>
      <c r="G1000" s="6"/>
      <c r="H1000" s="14"/>
      <c r="I1000" s="14"/>
      <c r="J1000" s="14"/>
      <c r="K1000" s="14"/>
      <c r="L1000" s="14"/>
      <c r="M1000" s="14"/>
      <c r="N1000" s="14"/>
      <c r="O1000" s="14"/>
      <c r="P1000" s="14"/>
      <c r="Q1000" s="14"/>
      <c r="R1000" s="14"/>
    </row>
    <row r="1001" spans="1:18" ht="27" customHeight="1">
      <c r="A1001" s="13"/>
      <c r="B1001" s="6"/>
      <c r="C1001" s="6"/>
      <c r="D1001" s="8"/>
      <c r="E1001" s="6"/>
      <c r="F1001" s="8"/>
      <c r="G1001" s="6"/>
      <c r="H1001" s="14"/>
      <c r="I1001" s="14"/>
      <c r="J1001" s="14"/>
      <c r="K1001" s="14"/>
      <c r="L1001" s="14"/>
      <c r="M1001" s="14"/>
      <c r="N1001" s="14"/>
      <c r="O1001" s="14"/>
      <c r="P1001" s="14"/>
      <c r="Q1001" s="14"/>
      <c r="R1001" s="14"/>
    </row>
    <row r="1002" spans="1:18" ht="27" customHeight="1">
      <c r="A1002" s="13"/>
      <c r="B1002" s="6"/>
      <c r="C1002" s="6"/>
      <c r="D1002" s="8"/>
      <c r="E1002" s="6"/>
      <c r="F1002" s="8"/>
      <c r="G1002" s="6"/>
      <c r="H1002" s="14"/>
      <c r="I1002" s="14"/>
      <c r="J1002" s="14"/>
      <c r="K1002" s="14"/>
      <c r="L1002" s="14"/>
      <c r="M1002" s="14"/>
      <c r="N1002" s="14"/>
      <c r="O1002" s="14"/>
      <c r="P1002" s="14"/>
      <c r="Q1002" s="14"/>
      <c r="R1002" s="14"/>
    </row>
    <row r="1003" spans="1:18" ht="27" customHeight="1">
      <c r="A1003" s="13"/>
      <c r="B1003" s="6"/>
      <c r="C1003" s="6"/>
      <c r="D1003" s="8"/>
      <c r="E1003" s="6"/>
      <c r="F1003" s="8"/>
      <c r="G1003" s="6"/>
      <c r="H1003" s="14"/>
      <c r="I1003" s="14"/>
      <c r="J1003" s="14"/>
      <c r="K1003" s="14"/>
      <c r="L1003" s="14"/>
      <c r="M1003" s="14"/>
      <c r="N1003" s="14"/>
      <c r="O1003" s="14"/>
      <c r="P1003" s="14"/>
      <c r="Q1003" s="14"/>
      <c r="R1003" s="14"/>
    </row>
    <row r="1004" spans="1:18" ht="27" customHeight="1">
      <c r="A1004" s="13"/>
      <c r="B1004" s="6"/>
      <c r="C1004" s="6"/>
      <c r="D1004" s="8"/>
      <c r="E1004" s="6"/>
      <c r="F1004" s="8"/>
      <c r="G1004" s="6"/>
      <c r="H1004" s="14"/>
      <c r="I1004" s="14"/>
      <c r="J1004" s="14"/>
      <c r="K1004" s="14"/>
      <c r="L1004" s="14"/>
      <c r="M1004" s="14"/>
      <c r="N1004" s="14"/>
      <c r="O1004" s="14"/>
      <c r="P1004" s="14"/>
      <c r="Q1004" s="14"/>
      <c r="R1004" s="14"/>
    </row>
    <row r="1005" spans="1:18" ht="27" customHeight="1">
      <c r="A1005" s="13"/>
      <c r="B1005" s="6"/>
      <c r="C1005" s="6"/>
      <c r="D1005" s="8"/>
      <c r="E1005" s="6"/>
      <c r="F1005" s="8"/>
      <c r="G1005" s="6"/>
      <c r="H1005" s="14"/>
      <c r="I1005" s="14"/>
      <c r="J1005" s="14"/>
      <c r="K1005" s="14"/>
      <c r="L1005" s="14"/>
      <c r="M1005" s="14"/>
      <c r="N1005" s="14"/>
      <c r="O1005" s="14"/>
      <c r="P1005" s="14"/>
      <c r="Q1005" s="14"/>
      <c r="R1005" s="14"/>
    </row>
    <row r="1006" spans="1:18" ht="27" customHeight="1">
      <c r="A1006" s="13"/>
      <c r="B1006" s="6"/>
      <c r="C1006" s="6"/>
      <c r="D1006" s="8"/>
      <c r="E1006" s="6"/>
      <c r="F1006" s="8"/>
      <c r="G1006" s="6"/>
      <c r="H1006" s="14"/>
      <c r="I1006" s="14"/>
      <c r="J1006" s="14"/>
      <c r="K1006" s="14"/>
      <c r="L1006" s="14"/>
      <c r="M1006" s="14"/>
      <c r="N1006" s="14"/>
      <c r="O1006" s="14"/>
      <c r="P1006" s="14"/>
      <c r="Q1006" s="14"/>
      <c r="R1006" s="14"/>
    </row>
    <row r="1007" spans="1:18" ht="27" customHeight="1">
      <c r="A1007" s="13"/>
      <c r="B1007" s="6"/>
      <c r="C1007" s="6"/>
      <c r="D1007" s="8"/>
      <c r="E1007" s="6"/>
      <c r="F1007" s="8"/>
      <c r="G1007" s="6"/>
      <c r="H1007" s="14"/>
      <c r="I1007" s="14"/>
      <c r="J1007" s="14"/>
      <c r="K1007" s="14"/>
      <c r="L1007" s="14"/>
      <c r="M1007" s="14"/>
      <c r="N1007" s="14"/>
      <c r="O1007" s="14"/>
      <c r="P1007" s="14"/>
      <c r="Q1007" s="14"/>
      <c r="R1007" s="14"/>
    </row>
    <row r="1008" spans="1:18" ht="27" customHeight="1">
      <c r="A1008" s="13"/>
      <c r="B1008" s="6"/>
      <c r="C1008" s="6"/>
      <c r="D1008" s="8"/>
      <c r="E1008" s="6"/>
      <c r="F1008" s="8"/>
      <c r="G1008" s="6"/>
      <c r="H1008" s="14"/>
      <c r="I1008" s="14"/>
      <c r="J1008" s="14"/>
      <c r="K1008" s="14"/>
      <c r="L1008" s="14"/>
      <c r="M1008" s="14"/>
      <c r="N1008" s="14"/>
      <c r="O1008" s="14"/>
      <c r="P1008" s="14"/>
      <c r="Q1008" s="14"/>
      <c r="R1008" s="14"/>
    </row>
    <row r="1009" spans="1:18" ht="27" customHeight="1">
      <c r="A1009" s="13"/>
      <c r="B1009" s="6"/>
      <c r="C1009" s="6"/>
      <c r="D1009" s="8"/>
      <c r="E1009" s="6"/>
      <c r="F1009" s="8"/>
      <c r="G1009" s="6"/>
      <c r="H1009" s="14"/>
      <c r="I1009" s="14"/>
      <c r="J1009" s="14"/>
      <c r="K1009" s="14"/>
      <c r="L1009" s="14"/>
      <c r="M1009" s="14"/>
      <c r="N1009" s="14"/>
      <c r="O1009" s="14"/>
      <c r="P1009" s="14"/>
      <c r="Q1009" s="14"/>
      <c r="R1009" s="14"/>
    </row>
  </sheetData>
  <mergeCells count="7">
    <mergeCell ref="A6:D7"/>
    <mergeCell ref="A5:I5"/>
    <mergeCell ref="A2:I2"/>
    <mergeCell ref="A3:I3"/>
    <mergeCell ref="A4:C4"/>
    <mergeCell ref="D4:F4"/>
    <mergeCell ref="G4:I4"/>
  </mergeCells>
  <conditionalFormatting sqref="J10:J1009">
    <cfRule type="expression" dxfId="1" priority="2">
      <formula>ISNUMBER(SEARCH("Vencida",$J10))</formula>
    </cfRule>
  </conditionalFormatting>
  <conditionalFormatting sqref="N10:N1009">
    <cfRule type="expression" dxfId="0" priority="1">
      <formula>LEN($N10)&gt;0</formula>
    </cfRule>
  </conditionalFormatting>
  <dataValidations count="4">
    <dataValidation type="list" sqref="A10:A1009" xr:uid="{00000000-0002-0000-0B00-000000000000}">
      <formula1>INDIRECT("'Processos'!A10:A509")</formula1>
    </dataValidation>
    <dataValidation type="list" sqref="C10:C1009" xr:uid="{00000000-0002-0000-0B00-000001000000}">
      <formula1>INDIRECT("'Configurar'!E10:E29")</formula1>
    </dataValidation>
    <dataValidation type="list" sqref="E10:E1009" xr:uid="{00000000-0002-0000-0B00-000002000000}">
      <formula1>"Pendente,Em andamento,Concluída,Cancelada"</formula1>
    </dataValidation>
    <dataValidation type="date" sqref="D10:D1009 F10:F1009" xr:uid="{00000000-0002-0000-0B00-000003000000}">
      <formula1>1</formula1>
      <formula2>100000</formula2>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Painel</vt:lpstr>
      <vt:lpstr>Ficha</vt:lpstr>
      <vt:lpstr>Central IA</vt:lpstr>
      <vt:lpstr>Críticos</vt:lpstr>
      <vt:lpstr>Escritórios</vt:lpstr>
      <vt:lpstr>Processos</vt:lpstr>
      <vt:lpstr>Valores</vt:lpstr>
      <vt:lpstr>Andamentos</vt:lpstr>
      <vt:lpstr>Configurar</vt:lpstr>
      <vt:lpstr>Critérios</vt:lpstr>
      <vt:lpstr>Origem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Guilherme Gonçalves</cp:lastModifiedBy>
  <dcterms:modified xsi:type="dcterms:W3CDTF">2026-10-22T00:25:08Z</dcterms:modified>
</cp:coreProperties>
</file>